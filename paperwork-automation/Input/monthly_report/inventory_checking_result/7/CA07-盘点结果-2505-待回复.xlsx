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ustomStorage/customStorage.xml" ContentType="application/vnd.wps-officedocument.customStorage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00" windowHeight="10740" tabRatio="806"/>
  </bookViews>
  <sheets>
    <sheet name="CA07-本月-盘点结果" sheetId="1" r:id="rId1"/>
    <sheet name="上月数量需更新" sheetId="8" r:id="rId2"/>
    <sheet name="上月数量zfi0156" sheetId="5" r:id="rId3"/>
    <sheet name="本月系统单价mb5b" sheetId="6" r:id="rId4"/>
    <sheet name="透视表" sheetId="4" state="hidden" r:id="rId5"/>
    <sheet name="红火台销售汇总" sheetId="3" r:id="rId6"/>
    <sheet name="Sheet3" sheetId="20" r:id="rId7"/>
    <sheet name="计算" sheetId="13" r:id="rId8"/>
    <sheet name="BI套餐" sheetId="14" r:id="rId9"/>
    <sheet name="物料分类" sheetId="21" r:id="rId10"/>
    <sheet name="折算数量" sheetId="10" state="hidden" r:id="rId11"/>
    <sheet name="对照表" sheetId="2" state="hidden" r:id="rId12"/>
  </sheets>
  <definedNames>
    <definedName name="_xlnm._FilterDatabase" localSheetId="0" hidden="1">'CA07-本月-盘点结果'!$A$1:$P$534</definedName>
    <definedName name="_xlnm._FilterDatabase" localSheetId="2" hidden="1">上月数量zfi0156!$A$1:$N$523</definedName>
    <definedName name="_xlnm._FilterDatabase" localSheetId="5" hidden="1">红火台销售汇总!$A$1:$L$471</definedName>
    <definedName name="_xlnm._FilterDatabase" localSheetId="7" hidden="1">计算!$A$1:$Z$235</definedName>
    <definedName name="_xlnm._FilterDatabase" localSheetId="8" hidden="1">BI套餐!$D$1:$W$169</definedName>
    <definedName name="_xlnm._FilterDatabase" localSheetId="10" hidden="1">折算数量!$A$1:$B$4318</definedName>
  </definedNames>
  <calcPr calcId="191029"/>
  <pivotCaches>
    <pivotCache cacheId="0" r:id="rId13"/>
    <pivotCache cacheId="1" r:id="rId14"/>
    <pivotCache cacheId="2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Peter Li</author>
  </authors>
  <commentList>
    <comment ref="J1" authorId="0">
      <text>
        <r>
          <rPr>
            <b/>
            <sz val="14"/>
            <rFont val="SimSun"/>
            <charset val="134"/>
          </rPr>
          <t>每月查看是否有单价大的固定资产或工程款出库（使用数量不为0）</t>
        </r>
        <r>
          <rPr>
            <sz val="14"/>
            <rFont val="SimSun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Peter Li</author>
  </authors>
  <commentList>
    <comment ref="E1" authorId="0">
      <text>
        <r>
          <rPr>
            <sz val="9"/>
            <rFont val="SimSun"/>
            <charset val="134"/>
          </rPr>
          <t xml:space="preserve">转换成数字格式
</t>
        </r>
      </text>
    </comment>
  </commentList>
</comments>
</file>

<file path=xl/comments3.xml><?xml version="1.0" encoding="utf-8"?>
<comments xmlns="http://schemas.openxmlformats.org/spreadsheetml/2006/main">
  <authors>
    <author>Peter Li</author>
  </authors>
  <commentList>
    <comment ref="C1" authorId="0">
      <text>
        <r>
          <rPr>
            <b/>
            <sz val="14"/>
            <rFont val="SimSun"/>
            <charset val="134"/>
          </rPr>
          <t xml:space="preserve">无菜品短编码的，需要填报此列
=D39&amp;G39
</t>
        </r>
      </text>
    </comment>
    <comment ref="D1" authorId="0">
      <text>
        <r>
          <rPr>
            <b/>
            <sz val="14"/>
            <rFont val="SimSun"/>
            <charset val="134"/>
          </rPr>
          <t>转换成数字格式</t>
        </r>
        <r>
          <rPr>
            <sz val="14"/>
            <rFont val="SimSun"/>
            <charset val="134"/>
          </rPr>
          <t xml:space="preserve">
</t>
        </r>
      </text>
    </comment>
    <comment ref="E1" authorId="0">
      <text>
        <r>
          <rPr>
            <b/>
            <sz val="14"/>
            <rFont val="SimSun"/>
            <charset val="134"/>
          </rPr>
          <t>转换成数字格式
=VLOOKUP(C110,Sheet2!$A:$C,3,0)</t>
        </r>
      </text>
    </comment>
  </commentList>
</comments>
</file>

<file path=xl/comments4.xml><?xml version="1.0" encoding="utf-8"?>
<comments xmlns="http://schemas.openxmlformats.org/spreadsheetml/2006/main">
  <authors>
    <author>Peter Li</author>
    <author>miadong</author>
  </authors>
  <commentList>
    <comment ref="F1" authorId="0">
      <text>
        <r>
          <rPr>
            <b/>
            <sz val="14"/>
            <rFont val="SimSun"/>
            <charset val="134"/>
          </rPr>
          <t>转换成数字格式</t>
        </r>
        <r>
          <rPr>
            <sz val="14"/>
            <rFont val="SimSun"/>
            <charset val="134"/>
          </rPr>
          <t xml:space="preserve">
</t>
        </r>
      </text>
    </comment>
    <comment ref="G1" authorId="0">
      <text>
        <r>
          <rPr>
            <sz val="14"/>
            <rFont val="SimSun"/>
            <charset val="134"/>
          </rPr>
          <t xml:space="preserve">转换成数字格式
</t>
        </r>
      </text>
    </comment>
    <comment ref="M4" authorId="1">
      <text>
        <r>
          <rPr>
            <b/>
            <sz val="9"/>
            <rFont val="SimSun"/>
            <charset val="134"/>
          </rPr>
          <t>miadong:</t>
        </r>
        <r>
          <rPr>
            <sz val="9"/>
            <rFont val="SimSun"/>
            <charset val="134"/>
          </rPr>
          <t xml:space="preserve">
已加套餐</t>
        </r>
      </text>
    </comment>
    <comment ref="M16" authorId="1">
      <text>
        <r>
          <rPr>
            <b/>
            <sz val="9"/>
            <rFont val="SimSun"/>
            <charset val="134"/>
          </rPr>
          <t>miadong:</t>
        </r>
        <r>
          <rPr>
            <sz val="9"/>
            <rFont val="SimSun"/>
            <charset val="134"/>
          </rPr>
          <t xml:space="preserve">
已加套餐</t>
        </r>
      </text>
    </comment>
    <comment ref="M55" authorId="1">
      <text>
        <r>
          <rPr>
            <b/>
            <sz val="9"/>
            <color rgb="FF000000"/>
            <rFont val="SimSun"/>
            <charset val="134"/>
          </rPr>
          <t>miadong:</t>
        </r>
        <r>
          <rPr>
            <sz val="9"/>
            <color rgb="FF000000"/>
            <rFont val="SimSun"/>
            <charset val="134"/>
          </rPr>
          <t xml:space="preserve">
已加套餐</t>
        </r>
      </text>
    </comment>
    <comment ref="M56" authorId="1">
      <text>
        <r>
          <rPr>
            <b/>
            <sz val="9"/>
            <color rgb="FF000000"/>
            <rFont val="SimSun"/>
            <charset val="134"/>
          </rPr>
          <t>miadong:</t>
        </r>
        <r>
          <rPr>
            <sz val="9"/>
            <color rgb="FF000000"/>
            <rFont val="SimSun"/>
            <charset val="134"/>
          </rPr>
          <t xml:space="preserve">
已加套餐</t>
        </r>
      </text>
    </comment>
    <comment ref="M57" authorId="1">
      <text>
        <r>
          <rPr>
            <b/>
            <sz val="9"/>
            <rFont val="SimSun"/>
            <charset val="134"/>
          </rPr>
          <t>miadong:</t>
        </r>
        <r>
          <rPr>
            <sz val="9"/>
            <rFont val="SimSun"/>
            <charset val="134"/>
          </rPr>
          <t xml:space="preserve">
已加套餐</t>
        </r>
      </text>
    </comment>
  </commentList>
</comments>
</file>

<file path=xl/sharedStrings.xml><?xml version="1.0" encoding="utf-8"?>
<sst xmlns="http://schemas.openxmlformats.org/spreadsheetml/2006/main" count="53398" uniqueCount="4528">
  <si>
    <t>行号</t>
  </si>
  <si>
    <t>物料编码</t>
  </si>
  <si>
    <t>物料名称</t>
  </si>
  <si>
    <t>库存数量</t>
  </si>
  <si>
    <t>盘点数量</t>
  </si>
  <si>
    <t>单位</t>
  </si>
  <si>
    <t>单位编码</t>
  </si>
  <si>
    <t>单位描述</t>
  </si>
  <si>
    <t>使用数量</t>
  </si>
  <si>
    <t>单价</t>
  </si>
  <si>
    <t>本月使用金额</t>
  </si>
  <si>
    <t>上月使用金额</t>
  </si>
  <si>
    <t>对比</t>
  </si>
  <si>
    <t>备注（每月刷新）</t>
  </si>
  <si>
    <t>回复</t>
  </si>
  <si>
    <t>分类</t>
  </si>
  <si>
    <t>"猪骨膏（SOMI，2.2LB*10包/箱）"</t>
  </si>
  <si>
    <t>磅（美国）</t>
  </si>
  <si>
    <t>LB</t>
  </si>
  <si>
    <t>易拉罐PET瓶（小口盖，100个/箱）</t>
  </si>
  <si>
    <t>个</t>
  </si>
  <si>
    <t>Z05</t>
  </si>
  <si>
    <t>320咖啡杯（30个/箱）</t>
  </si>
  <si>
    <t>320折叠椅（30个/箱）</t>
  </si>
  <si>
    <t>320毛绒骰子（配套地贴使用，4个/套）</t>
  </si>
  <si>
    <t>套</t>
  </si>
  <si>
    <t>Z16</t>
  </si>
  <si>
    <t>无纺布打包袋（27.5*17*24CM）</t>
  </si>
  <si>
    <t>酒精湿巾（海底捞，独立包装，100片*14包/箱）</t>
  </si>
  <si>
    <t>包</t>
  </si>
  <si>
    <t>Z07</t>
  </si>
  <si>
    <t>ASAKI啤酒（330ML*24瓶/箱）</t>
  </si>
  <si>
    <t>瓶</t>
  </si>
  <si>
    <t>BOT</t>
  </si>
  <si>
    <t>盤點无誤</t>
  </si>
  <si>
    <t>BC肉蟹（LB）</t>
  </si>
  <si>
    <t>磅</t>
  </si>
  <si>
    <t>CL5</t>
  </si>
  <si>
    <t>美</t>
  </si>
  <si>
    <t>一次性无纺布围裙（成人款，50条*20袋/箱）</t>
  </si>
  <si>
    <t>条</t>
  </si>
  <si>
    <t>Z19</t>
  </si>
  <si>
    <t>儿童餐盘（硅胶，40个/件）</t>
  </si>
  <si>
    <t>CAESAR酱（3.78L*2瓶/箱）</t>
  </si>
  <si>
    <t>升</t>
  </si>
  <si>
    <t>L</t>
  </si>
  <si>
    <t>公升</t>
  </si>
  <si>
    <t>GLENFIDDICH 18（750ML/瓶）</t>
  </si>
  <si>
    <t>JACK DANIELS （750ML/瓶）</t>
  </si>
  <si>
    <t>KIRKLAND矿泉水（500ML*35瓶/箱）</t>
  </si>
  <si>
    <t>KOOKSOONDANG（750ML*20瓶/箱）</t>
  </si>
  <si>
    <t>少算了一箱,是695</t>
  </si>
  <si>
    <t>MALIBUCOCONUTRUMLIQUEUR（750ML/瓶）</t>
  </si>
  <si>
    <t>MIDORI-MELON（750ML/瓶）</t>
  </si>
  <si>
    <t>洗碗液（红色， 20L/桶）</t>
  </si>
  <si>
    <t>桶</t>
  </si>
  <si>
    <t>Z36</t>
  </si>
  <si>
    <t>SALSA辣酱（3.7L*2瓶/箱）</t>
  </si>
  <si>
    <t>SOHO LYCHEE荔枝酒（750ML/瓶）</t>
  </si>
  <si>
    <t>UN-CHILLFILTEREDWHISKY（KAIYO，750ML/瓶）</t>
  </si>
  <si>
    <t>洗洁精（4L*4桶/箱）</t>
  </si>
  <si>
    <t>客人围裙（黑色红边，20条/捆）</t>
  </si>
  <si>
    <t>漂白水（餐具专用，4L*4桶/箱）</t>
  </si>
  <si>
    <t>双层抽纸（清风，130抽*96包/件）</t>
  </si>
  <si>
    <t>一次性汤勺（1000个/箱）</t>
  </si>
  <si>
    <t>保鲜膜（762M*27.9CM/卷）</t>
  </si>
  <si>
    <t>卷</t>
  </si>
  <si>
    <t>Z08</t>
  </si>
  <si>
    <t>打包盒（32OZ， 240套/箱）</t>
  </si>
  <si>
    <t>丁香（LB）</t>
  </si>
  <si>
    <t>三花淡奶（354ML*48瓶/箱）</t>
  </si>
  <si>
    <t>快干剂（蓝色， 20L/桶）</t>
  </si>
  <si>
    <t>三鲜粉TLTF-20（10KG*2包/件）</t>
  </si>
  <si>
    <t>公斤</t>
  </si>
  <si>
    <t>KG</t>
  </si>
  <si>
    <t>中葱（5KG/箱）</t>
  </si>
  <si>
    <t>乌冬面（230G*5片*8包/箱）</t>
  </si>
  <si>
    <t>乌梅汁（2.5KG*6桶/箱）</t>
  </si>
  <si>
    <t>九层塔（LB）</t>
  </si>
  <si>
    <t>五香瓜子（老街口，500G*10包/箱）</t>
  </si>
  <si>
    <t>人群精细化印章</t>
  </si>
  <si>
    <t>人群精细化生日三折叠贺卡（250G白卡，10个/包）</t>
  </si>
  <si>
    <t>人群精细化生日帽（女款，300G银卡，50个/包）</t>
  </si>
  <si>
    <t>人群精细化生日帽（男款，300G银卡，50个/包）</t>
  </si>
  <si>
    <t>人群精细化生日桌面立牌（亚克力，48*35CM）</t>
  </si>
  <si>
    <t>人群精细化生日灯牌</t>
  </si>
  <si>
    <t>伏特加SKYY VODKA（750ML/瓶）</t>
  </si>
  <si>
    <t>传菜组鸭舌帽</t>
  </si>
  <si>
    <t>顶</t>
  </si>
  <si>
    <t>Z17</t>
  </si>
  <si>
    <t>儿童餐碗（硅胶，80个/件）</t>
  </si>
  <si>
    <t>健怡可乐（355ML*32听/箱）</t>
  </si>
  <si>
    <t>听</t>
  </si>
  <si>
    <t>Z01</t>
  </si>
  <si>
    <t>白色垃圾袋（大，35*50CM，100个/箱）</t>
  </si>
  <si>
    <t>擦手纸（清风，200张*20包/件）</t>
  </si>
  <si>
    <t>张</t>
  </si>
  <si>
    <t>Z03</t>
  </si>
  <si>
    <t>八角（LB）</t>
  </si>
  <si>
    <t>养乐多（EPOCA，62.1ML*50瓶/箱）</t>
  </si>
  <si>
    <t>冬季前堂男上衣（蓝色，L号）</t>
  </si>
  <si>
    <t>件</t>
  </si>
  <si>
    <t>Z18</t>
  </si>
  <si>
    <t>冬季前堂男上衣（蓝色，M号）</t>
  </si>
  <si>
    <t>冬季前堂男上衣（蓝色，S号）</t>
  </si>
  <si>
    <t>冬季前堂男上衣（蓝色，XL号）</t>
  </si>
  <si>
    <t>冬季前堂男上衣（蓝色，XXL号）</t>
  </si>
  <si>
    <t>冬季前堂男上衣（蓝色，XXXL号）</t>
  </si>
  <si>
    <t>冬季前堂男上衣（蓝色，XXXXL号）</t>
  </si>
  <si>
    <t>冬季担当男上衣L</t>
  </si>
  <si>
    <t>冬季担当男上衣M</t>
  </si>
  <si>
    <t>冬季担当男上衣S</t>
  </si>
  <si>
    <t>冬季担当男上衣XL</t>
  </si>
  <si>
    <t>冬季担当男上衣XXL</t>
  </si>
  <si>
    <t>冬季担当男上衣XXXL</t>
  </si>
  <si>
    <t>冬季担当男上衣XXXXL</t>
  </si>
  <si>
    <t>冬瓜（LB）</t>
  </si>
  <si>
    <t>冬阴功酱（PENTA，3KG*6包/件）</t>
  </si>
  <si>
    <t>冰粉粉（康雅酷，40G*100包/件）</t>
  </si>
  <si>
    <t>冷冻巴沙鱼（12-14 ，10KG/箱）</t>
  </si>
  <si>
    <t>冷冻杨梅（500G/包）</t>
  </si>
  <si>
    <t>冷冻葡萄果酱（润宝，1KG*12瓶/件）</t>
  </si>
  <si>
    <t>冷冻薯球（凯达，2KG*6袋/件）</t>
  </si>
  <si>
    <t>冻油豆皮（龙伟，1KG*10包/件）</t>
  </si>
  <si>
    <t>冻豆腐（2.5KG*4包/件）</t>
  </si>
  <si>
    <t>凤梨果酱冻（1.3L*12瓶/箱）</t>
  </si>
  <si>
    <t>凯尔菜（24把/箱）</t>
  </si>
  <si>
    <t>把</t>
  </si>
  <si>
    <t>Z24</t>
  </si>
  <si>
    <t>前堂男款围裙（蓝色）</t>
  </si>
  <si>
    <t>加多宝（310ML*24听/件）</t>
  </si>
  <si>
    <t>卷形擦手纸（6卷/箱）</t>
  </si>
  <si>
    <t>打包盒（1.5L，300个/箱）</t>
  </si>
  <si>
    <t>包浆豆腐（380G*24袋/箱）</t>
  </si>
  <si>
    <t>北冰洋（24听/件）</t>
  </si>
  <si>
    <t>北极贝（L，1KG*10盒/箱）</t>
  </si>
  <si>
    <t>十三香（王守义，45G*10盒/包）</t>
  </si>
  <si>
    <t>盒</t>
  </si>
  <si>
    <t>Z06</t>
  </si>
  <si>
    <t>千味传统大油条（450G*10包/箱）</t>
  </si>
  <si>
    <t>零食打包袋（牛皮纸，1000个/件）</t>
  </si>
  <si>
    <t>咖色外卖纸盒（26 OZ，450个/箱）</t>
  </si>
  <si>
    <t>午餐肉（NONGSHIM， 340G*24盒/箱）</t>
  </si>
  <si>
    <t>单晶冰糖（400G*48包/箱）</t>
  </si>
  <si>
    <t>南瓜泥（796ML*12罐/箱）</t>
  </si>
  <si>
    <t>罐</t>
  </si>
  <si>
    <t>CL9</t>
  </si>
  <si>
    <t>南瓜面（1KG*8袋/箱）</t>
  </si>
  <si>
    <t>卤水汁（李锦记，410ML*12瓶/件）</t>
  </si>
  <si>
    <t>卫生巾（88片/盒）</t>
  </si>
  <si>
    <t>片</t>
  </si>
  <si>
    <t>Z25</t>
  </si>
  <si>
    <t>杀菌卫生湿巾（维达，80片*12包/件）</t>
  </si>
  <si>
    <t>餐具包（木质叉勺，500套/箱）</t>
  </si>
  <si>
    <t>打包盒（1000个/箱）</t>
  </si>
  <si>
    <t>厚椰乳（菲诺，1KG*12瓶/件）</t>
  </si>
  <si>
    <t>去皮五花肉（LB）</t>
  </si>
  <si>
    <t>去皮牛舌（LB）</t>
  </si>
  <si>
    <t>去肥黄瓜条（LB）</t>
  </si>
  <si>
    <t>去骨牛小排（LB）</t>
  </si>
  <si>
    <t>麻辣燙和烤肉套餐使用</t>
  </si>
  <si>
    <t>59G热敏收银纸（80*60MM，120卷/箱）</t>
  </si>
  <si>
    <t>一次性纸杯（海底捞门店专用，50个*20提/件）</t>
  </si>
  <si>
    <t>变形车玩具（加拿大，3岁及以上，火箭人款，50个/件）</t>
  </si>
  <si>
    <t>可口可乐（355ML*32听/箱）</t>
  </si>
  <si>
    <t>打包盒盖子（1.5L，300个/箱）</t>
  </si>
  <si>
    <t>潜心碟（华南，白瓷，6寸，100个/件）</t>
  </si>
  <si>
    <t>君度（750ML/瓶）</t>
  </si>
  <si>
    <t>味精（50LB/包）</t>
  </si>
  <si>
    <t>黑色手套L号（100个*10盒/箱）</t>
  </si>
  <si>
    <t>咖色鸡蛋（30颗*6板/箱）</t>
  </si>
  <si>
    <t>板</t>
  </si>
  <si>
    <t>Z26</t>
  </si>
  <si>
    <t>咸蛋黄鱼丸（1LB*20包/箱）</t>
  </si>
  <si>
    <t>哈密瓜冰淇淋（75ML*36个/箱）</t>
  </si>
  <si>
    <t>哈密瓜（6-8个/箱）</t>
  </si>
  <si>
    <t>箱</t>
  </si>
  <si>
    <t>Z34</t>
  </si>
  <si>
    <t>响铃卷（168G*15盒/箱）</t>
  </si>
  <si>
    <t>啤酒瓶子定金</t>
  </si>
  <si>
    <t>啤酒（SAPPORO，30L/桶）</t>
  </si>
  <si>
    <t>盤點无誤(上個月多用了三桶)</t>
  </si>
  <si>
    <t>喷射奶油（KIRKLAND，400G*2罐/袋）</t>
  </si>
  <si>
    <t>卷袋（12MM*20MM， 4卷/箱）</t>
  </si>
  <si>
    <t>四季豆（LB）</t>
  </si>
  <si>
    <t>四川辣椒面（1LB/包）</t>
  </si>
  <si>
    <t>圆糯米（4LB*6包/箱）</t>
  </si>
  <si>
    <t>土豆（50LB/箱）</t>
  </si>
  <si>
    <t>圣女果（20LB/箱）</t>
  </si>
  <si>
    <t>地瓜淀粉（灵鹿 400G*40包/箱）</t>
  </si>
  <si>
    <t>墨鱼仔（20-40，400G*20包/箱）</t>
  </si>
  <si>
    <t>墨鱼仔（340G*20包/箱）</t>
  </si>
  <si>
    <t>墨鱼筒（LB,U1-U2， 10KG/箱 ）</t>
  </si>
  <si>
    <t>夏季担当女工服（2XL码，黑色）</t>
  </si>
  <si>
    <t>夏季担当女工服（3XL码，黑色）</t>
  </si>
  <si>
    <t>夏季担当女工服（L码，黑色）</t>
  </si>
  <si>
    <t>夏季担当女工服（M码，黑色）</t>
  </si>
  <si>
    <t>夏季担当女工服（XL码，黑色）</t>
  </si>
  <si>
    <t>夏季担当男工服（2XL码，黑色）</t>
  </si>
  <si>
    <t>夏季担当男工服（3XL码，黑色）</t>
  </si>
  <si>
    <t>夏季担当男工服（4XL码，黑色）</t>
  </si>
  <si>
    <t>夏季担当男工服（L码，黑色）</t>
  </si>
  <si>
    <t>夏季担当男工服（XL码，黑色）</t>
  </si>
  <si>
    <t>大叻沙（田师傅，1KG*12包/箱）</t>
  </si>
  <si>
    <t>大块腐乳（王致和，2.5KG*4桶/件）</t>
  </si>
  <si>
    <t>大块腐乳（王致和，340G*15瓶/件）</t>
  </si>
  <si>
    <t>8.5" 8MM 纸吸管（500根*2包/箱）</t>
  </si>
  <si>
    <t>大枣（去核，LB）</t>
  </si>
  <si>
    <t>大蒜粉（三海，510G*12瓶/件）</t>
  </si>
  <si>
    <t>太空船玩具（3岁及以上，50个/件）</t>
  </si>
  <si>
    <t>头抽（华美，15KG*2桶/箱）</t>
  </si>
  <si>
    <t>BUCKHEAD燃油费（批）</t>
  </si>
  <si>
    <t>批</t>
  </si>
  <si>
    <t>F01</t>
  </si>
  <si>
    <t>奶酪鱼条（500G*20盒/件 ）</t>
  </si>
  <si>
    <t>孜然粉（454G/包）</t>
  </si>
  <si>
    <t>洗衣球（TIDE，76个/瓶）</t>
  </si>
  <si>
    <t>打包盒盖子（1000个/箱）</t>
  </si>
  <si>
    <t>寿司米（东北圆米，30KG/包）</t>
  </si>
  <si>
    <t>寿桃豆沙包（思念，360G*24包/件）</t>
  </si>
  <si>
    <t>大打包纸袋B（牛皮纸，275*170*240MM，200个/件）</t>
  </si>
  <si>
    <t>小番茄（12盒/箱）</t>
  </si>
  <si>
    <t>小茴香（LB）</t>
  </si>
  <si>
    <t>山楂碎（2.5KG*4袋/件）</t>
  </si>
  <si>
    <t>巧克力冰激凌（115ML*24盒/箱）</t>
  </si>
  <si>
    <t>师球唛花生油（3L*6瓶/箱）</t>
  </si>
  <si>
    <t>带头南美白虾（30-40，4LB*6包/箱 ）</t>
  </si>
  <si>
    <t>带头老虎虾（13-15，454G*10盒/箱）</t>
  </si>
  <si>
    <t>带皮去骨鸡腿肉（LB）</t>
  </si>
  <si>
    <t>带皮无骨鸡扒（LB）</t>
  </si>
  <si>
    <t>干辣椒节（2.5KG*4包/件）</t>
  </si>
  <si>
    <t>干青花椒（LB）</t>
  </si>
  <si>
    <t>干香菇（5LB/包）</t>
  </si>
  <si>
    <t>年糕条（品坊，1KG*10包/箱）</t>
  </si>
  <si>
    <t>康乃馨（多头，鲜）</t>
  </si>
  <si>
    <t>达尔文百洁布（9*8CM，10卷/箱）</t>
  </si>
  <si>
    <t>扇贝（3LB*4包/箱）</t>
  </si>
  <si>
    <t>扎啤桶押金（桶）</t>
  </si>
  <si>
    <t>一次性叉（1000个/箱）</t>
  </si>
  <si>
    <t>打包碗（LBK，400ML，白，600个/箱）</t>
  </si>
  <si>
    <t>一次性擦镜湿纸（英文版，5*6CM，400片*9包/件）</t>
  </si>
  <si>
    <t>PC扎啤杯（嘉宝，8571，50个/箱）</t>
  </si>
  <si>
    <t>三针勺（10件起订，1200个/件）</t>
  </si>
  <si>
    <t>双层卷纸（12卷/箱）</t>
  </si>
  <si>
    <t>打包盒（1200ML，300个/箱）</t>
  </si>
  <si>
    <t>黑色手套S号（100个*10盒/箱）</t>
  </si>
  <si>
    <t>打包碗盖（LBK，400ML，白，600个/箱）</t>
  </si>
  <si>
    <t>黑色手套M号（100个*10盒/箱）</t>
  </si>
  <si>
    <t>抹茶粉（250G*12包/箱）</t>
  </si>
  <si>
    <t>抹茶红豆味粽形糕点（美滋味，35G*10个*12盒/件）</t>
  </si>
  <si>
    <t>洗杯红药水（4L*4桶/箱）</t>
  </si>
  <si>
    <t>一次性网帽（100个*20包/件）</t>
  </si>
  <si>
    <t>按摩棒（50个*2包/件）</t>
  </si>
  <si>
    <t>捞面面节（三全，2.5KG*4包/件）</t>
  </si>
  <si>
    <t>提拉米苏（63个/箱）</t>
  </si>
  <si>
    <t>一次性手套（0.85G*100个*100包/件）</t>
  </si>
  <si>
    <t>斑点虾（LB）</t>
  </si>
  <si>
    <t>方便面（辛拉面，600G*8包/箱）</t>
  </si>
  <si>
    <t>无渣调味粉（28G*120包/件，加拿大内用）</t>
  </si>
  <si>
    <t>无粉丁腈手套（蓝色，L，100只*10盒/件）</t>
  </si>
  <si>
    <t>只</t>
  </si>
  <si>
    <t>Z21</t>
  </si>
  <si>
    <t>无粉丁腈手套（蓝色，M，100只*10盒/件）</t>
  </si>
  <si>
    <t>无粉丁腈手套（蓝色，S，100只*10盒/件）</t>
  </si>
  <si>
    <t>#2四方盒（100个/箱）</t>
  </si>
  <si>
    <t>日式味淋MIRIN（20L/箱）</t>
  </si>
  <si>
    <t>日本小黄瓜（20LB/箱）</t>
  </si>
  <si>
    <t>日本柴鱼酱油（1.89L*6瓶/箱）</t>
  </si>
  <si>
    <t>蘸料盒（1.5 OZ， 2500个/箱）</t>
  </si>
  <si>
    <t>春樱莓莓（草莓味糕点，35G*120个/箱）</t>
  </si>
  <si>
    <t>是拉差香甜辣椒酱（714ML*12瓶/箱 ）</t>
  </si>
  <si>
    <t>显眼包惯性车玩具（加拿大，3岁及以上，茄子，番茄两款混装，50个/件）</t>
  </si>
  <si>
    <t>智慧餐厅冬季传菜组男T恤L号（黑色）</t>
  </si>
  <si>
    <t>智慧餐厅冬季传菜组男T恤M号（黑色）</t>
  </si>
  <si>
    <t>智慧餐厅冬季传菜组男T恤S号（黑色）</t>
  </si>
  <si>
    <t>智慧餐厅冬季传菜组男T恤XL号（黑色）</t>
  </si>
  <si>
    <t>智慧餐厅冬季传菜组男T恤XXL号（黑色）</t>
  </si>
  <si>
    <t>智慧餐厅冬季传菜组男T恤XXXL号（黑色）</t>
  </si>
  <si>
    <t>智慧餐厅冬季传菜组男T恤XXXXL号（黑色）</t>
  </si>
  <si>
    <t>智慧餐厅夏季黑色男T恤L号</t>
  </si>
  <si>
    <t>智慧餐厅夏季黑色男T恤M号</t>
  </si>
  <si>
    <t>智慧餐厅夏季黑色男T恤S号</t>
  </si>
  <si>
    <t>智慧餐厅夏季黑色男T恤XL号</t>
  </si>
  <si>
    <t>智慧餐厅夏季黑色男T恤XXL号</t>
  </si>
  <si>
    <t>智慧餐厅夏季黑色男T恤XXXL号</t>
  </si>
  <si>
    <t>智慧餐厅夏季黑色男T恤XXXXL号</t>
  </si>
  <si>
    <t>朗姆酒（1.14L/瓶）</t>
  </si>
  <si>
    <t>朗姆酒（750ML/瓶）</t>
  </si>
  <si>
    <t>朝天椒（11LB/箱）</t>
  </si>
  <si>
    <t>木耳（5LB/包）</t>
  </si>
  <si>
    <t>洗地苏打（25KG/包）</t>
  </si>
  <si>
    <t>杏鲍菇（300G*14包/箱）</t>
  </si>
  <si>
    <t>松肉粉（BENSON ，5LB/盒）</t>
  </si>
  <si>
    <t>果糖（环泰，5KG*4桶/件）</t>
  </si>
  <si>
    <t>枸杞（LB）</t>
  </si>
  <si>
    <t>柚子茶（1KG*12瓶/箱）</t>
  </si>
  <si>
    <t>柠檬汁冻（950G*12罐/箱）</t>
  </si>
  <si>
    <t>柠檬汁（945ML/瓶）</t>
  </si>
  <si>
    <t>柠檬茶（341ML*32听/箱）</t>
  </si>
  <si>
    <t>柠檬（115-140个/箱）</t>
  </si>
  <si>
    <t>桂皮（LB）</t>
  </si>
  <si>
    <t>桂花糖（食全食美，320G*24瓶/箱）</t>
  </si>
  <si>
    <t>桂花蚌（LB）</t>
  </si>
  <si>
    <t>梅花猪肉（LB）</t>
  </si>
  <si>
    <t>椰膏（400ML*24罐/箱）</t>
  </si>
  <si>
    <t>榛果巧克力醬（3KG/罐）</t>
  </si>
  <si>
    <t>榨菜（乌江，80G*100袋/件）</t>
  </si>
  <si>
    <t>榴莲球（1KG*10包/箱）</t>
  </si>
  <si>
    <t>橙子（40LB/箱）</t>
  </si>
  <si>
    <t>橙汁（960ML*12瓶/箱）</t>
  </si>
  <si>
    <t>正宗椰树牌椰汁（245ML*24盒/件）</t>
  </si>
  <si>
    <t>毛肚（7KG/箱）</t>
  </si>
  <si>
    <t>毛肚（LB）</t>
  </si>
  <si>
    <t>毛豆荚（六福，454G*20包/件）</t>
  </si>
  <si>
    <t>水磨小圆子（安井，250G*28包/箱）</t>
  </si>
  <si>
    <t>汕尾叶（鲜， 10支/把）</t>
  </si>
  <si>
    <t>江小白 40 度（50ML*36瓶/箱）</t>
  </si>
  <si>
    <t>樓下少盤了一箱</t>
  </si>
  <si>
    <t>沙姜（LB）</t>
  </si>
  <si>
    <t>沙律酱（4L/桶）</t>
  </si>
  <si>
    <t>沙茶酱（牛头，3KG*6瓶/件）</t>
  </si>
  <si>
    <t>泉字酱油（5加仑/桶）</t>
  </si>
  <si>
    <t>泡小米辣（泡坛，2KG*6包/件）</t>
  </si>
  <si>
    <t>泡椒笋丝（1KG*10包/箱）</t>
  </si>
  <si>
    <t>泡椒鱼皮（龙威，1KG*10包/件）</t>
  </si>
  <si>
    <t>泰国椰奶（查哥，400ML*24盒/件）</t>
  </si>
  <si>
    <t>泰式甜辣酱（4.5L*3瓶/箱）</t>
  </si>
  <si>
    <t>玻璃带把扎啤杯（600ML，24个/件）</t>
  </si>
  <si>
    <t>洗杯快干剂（4L*4桶/箱）</t>
  </si>
  <si>
    <t>红酒醒酒器（新款1.8L，带金属过滤头）</t>
  </si>
  <si>
    <t>喷雾瓶（安利）</t>
  </si>
  <si>
    <t>奶茶杯（700ML，500个/件）</t>
  </si>
  <si>
    <t>卷袋（8.5MM*12MM， 4卷/箱）</t>
  </si>
  <si>
    <t>爱心盖（1000个/箱）</t>
  </si>
  <si>
    <t>洛神汁/红梅汁（2.5KG*6桶/箱）</t>
  </si>
  <si>
    <t>海南黄灯笼椒酱（海风黄灯龙，700G*12瓶/件）</t>
  </si>
  <si>
    <t>海带结（500G*20包/箱）</t>
  </si>
  <si>
    <t>海带苗（10KG/箱）</t>
  </si>
  <si>
    <t>海带苗（350G*30包/箱）</t>
  </si>
  <si>
    <t>海底捞啤酒（大麦拉格，500ML*12瓶/件）</t>
  </si>
  <si>
    <t>海底捞德式小麦啤酒（500ML*12瓶/件）</t>
  </si>
  <si>
    <t>少算了3箱是339</t>
  </si>
  <si>
    <t>海盐奶盖粉（1KG*20包/箱）</t>
  </si>
  <si>
    <t>海鲜菇（250G*50包/箱）</t>
  </si>
  <si>
    <t>海鲜酱（李锦记，1.75L*6瓶/箱）</t>
  </si>
  <si>
    <t>拾盒垫纸（船盒，大号，50个*12包/箱）</t>
  </si>
  <si>
    <t>淡奶油（946ML/盒）</t>
  </si>
  <si>
    <t>清油底料（300G*40包/件）</t>
  </si>
  <si>
    <t>麻辣牛奶和麻辣燙和加辣使用</t>
  </si>
  <si>
    <t>清油麻辣火锅底料（250G*30包/件）_加拿大版</t>
  </si>
  <si>
    <t>滑豆腐（700G*12盒/箱）</t>
  </si>
  <si>
    <t>满天星</t>
  </si>
  <si>
    <t>牙签（独立包装，500包*20盒/件）</t>
  </si>
  <si>
    <t>洗手液（4L*4桶/箱）</t>
  </si>
  <si>
    <t>打包杯（3.25OZ，2500个/箱）</t>
  </si>
  <si>
    <t>打包杯盖（3.25OZ，2500个/箱）</t>
  </si>
  <si>
    <t>澳洲青边鲍鱼（1KG/盒）</t>
  </si>
  <si>
    <t>火车果蔬锁玩具（3岁及以上，4款混装，50个/件）</t>
  </si>
  <si>
    <t>火锅干料包（27G*60包/件，加拿大内销）</t>
  </si>
  <si>
    <t>火锅苕皮（加拿大，1.5KG*8包/件）</t>
  </si>
  <si>
    <t>灵鹿红糖（400G*48包/箱）</t>
  </si>
  <si>
    <t>炸腐竹（170G*50包/箱）</t>
  </si>
  <si>
    <t>炼乳（寿星公，300ML*24瓶/箱）</t>
  </si>
  <si>
    <t>BDUCK围裙（65*65CM，10个/箱）</t>
  </si>
  <si>
    <t>烘烤花生（去皮，11.3KG/箱）</t>
  </si>
  <si>
    <t>烤花生仁切碎（中粮，2.5KG*4包/件）</t>
  </si>
  <si>
    <t>烧酒（CHUMCHURUM，青提味，360ML/瓶）</t>
  </si>
  <si>
    <t>烧酒（苹果味，360ML/瓶）</t>
  </si>
  <si>
    <t>烧酒（荔枝味，360ML/瓶）</t>
  </si>
  <si>
    <t>爆浆糍粑（300G*12包/箱）</t>
  </si>
  <si>
    <t>包容中盘（密胺，60个/件）</t>
  </si>
  <si>
    <t>包容大盘（密胺，40个/件）</t>
  </si>
  <si>
    <t>牛双筋（LB）</t>
  </si>
  <si>
    <t>牛奶（4L/桶）</t>
  </si>
  <si>
    <t>牛板腱（LB）</t>
  </si>
  <si>
    <t>牛栏山二锅头（100ML/瓶）</t>
  </si>
  <si>
    <t>牛油（20KG/件）</t>
  </si>
  <si>
    <t>牛肉丸（LB）</t>
  </si>
  <si>
    <t>牛腩肉（LB）</t>
  </si>
  <si>
    <t>无肉不歡和麻辣燙使用</t>
  </si>
  <si>
    <t>牛舌（LB）</t>
  </si>
  <si>
    <t>削皮損耗,肉頭做藤椒牛舌使用</t>
  </si>
  <si>
    <t>牛霖肉（LB）</t>
  </si>
  <si>
    <t>牛黄喉（LB）</t>
  </si>
  <si>
    <t>猜拳玩具（3岁及以上，4款混装，50个/件）</t>
  </si>
  <si>
    <t>猪大肠 （KG）</t>
  </si>
  <si>
    <t>猪棒骨（LB）</t>
  </si>
  <si>
    <t>猪肉白菜水饺（思念，454G*12包/箱）</t>
  </si>
  <si>
    <t>猪肚鸡火锅底料（500G*20包/箱）</t>
  </si>
  <si>
    <t>猪肚（LB）</t>
  </si>
  <si>
    <t>猪脊骨（LB）</t>
  </si>
  <si>
    <t>猪血（20LB/桶）</t>
  </si>
  <si>
    <t>猪颈肉（LB）</t>
  </si>
  <si>
    <t>玉米淀粉（50LB/箱）</t>
  </si>
  <si>
    <t>玉米粒罐头（2.84L*6桶/箱）</t>
  </si>
  <si>
    <t>玉米脆片（2LB*6袋/箱）</t>
  </si>
  <si>
    <t>玫瑰花（20支/把）</t>
  </si>
  <si>
    <t>升级版调料勺</t>
  </si>
  <si>
    <t>玻璃钢小捞捞门迎雕像（手持扇子款，高度1.75M）</t>
  </si>
  <si>
    <t>甜玉米（44-48根/箱）</t>
  </si>
  <si>
    <t>甜豆浆（3.95L*4桶/箱）</t>
  </si>
  <si>
    <t>甜面酱（葱伴侣，400G*24袋/箱）</t>
  </si>
  <si>
    <t>袋</t>
  </si>
  <si>
    <t>Z27</t>
  </si>
  <si>
    <t>甜面酱（葱伴侣，400G*30袋/件）</t>
  </si>
  <si>
    <t>生花生（LB）</t>
  </si>
  <si>
    <t>生菜（24颗/箱）</t>
  </si>
  <si>
    <t>颗</t>
  </si>
  <si>
    <t>Z32</t>
  </si>
  <si>
    <t>番茄汁（2.84L*6罐/箱）</t>
  </si>
  <si>
    <t>番茄火锅底料（300G*40包/件，加拿大内用）</t>
  </si>
  <si>
    <t>加湯和對暗號和麻辣燙使用</t>
  </si>
  <si>
    <t>番茄（15LB/箱）</t>
  </si>
  <si>
    <t>番茄（25LB/箱）</t>
  </si>
  <si>
    <t>白扣（LB）</t>
  </si>
  <si>
    <t>白桃果肉汁（380ML*24瓶/箱）</t>
  </si>
  <si>
    <t>白洋葱（50LB/箱）</t>
  </si>
  <si>
    <t>白砂糖（20K/包）</t>
  </si>
  <si>
    <t>白胡椒粉（LB）</t>
  </si>
  <si>
    <t>午餐肉切片机刀片（17片/包）</t>
  </si>
  <si>
    <t>吊牌（员工）</t>
  </si>
  <si>
    <t>白芷（LB）</t>
  </si>
  <si>
    <t>白菜/绍菜（50LB/箱）</t>
  </si>
  <si>
    <t>白萝卜（20KG/箱）</t>
  </si>
  <si>
    <t>白虾仁（41-50，4LB*6包/箱 ）</t>
  </si>
  <si>
    <t>白醋（4L*6瓶/箱）</t>
  </si>
  <si>
    <t>百加利（20LB/箱）</t>
  </si>
  <si>
    <t>百香果汁加籽（5.5LB*6瓶/箱）</t>
  </si>
  <si>
    <t>盐渍海带丝（400G*24包/箱）</t>
  </si>
  <si>
    <t>砂仁（LB）</t>
  </si>
  <si>
    <t>碎猪肉（LB）</t>
  </si>
  <si>
    <t>后堂板车（90*60*110CM）</t>
  </si>
  <si>
    <t>竹笋（1KG*10包/箱）</t>
  </si>
  <si>
    <t>竹笙（1.125KG*4包/箱）</t>
  </si>
  <si>
    <t>筒骨高汤（VEGAN，1KG*12包/箱）</t>
  </si>
  <si>
    <t>粉耗子_美国内销_250G*40包/件</t>
  </si>
  <si>
    <t>粽叶（300G*30包/箱）</t>
  </si>
  <si>
    <t>糖蒜（500G*24包/件）</t>
  </si>
  <si>
    <t>糯米小麻花（海苔味，5KG/件）</t>
  </si>
  <si>
    <t>素春卷（品坊，100个*12盒/箱）</t>
  </si>
  <si>
    <t>素毛肚（400G*24包/箱）</t>
  </si>
  <si>
    <t>红彩椒（LB）</t>
  </si>
  <si>
    <t>红樱桃利口酒（750ML/瓶）</t>
  </si>
  <si>
    <t>红花椒（LB）</t>
  </si>
  <si>
    <t>红薯条（2.5LB*6袋/箱）</t>
  </si>
  <si>
    <t>红薯（LB）</t>
  </si>
  <si>
    <t>密胺方盘（多彩，28*28CM，海外，12个/箱）</t>
  </si>
  <si>
    <t>纯胡椒粉（12盒/箱）</t>
  </si>
  <si>
    <t>纯芝麻酱（富味乡，2KG*10袋/件）</t>
  </si>
  <si>
    <t>小打包纸袋（牛皮纸，300个/件）</t>
  </si>
  <si>
    <t>绿豆（LB）</t>
  </si>
  <si>
    <t>羊肉卷（LB）</t>
  </si>
  <si>
    <t>无肉不歡使用</t>
  </si>
  <si>
    <t>羊脑</t>
  </si>
  <si>
    <t>羊腿肉（去骨，KG）</t>
  </si>
  <si>
    <t>美国和牛</t>
  </si>
  <si>
    <t>美极鲜酱油（800ML*6瓶/箱）</t>
  </si>
  <si>
    <t>老姜（30LB/箱）</t>
  </si>
  <si>
    <t>老抽（裕益牌，12L/桶）</t>
  </si>
  <si>
    <t>老陈醋（龙眼井，420ML*15瓶/件）</t>
  </si>
  <si>
    <t>肉蔻（400G/袋）</t>
  </si>
  <si>
    <t>脆皖鱼（250G/包）</t>
  </si>
  <si>
    <t>脱皮熟芝麻（5LB/包）</t>
  </si>
  <si>
    <t>脸谱挂件（红色，100个/包）</t>
  </si>
  <si>
    <t>色拉油（16L/桶）</t>
  </si>
  <si>
    <t>芋头（38-40LB/箱）</t>
  </si>
  <si>
    <t>芝士块（2KG*5包/箱）</t>
  </si>
  <si>
    <t>芝士鱼豆腐（2KG*6包/箱）</t>
  </si>
  <si>
    <t>芝麻油（燕庄，5L*4桶/件）</t>
  </si>
  <si>
    <t>芥末（43G/盒）</t>
  </si>
  <si>
    <t>花椒油（川老汇，1.8L*6包/件）</t>
  </si>
  <si>
    <t>花椒粉（1LB*50包/箱）</t>
  </si>
  <si>
    <t>花生酱（10KG/桶）</t>
  </si>
  <si>
    <t>花雕酒（10L*2桶/箱）</t>
  </si>
  <si>
    <t>芽菜 （LB）</t>
  </si>
  <si>
    <t>苏打水（355ML*12瓶/箱）</t>
  </si>
  <si>
    <t>茉莉绿茶（60G*10小包/袋）</t>
  </si>
  <si>
    <t>小包</t>
  </si>
  <si>
    <t>Z10</t>
  </si>
  <si>
    <t>茉莉蜜茶（康师傅，550ML*15瓶/件）</t>
  </si>
  <si>
    <t>草果（LB）</t>
  </si>
  <si>
    <t>草莓冰激凌（115ML*24盒/箱）</t>
  </si>
  <si>
    <t>草莓果酱（2.5KG*6瓶/箱）</t>
  </si>
  <si>
    <t>草莓（1LB*8包/箱）</t>
  </si>
  <si>
    <t>荔枝肉（520ML/罐）</t>
  </si>
  <si>
    <t>莴笋（15KG/箱）</t>
  </si>
  <si>
    <t>菌汤火锅底料（105G*60袋/箱）</t>
  </si>
  <si>
    <t>菠菜面（1KG*8袋/箱）</t>
  </si>
  <si>
    <t>菠菜（24把/箱）</t>
  </si>
  <si>
    <t>菠萝切片罐头（2.84L*6罐/箱）</t>
  </si>
  <si>
    <t>菠萝汁（浓缩型，1L*12盒/件）</t>
  </si>
  <si>
    <t>葡萄干（1814G/盒）</t>
  </si>
  <si>
    <t>蒜肉（5LB*6包/箱）</t>
  </si>
  <si>
    <t>蒿子秆（20LB/箱）</t>
  </si>
  <si>
    <t>蓝带啤酒（355ML*24瓶/箱）</t>
  </si>
  <si>
    <t>蓝橙利口酒（750ML/瓶）</t>
  </si>
  <si>
    <t>蔬菜沙拉（5LB*4包/箱）</t>
  </si>
  <si>
    <t>蕃茜（把）</t>
  </si>
  <si>
    <t>薯条蘸酱粉（403G*12包/箱）</t>
  </si>
  <si>
    <t>薯条（4.5LB*6包/箱）</t>
  </si>
  <si>
    <t>藕/莲菜（44LB/箱）</t>
  </si>
  <si>
    <t>藤椒油（汉椒，1.8L*6罐/件）</t>
  </si>
  <si>
    <t>拾合小盘（密胺，40个/件）</t>
  </si>
  <si>
    <t>虎牙脆（20G*230包/件）</t>
  </si>
  <si>
    <t>蚝油（李锦记，2.2KG*6桶/件）</t>
  </si>
  <si>
    <t>蜀味脆皮肠（350G*30包/箱）</t>
  </si>
  <si>
    <t>蜂蜜（750G*3瓶/件）</t>
  </si>
  <si>
    <t>消毒水（20L/桶）</t>
  </si>
  <si>
    <t>蟹柳可乐饼（270G*30包/箱）</t>
  </si>
  <si>
    <t>蟹肉棒（巴芬湾，500G*20包/箱）</t>
  </si>
  <si>
    <t>西冷牛肉（LB）</t>
  </si>
  <si>
    <t>西瓜（LB）</t>
  </si>
  <si>
    <t>西芹（24颗/箱）</t>
  </si>
  <si>
    <t>豆沙粽（思念，312G*32袋/箱）</t>
  </si>
  <si>
    <t>豆皮（丰业，KG）</t>
  </si>
  <si>
    <t>豆腐泡（1.8KG*4包/箱）</t>
  </si>
  <si>
    <t>漱口水（1.5L*2瓶/袋）</t>
  </si>
  <si>
    <t>豆苗（LB）</t>
  </si>
  <si>
    <t>豌豆苗（120G*6盆/箱）</t>
  </si>
  <si>
    <t>盆</t>
  </si>
  <si>
    <t>ZA3</t>
  </si>
  <si>
    <t>象拔蚌（LB）</t>
  </si>
  <si>
    <t>贡菜（1KG*10包/箱）</t>
  </si>
  <si>
    <t>辣咸菜（三鹿，300G*36包/箱）</t>
  </si>
  <si>
    <t>辣椒酱（辣妹子，920G*12瓶/件）</t>
  </si>
  <si>
    <t>潜心碗小（华南，白瓷，4寸，96个/件）</t>
  </si>
  <si>
    <t>运输费用（批）</t>
  </si>
  <si>
    <t>迷你海苔响铃卷（120G*24盒/箱）</t>
  </si>
  <si>
    <t>迷你菊（紫色，5支/把）</t>
  </si>
  <si>
    <t>速冻虾滑（越南，DL443厂，1.6KG*6包/件）</t>
  </si>
  <si>
    <t>速冻黄金熔岩虾球（越南DL443，250G*20包/件）</t>
  </si>
  <si>
    <t>郫县红油豆瓣（鹃城牌，10KG/箱）</t>
  </si>
  <si>
    <t>烘干机柔顺纸（BOUNCE，320片/盒）</t>
  </si>
  <si>
    <t>醇然心动混合薄荷糖（海亿，2.28KG*4包/件）</t>
  </si>
  <si>
    <t>醪糟（米婆婆，500G*8瓶/箱）</t>
  </si>
  <si>
    <t>醪糟（米婆婆，900G*6瓶/件）</t>
  </si>
  <si>
    <t>金标生抽（海天，4.9L*2桶/件）</t>
  </si>
  <si>
    <t>金线虾卷（250G*20包/箱）</t>
  </si>
  <si>
    <t>金酒（歌顿，750ML/瓶）</t>
  </si>
  <si>
    <t>金针菇（200G*25包/箱）</t>
  </si>
  <si>
    <t>金钱腱（LB）</t>
  </si>
  <si>
    <t>银耳（LB）</t>
  </si>
  <si>
    <t>锅巴（旭源，20G*230包/件）</t>
  </si>
  <si>
    <t>白色勺子架</t>
  </si>
  <si>
    <t>镇江香醋（恒顺，2L*6桶/件）</t>
  </si>
  <si>
    <t>雪碧（355ML*12听/箱）</t>
  </si>
  <si>
    <t>雪碧（355ML*20听/箱）</t>
  </si>
  <si>
    <t>磨砂长方盘（10个*3盒/箱）</t>
  </si>
  <si>
    <t>青口贝（800G*12盒/件）</t>
  </si>
  <si>
    <t>青岛啤酒（330ML*24瓶/件）</t>
  </si>
  <si>
    <t>青彩椒（LB）</t>
  </si>
  <si>
    <t>青柠檬（175颗/箱）</t>
  </si>
  <si>
    <t>青笋/莴笋（10KG/箱）</t>
  </si>
  <si>
    <t>青葱（48把/箱）</t>
  </si>
  <si>
    <t>韩国烧酒优酸乳味（CHUM CHURUM，360ML/瓶）</t>
  </si>
  <si>
    <t>盤錯</t>
  </si>
  <si>
    <t>韩国辣椒粉（1LB/包）</t>
  </si>
  <si>
    <t>韩国辣酱（红盒，2.8KG*4盒/箱）</t>
  </si>
  <si>
    <t>韭花酱（王致和，320G*24瓶/件）</t>
  </si>
  <si>
    <t>韭菜花（六必居，300G*20瓶/件）</t>
  </si>
  <si>
    <t>韭菜鸡蛋水饺（思念，500G*20包/箱）</t>
  </si>
  <si>
    <t>风味豆豉（老干妈，280G*24瓶/箱）</t>
  </si>
  <si>
    <t>风车生粉（50LB/箱）</t>
  </si>
  <si>
    <t>食用碱面（灵鹿， 200G*50包/箱）</t>
  </si>
  <si>
    <t>食盐（加拿大，20 KG/包）</t>
  </si>
  <si>
    <t>绽蕊小盘（密胺，48个/件）</t>
  </si>
  <si>
    <t>饮料瓶子回收费（箱）</t>
  </si>
  <si>
    <t>饮料瓶子押金（瓶）</t>
  </si>
  <si>
    <t>馒头（400G*7袋/箱）</t>
  </si>
  <si>
    <t>香叶（LB）</t>
  </si>
  <si>
    <t>香肠（台湾味，1.5KG*8包/箱）</t>
  </si>
  <si>
    <t>香茅碎（227G*30包/箱）</t>
  </si>
  <si>
    <t>香草冰激凌（115ML*24盒/箱）</t>
  </si>
  <si>
    <t>香菇/鲜冬菇/花菇（L，11LB/箱）</t>
  </si>
  <si>
    <t>香菇素菜包（全美，360G*24包/箱）</t>
  </si>
  <si>
    <t>香菜/芫茜（60把/箱）</t>
  </si>
  <si>
    <t>香辣蘸料（翠宏，400G*25包/件）—BJXH</t>
  </si>
  <si>
    <t>香辣酱（美乐，1KG*12瓶/件）</t>
  </si>
  <si>
    <t>魔法棒玩具（加拿大，3岁及以上，六芒星、贝壳两款混装，50个/箱）</t>
  </si>
  <si>
    <t>魔芋丝（250G*20包/箱）</t>
  </si>
  <si>
    <t>鱼腐（LB）</t>
  </si>
  <si>
    <t>鱼豆腐（227G*40包/件）-BJZT</t>
  </si>
  <si>
    <t>鱼豆腐（华生，2.5KG*4包/箱）</t>
  </si>
  <si>
    <t>鱿鱼标（700ML*12瓶/箱）</t>
  </si>
  <si>
    <t>鱿鱼花（280G*12包/箱）</t>
  </si>
  <si>
    <t>鱿鱼须（300G*30包/箱）</t>
  </si>
  <si>
    <t>鲜冬菇（5LB/箱）</t>
  </si>
  <si>
    <t>鲜淮山药（10KG/箱）</t>
  </si>
  <si>
    <t>鲜腐竹（LB）</t>
  </si>
  <si>
    <t>鲜虾抄手（45个/包）</t>
  </si>
  <si>
    <t>鲜虾福袋（1KG*10包/箱）</t>
  </si>
  <si>
    <t>鳕鱼小酥肉（鲜美来，252G*20包/箱）</t>
  </si>
  <si>
    <t>鸡汁（410G*12瓶/箱）</t>
  </si>
  <si>
    <t>鸡粉调味料（李锦记，1KG*12桶/件）</t>
  </si>
  <si>
    <t>鸡精（李锦记，2.5KG*4包/件）</t>
  </si>
  <si>
    <t>鸡翅中（LB）</t>
  </si>
  <si>
    <t>鸡肉丸（LB）</t>
  </si>
  <si>
    <t>鸡蛋清（500G*4盒/组）</t>
  </si>
  <si>
    <t>鸭屎香专用茶（300G/包）</t>
  </si>
  <si>
    <t>鹌鹑蛋（850G*12桶/箱）</t>
  </si>
  <si>
    <t>麻将（龙年礼品）</t>
  </si>
  <si>
    <t>麻薯（2.5KG*4包/箱）</t>
  </si>
  <si>
    <t>麻薯（454G*20包/箱）</t>
  </si>
  <si>
    <t>黄灯笼辣酱（6KG*2桶/箱）</t>
  </si>
  <si>
    <t>黄豆（LB）</t>
  </si>
  <si>
    <t>黄龙火锅宽粉（240G*50包/箱）</t>
  </si>
  <si>
    <t>黑松露橄榄油（250ML*12瓶/箱）</t>
  </si>
  <si>
    <t>黑毛肚（LB）</t>
  </si>
  <si>
    <t>黑猪肉（LB）</t>
  </si>
  <si>
    <t>黑胡椒碎（细，5LB/包）</t>
  </si>
  <si>
    <t>螺纹款发圈（100条/包，黑色）</t>
  </si>
  <si>
    <t>豆花箱（YGC-03）</t>
  </si>
  <si>
    <t>锦箨小盘（密胺，80个/件）</t>
  </si>
  <si>
    <t>黑鱼片（1KG*10包/箱）</t>
  </si>
  <si>
    <t>龙口粉丝（250G*60包/箱）</t>
  </si>
  <si>
    <t>龙舌兰酒（750ML/瓶）</t>
  </si>
  <si>
    <t>龙虾（LB）</t>
  </si>
  <si>
    <t>值</t>
  </si>
  <si>
    <t>物料</t>
  </si>
  <si>
    <t>求和项:单价1</t>
  </si>
  <si>
    <t>求和项:系统发出金额</t>
  </si>
  <si>
    <t>(空白)</t>
  </si>
  <si>
    <t>总计</t>
  </si>
  <si>
    <t>开始日期</t>
  </si>
  <si>
    <t>结束日期</t>
  </si>
  <si>
    <t>工厂</t>
  </si>
  <si>
    <t>工厂描述</t>
  </si>
  <si>
    <t>物料描述</t>
  </si>
  <si>
    <t>Bun</t>
  </si>
  <si>
    <t>大类</t>
  </si>
  <si>
    <t>系统发出单价</t>
  </si>
  <si>
    <t>数量</t>
  </si>
  <si>
    <t>系统发出金额</t>
  </si>
  <si>
    <t>物料分类</t>
  </si>
  <si>
    <t>物料分类描述</t>
  </si>
  <si>
    <t>CA07</t>
  </si>
  <si>
    <t>加拿大七店</t>
  </si>
  <si>
    <t>成本类</t>
  </si>
  <si>
    <t>成本-其他类</t>
  </si>
  <si>
    <t>1</t>
  </si>
  <si>
    <t>成本-小料台类</t>
  </si>
  <si>
    <t/>
  </si>
  <si>
    <t>成本-荤菜类</t>
  </si>
  <si>
    <t>Z02</t>
  </si>
  <si>
    <t>成本-锅底类</t>
  </si>
  <si>
    <t>服务费-其他类</t>
  </si>
  <si>
    <t>成本-酒水类</t>
  </si>
  <si>
    <t>磅-美</t>
  </si>
  <si>
    <t>费用类</t>
  </si>
  <si>
    <t>成本-小吃类</t>
  </si>
  <si>
    <t>240911更新</t>
  </si>
  <si>
    <t>带皮带骨鸡腿（冻）</t>
  </si>
  <si>
    <t>猪排骨（员工餐， LB）</t>
  </si>
  <si>
    <t>2</t>
  </si>
  <si>
    <t>员工餐</t>
  </si>
  <si>
    <t>服务费-小吃类</t>
  </si>
  <si>
    <t>成本-素菜类</t>
  </si>
  <si>
    <t>乌冬面（六福，200G*30包/箱）</t>
  </si>
  <si>
    <t>Z04</t>
  </si>
  <si>
    <t>Z15</t>
  </si>
  <si>
    <t>物料消耗-其他类</t>
  </si>
  <si>
    <t>鲜冬菇（LB）</t>
  </si>
  <si>
    <t>圆白菜/高丽菜（LB）</t>
  </si>
  <si>
    <t>服务费-水果类</t>
  </si>
  <si>
    <t>苹果（40LB/箱）</t>
  </si>
  <si>
    <t>茄子（30LB/箱）</t>
  </si>
  <si>
    <t>青瓜（箱）</t>
  </si>
  <si>
    <t>面粉（20KG/包）</t>
  </si>
  <si>
    <t>万字酱油（18.9L/桶）</t>
  </si>
  <si>
    <t>Z11</t>
  </si>
  <si>
    <t>物料消耗-清洁类</t>
  </si>
  <si>
    <t>物料消耗</t>
  </si>
  <si>
    <t>清洁类</t>
  </si>
  <si>
    <t>咖色单张擦手纸（4000张/箱）</t>
  </si>
  <si>
    <t>Z13</t>
  </si>
  <si>
    <t>物料消耗-纸巾类</t>
  </si>
  <si>
    <t>纸巾类</t>
  </si>
  <si>
    <t>餐具类</t>
  </si>
  <si>
    <t>其他类</t>
  </si>
  <si>
    <t>蘸料盖（1.5 OZ ，2500个/箱）</t>
  </si>
  <si>
    <t>漂白剂（4L*4桶/箱）</t>
  </si>
  <si>
    <t>烧烤盘 （A9-668-3，30个/箱）</t>
  </si>
  <si>
    <t>Z12</t>
  </si>
  <si>
    <t>物料消耗-餐具类</t>
  </si>
  <si>
    <t>2月新增</t>
  </si>
  <si>
    <t>寿司米（平和，40LB/袋）</t>
  </si>
  <si>
    <t>消毒水（4L*4桶/箱）</t>
  </si>
  <si>
    <t>粤香园头抽（50LB/桶）</t>
  </si>
  <si>
    <t>花菜（LB）</t>
  </si>
  <si>
    <t>牛角椒 （LB）</t>
  </si>
  <si>
    <t>刀切小馒头（800G*10包/箱）</t>
  </si>
  <si>
    <t>草莓芝士味雪人儿糕点_美国内销_45G*120个/件</t>
  </si>
  <si>
    <t>EA</t>
  </si>
  <si>
    <t>喷雾瓶喷头（安利）</t>
  </si>
  <si>
    <t>Z20</t>
  </si>
  <si>
    <t>劳动保护费</t>
  </si>
  <si>
    <t>服装费</t>
  </si>
  <si>
    <t>Z09</t>
  </si>
  <si>
    <t>服务费-凉菜类</t>
  </si>
  <si>
    <t>圆形透亮钢化杯（48只/件）</t>
  </si>
  <si>
    <t>6月新增</t>
  </si>
  <si>
    <t>雪碧（355ML*24瓶/箱）</t>
  </si>
  <si>
    <t>猪大肠 （LB）</t>
  </si>
  <si>
    <t>猪里脊肉（LB）</t>
  </si>
  <si>
    <t>南瓜（40LB/箱）</t>
  </si>
  <si>
    <t>黄油（铁锚，454G/盒）</t>
  </si>
  <si>
    <t>羊肉卷（KG）</t>
  </si>
  <si>
    <t>脆皖鱼（3FISH，250G*20包/箱）</t>
  </si>
  <si>
    <t>奶油（400G*12瓶/箱）</t>
  </si>
  <si>
    <t>服务费</t>
  </si>
  <si>
    <t>热敏纸（2.25*60MM，50卷/箱）</t>
  </si>
  <si>
    <t>Z22</t>
  </si>
  <si>
    <t>办公用品</t>
  </si>
  <si>
    <t>甘蓝菜猪肉包（510G*14包/箱）</t>
  </si>
  <si>
    <t>绍菜（10KG/箱）</t>
  </si>
  <si>
    <t>圣女果（684G*6盒/箱）</t>
  </si>
  <si>
    <t>奶油味爆米花（3.8KG/箱）</t>
  </si>
  <si>
    <t>青柠檬（115颗/箱）</t>
  </si>
  <si>
    <t>糯米鸡（201G*24包/箱）</t>
  </si>
  <si>
    <t>2311新增</t>
  </si>
  <si>
    <t>泡泡豆干（500G*20包/箱）</t>
  </si>
  <si>
    <t>2312新增</t>
  </si>
  <si>
    <t>红石榴糖浆（2.5KG/瓶）</t>
  </si>
  <si>
    <t>2402新增</t>
  </si>
  <si>
    <t>2405新增</t>
  </si>
  <si>
    <t>薯条（盐焗味，5KG/件）</t>
  </si>
  <si>
    <t>2408新增</t>
  </si>
  <si>
    <t>胡萝卜（LB）</t>
  </si>
  <si>
    <t>黑色垃圾袋（大，35*50CM，100个/箱）</t>
  </si>
  <si>
    <t>伏特加（1.14L/瓶）</t>
  </si>
  <si>
    <t>奶酪鱼条（千味，500G*12盒/箱）</t>
  </si>
  <si>
    <t>金酒（歌顿，1.14ML/瓶）</t>
  </si>
  <si>
    <t>砂糖桔（9KG/箱）</t>
  </si>
  <si>
    <t>圣女果（LB）</t>
  </si>
  <si>
    <t>红豆（25KG/袋）</t>
  </si>
  <si>
    <t>7月新增</t>
  </si>
  <si>
    <t>鸡粉（家乐，1KG*12桶/件）</t>
  </si>
  <si>
    <t>经典黑芝麻汤圆（思念，320G*18包/件）</t>
  </si>
  <si>
    <t>黑糖糖浆（欧本，2.5KG*6瓶/件）</t>
  </si>
  <si>
    <t>发圈（黑色，200个/包）</t>
  </si>
  <si>
    <t>服务费-玩具类</t>
  </si>
  <si>
    <t>拾盒垫纸（船盒，小号，50个*12包/箱）</t>
  </si>
  <si>
    <t>华容道拼图玩具（加拿大，3岁及以上，两色混装，50个/件）</t>
  </si>
  <si>
    <t>螺旋棒玩具（加拿大，3岁及以上，50个/箱）</t>
  </si>
  <si>
    <t>成本-新零售</t>
  </si>
  <si>
    <t>320折叠箱（5个/箱）</t>
  </si>
  <si>
    <t>320毛绒蛋糕（30个/箱）</t>
  </si>
  <si>
    <t>320冰箱贴收纳摆件（10个/箱）</t>
  </si>
  <si>
    <t>ValA</t>
  </si>
  <si>
    <t>期初库存</t>
  </si>
  <si>
    <t>总收货数量</t>
  </si>
  <si>
    <t>总发货数量</t>
  </si>
  <si>
    <t>期末库存</t>
  </si>
  <si>
    <t>计</t>
  </si>
  <si>
    <t>期初金额</t>
  </si>
  <si>
    <t>总收货金额</t>
  </si>
  <si>
    <t>总发货金额</t>
  </si>
  <si>
    <t>期末金额</t>
  </si>
  <si>
    <t>货币</t>
  </si>
  <si>
    <t>2025.05.01</t>
  </si>
  <si>
    <t>2025.05.31</t>
  </si>
  <si>
    <t>CAD</t>
  </si>
  <si>
    <t>甜面酱（散装，4KG*4包/件）</t>
  </si>
  <si>
    <t>特级头抽（500ML*12瓶/件）</t>
  </si>
  <si>
    <t>墨鱼仔（越南，12KG/件）</t>
  </si>
  <si>
    <t>辣椒酱（辣妹子，248G*24瓶/件）</t>
  </si>
  <si>
    <t>菌粉TLTF-19（10KG*2包/件）</t>
  </si>
  <si>
    <t>带皮猪五花肉（冻，加拿大）</t>
  </si>
  <si>
    <t>银耳（500G/包）</t>
  </si>
  <si>
    <t>金标生抽（海天，1.75L*6桶/件）</t>
  </si>
  <si>
    <t>金针菇（200G*30袋/件）</t>
  </si>
  <si>
    <t>鲜青花椒（炊夫，400G*50包/件）</t>
  </si>
  <si>
    <t>牛头牌沙茶酱（737G*12瓶/件）</t>
  </si>
  <si>
    <t>西冷牛肉（带肥）</t>
  </si>
  <si>
    <t>牛仔骨肉（去骨）</t>
  </si>
  <si>
    <t>走地鸡（冻）</t>
  </si>
  <si>
    <t>走地鸡（鲜）</t>
  </si>
  <si>
    <t>鸭血（华生，300G*16盒/箱）</t>
  </si>
  <si>
    <t>滑嫩血豆腐（300G*20盒/箱）</t>
  </si>
  <si>
    <t>鸡翅中（冻）</t>
  </si>
  <si>
    <t>白虾仁（40-60，4LB*6包/箱 ）</t>
  </si>
  <si>
    <t>虎虾仁（60-80， LB）</t>
  </si>
  <si>
    <t>虎虾仁（31-40 ，LB）</t>
  </si>
  <si>
    <t>冷冻巴沙鱼（14-16 ，10KG/箱）</t>
  </si>
  <si>
    <t>墨鱼筒（LB, U1 , 10KG/箱 ）</t>
  </si>
  <si>
    <t>加拿大桂花蚌（2LB*20包/箱）</t>
  </si>
  <si>
    <t>扇贝柱（10-20， 5LB*4包/箱）</t>
  </si>
  <si>
    <t>生蚝（8 OZ*20包/箱）</t>
  </si>
  <si>
    <t>田鸡腿（340G*20包/箱）</t>
  </si>
  <si>
    <t>墨鱼仔（20-40，10KG/箱）</t>
  </si>
  <si>
    <t>芝士年糕条（500G*20包/箱）</t>
  </si>
  <si>
    <t xml:space="preserve"> 小白馒头（800G*12包/箱）</t>
  </si>
  <si>
    <t>油条（油炸鬼，255G*17包/箱）</t>
  </si>
  <si>
    <t>冷冻油条（百味家，90G*20包/箱）</t>
  </si>
  <si>
    <t>糍粑（10LB*6包/箱）</t>
  </si>
  <si>
    <t>芝麻烧饼（400G*20包/箱）</t>
  </si>
  <si>
    <t>阳春面（454G/包）</t>
  </si>
  <si>
    <t>海带丝（454G*24包/箱）</t>
  </si>
  <si>
    <t>豆腐丝（丰业，KG）</t>
  </si>
  <si>
    <t>毛豆荚（六福，400G*20包/件）</t>
  </si>
  <si>
    <t>小圆子（华生，300G*32包/箱）</t>
  </si>
  <si>
    <t>蟹籽鱼包蛋（华生，2.5KG*4包/箱）</t>
  </si>
  <si>
    <t>Z29</t>
  </si>
  <si>
    <t>豆腐（30块/桶）</t>
  </si>
  <si>
    <t>豆干（LB）</t>
  </si>
  <si>
    <t>兰花（鲜，6支/把）</t>
  </si>
  <si>
    <t>苏子叶（20片*20包/袋）</t>
  </si>
  <si>
    <t>红萝卜（10KG/箱）</t>
  </si>
  <si>
    <t>红彩椒（11LB/箱）</t>
  </si>
  <si>
    <t>青彩椒（25LB/箱）</t>
  </si>
  <si>
    <t>番茄（LB）</t>
  </si>
  <si>
    <t>蠔菇（5LB/箱）</t>
  </si>
  <si>
    <t>莲菜（20KG/箱）</t>
  </si>
  <si>
    <t>青笋（40LB/箱）</t>
  </si>
  <si>
    <t>绍菜（LB）</t>
  </si>
  <si>
    <t>西洋菜（LB）</t>
  </si>
  <si>
    <t>西洋菜（24颗/箱）</t>
  </si>
  <si>
    <t>油麦菜（LB）</t>
  </si>
  <si>
    <t>油麦菜（25LB/箱）</t>
  </si>
  <si>
    <t>圆白菜/高丽菜（18KG/箱）</t>
  </si>
  <si>
    <t>朝天椒（10KG/箱）</t>
  </si>
  <si>
    <t>香瓜（12个/箱）</t>
  </si>
  <si>
    <t>提子（18LB/箱）</t>
  </si>
  <si>
    <t>白色鸡蛋（30颗*6板/箱）</t>
  </si>
  <si>
    <t>水晶梨（LB）</t>
  </si>
  <si>
    <t>哈蜜瓜（3-6个/箱）</t>
  </si>
  <si>
    <t>红心番薯（LB）</t>
  </si>
  <si>
    <t>巧克力糖（1.5KG/包）</t>
  </si>
  <si>
    <t>薄荷糖（1.8KG/包）</t>
  </si>
  <si>
    <t>番石榴糖（350G*24包/箱）</t>
  </si>
  <si>
    <t>玉米粒（1KG/包）</t>
  </si>
  <si>
    <t>蛋清（500G*4盒/包）</t>
  </si>
  <si>
    <t>芝士（100G/包）</t>
  </si>
  <si>
    <t xml:space="preserve"> CITAVO 咖啡（64G*21盒/箱）</t>
  </si>
  <si>
    <t>鲜奶（4L/桶）</t>
  </si>
  <si>
    <t>剑署宽粉（140G*80袋/箱）</t>
  </si>
  <si>
    <t>雪丽球（劲达，500G*20包/箱）</t>
  </si>
  <si>
    <t>山楂饼（劲达，160G*30包/箱）</t>
  </si>
  <si>
    <t>小麻花（112G*30包/箱）</t>
  </si>
  <si>
    <t>蟹黄青豌豆（甘源，285G*20包/箱）</t>
  </si>
  <si>
    <t>恰恰瓜子（原味，260G*20包/箱）</t>
  </si>
  <si>
    <t>大米（客餐）（40LB/包）</t>
  </si>
  <si>
    <t>黑米（2LB*10包/箱）</t>
  </si>
  <si>
    <t>冰糖（400G*50包/箱）</t>
  </si>
  <si>
    <t>特级芝麻油（金厨，5KG*4桶/箱）</t>
  </si>
  <si>
    <t>良姜（LB）</t>
  </si>
  <si>
    <t>三奈（山奈）（LB）</t>
  </si>
  <si>
    <t>干辣椒段（1KG*10包/箱）</t>
  </si>
  <si>
    <t>肉豆蔻（LB）</t>
  </si>
  <si>
    <t>茶树菇（LB）</t>
  </si>
  <si>
    <t>去皮生白芝麻（LB）</t>
  </si>
  <si>
    <t>海带结（40G*30包/箱）</t>
  </si>
  <si>
    <t>水晶粉丝（华生，400G*20包/箱）</t>
  </si>
  <si>
    <t>响铃卷（华生，168G*15盒/箱）</t>
  </si>
  <si>
    <t>响铃卷（粮膳其味， 168G*16盒/箱）</t>
  </si>
  <si>
    <t>油面筋泡（50G*50包/箱）</t>
  </si>
  <si>
    <t>芝麻酱（4KG*2桶/箱）</t>
  </si>
  <si>
    <t>韭花酱（六必居 1KG*12瓶/箱）</t>
  </si>
  <si>
    <t>镇江香醋（恒顺，550ML*24瓶/箱）</t>
  </si>
  <si>
    <t>陈醋（东湖 420ML*12瓶/箱）</t>
  </si>
  <si>
    <t>白醋（4L*4桶/箱）</t>
  </si>
  <si>
    <t>黄豆粉（142G*20包/箱）</t>
  </si>
  <si>
    <t>鸡精（太太乐，1KG*12瓶/箱）</t>
  </si>
  <si>
    <t>番茄汁（3180G*6桶/箱）</t>
  </si>
  <si>
    <t>牛肉粉（家乐，150G*24罐/箱）</t>
  </si>
  <si>
    <t>雪碱水（1.92L*6桶/箱）</t>
  </si>
  <si>
    <t>四川泡酸菜（25KG/桶）</t>
  </si>
  <si>
    <t>野山椒（2KG*6包/桶）</t>
  </si>
  <si>
    <t>榨菜丝（梅林，340G*48罐/箱）</t>
  </si>
  <si>
    <t>竹笙（300G*40包/箱）</t>
  </si>
  <si>
    <t>豆豉（阳江牌，500G*40包/箱）</t>
  </si>
  <si>
    <t>骨汤（1.8L*6桶/箱）</t>
  </si>
  <si>
    <t>果糖（25KG/桶）</t>
  </si>
  <si>
    <t>蜜桃汁 （490ML*24瓶/箱）</t>
  </si>
  <si>
    <t>冬瓜茶（ 490ML*24瓶/箱）</t>
  </si>
  <si>
    <t>丝袜奶茶（兰芳园，280ML*15瓶/箱）</t>
  </si>
  <si>
    <t>柠檬茶（341ML*24听/箱）</t>
  </si>
  <si>
    <t>姜汁汽水（355ML*24听/箱）</t>
  </si>
  <si>
    <t>MH红酒（750ML/瓶）</t>
  </si>
  <si>
    <t>LL白葡萄酒（750ML/瓶）</t>
  </si>
  <si>
    <t>加拿大人啤酒（341ML*18瓶/箱）</t>
  </si>
  <si>
    <t>精酿 DUSK PALE ALE（30L/桶）</t>
  </si>
  <si>
    <t>攋祭（300ML/瓶）</t>
  </si>
  <si>
    <t>月桂冠（750ML/瓶）</t>
  </si>
  <si>
    <t>漂白剂（3.6L*4桶/箱）</t>
  </si>
  <si>
    <t>厨余垃圾袋（ 90个/箱  ）</t>
  </si>
  <si>
    <t>厨余垃圾袋（ 35MM*50.85MM 200个/箱） ）</t>
  </si>
  <si>
    <t>蓝色丁睛手套M（100只*10盒/箱）</t>
  </si>
  <si>
    <t>蓝色丁睛手套L（100只*10盒/箱）</t>
  </si>
  <si>
    <t>虎虾仁（41-50，LB）</t>
  </si>
  <si>
    <t>腌制海带丝（454G*24包/箱）</t>
  </si>
  <si>
    <t>厕坐便纸（250张*20盒/箱）</t>
  </si>
  <si>
    <t>热敏纸（2.25MM*60MM，100卷/箱）</t>
  </si>
  <si>
    <t>热敏纸（3.125MM*220MM，50卷/箱）</t>
  </si>
  <si>
    <t>一次性消毒纸巾（1000张/箱）</t>
  </si>
  <si>
    <t>吸管（500根/包）</t>
  </si>
  <si>
    <t>蘸料盒（1.5 OZ， 100个/箱）</t>
  </si>
  <si>
    <t>蘸料盖（1.5 OZ ，100个/箱）</t>
  </si>
  <si>
    <t>方形环保打包盒（26 OZ， 450个/箱）</t>
  </si>
  <si>
    <t>环保打包饮料杯（20 OZ ， 1000个/箱）</t>
  </si>
  <si>
    <t>环保打包饮料盖（20 OZ ， 1000个/箱）</t>
  </si>
  <si>
    <t>环保打包汤桶（32 OZ，  250套/箱）</t>
  </si>
  <si>
    <t>纸杯（8 OZ， 1000个/箱）</t>
  </si>
  <si>
    <t>4 OZ一次性纸杯（ 卫生间用，1000个/箱）</t>
  </si>
  <si>
    <t>卷袋（10.5MM*15MM ， 4卷/箱）</t>
  </si>
  <si>
    <t>一次性刀（1000个/箱）</t>
  </si>
  <si>
    <t>白色三明治袋（1000个/箱）</t>
  </si>
  <si>
    <t>护手霜（600ML*2瓶/袋）</t>
  </si>
  <si>
    <t>鲜肉包（20个/袋）</t>
  </si>
  <si>
    <t>豆沙包（20个/袋）</t>
  </si>
  <si>
    <t>番茄底料（海底捞，200G*34包/箱）</t>
  </si>
  <si>
    <t>酸菜鱼底料（海底捞，360G*24包/箱）</t>
  </si>
  <si>
    <t>猪油（LB）</t>
  </si>
  <si>
    <t>厕所卷纸（30卷/提）</t>
  </si>
  <si>
    <t>牛油（LB）</t>
  </si>
  <si>
    <t>甜玉米（根）</t>
  </si>
  <si>
    <t>青笋/莴笋（LB）</t>
  </si>
  <si>
    <t>蒿子秆/茼蒿（LB）</t>
  </si>
  <si>
    <t>油条（3.5LB*2包/箱）</t>
  </si>
  <si>
    <t>鸭舌 （带须，LB）</t>
  </si>
  <si>
    <t>雪蟹腿（8-10 ，LB）</t>
  </si>
  <si>
    <t>清淡啤酒 THREE KINGDOMS（30L/桶）</t>
  </si>
  <si>
    <t>环保打包饮料杯（20 OZ ，600个/箱）</t>
  </si>
  <si>
    <t>纸杯盖（8 OZ， 1000个/箱）</t>
  </si>
  <si>
    <t>黄瓜条（去肥，KG）</t>
  </si>
  <si>
    <t>美国和牛（KG）</t>
  </si>
  <si>
    <t>花生油（狮球， 2L*6瓶/箱）</t>
  </si>
  <si>
    <t>韭菜花（六必居，1KG*12瓶/件）</t>
  </si>
  <si>
    <t>翠宏辣椒蘸酱（2.5KG*8瓶/箱）</t>
  </si>
  <si>
    <t>四川泡酸菜（2KG*6包/箱）</t>
  </si>
  <si>
    <t>紫菜（百味家，80G*24包/箱）</t>
  </si>
  <si>
    <t>冻豆腐（LB）</t>
  </si>
  <si>
    <t>特级龙口粉丝（万塔，250G*100包/箱）</t>
  </si>
  <si>
    <t>腐竹（圆支，300G*40包/箱）</t>
  </si>
  <si>
    <t>海带结（华生，454G*20包/箱）</t>
  </si>
  <si>
    <t>红米（LB）</t>
  </si>
  <si>
    <t>番石榴夹心糖（宏源，350G*30包/箱）</t>
  </si>
  <si>
    <t>甜玉米（24根/箱）</t>
  </si>
  <si>
    <t>西瓜（6个/箱）</t>
  </si>
  <si>
    <t>芋泥包（20个/袋）</t>
  </si>
  <si>
    <t>鲜奶小馒头（200个/箱）</t>
  </si>
  <si>
    <t>韭菜（LB）</t>
  </si>
  <si>
    <t>沙爆鱼肚（1.33LB/包）</t>
  </si>
  <si>
    <t>斯拉差酱（740ML*12瓶/箱）</t>
  </si>
  <si>
    <t>冷冻面包糠裹虾（21-25，10个*20板/箱）</t>
  </si>
  <si>
    <t>山楂（LB）</t>
  </si>
  <si>
    <t>印度咖喱粉（红桶，3LB/桶）</t>
  </si>
  <si>
    <t>马来咖喱粉（绿袋，1KG/包）</t>
  </si>
  <si>
    <t>有心咖喱膏（黄，500G/包）</t>
  </si>
  <si>
    <t>猪骨风味高汤（15KG/桶）</t>
  </si>
  <si>
    <t>糖蒜（1KG/桶）</t>
  </si>
  <si>
    <t>蟹钳（1KG*12包/箱）</t>
  </si>
  <si>
    <t>甘草片（LB）</t>
  </si>
  <si>
    <t>特大乌梅（LB）</t>
  </si>
  <si>
    <t>南瓜（LB）</t>
  </si>
  <si>
    <t>雪耳（LB）</t>
  </si>
  <si>
    <t>麻辣花生（2KG*5包/箱）</t>
  </si>
  <si>
    <t>芝麻酱（百味佳，4KG*4桶/箱）</t>
  </si>
  <si>
    <t>镇江香醋（金梅，3.79L*4瓶/箱）</t>
  </si>
  <si>
    <t>陈皮 （LB）</t>
  </si>
  <si>
    <t>金银花（LB）</t>
  </si>
  <si>
    <t>海带结（华生，454G*24包/箱）</t>
  </si>
  <si>
    <t>红豆（嘉裕，LB）</t>
  </si>
  <si>
    <t>泡长椒（盈棚，2KG*6袋/箱）</t>
  </si>
  <si>
    <t>牛排骨（LB）</t>
  </si>
  <si>
    <t>鱼子福袋（3KG*4包/箱）</t>
  </si>
  <si>
    <t>羊脑（7.5KG/箱）</t>
  </si>
  <si>
    <t>冰片糖（南字牌，454G*50包/件）</t>
  </si>
  <si>
    <t>牛腱子肉（LB）</t>
  </si>
  <si>
    <t>琵琶腿（LB）</t>
  </si>
  <si>
    <t>带骨鸡爪（LB）</t>
  </si>
  <si>
    <t>熟黑芝麻（1KG*12包/箱）</t>
  </si>
  <si>
    <t>朝天椒（10LB/箱）</t>
  </si>
  <si>
    <t>海盐（42LB/包）</t>
  </si>
  <si>
    <t>猪扒肉（LB）</t>
  </si>
  <si>
    <t>海鲜菇（LB）</t>
  </si>
  <si>
    <t>海鲜菇（6KG/箱）</t>
  </si>
  <si>
    <t>芝士块（60G*100包/箱）</t>
  </si>
  <si>
    <t>圆白菜/高丽菜（40LB/箱）</t>
  </si>
  <si>
    <t>香米（40LB/袋）</t>
  </si>
  <si>
    <t>干辣椒段（LB）</t>
  </si>
  <si>
    <t>海带结（15KG/箱）</t>
  </si>
  <si>
    <t>响铃卷（200G*30盒/箱）</t>
  </si>
  <si>
    <t>韭菜花（王致和，320G*20瓶/件）</t>
  </si>
  <si>
    <t>花雕酒（3.785L*4桶/箱）</t>
  </si>
  <si>
    <t>乌江榨菜丝（800G*10包/箱）</t>
  </si>
  <si>
    <t>黑米（2KG/袋）</t>
  </si>
  <si>
    <t>红糖（350G*30包/箱）</t>
  </si>
  <si>
    <t>梅花猪肉（KG）</t>
  </si>
  <si>
    <t>带皮去骨鸡腿肉（KG）</t>
  </si>
  <si>
    <t>鲜虾猪肉烧卖（1.75KG*5包/箱）</t>
  </si>
  <si>
    <t>带皮五花肉（LB）</t>
  </si>
  <si>
    <t>油菜（30LB/箱）</t>
  </si>
  <si>
    <t>炸鸡块（4KG/箱）</t>
  </si>
  <si>
    <t>豆腐泡（LB）</t>
  </si>
  <si>
    <t>黑松露橄榄油（250G/瓶）</t>
  </si>
  <si>
    <t>荔枝粉（1KG/袋）</t>
  </si>
  <si>
    <t>虎虾仁（40-60，LB）</t>
  </si>
  <si>
    <t>鱼腐（KG）</t>
  </si>
  <si>
    <t>韩国牛肉粉（1KG*10包/箱）</t>
  </si>
  <si>
    <t>大叻沙（田师傅，200G*12包*4盒/箱）</t>
  </si>
  <si>
    <t>黄瓜条（带肥，KG）</t>
  </si>
  <si>
    <t>上海青（LB）</t>
  </si>
  <si>
    <t>鱼籽（冻，500G/盒）</t>
  </si>
  <si>
    <t>薄荷叶（把）</t>
  </si>
  <si>
    <t>猪里脊（员工餐）</t>
  </si>
  <si>
    <t>野生红海参（LB）</t>
  </si>
  <si>
    <t>鱿鱼花（300G*30包/箱）</t>
  </si>
  <si>
    <t>去骨鸭掌（LB）</t>
  </si>
  <si>
    <t>白吉馍（650G*15包/箱）</t>
  </si>
  <si>
    <t>冷冻鲍鱼（5个*20盒/箱）</t>
  </si>
  <si>
    <t>冷冻带鱼段（1KG/箱）</t>
  </si>
  <si>
    <t>脆皖鱼（300G/包）</t>
  </si>
  <si>
    <t>豆腐丝（LB）</t>
  </si>
  <si>
    <t>猪耳朵（LB）</t>
  </si>
  <si>
    <t>鸭脖（LB）</t>
  </si>
  <si>
    <t>长青瓜（条）</t>
  </si>
  <si>
    <t>莲藕（30LB/箱）</t>
  </si>
  <si>
    <t>蜀味脆皮肠（LB）</t>
  </si>
  <si>
    <t>鱼子福袋（350G*20包/箱）</t>
  </si>
  <si>
    <t>鱿鱼花（300G*20包/箱）</t>
  </si>
  <si>
    <t>羊肉卷 （KG）</t>
  </si>
  <si>
    <t>羊脑（LB）</t>
  </si>
  <si>
    <t>白虾仁（40-60，1KG*10包/箱）</t>
  </si>
  <si>
    <t>小米辣（盈棚，1KG*8瓶/箱）</t>
  </si>
  <si>
    <t>泰国香米（8KG/包）</t>
  </si>
  <si>
    <t>白虾仁（41-50，4LB*10包/箱）</t>
  </si>
  <si>
    <t>鸡肉卷（LB）</t>
  </si>
  <si>
    <t>黄桃罐头（2.84L*6罐/箱）</t>
  </si>
  <si>
    <t>带头老虎虾（8-12，4LB*6盒/箱）</t>
  </si>
  <si>
    <t>黑魚片（1KG*12包/箱）</t>
  </si>
  <si>
    <t>拉长玉米虾（500G*16盒/箱）</t>
  </si>
  <si>
    <t>红油榨菜丝（鱼泉，500G*20包/箱）</t>
  </si>
  <si>
    <t>黑糖（900G*12包/箱）</t>
  </si>
  <si>
    <t>豆花粉（500G/罐）</t>
  </si>
  <si>
    <t>无核红枣（150G*60包/箱）</t>
  </si>
  <si>
    <t>蜜汁红豆（云翔，3.4KG*6桶/箱）</t>
  </si>
  <si>
    <t>泰国茉莉香米（皇族，8KG/袋）</t>
  </si>
  <si>
    <t>寿司米（和平，15LB/袋）</t>
  </si>
  <si>
    <t>圆糯米（40LB/包）</t>
  </si>
  <si>
    <t>青椒（LB）</t>
  </si>
  <si>
    <t>蒜蓉葱花酱（2KG/包）</t>
  </si>
  <si>
    <t>虾滑（2KG/包）</t>
  </si>
  <si>
    <t>清油底料300G（300G*36包/件，加拿大内用）</t>
  </si>
  <si>
    <t>无渣清油火锅底料（300G*36包/件，加拿大内用）</t>
  </si>
  <si>
    <t>清油加麻料包100G（100G*90包/件，加拿大内用）</t>
  </si>
  <si>
    <t>清油加辣料包100G（100G*90包/件，加拿大内用）</t>
  </si>
  <si>
    <t>燕麦青椒拌饭 （142G*12盒/件）</t>
  </si>
  <si>
    <t>干拌饭瑶柱香菇味（137G*12盒/件）</t>
  </si>
  <si>
    <t>牛油火锅底料（480G*30包/件，美国门店）</t>
  </si>
  <si>
    <t>经典麻辣牛油火锅底料（450G*30包/件，美国内销）</t>
  </si>
  <si>
    <t>火锅礼盒套餐_加拿大门店版_1.96KG*4个/件</t>
  </si>
  <si>
    <t>卤牛筋</t>
  </si>
  <si>
    <t>猪肚</t>
  </si>
  <si>
    <t>黄豆粉（250G/包）</t>
  </si>
  <si>
    <t>绵白糖（1KG/包）</t>
  </si>
  <si>
    <t>宝宝贴</t>
  </si>
  <si>
    <t>漏瓢（不锈钢，30CM）</t>
  </si>
  <si>
    <t>员工餐盘（不锈钢）</t>
  </si>
  <si>
    <t>方菜板（塑料，白色）</t>
  </si>
  <si>
    <t>厨师纸帽（20顶/包）</t>
  </si>
  <si>
    <t>大专用袋（440*250*110MM，100根*50把/件）</t>
  </si>
  <si>
    <t>等座杯子（密胺）</t>
  </si>
  <si>
    <t>地刮条</t>
  </si>
  <si>
    <t>果汁壶（1300ML）</t>
  </si>
  <si>
    <t>后堂男上衣白色（冬）L号</t>
  </si>
  <si>
    <t>后堂男上衣白色（冬）M号</t>
  </si>
  <si>
    <t>后堂男上衣白色（冬）XL号</t>
  </si>
  <si>
    <t>后堂男上衣白色（冬）XXL号</t>
  </si>
  <si>
    <t>后堂男上衣白色（夏）L号</t>
  </si>
  <si>
    <t>后堂男上衣白色（夏）M号</t>
  </si>
  <si>
    <t>后堂男上衣白色（夏）XL号</t>
  </si>
  <si>
    <t>后堂男上衣白色（夏）XXL号</t>
  </si>
  <si>
    <t>后堂女上衣白色（冬）L号</t>
  </si>
  <si>
    <t>后堂女上衣白色（冬）S号</t>
  </si>
  <si>
    <t>后堂女上衣白色（冬）XL号</t>
  </si>
  <si>
    <t>后堂女上衣白色（冬）XXL号</t>
  </si>
  <si>
    <t>后堂女上衣白色（夏）L号</t>
  </si>
  <si>
    <t>后堂女上衣白色（夏）M号</t>
  </si>
  <si>
    <t>后堂女上衣白色（夏）S号</t>
  </si>
  <si>
    <t>后堂女上衣白色（夏）XL号</t>
  </si>
  <si>
    <t>后堂女上衣白色（夏）XXL号</t>
  </si>
  <si>
    <t>后堂围裙红色</t>
  </si>
  <si>
    <t>塑料扫把（茶花）</t>
  </si>
  <si>
    <t>围裙（PVC，蓝色，10条/包）</t>
  </si>
  <si>
    <t>垃圾桶（脚踏式，70型）</t>
  </si>
  <si>
    <t>开瓶器（啤酒）</t>
  </si>
  <si>
    <t>塑料垃圾铲（茶花）</t>
  </si>
  <si>
    <t>垃圾袋（240型，50根*10把/件）</t>
  </si>
  <si>
    <t>垃圾袋（70型，50根*20把/件）</t>
  </si>
  <si>
    <t>捞面工作服白色（夏）XL号</t>
  </si>
  <si>
    <t>捞面工作服白色（夏）XXL号</t>
  </si>
  <si>
    <t>打包纸袋（50个/捆）</t>
  </si>
  <si>
    <t>打包纸袋（28*20CM，20个/包）</t>
  </si>
  <si>
    <t>漏勺（不锈钢）</t>
  </si>
  <si>
    <t>擦桌子白毛巾涤棉（尚雪）</t>
  </si>
  <si>
    <t>磨刀石（金猴王）</t>
  </si>
  <si>
    <t>柠檬水壶</t>
  </si>
  <si>
    <t>三针勺（1200个/件）</t>
  </si>
  <si>
    <t>手套（长胶）</t>
  </si>
  <si>
    <t>汤壶5L（诚兴）</t>
  </si>
  <si>
    <t>汤勺（不锈钢）</t>
  </si>
  <si>
    <t>调味缸（不锈钢，14CM）</t>
  </si>
  <si>
    <t>小卷纸（清风，10卷*6提/件）</t>
  </si>
  <si>
    <t>西餐叉</t>
  </si>
  <si>
    <t>西餐刀</t>
  </si>
  <si>
    <t>线手套（12副/捆）</t>
  </si>
  <si>
    <t>小专用袋（280*200*100MM，100根*80把/件）</t>
  </si>
  <si>
    <t>客人袖套白色</t>
  </si>
  <si>
    <t>牙线棒（200支/包）</t>
  </si>
  <si>
    <t>一次性手套</t>
  </si>
  <si>
    <t>一次性雨衣</t>
  </si>
  <si>
    <t>一次性纸杯（50个*20提/件）</t>
  </si>
  <si>
    <t>一次性网帽（100个/包）</t>
  </si>
  <si>
    <t>自封袋（捞面，450*340*0.04MM）</t>
  </si>
  <si>
    <t>强化杯（方型，口径6.8CM，72个/件）</t>
  </si>
  <si>
    <t>黑米（25KG/袋）</t>
  </si>
  <si>
    <t>吊牌（管理）</t>
  </si>
  <si>
    <t>后堂女上衣白色（冬）M号</t>
  </si>
  <si>
    <t>后堂女上衣白色（冬）XXXL号</t>
  </si>
  <si>
    <t>后堂男上衣白色（冬）XXXL号</t>
  </si>
  <si>
    <t>捞面工作服白色（冬）M号</t>
  </si>
  <si>
    <t>捞面工作服白色（冬）L号</t>
  </si>
  <si>
    <t>捞面工作服白色（冬）XL号</t>
  </si>
  <si>
    <t>捞面工作服白色（冬）XXL号</t>
  </si>
  <si>
    <t>捞面工作服白色（冬）XXXL号</t>
  </si>
  <si>
    <t>冰块桶（不锈钢）</t>
  </si>
  <si>
    <t>加工间帽子（白色）</t>
  </si>
  <si>
    <t>对讲机</t>
  </si>
  <si>
    <t>方巾（白，20条/包）</t>
  </si>
  <si>
    <t>后堂男上衣白色（夏）XXXL号</t>
  </si>
  <si>
    <t>后堂女上衣白色（夏）XXXL号</t>
  </si>
  <si>
    <t>牛腩肉</t>
  </si>
  <si>
    <t>一次性豆浆杯（纸质，50个*20提/件）</t>
  </si>
  <si>
    <t>密胺方盘（多彩，28*28CM）</t>
  </si>
  <si>
    <t>食物储备盘（透明，357*277*64MM）</t>
  </si>
  <si>
    <t>411系列长柄勺</t>
  </si>
  <si>
    <t>带盖汤桶</t>
  </si>
  <si>
    <t>防滑托盘</t>
  </si>
  <si>
    <t>自封袋（手机，170*120MM）</t>
  </si>
  <si>
    <t>地刮杆</t>
  </si>
  <si>
    <t>一次性擦镜湿纸（400片*9包/件）</t>
  </si>
  <si>
    <t>游乐园T恤（蓝色）夏季M号</t>
  </si>
  <si>
    <t>游乐园T恤（蓝色）夏季L号</t>
  </si>
  <si>
    <t>游乐园T恤（蓝色）夏季XL号</t>
  </si>
  <si>
    <t>杯筐（黄色）</t>
  </si>
  <si>
    <t>后堂男上衣白色（冬）XXXXL号</t>
  </si>
  <si>
    <t>收银夹（定做，带LOGO）</t>
  </si>
  <si>
    <t>披肩（定做，带LOGO）</t>
  </si>
  <si>
    <t>一次性梳子（定做，带LOGO）</t>
  </si>
  <si>
    <t>一次性拖鞋（定做，带LOGO）</t>
  </si>
  <si>
    <t>游乐园上衣蓝色（冬）XL号</t>
  </si>
  <si>
    <t>游乐园上衣蓝色（冬）XXL号</t>
  </si>
  <si>
    <t>游乐园上衣蓝色（冬）XXXL号</t>
  </si>
  <si>
    <t>调味缸（8CM）</t>
  </si>
  <si>
    <t>水果夹（耿生，不锈钢）</t>
  </si>
  <si>
    <t>杯筐（红色，480*330*145MM）</t>
  </si>
  <si>
    <t>客人围裙（黑色红边，小孩，20条/捆）</t>
  </si>
  <si>
    <t>拉花（20小包/包）</t>
  </si>
  <si>
    <t>酱料缸（不锈钢，直径18CM）</t>
  </si>
  <si>
    <t>油鼓（不锈钢，直径29CM）</t>
  </si>
  <si>
    <t>分数盆1/2（32*26.5*15CM）</t>
  </si>
  <si>
    <t>餐车（惠而信，2003）</t>
  </si>
  <si>
    <t>小餐车（惠而信，2002）</t>
  </si>
  <si>
    <t>分数盆1/1（53*33*20CM）</t>
  </si>
  <si>
    <t>后堂男上衣白色（夏）XXXXL号</t>
  </si>
  <si>
    <t>孜然粉（味好美，400G/瓶）</t>
  </si>
  <si>
    <t>RIO（宾治）伏特加鸡尾酒3.8度（混合水果味，275ML*24瓶/件）</t>
  </si>
  <si>
    <t>碎米芽菜（宜宾，1KG*12包/件）</t>
  </si>
  <si>
    <t>分数盆盖子1/1（新力士不锈钢，53*32.5CM）</t>
  </si>
  <si>
    <t>传菜垫子（泡沫，0.65M*15M）</t>
  </si>
  <si>
    <t>切鸭血机器（定制）</t>
  </si>
  <si>
    <t>方形环保餐盒（650ML，300套/件）</t>
  </si>
  <si>
    <t>海底捞火锅筷（竹制30CM，100双*10包/件）</t>
  </si>
  <si>
    <t>一次性筷子（竹制21CM，100双*20包/件）</t>
  </si>
  <si>
    <t>一次性擦镜湿纸（英文版，400片*9包/件）</t>
  </si>
  <si>
    <t>菜盖（惠而信8744，410*310*130MM）</t>
  </si>
  <si>
    <t>洗菜篮（惠而信0045，320*238*100MM）</t>
  </si>
  <si>
    <t>洗菜篮（惠而信0406，482*367*123MM）</t>
  </si>
  <si>
    <t>洗菜篮（惠而信0047，402*303*119MM）</t>
  </si>
  <si>
    <t>燕麦片（金味，600G*24包/件）</t>
  </si>
  <si>
    <t>酸菜（榆园，1KG*10包/件）</t>
  </si>
  <si>
    <t>切鸭血机器刀片（定做，15个/包）</t>
  </si>
  <si>
    <t>奶香馒头（思念，960G*8包/件）</t>
  </si>
  <si>
    <t>扑克（武泉，12盒/条）</t>
  </si>
  <si>
    <t>八方盘（密胺，120个/件）</t>
  </si>
  <si>
    <t>包容小盘（密胺，80个/件）</t>
  </si>
  <si>
    <t>冰几盘（密胺，20个/件）</t>
  </si>
  <si>
    <t>承实盘（密胺，50个/件）</t>
  </si>
  <si>
    <t>明轩小盘（密胺，90个/件）</t>
  </si>
  <si>
    <t>拾合大盘（密胺，40个/件）</t>
  </si>
  <si>
    <t>绽蕊大盘（密胺，48个/件）</t>
  </si>
  <si>
    <t>俎案大盘（密胺，30个/件）</t>
  </si>
  <si>
    <t>潜心碗大（白瓷，5寸，92个/件）</t>
  </si>
  <si>
    <t>潜心碗中（白瓷，4.5寸，96个/件）</t>
  </si>
  <si>
    <t>潜心碟（白瓷，6寸，100个/件）</t>
  </si>
  <si>
    <t>点公碟（白瓷，3寸，360个/件）</t>
  </si>
  <si>
    <t>一次性围裙（PE，106CM长，100个/包）</t>
  </si>
  <si>
    <t>双面鱼鳞纹丁腈手套（索亿，桔色，XL，50只*10盒/件）</t>
  </si>
  <si>
    <t>双面鱼鳞纹丁腈手套（索亿，桔色，L，50只*10盒/件）</t>
  </si>
  <si>
    <t>双面鱼鳞纹丁腈手套（索亿，桔色，M，50只*10盒/件）</t>
  </si>
  <si>
    <t>超细纤维毛巾100G（35*75CM，蓝色，10条*25包/件）</t>
  </si>
  <si>
    <t>超细纤维毛巾100G（35*75CM，黄色，10条*25包/件）</t>
  </si>
  <si>
    <t>超细纤维毛巾100G（35*75CM，绿色，10条*25包/件）</t>
  </si>
  <si>
    <t>超细纤维毛巾100G（35*75CM，咖色，10条*25包/件）</t>
  </si>
  <si>
    <t>超细纤维毛巾100G（35*75CM，粉色，10条*25包/件）</t>
  </si>
  <si>
    <t>防辐射围裙（定制，带LOGO）</t>
  </si>
  <si>
    <t>白色双格方形子母盘8.5寸（密胺，80个/件）</t>
  </si>
  <si>
    <t>白酒分酒器（6个*24盒/件）</t>
  </si>
  <si>
    <t>传菜托盘（不锈钢，500*400*20MM）</t>
  </si>
  <si>
    <t>钢丝手套（M号）</t>
  </si>
  <si>
    <t>小茗同学（统一，480ML*15瓶/件）</t>
  </si>
  <si>
    <t>AD钙奶（娃哈哈，220ML*24瓶/件）</t>
  </si>
  <si>
    <t>砂糖桔</t>
  </si>
  <si>
    <t>不锈钢食品夹（方头，15.5CM）</t>
  </si>
  <si>
    <t>夏季前堂男上衣白色M号</t>
  </si>
  <si>
    <t>夏季前堂男上衣白色L号</t>
  </si>
  <si>
    <t>夏季前堂男上衣白色XL号</t>
  </si>
  <si>
    <t>夏季前堂男上衣白色XXL号</t>
  </si>
  <si>
    <t>夏季前堂男上衣白色XXXL号</t>
  </si>
  <si>
    <t>夏季前堂男上衣白色XXXXL号</t>
  </si>
  <si>
    <t>夏季前堂女上衣白色S号</t>
  </si>
  <si>
    <t>夏季前堂女上衣白色M号</t>
  </si>
  <si>
    <t>夏季前堂女上衣白色L号</t>
  </si>
  <si>
    <t>夏季前堂女上衣白色XL号</t>
  </si>
  <si>
    <t>夏季前堂女上衣白色XXL号</t>
  </si>
  <si>
    <t>夏季前堂女上衣白色XXXL号</t>
  </si>
  <si>
    <t>前堂围裙（灰色）</t>
  </si>
  <si>
    <t>大保温箱（60L，橘色，630*480*360MM，鑫华亨）</t>
  </si>
  <si>
    <t>大保温箱（60L，蓝色，630*480*360MM，鑫华亨）</t>
  </si>
  <si>
    <t>方菜板（恒基，白色38*28*2CM）</t>
  </si>
  <si>
    <t>花底纸（萬和，5.5寸，250张*20包*8盒/件）</t>
  </si>
  <si>
    <t>2254白色储物箱（定制）</t>
  </si>
  <si>
    <t>2254白色储物箱盖（定制）</t>
  </si>
  <si>
    <t>2255白色储物箱（定制）</t>
  </si>
  <si>
    <t>2258白色储物箱（定制）</t>
  </si>
  <si>
    <t>2258白色储物箱盖（定制）</t>
  </si>
  <si>
    <t>调味缸（不锈钢，12CM）</t>
  </si>
  <si>
    <t>调味缸盖子（不锈钢，12CM）</t>
  </si>
  <si>
    <t>冬季前堂男上衣（白色，S号）</t>
  </si>
  <si>
    <t>冬季前堂男上衣（白色，M号）</t>
  </si>
  <si>
    <t>冬季前堂男上衣（白色，L号）</t>
  </si>
  <si>
    <t>冬季前堂男上衣（白色，XL号）</t>
  </si>
  <si>
    <t>冬季前堂男上衣（白色，XXL号）</t>
  </si>
  <si>
    <t>冬季前堂男上衣（白色，XXXL号）</t>
  </si>
  <si>
    <t>冬季前堂男上衣（白色，XXXXL号）</t>
  </si>
  <si>
    <t>冬季前堂女上衣（白色，S号）</t>
  </si>
  <si>
    <t>冬季前堂女上衣（白色，M号）</t>
  </si>
  <si>
    <t>冬季前堂女上衣（白色，L号）</t>
  </si>
  <si>
    <t>冬季前堂女上衣（白色，XL号）</t>
  </si>
  <si>
    <t>冬季前堂女上衣（白色，XXL号）</t>
  </si>
  <si>
    <t>冬季前堂女上衣（白色，XXXL号）</t>
  </si>
  <si>
    <t>冬季前堂女上衣（白色，XXXXL号）</t>
  </si>
  <si>
    <t>发圈（无接缝，100个/包）</t>
  </si>
  <si>
    <t>果汁壶盖子（惠而信）</t>
  </si>
  <si>
    <t>透明食品夹（三能）</t>
  </si>
  <si>
    <t>一次性口罩（50个/盒）</t>
  </si>
  <si>
    <t>抽纸盒（红色，带海底捞LOGO）</t>
  </si>
  <si>
    <t>四宫格隔板</t>
  </si>
  <si>
    <t>辣椒调味油（无渣，1KG*16包/件）</t>
  </si>
  <si>
    <t>菜板（长方形，蓝色，塑料，52*32.5*2CM）</t>
  </si>
  <si>
    <t>菜板（长方形，绿色，塑料，52*32.5*2CM）</t>
  </si>
  <si>
    <t>菜板（长方形，棕色，塑料，52*32.5*2CM）</t>
  </si>
  <si>
    <t>塑料包装瓶（高8.5CM，直径5.5CM，430个/件）</t>
  </si>
  <si>
    <t>调料勺（温莎B型）</t>
  </si>
  <si>
    <t>传菜组黑色T恤短袖XXXXL号</t>
  </si>
  <si>
    <t>二级踏梯（特耐适）</t>
  </si>
  <si>
    <t>奶茶纸杯（25只*20包/件）</t>
  </si>
  <si>
    <t>会员桌牌金属底座（25*5CM）</t>
  </si>
  <si>
    <t>热敏收银纸（80*60MM，120卷/箱）</t>
  </si>
  <si>
    <t>食品夹（圆头）</t>
  </si>
  <si>
    <t>白酒杯（6个*48盒/件）</t>
  </si>
  <si>
    <t>利比红酒杯（30支*2盒/箱）</t>
  </si>
  <si>
    <t>大打包纸袋A（牛皮纸，280*150*240MM，200个/件）</t>
  </si>
  <si>
    <t>蛋黄莲蓉（稻香村，48块/箱）</t>
  </si>
  <si>
    <t>奶油椰蓉（稻香村，48块/箱）</t>
  </si>
  <si>
    <t>苏式椒盐（稻香村，48块/箱）</t>
  </si>
  <si>
    <t>速冻芝士虾丸（越南，DL443，150G*40包/件）</t>
  </si>
  <si>
    <t>女士羽绒服（薄款）L码</t>
  </si>
  <si>
    <t>女士羽绒服（薄款）XL码</t>
  </si>
  <si>
    <t>女士羽绒服（薄款）XXL码</t>
  </si>
  <si>
    <t>男士羽绒服（薄款）L码</t>
  </si>
  <si>
    <t>男士羽绒服（薄款）XL码</t>
  </si>
  <si>
    <t>男士羽绒服（薄款）XXL码</t>
  </si>
  <si>
    <t>男士羽绒服（厚款）L码</t>
  </si>
  <si>
    <t>男士羽绒服（厚款）XL码</t>
  </si>
  <si>
    <t>钢化杯（弓箭，48个/件）</t>
  </si>
  <si>
    <t>水果夹（不锈钢，长24CM）</t>
  </si>
  <si>
    <t>陀螺（玩具，50个/件）</t>
  </si>
  <si>
    <t>环保袋（红色，10个/包）</t>
  </si>
  <si>
    <t>环保袋（蓝色，10个/包）</t>
  </si>
  <si>
    <t>环保袋（白色，10个/包）</t>
  </si>
  <si>
    <t>油面筋（75G*20包/箱）</t>
  </si>
  <si>
    <t>南瓜芝士年糕（500G*20包/箱）</t>
  </si>
  <si>
    <t>西米（454G*50包/件）</t>
  </si>
  <si>
    <t>椰奶（2900ML*6瓶/箱）</t>
  </si>
  <si>
    <t>蔗片糖（400G*50包/箱）</t>
  </si>
  <si>
    <t>竹芯野生箭竹笋（500G*20包/箱）</t>
  </si>
  <si>
    <t>龙口粉丝（250G*100包/箱）</t>
  </si>
  <si>
    <t>6寸相框（礼品，10个/包）</t>
  </si>
  <si>
    <t>一次性筷子</t>
  </si>
  <si>
    <t>公筷（合金筷，黑色，100双*10包/件）</t>
  </si>
  <si>
    <t>传菜组鸭舌帽（夏天）</t>
  </si>
  <si>
    <t>虾滑磨具（大，150G）</t>
  </si>
  <si>
    <t>食品存物手环（1-20号，2个*20对/包）</t>
  </si>
  <si>
    <t>新款切鸭血机器（定制）</t>
  </si>
  <si>
    <t>新款切鸭血机器刀片（定制，15个/包）</t>
  </si>
  <si>
    <t>成人袖套（定制，50副/包）</t>
  </si>
  <si>
    <t>花底纸（圆形花边，5.5寸，250张*20包/件）</t>
  </si>
  <si>
    <t>纸吸管（8*140MM，200支*50包/件）</t>
  </si>
  <si>
    <t>纸吸管（8*210MM，200支*50包/件）</t>
  </si>
  <si>
    <t>合页</t>
  </si>
  <si>
    <t>活动工作柜底轮</t>
  </si>
  <si>
    <t>用品存物手环（1-20号，2个*20对/包）</t>
  </si>
  <si>
    <t>摇头公仔玩具（1个*50盒/件）</t>
  </si>
  <si>
    <t>婴儿卡通车（3-6岁，50个/件）</t>
  </si>
  <si>
    <t>望远镜（6岁及以上，50个/件）</t>
  </si>
  <si>
    <t>蛋壳公主（3岁及以上，50个/件）</t>
  </si>
  <si>
    <t>新款鸭血机器（匠首）</t>
  </si>
  <si>
    <t>帆布袋（神机妙涮，定制，除油包，50个/箱）</t>
  </si>
  <si>
    <t>帆布袋（开锅见喜，定制，除油包，50个/箱）</t>
  </si>
  <si>
    <t>交通工具车（12个月及以上，50个/件，玩具）</t>
  </si>
  <si>
    <t>黑色扇形盘（10个*5盒/箱）</t>
  </si>
  <si>
    <t>小嗨果蔬车系列玩具（3岁及以上，2款混装，50个/件）</t>
  </si>
  <si>
    <t>小嗨工程车系列玩具（3岁及以上，3款混装，50个/件）</t>
  </si>
  <si>
    <t>小嗨方程式赛车玩具（1-3岁，50个/件）</t>
  </si>
  <si>
    <t>爆浆糍粑（稼轩康，300G*20包/件）</t>
  </si>
  <si>
    <t>柑橙味苏打气泡水（元气森林，330ML*24罐/箱）</t>
  </si>
  <si>
    <t>小嗨不倒翁玩具（1-3岁，50个/件）</t>
  </si>
  <si>
    <t>海底捞IP快艇玩具（3岁及以上，50个/件）</t>
  </si>
  <si>
    <t>小魔法棒玩具（闪光，3岁及以上，3款混装，50个/件）</t>
  </si>
  <si>
    <t>大魔法棒玩具（闪光，3岁及以上，2款混装，50个/件）</t>
  </si>
  <si>
    <t>玉米魔豆方（3岁及以上，50个/件）</t>
  </si>
  <si>
    <t>拆装恐龙（3岁及以上玩具，4款混装，50个/箱）</t>
  </si>
  <si>
    <t>易拉罐PET瓶（100个/箱）</t>
  </si>
  <si>
    <t>福兔相随3D立体一次性口罩（联名售卖款，7片*10袋*40包/件）</t>
  </si>
  <si>
    <t>牛奶牛肉方块盘子（黑色密胺，80个/箱）</t>
  </si>
  <si>
    <t>爱心慕斯（美滋味，40G*120个/件）</t>
  </si>
  <si>
    <t>一次性剪刀（亚克力，50把*6包/件）</t>
  </si>
  <si>
    <t>MINI随身包（米菲联名）</t>
  </si>
  <si>
    <t>定制加汤壶（4L，304不锈钢）</t>
  </si>
  <si>
    <t>果蔬车玩具（3岁及以上，芒果，50个/箱）</t>
  </si>
  <si>
    <t>果蔬车玩具（3岁及以上，草莓，50个/箱）</t>
  </si>
  <si>
    <t>大片素毛肚（1KG*10包/箱）</t>
  </si>
  <si>
    <t>马蹄（珍珍，567G*24罐/箱）</t>
  </si>
  <si>
    <t>果蔬车玩具（3岁及以上，西瓜，50个/箱）</t>
  </si>
  <si>
    <t>果蔬车玩具（3岁及以上，猕猴桃，50个/箱）</t>
  </si>
  <si>
    <t>接球机玩具（3岁及以上，50个/箱）</t>
  </si>
  <si>
    <t>火车果蔬锁车头（3岁及以上，玩具，50个/件）</t>
  </si>
  <si>
    <t>猪肚鸡底料（200G*30包/箱）</t>
  </si>
  <si>
    <t>变形玩具车（3岁及以上，搅拌车款，50个/件）</t>
  </si>
  <si>
    <t>华容道拼图玩具（3岁及以上，两色混装，50个/件）</t>
  </si>
  <si>
    <t>萌趣恐龙玩具（3岁及以上，多色混装，50个/件）</t>
  </si>
  <si>
    <t>显眼包惯性车玩具（3岁及以上，茄子，番茄两款混装，50个/件）</t>
  </si>
  <si>
    <t>魔法棒玩具（3岁及以上，心之恋、蝴蝶两款混装，50个/箱）</t>
  </si>
  <si>
    <t>小小魔术师玩具（3岁及以上，50个/件）</t>
  </si>
  <si>
    <t>条纹发圈（贝菲，黑色，200个/包）</t>
  </si>
  <si>
    <t>移动餐车玩具（3岁及以上，50个/件）</t>
  </si>
  <si>
    <t>小捞捞滑板玩具（3岁以上，50个/件）</t>
  </si>
  <si>
    <t>客用一次性拖鞋（10双*30捆/件）</t>
  </si>
  <si>
    <t>彩色发圈（贝菲，200个/包）</t>
  </si>
  <si>
    <t>捞捞小厨系列（3岁及以上，款式随机，50个/箱）</t>
  </si>
  <si>
    <t>菠萝（1.3-1.6KG/个）</t>
  </si>
  <si>
    <t>吉利丁片（展艺，5G*10片/包）</t>
  </si>
  <si>
    <t>苏打气泡水（元气森林，白桃味，480ML*15瓶/箱）</t>
  </si>
  <si>
    <t>生椰乳（椰萃，1KG*20包/件）</t>
  </si>
  <si>
    <t>精制五仁（稻香村，48个/件）</t>
  </si>
  <si>
    <t>包浆豆腐（490G*18袋/件）</t>
  </si>
  <si>
    <t>国窖1573中国品味52度（500ML/瓶）</t>
  </si>
  <si>
    <t>墨鱼仔（1KG*10包/件）</t>
  </si>
  <si>
    <t>粽叶（100片/包）</t>
  </si>
  <si>
    <t>日本和牛肉眼</t>
  </si>
  <si>
    <t>鹌鹑蛋（15OZ/425G*24听/箱）</t>
  </si>
  <si>
    <t>白萝卜（40LB/箱）</t>
  </si>
  <si>
    <t>黄瓜条（带皮，LB）</t>
  </si>
  <si>
    <t>蛋奶馒头（三全，300G*24包/件）</t>
  </si>
  <si>
    <t>黑木耳（1KG*10包/件）</t>
  </si>
  <si>
    <t>香茅（LB）</t>
  </si>
  <si>
    <t>鲜椰青（9个/箱）</t>
  </si>
  <si>
    <t>糖浆-荔枝糖浆（2.5KG/2.5L/88FOZ/桶）</t>
  </si>
  <si>
    <t>圆糯米（50LB/包）</t>
  </si>
  <si>
    <t>金钱肚（LB）</t>
  </si>
  <si>
    <t>猪蹄（员工餐，LB）</t>
  </si>
  <si>
    <t>宫崎和牛（LB）</t>
  </si>
  <si>
    <t>西兰花 （20LB/箱）</t>
  </si>
  <si>
    <t>响铃卷（120G*24盒/件）</t>
  </si>
  <si>
    <t>西瓜（个）</t>
  </si>
  <si>
    <t>大块腐乳（王致和，340G*30瓶/箱）</t>
  </si>
  <si>
    <t>豆苗王（10LB/箱）</t>
  </si>
  <si>
    <t>鸭舌 （LB）</t>
  </si>
  <si>
    <t>草莓（8盒/箱）</t>
  </si>
  <si>
    <t>泰式青柠（香飘飘，400ML*15瓶/箱）</t>
  </si>
  <si>
    <t>羊脑（6个/盒）</t>
  </si>
  <si>
    <t>猪血 （LB）</t>
  </si>
  <si>
    <t>新南牌冰片糖（400G*50包/件）</t>
  </si>
  <si>
    <t>老干妈风味豆豉辣椒（740G*12瓶/箱）</t>
  </si>
  <si>
    <t>韩国辣椒粉（454G*30包/件）</t>
  </si>
  <si>
    <t>柚子</t>
  </si>
  <si>
    <t>柚子 （14KG/箱）</t>
  </si>
  <si>
    <t>百洁布（3M88，10个/盒）</t>
  </si>
  <si>
    <t>大号传菜钟（个）</t>
  </si>
  <si>
    <t>印花纸杯（7CM，1000个*10条/箱）</t>
  </si>
  <si>
    <t>扇贝（LB）</t>
  </si>
  <si>
    <t>清油麻辣底料（220G*34包/箱）</t>
  </si>
  <si>
    <t>牛皮纸袋（200个/箱）</t>
  </si>
  <si>
    <t>打包桶（24OZ，250个/箱）</t>
  </si>
  <si>
    <t>六福卡式瓦斯炉（个）</t>
  </si>
  <si>
    <t>上海青（30LB/箱）</t>
  </si>
  <si>
    <t>小布丁雪糕（AICE，40G*50支/件）</t>
  </si>
  <si>
    <t>香蕉（40LB/箱）</t>
  </si>
  <si>
    <t>小麦啤酒（THREE KINGDOMS ，355ML*24瓶/箱）</t>
  </si>
  <si>
    <t>蜂蜜啤酒（THREE KINGDOMS，473ML*24瓶/箱）</t>
  </si>
  <si>
    <t>鸳鸯锅（30CM）</t>
  </si>
  <si>
    <t>瓦斯气（8OZ*4个/组）</t>
  </si>
  <si>
    <t>打包桶（24OZ，250套/箱）</t>
  </si>
  <si>
    <t>厨余垃圾袋（135个/箱）</t>
  </si>
  <si>
    <t>干百合（LB）</t>
  </si>
  <si>
    <t>干莲子（LB）</t>
  </si>
  <si>
    <t>圆盒（150套/箱）</t>
  </si>
  <si>
    <t>寿司盒（FH-507，550个/箱)</t>
  </si>
  <si>
    <t>寿司盒（FH-520，400个/箱)</t>
  </si>
  <si>
    <t>牛皮纸袋（250个/箱）</t>
  </si>
  <si>
    <t>青口贝（2LB*12包/箱）</t>
  </si>
  <si>
    <t>麻辣香锅底料（220G*34包/箱）</t>
  </si>
  <si>
    <t>上汤三鲜底料（200G*34包/箱）</t>
  </si>
  <si>
    <t>漱口杯（2.5OZ，2500个/箱）</t>
  </si>
  <si>
    <t>打包盒（24OZ， 240套/箱）</t>
  </si>
  <si>
    <t>月饼（640G*8盒/箱）</t>
  </si>
  <si>
    <t>洗手液盒（个）</t>
  </si>
  <si>
    <t>小麦扎啤（RUSSELL，50L/桶）</t>
  </si>
  <si>
    <t>果香扎啤（RUSSELL，50L/桶）</t>
  </si>
  <si>
    <t>德式清爽淡啤（RUSSELL，473ML/瓶）</t>
  </si>
  <si>
    <t>元气森林卡曼橘气泡水（500ML*15瓶/箱）</t>
  </si>
  <si>
    <t>ZA5</t>
  </si>
  <si>
    <t>双倍奶油（284ML*12杯/件）</t>
  </si>
  <si>
    <t>白鹤纯米吟酿（JUNMAI GINJO，300ML/瓶）</t>
  </si>
  <si>
    <t>白鹤纯米清酒（NIGORI SAKE，300ML/瓶）</t>
  </si>
  <si>
    <t>韩国烧酒原味（CHUM CHURUM，360ML/瓶）</t>
  </si>
  <si>
    <t>PELLER FAMILY 红酒 （SHIRAZ， 4L/瓶）</t>
  </si>
  <si>
    <t>番茄嫩牛小火锅（海底捞，435G*18盒/箱）</t>
  </si>
  <si>
    <t>川式麻辣香肠小火锅（海底捞，435G*18盒/箱）</t>
  </si>
  <si>
    <t>广式番茄香肠小火锅（海底捞，435G*18盒/箱）</t>
  </si>
  <si>
    <t>预警飞机（50个/箱）</t>
  </si>
  <si>
    <t>心形盒（50个/箱）</t>
  </si>
  <si>
    <t>一次性环保勺子（1000个/箱）</t>
  </si>
  <si>
    <t>鲫鱼（鲜，LB）</t>
  </si>
  <si>
    <t>仔仔蜜桃鲜糖（宏源，320G*30包/箱）</t>
  </si>
  <si>
    <t>话梅糖（宏源，400G*24包/箱）</t>
  </si>
  <si>
    <t>猕猴桃（绿果，3LB/盒）</t>
  </si>
  <si>
    <t>百搭蛋面（发财牌，1.68KG*6包/箱）</t>
  </si>
  <si>
    <t>圣女果（1.75LB/盒）</t>
  </si>
  <si>
    <t>魔法棒（50个/箱）</t>
  </si>
  <si>
    <t>裙带菜（盖世，1KG*10袋/件）</t>
  </si>
  <si>
    <t>调味杏鲍菇（盖世，1KG*10袋/件）</t>
  </si>
  <si>
    <t>圆形锡纸盒（9寸，500个/箱）</t>
  </si>
  <si>
    <t>圆形锡纸盒盖（9寸，500个/箱）</t>
  </si>
  <si>
    <t>小麦扎啤（RUSSELL，30L/桶）</t>
  </si>
  <si>
    <t>是拉差辣椒酱（793ML*12瓶/箱）</t>
  </si>
  <si>
    <t>维达消毒纸巾（10片*60包/箱）</t>
  </si>
  <si>
    <t>一次性环保叉子（1000个/箱）</t>
  </si>
  <si>
    <t>香肠 （LB）</t>
  </si>
  <si>
    <t>咖啡黑纸杯盖（10OZ，1000个/箱）</t>
  </si>
  <si>
    <t>猪骨膏（SOMI，2.2LB*10包/箱）</t>
  </si>
  <si>
    <t>萌宠小汽车（50个/箱）</t>
  </si>
  <si>
    <t>菊葵寿司桶（SL-122，20个/箱）</t>
  </si>
  <si>
    <t>长方烧烤盘（A9-668-3，30个/箱）</t>
  </si>
  <si>
    <t>8寸纸包吸管（250根*9盒/箱）</t>
  </si>
  <si>
    <t>方形打包盒（58OZ，150套/箱）</t>
  </si>
  <si>
    <t>香辣小龙虾（1KG*12盒/箱）</t>
  </si>
  <si>
    <t>SPICE CAJUN （5LB/盒）</t>
  </si>
  <si>
    <t>SPICE PAPRIKA（540G/瓶）</t>
  </si>
  <si>
    <t>SPICE PEPPER CAYENNE（450G/瓶）</t>
  </si>
  <si>
    <t>无粉丁腈手套（蓝色，L，250只*10盒/件）</t>
  </si>
  <si>
    <t>无粉丁腈手套（蓝色，M，250只*10盒/件）</t>
  </si>
  <si>
    <t>无粉丁腈手套（蓝色，S，200只*10盒/件）</t>
  </si>
  <si>
    <t>海底捞纸袋（200个/箱）</t>
  </si>
  <si>
    <t>红花椒 （500G*14包/箱）</t>
  </si>
  <si>
    <t>加拿大人啤酒 （341ML*12瓶/箱）</t>
  </si>
  <si>
    <t>仙草冻奶茶（500ML/杯）</t>
  </si>
  <si>
    <t>小麦扎啤（RUSELL，19.5L/桶）</t>
  </si>
  <si>
    <t>雪碧（355ML*32听/箱）</t>
  </si>
  <si>
    <t>一次性筷子（6.0MM*8INCHES，300双/箱）</t>
  </si>
  <si>
    <t>鲈鱼片（3FISH，250G*20包/箱）</t>
  </si>
  <si>
    <t>墨鱼仔（20-40，2LB*10包/箱）</t>
  </si>
  <si>
    <t>防护口罩（龙源）</t>
  </si>
  <si>
    <t>芒果爆爆奶茶（500ML/杯）</t>
  </si>
  <si>
    <t>西瓜爆爆奶茶（500ML/杯）</t>
  </si>
  <si>
    <t>酸奶味山楂球（2.5KG*4包/箱）</t>
  </si>
  <si>
    <t>巧克力味山楂球（2.5KG*4包/箱）</t>
  </si>
  <si>
    <t>咖啡糖盒装（100G*24盒/箱）</t>
  </si>
  <si>
    <t>棉花糖（160G*30包/箱）</t>
  </si>
  <si>
    <t>豆筋（1KG*5袋/箱）</t>
  </si>
  <si>
    <t>大叻沙（田师傅，1KG*6包/箱）</t>
  </si>
  <si>
    <t>ZA4</t>
  </si>
  <si>
    <t>加汤机带灯按钮（绿）</t>
  </si>
  <si>
    <t>利是糖（350G*30袋/箱）</t>
  </si>
  <si>
    <t>环保打包纸盒（750ML，200个/箱）</t>
  </si>
  <si>
    <t>环保打包纸桶（26OZ ，500个/箱）</t>
  </si>
  <si>
    <t>环保打包纸桶盖（26OZ，500个/箱）</t>
  </si>
  <si>
    <t>环保打包纸桶（32OZ ，500个/箱）</t>
  </si>
  <si>
    <t>环保打包纸桶盖（32OZ，500个/箱）</t>
  </si>
  <si>
    <t>白色方形打包盒（500ML，300个/箱）</t>
  </si>
  <si>
    <t>白色方形打包盒（700ML，300个/箱）</t>
  </si>
  <si>
    <t>白色方形打包盒盖（500ML，300个/箱）</t>
  </si>
  <si>
    <t>环保打包白色圆碗（450ML，400个/箱）</t>
  </si>
  <si>
    <t>环保打包白色圆碗盖（450ML，400个/箱）</t>
  </si>
  <si>
    <t>姜汁汽水（355ML*32罐/箱）</t>
  </si>
  <si>
    <t>鱼籽福袋（454G*20袋/箱）</t>
  </si>
  <si>
    <t>RUSSELL EASTERN PROMISES（30L/桶）</t>
  </si>
  <si>
    <t>皮蛋（360G*30盒/箱）</t>
  </si>
  <si>
    <t>公鸡辣酱（714ML*12瓶/箱）</t>
  </si>
  <si>
    <t>干冰（LB）</t>
  </si>
  <si>
    <t>墨鱼仔（10KG/箱）</t>
  </si>
  <si>
    <t>巧克力蛋糕（36个/箱）</t>
  </si>
  <si>
    <t>酸橄榄（4L*2瓶/箱）</t>
  </si>
  <si>
    <t>酸小黄瓜（4L*2瓶/箱）</t>
  </si>
  <si>
    <t>乳酸菌浓缩汁（2.5KG*6桶/箱）</t>
  </si>
  <si>
    <t>贡菜（1LB/包）</t>
  </si>
  <si>
    <t>焦糖冰淇淋（115ML*24个/箱）</t>
  </si>
  <si>
    <t>朝日啤酒（2L/瓶）</t>
  </si>
  <si>
    <t>橙汁（1.5L*8瓶/箱）</t>
  </si>
  <si>
    <t>酥脆大油条（240G*20包/箱）</t>
  </si>
  <si>
    <t>蒜蓉炸虾（500G*16包/箱）</t>
  </si>
  <si>
    <t>油面筋球（70G*20包/箱）</t>
  </si>
  <si>
    <t>泰式甜辣酱（700ML*12瓶/箱）</t>
  </si>
  <si>
    <t>泰式甜辣酱（398G*12瓶/箱）</t>
  </si>
  <si>
    <t>干冰袋（个）</t>
  </si>
  <si>
    <t>牛奶（咖啡专用，160个/箱）</t>
  </si>
  <si>
    <t>芋圆（300G*10包/箱）</t>
  </si>
  <si>
    <t>地瓜圆（300G*10包/箱）</t>
  </si>
  <si>
    <t>无糖豆浆（日升，4L/桶）</t>
  </si>
  <si>
    <t>咖啡奶粉（3G*1000包/箱）</t>
  </si>
  <si>
    <t>色拉油（17.3L/桶）</t>
  </si>
  <si>
    <t>魔芋丝（天丰裕，4.8KG*2包/箱）</t>
  </si>
  <si>
    <t>花枝丸（奇美，500G*20包/箱）</t>
  </si>
  <si>
    <t>蟹籽鱼包蛋（454G*20包/箱）</t>
  </si>
  <si>
    <t>鱼饺（桂冠，90G*25包/箱）</t>
  </si>
  <si>
    <t>厕所卷纸（PUREX，48卷/提）</t>
  </si>
  <si>
    <t>番茄仔（284G*12盒/箱）</t>
  </si>
  <si>
    <t>椰子水（1L*12瓶/件）</t>
  </si>
  <si>
    <t>杏鲍菇（NATURAL，10KG/箱）</t>
  </si>
  <si>
    <t>急冻油条（思念，450G*12袋/箱）</t>
  </si>
  <si>
    <t>魔芋丝（2KG*4包/箱）</t>
  </si>
  <si>
    <t>韭菜花酱（利民，180G*24包/箱）</t>
  </si>
  <si>
    <t>老豆腐（48块/桶）</t>
  </si>
  <si>
    <t>粽叶（200G*50包/箱）</t>
  </si>
  <si>
    <t>一次性筷子（3000双/箱）</t>
  </si>
  <si>
    <t>青萝卜（10KG/箱）</t>
  </si>
  <si>
    <t>红酒瓶子定金（瓶）</t>
  </si>
  <si>
    <t>紫薯年糕（1KG*8包/箱）</t>
  </si>
  <si>
    <t>芥末美乃滋（450ML*12瓶/箱）</t>
  </si>
  <si>
    <t>洛神花（227G/包）</t>
  </si>
  <si>
    <t>酸红罗卜（2.84L*6罐/箱）</t>
  </si>
  <si>
    <t>RIO鸡尾酒（香槟味，330ML*24罐/件）</t>
  </si>
  <si>
    <t>红盒豆腐（454G*12盒/箱）</t>
  </si>
  <si>
    <t>蒜蓉土司（638G/包）</t>
  </si>
  <si>
    <t>意大利番茄沙司酱（650ML/瓶）</t>
  </si>
  <si>
    <t>青花椒（500G*14包/箱）</t>
  </si>
  <si>
    <t>易拉罐押金（罐）</t>
  </si>
  <si>
    <t>淮山面（琦丰，800G*12包/箱）</t>
  </si>
  <si>
    <t>白虾仁（71-90，LB）</t>
  </si>
  <si>
    <t>青口贝（1LB*20盒/箱）</t>
  </si>
  <si>
    <t>黑鱼片（250G*20袋/箱）</t>
  </si>
  <si>
    <t>沙鯭鱼（10KG/箱）</t>
  </si>
  <si>
    <t>绍菜（30LB/箱）</t>
  </si>
  <si>
    <t>洗衣液（9.24L/桶）</t>
  </si>
  <si>
    <t>食用苏打粉（500G*6盒/箱）</t>
  </si>
  <si>
    <t>毛肚（10KG/箱）</t>
  </si>
  <si>
    <t>海鲜菇（5KG/箱）</t>
  </si>
  <si>
    <t>走地鸡</t>
  </si>
  <si>
    <t>海螺碗（个）</t>
  </si>
  <si>
    <t>玉米（80个/箱）</t>
  </si>
  <si>
    <t>孢子甘蓝（箱）</t>
  </si>
  <si>
    <t>牛奶（4L*4瓶/箱）</t>
  </si>
  <si>
    <t>烤番薯（500G*24包/箱）</t>
  </si>
  <si>
    <t>黄桃罐头（720ML*12瓶/箱）</t>
  </si>
  <si>
    <t>紫菜（LB）</t>
  </si>
  <si>
    <t>大白兔奶糖（180G*24包/箱）</t>
  </si>
  <si>
    <t>32盎司白色纸碗（600个/箱）</t>
  </si>
  <si>
    <t>32盎司白色纸碗盖（600个/箱）</t>
  </si>
  <si>
    <t>奶精粉（25KG/罐）</t>
  </si>
  <si>
    <t>砂糖桔（8.5KG/箱）</t>
  </si>
  <si>
    <t>24OZ白色纸碗（600个/箱）</t>
  </si>
  <si>
    <t>瓦斯气（4个*7组/箱）</t>
  </si>
  <si>
    <t>MINI地瓜圆（600G*12包/箱）</t>
  </si>
  <si>
    <t>MINI芋圆（600G*12包/箱）</t>
  </si>
  <si>
    <t>MINI地瓜圆（3KG*4包/箱）</t>
  </si>
  <si>
    <t>MINI芋圆（3KG*4包/箱）</t>
  </si>
  <si>
    <t>花枝丸（3KG*6包/箱）</t>
  </si>
  <si>
    <t>橙皮酒TRIPLE SEC（750ML/瓶）</t>
  </si>
  <si>
    <t>酸奶麻花（100G*50包/箱）</t>
  </si>
  <si>
    <t>酸柑汁（150ML*12瓶/箱）</t>
  </si>
  <si>
    <t>辣椒虾米（230G*24瓶/箱）</t>
  </si>
  <si>
    <t>虾酱（340G*24瓶/箱）</t>
  </si>
  <si>
    <t>MADRAS咖喱粉（2.27KG/箱）</t>
  </si>
  <si>
    <t>鱼豆腐（227G*20包/箱）</t>
  </si>
  <si>
    <t>带头南美白虾（30/40，400G*10盒/箱）</t>
  </si>
  <si>
    <t>鲜乌冬面（800G*10包/箱）</t>
  </si>
  <si>
    <t>红曲米（LB）</t>
  </si>
  <si>
    <t>A4打印纸（20LB/箱）</t>
  </si>
  <si>
    <t>海天金标生抽（1.9L*6瓶/箱）</t>
  </si>
  <si>
    <t>青柠檬汁（440ML*12瓶/箱）</t>
  </si>
  <si>
    <t>羊肉机刀片</t>
  </si>
  <si>
    <t>大桶生抽（李锦记，8L*2桶/箱）</t>
  </si>
  <si>
    <t>鸡膝（LB）</t>
  </si>
  <si>
    <t>黑胡椒碎（399G/瓶）</t>
  </si>
  <si>
    <t>果汁杯（3020B钻纹，36只/箱）</t>
  </si>
  <si>
    <t>机器人（贝拉，MODEL:BL101）</t>
  </si>
  <si>
    <t>红花椒（454G*14包/箱）</t>
  </si>
  <si>
    <t>复古泡面碗</t>
  </si>
  <si>
    <t>白虾仁（61/70，4LB*10包/箱）</t>
  </si>
  <si>
    <t>CL6</t>
  </si>
  <si>
    <t>生蚝（32OZ/桶）</t>
  </si>
  <si>
    <t>水晶粉丝（5KG*2包/箱）</t>
  </si>
  <si>
    <t>烫伤膏（30G*2支/盒）</t>
  </si>
  <si>
    <t>EAST COAST IPA（30L/桶）</t>
  </si>
  <si>
    <t>墨鱼仔（21/40，1KG*12袋/箱）</t>
  </si>
  <si>
    <t>EASTERN PROMISES 扎啤（19.5L/桶）</t>
  </si>
  <si>
    <t>PUNCH BOWL NW扎啤（19.5L/桶）</t>
  </si>
  <si>
    <t>拖地湿纸（SWIFFER WET，64片/箱）</t>
  </si>
  <si>
    <t>盐渍海带苗（454G*24袋/箱）</t>
  </si>
  <si>
    <t>海带结（400G*24包/箱）</t>
  </si>
  <si>
    <t>MODELO ESPECIAL（355ML*12瓶/箱）</t>
  </si>
  <si>
    <t>豆腐泡（170G*24包/箱）</t>
  </si>
  <si>
    <t>ROSE UMESHU JAPANESE PLUM WINE（300ML*12瓶</t>
  </si>
  <si>
    <t>MOMO NO OSAKE（300ML*12瓶/箱）</t>
  </si>
  <si>
    <t>SHO CHIKU BAI SPARKLING（300ML*12瓶/箱）</t>
  </si>
  <si>
    <t>SMIRNOFF ICE（330ML*24瓶/箱）</t>
  </si>
  <si>
    <t>蒜肉（5LB*4包/箱）</t>
  </si>
  <si>
    <t>长方盘11.8寸（72个/箱）</t>
  </si>
  <si>
    <t>生椰乳（1KG*20包/箱）</t>
  </si>
  <si>
    <t>调配椰子水（1.3KG*12包/箱）</t>
  </si>
  <si>
    <t>速冻椰子肉（500G*20包/箱）</t>
  </si>
  <si>
    <t>封口机（型号：LS-F8003）</t>
  </si>
  <si>
    <t>响铃卷（150G*16盒/箱）</t>
  </si>
  <si>
    <t>蒜肉（3LB*6包/箱）</t>
  </si>
  <si>
    <t>美味栈头抽（450ML*12瓶/箱）</t>
  </si>
  <si>
    <t>熟花生（1.5KG*2包/箱）</t>
  </si>
  <si>
    <t>有机香水椰青（6颗/箱）</t>
  </si>
  <si>
    <t>电磁炉面板</t>
  </si>
  <si>
    <t>马蹄（2.84L*6罐/箱）</t>
  </si>
  <si>
    <t>黑米（908G*12包/箱）</t>
  </si>
  <si>
    <t>蟹黄味瓜子仁（5KG/箱）</t>
  </si>
  <si>
    <t>蒜香青豌豆（5KG/箱）</t>
  </si>
  <si>
    <t>焦糖味爆米花（3.8KG/箱）</t>
  </si>
  <si>
    <t>船型粽叶（华喜，100片*30包/件）</t>
  </si>
  <si>
    <t>凤梨椰果（4KG*4瓶/箱）</t>
  </si>
  <si>
    <t>八爪鱼粒（2LB*5包/箱）</t>
  </si>
  <si>
    <t>蜂糖燕窝（73G*6瓶/盒）</t>
  </si>
  <si>
    <t>DX500抽纸（240抽*36包/箱）</t>
  </si>
  <si>
    <t>HIBIKI JAPANESE HARMONY威士忌（750ML/瓶）</t>
  </si>
  <si>
    <t>工程材料（加拿大7店）</t>
  </si>
  <si>
    <t>草莓味酸奶（93ML*24瓶/箱）</t>
  </si>
  <si>
    <t>香茅（100G/盒）</t>
  </si>
  <si>
    <t>今晚回家吃火锅礼盒（个）</t>
  </si>
  <si>
    <t>火箭鱿鱼（500G*20包/箱）</t>
  </si>
  <si>
    <t>虫草花（1LB*22袋/箱）</t>
  </si>
  <si>
    <t>燕麦奶（946ML*12瓶/箱）</t>
  </si>
  <si>
    <t>蔬菜粉（25G*120包/箱）</t>
  </si>
  <si>
    <t>厚乳味熊猫慕斯（300G*12包/箱）</t>
  </si>
  <si>
    <t>荔枝椰果（4KG*4瓶/箱）</t>
  </si>
  <si>
    <t>干绣球菌（5KG/箱）</t>
  </si>
  <si>
    <t>韩国蜂蜜柚子茶（1KG*9瓶/箱）</t>
  </si>
  <si>
    <t>彩虹椰果（4KG*6瓶/箱）</t>
  </si>
  <si>
    <t>优格爆爆珠（3.4KG/瓶）</t>
  </si>
  <si>
    <t>西瓜爆爆珠（3.4KG*4桶/箱）</t>
  </si>
  <si>
    <t>凤梨爆爆珠（3.4KG*4桶/箱）</t>
  </si>
  <si>
    <t>水蜜桃爆爆珠（3.4KG*4桶/箱）</t>
  </si>
  <si>
    <t>百香果爆爆珠（3.4KG*4桶/箱）</t>
  </si>
  <si>
    <t>蓝莓爆爆珠（3.4KG*4桶/箱）</t>
  </si>
  <si>
    <t>葡萄椰果（4KG*4桶/箱）</t>
  </si>
  <si>
    <t>草莓椰果（4KG*4桶/箱）</t>
  </si>
  <si>
    <t>原味椰果（4KG*4桶/箱）</t>
  </si>
  <si>
    <t>鲜藤椒（400G*45包/箱）</t>
  </si>
  <si>
    <t>豆花刀</t>
  </si>
  <si>
    <t>加汤机红色按钮</t>
  </si>
  <si>
    <t>砂轮</t>
  </si>
  <si>
    <t>升降机</t>
  </si>
  <si>
    <t>单晶冰糖（300G*40袋/箱）</t>
  </si>
  <si>
    <t>毛豆荚（5LB*5袋/箱）</t>
  </si>
  <si>
    <t>带头香虾（泰国，9-11，340G*20包/箱）</t>
  </si>
  <si>
    <t>红油辣椒面（翠宏，500G*100包/箱）</t>
  </si>
  <si>
    <t>意大利瓜（LB）</t>
  </si>
  <si>
    <t>带头老虎虾（8-12，454G*10盒/箱）</t>
  </si>
  <si>
    <t>奶香馒头（20颗*7包/箱）</t>
  </si>
  <si>
    <t>黑鱼片（250G*25袋/箱）</t>
  </si>
  <si>
    <t>炸鲜奶（10根*12包/箱）</t>
  </si>
  <si>
    <t>燕麦奶（1.75L/瓶）</t>
  </si>
  <si>
    <t>黄彩椒（LB）</t>
  </si>
  <si>
    <t>脆皖鱼（250G*30包/箱）</t>
  </si>
  <si>
    <t>创可贴（220个/盒）</t>
  </si>
  <si>
    <t>虫草花（10LB/袋）</t>
  </si>
  <si>
    <t>筒骨高汤（MOSI，1KG*10包/箱）</t>
  </si>
  <si>
    <t>鸡胸肉</t>
  </si>
  <si>
    <t>燕麦奶（1.75L*3瓶/箱）</t>
  </si>
  <si>
    <t>测试条（100条/瓶）</t>
  </si>
  <si>
    <t>青梅味椰子蛋糕（海底捞，450G*12盒/箱）</t>
  </si>
  <si>
    <t>鱿鱼须（300G*20包/箱）</t>
  </si>
  <si>
    <t>吸管（2000根/箱）</t>
  </si>
  <si>
    <t>鸭屎香茶（10KG/箱）</t>
  </si>
  <si>
    <t>奶酪鱼条（400G*16袋/箱）</t>
  </si>
  <si>
    <t>蓝莓（20LB/箱）</t>
  </si>
  <si>
    <t>马蹄爆爆珠（云翔，1KG*12包/箱）</t>
  </si>
  <si>
    <t>虎牙脆（旭源，100G*20包/箱）</t>
  </si>
  <si>
    <t>锅巴（旭源，100G*20包/箱）</t>
  </si>
  <si>
    <t>糟卤（宝鼎天鱼，2L*6瓶/件）</t>
  </si>
  <si>
    <t>蓝莓酱（310ML/罐）</t>
  </si>
  <si>
    <t>美乃滋（柯克兰，1.9L/瓶）</t>
  </si>
  <si>
    <t>扎啤（FORCELAGER，20L/桶）</t>
  </si>
  <si>
    <t>扎啤（FORCELAGER，50L/桶）</t>
  </si>
  <si>
    <t>郫县红油豆瓣（鹃城牌，4KG*4罐/箱）</t>
  </si>
  <si>
    <t>罗勒粉（775G/瓶）</t>
  </si>
  <si>
    <t>糖醇南瓜月饼（稻花村，100G*48个/箱）</t>
  </si>
  <si>
    <t>兔子慕斯蛋糕（30G*12个*10盒/箱）</t>
  </si>
  <si>
    <t>羊蝎子（LB）</t>
  </si>
  <si>
    <t>海藻沙拉（1KG*8包/箱）</t>
  </si>
  <si>
    <t>电子秤（香山，ACS-30-81）</t>
  </si>
  <si>
    <t>桂花（35G/包）</t>
  </si>
  <si>
    <t>茉莉清茶（1L/罐）</t>
  </si>
  <si>
    <t>糖桂花（320G/罐）</t>
  </si>
  <si>
    <t>红糖（360G*24包/箱）</t>
  </si>
  <si>
    <t>生晒头抽（粤香园，480ML*12瓶/箱）</t>
  </si>
  <si>
    <t>平和生抽（18L/桶）</t>
  </si>
  <si>
    <t>响铃卷（粮膳其味，180G*16盒/箱）</t>
  </si>
  <si>
    <t>红豆（400G*24包/箱）</t>
  </si>
  <si>
    <t>蟹柳可乐饼（27G*30小包/箱）</t>
  </si>
  <si>
    <t>爆浆金沙丸（3KG*6包/箱）</t>
  </si>
  <si>
    <t>咖喱粉（25KG/包）</t>
  </si>
  <si>
    <t>番薯粉（400G*30包/箱）</t>
  </si>
  <si>
    <t>红芭乐汁（1KG/瓶）</t>
  </si>
  <si>
    <t>雪蟹柳（丸将，200G*24包/箱）</t>
  </si>
  <si>
    <t>苹果（30LB/箱）</t>
  </si>
  <si>
    <t>番茄（11LB/箱）</t>
  </si>
  <si>
    <t>地瓜粉（玫瑰花牌，20KG/袋）</t>
  </si>
  <si>
    <t>君度（1.14ML/瓶）</t>
  </si>
  <si>
    <t>龙舌兰酒（1.14ML/瓶）</t>
  </si>
  <si>
    <t>毛笔</t>
  </si>
  <si>
    <t>绿咖喱酱（AROY-D，400G*24罐/箱）</t>
  </si>
  <si>
    <t>MACALLANDOUBLECASK15YRS（750ML/瓶）</t>
  </si>
  <si>
    <t>绿咖喱酱（AROY-D，1KG*12桶/箱）</t>
  </si>
  <si>
    <t>柚子（16KG/箱）</t>
  </si>
  <si>
    <t>咖色外卖纸盒（#8，1400ML，300个/箱）</t>
  </si>
  <si>
    <t>情侣杯（50个/箱）</t>
  </si>
  <si>
    <t>良姜（400G/包）</t>
  </si>
  <si>
    <t>纸吸管（8.5"8MM，2000根/箱）</t>
  </si>
  <si>
    <t>火锅鞭炮笋（200G*40包/箱）</t>
  </si>
  <si>
    <t>虎虾腐皮（250G*20包/箱）</t>
  </si>
  <si>
    <t>欧芹碎（14G/罐）</t>
  </si>
  <si>
    <t>木薯淀粉（500G*24包/箱）</t>
  </si>
  <si>
    <t>大黄米黑芝麻汤圆（454G*20包/箱）</t>
  </si>
  <si>
    <t>熟黄豆粉（1KG*10包/箱）</t>
  </si>
  <si>
    <t>泡椒酱（210G*24瓶/箱）</t>
  </si>
  <si>
    <t>青梅脆脆冰（80G*4包*6盒/箱）</t>
  </si>
  <si>
    <t>甜酸炸春卷（品坊，204G*12盒/箱）</t>
  </si>
  <si>
    <t>冰淇淋（PANGPARE，450ML/个，6个*6盒/箱）</t>
  </si>
  <si>
    <t>草莓椰果饮品（320ML*24瓶/箱）</t>
  </si>
  <si>
    <t>椰子椰果饮品（320ML*24瓶/箱）</t>
  </si>
  <si>
    <t>蜜瓜椰果饮品（320ML*24瓶/箱）</t>
  </si>
  <si>
    <t>荔枝椰果饮品（320ML*24瓶/箱）</t>
  </si>
  <si>
    <t>打包盒盖（1200ML，300个/箱）</t>
  </si>
  <si>
    <t>开花肠（海欣，2.27KG*4包/箱）</t>
  </si>
  <si>
    <t>芝士鱼曲奇（海欣，454G*20包/箱）</t>
  </si>
  <si>
    <t>黑胡椒鸭胸肉（167G*60包/箱）</t>
  </si>
  <si>
    <t>汤力水（355ML*12听/箱）</t>
  </si>
  <si>
    <t>MALIBURUM（700ML/瓶）</t>
  </si>
  <si>
    <t>什锦果汁（SUNRYPE，200ML*40瓶/箱）</t>
  </si>
  <si>
    <t>小黄鸭冰块模具</t>
  </si>
  <si>
    <t>撒粉圈</t>
  </si>
  <si>
    <t>速冻调味海茸（盖世，500G*20包/箱）</t>
  </si>
  <si>
    <t>封罐机罩子（亚克力）</t>
  </si>
  <si>
    <t>瓶子押金退回（桶）</t>
  </si>
  <si>
    <t>小米辣（盈棚，1KG*14包/件）</t>
  </si>
  <si>
    <t>不锈钢碗（员工）</t>
  </si>
  <si>
    <t>剪刀</t>
  </si>
  <si>
    <t>牛蹄筋（鲜）</t>
  </si>
  <si>
    <t>玉米淀粉（25KG/袋）</t>
  </si>
  <si>
    <t>科罗娜特级啤酒4.5度（330ML*24瓶/件）</t>
  </si>
  <si>
    <t>海胆仙桃（海欣，2.5KG*4包/件）</t>
  </si>
  <si>
    <t>鸳鸯锅（圆）</t>
  </si>
  <si>
    <t>金标生抽（海天，1.6L*6瓶/件）</t>
  </si>
  <si>
    <t>灰下栏盆-BJDF</t>
  </si>
  <si>
    <t>镇江香醋（恒顺，3L*4桶/件）</t>
  </si>
  <si>
    <t>淡奶油（METRO，1L/盒）</t>
  </si>
  <si>
    <t>八格调料盒（加厚，不锈钢）</t>
  </si>
  <si>
    <t>禁止平淡无糖薄荷糖（2.5KG*4包/件）-BJUD</t>
  </si>
  <si>
    <t>竹笙（500G/包）</t>
  </si>
  <si>
    <t>郫县豆瓣（鹃城牌，15KG/桶）</t>
  </si>
  <si>
    <t>新奥尔良腌料（百利，1KG*10包/件）</t>
  </si>
  <si>
    <t>便当盒（150套/件）</t>
  </si>
  <si>
    <t>鱼酸菜（盈棚，2KG*6包/件）</t>
  </si>
  <si>
    <t>电子秤（15KG）-BJHH</t>
  </si>
  <si>
    <t>牛板腱-HZQR</t>
  </si>
  <si>
    <t>芝麻酱（金喜门，5KG*4桶/件）</t>
  </si>
  <si>
    <t>传菜组黑色T恤长袖S号</t>
  </si>
  <si>
    <t>传菜组黑色T恤长袖M号</t>
  </si>
  <si>
    <t>传菜组黑色T恤长袖L号</t>
  </si>
  <si>
    <t>传菜组黑色T恤长袖XL号</t>
  </si>
  <si>
    <t>传菜组黑色T恤长袖XXL号</t>
  </si>
  <si>
    <t>传菜组黑色T恤长袖XXXL号</t>
  </si>
  <si>
    <t>传菜组黑色T恤短袖M号</t>
  </si>
  <si>
    <t>传菜组黑色T恤短袖L号</t>
  </si>
  <si>
    <t>传菜组黑色T恤短袖XL号</t>
  </si>
  <si>
    <t>传菜组黑色T恤短袖XXL号</t>
  </si>
  <si>
    <t>传菜组黑色T恤短袖XXXL号</t>
  </si>
  <si>
    <t>一次性袖套（纺织类，50只/包）</t>
  </si>
  <si>
    <t>酒酿小汤团（安井，250G*28包/件）</t>
  </si>
  <si>
    <t>榨菜芯（500G*20包/件）</t>
  </si>
  <si>
    <t>方形塑料防滑托盘（12个/箱）</t>
  </si>
  <si>
    <t>青口贝（1KG*10盒/件）</t>
  </si>
  <si>
    <t>中华面点玉兔奶黄包（思念，360G*24包/件）</t>
  </si>
  <si>
    <t>茴香小油条（千味央厨，240G*16袋/件）</t>
  </si>
  <si>
    <t>生抽酱油（海天，500ML*12瓶/件）</t>
  </si>
  <si>
    <t>芝麻酱（10KG/桶）</t>
  </si>
  <si>
    <t>黑色吸管（军盛，100根/包）</t>
  </si>
  <si>
    <t>洛神花饮料（润宝，1KG*12盒/件）</t>
  </si>
  <si>
    <t>安士勺（新力士，10ML）</t>
  </si>
  <si>
    <t>安士勺（新力士，20ML）</t>
  </si>
  <si>
    <t>安士勺（新力士，50ML）</t>
  </si>
  <si>
    <t>冰块铲（不锈钢，1号）</t>
  </si>
  <si>
    <t>不锈钢保温桶（40L）</t>
  </si>
  <si>
    <t>不锈钢桶（直径30CM，高30CM，30L）</t>
  </si>
  <si>
    <t>刮刀（三能）</t>
  </si>
  <si>
    <t>收台桶（白云，14L）</t>
  </si>
  <si>
    <t>午餐肉切片机</t>
  </si>
  <si>
    <t>虾滑模具（14*8*1.7CM）</t>
  </si>
  <si>
    <t>虾滑抹刀</t>
  </si>
  <si>
    <t>扎水车（白云，32L）</t>
  </si>
  <si>
    <t>蒸锅（不锈钢，直径40CM）</t>
  </si>
  <si>
    <t>碟夹</t>
  </si>
  <si>
    <t>火锅涮煮漏（不锈钢）</t>
  </si>
  <si>
    <t>风罩（新式电磁炉）</t>
  </si>
  <si>
    <t>盖子（新式电磁炉）</t>
  </si>
  <si>
    <t>过滤器（新式电磁炉）</t>
  </si>
  <si>
    <t>方锅（电磁炉鸳鸯锅，个，340*340*100MM）</t>
  </si>
  <si>
    <t>方锅（电磁炉四宫格，340*340*100MM）</t>
  </si>
  <si>
    <t>豆浆砂轮（蜜蜂，150型）</t>
  </si>
  <si>
    <t>羊肉机（富士龙，WHBG-351STC-3，351型落地）</t>
  </si>
  <si>
    <t>切葱机（润桥，RQJ-2，220V，90W，410*300*520）</t>
  </si>
  <si>
    <t>IPAD保护壳</t>
  </si>
  <si>
    <t>前堂小票打印机</t>
  </si>
  <si>
    <t>压豆花架（YGC-02，465*345*200MM）</t>
  </si>
  <si>
    <t>衣套（绿色棉麻）</t>
  </si>
  <si>
    <t>网络计件器主机（海普天，HPT-ARM1002G）</t>
  </si>
  <si>
    <t>钥匙扣卡（方形2号卡）</t>
  </si>
  <si>
    <t>等座凳子（精益化，380*450MM）</t>
  </si>
  <si>
    <t>扁钢推车（精益化，757*443*878MM）</t>
  </si>
  <si>
    <t>标识牌（推）</t>
  </si>
  <si>
    <t>标识牌（拉）</t>
  </si>
  <si>
    <t>火锅盖板</t>
  </si>
  <si>
    <t>滑轨（顶固，18寸）</t>
  </si>
  <si>
    <t>充电式电动红酒开瓶器</t>
  </si>
  <si>
    <t>球形斜口碗（黄色，10寸）</t>
  </si>
  <si>
    <t>调料缸（直径20CM）</t>
  </si>
  <si>
    <t>冬季前堂女上衣（粉红色，S号）</t>
  </si>
  <si>
    <t>冬季前堂女上衣（粉红色，M号）</t>
  </si>
  <si>
    <t>冬季前堂女上衣（粉红色，L号）</t>
  </si>
  <si>
    <t>冬季前堂女上衣（粉红色，XL号）</t>
  </si>
  <si>
    <t>冬季前堂女上衣（粉红色，XXL号）</t>
  </si>
  <si>
    <t>冬季前堂女上衣（粉红色，XXXL号）</t>
  </si>
  <si>
    <t>后堂操作间女工服S号</t>
  </si>
  <si>
    <t>后堂操作间女工服M号</t>
  </si>
  <si>
    <t>后堂操作间女工服L号</t>
  </si>
  <si>
    <t>后堂操作间女工服XL号</t>
  </si>
  <si>
    <t>后堂操作间女工服XXL号</t>
  </si>
  <si>
    <t>后堂操作间女工服XXXL号</t>
  </si>
  <si>
    <t>后堂操作间男工服L号</t>
  </si>
  <si>
    <t>后堂操作间男工服XL号</t>
  </si>
  <si>
    <t>后堂操作间男工服XXL号</t>
  </si>
  <si>
    <t>后堂操作间男工服XXXL号</t>
  </si>
  <si>
    <t>后堂操作间男工服XXXXL号</t>
  </si>
  <si>
    <t>捞面工作服白色（冬）XXXXL号</t>
  </si>
  <si>
    <t>前堂女款围裙（粉红色）</t>
  </si>
  <si>
    <t>传菜组黑色T恤长袖XXXXL号</t>
  </si>
  <si>
    <t>无底锅架</t>
  </si>
  <si>
    <t>大漏网（直径22CM，把长29CM）</t>
  </si>
  <si>
    <t>小漏网（直径16CM，把长28.5CM）</t>
  </si>
  <si>
    <t>防尘服（XL号）</t>
  </si>
  <si>
    <t>冬季担当女上衣S</t>
  </si>
  <si>
    <t>冬季担当女上衣M</t>
  </si>
  <si>
    <t>冬季担当女上衣XXXL</t>
  </si>
  <si>
    <t>冬季担当女上衣XXXXL</t>
  </si>
  <si>
    <t>平底水瓢（5斤）</t>
  </si>
  <si>
    <t>果汁壶盖子（8565）</t>
  </si>
  <si>
    <t>PC圆形花瓣果盘（8137，直径25CM，28个/箱）</t>
  </si>
  <si>
    <t>自助调料勺</t>
  </si>
  <si>
    <t>加汤机排风扇（220V，120*120MM）</t>
  </si>
  <si>
    <t>不锈钢托盘（36*27*2CM）</t>
  </si>
  <si>
    <t>夏季前后堂男裤L号</t>
  </si>
  <si>
    <t>夏季前后堂男裤XL号</t>
  </si>
  <si>
    <t>夏季前后堂男裤XXL号</t>
  </si>
  <si>
    <t>捞面工作服白色（夏）S号</t>
  </si>
  <si>
    <t>捞面工作服白色（夏）M号</t>
  </si>
  <si>
    <t>捞面工作服白色（夏）L号</t>
  </si>
  <si>
    <t>后堂女上衣白色（夏）XXXXL号</t>
  </si>
  <si>
    <t>捞面工作服白色（夏）XXXL号</t>
  </si>
  <si>
    <t>撒粉罐（40目，6*8CM，带防尘盖）</t>
  </si>
  <si>
    <t>智慧餐厅操作间围裙（黑色）</t>
  </si>
  <si>
    <t>2255白色储物箱盖（定制）</t>
  </si>
  <si>
    <t>小转运箱</t>
  </si>
  <si>
    <t>无底锅圈（上口19CM）</t>
  </si>
  <si>
    <t>电磁炉线控（雅乐思，C1X-A30X2，3000W圆形288款专用）</t>
  </si>
  <si>
    <t>虾滑磨具（大，120G）</t>
  </si>
  <si>
    <t>锦箨大盘（密胺，60个/件）</t>
  </si>
  <si>
    <t>贝壳盘（水果盘，白色）</t>
  </si>
  <si>
    <t>白色双格方形子母盘10寸（密胺，50个/件）</t>
  </si>
  <si>
    <t>黑色扇形盘（10个*5盒/件）</t>
  </si>
  <si>
    <t>黑色豆角盘（10个*6盒/件）</t>
  </si>
  <si>
    <t>黑色异形盘（10个*5盒/件）</t>
  </si>
  <si>
    <t>磨砂异形碗（6个*16盒/件）</t>
  </si>
  <si>
    <t>黑色大斜口碗（黑色密胺，35个/件）</t>
  </si>
  <si>
    <t>黑色小斜口碗（黑色密胺，35个/件）</t>
  </si>
  <si>
    <t>磨砂长方盘（黑色密胺，10个*3盒/件）</t>
  </si>
  <si>
    <t>磨砂圆盘（10个*4盒/件）</t>
  </si>
  <si>
    <t>长曲盘（密胺，30个*2盒/件）</t>
  </si>
  <si>
    <t>丸滑勺（黑色密胺，50个*4盒/件）</t>
  </si>
  <si>
    <t>便携带筷（双枪，100套/箱）</t>
  </si>
  <si>
    <t>小嗨计时泡面碗（18个/件）</t>
  </si>
  <si>
    <t>小四方碗（密胺，50个*4盒/件）</t>
  </si>
  <si>
    <t>盒装穿戴甲（联名款，01-23小嗨米菲-恭喜福兔，32片/盒）</t>
  </si>
  <si>
    <t>盒装穿戴甲（联名款，02-23小嗨米菲-大吉大利，32片/盒）</t>
  </si>
  <si>
    <t>盒装穿戴甲（联名款，03-23米菲-奔兔灯笼，32片/盒）</t>
  </si>
  <si>
    <t>盒装穿戴甲（联名款，04-23米菲-2023，32片/盒）</t>
  </si>
  <si>
    <t>盒装穿戴甲（联名款，05-23米菲-大吉大利，32片/盒）</t>
  </si>
  <si>
    <t>盒装穿戴甲（联名款，06-23米菲-好事成兔，32片/盒）</t>
  </si>
  <si>
    <t>合金筷（海外专用，300*8*4MM，1000双/件）</t>
  </si>
  <si>
    <t>西餐叉（砂光）</t>
  </si>
  <si>
    <t>西餐勺（砂光）</t>
  </si>
  <si>
    <t>奶茶保温桶（6L）</t>
  </si>
  <si>
    <t>员工成长纪念本</t>
  </si>
  <si>
    <t>福至发梢头饰组合（米菲联名）</t>
  </si>
  <si>
    <t>瓷事圆满餐具礼盒</t>
  </si>
  <si>
    <t>福兔迎春马克杯</t>
  </si>
  <si>
    <t>春风得意福气包（常规款）</t>
  </si>
  <si>
    <t>长方盘14.5寸（密胺，20个/件）</t>
  </si>
  <si>
    <t>白色斗笠碗（大，90个/件）</t>
  </si>
  <si>
    <t>白色斗笠碗（小，150个/件）</t>
  </si>
  <si>
    <t>小嗨发夹（170个/件）</t>
  </si>
  <si>
    <t>小嗨毛毯（大印花，50条/件）</t>
  </si>
  <si>
    <t>小嗨毛毯（小印花，50条/件）</t>
  </si>
  <si>
    <t>小嗨零钱包（300个/件）</t>
  </si>
  <si>
    <t>小嗨吉祥包挂绳（500个/件）</t>
  </si>
  <si>
    <t>小嗨吉祥铃铛挂绳（500个/件）</t>
  </si>
  <si>
    <t>小嗨冰箱贴（500个/件）</t>
  </si>
  <si>
    <t>小嗨明信片（33张*120套/件）</t>
  </si>
  <si>
    <t>四方盘（6寸，120个/件）</t>
  </si>
  <si>
    <t>抱枕枕套（金华）</t>
  </si>
  <si>
    <t>海鲜盘（密胺，20个/套）</t>
  </si>
  <si>
    <t>小圆盘（美标，密胺，60个/件）</t>
  </si>
  <si>
    <t>凉水壶（磨砂，1.3L，6.7*7.5*28CM）</t>
  </si>
  <si>
    <t>果酒杯（“圈HI”LOGO，磨砂，50ML，48个/件）</t>
  </si>
  <si>
    <t>发饰套装（米菲联名，礼品）</t>
  </si>
  <si>
    <t>感温变色马克杯（米菲联名，礼品）</t>
  </si>
  <si>
    <t>帆布包（米菲联名，礼品）</t>
  </si>
  <si>
    <t>小磨砂圆盘（10个*4盒/箱）</t>
  </si>
  <si>
    <t>食材双人筷（定制，礼品，100盒/箱）</t>
  </si>
  <si>
    <t>潜心碗中（密胺，4.5寸，80个/件）</t>
  </si>
  <si>
    <t>潜心碗中（华南，白瓷，4.5寸，96个/件）</t>
  </si>
  <si>
    <t>颈枕（定制礼品）</t>
  </si>
  <si>
    <t>一次性无纺布围裙（儿童款，50条*20袋/箱）</t>
  </si>
  <si>
    <t>火锅盖板（老款，黄色，450*450*5MM）</t>
  </si>
  <si>
    <t>火锅盖板（老款，红色，450*450*5MM）</t>
  </si>
  <si>
    <t>火锅盖板（新款，黄色，450*450*5MM）</t>
  </si>
  <si>
    <t>火锅盖板（新款，红色，450*450*5MM）</t>
  </si>
  <si>
    <t>龙年-福气包组合</t>
  </si>
  <si>
    <t>龙年-刺绣红包</t>
  </si>
  <si>
    <t>龙年-亚克力磁吸相框</t>
  </si>
  <si>
    <t>龙年-舞龙拼插台历</t>
  </si>
  <si>
    <t>龙年-摆件盲盒</t>
  </si>
  <si>
    <t>龙年-龙宝抱肩胸章</t>
  </si>
  <si>
    <t>龙年-龙头帽</t>
  </si>
  <si>
    <t>龙年-立体眼罩</t>
  </si>
  <si>
    <t>龙年-按摩捶</t>
  </si>
  <si>
    <t>龙年-颈枕</t>
  </si>
  <si>
    <t>龙年-舞龙玩具</t>
  </si>
  <si>
    <t>龙年-挂件</t>
  </si>
  <si>
    <t>龙年-拉花</t>
  </si>
  <si>
    <t>龙年-纸袋</t>
  </si>
  <si>
    <t>龙年-窗贴门贴</t>
  </si>
  <si>
    <t>小嗨龙头帽</t>
  </si>
  <si>
    <t>小嗨毛毡卡包（5个/包）</t>
  </si>
  <si>
    <t>衣套（灰色）</t>
  </si>
  <si>
    <t>海底捞暖手袋</t>
  </si>
  <si>
    <t>猜拳玩具（加拿大，3岁及以上，4款混装，50个/件）</t>
  </si>
  <si>
    <t>小嗨双面毛绒组合包</t>
  </si>
  <si>
    <t>小嗨黑色发绳</t>
  </si>
  <si>
    <t>小嗨亲亲款挂件</t>
  </si>
  <si>
    <t>小嗨亲亲款发夹</t>
  </si>
  <si>
    <t>小嗨缤纷笔记本</t>
  </si>
  <si>
    <t>陶面方形味碟（海外，5.1寸，12.8*12.8*3.2CM，10个*8盒/件）</t>
  </si>
  <si>
    <t>小嗨蓝色书包</t>
  </si>
  <si>
    <t>小嗨黄色书包</t>
  </si>
  <si>
    <t>杯子贴纸-CAN</t>
  </si>
  <si>
    <t>精益化凳子  （380*450MM）</t>
  </si>
  <si>
    <t>发圈（彩色，200个/包）</t>
  </si>
  <si>
    <t>熊猫夹子挂件玩具（3岁以上，50个/件）</t>
  </si>
  <si>
    <t>擦桌子白毛巾涤棉（尚雪，10条*25袋/件）</t>
  </si>
  <si>
    <t>帆布袋（开锅见喜，定制，除油包）</t>
  </si>
  <si>
    <t>帆布袋（神机妙涮，定制，除油包）</t>
  </si>
  <si>
    <t>圆形透亮钢化杯（弓箭，48只/件）</t>
  </si>
  <si>
    <t>一次性叉勺套装（14CM，100套*10袋/件）</t>
  </si>
  <si>
    <t>一次性勺子（10CM，100套*10袋/件）</t>
  </si>
  <si>
    <t>30TH变脸熊猫-陪吃娃娃</t>
  </si>
  <si>
    <t>30TH变脸熊猫-毛绒包</t>
  </si>
  <si>
    <t>30TH变脸熊猫-贴纸</t>
  </si>
  <si>
    <t>30TH变脸熊猫-随行杯经典款</t>
  </si>
  <si>
    <t>30TH变脸熊猫-随行杯带头款</t>
  </si>
  <si>
    <t>30TH红色水波纹杜邦纸袋</t>
  </si>
  <si>
    <t>30TH变脸熊猫-红色杜邦纸袋</t>
  </si>
  <si>
    <t>30TH变脸熊猫-白色杜邦纸袋</t>
  </si>
  <si>
    <t>30TH变脸熊猫-镭射包</t>
  </si>
  <si>
    <t>龙头帽-小嗨零钱包（50个*4包/件）</t>
  </si>
  <si>
    <t>好运常在福袋挂饰（龙年礼品，通用款，200个/件）</t>
  </si>
  <si>
    <t>变脸熊猫-人偶服</t>
  </si>
  <si>
    <t>夏季红色捞面服（工装款，M码）</t>
  </si>
  <si>
    <t>冬季红色捞面服（工装款，M码）</t>
  </si>
  <si>
    <t>夏季红色捞面服（工装款，L码）</t>
  </si>
  <si>
    <t>冬季红色捞面服（工装款，L码）</t>
  </si>
  <si>
    <t>夏季红色捞面服（工装款，XL码）</t>
  </si>
  <si>
    <t>冬季红色捞面服（工装款，XL码）</t>
  </si>
  <si>
    <t>夏季红色捞面服（工装款，XXL码）</t>
  </si>
  <si>
    <t>冬季红色捞面服（工装款，XXL码）</t>
  </si>
  <si>
    <t>夏季红色捞面服（工装款，XXXL码）</t>
  </si>
  <si>
    <t>猫咪模具（20个/盒）</t>
  </si>
  <si>
    <t>小熊模具（30个/盒）</t>
  </si>
  <si>
    <t>捞捞熊猫毛绒公仔（定制礼品）</t>
  </si>
  <si>
    <t>蜂蜜罐热狗毛绒公仔</t>
  </si>
  <si>
    <t>蜂蜜罐牛角包毛绒公仔</t>
  </si>
  <si>
    <t>蜂蜜罐法棍家族毛绒公仔</t>
  </si>
  <si>
    <t>蜂蜜罐泡面毛绒公仔</t>
  </si>
  <si>
    <t>蜂蜜罐吐司毛绒公仔</t>
  </si>
  <si>
    <t>30周年员工徽章（定制）</t>
  </si>
  <si>
    <t>传菜垫子（泡沫，0.46M*15M）</t>
  </si>
  <si>
    <t>吊旗型材（900，吊杆+配件包）</t>
  </si>
  <si>
    <t>变脸公仔玩具（加拿大标准，6岁及以上，50个/件）</t>
  </si>
  <si>
    <t>伸缩龙娃玩具（加拿大标准，3岁及以上，50个/件）</t>
  </si>
  <si>
    <t>摇摆福龙玩具（加拿大标准，3岁及以上，50个/件）</t>
  </si>
  <si>
    <t>番茄抱枕（定制，礼品）</t>
  </si>
  <si>
    <t>海底捞场景积木（20个/箱，4款平均分配，加拿大）</t>
  </si>
  <si>
    <t>纸吸管（10*300MM，100支*40包/件）</t>
  </si>
  <si>
    <t>煲鱼袋（12*16加大，型号1707，12个*10板/包）</t>
  </si>
  <si>
    <t>海底捞卡通眼罩（10个/盒）</t>
  </si>
  <si>
    <t>福袋抱枕（定制礼品，25个/箱）</t>
  </si>
  <si>
    <t>海底捞祝福袜（女士，2双/盒）</t>
  </si>
  <si>
    <t>海底捞祝福袜（男士，2双/盒）</t>
  </si>
  <si>
    <t>海底捞毛绒发带（10个/捆）</t>
  </si>
  <si>
    <t>掼蛋扑克牌（10盒/组）</t>
  </si>
  <si>
    <t>充气颈枕（5个*6袋/箱）</t>
  </si>
  <si>
    <t>户外野餐垫（5个/捆）</t>
  </si>
  <si>
    <t>小捞捞儿童双肩包（4色各一个，4个/捆）</t>
  </si>
  <si>
    <t>Z30</t>
  </si>
  <si>
    <t>夏季冰袖（男女各两款两色，4对/袋）</t>
  </si>
  <si>
    <t>压缩毛巾（7个*10盒/箱）</t>
  </si>
  <si>
    <t>文具盲袋（混发，8袋/捆）</t>
  </si>
  <si>
    <t>电磁炉控制器（SR-261R，SR-227R，SR-141R型号通用）</t>
  </si>
  <si>
    <t>独立连袋包装棉签（双头棉纸棒，100支*250包/件）</t>
  </si>
  <si>
    <t>螺纹款发圈（100条/包，彩色）</t>
  </si>
  <si>
    <t>牙线棒（双枪，500支*20包/件）</t>
  </si>
  <si>
    <t>冬季担当女工服（S码，黑色）</t>
  </si>
  <si>
    <t>夏季担当男工服（S码，黑色）</t>
  </si>
  <si>
    <t>夏季担当女工服（S码，黑色）</t>
  </si>
  <si>
    <t>冬季担当男工服（M码，黑色）</t>
  </si>
  <si>
    <t>冬季担当男工服（L码，黑色）</t>
  </si>
  <si>
    <t>冬季担当男工服（XL码，黑色）</t>
  </si>
  <si>
    <t>冬季担当男工服（2XL码，黑色）</t>
  </si>
  <si>
    <t>冬季担当男工服（3XL码，黑色）</t>
  </si>
  <si>
    <t>冬季担当男工服（4XL码，黑色）</t>
  </si>
  <si>
    <t>冬季担当女工服（M码，黑色）</t>
  </si>
  <si>
    <t>冬季担当女工服（L码，黑色）</t>
  </si>
  <si>
    <t>冬季担当女工服（XL码，黑色）</t>
  </si>
  <si>
    <t>冬季担当女工服（2XL码，黑色）</t>
  </si>
  <si>
    <t>冬季担当女工服（3XL码，黑色）</t>
  </si>
  <si>
    <t>冬季担当女工服（4XL码，黑色）</t>
  </si>
  <si>
    <t>夏季担当男工服（M码，黑色）</t>
  </si>
  <si>
    <t>夏季担当女工服（4XL码，黑色）</t>
  </si>
  <si>
    <t>一次性围裙（PE，106CM长，100个*25包/件）</t>
  </si>
  <si>
    <t>加汤挡汤板</t>
  </si>
  <si>
    <t>生日帽熊猫款（10个/捆）</t>
  </si>
  <si>
    <t>仿真水果蔬菜摆件（6个*10组/袋）</t>
  </si>
  <si>
    <t>亚克力手机气囊支架（100个/箱）</t>
  </si>
  <si>
    <t>番茄发箍（50个/箱）</t>
  </si>
  <si>
    <t>软胶番茄挂件（100个/箱）</t>
  </si>
  <si>
    <t>番茄包（可手拿斜挎，50个/箱）</t>
  </si>
  <si>
    <t>磁吸海报靠墙卡座墙面（B款，长*宽1100*850MM）</t>
  </si>
  <si>
    <t>磁吸海报靠墙卡座墙面（C款，长*宽1100*850MM）</t>
  </si>
  <si>
    <t>磁吸海报中岛卡座侧墙（A款，长*宽2200*850MM）</t>
  </si>
  <si>
    <t>磁吸海报中岛卡座侧墙（B款，长*宽2200*850MM）</t>
  </si>
  <si>
    <t>磁吸海报中岛卡座侧墙（C款，长*宽2200*850MM）</t>
  </si>
  <si>
    <t>小磁吸海报走道侧面（B款，长*宽900*1200MM）</t>
  </si>
  <si>
    <t>大磁吸海报走道侧面（A款，长*宽900*1400MM）</t>
  </si>
  <si>
    <t>大磁吸海报走道侧面（B款，长*宽900*1400MM）</t>
  </si>
  <si>
    <t>大磁吸海报走道侧面（C款，长*宽900*1400MM）</t>
  </si>
  <si>
    <t>大吊旗正反面（A款，长*宽1200*400MM）</t>
  </si>
  <si>
    <t>小吊旗正反面（A款，长*宽900*400MM）</t>
  </si>
  <si>
    <t>小号自封收纳袋（170*120MM，100个*10小包*10袋/箱）</t>
  </si>
  <si>
    <t>球形灯笼（10个/包）</t>
  </si>
  <si>
    <t>锦缎立体印扇子（5个/包）</t>
  </si>
  <si>
    <t>丝巾B款（仿真丝，5条/包）</t>
  </si>
  <si>
    <t>中秋礼盒（10套/箱）</t>
  </si>
  <si>
    <t>月饼盒子（4款混装，20个/包）</t>
  </si>
  <si>
    <t>中秋拼图套装（5套/包）</t>
  </si>
  <si>
    <t>彩虹色笔记本</t>
  </si>
  <si>
    <t>小捞捞贴纸（50张/包）</t>
  </si>
  <si>
    <t>小捞捞扇子（10个/捆）</t>
  </si>
  <si>
    <t>会员桌牌金海（加拿大，50个/包）</t>
  </si>
  <si>
    <t>会员桌牌银海（加拿大，50个/包）</t>
  </si>
  <si>
    <t>会员桌牌黑海（加拿大，50个/包）</t>
  </si>
  <si>
    <t>小捞捞生日桌牌（50个/包）</t>
  </si>
  <si>
    <t>小捞捞吊旗画面（900*400CM）</t>
  </si>
  <si>
    <t>大打包纸袋（牛皮纸，小捞捞系列，200个/件）</t>
  </si>
  <si>
    <t>小打包纸袋（牛皮纸，小捞捞系列，300个/件）</t>
  </si>
  <si>
    <t>零食打包纸袋（牛皮纸，小捞捞系列，1000个/件）</t>
  </si>
  <si>
    <t>小捞捞头箍气球（50个/包）</t>
  </si>
  <si>
    <t>海底捞便携压缩毛巾（10粒*10盒/包）</t>
  </si>
  <si>
    <t>福袋拎袋宠物窝（小猫/小狗/兔子等小型宠物，5个/捆）</t>
  </si>
  <si>
    <t>番茄猫窝（猫咪，5个/捆）</t>
  </si>
  <si>
    <t>逗猫棒（猫咪，混装，4款/包）</t>
  </si>
  <si>
    <t>宠物口水巾（猫/狗均可以，2款混发，10个/包）</t>
  </si>
  <si>
    <t>宠物贴纸（100张/包）</t>
  </si>
  <si>
    <t>七色标签混装（3*4CM，每色5卷，35卷/件）</t>
  </si>
  <si>
    <t>万圣糖果挎包（5个/包）</t>
  </si>
  <si>
    <t>万圣南瓜隐藏公仔（5个/包）</t>
  </si>
  <si>
    <t>万圣熊猫吸血鬼抱枕（5个/包）</t>
  </si>
  <si>
    <t>万圣手机支架（10个/包）</t>
  </si>
  <si>
    <t>万圣魔方（倒角，10个/包）</t>
  </si>
  <si>
    <t>万圣汽车抱枕空调被（打开是个被子，1个/包）</t>
  </si>
  <si>
    <t>万圣汽车颈枕（5个/包）</t>
  </si>
  <si>
    <t>万圣纹身贴（50张/包）</t>
  </si>
  <si>
    <t>万圣糖果袋（100个/包）</t>
  </si>
  <si>
    <t>万圣毛毡发卡（5对/包）</t>
  </si>
  <si>
    <t>万圣亚克力胸针（10个/包）</t>
  </si>
  <si>
    <t>番茄树摆件（带6个装饰小番茄，6个/箱）</t>
  </si>
  <si>
    <t>番茄树装饰小番茄（100个/箱）</t>
  </si>
  <si>
    <t>毛绒番茄挂件（70个/箱）</t>
  </si>
  <si>
    <t>可折叠番茄手环（100个/箱）</t>
  </si>
  <si>
    <t>单支番茄花束（40个/箱）</t>
  </si>
  <si>
    <t>番茄花束套装（8套/箱）</t>
  </si>
  <si>
    <t>门店番茄套圈互动番茄摆件（40个/箱）</t>
  </si>
  <si>
    <t>门店番茄套圈互动套装</t>
  </si>
  <si>
    <t>番茄锅套装摆件（10套/箱）</t>
  </si>
  <si>
    <t>番茄绘本（100个/箱）</t>
  </si>
  <si>
    <t>儿童一次性围裙（100个*5包/箱）</t>
  </si>
  <si>
    <t>圣诞手环气球（小捞捞款，500个/箱）</t>
  </si>
  <si>
    <t>圣诞手环气球（圣诞树款，500个/箱）</t>
  </si>
  <si>
    <t>圣诞头饰（300个/箱）</t>
  </si>
  <si>
    <t>圣诞手机挂绳（50个/箱）</t>
  </si>
  <si>
    <t>圣诞手机支架（50个/箱）</t>
  </si>
  <si>
    <t>圣诞手链（整串，50条/箱）</t>
  </si>
  <si>
    <t>圣诞手链-花环配件（100个/包）</t>
  </si>
  <si>
    <t>圣诞手链-LOGO配件（100个/包）</t>
  </si>
  <si>
    <t>圣诞手链-铃铛配件（100个/包）</t>
  </si>
  <si>
    <t>圣诞手链-雪花配件（100个/包）</t>
  </si>
  <si>
    <t>圣诞手链-配件圣诞树（100个/包）</t>
  </si>
  <si>
    <t>圣诞拼图（100个/箱）</t>
  </si>
  <si>
    <t>圣诞锌合金徽章小捞捞A（100个/箱）</t>
  </si>
  <si>
    <t>圣诞锌合金徽章小捞捞B（100个/箱）</t>
  </si>
  <si>
    <t>圣诞马克杯（20个/箱）</t>
  </si>
  <si>
    <t>圣诞花环抱枕（8个/箱）</t>
  </si>
  <si>
    <t>圣诞小元素玻璃贴（9款/套）</t>
  </si>
  <si>
    <t>圣诞大吊旗（长*宽1200*400MM）</t>
  </si>
  <si>
    <t>圣诞磁吸海报中岛卡座侧墙（长*宽2200*850MM）</t>
  </si>
  <si>
    <t>圣诞大磁吸海报走道侧面（长*宽900*1400MM）</t>
  </si>
  <si>
    <t>圣诞小磁吸海报走道侧面（长*宽900*1200MM）</t>
  </si>
  <si>
    <t>圣诞小料台灯箱软膜</t>
  </si>
  <si>
    <t>圣诞无等位区门店室外圣诞树玻璃贴</t>
  </si>
  <si>
    <t>圣诞无等位区门店室外许愿树玻璃贴</t>
  </si>
  <si>
    <t>圣诞挂饰（2款/套）</t>
  </si>
  <si>
    <t>圣诞临街版门店室外玻璃贴（4款/套）</t>
  </si>
  <si>
    <t>圣诞小火车玻璃贴</t>
  </si>
  <si>
    <t>圣诞室内玻璃贴（2款/套）</t>
  </si>
  <si>
    <t>圣诞小捞捞玻璃贴（2款/套）</t>
  </si>
  <si>
    <t>圣诞嗨圈装饰花环</t>
  </si>
  <si>
    <t>圣诞吊卡（2款/套）</t>
  </si>
  <si>
    <t>圣诞礼物盒子（2款/套）</t>
  </si>
  <si>
    <t>圣诞小捞捞打卡立牌（无镂空）</t>
  </si>
  <si>
    <t>圣诞小火车立牌</t>
  </si>
  <si>
    <t>圣诞树（A款）</t>
  </si>
  <si>
    <t>圣诞树B款</t>
  </si>
  <si>
    <t>春节头绳（400个/箱）</t>
  </si>
  <si>
    <t>春节小捞捞手机支架（100个/箱）</t>
  </si>
  <si>
    <t>春节小捞捞红包（6款*400套/箱）</t>
  </si>
  <si>
    <t>春节小捞捞福字对联套装（100套/箱）</t>
  </si>
  <si>
    <t>春节小捞捞亚克力冰箱贴（6款*200套/箱）</t>
  </si>
  <si>
    <t>春节小捞捞拉线元宝毛绒公仔（20个/箱）</t>
  </si>
  <si>
    <t>春节小捞捞限定毛绒公仔（6个/箱）</t>
  </si>
  <si>
    <t>春节小捞捞剪纸（10款随机混装，50张/包）</t>
  </si>
  <si>
    <t>春节福气满满锅（10个/箱）</t>
  </si>
  <si>
    <t>春节毛绒蔬果食材（5个*20套/箱）</t>
  </si>
  <si>
    <t>感恩季定制圣诞树（6个/箱）</t>
  </si>
  <si>
    <t>感恩季定制圣诞树挂件（5个*12套/箱）</t>
  </si>
  <si>
    <t>春节蜂窝球立柱（含5个蜂窝球+配件）</t>
  </si>
  <si>
    <t>春节蜂窝球桌飘（含6个蜂窝球+配件）</t>
  </si>
  <si>
    <t>春节大型氛围气球</t>
  </si>
  <si>
    <t>春节福字道具（配2支笔，50张*2包/套）</t>
  </si>
  <si>
    <t>春节大磁吸海报（长*宽2200*850MM）</t>
  </si>
  <si>
    <t>春节大吊旗（长*宽1200*400MM）</t>
  </si>
  <si>
    <t>春节好运飘带（20个/包）</t>
  </si>
  <si>
    <t>春节菜品插牌（3款*50套/包）</t>
  </si>
  <si>
    <t>春节团扇（大中小各两个，6个/套）</t>
  </si>
  <si>
    <t>春节抽拉式杯套（匹配直筒杯，口径66MM，50个/捆）</t>
  </si>
  <si>
    <t>二级踏梯（特耐适，型号6932）</t>
  </si>
  <si>
    <t>魔法棒玩具（加拿大，3岁及以上，心之恋、蝴蝶两款混装，50个/箱）</t>
  </si>
  <si>
    <t>手持风扇玩具（加拿大，3岁及以上，白菜款、桃子款两款混装，50个/箱）</t>
  </si>
  <si>
    <t>手持风扇玩具（加拿大，3岁及以上，福袋款、玉米款两款混装，50个/箱）</t>
  </si>
  <si>
    <t>亚克力相框（50套/箱）</t>
  </si>
  <si>
    <t>情侣马克杯（20套/箱）</t>
  </si>
  <si>
    <t>魔术贺卡（500套/箱）</t>
  </si>
  <si>
    <t>大爱心贺卡（500个/箱）</t>
  </si>
  <si>
    <t>纹身贴（500张/箱）</t>
  </si>
  <si>
    <t>情侣围裙（20套/箱）</t>
  </si>
  <si>
    <t>门口小推车钢架主体（不含画面）</t>
  </si>
  <si>
    <t>320门口小推车画面（套）</t>
  </si>
  <si>
    <t>320大吊旗（宽*高1200*400MM）</t>
  </si>
  <si>
    <t>320小吊旗（宽*高900*400MM）</t>
  </si>
  <si>
    <t>320橱窗贴（B款）</t>
  </si>
  <si>
    <t>320橱窗贴（C款，生日蛋糕款）</t>
  </si>
  <si>
    <t>320橱窗贴（D款，火锅款）</t>
  </si>
  <si>
    <t>320生日袋（A款，金色款）</t>
  </si>
  <si>
    <t>320生日袋（B款，常规款）</t>
  </si>
  <si>
    <t>320生日袋（C款，生日蛋糕款）</t>
  </si>
  <si>
    <t>320地贴</t>
  </si>
  <si>
    <t>320小捞捞毛绒挂件盲盒（6个*15套/箱）</t>
  </si>
  <si>
    <t>320小捞捞冰箱贴盲袋（15个*25套/箱）</t>
  </si>
  <si>
    <t>320帆布袋（50个/箱）</t>
  </si>
  <si>
    <t>320小蛋糕服套装（1套/箱）</t>
  </si>
  <si>
    <t>320生日发箍（50个/箱）</t>
  </si>
  <si>
    <t>320生日头饰（100个/箱）</t>
  </si>
  <si>
    <t>320立体拼图（50个/箱）</t>
  </si>
  <si>
    <t>320蛋糕积木（10个/箱）</t>
  </si>
  <si>
    <t>辅助包（含围裙，60个/箱）</t>
  </si>
  <si>
    <t>黑色背带围裙（120*90CM，170CM以上）</t>
  </si>
  <si>
    <t>人群精细化生日蛋糕插签（PVC，8.5*3CM）</t>
  </si>
  <si>
    <t>人群精细化儿童围兜（50个/箱）</t>
  </si>
  <si>
    <t>人群精细化儿童挑战卡（50个/包）</t>
  </si>
  <si>
    <t>BDUCK磁吸海报（铁粉纸，110*85CM，横版）</t>
  </si>
  <si>
    <t>BDUCK磁吸海报（铁粉纸，220*85CM，横版）</t>
  </si>
  <si>
    <t>BDUCK吊旗（PVC，120*53CM，横版）</t>
  </si>
  <si>
    <t>BDUCK吊旗（PVC，90*40CM，横版）</t>
  </si>
  <si>
    <t>BDUCK入口水牌（5MM雪弗板，57*79CM）</t>
  </si>
  <si>
    <t>BDUCK水牌架子（166*60CM）</t>
  </si>
  <si>
    <t>BDUCK橱窗贴（UV彩白，100*73CM）</t>
  </si>
  <si>
    <t>BDUCK身高贴（UV彩白，85*124CM）</t>
  </si>
  <si>
    <t>BDUCK礼品袋（200G铜版纸，30*21*11.5CM，100个/箱）</t>
  </si>
  <si>
    <t>BDUCK火锅挡板（3MM黄色亚克力，16*27CM，10个/箱）</t>
  </si>
  <si>
    <t>BDUCK牙签旗（200G卡纸，3.4*3CM，300个/箱）</t>
  </si>
  <si>
    <t>BDUCK充气头箍（铝箔气球，50个/包）</t>
  </si>
  <si>
    <t>BDUCK充气泳池（平纹尼，150*150CM）</t>
  </si>
  <si>
    <t>BDUCK筷子套（200G铜版纸，3*16CM，100个/箱）</t>
  </si>
  <si>
    <t>BDUCK鸭鸭弹弹棋（10个/箱）</t>
  </si>
  <si>
    <t>大学生套餐冰块萌粒（树脂，500个/箱）</t>
  </si>
  <si>
    <t>大学生套餐海洋萌粒（树脂，500个/箱）</t>
  </si>
  <si>
    <t>大学生套餐奶油胶颗粒（树脂，500个/箱）</t>
  </si>
  <si>
    <t>电磁炉（雅乐思，2400W专用有认证）</t>
  </si>
  <si>
    <t>商用电磁炉系列（恩普利华，SR-261R）</t>
  </si>
  <si>
    <t>陪吃娃娃（2个/件）</t>
  </si>
  <si>
    <t>无烟宝接渣网</t>
  </si>
  <si>
    <t>环保袋1（10个／包）</t>
  </si>
  <si>
    <t>环保袋2（10个／包）</t>
  </si>
  <si>
    <t>环保袋3（10个／包）</t>
  </si>
  <si>
    <t>套袖（10副/包）</t>
  </si>
  <si>
    <t>便利贴（20个／包）</t>
  </si>
  <si>
    <t>耳饰-藕片（10对／包）</t>
  </si>
  <si>
    <t>耳饰-香菇（10对／包）</t>
  </si>
  <si>
    <t>耳饰-辣椒（10对／包）</t>
  </si>
  <si>
    <t>耳饰-八角（10对／包）</t>
  </si>
  <si>
    <t>海底捞抱枕-蘑菇（4个／袋）</t>
  </si>
  <si>
    <t>海底捞抱枕-辣椒（4个／袋）</t>
  </si>
  <si>
    <t>海底捞IP毛绒娃娃（5个/包）</t>
  </si>
  <si>
    <t>双人筷礼盒1（礼品）</t>
  </si>
  <si>
    <t>家庭筷礼盒1（礼品，5双/盒）</t>
  </si>
  <si>
    <t>单人火锅筷1（礼品）</t>
  </si>
  <si>
    <t>计时泡面碗（礼品，5个/盒）</t>
  </si>
  <si>
    <t>星座跷跷筷（礼品，24双/盒）</t>
  </si>
  <si>
    <t>柠檬水壶盖（惠而信）</t>
  </si>
  <si>
    <t>花椒耳饰（耳钩款，定制）</t>
  </si>
  <si>
    <t>四宫格抱枕（定制）</t>
  </si>
  <si>
    <t>花椒耳饰（耳夹款，定制）</t>
  </si>
  <si>
    <t>捞面耳饰（耳夹款，定制）</t>
  </si>
  <si>
    <t>捞面耳饰（耳钩款，定制）</t>
  </si>
  <si>
    <t>白色毛绒手拎包</t>
  </si>
  <si>
    <t>小嗨虎头毛绒卡包挂件</t>
  </si>
  <si>
    <t>虎纹小嗨斜挎包</t>
  </si>
  <si>
    <t>小嗨第二代衣服（陪吃娃娃）</t>
  </si>
  <si>
    <t>甜品不锈钢嗨圈（3个/套）</t>
  </si>
  <si>
    <t>男士羽绒服（薄款）XXXL码</t>
  </si>
  <si>
    <t>男士羽绒服（薄款）XXXXL码</t>
  </si>
  <si>
    <t>女士羽绒服（厚款）M码</t>
  </si>
  <si>
    <t>女士羽绒服（厚款）L码</t>
  </si>
  <si>
    <t>男士羽绒服（厚款）XXL码</t>
  </si>
  <si>
    <t>男士羽绒服（厚款）XXXL码</t>
  </si>
  <si>
    <t>按压菜品疾跑系列玩具（四款混装，3-6岁，50个/件）</t>
  </si>
  <si>
    <t>海底捞车载牌牌</t>
  </si>
  <si>
    <t>海底捞小嗨夹夹（3个/套）</t>
  </si>
  <si>
    <t>海底捞小嗨锤锤</t>
  </si>
  <si>
    <t>小嗨塑料扇子（10个/捆）</t>
  </si>
  <si>
    <t>小嗨头绳（混装，100条/盒）</t>
  </si>
  <si>
    <t>九宫格（密胺，10个/件）</t>
  </si>
  <si>
    <t>新款按压疾跑玩具（海外，五款混装，50个/件）</t>
  </si>
  <si>
    <t>果汁壶（亚克力，1580ML）</t>
  </si>
  <si>
    <t>儿童双耳杯（硅胶，100个/件）</t>
  </si>
  <si>
    <t>儿童叉勺（硅胶，200套/件）</t>
  </si>
  <si>
    <t>儿童围兜（硅胶，140套/件）</t>
  </si>
  <si>
    <t>镭射手提包（30个/箱）</t>
  </si>
  <si>
    <t>切刀保鲜膜（万和910型，30CM*350M，4盒/件）</t>
  </si>
  <si>
    <t>烤盘</t>
  </si>
  <si>
    <t>电磁炉圈</t>
  </si>
  <si>
    <t>烤盘起子</t>
  </si>
  <si>
    <t>集油盒</t>
  </si>
  <si>
    <t>餐具包（加拿大定制，250套/箱）</t>
  </si>
  <si>
    <t>按压疾跑玩具（西瓜、西兰花、番茄，3-6岁，50个/件）</t>
  </si>
  <si>
    <t>切鸭血机刀片（匠首，定制，15个/包）</t>
  </si>
  <si>
    <t>杯筐（华亨，红色，475*320*142MM，6个/件）</t>
  </si>
  <si>
    <t>杯筐（华亨，黄色，475*320*142MM，6个/件）</t>
  </si>
  <si>
    <t>地刮</t>
  </si>
  <si>
    <t>红色加长胶手套（鸿洁，10副*10捆/件）</t>
  </si>
  <si>
    <t>菜板（长方形，红色，塑料，52*32.5*2CM）</t>
  </si>
  <si>
    <t>菜板（长方形，黄色，塑料，52*32.5*2CM）</t>
  </si>
  <si>
    <t>一次性手套（茶花，0.85G，100只*100包/件）</t>
  </si>
  <si>
    <t>滑类挤袋（可降解，280*165MM，200根*50把/件）</t>
  </si>
  <si>
    <t>自封袋（捞面，450*340*0.04MM，100根*15包/件）</t>
  </si>
  <si>
    <t>自封袋（手机，170*120MM，100根*100把/件）</t>
  </si>
  <si>
    <t>注塑杯（CY-1000ML，PP明水果桶杯+盖+提手，200套/箱）</t>
  </si>
  <si>
    <t>一次性拖鞋（10双*40捆/件）</t>
  </si>
  <si>
    <t>长胶手套（出口）</t>
  </si>
  <si>
    <t>五双装家庭筷（定制，礼品，120盒/箱）</t>
  </si>
  <si>
    <t>小嗨-生日快乐手提袋（100个/件）</t>
  </si>
  <si>
    <t>大打包纸袋（加拿大，法语专用，200个/件）</t>
  </si>
  <si>
    <t>小打包纸袋（加拿大，法语专用，300个/件）</t>
  </si>
  <si>
    <t>零食打包袋（加拿大，法语专用，1000个/件）</t>
  </si>
  <si>
    <t>大类名称</t>
  </si>
  <si>
    <t>(多项)</t>
  </si>
  <si>
    <t>菜品编码</t>
  </si>
  <si>
    <t>菜品名称</t>
  </si>
  <si>
    <t>求和项:折算数量计算</t>
  </si>
  <si>
    <t>01010106</t>
  </si>
  <si>
    <t>清水锅</t>
  </si>
  <si>
    <t>01060061</t>
  </si>
  <si>
    <t>麻辣火锅（有渣）</t>
  </si>
  <si>
    <t>01060062</t>
  </si>
  <si>
    <t>猪骨汤</t>
  </si>
  <si>
    <t>01060063</t>
  </si>
  <si>
    <t>菌汤火锅</t>
  </si>
  <si>
    <t>01060064</t>
  </si>
  <si>
    <t>经典麻辣火锅</t>
  </si>
  <si>
    <t>01060066</t>
  </si>
  <si>
    <t>番茄火锅</t>
  </si>
  <si>
    <t>01060115</t>
  </si>
  <si>
    <t>胡椒猪肚鸡火锅</t>
  </si>
  <si>
    <t>01060204</t>
  </si>
  <si>
    <t>酸菜鲜锅</t>
  </si>
  <si>
    <t>01060227</t>
  </si>
  <si>
    <t>麻辣火锅（无渣）</t>
  </si>
  <si>
    <t>01310005</t>
  </si>
  <si>
    <t>叻沙火锅</t>
  </si>
  <si>
    <t>12010002</t>
  </si>
  <si>
    <t>柠檬冰红茶 341ML</t>
  </si>
  <si>
    <t>12010003</t>
  </si>
  <si>
    <t>甜豆浆（1L）</t>
  </si>
  <si>
    <t>12010049</t>
  </si>
  <si>
    <t>冬瓜茶 490ml</t>
  </si>
  <si>
    <t>13010040</t>
  </si>
  <si>
    <t>可口可乐</t>
  </si>
  <si>
    <t>13010041</t>
  </si>
  <si>
    <t>雪碧</t>
  </si>
  <si>
    <t>13010047</t>
  </si>
  <si>
    <t>椰汁</t>
  </si>
  <si>
    <t>13010147</t>
  </si>
  <si>
    <t>西瓜汁1L</t>
  </si>
  <si>
    <t>13010368</t>
  </si>
  <si>
    <t>冰镇乌梅饮（1L）</t>
  </si>
  <si>
    <t>冰镇乌梅饮（2L）</t>
  </si>
  <si>
    <t>13010445</t>
  </si>
  <si>
    <t>加多宝</t>
  </si>
  <si>
    <t>13010455</t>
  </si>
  <si>
    <t>健怡可乐</t>
  </si>
  <si>
    <t>13010457</t>
  </si>
  <si>
    <t>北冰洋</t>
  </si>
  <si>
    <t>13010471</t>
  </si>
  <si>
    <t>蜜桃汁</t>
  </si>
  <si>
    <t>13010485</t>
  </si>
  <si>
    <t>小茗同学</t>
  </si>
  <si>
    <t>13020235</t>
  </si>
  <si>
    <t>牛栏山二锅头56%vol/3盎司</t>
  </si>
  <si>
    <t>13020421</t>
  </si>
  <si>
    <t>月桂冠</t>
  </si>
  <si>
    <t>13020423</t>
  </si>
  <si>
    <t>江小白40%vol/1.6盎司</t>
  </si>
  <si>
    <t>13030306</t>
  </si>
  <si>
    <t>FLP Cabernet Sauvignon</t>
  </si>
  <si>
    <t>13040162</t>
  </si>
  <si>
    <t>青岛啤酒330ml</t>
  </si>
  <si>
    <t>13040264</t>
  </si>
  <si>
    <t>朝日啤酒 330ml</t>
  </si>
  <si>
    <t>13040300</t>
  </si>
  <si>
    <t>加拿大人啤酒 341ml</t>
  </si>
  <si>
    <t>13070069</t>
  </si>
  <si>
    <t>獭祭</t>
  </si>
  <si>
    <t>13070076</t>
  </si>
  <si>
    <t>姜汁汽水（355ml）</t>
  </si>
  <si>
    <t>13100017</t>
  </si>
  <si>
    <t>52度国窖1573中国品味(3盎司)</t>
  </si>
  <si>
    <t>70000379</t>
  </si>
  <si>
    <t>Chum Churum 原味烧酒 360mL</t>
  </si>
  <si>
    <t>70000401</t>
  </si>
  <si>
    <t>White Rabbit 扎啤  (2L)</t>
  </si>
  <si>
    <t>70000402</t>
  </si>
  <si>
    <t>German Pilsner 啤酒</t>
  </si>
  <si>
    <t>70000403</t>
  </si>
  <si>
    <t>百香蜜柚饮 1L</t>
  </si>
  <si>
    <t>70000404</t>
  </si>
  <si>
    <t>White Rabbit 扎啤  (杯)</t>
  </si>
  <si>
    <t>70000405</t>
  </si>
  <si>
    <t>Punch Bowl IPA  啤酒  (2L)</t>
  </si>
  <si>
    <t>70000406</t>
  </si>
  <si>
    <t>Punch Bowl IPA  啤酒  (杯)</t>
  </si>
  <si>
    <t>70000414</t>
  </si>
  <si>
    <t>百香蜜柚饮 2L</t>
  </si>
  <si>
    <t>70000490</t>
  </si>
  <si>
    <t>优酸乳烧酒</t>
  </si>
  <si>
    <t>70000491</t>
  </si>
  <si>
    <t>元气森林</t>
  </si>
  <si>
    <t>70000501</t>
  </si>
  <si>
    <t>白鹤纯米吟酿</t>
  </si>
  <si>
    <t>70000522</t>
  </si>
  <si>
    <t>白鹤小百合清酒</t>
  </si>
  <si>
    <t>70000539</t>
  </si>
  <si>
    <t>Peller family 红酒</t>
  </si>
  <si>
    <t>检索</t>
  </si>
  <si>
    <t>门店名称</t>
  </si>
  <si>
    <t>编码</t>
  </si>
  <si>
    <t>菜品短编码</t>
  </si>
  <si>
    <t>规格</t>
  </si>
  <si>
    <t>出品数量</t>
  </si>
  <si>
    <t>退菜数量</t>
  </si>
  <si>
    <t>实际出品数据（出品数量-退菜数量）</t>
  </si>
  <si>
    <t>子类名称</t>
  </si>
  <si>
    <t>黑猪肉</t>
  </si>
  <si>
    <t>整份</t>
  </si>
  <si>
    <t>荤菜</t>
  </si>
  <si>
    <t>牛/羊肉</t>
  </si>
  <si>
    <t>白米饭(半）</t>
  </si>
  <si>
    <t>半份</t>
  </si>
  <si>
    <t>小吃甜品</t>
  </si>
  <si>
    <t>主食类</t>
  </si>
  <si>
    <t>白米饭</t>
  </si>
  <si>
    <t>芋头(半)</t>
  </si>
  <si>
    <t>素菜</t>
  </si>
  <si>
    <t>根茎类</t>
  </si>
  <si>
    <t>芋头</t>
  </si>
  <si>
    <t>菌类拼盘</t>
  </si>
  <si>
    <t>菌类</t>
  </si>
  <si>
    <t>冰镇</t>
  </si>
  <si>
    <t>酒水饮料</t>
  </si>
  <si>
    <t>饮料</t>
  </si>
  <si>
    <t>肉汁奶酪薯条</t>
  </si>
  <si>
    <t>份</t>
  </si>
  <si>
    <t>小吃类</t>
  </si>
  <si>
    <t>冬阴功锅底</t>
  </si>
  <si>
    <t>拼锅</t>
  </si>
  <si>
    <t>锅底类</t>
  </si>
  <si>
    <t>拼锅类</t>
  </si>
  <si>
    <t>四宫格</t>
  </si>
  <si>
    <t>四宫格类</t>
  </si>
  <si>
    <t>寿喜锅底</t>
  </si>
  <si>
    <t>澳洲青边鲍</t>
  </si>
  <si>
    <t>河/海鲜类</t>
  </si>
  <si>
    <t>炸馒头【金砖】</t>
  </si>
  <si>
    <t>火锅周边</t>
  </si>
  <si>
    <t>赠送及其他</t>
  </si>
  <si>
    <t>麻辣牛奶火锅</t>
  </si>
  <si>
    <t>港式鱼腐</t>
  </si>
  <si>
    <t>其他荤菜</t>
  </si>
  <si>
    <t>港式鱼腐(半)</t>
  </si>
  <si>
    <t>油条</t>
  </si>
  <si>
    <t>芝士风味脆皮肠</t>
  </si>
  <si>
    <t>经典火锅菜</t>
  </si>
  <si>
    <t>经典火锅菜类</t>
  </si>
  <si>
    <t>乌冬面</t>
  </si>
  <si>
    <t>豆面制品</t>
  </si>
  <si>
    <t>Prime级去骨牛小排</t>
  </si>
  <si>
    <t>冬瓜</t>
  </si>
  <si>
    <t>自选小料/每位</t>
  </si>
  <si>
    <t>自选调料</t>
  </si>
  <si>
    <t>长寿面</t>
  </si>
  <si>
    <t>山药</t>
  </si>
  <si>
    <t>捞派羊肉(半)</t>
  </si>
  <si>
    <t>捞派羊肉</t>
  </si>
  <si>
    <t>脆皖鱼</t>
  </si>
  <si>
    <t>脆皖鱼(半)</t>
  </si>
  <si>
    <t>茼蒿</t>
  </si>
  <si>
    <t>蔬菜类</t>
  </si>
  <si>
    <t>茼蒿(半)</t>
  </si>
  <si>
    <t>扇贝(半)</t>
  </si>
  <si>
    <t>扇贝</t>
  </si>
  <si>
    <t>土豆片(半)</t>
  </si>
  <si>
    <t>土豆片</t>
  </si>
  <si>
    <t>8秒劲道油豆皮（半）</t>
  </si>
  <si>
    <t>8秒劲道油豆皮</t>
  </si>
  <si>
    <t>未使用小料</t>
  </si>
  <si>
    <t>手工现做牛筋丸（半）</t>
  </si>
  <si>
    <t>丸滑类</t>
  </si>
  <si>
    <t>手工现做牛筋丸</t>
  </si>
  <si>
    <t>豆皮</t>
  </si>
  <si>
    <t>草莓奶盖椰椰</t>
  </si>
  <si>
    <t>捞派虾滑</t>
  </si>
  <si>
    <t>宽粉(半)</t>
  </si>
  <si>
    <t>宽粉</t>
  </si>
  <si>
    <t>三鲜猪骨火锅</t>
  </si>
  <si>
    <t>单锅</t>
  </si>
  <si>
    <t>单锅类</t>
  </si>
  <si>
    <t>猪血(半)</t>
  </si>
  <si>
    <t>猪血</t>
  </si>
  <si>
    <t>清油麻辣火锅</t>
  </si>
  <si>
    <t>和牛牛舌</t>
  </si>
  <si>
    <t>白桃果肉汁</t>
  </si>
  <si>
    <t>蒸蛋</t>
  </si>
  <si>
    <t>雪花和牛</t>
  </si>
  <si>
    <t>浓浓抹茶生椰</t>
  </si>
  <si>
    <t>扎</t>
  </si>
  <si>
    <t>捞派捞面</t>
  </si>
  <si>
    <t>鲜腐竹</t>
  </si>
  <si>
    <t>竹笙</t>
  </si>
  <si>
    <t>辛拉面</t>
  </si>
  <si>
    <t>贡菜</t>
  </si>
  <si>
    <t>果盘</t>
  </si>
  <si>
    <t>冰鲜墨鱼仔(半)</t>
  </si>
  <si>
    <t>冰鲜墨鱼仔</t>
  </si>
  <si>
    <t>高山青竹笋</t>
  </si>
  <si>
    <t>蟹味棒(半)</t>
  </si>
  <si>
    <t>蟹味棒</t>
  </si>
  <si>
    <t>鹌鹑蛋</t>
  </si>
  <si>
    <t>蔬菜拼盘</t>
  </si>
  <si>
    <t>魔芋丝</t>
  </si>
  <si>
    <t>海带(半)</t>
  </si>
  <si>
    <t>海带</t>
  </si>
  <si>
    <t>糖蒜</t>
  </si>
  <si>
    <t>冻豆腐</t>
  </si>
  <si>
    <t>酒酿圆子（冰镇）</t>
  </si>
  <si>
    <t>甜品类</t>
  </si>
  <si>
    <t>清水火锅</t>
  </si>
  <si>
    <t>鲜豆腐</t>
  </si>
  <si>
    <t>黑鱼片</t>
  </si>
  <si>
    <t>黑鱼片(半）</t>
  </si>
  <si>
    <t>豆腐泡</t>
  </si>
  <si>
    <t>蛋炒饭</t>
  </si>
  <si>
    <t>蛋炒饭(半）</t>
  </si>
  <si>
    <t>青笋</t>
  </si>
  <si>
    <t>金馒头</t>
  </si>
  <si>
    <t>白萝卜(半)</t>
  </si>
  <si>
    <t>白萝卜</t>
  </si>
  <si>
    <t>熔岩虾球</t>
  </si>
  <si>
    <t>精品牛板腱肉（偏瘦）</t>
  </si>
  <si>
    <t>金钱腱</t>
  </si>
  <si>
    <t>手工鲜虾云吞</t>
  </si>
  <si>
    <t>猪颈肉</t>
  </si>
  <si>
    <t>海鲜菇</t>
  </si>
  <si>
    <t>卤肥肠</t>
  </si>
  <si>
    <t>冰鲜桂花蚌(半)</t>
  </si>
  <si>
    <t>冰鲜桂花蚌</t>
  </si>
  <si>
    <t>菠菜</t>
  </si>
  <si>
    <t>菠菜(半)</t>
  </si>
  <si>
    <t>捞派滑牛肉(半)</t>
  </si>
  <si>
    <t>捞派滑牛肉</t>
  </si>
  <si>
    <t>大满足海陆拼盘</t>
  </si>
  <si>
    <t>鱼豆腐</t>
  </si>
  <si>
    <t>大白菜</t>
  </si>
  <si>
    <t>大白菜(半)</t>
  </si>
  <si>
    <t>AAA级西冷牛肉</t>
  </si>
  <si>
    <t>鱼籽福袋</t>
  </si>
  <si>
    <t>鱼籽福袋(半）</t>
  </si>
  <si>
    <t>爆浆红糖糍粑</t>
  </si>
  <si>
    <t>捞派黄喉(半)</t>
  </si>
  <si>
    <t>捞派黄喉</t>
  </si>
  <si>
    <t>捞派千层牛百叶(半)</t>
  </si>
  <si>
    <t>捞派千层牛百叶</t>
  </si>
  <si>
    <t>捞派鲜毛肚(半)</t>
  </si>
  <si>
    <t>捞派鲜毛肚</t>
  </si>
  <si>
    <t>唐生菜</t>
  </si>
  <si>
    <t>唐生菜(半)</t>
  </si>
  <si>
    <t>午餐肉(半)</t>
  </si>
  <si>
    <t>午餐肉</t>
  </si>
  <si>
    <t>冰鲜白虾(半）</t>
  </si>
  <si>
    <t>冰鲜白虾</t>
  </si>
  <si>
    <t>韭菜水饺（生）</t>
  </si>
  <si>
    <t>8秒海带苗（半）</t>
  </si>
  <si>
    <t>8秒海带苗</t>
  </si>
  <si>
    <t>粉丝(半)</t>
  </si>
  <si>
    <t>粉丝</t>
  </si>
  <si>
    <t>儿童套餐</t>
  </si>
  <si>
    <t>套餐</t>
  </si>
  <si>
    <t>套餐类</t>
  </si>
  <si>
    <t>鱿鱼卷(花)</t>
  </si>
  <si>
    <t>捞派魔芋素毛肚(半)</t>
  </si>
  <si>
    <t>捞派魔芋素毛肚</t>
  </si>
  <si>
    <t>糯米鱼豆腐</t>
  </si>
  <si>
    <t>杂项代收</t>
  </si>
  <si>
    <t>生鸡蛋</t>
  </si>
  <si>
    <t>精品肥牛（偏肥）</t>
  </si>
  <si>
    <t>捞派酥肉</t>
  </si>
  <si>
    <t>木耳(半)</t>
  </si>
  <si>
    <t>木耳</t>
  </si>
  <si>
    <t>甜玉米</t>
  </si>
  <si>
    <t>金针菇</t>
  </si>
  <si>
    <t>炸腐竹</t>
  </si>
  <si>
    <t>响铃卷</t>
  </si>
  <si>
    <t>捞派巴沙鱼片(半)</t>
  </si>
  <si>
    <t>捞派巴沙鱼片</t>
  </si>
  <si>
    <t>特选羊肉</t>
  </si>
  <si>
    <t>爆浆榴莲球</t>
  </si>
  <si>
    <t>双色营养面</t>
  </si>
  <si>
    <t>丸类拼盘</t>
  </si>
  <si>
    <t>虾丸</t>
  </si>
  <si>
    <t>捞派嫩鸡肉片(半）</t>
  </si>
  <si>
    <t>捞派嫩鸡肉片</t>
  </si>
  <si>
    <t>香菇猪肉丸</t>
  </si>
  <si>
    <t>酸辣金汤火锅</t>
  </si>
  <si>
    <t>海鸭蛋虾丸</t>
  </si>
  <si>
    <t>有机豆苗</t>
  </si>
  <si>
    <t>深海鱿鱼须(半)</t>
  </si>
  <si>
    <t>深海鱿鱼须</t>
  </si>
  <si>
    <t>冰鲜海鲜拼盘</t>
  </si>
  <si>
    <t>捞派脆脆毛肚(半)</t>
  </si>
  <si>
    <t>捞派脆脆毛肚</t>
  </si>
  <si>
    <t>鸭屎香柠檬茶</t>
  </si>
  <si>
    <t>奶酪鱼柳</t>
  </si>
  <si>
    <t>迷你包浆豆腐</t>
  </si>
  <si>
    <t>牛栏山二锅头56%vol 100ML</t>
  </si>
  <si>
    <t>小瓶</t>
  </si>
  <si>
    <t>酒水</t>
  </si>
  <si>
    <t>韩国烧酒 360ML</t>
  </si>
  <si>
    <t>海底捞德式小麦啤酒500ml</t>
  </si>
  <si>
    <t>藤椒牛舌(半)</t>
  </si>
  <si>
    <t>藤椒牛舌</t>
  </si>
  <si>
    <t>东北大酱骨</t>
  </si>
  <si>
    <t>杨梅荔枝饮</t>
  </si>
  <si>
    <t>酸梅汤</t>
  </si>
  <si>
    <t>精品肥牛（饭团）</t>
  </si>
  <si>
    <t>脆脆千层毛肚（半）</t>
  </si>
  <si>
    <t>Q弹牛肉丸</t>
  </si>
  <si>
    <t>鸡肉丸</t>
  </si>
  <si>
    <t>火锅苕皮(半)</t>
  </si>
  <si>
    <t>火锅苕皮</t>
  </si>
  <si>
    <t>自选饮料</t>
  </si>
  <si>
    <t>位</t>
  </si>
  <si>
    <t>冰糖葫芦</t>
  </si>
  <si>
    <t>台湾风味烤肠</t>
  </si>
  <si>
    <t>根</t>
  </si>
  <si>
    <t>绿豆芽</t>
  </si>
  <si>
    <t>西兰花</t>
  </si>
  <si>
    <t>韩式泡菜火锅</t>
  </si>
  <si>
    <t>韩式辣鸡翅</t>
  </si>
  <si>
    <t>超值单人套餐</t>
  </si>
  <si>
    <t>年糕</t>
  </si>
  <si>
    <t>Sapporo扎啤 500ML</t>
  </si>
  <si>
    <t>杯</t>
  </si>
  <si>
    <t>Sapporo啤酒 1700ML</t>
  </si>
  <si>
    <t>特选羊肉（赠送）</t>
  </si>
  <si>
    <t>--</t>
  </si>
  <si>
    <t>不可见套餐</t>
  </si>
  <si>
    <t>榛果巧克力牛奶</t>
  </si>
  <si>
    <t>柚子苏打水</t>
  </si>
  <si>
    <t>薯球</t>
  </si>
  <si>
    <t>冰爽葡萄柠檬茶</t>
  </si>
  <si>
    <t>黄油啤酒</t>
  </si>
  <si>
    <t>桂花金酒</t>
  </si>
  <si>
    <t>夏天</t>
  </si>
  <si>
    <t>新加坡司令</t>
  </si>
  <si>
    <t>蓝色夏威夷</t>
  </si>
  <si>
    <t>粉耗子</t>
  </si>
  <si>
    <t>春樱莓莓</t>
  </si>
  <si>
    <t>花开富贵</t>
  </si>
  <si>
    <t>无肉不欢18.95</t>
  </si>
  <si>
    <t>贵妃醉酒</t>
  </si>
  <si>
    <t>常温</t>
  </si>
  <si>
    <t>藕片(半)</t>
  </si>
  <si>
    <t>藕片</t>
  </si>
  <si>
    <t>江小白 50ml</t>
  </si>
  <si>
    <t>海底捞大麦拉格啤酒500ml</t>
  </si>
  <si>
    <t>MAKGEOLLI 米酒750ML</t>
  </si>
  <si>
    <t>脆脆千层毛肚</t>
  </si>
  <si>
    <t>红薯片</t>
  </si>
  <si>
    <t>绣球菌</t>
  </si>
  <si>
    <t>炸薯条（赠送）</t>
  </si>
  <si>
    <t>象拔蚌(时价/每磅)</t>
  </si>
  <si>
    <t>鲜椰子</t>
  </si>
  <si>
    <t>虎虾腐皮卷</t>
  </si>
  <si>
    <t>蟹柳可乐饼</t>
  </si>
  <si>
    <t>饭团精品肥牛</t>
  </si>
  <si>
    <t>龙虾（时价/每磅）</t>
  </si>
  <si>
    <t>套餐拼盘</t>
  </si>
  <si>
    <t>温哥华蟹(时价/每磅)</t>
  </si>
  <si>
    <t>斑点虾</t>
  </si>
  <si>
    <t>超值单人套餐（2人份）</t>
  </si>
  <si>
    <t>超值单人套餐（3人份）</t>
  </si>
  <si>
    <t>超值单人套餐（4人份）</t>
  </si>
  <si>
    <t>西瓜荔枝气泡饮</t>
  </si>
  <si>
    <t>抹茶红豆慕斯粽</t>
  </si>
  <si>
    <t>鳕鱼小酥肉</t>
  </si>
  <si>
    <t>金丝虾卷</t>
  </si>
  <si>
    <t>精品肥牛（每日特惠）</t>
  </si>
  <si>
    <t>爆浆金沙丸</t>
  </si>
  <si>
    <t>御膳香菜丸</t>
  </si>
  <si>
    <t>每月需更新数据</t>
  </si>
  <si>
    <t>求和项:实际出品数据（出品数量-退菜数量）</t>
  </si>
  <si>
    <t>汇总</t>
  </si>
  <si>
    <t>1412000184001整份</t>
  </si>
  <si>
    <t>加拿大七店1301044570445冰镇</t>
  </si>
  <si>
    <t>加拿大七店906001343013整份</t>
  </si>
  <si>
    <t>加拿大七店110102621002693半份</t>
  </si>
  <si>
    <t>加拿大七店1101026250303整份</t>
  </si>
  <si>
    <t>加拿大七店1002013841184半份</t>
  </si>
  <si>
    <t>加拿大七店1002013841183整份</t>
  </si>
  <si>
    <t>加拿大七店1002001741017整份</t>
  </si>
  <si>
    <t>加拿大七店1301004170041冰镇</t>
  </si>
  <si>
    <t>加拿大七店700004077864份</t>
  </si>
  <si>
    <t>加拿大七店7000064877308整份</t>
  </si>
  <si>
    <t>加拿大七店902051831869磅</t>
  </si>
  <si>
    <t>加拿大七店1301004770047冰镇</t>
  </si>
  <si>
    <t>加拿大七店900017381003592整份</t>
  </si>
  <si>
    <t>加拿大七店906009043251整份</t>
  </si>
  <si>
    <t>加拿大七店906009043252半份</t>
  </si>
  <si>
    <t>加拿大七店1001004440051整份</t>
  </si>
  <si>
    <t>加拿大七店904036433429整份</t>
  </si>
  <si>
    <t>加拿大七店1101037950485整份</t>
  </si>
  <si>
    <t>加拿大七店7000118278433整份</t>
  </si>
  <si>
    <t>加拿大七店1002002541025整份</t>
  </si>
  <si>
    <t>加拿大七店1201000160001整份</t>
  </si>
  <si>
    <t>加拿大七店1101003050055整份</t>
  </si>
  <si>
    <t>加拿大七店1002002771120份</t>
  </si>
  <si>
    <t>加拿大七店901002130022半份</t>
  </si>
  <si>
    <t>加拿大七店901002130021整份</t>
  </si>
  <si>
    <t>加拿大七店903033032331整份</t>
  </si>
  <si>
    <t>加拿大七店903033032332半份</t>
  </si>
  <si>
    <t>加拿大七店1002002341023整份</t>
  </si>
  <si>
    <t>加拿大七店1002002341024半份</t>
  </si>
  <si>
    <t>加拿大七店1201000260002常温</t>
  </si>
  <si>
    <t>加拿大七店1201000260002冰镇</t>
  </si>
  <si>
    <t>加拿大七店903005732058半份</t>
  </si>
  <si>
    <t>加拿大七店903005732057整份</t>
  </si>
  <si>
    <t>加拿大七店1002002941030半份</t>
  </si>
  <si>
    <t>加拿大七店1002002941029整份</t>
  </si>
  <si>
    <t>加拿大七店7000120678510半份</t>
  </si>
  <si>
    <t>加拿大七店7000120678509整份</t>
  </si>
  <si>
    <t>加拿大七店1202004261045整份</t>
  </si>
  <si>
    <t>加拿大七店7000169879583半份</t>
  </si>
  <si>
    <t>加拿大七店7000169879582整份</t>
  </si>
  <si>
    <t>加拿大七店1001031240521整份</t>
  </si>
  <si>
    <t>加拿大七店900028141109399瓶</t>
  </si>
  <si>
    <t>加拿大七店902006331063整份</t>
  </si>
  <si>
    <t>加拿大七店1301004070040常温</t>
  </si>
  <si>
    <t>加拿大七店1301004070040冰镇</t>
  </si>
  <si>
    <t>加拿大七店1002027041280半份</t>
  </si>
  <si>
    <t>加拿大七店1002027041279整份</t>
  </si>
  <si>
    <t>加拿大七店1002003141032半份</t>
  </si>
  <si>
    <t>加拿大七店1002003141031整份</t>
  </si>
  <si>
    <t>加拿大七店301002320024半份</t>
  </si>
  <si>
    <t>加拿大七店301002320023整份</t>
  </si>
  <si>
    <t>加拿大七店901029830355整份</t>
  </si>
  <si>
    <t>加拿大七店900025331005371常温</t>
  </si>
  <si>
    <t>加拿大七店900025331005372冰镇</t>
  </si>
  <si>
    <t>加拿大七店1401003580005整份</t>
  </si>
  <si>
    <t>加拿大七店901005130053整份</t>
  </si>
  <si>
    <t>加拿大七店900012011004228瓶</t>
  </si>
  <si>
    <t>加拿大七店900012011004229扎</t>
  </si>
  <si>
    <t>加拿大七店301002720027条</t>
  </si>
  <si>
    <t>加拿大七店1001002540025整份</t>
  </si>
  <si>
    <t>加拿大七店1003023642239整份</t>
  </si>
  <si>
    <t>加拿大七店1101011950137片</t>
  </si>
  <si>
    <t>加拿大七店1002016041167整份</t>
  </si>
  <si>
    <t>加拿大七店903002932030半份</t>
  </si>
  <si>
    <t>加拿大七店903002932029整份</t>
  </si>
  <si>
    <t>加拿大七店1002004141041整份</t>
  </si>
  <si>
    <t>加拿大七店904006533066半份</t>
  </si>
  <si>
    <t>加拿大七店904006533065整份</t>
  </si>
  <si>
    <t>加拿大七店904006333063整份</t>
  </si>
  <si>
    <t>加拿大七店1014000969009整份</t>
  </si>
  <si>
    <t>加拿大七店1002004741047整份</t>
  </si>
  <si>
    <t>加拿大七店1301045770457冰镇</t>
  </si>
  <si>
    <t>加拿大七店1002004341044半份</t>
  </si>
  <si>
    <t>加拿大七店1002004341043整份</t>
  </si>
  <si>
    <t>加拿大七店1102003551035整份</t>
  </si>
  <si>
    <t>加拿大七店1301045570455常温</t>
  </si>
  <si>
    <t>加拿大七店1301045570455冰镇</t>
  </si>
  <si>
    <t>加拿大七店1001001740017整份</t>
  </si>
  <si>
    <t>加拿大七店1101040750529整份</t>
  </si>
  <si>
    <t>加拿大七店1001001540015整份</t>
  </si>
  <si>
    <t>加拿大七店7000147679074整份</t>
  </si>
  <si>
    <t>加拿大七店7000147679075半份</t>
  </si>
  <si>
    <t>加拿大七店7000066277330整份</t>
  </si>
  <si>
    <t>加拿大七店110100081002694整份</t>
  </si>
  <si>
    <t>加拿大七店110100081002695半份</t>
  </si>
  <si>
    <t>加拿大七店1002005141051整份</t>
  </si>
  <si>
    <t>加拿大七店1101000550009整份</t>
  </si>
  <si>
    <t>加拿大七店1002005341054半份</t>
  </si>
  <si>
    <t>加拿大七店1002005341053整份</t>
  </si>
  <si>
    <t>加拿大七店1101048350681整份</t>
  </si>
  <si>
    <t>加拿大七店901032530395整份</t>
  </si>
  <si>
    <t>加拿大七店901032730399整份</t>
  </si>
  <si>
    <t>加拿大七店1409009884277整份</t>
  </si>
  <si>
    <t>加拿大七店907002447025整份</t>
  </si>
  <si>
    <t>加拿大七店1003001742017整份</t>
  </si>
  <si>
    <t>加拿大七店904004133041整份</t>
  </si>
  <si>
    <t>加拿大七店903040732440半份</t>
  </si>
  <si>
    <t>加拿大七店903040732439整份</t>
  </si>
  <si>
    <t>加拿大七店1002006941069整份</t>
  </si>
  <si>
    <t>加拿大七店1002006941070半份</t>
  </si>
  <si>
    <t>加拿大七店301001320014半份</t>
  </si>
  <si>
    <t>加拿大七店301001320013整份</t>
  </si>
  <si>
    <t>加拿大七店903037332391整份</t>
  </si>
  <si>
    <t>加拿大七店904033633395整份</t>
  </si>
  <si>
    <t>加拿大七店1002006541065整份</t>
  </si>
  <si>
    <t>加拿大七店1002006541066半份</t>
  </si>
  <si>
    <t>加拿大七店901018530219整份</t>
  </si>
  <si>
    <t>加拿大七店902030531315整份</t>
  </si>
  <si>
    <t>加拿大七店902030531316半份</t>
  </si>
  <si>
    <t>加拿大七店7000083877743整份</t>
  </si>
  <si>
    <t>加拿大七店301001920020半份</t>
  </si>
  <si>
    <t>加拿大七店301001920019整份</t>
  </si>
  <si>
    <t>加拿大七店301001720018半份</t>
  </si>
  <si>
    <t>加拿大七店301001720017整份</t>
  </si>
  <si>
    <t>加拿大七店301001520016半份</t>
  </si>
  <si>
    <t>加拿大七店301001520015整份</t>
  </si>
  <si>
    <t>加拿大七店1002007341073整份</t>
  </si>
  <si>
    <t>加拿大七店1002007341074半份</t>
  </si>
  <si>
    <t>加拿大七店904005533056半份</t>
  </si>
  <si>
    <t>加拿大七店904005533055整份</t>
  </si>
  <si>
    <t>加拿大七店903001978645半份</t>
  </si>
  <si>
    <t>加拿大七店903001932019整份</t>
  </si>
  <si>
    <t>加拿大七店1101022150252整份</t>
  </si>
  <si>
    <t>加拿大七店1003030742406半份</t>
  </si>
  <si>
    <t>加拿大七店1003030742405整份</t>
  </si>
  <si>
    <t>加拿大七店1002011341114半份</t>
  </si>
  <si>
    <t>加拿大七店1002011341113整份</t>
  </si>
  <si>
    <t>加拿大七店301018420187整份</t>
  </si>
  <si>
    <t>加拿大七店903018933253整份</t>
  </si>
  <si>
    <t>加拿大七店7000050957036整份</t>
  </si>
  <si>
    <t>加拿大七店900011271001688半份</t>
  </si>
  <si>
    <t>加拿大七店900011271001689整份</t>
  </si>
  <si>
    <t>加拿大七店9000042997732份</t>
  </si>
  <si>
    <t>加拿大七店1412000184001整份</t>
  </si>
  <si>
    <t>加拿大七店1002008441084个</t>
  </si>
  <si>
    <t>加拿大七店901001930019整份</t>
  </si>
  <si>
    <t>加拿大七店1101029250363整份</t>
  </si>
  <si>
    <t>加拿大七店1002000541006半份</t>
  </si>
  <si>
    <t>加拿大七店1002000541005整份</t>
  </si>
  <si>
    <t>加拿大七店1002008741087整份</t>
  </si>
  <si>
    <t>加拿大七店1002000741007整份</t>
  </si>
  <si>
    <t>加拿大七店7000288788260整份</t>
  </si>
  <si>
    <t>加拿大七店1001021340217整份</t>
  </si>
  <si>
    <t>加拿大七店903011932120半份</t>
  </si>
  <si>
    <t>加拿大七店903011932119整份</t>
  </si>
  <si>
    <t>加拿大七店901000930009整份</t>
  </si>
  <si>
    <t>加拿大七店1201000371303冰镇</t>
  </si>
  <si>
    <t>加拿大七店7000079877569整份</t>
  </si>
  <si>
    <t>加拿大七店910036531107221整份</t>
  </si>
  <si>
    <t>加拿大七店902015431157整份</t>
  </si>
  <si>
    <t>加拿大七店90200821003255份</t>
  </si>
  <si>
    <t>加拿大七店906006478989半份</t>
  </si>
  <si>
    <t>加拿大七店906006443081整份</t>
  </si>
  <si>
    <t>加拿大七店902007131071整份</t>
  </si>
  <si>
    <t>加拿大七店9000034471342整份</t>
  </si>
  <si>
    <t>加拿大七店1002056041601盒</t>
  </si>
  <si>
    <t>加拿大七店1003009342093整份</t>
  </si>
  <si>
    <t>加拿大七店903001532015整份</t>
  </si>
  <si>
    <t>加拿大七店301014320146半份</t>
  </si>
  <si>
    <t>加拿大七店301014320145整份</t>
  </si>
  <si>
    <t>加拿大七店900021611109398瓶</t>
  </si>
  <si>
    <t>加拿大七店110104281002539份</t>
  </si>
  <si>
    <t>加拿大七店900019351006544份</t>
  </si>
  <si>
    <t>加拿大七店130202351108352小瓶</t>
  </si>
  <si>
    <t>加拿大七店700004909991小瓶</t>
  </si>
  <si>
    <t>加拿大七店130402641004399常温</t>
  </si>
  <si>
    <t>加拿大七店130402641004398冰镇</t>
  </si>
  <si>
    <t>加拿大七店1304016273162常温</t>
  </si>
  <si>
    <t>加拿大七店1304016273162冰镇</t>
  </si>
  <si>
    <t>加拿大七店1304027473274常温</t>
  </si>
  <si>
    <t>加拿大七店1304027473274冰镇</t>
  </si>
  <si>
    <t>加拿大七店1304028473284冰镇</t>
  </si>
  <si>
    <t>加拿大七店130103041000865个</t>
  </si>
  <si>
    <t>加拿大七店900019961004183瓶</t>
  </si>
  <si>
    <t>加拿大七店904002933030半份</t>
  </si>
  <si>
    <t>加拿大七店904002933029整份</t>
  </si>
  <si>
    <t>加拿大七店1101049250699整份</t>
  </si>
  <si>
    <t>加拿大七店910044801109400瓶</t>
  </si>
  <si>
    <t>加拿大七店1404000982009冰镇</t>
  </si>
  <si>
    <t>加拿大七店900020671004336整份</t>
  </si>
  <si>
    <t>加拿大七店7000265287861半份</t>
  </si>
  <si>
    <t>加拿大七店7000265287860整份</t>
  </si>
  <si>
    <t>加拿大七店902042731687整份</t>
  </si>
  <si>
    <t>加拿大七店902044731727整份</t>
  </si>
  <si>
    <t>加拿大七店903039932429只</t>
  </si>
  <si>
    <t>加拿大七店1002003541036半份</t>
  </si>
  <si>
    <t>加拿大七店1002003541035整份</t>
  </si>
  <si>
    <t>加拿大七店1201000697574位</t>
  </si>
  <si>
    <t>加拿大七店910050231109552份</t>
  </si>
  <si>
    <t>加拿大七店900015511002840整份</t>
  </si>
  <si>
    <t>加拿大七店1301004770047常温</t>
  </si>
  <si>
    <t>加拿大七店130204231109396小瓶</t>
  </si>
  <si>
    <t>加拿大七店1301044570445常温</t>
  </si>
  <si>
    <t>加拿大七店1301004170041常温</t>
  </si>
  <si>
    <t>加拿大七店910039981107708根</t>
  </si>
  <si>
    <t>加拿大七店910046921108968份</t>
  </si>
  <si>
    <t>加拿大七店1301045770457常温</t>
  </si>
  <si>
    <t>加拿大七店1404008182081整份</t>
  </si>
  <si>
    <t>加拿大七店903003532036半份</t>
  </si>
  <si>
    <t>加拿大七店903003532035整份</t>
  </si>
  <si>
    <t>加拿大七店1002049741533整份</t>
  </si>
  <si>
    <t>加拿大七店1002014041161整份</t>
  </si>
  <si>
    <t>加拿大七店910053731110188份</t>
  </si>
  <si>
    <t>加拿大七店2601023419234整份</t>
  </si>
  <si>
    <t>加拿大七店910053951110187份</t>
  </si>
  <si>
    <t>加拿大七店1002003341033整份</t>
  </si>
  <si>
    <t>加拿大七店910043641108354杯</t>
  </si>
  <si>
    <t>加拿大七店7000153679183扎</t>
  </si>
  <si>
    <t>加拿大七店910054131110210瓶</t>
  </si>
  <si>
    <t>加拿大七店910054121110209杯</t>
  </si>
  <si>
    <t>加拿大七店900016901003544半份</t>
  </si>
  <si>
    <t>加拿大七店910057021111116份</t>
  </si>
  <si>
    <t>加拿大七店910051191109704杯</t>
  </si>
  <si>
    <t>加拿大七店910057311111185瓶</t>
  </si>
  <si>
    <t>加拿大七店910057291111183瓶</t>
  </si>
  <si>
    <t>加拿大七店910057281111182瓶</t>
  </si>
  <si>
    <t>加拿大七店910057261111180瓶</t>
  </si>
  <si>
    <t>加拿大七店910051301109717杯</t>
  </si>
  <si>
    <t>加拿大七店90000413单锅</t>
  </si>
  <si>
    <t>加拿大七店90000413拼锅</t>
  </si>
  <si>
    <t>加拿大七店90000413四宫格</t>
  </si>
  <si>
    <t>加拿大七店70000769四宫格</t>
  </si>
  <si>
    <t>加拿大七店70000769拼锅</t>
  </si>
  <si>
    <t>加拿大七店70002428拼锅</t>
  </si>
  <si>
    <t>加拿大七店70002428四宫格</t>
  </si>
  <si>
    <t>加拿大七店1060062单锅</t>
  </si>
  <si>
    <t>加拿大七店1060062拼锅</t>
  </si>
  <si>
    <t>加拿大七店1060062四宫格</t>
  </si>
  <si>
    <t>加拿大七店1060061单锅</t>
  </si>
  <si>
    <t>加拿大七店1060061拼锅</t>
  </si>
  <si>
    <t>加拿大七店1060061四宫格</t>
  </si>
  <si>
    <t>加拿大七店1060064拼锅</t>
  </si>
  <si>
    <t>加拿大七店1060064四宫格</t>
  </si>
  <si>
    <t>加拿大七店1060063拼锅</t>
  </si>
  <si>
    <t>加拿大七店1060063四宫格</t>
  </si>
  <si>
    <t>加拿大七店1060066拼锅</t>
  </si>
  <si>
    <t>加拿大七店1060066四宫格</t>
  </si>
  <si>
    <t>加拿大七店1060115单锅</t>
  </si>
  <si>
    <t>加拿大七店1060115拼锅</t>
  </si>
  <si>
    <t>加拿大七店1060115四宫格</t>
  </si>
  <si>
    <t>加拿大七店1010106拼锅</t>
  </si>
  <si>
    <t>加拿大七店1010106四宫格</t>
  </si>
  <si>
    <t>加拿大七店1010249拼锅</t>
  </si>
  <si>
    <t>加拿大七店1010249四宫格</t>
  </si>
  <si>
    <t>加拿大七店1010681拼锅</t>
  </si>
  <si>
    <t>加拿大七店1010681四宫格</t>
  </si>
  <si>
    <t>加拿大七店70000769单锅</t>
  </si>
  <si>
    <t>加拿大七店70002428单锅</t>
  </si>
  <si>
    <t>加拿大七店1060063单锅</t>
  </si>
  <si>
    <t>加拿大七店1060066单锅</t>
  </si>
  <si>
    <t>加拿大七店1060064单锅</t>
  </si>
  <si>
    <t>加拿大七店100103281108120份</t>
  </si>
  <si>
    <t>加拿大七店910058651111388份</t>
  </si>
  <si>
    <t>903039932429只</t>
  </si>
  <si>
    <t>903018933253整份</t>
  </si>
  <si>
    <t>1304028473284常温</t>
  </si>
  <si>
    <t>130101471108213扎</t>
  </si>
  <si>
    <t>910050181109547份</t>
  </si>
  <si>
    <t>加拿大七店2601037008套餐</t>
  </si>
  <si>
    <t>加拿大七店910057161111214份</t>
  </si>
  <si>
    <t>加拿大七店910059501111493份</t>
  </si>
  <si>
    <t>加拿大七店910057321111186瓶</t>
  </si>
  <si>
    <t>加拿大七店1002058041625整份</t>
  </si>
  <si>
    <t>加拿大七店1401008580055整份</t>
  </si>
  <si>
    <t>加拿大七店901014730175整份</t>
  </si>
  <si>
    <t>加拿大七店1010681单锅</t>
  </si>
  <si>
    <t>加拿大七店1310005四宫格</t>
  </si>
  <si>
    <t>1310005拼锅</t>
  </si>
  <si>
    <t>903049832583整份</t>
  </si>
  <si>
    <t>902051831869磅</t>
  </si>
  <si>
    <t>1000000303套餐</t>
  </si>
  <si>
    <t>1000000304套餐</t>
  </si>
  <si>
    <t>1000000305套餐</t>
  </si>
  <si>
    <t>1310005单锅</t>
  </si>
  <si>
    <t>910059741111526瓶</t>
  </si>
  <si>
    <t>900002051001819个</t>
  </si>
  <si>
    <t>900021311004528整份</t>
  </si>
  <si>
    <t>910059091111487份</t>
  </si>
  <si>
    <t>7000069377384整份</t>
  </si>
  <si>
    <t>902026831273整份</t>
  </si>
  <si>
    <t>区域名称</t>
  </si>
  <si>
    <t>菜品名称（系统）</t>
  </si>
  <si>
    <t>菜品单价</t>
  </si>
  <si>
    <t>菜品单位</t>
  </si>
  <si>
    <t>实收数量</t>
  </si>
  <si>
    <t>出品分量</t>
  </si>
  <si>
    <t>损耗</t>
  </si>
  <si>
    <t>物料单位</t>
  </si>
  <si>
    <t>红火台理论量</t>
  </si>
  <si>
    <t>物料号</t>
  </si>
  <si>
    <t>物料用量</t>
  </si>
  <si>
    <t>差异</t>
  </si>
  <si>
    <t>备注1</t>
  </si>
  <si>
    <t>备注</t>
  </si>
  <si>
    <t>差异绝对值</t>
  </si>
  <si>
    <t>加拿大</t>
  </si>
  <si>
    <t>锅</t>
  </si>
  <si>
    <t>少使用了97kg</t>
  </si>
  <si>
    <t>三鲜火锅</t>
  </si>
  <si>
    <t>多使用41kg</t>
  </si>
  <si>
    <t>多使用677kg</t>
  </si>
  <si>
    <t>麻辣牛奶火鍋</t>
  </si>
  <si>
    <t>海底捞椰子鸡火锅</t>
  </si>
  <si>
    <t>椰子鸡火锅</t>
  </si>
  <si>
    <t>香菇贡丸</t>
  </si>
  <si>
    <t>芝士牛肉丸</t>
  </si>
  <si>
    <t>蟹籽鱼包蛋</t>
  </si>
  <si>
    <t>脆爽Q弹竹荪虾滑(半)</t>
  </si>
  <si>
    <t>脆爽Q弹竹荪虾滑</t>
  </si>
  <si>
    <t>冻虾</t>
  </si>
  <si>
    <t>精品墨鱼仔</t>
  </si>
  <si>
    <t>扇贝（个）</t>
  </si>
  <si>
    <t>生蚝</t>
  </si>
  <si>
    <t>精品生蚝</t>
  </si>
  <si>
    <t>桂花蚌</t>
  </si>
  <si>
    <t>多使用22磅</t>
  </si>
  <si>
    <t>鲍鱼</t>
  </si>
  <si>
    <t>草原羔羊肉卷</t>
  </si>
  <si>
    <t>多使用1013磅请核实原因</t>
  </si>
  <si>
    <t>精品肥牛</t>
  </si>
  <si>
    <t>多使用2176磅</t>
  </si>
  <si>
    <t>澳洲肥牛(和牛)</t>
  </si>
  <si>
    <t>美国特选肥牛</t>
  </si>
  <si>
    <t>薄切牛舌</t>
  </si>
  <si>
    <t>多使用128磅</t>
  </si>
  <si>
    <t>精品牛板腱肉</t>
  </si>
  <si>
    <t>手切牛板腱</t>
  </si>
  <si>
    <t>优选肥牛</t>
  </si>
  <si>
    <t>雪花牛小排</t>
  </si>
  <si>
    <t>多使用105磅</t>
  </si>
  <si>
    <t>血旺</t>
  </si>
  <si>
    <t>肥肠</t>
  </si>
  <si>
    <t>鹌鹑蛋(半)</t>
  </si>
  <si>
    <t>鱼豆腐(黄的)</t>
  </si>
  <si>
    <t>特色菜</t>
  </si>
  <si>
    <t>特色菜类</t>
  </si>
  <si>
    <t>捞派麻辣滑牛肉</t>
  </si>
  <si>
    <t>捞派毛肚</t>
  </si>
  <si>
    <t>捞派千层毛肚</t>
  </si>
  <si>
    <t>招牌虾滑</t>
  </si>
  <si>
    <t>捞派麻辣鸡膝</t>
  </si>
  <si>
    <t>麻辣掌中宝</t>
  </si>
  <si>
    <t>捞派麻辣鸡膝（半）</t>
  </si>
  <si>
    <t>甜品饮品</t>
  </si>
  <si>
    <t>冰酒酿圆子</t>
  </si>
  <si>
    <t>桃你欢心冰慕斯</t>
  </si>
  <si>
    <t>爱的魔力一圈圈（慕斯蛋糕）</t>
  </si>
  <si>
    <t>特调饮品</t>
  </si>
  <si>
    <t>夏日抹茶生椰</t>
  </si>
  <si>
    <t>柠檬茶</t>
  </si>
  <si>
    <t>听可乐</t>
  </si>
  <si>
    <t>听雪碧</t>
  </si>
  <si>
    <t>椰汁听装(310ml)</t>
  </si>
  <si>
    <t>零度可乐 330ml</t>
  </si>
  <si>
    <t>北冰洋330ml</t>
  </si>
  <si>
    <t>粉红蜜桃</t>
  </si>
  <si>
    <t>鲜橙大果粒乳酸菌</t>
  </si>
  <si>
    <t>鲜橙汁(杯)</t>
  </si>
  <si>
    <t>小吃主食</t>
  </si>
  <si>
    <t>饺子</t>
  </si>
  <si>
    <t>凉菜类</t>
  </si>
  <si>
    <t>老油条</t>
  </si>
  <si>
    <t>酸奶麻花</t>
  </si>
  <si>
    <t>炸馒头</t>
  </si>
  <si>
    <t>现炸酥肉</t>
  </si>
  <si>
    <t>冰烤番薯</t>
  </si>
  <si>
    <t>香甜番薯条</t>
  </si>
  <si>
    <t>榴莲球</t>
  </si>
  <si>
    <t>爆浆糍粑</t>
  </si>
  <si>
    <t>小嗨卤味</t>
  </si>
  <si>
    <t>小嗨卤味类</t>
  </si>
  <si>
    <t>卤味牛蹄筋</t>
  </si>
  <si>
    <t>嫩鸡肉片</t>
  </si>
  <si>
    <t>A5宫崎和牛（半）</t>
  </si>
  <si>
    <t>宫崎和牛</t>
  </si>
  <si>
    <t>A5宫崎和牛</t>
  </si>
  <si>
    <t>冰鲜青口贝(半)</t>
  </si>
  <si>
    <t>青口贝</t>
  </si>
  <si>
    <t>冰鲜青口贝</t>
  </si>
  <si>
    <t>冰鲜田鸡腿</t>
  </si>
  <si>
    <t>牛蛙</t>
  </si>
  <si>
    <t>精选豚肉薄切</t>
  </si>
  <si>
    <t>梅花肉</t>
  </si>
  <si>
    <t>鲜嫩鸡肉卷</t>
  </si>
  <si>
    <t>脱骨鸭掌</t>
  </si>
  <si>
    <t>猪肚(半)</t>
  </si>
  <si>
    <t>冬瓜蜜汁</t>
  </si>
  <si>
    <t>牛筋丸</t>
  </si>
  <si>
    <t>牛筋丸(半)</t>
  </si>
  <si>
    <t>鲜榨果汁</t>
  </si>
  <si>
    <t>麻辣小龙虾</t>
  </si>
  <si>
    <t>十三香小龙虾</t>
  </si>
  <si>
    <t>八宝饭</t>
  </si>
  <si>
    <t>生面(半)</t>
  </si>
  <si>
    <t>生面条</t>
  </si>
  <si>
    <t>生面</t>
  </si>
  <si>
    <t>墨鱼肠</t>
  </si>
  <si>
    <t>10pc</t>
  </si>
  <si>
    <t>Crush Orange Soda</t>
  </si>
  <si>
    <t>台湾小香肠</t>
  </si>
  <si>
    <t>双色丸子（圣诞限定）</t>
  </si>
  <si>
    <t>盐酥鸡</t>
  </si>
  <si>
    <t>鸡肉酥肉</t>
  </si>
  <si>
    <t>熊猫酪酪</t>
  </si>
  <si>
    <t>熊猫形卡曼橘冰慕斯</t>
  </si>
  <si>
    <t>手工鸡肉丸</t>
  </si>
  <si>
    <t>椰椰猪肉丸</t>
  </si>
  <si>
    <t>牛肉圣诞塔</t>
  </si>
  <si>
    <t>燕麦奶火锅</t>
  </si>
  <si>
    <t>青岛啤酒330ml(听)</t>
  </si>
  <si>
    <t>朝日啤酒</t>
  </si>
  <si>
    <t>多使用1瓶</t>
  </si>
  <si>
    <t>MAKGEOLLI 米酒</t>
  </si>
  <si>
    <t>多使用26瓶</t>
  </si>
  <si>
    <t>少使用1瓶</t>
  </si>
  <si>
    <t>江小白 50ML</t>
  </si>
  <si>
    <t>多使用29瓶</t>
  </si>
  <si>
    <t>少使用15瓶</t>
  </si>
  <si>
    <t>火箭鱿鱼</t>
  </si>
  <si>
    <t>炸汤圆</t>
  </si>
  <si>
    <t>炸鲜奶</t>
  </si>
  <si>
    <t>圣诞小雪人儿（草莓芝士大福）</t>
  </si>
  <si>
    <t>象拔蚌(时价)</t>
  </si>
  <si>
    <t>鲜切金钱腱</t>
  </si>
  <si>
    <t>少使用40瓶</t>
  </si>
  <si>
    <t>Sapporo啤酒</t>
  </si>
  <si>
    <t>少使用4桶</t>
  </si>
  <si>
    <t>Sapporo 扎啤</t>
  </si>
  <si>
    <t>月份</t>
  </si>
  <si>
    <t>国家</t>
  </si>
  <si>
    <t>销售模式</t>
  </si>
  <si>
    <t>小类名称</t>
  </si>
  <si>
    <t>套餐编码</t>
  </si>
  <si>
    <t>套餐名称</t>
  </si>
  <si>
    <t>套餐规格</t>
  </si>
  <si>
    <t>套餐单价</t>
  </si>
  <si>
    <t>菜品规格名称</t>
  </si>
  <si>
    <t>出品金额</t>
  </si>
  <si>
    <t>退菜金额</t>
  </si>
  <si>
    <t>应收数量</t>
  </si>
  <si>
    <t>应收金额</t>
  </si>
  <si>
    <t>套餐折扣</t>
  </si>
  <si>
    <t>实收金额</t>
  </si>
  <si>
    <t>销售产品净收入</t>
  </si>
  <si>
    <t>税额</t>
  </si>
  <si>
    <t>净额</t>
  </si>
  <si>
    <t>实际出品数量（出品数量-退菜数量）</t>
  </si>
  <si>
    <t>202505</t>
  </si>
  <si>
    <t>堂食</t>
  </si>
  <si>
    <t>03010184</t>
  </si>
  <si>
    <t>09030119</t>
  </si>
  <si>
    <t>克</t>
  </si>
  <si>
    <t>09040055</t>
  </si>
  <si>
    <t>09040063</t>
  </si>
  <si>
    <t>09040065</t>
  </si>
  <si>
    <t>10020069</t>
  </si>
  <si>
    <t>11010086</t>
  </si>
  <si>
    <t>-</t>
  </si>
  <si>
    <t>1000000303</t>
  </si>
  <si>
    <t>10020113</t>
  </si>
  <si>
    <t>11010262</t>
  </si>
  <si>
    <t>碗</t>
  </si>
  <si>
    <t>12010006</t>
  </si>
  <si>
    <t>26010234</t>
  </si>
  <si>
    <t>91003653</t>
  </si>
  <si>
    <t>1000000304</t>
  </si>
  <si>
    <t>1000000305</t>
  </si>
  <si>
    <t>2601037008</t>
  </si>
  <si>
    <t>小锅</t>
  </si>
  <si>
    <t>70000769</t>
  </si>
  <si>
    <t>国家/地区代码</t>
  </si>
  <si>
    <t>门店标识</t>
  </si>
  <si>
    <t>一级分类</t>
  </si>
  <si>
    <t>二级分类</t>
  </si>
  <si>
    <t>标记</t>
  </si>
  <si>
    <t>CA</t>
  </si>
  <si>
    <t>韩式辣椒酱（14KG/件）</t>
  </si>
  <si>
    <t>小料台类</t>
  </si>
  <si>
    <t>2309新增</t>
  </si>
  <si>
    <t>滑类挤袋（280*165MM，200根*50把/件）</t>
  </si>
  <si>
    <t>老抽（海天，4.9L*2桶/件）</t>
  </si>
  <si>
    <t>小料台</t>
  </si>
  <si>
    <t>10月新增</t>
  </si>
  <si>
    <t>毛肚/牛百叶（冻，黄牛）</t>
  </si>
  <si>
    <t>去皮五花肉</t>
  </si>
  <si>
    <t>甜面酱（六月香，800G*12瓶/件）</t>
  </si>
  <si>
    <t>去皮花生米（2KG/包）</t>
  </si>
  <si>
    <t>土豆（10KG/件）</t>
  </si>
  <si>
    <t>9月新增</t>
  </si>
  <si>
    <t>香菇（5KG/件）</t>
  </si>
  <si>
    <t>无骨牛小排（A5和牛）</t>
  </si>
  <si>
    <t>2501更新</t>
  </si>
  <si>
    <t>猪脑（澳洲，个）</t>
  </si>
  <si>
    <t>八爪鱼（340G*20包/箱）</t>
  </si>
  <si>
    <t>小白馒头（800G*12包/箱）</t>
  </si>
  <si>
    <t>干豆腐丝（227G*20包/箱）</t>
  </si>
  <si>
    <t>豆皮（227G*36包/箱）</t>
  </si>
  <si>
    <t>果糖（1.8KG/包）</t>
  </si>
  <si>
    <t>CITAVO 咖啡（64G*21盒/箱）</t>
  </si>
  <si>
    <t>锅底</t>
  </si>
  <si>
    <t>扁山楂卷（怡达，200G*30包/箱）</t>
  </si>
  <si>
    <t>沙琪玛（米谷多，600G*12包/箱）</t>
  </si>
  <si>
    <t>小吃</t>
  </si>
  <si>
    <t>米酒（3L/桶）</t>
  </si>
  <si>
    <t>龙口粉丝（阿民食品 500G*30包/箱）</t>
  </si>
  <si>
    <t>海苔响铃卷（粮膳其味 180G*16盒/箱）</t>
  </si>
  <si>
    <t>美极鲜酱油（800ML*8瓶/箱）</t>
  </si>
  <si>
    <t>银耳（50G*24包/箱）</t>
  </si>
  <si>
    <t>FLP红酒（750ML/瓶）</t>
  </si>
  <si>
    <t>精酿 DOWN PILSNER（30L/桶）</t>
  </si>
  <si>
    <t>清淡啤酒 THREE KINGDOMS（20L/桶）</t>
  </si>
  <si>
    <t>二氧化碳（20LB/桶）</t>
  </si>
  <si>
    <t>强力清洁浸泡粉（10KG/包）</t>
  </si>
  <si>
    <t>洗洁精（5L/桶）</t>
  </si>
  <si>
    <t>一次性手套M（500只*20盒/箱）</t>
  </si>
  <si>
    <t>一次性手套S（500只*20盒/箱）</t>
  </si>
  <si>
    <t>白色丁睛手套M（150只/盒）</t>
  </si>
  <si>
    <t>抽纸（6000张/箱）</t>
  </si>
  <si>
    <t>一次性消毒纸巾（900张/箱）</t>
  </si>
  <si>
    <t>打包盒（24 OZ， 150套/箱）</t>
  </si>
  <si>
    <t>打包杯盖（32 OZ， 240套/箱）</t>
  </si>
  <si>
    <t>环保打包袋（1000个/箱）</t>
  </si>
  <si>
    <t>一次性洗碗围裙（500个/箱）</t>
  </si>
  <si>
    <t>竹签（100根*200包/箱）</t>
  </si>
  <si>
    <t>牙线（包）</t>
  </si>
  <si>
    <t>打印纸（10包/箱）</t>
  </si>
  <si>
    <t>抹茶包（20个/袋）</t>
  </si>
  <si>
    <t>全美素菜包（680G*10包/箱）</t>
  </si>
  <si>
    <t>全美肉包（680G*10包/箱）</t>
  </si>
  <si>
    <t>青葱（LB）</t>
  </si>
  <si>
    <t>锅巴（8KG/箱）</t>
  </si>
  <si>
    <t>咖色外卖纸袋（13*7*13，150个/箱）</t>
  </si>
  <si>
    <t>咖色外卖纸袋（8.25*4.5*10， 150个/箱）</t>
  </si>
  <si>
    <t>咖色纸袋（不付手带 ，500个/包）</t>
  </si>
  <si>
    <t>翠宏辣椒蘸酱（400G*25瓶/箱）</t>
  </si>
  <si>
    <t>虎牙脆（8.5KG/箱）</t>
  </si>
  <si>
    <t>锅巴（8.5KG//箱）</t>
  </si>
  <si>
    <t>玉米笋（LB）</t>
  </si>
  <si>
    <t>赢鹏泡长椒（2KG*6袋/箱）</t>
  </si>
  <si>
    <t>油条（南翔，350G*20包/箱）</t>
  </si>
  <si>
    <t>鸡蛋韭菜水饺（三全，450G*20包/箱）</t>
  </si>
  <si>
    <t>1月新增</t>
  </si>
  <si>
    <t>腐竹（三全，180G*20包/箱）</t>
  </si>
  <si>
    <t>海带结（400G*20包/箱）</t>
  </si>
  <si>
    <t>海带丝（400G*20包/箱）</t>
  </si>
  <si>
    <t>中华滑豆腐（454G*12盒/箱）</t>
  </si>
  <si>
    <t>日升甜味豆浆皇（1.89L*6桶/箱）</t>
  </si>
  <si>
    <t>红萝卜（50LB/箱）</t>
  </si>
  <si>
    <t>白萝卜（35LB/箱）</t>
  </si>
  <si>
    <t>日本山药（22LB/箱）</t>
  </si>
  <si>
    <t>绍菜（40LB/箱）</t>
  </si>
  <si>
    <t>绍菜（25LB/箱）</t>
  </si>
  <si>
    <t>带根菠菜（20LB/箱）</t>
  </si>
  <si>
    <t>带根香菜/芫茜（48把/箱）</t>
  </si>
  <si>
    <t>中葱（20LB/箱）</t>
  </si>
  <si>
    <t>蒜肉（18LB/箱）</t>
  </si>
  <si>
    <t>白瓜（4个/箱）</t>
  </si>
  <si>
    <t>哈密瓜（9个/箱）</t>
  </si>
  <si>
    <t>脱皮熟芝麻（LB）</t>
  </si>
  <si>
    <t>云耳（LB）</t>
  </si>
  <si>
    <t>云耳（16KG/箱）</t>
  </si>
  <si>
    <t>干香菇（LB）</t>
  </si>
  <si>
    <t>韩国辣椒粉（5LB/包）</t>
  </si>
  <si>
    <t>黑胡椒碎（LB）</t>
  </si>
  <si>
    <t>茶树菇（227G*20包/箱）</t>
  </si>
  <si>
    <t>海带结（香枫，454G*30包/箱）</t>
  </si>
  <si>
    <t>三联粉丝（1KG*25包/箱）</t>
  </si>
  <si>
    <t>芝麻酱（5KG*4桶/箱）</t>
  </si>
  <si>
    <t>李锦记老抽（10KG*2桶/箱）</t>
  </si>
  <si>
    <t>熟黄豆粉（LB）</t>
  </si>
  <si>
    <t>鸡精（太太乐，5LB*6瓶/箱）</t>
  </si>
  <si>
    <t>老干妈风味豆豉辣椒（710G*12瓶/箱）</t>
  </si>
  <si>
    <t>鹰唛炼乳（300ML*24罐/箱）</t>
  </si>
  <si>
    <t>松肉粉（908G*6包/盒）</t>
  </si>
  <si>
    <t>雪碱水（20.3OZ*12桶/箱）</t>
  </si>
  <si>
    <t>小竹笋（800G*24罐/箱）</t>
  </si>
  <si>
    <t>美乃滋（4L*2桶/箱）</t>
  </si>
  <si>
    <t>豆豉（阳江牌，400G*50包/箱）</t>
  </si>
  <si>
    <t>鱼肚（LB）</t>
  </si>
  <si>
    <t>西米（400G*24包/件）</t>
  </si>
  <si>
    <t>椰奶（1L*12瓶/箱）</t>
  </si>
  <si>
    <t>糯米粉（400G*30包/箱）</t>
  </si>
  <si>
    <t>红豆（LB）</t>
  </si>
  <si>
    <t>花椒油（2.5L*4桶/件）</t>
  </si>
  <si>
    <t>米酒（750ML*12瓶/箱）</t>
  </si>
  <si>
    <t>卷袋（10.5*20MM， 2卷/箱）</t>
  </si>
  <si>
    <t>猪棒骨（KG）</t>
  </si>
  <si>
    <t>牛霖肉（KG）</t>
  </si>
  <si>
    <t>海鲜酱（李锦记，5LB*6桶/箱）</t>
  </si>
  <si>
    <t>辣椒碎（LB）</t>
  </si>
  <si>
    <t>镇江香醋（金梅，4L*4桶/件）</t>
  </si>
  <si>
    <t>墨鱼筒（U1-U2， 8KG/箱 ）</t>
  </si>
  <si>
    <t>地瓜淀粉（灵鹿，454G*30包/箱）</t>
  </si>
  <si>
    <t>5月新增</t>
  </si>
  <si>
    <t>大枣（去核，10KG/箱）</t>
  </si>
  <si>
    <t>郫县红油豆瓣（鹃城牌，1.2KG*8罐/箱）</t>
  </si>
  <si>
    <t>食用碱面（雨燕， 180G*50包/箱）</t>
  </si>
  <si>
    <t>天妇罗虾（10LB/箱）</t>
  </si>
  <si>
    <t>炸鸡翅（4KG/箱）</t>
  </si>
  <si>
    <t>椰奶（141G*18盒/箱）</t>
  </si>
  <si>
    <t>豆泡（160G*10包/箱）</t>
  </si>
  <si>
    <t>鳗鱼（冻，5KG/箱）</t>
  </si>
  <si>
    <t>鲜虾云吞（12个*50包/箱）</t>
  </si>
  <si>
    <t>台湾台南11号圆米（15LB/袋）</t>
  </si>
  <si>
    <t>鱼籽福包（1KG*10包/箱）</t>
  </si>
  <si>
    <t>唐芹（20LB/箱）</t>
  </si>
  <si>
    <t>思念原味手抓饼（5片*16包/箱）</t>
  </si>
  <si>
    <t>红豆芝麻球（20个*20包/箱）</t>
  </si>
  <si>
    <t>线椒（20LB/箱）</t>
  </si>
  <si>
    <t>牛腱（KG）</t>
  </si>
  <si>
    <t>肉汁粉（5KG/桶）</t>
  </si>
  <si>
    <t>上海白（LB）</t>
  </si>
  <si>
    <t>蚝肉（30LB/箱）</t>
  </si>
  <si>
    <t>燕麦薏仁豆浆（九阳，700G*25包/箱）</t>
  </si>
  <si>
    <t>火锅汤底（蔬菜猪肉味，750G*10袋/箱）</t>
  </si>
  <si>
    <t>牛胸口油（KG）</t>
  </si>
  <si>
    <t>杏鲍菇（250G*24包/箱）</t>
  </si>
  <si>
    <t>大红袍花椒（LB）</t>
  </si>
  <si>
    <t>尖椒（LB）</t>
  </si>
  <si>
    <t>金针菇（250G/包）</t>
  </si>
  <si>
    <t>干辣椒（LB）</t>
  </si>
  <si>
    <t>鲜冬菇（KG）</t>
  </si>
  <si>
    <t>安格斯牛小排（LB）</t>
  </si>
  <si>
    <t>鲜乌冬面（六福，800G*10包/箱）</t>
  </si>
  <si>
    <t>虾滑（1KG*16包/箱）</t>
  </si>
  <si>
    <t>墨魚仔（454G*10包/箱）</t>
  </si>
  <si>
    <t>牛黃喉（KG）</t>
  </si>
  <si>
    <t>黑椒牛筋丸（10LB/包）</t>
  </si>
  <si>
    <t>韭菜鸡蛋饺子（天天点心，800G/包）</t>
  </si>
  <si>
    <t>魚籽包蛋（454G*20包/箱）</t>
  </si>
  <si>
    <t>长豆角（LB）</t>
  </si>
  <si>
    <t>红豆沙（1LB*20包/箱）</t>
  </si>
  <si>
    <t>山楂饼（165G*96包/箱）</t>
  </si>
  <si>
    <t>红葱头（LB）</t>
  </si>
  <si>
    <t>2310新增</t>
  </si>
  <si>
    <t>菠菜（LB）</t>
  </si>
  <si>
    <t>油酥黄豆（1KG/包）</t>
  </si>
  <si>
    <t>其他</t>
  </si>
  <si>
    <t>芝麻调和油（2KG/包）</t>
  </si>
  <si>
    <t>花生芝麻调味酱（1KG/包）</t>
  </si>
  <si>
    <t>丸滑酱油（2KG/包）</t>
  </si>
  <si>
    <t>菌王酱（2KG/包）</t>
  </si>
  <si>
    <t>香辣牛肉酱（2KG/包）</t>
  </si>
  <si>
    <t>血旺调味料（1KG/包）</t>
  </si>
  <si>
    <t>炸辣椒油（2KG/包）</t>
  </si>
  <si>
    <t>辣椒调味油（2KG/包）</t>
  </si>
  <si>
    <t>酥肉（2.5KG/包）</t>
  </si>
  <si>
    <t>去骨鸡腿肉（2KG/包）</t>
  </si>
  <si>
    <t>秘制嫩羊肉（2KG/包）</t>
  </si>
  <si>
    <t>巴沙鱼片（2KG/包）</t>
  </si>
  <si>
    <t>鲜贝滑（2KG/包）</t>
  </si>
  <si>
    <t>捞派滑牛肉（2KG/包）</t>
  </si>
  <si>
    <t>脆骨鲜肉丸（2KG/包）</t>
  </si>
  <si>
    <t>虾丸（OEM，2KG/包）</t>
  </si>
  <si>
    <t>五香牛肉（2.5KG/包）</t>
  </si>
  <si>
    <t>酸菜锅底（OEM，3KG/包）</t>
  </si>
  <si>
    <t>捞派千层毛肚（2.5KG/包）</t>
  </si>
  <si>
    <t>捞派毛肚（1.25KG/包）</t>
  </si>
  <si>
    <t>卤肉饭臊子（2KG/包）</t>
  </si>
  <si>
    <t>卤带皮羊肉块</t>
  </si>
  <si>
    <t>卤猪肚</t>
  </si>
  <si>
    <t>卤牛腱</t>
  </si>
  <si>
    <t>卤牛肚</t>
  </si>
  <si>
    <t>卤大肠</t>
  </si>
  <si>
    <t>牛肉滑（2KG/包）</t>
  </si>
  <si>
    <t>鸡爪（1KG/包）</t>
  </si>
  <si>
    <t>腐竹（蜀海，200G/包）</t>
  </si>
  <si>
    <t>2308新增</t>
  </si>
  <si>
    <t>礼品</t>
  </si>
  <si>
    <t>玩具</t>
  </si>
  <si>
    <t>蒸饭托盘（不锈钢，600*400MM）</t>
  </si>
  <si>
    <t>菜单（北京7店）</t>
  </si>
  <si>
    <t>美工刀（得力）</t>
  </si>
  <si>
    <t>美工刀片（得力）</t>
  </si>
  <si>
    <t>钉书机（得力）</t>
  </si>
  <si>
    <t>豆浆壶（不锈钢，4L）</t>
  </si>
  <si>
    <t>豆浆网（150）</t>
  </si>
  <si>
    <t>计算器（得力）</t>
  </si>
  <si>
    <t>垃圾袋（40型，100根*60把/件）</t>
  </si>
  <si>
    <t>老花镜</t>
  </si>
  <si>
    <t>毛巾类</t>
  </si>
  <si>
    <t>毛巾筐</t>
  </si>
  <si>
    <t>牛舌</t>
  </si>
  <si>
    <t>压气喷壶</t>
  </si>
  <si>
    <t>女裤子黑色（冬）L号</t>
  </si>
  <si>
    <t>女裤子黑色（冬）M号</t>
  </si>
  <si>
    <t>女裤子黑色（冬）XL号</t>
  </si>
  <si>
    <t>女裤子黑色（冬）XXL号</t>
  </si>
  <si>
    <t>自封袋（手机）（150*100MM）</t>
  </si>
  <si>
    <t>手套（短胶，10副/捆）</t>
  </si>
  <si>
    <t>双耳漏网（不锈钢，22CM）</t>
  </si>
  <si>
    <t>跳棋</t>
  </si>
  <si>
    <t>推布（60型）</t>
  </si>
  <si>
    <t>推杆（60型）</t>
  </si>
  <si>
    <t>推架子（60型）</t>
  </si>
  <si>
    <t>中国象棋</t>
  </si>
  <si>
    <t>万能架（26CM）</t>
  </si>
  <si>
    <t>毛巾夹</t>
  </si>
  <si>
    <t>小方巾（棉纱，50条*21袋/件）</t>
  </si>
  <si>
    <t>垃圾桶（灰，30型）</t>
  </si>
  <si>
    <t>雨伞</t>
  </si>
  <si>
    <t>圆珠笔（得力，60支/盒）</t>
  </si>
  <si>
    <t>自封袋（留样，100*150MM）</t>
  </si>
  <si>
    <t>雪碧（330ML*24听/件）</t>
  </si>
  <si>
    <t>可口可乐（330ML*24听/件）</t>
  </si>
  <si>
    <t>香辣酱（美乐，4.5KG*4桶/件）</t>
  </si>
  <si>
    <t>男裤子黑色（冬）S号</t>
  </si>
  <si>
    <t>男裤子黑色（冬）M号</t>
  </si>
  <si>
    <t>男裤子黑色（冬）L号</t>
  </si>
  <si>
    <t>男裤子黑色（冬）XL号</t>
  </si>
  <si>
    <t>男裤子黑色（冬）XXL号</t>
  </si>
  <si>
    <t>男裤子黑色（冬）XXXL号</t>
  </si>
  <si>
    <t>女裤子黑色（冬）S号</t>
  </si>
  <si>
    <t>女裤子黑色（冬）XXXL号</t>
  </si>
  <si>
    <t>后堂男上衣白色（冬）S号</t>
  </si>
  <si>
    <t>青提</t>
  </si>
  <si>
    <t>康乃馨（鲜，20支/把）</t>
  </si>
  <si>
    <t>夏季前后堂女裤S号</t>
  </si>
  <si>
    <t>对讲机电池</t>
  </si>
  <si>
    <t>调料托盘</t>
  </si>
  <si>
    <t>美甲师衬衫（冬）S号</t>
  </si>
  <si>
    <t>美甲师衬衫（冬）M号</t>
  </si>
  <si>
    <t>美甲师衬衫（冬）L号</t>
  </si>
  <si>
    <t>美甲师衬衫（冬）XL号</t>
  </si>
  <si>
    <t>美甲师衬衫（冬）XXL号</t>
  </si>
  <si>
    <t>美甲师裙子（冬）S号</t>
  </si>
  <si>
    <t>美甲师裙子（冬）M号</t>
  </si>
  <si>
    <t>美甲师裙子（冬）L号</t>
  </si>
  <si>
    <t>美甲师裙子（冬）XL号</t>
  </si>
  <si>
    <t>自封袋（手机）（170*120MM）</t>
  </si>
  <si>
    <t>菊花（鲜，10支/把）</t>
  </si>
  <si>
    <t>夏季前后堂女裤M号</t>
  </si>
  <si>
    <t>夏季前后堂女裤L号</t>
  </si>
  <si>
    <t>夏季前后堂女裤XL号</t>
  </si>
  <si>
    <t>夏季前后堂男裤M号</t>
  </si>
  <si>
    <t>夏季美甲工服（红色）XL号</t>
  </si>
  <si>
    <t>夏季美甲工服（红色）M号</t>
  </si>
  <si>
    <t>夏季美甲工服（红色）L号</t>
  </si>
  <si>
    <t>小号三格等座餐盘（密胺）（19.9*13.9*3.6CM）</t>
  </si>
  <si>
    <t>小号三格等座餐盘盖子（密胺）（19.5*15CM）</t>
  </si>
  <si>
    <t>游乐园T恤（蓝色）夏季S号</t>
  </si>
  <si>
    <t>游乐园T恤（蓝色）夏季XXL号</t>
  </si>
  <si>
    <t>三层名片盒（定做，带LOGO）</t>
  </si>
  <si>
    <t>菜单夹（定做，带LOGO）</t>
  </si>
  <si>
    <t>收纳盒（定做，带LOGO）</t>
  </si>
  <si>
    <t>茶叶罐（乐美雅，500ML/个）</t>
  </si>
  <si>
    <t>糖果盒（定做，带LOGO）</t>
  </si>
  <si>
    <t>游乐园上衣蓝色（冬）S号</t>
  </si>
  <si>
    <t>游乐园上衣蓝色（冬）M号</t>
  </si>
  <si>
    <t>游乐园上衣蓝色（冬）L号</t>
  </si>
  <si>
    <t>围棋（磁性折叠）</t>
  </si>
  <si>
    <t>毛巾托盘（不锈钢）</t>
  </si>
  <si>
    <t>婴儿被子（定做，带LOGO）</t>
  </si>
  <si>
    <t>一次性褥子（婴儿，12片/包）</t>
  </si>
  <si>
    <t>婴儿枕头（定做，带LOGO）</t>
  </si>
  <si>
    <t>青岛啤酒（330ML*24听/件）</t>
  </si>
  <si>
    <t>冰块铲（不锈钢）</t>
  </si>
  <si>
    <t>调味缸盖子（14CM）</t>
  </si>
  <si>
    <t>蒸饭托盘（不锈钢，带孔，600*400MM）</t>
  </si>
  <si>
    <t>烩面托盘（不锈钢，360*270*20MM）</t>
  </si>
  <si>
    <t>夏季美甲工服（红色）S号</t>
  </si>
  <si>
    <t>超市提篮（茶花）</t>
  </si>
  <si>
    <t>酒精喷壶（美甲）</t>
  </si>
  <si>
    <t>修型锉（美甲，50个/盒）</t>
  </si>
  <si>
    <t>死皮剪（美甲，10个/盒）</t>
  </si>
  <si>
    <t>尘刷（美甲，12个/包）</t>
  </si>
  <si>
    <t>手枕（美甲）</t>
  </si>
  <si>
    <t>海绵挫（美甲，10个/包）</t>
  </si>
  <si>
    <t>锡纸（美甲）</t>
  </si>
  <si>
    <t>压泵瓶（美甲）</t>
  </si>
  <si>
    <t>贴花（美甲）</t>
  </si>
  <si>
    <t>点钻棒（美甲）</t>
  </si>
  <si>
    <t>小镊子（美甲）</t>
  </si>
  <si>
    <t>彩绘细笔（美甲）</t>
  </si>
  <si>
    <t>手指套（美甲，200个/包）</t>
  </si>
  <si>
    <t>消毒盒（美甲）</t>
  </si>
  <si>
    <t>调色盘（美甲）</t>
  </si>
  <si>
    <t>甲片（500个/包）</t>
  </si>
  <si>
    <t>美甲色板（合页）</t>
  </si>
  <si>
    <t>保鲜膜（300MM*100M，50卷/件）</t>
  </si>
  <si>
    <t>保鲜膜（450MM*300M，6卷/件）</t>
  </si>
  <si>
    <t>保鲜盒（惠而信0269，230*150*80MM）</t>
  </si>
  <si>
    <t>保鲜盒（惠而信0272，345*230*120MM）</t>
  </si>
  <si>
    <t>保鲜盒（惠而信0273，385*262*125MM）</t>
  </si>
  <si>
    <t>明轩大盘（密胺，48个/件）</t>
  </si>
  <si>
    <t>俎案小盘（密胺，40个/件）</t>
  </si>
  <si>
    <t>潜心碗小（白瓷，4寸，96个/件）</t>
  </si>
  <si>
    <t>一次性十字口豆浆杯盖（定做，100个*10提/件）</t>
  </si>
  <si>
    <t>LED灯（美甲，48W）</t>
  </si>
  <si>
    <t>指甲刀（强人，12个/盒）</t>
  </si>
  <si>
    <t>双面鱼鳞纹丁腈手套（索亿，桔色，S，50只*10盒/件）</t>
  </si>
  <si>
    <t>凉菜盖（惠而信，290*290MM）</t>
  </si>
  <si>
    <t>折纸（千纸鹤 7*7cm 100个/包）</t>
  </si>
  <si>
    <t>迷你菊（紫色，支）</t>
  </si>
  <si>
    <t>豆沙南瓜饼（三全，300G*12包/件）</t>
  </si>
  <si>
    <t>卸甲包（妙茜，204片*63盒/件）</t>
  </si>
  <si>
    <t>红酒醒酒器（6个/件）</t>
  </si>
  <si>
    <t>艺术吸管（长260MM，100支/包）</t>
  </si>
  <si>
    <t>夏季前堂男上衣白色S号</t>
  </si>
  <si>
    <t>面粉车（乐柏美）</t>
  </si>
  <si>
    <t>推棒（美甲，12个/盒）</t>
  </si>
  <si>
    <t>虾滑抹刀（23.8*13*12CM）</t>
  </si>
  <si>
    <t>冻去骨牛小排（加拿大，3A）</t>
  </si>
  <si>
    <t>荤菜类</t>
  </si>
  <si>
    <t>对讲机座充（TC320）</t>
  </si>
  <si>
    <t>红酒杯（利比，48支/件）</t>
  </si>
  <si>
    <t>嵌入式小车（特耐适，1814）</t>
  </si>
  <si>
    <t>红酒醒酒器（8支/件）</t>
  </si>
  <si>
    <t>适锋垃圾桶（特耐适，1211，4个/件）</t>
  </si>
  <si>
    <t>带盖干果盘（8171）</t>
  </si>
  <si>
    <t>干果盘架子（TJ021）</t>
  </si>
  <si>
    <t>PC圆形花瓣果盘（8137，直径25CM）</t>
  </si>
  <si>
    <t>鸳鸯锅隔板</t>
  </si>
  <si>
    <t>防尘服（L号）</t>
  </si>
  <si>
    <t>抛光条（美甲，15个/包）</t>
  </si>
  <si>
    <t>台卡（四合一）</t>
  </si>
  <si>
    <t>围嘴（30片/包）</t>
  </si>
  <si>
    <t>发光门牌</t>
  </si>
  <si>
    <t>捞面工作服白色（夏）XXXXL号</t>
  </si>
  <si>
    <t>面粉车（特耐适）</t>
  </si>
  <si>
    <t>会员桌牌黑海卡片（PVC）</t>
  </si>
  <si>
    <t>会员桌牌金海卡片（PVC）</t>
  </si>
  <si>
    <t>会员桌牌银海卡片（PVC）</t>
  </si>
  <si>
    <t>会员桌牌蝴蝶结（56*2CM）</t>
  </si>
  <si>
    <t>利比红酒杯（60支/箱）</t>
  </si>
  <si>
    <t>江小白23度（蜜桃味，168ML*24瓶/件）</t>
  </si>
  <si>
    <t>虎牙脆（8KG/件）</t>
  </si>
  <si>
    <t>男士羽绒服（薄款）M码</t>
  </si>
  <si>
    <t>工服</t>
  </si>
  <si>
    <t>B箱封口贴（5个*50张/捆）</t>
  </si>
  <si>
    <t>4月新增</t>
  </si>
  <si>
    <t>虾滑磨具（小，75G）</t>
  </si>
  <si>
    <t>鱼胶粉（正罗卜臣，500G/盒）</t>
  </si>
  <si>
    <t>乌江榨菜丝（80G*100袋/件）</t>
  </si>
  <si>
    <t>客用无纺布围裙（红伟邦达，42*62CM，50条*20包/件）</t>
  </si>
  <si>
    <t>可降解专用袋（380*220*70MM，100根*10把*5包/件）</t>
  </si>
  <si>
    <t>手持风扇玩具（3岁及以上，2款混装，50个/件）</t>
  </si>
  <si>
    <t>干香菇（福建，15KG/箱）</t>
  </si>
  <si>
    <t>抹茶粉（御金香，1KG/包）</t>
  </si>
  <si>
    <t>抓我鸭（3岁以上，50个/件）</t>
  </si>
  <si>
    <t>变形番茄宝（3岁以上，50个/件）</t>
  </si>
  <si>
    <t>原味青豌豆（甘源，5KG/箱）</t>
  </si>
  <si>
    <t>掌上打地鼠玩具（3岁及以上，50个/件）</t>
  </si>
  <si>
    <t>新款手持风扇玩具（3岁及以上，3款混装，50个/件）</t>
  </si>
  <si>
    <t>八宝饭（410G*20包/箱）</t>
  </si>
  <si>
    <t>5S压榨一级花生油（鲁花，1.8L*8瓶/件）</t>
  </si>
  <si>
    <t>蟹肉棒（小伙子，454G*20包/件）</t>
  </si>
  <si>
    <t>原味南瓜饼（三全，300G*20袋/件）</t>
  </si>
  <si>
    <t>去核红枣（一级，10KG/件）</t>
  </si>
  <si>
    <t>精选红豆（美食，30KG/袋）</t>
  </si>
  <si>
    <t>竹笙（300G/包）</t>
  </si>
  <si>
    <t>素菜类</t>
  </si>
  <si>
    <t>扇尾叶（鲜，把）</t>
  </si>
  <si>
    <t>安格斯牛小排</t>
  </si>
  <si>
    <t>羊肩肉</t>
  </si>
  <si>
    <t>虾片（金梅，227G*60盒/箱）</t>
  </si>
  <si>
    <t>青柠檬（40LB/箱）</t>
  </si>
  <si>
    <t>青江菜苗（20LB/箱）</t>
  </si>
  <si>
    <t>无糖可乐（355ML*24听/箱）</t>
  </si>
  <si>
    <t>黄冰糖（454G*50包/箱）</t>
  </si>
  <si>
    <t>海鲜菇（150G*40盒/箱）</t>
  </si>
  <si>
    <t>擦手纸（334个*12包/箱）</t>
  </si>
  <si>
    <t>可口可乐（355ML*24瓶/箱）</t>
  </si>
  <si>
    <t>海带丝（洺洋，15KG/件）</t>
  </si>
  <si>
    <t>冻墨鱼仔 (Bluebird，2LB*12袋/件)</t>
  </si>
  <si>
    <t>纸吸管（6MM*210MM，100支*40包/件）</t>
  </si>
  <si>
    <t>海带结（50G*50包/件）</t>
  </si>
  <si>
    <t>娟城豆瓣酱（郫县，4KG*4瓶/箱）</t>
  </si>
  <si>
    <t>牛胸腹肉（LB）</t>
  </si>
  <si>
    <t>雪碱水（500ML*12瓶/箱）</t>
  </si>
  <si>
    <t>面包糠（20LB/箱）</t>
  </si>
  <si>
    <t>黑石斑鱼（LB）</t>
  </si>
  <si>
    <t>猪后腿肉（LB）</t>
  </si>
  <si>
    <t>脱皮熟白芝麻（1KG*20包/箱）</t>
  </si>
  <si>
    <t>午餐肉（SPAM，340G*12盒/箱）</t>
  </si>
  <si>
    <t>成本类-荤菜</t>
  </si>
  <si>
    <t>蜜瓜 （8个/箱）</t>
  </si>
  <si>
    <t>水果</t>
  </si>
  <si>
    <t>杏鲍菇（400G*10包/件）</t>
  </si>
  <si>
    <t>孜然粉（百分百，1LB/包）</t>
  </si>
  <si>
    <t>唐芹（LB）</t>
  </si>
  <si>
    <t>配送费（外部）</t>
  </si>
  <si>
    <t>白醋（万家香，5L*4桶/件）</t>
  </si>
  <si>
    <t>六福卡式瓦斯炉（6个/箱）</t>
  </si>
  <si>
    <t>果汁杯（3.25OZ，2500个/箱）</t>
  </si>
  <si>
    <t>果汁盖（4OZ，2500个/箱）</t>
  </si>
  <si>
    <t>LY-16 长黑胶盒（150套/箱）</t>
  </si>
  <si>
    <t>LY-24 长黑胶盒（150套/箱）</t>
  </si>
  <si>
    <t>一次性筷子（100双*30包/箱）</t>
  </si>
  <si>
    <t>打包盒（S16，240套/箱）</t>
  </si>
  <si>
    <t>一次性刀（100双*30包/箱）</t>
  </si>
  <si>
    <t>一次性叉子（100双*30包/箱）</t>
  </si>
  <si>
    <t>一次性勺子（100双*30包/箱）</t>
  </si>
  <si>
    <t>湿纸巾（1000包/箱）</t>
  </si>
  <si>
    <t>鲜腐竹（山水，454G*30盒/箱）</t>
  </si>
  <si>
    <t>洗手消毒液（1L*6瓶/箱）</t>
  </si>
  <si>
    <t>打包盒 （12OZ，150套/箱）</t>
  </si>
  <si>
    <t>白色打包袋 （17CM*20CM， 100个*10卷/箱）</t>
  </si>
  <si>
    <t>打包汤碗（42OZ，150套/箱）</t>
  </si>
  <si>
    <t>西洋菜（24把/箱）</t>
  </si>
  <si>
    <t>酸菜（CHANG， 300G*36包/箱）</t>
  </si>
  <si>
    <t>咖色外卖纸盒（45 OZ，300个/箱）</t>
  </si>
  <si>
    <t>白桃味气泡水 （元气森林，500ML*15瓶/箱）</t>
  </si>
  <si>
    <t>INNISKILLIN CABERNET MERLOT VQA 红酒 （ 750</t>
  </si>
  <si>
    <t>PELEE ISLAND LIGHTHOUSE RISELING VQA 白葡萄</t>
  </si>
  <si>
    <t>圆餐盒（8OZ， 240套/箱）</t>
  </si>
  <si>
    <t>、</t>
  </si>
  <si>
    <t>"烧酒（JINRO CHANISUL FRESH，360ML/瓶）"</t>
  </si>
  <si>
    <t>LR-12长小黑胶盒（150套/箱）</t>
  </si>
  <si>
    <t>LR-26大长黑胶盒（150套/箱）</t>
  </si>
  <si>
    <t>啡色外卖手挽纸袋（10CM*5CM*13CM，250个/箱）</t>
  </si>
  <si>
    <t>啡色外卖手挽纸袋 （13CM*7CM*13CM，200个/箱）</t>
  </si>
  <si>
    <t>荞麦面（720G*8包/箱）</t>
  </si>
  <si>
    <t>500ML外卖饮料杯（500个/箱）</t>
  </si>
  <si>
    <t>500ML外卖饮料杯盖（500个/箱）</t>
  </si>
  <si>
    <t>蒙牛优酸乳（100ML*30个/箱）</t>
  </si>
  <si>
    <t>9寸独立包装大吸管（100根*20包/箱）</t>
  </si>
  <si>
    <t>芒果雪糕（11.4L/桶）</t>
  </si>
  <si>
    <t>红豆雪糕（11.4L/桶）</t>
  </si>
  <si>
    <t>泰国查哥椰奶（400ML*24罐/箱）</t>
  </si>
  <si>
    <t>绿茶雪糕（11.4L/桶）</t>
  </si>
  <si>
    <t>加拿大人啤酒 （341ML*24瓶/箱）</t>
  </si>
  <si>
    <t>去骨牛仔骨肉（LB）</t>
  </si>
  <si>
    <t>魔芋丝（280G*30包/箱）</t>
  </si>
  <si>
    <t>虾滑（250G*36包/箱）</t>
  </si>
  <si>
    <t>百威啤酒（473ML*24瓶/箱）</t>
  </si>
  <si>
    <t>清水鹌鹑蛋（425G*24罐/箱）</t>
  </si>
  <si>
    <t>飞鱼籽（TOBIKKO，500G*20盒/件）</t>
  </si>
  <si>
    <t>冬阴功底料（900G/罐）</t>
  </si>
  <si>
    <t>日式味淋（355ML*12瓶/箱）</t>
  </si>
  <si>
    <t>港式鱼腐（220G*30包/箱）</t>
  </si>
  <si>
    <t>大连黄豆（30KG/包）</t>
  </si>
  <si>
    <t>五丰黎红花椒油（400ML*12瓶/箱）</t>
  </si>
  <si>
    <t>冷冻鲜腐竹（300G*30包/箱）</t>
  </si>
  <si>
    <t>香蕉（5LB/箱）</t>
  </si>
  <si>
    <t>凯尔菜</t>
  </si>
  <si>
    <t>红肠（LB）</t>
  </si>
  <si>
    <t>海天招牌蚝油（725G*12瓶/箱）</t>
  </si>
  <si>
    <t>麦香浓郁黄啤（50L/桶）</t>
  </si>
  <si>
    <t>鱿鱼圈（4LB/箱 ）</t>
  </si>
  <si>
    <t>洋葱圈（12LB/箱）</t>
  </si>
  <si>
    <t>奶油（咖啡专用，160个/箱）</t>
  </si>
  <si>
    <t>糖包（咖啡专用，2000包/箱）</t>
  </si>
  <si>
    <t>搅拌棒（咖啡专用，1000根/箱）</t>
  </si>
  <si>
    <t>乐事薯片（40包/箱）</t>
  </si>
  <si>
    <t>刮胡刀（8个/包）</t>
  </si>
  <si>
    <t>带骨整根鸡腿</t>
  </si>
  <si>
    <t>辛拉面（农心，120G*40包/箱）</t>
  </si>
  <si>
    <t>鱼腐 （TOP CHEF，340G*20包/箱）</t>
  </si>
  <si>
    <t>酸奶味冰棍（中街，10支*5袋/箱）</t>
  </si>
  <si>
    <t>241219更新成锅底类</t>
  </si>
  <si>
    <t>百页豆腐（川武，3KG*6包/件）</t>
  </si>
  <si>
    <t>油麦菜（A菜，20LB/箱）</t>
  </si>
  <si>
    <t>香菜（带根，LB）</t>
  </si>
  <si>
    <t>中葱（LB）</t>
  </si>
  <si>
    <t>姜（28LB/箱）</t>
  </si>
  <si>
    <t>桶装豆腐（48块/桶）</t>
  </si>
  <si>
    <t>刀削面（4LB*6包/箱）</t>
  </si>
  <si>
    <t>腰花（LB）</t>
  </si>
  <si>
    <t>红茶茶包（945G/袋）</t>
  </si>
  <si>
    <t>12OZ汤桶（S-12，240套/箱）</t>
  </si>
  <si>
    <t>辛拉面（120G*32包/箱）</t>
  </si>
  <si>
    <t>哥士的清洁剂（50LB/袋）</t>
  </si>
  <si>
    <t>香草冰淇淋原浆（5L*2桶/箱）</t>
  </si>
  <si>
    <t>巧克力冰淇淋原浆（5L*2桶/箱）</t>
  </si>
  <si>
    <t>迷你菊（把）</t>
  </si>
  <si>
    <t>冰淇淋杯（112个*8提/箱）</t>
  </si>
  <si>
    <t>龙口粉丝（1KG*12包/箱）</t>
  </si>
  <si>
    <t>牛头香米（7KG/袋）</t>
  </si>
  <si>
    <t>佳佳馒头（900G*10包/箱）</t>
  </si>
  <si>
    <t>TETLEY红茶包（300包/盒）</t>
  </si>
  <si>
    <t>黄桃罐头（5LB*6罐/箱）</t>
  </si>
  <si>
    <t>黑米（4LB*10包/箱）</t>
  </si>
  <si>
    <t>洛神花（LB）</t>
  </si>
  <si>
    <t>茉莉香米（36LB/袋）</t>
  </si>
  <si>
    <t>无粉丁晴手套（XL，100个*10盒/箱）</t>
  </si>
  <si>
    <t>花枝丸（3KG/袋）</t>
  </si>
  <si>
    <t>南姜片（LB）</t>
  </si>
  <si>
    <t>白瓜</t>
  </si>
  <si>
    <t>扎啤（58.6L/桶）</t>
  </si>
  <si>
    <t>蒜蓉面包（16片/箱）</t>
  </si>
  <si>
    <t>田鸡腿（908G*10包/箱）</t>
  </si>
  <si>
    <t>蕃薯粉（454G*30包/箱）</t>
  </si>
  <si>
    <t>白胡椒粉（938G*12包/箱）</t>
  </si>
  <si>
    <t>菠萝（5个/箱）</t>
  </si>
  <si>
    <t>白胡椒粉（2.2KG/瓶）</t>
  </si>
  <si>
    <t>日本酱油（32OZ*6瓶/箱）</t>
  </si>
  <si>
    <t>黄豆（30KG/袋）</t>
  </si>
  <si>
    <t>沙姜片（LB）</t>
  </si>
  <si>
    <t>提子干（LB）</t>
  </si>
  <si>
    <t>16OZ汤桶（250个/箱）</t>
  </si>
  <si>
    <t>辛拉面（120G*24包/箱）</t>
  </si>
  <si>
    <t>巴沙鱼（30LB/箱）</t>
  </si>
  <si>
    <t>薏米（LB）</t>
  </si>
  <si>
    <t>烤白芝麻（KUKI，1KG*12包/箱）</t>
  </si>
  <si>
    <t>田鸡腿（8/12，2LB*10包/箱）</t>
  </si>
  <si>
    <t>BOSTONBLONDE啤酒（58.6L/桶）</t>
  </si>
  <si>
    <t>TORONTOAMBER啤酒（58.6L/桶）</t>
  </si>
  <si>
    <t>小苏打（500G/盒）</t>
  </si>
  <si>
    <t>牛胸口油（LB）</t>
  </si>
  <si>
    <t>珍膳麻酱烧饼（200G*30包/箱）</t>
  </si>
  <si>
    <t>羊腿肉（LB）</t>
  </si>
  <si>
    <t>醪糟（500G*8瓶/箱）</t>
  </si>
  <si>
    <t>年糕（500G/包）</t>
  </si>
  <si>
    <t>牛奶（473ML*24瓶/箱）</t>
  </si>
  <si>
    <t>牛奶（2L*6瓶/箱）</t>
  </si>
  <si>
    <t>蛋清（1KG*12盒/箱）</t>
  </si>
  <si>
    <t>芝士块（1.15KG/块）</t>
  </si>
  <si>
    <t>健怡可乐（330ML*24听/件）</t>
  </si>
  <si>
    <t>消毒酒精（4L*4桶/箱）</t>
  </si>
  <si>
    <t>生蚝（LB）</t>
  </si>
  <si>
    <t>黑色垃圾袋（100L，100个/箱）</t>
  </si>
  <si>
    <t>B38OZ外卖碗（150个/箱）</t>
  </si>
  <si>
    <t>黑色垃圾袋（70L，100个/箱）</t>
  </si>
  <si>
    <t>金瓜玉米汁粉（700G*25袋/箱）</t>
  </si>
  <si>
    <t>糯米（2KG*6袋/箱）</t>
  </si>
  <si>
    <t>冰烤番薯（3KG*6袋/箱）</t>
  </si>
  <si>
    <t>椰子水（1KG*20包/箱）</t>
  </si>
  <si>
    <t>桂花干（LB）</t>
  </si>
  <si>
    <t>独立棉签（100支*120包/箱）</t>
  </si>
  <si>
    <t>一次性手套（100个*36包/箱）</t>
  </si>
  <si>
    <t>山楂片（280G*50袋/箱）</t>
  </si>
  <si>
    <t>去皮山药（10KG/箱）</t>
  </si>
  <si>
    <t>16OZ白色纸碗（500个/箱）</t>
  </si>
  <si>
    <t>115MM塑料盖（500个/箱）</t>
  </si>
  <si>
    <t>蔓越莓干（1.8KG/包）</t>
  </si>
  <si>
    <t>蓝莓巧克力（850G/包）</t>
  </si>
  <si>
    <t>玫瑰海盐（2.27KG/瓶）</t>
  </si>
  <si>
    <t>混合坚果（850G/罐）</t>
  </si>
  <si>
    <t>卫生巾（76片/盒）</t>
  </si>
  <si>
    <t>MISS VICKIE'S FAVOURITES（24G*36包/箱）</t>
  </si>
  <si>
    <t>刮胡刀（24支/盒）</t>
  </si>
  <si>
    <t>清水油面筋（100G*12袋/箱）</t>
  </si>
  <si>
    <t>墨西哥辣椒（LB）</t>
  </si>
  <si>
    <t>牛奶（20L/桶）</t>
  </si>
  <si>
    <t>脆脘鱼（250G*20袋/箱）</t>
  </si>
  <si>
    <t>乌冬面（1.25KG*8袋/箱）</t>
  </si>
  <si>
    <t>日清鲍汁味珍珠鸡（201G*24盒/箱）</t>
  </si>
  <si>
    <t>猪肉小笼包（1.5KG*5包/箱）</t>
  </si>
  <si>
    <t>零度可乐（355ML*12瓶/箱）</t>
  </si>
  <si>
    <t>酒水类</t>
  </si>
  <si>
    <t>咖色擦手纸（12卷/箱）</t>
  </si>
  <si>
    <t>蘸料盒（2OZ，2500个/箱）</t>
  </si>
  <si>
    <t>无核红枣（伊宁，2.5KG*6袋/箱）</t>
  </si>
  <si>
    <t>芝士块（400G/包）</t>
  </si>
  <si>
    <t>蛋黄液（1KG*12盒/箱）</t>
  </si>
  <si>
    <t>甜辣酱（4L*2桶/箱）</t>
  </si>
  <si>
    <t>柠檬茶粉（2.35KG/罐）</t>
  </si>
  <si>
    <t>SALSA酱（1L*2瓶/组）</t>
  </si>
  <si>
    <t>西芹（10KG/箱）</t>
  </si>
  <si>
    <t>金针菇（250G*25包/箱）</t>
  </si>
  <si>
    <t>蜜瓜（6-9个/箱）</t>
  </si>
  <si>
    <t>菠萝（5-7颗/箱）</t>
  </si>
  <si>
    <t>墨鱼仔（越南，26.5LB/箱）</t>
  </si>
  <si>
    <t>鲜腐竹（荃美，200G*50包/箱）</t>
  </si>
  <si>
    <t>椰浆（400ML*24罐/箱）</t>
  </si>
  <si>
    <t>垃圾袋（35*47CM，100个/箱）</t>
  </si>
  <si>
    <t>有机豆苗（LB）</t>
  </si>
  <si>
    <t>蚝油（李锦记，5LB*6罐/箱）</t>
  </si>
  <si>
    <t>迷你纸托（144个*100盒/箱）</t>
  </si>
  <si>
    <t>蔬菜沙拉（2KG*4袋/箱）</t>
  </si>
  <si>
    <t>芝士块（1.25KG/块）</t>
  </si>
  <si>
    <t>一次性勺子（500个/箱）</t>
  </si>
  <si>
    <t>小布丁雪糕（20支*4袋/箱）</t>
  </si>
  <si>
    <t>毛豆（5LB*4袋/箱）</t>
  </si>
  <si>
    <t>番茄酱（5LB*6罐/箱）</t>
  </si>
  <si>
    <t>豆沙粽（思念，455G*20袋/箱）</t>
  </si>
  <si>
    <t>八宝粽（思念，455G*20袋/箱）</t>
  </si>
  <si>
    <t>绿茶茶包（KIRKLAND，100袋/盒）</t>
  </si>
  <si>
    <t>柔顺剂（KIRKLAND，5.5L/桶）</t>
  </si>
  <si>
    <t>RUSSELL CRAFT LAGER（19.5L/桶）</t>
  </si>
  <si>
    <t>纯水磨小圆子（250G*32包/箱）</t>
  </si>
  <si>
    <t>TOWEL PAPER（8寸，12卷/箱）</t>
  </si>
  <si>
    <t>蝶豆花干（100G*10包/件）</t>
  </si>
  <si>
    <t>化妆棉（100片*8包/盒）</t>
  </si>
  <si>
    <t>海带苗（350G*20袋/箱）</t>
  </si>
  <si>
    <t>咸蛋（160颗/箱）</t>
  </si>
  <si>
    <t>圣女果（1LB*12盒/箱）</t>
  </si>
  <si>
    <t>海鲜菇（150G*60包/箱）</t>
  </si>
  <si>
    <t>香米（幸运，33LB/袋）</t>
  </si>
  <si>
    <t>美乐香辣酱（4KG*4桶/箱）</t>
  </si>
  <si>
    <t>卷袋（8.5MM*12MM，2卷/箱）</t>
  </si>
  <si>
    <t>卷袋（12MM*20MM，2卷/箱）</t>
  </si>
  <si>
    <t>吸管（250支/包）</t>
  </si>
  <si>
    <t>白单擦手纸（H115，250张*16包/箱）</t>
  </si>
  <si>
    <t>糖蒜（500G*18包/件）</t>
  </si>
  <si>
    <t>平和白芝麻（5LB*4包/箱）</t>
  </si>
  <si>
    <t>黑木耳（16KG/箱）</t>
  </si>
  <si>
    <t>打印机墨水（EPSON T5021，4瓶/盒）</t>
  </si>
  <si>
    <t>NESPRESSO（6G*50个/盒）</t>
  </si>
  <si>
    <t>BIOKLEEN DEGREASER（4L*4桶/箱）</t>
  </si>
  <si>
    <t>混合坚果（1.13KG/包）</t>
  </si>
  <si>
    <t>一次性除尘扫（28个/盒）</t>
  </si>
  <si>
    <t>茶树菇（200G*50包/箱）</t>
  </si>
  <si>
    <t>泰式鸡酱（4.5L*3瓶/箱）</t>
  </si>
  <si>
    <t>8寸纸包装胶饮管（500根/包）</t>
  </si>
  <si>
    <t>蜂蜜混合坚果（850G/罐）</t>
  </si>
  <si>
    <t>点火器（8个/盒）</t>
  </si>
  <si>
    <t>KIRKLAND气泡水（500ML*24瓶/箱）</t>
  </si>
  <si>
    <t>成本类-酒水</t>
  </si>
  <si>
    <t>橙子浓缩汁（5.5LB*6瓶/箱）</t>
  </si>
  <si>
    <t>樱桃（3LB*6袋/箱）</t>
  </si>
  <si>
    <t>新品装饰（加拿大1店）</t>
  </si>
  <si>
    <t>新品装饰（加拿大2店）</t>
  </si>
  <si>
    <t>新品装饰（加拿大3店）</t>
  </si>
  <si>
    <t>新品装饰（加拿大4店）</t>
  </si>
  <si>
    <t>新品装饰（加拿大5店）</t>
  </si>
  <si>
    <t>月饼礼盒（稻香村，团圆月礼，400G*10包/箱）</t>
  </si>
  <si>
    <t>京式五仁月饼（稻香村，320G*30包/箱）</t>
  </si>
  <si>
    <t>苏式月饼（稻香村，椒盐味，310G*24包/箱）</t>
  </si>
  <si>
    <t>传统豆沙（稻香村，320G*24包/箱）</t>
  </si>
  <si>
    <t>护手霜（550ML/套）</t>
  </si>
  <si>
    <t>气泡水（1.5L/瓶）</t>
  </si>
  <si>
    <t>椰子肉（16OZ*20包/箱）</t>
  </si>
  <si>
    <t>黑糯米（40LB/袋）</t>
  </si>
  <si>
    <t>红皮花生（55.1LB/袋）</t>
  </si>
  <si>
    <t>椰子肉（454G*40包/箱）</t>
  </si>
  <si>
    <t>厚椰乳（菲诺，200G*24罐/箱）</t>
  </si>
  <si>
    <t>辛拉面（150G*16包/箱）</t>
  </si>
  <si>
    <t>蟹黄味炒米（5KG/箱）</t>
  </si>
  <si>
    <t>可口可乐（355ML*12瓶/箱）</t>
  </si>
  <si>
    <t>日清港式包（叉烧风味，210G*24包/箱）</t>
  </si>
  <si>
    <t>日清港式肠粉（叉烧风味，197G*24盒/箱）</t>
  </si>
  <si>
    <t>日清鲜虾饺（104G*24包/箱）</t>
  </si>
  <si>
    <t>抹茶粉（10KG/箱）</t>
  </si>
  <si>
    <t>河粉（三龙牌，10MM，454G*30包/箱）</t>
  </si>
  <si>
    <t>江门排粉（金厨牌，400G*30包/箱）</t>
  </si>
  <si>
    <t>百香果原汁（970G*20瓶/箱）</t>
  </si>
  <si>
    <t>蒜味小香肠（300G*24包/箱）</t>
  </si>
  <si>
    <t>酸柑汁（500ML*12瓶/箱）</t>
  </si>
  <si>
    <t>ESKA气泡水（1L*12瓶/箱）</t>
  </si>
  <si>
    <t>老冰棍（600G*9根*8盒/箱）</t>
  </si>
  <si>
    <t>百威啤酒（341ML*24瓶/箱）</t>
  </si>
  <si>
    <t>大白兔奶糖（180G*60包/箱）</t>
  </si>
  <si>
    <t>一次性环保叉子（独立包装，500个/箱）</t>
  </si>
  <si>
    <t>咖喱粉（1LB/包）</t>
  </si>
  <si>
    <t>ULINE抽纸（100抽*36包/箱）</t>
  </si>
  <si>
    <t>去核鸡心枣（15KG/箱）</t>
  </si>
  <si>
    <t>墨鱼肠（340G*24包/箱）</t>
  </si>
  <si>
    <t>工程材料（加拿大1店）</t>
  </si>
  <si>
    <t>工程材料（加拿大5店）</t>
  </si>
  <si>
    <t>棕榈油（10KG/箱）</t>
  </si>
  <si>
    <t>松花鸭皮蛋（360G*24盒/箱）</t>
  </si>
  <si>
    <t>橙汁粉（454G*12袋/箱）</t>
  </si>
  <si>
    <t>CRUSH ORANGE SODA（355ML*24瓶/箱）</t>
  </si>
  <si>
    <t>代送费（件）</t>
  </si>
  <si>
    <t>量杯（不锈钢，500ML）</t>
  </si>
  <si>
    <t>香辣酱（美乐，350G*24瓶/件）</t>
  </si>
  <si>
    <t>1664白啤酒4.8度（330ML*24瓶/件）</t>
  </si>
  <si>
    <t>金标生抽（海天，1.9L*6桶/件）</t>
  </si>
  <si>
    <t>金标生抽（海天，500ML*12瓶/件）</t>
  </si>
  <si>
    <t>绿豆（半粒，25KG/包）</t>
  </si>
  <si>
    <t>对讲机耳机</t>
  </si>
  <si>
    <t>鸡粉（家乐，1KG*6桶/件）</t>
  </si>
  <si>
    <t>鱿鱼须（10KG/件）</t>
  </si>
  <si>
    <t>麻辣小龙虾（德炎，30-40，1KG*10盒/件）</t>
  </si>
  <si>
    <t>十三香小龙虾（德炎，30-40，1KG*10盒/件）</t>
  </si>
  <si>
    <t>鸡精（太太乐，1KG*10包/件）</t>
  </si>
  <si>
    <t>不锈钢桶（30L）</t>
  </si>
  <si>
    <t>甜面酱（葱伴侣，800G*12盒/件）</t>
  </si>
  <si>
    <t>淡奶油（雀巢，1L*12盒/件）</t>
  </si>
  <si>
    <t>乾燥玫瑰花（包）-BJCB</t>
  </si>
  <si>
    <t>美甲盒子</t>
  </si>
  <si>
    <t>证件框</t>
  </si>
  <si>
    <t>传菜组黑色T恤短袖S号</t>
  </si>
  <si>
    <t>豆瓣酱（六月香，800G*12盒/件）</t>
  </si>
  <si>
    <t>花生米（25KG/袋）</t>
  </si>
  <si>
    <t>富顺香辣酱（美乐，4.5KG*4桶/件）</t>
  </si>
  <si>
    <t>黑色吸管 （军盛，100根/包）</t>
  </si>
  <si>
    <t>A字告示牌（小心地滑）</t>
  </si>
  <si>
    <t>玻璃刮（白云，35CM）</t>
  </si>
  <si>
    <t>玻璃刮伸缩杆（白云，1.2M单节杆）</t>
  </si>
  <si>
    <t>不锈钢保温桶（50L）</t>
  </si>
  <si>
    <t>炒勺（10两）</t>
  </si>
  <si>
    <t>大锅铲（不锈钢，把长120CM）</t>
  </si>
  <si>
    <t>蛋糕刀（长43CM*宽3CM）</t>
  </si>
  <si>
    <t>酒水提篮（不锈钢）</t>
  </si>
  <si>
    <t>量尺 （不锈钢，长30CM）</t>
  </si>
  <si>
    <t>量尺（不锈钢，长1M）</t>
  </si>
  <si>
    <t>毛头T架（白云，35CM）</t>
  </si>
  <si>
    <t>塑料量杯（三能，500ML）</t>
  </si>
  <si>
    <t>虾滑模具（11*6*1.7CM）</t>
  </si>
  <si>
    <t>雨伞袋机器（南方）</t>
  </si>
  <si>
    <t>无烟宝（新式电磁炉）</t>
  </si>
  <si>
    <t>方锅（电磁炉红锅，个，340*340*100MM）</t>
  </si>
  <si>
    <t>切葱机（天烨，W-802）</t>
  </si>
  <si>
    <t>搅拌机（恒联，B30，610*530*1020）</t>
  </si>
  <si>
    <t>果汁机（小太阳，TM767，220V，1600W ）</t>
  </si>
  <si>
    <t>和面机（通顺，TS12.5，640*420*630MM）</t>
  </si>
  <si>
    <t>存物牌</t>
  </si>
  <si>
    <t>美甲绒布</t>
  </si>
  <si>
    <t>标识牌（洗碗间）</t>
  </si>
  <si>
    <t>标识牌（洗涤间）</t>
  </si>
  <si>
    <t>标识牌（凉菜间）</t>
  </si>
  <si>
    <t>标识牌（小吃间）</t>
  </si>
  <si>
    <t>标识牌（水果间）</t>
  </si>
  <si>
    <t>标识牌（羊肉间）</t>
  </si>
  <si>
    <t>标识牌（保鲜库）</t>
  </si>
  <si>
    <t>标识牌（冻库）</t>
  </si>
  <si>
    <t>标识牌（配菜间）</t>
  </si>
  <si>
    <t>标识牌（员工餐）</t>
  </si>
  <si>
    <t>标识牌（垃圾房）</t>
  </si>
  <si>
    <t>标识牌（粗加工）</t>
  </si>
  <si>
    <t>标识牌（男更衣间）</t>
  </si>
  <si>
    <t>标识牌（女更衣间）</t>
  </si>
  <si>
    <t>标识牌（弱电间）</t>
  </si>
  <si>
    <t>标识牌（气表间）</t>
  </si>
  <si>
    <t>标识牌（杀鱼间）</t>
  </si>
  <si>
    <t>标识牌（办公室）</t>
  </si>
  <si>
    <t>标识牌（进入操作间请戴帽）</t>
  </si>
  <si>
    <t>标识牌（洗壶池）</t>
  </si>
  <si>
    <t>标识牌（拖布清洗池）</t>
  </si>
  <si>
    <t>标识牌（洗杯池）</t>
  </si>
  <si>
    <t>标识牌（洗菜池）</t>
  </si>
  <si>
    <t>标识牌（洗锅池）</t>
  </si>
  <si>
    <t>标识牌（水管道标贴（透明膜））</t>
  </si>
  <si>
    <t>标识牌（防火门提示说明、大）</t>
  </si>
  <si>
    <t>标识牌（配电间门牌）</t>
  </si>
  <si>
    <t>标识牌（禁止吸烟，无投诉电话）</t>
  </si>
  <si>
    <t>标识牌（WIFI）</t>
  </si>
  <si>
    <t>标识牌（禁止带宠物入）</t>
  </si>
  <si>
    <t>标识牌（图像采集区域标识）</t>
  </si>
  <si>
    <t>标识牌（洗手间请不要丢下它们标识）</t>
  </si>
  <si>
    <t>标识牌（坐便标识）</t>
  </si>
  <si>
    <t>标识牌（男、女卫生间标识）</t>
  </si>
  <si>
    <t>标识牌（婴儿护理间标识）</t>
  </si>
  <si>
    <t>标识牌（坐便消毒器标贴）</t>
  </si>
  <si>
    <t>标识牌（婴儿护理台使用说明）</t>
  </si>
  <si>
    <t>标识牌（小料台调料种类标牌）</t>
  </si>
  <si>
    <t>标识牌（免费手部护理标识）</t>
  </si>
  <si>
    <t>标识牌（残卫）</t>
  </si>
  <si>
    <t>后堂打印机-带声光（汉印，KP806PLUS）</t>
  </si>
  <si>
    <t>裁纸机（得力，8004）</t>
  </si>
  <si>
    <t>卫生间吊式指示牌双面（右方向）</t>
  </si>
  <si>
    <t>卫生间吊式指示牌双面（直行方向）</t>
  </si>
  <si>
    <t>标识牌（特殊日子有需要找阿姨）</t>
  </si>
  <si>
    <t>标识牌（欢迎参观后堂）</t>
  </si>
  <si>
    <t>标识牌（机器运转时禁止启动）</t>
  </si>
  <si>
    <t>标识牌（弱电间，香槟金）</t>
  </si>
  <si>
    <t>标识牌（强电间，香槟金）</t>
  </si>
  <si>
    <t>标识牌（操作间，香槟金）</t>
  </si>
  <si>
    <t>标识牌（办公室，香槟金）</t>
  </si>
  <si>
    <t>标识牌（储物间，香槟金）</t>
  </si>
  <si>
    <t>儿童乐园地毯（德艺地毯，100*75CM）</t>
  </si>
  <si>
    <t>卫生间垃圾桶（鑫缇乐，31.5*14.5*30CM）</t>
  </si>
  <si>
    <t>蒸饭车（MCKZ-JD12，770*700*1690MM）</t>
  </si>
  <si>
    <t>球形斜口碗（红色，10寸）</t>
  </si>
  <si>
    <t>球形斜口碗（绿色，10寸）</t>
  </si>
  <si>
    <t>冬季前堂女上衣（粉红色，XXXXL号）</t>
  </si>
  <si>
    <t>后堂操作间围裙</t>
  </si>
  <si>
    <t>游乐园上衣蓝色（冬）XXXXL号</t>
  </si>
  <si>
    <t>分数盆盖子1/1（不锈钢，53*32.5CM）</t>
  </si>
  <si>
    <t>分数盆盖子1/2（不锈钢，32.5*26.5CM）</t>
  </si>
  <si>
    <t>门店端SD-WAN设备D100</t>
  </si>
  <si>
    <t>防火墙FG-60E</t>
  </si>
  <si>
    <t>远距离无线充电器</t>
  </si>
  <si>
    <t>免熏蒸木箱</t>
  </si>
  <si>
    <t>2.4米小料台（海外）</t>
  </si>
  <si>
    <t>冬季担当女上衣L</t>
  </si>
  <si>
    <t>冬季担当女上衣XL</t>
  </si>
  <si>
    <t>冬季担当女上衣XXL</t>
  </si>
  <si>
    <t>黑色小斜口碗（黑色密胺，35个/件，）</t>
  </si>
  <si>
    <t>盒装穿戴甲（13-23非常可爱系列-柠檬海盐，32片/盒）</t>
  </si>
  <si>
    <t>盒装穿戴甲（14-23非常可爱系列-抹茶生椰，32片/盒）</t>
  </si>
  <si>
    <t>盒装穿戴甲（15-23非常可爱系列-草莓薄荷冰，32片/盒</t>
  </si>
  <si>
    <t>盒装穿戴甲（16-23非常可爱系列-冰封鲜花，32片/盒）</t>
  </si>
  <si>
    <t>装穿戴甲（17-23非常可爱系列-浇个朋友，32片/盒）</t>
  </si>
  <si>
    <t>冬季捞面服（红色新款，M码）</t>
  </si>
  <si>
    <t>冬季捞面服（红色新款，L码）</t>
  </si>
  <si>
    <t>冬季捞面服（红色新款，XL码）</t>
  </si>
  <si>
    <t>冬季捞面服（红色新款，XXL码）</t>
  </si>
  <si>
    <t>冬季捞面服（红色新款，XXXL码）</t>
  </si>
  <si>
    <t>冬季捞面服（红色新款，XXXXL码）</t>
  </si>
  <si>
    <t>手推车（5个／包）</t>
  </si>
  <si>
    <t>1米水果台</t>
  </si>
  <si>
    <t>抱枕（定制）</t>
  </si>
  <si>
    <t>女士羽绒服（薄款）M码</t>
  </si>
  <si>
    <t>女士羽绒服（厚款）XL码</t>
  </si>
  <si>
    <t>女士羽绒服（厚款）XXL码</t>
  </si>
  <si>
    <t>男士羽绒服（厚款）M码</t>
  </si>
  <si>
    <t>男士羽绒服（厚款）XXXXL码</t>
  </si>
  <si>
    <t>滑牛防粘模具</t>
  </si>
  <si>
    <t>野餐垫飞行棋套装（含飞盘，25套/件）</t>
  </si>
  <si>
    <t>茶具包袋（小嗨探月，25套/件）</t>
  </si>
  <si>
    <t>甜玉米（8个/盒）</t>
  </si>
  <si>
    <t>嗨嗨人偶服（定制）</t>
  </si>
  <si>
    <t>猪猪奶黄包（300G*16包/箱）</t>
  </si>
  <si>
    <t>香辣酱（美乐，950G*12瓶/件）</t>
  </si>
  <si>
    <t>鸡米花（2KG*2袋/箱）</t>
  </si>
  <si>
    <t>土豆泥沙拉（2.3KG/罐）</t>
  </si>
  <si>
    <t>水晶红酒杯（460ML，4支*4盒/箱）</t>
  </si>
  <si>
    <t>鹿头杯架（金色）</t>
  </si>
  <si>
    <t>绿茶包（KIRKLAND，100包/盒）</t>
  </si>
  <si>
    <t>伯爵红茶（20G*144包/盒）</t>
  </si>
  <si>
    <t>糯米粉（秋菊，400G/包）</t>
  </si>
  <si>
    <t>圣诞主题杯垫（100盒/件）</t>
  </si>
  <si>
    <t>圣诞拍拍圈（900个/件）</t>
  </si>
  <si>
    <t>圣诞景观玻璃杯（24个/件）</t>
  </si>
  <si>
    <t>圣诞番茄零钱包 （300个/件）</t>
  </si>
  <si>
    <t>圣诞袜礼盒球（鹿角款，75双/件）</t>
  </si>
  <si>
    <t>小嗨圣诞发箍（90个/件）</t>
  </si>
  <si>
    <t>小嗨圣诞毛绒包（36个/件）</t>
  </si>
  <si>
    <t>新款餐车（惠而信，2003）</t>
  </si>
  <si>
    <t>韩国辣椒粉（3LB*10袋/箱）</t>
  </si>
  <si>
    <t>小蛋糕（20G/个）</t>
  </si>
  <si>
    <t>猪猪奶黄包（180G*24包/箱）</t>
  </si>
  <si>
    <t>牛牛奶黄包（180G*24包/箱）</t>
  </si>
  <si>
    <t>草莓粉（1KG/袋）</t>
  </si>
  <si>
    <t>圣诞眼罩丝巾礼盒（80盒/件）</t>
  </si>
  <si>
    <t>陀螺醒酒器（金色，1500ML，4支/箱）</t>
  </si>
  <si>
    <t>桌上菜架</t>
  </si>
  <si>
    <t>年糕（450G/袋）</t>
  </si>
  <si>
    <t>女士羽绒服（厚款）XXXL码</t>
  </si>
  <si>
    <t>拼装恐龙工程车玩具（3岁及以上，推土车，50个/件）</t>
  </si>
  <si>
    <t>拼装恐龙工程车玩具（3岁及以上，厢式车，50个/件）</t>
  </si>
  <si>
    <t>狗狗卡通包（360G*16包/箱）</t>
  </si>
  <si>
    <t>牛牛卡通包（336G*16包/箱）</t>
  </si>
  <si>
    <t>方形白餐巾纸（38.1*43.1CM，240张/包）</t>
  </si>
  <si>
    <t>方形花餐巾纸（39.7*39.6CM，130张/包）</t>
  </si>
  <si>
    <t>豆腐花（金龙鱼，260G*30袋/件）</t>
  </si>
  <si>
    <t>圣诞餐具套装（6套/件）</t>
  </si>
  <si>
    <t>安培苹果（10LB/箱）</t>
  </si>
  <si>
    <t>爆爆珠（3.4KG*4瓶/箱）</t>
  </si>
  <si>
    <t>孜然粉（兄弟，3LB*5包/箱）</t>
  </si>
  <si>
    <t>烧烤调味料（LB）</t>
  </si>
  <si>
    <t>幸运饼干（400个/箱）</t>
  </si>
  <si>
    <t>浓汤宝（家乐-老母鸡汤味，32G*4块*24盒/件）</t>
  </si>
  <si>
    <t>白鸡蛋</t>
  </si>
  <si>
    <t>黄灯笼辣椒酱（240G*24瓶/箱）</t>
  </si>
  <si>
    <t>88#刷锅百洁布（思高，10片*4包/件）</t>
  </si>
  <si>
    <t>2401新增</t>
  </si>
  <si>
    <t>不锈钢料缸（粥桶底座，20CM）</t>
  </si>
  <si>
    <t>密胺方盘（多彩，28*28CM，海外）</t>
  </si>
  <si>
    <t>拼装恐龙工程车玩具（3岁及以上，装卸车，50个/件）</t>
  </si>
  <si>
    <t>榴莲球（625G*20盒/箱）</t>
  </si>
  <si>
    <t>蚝菇（LB）</t>
  </si>
  <si>
    <t>龙年限定硬板邮票</t>
  </si>
  <si>
    <t>龙年限定硬版卡片三折</t>
  </si>
  <si>
    <t>彩虹椰果（3.8KG*6瓶/箱）</t>
  </si>
  <si>
    <t>荔枝爆爆珠（3.2KG*4桶/件）</t>
  </si>
  <si>
    <t>蜜红豆（3.4KG*6瓶/箱）</t>
  </si>
  <si>
    <t>小嗨相机玩具（3岁及以上，50个/件）</t>
  </si>
  <si>
    <t>飞鱼籽（454G*12盒/箱）</t>
  </si>
  <si>
    <t>玉米罐头（450ML/罐）</t>
  </si>
  <si>
    <t>牛肉馅饼（1.65KG*5包/箱）</t>
  </si>
  <si>
    <t>一次性打包碗盖（400ML，1000个/箱）</t>
  </si>
  <si>
    <t>一次性打包碗（400ML，1000个/箱）</t>
  </si>
  <si>
    <t>火龙果（红心，10KG/件）</t>
  </si>
  <si>
    <t>西兰花（26.4LB/箱）</t>
  </si>
  <si>
    <t>酸奶爆爆珠（3.4KG*4瓶/箱）</t>
  </si>
  <si>
    <t>A4打印纸（70GSM，PAPER LINE，500张*5包/件）</t>
  </si>
  <si>
    <t>TOGO杯（8OZ， 1000个/箱）</t>
  </si>
  <si>
    <t>一次性方餐盒（638，24OZ，150套/箱）</t>
  </si>
  <si>
    <t>后堂操作间男工服M号</t>
  </si>
  <si>
    <t>垃圾桶（圆形双层黑色）</t>
  </si>
  <si>
    <t>夏季操作间女工服 M号</t>
  </si>
  <si>
    <t>好啦机器人（HL100，标准型（美标））</t>
  </si>
  <si>
    <t>孜然粉（味佳厨，400G*20包/件）</t>
  </si>
  <si>
    <t>擦手纸（EARTH PLUS，250张*16包/箱）</t>
  </si>
  <si>
    <t>新品装饰（加拿大6店）</t>
  </si>
  <si>
    <t>春砂仁（1LB/包）</t>
  </si>
  <si>
    <t>杰克奶酪（2.27KG*2包/箱）</t>
  </si>
  <si>
    <t>桂花（40G/包）</t>
  </si>
  <si>
    <t>番茄（20LB/箱）</t>
  </si>
  <si>
    <t>白醋（海底捞，5L*4桶/件）</t>
  </si>
  <si>
    <t>红葡萄（9KG/件）</t>
  </si>
  <si>
    <t>菜板（恒基，棕色，38*28*2CM）</t>
  </si>
  <si>
    <t>菜板（恒基，红色，38*28*2CM）</t>
  </si>
  <si>
    <t>菜板（恒基，绿色，38*28*2CM）</t>
  </si>
  <si>
    <t>菜板（恒基，蓝色，38*28*2CM）</t>
  </si>
  <si>
    <t>菜板（恒基，黄色，38*28*2CM）</t>
  </si>
  <si>
    <t>雪碱水（65OZ*6瓶/箱）</t>
  </si>
  <si>
    <t>黑芝麻（1KG/包）</t>
  </si>
  <si>
    <t>8.5"纸吸管（12MM，1000根/箱）</t>
  </si>
  <si>
    <t>中式猪肉腊肠（375G*48包/箱）</t>
  </si>
  <si>
    <t>炸鸡翅（2KG*2包/箱）</t>
  </si>
  <si>
    <t>独立棉签（150支*120包/箱）</t>
  </si>
  <si>
    <t>田园酱（3.78L*2瓶/箱）</t>
  </si>
  <si>
    <t>费列罗巧克力（48颗/盒）</t>
  </si>
  <si>
    <t>春卷皮（8.5CM，20片*40包/箱）</t>
  </si>
  <si>
    <t>费列罗巧克力（37.5G*12包/盒）</t>
  </si>
  <si>
    <t>仙草冻（3KG/罐）</t>
  </si>
  <si>
    <t>四季乌龙茶（600G/包）</t>
  </si>
  <si>
    <t>巨峰葡萄糖浆（2.5KG/瓶）</t>
  </si>
  <si>
    <t>水蜜桃糖浆（2.5KG/瓶）</t>
  </si>
  <si>
    <t>玫瑰花酿（2.5KG/瓶）</t>
  </si>
  <si>
    <t>百香加子（4.2KG/罐）</t>
  </si>
  <si>
    <t>紫米罐头（865G/罐）</t>
  </si>
  <si>
    <t>芒果罐头 （850G/罐）</t>
  </si>
  <si>
    <t>蜜红豆（3.3KG/罐）</t>
  </si>
  <si>
    <t>西瓜糖浆（2.5KG/瓶）</t>
  </si>
  <si>
    <t>带头南美白虾（4LB*10包/箱）</t>
  </si>
  <si>
    <t>黑珍珠（3KG*6袋/件）</t>
  </si>
  <si>
    <t>阿萨姆红茶（600G*16包/箱）</t>
  </si>
  <si>
    <t>黄喉（澳贝，10KG/件）</t>
  </si>
  <si>
    <t>牛百叶（2.5KG*4袋/件）</t>
  </si>
  <si>
    <t>橄榄油（欧丽微兰，3L/桶）</t>
  </si>
  <si>
    <t>香茅碎（400G/包）</t>
  </si>
  <si>
    <t>冷冻凤梨汁（1300ML*12瓶/箱）</t>
  </si>
  <si>
    <t>4519876</t>
  </si>
  <si>
    <t>工程材料（加拿大3店）</t>
  </si>
  <si>
    <t>牛油（454G*40块/箱）</t>
  </si>
  <si>
    <t>2403新增</t>
  </si>
  <si>
    <t>南瓜泥（5LB*6罐/箱）</t>
  </si>
  <si>
    <t>酸菜</t>
  </si>
  <si>
    <t>黄椒（LB）</t>
  </si>
  <si>
    <t>藤椒油（车古 ，400ML*10瓶/件）</t>
  </si>
  <si>
    <t>凤梨浓缩汁（金钻，2L*6瓶/箱）</t>
  </si>
  <si>
    <t>黄苹果浓缩汁（2L*6瓶/箱）</t>
  </si>
  <si>
    <t>四季春茶（500G/包）</t>
  </si>
  <si>
    <t>浓缩橙汁（SUNQUICK，2L*6瓶/箱）</t>
  </si>
  <si>
    <t>冻火龙果（2KG*6包/箱）</t>
  </si>
  <si>
    <t>咖啡豆（CAFES NOVELL，1KG/包）</t>
  </si>
  <si>
    <t>喷射奶油（ANCHOR，400G/罐）</t>
  </si>
  <si>
    <t>奶精粉（4KG/包）</t>
  </si>
  <si>
    <t>橙子糖浆（2.5KG/桶）</t>
  </si>
  <si>
    <t>淡奶油（1L*12盒/箱）</t>
  </si>
  <si>
    <t>火龙果（LB）</t>
  </si>
  <si>
    <t>烤茶（1.2KG/包）</t>
  </si>
  <si>
    <t>珍珠粉圆（3KG/袋）</t>
  </si>
  <si>
    <t>甘蔗汁（900ML/瓶）</t>
  </si>
  <si>
    <t>百香果糖浆（900ML/瓶）</t>
  </si>
  <si>
    <t>糖浆-菠萝糖浆（2.5KG/2.5L/88FOZ/桶）</t>
  </si>
  <si>
    <t>红茶（450G/包）</t>
  </si>
  <si>
    <t>荔枝爆爆珠（3.4KG/瓶）</t>
  </si>
  <si>
    <t>薄荷叶（LB）</t>
  </si>
  <si>
    <t>铁观音（450G/包）</t>
  </si>
  <si>
    <t>香芋粉（1KG*15包/箱）</t>
  </si>
  <si>
    <t>马蹄爆爆珠（850G*12罐/箱）</t>
  </si>
  <si>
    <t>黑糖粉（1KG/包）</t>
  </si>
  <si>
    <t>气泡机气罐（60L/瓶）</t>
  </si>
  <si>
    <t>甘蔗汁（950ML*12瓶/箱）</t>
  </si>
  <si>
    <t>白蘑菇（LB）</t>
  </si>
  <si>
    <t>冻豆腐（1KG*12包/件）</t>
  </si>
  <si>
    <t>凯尔菜（8KG/箱）</t>
  </si>
  <si>
    <t>杏鲍菇（4KG/件）</t>
  </si>
  <si>
    <t>豆皮（银祥，1KG/包）</t>
  </si>
  <si>
    <t>豆花（祝福，450G/盒）</t>
  </si>
  <si>
    <t>金针菇（150G*22包/箱）</t>
  </si>
  <si>
    <t>熊猫细笋（300G*30包/箱）</t>
  </si>
  <si>
    <t>莲藕片（20KG/箱）</t>
  </si>
  <si>
    <t>土豆生粉（世界花，50LB/袋）</t>
  </si>
  <si>
    <t>洋葱粉（2.7KG/罐）</t>
  </si>
  <si>
    <t>章鱼小丸子（30G，50颗*10包/箱）</t>
  </si>
  <si>
    <t>泡芙（300G*15包/箱）</t>
  </si>
  <si>
    <t>荔枝虾球（200G*24盒/箱）</t>
  </si>
  <si>
    <t>熏肉（LB）</t>
  </si>
  <si>
    <t>咖菇/口蘑（5LB/箱）</t>
  </si>
  <si>
    <t>红油辣椒面（翠宏，2.5KG*6包/件）</t>
  </si>
  <si>
    <t>黄桃罐头（3L*6罐/箱）</t>
  </si>
  <si>
    <t>玉米脆片（KELLOGG，500G/盒）</t>
  </si>
  <si>
    <t>冰淇淋甜筒（400个/箱）</t>
  </si>
  <si>
    <t>玉米薯片蘸酱（2.84L*6罐/箱）</t>
  </si>
  <si>
    <t>白瓜（5个/箱）</t>
  </si>
  <si>
    <t>白醋（5L*2瓶/箱）</t>
  </si>
  <si>
    <t>草莓味冰淇淋粉（1KG*20包/箱）</t>
  </si>
  <si>
    <t>香草冰淇淋（11.4L/桶）</t>
  </si>
  <si>
    <t>香草味冰淇淋粉（1KG*20包/箱）</t>
  </si>
  <si>
    <t>鱼露（鱿鱼标，725ML*12瓶/件）</t>
  </si>
  <si>
    <t>黄柠檬（40LB/箱）</t>
  </si>
  <si>
    <t>小米（5KG/包）</t>
  </si>
  <si>
    <t>香菜（把）</t>
  </si>
  <si>
    <t>夏季操作间女工服 L号</t>
  </si>
  <si>
    <t>夏季操作间女工服 XL号</t>
  </si>
  <si>
    <t>夏季操作间男工服 L号</t>
  </si>
  <si>
    <t>夏季操作间男工服 XL号</t>
  </si>
  <si>
    <t>夏季操作间男工服 XXL号</t>
  </si>
  <si>
    <t>一次性手套（L码，100只/盒）</t>
  </si>
  <si>
    <t>透明胶带（6卷/盒）</t>
  </si>
  <si>
    <t>一次性透明手套（100只/盒）</t>
  </si>
  <si>
    <t>环保牛皮圆形纸碗（26OZ，300只/箱）</t>
  </si>
  <si>
    <t>环保牛皮食品纸盘（2LB，1000只/箱）</t>
  </si>
  <si>
    <t>保鲜膜（914.4M*30.5CM）</t>
  </si>
  <si>
    <t>果汁壶（PC，1300ML，48个/件）</t>
  </si>
  <si>
    <t>一次性筷子（2000双/件）</t>
  </si>
  <si>
    <t>一次性纸碗（定制，带LOGO，HI捞送外卖，50个*20提/件）</t>
  </si>
  <si>
    <t>一次性食品袋（400个*8卷/箱）</t>
  </si>
  <si>
    <t>一次性饮料杯盖（PET，16OZ-500，1000个/件）</t>
  </si>
  <si>
    <t>一次性饮料杯（PP，16OZ-500，1000个/件）</t>
  </si>
  <si>
    <t>双层卫生卷纸（8卷/箱）</t>
  </si>
  <si>
    <t>可溶卫生卷纸（8卷/箱）</t>
  </si>
  <si>
    <t>吸管（12*230MM，1000根/箱）</t>
  </si>
  <si>
    <t>咖色外卖纸盒（#1，50个*6提/箱）</t>
  </si>
  <si>
    <t>咖色外卖纸盒（45OZ，200个/箱）</t>
  </si>
  <si>
    <t>商用电磁炉系列（恩普利华，SR-227R）</t>
  </si>
  <si>
    <t>喝喝驿站咖啡杯盖90口径（1000个/箱）</t>
  </si>
  <si>
    <t>地板清洗液（5.18L/桶）</t>
  </si>
  <si>
    <t>奶茶双杯托（250个/箱）</t>
  </si>
  <si>
    <t>快干剂（4KG*4桶/箱）</t>
  </si>
  <si>
    <t>无泡沫洗洁精（4KG*4桶/箱）</t>
  </si>
  <si>
    <t>洗洁精（10L/桶）</t>
  </si>
  <si>
    <t>清洗粉（4KG*4桶/箱）</t>
  </si>
  <si>
    <t>烘干机柔顺纸（250片*2盒/箱）</t>
  </si>
  <si>
    <t>热饮杯（和合谷，12OZ，1000个/件）</t>
  </si>
  <si>
    <t>环保打包汤桶（16OZ，240套/箱）</t>
  </si>
  <si>
    <t>调味缸盖子（18CM）</t>
  </si>
  <si>
    <t>除油剂（20L/桶）</t>
  </si>
  <si>
    <t>食品接触表面消毒剂（艺康，含氯，4L*2桶/件）</t>
  </si>
  <si>
    <t>绍兴料酒（最好，3L*4桶/箱）</t>
  </si>
  <si>
    <t>2404新增</t>
  </si>
  <si>
    <t>咸蛋黄虾丸（1LB*20袋/箱）</t>
  </si>
  <si>
    <t>田鸡腿（1KG*12盒/箱）</t>
  </si>
  <si>
    <t>牛蹄筋 （LB）</t>
  </si>
  <si>
    <t>料酒（海神，1.75L*6桶/件）</t>
  </si>
  <si>
    <t>墨鱼天妇罗（2.5KG*4包/箱）</t>
  </si>
  <si>
    <t>面包糠（25LB/包）</t>
  </si>
  <si>
    <t>龙口粉丝（12KG/箱）</t>
  </si>
  <si>
    <t>豌豆苗（LB）</t>
  </si>
  <si>
    <t>米布丁（113G*18盒/箱）</t>
  </si>
  <si>
    <t>KEWPIE沙拉酱（517ML*20瓶/箱）</t>
  </si>
  <si>
    <t>木鱼花（500G/包）-HZQR</t>
  </si>
  <si>
    <t>照烧汁（4.9LB/桶）</t>
  </si>
  <si>
    <t>果味椰果（4KG*4桶/箱）</t>
  </si>
  <si>
    <t>果味爆爆珠（3.2KG*4桶/箱）</t>
  </si>
  <si>
    <t>海带丝（道九，10KG/件）</t>
  </si>
  <si>
    <t>红豆罐头（3KG*6罐/箱）</t>
  </si>
  <si>
    <t>去顶冬菇（16KG/箱）</t>
  </si>
  <si>
    <t>巧克力（1KG/包）</t>
  </si>
  <si>
    <t>酸黄瓜（3.78L/罐）</t>
  </si>
  <si>
    <t>拼装恐龙工程车玩具（3岁及以上，吊机车，50个/件）</t>
  </si>
  <si>
    <t>咖单擦手纸（H115，250张*16包/箱）</t>
  </si>
  <si>
    <t>纸碗（8OZ，1000个/箱）</t>
  </si>
  <si>
    <t>一次性透明手套（100只*216包/箱）</t>
  </si>
  <si>
    <t>紫色郁金香（鲜）</t>
  </si>
  <si>
    <t>猪后腿肉</t>
  </si>
  <si>
    <t>干玫瑰花（50G/包）</t>
  </si>
  <si>
    <t>太阳菊</t>
  </si>
  <si>
    <t>天妇罗粉（Welna,40LB/袋)</t>
  </si>
  <si>
    <t>天妇罗虾（30个*20袋/箱）</t>
  </si>
  <si>
    <t>三全油条（400G*12包/箱）</t>
  </si>
  <si>
    <t>芥末酱（1.52OZ/盒）</t>
  </si>
  <si>
    <t>果味晶球（2KG*6袋/箱）</t>
  </si>
  <si>
    <t>干菊花（新长发，500G/包）</t>
  </si>
  <si>
    <t>棒棒糖（10G*480个/箱）</t>
  </si>
  <si>
    <t>猪排骨（通排块）</t>
  </si>
  <si>
    <t>红椒</t>
  </si>
  <si>
    <t>2406新增</t>
  </si>
  <si>
    <t>去骨去皮鸡腿肉</t>
  </si>
  <si>
    <t>哈密瓜浓缩汁（2.5KG*6瓶/箱）</t>
  </si>
  <si>
    <t>青苹果浓缩汁（2.5KG*6瓶/箱）</t>
  </si>
  <si>
    <t>关东煮竹签（SK18，100根*100包/箱）</t>
  </si>
  <si>
    <t>DILLWEED（225G/瓶）</t>
  </si>
  <si>
    <t>大蒜粉（600G/瓶）</t>
  </si>
  <si>
    <t>水蜜桃丁罐头（900G*20罐/箱）</t>
  </si>
  <si>
    <t>红豆罐头（唯客，900G*12罐/箱）</t>
  </si>
  <si>
    <t>工程材料（加拿大2店）</t>
  </si>
  <si>
    <t>干贝</t>
  </si>
  <si>
    <t>2407新增</t>
  </si>
  <si>
    <t>大蒜粉（2.1KG/罐）</t>
  </si>
  <si>
    <t>寿司米（长粒香，30KG/包）</t>
  </si>
  <si>
    <t>炸鲜奶（330G*12包/箱）</t>
  </si>
  <si>
    <t>刀切小馒头（750G*8包/箱）</t>
  </si>
  <si>
    <t>韩式烧烤酱（765ML/瓶）</t>
  </si>
  <si>
    <t>洗碗机干燥剂 （20L/桶）</t>
  </si>
  <si>
    <t>洗碗机洗涤剂 （20L/桶）</t>
  </si>
  <si>
    <t>2409新增</t>
  </si>
  <si>
    <t>牛坑腩</t>
  </si>
  <si>
    <t>奶精粉（1KG/袋）</t>
  </si>
  <si>
    <t>西兰花（净菜，1KG/包）</t>
  </si>
  <si>
    <t>蜂蜜（15KG/桶）</t>
  </si>
  <si>
    <t>蜂蜜（1KG*6瓶/箱）</t>
  </si>
  <si>
    <t>宁波风味汤圆（千味央厨，小圆子，1.5KG*6包/件）</t>
  </si>
  <si>
    <t>莳萝碎（225G*12瓶/箱）</t>
  </si>
  <si>
    <t>鸭头（LB）</t>
  </si>
  <si>
    <t>洋葱粉（480G*12瓶/箱）</t>
  </si>
  <si>
    <t>柚子醋（200ML*48瓶/箱）</t>
  </si>
  <si>
    <t>照烧酱汁（4L*2瓶/箱）</t>
  </si>
  <si>
    <t>草莓冰淇淋（115ML*48个/箱）</t>
  </si>
  <si>
    <t>花椒粉（LB）</t>
  </si>
  <si>
    <t>混合蔬菜丁（2KG*6包/件）</t>
  </si>
  <si>
    <t>巧克力冰淇淋（115ML*48个/箱）</t>
  </si>
  <si>
    <t>沙拉酱（3.78L*2罐/箱）</t>
  </si>
  <si>
    <t>香草冰淇淋（115ML*48个/箱）</t>
  </si>
  <si>
    <t>咖色外卖纸盒（26OZ，200个/箱）</t>
  </si>
  <si>
    <t>香茅碎（908G*15包/箱）</t>
  </si>
  <si>
    <t>绿豆芽（LB）</t>
  </si>
  <si>
    <t>成本--荤菜类</t>
  </si>
  <si>
    <t>章鱼烧（平和，15KG/箱）</t>
  </si>
  <si>
    <t>蒲烧鳗鱼汁（味滋康，64OZ*6瓶/箱）</t>
  </si>
  <si>
    <t>木鱼花（一休屋，500G/袋）</t>
  </si>
  <si>
    <t>美乃滋（HELLMANN'S，1.42L/瓶）</t>
  </si>
  <si>
    <t>工程材料（加拿大4店）</t>
  </si>
  <si>
    <t>白色擦手纸（12卷/箱）</t>
  </si>
  <si>
    <t>康乃馨（鲜，18支/把）</t>
  </si>
  <si>
    <t>飞鱼籽（454G*24盒/箱）</t>
  </si>
  <si>
    <t>2410新增</t>
  </si>
  <si>
    <t>鱿鱼花（280G*20包/箱）</t>
  </si>
  <si>
    <t>甜豆浆（1.89L*6瓶/箱）</t>
  </si>
  <si>
    <t>榛子酱（3KG/罐）</t>
  </si>
  <si>
    <t>泡小米辣（1KG*14包/箱）</t>
  </si>
  <si>
    <t>中国荔枝红茶（5LB/包）</t>
  </si>
  <si>
    <t>云南普洱茶（5LB/包）</t>
  </si>
  <si>
    <t>特级茉莉花茶（5LB/包）</t>
  </si>
  <si>
    <t>洁厕灵（946ML*4瓶/箱）</t>
  </si>
  <si>
    <t>2411新增</t>
  </si>
  <si>
    <t>红豆（2LB*20包/箱）</t>
  </si>
  <si>
    <t>花边纸（16寸，100张/包）</t>
  </si>
  <si>
    <t>2412新增</t>
  </si>
  <si>
    <t>鲜虾福袋（150G*44包/箱）</t>
  </si>
  <si>
    <t>百香果汁（带籽，4.2KG*4瓶/箱）</t>
  </si>
  <si>
    <t>百香果浓缩液（5KG*4罐/件）</t>
  </si>
  <si>
    <t>柚子清酒（IZUMI，375ML/瓶）</t>
  </si>
  <si>
    <t>桃子清酒（KUNIZAKARI，300ML/瓶）</t>
  </si>
  <si>
    <t>梅子清酒（IZUMI，375ML/瓶）</t>
  </si>
  <si>
    <t>梨酒（KUNIZAKARI，300ML/瓶）</t>
  </si>
  <si>
    <t>白鹤小百合（300ML*12瓶/箱）</t>
  </si>
  <si>
    <t>青梅酒（梅见，750ML/瓶）</t>
  </si>
  <si>
    <t>AD钙奶（娃哈哈，220G*24瓶/件）</t>
  </si>
  <si>
    <t>旺仔牛奶（245ML*48瓶/件）</t>
  </si>
  <si>
    <t>矿泉水（依云，500ML*24瓶/件）</t>
  </si>
  <si>
    <t>美汁源果粒橙（1.25L*12瓶/件）</t>
  </si>
  <si>
    <t>韩国牛奶苏打（250ML*30听/件）</t>
  </si>
  <si>
    <t>响铃卷（福洋，168G*24盒/箱）</t>
  </si>
  <si>
    <t>章鱼小丸子（2.94LB*10包/箱）</t>
  </si>
  <si>
    <t>章鱼小丸子（2.97LB*10包/箱）</t>
  </si>
  <si>
    <t>鸭胗（LB）</t>
  </si>
  <si>
    <t>韩国辣椒粉（5LB*5包/箱）</t>
  </si>
  <si>
    <t>猪血（600G/罐）</t>
  </si>
  <si>
    <t>乌冬面（250G*5片*8包/件）</t>
  </si>
  <si>
    <t>橘子罐头（2.84L*6罐/箱）</t>
  </si>
  <si>
    <t>上色老抽（厨邦，5L*2瓶/箱）</t>
  </si>
  <si>
    <t>镇江香醋（恒顺，500ML*12瓶/件）</t>
  </si>
  <si>
    <t>工程材料（加拿大6店）</t>
  </si>
  <si>
    <t>方形环保打包盒（T-12W，12OZ，150个/箱）</t>
  </si>
  <si>
    <t>打包汤碗（YN-48C，48OZ，150个/箱）</t>
  </si>
  <si>
    <t>方形环保打包盒（818-16C，16OZ，150个/箱）</t>
  </si>
  <si>
    <t>有骨鸭爪</t>
  </si>
  <si>
    <t>2501新增</t>
  </si>
  <si>
    <t>气泡水（250ML*35瓶/箱）</t>
  </si>
  <si>
    <t>草莓果酱（金乐客，5KG*5瓶/箱）</t>
  </si>
  <si>
    <t>FUZEICEDTEA（341ML*32听/箱）</t>
  </si>
  <si>
    <t>茶兀（柚子绿茶，500ML*15瓶/件）</t>
  </si>
  <si>
    <t>小面筋（卫龙，360G*12包/箱）</t>
  </si>
  <si>
    <t>台面装饰花（把）</t>
  </si>
  <si>
    <t>双层纸巾（3000张/箱）</t>
  </si>
  <si>
    <t>多功能开瓶器（可开红酒，啤酒）</t>
  </si>
  <si>
    <t>炉头水（4L*4桶/箱）</t>
  </si>
  <si>
    <t>南美小海参（LB）</t>
  </si>
  <si>
    <t>2502新增</t>
  </si>
  <si>
    <t>猪皮（LB）</t>
  </si>
  <si>
    <t>黄原胶（LB）</t>
  </si>
  <si>
    <t>去核红枣（5LB*5包/箱）</t>
  </si>
  <si>
    <t>花胶鱼（LB）</t>
  </si>
  <si>
    <t>烧椒酱（川娃子，230G*12瓶/箱）</t>
  </si>
  <si>
    <t>烤鸭（中规格，只）</t>
  </si>
  <si>
    <t>绿豆芽（20LB/包）</t>
  </si>
  <si>
    <t>阳春面（5LB*10包/箱）</t>
  </si>
  <si>
    <t>刀切小馒头（千味，1.5KG*4包/箱）</t>
  </si>
  <si>
    <t>黑森林蛋糕（KING'SPASTRY，900G/盒）</t>
  </si>
  <si>
    <t>一次性雨衣（30G*10个*100捆/件）</t>
  </si>
  <si>
    <t>富贵花（LB）</t>
  </si>
  <si>
    <t>猪肘（员工餐）</t>
  </si>
  <si>
    <t>2503新增</t>
  </si>
  <si>
    <t>橙子糖浆（2.5KG*6桶/箱）</t>
  </si>
  <si>
    <t>泰式奶茶粉（1KG*20包/箱）</t>
  </si>
  <si>
    <t>白桃乌龙茶叶（VANCHEONG，450G*20包/箱）</t>
  </si>
  <si>
    <t>糖水荔枝（20OZ*24罐/箱）</t>
  </si>
  <si>
    <t>茉香绿茶（VANCHEONG，600G*10包/箱）</t>
  </si>
  <si>
    <t>荔枝糖浆（2.5KG*6瓶/箱）</t>
  </si>
  <si>
    <t>绿茶（ARIZONA，680ML*24瓶/箱）</t>
  </si>
  <si>
    <t>手切笋（500G*20包/箱）</t>
  </si>
  <si>
    <t>金鱼小馄饨（鳕鱼香菇，175G*24包/箱）</t>
  </si>
  <si>
    <t>章鱼小丸子（360G*20包/箱）</t>
  </si>
  <si>
    <t>照烧酱（3.7L*2桶/箱）</t>
  </si>
  <si>
    <t>鱼露（SQUID，725ML*12瓶/件）</t>
  </si>
  <si>
    <t>750奶茶杯（730ML，500个/箱）</t>
  </si>
  <si>
    <t>鸡骨架（LB）</t>
  </si>
  <si>
    <t>栀子（LB）</t>
  </si>
  <si>
    <t>壶</t>
  </si>
  <si>
    <t>区域</t>
  </si>
  <si>
    <t>门店</t>
  </si>
  <si>
    <t>物料号码</t>
  </si>
  <si>
    <t>物料描述（通用）</t>
  </si>
  <si>
    <t>对应菜品编码</t>
  </si>
  <si>
    <t>对应菜品名称</t>
  </si>
  <si>
    <t>12010001</t>
  </si>
  <si>
    <t>自选小料</t>
  </si>
  <si>
    <t>09010227</t>
  </si>
  <si>
    <t>特选肩胛牛小排</t>
  </si>
  <si>
    <t>09010185</t>
  </si>
  <si>
    <t>09010019</t>
  </si>
  <si>
    <t>09020243</t>
  </si>
  <si>
    <t>09010325</t>
  </si>
  <si>
    <t>09010009</t>
  </si>
  <si>
    <t>草原羔羊肉</t>
  </si>
  <si>
    <t>09050029</t>
  </si>
  <si>
    <t>孜然鸡丁</t>
  </si>
  <si>
    <t>09020071</t>
  </si>
  <si>
    <t>自制贡丸</t>
  </si>
  <si>
    <t>09040373</t>
  </si>
  <si>
    <t>09040045</t>
  </si>
  <si>
    <t>猪脑花（份）</t>
  </si>
  <si>
    <t>09040417</t>
  </si>
  <si>
    <t>03010019</t>
  </si>
  <si>
    <t>09010298</t>
  </si>
  <si>
    <t>纽西兰牛舌</t>
  </si>
  <si>
    <t>03010023</t>
  </si>
  <si>
    <t>09040336</t>
  </si>
  <si>
    <t>福利费用-员工餐</t>
  </si>
  <si>
    <t>09020082</t>
  </si>
  <si>
    <t>09020063</t>
  </si>
  <si>
    <t>09030330</t>
  </si>
  <si>
    <t>09020025</t>
  </si>
  <si>
    <t>翡翠墨鱼滑</t>
  </si>
  <si>
    <t>09030407</t>
  </si>
  <si>
    <t>09030446</t>
  </si>
  <si>
    <t>大干贝</t>
  </si>
  <si>
    <t>09030147</t>
  </si>
  <si>
    <t>09030029</t>
  </si>
  <si>
    <t>09040069</t>
  </si>
  <si>
    <t>11010304</t>
  </si>
  <si>
    <t>榴莲酥(正餐)</t>
  </si>
  <si>
    <t>09030019</t>
  </si>
  <si>
    <t>10020033</t>
  </si>
  <si>
    <t>11010005</t>
  </si>
  <si>
    <t>10010044</t>
  </si>
  <si>
    <t>11010105</t>
  </si>
  <si>
    <t>黄糖糍粑</t>
  </si>
  <si>
    <t>11010027</t>
  </si>
  <si>
    <t>烧饼</t>
  </si>
  <si>
    <t>11010379</t>
  </si>
  <si>
    <t>凉菜</t>
  </si>
  <si>
    <t>10010015</t>
  </si>
  <si>
    <t>豆腐</t>
  </si>
  <si>
    <t>10010312</t>
  </si>
  <si>
    <t>09020154</t>
  </si>
  <si>
    <t>11010221</t>
  </si>
  <si>
    <t>10010017</t>
  </si>
  <si>
    <t>豆浆</t>
  </si>
  <si>
    <t>10020053</t>
  </si>
  <si>
    <t>10030017</t>
  </si>
  <si>
    <t>10020011</t>
  </si>
  <si>
    <t>平菇</t>
  </si>
  <si>
    <t>10020007</t>
  </si>
  <si>
    <t>10020087</t>
  </si>
  <si>
    <t>10020031</t>
  </si>
  <si>
    <t>10020051</t>
  </si>
  <si>
    <t>10020023</t>
  </si>
  <si>
    <t>10020065</t>
  </si>
  <si>
    <t>10020073</t>
  </si>
  <si>
    <t>生菜</t>
  </si>
  <si>
    <t>10020063</t>
  </si>
  <si>
    <t>油麦菜</t>
  </si>
  <si>
    <t>10020138</t>
  </si>
  <si>
    <t>10020084</t>
  </si>
  <si>
    <t>生鸡蛋(个)</t>
  </si>
  <si>
    <t>10020027</t>
  </si>
  <si>
    <t>14090099</t>
  </si>
  <si>
    <t>五常米饭</t>
  </si>
  <si>
    <t>粥品</t>
  </si>
  <si>
    <t>10020005</t>
  </si>
  <si>
    <t>10020043</t>
  </si>
  <si>
    <t>细粉丝</t>
  </si>
  <si>
    <t>10010213</t>
  </si>
  <si>
    <t>10010055</t>
  </si>
  <si>
    <t>油面筋泡</t>
  </si>
  <si>
    <t>10020041</t>
  </si>
  <si>
    <t>竹笋</t>
  </si>
  <si>
    <t>10030236</t>
  </si>
  <si>
    <t>山楂乌梅汁</t>
  </si>
  <si>
    <t>姜汁汽水沙瓦</t>
  </si>
  <si>
    <t>70000742</t>
  </si>
  <si>
    <t>Riesling白葡萄酒</t>
  </si>
  <si>
    <t>13040299</t>
  </si>
  <si>
    <t>朝日无酒精啤酒</t>
  </si>
  <si>
    <t>70000085</t>
  </si>
  <si>
    <t>Three Kingdoms 小麦啤酒</t>
  </si>
  <si>
    <t>牛栏山二锅头56度100ml</t>
  </si>
  <si>
    <t>14020029</t>
  </si>
  <si>
    <t>200g番茄底料</t>
  </si>
  <si>
    <t>14020139</t>
  </si>
  <si>
    <t>360g上汤酸菜鱼底料</t>
  </si>
  <si>
    <t>09010021</t>
  </si>
  <si>
    <t>09020531</t>
  </si>
  <si>
    <t>冰鲜蟹鳌</t>
  </si>
  <si>
    <t>03010013</t>
  </si>
  <si>
    <t>09010051</t>
  </si>
  <si>
    <t>10010025</t>
  </si>
  <si>
    <t>腐竹</t>
  </si>
  <si>
    <t>11010292</t>
  </si>
  <si>
    <t>03010017</t>
  </si>
  <si>
    <t>03010015</t>
  </si>
  <si>
    <t>10020029</t>
  </si>
  <si>
    <t>土豆</t>
  </si>
  <si>
    <t>09040041</t>
  </si>
  <si>
    <t>10020025</t>
  </si>
  <si>
    <t>江小白 40%vol 50ml</t>
  </si>
  <si>
    <t>09030049</t>
  </si>
  <si>
    <t>鱼肚</t>
  </si>
  <si>
    <t>11020035</t>
  </si>
  <si>
    <t>09020518</t>
  </si>
  <si>
    <t>温哥华蟹</t>
  </si>
  <si>
    <t>09020305</t>
  </si>
  <si>
    <t>14020065</t>
  </si>
  <si>
    <t>200g上汤三鲜底料</t>
  </si>
  <si>
    <t>70000407</t>
  </si>
  <si>
    <t>09030189</t>
  </si>
  <si>
    <t>14020061</t>
  </si>
  <si>
    <t>220g麻辣香锅底料</t>
  </si>
  <si>
    <t>09040213</t>
  </si>
  <si>
    <t>牛百叶</t>
  </si>
  <si>
    <t>10080019</t>
  </si>
  <si>
    <t>自制豆泡</t>
  </si>
  <si>
    <t>月桂冠秀丽梅酒</t>
  </si>
  <si>
    <t>09060090</t>
  </si>
  <si>
    <t>广式鱼腐</t>
  </si>
  <si>
    <t>14090098</t>
  </si>
  <si>
    <t>14020258</t>
  </si>
  <si>
    <t>麻辣嫩牛自煮火锅</t>
  </si>
  <si>
    <t>14020369</t>
  </si>
  <si>
    <t>番茄广式腊肠自煮火锅</t>
  </si>
  <si>
    <t>14020259</t>
  </si>
  <si>
    <t>番茄牛腩自煮火锅</t>
  </si>
  <si>
    <t>52度国窖1573中国品味</t>
  </si>
  <si>
    <t>09040197</t>
  </si>
  <si>
    <t>09030456</t>
  </si>
  <si>
    <t>海参</t>
  </si>
  <si>
    <t>70000509</t>
  </si>
  <si>
    <t>11020047</t>
  </si>
  <si>
    <t>香肠</t>
  </si>
  <si>
    <t>13020113</t>
  </si>
  <si>
    <t>真露烧酒</t>
  </si>
  <si>
    <t>11010030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</si>
</sst>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176" formatCode="_ * #,##0.00_ ;_ * \-#,##0.00_ ;_ * &quot;-&quot;??_ ;_ @_ "/>
    <numFmt numFmtId="177" formatCode="_-&quot;$&quot;* #,##0.00_-;\-&quot;$&quot;* #,##0.00_-;_-&quot;$&quot;* \-??_-;_-@_-"/>
    <numFmt numFmtId="178" formatCode="_-&quot;$&quot;* #,##0_-;\-&quot;$&quot;* #,##0_-;_-&quot;$&quot;* &quot;-&quot;_-;_-@_-"/>
    <numFmt numFmtId="179" formatCode="[&gt;=100000000]0&quot;.&quot;00,,&quot;亿&quot;;[&gt;=10000]0&quot;.&quot;0,&quot;万&quot;;0.0#;"/>
    <numFmt numFmtId="180" formatCode="0.00_);[Red]\(0.00\)"/>
    <numFmt numFmtId="181" formatCode="0.00_ "/>
    <numFmt numFmtId="182" formatCode="0.00_ ;[Red]\-0.00\ "/>
    <numFmt numFmtId="183" formatCode="#,##0.000"/>
  </numFmts>
  <fonts count="44">
    <font>
      <sz val="12"/>
      <color theme="1"/>
      <name val="Calibri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宋体"/>
      <charset val="134"/>
    </font>
    <font>
      <sz val="11"/>
      <color theme="1"/>
      <name val="Calibri"/>
      <charset val="136"/>
      <scheme val="minor"/>
    </font>
    <font>
      <b/>
      <sz val="11"/>
      <color rgb="FF000000"/>
      <name val="Calibri"/>
      <charset val="136"/>
      <scheme val="minor"/>
    </font>
    <font>
      <sz val="11"/>
      <color rgb="FF191919"/>
      <name val="Calibri"/>
      <charset val="134"/>
      <scheme val="minor"/>
    </font>
    <font>
      <sz val="11"/>
      <color rgb="FF191919"/>
      <name val="Calibri"/>
      <charset val="136"/>
      <scheme val="minor"/>
    </font>
    <font>
      <b/>
      <sz val="11"/>
      <color rgb="FF191919"/>
      <name val="Calibri"/>
      <charset val="136"/>
      <scheme val="minor"/>
    </font>
    <font>
      <b/>
      <sz val="12"/>
      <color theme="1"/>
      <name val="Calibri"/>
      <charset val="136"/>
      <scheme val="minor"/>
    </font>
    <font>
      <sz val="9"/>
      <color theme="1"/>
      <name val="Calibri"/>
      <charset val="136"/>
      <scheme val="minor"/>
    </font>
    <font>
      <b/>
      <sz val="11"/>
      <color rgb="FFFFFFFF"/>
      <name val="Calibri"/>
      <charset val="136"/>
      <scheme val="minor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b/>
      <sz val="11"/>
      <color rgb="FFFF0000"/>
      <name val="Calibri"/>
      <charset val="136"/>
      <scheme val="minor"/>
    </font>
    <font>
      <sz val="10"/>
      <color theme="1"/>
      <name val="Calibri"/>
      <charset val="136"/>
      <scheme val="minor"/>
    </font>
    <font>
      <b/>
      <sz val="18"/>
      <color rgb="FFFF0000"/>
      <name val="Calibri"/>
      <charset val="136"/>
      <scheme val="minor"/>
    </font>
    <font>
      <b/>
      <sz val="12"/>
      <color rgb="FFFF0000"/>
      <name val="Calibri"/>
      <charset val="136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4"/>
      <name val="SimSun"/>
      <charset val="134"/>
    </font>
    <font>
      <sz val="14"/>
      <name val="SimSun"/>
      <charset val="134"/>
    </font>
    <font>
      <sz val="9"/>
      <name val="SimSun"/>
      <charset val="134"/>
    </font>
    <font>
      <sz val="9"/>
      <color rgb="FF000000"/>
      <name val="SimSun"/>
      <charset val="134"/>
    </font>
    <font>
      <b/>
      <sz val="9"/>
      <name val="SimSun"/>
      <charset val="134"/>
    </font>
    <font>
      <b/>
      <sz val="9"/>
      <color rgb="FF000000"/>
      <name val="SimSun"/>
      <charset val="134"/>
    </font>
  </fonts>
  <fills count="4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68686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  <diagonal/>
    </border>
    <border>
      <left style="thin">
        <color rgb="FFEDEEF0"/>
      </left>
      <right style="thin">
        <color rgb="FFEDEEF0"/>
      </right>
      <top style="thin">
        <color rgb="FFEDEEF0"/>
      </top>
      <bottom style="thin">
        <color rgb="FFEDEEF0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EDEEF0"/>
      </left>
      <right style="medium">
        <color rgb="FFEDEEF0"/>
      </right>
      <top style="medium">
        <color rgb="FFEDEEF0"/>
      </top>
      <bottom style="medium">
        <color rgb="FFD4D6D9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medium">
        <color rgb="FFEDEEF0"/>
      </left>
      <right style="medium">
        <color rgb="FFEDEEF0"/>
      </right>
      <top style="medium">
        <color rgb="FFEDEEF0"/>
      </top>
      <bottom style="medium">
        <color rgb="FFEDEEF0"/>
      </bottom>
      <diagonal/>
    </border>
    <border>
      <left style="medium">
        <color rgb="FFEDEEF0"/>
      </left>
      <right style="medium">
        <color rgb="FFD4D6D9"/>
      </right>
      <top style="medium">
        <color rgb="FFEDEEF0"/>
      </top>
      <bottom style="medium">
        <color rgb="FFD4D6D9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thin">
        <color rgb="FFEDEEF0"/>
      </left>
      <right style="thin">
        <color rgb="FFD4D6D9"/>
      </right>
      <top style="thin">
        <color rgb="FFEDEEF0"/>
      </top>
      <bottom style="thin">
        <color rgb="FFEDEEF0"/>
      </bottom>
      <diagonal/>
    </border>
    <border>
      <left style="medium">
        <color rgb="FFDEE0E3"/>
      </left>
      <right/>
      <top style="medium">
        <color rgb="FFDEE0E3"/>
      </top>
      <bottom style="medium">
        <color rgb="FFDEE0E3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8" borderId="2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9" borderId="25" applyNumberFormat="0" applyAlignment="0" applyProtection="0">
      <alignment vertical="center"/>
    </xf>
    <xf numFmtId="0" fontId="28" fillId="20" borderId="26" applyNumberFormat="0" applyAlignment="0" applyProtection="0">
      <alignment vertical="center"/>
    </xf>
    <xf numFmtId="0" fontId="29" fillId="20" borderId="25" applyNumberFormat="0" applyAlignment="0" applyProtection="0">
      <alignment vertical="center"/>
    </xf>
    <xf numFmtId="0" fontId="30" fillId="21" borderId="27" applyNumberFormat="0" applyAlignment="0" applyProtection="0">
      <alignment vertical="center"/>
    </xf>
    <xf numFmtId="0" fontId="31" fillId="0" borderId="28" applyNumberFormat="0" applyFill="0" applyAlignment="0" applyProtection="0">
      <alignment vertical="center"/>
    </xf>
    <xf numFmtId="0" fontId="32" fillId="0" borderId="29" applyNumberFormat="0" applyFill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</cellStyleXfs>
  <cellXfs count="12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49" fontId="1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49" fontId="2" fillId="4" borderId="1" xfId="0" applyNumberFormat="1" applyFont="1" applyFill="1" applyBorder="1"/>
    <xf numFmtId="58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0" fillId="0" borderId="0" xfId="0" applyAlignment="1">
      <alignment vertical="center"/>
    </xf>
    <xf numFmtId="0" fontId="0" fillId="5" borderId="0" xfId="0" applyFill="1" applyAlignment="1">
      <alignment vertical="top"/>
    </xf>
    <xf numFmtId="0" fontId="0" fillId="6" borderId="0" xfId="0" applyFill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7" borderId="0" xfId="0" applyFill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6" fillId="0" borderId="5" xfId="0" applyFont="1" applyBorder="1" applyAlignment="1">
      <alignment horizontal="left" vertical="center"/>
    </xf>
    <xf numFmtId="179" fontId="6" fillId="0" borderId="3" xfId="0" applyNumberFormat="1" applyFont="1" applyBorder="1" applyAlignment="1">
      <alignment horizontal="right" vertical="center"/>
    </xf>
    <xf numFmtId="0" fontId="7" fillId="0" borderId="5" xfId="0" applyFont="1" applyBorder="1" applyAlignment="1">
      <alignment horizontal="left" vertical="center"/>
    </xf>
    <xf numFmtId="179" fontId="7" fillId="0" borderId="3" xfId="0" applyNumberFormat="1" applyFont="1" applyBorder="1" applyAlignment="1">
      <alignment horizontal="right" vertical="center"/>
    </xf>
    <xf numFmtId="2" fontId="6" fillId="0" borderId="3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2" fontId="7" fillId="0" borderId="3" xfId="0" applyNumberFormat="1" applyFont="1" applyBorder="1" applyAlignment="1">
      <alignment horizontal="right" vertical="center"/>
    </xf>
    <xf numFmtId="0" fontId="8" fillId="6" borderId="6" xfId="0" applyFont="1" applyFill="1" applyBorder="1" applyAlignment="1">
      <alignment horizontal="left" vertical="center" wrapText="1"/>
    </xf>
    <xf numFmtId="179" fontId="7" fillId="0" borderId="0" xfId="0" applyNumberFormat="1" applyFont="1" applyAlignment="1">
      <alignment horizontal="right" vertical="center"/>
    </xf>
    <xf numFmtId="179" fontId="0" fillId="0" borderId="0" xfId="0" applyNumberFormat="1"/>
    <xf numFmtId="0" fontId="0" fillId="0" borderId="0" xfId="0" applyAlignment="1">
      <alignment horizontal="right"/>
    </xf>
    <xf numFmtId="0" fontId="9" fillId="0" borderId="0" xfId="0" applyFont="1"/>
    <xf numFmtId="0" fontId="10" fillId="0" borderId="0" xfId="0" applyFont="1" applyAlignment="1">
      <alignment horizontal="left"/>
    </xf>
    <xf numFmtId="180" fontId="0" fillId="0" borderId="0" xfId="0" applyNumberFormat="1"/>
    <xf numFmtId="181" fontId="9" fillId="0" borderId="0" xfId="0" applyNumberFormat="1" applyFont="1"/>
    <xf numFmtId="0" fontId="4" fillId="0" borderId="7" xfId="0" applyFont="1" applyBorder="1"/>
    <xf numFmtId="0" fontId="11" fillId="8" borderId="8" xfId="0" applyFont="1" applyFill="1" applyBorder="1" applyAlignment="1">
      <alignment horizontal="left" vertical="center"/>
    </xf>
    <xf numFmtId="0" fontId="7" fillId="9" borderId="6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right" vertical="center"/>
    </xf>
    <xf numFmtId="0" fontId="7" fillId="9" borderId="10" xfId="0" applyFont="1" applyFill="1" applyBorder="1" applyAlignment="1">
      <alignment horizontal="right" vertical="center"/>
    </xf>
    <xf numFmtId="0" fontId="8" fillId="0" borderId="10" xfId="0" applyFont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/>
    </xf>
    <xf numFmtId="0" fontId="7" fillId="0" borderId="10" xfId="0" applyFont="1" applyBorder="1" applyAlignment="1">
      <alignment horizontal="right" vertical="center"/>
    </xf>
    <xf numFmtId="0" fontId="12" fillId="0" borderId="10" xfId="0" applyFont="1" applyBorder="1" applyAlignment="1">
      <alignment horizontal="left" vertical="center"/>
    </xf>
    <xf numFmtId="0" fontId="7" fillId="9" borderId="6" xfId="0" applyFont="1" applyFill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7" fillId="7" borderId="6" xfId="0" applyFont="1" applyFill="1" applyBorder="1" applyAlignment="1">
      <alignment horizontal="right" vertical="center"/>
    </xf>
    <xf numFmtId="0" fontId="0" fillId="6" borderId="0" xfId="0" applyNumberFormat="1" applyFill="1" applyAlignment="1">
      <alignment vertical="center"/>
    </xf>
    <xf numFmtId="0" fontId="0" fillId="6" borderId="0" xfId="0" applyFill="1" applyAlignment="1">
      <alignment vertical="center"/>
    </xf>
    <xf numFmtId="0" fontId="13" fillId="8" borderId="8" xfId="0" applyFont="1" applyFill="1" applyBorder="1" applyAlignment="1">
      <alignment horizontal="left" vertical="center"/>
    </xf>
    <xf numFmtId="0" fontId="11" fillId="8" borderId="1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0" fontId="11" fillId="8" borderId="12" xfId="0" applyFont="1" applyFill="1" applyBorder="1" applyAlignment="1">
      <alignment horizontal="left" vertical="center"/>
    </xf>
    <xf numFmtId="0" fontId="7" fillId="9" borderId="13" xfId="0" applyFont="1" applyFill="1" applyBorder="1" applyAlignment="1">
      <alignment horizontal="left" vertical="center"/>
    </xf>
    <xf numFmtId="2" fontId="7" fillId="9" borderId="0" xfId="0" applyNumberFormat="1" applyFont="1" applyFill="1" applyAlignment="1">
      <alignment horizontal="right" vertical="center"/>
    </xf>
    <xf numFmtId="0" fontId="7" fillId="9" borderId="0" xfId="0" applyFont="1" applyFill="1" applyAlignment="1">
      <alignment horizontal="right" vertical="center"/>
    </xf>
    <xf numFmtId="0" fontId="7" fillId="7" borderId="13" xfId="0" applyFont="1" applyFill="1" applyBorder="1" applyAlignment="1">
      <alignment horizontal="left" vertical="center"/>
    </xf>
    <xf numFmtId="0" fontId="14" fillId="9" borderId="0" xfId="0" applyFont="1" applyFill="1" applyAlignment="1">
      <alignment horizontal="right" vertical="center"/>
    </xf>
    <xf numFmtId="0" fontId="11" fillId="8" borderId="7" xfId="0" applyFont="1" applyFill="1" applyBorder="1" applyAlignment="1">
      <alignment horizontal="left" vertical="center"/>
    </xf>
    <xf numFmtId="180" fontId="11" fillId="8" borderId="7" xfId="0" applyNumberFormat="1" applyFont="1" applyFill="1" applyBorder="1" applyAlignment="1">
      <alignment horizontal="left" vertical="center"/>
    </xf>
    <xf numFmtId="181" fontId="14" fillId="10" borderId="1" xfId="0" applyNumberFormat="1" applyFont="1" applyFill="1" applyBorder="1" applyAlignment="1">
      <alignment horizontal="left" vertical="center"/>
    </xf>
    <xf numFmtId="0" fontId="15" fillId="0" borderId="14" xfId="0" applyFont="1" applyBorder="1" applyAlignment="1">
      <alignment vertical="center"/>
    </xf>
    <xf numFmtId="0" fontId="0" fillId="6" borderId="0" xfId="0" applyFill="1"/>
    <xf numFmtId="180" fontId="0" fillId="11" borderId="0" xfId="0" applyNumberFormat="1" applyFill="1"/>
    <xf numFmtId="0" fontId="9" fillId="6" borderId="0" xfId="0" applyFont="1" applyFill="1"/>
    <xf numFmtId="182" fontId="14" fillId="6" borderId="0" xfId="0" applyNumberFormat="1" applyFont="1" applyFill="1" applyAlignment="1">
      <alignment horizontal="left" vertical="center"/>
    </xf>
    <xf numFmtId="182" fontId="0" fillId="0" borderId="0" xfId="0" applyNumberFormat="1"/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right" vertical="center"/>
    </xf>
    <xf numFmtId="0" fontId="0" fillId="12" borderId="0" xfId="0" applyFill="1"/>
    <xf numFmtId="0" fontId="7" fillId="0" borderId="13" xfId="0" applyFont="1" applyBorder="1" applyAlignment="1">
      <alignment horizontal="left" vertical="center"/>
    </xf>
    <xf numFmtId="2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16" fillId="0" borderId="0" xfId="0" applyFont="1"/>
    <xf numFmtId="0" fontId="0" fillId="0" borderId="15" xfId="0" applyBorder="1"/>
    <xf numFmtId="0" fontId="0" fillId="0" borderId="16" xfId="0" applyBorder="1"/>
    <xf numFmtId="0" fontId="0" fillId="0" borderId="16" xfId="0" applyNumberFormat="1" applyBorder="1"/>
    <xf numFmtId="0" fontId="0" fillId="0" borderId="17" xfId="0" applyBorder="1"/>
    <xf numFmtId="0" fontId="0" fillId="0" borderId="18" xfId="0" applyNumberFormat="1" applyBorder="1"/>
    <xf numFmtId="0" fontId="0" fillId="0" borderId="19" xfId="0" applyBorder="1"/>
    <xf numFmtId="0" fontId="0" fillId="0" borderId="20" xfId="0" applyNumberFormat="1" applyBorder="1"/>
    <xf numFmtId="0" fontId="9" fillId="0" borderId="0" xfId="0" applyFont="1" applyAlignment="1">
      <alignment vertical="center"/>
    </xf>
    <xf numFmtId="0" fontId="9" fillId="6" borderId="0" xfId="0" applyFont="1" applyFill="1" applyAlignment="1">
      <alignment vertical="center"/>
    </xf>
    <xf numFmtId="0" fontId="9" fillId="13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0" fontId="9" fillId="14" borderId="0" xfId="0" applyFont="1" applyFill="1" applyAlignment="1">
      <alignment vertical="center"/>
    </xf>
    <xf numFmtId="2" fontId="8" fillId="10" borderId="6" xfId="0" applyNumberFormat="1" applyFont="1" applyFill="1" applyBorder="1" applyAlignment="1">
      <alignment horizontal="left" vertical="center" wrapText="1"/>
    </xf>
    <xf numFmtId="0" fontId="5" fillId="15" borderId="2" xfId="0" applyFont="1" applyFill="1" applyBorder="1" applyAlignment="1">
      <alignment horizontal="left" vertical="center"/>
    </xf>
    <xf numFmtId="2" fontId="7" fillId="7" borderId="6" xfId="0" applyNumberFormat="1" applyFont="1" applyFill="1" applyBorder="1" applyAlignment="1">
      <alignment horizontal="right" vertical="center"/>
    </xf>
    <xf numFmtId="176" fontId="0" fillId="0" borderId="0" xfId="1" applyFont="1" applyFill="1" applyAlignment="1">
      <alignment vertical="center"/>
    </xf>
    <xf numFmtId="4" fontId="0" fillId="0" borderId="0" xfId="0" applyNumberFormat="1" applyAlignment="1">
      <alignment vertical="center"/>
    </xf>
    <xf numFmtId="176" fontId="9" fillId="6" borderId="0" xfId="1" applyFont="1" applyFill="1" applyAlignment="1">
      <alignment vertical="center"/>
    </xf>
    <xf numFmtId="176" fontId="0" fillId="6" borderId="0" xfId="1" applyFont="1" applyFill="1" applyAlignment="1">
      <alignment vertical="center"/>
    </xf>
    <xf numFmtId="3" fontId="0" fillId="0" borderId="0" xfId="0" applyNumberFormat="1" applyAlignment="1">
      <alignment vertical="center"/>
    </xf>
    <xf numFmtId="0" fontId="0" fillId="5" borderId="1" xfId="0" applyFill="1" applyBorder="1" applyAlignment="1">
      <alignment vertical="top"/>
    </xf>
    <xf numFmtId="2" fontId="17" fillId="6" borderId="1" xfId="0" applyNumberFormat="1" applyFont="1" applyFill="1" applyBorder="1" applyAlignment="1">
      <alignment vertical="top"/>
    </xf>
    <xf numFmtId="5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83" fontId="0" fillId="0" borderId="0" xfId="0" applyNumberFormat="1" applyAlignment="1">
      <alignment horizontal="right" vertical="top"/>
    </xf>
    <xf numFmtId="58" fontId="0" fillId="0" borderId="0" xfId="0" applyNumberFormat="1" applyAlignment="1">
      <alignment vertical="center"/>
    </xf>
    <xf numFmtId="183" fontId="0" fillId="0" borderId="0" xfId="0" applyNumberFormat="1" applyAlignment="1">
      <alignment vertical="center"/>
    </xf>
    <xf numFmtId="176" fontId="0" fillId="6" borderId="0" xfId="1" applyFont="1" applyFill="1" applyAlignment="1"/>
    <xf numFmtId="176" fontId="9" fillId="11" borderId="1" xfId="1" applyFont="1" applyFill="1" applyBorder="1" applyAlignment="1"/>
    <xf numFmtId="176" fontId="17" fillId="6" borderId="1" xfId="1" applyFont="1" applyFill="1" applyBorder="1" applyAlignment="1"/>
    <xf numFmtId="176" fontId="9" fillId="6" borderId="1" xfId="1" applyFont="1" applyFill="1" applyBorder="1" applyAlignment="1"/>
    <xf numFmtId="176" fontId="9" fillId="6" borderId="1" xfId="50" applyFont="1" applyFill="1" applyBorder="1" applyAlignment="1"/>
    <xf numFmtId="0" fontId="9" fillId="16" borderId="1" xfId="0" applyFont="1" applyFill="1" applyBorder="1" applyAlignment="1">
      <alignment wrapText="1"/>
    </xf>
    <xf numFmtId="176" fontId="9" fillId="17" borderId="21" xfId="50" applyFont="1" applyFill="1" applyBorder="1" applyAlignment="1"/>
    <xf numFmtId="176" fontId="0" fillId="6" borderId="0" xfId="0" applyNumberFormat="1" applyFill="1"/>
    <xf numFmtId="176" fontId="0" fillId="6" borderId="0" xfId="1" applyFont="1" applyFill="1" applyAlignment="1">
      <alignment horizontal="center" vertical="center"/>
    </xf>
    <xf numFmtId="176" fontId="0" fillId="6" borderId="0" xfId="0" applyNumberFormat="1" applyFill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  <cellStyle name="千位分隔 2" xfId="50"/>
  </cellStyles>
  <dxfs count="5">
    <dxf>
      <font>
        <name val="新細明體"/>
        <scheme val="none"/>
        <family val="2"/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name val="新細明體"/>
        <scheme val="none"/>
        <family val="2"/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新細明體"/>
        <scheme val="none"/>
        <family val="3"/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colors>
    <mruColors>
      <color rgb="0092D050"/>
      <color rgb="00868686"/>
      <color rgb="00FF0000"/>
      <color rgb="00C0C0C0"/>
      <color rgb="00BFBFBF"/>
      <color rgb="00F9F9F9"/>
      <color rgb="00FFFF00"/>
      <color rgb="0019191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www.wps.cn/officeDocument/2023/relationships/customStorage" Target="customStorage/customStorage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4378.5693259259" refreshedBy="17788" recordCount="4318">
  <cacheSource type="worksheet">
    <worksheetSource ref="B1:I65536" sheet="红火台销售汇总"/>
  </cacheSource>
  <cacheFields count="29">
    <cacheField name="日期" numFmtId="0"/>
    <cacheField name="区域名称" numFmtId="0"/>
    <cacheField name="门店名称" numFmtId="0"/>
    <cacheField name="大类名称" numFmtId="0">
      <sharedItems containsBlank="1" count="11">
        <s v="套餐"/>
        <s v="荤菜"/>
        <s v="酒水"/>
        <s v="素菜"/>
        <s v="锅底类"/>
        <s v="特色菜"/>
        <s v="小吃"/>
        <s v="其他"/>
        <s v="调料"/>
        <s v="下午茶"/>
        <m/>
      </sharedItems>
    </cacheField>
    <cacheField name="子类名称" numFmtId="0">
      <sharedItems containsBlank="1" count="26">
        <s v="套餐"/>
        <s v="牛羊肉类"/>
        <s v="啤酒"/>
        <s v="丸滑类"/>
        <s v="饮料"/>
        <s v="根茎与菌类"/>
        <s v="水产及其制品"/>
        <s v="豆面制品"/>
        <s v="经典火锅菜"/>
        <s v="拼锅类"/>
        <s v="四宫格类"/>
        <s v="叶菜类"/>
        <s v="特色菜类"/>
        <s v="小吃类"/>
        <s v="赠送及其他"/>
        <s v="凉菜类"/>
        <s v="单锅类"/>
        <s v="自选类"/>
        <s v="甜品类"/>
        <s v="清酒"/>
        <s v="套餐类"/>
        <s v="白酒"/>
        <s v="红酒"/>
        <s v="饮品类"/>
        <s v="底料及礼盒"/>
        <m/>
      </sharedItems>
    </cacheField>
    <cacheField name="菜品编码" numFmtId="0">
      <sharedItems containsBlank="1" count="144">
        <s v="03010188"/>
        <s v="09010185"/>
        <s v="09010227"/>
        <s v="70000406"/>
        <s v="70000401"/>
        <s v="70000404"/>
        <s v="09020154"/>
        <s v="13010455"/>
        <s v="10020025"/>
        <s v="12010049"/>
        <s v="13010368"/>
        <s v="09030029"/>
        <s v="09030446"/>
        <s v="09030407"/>
        <s v="09030015"/>
        <s v="09030019"/>
        <s v="10010017"/>
        <s v="13010445"/>
        <s v="13010457"/>
        <s v="09040055"/>
        <s v="09040041"/>
        <s v="13010040"/>
        <s v="01310005"/>
        <s v="10010213"/>
        <s v="10020073"/>
        <s v="10020029"/>
        <s v="10020065"/>
        <s v="09050029"/>
        <s v="10020270"/>
        <s v="10020027"/>
        <s v="11010105"/>
        <s v="14090098"/>
        <s v="10010261"/>
        <s v="09020063"/>
        <s v="03010017"/>
        <s v="03010027"/>
        <s v="03010015"/>
        <s v="03010013"/>
        <s v="09010021"/>
        <s v="11010292"/>
        <s v="03010019"/>
        <s v="09030119"/>
        <s v="13040264"/>
        <s v="10020005"/>
        <s v="12020042"/>
        <s v="14120001"/>
        <s v="12010002"/>
        <s v="13010047"/>
        <s v="10010044"/>
        <s v="10010055"/>
        <s v="70000123"/>
        <s v="10020043"/>
        <s v="10030017"/>
        <s v="01010106"/>
        <s v="11010027"/>
        <s v="09040213"/>
        <s v="09010298"/>
        <s v="09010009"/>
        <s v="01060062"/>
        <s v="10020087"/>
        <s v="12010003"/>
        <s v="11010086"/>
        <s v="01060066"/>
        <s v="11010262"/>
        <s v="10020053"/>
        <s v="70000403"/>
        <s v="70000414"/>
        <s v="10020113"/>
        <s v="09010019"/>
        <s v="09040373"/>
        <s v="11020035"/>
        <s v="01060064"/>
        <s v="09040045"/>
        <s v="70000407"/>
        <s v="01060115"/>
        <s v="12010001"/>
        <s v="10020138"/>
        <s v="09020243"/>
        <s v="10020023"/>
        <s v="10020031"/>
        <s v="10020051"/>
        <s v="01060063"/>
        <s v="10020017"/>
        <s v="10020069"/>
        <s v="10140009"/>
        <s v="09020082"/>
        <s v="11010008"/>
        <s v="13010471"/>
        <s v="09040065"/>
        <s v="03010023"/>
        <s v="10010312"/>
        <s v="11010407"/>
        <s v="01060204"/>
        <s v="10020007"/>
        <s v="11010005"/>
        <s v="13010041"/>
        <s v="09010051"/>
        <s v="13040162"/>
        <s v="11010221"/>
        <s v="09020071"/>
        <s v="09020305"/>
        <s v="09040336"/>
        <s v="70000509"/>
        <s v="10010025"/>
        <s v="10010015"/>
        <s v="09040063"/>
        <s v="01060227"/>
        <s v="01060061"/>
        <s v="70000490"/>
        <s v="03010184"/>
        <s v="70000491"/>
        <s v="09030147"/>
        <s v="13010485"/>
        <s v="09030456"/>
        <s v="11010304"/>
        <s v="13070069"/>
        <s v="10020084"/>
        <s v="10020041"/>
        <s v="09030330"/>
        <s v="09030189"/>
        <s v="70000402"/>
        <s v="09030334"/>
        <s v="13070076"/>
        <s v="11010030"/>
        <s v="14020246"/>
        <s v="70000522"/>
        <s v="70000501"/>
        <s v="13040300"/>
        <s v="70000539"/>
        <s v="70000405"/>
        <s v="13030306"/>
        <s v="09030498"/>
        <s v="70000379"/>
        <s v="13020423"/>
        <s v="10030236"/>
        <s v="13020421"/>
        <s v="13020235"/>
        <s v="14010035"/>
        <s v="13010147"/>
        <s v="70000979"/>
        <s v="70000604"/>
        <s v="09060013"/>
        <s v="13100017"/>
        <m/>
      </sharedItems>
    </cacheField>
    <cacheField name="菜品短编码" numFmtId="0">
      <sharedItems containsBlank="1" count="138">
        <s v=""/>
        <s v="30219"/>
        <s v="30263"/>
        <s v="07862"/>
        <s v="07851"/>
        <s v="07858"/>
        <s v="31157"/>
        <s v="70455"/>
        <s v="41025"/>
        <s v="60048"/>
        <s v="70368"/>
        <s v="70369"/>
        <s v="32029"/>
        <s v="32491"/>
        <s v="32439"/>
        <s v="32015"/>
        <s v="32019"/>
        <s v="40017"/>
        <s v="70445"/>
        <s v="70457"/>
        <s v="33055"/>
        <s v="33041"/>
        <s v="70040"/>
        <s v="40218"/>
        <s v="41074"/>
        <s v="41029"/>
        <s v="41065"/>
        <s v="41066"/>
        <s v="39031"/>
        <s v="41279"/>
        <s v="41027"/>
        <s v="50109"/>
        <s v="84277"/>
        <s v="40269"/>
        <s v="31063"/>
        <s v="20017"/>
        <s v="20027"/>
        <s v="20015"/>
        <s v="20013"/>
        <s v="30021"/>
        <s v="50363"/>
        <s v="20019"/>
        <s v="32119"/>
        <s v="73264"/>
        <s v="41005"/>
        <s v="61045"/>
        <s v="84001"/>
        <s v="60002"/>
        <s v="70047"/>
        <s v="40051"/>
        <s v="40063"/>
        <s v="01042"/>
        <s v="41043"/>
        <s v="42017"/>
        <s v="50049"/>
        <s v="33217"/>
        <s v="30355"/>
        <s v="30009"/>
        <s v="41087"/>
        <s v="60003"/>
        <s v="50089"/>
        <s v="50303"/>
        <s v="41053"/>
        <s v="07855"/>
        <s v="07879"/>
        <s v="41113"/>
        <s v="30019"/>
        <s v="33439"/>
        <s v="51035"/>
        <s v="33045"/>
        <s v="07864"/>
        <s v="60001"/>
        <s v="41183"/>
        <s v="31247"/>
        <s v="41023"/>
        <s v="41024"/>
        <s v="41031"/>
        <s v="41051"/>
        <s v="41017"/>
        <s v="41069"/>
        <s v="41070"/>
        <s v="69009"/>
        <s v="31083"/>
        <s v="50015"/>
        <s v="70471"/>
        <s v="33065"/>
        <s v="20023"/>
        <s v="40521"/>
        <s v="50529"/>
        <s v="41007"/>
        <s v="50009"/>
        <s v="70041"/>
        <s v="30053"/>
        <s v="73162"/>
        <s v="50252"/>
        <s v="31071"/>
        <s v="31315"/>
        <s v="33395"/>
        <s v="57036"/>
        <s v="40025"/>
        <s v="40015"/>
        <s v="33063"/>
        <s v="09991"/>
        <s v="20187"/>
        <s v="09994"/>
        <s v="32147"/>
        <s v="70485"/>
        <s v="32499"/>
        <s v="50379"/>
        <s v="76069"/>
        <s v="41084"/>
        <s v="41041"/>
        <s v="32331"/>
        <s v="33253"/>
        <s v="07853"/>
        <s v="32337"/>
        <s v="76076"/>
        <s v="50055"/>
        <s v="41073"/>
        <s v="57175"/>
        <s v="56993"/>
        <s v="73300"/>
        <s v="59070"/>
        <s v="07860"/>
        <s v="72305"/>
        <s v="32583"/>
        <s v="07667"/>
        <s v="71423"/>
        <s v="42239"/>
        <s v="71421"/>
        <s v="71235"/>
        <s v="80005"/>
        <s v="70143"/>
        <s v="78048"/>
        <s v="77229"/>
        <s v="43014"/>
        <s v="53017"/>
        <m/>
      </sharedItems>
    </cacheField>
    <cacheField name="菜品名称" numFmtId="0">
      <sharedItems containsBlank="1" count="149">
        <s v="4人套餐/商务套餐"/>
        <s v="AAA级西冷牛肉"/>
        <s v="Prime级去骨牛小排"/>
        <s v="Punch Bowl IPA  啤酒  (杯)"/>
        <s v="White Rabbit 扎啤  (2L)"/>
        <s v="White Rabbit 扎啤  (杯)"/>
        <s v="丸类拼盘"/>
        <s v="健怡可乐"/>
        <s v="冬瓜"/>
        <s v="冬瓜茶 490ml"/>
        <s v="冰镇乌梅饮（1L）"/>
        <s v="冰镇乌梅饮（2L）"/>
        <s v="冰鲜墨鱼仔"/>
        <s v="冰鲜带子"/>
        <s v="冰鲜桂花蚌"/>
        <s v="冰鲜海鮮拼盘"/>
        <s v="冰鲜白虾"/>
        <s v="冻豆腐"/>
        <s v="加多宝"/>
        <s v="北冰洋"/>
        <s v="午餐肉"/>
        <s v="卤肥肠"/>
        <s v="可口可乐"/>
        <s v="叻沙火锅"/>
        <s v="响铃卷"/>
        <s v="唐生菜(半)"/>
        <s v="土豆片"/>
        <s v="大白菜"/>
        <s v="大白菜(半)"/>
        <s v="孜然鸡丁"/>
        <s v="宽粉"/>
        <s v="山药"/>
        <s v="手工糍粑"/>
        <s v="手工鲜虾云吞"/>
        <s v="抖抖面筋球"/>
        <s v="招牌虾滑"/>
        <s v="捞派千层毛肚"/>
        <s v="捞派捞面"/>
        <s v="捞派毛肚"/>
        <s v="捞派滑牛肉"/>
        <s v="捞派羊肉"/>
        <s v="捞派酥肉"/>
        <s v="捞派黄喉"/>
        <s v="无刺巴沙鱼片"/>
        <s v="朝日啤酒 330ml"/>
        <s v="木耳"/>
        <s v="未使用小料"/>
        <s v="杂项代收"/>
        <s v="柠檬冰红茶 341ML"/>
        <s v="椰汁"/>
        <s v="油条"/>
        <s v="油面筋泡"/>
        <s v="泡椒凤爪"/>
        <s v="海带"/>
        <s v="海鲜菇"/>
        <s v="清水锅"/>
        <s v="烧饼"/>
        <s v="牛百叶"/>
        <s v="牛舌"/>
        <s v="特选羊肉"/>
        <s v="猪骨汤"/>
        <s v="甜玉米"/>
        <s v="甜豆浆（1L）"/>
        <s v="生面"/>
        <s v="番茄火锅"/>
        <s v="白米饭"/>
        <s v="白萝卜"/>
        <s v="百香蜜柚饮 1L"/>
        <s v="百香蜜柚饮 2L"/>
        <s v="粉丝"/>
        <s v="精品肥牛"/>
        <s v="精选豚肉薄切"/>
        <s v="糖蒜"/>
        <s v="经典麻辣火锅"/>
        <s v="羊脑/个"/>
        <s v="肉汁奶酪薯条"/>
        <s v="胡椒猪肚鸡火锅"/>
        <s v="自选小料"/>
        <s v="芋头"/>
        <s v="芝士牛肉丸"/>
        <s v="茼蒿"/>
        <s v="茼蒿(半)"/>
        <s v="莲藕"/>
        <s v="莴笋"/>
        <s v="菌汤火锅"/>
        <s v="菌类拼盘"/>
        <s v="菠菜"/>
        <s v="菠菜(半)"/>
        <s v="蔬菜拼盘"/>
        <s v="虾丸"/>
        <s v="蛋炒饭"/>
        <s v="蜜桃汁"/>
        <s v="蟹味棒"/>
        <s v="血旺"/>
        <s v="豆皮"/>
        <s v="酒酿圆子（冰镇）"/>
        <s v="酸菜鲜锅"/>
        <s v="金针菇"/>
        <s v="金馒头"/>
        <s v="雪碧"/>
        <s v="雪花和牛"/>
        <s v="青岛啤酒330ml"/>
        <s v="韭菜水饺（生）"/>
        <s v="香菇猪肉丸"/>
        <s v="鱼籽福袋"/>
        <s v="鱼豆腐"/>
        <s v="鱿鱼卷(花)"/>
        <s v="鲜腐竹"/>
        <s v="鲜豆腐"/>
        <s v="鹌鹑蛋"/>
        <s v="麻辣火锅（无渣）"/>
        <s v="麻辣火锅（有渣）"/>
        <s v="优酸乳烧酒"/>
        <s v="儿童套餐"/>
        <s v="元气森林"/>
        <s v="冰鲜青口贝"/>
        <s v="小茗同学"/>
        <s v="海参"/>
        <s v="爆浆榴莲球"/>
        <s v="獭祭"/>
        <s v="生鸡蛋"/>
        <s v="笋尖"/>
        <s v="脆皖鱼"/>
        <s v="象拔蚌(时价)"/>
        <s v="German Pilsner 啤酒"/>
        <s v="冰鲜生蚝"/>
        <s v="姜汁汽水（355ml）"/>
        <s v="长寿面"/>
        <s v="二人畅享套餐"/>
        <s v="唐生菜"/>
        <s v="白鹤小百合清酒"/>
        <s v="白鹤纯米吟酿"/>
        <s v="加拿大人啤酒 341ml"/>
        <s v="Peller family 红酒"/>
        <s v="Punch Bowl IPA  啤酒  (2L)"/>
        <s v="FLP Cabernet Sauvignon"/>
        <s v="斑点虾"/>
        <s v="Chum Churum 原味烧酒 360mL"/>
        <s v="江小白40%vol/1.6盎司"/>
        <s v="竹笙"/>
        <s v="月桂冠"/>
        <s v="牛栏山二锅头56%vol/3盎司"/>
        <s v="蒸蛋"/>
        <s v="西瓜汁1L"/>
        <s v="仙草冻奶茶"/>
        <s v="燕麦青椒干拌饭"/>
        <s v="黑猪肉"/>
        <s v="52度国窖1573中国品味(3盎司)"/>
        <m/>
      </sharedItems>
    </cacheField>
    <cacheField name="规格" numFmtId="0"/>
    <cacheField name="菜品单价" numFmtId="0"/>
    <cacheField name="菜品单位" numFmtId="0"/>
    <cacheField name="出品数量" numFmtId="0"/>
    <cacheField name="出品金额" numFmtId="0"/>
    <cacheField name="退菜数量" numFmtId="0"/>
    <cacheField name="退菜金额" numFmtId="0"/>
    <cacheField name="免单数量" numFmtId="0"/>
    <cacheField name="免单金额" numFmtId="0"/>
    <cacheField name="赠菜数量" numFmtId="0"/>
    <cacheField name="赠菜金额" numFmtId="0"/>
    <cacheField name="赠卡金额" numFmtId="0"/>
    <cacheField name="系统抹零" numFmtId="0"/>
    <cacheField name="折扣金额" numFmtId="0"/>
    <cacheField name="积分抵现&amp;现金红包" numFmtId="0"/>
    <cacheField name="实收数量" numFmtId="0"/>
    <cacheField name="销售产品净收入" numFmtId="0"/>
    <cacheField name="税额" numFmtId="0"/>
    <cacheField name="净额" numFmtId="0"/>
    <cacheField name="折算数量" numFmtId="0"/>
    <cacheField name="折算数量计算" numFmtId="0" formula="出品数量*折算数量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4" refreshedVersion="8" minRefreshableVersion="3" refreshedDate="45809.001424537" refreshedBy="慕 禹" recordCount="615">
  <cacheSource type="worksheet">
    <worksheetSource ref="A1:N65536" sheet="上月数量zfi0156"/>
  </cacheSource>
  <cacheFields count="16">
    <cacheField name="开始日期" numFmtId="0"/>
    <cacheField name="结束日期" numFmtId="0"/>
    <cacheField name="工厂" numFmtId="0"/>
    <cacheField name="工厂描述" numFmtId="0"/>
    <cacheField name="物料" numFmtId="0">
      <sharedItems containsString="0" containsBlank="1" containsNumber="1" containsInteger="1" minValue="1000049" maxValue="8704109" count="2079">
        <n v="1000049"/>
        <n v="1000096"/>
        <n v="1000103"/>
        <n v="1000132"/>
        <n v="1001413"/>
        <n v="1003028"/>
        <n v="1004576"/>
        <n v="1500009"/>
        <n v="1500059"/>
        <n v="1500529"/>
        <n v="1500612"/>
        <n v="1500677"/>
        <n v="1500678"/>
        <n v="1500679"/>
        <n v="1500680"/>
        <n v="1500681"/>
        <n v="1500682"/>
        <n v="1500684"/>
        <n v="1500685"/>
        <n v="1500686"/>
        <n v="1500687"/>
        <n v="1500688"/>
        <n v="1500694"/>
        <n v="1500695"/>
        <n v="1500700"/>
        <n v="1500703"/>
        <n v="1500704"/>
        <n v="1500710"/>
        <n v="1500713"/>
        <n v="1500721"/>
        <n v="1500725"/>
        <n v="1500728"/>
        <n v="1500730"/>
        <n v="1500732"/>
        <n v="1500734"/>
        <n v="1500736"/>
        <n v="1500737"/>
        <n v="1500738"/>
        <n v="1500740"/>
        <n v="1500741"/>
        <n v="1500743"/>
        <n v="1500745"/>
        <n v="1500749"/>
        <n v="1500750"/>
        <n v="1500752"/>
        <n v="1500754"/>
        <n v="1500755"/>
        <n v="1500758"/>
        <n v="1500764"/>
        <n v="1500765"/>
        <n v="1500766"/>
        <n v="1500768"/>
        <n v="1500769"/>
        <n v="1500770"/>
        <n v="1500771"/>
        <n v="1500772"/>
        <n v="1500774"/>
        <n v="1500775"/>
        <n v="1500776"/>
        <n v="1500778"/>
        <n v="1500780"/>
        <n v="1500781"/>
        <n v="1500783"/>
        <n v="1500784"/>
        <n v="1500785"/>
        <n v="1500788"/>
        <n v="1500795"/>
        <n v="1500797"/>
        <n v="1500802"/>
        <n v="1500810"/>
        <n v="1500811"/>
        <n v="1500812"/>
        <n v="1500815"/>
        <n v="1500816"/>
        <n v="1500817"/>
        <n v="1500818"/>
        <n v="1500820"/>
        <n v="1500821"/>
        <n v="1500822"/>
        <n v="1500825"/>
        <n v="1500826"/>
        <n v="1500827"/>
        <n v="1500828"/>
        <n v="1500829"/>
        <n v="1500831"/>
        <n v="1500834"/>
        <n v="1500835"/>
        <n v="1500837"/>
        <n v="1500838"/>
        <n v="1500840"/>
        <n v="1500841"/>
        <n v="1500842"/>
        <n v="1500843"/>
        <n v="1500844"/>
        <n v="1500845"/>
        <n v="1500846"/>
        <n v="1500847"/>
        <n v="1500849"/>
        <n v="1500856"/>
        <n v="1500860"/>
        <n v="1500861"/>
        <n v="1500862"/>
        <n v="1500865"/>
        <n v="1500867"/>
        <n v="1500868"/>
        <n v="1500872"/>
        <n v="1500873"/>
        <n v="1500877"/>
        <n v="1500878"/>
        <n v="1500879"/>
        <n v="1500880"/>
        <n v="1500881"/>
        <n v="1500882"/>
        <n v="1500883"/>
        <n v="1500884"/>
        <n v="1500889"/>
        <n v="1500891"/>
        <n v="1500896"/>
        <n v="1500897"/>
        <n v="1500902"/>
        <n v="1500903"/>
        <n v="1500904"/>
        <n v="1500911"/>
        <n v="1500918"/>
        <n v="1500919"/>
        <n v="1500920"/>
        <n v="1500923"/>
        <n v="1500924"/>
        <n v="1500925"/>
        <n v="1500938"/>
        <n v="1500944"/>
        <n v="1500957"/>
        <n v="1500960"/>
        <n v="1500961"/>
        <n v="1500963"/>
        <n v="1500979"/>
        <n v="1500980"/>
        <n v="1500982"/>
        <n v="1500983"/>
        <n v="1500984"/>
        <n v="1500987"/>
        <n v="1500996"/>
        <n v="1500998"/>
        <n v="1501000"/>
        <n v="1501001"/>
        <n v="1501008"/>
        <n v="1501009"/>
        <n v="1501010"/>
        <n v="1501013"/>
        <n v="1501029"/>
        <n v="1501032"/>
        <n v="1501034"/>
        <n v="1501045"/>
        <n v="1501055"/>
        <n v="1501154"/>
        <n v="1501159"/>
        <n v="1501160"/>
        <n v="1501165"/>
        <n v="1501178"/>
        <n v="1501190"/>
        <n v="1501192"/>
        <n v="1501193"/>
        <n v="1501253"/>
        <n v="1501275"/>
        <n v="1501279"/>
        <n v="1501282"/>
        <n v="1501285"/>
        <n v="1501288"/>
        <n v="1501411"/>
        <n v="1501589"/>
        <n v="1501594"/>
        <n v="1501608"/>
        <n v="1501610"/>
        <n v="1501617"/>
        <n v="1501618"/>
        <n v="1501626"/>
        <n v="1501628"/>
        <n v="1501633"/>
        <n v="1501634"/>
        <n v="1501635"/>
        <n v="1501640"/>
        <n v="1501646"/>
        <n v="1501651"/>
        <n v="1501652"/>
        <n v="1501696"/>
        <n v="1501702"/>
        <n v="1501710"/>
        <n v="3000759"/>
        <n v="3002745"/>
        <n v="3002747"/>
        <n v="3003393"/>
        <n v="3007923"/>
        <n v="3010356"/>
        <n v="3010923"/>
        <n v="4000465"/>
        <n v="4000635"/>
        <n v="4000642"/>
        <n v="4001742"/>
        <n v="4001969"/>
        <n v="4003066"/>
        <n v="4003246"/>
        <n v="4004440"/>
        <n v="4005465"/>
        <n v="4006187"/>
        <n v="4006188"/>
        <n v="4006189"/>
        <n v="4017075"/>
        <n v="4017892"/>
        <n v="4018767"/>
        <n v="4018965"/>
        <n v="4019089"/>
        <n v="4019343"/>
        <n v="4020091"/>
        <n v="4020719"/>
        <n v="4021486"/>
        <n v="4021537"/>
        <n v="4023572"/>
        <n v="4024119"/>
        <n v="4024474"/>
        <n v="4026797"/>
        <n v="4028096"/>
        <n v="4028302"/>
        <n v="4028719"/>
        <n v="4034397"/>
        <n v="4039739"/>
        <n v="4043713"/>
        <n v="4048872"/>
        <n v="4205721"/>
        <n v="4209333"/>
        <n v="4500067"/>
        <n v="4501135"/>
        <n v="4501947"/>
        <n v="4501959"/>
        <n v="4501960"/>
        <n v="4501989"/>
        <n v="4502048"/>
        <n v="4502101"/>
        <n v="4502140"/>
        <n v="4502187"/>
        <n v="4502226"/>
        <n v="4502234"/>
        <n v="4502257"/>
        <n v="4502287"/>
        <n v="4502382"/>
        <n v="4502395"/>
        <n v="4502465"/>
        <n v="4502622"/>
        <n v="4502863"/>
        <n v="4503433"/>
        <n v="4503474"/>
        <n v="4503486"/>
        <n v="4503595"/>
        <n v="4503604"/>
        <n v="4503951"/>
        <n v="4504167"/>
        <n v="4504673"/>
        <n v="4504794"/>
        <n v="4504796"/>
        <n v="4504845"/>
        <n v="4504846"/>
        <n v="4504874"/>
        <n v="4505163"/>
        <n v="4505397"/>
        <n v="4505398"/>
        <n v="4505756"/>
        <n v="4505864"/>
        <n v="4505865"/>
        <n v="4505920"/>
        <n v="4505985"/>
        <n v="4505992"/>
        <n v="4506555"/>
        <n v="4506632"/>
        <n v="4507216"/>
        <n v="4508256"/>
        <n v="4509073"/>
        <n v="4509249"/>
        <n v="4510251"/>
        <n v="4510491"/>
        <n v="4510656"/>
        <n v="4510760"/>
        <n v="4512205"/>
        <n v="4512264"/>
        <n v="4512428"/>
        <n v="4512509"/>
        <n v="4512680"/>
        <n v="4512683"/>
        <n v="4512865"/>
        <n v="4512888"/>
        <n v="4513019"/>
        <n v="4513296"/>
        <n v="4513501"/>
        <n v="4513503"/>
        <n v="4513626"/>
        <n v="4513639"/>
        <n v="4514284"/>
        <n v="4514410"/>
        <n v="4514538"/>
        <n v="4514602"/>
        <n v="4514744"/>
        <n v="4514924"/>
        <n v="4515419"/>
        <n v="4515458"/>
        <n v="4515468"/>
        <n v="4515861"/>
        <n v="4515862"/>
        <n v="4515863"/>
        <n v="4515975"/>
        <n v="4516088"/>
        <n v="4516090"/>
        <n v="4516299"/>
        <n v="4516301"/>
        <n v="4516321"/>
        <n v="4516322"/>
        <n v="4516408"/>
        <n v="4516410"/>
        <n v="4516631"/>
        <n v="4516762"/>
        <n v="4516830"/>
        <n v="4516992"/>
        <n v="4516994"/>
        <n v="4517055"/>
        <n v="4517273"/>
        <n v="4517520"/>
        <n v="4517715"/>
        <n v="4517800"/>
        <n v="4518106"/>
        <n v="4518131"/>
        <n v="4518288"/>
        <n v="4518307"/>
        <n v="4518372"/>
        <n v="4518488"/>
        <n v="4518668"/>
        <n v="4518902"/>
        <n v="4518904"/>
        <n v="4519183"/>
        <n v="4519224"/>
        <n v="4519341"/>
        <n v="4520222"/>
        <n v="4520457"/>
        <n v="4520458"/>
        <n v="4520558"/>
        <n v="4520559"/>
        <n v="4520893"/>
        <n v="4520920"/>
        <n v="4520928"/>
        <n v="4521246"/>
        <n v="4521260"/>
        <n v="4522226"/>
        <n v="4522277"/>
        <n v="4522444"/>
        <n v="4522445"/>
        <n v="4522462"/>
        <n v="4522604"/>
        <n v="4522606"/>
        <n v="4522916"/>
        <n v="4522918"/>
        <n v="4523357"/>
        <n v="4523572"/>
        <n v="4523800"/>
        <n v="4523956"/>
        <n v="4524484"/>
        <n v="4524613"/>
        <n v="4524933"/>
        <n v="4525187"/>
        <n v="4525250"/>
        <n v="4525313"/>
        <n v="4525314"/>
        <n v="4525419"/>
        <n v="4526242"/>
        <n v="4526243"/>
        <n v="4526244"/>
        <n v="4526258"/>
        <n v="4526259"/>
        <n v="4526260"/>
        <n v="4526284"/>
        <n v="4526332"/>
        <n v="4526367"/>
        <n v="4526639"/>
        <n v="4526643"/>
        <n v="4526644"/>
        <n v="4526646"/>
        <n v="4526647"/>
        <n v="4526757"/>
        <n v="4526759"/>
        <n v="4527138"/>
        <n v="4527761"/>
        <n v="4527764"/>
        <n v="4527884"/>
        <n v="4528086"/>
        <n v="4528554"/>
        <n v="4528801"/>
        <n v="4529103"/>
        <n v="4529104"/>
        <n v="4529331"/>
        <n v="4529642"/>
        <n v="4529643"/>
        <n v="4529698"/>
        <n v="4529794"/>
        <n v="4529863"/>
        <n v="4529926"/>
        <n v="4530016"/>
        <n v="4530197"/>
        <n v="4530204"/>
        <n v="4530205"/>
        <n v="4530206"/>
        <n v="4530323"/>
        <n v="4530324"/>
        <n v="4600064"/>
        <n v="4600065"/>
        <n v="4701288"/>
        <n v="4702451"/>
        <n v="4702611"/>
        <n v="4702771"/>
        <n v="4712118"/>
        <n v="4712140"/>
        <n v="4716131"/>
        <n v="4717533"/>
        <n v="4722288"/>
        <n v="4723811"/>
        <n v="4726198"/>
        <n v="4727592"/>
        <n v="4733325"/>
        <n v="4734146"/>
        <n v="4735139"/>
        <n v="4735156"/>
        <n v="4740140"/>
        <n v="4751479"/>
        <n v="4765891"/>
        <n v="8005467"/>
        <n v="8005468"/>
        <n v="8005469"/>
        <n v="8005470"/>
        <n v="8005471"/>
        <n v="8005472"/>
        <n v="8005473"/>
        <n v="8005474"/>
        <n v="8008962"/>
        <n v="8008963"/>
        <n v="8008965"/>
        <n v="8008966"/>
        <n v="8008967"/>
        <n v="8008968"/>
        <n v="8009667"/>
        <n v="8009668"/>
        <n v="8009754"/>
        <n v="8010883"/>
        <n v="8011001"/>
        <n v="8011286"/>
        <n v="8011398"/>
        <n v="8011401"/>
        <n v="8011411"/>
        <n v="8011414"/>
        <n v="8011445"/>
        <n v="8011495"/>
        <n v="8011496"/>
        <n v="8011728"/>
        <n v="8012346"/>
        <n v="8012354"/>
        <n v="8012400"/>
        <n v="8012401"/>
        <n v="8012404"/>
        <n v="8012405"/>
        <n v="8013731"/>
        <n v="8013732"/>
        <n v="8014497"/>
        <n v="8014499"/>
        <n v="8014500"/>
        <n v="8014686"/>
        <n v="8014688"/>
        <n v="8014689"/>
        <n v="8014690"/>
        <n v="8014691"/>
        <n v="8703791"/>
        <n v="8704092"/>
        <n v="8704093"/>
        <n v="8704095"/>
        <n v="8704096"/>
        <m/>
        <n v="8011007" u="1"/>
        <n v="4005962" u="1"/>
        <n v="4005964" u="1"/>
        <n v="4005966" u="1"/>
        <n v="4027972" u="1"/>
        <n v="4521820" u="1"/>
        <n v="8011035" u="1"/>
        <n v="4005968" u="1"/>
        <n v="8011039" u="1"/>
        <n v="4005970" u="1"/>
        <n v="8011043" u="1"/>
        <n v="4005972" u="1"/>
        <n v="8011047" u="1"/>
        <n v="4005974" u="1"/>
        <n v="4005996" u="1"/>
        <n v="4006002" u="1"/>
        <n v="4521900" u="1"/>
        <n v="4006010" u="1"/>
        <n v="4028022" u="1"/>
        <n v="4509685" u="1"/>
        <n v="4509689" u="1"/>
        <n v="8011271" u="1"/>
        <n v="8011335" u="1"/>
        <n v="4509889" u="1"/>
        <n v="3003607" u="1"/>
        <n v="8011403" u="1"/>
        <n v="8011407" u="1"/>
        <n v="4522236" u="1"/>
        <n v="4522240" u="1"/>
        <n v="4510005" u="1"/>
        <n v="4006194" u="1"/>
        <n v="4522276" u="1"/>
        <n v="4006196" u="1"/>
        <n v="4522280" u="1"/>
        <n v="4006198" u="1"/>
        <n v="1500253" u="1"/>
        <n v="8011511" u="1"/>
        <n v="4510049" u="1"/>
        <n v="3003683" u="1"/>
        <n v="8011583" u="1"/>
        <n v="4028266" u="1"/>
        <n v="4028268" u="1"/>
        <n v="8011627" u="1"/>
        <n v="8011631" u="1"/>
        <n v="3500132" u="1"/>
        <n v="4028284" u="1"/>
        <n v="4510249" u="1"/>
        <n v="8011731" u="1"/>
        <n v="8011735" u="1"/>
        <n v="8011743" u="1"/>
        <n v="4006326" u="1"/>
        <n v="8011803" u="1"/>
        <n v="8011807" u="1"/>
        <n v="8011811" u="1"/>
        <n v="1500352" u="1"/>
        <n v="4762230" u="1"/>
        <n v="4522688" u="1"/>
        <n v="4006406" u="1"/>
        <n v="8011991" u="1"/>
        <n v="1500381" u="1"/>
        <n v="1500387" u="1"/>
        <n v="4522852" u="1"/>
        <n v="4510657" u="1"/>
        <n v="4730717" u="1"/>
        <n v="4234358" u="1"/>
        <n v="8012183" u="1"/>
        <n v="8012191" u="1"/>
        <n v="4523036" u="1"/>
        <n v="4006600" u="1"/>
        <n v="4718666" u="1"/>
        <n v="8012399" u="1"/>
        <n v="8012403" u="1"/>
        <n v="8012407" u="1"/>
        <n v="8000152" u="1"/>
        <n v="4510961" u="1"/>
        <n v="4038573" u="1"/>
        <n v="4743716" u="1"/>
        <n v="4028940" u="1"/>
        <n v="1500648" u="1"/>
        <n v="4511629" u="1"/>
        <n v="8013119" u="1"/>
        <n v="1500674" u="1"/>
        <n v="1500675" u="1"/>
        <n v="1500676" u="1"/>
        <n v="1500689" u="1"/>
        <n v="1500690" u="1"/>
        <n v="1500692" u="1"/>
        <n v="1500693" u="1"/>
        <n v="1500697" u="1"/>
        <n v="1500698" u="1"/>
        <n v="1500699" u="1"/>
        <n v="1500701" u="1"/>
        <n v="1500705" u="1"/>
        <n v="1500706" u="1"/>
        <n v="1500707" u="1"/>
        <n v="1500708" u="1"/>
        <n v="1500709" u="1"/>
        <n v="1500711" u="1"/>
        <n v="1500712" u="1"/>
        <n v="1500714" u="1"/>
        <n v="1500715" u="1"/>
        <n v="1500716" u="1"/>
        <n v="1500718" u="1"/>
        <n v="1500719" u="1"/>
        <n v="1500720" u="1"/>
        <n v="1500722" u="1"/>
        <n v="1500723" u="1"/>
        <n v="1500724" u="1"/>
        <n v="1500726" u="1"/>
        <n v="1500727" u="1"/>
        <n v="1500729" u="1"/>
        <n v="8013407" u="1"/>
        <n v="1500731" u="1"/>
        <n v="1500733" u="1"/>
        <n v="8013435" u="1"/>
        <n v="1500739" u="1"/>
        <n v="4524232" u="1"/>
        <n v="4511985" u="1"/>
        <n v="1500744" u="1"/>
        <n v="4511989" u="1"/>
        <n v="1500746" u="1"/>
        <n v="1500747" u="1"/>
        <n v="1500748" u="1"/>
        <n v="1500751" u="1"/>
        <n v="1500753" u="1"/>
        <n v="8013503" u="1"/>
        <n v="1500756" u="1"/>
        <n v="1500757" u="1"/>
        <n v="1500759" u="1"/>
        <n v="1500760" u="1"/>
        <n v="4016957" u="1"/>
        <n v="1500761" u="1"/>
        <n v="1500762" u="1"/>
        <n v="1500763" u="1"/>
        <n v="4016963" u="1"/>
        <n v="4016965" u="1"/>
        <n v="4512073" u="1"/>
        <n v="1500767" u="1"/>
        <n v="1500773" u="1"/>
        <n v="1500777" u="1"/>
        <n v="1500779" u="1"/>
        <n v="1500782" u="1"/>
        <n v="1500787" u="1"/>
        <n v="1500793" u="1"/>
        <n v="1500794" u="1"/>
        <n v="1500796" u="1"/>
        <n v="1500798" u="1"/>
        <n v="1500800" u="1"/>
        <n v="1500801" u="1"/>
        <n v="1500803" u="1"/>
        <n v="1500804" u="1"/>
        <n v="1500806" u="1"/>
        <n v="1500809" u="1"/>
        <n v="4512261" u="1"/>
        <n v="1500813" u="1"/>
        <n v="4512265" u="1"/>
        <n v="1500814" u="1"/>
        <n v="1500819" u="1"/>
        <n v="8013767" u="1"/>
        <n v="8013771" u="1"/>
        <n v="8013779" u="1"/>
        <n v="1500823" u="1"/>
        <n v="8013783" u="1"/>
        <n v="1500830" u="1"/>
        <n v="1500832" u="1"/>
        <n v="1500833" u="1"/>
        <n v="1500836" u="1"/>
        <n v="1500839" u="1"/>
        <n v="4524660" u="1"/>
        <n v="1500848" u="1"/>
        <n v="1500850" u="1"/>
        <n v="1500851" u="1"/>
        <n v="1500853" u="1"/>
        <n v="1500854" u="1"/>
        <n v="4512429" u="1"/>
        <n v="1500855" u="1"/>
        <n v="4512433" u="1"/>
        <n v="1500857" u="1"/>
        <n v="4512441" u="1"/>
        <n v="1500859" u="1"/>
        <n v="1500863" u="1"/>
        <n v="1500864" u="1"/>
        <n v="1500866" u="1"/>
        <n v="4007426" u="1"/>
        <n v="1500869" u="1"/>
        <n v="1500870" u="1"/>
        <n v="1500871" u="1"/>
        <n v="1500874" u="1"/>
        <n v="1500875" u="1"/>
        <n v="1500876" u="1"/>
        <n v="1500885" u="1"/>
        <n v="1500886" u="1"/>
        <n v="1500887" u="1"/>
        <n v="1500888" u="1"/>
        <n v="1500890" u="1"/>
        <n v="1500892" u="1"/>
        <n v="1500895" u="1"/>
        <n v="4700912" u="1"/>
        <n v="1500898" u="1"/>
        <n v="1500899" u="1"/>
        <n v="1500900" u="1"/>
        <n v="1500905" u="1"/>
        <n v="1500906" u="1"/>
        <n v="1500907" u="1"/>
        <n v="1500908" u="1"/>
        <n v="1500909" u="1"/>
        <n v="1500910" u="1"/>
        <n v="4732717" u="1"/>
        <n v="1500913" u="1"/>
        <n v="1500915" u="1"/>
        <n v="1500916" u="1"/>
        <n v="4512677" u="1"/>
        <n v="4512681" u="1"/>
        <n v="4512685" u="1"/>
        <n v="1500927" u="1"/>
        <n v="1500928" u="1"/>
        <n v="4512733" u="1"/>
        <n v="1500931" u="1"/>
        <n v="1500932" u="1"/>
        <n v="1500937" u="1"/>
        <n v="1500939" u="1"/>
        <n v="1500940" u="1"/>
        <n v="1500941" u="1"/>
        <n v="1500943" u="1"/>
        <n v="1500945" u="1"/>
        <n v="4525060" u="1"/>
        <n v="1500948" u="1"/>
        <n v="1500949" u="1"/>
        <n v="1500950" u="1"/>
        <n v="8014291" u="1"/>
        <n v="1500951" u="1"/>
        <n v="1500953" u="1"/>
        <n v="1500954" u="1"/>
        <n v="8014307" u="1"/>
        <n v="1500955" u="1"/>
        <n v="1500956" u="1"/>
        <n v="1500958" u="1"/>
        <n v="8014323" u="1"/>
        <n v="1500959" u="1"/>
        <n v="1500962" u="1"/>
        <n v="1500964" u="1"/>
        <n v="1500965" u="1"/>
        <n v="1500969" u="1"/>
        <n v="1500970" u="1"/>
        <n v="1500972" u="1"/>
        <n v="4029644" u="1"/>
        <n v="1500974" u="1"/>
        <n v="1500975" u="1"/>
        <n v="1500977" u="1"/>
        <n v="8014399" u="1"/>
        <n v="4525188" u="1"/>
        <n v="8014403" u="1"/>
        <n v="8014407" u="1"/>
        <n v="1500981" u="1"/>
        <n v="1500986" u="1"/>
        <n v="1500988" u="1"/>
        <n v="1500989" u="1"/>
        <n v="4733029" u="1"/>
        <n v="1500990" u="1"/>
        <n v="8014459" u="1"/>
        <n v="8014467" u="1"/>
        <n v="1500995" u="1"/>
        <n v="1501003" u="1"/>
        <n v="1501007" u="1"/>
        <n v="4733101" u="1"/>
        <n v="1501011" u="1"/>
        <n v="1501012" u="1"/>
        <n v="4017463" u="1"/>
        <n v="1501014" u="1"/>
        <n v="1501015" u="1"/>
        <n v="1501016" u="1"/>
        <n v="1501017" u="1"/>
        <n v="1501021" u="1"/>
        <n v="1501023" u="1"/>
        <n v="1501024" u="1"/>
        <n v="1501025" u="1"/>
        <n v="1501026" u="1"/>
        <n v="8014595" u="1"/>
        <n v="1501027" u="1"/>
        <n v="1501030" u="1"/>
        <n v="1501031" u="1"/>
        <n v="8014623" u="1"/>
        <n v="8014631" u="1"/>
        <n v="8014635" u="1"/>
        <n v="1501037" u="1"/>
        <n v="1501038" u="1"/>
        <n v="1501039" u="1"/>
        <n v="1501040" u="1"/>
        <n v="1501041" u="1"/>
        <n v="1501043" u="1"/>
        <n v="1501044" u="1"/>
        <n v="1501047" u="1"/>
        <n v="1501049" u="1"/>
        <n v="8014687" u="1"/>
        <n v="1501050" u="1"/>
        <n v="8014695" u="1"/>
        <n v="1501052" u="1"/>
        <n v="4500958" u="1"/>
        <n v="1501053" u="1"/>
        <n v="1501056" u="1"/>
        <n v="1501058" u="1"/>
        <n v="1501059" u="1"/>
        <n v="1501060" u="1"/>
        <n v="1501064" u="1"/>
        <n v="1501065" u="1"/>
        <n v="4525536" u="1"/>
        <n v="1501066" u="1"/>
        <n v="1501067" u="1"/>
        <n v="1501068" u="1"/>
        <n v="1501069" u="1"/>
        <n v="1501070" u="1"/>
        <n v="4513389" u="1"/>
        <n v="4017685" u="1"/>
        <n v="4017687" u="1"/>
        <n v="4017689" u="1"/>
        <n v="4017699" u="1"/>
        <n v="4017701" u="1"/>
        <n v="4017703" u="1"/>
        <n v="4017705" u="1"/>
        <n v="4017707" u="1"/>
        <n v="4017709" u="1"/>
        <n v="4017711" u="1"/>
        <n v="4525836" u="1"/>
        <n v="4721390" u="1"/>
        <n v="4017737" u="1"/>
        <n v="1501151" u="1"/>
        <n v="4525880" u="1"/>
        <n v="4513625" u="1"/>
        <n v="1501155" u="1"/>
        <n v="1501158" u="1"/>
        <n v="1501161" u="1"/>
        <n v="1501166" u="1"/>
        <n v="1501167" u="1"/>
        <n v="1501168" u="1"/>
        <n v="1501169" u="1"/>
        <n v="1501170" u="1"/>
        <n v="1501171" u="1"/>
        <n v="1501172" u="1"/>
        <n v="1501174" u="1"/>
        <n v="1501175" u="1"/>
        <n v="1501179" u="1"/>
        <n v="1501181" u="1"/>
        <n v="4526020" u="1"/>
        <n v="1501191" u="1"/>
        <n v="1501194" u="1"/>
        <n v="1501195" u="1"/>
        <n v="1501196" u="1"/>
        <n v="1501197" u="1"/>
        <n v="1501198" u="1"/>
        <n v="1501199" u="1"/>
        <n v="1501200" u="1"/>
        <n v="1501201" u="1"/>
        <n v="1501202" u="1"/>
        <n v="1501203" u="1"/>
        <n v="1501204" u="1"/>
        <n v="1501205" u="1"/>
        <n v="1501206" u="1"/>
        <n v="1501207" u="1"/>
        <n v="1501208" u="1"/>
        <n v="1501209" u="1"/>
        <n v="1501210" u="1"/>
        <n v="1501211" u="1"/>
        <n v="1501212" u="1"/>
        <n v="1501213" u="1"/>
        <n v="1501214" u="1"/>
        <n v="1501215" u="1"/>
        <n v="1501216" u="1"/>
        <n v="1501217" u="1"/>
        <n v="1501218" u="1"/>
        <n v="1501219" u="1"/>
        <n v="1501220" u="1"/>
        <n v="1501221" u="1"/>
        <n v="1501222" u="1"/>
        <n v="4039887" u="1"/>
        <n v="1501223" u="1"/>
        <n v="1501224" u="1"/>
        <n v="1501225" u="1"/>
        <n v="1501226" u="1"/>
        <n v="1501227" u="1"/>
        <n v="1501229" u="1"/>
        <n v="1501230" u="1"/>
        <n v="1501231" u="1"/>
        <n v="1501232" u="1"/>
        <n v="4714519" u="1"/>
        <n v="1501233" u="1"/>
        <n v="1501234" u="1"/>
        <n v="1501235" u="1"/>
        <n v="1501236" u="1"/>
        <n v="1501237" u="1"/>
        <n v="1501238" u="1"/>
        <n v="1501240" u="1"/>
        <n v="4714551" u="1"/>
        <n v="1501241" u="1"/>
        <n v="1501242" u="1"/>
        <n v="1501243" u="1"/>
        <n v="1501244" u="1"/>
        <n v="1501245" u="1"/>
        <n v="1501246" u="1"/>
        <n v="4513997" u="1"/>
        <n v="1501247" u="1"/>
        <n v="4514001" u="1"/>
        <n v="1501248" u="1"/>
        <n v="1501250" u="1"/>
        <n v="1501251" u="1"/>
        <n v="1501252" u="1"/>
        <n v="4017941" u="1"/>
        <n v="1501254" u="1"/>
        <n v="1501255" u="1"/>
        <n v="1501258" u="1"/>
        <n v="1501259" u="1"/>
        <n v="1501260" u="1"/>
        <n v="1501262" u="1"/>
        <n v="1501263" u="1"/>
        <n v="1501264" u="1"/>
        <n v="1501265" u="1"/>
        <n v="1501266" u="1"/>
        <n v="1501269" u="1"/>
        <n v="1501270" u="1"/>
        <n v="1501271" u="1"/>
        <n v="1501273" u="1"/>
        <n v="1501276" u="1"/>
        <n v="1501277" u="1"/>
        <n v="1501280" u="1"/>
        <n v="1501281" u="1"/>
        <n v="1501283" u="1"/>
        <n v="1501284" u="1"/>
        <n v="1501286" u="1"/>
        <n v="1501287" u="1"/>
        <n v="1501289" u="1"/>
        <n v="4514209" u="1"/>
        <n v="4501962" u="1"/>
        <n v="4526500" u="1"/>
        <n v="4018053" u="1"/>
        <n v="4018055" u="1"/>
        <n v="4502082" u="1"/>
        <n v="4502142" u="1"/>
        <n v="4514409" u="1"/>
        <n v="4502166" u="1"/>
        <n v="4502198" u="1"/>
        <n v="4502210" u="1"/>
        <n v="4514537" u="1"/>
        <n v="4514541" u="1"/>
        <n v="4702852" u="1"/>
        <n v="4702884" u="1"/>
        <n v="1501409" u="1"/>
        <n v="1501410" u="1"/>
        <n v="1501412" u="1"/>
        <n v="4514785" u="1"/>
        <n v="4703100" u="1"/>
        <n v="4018353" u="1"/>
        <n v="8702589" u="1"/>
        <n v="1501477" u="1"/>
        <n v="8702661" u="1"/>
        <n v="8702837" u="1"/>
        <n v="4515073" u="1"/>
        <n v="1501542" u="1"/>
        <n v="4515229" u="1"/>
        <n v="4527520" u="1"/>
        <n v="4018587" u="1"/>
        <n v="1501586" u="1"/>
        <n v="1501587" u="1"/>
        <n v="1501588" u="1"/>
        <n v="1501590" u="1"/>
        <n v="8703589" u="1"/>
        <n v="4527696" u="1"/>
        <n v="8703677" u="1"/>
        <n v="1501607" u="1"/>
        <n v="1501609" u="1"/>
        <n v="1501611" u="1"/>
        <n v="4515457" u="1"/>
        <n v="1501612" u="1"/>
        <n v="1501613" u="1"/>
        <n v="4030926" u="1"/>
        <n v="1501614" u="1"/>
        <n v="4515469" u="1"/>
        <n v="1501619" u="1"/>
        <n v="1501620" u="1"/>
        <n v="4527760" u="1"/>
        <n v="1501623" u="1"/>
        <n v="1501627" u="1"/>
        <n v="1501629" u="1"/>
        <n v="1501630" u="1"/>
        <n v="1501631" u="1"/>
        <n v="1501632" u="1"/>
        <n v="1501636" u="1"/>
        <n v="1501637" u="1"/>
        <n v="1501641" u="1"/>
        <n v="1501647" u="1"/>
        <n v="8704021" u="1"/>
        <n v="1501654" u="1"/>
        <n v="1501655" u="1"/>
        <n v="1501657" u="1"/>
        <n v="8704109" u="1"/>
        <n v="1501665" u="1"/>
        <n v="1501666" u="1"/>
        <n v="1501667" u="1"/>
        <n v="1501668" u="1"/>
        <n v="1501669" u="1"/>
        <n v="4503426" u="1"/>
        <n v="1501670" u="1"/>
        <n v="1501671" u="1"/>
        <n v="1501672" u="1"/>
        <n v="4527976" u="1"/>
        <n v="1000052" u="1"/>
        <n v="4503466" u="1"/>
        <n v="1501682" u="1"/>
        <n v="1501683" u="1"/>
        <n v="1501684" u="1"/>
        <n v="1501685" u="1"/>
        <n v="4018807" u="1"/>
        <n v="1501686" u="1"/>
        <n v="1501688" u="1"/>
        <n v="4040829" u="1"/>
        <n v="1501695" u="1"/>
        <n v="1501697" u="1"/>
        <n v="1501698" u="1"/>
        <n v="1000063" u="1"/>
        <n v="1501701" u="1"/>
        <n v="1501704" u="1"/>
        <n v="1501705" u="1"/>
        <n v="1501708" u="1"/>
        <n v="1501709" u="1"/>
        <n v="1501711" u="1"/>
        <n v="4018861" u="1"/>
        <n v="4515865" u="1"/>
        <n v="1501714" u="1"/>
        <n v="1501715" u="1"/>
        <n v="1501730" u="1"/>
        <n v="4736017" u="1"/>
        <n v="4736021" u="1"/>
        <n v="4736025" u="1"/>
        <n v="4528292" u="1"/>
        <n v="1501763" u="1"/>
        <n v="4516085" u="1"/>
        <n v="1501769" u="1"/>
        <n v="1000098" u="1"/>
        <n v="1000106" u="1"/>
        <n v="8703110" u="1"/>
        <n v="4704580" u="1"/>
        <n v="8005480" u="1"/>
        <n v="8703238" u="1"/>
        <n v="4504042" u="1"/>
        <n v="4516317" u="1"/>
        <n v="8703406" u="1"/>
        <n v="4516409" u="1"/>
        <n v="4504174" u="1"/>
        <n v="8703542" u="1"/>
        <n v="8703590" u="1"/>
        <n v="4041179" u="1"/>
        <n v="8703678" u="1"/>
        <n v="4717239" u="1"/>
        <n v="4516857" u="1"/>
        <n v="4516993" u="1"/>
        <n v="4517137" u="1"/>
        <n v="1000233" u="1"/>
        <n v="4504962" u="1"/>
        <n v="4517421" u="1"/>
        <n v="1000266" u="1"/>
        <n v="4019659" u="1"/>
        <n v="4019681" u="1"/>
        <n v="4517521" u="1"/>
        <n v="4505354" u="1"/>
        <n v="4517625" u="1"/>
        <n v="4517629" u="1"/>
        <n v="8006872" u="1"/>
        <n v="8006880" u="1"/>
        <n v="4517701" u="1"/>
        <n v="4505490" u="1"/>
        <n v="4517797" u="1"/>
        <n v="4517829" u="1"/>
        <n v="4518001" u="1"/>
        <n v="4518005" u="1"/>
        <n v="4019935" u="1"/>
        <n v="4518045" u="1"/>
        <n v="4518109" u="1"/>
        <n v="4518125" u="1"/>
        <n v="4505866" u="1"/>
        <n v="4518133" u="1"/>
        <n v="4518173" u="1"/>
        <n v="4505990" u="1"/>
        <n v="4518309" u="1"/>
        <n v="4518421" u="1"/>
        <n v="4518425" u="1"/>
        <n v="4020151" u="1"/>
        <n v="4020153" u="1"/>
        <n v="4032432" u="1"/>
        <n v="4726378" u="1"/>
        <n v="4506458" u="1"/>
        <n v="4506554" u="1"/>
        <n v="4506558" u="1"/>
        <n v="4506562" u="1"/>
        <n v="3008087" u="1"/>
        <n v="4726762" u="1"/>
        <n v="4519017" u="1"/>
        <n v="4519069" u="1"/>
        <n v="4506826" u="1"/>
        <n v="4519181" u="1"/>
        <n v="4506950" u="1"/>
        <n v="4506982" u="1"/>
        <n v="4519245" u="1"/>
        <n v="4507030" u="1"/>
        <n v="4042597" u="1"/>
        <n v="4519345" u="1"/>
        <n v="8008636" u="1"/>
        <n v="8008656" u="1"/>
        <n v="4519457" u="1"/>
        <n v="8008668" u="1"/>
        <n v="8008672" u="1"/>
        <n v="4519465" u="1"/>
        <n v="4507214" u="1"/>
        <n v="4500011" u="1"/>
        <n v="8008720" u="1"/>
        <n v="4519513" u="1"/>
        <n v="8008736" u="1"/>
        <n v="1000529" u="1"/>
        <n v="8008768" u="1"/>
        <n v="8008800" u="1"/>
        <n v="4020737" u="1"/>
        <n v="4500295" u="1"/>
        <n v="4519833" u="1"/>
        <n v="4500367" u="1"/>
        <n v="8009120" u="1"/>
        <n v="8009128" u="1"/>
        <n v="4211857" u="1"/>
        <n v="4500711" u="1"/>
        <n v="4507958" u="1"/>
        <n v="4236727" u="1"/>
        <n v="4508026" u="1"/>
        <n v="4508030" u="1"/>
        <n v="4520337" u="1"/>
        <n v="4508094" u="1"/>
        <n v="8009568" u="1"/>
        <n v="8009576" u="1"/>
        <n v="8009588" u="1"/>
        <n v="8009592" u="1"/>
        <n v="4501023" u="1"/>
        <n v="4508254" u="1"/>
        <n v="4520537" u="1"/>
        <n v="4501123" u="1"/>
        <n v="4520629" u="1"/>
        <n v="4021325" u="1"/>
        <n v="4721391" u="1"/>
        <n v="4520817" u="1"/>
        <n v="4508566" u="1"/>
        <n v="4508646" u="1"/>
        <n v="8010148" u="1"/>
        <n v="4021461" u="1"/>
        <n v="8010296" u="1"/>
        <n v="8010300" u="1"/>
        <n v="8700663" u="1"/>
        <n v="4021515" u="1"/>
        <n v="4021517" u="1"/>
        <n v="8010500" u="1"/>
        <n v="4509062" u="1"/>
        <n v="8010544" u="1"/>
        <n v="8010548" u="1"/>
        <n v="4509350" u="1"/>
        <n v="8010884" u="1"/>
        <n v="8011036" u="1"/>
        <n v="8011040" u="1"/>
        <n v="8011044" u="1"/>
        <n v="8011060" u="1"/>
        <n v="4722451" u="1"/>
        <n v="4509686" u="1"/>
        <n v="4509690" u="1"/>
        <n v="4509702" u="1"/>
        <n v="8702487" u="1"/>
        <n v="4021961" u="1"/>
        <n v="8702495" u="1"/>
        <n v="8011336" u="1"/>
        <n v="8011344" u="1"/>
        <n v="4509894" u="1"/>
        <n v="4509938" u="1"/>
        <n v="8011416" u="1"/>
        <n v="4522217" u="1"/>
        <n v="4522221" u="1"/>
        <n v="8702823" u="1"/>
        <n v="8702839" u="1"/>
        <n v="4522237" u="1"/>
        <n v="4522241" u="1"/>
        <n v="4502787" u="1"/>
        <n v="4510006" u="1"/>
        <n v="4522281" u="1"/>
        <n v="8011624" u="1"/>
        <n v="8011628" u="1"/>
        <n v="8011632" u="1"/>
        <n v="8703239" u="1"/>
        <n v="4522453" u="1"/>
        <n v="4000157" u="1"/>
        <n v="8011704" u="1"/>
        <n v="8011732" u="1"/>
        <n v="8011736" u="1"/>
        <n v="8703543" u="1"/>
        <n v="8011808" u="1"/>
        <n v="4022237" u="1"/>
        <n v="8703679" u="1"/>
        <n v="8011880" u="1"/>
        <n v="4000267" u="1"/>
        <n v="8011896" u="1"/>
        <n v="4000269" u="1"/>
        <n v="4522689" u="1"/>
        <n v="4000271" u="1"/>
        <n v="4000275" u="1"/>
        <n v="4000277" u="1"/>
        <n v="4000279" u="1"/>
        <n v="4000281" u="1"/>
        <n v="4000283" u="1"/>
        <n v="8703823" u="1"/>
        <n v="4000291" u="1"/>
        <n v="8012008" u="1"/>
        <n v="4000349" u="1"/>
        <n v="4000361" u="1"/>
        <n v="4000365" u="1"/>
        <n v="4522917" u="1"/>
        <n v="4510694" u="1"/>
        <n v="4000411" u="1"/>
        <n v="8012192" u="1"/>
        <n v="4503547" u="1"/>
        <n v="4000455" u="1"/>
        <n v="8012284" u="1"/>
        <n v="8000101" u="1"/>
        <n v="8012384" u="1"/>
        <n v="8012408" u="1"/>
        <n v="8012428" u="1"/>
        <n v="4022555" u="1"/>
        <n v="8012464" u="1"/>
        <n v="4503787" u="1"/>
        <n v="3704782" u="1"/>
        <n v="4000607" u="1"/>
        <n v="4000617" u="1"/>
        <n v="4022625" u="1"/>
        <n v="4511130" u="1"/>
        <n v="4000643" u="1"/>
        <n v="4000655" u="1"/>
        <n v="4022681" u="1"/>
        <n v="4000683" u="1"/>
        <n v="4000691" u="1"/>
        <n v="4034970" u="1"/>
        <n v="4000749" u="1"/>
        <n v="4000757" u="1"/>
        <n v="1001049" u="1"/>
        <n v="4000805" u="1"/>
        <n v="4511626" u="1"/>
        <n v="4511630" u="1"/>
        <n v="4035148" u="1"/>
        <n v="8013120" u="1"/>
        <n v="4035150" u="1"/>
        <n v="4035152" u="1"/>
        <n v="4511662" u="1"/>
        <n v="4523957" u="1"/>
        <n v="4035184" u="1"/>
        <n v="8013252" u="1"/>
        <n v="8013256" u="1"/>
        <n v="8013260" u="1"/>
        <n v="8013404" u="1"/>
        <n v="8013408" u="1"/>
        <n v="8013448" u="1"/>
        <n v="4511982" u="1"/>
        <n v="4511986" u="1"/>
        <n v="4511990" u="1"/>
        <n v="4504795" u="1"/>
        <n v="4504815" u="1"/>
        <n v="8013516" u="1"/>
        <n v="4001081" u="1"/>
        <n v="4600078" u="1"/>
        <n v="4512070" u="1"/>
        <n v="4504879" u="1"/>
        <n v="4524377" u="1"/>
        <n v="4512202" u="1"/>
        <n v="4512206" u="1"/>
        <n v="4524485" u="1"/>
        <n v="4512262" u="1"/>
        <n v="4700605" u="1"/>
        <n v="8013768" u="1"/>
        <n v="8013772" u="1"/>
        <n v="8013776" u="1"/>
        <n v="8013780" u="1"/>
        <n v="8013784" u="1"/>
        <n v="8001601" u="1"/>
        <n v="1001170" u="1"/>
        <n v="4512430" u="1"/>
        <n v="4512434" u="1"/>
        <n v="4512438" u="1"/>
        <n v="4512442" u="1"/>
        <n v="4204498" u="1"/>
        <n v="4001349" u="1"/>
        <n v="4001351" u="1"/>
        <n v="4505395" u="1"/>
        <n v="4505399" u="1"/>
        <n v="4505451" u="1"/>
        <n v="4512682" u="1"/>
        <n v="8001985" u="1"/>
        <n v="8014292" u="1"/>
        <n v="8014296" u="1"/>
        <n v="8014308" u="1"/>
        <n v="8014324" u="1"/>
        <n v="4512866" u="1"/>
        <n v="4001501" u="1"/>
        <n v="4512926" u="1"/>
        <n v="8014400" u="1"/>
        <n v="8014404" u="1"/>
        <n v="8014408" u="1"/>
        <n v="8014460" u="1"/>
        <n v="8014480" u="1"/>
        <n v="8002245" u="1"/>
        <n v="4505863" u="1"/>
        <n v="4505867" u="1"/>
        <n v="4505883" u="1"/>
        <n v="4513154" u="1"/>
        <n v="4525417" u="1"/>
        <n v="8014632" u="1"/>
        <n v="8014636" u="1"/>
        <n v="4045663" u="1"/>
        <n v="4505991" u="1"/>
        <n v="8014684" u="1"/>
        <n v="8014692" u="1"/>
        <n v="8014696" u="1"/>
        <n v="4506099" u="1"/>
        <n v="4506191" u="1"/>
        <n v="4513454" u="1"/>
        <n v="4513502" u="1"/>
        <n v="4513526" u="1"/>
        <n v="4036098" u="1"/>
        <n v="4525837" u="1"/>
        <n v="4525873" u="1"/>
        <n v="4513630" u="1"/>
        <n v="3001866" u="1"/>
        <n v="4758252" u="1"/>
        <n v="4506459" u="1"/>
        <n v="4526021" u="1"/>
        <n v="4506551" u="1"/>
        <n v="4506559" u="1"/>
        <n v="4506563" u="1"/>
        <n v="4513782" u="1"/>
        <n v="4506591" u="1"/>
        <n v="4513826" u="1"/>
        <n v="4702189" u="1"/>
        <n v="4513998" u="1"/>
        <n v="4506827" u="1"/>
        <n v="4514134" u="1"/>
        <n v="4506951" u="1"/>
        <n v="4514210" u="1"/>
        <n v="4514214" u="1"/>
        <n v="4526545" u="1"/>
        <n v="4702613" u="1"/>
        <n v="4526645" u="1"/>
        <n v="4514406" u="1"/>
        <n v="4759016" u="1"/>
        <n v="4507215" u="1"/>
        <n v="4514434" u="1"/>
        <n v="4507235" u="1"/>
        <n v="4514542" u="1"/>
        <n v="4514642" u="1"/>
        <n v="4002409" u="1"/>
        <n v="4002481" u="1"/>
        <n v="4527137" u="1"/>
        <n v="4527261" u="1"/>
        <n v="4002573" u="1"/>
        <n v="4507959" u="1"/>
        <n v="4515230" u="1"/>
        <n v="4508027" u="1"/>
        <n v="4508031" u="1"/>
        <n v="4527669" u="1"/>
        <n v="4508255" u="1"/>
        <n v="4527789" u="1"/>
        <n v="4508359" u="1"/>
        <n v="4508567" u="1"/>
        <n v="4716452" u="1"/>
        <n v="4508691" u="1"/>
        <n v="4515914" u="1"/>
        <n v="8702488" u="1"/>
        <n v="8702496" u="1"/>
        <n v="4736018" u="1"/>
        <n v="4736022" u="1"/>
        <n v="4508791" u="1"/>
        <n v="4516018" u="1"/>
        <n v="8702808" u="1"/>
        <n v="4704409" u="1"/>
        <n v="8702840" u="1"/>
        <n v="4003137" u="1"/>
        <n v="4516166" u="1"/>
        <n v="4516242" u="1"/>
        <n v="8005477" u="1"/>
        <n v="8005481" u="1"/>
        <n v="4509063" u="1"/>
        <n v="4509067" u="1"/>
        <n v="8703240" u="1"/>
        <n v="4516318" u="1"/>
        <n v="8005549" u="1"/>
        <n v="8703496" u="1"/>
        <n v="1001675" u="1"/>
        <n v="8703544" u="1"/>
        <n v="8703672" u="1"/>
        <n v="8703680" u="1"/>
        <n v="4003365" u="1"/>
        <n v="4516630" u="1"/>
        <n v="4516710" u="1"/>
        <n v="4509687" u="1"/>
        <n v="4509691" u="1"/>
        <n v="4516962" u="1"/>
        <n v="3003610" u="1"/>
        <n v="4517138" u="1"/>
        <n v="4510003" u="1"/>
        <n v="4517418" u="1"/>
        <n v="1012802" u="1"/>
        <n v="4517474" u="1"/>
        <n v="4510315" u="1"/>
        <n v="4517626" u="1"/>
        <n v="4003873" u="1"/>
        <n v="8006869" u="1"/>
        <n v="8006873" u="1"/>
        <n v="8006877" u="1"/>
        <n v="8006881" u="1"/>
        <n v="4209662" u="1"/>
        <n v="4517798" u="1"/>
        <n v="4510655" u="1"/>
        <n v="8007089" u="1"/>
        <n v="4510759" u="1"/>
        <n v="4517994" u="1"/>
        <n v="4518034" u="1"/>
        <n v="4518050" u="1"/>
        <n v="4202787" u="1"/>
        <n v="4518126" u="1"/>
        <n v="4026239" u="1"/>
        <n v="4518374" u="1"/>
        <n v="4518422" u="1"/>
        <n v="4518426" u="1"/>
        <n v="4518430" u="1"/>
        <n v="4511411" u="1"/>
        <n v="4511455" u="1"/>
        <n v="4004419" u="1"/>
        <n v="4026441" u="1"/>
        <n v="4518830" u="1"/>
        <n v="4511627" u="1"/>
        <n v="4511631" u="1"/>
        <n v="4518890" u="1"/>
        <n v="4511839" u="1"/>
        <n v="4519066" u="1"/>
        <n v="4519166" u="1"/>
        <n v="4519182" u="1"/>
        <n v="4511983" u="1"/>
        <n v="4511987" u="1"/>
        <n v="4511991" u="1"/>
        <n v="4004681" u="1"/>
        <n v="4016956" u="1"/>
        <n v="4016958" u="1"/>
        <n v="4016962" u="1"/>
        <n v="4016964" u="1"/>
        <n v="4016966" u="1"/>
        <n v="4519346" u="1"/>
        <n v="4519386" u="1"/>
        <n v="8008601" u="1"/>
        <n v="4017016" u="1"/>
        <n v="8008637" u="1"/>
        <n v="4026781" u="1"/>
        <n v="8008657" u="1"/>
        <n v="8008665" u="1"/>
        <n v="8008673" u="1"/>
        <n v="4512263" u="1"/>
        <n v="4512267" u="1"/>
        <n v="8008721" u="1"/>
        <n v="4512295" u="1"/>
        <n v="8008737" u="1"/>
        <n v="4500044" u="1"/>
        <n v="8008777" u="1"/>
        <n v="4512427" u="1"/>
        <n v="4004881" u="1"/>
        <n v="4512439" u="1"/>
        <n v="4512443" u="1"/>
        <n v="4512475" u="1"/>
        <n v="4512679" u="1"/>
        <n v="4512727" u="1"/>
        <n v="4519966" u="1"/>
        <n v="4005063" u="1"/>
        <n v="4512863" u="1"/>
        <n v="4720684" u="1"/>
        <n v="4027193" u="1"/>
        <n v="4017478" u="1"/>
        <n v="8009573" u="1"/>
        <n v="8009581" u="1"/>
        <n v="8009589" u="1"/>
        <n v="8009593" u="1"/>
        <n v="4513243" u="1"/>
        <n v="4017570" u="1"/>
        <n v="4017604" u="1"/>
        <n v="4017686" u="1"/>
        <n v="4017688" u="1"/>
        <n v="4017690" u="1"/>
        <n v="4017702" u="1"/>
        <n v="4017704" u="1"/>
        <n v="4017706" u="1"/>
        <n v="4017708" u="1"/>
        <n v="4017710" u="1"/>
        <n v="4017712" u="1"/>
        <n v="4520818" u="1"/>
        <n v="4039738" u="1"/>
        <n v="4513607" u="1"/>
        <n v="4039740" u="1"/>
        <n v="4513631" u="1"/>
        <n v="4520874" u="1"/>
        <n v="4513679" u="1"/>
        <n v="4027517" u="1"/>
        <n v="4027519" u="1"/>
        <n v="4513751" u="1"/>
        <n v="8010193" u="1"/>
        <n v="4513823" u="1"/>
        <n v="4521082" u="1"/>
        <n v="8010297" u="1"/>
        <n v="8010301" u="1"/>
        <n v="4039888" u="1"/>
        <n v="4521130" u="1"/>
        <n v="4501668" u="1"/>
        <n v="8010381" u="1"/>
        <n v="4513995" u="1"/>
        <n v="4521214" u="1"/>
        <n v="4501740" u="1"/>
        <n v="4521238" u="1"/>
        <n v="8010545" u="1"/>
        <n v="4501856" u="1"/>
        <n v="4514167" u="1"/>
        <n v="4514211" u="1"/>
        <n v="4501956" u="1"/>
        <n v="4502064" u="1"/>
        <n v="4005893" u="1"/>
        <n v="4502260" u="1"/>
        <n v="4514539" u="1"/>
        <n v="4514543" u="1"/>
        <n v="4514559" u="1"/>
        <n v="8011005" u="1"/>
        <n v="4005959" u="1"/>
        <n v="4005961" u="1"/>
        <n v="4005963" u="1"/>
        <n v="4005967" u="1"/>
        <n v="8011033" u="1"/>
        <n v="4005969" u="1"/>
        <n v="8011037" u="1"/>
        <n v="4005971" u="1"/>
        <n v="8011041" u="1"/>
        <n v="4005973" u="1"/>
        <n v="8011045" u="1"/>
        <n v="8011061" u="1"/>
        <n v="4005997" u="1"/>
        <n v="4005999" u="1"/>
        <n v="4521902" u="1"/>
        <n v="4006015" u="1"/>
        <n v="4018284" u="1"/>
        <n v="4514743" u="1"/>
        <n v="4514783" u="1"/>
        <n v="4502520" u="1"/>
        <n v="4514787" u="1"/>
        <n v="4018332" u="1"/>
        <n v="8011257" u="1"/>
        <n v="8011273" u="1"/>
        <n v="8702489" u="1"/>
        <n v="8702497" u="1"/>
        <n v="8011333" u="1"/>
        <n v="8011337" u="1"/>
        <n v="8011345" u="1"/>
        <n v="8011433" u="1"/>
        <n v="8702809" u="1"/>
        <n v="4522238" u="1"/>
        <n v="4522242" u="1"/>
        <n v="4006181" u="1"/>
        <n v="4522274" u="1"/>
        <n v="4006195" u="1"/>
        <n v="4522278" u="1"/>
        <n v="4006197" u="1"/>
        <n v="4028263" u="1"/>
        <n v="4028265" u="1"/>
        <n v="8011625" u="1"/>
        <n v="4006279" u="1"/>
        <n v="4515231" u="1"/>
        <n v="4522450" u="1"/>
        <n v="8011729" u="1"/>
        <n v="8011733" u="1"/>
        <n v="4515311" u="1"/>
        <n v="4018586" u="1"/>
        <n v="3500205" u="1"/>
        <n v="8703545" u="1"/>
        <n v="8011809" u="1"/>
        <n v="8703673" u="1"/>
        <n v="8011881" u="1"/>
        <n v="4515459" u="1"/>
        <n v="8703833" u="1"/>
        <n v="8703897" u="1"/>
        <n v="8011985" u="1"/>
        <n v="8703945" u="1"/>
        <n v="4028463" u="1"/>
        <n v="8704009" u="1"/>
        <n v="4522854" u="1"/>
        <n v="4503456" u="1"/>
        <n v="8012193" u="1"/>
        <n v="4040828" u="1"/>
        <n v="4503644" u="1"/>
        <n v="8000086" u="1"/>
        <n v="4736015" u="1"/>
        <n v="8012385" u="1"/>
        <n v="4736023" u="1"/>
        <n v="8000134" u="1"/>
        <n v="8000138" u="1"/>
        <n v="8012409" u="1"/>
        <n v="4516019" u="1"/>
        <n v="4523250" u="1"/>
        <n v="4018968" u="1"/>
        <n v="4516087" u="1"/>
        <n v="4523366" u="1"/>
        <n v="4516239" u="1"/>
        <n v="4516315" u="1"/>
        <n v="4516323" u="1"/>
        <n v="4516391" u="1"/>
        <n v="4041178" u="1"/>
        <n v="4504376" u="1"/>
        <n v="8013117" u="1"/>
        <n v="8013121" u="1"/>
        <n v="4516771" u="1"/>
        <n v="8013253" u="1"/>
        <n v="8013257" u="1"/>
        <n v="8013273" u="1"/>
        <n v="8013401" u="1"/>
        <n v="8013409" u="1"/>
        <n v="4516991" u="1"/>
        <n v="4516995" u="1"/>
        <n v="8013437" u="1"/>
        <n v="8013445" u="1"/>
        <n v="4029189" u="1"/>
        <n v="4517139" u="1"/>
        <n v="8001314" u="1"/>
        <n v="4019536" u="1"/>
        <n v="4019548" u="1"/>
        <n v="4524554" u="1"/>
        <n v="8013765" u="1"/>
        <n v="8013769" u="1"/>
        <n v="8013773" u="1"/>
        <n v="8013777" u="1"/>
        <n v="8013781" u="1"/>
        <n v="8013785" u="1"/>
        <n v="4517423" u="1"/>
        <n v="4524710" u="1"/>
        <n v="4019686" u="1"/>
        <n v="4517551" u="1"/>
        <n v="4725356" u="1"/>
        <n v="8001746" u="1"/>
        <n v="4517587" u="1"/>
        <n v="4517627" u="1"/>
        <n v="4517655" u="1"/>
        <n v="4505392" u="1"/>
        <n v="4505396" u="1"/>
        <n v="4517699" u="1"/>
        <n v="4505448" u="1"/>
        <n v="8001886" u="1"/>
        <n v="4517731" u="1"/>
        <n v="4505516" u="1"/>
        <n v="4517839" u="1"/>
        <n v="8014293" u="1"/>
        <n v="8014321" u="1"/>
        <n v="4713437" u="1"/>
        <n v="4229333" u="1"/>
        <n v="8014397" u="1"/>
        <n v="8014401" u="1"/>
        <n v="8014405" u="1"/>
        <n v="4518007" u="1"/>
        <n v="4019934" u="1"/>
        <n v="8014461" u="1"/>
        <n v="8014465" u="1"/>
        <n v="8014469" u="1"/>
        <n v="4518047" u="1"/>
        <n v="4518107" u="1"/>
        <n v="4505868" u="1"/>
        <n v="8014621" u="1"/>
        <n v="4525418" u="1"/>
        <n v="8014629" u="1"/>
        <n v="8014633" u="1"/>
        <n v="8014637" u="1"/>
        <n v="4518251" u="1"/>
        <n v="8014685" u="1"/>
        <n v="8014693" u="1"/>
        <n v="4506012" u="1"/>
        <n v="4713833" u="1"/>
        <n v="4020092" u="1"/>
        <n v="4518371" u="1"/>
        <n v="4518375" u="1"/>
        <n v="4518423" u="1"/>
        <n v="4518427" u="1"/>
        <n v="4518431" u="1"/>
        <n v="4020152" u="1"/>
        <n v="4506356" u="1"/>
        <n v="4518751" u="1"/>
        <n v="4506552" u="1"/>
        <n v="4506556" u="1"/>
        <n v="4506560" u="1"/>
        <n v="4506564" u="1"/>
        <n v="4518891" u="1"/>
        <n v="8003070" u="1"/>
        <n v="4020386" u="1"/>
        <n v="4518919" u="1"/>
        <n v="4020394" u="1"/>
        <n v="4518943" u="1"/>
        <n v="4020496" u="1"/>
        <n v="4519135" u="1"/>
        <n v="4519167" u="1"/>
        <n v="4519171" u="1"/>
        <n v="4506948" u="1"/>
        <n v="4526522" u="1"/>
        <n v="4526546" u="1"/>
        <n v="4020602" u="1"/>
        <n v="4020656" u="1"/>
        <n v="4526758" u="1"/>
        <n v="4519783" u="1"/>
        <n v="4527262" u="1"/>
        <n v="4747434" u="1"/>
        <n v="4527570" u="1"/>
        <n v="4520471" u="1"/>
        <n v="4508252" u="1"/>
        <n v="4527826" u="1"/>
        <n v="4520647" u="1"/>
        <n v="4008995" u="1"/>
        <n v="4508568" u="1"/>
        <n v="4760385" u="1"/>
        <n v="4232353" u="1"/>
        <n v="4528182" u="1"/>
        <n v="8702490" u="1"/>
        <n v="4528206" u="1"/>
        <n v="4021460" u="1"/>
        <n v="4021462" u="1"/>
        <n v="4521083" u="1"/>
        <n v="4021478" u="1"/>
        <n v="4021514" u="1"/>
        <n v="4021518" u="1"/>
        <n v="4021526" u="1"/>
        <n v="4031291" u="1"/>
        <n v="4521239" u="1"/>
        <n v="4508988" u="1"/>
        <n v="8005478" u="1"/>
        <n v="4509064" u="1"/>
        <n v="8005518" u="1"/>
        <n v="8703290" u="1"/>
        <n v="4521379" u="1"/>
        <n v="4521391" u="1"/>
        <n v="8703362" u="1"/>
        <n v="8703378" u="1"/>
        <n v="8703546" u="1"/>
        <n v="8703674" u="1"/>
        <n v="4509348" u="1"/>
        <n v="8703898" u="1"/>
        <n v="4521715" u="1"/>
        <n v="4521819" u="1"/>
        <n v="4521903" u="1"/>
        <n v="4509692" u="1"/>
        <n v="4509700" u="1"/>
        <n v="4529330" u="1"/>
        <n v="4000004" u="1"/>
        <n v="4522187" u="1"/>
        <n v="4509936" u="1"/>
        <n v="4522219" u="1"/>
        <n v="4522239" u="1"/>
        <n v="4522243" u="1"/>
        <n v="4510004" u="1"/>
        <n v="4522271" u="1"/>
        <n v="4522275" u="1"/>
        <n v="4522279" u="1"/>
        <n v="4000116" u="1"/>
        <n v="4000128" u="1"/>
        <n v="4522451" u="1"/>
        <n v="4522463" u="1"/>
        <n v="4522607" u="1"/>
        <n v="4022234" u="1"/>
        <n v="4522623" u="1"/>
        <n v="4000246" u="1"/>
        <n v="4000254" u="1"/>
        <n v="4000268" u="1"/>
        <n v="4000270" u="1"/>
        <n v="4000272" u="1"/>
        <n v="4000274" u="1"/>
        <n v="8006870" u="1"/>
        <n v="4000276" u="1"/>
        <n v="8006874" u="1"/>
        <n v="4000278" u="1"/>
        <n v="8006878" u="1"/>
        <n v="4000280" u="1"/>
        <n v="8006882" u="1"/>
        <n v="4000282" u="1"/>
        <n v="4000284" u="1"/>
        <n v="4522783" u="1"/>
        <n v="4000324" u="1"/>
        <n v="4510556" u="1"/>
        <n v="4032091" u="1"/>
        <n v="4000364" u="1"/>
        <n v="4000400" u="1"/>
        <n v="4214955" u="1"/>
        <n v="4000448" u="1"/>
        <n v="8000067" u="1"/>
        <n v="4000534" u="1"/>
        <n v="4000560" u="1"/>
        <n v="4000608" u="1"/>
        <n v="4000640" u="1"/>
        <n v="4511168" u="1"/>
        <n v="4032395" u="1"/>
        <n v="4000654" u="1"/>
        <n v="4022682" u="1"/>
        <n v="4032431" u="1"/>
        <n v="4523571" u="1"/>
        <n v="4000724" u="1"/>
        <n v="4000756" u="1"/>
        <n v="4000770" u="1"/>
        <n v="4000830" u="1"/>
        <n v="4511560" u="1"/>
        <n v="8000811" u="1"/>
        <n v="4511628" u="1"/>
        <n v="4511632" u="1"/>
        <n v="4511876" u="1"/>
        <n v="4203804" u="1"/>
        <n v="4001018" u="1"/>
        <n v="4511984" u="1"/>
        <n v="4511988" u="1"/>
        <n v="4512072" u="1"/>
        <n v="8001299" u="1"/>
        <n v="8001319" u="1"/>
        <n v="4001146" u="1"/>
        <n v="4512200" u="1"/>
        <n v="8008658" u="1"/>
        <n v="8008666" u="1"/>
        <n v="4764057" u="1"/>
        <n v="4512252" u="1"/>
        <n v="4001192" u="1"/>
        <n v="8008722" u="1"/>
        <n v="4512296" u="1"/>
        <n v="4001212" u="1"/>
        <n v="8008778" u="1"/>
        <n v="4524659" u="1"/>
        <n v="4512440" u="1"/>
        <n v="4023284" u="1"/>
        <n v="4512444" u="1"/>
        <n v="4512476" u="1"/>
        <n v="4001348" u="1"/>
        <n v="4512684" u="1"/>
        <n v="4525059" u="1"/>
        <n v="4513020" u="1"/>
        <n v="4733120" u="1"/>
        <n v="8009594" u="1"/>
        <n v="4001650" u="1"/>
        <n v="4045664" u="1"/>
        <n v="8009662" u="1"/>
        <n v="4501165" u="1"/>
        <n v="4513524" u="1"/>
        <n v="4001840" u="1"/>
        <n v="8010022" u="1"/>
        <n v="4709126" u="1"/>
        <n v="4525879" u="1"/>
        <n v="4513624" u="1"/>
        <n v="4513628" u="1"/>
        <n v="8010182" u="1"/>
        <n v="8010194" u="1"/>
        <n v="8003019" u="1"/>
        <n v="4513812" u="1"/>
        <n v="4513824" u="1"/>
        <n v="4001980" u="1"/>
        <n v="8010290" u="1"/>
        <n v="3011716" u="1"/>
        <n v="8010298" u="1"/>
        <n v="8010302" u="1"/>
        <n v="4513872" u="1"/>
        <n v="4513996" u="1"/>
        <n v="4514000" u="1"/>
        <n v="4501745" u="1"/>
        <n v="8010502" u="1"/>
        <n v="4501829" u="1"/>
        <n v="8010546" u="1"/>
        <n v="4526395" u="1"/>
        <n v="4501869" u="1"/>
        <n v="4514168" u="1"/>
        <n v="4514212" u="1"/>
        <n v="4526499" u="1"/>
        <n v="8010698" u="1"/>
        <n v="4514412" u="1"/>
        <n v="4722217" u="1"/>
        <n v="4702743" u="1"/>
        <n v="4034021" u="1"/>
        <n v="4514436" u="1"/>
        <n v="8010886" u="1"/>
        <n v="4502193" u="1"/>
        <n v="4514540" u="1"/>
        <n v="4702883" u="1"/>
        <n v="8011002" u="1"/>
        <n v="8011006" u="1"/>
        <n v="8011034" u="1"/>
        <n v="8011038" u="1"/>
        <n v="8011042" u="1"/>
        <n v="8011046" u="1"/>
        <n v="4502397" u="1"/>
        <n v="4526943" u="1"/>
        <n v="4002410" u="1"/>
        <n v="4514784" u="1"/>
        <n v="8702491" u="1"/>
        <n v="8011282" u="1"/>
        <n v="4527139" u="1"/>
        <n v="8011334" u="1"/>
        <n v="8011354" u="1"/>
        <n v="8702659" u="1"/>
        <n v="8702715" u="1"/>
        <n v="4527259" u="1"/>
        <n v="8702835" u="1"/>
        <n v="4527327" u="1"/>
        <n v="4515072" u="1"/>
        <n v="4527339" u="1"/>
        <n v="8011510" u="1"/>
        <n v="8011582" u="1"/>
        <n v="8011626" u="1"/>
        <n v="8011630" u="1"/>
        <n v="4515200" u="1"/>
        <n v="8703267" u="1"/>
        <n v="8703291" u="1"/>
        <n v="8703379" u="1"/>
        <n v="4002706" u="1"/>
        <n v="8011734" u="1"/>
        <n v="4002708" u="1"/>
        <n v="8011746" u="1"/>
        <n v="4503081" u="1"/>
        <n v="8011810" u="1"/>
        <n v="4515420" u="1"/>
        <n v="4527695" u="1"/>
        <n v="8703675" u="1"/>
        <n v="4527763" u="1"/>
        <n v="8011986" u="1"/>
        <n v="8012190" u="1"/>
        <n v="4515864" u="1"/>
        <n v="4503613" u="1"/>
        <n v="4736016" u="1"/>
        <n v="4736024" u="1"/>
        <n v="8012398" u="1"/>
        <n v="8012402" u="1"/>
        <n v="8012406" u="1"/>
        <n v="8005231" u="1"/>
        <n v="4528291" u="1"/>
        <n v="4003088" u="1"/>
        <n v="4516164" u="1"/>
        <n v="4503933" u="1"/>
        <n v="8005479" u="1"/>
        <n v="4516280" u="1"/>
        <n v="4516300" u="1"/>
        <n v="4516316" u="1"/>
        <n v="4528591" u="1"/>
        <n v="4504089" u="1"/>
        <n v="4516492" u="1"/>
        <n v="4516500" u="1"/>
        <n v="4516544" u="1"/>
        <n v="4035101" u="1"/>
        <n v="4712142" u="1"/>
        <n v="4035147" u="1"/>
        <n v="8013118" u="1"/>
        <n v="4035149" u="1"/>
        <n v="4035151" u="1"/>
        <n v="4035153" u="1"/>
        <n v="4528995" u="1"/>
        <n v="4504529" u="1"/>
        <n v="4529179" u="1"/>
        <n v="8013402" u="1"/>
        <n v="8013406" u="1"/>
        <n v="8013442" u="1"/>
        <n v="8013446" u="1"/>
        <n v="4504865" u="1"/>
        <n v="4003626" u="1"/>
        <n v="4003676" u="1"/>
        <n v="8013766" u="1"/>
        <n v="8013774" u="1"/>
        <n v="8013778" u="1"/>
        <n v="8013782" u="1"/>
        <n v="4003826" u="1"/>
        <n v="4003828" u="1"/>
        <n v="4517624" u="1"/>
        <n v="4517628" u="1"/>
        <n v="4025880" u="1"/>
        <n v="8006871" u="1"/>
        <n v="8006875" u="1"/>
        <n v="8006879" u="1"/>
        <n v="4517700" u="1"/>
        <n v="4505469" u="1"/>
        <n v="4517732" u="1"/>
        <n v="4003988" u="1"/>
        <n v="8014302" u="1"/>
        <n v="8014306" u="1"/>
        <n v="8014322" u="1"/>
        <n v="8014326" u="1"/>
        <n v="8007135" u="1"/>
        <n v="8014398" u="1"/>
        <n v="8014402" u="1"/>
        <n v="8014406" u="1"/>
        <n v="8014462" u="1"/>
        <n v="8014466" u="1"/>
        <n v="4518044" u="1"/>
        <n v="4518048" u="1"/>
        <n v="4004082" u="1"/>
        <n v="8014498" u="1"/>
        <n v="4518108" u="1"/>
        <n v="4518128" u="1"/>
        <n v="4004134" u="1"/>
        <n v="8014594" u="1"/>
        <n v="8014622" u="1"/>
        <n v="8014634" u="1"/>
        <n v="4505989" u="1"/>
        <n v="8014694" u="1"/>
        <n v="4518424" u="1"/>
        <n v="4518428" u="1"/>
        <n v="4506357" u="1"/>
        <n v="4004392" u="1"/>
        <n v="4506445" u="1"/>
        <n v="4506457" u="1"/>
        <n v="4026438" u="1"/>
        <n v="4506553" u="1"/>
        <n v="4506561" u="1"/>
        <n v="4506565" u="1"/>
        <n v="4518888" u="1"/>
        <n v="4518928" u="1"/>
        <n v="4004540" u="1"/>
        <n v="4519088" u="1"/>
        <n v="4519180" u="1"/>
        <n v="4519184" u="1"/>
        <n v="4506949" u="1"/>
        <n v="4004680" u="1"/>
        <n v="4519304" u="1"/>
        <n v="8008595" u="1"/>
        <n v="8008635" u="1"/>
        <n v="8008659" u="1"/>
        <n v="8008667" u="1"/>
        <n v="8008671" u="1"/>
        <n v="4519464" u="1"/>
        <n v="4004794" u="1"/>
        <n v="4507213" u="1"/>
        <n v="4507217" u="1"/>
        <n v="8008719" u="1"/>
        <n v="8008723" u="1"/>
        <n v="8008735" u="1"/>
        <n v="4519528" u="1"/>
        <n v="8008747" u="1"/>
        <n v="8008779" u="1"/>
        <n v="4507381" u="1"/>
        <n v="4519784" u="1"/>
        <n v="4004966" u="1"/>
        <n v="4519828" u="1"/>
        <n v="4519876" u="1"/>
        <n v="4519880" u="1"/>
        <n v="4715418" u="1"/>
        <n v="8009119" u="1"/>
        <n v="4005110" u="1"/>
        <n v="4005112" u="1"/>
        <n v="4520112" u="1"/>
        <n v="4005146" u="1"/>
        <n v="4027192" u="1"/>
        <n v="4520264" u="1"/>
        <n v="4508025" u="1"/>
        <n v="4508029" u="1"/>
        <n v="4520336" u="1"/>
        <n v="4520352" u="1"/>
        <n v="8009567" u="1"/>
        <n v="8009571" u="1"/>
        <n v="8009579" u="1"/>
        <n v="8009587" u="1"/>
        <n v="8009595" u="1"/>
        <n v="4715950" u="1"/>
        <n v="4027274" u="1"/>
        <n v="8009663" u="1"/>
        <n v="3002753" u="1"/>
        <n v="3002757" u="1"/>
        <n v="4027320" u="1"/>
        <n v="4508253" u="1"/>
        <n v="4508257" u="1"/>
        <n v="4740580" u="1"/>
        <n v="4752855" u="1"/>
        <n v="4520536" u="1"/>
        <n v="4520604" u="1"/>
        <n v="8009991" u="1"/>
        <n v="8702100" u="1"/>
        <n v="4508569" u="1"/>
        <n v="4027518" u="1"/>
        <n v="8010139" u="1"/>
        <n v="8702396" u="1"/>
        <n v="4027530" u="1"/>
        <n v="8702492" u="1"/>
        <n v="4005552" u="1"/>
        <n v="8702660" u="1"/>
        <n v="8010295" u="1"/>
        <n v="8702708" u="1"/>
        <n v="8010299" u="1"/>
        <n v="8702836" u="1"/>
        <n v="4716754" u="1"/>
        <n v="8010487" u="1"/>
        <n v="8010499" u="1"/>
        <n v="8010511" u="1"/>
        <n v="8010547" u="1"/>
        <n v="8703284" u="1"/>
        <n v="4005742" u="1"/>
        <n v="1500032" u="1"/>
        <n v="8703532" u="1"/>
        <n v="1500058" u="1"/>
        <n v="4509253" u="1"/>
        <n v="4509269" u="1"/>
        <n v="8703676" u="1"/>
        <n v="4509349" u="1"/>
        <n v="4717150" u="1"/>
        <n v="8703812" u="1"/>
        <n v="8703820" u="1"/>
        <n v="1500091" u="1"/>
      </sharedItems>
    </cacheField>
    <cacheField name="物料描述" numFmtId="0"/>
    <cacheField name="Bun" numFmtId="0"/>
    <cacheField name="单位描述" numFmtId="0"/>
    <cacheField name="大类" numFmtId="0"/>
    <cacheField name="系统发出单价" numFmtId="0"/>
    <cacheField name="数量" numFmtId="0"/>
    <cacheField name="系统发出金额" numFmtId="0"/>
    <cacheField name="物料分类" numFmtId="0"/>
    <cacheField name="物料分类描述" numFmtId="0"/>
    <cacheField name="单价" numFmtId="0" formula="#NAME?/#NAME?" databaseField="0"/>
    <cacheField name="单价1" numFmtId="0" formula="系统发出金额/数量" databaseField="0"/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1" refreshedVersion="8" refreshedDate="45809.4628403935" refreshedBy="慕 禹" recordCount="540">
  <cacheSource type="worksheet">
    <worksheetSource ref="A1:J65536" sheet="红火台销售汇总"/>
  </cacheSource>
  <cacheFields count="10">
    <cacheField name="检索" numFmtId="0">
      <sharedItems containsBlank="1" count="1393">
        <s v="加拿大七店906001343013整份"/>
        <s v="加拿大七店110102621002693半份"/>
        <s v="加拿大七店1101026250303整份"/>
        <s v="加拿大七店1002013841184半份"/>
        <s v="加拿大七店1002013841183整份"/>
        <s v="加拿大七店1002001741017整份"/>
        <s v="加拿大七店1301004170041冰镇"/>
        <s v="加拿大七店700004077864份"/>
        <s v="加拿大七店90000413拼锅"/>
        <s v="加拿大七店90000413四宫格"/>
        <s v="加拿大七店70000769四宫格"/>
        <s v="加拿大七店70000769拼锅"/>
        <s v="加拿大七店7000064877308整份"/>
        <s v="加拿大七店1301004770047冰镇"/>
        <s v="加拿大七店900017381003592整份"/>
        <s v="加拿大七店70002428拼锅"/>
        <s v="加拿大七店70002428四宫格"/>
        <s v="加拿大七店906009043251整份"/>
        <s v="加拿大七店906009043252半份"/>
        <s v="加拿大七店1001004440051整份"/>
        <s v="加拿大七店904036433429整份"/>
        <s v="加拿大七店1101037950485整份"/>
        <s v="加拿大七店7000118278433整份"/>
        <s v="加拿大七店1002002541025整份"/>
        <s v="加拿大七店1201000160001整份"/>
        <s v="加拿大七店1101003050055整份"/>
        <s v="加拿大七店1002002771120份"/>
        <s v="加拿大七店901002130022半份"/>
        <s v="加拿大七店901002130021整份"/>
        <s v="加拿大七店903033032331整份"/>
        <s v="加拿大七店903033032332半份"/>
        <s v="加拿大七店1002002341023整份"/>
        <s v="加拿大七店1002002341024半份"/>
        <s v="加拿大七店1201000260002冰镇"/>
        <s v="加拿大七店903005732058半份"/>
        <s v="加拿大七店903005732057整份"/>
        <s v="加拿大七店1002002941030半份"/>
        <s v="加拿大七店1002002941029整份"/>
        <s v="加拿大七店7000120678510半份"/>
        <s v="加拿大七店7000120678509整份"/>
        <s v="加拿大七店1202004261045整份"/>
        <s v="加拿大七店7000169879583半份"/>
        <s v="加拿大七店7000169879582整份"/>
        <s v="加拿大七店1001031240521整份"/>
        <s v="加拿大七店900028141109399瓶"/>
        <s v="加拿大七店902006331063整份"/>
        <s v="加拿大七店1301004070040冰镇"/>
        <s v="加拿大七店1002027041280半份"/>
        <s v="加拿大七店1002027041279整份"/>
        <s v="加拿大七店1060062单锅"/>
        <s v="加拿大七店1060062拼锅"/>
        <s v="加拿大七店1060062四宫格"/>
        <s v="加拿大七店301002320024半份"/>
        <s v="加拿大七店301002320023整份"/>
        <s v="加拿大七店1060061拼锅"/>
        <s v="加拿大七店1060061四宫格"/>
        <s v="加拿大七店1060064拼锅"/>
        <s v="加拿大七店1060064四宫格"/>
        <s v="加拿大七店1060063拼锅"/>
        <s v="加拿大七店1060063四宫格"/>
        <s v="加拿大七店1060066拼锅"/>
        <s v="加拿大七店1060066四宫格"/>
        <s v="加拿大七店901029830355整份"/>
        <s v="加拿大七店900025331005372冰镇"/>
        <s v="加拿大七店1401003580005整份"/>
        <s v="加拿大七店901005130053整份"/>
        <s v="加拿大七店900012011004228瓶"/>
        <s v="加拿大七店900012011004229扎"/>
        <s v="加拿大七店301002720027条"/>
        <s v="加拿大七店1001002540025整份"/>
        <s v="加拿大七店1003023642239整份"/>
        <s v="加拿大七店1101011950137片"/>
        <s v="加拿大七店1002016041167整份"/>
        <s v="加拿大七店1404008182081整份"/>
        <s v="加拿大七店903002932030半份"/>
        <s v="加拿大七店903002932029整份"/>
        <s v="加拿大七店1002004141041整份"/>
        <s v="加拿大七店904006533066半份"/>
        <s v="加拿大七店904006533065整份"/>
        <s v="加拿大七店904006333063整份"/>
        <s v="加拿大七店1014000969009整份"/>
        <s v="加拿大七店1002004741047整份"/>
        <s v="加拿大七店1301045770457冰镇"/>
        <s v="加拿大七店1002004341044半份"/>
        <s v="加拿大七店1002004341043整份"/>
        <s v="加拿大七店1060115拼锅"/>
        <s v="加拿大七店1060115四宫格"/>
        <s v="加拿大七店1102003551035整份"/>
        <s v="加拿大七店1301045570455冰镇"/>
        <s v="加拿大七店1001001740017整份"/>
        <s v="加拿大七店1101040750529整份"/>
        <s v="加拿大七店1010106拼锅"/>
        <s v="加拿大七店1010106四宫格"/>
        <s v="加拿大七店1001001540015整份"/>
        <s v="加拿大七店7000147679074整份"/>
        <s v="加拿大七店7000147679075半份"/>
        <s v="加拿大七店7000066277330整份"/>
        <s v="加拿大七店110100081002694整份"/>
        <s v="加拿大七店110100081002695半份"/>
        <s v="加拿大七店1002005141051整份"/>
        <s v="加拿大七店1101000550009整份"/>
        <s v="加拿大七店1002005341054半份"/>
        <s v="加拿大七店1002005341053整份"/>
        <s v="加拿大七店1101048350681整份"/>
        <s v="加拿大七店901032530395整份"/>
        <s v="加拿大七店901032730399整份"/>
        <s v="加拿大七店1409009884277整份"/>
        <s v="加拿大七店907002447025整份"/>
        <s v="加拿大七店1003001742017整份"/>
        <s v="加拿大七店904004133041整份"/>
        <s v="加拿大七店903040732440半份"/>
        <s v="加拿大七店903040732439整份"/>
        <s v="加拿大七店1002006941069整份"/>
        <s v="加拿大七店1002006941070半份"/>
        <s v="加拿大七店301001320014半份"/>
        <s v="加拿大七店301001320013整份"/>
        <s v="加拿大七店903037332391整份"/>
        <s v="加拿大七店904033633395整份"/>
        <s v="加拿大七店1002006541065整份"/>
        <s v="加拿大七店1002006541066半份"/>
        <s v="加拿大七店901018530219整份"/>
        <s v="加拿大七店902030531315整份"/>
        <s v="加拿大七店902030531316半份"/>
        <s v="加拿大七店7000083877743整份"/>
        <s v="加拿大七店301001920020半份"/>
        <s v="加拿大七店301001920019整份"/>
        <s v="加拿大七店301001720018半份"/>
        <s v="加拿大七店301001720017整份"/>
        <s v="加拿大七店301001520016半份"/>
        <s v="加拿大七店301001520015整份"/>
        <s v="加拿大七店1002007341073整份"/>
        <s v="加拿大七店1002007341074半份"/>
        <s v="加拿大七店904005533056半份"/>
        <s v="加拿大七店904005533055整份"/>
        <s v="加拿大七店903001978645半份"/>
        <s v="加拿大七店903001932019整份"/>
        <s v="加拿大七店1101022150252整份"/>
        <s v="加拿大七店1003030742406半份"/>
        <s v="加拿大七店1003030742405整份"/>
        <s v="加拿大七店1002011341114半份"/>
        <s v="加拿大七店1002011341113整份"/>
        <s v="加拿大七店301018420187整份"/>
        <s v="加拿大七店7000050957036整份"/>
        <s v="加拿大七店900011271001688半份"/>
        <s v="加拿大七店900011271001689整份"/>
        <s v="加拿大七店9000042997732份"/>
        <s v="加拿大七店1412000184001整份"/>
        <s v="加拿大七店1002008441084个"/>
        <s v="加拿大七店901001930019整份"/>
        <s v="加拿大七店1101029250363整份"/>
        <s v="加拿大七店1002000541006半份"/>
        <s v="加拿大七店1002000541005整份"/>
        <s v="加拿大七店1002008741087整份"/>
        <s v="加拿大七店1002000741007整份"/>
        <s v="加拿大七店7000288788260整份"/>
        <s v="加拿大七店1001021340217整份"/>
        <s v="加拿大七店903011932120半份"/>
        <s v="加拿大七店903011932119整份"/>
        <s v="加拿大七店901000930009整份"/>
        <s v="加拿大七店1201000371303冰镇"/>
        <s v="加拿大七店7000079877569整份"/>
        <s v="加拿大七店910036531107221整份"/>
        <s v="加拿大七店902015431157整份"/>
        <s v="加拿大七店90200821003255份"/>
        <s v="加拿大七店906006478989半份"/>
        <s v="加拿大七店906006443081整份"/>
        <s v="加拿大七店902007131071整份"/>
        <s v="加拿大七店1010249拼锅"/>
        <s v="加拿大七店1010249四宫格"/>
        <s v="加拿大七店9000034471342整份"/>
        <s v="加拿大七店1002056041601盒"/>
        <s v="加拿大七店903003532036半份"/>
        <s v="加拿大七店903003532035整份"/>
        <s v="加拿大七店903001532015整份"/>
        <s v="加拿大七店301014320146半份"/>
        <s v="加拿大七店301014320145整份"/>
        <s v="加拿大七店900021611109398瓶"/>
        <s v="加拿大七店110104281002539份"/>
        <s v="加拿大七店900019351006544份"/>
        <s v="加拿大七店130202351108352小瓶"/>
        <s v="加拿大七店700004909991小瓶"/>
        <s v="加拿大七店130402641004398冰镇"/>
        <s v="加拿大七店1304016273162冰镇"/>
        <s v="加拿大七店1304027473274冰镇"/>
        <s v="加拿大七店904002933030半份"/>
        <s v="加拿大七店904002933029整份"/>
        <s v="加拿大七店1101049250699整份"/>
        <s v="加拿大七店910044801109400瓶"/>
        <s v="加拿大七店1404000982009冰镇"/>
        <s v="加拿大七店900020671004336整份"/>
        <s v="加拿大七店7000265287861半份"/>
        <s v="加拿大七店902042731687整份"/>
        <s v="加拿大七店902044731727整份"/>
        <s v="加拿大七店1002003541036半份"/>
        <s v="加拿大七店1002003541035整份"/>
        <s v="加拿大七店1201000697574位"/>
        <s v="加拿大七店900015511002840整份"/>
        <s v="加拿大七店910039981107708根"/>
        <s v="加拿大七店1002049741533整份"/>
        <s v="加拿大七店1002014041161整份"/>
        <s v="加拿大七店1010681拼锅"/>
        <s v="加拿大七店1010681四宫格"/>
        <s v="加拿大七店910053731110188份"/>
        <s v="加拿大七店2601037008套餐"/>
        <s v="加拿大七店1002003341033整份"/>
        <s v="加拿大七店910043641108354杯"/>
        <s v="加拿大七店7000153679183扎"/>
        <s v="加拿大七店900016901003544半份"/>
        <s v="加拿大七店910054131110210瓶"/>
        <s v="加拿大七店910054121110209杯"/>
        <s v="加拿大七店910057021111116份"/>
        <s v="加拿大七店910051301109717杯"/>
        <s v="加拿大七店910051191109704杯"/>
        <s v="加拿大七店910057311111185瓶"/>
        <s v="加拿大七店910057291111183瓶"/>
        <s v="加拿大七店910057281111182瓶"/>
        <s v="加拿大七店910057261111180瓶"/>
        <s v="加拿大七店100103281108120份"/>
        <s v="加拿大七店910058651111388份"/>
        <s v="加拿大七店910057161111214份"/>
        <s v="加拿大七店910059501111493份"/>
        <s v="加拿大七店910057321111186瓶"/>
        <s v="加拿大七店1301004770047常温"/>
        <s v="加拿大七店1201000260002常温"/>
        <s v="加拿大七店1002003141032半份"/>
        <s v="加拿大七店1002003141031整份"/>
        <s v="加拿大七店1060066单锅"/>
        <s v="加拿大七店1301045570455常温"/>
        <s v="加拿大七店130204231109396小瓶"/>
        <s v="加拿大七店1304028473284冰镇"/>
        <s v="加拿大七店900019961004183瓶"/>
        <s v="加拿大七店7000265287860整份"/>
        <s v="加拿大七店1301004170041常温"/>
        <s v="加拿大七店90000413单锅"/>
        <s v="加拿大七店1301004070040常温"/>
        <s v="加拿大七店1060061单锅"/>
        <s v="加拿大七店1060063单锅"/>
        <s v="加拿大七店900025331005371常温"/>
        <s v="加拿大七店1301045770457常温"/>
        <s v="加拿大七店1304016273162常温"/>
        <s v="加拿大七店1301044570445冰镇"/>
        <s v="加拿大七店1060064单锅"/>
        <s v="加拿大七店1002058041625整份"/>
        <s v="加拿大七店1003009342093整份"/>
        <s v="加拿大七店130402641004399常温"/>
        <s v="加拿大七店1301044570445常温"/>
        <s v="加拿大七店1401008580055整份"/>
        <s v="加拿大七店70000769单锅"/>
        <s v="加拿大七店903018933253整份"/>
        <s v="加拿大七店130103041000865个"/>
        <s v="加拿大七店910053951110187份"/>
        <s v="加拿大七店901014730175整份"/>
        <s v="加拿大七店1304027473274常温"/>
        <s v="加拿大七店910050231109552份"/>
        <s v="加拿大七店1060115单锅"/>
        <s v="加拿大七店910046921108968份"/>
        <s v="加拿大七店1010681单锅"/>
        <s v="加拿大七店903039932429只"/>
        <s v="加拿大七店2601023419234整份"/>
        <s v="加拿大七店1310005四宫格"/>
        <s v="加拿大七店902051831869磅"/>
        <s v="加拿大七店70002428单锅"/>
        <s v="1412000184001整份"/>
        <s v="1310005拼锅"/>
        <s v="903018933253整份"/>
        <s v="903049832583整份"/>
        <s v="902051831869磅"/>
        <s v="1304028473284常温"/>
        <s v="903039932429只"/>
        <s v="1000000303套餐"/>
        <s v="1000000304套餐"/>
        <s v="1000000305套餐"/>
        <s v="1310005单锅"/>
        <s v="910059741111526瓶"/>
        <s v="900002051001819个"/>
        <s v="900021311004528整份"/>
        <s v="130101471108213扎"/>
        <s v="910059091111487份"/>
        <s v="7000069377384整份"/>
        <s v="910050181109547份"/>
        <s v="902026831273整份"/>
        <m/>
        <s v="" u="1"/>
        <s v="加拿大一店1401021280182整份" u="1"/>
        <s v="加拿大三店106020813284四宫格" u="1"/>
        <s v="加拿大二店900012011004229扎" u="1"/>
        <s v="加拿大三店1001026140269整份" u="1"/>
        <s v="加拿大二店1101040750529整份" u="1"/>
        <s v="加拿大二店9000034471342整份" u="1"/>
        <s v="加拿大二店106006113061拼锅" u="1"/>
        <s v="加拿大二店9000042997732份" u="1"/>
        <s v="加拿大七店106006113105四宫格" u="1"/>
        <s v="加拿大二店1002002341024半份" u="1"/>
        <s v="加拿大三店900002611002512份" u="1"/>
        <s v="加拿大三店301002720027条" u="1"/>
        <s v="加拿大三店903033032331整份" u="1"/>
        <s v="加拿大二店904006533065整份" u="1"/>
        <s v="加拿大二店903002932029整份" u="1"/>
        <s v="加拿大二店1002011341114半份" u="1"/>
        <s v="加拿大一店1001004440051整份" u="1"/>
        <s v="加拿大七店101024910239单锅" u="1"/>
        <s v="加拿大七店106006310053单锅" u="1"/>
        <s v="加拿大三店7000076977535单锅" u="1"/>
        <s v="加拿大七店100200931001983根" u="1"/>
        <s v="加拿大一店1304027473274常温" u="1"/>
        <s v="加拿大二店900031871006464整份" u="1"/>
        <s v="加拿大七店910049991109527非就餐" u="1"/>
        <s v="加拿大一店900013381002408整份" u="1"/>
        <s v="加拿大三店7000169879583半份" u="1"/>
        <s v="加拿大一店130202351108352小瓶" u="1"/>
        <s v="加拿大三店910039771107676整份" u="1"/>
        <e v="#N/A" u="1"/>
        <s v="加拿大三店7000147679074整份" u="1"/>
        <s v="加拿大三店110104281002539份" u="1"/>
        <s v="加拿大三店7000073077436杯" u="1"/>
        <s v="加拿大一店900019181003985个" u="1"/>
        <s v="加拿大七店0906009043251整份" u="1"/>
        <s v="加拿大二店1002007341073整份" u="1"/>
        <s v="加拿大三店7000083877743整份" u="1"/>
        <s v="加拿大二店900017471003601整份" u="1"/>
        <s v="加拿大三店1301014770143扎" u="1"/>
        <s v="加拿大二店1001021340217整份" u="1"/>
        <s v="加拿大三店902013431099整份" u="1"/>
        <s v="加拿大二店7000050957036整份" u="1"/>
        <s v="加拿大二店903040732439整份" u="1"/>
        <s v="加拿大二店7000120678510半份" u="1"/>
        <s v="加拿大二店903018933253整份" u="1"/>
        <s v="加拿大一店900013381002425半份" u="1"/>
        <s v="加拿大三店1060062四宫格" u="1"/>
        <s v="加拿大三店1002013841183整份" u="1"/>
        <s v="加拿大二店1412000184001整份" u="1"/>
        <s v="加拿大二店910050181109547份" u="1"/>
        <s v="加拿大一店1101022150252整份" u="1"/>
        <s v="加拿大二店1301004170041冰镇" u="1"/>
        <s v="加拿大一店1303030772306瓶" u="1"/>
        <s v="加拿大二店1002008441084个" u="1"/>
        <s v="加拿大二店1101003050055整份" u="1"/>
        <s v="加拿大一店904004133041整份" u="1"/>
        <s v="加拿大一店1002006941070半份" u="1"/>
        <s v="加拿大一店1101037950485整份" u="1"/>
        <s v="加拿大一店1002002941030半份" u="1"/>
        <s v="加拿大二店7000066277330整份" u="1"/>
        <s v="加拿大七店2906003729037整份" u="1"/>
        <s v="加拿大一店700004909991小瓶" u="1"/>
        <s v="加拿大一店106006313063拼锅" u="1"/>
        <s v="加拿大一店1301045570455常温" u="1"/>
        <s v="加拿大三店910050231109552份" u="1"/>
        <s v="加拿大一店1002004341044半份" u="1"/>
        <s v="加拿大三店101010613126拼锅" u="1"/>
        <s v="加拿大三店900006591000103四宫格" u="1"/>
        <s v="加拿大一店904006333063整份" u="1"/>
        <s v="加拿大七店0904036433429整份" u="1"/>
        <s v="加拿大七店7000242887285四宫格" u="1"/>
        <s v="加拿大一店301002320023整份" u="1"/>
        <s v="加拿大二店301001720018半份" u="1"/>
        <s v="加拿大一店1304027473274冰镇" u="1"/>
        <s v="加拿大七店0903003532036半份" u="1"/>
        <s v="加拿大二店301001320014半份" u="1"/>
        <s v="加拿大一店1201004960048常温" u="1"/>
        <s v="加拿大二店901002130021整份" u="1"/>
        <s v="加拿大七店7000242887288单锅" u="1"/>
        <s v="加拿大三店106006213103四宫格" u="1"/>
        <s v="加拿大三店70002428四宫格" u="1"/>
        <s v="加拿大三店1002002771120份" u="1"/>
        <s v="加拿大三店1060063拼锅" u="1"/>
        <s v="加拿大二店1201000160001整份" u="1"/>
        <s v="加拿大七店0901005130053整份" u="1"/>
        <s v="加拿大一店1002008741087整份" u="1"/>
        <s v="加拿大一店1002004741047整份" u="1"/>
        <s v="加拿大一店1002000741007整份" u="1"/>
        <s v="加拿大二店903037332391整份" u="1"/>
        <s v="加拿大二店1201000260002常温" u="1"/>
        <s v="加拿大一店1002005341053整份" u="1"/>
        <s v="加拿大一店1404000982009冰镇" u="1"/>
        <s v="加拿大七店0101024913344四宫格" u="1"/>
        <s v="加拿大三店70001236四宫格" u="1"/>
        <s v="加拿大一店7000076977523四宫格" u="1"/>
        <s v="加拿大二店9000041397686四宫格" u="1"/>
        <s v="加拿大一店906009043252半份" u="1"/>
        <s v="加拿大一店1003009342093整份" u="1"/>
        <s v="加拿大一店7000265287860整份" u="1"/>
        <s v="加拿大二店910039961107704份" u="1"/>
        <s v="加拿大二店106006610016单锅" u="1"/>
        <s v="加拿大二店901005130053整份" u="1"/>
        <s v="加拿大三店106006613066拼锅" u="1"/>
        <s v="加拿大三店106006213062拼锅" u="1"/>
        <s v="加拿大三店1301044570445常温" u="1"/>
        <s v="加拿大三店700006061107197冰镇" u="1"/>
        <s v="加拿大一店7000105178206瓶" u="1"/>
        <s v="加拿大二店910046921108968份" u="1"/>
        <s v="加拿大三店1002007341074半份" u="1"/>
        <s v="加拿大三店301001720017整份" u="1"/>
        <s v="加拿大一店9000041397685拼锅" u="1"/>
        <s v="加拿大三店301001320013整份" u="1"/>
        <s v="加拿大二店903005732058半份" u="1"/>
        <s v="加拿大二店301014320146半份" u="1"/>
        <s v="加拿大三店1010106拼锅" u="1"/>
        <s v="加拿大一店1003030742405整份" u="1"/>
        <s v="加拿大二店106011510241单锅" u="1"/>
        <s v="加拿大三店7000136378985冰镇" u="1"/>
        <s v="加拿大三店903003532035整份" u="1"/>
        <s v="加拿大七店900013381002408整份" u="1"/>
        <s v="加拿大三店700030321107199冰镇" u="1"/>
        <s v="加拿大二店902042731687整份" u="1"/>
        <s v="加拿大二店106006313101四宫格" u="1"/>
        <s v="加拿大二店7000069377384整份" u="1"/>
        <s v="加拿大一店901000930009整份" u="1"/>
        <s v="加拿大七店900019181003985个" u="1"/>
        <s v="加拿大三店904019733201整份" u="1"/>
        <s v="加拿大三店1002007741077整份" u="1"/>
        <s v="加拿大一店1301045570455冰镇" u="1"/>
        <s v="加拿大三店101024913344四宫格" u="1"/>
        <s v="加拿大二店1102003551035整份" u="1"/>
        <s v="加拿大三店900022191004673整份" u="1"/>
        <s v="加拿大三店1060066单锅" u="1"/>
        <s v="加拿大七店0106006410090单锅" u="1"/>
        <s v="加拿大七店" u="1"/>
        <s v="加拿大一店904005533056半份" u="1"/>
        <s v="加拿大三店903005732057整份" u="1"/>
        <s v="加拿大三店301014320145整份" u="1"/>
        <s v="加拿大一店110100081002694整份" u="1"/>
        <s v="加拿大二店1002006541066半份" u="1"/>
        <s v="加拿大一店301001520016半份" u="1"/>
        <s v="加拿大一店902006331063整份" u="1"/>
        <s v="加拿大一店7000118278433整份" u="1"/>
        <s v="加拿大二店1002003141032半份" u="1"/>
        <s v="加拿大二店106006410090单锅" u="1"/>
        <s v="加拿大一店1201004960048冰镇" u="1"/>
        <s v="加拿大七店2601037008-套餐" u="1"/>
        <s v="加拿大三店900021611004575整份" u="1"/>
        <s v="加拿大七店900013381002425半份" u="1"/>
        <s v="加拿大三店9000030771157整份" u="1"/>
        <s v="加拿大一店110102621002693半份" u="1"/>
        <s v="加拿大三店1001028540303条" u="1"/>
        <s v="加拿大七店10000003030套餐" u="1"/>
        <s v="加拿大二店1201000260002冰镇" u="1"/>
        <s v="加拿大三店110102521002538份" u="1"/>
        <s v="加拿大七店10000003040套餐" u="1"/>
        <s v="加拿大二店1002006941069整份" u="1"/>
        <s v="加拿大二店1002002941029整份" u="1"/>
        <s v="加拿大三店9000029371086整份" u="1"/>
        <s v="加拿大二店1002003541035整份" u="1"/>
        <s v="加拿大二店1202004261045整份" u="1"/>
        <s v="加拿大七店0101010613127四宫格" u="1"/>
        <s v="加拿大二店1002004141041整份" u="1"/>
        <s v="加拿大一店301001920020半份" u="1"/>
        <s v="加拿大三店1301044570445冰镇" u="1"/>
        <s v="加拿大七店106006313063拼锅" u="1"/>
        <s v="加拿大七店1002007741078半份" u="1"/>
        <s v="加拿大一店110100081002695半份" u="1"/>
        <s v="加拿大三店9000034971349整份" u="1"/>
        <s v="加拿大七店10000003050套餐" u="1"/>
        <s v="加拿大一店1101043150599个" u="1"/>
        <s v="加拿大三店132900391003650瓶" u="1"/>
        <s v="加拿大一店903011932120半份" u="1"/>
        <s v="加拿大三店910050631109621非就餐" u="1"/>
        <s v="加拿大二店301002720027条" u="1"/>
        <s v="加拿大二店70000078673整份" u="1"/>
        <s v="加拿大三店7000049177575常温" u="1"/>
        <s v="加拿大一店902044731727整份" u="1"/>
        <s v="加拿大二店903033032331整份" u="1"/>
        <s v="加拿大七店0106006113061拼锅" u="1"/>
        <s v="加拿大一店106006413104四宫格" u="1"/>
        <s v="加拿大二店7000076977535单锅" u="1"/>
        <s v="加拿大三店910042431108188整份" u="1"/>
        <s v="加拿大二店7000169879583半份" u="1"/>
        <s v="加拿大三店1060063四宫格" u="1"/>
        <s v="加拿大三店301002320024半份" u="1"/>
        <s v="加拿大三店902007131071整份" u="1"/>
        <s v="加拿大一店106006613102四宫格" u="1"/>
        <s v="加拿大二店7000147679074整份" u="1"/>
        <s v="加拿大二店110104281002539份" u="1"/>
        <s v="加拿大一店901032730399整份" u="1"/>
        <s v="加拿大一店902030531316半份" u="1"/>
        <s v="加拿大一店1301045770457常温" u="1"/>
        <s v="加拿大二店7000083877743整份" u="1"/>
        <s v="加拿大七店7000076977523四宫格" u="1"/>
        <s v="加拿大一店1002000541006半份" u="1"/>
        <s v="加拿大七店0903002932030半份" u="1"/>
        <s v="加拿大七店0903011932120半份" u="1"/>
        <s v="加拿大七店9000041397685拼锅" u="1"/>
        <s v="加拿大三店106006113105四宫格" u="1"/>
        <s v="加拿大三店901018530219整份" u="1"/>
        <s v="加拿大三店1010106四宫格" u="1"/>
        <s v="加拿大七店0904002933030半份" u="1"/>
        <s v="加拿大七店0906001343013整份" u="1"/>
        <s v="加拿大三店1002027041279整份" u="1"/>
        <s v="加拿大七店7000040707864份" u="1"/>
        <s v="加拿大二店903039932429只" u="1"/>
        <s v="加拿大七店0902030531316半份" u="1"/>
        <s v="加拿大一店1001001540015整份" u="1"/>
        <s v="加拿大一店1401003580005整份" u="1"/>
        <s v="加拿大七店0901032530395整份" u="1"/>
        <s v="加拿大三店101024910239单锅" u="1"/>
        <s v="加拿大三店106006310053单锅" u="1"/>
        <s v="加拿大三店100200931001983根" u="1"/>
        <s v="加拿大二店1002013841183整份" u="1"/>
        <s v="加拿大三店904041733492半份" u="1"/>
        <s v="加拿大三店1301004770047常温" u="1"/>
        <s v="加拿大三店910049991109527非就餐" u="1"/>
        <s v="加拿大一店1014000969009整份" u="1"/>
        <s v="加拿大二店1304026473264常温" u="1"/>
        <s v="加拿大三店1101000550009整份" u="1"/>
        <s v="加拿大三店1060064拼锅" u="1"/>
        <s v="加拿大七店0906006478989半份" u="1"/>
        <s v="加拿大一店1002002141021整份" u="1"/>
        <s v="7000310988997整份" u="1"/>
        <s v="加拿大二店910050231109552份" u="1"/>
        <s v="加拿大二店101010613126拼锅" u="1"/>
        <s v="加拿大一店900020161004218杯" u="1"/>
        <s v="加拿大三店7000049177575冰镇" u="1"/>
        <s v="加拿大三店1002003541036半份" u="1"/>
        <s v="加拿大七店0106006213062拼锅" u="1"/>
        <s v="加拿大三店900028141109399瓶" u="1"/>
        <s v="加拿大三店130402641004398冰镇" u="1"/>
        <s v="加拿大三店900028141005871整份" u="1"/>
        <s v="加拿大二店1002056041601盒" u="1"/>
        <s v="加拿大二店106006213103四宫格" u="1"/>
        <s v="加拿大二店1002002771120份" u="1"/>
        <s v="加拿大一店900017381003592整份" u="1"/>
        <s v="加拿大一店130204231109396小瓶" u="1"/>
        <s v="加拿大七店0301001320013整份" u="1"/>
        <s v="加拿大三店1401003180001整份" u="1"/>
        <s v="加拿大一店1301045770457冰镇" u="1"/>
        <s v="加拿大七店0301014320145整份" u="1"/>
        <s v="加拿大二店900020681004337整份" u="1"/>
        <s v="加拿大一店301018420187整份" u="1"/>
        <s v="加拿大三店1002000541005整份" u="1"/>
        <s v="加拿大一店1101043450567整份" u="1"/>
        <s v="加拿大三店1002005141051整份" u="1"/>
        <s v="加拿大三店1002001141011整份" u="1"/>
        <s v="加拿大三店7000147679075半份" u="1"/>
        <s v="加拿大一店900021611109398瓶" u="1"/>
        <s v="加拿大一店7000120678509整份" u="1"/>
        <s v="加拿大二店106006613066拼锅" u="1"/>
        <s v="加拿大二店106006213062拼锅" u="1"/>
        <s v="加拿大二店1301044570445常温" u="1"/>
        <s v="加拿大七店1101043150599个" u="1"/>
        <s v="加拿大七店0906009043252半份" u="1"/>
        <s v="加拿大二店1002007341074半份" u="1"/>
        <s v="加拿大二店301001720017整份" u="1"/>
        <s v="加拿大七店910035501107027整份" u="1"/>
        <s v="加拿大二店301001320013整份" u="1"/>
        <s v="加拿大七店7000041498021整份" u="1"/>
        <s v="加拿大一店1002027041280半份" u="1"/>
        <s v="加拿大一店1101026250303整份" u="1"/>
        <s v="加拿大三店110100861001971半份" u="1"/>
        <s v="加拿大三店7000242887285四宫格" u="1"/>
        <s v="加拿大七店106006413104四宫格" u="1"/>
        <s v="加拿大三店1301004770047冰镇" u="1"/>
        <s v="加拿大一店1304028473284常温" u="1"/>
        <s v="加拿大七店0106006610016单锅" u="1"/>
        <s v="加拿大三店9000047997822个" u="1"/>
        <s v="加拿大二店1304026473264冰镇" u="1"/>
        <s v="加拿大一店7000288788260整份" u="1"/>
        <s v="加拿大三店7000242887288单锅" u="1"/>
        <s v="加拿大二店903003532035整份" u="1"/>
        <s v="加拿大三店1101008650089整份" u="1"/>
        <s v="加拿大一店700030321107198常温" u="1"/>
        <s v="加拿大二店700030321107199冰镇" u="1"/>
        <s v="加拿大二店901029830355整份" u="1"/>
        <s v="加拿大七店106006613102四宫格" u="1"/>
        <s v="加拿大二店7000125878596个" u="1"/>
        <s v="加拿大三店900025331005372冰镇" u="1"/>
        <s v="加拿大三店7000123678557拼锅" u="1"/>
        <s v="加拿大一店906009043251整份" u="1"/>
        <s v="加拿大三店1002013841184半份" u="1"/>
        <s v="加拿大二店1002007741077整份" u="1"/>
        <s v="加拿大二店101024913344四宫格" u="1"/>
        <s v="加拿大三店130403001109395常温" u="1"/>
        <s v="加拿大二店1002004341043整份" u="1"/>
        <s v="加拿大一店106011513115拼锅" u="1"/>
        <s v="加拿大二店7000053959070杯" u="1"/>
        <s v="加拿大二店906001343013整份" u="1"/>
        <s v="加拿大二店903005732057整份" u="1"/>
        <s v="加拿大三店100103081004265份" u="1"/>
        <s v="加拿大二店301014320145整份" u="1"/>
        <s v="加拿大一店7000123678558四宫格" u="1"/>
        <s v="加拿大一店906006478989半份" u="1"/>
        <s v="加拿大一店1003023642239整份" u="1"/>
        <s v="加拿大七店0106006313063拼锅" u="1"/>
        <s v="加拿大一店900020671004336整份" u="1"/>
        <s v="加拿大三店1001004440051整份" u="1"/>
        <s v="加拿大七店0903033032331整份" u="1"/>
        <s v="加拿大三店1060115拼锅" u="1"/>
        <s v="加拿大三店1401010580075位" u="1"/>
        <s v="加拿大一店101010613127四宫格" u="1"/>
        <s v="加拿大一店7000097778036整份" u="1"/>
        <s v="加拿大一店7000076977536拼锅" u="1"/>
        <s v="加拿大三店1304027473274常温" u="1"/>
        <s v="加拿大三店1060064四宫格" u="1"/>
        <s v="加拿大三店900011931002040整份" u="1"/>
        <s v="加拿大三店900013381002408整份" u="1"/>
        <s v="加拿大三店1401003280002整份" u="1"/>
        <s v="903003532035整份" u="1"/>
        <s v="加拿大一店1101011950137片" u="1"/>
        <s v="加拿大七店0301018420187整份" u="1"/>
        <s v="加拿大七店1002002141021整份" u="1"/>
        <s v="加拿大一店904005533055整份" u="1"/>
        <s v="加拿大三店900019181003985个" u="1"/>
        <s v="加拿大三店90000413拼锅" u="1"/>
        <s v="加拿大一店903001932019整份" u="1"/>
        <s v="加拿大一店106006413064拼锅" u="1"/>
        <s v="加拿大一店1002000741008半份" u="1"/>
        <s v="加拿大二店1301044570445冰镇" u="1"/>
        <s v="加拿大一店301001920019整份" u="1"/>
        <s v="加拿大一店1002005341054半份" u="1"/>
        <s v="加拿大一店301001520015整份" u="1"/>
        <s v="加拿大三店90301471001625半份" u="1"/>
        <s v="加拿大二店132900391003650瓶" u="1"/>
        <s v="加拿大三店" u="1"/>
        <s v="加拿大二店910050631109621非就餐" u="1"/>
        <s v="加拿大一店1101048350681整份" u="1"/>
        <s v="加拿大七店900020161004218杯" u="1"/>
        <s v="加拿大一店903011932119整份" u="1"/>
        <s v="加拿大一店1003009342094半份" u="1"/>
        <s v="加拿大一店7000265287861半份" u="1"/>
        <s v="加拿大三店902026831273整份" u="1"/>
        <s v="加拿大一店902051831869磅" u="1"/>
        <s v="加拿大一店1304028473284冰镇" u="1"/>
        <s v="加拿大二店900021701004587整份" u="1"/>
        <s v="加拿大三店2601037008-套餐" u="1"/>
        <s v="加拿大一店1001001740017整份" u="1"/>
        <s v="903040732440半份" u="1"/>
        <s v="加拿大七店0901032730399整份" u="1"/>
        <s v="加拿大一店700004067862杯" u="1"/>
        <s v="加拿大七店0901000930009整份" u="1"/>
        <s v="加拿大三店900013381002425半份" u="1"/>
        <s v="加拿大一店101024913343拼锅" u="1"/>
        <s v="加拿大一店1001010740109整份" u="1"/>
        <s v="加拿大二店301002320024半份" u="1"/>
        <s v="加拿大二店902007131071整份" u="1"/>
        <s v="加拿大七店0901002130021整份" u="1"/>
        <s v="加拿大二店90200821003255份" u="1"/>
        <s v="加拿大一店1002001741017整份" u="1"/>
        <s v="加拿大一店1003030742406半份" u="1"/>
        <s v="加拿大三店1101022150252整份" u="1"/>
        <s v="903040732439整份" u="1"/>
        <s v="加拿大一店1002002341023整份" u="1"/>
        <s v="加拿大三店904004133041整份" u="1"/>
        <s v="加拿大一店7000206286633整份" u="1"/>
        <s v="加拿大二店131000537004单锅" u="1"/>
        <s v="加拿大一店907002447025整份" u="1"/>
        <s v="加拿大三店1002006941070半份" u="1"/>
        <s v="加拿大三店1101037950485整份" u="1"/>
        <s v="加拿大三店1002002941030半份" u="1"/>
        <s v="加拿大三店1304034673346杯" u="1"/>
        <s v="加拿大一店1002011341113整份" u="1"/>
        <s v="加拿大三店70000769拼锅" u="1"/>
        <s v="加拿大一店1003001742017整份" u="1"/>
        <s v="加拿大七店1101043450567整份" u="1"/>
        <s v="加拿大三店902013431100半份" u="1"/>
        <s v="加拿大三店700004909991小瓶" u="1"/>
        <s v="加拿大三店106006313063拼锅" u="1"/>
        <s v="加拿大七店0903001532015整份" u="1"/>
        <s v="加拿大三店1301045570455常温" u="1"/>
        <s v="加拿大三店1002007741078半份" u="1"/>
        <s v="加拿大七店0106006413064拼锅" u="1"/>
        <s v="加拿大一店910041991108103杯" u="1"/>
        <s v="加拿大一店700009771004157半份" u="1"/>
        <s v="加拿大三店904006333063整份" u="1"/>
        <s v="加拿大二店106006113105四宫格" u="1"/>
        <s v="加拿大三店130403461002606扎" u="1"/>
        <s v="加拿大二店901018530219整份" u="1"/>
        <s v="加拿大七店0904005533055整份" u="1"/>
        <s v="加拿大二店1002027041279整份" u="1"/>
        <s v="加拿大二店131000513144拼锅" u="1"/>
        <s v="加拿大三店301002320023整份" u="1"/>
        <s v="加拿大三店1304027473274冰镇" u="1"/>
        <s v="加拿大七店1304028473284常温" u="1"/>
        <s v="加拿大二店101024910239单锅" u="1"/>
        <s v="加拿大二店106006310053单锅" u="1"/>
        <s v="加拿大二店100200931001983根" u="1"/>
        <s v="加拿大二店1301004770047常温" u="1"/>
        <s v="加拿大二店910049991109527非就餐" u="1"/>
        <s v="加拿大一店1201000697574位" u="1"/>
        <s v="加拿大一店902030531315整份" u="1"/>
        <s v="加拿大七店0301001520015整份" u="1"/>
        <s v="加拿大三店904037333439整份" u="1"/>
        <s v="加拿大二店1101000550009整份" u="1"/>
        <s v="加拿大一店7000064877308整份" u="1"/>
        <s v="加拿大三店1002008741087整份" u="1"/>
        <s v="加拿大三店1002004741047整份" u="1"/>
        <s v="加拿大一店700004057860扎" u="1"/>
        <s v="加拿大三店1002000741007整份" u="1"/>
        <s v="加拿大三店900006591000102拼锅" u="1"/>
        <s v="加拿大一店903001978645半份" u="1"/>
        <s v="加拿大三店1002005341053整份" u="1"/>
        <s v="加拿大三店2601037008套餐" u="1"/>
        <s v="加拿大七店106011513115拼锅" u="1"/>
        <s v="加拿大一店901001930019整份" u="1"/>
        <s v="加拿大一店1101029250363整份" u="1"/>
        <s v="加拿大一店130103041000865个" u="1"/>
        <s v="加拿大一店904002933030半份" u="1"/>
        <s v="加拿大三店7000076977523四宫格" u="1"/>
        <s v="加拿大三店1003009342093整份" u="1"/>
        <s v="加拿大三店7000265287860整份" u="1"/>
        <s v="加拿大二店1002003541036半份" u="1"/>
        <s v="加拿大七店1000000303-套餐" u="1"/>
        <s v="加拿大七店1100000785-套餐" u="1"/>
        <s v="加拿大七店910044791108619整份" u="1"/>
        <s v="加拿大一店7000075177483份" u="1"/>
        <s v="加拿大一店910039981107708根" u="1"/>
        <s v="加拿大一店900007061000590瓶" u="1"/>
        <s v="加拿大一店904006533066半份" u="1"/>
        <s v="加拿大二店900028141109399瓶" u="1"/>
        <s v="加拿大三店9000041397685拼锅" u="1"/>
        <s v="加拿大一店1304016273162常温" u="1"/>
        <s v="加拿大三店904041733491整份" u="1"/>
        <s v="加拿大七店1000000304-套餐" u="1"/>
        <s v="加拿大七店903049832583整份" u="1"/>
        <s v="加拿大二店904036433429整份" u="1"/>
        <s v="加拿大三店900002931004590杯" u="1"/>
        <s v="加拿大二店131000513173四宫格" u="1"/>
        <s v="加拿大三店1060115四宫格" u="1"/>
        <s v="加拿大三店1003030742405整份" u="1"/>
        <s v="加拿大七店101010613127四宫格" u="1"/>
        <s v="加拿大三店900025621006156冰镇" u="1"/>
        <s v="加拿大七店7000076977536拼锅" u="1"/>
        <s v="加拿大七店1000000305-套餐" u="1"/>
        <s v="加拿大三店120100491002263冰镇" u="1"/>
        <s v="加拿大七店1100000785套餐" u="1"/>
        <s v="加拿大七店1301036870369整份" u="1"/>
        <s v="加拿大一店106006210002单锅" u="1"/>
        <s v="加拿大一店900024661005218整份" u="1"/>
        <s v="加拿大三店901000930009整份" u="1"/>
        <s v="加拿大二店1002000541005整份" u="1"/>
        <s v="加拿大二店1002005141051整份" u="1"/>
        <s v="加拿大三店7000136378985加热" u="1"/>
        <s v="加拿大二店1002001141011整份" u="1"/>
        <s v="加拿大三店1301045570455冰镇" u="1"/>
        <s v="加拿大七店106006413064拼锅" u="1"/>
        <s v="加拿大二店7000147679075半份" u="1"/>
        <s v="加拿大一店1002016041167整份" u="1"/>
        <s v="加拿大七店1002000741008半份" u="1"/>
        <s v="加拿大一店1001031240521整份" u="1"/>
        <s v="加拿大一店903002932030半份" u="1"/>
        <s v="加拿大三店904005533056半份" u="1"/>
        <s v="910059501111493份" u="1"/>
        <s v="加拿大七店101068113264四宫格" u="1"/>
        <s v="加拿大七店0904033633395整份" u="1"/>
        <s v="加拿大三店110100081002694整份" u="1"/>
        <s v="加拿大七店1003009342094半份" u="1"/>
        <s v="加拿大三店301001520016半份" u="1"/>
        <s v="加拿大一店7000123678556单锅" u="1"/>
        <s v="加拿大三店902006331063整份" u="1"/>
        <s v="加拿大七店0106011513115拼锅" u="1"/>
        <s v="加拿大三店7000118278433整份" u="1"/>
        <s v="加拿大二店1301004770047冰镇" u="1"/>
        <s v="加拿大二店910041991108104扎" u="1"/>
        <s v="加拿大一店106020813269拼锅" u="1"/>
        <s v="加拿大七店101024913343拼锅" u="1"/>
        <s v="加拿大三店90000413单锅" u="1"/>
        <s v="加拿大七店1001010740109整份" u="1"/>
        <s v="加拿大三店110102621002693半份" u="1"/>
        <s v="加拿大一店7000062677254份" u="1"/>
        <s v="加拿大一店900025331005371常温" u="1"/>
        <s v="加拿大二店900025331005372冰镇" u="1"/>
        <s v="加拿大二店1002013841184半份" u="1"/>
        <s v="加拿大一店903040732440半份" u="1"/>
        <s v="加拿大一店901032530395整份" u="1"/>
        <s v="加拿大一店1101047950673整份" u="1"/>
        <s v="加拿大一店1002002141022半份" u="1"/>
        <s v="加拿大三店301001920020半份" u="1"/>
        <s v="加拿大三店110100081002695半份" u="1"/>
        <s v="加拿大七店0106011510241单锅" u="1"/>
        <s v="加拿大三店1101043150599个" u="1"/>
        <s v="加拿大三店903011932120半份" u="1"/>
        <s v="加拿大一店1304016273162冰镇" u="1"/>
        <s v="加拿大三店910035501107027整份" u="1"/>
        <s v="加拿大三店1304034573345扎" u="1"/>
        <s v="加拿大三店7000041498021整份" u="1"/>
        <s v="加拿大三店30101431002567份" u="1"/>
        <s v="加拿大一店901002130022半份" u="1"/>
        <s v="加拿大一店1001002540025整份" u="1"/>
        <s v="加拿大三店106006413104四宫格" u="1"/>
        <s v="加拿大二店1001004440051整份" u="1"/>
        <s v="加拿大二店1304027473274常温" u="1"/>
        <s v="加拿大三店70000769单锅" u="1"/>
        <s v="加拿大三店901014730175整份" u="1"/>
        <s v="加拿大二店900013381002408整份" u="1"/>
        <s v="加拿大一店1002006541065整份" u="1"/>
        <s v="加拿大一店1002002541025整份" u="1"/>
        <s v="加拿大七店130101471108213扎" u="1"/>
        <s v="加拿大三店1060066拼锅" u="1"/>
        <s v="加拿大三店106006613102四宫格" u="1"/>
        <s v="加拿大一店1002003141031整份" u="1"/>
        <s v="加拿大二店130202351108352小瓶" u="1"/>
        <s v="加拿大七店0902006331063整份" u="1"/>
        <s v="加拿大一店910051571109765杯" u="1"/>
        <s v="加拿大二店900019181003985个" u="1"/>
        <s v="加拿大三店902030531316半份" u="1"/>
        <s v="加拿大一店904033633395整份" u="1"/>
        <s v="加拿大七店0301001320014半份" u="1"/>
        <s v="加拿大七店0101068110670单锅" u="1"/>
        <s v="加拿大七店0903005732057整份" u="1"/>
        <s v="加拿大三店1301045770457常温" u="1"/>
        <s v="加拿大七店0301014320146半份" u="1"/>
        <s v="加拿大三店1002000541006半份" u="1"/>
        <s v="加拿大七店0106006613066拼锅" u="1"/>
        <s v="加拿大七店0101010613126拼锅" u="1"/>
        <s v="加拿大七店0904006333063整份" u="1"/>
        <s v="加拿大三店1010249拼锅" u="1"/>
        <s v="加拿大七店7000041498022半份" u="1"/>
        <s v="加拿大一店1301004070040常温" u="1"/>
        <s v="加拿大二店900013381002425半份" u="1"/>
        <s v="加拿大三店1060061单锅" u="1"/>
        <s v="加拿大七店0301001720017整份" u="1"/>
        <s v="加拿大七店0903018933253整份" u="1"/>
        <s v="加拿大一店9000063598348整份" u="1"/>
        <s v="加拿大三店1001001540015整份" u="1"/>
        <s v="加拿大三店1401003580005整份" u="1"/>
        <s v="加拿大七店0301002320023整份" u="1"/>
        <s v="加拿大二店1101022150252整份" u="1"/>
        <s v="加拿大三店1014000969009整份" u="1"/>
        <s v="加拿大二店904004133041整份" u="1"/>
        <s v="加拿大七店106006210002单锅" u="1"/>
        <s v="加拿大二店1002006941070半份" u="1"/>
        <s v="加拿大二店1002002941030半份" u="1"/>
        <s v="加拿大三店1002002141021整份" u="1"/>
        <s v="加拿大二店700004909991小瓶" u="1"/>
        <s v="加拿大三店900006591000101单锅" u="1"/>
        <s v="加拿大二店106006313063拼锅" u="1"/>
        <s v="加拿大二店1301045570455常温" u="1"/>
        <s v="加拿大二店1002007741078半份" u="1"/>
        <s v="加拿大一店7000169879582整份" u="1"/>
        <s v="加拿大二店1002004341044半份" u="1"/>
        <s v="加拿大三店900020161004218杯" u="1"/>
        <s v="901022730263整份" u="1"/>
        <s v="加拿大二店904006333063整份" u="1"/>
        <s v="加拿大七店901019130227整份" u="1"/>
        <s v="加拿大二店301002320023整份" u="1"/>
        <s v="加拿大二店1304027473274冰镇" u="1"/>
        <s v="加拿大一店900012011004228瓶" u="1"/>
        <s v="加拿大一店906006443081整份" u="1"/>
        <s v="加拿大一店106006110004单锅" u="1"/>
        <s v="加拿大七店106020813269拼锅" u="1"/>
        <s v="加拿大七店7000049009991小瓶" u="1"/>
        <s v="加拿大一店900019351006544份" u="1"/>
        <s v="加拿大三店900017381003592整份" u="1"/>
        <s v="加拿大七店0903033032332半份" u="1"/>
        <s v="加拿大二店1002008741087整份" u="1"/>
        <s v="加拿大三店910045431108705整份" u="1"/>
        <s v="加拿大二店1002004741047整份" u="1"/>
        <s v="加拿大二店1002000741007整份" u="1"/>
        <s v="加拿大一店9000041397684单锅" u="1"/>
        <s v="加拿大二店1002005341053整份" u="1"/>
        <s v="加拿大二店1404000982009冰镇" u="1"/>
        <s v="加拿大一店900011271001689整份" u="1"/>
        <s v="加拿大三店1301045770457冰镇" u="1"/>
        <s v="加拿大三店301018420187整份" u="1"/>
        <s v="加拿大一店9000061498293整份" u="1"/>
        <s v="加拿大七店0902015431157整份" u="1"/>
        <s v="加拿大三店7000079877569整份" u="1"/>
        <s v="加拿大一店700004077864份" u="1"/>
        <s v="加拿大二店7000076977523四宫格" u="1"/>
        <s v="加拿大一店904002933029整份" u="1"/>
        <s v="加拿大二店906009043252半份" u="1"/>
        <s v="加拿大七店1002002141022半份" u="1"/>
        <s v="加拿大二店1003009342093整份" u="1"/>
        <s v="加拿大二店7000265287860整份" u="1"/>
        <s v="加拿大三店900021611109398瓶" u="1"/>
        <s v="加拿大三店270100361000900冰镇" u="1"/>
        <s v="加拿大三店7000120678509整份" u="1"/>
        <s v="加拿大三店700006061107196常温" u="1"/>
        <s v="加拿大二店7000105178206瓶" u="1"/>
        <s v="加拿大一店903033032332半份" u="1"/>
        <s v="加拿大一店900011271001688半份" u="1"/>
        <s v="加拿大七店0907002447025整份" u="1"/>
        <s v="加拿大二店9000041397685拼锅" u="1"/>
        <s v="加拿大三店1002027041280半份" u="1"/>
        <s v="加拿大三店1101026250303整份" u="1"/>
        <s v="加拿大一店1301004070040冰镇" u="1"/>
        <s v="加拿大一店1301004170041常温" u="1"/>
        <s v="加拿大一店106011513114四宫格" u="1"/>
        <s v="加拿大二店1003030742405整份" u="1"/>
        <s v="加拿大一店1409009884277整份" u="1"/>
        <s v="加拿大三店1304028473284常温" u="1"/>
        <s v="加拿大三店7000288788260整份" u="1"/>
        <s v="加拿大三店700030321107198常温" u="1"/>
        <s v="加拿大三店1060066四宫格" u="1"/>
        <s v="加拿大二店910036531107221整份" u="1"/>
        <s v="加拿大一店900012011004229扎" u="1"/>
        <s v="加拿大二店901000930009整份" u="1"/>
        <s v="加拿大一店1101040750529整份" u="1"/>
        <s v="加拿大七店0901002130022半份" u="1"/>
        <s v="903003532036半份" u="1"/>
        <s v="加拿大一店9000034471342整份" u="1"/>
        <s v="加拿大一店106006113061拼锅" u="1"/>
        <s v="加拿大一店9000042997732份" u="1"/>
        <s v="加拿大二店1301045570455冰镇" u="1"/>
        <s v="加拿大一店1002002341024半份" u="1"/>
        <s v="加拿大三店106011513115拼锅" u="1"/>
        <s v="加拿大一店904006533065整份" u="1"/>
        <s v="加拿大一店903002932029整份" u="1"/>
        <s v="加拿大一店1002011341114半份" u="1"/>
        <s v="加拿大二店904005533056半份" u="1"/>
        <s v="加拿大三店1000000303-套餐" u="1"/>
        <s v="加拿大七店0106006310053单锅" u="1"/>
        <s v="加拿大三店7000123678558四宫格" u="1"/>
        <s v="加拿大二店110100081002694整份" u="1"/>
        <s v="加拿大一店900031871006464整份" u="1"/>
        <s v="加拿大三店906006478989半份" u="1"/>
        <s v="加拿大二店301001520016半份" u="1"/>
        <s v="加拿大二店902006331063整份" u="1"/>
        <s v="加拿大二店7000118278433整份" u="1"/>
        <s v="加拿大三店1003023642239整份" u="1"/>
        <s v="加拿大三店1010249四宫格" u="1"/>
        <s v="加拿大七店0901001930019整份" u="1"/>
        <s v="加拿大三店1000000304-套餐" u="1"/>
        <s v="加拿大三店1100000545-套餐" u="1"/>
        <s v="加拿大七店0904005533056半份" u="1"/>
        <s v="加拿大二店110102621002693半份" u="1"/>
        <s v="加拿大三店101010613127四宫格" u="1"/>
        <s v="加拿大三店7000097778036整份" u="1"/>
        <s v="加拿大七店090200821003255份" u="1"/>
        <s v="加拿大一店1002007341073整份" u="1"/>
        <s v="加拿大三店7000076977536拼锅" u="1"/>
        <s v="加拿大一店900017471003601整份" u="1"/>
        <s v="加拿大三店1000000305-套餐" u="1"/>
        <s v="加拿大三店1100000546-套餐" u="1"/>
        <s v="加拿大三店1000000303套餐" u="1"/>
        <s v="加拿大三店1301036870369整份" u="1"/>
        <s v="910048741109283份" u="1"/>
        <s v="加拿大一店1001021340217整份" u="1"/>
        <s v="加拿大一店1404008182081整份" u="1"/>
        <s v="加拿大三店1101011950137片" u="1"/>
        <s v="加拿大七店0902007131071整份" u="1"/>
        <s v="加拿大七店0101068113264四宫格" u="1"/>
        <s v="加拿大一店7000050957036整份" u="1"/>
        <s v="加拿大七店0301001520016半份" u="1"/>
        <s v="加拿大一店903040732439整份" u="1"/>
        <s v="加拿大三店904005533055整份" u="1"/>
        <s v="加拿大七店0903001932019整份" u="1"/>
        <s v="加拿大三店1000000304套餐" u="1"/>
        <s v="加拿大三店903001932019整份" u="1"/>
        <s v="加拿大三店903001532015整份" u="1"/>
        <s v="加拿大三店106006413064拼锅" u="1"/>
        <s v="加拿大一店7000120678510半份" u="1"/>
        <s v="加拿大二店301001920020半份" u="1"/>
        <s v="加拿大三店1002000741008半份" u="1"/>
        <s v="加拿大一店903018933253整份" u="1"/>
        <s v="加拿大七店0106006113105四宫格" u="1"/>
        <s v="加拿大二店110100081002695半份" u="1"/>
        <s v="加拿大三店301001920019整份" u="1"/>
        <s v="加拿大三店1002005341054半份" u="1"/>
        <s v="加拿大三店301001520015整份" u="1"/>
        <s v="加拿大二店1101043150599个" u="1"/>
        <s v="加拿大二店7000050156993小瓶" u="1"/>
        <s v="加拿大二店903011932120半份" u="1"/>
        <s v="加拿大三店1101048350681整份" u="1"/>
        <s v="加拿大三店1000000305套餐" u="1"/>
        <s v="加拿大三店903011932119整份" u="1"/>
        <s v="加拿大三店2601023419234整份" u="1"/>
        <s v="加拿大二店910035501107027整份" u="1"/>
        <s v="加拿大七店0904006533065整份" u="1"/>
        <s v="加拿大二店7000041498021整份" u="1"/>
        <s v="加拿大一店1412000184001整份" u="1"/>
        <s v="加拿大七店0903040732439整份" u="1"/>
        <s v="加拿大一店910050181109547份" u="1"/>
        <s v="加拿大二店902044731727整份" u="1"/>
        <s v="加拿大一店1301004170041冰镇" u="1"/>
        <s v="加拿大三店1003009342094半份" u="1"/>
        <s v="加拿大三店7000265287861半份" u="1"/>
        <s v="加拿大一店1002008441084个" u="1"/>
        <s v="加拿大一店1101003050055整份" u="1"/>
        <s v="加拿大三店1304028473284冰镇" u="1"/>
        <s v="加拿大三店1001005540063整份" u="1"/>
        <s v="加拿大二店106006413104四宫格" u="1"/>
        <s v="加拿大七店0301001920019整份" u="1"/>
        <s v="加拿大三店1001001740017整份" u="1"/>
        <s v="加拿大七店106006110004单锅" u="1"/>
        <s v="加拿大三店1060062单锅" u="1"/>
        <s v="加拿大一店7000066277330整份" u="1"/>
        <s v="加拿大三店101024913343拼锅" u="1"/>
        <s v="加拿大一店900020111004209个" u="1"/>
        <s v="加拿大三店1001010740109整份" u="1"/>
        <s v="加拿大二店106006613102四宫格" u="1"/>
        <s v="加拿大三店1002001741017整份" u="1"/>
        <s v="加拿大三店1003030742406半份" u="1"/>
        <s v="加拿大二店901032730399整份" u="1"/>
        <s v="加拿大三店1002002341023整份" u="1"/>
        <s v="加拿大二店902030531316半份" u="1"/>
        <s v="加拿大七店9000041397684单锅" u="1"/>
        <s v="加拿大七店1301036870368半份" u="1"/>
        <s v="加拿大三店907002447025整份" u="1"/>
        <s v="加拿大三店1002011341113整份" u="1"/>
        <s v="加拿大二店1301045770457常温" u="1"/>
        <s v="加拿大七店0903001978645半份" u="1"/>
        <s v="加拿大三店1003001742017整份" u="1"/>
        <s v="加拿大二店1002000541006半份" u="1"/>
        <s v="加拿大一店301001720018半份" u="1"/>
        <s v="加拿大一店301001320014半份" u="1"/>
        <s v="加拿大一店901002130021整份" u="1"/>
        <s v="加拿大三店700009771004157半份" u="1"/>
        <s v="加拿大一店1201000160001整份" u="1"/>
        <s v="加拿大一店903037332391整份" u="1"/>
        <s v="加拿大一店1201000260002常温" u="1"/>
        <s v="加拿大七店106011513114四宫格" u="1"/>
        <s v="加拿大二店1001001540015整份" u="1"/>
        <s v="加拿大二店1401003580005整份" u="1"/>
        <s v="加拿大七店7000242887286拼锅" u="1"/>
        <s v="加拿大三店1201000697574位" u="1"/>
        <s v="加拿大三店902030531315整份" u="1"/>
        <s v="加拿大二店1014000969009整份" u="1"/>
        <s v="加拿大一店9000041397686四宫格" u="1"/>
        <s v="加拿大三店910042401108185整份" u="1"/>
        <s v="加拿大三店7000064877308整份" u="1"/>
        <s v="加拿大一店910039961107704份" u="1"/>
        <s v="加拿大一店106006610016单锅" u="1"/>
        <s v="加拿大一店901005130053整份" u="1"/>
        <s v="加拿大二店1002002141021整份" u="1"/>
        <s v="加拿大一店910046921108968份" u="1"/>
        <s v="加拿大七店106006113061拼锅" u="1"/>
        <s v="加拿大三店903001978645半份" u="1"/>
        <s v="加拿大一店903005732058半份" u="1"/>
        <s v="加拿大一店301014320146半份" u="1"/>
        <s v="加拿大七店0106006213103四宫格" u="1"/>
        <s v="加拿大三店901001930019整份" u="1"/>
        <s v="加拿大三店1101029250363整份" u="1"/>
        <s v="加拿大三店910042401108184半份" u="1"/>
        <s v="加拿大三店904002933030半份" u="1"/>
        <s v="加拿大七店1100000826套餐" u="1"/>
        <s v="加拿大二店900020161004218杯" u="1"/>
        <s v="加拿大三店7000084077746整份" u="1"/>
        <s v="加拿大二店700002253212份" u="1"/>
        <s v="加拿大七店900031871006464整份" u="1"/>
        <s v="加拿大一店106011510241单锅" u="1"/>
        <s v="加拿大三店904006533066半份" u="1"/>
        <s v="加拿大一店902042731687整份" u="1"/>
        <s v="加拿大一店106006313101四宫格" u="1"/>
        <s v="加拿大三店1304016273162常温" u="1"/>
        <s v="加拿大一店7000069377384整份" u="1"/>
        <s v="加拿大三店7000041498022半份" u="1"/>
        <s v="加拿大三店90000413四宫格" u="1"/>
        <s v="加拿大一店1102003551035整份" u="1"/>
        <s v="加拿大二店900017381003592整份" u="1"/>
        <s v="加拿大三店900023781005018整份" u="1"/>
        <s v="900002611002512份" u="1"/>
        <s v="加拿大三店106006210002单锅" u="1"/>
        <s v="加拿大三店130402641004399常温" u="1"/>
        <s v="加拿大二店1301045770457冰镇" u="1"/>
        <s v="加拿大一店1002006541066半份" u="1"/>
        <s v="加拿大二店301018420187整份" u="1"/>
        <s v="加拿大二店7000079877569整份" u="1"/>
        <s v="加拿大一店1002003141032半份" u="1"/>
        <s v="加拿大三店70000769四宫格" u="1"/>
        <s v="加拿大一店106006410090单锅" u="1"/>
        <s v="加拿大二店900021611109398瓶" u="1"/>
        <s v="加拿大三店1002016041167整份" u="1"/>
        <s v="加拿大二店7000120678509整份" u="1"/>
        <s v="加拿大三店1001031240521整份" u="1"/>
        <s v="加拿大三店903002932030半份" u="1"/>
        <s v="加拿大七店0903005732058半份" u="1"/>
        <s v="加拿大二店1002027041280半份" u="1"/>
        <s v="加拿大二店1101026250303整份" u="1"/>
        <s v="加拿大七店910050181109547份" u="1"/>
        <s v="加拿大一店1201000260002冰镇" u="1"/>
        <s v="加拿大三店7000123678556单锅" u="1"/>
        <s v="加拿大二店1304028473284常温" u="1"/>
        <s v="加拿大一店1002006941069整份" u="1"/>
        <s v="加拿大一店1002002941029整份" u="1"/>
        <s v="加拿大二店7000288788260整份" u="1"/>
        <s v="加拿大一店1002003541035整份" u="1"/>
        <s v="加拿大一店1202004261045整份" u="1"/>
        <s v="加拿大二店700030321107198常温" u="1"/>
        <s v="加拿大三店106020813269拼锅" u="1"/>
        <s v="加拿大一店1002004141041整份" u="1"/>
        <s v="加拿大一店700003797667瓶" u="1"/>
        <s v="加拿大三店1302042171421瓶" u="1"/>
        <s v="加拿大三店7000062677254份" u="1"/>
        <s v="加拿大一店106020813284四宫格" u="1"/>
        <s v="加拿大七店0301001720018半份" u="1"/>
        <s v="加拿大三店1301013070128整份" u="1"/>
        <s v="加拿大三店900025331005371常温" u="1"/>
        <s v="加拿大七店0301002320024半份" u="1"/>
        <s v="加拿大二店906009043251整份" u="1"/>
        <s v="加拿大三店903040732440半份" u="1"/>
        <s v="加拿大三店901032530395整份" u="1"/>
        <s v="加拿大七店0106006313101四宫格" u="1"/>
        <s v="加拿大一店301002720027条" u="1"/>
        <s v="加拿大一店70000078673整份" u="1"/>
        <s v="加拿大二店106011513115拼锅" u="1"/>
        <s v="加拿大三店1101047950673整份" u="1"/>
        <s v="加拿大一店903033032331整份" u="1"/>
        <s v="加拿大三店1002002141022半份" u="1"/>
        <s v="加拿大三店70002428拼锅" u="1"/>
        <s v="加拿大一店7000076977535单锅" u="1"/>
        <s v="加拿大七店0903037332391整份" u="1"/>
        <s v="加拿大七店0901018530219整份" u="1"/>
        <s v="加拿大二店906006478989半份" u="1"/>
        <s v="加拿大三店1100000612套餐" u="1"/>
        <s v="加拿大一店7000169879583半份" u="1"/>
        <s v="加拿大三店1304016273162冰镇" u="1"/>
        <s v="加拿大二店1003023642239整份" u="1"/>
        <s v="加拿大二店903049832583整份" u="1"/>
        <s v="加拿大一店7000147679074整份" u="1"/>
        <s v="加拿大二店900020671004336整份" u="1"/>
        <s v="加拿大一店110104281002539份" u="1"/>
        <s v="加拿大三店901002130022半份" u="1"/>
        <s v="加拿大三店70001236拼锅" u="1"/>
        <s v="加拿大三店1060063单锅" u="1"/>
        <s v="加拿大二店101010613127四宫格" u="1"/>
        <s v="加拿大二店7000097778036整份" u="1"/>
        <s v="加拿大二店7000076977536拼锅" u="1"/>
        <s v="加拿大一店7000083877743整份" u="1"/>
        <s v="加拿大七店0902044731727整份" u="1"/>
        <s v="加拿大三店1002005941059整份" u="1"/>
        <s v="加拿大二店1301036870369整份" u="1"/>
        <s v="加拿大七店9000041397686四宫格" u="1"/>
        <s v="加拿大三店1002006541065整份" u="1"/>
        <s v="加拿大二店1101011950137片" u="1"/>
        <s v="加拿大三店1002002541025整份" u="1"/>
        <s v="加拿大七店106006610016单锅" u="1"/>
        <s v="加拿大三店1002003141031整份" u="1"/>
        <s v="加拿大二店904005533055整份" u="1"/>
        <s v="加拿大二店903001932019整份" u="1"/>
        <s v="加拿大三店904033633395整份" u="1"/>
        <s v="加拿大二店903001532015整份" u="1"/>
        <s v="加拿大二店106006413064拼锅" u="1"/>
        <s v="加拿大七店0906006443081整份" u="1"/>
        <s v="加拿大二店1002000741008半份" u="1"/>
        <s v="加拿大二店301001920019整份" u="1"/>
        <s v="加拿大二店1002005341054半份" u="1"/>
        <s v="加拿大二店301001520015整份" u="1"/>
        <s v="加拿大一店903039932429只" u="1"/>
        <s v="加拿大二店1101048350681整份" u="1"/>
        <s v="加拿大二店903011932119整份" u="1"/>
        <s v="加拿大一店1002013841183整份" u="1"/>
        <s v="加拿大二店1003009342094半份" u="1"/>
        <s v="加拿大二店7000265287861半份" u="1"/>
        <s v="加拿大七店106011510241单锅" u="1"/>
        <s v="加拿大一店1304026473264常温" u="1"/>
        <s v="加拿大二店902051831869磅" u="1"/>
        <s v="加拿大二店1304028473284冰镇" u="1"/>
        <s v="加拿大七店106006313101四宫格" u="1"/>
        <s v="加拿大二店1001001740017整份" u="1"/>
        <s v="加拿大二店700004067862杯" u="1"/>
        <s v="加拿大三店1301004070040常温" u="1"/>
        <s v="加拿大二店101024913343拼锅" u="1"/>
        <s v="加拿大二店1001010740109整份" u="1"/>
        <s v="加拿大一店910050231109552份" u="1"/>
        <s v="加拿大二店1002001741017整份" u="1"/>
        <s v="加拿大二店1003030742406半份" u="1"/>
        <s v="加拿大二店1002002341023整份" u="1"/>
        <s v="加拿大一店101010613126拼锅" u="1"/>
        <s v="加拿大二店7000206286633整份" u="1"/>
        <s v="加拿大一店130302021002905瓶" u="1"/>
        <s v="加拿大二店907002447025整份" u="1"/>
        <s v="加拿大二店1002011341113整份" u="1"/>
        <s v="加拿大七店0106006413104四宫格" u="1"/>
        <s v="加拿大七店0901029830355整份" u="1"/>
        <s v="加拿大二店1003001742017整份" u="1"/>
        <s v="加拿大三店1201000371303冰镇" u="1"/>
        <s v="加拿大三店902015431157整份" u="1"/>
        <s v="加拿大七店106006410090单锅" u="1"/>
        <s v="加拿大三店7000169879582整份" u="1"/>
        <s v="加拿大一店1002056041601盒" u="1"/>
        <s v="加拿大一店106006213103四宫格" u="1"/>
        <s v="加拿大七店900018941003955整份" u="1"/>
        <s v="加拿大二店910041991108103杯" u="1"/>
        <s v="加拿大一店1002002771120份" u="1"/>
        <s v="加拿大二店700009771004157半份" u="1"/>
        <s v="加拿大三店900012011004228瓶" u="1"/>
        <s v="加拿大一店900020681004337整份" u="1"/>
        <s v="加拿大三店906006443081整份" u="1"/>
        <s v="加拿大二店7000115778381常温" u="1"/>
        <s v="加拿大三店106006110004单锅" u="1"/>
        <s v="加拿大二店1201000697574位" u="1"/>
        <s v="加拿大二店902030531315整份" u="1"/>
        <s v="加拿大三店900019351006544份" u="1"/>
        <s v="加拿大二店7000064877308整份" u="1"/>
        <s v="加拿大二店130101471108213扎" u="1"/>
        <s v="加拿大三店7000310988997整份" u="1"/>
        <s v="加拿大一店106006613066拼锅" u="1"/>
        <s v="加拿大一店106006213062拼锅" u="1"/>
        <s v="加拿大一店1301044570445常温" u="1"/>
        <s v="加拿大二店700004057860扎" u="1"/>
        <s v="加拿大一店1401020380173整份" u="1"/>
        <s v="加拿大三店9000041397684单锅" u="1"/>
        <s v="加拿大二店903001978645半份" u="1"/>
        <s v="加拿大一店1002007341074半份" u="1"/>
        <s v="加拿大一店301001720017整份" u="1"/>
        <s v="加拿大三店1301036870368半份" u="1"/>
        <s v="加拿大一店301001320013整份" u="1"/>
        <s v="加拿大三店900011271001689整份" u="1"/>
        <s v="1404008182081整份" u="1"/>
        <s v="加拿大二店901001930019整份" u="1"/>
        <s v="加拿大二店1101029250363整份" u="1"/>
        <s v="加拿大二店130103041000865个" u="1"/>
        <s v="加拿大三店700004077864份" u="1"/>
        <s v="加拿大二店904002933030半份" u="1"/>
        <s v="加拿大三店904002933029整份" u="1"/>
        <s v="加拿大三店1101037979028半份" u="1"/>
        <s v="加拿大三店130403001109394冰镇" u="1"/>
        <s v="加拿大二店900019961004183瓶" u="1"/>
        <s v="加拿大七店0903039932429只" u="1"/>
        <s v="加拿大七店7000076977535单锅" u="1"/>
        <s v="加拿大一店1304026473264冰镇" u="1"/>
        <s v="加拿大二店900007061000590瓶" u="1"/>
        <s v="加拿大三店903033032332半份" u="1"/>
        <s v="加拿大二店904006533066半份" u="1"/>
        <s v="加拿大三店900011271001688半份" u="1"/>
        <s v="加拿大一店700030321107199冰镇" u="1"/>
        <s v="加拿大三店1060061拼锅" u="1"/>
        <s v="加拿大一店901029830355整份" u="1"/>
        <s v="加拿大二店1304016273162常温" u="1"/>
        <s v="加拿大三店1301004070040冰镇" u="1"/>
        <s v="加拿大七店0904006533066半份" u="1"/>
        <s v="加拿大二店7000041498022半份" u="1"/>
        <s v="加拿大三店1301004170041常温" u="1"/>
        <s v="加拿大七店0106006110004单锅" u="1"/>
        <s v="加拿大一店101024913344四宫格" u="1"/>
        <s v="加拿大三店106011513114四宫格" u="1"/>
        <s v="加拿大三店1409009884277整份" u="1"/>
        <s v="加拿大一店1002004341043整份" u="1"/>
        <s v="加拿大三店1001005540064半份" u="1"/>
        <s v="加拿大三店7000242887286拼锅" u="1"/>
        <s v="加拿大一店7000053959070杯" u="1"/>
        <s v="加拿大三店120100491002262常温" u="1"/>
        <s v="加拿大一店906001343013整份" u="1"/>
        <s v="加拿大一店903005732057整份" u="1"/>
        <s v="加拿大一店301014320145整份" u="1"/>
        <s v="加拿大二店106006210002单锅" u="1"/>
        <s v="加拿大三店70002428单锅" u="1"/>
        <s v="加拿大七店0903002932029整份" u="1"/>
        <s v="加拿大三店900012011004229扎" u="1"/>
        <s v="加拿大三店1101040750529整份" u="1"/>
        <s v="加拿大七店0903003532035整份" u="1"/>
        <s v="加拿大三店9000034471342整份" u="1"/>
        <s v="加拿大三店106006113061拼锅" u="1"/>
        <s v="加拿大七店0903011932119整份" u="1"/>
        <s v="加拿大三店1002002341024半份" u="1"/>
        <s v="加拿大二店1002016041167整份" u="1"/>
        <s v="加拿大二店1001031240521整份" u="1"/>
        <s v="加拿大三店904006933069整份" u="1"/>
        <s v="加拿大二店903002932030半份" u="1"/>
        <s v="加拿大三店900025621006157常温" u="1"/>
        <s v="加拿大三店904006533065整份" u="1"/>
        <s v="加拿大七店0904002933029整份" u="1"/>
        <s v="加拿大三店903002932029整份" u="1"/>
        <s v="加拿大三店1002011341114半份" u="1"/>
        <s v="加拿大七店0904004133041整份" u="1"/>
        <s v="加拿大三店70001236单锅" u="1"/>
        <s v="加拿大七店0301002720027条" u="1"/>
        <s v="加拿大二店901019130227整份" u="1"/>
        <s v="加拿大三店900031871006464整份" u="1"/>
        <s v="加拿大三店910042391108183份" u="1"/>
        <s v="加拿大二店7000115778381冰镇" u="1"/>
        <s v="加拿大一店1002049741533整份" u="1"/>
        <s v="加拿大三店1060064单锅" u="1"/>
        <s v="加拿大一店1301044570445冰镇" u="1"/>
        <s v="加拿大三店1002002741027整份" u="1"/>
        <s v="加拿大二店1302042171421瓶" u="1"/>
        <s v="加拿大三店1002007341073整份" u="1"/>
        <s v="加拿大三店1002003341033整份" u="1"/>
        <s v="加拿大二店900025331005371常温" u="1"/>
        <s v="加拿大一店132900391003650瓶" u="1"/>
        <s v="加拿大三店1001021340217整份" u="1"/>
        <s v="加拿大七店101010613126拼锅" u="1"/>
        <s v="加拿大三店1404008182081整份" u="1"/>
        <s v="加拿大二店903040732440半份" u="1"/>
        <s v="加拿大二店901032530395整份" u="1"/>
        <s v="加拿大三店7000050957036整份" u="1"/>
        <s v="加拿大三店903014732147整份" u="1"/>
        <s v="加拿大三店903040732439整份" u="1"/>
        <s v="加拿大三店7000120678510半份" u="1"/>
        <s v="加拿大一店900021701004587整份" u="1"/>
        <s v="加拿大二店1002002141022半份" u="1"/>
        <s v="加拿大七店106006213103四宫格" u="1"/>
        <s v="加拿大二店1304016273162冰镇" u="1"/>
        <s v="加拿大一店301002320024半份" u="1"/>
        <s v="加拿大三店1412000184001整份" u="1"/>
        <s v="加拿大三店910050181109547份" u="1"/>
        <s v="加拿大三店1301004170041冰镇" u="1"/>
        <s v="加拿大三店1002008441084个" u="1"/>
        <s v="加拿大二店901002130022半份" u="1"/>
        <s v="加拿大三店1101003050055整份" u="1"/>
        <s v="加拿大七店0106006210002单锅" u="1"/>
        <s v="加拿大二店1001002540025整份" u="1"/>
        <s v="加拿大七店26010370080套餐" u="1"/>
        <s v="加拿大三店1409009984279整份" u="1"/>
        <s v="加拿大三店7000066277330整份" u="1"/>
        <s v="加拿大二店1002006541065整份" u="1"/>
        <s v="加拿大二店1002002541025整份" u="1"/>
        <s v="加拿大二店7000052257175瓶" u="1"/>
        <s v="加拿大二店1002003141031整份" u="1"/>
        <s v="加拿大七店0106006613102四宫格" u="1"/>
        <s v="加拿大七店106006613066拼锅" u="1"/>
        <s v="加拿大七店106006213062拼锅" u="1"/>
        <s v="加拿大二店904033633395整份" u="1"/>
        <s v="加拿大三店1304030073300瓶" u="1"/>
        <s v="加拿大一店106006113105四宫格" u="1"/>
        <s v="加拿大三店1002005987539半份" u="1"/>
        <s v="加拿大一店901018530219整份" u="1"/>
        <s v="加拿大一店1002027041279整份" u="1"/>
        <s v="加拿大三店301001720018半份" u="1"/>
        <s v="加拿大三店301001320014半份" u="1"/>
        <s v="加拿大一店101024910239单锅" u="1"/>
        <s v="加拿大一店106006310053单锅" u="1"/>
        <s v="加拿大一店100200931001983根" u="1"/>
        <s v="加拿大三店901002130021整份" u="1"/>
        <s v="加拿大一店1301004770047常温" u="1"/>
        <s v="加拿大一店910049991109527非就餐" u="1"/>
        <s v="加拿大七店0101024913343拼锅" u="1"/>
        <s v="加拿大三店1060061四宫格" u="1"/>
        <s v="加拿大一店1101000550009整份" u="1"/>
        <s v="加拿大三店1201000160001整份" u="1"/>
        <s v="700004077864份" u="1"/>
        <s v="加拿大三店902026331267整份" u="1"/>
        <s v="加拿大七店101068113263拼锅" u="1"/>
        <s v="加拿大七店7000125878596个" u="1"/>
        <s v="加拿大七店0101068113263拼锅" u="1"/>
        <s v="加拿大二店1301004070040常温" u="1"/>
        <s v="加拿大三店903037332391整份" u="1"/>
        <s v="加拿大三店1201000260002常温" u="1"/>
        <s v="加拿大三店903003532036半份" u="1"/>
        <s v="加拿大七店1002007741077整份" u="1"/>
        <s v="加拿大七店101024913344四宫格" u="1"/>
        <s v="加拿大二店9000063598348整份" u="1"/>
        <s v="加拿大一店1307006976069瓶" u="1"/>
        <s v="加拿大三店9000041397686四宫格" u="1"/>
        <s v="加拿大一店1002003541036半份" u="1"/>
        <s v="加拿大三店106006610016单锅" u="1"/>
        <s v="加拿大三店901005130053整份" u="1"/>
        <s v="910057161111214份" u="1"/>
        <s v="加拿大三店910046921108968份" u="1"/>
        <s v="加拿大七店0902051831869磅" u="1"/>
        <s v="加拿大一店900028141109399瓶" u="1"/>
        <s v="加拿大二店1201000371303冰镇" u="1"/>
        <s v="加拿大二店902015431157整份" u="1"/>
        <s v="加拿大三店903005732058半份" u="1"/>
        <s v="加拿大三店301014320146半份" u="1"/>
        <s v="加拿大二店7000169879582整份" u="1"/>
        <s v="加拿大一店904036433429整份" u="1"/>
        <s v="加拿大七店0101024910239单锅" u="1"/>
        <s v="加拿大七店0903040732440半份" u="1"/>
        <s v="加拿大三店1060062拼锅" u="1"/>
        <s v="加拿大七店101068110670单锅" u="1"/>
        <s v="加拿大三店106011510241单锅" u="1"/>
        <s v="加拿大三店1103001845031整份" u="1"/>
        <s v="加拿大七店0301001920020半份" u="1"/>
        <s v="加拿大三店901022730263整份" u="1"/>
        <s v="加拿大三店106006313101四宫格" u="1"/>
        <s v="加拿大二店900012011004228瓶" u="1"/>
        <s v="加拿大三店1060115单锅" u="1"/>
        <s v="加拿大二店906006443081整份" u="1"/>
        <s v="加拿大三店7000069377384整份" u="1"/>
        <s v="加拿大二店106006110004单锅" u="1"/>
        <s v="加拿大一店1002000541005整份" u="1"/>
        <s v="加拿大三店106020810606单锅" u="1"/>
        <s v="加拿大一店1002005141051整份" u="1"/>
        <s v="加拿大二店902008231083整份" u="1"/>
        <s v="加拿大三店1102003551035整份" u="1"/>
        <s v="加拿大一店7000147679075半份" u="1"/>
        <s v="加拿大二店900019351006544份" u="1"/>
        <s v="加拿大七店0106011513114四宫格" u="1"/>
        <s v="加拿大七店910050631109621非就餐" u="1"/>
        <s v="加拿大二店9000041397684单锅" u="1"/>
        <s v="加拿大二店1301036870368半份" u="1"/>
        <s v="加拿大二店900011271001689整份" u="1"/>
        <s v="加拿大三店7000121678526份" u="1"/>
        <s v="加拿大七店0902030531315整份" u="1"/>
        <s v="加拿大七店0902042731687整份" u="1"/>
        <s v="加拿大三店1002006541066半份" u="1"/>
        <s v="加拿大三店901042530657整份" u="1"/>
        <s v="加拿大二店700004077864份" u="1"/>
        <s v="加拿大三店1002003141032半份" u="1"/>
        <s v="加拿大二店904002933029整份" u="1"/>
        <s v="加拿大三店106006410090单锅" u="1"/>
        <s v="加拿大三店904004971095份" u="1"/>
        <s v="加拿大一店1301004770047冰镇" u="1"/>
        <s v="加拿大一店910041991108104扎" u="1"/>
        <s v="加拿大一店1101008650089整份" u="1"/>
        <s v="加拿大二店903033032332半份" u="1"/>
        <s v="加拿大二店900011271001688半份" u="1"/>
        <s v="加拿大二店1301004070040冰镇" u="1"/>
        <s v="加拿大三店1201000260002冰镇" u="1"/>
        <s v="加拿大一店900025331005372冰镇" u="1"/>
        <s v="加拿大三店910036301107180整份" u="1"/>
        <s v="加拿大一店7000123678557拼锅" u="1"/>
        <s v="加拿大一店1002013841184半份" u="1"/>
        <s v="加拿大二店1301004170041常温" u="1"/>
        <s v="加拿大二店106011513114四宫格" u="1"/>
        <s v="加拿大二店1409009884277整份" u="1"/>
        <s v="加拿大三店270100361000901常温" u="1"/>
        <s v="加拿大三店1002006941069整份" u="1"/>
        <s v="加拿大三店1002002941029整份" u="1"/>
        <s v="加拿大三店1002003541035整份" u="1"/>
        <s v="加拿大三店1202004261045整份" u="1"/>
        <s v="加拿大三店1002004141041整份" u="1"/>
        <s v="加拿大三店700003797667瓶" u="1"/>
        <s v="加拿大三店910041981108102整份" u="1"/>
      </sharedItems>
    </cacheField>
    <cacheField name="门店名称" numFmtId="0"/>
    <cacheField name="编码" numFmtId="0"/>
    <cacheField name="菜品编码" numFmtId="0"/>
    <cacheField name="菜品短编码" numFmtId="0"/>
    <cacheField name="菜品名称" numFmtId="0"/>
    <cacheField name="规格" numFmtId="0"/>
    <cacheField name="出品数量" numFmtId="0"/>
    <cacheField name="退菜数量" numFmtId="0"/>
    <cacheField name="实际出品数据（出品数量-退菜数量）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18">
  <r>
    <s v="2021-06-01"/>
    <s v="Vancouver"/>
    <s v="加拿大二店"/>
    <x v="0"/>
    <x v="0"/>
    <x v="0"/>
    <x v="0"/>
    <x v="0"/>
    <s v="套餐"/>
    <n v="139.95"/>
    <s v="套餐"/>
    <n v="2"/>
    <n v="279.9"/>
    <n v="0"/>
    <n v="0"/>
    <n v="0"/>
    <n v="0"/>
    <n v="0"/>
    <n v="0"/>
    <n v="0"/>
    <n v="0"/>
    <n v="0"/>
    <n v="0"/>
    <n v="2"/>
    <n v="296.69"/>
    <n v="16.79"/>
    <n v="279.9"/>
    <n v="1"/>
  </r>
  <r>
    <s v="2021-06-01"/>
    <s v="Vancouver"/>
    <s v="加拿大二店"/>
    <x v="1"/>
    <x v="1"/>
    <x v="1"/>
    <x v="1"/>
    <x v="1"/>
    <s v="整份"/>
    <n v="16.95"/>
    <s v="份"/>
    <n v="9"/>
    <n v="152.55"/>
    <n v="0"/>
    <n v="0"/>
    <n v="0"/>
    <n v="0"/>
    <n v="0"/>
    <n v="0"/>
    <n v="0"/>
    <n v="0.01"/>
    <n v="0"/>
    <n v="0"/>
    <n v="9"/>
    <n v="160.16"/>
    <n v="7.62"/>
    <n v="152.54"/>
    <n v="1"/>
  </r>
  <r>
    <s v="2021-06-01"/>
    <s v="Vancouver"/>
    <s v="加拿大二店"/>
    <x v="1"/>
    <x v="1"/>
    <x v="2"/>
    <x v="2"/>
    <x v="2"/>
    <s v="整份"/>
    <n v="25.95"/>
    <s v="份"/>
    <n v="12"/>
    <n v="311.4"/>
    <n v="0"/>
    <n v="0"/>
    <n v="0"/>
    <n v="0"/>
    <n v="1"/>
    <n v="25.95"/>
    <n v="0"/>
    <n v="0"/>
    <n v="25.94"/>
    <n v="0"/>
    <n v="11"/>
    <n v="272.48"/>
    <n v="12.97"/>
    <n v="259.51"/>
    <n v="1"/>
  </r>
  <r>
    <s v="2021-06-01"/>
    <s v="Vancouver"/>
    <s v="加拿大二店"/>
    <x v="2"/>
    <x v="2"/>
    <x v="3"/>
    <x v="3"/>
    <x v="3"/>
    <s v="杯"/>
    <n v="6.95"/>
    <s v="杯"/>
    <n v="3"/>
    <n v="20.85"/>
    <n v="0"/>
    <n v="0"/>
    <n v="0"/>
    <n v="0"/>
    <n v="0"/>
    <n v="0"/>
    <n v="0"/>
    <n v="0"/>
    <n v="0"/>
    <n v="0"/>
    <n v="3"/>
    <n v="23.97"/>
    <n v="3.12"/>
    <n v="20.85"/>
    <n v="1"/>
  </r>
  <r>
    <s v="2021-06-01"/>
    <s v="Vancouver"/>
    <s v="加拿大二店"/>
    <x v="2"/>
    <x v="2"/>
    <x v="4"/>
    <x v="4"/>
    <x v="4"/>
    <s v="壶"/>
    <n v="22.95"/>
    <s v="壶"/>
    <n v="1"/>
    <n v="22.95"/>
    <n v="0"/>
    <n v="0"/>
    <n v="0"/>
    <n v="0"/>
    <n v="0"/>
    <n v="0"/>
    <n v="0"/>
    <n v="0"/>
    <n v="0"/>
    <n v="0"/>
    <n v="1"/>
    <n v="26.39"/>
    <n v="3.44"/>
    <n v="22.95"/>
    <n v="1"/>
  </r>
  <r>
    <s v="2021-06-01"/>
    <s v="Vancouver"/>
    <s v="加拿大二店"/>
    <x v="2"/>
    <x v="2"/>
    <x v="5"/>
    <x v="5"/>
    <x v="5"/>
    <s v="杯"/>
    <n v="6.95"/>
    <s v="杯"/>
    <n v="4"/>
    <n v="27.8"/>
    <n v="1"/>
    <n v="6.95"/>
    <n v="0"/>
    <n v="0"/>
    <n v="0"/>
    <n v="0"/>
    <n v="0"/>
    <n v="0"/>
    <n v="0"/>
    <n v="0"/>
    <n v="3"/>
    <n v="23.97"/>
    <n v="3.12"/>
    <n v="20.85"/>
    <n v="1"/>
  </r>
  <r>
    <s v="2021-06-01"/>
    <s v="Vancouver"/>
    <s v="加拿大二店"/>
    <x v="1"/>
    <x v="3"/>
    <x v="6"/>
    <x v="6"/>
    <x v="6"/>
    <s v="整份"/>
    <n v="7.95"/>
    <s v="份"/>
    <n v="5"/>
    <n v="39.75"/>
    <n v="0"/>
    <n v="0"/>
    <n v="0"/>
    <n v="0"/>
    <n v="1"/>
    <n v="7.95"/>
    <n v="0"/>
    <n v="0"/>
    <n v="0"/>
    <n v="0"/>
    <n v="4"/>
    <n v="33.39"/>
    <n v="1.59"/>
    <n v="31.8"/>
    <n v="1"/>
  </r>
  <r>
    <s v="2021-06-01"/>
    <s v="Vancouver"/>
    <s v="加拿大二店"/>
    <x v="2"/>
    <x v="4"/>
    <x v="7"/>
    <x v="7"/>
    <x v="7"/>
    <s v="冰镇"/>
    <n v="2.45"/>
    <s v="罐"/>
    <n v="3"/>
    <n v="7.35"/>
    <n v="0"/>
    <n v="0"/>
    <n v="0"/>
    <n v="0"/>
    <n v="0"/>
    <n v="0"/>
    <n v="0"/>
    <n v="0"/>
    <n v="1.22"/>
    <n v="0"/>
    <n v="3"/>
    <n v="6.86"/>
    <n v="0.73"/>
    <n v="6.13"/>
    <n v="1"/>
  </r>
  <r>
    <s v="2021-06-01"/>
    <s v="Vancouver"/>
    <s v="加拿大二店"/>
    <x v="3"/>
    <x v="5"/>
    <x v="8"/>
    <x v="8"/>
    <x v="8"/>
    <s v="整份"/>
    <n v="3.95"/>
    <s v="份"/>
    <n v="4"/>
    <n v="15.8"/>
    <n v="0"/>
    <n v="0"/>
    <n v="0"/>
    <n v="0"/>
    <n v="0"/>
    <n v="0"/>
    <n v="0"/>
    <n v="0"/>
    <n v="2.76"/>
    <n v="0"/>
    <n v="4"/>
    <n v="13.69"/>
    <n v="0.65"/>
    <n v="13.04"/>
    <n v="1"/>
  </r>
  <r>
    <s v="2021-06-01"/>
    <s v="Vancouver"/>
    <s v="加拿大二店"/>
    <x v="2"/>
    <x v="4"/>
    <x v="9"/>
    <x v="9"/>
    <x v="9"/>
    <s v="冰镇"/>
    <n v="2.95"/>
    <s v="位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01"/>
    <s v="Vancouver"/>
    <s v="加拿大二店"/>
    <x v="2"/>
    <x v="4"/>
    <x v="10"/>
    <x v="10"/>
    <x v="10"/>
    <s v="半份"/>
    <n v="6.95"/>
    <s v="扎"/>
    <n v="6"/>
    <n v="41.7"/>
    <n v="0"/>
    <n v="0"/>
    <n v="0"/>
    <n v="0"/>
    <n v="3"/>
    <n v="20.85"/>
    <n v="0"/>
    <n v="0"/>
    <n v="1.39"/>
    <n v="0"/>
    <n v="3"/>
    <n v="21.79"/>
    <n v="2.33"/>
    <n v="19.46"/>
    <n v="0.5"/>
  </r>
  <r>
    <s v="2021-06-01"/>
    <s v="Vancouver"/>
    <s v="加拿大二店"/>
    <x v="2"/>
    <x v="4"/>
    <x v="10"/>
    <x v="11"/>
    <x v="11"/>
    <s v="整份"/>
    <n v="9.95"/>
    <s v="扎"/>
    <n v="1"/>
    <n v="9.95"/>
    <n v="0"/>
    <n v="0"/>
    <n v="0"/>
    <n v="0"/>
    <n v="0"/>
    <n v="0"/>
    <n v="0"/>
    <n v="0"/>
    <n v="0"/>
    <n v="0"/>
    <n v="1"/>
    <n v="11.14"/>
    <n v="1.19"/>
    <n v="9.95"/>
    <n v="1"/>
  </r>
  <r>
    <s v="2021-06-01"/>
    <s v="Vancouver"/>
    <s v="加拿大二店"/>
    <x v="1"/>
    <x v="6"/>
    <x v="11"/>
    <x v="12"/>
    <x v="12"/>
    <s v="整份"/>
    <n v="8.95"/>
    <s v="份"/>
    <n v="3"/>
    <n v="26.85"/>
    <n v="0"/>
    <n v="0"/>
    <n v="0"/>
    <n v="0"/>
    <n v="1"/>
    <n v="8.95"/>
    <n v="0"/>
    <n v="0"/>
    <n v="0"/>
    <n v="0"/>
    <n v="2"/>
    <n v="18.79"/>
    <n v="0.89"/>
    <n v="17.9"/>
    <n v="1"/>
  </r>
  <r>
    <s v="2021-06-01"/>
    <s v="Vancouver"/>
    <s v="加拿大二店"/>
    <x v="1"/>
    <x v="6"/>
    <x v="12"/>
    <x v="13"/>
    <x v="13"/>
    <s v="整份"/>
    <n v="16.95"/>
    <s v="份"/>
    <n v="2"/>
    <n v="33.9"/>
    <n v="0"/>
    <n v="0"/>
    <n v="0"/>
    <n v="0"/>
    <n v="0"/>
    <n v="0"/>
    <n v="0"/>
    <n v="0"/>
    <n v="5.08"/>
    <n v="0"/>
    <n v="2"/>
    <n v="30.26"/>
    <n v="1.44"/>
    <n v="28.82"/>
    <n v="1"/>
  </r>
  <r>
    <s v="2021-06-01"/>
    <s v="Vancouver"/>
    <s v="加拿大二店"/>
    <x v="1"/>
    <x v="6"/>
    <x v="13"/>
    <x v="14"/>
    <x v="14"/>
    <s v="整份"/>
    <n v="21.95"/>
    <s v="份"/>
    <n v="2"/>
    <n v="43.9"/>
    <n v="0"/>
    <n v="0"/>
    <n v="0"/>
    <n v="0"/>
    <n v="0"/>
    <n v="0"/>
    <n v="0"/>
    <n v="0"/>
    <n v="0"/>
    <n v="0"/>
    <n v="2"/>
    <n v="46.09"/>
    <n v="2.19"/>
    <n v="43.9"/>
    <n v="1"/>
  </r>
  <r>
    <s v="2021-06-01"/>
    <s v="Vancouver"/>
    <s v="加拿大二店"/>
    <x v="1"/>
    <x v="6"/>
    <x v="14"/>
    <x v="15"/>
    <x v="15"/>
    <s v="整份"/>
    <n v="29.95"/>
    <s v="份"/>
    <n v="3"/>
    <n v="89.85"/>
    <n v="0"/>
    <n v="0"/>
    <n v="0"/>
    <n v="0"/>
    <n v="0"/>
    <n v="0"/>
    <n v="0"/>
    <n v="0"/>
    <n v="3.12"/>
    <n v="0"/>
    <n v="3"/>
    <n v="91.06"/>
    <n v="4.33"/>
    <n v="86.73"/>
    <n v="1"/>
  </r>
  <r>
    <s v="2021-06-01"/>
    <s v="Vancouver"/>
    <s v="加拿大二店"/>
    <x v="1"/>
    <x v="6"/>
    <x v="15"/>
    <x v="16"/>
    <x v="16"/>
    <s v="整份"/>
    <n v="8.95"/>
    <s v="份"/>
    <n v="2"/>
    <n v="17.9"/>
    <n v="1"/>
    <n v="8.95"/>
    <n v="0"/>
    <n v="0"/>
    <n v="0"/>
    <n v="0"/>
    <n v="0"/>
    <n v="0"/>
    <n v="0"/>
    <n v="0"/>
    <n v="1"/>
    <n v="9.39"/>
    <n v="0.44"/>
    <n v="8.95"/>
    <n v="1"/>
  </r>
  <r>
    <s v="2021-06-01"/>
    <s v="Vancouver"/>
    <s v="加拿大二店"/>
    <x v="3"/>
    <x v="7"/>
    <x v="16"/>
    <x v="17"/>
    <x v="17"/>
    <s v="整份"/>
    <n v="4.95"/>
    <s v="份"/>
    <n v="11"/>
    <n v="54.45"/>
    <n v="0"/>
    <n v="0"/>
    <n v="0"/>
    <n v="0"/>
    <n v="1"/>
    <n v="4.95"/>
    <n v="0"/>
    <n v="0"/>
    <n v="4.97"/>
    <n v="0"/>
    <n v="10"/>
    <n v="46.75"/>
    <n v="2.22"/>
    <n v="44.53"/>
    <n v="1"/>
  </r>
  <r>
    <s v="2021-06-01"/>
    <s v="Vancouver"/>
    <s v="加拿大二店"/>
    <x v="2"/>
    <x v="4"/>
    <x v="17"/>
    <x v="18"/>
    <x v="18"/>
    <s v="冰镇"/>
    <n v="2.95"/>
    <s v="瓶"/>
    <n v="6"/>
    <n v="17.7"/>
    <n v="0"/>
    <n v="0"/>
    <n v="0"/>
    <n v="0"/>
    <n v="0"/>
    <n v="0"/>
    <n v="0"/>
    <n v="0"/>
    <n v="0.59"/>
    <n v="0"/>
    <n v="6"/>
    <n v="19.16"/>
    <n v="2.05"/>
    <n v="17.11"/>
    <n v="1"/>
  </r>
  <r>
    <s v="2021-06-01"/>
    <s v="Vancouver"/>
    <s v="加拿大二店"/>
    <x v="2"/>
    <x v="4"/>
    <x v="18"/>
    <x v="19"/>
    <x v="19"/>
    <s v="冰镇"/>
    <n v="2.95"/>
    <s v="听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01"/>
    <s v="Vancouver"/>
    <s v="加拿大二店"/>
    <x v="1"/>
    <x v="8"/>
    <x v="19"/>
    <x v="20"/>
    <x v="20"/>
    <s v="整份"/>
    <n v="5.95"/>
    <s v="份"/>
    <n v="8"/>
    <n v="47.6"/>
    <n v="0"/>
    <n v="0"/>
    <n v="0"/>
    <n v="0"/>
    <n v="2"/>
    <n v="11.9"/>
    <n v="0"/>
    <n v="0"/>
    <n v="4.21"/>
    <n v="0"/>
    <n v="6"/>
    <n v="33.06"/>
    <n v="1.57"/>
    <n v="31.49"/>
    <n v="1"/>
  </r>
  <r>
    <s v="2021-06-01"/>
    <s v="Vancouver"/>
    <s v="加拿大二店"/>
    <x v="1"/>
    <x v="8"/>
    <x v="20"/>
    <x v="21"/>
    <x v="21"/>
    <s v="整份"/>
    <n v="7.95"/>
    <s v="份"/>
    <n v="2"/>
    <n v="15.9"/>
    <n v="0"/>
    <n v="0"/>
    <n v="0"/>
    <n v="0"/>
    <n v="0"/>
    <n v="0"/>
    <n v="0"/>
    <n v="0"/>
    <n v="1.59"/>
    <n v="0"/>
    <n v="2"/>
    <n v="15.02"/>
    <n v="0.71"/>
    <n v="14.31"/>
    <n v="1"/>
  </r>
  <r>
    <s v="2021-06-01"/>
    <s v="Vancouver"/>
    <s v="加拿大二店"/>
    <x v="2"/>
    <x v="4"/>
    <x v="21"/>
    <x v="22"/>
    <x v="22"/>
    <s v="冰镇"/>
    <n v="2.45"/>
    <s v="听"/>
    <n v="1"/>
    <n v="2.45"/>
    <n v="0"/>
    <n v="0"/>
    <n v="0"/>
    <n v="0"/>
    <n v="0"/>
    <n v="0"/>
    <n v="0"/>
    <n v="0"/>
    <n v="1.22"/>
    <n v="0"/>
    <n v="1"/>
    <n v="1.37"/>
    <n v="0.14"/>
    <n v="1.23"/>
    <n v="1"/>
  </r>
  <r>
    <s v="2021-06-01"/>
    <s v="Vancouver"/>
    <s v="加拿大二店"/>
    <x v="4"/>
    <x v="9"/>
    <x v="22"/>
    <x v="0"/>
    <x v="23"/>
    <s v="拼锅"/>
    <n v="11.95"/>
    <s v="锅"/>
    <n v="3"/>
    <n v="35.85"/>
    <n v="0"/>
    <n v="0"/>
    <n v="0"/>
    <n v="0"/>
    <n v="0"/>
    <n v="0"/>
    <n v="0"/>
    <n v="0"/>
    <n v="0"/>
    <n v="0"/>
    <n v="3"/>
    <n v="38"/>
    <n v="2.15"/>
    <n v="35.85"/>
    <n v="2"/>
  </r>
  <r>
    <s v="2021-06-01"/>
    <s v="Vancouver"/>
    <s v="加拿大二店"/>
    <x v="4"/>
    <x v="10"/>
    <x v="22"/>
    <x v="0"/>
    <x v="23"/>
    <s v="四宫格"/>
    <n v="5.95"/>
    <s v="锅"/>
    <n v="4"/>
    <n v="23.8"/>
    <n v="0"/>
    <n v="0"/>
    <n v="0"/>
    <n v="0"/>
    <n v="0"/>
    <n v="0"/>
    <n v="0"/>
    <n v="0.02"/>
    <n v="1.19"/>
    <n v="0"/>
    <n v="4"/>
    <n v="23.94"/>
    <n v="1.35"/>
    <n v="22.59"/>
    <n v="1"/>
  </r>
  <r>
    <s v="2021-06-01"/>
    <s v="Vancouver"/>
    <s v="加拿大二店"/>
    <x v="3"/>
    <x v="7"/>
    <x v="23"/>
    <x v="23"/>
    <x v="24"/>
    <s v="整份"/>
    <n v="4.95"/>
    <s v="份"/>
    <n v="13"/>
    <n v="64.35"/>
    <n v="0"/>
    <n v="0"/>
    <n v="0"/>
    <n v="0"/>
    <n v="1"/>
    <n v="4.95"/>
    <n v="0"/>
    <n v="0"/>
    <n v="3.71"/>
    <n v="0"/>
    <n v="12"/>
    <n v="58.47"/>
    <n v="2.78"/>
    <n v="55.69"/>
    <n v="1"/>
  </r>
  <r>
    <s v="2021-06-01"/>
    <s v="Vancouver"/>
    <s v="加拿大二店"/>
    <x v="3"/>
    <x v="11"/>
    <x v="24"/>
    <x v="24"/>
    <x v="25"/>
    <s v="半份"/>
    <n v="2.95"/>
    <s v="份"/>
    <n v="2"/>
    <n v="5.9"/>
    <n v="0"/>
    <n v="0"/>
    <n v="0"/>
    <n v="0"/>
    <n v="0"/>
    <n v="0"/>
    <n v="0"/>
    <n v="0"/>
    <n v="0.3"/>
    <n v="0"/>
    <n v="2"/>
    <n v="5.88"/>
    <n v="0.28"/>
    <n v="5.6"/>
    <n v="0.5"/>
  </r>
  <r>
    <s v="2021-06-01"/>
    <s v="Vancouver"/>
    <s v="加拿大二店"/>
    <x v="3"/>
    <x v="5"/>
    <x v="25"/>
    <x v="25"/>
    <x v="26"/>
    <s v="整份"/>
    <n v="3.95"/>
    <s v="份"/>
    <n v="4"/>
    <n v="15.8"/>
    <n v="0"/>
    <n v="0"/>
    <n v="0"/>
    <n v="0"/>
    <n v="1"/>
    <n v="3.95"/>
    <n v="0"/>
    <n v="0"/>
    <n v="1.58"/>
    <n v="0"/>
    <n v="3"/>
    <n v="10.78"/>
    <n v="0.51"/>
    <n v="10.27"/>
    <n v="1"/>
  </r>
  <r>
    <s v="2021-06-01"/>
    <s v="Vancouver"/>
    <s v="加拿大二店"/>
    <x v="3"/>
    <x v="11"/>
    <x v="26"/>
    <x v="26"/>
    <x v="27"/>
    <s v="整份"/>
    <n v="4.95"/>
    <s v="份"/>
    <n v="8"/>
    <n v="39.6"/>
    <n v="0"/>
    <n v="0"/>
    <n v="0"/>
    <n v="0"/>
    <n v="2"/>
    <n v="9.9"/>
    <n v="0"/>
    <n v="0"/>
    <n v="2.47"/>
    <n v="0"/>
    <n v="6"/>
    <n v="28.59"/>
    <n v="1.36"/>
    <n v="27.23"/>
    <n v="1"/>
  </r>
  <r>
    <s v="2021-06-01"/>
    <s v="Vancouver"/>
    <s v="加拿大二店"/>
    <x v="3"/>
    <x v="11"/>
    <x v="26"/>
    <x v="27"/>
    <x v="28"/>
    <s v="半份"/>
    <n v="2.45"/>
    <s v="份"/>
    <n v="6"/>
    <n v="14.7"/>
    <n v="0"/>
    <n v="0"/>
    <n v="0"/>
    <n v="0"/>
    <n v="0"/>
    <n v="0"/>
    <n v="0"/>
    <n v="0"/>
    <n v="0"/>
    <n v="0"/>
    <n v="6"/>
    <n v="15.43"/>
    <n v="0.73"/>
    <n v="14.7"/>
    <n v="0.5"/>
  </r>
  <r>
    <s v="2021-06-01"/>
    <s v="Vancouver"/>
    <s v="加拿大二店"/>
    <x v="5"/>
    <x v="12"/>
    <x v="27"/>
    <x v="28"/>
    <x v="29"/>
    <s v="整份"/>
    <n v="7.95"/>
    <s v="份"/>
    <n v="6"/>
    <n v="47.7"/>
    <n v="1"/>
    <n v="7.95"/>
    <n v="0"/>
    <n v="0"/>
    <n v="2"/>
    <n v="15.9"/>
    <n v="0"/>
    <n v="0"/>
    <n v="4.77"/>
    <n v="0"/>
    <n v="3"/>
    <n v="20.03"/>
    <n v="0.95"/>
    <n v="19.08"/>
    <n v="1"/>
  </r>
  <r>
    <s v="2021-06-01"/>
    <s v="Vancouver"/>
    <s v="加拿大二店"/>
    <x v="3"/>
    <x v="7"/>
    <x v="28"/>
    <x v="29"/>
    <x v="30"/>
    <s v="整份"/>
    <n v="4.95"/>
    <s v="份"/>
    <n v="7"/>
    <n v="34.65"/>
    <n v="0"/>
    <n v="0"/>
    <n v="0"/>
    <n v="0"/>
    <n v="1"/>
    <n v="4.95"/>
    <n v="0"/>
    <n v="0.01"/>
    <n v="1.73"/>
    <n v="0"/>
    <n v="6"/>
    <n v="29.35"/>
    <n v="1.39"/>
    <n v="27.96"/>
    <n v="1"/>
  </r>
  <r>
    <s v="2021-06-01"/>
    <s v="Vancouver"/>
    <s v="加拿大二店"/>
    <x v="3"/>
    <x v="5"/>
    <x v="29"/>
    <x v="30"/>
    <x v="31"/>
    <s v="整份"/>
    <n v="3.95"/>
    <s v="份"/>
    <n v="7"/>
    <n v="27.65"/>
    <n v="0"/>
    <n v="0"/>
    <n v="0"/>
    <n v="0"/>
    <n v="0"/>
    <n v="0"/>
    <n v="0"/>
    <n v="0"/>
    <n v="2.61"/>
    <n v="0"/>
    <n v="7"/>
    <n v="26.29"/>
    <n v="1.25"/>
    <n v="25.04"/>
    <n v="1"/>
  </r>
  <r>
    <s v="2021-06-01"/>
    <s v="Vancouver"/>
    <s v="加拿大二店"/>
    <x v="6"/>
    <x v="13"/>
    <x v="30"/>
    <x v="31"/>
    <x v="32"/>
    <s v="整份"/>
    <n v="4.95"/>
    <s v="份"/>
    <n v="5"/>
    <n v="24.75"/>
    <n v="0"/>
    <n v="0"/>
    <n v="0"/>
    <n v="0"/>
    <n v="0"/>
    <n v="0"/>
    <n v="0"/>
    <n v="0"/>
    <n v="0.99"/>
    <n v="0"/>
    <n v="5"/>
    <n v="24.94"/>
    <n v="1.18"/>
    <n v="23.76"/>
    <n v="1"/>
  </r>
  <r>
    <s v="2021-06-01"/>
    <s v="Vancouver"/>
    <s v="加拿大二店"/>
    <x v="6"/>
    <x v="13"/>
    <x v="31"/>
    <x v="32"/>
    <x v="33"/>
    <s v="整份"/>
    <n v="9.95"/>
    <s v="份"/>
    <n v="3"/>
    <n v="29.85"/>
    <n v="0"/>
    <n v="0"/>
    <n v="0"/>
    <n v="0"/>
    <n v="0"/>
    <n v="0"/>
    <n v="0"/>
    <n v="0"/>
    <n v="4.97"/>
    <n v="0"/>
    <n v="3"/>
    <n v="26.12"/>
    <n v="1.24"/>
    <n v="24.88"/>
    <n v="1"/>
  </r>
  <r>
    <s v="2021-06-01"/>
    <s v="Vancouver"/>
    <s v="加拿大二店"/>
    <x v="5"/>
    <x v="12"/>
    <x v="32"/>
    <x v="33"/>
    <x v="34"/>
    <s v="整份"/>
    <n v="17.85"/>
    <s v="份"/>
    <n v="2"/>
    <n v="35.7"/>
    <n v="0"/>
    <n v="0"/>
    <n v="0"/>
    <n v="0"/>
    <n v="0"/>
    <n v="0"/>
    <n v="0"/>
    <n v="0"/>
    <n v="0"/>
    <n v="0"/>
    <n v="2"/>
    <n v="37.48"/>
    <n v="1.78"/>
    <n v="35.7"/>
    <n v="1"/>
  </r>
  <r>
    <s v="2021-06-01"/>
    <s v="Vancouver"/>
    <s v="加拿大二店"/>
    <x v="1"/>
    <x v="3"/>
    <x v="33"/>
    <x v="34"/>
    <x v="35"/>
    <s v="整份"/>
    <n v="11.95"/>
    <s v="份"/>
    <n v="20"/>
    <n v="239"/>
    <n v="0"/>
    <n v="0"/>
    <n v="0"/>
    <n v="0"/>
    <n v="1"/>
    <n v="11.95"/>
    <n v="0"/>
    <n v="0"/>
    <n v="17.41"/>
    <n v="0"/>
    <n v="19"/>
    <n v="220.12"/>
    <n v="10.48"/>
    <n v="209.64"/>
    <n v="1"/>
  </r>
  <r>
    <s v="2021-06-01"/>
    <s v="Vancouver"/>
    <s v="加拿大二店"/>
    <x v="5"/>
    <x v="12"/>
    <x v="34"/>
    <x v="35"/>
    <x v="36"/>
    <s v="整份"/>
    <n v="11.95"/>
    <s v="份"/>
    <n v="5"/>
    <n v="59.75"/>
    <n v="0"/>
    <n v="0"/>
    <n v="0"/>
    <n v="0"/>
    <n v="0"/>
    <n v="0"/>
    <n v="0"/>
    <n v="0"/>
    <n v="8.95"/>
    <n v="0"/>
    <n v="5"/>
    <n v="53.34"/>
    <n v="2.54"/>
    <n v="50.8"/>
    <n v="1"/>
  </r>
  <r>
    <s v="2021-06-01"/>
    <s v="Vancouver"/>
    <s v="加拿大二店"/>
    <x v="5"/>
    <x v="12"/>
    <x v="35"/>
    <x v="36"/>
    <x v="37"/>
    <s v="条"/>
    <n v="4.95"/>
    <s v="条"/>
    <n v="13"/>
    <n v="64.35"/>
    <n v="0"/>
    <n v="0"/>
    <n v="0"/>
    <n v="0"/>
    <n v="6"/>
    <n v="29.7"/>
    <n v="0"/>
    <n v="0"/>
    <n v="0.99"/>
    <n v="0"/>
    <n v="7"/>
    <n v="35.34"/>
    <n v="1.68"/>
    <n v="33.66"/>
    <n v="1"/>
  </r>
  <r>
    <s v="2021-06-01"/>
    <s v="Vancouver"/>
    <s v="加拿大二店"/>
    <x v="5"/>
    <x v="12"/>
    <x v="36"/>
    <x v="37"/>
    <x v="38"/>
    <s v="整份"/>
    <n v="13.95"/>
    <s v="份"/>
    <n v="12"/>
    <n v="167.4"/>
    <n v="0"/>
    <n v="0"/>
    <n v="0"/>
    <n v="0"/>
    <n v="0"/>
    <n v="0"/>
    <n v="0"/>
    <n v="0"/>
    <n v="19.63"/>
    <n v="0"/>
    <n v="12"/>
    <n v="155.15"/>
    <n v="7.38"/>
    <n v="147.77"/>
    <n v="1"/>
  </r>
  <r>
    <s v="2021-06-01"/>
    <s v="Vancouver"/>
    <s v="加拿大二店"/>
    <x v="5"/>
    <x v="12"/>
    <x v="37"/>
    <x v="38"/>
    <x v="39"/>
    <s v="整份"/>
    <n v="9.95"/>
    <s v="份"/>
    <n v="12"/>
    <n v="119.4"/>
    <n v="0"/>
    <n v="0"/>
    <n v="0"/>
    <n v="0"/>
    <n v="1"/>
    <n v="9.95"/>
    <n v="0"/>
    <n v="0"/>
    <n v="17.4"/>
    <n v="0"/>
    <n v="11"/>
    <n v="96.65"/>
    <n v="4.6"/>
    <n v="92.05"/>
    <n v="1"/>
  </r>
  <r>
    <s v="2021-06-01"/>
    <s v="Vancouver"/>
    <s v="加拿大二店"/>
    <x v="5"/>
    <x v="12"/>
    <x v="38"/>
    <x v="39"/>
    <x v="40"/>
    <s v="整份"/>
    <n v="9.95"/>
    <s v="份"/>
    <n v="8"/>
    <n v="79.6"/>
    <n v="0"/>
    <n v="0"/>
    <n v="0"/>
    <n v="0"/>
    <n v="0"/>
    <n v="0"/>
    <n v="0"/>
    <n v="0"/>
    <n v="7.46"/>
    <n v="0"/>
    <n v="8"/>
    <n v="75.74"/>
    <n v="3.6"/>
    <n v="72.14"/>
    <n v="1"/>
  </r>
  <r>
    <s v="2021-06-01"/>
    <s v="Vancouver"/>
    <s v="加拿大二店"/>
    <x v="6"/>
    <x v="13"/>
    <x v="39"/>
    <x v="40"/>
    <x v="41"/>
    <s v="整份"/>
    <n v="8.95"/>
    <s v="份"/>
    <n v="19"/>
    <n v="170.05"/>
    <n v="0"/>
    <n v="0"/>
    <n v="0"/>
    <n v="0"/>
    <n v="2"/>
    <n v="17.9"/>
    <n v="0"/>
    <n v="0"/>
    <n v="4.47"/>
    <n v="0"/>
    <n v="17"/>
    <n v="155.06"/>
    <n v="7.38"/>
    <n v="147.68"/>
    <n v="1"/>
  </r>
  <r>
    <s v="2021-06-01"/>
    <s v="Vancouver"/>
    <s v="加拿大二店"/>
    <x v="5"/>
    <x v="12"/>
    <x v="40"/>
    <x v="41"/>
    <x v="42"/>
    <s v="整份"/>
    <n v="9.95"/>
    <s v="份"/>
    <n v="5"/>
    <n v="49.75"/>
    <n v="0"/>
    <n v="0"/>
    <n v="0"/>
    <n v="0"/>
    <n v="0"/>
    <n v="0"/>
    <n v="0"/>
    <n v="0"/>
    <n v="3.52"/>
    <n v="0"/>
    <n v="5"/>
    <n v="48.54"/>
    <n v="2.31"/>
    <n v="46.23"/>
    <n v="1"/>
  </r>
  <r>
    <s v="2021-06-01"/>
    <s v="Vancouver"/>
    <s v="加拿大二店"/>
    <x v="5"/>
    <x v="12"/>
    <x v="41"/>
    <x v="42"/>
    <x v="43"/>
    <s v="整份"/>
    <n v="7.95"/>
    <s v="份"/>
    <n v="10"/>
    <n v="79.5"/>
    <n v="0"/>
    <n v="0"/>
    <n v="0"/>
    <n v="0"/>
    <n v="3"/>
    <n v="23.85"/>
    <n v="0"/>
    <n v="0"/>
    <n v="1.59"/>
    <n v="0"/>
    <n v="7"/>
    <n v="56.76"/>
    <n v="2.7"/>
    <n v="54.06"/>
    <n v="1"/>
  </r>
  <r>
    <s v="2021-06-01"/>
    <s v="Vancouver"/>
    <s v="加拿大二店"/>
    <x v="2"/>
    <x v="2"/>
    <x v="42"/>
    <x v="43"/>
    <x v="44"/>
    <s v="冰镇"/>
    <n v="5.95"/>
    <s v="瓶"/>
    <n v="2"/>
    <n v="11.9"/>
    <n v="0"/>
    <n v="0"/>
    <n v="0"/>
    <n v="0"/>
    <n v="0"/>
    <n v="0"/>
    <n v="0"/>
    <n v="0"/>
    <n v="0"/>
    <n v="0"/>
    <n v="2"/>
    <n v="13.68"/>
    <n v="1.78"/>
    <n v="11.9"/>
    <n v="1"/>
  </r>
  <r>
    <s v="2021-06-01"/>
    <s v="Vancouver"/>
    <s v="加拿大二店"/>
    <x v="3"/>
    <x v="5"/>
    <x v="43"/>
    <x v="44"/>
    <x v="45"/>
    <s v="整份"/>
    <n v="3.95"/>
    <s v="份"/>
    <n v="3"/>
    <n v="11.85"/>
    <n v="0"/>
    <n v="0"/>
    <n v="0"/>
    <n v="0"/>
    <n v="0"/>
    <n v="0"/>
    <n v="0"/>
    <n v="0"/>
    <n v="0"/>
    <n v="0"/>
    <n v="3"/>
    <n v="12.44"/>
    <n v="0.59"/>
    <n v="11.85"/>
    <n v="1"/>
  </r>
  <r>
    <s v="2021-06-01"/>
    <s v="Vancouver"/>
    <s v="加拿大二店"/>
    <x v="7"/>
    <x v="14"/>
    <x v="44"/>
    <x v="45"/>
    <x v="46"/>
    <s v="整份"/>
    <n v="0"/>
    <s v="份"/>
    <n v="2"/>
    <n v="0"/>
    <n v="0"/>
    <n v="0"/>
    <n v="0"/>
    <n v="0"/>
    <n v="0"/>
    <n v="0"/>
    <n v="0"/>
    <n v="0"/>
    <n v="0"/>
    <n v="0"/>
    <n v="2"/>
    <n v="0"/>
    <n v="0"/>
    <n v="0"/>
    <n v="1"/>
  </r>
  <r>
    <s v="2021-06-01"/>
    <s v="Vancouver"/>
    <s v="加拿大二店"/>
    <x v="7"/>
    <x v="14"/>
    <x v="45"/>
    <x v="46"/>
    <x v="47"/>
    <s v="整份"/>
    <n v="3.95"/>
    <s v="份"/>
    <n v="1"/>
    <n v="3.95"/>
    <n v="0"/>
    <n v="0"/>
    <n v="0"/>
    <n v="0"/>
    <n v="0"/>
    <n v="0"/>
    <n v="0"/>
    <n v="0"/>
    <n v="0"/>
    <n v="0"/>
    <n v="1"/>
    <n v="4.14"/>
    <n v="0.19"/>
    <n v="3.95"/>
    <n v="1"/>
  </r>
  <r>
    <s v="2021-06-01"/>
    <s v="Vancouver"/>
    <s v="加拿大二店"/>
    <x v="7"/>
    <x v="14"/>
    <x v="45"/>
    <x v="46"/>
    <x v="47"/>
    <s v="整份"/>
    <n v="3.97"/>
    <s v="份"/>
    <n v="1"/>
    <n v="3.97"/>
    <n v="0"/>
    <n v="0"/>
    <n v="0"/>
    <n v="0"/>
    <n v="0"/>
    <n v="0"/>
    <n v="0"/>
    <n v="0"/>
    <n v="0"/>
    <n v="0"/>
    <n v="1"/>
    <n v="4.16"/>
    <n v="0.19"/>
    <n v="3.97"/>
    <n v="1"/>
  </r>
  <r>
    <s v="2021-06-01"/>
    <s v="Vancouver"/>
    <s v="加拿大二店"/>
    <x v="7"/>
    <x v="14"/>
    <x v="45"/>
    <x v="46"/>
    <x v="47"/>
    <s v="整份"/>
    <n v="3.98"/>
    <s v="份"/>
    <n v="1"/>
    <n v="3.98"/>
    <n v="0"/>
    <n v="0"/>
    <n v="0"/>
    <n v="0"/>
    <n v="0"/>
    <n v="0"/>
    <n v="0"/>
    <n v="0"/>
    <n v="0"/>
    <n v="0"/>
    <n v="1"/>
    <n v="4.17"/>
    <n v="0.19"/>
    <n v="3.98"/>
    <n v="1"/>
  </r>
  <r>
    <s v="2021-06-01"/>
    <s v="Vancouver"/>
    <s v="加拿大二店"/>
    <x v="7"/>
    <x v="14"/>
    <x v="45"/>
    <x v="46"/>
    <x v="47"/>
    <s v="整份"/>
    <n v="4.97"/>
    <s v="份"/>
    <n v="1"/>
    <n v="4.97"/>
    <n v="0"/>
    <n v="0"/>
    <n v="0"/>
    <n v="0"/>
    <n v="0"/>
    <n v="0"/>
    <n v="0"/>
    <n v="0"/>
    <n v="0"/>
    <n v="0"/>
    <n v="1"/>
    <n v="5.21"/>
    <n v="0.24"/>
    <n v="4.97"/>
    <n v="1"/>
  </r>
  <r>
    <s v="2021-06-01"/>
    <s v="Vancouver"/>
    <s v="加拿大二店"/>
    <x v="7"/>
    <x v="14"/>
    <x v="45"/>
    <x v="46"/>
    <x v="47"/>
    <s v="整份"/>
    <n v="12.99"/>
    <s v="份"/>
    <n v="5"/>
    <n v="64.95"/>
    <n v="1"/>
    <n v="12.99"/>
    <n v="0"/>
    <n v="0"/>
    <n v="0"/>
    <n v="0"/>
    <n v="0"/>
    <n v="-0.01"/>
    <n v="0"/>
    <n v="0"/>
    <n v="4"/>
    <n v="54.56"/>
    <n v="2.59"/>
    <n v="51.97"/>
    <n v="1"/>
  </r>
  <r>
    <s v="2021-06-01"/>
    <s v="Vancouver"/>
    <s v="加拿大二店"/>
    <x v="7"/>
    <x v="14"/>
    <x v="45"/>
    <x v="46"/>
    <x v="47"/>
    <s v="整份"/>
    <n v="14.99"/>
    <s v="份"/>
    <n v="1"/>
    <n v="14.99"/>
    <n v="0"/>
    <n v="0"/>
    <n v="0"/>
    <n v="0"/>
    <n v="0"/>
    <n v="0"/>
    <n v="0"/>
    <n v="-0.01"/>
    <n v="0"/>
    <n v="0"/>
    <n v="1"/>
    <n v="15.75"/>
    <n v="0.75"/>
    <n v="15"/>
    <n v="1"/>
  </r>
  <r>
    <s v="2021-06-01"/>
    <s v="Vancouver"/>
    <s v="加拿大二店"/>
    <x v="7"/>
    <x v="14"/>
    <x v="45"/>
    <x v="46"/>
    <x v="47"/>
    <s v="整份"/>
    <n v="20.9"/>
    <s v="份"/>
    <n v="1"/>
    <n v="20.9"/>
    <n v="0"/>
    <n v="0"/>
    <n v="0"/>
    <n v="0"/>
    <n v="0"/>
    <n v="0"/>
    <n v="0"/>
    <n v="0"/>
    <n v="7"/>
    <n v="0"/>
    <n v="1"/>
    <n v="14.59"/>
    <n v="0.69"/>
    <n v="13.9"/>
    <n v="1"/>
  </r>
  <r>
    <s v="2021-06-01"/>
    <s v="Vancouver"/>
    <s v="加拿大二店"/>
    <x v="7"/>
    <x v="14"/>
    <x v="45"/>
    <x v="46"/>
    <x v="47"/>
    <s v="整份"/>
    <n v="25.46"/>
    <s v="份"/>
    <n v="1"/>
    <n v="25.46"/>
    <n v="0"/>
    <n v="0"/>
    <n v="0"/>
    <n v="0"/>
    <n v="0"/>
    <n v="0"/>
    <n v="0"/>
    <n v="0"/>
    <n v="0"/>
    <n v="0"/>
    <n v="1"/>
    <n v="26.73"/>
    <n v="1.27"/>
    <n v="25.46"/>
    <n v="1"/>
  </r>
  <r>
    <s v="2021-06-01"/>
    <s v="Vancouver"/>
    <s v="加拿大二店"/>
    <x v="7"/>
    <x v="14"/>
    <x v="45"/>
    <x v="46"/>
    <x v="47"/>
    <s v="整份"/>
    <n v="25.99"/>
    <s v="份"/>
    <n v="1"/>
    <n v="25.99"/>
    <n v="0"/>
    <n v="0"/>
    <n v="0"/>
    <n v="0"/>
    <n v="0"/>
    <n v="0"/>
    <n v="0"/>
    <n v="0"/>
    <n v="0"/>
    <n v="0"/>
    <n v="1"/>
    <n v="27.28"/>
    <n v="1.29"/>
    <n v="25.99"/>
    <n v="1"/>
  </r>
  <r>
    <s v="2021-06-01"/>
    <s v="Vancouver"/>
    <s v="加拿大二店"/>
    <x v="7"/>
    <x v="14"/>
    <x v="45"/>
    <x v="46"/>
    <x v="47"/>
    <s v="整份"/>
    <n v="26.25"/>
    <s v="份"/>
    <n v="1"/>
    <n v="26.25"/>
    <n v="0"/>
    <n v="0"/>
    <n v="0"/>
    <n v="0"/>
    <n v="0"/>
    <n v="0"/>
    <n v="0"/>
    <n v="-0.02"/>
    <n v="0"/>
    <n v="0"/>
    <n v="1"/>
    <n v="27.58"/>
    <n v="1.31"/>
    <n v="26.27"/>
    <n v="1"/>
  </r>
  <r>
    <s v="2021-06-01"/>
    <s v="Vancouver"/>
    <s v="加拿大二店"/>
    <x v="7"/>
    <x v="14"/>
    <x v="45"/>
    <x v="46"/>
    <x v="47"/>
    <s v="整份"/>
    <n v="27.58"/>
    <s v="份"/>
    <n v="1"/>
    <n v="27.58"/>
    <n v="0"/>
    <n v="0"/>
    <n v="0"/>
    <n v="0"/>
    <n v="0"/>
    <n v="0"/>
    <n v="0"/>
    <n v="0.02"/>
    <n v="0"/>
    <n v="0"/>
    <n v="1"/>
    <n v="28.93"/>
    <n v="1.37"/>
    <n v="27.56"/>
    <n v="1"/>
  </r>
  <r>
    <s v="2021-06-01"/>
    <s v="Vancouver"/>
    <s v="加拿大二店"/>
    <x v="7"/>
    <x v="14"/>
    <x v="45"/>
    <x v="46"/>
    <x v="47"/>
    <s v="整份"/>
    <n v="28.95"/>
    <s v="份"/>
    <n v="5"/>
    <n v="144.75"/>
    <n v="0"/>
    <n v="0"/>
    <n v="0"/>
    <n v="0"/>
    <n v="0"/>
    <n v="0"/>
    <n v="0"/>
    <n v="0"/>
    <n v="0"/>
    <n v="0"/>
    <n v="5"/>
    <n v="151.98"/>
    <n v="7.23"/>
    <n v="144.75"/>
    <n v="1"/>
  </r>
  <r>
    <s v="2021-06-01"/>
    <s v="Vancouver"/>
    <s v="加拿大二店"/>
    <x v="7"/>
    <x v="14"/>
    <x v="45"/>
    <x v="46"/>
    <x v="47"/>
    <s v="整份"/>
    <n v="29.75"/>
    <s v="份"/>
    <n v="1"/>
    <n v="29.75"/>
    <n v="0"/>
    <n v="0"/>
    <n v="0"/>
    <n v="0"/>
    <n v="0"/>
    <n v="0"/>
    <n v="0"/>
    <n v="0"/>
    <n v="0"/>
    <n v="0"/>
    <n v="1"/>
    <n v="31.23"/>
    <n v="1.48"/>
    <n v="29.75"/>
    <n v="1"/>
  </r>
  <r>
    <s v="2021-06-01"/>
    <s v="Vancouver"/>
    <s v="加拿大二店"/>
    <x v="7"/>
    <x v="14"/>
    <x v="45"/>
    <x v="46"/>
    <x v="47"/>
    <s v="整份"/>
    <n v="30.04"/>
    <s v="份"/>
    <n v="1"/>
    <n v="30.04"/>
    <n v="0"/>
    <n v="0"/>
    <n v="0"/>
    <n v="0"/>
    <n v="0"/>
    <n v="0"/>
    <n v="0"/>
    <n v="0.01"/>
    <n v="0"/>
    <n v="0"/>
    <n v="1"/>
    <n v="31.53"/>
    <n v="1.5"/>
    <n v="30.03"/>
    <n v="1"/>
  </r>
  <r>
    <s v="2021-06-01"/>
    <s v="Vancouver"/>
    <s v="加拿大二店"/>
    <x v="7"/>
    <x v="14"/>
    <x v="45"/>
    <x v="46"/>
    <x v="47"/>
    <s v="整份"/>
    <n v="32.69"/>
    <s v="份"/>
    <n v="1"/>
    <n v="32.69"/>
    <n v="0"/>
    <n v="0"/>
    <n v="0"/>
    <n v="0"/>
    <n v="0"/>
    <n v="0"/>
    <n v="0"/>
    <n v="-0.01"/>
    <n v="0"/>
    <n v="0"/>
    <n v="1"/>
    <n v="34.33"/>
    <n v="1.63"/>
    <n v="32.7"/>
    <n v="1"/>
  </r>
  <r>
    <s v="2021-06-01"/>
    <s v="Vancouver"/>
    <s v="加拿大二店"/>
    <x v="7"/>
    <x v="14"/>
    <x v="45"/>
    <x v="46"/>
    <x v="47"/>
    <s v="整份"/>
    <n v="34.6"/>
    <s v="份"/>
    <n v="1"/>
    <n v="34.6"/>
    <n v="0"/>
    <n v="0"/>
    <n v="0"/>
    <n v="0"/>
    <n v="0"/>
    <n v="0"/>
    <n v="0"/>
    <n v="0"/>
    <n v="6.45"/>
    <n v="0"/>
    <n v="1"/>
    <n v="29.55"/>
    <n v="1.4"/>
    <n v="28.15"/>
    <n v="1"/>
  </r>
  <r>
    <s v="2021-06-01"/>
    <s v="Vancouver"/>
    <s v="加拿大二店"/>
    <x v="7"/>
    <x v="14"/>
    <x v="45"/>
    <x v="46"/>
    <x v="47"/>
    <s v="整份"/>
    <n v="35.1"/>
    <s v="份"/>
    <n v="1"/>
    <n v="35.1"/>
    <n v="0"/>
    <n v="0"/>
    <n v="0"/>
    <n v="0"/>
    <n v="0"/>
    <n v="0"/>
    <n v="0"/>
    <n v="-0.01"/>
    <n v="0"/>
    <n v="0"/>
    <n v="1"/>
    <n v="36.86"/>
    <n v="1.75"/>
    <n v="35.11"/>
    <n v="1"/>
  </r>
  <r>
    <s v="2021-06-01"/>
    <s v="Vancouver"/>
    <s v="加拿大二店"/>
    <x v="7"/>
    <x v="14"/>
    <x v="45"/>
    <x v="46"/>
    <x v="47"/>
    <s v="整份"/>
    <n v="40"/>
    <s v="份"/>
    <n v="1"/>
    <n v="40"/>
    <n v="0"/>
    <n v="0"/>
    <n v="0"/>
    <n v="0"/>
    <n v="0"/>
    <n v="0"/>
    <n v="0"/>
    <n v="0.02"/>
    <n v="0"/>
    <n v="0"/>
    <n v="1"/>
    <n v="41.97"/>
    <n v="1.99"/>
    <n v="39.98"/>
    <n v="1"/>
  </r>
  <r>
    <s v="2021-06-01"/>
    <s v="Vancouver"/>
    <s v="加拿大二店"/>
    <x v="7"/>
    <x v="14"/>
    <x v="45"/>
    <x v="46"/>
    <x v="47"/>
    <s v="整份"/>
    <n v="41.92"/>
    <s v="份"/>
    <n v="1"/>
    <n v="41.92"/>
    <n v="0"/>
    <n v="0"/>
    <n v="0"/>
    <n v="0"/>
    <n v="0"/>
    <n v="0"/>
    <n v="0"/>
    <n v="-0.01"/>
    <n v="0"/>
    <n v="0"/>
    <n v="1"/>
    <n v="44.02"/>
    <n v="2.09"/>
    <n v="41.93"/>
    <n v="1"/>
  </r>
  <r>
    <s v="2021-06-01"/>
    <s v="Vancouver"/>
    <s v="加拿大二店"/>
    <x v="7"/>
    <x v="14"/>
    <x v="45"/>
    <x v="46"/>
    <x v="47"/>
    <s v="整份"/>
    <n v="47.57"/>
    <s v="份"/>
    <n v="1"/>
    <n v="47.57"/>
    <n v="0"/>
    <n v="0"/>
    <n v="0"/>
    <n v="0"/>
    <n v="0"/>
    <n v="0"/>
    <n v="0"/>
    <n v="-0.02"/>
    <n v="7"/>
    <n v="0"/>
    <n v="1"/>
    <n v="42.61"/>
    <n v="2.02"/>
    <n v="40.59"/>
    <n v="1"/>
  </r>
  <r>
    <s v="2021-06-01"/>
    <s v="Vancouver"/>
    <s v="加拿大二店"/>
    <x v="7"/>
    <x v="14"/>
    <x v="45"/>
    <x v="46"/>
    <x v="47"/>
    <s v="整份"/>
    <n v="59.95"/>
    <s v="份"/>
    <n v="1"/>
    <n v="59.95"/>
    <n v="0"/>
    <n v="0"/>
    <n v="0"/>
    <n v="0"/>
    <n v="0"/>
    <n v="0"/>
    <n v="0"/>
    <n v="-0.02"/>
    <n v="0"/>
    <n v="0"/>
    <n v="1"/>
    <n v="62.96"/>
    <n v="2.99"/>
    <n v="59.97"/>
    <n v="1"/>
  </r>
  <r>
    <s v="2021-06-01"/>
    <s v="Vancouver"/>
    <s v="加拿大二店"/>
    <x v="7"/>
    <x v="14"/>
    <x v="45"/>
    <x v="46"/>
    <x v="47"/>
    <s v="整份"/>
    <n v="110.32"/>
    <s v="份"/>
    <n v="1"/>
    <n v="110.32"/>
    <n v="0"/>
    <n v="0"/>
    <n v="0"/>
    <n v="0"/>
    <n v="0"/>
    <n v="0"/>
    <n v="0"/>
    <n v="0"/>
    <n v="0"/>
    <n v="0"/>
    <n v="1"/>
    <n v="115.83"/>
    <n v="5.51"/>
    <n v="110.32"/>
    <n v="1"/>
  </r>
  <r>
    <s v="2021-06-01"/>
    <s v="Vancouver"/>
    <s v="加拿大二店"/>
    <x v="7"/>
    <x v="14"/>
    <x v="45"/>
    <x v="46"/>
    <x v="47"/>
    <s v="整份"/>
    <n v="128.95"/>
    <s v="份"/>
    <n v="1"/>
    <n v="128.95"/>
    <n v="0"/>
    <n v="0"/>
    <n v="0"/>
    <n v="0"/>
    <n v="0"/>
    <n v="0"/>
    <n v="0"/>
    <n v="-0.02"/>
    <n v="0"/>
    <n v="0"/>
    <n v="1"/>
    <n v="135.41"/>
    <n v="6.44"/>
    <n v="128.97"/>
    <n v="1"/>
  </r>
  <r>
    <s v="2021-06-01"/>
    <s v="Vancouver"/>
    <s v="加拿大二店"/>
    <x v="2"/>
    <x v="4"/>
    <x v="46"/>
    <x v="47"/>
    <x v="48"/>
    <s v="冰镇"/>
    <n v="2.45"/>
    <s v="听"/>
    <n v="4"/>
    <n v="9.8"/>
    <n v="0"/>
    <n v="0"/>
    <n v="0"/>
    <n v="0"/>
    <n v="0"/>
    <n v="0"/>
    <n v="0"/>
    <n v="0"/>
    <n v="0.49"/>
    <n v="0"/>
    <n v="4"/>
    <n v="10.42"/>
    <n v="1.11"/>
    <n v="9.31"/>
    <n v="1"/>
  </r>
  <r>
    <s v="2021-06-01"/>
    <s v="Vancouver"/>
    <s v="加拿大二店"/>
    <x v="2"/>
    <x v="4"/>
    <x v="47"/>
    <x v="48"/>
    <x v="49"/>
    <s v="冰镇"/>
    <n v="2.95"/>
    <s v="听"/>
    <n v="4"/>
    <n v="11.8"/>
    <n v="0"/>
    <n v="0"/>
    <n v="0"/>
    <n v="0"/>
    <n v="0"/>
    <n v="0"/>
    <n v="0"/>
    <n v="-0.01"/>
    <n v="0"/>
    <n v="0"/>
    <n v="4"/>
    <n v="13.22"/>
    <n v="1.41"/>
    <n v="11.81"/>
    <n v="1"/>
  </r>
  <r>
    <s v="2021-06-01"/>
    <s v="Vancouver"/>
    <s v="加拿大二店"/>
    <x v="6"/>
    <x v="13"/>
    <x v="48"/>
    <x v="49"/>
    <x v="50"/>
    <s v="整份"/>
    <n v="4.95"/>
    <s v="份"/>
    <n v="5"/>
    <n v="24.75"/>
    <n v="0"/>
    <n v="0"/>
    <n v="0"/>
    <n v="0"/>
    <n v="0"/>
    <n v="0"/>
    <n v="0"/>
    <n v="0"/>
    <n v="2.47"/>
    <n v="0"/>
    <n v="5"/>
    <n v="23.39"/>
    <n v="1.11"/>
    <n v="22.28"/>
    <n v="1"/>
  </r>
  <r>
    <s v="2021-06-01"/>
    <s v="Vancouver"/>
    <s v="加拿大二店"/>
    <x v="3"/>
    <x v="7"/>
    <x v="49"/>
    <x v="50"/>
    <x v="51"/>
    <s v="整份"/>
    <n v="4.95"/>
    <s v="份"/>
    <n v="4"/>
    <n v="19.8"/>
    <n v="0"/>
    <n v="0"/>
    <n v="0"/>
    <n v="0"/>
    <n v="0"/>
    <n v="0"/>
    <n v="0"/>
    <n v="0"/>
    <n v="1.51"/>
    <n v="0"/>
    <n v="4"/>
    <n v="19.2"/>
    <n v="0.91"/>
    <n v="18.29"/>
    <n v="1"/>
  </r>
  <r>
    <s v="2021-06-01"/>
    <s v="Vancouver"/>
    <s v="加拿大二店"/>
    <x v="6"/>
    <x v="15"/>
    <x v="50"/>
    <x v="51"/>
    <x v="52"/>
    <s v="份"/>
    <n v="8.95"/>
    <s v="份"/>
    <n v="3"/>
    <n v="26.85"/>
    <n v="0"/>
    <n v="0"/>
    <n v="0"/>
    <n v="0"/>
    <n v="0"/>
    <n v="0"/>
    <n v="0"/>
    <n v="0.01"/>
    <n v="0"/>
    <n v="0"/>
    <n v="3"/>
    <n v="28.18"/>
    <n v="1.34"/>
    <n v="26.84"/>
    <n v="1"/>
  </r>
  <r>
    <s v="2021-06-01"/>
    <s v="Vancouver"/>
    <s v="加拿大二店"/>
    <x v="3"/>
    <x v="5"/>
    <x v="51"/>
    <x v="52"/>
    <x v="53"/>
    <s v="整份"/>
    <n v="3.95"/>
    <s v="份"/>
    <n v="3"/>
    <n v="11.85"/>
    <n v="0"/>
    <n v="0"/>
    <n v="0"/>
    <n v="0"/>
    <n v="1"/>
    <n v="3.95"/>
    <n v="0"/>
    <n v="0"/>
    <n v="0"/>
    <n v="0"/>
    <n v="2"/>
    <n v="8.29"/>
    <n v="0.39"/>
    <n v="7.9"/>
    <n v="1"/>
  </r>
  <r>
    <s v="2021-06-01"/>
    <s v="Vancouver"/>
    <s v="加拿大二店"/>
    <x v="3"/>
    <x v="5"/>
    <x v="52"/>
    <x v="53"/>
    <x v="54"/>
    <s v="整份"/>
    <n v="5.95"/>
    <s v="份"/>
    <n v="6"/>
    <n v="35.7"/>
    <n v="0"/>
    <n v="0"/>
    <n v="0"/>
    <n v="0"/>
    <n v="2"/>
    <n v="11.9"/>
    <n v="0"/>
    <n v="0.01"/>
    <n v="2.38"/>
    <n v="0"/>
    <n v="4"/>
    <n v="22.48"/>
    <n v="1.07"/>
    <n v="21.41"/>
    <n v="1"/>
  </r>
  <r>
    <s v="2021-06-01"/>
    <s v="Vancouver"/>
    <s v="加拿大二店"/>
    <x v="4"/>
    <x v="9"/>
    <x v="53"/>
    <x v="0"/>
    <x v="55"/>
    <s v="拼锅"/>
    <n v="0"/>
    <s v="锅"/>
    <n v="6"/>
    <n v="0"/>
    <n v="0"/>
    <n v="0"/>
    <n v="0"/>
    <n v="0"/>
    <n v="0"/>
    <n v="0"/>
    <n v="0"/>
    <n v="0"/>
    <n v="0"/>
    <n v="0"/>
    <n v="6"/>
    <n v="0"/>
    <n v="0"/>
    <n v="0"/>
    <n v="2"/>
  </r>
  <r>
    <s v="2021-06-01"/>
    <s v="Vancouver"/>
    <s v="加拿大二店"/>
    <x v="4"/>
    <x v="10"/>
    <x v="53"/>
    <x v="0"/>
    <x v="55"/>
    <s v="四宫格"/>
    <n v="0"/>
    <s v="锅"/>
    <n v="7"/>
    <n v="0"/>
    <n v="0"/>
    <n v="0"/>
    <n v="0"/>
    <n v="0"/>
    <n v="2"/>
    <n v="0"/>
    <n v="0"/>
    <n v="0"/>
    <n v="0"/>
    <n v="0"/>
    <n v="5"/>
    <n v="0"/>
    <n v="0"/>
    <n v="0"/>
    <n v="1"/>
  </r>
  <r>
    <s v="2021-06-01"/>
    <s v="Vancouver"/>
    <s v="加拿大二店"/>
    <x v="6"/>
    <x v="13"/>
    <x v="54"/>
    <x v="54"/>
    <x v="56"/>
    <s v="个"/>
    <n v="1.95"/>
    <s v="个"/>
    <n v="5"/>
    <n v="9.75"/>
    <n v="0"/>
    <n v="0"/>
    <n v="0"/>
    <n v="0"/>
    <n v="0"/>
    <n v="0"/>
    <n v="0"/>
    <n v="0"/>
    <n v="0.39"/>
    <n v="0"/>
    <n v="5"/>
    <n v="9.82"/>
    <n v="0.46"/>
    <n v="9.36"/>
    <n v="1"/>
  </r>
  <r>
    <s v="2021-06-01"/>
    <s v="Vancouver"/>
    <s v="加拿大二店"/>
    <x v="1"/>
    <x v="8"/>
    <x v="55"/>
    <x v="55"/>
    <x v="57"/>
    <s v="整份"/>
    <n v="9.95"/>
    <s v="份"/>
    <n v="4"/>
    <n v="39.8"/>
    <n v="0"/>
    <n v="0"/>
    <n v="0"/>
    <n v="0"/>
    <n v="1"/>
    <n v="9.95"/>
    <n v="0"/>
    <n v="0"/>
    <n v="0.99"/>
    <n v="0"/>
    <n v="3"/>
    <n v="30.3"/>
    <n v="1.44"/>
    <n v="28.86"/>
    <n v="1"/>
  </r>
  <r>
    <s v="2021-06-01"/>
    <s v="Vancouver"/>
    <s v="加拿大二店"/>
    <x v="1"/>
    <x v="1"/>
    <x v="56"/>
    <x v="56"/>
    <x v="58"/>
    <s v="整份"/>
    <n v="12.95"/>
    <s v="份"/>
    <n v="8"/>
    <n v="103.6"/>
    <n v="0"/>
    <n v="0"/>
    <n v="0"/>
    <n v="0"/>
    <n v="0"/>
    <n v="0"/>
    <n v="0"/>
    <n v="0"/>
    <n v="6.53"/>
    <n v="0"/>
    <n v="8"/>
    <n v="101.92"/>
    <n v="4.85"/>
    <n v="97.07"/>
    <n v="1"/>
  </r>
  <r>
    <s v="2021-06-01"/>
    <s v="Vancouver"/>
    <s v="加拿大二店"/>
    <x v="1"/>
    <x v="1"/>
    <x v="57"/>
    <x v="57"/>
    <x v="59"/>
    <s v="整份"/>
    <n v="11.95"/>
    <s v="份"/>
    <n v="24"/>
    <n v="286.8"/>
    <n v="1"/>
    <n v="11.95"/>
    <n v="0"/>
    <n v="0"/>
    <n v="1"/>
    <n v="11.95"/>
    <n v="0"/>
    <n v="0"/>
    <n v="20.94"/>
    <n v="0"/>
    <n v="22"/>
    <n v="254.05"/>
    <n v="12.09"/>
    <n v="241.96"/>
    <n v="1"/>
  </r>
  <r>
    <s v="2021-06-01"/>
    <s v="Vancouver"/>
    <s v="加拿大二店"/>
    <x v="4"/>
    <x v="16"/>
    <x v="58"/>
    <x v="0"/>
    <x v="60"/>
    <s v="单锅"/>
    <n v="16.95"/>
    <s v="锅"/>
    <n v="1"/>
    <n v="16.95"/>
    <n v="0"/>
    <n v="0"/>
    <n v="0"/>
    <n v="0"/>
    <n v="0"/>
    <n v="0"/>
    <n v="0"/>
    <n v="0"/>
    <n v="0"/>
    <n v="0"/>
    <n v="1"/>
    <n v="17.79"/>
    <n v="0.84"/>
    <n v="16.95"/>
    <n v="4"/>
  </r>
  <r>
    <s v="2021-06-01"/>
    <s v="Vancouver"/>
    <s v="加拿大二店"/>
    <x v="4"/>
    <x v="9"/>
    <x v="58"/>
    <x v="0"/>
    <x v="60"/>
    <s v="拼锅"/>
    <n v="8.95"/>
    <s v="锅"/>
    <n v="15"/>
    <n v="134.25"/>
    <n v="0"/>
    <n v="0"/>
    <n v="0"/>
    <n v="0"/>
    <n v="0"/>
    <n v="0"/>
    <n v="0"/>
    <n v="-0.04"/>
    <n v="13.26"/>
    <n v="0"/>
    <n v="15"/>
    <n v="127.08"/>
    <n v="6.05"/>
    <n v="121.03"/>
    <n v="2"/>
  </r>
  <r>
    <s v="2021-06-01"/>
    <s v="Vancouver"/>
    <s v="加拿大二店"/>
    <x v="4"/>
    <x v="10"/>
    <x v="58"/>
    <x v="0"/>
    <x v="60"/>
    <s v="四宫格"/>
    <n v="4.95"/>
    <s v="锅"/>
    <n v="8"/>
    <n v="39.6"/>
    <n v="0"/>
    <n v="0"/>
    <n v="0"/>
    <n v="0"/>
    <n v="1"/>
    <n v="4.95"/>
    <n v="0"/>
    <n v="0"/>
    <n v="0.99"/>
    <n v="0"/>
    <n v="7"/>
    <n v="35.34"/>
    <n v="1.68"/>
    <n v="33.66"/>
    <n v="1"/>
  </r>
  <r>
    <s v="2021-06-01"/>
    <s v="Vancouver"/>
    <s v="加拿大二店"/>
    <x v="3"/>
    <x v="5"/>
    <x v="59"/>
    <x v="58"/>
    <x v="61"/>
    <s v="整份"/>
    <n v="4.95"/>
    <s v="份"/>
    <n v="6"/>
    <n v="29.7"/>
    <n v="0"/>
    <n v="0"/>
    <n v="0"/>
    <n v="0"/>
    <n v="0"/>
    <n v="0"/>
    <n v="0"/>
    <n v="0"/>
    <n v="0.99"/>
    <n v="0"/>
    <n v="6"/>
    <n v="30.14"/>
    <n v="1.43"/>
    <n v="28.71"/>
    <n v="1"/>
  </r>
  <r>
    <s v="2021-06-01"/>
    <s v="Vancouver"/>
    <s v="加拿大二店"/>
    <x v="2"/>
    <x v="4"/>
    <x v="60"/>
    <x v="59"/>
    <x v="62"/>
    <s v="冰镇"/>
    <n v="6.95"/>
    <s v="扎"/>
    <n v="2"/>
    <n v="13.9"/>
    <n v="0"/>
    <n v="0"/>
    <n v="0"/>
    <n v="0"/>
    <n v="0"/>
    <n v="0"/>
    <n v="0"/>
    <n v="0"/>
    <n v="0"/>
    <n v="0"/>
    <n v="2"/>
    <n v="15.56"/>
    <n v="1.66"/>
    <n v="13.9"/>
    <n v="1"/>
  </r>
  <r>
    <s v="2021-06-01"/>
    <s v="Vancouver"/>
    <s v="加拿大二店"/>
    <x v="6"/>
    <x v="13"/>
    <x v="61"/>
    <x v="60"/>
    <x v="63"/>
    <s v="整份"/>
    <n v="3.95"/>
    <s v="包"/>
    <n v="12"/>
    <n v="47.4"/>
    <n v="0"/>
    <n v="0"/>
    <n v="0"/>
    <n v="0"/>
    <n v="2"/>
    <n v="7.9"/>
    <n v="0"/>
    <n v="0"/>
    <n v="1.18"/>
    <n v="0"/>
    <n v="10"/>
    <n v="40.23"/>
    <n v="1.91"/>
    <n v="38.32"/>
    <n v="1"/>
  </r>
  <r>
    <s v="2021-06-01"/>
    <s v="Vancouver"/>
    <s v="加拿大二店"/>
    <x v="4"/>
    <x v="16"/>
    <x v="62"/>
    <x v="0"/>
    <x v="64"/>
    <s v="单锅"/>
    <n v="16.95"/>
    <s v="锅"/>
    <n v="1"/>
    <n v="16.95"/>
    <n v="0"/>
    <n v="0"/>
    <n v="0"/>
    <n v="0"/>
    <n v="0"/>
    <n v="0"/>
    <n v="0"/>
    <n v="0.01"/>
    <n v="3.39"/>
    <n v="0"/>
    <n v="1"/>
    <n v="14.22"/>
    <n v="0.67"/>
    <n v="13.55"/>
    <n v="4"/>
  </r>
  <r>
    <s v="2021-06-01"/>
    <s v="Vancouver"/>
    <s v="加拿大二店"/>
    <x v="4"/>
    <x v="9"/>
    <x v="62"/>
    <x v="0"/>
    <x v="64"/>
    <s v="拼锅"/>
    <n v="8.95"/>
    <s v="锅"/>
    <n v="11"/>
    <n v="98.45"/>
    <n v="0"/>
    <n v="0"/>
    <n v="0"/>
    <n v="0"/>
    <n v="0"/>
    <n v="0"/>
    <n v="0"/>
    <n v="0"/>
    <n v="1.79"/>
    <n v="0"/>
    <n v="11"/>
    <n v="101.49"/>
    <n v="4.83"/>
    <n v="96.66"/>
    <n v="2"/>
  </r>
  <r>
    <s v="2021-06-01"/>
    <s v="Vancouver"/>
    <s v="加拿大二店"/>
    <x v="4"/>
    <x v="10"/>
    <x v="62"/>
    <x v="0"/>
    <x v="64"/>
    <s v="四宫格"/>
    <n v="4.95"/>
    <s v="锅"/>
    <n v="11"/>
    <n v="54.45"/>
    <n v="0"/>
    <n v="0"/>
    <n v="0"/>
    <n v="0"/>
    <n v="0"/>
    <n v="0"/>
    <n v="0"/>
    <n v="0"/>
    <n v="0.99"/>
    <n v="0"/>
    <n v="11"/>
    <n v="56.13"/>
    <n v="2.67"/>
    <n v="53.46"/>
    <n v="1"/>
  </r>
  <r>
    <s v="2021-06-01"/>
    <s v="Vancouver"/>
    <s v="加拿大二店"/>
    <x v="6"/>
    <x v="13"/>
    <x v="63"/>
    <x v="61"/>
    <x v="65"/>
    <s v="整份"/>
    <n v="1.5"/>
    <s v="碗"/>
    <n v="9"/>
    <n v="13.5"/>
    <n v="0"/>
    <n v="0"/>
    <n v="0"/>
    <n v="0"/>
    <n v="2"/>
    <n v="3"/>
    <n v="0"/>
    <n v="0"/>
    <n v="0"/>
    <n v="0"/>
    <n v="7"/>
    <n v="11.02"/>
    <n v="0.52"/>
    <n v="10.5"/>
    <n v="1"/>
  </r>
  <r>
    <s v="2021-06-01"/>
    <s v="Vancouver"/>
    <s v="加拿大二店"/>
    <x v="3"/>
    <x v="5"/>
    <x v="64"/>
    <x v="62"/>
    <x v="66"/>
    <s v="整份"/>
    <n v="3.95"/>
    <s v="份"/>
    <n v="3"/>
    <n v="11.85"/>
    <n v="0"/>
    <n v="0"/>
    <n v="0"/>
    <n v="0"/>
    <n v="0"/>
    <n v="0"/>
    <n v="0"/>
    <n v="0"/>
    <n v="1.18"/>
    <n v="0"/>
    <n v="3"/>
    <n v="11.2"/>
    <n v="0.53"/>
    <n v="10.67"/>
    <n v="1"/>
  </r>
  <r>
    <s v="2021-06-01"/>
    <s v="Vancouver"/>
    <s v="加拿大二店"/>
    <x v="2"/>
    <x v="4"/>
    <x v="65"/>
    <x v="63"/>
    <x v="67"/>
    <s v="扎"/>
    <n v="8.95"/>
    <s v="扎"/>
    <n v="2"/>
    <n v="17.9"/>
    <n v="0"/>
    <n v="0"/>
    <n v="0"/>
    <n v="0"/>
    <n v="0"/>
    <n v="0"/>
    <n v="0"/>
    <n v="0.02"/>
    <n v="0"/>
    <n v="0"/>
    <n v="2"/>
    <n v="20.02"/>
    <n v="2.14"/>
    <n v="17.88"/>
    <n v="1"/>
  </r>
  <r>
    <s v="2021-06-01"/>
    <s v="Vancouver"/>
    <s v="加拿大二店"/>
    <x v="2"/>
    <x v="4"/>
    <x v="66"/>
    <x v="64"/>
    <x v="68"/>
    <s v="扎"/>
    <n v="11.95"/>
    <s v="扎"/>
    <n v="3"/>
    <n v="35.85"/>
    <n v="0"/>
    <n v="0"/>
    <n v="0"/>
    <n v="0"/>
    <n v="1"/>
    <n v="11.95"/>
    <n v="0"/>
    <n v="-0.02"/>
    <n v="0"/>
    <n v="0"/>
    <n v="2"/>
    <n v="26.79"/>
    <n v="2.87"/>
    <n v="23.92"/>
    <n v="1"/>
  </r>
  <r>
    <s v="2021-06-01"/>
    <s v="Vancouver"/>
    <s v="加拿大二店"/>
    <x v="3"/>
    <x v="7"/>
    <x v="67"/>
    <x v="65"/>
    <x v="69"/>
    <s v="整份"/>
    <n v="3.95"/>
    <s v="份"/>
    <n v="5"/>
    <n v="19.75"/>
    <n v="0"/>
    <n v="0"/>
    <n v="0"/>
    <n v="0"/>
    <n v="1"/>
    <n v="3.95"/>
    <n v="0"/>
    <n v="0"/>
    <n v="0.79"/>
    <n v="0"/>
    <n v="4"/>
    <n v="15.76"/>
    <n v="0.75"/>
    <n v="15.01"/>
    <n v="1"/>
  </r>
  <r>
    <s v="2021-06-01"/>
    <s v="Vancouver"/>
    <s v="加拿大二店"/>
    <x v="1"/>
    <x v="1"/>
    <x v="68"/>
    <x v="66"/>
    <x v="70"/>
    <s v="整份"/>
    <n v="8.95"/>
    <s v="份"/>
    <n v="35"/>
    <n v="313.25"/>
    <n v="0"/>
    <n v="0"/>
    <n v="0"/>
    <n v="0"/>
    <n v="2"/>
    <n v="17.9"/>
    <n v="0"/>
    <n v="0"/>
    <n v="17.96"/>
    <n v="0"/>
    <n v="33"/>
    <n v="291.25"/>
    <n v="13.86"/>
    <n v="277.39"/>
    <n v="1"/>
  </r>
  <r>
    <s v="2021-06-01"/>
    <s v="Vancouver"/>
    <s v="加拿大二店"/>
    <x v="1"/>
    <x v="1"/>
    <x v="69"/>
    <x v="67"/>
    <x v="71"/>
    <s v="整份"/>
    <n v="8.95"/>
    <s v="份"/>
    <n v="4"/>
    <n v="35.8"/>
    <n v="0"/>
    <n v="0"/>
    <n v="0"/>
    <n v="0"/>
    <n v="0"/>
    <n v="0"/>
    <n v="0"/>
    <n v="0"/>
    <n v="1.79"/>
    <n v="0"/>
    <n v="4"/>
    <n v="35.71"/>
    <n v="1.7"/>
    <n v="34.01"/>
    <n v="1"/>
  </r>
  <r>
    <s v="2021-06-01"/>
    <s v="Vancouver"/>
    <s v="加拿大二店"/>
    <x v="6"/>
    <x v="15"/>
    <x v="70"/>
    <x v="68"/>
    <x v="72"/>
    <s v="整份"/>
    <n v="1.5"/>
    <s v="份"/>
    <n v="1"/>
    <n v="1.5"/>
    <n v="0"/>
    <n v="0"/>
    <n v="0"/>
    <n v="0"/>
    <n v="0"/>
    <n v="0"/>
    <n v="0"/>
    <n v="0"/>
    <n v="0"/>
    <n v="0"/>
    <n v="1"/>
    <n v="1.57"/>
    <n v="0.07"/>
    <n v="1.5"/>
    <n v="1"/>
  </r>
  <r>
    <s v="2021-06-01"/>
    <s v="Vancouver"/>
    <s v="加拿大二店"/>
    <x v="4"/>
    <x v="9"/>
    <x v="71"/>
    <x v="0"/>
    <x v="73"/>
    <s v="拼锅"/>
    <n v="18.95"/>
    <s v="锅"/>
    <n v="4"/>
    <n v="75.8"/>
    <n v="0"/>
    <n v="0"/>
    <n v="0"/>
    <n v="0"/>
    <n v="0"/>
    <n v="0"/>
    <n v="0"/>
    <n v="-0.02"/>
    <n v="9.47"/>
    <n v="0"/>
    <n v="4"/>
    <n v="69.66"/>
    <n v="3.31"/>
    <n v="66.35"/>
    <n v="2"/>
  </r>
  <r>
    <s v="2021-06-01"/>
    <s v="Vancouver"/>
    <s v="加拿大二店"/>
    <x v="4"/>
    <x v="10"/>
    <x v="71"/>
    <x v="0"/>
    <x v="73"/>
    <s v="四宫格"/>
    <n v="9.95"/>
    <s v="锅"/>
    <n v="8"/>
    <n v="79.6"/>
    <n v="0"/>
    <n v="0"/>
    <n v="0"/>
    <n v="0"/>
    <n v="0"/>
    <n v="0"/>
    <n v="0"/>
    <n v="0.02"/>
    <n v="1.99"/>
    <n v="0"/>
    <n v="8"/>
    <n v="81.46"/>
    <n v="3.87"/>
    <n v="77.59"/>
    <n v="1"/>
  </r>
  <r>
    <s v="2021-06-01"/>
    <s v="Vancouver"/>
    <s v="加拿大二店"/>
    <x v="1"/>
    <x v="8"/>
    <x v="72"/>
    <x v="69"/>
    <x v="74"/>
    <s v="个"/>
    <n v="7.95"/>
    <s v="份"/>
    <n v="1"/>
    <n v="7.95"/>
    <n v="0"/>
    <n v="0"/>
    <n v="0"/>
    <n v="0"/>
    <n v="0"/>
    <n v="0"/>
    <n v="0"/>
    <n v="0"/>
    <n v="0"/>
    <n v="0"/>
    <n v="1"/>
    <n v="8.34"/>
    <n v="0.39"/>
    <n v="7.95"/>
    <n v="1"/>
  </r>
  <r>
    <s v="2021-06-01"/>
    <s v="Vancouver"/>
    <s v="加拿大二店"/>
    <x v="6"/>
    <x v="13"/>
    <x v="73"/>
    <x v="70"/>
    <x v="75"/>
    <s v="份"/>
    <n v="6.95"/>
    <s v="份"/>
    <n v="4"/>
    <n v="27.8"/>
    <n v="0"/>
    <n v="0"/>
    <n v="0"/>
    <n v="0"/>
    <n v="1"/>
    <n v="6.95"/>
    <n v="0"/>
    <n v="0.03"/>
    <n v="1.39"/>
    <n v="0"/>
    <n v="3"/>
    <n v="20.4"/>
    <n v="0.97"/>
    <n v="19.43"/>
    <n v="1"/>
  </r>
  <r>
    <s v="2021-06-01"/>
    <s v="Vancouver"/>
    <s v="加拿大二店"/>
    <x v="4"/>
    <x v="9"/>
    <x v="74"/>
    <x v="0"/>
    <x v="76"/>
    <s v="拼锅"/>
    <n v="18.95"/>
    <s v="锅"/>
    <n v="3"/>
    <n v="56.85"/>
    <n v="0"/>
    <n v="0"/>
    <n v="0"/>
    <n v="0"/>
    <n v="0"/>
    <n v="0"/>
    <n v="0"/>
    <n v="0.01"/>
    <n v="3.79"/>
    <n v="0"/>
    <n v="3"/>
    <n v="55.7"/>
    <n v="2.65"/>
    <n v="53.05"/>
    <n v="2"/>
  </r>
  <r>
    <s v="2021-06-01"/>
    <s v="Vancouver"/>
    <s v="加拿大二店"/>
    <x v="4"/>
    <x v="10"/>
    <x v="74"/>
    <x v="0"/>
    <x v="76"/>
    <s v="四宫格"/>
    <n v="9.95"/>
    <s v="锅"/>
    <n v="4"/>
    <n v="39.8"/>
    <n v="0"/>
    <n v="0"/>
    <n v="0"/>
    <n v="0"/>
    <n v="0"/>
    <n v="0"/>
    <n v="0"/>
    <n v="0"/>
    <n v="0"/>
    <n v="0"/>
    <n v="4"/>
    <n v="41.79"/>
    <n v="1.99"/>
    <n v="39.8"/>
    <n v="1"/>
  </r>
  <r>
    <s v="2021-06-01"/>
    <s v="Vancouver"/>
    <s v="加拿大二店"/>
    <x v="8"/>
    <x v="17"/>
    <x v="75"/>
    <x v="71"/>
    <x v="77"/>
    <s v="整份"/>
    <n v="3.99"/>
    <s v="位"/>
    <n v="84"/>
    <n v="335.16"/>
    <n v="1"/>
    <n v="3.99"/>
    <n v="0"/>
    <n v="0"/>
    <n v="0"/>
    <n v="0"/>
    <n v="0"/>
    <n v="0"/>
    <n v="6.02"/>
    <n v="0"/>
    <n v="83"/>
    <n v="341.4"/>
    <n v="16.25"/>
    <n v="325.15"/>
    <n v="1"/>
  </r>
  <r>
    <s v="2021-06-01"/>
    <s v="Vancouver"/>
    <s v="加拿大二店"/>
    <x v="3"/>
    <x v="5"/>
    <x v="76"/>
    <x v="72"/>
    <x v="78"/>
    <s v="整份"/>
    <n v="3.95"/>
    <s v="份"/>
    <n v="3"/>
    <n v="11.85"/>
    <n v="0"/>
    <n v="0"/>
    <n v="0"/>
    <n v="0"/>
    <n v="0"/>
    <n v="0"/>
    <n v="0"/>
    <n v="0"/>
    <n v="1.18"/>
    <n v="0"/>
    <n v="3"/>
    <n v="11.2"/>
    <n v="0.53"/>
    <n v="10.67"/>
    <n v="1"/>
  </r>
  <r>
    <s v="2021-06-01"/>
    <s v="Vancouver"/>
    <s v="加拿大二店"/>
    <x v="1"/>
    <x v="3"/>
    <x v="77"/>
    <x v="73"/>
    <x v="79"/>
    <s v="整份"/>
    <n v="5.95"/>
    <s v="份"/>
    <n v="1"/>
    <n v="5.95"/>
    <n v="0"/>
    <n v="0"/>
    <n v="0"/>
    <n v="0"/>
    <n v="1"/>
    <n v="5.95"/>
    <n v="0"/>
    <n v="0"/>
    <n v="0"/>
    <n v="0"/>
    <n v="0"/>
    <n v="0"/>
    <n v="0"/>
    <n v="0"/>
    <n v="1"/>
  </r>
  <r>
    <s v="2021-06-01"/>
    <s v="Vancouver"/>
    <s v="加拿大二店"/>
    <x v="3"/>
    <x v="11"/>
    <x v="78"/>
    <x v="74"/>
    <x v="80"/>
    <s v="整份"/>
    <n v="5.95"/>
    <s v="份"/>
    <n v="4"/>
    <n v="23.8"/>
    <n v="0"/>
    <n v="0"/>
    <n v="0"/>
    <n v="0"/>
    <n v="0"/>
    <n v="0"/>
    <n v="0"/>
    <n v="0"/>
    <n v="1.19"/>
    <n v="0"/>
    <n v="4"/>
    <n v="23.74"/>
    <n v="1.13"/>
    <n v="22.61"/>
    <n v="1"/>
  </r>
  <r>
    <s v="2021-06-01"/>
    <s v="Vancouver"/>
    <s v="加拿大二店"/>
    <x v="3"/>
    <x v="11"/>
    <x v="78"/>
    <x v="75"/>
    <x v="81"/>
    <s v="半份"/>
    <n v="2.95"/>
    <s v="份"/>
    <n v="8"/>
    <n v="23.6"/>
    <n v="0"/>
    <n v="0"/>
    <n v="0"/>
    <n v="0"/>
    <n v="0"/>
    <n v="0"/>
    <n v="0"/>
    <n v="0"/>
    <n v="2.68"/>
    <n v="0"/>
    <n v="8"/>
    <n v="21.96"/>
    <n v="1.04"/>
    <n v="20.92"/>
    <n v="0.5"/>
  </r>
  <r>
    <s v="2021-06-01"/>
    <s v="Vancouver"/>
    <s v="加拿大二店"/>
    <x v="3"/>
    <x v="5"/>
    <x v="79"/>
    <x v="76"/>
    <x v="82"/>
    <s v="整份"/>
    <n v="3.95"/>
    <s v="份"/>
    <n v="9"/>
    <n v="35.55"/>
    <n v="0"/>
    <n v="0"/>
    <n v="0"/>
    <n v="0"/>
    <n v="0"/>
    <n v="0"/>
    <n v="0"/>
    <n v="0"/>
    <n v="2.4"/>
    <n v="0"/>
    <n v="9"/>
    <n v="34.8"/>
    <n v="1.65"/>
    <n v="33.15"/>
    <n v="1"/>
  </r>
  <r>
    <s v="2021-06-01"/>
    <s v="Vancouver"/>
    <s v="加拿大二店"/>
    <x v="3"/>
    <x v="5"/>
    <x v="80"/>
    <x v="77"/>
    <x v="83"/>
    <s v="整份"/>
    <n v="5.95"/>
    <s v="份"/>
    <n v="8"/>
    <n v="47.6"/>
    <n v="0"/>
    <n v="0"/>
    <n v="0"/>
    <n v="0"/>
    <n v="0"/>
    <n v="0"/>
    <n v="0"/>
    <n v="0"/>
    <n v="6.56"/>
    <n v="0"/>
    <n v="8"/>
    <n v="43.09"/>
    <n v="2.05"/>
    <n v="41.04"/>
    <n v="1"/>
  </r>
  <r>
    <s v="2021-06-01"/>
    <s v="Vancouver"/>
    <s v="加拿大二店"/>
    <x v="4"/>
    <x v="9"/>
    <x v="81"/>
    <x v="0"/>
    <x v="84"/>
    <s v="拼锅"/>
    <n v="8.95"/>
    <s v="锅"/>
    <n v="8"/>
    <n v="71.6"/>
    <n v="0"/>
    <n v="0"/>
    <n v="0"/>
    <n v="0"/>
    <n v="1"/>
    <n v="8.95"/>
    <n v="0"/>
    <n v="0.03"/>
    <n v="0"/>
    <n v="0"/>
    <n v="7"/>
    <n v="65.75"/>
    <n v="3.13"/>
    <n v="62.62"/>
    <n v="2"/>
  </r>
  <r>
    <s v="2021-06-01"/>
    <s v="Vancouver"/>
    <s v="加拿大二店"/>
    <x v="4"/>
    <x v="10"/>
    <x v="81"/>
    <x v="0"/>
    <x v="84"/>
    <s v="四宫格"/>
    <n v="4.95"/>
    <s v="锅"/>
    <n v="8"/>
    <n v="39.6"/>
    <n v="0"/>
    <n v="0"/>
    <n v="0"/>
    <n v="0"/>
    <n v="0"/>
    <n v="0"/>
    <n v="0"/>
    <n v="0"/>
    <n v="0.99"/>
    <n v="0"/>
    <n v="8"/>
    <n v="40.54"/>
    <n v="1.93"/>
    <n v="38.61"/>
    <n v="1"/>
  </r>
  <r>
    <s v="2021-06-01"/>
    <s v="Vancouver"/>
    <s v="加拿大二店"/>
    <x v="3"/>
    <x v="5"/>
    <x v="82"/>
    <x v="78"/>
    <x v="85"/>
    <s v="整份"/>
    <n v="12.95"/>
    <s v="份"/>
    <n v="5"/>
    <n v="64.75"/>
    <n v="0"/>
    <n v="0"/>
    <n v="0"/>
    <n v="0"/>
    <n v="0"/>
    <n v="0"/>
    <n v="0"/>
    <n v="0"/>
    <n v="1.35"/>
    <n v="0"/>
    <n v="5"/>
    <n v="66.57"/>
    <n v="3.17"/>
    <n v="63.4"/>
    <n v="1"/>
  </r>
  <r>
    <s v="2021-06-01"/>
    <s v="Vancouver"/>
    <s v="加拿大二店"/>
    <x v="3"/>
    <x v="11"/>
    <x v="83"/>
    <x v="79"/>
    <x v="86"/>
    <s v="整份"/>
    <n v="5.95"/>
    <s v="份"/>
    <n v="3"/>
    <n v="17.85"/>
    <n v="0"/>
    <n v="0"/>
    <n v="0"/>
    <n v="0"/>
    <n v="1"/>
    <n v="5.95"/>
    <n v="0"/>
    <n v="0"/>
    <n v="0"/>
    <n v="0"/>
    <n v="2"/>
    <n v="12.49"/>
    <n v="0.59"/>
    <n v="11.9"/>
    <n v="1"/>
  </r>
  <r>
    <s v="2021-06-01"/>
    <s v="Vancouver"/>
    <s v="加拿大二店"/>
    <x v="3"/>
    <x v="11"/>
    <x v="83"/>
    <x v="80"/>
    <x v="87"/>
    <s v="半份"/>
    <n v="2.95"/>
    <s v="份"/>
    <n v="3"/>
    <n v="8.85"/>
    <n v="0"/>
    <n v="0"/>
    <n v="0"/>
    <n v="0"/>
    <n v="0"/>
    <n v="0"/>
    <n v="0"/>
    <n v="0"/>
    <n v="0.59"/>
    <n v="0"/>
    <n v="3"/>
    <n v="8.67"/>
    <n v="0.41"/>
    <n v="8.26"/>
    <n v="0.5"/>
  </r>
  <r>
    <s v="2021-06-01"/>
    <s v="Vancouver"/>
    <s v="加拿大二店"/>
    <x v="3"/>
    <x v="11"/>
    <x v="84"/>
    <x v="81"/>
    <x v="88"/>
    <s v="整份"/>
    <n v="11.95"/>
    <s v="份"/>
    <n v="7"/>
    <n v="83.65"/>
    <n v="0"/>
    <n v="0"/>
    <n v="0"/>
    <n v="0"/>
    <n v="0"/>
    <n v="0"/>
    <n v="0"/>
    <n v="0"/>
    <n v="5.97"/>
    <n v="0"/>
    <n v="7"/>
    <n v="81.56"/>
    <n v="3.88"/>
    <n v="77.68"/>
    <n v="1"/>
  </r>
  <r>
    <s v="2021-06-01"/>
    <s v="Vancouver"/>
    <s v="加拿大二店"/>
    <x v="1"/>
    <x v="3"/>
    <x v="85"/>
    <x v="82"/>
    <x v="89"/>
    <s v="整份"/>
    <n v="6.95"/>
    <s v="份"/>
    <n v="5"/>
    <n v="34.75"/>
    <n v="0"/>
    <n v="0"/>
    <n v="0"/>
    <n v="0"/>
    <n v="0"/>
    <n v="0"/>
    <n v="0"/>
    <n v="0"/>
    <n v="0"/>
    <n v="0"/>
    <n v="5"/>
    <n v="36.48"/>
    <n v="1.73"/>
    <n v="34.75"/>
    <n v="1"/>
  </r>
  <r>
    <s v="2021-06-01"/>
    <s v="Vancouver"/>
    <s v="加拿大二店"/>
    <x v="6"/>
    <x v="13"/>
    <x v="86"/>
    <x v="83"/>
    <x v="90"/>
    <s v="碗"/>
    <n v="2.95"/>
    <s v="碗"/>
    <n v="9"/>
    <n v="26.55"/>
    <n v="0"/>
    <n v="0"/>
    <n v="0"/>
    <n v="0"/>
    <n v="0"/>
    <n v="0"/>
    <n v="0"/>
    <n v="0"/>
    <n v="0"/>
    <n v="0"/>
    <n v="9"/>
    <n v="27.87"/>
    <n v="1.32"/>
    <n v="26.55"/>
    <n v="1"/>
  </r>
  <r>
    <s v="2021-06-01"/>
    <s v="Vancouver"/>
    <s v="加拿大二店"/>
    <x v="2"/>
    <x v="4"/>
    <x v="87"/>
    <x v="84"/>
    <x v="91"/>
    <s v="常温"/>
    <n v="2.95"/>
    <s v="扎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01"/>
    <s v="Vancouver"/>
    <s v="加拿大二店"/>
    <x v="2"/>
    <x v="4"/>
    <x v="87"/>
    <x v="84"/>
    <x v="91"/>
    <s v="冰镇"/>
    <n v="2.95"/>
    <s v="扎"/>
    <n v="4"/>
    <n v="11.8"/>
    <n v="0"/>
    <n v="0"/>
    <n v="0"/>
    <n v="0"/>
    <n v="0"/>
    <n v="0"/>
    <n v="0"/>
    <n v="0"/>
    <n v="2.06"/>
    <n v="0"/>
    <n v="4"/>
    <n v="10.9"/>
    <n v="1.16"/>
    <n v="9.74"/>
    <n v="1"/>
  </r>
  <r>
    <s v="2021-06-01"/>
    <s v="Vancouver"/>
    <s v="加拿大二店"/>
    <x v="1"/>
    <x v="8"/>
    <x v="88"/>
    <x v="85"/>
    <x v="92"/>
    <s v="整份"/>
    <n v="7.95"/>
    <s v="份"/>
    <n v="5"/>
    <n v="39.75"/>
    <n v="0"/>
    <n v="0"/>
    <n v="0"/>
    <n v="0"/>
    <n v="0"/>
    <n v="0"/>
    <n v="0"/>
    <n v="0"/>
    <n v="3.18"/>
    <n v="0"/>
    <n v="5"/>
    <n v="38.39"/>
    <n v="1.82"/>
    <n v="36.57"/>
    <n v="1"/>
  </r>
  <r>
    <s v="2021-06-01"/>
    <s v="Vancouver"/>
    <s v="加拿大二店"/>
    <x v="1"/>
    <x v="8"/>
    <x v="89"/>
    <x v="86"/>
    <x v="93"/>
    <s v="整份"/>
    <n v="4.95"/>
    <s v="份"/>
    <n v="10"/>
    <n v="49.5"/>
    <n v="0"/>
    <n v="0"/>
    <n v="0"/>
    <n v="0"/>
    <n v="0"/>
    <n v="0"/>
    <n v="0"/>
    <n v="0"/>
    <n v="3.71"/>
    <n v="0"/>
    <n v="10"/>
    <n v="48.07"/>
    <n v="2.28"/>
    <n v="45.79"/>
    <n v="1"/>
  </r>
  <r>
    <s v="2021-06-01"/>
    <s v="Vancouver"/>
    <s v="加拿大二店"/>
    <x v="3"/>
    <x v="7"/>
    <x v="90"/>
    <x v="87"/>
    <x v="94"/>
    <s v="整份"/>
    <n v="4.95"/>
    <s v="份"/>
    <n v="3"/>
    <n v="14.85"/>
    <n v="1"/>
    <n v="4.95"/>
    <n v="0"/>
    <n v="0"/>
    <n v="1"/>
    <n v="4.95"/>
    <n v="0"/>
    <n v="0"/>
    <n v="0.49"/>
    <n v="0"/>
    <n v="1"/>
    <n v="4.68"/>
    <n v="0.22"/>
    <n v="4.46"/>
    <n v="1"/>
  </r>
  <r>
    <s v="2021-06-01"/>
    <s v="Vancouver"/>
    <s v="加拿大二店"/>
    <x v="6"/>
    <x v="18"/>
    <x v="91"/>
    <x v="88"/>
    <x v="95"/>
    <s v="整份"/>
    <n v="2.95"/>
    <s v="份"/>
    <n v="4"/>
    <n v="11.8"/>
    <n v="0"/>
    <n v="0"/>
    <n v="0"/>
    <n v="0"/>
    <n v="0"/>
    <n v="0"/>
    <n v="0"/>
    <n v="0"/>
    <n v="0.55"/>
    <n v="0"/>
    <n v="4"/>
    <n v="11.81"/>
    <n v="0.56"/>
    <n v="11.25"/>
    <n v="1"/>
  </r>
  <r>
    <s v="2021-06-01"/>
    <s v="Vancouver"/>
    <s v="加拿大二店"/>
    <x v="4"/>
    <x v="9"/>
    <x v="92"/>
    <x v="0"/>
    <x v="96"/>
    <s v="拼锅"/>
    <n v="8.95"/>
    <s v="锅"/>
    <n v="2"/>
    <n v="17.9"/>
    <n v="0"/>
    <n v="0"/>
    <n v="0"/>
    <n v="0"/>
    <n v="0"/>
    <n v="0"/>
    <n v="0"/>
    <n v="-0.04"/>
    <n v="1.79"/>
    <n v="0"/>
    <n v="2"/>
    <n v="16.95"/>
    <n v="0.8"/>
    <n v="16.15"/>
    <n v="2"/>
  </r>
  <r>
    <s v="2021-06-01"/>
    <s v="Vancouver"/>
    <s v="加拿大二店"/>
    <x v="4"/>
    <x v="10"/>
    <x v="92"/>
    <x v="0"/>
    <x v="96"/>
    <s v="四宫格"/>
    <n v="4.95"/>
    <s v="锅"/>
    <n v="1"/>
    <n v="4.95"/>
    <n v="0"/>
    <n v="0"/>
    <n v="0"/>
    <n v="0"/>
    <n v="0"/>
    <n v="0"/>
    <n v="0"/>
    <n v="0.02"/>
    <n v="0"/>
    <n v="0"/>
    <n v="1"/>
    <n v="5.17"/>
    <n v="0.24"/>
    <n v="4.93"/>
    <n v="1"/>
  </r>
  <r>
    <s v="2021-06-01"/>
    <s v="Vancouver"/>
    <s v="加拿大二店"/>
    <x v="3"/>
    <x v="5"/>
    <x v="93"/>
    <x v="89"/>
    <x v="97"/>
    <s v="整份"/>
    <n v="5.95"/>
    <s v="份"/>
    <n v="8"/>
    <n v="47.6"/>
    <n v="0"/>
    <n v="0"/>
    <n v="0"/>
    <n v="0"/>
    <n v="0"/>
    <n v="0"/>
    <n v="0"/>
    <n v="0"/>
    <n v="1.19"/>
    <n v="0"/>
    <n v="8"/>
    <n v="48.73"/>
    <n v="2.32"/>
    <n v="46.41"/>
    <n v="1"/>
  </r>
  <r>
    <s v="2021-06-01"/>
    <s v="Vancouver"/>
    <s v="加拿大二店"/>
    <x v="6"/>
    <x v="13"/>
    <x v="94"/>
    <x v="90"/>
    <x v="98"/>
    <s v="整份"/>
    <n v="4.95"/>
    <s v="份"/>
    <n v="9"/>
    <n v="44.55"/>
    <n v="0"/>
    <n v="0"/>
    <n v="0"/>
    <n v="0"/>
    <n v="0"/>
    <n v="0"/>
    <n v="0"/>
    <n v="0"/>
    <n v="0"/>
    <n v="0"/>
    <n v="9"/>
    <n v="46.77"/>
    <n v="2.22"/>
    <n v="44.55"/>
    <n v="1"/>
  </r>
  <r>
    <s v="2021-06-01"/>
    <s v="Vancouver"/>
    <s v="加拿大二店"/>
    <x v="2"/>
    <x v="4"/>
    <x v="95"/>
    <x v="91"/>
    <x v="99"/>
    <s v="冰镇"/>
    <n v="2.45"/>
    <s v="听"/>
    <n v="7"/>
    <n v="17.15"/>
    <n v="0"/>
    <n v="0"/>
    <n v="0"/>
    <n v="0"/>
    <n v="0"/>
    <n v="0"/>
    <n v="0"/>
    <n v="0"/>
    <n v="1.4"/>
    <n v="0"/>
    <n v="7"/>
    <n v="17.64"/>
    <n v="1.89"/>
    <n v="15.75"/>
    <n v="1"/>
  </r>
  <r>
    <s v="2021-06-01"/>
    <s v="Vancouver"/>
    <s v="加拿大二店"/>
    <x v="1"/>
    <x v="1"/>
    <x v="96"/>
    <x v="92"/>
    <x v="100"/>
    <s v="整份"/>
    <n v="49.95"/>
    <s v="份"/>
    <n v="1"/>
    <n v="49.95"/>
    <n v="0"/>
    <n v="0"/>
    <n v="0"/>
    <n v="0"/>
    <n v="0"/>
    <n v="0"/>
    <n v="0"/>
    <n v="0.01"/>
    <n v="0"/>
    <n v="0"/>
    <n v="1"/>
    <n v="52.43"/>
    <n v="2.49"/>
    <n v="49.94"/>
    <n v="1"/>
  </r>
  <r>
    <s v="2021-06-01"/>
    <s v="Vancouver"/>
    <s v="加拿大二店"/>
    <x v="2"/>
    <x v="2"/>
    <x v="97"/>
    <x v="93"/>
    <x v="101"/>
    <s v="冰镇"/>
    <n v="5.95"/>
    <s v="听"/>
    <n v="8"/>
    <n v="47.6"/>
    <n v="0"/>
    <n v="0"/>
    <n v="0"/>
    <n v="0"/>
    <n v="0"/>
    <n v="0"/>
    <n v="0"/>
    <n v="0"/>
    <n v="1.19"/>
    <n v="0"/>
    <n v="8"/>
    <n v="53.37"/>
    <n v="6.96"/>
    <n v="46.41"/>
    <n v="1"/>
  </r>
  <r>
    <s v="2021-06-01"/>
    <s v="Vancouver"/>
    <s v="加拿大二店"/>
    <x v="6"/>
    <x v="13"/>
    <x v="98"/>
    <x v="94"/>
    <x v="102"/>
    <s v="整份"/>
    <n v="3.95"/>
    <s v="份"/>
    <n v="4"/>
    <n v="15.8"/>
    <n v="0"/>
    <n v="0"/>
    <n v="0"/>
    <n v="0"/>
    <n v="0"/>
    <n v="0"/>
    <n v="0"/>
    <n v="0"/>
    <n v="0"/>
    <n v="0"/>
    <n v="4"/>
    <n v="16.59"/>
    <n v="0.79"/>
    <n v="15.8"/>
    <n v="1"/>
  </r>
  <r>
    <s v="2021-06-01"/>
    <s v="Vancouver"/>
    <s v="加拿大二店"/>
    <x v="1"/>
    <x v="3"/>
    <x v="99"/>
    <x v="95"/>
    <x v="103"/>
    <s v="整份"/>
    <n v="5.95"/>
    <s v="份"/>
    <n v="1"/>
    <n v="5.95"/>
    <n v="0"/>
    <n v="0"/>
    <n v="0"/>
    <n v="0"/>
    <n v="0"/>
    <n v="0"/>
    <n v="0"/>
    <n v="0"/>
    <n v="0.59"/>
    <n v="0"/>
    <n v="1"/>
    <n v="5.62"/>
    <n v="0.26"/>
    <n v="5.36"/>
    <n v="1"/>
  </r>
  <r>
    <s v="2021-06-01"/>
    <s v="Vancouver"/>
    <s v="加拿大二店"/>
    <x v="1"/>
    <x v="3"/>
    <x v="100"/>
    <x v="96"/>
    <x v="104"/>
    <s v="整份"/>
    <n v="7.95"/>
    <s v="份"/>
    <n v="7"/>
    <n v="55.65"/>
    <n v="0"/>
    <n v="0"/>
    <n v="0"/>
    <n v="0"/>
    <n v="1"/>
    <n v="7.95"/>
    <n v="0"/>
    <n v="0"/>
    <n v="3.18"/>
    <n v="0"/>
    <n v="6"/>
    <n v="46.74"/>
    <n v="2.22"/>
    <n v="44.52"/>
    <n v="1"/>
  </r>
  <r>
    <s v="2021-06-01"/>
    <s v="Vancouver"/>
    <s v="加拿大二店"/>
    <x v="1"/>
    <x v="8"/>
    <x v="101"/>
    <x v="97"/>
    <x v="105"/>
    <s v="整份"/>
    <n v="5.95"/>
    <s v="份"/>
    <n v="6"/>
    <n v="35.7"/>
    <n v="0"/>
    <n v="0"/>
    <n v="0"/>
    <n v="0"/>
    <n v="0"/>
    <n v="0"/>
    <n v="0"/>
    <n v="0"/>
    <n v="3.27"/>
    <n v="0"/>
    <n v="6"/>
    <n v="34.05"/>
    <n v="1.62"/>
    <n v="32.43"/>
    <n v="1"/>
  </r>
  <r>
    <s v="2021-06-01"/>
    <s v="Vancouver"/>
    <s v="加拿大二店"/>
    <x v="1"/>
    <x v="6"/>
    <x v="102"/>
    <x v="98"/>
    <x v="106"/>
    <s v="整份"/>
    <n v="8.95"/>
    <s v="份"/>
    <n v="3"/>
    <n v="26.85"/>
    <n v="0"/>
    <n v="0"/>
    <n v="0"/>
    <n v="0"/>
    <n v="1"/>
    <n v="8.95"/>
    <n v="0"/>
    <n v="-0.01"/>
    <n v="0"/>
    <n v="0"/>
    <n v="2"/>
    <n v="18.8"/>
    <n v="0.89"/>
    <n v="17.91"/>
    <n v="1"/>
  </r>
  <r>
    <s v="2021-06-01"/>
    <s v="Vancouver"/>
    <s v="加拿大二店"/>
    <x v="3"/>
    <x v="7"/>
    <x v="103"/>
    <x v="99"/>
    <x v="107"/>
    <s v="整份"/>
    <n v="5.95"/>
    <s v="份"/>
    <n v="8"/>
    <n v="47.6"/>
    <n v="0"/>
    <n v="0"/>
    <n v="0"/>
    <n v="0"/>
    <n v="1"/>
    <n v="5.95"/>
    <n v="0"/>
    <n v="0"/>
    <n v="4.78"/>
    <n v="0"/>
    <n v="7"/>
    <n v="38.71"/>
    <n v="1.84"/>
    <n v="36.87"/>
    <n v="1"/>
  </r>
  <r>
    <s v="2021-06-01"/>
    <s v="Vancouver"/>
    <s v="加拿大二店"/>
    <x v="3"/>
    <x v="7"/>
    <x v="104"/>
    <x v="100"/>
    <x v="108"/>
    <s v="整份"/>
    <n v="3.95"/>
    <s v="份"/>
    <n v="5"/>
    <n v="19.75"/>
    <n v="0"/>
    <n v="0"/>
    <n v="0"/>
    <n v="0"/>
    <n v="0"/>
    <n v="0"/>
    <n v="0"/>
    <n v="0"/>
    <n v="2.76"/>
    <n v="0"/>
    <n v="5"/>
    <n v="17.83"/>
    <n v="0.84"/>
    <n v="16.99"/>
    <n v="1"/>
  </r>
  <r>
    <s v="2021-06-01"/>
    <s v="Vancouver"/>
    <s v="加拿大二店"/>
    <x v="1"/>
    <x v="8"/>
    <x v="105"/>
    <x v="101"/>
    <x v="109"/>
    <s v="整份"/>
    <n v="4.95"/>
    <s v="份"/>
    <n v="6"/>
    <n v="29.7"/>
    <n v="0"/>
    <n v="0"/>
    <n v="0"/>
    <n v="0"/>
    <n v="0"/>
    <n v="0"/>
    <n v="0"/>
    <n v="0"/>
    <n v="2.5"/>
    <n v="0"/>
    <n v="6"/>
    <n v="28.56"/>
    <n v="1.36"/>
    <n v="27.2"/>
    <n v="1"/>
  </r>
  <r>
    <s v="2021-06-01"/>
    <s v="Vancouver"/>
    <s v="加拿大二店"/>
    <x v="4"/>
    <x v="9"/>
    <x v="106"/>
    <x v="0"/>
    <x v="110"/>
    <s v="拼锅"/>
    <n v="11.95"/>
    <s v="锅"/>
    <n v="5"/>
    <n v="59.75"/>
    <n v="0"/>
    <n v="0"/>
    <n v="0"/>
    <n v="0"/>
    <n v="0"/>
    <n v="0"/>
    <n v="0"/>
    <n v="-0.03"/>
    <n v="0"/>
    <n v="0"/>
    <n v="5"/>
    <n v="62.76"/>
    <n v="2.98"/>
    <n v="59.78"/>
    <n v="2"/>
  </r>
  <r>
    <s v="2021-06-01"/>
    <s v="Vancouver"/>
    <s v="加拿大二店"/>
    <x v="4"/>
    <x v="10"/>
    <x v="106"/>
    <x v="0"/>
    <x v="110"/>
    <s v="四宫格"/>
    <n v="5.95"/>
    <s v="锅"/>
    <n v="1"/>
    <n v="5.95"/>
    <n v="0"/>
    <n v="0"/>
    <n v="0"/>
    <n v="0"/>
    <n v="0"/>
    <n v="0"/>
    <n v="0"/>
    <n v="0.02"/>
    <n v="1.19"/>
    <n v="0"/>
    <n v="1"/>
    <n v="4.97"/>
    <n v="0.23"/>
    <n v="4.74"/>
    <n v="1"/>
  </r>
  <r>
    <s v="2021-06-01"/>
    <s v="Vancouver"/>
    <s v="加拿大二店"/>
    <x v="4"/>
    <x v="9"/>
    <x v="107"/>
    <x v="0"/>
    <x v="111"/>
    <s v="拼锅"/>
    <n v="11.95"/>
    <s v="锅"/>
    <n v="3"/>
    <n v="35.85"/>
    <n v="0"/>
    <n v="0"/>
    <n v="0"/>
    <n v="0"/>
    <n v="1"/>
    <n v="11.95"/>
    <n v="0"/>
    <n v="0"/>
    <n v="0"/>
    <n v="0"/>
    <n v="2"/>
    <n v="25.09"/>
    <n v="1.19"/>
    <n v="23.9"/>
    <n v="2"/>
  </r>
  <r>
    <s v="2021-06-01"/>
    <s v="Vancouver"/>
    <s v="加拿大二店"/>
    <x v="4"/>
    <x v="10"/>
    <x v="107"/>
    <x v="0"/>
    <x v="111"/>
    <s v="四宫格"/>
    <n v="5.95"/>
    <s v="锅"/>
    <n v="4"/>
    <n v="23.8"/>
    <n v="0"/>
    <n v="0"/>
    <n v="0"/>
    <n v="0"/>
    <n v="1"/>
    <n v="5.95"/>
    <n v="0"/>
    <n v="0"/>
    <n v="1.19"/>
    <n v="0"/>
    <n v="3"/>
    <n v="17.49"/>
    <n v="0.83"/>
    <n v="16.66"/>
    <n v="1"/>
  </r>
  <r>
    <s v="2021-06-02"/>
    <s v="Vancouver"/>
    <s v="加拿大二店"/>
    <x v="1"/>
    <x v="1"/>
    <x v="1"/>
    <x v="1"/>
    <x v="1"/>
    <s v="整份"/>
    <n v="16.95"/>
    <s v="份"/>
    <n v="9"/>
    <n v="152.55"/>
    <n v="0"/>
    <n v="0"/>
    <n v="0"/>
    <n v="0"/>
    <n v="5"/>
    <n v="84.75"/>
    <n v="0"/>
    <n v="0"/>
    <n v="5.1"/>
    <n v="0"/>
    <n v="4"/>
    <n v="65.83"/>
    <n v="3.13"/>
    <n v="62.7"/>
    <n v="1"/>
  </r>
  <r>
    <s v="2021-06-02"/>
    <s v="Vancouver"/>
    <s v="加拿大二店"/>
    <x v="1"/>
    <x v="1"/>
    <x v="2"/>
    <x v="2"/>
    <x v="2"/>
    <s v="整份"/>
    <n v="25.95"/>
    <s v="份"/>
    <n v="9"/>
    <n v="233.55"/>
    <n v="0"/>
    <n v="0"/>
    <n v="0"/>
    <n v="0"/>
    <n v="1"/>
    <n v="25.95"/>
    <n v="0"/>
    <n v="0"/>
    <n v="7.78"/>
    <n v="0"/>
    <n v="8"/>
    <n v="209.81"/>
    <n v="9.99"/>
    <n v="199.82"/>
    <n v="1"/>
  </r>
  <r>
    <s v="2021-06-02"/>
    <s v="Vancouver"/>
    <s v="加拿大二店"/>
    <x v="2"/>
    <x v="2"/>
    <x v="3"/>
    <x v="3"/>
    <x v="3"/>
    <s v="杯"/>
    <n v="6.95"/>
    <s v="杯"/>
    <n v="1"/>
    <n v="6.95"/>
    <n v="0"/>
    <n v="0"/>
    <n v="0"/>
    <n v="0"/>
    <n v="0"/>
    <n v="0"/>
    <n v="0"/>
    <n v="-0.01"/>
    <n v="0"/>
    <n v="0"/>
    <n v="1"/>
    <n v="8"/>
    <n v="1.04"/>
    <n v="6.96"/>
    <n v="1"/>
  </r>
  <r>
    <s v="2021-06-02"/>
    <s v="Vancouver"/>
    <s v="加拿大二店"/>
    <x v="1"/>
    <x v="3"/>
    <x v="6"/>
    <x v="6"/>
    <x v="6"/>
    <s v="整份"/>
    <n v="7.95"/>
    <s v="份"/>
    <n v="4"/>
    <n v="31.8"/>
    <n v="0"/>
    <n v="0"/>
    <n v="0"/>
    <n v="0"/>
    <n v="0"/>
    <n v="0"/>
    <n v="0"/>
    <n v="0"/>
    <n v="1.59"/>
    <n v="0"/>
    <n v="4"/>
    <n v="31.72"/>
    <n v="1.51"/>
    <n v="30.21"/>
    <n v="1"/>
  </r>
  <r>
    <s v="2021-06-02"/>
    <s v="Vancouver"/>
    <s v="加拿大二店"/>
    <x v="2"/>
    <x v="19"/>
    <x v="108"/>
    <x v="102"/>
    <x v="112"/>
    <s v="小瓶"/>
    <n v="15.95"/>
    <s v="小瓶"/>
    <n v="1"/>
    <n v="15.95"/>
    <n v="0"/>
    <n v="0"/>
    <n v="0"/>
    <n v="0"/>
    <n v="0"/>
    <n v="0"/>
    <n v="0"/>
    <n v="0"/>
    <n v="0"/>
    <n v="0"/>
    <n v="1"/>
    <n v="18.34"/>
    <n v="2.39"/>
    <n v="15.95"/>
    <n v="1"/>
  </r>
  <r>
    <s v="2021-06-02"/>
    <s v="Vancouver"/>
    <s v="加拿大二店"/>
    <x v="2"/>
    <x v="4"/>
    <x v="7"/>
    <x v="7"/>
    <x v="7"/>
    <s v="冰镇"/>
    <n v="2.45"/>
    <s v="罐"/>
    <n v="2"/>
    <n v="4.9"/>
    <n v="0"/>
    <n v="0"/>
    <n v="0"/>
    <n v="0"/>
    <n v="0"/>
    <n v="0"/>
    <n v="0"/>
    <n v="0"/>
    <n v="0"/>
    <n v="0"/>
    <n v="2"/>
    <n v="5.48"/>
    <n v="0.58"/>
    <n v="4.9"/>
    <n v="1"/>
  </r>
  <r>
    <s v="2021-06-02"/>
    <s v="Vancouver"/>
    <s v="加拿大二店"/>
    <x v="0"/>
    <x v="20"/>
    <x v="109"/>
    <x v="103"/>
    <x v="113"/>
    <s v="整份"/>
    <n v="8.95"/>
    <s v="份"/>
    <n v="1"/>
    <n v="8.95"/>
    <n v="0"/>
    <n v="0"/>
    <n v="0"/>
    <n v="0"/>
    <n v="0"/>
    <n v="0"/>
    <n v="0"/>
    <n v="0"/>
    <n v="0"/>
    <n v="0"/>
    <n v="1"/>
    <n v="9.39"/>
    <n v="0.44"/>
    <n v="8.95"/>
    <n v="1"/>
  </r>
  <r>
    <s v="2021-06-02"/>
    <s v="Vancouver"/>
    <s v="加拿大二店"/>
    <x v="2"/>
    <x v="4"/>
    <x v="110"/>
    <x v="104"/>
    <x v="114"/>
    <s v="小瓶"/>
    <n v="3.95"/>
    <s v="瓶"/>
    <n v="2"/>
    <n v="7.9"/>
    <n v="0"/>
    <n v="0"/>
    <n v="0"/>
    <n v="0"/>
    <n v="0"/>
    <n v="0"/>
    <n v="0"/>
    <n v="-0.02"/>
    <n v="0"/>
    <n v="0"/>
    <n v="2"/>
    <n v="8.87"/>
    <n v="0.95"/>
    <n v="7.92"/>
    <n v="1"/>
  </r>
  <r>
    <s v="2021-06-02"/>
    <s v="Vancouver"/>
    <s v="加拿大二店"/>
    <x v="3"/>
    <x v="5"/>
    <x v="8"/>
    <x v="8"/>
    <x v="8"/>
    <s v="整份"/>
    <n v="3.95"/>
    <s v="份"/>
    <n v="4"/>
    <n v="15.8"/>
    <n v="0"/>
    <n v="0"/>
    <n v="0"/>
    <n v="0"/>
    <n v="0"/>
    <n v="0"/>
    <n v="0"/>
    <n v="0"/>
    <n v="2"/>
    <n v="0"/>
    <n v="4"/>
    <n v="14.49"/>
    <n v="0.69"/>
    <n v="13.8"/>
    <n v="1"/>
  </r>
  <r>
    <s v="2021-06-02"/>
    <s v="Vancouver"/>
    <s v="加拿大二店"/>
    <x v="2"/>
    <x v="4"/>
    <x v="9"/>
    <x v="9"/>
    <x v="9"/>
    <s v="常温"/>
    <n v="2.95"/>
    <s v="位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02"/>
    <s v="Vancouver"/>
    <s v="加拿大二店"/>
    <x v="2"/>
    <x v="4"/>
    <x v="9"/>
    <x v="9"/>
    <x v="9"/>
    <s v="冰镇"/>
    <n v="2.95"/>
    <s v="位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02"/>
    <s v="Vancouver"/>
    <s v="加拿大二店"/>
    <x v="2"/>
    <x v="4"/>
    <x v="10"/>
    <x v="11"/>
    <x v="11"/>
    <s v="整份"/>
    <n v="9.95"/>
    <s v="扎"/>
    <n v="2"/>
    <n v="19.9"/>
    <n v="0"/>
    <n v="0"/>
    <n v="0"/>
    <n v="0"/>
    <n v="0"/>
    <n v="0"/>
    <n v="0"/>
    <n v="0"/>
    <n v="0"/>
    <n v="0"/>
    <n v="2"/>
    <n v="22.28"/>
    <n v="2.38"/>
    <n v="19.9"/>
    <n v="1"/>
  </r>
  <r>
    <s v="2021-06-02"/>
    <s v="Vancouver"/>
    <s v="加拿大二店"/>
    <x v="1"/>
    <x v="6"/>
    <x v="11"/>
    <x v="12"/>
    <x v="12"/>
    <s v="整份"/>
    <n v="8.95"/>
    <s v="份"/>
    <n v="2"/>
    <n v="17.9"/>
    <n v="0"/>
    <n v="0"/>
    <n v="0"/>
    <n v="0"/>
    <n v="1"/>
    <n v="8.95"/>
    <n v="0"/>
    <n v="0"/>
    <n v="0"/>
    <n v="0"/>
    <n v="1"/>
    <n v="9.39"/>
    <n v="0.44"/>
    <n v="8.95"/>
    <n v="1"/>
  </r>
  <r>
    <s v="2021-06-02"/>
    <s v="Vancouver"/>
    <s v="加拿大二店"/>
    <x v="1"/>
    <x v="6"/>
    <x v="12"/>
    <x v="13"/>
    <x v="13"/>
    <s v="整份"/>
    <n v="16.95"/>
    <s v="份"/>
    <n v="3"/>
    <n v="50.85"/>
    <n v="0"/>
    <n v="0"/>
    <n v="0"/>
    <n v="0"/>
    <n v="0"/>
    <n v="0"/>
    <n v="0"/>
    <n v="0"/>
    <n v="6.78"/>
    <n v="0"/>
    <n v="3"/>
    <n v="46.27"/>
    <n v="2.2"/>
    <n v="44.07"/>
    <n v="1"/>
  </r>
  <r>
    <s v="2021-06-02"/>
    <s v="Vancouver"/>
    <s v="加拿大二店"/>
    <x v="1"/>
    <x v="6"/>
    <x v="13"/>
    <x v="14"/>
    <x v="14"/>
    <s v="整份"/>
    <n v="21.95"/>
    <s v="份"/>
    <n v="1"/>
    <n v="21.95"/>
    <n v="0"/>
    <n v="0"/>
    <n v="0"/>
    <n v="0"/>
    <n v="0"/>
    <n v="0"/>
    <n v="0"/>
    <n v="0"/>
    <n v="4.39"/>
    <n v="0"/>
    <n v="1"/>
    <n v="18.43"/>
    <n v="0.87"/>
    <n v="17.56"/>
    <n v="1"/>
  </r>
  <r>
    <s v="2021-06-02"/>
    <s v="Vancouver"/>
    <s v="加拿大二店"/>
    <x v="1"/>
    <x v="6"/>
    <x v="15"/>
    <x v="16"/>
    <x v="16"/>
    <s v="整份"/>
    <n v="8.95"/>
    <s v="份"/>
    <n v="2"/>
    <n v="17.9"/>
    <n v="0"/>
    <n v="0"/>
    <n v="0"/>
    <n v="0"/>
    <n v="0"/>
    <n v="0"/>
    <n v="0"/>
    <n v="0"/>
    <n v="0"/>
    <n v="0"/>
    <n v="2"/>
    <n v="18.79"/>
    <n v="0.89"/>
    <n v="17.9"/>
    <n v="1"/>
  </r>
  <r>
    <s v="2021-06-02"/>
    <s v="Vancouver"/>
    <s v="加拿大二店"/>
    <x v="1"/>
    <x v="6"/>
    <x v="111"/>
    <x v="105"/>
    <x v="115"/>
    <s v="整份"/>
    <n v="8.95"/>
    <s v="份"/>
    <n v="1"/>
    <n v="8.95"/>
    <n v="0"/>
    <n v="0"/>
    <n v="0"/>
    <n v="0"/>
    <n v="0"/>
    <n v="0"/>
    <n v="0"/>
    <n v="0"/>
    <n v="0"/>
    <n v="0"/>
    <n v="1"/>
    <n v="9.39"/>
    <n v="0.44"/>
    <n v="8.95"/>
    <n v="1"/>
  </r>
  <r>
    <s v="2021-06-02"/>
    <s v="Vancouver"/>
    <s v="加拿大二店"/>
    <x v="3"/>
    <x v="7"/>
    <x v="16"/>
    <x v="17"/>
    <x v="17"/>
    <s v="整份"/>
    <n v="4.95"/>
    <s v="份"/>
    <n v="3"/>
    <n v="14.85"/>
    <n v="0"/>
    <n v="0"/>
    <n v="0"/>
    <n v="0"/>
    <n v="0"/>
    <n v="0"/>
    <n v="0"/>
    <n v="0"/>
    <n v="0"/>
    <n v="0"/>
    <n v="3"/>
    <n v="15.59"/>
    <n v="0.74"/>
    <n v="14.85"/>
    <n v="1"/>
  </r>
  <r>
    <s v="2021-06-02"/>
    <s v="Vancouver"/>
    <s v="加拿大二店"/>
    <x v="2"/>
    <x v="4"/>
    <x v="17"/>
    <x v="18"/>
    <x v="18"/>
    <s v="冰镇"/>
    <n v="2.95"/>
    <s v="瓶"/>
    <n v="10"/>
    <n v="29.5"/>
    <n v="0"/>
    <n v="0"/>
    <n v="0"/>
    <n v="0"/>
    <n v="0"/>
    <n v="0"/>
    <n v="0"/>
    <n v="0"/>
    <n v="0"/>
    <n v="0"/>
    <n v="10"/>
    <n v="33.04"/>
    <n v="3.54"/>
    <n v="29.5"/>
    <n v="1"/>
  </r>
  <r>
    <s v="2021-06-02"/>
    <s v="Vancouver"/>
    <s v="加拿大二店"/>
    <x v="2"/>
    <x v="4"/>
    <x v="18"/>
    <x v="19"/>
    <x v="19"/>
    <s v="冰镇"/>
    <n v="2.95"/>
    <s v="听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02"/>
    <s v="Vancouver"/>
    <s v="加拿大二店"/>
    <x v="1"/>
    <x v="8"/>
    <x v="19"/>
    <x v="20"/>
    <x v="20"/>
    <s v="整份"/>
    <n v="5.95"/>
    <s v="份"/>
    <n v="4"/>
    <n v="23.8"/>
    <n v="0"/>
    <n v="0"/>
    <n v="0"/>
    <n v="0"/>
    <n v="2"/>
    <n v="11.9"/>
    <n v="0"/>
    <n v="0"/>
    <n v="1.19"/>
    <n v="0"/>
    <n v="2"/>
    <n v="11.24"/>
    <n v="0.53"/>
    <n v="10.71"/>
    <n v="1"/>
  </r>
  <r>
    <s v="2021-06-02"/>
    <s v="Vancouver"/>
    <s v="加拿大二店"/>
    <x v="2"/>
    <x v="4"/>
    <x v="21"/>
    <x v="22"/>
    <x v="22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02"/>
    <s v="Vancouver"/>
    <s v="加拿大二店"/>
    <x v="3"/>
    <x v="7"/>
    <x v="23"/>
    <x v="23"/>
    <x v="24"/>
    <s v="整份"/>
    <n v="4.95"/>
    <s v="份"/>
    <n v="7"/>
    <n v="34.65"/>
    <n v="0"/>
    <n v="0"/>
    <n v="0"/>
    <n v="0"/>
    <n v="1"/>
    <n v="4.95"/>
    <n v="0"/>
    <n v="0"/>
    <n v="1.98"/>
    <n v="0"/>
    <n v="6"/>
    <n v="29.1"/>
    <n v="1.38"/>
    <n v="27.72"/>
    <n v="1"/>
  </r>
  <r>
    <s v="2021-06-02"/>
    <s v="Vancouver"/>
    <s v="加拿大二店"/>
    <x v="3"/>
    <x v="11"/>
    <x v="24"/>
    <x v="24"/>
    <x v="25"/>
    <s v="半份"/>
    <n v="2.95"/>
    <s v="份"/>
    <n v="2"/>
    <n v="5.9"/>
    <n v="0"/>
    <n v="0"/>
    <n v="0"/>
    <n v="0"/>
    <n v="0"/>
    <n v="0"/>
    <n v="0"/>
    <n v="0"/>
    <n v="0"/>
    <n v="0"/>
    <n v="2"/>
    <n v="6.19"/>
    <n v="0.29"/>
    <n v="5.9"/>
    <n v="0.5"/>
  </r>
  <r>
    <s v="2021-06-02"/>
    <s v="Vancouver"/>
    <s v="加拿大二店"/>
    <x v="3"/>
    <x v="5"/>
    <x v="25"/>
    <x v="25"/>
    <x v="26"/>
    <s v="整份"/>
    <n v="3.95"/>
    <s v="份"/>
    <n v="7"/>
    <n v="27.65"/>
    <n v="0"/>
    <n v="0"/>
    <n v="0"/>
    <n v="0"/>
    <n v="2"/>
    <n v="7.9"/>
    <n v="0"/>
    <n v="0"/>
    <n v="0"/>
    <n v="0"/>
    <n v="5"/>
    <n v="20.73"/>
    <n v="0.98"/>
    <n v="19.75"/>
    <n v="1"/>
  </r>
  <r>
    <s v="2021-06-02"/>
    <s v="Vancouver"/>
    <s v="加拿大二店"/>
    <x v="3"/>
    <x v="11"/>
    <x v="26"/>
    <x v="26"/>
    <x v="27"/>
    <s v="整份"/>
    <n v="4.95"/>
    <s v="份"/>
    <n v="5"/>
    <n v="24.75"/>
    <n v="0"/>
    <n v="0"/>
    <n v="0"/>
    <n v="0"/>
    <n v="1"/>
    <n v="4.95"/>
    <n v="0"/>
    <n v="0"/>
    <n v="0.99"/>
    <n v="0"/>
    <n v="4"/>
    <n v="19.75"/>
    <n v="0.94"/>
    <n v="18.81"/>
    <n v="1"/>
  </r>
  <r>
    <s v="2021-06-02"/>
    <s v="Vancouver"/>
    <s v="加拿大二店"/>
    <x v="3"/>
    <x v="11"/>
    <x v="26"/>
    <x v="27"/>
    <x v="28"/>
    <s v="半份"/>
    <n v="2.45"/>
    <s v="份"/>
    <n v="7"/>
    <n v="17.15"/>
    <n v="0"/>
    <n v="0"/>
    <n v="0"/>
    <n v="0"/>
    <n v="1"/>
    <n v="2.45"/>
    <n v="0"/>
    <n v="0"/>
    <n v="0"/>
    <n v="0"/>
    <n v="6"/>
    <n v="15.43"/>
    <n v="0.73"/>
    <n v="14.7"/>
    <n v="0.5"/>
  </r>
  <r>
    <s v="2021-06-02"/>
    <s v="Vancouver"/>
    <s v="加拿大二店"/>
    <x v="5"/>
    <x v="12"/>
    <x v="27"/>
    <x v="28"/>
    <x v="29"/>
    <s v="整份"/>
    <n v="7.95"/>
    <s v="份"/>
    <n v="3"/>
    <n v="23.85"/>
    <n v="0"/>
    <n v="0"/>
    <n v="0"/>
    <n v="0"/>
    <n v="2"/>
    <n v="15.9"/>
    <n v="0"/>
    <n v="0"/>
    <n v="1.59"/>
    <n v="0"/>
    <n v="1"/>
    <n v="6.67"/>
    <n v="0.31"/>
    <n v="6.36"/>
    <n v="1"/>
  </r>
  <r>
    <s v="2021-06-02"/>
    <s v="Vancouver"/>
    <s v="加拿大二店"/>
    <x v="3"/>
    <x v="7"/>
    <x v="28"/>
    <x v="29"/>
    <x v="30"/>
    <s v="整份"/>
    <n v="4.95"/>
    <s v="份"/>
    <n v="5"/>
    <n v="24.75"/>
    <n v="0"/>
    <n v="0"/>
    <n v="0"/>
    <n v="0"/>
    <n v="0"/>
    <n v="0"/>
    <n v="0"/>
    <n v="0"/>
    <n v="0"/>
    <n v="0"/>
    <n v="5"/>
    <n v="25.98"/>
    <n v="1.23"/>
    <n v="24.75"/>
    <n v="1"/>
  </r>
  <r>
    <s v="2021-06-02"/>
    <s v="Vancouver"/>
    <s v="加拿大二店"/>
    <x v="2"/>
    <x v="4"/>
    <x v="112"/>
    <x v="106"/>
    <x v="116"/>
    <s v="冰镇"/>
    <n v="3.95"/>
    <s v="瓶"/>
    <n v="1"/>
    <n v="3.95"/>
    <n v="0"/>
    <n v="0"/>
    <n v="0"/>
    <n v="0"/>
    <n v="0"/>
    <n v="0"/>
    <n v="0"/>
    <n v="0"/>
    <n v="0.79"/>
    <n v="0"/>
    <n v="1"/>
    <n v="3.53"/>
    <n v="0.37"/>
    <n v="3.16"/>
    <n v="1"/>
  </r>
  <r>
    <s v="2021-06-02"/>
    <s v="Vancouver"/>
    <s v="加拿大二店"/>
    <x v="3"/>
    <x v="5"/>
    <x v="29"/>
    <x v="30"/>
    <x v="31"/>
    <s v="整份"/>
    <n v="3.95"/>
    <s v="份"/>
    <n v="1"/>
    <n v="3.95"/>
    <n v="0"/>
    <n v="0"/>
    <n v="0"/>
    <n v="0"/>
    <n v="0"/>
    <n v="0"/>
    <n v="0"/>
    <n v="0"/>
    <n v="0.79"/>
    <n v="0"/>
    <n v="1"/>
    <n v="3.31"/>
    <n v="0.15"/>
    <n v="3.16"/>
    <n v="1"/>
  </r>
  <r>
    <s v="2021-06-02"/>
    <s v="Vancouver"/>
    <s v="加拿大二店"/>
    <x v="6"/>
    <x v="13"/>
    <x v="30"/>
    <x v="31"/>
    <x v="32"/>
    <s v="整份"/>
    <n v="4.95"/>
    <s v="份"/>
    <n v="7"/>
    <n v="34.65"/>
    <n v="0"/>
    <n v="0"/>
    <n v="0"/>
    <n v="0"/>
    <n v="0"/>
    <n v="0"/>
    <n v="0"/>
    <n v="0"/>
    <n v="0"/>
    <n v="0"/>
    <n v="7"/>
    <n v="36.38"/>
    <n v="1.73"/>
    <n v="34.65"/>
    <n v="1"/>
  </r>
  <r>
    <s v="2021-06-02"/>
    <s v="Vancouver"/>
    <s v="加拿大二店"/>
    <x v="6"/>
    <x v="13"/>
    <x v="31"/>
    <x v="32"/>
    <x v="33"/>
    <s v="整份"/>
    <n v="9.95"/>
    <s v="份"/>
    <n v="1"/>
    <n v="9.95"/>
    <n v="0"/>
    <n v="0"/>
    <n v="0"/>
    <n v="0"/>
    <n v="0"/>
    <n v="0"/>
    <n v="0"/>
    <n v="0"/>
    <n v="0"/>
    <n v="0"/>
    <n v="1"/>
    <n v="10.44"/>
    <n v="0.49"/>
    <n v="9.95"/>
    <n v="1"/>
  </r>
  <r>
    <s v="2021-06-02"/>
    <s v="Vancouver"/>
    <s v="加拿大二店"/>
    <x v="5"/>
    <x v="12"/>
    <x v="32"/>
    <x v="33"/>
    <x v="34"/>
    <s v="整份"/>
    <n v="17.85"/>
    <s v="份"/>
    <n v="3"/>
    <n v="53.55"/>
    <n v="1"/>
    <n v="17.85"/>
    <n v="0"/>
    <n v="0"/>
    <n v="0"/>
    <n v="0"/>
    <n v="0"/>
    <n v="0"/>
    <n v="3.57"/>
    <n v="0"/>
    <n v="2"/>
    <n v="33.73"/>
    <n v="1.6"/>
    <n v="32.13"/>
    <n v="1"/>
  </r>
  <r>
    <s v="2021-06-02"/>
    <s v="Vancouver"/>
    <s v="加拿大二店"/>
    <x v="1"/>
    <x v="3"/>
    <x v="33"/>
    <x v="34"/>
    <x v="35"/>
    <s v="整份"/>
    <n v="11.95"/>
    <s v="份"/>
    <n v="16"/>
    <n v="191.2"/>
    <n v="0"/>
    <n v="0"/>
    <n v="0"/>
    <n v="0"/>
    <n v="3"/>
    <n v="35.85"/>
    <n v="0"/>
    <n v="0"/>
    <n v="16.72"/>
    <n v="0"/>
    <n v="13"/>
    <n v="145.56"/>
    <n v="6.93"/>
    <n v="138.63"/>
    <n v="1"/>
  </r>
  <r>
    <s v="2021-06-02"/>
    <s v="Vancouver"/>
    <s v="加拿大二店"/>
    <x v="5"/>
    <x v="12"/>
    <x v="34"/>
    <x v="35"/>
    <x v="36"/>
    <s v="整份"/>
    <n v="11.95"/>
    <s v="份"/>
    <n v="4"/>
    <n v="47.8"/>
    <n v="0"/>
    <n v="0"/>
    <n v="0"/>
    <n v="0"/>
    <n v="0"/>
    <n v="0"/>
    <n v="0"/>
    <n v="0"/>
    <n v="7.17"/>
    <n v="0"/>
    <n v="4"/>
    <n v="42.66"/>
    <n v="2.03"/>
    <n v="40.63"/>
    <n v="1"/>
  </r>
  <r>
    <s v="2021-06-02"/>
    <s v="Vancouver"/>
    <s v="加拿大二店"/>
    <x v="5"/>
    <x v="12"/>
    <x v="35"/>
    <x v="36"/>
    <x v="37"/>
    <s v="条"/>
    <n v="4.95"/>
    <s v="条"/>
    <n v="4"/>
    <n v="19.8"/>
    <n v="0"/>
    <n v="0"/>
    <n v="0"/>
    <n v="0"/>
    <n v="0"/>
    <n v="0"/>
    <n v="0"/>
    <n v="0"/>
    <n v="0.99"/>
    <n v="0"/>
    <n v="4"/>
    <n v="19.75"/>
    <n v="0.94"/>
    <n v="18.81"/>
    <n v="1"/>
  </r>
  <r>
    <s v="2021-06-02"/>
    <s v="Vancouver"/>
    <s v="加拿大二店"/>
    <x v="5"/>
    <x v="12"/>
    <x v="36"/>
    <x v="37"/>
    <x v="38"/>
    <s v="整份"/>
    <n v="13.95"/>
    <s v="份"/>
    <n v="12"/>
    <n v="167.4"/>
    <n v="0"/>
    <n v="0"/>
    <n v="0"/>
    <n v="0"/>
    <n v="0"/>
    <n v="0"/>
    <n v="0"/>
    <n v="0"/>
    <n v="5.58"/>
    <n v="0"/>
    <n v="12"/>
    <n v="169.91"/>
    <n v="8.09"/>
    <n v="161.82"/>
    <n v="1"/>
  </r>
  <r>
    <s v="2021-06-02"/>
    <s v="Vancouver"/>
    <s v="加拿大二店"/>
    <x v="5"/>
    <x v="12"/>
    <x v="37"/>
    <x v="38"/>
    <x v="39"/>
    <s v="整份"/>
    <n v="9.95"/>
    <s v="份"/>
    <n v="9"/>
    <n v="89.55"/>
    <n v="0"/>
    <n v="0"/>
    <n v="0"/>
    <n v="0"/>
    <n v="2"/>
    <n v="19.9"/>
    <n v="0"/>
    <n v="0"/>
    <n v="4.97"/>
    <n v="0"/>
    <n v="7"/>
    <n v="67.91"/>
    <n v="3.23"/>
    <n v="64.68"/>
    <n v="1"/>
  </r>
  <r>
    <s v="2021-06-02"/>
    <s v="Vancouver"/>
    <s v="加拿大二店"/>
    <x v="5"/>
    <x v="12"/>
    <x v="38"/>
    <x v="39"/>
    <x v="40"/>
    <s v="整份"/>
    <n v="9.95"/>
    <s v="份"/>
    <n v="3"/>
    <n v="29.85"/>
    <n v="0"/>
    <n v="0"/>
    <n v="0"/>
    <n v="0"/>
    <n v="0"/>
    <n v="0"/>
    <n v="0"/>
    <n v="0"/>
    <n v="1.99"/>
    <n v="0"/>
    <n v="3"/>
    <n v="29.25"/>
    <n v="1.39"/>
    <n v="27.86"/>
    <n v="1"/>
  </r>
  <r>
    <s v="2021-06-02"/>
    <s v="Vancouver"/>
    <s v="加拿大二店"/>
    <x v="6"/>
    <x v="13"/>
    <x v="39"/>
    <x v="40"/>
    <x v="41"/>
    <s v="整份"/>
    <n v="8.95"/>
    <s v="份"/>
    <n v="11"/>
    <n v="98.45"/>
    <n v="0"/>
    <n v="0"/>
    <n v="0"/>
    <n v="0"/>
    <n v="0"/>
    <n v="0"/>
    <n v="0"/>
    <n v="0"/>
    <n v="3.58"/>
    <n v="0"/>
    <n v="11"/>
    <n v="99.61"/>
    <n v="4.74"/>
    <n v="94.87"/>
    <n v="1"/>
  </r>
  <r>
    <s v="2021-06-02"/>
    <s v="Vancouver"/>
    <s v="加拿大二店"/>
    <x v="5"/>
    <x v="12"/>
    <x v="40"/>
    <x v="41"/>
    <x v="42"/>
    <s v="整份"/>
    <n v="9.95"/>
    <s v="份"/>
    <n v="4"/>
    <n v="39.8"/>
    <n v="0"/>
    <n v="0"/>
    <n v="0"/>
    <n v="0"/>
    <n v="0"/>
    <n v="0"/>
    <n v="0"/>
    <n v="0"/>
    <n v="1.99"/>
    <n v="0"/>
    <n v="4"/>
    <n v="39.7"/>
    <n v="1.89"/>
    <n v="37.81"/>
    <n v="1"/>
  </r>
  <r>
    <s v="2021-06-02"/>
    <s v="Vancouver"/>
    <s v="加拿大二店"/>
    <x v="5"/>
    <x v="12"/>
    <x v="41"/>
    <x v="42"/>
    <x v="43"/>
    <s v="整份"/>
    <n v="7.95"/>
    <s v="份"/>
    <n v="8"/>
    <n v="63.6"/>
    <n v="0"/>
    <n v="0"/>
    <n v="0"/>
    <n v="0"/>
    <n v="4"/>
    <n v="31.8"/>
    <n v="0"/>
    <n v="0"/>
    <n v="1.59"/>
    <n v="0"/>
    <n v="4"/>
    <n v="31.72"/>
    <n v="1.51"/>
    <n v="30.21"/>
    <n v="1"/>
  </r>
  <r>
    <s v="2021-06-02"/>
    <s v="Vancouver"/>
    <s v="加拿大二店"/>
    <x v="3"/>
    <x v="5"/>
    <x v="43"/>
    <x v="44"/>
    <x v="45"/>
    <s v="整份"/>
    <n v="3.95"/>
    <s v="份"/>
    <n v="2"/>
    <n v="7.9"/>
    <n v="0"/>
    <n v="0"/>
    <n v="0"/>
    <n v="0"/>
    <n v="0"/>
    <n v="0"/>
    <n v="0"/>
    <n v="0"/>
    <n v="0"/>
    <n v="0"/>
    <n v="2"/>
    <n v="8.29"/>
    <n v="0.39"/>
    <n v="7.9"/>
    <n v="1"/>
  </r>
  <r>
    <s v="2021-06-02"/>
    <s v="Vancouver"/>
    <s v="加拿大二店"/>
    <x v="7"/>
    <x v="14"/>
    <x v="44"/>
    <x v="45"/>
    <x v="46"/>
    <s v="整份"/>
    <n v="0"/>
    <s v="份"/>
    <n v="4"/>
    <n v="0"/>
    <n v="0"/>
    <n v="0"/>
    <n v="0"/>
    <n v="0"/>
    <n v="0"/>
    <n v="0"/>
    <n v="0"/>
    <n v="0"/>
    <n v="0"/>
    <n v="0"/>
    <n v="4"/>
    <n v="0"/>
    <n v="0"/>
    <n v="0"/>
    <n v="1"/>
  </r>
  <r>
    <s v="2021-06-02"/>
    <s v="Vancouver"/>
    <s v="加拿大二店"/>
    <x v="7"/>
    <x v="14"/>
    <x v="45"/>
    <x v="46"/>
    <x v="47"/>
    <s v="整份"/>
    <n v="1.5"/>
    <s v="份"/>
    <n v="1"/>
    <n v="1.5"/>
    <n v="0"/>
    <n v="0"/>
    <n v="0"/>
    <n v="0"/>
    <n v="0"/>
    <n v="0"/>
    <n v="0"/>
    <n v="0"/>
    <n v="0"/>
    <n v="0"/>
    <n v="1"/>
    <n v="1.57"/>
    <n v="0.07"/>
    <n v="1.5"/>
    <n v="1"/>
  </r>
  <r>
    <s v="2021-06-02"/>
    <s v="Vancouver"/>
    <s v="加拿大二店"/>
    <x v="7"/>
    <x v="14"/>
    <x v="45"/>
    <x v="46"/>
    <x v="47"/>
    <s v="整份"/>
    <n v="3"/>
    <s v="份"/>
    <n v="1"/>
    <n v="3"/>
    <n v="0"/>
    <n v="0"/>
    <n v="0"/>
    <n v="0"/>
    <n v="0"/>
    <n v="0"/>
    <n v="0"/>
    <n v="0"/>
    <n v="0"/>
    <n v="0"/>
    <n v="1"/>
    <n v="3.15"/>
    <n v="0.15"/>
    <n v="3"/>
    <n v="1"/>
  </r>
  <r>
    <s v="2021-06-02"/>
    <s v="Vancouver"/>
    <s v="加拿大二店"/>
    <x v="7"/>
    <x v="14"/>
    <x v="45"/>
    <x v="46"/>
    <x v="47"/>
    <s v="整份"/>
    <n v="9.99"/>
    <s v="份"/>
    <n v="4"/>
    <n v="39.96"/>
    <n v="0"/>
    <n v="0"/>
    <n v="0"/>
    <n v="0"/>
    <n v="0"/>
    <n v="0"/>
    <n v="0"/>
    <n v="-0.03"/>
    <n v="0"/>
    <n v="0"/>
    <n v="4"/>
    <n v="41.98"/>
    <n v="1.99"/>
    <n v="39.99"/>
    <n v="1"/>
  </r>
  <r>
    <s v="2021-06-02"/>
    <s v="Vancouver"/>
    <s v="加拿大二店"/>
    <x v="7"/>
    <x v="14"/>
    <x v="45"/>
    <x v="46"/>
    <x v="47"/>
    <s v="整份"/>
    <n v="12.99"/>
    <s v="份"/>
    <n v="4"/>
    <n v="51.96"/>
    <n v="1"/>
    <n v="12.99"/>
    <n v="0"/>
    <n v="0"/>
    <n v="0"/>
    <n v="0"/>
    <n v="0"/>
    <n v="-0.01"/>
    <n v="0"/>
    <n v="0"/>
    <n v="3"/>
    <n v="40.92"/>
    <n v="1.94"/>
    <n v="38.98"/>
    <n v="1"/>
  </r>
  <r>
    <s v="2021-06-02"/>
    <s v="Vancouver"/>
    <s v="加拿大二店"/>
    <x v="7"/>
    <x v="14"/>
    <x v="45"/>
    <x v="46"/>
    <x v="47"/>
    <s v="整份"/>
    <n v="16.95"/>
    <s v="份"/>
    <n v="1"/>
    <n v="16.95"/>
    <n v="0"/>
    <n v="0"/>
    <n v="0"/>
    <n v="0"/>
    <n v="0"/>
    <n v="0"/>
    <n v="0"/>
    <n v="0.01"/>
    <n v="0"/>
    <n v="0"/>
    <n v="1"/>
    <n v="17.78"/>
    <n v="0.84"/>
    <n v="16.94"/>
    <n v="1"/>
  </r>
  <r>
    <s v="2021-06-02"/>
    <s v="Vancouver"/>
    <s v="加拿大二店"/>
    <x v="7"/>
    <x v="14"/>
    <x v="45"/>
    <x v="46"/>
    <x v="47"/>
    <s v="整份"/>
    <n v="19.94"/>
    <s v="份"/>
    <n v="1"/>
    <n v="19.94"/>
    <n v="0"/>
    <n v="0"/>
    <n v="0"/>
    <n v="0"/>
    <n v="0"/>
    <n v="0"/>
    <n v="0"/>
    <n v="0"/>
    <n v="0"/>
    <n v="0"/>
    <n v="1"/>
    <n v="20.93"/>
    <n v="0.99"/>
    <n v="19.94"/>
    <n v="1"/>
  </r>
  <r>
    <s v="2021-06-02"/>
    <s v="Vancouver"/>
    <s v="加拿大二店"/>
    <x v="7"/>
    <x v="14"/>
    <x v="45"/>
    <x v="46"/>
    <x v="47"/>
    <s v="整份"/>
    <n v="23.8"/>
    <s v="份"/>
    <n v="1"/>
    <n v="23.8"/>
    <n v="0"/>
    <n v="0"/>
    <n v="0"/>
    <n v="0"/>
    <n v="0"/>
    <n v="0"/>
    <n v="0"/>
    <n v="0"/>
    <n v="0"/>
    <n v="0"/>
    <n v="1"/>
    <n v="24.99"/>
    <n v="1.19"/>
    <n v="23.8"/>
    <n v="1"/>
  </r>
  <r>
    <s v="2021-06-02"/>
    <s v="Vancouver"/>
    <s v="加拿大二店"/>
    <x v="7"/>
    <x v="14"/>
    <x v="45"/>
    <x v="46"/>
    <x v="47"/>
    <s v="整份"/>
    <n v="24.89"/>
    <s v="份"/>
    <n v="1"/>
    <n v="24.89"/>
    <n v="0"/>
    <n v="0"/>
    <n v="0"/>
    <n v="0"/>
    <n v="0"/>
    <n v="0"/>
    <n v="0"/>
    <n v="0"/>
    <n v="0"/>
    <n v="0"/>
    <n v="1"/>
    <n v="26.13"/>
    <n v="1.24"/>
    <n v="24.89"/>
    <n v="1"/>
  </r>
  <r>
    <s v="2021-06-02"/>
    <s v="Vancouver"/>
    <s v="加拿大二店"/>
    <x v="7"/>
    <x v="14"/>
    <x v="45"/>
    <x v="46"/>
    <x v="47"/>
    <s v="整份"/>
    <n v="24.9"/>
    <s v="份"/>
    <n v="1"/>
    <n v="24.9"/>
    <n v="0"/>
    <n v="0"/>
    <n v="0"/>
    <n v="0"/>
    <n v="0"/>
    <n v="0"/>
    <n v="0"/>
    <n v="-0.01"/>
    <n v="0"/>
    <n v="0"/>
    <n v="1"/>
    <n v="26.15"/>
    <n v="1.24"/>
    <n v="24.91"/>
    <n v="1"/>
  </r>
  <r>
    <s v="2021-06-02"/>
    <s v="Vancouver"/>
    <s v="加拿大二店"/>
    <x v="7"/>
    <x v="14"/>
    <x v="45"/>
    <x v="46"/>
    <x v="47"/>
    <s v="整份"/>
    <n v="25.75"/>
    <s v="份"/>
    <n v="1"/>
    <n v="25.75"/>
    <n v="0"/>
    <n v="0"/>
    <n v="0"/>
    <n v="0"/>
    <n v="0"/>
    <n v="0"/>
    <n v="0"/>
    <n v="0"/>
    <n v="7"/>
    <n v="0"/>
    <n v="1"/>
    <n v="19.68"/>
    <n v="0.93"/>
    <n v="18.75"/>
    <n v="1"/>
  </r>
  <r>
    <s v="2021-06-02"/>
    <s v="Vancouver"/>
    <s v="加拿大二店"/>
    <x v="7"/>
    <x v="14"/>
    <x v="45"/>
    <x v="46"/>
    <x v="47"/>
    <s v="整份"/>
    <n v="26.75"/>
    <s v="份"/>
    <n v="1"/>
    <n v="26.75"/>
    <n v="0"/>
    <n v="0"/>
    <n v="0"/>
    <n v="0"/>
    <n v="0"/>
    <n v="0"/>
    <n v="0"/>
    <n v="0"/>
    <n v="0"/>
    <n v="0"/>
    <n v="1"/>
    <n v="28.08"/>
    <n v="1.33"/>
    <n v="26.75"/>
    <n v="1"/>
  </r>
  <r>
    <s v="2021-06-02"/>
    <s v="Vancouver"/>
    <s v="加拿大二店"/>
    <x v="7"/>
    <x v="14"/>
    <x v="45"/>
    <x v="46"/>
    <x v="47"/>
    <s v="整份"/>
    <n v="28.2"/>
    <s v="份"/>
    <n v="1"/>
    <n v="28.2"/>
    <n v="0"/>
    <n v="0"/>
    <n v="0"/>
    <n v="0"/>
    <n v="0"/>
    <n v="0"/>
    <n v="0"/>
    <n v="-0.01"/>
    <n v="0"/>
    <n v="0"/>
    <n v="1"/>
    <n v="29.62"/>
    <n v="1.41"/>
    <n v="28.21"/>
    <n v="1"/>
  </r>
  <r>
    <s v="2021-06-02"/>
    <s v="Vancouver"/>
    <s v="加拿大二店"/>
    <x v="7"/>
    <x v="14"/>
    <x v="45"/>
    <x v="46"/>
    <x v="47"/>
    <s v="整份"/>
    <n v="28.95"/>
    <s v="份"/>
    <n v="4"/>
    <n v="115.8"/>
    <n v="0"/>
    <n v="0"/>
    <n v="0"/>
    <n v="0"/>
    <n v="0"/>
    <n v="0"/>
    <n v="0"/>
    <n v="0.04"/>
    <n v="0"/>
    <n v="0"/>
    <n v="4"/>
    <n v="121.54"/>
    <n v="5.78"/>
    <n v="115.76"/>
    <n v="1"/>
  </r>
  <r>
    <s v="2021-06-02"/>
    <s v="Vancouver"/>
    <s v="加拿大二店"/>
    <x v="7"/>
    <x v="14"/>
    <x v="45"/>
    <x v="46"/>
    <x v="47"/>
    <s v="整份"/>
    <n v="29.95"/>
    <s v="份"/>
    <n v="1"/>
    <n v="29.95"/>
    <n v="0"/>
    <n v="0"/>
    <n v="0"/>
    <n v="0"/>
    <n v="0"/>
    <n v="0"/>
    <n v="0"/>
    <n v="-0.01"/>
    <n v="0"/>
    <n v="0"/>
    <n v="1"/>
    <n v="31.45"/>
    <n v="1.49"/>
    <n v="29.96"/>
    <n v="1"/>
  </r>
  <r>
    <s v="2021-06-02"/>
    <s v="Vancouver"/>
    <s v="加拿大二店"/>
    <x v="7"/>
    <x v="14"/>
    <x v="45"/>
    <x v="46"/>
    <x v="47"/>
    <s v="整份"/>
    <n v="33.88"/>
    <s v="份"/>
    <n v="1"/>
    <n v="33.88"/>
    <n v="0"/>
    <n v="0"/>
    <n v="0"/>
    <n v="0"/>
    <n v="0"/>
    <n v="0"/>
    <n v="0"/>
    <n v="-0.01"/>
    <n v="0"/>
    <n v="0"/>
    <n v="1"/>
    <n v="35.58"/>
    <n v="1.69"/>
    <n v="33.89"/>
    <n v="1"/>
  </r>
  <r>
    <s v="2021-06-02"/>
    <s v="Vancouver"/>
    <s v="加拿大二店"/>
    <x v="7"/>
    <x v="14"/>
    <x v="45"/>
    <x v="46"/>
    <x v="47"/>
    <s v="整份"/>
    <n v="34.65"/>
    <s v="份"/>
    <n v="1"/>
    <n v="34.65"/>
    <n v="0"/>
    <n v="0"/>
    <n v="0"/>
    <n v="0"/>
    <n v="0"/>
    <n v="0"/>
    <n v="0"/>
    <n v="0"/>
    <n v="0"/>
    <n v="0"/>
    <n v="1"/>
    <n v="36.38"/>
    <n v="1.73"/>
    <n v="34.65"/>
    <n v="1"/>
  </r>
  <r>
    <s v="2021-06-02"/>
    <s v="Vancouver"/>
    <s v="加拿大二店"/>
    <x v="7"/>
    <x v="14"/>
    <x v="45"/>
    <x v="46"/>
    <x v="47"/>
    <s v="整份"/>
    <n v="36.25"/>
    <s v="份"/>
    <n v="1"/>
    <n v="36.25"/>
    <n v="0"/>
    <n v="0"/>
    <n v="0"/>
    <n v="0"/>
    <n v="0"/>
    <n v="0"/>
    <n v="0"/>
    <n v="-0.02"/>
    <n v="0"/>
    <n v="0"/>
    <n v="1"/>
    <n v="38.08"/>
    <n v="1.81"/>
    <n v="36.27"/>
    <n v="1"/>
  </r>
  <r>
    <s v="2021-06-02"/>
    <s v="Vancouver"/>
    <s v="加拿大二店"/>
    <x v="7"/>
    <x v="14"/>
    <x v="45"/>
    <x v="46"/>
    <x v="47"/>
    <s v="整份"/>
    <n v="38.19"/>
    <s v="份"/>
    <n v="1"/>
    <n v="38.19"/>
    <n v="0"/>
    <n v="0"/>
    <n v="0"/>
    <n v="0"/>
    <n v="0"/>
    <n v="0"/>
    <n v="0"/>
    <n v="0.02"/>
    <n v="0"/>
    <n v="0"/>
    <n v="1"/>
    <n v="40.07"/>
    <n v="1.9"/>
    <n v="38.17"/>
    <n v="1"/>
  </r>
  <r>
    <s v="2021-06-02"/>
    <s v="Vancouver"/>
    <s v="加拿大二店"/>
    <x v="7"/>
    <x v="14"/>
    <x v="45"/>
    <x v="46"/>
    <x v="47"/>
    <s v="整份"/>
    <n v="39.55"/>
    <s v="份"/>
    <n v="1"/>
    <n v="39.55"/>
    <n v="0"/>
    <n v="0"/>
    <n v="0"/>
    <n v="0"/>
    <n v="0"/>
    <n v="0"/>
    <n v="0"/>
    <n v="0.02"/>
    <n v="0"/>
    <n v="0"/>
    <n v="1"/>
    <n v="41.5"/>
    <n v="1.97"/>
    <n v="39.53"/>
    <n v="1"/>
  </r>
  <r>
    <s v="2021-06-02"/>
    <s v="Vancouver"/>
    <s v="加拿大二店"/>
    <x v="7"/>
    <x v="14"/>
    <x v="45"/>
    <x v="46"/>
    <x v="47"/>
    <s v="整份"/>
    <n v="41.9"/>
    <s v="份"/>
    <n v="1"/>
    <n v="41.9"/>
    <n v="0"/>
    <n v="0"/>
    <n v="0"/>
    <n v="0"/>
    <n v="0"/>
    <n v="0"/>
    <n v="0"/>
    <n v="0.02"/>
    <n v="0"/>
    <n v="0"/>
    <n v="1"/>
    <n v="43.97"/>
    <n v="2.09"/>
    <n v="41.88"/>
    <n v="1"/>
  </r>
  <r>
    <s v="2021-06-02"/>
    <s v="Vancouver"/>
    <s v="加拿大二店"/>
    <x v="7"/>
    <x v="14"/>
    <x v="45"/>
    <x v="46"/>
    <x v="47"/>
    <s v="整份"/>
    <n v="45.9"/>
    <s v="份"/>
    <n v="1"/>
    <n v="45.9"/>
    <n v="0"/>
    <n v="0"/>
    <n v="0"/>
    <n v="0"/>
    <n v="0"/>
    <n v="0"/>
    <n v="0"/>
    <n v="0.02"/>
    <n v="0"/>
    <n v="0"/>
    <n v="1"/>
    <n v="48.17"/>
    <n v="2.29"/>
    <n v="45.88"/>
    <n v="1"/>
  </r>
  <r>
    <s v="2021-06-02"/>
    <s v="Vancouver"/>
    <s v="加拿大二店"/>
    <x v="7"/>
    <x v="14"/>
    <x v="45"/>
    <x v="46"/>
    <x v="47"/>
    <s v="整份"/>
    <n v="45.95"/>
    <s v="份"/>
    <n v="1"/>
    <n v="45.95"/>
    <n v="1"/>
    <n v="45.95"/>
    <n v="0"/>
    <n v="0"/>
    <n v="0"/>
    <n v="0"/>
    <n v="0"/>
    <n v="0"/>
    <n v="0"/>
    <n v="0"/>
    <n v="0"/>
    <n v="0"/>
    <n v="0"/>
    <n v="0"/>
    <n v="1"/>
  </r>
  <r>
    <s v="2021-06-02"/>
    <s v="Vancouver"/>
    <s v="加拿大二店"/>
    <x v="7"/>
    <x v="14"/>
    <x v="45"/>
    <x v="46"/>
    <x v="47"/>
    <s v="整份"/>
    <n v="47.94"/>
    <s v="份"/>
    <n v="1"/>
    <n v="47.94"/>
    <n v="0"/>
    <n v="0"/>
    <n v="0"/>
    <n v="0"/>
    <n v="0"/>
    <n v="0"/>
    <n v="0"/>
    <n v="0.02"/>
    <n v="0"/>
    <n v="0"/>
    <n v="1"/>
    <n v="50.31"/>
    <n v="2.39"/>
    <n v="47.92"/>
    <n v="1"/>
  </r>
  <r>
    <s v="2021-06-02"/>
    <s v="Vancouver"/>
    <s v="加拿大二店"/>
    <x v="7"/>
    <x v="14"/>
    <x v="45"/>
    <x v="46"/>
    <x v="47"/>
    <s v="整份"/>
    <n v="59.95"/>
    <s v="份"/>
    <n v="1"/>
    <n v="59.95"/>
    <n v="0"/>
    <n v="0"/>
    <n v="0"/>
    <n v="0"/>
    <n v="0"/>
    <n v="0"/>
    <n v="0"/>
    <n v="-0.02"/>
    <n v="0"/>
    <n v="0"/>
    <n v="1"/>
    <n v="62.96"/>
    <n v="2.99"/>
    <n v="59.97"/>
    <n v="1"/>
  </r>
  <r>
    <s v="2021-06-02"/>
    <s v="Vancouver"/>
    <s v="加拿大二店"/>
    <x v="7"/>
    <x v="14"/>
    <x v="45"/>
    <x v="46"/>
    <x v="47"/>
    <s v="整份"/>
    <n v="117.22"/>
    <s v="份"/>
    <n v="1"/>
    <n v="117.22"/>
    <n v="0"/>
    <n v="0"/>
    <n v="0"/>
    <n v="0"/>
    <n v="0"/>
    <n v="0"/>
    <n v="0"/>
    <n v="0"/>
    <n v="0"/>
    <n v="0"/>
    <n v="1"/>
    <n v="123.08"/>
    <n v="5.86"/>
    <n v="117.22"/>
    <n v="1"/>
  </r>
  <r>
    <s v="2021-06-02"/>
    <s v="Vancouver"/>
    <s v="加拿大二店"/>
    <x v="7"/>
    <x v="14"/>
    <x v="45"/>
    <x v="46"/>
    <x v="47"/>
    <s v="整份"/>
    <n v="128.95"/>
    <s v="份"/>
    <n v="1"/>
    <n v="128.95"/>
    <n v="0"/>
    <n v="0"/>
    <n v="0"/>
    <n v="0"/>
    <n v="0"/>
    <n v="0"/>
    <n v="0"/>
    <n v="-0.02"/>
    <n v="0"/>
    <n v="0"/>
    <n v="1"/>
    <n v="135.41"/>
    <n v="6.44"/>
    <n v="128.97"/>
    <n v="1"/>
  </r>
  <r>
    <s v="2021-06-02"/>
    <s v="Vancouver"/>
    <s v="加拿大二店"/>
    <x v="2"/>
    <x v="4"/>
    <x v="46"/>
    <x v="47"/>
    <x v="48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02"/>
    <s v="Vancouver"/>
    <s v="加拿大二店"/>
    <x v="2"/>
    <x v="4"/>
    <x v="47"/>
    <x v="48"/>
    <x v="49"/>
    <s v="冰镇"/>
    <n v="2.95"/>
    <s v="听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02"/>
    <s v="Vancouver"/>
    <s v="加拿大二店"/>
    <x v="6"/>
    <x v="13"/>
    <x v="48"/>
    <x v="49"/>
    <x v="50"/>
    <s v="整份"/>
    <n v="4.95"/>
    <s v="份"/>
    <n v="5"/>
    <n v="24.75"/>
    <n v="0"/>
    <n v="0"/>
    <n v="0"/>
    <n v="0"/>
    <n v="0"/>
    <n v="0"/>
    <n v="0"/>
    <n v="0"/>
    <n v="1.98"/>
    <n v="0"/>
    <n v="5"/>
    <n v="23.9"/>
    <n v="1.13"/>
    <n v="22.77"/>
    <n v="1"/>
  </r>
  <r>
    <s v="2021-06-02"/>
    <s v="Vancouver"/>
    <s v="加拿大二店"/>
    <x v="3"/>
    <x v="7"/>
    <x v="49"/>
    <x v="50"/>
    <x v="51"/>
    <s v="整份"/>
    <n v="4.95"/>
    <s v="份"/>
    <n v="2"/>
    <n v="9.9"/>
    <n v="0"/>
    <n v="0"/>
    <n v="0"/>
    <n v="0"/>
    <n v="0"/>
    <n v="0"/>
    <n v="0"/>
    <n v="0"/>
    <n v="0.99"/>
    <n v="0"/>
    <n v="2"/>
    <n v="9.35"/>
    <n v="0.44"/>
    <n v="8.91"/>
    <n v="1"/>
  </r>
  <r>
    <s v="2021-06-02"/>
    <s v="Vancouver"/>
    <s v="加拿大二店"/>
    <x v="6"/>
    <x v="15"/>
    <x v="50"/>
    <x v="51"/>
    <x v="52"/>
    <s v="份"/>
    <n v="8.95"/>
    <s v="份"/>
    <n v="1"/>
    <n v="8.95"/>
    <n v="0"/>
    <n v="0"/>
    <n v="0"/>
    <n v="0"/>
    <n v="0"/>
    <n v="0"/>
    <n v="0"/>
    <n v="0"/>
    <n v="0"/>
    <n v="0"/>
    <n v="1"/>
    <n v="9.39"/>
    <n v="0.44"/>
    <n v="8.95"/>
    <n v="1"/>
  </r>
  <r>
    <s v="2021-06-02"/>
    <s v="Vancouver"/>
    <s v="加拿大二店"/>
    <x v="1"/>
    <x v="6"/>
    <x v="113"/>
    <x v="107"/>
    <x v="117"/>
    <s v="整份"/>
    <n v="28.95"/>
    <s v="份"/>
    <n v="2"/>
    <n v="57.9"/>
    <n v="0"/>
    <n v="0"/>
    <n v="0"/>
    <n v="0"/>
    <n v="0"/>
    <n v="0"/>
    <n v="0"/>
    <n v="0.04"/>
    <n v="0"/>
    <n v="0"/>
    <n v="2"/>
    <n v="60.75"/>
    <n v="2.89"/>
    <n v="57.86"/>
    <n v="1"/>
  </r>
  <r>
    <s v="2021-06-02"/>
    <s v="Vancouver"/>
    <s v="加拿大二店"/>
    <x v="3"/>
    <x v="5"/>
    <x v="51"/>
    <x v="52"/>
    <x v="53"/>
    <s v="整份"/>
    <n v="3.95"/>
    <s v="份"/>
    <n v="3"/>
    <n v="11.85"/>
    <n v="0"/>
    <n v="0"/>
    <n v="0"/>
    <n v="0"/>
    <n v="1"/>
    <n v="3.95"/>
    <n v="0"/>
    <n v="0"/>
    <n v="0"/>
    <n v="0"/>
    <n v="2"/>
    <n v="8.29"/>
    <n v="0.39"/>
    <n v="7.9"/>
    <n v="1"/>
  </r>
  <r>
    <s v="2021-06-02"/>
    <s v="Vancouver"/>
    <s v="加拿大二店"/>
    <x v="3"/>
    <x v="5"/>
    <x v="52"/>
    <x v="53"/>
    <x v="54"/>
    <s v="整份"/>
    <n v="5.95"/>
    <s v="份"/>
    <n v="1"/>
    <n v="5.95"/>
    <n v="0"/>
    <n v="0"/>
    <n v="0"/>
    <n v="0"/>
    <n v="1"/>
    <n v="5.95"/>
    <n v="0"/>
    <n v="0"/>
    <n v="0"/>
    <n v="0"/>
    <n v="0"/>
    <n v="0"/>
    <n v="0"/>
    <n v="0"/>
    <n v="1"/>
  </r>
  <r>
    <s v="2021-06-02"/>
    <s v="Vancouver"/>
    <s v="加拿大二店"/>
    <x v="4"/>
    <x v="9"/>
    <x v="53"/>
    <x v="0"/>
    <x v="55"/>
    <s v="拼锅"/>
    <n v="0"/>
    <s v="锅"/>
    <n v="3"/>
    <n v="0"/>
    <n v="0"/>
    <n v="0"/>
    <n v="0"/>
    <n v="0"/>
    <n v="0"/>
    <n v="0"/>
    <n v="0"/>
    <n v="0.02"/>
    <n v="0"/>
    <n v="0"/>
    <n v="3"/>
    <n v="-0.02"/>
    <n v="-0.01"/>
    <n v="-0.01"/>
    <n v="2"/>
  </r>
  <r>
    <s v="2021-06-02"/>
    <s v="Vancouver"/>
    <s v="加拿大二店"/>
    <x v="4"/>
    <x v="10"/>
    <x v="53"/>
    <x v="0"/>
    <x v="55"/>
    <s v="四宫格"/>
    <n v="0"/>
    <s v="锅"/>
    <n v="4"/>
    <n v="0"/>
    <n v="0"/>
    <n v="0"/>
    <n v="0"/>
    <n v="0"/>
    <n v="0"/>
    <n v="0"/>
    <n v="0"/>
    <n v="0"/>
    <n v="0"/>
    <n v="0"/>
    <n v="4"/>
    <n v="0"/>
    <n v="0"/>
    <n v="0"/>
    <n v="1"/>
  </r>
  <r>
    <s v="2021-06-02"/>
    <s v="Vancouver"/>
    <s v="加拿大二店"/>
    <x v="6"/>
    <x v="13"/>
    <x v="114"/>
    <x v="108"/>
    <x v="118"/>
    <s v="整份"/>
    <n v="7.95"/>
    <s v="份"/>
    <n v="1"/>
    <n v="7.95"/>
    <n v="0"/>
    <n v="0"/>
    <n v="0"/>
    <n v="0"/>
    <n v="0"/>
    <n v="0"/>
    <n v="0"/>
    <n v="-0.01"/>
    <n v="0"/>
    <n v="0"/>
    <n v="1"/>
    <n v="8.35"/>
    <n v="0.39"/>
    <n v="7.96"/>
    <n v="1"/>
  </r>
  <r>
    <s v="2021-06-02"/>
    <s v="Vancouver"/>
    <s v="加拿大二店"/>
    <x v="1"/>
    <x v="8"/>
    <x v="55"/>
    <x v="55"/>
    <x v="57"/>
    <s v="整份"/>
    <n v="9.95"/>
    <s v="份"/>
    <n v="3"/>
    <n v="29.85"/>
    <n v="0"/>
    <n v="0"/>
    <n v="0"/>
    <n v="0"/>
    <n v="1"/>
    <n v="9.95"/>
    <n v="0"/>
    <n v="0"/>
    <n v="1.99"/>
    <n v="0"/>
    <n v="2"/>
    <n v="18.8"/>
    <n v="0.89"/>
    <n v="17.91"/>
    <n v="1"/>
  </r>
  <r>
    <s v="2021-06-02"/>
    <s v="Vancouver"/>
    <s v="加拿大二店"/>
    <x v="1"/>
    <x v="1"/>
    <x v="56"/>
    <x v="56"/>
    <x v="58"/>
    <s v="整份"/>
    <n v="12.95"/>
    <s v="份"/>
    <n v="6"/>
    <n v="77.7"/>
    <n v="0"/>
    <n v="0"/>
    <n v="0"/>
    <n v="0"/>
    <n v="0"/>
    <n v="0"/>
    <n v="0"/>
    <n v="0"/>
    <n v="5.18"/>
    <n v="0"/>
    <n v="6"/>
    <n v="76.14"/>
    <n v="3.62"/>
    <n v="72.52"/>
    <n v="1"/>
  </r>
  <r>
    <s v="2021-06-02"/>
    <s v="Vancouver"/>
    <s v="加拿大二店"/>
    <x v="1"/>
    <x v="1"/>
    <x v="57"/>
    <x v="57"/>
    <x v="59"/>
    <s v="整份"/>
    <n v="11.95"/>
    <s v="份"/>
    <n v="30"/>
    <n v="358.5"/>
    <n v="0"/>
    <n v="0"/>
    <n v="0"/>
    <n v="0"/>
    <n v="1"/>
    <n v="11.95"/>
    <n v="0"/>
    <n v="0"/>
    <n v="11.95"/>
    <n v="0"/>
    <n v="29"/>
    <n v="351.33"/>
    <n v="16.73"/>
    <n v="334.6"/>
    <n v="1"/>
  </r>
  <r>
    <s v="2021-06-02"/>
    <s v="Vancouver"/>
    <s v="加拿大二店"/>
    <x v="4"/>
    <x v="9"/>
    <x v="58"/>
    <x v="0"/>
    <x v="60"/>
    <s v="拼锅"/>
    <n v="8.95"/>
    <s v="锅"/>
    <n v="8"/>
    <n v="71.6"/>
    <n v="0"/>
    <n v="0"/>
    <n v="0"/>
    <n v="0"/>
    <n v="0"/>
    <n v="0"/>
    <n v="0"/>
    <n v="-0.01"/>
    <n v="3.58"/>
    <n v="0"/>
    <n v="8"/>
    <n v="71.43"/>
    <n v="3.4"/>
    <n v="68.03"/>
    <n v="2"/>
  </r>
  <r>
    <s v="2021-06-02"/>
    <s v="Vancouver"/>
    <s v="加拿大二店"/>
    <x v="4"/>
    <x v="10"/>
    <x v="58"/>
    <x v="0"/>
    <x v="60"/>
    <s v="四宫格"/>
    <n v="4.95"/>
    <s v="锅"/>
    <n v="1"/>
    <n v="4.95"/>
    <n v="0"/>
    <n v="0"/>
    <n v="0"/>
    <n v="0"/>
    <n v="0"/>
    <n v="0"/>
    <n v="0"/>
    <n v="0"/>
    <n v="0"/>
    <n v="0"/>
    <n v="1"/>
    <n v="5.19"/>
    <n v="0.24"/>
    <n v="4.95"/>
    <n v="1"/>
  </r>
  <r>
    <s v="2021-06-02"/>
    <s v="Vancouver"/>
    <s v="加拿大二店"/>
    <x v="2"/>
    <x v="21"/>
    <x v="115"/>
    <x v="109"/>
    <x v="119"/>
    <s v="瓶"/>
    <n v="49.95"/>
    <s v="瓶"/>
    <n v="1"/>
    <n v="49.95"/>
    <n v="0"/>
    <n v="0"/>
    <n v="0"/>
    <n v="0"/>
    <n v="0"/>
    <n v="0"/>
    <n v="0"/>
    <n v="0"/>
    <n v="0"/>
    <n v="0"/>
    <n v="1"/>
    <n v="57.44"/>
    <n v="7.49"/>
    <n v="49.95"/>
    <n v="1"/>
  </r>
  <r>
    <s v="2021-06-02"/>
    <s v="Vancouver"/>
    <s v="加拿大二店"/>
    <x v="3"/>
    <x v="5"/>
    <x v="59"/>
    <x v="58"/>
    <x v="61"/>
    <s v="整份"/>
    <n v="4.95"/>
    <s v="份"/>
    <n v="3"/>
    <n v="14.85"/>
    <n v="0"/>
    <n v="0"/>
    <n v="0"/>
    <n v="0"/>
    <n v="0"/>
    <n v="0"/>
    <n v="0"/>
    <n v="0"/>
    <n v="1.98"/>
    <n v="0"/>
    <n v="3"/>
    <n v="13.51"/>
    <n v="0.64"/>
    <n v="12.87"/>
    <n v="1"/>
  </r>
  <r>
    <s v="2021-06-02"/>
    <s v="Vancouver"/>
    <s v="加拿大二店"/>
    <x v="2"/>
    <x v="4"/>
    <x v="60"/>
    <x v="59"/>
    <x v="62"/>
    <s v="冰镇"/>
    <n v="6.95"/>
    <s v="扎"/>
    <n v="3"/>
    <n v="20.85"/>
    <n v="0"/>
    <n v="0"/>
    <n v="0"/>
    <n v="0"/>
    <n v="0"/>
    <n v="0"/>
    <n v="0"/>
    <n v="0"/>
    <n v="1.39"/>
    <n v="0"/>
    <n v="3"/>
    <n v="21.79"/>
    <n v="2.33"/>
    <n v="19.46"/>
    <n v="1"/>
  </r>
  <r>
    <s v="2021-06-02"/>
    <s v="Vancouver"/>
    <s v="加拿大二店"/>
    <x v="6"/>
    <x v="13"/>
    <x v="61"/>
    <x v="60"/>
    <x v="63"/>
    <s v="整份"/>
    <n v="3.95"/>
    <s v="包"/>
    <n v="2"/>
    <n v="7.9"/>
    <n v="0"/>
    <n v="0"/>
    <n v="0"/>
    <n v="0"/>
    <n v="0"/>
    <n v="0"/>
    <n v="0"/>
    <n v="0.01"/>
    <n v="0"/>
    <n v="0"/>
    <n v="2"/>
    <n v="8.28"/>
    <n v="0.39"/>
    <n v="7.89"/>
    <n v="1"/>
  </r>
  <r>
    <s v="2021-06-02"/>
    <s v="Vancouver"/>
    <s v="加拿大二店"/>
    <x v="1"/>
    <x v="8"/>
    <x v="116"/>
    <x v="110"/>
    <x v="120"/>
    <s v="个"/>
    <n v="0.95"/>
    <s v="个"/>
    <n v="1"/>
    <n v="0.95"/>
    <n v="0"/>
    <n v="0"/>
    <n v="0"/>
    <n v="0"/>
    <n v="0"/>
    <n v="0"/>
    <n v="0"/>
    <n v="0"/>
    <n v="0.19"/>
    <n v="0"/>
    <n v="1"/>
    <n v="0.79"/>
    <n v="0.03"/>
    <n v="0.76"/>
    <n v="1"/>
  </r>
  <r>
    <s v="2021-06-02"/>
    <s v="Vancouver"/>
    <s v="加拿大二店"/>
    <x v="4"/>
    <x v="9"/>
    <x v="62"/>
    <x v="0"/>
    <x v="64"/>
    <s v="拼锅"/>
    <n v="8.95"/>
    <s v="锅"/>
    <n v="14"/>
    <n v="125.3"/>
    <n v="0"/>
    <n v="0"/>
    <n v="0"/>
    <n v="0"/>
    <n v="2"/>
    <n v="17.9"/>
    <n v="0"/>
    <n v="0"/>
    <n v="3.58"/>
    <n v="0"/>
    <n v="12"/>
    <n v="109.01"/>
    <n v="5.19"/>
    <n v="103.82"/>
    <n v="2"/>
  </r>
  <r>
    <s v="2021-06-02"/>
    <s v="Vancouver"/>
    <s v="加拿大二店"/>
    <x v="4"/>
    <x v="10"/>
    <x v="62"/>
    <x v="0"/>
    <x v="64"/>
    <s v="四宫格"/>
    <n v="4.95"/>
    <s v="锅"/>
    <n v="3"/>
    <n v="14.85"/>
    <n v="0"/>
    <n v="0"/>
    <n v="0"/>
    <n v="0"/>
    <n v="0"/>
    <n v="0"/>
    <n v="0"/>
    <n v="0"/>
    <n v="0.99"/>
    <n v="0"/>
    <n v="3"/>
    <n v="14.55"/>
    <n v="0.69"/>
    <n v="13.86"/>
    <n v="1"/>
  </r>
  <r>
    <s v="2021-06-02"/>
    <s v="Vancouver"/>
    <s v="加拿大二店"/>
    <x v="6"/>
    <x v="13"/>
    <x v="63"/>
    <x v="61"/>
    <x v="65"/>
    <s v="整份"/>
    <n v="1.5"/>
    <s v="碗"/>
    <n v="3"/>
    <n v="4.5"/>
    <n v="0"/>
    <n v="0"/>
    <n v="0"/>
    <n v="0"/>
    <n v="1"/>
    <n v="1.5"/>
    <n v="0"/>
    <n v="0"/>
    <n v="0"/>
    <n v="0"/>
    <n v="2"/>
    <n v="3.15"/>
    <n v="0.15"/>
    <n v="3"/>
    <n v="1"/>
  </r>
  <r>
    <s v="2021-06-02"/>
    <s v="Vancouver"/>
    <s v="加拿大二店"/>
    <x v="3"/>
    <x v="5"/>
    <x v="64"/>
    <x v="62"/>
    <x v="66"/>
    <s v="整份"/>
    <n v="3.95"/>
    <s v="份"/>
    <n v="4"/>
    <n v="15.8"/>
    <n v="0"/>
    <n v="0"/>
    <n v="0"/>
    <n v="0"/>
    <n v="0"/>
    <n v="0"/>
    <n v="0"/>
    <n v="0"/>
    <n v="1.58"/>
    <n v="0"/>
    <n v="4"/>
    <n v="14.93"/>
    <n v="0.71"/>
    <n v="14.22"/>
    <n v="1"/>
  </r>
  <r>
    <s v="2021-06-02"/>
    <s v="Vancouver"/>
    <s v="加拿大二店"/>
    <x v="2"/>
    <x v="4"/>
    <x v="65"/>
    <x v="63"/>
    <x v="67"/>
    <s v="扎"/>
    <n v="8.95"/>
    <s v="扎"/>
    <n v="5"/>
    <n v="44.75"/>
    <n v="0"/>
    <n v="0"/>
    <n v="0"/>
    <n v="0"/>
    <n v="1"/>
    <n v="8.95"/>
    <n v="0"/>
    <n v="0.01"/>
    <n v="1.79"/>
    <n v="0"/>
    <n v="4"/>
    <n v="38.08"/>
    <n v="4.08"/>
    <n v="34"/>
    <n v="1"/>
  </r>
  <r>
    <s v="2021-06-02"/>
    <s v="Vancouver"/>
    <s v="加拿大二店"/>
    <x v="2"/>
    <x v="4"/>
    <x v="66"/>
    <x v="64"/>
    <x v="68"/>
    <s v="扎"/>
    <n v="11.95"/>
    <s v="扎"/>
    <n v="2"/>
    <n v="23.9"/>
    <n v="0"/>
    <n v="0"/>
    <n v="0"/>
    <n v="0"/>
    <n v="1"/>
    <n v="11.95"/>
    <n v="0"/>
    <n v="-0.01"/>
    <n v="0"/>
    <n v="0"/>
    <n v="1"/>
    <n v="13.39"/>
    <n v="1.43"/>
    <n v="11.96"/>
    <n v="1"/>
  </r>
  <r>
    <s v="2021-06-02"/>
    <s v="Vancouver"/>
    <s v="加拿大二店"/>
    <x v="3"/>
    <x v="5"/>
    <x v="117"/>
    <x v="111"/>
    <x v="121"/>
    <s v="整份"/>
    <n v="4.95"/>
    <s v="份"/>
    <n v="3"/>
    <n v="14.85"/>
    <n v="0"/>
    <n v="0"/>
    <n v="0"/>
    <n v="0"/>
    <n v="0"/>
    <n v="0"/>
    <n v="0"/>
    <n v="0"/>
    <n v="0.99"/>
    <n v="0"/>
    <n v="3"/>
    <n v="14.55"/>
    <n v="0.69"/>
    <n v="13.86"/>
    <n v="1"/>
  </r>
  <r>
    <s v="2021-06-02"/>
    <s v="Vancouver"/>
    <s v="加拿大二店"/>
    <x v="3"/>
    <x v="7"/>
    <x v="67"/>
    <x v="65"/>
    <x v="69"/>
    <s v="整份"/>
    <n v="3.95"/>
    <s v="份"/>
    <n v="1"/>
    <n v="3.95"/>
    <n v="0"/>
    <n v="0"/>
    <n v="0"/>
    <n v="0"/>
    <n v="1"/>
    <n v="3.95"/>
    <n v="0"/>
    <n v="0"/>
    <n v="0"/>
    <n v="0"/>
    <n v="0"/>
    <n v="0"/>
    <n v="0"/>
    <n v="0"/>
    <n v="1"/>
  </r>
  <r>
    <s v="2021-06-02"/>
    <s v="Vancouver"/>
    <s v="加拿大二店"/>
    <x v="1"/>
    <x v="1"/>
    <x v="68"/>
    <x v="66"/>
    <x v="70"/>
    <s v="整份"/>
    <n v="8.95"/>
    <s v="份"/>
    <n v="22"/>
    <n v="196.9"/>
    <n v="0"/>
    <n v="0"/>
    <n v="0"/>
    <n v="0"/>
    <n v="3"/>
    <n v="26.85"/>
    <n v="0"/>
    <n v="0"/>
    <n v="5.37"/>
    <n v="0"/>
    <n v="19"/>
    <n v="172.91"/>
    <n v="8.23"/>
    <n v="164.68"/>
    <n v="1"/>
  </r>
  <r>
    <s v="2021-06-02"/>
    <s v="Vancouver"/>
    <s v="加拿大二店"/>
    <x v="1"/>
    <x v="1"/>
    <x v="69"/>
    <x v="67"/>
    <x v="71"/>
    <s v="整份"/>
    <n v="8.95"/>
    <s v="份"/>
    <n v="1"/>
    <n v="8.95"/>
    <n v="0"/>
    <n v="0"/>
    <n v="0"/>
    <n v="0"/>
    <n v="0"/>
    <n v="0"/>
    <n v="0"/>
    <n v="0"/>
    <n v="0"/>
    <n v="0"/>
    <n v="1"/>
    <n v="9.39"/>
    <n v="0.44"/>
    <n v="8.95"/>
    <n v="1"/>
  </r>
  <r>
    <s v="2021-06-02"/>
    <s v="Vancouver"/>
    <s v="加拿大二店"/>
    <x v="6"/>
    <x v="15"/>
    <x v="70"/>
    <x v="68"/>
    <x v="72"/>
    <s v="整份"/>
    <n v="1.5"/>
    <s v="份"/>
    <n v="1"/>
    <n v="1.5"/>
    <n v="0"/>
    <n v="0"/>
    <n v="0"/>
    <n v="0"/>
    <n v="0"/>
    <n v="0"/>
    <n v="0"/>
    <n v="0"/>
    <n v="0"/>
    <n v="0"/>
    <n v="1"/>
    <n v="1.57"/>
    <n v="0.07"/>
    <n v="1.5"/>
    <n v="1"/>
  </r>
  <r>
    <s v="2021-06-02"/>
    <s v="Vancouver"/>
    <s v="加拿大二店"/>
    <x v="4"/>
    <x v="9"/>
    <x v="71"/>
    <x v="0"/>
    <x v="73"/>
    <s v="拼锅"/>
    <n v="18.95"/>
    <s v="锅"/>
    <n v="5"/>
    <n v="94.75"/>
    <n v="0"/>
    <n v="0"/>
    <n v="0"/>
    <n v="0"/>
    <n v="0"/>
    <n v="0"/>
    <n v="0"/>
    <n v="0.01"/>
    <n v="3.79"/>
    <n v="0"/>
    <n v="5"/>
    <n v="95.49"/>
    <n v="4.54"/>
    <n v="90.95"/>
    <n v="2"/>
  </r>
  <r>
    <s v="2021-06-02"/>
    <s v="Vancouver"/>
    <s v="加拿大二店"/>
    <x v="4"/>
    <x v="10"/>
    <x v="71"/>
    <x v="0"/>
    <x v="73"/>
    <s v="四宫格"/>
    <n v="9.95"/>
    <s v="锅"/>
    <n v="4"/>
    <n v="39.8"/>
    <n v="0"/>
    <n v="0"/>
    <n v="0"/>
    <n v="0"/>
    <n v="0"/>
    <n v="0"/>
    <n v="0"/>
    <n v="0"/>
    <n v="1.99"/>
    <n v="0"/>
    <n v="4"/>
    <n v="39.7"/>
    <n v="1.89"/>
    <n v="37.81"/>
    <n v="1"/>
  </r>
  <r>
    <s v="2021-06-02"/>
    <s v="Vancouver"/>
    <s v="加拿大二店"/>
    <x v="1"/>
    <x v="8"/>
    <x v="72"/>
    <x v="69"/>
    <x v="74"/>
    <s v="个"/>
    <n v="7.95"/>
    <s v="份"/>
    <n v="2"/>
    <n v="15.9"/>
    <n v="0"/>
    <n v="0"/>
    <n v="0"/>
    <n v="0"/>
    <n v="0"/>
    <n v="0"/>
    <n v="0"/>
    <n v="0"/>
    <n v="1.59"/>
    <n v="0"/>
    <n v="2"/>
    <n v="15.02"/>
    <n v="0.71"/>
    <n v="14.31"/>
    <n v="1"/>
  </r>
  <r>
    <s v="2021-06-02"/>
    <s v="Vancouver"/>
    <s v="加拿大二店"/>
    <x v="6"/>
    <x v="13"/>
    <x v="73"/>
    <x v="70"/>
    <x v="75"/>
    <s v="份"/>
    <n v="6.95"/>
    <s v="份"/>
    <n v="3"/>
    <n v="20.85"/>
    <n v="0"/>
    <n v="0"/>
    <n v="0"/>
    <n v="0"/>
    <n v="2"/>
    <n v="13.9"/>
    <n v="0"/>
    <n v="0.01"/>
    <n v="1.39"/>
    <n v="0"/>
    <n v="1"/>
    <n v="5.82"/>
    <n v="0.27"/>
    <n v="5.55"/>
    <n v="1"/>
  </r>
  <r>
    <s v="2021-06-02"/>
    <s v="Vancouver"/>
    <s v="加拿大二店"/>
    <x v="4"/>
    <x v="9"/>
    <x v="74"/>
    <x v="0"/>
    <x v="76"/>
    <s v="拼锅"/>
    <n v="18.95"/>
    <s v="锅"/>
    <n v="4"/>
    <n v="75.8"/>
    <n v="0"/>
    <n v="0"/>
    <n v="0"/>
    <n v="0"/>
    <n v="0"/>
    <n v="0"/>
    <n v="0"/>
    <n v="0"/>
    <n v="0"/>
    <n v="0"/>
    <n v="4"/>
    <n v="79.59"/>
    <n v="3.79"/>
    <n v="75.8"/>
    <n v="2"/>
  </r>
  <r>
    <s v="2021-06-02"/>
    <s v="Vancouver"/>
    <s v="加拿大二店"/>
    <x v="4"/>
    <x v="10"/>
    <x v="74"/>
    <x v="0"/>
    <x v="76"/>
    <s v="四宫格"/>
    <n v="9.95"/>
    <s v="锅"/>
    <n v="1"/>
    <n v="9.95"/>
    <n v="0"/>
    <n v="0"/>
    <n v="0"/>
    <n v="0"/>
    <n v="0"/>
    <n v="0"/>
    <n v="0"/>
    <n v="0"/>
    <n v="0"/>
    <n v="0"/>
    <n v="1"/>
    <n v="10.44"/>
    <n v="0.49"/>
    <n v="9.95"/>
    <n v="1"/>
  </r>
  <r>
    <s v="2021-06-02"/>
    <s v="Vancouver"/>
    <s v="加拿大二店"/>
    <x v="1"/>
    <x v="6"/>
    <x v="118"/>
    <x v="112"/>
    <x v="122"/>
    <s v="整份"/>
    <n v="28.95"/>
    <s v="份"/>
    <n v="4"/>
    <n v="115.8"/>
    <n v="0"/>
    <n v="0"/>
    <n v="0"/>
    <n v="0"/>
    <n v="0"/>
    <n v="0"/>
    <n v="0"/>
    <n v="0.02"/>
    <n v="5.79"/>
    <n v="0"/>
    <n v="4"/>
    <n v="115.48"/>
    <n v="5.49"/>
    <n v="109.99"/>
    <n v="1"/>
  </r>
  <r>
    <s v="2021-06-02"/>
    <s v="Vancouver"/>
    <s v="加拿大二店"/>
    <x v="8"/>
    <x v="17"/>
    <x v="75"/>
    <x v="71"/>
    <x v="77"/>
    <s v="整份"/>
    <n v="3.99"/>
    <s v="位"/>
    <n v="73"/>
    <n v="291.27"/>
    <n v="5"/>
    <n v="19.95"/>
    <n v="0"/>
    <n v="0"/>
    <n v="6"/>
    <n v="23.94"/>
    <n v="0"/>
    <n v="0"/>
    <n v="4"/>
    <n v="0"/>
    <n v="62"/>
    <n v="255.54"/>
    <n v="12.16"/>
    <n v="243.38"/>
    <n v="1"/>
  </r>
  <r>
    <s v="2021-06-02"/>
    <s v="Vancouver"/>
    <s v="加拿大二店"/>
    <x v="3"/>
    <x v="5"/>
    <x v="76"/>
    <x v="72"/>
    <x v="78"/>
    <s v="整份"/>
    <n v="3.95"/>
    <s v="份"/>
    <n v="2"/>
    <n v="7.9"/>
    <n v="0"/>
    <n v="0"/>
    <n v="0"/>
    <n v="0"/>
    <n v="0"/>
    <n v="0"/>
    <n v="0"/>
    <n v="0"/>
    <n v="0"/>
    <n v="0"/>
    <n v="2"/>
    <n v="8.29"/>
    <n v="0.39"/>
    <n v="7.9"/>
    <n v="1"/>
  </r>
  <r>
    <s v="2021-06-02"/>
    <s v="Vancouver"/>
    <s v="加拿大二店"/>
    <x v="1"/>
    <x v="3"/>
    <x v="77"/>
    <x v="73"/>
    <x v="79"/>
    <s v="整份"/>
    <n v="5.95"/>
    <s v="份"/>
    <n v="3"/>
    <n v="17.85"/>
    <n v="0"/>
    <n v="0"/>
    <n v="0"/>
    <n v="0"/>
    <n v="2"/>
    <n v="11.9"/>
    <n v="0"/>
    <n v="0"/>
    <n v="0"/>
    <n v="0"/>
    <n v="1"/>
    <n v="6.24"/>
    <n v="0.29"/>
    <n v="5.95"/>
    <n v="1"/>
  </r>
  <r>
    <s v="2021-06-02"/>
    <s v="Vancouver"/>
    <s v="加拿大二店"/>
    <x v="3"/>
    <x v="11"/>
    <x v="78"/>
    <x v="74"/>
    <x v="80"/>
    <s v="整份"/>
    <n v="5.95"/>
    <s v="份"/>
    <n v="7"/>
    <n v="41.65"/>
    <n v="0"/>
    <n v="0"/>
    <n v="0"/>
    <n v="0"/>
    <n v="0"/>
    <n v="0"/>
    <n v="0"/>
    <n v="0"/>
    <n v="3.57"/>
    <n v="0"/>
    <n v="7"/>
    <n v="39.98"/>
    <n v="1.9"/>
    <n v="38.08"/>
    <n v="1"/>
  </r>
  <r>
    <s v="2021-06-02"/>
    <s v="Vancouver"/>
    <s v="加拿大二店"/>
    <x v="3"/>
    <x v="11"/>
    <x v="78"/>
    <x v="75"/>
    <x v="81"/>
    <s v="半份"/>
    <n v="2.95"/>
    <s v="份"/>
    <n v="1"/>
    <n v="2.95"/>
    <n v="0"/>
    <n v="0"/>
    <n v="0"/>
    <n v="0"/>
    <n v="0"/>
    <n v="0"/>
    <n v="0"/>
    <n v="0"/>
    <n v="0.88"/>
    <n v="0"/>
    <n v="1"/>
    <n v="2.17"/>
    <n v="0.1"/>
    <n v="2.07"/>
    <n v="0.5"/>
  </r>
  <r>
    <s v="2021-06-02"/>
    <s v="Vancouver"/>
    <s v="加拿大二店"/>
    <x v="3"/>
    <x v="5"/>
    <x v="79"/>
    <x v="76"/>
    <x v="82"/>
    <s v="整份"/>
    <n v="3.95"/>
    <s v="份"/>
    <n v="3"/>
    <n v="11.85"/>
    <n v="0"/>
    <n v="0"/>
    <n v="0"/>
    <n v="0"/>
    <n v="0"/>
    <n v="0"/>
    <n v="0"/>
    <n v="0"/>
    <n v="0"/>
    <n v="0"/>
    <n v="3"/>
    <n v="12.44"/>
    <n v="0.59"/>
    <n v="11.85"/>
    <n v="1"/>
  </r>
  <r>
    <s v="2021-06-02"/>
    <s v="Vancouver"/>
    <s v="加拿大二店"/>
    <x v="3"/>
    <x v="5"/>
    <x v="80"/>
    <x v="77"/>
    <x v="83"/>
    <s v="整份"/>
    <n v="5.95"/>
    <s v="份"/>
    <n v="7"/>
    <n v="41.65"/>
    <n v="0"/>
    <n v="0"/>
    <n v="0"/>
    <n v="0"/>
    <n v="0"/>
    <n v="0"/>
    <n v="0"/>
    <n v="0"/>
    <n v="1.19"/>
    <n v="0"/>
    <n v="7"/>
    <n v="42.48"/>
    <n v="2.02"/>
    <n v="40.46"/>
    <n v="1"/>
  </r>
  <r>
    <s v="2021-06-02"/>
    <s v="Vancouver"/>
    <s v="加拿大二店"/>
    <x v="4"/>
    <x v="16"/>
    <x v="81"/>
    <x v="0"/>
    <x v="84"/>
    <s v="单锅"/>
    <n v="16.95"/>
    <s v="锅"/>
    <n v="1"/>
    <n v="16.95"/>
    <n v="0"/>
    <n v="0"/>
    <n v="0"/>
    <n v="0"/>
    <n v="0"/>
    <n v="0"/>
    <n v="0"/>
    <n v="0"/>
    <n v="0"/>
    <n v="0"/>
    <n v="1"/>
    <n v="17.79"/>
    <n v="0.84"/>
    <n v="16.95"/>
    <n v="4"/>
  </r>
  <r>
    <s v="2021-06-02"/>
    <s v="Vancouver"/>
    <s v="加拿大二店"/>
    <x v="4"/>
    <x v="9"/>
    <x v="81"/>
    <x v="0"/>
    <x v="84"/>
    <s v="拼锅"/>
    <n v="8.95"/>
    <s v="锅"/>
    <n v="4"/>
    <n v="35.8"/>
    <n v="1"/>
    <n v="8.95"/>
    <n v="0"/>
    <n v="0"/>
    <n v="1"/>
    <n v="8.95"/>
    <n v="0"/>
    <n v="0.01"/>
    <n v="0"/>
    <n v="0"/>
    <n v="2"/>
    <n v="18.78"/>
    <n v="0.89"/>
    <n v="17.89"/>
    <n v="2"/>
  </r>
  <r>
    <s v="2021-06-02"/>
    <s v="Vancouver"/>
    <s v="加拿大二店"/>
    <x v="4"/>
    <x v="10"/>
    <x v="81"/>
    <x v="0"/>
    <x v="84"/>
    <s v="四宫格"/>
    <n v="4.95"/>
    <s v="锅"/>
    <n v="5"/>
    <n v="24.75"/>
    <n v="0"/>
    <n v="0"/>
    <n v="0"/>
    <n v="0"/>
    <n v="0"/>
    <n v="0"/>
    <n v="0"/>
    <n v="0"/>
    <n v="1.98"/>
    <n v="0"/>
    <n v="5"/>
    <n v="23.9"/>
    <n v="1.13"/>
    <n v="22.77"/>
    <n v="1"/>
  </r>
  <r>
    <s v="2021-06-02"/>
    <s v="Vancouver"/>
    <s v="加拿大二店"/>
    <x v="3"/>
    <x v="5"/>
    <x v="82"/>
    <x v="78"/>
    <x v="85"/>
    <s v="整份"/>
    <n v="12.95"/>
    <s v="份"/>
    <n v="2"/>
    <n v="25.9"/>
    <n v="0"/>
    <n v="0"/>
    <n v="0"/>
    <n v="0"/>
    <n v="0"/>
    <n v="0"/>
    <n v="0"/>
    <n v="0"/>
    <n v="0"/>
    <n v="0"/>
    <n v="2"/>
    <n v="27.19"/>
    <n v="1.29"/>
    <n v="25.9"/>
    <n v="1"/>
  </r>
  <r>
    <s v="2021-06-02"/>
    <s v="Vancouver"/>
    <s v="加拿大二店"/>
    <x v="3"/>
    <x v="11"/>
    <x v="83"/>
    <x v="79"/>
    <x v="86"/>
    <s v="整份"/>
    <n v="5.95"/>
    <s v="份"/>
    <n v="2"/>
    <n v="11.9"/>
    <n v="0"/>
    <n v="0"/>
    <n v="0"/>
    <n v="0"/>
    <n v="1"/>
    <n v="5.95"/>
    <n v="0"/>
    <n v="0"/>
    <n v="1.19"/>
    <n v="0"/>
    <n v="1"/>
    <n v="4.99"/>
    <n v="0.23"/>
    <n v="4.76"/>
    <n v="1"/>
  </r>
  <r>
    <s v="2021-06-02"/>
    <s v="Vancouver"/>
    <s v="加拿大二店"/>
    <x v="3"/>
    <x v="11"/>
    <x v="83"/>
    <x v="80"/>
    <x v="87"/>
    <s v="半份"/>
    <n v="2.95"/>
    <s v="份"/>
    <n v="4"/>
    <n v="11.8"/>
    <n v="0"/>
    <n v="0"/>
    <n v="0"/>
    <n v="0"/>
    <n v="0"/>
    <n v="0"/>
    <n v="0"/>
    <n v="0"/>
    <n v="0.59"/>
    <n v="0"/>
    <n v="4"/>
    <n v="11.77"/>
    <n v="0.56"/>
    <n v="11.21"/>
    <n v="0.5"/>
  </r>
  <r>
    <s v="2021-06-02"/>
    <s v="Vancouver"/>
    <s v="加拿大二店"/>
    <x v="3"/>
    <x v="11"/>
    <x v="84"/>
    <x v="81"/>
    <x v="88"/>
    <s v="整份"/>
    <n v="11.95"/>
    <s v="份"/>
    <n v="2"/>
    <n v="23.9"/>
    <n v="0"/>
    <n v="0"/>
    <n v="0"/>
    <n v="0"/>
    <n v="0"/>
    <n v="0"/>
    <n v="0"/>
    <n v="0"/>
    <n v="0"/>
    <n v="0"/>
    <n v="2"/>
    <n v="25.09"/>
    <n v="1.19"/>
    <n v="23.9"/>
    <n v="1"/>
  </r>
  <r>
    <s v="2021-06-02"/>
    <s v="Vancouver"/>
    <s v="加拿大二店"/>
    <x v="1"/>
    <x v="3"/>
    <x v="85"/>
    <x v="82"/>
    <x v="89"/>
    <s v="整份"/>
    <n v="6.95"/>
    <s v="份"/>
    <n v="2"/>
    <n v="13.9"/>
    <n v="0"/>
    <n v="0"/>
    <n v="0"/>
    <n v="0"/>
    <n v="0"/>
    <n v="0"/>
    <n v="0"/>
    <n v="0"/>
    <n v="0"/>
    <n v="0"/>
    <n v="2"/>
    <n v="14.59"/>
    <n v="0.69"/>
    <n v="13.9"/>
    <n v="1"/>
  </r>
  <r>
    <s v="2021-06-02"/>
    <s v="Vancouver"/>
    <s v="加拿大二店"/>
    <x v="6"/>
    <x v="13"/>
    <x v="86"/>
    <x v="83"/>
    <x v="90"/>
    <s v="碗"/>
    <n v="2.95"/>
    <s v="碗"/>
    <n v="4"/>
    <n v="11.8"/>
    <n v="0"/>
    <n v="0"/>
    <n v="0"/>
    <n v="0"/>
    <n v="0"/>
    <n v="0"/>
    <n v="0"/>
    <n v="0"/>
    <n v="0.59"/>
    <n v="0"/>
    <n v="4"/>
    <n v="11.77"/>
    <n v="0.56"/>
    <n v="11.21"/>
    <n v="1"/>
  </r>
  <r>
    <s v="2021-06-02"/>
    <s v="Vancouver"/>
    <s v="加拿大二店"/>
    <x v="2"/>
    <x v="4"/>
    <x v="87"/>
    <x v="84"/>
    <x v="91"/>
    <s v="冰镇"/>
    <n v="2.95"/>
    <s v="扎"/>
    <n v="4"/>
    <n v="11.8"/>
    <n v="0"/>
    <n v="0"/>
    <n v="0"/>
    <n v="0"/>
    <n v="0"/>
    <n v="0"/>
    <n v="0"/>
    <n v="0"/>
    <n v="0.59"/>
    <n v="0"/>
    <n v="4"/>
    <n v="12.55"/>
    <n v="1.34"/>
    <n v="11.21"/>
    <n v="1"/>
  </r>
  <r>
    <s v="2021-06-02"/>
    <s v="Vancouver"/>
    <s v="加拿大二店"/>
    <x v="1"/>
    <x v="8"/>
    <x v="88"/>
    <x v="85"/>
    <x v="92"/>
    <s v="整份"/>
    <n v="7.95"/>
    <s v="份"/>
    <n v="2"/>
    <n v="15.9"/>
    <n v="0"/>
    <n v="0"/>
    <n v="0"/>
    <n v="0"/>
    <n v="0"/>
    <n v="0"/>
    <n v="0"/>
    <n v="0"/>
    <n v="0"/>
    <n v="0"/>
    <n v="2"/>
    <n v="16.69"/>
    <n v="0.79"/>
    <n v="15.9"/>
    <n v="1"/>
  </r>
  <r>
    <s v="2021-06-02"/>
    <s v="Vancouver"/>
    <s v="加拿大二店"/>
    <x v="1"/>
    <x v="8"/>
    <x v="89"/>
    <x v="86"/>
    <x v="93"/>
    <s v="整份"/>
    <n v="4.95"/>
    <s v="份"/>
    <n v="8"/>
    <n v="39.6"/>
    <n v="0"/>
    <n v="0"/>
    <n v="0"/>
    <n v="0"/>
    <n v="0"/>
    <n v="0"/>
    <n v="0"/>
    <n v="0"/>
    <n v="1.98"/>
    <n v="0"/>
    <n v="8"/>
    <n v="39.5"/>
    <n v="1.88"/>
    <n v="37.62"/>
    <n v="1"/>
  </r>
  <r>
    <s v="2021-06-02"/>
    <s v="Vancouver"/>
    <s v="加拿大二店"/>
    <x v="3"/>
    <x v="7"/>
    <x v="90"/>
    <x v="87"/>
    <x v="94"/>
    <s v="整份"/>
    <n v="4.95"/>
    <s v="份"/>
    <n v="10"/>
    <n v="49.5"/>
    <n v="0"/>
    <n v="0"/>
    <n v="0"/>
    <n v="0"/>
    <n v="2"/>
    <n v="9.9"/>
    <n v="0"/>
    <n v="0"/>
    <n v="3.46"/>
    <n v="0"/>
    <n v="8"/>
    <n v="37.94"/>
    <n v="1.8"/>
    <n v="36.14"/>
    <n v="1"/>
  </r>
  <r>
    <s v="2021-06-02"/>
    <s v="Vancouver"/>
    <s v="加拿大二店"/>
    <x v="1"/>
    <x v="6"/>
    <x v="119"/>
    <x v="113"/>
    <x v="123"/>
    <s v="整份"/>
    <n v="2"/>
    <s v="磅"/>
    <n v="1"/>
    <n v="2"/>
    <n v="0"/>
    <n v="0"/>
    <n v="0"/>
    <n v="0"/>
    <n v="1"/>
    <n v="2"/>
    <n v="0"/>
    <n v="0"/>
    <n v="0"/>
    <n v="0"/>
    <n v="0"/>
    <n v="0"/>
    <n v="0"/>
    <n v="0"/>
    <n v="1"/>
  </r>
  <r>
    <s v="2021-06-02"/>
    <s v="Vancouver"/>
    <s v="加拿大二店"/>
    <x v="6"/>
    <x v="18"/>
    <x v="91"/>
    <x v="88"/>
    <x v="95"/>
    <s v="整份"/>
    <n v="2.95"/>
    <s v="份"/>
    <n v="1"/>
    <n v="2.95"/>
    <n v="0"/>
    <n v="0"/>
    <n v="0"/>
    <n v="0"/>
    <n v="0"/>
    <n v="0"/>
    <n v="0"/>
    <n v="0"/>
    <n v="0"/>
    <n v="0"/>
    <n v="1"/>
    <n v="3.09"/>
    <n v="0.14"/>
    <n v="2.95"/>
    <n v="1"/>
  </r>
  <r>
    <s v="2021-06-02"/>
    <s v="Vancouver"/>
    <s v="加拿大二店"/>
    <x v="4"/>
    <x v="10"/>
    <x v="92"/>
    <x v="0"/>
    <x v="96"/>
    <s v="四宫格"/>
    <n v="4.95"/>
    <s v="锅"/>
    <n v="1"/>
    <n v="4.95"/>
    <n v="0"/>
    <n v="0"/>
    <n v="0"/>
    <n v="0"/>
    <n v="0"/>
    <n v="0"/>
    <n v="0"/>
    <n v="0"/>
    <n v="0.99"/>
    <n v="0"/>
    <n v="1"/>
    <n v="4.15"/>
    <n v="0.19"/>
    <n v="3.96"/>
    <n v="1"/>
  </r>
  <r>
    <s v="2021-06-02"/>
    <s v="Vancouver"/>
    <s v="加拿大二店"/>
    <x v="3"/>
    <x v="5"/>
    <x v="93"/>
    <x v="89"/>
    <x v="97"/>
    <s v="整份"/>
    <n v="5.95"/>
    <s v="份"/>
    <n v="6"/>
    <n v="35.7"/>
    <n v="0"/>
    <n v="0"/>
    <n v="0"/>
    <n v="0"/>
    <n v="1"/>
    <n v="5.95"/>
    <n v="0"/>
    <n v="0"/>
    <n v="3.57"/>
    <n v="0"/>
    <n v="5"/>
    <n v="27.48"/>
    <n v="1.3"/>
    <n v="26.18"/>
    <n v="1"/>
  </r>
  <r>
    <s v="2021-06-02"/>
    <s v="Vancouver"/>
    <s v="加拿大二店"/>
    <x v="6"/>
    <x v="13"/>
    <x v="94"/>
    <x v="90"/>
    <x v="98"/>
    <s v="整份"/>
    <n v="4.95"/>
    <s v="份"/>
    <n v="4"/>
    <n v="19.8"/>
    <n v="1"/>
    <n v="4.95"/>
    <n v="0"/>
    <n v="0"/>
    <n v="1"/>
    <n v="4.95"/>
    <n v="0"/>
    <n v="0"/>
    <n v="0.99"/>
    <n v="0"/>
    <n v="2"/>
    <n v="9.35"/>
    <n v="0.44"/>
    <n v="8.91"/>
    <n v="1"/>
  </r>
  <r>
    <s v="2021-06-02"/>
    <s v="Vancouver"/>
    <s v="加拿大二店"/>
    <x v="2"/>
    <x v="4"/>
    <x v="95"/>
    <x v="91"/>
    <x v="99"/>
    <s v="冰镇"/>
    <n v="2.45"/>
    <s v="听"/>
    <n v="4"/>
    <n v="9.8"/>
    <n v="4"/>
    <n v="9.8"/>
    <n v="0"/>
    <n v="0"/>
    <n v="0"/>
    <n v="0"/>
    <n v="0"/>
    <n v="0"/>
    <n v="0"/>
    <n v="0"/>
    <n v="0"/>
    <n v="0"/>
    <n v="0"/>
    <n v="0"/>
    <n v="1"/>
  </r>
  <r>
    <s v="2021-06-02"/>
    <s v="Vancouver"/>
    <s v="加拿大二店"/>
    <x v="1"/>
    <x v="1"/>
    <x v="96"/>
    <x v="92"/>
    <x v="100"/>
    <s v="整份"/>
    <n v="49.95"/>
    <s v="份"/>
    <n v="2"/>
    <n v="99.9"/>
    <n v="0"/>
    <n v="0"/>
    <n v="0"/>
    <n v="0"/>
    <n v="0"/>
    <n v="0"/>
    <n v="0"/>
    <n v="0"/>
    <n v="0"/>
    <n v="0"/>
    <n v="2"/>
    <n v="104.89"/>
    <n v="4.99"/>
    <n v="99.9"/>
    <n v="1"/>
  </r>
  <r>
    <s v="2021-06-02"/>
    <s v="Vancouver"/>
    <s v="加拿大二店"/>
    <x v="2"/>
    <x v="2"/>
    <x v="97"/>
    <x v="93"/>
    <x v="101"/>
    <s v="常温"/>
    <n v="5.95"/>
    <s v="听"/>
    <n v="2"/>
    <n v="11.9"/>
    <n v="0"/>
    <n v="0"/>
    <n v="0"/>
    <n v="0"/>
    <n v="0"/>
    <n v="0"/>
    <n v="0"/>
    <n v="0"/>
    <n v="0"/>
    <n v="0"/>
    <n v="2"/>
    <n v="13.68"/>
    <n v="1.78"/>
    <n v="11.9"/>
    <n v="1"/>
  </r>
  <r>
    <s v="2021-06-02"/>
    <s v="Vancouver"/>
    <s v="加拿大二店"/>
    <x v="2"/>
    <x v="2"/>
    <x v="97"/>
    <x v="93"/>
    <x v="101"/>
    <s v="冰镇"/>
    <n v="5.95"/>
    <s v="听"/>
    <n v="2"/>
    <n v="11.9"/>
    <n v="0"/>
    <n v="0"/>
    <n v="0"/>
    <n v="0"/>
    <n v="0"/>
    <n v="0"/>
    <n v="0"/>
    <n v="0"/>
    <n v="0"/>
    <n v="0"/>
    <n v="2"/>
    <n v="13.68"/>
    <n v="1.78"/>
    <n v="11.9"/>
    <n v="1"/>
  </r>
  <r>
    <s v="2021-06-02"/>
    <s v="Vancouver"/>
    <s v="加拿大二店"/>
    <x v="1"/>
    <x v="3"/>
    <x v="99"/>
    <x v="95"/>
    <x v="103"/>
    <s v="整份"/>
    <n v="5.95"/>
    <s v="份"/>
    <n v="6"/>
    <n v="35.7"/>
    <n v="0"/>
    <n v="0"/>
    <n v="0"/>
    <n v="0"/>
    <n v="0"/>
    <n v="0"/>
    <n v="0"/>
    <n v="0"/>
    <n v="1.19"/>
    <n v="0"/>
    <n v="6"/>
    <n v="36.23"/>
    <n v="1.72"/>
    <n v="34.51"/>
    <n v="1"/>
  </r>
  <r>
    <s v="2021-06-02"/>
    <s v="Vancouver"/>
    <s v="加拿大二店"/>
    <x v="1"/>
    <x v="3"/>
    <x v="100"/>
    <x v="96"/>
    <x v="104"/>
    <s v="整份"/>
    <n v="7.95"/>
    <s v="份"/>
    <n v="2"/>
    <n v="15.9"/>
    <n v="0"/>
    <n v="0"/>
    <n v="0"/>
    <n v="0"/>
    <n v="1"/>
    <n v="7.95"/>
    <n v="0"/>
    <n v="0"/>
    <n v="0"/>
    <n v="0"/>
    <n v="1"/>
    <n v="8.34"/>
    <n v="0.39"/>
    <n v="7.95"/>
    <n v="1"/>
  </r>
  <r>
    <s v="2021-06-02"/>
    <s v="Vancouver"/>
    <s v="加拿大二店"/>
    <x v="1"/>
    <x v="8"/>
    <x v="101"/>
    <x v="97"/>
    <x v="105"/>
    <s v="整份"/>
    <n v="5.95"/>
    <s v="份"/>
    <n v="2"/>
    <n v="11.9"/>
    <n v="0"/>
    <n v="0"/>
    <n v="0"/>
    <n v="0"/>
    <n v="0"/>
    <n v="0"/>
    <n v="0"/>
    <n v="0"/>
    <n v="0"/>
    <n v="0"/>
    <n v="2"/>
    <n v="12.49"/>
    <n v="0.59"/>
    <n v="11.9"/>
    <n v="1"/>
  </r>
  <r>
    <s v="2021-06-02"/>
    <s v="Vancouver"/>
    <s v="加拿大二店"/>
    <x v="1"/>
    <x v="6"/>
    <x v="102"/>
    <x v="98"/>
    <x v="106"/>
    <s v="整份"/>
    <n v="8.95"/>
    <s v="份"/>
    <n v="1"/>
    <n v="8.95"/>
    <n v="0"/>
    <n v="0"/>
    <n v="0"/>
    <n v="0"/>
    <n v="1"/>
    <n v="8.95"/>
    <n v="0"/>
    <n v="0"/>
    <n v="0"/>
    <n v="0"/>
    <n v="0"/>
    <n v="0"/>
    <n v="0"/>
    <n v="0"/>
    <n v="1"/>
  </r>
  <r>
    <s v="2021-06-02"/>
    <s v="Vancouver"/>
    <s v="加拿大二店"/>
    <x v="3"/>
    <x v="7"/>
    <x v="103"/>
    <x v="99"/>
    <x v="107"/>
    <s v="整份"/>
    <n v="5.95"/>
    <s v="份"/>
    <n v="1"/>
    <n v="5.95"/>
    <n v="0"/>
    <n v="0"/>
    <n v="0"/>
    <n v="0"/>
    <n v="0"/>
    <n v="0"/>
    <n v="0"/>
    <n v="0"/>
    <n v="0"/>
    <n v="0"/>
    <n v="1"/>
    <n v="6.24"/>
    <n v="0.29"/>
    <n v="5.95"/>
    <n v="1"/>
  </r>
  <r>
    <s v="2021-06-02"/>
    <s v="Vancouver"/>
    <s v="加拿大二店"/>
    <x v="3"/>
    <x v="7"/>
    <x v="104"/>
    <x v="100"/>
    <x v="108"/>
    <s v="整份"/>
    <n v="3.95"/>
    <s v="份"/>
    <n v="9"/>
    <n v="35.55"/>
    <n v="0"/>
    <n v="0"/>
    <n v="0"/>
    <n v="0"/>
    <n v="0"/>
    <n v="0"/>
    <n v="0"/>
    <n v="0"/>
    <n v="2.37"/>
    <n v="0"/>
    <n v="9"/>
    <n v="34.83"/>
    <n v="1.65"/>
    <n v="33.18"/>
    <n v="1"/>
  </r>
  <r>
    <s v="2021-06-02"/>
    <s v="Vancouver"/>
    <s v="加拿大二店"/>
    <x v="1"/>
    <x v="8"/>
    <x v="105"/>
    <x v="101"/>
    <x v="109"/>
    <s v="整份"/>
    <n v="4.95"/>
    <s v="份"/>
    <n v="7"/>
    <n v="34.65"/>
    <n v="0"/>
    <n v="0"/>
    <n v="0"/>
    <n v="0"/>
    <n v="0"/>
    <n v="0"/>
    <n v="0"/>
    <n v="0"/>
    <n v="3.46"/>
    <n v="0"/>
    <n v="7"/>
    <n v="32.74"/>
    <n v="1.55"/>
    <n v="31.19"/>
    <n v="1"/>
  </r>
  <r>
    <s v="2021-06-02"/>
    <s v="Vancouver"/>
    <s v="加拿大二店"/>
    <x v="4"/>
    <x v="16"/>
    <x v="106"/>
    <x v="0"/>
    <x v="110"/>
    <s v="单锅"/>
    <n v="22.95"/>
    <s v="锅"/>
    <n v="1"/>
    <n v="22.95"/>
    <n v="0"/>
    <n v="0"/>
    <n v="0"/>
    <n v="0"/>
    <n v="0"/>
    <n v="0"/>
    <n v="0"/>
    <n v="0"/>
    <n v="0"/>
    <n v="0"/>
    <n v="1"/>
    <n v="24.09"/>
    <n v="1.14"/>
    <n v="22.95"/>
    <n v="4"/>
  </r>
  <r>
    <s v="2021-06-02"/>
    <s v="Vancouver"/>
    <s v="加拿大二店"/>
    <x v="4"/>
    <x v="9"/>
    <x v="106"/>
    <x v="0"/>
    <x v="110"/>
    <s v="拼锅"/>
    <n v="11.95"/>
    <s v="锅"/>
    <n v="8"/>
    <n v="95.6"/>
    <n v="1"/>
    <n v="11.95"/>
    <n v="0"/>
    <n v="0"/>
    <n v="1"/>
    <n v="11.95"/>
    <n v="0"/>
    <n v="-0.01"/>
    <n v="2.39"/>
    <n v="0"/>
    <n v="6"/>
    <n v="72.78"/>
    <n v="3.46"/>
    <n v="69.32"/>
    <n v="2"/>
  </r>
  <r>
    <s v="2021-06-02"/>
    <s v="Vancouver"/>
    <s v="加拿大二店"/>
    <x v="4"/>
    <x v="10"/>
    <x v="106"/>
    <x v="0"/>
    <x v="110"/>
    <s v="四宫格"/>
    <n v="5.95"/>
    <s v="锅"/>
    <n v="1"/>
    <n v="5.95"/>
    <n v="0"/>
    <n v="0"/>
    <n v="0"/>
    <n v="0"/>
    <n v="0"/>
    <n v="0"/>
    <n v="0"/>
    <n v="-0.02"/>
    <n v="1.19"/>
    <n v="0"/>
    <n v="1"/>
    <n v="5.01"/>
    <n v="0.23"/>
    <n v="4.78"/>
    <n v="1"/>
  </r>
  <r>
    <s v="2021-06-02"/>
    <s v="Vancouver"/>
    <s v="加拿大二店"/>
    <x v="4"/>
    <x v="9"/>
    <x v="107"/>
    <x v="0"/>
    <x v="111"/>
    <s v="拼锅"/>
    <n v="11.95"/>
    <s v="锅"/>
    <n v="2"/>
    <n v="23.9"/>
    <n v="0"/>
    <n v="0"/>
    <n v="0"/>
    <n v="0"/>
    <n v="0"/>
    <n v="0"/>
    <n v="0"/>
    <n v="0"/>
    <n v="0"/>
    <n v="0"/>
    <n v="2"/>
    <n v="25.09"/>
    <n v="1.19"/>
    <n v="23.9"/>
    <n v="2"/>
  </r>
  <r>
    <s v="2021-06-03"/>
    <s v="Vancouver"/>
    <s v="加拿大二店"/>
    <x v="1"/>
    <x v="1"/>
    <x v="1"/>
    <x v="1"/>
    <x v="1"/>
    <s v="整份"/>
    <n v="16.95"/>
    <s v="份"/>
    <n v="6"/>
    <n v="101.7"/>
    <n v="0"/>
    <n v="0"/>
    <n v="0"/>
    <n v="0"/>
    <n v="0"/>
    <n v="0"/>
    <n v="0"/>
    <n v="0"/>
    <n v="0"/>
    <n v="0"/>
    <n v="6"/>
    <n v="106.78"/>
    <n v="5.08"/>
    <n v="101.7"/>
    <n v="1"/>
  </r>
  <r>
    <s v="2021-06-03"/>
    <s v="Vancouver"/>
    <s v="加拿大二店"/>
    <x v="2"/>
    <x v="2"/>
    <x v="120"/>
    <x v="114"/>
    <x v="124"/>
    <s v="罐"/>
    <n v="5.95"/>
    <s v="罐"/>
    <n v="1"/>
    <n v="5.95"/>
    <n v="0"/>
    <n v="0"/>
    <n v="0"/>
    <n v="0"/>
    <n v="0"/>
    <n v="0"/>
    <n v="0"/>
    <n v="-0.02"/>
    <n v="2.97"/>
    <n v="0"/>
    <n v="1"/>
    <n v="3.45"/>
    <n v="0.45"/>
    <n v="3"/>
    <n v="1"/>
  </r>
  <r>
    <s v="2021-06-03"/>
    <s v="Vancouver"/>
    <s v="加拿大二店"/>
    <x v="1"/>
    <x v="1"/>
    <x v="2"/>
    <x v="2"/>
    <x v="2"/>
    <s v="整份"/>
    <n v="25.95"/>
    <s v="份"/>
    <n v="7"/>
    <n v="181.65"/>
    <n v="0"/>
    <n v="0"/>
    <n v="0"/>
    <n v="0"/>
    <n v="0"/>
    <n v="0"/>
    <n v="0"/>
    <n v="0"/>
    <n v="22.05"/>
    <n v="0"/>
    <n v="7"/>
    <n v="167.58"/>
    <n v="7.98"/>
    <n v="159.6"/>
    <n v="1"/>
  </r>
  <r>
    <s v="2021-06-03"/>
    <s v="Vancouver"/>
    <s v="加拿大二店"/>
    <x v="2"/>
    <x v="2"/>
    <x v="3"/>
    <x v="3"/>
    <x v="3"/>
    <s v="杯"/>
    <n v="6.95"/>
    <s v="杯"/>
    <n v="1"/>
    <n v="6.95"/>
    <n v="0"/>
    <n v="0"/>
    <n v="0"/>
    <n v="0"/>
    <n v="0"/>
    <n v="0"/>
    <n v="0"/>
    <n v="0.01"/>
    <n v="0"/>
    <n v="0"/>
    <n v="1"/>
    <n v="7.98"/>
    <n v="1.04"/>
    <n v="6.94"/>
    <n v="1"/>
  </r>
  <r>
    <s v="2021-06-03"/>
    <s v="Vancouver"/>
    <s v="加拿大二店"/>
    <x v="1"/>
    <x v="3"/>
    <x v="6"/>
    <x v="6"/>
    <x v="6"/>
    <s v="整份"/>
    <n v="7.95"/>
    <s v="份"/>
    <n v="5"/>
    <n v="39.75"/>
    <n v="0"/>
    <n v="0"/>
    <n v="0"/>
    <n v="0"/>
    <n v="0"/>
    <n v="0"/>
    <n v="0"/>
    <n v="0"/>
    <n v="1.95"/>
    <n v="0"/>
    <n v="5"/>
    <n v="39.69"/>
    <n v="1.89"/>
    <n v="37.8"/>
    <n v="1"/>
  </r>
  <r>
    <s v="2021-06-03"/>
    <s v="Vancouver"/>
    <s v="加拿大二店"/>
    <x v="2"/>
    <x v="19"/>
    <x v="108"/>
    <x v="102"/>
    <x v="112"/>
    <s v="小瓶"/>
    <n v="15.95"/>
    <s v="小瓶"/>
    <n v="1"/>
    <n v="15.95"/>
    <n v="0"/>
    <n v="0"/>
    <n v="0"/>
    <n v="0"/>
    <n v="0"/>
    <n v="0"/>
    <n v="0"/>
    <n v="0"/>
    <n v="3.19"/>
    <n v="0"/>
    <n v="1"/>
    <n v="14.67"/>
    <n v="1.91"/>
    <n v="12.76"/>
    <n v="1"/>
  </r>
  <r>
    <s v="2021-06-03"/>
    <s v="Vancouver"/>
    <s v="加拿大二店"/>
    <x v="2"/>
    <x v="4"/>
    <x v="7"/>
    <x v="7"/>
    <x v="7"/>
    <s v="冰镇"/>
    <n v="2.45"/>
    <s v="罐"/>
    <n v="7"/>
    <n v="17.15"/>
    <n v="0"/>
    <n v="0"/>
    <n v="0"/>
    <n v="0"/>
    <n v="0"/>
    <n v="0"/>
    <n v="0"/>
    <n v="0"/>
    <n v="1.17"/>
    <n v="0"/>
    <n v="7"/>
    <n v="17.89"/>
    <n v="1.91"/>
    <n v="15.98"/>
    <n v="1"/>
  </r>
  <r>
    <s v="2021-06-03"/>
    <s v="Vancouver"/>
    <s v="加拿大二店"/>
    <x v="2"/>
    <x v="4"/>
    <x v="110"/>
    <x v="104"/>
    <x v="114"/>
    <s v="小瓶"/>
    <n v="3.95"/>
    <s v="瓶"/>
    <n v="2"/>
    <n v="7.9"/>
    <n v="0"/>
    <n v="0"/>
    <n v="0"/>
    <n v="0"/>
    <n v="0"/>
    <n v="0"/>
    <n v="0"/>
    <n v="0.02"/>
    <n v="0"/>
    <n v="0"/>
    <n v="2"/>
    <n v="8.82"/>
    <n v="0.94"/>
    <n v="7.88"/>
    <n v="1"/>
  </r>
  <r>
    <s v="2021-06-03"/>
    <s v="Vancouver"/>
    <s v="加拿大二店"/>
    <x v="3"/>
    <x v="5"/>
    <x v="8"/>
    <x v="8"/>
    <x v="8"/>
    <s v="整份"/>
    <n v="3.95"/>
    <s v="份"/>
    <n v="3"/>
    <n v="11.85"/>
    <n v="0"/>
    <n v="0"/>
    <n v="0"/>
    <n v="0"/>
    <n v="0"/>
    <n v="0"/>
    <n v="0"/>
    <n v="0.02"/>
    <n v="0.79"/>
    <n v="0"/>
    <n v="3"/>
    <n v="11.59"/>
    <n v="0.55"/>
    <n v="11.04"/>
    <n v="1"/>
  </r>
  <r>
    <s v="2021-06-03"/>
    <s v="Vancouver"/>
    <s v="加拿大二店"/>
    <x v="2"/>
    <x v="4"/>
    <x v="10"/>
    <x v="10"/>
    <x v="10"/>
    <s v="半份"/>
    <n v="6.95"/>
    <s v="扎"/>
    <n v="1"/>
    <n v="6.95"/>
    <n v="0"/>
    <n v="0"/>
    <n v="0"/>
    <n v="0"/>
    <n v="0"/>
    <n v="0"/>
    <n v="0"/>
    <n v="0"/>
    <n v="0"/>
    <n v="0"/>
    <n v="1"/>
    <n v="7.78"/>
    <n v="0.83"/>
    <n v="6.95"/>
    <n v="0.5"/>
  </r>
  <r>
    <s v="2021-06-03"/>
    <s v="Vancouver"/>
    <s v="加拿大二店"/>
    <x v="2"/>
    <x v="4"/>
    <x v="10"/>
    <x v="11"/>
    <x v="11"/>
    <s v="整份"/>
    <n v="9.95"/>
    <s v="扎"/>
    <n v="1"/>
    <n v="9.95"/>
    <n v="0"/>
    <n v="0"/>
    <n v="0"/>
    <n v="0"/>
    <n v="0"/>
    <n v="0"/>
    <n v="0"/>
    <n v="0"/>
    <n v="0"/>
    <n v="0"/>
    <n v="1"/>
    <n v="11.14"/>
    <n v="1.19"/>
    <n v="9.95"/>
    <n v="1"/>
  </r>
  <r>
    <s v="2021-06-03"/>
    <s v="Vancouver"/>
    <s v="加拿大二店"/>
    <x v="1"/>
    <x v="6"/>
    <x v="11"/>
    <x v="12"/>
    <x v="12"/>
    <s v="整份"/>
    <n v="8.95"/>
    <s v="份"/>
    <n v="5"/>
    <n v="44.75"/>
    <n v="0"/>
    <n v="0"/>
    <n v="0"/>
    <n v="0"/>
    <n v="0"/>
    <n v="0"/>
    <n v="0"/>
    <n v="0"/>
    <n v="0"/>
    <n v="0"/>
    <n v="5"/>
    <n v="46.98"/>
    <n v="2.23"/>
    <n v="44.75"/>
    <n v="1"/>
  </r>
  <r>
    <s v="2021-06-03"/>
    <s v="Vancouver"/>
    <s v="加拿大二店"/>
    <x v="1"/>
    <x v="6"/>
    <x v="12"/>
    <x v="13"/>
    <x v="13"/>
    <s v="整份"/>
    <n v="16.95"/>
    <s v="份"/>
    <n v="1"/>
    <n v="16.95"/>
    <n v="0"/>
    <n v="0"/>
    <n v="0"/>
    <n v="0"/>
    <n v="0"/>
    <n v="0"/>
    <n v="0"/>
    <n v="0"/>
    <n v="0"/>
    <n v="0"/>
    <n v="1"/>
    <n v="17.79"/>
    <n v="0.84"/>
    <n v="16.95"/>
    <n v="1"/>
  </r>
  <r>
    <s v="2021-06-03"/>
    <s v="Vancouver"/>
    <s v="加拿大二店"/>
    <x v="1"/>
    <x v="6"/>
    <x v="13"/>
    <x v="14"/>
    <x v="14"/>
    <s v="整份"/>
    <n v="21.95"/>
    <s v="份"/>
    <n v="3"/>
    <n v="65.85"/>
    <n v="0"/>
    <n v="0"/>
    <n v="0"/>
    <n v="0"/>
    <n v="0"/>
    <n v="0"/>
    <n v="0"/>
    <n v="0"/>
    <n v="10.97"/>
    <n v="0"/>
    <n v="3"/>
    <n v="57.62"/>
    <n v="2.74"/>
    <n v="54.88"/>
    <n v="1"/>
  </r>
  <r>
    <s v="2021-06-03"/>
    <s v="Vancouver"/>
    <s v="加拿大二店"/>
    <x v="1"/>
    <x v="6"/>
    <x v="121"/>
    <x v="115"/>
    <x v="125"/>
    <s v="整份"/>
    <n v="12.95"/>
    <s v="份"/>
    <n v="1"/>
    <n v="12.95"/>
    <n v="0"/>
    <n v="0"/>
    <n v="0"/>
    <n v="0"/>
    <n v="0"/>
    <n v="0"/>
    <n v="0"/>
    <n v="0"/>
    <n v="3.89"/>
    <n v="0"/>
    <n v="1"/>
    <n v="9.51"/>
    <n v="0.45"/>
    <n v="9.06"/>
    <n v="1"/>
  </r>
  <r>
    <s v="2021-06-03"/>
    <s v="Vancouver"/>
    <s v="加拿大二店"/>
    <x v="1"/>
    <x v="6"/>
    <x v="15"/>
    <x v="16"/>
    <x v="16"/>
    <s v="整份"/>
    <n v="8.95"/>
    <s v="份"/>
    <n v="1"/>
    <n v="8.95"/>
    <n v="0"/>
    <n v="0"/>
    <n v="0"/>
    <n v="0"/>
    <n v="0"/>
    <n v="0"/>
    <n v="0"/>
    <n v="0.02"/>
    <n v="0"/>
    <n v="0"/>
    <n v="1"/>
    <n v="9.37"/>
    <n v="0.44"/>
    <n v="8.93"/>
    <n v="1"/>
  </r>
  <r>
    <s v="2021-06-03"/>
    <s v="Vancouver"/>
    <s v="加拿大二店"/>
    <x v="3"/>
    <x v="7"/>
    <x v="16"/>
    <x v="17"/>
    <x v="17"/>
    <s v="整份"/>
    <n v="4.95"/>
    <s v="份"/>
    <n v="12"/>
    <n v="59.4"/>
    <n v="0"/>
    <n v="0"/>
    <n v="0"/>
    <n v="0"/>
    <n v="1"/>
    <n v="4.95"/>
    <n v="0"/>
    <n v="0"/>
    <n v="2.21"/>
    <n v="0"/>
    <n v="11"/>
    <n v="54.85"/>
    <n v="2.61"/>
    <n v="52.24"/>
    <n v="1"/>
  </r>
  <r>
    <s v="2021-06-03"/>
    <s v="Vancouver"/>
    <s v="加拿大二店"/>
    <x v="1"/>
    <x v="8"/>
    <x v="19"/>
    <x v="20"/>
    <x v="20"/>
    <s v="整份"/>
    <n v="5.95"/>
    <s v="份"/>
    <n v="4"/>
    <n v="23.8"/>
    <n v="0"/>
    <n v="0"/>
    <n v="0"/>
    <n v="0"/>
    <n v="0"/>
    <n v="0"/>
    <n v="0"/>
    <n v="0"/>
    <n v="2.08"/>
    <n v="0"/>
    <n v="4"/>
    <n v="22.8"/>
    <n v="1.08"/>
    <n v="21.72"/>
    <n v="1"/>
  </r>
  <r>
    <s v="2021-06-03"/>
    <s v="Vancouver"/>
    <s v="加拿大二店"/>
    <x v="4"/>
    <x v="16"/>
    <x v="22"/>
    <x v="0"/>
    <x v="23"/>
    <s v="单锅"/>
    <n v="22.95"/>
    <s v="锅"/>
    <n v="1"/>
    <n v="22.95"/>
    <n v="0"/>
    <n v="0"/>
    <n v="0"/>
    <n v="0"/>
    <n v="0"/>
    <n v="0"/>
    <n v="0"/>
    <n v="0"/>
    <n v="0"/>
    <n v="0"/>
    <n v="1"/>
    <n v="24.32"/>
    <n v="1.37"/>
    <n v="22.95"/>
    <n v="4"/>
  </r>
  <r>
    <s v="2021-06-03"/>
    <s v="Vancouver"/>
    <s v="加拿大二店"/>
    <x v="4"/>
    <x v="9"/>
    <x v="22"/>
    <x v="0"/>
    <x v="23"/>
    <s v="拼锅"/>
    <n v="11.95"/>
    <s v="锅"/>
    <n v="1"/>
    <n v="11.95"/>
    <n v="0"/>
    <n v="0"/>
    <n v="0"/>
    <n v="0"/>
    <n v="0"/>
    <n v="0"/>
    <n v="0"/>
    <n v="0"/>
    <n v="0"/>
    <n v="0"/>
    <n v="1"/>
    <n v="12.66"/>
    <n v="0.71"/>
    <n v="11.95"/>
    <n v="2"/>
  </r>
  <r>
    <s v="2021-06-03"/>
    <s v="Vancouver"/>
    <s v="加拿大二店"/>
    <x v="4"/>
    <x v="10"/>
    <x v="22"/>
    <x v="0"/>
    <x v="23"/>
    <s v="四宫格"/>
    <n v="5.95"/>
    <s v="锅"/>
    <n v="2"/>
    <n v="11.9"/>
    <n v="0"/>
    <n v="0"/>
    <n v="0"/>
    <n v="0"/>
    <n v="0"/>
    <n v="0"/>
    <n v="0"/>
    <n v="0"/>
    <n v="0"/>
    <n v="0"/>
    <n v="2"/>
    <n v="12.61"/>
    <n v="0.71"/>
    <n v="11.9"/>
    <n v="1"/>
  </r>
  <r>
    <s v="2021-06-03"/>
    <s v="Vancouver"/>
    <s v="加拿大二店"/>
    <x v="3"/>
    <x v="7"/>
    <x v="23"/>
    <x v="23"/>
    <x v="24"/>
    <s v="整份"/>
    <n v="4.95"/>
    <s v="份"/>
    <n v="9"/>
    <n v="44.55"/>
    <n v="0"/>
    <n v="0"/>
    <n v="0"/>
    <n v="0"/>
    <n v="0"/>
    <n v="0"/>
    <n v="0"/>
    <n v="0"/>
    <n v="2.21"/>
    <n v="0"/>
    <n v="9"/>
    <n v="44.45"/>
    <n v="2.11"/>
    <n v="42.34"/>
    <n v="1"/>
  </r>
  <r>
    <s v="2021-06-03"/>
    <s v="Vancouver"/>
    <s v="加拿大二店"/>
    <x v="3"/>
    <x v="11"/>
    <x v="24"/>
    <x v="24"/>
    <x v="25"/>
    <s v="半份"/>
    <n v="2.95"/>
    <s v="份"/>
    <n v="1"/>
    <n v="2.95"/>
    <n v="0"/>
    <n v="0"/>
    <n v="0"/>
    <n v="0"/>
    <n v="0"/>
    <n v="0"/>
    <n v="0"/>
    <n v="0"/>
    <n v="0"/>
    <n v="0"/>
    <n v="1"/>
    <n v="3.09"/>
    <n v="0.14"/>
    <n v="2.95"/>
    <n v="0.5"/>
  </r>
  <r>
    <s v="2021-06-03"/>
    <s v="Vancouver"/>
    <s v="加拿大二店"/>
    <x v="3"/>
    <x v="5"/>
    <x v="25"/>
    <x v="25"/>
    <x v="26"/>
    <s v="整份"/>
    <n v="3.95"/>
    <s v="份"/>
    <n v="3"/>
    <n v="11.85"/>
    <n v="0"/>
    <n v="0"/>
    <n v="0"/>
    <n v="0"/>
    <n v="1"/>
    <n v="3.95"/>
    <n v="0"/>
    <n v="0"/>
    <n v="0"/>
    <n v="0"/>
    <n v="2"/>
    <n v="8.29"/>
    <n v="0.39"/>
    <n v="7.9"/>
    <n v="1"/>
  </r>
  <r>
    <s v="2021-06-03"/>
    <s v="Vancouver"/>
    <s v="加拿大二店"/>
    <x v="3"/>
    <x v="11"/>
    <x v="26"/>
    <x v="26"/>
    <x v="27"/>
    <s v="整份"/>
    <n v="4.95"/>
    <s v="份"/>
    <n v="4"/>
    <n v="19.8"/>
    <n v="0"/>
    <n v="0"/>
    <n v="0"/>
    <n v="0"/>
    <n v="0"/>
    <n v="0"/>
    <n v="0"/>
    <n v="0"/>
    <n v="2.21"/>
    <n v="0"/>
    <n v="4"/>
    <n v="18.46"/>
    <n v="0.87"/>
    <n v="17.59"/>
    <n v="1"/>
  </r>
  <r>
    <s v="2021-06-03"/>
    <s v="Vancouver"/>
    <s v="加拿大二店"/>
    <x v="3"/>
    <x v="11"/>
    <x v="26"/>
    <x v="27"/>
    <x v="28"/>
    <s v="半份"/>
    <n v="2.45"/>
    <s v="份"/>
    <n v="6"/>
    <n v="14.7"/>
    <n v="0"/>
    <n v="0"/>
    <n v="0"/>
    <n v="0"/>
    <n v="0"/>
    <n v="0"/>
    <n v="0"/>
    <n v="0"/>
    <n v="0"/>
    <n v="0"/>
    <n v="6"/>
    <n v="15.43"/>
    <n v="0.73"/>
    <n v="14.7"/>
    <n v="0.5"/>
  </r>
  <r>
    <s v="2021-06-03"/>
    <s v="Vancouver"/>
    <s v="加拿大二店"/>
    <x v="2"/>
    <x v="4"/>
    <x v="122"/>
    <x v="116"/>
    <x v="126"/>
    <s v="冰镇"/>
    <n v="2.45"/>
    <s v="听"/>
    <n v="2"/>
    <n v="4.9"/>
    <n v="0"/>
    <n v="0"/>
    <n v="0"/>
    <n v="0"/>
    <n v="0"/>
    <n v="0"/>
    <n v="0"/>
    <n v="0"/>
    <n v="0"/>
    <n v="0"/>
    <n v="2"/>
    <n v="5.48"/>
    <n v="0.58"/>
    <n v="4.9"/>
    <n v="1"/>
  </r>
  <r>
    <s v="2021-06-03"/>
    <s v="Vancouver"/>
    <s v="加拿大二店"/>
    <x v="5"/>
    <x v="12"/>
    <x v="27"/>
    <x v="28"/>
    <x v="29"/>
    <s v="整份"/>
    <n v="7.95"/>
    <s v="份"/>
    <n v="1"/>
    <n v="7.95"/>
    <n v="0"/>
    <n v="0"/>
    <n v="0"/>
    <n v="0"/>
    <n v="0"/>
    <n v="0"/>
    <n v="0"/>
    <n v="0"/>
    <n v="1.95"/>
    <n v="0"/>
    <n v="1"/>
    <n v="6.3"/>
    <n v="0.3"/>
    <n v="6"/>
    <n v="1"/>
  </r>
  <r>
    <s v="2021-06-03"/>
    <s v="Vancouver"/>
    <s v="加拿大二店"/>
    <x v="3"/>
    <x v="7"/>
    <x v="28"/>
    <x v="29"/>
    <x v="30"/>
    <s v="整份"/>
    <n v="4.95"/>
    <s v="份"/>
    <n v="8"/>
    <n v="39.6"/>
    <n v="0"/>
    <n v="0"/>
    <n v="0"/>
    <n v="0"/>
    <n v="0"/>
    <n v="0"/>
    <n v="0"/>
    <n v="0"/>
    <n v="5.68"/>
    <n v="0"/>
    <n v="8"/>
    <n v="35.61"/>
    <n v="1.69"/>
    <n v="33.92"/>
    <n v="1"/>
  </r>
  <r>
    <s v="2021-06-03"/>
    <s v="Vancouver"/>
    <s v="加拿大二店"/>
    <x v="3"/>
    <x v="5"/>
    <x v="29"/>
    <x v="30"/>
    <x v="31"/>
    <s v="整份"/>
    <n v="3.95"/>
    <s v="份"/>
    <n v="3"/>
    <n v="11.85"/>
    <n v="0"/>
    <n v="0"/>
    <n v="0"/>
    <n v="0"/>
    <n v="0"/>
    <n v="0"/>
    <n v="0"/>
    <n v="0"/>
    <n v="0.98"/>
    <n v="0"/>
    <n v="3"/>
    <n v="11.41"/>
    <n v="0.54"/>
    <n v="10.87"/>
    <n v="1"/>
  </r>
  <r>
    <s v="2021-06-03"/>
    <s v="Vancouver"/>
    <s v="加拿大二店"/>
    <x v="6"/>
    <x v="13"/>
    <x v="30"/>
    <x v="31"/>
    <x v="32"/>
    <s v="整份"/>
    <n v="4.95"/>
    <s v="份"/>
    <n v="6"/>
    <n v="29.7"/>
    <n v="0"/>
    <n v="0"/>
    <n v="0"/>
    <n v="0"/>
    <n v="0"/>
    <n v="0"/>
    <n v="0"/>
    <n v="0"/>
    <n v="0.23"/>
    <n v="0"/>
    <n v="6"/>
    <n v="30.94"/>
    <n v="1.47"/>
    <n v="29.47"/>
    <n v="1"/>
  </r>
  <r>
    <s v="2021-06-03"/>
    <s v="Vancouver"/>
    <s v="加拿大二店"/>
    <x v="6"/>
    <x v="13"/>
    <x v="31"/>
    <x v="32"/>
    <x v="33"/>
    <s v="整份"/>
    <n v="9.95"/>
    <s v="份"/>
    <n v="3"/>
    <n v="29.85"/>
    <n v="0"/>
    <n v="0"/>
    <n v="0"/>
    <n v="0"/>
    <n v="0"/>
    <n v="0"/>
    <n v="0"/>
    <n v="0"/>
    <n v="4.97"/>
    <n v="0"/>
    <n v="3"/>
    <n v="26.12"/>
    <n v="1.24"/>
    <n v="24.88"/>
    <n v="1"/>
  </r>
  <r>
    <s v="2021-06-03"/>
    <s v="Vancouver"/>
    <s v="加拿大二店"/>
    <x v="1"/>
    <x v="3"/>
    <x v="33"/>
    <x v="34"/>
    <x v="35"/>
    <s v="整份"/>
    <n v="11.95"/>
    <s v="份"/>
    <n v="16"/>
    <n v="191.2"/>
    <n v="1"/>
    <n v="11.95"/>
    <n v="0"/>
    <n v="0"/>
    <n v="2"/>
    <n v="23.9"/>
    <n v="0"/>
    <n v="0"/>
    <n v="19.08"/>
    <n v="0"/>
    <n v="13"/>
    <n v="143.08"/>
    <n v="6.81"/>
    <n v="136.27"/>
    <n v="1"/>
  </r>
  <r>
    <s v="2021-06-03"/>
    <s v="Vancouver"/>
    <s v="加拿大二店"/>
    <x v="5"/>
    <x v="12"/>
    <x v="34"/>
    <x v="35"/>
    <x v="36"/>
    <s v="整份"/>
    <n v="11.95"/>
    <s v="份"/>
    <n v="1"/>
    <n v="11.95"/>
    <n v="0"/>
    <n v="0"/>
    <n v="0"/>
    <n v="0"/>
    <n v="0"/>
    <n v="0"/>
    <n v="0"/>
    <n v="0"/>
    <n v="0"/>
    <n v="0"/>
    <n v="1"/>
    <n v="12.54"/>
    <n v="0.59"/>
    <n v="11.95"/>
    <n v="1"/>
  </r>
  <r>
    <s v="2021-06-03"/>
    <s v="Vancouver"/>
    <s v="加拿大二店"/>
    <x v="5"/>
    <x v="12"/>
    <x v="35"/>
    <x v="36"/>
    <x v="37"/>
    <s v="条"/>
    <n v="4.95"/>
    <s v="条"/>
    <n v="8"/>
    <n v="39.6"/>
    <n v="0"/>
    <n v="0"/>
    <n v="0"/>
    <n v="0"/>
    <n v="0"/>
    <n v="0"/>
    <n v="0"/>
    <n v="0"/>
    <n v="0.99"/>
    <n v="0"/>
    <n v="8"/>
    <n v="40.54"/>
    <n v="1.93"/>
    <n v="38.61"/>
    <n v="1"/>
  </r>
  <r>
    <s v="2021-06-03"/>
    <s v="Vancouver"/>
    <s v="加拿大二店"/>
    <x v="5"/>
    <x v="12"/>
    <x v="36"/>
    <x v="37"/>
    <x v="38"/>
    <s v="整份"/>
    <n v="13.95"/>
    <s v="份"/>
    <n v="9"/>
    <n v="125.55"/>
    <n v="0"/>
    <n v="0"/>
    <n v="0"/>
    <n v="0"/>
    <n v="0"/>
    <n v="0"/>
    <n v="0"/>
    <n v="0"/>
    <n v="14.61"/>
    <n v="0"/>
    <n v="9"/>
    <n v="116.48"/>
    <n v="5.54"/>
    <n v="110.94"/>
    <n v="1"/>
  </r>
  <r>
    <s v="2021-06-03"/>
    <s v="Vancouver"/>
    <s v="加拿大二店"/>
    <x v="5"/>
    <x v="12"/>
    <x v="37"/>
    <x v="38"/>
    <x v="39"/>
    <s v="整份"/>
    <n v="9.95"/>
    <s v="份"/>
    <n v="15"/>
    <n v="149.25"/>
    <n v="0"/>
    <n v="0"/>
    <n v="0"/>
    <n v="0"/>
    <n v="2"/>
    <n v="19.9"/>
    <n v="0"/>
    <n v="0"/>
    <n v="18.32"/>
    <n v="0"/>
    <n v="13"/>
    <n v="116.58"/>
    <n v="5.55"/>
    <n v="111.03"/>
    <n v="1"/>
  </r>
  <r>
    <s v="2021-06-03"/>
    <s v="Vancouver"/>
    <s v="加拿大二店"/>
    <x v="5"/>
    <x v="12"/>
    <x v="38"/>
    <x v="39"/>
    <x v="40"/>
    <s v="整份"/>
    <n v="9.95"/>
    <s v="份"/>
    <n v="4"/>
    <n v="39.8"/>
    <n v="0"/>
    <n v="0"/>
    <n v="0"/>
    <n v="0"/>
    <n v="0"/>
    <n v="0"/>
    <n v="0"/>
    <n v="0"/>
    <n v="5.42"/>
    <n v="0"/>
    <n v="4"/>
    <n v="36.09"/>
    <n v="1.71"/>
    <n v="34.38"/>
    <n v="1"/>
  </r>
  <r>
    <s v="2021-06-03"/>
    <s v="Vancouver"/>
    <s v="加拿大二店"/>
    <x v="6"/>
    <x v="13"/>
    <x v="39"/>
    <x v="40"/>
    <x v="41"/>
    <s v="整份"/>
    <n v="8.95"/>
    <s v="份"/>
    <n v="13"/>
    <n v="116.35"/>
    <n v="1"/>
    <n v="8.95"/>
    <n v="0"/>
    <n v="0"/>
    <n v="2"/>
    <n v="17.9"/>
    <n v="0"/>
    <n v="0"/>
    <n v="3.99"/>
    <n v="0"/>
    <n v="10"/>
    <n v="89.78"/>
    <n v="4.27"/>
    <n v="85.51"/>
    <n v="1"/>
  </r>
  <r>
    <s v="2021-06-03"/>
    <s v="Vancouver"/>
    <s v="加拿大二店"/>
    <x v="5"/>
    <x v="12"/>
    <x v="40"/>
    <x v="41"/>
    <x v="42"/>
    <s v="整份"/>
    <n v="9.95"/>
    <s v="份"/>
    <n v="3"/>
    <n v="29.85"/>
    <n v="0"/>
    <n v="0"/>
    <n v="0"/>
    <n v="0"/>
    <n v="0"/>
    <n v="0"/>
    <n v="0"/>
    <n v="0"/>
    <n v="4.45"/>
    <n v="0"/>
    <n v="3"/>
    <n v="26.67"/>
    <n v="1.27"/>
    <n v="25.4"/>
    <n v="1"/>
  </r>
  <r>
    <s v="2021-06-03"/>
    <s v="Vancouver"/>
    <s v="加拿大二店"/>
    <x v="5"/>
    <x v="12"/>
    <x v="41"/>
    <x v="42"/>
    <x v="43"/>
    <s v="整份"/>
    <n v="7.95"/>
    <s v="份"/>
    <n v="2"/>
    <n v="15.9"/>
    <n v="0"/>
    <n v="0"/>
    <n v="0"/>
    <n v="0"/>
    <n v="0"/>
    <n v="0"/>
    <n v="0"/>
    <n v="0"/>
    <n v="0"/>
    <n v="0"/>
    <n v="2"/>
    <n v="16.69"/>
    <n v="0.79"/>
    <n v="15.9"/>
    <n v="1"/>
  </r>
  <r>
    <s v="2021-06-03"/>
    <s v="Vancouver"/>
    <s v="加拿大二店"/>
    <x v="2"/>
    <x v="2"/>
    <x v="42"/>
    <x v="43"/>
    <x v="44"/>
    <s v="冰镇"/>
    <n v="5.95"/>
    <s v="瓶"/>
    <n v="2"/>
    <n v="11.9"/>
    <n v="0"/>
    <n v="0"/>
    <n v="0"/>
    <n v="0"/>
    <n v="0"/>
    <n v="0"/>
    <n v="0"/>
    <n v="0"/>
    <n v="0"/>
    <n v="0"/>
    <n v="2"/>
    <n v="13.68"/>
    <n v="1.78"/>
    <n v="11.9"/>
    <n v="1"/>
  </r>
  <r>
    <s v="2021-06-03"/>
    <s v="Vancouver"/>
    <s v="加拿大二店"/>
    <x v="3"/>
    <x v="5"/>
    <x v="43"/>
    <x v="44"/>
    <x v="45"/>
    <s v="整份"/>
    <n v="3.95"/>
    <s v="份"/>
    <n v="4"/>
    <n v="15.8"/>
    <n v="0"/>
    <n v="0"/>
    <n v="0"/>
    <n v="0"/>
    <n v="0"/>
    <n v="0"/>
    <n v="0"/>
    <n v="0"/>
    <n v="0"/>
    <n v="0"/>
    <n v="4"/>
    <n v="16.59"/>
    <n v="0.79"/>
    <n v="15.8"/>
    <n v="1"/>
  </r>
  <r>
    <s v="2021-06-03"/>
    <s v="Vancouver"/>
    <s v="加拿大二店"/>
    <x v="7"/>
    <x v="14"/>
    <x v="44"/>
    <x v="45"/>
    <x v="46"/>
    <s v="整份"/>
    <n v="0"/>
    <s v="份"/>
    <n v="3"/>
    <n v="0"/>
    <n v="0"/>
    <n v="0"/>
    <n v="0"/>
    <n v="0"/>
    <n v="0"/>
    <n v="0"/>
    <n v="0"/>
    <n v="0"/>
    <n v="0"/>
    <n v="0"/>
    <n v="3"/>
    <n v="0"/>
    <n v="0"/>
    <n v="0"/>
    <n v="1"/>
  </r>
  <r>
    <s v="2021-06-03"/>
    <s v="Vancouver"/>
    <s v="加拿大二店"/>
    <x v="7"/>
    <x v="14"/>
    <x v="45"/>
    <x v="46"/>
    <x v="47"/>
    <s v="整份"/>
    <n v="9.99"/>
    <s v="份"/>
    <n v="1"/>
    <n v="9.99"/>
    <n v="0"/>
    <n v="0"/>
    <n v="0"/>
    <n v="0"/>
    <n v="0"/>
    <n v="0"/>
    <n v="0"/>
    <n v="-0.01"/>
    <n v="0"/>
    <n v="0"/>
    <n v="1"/>
    <n v="10.5"/>
    <n v="0.5"/>
    <n v="10"/>
    <n v="1"/>
  </r>
  <r>
    <s v="2021-06-03"/>
    <s v="Vancouver"/>
    <s v="加拿大二店"/>
    <x v="7"/>
    <x v="14"/>
    <x v="45"/>
    <x v="46"/>
    <x v="47"/>
    <s v="整份"/>
    <n v="12.99"/>
    <s v="份"/>
    <n v="3"/>
    <n v="38.97"/>
    <n v="0"/>
    <n v="0"/>
    <n v="0"/>
    <n v="0"/>
    <n v="0"/>
    <n v="0"/>
    <n v="0"/>
    <n v="-0.03"/>
    <n v="0"/>
    <n v="0"/>
    <n v="3"/>
    <n v="40.95"/>
    <n v="1.95"/>
    <n v="39"/>
    <n v="1"/>
  </r>
  <r>
    <s v="2021-06-03"/>
    <s v="Vancouver"/>
    <s v="加拿大二店"/>
    <x v="7"/>
    <x v="14"/>
    <x v="45"/>
    <x v="46"/>
    <x v="47"/>
    <s v="整份"/>
    <n v="13.01"/>
    <s v="份"/>
    <n v="1"/>
    <n v="13.01"/>
    <n v="0"/>
    <n v="0"/>
    <n v="0"/>
    <n v="0"/>
    <n v="0"/>
    <n v="0"/>
    <n v="0"/>
    <n v="0.01"/>
    <n v="7"/>
    <n v="0"/>
    <n v="1"/>
    <n v="6.3"/>
    <n v="0.3"/>
    <n v="6"/>
    <n v="1"/>
  </r>
  <r>
    <s v="2021-06-03"/>
    <s v="Vancouver"/>
    <s v="加拿大二店"/>
    <x v="7"/>
    <x v="14"/>
    <x v="45"/>
    <x v="46"/>
    <x v="47"/>
    <s v="整份"/>
    <n v="23.8"/>
    <s v="份"/>
    <n v="2"/>
    <n v="47.6"/>
    <n v="0"/>
    <n v="0"/>
    <n v="0"/>
    <n v="0"/>
    <n v="0"/>
    <n v="0"/>
    <n v="0"/>
    <n v="0"/>
    <n v="7"/>
    <n v="0"/>
    <n v="2"/>
    <n v="42.63"/>
    <n v="2.03"/>
    <n v="40.6"/>
    <n v="1"/>
  </r>
  <r>
    <s v="2021-06-03"/>
    <s v="Vancouver"/>
    <s v="加拿大二店"/>
    <x v="7"/>
    <x v="14"/>
    <x v="45"/>
    <x v="46"/>
    <x v="47"/>
    <s v="整份"/>
    <n v="28.2"/>
    <s v="份"/>
    <n v="1"/>
    <n v="28.2"/>
    <n v="0"/>
    <n v="0"/>
    <n v="0"/>
    <n v="0"/>
    <n v="0"/>
    <n v="0"/>
    <n v="0"/>
    <n v="0.02"/>
    <n v="7"/>
    <n v="0"/>
    <n v="1"/>
    <n v="22.23"/>
    <n v="1.05"/>
    <n v="21.18"/>
    <n v="1"/>
  </r>
  <r>
    <s v="2021-06-03"/>
    <s v="Vancouver"/>
    <s v="加拿大二店"/>
    <x v="7"/>
    <x v="14"/>
    <x v="45"/>
    <x v="46"/>
    <x v="47"/>
    <s v="整份"/>
    <n v="28.95"/>
    <s v="份"/>
    <n v="2"/>
    <n v="57.9"/>
    <n v="0"/>
    <n v="0"/>
    <n v="0"/>
    <n v="0"/>
    <n v="0"/>
    <n v="0"/>
    <n v="0"/>
    <n v="-0.02"/>
    <n v="0"/>
    <n v="0"/>
    <n v="2"/>
    <n v="60.81"/>
    <n v="2.89"/>
    <n v="57.92"/>
    <n v="1"/>
  </r>
  <r>
    <s v="2021-06-03"/>
    <s v="Vancouver"/>
    <s v="加拿大二店"/>
    <x v="7"/>
    <x v="14"/>
    <x v="45"/>
    <x v="46"/>
    <x v="47"/>
    <s v="整份"/>
    <n v="32.19"/>
    <s v="份"/>
    <n v="1"/>
    <n v="32.19"/>
    <n v="0"/>
    <n v="0"/>
    <n v="0"/>
    <n v="0"/>
    <n v="0"/>
    <n v="0"/>
    <n v="0"/>
    <n v="-0.01"/>
    <n v="0"/>
    <n v="0"/>
    <n v="1"/>
    <n v="33.81"/>
    <n v="1.61"/>
    <n v="32.2"/>
    <n v="1"/>
  </r>
  <r>
    <s v="2021-06-03"/>
    <s v="Vancouver"/>
    <s v="加拿大二店"/>
    <x v="7"/>
    <x v="14"/>
    <x v="45"/>
    <x v="46"/>
    <x v="47"/>
    <s v="整份"/>
    <n v="32.69"/>
    <s v="份"/>
    <n v="1"/>
    <n v="32.69"/>
    <n v="0"/>
    <n v="0"/>
    <n v="0"/>
    <n v="0"/>
    <n v="0"/>
    <n v="0"/>
    <n v="0"/>
    <n v="-0.01"/>
    <n v="0"/>
    <n v="0"/>
    <n v="1"/>
    <n v="34.33"/>
    <n v="1.63"/>
    <n v="32.7"/>
    <n v="1"/>
  </r>
  <r>
    <s v="2021-06-03"/>
    <s v="Vancouver"/>
    <s v="加拿大二店"/>
    <x v="7"/>
    <x v="14"/>
    <x v="45"/>
    <x v="46"/>
    <x v="47"/>
    <s v="整份"/>
    <n v="33.61"/>
    <s v="份"/>
    <n v="1"/>
    <n v="33.61"/>
    <n v="0"/>
    <n v="0"/>
    <n v="0"/>
    <n v="0"/>
    <n v="0"/>
    <n v="0"/>
    <n v="0"/>
    <n v="0.01"/>
    <n v="0"/>
    <n v="0"/>
    <n v="1"/>
    <n v="35.28"/>
    <n v="1.68"/>
    <n v="33.6"/>
    <n v="1"/>
  </r>
  <r>
    <s v="2021-06-03"/>
    <s v="Vancouver"/>
    <s v="加拿大二店"/>
    <x v="7"/>
    <x v="14"/>
    <x v="45"/>
    <x v="46"/>
    <x v="47"/>
    <s v="整份"/>
    <n v="37.81"/>
    <s v="份"/>
    <n v="1"/>
    <n v="37.81"/>
    <n v="0"/>
    <n v="0"/>
    <n v="0"/>
    <n v="0"/>
    <n v="0"/>
    <n v="0"/>
    <n v="0"/>
    <n v="0.02"/>
    <n v="0"/>
    <n v="0"/>
    <n v="1"/>
    <n v="39.67"/>
    <n v="1.88"/>
    <n v="37.79"/>
    <n v="1"/>
  </r>
  <r>
    <s v="2021-06-03"/>
    <s v="Vancouver"/>
    <s v="加拿大二店"/>
    <x v="7"/>
    <x v="14"/>
    <x v="45"/>
    <x v="46"/>
    <x v="47"/>
    <s v="整份"/>
    <n v="40.05"/>
    <s v="份"/>
    <n v="1"/>
    <n v="40.05"/>
    <n v="0"/>
    <n v="0"/>
    <n v="0"/>
    <n v="0"/>
    <n v="0"/>
    <n v="0"/>
    <n v="0"/>
    <n v="0.02"/>
    <n v="0"/>
    <n v="0"/>
    <n v="1"/>
    <n v="42.03"/>
    <n v="2"/>
    <n v="40.03"/>
    <n v="1"/>
  </r>
  <r>
    <s v="2021-06-03"/>
    <s v="Vancouver"/>
    <s v="加拿大二店"/>
    <x v="7"/>
    <x v="14"/>
    <x v="45"/>
    <x v="46"/>
    <x v="47"/>
    <s v="整份"/>
    <n v="45.9"/>
    <s v="份"/>
    <n v="1"/>
    <n v="45.9"/>
    <n v="0"/>
    <n v="0"/>
    <n v="0"/>
    <n v="0"/>
    <n v="0"/>
    <n v="0"/>
    <n v="0"/>
    <n v="0.02"/>
    <n v="0"/>
    <n v="0"/>
    <n v="1"/>
    <n v="48.17"/>
    <n v="2.29"/>
    <n v="45.88"/>
    <n v="1"/>
  </r>
  <r>
    <s v="2021-06-03"/>
    <s v="Vancouver"/>
    <s v="加拿大二店"/>
    <x v="7"/>
    <x v="14"/>
    <x v="45"/>
    <x v="46"/>
    <x v="47"/>
    <s v="整份"/>
    <n v="102.61"/>
    <s v="份"/>
    <n v="1"/>
    <n v="102.61"/>
    <n v="0"/>
    <n v="0"/>
    <n v="0"/>
    <n v="0"/>
    <n v="0"/>
    <n v="0"/>
    <n v="0"/>
    <n v="0.01"/>
    <n v="7"/>
    <n v="0"/>
    <n v="1"/>
    <n v="100.38"/>
    <n v="4.78"/>
    <n v="95.6"/>
    <n v="1"/>
  </r>
  <r>
    <s v="2021-06-03"/>
    <s v="Vancouver"/>
    <s v="加拿大二店"/>
    <x v="6"/>
    <x v="13"/>
    <x v="48"/>
    <x v="49"/>
    <x v="50"/>
    <s v="整份"/>
    <n v="4.95"/>
    <s v="份"/>
    <n v="6"/>
    <n v="29.7"/>
    <n v="0"/>
    <n v="0"/>
    <n v="0"/>
    <n v="0"/>
    <n v="0"/>
    <n v="0"/>
    <n v="0"/>
    <n v="0"/>
    <n v="2.21"/>
    <n v="0"/>
    <n v="6"/>
    <n v="28.86"/>
    <n v="1.37"/>
    <n v="27.49"/>
    <n v="1"/>
  </r>
  <r>
    <s v="2021-06-03"/>
    <s v="Vancouver"/>
    <s v="加拿大二店"/>
    <x v="3"/>
    <x v="7"/>
    <x v="49"/>
    <x v="50"/>
    <x v="51"/>
    <s v="整份"/>
    <n v="4.95"/>
    <s v="份"/>
    <n v="5"/>
    <n v="24.75"/>
    <n v="0"/>
    <n v="0"/>
    <n v="0"/>
    <n v="0"/>
    <n v="0"/>
    <n v="0"/>
    <n v="0"/>
    <n v="0"/>
    <n v="0.99"/>
    <n v="0"/>
    <n v="5"/>
    <n v="24.94"/>
    <n v="1.18"/>
    <n v="23.76"/>
    <n v="1"/>
  </r>
  <r>
    <s v="2021-06-03"/>
    <s v="Vancouver"/>
    <s v="加拿大二店"/>
    <x v="6"/>
    <x v="15"/>
    <x v="50"/>
    <x v="51"/>
    <x v="52"/>
    <s v="份"/>
    <n v="8.95"/>
    <s v="份"/>
    <n v="2"/>
    <n v="17.9"/>
    <n v="0"/>
    <n v="0"/>
    <n v="0"/>
    <n v="0"/>
    <n v="0"/>
    <n v="0"/>
    <n v="0"/>
    <n v="-0.02"/>
    <n v="0"/>
    <n v="0"/>
    <n v="2"/>
    <n v="18.81"/>
    <n v="0.89"/>
    <n v="17.92"/>
    <n v="1"/>
  </r>
  <r>
    <s v="2021-06-03"/>
    <s v="Vancouver"/>
    <s v="加拿大二店"/>
    <x v="3"/>
    <x v="5"/>
    <x v="51"/>
    <x v="52"/>
    <x v="53"/>
    <s v="整份"/>
    <n v="3.95"/>
    <s v="份"/>
    <n v="4"/>
    <n v="15.8"/>
    <n v="0"/>
    <n v="0"/>
    <n v="0"/>
    <n v="0"/>
    <n v="0"/>
    <n v="0"/>
    <n v="0"/>
    <n v="0"/>
    <n v="0.98"/>
    <n v="0"/>
    <n v="4"/>
    <n v="15.56"/>
    <n v="0.74"/>
    <n v="14.82"/>
    <n v="1"/>
  </r>
  <r>
    <s v="2021-06-03"/>
    <s v="Vancouver"/>
    <s v="加拿大二店"/>
    <x v="3"/>
    <x v="5"/>
    <x v="52"/>
    <x v="53"/>
    <x v="54"/>
    <s v="整份"/>
    <n v="5.95"/>
    <s v="份"/>
    <n v="1"/>
    <n v="5.95"/>
    <n v="0"/>
    <n v="0"/>
    <n v="0"/>
    <n v="0"/>
    <n v="0"/>
    <n v="0"/>
    <n v="0"/>
    <n v="0.02"/>
    <n v="0"/>
    <n v="0"/>
    <n v="1"/>
    <n v="6.22"/>
    <n v="0.29"/>
    <n v="5.93"/>
    <n v="1"/>
  </r>
  <r>
    <s v="2021-06-03"/>
    <s v="Vancouver"/>
    <s v="加拿大二店"/>
    <x v="4"/>
    <x v="9"/>
    <x v="53"/>
    <x v="0"/>
    <x v="55"/>
    <s v="拼锅"/>
    <n v="0"/>
    <s v="锅"/>
    <n v="5"/>
    <n v="0"/>
    <n v="1"/>
    <n v="0"/>
    <n v="0"/>
    <n v="0"/>
    <n v="1"/>
    <n v="0"/>
    <n v="0"/>
    <n v="0.01"/>
    <n v="0"/>
    <n v="0"/>
    <n v="3"/>
    <n v="-0.01"/>
    <n v="-0.01"/>
    <n v="0"/>
    <n v="2"/>
  </r>
  <r>
    <s v="2021-06-03"/>
    <s v="Vancouver"/>
    <s v="加拿大二店"/>
    <x v="4"/>
    <x v="10"/>
    <x v="53"/>
    <x v="0"/>
    <x v="55"/>
    <s v="四宫格"/>
    <n v="0"/>
    <s v="锅"/>
    <n v="16"/>
    <n v="0"/>
    <n v="0"/>
    <n v="0"/>
    <n v="0"/>
    <n v="0"/>
    <n v="3"/>
    <n v="0"/>
    <n v="0"/>
    <n v="0"/>
    <n v="0"/>
    <n v="0"/>
    <n v="13"/>
    <n v="0"/>
    <n v="0"/>
    <n v="0"/>
    <n v="1"/>
  </r>
  <r>
    <s v="2021-06-03"/>
    <s v="Vancouver"/>
    <s v="加拿大二店"/>
    <x v="6"/>
    <x v="13"/>
    <x v="54"/>
    <x v="54"/>
    <x v="56"/>
    <s v="个"/>
    <n v="1.95"/>
    <s v="个"/>
    <n v="3"/>
    <n v="5.85"/>
    <n v="0"/>
    <n v="0"/>
    <n v="0"/>
    <n v="0"/>
    <n v="1"/>
    <n v="1.95"/>
    <n v="0"/>
    <n v="0"/>
    <n v="0.09"/>
    <n v="0"/>
    <n v="2"/>
    <n v="4"/>
    <n v="0.19"/>
    <n v="3.81"/>
    <n v="1"/>
  </r>
  <r>
    <s v="2021-06-03"/>
    <s v="Vancouver"/>
    <s v="加拿大二店"/>
    <x v="6"/>
    <x v="13"/>
    <x v="114"/>
    <x v="108"/>
    <x v="118"/>
    <s v="整份"/>
    <n v="7.95"/>
    <s v="份"/>
    <n v="2"/>
    <n v="15.9"/>
    <n v="0"/>
    <n v="0"/>
    <n v="0"/>
    <n v="0"/>
    <n v="0"/>
    <n v="0"/>
    <n v="0"/>
    <n v="0"/>
    <n v="0"/>
    <n v="0"/>
    <n v="2"/>
    <n v="16.69"/>
    <n v="0.79"/>
    <n v="15.9"/>
    <n v="1"/>
  </r>
  <r>
    <s v="2021-06-03"/>
    <s v="Vancouver"/>
    <s v="加拿大二店"/>
    <x v="1"/>
    <x v="8"/>
    <x v="55"/>
    <x v="55"/>
    <x v="57"/>
    <s v="整份"/>
    <n v="9.95"/>
    <s v="份"/>
    <n v="6"/>
    <n v="59.7"/>
    <n v="0"/>
    <n v="0"/>
    <n v="0"/>
    <n v="0"/>
    <n v="0"/>
    <n v="0"/>
    <n v="0"/>
    <n v="0"/>
    <n v="6.96"/>
    <n v="0"/>
    <n v="6"/>
    <n v="55.37"/>
    <n v="2.63"/>
    <n v="52.74"/>
    <n v="1"/>
  </r>
  <r>
    <s v="2021-06-03"/>
    <s v="Vancouver"/>
    <s v="加拿大二店"/>
    <x v="1"/>
    <x v="1"/>
    <x v="56"/>
    <x v="56"/>
    <x v="58"/>
    <s v="整份"/>
    <n v="12.95"/>
    <s v="份"/>
    <n v="7"/>
    <n v="90.65"/>
    <n v="0"/>
    <n v="0"/>
    <n v="0"/>
    <n v="0"/>
    <n v="0"/>
    <n v="0"/>
    <n v="0"/>
    <n v="0"/>
    <n v="7.78"/>
    <n v="0"/>
    <n v="7"/>
    <n v="87.01"/>
    <n v="4.14"/>
    <n v="82.87"/>
    <n v="1"/>
  </r>
  <r>
    <s v="2021-06-03"/>
    <s v="Vancouver"/>
    <s v="加拿大二店"/>
    <x v="1"/>
    <x v="1"/>
    <x v="57"/>
    <x v="57"/>
    <x v="59"/>
    <s v="整份"/>
    <n v="11.95"/>
    <s v="份"/>
    <n v="20"/>
    <n v="239"/>
    <n v="1"/>
    <n v="11.95"/>
    <n v="0"/>
    <n v="0"/>
    <n v="2"/>
    <n v="23.9"/>
    <n v="0"/>
    <n v="0"/>
    <n v="10.13"/>
    <n v="0"/>
    <n v="17"/>
    <n v="202.67"/>
    <n v="9.65"/>
    <n v="193.02"/>
    <n v="1"/>
  </r>
  <r>
    <s v="2021-06-03"/>
    <s v="Vancouver"/>
    <s v="加拿大二店"/>
    <x v="4"/>
    <x v="16"/>
    <x v="58"/>
    <x v="0"/>
    <x v="60"/>
    <s v="单锅"/>
    <n v="16.95"/>
    <s v="锅"/>
    <n v="1"/>
    <n v="16.95"/>
    <n v="0"/>
    <n v="0"/>
    <n v="0"/>
    <n v="0"/>
    <n v="0"/>
    <n v="0"/>
    <n v="0"/>
    <n v="-0.01"/>
    <n v="0"/>
    <n v="0"/>
    <n v="1"/>
    <n v="17.8"/>
    <n v="0.84"/>
    <n v="16.96"/>
    <n v="4"/>
  </r>
  <r>
    <s v="2021-06-03"/>
    <s v="Vancouver"/>
    <s v="加拿大二店"/>
    <x v="4"/>
    <x v="9"/>
    <x v="58"/>
    <x v="0"/>
    <x v="60"/>
    <s v="拼锅"/>
    <n v="8.95"/>
    <s v="锅"/>
    <n v="6"/>
    <n v="53.7"/>
    <n v="1"/>
    <n v="8.95"/>
    <n v="0"/>
    <n v="0"/>
    <n v="0"/>
    <n v="0"/>
    <n v="0"/>
    <n v="0"/>
    <n v="2.2"/>
    <n v="0"/>
    <n v="5"/>
    <n v="44.67"/>
    <n v="2.12"/>
    <n v="42.55"/>
    <n v="2"/>
  </r>
  <r>
    <s v="2021-06-03"/>
    <s v="Vancouver"/>
    <s v="加拿大二店"/>
    <x v="4"/>
    <x v="10"/>
    <x v="58"/>
    <x v="0"/>
    <x v="60"/>
    <s v="四宫格"/>
    <n v="4.95"/>
    <s v="锅"/>
    <n v="6"/>
    <n v="29.7"/>
    <n v="0"/>
    <n v="0"/>
    <n v="0"/>
    <n v="0"/>
    <n v="1"/>
    <n v="4.95"/>
    <n v="0"/>
    <n v="0"/>
    <n v="0.99"/>
    <n v="0"/>
    <n v="5"/>
    <n v="24.94"/>
    <n v="1.18"/>
    <n v="23.76"/>
    <n v="1"/>
  </r>
  <r>
    <s v="2021-06-03"/>
    <s v="Vancouver"/>
    <s v="加拿大二店"/>
    <x v="3"/>
    <x v="5"/>
    <x v="59"/>
    <x v="58"/>
    <x v="61"/>
    <s v="整份"/>
    <n v="4.95"/>
    <s v="份"/>
    <n v="3"/>
    <n v="14.85"/>
    <n v="0"/>
    <n v="0"/>
    <n v="0"/>
    <n v="0"/>
    <n v="0"/>
    <n v="0"/>
    <n v="0"/>
    <n v="0"/>
    <n v="1.23"/>
    <n v="0"/>
    <n v="3"/>
    <n v="14.3"/>
    <n v="0.68"/>
    <n v="13.62"/>
    <n v="1"/>
  </r>
  <r>
    <s v="2021-06-03"/>
    <s v="Vancouver"/>
    <s v="加拿大二店"/>
    <x v="2"/>
    <x v="4"/>
    <x v="60"/>
    <x v="59"/>
    <x v="62"/>
    <s v="冰镇"/>
    <n v="6.95"/>
    <s v="扎"/>
    <n v="16"/>
    <n v="111.2"/>
    <n v="12"/>
    <n v="83.4"/>
    <n v="0"/>
    <n v="0"/>
    <n v="0"/>
    <n v="0"/>
    <n v="0"/>
    <n v="0"/>
    <n v="0"/>
    <n v="0"/>
    <n v="4"/>
    <n v="31.13"/>
    <n v="3.33"/>
    <n v="27.8"/>
    <n v="1"/>
  </r>
  <r>
    <s v="2021-06-03"/>
    <s v="Vancouver"/>
    <s v="加拿大二店"/>
    <x v="6"/>
    <x v="13"/>
    <x v="61"/>
    <x v="60"/>
    <x v="63"/>
    <s v="整份"/>
    <n v="3.95"/>
    <s v="包"/>
    <n v="6"/>
    <n v="23.7"/>
    <n v="0"/>
    <n v="0"/>
    <n v="0"/>
    <n v="0"/>
    <n v="0"/>
    <n v="0"/>
    <n v="0"/>
    <n v="0"/>
    <n v="2.76"/>
    <n v="0"/>
    <n v="6"/>
    <n v="21.98"/>
    <n v="1.04"/>
    <n v="20.94"/>
    <n v="1"/>
  </r>
  <r>
    <s v="2021-06-03"/>
    <s v="Vancouver"/>
    <s v="加拿大二店"/>
    <x v="1"/>
    <x v="8"/>
    <x v="116"/>
    <x v="110"/>
    <x v="120"/>
    <s v="个"/>
    <n v="0.95"/>
    <s v="个"/>
    <n v="4"/>
    <n v="3.8"/>
    <n v="0"/>
    <n v="0"/>
    <n v="0"/>
    <n v="0"/>
    <n v="0"/>
    <n v="0"/>
    <n v="0"/>
    <n v="0"/>
    <n v="0"/>
    <n v="0"/>
    <n v="4"/>
    <n v="3.99"/>
    <n v="0.19"/>
    <n v="3.8"/>
    <n v="1"/>
  </r>
  <r>
    <s v="2021-06-03"/>
    <s v="Vancouver"/>
    <s v="加拿大二店"/>
    <x v="4"/>
    <x v="16"/>
    <x v="62"/>
    <x v="0"/>
    <x v="64"/>
    <s v="单锅"/>
    <n v="16.95"/>
    <s v="锅"/>
    <n v="1"/>
    <n v="16.95"/>
    <n v="0"/>
    <n v="0"/>
    <n v="0"/>
    <n v="0"/>
    <n v="0"/>
    <n v="0"/>
    <n v="0"/>
    <n v="-0.01"/>
    <n v="3.39"/>
    <n v="0"/>
    <n v="1"/>
    <n v="14.24"/>
    <n v="0.67"/>
    <n v="13.57"/>
    <n v="4"/>
  </r>
  <r>
    <s v="2021-06-03"/>
    <s v="Vancouver"/>
    <s v="加拿大二店"/>
    <x v="4"/>
    <x v="9"/>
    <x v="62"/>
    <x v="0"/>
    <x v="64"/>
    <s v="拼锅"/>
    <n v="8.95"/>
    <s v="锅"/>
    <n v="12"/>
    <n v="107.4"/>
    <n v="0"/>
    <n v="0"/>
    <n v="0"/>
    <n v="0"/>
    <n v="0"/>
    <n v="0"/>
    <n v="0"/>
    <n v="0"/>
    <n v="2.69"/>
    <n v="0"/>
    <n v="12"/>
    <n v="109.94"/>
    <n v="5.23"/>
    <n v="104.71"/>
    <n v="2"/>
  </r>
  <r>
    <s v="2021-06-03"/>
    <s v="Vancouver"/>
    <s v="加拿大二店"/>
    <x v="4"/>
    <x v="10"/>
    <x v="62"/>
    <x v="0"/>
    <x v="64"/>
    <s v="四宫格"/>
    <n v="4.95"/>
    <s v="锅"/>
    <n v="7"/>
    <n v="34.65"/>
    <n v="0"/>
    <n v="0"/>
    <n v="0"/>
    <n v="0"/>
    <n v="0"/>
    <n v="0"/>
    <n v="0"/>
    <n v="0"/>
    <n v="0.99"/>
    <n v="0"/>
    <n v="7"/>
    <n v="35.34"/>
    <n v="1.68"/>
    <n v="33.66"/>
    <n v="1"/>
  </r>
  <r>
    <s v="2021-06-03"/>
    <s v="Vancouver"/>
    <s v="加拿大二店"/>
    <x v="6"/>
    <x v="13"/>
    <x v="63"/>
    <x v="61"/>
    <x v="65"/>
    <s v="整份"/>
    <n v="1.5"/>
    <s v="碗"/>
    <n v="6"/>
    <n v="9"/>
    <n v="0"/>
    <n v="0"/>
    <n v="0"/>
    <n v="0"/>
    <n v="1"/>
    <n v="1.5"/>
    <n v="0"/>
    <n v="0"/>
    <n v="0.3"/>
    <n v="0"/>
    <n v="5"/>
    <n v="7.56"/>
    <n v="0.36"/>
    <n v="7.2"/>
    <n v="1"/>
  </r>
  <r>
    <s v="2021-06-03"/>
    <s v="Vancouver"/>
    <s v="加拿大二店"/>
    <x v="3"/>
    <x v="5"/>
    <x v="64"/>
    <x v="62"/>
    <x v="66"/>
    <s v="整份"/>
    <n v="3.95"/>
    <s v="份"/>
    <n v="2"/>
    <n v="7.9"/>
    <n v="0"/>
    <n v="0"/>
    <n v="0"/>
    <n v="0"/>
    <n v="0"/>
    <n v="0"/>
    <n v="0"/>
    <n v="0"/>
    <n v="0"/>
    <n v="0"/>
    <n v="2"/>
    <n v="8.29"/>
    <n v="0.39"/>
    <n v="7.9"/>
    <n v="1"/>
  </r>
  <r>
    <s v="2021-06-03"/>
    <s v="Vancouver"/>
    <s v="加拿大二店"/>
    <x v="2"/>
    <x v="4"/>
    <x v="65"/>
    <x v="63"/>
    <x v="67"/>
    <s v="扎"/>
    <n v="8.95"/>
    <s v="扎"/>
    <n v="3"/>
    <n v="26.85"/>
    <n v="0"/>
    <n v="0"/>
    <n v="0"/>
    <n v="0"/>
    <n v="0"/>
    <n v="0"/>
    <n v="0"/>
    <n v="-0.01"/>
    <n v="0"/>
    <n v="0"/>
    <n v="3"/>
    <n v="30.08"/>
    <n v="3.22"/>
    <n v="26.86"/>
    <n v="1"/>
  </r>
  <r>
    <s v="2021-06-03"/>
    <s v="Vancouver"/>
    <s v="加拿大二店"/>
    <x v="3"/>
    <x v="5"/>
    <x v="117"/>
    <x v="111"/>
    <x v="121"/>
    <s v="整份"/>
    <n v="4.95"/>
    <s v="份"/>
    <n v="7"/>
    <n v="34.65"/>
    <n v="0"/>
    <n v="0"/>
    <n v="0"/>
    <n v="0"/>
    <n v="0"/>
    <n v="0"/>
    <n v="0"/>
    <n v="0"/>
    <n v="3.46"/>
    <n v="0"/>
    <n v="7"/>
    <n v="32.74"/>
    <n v="1.55"/>
    <n v="31.19"/>
    <n v="1"/>
  </r>
  <r>
    <s v="2021-06-03"/>
    <s v="Vancouver"/>
    <s v="加拿大二店"/>
    <x v="3"/>
    <x v="7"/>
    <x v="67"/>
    <x v="65"/>
    <x v="69"/>
    <s v="整份"/>
    <n v="3.95"/>
    <s v="份"/>
    <n v="2"/>
    <n v="7.9"/>
    <n v="0"/>
    <n v="0"/>
    <n v="0"/>
    <n v="0"/>
    <n v="0"/>
    <n v="0"/>
    <n v="0"/>
    <n v="0"/>
    <n v="0"/>
    <n v="0"/>
    <n v="2"/>
    <n v="8.29"/>
    <n v="0.39"/>
    <n v="7.9"/>
    <n v="1"/>
  </r>
  <r>
    <s v="2021-06-03"/>
    <s v="Vancouver"/>
    <s v="加拿大二店"/>
    <x v="1"/>
    <x v="1"/>
    <x v="68"/>
    <x v="66"/>
    <x v="70"/>
    <s v="整份"/>
    <n v="8.95"/>
    <s v="份"/>
    <n v="31"/>
    <n v="277.45"/>
    <n v="0"/>
    <n v="0"/>
    <n v="0"/>
    <n v="0"/>
    <n v="3"/>
    <n v="26.85"/>
    <n v="0"/>
    <n v="0"/>
    <n v="22.31"/>
    <n v="0"/>
    <n v="28"/>
    <n v="239.7"/>
    <n v="11.41"/>
    <n v="228.29"/>
    <n v="1"/>
  </r>
  <r>
    <s v="2021-06-03"/>
    <s v="Vancouver"/>
    <s v="加拿大二店"/>
    <x v="1"/>
    <x v="1"/>
    <x v="69"/>
    <x v="67"/>
    <x v="71"/>
    <s v="整份"/>
    <n v="8.95"/>
    <s v="份"/>
    <n v="5"/>
    <n v="44.75"/>
    <n v="0"/>
    <n v="0"/>
    <n v="0"/>
    <n v="0"/>
    <n v="0"/>
    <n v="0"/>
    <n v="0"/>
    <n v="0"/>
    <n v="0"/>
    <n v="0"/>
    <n v="5"/>
    <n v="46.98"/>
    <n v="2.23"/>
    <n v="44.75"/>
    <n v="1"/>
  </r>
  <r>
    <s v="2021-06-03"/>
    <s v="Vancouver"/>
    <s v="加拿大二店"/>
    <x v="6"/>
    <x v="15"/>
    <x v="70"/>
    <x v="68"/>
    <x v="72"/>
    <s v="整份"/>
    <n v="1.5"/>
    <s v="份"/>
    <n v="2"/>
    <n v="3"/>
    <n v="0"/>
    <n v="0"/>
    <n v="0"/>
    <n v="0"/>
    <n v="0"/>
    <n v="0"/>
    <n v="0"/>
    <n v="-0.01"/>
    <n v="0.07"/>
    <n v="0"/>
    <n v="2"/>
    <n v="3.08"/>
    <n v="0.14"/>
    <n v="2.94"/>
    <n v="1"/>
  </r>
  <r>
    <s v="2021-06-03"/>
    <s v="Vancouver"/>
    <s v="加拿大二店"/>
    <x v="4"/>
    <x v="16"/>
    <x v="71"/>
    <x v="0"/>
    <x v="73"/>
    <s v="单锅"/>
    <n v="36.95"/>
    <s v="锅"/>
    <n v="1"/>
    <n v="36.95"/>
    <n v="0"/>
    <n v="0"/>
    <n v="0"/>
    <n v="0"/>
    <n v="0"/>
    <n v="0"/>
    <n v="0"/>
    <n v="0.01"/>
    <n v="0"/>
    <n v="0"/>
    <n v="1"/>
    <n v="38.78"/>
    <n v="1.84"/>
    <n v="36.94"/>
    <n v="4"/>
  </r>
  <r>
    <s v="2021-06-03"/>
    <s v="Vancouver"/>
    <s v="加拿大二店"/>
    <x v="4"/>
    <x v="9"/>
    <x v="71"/>
    <x v="0"/>
    <x v="73"/>
    <s v="拼锅"/>
    <n v="18.95"/>
    <s v="锅"/>
    <n v="1"/>
    <n v="18.95"/>
    <n v="0"/>
    <n v="0"/>
    <n v="0"/>
    <n v="0"/>
    <n v="0"/>
    <n v="0"/>
    <n v="0"/>
    <n v="0"/>
    <n v="0"/>
    <n v="0"/>
    <n v="1"/>
    <n v="19.89"/>
    <n v="0.94"/>
    <n v="18.95"/>
    <n v="2"/>
  </r>
  <r>
    <s v="2021-06-03"/>
    <s v="Vancouver"/>
    <s v="加拿大二店"/>
    <x v="4"/>
    <x v="10"/>
    <x v="71"/>
    <x v="0"/>
    <x v="73"/>
    <s v="四宫格"/>
    <n v="9.95"/>
    <s v="锅"/>
    <n v="6"/>
    <n v="59.7"/>
    <n v="0"/>
    <n v="0"/>
    <n v="0"/>
    <n v="0"/>
    <n v="0"/>
    <n v="0"/>
    <n v="0"/>
    <n v="-0.02"/>
    <n v="4.97"/>
    <n v="0"/>
    <n v="6"/>
    <n v="57.48"/>
    <n v="2.73"/>
    <n v="54.75"/>
    <n v="1"/>
  </r>
  <r>
    <s v="2021-06-03"/>
    <s v="Vancouver"/>
    <s v="加拿大二店"/>
    <x v="1"/>
    <x v="8"/>
    <x v="72"/>
    <x v="69"/>
    <x v="74"/>
    <s v="个"/>
    <n v="7.95"/>
    <s v="份"/>
    <n v="3"/>
    <n v="23.85"/>
    <n v="0"/>
    <n v="0"/>
    <n v="0"/>
    <n v="0"/>
    <n v="0"/>
    <n v="0"/>
    <n v="0"/>
    <n v="0"/>
    <n v="0"/>
    <n v="0"/>
    <n v="3"/>
    <n v="25.04"/>
    <n v="1.19"/>
    <n v="23.85"/>
    <n v="1"/>
  </r>
  <r>
    <s v="2021-06-03"/>
    <s v="Vancouver"/>
    <s v="加拿大二店"/>
    <x v="4"/>
    <x v="9"/>
    <x v="74"/>
    <x v="0"/>
    <x v="76"/>
    <s v="拼锅"/>
    <n v="18.95"/>
    <s v="锅"/>
    <n v="1"/>
    <n v="18.95"/>
    <n v="0"/>
    <n v="0"/>
    <n v="0"/>
    <n v="0"/>
    <n v="0"/>
    <n v="0"/>
    <n v="0"/>
    <n v="0"/>
    <n v="0.9"/>
    <n v="0"/>
    <n v="1"/>
    <n v="18.95"/>
    <n v="0.9"/>
    <n v="18.05"/>
    <n v="2"/>
  </r>
  <r>
    <s v="2021-06-03"/>
    <s v="Vancouver"/>
    <s v="加拿大二店"/>
    <x v="4"/>
    <x v="10"/>
    <x v="74"/>
    <x v="0"/>
    <x v="76"/>
    <s v="四宫格"/>
    <n v="9.95"/>
    <s v="锅"/>
    <n v="3"/>
    <n v="29.85"/>
    <n v="0"/>
    <n v="0"/>
    <n v="0"/>
    <n v="0"/>
    <n v="0"/>
    <n v="0"/>
    <n v="0"/>
    <n v="0"/>
    <n v="4.97"/>
    <n v="0"/>
    <n v="3"/>
    <n v="26.12"/>
    <n v="1.24"/>
    <n v="24.88"/>
    <n v="1"/>
  </r>
  <r>
    <s v="2021-06-03"/>
    <s v="Vancouver"/>
    <s v="加拿大二店"/>
    <x v="1"/>
    <x v="6"/>
    <x v="118"/>
    <x v="112"/>
    <x v="122"/>
    <s v="整份"/>
    <n v="28.95"/>
    <s v="份"/>
    <n v="1"/>
    <n v="28.95"/>
    <n v="0"/>
    <n v="0"/>
    <n v="0"/>
    <n v="0"/>
    <n v="0"/>
    <n v="0"/>
    <n v="0"/>
    <n v="0"/>
    <n v="8.68"/>
    <n v="0"/>
    <n v="1"/>
    <n v="21.28"/>
    <n v="1.01"/>
    <n v="20.27"/>
    <n v="1"/>
  </r>
  <r>
    <s v="2021-06-03"/>
    <s v="Vancouver"/>
    <s v="加拿大二店"/>
    <x v="8"/>
    <x v="17"/>
    <x v="75"/>
    <x v="71"/>
    <x v="77"/>
    <s v="整份"/>
    <n v="3.99"/>
    <s v="位"/>
    <n v="73"/>
    <n v="291.27"/>
    <n v="2"/>
    <n v="7.98"/>
    <n v="0"/>
    <n v="0"/>
    <n v="2"/>
    <n v="7.98"/>
    <n v="0"/>
    <n v="0"/>
    <n v="6.62"/>
    <n v="0"/>
    <n v="69"/>
    <n v="282.12"/>
    <n v="13.43"/>
    <n v="268.69"/>
    <n v="1"/>
  </r>
  <r>
    <s v="2021-06-03"/>
    <s v="Vancouver"/>
    <s v="加拿大二店"/>
    <x v="3"/>
    <x v="5"/>
    <x v="76"/>
    <x v="72"/>
    <x v="78"/>
    <s v="整份"/>
    <n v="3.95"/>
    <s v="份"/>
    <n v="2"/>
    <n v="7.9"/>
    <n v="0"/>
    <n v="0"/>
    <n v="0"/>
    <n v="0"/>
    <n v="0"/>
    <n v="0"/>
    <n v="0"/>
    <n v="0"/>
    <n v="0.79"/>
    <n v="0"/>
    <n v="2"/>
    <n v="7.46"/>
    <n v="0.35"/>
    <n v="7.11"/>
    <n v="1"/>
  </r>
  <r>
    <s v="2021-06-03"/>
    <s v="Vancouver"/>
    <s v="加拿大二店"/>
    <x v="1"/>
    <x v="3"/>
    <x v="77"/>
    <x v="73"/>
    <x v="79"/>
    <s v="整份"/>
    <n v="5.95"/>
    <s v="份"/>
    <n v="4"/>
    <n v="23.8"/>
    <n v="0"/>
    <n v="0"/>
    <n v="0"/>
    <n v="0"/>
    <n v="0"/>
    <n v="0"/>
    <n v="0"/>
    <n v="0"/>
    <n v="2.08"/>
    <n v="0"/>
    <n v="4"/>
    <n v="22.8"/>
    <n v="1.08"/>
    <n v="21.72"/>
    <n v="1"/>
  </r>
  <r>
    <s v="2021-06-03"/>
    <s v="Vancouver"/>
    <s v="加拿大二店"/>
    <x v="3"/>
    <x v="11"/>
    <x v="78"/>
    <x v="74"/>
    <x v="80"/>
    <s v="整份"/>
    <n v="5.95"/>
    <s v="份"/>
    <n v="4"/>
    <n v="23.8"/>
    <n v="0"/>
    <n v="0"/>
    <n v="0"/>
    <n v="0"/>
    <n v="0"/>
    <n v="0"/>
    <n v="0"/>
    <n v="0"/>
    <n v="1.46"/>
    <n v="0"/>
    <n v="4"/>
    <n v="23.45"/>
    <n v="1.11"/>
    <n v="22.34"/>
    <n v="1"/>
  </r>
  <r>
    <s v="2021-06-03"/>
    <s v="Vancouver"/>
    <s v="加拿大二店"/>
    <x v="3"/>
    <x v="11"/>
    <x v="78"/>
    <x v="75"/>
    <x v="81"/>
    <s v="半份"/>
    <n v="2.95"/>
    <s v="份"/>
    <n v="3"/>
    <n v="8.85"/>
    <n v="1"/>
    <n v="2.95"/>
    <n v="0"/>
    <n v="0"/>
    <n v="0"/>
    <n v="0"/>
    <n v="0"/>
    <n v="0"/>
    <n v="0.59"/>
    <n v="0"/>
    <n v="2"/>
    <n v="5.57"/>
    <n v="0.26"/>
    <n v="5.31"/>
    <n v="0.5"/>
  </r>
  <r>
    <s v="2021-06-03"/>
    <s v="Vancouver"/>
    <s v="加拿大二店"/>
    <x v="3"/>
    <x v="5"/>
    <x v="79"/>
    <x v="76"/>
    <x v="82"/>
    <s v="整份"/>
    <n v="3.95"/>
    <s v="份"/>
    <n v="6"/>
    <n v="23.7"/>
    <n v="0"/>
    <n v="0"/>
    <n v="0"/>
    <n v="0"/>
    <n v="0"/>
    <n v="0"/>
    <n v="0"/>
    <n v="0"/>
    <n v="0"/>
    <n v="0"/>
    <n v="6"/>
    <n v="24.88"/>
    <n v="1.18"/>
    <n v="23.7"/>
    <n v="1"/>
  </r>
  <r>
    <s v="2021-06-03"/>
    <s v="Vancouver"/>
    <s v="加拿大二店"/>
    <x v="3"/>
    <x v="5"/>
    <x v="80"/>
    <x v="77"/>
    <x v="83"/>
    <s v="整份"/>
    <n v="5.95"/>
    <s v="份"/>
    <n v="8"/>
    <n v="47.6"/>
    <n v="0"/>
    <n v="0"/>
    <n v="0"/>
    <n v="0"/>
    <n v="1"/>
    <n v="5.95"/>
    <n v="0"/>
    <n v="0"/>
    <n v="1.19"/>
    <n v="0"/>
    <n v="7"/>
    <n v="42.48"/>
    <n v="2.02"/>
    <n v="40.46"/>
    <n v="1"/>
  </r>
  <r>
    <s v="2021-06-03"/>
    <s v="Vancouver"/>
    <s v="加拿大二店"/>
    <x v="4"/>
    <x v="9"/>
    <x v="81"/>
    <x v="0"/>
    <x v="84"/>
    <s v="拼锅"/>
    <n v="8.95"/>
    <s v="锅"/>
    <n v="1"/>
    <n v="8.95"/>
    <n v="0"/>
    <n v="0"/>
    <n v="0"/>
    <n v="0"/>
    <n v="0"/>
    <n v="0"/>
    <n v="0"/>
    <n v="0"/>
    <n v="0"/>
    <n v="0"/>
    <n v="1"/>
    <n v="9.39"/>
    <n v="0.44"/>
    <n v="8.95"/>
    <n v="2"/>
  </r>
  <r>
    <s v="2021-06-03"/>
    <s v="Vancouver"/>
    <s v="加拿大二店"/>
    <x v="4"/>
    <x v="10"/>
    <x v="81"/>
    <x v="0"/>
    <x v="84"/>
    <s v="四宫格"/>
    <n v="4.95"/>
    <s v="锅"/>
    <n v="3"/>
    <n v="14.85"/>
    <n v="0"/>
    <n v="0"/>
    <n v="0"/>
    <n v="0"/>
    <n v="0"/>
    <n v="0"/>
    <n v="0"/>
    <n v="0"/>
    <n v="0"/>
    <n v="0"/>
    <n v="3"/>
    <n v="15.59"/>
    <n v="0.74"/>
    <n v="14.85"/>
    <n v="1"/>
  </r>
  <r>
    <s v="2021-06-03"/>
    <s v="Vancouver"/>
    <s v="加拿大二店"/>
    <x v="3"/>
    <x v="5"/>
    <x v="82"/>
    <x v="78"/>
    <x v="85"/>
    <s v="整份"/>
    <n v="12.95"/>
    <s v="份"/>
    <n v="5"/>
    <n v="64.75"/>
    <n v="0"/>
    <n v="0"/>
    <n v="0"/>
    <n v="0"/>
    <n v="0"/>
    <n v="0"/>
    <n v="0"/>
    <n v="0"/>
    <n v="5.77"/>
    <n v="0"/>
    <n v="5"/>
    <n v="61.92"/>
    <n v="2.94"/>
    <n v="58.98"/>
    <n v="1"/>
  </r>
  <r>
    <s v="2021-06-03"/>
    <s v="Vancouver"/>
    <s v="加拿大二店"/>
    <x v="3"/>
    <x v="11"/>
    <x v="83"/>
    <x v="79"/>
    <x v="86"/>
    <s v="整份"/>
    <n v="5.95"/>
    <s v="份"/>
    <n v="3"/>
    <n v="17.85"/>
    <n v="0"/>
    <n v="0"/>
    <n v="0"/>
    <n v="0"/>
    <n v="0"/>
    <n v="0"/>
    <n v="0"/>
    <n v="0"/>
    <n v="0"/>
    <n v="0"/>
    <n v="3"/>
    <n v="18.74"/>
    <n v="0.89"/>
    <n v="17.85"/>
    <n v="1"/>
  </r>
  <r>
    <s v="2021-06-03"/>
    <s v="Vancouver"/>
    <s v="加拿大二店"/>
    <x v="3"/>
    <x v="11"/>
    <x v="83"/>
    <x v="80"/>
    <x v="87"/>
    <s v="半份"/>
    <n v="2.95"/>
    <s v="份"/>
    <n v="5"/>
    <n v="14.75"/>
    <n v="0"/>
    <n v="0"/>
    <n v="0"/>
    <n v="0"/>
    <n v="0"/>
    <n v="0"/>
    <n v="0"/>
    <n v="0"/>
    <n v="0"/>
    <n v="0"/>
    <n v="5"/>
    <n v="15.48"/>
    <n v="0.73"/>
    <n v="14.75"/>
    <n v="0.5"/>
  </r>
  <r>
    <s v="2021-06-03"/>
    <s v="Vancouver"/>
    <s v="加拿大二店"/>
    <x v="3"/>
    <x v="11"/>
    <x v="84"/>
    <x v="81"/>
    <x v="88"/>
    <s v="整份"/>
    <n v="11.95"/>
    <s v="份"/>
    <n v="6"/>
    <n v="71.7"/>
    <n v="0"/>
    <n v="0"/>
    <n v="0"/>
    <n v="0"/>
    <n v="0"/>
    <n v="0"/>
    <n v="0"/>
    <n v="0"/>
    <n v="2.39"/>
    <n v="0"/>
    <n v="6"/>
    <n v="72.77"/>
    <n v="3.46"/>
    <n v="69.31"/>
    <n v="1"/>
  </r>
  <r>
    <s v="2021-06-03"/>
    <s v="Vancouver"/>
    <s v="加拿大二店"/>
    <x v="1"/>
    <x v="3"/>
    <x v="85"/>
    <x v="82"/>
    <x v="89"/>
    <s v="整份"/>
    <n v="6.95"/>
    <s v="份"/>
    <n v="1"/>
    <n v="6.95"/>
    <n v="0"/>
    <n v="0"/>
    <n v="0"/>
    <n v="0"/>
    <n v="0"/>
    <n v="0"/>
    <n v="0"/>
    <n v="0"/>
    <n v="0"/>
    <n v="0"/>
    <n v="1"/>
    <n v="7.29"/>
    <n v="0.34"/>
    <n v="6.95"/>
    <n v="1"/>
  </r>
  <r>
    <s v="2021-06-03"/>
    <s v="Vancouver"/>
    <s v="加拿大二店"/>
    <x v="6"/>
    <x v="13"/>
    <x v="86"/>
    <x v="83"/>
    <x v="90"/>
    <s v="碗"/>
    <n v="2.95"/>
    <s v="碗"/>
    <n v="7"/>
    <n v="20.65"/>
    <n v="0"/>
    <n v="0"/>
    <n v="0"/>
    <n v="0"/>
    <n v="1"/>
    <n v="2.95"/>
    <n v="0"/>
    <n v="0"/>
    <n v="0.13"/>
    <n v="0"/>
    <n v="6"/>
    <n v="18.44"/>
    <n v="0.87"/>
    <n v="17.57"/>
    <n v="1"/>
  </r>
  <r>
    <s v="2021-06-03"/>
    <s v="Vancouver"/>
    <s v="加拿大二店"/>
    <x v="2"/>
    <x v="4"/>
    <x v="87"/>
    <x v="84"/>
    <x v="91"/>
    <s v="常温"/>
    <n v="2.95"/>
    <s v="扎"/>
    <n v="1"/>
    <n v="2.95"/>
    <n v="0"/>
    <n v="0"/>
    <n v="0"/>
    <n v="0"/>
    <n v="0"/>
    <n v="0"/>
    <n v="0"/>
    <n v="0"/>
    <n v="0.59"/>
    <n v="0"/>
    <n v="1"/>
    <n v="2.64"/>
    <n v="0.28"/>
    <n v="2.36"/>
    <n v="1"/>
  </r>
  <r>
    <s v="2021-06-03"/>
    <s v="Vancouver"/>
    <s v="加拿大二店"/>
    <x v="2"/>
    <x v="4"/>
    <x v="87"/>
    <x v="84"/>
    <x v="91"/>
    <s v="冰镇"/>
    <n v="2.95"/>
    <s v="扎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03"/>
    <s v="Vancouver"/>
    <s v="加拿大二店"/>
    <x v="1"/>
    <x v="8"/>
    <x v="88"/>
    <x v="85"/>
    <x v="92"/>
    <s v="整份"/>
    <n v="7.95"/>
    <s v="份"/>
    <n v="1"/>
    <n v="7.95"/>
    <n v="0"/>
    <n v="0"/>
    <n v="0"/>
    <n v="0"/>
    <n v="0"/>
    <n v="0"/>
    <n v="0"/>
    <n v="0"/>
    <n v="2.8"/>
    <n v="0"/>
    <n v="1"/>
    <n v="5.4"/>
    <n v="0.25"/>
    <n v="5.15"/>
    <n v="1"/>
  </r>
  <r>
    <s v="2021-06-03"/>
    <s v="Vancouver"/>
    <s v="加拿大二店"/>
    <x v="1"/>
    <x v="8"/>
    <x v="89"/>
    <x v="86"/>
    <x v="93"/>
    <s v="整份"/>
    <n v="4.95"/>
    <s v="份"/>
    <n v="4"/>
    <n v="19.8"/>
    <n v="0"/>
    <n v="0"/>
    <n v="0"/>
    <n v="0"/>
    <n v="0"/>
    <n v="0"/>
    <n v="0"/>
    <n v="0"/>
    <n v="0.99"/>
    <n v="0"/>
    <n v="4"/>
    <n v="19.75"/>
    <n v="0.94"/>
    <n v="18.81"/>
    <n v="1"/>
  </r>
  <r>
    <s v="2021-06-03"/>
    <s v="Vancouver"/>
    <s v="加拿大二店"/>
    <x v="3"/>
    <x v="7"/>
    <x v="90"/>
    <x v="87"/>
    <x v="94"/>
    <s v="整份"/>
    <n v="4.95"/>
    <s v="份"/>
    <n v="3"/>
    <n v="14.85"/>
    <n v="0"/>
    <n v="0"/>
    <n v="0"/>
    <n v="0"/>
    <n v="1"/>
    <n v="4.95"/>
    <n v="0"/>
    <n v="0.01"/>
    <n v="4.2"/>
    <n v="0"/>
    <n v="2"/>
    <n v="5.97"/>
    <n v="0.28"/>
    <n v="5.69"/>
    <n v="1"/>
  </r>
  <r>
    <s v="2021-06-03"/>
    <s v="Vancouver"/>
    <s v="加拿大二店"/>
    <x v="6"/>
    <x v="18"/>
    <x v="91"/>
    <x v="88"/>
    <x v="95"/>
    <s v="整份"/>
    <n v="2.95"/>
    <s v="份"/>
    <n v="4"/>
    <n v="11.8"/>
    <n v="1"/>
    <n v="2.95"/>
    <n v="0"/>
    <n v="0"/>
    <n v="0"/>
    <n v="0"/>
    <n v="0"/>
    <n v="0"/>
    <n v="0"/>
    <n v="0"/>
    <n v="3"/>
    <n v="9.29"/>
    <n v="0.44"/>
    <n v="8.85"/>
    <n v="1"/>
  </r>
  <r>
    <s v="2021-06-03"/>
    <s v="Vancouver"/>
    <s v="加拿大二店"/>
    <x v="4"/>
    <x v="10"/>
    <x v="92"/>
    <x v="0"/>
    <x v="96"/>
    <s v="四宫格"/>
    <n v="4.95"/>
    <s v="锅"/>
    <n v="1"/>
    <n v="4.95"/>
    <n v="0"/>
    <n v="0"/>
    <n v="0"/>
    <n v="0"/>
    <n v="0"/>
    <n v="0"/>
    <n v="0"/>
    <n v="0"/>
    <n v="0"/>
    <n v="0"/>
    <n v="1"/>
    <n v="5.19"/>
    <n v="0.24"/>
    <n v="4.95"/>
    <n v="1"/>
  </r>
  <r>
    <s v="2021-06-03"/>
    <s v="Vancouver"/>
    <s v="加拿大二店"/>
    <x v="3"/>
    <x v="5"/>
    <x v="93"/>
    <x v="89"/>
    <x v="97"/>
    <s v="整份"/>
    <n v="5.95"/>
    <s v="份"/>
    <n v="9"/>
    <n v="53.55"/>
    <n v="1"/>
    <n v="5.95"/>
    <n v="0"/>
    <n v="0"/>
    <n v="0"/>
    <n v="0"/>
    <n v="0"/>
    <n v="0"/>
    <n v="2.38"/>
    <n v="0"/>
    <n v="8"/>
    <n v="47.48"/>
    <n v="2.26"/>
    <n v="45.22"/>
    <n v="1"/>
  </r>
  <r>
    <s v="2021-06-03"/>
    <s v="Vancouver"/>
    <s v="加拿大二店"/>
    <x v="6"/>
    <x v="13"/>
    <x v="94"/>
    <x v="90"/>
    <x v="98"/>
    <s v="整份"/>
    <n v="4.95"/>
    <s v="份"/>
    <n v="7"/>
    <n v="34.65"/>
    <n v="0"/>
    <n v="0"/>
    <n v="0"/>
    <n v="0"/>
    <n v="0"/>
    <n v="0"/>
    <n v="0"/>
    <n v="0"/>
    <n v="1.21"/>
    <n v="0"/>
    <n v="7"/>
    <n v="35.11"/>
    <n v="1.67"/>
    <n v="33.44"/>
    <n v="1"/>
  </r>
  <r>
    <s v="2021-06-03"/>
    <s v="Vancouver"/>
    <s v="加拿大二店"/>
    <x v="7"/>
    <x v="14"/>
    <x v="123"/>
    <x v="117"/>
    <x v="127"/>
    <s v="整份"/>
    <n v="0"/>
    <s v="份"/>
    <n v="1"/>
    <n v="0"/>
    <n v="0"/>
    <n v="0"/>
    <n v="0"/>
    <n v="0"/>
    <n v="0"/>
    <n v="0"/>
    <n v="0"/>
    <n v="0"/>
    <n v="0"/>
    <n v="0"/>
    <n v="1"/>
    <n v="0"/>
    <n v="0"/>
    <n v="0"/>
    <n v="1"/>
  </r>
  <r>
    <s v="2021-06-03"/>
    <s v="Vancouver"/>
    <s v="加拿大二店"/>
    <x v="1"/>
    <x v="1"/>
    <x v="96"/>
    <x v="92"/>
    <x v="100"/>
    <s v="整份"/>
    <n v="49.95"/>
    <s v="份"/>
    <n v="3"/>
    <n v="149.85"/>
    <n v="0"/>
    <n v="0"/>
    <n v="0"/>
    <n v="0"/>
    <n v="0"/>
    <n v="0"/>
    <n v="0"/>
    <n v="-0.01"/>
    <n v="9.99"/>
    <n v="0"/>
    <n v="3"/>
    <n v="146.86"/>
    <n v="6.99"/>
    <n v="139.87"/>
    <n v="1"/>
  </r>
  <r>
    <s v="2021-06-03"/>
    <s v="Vancouver"/>
    <s v="加拿大二店"/>
    <x v="2"/>
    <x v="2"/>
    <x v="97"/>
    <x v="93"/>
    <x v="101"/>
    <s v="冰镇"/>
    <n v="5.95"/>
    <s v="听"/>
    <n v="6"/>
    <n v="35.7"/>
    <n v="0"/>
    <n v="0"/>
    <n v="0"/>
    <n v="0"/>
    <n v="0"/>
    <n v="0"/>
    <n v="0"/>
    <n v="0"/>
    <n v="0"/>
    <n v="0"/>
    <n v="6"/>
    <n v="41.05"/>
    <n v="5.35"/>
    <n v="35.7"/>
    <n v="1"/>
  </r>
  <r>
    <s v="2021-06-03"/>
    <s v="Vancouver"/>
    <s v="加拿大二店"/>
    <x v="6"/>
    <x v="13"/>
    <x v="98"/>
    <x v="94"/>
    <x v="102"/>
    <s v="整份"/>
    <n v="3.95"/>
    <s v="份"/>
    <n v="3"/>
    <n v="11.85"/>
    <n v="0"/>
    <n v="0"/>
    <n v="0"/>
    <n v="0"/>
    <n v="0"/>
    <n v="0"/>
    <n v="0"/>
    <n v="0"/>
    <n v="0.97"/>
    <n v="0"/>
    <n v="3"/>
    <n v="11.42"/>
    <n v="0.54"/>
    <n v="10.88"/>
    <n v="1"/>
  </r>
  <r>
    <s v="2021-06-03"/>
    <s v="Vancouver"/>
    <s v="加拿大二店"/>
    <x v="1"/>
    <x v="3"/>
    <x v="99"/>
    <x v="95"/>
    <x v="103"/>
    <s v="整份"/>
    <n v="5.95"/>
    <s v="份"/>
    <n v="5"/>
    <n v="29.75"/>
    <n v="0"/>
    <n v="0"/>
    <n v="0"/>
    <n v="0"/>
    <n v="0"/>
    <n v="0"/>
    <n v="0"/>
    <n v="0"/>
    <n v="1.47"/>
    <n v="0"/>
    <n v="5"/>
    <n v="29.69"/>
    <n v="1.41"/>
    <n v="28.28"/>
    <n v="1"/>
  </r>
  <r>
    <s v="2021-06-03"/>
    <s v="Vancouver"/>
    <s v="加拿大二店"/>
    <x v="1"/>
    <x v="3"/>
    <x v="100"/>
    <x v="96"/>
    <x v="104"/>
    <s v="整份"/>
    <n v="7.95"/>
    <s v="份"/>
    <n v="8"/>
    <n v="63.6"/>
    <n v="0"/>
    <n v="0"/>
    <n v="0"/>
    <n v="0"/>
    <n v="0"/>
    <n v="0"/>
    <n v="0"/>
    <n v="0"/>
    <n v="4.33"/>
    <n v="0"/>
    <n v="8"/>
    <n v="62.23"/>
    <n v="2.96"/>
    <n v="59.27"/>
    <n v="1"/>
  </r>
  <r>
    <s v="2021-06-03"/>
    <s v="Vancouver"/>
    <s v="加拿大二店"/>
    <x v="1"/>
    <x v="8"/>
    <x v="101"/>
    <x v="97"/>
    <x v="105"/>
    <s v="整份"/>
    <n v="5.95"/>
    <s v="份"/>
    <n v="7"/>
    <n v="41.65"/>
    <n v="0"/>
    <n v="0"/>
    <n v="0"/>
    <n v="0"/>
    <n v="0"/>
    <n v="0"/>
    <n v="0"/>
    <n v="0"/>
    <n v="2.38"/>
    <n v="0"/>
    <n v="7"/>
    <n v="41.23"/>
    <n v="1.96"/>
    <n v="39.27"/>
    <n v="1"/>
  </r>
  <r>
    <s v="2021-06-03"/>
    <s v="Vancouver"/>
    <s v="加拿大二店"/>
    <x v="1"/>
    <x v="6"/>
    <x v="102"/>
    <x v="98"/>
    <x v="106"/>
    <s v="整份"/>
    <n v="8.95"/>
    <s v="份"/>
    <n v="2"/>
    <n v="17.9"/>
    <n v="0"/>
    <n v="0"/>
    <n v="0"/>
    <n v="0"/>
    <n v="0"/>
    <n v="0"/>
    <n v="0"/>
    <n v="-0.03"/>
    <n v="4.95"/>
    <n v="0"/>
    <n v="2"/>
    <n v="13.62"/>
    <n v="0.64"/>
    <n v="12.98"/>
    <n v="1"/>
  </r>
  <r>
    <s v="2021-06-03"/>
    <s v="Vancouver"/>
    <s v="加拿大二店"/>
    <x v="3"/>
    <x v="7"/>
    <x v="103"/>
    <x v="99"/>
    <x v="107"/>
    <s v="整份"/>
    <n v="5.95"/>
    <s v="份"/>
    <n v="13"/>
    <n v="77.35"/>
    <n v="0"/>
    <n v="0"/>
    <n v="0"/>
    <n v="0"/>
    <n v="0"/>
    <n v="0"/>
    <n v="0"/>
    <n v="0"/>
    <n v="2.38"/>
    <n v="0"/>
    <n v="13"/>
    <n v="78.71"/>
    <n v="3.74"/>
    <n v="74.97"/>
    <n v="1"/>
  </r>
  <r>
    <s v="2021-06-03"/>
    <s v="Vancouver"/>
    <s v="加拿大二店"/>
    <x v="3"/>
    <x v="7"/>
    <x v="104"/>
    <x v="100"/>
    <x v="108"/>
    <s v="整份"/>
    <n v="3.95"/>
    <s v="份"/>
    <n v="1"/>
    <n v="3.95"/>
    <n v="0"/>
    <n v="0"/>
    <n v="0"/>
    <n v="0"/>
    <n v="0"/>
    <n v="0"/>
    <n v="0"/>
    <n v="0"/>
    <n v="0"/>
    <n v="0"/>
    <n v="1"/>
    <n v="4.14"/>
    <n v="0.19"/>
    <n v="3.95"/>
    <n v="1"/>
  </r>
  <r>
    <s v="2021-06-03"/>
    <s v="Vancouver"/>
    <s v="加拿大二店"/>
    <x v="1"/>
    <x v="8"/>
    <x v="105"/>
    <x v="101"/>
    <x v="109"/>
    <s v="整份"/>
    <n v="4.95"/>
    <s v="份"/>
    <n v="6"/>
    <n v="29.7"/>
    <n v="0"/>
    <n v="0"/>
    <n v="0"/>
    <n v="0"/>
    <n v="1"/>
    <n v="4.95"/>
    <n v="0"/>
    <n v="0"/>
    <n v="2.71"/>
    <n v="0"/>
    <n v="5"/>
    <n v="23.14"/>
    <n v="1.1"/>
    <n v="22.04"/>
    <n v="1"/>
  </r>
  <r>
    <s v="2021-06-03"/>
    <s v="Vancouver"/>
    <s v="加拿大二店"/>
    <x v="4"/>
    <x v="16"/>
    <x v="106"/>
    <x v="0"/>
    <x v="110"/>
    <s v="单锅"/>
    <n v="22.95"/>
    <s v="锅"/>
    <n v="1"/>
    <n v="22.95"/>
    <n v="0"/>
    <n v="0"/>
    <n v="0"/>
    <n v="0"/>
    <n v="0"/>
    <n v="0"/>
    <n v="0"/>
    <n v="0"/>
    <n v="4.59"/>
    <n v="0"/>
    <n v="1"/>
    <n v="19.27"/>
    <n v="0.91"/>
    <n v="18.36"/>
    <n v="4"/>
  </r>
  <r>
    <s v="2021-06-03"/>
    <s v="Vancouver"/>
    <s v="加拿大二店"/>
    <x v="4"/>
    <x v="9"/>
    <x v="106"/>
    <x v="0"/>
    <x v="110"/>
    <s v="拼锅"/>
    <n v="11.95"/>
    <s v="锅"/>
    <n v="7"/>
    <n v="83.65"/>
    <n v="0"/>
    <n v="0"/>
    <n v="0"/>
    <n v="0"/>
    <n v="1"/>
    <n v="11.95"/>
    <n v="0"/>
    <n v="0"/>
    <n v="1.09"/>
    <n v="0"/>
    <n v="6"/>
    <n v="74.14"/>
    <n v="3.53"/>
    <n v="70.61"/>
    <n v="2"/>
  </r>
  <r>
    <s v="2021-06-03"/>
    <s v="Vancouver"/>
    <s v="加拿大二店"/>
    <x v="4"/>
    <x v="10"/>
    <x v="106"/>
    <x v="0"/>
    <x v="110"/>
    <s v="四宫格"/>
    <n v="5.95"/>
    <s v="锅"/>
    <n v="6"/>
    <n v="35.7"/>
    <n v="0"/>
    <n v="0"/>
    <n v="0"/>
    <n v="0"/>
    <n v="0"/>
    <n v="0"/>
    <n v="0"/>
    <n v="-0.01"/>
    <n v="2.97"/>
    <n v="0"/>
    <n v="6"/>
    <n v="34.37"/>
    <n v="1.63"/>
    <n v="32.74"/>
    <n v="1"/>
  </r>
  <r>
    <s v="2021-06-03"/>
    <s v="Vancouver"/>
    <s v="加拿大二店"/>
    <x v="4"/>
    <x v="9"/>
    <x v="107"/>
    <x v="0"/>
    <x v="111"/>
    <s v="拼锅"/>
    <n v="11.95"/>
    <s v="锅"/>
    <n v="2"/>
    <n v="23.9"/>
    <n v="0"/>
    <n v="0"/>
    <n v="0"/>
    <n v="0"/>
    <n v="0"/>
    <n v="0"/>
    <n v="0"/>
    <n v="0"/>
    <n v="0"/>
    <n v="0"/>
    <n v="2"/>
    <n v="25.09"/>
    <n v="1.19"/>
    <n v="23.9"/>
    <n v="2"/>
  </r>
  <r>
    <s v="2021-06-03"/>
    <s v="Vancouver"/>
    <s v="加拿大二店"/>
    <x v="4"/>
    <x v="10"/>
    <x v="107"/>
    <x v="0"/>
    <x v="111"/>
    <s v="四宫格"/>
    <n v="5.95"/>
    <s v="锅"/>
    <n v="2"/>
    <n v="11.9"/>
    <n v="0"/>
    <n v="0"/>
    <n v="0"/>
    <n v="0"/>
    <n v="0"/>
    <n v="0"/>
    <n v="0"/>
    <n v="0"/>
    <n v="0"/>
    <n v="0"/>
    <n v="2"/>
    <n v="12.49"/>
    <n v="0.59"/>
    <n v="11.9"/>
    <n v="1"/>
  </r>
  <r>
    <s v="2021-06-04"/>
    <s v="Vancouver"/>
    <s v="加拿大二店"/>
    <x v="1"/>
    <x v="1"/>
    <x v="1"/>
    <x v="1"/>
    <x v="1"/>
    <s v="整份"/>
    <n v="16.95"/>
    <s v="份"/>
    <n v="18"/>
    <n v="305.1"/>
    <n v="0"/>
    <n v="0"/>
    <n v="0"/>
    <n v="0"/>
    <n v="3"/>
    <n v="50.85"/>
    <n v="0"/>
    <n v="0"/>
    <n v="11.2"/>
    <n v="0"/>
    <n v="15"/>
    <n v="255.2"/>
    <n v="12.15"/>
    <n v="243.05"/>
    <n v="1"/>
  </r>
  <r>
    <s v="2021-06-04"/>
    <s v="Vancouver"/>
    <s v="加拿大二店"/>
    <x v="1"/>
    <x v="1"/>
    <x v="2"/>
    <x v="2"/>
    <x v="2"/>
    <s v="整份"/>
    <n v="25.95"/>
    <s v="份"/>
    <n v="17"/>
    <n v="441.15"/>
    <n v="0"/>
    <n v="0"/>
    <n v="0"/>
    <n v="0"/>
    <n v="1"/>
    <n v="25.95"/>
    <n v="0"/>
    <n v="0"/>
    <n v="10.38"/>
    <n v="0"/>
    <n v="16"/>
    <n v="425.06"/>
    <n v="20.24"/>
    <n v="404.82"/>
    <n v="1"/>
  </r>
  <r>
    <s v="2021-06-04"/>
    <s v="Vancouver"/>
    <s v="加拿大二店"/>
    <x v="2"/>
    <x v="2"/>
    <x v="4"/>
    <x v="4"/>
    <x v="4"/>
    <s v="壶"/>
    <n v="22.95"/>
    <s v="壶"/>
    <n v="3"/>
    <n v="68.85"/>
    <n v="0"/>
    <n v="0"/>
    <n v="0"/>
    <n v="0"/>
    <n v="0"/>
    <n v="0"/>
    <n v="0"/>
    <n v="-0.01"/>
    <n v="0"/>
    <n v="0"/>
    <n v="3"/>
    <n v="79.18"/>
    <n v="10.32"/>
    <n v="68.86"/>
    <n v="1"/>
  </r>
  <r>
    <s v="2021-06-04"/>
    <s v="Vancouver"/>
    <s v="加拿大二店"/>
    <x v="1"/>
    <x v="3"/>
    <x v="6"/>
    <x v="6"/>
    <x v="6"/>
    <s v="整份"/>
    <n v="7.95"/>
    <s v="份"/>
    <n v="8"/>
    <n v="63.6"/>
    <n v="0"/>
    <n v="0"/>
    <n v="0"/>
    <n v="0"/>
    <n v="0"/>
    <n v="0"/>
    <n v="0"/>
    <n v="0"/>
    <n v="0"/>
    <n v="0"/>
    <n v="8"/>
    <n v="66.78"/>
    <n v="3.18"/>
    <n v="63.6"/>
    <n v="1"/>
  </r>
  <r>
    <s v="2021-06-04"/>
    <s v="Vancouver"/>
    <s v="加拿大二店"/>
    <x v="0"/>
    <x v="0"/>
    <x v="124"/>
    <x v="0"/>
    <x v="128"/>
    <s v="套餐"/>
    <n v="59.95"/>
    <s v="套餐"/>
    <n v="5"/>
    <n v="299.75"/>
    <n v="0"/>
    <n v="0"/>
    <n v="0"/>
    <n v="0"/>
    <n v="0"/>
    <n v="0"/>
    <n v="0"/>
    <n v="0.01"/>
    <n v="0"/>
    <n v="0"/>
    <n v="5"/>
    <n v="317.72"/>
    <n v="17.98"/>
    <n v="299.74"/>
    <n v="1"/>
  </r>
  <r>
    <s v="2021-06-04"/>
    <s v="Vancouver"/>
    <s v="加拿大二店"/>
    <x v="2"/>
    <x v="19"/>
    <x v="108"/>
    <x v="102"/>
    <x v="112"/>
    <s v="小瓶"/>
    <n v="15.95"/>
    <s v="小瓶"/>
    <n v="1"/>
    <n v="15.95"/>
    <n v="0"/>
    <n v="0"/>
    <n v="0"/>
    <n v="0"/>
    <n v="0"/>
    <n v="0"/>
    <n v="0"/>
    <n v="0.01"/>
    <n v="0"/>
    <n v="0"/>
    <n v="1"/>
    <n v="18.33"/>
    <n v="2.39"/>
    <n v="15.94"/>
    <n v="1"/>
  </r>
  <r>
    <s v="2021-06-04"/>
    <s v="Vancouver"/>
    <s v="加拿大二店"/>
    <x v="2"/>
    <x v="4"/>
    <x v="7"/>
    <x v="7"/>
    <x v="7"/>
    <s v="冰镇"/>
    <n v="2.45"/>
    <s v="罐"/>
    <n v="7"/>
    <n v="17.15"/>
    <n v="0"/>
    <n v="0"/>
    <n v="0"/>
    <n v="0"/>
    <n v="0"/>
    <n v="0"/>
    <n v="0"/>
    <n v="0"/>
    <n v="0"/>
    <n v="0"/>
    <n v="7"/>
    <n v="19.2"/>
    <n v="2.05"/>
    <n v="17.15"/>
    <n v="1"/>
  </r>
  <r>
    <s v="2021-06-04"/>
    <s v="Vancouver"/>
    <s v="加拿大二店"/>
    <x v="2"/>
    <x v="4"/>
    <x v="110"/>
    <x v="104"/>
    <x v="114"/>
    <s v="小瓶"/>
    <n v="3.95"/>
    <s v="瓶"/>
    <n v="3"/>
    <n v="11.85"/>
    <n v="0"/>
    <n v="0"/>
    <n v="0"/>
    <n v="0"/>
    <n v="0"/>
    <n v="0"/>
    <n v="0"/>
    <n v="0"/>
    <n v="0"/>
    <n v="0"/>
    <n v="3"/>
    <n v="13.27"/>
    <n v="1.42"/>
    <n v="11.85"/>
    <n v="1"/>
  </r>
  <r>
    <s v="2021-06-04"/>
    <s v="Vancouver"/>
    <s v="加拿大二店"/>
    <x v="3"/>
    <x v="5"/>
    <x v="8"/>
    <x v="8"/>
    <x v="8"/>
    <s v="整份"/>
    <n v="3.95"/>
    <s v="份"/>
    <n v="15"/>
    <n v="59.25"/>
    <n v="1"/>
    <n v="3.95"/>
    <n v="0"/>
    <n v="0"/>
    <n v="0"/>
    <n v="0"/>
    <n v="0"/>
    <n v="0"/>
    <n v="2.37"/>
    <n v="0"/>
    <n v="14"/>
    <n v="55.57"/>
    <n v="2.64"/>
    <n v="52.93"/>
    <n v="1"/>
  </r>
  <r>
    <s v="2021-06-04"/>
    <s v="Vancouver"/>
    <s v="加拿大二店"/>
    <x v="2"/>
    <x v="4"/>
    <x v="9"/>
    <x v="9"/>
    <x v="9"/>
    <s v="冰镇"/>
    <n v="2.95"/>
    <s v="位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04"/>
    <s v="Vancouver"/>
    <s v="加拿大二店"/>
    <x v="2"/>
    <x v="4"/>
    <x v="10"/>
    <x v="10"/>
    <x v="10"/>
    <s v="半份"/>
    <n v="6.95"/>
    <s v="扎"/>
    <n v="4"/>
    <n v="27.8"/>
    <n v="0"/>
    <n v="0"/>
    <n v="0"/>
    <n v="0"/>
    <n v="0"/>
    <n v="0"/>
    <n v="0"/>
    <n v="0"/>
    <n v="0"/>
    <n v="0"/>
    <n v="4"/>
    <n v="31.13"/>
    <n v="3.33"/>
    <n v="27.8"/>
    <n v="0.5"/>
  </r>
  <r>
    <s v="2021-06-04"/>
    <s v="Vancouver"/>
    <s v="加拿大二店"/>
    <x v="2"/>
    <x v="4"/>
    <x v="10"/>
    <x v="11"/>
    <x v="11"/>
    <s v="整份"/>
    <n v="9.95"/>
    <s v="扎"/>
    <n v="6"/>
    <n v="59.7"/>
    <n v="0"/>
    <n v="0"/>
    <n v="0"/>
    <n v="0"/>
    <n v="1"/>
    <n v="9.95"/>
    <n v="0"/>
    <n v="0"/>
    <n v="0"/>
    <n v="0"/>
    <n v="5"/>
    <n v="55.72"/>
    <n v="5.97"/>
    <n v="49.75"/>
    <n v="1"/>
  </r>
  <r>
    <s v="2021-06-04"/>
    <s v="Vancouver"/>
    <s v="加拿大二店"/>
    <x v="1"/>
    <x v="6"/>
    <x v="11"/>
    <x v="12"/>
    <x v="12"/>
    <s v="整份"/>
    <n v="8.95"/>
    <s v="份"/>
    <n v="4"/>
    <n v="35.8"/>
    <n v="0"/>
    <n v="0"/>
    <n v="0"/>
    <n v="0"/>
    <n v="0"/>
    <n v="0"/>
    <n v="0"/>
    <n v="0"/>
    <n v="2.68"/>
    <n v="0"/>
    <n v="4"/>
    <n v="34.77"/>
    <n v="1.65"/>
    <n v="33.12"/>
    <n v="1"/>
  </r>
  <r>
    <s v="2021-06-04"/>
    <s v="Vancouver"/>
    <s v="加拿大二店"/>
    <x v="1"/>
    <x v="6"/>
    <x v="12"/>
    <x v="13"/>
    <x v="13"/>
    <s v="整份"/>
    <n v="16.95"/>
    <s v="份"/>
    <n v="4"/>
    <n v="67.8"/>
    <n v="0"/>
    <n v="0"/>
    <n v="0"/>
    <n v="0"/>
    <n v="0"/>
    <n v="0"/>
    <n v="0"/>
    <n v="0"/>
    <n v="13.55"/>
    <n v="0"/>
    <n v="4"/>
    <n v="56.96"/>
    <n v="2.71"/>
    <n v="54.25"/>
    <n v="1"/>
  </r>
  <r>
    <s v="2021-06-04"/>
    <s v="Vancouver"/>
    <s v="加拿大二店"/>
    <x v="1"/>
    <x v="6"/>
    <x v="13"/>
    <x v="14"/>
    <x v="14"/>
    <s v="整份"/>
    <n v="21.95"/>
    <s v="份"/>
    <n v="3"/>
    <n v="65.85"/>
    <n v="0"/>
    <n v="0"/>
    <n v="0"/>
    <n v="0"/>
    <n v="0"/>
    <n v="0"/>
    <n v="0"/>
    <n v="0"/>
    <n v="4.39"/>
    <n v="0"/>
    <n v="3"/>
    <n v="64.53"/>
    <n v="3.07"/>
    <n v="61.46"/>
    <n v="1"/>
  </r>
  <r>
    <s v="2021-06-04"/>
    <s v="Vancouver"/>
    <s v="加拿大二店"/>
    <x v="1"/>
    <x v="6"/>
    <x v="14"/>
    <x v="15"/>
    <x v="15"/>
    <s v="整份"/>
    <n v="29.95"/>
    <s v="份"/>
    <n v="2"/>
    <n v="59.9"/>
    <n v="0"/>
    <n v="0"/>
    <n v="0"/>
    <n v="0"/>
    <n v="1"/>
    <n v="29.95"/>
    <n v="0"/>
    <n v="0"/>
    <n v="8.98"/>
    <n v="0"/>
    <n v="1"/>
    <n v="22.01"/>
    <n v="1.04"/>
    <n v="20.97"/>
    <n v="1"/>
  </r>
  <r>
    <s v="2021-06-04"/>
    <s v="Vancouver"/>
    <s v="加拿大二店"/>
    <x v="1"/>
    <x v="6"/>
    <x v="121"/>
    <x v="115"/>
    <x v="125"/>
    <s v="整份"/>
    <n v="12.95"/>
    <s v="份"/>
    <n v="3"/>
    <n v="38.85"/>
    <n v="0"/>
    <n v="0"/>
    <n v="0"/>
    <n v="0"/>
    <n v="0"/>
    <n v="0"/>
    <n v="0"/>
    <n v="0"/>
    <n v="3.88"/>
    <n v="0"/>
    <n v="3"/>
    <n v="36.71"/>
    <n v="1.74"/>
    <n v="34.97"/>
    <n v="1"/>
  </r>
  <r>
    <s v="2021-06-04"/>
    <s v="Vancouver"/>
    <s v="加拿大二店"/>
    <x v="1"/>
    <x v="6"/>
    <x v="15"/>
    <x v="16"/>
    <x v="16"/>
    <s v="整份"/>
    <n v="8.95"/>
    <s v="份"/>
    <n v="8"/>
    <n v="71.6"/>
    <n v="0"/>
    <n v="0"/>
    <n v="0"/>
    <n v="0"/>
    <n v="0"/>
    <n v="0"/>
    <n v="0"/>
    <n v="0"/>
    <n v="4.47"/>
    <n v="0"/>
    <n v="8"/>
    <n v="70.48"/>
    <n v="3.35"/>
    <n v="67.13"/>
    <n v="1"/>
  </r>
  <r>
    <s v="2021-06-04"/>
    <s v="Vancouver"/>
    <s v="加拿大二店"/>
    <x v="1"/>
    <x v="6"/>
    <x v="111"/>
    <x v="105"/>
    <x v="115"/>
    <s v="整份"/>
    <n v="8.95"/>
    <s v="份"/>
    <n v="1"/>
    <n v="8.95"/>
    <n v="0"/>
    <n v="0"/>
    <n v="0"/>
    <n v="0"/>
    <n v="0"/>
    <n v="0"/>
    <n v="0"/>
    <n v="0"/>
    <n v="0"/>
    <n v="0"/>
    <n v="1"/>
    <n v="9.39"/>
    <n v="0.44"/>
    <n v="8.95"/>
    <n v="1"/>
  </r>
  <r>
    <s v="2021-06-04"/>
    <s v="Vancouver"/>
    <s v="加拿大二店"/>
    <x v="3"/>
    <x v="7"/>
    <x v="16"/>
    <x v="17"/>
    <x v="17"/>
    <s v="整份"/>
    <n v="4.95"/>
    <s v="份"/>
    <n v="16"/>
    <n v="79.2"/>
    <n v="0"/>
    <n v="0"/>
    <n v="0"/>
    <n v="0"/>
    <n v="0"/>
    <n v="0"/>
    <n v="0"/>
    <n v="0"/>
    <n v="5.44"/>
    <n v="0"/>
    <n v="16"/>
    <n v="77.44"/>
    <n v="3.68"/>
    <n v="73.76"/>
    <n v="1"/>
  </r>
  <r>
    <s v="2021-06-04"/>
    <s v="Vancouver"/>
    <s v="加拿大二店"/>
    <x v="2"/>
    <x v="4"/>
    <x v="17"/>
    <x v="18"/>
    <x v="18"/>
    <s v="常温"/>
    <n v="2.95"/>
    <s v="瓶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04"/>
    <s v="Vancouver"/>
    <s v="加拿大二店"/>
    <x v="2"/>
    <x v="4"/>
    <x v="17"/>
    <x v="18"/>
    <x v="18"/>
    <s v="冰镇"/>
    <n v="2.95"/>
    <s v="瓶"/>
    <n v="4"/>
    <n v="11.8"/>
    <n v="0"/>
    <n v="0"/>
    <n v="0"/>
    <n v="0"/>
    <n v="0"/>
    <n v="0"/>
    <n v="0"/>
    <n v="0"/>
    <n v="1.06"/>
    <n v="0"/>
    <n v="4"/>
    <n v="12.02"/>
    <n v="1.28"/>
    <n v="10.74"/>
    <n v="1"/>
  </r>
  <r>
    <s v="2021-06-04"/>
    <s v="Vancouver"/>
    <s v="加拿大二店"/>
    <x v="2"/>
    <x v="4"/>
    <x v="18"/>
    <x v="19"/>
    <x v="19"/>
    <s v="冰镇"/>
    <n v="2.95"/>
    <s v="听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04"/>
    <s v="Vancouver"/>
    <s v="加拿大二店"/>
    <x v="1"/>
    <x v="8"/>
    <x v="19"/>
    <x v="20"/>
    <x v="20"/>
    <s v="整份"/>
    <n v="5.95"/>
    <s v="份"/>
    <n v="13"/>
    <n v="77.35"/>
    <n v="0"/>
    <n v="0"/>
    <n v="0"/>
    <n v="0"/>
    <n v="0"/>
    <n v="0"/>
    <n v="0"/>
    <n v="0"/>
    <n v="2.38"/>
    <n v="0"/>
    <n v="13"/>
    <n v="78.71"/>
    <n v="3.74"/>
    <n v="74.97"/>
    <n v="1"/>
  </r>
  <r>
    <s v="2021-06-04"/>
    <s v="Vancouver"/>
    <s v="加拿大二店"/>
    <x v="1"/>
    <x v="8"/>
    <x v="20"/>
    <x v="21"/>
    <x v="21"/>
    <s v="整份"/>
    <n v="7.95"/>
    <s v="份"/>
    <n v="3"/>
    <n v="23.85"/>
    <n v="0"/>
    <n v="0"/>
    <n v="0"/>
    <n v="0"/>
    <n v="0"/>
    <n v="0"/>
    <n v="0"/>
    <n v="0"/>
    <n v="0"/>
    <n v="0"/>
    <n v="3"/>
    <n v="25.04"/>
    <n v="1.19"/>
    <n v="23.85"/>
    <n v="1"/>
  </r>
  <r>
    <s v="2021-06-04"/>
    <s v="Vancouver"/>
    <s v="加拿大二店"/>
    <x v="2"/>
    <x v="4"/>
    <x v="21"/>
    <x v="22"/>
    <x v="22"/>
    <s v="常温"/>
    <n v="2.45"/>
    <s v="听"/>
    <n v="2"/>
    <n v="4.9"/>
    <n v="0"/>
    <n v="0"/>
    <n v="0"/>
    <n v="0"/>
    <n v="0"/>
    <n v="0"/>
    <n v="0"/>
    <n v="0"/>
    <n v="0"/>
    <n v="0"/>
    <n v="2"/>
    <n v="5.48"/>
    <n v="0.58"/>
    <n v="4.9"/>
    <n v="1"/>
  </r>
  <r>
    <s v="2021-06-04"/>
    <s v="Vancouver"/>
    <s v="加拿大二店"/>
    <x v="2"/>
    <x v="4"/>
    <x v="21"/>
    <x v="22"/>
    <x v="22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04"/>
    <s v="Vancouver"/>
    <s v="加拿大二店"/>
    <x v="4"/>
    <x v="9"/>
    <x v="22"/>
    <x v="0"/>
    <x v="23"/>
    <s v="拼锅"/>
    <n v="11.95"/>
    <s v="锅"/>
    <n v="4"/>
    <n v="47.8"/>
    <n v="0"/>
    <n v="0"/>
    <n v="0"/>
    <n v="0"/>
    <n v="0"/>
    <n v="0"/>
    <n v="0"/>
    <n v="0"/>
    <n v="0"/>
    <n v="0"/>
    <n v="4"/>
    <n v="50.66"/>
    <n v="2.86"/>
    <n v="47.8"/>
    <n v="2"/>
  </r>
  <r>
    <s v="2021-06-04"/>
    <s v="Vancouver"/>
    <s v="加拿大二店"/>
    <x v="4"/>
    <x v="10"/>
    <x v="22"/>
    <x v="0"/>
    <x v="23"/>
    <s v="四宫格"/>
    <n v="5.95"/>
    <s v="锅"/>
    <n v="8"/>
    <n v="47.6"/>
    <n v="0"/>
    <n v="0"/>
    <n v="0"/>
    <n v="0"/>
    <n v="0"/>
    <n v="0"/>
    <n v="0"/>
    <n v="-0.02"/>
    <n v="0"/>
    <n v="0"/>
    <n v="8"/>
    <n v="50.47"/>
    <n v="2.85"/>
    <n v="47.62"/>
    <n v="1"/>
  </r>
  <r>
    <s v="2021-06-04"/>
    <s v="Vancouver"/>
    <s v="加拿大二店"/>
    <x v="3"/>
    <x v="7"/>
    <x v="23"/>
    <x v="23"/>
    <x v="24"/>
    <s v="整份"/>
    <n v="4.95"/>
    <s v="份"/>
    <n v="16"/>
    <n v="79.2"/>
    <n v="0"/>
    <n v="0"/>
    <n v="0"/>
    <n v="0"/>
    <n v="0"/>
    <n v="0"/>
    <n v="0"/>
    <n v="0.02"/>
    <n v="6.55"/>
    <n v="0"/>
    <n v="16"/>
    <n v="76.26"/>
    <n v="3.63"/>
    <n v="72.63"/>
    <n v="1"/>
  </r>
  <r>
    <s v="2021-06-04"/>
    <s v="Vancouver"/>
    <s v="加拿大二店"/>
    <x v="3"/>
    <x v="11"/>
    <x v="24"/>
    <x v="118"/>
    <x v="129"/>
    <s v="整份"/>
    <n v="5.95"/>
    <s v="份"/>
    <n v="2"/>
    <n v="11.9"/>
    <n v="0"/>
    <n v="0"/>
    <n v="0"/>
    <n v="0"/>
    <n v="0"/>
    <n v="0"/>
    <n v="0"/>
    <n v="0"/>
    <n v="0"/>
    <n v="0"/>
    <n v="2"/>
    <n v="12.49"/>
    <n v="0.59"/>
    <n v="11.9"/>
    <n v="1"/>
  </r>
  <r>
    <s v="2021-06-04"/>
    <s v="Vancouver"/>
    <s v="加拿大二店"/>
    <x v="3"/>
    <x v="11"/>
    <x v="24"/>
    <x v="24"/>
    <x v="25"/>
    <s v="半份"/>
    <n v="2.95"/>
    <s v="份"/>
    <n v="5"/>
    <n v="14.75"/>
    <n v="0"/>
    <n v="0"/>
    <n v="0"/>
    <n v="0"/>
    <n v="0"/>
    <n v="0"/>
    <n v="0"/>
    <n v="0"/>
    <n v="0"/>
    <n v="0"/>
    <n v="5"/>
    <n v="15.48"/>
    <n v="0.73"/>
    <n v="14.75"/>
    <n v="0.5"/>
  </r>
  <r>
    <s v="2021-06-04"/>
    <s v="Vancouver"/>
    <s v="加拿大二店"/>
    <x v="3"/>
    <x v="5"/>
    <x v="25"/>
    <x v="25"/>
    <x v="26"/>
    <s v="整份"/>
    <n v="3.95"/>
    <s v="份"/>
    <n v="8"/>
    <n v="31.6"/>
    <n v="0"/>
    <n v="0"/>
    <n v="0"/>
    <n v="0"/>
    <n v="0"/>
    <n v="0"/>
    <n v="0"/>
    <n v="0"/>
    <n v="0.79"/>
    <n v="0"/>
    <n v="8"/>
    <n v="32.35"/>
    <n v="1.54"/>
    <n v="30.81"/>
    <n v="1"/>
  </r>
  <r>
    <s v="2021-06-04"/>
    <s v="Vancouver"/>
    <s v="加拿大二店"/>
    <x v="3"/>
    <x v="11"/>
    <x v="26"/>
    <x v="26"/>
    <x v="27"/>
    <s v="整份"/>
    <n v="4.95"/>
    <s v="份"/>
    <n v="7"/>
    <n v="34.65"/>
    <n v="0"/>
    <n v="0"/>
    <n v="0"/>
    <n v="0"/>
    <n v="0"/>
    <n v="0"/>
    <n v="0"/>
    <n v="0"/>
    <n v="1.61"/>
    <n v="0"/>
    <n v="7"/>
    <n v="34.69"/>
    <n v="1.65"/>
    <n v="33.04"/>
    <n v="1"/>
  </r>
  <r>
    <s v="2021-06-04"/>
    <s v="Vancouver"/>
    <s v="加拿大二店"/>
    <x v="3"/>
    <x v="11"/>
    <x v="26"/>
    <x v="27"/>
    <x v="28"/>
    <s v="半份"/>
    <n v="2.45"/>
    <s v="份"/>
    <n v="14"/>
    <n v="34.3"/>
    <n v="0"/>
    <n v="0"/>
    <n v="0"/>
    <n v="0"/>
    <n v="0"/>
    <n v="0"/>
    <n v="0"/>
    <n v="0"/>
    <n v="1.27"/>
    <n v="0"/>
    <n v="14"/>
    <n v="34.68"/>
    <n v="1.65"/>
    <n v="33.03"/>
    <n v="0.5"/>
  </r>
  <r>
    <s v="2021-06-04"/>
    <s v="Vancouver"/>
    <s v="加拿大二店"/>
    <x v="5"/>
    <x v="12"/>
    <x v="27"/>
    <x v="28"/>
    <x v="29"/>
    <s v="整份"/>
    <n v="7.95"/>
    <s v="份"/>
    <n v="4"/>
    <n v="31.8"/>
    <n v="0"/>
    <n v="0"/>
    <n v="0"/>
    <n v="0"/>
    <n v="1"/>
    <n v="7.95"/>
    <n v="0"/>
    <n v="0"/>
    <n v="1.59"/>
    <n v="0"/>
    <n v="3"/>
    <n v="23.37"/>
    <n v="1.11"/>
    <n v="22.26"/>
    <n v="1"/>
  </r>
  <r>
    <s v="2021-06-04"/>
    <s v="Vancouver"/>
    <s v="加拿大二店"/>
    <x v="3"/>
    <x v="7"/>
    <x v="28"/>
    <x v="29"/>
    <x v="30"/>
    <s v="整份"/>
    <n v="4.95"/>
    <s v="份"/>
    <n v="29"/>
    <n v="143.55"/>
    <n v="0"/>
    <n v="0"/>
    <n v="0"/>
    <n v="0"/>
    <n v="1"/>
    <n v="4.95"/>
    <n v="0"/>
    <n v="0"/>
    <n v="4.75"/>
    <n v="0"/>
    <n v="28"/>
    <n v="140.54"/>
    <n v="6.69"/>
    <n v="133.85"/>
    <n v="1"/>
  </r>
  <r>
    <s v="2021-06-04"/>
    <s v="Vancouver"/>
    <s v="加拿大二店"/>
    <x v="2"/>
    <x v="4"/>
    <x v="112"/>
    <x v="106"/>
    <x v="116"/>
    <s v="常温"/>
    <n v="3.95"/>
    <s v="瓶"/>
    <n v="5"/>
    <n v="19.75"/>
    <n v="0"/>
    <n v="0"/>
    <n v="0"/>
    <n v="0"/>
    <n v="0"/>
    <n v="0"/>
    <n v="0"/>
    <n v="0"/>
    <n v="0"/>
    <n v="0"/>
    <n v="5"/>
    <n v="22.12"/>
    <n v="2.37"/>
    <n v="19.75"/>
    <n v="1"/>
  </r>
  <r>
    <s v="2021-06-04"/>
    <s v="Vancouver"/>
    <s v="加拿大二店"/>
    <x v="2"/>
    <x v="4"/>
    <x v="112"/>
    <x v="106"/>
    <x v="116"/>
    <s v="冰镇"/>
    <n v="3.95"/>
    <s v="瓶"/>
    <n v="2"/>
    <n v="7.9"/>
    <n v="0"/>
    <n v="0"/>
    <n v="0"/>
    <n v="0"/>
    <n v="0"/>
    <n v="0"/>
    <n v="0"/>
    <n v="0"/>
    <n v="0"/>
    <n v="0"/>
    <n v="2"/>
    <n v="8.84"/>
    <n v="0.94"/>
    <n v="7.9"/>
    <n v="1"/>
  </r>
  <r>
    <s v="2021-06-04"/>
    <s v="Vancouver"/>
    <s v="加拿大二店"/>
    <x v="3"/>
    <x v="5"/>
    <x v="29"/>
    <x v="30"/>
    <x v="31"/>
    <s v="整份"/>
    <n v="3.95"/>
    <s v="份"/>
    <n v="9"/>
    <n v="35.55"/>
    <n v="0"/>
    <n v="0"/>
    <n v="0"/>
    <n v="0"/>
    <n v="0"/>
    <n v="0"/>
    <n v="0"/>
    <n v="0"/>
    <n v="2"/>
    <n v="0"/>
    <n v="9"/>
    <n v="35.22"/>
    <n v="1.67"/>
    <n v="33.55"/>
    <n v="1"/>
  </r>
  <r>
    <s v="2021-06-04"/>
    <s v="Vancouver"/>
    <s v="加拿大二店"/>
    <x v="6"/>
    <x v="13"/>
    <x v="30"/>
    <x v="31"/>
    <x v="32"/>
    <s v="整份"/>
    <n v="4.95"/>
    <s v="份"/>
    <n v="13"/>
    <n v="64.35"/>
    <n v="0"/>
    <n v="0"/>
    <n v="0"/>
    <n v="0"/>
    <n v="3"/>
    <n v="14.85"/>
    <n v="0"/>
    <n v="0"/>
    <n v="0.99"/>
    <n v="0"/>
    <n v="10"/>
    <n v="50.93"/>
    <n v="2.42"/>
    <n v="48.51"/>
    <n v="1"/>
  </r>
  <r>
    <s v="2021-06-04"/>
    <s v="Vancouver"/>
    <s v="加拿大二店"/>
    <x v="6"/>
    <x v="13"/>
    <x v="31"/>
    <x v="32"/>
    <x v="33"/>
    <s v="整份"/>
    <n v="9.95"/>
    <s v="份"/>
    <n v="1"/>
    <n v="9.95"/>
    <n v="0"/>
    <n v="0"/>
    <n v="0"/>
    <n v="0"/>
    <n v="0"/>
    <n v="0"/>
    <n v="0"/>
    <n v="0"/>
    <n v="0"/>
    <n v="0"/>
    <n v="1"/>
    <n v="10.44"/>
    <n v="0.49"/>
    <n v="9.95"/>
    <n v="1"/>
  </r>
  <r>
    <s v="2021-06-04"/>
    <s v="Vancouver"/>
    <s v="加拿大二店"/>
    <x v="5"/>
    <x v="12"/>
    <x v="32"/>
    <x v="33"/>
    <x v="34"/>
    <s v="整份"/>
    <n v="17.85"/>
    <s v="份"/>
    <n v="2"/>
    <n v="35.7"/>
    <n v="0"/>
    <n v="0"/>
    <n v="0"/>
    <n v="0"/>
    <n v="0"/>
    <n v="0"/>
    <n v="0"/>
    <n v="0"/>
    <n v="7.14"/>
    <n v="0"/>
    <n v="2"/>
    <n v="29.98"/>
    <n v="1.42"/>
    <n v="28.56"/>
    <n v="1"/>
  </r>
  <r>
    <s v="2021-06-04"/>
    <s v="Vancouver"/>
    <s v="加拿大二店"/>
    <x v="1"/>
    <x v="3"/>
    <x v="33"/>
    <x v="34"/>
    <x v="35"/>
    <s v="整份"/>
    <n v="11.95"/>
    <s v="份"/>
    <n v="38"/>
    <n v="454.1"/>
    <n v="0"/>
    <n v="0"/>
    <n v="0"/>
    <n v="0"/>
    <n v="1"/>
    <n v="11.95"/>
    <n v="0"/>
    <n v="-0.01"/>
    <n v="28.5"/>
    <n v="0"/>
    <n v="37"/>
    <n v="434.34"/>
    <n v="20.68"/>
    <n v="413.66"/>
    <n v="1"/>
  </r>
  <r>
    <s v="2021-06-04"/>
    <s v="Vancouver"/>
    <s v="加拿大二店"/>
    <x v="5"/>
    <x v="12"/>
    <x v="34"/>
    <x v="35"/>
    <x v="36"/>
    <s v="整份"/>
    <n v="11.95"/>
    <s v="份"/>
    <n v="11"/>
    <n v="131.45"/>
    <n v="0"/>
    <n v="0"/>
    <n v="0"/>
    <n v="0"/>
    <n v="0"/>
    <n v="0"/>
    <n v="0"/>
    <n v="0"/>
    <n v="11.95"/>
    <n v="0"/>
    <n v="11"/>
    <n v="125.47"/>
    <n v="5.97"/>
    <n v="119.5"/>
    <n v="1"/>
  </r>
  <r>
    <s v="2021-06-04"/>
    <s v="Vancouver"/>
    <s v="加拿大二店"/>
    <x v="5"/>
    <x v="12"/>
    <x v="35"/>
    <x v="36"/>
    <x v="37"/>
    <s v="条"/>
    <n v="4.95"/>
    <s v="条"/>
    <n v="14"/>
    <n v="69.3"/>
    <n v="0"/>
    <n v="0"/>
    <n v="0"/>
    <n v="0"/>
    <n v="0"/>
    <n v="0"/>
    <n v="0"/>
    <n v="0"/>
    <n v="0"/>
    <n v="0"/>
    <n v="14"/>
    <n v="72.76"/>
    <n v="3.46"/>
    <n v="69.3"/>
    <n v="1"/>
  </r>
  <r>
    <s v="2021-06-04"/>
    <s v="Vancouver"/>
    <s v="加拿大二店"/>
    <x v="5"/>
    <x v="12"/>
    <x v="36"/>
    <x v="37"/>
    <x v="38"/>
    <s v="整份"/>
    <n v="13.95"/>
    <s v="份"/>
    <n v="25"/>
    <n v="348.75"/>
    <n v="1"/>
    <n v="13.95"/>
    <n v="0"/>
    <n v="0"/>
    <n v="0"/>
    <n v="0"/>
    <n v="0"/>
    <n v="0"/>
    <n v="23.15"/>
    <n v="0"/>
    <n v="24"/>
    <n v="327.23"/>
    <n v="15.58"/>
    <n v="311.65"/>
    <n v="1"/>
  </r>
  <r>
    <s v="2021-06-04"/>
    <s v="Vancouver"/>
    <s v="加拿大二店"/>
    <x v="5"/>
    <x v="12"/>
    <x v="37"/>
    <x v="38"/>
    <x v="39"/>
    <s v="整份"/>
    <n v="9.95"/>
    <s v="份"/>
    <n v="22"/>
    <n v="218.9"/>
    <n v="0"/>
    <n v="0"/>
    <n v="0"/>
    <n v="0"/>
    <n v="1"/>
    <n v="9.95"/>
    <n v="0"/>
    <n v="0"/>
    <n v="8.67"/>
    <n v="0"/>
    <n v="21"/>
    <n v="210.29"/>
    <n v="10.01"/>
    <n v="200.28"/>
    <n v="1"/>
  </r>
  <r>
    <s v="2021-06-04"/>
    <s v="Vancouver"/>
    <s v="加拿大二店"/>
    <x v="5"/>
    <x v="12"/>
    <x v="38"/>
    <x v="39"/>
    <x v="40"/>
    <s v="整份"/>
    <n v="9.95"/>
    <s v="份"/>
    <n v="13"/>
    <n v="129.35"/>
    <n v="0"/>
    <n v="0"/>
    <n v="0"/>
    <n v="0"/>
    <n v="3"/>
    <n v="29.85"/>
    <n v="0"/>
    <n v="-0.03"/>
    <n v="7.67"/>
    <n v="0"/>
    <n v="10"/>
    <n v="96.45"/>
    <n v="4.59"/>
    <n v="91.86"/>
    <n v="1"/>
  </r>
  <r>
    <s v="2021-06-04"/>
    <s v="Vancouver"/>
    <s v="加拿大二店"/>
    <x v="6"/>
    <x v="13"/>
    <x v="39"/>
    <x v="40"/>
    <x v="41"/>
    <s v="整份"/>
    <n v="8.95"/>
    <s v="份"/>
    <n v="20"/>
    <n v="179"/>
    <n v="0"/>
    <n v="0"/>
    <n v="0"/>
    <n v="0"/>
    <n v="2"/>
    <n v="17.9"/>
    <n v="0"/>
    <n v="0"/>
    <n v="5.37"/>
    <n v="0"/>
    <n v="18"/>
    <n v="163.51"/>
    <n v="7.78"/>
    <n v="155.73"/>
    <n v="1"/>
  </r>
  <r>
    <s v="2021-06-04"/>
    <s v="Vancouver"/>
    <s v="加拿大二店"/>
    <x v="5"/>
    <x v="12"/>
    <x v="40"/>
    <x v="41"/>
    <x v="42"/>
    <s v="整份"/>
    <n v="9.95"/>
    <s v="份"/>
    <n v="5"/>
    <n v="49.75"/>
    <n v="0"/>
    <n v="0"/>
    <n v="0"/>
    <n v="0"/>
    <n v="0"/>
    <n v="0"/>
    <n v="0"/>
    <n v="0"/>
    <n v="1.99"/>
    <n v="0"/>
    <n v="5"/>
    <n v="50.14"/>
    <n v="2.38"/>
    <n v="47.76"/>
    <n v="1"/>
  </r>
  <r>
    <s v="2021-06-04"/>
    <s v="Vancouver"/>
    <s v="加拿大二店"/>
    <x v="5"/>
    <x v="12"/>
    <x v="41"/>
    <x v="42"/>
    <x v="43"/>
    <s v="整份"/>
    <n v="7.95"/>
    <s v="份"/>
    <n v="15"/>
    <n v="119.25"/>
    <n v="2"/>
    <n v="15.9"/>
    <n v="0"/>
    <n v="0"/>
    <n v="2"/>
    <n v="15.9"/>
    <n v="0"/>
    <n v="0"/>
    <n v="2.54"/>
    <n v="0"/>
    <n v="11"/>
    <n v="89.15"/>
    <n v="4.24"/>
    <n v="84.91"/>
    <n v="1"/>
  </r>
  <r>
    <s v="2021-06-04"/>
    <s v="Vancouver"/>
    <s v="加拿大二店"/>
    <x v="2"/>
    <x v="2"/>
    <x v="42"/>
    <x v="43"/>
    <x v="44"/>
    <s v="常温"/>
    <n v="5.95"/>
    <s v="瓶"/>
    <n v="1"/>
    <n v="5.95"/>
    <n v="0"/>
    <n v="0"/>
    <n v="0"/>
    <n v="0"/>
    <n v="0"/>
    <n v="0"/>
    <n v="0"/>
    <n v="0"/>
    <n v="0"/>
    <n v="0"/>
    <n v="1"/>
    <n v="6.84"/>
    <n v="0.89"/>
    <n v="5.95"/>
    <n v="1"/>
  </r>
  <r>
    <s v="2021-06-04"/>
    <s v="Vancouver"/>
    <s v="加拿大二店"/>
    <x v="2"/>
    <x v="2"/>
    <x v="42"/>
    <x v="43"/>
    <x v="44"/>
    <s v="冰镇"/>
    <n v="5.95"/>
    <s v="瓶"/>
    <n v="2"/>
    <n v="11.9"/>
    <n v="0"/>
    <n v="0"/>
    <n v="0"/>
    <n v="0"/>
    <n v="0"/>
    <n v="0"/>
    <n v="0"/>
    <n v="0"/>
    <n v="0"/>
    <n v="0"/>
    <n v="2"/>
    <n v="13.68"/>
    <n v="1.78"/>
    <n v="11.9"/>
    <n v="1"/>
  </r>
  <r>
    <s v="2021-06-04"/>
    <s v="Vancouver"/>
    <s v="加拿大二店"/>
    <x v="3"/>
    <x v="5"/>
    <x v="43"/>
    <x v="44"/>
    <x v="45"/>
    <s v="整份"/>
    <n v="3.95"/>
    <s v="份"/>
    <n v="8"/>
    <n v="31.6"/>
    <n v="0"/>
    <n v="0"/>
    <n v="0"/>
    <n v="0"/>
    <n v="0"/>
    <n v="0"/>
    <n v="0"/>
    <n v="0"/>
    <n v="0"/>
    <n v="0"/>
    <n v="8"/>
    <n v="33.18"/>
    <n v="1.58"/>
    <n v="31.6"/>
    <n v="1"/>
  </r>
  <r>
    <s v="2021-06-04"/>
    <s v="Vancouver"/>
    <s v="加拿大二店"/>
    <x v="7"/>
    <x v="14"/>
    <x v="44"/>
    <x v="45"/>
    <x v="46"/>
    <s v="整份"/>
    <n v="0"/>
    <s v="份"/>
    <n v="12"/>
    <n v="0"/>
    <n v="0"/>
    <n v="0"/>
    <n v="0"/>
    <n v="0"/>
    <n v="0"/>
    <n v="0"/>
    <n v="0"/>
    <n v="0"/>
    <n v="0"/>
    <n v="0"/>
    <n v="12"/>
    <n v="0"/>
    <n v="0"/>
    <n v="0"/>
    <n v="1"/>
  </r>
  <r>
    <s v="2021-06-04"/>
    <s v="Vancouver"/>
    <s v="加拿大二店"/>
    <x v="7"/>
    <x v="14"/>
    <x v="45"/>
    <x v="46"/>
    <x v="47"/>
    <s v="整份"/>
    <n v="1.5"/>
    <s v="份"/>
    <n v="2"/>
    <n v="3"/>
    <n v="0"/>
    <n v="0"/>
    <n v="0"/>
    <n v="0"/>
    <n v="0"/>
    <n v="0"/>
    <n v="0"/>
    <n v="0"/>
    <n v="0"/>
    <n v="0"/>
    <n v="2"/>
    <n v="3.15"/>
    <n v="0.15"/>
    <n v="3"/>
    <n v="1"/>
  </r>
  <r>
    <s v="2021-06-04"/>
    <s v="Vancouver"/>
    <s v="加拿大二店"/>
    <x v="7"/>
    <x v="14"/>
    <x v="45"/>
    <x v="46"/>
    <x v="47"/>
    <s v="整份"/>
    <n v="4.97"/>
    <s v="份"/>
    <n v="2"/>
    <n v="9.94"/>
    <n v="0"/>
    <n v="0"/>
    <n v="0"/>
    <n v="0"/>
    <n v="0"/>
    <n v="0"/>
    <n v="0"/>
    <n v="0"/>
    <n v="0"/>
    <n v="0"/>
    <n v="2"/>
    <n v="10.43"/>
    <n v="0.49"/>
    <n v="9.94"/>
    <n v="1"/>
  </r>
  <r>
    <s v="2021-06-04"/>
    <s v="Vancouver"/>
    <s v="加拿大二店"/>
    <x v="7"/>
    <x v="14"/>
    <x v="45"/>
    <x v="46"/>
    <x v="47"/>
    <s v="整份"/>
    <n v="8.48"/>
    <s v="份"/>
    <n v="2"/>
    <n v="16.96"/>
    <n v="0"/>
    <n v="0"/>
    <n v="0"/>
    <n v="0"/>
    <n v="0"/>
    <n v="0"/>
    <n v="0"/>
    <n v="0"/>
    <n v="0"/>
    <n v="0"/>
    <n v="2"/>
    <n v="17.8"/>
    <n v="0.84"/>
    <n v="16.96"/>
    <n v="1"/>
  </r>
  <r>
    <s v="2021-06-04"/>
    <s v="Vancouver"/>
    <s v="加拿大二店"/>
    <x v="7"/>
    <x v="14"/>
    <x v="45"/>
    <x v="46"/>
    <x v="47"/>
    <s v="整份"/>
    <n v="9.99"/>
    <s v="份"/>
    <n v="1"/>
    <n v="9.99"/>
    <n v="0"/>
    <n v="0"/>
    <n v="0"/>
    <n v="0"/>
    <n v="0"/>
    <n v="0"/>
    <n v="0"/>
    <n v="-0.01"/>
    <n v="0"/>
    <n v="0"/>
    <n v="1"/>
    <n v="10.5"/>
    <n v="0.5"/>
    <n v="10"/>
    <n v="1"/>
  </r>
  <r>
    <s v="2021-06-04"/>
    <s v="Vancouver"/>
    <s v="加拿大二店"/>
    <x v="7"/>
    <x v="14"/>
    <x v="45"/>
    <x v="46"/>
    <x v="47"/>
    <s v="整份"/>
    <n v="12.99"/>
    <s v="份"/>
    <n v="3"/>
    <n v="38.97"/>
    <n v="0"/>
    <n v="0"/>
    <n v="0"/>
    <n v="0"/>
    <n v="0"/>
    <n v="0"/>
    <n v="0"/>
    <n v="-0.01"/>
    <n v="7"/>
    <n v="0"/>
    <n v="3"/>
    <n v="33.57"/>
    <n v="1.59"/>
    <n v="31.98"/>
    <n v="1"/>
  </r>
  <r>
    <s v="2021-06-04"/>
    <s v="Vancouver"/>
    <s v="加拿大二店"/>
    <x v="7"/>
    <x v="14"/>
    <x v="45"/>
    <x v="46"/>
    <x v="47"/>
    <s v="整份"/>
    <n v="23.8"/>
    <s v="份"/>
    <n v="2"/>
    <n v="47.6"/>
    <n v="0"/>
    <n v="0"/>
    <n v="0"/>
    <n v="0"/>
    <n v="0"/>
    <n v="0"/>
    <n v="0"/>
    <n v="0"/>
    <n v="6.23"/>
    <n v="0"/>
    <n v="2"/>
    <n v="43.43"/>
    <n v="2.06"/>
    <n v="41.37"/>
    <n v="1"/>
  </r>
  <r>
    <s v="2021-06-04"/>
    <s v="Vancouver"/>
    <s v="加拿大二店"/>
    <x v="7"/>
    <x v="14"/>
    <x v="45"/>
    <x v="46"/>
    <x v="47"/>
    <s v="整份"/>
    <n v="24.98"/>
    <s v="份"/>
    <n v="1"/>
    <n v="24.98"/>
    <n v="0"/>
    <n v="0"/>
    <n v="0"/>
    <n v="0"/>
    <n v="0"/>
    <n v="0"/>
    <n v="0"/>
    <n v="-0.01"/>
    <n v="0"/>
    <n v="0"/>
    <n v="1"/>
    <n v="26.23"/>
    <n v="1.24"/>
    <n v="24.99"/>
    <n v="1"/>
  </r>
  <r>
    <s v="2021-06-04"/>
    <s v="Vancouver"/>
    <s v="加拿大二店"/>
    <x v="7"/>
    <x v="14"/>
    <x v="45"/>
    <x v="46"/>
    <x v="47"/>
    <s v="整份"/>
    <n v="25.98"/>
    <s v="份"/>
    <n v="1"/>
    <n v="25.98"/>
    <n v="0"/>
    <n v="0"/>
    <n v="0"/>
    <n v="0"/>
    <n v="0"/>
    <n v="0"/>
    <n v="0"/>
    <n v="-0.01"/>
    <n v="0"/>
    <n v="0"/>
    <n v="1"/>
    <n v="27.28"/>
    <n v="1.29"/>
    <n v="25.99"/>
    <n v="1"/>
  </r>
  <r>
    <s v="2021-06-04"/>
    <s v="Vancouver"/>
    <s v="加拿大二店"/>
    <x v="7"/>
    <x v="14"/>
    <x v="45"/>
    <x v="46"/>
    <x v="47"/>
    <s v="整份"/>
    <n v="27.75"/>
    <s v="份"/>
    <n v="1"/>
    <n v="27.75"/>
    <n v="0"/>
    <n v="0"/>
    <n v="0"/>
    <n v="0"/>
    <n v="0"/>
    <n v="0"/>
    <n v="0"/>
    <n v="0"/>
    <n v="0"/>
    <n v="0"/>
    <n v="1"/>
    <n v="29.13"/>
    <n v="1.38"/>
    <n v="27.75"/>
    <n v="1"/>
  </r>
  <r>
    <s v="2021-06-04"/>
    <s v="Vancouver"/>
    <s v="加拿大二店"/>
    <x v="7"/>
    <x v="14"/>
    <x v="45"/>
    <x v="46"/>
    <x v="47"/>
    <s v="整份"/>
    <n v="29.7"/>
    <s v="份"/>
    <n v="1"/>
    <n v="29.7"/>
    <n v="0"/>
    <n v="0"/>
    <n v="0"/>
    <n v="0"/>
    <n v="0"/>
    <n v="0"/>
    <n v="0"/>
    <n v="0"/>
    <n v="0"/>
    <n v="0"/>
    <n v="1"/>
    <n v="31.18"/>
    <n v="1.48"/>
    <n v="29.7"/>
    <n v="1"/>
  </r>
  <r>
    <s v="2021-06-04"/>
    <s v="Vancouver"/>
    <s v="加拿大二店"/>
    <x v="7"/>
    <x v="14"/>
    <x v="45"/>
    <x v="46"/>
    <x v="47"/>
    <s v="整份"/>
    <n v="30.24"/>
    <s v="份"/>
    <n v="1"/>
    <n v="30.24"/>
    <n v="0"/>
    <n v="0"/>
    <n v="0"/>
    <n v="0"/>
    <n v="0"/>
    <n v="0"/>
    <n v="0"/>
    <n v="0.02"/>
    <n v="0"/>
    <n v="0"/>
    <n v="1"/>
    <n v="31.73"/>
    <n v="1.51"/>
    <n v="30.22"/>
    <n v="1"/>
  </r>
  <r>
    <s v="2021-06-04"/>
    <s v="Vancouver"/>
    <s v="加拿大二店"/>
    <x v="7"/>
    <x v="14"/>
    <x v="45"/>
    <x v="46"/>
    <x v="47"/>
    <s v="整份"/>
    <n v="38.07"/>
    <s v="份"/>
    <n v="1"/>
    <n v="38.07"/>
    <n v="0"/>
    <n v="0"/>
    <n v="0"/>
    <n v="0"/>
    <n v="0"/>
    <n v="0"/>
    <n v="0"/>
    <n v="0"/>
    <n v="0"/>
    <n v="0"/>
    <n v="1"/>
    <n v="39.97"/>
    <n v="1.9"/>
    <n v="38.07"/>
    <n v="1"/>
  </r>
  <r>
    <s v="2021-06-04"/>
    <s v="Vancouver"/>
    <s v="加拿大二店"/>
    <x v="7"/>
    <x v="14"/>
    <x v="45"/>
    <x v="46"/>
    <x v="47"/>
    <s v="整份"/>
    <n v="39.76"/>
    <s v="份"/>
    <n v="1"/>
    <n v="39.76"/>
    <n v="0"/>
    <n v="0"/>
    <n v="0"/>
    <n v="0"/>
    <n v="0"/>
    <n v="0"/>
    <n v="0"/>
    <n v="0.02"/>
    <n v="0"/>
    <n v="0"/>
    <n v="1"/>
    <n v="41.72"/>
    <n v="1.98"/>
    <n v="39.74"/>
    <n v="1"/>
  </r>
  <r>
    <s v="2021-06-04"/>
    <s v="Vancouver"/>
    <s v="加拿大二店"/>
    <x v="7"/>
    <x v="14"/>
    <x v="45"/>
    <x v="46"/>
    <x v="47"/>
    <s v="整份"/>
    <n v="149.95"/>
    <s v="份"/>
    <n v="1"/>
    <n v="149.95"/>
    <n v="0"/>
    <n v="0"/>
    <n v="0"/>
    <n v="0"/>
    <n v="0"/>
    <n v="0"/>
    <n v="0"/>
    <n v="0"/>
    <n v="0"/>
    <n v="0"/>
    <n v="1"/>
    <n v="157.44"/>
    <n v="7.49"/>
    <n v="149.95"/>
    <n v="1"/>
  </r>
  <r>
    <s v="2021-06-04"/>
    <s v="Vancouver"/>
    <s v="加拿大二店"/>
    <x v="2"/>
    <x v="4"/>
    <x v="47"/>
    <x v="48"/>
    <x v="49"/>
    <s v="常温"/>
    <n v="2.95"/>
    <s v="听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04"/>
    <s v="Vancouver"/>
    <s v="加拿大二店"/>
    <x v="2"/>
    <x v="4"/>
    <x v="47"/>
    <x v="48"/>
    <x v="49"/>
    <s v="冰镇"/>
    <n v="2.95"/>
    <s v="听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04"/>
    <s v="Vancouver"/>
    <s v="加拿大二店"/>
    <x v="6"/>
    <x v="13"/>
    <x v="48"/>
    <x v="49"/>
    <x v="50"/>
    <s v="整份"/>
    <n v="4.95"/>
    <s v="份"/>
    <n v="5"/>
    <n v="24.75"/>
    <n v="0"/>
    <n v="0"/>
    <n v="0"/>
    <n v="0"/>
    <n v="0"/>
    <n v="0"/>
    <n v="0"/>
    <n v="0"/>
    <n v="0.99"/>
    <n v="0"/>
    <n v="5"/>
    <n v="24.94"/>
    <n v="1.18"/>
    <n v="23.76"/>
    <n v="1"/>
  </r>
  <r>
    <s v="2021-06-04"/>
    <s v="Vancouver"/>
    <s v="加拿大二店"/>
    <x v="3"/>
    <x v="7"/>
    <x v="49"/>
    <x v="50"/>
    <x v="51"/>
    <s v="整份"/>
    <n v="4.95"/>
    <s v="份"/>
    <n v="9"/>
    <n v="44.55"/>
    <n v="0"/>
    <n v="0"/>
    <n v="0"/>
    <n v="0"/>
    <n v="0"/>
    <n v="0"/>
    <n v="0"/>
    <n v="0"/>
    <n v="1.79"/>
    <n v="0"/>
    <n v="9"/>
    <n v="44.89"/>
    <n v="2.13"/>
    <n v="42.76"/>
    <n v="1"/>
  </r>
  <r>
    <s v="2021-06-04"/>
    <s v="Vancouver"/>
    <s v="加拿大二店"/>
    <x v="6"/>
    <x v="15"/>
    <x v="50"/>
    <x v="51"/>
    <x v="52"/>
    <s v="份"/>
    <n v="8.95"/>
    <s v="份"/>
    <n v="4"/>
    <n v="35.8"/>
    <n v="0"/>
    <n v="0"/>
    <n v="0"/>
    <n v="0"/>
    <n v="1"/>
    <n v="8.95"/>
    <n v="0"/>
    <n v="0.01"/>
    <n v="0"/>
    <n v="0"/>
    <n v="3"/>
    <n v="28.18"/>
    <n v="1.34"/>
    <n v="26.84"/>
    <n v="1"/>
  </r>
  <r>
    <s v="2021-06-04"/>
    <s v="Vancouver"/>
    <s v="加拿大二店"/>
    <x v="1"/>
    <x v="6"/>
    <x v="113"/>
    <x v="107"/>
    <x v="117"/>
    <s v="整份"/>
    <n v="28.95"/>
    <s v="份"/>
    <n v="2"/>
    <n v="57.9"/>
    <n v="1"/>
    <n v="28.95"/>
    <n v="0"/>
    <n v="0"/>
    <n v="0"/>
    <n v="0"/>
    <n v="0"/>
    <n v="-0.01"/>
    <n v="5.79"/>
    <n v="0"/>
    <n v="1"/>
    <n v="24.32"/>
    <n v="1.15"/>
    <n v="23.17"/>
    <n v="1"/>
  </r>
  <r>
    <s v="2021-06-04"/>
    <s v="Vancouver"/>
    <s v="加拿大二店"/>
    <x v="3"/>
    <x v="5"/>
    <x v="51"/>
    <x v="52"/>
    <x v="53"/>
    <s v="整份"/>
    <n v="3.95"/>
    <s v="份"/>
    <n v="6"/>
    <n v="23.7"/>
    <n v="0"/>
    <n v="0"/>
    <n v="0"/>
    <n v="0"/>
    <n v="0"/>
    <n v="0"/>
    <n v="0"/>
    <n v="0"/>
    <n v="0.79"/>
    <n v="0"/>
    <n v="6"/>
    <n v="24.05"/>
    <n v="1.14"/>
    <n v="22.91"/>
    <n v="1"/>
  </r>
  <r>
    <s v="2021-06-04"/>
    <s v="Vancouver"/>
    <s v="加拿大二店"/>
    <x v="3"/>
    <x v="5"/>
    <x v="52"/>
    <x v="53"/>
    <x v="54"/>
    <s v="整份"/>
    <n v="5.95"/>
    <s v="份"/>
    <n v="5"/>
    <n v="29.75"/>
    <n v="0"/>
    <n v="0"/>
    <n v="0"/>
    <n v="0"/>
    <n v="0"/>
    <n v="0"/>
    <n v="0"/>
    <n v="0.01"/>
    <n v="2.38"/>
    <n v="0"/>
    <n v="5"/>
    <n v="28.72"/>
    <n v="1.36"/>
    <n v="27.36"/>
    <n v="1"/>
  </r>
  <r>
    <s v="2021-06-04"/>
    <s v="Vancouver"/>
    <s v="加拿大二店"/>
    <x v="4"/>
    <x v="9"/>
    <x v="53"/>
    <x v="0"/>
    <x v="55"/>
    <s v="拼锅"/>
    <n v="0"/>
    <s v="锅"/>
    <n v="9"/>
    <n v="0"/>
    <n v="0"/>
    <n v="0"/>
    <n v="0"/>
    <n v="0"/>
    <n v="0"/>
    <n v="0"/>
    <n v="0"/>
    <n v="0.04"/>
    <n v="0"/>
    <n v="0"/>
    <n v="9"/>
    <n v="-0.04"/>
    <n v="-0.01"/>
    <n v="-0.03"/>
    <n v="2"/>
  </r>
  <r>
    <s v="2021-06-04"/>
    <s v="Vancouver"/>
    <s v="加拿大二店"/>
    <x v="4"/>
    <x v="10"/>
    <x v="53"/>
    <x v="0"/>
    <x v="55"/>
    <s v="四宫格"/>
    <n v="0"/>
    <s v="锅"/>
    <n v="12"/>
    <n v="0"/>
    <n v="0"/>
    <n v="0"/>
    <n v="0"/>
    <n v="0"/>
    <n v="0"/>
    <n v="0"/>
    <n v="0"/>
    <n v="0"/>
    <n v="0"/>
    <n v="0"/>
    <n v="12"/>
    <n v="0"/>
    <n v="0"/>
    <n v="0"/>
    <n v="1"/>
  </r>
  <r>
    <s v="2021-06-04"/>
    <s v="Vancouver"/>
    <s v="加拿大二店"/>
    <x v="6"/>
    <x v="13"/>
    <x v="54"/>
    <x v="54"/>
    <x v="56"/>
    <s v="个"/>
    <n v="1.95"/>
    <s v="个"/>
    <n v="8"/>
    <n v="15.6"/>
    <n v="0"/>
    <n v="0"/>
    <n v="0"/>
    <n v="0"/>
    <n v="0"/>
    <n v="0"/>
    <n v="0"/>
    <n v="0"/>
    <n v="0.39"/>
    <n v="0"/>
    <n v="8"/>
    <n v="15.97"/>
    <n v="0.76"/>
    <n v="15.21"/>
    <n v="1"/>
  </r>
  <r>
    <s v="2021-06-04"/>
    <s v="Vancouver"/>
    <s v="加拿大二店"/>
    <x v="6"/>
    <x v="13"/>
    <x v="114"/>
    <x v="108"/>
    <x v="118"/>
    <s v="整份"/>
    <n v="7.95"/>
    <s v="份"/>
    <n v="2"/>
    <n v="15.9"/>
    <n v="0"/>
    <n v="0"/>
    <n v="0"/>
    <n v="0"/>
    <n v="0"/>
    <n v="0"/>
    <n v="0"/>
    <n v="-0.01"/>
    <n v="0"/>
    <n v="0"/>
    <n v="2"/>
    <n v="16.7"/>
    <n v="0.79"/>
    <n v="15.91"/>
    <n v="1"/>
  </r>
  <r>
    <s v="2021-06-04"/>
    <s v="Vancouver"/>
    <s v="加拿大二店"/>
    <x v="1"/>
    <x v="8"/>
    <x v="55"/>
    <x v="55"/>
    <x v="57"/>
    <s v="整份"/>
    <n v="9.95"/>
    <s v="份"/>
    <n v="12"/>
    <n v="119.4"/>
    <n v="0"/>
    <n v="0"/>
    <n v="0"/>
    <n v="0"/>
    <n v="0"/>
    <n v="0"/>
    <n v="0"/>
    <n v="0"/>
    <n v="1.21"/>
    <n v="0"/>
    <n v="12"/>
    <n v="124.09"/>
    <n v="5.9"/>
    <n v="118.19"/>
    <n v="1"/>
  </r>
  <r>
    <s v="2021-06-04"/>
    <s v="Vancouver"/>
    <s v="加拿大二店"/>
    <x v="1"/>
    <x v="1"/>
    <x v="56"/>
    <x v="56"/>
    <x v="58"/>
    <s v="整份"/>
    <n v="12.95"/>
    <s v="份"/>
    <n v="17"/>
    <n v="220.15"/>
    <n v="0"/>
    <n v="0"/>
    <n v="0"/>
    <n v="0"/>
    <n v="0"/>
    <n v="0"/>
    <n v="0"/>
    <n v="0"/>
    <n v="8.55"/>
    <n v="0"/>
    <n v="17"/>
    <n v="222.18"/>
    <n v="10.58"/>
    <n v="211.6"/>
    <n v="1"/>
  </r>
  <r>
    <s v="2021-06-04"/>
    <s v="Vancouver"/>
    <s v="加拿大二店"/>
    <x v="1"/>
    <x v="1"/>
    <x v="57"/>
    <x v="57"/>
    <x v="59"/>
    <s v="整份"/>
    <n v="11.95"/>
    <s v="份"/>
    <n v="45"/>
    <n v="537.75"/>
    <n v="0"/>
    <n v="0"/>
    <n v="0"/>
    <n v="0"/>
    <n v="1"/>
    <n v="11.95"/>
    <n v="0"/>
    <n v="0"/>
    <n v="20.27"/>
    <n v="0"/>
    <n v="44"/>
    <n v="530.8"/>
    <n v="25.27"/>
    <n v="505.53"/>
    <n v="1"/>
  </r>
  <r>
    <s v="2021-06-04"/>
    <s v="Vancouver"/>
    <s v="加拿大二店"/>
    <x v="4"/>
    <x v="9"/>
    <x v="58"/>
    <x v="0"/>
    <x v="60"/>
    <s v="拼锅"/>
    <n v="8.95"/>
    <s v="锅"/>
    <n v="21"/>
    <n v="187.95"/>
    <n v="1"/>
    <n v="8.95"/>
    <n v="0"/>
    <n v="0"/>
    <n v="0"/>
    <n v="0"/>
    <n v="0"/>
    <n v="0.06"/>
    <n v="1.79"/>
    <n v="0"/>
    <n v="20"/>
    <n v="186"/>
    <n v="8.85"/>
    <n v="177.15"/>
    <n v="2"/>
  </r>
  <r>
    <s v="2021-06-04"/>
    <s v="Vancouver"/>
    <s v="加拿大二店"/>
    <x v="4"/>
    <x v="10"/>
    <x v="58"/>
    <x v="0"/>
    <x v="60"/>
    <s v="四宫格"/>
    <n v="4.95"/>
    <s v="锅"/>
    <n v="16"/>
    <n v="79.2"/>
    <n v="0"/>
    <n v="0"/>
    <n v="0"/>
    <n v="0"/>
    <n v="0"/>
    <n v="0"/>
    <n v="0"/>
    <n v="0"/>
    <n v="0"/>
    <n v="0"/>
    <n v="16"/>
    <n v="83.16"/>
    <n v="3.96"/>
    <n v="79.2"/>
    <n v="1"/>
  </r>
  <r>
    <s v="2021-06-04"/>
    <s v="Vancouver"/>
    <s v="加拿大二店"/>
    <x v="3"/>
    <x v="5"/>
    <x v="59"/>
    <x v="58"/>
    <x v="61"/>
    <s v="整份"/>
    <n v="4.95"/>
    <s v="份"/>
    <n v="2"/>
    <n v="9.9"/>
    <n v="0"/>
    <n v="0"/>
    <n v="0"/>
    <n v="0"/>
    <n v="0"/>
    <n v="0"/>
    <n v="0"/>
    <n v="0"/>
    <n v="0"/>
    <n v="0"/>
    <n v="2"/>
    <n v="10.39"/>
    <n v="0.49"/>
    <n v="9.9"/>
    <n v="1"/>
  </r>
  <r>
    <s v="2021-06-04"/>
    <s v="Vancouver"/>
    <s v="加拿大二店"/>
    <x v="2"/>
    <x v="4"/>
    <x v="60"/>
    <x v="59"/>
    <x v="62"/>
    <s v="冰镇"/>
    <n v="6.95"/>
    <s v="扎"/>
    <n v="1"/>
    <n v="6.95"/>
    <n v="0"/>
    <n v="0"/>
    <n v="0"/>
    <n v="0"/>
    <n v="0"/>
    <n v="0"/>
    <n v="0"/>
    <n v="0"/>
    <n v="0"/>
    <n v="0"/>
    <n v="1"/>
    <n v="7.78"/>
    <n v="0.83"/>
    <n v="6.95"/>
    <n v="1"/>
  </r>
  <r>
    <s v="2021-06-04"/>
    <s v="Vancouver"/>
    <s v="加拿大二店"/>
    <x v="6"/>
    <x v="13"/>
    <x v="61"/>
    <x v="60"/>
    <x v="63"/>
    <s v="整份"/>
    <n v="3.95"/>
    <s v="包"/>
    <n v="19"/>
    <n v="75.05"/>
    <n v="0"/>
    <n v="0"/>
    <n v="0"/>
    <n v="0"/>
    <n v="1"/>
    <n v="3.95"/>
    <n v="0"/>
    <n v="0"/>
    <n v="2.36"/>
    <n v="0"/>
    <n v="18"/>
    <n v="72.17"/>
    <n v="3.43"/>
    <n v="68.74"/>
    <n v="1"/>
  </r>
  <r>
    <s v="2021-06-04"/>
    <s v="Vancouver"/>
    <s v="加拿大二店"/>
    <x v="1"/>
    <x v="8"/>
    <x v="116"/>
    <x v="110"/>
    <x v="120"/>
    <s v="个"/>
    <n v="0.95"/>
    <s v="个"/>
    <n v="1"/>
    <n v="0.95"/>
    <n v="0"/>
    <n v="0"/>
    <n v="0"/>
    <n v="0"/>
    <n v="0"/>
    <n v="0"/>
    <n v="0"/>
    <n v="0"/>
    <n v="0"/>
    <n v="0"/>
    <n v="1"/>
    <n v="0.99"/>
    <n v="0.04"/>
    <n v="0.95"/>
    <n v="1"/>
  </r>
  <r>
    <s v="2021-06-04"/>
    <s v="Vancouver"/>
    <s v="加拿大二店"/>
    <x v="4"/>
    <x v="16"/>
    <x v="62"/>
    <x v="0"/>
    <x v="64"/>
    <s v="单锅"/>
    <n v="16.95"/>
    <s v="锅"/>
    <n v="4"/>
    <n v="67.8"/>
    <n v="0"/>
    <n v="0"/>
    <n v="0"/>
    <n v="0"/>
    <n v="0"/>
    <n v="0"/>
    <n v="0"/>
    <n v="0"/>
    <n v="0"/>
    <n v="0"/>
    <n v="4"/>
    <n v="71.19"/>
    <n v="3.39"/>
    <n v="67.8"/>
    <n v="4"/>
  </r>
  <r>
    <s v="2021-06-04"/>
    <s v="Vancouver"/>
    <s v="加拿大二店"/>
    <x v="4"/>
    <x v="9"/>
    <x v="62"/>
    <x v="0"/>
    <x v="64"/>
    <s v="拼锅"/>
    <n v="8.95"/>
    <s v="锅"/>
    <n v="21"/>
    <n v="187.95"/>
    <n v="0"/>
    <n v="0"/>
    <n v="0"/>
    <n v="0"/>
    <n v="0"/>
    <n v="0"/>
    <n v="0"/>
    <n v="0.02"/>
    <n v="3.58"/>
    <n v="0"/>
    <n v="21"/>
    <n v="193.56"/>
    <n v="9.21"/>
    <n v="184.35"/>
    <n v="2"/>
  </r>
  <r>
    <s v="2021-06-04"/>
    <s v="Vancouver"/>
    <s v="加拿大二店"/>
    <x v="4"/>
    <x v="10"/>
    <x v="62"/>
    <x v="0"/>
    <x v="64"/>
    <s v="四宫格"/>
    <n v="4.95"/>
    <s v="锅"/>
    <n v="20"/>
    <n v="99"/>
    <n v="0"/>
    <n v="0"/>
    <n v="0"/>
    <n v="0"/>
    <n v="0"/>
    <n v="0"/>
    <n v="0"/>
    <n v="0"/>
    <n v="0.99"/>
    <n v="0"/>
    <n v="20"/>
    <n v="102.91"/>
    <n v="4.9"/>
    <n v="98.01"/>
    <n v="1"/>
  </r>
  <r>
    <s v="2021-06-04"/>
    <s v="Vancouver"/>
    <s v="加拿大二店"/>
    <x v="6"/>
    <x v="13"/>
    <x v="63"/>
    <x v="61"/>
    <x v="65"/>
    <s v="整份"/>
    <n v="1.5"/>
    <s v="碗"/>
    <n v="15"/>
    <n v="22.5"/>
    <n v="0"/>
    <n v="0"/>
    <n v="0"/>
    <n v="0"/>
    <n v="0"/>
    <n v="0"/>
    <n v="0"/>
    <n v="0"/>
    <n v="0.18"/>
    <n v="0"/>
    <n v="15"/>
    <n v="23.43"/>
    <n v="1.11"/>
    <n v="22.32"/>
    <n v="1"/>
  </r>
  <r>
    <s v="2021-06-04"/>
    <s v="Vancouver"/>
    <s v="加拿大二店"/>
    <x v="3"/>
    <x v="5"/>
    <x v="64"/>
    <x v="62"/>
    <x v="66"/>
    <s v="整份"/>
    <n v="3.95"/>
    <s v="份"/>
    <n v="7"/>
    <n v="27.65"/>
    <n v="0"/>
    <n v="0"/>
    <n v="0"/>
    <n v="0"/>
    <n v="0"/>
    <n v="0"/>
    <n v="0"/>
    <n v="0"/>
    <n v="0"/>
    <n v="0"/>
    <n v="7"/>
    <n v="29.03"/>
    <n v="1.38"/>
    <n v="27.65"/>
    <n v="1"/>
  </r>
  <r>
    <s v="2021-06-04"/>
    <s v="Vancouver"/>
    <s v="加拿大二店"/>
    <x v="2"/>
    <x v="19"/>
    <x v="125"/>
    <x v="119"/>
    <x v="130"/>
    <s v="瓶"/>
    <n v="16.95"/>
    <s v="瓶"/>
    <n v="1"/>
    <n v="16.95"/>
    <n v="0"/>
    <n v="0"/>
    <n v="0"/>
    <n v="0"/>
    <n v="0"/>
    <n v="0"/>
    <n v="0"/>
    <n v="0"/>
    <n v="0"/>
    <n v="0"/>
    <n v="1"/>
    <n v="19.49"/>
    <n v="2.54"/>
    <n v="16.95"/>
    <n v="1"/>
  </r>
  <r>
    <s v="2021-06-04"/>
    <s v="Vancouver"/>
    <s v="加拿大二店"/>
    <x v="2"/>
    <x v="19"/>
    <x v="126"/>
    <x v="120"/>
    <x v="131"/>
    <s v="小瓶"/>
    <n v="16.95"/>
    <s v="小瓶"/>
    <n v="2"/>
    <n v="33.9"/>
    <n v="0"/>
    <n v="0"/>
    <n v="0"/>
    <n v="0"/>
    <n v="0"/>
    <n v="0"/>
    <n v="0"/>
    <n v="0"/>
    <n v="3.39"/>
    <n v="0"/>
    <n v="2"/>
    <n v="35.08"/>
    <n v="4.57"/>
    <n v="30.51"/>
    <n v="1"/>
  </r>
  <r>
    <s v="2021-06-04"/>
    <s v="Vancouver"/>
    <s v="加拿大二店"/>
    <x v="2"/>
    <x v="4"/>
    <x v="65"/>
    <x v="63"/>
    <x v="67"/>
    <s v="扎"/>
    <n v="8.95"/>
    <s v="扎"/>
    <n v="5"/>
    <n v="44.75"/>
    <n v="0"/>
    <n v="0"/>
    <n v="0"/>
    <n v="0"/>
    <n v="0"/>
    <n v="0"/>
    <n v="0"/>
    <n v="0.02"/>
    <n v="1.78"/>
    <n v="0"/>
    <n v="5"/>
    <n v="48.1"/>
    <n v="5.15"/>
    <n v="42.95"/>
    <n v="1"/>
  </r>
  <r>
    <s v="2021-06-04"/>
    <s v="Vancouver"/>
    <s v="加拿大二店"/>
    <x v="2"/>
    <x v="4"/>
    <x v="66"/>
    <x v="64"/>
    <x v="68"/>
    <s v="扎"/>
    <n v="11.95"/>
    <s v="扎"/>
    <n v="2"/>
    <n v="23.9"/>
    <n v="0"/>
    <n v="0"/>
    <n v="0"/>
    <n v="0"/>
    <n v="0"/>
    <n v="0"/>
    <n v="0"/>
    <n v="-0.01"/>
    <n v="0"/>
    <n v="0"/>
    <n v="2"/>
    <n v="26.77"/>
    <n v="2.86"/>
    <n v="23.91"/>
    <n v="1"/>
  </r>
  <r>
    <s v="2021-06-04"/>
    <s v="Vancouver"/>
    <s v="加拿大二店"/>
    <x v="3"/>
    <x v="5"/>
    <x v="117"/>
    <x v="111"/>
    <x v="121"/>
    <s v="整份"/>
    <n v="4.95"/>
    <s v="份"/>
    <n v="14"/>
    <n v="69.3"/>
    <n v="0"/>
    <n v="0"/>
    <n v="0"/>
    <n v="0"/>
    <n v="0"/>
    <n v="0"/>
    <n v="0"/>
    <n v="0"/>
    <n v="5.57"/>
    <n v="0"/>
    <n v="14"/>
    <n v="66.91"/>
    <n v="3.18"/>
    <n v="63.73"/>
    <n v="1"/>
  </r>
  <r>
    <s v="2021-06-04"/>
    <s v="Vancouver"/>
    <s v="加拿大二店"/>
    <x v="3"/>
    <x v="7"/>
    <x v="67"/>
    <x v="65"/>
    <x v="69"/>
    <s v="整份"/>
    <n v="3.95"/>
    <s v="份"/>
    <n v="5"/>
    <n v="19.75"/>
    <n v="0"/>
    <n v="0"/>
    <n v="0"/>
    <n v="0"/>
    <n v="0"/>
    <n v="0"/>
    <n v="0"/>
    <n v="0"/>
    <n v="1.58"/>
    <n v="0"/>
    <n v="5"/>
    <n v="19.07"/>
    <n v="0.9"/>
    <n v="18.17"/>
    <n v="1"/>
  </r>
  <r>
    <s v="2021-06-04"/>
    <s v="Vancouver"/>
    <s v="加拿大二店"/>
    <x v="1"/>
    <x v="1"/>
    <x v="68"/>
    <x v="66"/>
    <x v="70"/>
    <s v="整份"/>
    <n v="8.95"/>
    <s v="份"/>
    <n v="80"/>
    <n v="716"/>
    <n v="1"/>
    <n v="8.95"/>
    <n v="0"/>
    <n v="0"/>
    <n v="1"/>
    <n v="8.95"/>
    <n v="0"/>
    <n v="0"/>
    <n v="29.61"/>
    <n v="0"/>
    <n v="78"/>
    <n v="701.91"/>
    <n v="33.42"/>
    <n v="668.49"/>
    <n v="1"/>
  </r>
  <r>
    <s v="2021-06-04"/>
    <s v="Vancouver"/>
    <s v="加拿大二店"/>
    <x v="1"/>
    <x v="1"/>
    <x v="69"/>
    <x v="67"/>
    <x v="71"/>
    <s v="整份"/>
    <n v="8.95"/>
    <s v="份"/>
    <n v="7"/>
    <n v="62.65"/>
    <n v="1"/>
    <n v="8.95"/>
    <n v="0"/>
    <n v="0"/>
    <n v="0"/>
    <n v="0"/>
    <n v="0"/>
    <n v="0"/>
    <n v="5.36"/>
    <n v="0"/>
    <n v="6"/>
    <n v="50.75"/>
    <n v="2.41"/>
    <n v="48.34"/>
    <n v="1"/>
  </r>
  <r>
    <s v="2021-06-04"/>
    <s v="Vancouver"/>
    <s v="加拿大二店"/>
    <x v="6"/>
    <x v="15"/>
    <x v="70"/>
    <x v="68"/>
    <x v="72"/>
    <s v="整份"/>
    <n v="1.5"/>
    <s v="份"/>
    <n v="5"/>
    <n v="7.5"/>
    <n v="0"/>
    <n v="0"/>
    <n v="0"/>
    <n v="0"/>
    <n v="0"/>
    <n v="0"/>
    <n v="0"/>
    <n v="0"/>
    <n v="0"/>
    <n v="0"/>
    <n v="5"/>
    <n v="7.87"/>
    <n v="0.37"/>
    <n v="7.5"/>
    <n v="1"/>
  </r>
  <r>
    <s v="2021-06-04"/>
    <s v="Vancouver"/>
    <s v="加拿大二店"/>
    <x v="4"/>
    <x v="9"/>
    <x v="71"/>
    <x v="0"/>
    <x v="73"/>
    <s v="拼锅"/>
    <n v="18.95"/>
    <s v="锅"/>
    <n v="10"/>
    <n v="189.5"/>
    <n v="0"/>
    <n v="0"/>
    <n v="0"/>
    <n v="0"/>
    <n v="0"/>
    <n v="0"/>
    <n v="0"/>
    <n v="0.03"/>
    <n v="3.79"/>
    <n v="0"/>
    <n v="10"/>
    <n v="194.96"/>
    <n v="9.28"/>
    <n v="185.68"/>
    <n v="2"/>
  </r>
  <r>
    <s v="2021-06-04"/>
    <s v="Vancouver"/>
    <s v="加拿大二店"/>
    <x v="4"/>
    <x v="10"/>
    <x v="71"/>
    <x v="0"/>
    <x v="73"/>
    <s v="四宫格"/>
    <n v="9.95"/>
    <s v="锅"/>
    <n v="12"/>
    <n v="119.4"/>
    <n v="0"/>
    <n v="0"/>
    <n v="0"/>
    <n v="0"/>
    <n v="0"/>
    <n v="0"/>
    <n v="0"/>
    <n v="0.02"/>
    <n v="0"/>
    <n v="0"/>
    <n v="12"/>
    <n v="125.34"/>
    <n v="5.96"/>
    <n v="119.38"/>
    <n v="1"/>
  </r>
  <r>
    <s v="2021-06-04"/>
    <s v="Vancouver"/>
    <s v="加拿大二店"/>
    <x v="1"/>
    <x v="8"/>
    <x v="72"/>
    <x v="69"/>
    <x v="74"/>
    <s v="个"/>
    <n v="7.95"/>
    <s v="份"/>
    <n v="5"/>
    <n v="39.75"/>
    <n v="0"/>
    <n v="0"/>
    <n v="0"/>
    <n v="0"/>
    <n v="0"/>
    <n v="0"/>
    <n v="0"/>
    <n v="0"/>
    <n v="2.39"/>
    <n v="0"/>
    <n v="5"/>
    <n v="39.22"/>
    <n v="1.86"/>
    <n v="37.36"/>
    <n v="1"/>
  </r>
  <r>
    <s v="2021-06-04"/>
    <s v="Vancouver"/>
    <s v="加拿大二店"/>
    <x v="6"/>
    <x v="13"/>
    <x v="73"/>
    <x v="70"/>
    <x v="75"/>
    <s v="份"/>
    <n v="6.95"/>
    <s v="份"/>
    <n v="6"/>
    <n v="41.7"/>
    <n v="0"/>
    <n v="0"/>
    <n v="0"/>
    <n v="0"/>
    <n v="0"/>
    <n v="0"/>
    <n v="0"/>
    <n v="0.05"/>
    <n v="1.39"/>
    <n v="0"/>
    <n v="6"/>
    <n v="42.27"/>
    <n v="2.01"/>
    <n v="40.26"/>
    <n v="1"/>
  </r>
  <r>
    <s v="2021-06-04"/>
    <s v="Vancouver"/>
    <s v="加拿大二店"/>
    <x v="4"/>
    <x v="16"/>
    <x v="74"/>
    <x v="0"/>
    <x v="76"/>
    <s v="单锅"/>
    <n v="36.95"/>
    <s v="锅"/>
    <n v="1"/>
    <n v="36.95"/>
    <n v="0"/>
    <n v="0"/>
    <n v="0"/>
    <n v="0"/>
    <n v="0"/>
    <n v="0"/>
    <n v="0"/>
    <n v="0.01"/>
    <n v="0"/>
    <n v="0"/>
    <n v="1"/>
    <n v="38.78"/>
    <n v="1.84"/>
    <n v="36.94"/>
    <n v="4"/>
  </r>
  <r>
    <s v="2021-06-04"/>
    <s v="Vancouver"/>
    <s v="加拿大二店"/>
    <x v="4"/>
    <x v="9"/>
    <x v="74"/>
    <x v="0"/>
    <x v="76"/>
    <s v="拼锅"/>
    <n v="18.95"/>
    <s v="锅"/>
    <n v="4"/>
    <n v="75.8"/>
    <n v="0"/>
    <n v="0"/>
    <n v="0"/>
    <n v="0"/>
    <n v="0"/>
    <n v="0"/>
    <n v="0"/>
    <n v="-0.03"/>
    <n v="3.79"/>
    <n v="0"/>
    <n v="4"/>
    <n v="75.64"/>
    <n v="3.6"/>
    <n v="72.04"/>
    <n v="2"/>
  </r>
  <r>
    <s v="2021-06-04"/>
    <s v="Vancouver"/>
    <s v="加拿大二店"/>
    <x v="4"/>
    <x v="10"/>
    <x v="74"/>
    <x v="0"/>
    <x v="76"/>
    <s v="四宫格"/>
    <n v="9.95"/>
    <s v="锅"/>
    <n v="4"/>
    <n v="39.8"/>
    <n v="0"/>
    <n v="0"/>
    <n v="0"/>
    <n v="0"/>
    <n v="0"/>
    <n v="0"/>
    <n v="0"/>
    <n v="0"/>
    <n v="0"/>
    <n v="0"/>
    <n v="4"/>
    <n v="41.79"/>
    <n v="1.99"/>
    <n v="39.8"/>
    <n v="1"/>
  </r>
  <r>
    <s v="2021-06-04"/>
    <s v="Vancouver"/>
    <s v="加拿大二店"/>
    <x v="1"/>
    <x v="6"/>
    <x v="118"/>
    <x v="112"/>
    <x v="122"/>
    <s v="整份"/>
    <n v="28.95"/>
    <s v="份"/>
    <n v="6"/>
    <n v="173.7"/>
    <n v="2"/>
    <n v="57.9"/>
    <n v="0"/>
    <n v="0"/>
    <n v="0"/>
    <n v="0"/>
    <n v="0"/>
    <n v="-0.02"/>
    <n v="15.05"/>
    <n v="0"/>
    <n v="4"/>
    <n v="105.8"/>
    <n v="5.03"/>
    <n v="100.77"/>
    <n v="1"/>
  </r>
  <r>
    <s v="2021-06-04"/>
    <s v="Vancouver"/>
    <s v="加拿大二店"/>
    <x v="8"/>
    <x v="17"/>
    <x v="75"/>
    <x v="71"/>
    <x v="77"/>
    <s v="整份"/>
    <n v="3.99"/>
    <s v="位"/>
    <n v="164"/>
    <n v="654.36"/>
    <n v="3"/>
    <n v="11.97"/>
    <n v="0"/>
    <n v="0"/>
    <n v="0"/>
    <n v="0"/>
    <n v="0"/>
    <n v="-0.01"/>
    <n v="4.82"/>
    <n v="0"/>
    <n v="161"/>
    <n v="669.45"/>
    <n v="31.87"/>
    <n v="637.58"/>
    <n v="1"/>
  </r>
  <r>
    <s v="2021-06-04"/>
    <s v="Vancouver"/>
    <s v="加拿大二店"/>
    <x v="3"/>
    <x v="5"/>
    <x v="76"/>
    <x v="72"/>
    <x v="78"/>
    <s v="整份"/>
    <n v="3.95"/>
    <s v="份"/>
    <n v="4"/>
    <n v="15.8"/>
    <n v="0"/>
    <n v="0"/>
    <n v="0"/>
    <n v="0"/>
    <n v="0"/>
    <n v="0"/>
    <n v="0"/>
    <n v="0"/>
    <n v="0.79"/>
    <n v="0"/>
    <n v="4"/>
    <n v="15.76"/>
    <n v="0.75"/>
    <n v="15.01"/>
    <n v="1"/>
  </r>
  <r>
    <s v="2021-06-04"/>
    <s v="Vancouver"/>
    <s v="加拿大二店"/>
    <x v="1"/>
    <x v="3"/>
    <x v="77"/>
    <x v="73"/>
    <x v="79"/>
    <s v="整份"/>
    <n v="5.95"/>
    <s v="份"/>
    <n v="12"/>
    <n v="71.4"/>
    <n v="0"/>
    <n v="0"/>
    <n v="0"/>
    <n v="0"/>
    <n v="1"/>
    <n v="5.95"/>
    <n v="0"/>
    <n v="0"/>
    <n v="4.16"/>
    <n v="0"/>
    <n v="11"/>
    <n v="64.35"/>
    <n v="3.06"/>
    <n v="61.29"/>
    <n v="1"/>
  </r>
  <r>
    <s v="2021-06-04"/>
    <s v="Vancouver"/>
    <s v="加拿大二店"/>
    <x v="3"/>
    <x v="11"/>
    <x v="78"/>
    <x v="74"/>
    <x v="80"/>
    <s v="整份"/>
    <n v="5.95"/>
    <s v="份"/>
    <n v="5"/>
    <n v="29.75"/>
    <n v="0"/>
    <n v="0"/>
    <n v="0"/>
    <n v="0"/>
    <n v="0"/>
    <n v="0"/>
    <n v="0"/>
    <n v="0"/>
    <n v="0"/>
    <n v="0"/>
    <n v="5"/>
    <n v="31.23"/>
    <n v="1.48"/>
    <n v="29.75"/>
    <n v="1"/>
  </r>
  <r>
    <s v="2021-06-04"/>
    <s v="Vancouver"/>
    <s v="加拿大二店"/>
    <x v="3"/>
    <x v="11"/>
    <x v="78"/>
    <x v="75"/>
    <x v="81"/>
    <s v="半份"/>
    <n v="2.95"/>
    <s v="份"/>
    <n v="12"/>
    <n v="35.4"/>
    <n v="0"/>
    <n v="0"/>
    <n v="0"/>
    <n v="0"/>
    <n v="0"/>
    <n v="0"/>
    <n v="0"/>
    <n v="0"/>
    <n v="2.71"/>
    <n v="0"/>
    <n v="12"/>
    <n v="34.32"/>
    <n v="1.63"/>
    <n v="32.69"/>
    <n v="0.5"/>
  </r>
  <r>
    <s v="2021-06-04"/>
    <s v="Vancouver"/>
    <s v="加拿大二店"/>
    <x v="3"/>
    <x v="5"/>
    <x v="79"/>
    <x v="76"/>
    <x v="82"/>
    <s v="整份"/>
    <n v="3.95"/>
    <s v="份"/>
    <n v="14"/>
    <n v="55.3"/>
    <n v="0"/>
    <n v="0"/>
    <n v="0"/>
    <n v="0"/>
    <n v="1"/>
    <n v="3.95"/>
    <n v="0"/>
    <n v="0"/>
    <n v="0"/>
    <n v="0"/>
    <n v="13"/>
    <n v="53.91"/>
    <n v="2.56"/>
    <n v="51.35"/>
    <n v="1"/>
  </r>
  <r>
    <s v="2021-06-04"/>
    <s v="Vancouver"/>
    <s v="加拿大二店"/>
    <x v="3"/>
    <x v="5"/>
    <x v="80"/>
    <x v="77"/>
    <x v="83"/>
    <s v="整份"/>
    <n v="5.95"/>
    <s v="份"/>
    <n v="20"/>
    <n v="119"/>
    <n v="0"/>
    <n v="0"/>
    <n v="0"/>
    <n v="0"/>
    <n v="0"/>
    <n v="0"/>
    <n v="0"/>
    <n v="0"/>
    <n v="8.27"/>
    <n v="0"/>
    <n v="20"/>
    <n v="116.26"/>
    <n v="5.53"/>
    <n v="110.73"/>
    <n v="1"/>
  </r>
  <r>
    <s v="2021-06-04"/>
    <s v="Vancouver"/>
    <s v="加拿大二店"/>
    <x v="4"/>
    <x v="9"/>
    <x v="81"/>
    <x v="0"/>
    <x v="84"/>
    <s v="拼锅"/>
    <n v="8.95"/>
    <s v="锅"/>
    <n v="11"/>
    <n v="98.45"/>
    <n v="1"/>
    <n v="8.95"/>
    <n v="0"/>
    <n v="0"/>
    <n v="0"/>
    <n v="0"/>
    <n v="0"/>
    <n v="-0.01"/>
    <n v="4.36"/>
    <n v="0"/>
    <n v="10"/>
    <n v="89.4"/>
    <n v="4.25"/>
    <n v="85.15"/>
    <n v="2"/>
  </r>
  <r>
    <s v="2021-06-04"/>
    <s v="Vancouver"/>
    <s v="加拿大二店"/>
    <x v="4"/>
    <x v="10"/>
    <x v="81"/>
    <x v="0"/>
    <x v="84"/>
    <s v="四宫格"/>
    <n v="4.95"/>
    <s v="锅"/>
    <n v="7"/>
    <n v="34.65"/>
    <n v="0"/>
    <n v="0"/>
    <n v="0"/>
    <n v="0"/>
    <n v="0"/>
    <n v="0"/>
    <n v="0"/>
    <n v="0.01"/>
    <n v="0.99"/>
    <n v="0"/>
    <n v="7"/>
    <n v="35.33"/>
    <n v="1.68"/>
    <n v="33.65"/>
    <n v="1"/>
  </r>
  <r>
    <s v="2021-06-04"/>
    <s v="Vancouver"/>
    <s v="加拿大二店"/>
    <x v="3"/>
    <x v="5"/>
    <x v="82"/>
    <x v="78"/>
    <x v="85"/>
    <s v="整份"/>
    <n v="12.95"/>
    <s v="份"/>
    <n v="12"/>
    <n v="155.4"/>
    <n v="0"/>
    <n v="0"/>
    <n v="0"/>
    <n v="0"/>
    <n v="0"/>
    <n v="0"/>
    <n v="0"/>
    <n v="0"/>
    <n v="6.55"/>
    <n v="0"/>
    <n v="12"/>
    <n v="156.29"/>
    <n v="7.44"/>
    <n v="148.85"/>
    <n v="1"/>
  </r>
  <r>
    <s v="2021-06-04"/>
    <s v="Vancouver"/>
    <s v="加拿大二店"/>
    <x v="3"/>
    <x v="11"/>
    <x v="83"/>
    <x v="79"/>
    <x v="86"/>
    <s v="整份"/>
    <n v="5.95"/>
    <s v="份"/>
    <n v="4"/>
    <n v="23.8"/>
    <n v="0"/>
    <n v="0"/>
    <n v="0"/>
    <n v="0"/>
    <n v="0"/>
    <n v="0"/>
    <n v="0"/>
    <n v="0"/>
    <n v="0"/>
    <n v="0"/>
    <n v="4"/>
    <n v="24.99"/>
    <n v="1.19"/>
    <n v="23.8"/>
    <n v="1"/>
  </r>
  <r>
    <s v="2021-06-04"/>
    <s v="Vancouver"/>
    <s v="加拿大二店"/>
    <x v="3"/>
    <x v="11"/>
    <x v="83"/>
    <x v="80"/>
    <x v="87"/>
    <s v="半份"/>
    <n v="2.95"/>
    <s v="份"/>
    <n v="5"/>
    <n v="14.75"/>
    <n v="0"/>
    <n v="0"/>
    <n v="0"/>
    <n v="0"/>
    <n v="0"/>
    <n v="0"/>
    <n v="0"/>
    <n v="0"/>
    <n v="0.94"/>
    <n v="0"/>
    <n v="5"/>
    <n v="14.5"/>
    <n v="0.69"/>
    <n v="13.81"/>
    <n v="0.5"/>
  </r>
  <r>
    <s v="2021-06-04"/>
    <s v="Vancouver"/>
    <s v="加拿大二店"/>
    <x v="3"/>
    <x v="11"/>
    <x v="84"/>
    <x v="81"/>
    <x v="88"/>
    <s v="整份"/>
    <n v="11.95"/>
    <s v="份"/>
    <n v="11"/>
    <n v="131.45"/>
    <n v="0"/>
    <n v="0"/>
    <n v="0"/>
    <n v="0"/>
    <n v="0"/>
    <n v="0"/>
    <n v="0"/>
    <n v="0"/>
    <n v="2.39"/>
    <n v="0"/>
    <n v="11"/>
    <n v="135.51"/>
    <n v="6.45"/>
    <n v="129.06"/>
    <n v="1"/>
  </r>
  <r>
    <s v="2021-06-04"/>
    <s v="Vancouver"/>
    <s v="加拿大二店"/>
    <x v="1"/>
    <x v="3"/>
    <x v="85"/>
    <x v="82"/>
    <x v="89"/>
    <s v="整份"/>
    <n v="6.95"/>
    <s v="份"/>
    <n v="9"/>
    <n v="62.55"/>
    <n v="1"/>
    <n v="6.95"/>
    <n v="0"/>
    <n v="0"/>
    <n v="0"/>
    <n v="0"/>
    <n v="0"/>
    <n v="0"/>
    <n v="2.08"/>
    <n v="0"/>
    <n v="8"/>
    <n v="56.19"/>
    <n v="2.67"/>
    <n v="53.52"/>
    <n v="1"/>
  </r>
  <r>
    <s v="2021-06-04"/>
    <s v="Vancouver"/>
    <s v="加拿大二店"/>
    <x v="6"/>
    <x v="13"/>
    <x v="86"/>
    <x v="83"/>
    <x v="90"/>
    <s v="碗"/>
    <n v="2.95"/>
    <s v="碗"/>
    <n v="12"/>
    <n v="35.4"/>
    <n v="0"/>
    <n v="0"/>
    <n v="0"/>
    <n v="0"/>
    <n v="2"/>
    <n v="5.9"/>
    <n v="0"/>
    <n v="0"/>
    <n v="0.77"/>
    <n v="0"/>
    <n v="10"/>
    <n v="30.16"/>
    <n v="1.43"/>
    <n v="28.73"/>
    <n v="1"/>
  </r>
  <r>
    <s v="2021-06-04"/>
    <s v="Vancouver"/>
    <s v="加拿大二店"/>
    <x v="2"/>
    <x v="4"/>
    <x v="87"/>
    <x v="84"/>
    <x v="91"/>
    <s v="冰镇"/>
    <n v="2.95"/>
    <s v="扎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04"/>
    <s v="Vancouver"/>
    <s v="加拿大二店"/>
    <x v="1"/>
    <x v="8"/>
    <x v="88"/>
    <x v="85"/>
    <x v="92"/>
    <s v="整份"/>
    <n v="7.95"/>
    <s v="份"/>
    <n v="14"/>
    <n v="111.3"/>
    <n v="0"/>
    <n v="0"/>
    <n v="0"/>
    <n v="0"/>
    <n v="0"/>
    <n v="0"/>
    <n v="0"/>
    <n v="0"/>
    <n v="3.18"/>
    <n v="0"/>
    <n v="14"/>
    <n v="113.52"/>
    <n v="5.4"/>
    <n v="108.12"/>
    <n v="1"/>
  </r>
  <r>
    <s v="2021-06-04"/>
    <s v="Vancouver"/>
    <s v="加拿大二店"/>
    <x v="1"/>
    <x v="8"/>
    <x v="89"/>
    <x v="86"/>
    <x v="93"/>
    <s v="整份"/>
    <n v="4.95"/>
    <s v="份"/>
    <n v="22"/>
    <n v="108.9"/>
    <n v="2"/>
    <n v="9.9"/>
    <n v="0"/>
    <n v="0"/>
    <n v="0"/>
    <n v="0"/>
    <n v="0"/>
    <n v="0"/>
    <n v="5.43"/>
    <n v="0"/>
    <n v="20"/>
    <n v="98.24"/>
    <n v="4.67"/>
    <n v="93.57"/>
    <n v="1"/>
  </r>
  <r>
    <s v="2021-06-04"/>
    <s v="Vancouver"/>
    <s v="加拿大二店"/>
    <x v="3"/>
    <x v="7"/>
    <x v="90"/>
    <x v="87"/>
    <x v="94"/>
    <s v="整份"/>
    <n v="4.95"/>
    <s v="份"/>
    <n v="13"/>
    <n v="64.35"/>
    <n v="0"/>
    <n v="0"/>
    <n v="0"/>
    <n v="0"/>
    <n v="1"/>
    <n v="4.95"/>
    <n v="0"/>
    <n v="0.01"/>
    <n v="5.25"/>
    <n v="0"/>
    <n v="12"/>
    <n v="56.84"/>
    <n v="2.7"/>
    <n v="54.14"/>
    <n v="1"/>
  </r>
  <r>
    <s v="2021-06-04"/>
    <s v="Vancouver"/>
    <s v="加拿大二店"/>
    <x v="6"/>
    <x v="18"/>
    <x v="91"/>
    <x v="88"/>
    <x v="95"/>
    <s v="整份"/>
    <n v="2.95"/>
    <s v="份"/>
    <n v="11"/>
    <n v="32.45"/>
    <n v="0"/>
    <n v="0"/>
    <n v="0"/>
    <n v="0"/>
    <n v="0"/>
    <n v="0"/>
    <n v="0"/>
    <n v="0"/>
    <n v="0.37"/>
    <n v="0"/>
    <n v="11"/>
    <n v="33.68"/>
    <n v="1.6"/>
    <n v="32.08"/>
    <n v="1"/>
  </r>
  <r>
    <s v="2021-06-04"/>
    <s v="Vancouver"/>
    <s v="加拿大二店"/>
    <x v="4"/>
    <x v="9"/>
    <x v="92"/>
    <x v="0"/>
    <x v="96"/>
    <s v="拼锅"/>
    <n v="8.95"/>
    <s v="锅"/>
    <n v="5"/>
    <n v="44.75"/>
    <n v="0"/>
    <n v="0"/>
    <n v="0"/>
    <n v="0"/>
    <n v="0"/>
    <n v="0"/>
    <n v="0"/>
    <n v="0.02"/>
    <n v="0"/>
    <n v="0"/>
    <n v="5"/>
    <n v="46.96"/>
    <n v="2.23"/>
    <n v="44.73"/>
    <n v="2"/>
  </r>
  <r>
    <s v="2021-06-04"/>
    <s v="Vancouver"/>
    <s v="加拿大二店"/>
    <x v="4"/>
    <x v="10"/>
    <x v="92"/>
    <x v="0"/>
    <x v="96"/>
    <s v="四宫格"/>
    <n v="4.95"/>
    <s v="锅"/>
    <n v="5"/>
    <n v="24.75"/>
    <n v="0"/>
    <n v="0"/>
    <n v="0"/>
    <n v="0"/>
    <n v="0"/>
    <n v="0"/>
    <n v="0"/>
    <n v="-0.01"/>
    <n v="0"/>
    <n v="0"/>
    <n v="5"/>
    <n v="25.99"/>
    <n v="1.23"/>
    <n v="24.76"/>
    <n v="1"/>
  </r>
  <r>
    <s v="2021-06-04"/>
    <s v="Vancouver"/>
    <s v="加拿大二店"/>
    <x v="3"/>
    <x v="5"/>
    <x v="93"/>
    <x v="89"/>
    <x v="97"/>
    <s v="整份"/>
    <n v="5.95"/>
    <s v="份"/>
    <n v="19"/>
    <n v="113.05"/>
    <n v="0"/>
    <n v="0"/>
    <n v="0"/>
    <n v="0"/>
    <n v="1"/>
    <n v="5.95"/>
    <n v="0"/>
    <n v="0"/>
    <n v="6.23"/>
    <n v="0"/>
    <n v="18"/>
    <n v="105.91"/>
    <n v="5.04"/>
    <n v="100.87"/>
    <n v="1"/>
  </r>
  <r>
    <s v="2021-06-04"/>
    <s v="Vancouver"/>
    <s v="加拿大二店"/>
    <x v="6"/>
    <x v="13"/>
    <x v="94"/>
    <x v="90"/>
    <x v="98"/>
    <s v="整份"/>
    <n v="4.95"/>
    <s v="份"/>
    <n v="17"/>
    <n v="84.15"/>
    <n v="1"/>
    <n v="4.95"/>
    <n v="0"/>
    <n v="0"/>
    <n v="1"/>
    <n v="4.95"/>
    <n v="0"/>
    <n v="0"/>
    <n v="1.79"/>
    <n v="0"/>
    <n v="15"/>
    <n v="76.08"/>
    <n v="3.62"/>
    <n v="72.46"/>
    <n v="1"/>
  </r>
  <r>
    <s v="2021-06-04"/>
    <s v="Vancouver"/>
    <s v="加拿大二店"/>
    <x v="2"/>
    <x v="4"/>
    <x v="95"/>
    <x v="91"/>
    <x v="99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04"/>
    <s v="Vancouver"/>
    <s v="加拿大二店"/>
    <x v="1"/>
    <x v="1"/>
    <x v="96"/>
    <x v="92"/>
    <x v="100"/>
    <s v="整份"/>
    <n v="49.95"/>
    <s v="份"/>
    <n v="7"/>
    <n v="349.65"/>
    <n v="0"/>
    <n v="0"/>
    <n v="0"/>
    <n v="0"/>
    <n v="2"/>
    <n v="99.9"/>
    <n v="0"/>
    <n v="-0.03"/>
    <n v="19.98"/>
    <n v="0"/>
    <n v="5"/>
    <n v="241.29"/>
    <n v="11.49"/>
    <n v="229.8"/>
    <n v="1"/>
  </r>
  <r>
    <s v="2021-06-04"/>
    <s v="Vancouver"/>
    <s v="加拿大二店"/>
    <x v="2"/>
    <x v="2"/>
    <x v="97"/>
    <x v="93"/>
    <x v="101"/>
    <s v="冰镇"/>
    <n v="5.95"/>
    <s v="听"/>
    <n v="1"/>
    <n v="5.95"/>
    <n v="0"/>
    <n v="0"/>
    <n v="0"/>
    <n v="0"/>
    <n v="0"/>
    <n v="0"/>
    <n v="0"/>
    <n v="0"/>
    <n v="0"/>
    <n v="0"/>
    <n v="1"/>
    <n v="6.84"/>
    <n v="0.89"/>
    <n v="5.95"/>
    <n v="1"/>
  </r>
  <r>
    <s v="2021-06-04"/>
    <s v="Vancouver"/>
    <s v="加拿大二店"/>
    <x v="6"/>
    <x v="13"/>
    <x v="98"/>
    <x v="94"/>
    <x v="102"/>
    <s v="整份"/>
    <n v="3.95"/>
    <s v="份"/>
    <n v="6"/>
    <n v="23.7"/>
    <n v="0"/>
    <n v="0"/>
    <n v="0"/>
    <n v="0"/>
    <n v="0"/>
    <n v="0"/>
    <n v="0"/>
    <n v="0"/>
    <n v="0"/>
    <n v="0"/>
    <n v="6"/>
    <n v="24.88"/>
    <n v="1.18"/>
    <n v="23.7"/>
    <n v="1"/>
  </r>
  <r>
    <s v="2021-06-04"/>
    <s v="Vancouver"/>
    <s v="加拿大二店"/>
    <x v="1"/>
    <x v="3"/>
    <x v="99"/>
    <x v="95"/>
    <x v="103"/>
    <s v="整份"/>
    <n v="5.95"/>
    <s v="份"/>
    <n v="2"/>
    <n v="11.9"/>
    <n v="0"/>
    <n v="0"/>
    <n v="0"/>
    <n v="0"/>
    <n v="0"/>
    <n v="0"/>
    <n v="0"/>
    <n v="0"/>
    <n v="0"/>
    <n v="0"/>
    <n v="2"/>
    <n v="12.49"/>
    <n v="0.59"/>
    <n v="11.9"/>
    <n v="1"/>
  </r>
  <r>
    <s v="2021-06-04"/>
    <s v="Vancouver"/>
    <s v="加拿大二店"/>
    <x v="1"/>
    <x v="3"/>
    <x v="100"/>
    <x v="96"/>
    <x v="104"/>
    <s v="整份"/>
    <n v="7.95"/>
    <s v="份"/>
    <n v="12"/>
    <n v="95.4"/>
    <n v="0"/>
    <n v="0"/>
    <n v="0"/>
    <n v="0"/>
    <n v="1"/>
    <n v="7.95"/>
    <n v="0"/>
    <n v="0"/>
    <n v="3.18"/>
    <n v="0"/>
    <n v="11"/>
    <n v="88.48"/>
    <n v="4.21"/>
    <n v="84.27"/>
    <n v="1"/>
  </r>
  <r>
    <s v="2021-06-04"/>
    <s v="Vancouver"/>
    <s v="加拿大二店"/>
    <x v="1"/>
    <x v="8"/>
    <x v="101"/>
    <x v="97"/>
    <x v="105"/>
    <s v="整份"/>
    <n v="5.95"/>
    <s v="份"/>
    <n v="9"/>
    <n v="53.55"/>
    <n v="1"/>
    <n v="5.95"/>
    <n v="0"/>
    <n v="0"/>
    <n v="0"/>
    <n v="0"/>
    <n v="0"/>
    <n v="0"/>
    <n v="0"/>
    <n v="0"/>
    <n v="8"/>
    <n v="49.98"/>
    <n v="2.38"/>
    <n v="47.6"/>
    <n v="1"/>
  </r>
  <r>
    <s v="2021-06-04"/>
    <s v="Vancouver"/>
    <s v="加拿大二店"/>
    <x v="1"/>
    <x v="6"/>
    <x v="102"/>
    <x v="98"/>
    <x v="106"/>
    <s v="整份"/>
    <n v="8.95"/>
    <s v="份"/>
    <n v="6"/>
    <n v="53.7"/>
    <n v="0"/>
    <n v="0"/>
    <n v="0"/>
    <n v="0"/>
    <n v="1"/>
    <n v="8.95"/>
    <n v="0"/>
    <n v="0"/>
    <n v="1.07"/>
    <n v="0"/>
    <n v="5"/>
    <n v="45.86"/>
    <n v="2.18"/>
    <n v="43.68"/>
    <n v="1"/>
  </r>
  <r>
    <s v="2021-06-04"/>
    <s v="Vancouver"/>
    <s v="加拿大二店"/>
    <x v="3"/>
    <x v="7"/>
    <x v="103"/>
    <x v="99"/>
    <x v="107"/>
    <s v="整份"/>
    <n v="5.95"/>
    <s v="份"/>
    <n v="22"/>
    <n v="130.9"/>
    <n v="2"/>
    <n v="11.9"/>
    <n v="0"/>
    <n v="0"/>
    <n v="0"/>
    <n v="0"/>
    <n v="0"/>
    <n v="0"/>
    <n v="10.49"/>
    <n v="0"/>
    <n v="20"/>
    <n v="113.93"/>
    <n v="5.42"/>
    <n v="108.51"/>
    <n v="1"/>
  </r>
  <r>
    <s v="2021-06-04"/>
    <s v="Vancouver"/>
    <s v="加拿大二店"/>
    <x v="3"/>
    <x v="7"/>
    <x v="104"/>
    <x v="100"/>
    <x v="108"/>
    <s v="整份"/>
    <n v="3.95"/>
    <s v="份"/>
    <n v="7"/>
    <n v="27.65"/>
    <n v="0"/>
    <n v="0"/>
    <n v="0"/>
    <n v="0"/>
    <n v="0"/>
    <n v="0"/>
    <n v="0"/>
    <n v="0"/>
    <n v="0"/>
    <n v="0"/>
    <n v="7"/>
    <n v="29.03"/>
    <n v="1.38"/>
    <n v="27.65"/>
    <n v="1"/>
  </r>
  <r>
    <s v="2021-06-04"/>
    <s v="Vancouver"/>
    <s v="加拿大二店"/>
    <x v="1"/>
    <x v="8"/>
    <x v="105"/>
    <x v="101"/>
    <x v="109"/>
    <s v="整份"/>
    <n v="4.95"/>
    <s v="份"/>
    <n v="19"/>
    <n v="94.05"/>
    <n v="0"/>
    <n v="0"/>
    <n v="0"/>
    <n v="0"/>
    <n v="0"/>
    <n v="0"/>
    <n v="0"/>
    <n v="0"/>
    <n v="6.73"/>
    <n v="0"/>
    <n v="19"/>
    <n v="91.68"/>
    <n v="4.36"/>
    <n v="87.32"/>
    <n v="1"/>
  </r>
  <r>
    <s v="2021-06-04"/>
    <s v="Vancouver"/>
    <s v="加拿大二店"/>
    <x v="4"/>
    <x v="9"/>
    <x v="106"/>
    <x v="0"/>
    <x v="110"/>
    <s v="拼锅"/>
    <n v="11.95"/>
    <s v="锅"/>
    <n v="13"/>
    <n v="155.35"/>
    <n v="1"/>
    <n v="11.95"/>
    <n v="0"/>
    <n v="0"/>
    <n v="0"/>
    <n v="0"/>
    <n v="0"/>
    <n v="0.03"/>
    <n v="6.7"/>
    <n v="0"/>
    <n v="12"/>
    <n v="143.5"/>
    <n v="6.83"/>
    <n v="136.67"/>
    <n v="2"/>
  </r>
  <r>
    <s v="2021-06-04"/>
    <s v="Vancouver"/>
    <s v="加拿大二店"/>
    <x v="4"/>
    <x v="10"/>
    <x v="106"/>
    <x v="0"/>
    <x v="110"/>
    <s v="四宫格"/>
    <n v="5.95"/>
    <s v="锅"/>
    <n v="4"/>
    <n v="23.8"/>
    <n v="0"/>
    <n v="0"/>
    <n v="0"/>
    <n v="0"/>
    <n v="0"/>
    <n v="0"/>
    <n v="0"/>
    <n v="0.02"/>
    <n v="1.19"/>
    <n v="0"/>
    <n v="4"/>
    <n v="23.71"/>
    <n v="1.12"/>
    <n v="22.59"/>
    <n v="1"/>
  </r>
  <r>
    <s v="2021-06-04"/>
    <s v="Vancouver"/>
    <s v="加拿大二店"/>
    <x v="4"/>
    <x v="9"/>
    <x v="107"/>
    <x v="0"/>
    <x v="111"/>
    <s v="拼锅"/>
    <n v="11.95"/>
    <s v="锅"/>
    <n v="10"/>
    <n v="119.5"/>
    <n v="1"/>
    <n v="11.95"/>
    <n v="0"/>
    <n v="0"/>
    <n v="0"/>
    <n v="0"/>
    <n v="0"/>
    <n v="0"/>
    <n v="1.43"/>
    <n v="0"/>
    <n v="9"/>
    <n v="111.42"/>
    <n v="5.3"/>
    <n v="106.12"/>
    <n v="2"/>
  </r>
  <r>
    <s v="2021-06-04"/>
    <s v="Vancouver"/>
    <s v="加拿大二店"/>
    <x v="4"/>
    <x v="10"/>
    <x v="107"/>
    <x v="0"/>
    <x v="111"/>
    <s v="四宫格"/>
    <n v="5.95"/>
    <s v="锅"/>
    <n v="4"/>
    <n v="23.8"/>
    <n v="0"/>
    <n v="0"/>
    <n v="0"/>
    <n v="0"/>
    <n v="0"/>
    <n v="0"/>
    <n v="0"/>
    <n v="0"/>
    <n v="0"/>
    <n v="0"/>
    <n v="4"/>
    <n v="24.99"/>
    <n v="1.19"/>
    <n v="23.8"/>
    <n v="1"/>
  </r>
  <r>
    <s v="2021-06-05"/>
    <s v="Vancouver"/>
    <s v="加拿大二店"/>
    <x v="0"/>
    <x v="0"/>
    <x v="0"/>
    <x v="0"/>
    <x v="0"/>
    <s v="套餐"/>
    <n v="139.95"/>
    <s v="套餐"/>
    <n v="3"/>
    <n v="419.85"/>
    <n v="0"/>
    <n v="0"/>
    <n v="0"/>
    <n v="0"/>
    <n v="0"/>
    <n v="0"/>
    <n v="0"/>
    <n v="0.03"/>
    <n v="0"/>
    <n v="0"/>
    <n v="3"/>
    <n v="445"/>
    <n v="25.18"/>
    <n v="419.82"/>
    <n v="1"/>
  </r>
  <r>
    <s v="2021-06-05"/>
    <s v="Vancouver"/>
    <s v="加拿大二店"/>
    <x v="1"/>
    <x v="1"/>
    <x v="1"/>
    <x v="1"/>
    <x v="1"/>
    <s v="整份"/>
    <n v="16.95"/>
    <s v="份"/>
    <n v="16"/>
    <n v="271.2"/>
    <n v="0"/>
    <n v="0"/>
    <n v="0"/>
    <n v="0"/>
    <n v="1"/>
    <n v="16.95"/>
    <n v="0"/>
    <n v="0"/>
    <n v="11.86"/>
    <n v="0"/>
    <n v="15"/>
    <n v="254.5"/>
    <n v="12.11"/>
    <n v="242.39"/>
    <n v="1"/>
  </r>
  <r>
    <s v="2021-06-05"/>
    <s v="Vancouver"/>
    <s v="加拿大二店"/>
    <x v="1"/>
    <x v="1"/>
    <x v="2"/>
    <x v="2"/>
    <x v="2"/>
    <s v="整份"/>
    <n v="25.95"/>
    <s v="份"/>
    <n v="25"/>
    <n v="648.75"/>
    <n v="0"/>
    <n v="0"/>
    <n v="0"/>
    <n v="0"/>
    <n v="0"/>
    <n v="0"/>
    <n v="0"/>
    <n v="0.01"/>
    <n v="0"/>
    <n v="0"/>
    <n v="25"/>
    <n v="681.17"/>
    <n v="32.43"/>
    <n v="648.74"/>
    <n v="1"/>
  </r>
  <r>
    <s v="2021-06-05"/>
    <s v="Vancouver"/>
    <s v="加拿大二店"/>
    <x v="2"/>
    <x v="2"/>
    <x v="4"/>
    <x v="4"/>
    <x v="4"/>
    <s v="壶"/>
    <n v="22.95"/>
    <s v="壶"/>
    <n v="1"/>
    <n v="22.95"/>
    <n v="0"/>
    <n v="0"/>
    <n v="0"/>
    <n v="0"/>
    <n v="0"/>
    <n v="0"/>
    <n v="0"/>
    <n v="0.01"/>
    <n v="0"/>
    <n v="0"/>
    <n v="1"/>
    <n v="26.38"/>
    <n v="3.44"/>
    <n v="22.94"/>
    <n v="1"/>
  </r>
  <r>
    <s v="2021-06-05"/>
    <s v="Vancouver"/>
    <s v="加拿大二店"/>
    <x v="2"/>
    <x v="2"/>
    <x v="5"/>
    <x v="5"/>
    <x v="5"/>
    <s v="杯"/>
    <n v="6.95"/>
    <s v="杯"/>
    <n v="2"/>
    <n v="13.9"/>
    <n v="0"/>
    <n v="0"/>
    <n v="0"/>
    <n v="0"/>
    <n v="0"/>
    <n v="0"/>
    <n v="0"/>
    <n v="0.01"/>
    <n v="0"/>
    <n v="0"/>
    <n v="2"/>
    <n v="15.97"/>
    <n v="2.08"/>
    <n v="13.89"/>
    <n v="1"/>
  </r>
  <r>
    <s v="2021-06-05"/>
    <s v="Vancouver"/>
    <s v="加拿大二店"/>
    <x v="1"/>
    <x v="3"/>
    <x v="6"/>
    <x v="6"/>
    <x v="6"/>
    <s v="整份"/>
    <n v="7.95"/>
    <s v="份"/>
    <n v="14"/>
    <n v="111.3"/>
    <n v="1"/>
    <n v="7.95"/>
    <n v="0"/>
    <n v="0"/>
    <n v="0"/>
    <n v="0"/>
    <n v="0"/>
    <n v="0.01"/>
    <n v="6.21"/>
    <n v="0"/>
    <n v="13"/>
    <n v="101.98"/>
    <n v="4.85"/>
    <n v="97.13"/>
    <n v="1"/>
  </r>
  <r>
    <s v="2021-06-05"/>
    <s v="Vancouver"/>
    <s v="加拿大二店"/>
    <x v="0"/>
    <x v="0"/>
    <x v="124"/>
    <x v="0"/>
    <x v="128"/>
    <s v="套餐"/>
    <n v="59.95"/>
    <s v="套餐"/>
    <n v="3"/>
    <n v="179.85"/>
    <n v="0"/>
    <n v="0"/>
    <n v="0"/>
    <n v="0"/>
    <n v="0"/>
    <n v="0"/>
    <n v="0"/>
    <n v="-0.03"/>
    <n v="0"/>
    <n v="0"/>
    <n v="3"/>
    <n v="190.67"/>
    <n v="10.79"/>
    <n v="179.88"/>
    <n v="1"/>
  </r>
  <r>
    <s v="2021-06-05"/>
    <s v="Vancouver"/>
    <s v="加拿大二店"/>
    <x v="2"/>
    <x v="4"/>
    <x v="7"/>
    <x v="7"/>
    <x v="7"/>
    <s v="常温"/>
    <n v="2.45"/>
    <s v="罐"/>
    <n v="1"/>
    <n v="2.45"/>
    <n v="0"/>
    <n v="0"/>
    <n v="0"/>
    <n v="0"/>
    <n v="1"/>
    <n v="2.45"/>
    <n v="0"/>
    <n v="0"/>
    <n v="0"/>
    <n v="0"/>
    <n v="0"/>
    <n v="0"/>
    <n v="0"/>
    <n v="0"/>
    <n v="1"/>
  </r>
  <r>
    <s v="2021-06-05"/>
    <s v="Vancouver"/>
    <s v="加拿大二店"/>
    <x v="0"/>
    <x v="20"/>
    <x v="109"/>
    <x v="103"/>
    <x v="113"/>
    <s v="整份"/>
    <n v="8.95"/>
    <s v="份"/>
    <n v="1"/>
    <n v="8.95"/>
    <n v="0"/>
    <n v="0"/>
    <n v="0"/>
    <n v="0"/>
    <n v="0"/>
    <n v="0"/>
    <n v="0"/>
    <n v="0"/>
    <n v="0"/>
    <n v="0"/>
    <n v="1"/>
    <n v="9.39"/>
    <n v="0.44"/>
    <n v="8.95"/>
    <n v="1"/>
  </r>
  <r>
    <s v="2021-06-05"/>
    <s v="Vancouver"/>
    <s v="加拿大二店"/>
    <x v="2"/>
    <x v="4"/>
    <x v="110"/>
    <x v="104"/>
    <x v="114"/>
    <s v="小瓶"/>
    <n v="3.95"/>
    <s v="瓶"/>
    <n v="2"/>
    <n v="7.9"/>
    <n v="0"/>
    <n v="0"/>
    <n v="0"/>
    <n v="0"/>
    <n v="0"/>
    <n v="0"/>
    <n v="0"/>
    <n v="-0.04"/>
    <n v="0"/>
    <n v="0"/>
    <n v="2"/>
    <n v="8.89"/>
    <n v="0.95"/>
    <n v="7.94"/>
    <n v="1"/>
  </r>
  <r>
    <s v="2021-06-05"/>
    <s v="Vancouver"/>
    <s v="加拿大二店"/>
    <x v="3"/>
    <x v="5"/>
    <x v="8"/>
    <x v="8"/>
    <x v="8"/>
    <s v="整份"/>
    <n v="3.95"/>
    <s v="份"/>
    <n v="13"/>
    <n v="51.35"/>
    <n v="0"/>
    <n v="0"/>
    <n v="0"/>
    <n v="0"/>
    <n v="0"/>
    <n v="0"/>
    <n v="0"/>
    <n v="0"/>
    <n v="2.43"/>
    <n v="0"/>
    <n v="13"/>
    <n v="51.36"/>
    <n v="2.44"/>
    <n v="48.92"/>
    <n v="1"/>
  </r>
  <r>
    <s v="2021-06-05"/>
    <s v="Vancouver"/>
    <s v="加拿大二店"/>
    <x v="2"/>
    <x v="4"/>
    <x v="10"/>
    <x v="10"/>
    <x v="10"/>
    <s v="半份"/>
    <n v="6.95"/>
    <s v="扎"/>
    <n v="6"/>
    <n v="41.7"/>
    <n v="0"/>
    <n v="0"/>
    <n v="0"/>
    <n v="0"/>
    <n v="0"/>
    <n v="0"/>
    <n v="0"/>
    <n v="0"/>
    <n v="0"/>
    <n v="0"/>
    <n v="6"/>
    <n v="46.7"/>
    <n v="5"/>
    <n v="41.7"/>
    <n v="0.5"/>
  </r>
  <r>
    <s v="2021-06-05"/>
    <s v="Vancouver"/>
    <s v="加拿大二店"/>
    <x v="2"/>
    <x v="4"/>
    <x v="10"/>
    <x v="11"/>
    <x v="11"/>
    <s v="整份"/>
    <n v="9.95"/>
    <s v="扎"/>
    <n v="10"/>
    <n v="99.5"/>
    <n v="0"/>
    <n v="0"/>
    <n v="0"/>
    <n v="0"/>
    <n v="0"/>
    <n v="0"/>
    <n v="0"/>
    <n v="0"/>
    <n v="0"/>
    <n v="0"/>
    <n v="10"/>
    <n v="111.44"/>
    <n v="11.94"/>
    <n v="99.5"/>
    <n v="1"/>
  </r>
  <r>
    <s v="2021-06-05"/>
    <s v="Vancouver"/>
    <s v="加拿大二店"/>
    <x v="1"/>
    <x v="6"/>
    <x v="11"/>
    <x v="12"/>
    <x v="12"/>
    <s v="整份"/>
    <n v="8.95"/>
    <s v="份"/>
    <n v="7"/>
    <n v="62.65"/>
    <n v="0"/>
    <n v="0"/>
    <n v="0"/>
    <n v="0"/>
    <n v="0"/>
    <n v="0"/>
    <n v="0"/>
    <n v="0"/>
    <n v="5.2"/>
    <n v="0"/>
    <n v="7"/>
    <n v="60.32"/>
    <n v="2.87"/>
    <n v="57.45"/>
    <n v="1"/>
  </r>
  <r>
    <s v="2021-06-05"/>
    <s v="Vancouver"/>
    <s v="加拿大二店"/>
    <x v="1"/>
    <x v="6"/>
    <x v="12"/>
    <x v="13"/>
    <x v="13"/>
    <s v="整份"/>
    <n v="16.95"/>
    <s v="份"/>
    <n v="1"/>
    <n v="16.95"/>
    <n v="0"/>
    <n v="0"/>
    <n v="0"/>
    <n v="0"/>
    <n v="0"/>
    <n v="0"/>
    <n v="0"/>
    <n v="0"/>
    <n v="0"/>
    <n v="0"/>
    <n v="1"/>
    <n v="17.79"/>
    <n v="0.84"/>
    <n v="16.95"/>
    <n v="1"/>
  </r>
  <r>
    <s v="2021-06-05"/>
    <s v="Vancouver"/>
    <s v="加拿大二店"/>
    <x v="1"/>
    <x v="6"/>
    <x v="13"/>
    <x v="14"/>
    <x v="14"/>
    <s v="整份"/>
    <n v="21.95"/>
    <s v="份"/>
    <n v="6"/>
    <n v="131.7"/>
    <n v="0"/>
    <n v="0"/>
    <n v="0"/>
    <n v="0"/>
    <n v="0"/>
    <n v="0"/>
    <n v="0"/>
    <n v="0"/>
    <n v="6.58"/>
    <n v="0"/>
    <n v="6"/>
    <n v="131.37"/>
    <n v="6.25"/>
    <n v="125.12"/>
    <n v="1"/>
  </r>
  <r>
    <s v="2021-06-05"/>
    <s v="Vancouver"/>
    <s v="加拿大二店"/>
    <x v="1"/>
    <x v="6"/>
    <x v="14"/>
    <x v="15"/>
    <x v="15"/>
    <s v="整份"/>
    <n v="29.95"/>
    <s v="份"/>
    <n v="1"/>
    <n v="29.95"/>
    <n v="0"/>
    <n v="0"/>
    <n v="0"/>
    <n v="0"/>
    <n v="0"/>
    <n v="0"/>
    <n v="0"/>
    <n v="0"/>
    <n v="0"/>
    <n v="0"/>
    <n v="1"/>
    <n v="31.44"/>
    <n v="1.49"/>
    <n v="29.95"/>
    <n v="1"/>
  </r>
  <r>
    <s v="2021-06-05"/>
    <s v="Vancouver"/>
    <s v="加拿大二店"/>
    <x v="1"/>
    <x v="6"/>
    <x v="121"/>
    <x v="115"/>
    <x v="125"/>
    <s v="整份"/>
    <n v="12.95"/>
    <s v="份"/>
    <n v="2"/>
    <n v="25.9"/>
    <n v="0"/>
    <n v="0"/>
    <n v="0"/>
    <n v="0"/>
    <n v="0"/>
    <n v="0"/>
    <n v="0"/>
    <n v="0"/>
    <n v="0"/>
    <n v="0"/>
    <n v="2"/>
    <n v="27.19"/>
    <n v="1.29"/>
    <n v="25.9"/>
    <n v="1"/>
  </r>
  <r>
    <s v="2021-06-05"/>
    <s v="Vancouver"/>
    <s v="加拿大二店"/>
    <x v="1"/>
    <x v="6"/>
    <x v="15"/>
    <x v="16"/>
    <x v="16"/>
    <s v="整份"/>
    <n v="8.95"/>
    <s v="份"/>
    <n v="3"/>
    <n v="26.85"/>
    <n v="0"/>
    <n v="0"/>
    <n v="0"/>
    <n v="0"/>
    <n v="0"/>
    <n v="0"/>
    <n v="0"/>
    <n v="0"/>
    <n v="1.79"/>
    <n v="0"/>
    <n v="3"/>
    <n v="26.31"/>
    <n v="1.25"/>
    <n v="25.06"/>
    <n v="1"/>
  </r>
  <r>
    <s v="2021-06-05"/>
    <s v="Vancouver"/>
    <s v="加拿大二店"/>
    <x v="3"/>
    <x v="7"/>
    <x v="16"/>
    <x v="17"/>
    <x v="17"/>
    <s v="整份"/>
    <n v="4.95"/>
    <s v="份"/>
    <n v="23"/>
    <n v="113.85"/>
    <n v="1"/>
    <n v="4.95"/>
    <n v="0"/>
    <n v="0"/>
    <n v="0"/>
    <n v="0"/>
    <n v="0"/>
    <n v="0"/>
    <n v="1.48"/>
    <n v="0"/>
    <n v="22"/>
    <n v="112.79"/>
    <n v="5.37"/>
    <n v="107.42"/>
    <n v="1"/>
  </r>
  <r>
    <s v="2021-06-05"/>
    <s v="Vancouver"/>
    <s v="加拿大二店"/>
    <x v="2"/>
    <x v="4"/>
    <x v="17"/>
    <x v="18"/>
    <x v="18"/>
    <s v="常温"/>
    <n v="2.95"/>
    <s v="瓶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05"/>
    <s v="Vancouver"/>
    <s v="加拿大二店"/>
    <x v="2"/>
    <x v="4"/>
    <x v="17"/>
    <x v="18"/>
    <x v="18"/>
    <s v="冰镇"/>
    <n v="2.95"/>
    <s v="瓶"/>
    <n v="3"/>
    <n v="8.85"/>
    <n v="0"/>
    <n v="0"/>
    <n v="0"/>
    <n v="0"/>
    <n v="0"/>
    <n v="0"/>
    <n v="0"/>
    <n v="0"/>
    <n v="0"/>
    <n v="0"/>
    <n v="3"/>
    <n v="9.91"/>
    <n v="1.06"/>
    <n v="8.85"/>
    <n v="1"/>
  </r>
  <r>
    <s v="2021-06-05"/>
    <s v="Vancouver"/>
    <s v="加拿大二店"/>
    <x v="2"/>
    <x v="2"/>
    <x v="127"/>
    <x v="121"/>
    <x v="132"/>
    <s v="冰镇"/>
    <n v="4.95"/>
    <s v="瓶"/>
    <n v="2"/>
    <n v="9.9"/>
    <n v="0"/>
    <n v="0"/>
    <n v="0"/>
    <n v="0"/>
    <n v="0"/>
    <n v="0"/>
    <n v="0"/>
    <n v="0"/>
    <n v="0"/>
    <n v="0"/>
    <n v="2"/>
    <n v="11.38"/>
    <n v="1.48"/>
    <n v="9.9"/>
    <n v="1"/>
  </r>
  <r>
    <s v="2021-06-05"/>
    <s v="Vancouver"/>
    <s v="加拿大二店"/>
    <x v="2"/>
    <x v="4"/>
    <x v="18"/>
    <x v="19"/>
    <x v="19"/>
    <s v="冰镇"/>
    <n v="2.95"/>
    <s v="听"/>
    <n v="3"/>
    <n v="8.85"/>
    <n v="0"/>
    <n v="0"/>
    <n v="0"/>
    <n v="0"/>
    <n v="0"/>
    <n v="0"/>
    <n v="0"/>
    <n v="0"/>
    <n v="0"/>
    <n v="0"/>
    <n v="3"/>
    <n v="9.91"/>
    <n v="1.06"/>
    <n v="8.85"/>
    <n v="1"/>
  </r>
  <r>
    <s v="2021-06-05"/>
    <s v="Vancouver"/>
    <s v="加拿大二店"/>
    <x v="1"/>
    <x v="8"/>
    <x v="19"/>
    <x v="20"/>
    <x v="20"/>
    <s v="整份"/>
    <n v="5.95"/>
    <s v="份"/>
    <n v="28"/>
    <n v="166.6"/>
    <n v="0"/>
    <n v="0"/>
    <n v="0"/>
    <n v="0"/>
    <n v="0"/>
    <n v="0"/>
    <n v="0"/>
    <n v="0"/>
    <n v="6.04"/>
    <n v="0"/>
    <n v="28"/>
    <n v="168.58"/>
    <n v="8.02"/>
    <n v="160.56"/>
    <n v="1"/>
  </r>
  <r>
    <s v="2021-06-05"/>
    <s v="Vancouver"/>
    <s v="加拿大二店"/>
    <x v="1"/>
    <x v="8"/>
    <x v="20"/>
    <x v="21"/>
    <x v="21"/>
    <s v="整份"/>
    <n v="7.95"/>
    <s v="份"/>
    <n v="3"/>
    <n v="23.85"/>
    <n v="0"/>
    <n v="0"/>
    <n v="0"/>
    <n v="0"/>
    <n v="0"/>
    <n v="0"/>
    <n v="0"/>
    <n v="0.01"/>
    <n v="1.59"/>
    <n v="0"/>
    <n v="3"/>
    <n v="23.36"/>
    <n v="1.11"/>
    <n v="22.25"/>
    <n v="1"/>
  </r>
  <r>
    <s v="2021-06-05"/>
    <s v="Vancouver"/>
    <s v="加拿大二店"/>
    <x v="2"/>
    <x v="4"/>
    <x v="21"/>
    <x v="22"/>
    <x v="22"/>
    <s v="冰镇"/>
    <n v="2.45"/>
    <s v="听"/>
    <n v="5"/>
    <n v="12.25"/>
    <n v="0"/>
    <n v="0"/>
    <n v="0"/>
    <n v="0"/>
    <n v="0"/>
    <n v="0"/>
    <n v="0"/>
    <n v="0"/>
    <n v="0"/>
    <n v="0"/>
    <n v="5"/>
    <n v="13.72"/>
    <n v="1.47"/>
    <n v="12.25"/>
    <n v="1"/>
  </r>
  <r>
    <s v="2021-06-05"/>
    <s v="Vancouver"/>
    <s v="加拿大二店"/>
    <x v="4"/>
    <x v="16"/>
    <x v="22"/>
    <x v="0"/>
    <x v="23"/>
    <s v="单锅"/>
    <n v="22.95"/>
    <s v="锅"/>
    <n v="1"/>
    <n v="22.95"/>
    <n v="0"/>
    <n v="0"/>
    <n v="0"/>
    <n v="0"/>
    <n v="0"/>
    <n v="0"/>
    <n v="0"/>
    <n v="-0.02"/>
    <n v="0"/>
    <n v="0"/>
    <n v="1"/>
    <n v="24.34"/>
    <n v="1.37"/>
    <n v="22.97"/>
    <n v="4"/>
  </r>
  <r>
    <s v="2021-06-05"/>
    <s v="Vancouver"/>
    <s v="加拿大二店"/>
    <x v="4"/>
    <x v="9"/>
    <x v="22"/>
    <x v="0"/>
    <x v="23"/>
    <s v="拼锅"/>
    <n v="11.95"/>
    <s v="锅"/>
    <n v="3"/>
    <n v="35.85"/>
    <n v="0"/>
    <n v="0"/>
    <n v="0"/>
    <n v="0"/>
    <n v="0"/>
    <n v="0"/>
    <n v="0"/>
    <n v="0"/>
    <n v="0"/>
    <n v="0"/>
    <n v="3"/>
    <n v="38"/>
    <n v="2.15"/>
    <n v="35.85"/>
    <n v="2"/>
  </r>
  <r>
    <s v="2021-06-05"/>
    <s v="Vancouver"/>
    <s v="加拿大二店"/>
    <x v="4"/>
    <x v="10"/>
    <x v="22"/>
    <x v="0"/>
    <x v="23"/>
    <s v="四宫格"/>
    <n v="5.95"/>
    <s v="锅"/>
    <n v="6"/>
    <n v="35.7"/>
    <n v="0"/>
    <n v="0"/>
    <n v="0"/>
    <n v="0"/>
    <n v="0"/>
    <n v="0"/>
    <n v="0"/>
    <n v="0"/>
    <n v="0"/>
    <n v="0"/>
    <n v="6"/>
    <n v="37.84"/>
    <n v="2.14"/>
    <n v="35.7"/>
    <n v="1"/>
  </r>
  <r>
    <s v="2021-06-05"/>
    <s v="Vancouver"/>
    <s v="加拿大二店"/>
    <x v="3"/>
    <x v="7"/>
    <x v="23"/>
    <x v="23"/>
    <x v="24"/>
    <s v="整份"/>
    <n v="4.95"/>
    <s v="份"/>
    <n v="31"/>
    <n v="153.45"/>
    <n v="1"/>
    <n v="4.95"/>
    <n v="0"/>
    <n v="0"/>
    <n v="0"/>
    <n v="0"/>
    <n v="0"/>
    <n v="0"/>
    <n v="2.47"/>
    <n v="0"/>
    <n v="30"/>
    <n v="153.33"/>
    <n v="7.3"/>
    <n v="146.03"/>
    <n v="1"/>
  </r>
  <r>
    <s v="2021-06-05"/>
    <s v="Vancouver"/>
    <s v="加拿大二店"/>
    <x v="3"/>
    <x v="11"/>
    <x v="24"/>
    <x v="118"/>
    <x v="129"/>
    <s v="整份"/>
    <n v="5.95"/>
    <s v="份"/>
    <n v="2"/>
    <n v="11.9"/>
    <n v="0"/>
    <n v="0"/>
    <n v="0"/>
    <n v="0"/>
    <n v="0"/>
    <n v="0"/>
    <n v="0"/>
    <n v="0"/>
    <n v="0"/>
    <n v="0"/>
    <n v="2"/>
    <n v="12.49"/>
    <n v="0.59"/>
    <n v="11.9"/>
    <n v="1"/>
  </r>
  <r>
    <s v="2021-06-05"/>
    <s v="Vancouver"/>
    <s v="加拿大二店"/>
    <x v="3"/>
    <x v="11"/>
    <x v="24"/>
    <x v="24"/>
    <x v="25"/>
    <s v="半份"/>
    <n v="2.95"/>
    <s v="份"/>
    <n v="6"/>
    <n v="17.7"/>
    <n v="1"/>
    <n v="2.95"/>
    <n v="0"/>
    <n v="0"/>
    <n v="0"/>
    <n v="0"/>
    <n v="0"/>
    <n v="0"/>
    <n v="0"/>
    <n v="0"/>
    <n v="5"/>
    <n v="15.48"/>
    <n v="0.73"/>
    <n v="14.75"/>
    <n v="0.5"/>
  </r>
  <r>
    <s v="2021-06-05"/>
    <s v="Vancouver"/>
    <s v="加拿大二店"/>
    <x v="3"/>
    <x v="5"/>
    <x v="25"/>
    <x v="25"/>
    <x v="26"/>
    <s v="整份"/>
    <n v="3.95"/>
    <s v="份"/>
    <n v="5"/>
    <n v="19.75"/>
    <n v="0"/>
    <n v="0"/>
    <n v="0"/>
    <n v="0"/>
    <n v="0"/>
    <n v="0"/>
    <n v="0"/>
    <n v="0"/>
    <n v="0.79"/>
    <n v="0"/>
    <n v="5"/>
    <n v="19.9"/>
    <n v="0.94"/>
    <n v="18.96"/>
    <n v="1"/>
  </r>
  <r>
    <s v="2021-06-05"/>
    <s v="Vancouver"/>
    <s v="加拿大二店"/>
    <x v="3"/>
    <x v="11"/>
    <x v="26"/>
    <x v="26"/>
    <x v="27"/>
    <s v="整份"/>
    <n v="4.95"/>
    <s v="份"/>
    <n v="17"/>
    <n v="84.15"/>
    <n v="1"/>
    <n v="4.95"/>
    <n v="0"/>
    <n v="0"/>
    <n v="0"/>
    <n v="0"/>
    <n v="0"/>
    <n v="0"/>
    <n v="5.43"/>
    <n v="0"/>
    <n v="16"/>
    <n v="77.45"/>
    <n v="3.68"/>
    <n v="73.77"/>
    <n v="1"/>
  </r>
  <r>
    <s v="2021-06-05"/>
    <s v="Vancouver"/>
    <s v="加拿大二店"/>
    <x v="3"/>
    <x v="11"/>
    <x v="26"/>
    <x v="27"/>
    <x v="28"/>
    <s v="半份"/>
    <n v="2.45"/>
    <s v="份"/>
    <n v="16"/>
    <n v="39.2"/>
    <n v="1"/>
    <n v="2.45"/>
    <n v="0"/>
    <n v="0"/>
    <n v="0"/>
    <n v="0"/>
    <n v="0"/>
    <n v="0"/>
    <n v="1.22"/>
    <n v="0"/>
    <n v="15"/>
    <n v="37.3"/>
    <n v="1.77"/>
    <n v="35.53"/>
    <n v="0.5"/>
  </r>
  <r>
    <s v="2021-06-05"/>
    <s v="Vancouver"/>
    <s v="加拿大二店"/>
    <x v="5"/>
    <x v="12"/>
    <x v="27"/>
    <x v="28"/>
    <x v="29"/>
    <s v="整份"/>
    <n v="7.95"/>
    <s v="份"/>
    <n v="10"/>
    <n v="79.5"/>
    <n v="1"/>
    <n v="7.95"/>
    <n v="0"/>
    <n v="0"/>
    <n v="0"/>
    <n v="0"/>
    <n v="0"/>
    <n v="0"/>
    <n v="5.3"/>
    <n v="0"/>
    <n v="9"/>
    <n v="69.56"/>
    <n v="3.31"/>
    <n v="66.25"/>
    <n v="1"/>
  </r>
  <r>
    <s v="2021-06-05"/>
    <s v="Vancouver"/>
    <s v="加拿大二店"/>
    <x v="3"/>
    <x v="7"/>
    <x v="28"/>
    <x v="29"/>
    <x v="30"/>
    <s v="整份"/>
    <n v="4.95"/>
    <s v="份"/>
    <n v="22"/>
    <n v="108.9"/>
    <n v="0"/>
    <n v="0"/>
    <n v="0"/>
    <n v="0"/>
    <n v="0"/>
    <n v="0"/>
    <n v="0"/>
    <n v="0"/>
    <n v="3.46"/>
    <n v="0"/>
    <n v="22"/>
    <n v="110.71"/>
    <n v="5.27"/>
    <n v="105.44"/>
    <n v="1"/>
  </r>
  <r>
    <s v="2021-06-05"/>
    <s v="Vancouver"/>
    <s v="加拿大二店"/>
    <x v="2"/>
    <x v="4"/>
    <x v="112"/>
    <x v="106"/>
    <x v="116"/>
    <s v="冰镇"/>
    <n v="3.95"/>
    <s v="瓶"/>
    <n v="1"/>
    <n v="3.95"/>
    <n v="0"/>
    <n v="0"/>
    <n v="0"/>
    <n v="0"/>
    <n v="0"/>
    <n v="0"/>
    <n v="0"/>
    <n v="0"/>
    <n v="0"/>
    <n v="0"/>
    <n v="1"/>
    <n v="4.42"/>
    <n v="0.47"/>
    <n v="3.95"/>
    <n v="1"/>
  </r>
  <r>
    <s v="2021-06-05"/>
    <s v="Vancouver"/>
    <s v="加拿大二店"/>
    <x v="3"/>
    <x v="5"/>
    <x v="29"/>
    <x v="30"/>
    <x v="31"/>
    <s v="整份"/>
    <n v="3.95"/>
    <s v="份"/>
    <n v="6"/>
    <n v="23.7"/>
    <n v="1"/>
    <n v="3.95"/>
    <n v="0"/>
    <n v="0"/>
    <n v="0"/>
    <n v="0"/>
    <n v="0"/>
    <n v="0"/>
    <n v="0.79"/>
    <n v="0"/>
    <n v="5"/>
    <n v="19.9"/>
    <n v="0.94"/>
    <n v="18.96"/>
    <n v="1"/>
  </r>
  <r>
    <s v="2021-06-05"/>
    <s v="Vancouver"/>
    <s v="加拿大二店"/>
    <x v="6"/>
    <x v="13"/>
    <x v="30"/>
    <x v="31"/>
    <x v="32"/>
    <s v="整份"/>
    <n v="4.95"/>
    <s v="份"/>
    <n v="16"/>
    <n v="79.2"/>
    <n v="0"/>
    <n v="0"/>
    <n v="0"/>
    <n v="0"/>
    <n v="4"/>
    <n v="19.8"/>
    <n v="0"/>
    <n v="0"/>
    <n v="0"/>
    <n v="0"/>
    <n v="12"/>
    <n v="62.37"/>
    <n v="2.97"/>
    <n v="59.4"/>
    <n v="1"/>
  </r>
  <r>
    <s v="2021-06-05"/>
    <s v="Vancouver"/>
    <s v="加拿大二店"/>
    <x v="6"/>
    <x v="13"/>
    <x v="31"/>
    <x v="32"/>
    <x v="33"/>
    <s v="整份"/>
    <n v="9.95"/>
    <s v="份"/>
    <n v="5"/>
    <n v="49.75"/>
    <n v="0"/>
    <n v="0"/>
    <n v="0"/>
    <n v="0"/>
    <n v="0"/>
    <n v="0"/>
    <n v="0"/>
    <n v="0"/>
    <n v="0"/>
    <n v="0"/>
    <n v="5"/>
    <n v="52.23"/>
    <n v="2.48"/>
    <n v="49.75"/>
    <n v="1"/>
  </r>
  <r>
    <s v="2021-06-05"/>
    <s v="Vancouver"/>
    <s v="加拿大二店"/>
    <x v="5"/>
    <x v="12"/>
    <x v="32"/>
    <x v="33"/>
    <x v="34"/>
    <s v="整份"/>
    <n v="17.85"/>
    <s v="份"/>
    <n v="2"/>
    <n v="35.7"/>
    <n v="0"/>
    <n v="0"/>
    <n v="0"/>
    <n v="0"/>
    <n v="0"/>
    <n v="0"/>
    <n v="0"/>
    <n v="0"/>
    <n v="3.57"/>
    <n v="0"/>
    <n v="2"/>
    <n v="33.73"/>
    <n v="1.6"/>
    <n v="32.13"/>
    <n v="1"/>
  </r>
  <r>
    <s v="2021-06-05"/>
    <s v="Vancouver"/>
    <s v="加拿大二店"/>
    <x v="1"/>
    <x v="3"/>
    <x v="33"/>
    <x v="34"/>
    <x v="35"/>
    <s v="整份"/>
    <n v="11.95"/>
    <s v="份"/>
    <n v="33"/>
    <n v="394.35"/>
    <n v="1"/>
    <n v="11.95"/>
    <n v="0"/>
    <n v="0"/>
    <n v="0"/>
    <n v="0"/>
    <n v="0"/>
    <n v="0"/>
    <n v="26.86"/>
    <n v="0"/>
    <n v="32"/>
    <n v="373.31"/>
    <n v="17.77"/>
    <n v="355.54"/>
    <n v="1"/>
  </r>
  <r>
    <s v="2021-06-05"/>
    <s v="Vancouver"/>
    <s v="加拿大二店"/>
    <x v="5"/>
    <x v="12"/>
    <x v="34"/>
    <x v="35"/>
    <x v="36"/>
    <s v="整份"/>
    <n v="11.95"/>
    <s v="份"/>
    <n v="8"/>
    <n v="95.6"/>
    <n v="1"/>
    <n v="11.95"/>
    <n v="0"/>
    <n v="0"/>
    <n v="0"/>
    <n v="0"/>
    <n v="0"/>
    <n v="0"/>
    <n v="7.16"/>
    <n v="0"/>
    <n v="7"/>
    <n v="80.31"/>
    <n v="3.82"/>
    <n v="76.49"/>
    <n v="1"/>
  </r>
  <r>
    <s v="2021-06-05"/>
    <s v="Vancouver"/>
    <s v="加拿大二店"/>
    <x v="5"/>
    <x v="12"/>
    <x v="35"/>
    <x v="36"/>
    <x v="37"/>
    <s v="条"/>
    <n v="4.95"/>
    <s v="条"/>
    <n v="32"/>
    <n v="158.4"/>
    <n v="2"/>
    <n v="9.9"/>
    <n v="0"/>
    <n v="0"/>
    <n v="3"/>
    <n v="14.85"/>
    <n v="0"/>
    <n v="0"/>
    <n v="3"/>
    <n v="0"/>
    <n v="27"/>
    <n v="137.18"/>
    <n v="6.53"/>
    <n v="130.65"/>
    <n v="1"/>
  </r>
  <r>
    <s v="2021-06-05"/>
    <s v="Vancouver"/>
    <s v="加拿大二店"/>
    <x v="5"/>
    <x v="12"/>
    <x v="36"/>
    <x v="37"/>
    <x v="38"/>
    <s v="整份"/>
    <n v="13.95"/>
    <s v="份"/>
    <n v="30"/>
    <n v="418.5"/>
    <n v="0"/>
    <n v="0"/>
    <n v="0"/>
    <n v="0"/>
    <n v="0"/>
    <n v="0"/>
    <n v="0"/>
    <n v="0"/>
    <n v="20.66"/>
    <n v="0"/>
    <n v="30"/>
    <n v="417.73"/>
    <n v="19.89"/>
    <n v="397.84"/>
    <n v="1"/>
  </r>
  <r>
    <s v="2021-06-05"/>
    <s v="Vancouver"/>
    <s v="加拿大二店"/>
    <x v="5"/>
    <x v="12"/>
    <x v="37"/>
    <x v="38"/>
    <x v="39"/>
    <s v="整份"/>
    <n v="9.95"/>
    <s v="份"/>
    <n v="25"/>
    <n v="248.75"/>
    <n v="0"/>
    <n v="0"/>
    <n v="0"/>
    <n v="0"/>
    <n v="1"/>
    <n v="9.95"/>
    <n v="0"/>
    <n v="0"/>
    <n v="13.6"/>
    <n v="0"/>
    <n v="24"/>
    <n v="236.46"/>
    <n v="11.26"/>
    <n v="225.2"/>
    <n v="1"/>
  </r>
  <r>
    <s v="2021-06-05"/>
    <s v="Vancouver"/>
    <s v="加拿大二店"/>
    <x v="5"/>
    <x v="12"/>
    <x v="38"/>
    <x v="39"/>
    <x v="40"/>
    <s v="整份"/>
    <n v="9.95"/>
    <s v="份"/>
    <n v="13"/>
    <n v="129.35"/>
    <n v="0"/>
    <n v="0"/>
    <n v="0"/>
    <n v="0"/>
    <n v="1"/>
    <n v="9.95"/>
    <n v="0"/>
    <n v="0.01"/>
    <n v="9.44"/>
    <n v="0"/>
    <n v="12"/>
    <n v="115.44"/>
    <n v="5.49"/>
    <n v="109.95"/>
    <n v="1"/>
  </r>
  <r>
    <s v="2021-06-05"/>
    <s v="Vancouver"/>
    <s v="加拿大二店"/>
    <x v="6"/>
    <x v="13"/>
    <x v="39"/>
    <x v="40"/>
    <x v="41"/>
    <s v="整份"/>
    <n v="8.95"/>
    <s v="份"/>
    <n v="30"/>
    <n v="268.5"/>
    <n v="0"/>
    <n v="0"/>
    <n v="0"/>
    <n v="0"/>
    <n v="1"/>
    <n v="8.95"/>
    <n v="0"/>
    <n v="0"/>
    <n v="0"/>
    <n v="0"/>
    <n v="29"/>
    <n v="272.52"/>
    <n v="12.97"/>
    <n v="259.55"/>
    <n v="1"/>
  </r>
  <r>
    <s v="2021-06-05"/>
    <s v="Vancouver"/>
    <s v="加拿大二店"/>
    <x v="5"/>
    <x v="12"/>
    <x v="40"/>
    <x v="41"/>
    <x v="42"/>
    <s v="整份"/>
    <n v="9.95"/>
    <s v="份"/>
    <n v="10"/>
    <n v="99.5"/>
    <n v="1"/>
    <n v="9.95"/>
    <n v="0"/>
    <n v="0"/>
    <n v="0"/>
    <n v="0"/>
    <n v="0"/>
    <n v="0"/>
    <n v="4.99"/>
    <n v="0"/>
    <n v="9"/>
    <n v="88.78"/>
    <n v="4.22"/>
    <n v="84.56"/>
    <n v="1"/>
  </r>
  <r>
    <s v="2021-06-05"/>
    <s v="Vancouver"/>
    <s v="加拿大二店"/>
    <x v="5"/>
    <x v="12"/>
    <x v="41"/>
    <x v="42"/>
    <x v="43"/>
    <s v="整份"/>
    <n v="7.95"/>
    <s v="份"/>
    <n v="20"/>
    <n v="159"/>
    <n v="1"/>
    <n v="7.95"/>
    <n v="0"/>
    <n v="0"/>
    <n v="0"/>
    <n v="0"/>
    <n v="0"/>
    <n v="0"/>
    <n v="4.76"/>
    <n v="0"/>
    <n v="19"/>
    <n v="153.6"/>
    <n v="7.31"/>
    <n v="146.29"/>
    <n v="1"/>
  </r>
  <r>
    <s v="2021-06-05"/>
    <s v="Vancouver"/>
    <s v="加拿大二店"/>
    <x v="2"/>
    <x v="2"/>
    <x v="42"/>
    <x v="43"/>
    <x v="44"/>
    <s v="冰镇"/>
    <n v="5.95"/>
    <s v="瓶"/>
    <n v="2"/>
    <n v="11.9"/>
    <n v="0"/>
    <n v="0"/>
    <n v="0"/>
    <n v="0"/>
    <n v="0"/>
    <n v="0"/>
    <n v="0"/>
    <n v="0"/>
    <n v="0"/>
    <n v="0"/>
    <n v="2"/>
    <n v="13.68"/>
    <n v="1.78"/>
    <n v="11.9"/>
    <n v="1"/>
  </r>
  <r>
    <s v="2021-06-05"/>
    <s v="Vancouver"/>
    <s v="加拿大二店"/>
    <x v="3"/>
    <x v="5"/>
    <x v="43"/>
    <x v="44"/>
    <x v="45"/>
    <s v="整份"/>
    <n v="3.95"/>
    <s v="份"/>
    <n v="7"/>
    <n v="27.65"/>
    <n v="1"/>
    <n v="3.95"/>
    <n v="0"/>
    <n v="0"/>
    <n v="0"/>
    <n v="0"/>
    <n v="0"/>
    <n v="0"/>
    <n v="0.79"/>
    <n v="0"/>
    <n v="6"/>
    <n v="24.05"/>
    <n v="1.14"/>
    <n v="22.91"/>
    <n v="1"/>
  </r>
  <r>
    <s v="2021-06-05"/>
    <s v="Vancouver"/>
    <s v="加拿大二店"/>
    <x v="7"/>
    <x v="14"/>
    <x v="44"/>
    <x v="45"/>
    <x v="46"/>
    <s v="整份"/>
    <n v="0"/>
    <s v="份"/>
    <n v="17"/>
    <n v="0"/>
    <n v="0"/>
    <n v="0"/>
    <n v="0"/>
    <n v="0"/>
    <n v="0"/>
    <n v="0"/>
    <n v="0"/>
    <n v="0.01"/>
    <n v="0"/>
    <n v="0"/>
    <n v="17"/>
    <n v="-0.01"/>
    <n v="-0.01"/>
    <n v="0"/>
    <n v="1"/>
  </r>
  <r>
    <s v="2021-06-05"/>
    <s v="Vancouver"/>
    <s v="加拿大二店"/>
    <x v="7"/>
    <x v="14"/>
    <x v="45"/>
    <x v="46"/>
    <x v="47"/>
    <s v="整份"/>
    <n v="1.5"/>
    <s v="份"/>
    <n v="1"/>
    <n v="1.5"/>
    <n v="0"/>
    <n v="0"/>
    <n v="0"/>
    <n v="0"/>
    <n v="0"/>
    <n v="0"/>
    <n v="0"/>
    <n v="0"/>
    <n v="0"/>
    <n v="0"/>
    <n v="1"/>
    <n v="1.57"/>
    <n v="0.07"/>
    <n v="1.5"/>
    <n v="1"/>
  </r>
  <r>
    <s v="2021-06-05"/>
    <s v="Vancouver"/>
    <s v="加拿大二店"/>
    <x v="7"/>
    <x v="14"/>
    <x v="45"/>
    <x v="46"/>
    <x v="47"/>
    <s v="整份"/>
    <n v="3"/>
    <s v="份"/>
    <n v="1"/>
    <n v="3"/>
    <n v="0"/>
    <n v="0"/>
    <n v="0"/>
    <n v="0"/>
    <n v="0"/>
    <n v="0"/>
    <n v="0"/>
    <n v="0"/>
    <n v="0"/>
    <n v="0"/>
    <n v="1"/>
    <n v="3.15"/>
    <n v="0.15"/>
    <n v="3"/>
    <n v="1"/>
  </r>
  <r>
    <s v="2021-06-05"/>
    <s v="Vancouver"/>
    <s v="加拿大二店"/>
    <x v="7"/>
    <x v="14"/>
    <x v="45"/>
    <x v="46"/>
    <x v="47"/>
    <s v="整份"/>
    <n v="4.98"/>
    <s v="份"/>
    <n v="1"/>
    <n v="4.98"/>
    <n v="0"/>
    <n v="0"/>
    <n v="0"/>
    <n v="0"/>
    <n v="0"/>
    <n v="0"/>
    <n v="0"/>
    <n v="0"/>
    <n v="0"/>
    <n v="0"/>
    <n v="1"/>
    <n v="5.22"/>
    <n v="0.24"/>
    <n v="4.98"/>
    <n v="1"/>
  </r>
  <r>
    <s v="2021-06-05"/>
    <s v="Vancouver"/>
    <s v="加拿大二店"/>
    <x v="7"/>
    <x v="14"/>
    <x v="45"/>
    <x v="46"/>
    <x v="47"/>
    <s v="整份"/>
    <n v="4.99"/>
    <s v="份"/>
    <n v="1"/>
    <n v="4.99"/>
    <n v="0"/>
    <n v="0"/>
    <n v="0"/>
    <n v="0"/>
    <n v="0"/>
    <n v="0"/>
    <n v="0"/>
    <n v="0"/>
    <n v="0"/>
    <n v="0"/>
    <n v="1"/>
    <n v="5.23"/>
    <n v="0.24"/>
    <n v="4.99"/>
    <n v="1"/>
  </r>
  <r>
    <s v="2021-06-05"/>
    <s v="Vancouver"/>
    <s v="加拿大二店"/>
    <x v="7"/>
    <x v="14"/>
    <x v="45"/>
    <x v="46"/>
    <x v="47"/>
    <s v="整份"/>
    <n v="9.99"/>
    <s v="份"/>
    <n v="1"/>
    <n v="9.99"/>
    <n v="0"/>
    <n v="0"/>
    <n v="0"/>
    <n v="0"/>
    <n v="0"/>
    <n v="0"/>
    <n v="0"/>
    <n v="-0.01"/>
    <n v="0"/>
    <n v="0"/>
    <n v="1"/>
    <n v="10.5"/>
    <n v="0.5"/>
    <n v="10"/>
    <n v="1"/>
  </r>
  <r>
    <s v="2021-06-05"/>
    <s v="Vancouver"/>
    <s v="加拿大二店"/>
    <x v="7"/>
    <x v="14"/>
    <x v="45"/>
    <x v="46"/>
    <x v="47"/>
    <s v="整份"/>
    <n v="12.99"/>
    <s v="份"/>
    <n v="1"/>
    <n v="12.99"/>
    <n v="0"/>
    <n v="0"/>
    <n v="0"/>
    <n v="0"/>
    <n v="0"/>
    <n v="0"/>
    <n v="0"/>
    <n v="-0.01"/>
    <n v="0"/>
    <n v="0"/>
    <n v="1"/>
    <n v="13.65"/>
    <n v="0.65"/>
    <n v="13"/>
    <n v="1"/>
  </r>
  <r>
    <s v="2021-06-05"/>
    <s v="Vancouver"/>
    <s v="加拿大二店"/>
    <x v="7"/>
    <x v="14"/>
    <x v="45"/>
    <x v="46"/>
    <x v="47"/>
    <s v="整份"/>
    <n v="14.95"/>
    <s v="份"/>
    <n v="1"/>
    <n v="14.95"/>
    <n v="0"/>
    <n v="0"/>
    <n v="0"/>
    <n v="0"/>
    <n v="0"/>
    <n v="0"/>
    <n v="0"/>
    <n v="0"/>
    <n v="0"/>
    <n v="0"/>
    <n v="1"/>
    <n v="15.69"/>
    <n v="0.74"/>
    <n v="14.95"/>
    <n v="1"/>
  </r>
  <r>
    <s v="2021-06-05"/>
    <s v="Vancouver"/>
    <s v="加拿大二店"/>
    <x v="7"/>
    <x v="14"/>
    <x v="45"/>
    <x v="46"/>
    <x v="47"/>
    <s v="整份"/>
    <n v="23.8"/>
    <s v="份"/>
    <n v="1"/>
    <n v="23.8"/>
    <n v="1"/>
    <n v="23.8"/>
    <n v="0"/>
    <n v="0"/>
    <n v="0"/>
    <n v="0"/>
    <n v="0"/>
    <n v="0"/>
    <n v="0"/>
    <n v="0"/>
    <n v="0"/>
    <n v="0"/>
    <n v="0"/>
    <n v="0"/>
    <n v="1"/>
  </r>
  <r>
    <s v="2021-06-05"/>
    <s v="Vancouver"/>
    <s v="加拿大二店"/>
    <x v="7"/>
    <x v="14"/>
    <x v="45"/>
    <x v="46"/>
    <x v="47"/>
    <s v="整份"/>
    <n v="23.81"/>
    <s v="份"/>
    <n v="3"/>
    <n v="71.43"/>
    <n v="0"/>
    <n v="0"/>
    <n v="0"/>
    <n v="0"/>
    <n v="0"/>
    <n v="0"/>
    <n v="0"/>
    <n v="0.03"/>
    <n v="14"/>
    <n v="0"/>
    <n v="3"/>
    <n v="60.27"/>
    <n v="2.87"/>
    <n v="57.4"/>
    <n v="1"/>
  </r>
  <r>
    <s v="2021-06-05"/>
    <s v="Vancouver"/>
    <s v="加拿大二店"/>
    <x v="7"/>
    <x v="14"/>
    <x v="45"/>
    <x v="46"/>
    <x v="47"/>
    <s v="整份"/>
    <n v="28.95"/>
    <s v="份"/>
    <n v="1"/>
    <n v="28.95"/>
    <n v="0"/>
    <n v="0"/>
    <n v="0"/>
    <n v="0"/>
    <n v="0"/>
    <n v="0"/>
    <n v="0"/>
    <n v="0.01"/>
    <n v="0"/>
    <n v="0"/>
    <n v="1"/>
    <n v="30.38"/>
    <n v="1.44"/>
    <n v="28.94"/>
    <n v="1"/>
  </r>
  <r>
    <s v="2021-06-05"/>
    <s v="Vancouver"/>
    <s v="加拿大二店"/>
    <x v="7"/>
    <x v="14"/>
    <x v="45"/>
    <x v="46"/>
    <x v="47"/>
    <s v="整份"/>
    <n v="29.95"/>
    <s v="份"/>
    <n v="1"/>
    <n v="29.95"/>
    <n v="0"/>
    <n v="0"/>
    <n v="0"/>
    <n v="0"/>
    <n v="0"/>
    <n v="0"/>
    <n v="0"/>
    <n v="0"/>
    <n v="0"/>
    <n v="0"/>
    <n v="1"/>
    <n v="31.44"/>
    <n v="1.49"/>
    <n v="29.95"/>
    <n v="1"/>
  </r>
  <r>
    <s v="2021-06-05"/>
    <s v="Vancouver"/>
    <s v="加拿大二店"/>
    <x v="7"/>
    <x v="14"/>
    <x v="45"/>
    <x v="46"/>
    <x v="47"/>
    <s v="整份"/>
    <n v="34.1"/>
    <s v="份"/>
    <n v="1"/>
    <n v="34.1"/>
    <n v="0"/>
    <n v="0"/>
    <n v="0"/>
    <n v="0"/>
    <n v="0"/>
    <n v="0"/>
    <n v="0"/>
    <n v="0.02"/>
    <n v="0"/>
    <n v="0"/>
    <n v="1"/>
    <n v="35.78"/>
    <n v="1.7"/>
    <n v="34.08"/>
    <n v="1"/>
  </r>
  <r>
    <s v="2021-06-05"/>
    <s v="Vancouver"/>
    <s v="加拿大二店"/>
    <x v="7"/>
    <x v="14"/>
    <x v="45"/>
    <x v="46"/>
    <x v="47"/>
    <s v="整份"/>
    <n v="41.7"/>
    <s v="份"/>
    <n v="1"/>
    <n v="41.7"/>
    <n v="0"/>
    <n v="0"/>
    <n v="0"/>
    <n v="0"/>
    <n v="0"/>
    <n v="0"/>
    <n v="0"/>
    <n v="0.01"/>
    <n v="0"/>
    <n v="0"/>
    <n v="1"/>
    <n v="43.77"/>
    <n v="2.08"/>
    <n v="41.69"/>
    <n v="1"/>
  </r>
  <r>
    <s v="2021-06-05"/>
    <s v="Vancouver"/>
    <s v="加拿大二店"/>
    <x v="7"/>
    <x v="14"/>
    <x v="45"/>
    <x v="46"/>
    <x v="47"/>
    <s v="整份"/>
    <n v="80.85"/>
    <s v="份"/>
    <n v="1"/>
    <n v="80.85"/>
    <n v="0"/>
    <n v="0"/>
    <n v="0"/>
    <n v="0"/>
    <n v="0"/>
    <n v="0"/>
    <n v="0"/>
    <n v="-0.01"/>
    <n v="0"/>
    <n v="0"/>
    <n v="1"/>
    <n v="84.9"/>
    <n v="4.04"/>
    <n v="80.86"/>
    <n v="1"/>
  </r>
  <r>
    <s v="2021-06-05"/>
    <s v="Vancouver"/>
    <s v="加拿大二店"/>
    <x v="7"/>
    <x v="14"/>
    <x v="45"/>
    <x v="46"/>
    <x v="47"/>
    <s v="整份"/>
    <n v="151.69"/>
    <s v="份"/>
    <n v="1"/>
    <n v="151.69"/>
    <n v="0"/>
    <n v="0"/>
    <n v="0"/>
    <n v="0"/>
    <n v="0"/>
    <n v="0"/>
    <n v="0"/>
    <n v="-0.01"/>
    <n v="0"/>
    <n v="0"/>
    <n v="1"/>
    <n v="159.28"/>
    <n v="7.58"/>
    <n v="151.7"/>
    <n v="1"/>
  </r>
  <r>
    <s v="2021-06-05"/>
    <s v="Vancouver"/>
    <s v="加拿大二店"/>
    <x v="7"/>
    <x v="14"/>
    <x v="45"/>
    <x v="46"/>
    <x v="47"/>
    <s v="整份"/>
    <n v="224.69"/>
    <s v="份"/>
    <n v="1"/>
    <n v="224.69"/>
    <n v="0"/>
    <n v="0"/>
    <n v="0"/>
    <n v="0"/>
    <n v="0"/>
    <n v="0"/>
    <n v="0"/>
    <n v="-0.02"/>
    <n v="0"/>
    <n v="0"/>
    <n v="1"/>
    <n v="235.94"/>
    <n v="11.23"/>
    <n v="224.71"/>
    <n v="1"/>
  </r>
  <r>
    <s v="2021-06-05"/>
    <s v="Vancouver"/>
    <s v="加拿大二店"/>
    <x v="2"/>
    <x v="4"/>
    <x v="46"/>
    <x v="47"/>
    <x v="48"/>
    <s v="冰镇"/>
    <n v="2.45"/>
    <s v="听"/>
    <n v="3"/>
    <n v="7.35"/>
    <n v="0"/>
    <n v="0"/>
    <n v="0"/>
    <n v="0"/>
    <n v="0"/>
    <n v="0"/>
    <n v="0"/>
    <n v="0"/>
    <n v="0"/>
    <n v="0"/>
    <n v="3"/>
    <n v="8.23"/>
    <n v="0.88"/>
    <n v="7.35"/>
    <n v="1"/>
  </r>
  <r>
    <s v="2021-06-05"/>
    <s v="Vancouver"/>
    <s v="加拿大二店"/>
    <x v="2"/>
    <x v="4"/>
    <x v="47"/>
    <x v="48"/>
    <x v="49"/>
    <s v="常温"/>
    <n v="2.95"/>
    <s v="听"/>
    <n v="4"/>
    <n v="11.8"/>
    <n v="0"/>
    <n v="0"/>
    <n v="0"/>
    <n v="0"/>
    <n v="0"/>
    <n v="0"/>
    <n v="0"/>
    <n v="0"/>
    <n v="0.59"/>
    <n v="0"/>
    <n v="4"/>
    <n v="12.55"/>
    <n v="1.34"/>
    <n v="11.21"/>
    <n v="1"/>
  </r>
  <r>
    <s v="2021-06-05"/>
    <s v="Vancouver"/>
    <s v="加拿大二店"/>
    <x v="2"/>
    <x v="4"/>
    <x v="47"/>
    <x v="48"/>
    <x v="49"/>
    <s v="冰镇"/>
    <n v="2.95"/>
    <s v="听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05"/>
    <s v="Vancouver"/>
    <s v="加拿大二店"/>
    <x v="6"/>
    <x v="13"/>
    <x v="48"/>
    <x v="49"/>
    <x v="50"/>
    <s v="整份"/>
    <n v="4.95"/>
    <s v="份"/>
    <n v="16"/>
    <n v="79.2"/>
    <n v="0"/>
    <n v="0"/>
    <n v="0"/>
    <n v="0"/>
    <n v="0"/>
    <n v="0"/>
    <n v="0"/>
    <n v="0"/>
    <n v="0.49"/>
    <n v="0"/>
    <n v="16"/>
    <n v="82.64"/>
    <n v="3.93"/>
    <n v="78.71"/>
    <n v="1"/>
  </r>
  <r>
    <s v="2021-06-05"/>
    <s v="Vancouver"/>
    <s v="加拿大二店"/>
    <x v="3"/>
    <x v="7"/>
    <x v="49"/>
    <x v="50"/>
    <x v="51"/>
    <s v="整份"/>
    <n v="4.95"/>
    <s v="份"/>
    <n v="9"/>
    <n v="44.55"/>
    <n v="0"/>
    <n v="0"/>
    <n v="0"/>
    <n v="0"/>
    <n v="0"/>
    <n v="0"/>
    <n v="0"/>
    <n v="-0.01"/>
    <n v="2.47"/>
    <n v="0"/>
    <n v="9"/>
    <n v="44.19"/>
    <n v="2.1"/>
    <n v="42.09"/>
    <n v="1"/>
  </r>
  <r>
    <s v="2021-06-05"/>
    <s v="Vancouver"/>
    <s v="加拿大二店"/>
    <x v="6"/>
    <x v="15"/>
    <x v="50"/>
    <x v="51"/>
    <x v="52"/>
    <s v="份"/>
    <n v="8.95"/>
    <s v="份"/>
    <n v="2"/>
    <n v="17.9"/>
    <n v="0"/>
    <n v="0"/>
    <n v="0"/>
    <n v="0"/>
    <n v="0"/>
    <n v="0"/>
    <n v="0"/>
    <n v="0"/>
    <n v="0"/>
    <n v="0"/>
    <n v="2"/>
    <n v="18.79"/>
    <n v="0.89"/>
    <n v="17.9"/>
    <n v="1"/>
  </r>
  <r>
    <s v="2021-06-05"/>
    <s v="Vancouver"/>
    <s v="加拿大二店"/>
    <x v="1"/>
    <x v="6"/>
    <x v="113"/>
    <x v="107"/>
    <x v="117"/>
    <s v="整份"/>
    <n v="28.95"/>
    <s v="份"/>
    <n v="1"/>
    <n v="28.95"/>
    <n v="0"/>
    <n v="0"/>
    <n v="0"/>
    <n v="0"/>
    <n v="0"/>
    <n v="0"/>
    <n v="0"/>
    <n v="-0.01"/>
    <n v="0"/>
    <n v="0"/>
    <n v="1"/>
    <n v="30.4"/>
    <n v="1.44"/>
    <n v="28.96"/>
    <n v="1"/>
  </r>
  <r>
    <s v="2021-06-05"/>
    <s v="Vancouver"/>
    <s v="加拿大二店"/>
    <x v="3"/>
    <x v="5"/>
    <x v="51"/>
    <x v="52"/>
    <x v="53"/>
    <s v="整份"/>
    <n v="3.95"/>
    <s v="份"/>
    <n v="11"/>
    <n v="43.45"/>
    <n v="0"/>
    <n v="0"/>
    <n v="0"/>
    <n v="0"/>
    <n v="0"/>
    <n v="0"/>
    <n v="0"/>
    <n v="0"/>
    <n v="2.36"/>
    <n v="0"/>
    <n v="11"/>
    <n v="43.14"/>
    <n v="2.05"/>
    <n v="41.09"/>
    <n v="1"/>
  </r>
  <r>
    <s v="2021-06-05"/>
    <s v="Vancouver"/>
    <s v="加拿大二店"/>
    <x v="3"/>
    <x v="5"/>
    <x v="52"/>
    <x v="53"/>
    <x v="54"/>
    <s v="整份"/>
    <n v="5.95"/>
    <s v="份"/>
    <n v="10"/>
    <n v="59.5"/>
    <n v="0"/>
    <n v="0"/>
    <n v="0"/>
    <n v="0"/>
    <n v="0"/>
    <n v="0"/>
    <n v="0"/>
    <n v="-0.02"/>
    <n v="3.57"/>
    <n v="0"/>
    <n v="10"/>
    <n v="58.74"/>
    <n v="2.79"/>
    <n v="55.95"/>
    <n v="1"/>
  </r>
  <r>
    <s v="2021-06-05"/>
    <s v="Vancouver"/>
    <s v="加拿大二店"/>
    <x v="4"/>
    <x v="9"/>
    <x v="53"/>
    <x v="0"/>
    <x v="55"/>
    <s v="拼锅"/>
    <n v="0"/>
    <s v="锅"/>
    <n v="14"/>
    <n v="0"/>
    <n v="0"/>
    <n v="0"/>
    <n v="0"/>
    <n v="0"/>
    <n v="0"/>
    <n v="0"/>
    <n v="0"/>
    <n v="0.03"/>
    <n v="0.01"/>
    <n v="0"/>
    <n v="14"/>
    <n v="-0.04"/>
    <n v="-0.01"/>
    <n v="-0.03"/>
    <n v="2"/>
  </r>
  <r>
    <s v="2021-06-05"/>
    <s v="Vancouver"/>
    <s v="加拿大二店"/>
    <x v="4"/>
    <x v="10"/>
    <x v="53"/>
    <x v="0"/>
    <x v="55"/>
    <s v="四宫格"/>
    <n v="0"/>
    <s v="锅"/>
    <n v="21"/>
    <n v="0"/>
    <n v="1"/>
    <n v="0"/>
    <n v="0"/>
    <n v="0"/>
    <n v="0"/>
    <n v="0"/>
    <n v="0"/>
    <n v="0"/>
    <n v="0"/>
    <n v="0"/>
    <n v="20"/>
    <n v="0"/>
    <n v="0"/>
    <n v="0"/>
    <n v="1"/>
  </r>
  <r>
    <s v="2021-06-05"/>
    <s v="Vancouver"/>
    <s v="加拿大二店"/>
    <x v="6"/>
    <x v="13"/>
    <x v="54"/>
    <x v="54"/>
    <x v="56"/>
    <s v="个"/>
    <n v="1.95"/>
    <s v="个"/>
    <n v="9"/>
    <n v="17.55"/>
    <n v="0"/>
    <n v="0"/>
    <n v="0"/>
    <n v="0"/>
    <n v="0"/>
    <n v="0"/>
    <n v="0"/>
    <n v="0"/>
    <n v="0.13"/>
    <n v="0"/>
    <n v="9"/>
    <n v="18.29"/>
    <n v="0.87"/>
    <n v="17.42"/>
    <n v="1"/>
  </r>
  <r>
    <s v="2021-06-05"/>
    <s v="Vancouver"/>
    <s v="加拿大二店"/>
    <x v="6"/>
    <x v="13"/>
    <x v="114"/>
    <x v="108"/>
    <x v="118"/>
    <s v="整份"/>
    <n v="7.95"/>
    <s v="份"/>
    <n v="7"/>
    <n v="55.65"/>
    <n v="0"/>
    <n v="0"/>
    <n v="0"/>
    <n v="0"/>
    <n v="0"/>
    <n v="0"/>
    <n v="0"/>
    <n v="-0.03"/>
    <n v="1.59"/>
    <n v="0"/>
    <n v="7"/>
    <n v="56.79"/>
    <n v="2.7"/>
    <n v="54.09"/>
    <n v="1"/>
  </r>
  <r>
    <s v="2021-06-05"/>
    <s v="Vancouver"/>
    <s v="加拿大二店"/>
    <x v="1"/>
    <x v="8"/>
    <x v="55"/>
    <x v="55"/>
    <x v="57"/>
    <s v="整份"/>
    <n v="9.95"/>
    <s v="份"/>
    <n v="13"/>
    <n v="129.35"/>
    <n v="0"/>
    <n v="0"/>
    <n v="0"/>
    <n v="0"/>
    <n v="0"/>
    <n v="0"/>
    <n v="0"/>
    <n v="0"/>
    <n v="6.96"/>
    <n v="0"/>
    <n v="13"/>
    <n v="128.5"/>
    <n v="6.11"/>
    <n v="122.39"/>
    <n v="1"/>
  </r>
  <r>
    <s v="2021-06-05"/>
    <s v="Vancouver"/>
    <s v="加拿大二店"/>
    <x v="1"/>
    <x v="1"/>
    <x v="56"/>
    <x v="56"/>
    <x v="58"/>
    <s v="整份"/>
    <n v="12.95"/>
    <s v="份"/>
    <n v="27"/>
    <n v="349.65"/>
    <n v="3"/>
    <n v="38.85"/>
    <n v="0"/>
    <n v="0"/>
    <n v="0"/>
    <n v="0"/>
    <n v="0"/>
    <n v="0"/>
    <n v="7.53"/>
    <n v="0"/>
    <n v="24"/>
    <n v="318.43"/>
    <n v="15.16"/>
    <n v="303.27"/>
    <n v="1"/>
  </r>
  <r>
    <s v="2021-06-05"/>
    <s v="Vancouver"/>
    <s v="加拿大二店"/>
    <x v="1"/>
    <x v="1"/>
    <x v="57"/>
    <x v="57"/>
    <x v="59"/>
    <s v="整份"/>
    <n v="11.95"/>
    <s v="份"/>
    <n v="58"/>
    <n v="693.1"/>
    <n v="2"/>
    <n v="23.9"/>
    <n v="0"/>
    <n v="0"/>
    <n v="0"/>
    <n v="0"/>
    <n v="0"/>
    <n v="0"/>
    <n v="16.33"/>
    <n v="0"/>
    <n v="56"/>
    <n v="685.51"/>
    <n v="32.64"/>
    <n v="652.87"/>
    <n v="1"/>
  </r>
  <r>
    <s v="2021-06-05"/>
    <s v="Vancouver"/>
    <s v="加拿大二店"/>
    <x v="4"/>
    <x v="9"/>
    <x v="58"/>
    <x v="0"/>
    <x v="60"/>
    <s v="拼锅"/>
    <n v="8.95"/>
    <s v="锅"/>
    <n v="26"/>
    <n v="232.7"/>
    <n v="0"/>
    <n v="0"/>
    <n v="0"/>
    <n v="0"/>
    <n v="0"/>
    <n v="0"/>
    <n v="0"/>
    <n v="0"/>
    <n v="0.6"/>
    <n v="0"/>
    <n v="26"/>
    <n v="243.7"/>
    <n v="11.6"/>
    <n v="232.1"/>
    <n v="2"/>
  </r>
  <r>
    <s v="2021-06-05"/>
    <s v="Vancouver"/>
    <s v="加拿大二店"/>
    <x v="4"/>
    <x v="10"/>
    <x v="58"/>
    <x v="0"/>
    <x v="60"/>
    <s v="四宫格"/>
    <n v="4.95"/>
    <s v="锅"/>
    <n v="20"/>
    <n v="99"/>
    <n v="1"/>
    <n v="4.95"/>
    <n v="0"/>
    <n v="0"/>
    <n v="0"/>
    <n v="0"/>
    <n v="0"/>
    <n v="0"/>
    <n v="2.97"/>
    <n v="0"/>
    <n v="19"/>
    <n v="95.63"/>
    <n v="4.55"/>
    <n v="91.08"/>
    <n v="1"/>
  </r>
  <r>
    <s v="2021-06-05"/>
    <s v="Vancouver"/>
    <s v="加拿大二店"/>
    <x v="2"/>
    <x v="21"/>
    <x v="115"/>
    <x v="109"/>
    <x v="119"/>
    <s v="瓶"/>
    <n v="49.95"/>
    <s v="瓶"/>
    <n v="1"/>
    <n v="49.95"/>
    <n v="0"/>
    <n v="0"/>
    <n v="0"/>
    <n v="0"/>
    <n v="0"/>
    <n v="0"/>
    <n v="0"/>
    <n v="0"/>
    <n v="0"/>
    <n v="0"/>
    <n v="1"/>
    <n v="57.44"/>
    <n v="7.49"/>
    <n v="49.95"/>
    <n v="1"/>
  </r>
  <r>
    <s v="2021-06-05"/>
    <s v="Vancouver"/>
    <s v="加拿大二店"/>
    <x v="3"/>
    <x v="5"/>
    <x v="59"/>
    <x v="58"/>
    <x v="61"/>
    <s v="整份"/>
    <n v="4.95"/>
    <s v="份"/>
    <n v="10"/>
    <n v="49.5"/>
    <n v="1"/>
    <n v="4.95"/>
    <n v="0"/>
    <n v="0"/>
    <n v="0"/>
    <n v="0"/>
    <n v="0"/>
    <n v="0"/>
    <n v="2.8"/>
    <n v="0"/>
    <n v="9"/>
    <n v="43.83"/>
    <n v="2.08"/>
    <n v="41.75"/>
    <n v="1"/>
  </r>
  <r>
    <s v="2021-06-05"/>
    <s v="Vancouver"/>
    <s v="加拿大二店"/>
    <x v="2"/>
    <x v="4"/>
    <x v="60"/>
    <x v="59"/>
    <x v="62"/>
    <s v="冰镇"/>
    <n v="6.95"/>
    <s v="扎"/>
    <n v="5"/>
    <n v="34.75"/>
    <n v="0"/>
    <n v="0"/>
    <n v="0"/>
    <n v="0"/>
    <n v="0"/>
    <n v="0"/>
    <n v="0"/>
    <n v="0"/>
    <n v="0"/>
    <n v="0"/>
    <n v="5"/>
    <n v="38.92"/>
    <n v="4.17"/>
    <n v="34.75"/>
    <n v="1"/>
  </r>
  <r>
    <s v="2021-06-05"/>
    <s v="Vancouver"/>
    <s v="加拿大二店"/>
    <x v="6"/>
    <x v="13"/>
    <x v="61"/>
    <x v="60"/>
    <x v="63"/>
    <s v="整份"/>
    <n v="3.95"/>
    <s v="包"/>
    <n v="12"/>
    <n v="47.4"/>
    <n v="0"/>
    <n v="0"/>
    <n v="0"/>
    <n v="0"/>
    <n v="0"/>
    <n v="0"/>
    <n v="0"/>
    <n v="0"/>
    <n v="0"/>
    <n v="0"/>
    <n v="12"/>
    <n v="49.77"/>
    <n v="2.37"/>
    <n v="47.4"/>
    <n v="1"/>
  </r>
  <r>
    <s v="2021-06-05"/>
    <s v="Vancouver"/>
    <s v="加拿大二店"/>
    <x v="1"/>
    <x v="8"/>
    <x v="116"/>
    <x v="110"/>
    <x v="120"/>
    <s v="个"/>
    <n v="0.95"/>
    <s v="个"/>
    <n v="3"/>
    <n v="2.85"/>
    <n v="0"/>
    <n v="0"/>
    <n v="0"/>
    <n v="0"/>
    <n v="0"/>
    <n v="0"/>
    <n v="0"/>
    <n v="0"/>
    <n v="0"/>
    <n v="0"/>
    <n v="3"/>
    <n v="2.99"/>
    <n v="0.14"/>
    <n v="2.85"/>
    <n v="1"/>
  </r>
  <r>
    <s v="2021-06-05"/>
    <s v="Vancouver"/>
    <s v="加拿大二店"/>
    <x v="4"/>
    <x v="16"/>
    <x v="62"/>
    <x v="0"/>
    <x v="64"/>
    <s v="单锅"/>
    <n v="16.95"/>
    <s v="锅"/>
    <n v="1"/>
    <n v="16.95"/>
    <n v="0"/>
    <n v="0"/>
    <n v="0"/>
    <n v="0"/>
    <n v="0"/>
    <n v="0"/>
    <n v="0"/>
    <n v="0"/>
    <n v="0"/>
    <n v="0"/>
    <n v="1"/>
    <n v="17.79"/>
    <n v="0.84"/>
    <n v="16.95"/>
    <n v="4"/>
  </r>
  <r>
    <s v="2021-06-05"/>
    <s v="Vancouver"/>
    <s v="加拿大二店"/>
    <x v="4"/>
    <x v="9"/>
    <x v="62"/>
    <x v="0"/>
    <x v="64"/>
    <s v="拼锅"/>
    <n v="8.95"/>
    <s v="锅"/>
    <n v="33"/>
    <n v="295.35"/>
    <n v="0"/>
    <n v="0"/>
    <n v="0"/>
    <n v="0"/>
    <n v="0"/>
    <n v="0"/>
    <n v="0"/>
    <n v="0.01"/>
    <n v="0"/>
    <n v="0"/>
    <n v="33"/>
    <n v="310.1"/>
    <n v="14.76"/>
    <n v="295.34"/>
    <n v="2"/>
  </r>
  <r>
    <s v="2021-06-05"/>
    <s v="Vancouver"/>
    <s v="加拿大二店"/>
    <x v="4"/>
    <x v="10"/>
    <x v="62"/>
    <x v="0"/>
    <x v="64"/>
    <s v="四宫格"/>
    <n v="4.95"/>
    <s v="锅"/>
    <n v="21"/>
    <n v="103.95"/>
    <n v="1"/>
    <n v="4.95"/>
    <n v="0"/>
    <n v="0"/>
    <n v="0"/>
    <n v="0"/>
    <n v="0"/>
    <n v="0"/>
    <n v="1.98"/>
    <n v="0"/>
    <n v="20"/>
    <n v="101.87"/>
    <n v="4.85"/>
    <n v="97.02"/>
    <n v="1"/>
  </r>
  <r>
    <s v="2021-06-05"/>
    <s v="Vancouver"/>
    <s v="加拿大二店"/>
    <x v="6"/>
    <x v="13"/>
    <x v="63"/>
    <x v="61"/>
    <x v="65"/>
    <s v="整份"/>
    <n v="1.5"/>
    <s v="碗"/>
    <n v="10"/>
    <n v="15"/>
    <n v="0"/>
    <n v="0"/>
    <n v="0"/>
    <n v="0"/>
    <n v="3"/>
    <n v="4.5"/>
    <n v="0"/>
    <n v="0"/>
    <n v="0"/>
    <n v="0"/>
    <n v="7"/>
    <n v="11.02"/>
    <n v="0.52"/>
    <n v="10.5"/>
    <n v="1"/>
  </r>
  <r>
    <s v="2021-06-05"/>
    <s v="Vancouver"/>
    <s v="加拿大二店"/>
    <x v="3"/>
    <x v="5"/>
    <x v="64"/>
    <x v="62"/>
    <x v="66"/>
    <s v="整份"/>
    <n v="3.95"/>
    <s v="份"/>
    <n v="6"/>
    <n v="23.7"/>
    <n v="0"/>
    <n v="0"/>
    <n v="0"/>
    <n v="0"/>
    <n v="0"/>
    <n v="0"/>
    <n v="0"/>
    <n v="0"/>
    <n v="1.97"/>
    <n v="0"/>
    <n v="6"/>
    <n v="22.81"/>
    <n v="1.08"/>
    <n v="21.73"/>
    <n v="1"/>
  </r>
  <r>
    <s v="2021-06-05"/>
    <s v="Vancouver"/>
    <s v="加拿大二店"/>
    <x v="2"/>
    <x v="4"/>
    <x v="65"/>
    <x v="63"/>
    <x v="67"/>
    <s v="扎"/>
    <n v="8.95"/>
    <s v="扎"/>
    <n v="5"/>
    <n v="44.75"/>
    <n v="0"/>
    <n v="0"/>
    <n v="0"/>
    <n v="0"/>
    <n v="0"/>
    <n v="0"/>
    <n v="0"/>
    <n v="-0.01"/>
    <n v="0"/>
    <n v="0"/>
    <n v="5"/>
    <n v="50.13"/>
    <n v="5.37"/>
    <n v="44.76"/>
    <n v="1"/>
  </r>
  <r>
    <s v="2021-06-05"/>
    <s v="Vancouver"/>
    <s v="加拿大二店"/>
    <x v="2"/>
    <x v="4"/>
    <x v="66"/>
    <x v="64"/>
    <x v="68"/>
    <s v="扎"/>
    <n v="11.95"/>
    <s v="扎"/>
    <n v="4"/>
    <n v="47.8"/>
    <n v="0"/>
    <n v="0"/>
    <n v="0"/>
    <n v="0"/>
    <n v="0"/>
    <n v="0"/>
    <n v="0"/>
    <n v="-0.03"/>
    <n v="0"/>
    <n v="0"/>
    <n v="4"/>
    <n v="53.56"/>
    <n v="5.73"/>
    <n v="47.83"/>
    <n v="1"/>
  </r>
  <r>
    <s v="2021-06-05"/>
    <s v="Vancouver"/>
    <s v="加拿大二店"/>
    <x v="3"/>
    <x v="5"/>
    <x v="117"/>
    <x v="111"/>
    <x v="121"/>
    <s v="整份"/>
    <n v="4.95"/>
    <s v="份"/>
    <n v="14"/>
    <n v="69.3"/>
    <n v="0"/>
    <n v="0"/>
    <n v="0"/>
    <n v="0"/>
    <n v="0"/>
    <n v="0"/>
    <n v="0"/>
    <n v="0"/>
    <n v="3.95"/>
    <n v="0"/>
    <n v="14"/>
    <n v="68.61"/>
    <n v="3.26"/>
    <n v="65.35"/>
    <n v="1"/>
  </r>
  <r>
    <s v="2021-06-05"/>
    <s v="Vancouver"/>
    <s v="加拿大二店"/>
    <x v="3"/>
    <x v="7"/>
    <x v="67"/>
    <x v="65"/>
    <x v="69"/>
    <s v="整份"/>
    <n v="3.95"/>
    <s v="份"/>
    <n v="12"/>
    <n v="47.4"/>
    <n v="2"/>
    <n v="7.9"/>
    <n v="0"/>
    <n v="0"/>
    <n v="0"/>
    <n v="0"/>
    <n v="0"/>
    <n v="0"/>
    <n v="0.79"/>
    <n v="0"/>
    <n v="10"/>
    <n v="40.64"/>
    <n v="1.93"/>
    <n v="38.71"/>
    <n v="1"/>
  </r>
  <r>
    <s v="2021-06-05"/>
    <s v="Vancouver"/>
    <s v="加拿大二店"/>
    <x v="1"/>
    <x v="1"/>
    <x v="68"/>
    <x v="66"/>
    <x v="70"/>
    <s v="整份"/>
    <n v="8.95"/>
    <s v="份"/>
    <n v="83"/>
    <n v="742.85"/>
    <n v="0"/>
    <n v="0"/>
    <n v="0"/>
    <n v="0"/>
    <n v="0"/>
    <n v="0"/>
    <n v="0"/>
    <n v="0"/>
    <n v="17.72"/>
    <n v="0"/>
    <n v="83"/>
    <n v="761.38"/>
    <n v="36.25"/>
    <n v="725.13"/>
    <n v="1"/>
  </r>
  <r>
    <s v="2021-06-05"/>
    <s v="Vancouver"/>
    <s v="加拿大二店"/>
    <x v="1"/>
    <x v="1"/>
    <x v="69"/>
    <x v="67"/>
    <x v="71"/>
    <s v="整份"/>
    <n v="8.95"/>
    <s v="份"/>
    <n v="20"/>
    <n v="179"/>
    <n v="0"/>
    <n v="0"/>
    <n v="0"/>
    <n v="0"/>
    <n v="0"/>
    <n v="0"/>
    <n v="0"/>
    <n v="0"/>
    <n v="4.47"/>
    <n v="0"/>
    <n v="20"/>
    <n v="183.25"/>
    <n v="8.72"/>
    <n v="174.53"/>
    <n v="1"/>
  </r>
  <r>
    <s v="2021-06-05"/>
    <s v="Vancouver"/>
    <s v="加拿大二店"/>
    <x v="6"/>
    <x v="15"/>
    <x v="70"/>
    <x v="68"/>
    <x v="72"/>
    <s v="整份"/>
    <n v="1.5"/>
    <s v="份"/>
    <n v="9"/>
    <n v="13.5"/>
    <n v="0"/>
    <n v="0"/>
    <n v="0"/>
    <n v="0"/>
    <n v="0"/>
    <n v="0"/>
    <n v="0"/>
    <n v="0"/>
    <n v="0.3"/>
    <n v="0"/>
    <n v="9"/>
    <n v="13.86"/>
    <n v="0.66"/>
    <n v="13.2"/>
    <n v="1"/>
  </r>
  <r>
    <s v="2021-06-05"/>
    <s v="Vancouver"/>
    <s v="加拿大二店"/>
    <x v="4"/>
    <x v="9"/>
    <x v="71"/>
    <x v="0"/>
    <x v="73"/>
    <s v="拼锅"/>
    <n v="18.95"/>
    <s v="锅"/>
    <n v="16"/>
    <n v="303.2"/>
    <n v="0"/>
    <n v="0"/>
    <n v="0"/>
    <n v="0"/>
    <n v="0"/>
    <n v="0"/>
    <n v="0"/>
    <n v="0.07"/>
    <n v="0"/>
    <n v="0"/>
    <n v="16"/>
    <n v="318.28"/>
    <n v="15.15"/>
    <n v="303.13"/>
    <n v="2"/>
  </r>
  <r>
    <s v="2021-06-05"/>
    <s v="Vancouver"/>
    <s v="加拿大二店"/>
    <x v="4"/>
    <x v="10"/>
    <x v="71"/>
    <x v="0"/>
    <x v="73"/>
    <s v="四宫格"/>
    <n v="9.95"/>
    <s v="锅"/>
    <n v="5"/>
    <n v="49.75"/>
    <n v="0"/>
    <n v="0"/>
    <n v="0"/>
    <n v="0"/>
    <n v="0"/>
    <n v="0"/>
    <n v="0"/>
    <n v="0"/>
    <n v="3.98"/>
    <n v="0"/>
    <n v="5"/>
    <n v="48.05"/>
    <n v="2.28"/>
    <n v="45.77"/>
    <n v="1"/>
  </r>
  <r>
    <s v="2021-06-05"/>
    <s v="Vancouver"/>
    <s v="加拿大二店"/>
    <x v="1"/>
    <x v="8"/>
    <x v="72"/>
    <x v="69"/>
    <x v="74"/>
    <s v="个"/>
    <n v="7.95"/>
    <s v="份"/>
    <n v="3"/>
    <n v="23.85"/>
    <n v="0"/>
    <n v="0"/>
    <n v="0"/>
    <n v="0"/>
    <n v="0"/>
    <n v="0"/>
    <n v="0"/>
    <n v="0"/>
    <n v="0"/>
    <n v="0"/>
    <n v="3"/>
    <n v="25.04"/>
    <n v="1.19"/>
    <n v="23.85"/>
    <n v="1"/>
  </r>
  <r>
    <s v="2021-06-05"/>
    <s v="Vancouver"/>
    <s v="加拿大二店"/>
    <x v="6"/>
    <x v="13"/>
    <x v="73"/>
    <x v="70"/>
    <x v="75"/>
    <s v="份"/>
    <n v="6.95"/>
    <s v="份"/>
    <n v="8"/>
    <n v="55.6"/>
    <n v="0"/>
    <n v="0"/>
    <n v="0"/>
    <n v="0"/>
    <n v="2"/>
    <n v="13.9"/>
    <n v="0"/>
    <n v="-0.04"/>
    <n v="4.09"/>
    <n v="0"/>
    <n v="6"/>
    <n v="39.53"/>
    <n v="1.88"/>
    <n v="37.65"/>
    <n v="1"/>
  </r>
  <r>
    <s v="2021-06-05"/>
    <s v="Vancouver"/>
    <s v="加拿大二店"/>
    <x v="4"/>
    <x v="9"/>
    <x v="74"/>
    <x v="0"/>
    <x v="76"/>
    <s v="拼锅"/>
    <n v="18.95"/>
    <s v="锅"/>
    <n v="7"/>
    <n v="132.65"/>
    <n v="0"/>
    <n v="0"/>
    <n v="0"/>
    <n v="0"/>
    <n v="0"/>
    <n v="0"/>
    <n v="0"/>
    <n v="0.01"/>
    <n v="0"/>
    <n v="0"/>
    <n v="7"/>
    <n v="139.27"/>
    <n v="6.63"/>
    <n v="132.64"/>
    <n v="2"/>
  </r>
  <r>
    <s v="2021-06-05"/>
    <s v="Vancouver"/>
    <s v="加拿大二店"/>
    <x v="4"/>
    <x v="10"/>
    <x v="74"/>
    <x v="0"/>
    <x v="76"/>
    <s v="四宫格"/>
    <n v="9.95"/>
    <s v="锅"/>
    <n v="8"/>
    <n v="79.6"/>
    <n v="0"/>
    <n v="0"/>
    <n v="0"/>
    <n v="0"/>
    <n v="0"/>
    <n v="0"/>
    <n v="0"/>
    <n v="-0.03"/>
    <n v="0"/>
    <n v="0"/>
    <n v="8"/>
    <n v="83.61"/>
    <n v="3.98"/>
    <n v="79.63"/>
    <n v="1"/>
  </r>
  <r>
    <s v="2021-06-05"/>
    <s v="Vancouver"/>
    <s v="加拿大二店"/>
    <x v="1"/>
    <x v="6"/>
    <x v="118"/>
    <x v="112"/>
    <x v="122"/>
    <s v="整份"/>
    <n v="28.95"/>
    <s v="份"/>
    <n v="5"/>
    <n v="144.75"/>
    <n v="1"/>
    <n v="28.95"/>
    <n v="0"/>
    <n v="0"/>
    <n v="1"/>
    <n v="28.95"/>
    <n v="0"/>
    <n v="-0.03"/>
    <n v="0"/>
    <n v="0"/>
    <n v="3"/>
    <n v="91.22"/>
    <n v="4.34"/>
    <n v="86.88"/>
    <n v="1"/>
  </r>
  <r>
    <s v="2021-06-05"/>
    <s v="Vancouver"/>
    <s v="加拿大二店"/>
    <x v="8"/>
    <x v="17"/>
    <x v="75"/>
    <x v="71"/>
    <x v="77"/>
    <s v="整份"/>
    <n v="3.99"/>
    <s v="位"/>
    <n v="227"/>
    <n v="905.73"/>
    <n v="8"/>
    <n v="31.92"/>
    <n v="0"/>
    <n v="0"/>
    <n v="0"/>
    <n v="0"/>
    <n v="0"/>
    <n v="-0.01"/>
    <n v="2.2"/>
    <n v="0"/>
    <n v="219"/>
    <n v="915.2"/>
    <n v="43.58"/>
    <n v="871.62"/>
    <n v="1"/>
  </r>
  <r>
    <s v="2021-06-05"/>
    <s v="Vancouver"/>
    <s v="加拿大二店"/>
    <x v="3"/>
    <x v="5"/>
    <x v="76"/>
    <x v="72"/>
    <x v="78"/>
    <s v="整份"/>
    <n v="3.95"/>
    <s v="份"/>
    <n v="5"/>
    <n v="19.75"/>
    <n v="1"/>
    <n v="3.95"/>
    <n v="0"/>
    <n v="0"/>
    <n v="0"/>
    <n v="0"/>
    <n v="0"/>
    <n v="0"/>
    <n v="0"/>
    <n v="0"/>
    <n v="4"/>
    <n v="16.59"/>
    <n v="0.79"/>
    <n v="15.8"/>
    <n v="1"/>
  </r>
  <r>
    <s v="2021-06-05"/>
    <s v="Vancouver"/>
    <s v="加拿大二店"/>
    <x v="1"/>
    <x v="3"/>
    <x v="77"/>
    <x v="73"/>
    <x v="79"/>
    <s v="整份"/>
    <n v="5.95"/>
    <s v="份"/>
    <n v="17"/>
    <n v="101.15"/>
    <n v="0"/>
    <n v="0"/>
    <n v="0"/>
    <n v="0"/>
    <n v="1"/>
    <n v="5.95"/>
    <n v="0"/>
    <n v="0"/>
    <n v="3.02"/>
    <n v="0"/>
    <n v="16"/>
    <n v="96.78"/>
    <n v="4.6"/>
    <n v="92.18"/>
    <n v="1"/>
  </r>
  <r>
    <s v="2021-06-05"/>
    <s v="Vancouver"/>
    <s v="加拿大二店"/>
    <x v="3"/>
    <x v="11"/>
    <x v="78"/>
    <x v="74"/>
    <x v="80"/>
    <s v="整份"/>
    <n v="5.95"/>
    <s v="份"/>
    <n v="16"/>
    <n v="95.2"/>
    <n v="1"/>
    <n v="5.95"/>
    <n v="0"/>
    <n v="0"/>
    <n v="0"/>
    <n v="0"/>
    <n v="0"/>
    <n v="0"/>
    <n v="3.57"/>
    <n v="0"/>
    <n v="15"/>
    <n v="89.96"/>
    <n v="4.28"/>
    <n v="85.68"/>
    <n v="1"/>
  </r>
  <r>
    <s v="2021-06-05"/>
    <s v="Vancouver"/>
    <s v="加拿大二店"/>
    <x v="3"/>
    <x v="11"/>
    <x v="78"/>
    <x v="75"/>
    <x v="81"/>
    <s v="半份"/>
    <n v="2.95"/>
    <s v="份"/>
    <n v="9"/>
    <n v="26.55"/>
    <n v="0"/>
    <n v="0"/>
    <n v="0"/>
    <n v="0"/>
    <n v="0"/>
    <n v="0"/>
    <n v="0"/>
    <n v="0"/>
    <n v="1.12"/>
    <n v="0"/>
    <n v="9"/>
    <n v="26.7"/>
    <n v="1.27"/>
    <n v="25.43"/>
    <n v="0.5"/>
  </r>
  <r>
    <s v="2021-06-05"/>
    <s v="Vancouver"/>
    <s v="加拿大二店"/>
    <x v="3"/>
    <x v="5"/>
    <x v="79"/>
    <x v="76"/>
    <x v="82"/>
    <s v="整份"/>
    <n v="3.95"/>
    <s v="份"/>
    <n v="19"/>
    <n v="75.05"/>
    <n v="0"/>
    <n v="0"/>
    <n v="0"/>
    <n v="0"/>
    <n v="0"/>
    <n v="0"/>
    <n v="0"/>
    <n v="0"/>
    <n v="3.15"/>
    <n v="0"/>
    <n v="19"/>
    <n v="75.49"/>
    <n v="3.59"/>
    <n v="71.9"/>
    <n v="1"/>
  </r>
  <r>
    <s v="2021-06-05"/>
    <s v="Vancouver"/>
    <s v="加拿大二店"/>
    <x v="3"/>
    <x v="5"/>
    <x v="80"/>
    <x v="77"/>
    <x v="83"/>
    <s v="整份"/>
    <n v="5.95"/>
    <s v="份"/>
    <n v="17"/>
    <n v="101.15"/>
    <n v="0"/>
    <n v="0"/>
    <n v="0"/>
    <n v="0"/>
    <n v="0"/>
    <n v="0"/>
    <n v="0"/>
    <n v="0"/>
    <n v="5.35"/>
    <n v="0"/>
    <n v="17"/>
    <n v="100.59"/>
    <n v="4.79"/>
    <n v="95.8"/>
    <n v="1"/>
  </r>
  <r>
    <s v="2021-06-05"/>
    <s v="Vancouver"/>
    <s v="加拿大二店"/>
    <x v="4"/>
    <x v="9"/>
    <x v="81"/>
    <x v="0"/>
    <x v="84"/>
    <s v="拼锅"/>
    <n v="8.95"/>
    <s v="锅"/>
    <n v="9"/>
    <n v="80.55"/>
    <n v="0"/>
    <n v="0"/>
    <n v="0"/>
    <n v="0"/>
    <n v="0"/>
    <n v="0"/>
    <n v="0"/>
    <n v="-0.03"/>
    <n v="0"/>
    <n v="0"/>
    <n v="9"/>
    <n v="84.6"/>
    <n v="4.02"/>
    <n v="80.58"/>
    <n v="2"/>
  </r>
  <r>
    <s v="2021-06-05"/>
    <s v="Vancouver"/>
    <s v="加拿大二店"/>
    <x v="4"/>
    <x v="10"/>
    <x v="81"/>
    <x v="0"/>
    <x v="84"/>
    <s v="四宫格"/>
    <n v="4.95"/>
    <s v="锅"/>
    <n v="13"/>
    <n v="64.35"/>
    <n v="0"/>
    <n v="0"/>
    <n v="0"/>
    <n v="0"/>
    <n v="0"/>
    <n v="0"/>
    <n v="0"/>
    <n v="0"/>
    <n v="0"/>
    <n v="0"/>
    <n v="13"/>
    <n v="67.56"/>
    <n v="3.21"/>
    <n v="64.35"/>
    <n v="1"/>
  </r>
  <r>
    <s v="2021-06-05"/>
    <s v="Vancouver"/>
    <s v="加拿大二店"/>
    <x v="3"/>
    <x v="5"/>
    <x v="82"/>
    <x v="78"/>
    <x v="85"/>
    <s v="整份"/>
    <n v="12.95"/>
    <s v="份"/>
    <n v="19"/>
    <n v="246.05"/>
    <n v="0"/>
    <n v="0"/>
    <n v="0"/>
    <n v="0"/>
    <n v="0"/>
    <n v="0"/>
    <n v="0"/>
    <n v="0"/>
    <n v="7.76"/>
    <n v="0"/>
    <n v="19"/>
    <n v="250.2"/>
    <n v="11.91"/>
    <n v="238.29"/>
    <n v="1"/>
  </r>
  <r>
    <s v="2021-06-05"/>
    <s v="Vancouver"/>
    <s v="加拿大二店"/>
    <x v="3"/>
    <x v="11"/>
    <x v="83"/>
    <x v="79"/>
    <x v="86"/>
    <s v="整份"/>
    <n v="5.95"/>
    <s v="份"/>
    <n v="5"/>
    <n v="29.75"/>
    <n v="0"/>
    <n v="0"/>
    <n v="0"/>
    <n v="0"/>
    <n v="0"/>
    <n v="0"/>
    <n v="0"/>
    <n v="0"/>
    <n v="2.97"/>
    <n v="0"/>
    <n v="5"/>
    <n v="28.11"/>
    <n v="1.33"/>
    <n v="26.78"/>
    <n v="1"/>
  </r>
  <r>
    <s v="2021-06-05"/>
    <s v="Vancouver"/>
    <s v="加拿大二店"/>
    <x v="3"/>
    <x v="11"/>
    <x v="83"/>
    <x v="80"/>
    <x v="87"/>
    <s v="半份"/>
    <n v="2.95"/>
    <s v="份"/>
    <n v="7"/>
    <n v="20.65"/>
    <n v="0"/>
    <n v="0"/>
    <n v="0"/>
    <n v="0"/>
    <n v="0"/>
    <n v="0"/>
    <n v="0"/>
    <n v="0"/>
    <n v="0.88"/>
    <n v="0"/>
    <n v="7"/>
    <n v="20.75"/>
    <n v="0.98"/>
    <n v="19.77"/>
    <n v="0.5"/>
  </r>
  <r>
    <s v="2021-06-05"/>
    <s v="Vancouver"/>
    <s v="加拿大二店"/>
    <x v="3"/>
    <x v="11"/>
    <x v="84"/>
    <x v="81"/>
    <x v="88"/>
    <s v="整份"/>
    <n v="11.95"/>
    <s v="份"/>
    <n v="12"/>
    <n v="143.4"/>
    <n v="0"/>
    <n v="0"/>
    <n v="0"/>
    <n v="0"/>
    <n v="0"/>
    <n v="0"/>
    <n v="0"/>
    <n v="-0.01"/>
    <n v="0"/>
    <n v="0"/>
    <n v="12"/>
    <n v="150.58"/>
    <n v="7.17"/>
    <n v="143.41"/>
    <n v="1"/>
  </r>
  <r>
    <s v="2021-06-05"/>
    <s v="Vancouver"/>
    <s v="加拿大二店"/>
    <x v="1"/>
    <x v="3"/>
    <x v="85"/>
    <x v="82"/>
    <x v="89"/>
    <s v="整份"/>
    <n v="6.95"/>
    <s v="份"/>
    <n v="10"/>
    <n v="69.5"/>
    <n v="0"/>
    <n v="0"/>
    <n v="0"/>
    <n v="0"/>
    <n v="0"/>
    <n v="0"/>
    <n v="0"/>
    <n v="0"/>
    <n v="2.11"/>
    <n v="0"/>
    <n v="10"/>
    <n v="70.75"/>
    <n v="3.36"/>
    <n v="67.39"/>
    <n v="1"/>
  </r>
  <r>
    <s v="2021-06-05"/>
    <s v="Vancouver"/>
    <s v="加拿大二店"/>
    <x v="6"/>
    <x v="13"/>
    <x v="86"/>
    <x v="83"/>
    <x v="90"/>
    <s v="碗"/>
    <n v="2.95"/>
    <s v="碗"/>
    <n v="14"/>
    <n v="41.3"/>
    <n v="2"/>
    <n v="5.9"/>
    <n v="0"/>
    <n v="0"/>
    <n v="1"/>
    <n v="2.95"/>
    <n v="0"/>
    <n v="0"/>
    <n v="0"/>
    <n v="0"/>
    <n v="11"/>
    <n v="34.07"/>
    <n v="1.62"/>
    <n v="32.45"/>
    <n v="1"/>
  </r>
  <r>
    <s v="2021-06-05"/>
    <s v="Vancouver"/>
    <s v="加拿大二店"/>
    <x v="2"/>
    <x v="4"/>
    <x v="87"/>
    <x v="84"/>
    <x v="91"/>
    <s v="常温"/>
    <n v="2.95"/>
    <s v="扎"/>
    <n v="5"/>
    <n v="14.75"/>
    <n v="0"/>
    <n v="0"/>
    <n v="0"/>
    <n v="0"/>
    <n v="0"/>
    <n v="0"/>
    <n v="0"/>
    <n v="0"/>
    <n v="0"/>
    <n v="0"/>
    <n v="5"/>
    <n v="16.52"/>
    <n v="1.77"/>
    <n v="14.75"/>
    <n v="1"/>
  </r>
  <r>
    <s v="2021-06-05"/>
    <s v="Vancouver"/>
    <s v="加拿大二店"/>
    <x v="2"/>
    <x v="4"/>
    <x v="87"/>
    <x v="84"/>
    <x v="91"/>
    <s v="冰镇"/>
    <n v="2.95"/>
    <s v="扎"/>
    <n v="5"/>
    <n v="14.75"/>
    <n v="0"/>
    <n v="0"/>
    <n v="0"/>
    <n v="0"/>
    <n v="0"/>
    <n v="0"/>
    <n v="0"/>
    <n v="0"/>
    <n v="0"/>
    <n v="0"/>
    <n v="5"/>
    <n v="16.52"/>
    <n v="1.77"/>
    <n v="14.75"/>
    <n v="1"/>
  </r>
  <r>
    <s v="2021-06-05"/>
    <s v="Vancouver"/>
    <s v="加拿大二店"/>
    <x v="1"/>
    <x v="8"/>
    <x v="88"/>
    <x v="85"/>
    <x v="92"/>
    <s v="整份"/>
    <n v="7.95"/>
    <s v="份"/>
    <n v="17"/>
    <n v="135.15"/>
    <n v="1"/>
    <n v="7.95"/>
    <n v="0"/>
    <n v="0"/>
    <n v="0"/>
    <n v="0"/>
    <n v="0"/>
    <n v="0"/>
    <n v="5.56"/>
    <n v="0"/>
    <n v="16"/>
    <n v="127.72"/>
    <n v="6.08"/>
    <n v="121.64"/>
    <n v="1"/>
  </r>
  <r>
    <s v="2021-06-05"/>
    <s v="Vancouver"/>
    <s v="加拿大二店"/>
    <x v="1"/>
    <x v="8"/>
    <x v="89"/>
    <x v="86"/>
    <x v="93"/>
    <s v="整份"/>
    <n v="4.95"/>
    <s v="份"/>
    <n v="27"/>
    <n v="133.65"/>
    <n v="1"/>
    <n v="4.95"/>
    <n v="0"/>
    <n v="0"/>
    <n v="0"/>
    <n v="0"/>
    <n v="0"/>
    <n v="0"/>
    <n v="4.94"/>
    <n v="0"/>
    <n v="26"/>
    <n v="129.94"/>
    <n v="6.18"/>
    <n v="123.76"/>
    <n v="1"/>
  </r>
  <r>
    <s v="2021-06-05"/>
    <s v="Vancouver"/>
    <s v="加拿大二店"/>
    <x v="3"/>
    <x v="7"/>
    <x v="90"/>
    <x v="87"/>
    <x v="94"/>
    <s v="整份"/>
    <n v="4.95"/>
    <s v="份"/>
    <n v="24"/>
    <n v="118.8"/>
    <n v="0"/>
    <n v="0"/>
    <n v="0"/>
    <n v="0"/>
    <n v="0"/>
    <n v="0"/>
    <n v="0"/>
    <n v="0"/>
    <n v="3.79"/>
    <n v="0"/>
    <n v="24"/>
    <n v="120.76"/>
    <n v="5.75"/>
    <n v="115.01"/>
    <n v="1"/>
  </r>
  <r>
    <s v="2021-06-05"/>
    <s v="Vancouver"/>
    <s v="加拿大二店"/>
    <x v="1"/>
    <x v="6"/>
    <x v="119"/>
    <x v="113"/>
    <x v="123"/>
    <s v="整份"/>
    <n v="2.2"/>
    <s v="磅"/>
    <n v="1"/>
    <n v="2.2"/>
    <n v="1"/>
    <n v="2.2"/>
    <n v="0"/>
    <n v="0"/>
    <n v="0"/>
    <n v="0"/>
    <n v="0"/>
    <n v="0"/>
    <n v="0"/>
    <n v="0"/>
    <n v="0"/>
    <n v="0"/>
    <n v="0"/>
    <n v="0"/>
    <n v="1"/>
  </r>
  <r>
    <s v="2021-06-05"/>
    <s v="Vancouver"/>
    <s v="加拿大二店"/>
    <x v="1"/>
    <x v="6"/>
    <x v="119"/>
    <x v="113"/>
    <x v="123"/>
    <s v="整份"/>
    <n v="137.9"/>
    <s v="磅"/>
    <n v="1"/>
    <n v="137.9"/>
    <n v="0"/>
    <n v="0"/>
    <n v="0"/>
    <n v="0"/>
    <n v="0"/>
    <n v="0"/>
    <n v="0"/>
    <n v="-0.01"/>
    <n v="0"/>
    <n v="0"/>
    <n v="1"/>
    <n v="144.8"/>
    <n v="6.89"/>
    <n v="137.91"/>
    <n v="1"/>
  </r>
  <r>
    <s v="2021-06-05"/>
    <s v="Vancouver"/>
    <s v="加拿大二店"/>
    <x v="6"/>
    <x v="18"/>
    <x v="91"/>
    <x v="88"/>
    <x v="95"/>
    <s v="整份"/>
    <n v="2.95"/>
    <s v="份"/>
    <n v="3"/>
    <n v="8.85"/>
    <n v="0"/>
    <n v="0"/>
    <n v="0"/>
    <n v="0"/>
    <n v="0"/>
    <n v="0"/>
    <n v="0"/>
    <n v="0"/>
    <n v="0"/>
    <n v="0"/>
    <n v="3"/>
    <n v="9.29"/>
    <n v="0.44"/>
    <n v="8.85"/>
    <n v="1"/>
  </r>
  <r>
    <s v="2021-06-05"/>
    <s v="Vancouver"/>
    <s v="加拿大二店"/>
    <x v="4"/>
    <x v="9"/>
    <x v="92"/>
    <x v="0"/>
    <x v="96"/>
    <s v="拼锅"/>
    <n v="8.95"/>
    <s v="锅"/>
    <n v="2"/>
    <n v="17.9"/>
    <n v="0"/>
    <n v="0"/>
    <n v="0"/>
    <n v="0"/>
    <n v="0"/>
    <n v="0"/>
    <n v="0"/>
    <n v="0.01"/>
    <n v="0"/>
    <n v="0"/>
    <n v="2"/>
    <n v="18.78"/>
    <n v="0.89"/>
    <n v="17.89"/>
    <n v="2"/>
  </r>
  <r>
    <s v="2021-06-05"/>
    <s v="Vancouver"/>
    <s v="加拿大二店"/>
    <x v="4"/>
    <x v="10"/>
    <x v="92"/>
    <x v="0"/>
    <x v="96"/>
    <s v="四宫格"/>
    <n v="4.95"/>
    <s v="锅"/>
    <n v="3"/>
    <n v="14.85"/>
    <n v="0"/>
    <n v="0"/>
    <n v="0"/>
    <n v="0"/>
    <n v="0"/>
    <n v="0"/>
    <n v="0"/>
    <n v="0"/>
    <n v="0"/>
    <n v="0"/>
    <n v="3"/>
    <n v="15.59"/>
    <n v="0.74"/>
    <n v="14.85"/>
    <n v="1"/>
  </r>
  <r>
    <s v="2021-06-05"/>
    <s v="Vancouver"/>
    <s v="加拿大二店"/>
    <x v="3"/>
    <x v="5"/>
    <x v="93"/>
    <x v="89"/>
    <x v="97"/>
    <s v="整份"/>
    <n v="5.95"/>
    <s v="份"/>
    <n v="20"/>
    <n v="119"/>
    <n v="0"/>
    <n v="0"/>
    <n v="0"/>
    <n v="0"/>
    <n v="0"/>
    <n v="0"/>
    <n v="0"/>
    <n v="0"/>
    <n v="2.97"/>
    <n v="0"/>
    <n v="20"/>
    <n v="121.83"/>
    <n v="5.8"/>
    <n v="116.03"/>
    <n v="1"/>
  </r>
  <r>
    <s v="2021-06-05"/>
    <s v="Vancouver"/>
    <s v="加拿大二店"/>
    <x v="6"/>
    <x v="13"/>
    <x v="94"/>
    <x v="90"/>
    <x v="98"/>
    <s v="整份"/>
    <n v="4.95"/>
    <s v="份"/>
    <n v="23"/>
    <n v="113.85"/>
    <n v="0"/>
    <n v="0"/>
    <n v="0"/>
    <n v="0"/>
    <n v="3"/>
    <n v="14.85"/>
    <n v="0"/>
    <n v="0"/>
    <n v="3.24"/>
    <n v="0"/>
    <n v="20"/>
    <n v="100.54"/>
    <n v="4.78"/>
    <n v="95.76"/>
    <n v="1"/>
  </r>
  <r>
    <s v="2021-06-05"/>
    <s v="Vancouver"/>
    <s v="加拿大二店"/>
    <x v="7"/>
    <x v="14"/>
    <x v="123"/>
    <x v="117"/>
    <x v="127"/>
    <s v="整份"/>
    <n v="0"/>
    <s v="份"/>
    <n v="1"/>
    <n v="0"/>
    <n v="0"/>
    <n v="0"/>
    <n v="0"/>
    <n v="0"/>
    <n v="0"/>
    <n v="0"/>
    <n v="0"/>
    <n v="0"/>
    <n v="0"/>
    <n v="0"/>
    <n v="1"/>
    <n v="0"/>
    <n v="0"/>
    <n v="0"/>
    <n v="1"/>
  </r>
  <r>
    <s v="2021-06-05"/>
    <s v="Vancouver"/>
    <s v="加拿大二店"/>
    <x v="2"/>
    <x v="4"/>
    <x v="95"/>
    <x v="91"/>
    <x v="99"/>
    <s v="冰镇"/>
    <n v="2.45"/>
    <s v="听"/>
    <n v="2"/>
    <n v="4.9"/>
    <n v="0"/>
    <n v="0"/>
    <n v="0"/>
    <n v="0"/>
    <n v="0"/>
    <n v="0"/>
    <n v="0"/>
    <n v="0"/>
    <n v="0"/>
    <n v="0"/>
    <n v="2"/>
    <n v="5.48"/>
    <n v="0.58"/>
    <n v="4.9"/>
    <n v="1"/>
  </r>
  <r>
    <s v="2021-06-05"/>
    <s v="Vancouver"/>
    <s v="加拿大二店"/>
    <x v="1"/>
    <x v="1"/>
    <x v="96"/>
    <x v="92"/>
    <x v="100"/>
    <s v="整份"/>
    <n v="49.95"/>
    <s v="份"/>
    <n v="9"/>
    <n v="449.55"/>
    <n v="0"/>
    <n v="0"/>
    <n v="0"/>
    <n v="0"/>
    <n v="1"/>
    <n v="49.95"/>
    <n v="0"/>
    <n v="-0.01"/>
    <n v="0"/>
    <n v="0"/>
    <n v="8"/>
    <n v="419.59"/>
    <n v="19.98"/>
    <n v="399.61"/>
    <n v="1"/>
  </r>
  <r>
    <s v="2021-06-05"/>
    <s v="Vancouver"/>
    <s v="加拿大二店"/>
    <x v="2"/>
    <x v="2"/>
    <x v="97"/>
    <x v="93"/>
    <x v="101"/>
    <s v="冰镇"/>
    <n v="5.95"/>
    <s v="听"/>
    <n v="6"/>
    <n v="35.7"/>
    <n v="0"/>
    <n v="0"/>
    <n v="0"/>
    <n v="0"/>
    <n v="0"/>
    <n v="0"/>
    <n v="0"/>
    <n v="0"/>
    <n v="0"/>
    <n v="0"/>
    <n v="6"/>
    <n v="41.05"/>
    <n v="5.35"/>
    <n v="35.7"/>
    <n v="1"/>
  </r>
  <r>
    <s v="2021-06-05"/>
    <s v="Vancouver"/>
    <s v="加拿大二店"/>
    <x v="6"/>
    <x v="13"/>
    <x v="98"/>
    <x v="94"/>
    <x v="102"/>
    <s v="整份"/>
    <n v="3.95"/>
    <s v="份"/>
    <n v="8"/>
    <n v="31.6"/>
    <n v="0"/>
    <n v="0"/>
    <n v="0"/>
    <n v="0"/>
    <n v="0"/>
    <n v="0"/>
    <n v="0"/>
    <n v="0"/>
    <n v="1.18"/>
    <n v="0"/>
    <n v="8"/>
    <n v="31.94"/>
    <n v="1.52"/>
    <n v="30.42"/>
    <n v="1"/>
  </r>
  <r>
    <s v="2021-06-05"/>
    <s v="Vancouver"/>
    <s v="加拿大二店"/>
    <x v="1"/>
    <x v="3"/>
    <x v="99"/>
    <x v="95"/>
    <x v="103"/>
    <s v="整份"/>
    <n v="5.95"/>
    <s v="份"/>
    <n v="3"/>
    <n v="17.85"/>
    <n v="0"/>
    <n v="0"/>
    <n v="0"/>
    <n v="0"/>
    <n v="0"/>
    <n v="0"/>
    <n v="0"/>
    <n v="0"/>
    <n v="1.19"/>
    <n v="0"/>
    <n v="3"/>
    <n v="17.49"/>
    <n v="0.83"/>
    <n v="16.66"/>
    <n v="1"/>
  </r>
  <r>
    <s v="2021-06-05"/>
    <s v="Vancouver"/>
    <s v="加拿大二店"/>
    <x v="1"/>
    <x v="3"/>
    <x v="100"/>
    <x v="96"/>
    <x v="104"/>
    <s v="整份"/>
    <n v="7.95"/>
    <s v="份"/>
    <n v="7"/>
    <n v="55.65"/>
    <n v="0"/>
    <n v="0"/>
    <n v="0"/>
    <n v="0"/>
    <n v="0"/>
    <n v="0"/>
    <n v="0"/>
    <n v="0"/>
    <n v="3.18"/>
    <n v="0"/>
    <n v="7"/>
    <n v="55.09"/>
    <n v="2.62"/>
    <n v="52.47"/>
    <n v="1"/>
  </r>
  <r>
    <s v="2021-06-05"/>
    <s v="Vancouver"/>
    <s v="加拿大二店"/>
    <x v="1"/>
    <x v="8"/>
    <x v="101"/>
    <x v="97"/>
    <x v="105"/>
    <s v="整份"/>
    <n v="5.95"/>
    <s v="份"/>
    <n v="22"/>
    <n v="130.9"/>
    <n v="1"/>
    <n v="5.95"/>
    <n v="0"/>
    <n v="0"/>
    <n v="0"/>
    <n v="0"/>
    <n v="0"/>
    <n v="0"/>
    <n v="0"/>
    <n v="0"/>
    <n v="21"/>
    <n v="131.19"/>
    <n v="6.24"/>
    <n v="124.95"/>
    <n v="1"/>
  </r>
  <r>
    <s v="2021-06-05"/>
    <s v="Vancouver"/>
    <s v="加拿大二店"/>
    <x v="1"/>
    <x v="6"/>
    <x v="102"/>
    <x v="98"/>
    <x v="106"/>
    <s v="整份"/>
    <n v="8.95"/>
    <s v="份"/>
    <n v="4"/>
    <n v="35.8"/>
    <n v="1"/>
    <n v="8.95"/>
    <n v="0"/>
    <n v="0"/>
    <n v="0"/>
    <n v="0"/>
    <n v="0"/>
    <n v="-0.01"/>
    <n v="0.89"/>
    <n v="0"/>
    <n v="3"/>
    <n v="27.26"/>
    <n v="1.29"/>
    <n v="25.97"/>
    <n v="1"/>
  </r>
  <r>
    <s v="2021-06-05"/>
    <s v="Vancouver"/>
    <s v="加拿大二店"/>
    <x v="3"/>
    <x v="7"/>
    <x v="103"/>
    <x v="99"/>
    <x v="107"/>
    <s v="整份"/>
    <n v="5.95"/>
    <s v="份"/>
    <n v="28"/>
    <n v="166.6"/>
    <n v="2"/>
    <n v="11.9"/>
    <n v="0"/>
    <n v="0"/>
    <n v="0"/>
    <n v="0"/>
    <n v="0"/>
    <n v="0"/>
    <n v="1.78"/>
    <n v="0"/>
    <n v="26"/>
    <n v="160.56"/>
    <n v="7.64"/>
    <n v="152.92"/>
    <n v="1"/>
  </r>
  <r>
    <s v="2021-06-05"/>
    <s v="Vancouver"/>
    <s v="加拿大二店"/>
    <x v="3"/>
    <x v="7"/>
    <x v="104"/>
    <x v="100"/>
    <x v="108"/>
    <s v="整份"/>
    <n v="3.95"/>
    <s v="份"/>
    <n v="14"/>
    <n v="55.3"/>
    <n v="0"/>
    <n v="0"/>
    <n v="0"/>
    <n v="0"/>
    <n v="0"/>
    <n v="0"/>
    <n v="0"/>
    <n v="0"/>
    <n v="0"/>
    <n v="0"/>
    <n v="14"/>
    <n v="58.06"/>
    <n v="2.76"/>
    <n v="55.3"/>
    <n v="1"/>
  </r>
  <r>
    <s v="2021-06-05"/>
    <s v="Vancouver"/>
    <s v="加拿大二店"/>
    <x v="1"/>
    <x v="8"/>
    <x v="105"/>
    <x v="101"/>
    <x v="109"/>
    <s v="整份"/>
    <n v="4.95"/>
    <s v="份"/>
    <n v="28"/>
    <n v="138.6"/>
    <n v="0"/>
    <n v="0"/>
    <n v="0"/>
    <n v="0"/>
    <n v="0"/>
    <n v="0"/>
    <n v="0"/>
    <n v="0"/>
    <n v="8.73"/>
    <n v="0"/>
    <n v="28"/>
    <n v="136.36"/>
    <n v="6.49"/>
    <n v="129.87"/>
    <n v="1"/>
  </r>
  <r>
    <s v="2021-06-05"/>
    <s v="Vancouver"/>
    <s v="加拿大二店"/>
    <x v="4"/>
    <x v="9"/>
    <x v="106"/>
    <x v="0"/>
    <x v="110"/>
    <s v="拼锅"/>
    <n v="11.95"/>
    <s v="锅"/>
    <n v="10"/>
    <n v="119.5"/>
    <n v="0"/>
    <n v="0"/>
    <n v="0"/>
    <n v="0"/>
    <n v="0"/>
    <n v="0"/>
    <n v="0"/>
    <n v="0.03"/>
    <n v="0"/>
    <n v="0"/>
    <n v="10"/>
    <n v="125.44"/>
    <n v="5.97"/>
    <n v="119.47"/>
    <n v="2"/>
  </r>
  <r>
    <s v="2021-06-05"/>
    <s v="Vancouver"/>
    <s v="加拿大二店"/>
    <x v="4"/>
    <x v="10"/>
    <x v="106"/>
    <x v="0"/>
    <x v="110"/>
    <s v="四宫格"/>
    <n v="5.95"/>
    <s v="锅"/>
    <n v="13"/>
    <n v="77.35"/>
    <n v="1"/>
    <n v="5.95"/>
    <n v="0"/>
    <n v="0"/>
    <n v="0"/>
    <n v="0"/>
    <n v="0"/>
    <n v="0.02"/>
    <n v="0"/>
    <n v="0"/>
    <n v="12"/>
    <n v="74.94"/>
    <n v="3.56"/>
    <n v="71.38"/>
    <n v="1"/>
  </r>
  <r>
    <s v="2021-06-05"/>
    <s v="Vancouver"/>
    <s v="加拿大二店"/>
    <x v="4"/>
    <x v="16"/>
    <x v="107"/>
    <x v="0"/>
    <x v="111"/>
    <s v="单锅"/>
    <n v="22.95"/>
    <s v="锅"/>
    <n v="1"/>
    <n v="22.95"/>
    <n v="0"/>
    <n v="0"/>
    <n v="0"/>
    <n v="0"/>
    <n v="0"/>
    <n v="0"/>
    <n v="0"/>
    <n v="0.01"/>
    <n v="0"/>
    <n v="0"/>
    <n v="1"/>
    <n v="24.08"/>
    <n v="1.14"/>
    <n v="22.94"/>
    <n v="4"/>
  </r>
  <r>
    <s v="2021-06-05"/>
    <s v="Vancouver"/>
    <s v="加拿大二店"/>
    <x v="4"/>
    <x v="9"/>
    <x v="107"/>
    <x v="0"/>
    <x v="111"/>
    <s v="拼锅"/>
    <n v="11.95"/>
    <s v="锅"/>
    <n v="10"/>
    <n v="119.5"/>
    <n v="0"/>
    <n v="0"/>
    <n v="0"/>
    <n v="0"/>
    <n v="0"/>
    <n v="0"/>
    <n v="0"/>
    <n v="0"/>
    <n v="0"/>
    <n v="0"/>
    <n v="10"/>
    <n v="125.47"/>
    <n v="5.97"/>
    <n v="119.5"/>
    <n v="2"/>
  </r>
  <r>
    <s v="2021-06-05"/>
    <s v="Vancouver"/>
    <s v="加拿大二店"/>
    <x v="4"/>
    <x v="10"/>
    <x v="107"/>
    <x v="0"/>
    <x v="111"/>
    <s v="四宫格"/>
    <n v="5.95"/>
    <s v="锅"/>
    <n v="6"/>
    <n v="35.7"/>
    <n v="0"/>
    <n v="0"/>
    <n v="0"/>
    <n v="0"/>
    <n v="0"/>
    <n v="0"/>
    <n v="0"/>
    <n v="0"/>
    <n v="0"/>
    <n v="0"/>
    <n v="6"/>
    <n v="37.48"/>
    <n v="1.78"/>
    <n v="35.7"/>
    <n v="1"/>
  </r>
  <r>
    <s v="2021-06-06"/>
    <s v="Vancouver"/>
    <s v="加拿大二店"/>
    <x v="1"/>
    <x v="1"/>
    <x v="1"/>
    <x v="1"/>
    <x v="1"/>
    <s v="整份"/>
    <n v="16.95"/>
    <s v="份"/>
    <n v="19"/>
    <n v="322.05"/>
    <n v="0"/>
    <n v="0"/>
    <n v="0"/>
    <n v="0"/>
    <n v="0"/>
    <n v="0"/>
    <n v="0"/>
    <n v="0"/>
    <n v="14.27"/>
    <n v="0"/>
    <n v="19"/>
    <n v="323.16"/>
    <n v="15.38"/>
    <n v="307.78"/>
    <n v="1"/>
  </r>
  <r>
    <s v="2021-06-06"/>
    <s v="Vancouver"/>
    <s v="加拿大二店"/>
    <x v="2"/>
    <x v="2"/>
    <x v="120"/>
    <x v="114"/>
    <x v="124"/>
    <s v="罐"/>
    <n v="5.95"/>
    <s v="罐"/>
    <n v="11"/>
    <n v="65.45"/>
    <n v="0"/>
    <n v="0"/>
    <n v="0"/>
    <n v="0"/>
    <n v="0"/>
    <n v="0"/>
    <n v="0"/>
    <n v="-0.01"/>
    <n v="5.94"/>
    <n v="0"/>
    <n v="11"/>
    <n v="68.44"/>
    <n v="8.92"/>
    <n v="59.52"/>
    <n v="1"/>
  </r>
  <r>
    <s v="2021-06-06"/>
    <s v="Vancouver"/>
    <s v="加拿大二店"/>
    <x v="2"/>
    <x v="22"/>
    <x v="128"/>
    <x v="122"/>
    <x v="133"/>
    <s v="杯"/>
    <n v="5.95"/>
    <s v="杯"/>
    <n v="2"/>
    <n v="11.9"/>
    <n v="0"/>
    <n v="0"/>
    <n v="0"/>
    <n v="0"/>
    <n v="0"/>
    <n v="0"/>
    <n v="0"/>
    <n v="0"/>
    <n v="0"/>
    <n v="0"/>
    <n v="2"/>
    <n v="13.68"/>
    <n v="1.78"/>
    <n v="11.9"/>
    <n v="1"/>
  </r>
  <r>
    <s v="2021-06-06"/>
    <s v="Vancouver"/>
    <s v="加拿大二店"/>
    <x v="1"/>
    <x v="1"/>
    <x v="2"/>
    <x v="2"/>
    <x v="2"/>
    <s v="整份"/>
    <n v="25.95"/>
    <s v="份"/>
    <n v="14"/>
    <n v="363.3"/>
    <n v="0"/>
    <n v="0"/>
    <n v="0"/>
    <n v="0"/>
    <n v="0"/>
    <n v="0"/>
    <n v="0"/>
    <n v="0"/>
    <n v="20.2"/>
    <n v="0"/>
    <n v="14"/>
    <n v="360.25"/>
    <n v="17.15"/>
    <n v="343.1"/>
    <n v="1"/>
  </r>
  <r>
    <s v="2021-06-06"/>
    <s v="Vancouver"/>
    <s v="加拿大二店"/>
    <x v="2"/>
    <x v="2"/>
    <x v="129"/>
    <x v="123"/>
    <x v="134"/>
    <s v="扎"/>
    <n v="22.95"/>
    <s v="扎"/>
    <n v="1"/>
    <n v="22.95"/>
    <n v="0"/>
    <n v="0"/>
    <n v="0"/>
    <n v="0"/>
    <n v="0"/>
    <n v="0"/>
    <n v="0"/>
    <n v="0"/>
    <n v="0"/>
    <n v="0"/>
    <n v="1"/>
    <n v="26.39"/>
    <n v="3.44"/>
    <n v="22.95"/>
    <n v="1"/>
  </r>
  <r>
    <s v="2021-06-06"/>
    <s v="Vancouver"/>
    <s v="加拿大二店"/>
    <x v="2"/>
    <x v="2"/>
    <x v="3"/>
    <x v="3"/>
    <x v="3"/>
    <s v="杯"/>
    <n v="6.95"/>
    <s v="杯"/>
    <n v="1"/>
    <n v="6.95"/>
    <n v="0"/>
    <n v="0"/>
    <n v="0"/>
    <n v="0"/>
    <n v="0"/>
    <n v="0"/>
    <n v="0"/>
    <n v="0.02"/>
    <n v="0"/>
    <n v="0"/>
    <n v="1"/>
    <n v="7.96"/>
    <n v="1.03"/>
    <n v="6.93"/>
    <n v="1"/>
  </r>
  <r>
    <s v="2021-06-06"/>
    <s v="Vancouver"/>
    <s v="加拿大二店"/>
    <x v="2"/>
    <x v="2"/>
    <x v="4"/>
    <x v="4"/>
    <x v="4"/>
    <s v="壶"/>
    <n v="22.95"/>
    <s v="壶"/>
    <n v="3"/>
    <n v="68.85"/>
    <n v="0"/>
    <n v="0"/>
    <n v="0"/>
    <n v="0"/>
    <n v="0"/>
    <n v="0"/>
    <n v="0"/>
    <n v="0"/>
    <n v="0"/>
    <n v="0"/>
    <n v="3"/>
    <n v="79.17"/>
    <n v="10.32"/>
    <n v="68.85"/>
    <n v="1"/>
  </r>
  <r>
    <s v="2021-06-06"/>
    <s v="Vancouver"/>
    <s v="加拿大二店"/>
    <x v="2"/>
    <x v="2"/>
    <x v="5"/>
    <x v="5"/>
    <x v="5"/>
    <s v="杯"/>
    <n v="6.95"/>
    <s v="杯"/>
    <n v="3"/>
    <n v="20.85"/>
    <n v="0"/>
    <n v="0"/>
    <n v="0"/>
    <n v="0"/>
    <n v="0"/>
    <n v="0"/>
    <n v="0"/>
    <n v="-0.03"/>
    <n v="0"/>
    <n v="0"/>
    <n v="3"/>
    <n v="24.01"/>
    <n v="3.13"/>
    <n v="20.88"/>
    <n v="1"/>
  </r>
  <r>
    <s v="2021-06-06"/>
    <s v="Vancouver"/>
    <s v="加拿大二店"/>
    <x v="1"/>
    <x v="3"/>
    <x v="6"/>
    <x v="6"/>
    <x v="6"/>
    <s v="整份"/>
    <n v="7.95"/>
    <s v="份"/>
    <n v="9"/>
    <n v="71.55"/>
    <n v="0"/>
    <n v="0"/>
    <n v="0"/>
    <n v="0"/>
    <n v="0"/>
    <n v="0"/>
    <n v="0"/>
    <n v="0"/>
    <n v="0"/>
    <n v="0"/>
    <n v="9"/>
    <n v="75.12"/>
    <n v="3.57"/>
    <n v="71.55"/>
    <n v="1"/>
  </r>
  <r>
    <s v="2021-06-06"/>
    <s v="Vancouver"/>
    <s v="加拿大二店"/>
    <x v="0"/>
    <x v="0"/>
    <x v="124"/>
    <x v="0"/>
    <x v="128"/>
    <s v="套餐"/>
    <n v="59.95"/>
    <s v="套餐"/>
    <n v="2"/>
    <n v="119.9"/>
    <n v="0"/>
    <n v="0"/>
    <n v="0"/>
    <n v="0"/>
    <n v="0"/>
    <n v="0"/>
    <n v="0"/>
    <n v="0.03"/>
    <n v="0"/>
    <n v="0"/>
    <n v="2"/>
    <n v="127.06"/>
    <n v="7.19"/>
    <n v="119.87"/>
    <n v="1"/>
  </r>
  <r>
    <s v="2021-06-06"/>
    <s v="Vancouver"/>
    <s v="加拿大二店"/>
    <x v="2"/>
    <x v="4"/>
    <x v="7"/>
    <x v="7"/>
    <x v="7"/>
    <s v="冰镇"/>
    <n v="2.45"/>
    <s v="罐"/>
    <n v="2"/>
    <n v="4.9"/>
    <n v="0"/>
    <n v="0"/>
    <n v="0"/>
    <n v="0"/>
    <n v="0"/>
    <n v="0"/>
    <n v="0"/>
    <n v="0"/>
    <n v="0"/>
    <n v="0"/>
    <n v="2"/>
    <n v="5.48"/>
    <n v="0.58"/>
    <n v="4.9"/>
    <n v="1"/>
  </r>
  <r>
    <s v="2021-06-06"/>
    <s v="Vancouver"/>
    <s v="加拿大二店"/>
    <x v="2"/>
    <x v="4"/>
    <x v="110"/>
    <x v="104"/>
    <x v="114"/>
    <s v="小瓶"/>
    <n v="3.95"/>
    <s v="瓶"/>
    <n v="2"/>
    <n v="7.9"/>
    <n v="0"/>
    <n v="0"/>
    <n v="0"/>
    <n v="0"/>
    <n v="0"/>
    <n v="0"/>
    <n v="0"/>
    <n v="0"/>
    <n v="0"/>
    <n v="0"/>
    <n v="2"/>
    <n v="8.84"/>
    <n v="0.94"/>
    <n v="7.9"/>
    <n v="1"/>
  </r>
  <r>
    <s v="2021-06-06"/>
    <s v="Vancouver"/>
    <s v="加拿大二店"/>
    <x v="3"/>
    <x v="5"/>
    <x v="8"/>
    <x v="8"/>
    <x v="8"/>
    <s v="整份"/>
    <n v="3.95"/>
    <s v="份"/>
    <n v="10"/>
    <n v="39.5"/>
    <n v="0"/>
    <n v="0"/>
    <n v="0"/>
    <n v="0"/>
    <n v="1"/>
    <n v="3.95"/>
    <n v="0"/>
    <n v="0"/>
    <n v="4.92"/>
    <n v="0"/>
    <n v="9"/>
    <n v="32.16"/>
    <n v="1.53"/>
    <n v="30.63"/>
    <n v="1"/>
  </r>
  <r>
    <s v="2021-06-06"/>
    <s v="Vancouver"/>
    <s v="加拿大二店"/>
    <x v="2"/>
    <x v="4"/>
    <x v="9"/>
    <x v="9"/>
    <x v="9"/>
    <s v="常温"/>
    <n v="2.95"/>
    <s v="位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06"/>
    <s v="Vancouver"/>
    <s v="加拿大二店"/>
    <x v="2"/>
    <x v="4"/>
    <x v="10"/>
    <x v="10"/>
    <x v="10"/>
    <s v="半份"/>
    <n v="6.95"/>
    <s v="扎"/>
    <n v="4"/>
    <n v="27.8"/>
    <n v="0"/>
    <n v="0"/>
    <n v="0"/>
    <n v="0"/>
    <n v="0"/>
    <n v="0"/>
    <n v="0"/>
    <n v="0"/>
    <n v="0.41"/>
    <n v="0"/>
    <n v="4"/>
    <n v="30.67"/>
    <n v="3.28"/>
    <n v="27.39"/>
    <n v="0.5"/>
  </r>
  <r>
    <s v="2021-06-06"/>
    <s v="Vancouver"/>
    <s v="加拿大二店"/>
    <x v="2"/>
    <x v="4"/>
    <x v="10"/>
    <x v="11"/>
    <x v="11"/>
    <s v="整份"/>
    <n v="9.95"/>
    <s v="扎"/>
    <n v="4"/>
    <n v="39.8"/>
    <n v="0"/>
    <n v="0"/>
    <n v="0"/>
    <n v="0"/>
    <n v="0"/>
    <n v="0"/>
    <n v="0"/>
    <n v="0"/>
    <n v="0"/>
    <n v="0"/>
    <n v="4"/>
    <n v="44.57"/>
    <n v="4.77"/>
    <n v="39.8"/>
    <n v="1"/>
  </r>
  <r>
    <s v="2021-06-06"/>
    <s v="Vancouver"/>
    <s v="加拿大二店"/>
    <x v="1"/>
    <x v="6"/>
    <x v="11"/>
    <x v="12"/>
    <x v="12"/>
    <s v="整份"/>
    <n v="8.95"/>
    <s v="份"/>
    <n v="6"/>
    <n v="53.7"/>
    <n v="0"/>
    <n v="0"/>
    <n v="0"/>
    <n v="0"/>
    <n v="0"/>
    <n v="0"/>
    <n v="0"/>
    <n v="0"/>
    <n v="2.14"/>
    <n v="0"/>
    <n v="6"/>
    <n v="54.13"/>
    <n v="2.57"/>
    <n v="51.56"/>
    <n v="1"/>
  </r>
  <r>
    <s v="2021-06-06"/>
    <s v="Vancouver"/>
    <s v="加拿大二店"/>
    <x v="1"/>
    <x v="6"/>
    <x v="12"/>
    <x v="13"/>
    <x v="13"/>
    <s v="整份"/>
    <n v="16.95"/>
    <s v="份"/>
    <n v="3"/>
    <n v="50.85"/>
    <n v="0"/>
    <n v="0"/>
    <n v="0"/>
    <n v="0"/>
    <n v="0"/>
    <n v="0"/>
    <n v="0"/>
    <n v="0"/>
    <n v="6.78"/>
    <n v="0"/>
    <n v="3"/>
    <n v="46.27"/>
    <n v="2.2"/>
    <n v="44.07"/>
    <n v="1"/>
  </r>
  <r>
    <s v="2021-06-06"/>
    <s v="Vancouver"/>
    <s v="加拿大二店"/>
    <x v="1"/>
    <x v="6"/>
    <x v="13"/>
    <x v="14"/>
    <x v="14"/>
    <s v="整份"/>
    <n v="21.95"/>
    <s v="份"/>
    <n v="1"/>
    <n v="21.95"/>
    <n v="0"/>
    <n v="0"/>
    <n v="0"/>
    <n v="0"/>
    <n v="0"/>
    <n v="0"/>
    <n v="0"/>
    <n v="0"/>
    <n v="0"/>
    <n v="0"/>
    <n v="1"/>
    <n v="23.04"/>
    <n v="1.09"/>
    <n v="21.95"/>
    <n v="1"/>
  </r>
  <r>
    <s v="2021-06-06"/>
    <s v="Vancouver"/>
    <s v="加拿大二店"/>
    <x v="1"/>
    <x v="6"/>
    <x v="14"/>
    <x v="15"/>
    <x v="15"/>
    <s v="整份"/>
    <n v="29.95"/>
    <s v="份"/>
    <n v="2"/>
    <n v="59.9"/>
    <n v="0"/>
    <n v="0"/>
    <n v="0"/>
    <n v="0"/>
    <n v="0"/>
    <n v="0"/>
    <n v="0"/>
    <n v="0"/>
    <n v="0"/>
    <n v="0"/>
    <n v="2"/>
    <n v="62.89"/>
    <n v="2.99"/>
    <n v="59.9"/>
    <n v="1"/>
  </r>
  <r>
    <s v="2021-06-06"/>
    <s v="Vancouver"/>
    <s v="加拿大二店"/>
    <x v="1"/>
    <x v="6"/>
    <x v="121"/>
    <x v="115"/>
    <x v="125"/>
    <s v="整份"/>
    <n v="12.95"/>
    <s v="份"/>
    <n v="2"/>
    <n v="25.9"/>
    <n v="0"/>
    <n v="0"/>
    <n v="0"/>
    <n v="0"/>
    <n v="0"/>
    <n v="0"/>
    <n v="0"/>
    <n v="0"/>
    <n v="0"/>
    <n v="0"/>
    <n v="2"/>
    <n v="27.19"/>
    <n v="1.29"/>
    <n v="25.9"/>
    <n v="1"/>
  </r>
  <r>
    <s v="2021-06-06"/>
    <s v="Vancouver"/>
    <s v="加拿大二店"/>
    <x v="1"/>
    <x v="6"/>
    <x v="15"/>
    <x v="16"/>
    <x v="16"/>
    <s v="整份"/>
    <n v="8.95"/>
    <s v="份"/>
    <n v="2"/>
    <n v="17.9"/>
    <n v="0"/>
    <n v="0"/>
    <n v="0"/>
    <n v="0"/>
    <n v="0"/>
    <n v="0"/>
    <n v="0"/>
    <n v="0"/>
    <n v="0"/>
    <n v="0"/>
    <n v="2"/>
    <n v="18.79"/>
    <n v="0.89"/>
    <n v="17.9"/>
    <n v="1"/>
  </r>
  <r>
    <s v="2021-06-06"/>
    <s v="Vancouver"/>
    <s v="加拿大二店"/>
    <x v="1"/>
    <x v="6"/>
    <x v="111"/>
    <x v="105"/>
    <x v="115"/>
    <s v="整份"/>
    <n v="8.95"/>
    <s v="份"/>
    <n v="1"/>
    <n v="8.95"/>
    <n v="0"/>
    <n v="0"/>
    <n v="0"/>
    <n v="0"/>
    <n v="0"/>
    <n v="0"/>
    <n v="0"/>
    <n v="0"/>
    <n v="1.79"/>
    <n v="0"/>
    <n v="1"/>
    <n v="7.51"/>
    <n v="0.35"/>
    <n v="7.16"/>
    <n v="1"/>
  </r>
  <r>
    <s v="2021-06-06"/>
    <s v="Vancouver"/>
    <s v="加拿大二店"/>
    <x v="3"/>
    <x v="7"/>
    <x v="16"/>
    <x v="17"/>
    <x v="17"/>
    <s v="整份"/>
    <n v="4.95"/>
    <s v="份"/>
    <n v="18"/>
    <n v="89.1"/>
    <n v="0"/>
    <n v="0"/>
    <n v="0"/>
    <n v="0"/>
    <n v="0"/>
    <n v="0"/>
    <n v="0"/>
    <n v="0"/>
    <n v="4.84"/>
    <n v="0"/>
    <n v="18"/>
    <n v="88.47"/>
    <n v="4.21"/>
    <n v="84.26"/>
    <n v="1"/>
  </r>
  <r>
    <s v="2021-06-06"/>
    <s v="Vancouver"/>
    <s v="加拿大二店"/>
    <x v="2"/>
    <x v="4"/>
    <x v="17"/>
    <x v="18"/>
    <x v="18"/>
    <s v="冰镇"/>
    <n v="2.95"/>
    <s v="瓶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06"/>
    <s v="Vancouver"/>
    <s v="加拿大二店"/>
    <x v="2"/>
    <x v="4"/>
    <x v="18"/>
    <x v="19"/>
    <x v="19"/>
    <s v="冰镇"/>
    <n v="2.95"/>
    <s v="听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06"/>
    <s v="Vancouver"/>
    <s v="加拿大二店"/>
    <x v="1"/>
    <x v="8"/>
    <x v="19"/>
    <x v="20"/>
    <x v="20"/>
    <s v="整份"/>
    <n v="5.95"/>
    <s v="份"/>
    <n v="19"/>
    <n v="113.05"/>
    <n v="0"/>
    <n v="0"/>
    <n v="0"/>
    <n v="0"/>
    <n v="0"/>
    <n v="0"/>
    <n v="0"/>
    <n v="0"/>
    <n v="3.16"/>
    <n v="0"/>
    <n v="19"/>
    <n v="115.38"/>
    <n v="5.49"/>
    <n v="109.89"/>
    <n v="1"/>
  </r>
  <r>
    <s v="2021-06-06"/>
    <s v="Vancouver"/>
    <s v="加拿大二店"/>
    <x v="1"/>
    <x v="8"/>
    <x v="20"/>
    <x v="21"/>
    <x v="21"/>
    <s v="整份"/>
    <n v="7.95"/>
    <s v="份"/>
    <n v="2"/>
    <n v="15.9"/>
    <n v="0"/>
    <n v="0"/>
    <n v="0"/>
    <n v="0"/>
    <n v="2"/>
    <n v="15.9"/>
    <n v="0"/>
    <n v="0"/>
    <n v="0"/>
    <n v="0"/>
    <n v="0"/>
    <n v="0"/>
    <n v="0"/>
    <n v="0"/>
    <n v="1"/>
  </r>
  <r>
    <s v="2021-06-06"/>
    <s v="Vancouver"/>
    <s v="加拿大二店"/>
    <x v="2"/>
    <x v="4"/>
    <x v="21"/>
    <x v="22"/>
    <x v="22"/>
    <s v="冰镇"/>
    <n v="2.45"/>
    <s v="听"/>
    <n v="4"/>
    <n v="9.8"/>
    <n v="0"/>
    <n v="0"/>
    <n v="0"/>
    <n v="0"/>
    <n v="0"/>
    <n v="0"/>
    <n v="0"/>
    <n v="0"/>
    <n v="0"/>
    <n v="0"/>
    <n v="4"/>
    <n v="10.97"/>
    <n v="1.17"/>
    <n v="9.8"/>
    <n v="1"/>
  </r>
  <r>
    <s v="2021-06-06"/>
    <s v="Vancouver"/>
    <s v="加拿大二店"/>
    <x v="4"/>
    <x v="9"/>
    <x v="22"/>
    <x v="0"/>
    <x v="23"/>
    <s v="拼锅"/>
    <n v="11.95"/>
    <s v="锅"/>
    <n v="3"/>
    <n v="35.85"/>
    <n v="0"/>
    <n v="0"/>
    <n v="0"/>
    <n v="0"/>
    <n v="0"/>
    <n v="0"/>
    <n v="0"/>
    <n v="-0.01"/>
    <n v="0"/>
    <n v="0"/>
    <n v="3"/>
    <n v="38.01"/>
    <n v="2.15"/>
    <n v="35.86"/>
    <n v="2"/>
  </r>
  <r>
    <s v="2021-06-06"/>
    <s v="Vancouver"/>
    <s v="加拿大二店"/>
    <x v="4"/>
    <x v="10"/>
    <x v="22"/>
    <x v="0"/>
    <x v="23"/>
    <s v="四宫格"/>
    <n v="5.95"/>
    <s v="锅"/>
    <n v="4"/>
    <n v="23.8"/>
    <n v="0"/>
    <n v="0"/>
    <n v="0"/>
    <n v="0"/>
    <n v="0"/>
    <n v="0"/>
    <n v="0"/>
    <n v="-0.02"/>
    <n v="0"/>
    <n v="0"/>
    <n v="4"/>
    <n v="25.24"/>
    <n v="1.42"/>
    <n v="23.82"/>
    <n v="1"/>
  </r>
  <r>
    <s v="2021-06-06"/>
    <s v="Vancouver"/>
    <s v="加拿大二店"/>
    <x v="3"/>
    <x v="7"/>
    <x v="23"/>
    <x v="23"/>
    <x v="24"/>
    <s v="整份"/>
    <n v="4.95"/>
    <s v="份"/>
    <n v="19"/>
    <n v="94.05"/>
    <n v="0"/>
    <n v="0"/>
    <n v="0"/>
    <n v="0"/>
    <n v="0"/>
    <n v="0"/>
    <n v="0"/>
    <n v="0"/>
    <n v="2.92"/>
    <n v="0"/>
    <n v="19"/>
    <n v="95.68"/>
    <n v="4.55"/>
    <n v="91.13"/>
    <n v="1"/>
  </r>
  <r>
    <s v="2021-06-06"/>
    <s v="Vancouver"/>
    <s v="加拿大二店"/>
    <x v="3"/>
    <x v="11"/>
    <x v="24"/>
    <x v="118"/>
    <x v="129"/>
    <s v="整份"/>
    <n v="5.95"/>
    <s v="份"/>
    <n v="10"/>
    <n v="59.5"/>
    <n v="0"/>
    <n v="0"/>
    <n v="0"/>
    <n v="0"/>
    <n v="0"/>
    <n v="0"/>
    <n v="0"/>
    <n v="0"/>
    <n v="0"/>
    <n v="0"/>
    <n v="10"/>
    <n v="62.47"/>
    <n v="2.97"/>
    <n v="59.5"/>
    <n v="1"/>
  </r>
  <r>
    <s v="2021-06-06"/>
    <s v="Vancouver"/>
    <s v="加拿大二店"/>
    <x v="3"/>
    <x v="11"/>
    <x v="24"/>
    <x v="24"/>
    <x v="25"/>
    <s v="半份"/>
    <n v="2.95"/>
    <s v="份"/>
    <n v="3"/>
    <n v="8.85"/>
    <n v="0"/>
    <n v="0"/>
    <n v="0"/>
    <n v="0"/>
    <n v="0"/>
    <n v="0"/>
    <n v="0"/>
    <n v="0"/>
    <n v="1.35"/>
    <n v="0"/>
    <n v="3"/>
    <n v="7.87"/>
    <n v="0.37"/>
    <n v="7.5"/>
    <n v="0.5"/>
  </r>
  <r>
    <s v="2021-06-06"/>
    <s v="Vancouver"/>
    <s v="加拿大二店"/>
    <x v="3"/>
    <x v="5"/>
    <x v="25"/>
    <x v="25"/>
    <x v="26"/>
    <s v="整份"/>
    <n v="3.95"/>
    <s v="份"/>
    <n v="6"/>
    <n v="23.7"/>
    <n v="0"/>
    <n v="0"/>
    <n v="0"/>
    <n v="0"/>
    <n v="0"/>
    <n v="0"/>
    <n v="0"/>
    <n v="0"/>
    <n v="1.26"/>
    <n v="0"/>
    <n v="6"/>
    <n v="23.56"/>
    <n v="1.12"/>
    <n v="22.44"/>
    <n v="1"/>
  </r>
  <r>
    <s v="2021-06-06"/>
    <s v="Vancouver"/>
    <s v="加拿大二店"/>
    <x v="3"/>
    <x v="11"/>
    <x v="26"/>
    <x v="26"/>
    <x v="27"/>
    <s v="整份"/>
    <n v="4.95"/>
    <s v="份"/>
    <n v="15"/>
    <n v="74.25"/>
    <n v="0"/>
    <n v="0"/>
    <n v="0"/>
    <n v="0"/>
    <n v="0"/>
    <n v="0"/>
    <n v="0"/>
    <n v="0"/>
    <n v="2"/>
    <n v="0"/>
    <n v="15"/>
    <n v="75.86"/>
    <n v="3.61"/>
    <n v="72.25"/>
    <n v="1"/>
  </r>
  <r>
    <s v="2021-06-06"/>
    <s v="Vancouver"/>
    <s v="加拿大二店"/>
    <x v="3"/>
    <x v="11"/>
    <x v="26"/>
    <x v="27"/>
    <x v="28"/>
    <s v="半份"/>
    <n v="2.45"/>
    <s v="份"/>
    <n v="8"/>
    <n v="19.6"/>
    <n v="0"/>
    <n v="0"/>
    <n v="0"/>
    <n v="0"/>
    <n v="0"/>
    <n v="0"/>
    <n v="0"/>
    <n v="0"/>
    <n v="0.92"/>
    <n v="0"/>
    <n v="8"/>
    <n v="19.61"/>
    <n v="0.93"/>
    <n v="18.68"/>
    <n v="0.5"/>
  </r>
  <r>
    <s v="2021-06-06"/>
    <s v="Vancouver"/>
    <s v="加拿大二店"/>
    <x v="2"/>
    <x v="4"/>
    <x v="122"/>
    <x v="116"/>
    <x v="126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06"/>
    <s v="Vancouver"/>
    <s v="加拿大二店"/>
    <x v="5"/>
    <x v="12"/>
    <x v="27"/>
    <x v="28"/>
    <x v="29"/>
    <s v="整份"/>
    <n v="7.95"/>
    <s v="份"/>
    <n v="8"/>
    <n v="63.6"/>
    <n v="0"/>
    <n v="0"/>
    <n v="0"/>
    <n v="0"/>
    <n v="0"/>
    <n v="0"/>
    <n v="0"/>
    <n v="0"/>
    <n v="0.95"/>
    <n v="0"/>
    <n v="8"/>
    <n v="65.78"/>
    <n v="3.13"/>
    <n v="62.65"/>
    <n v="1"/>
  </r>
  <r>
    <s v="2021-06-06"/>
    <s v="Vancouver"/>
    <s v="加拿大二店"/>
    <x v="3"/>
    <x v="7"/>
    <x v="28"/>
    <x v="29"/>
    <x v="30"/>
    <s v="整份"/>
    <n v="4.95"/>
    <s v="份"/>
    <n v="20"/>
    <n v="99"/>
    <n v="0"/>
    <n v="0"/>
    <n v="0"/>
    <n v="0"/>
    <n v="0"/>
    <n v="0"/>
    <n v="0"/>
    <n v="0"/>
    <n v="5.06"/>
    <n v="0"/>
    <n v="20"/>
    <n v="98.63"/>
    <n v="4.69"/>
    <n v="93.94"/>
    <n v="1"/>
  </r>
  <r>
    <s v="2021-06-06"/>
    <s v="Vancouver"/>
    <s v="加拿大二店"/>
    <x v="3"/>
    <x v="5"/>
    <x v="29"/>
    <x v="30"/>
    <x v="31"/>
    <s v="整份"/>
    <n v="3.95"/>
    <s v="份"/>
    <n v="9"/>
    <n v="35.55"/>
    <n v="0"/>
    <n v="0"/>
    <n v="0"/>
    <n v="0"/>
    <n v="0"/>
    <n v="0"/>
    <n v="0"/>
    <n v="0"/>
    <n v="2.28"/>
    <n v="0"/>
    <n v="9"/>
    <n v="34.93"/>
    <n v="1.66"/>
    <n v="33.27"/>
    <n v="1"/>
  </r>
  <r>
    <s v="2021-06-06"/>
    <s v="Vancouver"/>
    <s v="加拿大二店"/>
    <x v="6"/>
    <x v="13"/>
    <x v="30"/>
    <x v="31"/>
    <x v="32"/>
    <s v="整份"/>
    <n v="4.95"/>
    <s v="份"/>
    <n v="12"/>
    <n v="59.4"/>
    <n v="0"/>
    <n v="0"/>
    <n v="0"/>
    <n v="0"/>
    <n v="0"/>
    <n v="0"/>
    <n v="0"/>
    <n v="0"/>
    <n v="0.32"/>
    <n v="0"/>
    <n v="12"/>
    <n v="62.03"/>
    <n v="2.95"/>
    <n v="59.08"/>
    <n v="1"/>
  </r>
  <r>
    <s v="2021-06-06"/>
    <s v="Vancouver"/>
    <s v="加拿大二店"/>
    <x v="6"/>
    <x v="13"/>
    <x v="31"/>
    <x v="32"/>
    <x v="33"/>
    <s v="整份"/>
    <n v="9.95"/>
    <s v="份"/>
    <n v="7"/>
    <n v="69.65"/>
    <n v="0"/>
    <n v="0"/>
    <n v="0"/>
    <n v="0"/>
    <n v="0"/>
    <n v="0"/>
    <n v="0"/>
    <n v="0"/>
    <n v="0"/>
    <n v="0"/>
    <n v="7"/>
    <n v="73.13"/>
    <n v="3.48"/>
    <n v="69.65"/>
    <n v="1"/>
  </r>
  <r>
    <s v="2021-06-06"/>
    <s v="Vancouver"/>
    <s v="加拿大二店"/>
    <x v="5"/>
    <x v="12"/>
    <x v="32"/>
    <x v="33"/>
    <x v="34"/>
    <s v="整份"/>
    <n v="17.85"/>
    <s v="份"/>
    <n v="4"/>
    <n v="71.4"/>
    <n v="0"/>
    <n v="0"/>
    <n v="0"/>
    <n v="0"/>
    <n v="0"/>
    <n v="0"/>
    <n v="0"/>
    <n v="0"/>
    <n v="0"/>
    <n v="0"/>
    <n v="4"/>
    <n v="74.97"/>
    <n v="3.57"/>
    <n v="71.4"/>
    <n v="1"/>
  </r>
  <r>
    <s v="2021-06-06"/>
    <s v="Vancouver"/>
    <s v="加拿大二店"/>
    <x v="1"/>
    <x v="3"/>
    <x v="33"/>
    <x v="34"/>
    <x v="35"/>
    <s v="整份"/>
    <n v="11.95"/>
    <s v="份"/>
    <n v="34"/>
    <n v="406.3"/>
    <n v="0"/>
    <n v="0"/>
    <n v="0"/>
    <n v="0"/>
    <n v="2"/>
    <n v="23.9"/>
    <n v="0"/>
    <n v="0"/>
    <n v="25.63"/>
    <n v="0"/>
    <n v="32"/>
    <n v="374.6"/>
    <n v="17.83"/>
    <n v="356.77"/>
    <n v="1"/>
  </r>
  <r>
    <s v="2021-06-06"/>
    <s v="Vancouver"/>
    <s v="加拿大二店"/>
    <x v="5"/>
    <x v="12"/>
    <x v="34"/>
    <x v="35"/>
    <x v="36"/>
    <s v="整份"/>
    <n v="11.95"/>
    <s v="份"/>
    <n v="14"/>
    <n v="167.3"/>
    <n v="0"/>
    <n v="0"/>
    <n v="0"/>
    <n v="0"/>
    <n v="0"/>
    <n v="0"/>
    <n v="0"/>
    <n v="0"/>
    <n v="10.32"/>
    <n v="0"/>
    <n v="14"/>
    <n v="164.82"/>
    <n v="7.84"/>
    <n v="156.98"/>
    <n v="1"/>
  </r>
  <r>
    <s v="2021-06-06"/>
    <s v="Vancouver"/>
    <s v="加拿大二店"/>
    <x v="5"/>
    <x v="12"/>
    <x v="35"/>
    <x v="36"/>
    <x v="37"/>
    <s v="条"/>
    <n v="4.95"/>
    <s v="条"/>
    <n v="21"/>
    <n v="103.95"/>
    <n v="1"/>
    <n v="4.95"/>
    <n v="0"/>
    <n v="0"/>
    <n v="0"/>
    <n v="0"/>
    <n v="0"/>
    <n v="-0.02"/>
    <n v="0"/>
    <n v="0"/>
    <n v="20"/>
    <n v="103.97"/>
    <n v="4.95"/>
    <n v="99.02"/>
    <n v="1"/>
  </r>
  <r>
    <s v="2021-06-06"/>
    <s v="Vancouver"/>
    <s v="加拿大二店"/>
    <x v="5"/>
    <x v="12"/>
    <x v="36"/>
    <x v="37"/>
    <x v="38"/>
    <s v="整份"/>
    <n v="13.95"/>
    <s v="份"/>
    <n v="20"/>
    <n v="279"/>
    <n v="0"/>
    <n v="0"/>
    <n v="0"/>
    <n v="0"/>
    <n v="0"/>
    <n v="0"/>
    <n v="0"/>
    <n v="0"/>
    <n v="16.79"/>
    <n v="0"/>
    <n v="20"/>
    <n v="275.32"/>
    <n v="13.11"/>
    <n v="262.21"/>
    <n v="1"/>
  </r>
  <r>
    <s v="2021-06-06"/>
    <s v="Vancouver"/>
    <s v="加拿大二店"/>
    <x v="5"/>
    <x v="12"/>
    <x v="37"/>
    <x v="38"/>
    <x v="39"/>
    <s v="整份"/>
    <n v="9.95"/>
    <s v="份"/>
    <n v="25"/>
    <n v="248.75"/>
    <n v="0"/>
    <n v="0"/>
    <n v="0"/>
    <n v="0"/>
    <n v="0"/>
    <n v="0"/>
    <n v="0"/>
    <n v="0.01"/>
    <n v="14.95"/>
    <n v="0"/>
    <n v="25"/>
    <n v="245.47"/>
    <n v="11.68"/>
    <n v="233.79"/>
    <n v="1"/>
  </r>
  <r>
    <s v="2021-06-06"/>
    <s v="Vancouver"/>
    <s v="加拿大二店"/>
    <x v="5"/>
    <x v="12"/>
    <x v="38"/>
    <x v="39"/>
    <x v="40"/>
    <s v="整份"/>
    <n v="9.95"/>
    <s v="份"/>
    <n v="8"/>
    <n v="79.6"/>
    <n v="0"/>
    <n v="0"/>
    <n v="0"/>
    <n v="0"/>
    <n v="1"/>
    <n v="9.95"/>
    <n v="0"/>
    <n v="0"/>
    <n v="9.94"/>
    <n v="0"/>
    <n v="7"/>
    <n v="62.69"/>
    <n v="2.98"/>
    <n v="59.71"/>
    <n v="1"/>
  </r>
  <r>
    <s v="2021-06-06"/>
    <s v="Vancouver"/>
    <s v="加拿大二店"/>
    <x v="6"/>
    <x v="13"/>
    <x v="39"/>
    <x v="40"/>
    <x v="41"/>
    <s v="整份"/>
    <n v="8.95"/>
    <s v="份"/>
    <n v="17"/>
    <n v="152.15"/>
    <n v="0"/>
    <n v="0"/>
    <n v="0"/>
    <n v="0"/>
    <n v="0"/>
    <n v="0"/>
    <n v="0"/>
    <n v="0"/>
    <n v="4.02"/>
    <n v="0"/>
    <n v="17"/>
    <n v="155.53"/>
    <n v="7.4"/>
    <n v="148.13"/>
    <n v="1"/>
  </r>
  <r>
    <s v="2021-06-06"/>
    <s v="Vancouver"/>
    <s v="加拿大二店"/>
    <x v="5"/>
    <x v="12"/>
    <x v="40"/>
    <x v="41"/>
    <x v="42"/>
    <s v="整份"/>
    <n v="9.95"/>
    <s v="份"/>
    <n v="10"/>
    <n v="99.5"/>
    <n v="0"/>
    <n v="0"/>
    <n v="0"/>
    <n v="0"/>
    <n v="0"/>
    <n v="0"/>
    <n v="0"/>
    <n v="0"/>
    <n v="4.17"/>
    <n v="0"/>
    <n v="10"/>
    <n v="100.09"/>
    <n v="4.76"/>
    <n v="95.33"/>
    <n v="1"/>
  </r>
  <r>
    <s v="2021-06-06"/>
    <s v="Vancouver"/>
    <s v="加拿大二店"/>
    <x v="5"/>
    <x v="12"/>
    <x v="41"/>
    <x v="42"/>
    <x v="43"/>
    <s v="整份"/>
    <n v="7.95"/>
    <s v="份"/>
    <n v="16"/>
    <n v="127.2"/>
    <n v="0"/>
    <n v="0"/>
    <n v="0"/>
    <n v="0"/>
    <n v="1"/>
    <n v="7.95"/>
    <n v="0"/>
    <n v="0"/>
    <n v="5.95"/>
    <n v="0"/>
    <n v="15"/>
    <n v="118.96"/>
    <n v="5.66"/>
    <n v="113.3"/>
    <n v="1"/>
  </r>
  <r>
    <s v="2021-06-06"/>
    <s v="Vancouver"/>
    <s v="加拿大二店"/>
    <x v="3"/>
    <x v="5"/>
    <x v="43"/>
    <x v="44"/>
    <x v="45"/>
    <s v="整份"/>
    <n v="3.95"/>
    <s v="份"/>
    <n v="4"/>
    <n v="15.8"/>
    <n v="0"/>
    <n v="0"/>
    <n v="0"/>
    <n v="0"/>
    <n v="0"/>
    <n v="0"/>
    <n v="0"/>
    <n v="0"/>
    <n v="1.81"/>
    <n v="0"/>
    <n v="4"/>
    <n v="14.68"/>
    <n v="0.69"/>
    <n v="13.99"/>
    <n v="1"/>
  </r>
  <r>
    <s v="2021-06-06"/>
    <s v="Vancouver"/>
    <s v="加拿大二店"/>
    <x v="7"/>
    <x v="14"/>
    <x v="44"/>
    <x v="45"/>
    <x v="46"/>
    <s v="整份"/>
    <n v="0"/>
    <s v="份"/>
    <n v="15"/>
    <n v="0"/>
    <n v="0"/>
    <n v="0"/>
    <n v="0"/>
    <n v="0"/>
    <n v="0"/>
    <n v="0"/>
    <n v="0"/>
    <n v="0"/>
    <n v="0"/>
    <n v="0"/>
    <n v="15"/>
    <n v="0"/>
    <n v="0"/>
    <n v="0"/>
    <n v="1"/>
  </r>
  <r>
    <s v="2021-06-06"/>
    <s v="Vancouver"/>
    <s v="加拿大二店"/>
    <x v="7"/>
    <x v="14"/>
    <x v="45"/>
    <x v="46"/>
    <x v="47"/>
    <s v="整份"/>
    <n v="1.5"/>
    <s v="份"/>
    <n v="2"/>
    <n v="3"/>
    <n v="0"/>
    <n v="0"/>
    <n v="0"/>
    <n v="0"/>
    <n v="0"/>
    <n v="0"/>
    <n v="0"/>
    <n v="0"/>
    <n v="0"/>
    <n v="0"/>
    <n v="2"/>
    <n v="3.15"/>
    <n v="0.15"/>
    <n v="3"/>
    <n v="1"/>
  </r>
  <r>
    <s v="2021-06-06"/>
    <s v="Vancouver"/>
    <s v="加拿大二店"/>
    <x v="7"/>
    <x v="14"/>
    <x v="45"/>
    <x v="46"/>
    <x v="47"/>
    <s v="整份"/>
    <n v="3.97"/>
    <s v="份"/>
    <n v="1"/>
    <n v="3.97"/>
    <n v="0"/>
    <n v="0"/>
    <n v="0"/>
    <n v="0"/>
    <n v="0"/>
    <n v="0"/>
    <n v="0"/>
    <n v="0"/>
    <n v="0"/>
    <n v="0"/>
    <n v="1"/>
    <n v="4.16"/>
    <n v="0.19"/>
    <n v="3.97"/>
    <n v="1"/>
  </r>
  <r>
    <s v="2021-06-06"/>
    <s v="Vancouver"/>
    <s v="加拿大二店"/>
    <x v="7"/>
    <x v="14"/>
    <x v="45"/>
    <x v="46"/>
    <x v="47"/>
    <s v="整份"/>
    <n v="4.97"/>
    <s v="份"/>
    <n v="1"/>
    <n v="4.97"/>
    <n v="0"/>
    <n v="0"/>
    <n v="0"/>
    <n v="0"/>
    <n v="0"/>
    <n v="0"/>
    <n v="0"/>
    <n v="0"/>
    <n v="0"/>
    <n v="0"/>
    <n v="1"/>
    <n v="5.21"/>
    <n v="0.24"/>
    <n v="4.97"/>
    <n v="1"/>
  </r>
  <r>
    <s v="2021-06-06"/>
    <s v="Vancouver"/>
    <s v="加拿大二店"/>
    <x v="7"/>
    <x v="14"/>
    <x v="45"/>
    <x v="46"/>
    <x v="47"/>
    <s v="整份"/>
    <n v="4.99"/>
    <s v="份"/>
    <n v="3"/>
    <n v="14.97"/>
    <n v="0"/>
    <n v="0"/>
    <n v="0"/>
    <n v="0"/>
    <n v="0"/>
    <n v="0"/>
    <n v="0"/>
    <n v="0"/>
    <n v="0"/>
    <n v="0"/>
    <n v="3"/>
    <n v="15.71"/>
    <n v="0.74"/>
    <n v="14.97"/>
    <n v="1"/>
  </r>
  <r>
    <s v="2021-06-06"/>
    <s v="Vancouver"/>
    <s v="加拿大二店"/>
    <x v="7"/>
    <x v="14"/>
    <x v="45"/>
    <x v="46"/>
    <x v="47"/>
    <s v="整份"/>
    <n v="9.99"/>
    <s v="份"/>
    <n v="2"/>
    <n v="19.98"/>
    <n v="0"/>
    <n v="0"/>
    <n v="0"/>
    <n v="0"/>
    <n v="0"/>
    <n v="0"/>
    <n v="0"/>
    <n v="-0.01"/>
    <n v="0"/>
    <n v="0"/>
    <n v="2"/>
    <n v="20.98"/>
    <n v="0.99"/>
    <n v="19.99"/>
    <n v="1"/>
  </r>
  <r>
    <s v="2021-06-06"/>
    <s v="Vancouver"/>
    <s v="加拿大二店"/>
    <x v="7"/>
    <x v="14"/>
    <x v="45"/>
    <x v="46"/>
    <x v="47"/>
    <s v="整份"/>
    <n v="12.99"/>
    <s v="份"/>
    <n v="4"/>
    <n v="51.96"/>
    <n v="0"/>
    <n v="0"/>
    <n v="0"/>
    <n v="0"/>
    <n v="0"/>
    <n v="0"/>
    <n v="0"/>
    <n v="-0.03"/>
    <n v="7"/>
    <n v="0"/>
    <n v="4"/>
    <n v="47.23"/>
    <n v="2.24"/>
    <n v="44.99"/>
    <n v="1"/>
  </r>
  <r>
    <s v="2021-06-06"/>
    <s v="Vancouver"/>
    <s v="加拿大二店"/>
    <x v="7"/>
    <x v="14"/>
    <x v="45"/>
    <x v="46"/>
    <x v="47"/>
    <s v="整份"/>
    <n v="14.95"/>
    <s v="份"/>
    <n v="2"/>
    <n v="29.9"/>
    <n v="0"/>
    <n v="0"/>
    <n v="0"/>
    <n v="0"/>
    <n v="0"/>
    <n v="0"/>
    <n v="0"/>
    <n v="0"/>
    <n v="0"/>
    <n v="0"/>
    <n v="2"/>
    <n v="31.39"/>
    <n v="1.49"/>
    <n v="29.9"/>
    <n v="1"/>
  </r>
  <r>
    <s v="2021-06-06"/>
    <s v="Vancouver"/>
    <s v="加拿大二店"/>
    <x v="7"/>
    <x v="14"/>
    <x v="45"/>
    <x v="46"/>
    <x v="47"/>
    <s v="整份"/>
    <n v="24.74"/>
    <s v="份"/>
    <n v="1"/>
    <n v="24.74"/>
    <n v="0"/>
    <n v="0"/>
    <n v="0"/>
    <n v="0"/>
    <n v="0"/>
    <n v="0"/>
    <n v="0"/>
    <n v="-0.01"/>
    <n v="0"/>
    <n v="0"/>
    <n v="1"/>
    <n v="25.98"/>
    <n v="1.23"/>
    <n v="24.75"/>
    <n v="1"/>
  </r>
  <r>
    <s v="2021-06-06"/>
    <s v="Vancouver"/>
    <s v="加拿大二店"/>
    <x v="7"/>
    <x v="14"/>
    <x v="45"/>
    <x v="46"/>
    <x v="47"/>
    <s v="整份"/>
    <n v="25.76"/>
    <s v="份"/>
    <n v="1"/>
    <n v="25.76"/>
    <n v="0"/>
    <n v="0"/>
    <n v="0"/>
    <n v="0"/>
    <n v="0"/>
    <n v="0"/>
    <n v="0"/>
    <n v="0.01"/>
    <n v="0"/>
    <n v="0"/>
    <n v="1"/>
    <n v="27.03"/>
    <n v="1.28"/>
    <n v="25.75"/>
    <n v="1"/>
  </r>
  <r>
    <s v="2021-06-06"/>
    <s v="Vancouver"/>
    <s v="加拿大二店"/>
    <x v="7"/>
    <x v="14"/>
    <x v="45"/>
    <x v="46"/>
    <x v="47"/>
    <s v="整份"/>
    <n v="28.2"/>
    <s v="份"/>
    <n v="1"/>
    <n v="28.2"/>
    <n v="0"/>
    <n v="0"/>
    <n v="0"/>
    <n v="0"/>
    <n v="0"/>
    <n v="0"/>
    <n v="0"/>
    <n v="0"/>
    <n v="0"/>
    <n v="0"/>
    <n v="1"/>
    <n v="29.61"/>
    <n v="1.41"/>
    <n v="28.2"/>
    <n v="1"/>
  </r>
  <r>
    <s v="2021-06-06"/>
    <s v="Vancouver"/>
    <s v="加拿大二店"/>
    <x v="7"/>
    <x v="14"/>
    <x v="45"/>
    <x v="46"/>
    <x v="47"/>
    <s v="整份"/>
    <n v="28.95"/>
    <s v="份"/>
    <n v="3"/>
    <n v="86.85"/>
    <n v="0"/>
    <n v="0"/>
    <n v="0"/>
    <n v="0"/>
    <n v="0"/>
    <n v="0"/>
    <n v="0"/>
    <n v="0.03"/>
    <n v="0"/>
    <n v="0"/>
    <n v="3"/>
    <n v="91.16"/>
    <n v="4.34"/>
    <n v="86.82"/>
    <n v="1"/>
  </r>
  <r>
    <s v="2021-06-06"/>
    <s v="Vancouver"/>
    <s v="加拿大二店"/>
    <x v="7"/>
    <x v="14"/>
    <x v="45"/>
    <x v="46"/>
    <x v="47"/>
    <s v="整份"/>
    <n v="30.55"/>
    <s v="份"/>
    <n v="1"/>
    <n v="30.55"/>
    <n v="0"/>
    <n v="0"/>
    <n v="0"/>
    <n v="0"/>
    <n v="0"/>
    <n v="0"/>
    <n v="0"/>
    <n v="-0.01"/>
    <n v="0"/>
    <n v="0"/>
    <n v="1"/>
    <n v="32.08"/>
    <n v="1.52"/>
    <n v="30.56"/>
    <n v="1"/>
  </r>
  <r>
    <s v="2021-06-06"/>
    <s v="Vancouver"/>
    <s v="加拿大二店"/>
    <x v="7"/>
    <x v="14"/>
    <x v="45"/>
    <x v="46"/>
    <x v="47"/>
    <s v="整份"/>
    <n v="31.74"/>
    <s v="份"/>
    <n v="1"/>
    <n v="31.74"/>
    <n v="0"/>
    <n v="0"/>
    <n v="0"/>
    <n v="0"/>
    <n v="0"/>
    <n v="0"/>
    <n v="0"/>
    <n v="-0.01"/>
    <n v="0"/>
    <n v="0"/>
    <n v="1"/>
    <n v="33.33"/>
    <n v="1.58"/>
    <n v="31.75"/>
    <n v="1"/>
  </r>
  <r>
    <s v="2021-06-06"/>
    <s v="Vancouver"/>
    <s v="加拿大二店"/>
    <x v="7"/>
    <x v="14"/>
    <x v="45"/>
    <x v="46"/>
    <x v="47"/>
    <s v="整份"/>
    <n v="33.1"/>
    <s v="份"/>
    <n v="2"/>
    <n v="66.2"/>
    <n v="0"/>
    <n v="0"/>
    <n v="0"/>
    <n v="0"/>
    <n v="0"/>
    <n v="0"/>
    <n v="0"/>
    <n v="0"/>
    <n v="0"/>
    <n v="0"/>
    <n v="2"/>
    <n v="69.51"/>
    <n v="3.31"/>
    <n v="66.2"/>
    <n v="1"/>
  </r>
  <r>
    <s v="2021-06-06"/>
    <s v="Vancouver"/>
    <s v="加拿大二店"/>
    <x v="7"/>
    <x v="14"/>
    <x v="45"/>
    <x v="46"/>
    <x v="47"/>
    <s v="整份"/>
    <n v="33.9"/>
    <s v="份"/>
    <n v="1"/>
    <n v="33.9"/>
    <n v="0"/>
    <n v="0"/>
    <n v="0"/>
    <n v="0"/>
    <n v="0"/>
    <n v="0"/>
    <n v="0"/>
    <n v="0.01"/>
    <n v="0"/>
    <n v="0"/>
    <n v="1"/>
    <n v="35.58"/>
    <n v="1.69"/>
    <n v="33.89"/>
    <n v="1"/>
  </r>
  <r>
    <s v="2021-06-06"/>
    <s v="Vancouver"/>
    <s v="加拿大二店"/>
    <x v="7"/>
    <x v="14"/>
    <x v="45"/>
    <x v="46"/>
    <x v="47"/>
    <s v="整份"/>
    <n v="58.78"/>
    <s v="份"/>
    <n v="1"/>
    <n v="58.78"/>
    <n v="0"/>
    <n v="0"/>
    <n v="0"/>
    <n v="0"/>
    <n v="0"/>
    <n v="0"/>
    <n v="0"/>
    <n v="0.01"/>
    <n v="0"/>
    <n v="0"/>
    <n v="1"/>
    <n v="61.7"/>
    <n v="2.93"/>
    <n v="58.77"/>
    <n v="1"/>
  </r>
  <r>
    <s v="2021-06-06"/>
    <s v="Vancouver"/>
    <s v="加拿大二店"/>
    <x v="7"/>
    <x v="14"/>
    <x v="45"/>
    <x v="46"/>
    <x v="47"/>
    <s v="整份"/>
    <n v="59.62"/>
    <s v="份"/>
    <n v="1"/>
    <n v="59.62"/>
    <n v="0"/>
    <n v="0"/>
    <n v="0"/>
    <n v="0"/>
    <n v="0"/>
    <n v="0"/>
    <n v="0"/>
    <n v="-0.01"/>
    <n v="0"/>
    <n v="0"/>
    <n v="1"/>
    <n v="62.61"/>
    <n v="2.98"/>
    <n v="59.63"/>
    <n v="1"/>
  </r>
  <r>
    <s v="2021-06-06"/>
    <s v="Vancouver"/>
    <s v="加拿大二店"/>
    <x v="7"/>
    <x v="14"/>
    <x v="45"/>
    <x v="46"/>
    <x v="47"/>
    <s v="整份"/>
    <n v="125.44"/>
    <s v="份"/>
    <n v="1"/>
    <n v="125.44"/>
    <n v="0"/>
    <n v="0"/>
    <n v="0"/>
    <n v="0"/>
    <n v="0"/>
    <n v="0"/>
    <n v="0"/>
    <n v="-0.01"/>
    <n v="0"/>
    <n v="0"/>
    <n v="1"/>
    <n v="131.72"/>
    <n v="6.27"/>
    <n v="125.45"/>
    <n v="1"/>
  </r>
  <r>
    <s v="2021-06-06"/>
    <s v="Vancouver"/>
    <s v="加拿大二店"/>
    <x v="2"/>
    <x v="4"/>
    <x v="46"/>
    <x v="47"/>
    <x v="48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06"/>
    <s v="Vancouver"/>
    <s v="加拿大二店"/>
    <x v="2"/>
    <x v="4"/>
    <x v="47"/>
    <x v="48"/>
    <x v="49"/>
    <s v="冰镇"/>
    <n v="2.95"/>
    <s v="听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06"/>
    <s v="Vancouver"/>
    <s v="加拿大二店"/>
    <x v="6"/>
    <x v="13"/>
    <x v="48"/>
    <x v="49"/>
    <x v="50"/>
    <s v="整份"/>
    <n v="4.95"/>
    <s v="份"/>
    <n v="13"/>
    <n v="64.35"/>
    <n v="0"/>
    <n v="0"/>
    <n v="0"/>
    <n v="0"/>
    <n v="0"/>
    <n v="0"/>
    <n v="0"/>
    <n v="0"/>
    <n v="2.17"/>
    <n v="0"/>
    <n v="13"/>
    <n v="65.28"/>
    <n v="3.1"/>
    <n v="62.18"/>
    <n v="1"/>
  </r>
  <r>
    <s v="2021-06-06"/>
    <s v="Vancouver"/>
    <s v="加拿大二店"/>
    <x v="3"/>
    <x v="7"/>
    <x v="49"/>
    <x v="50"/>
    <x v="51"/>
    <s v="整份"/>
    <n v="4.95"/>
    <s v="份"/>
    <n v="6"/>
    <n v="29.7"/>
    <n v="1"/>
    <n v="4.95"/>
    <n v="0"/>
    <n v="0"/>
    <n v="0"/>
    <n v="0"/>
    <n v="0"/>
    <n v="0"/>
    <n v="0"/>
    <n v="0"/>
    <n v="5"/>
    <n v="25.98"/>
    <n v="1.23"/>
    <n v="24.75"/>
    <n v="1"/>
  </r>
  <r>
    <s v="2021-06-06"/>
    <s v="Vancouver"/>
    <s v="加拿大二店"/>
    <x v="6"/>
    <x v="15"/>
    <x v="50"/>
    <x v="51"/>
    <x v="52"/>
    <s v="份"/>
    <n v="8.95"/>
    <s v="份"/>
    <n v="1"/>
    <n v="8.95"/>
    <n v="0"/>
    <n v="0"/>
    <n v="0"/>
    <n v="0"/>
    <n v="0"/>
    <n v="0"/>
    <n v="0"/>
    <n v="0"/>
    <n v="0"/>
    <n v="0"/>
    <n v="1"/>
    <n v="9.39"/>
    <n v="0.44"/>
    <n v="8.95"/>
    <n v="1"/>
  </r>
  <r>
    <s v="2021-06-06"/>
    <s v="Vancouver"/>
    <s v="加拿大二店"/>
    <x v="1"/>
    <x v="6"/>
    <x v="113"/>
    <x v="107"/>
    <x v="117"/>
    <s v="整份"/>
    <n v="28.95"/>
    <s v="份"/>
    <n v="2"/>
    <n v="57.9"/>
    <n v="0"/>
    <n v="0"/>
    <n v="0"/>
    <n v="0"/>
    <n v="0"/>
    <n v="0"/>
    <n v="0"/>
    <n v="-0.01"/>
    <n v="0"/>
    <n v="0"/>
    <n v="2"/>
    <n v="60.8"/>
    <n v="2.89"/>
    <n v="57.91"/>
    <n v="1"/>
  </r>
  <r>
    <s v="2021-06-06"/>
    <s v="Vancouver"/>
    <s v="加拿大二店"/>
    <x v="3"/>
    <x v="5"/>
    <x v="51"/>
    <x v="52"/>
    <x v="53"/>
    <s v="整份"/>
    <n v="3.95"/>
    <s v="份"/>
    <n v="11"/>
    <n v="43.45"/>
    <n v="0"/>
    <n v="0"/>
    <n v="0"/>
    <n v="0"/>
    <n v="0"/>
    <n v="0"/>
    <n v="0"/>
    <n v="0"/>
    <n v="2.95"/>
    <n v="0"/>
    <n v="11"/>
    <n v="42.52"/>
    <n v="2.02"/>
    <n v="40.5"/>
    <n v="1"/>
  </r>
  <r>
    <s v="2021-06-06"/>
    <s v="Vancouver"/>
    <s v="加拿大二店"/>
    <x v="3"/>
    <x v="5"/>
    <x v="52"/>
    <x v="53"/>
    <x v="54"/>
    <s v="整份"/>
    <n v="5.95"/>
    <s v="份"/>
    <n v="8"/>
    <n v="47.6"/>
    <n v="0"/>
    <n v="0"/>
    <n v="0"/>
    <n v="0"/>
    <n v="0"/>
    <n v="0"/>
    <n v="0"/>
    <n v="-0.02"/>
    <n v="4.16"/>
    <n v="0"/>
    <n v="8"/>
    <n v="45.63"/>
    <n v="2.17"/>
    <n v="43.46"/>
    <n v="1"/>
  </r>
  <r>
    <s v="2021-06-06"/>
    <s v="Vancouver"/>
    <s v="加拿大二店"/>
    <x v="4"/>
    <x v="9"/>
    <x v="53"/>
    <x v="0"/>
    <x v="55"/>
    <s v="拼锅"/>
    <n v="0"/>
    <s v="锅"/>
    <n v="11"/>
    <n v="0"/>
    <n v="0"/>
    <n v="0"/>
    <n v="0"/>
    <n v="0"/>
    <n v="0"/>
    <n v="0"/>
    <n v="0"/>
    <n v="-0.01"/>
    <n v="0.01"/>
    <n v="0"/>
    <n v="11"/>
    <n v="0"/>
    <n v="0"/>
    <n v="0"/>
    <n v="2"/>
  </r>
  <r>
    <s v="2021-06-06"/>
    <s v="Vancouver"/>
    <s v="加拿大二店"/>
    <x v="4"/>
    <x v="10"/>
    <x v="53"/>
    <x v="0"/>
    <x v="55"/>
    <s v="四宫格"/>
    <n v="0"/>
    <s v="锅"/>
    <n v="9"/>
    <n v="0"/>
    <n v="0"/>
    <n v="0"/>
    <n v="0"/>
    <n v="0"/>
    <n v="0"/>
    <n v="0"/>
    <n v="0"/>
    <n v="0"/>
    <n v="0"/>
    <n v="0"/>
    <n v="9"/>
    <n v="0"/>
    <n v="0"/>
    <n v="0"/>
    <n v="1"/>
  </r>
  <r>
    <s v="2021-06-06"/>
    <s v="Vancouver"/>
    <s v="加拿大二店"/>
    <x v="6"/>
    <x v="13"/>
    <x v="54"/>
    <x v="54"/>
    <x v="56"/>
    <s v="个"/>
    <n v="1.95"/>
    <s v="个"/>
    <n v="11"/>
    <n v="21.45"/>
    <n v="0"/>
    <n v="0"/>
    <n v="0"/>
    <n v="0"/>
    <n v="0"/>
    <n v="0"/>
    <n v="0"/>
    <n v="0"/>
    <n v="0"/>
    <n v="0"/>
    <n v="11"/>
    <n v="22.52"/>
    <n v="1.07"/>
    <n v="21.45"/>
    <n v="1"/>
  </r>
  <r>
    <s v="2021-06-06"/>
    <s v="Vancouver"/>
    <s v="加拿大二店"/>
    <x v="6"/>
    <x v="13"/>
    <x v="114"/>
    <x v="108"/>
    <x v="118"/>
    <s v="整份"/>
    <n v="7.95"/>
    <s v="份"/>
    <n v="5"/>
    <n v="39.75"/>
    <n v="0"/>
    <n v="0"/>
    <n v="0"/>
    <n v="0"/>
    <n v="0"/>
    <n v="0"/>
    <n v="0"/>
    <n v="-0.01"/>
    <n v="1.59"/>
    <n v="0"/>
    <n v="5"/>
    <n v="40.07"/>
    <n v="1.9"/>
    <n v="38.17"/>
    <n v="1"/>
  </r>
  <r>
    <s v="2021-06-06"/>
    <s v="Vancouver"/>
    <s v="加拿大二店"/>
    <x v="1"/>
    <x v="8"/>
    <x v="55"/>
    <x v="55"/>
    <x v="57"/>
    <s v="整份"/>
    <n v="9.95"/>
    <s v="份"/>
    <n v="4"/>
    <n v="39.8"/>
    <n v="0"/>
    <n v="0"/>
    <n v="0"/>
    <n v="0"/>
    <n v="0"/>
    <n v="0"/>
    <n v="0"/>
    <n v="0"/>
    <n v="4.97"/>
    <n v="0"/>
    <n v="4"/>
    <n v="36.57"/>
    <n v="1.74"/>
    <n v="34.83"/>
    <n v="1"/>
  </r>
  <r>
    <s v="2021-06-06"/>
    <s v="Vancouver"/>
    <s v="加拿大二店"/>
    <x v="1"/>
    <x v="1"/>
    <x v="56"/>
    <x v="56"/>
    <x v="58"/>
    <s v="整份"/>
    <n v="12.95"/>
    <s v="份"/>
    <n v="20"/>
    <n v="259"/>
    <n v="0"/>
    <n v="0"/>
    <n v="0"/>
    <n v="0"/>
    <n v="1"/>
    <n v="12.95"/>
    <n v="0"/>
    <n v="0"/>
    <n v="5.18"/>
    <n v="0"/>
    <n v="19"/>
    <n v="252.91"/>
    <n v="12.04"/>
    <n v="240.87"/>
    <n v="1"/>
  </r>
  <r>
    <s v="2021-06-06"/>
    <s v="Vancouver"/>
    <s v="加拿大二店"/>
    <x v="1"/>
    <x v="1"/>
    <x v="57"/>
    <x v="57"/>
    <x v="59"/>
    <s v="整份"/>
    <n v="11.95"/>
    <s v="份"/>
    <n v="61"/>
    <n v="728.95"/>
    <n v="0"/>
    <n v="0"/>
    <n v="0"/>
    <n v="0"/>
    <n v="0"/>
    <n v="0"/>
    <n v="0"/>
    <n v="-0.02"/>
    <n v="25.36"/>
    <n v="0"/>
    <n v="61"/>
    <n v="738.79"/>
    <n v="35.18"/>
    <n v="703.61"/>
    <n v="1"/>
  </r>
  <r>
    <s v="2021-06-06"/>
    <s v="Vancouver"/>
    <s v="加拿大二店"/>
    <x v="4"/>
    <x v="9"/>
    <x v="58"/>
    <x v="0"/>
    <x v="60"/>
    <s v="拼锅"/>
    <n v="8.95"/>
    <s v="锅"/>
    <n v="19"/>
    <n v="170.05"/>
    <n v="1"/>
    <n v="8.95"/>
    <n v="0"/>
    <n v="0"/>
    <n v="0"/>
    <n v="0"/>
    <n v="0"/>
    <n v="-0.01"/>
    <n v="4.47"/>
    <n v="0"/>
    <n v="18"/>
    <n v="164.47"/>
    <n v="7.83"/>
    <n v="156.64"/>
    <n v="2"/>
  </r>
  <r>
    <s v="2021-06-06"/>
    <s v="Vancouver"/>
    <s v="加拿大二店"/>
    <x v="4"/>
    <x v="10"/>
    <x v="58"/>
    <x v="0"/>
    <x v="60"/>
    <s v="四宫格"/>
    <n v="4.95"/>
    <s v="锅"/>
    <n v="14"/>
    <n v="69.3"/>
    <n v="0"/>
    <n v="0"/>
    <n v="0"/>
    <n v="0"/>
    <n v="0"/>
    <n v="0"/>
    <n v="0"/>
    <n v="-0.01"/>
    <n v="0"/>
    <n v="0"/>
    <n v="14"/>
    <n v="72.77"/>
    <n v="3.46"/>
    <n v="69.31"/>
    <n v="1"/>
  </r>
  <r>
    <s v="2021-06-06"/>
    <s v="Vancouver"/>
    <s v="加拿大二店"/>
    <x v="3"/>
    <x v="5"/>
    <x v="59"/>
    <x v="58"/>
    <x v="61"/>
    <s v="整份"/>
    <n v="4.95"/>
    <s v="份"/>
    <n v="6"/>
    <n v="29.7"/>
    <n v="0"/>
    <n v="0"/>
    <n v="0"/>
    <n v="0"/>
    <n v="0"/>
    <n v="0"/>
    <n v="0"/>
    <n v="0"/>
    <n v="2.47"/>
    <n v="0"/>
    <n v="6"/>
    <n v="28.59"/>
    <n v="1.36"/>
    <n v="27.23"/>
    <n v="1"/>
  </r>
  <r>
    <s v="2021-06-06"/>
    <s v="Vancouver"/>
    <s v="加拿大二店"/>
    <x v="2"/>
    <x v="4"/>
    <x v="60"/>
    <x v="59"/>
    <x v="62"/>
    <s v="冰镇"/>
    <n v="6.95"/>
    <s v="扎"/>
    <n v="3"/>
    <n v="20.85"/>
    <n v="0"/>
    <n v="0"/>
    <n v="0"/>
    <n v="0"/>
    <n v="0"/>
    <n v="0"/>
    <n v="0"/>
    <n v="0"/>
    <n v="0"/>
    <n v="0"/>
    <n v="3"/>
    <n v="23.35"/>
    <n v="2.5"/>
    <n v="20.85"/>
    <n v="1"/>
  </r>
  <r>
    <s v="2021-06-06"/>
    <s v="Vancouver"/>
    <s v="加拿大二店"/>
    <x v="6"/>
    <x v="13"/>
    <x v="61"/>
    <x v="60"/>
    <x v="63"/>
    <s v="整份"/>
    <n v="3.95"/>
    <s v="包"/>
    <n v="16"/>
    <n v="63.2"/>
    <n v="0"/>
    <n v="0"/>
    <n v="0"/>
    <n v="0"/>
    <n v="0"/>
    <n v="0"/>
    <n v="0"/>
    <n v="0.02"/>
    <n v="1.82"/>
    <n v="0"/>
    <n v="16"/>
    <n v="64.42"/>
    <n v="3.06"/>
    <n v="61.36"/>
    <n v="1"/>
  </r>
  <r>
    <s v="2021-06-06"/>
    <s v="Vancouver"/>
    <s v="加拿大二店"/>
    <x v="4"/>
    <x v="16"/>
    <x v="62"/>
    <x v="0"/>
    <x v="64"/>
    <s v="单锅"/>
    <n v="16.95"/>
    <s v="锅"/>
    <n v="2"/>
    <n v="33.9"/>
    <n v="0"/>
    <n v="0"/>
    <n v="0"/>
    <n v="0"/>
    <n v="0"/>
    <n v="0"/>
    <n v="0"/>
    <n v="0.02"/>
    <n v="0"/>
    <n v="0"/>
    <n v="2"/>
    <n v="35.57"/>
    <n v="1.69"/>
    <n v="33.88"/>
    <n v="4"/>
  </r>
  <r>
    <s v="2021-06-06"/>
    <s v="Vancouver"/>
    <s v="加拿大二店"/>
    <x v="4"/>
    <x v="9"/>
    <x v="62"/>
    <x v="0"/>
    <x v="64"/>
    <s v="拼锅"/>
    <n v="8.95"/>
    <s v="锅"/>
    <n v="30"/>
    <n v="268.5"/>
    <n v="0"/>
    <n v="0"/>
    <n v="0"/>
    <n v="0"/>
    <n v="0"/>
    <n v="0"/>
    <n v="0"/>
    <n v="-0.01"/>
    <n v="6.86"/>
    <n v="0"/>
    <n v="30"/>
    <n v="274.73"/>
    <n v="13.08"/>
    <n v="261.65"/>
    <n v="2"/>
  </r>
  <r>
    <s v="2021-06-06"/>
    <s v="Vancouver"/>
    <s v="加拿大二店"/>
    <x v="4"/>
    <x v="10"/>
    <x v="62"/>
    <x v="0"/>
    <x v="64"/>
    <s v="四宫格"/>
    <n v="4.95"/>
    <s v="锅"/>
    <n v="16"/>
    <n v="79.2"/>
    <n v="0"/>
    <n v="0"/>
    <n v="0"/>
    <n v="0"/>
    <n v="0"/>
    <n v="0"/>
    <n v="0"/>
    <n v="0"/>
    <n v="0"/>
    <n v="0"/>
    <n v="16"/>
    <n v="83.16"/>
    <n v="3.96"/>
    <n v="79.2"/>
    <n v="1"/>
  </r>
  <r>
    <s v="2021-06-06"/>
    <s v="Vancouver"/>
    <s v="加拿大二店"/>
    <x v="6"/>
    <x v="13"/>
    <x v="63"/>
    <x v="61"/>
    <x v="65"/>
    <s v="整份"/>
    <n v="1.5"/>
    <s v="碗"/>
    <n v="5"/>
    <n v="7.5"/>
    <n v="0"/>
    <n v="0"/>
    <n v="0"/>
    <n v="0"/>
    <n v="0"/>
    <n v="0"/>
    <n v="0"/>
    <n v="0"/>
    <n v="0"/>
    <n v="0"/>
    <n v="5"/>
    <n v="7.87"/>
    <n v="0.37"/>
    <n v="7.5"/>
    <n v="1"/>
  </r>
  <r>
    <s v="2021-06-06"/>
    <s v="Vancouver"/>
    <s v="加拿大二店"/>
    <x v="3"/>
    <x v="5"/>
    <x v="64"/>
    <x v="62"/>
    <x v="66"/>
    <s v="整份"/>
    <n v="3.95"/>
    <s v="份"/>
    <n v="10"/>
    <n v="39.5"/>
    <n v="0"/>
    <n v="0"/>
    <n v="0"/>
    <n v="0"/>
    <n v="0"/>
    <n v="0"/>
    <n v="0"/>
    <n v="0"/>
    <n v="1.26"/>
    <n v="0"/>
    <n v="10"/>
    <n v="40.15"/>
    <n v="1.91"/>
    <n v="38.24"/>
    <n v="1"/>
  </r>
  <r>
    <s v="2021-06-06"/>
    <s v="Vancouver"/>
    <s v="加拿大二店"/>
    <x v="2"/>
    <x v="4"/>
    <x v="65"/>
    <x v="63"/>
    <x v="67"/>
    <s v="扎"/>
    <n v="8.95"/>
    <s v="扎"/>
    <n v="4"/>
    <n v="35.8"/>
    <n v="0"/>
    <n v="0"/>
    <n v="0"/>
    <n v="0"/>
    <n v="0"/>
    <n v="0"/>
    <n v="0"/>
    <n v="0"/>
    <n v="0"/>
    <n v="0"/>
    <n v="4"/>
    <n v="40.09"/>
    <n v="4.29"/>
    <n v="35.8"/>
    <n v="1"/>
  </r>
  <r>
    <s v="2021-06-06"/>
    <s v="Vancouver"/>
    <s v="加拿大二店"/>
    <x v="2"/>
    <x v="4"/>
    <x v="66"/>
    <x v="64"/>
    <x v="68"/>
    <s v="扎"/>
    <n v="11.95"/>
    <s v="扎"/>
    <n v="3"/>
    <n v="35.85"/>
    <n v="0"/>
    <n v="0"/>
    <n v="0"/>
    <n v="0"/>
    <n v="0"/>
    <n v="0"/>
    <n v="0"/>
    <n v="0.04"/>
    <n v="0"/>
    <n v="0"/>
    <n v="3"/>
    <n v="40.1"/>
    <n v="4.29"/>
    <n v="35.81"/>
    <n v="1"/>
  </r>
  <r>
    <s v="2021-06-06"/>
    <s v="Vancouver"/>
    <s v="加拿大二店"/>
    <x v="3"/>
    <x v="5"/>
    <x v="117"/>
    <x v="111"/>
    <x v="121"/>
    <s v="整份"/>
    <n v="4.95"/>
    <s v="份"/>
    <n v="8"/>
    <n v="39.6"/>
    <n v="0"/>
    <n v="0"/>
    <n v="0"/>
    <n v="0"/>
    <n v="0"/>
    <n v="0"/>
    <n v="0"/>
    <n v="0"/>
    <n v="1.58"/>
    <n v="0"/>
    <n v="8"/>
    <n v="39.92"/>
    <n v="1.9"/>
    <n v="38.02"/>
    <n v="1"/>
  </r>
  <r>
    <s v="2021-06-06"/>
    <s v="Vancouver"/>
    <s v="加拿大二店"/>
    <x v="3"/>
    <x v="7"/>
    <x v="67"/>
    <x v="65"/>
    <x v="69"/>
    <s v="整份"/>
    <n v="3.95"/>
    <s v="份"/>
    <n v="7"/>
    <n v="27.65"/>
    <n v="0"/>
    <n v="0"/>
    <n v="0"/>
    <n v="0"/>
    <n v="0"/>
    <n v="0"/>
    <n v="0"/>
    <n v="0"/>
    <n v="1.58"/>
    <n v="0"/>
    <n v="7"/>
    <n v="27.37"/>
    <n v="1.3"/>
    <n v="26.07"/>
    <n v="1"/>
  </r>
  <r>
    <s v="2021-06-06"/>
    <s v="Vancouver"/>
    <s v="加拿大二店"/>
    <x v="1"/>
    <x v="1"/>
    <x v="68"/>
    <x v="66"/>
    <x v="70"/>
    <s v="整份"/>
    <n v="8.95"/>
    <s v="份"/>
    <n v="72"/>
    <n v="644.4"/>
    <n v="0"/>
    <n v="0"/>
    <n v="0"/>
    <n v="0"/>
    <n v="2"/>
    <n v="17.9"/>
    <n v="0"/>
    <n v="0.01"/>
    <n v="21.78"/>
    <n v="0"/>
    <n v="70"/>
    <n v="634.94"/>
    <n v="30.23"/>
    <n v="604.71"/>
    <n v="1"/>
  </r>
  <r>
    <s v="2021-06-06"/>
    <s v="Vancouver"/>
    <s v="加拿大二店"/>
    <x v="1"/>
    <x v="1"/>
    <x v="69"/>
    <x v="67"/>
    <x v="71"/>
    <s v="整份"/>
    <n v="8.95"/>
    <s v="份"/>
    <n v="13"/>
    <n v="116.35"/>
    <n v="0"/>
    <n v="0"/>
    <n v="0"/>
    <n v="0"/>
    <n v="0"/>
    <n v="0"/>
    <n v="0"/>
    <n v="0"/>
    <n v="3.38"/>
    <n v="0"/>
    <n v="13"/>
    <n v="118.61"/>
    <n v="5.64"/>
    <n v="112.97"/>
    <n v="1"/>
  </r>
  <r>
    <s v="2021-06-06"/>
    <s v="Vancouver"/>
    <s v="加拿大二店"/>
    <x v="6"/>
    <x v="15"/>
    <x v="70"/>
    <x v="68"/>
    <x v="72"/>
    <s v="整份"/>
    <n v="1.5"/>
    <s v="份"/>
    <n v="3"/>
    <n v="4.5"/>
    <n v="0"/>
    <n v="0"/>
    <n v="0"/>
    <n v="0"/>
    <n v="0"/>
    <n v="0"/>
    <n v="0"/>
    <n v="0.01"/>
    <n v="0"/>
    <n v="0"/>
    <n v="3"/>
    <n v="4.71"/>
    <n v="0.22"/>
    <n v="4.49"/>
    <n v="1"/>
  </r>
  <r>
    <s v="2021-06-06"/>
    <s v="Vancouver"/>
    <s v="加拿大二店"/>
    <x v="4"/>
    <x v="9"/>
    <x v="71"/>
    <x v="0"/>
    <x v="73"/>
    <s v="拼锅"/>
    <n v="18.95"/>
    <s v="锅"/>
    <n v="12"/>
    <n v="227.4"/>
    <n v="0"/>
    <n v="0"/>
    <n v="0"/>
    <n v="0"/>
    <n v="0"/>
    <n v="0"/>
    <n v="0"/>
    <n v="0.06"/>
    <n v="3.79"/>
    <n v="0"/>
    <n v="12"/>
    <n v="234.72"/>
    <n v="11.17"/>
    <n v="223.55"/>
    <n v="2"/>
  </r>
  <r>
    <s v="2021-06-06"/>
    <s v="Vancouver"/>
    <s v="加拿大二店"/>
    <x v="4"/>
    <x v="10"/>
    <x v="71"/>
    <x v="0"/>
    <x v="73"/>
    <s v="四宫格"/>
    <n v="9.95"/>
    <s v="锅"/>
    <n v="10"/>
    <n v="99.5"/>
    <n v="0"/>
    <n v="0"/>
    <n v="0"/>
    <n v="0"/>
    <n v="0"/>
    <n v="0"/>
    <n v="0"/>
    <n v="0"/>
    <n v="0"/>
    <n v="0"/>
    <n v="10"/>
    <n v="104.47"/>
    <n v="4.97"/>
    <n v="99.5"/>
    <n v="1"/>
  </r>
  <r>
    <s v="2021-06-06"/>
    <s v="Vancouver"/>
    <s v="加拿大二店"/>
    <x v="1"/>
    <x v="8"/>
    <x v="72"/>
    <x v="69"/>
    <x v="74"/>
    <s v="个"/>
    <n v="7.95"/>
    <s v="份"/>
    <n v="4"/>
    <n v="31.8"/>
    <n v="0"/>
    <n v="0"/>
    <n v="0"/>
    <n v="0"/>
    <n v="0"/>
    <n v="0"/>
    <n v="0"/>
    <n v="0"/>
    <n v="0"/>
    <n v="0"/>
    <n v="4"/>
    <n v="33.39"/>
    <n v="1.59"/>
    <n v="31.8"/>
    <n v="1"/>
  </r>
  <r>
    <s v="2021-06-06"/>
    <s v="Vancouver"/>
    <s v="加拿大二店"/>
    <x v="6"/>
    <x v="13"/>
    <x v="73"/>
    <x v="70"/>
    <x v="75"/>
    <s v="份"/>
    <n v="6.95"/>
    <s v="份"/>
    <n v="2"/>
    <n v="13.9"/>
    <n v="0"/>
    <n v="0"/>
    <n v="0"/>
    <n v="0"/>
    <n v="0"/>
    <n v="0"/>
    <n v="0"/>
    <n v="0.01"/>
    <n v="0"/>
    <n v="0"/>
    <n v="2"/>
    <n v="14.58"/>
    <n v="0.69"/>
    <n v="13.89"/>
    <n v="1"/>
  </r>
  <r>
    <s v="2021-06-06"/>
    <s v="Vancouver"/>
    <s v="加拿大二店"/>
    <x v="4"/>
    <x v="9"/>
    <x v="74"/>
    <x v="0"/>
    <x v="76"/>
    <s v="拼锅"/>
    <n v="18.95"/>
    <s v="锅"/>
    <n v="6"/>
    <n v="113.7"/>
    <n v="0"/>
    <n v="0"/>
    <n v="0"/>
    <n v="0"/>
    <n v="0"/>
    <n v="0"/>
    <n v="0"/>
    <n v="0.01"/>
    <n v="3.79"/>
    <n v="0"/>
    <n v="6"/>
    <n v="115.39"/>
    <n v="5.49"/>
    <n v="109.9"/>
    <n v="2"/>
  </r>
  <r>
    <s v="2021-06-06"/>
    <s v="Vancouver"/>
    <s v="加拿大二店"/>
    <x v="4"/>
    <x v="10"/>
    <x v="74"/>
    <x v="0"/>
    <x v="76"/>
    <s v="四宫格"/>
    <n v="9.95"/>
    <s v="锅"/>
    <n v="1"/>
    <n v="9.95"/>
    <n v="0"/>
    <n v="0"/>
    <n v="0"/>
    <n v="0"/>
    <n v="0"/>
    <n v="0"/>
    <n v="0"/>
    <n v="0.02"/>
    <n v="0"/>
    <n v="0"/>
    <n v="1"/>
    <n v="10.42"/>
    <n v="0.49"/>
    <n v="9.93"/>
    <n v="1"/>
  </r>
  <r>
    <s v="2021-06-06"/>
    <s v="Vancouver"/>
    <s v="加拿大二店"/>
    <x v="1"/>
    <x v="6"/>
    <x v="118"/>
    <x v="112"/>
    <x v="122"/>
    <s v="整份"/>
    <n v="28.95"/>
    <s v="份"/>
    <n v="3"/>
    <n v="86.85"/>
    <n v="0"/>
    <n v="0"/>
    <n v="0"/>
    <n v="0"/>
    <n v="0"/>
    <n v="0"/>
    <n v="0"/>
    <n v="0"/>
    <n v="3.47"/>
    <n v="0"/>
    <n v="3"/>
    <n v="87.54"/>
    <n v="4.16"/>
    <n v="83.38"/>
    <n v="1"/>
  </r>
  <r>
    <s v="2021-06-06"/>
    <s v="Vancouver"/>
    <s v="加拿大二店"/>
    <x v="8"/>
    <x v="17"/>
    <x v="75"/>
    <x v="71"/>
    <x v="77"/>
    <s v="整份"/>
    <n v="3.99"/>
    <s v="位"/>
    <n v="188"/>
    <n v="750.12"/>
    <n v="3"/>
    <n v="11.97"/>
    <n v="0"/>
    <n v="0"/>
    <n v="2"/>
    <n v="7.98"/>
    <n v="0"/>
    <n v="-0.02"/>
    <n v="1.13"/>
    <n v="0"/>
    <n v="183"/>
    <n v="765.51"/>
    <n v="36.45"/>
    <n v="729.06"/>
    <n v="1"/>
  </r>
  <r>
    <s v="2021-06-06"/>
    <s v="Vancouver"/>
    <s v="加拿大二店"/>
    <x v="3"/>
    <x v="5"/>
    <x v="76"/>
    <x v="72"/>
    <x v="78"/>
    <s v="整份"/>
    <n v="3.95"/>
    <s v="份"/>
    <n v="7"/>
    <n v="27.65"/>
    <n v="0"/>
    <n v="0"/>
    <n v="0"/>
    <n v="0"/>
    <n v="1"/>
    <n v="3.95"/>
    <n v="0"/>
    <n v="0"/>
    <n v="0"/>
    <n v="0"/>
    <n v="6"/>
    <n v="24.88"/>
    <n v="1.18"/>
    <n v="23.7"/>
    <n v="1"/>
  </r>
  <r>
    <s v="2021-06-06"/>
    <s v="Vancouver"/>
    <s v="加拿大二店"/>
    <x v="1"/>
    <x v="3"/>
    <x v="77"/>
    <x v="73"/>
    <x v="79"/>
    <s v="整份"/>
    <n v="5.95"/>
    <s v="份"/>
    <n v="9"/>
    <n v="53.55"/>
    <n v="0"/>
    <n v="0"/>
    <n v="0"/>
    <n v="0"/>
    <n v="0"/>
    <n v="0"/>
    <n v="0"/>
    <n v="0"/>
    <n v="5.35"/>
    <n v="0"/>
    <n v="9"/>
    <n v="50.61"/>
    <n v="2.41"/>
    <n v="48.2"/>
    <n v="1"/>
  </r>
  <r>
    <s v="2021-06-06"/>
    <s v="Vancouver"/>
    <s v="加拿大二店"/>
    <x v="3"/>
    <x v="11"/>
    <x v="78"/>
    <x v="74"/>
    <x v="80"/>
    <s v="整份"/>
    <n v="5.95"/>
    <s v="份"/>
    <n v="15"/>
    <n v="89.25"/>
    <n v="0"/>
    <n v="0"/>
    <n v="0"/>
    <n v="0"/>
    <n v="0"/>
    <n v="0"/>
    <n v="0"/>
    <n v="0"/>
    <n v="3.09"/>
    <n v="0"/>
    <n v="15"/>
    <n v="90.46"/>
    <n v="4.3"/>
    <n v="86.16"/>
    <n v="1"/>
  </r>
  <r>
    <s v="2021-06-06"/>
    <s v="Vancouver"/>
    <s v="加拿大二店"/>
    <x v="3"/>
    <x v="11"/>
    <x v="78"/>
    <x v="75"/>
    <x v="81"/>
    <s v="半份"/>
    <n v="2.95"/>
    <s v="份"/>
    <n v="8"/>
    <n v="23.6"/>
    <n v="0"/>
    <n v="0"/>
    <n v="0"/>
    <n v="0"/>
    <n v="0"/>
    <n v="0"/>
    <n v="0"/>
    <n v="-0.01"/>
    <n v="2.68"/>
    <n v="0"/>
    <n v="8"/>
    <n v="21.97"/>
    <n v="1.04"/>
    <n v="20.93"/>
    <n v="0.5"/>
  </r>
  <r>
    <s v="2021-06-06"/>
    <s v="Vancouver"/>
    <s v="加拿大二店"/>
    <x v="3"/>
    <x v="5"/>
    <x v="79"/>
    <x v="76"/>
    <x v="82"/>
    <s v="整份"/>
    <n v="3.95"/>
    <s v="份"/>
    <n v="13"/>
    <n v="51.35"/>
    <n v="0"/>
    <n v="0"/>
    <n v="0"/>
    <n v="0"/>
    <n v="0"/>
    <n v="0"/>
    <n v="0"/>
    <n v="0"/>
    <n v="2.2"/>
    <n v="0"/>
    <n v="13"/>
    <n v="51.6"/>
    <n v="2.45"/>
    <n v="49.15"/>
    <n v="1"/>
  </r>
  <r>
    <s v="2021-06-06"/>
    <s v="Vancouver"/>
    <s v="加拿大二店"/>
    <x v="3"/>
    <x v="5"/>
    <x v="80"/>
    <x v="77"/>
    <x v="83"/>
    <s v="整份"/>
    <n v="5.95"/>
    <s v="份"/>
    <n v="14"/>
    <n v="83.3"/>
    <n v="0"/>
    <n v="0"/>
    <n v="0"/>
    <n v="0"/>
    <n v="1"/>
    <n v="5.95"/>
    <n v="0"/>
    <n v="0"/>
    <n v="6.06"/>
    <n v="0"/>
    <n v="13"/>
    <n v="74.85"/>
    <n v="3.56"/>
    <n v="71.29"/>
    <n v="1"/>
  </r>
  <r>
    <s v="2021-06-06"/>
    <s v="Vancouver"/>
    <s v="加拿大二店"/>
    <x v="4"/>
    <x v="9"/>
    <x v="81"/>
    <x v="0"/>
    <x v="84"/>
    <s v="拼锅"/>
    <n v="8.95"/>
    <s v="锅"/>
    <n v="12"/>
    <n v="107.4"/>
    <n v="1"/>
    <n v="8.95"/>
    <n v="0"/>
    <n v="0"/>
    <n v="0"/>
    <n v="0"/>
    <n v="0"/>
    <n v="0.01"/>
    <n v="0"/>
    <n v="0"/>
    <n v="11"/>
    <n v="103.36"/>
    <n v="4.92"/>
    <n v="98.44"/>
    <n v="2"/>
  </r>
  <r>
    <s v="2021-06-06"/>
    <s v="Vancouver"/>
    <s v="加拿大二店"/>
    <x v="4"/>
    <x v="10"/>
    <x v="81"/>
    <x v="0"/>
    <x v="84"/>
    <s v="四宫格"/>
    <n v="4.95"/>
    <s v="锅"/>
    <n v="10"/>
    <n v="49.5"/>
    <n v="0"/>
    <n v="0"/>
    <n v="0"/>
    <n v="0"/>
    <n v="0"/>
    <n v="0"/>
    <n v="0"/>
    <n v="0.01"/>
    <n v="0"/>
    <n v="0"/>
    <n v="10"/>
    <n v="51.96"/>
    <n v="2.47"/>
    <n v="49.49"/>
    <n v="1"/>
  </r>
  <r>
    <s v="2021-06-06"/>
    <s v="Vancouver"/>
    <s v="加拿大二店"/>
    <x v="3"/>
    <x v="5"/>
    <x v="82"/>
    <x v="78"/>
    <x v="85"/>
    <s v="整份"/>
    <n v="12.95"/>
    <s v="份"/>
    <n v="13"/>
    <n v="168.35"/>
    <n v="0"/>
    <n v="0"/>
    <n v="0"/>
    <n v="0"/>
    <n v="0"/>
    <n v="0"/>
    <n v="0"/>
    <n v="0"/>
    <n v="1.55"/>
    <n v="0"/>
    <n v="13"/>
    <n v="175.14"/>
    <n v="8.34"/>
    <n v="166.8"/>
    <n v="1"/>
  </r>
  <r>
    <s v="2021-06-06"/>
    <s v="Vancouver"/>
    <s v="加拿大二店"/>
    <x v="3"/>
    <x v="11"/>
    <x v="83"/>
    <x v="79"/>
    <x v="86"/>
    <s v="整份"/>
    <n v="5.95"/>
    <s v="份"/>
    <n v="6"/>
    <n v="35.7"/>
    <n v="0"/>
    <n v="0"/>
    <n v="0"/>
    <n v="0"/>
    <n v="0"/>
    <n v="0"/>
    <n v="0"/>
    <n v="0"/>
    <n v="0"/>
    <n v="0"/>
    <n v="6"/>
    <n v="37.48"/>
    <n v="1.78"/>
    <n v="35.7"/>
    <n v="1"/>
  </r>
  <r>
    <s v="2021-06-06"/>
    <s v="Vancouver"/>
    <s v="加拿大二店"/>
    <x v="3"/>
    <x v="11"/>
    <x v="83"/>
    <x v="80"/>
    <x v="87"/>
    <s v="半份"/>
    <n v="2.95"/>
    <s v="份"/>
    <n v="7"/>
    <n v="20.65"/>
    <n v="0"/>
    <n v="0"/>
    <n v="0"/>
    <n v="0"/>
    <n v="0"/>
    <n v="0"/>
    <n v="0"/>
    <n v="0"/>
    <n v="1.54"/>
    <n v="0"/>
    <n v="7"/>
    <n v="20.06"/>
    <n v="0.95"/>
    <n v="19.11"/>
    <n v="0.5"/>
  </r>
  <r>
    <s v="2021-06-06"/>
    <s v="Vancouver"/>
    <s v="加拿大二店"/>
    <x v="3"/>
    <x v="11"/>
    <x v="84"/>
    <x v="81"/>
    <x v="88"/>
    <s v="整份"/>
    <n v="11.95"/>
    <s v="份"/>
    <n v="10"/>
    <n v="119.5"/>
    <n v="1"/>
    <n v="11.95"/>
    <n v="0"/>
    <n v="0"/>
    <n v="0"/>
    <n v="0"/>
    <n v="0"/>
    <n v="0"/>
    <n v="1.46"/>
    <n v="0"/>
    <n v="9"/>
    <n v="111.39"/>
    <n v="5.3"/>
    <n v="106.09"/>
    <n v="1"/>
  </r>
  <r>
    <s v="2021-06-06"/>
    <s v="Vancouver"/>
    <s v="加拿大二店"/>
    <x v="1"/>
    <x v="3"/>
    <x v="85"/>
    <x v="82"/>
    <x v="89"/>
    <s v="整份"/>
    <n v="6.95"/>
    <s v="份"/>
    <n v="16"/>
    <n v="111.2"/>
    <n v="0"/>
    <n v="0"/>
    <n v="0"/>
    <n v="0"/>
    <n v="0"/>
    <n v="0"/>
    <n v="0"/>
    <n v="0"/>
    <n v="6.66"/>
    <n v="0"/>
    <n v="16"/>
    <n v="109.76"/>
    <n v="5.22"/>
    <n v="104.54"/>
    <n v="1"/>
  </r>
  <r>
    <s v="2021-06-06"/>
    <s v="Vancouver"/>
    <s v="加拿大二店"/>
    <x v="6"/>
    <x v="13"/>
    <x v="86"/>
    <x v="83"/>
    <x v="90"/>
    <s v="碗"/>
    <n v="2.95"/>
    <s v="碗"/>
    <n v="9"/>
    <n v="26.55"/>
    <n v="0"/>
    <n v="0"/>
    <n v="0"/>
    <n v="0"/>
    <n v="0"/>
    <n v="0"/>
    <n v="0"/>
    <n v="0"/>
    <n v="0"/>
    <n v="0"/>
    <n v="9"/>
    <n v="27.87"/>
    <n v="1.32"/>
    <n v="26.55"/>
    <n v="1"/>
  </r>
  <r>
    <s v="2021-06-06"/>
    <s v="Vancouver"/>
    <s v="加拿大二店"/>
    <x v="2"/>
    <x v="4"/>
    <x v="87"/>
    <x v="84"/>
    <x v="91"/>
    <s v="冰镇"/>
    <n v="2.95"/>
    <s v="扎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06"/>
    <s v="Vancouver"/>
    <s v="加拿大二店"/>
    <x v="1"/>
    <x v="8"/>
    <x v="88"/>
    <x v="85"/>
    <x v="92"/>
    <s v="整份"/>
    <n v="7.95"/>
    <s v="份"/>
    <n v="9"/>
    <n v="71.55"/>
    <n v="0"/>
    <n v="0"/>
    <n v="0"/>
    <n v="0"/>
    <n v="0"/>
    <n v="0"/>
    <n v="0"/>
    <n v="0"/>
    <n v="5.72"/>
    <n v="0"/>
    <n v="9"/>
    <n v="69.12"/>
    <n v="3.29"/>
    <n v="65.83"/>
    <n v="1"/>
  </r>
  <r>
    <s v="2021-06-06"/>
    <s v="Vancouver"/>
    <s v="加拿大二店"/>
    <x v="1"/>
    <x v="8"/>
    <x v="89"/>
    <x v="86"/>
    <x v="93"/>
    <s v="整份"/>
    <n v="4.95"/>
    <s v="份"/>
    <n v="18"/>
    <n v="89.1"/>
    <n v="0"/>
    <n v="0"/>
    <n v="0"/>
    <n v="0"/>
    <n v="0"/>
    <n v="0"/>
    <n v="0"/>
    <n v="0"/>
    <n v="4.19"/>
    <n v="0"/>
    <n v="18"/>
    <n v="89.15"/>
    <n v="4.24"/>
    <n v="84.91"/>
    <n v="1"/>
  </r>
  <r>
    <s v="2021-06-06"/>
    <s v="Vancouver"/>
    <s v="加拿大二店"/>
    <x v="3"/>
    <x v="7"/>
    <x v="90"/>
    <x v="87"/>
    <x v="94"/>
    <s v="整份"/>
    <n v="4.95"/>
    <s v="份"/>
    <n v="13"/>
    <n v="64.35"/>
    <n v="0"/>
    <n v="0"/>
    <n v="0"/>
    <n v="0"/>
    <n v="0"/>
    <n v="0"/>
    <n v="0"/>
    <n v="0"/>
    <n v="4.47"/>
    <n v="0"/>
    <n v="13"/>
    <n v="62.87"/>
    <n v="2.99"/>
    <n v="59.88"/>
    <n v="1"/>
  </r>
  <r>
    <s v="2021-06-06"/>
    <s v="Vancouver"/>
    <s v="加拿大二店"/>
    <x v="6"/>
    <x v="18"/>
    <x v="91"/>
    <x v="88"/>
    <x v="95"/>
    <s v="整份"/>
    <n v="2.95"/>
    <s v="份"/>
    <n v="5"/>
    <n v="14.75"/>
    <n v="0"/>
    <n v="0"/>
    <n v="0"/>
    <n v="0"/>
    <n v="0"/>
    <n v="0"/>
    <n v="0"/>
    <n v="0"/>
    <n v="0.17"/>
    <n v="0"/>
    <n v="5"/>
    <n v="15.3"/>
    <n v="0.72"/>
    <n v="14.58"/>
    <n v="1"/>
  </r>
  <r>
    <s v="2021-06-06"/>
    <s v="Vancouver"/>
    <s v="加拿大二店"/>
    <x v="4"/>
    <x v="9"/>
    <x v="92"/>
    <x v="0"/>
    <x v="96"/>
    <s v="拼锅"/>
    <n v="8.95"/>
    <s v="锅"/>
    <n v="1"/>
    <n v="8.95"/>
    <n v="0"/>
    <n v="0"/>
    <n v="0"/>
    <n v="0"/>
    <n v="0"/>
    <n v="0"/>
    <n v="0"/>
    <n v="0"/>
    <n v="0"/>
    <n v="0"/>
    <n v="1"/>
    <n v="9.39"/>
    <n v="0.44"/>
    <n v="8.95"/>
    <n v="2"/>
  </r>
  <r>
    <s v="2021-06-06"/>
    <s v="Vancouver"/>
    <s v="加拿大二店"/>
    <x v="4"/>
    <x v="10"/>
    <x v="92"/>
    <x v="0"/>
    <x v="96"/>
    <s v="四宫格"/>
    <n v="4.95"/>
    <s v="锅"/>
    <n v="2"/>
    <n v="9.9"/>
    <n v="0"/>
    <n v="0"/>
    <n v="0"/>
    <n v="0"/>
    <n v="0"/>
    <n v="0"/>
    <n v="0"/>
    <n v="-0.01"/>
    <n v="0"/>
    <n v="0"/>
    <n v="2"/>
    <n v="10.4"/>
    <n v="0.49"/>
    <n v="9.91"/>
    <n v="1"/>
  </r>
  <r>
    <s v="2021-06-06"/>
    <s v="Vancouver"/>
    <s v="加拿大二店"/>
    <x v="3"/>
    <x v="5"/>
    <x v="93"/>
    <x v="89"/>
    <x v="97"/>
    <s v="整份"/>
    <n v="5.95"/>
    <s v="份"/>
    <n v="20"/>
    <n v="119"/>
    <n v="0"/>
    <n v="0"/>
    <n v="0"/>
    <n v="0"/>
    <n v="0"/>
    <n v="0"/>
    <n v="0"/>
    <n v="0"/>
    <n v="1.9"/>
    <n v="0"/>
    <n v="20"/>
    <n v="122.95"/>
    <n v="5.85"/>
    <n v="117.1"/>
    <n v="1"/>
  </r>
  <r>
    <s v="2021-06-06"/>
    <s v="Vancouver"/>
    <s v="加拿大二店"/>
    <x v="6"/>
    <x v="13"/>
    <x v="94"/>
    <x v="90"/>
    <x v="98"/>
    <s v="整份"/>
    <n v="4.95"/>
    <s v="份"/>
    <n v="20"/>
    <n v="99"/>
    <n v="0"/>
    <n v="0"/>
    <n v="0"/>
    <n v="0"/>
    <n v="0"/>
    <n v="0"/>
    <n v="0"/>
    <n v="0"/>
    <n v="0"/>
    <n v="0"/>
    <n v="20"/>
    <n v="103.95"/>
    <n v="4.95"/>
    <n v="99"/>
    <n v="1"/>
  </r>
  <r>
    <s v="2021-06-06"/>
    <s v="Vancouver"/>
    <s v="加拿大二店"/>
    <x v="2"/>
    <x v="4"/>
    <x v="95"/>
    <x v="91"/>
    <x v="99"/>
    <s v="冰镇"/>
    <n v="2.45"/>
    <s v="听"/>
    <n v="3"/>
    <n v="7.35"/>
    <n v="1"/>
    <n v="2.45"/>
    <n v="0"/>
    <n v="0"/>
    <n v="0"/>
    <n v="0"/>
    <n v="0"/>
    <n v="0"/>
    <n v="0"/>
    <n v="0"/>
    <n v="2"/>
    <n v="5.48"/>
    <n v="0.58"/>
    <n v="4.9"/>
    <n v="1"/>
  </r>
  <r>
    <s v="2021-06-06"/>
    <s v="Vancouver"/>
    <s v="加拿大二店"/>
    <x v="1"/>
    <x v="1"/>
    <x v="96"/>
    <x v="92"/>
    <x v="100"/>
    <s v="整份"/>
    <n v="49.95"/>
    <s v="份"/>
    <n v="6"/>
    <n v="299.7"/>
    <n v="0"/>
    <n v="0"/>
    <n v="0"/>
    <n v="0"/>
    <n v="0"/>
    <n v="0"/>
    <n v="0"/>
    <n v="-0.02"/>
    <n v="5.99"/>
    <n v="0"/>
    <n v="6"/>
    <n v="308.41"/>
    <n v="14.68"/>
    <n v="293.73"/>
    <n v="1"/>
  </r>
  <r>
    <s v="2021-06-06"/>
    <s v="Vancouver"/>
    <s v="加拿大二店"/>
    <x v="2"/>
    <x v="2"/>
    <x v="97"/>
    <x v="93"/>
    <x v="101"/>
    <s v="冰镇"/>
    <n v="5.95"/>
    <s v="听"/>
    <n v="11"/>
    <n v="65.45"/>
    <n v="0"/>
    <n v="0"/>
    <n v="0"/>
    <n v="0"/>
    <n v="0"/>
    <n v="0"/>
    <n v="0"/>
    <n v="0"/>
    <n v="0"/>
    <n v="0"/>
    <n v="11"/>
    <n v="75.26"/>
    <n v="9.81"/>
    <n v="65.45"/>
    <n v="1"/>
  </r>
  <r>
    <s v="2021-06-06"/>
    <s v="Vancouver"/>
    <s v="加拿大二店"/>
    <x v="6"/>
    <x v="13"/>
    <x v="98"/>
    <x v="94"/>
    <x v="102"/>
    <s v="整份"/>
    <n v="3.95"/>
    <s v="份"/>
    <n v="8"/>
    <n v="31.6"/>
    <n v="0"/>
    <n v="0"/>
    <n v="0"/>
    <n v="0"/>
    <n v="0"/>
    <n v="0"/>
    <n v="0"/>
    <n v="0"/>
    <n v="0.79"/>
    <n v="0"/>
    <n v="8"/>
    <n v="32.35"/>
    <n v="1.54"/>
    <n v="30.81"/>
    <n v="1"/>
  </r>
  <r>
    <s v="2021-06-06"/>
    <s v="Vancouver"/>
    <s v="加拿大二店"/>
    <x v="1"/>
    <x v="3"/>
    <x v="99"/>
    <x v="95"/>
    <x v="103"/>
    <s v="整份"/>
    <n v="5.95"/>
    <s v="份"/>
    <n v="7"/>
    <n v="41.65"/>
    <n v="0"/>
    <n v="0"/>
    <n v="0"/>
    <n v="0"/>
    <n v="0"/>
    <n v="0"/>
    <n v="0"/>
    <n v="0"/>
    <n v="3.57"/>
    <n v="0"/>
    <n v="7"/>
    <n v="39.98"/>
    <n v="1.9"/>
    <n v="38.08"/>
    <n v="1"/>
  </r>
  <r>
    <s v="2021-06-06"/>
    <s v="Vancouver"/>
    <s v="加拿大二店"/>
    <x v="1"/>
    <x v="3"/>
    <x v="100"/>
    <x v="96"/>
    <x v="104"/>
    <s v="整份"/>
    <n v="7.95"/>
    <s v="份"/>
    <n v="6"/>
    <n v="47.7"/>
    <n v="0"/>
    <n v="0"/>
    <n v="0"/>
    <n v="0"/>
    <n v="0"/>
    <n v="0"/>
    <n v="0"/>
    <n v="0"/>
    <n v="1.59"/>
    <n v="0"/>
    <n v="6"/>
    <n v="48.41"/>
    <n v="2.3"/>
    <n v="46.11"/>
    <n v="1"/>
  </r>
  <r>
    <s v="2021-06-06"/>
    <s v="Vancouver"/>
    <s v="加拿大二店"/>
    <x v="1"/>
    <x v="8"/>
    <x v="101"/>
    <x v="97"/>
    <x v="105"/>
    <s v="整份"/>
    <n v="5.95"/>
    <s v="份"/>
    <n v="19"/>
    <n v="113.05"/>
    <n v="0"/>
    <n v="0"/>
    <n v="0"/>
    <n v="0"/>
    <n v="0"/>
    <n v="0"/>
    <n v="0"/>
    <n v="0"/>
    <n v="2.49"/>
    <n v="0"/>
    <n v="19"/>
    <n v="116.08"/>
    <n v="5.52"/>
    <n v="110.56"/>
    <n v="1"/>
  </r>
  <r>
    <s v="2021-06-06"/>
    <s v="Vancouver"/>
    <s v="加拿大二店"/>
    <x v="1"/>
    <x v="6"/>
    <x v="102"/>
    <x v="98"/>
    <x v="106"/>
    <s v="整份"/>
    <n v="8.95"/>
    <s v="份"/>
    <n v="3"/>
    <n v="26.85"/>
    <n v="0"/>
    <n v="0"/>
    <n v="0"/>
    <n v="0"/>
    <n v="0"/>
    <n v="0"/>
    <n v="0"/>
    <n v="0"/>
    <n v="3.61"/>
    <n v="0"/>
    <n v="3"/>
    <n v="24.4"/>
    <n v="1.16"/>
    <n v="23.24"/>
    <n v="1"/>
  </r>
  <r>
    <s v="2021-06-06"/>
    <s v="Vancouver"/>
    <s v="加拿大二店"/>
    <x v="3"/>
    <x v="7"/>
    <x v="103"/>
    <x v="99"/>
    <x v="107"/>
    <s v="整份"/>
    <n v="5.95"/>
    <s v="份"/>
    <n v="15"/>
    <n v="89.25"/>
    <n v="0"/>
    <n v="0"/>
    <n v="0"/>
    <n v="0"/>
    <n v="0"/>
    <n v="0"/>
    <n v="0"/>
    <n v="0"/>
    <n v="2.25"/>
    <n v="0"/>
    <n v="15"/>
    <n v="91.35"/>
    <n v="4.35"/>
    <n v="87"/>
    <n v="1"/>
  </r>
  <r>
    <s v="2021-06-06"/>
    <s v="Vancouver"/>
    <s v="加拿大二店"/>
    <x v="3"/>
    <x v="7"/>
    <x v="104"/>
    <x v="100"/>
    <x v="108"/>
    <s v="整份"/>
    <n v="3.95"/>
    <s v="份"/>
    <n v="7"/>
    <n v="27.65"/>
    <n v="0"/>
    <n v="0"/>
    <n v="0"/>
    <n v="0"/>
    <n v="0"/>
    <n v="0"/>
    <n v="0"/>
    <n v="0"/>
    <n v="0"/>
    <n v="0"/>
    <n v="7"/>
    <n v="29.03"/>
    <n v="1.38"/>
    <n v="27.65"/>
    <n v="1"/>
  </r>
  <r>
    <s v="2021-06-06"/>
    <s v="Vancouver"/>
    <s v="加拿大二店"/>
    <x v="1"/>
    <x v="8"/>
    <x v="105"/>
    <x v="101"/>
    <x v="109"/>
    <s v="整份"/>
    <n v="4.95"/>
    <s v="份"/>
    <n v="23"/>
    <n v="113.85"/>
    <n v="0"/>
    <n v="0"/>
    <n v="0"/>
    <n v="0"/>
    <n v="1"/>
    <n v="4.95"/>
    <n v="0"/>
    <n v="0.02"/>
    <n v="6.95"/>
    <n v="0"/>
    <n v="22"/>
    <n v="107.02"/>
    <n v="5.09"/>
    <n v="101.93"/>
    <n v="1"/>
  </r>
  <r>
    <s v="2021-06-06"/>
    <s v="Vancouver"/>
    <s v="加拿大二店"/>
    <x v="4"/>
    <x v="9"/>
    <x v="106"/>
    <x v="0"/>
    <x v="110"/>
    <s v="拼锅"/>
    <n v="11.95"/>
    <s v="锅"/>
    <n v="7"/>
    <n v="83.65"/>
    <n v="0"/>
    <n v="0"/>
    <n v="0"/>
    <n v="0"/>
    <n v="0"/>
    <n v="0"/>
    <n v="0"/>
    <n v="-0.04"/>
    <n v="0"/>
    <n v="0"/>
    <n v="7"/>
    <n v="87.87"/>
    <n v="4.18"/>
    <n v="83.69"/>
    <n v="2"/>
  </r>
  <r>
    <s v="2021-06-06"/>
    <s v="Vancouver"/>
    <s v="加拿大二店"/>
    <x v="4"/>
    <x v="10"/>
    <x v="106"/>
    <x v="0"/>
    <x v="110"/>
    <s v="四宫格"/>
    <n v="5.95"/>
    <s v="锅"/>
    <n v="5"/>
    <n v="29.75"/>
    <n v="0"/>
    <n v="0"/>
    <n v="0"/>
    <n v="0"/>
    <n v="0"/>
    <n v="0"/>
    <n v="0"/>
    <n v="-0.01"/>
    <n v="0"/>
    <n v="0"/>
    <n v="5"/>
    <n v="31.24"/>
    <n v="1.48"/>
    <n v="29.76"/>
    <n v="1"/>
  </r>
  <r>
    <s v="2021-06-06"/>
    <s v="Vancouver"/>
    <s v="加拿大二店"/>
    <x v="4"/>
    <x v="9"/>
    <x v="107"/>
    <x v="0"/>
    <x v="111"/>
    <s v="拼锅"/>
    <n v="11.95"/>
    <s v="锅"/>
    <n v="9"/>
    <n v="107.55"/>
    <n v="0"/>
    <n v="0"/>
    <n v="0"/>
    <n v="0"/>
    <n v="0"/>
    <n v="0"/>
    <n v="0"/>
    <n v="0"/>
    <n v="0"/>
    <n v="0"/>
    <n v="9"/>
    <n v="112.92"/>
    <n v="5.37"/>
    <n v="107.55"/>
    <n v="2"/>
  </r>
  <r>
    <s v="2021-06-06"/>
    <s v="Vancouver"/>
    <s v="加拿大二店"/>
    <x v="4"/>
    <x v="10"/>
    <x v="107"/>
    <x v="0"/>
    <x v="111"/>
    <s v="四宫格"/>
    <n v="5.95"/>
    <s v="锅"/>
    <n v="5"/>
    <n v="29.75"/>
    <n v="0"/>
    <n v="0"/>
    <n v="0"/>
    <n v="0"/>
    <n v="0"/>
    <n v="0"/>
    <n v="0"/>
    <n v="0"/>
    <n v="0"/>
    <n v="0"/>
    <n v="5"/>
    <n v="31.23"/>
    <n v="1.48"/>
    <n v="29.75"/>
    <n v="1"/>
  </r>
  <r>
    <s v="2021-06-07"/>
    <s v="Vancouver"/>
    <s v="加拿大二店"/>
    <x v="1"/>
    <x v="1"/>
    <x v="1"/>
    <x v="1"/>
    <x v="1"/>
    <s v="整份"/>
    <n v="16.95"/>
    <s v="份"/>
    <n v="8"/>
    <n v="135.6"/>
    <n v="0"/>
    <n v="0"/>
    <n v="0"/>
    <n v="0"/>
    <n v="1"/>
    <n v="16.95"/>
    <n v="0"/>
    <n v="0"/>
    <n v="11.35"/>
    <n v="0"/>
    <n v="7"/>
    <n v="112.66"/>
    <n v="5.36"/>
    <n v="107.3"/>
    <n v="1"/>
  </r>
  <r>
    <s v="2021-06-07"/>
    <s v="Vancouver"/>
    <s v="加拿大二店"/>
    <x v="2"/>
    <x v="22"/>
    <x v="130"/>
    <x v="124"/>
    <x v="135"/>
    <s v="瓶"/>
    <n v="25.95"/>
    <s v="瓶"/>
    <n v="1"/>
    <n v="25.95"/>
    <n v="0"/>
    <n v="0"/>
    <n v="0"/>
    <n v="0"/>
    <n v="0"/>
    <n v="0"/>
    <n v="0"/>
    <n v="0"/>
    <n v="0"/>
    <n v="0"/>
    <n v="1"/>
    <n v="29.84"/>
    <n v="3.89"/>
    <n v="25.95"/>
    <n v="1"/>
  </r>
  <r>
    <s v="2021-06-07"/>
    <s v="Vancouver"/>
    <s v="加拿大二店"/>
    <x v="1"/>
    <x v="1"/>
    <x v="2"/>
    <x v="2"/>
    <x v="2"/>
    <s v="整份"/>
    <n v="25.95"/>
    <s v="份"/>
    <n v="17"/>
    <n v="441.15"/>
    <n v="0"/>
    <n v="0"/>
    <n v="0"/>
    <n v="0"/>
    <n v="2"/>
    <n v="51.9"/>
    <n v="0"/>
    <n v="0"/>
    <n v="13.49"/>
    <n v="0"/>
    <n v="15"/>
    <n v="394.54"/>
    <n v="18.78"/>
    <n v="375.76"/>
    <n v="1"/>
  </r>
  <r>
    <s v="2021-06-07"/>
    <s v="Vancouver"/>
    <s v="加拿大二店"/>
    <x v="2"/>
    <x v="2"/>
    <x v="129"/>
    <x v="123"/>
    <x v="134"/>
    <s v="扎"/>
    <n v="22.95"/>
    <s v="扎"/>
    <n v="3"/>
    <n v="68.85"/>
    <n v="0"/>
    <n v="0"/>
    <n v="0"/>
    <n v="0"/>
    <n v="0"/>
    <n v="0"/>
    <n v="0"/>
    <n v="0.02"/>
    <n v="0"/>
    <n v="0"/>
    <n v="3"/>
    <n v="79.15"/>
    <n v="10.32"/>
    <n v="68.83"/>
    <n v="1"/>
  </r>
  <r>
    <s v="2021-06-07"/>
    <s v="Vancouver"/>
    <s v="加拿大二店"/>
    <x v="2"/>
    <x v="2"/>
    <x v="3"/>
    <x v="3"/>
    <x v="3"/>
    <s v="杯"/>
    <n v="6.95"/>
    <s v="杯"/>
    <n v="1"/>
    <n v="6.95"/>
    <n v="0"/>
    <n v="0"/>
    <n v="0"/>
    <n v="0"/>
    <n v="0"/>
    <n v="0"/>
    <n v="0"/>
    <n v="0"/>
    <n v="0"/>
    <n v="0"/>
    <n v="1"/>
    <n v="7.99"/>
    <n v="1.04"/>
    <n v="6.95"/>
    <n v="1"/>
  </r>
  <r>
    <s v="2021-06-07"/>
    <s v="Vancouver"/>
    <s v="加拿大二店"/>
    <x v="2"/>
    <x v="2"/>
    <x v="4"/>
    <x v="4"/>
    <x v="4"/>
    <s v="壶"/>
    <n v="22.95"/>
    <s v="壶"/>
    <n v="1"/>
    <n v="22.95"/>
    <n v="0"/>
    <n v="0"/>
    <n v="0"/>
    <n v="0"/>
    <n v="0"/>
    <n v="0"/>
    <n v="0"/>
    <n v="0"/>
    <n v="0"/>
    <n v="0"/>
    <n v="1"/>
    <n v="26.39"/>
    <n v="3.44"/>
    <n v="22.95"/>
    <n v="1"/>
  </r>
  <r>
    <s v="2021-06-07"/>
    <s v="Vancouver"/>
    <s v="加拿大二店"/>
    <x v="2"/>
    <x v="2"/>
    <x v="5"/>
    <x v="5"/>
    <x v="5"/>
    <s v="杯"/>
    <n v="6.95"/>
    <s v="杯"/>
    <n v="6"/>
    <n v="41.7"/>
    <n v="0"/>
    <n v="0"/>
    <n v="0"/>
    <n v="0"/>
    <n v="0"/>
    <n v="0"/>
    <n v="0"/>
    <n v="-0.02"/>
    <n v="1.39"/>
    <n v="0"/>
    <n v="6"/>
    <n v="46.37"/>
    <n v="6.04"/>
    <n v="40.33"/>
    <n v="1"/>
  </r>
  <r>
    <s v="2021-06-07"/>
    <s v="Vancouver"/>
    <s v="加拿大二店"/>
    <x v="1"/>
    <x v="3"/>
    <x v="6"/>
    <x v="6"/>
    <x v="6"/>
    <s v="整份"/>
    <n v="7.95"/>
    <s v="份"/>
    <n v="2"/>
    <n v="15.9"/>
    <n v="0"/>
    <n v="0"/>
    <n v="0"/>
    <n v="0"/>
    <n v="0"/>
    <n v="0"/>
    <n v="0"/>
    <n v="0"/>
    <n v="1.59"/>
    <n v="0"/>
    <n v="2"/>
    <n v="15.02"/>
    <n v="0.71"/>
    <n v="14.31"/>
    <n v="1"/>
  </r>
  <r>
    <s v="2021-06-07"/>
    <s v="Vancouver"/>
    <s v="加拿大二店"/>
    <x v="0"/>
    <x v="0"/>
    <x v="124"/>
    <x v="0"/>
    <x v="128"/>
    <s v="套餐"/>
    <n v="59.95"/>
    <s v="套餐"/>
    <n v="1"/>
    <n v="59.95"/>
    <n v="1"/>
    <n v="59.95"/>
    <n v="0"/>
    <n v="0"/>
    <n v="0"/>
    <n v="0"/>
    <n v="0"/>
    <n v="0"/>
    <n v="0"/>
    <n v="0"/>
    <n v="0"/>
    <n v="0"/>
    <n v="0"/>
    <n v="0"/>
    <n v="1"/>
  </r>
  <r>
    <s v="2021-06-07"/>
    <s v="Vancouver"/>
    <s v="加拿大二店"/>
    <x v="2"/>
    <x v="19"/>
    <x v="108"/>
    <x v="102"/>
    <x v="112"/>
    <s v="小瓶"/>
    <n v="15.95"/>
    <s v="小瓶"/>
    <n v="2"/>
    <n v="31.9"/>
    <n v="0"/>
    <n v="0"/>
    <n v="0"/>
    <n v="0"/>
    <n v="0"/>
    <n v="0"/>
    <n v="0"/>
    <n v="0"/>
    <n v="0"/>
    <n v="0"/>
    <n v="2"/>
    <n v="36.68"/>
    <n v="4.78"/>
    <n v="31.9"/>
    <n v="1"/>
  </r>
  <r>
    <s v="2021-06-07"/>
    <s v="Vancouver"/>
    <s v="加拿大二店"/>
    <x v="2"/>
    <x v="4"/>
    <x v="110"/>
    <x v="104"/>
    <x v="114"/>
    <s v="小瓶"/>
    <n v="3.95"/>
    <s v="瓶"/>
    <n v="3"/>
    <n v="11.85"/>
    <n v="0"/>
    <n v="0"/>
    <n v="0"/>
    <n v="0"/>
    <n v="0"/>
    <n v="0"/>
    <n v="0"/>
    <n v="0.03"/>
    <n v="0.79"/>
    <n v="0"/>
    <n v="3"/>
    <n v="12.35"/>
    <n v="1.32"/>
    <n v="11.03"/>
    <n v="1"/>
  </r>
  <r>
    <s v="2021-06-07"/>
    <s v="Vancouver"/>
    <s v="加拿大二店"/>
    <x v="3"/>
    <x v="5"/>
    <x v="8"/>
    <x v="8"/>
    <x v="8"/>
    <s v="整份"/>
    <n v="3.95"/>
    <s v="份"/>
    <n v="2"/>
    <n v="7.9"/>
    <n v="0"/>
    <n v="0"/>
    <n v="0"/>
    <n v="0"/>
    <n v="0"/>
    <n v="0"/>
    <n v="0"/>
    <n v="0"/>
    <n v="1.58"/>
    <n v="0"/>
    <n v="2"/>
    <n v="6.63"/>
    <n v="0.31"/>
    <n v="6.32"/>
    <n v="1"/>
  </r>
  <r>
    <s v="2021-06-07"/>
    <s v="Vancouver"/>
    <s v="加拿大二店"/>
    <x v="2"/>
    <x v="4"/>
    <x v="10"/>
    <x v="10"/>
    <x v="10"/>
    <s v="半份"/>
    <n v="6.95"/>
    <s v="扎"/>
    <n v="2"/>
    <n v="13.9"/>
    <n v="0"/>
    <n v="0"/>
    <n v="0"/>
    <n v="0"/>
    <n v="0"/>
    <n v="0"/>
    <n v="0"/>
    <n v="0"/>
    <n v="0"/>
    <n v="0"/>
    <n v="2"/>
    <n v="15.56"/>
    <n v="1.66"/>
    <n v="13.9"/>
    <n v="0.5"/>
  </r>
  <r>
    <s v="2021-06-07"/>
    <s v="Vancouver"/>
    <s v="加拿大二店"/>
    <x v="2"/>
    <x v="4"/>
    <x v="10"/>
    <x v="11"/>
    <x v="11"/>
    <s v="整份"/>
    <n v="9.95"/>
    <s v="扎"/>
    <n v="1"/>
    <n v="9.95"/>
    <n v="0"/>
    <n v="0"/>
    <n v="0"/>
    <n v="0"/>
    <n v="0"/>
    <n v="0"/>
    <n v="0"/>
    <n v="0"/>
    <n v="0"/>
    <n v="0"/>
    <n v="1"/>
    <n v="11.14"/>
    <n v="1.19"/>
    <n v="9.95"/>
    <n v="1"/>
  </r>
  <r>
    <s v="2021-06-07"/>
    <s v="Vancouver"/>
    <s v="加拿大二店"/>
    <x v="1"/>
    <x v="6"/>
    <x v="11"/>
    <x v="12"/>
    <x v="12"/>
    <s v="整份"/>
    <n v="8.95"/>
    <s v="份"/>
    <n v="4"/>
    <n v="35.8"/>
    <n v="0"/>
    <n v="0"/>
    <n v="0"/>
    <n v="0"/>
    <n v="0"/>
    <n v="0"/>
    <n v="0"/>
    <n v="0"/>
    <n v="1.07"/>
    <n v="0"/>
    <n v="4"/>
    <n v="36.46"/>
    <n v="1.73"/>
    <n v="34.73"/>
    <n v="1"/>
  </r>
  <r>
    <s v="2021-06-07"/>
    <s v="Vancouver"/>
    <s v="加拿大二店"/>
    <x v="1"/>
    <x v="6"/>
    <x v="12"/>
    <x v="13"/>
    <x v="13"/>
    <s v="整份"/>
    <n v="16.95"/>
    <s v="份"/>
    <n v="1"/>
    <n v="16.95"/>
    <n v="0"/>
    <n v="0"/>
    <n v="0"/>
    <n v="0"/>
    <n v="0"/>
    <n v="0"/>
    <n v="0"/>
    <n v="0"/>
    <n v="0"/>
    <n v="0"/>
    <n v="1"/>
    <n v="17.79"/>
    <n v="0.84"/>
    <n v="16.95"/>
    <n v="1"/>
  </r>
  <r>
    <s v="2021-06-07"/>
    <s v="Vancouver"/>
    <s v="加拿大二店"/>
    <x v="1"/>
    <x v="6"/>
    <x v="14"/>
    <x v="15"/>
    <x v="15"/>
    <s v="整份"/>
    <n v="29.95"/>
    <s v="份"/>
    <n v="1"/>
    <n v="29.95"/>
    <n v="0"/>
    <n v="0"/>
    <n v="0"/>
    <n v="0"/>
    <n v="0"/>
    <n v="0"/>
    <n v="0"/>
    <n v="0.01"/>
    <n v="5.99"/>
    <n v="0"/>
    <n v="1"/>
    <n v="25.14"/>
    <n v="1.19"/>
    <n v="23.95"/>
    <n v="1"/>
  </r>
  <r>
    <s v="2021-06-07"/>
    <s v="Vancouver"/>
    <s v="加拿大二店"/>
    <x v="1"/>
    <x v="6"/>
    <x v="121"/>
    <x v="115"/>
    <x v="125"/>
    <s v="整份"/>
    <n v="12.95"/>
    <s v="份"/>
    <n v="5"/>
    <n v="64.75"/>
    <n v="0"/>
    <n v="0"/>
    <n v="0"/>
    <n v="0"/>
    <n v="0"/>
    <n v="0"/>
    <n v="0"/>
    <n v="0"/>
    <n v="9.31"/>
    <n v="0"/>
    <n v="5"/>
    <n v="58.21"/>
    <n v="2.77"/>
    <n v="55.44"/>
    <n v="1"/>
  </r>
  <r>
    <s v="2021-06-07"/>
    <s v="Vancouver"/>
    <s v="加拿大二店"/>
    <x v="1"/>
    <x v="6"/>
    <x v="15"/>
    <x v="16"/>
    <x v="16"/>
    <s v="整份"/>
    <n v="8.95"/>
    <s v="份"/>
    <n v="4"/>
    <n v="35.8"/>
    <n v="0"/>
    <n v="0"/>
    <n v="0"/>
    <n v="0"/>
    <n v="0"/>
    <n v="0"/>
    <n v="0"/>
    <n v="0"/>
    <n v="1.07"/>
    <n v="0"/>
    <n v="4"/>
    <n v="36.46"/>
    <n v="1.73"/>
    <n v="34.73"/>
    <n v="1"/>
  </r>
  <r>
    <s v="2021-06-07"/>
    <s v="Vancouver"/>
    <s v="加拿大二店"/>
    <x v="1"/>
    <x v="6"/>
    <x v="111"/>
    <x v="105"/>
    <x v="115"/>
    <s v="整份"/>
    <n v="8.95"/>
    <s v="份"/>
    <n v="2"/>
    <n v="17.9"/>
    <n v="0"/>
    <n v="0"/>
    <n v="0"/>
    <n v="0"/>
    <n v="0"/>
    <n v="0"/>
    <n v="0"/>
    <n v="0"/>
    <n v="3.75"/>
    <n v="0"/>
    <n v="2"/>
    <n v="14.85"/>
    <n v="0.7"/>
    <n v="14.15"/>
    <n v="1"/>
  </r>
  <r>
    <s v="2021-06-07"/>
    <s v="Vancouver"/>
    <s v="加拿大二店"/>
    <x v="3"/>
    <x v="7"/>
    <x v="16"/>
    <x v="17"/>
    <x v="17"/>
    <s v="整份"/>
    <n v="4.95"/>
    <s v="份"/>
    <n v="7"/>
    <n v="34.65"/>
    <n v="0"/>
    <n v="0"/>
    <n v="0"/>
    <n v="0"/>
    <n v="0"/>
    <n v="0"/>
    <n v="0"/>
    <n v="0"/>
    <n v="1.98"/>
    <n v="0"/>
    <n v="7"/>
    <n v="34.3"/>
    <n v="1.63"/>
    <n v="32.67"/>
    <n v="1"/>
  </r>
  <r>
    <s v="2021-06-07"/>
    <s v="Vancouver"/>
    <s v="加拿大二店"/>
    <x v="2"/>
    <x v="4"/>
    <x v="17"/>
    <x v="18"/>
    <x v="18"/>
    <s v="常温"/>
    <n v="2.95"/>
    <s v="瓶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07"/>
    <s v="Vancouver"/>
    <s v="加拿大二店"/>
    <x v="2"/>
    <x v="4"/>
    <x v="17"/>
    <x v="18"/>
    <x v="18"/>
    <s v="冰镇"/>
    <n v="2.95"/>
    <s v="瓶"/>
    <n v="2"/>
    <n v="5.9"/>
    <n v="0"/>
    <n v="0"/>
    <n v="0"/>
    <n v="0"/>
    <n v="0"/>
    <n v="0"/>
    <n v="0"/>
    <n v="0"/>
    <n v="1.24"/>
    <n v="0"/>
    <n v="2"/>
    <n v="5.21"/>
    <n v="0.55"/>
    <n v="4.66"/>
    <n v="1"/>
  </r>
  <r>
    <s v="2021-06-07"/>
    <s v="Vancouver"/>
    <s v="加拿大二店"/>
    <x v="1"/>
    <x v="8"/>
    <x v="19"/>
    <x v="20"/>
    <x v="20"/>
    <s v="整份"/>
    <n v="5.95"/>
    <s v="份"/>
    <n v="8"/>
    <n v="47.6"/>
    <n v="0"/>
    <n v="0"/>
    <n v="0"/>
    <n v="0"/>
    <n v="1"/>
    <n v="5.95"/>
    <n v="0"/>
    <n v="0"/>
    <n v="5.17"/>
    <n v="0"/>
    <n v="7"/>
    <n v="38.3"/>
    <n v="1.82"/>
    <n v="36.48"/>
    <n v="1"/>
  </r>
  <r>
    <s v="2021-06-07"/>
    <s v="Vancouver"/>
    <s v="加拿大二店"/>
    <x v="1"/>
    <x v="8"/>
    <x v="20"/>
    <x v="21"/>
    <x v="21"/>
    <s v="整份"/>
    <n v="7.95"/>
    <s v="份"/>
    <n v="5"/>
    <n v="39.75"/>
    <n v="0"/>
    <n v="0"/>
    <n v="0"/>
    <n v="0"/>
    <n v="0"/>
    <n v="0"/>
    <n v="0"/>
    <n v="0"/>
    <n v="4.37"/>
    <n v="0"/>
    <n v="5"/>
    <n v="37.14"/>
    <n v="1.76"/>
    <n v="35.38"/>
    <n v="1"/>
  </r>
  <r>
    <s v="2021-06-07"/>
    <s v="Vancouver"/>
    <s v="加拿大二店"/>
    <x v="2"/>
    <x v="4"/>
    <x v="21"/>
    <x v="22"/>
    <x v="22"/>
    <s v="常温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07"/>
    <s v="Vancouver"/>
    <s v="加拿大二店"/>
    <x v="2"/>
    <x v="4"/>
    <x v="21"/>
    <x v="22"/>
    <x v="22"/>
    <s v="冰镇"/>
    <n v="2.45"/>
    <s v="听"/>
    <n v="3"/>
    <n v="7.35"/>
    <n v="0"/>
    <n v="0"/>
    <n v="0"/>
    <n v="0"/>
    <n v="0"/>
    <n v="0"/>
    <n v="0"/>
    <n v="0"/>
    <n v="0.49"/>
    <n v="0"/>
    <n v="3"/>
    <n v="7.68"/>
    <n v="0.82"/>
    <n v="6.86"/>
    <n v="1"/>
  </r>
  <r>
    <s v="2021-06-07"/>
    <s v="Vancouver"/>
    <s v="加拿大二店"/>
    <x v="4"/>
    <x v="9"/>
    <x v="22"/>
    <x v="0"/>
    <x v="23"/>
    <s v="拼锅"/>
    <n v="11.95"/>
    <s v="锅"/>
    <n v="2"/>
    <n v="23.9"/>
    <n v="0"/>
    <n v="0"/>
    <n v="0"/>
    <n v="0"/>
    <n v="0"/>
    <n v="0"/>
    <n v="0"/>
    <n v="0.01"/>
    <n v="0"/>
    <n v="0"/>
    <n v="2"/>
    <n v="25.32"/>
    <n v="1.43"/>
    <n v="23.89"/>
    <n v="2"/>
  </r>
  <r>
    <s v="2021-06-07"/>
    <s v="Vancouver"/>
    <s v="加拿大二店"/>
    <x v="4"/>
    <x v="10"/>
    <x v="22"/>
    <x v="0"/>
    <x v="23"/>
    <s v="四宫格"/>
    <n v="5.95"/>
    <s v="锅"/>
    <n v="2"/>
    <n v="11.9"/>
    <n v="0"/>
    <n v="0"/>
    <n v="0"/>
    <n v="0"/>
    <n v="0"/>
    <n v="0"/>
    <n v="0"/>
    <n v="0"/>
    <n v="0"/>
    <n v="0"/>
    <n v="2"/>
    <n v="12.61"/>
    <n v="0.71"/>
    <n v="11.9"/>
    <n v="1"/>
  </r>
  <r>
    <s v="2021-06-07"/>
    <s v="Vancouver"/>
    <s v="加拿大二店"/>
    <x v="3"/>
    <x v="7"/>
    <x v="23"/>
    <x v="23"/>
    <x v="24"/>
    <s v="整份"/>
    <n v="4.95"/>
    <s v="份"/>
    <n v="13"/>
    <n v="64.35"/>
    <n v="0"/>
    <n v="0"/>
    <n v="0"/>
    <n v="0"/>
    <n v="0"/>
    <n v="0"/>
    <n v="0"/>
    <n v="0"/>
    <n v="2.57"/>
    <n v="0"/>
    <n v="13"/>
    <n v="64.86"/>
    <n v="3.08"/>
    <n v="61.78"/>
    <n v="1"/>
  </r>
  <r>
    <s v="2021-06-07"/>
    <s v="Vancouver"/>
    <s v="加拿大二店"/>
    <x v="3"/>
    <x v="11"/>
    <x v="24"/>
    <x v="118"/>
    <x v="129"/>
    <s v="整份"/>
    <n v="5.95"/>
    <s v="份"/>
    <n v="1"/>
    <n v="5.95"/>
    <n v="0"/>
    <n v="0"/>
    <n v="0"/>
    <n v="0"/>
    <n v="0"/>
    <n v="0"/>
    <n v="0"/>
    <n v="0"/>
    <n v="0"/>
    <n v="0"/>
    <n v="1"/>
    <n v="6.24"/>
    <n v="0.29"/>
    <n v="5.95"/>
    <n v="1"/>
  </r>
  <r>
    <s v="2021-06-07"/>
    <s v="Vancouver"/>
    <s v="加拿大二店"/>
    <x v="3"/>
    <x v="11"/>
    <x v="24"/>
    <x v="24"/>
    <x v="25"/>
    <s v="半份"/>
    <n v="2.95"/>
    <s v="份"/>
    <n v="4"/>
    <n v="11.8"/>
    <n v="0"/>
    <n v="0"/>
    <n v="0"/>
    <n v="0"/>
    <n v="0"/>
    <n v="0"/>
    <n v="0"/>
    <n v="0"/>
    <n v="2.65"/>
    <n v="0"/>
    <n v="4"/>
    <n v="9.6"/>
    <n v="0.45"/>
    <n v="9.15"/>
    <n v="0.5"/>
  </r>
  <r>
    <s v="2021-06-07"/>
    <s v="Vancouver"/>
    <s v="加拿大二店"/>
    <x v="3"/>
    <x v="5"/>
    <x v="25"/>
    <x v="25"/>
    <x v="26"/>
    <s v="整份"/>
    <n v="3.95"/>
    <s v="份"/>
    <n v="6"/>
    <n v="23.7"/>
    <n v="0"/>
    <n v="0"/>
    <n v="0"/>
    <n v="0"/>
    <n v="1"/>
    <n v="3.95"/>
    <n v="0"/>
    <n v="0"/>
    <n v="1.38"/>
    <n v="0"/>
    <n v="5"/>
    <n v="19.28"/>
    <n v="0.91"/>
    <n v="18.37"/>
    <n v="1"/>
  </r>
  <r>
    <s v="2021-06-07"/>
    <s v="Vancouver"/>
    <s v="加拿大二店"/>
    <x v="3"/>
    <x v="11"/>
    <x v="26"/>
    <x v="26"/>
    <x v="27"/>
    <s v="整份"/>
    <n v="4.95"/>
    <s v="份"/>
    <n v="4"/>
    <n v="19.8"/>
    <n v="0"/>
    <n v="0"/>
    <n v="0"/>
    <n v="0"/>
    <n v="0"/>
    <n v="0"/>
    <n v="0"/>
    <n v="0"/>
    <n v="0.74"/>
    <n v="0"/>
    <n v="4"/>
    <n v="20.01"/>
    <n v="0.95"/>
    <n v="19.06"/>
    <n v="1"/>
  </r>
  <r>
    <s v="2021-06-07"/>
    <s v="Vancouver"/>
    <s v="加拿大二店"/>
    <x v="3"/>
    <x v="11"/>
    <x v="26"/>
    <x v="27"/>
    <x v="28"/>
    <s v="半份"/>
    <n v="2.45"/>
    <s v="份"/>
    <n v="11"/>
    <n v="26.95"/>
    <n v="0"/>
    <n v="0"/>
    <n v="0"/>
    <n v="0"/>
    <n v="1"/>
    <n v="2.45"/>
    <n v="0"/>
    <n v="0"/>
    <n v="0.49"/>
    <n v="0"/>
    <n v="10"/>
    <n v="25.21"/>
    <n v="1.2"/>
    <n v="24.01"/>
    <n v="0.5"/>
  </r>
  <r>
    <s v="2021-06-07"/>
    <s v="Vancouver"/>
    <s v="加拿大二店"/>
    <x v="5"/>
    <x v="12"/>
    <x v="27"/>
    <x v="28"/>
    <x v="29"/>
    <s v="整份"/>
    <n v="7.95"/>
    <s v="份"/>
    <n v="5"/>
    <n v="39.75"/>
    <n v="0"/>
    <n v="0"/>
    <n v="0"/>
    <n v="0"/>
    <n v="1"/>
    <n v="7.95"/>
    <n v="0"/>
    <n v="0"/>
    <n v="0.95"/>
    <n v="0"/>
    <n v="4"/>
    <n v="32.39"/>
    <n v="1.54"/>
    <n v="30.85"/>
    <n v="1"/>
  </r>
  <r>
    <s v="2021-06-07"/>
    <s v="Vancouver"/>
    <s v="加拿大二店"/>
    <x v="3"/>
    <x v="7"/>
    <x v="28"/>
    <x v="29"/>
    <x v="30"/>
    <s v="整份"/>
    <n v="4.95"/>
    <s v="份"/>
    <n v="15"/>
    <n v="74.25"/>
    <n v="0"/>
    <n v="0"/>
    <n v="0"/>
    <n v="0"/>
    <n v="0"/>
    <n v="0"/>
    <n v="0"/>
    <n v="-0.01"/>
    <n v="7.56"/>
    <n v="0"/>
    <n v="15"/>
    <n v="70.03"/>
    <n v="3.33"/>
    <n v="66.7"/>
    <n v="1"/>
  </r>
  <r>
    <s v="2021-06-07"/>
    <s v="Vancouver"/>
    <s v="加拿大二店"/>
    <x v="3"/>
    <x v="5"/>
    <x v="29"/>
    <x v="30"/>
    <x v="31"/>
    <s v="整份"/>
    <n v="3.95"/>
    <s v="份"/>
    <n v="6"/>
    <n v="23.7"/>
    <n v="0"/>
    <n v="0"/>
    <n v="0"/>
    <n v="0"/>
    <n v="0"/>
    <n v="0"/>
    <n v="0"/>
    <n v="0"/>
    <n v="2.05"/>
    <n v="0"/>
    <n v="6"/>
    <n v="22.73"/>
    <n v="1.08"/>
    <n v="21.65"/>
    <n v="1"/>
  </r>
  <r>
    <s v="2021-06-07"/>
    <s v="Vancouver"/>
    <s v="加拿大二店"/>
    <x v="6"/>
    <x v="13"/>
    <x v="30"/>
    <x v="31"/>
    <x v="32"/>
    <s v="整份"/>
    <n v="4.95"/>
    <s v="份"/>
    <n v="9"/>
    <n v="44.55"/>
    <n v="0"/>
    <n v="0"/>
    <n v="0"/>
    <n v="0"/>
    <n v="1"/>
    <n v="4.95"/>
    <n v="0"/>
    <n v="0"/>
    <n v="1.12"/>
    <n v="0"/>
    <n v="8"/>
    <n v="40.4"/>
    <n v="1.92"/>
    <n v="38.48"/>
    <n v="1"/>
  </r>
  <r>
    <s v="2021-06-07"/>
    <s v="Vancouver"/>
    <s v="加拿大二店"/>
    <x v="6"/>
    <x v="13"/>
    <x v="31"/>
    <x v="32"/>
    <x v="33"/>
    <s v="整份"/>
    <n v="9.95"/>
    <s v="份"/>
    <n v="3"/>
    <n v="29.85"/>
    <n v="0"/>
    <n v="0"/>
    <n v="0"/>
    <n v="0"/>
    <n v="0"/>
    <n v="0"/>
    <n v="0"/>
    <n v="0"/>
    <n v="0"/>
    <n v="0"/>
    <n v="3"/>
    <n v="31.34"/>
    <n v="1.49"/>
    <n v="29.85"/>
    <n v="1"/>
  </r>
  <r>
    <s v="2021-06-07"/>
    <s v="Vancouver"/>
    <s v="加拿大二店"/>
    <x v="5"/>
    <x v="12"/>
    <x v="32"/>
    <x v="33"/>
    <x v="34"/>
    <s v="整份"/>
    <n v="17.85"/>
    <s v="份"/>
    <n v="4"/>
    <n v="71.4"/>
    <n v="0"/>
    <n v="0"/>
    <n v="0"/>
    <n v="0"/>
    <n v="0"/>
    <n v="0"/>
    <n v="0"/>
    <n v="0"/>
    <n v="7.49"/>
    <n v="0"/>
    <n v="4"/>
    <n v="67.1"/>
    <n v="3.19"/>
    <n v="63.91"/>
    <n v="1"/>
  </r>
  <r>
    <s v="2021-06-07"/>
    <s v="Vancouver"/>
    <s v="加拿大二店"/>
    <x v="1"/>
    <x v="3"/>
    <x v="33"/>
    <x v="34"/>
    <x v="35"/>
    <s v="整份"/>
    <n v="11.95"/>
    <s v="份"/>
    <n v="10"/>
    <n v="119.5"/>
    <n v="0"/>
    <n v="0"/>
    <n v="0"/>
    <n v="0"/>
    <n v="1"/>
    <n v="11.95"/>
    <n v="0"/>
    <n v="0"/>
    <n v="16.96"/>
    <n v="0"/>
    <n v="9"/>
    <n v="95.11"/>
    <n v="4.52"/>
    <n v="90.59"/>
    <n v="1"/>
  </r>
  <r>
    <s v="2021-06-07"/>
    <s v="Vancouver"/>
    <s v="加拿大二店"/>
    <x v="5"/>
    <x v="12"/>
    <x v="34"/>
    <x v="35"/>
    <x v="36"/>
    <s v="整份"/>
    <n v="11.95"/>
    <s v="份"/>
    <n v="4"/>
    <n v="47.8"/>
    <n v="0"/>
    <n v="0"/>
    <n v="0"/>
    <n v="0"/>
    <n v="0"/>
    <n v="0"/>
    <n v="0"/>
    <n v="0"/>
    <n v="7.4"/>
    <n v="0"/>
    <n v="4"/>
    <n v="42.42"/>
    <n v="2.02"/>
    <n v="40.4"/>
    <n v="1"/>
  </r>
  <r>
    <s v="2021-06-07"/>
    <s v="Vancouver"/>
    <s v="加拿大二店"/>
    <x v="5"/>
    <x v="12"/>
    <x v="35"/>
    <x v="36"/>
    <x v="37"/>
    <s v="条"/>
    <n v="4.95"/>
    <s v="条"/>
    <n v="5"/>
    <n v="24.75"/>
    <n v="0"/>
    <n v="0"/>
    <n v="0"/>
    <n v="0"/>
    <n v="1"/>
    <n v="4.95"/>
    <n v="0"/>
    <n v="0"/>
    <n v="1.75"/>
    <n v="0"/>
    <n v="4"/>
    <n v="18.95"/>
    <n v="0.9"/>
    <n v="18.05"/>
    <n v="1"/>
  </r>
  <r>
    <s v="2021-06-07"/>
    <s v="Vancouver"/>
    <s v="加拿大二店"/>
    <x v="5"/>
    <x v="12"/>
    <x v="36"/>
    <x v="37"/>
    <x v="38"/>
    <s v="整份"/>
    <n v="13.95"/>
    <s v="份"/>
    <n v="15"/>
    <n v="209.25"/>
    <n v="0"/>
    <n v="0"/>
    <n v="0"/>
    <n v="0"/>
    <n v="0"/>
    <n v="0"/>
    <n v="0"/>
    <n v="0"/>
    <n v="25.37"/>
    <n v="0"/>
    <n v="15"/>
    <n v="193.07"/>
    <n v="9.19"/>
    <n v="183.88"/>
    <n v="1"/>
  </r>
  <r>
    <s v="2021-06-07"/>
    <s v="Vancouver"/>
    <s v="加拿大二店"/>
    <x v="5"/>
    <x v="12"/>
    <x v="37"/>
    <x v="38"/>
    <x v="39"/>
    <s v="整份"/>
    <n v="9.95"/>
    <s v="份"/>
    <n v="10"/>
    <n v="99.5"/>
    <n v="0"/>
    <n v="0"/>
    <n v="0"/>
    <n v="0"/>
    <n v="0"/>
    <n v="0"/>
    <n v="0"/>
    <n v="0"/>
    <n v="9.64"/>
    <n v="0"/>
    <n v="10"/>
    <n v="94.35"/>
    <n v="4.49"/>
    <n v="89.86"/>
    <n v="1"/>
  </r>
  <r>
    <s v="2021-06-07"/>
    <s v="Vancouver"/>
    <s v="加拿大二店"/>
    <x v="5"/>
    <x v="12"/>
    <x v="38"/>
    <x v="39"/>
    <x v="40"/>
    <s v="整份"/>
    <n v="9.95"/>
    <s v="份"/>
    <n v="7"/>
    <n v="69.65"/>
    <n v="0"/>
    <n v="0"/>
    <n v="0"/>
    <n v="0"/>
    <n v="0"/>
    <n v="0"/>
    <n v="0"/>
    <n v="0"/>
    <n v="9.14"/>
    <n v="0"/>
    <n v="7"/>
    <n v="63.53"/>
    <n v="3.02"/>
    <n v="60.51"/>
    <n v="1"/>
  </r>
  <r>
    <s v="2021-06-07"/>
    <s v="Vancouver"/>
    <s v="加拿大二店"/>
    <x v="6"/>
    <x v="13"/>
    <x v="39"/>
    <x v="40"/>
    <x v="41"/>
    <s v="整份"/>
    <n v="8.95"/>
    <s v="份"/>
    <n v="9"/>
    <n v="80.55"/>
    <n v="0"/>
    <n v="0"/>
    <n v="0"/>
    <n v="0"/>
    <n v="1"/>
    <n v="8.95"/>
    <n v="0"/>
    <n v="0"/>
    <n v="3.82"/>
    <n v="0"/>
    <n v="8"/>
    <n v="71.16"/>
    <n v="3.38"/>
    <n v="67.78"/>
    <n v="1"/>
  </r>
  <r>
    <s v="2021-06-07"/>
    <s v="Vancouver"/>
    <s v="加拿大二店"/>
    <x v="5"/>
    <x v="12"/>
    <x v="40"/>
    <x v="41"/>
    <x v="42"/>
    <s v="整份"/>
    <n v="9.95"/>
    <s v="份"/>
    <n v="9"/>
    <n v="89.55"/>
    <n v="0"/>
    <n v="0"/>
    <n v="0"/>
    <n v="0"/>
    <n v="0"/>
    <n v="0"/>
    <n v="0"/>
    <n v="0"/>
    <n v="9.64"/>
    <n v="0"/>
    <n v="9"/>
    <n v="83.9"/>
    <n v="3.99"/>
    <n v="79.91"/>
    <n v="1"/>
  </r>
  <r>
    <s v="2021-06-07"/>
    <s v="Vancouver"/>
    <s v="加拿大二店"/>
    <x v="5"/>
    <x v="12"/>
    <x v="41"/>
    <x v="42"/>
    <x v="43"/>
    <s v="整份"/>
    <n v="7.95"/>
    <s v="份"/>
    <n v="8"/>
    <n v="63.6"/>
    <n v="0"/>
    <n v="0"/>
    <n v="0"/>
    <n v="0"/>
    <n v="0"/>
    <n v="0"/>
    <n v="0"/>
    <n v="-0.01"/>
    <n v="4.13"/>
    <n v="0"/>
    <n v="8"/>
    <n v="62.45"/>
    <n v="2.97"/>
    <n v="59.48"/>
    <n v="1"/>
  </r>
  <r>
    <s v="2021-06-07"/>
    <s v="Vancouver"/>
    <s v="加拿大二店"/>
    <x v="3"/>
    <x v="5"/>
    <x v="43"/>
    <x v="44"/>
    <x v="45"/>
    <s v="整份"/>
    <n v="3.95"/>
    <s v="份"/>
    <n v="2"/>
    <n v="7.9"/>
    <n v="0"/>
    <n v="0"/>
    <n v="0"/>
    <n v="0"/>
    <n v="0"/>
    <n v="0"/>
    <n v="0"/>
    <n v="0"/>
    <n v="1.18"/>
    <n v="0"/>
    <n v="2"/>
    <n v="7.05"/>
    <n v="0.33"/>
    <n v="6.72"/>
    <n v="1"/>
  </r>
  <r>
    <s v="2021-06-07"/>
    <s v="Vancouver"/>
    <s v="加拿大二店"/>
    <x v="7"/>
    <x v="14"/>
    <x v="44"/>
    <x v="45"/>
    <x v="46"/>
    <s v="整份"/>
    <n v="0"/>
    <s v="份"/>
    <n v="3"/>
    <n v="0"/>
    <n v="0"/>
    <n v="0"/>
    <n v="0"/>
    <n v="0"/>
    <n v="0"/>
    <n v="0"/>
    <n v="0"/>
    <n v="0"/>
    <n v="0"/>
    <n v="0"/>
    <n v="3"/>
    <n v="0"/>
    <n v="0"/>
    <n v="0"/>
    <n v="1"/>
  </r>
  <r>
    <s v="2021-06-07"/>
    <s v="Vancouver"/>
    <s v="加拿大二店"/>
    <x v="7"/>
    <x v="14"/>
    <x v="45"/>
    <x v="46"/>
    <x v="47"/>
    <s v="整份"/>
    <n v="4.99"/>
    <s v="份"/>
    <n v="1"/>
    <n v="4.99"/>
    <n v="0"/>
    <n v="0"/>
    <n v="0"/>
    <n v="0"/>
    <n v="0"/>
    <n v="0"/>
    <n v="0"/>
    <n v="0"/>
    <n v="0"/>
    <n v="0"/>
    <n v="1"/>
    <n v="5.23"/>
    <n v="0.24"/>
    <n v="4.99"/>
    <n v="1"/>
  </r>
  <r>
    <s v="2021-06-07"/>
    <s v="Vancouver"/>
    <s v="加拿大二店"/>
    <x v="7"/>
    <x v="14"/>
    <x v="45"/>
    <x v="46"/>
    <x v="47"/>
    <s v="整份"/>
    <n v="9.99"/>
    <s v="份"/>
    <n v="1"/>
    <n v="9.99"/>
    <n v="0"/>
    <n v="0"/>
    <n v="0"/>
    <n v="0"/>
    <n v="0"/>
    <n v="0"/>
    <n v="0"/>
    <n v="-0.01"/>
    <n v="0"/>
    <n v="0"/>
    <n v="1"/>
    <n v="10.5"/>
    <n v="0.5"/>
    <n v="10"/>
    <n v="1"/>
  </r>
  <r>
    <s v="2021-06-07"/>
    <s v="Vancouver"/>
    <s v="加拿大二店"/>
    <x v="7"/>
    <x v="14"/>
    <x v="45"/>
    <x v="46"/>
    <x v="47"/>
    <s v="整份"/>
    <n v="12.99"/>
    <s v="份"/>
    <n v="1"/>
    <n v="12.99"/>
    <n v="0"/>
    <n v="0"/>
    <n v="0"/>
    <n v="0"/>
    <n v="0"/>
    <n v="0"/>
    <n v="0"/>
    <n v="-0.01"/>
    <n v="0"/>
    <n v="0"/>
    <n v="1"/>
    <n v="13.65"/>
    <n v="0.65"/>
    <n v="13"/>
    <n v="1"/>
  </r>
  <r>
    <s v="2021-06-07"/>
    <s v="Vancouver"/>
    <s v="加拿大二店"/>
    <x v="7"/>
    <x v="14"/>
    <x v="45"/>
    <x v="46"/>
    <x v="47"/>
    <s v="整份"/>
    <n v="23.8"/>
    <s v="份"/>
    <n v="1"/>
    <n v="23.8"/>
    <n v="0"/>
    <n v="0"/>
    <n v="0"/>
    <n v="0"/>
    <n v="0"/>
    <n v="0"/>
    <n v="0"/>
    <n v="0"/>
    <n v="0"/>
    <n v="0"/>
    <n v="1"/>
    <n v="24.99"/>
    <n v="1.19"/>
    <n v="23.8"/>
    <n v="1"/>
  </r>
  <r>
    <s v="2021-06-07"/>
    <s v="Vancouver"/>
    <s v="加拿大二店"/>
    <x v="7"/>
    <x v="14"/>
    <x v="45"/>
    <x v="46"/>
    <x v="47"/>
    <s v="整份"/>
    <n v="23.82"/>
    <s v="份"/>
    <n v="1"/>
    <n v="23.82"/>
    <n v="0"/>
    <n v="0"/>
    <n v="0"/>
    <n v="0"/>
    <n v="0"/>
    <n v="0"/>
    <n v="0"/>
    <n v="0.02"/>
    <n v="0"/>
    <n v="0"/>
    <n v="1"/>
    <n v="24.99"/>
    <n v="1.19"/>
    <n v="23.8"/>
    <n v="1"/>
  </r>
  <r>
    <s v="2021-06-07"/>
    <s v="Vancouver"/>
    <s v="加拿大二店"/>
    <x v="7"/>
    <x v="14"/>
    <x v="45"/>
    <x v="46"/>
    <x v="47"/>
    <s v="整份"/>
    <n v="25"/>
    <s v="份"/>
    <n v="1"/>
    <n v="25"/>
    <n v="1"/>
    <n v="25"/>
    <n v="0"/>
    <n v="0"/>
    <n v="0"/>
    <n v="0"/>
    <n v="0"/>
    <n v="0"/>
    <n v="0"/>
    <n v="0"/>
    <n v="0"/>
    <n v="0"/>
    <n v="0"/>
    <n v="0"/>
    <n v="1"/>
  </r>
  <r>
    <s v="2021-06-07"/>
    <s v="Vancouver"/>
    <s v="加拿大二店"/>
    <x v="7"/>
    <x v="14"/>
    <x v="45"/>
    <x v="46"/>
    <x v="47"/>
    <s v="整份"/>
    <n v="25.95"/>
    <s v="份"/>
    <n v="1"/>
    <n v="25.95"/>
    <n v="0"/>
    <n v="0"/>
    <n v="0"/>
    <n v="0"/>
    <n v="0"/>
    <n v="0"/>
    <n v="0"/>
    <n v="-0.01"/>
    <n v="0"/>
    <n v="0"/>
    <n v="1"/>
    <n v="27.25"/>
    <n v="1.29"/>
    <n v="25.96"/>
    <n v="1"/>
  </r>
  <r>
    <s v="2021-06-07"/>
    <s v="Vancouver"/>
    <s v="加拿大二店"/>
    <x v="7"/>
    <x v="14"/>
    <x v="45"/>
    <x v="46"/>
    <x v="47"/>
    <s v="整份"/>
    <n v="27.94"/>
    <s v="份"/>
    <n v="1"/>
    <n v="27.94"/>
    <n v="0"/>
    <n v="0"/>
    <n v="0"/>
    <n v="0"/>
    <n v="0"/>
    <n v="0"/>
    <n v="0"/>
    <n v="0"/>
    <n v="0"/>
    <n v="0"/>
    <n v="1"/>
    <n v="29.33"/>
    <n v="1.39"/>
    <n v="27.94"/>
    <n v="1"/>
  </r>
  <r>
    <s v="2021-06-07"/>
    <s v="Vancouver"/>
    <s v="加拿大二店"/>
    <x v="7"/>
    <x v="14"/>
    <x v="45"/>
    <x v="46"/>
    <x v="47"/>
    <s v="整份"/>
    <n v="28.8"/>
    <s v="份"/>
    <n v="1"/>
    <n v="28.8"/>
    <n v="0"/>
    <n v="0"/>
    <n v="0"/>
    <n v="0"/>
    <n v="0"/>
    <n v="0"/>
    <n v="0"/>
    <n v="0.01"/>
    <n v="0"/>
    <n v="0"/>
    <n v="1"/>
    <n v="30.22"/>
    <n v="1.43"/>
    <n v="28.79"/>
    <n v="1"/>
  </r>
  <r>
    <s v="2021-06-07"/>
    <s v="Vancouver"/>
    <s v="加拿大二店"/>
    <x v="7"/>
    <x v="14"/>
    <x v="45"/>
    <x v="46"/>
    <x v="47"/>
    <s v="整份"/>
    <n v="28.95"/>
    <s v="份"/>
    <n v="2"/>
    <n v="57.9"/>
    <n v="0"/>
    <n v="0"/>
    <n v="0"/>
    <n v="0"/>
    <n v="0"/>
    <n v="0"/>
    <n v="0"/>
    <n v="0"/>
    <n v="0"/>
    <n v="0"/>
    <n v="2"/>
    <n v="60.79"/>
    <n v="2.89"/>
    <n v="57.9"/>
    <n v="1"/>
  </r>
  <r>
    <s v="2021-06-07"/>
    <s v="Vancouver"/>
    <s v="加拿大二店"/>
    <x v="7"/>
    <x v="14"/>
    <x v="45"/>
    <x v="46"/>
    <x v="47"/>
    <s v="整份"/>
    <n v="34.1"/>
    <s v="份"/>
    <n v="1"/>
    <n v="34.1"/>
    <n v="0"/>
    <n v="0"/>
    <n v="0"/>
    <n v="0"/>
    <n v="0"/>
    <n v="0"/>
    <n v="0"/>
    <n v="0.02"/>
    <n v="0"/>
    <n v="0"/>
    <n v="1"/>
    <n v="35.78"/>
    <n v="1.7"/>
    <n v="34.08"/>
    <n v="1"/>
  </r>
  <r>
    <s v="2021-06-07"/>
    <s v="Vancouver"/>
    <s v="加拿大二店"/>
    <x v="7"/>
    <x v="14"/>
    <x v="45"/>
    <x v="46"/>
    <x v="47"/>
    <s v="整份"/>
    <n v="34.69"/>
    <s v="份"/>
    <n v="1"/>
    <n v="34.69"/>
    <n v="0"/>
    <n v="0"/>
    <n v="0"/>
    <n v="0"/>
    <n v="0"/>
    <n v="0"/>
    <n v="0"/>
    <n v="-0.01"/>
    <n v="7"/>
    <n v="0"/>
    <n v="1"/>
    <n v="29.08"/>
    <n v="1.38"/>
    <n v="27.7"/>
    <n v="1"/>
  </r>
  <r>
    <s v="2021-06-07"/>
    <s v="Vancouver"/>
    <s v="加拿大二店"/>
    <x v="7"/>
    <x v="14"/>
    <x v="45"/>
    <x v="46"/>
    <x v="47"/>
    <s v="整份"/>
    <n v="37.51"/>
    <s v="份"/>
    <n v="1"/>
    <n v="37.51"/>
    <n v="0"/>
    <n v="0"/>
    <n v="0"/>
    <n v="0"/>
    <n v="0"/>
    <n v="0"/>
    <n v="0"/>
    <n v="0.01"/>
    <n v="0"/>
    <n v="0"/>
    <n v="1"/>
    <n v="39.37"/>
    <n v="1.87"/>
    <n v="37.5"/>
    <n v="1"/>
  </r>
  <r>
    <s v="2021-06-07"/>
    <s v="Vancouver"/>
    <s v="加拿大二店"/>
    <x v="7"/>
    <x v="14"/>
    <x v="45"/>
    <x v="46"/>
    <x v="47"/>
    <s v="整份"/>
    <n v="39.95"/>
    <s v="份"/>
    <n v="1"/>
    <n v="39.95"/>
    <n v="0"/>
    <n v="0"/>
    <n v="0"/>
    <n v="0"/>
    <n v="0"/>
    <n v="0"/>
    <n v="0"/>
    <n v="0.02"/>
    <n v="0"/>
    <n v="0"/>
    <n v="1"/>
    <n v="41.92"/>
    <n v="1.99"/>
    <n v="39.93"/>
    <n v="1"/>
  </r>
  <r>
    <s v="2021-06-07"/>
    <s v="Vancouver"/>
    <s v="加拿大二店"/>
    <x v="7"/>
    <x v="14"/>
    <x v="45"/>
    <x v="46"/>
    <x v="47"/>
    <s v="整份"/>
    <n v="40.59"/>
    <s v="份"/>
    <n v="1"/>
    <n v="40.59"/>
    <n v="0"/>
    <n v="0"/>
    <n v="0"/>
    <n v="0"/>
    <n v="0"/>
    <n v="0"/>
    <n v="0"/>
    <n v="-0.01"/>
    <n v="0"/>
    <n v="0"/>
    <n v="1"/>
    <n v="42.63"/>
    <n v="2.03"/>
    <n v="40.6"/>
    <n v="1"/>
  </r>
  <r>
    <s v="2021-06-07"/>
    <s v="Vancouver"/>
    <s v="加拿大二店"/>
    <x v="7"/>
    <x v="14"/>
    <x v="45"/>
    <x v="46"/>
    <x v="47"/>
    <s v="整份"/>
    <n v="42.73"/>
    <s v="份"/>
    <n v="1"/>
    <n v="42.73"/>
    <n v="0"/>
    <n v="0"/>
    <n v="0"/>
    <n v="0"/>
    <n v="0"/>
    <n v="0"/>
    <n v="0"/>
    <n v="-0.01"/>
    <n v="0"/>
    <n v="0"/>
    <n v="1"/>
    <n v="44.87"/>
    <n v="2.13"/>
    <n v="42.74"/>
    <n v="1"/>
  </r>
  <r>
    <s v="2021-06-07"/>
    <s v="Vancouver"/>
    <s v="加拿大二店"/>
    <x v="7"/>
    <x v="14"/>
    <x v="45"/>
    <x v="46"/>
    <x v="47"/>
    <s v="整份"/>
    <n v="45.53"/>
    <s v="份"/>
    <n v="1"/>
    <n v="45.53"/>
    <n v="0"/>
    <n v="0"/>
    <n v="0"/>
    <n v="0"/>
    <n v="0"/>
    <n v="0"/>
    <n v="0"/>
    <n v="-0.02"/>
    <n v="7"/>
    <n v="0"/>
    <n v="1"/>
    <n v="40.47"/>
    <n v="1.92"/>
    <n v="38.55"/>
    <n v="1"/>
  </r>
  <r>
    <s v="2021-06-07"/>
    <s v="Vancouver"/>
    <s v="加拿大二店"/>
    <x v="7"/>
    <x v="14"/>
    <x v="45"/>
    <x v="46"/>
    <x v="47"/>
    <s v="整份"/>
    <n v="45.99"/>
    <s v="份"/>
    <n v="1"/>
    <n v="45.99"/>
    <n v="0"/>
    <n v="0"/>
    <n v="0"/>
    <n v="0"/>
    <n v="0"/>
    <n v="0"/>
    <n v="0"/>
    <n v="0.02"/>
    <n v="0"/>
    <n v="0"/>
    <n v="1"/>
    <n v="48.26"/>
    <n v="2.29"/>
    <n v="45.97"/>
    <n v="1"/>
  </r>
  <r>
    <s v="2021-06-07"/>
    <s v="Vancouver"/>
    <s v="加拿大二店"/>
    <x v="7"/>
    <x v="14"/>
    <x v="45"/>
    <x v="46"/>
    <x v="47"/>
    <s v="整份"/>
    <n v="46"/>
    <s v="份"/>
    <n v="1"/>
    <n v="46"/>
    <n v="0"/>
    <n v="0"/>
    <n v="0"/>
    <n v="0"/>
    <n v="0"/>
    <n v="0"/>
    <n v="0"/>
    <n v="-0.02"/>
    <n v="0"/>
    <n v="0"/>
    <n v="1"/>
    <n v="48.32"/>
    <n v="2.3"/>
    <n v="46.02"/>
    <n v="1"/>
  </r>
  <r>
    <s v="2021-06-07"/>
    <s v="Vancouver"/>
    <s v="加拿大二店"/>
    <x v="7"/>
    <x v="14"/>
    <x v="45"/>
    <x v="46"/>
    <x v="47"/>
    <s v="整份"/>
    <n v="49.94"/>
    <s v="份"/>
    <n v="1"/>
    <n v="49.94"/>
    <n v="0"/>
    <n v="0"/>
    <n v="0"/>
    <n v="0"/>
    <n v="0"/>
    <n v="0"/>
    <n v="0"/>
    <n v="0.01"/>
    <n v="0"/>
    <n v="0"/>
    <n v="1"/>
    <n v="52.42"/>
    <n v="2.49"/>
    <n v="49.93"/>
    <n v="1"/>
  </r>
  <r>
    <s v="2021-06-07"/>
    <s v="Vancouver"/>
    <s v="加拿大二店"/>
    <x v="7"/>
    <x v="14"/>
    <x v="45"/>
    <x v="46"/>
    <x v="47"/>
    <s v="整份"/>
    <n v="55.4"/>
    <s v="份"/>
    <n v="1"/>
    <n v="55.4"/>
    <n v="0"/>
    <n v="0"/>
    <n v="0"/>
    <n v="0"/>
    <n v="0"/>
    <n v="0"/>
    <n v="0"/>
    <n v="0"/>
    <n v="7"/>
    <n v="0"/>
    <n v="1"/>
    <n v="50.82"/>
    <n v="2.42"/>
    <n v="48.4"/>
    <n v="1"/>
  </r>
  <r>
    <s v="2021-06-07"/>
    <s v="Vancouver"/>
    <s v="加拿大二店"/>
    <x v="7"/>
    <x v="14"/>
    <x v="45"/>
    <x v="46"/>
    <x v="47"/>
    <s v="整份"/>
    <n v="59.95"/>
    <s v="份"/>
    <n v="1"/>
    <n v="59.95"/>
    <n v="0"/>
    <n v="0"/>
    <n v="0"/>
    <n v="0"/>
    <n v="1"/>
    <n v="59.95"/>
    <n v="0"/>
    <n v="0"/>
    <n v="0"/>
    <n v="0"/>
    <n v="0"/>
    <n v="0"/>
    <n v="0"/>
    <n v="0"/>
    <n v="1"/>
  </r>
  <r>
    <s v="2021-06-07"/>
    <s v="Vancouver"/>
    <s v="加拿大二店"/>
    <x v="7"/>
    <x v="14"/>
    <x v="45"/>
    <x v="46"/>
    <x v="47"/>
    <s v="整份"/>
    <n v="63.3"/>
    <s v="份"/>
    <n v="1"/>
    <n v="63.3"/>
    <n v="0"/>
    <n v="0"/>
    <n v="0"/>
    <n v="0"/>
    <n v="0"/>
    <n v="0"/>
    <n v="0"/>
    <n v="0"/>
    <n v="0"/>
    <n v="0"/>
    <n v="1"/>
    <n v="66.46"/>
    <n v="3.16"/>
    <n v="63.3"/>
    <n v="1"/>
  </r>
  <r>
    <s v="2021-06-07"/>
    <s v="Vancouver"/>
    <s v="加拿大二店"/>
    <x v="7"/>
    <x v="14"/>
    <x v="45"/>
    <x v="46"/>
    <x v="47"/>
    <s v="整份"/>
    <n v="65.8"/>
    <s v="份"/>
    <n v="1"/>
    <n v="65.8"/>
    <n v="0"/>
    <n v="0"/>
    <n v="0"/>
    <n v="0"/>
    <n v="0"/>
    <n v="0"/>
    <n v="0"/>
    <n v="-0.02"/>
    <n v="0"/>
    <n v="0"/>
    <n v="1"/>
    <n v="69.11"/>
    <n v="3.29"/>
    <n v="65.82"/>
    <n v="1"/>
  </r>
  <r>
    <s v="2021-06-07"/>
    <s v="Vancouver"/>
    <s v="加拿大二店"/>
    <x v="2"/>
    <x v="4"/>
    <x v="46"/>
    <x v="47"/>
    <x v="48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07"/>
    <s v="Vancouver"/>
    <s v="加拿大二店"/>
    <x v="2"/>
    <x v="4"/>
    <x v="47"/>
    <x v="48"/>
    <x v="49"/>
    <s v="冰镇"/>
    <n v="2.95"/>
    <s v="听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07"/>
    <s v="Vancouver"/>
    <s v="加拿大二店"/>
    <x v="6"/>
    <x v="13"/>
    <x v="48"/>
    <x v="49"/>
    <x v="50"/>
    <s v="整份"/>
    <n v="4.95"/>
    <s v="份"/>
    <n v="4"/>
    <n v="19.8"/>
    <n v="0"/>
    <n v="0"/>
    <n v="0"/>
    <n v="0"/>
    <n v="0"/>
    <n v="0"/>
    <n v="0"/>
    <n v="0"/>
    <n v="1.98"/>
    <n v="0"/>
    <n v="4"/>
    <n v="18.71"/>
    <n v="0.89"/>
    <n v="17.82"/>
    <n v="1"/>
  </r>
  <r>
    <s v="2021-06-07"/>
    <s v="Vancouver"/>
    <s v="加拿大二店"/>
    <x v="3"/>
    <x v="7"/>
    <x v="49"/>
    <x v="50"/>
    <x v="51"/>
    <s v="整份"/>
    <n v="4.95"/>
    <s v="份"/>
    <n v="3"/>
    <n v="14.85"/>
    <n v="0"/>
    <n v="0"/>
    <n v="0"/>
    <n v="0"/>
    <n v="0"/>
    <n v="0"/>
    <n v="0"/>
    <n v="0"/>
    <n v="2.47"/>
    <n v="0"/>
    <n v="3"/>
    <n v="12.99"/>
    <n v="0.61"/>
    <n v="12.38"/>
    <n v="1"/>
  </r>
  <r>
    <s v="2021-06-07"/>
    <s v="Vancouver"/>
    <s v="加拿大二店"/>
    <x v="6"/>
    <x v="15"/>
    <x v="50"/>
    <x v="51"/>
    <x v="52"/>
    <s v="份"/>
    <n v="8.95"/>
    <s v="份"/>
    <n v="2"/>
    <n v="17.9"/>
    <n v="0"/>
    <n v="0"/>
    <n v="0"/>
    <n v="0"/>
    <n v="0"/>
    <n v="0"/>
    <n v="0"/>
    <n v="0"/>
    <n v="0"/>
    <n v="0"/>
    <n v="2"/>
    <n v="18.79"/>
    <n v="0.89"/>
    <n v="17.9"/>
    <n v="1"/>
  </r>
  <r>
    <s v="2021-06-07"/>
    <s v="Vancouver"/>
    <s v="加拿大二店"/>
    <x v="3"/>
    <x v="5"/>
    <x v="51"/>
    <x v="52"/>
    <x v="53"/>
    <s v="整份"/>
    <n v="3.95"/>
    <s v="份"/>
    <n v="2"/>
    <n v="7.9"/>
    <n v="0"/>
    <n v="0"/>
    <n v="0"/>
    <n v="0"/>
    <n v="0"/>
    <n v="0"/>
    <n v="0"/>
    <n v="0"/>
    <n v="0.79"/>
    <n v="0"/>
    <n v="2"/>
    <n v="7.46"/>
    <n v="0.35"/>
    <n v="7.11"/>
    <n v="1"/>
  </r>
  <r>
    <s v="2021-06-07"/>
    <s v="Vancouver"/>
    <s v="加拿大二店"/>
    <x v="3"/>
    <x v="5"/>
    <x v="52"/>
    <x v="53"/>
    <x v="54"/>
    <s v="整份"/>
    <n v="5.95"/>
    <s v="份"/>
    <n v="3"/>
    <n v="17.85"/>
    <n v="0"/>
    <n v="0"/>
    <n v="0"/>
    <n v="0"/>
    <n v="0"/>
    <n v="0"/>
    <n v="0"/>
    <n v="-0.04"/>
    <n v="0"/>
    <n v="0"/>
    <n v="3"/>
    <n v="18.78"/>
    <n v="0.89"/>
    <n v="17.89"/>
    <n v="1"/>
  </r>
  <r>
    <s v="2021-06-07"/>
    <s v="Vancouver"/>
    <s v="加拿大二店"/>
    <x v="4"/>
    <x v="9"/>
    <x v="53"/>
    <x v="0"/>
    <x v="55"/>
    <s v="拼锅"/>
    <n v="0"/>
    <s v="锅"/>
    <n v="8"/>
    <n v="0"/>
    <n v="0"/>
    <n v="0"/>
    <n v="0"/>
    <n v="0"/>
    <n v="0"/>
    <n v="0"/>
    <n v="0"/>
    <n v="-0.03"/>
    <n v="0"/>
    <n v="0"/>
    <n v="8"/>
    <n v="0.03"/>
    <n v="0"/>
    <n v="0.03"/>
    <n v="2"/>
  </r>
  <r>
    <s v="2021-06-07"/>
    <s v="Vancouver"/>
    <s v="加拿大二店"/>
    <x v="4"/>
    <x v="10"/>
    <x v="53"/>
    <x v="0"/>
    <x v="55"/>
    <s v="四宫格"/>
    <n v="0"/>
    <s v="锅"/>
    <n v="10"/>
    <n v="0"/>
    <n v="0"/>
    <n v="0"/>
    <n v="0"/>
    <n v="0"/>
    <n v="2"/>
    <n v="0"/>
    <n v="0"/>
    <n v="-0.01"/>
    <n v="0"/>
    <n v="0"/>
    <n v="8"/>
    <n v="0.01"/>
    <n v="0"/>
    <n v="0.01"/>
    <n v="1"/>
  </r>
  <r>
    <s v="2021-06-07"/>
    <s v="Vancouver"/>
    <s v="加拿大二店"/>
    <x v="6"/>
    <x v="13"/>
    <x v="54"/>
    <x v="54"/>
    <x v="56"/>
    <s v="个"/>
    <n v="1.95"/>
    <s v="个"/>
    <n v="4"/>
    <n v="7.8"/>
    <n v="0"/>
    <n v="0"/>
    <n v="0"/>
    <n v="0"/>
    <n v="0"/>
    <n v="0"/>
    <n v="0"/>
    <n v="0"/>
    <n v="0.82"/>
    <n v="0"/>
    <n v="4"/>
    <n v="7.32"/>
    <n v="0.34"/>
    <n v="6.98"/>
    <n v="1"/>
  </r>
  <r>
    <s v="2021-06-07"/>
    <s v="Vancouver"/>
    <s v="加拿大二店"/>
    <x v="6"/>
    <x v="13"/>
    <x v="114"/>
    <x v="108"/>
    <x v="118"/>
    <s v="整份"/>
    <n v="7.95"/>
    <s v="份"/>
    <n v="1"/>
    <n v="7.95"/>
    <n v="0"/>
    <n v="0"/>
    <n v="0"/>
    <n v="0"/>
    <n v="0"/>
    <n v="0"/>
    <n v="0"/>
    <n v="0.02"/>
    <n v="0"/>
    <n v="0"/>
    <n v="1"/>
    <n v="8.32"/>
    <n v="0.39"/>
    <n v="7.93"/>
    <n v="1"/>
  </r>
  <r>
    <s v="2021-06-07"/>
    <s v="Vancouver"/>
    <s v="加拿大二店"/>
    <x v="1"/>
    <x v="8"/>
    <x v="55"/>
    <x v="55"/>
    <x v="57"/>
    <s v="整份"/>
    <n v="9.95"/>
    <s v="份"/>
    <n v="2"/>
    <n v="19.9"/>
    <n v="0"/>
    <n v="0"/>
    <n v="0"/>
    <n v="0"/>
    <n v="0"/>
    <n v="0"/>
    <n v="0"/>
    <n v="0"/>
    <n v="2.68"/>
    <n v="0"/>
    <n v="2"/>
    <n v="18.08"/>
    <n v="0.86"/>
    <n v="17.22"/>
    <n v="1"/>
  </r>
  <r>
    <s v="2021-06-07"/>
    <s v="Vancouver"/>
    <s v="加拿大二店"/>
    <x v="1"/>
    <x v="1"/>
    <x v="56"/>
    <x v="56"/>
    <x v="58"/>
    <s v="整份"/>
    <n v="12.95"/>
    <s v="份"/>
    <n v="9"/>
    <n v="116.55"/>
    <n v="0"/>
    <n v="0"/>
    <n v="0"/>
    <n v="0"/>
    <n v="0"/>
    <n v="0"/>
    <n v="0"/>
    <n v="0"/>
    <n v="14.49"/>
    <n v="0"/>
    <n v="9"/>
    <n v="107.16"/>
    <n v="5.1"/>
    <n v="102.06"/>
    <n v="1"/>
  </r>
  <r>
    <s v="2021-06-07"/>
    <s v="Vancouver"/>
    <s v="加拿大二店"/>
    <x v="1"/>
    <x v="1"/>
    <x v="57"/>
    <x v="57"/>
    <x v="59"/>
    <s v="整份"/>
    <n v="11.95"/>
    <s v="份"/>
    <n v="24"/>
    <n v="286.8"/>
    <n v="0"/>
    <n v="0"/>
    <n v="0"/>
    <n v="0"/>
    <n v="0"/>
    <n v="0"/>
    <n v="0"/>
    <n v="0"/>
    <n v="18.48"/>
    <n v="0"/>
    <n v="24"/>
    <n v="281.73"/>
    <n v="13.41"/>
    <n v="268.32"/>
    <n v="1"/>
  </r>
  <r>
    <s v="2021-06-07"/>
    <s v="Vancouver"/>
    <s v="加拿大二店"/>
    <x v="4"/>
    <x v="16"/>
    <x v="58"/>
    <x v="0"/>
    <x v="60"/>
    <s v="单锅"/>
    <n v="16.95"/>
    <s v="锅"/>
    <n v="2"/>
    <n v="33.9"/>
    <n v="0"/>
    <n v="0"/>
    <n v="0"/>
    <n v="0"/>
    <n v="0"/>
    <n v="0"/>
    <n v="0"/>
    <n v="0.02"/>
    <n v="0"/>
    <n v="0"/>
    <n v="2"/>
    <n v="35.57"/>
    <n v="1.69"/>
    <n v="33.88"/>
    <n v="4"/>
  </r>
  <r>
    <s v="2021-06-07"/>
    <s v="Vancouver"/>
    <s v="加拿大二店"/>
    <x v="4"/>
    <x v="9"/>
    <x v="58"/>
    <x v="0"/>
    <x v="60"/>
    <s v="拼锅"/>
    <n v="8.95"/>
    <s v="锅"/>
    <n v="12"/>
    <n v="107.4"/>
    <n v="1"/>
    <n v="8.95"/>
    <n v="0"/>
    <n v="0"/>
    <n v="0"/>
    <n v="0"/>
    <n v="0"/>
    <n v="-0.01"/>
    <n v="0"/>
    <n v="0"/>
    <n v="11"/>
    <n v="103.38"/>
    <n v="4.92"/>
    <n v="98.46"/>
    <n v="2"/>
  </r>
  <r>
    <s v="2021-06-07"/>
    <s v="Vancouver"/>
    <s v="加拿大二店"/>
    <x v="4"/>
    <x v="10"/>
    <x v="58"/>
    <x v="0"/>
    <x v="60"/>
    <s v="四宫格"/>
    <n v="4.95"/>
    <s v="锅"/>
    <n v="6"/>
    <n v="29.7"/>
    <n v="0"/>
    <n v="0"/>
    <n v="0"/>
    <n v="0"/>
    <n v="1"/>
    <n v="4.95"/>
    <n v="0"/>
    <n v="0"/>
    <n v="1.98"/>
    <n v="0"/>
    <n v="5"/>
    <n v="23.9"/>
    <n v="1.13"/>
    <n v="22.77"/>
    <n v="1"/>
  </r>
  <r>
    <s v="2021-06-07"/>
    <s v="Vancouver"/>
    <s v="加拿大二店"/>
    <x v="3"/>
    <x v="5"/>
    <x v="59"/>
    <x v="58"/>
    <x v="61"/>
    <s v="整份"/>
    <n v="4.95"/>
    <s v="份"/>
    <n v="1"/>
    <n v="4.95"/>
    <n v="0"/>
    <n v="0"/>
    <n v="0"/>
    <n v="0"/>
    <n v="0"/>
    <n v="0"/>
    <n v="0"/>
    <n v="0"/>
    <n v="0.59"/>
    <n v="0"/>
    <n v="1"/>
    <n v="4.57"/>
    <n v="0.21"/>
    <n v="4.36"/>
    <n v="1"/>
  </r>
  <r>
    <s v="2021-06-07"/>
    <s v="Vancouver"/>
    <s v="加拿大二店"/>
    <x v="6"/>
    <x v="13"/>
    <x v="61"/>
    <x v="60"/>
    <x v="63"/>
    <s v="整份"/>
    <n v="3.95"/>
    <s v="包"/>
    <n v="5"/>
    <n v="19.75"/>
    <n v="0"/>
    <n v="0"/>
    <n v="0"/>
    <n v="0"/>
    <n v="1"/>
    <n v="3.95"/>
    <n v="0"/>
    <n v="0"/>
    <n v="0"/>
    <n v="0"/>
    <n v="4"/>
    <n v="16.59"/>
    <n v="0.79"/>
    <n v="15.8"/>
    <n v="1"/>
  </r>
  <r>
    <s v="2021-06-07"/>
    <s v="Vancouver"/>
    <s v="加拿大二店"/>
    <x v="1"/>
    <x v="8"/>
    <x v="116"/>
    <x v="110"/>
    <x v="120"/>
    <s v="个"/>
    <n v="0.95"/>
    <s v="个"/>
    <n v="1"/>
    <n v="0.95"/>
    <n v="0"/>
    <n v="0"/>
    <n v="0"/>
    <n v="0"/>
    <n v="0"/>
    <n v="0"/>
    <n v="0"/>
    <n v="0"/>
    <n v="0"/>
    <n v="0"/>
    <n v="1"/>
    <n v="0.99"/>
    <n v="0.04"/>
    <n v="0.95"/>
    <n v="1"/>
  </r>
  <r>
    <s v="2021-06-07"/>
    <s v="Vancouver"/>
    <s v="加拿大二店"/>
    <x v="4"/>
    <x v="9"/>
    <x v="62"/>
    <x v="0"/>
    <x v="64"/>
    <s v="拼锅"/>
    <n v="8.95"/>
    <s v="锅"/>
    <n v="19"/>
    <n v="170.05"/>
    <n v="1"/>
    <n v="8.95"/>
    <n v="0"/>
    <n v="0"/>
    <n v="0"/>
    <n v="0"/>
    <n v="0"/>
    <n v="-0.01"/>
    <n v="5.37"/>
    <n v="0"/>
    <n v="18"/>
    <n v="163.52"/>
    <n v="7.78"/>
    <n v="155.74"/>
    <n v="2"/>
  </r>
  <r>
    <s v="2021-06-07"/>
    <s v="Vancouver"/>
    <s v="加拿大二店"/>
    <x v="4"/>
    <x v="10"/>
    <x v="62"/>
    <x v="0"/>
    <x v="64"/>
    <s v="四宫格"/>
    <n v="4.95"/>
    <s v="锅"/>
    <n v="10"/>
    <n v="49.5"/>
    <n v="0"/>
    <n v="0"/>
    <n v="0"/>
    <n v="0"/>
    <n v="1"/>
    <n v="4.95"/>
    <n v="0"/>
    <n v="0"/>
    <n v="1.98"/>
    <n v="0"/>
    <n v="9"/>
    <n v="44.69"/>
    <n v="2.12"/>
    <n v="42.57"/>
    <n v="1"/>
  </r>
  <r>
    <s v="2021-06-07"/>
    <s v="Vancouver"/>
    <s v="加拿大二店"/>
    <x v="6"/>
    <x v="13"/>
    <x v="63"/>
    <x v="61"/>
    <x v="65"/>
    <s v="整份"/>
    <n v="1.5"/>
    <s v="碗"/>
    <n v="8"/>
    <n v="12"/>
    <n v="0"/>
    <n v="0"/>
    <n v="0"/>
    <n v="0"/>
    <n v="0"/>
    <n v="0"/>
    <n v="0"/>
    <n v="0"/>
    <n v="0.3"/>
    <n v="0"/>
    <n v="8"/>
    <n v="12.28"/>
    <n v="0.58"/>
    <n v="11.7"/>
    <n v="1"/>
  </r>
  <r>
    <s v="2021-06-07"/>
    <s v="Vancouver"/>
    <s v="加拿大二店"/>
    <x v="3"/>
    <x v="5"/>
    <x v="64"/>
    <x v="62"/>
    <x v="66"/>
    <s v="整份"/>
    <n v="3.95"/>
    <s v="份"/>
    <n v="3"/>
    <n v="11.85"/>
    <n v="0"/>
    <n v="0"/>
    <n v="0"/>
    <n v="0"/>
    <n v="0"/>
    <n v="0"/>
    <n v="0"/>
    <n v="0"/>
    <n v="0.59"/>
    <n v="0"/>
    <n v="3"/>
    <n v="11.82"/>
    <n v="0.56"/>
    <n v="11.26"/>
    <n v="1"/>
  </r>
  <r>
    <s v="2021-06-07"/>
    <s v="Vancouver"/>
    <s v="加拿大二店"/>
    <x v="2"/>
    <x v="19"/>
    <x v="125"/>
    <x v="119"/>
    <x v="130"/>
    <s v="瓶"/>
    <n v="16.95"/>
    <s v="瓶"/>
    <n v="1"/>
    <n v="16.95"/>
    <n v="0"/>
    <n v="0"/>
    <n v="0"/>
    <n v="0"/>
    <n v="0"/>
    <n v="0"/>
    <n v="0"/>
    <n v="0"/>
    <n v="0"/>
    <n v="0"/>
    <n v="1"/>
    <n v="19.49"/>
    <n v="2.54"/>
    <n v="16.95"/>
    <n v="1"/>
  </r>
  <r>
    <s v="2021-06-07"/>
    <s v="Vancouver"/>
    <s v="加拿大二店"/>
    <x v="2"/>
    <x v="4"/>
    <x v="65"/>
    <x v="63"/>
    <x v="67"/>
    <s v="扎"/>
    <n v="8.95"/>
    <s v="扎"/>
    <n v="2"/>
    <n v="17.9"/>
    <n v="0"/>
    <n v="0"/>
    <n v="0"/>
    <n v="0"/>
    <n v="1"/>
    <n v="8.95"/>
    <n v="0"/>
    <n v="0"/>
    <n v="0"/>
    <n v="0"/>
    <n v="1"/>
    <n v="10.02"/>
    <n v="1.07"/>
    <n v="8.95"/>
    <n v="1"/>
  </r>
  <r>
    <s v="2021-06-07"/>
    <s v="Vancouver"/>
    <s v="加拿大二店"/>
    <x v="2"/>
    <x v="4"/>
    <x v="66"/>
    <x v="64"/>
    <x v="68"/>
    <s v="扎"/>
    <n v="11.95"/>
    <s v="扎"/>
    <n v="1"/>
    <n v="11.95"/>
    <n v="0"/>
    <n v="0"/>
    <n v="0"/>
    <n v="0"/>
    <n v="0"/>
    <n v="0"/>
    <n v="0"/>
    <n v="0.02"/>
    <n v="0"/>
    <n v="0"/>
    <n v="1"/>
    <n v="13.36"/>
    <n v="1.43"/>
    <n v="11.93"/>
    <n v="1"/>
  </r>
  <r>
    <s v="2021-06-07"/>
    <s v="Vancouver"/>
    <s v="加拿大二店"/>
    <x v="3"/>
    <x v="5"/>
    <x v="117"/>
    <x v="111"/>
    <x v="121"/>
    <s v="整份"/>
    <n v="4.95"/>
    <s v="份"/>
    <n v="1"/>
    <n v="4.95"/>
    <n v="0"/>
    <n v="0"/>
    <n v="0"/>
    <n v="0"/>
    <n v="0"/>
    <n v="0"/>
    <n v="0"/>
    <n v="0"/>
    <n v="0.59"/>
    <n v="0"/>
    <n v="1"/>
    <n v="4.57"/>
    <n v="0.21"/>
    <n v="4.36"/>
    <n v="1"/>
  </r>
  <r>
    <s v="2021-06-07"/>
    <s v="Vancouver"/>
    <s v="加拿大二店"/>
    <x v="3"/>
    <x v="7"/>
    <x v="67"/>
    <x v="65"/>
    <x v="69"/>
    <s v="整份"/>
    <n v="3.95"/>
    <s v="份"/>
    <n v="4"/>
    <n v="15.8"/>
    <n v="0"/>
    <n v="0"/>
    <n v="0"/>
    <n v="0"/>
    <n v="0"/>
    <n v="0"/>
    <n v="0"/>
    <n v="0"/>
    <n v="0.79"/>
    <n v="0"/>
    <n v="4"/>
    <n v="15.76"/>
    <n v="0.75"/>
    <n v="15.01"/>
    <n v="1"/>
  </r>
  <r>
    <s v="2021-06-07"/>
    <s v="Vancouver"/>
    <s v="加拿大二店"/>
    <x v="1"/>
    <x v="1"/>
    <x v="68"/>
    <x v="66"/>
    <x v="70"/>
    <s v="整份"/>
    <n v="8.95"/>
    <s v="份"/>
    <n v="36"/>
    <n v="322.2"/>
    <n v="0"/>
    <n v="0"/>
    <n v="0"/>
    <n v="0"/>
    <n v="0"/>
    <n v="0"/>
    <n v="0"/>
    <n v="0"/>
    <n v="13.65"/>
    <n v="0"/>
    <n v="36"/>
    <n v="323.97"/>
    <n v="15.42"/>
    <n v="308.55"/>
    <n v="1"/>
  </r>
  <r>
    <s v="2021-06-07"/>
    <s v="Vancouver"/>
    <s v="加拿大二店"/>
    <x v="1"/>
    <x v="1"/>
    <x v="69"/>
    <x v="67"/>
    <x v="71"/>
    <s v="整份"/>
    <n v="8.95"/>
    <s v="份"/>
    <n v="5"/>
    <n v="44.75"/>
    <n v="0"/>
    <n v="0"/>
    <n v="0"/>
    <n v="0"/>
    <n v="1"/>
    <n v="8.95"/>
    <n v="0"/>
    <n v="0"/>
    <n v="1.07"/>
    <n v="0"/>
    <n v="4"/>
    <n v="36.46"/>
    <n v="1.73"/>
    <n v="34.73"/>
    <n v="1"/>
  </r>
  <r>
    <s v="2021-06-07"/>
    <s v="Vancouver"/>
    <s v="加拿大二店"/>
    <x v="6"/>
    <x v="15"/>
    <x v="70"/>
    <x v="68"/>
    <x v="72"/>
    <s v="整份"/>
    <n v="1.5"/>
    <s v="份"/>
    <n v="10"/>
    <n v="15"/>
    <n v="0"/>
    <n v="0"/>
    <n v="0"/>
    <n v="0"/>
    <n v="0"/>
    <n v="0"/>
    <n v="0"/>
    <n v="-0.02"/>
    <n v="0"/>
    <n v="0"/>
    <n v="10"/>
    <n v="15.77"/>
    <n v="0.75"/>
    <n v="15.02"/>
    <n v="1"/>
  </r>
  <r>
    <s v="2021-06-07"/>
    <s v="Vancouver"/>
    <s v="加拿大二店"/>
    <x v="4"/>
    <x v="9"/>
    <x v="71"/>
    <x v="0"/>
    <x v="73"/>
    <s v="拼锅"/>
    <n v="18.95"/>
    <s v="锅"/>
    <n v="4"/>
    <n v="75.8"/>
    <n v="0"/>
    <n v="0"/>
    <n v="0"/>
    <n v="0"/>
    <n v="0"/>
    <n v="0"/>
    <n v="0"/>
    <n v="-0.02"/>
    <n v="3.79"/>
    <n v="0"/>
    <n v="4"/>
    <n v="75.63"/>
    <n v="3.6"/>
    <n v="72.03"/>
    <n v="2"/>
  </r>
  <r>
    <s v="2021-06-07"/>
    <s v="Vancouver"/>
    <s v="加拿大二店"/>
    <x v="4"/>
    <x v="10"/>
    <x v="71"/>
    <x v="0"/>
    <x v="73"/>
    <s v="四宫格"/>
    <n v="9.95"/>
    <s v="锅"/>
    <n v="3"/>
    <n v="29.85"/>
    <n v="0"/>
    <n v="0"/>
    <n v="0"/>
    <n v="0"/>
    <n v="0"/>
    <n v="0"/>
    <n v="0"/>
    <n v="0"/>
    <n v="0"/>
    <n v="0"/>
    <n v="3"/>
    <n v="31.34"/>
    <n v="1.49"/>
    <n v="29.85"/>
    <n v="1"/>
  </r>
  <r>
    <s v="2021-06-07"/>
    <s v="Vancouver"/>
    <s v="加拿大二店"/>
    <x v="1"/>
    <x v="8"/>
    <x v="72"/>
    <x v="69"/>
    <x v="74"/>
    <s v="个"/>
    <n v="7.95"/>
    <s v="份"/>
    <n v="3"/>
    <n v="23.85"/>
    <n v="0"/>
    <n v="0"/>
    <n v="0"/>
    <n v="0"/>
    <n v="0"/>
    <n v="0"/>
    <n v="0"/>
    <n v="0"/>
    <n v="3.8"/>
    <n v="0"/>
    <n v="3"/>
    <n v="21.05"/>
    <n v="1"/>
    <n v="20.05"/>
    <n v="1"/>
  </r>
  <r>
    <s v="2021-06-07"/>
    <s v="Vancouver"/>
    <s v="加拿大二店"/>
    <x v="6"/>
    <x v="13"/>
    <x v="73"/>
    <x v="70"/>
    <x v="75"/>
    <s v="份"/>
    <n v="6.95"/>
    <s v="份"/>
    <n v="4"/>
    <n v="27.8"/>
    <n v="0"/>
    <n v="0"/>
    <n v="0"/>
    <n v="0"/>
    <n v="1"/>
    <n v="6.95"/>
    <n v="0"/>
    <n v="-0.03"/>
    <n v="1.39"/>
    <n v="0"/>
    <n v="3"/>
    <n v="20.46"/>
    <n v="0.97"/>
    <n v="19.49"/>
    <n v="1"/>
  </r>
  <r>
    <s v="2021-06-07"/>
    <s v="Vancouver"/>
    <s v="加拿大二店"/>
    <x v="4"/>
    <x v="9"/>
    <x v="74"/>
    <x v="0"/>
    <x v="76"/>
    <s v="拼锅"/>
    <n v="18.95"/>
    <s v="锅"/>
    <n v="1"/>
    <n v="18.95"/>
    <n v="0"/>
    <n v="0"/>
    <n v="0"/>
    <n v="0"/>
    <n v="0"/>
    <n v="0"/>
    <n v="0"/>
    <n v="0.01"/>
    <n v="3.79"/>
    <n v="0"/>
    <n v="1"/>
    <n v="15.9"/>
    <n v="0.75"/>
    <n v="15.15"/>
    <n v="2"/>
  </r>
  <r>
    <s v="2021-06-07"/>
    <s v="Vancouver"/>
    <s v="加拿大二店"/>
    <x v="4"/>
    <x v="10"/>
    <x v="74"/>
    <x v="0"/>
    <x v="76"/>
    <s v="四宫格"/>
    <n v="9.95"/>
    <s v="锅"/>
    <n v="1"/>
    <n v="9.95"/>
    <n v="0"/>
    <n v="0"/>
    <n v="0"/>
    <n v="0"/>
    <n v="0"/>
    <n v="0"/>
    <n v="0"/>
    <n v="0"/>
    <n v="0"/>
    <n v="0"/>
    <n v="1"/>
    <n v="10.44"/>
    <n v="0.49"/>
    <n v="9.95"/>
    <n v="1"/>
  </r>
  <r>
    <s v="2021-06-07"/>
    <s v="Vancouver"/>
    <s v="加拿大二店"/>
    <x v="1"/>
    <x v="6"/>
    <x v="118"/>
    <x v="112"/>
    <x v="122"/>
    <s v="整份"/>
    <n v="28.95"/>
    <s v="份"/>
    <n v="3"/>
    <n v="86.85"/>
    <n v="0"/>
    <n v="0"/>
    <n v="0"/>
    <n v="0"/>
    <n v="0"/>
    <n v="0"/>
    <n v="0"/>
    <n v="0.01"/>
    <n v="16.49"/>
    <n v="0"/>
    <n v="3"/>
    <n v="73.86"/>
    <n v="3.51"/>
    <n v="70.35"/>
    <n v="1"/>
  </r>
  <r>
    <s v="2021-06-07"/>
    <s v="Vancouver"/>
    <s v="加拿大二店"/>
    <x v="8"/>
    <x v="17"/>
    <x v="75"/>
    <x v="71"/>
    <x v="77"/>
    <s v="整份"/>
    <n v="3.99"/>
    <s v="位"/>
    <n v="95"/>
    <n v="379.05"/>
    <n v="0"/>
    <n v="0"/>
    <n v="0"/>
    <n v="0"/>
    <n v="2"/>
    <n v="7.98"/>
    <n v="0"/>
    <n v="0"/>
    <n v="4"/>
    <n v="0"/>
    <n v="93"/>
    <n v="385.42"/>
    <n v="18.35"/>
    <n v="367.07"/>
    <n v="1"/>
  </r>
  <r>
    <s v="2021-06-07"/>
    <s v="Vancouver"/>
    <s v="加拿大二店"/>
    <x v="3"/>
    <x v="5"/>
    <x v="76"/>
    <x v="72"/>
    <x v="78"/>
    <s v="整份"/>
    <n v="3.95"/>
    <s v="份"/>
    <n v="2"/>
    <n v="7.9"/>
    <n v="0"/>
    <n v="0"/>
    <n v="0"/>
    <n v="0"/>
    <n v="0"/>
    <n v="0"/>
    <n v="0"/>
    <n v="0"/>
    <n v="0"/>
    <n v="0"/>
    <n v="2"/>
    <n v="8.29"/>
    <n v="0.39"/>
    <n v="7.9"/>
    <n v="1"/>
  </r>
  <r>
    <s v="2021-06-07"/>
    <s v="Vancouver"/>
    <s v="加拿大二店"/>
    <x v="1"/>
    <x v="3"/>
    <x v="77"/>
    <x v="73"/>
    <x v="79"/>
    <s v="整份"/>
    <n v="5.95"/>
    <s v="份"/>
    <n v="9"/>
    <n v="53.55"/>
    <n v="0"/>
    <n v="0"/>
    <n v="0"/>
    <n v="0"/>
    <n v="1"/>
    <n v="5.95"/>
    <n v="0"/>
    <n v="0"/>
    <n v="1.19"/>
    <n v="0"/>
    <n v="8"/>
    <n v="48.73"/>
    <n v="2.32"/>
    <n v="46.41"/>
    <n v="1"/>
  </r>
  <r>
    <s v="2021-06-07"/>
    <s v="Vancouver"/>
    <s v="加拿大二店"/>
    <x v="3"/>
    <x v="11"/>
    <x v="78"/>
    <x v="74"/>
    <x v="80"/>
    <s v="整份"/>
    <n v="5.95"/>
    <s v="份"/>
    <n v="3"/>
    <n v="17.85"/>
    <n v="0"/>
    <n v="0"/>
    <n v="0"/>
    <n v="0"/>
    <n v="0"/>
    <n v="0"/>
    <n v="0"/>
    <n v="0"/>
    <n v="2.08"/>
    <n v="0"/>
    <n v="3"/>
    <n v="16.55"/>
    <n v="0.78"/>
    <n v="15.77"/>
    <n v="1"/>
  </r>
  <r>
    <s v="2021-06-07"/>
    <s v="Vancouver"/>
    <s v="加拿大二店"/>
    <x v="3"/>
    <x v="11"/>
    <x v="78"/>
    <x v="75"/>
    <x v="81"/>
    <s v="半份"/>
    <n v="2.95"/>
    <s v="份"/>
    <n v="6"/>
    <n v="17.7"/>
    <n v="0"/>
    <n v="0"/>
    <n v="0"/>
    <n v="0"/>
    <n v="0"/>
    <n v="0"/>
    <n v="0"/>
    <n v="0"/>
    <n v="1.18"/>
    <n v="0"/>
    <n v="6"/>
    <n v="17.34"/>
    <n v="0.82"/>
    <n v="16.52"/>
    <n v="0.5"/>
  </r>
  <r>
    <s v="2021-06-07"/>
    <s v="Vancouver"/>
    <s v="加拿大二店"/>
    <x v="3"/>
    <x v="5"/>
    <x v="79"/>
    <x v="76"/>
    <x v="82"/>
    <s v="整份"/>
    <n v="3.95"/>
    <s v="份"/>
    <n v="10"/>
    <n v="39.5"/>
    <n v="0"/>
    <n v="0"/>
    <n v="0"/>
    <n v="0"/>
    <n v="1"/>
    <n v="3.95"/>
    <n v="0"/>
    <n v="0"/>
    <n v="3.63"/>
    <n v="0"/>
    <n v="9"/>
    <n v="33.51"/>
    <n v="1.59"/>
    <n v="31.92"/>
    <n v="1"/>
  </r>
  <r>
    <s v="2021-06-07"/>
    <s v="Vancouver"/>
    <s v="加拿大二店"/>
    <x v="3"/>
    <x v="5"/>
    <x v="80"/>
    <x v="77"/>
    <x v="83"/>
    <s v="整份"/>
    <n v="5.95"/>
    <s v="份"/>
    <n v="4"/>
    <n v="23.8"/>
    <n v="0"/>
    <n v="0"/>
    <n v="0"/>
    <n v="0"/>
    <n v="0"/>
    <n v="0"/>
    <n v="0"/>
    <n v="0"/>
    <n v="3.68"/>
    <n v="0"/>
    <n v="4"/>
    <n v="21.12"/>
    <n v="1"/>
    <n v="20.12"/>
    <n v="1"/>
  </r>
  <r>
    <s v="2021-06-07"/>
    <s v="Vancouver"/>
    <s v="加拿大二店"/>
    <x v="4"/>
    <x v="9"/>
    <x v="81"/>
    <x v="0"/>
    <x v="84"/>
    <s v="拼锅"/>
    <n v="8.95"/>
    <s v="锅"/>
    <n v="2"/>
    <n v="17.9"/>
    <n v="0"/>
    <n v="0"/>
    <n v="0"/>
    <n v="0"/>
    <n v="0"/>
    <n v="0"/>
    <n v="0"/>
    <n v="0"/>
    <n v="0"/>
    <n v="0"/>
    <n v="2"/>
    <n v="18.79"/>
    <n v="0.89"/>
    <n v="17.9"/>
    <n v="2"/>
  </r>
  <r>
    <s v="2021-06-07"/>
    <s v="Vancouver"/>
    <s v="加拿大二店"/>
    <x v="4"/>
    <x v="10"/>
    <x v="81"/>
    <x v="0"/>
    <x v="84"/>
    <s v="四宫格"/>
    <n v="4.95"/>
    <s v="锅"/>
    <n v="5"/>
    <n v="24.75"/>
    <n v="0"/>
    <n v="0"/>
    <n v="0"/>
    <n v="0"/>
    <n v="0"/>
    <n v="0"/>
    <n v="0"/>
    <n v="0"/>
    <n v="0"/>
    <n v="0"/>
    <n v="5"/>
    <n v="25.98"/>
    <n v="1.23"/>
    <n v="24.75"/>
    <n v="1"/>
  </r>
  <r>
    <s v="2021-06-07"/>
    <s v="Vancouver"/>
    <s v="加拿大二店"/>
    <x v="3"/>
    <x v="5"/>
    <x v="82"/>
    <x v="78"/>
    <x v="85"/>
    <s v="整份"/>
    <n v="12.95"/>
    <s v="份"/>
    <n v="7"/>
    <n v="90.65"/>
    <n v="0"/>
    <n v="0"/>
    <n v="0"/>
    <n v="0"/>
    <n v="0"/>
    <n v="0"/>
    <n v="0"/>
    <n v="0"/>
    <n v="4.14"/>
    <n v="0"/>
    <n v="7"/>
    <n v="90.83"/>
    <n v="4.32"/>
    <n v="86.51"/>
    <n v="1"/>
  </r>
  <r>
    <s v="2021-06-07"/>
    <s v="Vancouver"/>
    <s v="加拿大二店"/>
    <x v="3"/>
    <x v="11"/>
    <x v="83"/>
    <x v="79"/>
    <x v="86"/>
    <s v="整份"/>
    <n v="5.95"/>
    <s v="份"/>
    <n v="5"/>
    <n v="29.75"/>
    <n v="0"/>
    <n v="0"/>
    <n v="0"/>
    <n v="0"/>
    <n v="0"/>
    <n v="0"/>
    <n v="0"/>
    <n v="0"/>
    <n v="1.19"/>
    <n v="0"/>
    <n v="5"/>
    <n v="29.98"/>
    <n v="1.42"/>
    <n v="28.56"/>
    <n v="1"/>
  </r>
  <r>
    <s v="2021-06-07"/>
    <s v="Vancouver"/>
    <s v="加拿大二店"/>
    <x v="3"/>
    <x v="11"/>
    <x v="83"/>
    <x v="80"/>
    <x v="87"/>
    <s v="半份"/>
    <n v="2.95"/>
    <s v="份"/>
    <n v="4"/>
    <n v="11.8"/>
    <n v="0"/>
    <n v="0"/>
    <n v="0"/>
    <n v="0"/>
    <n v="0"/>
    <n v="0"/>
    <n v="0"/>
    <n v="0"/>
    <n v="0"/>
    <n v="0"/>
    <n v="4"/>
    <n v="12.39"/>
    <n v="0.59"/>
    <n v="11.8"/>
    <n v="0.5"/>
  </r>
  <r>
    <s v="2021-06-07"/>
    <s v="Vancouver"/>
    <s v="加拿大二店"/>
    <x v="3"/>
    <x v="11"/>
    <x v="84"/>
    <x v="81"/>
    <x v="88"/>
    <s v="整份"/>
    <n v="11.95"/>
    <s v="份"/>
    <n v="3"/>
    <n v="35.85"/>
    <n v="0"/>
    <n v="0"/>
    <n v="0"/>
    <n v="0"/>
    <n v="0"/>
    <n v="0"/>
    <n v="0"/>
    <n v="0"/>
    <n v="1.79"/>
    <n v="0"/>
    <n v="3"/>
    <n v="35.76"/>
    <n v="1.7"/>
    <n v="34.06"/>
    <n v="1"/>
  </r>
  <r>
    <s v="2021-06-07"/>
    <s v="Vancouver"/>
    <s v="加拿大二店"/>
    <x v="1"/>
    <x v="3"/>
    <x v="85"/>
    <x v="82"/>
    <x v="89"/>
    <s v="整份"/>
    <n v="6.95"/>
    <s v="份"/>
    <n v="6"/>
    <n v="41.7"/>
    <n v="0"/>
    <n v="0"/>
    <n v="0"/>
    <n v="0"/>
    <n v="0"/>
    <n v="0"/>
    <n v="0"/>
    <n v="0"/>
    <n v="0"/>
    <n v="0"/>
    <n v="6"/>
    <n v="43.78"/>
    <n v="2.08"/>
    <n v="41.7"/>
    <n v="1"/>
  </r>
  <r>
    <s v="2021-06-07"/>
    <s v="Vancouver"/>
    <s v="加拿大二店"/>
    <x v="6"/>
    <x v="13"/>
    <x v="86"/>
    <x v="83"/>
    <x v="90"/>
    <s v="碗"/>
    <n v="2.95"/>
    <s v="碗"/>
    <n v="8"/>
    <n v="23.6"/>
    <n v="0"/>
    <n v="0"/>
    <n v="0"/>
    <n v="0"/>
    <n v="0"/>
    <n v="0"/>
    <n v="0"/>
    <n v="0"/>
    <n v="1.24"/>
    <n v="0"/>
    <n v="8"/>
    <n v="23.47"/>
    <n v="1.11"/>
    <n v="22.36"/>
    <n v="1"/>
  </r>
  <r>
    <s v="2021-06-07"/>
    <s v="Vancouver"/>
    <s v="加拿大二店"/>
    <x v="2"/>
    <x v="4"/>
    <x v="87"/>
    <x v="84"/>
    <x v="91"/>
    <s v="常温"/>
    <n v="2.95"/>
    <s v="扎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07"/>
    <s v="Vancouver"/>
    <s v="加拿大二店"/>
    <x v="1"/>
    <x v="8"/>
    <x v="88"/>
    <x v="85"/>
    <x v="92"/>
    <s v="整份"/>
    <n v="7.95"/>
    <s v="份"/>
    <n v="5"/>
    <n v="39.75"/>
    <n v="0"/>
    <n v="0"/>
    <n v="0"/>
    <n v="0"/>
    <n v="0"/>
    <n v="0"/>
    <n v="0"/>
    <n v="0"/>
    <n v="2.54"/>
    <n v="0"/>
    <n v="5"/>
    <n v="39.07"/>
    <n v="1.86"/>
    <n v="37.21"/>
    <n v="1"/>
  </r>
  <r>
    <s v="2021-06-07"/>
    <s v="Vancouver"/>
    <s v="加拿大二店"/>
    <x v="1"/>
    <x v="8"/>
    <x v="89"/>
    <x v="86"/>
    <x v="93"/>
    <s v="整份"/>
    <n v="4.95"/>
    <s v="份"/>
    <n v="9"/>
    <n v="44.55"/>
    <n v="0"/>
    <n v="0"/>
    <n v="0"/>
    <n v="0"/>
    <n v="0"/>
    <n v="0"/>
    <n v="0"/>
    <n v="0"/>
    <n v="3.8"/>
    <n v="0"/>
    <n v="9"/>
    <n v="42.78"/>
    <n v="2.03"/>
    <n v="40.75"/>
    <n v="1"/>
  </r>
  <r>
    <s v="2021-06-07"/>
    <s v="Vancouver"/>
    <s v="加拿大二店"/>
    <x v="3"/>
    <x v="7"/>
    <x v="90"/>
    <x v="87"/>
    <x v="94"/>
    <s v="整份"/>
    <n v="4.95"/>
    <s v="份"/>
    <n v="7"/>
    <n v="34.65"/>
    <n v="0"/>
    <n v="0"/>
    <n v="0"/>
    <n v="0"/>
    <n v="1"/>
    <n v="4.95"/>
    <n v="0"/>
    <n v="0"/>
    <n v="4.05"/>
    <n v="0"/>
    <n v="6"/>
    <n v="26.93"/>
    <n v="1.28"/>
    <n v="25.65"/>
    <n v="1"/>
  </r>
  <r>
    <s v="2021-06-07"/>
    <s v="Vancouver"/>
    <s v="加拿大二店"/>
    <x v="6"/>
    <x v="18"/>
    <x v="91"/>
    <x v="88"/>
    <x v="95"/>
    <s v="整份"/>
    <n v="2.95"/>
    <s v="份"/>
    <n v="1"/>
    <n v="2.95"/>
    <n v="0"/>
    <n v="0"/>
    <n v="0"/>
    <n v="0"/>
    <n v="0"/>
    <n v="0"/>
    <n v="0"/>
    <n v="0"/>
    <n v="0"/>
    <n v="0"/>
    <n v="1"/>
    <n v="3.09"/>
    <n v="0.14"/>
    <n v="2.95"/>
    <n v="1"/>
  </r>
  <r>
    <s v="2021-06-07"/>
    <s v="Vancouver"/>
    <s v="加拿大二店"/>
    <x v="4"/>
    <x v="9"/>
    <x v="92"/>
    <x v="0"/>
    <x v="96"/>
    <s v="拼锅"/>
    <n v="8.95"/>
    <s v="锅"/>
    <n v="3"/>
    <n v="26.85"/>
    <n v="0"/>
    <n v="0"/>
    <n v="0"/>
    <n v="0"/>
    <n v="0"/>
    <n v="0"/>
    <n v="0"/>
    <n v="-0.02"/>
    <n v="1.79"/>
    <n v="0"/>
    <n v="3"/>
    <n v="26.33"/>
    <n v="1.25"/>
    <n v="25.08"/>
    <n v="2"/>
  </r>
  <r>
    <s v="2021-06-07"/>
    <s v="Vancouver"/>
    <s v="加拿大二店"/>
    <x v="4"/>
    <x v="10"/>
    <x v="92"/>
    <x v="0"/>
    <x v="96"/>
    <s v="四宫格"/>
    <n v="4.95"/>
    <s v="锅"/>
    <n v="1"/>
    <n v="4.95"/>
    <n v="0"/>
    <n v="0"/>
    <n v="0"/>
    <n v="0"/>
    <n v="0"/>
    <n v="0"/>
    <n v="0"/>
    <n v="0"/>
    <n v="0"/>
    <n v="0"/>
    <n v="1"/>
    <n v="5.19"/>
    <n v="0.24"/>
    <n v="4.95"/>
    <n v="1"/>
  </r>
  <r>
    <s v="2021-06-07"/>
    <s v="Vancouver"/>
    <s v="加拿大二店"/>
    <x v="3"/>
    <x v="5"/>
    <x v="93"/>
    <x v="89"/>
    <x v="97"/>
    <s v="整份"/>
    <n v="5.95"/>
    <s v="份"/>
    <n v="10"/>
    <n v="59.5"/>
    <n v="0"/>
    <n v="0"/>
    <n v="0"/>
    <n v="0"/>
    <n v="1"/>
    <n v="5.95"/>
    <n v="0"/>
    <n v="0"/>
    <n v="1.78"/>
    <n v="0"/>
    <n v="9"/>
    <n v="54.35"/>
    <n v="2.58"/>
    <n v="51.77"/>
    <n v="1"/>
  </r>
  <r>
    <s v="2021-06-07"/>
    <s v="Vancouver"/>
    <s v="加拿大二店"/>
    <x v="6"/>
    <x v="13"/>
    <x v="94"/>
    <x v="90"/>
    <x v="98"/>
    <s v="整份"/>
    <n v="4.95"/>
    <s v="份"/>
    <n v="7"/>
    <n v="34.65"/>
    <n v="0"/>
    <n v="0"/>
    <n v="0"/>
    <n v="0"/>
    <n v="0"/>
    <n v="0"/>
    <n v="0"/>
    <n v="0"/>
    <n v="0"/>
    <n v="0"/>
    <n v="7"/>
    <n v="36.38"/>
    <n v="1.73"/>
    <n v="34.65"/>
    <n v="1"/>
  </r>
  <r>
    <s v="2021-06-07"/>
    <s v="Vancouver"/>
    <s v="加拿大二店"/>
    <x v="7"/>
    <x v="14"/>
    <x v="123"/>
    <x v="117"/>
    <x v="127"/>
    <s v="整份"/>
    <n v="0"/>
    <s v="份"/>
    <n v="8"/>
    <n v="0"/>
    <n v="0"/>
    <n v="0"/>
    <n v="0"/>
    <n v="0"/>
    <n v="0"/>
    <n v="0"/>
    <n v="0"/>
    <n v="0"/>
    <n v="0"/>
    <n v="0"/>
    <n v="8"/>
    <n v="0"/>
    <n v="0"/>
    <n v="0"/>
    <n v="1"/>
  </r>
  <r>
    <s v="2021-06-07"/>
    <s v="Vancouver"/>
    <s v="加拿大二店"/>
    <x v="2"/>
    <x v="4"/>
    <x v="95"/>
    <x v="91"/>
    <x v="99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07"/>
    <s v="Vancouver"/>
    <s v="加拿大二店"/>
    <x v="1"/>
    <x v="1"/>
    <x v="96"/>
    <x v="92"/>
    <x v="100"/>
    <s v="整份"/>
    <n v="49.95"/>
    <s v="份"/>
    <n v="6"/>
    <n v="299.7"/>
    <n v="0"/>
    <n v="0"/>
    <n v="0"/>
    <n v="0"/>
    <n v="2"/>
    <n v="99.9"/>
    <n v="0"/>
    <n v="-0.01"/>
    <n v="22.15"/>
    <n v="0"/>
    <n v="4"/>
    <n v="186.54"/>
    <n v="8.88"/>
    <n v="177.66"/>
    <n v="1"/>
  </r>
  <r>
    <s v="2021-06-07"/>
    <s v="Vancouver"/>
    <s v="加拿大二店"/>
    <x v="2"/>
    <x v="2"/>
    <x v="97"/>
    <x v="93"/>
    <x v="101"/>
    <s v="冰镇"/>
    <n v="5.95"/>
    <s v="听"/>
    <n v="7"/>
    <n v="41.65"/>
    <n v="0"/>
    <n v="0"/>
    <n v="0"/>
    <n v="0"/>
    <n v="0"/>
    <n v="0"/>
    <n v="0"/>
    <n v="0"/>
    <n v="0"/>
    <n v="0"/>
    <n v="7"/>
    <n v="47.89"/>
    <n v="6.24"/>
    <n v="41.65"/>
    <n v="1"/>
  </r>
  <r>
    <s v="2021-06-07"/>
    <s v="Vancouver"/>
    <s v="加拿大二店"/>
    <x v="6"/>
    <x v="13"/>
    <x v="98"/>
    <x v="94"/>
    <x v="102"/>
    <s v="整份"/>
    <n v="3.95"/>
    <s v="份"/>
    <n v="2"/>
    <n v="7.9"/>
    <n v="0"/>
    <n v="0"/>
    <n v="0"/>
    <n v="0"/>
    <n v="0"/>
    <n v="0"/>
    <n v="0"/>
    <n v="0"/>
    <n v="0"/>
    <n v="0"/>
    <n v="2"/>
    <n v="8.29"/>
    <n v="0.39"/>
    <n v="7.9"/>
    <n v="1"/>
  </r>
  <r>
    <s v="2021-06-07"/>
    <s v="Vancouver"/>
    <s v="加拿大二店"/>
    <x v="1"/>
    <x v="3"/>
    <x v="99"/>
    <x v="95"/>
    <x v="103"/>
    <s v="整份"/>
    <n v="5.95"/>
    <s v="份"/>
    <n v="2"/>
    <n v="11.9"/>
    <n v="0"/>
    <n v="0"/>
    <n v="0"/>
    <n v="0"/>
    <n v="0"/>
    <n v="0"/>
    <n v="0"/>
    <n v="0"/>
    <n v="0.71"/>
    <n v="0"/>
    <n v="2"/>
    <n v="11.74"/>
    <n v="0.55"/>
    <n v="11.19"/>
    <n v="1"/>
  </r>
  <r>
    <s v="2021-06-07"/>
    <s v="Vancouver"/>
    <s v="加拿大二店"/>
    <x v="1"/>
    <x v="3"/>
    <x v="100"/>
    <x v="96"/>
    <x v="104"/>
    <s v="整份"/>
    <n v="7.95"/>
    <s v="份"/>
    <n v="2"/>
    <n v="15.9"/>
    <n v="0"/>
    <n v="0"/>
    <n v="0"/>
    <n v="0"/>
    <n v="0"/>
    <n v="0"/>
    <n v="0"/>
    <n v="0"/>
    <n v="0"/>
    <n v="0"/>
    <n v="2"/>
    <n v="16.69"/>
    <n v="0.79"/>
    <n v="15.9"/>
    <n v="1"/>
  </r>
  <r>
    <s v="2021-06-07"/>
    <s v="Vancouver"/>
    <s v="加拿大二店"/>
    <x v="1"/>
    <x v="8"/>
    <x v="101"/>
    <x v="97"/>
    <x v="105"/>
    <s v="整份"/>
    <n v="5.95"/>
    <s v="份"/>
    <n v="11"/>
    <n v="65.45"/>
    <n v="0"/>
    <n v="0"/>
    <n v="0"/>
    <n v="0"/>
    <n v="0"/>
    <n v="0"/>
    <n v="0"/>
    <n v="0"/>
    <n v="1.42"/>
    <n v="0"/>
    <n v="11"/>
    <n v="67.23"/>
    <n v="3.2"/>
    <n v="64.03"/>
    <n v="1"/>
  </r>
  <r>
    <s v="2021-06-07"/>
    <s v="Vancouver"/>
    <s v="加拿大二店"/>
    <x v="1"/>
    <x v="6"/>
    <x v="102"/>
    <x v="98"/>
    <x v="106"/>
    <s v="整份"/>
    <n v="8.95"/>
    <s v="份"/>
    <n v="2"/>
    <n v="17.9"/>
    <n v="0"/>
    <n v="0"/>
    <n v="0"/>
    <n v="0"/>
    <n v="0"/>
    <n v="0"/>
    <n v="0"/>
    <n v="0"/>
    <n v="1.07"/>
    <n v="0"/>
    <n v="2"/>
    <n v="17.67"/>
    <n v="0.84"/>
    <n v="16.83"/>
    <n v="1"/>
  </r>
  <r>
    <s v="2021-06-07"/>
    <s v="Vancouver"/>
    <s v="加拿大二店"/>
    <x v="3"/>
    <x v="7"/>
    <x v="103"/>
    <x v="99"/>
    <x v="107"/>
    <s v="整份"/>
    <n v="5.95"/>
    <s v="份"/>
    <n v="8"/>
    <n v="47.6"/>
    <n v="0"/>
    <n v="0"/>
    <n v="0"/>
    <n v="0"/>
    <n v="0"/>
    <n v="0"/>
    <n v="0"/>
    <n v="0"/>
    <n v="3.68"/>
    <n v="0"/>
    <n v="8"/>
    <n v="46.11"/>
    <n v="2.19"/>
    <n v="43.92"/>
    <n v="1"/>
  </r>
  <r>
    <s v="2021-06-07"/>
    <s v="Vancouver"/>
    <s v="加拿大二店"/>
    <x v="3"/>
    <x v="7"/>
    <x v="104"/>
    <x v="100"/>
    <x v="108"/>
    <s v="整份"/>
    <n v="3.95"/>
    <s v="份"/>
    <n v="10"/>
    <n v="39.5"/>
    <n v="0"/>
    <n v="0"/>
    <n v="0"/>
    <n v="0"/>
    <n v="0"/>
    <n v="0"/>
    <n v="0"/>
    <n v="0"/>
    <n v="1.65"/>
    <n v="0"/>
    <n v="10"/>
    <n v="39.74"/>
    <n v="1.89"/>
    <n v="37.85"/>
    <n v="1"/>
  </r>
  <r>
    <s v="2021-06-07"/>
    <s v="Vancouver"/>
    <s v="加拿大二店"/>
    <x v="1"/>
    <x v="8"/>
    <x v="105"/>
    <x v="101"/>
    <x v="109"/>
    <s v="整份"/>
    <n v="4.95"/>
    <s v="份"/>
    <n v="9"/>
    <n v="44.55"/>
    <n v="0"/>
    <n v="0"/>
    <n v="0"/>
    <n v="0"/>
    <n v="0"/>
    <n v="0"/>
    <n v="0"/>
    <n v="0"/>
    <n v="2.84"/>
    <n v="0"/>
    <n v="9"/>
    <n v="43.79"/>
    <n v="2.08"/>
    <n v="41.71"/>
    <n v="1"/>
  </r>
  <r>
    <s v="2021-06-07"/>
    <s v="Vancouver"/>
    <s v="加拿大二店"/>
    <x v="4"/>
    <x v="9"/>
    <x v="106"/>
    <x v="0"/>
    <x v="110"/>
    <s v="拼锅"/>
    <n v="11.95"/>
    <s v="锅"/>
    <n v="3"/>
    <n v="35.85"/>
    <n v="0"/>
    <n v="0"/>
    <n v="0"/>
    <n v="0"/>
    <n v="0"/>
    <n v="0"/>
    <n v="0"/>
    <n v="-0.01"/>
    <n v="0"/>
    <n v="0"/>
    <n v="3"/>
    <n v="37.65"/>
    <n v="1.79"/>
    <n v="35.86"/>
    <n v="2"/>
  </r>
  <r>
    <s v="2021-06-07"/>
    <s v="Vancouver"/>
    <s v="加拿大二店"/>
    <x v="4"/>
    <x v="10"/>
    <x v="106"/>
    <x v="0"/>
    <x v="110"/>
    <s v="四宫格"/>
    <n v="5.95"/>
    <s v="锅"/>
    <n v="2"/>
    <n v="11.9"/>
    <n v="0"/>
    <n v="0"/>
    <n v="0"/>
    <n v="0"/>
    <n v="0"/>
    <n v="0"/>
    <n v="0"/>
    <n v="-0.02"/>
    <n v="0"/>
    <n v="0"/>
    <n v="2"/>
    <n v="12.51"/>
    <n v="0.59"/>
    <n v="11.92"/>
    <n v="1"/>
  </r>
  <r>
    <s v="2021-06-07"/>
    <s v="Vancouver"/>
    <s v="加拿大二店"/>
    <x v="4"/>
    <x v="9"/>
    <x v="107"/>
    <x v="0"/>
    <x v="111"/>
    <s v="拼锅"/>
    <n v="11.95"/>
    <s v="锅"/>
    <n v="8"/>
    <n v="95.6"/>
    <n v="0"/>
    <n v="0"/>
    <n v="0"/>
    <n v="0"/>
    <n v="0"/>
    <n v="0"/>
    <n v="0"/>
    <n v="0"/>
    <n v="4.78"/>
    <n v="0"/>
    <n v="8"/>
    <n v="95.36"/>
    <n v="4.54"/>
    <n v="90.82"/>
    <n v="2"/>
  </r>
  <r>
    <s v="2021-06-07"/>
    <s v="Vancouver"/>
    <s v="加拿大二店"/>
    <x v="4"/>
    <x v="10"/>
    <x v="107"/>
    <x v="0"/>
    <x v="111"/>
    <s v="四宫格"/>
    <n v="5.95"/>
    <s v="锅"/>
    <n v="4"/>
    <n v="23.8"/>
    <n v="0"/>
    <n v="0"/>
    <n v="0"/>
    <n v="0"/>
    <n v="0"/>
    <n v="0"/>
    <n v="0"/>
    <n v="0"/>
    <n v="1.19"/>
    <n v="0"/>
    <n v="4"/>
    <n v="23.74"/>
    <n v="1.13"/>
    <n v="22.61"/>
    <n v="1"/>
  </r>
  <r>
    <s v="2021-06-08"/>
    <s v="Vancouver"/>
    <s v="加拿大二店"/>
    <x v="1"/>
    <x v="1"/>
    <x v="1"/>
    <x v="1"/>
    <x v="1"/>
    <s v="整份"/>
    <n v="16.95"/>
    <s v="份"/>
    <n v="6"/>
    <n v="101.7"/>
    <n v="0"/>
    <n v="0"/>
    <n v="0"/>
    <n v="0"/>
    <n v="0"/>
    <n v="0"/>
    <n v="0"/>
    <n v="-0.01"/>
    <n v="6.78"/>
    <n v="0"/>
    <n v="6"/>
    <n v="99.67"/>
    <n v="4.74"/>
    <n v="94.93"/>
    <n v="1"/>
  </r>
  <r>
    <s v="2021-06-08"/>
    <s v="Vancouver"/>
    <s v="加拿大二店"/>
    <x v="1"/>
    <x v="1"/>
    <x v="2"/>
    <x v="2"/>
    <x v="2"/>
    <s v="整份"/>
    <n v="25.95"/>
    <s v="份"/>
    <n v="11"/>
    <n v="285.45"/>
    <n v="0"/>
    <n v="0"/>
    <n v="0"/>
    <n v="0"/>
    <n v="0"/>
    <n v="0"/>
    <n v="0"/>
    <n v="-0.01"/>
    <n v="11.41"/>
    <n v="0"/>
    <n v="11"/>
    <n v="287.75"/>
    <n v="13.7"/>
    <n v="274.05"/>
    <n v="1"/>
  </r>
  <r>
    <s v="2021-06-08"/>
    <s v="Vancouver"/>
    <s v="加拿大二店"/>
    <x v="2"/>
    <x v="2"/>
    <x v="129"/>
    <x v="123"/>
    <x v="134"/>
    <s v="扎"/>
    <n v="22.95"/>
    <s v="扎"/>
    <n v="1"/>
    <n v="22.95"/>
    <n v="0"/>
    <n v="0"/>
    <n v="0"/>
    <n v="0"/>
    <n v="0"/>
    <n v="0"/>
    <n v="0"/>
    <n v="-0.01"/>
    <n v="0"/>
    <n v="0"/>
    <n v="1"/>
    <n v="26.4"/>
    <n v="3.44"/>
    <n v="22.96"/>
    <n v="1"/>
  </r>
  <r>
    <s v="2021-06-08"/>
    <s v="Vancouver"/>
    <s v="加拿大二店"/>
    <x v="2"/>
    <x v="2"/>
    <x v="3"/>
    <x v="3"/>
    <x v="3"/>
    <s v="杯"/>
    <n v="6.95"/>
    <s v="杯"/>
    <n v="1"/>
    <n v="6.95"/>
    <n v="0"/>
    <n v="0"/>
    <n v="0"/>
    <n v="0"/>
    <n v="0"/>
    <n v="0"/>
    <n v="0"/>
    <n v="0.02"/>
    <n v="0"/>
    <n v="0"/>
    <n v="1"/>
    <n v="7.96"/>
    <n v="1.03"/>
    <n v="6.93"/>
    <n v="1"/>
  </r>
  <r>
    <s v="2021-06-08"/>
    <s v="Vancouver"/>
    <s v="加拿大二店"/>
    <x v="2"/>
    <x v="2"/>
    <x v="4"/>
    <x v="4"/>
    <x v="4"/>
    <s v="壶"/>
    <n v="22.95"/>
    <s v="壶"/>
    <n v="1"/>
    <n v="22.95"/>
    <n v="0"/>
    <n v="0"/>
    <n v="0"/>
    <n v="0"/>
    <n v="0"/>
    <n v="0"/>
    <n v="0"/>
    <n v="0.01"/>
    <n v="0"/>
    <n v="0"/>
    <n v="1"/>
    <n v="26.38"/>
    <n v="3.44"/>
    <n v="22.94"/>
    <n v="1"/>
  </r>
  <r>
    <s v="2021-06-08"/>
    <s v="Vancouver"/>
    <s v="加拿大二店"/>
    <x v="2"/>
    <x v="2"/>
    <x v="5"/>
    <x v="5"/>
    <x v="5"/>
    <s v="杯"/>
    <n v="6.95"/>
    <s v="杯"/>
    <n v="3"/>
    <n v="20.85"/>
    <n v="0"/>
    <n v="0"/>
    <n v="0"/>
    <n v="0"/>
    <n v="0"/>
    <n v="0"/>
    <n v="0"/>
    <n v="0"/>
    <n v="0"/>
    <n v="0"/>
    <n v="3"/>
    <n v="23.97"/>
    <n v="3.12"/>
    <n v="20.85"/>
    <n v="1"/>
  </r>
  <r>
    <s v="2021-06-08"/>
    <s v="Vancouver"/>
    <s v="加拿大二店"/>
    <x v="1"/>
    <x v="3"/>
    <x v="6"/>
    <x v="6"/>
    <x v="6"/>
    <s v="整份"/>
    <n v="7.95"/>
    <s v="份"/>
    <n v="3"/>
    <n v="23.85"/>
    <n v="0"/>
    <n v="0"/>
    <n v="0"/>
    <n v="0"/>
    <n v="0"/>
    <n v="0"/>
    <n v="0"/>
    <n v="0"/>
    <n v="1.59"/>
    <n v="0"/>
    <n v="3"/>
    <n v="23.37"/>
    <n v="1.11"/>
    <n v="22.26"/>
    <n v="1"/>
  </r>
  <r>
    <s v="2021-06-08"/>
    <s v="Vancouver"/>
    <s v="加拿大二店"/>
    <x v="0"/>
    <x v="0"/>
    <x v="124"/>
    <x v="0"/>
    <x v="128"/>
    <s v="套餐"/>
    <n v="59.95"/>
    <s v="套餐"/>
    <n v="1"/>
    <n v="59.95"/>
    <n v="1"/>
    <n v="59.95"/>
    <n v="0"/>
    <n v="0"/>
    <n v="0"/>
    <n v="0"/>
    <n v="0"/>
    <n v="0"/>
    <n v="0"/>
    <n v="0"/>
    <n v="0"/>
    <n v="0"/>
    <n v="0"/>
    <n v="0"/>
    <n v="1"/>
  </r>
  <r>
    <s v="2021-06-08"/>
    <s v="Vancouver"/>
    <s v="加拿大二店"/>
    <x v="2"/>
    <x v="4"/>
    <x v="110"/>
    <x v="104"/>
    <x v="114"/>
    <s v="小瓶"/>
    <n v="3.95"/>
    <s v="瓶"/>
    <n v="1"/>
    <n v="3.95"/>
    <n v="0"/>
    <n v="0"/>
    <n v="0"/>
    <n v="0"/>
    <n v="0"/>
    <n v="0"/>
    <n v="0"/>
    <n v="0"/>
    <n v="0"/>
    <n v="0"/>
    <n v="1"/>
    <n v="4.42"/>
    <n v="0.47"/>
    <n v="3.95"/>
    <n v="1"/>
  </r>
  <r>
    <s v="2021-06-08"/>
    <s v="Vancouver"/>
    <s v="加拿大二店"/>
    <x v="3"/>
    <x v="5"/>
    <x v="8"/>
    <x v="8"/>
    <x v="8"/>
    <s v="整份"/>
    <n v="3.95"/>
    <s v="份"/>
    <n v="4"/>
    <n v="15.8"/>
    <n v="0"/>
    <n v="0"/>
    <n v="0"/>
    <n v="0"/>
    <n v="0"/>
    <n v="0"/>
    <n v="0"/>
    <n v="0"/>
    <n v="0"/>
    <n v="0"/>
    <n v="4"/>
    <n v="16.59"/>
    <n v="0.79"/>
    <n v="15.8"/>
    <n v="1"/>
  </r>
  <r>
    <s v="2021-06-08"/>
    <s v="Vancouver"/>
    <s v="加拿大二店"/>
    <x v="2"/>
    <x v="4"/>
    <x v="9"/>
    <x v="9"/>
    <x v="9"/>
    <s v="常温"/>
    <n v="2.95"/>
    <s v="位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08"/>
    <s v="Vancouver"/>
    <s v="加拿大二店"/>
    <x v="2"/>
    <x v="4"/>
    <x v="10"/>
    <x v="10"/>
    <x v="10"/>
    <s v="半份"/>
    <n v="6.95"/>
    <s v="扎"/>
    <n v="2"/>
    <n v="13.9"/>
    <n v="0"/>
    <n v="0"/>
    <n v="0"/>
    <n v="0"/>
    <n v="0"/>
    <n v="0"/>
    <n v="0"/>
    <n v="0"/>
    <n v="0"/>
    <n v="0"/>
    <n v="2"/>
    <n v="15.56"/>
    <n v="1.66"/>
    <n v="13.9"/>
    <n v="0.5"/>
  </r>
  <r>
    <s v="2021-06-08"/>
    <s v="Vancouver"/>
    <s v="加拿大二店"/>
    <x v="2"/>
    <x v="4"/>
    <x v="10"/>
    <x v="11"/>
    <x v="11"/>
    <s v="整份"/>
    <n v="9.95"/>
    <s v="扎"/>
    <n v="6"/>
    <n v="59.7"/>
    <n v="0"/>
    <n v="0"/>
    <n v="0"/>
    <n v="0"/>
    <n v="1"/>
    <n v="9.95"/>
    <n v="0"/>
    <n v="0"/>
    <n v="0"/>
    <n v="0"/>
    <n v="5"/>
    <n v="55.72"/>
    <n v="5.97"/>
    <n v="49.75"/>
    <n v="1"/>
  </r>
  <r>
    <s v="2021-06-08"/>
    <s v="Vancouver"/>
    <s v="加拿大二店"/>
    <x v="1"/>
    <x v="6"/>
    <x v="11"/>
    <x v="12"/>
    <x v="12"/>
    <s v="整份"/>
    <n v="8.95"/>
    <s v="份"/>
    <n v="3"/>
    <n v="26.85"/>
    <n v="0"/>
    <n v="0"/>
    <n v="0"/>
    <n v="0"/>
    <n v="0"/>
    <n v="0"/>
    <n v="0"/>
    <n v="0"/>
    <n v="2.96"/>
    <n v="0"/>
    <n v="3"/>
    <n v="25.08"/>
    <n v="1.19"/>
    <n v="23.89"/>
    <n v="1"/>
  </r>
  <r>
    <s v="2021-06-08"/>
    <s v="Vancouver"/>
    <s v="加拿大二店"/>
    <x v="1"/>
    <x v="6"/>
    <x v="12"/>
    <x v="13"/>
    <x v="13"/>
    <s v="整份"/>
    <n v="16.95"/>
    <s v="份"/>
    <n v="2"/>
    <n v="33.9"/>
    <n v="0"/>
    <n v="0"/>
    <n v="0"/>
    <n v="0"/>
    <n v="0"/>
    <n v="0"/>
    <n v="0"/>
    <n v="0"/>
    <n v="2.03"/>
    <n v="0"/>
    <n v="2"/>
    <n v="33.46"/>
    <n v="1.59"/>
    <n v="31.87"/>
    <n v="1"/>
  </r>
  <r>
    <s v="2021-06-08"/>
    <s v="Vancouver"/>
    <s v="加拿大二店"/>
    <x v="1"/>
    <x v="6"/>
    <x v="13"/>
    <x v="14"/>
    <x v="14"/>
    <s v="整份"/>
    <n v="21.95"/>
    <s v="份"/>
    <n v="1"/>
    <n v="21.95"/>
    <n v="0"/>
    <n v="0"/>
    <n v="0"/>
    <n v="0"/>
    <n v="0"/>
    <n v="0"/>
    <n v="0"/>
    <n v="0"/>
    <n v="2.63"/>
    <n v="0"/>
    <n v="1"/>
    <n v="20.28"/>
    <n v="0.96"/>
    <n v="19.32"/>
    <n v="1"/>
  </r>
  <r>
    <s v="2021-06-08"/>
    <s v="Vancouver"/>
    <s v="加拿大二店"/>
    <x v="1"/>
    <x v="6"/>
    <x v="14"/>
    <x v="15"/>
    <x v="15"/>
    <s v="整份"/>
    <n v="29.95"/>
    <s v="份"/>
    <n v="1"/>
    <n v="29.95"/>
    <n v="0"/>
    <n v="0"/>
    <n v="0"/>
    <n v="0"/>
    <n v="0"/>
    <n v="0"/>
    <n v="0"/>
    <n v="0"/>
    <n v="3.59"/>
    <n v="0"/>
    <n v="1"/>
    <n v="27.67"/>
    <n v="1.31"/>
    <n v="26.36"/>
    <n v="1"/>
  </r>
  <r>
    <s v="2021-06-08"/>
    <s v="Vancouver"/>
    <s v="加拿大二店"/>
    <x v="1"/>
    <x v="6"/>
    <x v="121"/>
    <x v="115"/>
    <x v="125"/>
    <s v="整份"/>
    <n v="12.95"/>
    <s v="份"/>
    <n v="2"/>
    <n v="25.9"/>
    <n v="0"/>
    <n v="0"/>
    <n v="0"/>
    <n v="0"/>
    <n v="0"/>
    <n v="0"/>
    <n v="0"/>
    <n v="0"/>
    <n v="4.14"/>
    <n v="0"/>
    <n v="2"/>
    <n v="22.84"/>
    <n v="1.08"/>
    <n v="21.76"/>
    <n v="1"/>
  </r>
  <r>
    <s v="2021-06-08"/>
    <s v="Vancouver"/>
    <s v="加拿大二店"/>
    <x v="1"/>
    <x v="6"/>
    <x v="15"/>
    <x v="16"/>
    <x v="16"/>
    <s v="整份"/>
    <n v="8.95"/>
    <s v="份"/>
    <n v="2"/>
    <n v="17.9"/>
    <n v="0"/>
    <n v="0"/>
    <n v="0"/>
    <n v="0"/>
    <n v="0"/>
    <n v="0"/>
    <n v="0"/>
    <n v="0"/>
    <n v="2.86"/>
    <n v="0"/>
    <n v="2"/>
    <n v="15.79"/>
    <n v="0.75"/>
    <n v="15.04"/>
    <n v="1"/>
  </r>
  <r>
    <s v="2021-06-08"/>
    <s v="Vancouver"/>
    <s v="加拿大二店"/>
    <x v="3"/>
    <x v="7"/>
    <x v="16"/>
    <x v="17"/>
    <x v="17"/>
    <s v="整份"/>
    <n v="4.95"/>
    <s v="份"/>
    <n v="13"/>
    <n v="64.35"/>
    <n v="0"/>
    <n v="0"/>
    <n v="0"/>
    <n v="0"/>
    <n v="0"/>
    <n v="0"/>
    <n v="0"/>
    <n v="0"/>
    <n v="6.62"/>
    <n v="0"/>
    <n v="13"/>
    <n v="60.61"/>
    <n v="2.88"/>
    <n v="57.73"/>
    <n v="1"/>
  </r>
  <r>
    <s v="2021-06-08"/>
    <s v="Vancouver"/>
    <s v="加拿大二店"/>
    <x v="2"/>
    <x v="4"/>
    <x v="17"/>
    <x v="18"/>
    <x v="18"/>
    <s v="冰镇"/>
    <n v="2.95"/>
    <s v="瓶"/>
    <n v="5"/>
    <n v="14.75"/>
    <n v="0"/>
    <n v="0"/>
    <n v="0"/>
    <n v="0"/>
    <n v="0"/>
    <n v="0"/>
    <n v="0"/>
    <n v="0"/>
    <n v="0"/>
    <n v="0"/>
    <n v="5"/>
    <n v="16.52"/>
    <n v="1.77"/>
    <n v="14.75"/>
    <n v="1"/>
  </r>
  <r>
    <s v="2021-06-08"/>
    <s v="Vancouver"/>
    <s v="加拿大二店"/>
    <x v="1"/>
    <x v="8"/>
    <x v="19"/>
    <x v="20"/>
    <x v="20"/>
    <s v="整份"/>
    <n v="5.95"/>
    <s v="份"/>
    <n v="5"/>
    <n v="29.75"/>
    <n v="0"/>
    <n v="0"/>
    <n v="0"/>
    <n v="0"/>
    <n v="0"/>
    <n v="0"/>
    <n v="0"/>
    <n v="0"/>
    <n v="1.9"/>
    <n v="0"/>
    <n v="5"/>
    <n v="29.24"/>
    <n v="1.39"/>
    <n v="27.85"/>
    <n v="1"/>
  </r>
  <r>
    <s v="2021-06-08"/>
    <s v="Vancouver"/>
    <s v="加拿大二店"/>
    <x v="1"/>
    <x v="8"/>
    <x v="20"/>
    <x v="21"/>
    <x v="21"/>
    <s v="整份"/>
    <n v="7.95"/>
    <s v="份"/>
    <n v="4"/>
    <n v="31.8"/>
    <n v="0"/>
    <n v="0"/>
    <n v="0"/>
    <n v="0"/>
    <n v="0"/>
    <n v="0"/>
    <n v="0"/>
    <n v="0"/>
    <n v="2.54"/>
    <n v="0"/>
    <n v="4"/>
    <n v="30.72"/>
    <n v="1.46"/>
    <n v="29.26"/>
    <n v="1"/>
  </r>
  <r>
    <s v="2021-06-08"/>
    <s v="Vancouver"/>
    <s v="加拿大二店"/>
    <x v="4"/>
    <x v="10"/>
    <x v="22"/>
    <x v="0"/>
    <x v="23"/>
    <s v="四宫格"/>
    <n v="5.95"/>
    <s v="锅"/>
    <n v="4"/>
    <n v="23.8"/>
    <n v="0"/>
    <n v="0"/>
    <n v="0"/>
    <n v="0"/>
    <n v="0"/>
    <n v="0"/>
    <n v="0"/>
    <n v="0"/>
    <n v="0"/>
    <n v="0"/>
    <n v="4"/>
    <n v="25.22"/>
    <n v="1.42"/>
    <n v="23.8"/>
    <n v="1"/>
  </r>
  <r>
    <s v="2021-06-08"/>
    <s v="Vancouver"/>
    <s v="加拿大二店"/>
    <x v="3"/>
    <x v="7"/>
    <x v="23"/>
    <x v="23"/>
    <x v="24"/>
    <s v="整份"/>
    <n v="4.95"/>
    <s v="份"/>
    <n v="14"/>
    <n v="69.3"/>
    <n v="0"/>
    <n v="0"/>
    <n v="0"/>
    <n v="0"/>
    <n v="0"/>
    <n v="0"/>
    <n v="0"/>
    <n v="0"/>
    <n v="2.57"/>
    <n v="0"/>
    <n v="14"/>
    <n v="70.06"/>
    <n v="3.33"/>
    <n v="66.73"/>
    <n v="1"/>
  </r>
  <r>
    <s v="2021-06-08"/>
    <s v="Vancouver"/>
    <s v="加拿大二店"/>
    <x v="3"/>
    <x v="11"/>
    <x v="24"/>
    <x v="118"/>
    <x v="129"/>
    <s v="整份"/>
    <n v="5.95"/>
    <s v="份"/>
    <n v="2"/>
    <n v="11.9"/>
    <n v="0"/>
    <n v="0"/>
    <n v="0"/>
    <n v="0"/>
    <n v="0"/>
    <n v="0"/>
    <n v="0"/>
    <n v="0"/>
    <n v="1.9"/>
    <n v="0"/>
    <n v="2"/>
    <n v="10.5"/>
    <n v="0.5"/>
    <n v="10"/>
    <n v="1"/>
  </r>
  <r>
    <s v="2021-06-08"/>
    <s v="Vancouver"/>
    <s v="加拿大二店"/>
    <x v="3"/>
    <x v="11"/>
    <x v="24"/>
    <x v="24"/>
    <x v="25"/>
    <s v="半份"/>
    <n v="2.95"/>
    <s v="份"/>
    <n v="5"/>
    <n v="14.75"/>
    <n v="0"/>
    <n v="0"/>
    <n v="0"/>
    <n v="0"/>
    <n v="0"/>
    <n v="0"/>
    <n v="0"/>
    <n v="0"/>
    <n v="0"/>
    <n v="0"/>
    <n v="5"/>
    <n v="15.48"/>
    <n v="0.73"/>
    <n v="14.75"/>
    <n v="0.5"/>
  </r>
  <r>
    <s v="2021-06-08"/>
    <s v="Vancouver"/>
    <s v="加拿大二店"/>
    <x v="3"/>
    <x v="5"/>
    <x v="25"/>
    <x v="25"/>
    <x v="26"/>
    <s v="整份"/>
    <n v="3.95"/>
    <s v="份"/>
    <n v="5"/>
    <n v="19.75"/>
    <n v="0"/>
    <n v="0"/>
    <n v="0"/>
    <n v="0"/>
    <n v="0"/>
    <n v="0"/>
    <n v="0"/>
    <n v="0"/>
    <n v="1.58"/>
    <n v="0"/>
    <n v="5"/>
    <n v="19.07"/>
    <n v="0.9"/>
    <n v="18.17"/>
    <n v="1"/>
  </r>
  <r>
    <s v="2021-06-08"/>
    <s v="Vancouver"/>
    <s v="加拿大二店"/>
    <x v="3"/>
    <x v="11"/>
    <x v="26"/>
    <x v="26"/>
    <x v="27"/>
    <s v="整份"/>
    <n v="4.95"/>
    <s v="份"/>
    <n v="11"/>
    <n v="54.45"/>
    <n v="0"/>
    <n v="0"/>
    <n v="0"/>
    <n v="0"/>
    <n v="0"/>
    <n v="0"/>
    <n v="0"/>
    <n v="0"/>
    <n v="1.58"/>
    <n v="0"/>
    <n v="11"/>
    <n v="55.51"/>
    <n v="2.64"/>
    <n v="52.87"/>
    <n v="1"/>
  </r>
  <r>
    <s v="2021-06-08"/>
    <s v="Vancouver"/>
    <s v="加拿大二店"/>
    <x v="3"/>
    <x v="11"/>
    <x v="26"/>
    <x v="27"/>
    <x v="28"/>
    <s v="半份"/>
    <n v="2.45"/>
    <s v="份"/>
    <n v="7"/>
    <n v="17.15"/>
    <n v="0"/>
    <n v="0"/>
    <n v="0"/>
    <n v="0"/>
    <n v="0"/>
    <n v="0"/>
    <n v="0"/>
    <n v="0"/>
    <n v="1.48"/>
    <n v="0"/>
    <n v="7"/>
    <n v="16.45"/>
    <n v="0.78"/>
    <n v="15.67"/>
    <n v="0.5"/>
  </r>
  <r>
    <s v="2021-06-08"/>
    <s v="Vancouver"/>
    <s v="加拿大二店"/>
    <x v="2"/>
    <x v="4"/>
    <x v="122"/>
    <x v="116"/>
    <x v="126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08"/>
    <s v="Vancouver"/>
    <s v="加拿大二店"/>
    <x v="5"/>
    <x v="12"/>
    <x v="27"/>
    <x v="28"/>
    <x v="29"/>
    <s v="整份"/>
    <n v="7.95"/>
    <s v="份"/>
    <n v="6"/>
    <n v="47.7"/>
    <n v="1"/>
    <n v="7.95"/>
    <n v="0"/>
    <n v="0"/>
    <n v="0"/>
    <n v="0"/>
    <n v="0"/>
    <n v="0"/>
    <n v="8.1"/>
    <n v="0"/>
    <n v="5"/>
    <n v="33.23"/>
    <n v="1.58"/>
    <n v="31.65"/>
    <n v="1"/>
  </r>
  <r>
    <s v="2021-06-08"/>
    <s v="Vancouver"/>
    <s v="加拿大二店"/>
    <x v="3"/>
    <x v="7"/>
    <x v="28"/>
    <x v="29"/>
    <x v="30"/>
    <s v="整份"/>
    <n v="4.95"/>
    <s v="份"/>
    <n v="14"/>
    <n v="69.3"/>
    <n v="0"/>
    <n v="0"/>
    <n v="0"/>
    <n v="0"/>
    <n v="0"/>
    <n v="0"/>
    <n v="0"/>
    <n v="0"/>
    <n v="4.47"/>
    <n v="0"/>
    <n v="14"/>
    <n v="68.07"/>
    <n v="3.24"/>
    <n v="64.83"/>
    <n v="1"/>
  </r>
  <r>
    <s v="2021-06-08"/>
    <s v="Vancouver"/>
    <s v="加拿大二店"/>
    <x v="2"/>
    <x v="4"/>
    <x v="112"/>
    <x v="106"/>
    <x v="116"/>
    <s v="冰镇"/>
    <n v="3.95"/>
    <s v="瓶"/>
    <n v="1"/>
    <n v="3.95"/>
    <n v="0"/>
    <n v="0"/>
    <n v="0"/>
    <n v="0"/>
    <n v="0"/>
    <n v="0"/>
    <n v="0"/>
    <n v="0"/>
    <n v="0"/>
    <n v="0"/>
    <n v="1"/>
    <n v="4.42"/>
    <n v="0.47"/>
    <n v="3.95"/>
    <n v="1"/>
  </r>
  <r>
    <s v="2021-06-08"/>
    <s v="Vancouver"/>
    <s v="加拿大二店"/>
    <x v="3"/>
    <x v="5"/>
    <x v="29"/>
    <x v="30"/>
    <x v="31"/>
    <s v="整份"/>
    <n v="3.95"/>
    <s v="份"/>
    <n v="6"/>
    <n v="23.7"/>
    <n v="0"/>
    <n v="0"/>
    <n v="0"/>
    <n v="0"/>
    <n v="0"/>
    <n v="0"/>
    <n v="0"/>
    <n v="0"/>
    <n v="2.05"/>
    <n v="0"/>
    <n v="6"/>
    <n v="22.73"/>
    <n v="1.08"/>
    <n v="21.65"/>
    <n v="1"/>
  </r>
  <r>
    <s v="2021-06-08"/>
    <s v="Vancouver"/>
    <s v="加拿大二店"/>
    <x v="6"/>
    <x v="13"/>
    <x v="30"/>
    <x v="31"/>
    <x v="32"/>
    <s v="整份"/>
    <n v="4.95"/>
    <s v="份"/>
    <n v="3"/>
    <n v="14.85"/>
    <n v="0"/>
    <n v="0"/>
    <n v="0"/>
    <n v="0"/>
    <n v="0"/>
    <n v="0"/>
    <n v="0"/>
    <n v="-0.01"/>
    <n v="4.63"/>
    <n v="0"/>
    <n v="3"/>
    <n v="10.74"/>
    <n v="0.51"/>
    <n v="10.23"/>
    <n v="1"/>
  </r>
  <r>
    <s v="2021-06-08"/>
    <s v="Vancouver"/>
    <s v="加拿大二店"/>
    <x v="5"/>
    <x v="12"/>
    <x v="32"/>
    <x v="33"/>
    <x v="34"/>
    <s v="整份"/>
    <n v="17.85"/>
    <s v="份"/>
    <n v="5"/>
    <n v="89.25"/>
    <n v="0"/>
    <n v="0"/>
    <n v="0"/>
    <n v="0"/>
    <n v="0"/>
    <n v="0"/>
    <n v="0"/>
    <n v="0"/>
    <n v="1.85"/>
    <n v="0"/>
    <n v="5"/>
    <n v="91.77"/>
    <n v="4.37"/>
    <n v="87.4"/>
    <n v="1"/>
  </r>
  <r>
    <s v="2021-06-08"/>
    <s v="Vancouver"/>
    <s v="加拿大二店"/>
    <x v="1"/>
    <x v="3"/>
    <x v="33"/>
    <x v="34"/>
    <x v="35"/>
    <s v="整份"/>
    <n v="11.95"/>
    <s v="份"/>
    <n v="19"/>
    <n v="227.05"/>
    <n v="0"/>
    <n v="0"/>
    <n v="0"/>
    <n v="0"/>
    <n v="0"/>
    <n v="0"/>
    <n v="0"/>
    <n v="0"/>
    <n v="6.21"/>
    <n v="0"/>
    <n v="19"/>
    <n v="231.88"/>
    <n v="11.04"/>
    <n v="220.84"/>
    <n v="1"/>
  </r>
  <r>
    <s v="2021-06-08"/>
    <s v="Vancouver"/>
    <s v="加拿大二店"/>
    <x v="5"/>
    <x v="12"/>
    <x v="34"/>
    <x v="35"/>
    <x v="36"/>
    <s v="整份"/>
    <n v="11.95"/>
    <s v="份"/>
    <n v="2"/>
    <n v="23.9"/>
    <n v="0"/>
    <n v="0"/>
    <n v="0"/>
    <n v="0"/>
    <n v="0"/>
    <n v="0"/>
    <n v="0"/>
    <n v="0"/>
    <n v="2.39"/>
    <n v="0"/>
    <n v="2"/>
    <n v="22.58"/>
    <n v="1.07"/>
    <n v="21.51"/>
    <n v="1"/>
  </r>
  <r>
    <s v="2021-06-08"/>
    <s v="Vancouver"/>
    <s v="加拿大二店"/>
    <x v="5"/>
    <x v="12"/>
    <x v="35"/>
    <x v="36"/>
    <x v="37"/>
    <s v="条"/>
    <n v="4.95"/>
    <s v="条"/>
    <n v="15"/>
    <n v="74.25"/>
    <n v="0"/>
    <n v="0"/>
    <n v="0"/>
    <n v="0"/>
    <n v="4"/>
    <n v="19.8"/>
    <n v="0"/>
    <n v="0"/>
    <n v="1.98"/>
    <n v="0"/>
    <n v="11"/>
    <n v="55.09"/>
    <n v="2.62"/>
    <n v="52.47"/>
    <n v="1"/>
  </r>
  <r>
    <s v="2021-06-08"/>
    <s v="Vancouver"/>
    <s v="加拿大二店"/>
    <x v="5"/>
    <x v="12"/>
    <x v="36"/>
    <x v="37"/>
    <x v="38"/>
    <s v="整份"/>
    <n v="13.95"/>
    <s v="份"/>
    <n v="16"/>
    <n v="223.2"/>
    <n v="1"/>
    <n v="13.95"/>
    <n v="0"/>
    <n v="0"/>
    <n v="0"/>
    <n v="0"/>
    <n v="0"/>
    <n v="0"/>
    <n v="14.5"/>
    <n v="0"/>
    <n v="15"/>
    <n v="204.48"/>
    <n v="9.73"/>
    <n v="194.75"/>
    <n v="1"/>
  </r>
  <r>
    <s v="2021-06-08"/>
    <s v="Vancouver"/>
    <s v="加拿大二店"/>
    <x v="5"/>
    <x v="12"/>
    <x v="37"/>
    <x v="38"/>
    <x v="39"/>
    <s v="整份"/>
    <n v="9.95"/>
    <s v="份"/>
    <n v="13"/>
    <n v="129.35"/>
    <n v="0"/>
    <n v="0"/>
    <n v="0"/>
    <n v="0"/>
    <n v="0"/>
    <n v="0"/>
    <n v="0"/>
    <n v="0"/>
    <n v="7.16"/>
    <n v="0"/>
    <n v="13"/>
    <n v="128.29"/>
    <n v="6.1"/>
    <n v="122.19"/>
    <n v="1"/>
  </r>
  <r>
    <s v="2021-06-08"/>
    <s v="Vancouver"/>
    <s v="加拿大二店"/>
    <x v="5"/>
    <x v="12"/>
    <x v="38"/>
    <x v="39"/>
    <x v="40"/>
    <s v="整份"/>
    <n v="9.95"/>
    <s v="份"/>
    <n v="2"/>
    <n v="19.9"/>
    <n v="0"/>
    <n v="0"/>
    <n v="0"/>
    <n v="0"/>
    <n v="0"/>
    <n v="0"/>
    <n v="0"/>
    <n v="0"/>
    <n v="0"/>
    <n v="0"/>
    <n v="2"/>
    <n v="20.89"/>
    <n v="0.99"/>
    <n v="19.9"/>
    <n v="1"/>
  </r>
  <r>
    <s v="2021-06-08"/>
    <s v="Vancouver"/>
    <s v="加拿大二店"/>
    <x v="6"/>
    <x v="13"/>
    <x v="39"/>
    <x v="40"/>
    <x v="41"/>
    <s v="整份"/>
    <n v="8.95"/>
    <s v="份"/>
    <n v="12"/>
    <n v="107.4"/>
    <n v="0"/>
    <n v="0"/>
    <n v="0"/>
    <n v="0"/>
    <n v="0"/>
    <n v="0"/>
    <n v="0"/>
    <n v="0"/>
    <n v="0.93"/>
    <n v="0"/>
    <n v="12"/>
    <n v="111.79"/>
    <n v="5.32"/>
    <n v="106.47"/>
    <n v="1"/>
  </r>
  <r>
    <s v="2021-06-08"/>
    <s v="Vancouver"/>
    <s v="加拿大二店"/>
    <x v="5"/>
    <x v="12"/>
    <x v="40"/>
    <x v="41"/>
    <x v="42"/>
    <s v="整份"/>
    <n v="9.95"/>
    <s v="份"/>
    <n v="5"/>
    <n v="49.75"/>
    <n v="0"/>
    <n v="0"/>
    <n v="0"/>
    <n v="0"/>
    <n v="0"/>
    <n v="0"/>
    <n v="0"/>
    <n v="0"/>
    <n v="1.99"/>
    <n v="0"/>
    <n v="5"/>
    <n v="50.14"/>
    <n v="2.38"/>
    <n v="47.76"/>
    <n v="1"/>
  </r>
  <r>
    <s v="2021-06-08"/>
    <s v="Vancouver"/>
    <s v="加拿大二店"/>
    <x v="1"/>
    <x v="6"/>
    <x v="131"/>
    <x v="125"/>
    <x v="136"/>
    <s v="整份"/>
    <n v="14.95"/>
    <s v="份"/>
    <n v="1"/>
    <n v="14.95"/>
    <n v="1"/>
    <n v="14.95"/>
    <n v="0"/>
    <n v="0"/>
    <n v="0"/>
    <n v="0"/>
    <n v="0"/>
    <n v="0"/>
    <n v="0"/>
    <n v="0"/>
    <n v="0"/>
    <n v="0"/>
    <n v="0"/>
    <n v="0"/>
    <n v="1"/>
  </r>
  <r>
    <s v="2021-06-08"/>
    <s v="Vancouver"/>
    <s v="加拿大二店"/>
    <x v="5"/>
    <x v="12"/>
    <x v="41"/>
    <x v="42"/>
    <x v="43"/>
    <s v="整份"/>
    <n v="7.95"/>
    <s v="份"/>
    <n v="8"/>
    <n v="63.6"/>
    <n v="0"/>
    <n v="0"/>
    <n v="0"/>
    <n v="0"/>
    <n v="0"/>
    <n v="0"/>
    <n v="0"/>
    <n v="0"/>
    <n v="4"/>
    <n v="0"/>
    <n v="8"/>
    <n v="62.58"/>
    <n v="2.98"/>
    <n v="59.6"/>
    <n v="1"/>
  </r>
  <r>
    <s v="2021-06-08"/>
    <s v="Vancouver"/>
    <s v="加拿大二店"/>
    <x v="2"/>
    <x v="2"/>
    <x v="42"/>
    <x v="43"/>
    <x v="44"/>
    <s v="冰镇"/>
    <n v="5.95"/>
    <s v="瓶"/>
    <n v="7"/>
    <n v="41.65"/>
    <n v="0"/>
    <n v="0"/>
    <n v="0"/>
    <n v="0"/>
    <n v="0"/>
    <n v="0"/>
    <n v="0"/>
    <n v="0"/>
    <n v="0"/>
    <n v="0"/>
    <n v="7"/>
    <n v="47.89"/>
    <n v="6.24"/>
    <n v="41.65"/>
    <n v="1"/>
  </r>
  <r>
    <s v="2021-06-08"/>
    <s v="Vancouver"/>
    <s v="加拿大二店"/>
    <x v="3"/>
    <x v="5"/>
    <x v="43"/>
    <x v="44"/>
    <x v="45"/>
    <s v="整份"/>
    <n v="3.95"/>
    <s v="份"/>
    <n v="3"/>
    <n v="11.85"/>
    <n v="0"/>
    <n v="0"/>
    <n v="0"/>
    <n v="0"/>
    <n v="0"/>
    <n v="0"/>
    <n v="0"/>
    <n v="0"/>
    <n v="0.79"/>
    <n v="0"/>
    <n v="3"/>
    <n v="11.61"/>
    <n v="0.55"/>
    <n v="11.06"/>
    <n v="1"/>
  </r>
  <r>
    <s v="2021-06-08"/>
    <s v="Vancouver"/>
    <s v="加拿大二店"/>
    <x v="7"/>
    <x v="14"/>
    <x v="44"/>
    <x v="45"/>
    <x v="46"/>
    <s v="整份"/>
    <n v="0"/>
    <s v="份"/>
    <n v="4"/>
    <n v="0"/>
    <n v="0"/>
    <n v="0"/>
    <n v="0"/>
    <n v="0"/>
    <n v="0"/>
    <n v="0"/>
    <n v="0"/>
    <n v="0"/>
    <n v="0"/>
    <n v="0"/>
    <n v="4"/>
    <n v="0"/>
    <n v="0"/>
    <n v="0"/>
    <n v="1"/>
  </r>
  <r>
    <s v="2021-06-08"/>
    <s v="Vancouver"/>
    <s v="加拿大二店"/>
    <x v="7"/>
    <x v="14"/>
    <x v="45"/>
    <x v="46"/>
    <x v="47"/>
    <s v="整份"/>
    <n v="7"/>
    <s v="份"/>
    <n v="1"/>
    <n v="7"/>
    <n v="0"/>
    <n v="0"/>
    <n v="0"/>
    <n v="0"/>
    <n v="1"/>
    <n v="7"/>
    <n v="0"/>
    <n v="0"/>
    <n v="0"/>
    <n v="0"/>
    <n v="0"/>
    <n v="0"/>
    <n v="0"/>
    <n v="0"/>
    <n v="1"/>
  </r>
  <r>
    <s v="2021-06-08"/>
    <s v="Vancouver"/>
    <s v="加拿大二店"/>
    <x v="7"/>
    <x v="14"/>
    <x v="45"/>
    <x v="46"/>
    <x v="47"/>
    <s v="整份"/>
    <n v="9.9"/>
    <s v="份"/>
    <n v="1"/>
    <n v="9.9"/>
    <n v="0"/>
    <n v="0"/>
    <n v="0"/>
    <n v="0"/>
    <n v="0"/>
    <n v="0"/>
    <n v="0"/>
    <n v="0"/>
    <n v="0"/>
    <n v="0"/>
    <n v="1"/>
    <n v="10.39"/>
    <n v="0.49"/>
    <n v="9.9"/>
    <n v="1"/>
  </r>
  <r>
    <s v="2021-06-08"/>
    <s v="Vancouver"/>
    <s v="加拿大二店"/>
    <x v="7"/>
    <x v="14"/>
    <x v="45"/>
    <x v="46"/>
    <x v="47"/>
    <s v="整份"/>
    <n v="9.99"/>
    <s v="份"/>
    <n v="2"/>
    <n v="19.98"/>
    <n v="1"/>
    <n v="9.99"/>
    <n v="0"/>
    <n v="0"/>
    <n v="0"/>
    <n v="0"/>
    <n v="0"/>
    <n v="-0.02"/>
    <n v="0"/>
    <n v="0"/>
    <n v="1"/>
    <n v="10.51"/>
    <n v="0.5"/>
    <n v="10.01"/>
    <n v="1"/>
  </r>
  <r>
    <s v="2021-06-08"/>
    <s v="Vancouver"/>
    <s v="加拿大二店"/>
    <x v="7"/>
    <x v="14"/>
    <x v="45"/>
    <x v="46"/>
    <x v="47"/>
    <s v="整份"/>
    <n v="10.5"/>
    <s v="份"/>
    <n v="1"/>
    <n v="10.5"/>
    <n v="1"/>
    <n v="10.5"/>
    <n v="0"/>
    <n v="0"/>
    <n v="0"/>
    <n v="0"/>
    <n v="0"/>
    <n v="0"/>
    <n v="0"/>
    <n v="0"/>
    <n v="0"/>
    <n v="0"/>
    <n v="0"/>
    <n v="0"/>
    <n v="1"/>
  </r>
  <r>
    <s v="2021-06-08"/>
    <s v="Vancouver"/>
    <s v="加拿大二店"/>
    <x v="7"/>
    <x v="14"/>
    <x v="45"/>
    <x v="46"/>
    <x v="47"/>
    <s v="整份"/>
    <n v="12.24"/>
    <s v="份"/>
    <n v="1"/>
    <n v="12.24"/>
    <n v="0"/>
    <n v="0"/>
    <n v="0"/>
    <n v="0"/>
    <n v="0"/>
    <n v="0"/>
    <n v="0"/>
    <n v="0.01"/>
    <n v="0"/>
    <n v="0"/>
    <n v="1"/>
    <n v="12.84"/>
    <n v="0.61"/>
    <n v="12.23"/>
    <n v="1"/>
  </r>
  <r>
    <s v="2021-06-08"/>
    <s v="Vancouver"/>
    <s v="加拿大二店"/>
    <x v="7"/>
    <x v="14"/>
    <x v="45"/>
    <x v="46"/>
    <x v="47"/>
    <s v="整份"/>
    <n v="12.99"/>
    <s v="份"/>
    <n v="1"/>
    <n v="12.99"/>
    <n v="0"/>
    <n v="0"/>
    <n v="0"/>
    <n v="0"/>
    <n v="0"/>
    <n v="0"/>
    <n v="0"/>
    <n v="0"/>
    <n v="0"/>
    <n v="0"/>
    <n v="1"/>
    <n v="13.63"/>
    <n v="0.64"/>
    <n v="12.99"/>
    <n v="1"/>
  </r>
  <r>
    <s v="2021-06-08"/>
    <s v="Vancouver"/>
    <s v="加拿大二店"/>
    <x v="7"/>
    <x v="14"/>
    <x v="45"/>
    <x v="46"/>
    <x v="47"/>
    <s v="整份"/>
    <n v="23.8"/>
    <s v="份"/>
    <n v="2"/>
    <n v="47.6"/>
    <n v="0"/>
    <n v="0"/>
    <n v="0"/>
    <n v="0"/>
    <n v="0"/>
    <n v="0"/>
    <n v="0"/>
    <n v="0"/>
    <n v="0"/>
    <n v="0"/>
    <n v="2"/>
    <n v="49.98"/>
    <n v="2.38"/>
    <n v="47.6"/>
    <n v="1"/>
  </r>
  <r>
    <s v="2021-06-08"/>
    <s v="Vancouver"/>
    <s v="加拿大二店"/>
    <x v="7"/>
    <x v="14"/>
    <x v="45"/>
    <x v="46"/>
    <x v="47"/>
    <s v="整份"/>
    <n v="25.98"/>
    <s v="份"/>
    <n v="1"/>
    <n v="25.98"/>
    <n v="0"/>
    <n v="0"/>
    <n v="0"/>
    <n v="0"/>
    <n v="0"/>
    <n v="0"/>
    <n v="0"/>
    <n v="-0.01"/>
    <n v="7"/>
    <n v="0"/>
    <n v="1"/>
    <n v="19.93"/>
    <n v="0.94"/>
    <n v="18.99"/>
    <n v="1"/>
  </r>
  <r>
    <s v="2021-06-08"/>
    <s v="Vancouver"/>
    <s v="加拿大二店"/>
    <x v="7"/>
    <x v="14"/>
    <x v="45"/>
    <x v="46"/>
    <x v="47"/>
    <s v="整份"/>
    <n v="27.79"/>
    <s v="份"/>
    <n v="1"/>
    <n v="27.79"/>
    <n v="0"/>
    <n v="0"/>
    <n v="0"/>
    <n v="0"/>
    <n v="0"/>
    <n v="0"/>
    <n v="0"/>
    <n v="-0.01"/>
    <n v="0"/>
    <n v="0"/>
    <n v="1"/>
    <n v="29.19"/>
    <n v="1.39"/>
    <n v="27.8"/>
    <n v="1"/>
  </r>
  <r>
    <s v="2021-06-08"/>
    <s v="Vancouver"/>
    <s v="加拿大二店"/>
    <x v="7"/>
    <x v="14"/>
    <x v="45"/>
    <x v="46"/>
    <x v="47"/>
    <s v="整份"/>
    <n v="27.96"/>
    <s v="份"/>
    <n v="1"/>
    <n v="27.96"/>
    <n v="0"/>
    <n v="0"/>
    <n v="0"/>
    <n v="0"/>
    <n v="0"/>
    <n v="0"/>
    <n v="0"/>
    <n v="0.02"/>
    <n v="0"/>
    <n v="0"/>
    <n v="1"/>
    <n v="29.33"/>
    <n v="1.39"/>
    <n v="27.94"/>
    <n v="1"/>
  </r>
  <r>
    <s v="2021-06-08"/>
    <s v="Vancouver"/>
    <s v="加拿大二店"/>
    <x v="7"/>
    <x v="14"/>
    <x v="45"/>
    <x v="46"/>
    <x v="47"/>
    <s v="整份"/>
    <n v="32.05"/>
    <s v="份"/>
    <n v="1"/>
    <n v="32.05"/>
    <n v="0"/>
    <n v="0"/>
    <n v="0"/>
    <n v="0"/>
    <n v="0"/>
    <n v="0"/>
    <n v="0"/>
    <n v="0.02"/>
    <n v="0"/>
    <n v="0"/>
    <n v="1"/>
    <n v="33.63"/>
    <n v="1.6"/>
    <n v="32.03"/>
    <n v="1"/>
  </r>
  <r>
    <s v="2021-06-08"/>
    <s v="Vancouver"/>
    <s v="加拿大二店"/>
    <x v="7"/>
    <x v="14"/>
    <x v="45"/>
    <x v="46"/>
    <x v="47"/>
    <s v="整份"/>
    <n v="32.66"/>
    <s v="份"/>
    <n v="1"/>
    <n v="32.66"/>
    <n v="0"/>
    <n v="0"/>
    <n v="0"/>
    <n v="0"/>
    <n v="0"/>
    <n v="0"/>
    <n v="0"/>
    <n v="0.01"/>
    <n v="0"/>
    <n v="0"/>
    <n v="1"/>
    <n v="34.28"/>
    <n v="1.63"/>
    <n v="32.65"/>
    <n v="1"/>
  </r>
  <r>
    <s v="2021-06-08"/>
    <s v="Vancouver"/>
    <s v="加拿大二店"/>
    <x v="7"/>
    <x v="14"/>
    <x v="45"/>
    <x v="46"/>
    <x v="47"/>
    <s v="整份"/>
    <n v="128.95"/>
    <s v="份"/>
    <n v="1"/>
    <n v="128.95"/>
    <n v="0"/>
    <n v="0"/>
    <n v="0"/>
    <n v="0"/>
    <n v="0"/>
    <n v="0"/>
    <n v="0"/>
    <n v="-0.02"/>
    <n v="0"/>
    <n v="0"/>
    <n v="1"/>
    <n v="135.41"/>
    <n v="6.44"/>
    <n v="128.97"/>
    <n v="1"/>
  </r>
  <r>
    <s v="2021-06-08"/>
    <s v="Vancouver"/>
    <s v="加拿大二店"/>
    <x v="2"/>
    <x v="4"/>
    <x v="46"/>
    <x v="47"/>
    <x v="48"/>
    <s v="冰镇"/>
    <n v="2.45"/>
    <s v="听"/>
    <n v="2"/>
    <n v="4.9"/>
    <n v="0"/>
    <n v="0"/>
    <n v="0"/>
    <n v="0"/>
    <n v="0"/>
    <n v="0"/>
    <n v="0"/>
    <n v="0"/>
    <n v="0"/>
    <n v="0"/>
    <n v="2"/>
    <n v="5.48"/>
    <n v="0.58"/>
    <n v="4.9"/>
    <n v="1"/>
  </r>
  <r>
    <s v="2021-06-08"/>
    <s v="Vancouver"/>
    <s v="加拿大二店"/>
    <x v="2"/>
    <x v="4"/>
    <x v="47"/>
    <x v="48"/>
    <x v="49"/>
    <s v="冰镇"/>
    <n v="2.95"/>
    <s v="听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08"/>
    <s v="Vancouver"/>
    <s v="加拿大二店"/>
    <x v="6"/>
    <x v="13"/>
    <x v="48"/>
    <x v="49"/>
    <x v="50"/>
    <s v="整份"/>
    <n v="4.95"/>
    <s v="份"/>
    <n v="5"/>
    <n v="24.75"/>
    <n v="0"/>
    <n v="0"/>
    <n v="0"/>
    <n v="0"/>
    <n v="0"/>
    <n v="0"/>
    <n v="0"/>
    <n v="-0.01"/>
    <n v="2.97"/>
    <n v="0"/>
    <n v="5"/>
    <n v="22.87"/>
    <n v="1.08"/>
    <n v="21.79"/>
    <n v="1"/>
  </r>
  <r>
    <s v="2021-06-08"/>
    <s v="Vancouver"/>
    <s v="加拿大二店"/>
    <x v="3"/>
    <x v="7"/>
    <x v="49"/>
    <x v="50"/>
    <x v="51"/>
    <s v="整份"/>
    <n v="4.95"/>
    <s v="份"/>
    <n v="1"/>
    <n v="4.95"/>
    <n v="0"/>
    <n v="0"/>
    <n v="0"/>
    <n v="0"/>
    <n v="0"/>
    <n v="0"/>
    <n v="0"/>
    <n v="0"/>
    <n v="0"/>
    <n v="0"/>
    <n v="1"/>
    <n v="5.19"/>
    <n v="0.24"/>
    <n v="4.95"/>
    <n v="1"/>
  </r>
  <r>
    <s v="2021-06-08"/>
    <s v="Vancouver"/>
    <s v="加拿大二店"/>
    <x v="6"/>
    <x v="15"/>
    <x v="50"/>
    <x v="51"/>
    <x v="52"/>
    <s v="份"/>
    <n v="8.95"/>
    <s v="份"/>
    <n v="4"/>
    <n v="35.8"/>
    <n v="0"/>
    <n v="0"/>
    <n v="0"/>
    <n v="0"/>
    <n v="0"/>
    <n v="0"/>
    <n v="0"/>
    <n v="0"/>
    <n v="0"/>
    <n v="0"/>
    <n v="4"/>
    <n v="37.59"/>
    <n v="1.79"/>
    <n v="35.8"/>
    <n v="1"/>
  </r>
  <r>
    <s v="2021-06-08"/>
    <s v="Vancouver"/>
    <s v="加拿大二店"/>
    <x v="1"/>
    <x v="6"/>
    <x v="113"/>
    <x v="107"/>
    <x v="117"/>
    <s v="整份"/>
    <n v="28.95"/>
    <s v="份"/>
    <n v="1"/>
    <n v="28.95"/>
    <n v="0"/>
    <n v="0"/>
    <n v="0"/>
    <n v="0"/>
    <n v="0"/>
    <n v="0"/>
    <n v="0"/>
    <n v="0.01"/>
    <n v="0"/>
    <n v="0"/>
    <n v="1"/>
    <n v="30.38"/>
    <n v="1.44"/>
    <n v="28.94"/>
    <n v="1"/>
  </r>
  <r>
    <s v="2021-06-08"/>
    <s v="Vancouver"/>
    <s v="加拿大二店"/>
    <x v="3"/>
    <x v="5"/>
    <x v="51"/>
    <x v="52"/>
    <x v="53"/>
    <s v="整份"/>
    <n v="3.95"/>
    <s v="份"/>
    <n v="4"/>
    <n v="15.8"/>
    <n v="0"/>
    <n v="0"/>
    <n v="0"/>
    <n v="0"/>
    <n v="0"/>
    <n v="0"/>
    <n v="0"/>
    <n v="0"/>
    <n v="1.58"/>
    <n v="0"/>
    <n v="4"/>
    <n v="14.93"/>
    <n v="0.71"/>
    <n v="14.22"/>
    <n v="1"/>
  </r>
  <r>
    <s v="2021-06-08"/>
    <s v="Vancouver"/>
    <s v="加拿大二店"/>
    <x v="3"/>
    <x v="5"/>
    <x v="52"/>
    <x v="53"/>
    <x v="54"/>
    <s v="整份"/>
    <n v="5.95"/>
    <s v="份"/>
    <n v="3"/>
    <n v="17.85"/>
    <n v="0"/>
    <n v="0"/>
    <n v="0"/>
    <n v="0"/>
    <n v="0"/>
    <n v="0"/>
    <n v="0"/>
    <n v="0"/>
    <n v="2.38"/>
    <n v="0"/>
    <n v="3"/>
    <n v="16.24"/>
    <n v="0.77"/>
    <n v="15.47"/>
    <n v="1"/>
  </r>
  <r>
    <s v="2021-06-08"/>
    <s v="Vancouver"/>
    <s v="加拿大二店"/>
    <x v="4"/>
    <x v="9"/>
    <x v="53"/>
    <x v="0"/>
    <x v="55"/>
    <s v="拼锅"/>
    <n v="0"/>
    <s v="锅"/>
    <n v="6"/>
    <n v="0"/>
    <n v="0"/>
    <n v="0"/>
    <n v="0"/>
    <n v="0"/>
    <n v="0"/>
    <n v="0"/>
    <n v="0"/>
    <n v="0"/>
    <n v="0.01"/>
    <n v="0"/>
    <n v="6"/>
    <n v="-0.01"/>
    <n v="-0.01"/>
    <n v="0"/>
    <n v="2"/>
  </r>
  <r>
    <s v="2021-06-08"/>
    <s v="Vancouver"/>
    <s v="加拿大二店"/>
    <x v="4"/>
    <x v="10"/>
    <x v="53"/>
    <x v="0"/>
    <x v="55"/>
    <s v="四宫格"/>
    <n v="0"/>
    <s v="锅"/>
    <n v="7"/>
    <n v="0"/>
    <n v="0"/>
    <n v="0"/>
    <n v="0"/>
    <n v="0"/>
    <n v="0"/>
    <n v="0"/>
    <n v="0"/>
    <n v="-0.01"/>
    <n v="0"/>
    <n v="0"/>
    <n v="7"/>
    <n v="0.01"/>
    <n v="0"/>
    <n v="0.01"/>
    <n v="1"/>
  </r>
  <r>
    <s v="2021-06-08"/>
    <s v="Vancouver"/>
    <s v="加拿大二店"/>
    <x v="6"/>
    <x v="13"/>
    <x v="54"/>
    <x v="54"/>
    <x v="56"/>
    <s v="个"/>
    <n v="1.95"/>
    <s v="个"/>
    <n v="16"/>
    <n v="31.2"/>
    <n v="0"/>
    <n v="0"/>
    <n v="0"/>
    <n v="0"/>
    <n v="0"/>
    <n v="0"/>
    <n v="0"/>
    <n v="0"/>
    <n v="1.82"/>
    <n v="0"/>
    <n v="16"/>
    <n v="30.84"/>
    <n v="1.46"/>
    <n v="29.38"/>
    <n v="1"/>
  </r>
  <r>
    <s v="2021-06-08"/>
    <s v="Vancouver"/>
    <s v="加拿大二店"/>
    <x v="6"/>
    <x v="13"/>
    <x v="114"/>
    <x v="108"/>
    <x v="118"/>
    <s v="整份"/>
    <n v="7.95"/>
    <s v="份"/>
    <n v="3"/>
    <n v="23.85"/>
    <n v="0"/>
    <n v="0"/>
    <n v="0"/>
    <n v="0"/>
    <n v="0"/>
    <n v="0"/>
    <n v="0"/>
    <n v="0.01"/>
    <n v="1.59"/>
    <n v="0"/>
    <n v="3"/>
    <n v="23.36"/>
    <n v="1.11"/>
    <n v="22.25"/>
    <n v="1"/>
  </r>
  <r>
    <s v="2021-06-08"/>
    <s v="Vancouver"/>
    <s v="加拿大二店"/>
    <x v="1"/>
    <x v="8"/>
    <x v="55"/>
    <x v="55"/>
    <x v="57"/>
    <s v="整份"/>
    <n v="9.95"/>
    <s v="份"/>
    <n v="6"/>
    <n v="59.7"/>
    <n v="0"/>
    <n v="0"/>
    <n v="0"/>
    <n v="0"/>
    <n v="0"/>
    <n v="0"/>
    <n v="0"/>
    <n v="0"/>
    <n v="2.22"/>
    <n v="0"/>
    <n v="6"/>
    <n v="60.35"/>
    <n v="2.87"/>
    <n v="57.48"/>
    <n v="1"/>
  </r>
  <r>
    <s v="2021-06-08"/>
    <s v="Vancouver"/>
    <s v="加拿大二店"/>
    <x v="1"/>
    <x v="1"/>
    <x v="56"/>
    <x v="56"/>
    <x v="58"/>
    <s v="整份"/>
    <n v="12.95"/>
    <s v="份"/>
    <n v="12"/>
    <n v="155.4"/>
    <n v="0"/>
    <n v="0"/>
    <n v="0"/>
    <n v="0"/>
    <n v="0"/>
    <n v="0"/>
    <n v="0"/>
    <n v="0"/>
    <n v="8.02"/>
    <n v="0"/>
    <n v="12"/>
    <n v="154.74"/>
    <n v="7.36"/>
    <n v="147.38"/>
    <n v="1"/>
  </r>
  <r>
    <s v="2021-06-08"/>
    <s v="Vancouver"/>
    <s v="加拿大二店"/>
    <x v="1"/>
    <x v="1"/>
    <x v="57"/>
    <x v="57"/>
    <x v="59"/>
    <s v="整份"/>
    <n v="11.95"/>
    <s v="份"/>
    <n v="21"/>
    <n v="250.95"/>
    <n v="0"/>
    <n v="0"/>
    <n v="0"/>
    <n v="0"/>
    <n v="0"/>
    <n v="0"/>
    <n v="0"/>
    <n v="0"/>
    <n v="5.33"/>
    <n v="0"/>
    <n v="21"/>
    <n v="257.9"/>
    <n v="12.28"/>
    <n v="245.62"/>
    <n v="1"/>
  </r>
  <r>
    <s v="2021-06-08"/>
    <s v="Vancouver"/>
    <s v="加拿大二店"/>
    <x v="4"/>
    <x v="9"/>
    <x v="58"/>
    <x v="0"/>
    <x v="60"/>
    <s v="拼锅"/>
    <n v="8.95"/>
    <s v="锅"/>
    <n v="6"/>
    <n v="53.7"/>
    <n v="0"/>
    <n v="0"/>
    <n v="0"/>
    <n v="0"/>
    <n v="0"/>
    <n v="0"/>
    <n v="0"/>
    <n v="0"/>
    <n v="1.79"/>
    <n v="0"/>
    <n v="6"/>
    <n v="54.5"/>
    <n v="2.59"/>
    <n v="51.91"/>
    <n v="2"/>
  </r>
  <r>
    <s v="2021-06-08"/>
    <s v="Vancouver"/>
    <s v="加拿大二店"/>
    <x v="4"/>
    <x v="10"/>
    <x v="58"/>
    <x v="0"/>
    <x v="60"/>
    <s v="四宫格"/>
    <n v="4.95"/>
    <s v="锅"/>
    <n v="11"/>
    <n v="54.45"/>
    <n v="0"/>
    <n v="0"/>
    <n v="0"/>
    <n v="0"/>
    <n v="0"/>
    <n v="0"/>
    <n v="0"/>
    <n v="0"/>
    <n v="0.51"/>
    <n v="0"/>
    <n v="11"/>
    <n v="56.63"/>
    <n v="2.69"/>
    <n v="53.94"/>
    <n v="1"/>
  </r>
  <r>
    <s v="2021-06-08"/>
    <s v="Vancouver"/>
    <s v="加拿大二店"/>
    <x v="3"/>
    <x v="5"/>
    <x v="59"/>
    <x v="58"/>
    <x v="61"/>
    <s v="整份"/>
    <n v="4.95"/>
    <s v="份"/>
    <n v="5"/>
    <n v="24.75"/>
    <n v="0"/>
    <n v="0"/>
    <n v="0"/>
    <n v="0"/>
    <n v="0"/>
    <n v="0"/>
    <n v="0"/>
    <n v="0"/>
    <n v="2.57"/>
    <n v="0"/>
    <n v="5"/>
    <n v="23.28"/>
    <n v="1.1"/>
    <n v="22.18"/>
    <n v="1"/>
  </r>
  <r>
    <s v="2021-06-08"/>
    <s v="Vancouver"/>
    <s v="加拿大二店"/>
    <x v="2"/>
    <x v="4"/>
    <x v="60"/>
    <x v="59"/>
    <x v="62"/>
    <s v="冰镇"/>
    <n v="6.95"/>
    <s v="扎"/>
    <n v="1"/>
    <n v="6.95"/>
    <n v="0"/>
    <n v="0"/>
    <n v="0"/>
    <n v="0"/>
    <n v="0"/>
    <n v="0"/>
    <n v="0"/>
    <n v="0"/>
    <n v="0"/>
    <n v="0"/>
    <n v="1"/>
    <n v="7.78"/>
    <n v="0.83"/>
    <n v="6.95"/>
    <n v="1"/>
  </r>
  <r>
    <s v="2021-06-08"/>
    <s v="Vancouver"/>
    <s v="加拿大二店"/>
    <x v="6"/>
    <x v="13"/>
    <x v="61"/>
    <x v="60"/>
    <x v="63"/>
    <s v="整份"/>
    <n v="3.95"/>
    <s v="包"/>
    <n v="6"/>
    <n v="23.7"/>
    <n v="0"/>
    <n v="0"/>
    <n v="0"/>
    <n v="0"/>
    <n v="0"/>
    <n v="0"/>
    <n v="0"/>
    <n v="0"/>
    <n v="0.88"/>
    <n v="0"/>
    <n v="6"/>
    <n v="23.96"/>
    <n v="1.14"/>
    <n v="22.82"/>
    <n v="1"/>
  </r>
  <r>
    <s v="2021-06-08"/>
    <s v="Vancouver"/>
    <s v="加拿大二店"/>
    <x v="4"/>
    <x v="9"/>
    <x v="62"/>
    <x v="0"/>
    <x v="64"/>
    <s v="拼锅"/>
    <n v="8.95"/>
    <s v="锅"/>
    <n v="16"/>
    <n v="143.2"/>
    <n v="0"/>
    <n v="0"/>
    <n v="0"/>
    <n v="0"/>
    <n v="1"/>
    <n v="8.95"/>
    <n v="0"/>
    <n v="0.02"/>
    <n v="8.05"/>
    <n v="0"/>
    <n v="15"/>
    <n v="132.48"/>
    <n v="6.3"/>
    <n v="126.18"/>
    <n v="2"/>
  </r>
  <r>
    <s v="2021-06-08"/>
    <s v="Vancouver"/>
    <s v="加拿大二店"/>
    <x v="4"/>
    <x v="10"/>
    <x v="62"/>
    <x v="0"/>
    <x v="64"/>
    <s v="四宫格"/>
    <n v="4.95"/>
    <s v="锅"/>
    <n v="11"/>
    <n v="54.45"/>
    <n v="0"/>
    <n v="0"/>
    <n v="0"/>
    <n v="0"/>
    <n v="0"/>
    <n v="0"/>
    <n v="0"/>
    <n v="0"/>
    <n v="0"/>
    <n v="0"/>
    <n v="11"/>
    <n v="57.17"/>
    <n v="2.72"/>
    <n v="54.45"/>
    <n v="1"/>
  </r>
  <r>
    <s v="2021-06-08"/>
    <s v="Vancouver"/>
    <s v="加拿大二店"/>
    <x v="6"/>
    <x v="13"/>
    <x v="63"/>
    <x v="61"/>
    <x v="65"/>
    <s v="整份"/>
    <n v="1.5"/>
    <s v="碗"/>
    <n v="5"/>
    <n v="7.5"/>
    <n v="0"/>
    <n v="0"/>
    <n v="0"/>
    <n v="0"/>
    <n v="0"/>
    <n v="0"/>
    <n v="0"/>
    <n v="0.01"/>
    <n v="0"/>
    <n v="0"/>
    <n v="5"/>
    <n v="7.86"/>
    <n v="0.37"/>
    <n v="7.49"/>
    <n v="1"/>
  </r>
  <r>
    <s v="2021-06-08"/>
    <s v="Vancouver"/>
    <s v="加拿大二店"/>
    <x v="3"/>
    <x v="5"/>
    <x v="64"/>
    <x v="62"/>
    <x v="66"/>
    <s v="整份"/>
    <n v="3.95"/>
    <s v="份"/>
    <n v="4"/>
    <n v="15.8"/>
    <n v="0"/>
    <n v="0"/>
    <n v="0"/>
    <n v="0"/>
    <n v="0"/>
    <n v="0"/>
    <n v="0"/>
    <n v="0"/>
    <n v="0.79"/>
    <n v="0"/>
    <n v="4"/>
    <n v="15.76"/>
    <n v="0.75"/>
    <n v="15.01"/>
    <n v="1"/>
  </r>
  <r>
    <s v="2021-06-08"/>
    <s v="Vancouver"/>
    <s v="加拿大二店"/>
    <x v="2"/>
    <x v="19"/>
    <x v="125"/>
    <x v="119"/>
    <x v="130"/>
    <s v="瓶"/>
    <n v="16.95"/>
    <s v="瓶"/>
    <n v="1"/>
    <n v="16.95"/>
    <n v="0"/>
    <n v="0"/>
    <n v="0"/>
    <n v="0"/>
    <n v="0"/>
    <n v="0"/>
    <n v="0"/>
    <n v="-0.02"/>
    <n v="0"/>
    <n v="0"/>
    <n v="1"/>
    <n v="19.51"/>
    <n v="2.54"/>
    <n v="16.97"/>
    <n v="1"/>
  </r>
  <r>
    <s v="2021-06-08"/>
    <s v="Vancouver"/>
    <s v="加拿大二店"/>
    <x v="2"/>
    <x v="19"/>
    <x v="126"/>
    <x v="120"/>
    <x v="131"/>
    <s v="小瓶"/>
    <n v="16.95"/>
    <s v="小瓶"/>
    <n v="1"/>
    <n v="16.95"/>
    <n v="0"/>
    <n v="0"/>
    <n v="0"/>
    <n v="0"/>
    <n v="0"/>
    <n v="0"/>
    <n v="0"/>
    <n v="-0.02"/>
    <n v="0"/>
    <n v="0"/>
    <n v="1"/>
    <n v="19.51"/>
    <n v="2.54"/>
    <n v="16.97"/>
    <n v="1"/>
  </r>
  <r>
    <s v="2021-06-08"/>
    <s v="Vancouver"/>
    <s v="加拿大二店"/>
    <x v="2"/>
    <x v="4"/>
    <x v="65"/>
    <x v="63"/>
    <x v="67"/>
    <s v="扎"/>
    <n v="8.95"/>
    <s v="扎"/>
    <n v="3"/>
    <n v="26.85"/>
    <n v="0"/>
    <n v="0"/>
    <n v="0"/>
    <n v="0"/>
    <n v="0"/>
    <n v="0"/>
    <n v="0"/>
    <n v="0.02"/>
    <n v="0"/>
    <n v="0"/>
    <n v="3"/>
    <n v="30.04"/>
    <n v="3.21"/>
    <n v="26.83"/>
    <n v="1"/>
  </r>
  <r>
    <s v="2021-06-08"/>
    <s v="Vancouver"/>
    <s v="加拿大二店"/>
    <x v="2"/>
    <x v="4"/>
    <x v="66"/>
    <x v="64"/>
    <x v="68"/>
    <s v="扎"/>
    <n v="11.95"/>
    <s v="扎"/>
    <n v="1"/>
    <n v="11.95"/>
    <n v="0"/>
    <n v="0"/>
    <n v="0"/>
    <n v="0"/>
    <n v="0"/>
    <n v="0"/>
    <n v="0"/>
    <n v="0"/>
    <n v="0"/>
    <n v="0"/>
    <n v="1"/>
    <n v="13.38"/>
    <n v="1.43"/>
    <n v="11.95"/>
    <n v="1"/>
  </r>
  <r>
    <s v="2021-06-08"/>
    <s v="Vancouver"/>
    <s v="加拿大二店"/>
    <x v="3"/>
    <x v="5"/>
    <x v="117"/>
    <x v="111"/>
    <x v="121"/>
    <s v="整份"/>
    <n v="4.95"/>
    <s v="份"/>
    <n v="9"/>
    <n v="44.55"/>
    <n v="0"/>
    <n v="0"/>
    <n v="0"/>
    <n v="0"/>
    <n v="0"/>
    <n v="0"/>
    <n v="0"/>
    <n v="0"/>
    <n v="3.16"/>
    <n v="0"/>
    <n v="9"/>
    <n v="43.45"/>
    <n v="2.06"/>
    <n v="41.39"/>
    <n v="1"/>
  </r>
  <r>
    <s v="2021-06-08"/>
    <s v="Vancouver"/>
    <s v="加拿大二店"/>
    <x v="1"/>
    <x v="1"/>
    <x v="68"/>
    <x v="66"/>
    <x v="70"/>
    <s v="整份"/>
    <n v="8.95"/>
    <s v="份"/>
    <n v="53"/>
    <n v="474.35"/>
    <n v="0"/>
    <n v="0"/>
    <n v="0"/>
    <n v="0"/>
    <n v="1"/>
    <n v="8.95"/>
    <n v="0"/>
    <n v="0"/>
    <n v="15.6"/>
    <n v="0"/>
    <n v="52"/>
    <n v="472.29"/>
    <n v="22.49"/>
    <n v="449.8"/>
    <n v="1"/>
  </r>
  <r>
    <s v="2021-06-08"/>
    <s v="Vancouver"/>
    <s v="加拿大二店"/>
    <x v="1"/>
    <x v="1"/>
    <x v="69"/>
    <x v="67"/>
    <x v="71"/>
    <s v="整份"/>
    <n v="8.95"/>
    <s v="份"/>
    <n v="5"/>
    <n v="44.75"/>
    <n v="0"/>
    <n v="0"/>
    <n v="0"/>
    <n v="0"/>
    <n v="0"/>
    <n v="0"/>
    <n v="0"/>
    <n v="0"/>
    <n v="1.79"/>
    <n v="0"/>
    <n v="5"/>
    <n v="45.1"/>
    <n v="2.14"/>
    <n v="42.96"/>
    <n v="1"/>
  </r>
  <r>
    <s v="2021-06-08"/>
    <s v="Vancouver"/>
    <s v="加拿大二店"/>
    <x v="6"/>
    <x v="15"/>
    <x v="70"/>
    <x v="68"/>
    <x v="72"/>
    <s v="整份"/>
    <n v="1.5"/>
    <s v="份"/>
    <n v="3"/>
    <n v="4.5"/>
    <n v="0"/>
    <n v="0"/>
    <n v="0"/>
    <n v="0"/>
    <n v="0"/>
    <n v="0"/>
    <n v="0"/>
    <n v="-0.01"/>
    <n v="0"/>
    <n v="0"/>
    <n v="3"/>
    <n v="4.73"/>
    <n v="0.22"/>
    <n v="4.51"/>
    <n v="1"/>
  </r>
  <r>
    <s v="2021-06-08"/>
    <s v="Vancouver"/>
    <s v="加拿大二店"/>
    <x v="4"/>
    <x v="9"/>
    <x v="71"/>
    <x v="0"/>
    <x v="73"/>
    <s v="拼锅"/>
    <n v="18.95"/>
    <s v="锅"/>
    <n v="12"/>
    <n v="227.4"/>
    <n v="1"/>
    <n v="18.95"/>
    <n v="0"/>
    <n v="0"/>
    <n v="1"/>
    <n v="18.95"/>
    <n v="0"/>
    <n v="0.03"/>
    <n v="0"/>
    <n v="0"/>
    <n v="10"/>
    <n v="198.94"/>
    <n v="9.47"/>
    <n v="189.47"/>
    <n v="2"/>
  </r>
  <r>
    <s v="2021-06-08"/>
    <s v="Vancouver"/>
    <s v="加拿大二店"/>
    <x v="4"/>
    <x v="10"/>
    <x v="71"/>
    <x v="0"/>
    <x v="73"/>
    <s v="四宫格"/>
    <n v="9.95"/>
    <s v="锅"/>
    <n v="6"/>
    <n v="59.7"/>
    <n v="0"/>
    <n v="0"/>
    <n v="0"/>
    <n v="0"/>
    <n v="0"/>
    <n v="0"/>
    <n v="0"/>
    <n v="0.02"/>
    <n v="0"/>
    <n v="0"/>
    <n v="6"/>
    <n v="62.66"/>
    <n v="2.98"/>
    <n v="59.68"/>
    <n v="1"/>
  </r>
  <r>
    <s v="2021-06-08"/>
    <s v="Vancouver"/>
    <s v="加拿大二店"/>
    <x v="1"/>
    <x v="8"/>
    <x v="72"/>
    <x v="69"/>
    <x v="74"/>
    <s v="个"/>
    <n v="7.95"/>
    <s v="份"/>
    <n v="2"/>
    <n v="15.9"/>
    <n v="0"/>
    <n v="0"/>
    <n v="0"/>
    <n v="0"/>
    <n v="0"/>
    <n v="0"/>
    <n v="0"/>
    <n v="-0.01"/>
    <n v="1.59"/>
    <n v="0"/>
    <n v="2"/>
    <n v="15.03"/>
    <n v="0.71"/>
    <n v="14.32"/>
    <n v="1"/>
  </r>
  <r>
    <s v="2021-06-08"/>
    <s v="Vancouver"/>
    <s v="加拿大二店"/>
    <x v="6"/>
    <x v="13"/>
    <x v="73"/>
    <x v="70"/>
    <x v="75"/>
    <s v="份"/>
    <n v="6.95"/>
    <s v="份"/>
    <n v="2"/>
    <n v="13.9"/>
    <n v="0"/>
    <n v="0"/>
    <n v="0"/>
    <n v="0"/>
    <n v="0"/>
    <n v="0"/>
    <n v="0"/>
    <n v="0"/>
    <n v="0"/>
    <n v="0"/>
    <n v="2"/>
    <n v="14.59"/>
    <n v="0.69"/>
    <n v="13.9"/>
    <n v="1"/>
  </r>
  <r>
    <s v="2021-06-08"/>
    <s v="Vancouver"/>
    <s v="加拿大二店"/>
    <x v="4"/>
    <x v="9"/>
    <x v="74"/>
    <x v="0"/>
    <x v="76"/>
    <s v="拼锅"/>
    <n v="18.95"/>
    <s v="锅"/>
    <n v="3"/>
    <n v="56.85"/>
    <n v="0"/>
    <n v="0"/>
    <n v="0"/>
    <n v="0"/>
    <n v="0"/>
    <n v="0"/>
    <n v="0"/>
    <n v="-0.02"/>
    <n v="0"/>
    <n v="0"/>
    <n v="3"/>
    <n v="59.71"/>
    <n v="2.84"/>
    <n v="56.87"/>
    <n v="2"/>
  </r>
  <r>
    <s v="2021-06-08"/>
    <s v="Vancouver"/>
    <s v="加拿大二店"/>
    <x v="4"/>
    <x v="10"/>
    <x v="74"/>
    <x v="0"/>
    <x v="76"/>
    <s v="四宫格"/>
    <n v="9.95"/>
    <s v="锅"/>
    <n v="2"/>
    <n v="19.9"/>
    <n v="0"/>
    <n v="0"/>
    <n v="0"/>
    <n v="0"/>
    <n v="0"/>
    <n v="0"/>
    <n v="0"/>
    <n v="0"/>
    <n v="0"/>
    <n v="0"/>
    <n v="2"/>
    <n v="20.89"/>
    <n v="0.99"/>
    <n v="19.9"/>
    <n v="1"/>
  </r>
  <r>
    <s v="2021-06-08"/>
    <s v="Vancouver"/>
    <s v="加拿大二店"/>
    <x v="1"/>
    <x v="6"/>
    <x v="118"/>
    <x v="112"/>
    <x v="122"/>
    <s v="整份"/>
    <n v="28.95"/>
    <s v="份"/>
    <n v="2"/>
    <n v="57.9"/>
    <n v="0"/>
    <n v="0"/>
    <n v="0"/>
    <n v="0"/>
    <n v="0"/>
    <n v="0"/>
    <n v="0"/>
    <n v="-0.02"/>
    <n v="6.94"/>
    <n v="0"/>
    <n v="2"/>
    <n v="53.52"/>
    <n v="2.54"/>
    <n v="50.98"/>
    <n v="1"/>
  </r>
  <r>
    <s v="2021-06-08"/>
    <s v="Vancouver"/>
    <s v="加拿大二店"/>
    <x v="8"/>
    <x v="17"/>
    <x v="75"/>
    <x v="71"/>
    <x v="77"/>
    <s v="整份"/>
    <n v="3.99"/>
    <s v="位"/>
    <n v="114"/>
    <n v="454.86"/>
    <n v="1"/>
    <n v="3.99"/>
    <n v="0"/>
    <n v="0"/>
    <n v="0"/>
    <n v="0"/>
    <n v="0"/>
    <n v="-0.02"/>
    <n v="2.79"/>
    <n v="0"/>
    <n v="113"/>
    <n v="470.5"/>
    <n v="22.4"/>
    <n v="448.1"/>
    <n v="1"/>
  </r>
  <r>
    <s v="2021-06-08"/>
    <s v="Vancouver"/>
    <s v="加拿大二店"/>
    <x v="3"/>
    <x v="5"/>
    <x v="76"/>
    <x v="72"/>
    <x v="78"/>
    <s v="整份"/>
    <n v="3.95"/>
    <s v="份"/>
    <n v="6"/>
    <n v="23.7"/>
    <n v="0"/>
    <n v="0"/>
    <n v="0"/>
    <n v="0"/>
    <n v="0"/>
    <n v="0"/>
    <n v="0"/>
    <n v="0"/>
    <n v="1.97"/>
    <n v="0"/>
    <n v="6"/>
    <n v="22.81"/>
    <n v="1.08"/>
    <n v="21.73"/>
    <n v="1"/>
  </r>
  <r>
    <s v="2021-06-08"/>
    <s v="Vancouver"/>
    <s v="加拿大二店"/>
    <x v="1"/>
    <x v="3"/>
    <x v="77"/>
    <x v="73"/>
    <x v="79"/>
    <s v="整份"/>
    <n v="5.95"/>
    <s v="份"/>
    <n v="2"/>
    <n v="11.9"/>
    <n v="0"/>
    <n v="0"/>
    <n v="0"/>
    <n v="0"/>
    <n v="0"/>
    <n v="0"/>
    <n v="0"/>
    <n v="0"/>
    <n v="0"/>
    <n v="0"/>
    <n v="2"/>
    <n v="12.49"/>
    <n v="0.59"/>
    <n v="11.9"/>
    <n v="1"/>
  </r>
  <r>
    <s v="2021-06-08"/>
    <s v="Vancouver"/>
    <s v="加拿大二店"/>
    <x v="3"/>
    <x v="11"/>
    <x v="78"/>
    <x v="74"/>
    <x v="80"/>
    <s v="整份"/>
    <n v="5.95"/>
    <s v="份"/>
    <n v="8"/>
    <n v="47.6"/>
    <n v="0"/>
    <n v="0"/>
    <n v="0"/>
    <n v="0"/>
    <n v="0"/>
    <n v="0"/>
    <n v="0"/>
    <n v="0"/>
    <n v="3.09"/>
    <n v="0"/>
    <n v="8"/>
    <n v="46.73"/>
    <n v="2.22"/>
    <n v="44.51"/>
    <n v="1"/>
  </r>
  <r>
    <s v="2021-06-08"/>
    <s v="Vancouver"/>
    <s v="加拿大二店"/>
    <x v="3"/>
    <x v="11"/>
    <x v="78"/>
    <x v="75"/>
    <x v="81"/>
    <s v="半份"/>
    <n v="2.95"/>
    <s v="份"/>
    <n v="4"/>
    <n v="11.8"/>
    <n v="0"/>
    <n v="0"/>
    <n v="0"/>
    <n v="0"/>
    <n v="0"/>
    <n v="0"/>
    <n v="0"/>
    <n v="0"/>
    <n v="1.84"/>
    <n v="0"/>
    <n v="4"/>
    <n v="10.45"/>
    <n v="0.49"/>
    <n v="9.96"/>
    <n v="0.5"/>
  </r>
  <r>
    <s v="2021-06-08"/>
    <s v="Vancouver"/>
    <s v="加拿大二店"/>
    <x v="3"/>
    <x v="5"/>
    <x v="79"/>
    <x v="76"/>
    <x v="82"/>
    <s v="整份"/>
    <n v="3.95"/>
    <s v="份"/>
    <n v="8"/>
    <n v="31.6"/>
    <n v="0"/>
    <n v="0"/>
    <n v="0"/>
    <n v="0"/>
    <n v="0"/>
    <n v="0"/>
    <n v="0"/>
    <n v="0"/>
    <n v="2.05"/>
    <n v="0"/>
    <n v="8"/>
    <n v="31.02"/>
    <n v="1.47"/>
    <n v="29.55"/>
    <n v="1"/>
  </r>
  <r>
    <s v="2021-06-08"/>
    <s v="Vancouver"/>
    <s v="加拿大二店"/>
    <x v="3"/>
    <x v="5"/>
    <x v="80"/>
    <x v="77"/>
    <x v="83"/>
    <s v="整份"/>
    <n v="5.95"/>
    <s v="份"/>
    <n v="10"/>
    <n v="59.5"/>
    <n v="0"/>
    <n v="0"/>
    <n v="0"/>
    <n v="0"/>
    <n v="0"/>
    <n v="0"/>
    <n v="0"/>
    <n v="0"/>
    <n v="5.35"/>
    <n v="0"/>
    <n v="10"/>
    <n v="56.85"/>
    <n v="2.7"/>
    <n v="54.15"/>
    <n v="1"/>
  </r>
  <r>
    <s v="2021-06-08"/>
    <s v="Vancouver"/>
    <s v="加拿大二店"/>
    <x v="4"/>
    <x v="9"/>
    <x v="81"/>
    <x v="0"/>
    <x v="84"/>
    <s v="拼锅"/>
    <n v="8.95"/>
    <s v="锅"/>
    <n v="6"/>
    <n v="53.7"/>
    <n v="1"/>
    <n v="8.95"/>
    <n v="0"/>
    <n v="0"/>
    <n v="0"/>
    <n v="0"/>
    <n v="0"/>
    <n v="0"/>
    <n v="1.79"/>
    <n v="0"/>
    <n v="5"/>
    <n v="45.1"/>
    <n v="2.14"/>
    <n v="42.96"/>
    <n v="2"/>
  </r>
  <r>
    <s v="2021-06-08"/>
    <s v="Vancouver"/>
    <s v="加拿大二店"/>
    <x v="4"/>
    <x v="10"/>
    <x v="81"/>
    <x v="0"/>
    <x v="84"/>
    <s v="四宫格"/>
    <n v="4.95"/>
    <s v="锅"/>
    <n v="7"/>
    <n v="34.65"/>
    <n v="0"/>
    <n v="0"/>
    <n v="0"/>
    <n v="0"/>
    <n v="0"/>
    <n v="0"/>
    <n v="0"/>
    <n v="0"/>
    <n v="0"/>
    <n v="0"/>
    <n v="7"/>
    <n v="36.38"/>
    <n v="1.73"/>
    <n v="34.65"/>
    <n v="1"/>
  </r>
  <r>
    <s v="2021-06-08"/>
    <s v="Vancouver"/>
    <s v="加拿大二店"/>
    <x v="3"/>
    <x v="5"/>
    <x v="82"/>
    <x v="78"/>
    <x v="85"/>
    <s v="整份"/>
    <n v="12.95"/>
    <s v="份"/>
    <n v="9"/>
    <n v="116.55"/>
    <n v="0"/>
    <n v="0"/>
    <n v="0"/>
    <n v="0"/>
    <n v="0"/>
    <n v="0"/>
    <n v="0"/>
    <n v="0"/>
    <n v="1.55"/>
    <n v="0"/>
    <n v="9"/>
    <n v="120.75"/>
    <n v="5.75"/>
    <n v="115"/>
    <n v="1"/>
  </r>
  <r>
    <s v="2021-06-08"/>
    <s v="Vancouver"/>
    <s v="加拿大二店"/>
    <x v="3"/>
    <x v="11"/>
    <x v="84"/>
    <x v="81"/>
    <x v="88"/>
    <s v="整份"/>
    <n v="11.95"/>
    <s v="份"/>
    <n v="6"/>
    <n v="71.7"/>
    <n v="0"/>
    <n v="0"/>
    <n v="0"/>
    <n v="0"/>
    <n v="0"/>
    <n v="0"/>
    <n v="0"/>
    <n v="0"/>
    <n v="3.82"/>
    <n v="0"/>
    <n v="6"/>
    <n v="71.27"/>
    <n v="3.39"/>
    <n v="67.88"/>
    <n v="1"/>
  </r>
  <r>
    <s v="2021-06-08"/>
    <s v="Vancouver"/>
    <s v="加拿大二店"/>
    <x v="1"/>
    <x v="3"/>
    <x v="85"/>
    <x v="82"/>
    <x v="89"/>
    <s v="整份"/>
    <n v="6.95"/>
    <s v="份"/>
    <n v="1"/>
    <n v="6.95"/>
    <n v="0"/>
    <n v="0"/>
    <n v="0"/>
    <n v="0"/>
    <n v="0"/>
    <n v="0"/>
    <n v="0"/>
    <n v="0"/>
    <n v="0"/>
    <n v="0"/>
    <n v="1"/>
    <n v="7.29"/>
    <n v="0.34"/>
    <n v="6.95"/>
    <n v="1"/>
  </r>
  <r>
    <s v="2021-06-08"/>
    <s v="Vancouver"/>
    <s v="加拿大二店"/>
    <x v="6"/>
    <x v="13"/>
    <x v="86"/>
    <x v="83"/>
    <x v="90"/>
    <s v="碗"/>
    <n v="2.95"/>
    <s v="碗"/>
    <n v="6"/>
    <n v="17.7"/>
    <n v="0"/>
    <n v="0"/>
    <n v="0"/>
    <n v="0"/>
    <n v="0"/>
    <n v="0"/>
    <n v="0"/>
    <n v="0"/>
    <n v="2.76"/>
    <n v="0"/>
    <n v="6"/>
    <n v="15.68"/>
    <n v="0.74"/>
    <n v="14.94"/>
    <n v="1"/>
  </r>
  <r>
    <s v="2021-06-08"/>
    <s v="Vancouver"/>
    <s v="加拿大二店"/>
    <x v="2"/>
    <x v="4"/>
    <x v="87"/>
    <x v="84"/>
    <x v="91"/>
    <s v="常温"/>
    <n v="2.95"/>
    <s v="扎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08"/>
    <s v="Vancouver"/>
    <s v="加拿大二店"/>
    <x v="2"/>
    <x v="4"/>
    <x v="87"/>
    <x v="84"/>
    <x v="91"/>
    <s v="冰镇"/>
    <n v="2.95"/>
    <s v="扎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08"/>
    <s v="Vancouver"/>
    <s v="加拿大二店"/>
    <x v="1"/>
    <x v="8"/>
    <x v="88"/>
    <x v="85"/>
    <x v="92"/>
    <s v="整份"/>
    <n v="7.95"/>
    <s v="份"/>
    <n v="6"/>
    <n v="47.7"/>
    <n v="0"/>
    <n v="0"/>
    <n v="0"/>
    <n v="0"/>
    <n v="0"/>
    <n v="0"/>
    <n v="0"/>
    <n v="0"/>
    <n v="1.59"/>
    <n v="0"/>
    <n v="6"/>
    <n v="48.41"/>
    <n v="2.3"/>
    <n v="46.11"/>
    <n v="1"/>
  </r>
  <r>
    <s v="2021-06-08"/>
    <s v="Vancouver"/>
    <s v="加拿大二店"/>
    <x v="1"/>
    <x v="8"/>
    <x v="89"/>
    <x v="86"/>
    <x v="93"/>
    <s v="整份"/>
    <n v="4.95"/>
    <s v="份"/>
    <n v="14"/>
    <n v="69.3"/>
    <n v="0"/>
    <n v="0"/>
    <n v="0"/>
    <n v="0"/>
    <n v="0"/>
    <n v="0"/>
    <n v="0"/>
    <n v="-0.01"/>
    <n v="2.49"/>
    <n v="0"/>
    <n v="14"/>
    <n v="70.16"/>
    <n v="3.34"/>
    <n v="66.82"/>
    <n v="1"/>
  </r>
  <r>
    <s v="2021-06-08"/>
    <s v="Vancouver"/>
    <s v="加拿大二店"/>
    <x v="3"/>
    <x v="7"/>
    <x v="90"/>
    <x v="87"/>
    <x v="94"/>
    <s v="整份"/>
    <n v="4.95"/>
    <s v="份"/>
    <n v="10"/>
    <n v="49.5"/>
    <n v="0"/>
    <n v="0"/>
    <n v="0"/>
    <n v="0"/>
    <n v="0"/>
    <n v="0"/>
    <n v="0"/>
    <n v="0.02"/>
    <n v="4.95"/>
    <n v="0"/>
    <n v="10"/>
    <n v="46.75"/>
    <n v="2.22"/>
    <n v="44.53"/>
    <n v="1"/>
  </r>
  <r>
    <s v="2021-06-08"/>
    <s v="Vancouver"/>
    <s v="加拿大二店"/>
    <x v="6"/>
    <x v="18"/>
    <x v="91"/>
    <x v="88"/>
    <x v="95"/>
    <s v="整份"/>
    <n v="2.95"/>
    <s v="份"/>
    <n v="2"/>
    <n v="5.9"/>
    <n v="0"/>
    <n v="0"/>
    <n v="0"/>
    <n v="0"/>
    <n v="0"/>
    <n v="0"/>
    <n v="0"/>
    <n v="0"/>
    <n v="2.76"/>
    <n v="0"/>
    <n v="2"/>
    <n v="3.29"/>
    <n v="0.15"/>
    <n v="3.14"/>
    <n v="1"/>
  </r>
  <r>
    <s v="2021-06-08"/>
    <s v="Vancouver"/>
    <s v="加拿大二店"/>
    <x v="4"/>
    <x v="9"/>
    <x v="92"/>
    <x v="0"/>
    <x v="96"/>
    <s v="拼锅"/>
    <n v="8.95"/>
    <s v="锅"/>
    <n v="1"/>
    <n v="8.95"/>
    <n v="0"/>
    <n v="0"/>
    <n v="0"/>
    <n v="0"/>
    <n v="0"/>
    <n v="0"/>
    <n v="0"/>
    <n v="0"/>
    <n v="0"/>
    <n v="0"/>
    <n v="1"/>
    <n v="9.39"/>
    <n v="0.44"/>
    <n v="8.95"/>
    <n v="2"/>
  </r>
  <r>
    <s v="2021-06-08"/>
    <s v="Vancouver"/>
    <s v="加拿大二店"/>
    <x v="4"/>
    <x v="10"/>
    <x v="92"/>
    <x v="0"/>
    <x v="96"/>
    <s v="四宫格"/>
    <n v="4.95"/>
    <s v="锅"/>
    <n v="4"/>
    <n v="19.8"/>
    <n v="0"/>
    <n v="0"/>
    <n v="0"/>
    <n v="0"/>
    <n v="0"/>
    <n v="0"/>
    <n v="0"/>
    <n v="0"/>
    <n v="0.5"/>
    <n v="0"/>
    <n v="4"/>
    <n v="20.26"/>
    <n v="0.96"/>
    <n v="19.3"/>
    <n v="1"/>
  </r>
  <r>
    <s v="2021-06-08"/>
    <s v="Vancouver"/>
    <s v="加拿大二店"/>
    <x v="3"/>
    <x v="5"/>
    <x v="93"/>
    <x v="89"/>
    <x v="97"/>
    <s v="整份"/>
    <n v="5.95"/>
    <s v="份"/>
    <n v="7"/>
    <n v="41.65"/>
    <n v="0"/>
    <n v="0"/>
    <n v="0"/>
    <n v="0"/>
    <n v="0"/>
    <n v="0"/>
    <n v="0"/>
    <n v="0"/>
    <n v="1.9"/>
    <n v="0"/>
    <n v="7"/>
    <n v="41.73"/>
    <n v="1.98"/>
    <n v="39.75"/>
    <n v="1"/>
  </r>
  <r>
    <s v="2021-06-08"/>
    <s v="Vancouver"/>
    <s v="加拿大二店"/>
    <x v="6"/>
    <x v="13"/>
    <x v="94"/>
    <x v="90"/>
    <x v="98"/>
    <s v="整份"/>
    <n v="4.95"/>
    <s v="份"/>
    <n v="8"/>
    <n v="39.6"/>
    <n v="0"/>
    <n v="0"/>
    <n v="0"/>
    <n v="0"/>
    <n v="0"/>
    <n v="0"/>
    <n v="0"/>
    <n v="0"/>
    <n v="2.47"/>
    <n v="0"/>
    <n v="8"/>
    <n v="38.98"/>
    <n v="1.85"/>
    <n v="37.13"/>
    <n v="1"/>
  </r>
  <r>
    <s v="2021-06-08"/>
    <s v="Vancouver"/>
    <s v="加拿大二店"/>
    <x v="2"/>
    <x v="4"/>
    <x v="95"/>
    <x v="91"/>
    <x v="99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08"/>
    <s v="Vancouver"/>
    <s v="加拿大二店"/>
    <x v="1"/>
    <x v="1"/>
    <x v="96"/>
    <x v="92"/>
    <x v="100"/>
    <s v="整份"/>
    <n v="49.95"/>
    <s v="份"/>
    <n v="4"/>
    <n v="199.8"/>
    <n v="0"/>
    <n v="0"/>
    <n v="0"/>
    <n v="0"/>
    <n v="1"/>
    <n v="49.95"/>
    <n v="0"/>
    <n v="-0.02"/>
    <n v="5.99"/>
    <n v="0"/>
    <n v="3"/>
    <n v="151.07"/>
    <n v="7.19"/>
    <n v="143.88"/>
    <n v="1"/>
  </r>
  <r>
    <s v="2021-06-08"/>
    <s v="Vancouver"/>
    <s v="加拿大二店"/>
    <x v="2"/>
    <x v="2"/>
    <x v="97"/>
    <x v="93"/>
    <x v="101"/>
    <s v="冰镇"/>
    <n v="5.95"/>
    <s v="听"/>
    <n v="3"/>
    <n v="17.85"/>
    <n v="0"/>
    <n v="0"/>
    <n v="0"/>
    <n v="0"/>
    <n v="0"/>
    <n v="0"/>
    <n v="0"/>
    <n v="0"/>
    <n v="0"/>
    <n v="0"/>
    <n v="3"/>
    <n v="20.52"/>
    <n v="2.67"/>
    <n v="17.85"/>
    <n v="1"/>
  </r>
  <r>
    <s v="2021-06-08"/>
    <s v="Vancouver"/>
    <s v="加拿大二店"/>
    <x v="6"/>
    <x v="13"/>
    <x v="98"/>
    <x v="94"/>
    <x v="102"/>
    <s v="整份"/>
    <n v="3.95"/>
    <s v="份"/>
    <n v="3"/>
    <n v="11.85"/>
    <n v="0"/>
    <n v="0"/>
    <n v="0"/>
    <n v="0"/>
    <n v="0"/>
    <n v="0"/>
    <n v="0"/>
    <n v="-0.02"/>
    <n v="7.38"/>
    <n v="0"/>
    <n v="3"/>
    <n v="4.71"/>
    <n v="0.22"/>
    <n v="4.49"/>
    <n v="1"/>
  </r>
  <r>
    <s v="2021-06-08"/>
    <s v="Vancouver"/>
    <s v="加拿大二店"/>
    <x v="1"/>
    <x v="3"/>
    <x v="99"/>
    <x v="95"/>
    <x v="103"/>
    <s v="整份"/>
    <n v="5.95"/>
    <s v="份"/>
    <n v="3"/>
    <n v="17.85"/>
    <n v="0"/>
    <n v="0"/>
    <n v="0"/>
    <n v="0"/>
    <n v="0"/>
    <n v="0"/>
    <n v="0"/>
    <n v="0"/>
    <n v="1.19"/>
    <n v="0"/>
    <n v="3"/>
    <n v="17.49"/>
    <n v="0.83"/>
    <n v="16.66"/>
    <n v="1"/>
  </r>
  <r>
    <s v="2021-06-08"/>
    <s v="Vancouver"/>
    <s v="加拿大二店"/>
    <x v="1"/>
    <x v="3"/>
    <x v="100"/>
    <x v="96"/>
    <x v="104"/>
    <s v="整份"/>
    <n v="7.95"/>
    <s v="份"/>
    <n v="3"/>
    <n v="23.85"/>
    <n v="0"/>
    <n v="0"/>
    <n v="0"/>
    <n v="0"/>
    <n v="0"/>
    <n v="0"/>
    <n v="0"/>
    <n v="0"/>
    <n v="1.59"/>
    <n v="0"/>
    <n v="3"/>
    <n v="23.37"/>
    <n v="1.11"/>
    <n v="22.26"/>
    <n v="1"/>
  </r>
  <r>
    <s v="2021-06-08"/>
    <s v="Vancouver"/>
    <s v="加拿大二店"/>
    <x v="1"/>
    <x v="8"/>
    <x v="101"/>
    <x v="97"/>
    <x v="105"/>
    <s v="整份"/>
    <n v="5.95"/>
    <s v="份"/>
    <n v="5"/>
    <n v="29.75"/>
    <n v="0"/>
    <n v="0"/>
    <n v="0"/>
    <n v="0"/>
    <n v="0"/>
    <n v="0"/>
    <n v="0"/>
    <n v="0"/>
    <n v="1.33"/>
    <n v="0"/>
    <n v="5"/>
    <n v="29.84"/>
    <n v="1.42"/>
    <n v="28.42"/>
    <n v="1"/>
  </r>
  <r>
    <s v="2021-06-08"/>
    <s v="Vancouver"/>
    <s v="加拿大二店"/>
    <x v="1"/>
    <x v="6"/>
    <x v="102"/>
    <x v="98"/>
    <x v="106"/>
    <s v="整份"/>
    <n v="8.95"/>
    <s v="份"/>
    <n v="2"/>
    <n v="17.9"/>
    <n v="0"/>
    <n v="0"/>
    <n v="0"/>
    <n v="0"/>
    <n v="0"/>
    <n v="0"/>
    <n v="0"/>
    <n v="-0.01"/>
    <n v="1.79"/>
    <n v="0"/>
    <n v="2"/>
    <n v="16.92"/>
    <n v="0.8"/>
    <n v="16.12"/>
    <n v="1"/>
  </r>
  <r>
    <s v="2021-06-08"/>
    <s v="Vancouver"/>
    <s v="加拿大二店"/>
    <x v="3"/>
    <x v="7"/>
    <x v="103"/>
    <x v="99"/>
    <x v="107"/>
    <s v="整份"/>
    <n v="5.95"/>
    <s v="份"/>
    <n v="6"/>
    <n v="35.7"/>
    <n v="0"/>
    <n v="0"/>
    <n v="0"/>
    <n v="0"/>
    <n v="0"/>
    <n v="0"/>
    <n v="0"/>
    <n v="0"/>
    <n v="2.38"/>
    <n v="0"/>
    <n v="6"/>
    <n v="34.98"/>
    <n v="1.66"/>
    <n v="33.32"/>
    <n v="1"/>
  </r>
  <r>
    <s v="2021-06-08"/>
    <s v="Vancouver"/>
    <s v="加拿大二店"/>
    <x v="3"/>
    <x v="7"/>
    <x v="104"/>
    <x v="100"/>
    <x v="108"/>
    <s v="整份"/>
    <n v="3.95"/>
    <s v="份"/>
    <n v="6"/>
    <n v="23.7"/>
    <n v="0"/>
    <n v="0"/>
    <n v="0"/>
    <n v="0"/>
    <n v="0"/>
    <n v="0"/>
    <n v="0"/>
    <n v="0"/>
    <n v="1.58"/>
    <n v="0"/>
    <n v="6"/>
    <n v="23.22"/>
    <n v="1.1"/>
    <n v="22.12"/>
    <n v="1"/>
  </r>
  <r>
    <s v="2021-06-08"/>
    <s v="Vancouver"/>
    <s v="加拿大二店"/>
    <x v="1"/>
    <x v="8"/>
    <x v="105"/>
    <x v="101"/>
    <x v="109"/>
    <s v="整份"/>
    <n v="4.95"/>
    <s v="份"/>
    <n v="20"/>
    <n v="99"/>
    <n v="0"/>
    <n v="0"/>
    <n v="0"/>
    <n v="0"/>
    <n v="0"/>
    <n v="0"/>
    <n v="0"/>
    <n v="0"/>
    <n v="3.67"/>
    <n v="0"/>
    <n v="20"/>
    <n v="100.09"/>
    <n v="4.76"/>
    <n v="95.33"/>
    <n v="1"/>
  </r>
  <r>
    <s v="2021-06-08"/>
    <s v="Vancouver"/>
    <s v="加拿大二店"/>
    <x v="4"/>
    <x v="9"/>
    <x v="106"/>
    <x v="0"/>
    <x v="110"/>
    <s v="拼锅"/>
    <n v="11.95"/>
    <s v="锅"/>
    <n v="4"/>
    <n v="47.8"/>
    <n v="0"/>
    <n v="0"/>
    <n v="0"/>
    <n v="0"/>
    <n v="0"/>
    <n v="0"/>
    <n v="0"/>
    <n v="0.04"/>
    <n v="0"/>
    <n v="0"/>
    <n v="4"/>
    <n v="50.14"/>
    <n v="2.38"/>
    <n v="47.76"/>
    <n v="2"/>
  </r>
  <r>
    <s v="2021-06-08"/>
    <s v="Vancouver"/>
    <s v="加拿大二店"/>
    <x v="4"/>
    <x v="10"/>
    <x v="106"/>
    <x v="0"/>
    <x v="110"/>
    <s v="四宫格"/>
    <n v="5.95"/>
    <s v="锅"/>
    <n v="2"/>
    <n v="11.9"/>
    <n v="0"/>
    <n v="0"/>
    <n v="0"/>
    <n v="0"/>
    <n v="0"/>
    <n v="0"/>
    <n v="0"/>
    <n v="0"/>
    <n v="0.62"/>
    <n v="0"/>
    <n v="2"/>
    <n v="11.84"/>
    <n v="0.56"/>
    <n v="11.28"/>
    <n v="1"/>
  </r>
  <r>
    <s v="2021-06-08"/>
    <s v="Vancouver"/>
    <s v="加拿大二店"/>
    <x v="4"/>
    <x v="9"/>
    <x v="107"/>
    <x v="0"/>
    <x v="111"/>
    <s v="拼锅"/>
    <n v="11.95"/>
    <s v="锅"/>
    <n v="6"/>
    <n v="71.7"/>
    <n v="0"/>
    <n v="0"/>
    <n v="0"/>
    <n v="0"/>
    <n v="0"/>
    <n v="0"/>
    <n v="0"/>
    <n v="0"/>
    <n v="0"/>
    <n v="0"/>
    <n v="6"/>
    <n v="75.28"/>
    <n v="3.58"/>
    <n v="71.7"/>
    <n v="2"/>
  </r>
  <r>
    <s v="2021-06-08"/>
    <s v="Vancouver"/>
    <s v="加拿大二店"/>
    <x v="4"/>
    <x v="10"/>
    <x v="107"/>
    <x v="0"/>
    <x v="111"/>
    <s v="四宫格"/>
    <n v="5.95"/>
    <s v="锅"/>
    <n v="2"/>
    <n v="11.9"/>
    <n v="0"/>
    <n v="0"/>
    <n v="0"/>
    <n v="0"/>
    <n v="0"/>
    <n v="0"/>
    <n v="0"/>
    <n v="0"/>
    <n v="0"/>
    <n v="0"/>
    <n v="2"/>
    <n v="12.49"/>
    <n v="0.59"/>
    <n v="11.9"/>
    <n v="1"/>
  </r>
  <r>
    <s v="2021-06-09"/>
    <s v="Vancouver"/>
    <s v="加拿大二店"/>
    <x v="1"/>
    <x v="1"/>
    <x v="1"/>
    <x v="1"/>
    <x v="1"/>
    <s v="整份"/>
    <n v="16.95"/>
    <s v="份"/>
    <n v="8"/>
    <n v="135.6"/>
    <n v="0"/>
    <n v="0"/>
    <n v="0"/>
    <n v="0"/>
    <n v="1"/>
    <n v="16.95"/>
    <n v="0"/>
    <n v="0"/>
    <n v="14.4"/>
    <n v="0"/>
    <n v="7"/>
    <n v="109.46"/>
    <n v="5.21"/>
    <n v="104.25"/>
    <n v="1"/>
  </r>
  <r>
    <s v="2021-06-09"/>
    <s v="Vancouver"/>
    <s v="加拿大二店"/>
    <x v="2"/>
    <x v="19"/>
    <x v="132"/>
    <x v="126"/>
    <x v="137"/>
    <s v="瓶"/>
    <n v="15.95"/>
    <s v="瓶"/>
    <n v="1"/>
    <n v="15.95"/>
    <n v="0"/>
    <n v="0"/>
    <n v="0"/>
    <n v="0"/>
    <n v="0"/>
    <n v="0"/>
    <n v="0"/>
    <n v="0"/>
    <n v="0"/>
    <n v="0"/>
    <n v="1"/>
    <n v="18.34"/>
    <n v="2.39"/>
    <n v="15.95"/>
    <n v="1"/>
  </r>
  <r>
    <s v="2021-06-09"/>
    <s v="Vancouver"/>
    <s v="加拿大二店"/>
    <x v="1"/>
    <x v="1"/>
    <x v="2"/>
    <x v="2"/>
    <x v="2"/>
    <s v="整份"/>
    <n v="25.95"/>
    <s v="份"/>
    <n v="16"/>
    <n v="415.2"/>
    <n v="0"/>
    <n v="0"/>
    <n v="0"/>
    <n v="0"/>
    <n v="1"/>
    <n v="25.95"/>
    <n v="0"/>
    <n v="0.01"/>
    <n v="24.64"/>
    <n v="0"/>
    <n v="15"/>
    <n v="382.83"/>
    <n v="18.23"/>
    <n v="364.6"/>
    <n v="1"/>
  </r>
  <r>
    <s v="2021-06-09"/>
    <s v="Vancouver"/>
    <s v="加拿大二店"/>
    <x v="2"/>
    <x v="2"/>
    <x v="129"/>
    <x v="123"/>
    <x v="134"/>
    <s v="扎"/>
    <n v="22.95"/>
    <s v="扎"/>
    <n v="1"/>
    <n v="22.95"/>
    <n v="0"/>
    <n v="0"/>
    <n v="0"/>
    <n v="0"/>
    <n v="0"/>
    <n v="0"/>
    <n v="0"/>
    <n v="0"/>
    <n v="0"/>
    <n v="0"/>
    <n v="1"/>
    <n v="26.39"/>
    <n v="3.44"/>
    <n v="22.95"/>
    <n v="1"/>
  </r>
  <r>
    <s v="2021-06-09"/>
    <s v="Vancouver"/>
    <s v="加拿大二店"/>
    <x v="2"/>
    <x v="2"/>
    <x v="3"/>
    <x v="3"/>
    <x v="3"/>
    <s v="杯"/>
    <n v="6.95"/>
    <s v="杯"/>
    <n v="1"/>
    <n v="6.95"/>
    <n v="0"/>
    <n v="0"/>
    <n v="0"/>
    <n v="0"/>
    <n v="0"/>
    <n v="0"/>
    <n v="0"/>
    <n v="0"/>
    <n v="0"/>
    <n v="0"/>
    <n v="1"/>
    <n v="7.99"/>
    <n v="1.04"/>
    <n v="6.95"/>
    <n v="1"/>
  </r>
  <r>
    <s v="2021-06-09"/>
    <s v="Vancouver"/>
    <s v="加拿大二店"/>
    <x v="2"/>
    <x v="2"/>
    <x v="5"/>
    <x v="5"/>
    <x v="5"/>
    <s v="杯"/>
    <n v="6.95"/>
    <s v="杯"/>
    <n v="1"/>
    <n v="6.95"/>
    <n v="1"/>
    <n v="6.95"/>
    <n v="0"/>
    <n v="0"/>
    <n v="0"/>
    <n v="0"/>
    <n v="0"/>
    <n v="0"/>
    <n v="0"/>
    <n v="0"/>
    <n v="0"/>
    <n v="0"/>
    <n v="0"/>
    <n v="0"/>
    <n v="1"/>
  </r>
  <r>
    <s v="2021-06-09"/>
    <s v="Vancouver"/>
    <s v="加拿大二店"/>
    <x v="0"/>
    <x v="0"/>
    <x v="124"/>
    <x v="0"/>
    <x v="128"/>
    <s v="套餐"/>
    <n v="59.95"/>
    <s v="套餐"/>
    <n v="1"/>
    <n v="59.95"/>
    <n v="0"/>
    <n v="0"/>
    <n v="0"/>
    <n v="0"/>
    <n v="0"/>
    <n v="0"/>
    <n v="0"/>
    <n v="0.01"/>
    <n v="0"/>
    <n v="0"/>
    <n v="1"/>
    <n v="63.53"/>
    <n v="3.59"/>
    <n v="59.94"/>
    <n v="1"/>
  </r>
  <r>
    <s v="2021-06-09"/>
    <s v="Vancouver"/>
    <s v="加拿大二店"/>
    <x v="2"/>
    <x v="19"/>
    <x v="108"/>
    <x v="102"/>
    <x v="112"/>
    <s v="小瓶"/>
    <n v="15.95"/>
    <s v="小瓶"/>
    <n v="1"/>
    <n v="15.95"/>
    <n v="0"/>
    <n v="0"/>
    <n v="0"/>
    <n v="0"/>
    <n v="0"/>
    <n v="0"/>
    <n v="0"/>
    <n v="0.01"/>
    <n v="0"/>
    <n v="0"/>
    <n v="1"/>
    <n v="18.33"/>
    <n v="2.39"/>
    <n v="15.94"/>
    <n v="1"/>
  </r>
  <r>
    <s v="2021-06-09"/>
    <s v="Vancouver"/>
    <s v="加拿大二店"/>
    <x v="2"/>
    <x v="4"/>
    <x v="7"/>
    <x v="7"/>
    <x v="7"/>
    <s v="冰镇"/>
    <n v="2.45"/>
    <s v="罐"/>
    <n v="2"/>
    <n v="4.9"/>
    <n v="0"/>
    <n v="0"/>
    <n v="0"/>
    <n v="0"/>
    <n v="0"/>
    <n v="0"/>
    <n v="0"/>
    <n v="0"/>
    <n v="0"/>
    <n v="0"/>
    <n v="2"/>
    <n v="5.48"/>
    <n v="0.58"/>
    <n v="4.9"/>
    <n v="1"/>
  </r>
  <r>
    <s v="2021-06-09"/>
    <s v="Vancouver"/>
    <s v="加拿大二店"/>
    <x v="0"/>
    <x v="20"/>
    <x v="109"/>
    <x v="103"/>
    <x v="113"/>
    <s v="整份"/>
    <n v="8.95"/>
    <s v="份"/>
    <n v="1"/>
    <n v="8.95"/>
    <n v="0"/>
    <n v="0"/>
    <n v="0"/>
    <n v="0"/>
    <n v="0"/>
    <n v="0"/>
    <n v="0"/>
    <n v="0"/>
    <n v="0"/>
    <n v="0"/>
    <n v="1"/>
    <n v="9.39"/>
    <n v="0.44"/>
    <n v="8.95"/>
    <n v="1"/>
  </r>
  <r>
    <s v="2021-06-09"/>
    <s v="Vancouver"/>
    <s v="加拿大二店"/>
    <x v="3"/>
    <x v="5"/>
    <x v="8"/>
    <x v="8"/>
    <x v="8"/>
    <s v="整份"/>
    <n v="3.95"/>
    <s v="份"/>
    <n v="4"/>
    <n v="15.8"/>
    <n v="0"/>
    <n v="0"/>
    <n v="0"/>
    <n v="0"/>
    <n v="0"/>
    <n v="0"/>
    <n v="0"/>
    <n v="0"/>
    <n v="2.37"/>
    <n v="0"/>
    <n v="4"/>
    <n v="14.1"/>
    <n v="0.67"/>
    <n v="13.43"/>
    <n v="1"/>
  </r>
  <r>
    <s v="2021-06-09"/>
    <s v="Vancouver"/>
    <s v="加拿大二店"/>
    <x v="2"/>
    <x v="4"/>
    <x v="9"/>
    <x v="9"/>
    <x v="9"/>
    <s v="常温"/>
    <n v="2.95"/>
    <s v="位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09"/>
    <s v="Vancouver"/>
    <s v="加拿大二店"/>
    <x v="2"/>
    <x v="4"/>
    <x v="10"/>
    <x v="10"/>
    <x v="10"/>
    <s v="半份"/>
    <n v="6.95"/>
    <s v="扎"/>
    <n v="1"/>
    <n v="6.95"/>
    <n v="0"/>
    <n v="0"/>
    <n v="0"/>
    <n v="0"/>
    <n v="0"/>
    <n v="0"/>
    <n v="0"/>
    <n v="0"/>
    <n v="0"/>
    <n v="0"/>
    <n v="1"/>
    <n v="7.78"/>
    <n v="0.83"/>
    <n v="6.95"/>
    <n v="0.5"/>
  </r>
  <r>
    <s v="2021-06-09"/>
    <s v="Vancouver"/>
    <s v="加拿大二店"/>
    <x v="2"/>
    <x v="4"/>
    <x v="10"/>
    <x v="11"/>
    <x v="11"/>
    <s v="整份"/>
    <n v="9.95"/>
    <s v="扎"/>
    <n v="1"/>
    <n v="9.95"/>
    <n v="0"/>
    <n v="0"/>
    <n v="0"/>
    <n v="0"/>
    <n v="0"/>
    <n v="0"/>
    <n v="0"/>
    <n v="0"/>
    <n v="0"/>
    <n v="0"/>
    <n v="1"/>
    <n v="11.14"/>
    <n v="1.19"/>
    <n v="9.95"/>
    <n v="1"/>
  </r>
  <r>
    <s v="2021-06-09"/>
    <s v="Vancouver"/>
    <s v="加拿大二店"/>
    <x v="1"/>
    <x v="6"/>
    <x v="11"/>
    <x v="12"/>
    <x v="12"/>
    <s v="整份"/>
    <n v="8.95"/>
    <s v="份"/>
    <n v="4"/>
    <n v="35.8"/>
    <n v="0"/>
    <n v="0"/>
    <n v="0"/>
    <n v="0"/>
    <n v="0"/>
    <n v="0"/>
    <n v="0"/>
    <n v="0"/>
    <n v="1.79"/>
    <n v="0"/>
    <n v="4"/>
    <n v="35.71"/>
    <n v="1.7"/>
    <n v="34.01"/>
    <n v="1"/>
  </r>
  <r>
    <s v="2021-06-09"/>
    <s v="Vancouver"/>
    <s v="加拿大二店"/>
    <x v="1"/>
    <x v="6"/>
    <x v="12"/>
    <x v="13"/>
    <x v="13"/>
    <s v="整份"/>
    <n v="16.95"/>
    <s v="份"/>
    <n v="1"/>
    <n v="16.95"/>
    <n v="0"/>
    <n v="0"/>
    <n v="0"/>
    <n v="0"/>
    <n v="0"/>
    <n v="0"/>
    <n v="0"/>
    <n v="0"/>
    <n v="0"/>
    <n v="0"/>
    <n v="1"/>
    <n v="17.79"/>
    <n v="0.84"/>
    <n v="16.95"/>
    <n v="1"/>
  </r>
  <r>
    <s v="2021-06-09"/>
    <s v="Vancouver"/>
    <s v="加拿大二店"/>
    <x v="1"/>
    <x v="6"/>
    <x v="13"/>
    <x v="14"/>
    <x v="14"/>
    <s v="整份"/>
    <n v="21.95"/>
    <s v="份"/>
    <n v="2"/>
    <n v="43.9"/>
    <n v="0"/>
    <n v="0"/>
    <n v="0"/>
    <n v="0"/>
    <n v="0"/>
    <n v="0"/>
    <n v="0"/>
    <n v="0.02"/>
    <n v="4.39"/>
    <n v="0"/>
    <n v="2"/>
    <n v="41.46"/>
    <n v="1.97"/>
    <n v="39.49"/>
    <n v="1"/>
  </r>
  <r>
    <s v="2021-06-09"/>
    <s v="Vancouver"/>
    <s v="加拿大二店"/>
    <x v="1"/>
    <x v="6"/>
    <x v="121"/>
    <x v="115"/>
    <x v="125"/>
    <s v="整份"/>
    <n v="12.95"/>
    <s v="份"/>
    <n v="3"/>
    <n v="38.85"/>
    <n v="0"/>
    <n v="0"/>
    <n v="0"/>
    <n v="0"/>
    <n v="0"/>
    <n v="0"/>
    <n v="0"/>
    <n v="0"/>
    <n v="2.59"/>
    <n v="0"/>
    <n v="3"/>
    <n v="38.07"/>
    <n v="1.81"/>
    <n v="36.26"/>
    <n v="1"/>
  </r>
  <r>
    <s v="2021-06-09"/>
    <s v="Vancouver"/>
    <s v="加拿大二店"/>
    <x v="1"/>
    <x v="6"/>
    <x v="15"/>
    <x v="16"/>
    <x v="16"/>
    <s v="整份"/>
    <n v="8.95"/>
    <s v="份"/>
    <n v="4"/>
    <n v="35.8"/>
    <n v="0"/>
    <n v="0"/>
    <n v="0"/>
    <n v="0"/>
    <n v="0"/>
    <n v="0"/>
    <n v="0"/>
    <n v="0"/>
    <n v="3.58"/>
    <n v="0"/>
    <n v="4"/>
    <n v="33.83"/>
    <n v="1.61"/>
    <n v="32.22"/>
    <n v="1"/>
  </r>
  <r>
    <s v="2021-06-09"/>
    <s v="Vancouver"/>
    <s v="加拿大二店"/>
    <x v="3"/>
    <x v="7"/>
    <x v="16"/>
    <x v="17"/>
    <x v="17"/>
    <s v="整份"/>
    <n v="4.95"/>
    <s v="份"/>
    <n v="11"/>
    <n v="54.45"/>
    <n v="0"/>
    <n v="0"/>
    <n v="0"/>
    <n v="0"/>
    <n v="0"/>
    <n v="0"/>
    <n v="0"/>
    <n v="0"/>
    <n v="3.71"/>
    <n v="0"/>
    <n v="11"/>
    <n v="53.27"/>
    <n v="2.53"/>
    <n v="50.74"/>
    <n v="1"/>
  </r>
  <r>
    <s v="2021-06-09"/>
    <s v="Vancouver"/>
    <s v="加拿大二店"/>
    <x v="2"/>
    <x v="4"/>
    <x v="18"/>
    <x v="19"/>
    <x v="19"/>
    <s v="冰镇"/>
    <n v="2.95"/>
    <s v="听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09"/>
    <s v="Vancouver"/>
    <s v="加拿大二店"/>
    <x v="1"/>
    <x v="8"/>
    <x v="19"/>
    <x v="20"/>
    <x v="20"/>
    <s v="整份"/>
    <n v="5.95"/>
    <s v="份"/>
    <n v="10"/>
    <n v="59.5"/>
    <n v="0"/>
    <n v="0"/>
    <n v="0"/>
    <n v="0"/>
    <n v="1"/>
    <n v="5.95"/>
    <n v="0"/>
    <n v="0"/>
    <n v="2.08"/>
    <n v="0"/>
    <n v="9"/>
    <n v="54.04"/>
    <n v="2.57"/>
    <n v="51.47"/>
    <n v="1"/>
  </r>
  <r>
    <s v="2021-06-09"/>
    <s v="Vancouver"/>
    <s v="加拿大二店"/>
    <x v="1"/>
    <x v="8"/>
    <x v="20"/>
    <x v="21"/>
    <x v="21"/>
    <s v="整份"/>
    <n v="7.95"/>
    <s v="份"/>
    <n v="3"/>
    <n v="23.85"/>
    <n v="0"/>
    <n v="0"/>
    <n v="0"/>
    <n v="0"/>
    <n v="0"/>
    <n v="0"/>
    <n v="0"/>
    <n v="0"/>
    <n v="1.59"/>
    <n v="0"/>
    <n v="3"/>
    <n v="23.37"/>
    <n v="1.11"/>
    <n v="22.26"/>
    <n v="1"/>
  </r>
  <r>
    <s v="2021-06-09"/>
    <s v="Vancouver"/>
    <s v="加拿大二店"/>
    <x v="2"/>
    <x v="4"/>
    <x v="21"/>
    <x v="22"/>
    <x v="22"/>
    <s v="冰镇"/>
    <n v="2.45"/>
    <s v="听"/>
    <n v="7"/>
    <n v="17.15"/>
    <n v="1"/>
    <n v="2.45"/>
    <n v="0"/>
    <n v="0"/>
    <n v="0"/>
    <n v="0"/>
    <n v="0"/>
    <n v="-0.01"/>
    <n v="0"/>
    <n v="0"/>
    <n v="6"/>
    <n v="16.47"/>
    <n v="1.76"/>
    <n v="14.71"/>
    <n v="1"/>
  </r>
  <r>
    <s v="2021-06-09"/>
    <s v="Vancouver"/>
    <s v="加拿大二店"/>
    <x v="4"/>
    <x v="9"/>
    <x v="22"/>
    <x v="0"/>
    <x v="23"/>
    <s v="拼锅"/>
    <n v="11.95"/>
    <s v="锅"/>
    <n v="1"/>
    <n v="11.95"/>
    <n v="0"/>
    <n v="0"/>
    <n v="0"/>
    <n v="0"/>
    <n v="0"/>
    <n v="0"/>
    <n v="0"/>
    <n v="0"/>
    <n v="3.44"/>
    <n v="0"/>
    <n v="1"/>
    <n v="9.02"/>
    <n v="0.51"/>
    <n v="8.51"/>
    <n v="2"/>
  </r>
  <r>
    <s v="2021-06-09"/>
    <s v="Vancouver"/>
    <s v="加拿大二店"/>
    <x v="4"/>
    <x v="10"/>
    <x v="22"/>
    <x v="0"/>
    <x v="23"/>
    <s v="四宫格"/>
    <n v="5.95"/>
    <s v="锅"/>
    <n v="3"/>
    <n v="17.85"/>
    <n v="0"/>
    <n v="0"/>
    <n v="0"/>
    <n v="0"/>
    <n v="0"/>
    <n v="0"/>
    <n v="0"/>
    <n v="0"/>
    <n v="2.97"/>
    <n v="0"/>
    <n v="3"/>
    <n v="15.77"/>
    <n v="0.89"/>
    <n v="14.88"/>
    <n v="1"/>
  </r>
  <r>
    <s v="2021-06-09"/>
    <s v="Vancouver"/>
    <s v="加拿大二店"/>
    <x v="3"/>
    <x v="7"/>
    <x v="23"/>
    <x v="23"/>
    <x v="24"/>
    <s v="整份"/>
    <n v="4.95"/>
    <s v="份"/>
    <n v="9"/>
    <n v="44.55"/>
    <n v="0"/>
    <n v="0"/>
    <n v="0"/>
    <n v="0"/>
    <n v="0"/>
    <n v="0"/>
    <n v="0"/>
    <n v="0"/>
    <n v="1.73"/>
    <n v="0"/>
    <n v="9"/>
    <n v="44.96"/>
    <n v="2.14"/>
    <n v="42.82"/>
    <n v="1"/>
  </r>
  <r>
    <s v="2021-06-09"/>
    <s v="Vancouver"/>
    <s v="加拿大二店"/>
    <x v="3"/>
    <x v="11"/>
    <x v="24"/>
    <x v="118"/>
    <x v="129"/>
    <s v="整份"/>
    <n v="5.95"/>
    <s v="份"/>
    <n v="2"/>
    <n v="11.9"/>
    <n v="0"/>
    <n v="0"/>
    <n v="0"/>
    <n v="0"/>
    <n v="0"/>
    <n v="0"/>
    <n v="0"/>
    <n v="0"/>
    <n v="1.19"/>
    <n v="0"/>
    <n v="2"/>
    <n v="11.24"/>
    <n v="0.53"/>
    <n v="10.71"/>
    <n v="1"/>
  </r>
  <r>
    <s v="2021-06-09"/>
    <s v="Vancouver"/>
    <s v="加拿大二店"/>
    <x v="3"/>
    <x v="11"/>
    <x v="24"/>
    <x v="24"/>
    <x v="25"/>
    <s v="半份"/>
    <n v="2.95"/>
    <s v="份"/>
    <n v="2"/>
    <n v="5.9"/>
    <n v="0"/>
    <n v="0"/>
    <n v="0"/>
    <n v="0"/>
    <n v="0"/>
    <n v="0"/>
    <n v="0"/>
    <n v="0"/>
    <n v="0"/>
    <n v="0"/>
    <n v="2"/>
    <n v="6.19"/>
    <n v="0.29"/>
    <n v="5.9"/>
    <n v="0.5"/>
  </r>
  <r>
    <s v="2021-06-09"/>
    <s v="Vancouver"/>
    <s v="加拿大二店"/>
    <x v="3"/>
    <x v="5"/>
    <x v="25"/>
    <x v="25"/>
    <x v="26"/>
    <s v="整份"/>
    <n v="3.95"/>
    <s v="份"/>
    <n v="5"/>
    <n v="19.75"/>
    <n v="0"/>
    <n v="0"/>
    <n v="0"/>
    <n v="0"/>
    <n v="2"/>
    <n v="7.9"/>
    <n v="0"/>
    <n v="0"/>
    <n v="0.79"/>
    <n v="0"/>
    <n v="3"/>
    <n v="11.61"/>
    <n v="0.55"/>
    <n v="11.06"/>
    <n v="1"/>
  </r>
  <r>
    <s v="2021-06-09"/>
    <s v="Vancouver"/>
    <s v="加拿大二店"/>
    <x v="3"/>
    <x v="11"/>
    <x v="26"/>
    <x v="26"/>
    <x v="27"/>
    <s v="整份"/>
    <n v="4.95"/>
    <s v="份"/>
    <n v="8"/>
    <n v="39.6"/>
    <n v="0"/>
    <n v="0"/>
    <n v="0"/>
    <n v="0"/>
    <n v="0"/>
    <n v="0"/>
    <n v="0"/>
    <n v="0"/>
    <n v="2.47"/>
    <n v="0"/>
    <n v="8"/>
    <n v="38.98"/>
    <n v="1.85"/>
    <n v="37.13"/>
    <n v="1"/>
  </r>
  <r>
    <s v="2021-06-09"/>
    <s v="Vancouver"/>
    <s v="加拿大二店"/>
    <x v="3"/>
    <x v="11"/>
    <x v="26"/>
    <x v="27"/>
    <x v="28"/>
    <s v="半份"/>
    <n v="2.45"/>
    <s v="份"/>
    <n v="3"/>
    <n v="7.35"/>
    <n v="0"/>
    <n v="0"/>
    <n v="0"/>
    <n v="0"/>
    <n v="0"/>
    <n v="0"/>
    <n v="0"/>
    <n v="0"/>
    <n v="0.49"/>
    <n v="0"/>
    <n v="3"/>
    <n v="7.2"/>
    <n v="0.34"/>
    <n v="6.86"/>
    <n v="0.5"/>
  </r>
  <r>
    <s v="2021-06-09"/>
    <s v="Vancouver"/>
    <s v="加拿大二店"/>
    <x v="5"/>
    <x v="12"/>
    <x v="27"/>
    <x v="28"/>
    <x v="29"/>
    <s v="整份"/>
    <n v="7.95"/>
    <s v="份"/>
    <n v="4"/>
    <n v="31.8"/>
    <n v="0"/>
    <n v="0"/>
    <n v="0"/>
    <n v="0"/>
    <n v="1"/>
    <n v="7.95"/>
    <n v="0"/>
    <n v="0"/>
    <n v="3.18"/>
    <n v="0"/>
    <n v="3"/>
    <n v="21.7"/>
    <n v="1.03"/>
    <n v="20.67"/>
    <n v="1"/>
  </r>
  <r>
    <s v="2021-06-09"/>
    <s v="Vancouver"/>
    <s v="加拿大二店"/>
    <x v="3"/>
    <x v="7"/>
    <x v="28"/>
    <x v="29"/>
    <x v="30"/>
    <s v="整份"/>
    <n v="4.95"/>
    <s v="份"/>
    <n v="15"/>
    <n v="74.25"/>
    <n v="0"/>
    <n v="0"/>
    <n v="0"/>
    <n v="0"/>
    <n v="0"/>
    <n v="0"/>
    <n v="0"/>
    <n v="0"/>
    <n v="7.67"/>
    <n v="0"/>
    <n v="15"/>
    <n v="69.9"/>
    <n v="3.32"/>
    <n v="66.58"/>
    <n v="1"/>
  </r>
  <r>
    <s v="2021-06-09"/>
    <s v="Vancouver"/>
    <s v="加拿大二店"/>
    <x v="3"/>
    <x v="5"/>
    <x v="29"/>
    <x v="30"/>
    <x v="31"/>
    <s v="整份"/>
    <n v="3.95"/>
    <s v="份"/>
    <n v="9"/>
    <n v="35.55"/>
    <n v="0"/>
    <n v="0"/>
    <n v="0"/>
    <n v="0"/>
    <n v="0"/>
    <n v="0"/>
    <n v="0"/>
    <n v="0"/>
    <n v="4.93"/>
    <n v="0"/>
    <n v="9"/>
    <n v="32.15"/>
    <n v="1.53"/>
    <n v="30.62"/>
    <n v="1"/>
  </r>
  <r>
    <s v="2021-06-09"/>
    <s v="Vancouver"/>
    <s v="加拿大二店"/>
    <x v="6"/>
    <x v="13"/>
    <x v="30"/>
    <x v="31"/>
    <x v="32"/>
    <s v="整份"/>
    <n v="4.95"/>
    <s v="份"/>
    <n v="4"/>
    <n v="19.8"/>
    <n v="0"/>
    <n v="0"/>
    <n v="0"/>
    <n v="0"/>
    <n v="0"/>
    <n v="0"/>
    <n v="0"/>
    <n v="0"/>
    <n v="1.98"/>
    <n v="0"/>
    <n v="4"/>
    <n v="18.71"/>
    <n v="0.89"/>
    <n v="17.82"/>
    <n v="1"/>
  </r>
  <r>
    <s v="2021-06-09"/>
    <s v="Vancouver"/>
    <s v="加拿大二店"/>
    <x v="6"/>
    <x v="13"/>
    <x v="31"/>
    <x v="32"/>
    <x v="33"/>
    <s v="整份"/>
    <n v="9.95"/>
    <s v="份"/>
    <n v="3"/>
    <n v="29.85"/>
    <n v="0"/>
    <n v="0"/>
    <n v="0"/>
    <n v="0"/>
    <n v="0"/>
    <n v="0"/>
    <n v="0"/>
    <n v="0"/>
    <n v="1.99"/>
    <n v="0"/>
    <n v="3"/>
    <n v="29.25"/>
    <n v="1.39"/>
    <n v="27.86"/>
    <n v="1"/>
  </r>
  <r>
    <s v="2021-06-09"/>
    <s v="Vancouver"/>
    <s v="加拿大二店"/>
    <x v="5"/>
    <x v="12"/>
    <x v="32"/>
    <x v="33"/>
    <x v="34"/>
    <s v="整份"/>
    <n v="17.85"/>
    <s v="份"/>
    <n v="2"/>
    <n v="35.7"/>
    <n v="0"/>
    <n v="0"/>
    <n v="0"/>
    <n v="0"/>
    <n v="0"/>
    <n v="0"/>
    <n v="0"/>
    <n v="0"/>
    <n v="12.49"/>
    <n v="0"/>
    <n v="2"/>
    <n v="24.37"/>
    <n v="1.16"/>
    <n v="23.21"/>
    <n v="1"/>
  </r>
  <r>
    <s v="2021-06-09"/>
    <s v="Vancouver"/>
    <s v="加拿大二店"/>
    <x v="1"/>
    <x v="3"/>
    <x v="33"/>
    <x v="34"/>
    <x v="35"/>
    <s v="整份"/>
    <n v="11.95"/>
    <s v="份"/>
    <n v="22"/>
    <n v="262.9"/>
    <n v="0"/>
    <n v="0"/>
    <n v="0"/>
    <n v="0"/>
    <n v="2"/>
    <n v="23.9"/>
    <n v="0"/>
    <n v="0"/>
    <n v="19.71"/>
    <n v="0"/>
    <n v="20"/>
    <n v="230.25"/>
    <n v="10.96"/>
    <n v="219.29"/>
    <n v="1"/>
  </r>
  <r>
    <s v="2021-06-09"/>
    <s v="Vancouver"/>
    <s v="加拿大二店"/>
    <x v="5"/>
    <x v="12"/>
    <x v="34"/>
    <x v="35"/>
    <x v="36"/>
    <s v="整份"/>
    <n v="11.95"/>
    <s v="份"/>
    <n v="10"/>
    <n v="119.5"/>
    <n v="0"/>
    <n v="0"/>
    <n v="0"/>
    <n v="0"/>
    <n v="0"/>
    <n v="0"/>
    <n v="0"/>
    <n v="0"/>
    <n v="5.97"/>
    <n v="0"/>
    <n v="10"/>
    <n v="119.2"/>
    <n v="5.67"/>
    <n v="113.53"/>
    <n v="1"/>
  </r>
  <r>
    <s v="2021-06-09"/>
    <s v="Vancouver"/>
    <s v="加拿大二店"/>
    <x v="5"/>
    <x v="12"/>
    <x v="35"/>
    <x v="36"/>
    <x v="37"/>
    <s v="条"/>
    <n v="4.95"/>
    <s v="条"/>
    <n v="4"/>
    <n v="19.8"/>
    <n v="0"/>
    <n v="0"/>
    <n v="0"/>
    <n v="0"/>
    <n v="0"/>
    <n v="0"/>
    <n v="0"/>
    <n v="0.01"/>
    <n v="1.78"/>
    <n v="0"/>
    <n v="4"/>
    <n v="18.91"/>
    <n v="0.9"/>
    <n v="18.01"/>
    <n v="1"/>
  </r>
  <r>
    <s v="2021-06-09"/>
    <s v="Vancouver"/>
    <s v="加拿大二店"/>
    <x v="5"/>
    <x v="12"/>
    <x v="36"/>
    <x v="37"/>
    <x v="38"/>
    <s v="整份"/>
    <n v="13.95"/>
    <s v="份"/>
    <n v="23"/>
    <n v="320.85"/>
    <n v="0"/>
    <n v="0"/>
    <n v="0"/>
    <n v="0"/>
    <n v="0"/>
    <n v="0"/>
    <n v="0"/>
    <n v="-0.02"/>
    <n v="24.4"/>
    <n v="0"/>
    <n v="23"/>
    <n v="311.29"/>
    <n v="14.82"/>
    <n v="296.47"/>
    <n v="1"/>
  </r>
  <r>
    <s v="2021-06-09"/>
    <s v="Vancouver"/>
    <s v="加拿大二店"/>
    <x v="5"/>
    <x v="12"/>
    <x v="37"/>
    <x v="38"/>
    <x v="39"/>
    <s v="整份"/>
    <n v="9.95"/>
    <s v="份"/>
    <n v="13"/>
    <n v="129.35"/>
    <n v="0"/>
    <n v="0"/>
    <n v="0"/>
    <n v="0"/>
    <n v="0"/>
    <n v="0"/>
    <n v="0"/>
    <n v="0"/>
    <n v="7.96"/>
    <n v="0"/>
    <n v="13"/>
    <n v="127.45"/>
    <n v="6.06"/>
    <n v="121.39"/>
    <n v="1"/>
  </r>
  <r>
    <s v="2021-06-09"/>
    <s v="Vancouver"/>
    <s v="加拿大二店"/>
    <x v="5"/>
    <x v="12"/>
    <x v="38"/>
    <x v="39"/>
    <x v="40"/>
    <s v="整份"/>
    <n v="9.95"/>
    <s v="份"/>
    <n v="2"/>
    <n v="19.9"/>
    <n v="0"/>
    <n v="0"/>
    <n v="0"/>
    <n v="0"/>
    <n v="0"/>
    <n v="0"/>
    <n v="0"/>
    <n v="0"/>
    <n v="1.99"/>
    <n v="0"/>
    <n v="2"/>
    <n v="18.8"/>
    <n v="0.89"/>
    <n v="17.91"/>
    <n v="1"/>
  </r>
  <r>
    <s v="2021-06-09"/>
    <s v="Vancouver"/>
    <s v="加拿大二店"/>
    <x v="6"/>
    <x v="13"/>
    <x v="39"/>
    <x v="40"/>
    <x v="41"/>
    <s v="整份"/>
    <n v="8.95"/>
    <s v="份"/>
    <n v="15"/>
    <n v="134.25"/>
    <n v="0"/>
    <n v="0"/>
    <n v="0"/>
    <n v="0"/>
    <n v="0"/>
    <n v="0"/>
    <n v="0"/>
    <n v="0"/>
    <n v="6.26"/>
    <n v="0"/>
    <n v="15"/>
    <n v="134.38"/>
    <n v="6.39"/>
    <n v="127.99"/>
    <n v="1"/>
  </r>
  <r>
    <s v="2021-06-09"/>
    <s v="Vancouver"/>
    <s v="加拿大二店"/>
    <x v="5"/>
    <x v="12"/>
    <x v="40"/>
    <x v="41"/>
    <x v="42"/>
    <s v="整份"/>
    <n v="9.95"/>
    <s v="份"/>
    <n v="10"/>
    <n v="99.5"/>
    <n v="0"/>
    <n v="0"/>
    <n v="0"/>
    <n v="0"/>
    <n v="0"/>
    <n v="0"/>
    <n v="0"/>
    <n v="0"/>
    <n v="7.26"/>
    <n v="0"/>
    <n v="10"/>
    <n v="96.85"/>
    <n v="4.61"/>
    <n v="92.24"/>
    <n v="1"/>
  </r>
  <r>
    <s v="2021-06-09"/>
    <s v="Vancouver"/>
    <s v="加拿大二店"/>
    <x v="5"/>
    <x v="12"/>
    <x v="41"/>
    <x v="42"/>
    <x v="43"/>
    <s v="整份"/>
    <n v="7.95"/>
    <s v="份"/>
    <n v="7"/>
    <n v="55.65"/>
    <n v="0"/>
    <n v="0"/>
    <n v="0"/>
    <n v="0"/>
    <n v="0"/>
    <n v="0"/>
    <n v="0"/>
    <n v="0"/>
    <n v="7.15"/>
    <n v="0"/>
    <n v="7"/>
    <n v="50.92"/>
    <n v="2.42"/>
    <n v="48.5"/>
    <n v="1"/>
  </r>
  <r>
    <s v="2021-06-09"/>
    <s v="Vancouver"/>
    <s v="加拿大二店"/>
    <x v="2"/>
    <x v="2"/>
    <x v="42"/>
    <x v="43"/>
    <x v="44"/>
    <s v="冰镇"/>
    <n v="5.95"/>
    <s v="瓶"/>
    <n v="1"/>
    <n v="5.95"/>
    <n v="0"/>
    <n v="0"/>
    <n v="0"/>
    <n v="0"/>
    <n v="0"/>
    <n v="0"/>
    <n v="0"/>
    <n v="0"/>
    <n v="0"/>
    <n v="0"/>
    <n v="1"/>
    <n v="6.84"/>
    <n v="0.89"/>
    <n v="5.95"/>
    <n v="1"/>
  </r>
  <r>
    <s v="2021-06-09"/>
    <s v="Vancouver"/>
    <s v="加拿大二店"/>
    <x v="3"/>
    <x v="5"/>
    <x v="43"/>
    <x v="44"/>
    <x v="45"/>
    <s v="整份"/>
    <n v="3.95"/>
    <s v="份"/>
    <n v="2"/>
    <n v="7.9"/>
    <n v="0"/>
    <n v="0"/>
    <n v="0"/>
    <n v="0"/>
    <n v="0"/>
    <n v="0"/>
    <n v="0"/>
    <n v="0"/>
    <n v="1.58"/>
    <n v="0"/>
    <n v="2"/>
    <n v="6.63"/>
    <n v="0.31"/>
    <n v="6.32"/>
    <n v="1"/>
  </r>
  <r>
    <s v="2021-06-09"/>
    <s v="Vancouver"/>
    <s v="加拿大二店"/>
    <x v="7"/>
    <x v="14"/>
    <x v="44"/>
    <x v="45"/>
    <x v="46"/>
    <s v="整份"/>
    <n v="0"/>
    <s v="份"/>
    <n v="7"/>
    <n v="0"/>
    <n v="0"/>
    <n v="0"/>
    <n v="0"/>
    <n v="0"/>
    <n v="0"/>
    <n v="0"/>
    <n v="0"/>
    <n v="0"/>
    <n v="0"/>
    <n v="0"/>
    <n v="7"/>
    <n v="0"/>
    <n v="0"/>
    <n v="0"/>
    <n v="1"/>
  </r>
  <r>
    <s v="2021-06-09"/>
    <s v="Vancouver"/>
    <s v="加拿大二店"/>
    <x v="7"/>
    <x v="14"/>
    <x v="45"/>
    <x v="46"/>
    <x v="47"/>
    <s v="整份"/>
    <n v="4.99"/>
    <s v="份"/>
    <n v="1"/>
    <n v="4.99"/>
    <n v="0"/>
    <n v="0"/>
    <n v="0"/>
    <n v="0"/>
    <n v="0"/>
    <n v="0"/>
    <n v="0"/>
    <n v="-0.02"/>
    <n v="0"/>
    <n v="0"/>
    <n v="1"/>
    <n v="5.26"/>
    <n v="0.25"/>
    <n v="5.01"/>
    <n v="1"/>
  </r>
  <r>
    <s v="2021-06-09"/>
    <s v="Vancouver"/>
    <s v="加拿大二店"/>
    <x v="7"/>
    <x v="14"/>
    <x v="45"/>
    <x v="46"/>
    <x v="47"/>
    <s v="整份"/>
    <n v="6.5"/>
    <s v="份"/>
    <n v="1"/>
    <n v="6.5"/>
    <n v="0"/>
    <n v="0"/>
    <n v="0"/>
    <n v="0"/>
    <n v="0"/>
    <n v="0"/>
    <n v="0"/>
    <n v="-0.01"/>
    <n v="0"/>
    <n v="0"/>
    <n v="1"/>
    <n v="6.83"/>
    <n v="0.32"/>
    <n v="6.51"/>
    <n v="1"/>
  </r>
  <r>
    <s v="2021-06-09"/>
    <s v="Vancouver"/>
    <s v="加拿大二店"/>
    <x v="7"/>
    <x v="14"/>
    <x v="45"/>
    <x v="46"/>
    <x v="47"/>
    <s v="整份"/>
    <n v="7.9"/>
    <s v="份"/>
    <n v="1"/>
    <n v="7.9"/>
    <n v="0"/>
    <n v="0"/>
    <n v="0"/>
    <n v="0"/>
    <n v="0"/>
    <n v="0"/>
    <n v="0"/>
    <n v="0"/>
    <n v="0"/>
    <n v="0"/>
    <n v="1"/>
    <n v="8.29"/>
    <n v="0.39"/>
    <n v="7.9"/>
    <n v="1"/>
  </r>
  <r>
    <s v="2021-06-09"/>
    <s v="Vancouver"/>
    <s v="加拿大二店"/>
    <x v="7"/>
    <x v="14"/>
    <x v="45"/>
    <x v="46"/>
    <x v="47"/>
    <s v="整份"/>
    <n v="9.99"/>
    <s v="份"/>
    <n v="1"/>
    <n v="9.99"/>
    <n v="0"/>
    <n v="0"/>
    <n v="0"/>
    <n v="0"/>
    <n v="0"/>
    <n v="0"/>
    <n v="0"/>
    <n v="-0.01"/>
    <n v="0"/>
    <n v="0"/>
    <n v="1"/>
    <n v="10.5"/>
    <n v="0.5"/>
    <n v="10"/>
    <n v="1"/>
  </r>
  <r>
    <s v="2021-06-09"/>
    <s v="Vancouver"/>
    <s v="加拿大二店"/>
    <x v="7"/>
    <x v="14"/>
    <x v="45"/>
    <x v="46"/>
    <x v="47"/>
    <s v="整份"/>
    <n v="11.76"/>
    <s v="份"/>
    <n v="1"/>
    <n v="11.76"/>
    <n v="0"/>
    <n v="0"/>
    <n v="0"/>
    <n v="0"/>
    <n v="0"/>
    <n v="0"/>
    <n v="0"/>
    <n v="0"/>
    <n v="0"/>
    <n v="0"/>
    <n v="1"/>
    <n v="12.34"/>
    <n v="0.58"/>
    <n v="11.76"/>
    <n v="1"/>
  </r>
  <r>
    <s v="2021-06-09"/>
    <s v="Vancouver"/>
    <s v="加拿大二店"/>
    <x v="7"/>
    <x v="14"/>
    <x v="45"/>
    <x v="46"/>
    <x v="47"/>
    <s v="整份"/>
    <n v="12.99"/>
    <s v="份"/>
    <n v="1"/>
    <n v="12.99"/>
    <n v="0"/>
    <n v="0"/>
    <n v="0"/>
    <n v="0"/>
    <n v="0"/>
    <n v="0"/>
    <n v="0"/>
    <n v="-0.01"/>
    <n v="7"/>
    <n v="0"/>
    <n v="1"/>
    <n v="6.3"/>
    <n v="0.3"/>
    <n v="6"/>
    <n v="1"/>
  </r>
  <r>
    <s v="2021-06-09"/>
    <s v="Vancouver"/>
    <s v="加拿大二店"/>
    <x v="7"/>
    <x v="14"/>
    <x v="45"/>
    <x v="46"/>
    <x v="47"/>
    <s v="整份"/>
    <n v="27.54"/>
    <s v="份"/>
    <n v="1"/>
    <n v="27.54"/>
    <n v="0"/>
    <n v="0"/>
    <n v="0"/>
    <n v="0"/>
    <n v="0"/>
    <n v="0"/>
    <n v="0"/>
    <n v="-0.02"/>
    <n v="0"/>
    <n v="0"/>
    <n v="1"/>
    <n v="28.93"/>
    <n v="1.37"/>
    <n v="27.56"/>
    <n v="1"/>
  </r>
  <r>
    <s v="2021-06-09"/>
    <s v="Vancouver"/>
    <s v="加拿大二店"/>
    <x v="7"/>
    <x v="14"/>
    <x v="45"/>
    <x v="46"/>
    <x v="47"/>
    <s v="整份"/>
    <n v="28.95"/>
    <s v="份"/>
    <n v="4"/>
    <n v="115.8"/>
    <n v="0"/>
    <n v="0"/>
    <n v="0"/>
    <n v="0"/>
    <n v="0"/>
    <n v="0"/>
    <n v="0"/>
    <n v="0"/>
    <n v="0"/>
    <n v="0"/>
    <n v="4"/>
    <n v="121.59"/>
    <n v="5.79"/>
    <n v="115.8"/>
    <n v="1"/>
  </r>
  <r>
    <s v="2021-06-09"/>
    <s v="Vancouver"/>
    <s v="加拿大二店"/>
    <x v="7"/>
    <x v="14"/>
    <x v="45"/>
    <x v="46"/>
    <x v="47"/>
    <s v="整份"/>
    <n v="29.97"/>
    <s v="份"/>
    <n v="1"/>
    <n v="29.97"/>
    <n v="0"/>
    <n v="0"/>
    <n v="0"/>
    <n v="0"/>
    <n v="0"/>
    <n v="0"/>
    <n v="0"/>
    <n v="-0.02"/>
    <n v="0"/>
    <n v="0"/>
    <n v="1"/>
    <n v="31.48"/>
    <n v="1.49"/>
    <n v="29.99"/>
    <n v="1"/>
  </r>
  <r>
    <s v="2021-06-09"/>
    <s v="Vancouver"/>
    <s v="加拿大二店"/>
    <x v="7"/>
    <x v="14"/>
    <x v="45"/>
    <x v="46"/>
    <x v="47"/>
    <s v="整份"/>
    <n v="31.15"/>
    <s v="份"/>
    <n v="1"/>
    <n v="31.15"/>
    <n v="0"/>
    <n v="0"/>
    <n v="0"/>
    <n v="0"/>
    <n v="0"/>
    <n v="0"/>
    <n v="0"/>
    <n v="0.02"/>
    <n v="0"/>
    <n v="0"/>
    <n v="1"/>
    <n v="32.68"/>
    <n v="1.55"/>
    <n v="31.13"/>
    <n v="1"/>
  </r>
  <r>
    <s v="2021-06-09"/>
    <s v="Vancouver"/>
    <s v="加拿大二店"/>
    <x v="7"/>
    <x v="14"/>
    <x v="45"/>
    <x v="46"/>
    <x v="47"/>
    <s v="整份"/>
    <n v="35.45"/>
    <s v="份"/>
    <n v="1"/>
    <n v="35.45"/>
    <n v="0"/>
    <n v="0"/>
    <n v="0"/>
    <n v="0"/>
    <n v="0"/>
    <n v="0"/>
    <n v="0"/>
    <n v="-0.01"/>
    <n v="0"/>
    <n v="0"/>
    <n v="1"/>
    <n v="37.23"/>
    <n v="1.77"/>
    <n v="35.46"/>
    <n v="1"/>
  </r>
  <r>
    <s v="2021-06-09"/>
    <s v="Vancouver"/>
    <s v="加拿大二店"/>
    <x v="7"/>
    <x v="14"/>
    <x v="45"/>
    <x v="46"/>
    <x v="47"/>
    <s v="整份"/>
    <n v="35.55"/>
    <s v="份"/>
    <n v="1"/>
    <n v="35.55"/>
    <n v="0"/>
    <n v="0"/>
    <n v="0"/>
    <n v="0"/>
    <n v="0"/>
    <n v="0"/>
    <n v="0"/>
    <n v="0"/>
    <n v="0"/>
    <n v="0"/>
    <n v="1"/>
    <n v="37.32"/>
    <n v="1.77"/>
    <n v="35.55"/>
    <n v="1"/>
  </r>
  <r>
    <s v="2021-06-09"/>
    <s v="Vancouver"/>
    <s v="加拿大二店"/>
    <x v="7"/>
    <x v="14"/>
    <x v="45"/>
    <x v="46"/>
    <x v="47"/>
    <s v="整份"/>
    <n v="53.92"/>
    <s v="份"/>
    <n v="1"/>
    <n v="53.92"/>
    <n v="0"/>
    <n v="0"/>
    <n v="0"/>
    <n v="0"/>
    <n v="0"/>
    <n v="0"/>
    <n v="0"/>
    <n v="0"/>
    <n v="0"/>
    <n v="0"/>
    <n v="1"/>
    <n v="56.61"/>
    <n v="2.69"/>
    <n v="53.92"/>
    <n v="1"/>
  </r>
  <r>
    <s v="2021-06-09"/>
    <s v="Vancouver"/>
    <s v="加拿大二店"/>
    <x v="7"/>
    <x v="14"/>
    <x v="45"/>
    <x v="46"/>
    <x v="47"/>
    <s v="整份"/>
    <n v="59.28"/>
    <s v="份"/>
    <n v="1"/>
    <n v="59.28"/>
    <n v="0"/>
    <n v="0"/>
    <n v="0"/>
    <n v="0"/>
    <n v="0"/>
    <n v="0"/>
    <n v="0"/>
    <n v="-0.02"/>
    <n v="0"/>
    <n v="0"/>
    <n v="1"/>
    <n v="62.26"/>
    <n v="2.96"/>
    <n v="59.3"/>
    <n v="1"/>
  </r>
  <r>
    <s v="2021-06-09"/>
    <s v="Vancouver"/>
    <s v="加拿大二店"/>
    <x v="7"/>
    <x v="14"/>
    <x v="45"/>
    <x v="46"/>
    <x v="47"/>
    <s v="整份"/>
    <n v="59.95"/>
    <s v="份"/>
    <n v="1"/>
    <n v="59.95"/>
    <n v="0"/>
    <n v="0"/>
    <n v="0"/>
    <n v="0"/>
    <n v="0"/>
    <n v="0"/>
    <n v="0"/>
    <n v="0"/>
    <n v="0"/>
    <n v="0"/>
    <n v="1"/>
    <n v="62.94"/>
    <n v="2.99"/>
    <n v="59.95"/>
    <n v="1"/>
  </r>
  <r>
    <s v="2021-06-09"/>
    <s v="Vancouver"/>
    <s v="加拿大二店"/>
    <x v="7"/>
    <x v="14"/>
    <x v="45"/>
    <x v="46"/>
    <x v="47"/>
    <s v="整份"/>
    <n v="137.9"/>
    <s v="份"/>
    <n v="1"/>
    <n v="137.9"/>
    <n v="0"/>
    <n v="0"/>
    <n v="0"/>
    <n v="0"/>
    <n v="0"/>
    <n v="0"/>
    <n v="0"/>
    <n v="-0.01"/>
    <n v="0"/>
    <n v="0"/>
    <n v="1"/>
    <n v="144.8"/>
    <n v="6.89"/>
    <n v="137.91"/>
    <n v="1"/>
  </r>
  <r>
    <s v="2021-06-09"/>
    <s v="Vancouver"/>
    <s v="加拿大二店"/>
    <x v="2"/>
    <x v="4"/>
    <x v="47"/>
    <x v="48"/>
    <x v="49"/>
    <s v="冰镇"/>
    <n v="2.95"/>
    <s v="听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09"/>
    <s v="Vancouver"/>
    <s v="加拿大二店"/>
    <x v="6"/>
    <x v="13"/>
    <x v="48"/>
    <x v="49"/>
    <x v="50"/>
    <s v="整份"/>
    <n v="4.95"/>
    <s v="份"/>
    <n v="4"/>
    <n v="19.8"/>
    <n v="0"/>
    <n v="0"/>
    <n v="0"/>
    <n v="0"/>
    <n v="0"/>
    <n v="0"/>
    <n v="0"/>
    <n v="0"/>
    <n v="2.41"/>
    <n v="0"/>
    <n v="4"/>
    <n v="18.25"/>
    <n v="0.86"/>
    <n v="17.39"/>
    <n v="1"/>
  </r>
  <r>
    <s v="2021-06-09"/>
    <s v="Vancouver"/>
    <s v="加拿大二店"/>
    <x v="3"/>
    <x v="7"/>
    <x v="49"/>
    <x v="50"/>
    <x v="51"/>
    <s v="整份"/>
    <n v="4.95"/>
    <s v="份"/>
    <n v="2"/>
    <n v="9.9"/>
    <n v="0"/>
    <n v="0"/>
    <n v="0"/>
    <n v="0"/>
    <n v="0"/>
    <n v="0"/>
    <n v="0"/>
    <n v="0"/>
    <n v="1.98"/>
    <n v="0"/>
    <n v="2"/>
    <n v="8.31"/>
    <n v="0.39"/>
    <n v="7.92"/>
    <n v="1"/>
  </r>
  <r>
    <s v="2021-06-09"/>
    <s v="Vancouver"/>
    <s v="加拿大二店"/>
    <x v="6"/>
    <x v="15"/>
    <x v="50"/>
    <x v="51"/>
    <x v="52"/>
    <s v="份"/>
    <n v="8.95"/>
    <s v="份"/>
    <n v="3"/>
    <n v="26.85"/>
    <n v="0"/>
    <n v="0"/>
    <n v="0"/>
    <n v="0"/>
    <n v="1"/>
    <n v="8.95"/>
    <n v="0"/>
    <n v="0"/>
    <n v="1.79"/>
    <n v="0"/>
    <n v="2"/>
    <n v="16.91"/>
    <n v="0.8"/>
    <n v="16.11"/>
    <n v="1"/>
  </r>
  <r>
    <s v="2021-06-09"/>
    <s v="Vancouver"/>
    <s v="加拿大二店"/>
    <x v="1"/>
    <x v="6"/>
    <x v="113"/>
    <x v="107"/>
    <x v="117"/>
    <s v="整份"/>
    <n v="28.95"/>
    <s v="份"/>
    <n v="2"/>
    <n v="57.9"/>
    <n v="0"/>
    <n v="0"/>
    <n v="0"/>
    <n v="0"/>
    <n v="1"/>
    <n v="28.95"/>
    <n v="0"/>
    <n v="0.02"/>
    <n v="5.79"/>
    <n v="0"/>
    <n v="1"/>
    <n v="24.29"/>
    <n v="1.15"/>
    <n v="23.14"/>
    <n v="1"/>
  </r>
  <r>
    <s v="2021-06-09"/>
    <s v="Vancouver"/>
    <s v="加拿大二店"/>
    <x v="3"/>
    <x v="5"/>
    <x v="51"/>
    <x v="52"/>
    <x v="53"/>
    <s v="整份"/>
    <n v="3.95"/>
    <s v="份"/>
    <n v="8"/>
    <n v="31.6"/>
    <n v="0"/>
    <n v="0"/>
    <n v="0"/>
    <n v="0"/>
    <n v="0"/>
    <n v="0"/>
    <n v="0"/>
    <n v="0"/>
    <n v="3.47"/>
    <n v="0"/>
    <n v="8"/>
    <n v="29.53"/>
    <n v="1.4"/>
    <n v="28.13"/>
    <n v="1"/>
  </r>
  <r>
    <s v="2021-06-09"/>
    <s v="Vancouver"/>
    <s v="加拿大二店"/>
    <x v="3"/>
    <x v="5"/>
    <x v="52"/>
    <x v="53"/>
    <x v="54"/>
    <s v="整份"/>
    <n v="5.95"/>
    <s v="份"/>
    <n v="1"/>
    <n v="5.95"/>
    <n v="0"/>
    <n v="0"/>
    <n v="0"/>
    <n v="0"/>
    <n v="0"/>
    <n v="0"/>
    <n v="0"/>
    <n v="-0.02"/>
    <n v="0"/>
    <n v="0"/>
    <n v="1"/>
    <n v="6.26"/>
    <n v="0.29"/>
    <n v="5.97"/>
    <n v="1"/>
  </r>
  <r>
    <s v="2021-06-09"/>
    <s v="Vancouver"/>
    <s v="加拿大二店"/>
    <x v="4"/>
    <x v="9"/>
    <x v="53"/>
    <x v="0"/>
    <x v="55"/>
    <s v="拼锅"/>
    <n v="0"/>
    <s v="锅"/>
    <n v="5"/>
    <n v="0"/>
    <n v="0"/>
    <n v="0"/>
    <n v="0"/>
    <n v="0"/>
    <n v="0"/>
    <n v="0"/>
    <n v="0"/>
    <n v="0.04"/>
    <n v="0"/>
    <n v="0"/>
    <n v="5"/>
    <n v="-0.04"/>
    <n v="-0.01"/>
    <n v="-0.03"/>
    <n v="2"/>
  </r>
  <r>
    <s v="2021-06-09"/>
    <s v="Vancouver"/>
    <s v="加拿大二店"/>
    <x v="4"/>
    <x v="10"/>
    <x v="53"/>
    <x v="0"/>
    <x v="55"/>
    <s v="四宫格"/>
    <n v="0"/>
    <s v="锅"/>
    <n v="11"/>
    <n v="0"/>
    <n v="0"/>
    <n v="0"/>
    <n v="0"/>
    <n v="0"/>
    <n v="0"/>
    <n v="0"/>
    <n v="0"/>
    <n v="-0.01"/>
    <n v="0"/>
    <n v="0"/>
    <n v="11"/>
    <n v="0.01"/>
    <n v="0"/>
    <n v="0.01"/>
    <n v="1"/>
  </r>
  <r>
    <s v="2021-06-09"/>
    <s v="Vancouver"/>
    <s v="加拿大二店"/>
    <x v="6"/>
    <x v="13"/>
    <x v="114"/>
    <x v="108"/>
    <x v="118"/>
    <s v="整份"/>
    <n v="7.95"/>
    <s v="份"/>
    <n v="4"/>
    <n v="31.8"/>
    <n v="0"/>
    <n v="0"/>
    <n v="0"/>
    <n v="0"/>
    <n v="0"/>
    <n v="0"/>
    <n v="0"/>
    <n v="0.02"/>
    <n v="0"/>
    <n v="0"/>
    <n v="4"/>
    <n v="33.36"/>
    <n v="1.58"/>
    <n v="31.78"/>
    <n v="1"/>
  </r>
  <r>
    <s v="2021-06-09"/>
    <s v="Vancouver"/>
    <s v="加拿大二店"/>
    <x v="1"/>
    <x v="8"/>
    <x v="55"/>
    <x v="55"/>
    <x v="57"/>
    <s v="整份"/>
    <n v="9.95"/>
    <s v="份"/>
    <n v="2"/>
    <n v="19.9"/>
    <n v="0"/>
    <n v="0"/>
    <n v="0"/>
    <n v="0"/>
    <n v="0"/>
    <n v="0"/>
    <n v="0"/>
    <n v="0"/>
    <n v="0"/>
    <n v="0"/>
    <n v="2"/>
    <n v="20.89"/>
    <n v="0.99"/>
    <n v="19.9"/>
    <n v="1"/>
  </r>
  <r>
    <s v="2021-06-09"/>
    <s v="Vancouver"/>
    <s v="加拿大二店"/>
    <x v="1"/>
    <x v="1"/>
    <x v="56"/>
    <x v="56"/>
    <x v="58"/>
    <s v="整份"/>
    <n v="12.95"/>
    <s v="份"/>
    <n v="11"/>
    <n v="142.45"/>
    <n v="1"/>
    <n v="12.95"/>
    <n v="0"/>
    <n v="0"/>
    <n v="1"/>
    <n v="12.95"/>
    <n v="0"/>
    <n v="0"/>
    <n v="5.18"/>
    <n v="0"/>
    <n v="9"/>
    <n v="116.93"/>
    <n v="5.56"/>
    <n v="111.37"/>
    <n v="1"/>
  </r>
  <r>
    <s v="2021-06-09"/>
    <s v="Vancouver"/>
    <s v="加拿大二店"/>
    <x v="1"/>
    <x v="1"/>
    <x v="57"/>
    <x v="57"/>
    <x v="59"/>
    <s v="整份"/>
    <n v="11.95"/>
    <s v="份"/>
    <n v="24"/>
    <n v="286.8"/>
    <n v="0"/>
    <n v="0"/>
    <n v="0"/>
    <n v="0"/>
    <n v="0"/>
    <n v="0"/>
    <n v="0"/>
    <n v="0"/>
    <n v="13.14"/>
    <n v="0"/>
    <n v="24"/>
    <n v="287.34"/>
    <n v="13.68"/>
    <n v="273.66"/>
    <n v="1"/>
  </r>
  <r>
    <s v="2021-06-09"/>
    <s v="Vancouver"/>
    <s v="加拿大二店"/>
    <x v="4"/>
    <x v="16"/>
    <x v="58"/>
    <x v="0"/>
    <x v="60"/>
    <s v="单锅"/>
    <n v="16.95"/>
    <s v="锅"/>
    <n v="1"/>
    <n v="16.95"/>
    <n v="0"/>
    <n v="0"/>
    <n v="0"/>
    <n v="0"/>
    <n v="0"/>
    <n v="0"/>
    <n v="0"/>
    <n v="0"/>
    <n v="3.39"/>
    <n v="0"/>
    <n v="1"/>
    <n v="14.23"/>
    <n v="0.67"/>
    <n v="13.56"/>
    <n v="4"/>
  </r>
  <r>
    <s v="2021-06-09"/>
    <s v="Vancouver"/>
    <s v="加拿大二店"/>
    <x v="4"/>
    <x v="9"/>
    <x v="58"/>
    <x v="0"/>
    <x v="60"/>
    <s v="拼锅"/>
    <n v="8.95"/>
    <s v="锅"/>
    <n v="12"/>
    <n v="107.4"/>
    <n v="0"/>
    <n v="0"/>
    <n v="0"/>
    <n v="0"/>
    <n v="0"/>
    <n v="0"/>
    <n v="0"/>
    <n v="0.03"/>
    <n v="3.58"/>
    <n v="0"/>
    <n v="12"/>
    <n v="108.97"/>
    <n v="5.18"/>
    <n v="103.79"/>
    <n v="2"/>
  </r>
  <r>
    <s v="2021-06-09"/>
    <s v="Vancouver"/>
    <s v="加拿大二店"/>
    <x v="4"/>
    <x v="10"/>
    <x v="58"/>
    <x v="0"/>
    <x v="60"/>
    <s v="四宫格"/>
    <n v="4.95"/>
    <s v="锅"/>
    <n v="9"/>
    <n v="44.55"/>
    <n v="0"/>
    <n v="0"/>
    <n v="0"/>
    <n v="0"/>
    <n v="0"/>
    <n v="0"/>
    <n v="0"/>
    <n v="0"/>
    <n v="1.98"/>
    <n v="0"/>
    <n v="9"/>
    <n v="44.69"/>
    <n v="2.12"/>
    <n v="42.57"/>
    <n v="1"/>
  </r>
  <r>
    <s v="2021-06-09"/>
    <s v="Vancouver"/>
    <s v="加拿大二店"/>
    <x v="3"/>
    <x v="5"/>
    <x v="59"/>
    <x v="58"/>
    <x v="61"/>
    <s v="整份"/>
    <n v="4.95"/>
    <s v="份"/>
    <n v="6"/>
    <n v="29.7"/>
    <n v="0"/>
    <n v="0"/>
    <n v="0"/>
    <n v="0"/>
    <n v="0"/>
    <n v="0"/>
    <n v="0"/>
    <n v="-0.01"/>
    <n v="8.55"/>
    <n v="0"/>
    <n v="6"/>
    <n v="22.21"/>
    <n v="1.05"/>
    <n v="21.16"/>
    <n v="1"/>
  </r>
  <r>
    <s v="2021-06-09"/>
    <s v="Vancouver"/>
    <s v="加拿大二店"/>
    <x v="6"/>
    <x v="13"/>
    <x v="61"/>
    <x v="60"/>
    <x v="63"/>
    <s v="整份"/>
    <n v="3.95"/>
    <s v="包"/>
    <n v="7"/>
    <n v="27.65"/>
    <n v="0"/>
    <n v="0"/>
    <n v="0"/>
    <n v="0"/>
    <n v="2"/>
    <n v="7.9"/>
    <n v="0"/>
    <n v="0"/>
    <n v="0"/>
    <n v="0"/>
    <n v="5"/>
    <n v="20.73"/>
    <n v="0.98"/>
    <n v="19.75"/>
    <n v="1"/>
  </r>
  <r>
    <s v="2021-06-09"/>
    <s v="Vancouver"/>
    <s v="加拿大二店"/>
    <x v="4"/>
    <x v="16"/>
    <x v="62"/>
    <x v="0"/>
    <x v="64"/>
    <s v="单锅"/>
    <n v="16.95"/>
    <s v="锅"/>
    <n v="1"/>
    <n v="16.95"/>
    <n v="0"/>
    <n v="0"/>
    <n v="0"/>
    <n v="0"/>
    <n v="0"/>
    <n v="0"/>
    <n v="0"/>
    <n v="0.01"/>
    <n v="3.39"/>
    <n v="0"/>
    <n v="1"/>
    <n v="14.22"/>
    <n v="0.67"/>
    <n v="13.55"/>
    <n v="4"/>
  </r>
  <r>
    <s v="2021-06-09"/>
    <s v="Vancouver"/>
    <s v="加拿大二店"/>
    <x v="4"/>
    <x v="9"/>
    <x v="62"/>
    <x v="0"/>
    <x v="64"/>
    <s v="拼锅"/>
    <n v="8.95"/>
    <s v="锅"/>
    <n v="10"/>
    <n v="89.5"/>
    <n v="0"/>
    <n v="0"/>
    <n v="0"/>
    <n v="0"/>
    <n v="1"/>
    <n v="8.95"/>
    <n v="0"/>
    <n v="0"/>
    <n v="2.95"/>
    <n v="0"/>
    <n v="9"/>
    <n v="81.48"/>
    <n v="3.88"/>
    <n v="77.6"/>
    <n v="2"/>
  </r>
  <r>
    <s v="2021-06-09"/>
    <s v="Vancouver"/>
    <s v="加拿大二店"/>
    <x v="4"/>
    <x v="10"/>
    <x v="62"/>
    <x v="0"/>
    <x v="64"/>
    <s v="四宫格"/>
    <n v="4.95"/>
    <s v="锅"/>
    <n v="11"/>
    <n v="54.45"/>
    <n v="0"/>
    <n v="0"/>
    <n v="0"/>
    <n v="0"/>
    <n v="0"/>
    <n v="0"/>
    <n v="0"/>
    <n v="0"/>
    <n v="3.46"/>
    <n v="0"/>
    <n v="11"/>
    <n v="53.53"/>
    <n v="2.54"/>
    <n v="50.99"/>
    <n v="1"/>
  </r>
  <r>
    <s v="2021-06-09"/>
    <s v="Vancouver"/>
    <s v="加拿大二店"/>
    <x v="6"/>
    <x v="13"/>
    <x v="63"/>
    <x v="61"/>
    <x v="65"/>
    <s v="整份"/>
    <n v="1.5"/>
    <s v="碗"/>
    <n v="3"/>
    <n v="4.5"/>
    <n v="0"/>
    <n v="0"/>
    <n v="0"/>
    <n v="0"/>
    <n v="2"/>
    <n v="3"/>
    <n v="0"/>
    <n v="0"/>
    <n v="0.3"/>
    <n v="0"/>
    <n v="1"/>
    <n v="1.26"/>
    <n v="0.06"/>
    <n v="1.2"/>
    <n v="1"/>
  </r>
  <r>
    <s v="2021-06-09"/>
    <s v="Vancouver"/>
    <s v="加拿大二店"/>
    <x v="3"/>
    <x v="5"/>
    <x v="64"/>
    <x v="62"/>
    <x v="66"/>
    <s v="整份"/>
    <n v="3.95"/>
    <s v="份"/>
    <n v="5"/>
    <n v="19.75"/>
    <n v="0"/>
    <n v="0"/>
    <n v="0"/>
    <n v="0"/>
    <n v="0"/>
    <n v="0"/>
    <n v="0"/>
    <n v="0"/>
    <n v="1.58"/>
    <n v="0"/>
    <n v="5"/>
    <n v="19.07"/>
    <n v="0.9"/>
    <n v="18.17"/>
    <n v="1"/>
  </r>
  <r>
    <s v="2021-06-09"/>
    <s v="Vancouver"/>
    <s v="加拿大二店"/>
    <x v="2"/>
    <x v="4"/>
    <x v="65"/>
    <x v="63"/>
    <x v="67"/>
    <s v="扎"/>
    <n v="8.95"/>
    <s v="扎"/>
    <n v="8"/>
    <n v="71.6"/>
    <n v="0"/>
    <n v="0"/>
    <n v="0"/>
    <n v="0"/>
    <n v="1"/>
    <n v="8.95"/>
    <n v="0"/>
    <n v="0.02"/>
    <n v="6.26"/>
    <n v="0"/>
    <n v="7"/>
    <n v="63.13"/>
    <n v="6.76"/>
    <n v="56.37"/>
    <n v="1"/>
  </r>
  <r>
    <s v="2021-06-09"/>
    <s v="Vancouver"/>
    <s v="加拿大二店"/>
    <x v="2"/>
    <x v="4"/>
    <x v="66"/>
    <x v="64"/>
    <x v="68"/>
    <s v="扎"/>
    <n v="11.95"/>
    <s v="扎"/>
    <n v="2"/>
    <n v="23.9"/>
    <n v="0"/>
    <n v="0"/>
    <n v="0"/>
    <n v="0"/>
    <n v="0"/>
    <n v="0"/>
    <n v="0"/>
    <n v="-0.01"/>
    <n v="0"/>
    <n v="0"/>
    <n v="2"/>
    <n v="26.77"/>
    <n v="2.86"/>
    <n v="23.91"/>
    <n v="1"/>
  </r>
  <r>
    <s v="2021-06-09"/>
    <s v="Vancouver"/>
    <s v="加拿大二店"/>
    <x v="3"/>
    <x v="5"/>
    <x v="117"/>
    <x v="111"/>
    <x v="121"/>
    <s v="整份"/>
    <n v="4.95"/>
    <s v="份"/>
    <n v="12"/>
    <n v="59.4"/>
    <n v="0"/>
    <n v="0"/>
    <n v="0"/>
    <n v="0"/>
    <n v="0"/>
    <n v="0"/>
    <n v="0"/>
    <n v="0"/>
    <n v="6.76"/>
    <n v="0"/>
    <n v="12"/>
    <n v="55.27"/>
    <n v="2.63"/>
    <n v="52.64"/>
    <n v="1"/>
  </r>
  <r>
    <s v="2021-06-09"/>
    <s v="Vancouver"/>
    <s v="加拿大二店"/>
    <x v="3"/>
    <x v="7"/>
    <x v="67"/>
    <x v="65"/>
    <x v="69"/>
    <s v="整份"/>
    <n v="3.95"/>
    <s v="份"/>
    <n v="3"/>
    <n v="11.85"/>
    <n v="0"/>
    <n v="0"/>
    <n v="0"/>
    <n v="0"/>
    <n v="0"/>
    <n v="0"/>
    <n v="0"/>
    <n v="0"/>
    <n v="0"/>
    <n v="0"/>
    <n v="3"/>
    <n v="12.44"/>
    <n v="0.59"/>
    <n v="11.85"/>
    <n v="1"/>
  </r>
  <r>
    <s v="2021-06-09"/>
    <s v="Vancouver"/>
    <s v="加拿大二店"/>
    <x v="1"/>
    <x v="1"/>
    <x v="68"/>
    <x v="66"/>
    <x v="70"/>
    <s v="整份"/>
    <n v="8.95"/>
    <s v="份"/>
    <n v="30"/>
    <n v="268.5"/>
    <n v="0"/>
    <n v="0"/>
    <n v="0"/>
    <n v="0"/>
    <n v="2"/>
    <n v="17.9"/>
    <n v="0"/>
    <n v="0"/>
    <n v="16.55"/>
    <n v="0"/>
    <n v="28"/>
    <n v="245.75"/>
    <n v="11.7"/>
    <n v="234.05"/>
    <n v="1"/>
  </r>
  <r>
    <s v="2021-06-09"/>
    <s v="Vancouver"/>
    <s v="加拿大二店"/>
    <x v="1"/>
    <x v="1"/>
    <x v="69"/>
    <x v="67"/>
    <x v="71"/>
    <s v="整份"/>
    <n v="8.95"/>
    <s v="份"/>
    <n v="4"/>
    <n v="35.8"/>
    <n v="0"/>
    <n v="0"/>
    <n v="0"/>
    <n v="0"/>
    <n v="0"/>
    <n v="0"/>
    <n v="0"/>
    <n v="0"/>
    <n v="4.36"/>
    <n v="0"/>
    <n v="4"/>
    <n v="33.01"/>
    <n v="1.57"/>
    <n v="31.44"/>
    <n v="1"/>
  </r>
  <r>
    <s v="2021-06-09"/>
    <s v="Vancouver"/>
    <s v="加拿大二店"/>
    <x v="6"/>
    <x v="15"/>
    <x v="70"/>
    <x v="68"/>
    <x v="72"/>
    <s v="整份"/>
    <n v="1.5"/>
    <s v="份"/>
    <n v="3"/>
    <n v="4.5"/>
    <n v="0"/>
    <n v="0"/>
    <n v="0"/>
    <n v="0"/>
    <n v="0"/>
    <n v="0"/>
    <n v="0"/>
    <n v="0"/>
    <n v="0.19"/>
    <n v="0"/>
    <n v="3"/>
    <n v="4.52"/>
    <n v="0.21"/>
    <n v="4.31"/>
    <n v="1"/>
  </r>
  <r>
    <s v="2021-06-09"/>
    <s v="Vancouver"/>
    <s v="加拿大二店"/>
    <x v="4"/>
    <x v="9"/>
    <x v="71"/>
    <x v="0"/>
    <x v="73"/>
    <s v="拼锅"/>
    <n v="18.95"/>
    <s v="锅"/>
    <n v="5"/>
    <n v="94.75"/>
    <n v="0"/>
    <n v="0"/>
    <n v="0"/>
    <n v="0"/>
    <n v="0"/>
    <n v="0"/>
    <n v="0"/>
    <n v="0.03"/>
    <n v="3.79"/>
    <n v="0"/>
    <n v="5"/>
    <n v="95.47"/>
    <n v="4.54"/>
    <n v="90.93"/>
    <n v="2"/>
  </r>
  <r>
    <s v="2021-06-09"/>
    <s v="Vancouver"/>
    <s v="加拿大二店"/>
    <x v="4"/>
    <x v="10"/>
    <x v="71"/>
    <x v="0"/>
    <x v="73"/>
    <s v="四宫格"/>
    <n v="9.95"/>
    <s v="锅"/>
    <n v="4"/>
    <n v="39.8"/>
    <n v="0"/>
    <n v="0"/>
    <n v="0"/>
    <n v="0"/>
    <n v="0"/>
    <n v="0"/>
    <n v="0"/>
    <n v="-0.02"/>
    <n v="1.99"/>
    <n v="0"/>
    <n v="4"/>
    <n v="39.72"/>
    <n v="1.89"/>
    <n v="37.83"/>
    <n v="1"/>
  </r>
  <r>
    <s v="2021-06-09"/>
    <s v="Vancouver"/>
    <s v="加拿大二店"/>
    <x v="1"/>
    <x v="8"/>
    <x v="72"/>
    <x v="69"/>
    <x v="74"/>
    <s v="个"/>
    <n v="7.95"/>
    <s v="份"/>
    <n v="1"/>
    <n v="7.95"/>
    <n v="0"/>
    <n v="0"/>
    <n v="0"/>
    <n v="0"/>
    <n v="0"/>
    <n v="0"/>
    <n v="0"/>
    <n v="0"/>
    <n v="0"/>
    <n v="0"/>
    <n v="1"/>
    <n v="8.34"/>
    <n v="0.39"/>
    <n v="7.95"/>
    <n v="1"/>
  </r>
  <r>
    <s v="2021-06-09"/>
    <s v="Vancouver"/>
    <s v="加拿大二店"/>
    <x v="6"/>
    <x v="13"/>
    <x v="73"/>
    <x v="70"/>
    <x v="75"/>
    <s v="份"/>
    <n v="6.95"/>
    <s v="份"/>
    <n v="3"/>
    <n v="20.85"/>
    <n v="1"/>
    <n v="6.95"/>
    <n v="0"/>
    <n v="0"/>
    <n v="1"/>
    <n v="6.95"/>
    <n v="0"/>
    <n v="-0.01"/>
    <n v="0"/>
    <n v="0"/>
    <n v="1"/>
    <n v="7.3"/>
    <n v="0.34"/>
    <n v="6.96"/>
    <n v="1"/>
  </r>
  <r>
    <s v="2021-06-09"/>
    <s v="Vancouver"/>
    <s v="加拿大二店"/>
    <x v="4"/>
    <x v="9"/>
    <x v="74"/>
    <x v="0"/>
    <x v="76"/>
    <s v="拼锅"/>
    <n v="18.95"/>
    <s v="锅"/>
    <n v="3"/>
    <n v="56.85"/>
    <n v="0"/>
    <n v="0"/>
    <n v="0"/>
    <n v="0"/>
    <n v="0"/>
    <n v="0"/>
    <n v="0"/>
    <n v="0.02"/>
    <n v="3.79"/>
    <n v="0"/>
    <n v="3"/>
    <n v="55.69"/>
    <n v="2.65"/>
    <n v="53.04"/>
    <n v="2"/>
  </r>
  <r>
    <s v="2021-06-09"/>
    <s v="Vancouver"/>
    <s v="加拿大二店"/>
    <x v="4"/>
    <x v="10"/>
    <x v="74"/>
    <x v="0"/>
    <x v="76"/>
    <s v="四宫格"/>
    <n v="9.95"/>
    <s v="锅"/>
    <n v="5"/>
    <n v="49.75"/>
    <n v="0"/>
    <n v="0"/>
    <n v="0"/>
    <n v="0"/>
    <n v="0"/>
    <n v="0"/>
    <n v="0"/>
    <n v="0"/>
    <n v="4.97"/>
    <n v="0"/>
    <n v="5"/>
    <n v="47.01"/>
    <n v="2.23"/>
    <n v="44.78"/>
    <n v="1"/>
  </r>
  <r>
    <s v="2021-06-09"/>
    <s v="Vancouver"/>
    <s v="加拿大二店"/>
    <x v="1"/>
    <x v="6"/>
    <x v="118"/>
    <x v="112"/>
    <x v="122"/>
    <s v="整份"/>
    <n v="28.95"/>
    <s v="份"/>
    <n v="3"/>
    <n v="86.85"/>
    <n v="0"/>
    <n v="0"/>
    <n v="0"/>
    <n v="0"/>
    <n v="0"/>
    <n v="0"/>
    <n v="0"/>
    <n v="0.02"/>
    <n v="2.89"/>
    <n v="0"/>
    <n v="3"/>
    <n v="88.13"/>
    <n v="4.19"/>
    <n v="83.94"/>
    <n v="1"/>
  </r>
  <r>
    <s v="2021-06-09"/>
    <s v="Vancouver"/>
    <s v="加拿大二店"/>
    <x v="8"/>
    <x v="17"/>
    <x v="75"/>
    <x v="71"/>
    <x v="77"/>
    <s v="整份"/>
    <n v="3.99"/>
    <s v="位"/>
    <n v="80"/>
    <n v="319.2"/>
    <n v="0"/>
    <n v="0"/>
    <n v="0"/>
    <n v="0"/>
    <n v="2"/>
    <n v="7.98"/>
    <n v="0"/>
    <n v="0"/>
    <n v="9.3"/>
    <n v="0"/>
    <n v="78"/>
    <n v="317.01"/>
    <n v="15.09"/>
    <n v="301.92"/>
    <n v="1"/>
  </r>
  <r>
    <s v="2021-06-09"/>
    <s v="Vancouver"/>
    <s v="加拿大二店"/>
    <x v="3"/>
    <x v="5"/>
    <x v="76"/>
    <x v="72"/>
    <x v="78"/>
    <s v="整份"/>
    <n v="3.95"/>
    <s v="份"/>
    <n v="2"/>
    <n v="7.9"/>
    <n v="0"/>
    <n v="0"/>
    <n v="0"/>
    <n v="0"/>
    <n v="0"/>
    <n v="0"/>
    <n v="0"/>
    <n v="0"/>
    <n v="2.09"/>
    <n v="0"/>
    <n v="2"/>
    <n v="6.1"/>
    <n v="0.29"/>
    <n v="5.81"/>
    <n v="1"/>
  </r>
  <r>
    <s v="2021-06-09"/>
    <s v="Vancouver"/>
    <s v="加拿大二店"/>
    <x v="1"/>
    <x v="3"/>
    <x v="77"/>
    <x v="73"/>
    <x v="79"/>
    <s v="整份"/>
    <n v="5.95"/>
    <s v="份"/>
    <n v="3"/>
    <n v="17.85"/>
    <n v="0"/>
    <n v="0"/>
    <n v="0"/>
    <n v="0"/>
    <n v="1"/>
    <n v="5.95"/>
    <n v="0"/>
    <n v="0"/>
    <n v="1.19"/>
    <n v="0"/>
    <n v="2"/>
    <n v="11.24"/>
    <n v="0.53"/>
    <n v="10.71"/>
    <n v="1"/>
  </r>
  <r>
    <s v="2021-06-09"/>
    <s v="Vancouver"/>
    <s v="加拿大二店"/>
    <x v="3"/>
    <x v="11"/>
    <x v="78"/>
    <x v="74"/>
    <x v="80"/>
    <s v="整份"/>
    <n v="5.95"/>
    <s v="份"/>
    <n v="4"/>
    <n v="23.8"/>
    <n v="0"/>
    <n v="0"/>
    <n v="0"/>
    <n v="0"/>
    <n v="0"/>
    <n v="0"/>
    <n v="0"/>
    <n v="0"/>
    <n v="4.04"/>
    <n v="0"/>
    <n v="4"/>
    <n v="20.74"/>
    <n v="0.98"/>
    <n v="19.76"/>
    <n v="1"/>
  </r>
  <r>
    <s v="2021-06-09"/>
    <s v="Vancouver"/>
    <s v="加拿大二店"/>
    <x v="3"/>
    <x v="11"/>
    <x v="78"/>
    <x v="75"/>
    <x v="81"/>
    <s v="半份"/>
    <n v="2.95"/>
    <s v="份"/>
    <n v="4"/>
    <n v="11.8"/>
    <n v="0"/>
    <n v="0"/>
    <n v="0"/>
    <n v="0"/>
    <n v="0"/>
    <n v="0"/>
    <n v="0"/>
    <n v="0"/>
    <n v="0.59"/>
    <n v="0"/>
    <n v="4"/>
    <n v="11.77"/>
    <n v="0.56"/>
    <n v="11.21"/>
    <n v="0.5"/>
  </r>
  <r>
    <s v="2021-06-09"/>
    <s v="Vancouver"/>
    <s v="加拿大二店"/>
    <x v="3"/>
    <x v="5"/>
    <x v="79"/>
    <x v="76"/>
    <x v="82"/>
    <s v="整份"/>
    <n v="3.95"/>
    <s v="份"/>
    <n v="9"/>
    <n v="35.55"/>
    <n v="0"/>
    <n v="0"/>
    <n v="0"/>
    <n v="0"/>
    <n v="0"/>
    <n v="0"/>
    <n v="0"/>
    <n v="0"/>
    <n v="2.17"/>
    <n v="0"/>
    <n v="9"/>
    <n v="35.04"/>
    <n v="1.66"/>
    <n v="33.38"/>
    <n v="1"/>
  </r>
  <r>
    <s v="2021-06-09"/>
    <s v="Vancouver"/>
    <s v="加拿大二店"/>
    <x v="3"/>
    <x v="5"/>
    <x v="80"/>
    <x v="77"/>
    <x v="83"/>
    <s v="整份"/>
    <n v="5.95"/>
    <s v="份"/>
    <n v="16"/>
    <n v="95.2"/>
    <n v="0"/>
    <n v="0"/>
    <n v="0"/>
    <n v="0"/>
    <n v="0"/>
    <n v="0"/>
    <n v="0"/>
    <n v="0"/>
    <n v="8.13"/>
    <n v="0"/>
    <n v="16"/>
    <n v="91.42"/>
    <n v="4.35"/>
    <n v="87.07"/>
    <n v="1"/>
  </r>
  <r>
    <s v="2021-06-09"/>
    <s v="Vancouver"/>
    <s v="加拿大二店"/>
    <x v="4"/>
    <x v="9"/>
    <x v="81"/>
    <x v="0"/>
    <x v="84"/>
    <s v="拼锅"/>
    <n v="8.95"/>
    <s v="锅"/>
    <n v="6"/>
    <n v="53.7"/>
    <n v="0"/>
    <n v="0"/>
    <n v="0"/>
    <n v="0"/>
    <n v="0"/>
    <n v="0"/>
    <n v="0"/>
    <n v="0"/>
    <n v="0"/>
    <n v="0"/>
    <n v="6"/>
    <n v="56.38"/>
    <n v="2.68"/>
    <n v="53.7"/>
    <n v="2"/>
  </r>
  <r>
    <s v="2021-06-09"/>
    <s v="Vancouver"/>
    <s v="加拿大二店"/>
    <x v="3"/>
    <x v="5"/>
    <x v="82"/>
    <x v="78"/>
    <x v="85"/>
    <s v="整份"/>
    <n v="12.95"/>
    <s v="份"/>
    <n v="6"/>
    <n v="77.7"/>
    <n v="0"/>
    <n v="0"/>
    <n v="0"/>
    <n v="0"/>
    <n v="0"/>
    <n v="0"/>
    <n v="0"/>
    <n v="0"/>
    <n v="14.24"/>
    <n v="0"/>
    <n v="6"/>
    <n v="66.63"/>
    <n v="3.17"/>
    <n v="63.46"/>
    <n v="1"/>
  </r>
  <r>
    <s v="2021-06-09"/>
    <s v="Vancouver"/>
    <s v="加拿大二店"/>
    <x v="3"/>
    <x v="11"/>
    <x v="83"/>
    <x v="79"/>
    <x v="86"/>
    <s v="整份"/>
    <n v="5.95"/>
    <s v="份"/>
    <n v="4"/>
    <n v="23.8"/>
    <n v="1"/>
    <n v="5.95"/>
    <n v="0"/>
    <n v="0"/>
    <n v="0"/>
    <n v="0"/>
    <n v="0"/>
    <n v="0"/>
    <n v="1.78"/>
    <n v="0"/>
    <n v="3"/>
    <n v="16.87"/>
    <n v="0.8"/>
    <n v="16.07"/>
    <n v="1"/>
  </r>
  <r>
    <s v="2021-06-09"/>
    <s v="Vancouver"/>
    <s v="加拿大二店"/>
    <x v="3"/>
    <x v="11"/>
    <x v="83"/>
    <x v="80"/>
    <x v="87"/>
    <s v="半份"/>
    <n v="2.95"/>
    <s v="份"/>
    <n v="2"/>
    <n v="5.9"/>
    <n v="0"/>
    <n v="0"/>
    <n v="0"/>
    <n v="0"/>
    <n v="0"/>
    <n v="0"/>
    <n v="0"/>
    <n v="0"/>
    <n v="0.59"/>
    <n v="0"/>
    <n v="2"/>
    <n v="5.57"/>
    <n v="0.26"/>
    <n v="5.31"/>
    <n v="0.5"/>
  </r>
  <r>
    <s v="2021-06-09"/>
    <s v="Vancouver"/>
    <s v="加拿大二店"/>
    <x v="3"/>
    <x v="11"/>
    <x v="84"/>
    <x v="81"/>
    <x v="88"/>
    <s v="整份"/>
    <n v="11.95"/>
    <s v="份"/>
    <n v="3"/>
    <n v="35.85"/>
    <n v="0"/>
    <n v="0"/>
    <n v="0"/>
    <n v="0"/>
    <n v="0"/>
    <n v="0"/>
    <n v="0"/>
    <n v="0"/>
    <n v="3.43"/>
    <n v="0"/>
    <n v="3"/>
    <n v="34.04"/>
    <n v="1.62"/>
    <n v="32.42"/>
    <n v="1"/>
  </r>
  <r>
    <s v="2021-06-09"/>
    <s v="Vancouver"/>
    <s v="加拿大二店"/>
    <x v="1"/>
    <x v="3"/>
    <x v="85"/>
    <x v="82"/>
    <x v="89"/>
    <s v="整份"/>
    <n v="6.95"/>
    <s v="份"/>
    <n v="2"/>
    <n v="13.9"/>
    <n v="0"/>
    <n v="0"/>
    <n v="0"/>
    <n v="0"/>
    <n v="0"/>
    <n v="0"/>
    <n v="0"/>
    <n v="0"/>
    <n v="1.04"/>
    <n v="0"/>
    <n v="2"/>
    <n v="13.5"/>
    <n v="0.64"/>
    <n v="12.86"/>
    <n v="1"/>
  </r>
  <r>
    <s v="2021-06-09"/>
    <s v="Vancouver"/>
    <s v="加拿大二店"/>
    <x v="6"/>
    <x v="13"/>
    <x v="86"/>
    <x v="83"/>
    <x v="90"/>
    <s v="碗"/>
    <n v="2.95"/>
    <s v="碗"/>
    <n v="6"/>
    <n v="17.7"/>
    <n v="0"/>
    <n v="0"/>
    <n v="0"/>
    <n v="0"/>
    <n v="1"/>
    <n v="2.95"/>
    <n v="0"/>
    <n v="0"/>
    <n v="0.59"/>
    <n v="0"/>
    <n v="5"/>
    <n v="14.86"/>
    <n v="0.7"/>
    <n v="14.16"/>
    <n v="1"/>
  </r>
  <r>
    <s v="2021-06-09"/>
    <s v="Vancouver"/>
    <s v="加拿大二店"/>
    <x v="1"/>
    <x v="8"/>
    <x v="88"/>
    <x v="85"/>
    <x v="92"/>
    <s v="整份"/>
    <n v="7.95"/>
    <s v="份"/>
    <n v="5"/>
    <n v="39.75"/>
    <n v="0"/>
    <n v="0"/>
    <n v="0"/>
    <n v="0"/>
    <n v="0"/>
    <n v="0"/>
    <n v="0"/>
    <n v="0"/>
    <n v="3.18"/>
    <n v="0"/>
    <n v="5"/>
    <n v="38.39"/>
    <n v="1.82"/>
    <n v="36.57"/>
    <n v="1"/>
  </r>
  <r>
    <s v="2021-06-09"/>
    <s v="Vancouver"/>
    <s v="加拿大二店"/>
    <x v="1"/>
    <x v="8"/>
    <x v="89"/>
    <x v="86"/>
    <x v="93"/>
    <s v="整份"/>
    <n v="4.95"/>
    <s v="份"/>
    <n v="11"/>
    <n v="54.45"/>
    <n v="0"/>
    <n v="0"/>
    <n v="0"/>
    <n v="0"/>
    <n v="0"/>
    <n v="0"/>
    <n v="0"/>
    <n v="0"/>
    <n v="0.74"/>
    <n v="0"/>
    <n v="11"/>
    <n v="56.39"/>
    <n v="2.68"/>
    <n v="53.71"/>
    <n v="1"/>
  </r>
  <r>
    <s v="2021-06-09"/>
    <s v="Vancouver"/>
    <s v="加拿大二店"/>
    <x v="3"/>
    <x v="7"/>
    <x v="90"/>
    <x v="87"/>
    <x v="94"/>
    <s v="整份"/>
    <n v="4.95"/>
    <s v="份"/>
    <n v="7"/>
    <n v="34.65"/>
    <n v="0"/>
    <n v="0"/>
    <n v="0"/>
    <n v="0"/>
    <n v="0"/>
    <n v="0"/>
    <n v="0"/>
    <n v="0"/>
    <n v="3.71"/>
    <n v="0"/>
    <n v="7"/>
    <n v="32.48"/>
    <n v="1.54"/>
    <n v="30.94"/>
    <n v="1"/>
  </r>
  <r>
    <s v="2021-06-09"/>
    <s v="Vancouver"/>
    <s v="加拿大二店"/>
    <x v="4"/>
    <x v="9"/>
    <x v="92"/>
    <x v="0"/>
    <x v="96"/>
    <s v="拼锅"/>
    <n v="8.95"/>
    <s v="锅"/>
    <n v="3"/>
    <n v="26.85"/>
    <n v="0"/>
    <n v="0"/>
    <n v="0"/>
    <n v="0"/>
    <n v="0"/>
    <n v="0"/>
    <n v="0"/>
    <n v="0"/>
    <n v="4.36"/>
    <n v="0"/>
    <n v="3"/>
    <n v="23.61"/>
    <n v="1.12"/>
    <n v="22.49"/>
    <n v="2"/>
  </r>
  <r>
    <s v="2021-06-09"/>
    <s v="Vancouver"/>
    <s v="加拿大二店"/>
    <x v="4"/>
    <x v="10"/>
    <x v="92"/>
    <x v="0"/>
    <x v="96"/>
    <s v="四宫格"/>
    <n v="4.95"/>
    <s v="锅"/>
    <n v="3"/>
    <n v="14.85"/>
    <n v="0"/>
    <n v="0"/>
    <n v="0"/>
    <n v="0"/>
    <n v="0"/>
    <n v="0"/>
    <n v="0"/>
    <n v="0"/>
    <n v="2.47"/>
    <n v="0"/>
    <n v="3"/>
    <n v="12.99"/>
    <n v="0.61"/>
    <n v="12.38"/>
    <n v="1"/>
  </r>
  <r>
    <s v="2021-06-09"/>
    <s v="Vancouver"/>
    <s v="加拿大二店"/>
    <x v="3"/>
    <x v="5"/>
    <x v="93"/>
    <x v="89"/>
    <x v="97"/>
    <s v="整份"/>
    <n v="5.95"/>
    <s v="份"/>
    <n v="10"/>
    <n v="59.5"/>
    <n v="0"/>
    <n v="0"/>
    <n v="0"/>
    <n v="0"/>
    <n v="2"/>
    <n v="11.9"/>
    <n v="0"/>
    <n v="0"/>
    <n v="0.89"/>
    <n v="0"/>
    <n v="8"/>
    <n v="49.04"/>
    <n v="2.33"/>
    <n v="46.71"/>
    <n v="1"/>
  </r>
  <r>
    <s v="2021-06-09"/>
    <s v="Vancouver"/>
    <s v="加拿大二店"/>
    <x v="6"/>
    <x v="13"/>
    <x v="94"/>
    <x v="90"/>
    <x v="98"/>
    <s v="整份"/>
    <n v="4.95"/>
    <s v="份"/>
    <n v="10"/>
    <n v="49.5"/>
    <n v="0"/>
    <n v="0"/>
    <n v="0"/>
    <n v="0"/>
    <n v="0"/>
    <n v="0"/>
    <n v="0"/>
    <n v="0"/>
    <n v="0"/>
    <n v="0"/>
    <n v="10"/>
    <n v="51.97"/>
    <n v="2.47"/>
    <n v="49.5"/>
    <n v="1"/>
  </r>
  <r>
    <s v="2021-06-09"/>
    <s v="Vancouver"/>
    <s v="加拿大二店"/>
    <x v="1"/>
    <x v="1"/>
    <x v="96"/>
    <x v="92"/>
    <x v="100"/>
    <s v="整份"/>
    <n v="49.95"/>
    <s v="份"/>
    <n v="4"/>
    <n v="199.8"/>
    <n v="0"/>
    <n v="0"/>
    <n v="0"/>
    <n v="0"/>
    <n v="0"/>
    <n v="0"/>
    <n v="0"/>
    <n v="0"/>
    <n v="7.49"/>
    <n v="0"/>
    <n v="4"/>
    <n v="201.92"/>
    <n v="9.61"/>
    <n v="192.31"/>
    <n v="1"/>
  </r>
  <r>
    <s v="2021-06-09"/>
    <s v="Vancouver"/>
    <s v="加拿大二店"/>
    <x v="2"/>
    <x v="2"/>
    <x v="97"/>
    <x v="93"/>
    <x v="101"/>
    <s v="冰镇"/>
    <n v="5.95"/>
    <s v="听"/>
    <n v="1"/>
    <n v="5.95"/>
    <n v="1"/>
    <n v="5.95"/>
    <n v="0"/>
    <n v="0"/>
    <n v="0"/>
    <n v="0"/>
    <n v="0"/>
    <n v="0"/>
    <n v="0"/>
    <n v="0"/>
    <n v="0"/>
    <n v="0"/>
    <n v="0"/>
    <n v="0"/>
    <n v="1"/>
  </r>
  <r>
    <s v="2021-06-09"/>
    <s v="Vancouver"/>
    <s v="加拿大二店"/>
    <x v="6"/>
    <x v="13"/>
    <x v="98"/>
    <x v="94"/>
    <x v="102"/>
    <s v="整份"/>
    <n v="3.95"/>
    <s v="份"/>
    <n v="5"/>
    <n v="19.75"/>
    <n v="0"/>
    <n v="0"/>
    <n v="0"/>
    <n v="0"/>
    <n v="0"/>
    <n v="0"/>
    <n v="0"/>
    <n v="0"/>
    <n v="0.79"/>
    <n v="0"/>
    <n v="5"/>
    <n v="19.9"/>
    <n v="0.94"/>
    <n v="18.96"/>
    <n v="1"/>
  </r>
  <r>
    <s v="2021-06-09"/>
    <s v="Vancouver"/>
    <s v="加拿大二店"/>
    <x v="1"/>
    <x v="3"/>
    <x v="99"/>
    <x v="95"/>
    <x v="103"/>
    <s v="整份"/>
    <n v="5.95"/>
    <s v="份"/>
    <n v="2"/>
    <n v="11.9"/>
    <n v="0"/>
    <n v="0"/>
    <n v="0"/>
    <n v="0"/>
    <n v="0"/>
    <n v="0"/>
    <n v="0"/>
    <n v="0"/>
    <n v="4.16"/>
    <n v="0"/>
    <n v="2"/>
    <n v="8.12"/>
    <n v="0.38"/>
    <n v="7.74"/>
    <n v="1"/>
  </r>
  <r>
    <s v="2021-06-09"/>
    <s v="Vancouver"/>
    <s v="加拿大二店"/>
    <x v="1"/>
    <x v="3"/>
    <x v="100"/>
    <x v="96"/>
    <x v="104"/>
    <s v="整份"/>
    <n v="7.95"/>
    <s v="份"/>
    <n v="1"/>
    <n v="7.95"/>
    <n v="0"/>
    <n v="0"/>
    <n v="0"/>
    <n v="0"/>
    <n v="0"/>
    <n v="0"/>
    <n v="0"/>
    <n v="0"/>
    <n v="0"/>
    <n v="0"/>
    <n v="1"/>
    <n v="8.34"/>
    <n v="0.39"/>
    <n v="7.95"/>
    <n v="1"/>
  </r>
  <r>
    <s v="2021-06-09"/>
    <s v="Vancouver"/>
    <s v="加拿大二店"/>
    <x v="1"/>
    <x v="8"/>
    <x v="101"/>
    <x v="97"/>
    <x v="105"/>
    <s v="整份"/>
    <n v="5.95"/>
    <s v="份"/>
    <n v="3"/>
    <n v="17.85"/>
    <n v="0"/>
    <n v="0"/>
    <n v="0"/>
    <n v="0"/>
    <n v="0"/>
    <n v="0"/>
    <n v="0"/>
    <n v="0"/>
    <n v="1.19"/>
    <n v="0"/>
    <n v="3"/>
    <n v="17.49"/>
    <n v="0.83"/>
    <n v="16.66"/>
    <n v="1"/>
  </r>
  <r>
    <s v="2021-06-09"/>
    <s v="Vancouver"/>
    <s v="加拿大二店"/>
    <x v="1"/>
    <x v="6"/>
    <x v="102"/>
    <x v="98"/>
    <x v="106"/>
    <s v="整份"/>
    <n v="8.95"/>
    <s v="份"/>
    <n v="2"/>
    <n v="17.9"/>
    <n v="0"/>
    <n v="0"/>
    <n v="0"/>
    <n v="0"/>
    <n v="0"/>
    <n v="0"/>
    <n v="0"/>
    <n v="-0.01"/>
    <n v="1.79"/>
    <n v="0"/>
    <n v="2"/>
    <n v="16.92"/>
    <n v="0.8"/>
    <n v="16.12"/>
    <n v="1"/>
  </r>
  <r>
    <s v="2021-06-09"/>
    <s v="Vancouver"/>
    <s v="加拿大二店"/>
    <x v="3"/>
    <x v="7"/>
    <x v="103"/>
    <x v="99"/>
    <x v="107"/>
    <s v="整份"/>
    <n v="5.95"/>
    <s v="份"/>
    <n v="8"/>
    <n v="47.6"/>
    <n v="0"/>
    <n v="0"/>
    <n v="0"/>
    <n v="0"/>
    <n v="0"/>
    <n v="0"/>
    <n v="0"/>
    <n v="-0.01"/>
    <n v="2.38"/>
    <n v="0"/>
    <n v="8"/>
    <n v="47.49"/>
    <n v="2.26"/>
    <n v="45.23"/>
    <n v="1"/>
  </r>
  <r>
    <s v="2021-06-09"/>
    <s v="Vancouver"/>
    <s v="加拿大二店"/>
    <x v="3"/>
    <x v="7"/>
    <x v="104"/>
    <x v="100"/>
    <x v="108"/>
    <s v="整份"/>
    <n v="3.95"/>
    <s v="份"/>
    <n v="3"/>
    <n v="11.85"/>
    <n v="0"/>
    <n v="0"/>
    <n v="0"/>
    <n v="0"/>
    <n v="0"/>
    <n v="0"/>
    <n v="0"/>
    <n v="0"/>
    <n v="2.37"/>
    <n v="0"/>
    <n v="3"/>
    <n v="9.95"/>
    <n v="0.47"/>
    <n v="9.48"/>
    <n v="1"/>
  </r>
  <r>
    <s v="2021-06-09"/>
    <s v="Vancouver"/>
    <s v="加拿大二店"/>
    <x v="1"/>
    <x v="8"/>
    <x v="105"/>
    <x v="101"/>
    <x v="109"/>
    <s v="整份"/>
    <n v="4.95"/>
    <s v="份"/>
    <n v="5"/>
    <n v="24.75"/>
    <n v="0"/>
    <n v="0"/>
    <n v="0"/>
    <n v="0"/>
    <n v="0"/>
    <n v="0"/>
    <n v="0"/>
    <n v="-0.02"/>
    <n v="0.99"/>
    <n v="0"/>
    <n v="5"/>
    <n v="24.96"/>
    <n v="1.18"/>
    <n v="23.78"/>
    <n v="1"/>
  </r>
  <r>
    <s v="2021-06-09"/>
    <s v="Vancouver"/>
    <s v="加拿大二店"/>
    <x v="4"/>
    <x v="9"/>
    <x v="106"/>
    <x v="0"/>
    <x v="110"/>
    <s v="拼锅"/>
    <n v="11.95"/>
    <s v="锅"/>
    <n v="6"/>
    <n v="71.7"/>
    <n v="0"/>
    <n v="0"/>
    <n v="0"/>
    <n v="0"/>
    <n v="0"/>
    <n v="0"/>
    <n v="0"/>
    <n v="0"/>
    <n v="0"/>
    <n v="0"/>
    <n v="6"/>
    <n v="75.28"/>
    <n v="3.58"/>
    <n v="71.7"/>
    <n v="2"/>
  </r>
  <r>
    <s v="2021-06-09"/>
    <s v="Vancouver"/>
    <s v="加拿大二店"/>
    <x v="4"/>
    <x v="10"/>
    <x v="106"/>
    <x v="0"/>
    <x v="110"/>
    <s v="四宫格"/>
    <n v="5.95"/>
    <s v="锅"/>
    <n v="3"/>
    <n v="17.85"/>
    <n v="0"/>
    <n v="0"/>
    <n v="0"/>
    <n v="0"/>
    <n v="0"/>
    <n v="0"/>
    <n v="0"/>
    <n v="0"/>
    <n v="1.19"/>
    <n v="0"/>
    <n v="3"/>
    <n v="17.49"/>
    <n v="0.83"/>
    <n v="16.66"/>
    <n v="1"/>
  </r>
  <r>
    <s v="2021-06-09"/>
    <s v="Vancouver"/>
    <s v="加拿大二店"/>
    <x v="4"/>
    <x v="9"/>
    <x v="107"/>
    <x v="0"/>
    <x v="111"/>
    <s v="拼锅"/>
    <n v="11.95"/>
    <s v="锅"/>
    <n v="7"/>
    <n v="83.65"/>
    <n v="0"/>
    <n v="0"/>
    <n v="0"/>
    <n v="0"/>
    <n v="1"/>
    <n v="11.95"/>
    <n v="0"/>
    <n v="0"/>
    <n v="0"/>
    <n v="0"/>
    <n v="6"/>
    <n v="75.28"/>
    <n v="3.58"/>
    <n v="71.7"/>
    <n v="2"/>
  </r>
  <r>
    <s v="2021-06-09"/>
    <s v="Vancouver"/>
    <s v="加拿大二店"/>
    <x v="4"/>
    <x v="10"/>
    <x v="107"/>
    <x v="0"/>
    <x v="111"/>
    <s v="四宫格"/>
    <n v="5.95"/>
    <s v="锅"/>
    <n v="3"/>
    <n v="17.85"/>
    <n v="0"/>
    <n v="0"/>
    <n v="0"/>
    <n v="0"/>
    <n v="0"/>
    <n v="0"/>
    <n v="0"/>
    <n v="0"/>
    <n v="0"/>
    <n v="0"/>
    <n v="3"/>
    <n v="18.74"/>
    <n v="0.89"/>
    <n v="17.85"/>
    <n v="1"/>
  </r>
  <r>
    <s v="2021-06-10"/>
    <s v="Vancouver"/>
    <s v="加拿大二店"/>
    <x v="0"/>
    <x v="0"/>
    <x v="0"/>
    <x v="0"/>
    <x v="0"/>
    <s v="套餐"/>
    <n v="139.95"/>
    <s v="套餐"/>
    <n v="3"/>
    <n v="419.85"/>
    <n v="1"/>
    <n v="139.95"/>
    <n v="0"/>
    <n v="0"/>
    <n v="0"/>
    <n v="0"/>
    <n v="0"/>
    <n v="-0.02"/>
    <n v="0"/>
    <n v="0"/>
    <n v="2"/>
    <n v="296.71"/>
    <n v="16.79"/>
    <n v="279.92"/>
    <n v="1"/>
  </r>
  <r>
    <s v="2021-06-10"/>
    <s v="Vancouver"/>
    <s v="加拿大二店"/>
    <x v="1"/>
    <x v="1"/>
    <x v="1"/>
    <x v="1"/>
    <x v="1"/>
    <s v="整份"/>
    <n v="16.95"/>
    <s v="份"/>
    <n v="6"/>
    <n v="101.7"/>
    <n v="0"/>
    <n v="0"/>
    <n v="0"/>
    <n v="0"/>
    <n v="0"/>
    <n v="0"/>
    <n v="0"/>
    <n v="0"/>
    <n v="0.79"/>
    <n v="0"/>
    <n v="6"/>
    <n v="105.95"/>
    <n v="5.04"/>
    <n v="100.91"/>
    <n v="1"/>
  </r>
  <r>
    <s v="2021-06-10"/>
    <s v="Vancouver"/>
    <s v="加拿大二店"/>
    <x v="2"/>
    <x v="19"/>
    <x v="132"/>
    <x v="126"/>
    <x v="137"/>
    <s v="瓶"/>
    <n v="15.95"/>
    <s v="瓶"/>
    <n v="1"/>
    <n v="15.95"/>
    <n v="0"/>
    <n v="0"/>
    <n v="0"/>
    <n v="0"/>
    <n v="0"/>
    <n v="0"/>
    <n v="0"/>
    <n v="0.01"/>
    <n v="0"/>
    <n v="0"/>
    <n v="1"/>
    <n v="18.33"/>
    <n v="2.39"/>
    <n v="15.94"/>
    <n v="1"/>
  </r>
  <r>
    <s v="2021-06-10"/>
    <s v="Vancouver"/>
    <s v="加拿大二店"/>
    <x v="1"/>
    <x v="1"/>
    <x v="2"/>
    <x v="2"/>
    <x v="2"/>
    <s v="整份"/>
    <n v="25.95"/>
    <s v="份"/>
    <n v="13"/>
    <n v="337.35"/>
    <n v="0"/>
    <n v="0"/>
    <n v="0"/>
    <n v="0"/>
    <n v="1"/>
    <n v="25.95"/>
    <n v="0"/>
    <n v="-0.01"/>
    <n v="15.3"/>
    <n v="0"/>
    <n v="12"/>
    <n v="310.91"/>
    <n v="14.8"/>
    <n v="296.11"/>
    <n v="1"/>
  </r>
  <r>
    <s v="2021-06-10"/>
    <s v="Vancouver"/>
    <s v="加拿大二店"/>
    <x v="2"/>
    <x v="2"/>
    <x v="129"/>
    <x v="123"/>
    <x v="134"/>
    <s v="扎"/>
    <n v="22.95"/>
    <s v="扎"/>
    <n v="1"/>
    <n v="22.95"/>
    <n v="0"/>
    <n v="0"/>
    <n v="0"/>
    <n v="0"/>
    <n v="0"/>
    <n v="0"/>
    <n v="0"/>
    <n v="-0.01"/>
    <n v="0"/>
    <n v="0"/>
    <n v="1"/>
    <n v="26.4"/>
    <n v="3.44"/>
    <n v="22.96"/>
    <n v="1"/>
  </r>
  <r>
    <s v="2021-06-10"/>
    <s v="Vancouver"/>
    <s v="加拿大二店"/>
    <x v="2"/>
    <x v="2"/>
    <x v="3"/>
    <x v="3"/>
    <x v="3"/>
    <s v="杯"/>
    <n v="6.95"/>
    <s v="杯"/>
    <n v="1"/>
    <n v="6.95"/>
    <n v="0"/>
    <n v="0"/>
    <n v="0"/>
    <n v="0"/>
    <n v="0"/>
    <n v="0"/>
    <n v="0"/>
    <n v="0"/>
    <n v="0"/>
    <n v="0"/>
    <n v="1"/>
    <n v="7.99"/>
    <n v="1.04"/>
    <n v="6.95"/>
    <n v="1"/>
  </r>
  <r>
    <s v="2021-06-10"/>
    <s v="Vancouver"/>
    <s v="加拿大二店"/>
    <x v="2"/>
    <x v="2"/>
    <x v="4"/>
    <x v="4"/>
    <x v="4"/>
    <s v="壶"/>
    <n v="22.95"/>
    <s v="壶"/>
    <n v="1"/>
    <n v="22.95"/>
    <n v="0"/>
    <n v="0"/>
    <n v="0"/>
    <n v="0"/>
    <n v="0"/>
    <n v="0"/>
    <n v="0"/>
    <n v="0"/>
    <n v="1.08"/>
    <n v="0"/>
    <n v="1"/>
    <n v="25.15"/>
    <n v="3.28"/>
    <n v="21.87"/>
    <n v="1"/>
  </r>
  <r>
    <s v="2021-06-10"/>
    <s v="Vancouver"/>
    <s v="加拿大二店"/>
    <x v="2"/>
    <x v="2"/>
    <x v="5"/>
    <x v="5"/>
    <x v="5"/>
    <s v="杯"/>
    <n v="6.95"/>
    <s v="杯"/>
    <n v="2"/>
    <n v="13.9"/>
    <n v="0"/>
    <n v="0"/>
    <n v="0"/>
    <n v="0"/>
    <n v="0"/>
    <n v="0"/>
    <n v="0"/>
    <n v="0.02"/>
    <n v="0"/>
    <n v="0"/>
    <n v="2"/>
    <n v="15.96"/>
    <n v="2.08"/>
    <n v="13.88"/>
    <n v="1"/>
  </r>
  <r>
    <s v="2021-06-10"/>
    <s v="Vancouver"/>
    <s v="加拿大二店"/>
    <x v="1"/>
    <x v="3"/>
    <x v="6"/>
    <x v="6"/>
    <x v="6"/>
    <s v="整份"/>
    <n v="7.95"/>
    <s v="份"/>
    <n v="6"/>
    <n v="47.7"/>
    <n v="0"/>
    <n v="0"/>
    <n v="0"/>
    <n v="0"/>
    <n v="0"/>
    <n v="0"/>
    <n v="0"/>
    <n v="0"/>
    <n v="6.51"/>
    <n v="0"/>
    <n v="6"/>
    <n v="43.24"/>
    <n v="2.05"/>
    <n v="41.19"/>
    <n v="1"/>
  </r>
  <r>
    <s v="2021-06-10"/>
    <s v="Vancouver"/>
    <s v="加拿大二店"/>
    <x v="0"/>
    <x v="0"/>
    <x v="124"/>
    <x v="0"/>
    <x v="128"/>
    <s v="套餐"/>
    <n v="59.95"/>
    <s v="套餐"/>
    <n v="2"/>
    <n v="119.9"/>
    <n v="0"/>
    <n v="0"/>
    <n v="0"/>
    <n v="0"/>
    <n v="0"/>
    <n v="0"/>
    <n v="0"/>
    <n v="-0.02"/>
    <n v="0"/>
    <n v="0"/>
    <n v="2"/>
    <n v="127.11"/>
    <n v="7.19"/>
    <n v="119.92"/>
    <n v="1"/>
  </r>
  <r>
    <s v="2021-06-10"/>
    <s v="Vancouver"/>
    <s v="加拿大二店"/>
    <x v="2"/>
    <x v="4"/>
    <x v="7"/>
    <x v="7"/>
    <x v="7"/>
    <s v="冰镇"/>
    <n v="2.45"/>
    <s v="罐"/>
    <n v="5"/>
    <n v="12.25"/>
    <n v="0"/>
    <n v="0"/>
    <n v="0"/>
    <n v="0"/>
    <n v="0"/>
    <n v="0"/>
    <n v="0"/>
    <n v="0"/>
    <n v="0"/>
    <n v="0"/>
    <n v="5"/>
    <n v="13.72"/>
    <n v="1.47"/>
    <n v="12.25"/>
    <n v="1"/>
  </r>
  <r>
    <s v="2021-06-10"/>
    <s v="Vancouver"/>
    <s v="加拿大二店"/>
    <x v="0"/>
    <x v="20"/>
    <x v="109"/>
    <x v="103"/>
    <x v="113"/>
    <s v="整份"/>
    <n v="8.95"/>
    <s v="份"/>
    <n v="2"/>
    <n v="17.9"/>
    <n v="0"/>
    <n v="0"/>
    <n v="0"/>
    <n v="0"/>
    <n v="0"/>
    <n v="0"/>
    <n v="0"/>
    <n v="0"/>
    <n v="0"/>
    <n v="0"/>
    <n v="2"/>
    <n v="18.79"/>
    <n v="0.89"/>
    <n v="17.9"/>
    <n v="1"/>
  </r>
  <r>
    <s v="2021-06-10"/>
    <s v="Vancouver"/>
    <s v="加拿大二店"/>
    <x v="3"/>
    <x v="5"/>
    <x v="8"/>
    <x v="8"/>
    <x v="8"/>
    <s v="整份"/>
    <n v="3.95"/>
    <s v="份"/>
    <n v="3"/>
    <n v="11.85"/>
    <n v="0"/>
    <n v="0"/>
    <n v="0"/>
    <n v="0"/>
    <n v="0"/>
    <n v="0"/>
    <n v="0"/>
    <n v="0"/>
    <n v="0"/>
    <n v="0"/>
    <n v="3"/>
    <n v="12.44"/>
    <n v="0.59"/>
    <n v="11.85"/>
    <n v="1"/>
  </r>
  <r>
    <s v="2021-06-10"/>
    <s v="Vancouver"/>
    <s v="加拿大二店"/>
    <x v="2"/>
    <x v="4"/>
    <x v="10"/>
    <x v="11"/>
    <x v="11"/>
    <s v="整份"/>
    <n v="9.95"/>
    <s v="扎"/>
    <n v="2"/>
    <n v="19.9"/>
    <n v="0"/>
    <n v="0"/>
    <n v="0"/>
    <n v="0"/>
    <n v="0"/>
    <n v="0"/>
    <n v="0"/>
    <n v="0"/>
    <n v="0.47"/>
    <n v="0"/>
    <n v="2"/>
    <n v="21.76"/>
    <n v="2.33"/>
    <n v="19.43"/>
    <n v="1"/>
  </r>
  <r>
    <s v="2021-06-10"/>
    <s v="Vancouver"/>
    <s v="加拿大二店"/>
    <x v="1"/>
    <x v="6"/>
    <x v="11"/>
    <x v="12"/>
    <x v="12"/>
    <s v="整份"/>
    <n v="8.95"/>
    <s v="份"/>
    <n v="2"/>
    <n v="17.9"/>
    <n v="0"/>
    <n v="0"/>
    <n v="0"/>
    <n v="0"/>
    <n v="1"/>
    <n v="8.95"/>
    <n v="0"/>
    <n v="0"/>
    <n v="0"/>
    <n v="0"/>
    <n v="1"/>
    <n v="9.39"/>
    <n v="0.44"/>
    <n v="8.95"/>
    <n v="1"/>
  </r>
  <r>
    <s v="2021-06-10"/>
    <s v="Vancouver"/>
    <s v="加拿大二店"/>
    <x v="1"/>
    <x v="6"/>
    <x v="12"/>
    <x v="13"/>
    <x v="13"/>
    <s v="整份"/>
    <n v="16.95"/>
    <s v="份"/>
    <n v="2"/>
    <n v="33.9"/>
    <n v="0"/>
    <n v="0"/>
    <n v="0"/>
    <n v="0"/>
    <n v="0"/>
    <n v="0"/>
    <n v="0"/>
    <n v="0"/>
    <n v="8.47"/>
    <n v="0"/>
    <n v="2"/>
    <n v="26.7"/>
    <n v="1.27"/>
    <n v="25.43"/>
    <n v="1"/>
  </r>
  <r>
    <s v="2021-06-10"/>
    <s v="Vancouver"/>
    <s v="加拿大二店"/>
    <x v="1"/>
    <x v="6"/>
    <x v="13"/>
    <x v="14"/>
    <x v="14"/>
    <s v="整份"/>
    <n v="21.95"/>
    <s v="份"/>
    <n v="3"/>
    <n v="65.85"/>
    <n v="0"/>
    <n v="0"/>
    <n v="0"/>
    <n v="0"/>
    <n v="0"/>
    <n v="0"/>
    <n v="0"/>
    <n v="0"/>
    <n v="4.39"/>
    <n v="0"/>
    <n v="3"/>
    <n v="64.53"/>
    <n v="3.07"/>
    <n v="61.46"/>
    <n v="1"/>
  </r>
  <r>
    <s v="2021-06-10"/>
    <s v="Vancouver"/>
    <s v="加拿大二店"/>
    <x v="1"/>
    <x v="6"/>
    <x v="14"/>
    <x v="15"/>
    <x v="15"/>
    <s v="整份"/>
    <n v="29.95"/>
    <s v="份"/>
    <n v="2"/>
    <n v="59.9"/>
    <n v="0"/>
    <n v="0"/>
    <n v="0"/>
    <n v="0"/>
    <n v="0"/>
    <n v="0"/>
    <n v="0"/>
    <n v="0"/>
    <n v="1.4"/>
    <n v="0"/>
    <n v="2"/>
    <n v="61.42"/>
    <n v="2.92"/>
    <n v="58.5"/>
    <n v="1"/>
  </r>
  <r>
    <s v="2021-06-10"/>
    <s v="Vancouver"/>
    <s v="加拿大二店"/>
    <x v="1"/>
    <x v="6"/>
    <x v="121"/>
    <x v="115"/>
    <x v="125"/>
    <s v="整份"/>
    <n v="12.95"/>
    <s v="份"/>
    <n v="4"/>
    <n v="51.8"/>
    <n v="1"/>
    <n v="12.95"/>
    <n v="0"/>
    <n v="0"/>
    <n v="0"/>
    <n v="0"/>
    <n v="0"/>
    <n v="0"/>
    <n v="0"/>
    <n v="0"/>
    <n v="3"/>
    <n v="40.79"/>
    <n v="1.94"/>
    <n v="38.85"/>
    <n v="1"/>
  </r>
  <r>
    <s v="2021-06-10"/>
    <s v="Vancouver"/>
    <s v="加拿大二店"/>
    <x v="1"/>
    <x v="6"/>
    <x v="15"/>
    <x v="16"/>
    <x v="16"/>
    <s v="整份"/>
    <n v="8.95"/>
    <s v="份"/>
    <n v="2"/>
    <n v="17.9"/>
    <n v="0"/>
    <n v="0"/>
    <n v="0"/>
    <n v="0"/>
    <n v="0"/>
    <n v="0"/>
    <n v="0"/>
    <n v="0"/>
    <n v="4.47"/>
    <n v="0"/>
    <n v="2"/>
    <n v="14.1"/>
    <n v="0.67"/>
    <n v="13.43"/>
    <n v="1"/>
  </r>
  <r>
    <s v="2021-06-10"/>
    <s v="Vancouver"/>
    <s v="加拿大二店"/>
    <x v="1"/>
    <x v="6"/>
    <x v="111"/>
    <x v="105"/>
    <x v="115"/>
    <s v="整份"/>
    <n v="8.95"/>
    <s v="份"/>
    <n v="2"/>
    <n v="17.9"/>
    <n v="1"/>
    <n v="8.95"/>
    <n v="0"/>
    <n v="0"/>
    <n v="0"/>
    <n v="0"/>
    <n v="0"/>
    <n v="0"/>
    <n v="4.47"/>
    <n v="0"/>
    <n v="1"/>
    <n v="4.7"/>
    <n v="0.22"/>
    <n v="4.48"/>
    <n v="1"/>
  </r>
  <r>
    <s v="2021-06-10"/>
    <s v="Vancouver"/>
    <s v="加拿大二店"/>
    <x v="3"/>
    <x v="7"/>
    <x v="16"/>
    <x v="17"/>
    <x v="17"/>
    <s v="整份"/>
    <n v="4.95"/>
    <s v="份"/>
    <n v="11"/>
    <n v="54.45"/>
    <n v="0"/>
    <n v="0"/>
    <n v="0"/>
    <n v="0"/>
    <n v="0"/>
    <n v="0"/>
    <n v="0"/>
    <n v="0"/>
    <n v="4.69"/>
    <n v="0"/>
    <n v="11"/>
    <n v="52.24"/>
    <n v="2.48"/>
    <n v="49.76"/>
    <n v="1"/>
  </r>
  <r>
    <s v="2021-06-10"/>
    <s v="Vancouver"/>
    <s v="加拿大二店"/>
    <x v="2"/>
    <x v="4"/>
    <x v="17"/>
    <x v="18"/>
    <x v="18"/>
    <s v="冰镇"/>
    <n v="2.95"/>
    <s v="瓶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10"/>
    <s v="Vancouver"/>
    <s v="加拿大二店"/>
    <x v="2"/>
    <x v="2"/>
    <x v="127"/>
    <x v="121"/>
    <x v="132"/>
    <s v="冰镇"/>
    <n v="4.95"/>
    <s v="瓶"/>
    <n v="1"/>
    <n v="4.95"/>
    <n v="0"/>
    <n v="0"/>
    <n v="0"/>
    <n v="0"/>
    <n v="0"/>
    <n v="0"/>
    <n v="0"/>
    <n v="0"/>
    <n v="0"/>
    <n v="0"/>
    <n v="1"/>
    <n v="5.69"/>
    <n v="0.74"/>
    <n v="4.95"/>
    <n v="1"/>
  </r>
  <r>
    <s v="2021-06-10"/>
    <s v="Vancouver"/>
    <s v="加拿大二店"/>
    <x v="2"/>
    <x v="4"/>
    <x v="18"/>
    <x v="19"/>
    <x v="19"/>
    <s v="冰镇"/>
    <n v="2.95"/>
    <s v="听"/>
    <n v="1"/>
    <n v="2.95"/>
    <n v="0"/>
    <n v="0"/>
    <n v="0"/>
    <n v="0"/>
    <n v="0"/>
    <n v="0"/>
    <n v="0"/>
    <n v="0"/>
    <n v="0.59"/>
    <n v="0"/>
    <n v="1"/>
    <n v="2.64"/>
    <n v="0.28"/>
    <n v="2.36"/>
    <n v="1"/>
  </r>
  <r>
    <s v="2021-06-10"/>
    <s v="Vancouver"/>
    <s v="加拿大二店"/>
    <x v="1"/>
    <x v="8"/>
    <x v="19"/>
    <x v="20"/>
    <x v="20"/>
    <s v="整份"/>
    <n v="5.95"/>
    <s v="份"/>
    <n v="8"/>
    <n v="47.6"/>
    <n v="0"/>
    <n v="0"/>
    <n v="0"/>
    <n v="0"/>
    <n v="1"/>
    <n v="5.95"/>
    <n v="0"/>
    <n v="0"/>
    <n v="2.36"/>
    <n v="0"/>
    <n v="7"/>
    <n v="41.25"/>
    <n v="1.96"/>
    <n v="39.29"/>
    <n v="1"/>
  </r>
  <r>
    <s v="2021-06-10"/>
    <s v="Vancouver"/>
    <s v="加拿大二店"/>
    <x v="1"/>
    <x v="8"/>
    <x v="20"/>
    <x v="21"/>
    <x v="21"/>
    <s v="整份"/>
    <n v="7.95"/>
    <s v="份"/>
    <n v="1"/>
    <n v="7.95"/>
    <n v="0"/>
    <n v="0"/>
    <n v="0"/>
    <n v="0"/>
    <n v="0"/>
    <n v="0"/>
    <n v="0"/>
    <n v="0"/>
    <n v="0"/>
    <n v="0"/>
    <n v="1"/>
    <n v="8.34"/>
    <n v="0.39"/>
    <n v="7.95"/>
    <n v="1"/>
  </r>
  <r>
    <s v="2021-06-10"/>
    <s v="Vancouver"/>
    <s v="加拿大二店"/>
    <x v="2"/>
    <x v="4"/>
    <x v="21"/>
    <x v="22"/>
    <x v="22"/>
    <s v="冰镇"/>
    <n v="2.45"/>
    <s v="听"/>
    <n v="11"/>
    <n v="26.95"/>
    <n v="0"/>
    <n v="0"/>
    <n v="0"/>
    <n v="0"/>
    <n v="0"/>
    <n v="0"/>
    <n v="0"/>
    <n v="0"/>
    <n v="1.72"/>
    <n v="0"/>
    <n v="11"/>
    <n v="28.25"/>
    <n v="3.02"/>
    <n v="25.23"/>
    <n v="1"/>
  </r>
  <r>
    <s v="2021-06-10"/>
    <s v="Vancouver"/>
    <s v="加拿大二店"/>
    <x v="4"/>
    <x v="10"/>
    <x v="22"/>
    <x v="0"/>
    <x v="23"/>
    <s v="四宫格"/>
    <n v="5.95"/>
    <s v="锅"/>
    <n v="1"/>
    <n v="5.95"/>
    <n v="0"/>
    <n v="0"/>
    <n v="0"/>
    <n v="0"/>
    <n v="0"/>
    <n v="0"/>
    <n v="0"/>
    <n v="0"/>
    <n v="0"/>
    <n v="0"/>
    <n v="1"/>
    <n v="6.3"/>
    <n v="0.35"/>
    <n v="5.95"/>
    <n v="1"/>
  </r>
  <r>
    <s v="2021-06-10"/>
    <s v="Vancouver"/>
    <s v="加拿大二店"/>
    <x v="3"/>
    <x v="7"/>
    <x v="23"/>
    <x v="23"/>
    <x v="24"/>
    <s v="整份"/>
    <n v="4.95"/>
    <s v="份"/>
    <n v="13"/>
    <n v="64.35"/>
    <n v="0"/>
    <n v="0"/>
    <n v="0"/>
    <n v="0"/>
    <n v="1"/>
    <n v="4.95"/>
    <n v="0"/>
    <n v="0"/>
    <n v="1.99"/>
    <n v="0"/>
    <n v="12"/>
    <n v="60.28"/>
    <n v="2.87"/>
    <n v="57.41"/>
    <n v="1"/>
  </r>
  <r>
    <s v="2021-06-10"/>
    <s v="Vancouver"/>
    <s v="加拿大二店"/>
    <x v="3"/>
    <x v="11"/>
    <x v="24"/>
    <x v="118"/>
    <x v="129"/>
    <s v="整份"/>
    <n v="5.95"/>
    <s v="份"/>
    <n v="1"/>
    <n v="5.95"/>
    <n v="0"/>
    <n v="0"/>
    <n v="0"/>
    <n v="0"/>
    <n v="0"/>
    <n v="0"/>
    <n v="0"/>
    <n v="0"/>
    <n v="0.28"/>
    <n v="0"/>
    <n v="1"/>
    <n v="5.95"/>
    <n v="0.28"/>
    <n v="5.67"/>
    <n v="1"/>
  </r>
  <r>
    <s v="2021-06-10"/>
    <s v="Vancouver"/>
    <s v="加拿大二店"/>
    <x v="3"/>
    <x v="11"/>
    <x v="24"/>
    <x v="24"/>
    <x v="25"/>
    <s v="半份"/>
    <n v="2.95"/>
    <s v="份"/>
    <n v="1"/>
    <n v="2.95"/>
    <n v="0"/>
    <n v="0"/>
    <n v="0"/>
    <n v="0"/>
    <n v="0"/>
    <n v="0"/>
    <n v="0"/>
    <n v="0"/>
    <n v="0"/>
    <n v="0"/>
    <n v="1"/>
    <n v="3.09"/>
    <n v="0.14"/>
    <n v="2.95"/>
    <n v="0.5"/>
  </r>
  <r>
    <s v="2021-06-10"/>
    <s v="Vancouver"/>
    <s v="加拿大二店"/>
    <x v="3"/>
    <x v="5"/>
    <x v="25"/>
    <x v="25"/>
    <x v="26"/>
    <s v="整份"/>
    <n v="3.95"/>
    <s v="份"/>
    <n v="2"/>
    <n v="7.9"/>
    <n v="0"/>
    <n v="0"/>
    <n v="0"/>
    <n v="0"/>
    <n v="1"/>
    <n v="3.95"/>
    <n v="0"/>
    <n v="0"/>
    <n v="0"/>
    <n v="0"/>
    <n v="1"/>
    <n v="4.14"/>
    <n v="0.19"/>
    <n v="3.95"/>
    <n v="1"/>
  </r>
  <r>
    <s v="2021-06-10"/>
    <s v="Vancouver"/>
    <s v="加拿大二店"/>
    <x v="3"/>
    <x v="11"/>
    <x v="26"/>
    <x v="26"/>
    <x v="27"/>
    <s v="整份"/>
    <n v="4.95"/>
    <s v="份"/>
    <n v="6"/>
    <n v="29.7"/>
    <n v="0"/>
    <n v="0"/>
    <n v="0"/>
    <n v="0"/>
    <n v="1"/>
    <n v="4.95"/>
    <n v="0"/>
    <n v="0"/>
    <n v="4.46"/>
    <n v="0"/>
    <n v="5"/>
    <n v="21.3"/>
    <n v="1.01"/>
    <n v="20.29"/>
    <n v="1"/>
  </r>
  <r>
    <s v="2021-06-10"/>
    <s v="Vancouver"/>
    <s v="加拿大二店"/>
    <x v="3"/>
    <x v="11"/>
    <x v="26"/>
    <x v="27"/>
    <x v="28"/>
    <s v="半份"/>
    <n v="2.45"/>
    <s v="份"/>
    <n v="14"/>
    <n v="34.3"/>
    <n v="0"/>
    <n v="0"/>
    <n v="0"/>
    <n v="0"/>
    <n v="0"/>
    <n v="0"/>
    <n v="0"/>
    <n v="0"/>
    <n v="1.71"/>
    <n v="0"/>
    <n v="14"/>
    <n v="34.21"/>
    <n v="1.62"/>
    <n v="32.59"/>
    <n v="0.5"/>
  </r>
  <r>
    <s v="2021-06-10"/>
    <s v="Vancouver"/>
    <s v="加拿大二店"/>
    <x v="2"/>
    <x v="4"/>
    <x v="122"/>
    <x v="116"/>
    <x v="126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10"/>
    <s v="Vancouver"/>
    <s v="加拿大二店"/>
    <x v="5"/>
    <x v="12"/>
    <x v="27"/>
    <x v="28"/>
    <x v="29"/>
    <s v="整份"/>
    <n v="7.95"/>
    <s v="份"/>
    <n v="3"/>
    <n v="23.85"/>
    <n v="0"/>
    <n v="0"/>
    <n v="0"/>
    <n v="0"/>
    <n v="1"/>
    <n v="7.95"/>
    <n v="0"/>
    <n v="0"/>
    <n v="0.37"/>
    <n v="0"/>
    <n v="2"/>
    <n v="16.3"/>
    <n v="0.77"/>
    <n v="15.53"/>
    <n v="1"/>
  </r>
  <r>
    <s v="2021-06-10"/>
    <s v="Vancouver"/>
    <s v="加拿大二店"/>
    <x v="3"/>
    <x v="7"/>
    <x v="28"/>
    <x v="29"/>
    <x v="30"/>
    <s v="整份"/>
    <n v="4.95"/>
    <s v="份"/>
    <n v="20"/>
    <n v="99"/>
    <n v="0"/>
    <n v="0"/>
    <n v="0"/>
    <n v="0"/>
    <n v="0"/>
    <n v="0"/>
    <n v="0"/>
    <n v="0"/>
    <n v="5.09"/>
    <n v="0"/>
    <n v="20"/>
    <n v="98.6"/>
    <n v="4.69"/>
    <n v="93.91"/>
    <n v="1"/>
  </r>
  <r>
    <s v="2021-06-10"/>
    <s v="Vancouver"/>
    <s v="加拿大二店"/>
    <x v="6"/>
    <x v="13"/>
    <x v="30"/>
    <x v="31"/>
    <x v="32"/>
    <s v="整份"/>
    <n v="4.95"/>
    <s v="份"/>
    <n v="7"/>
    <n v="34.65"/>
    <n v="0"/>
    <n v="0"/>
    <n v="0"/>
    <n v="0"/>
    <n v="1"/>
    <n v="4.95"/>
    <n v="0"/>
    <n v="0"/>
    <n v="0"/>
    <n v="0"/>
    <n v="6"/>
    <n v="31.18"/>
    <n v="1.48"/>
    <n v="29.7"/>
    <n v="1"/>
  </r>
  <r>
    <s v="2021-06-10"/>
    <s v="Vancouver"/>
    <s v="加拿大二店"/>
    <x v="6"/>
    <x v="13"/>
    <x v="31"/>
    <x v="32"/>
    <x v="33"/>
    <s v="整份"/>
    <n v="9.95"/>
    <s v="份"/>
    <n v="3"/>
    <n v="29.85"/>
    <n v="0"/>
    <n v="0"/>
    <n v="0"/>
    <n v="0"/>
    <n v="0"/>
    <n v="0"/>
    <n v="0"/>
    <n v="0"/>
    <n v="0"/>
    <n v="0"/>
    <n v="3"/>
    <n v="31.34"/>
    <n v="1.49"/>
    <n v="29.85"/>
    <n v="1"/>
  </r>
  <r>
    <s v="2021-06-10"/>
    <s v="Vancouver"/>
    <s v="加拿大二店"/>
    <x v="5"/>
    <x v="12"/>
    <x v="32"/>
    <x v="33"/>
    <x v="34"/>
    <s v="整份"/>
    <n v="17.85"/>
    <s v="份"/>
    <n v="3"/>
    <n v="53.55"/>
    <n v="0"/>
    <n v="0"/>
    <n v="0"/>
    <n v="0"/>
    <n v="0"/>
    <n v="0"/>
    <n v="0"/>
    <n v="0"/>
    <n v="5.05"/>
    <n v="0"/>
    <n v="3"/>
    <n v="50.92"/>
    <n v="2.42"/>
    <n v="48.5"/>
    <n v="1"/>
  </r>
  <r>
    <s v="2021-06-10"/>
    <s v="Vancouver"/>
    <s v="加拿大二店"/>
    <x v="1"/>
    <x v="3"/>
    <x v="33"/>
    <x v="34"/>
    <x v="35"/>
    <s v="整份"/>
    <n v="11.95"/>
    <s v="份"/>
    <n v="22"/>
    <n v="262.9"/>
    <n v="0"/>
    <n v="0"/>
    <n v="0"/>
    <n v="0"/>
    <n v="1"/>
    <n v="11.95"/>
    <n v="0"/>
    <n v="0"/>
    <n v="19.11"/>
    <n v="0"/>
    <n v="21"/>
    <n v="243.43"/>
    <n v="11.59"/>
    <n v="231.84"/>
    <n v="1"/>
  </r>
  <r>
    <s v="2021-06-10"/>
    <s v="Vancouver"/>
    <s v="加拿大二店"/>
    <x v="5"/>
    <x v="12"/>
    <x v="34"/>
    <x v="35"/>
    <x v="36"/>
    <s v="整份"/>
    <n v="11.95"/>
    <s v="份"/>
    <n v="3"/>
    <n v="35.85"/>
    <n v="0"/>
    <n v="0"/>
    <n v="0"/>
    <n v="0"/>
    <n v="0"/>
    <n v="0"/>
    <n v="0"/>
    <n v="0"/>
    <n v="4.78"/>
    <n v="0"/>
    <n v="3"/>
    <n v="32.62"/>
    <n v="1.55"/>
    <n v="31.07"/>
    <n v="1"/>
  </r>
  <r>
    <s v="2021-06-10"/>
    <s v="Vancouver"/>
    <s v="加拿大二店"/>
    <x v="5"/>
    <x v="12"/>
    <x v="35"/>
    <x v="36"/>
    <x v="37"/>
    <s v="条"/>
    <n v="4.95"/>
    <s v="条"/>
    <n v="7"/>
    <n v="34.65"/>
    <n v="0"/>
    <n v="0"/>
    <n v="0"/>
    <n v="0"/>
    <n v="0"/>
    <n v="0"/>
    <n v="0"/>
    <n v="0"/>
    <n v="0.99"/>
    <n v="0"/>
    <n v="7"/>
    <n v="35.34"/>
    <n v="1.68"/>
    <n v="33.66"/>
    <n v="1"/>
  </r>
  <r>
    <s v="2021-06-10"/>
    <s v="Vancouver"/>
    <s v="加拿大二店"/>
    <x v="5"/>
    <x v="12"/>
    <x v="36"/>
    <x v="37"/>
    <x v="38"/>
    <s v="整份"/>
    <n v="13.95"/>
    <s v="份"/>
    <n v="20"/>
    <n v="279"/>
    <n v="2"/>
    <n v="27.9"/>
    <n v="0"/>
    <n v="0"/>
    <n v="0"/>
    <n v="0"/>
    <n v="0"/>
    <n v="0"/>
    <n v="20.98"/>
    <n v="0"/>
    <n v="18"/>
    <n v="241.62"/>
    <n v="11.5"/>
    <n v="230.12"/>
    <n v="1"/>
  </r>
  <r>
    <s v="2021-06-10"/>
    <s v="Vancouver"/>
    <s v="加拿大二店"/>
    <x v="5"/>
    <x v="12"/>
    <x v="37"/>
    <x v="38"/>
    <x v="39"/>
    <s v="整份"/>
    <n v="9.95"/>
    <s v="份"/>
    <n v="14"/>
    <n v="139.3"/>
    <n v="0"/>
    <n v="0"/>
    <n v="0"/>
    <n v="0"/>
    <n v="1"/>
    <n v="9.95"/>
    <n v="0"/>
    <n v="0"/>
    <n v="17.21"/>
    <n v="0"/>
    <n v="13"/>
    <n v="117.74"/>
    <n v="5.6"/>
    <n v="112.14"/>
    <n v="1"/>
  </r>
  <r>
    <s v="2021-06-10"/>
    <s v="Vancouver"/>
    <s v="加拿大二店"/>
    <x v="5"/>
    <x v="12"/>
    <x v="38"/>
    <x v="39"/>
    <x v="40"/>
    <s v="整份"/>
    <n v="9.95"/>
    <s v="份"/>
    <n v="3"/>
    <n v="29.85"/>
    <n v="0"/>
    <n v="0"/>
    <n v="0"/>
    <n v="0"/>
    <n v="0"/>
    <n v="0"/>
    <n v="0"/>
    <n v="0"/>
    <n v="4.81"/>
    <n v="0"/>
    <n v="3"/>
    <n v="26.29"/>
    <n v="1.25"/>
    <n v="25.04"/>
    <n v="1"/>
  </r>
  <r>
    <s v="2021-06-10"/>
    <s v="Vancouver"/>
    <s v="加拿大二店"/>
    <x v="6"/>
    <x v="13"/>
    <x v="39"/>
    <x v="40"/>
    <x v="41"/>
    <s v="整份"/>
    <n v="8.95"/>
    <s v="份"/>
    <n v="12"/>
    <n v="107.4"/>
    <n v="0"/>
    <n v="0"/>
    <n v="0"/>
    <n v="0"/>
    <n v="0"/>
    <n v="0"/>
    <n v="0"/>
    <n v="0"/>
    <n v="5.22"/>
    <n v="0"/>
    <n v="12"/>
    <n v="107.28"/>
    <n v="5.1"/>
    <n v="102.18"/>
    <n v="1"/>
  </r>
  <r>
    <s v="2021-06-10"/>
    <s v="Vancouver"/>
    <s v="加拿大二店"/>
    <x v="5"/>
    <x v="12"/>
    <x v="40"/>
    <x v="41"/>
    <x v="42"/>
    <s v="整份"/>
    <n v="9.95"/>
    <s v="份"/>
    <n v="6"/>
    <n v="59.7"/>
    <n v="0"/>
    <n v="0"/>
    <n v="0"/>
    <n v="0"/>
    <n v="0"/>
    <n v="0"/>
    <n v="0"/>
    <n v="0"/>
    <n v="3.18"/>
    <n v="0"/>
    <n v="6"/>
    <n v="59.34"/>
    <n v="2.82"/>
    <n v="56.52"/>
    <n v="1"/>
  </r>
  <r>
    <s v="2021-06-10"/>
    <s v="Vancouver"/>
    <s v="加拿大二店"/>
    <x v="5"/>
    <x v="12"/>
    <x v="41"/>
    <x v="42"/>
    <x v="43"/>
    <s v="整份"/>
    <n v="7.95"/>
    <s v="份"/>
    <n v="8"/>
    <n v="63.6"/>
    <n v="0"/>
    <n v="0"/>
    <n v="0"/>
    <n v="0"/>
    <n v="1"/>
    <n v="7.95"/>
    <n v="0"/>
    <n v="0"/>
    <n v="4.79"/>
    <n v="0"/>
    <n v="7"/>
    <n v="53.4"/>
    <n v="2.54"/>
    <n v="50.86"/>
    <n v="1"/>
  </r>
  <r>
    <s v="2021-06-10"/>
    <s v="Vancouver"/>
    <s v="加拿大二店"/>
    <x v="2"/>
    <x v="2"/>
    <x v="42"/>
    <x v="43"/>
    <x v="44"/>
    <s v="冰镇"/>
    <n v="5.95"/>
    <s v="瓶"/>
    <n v="6"/>
    <n v="35.7"/>
    <n v="0"/>
    <n v="0"/>
    <n v="0"/>
    <n v="0"/>
    <n v="0"/>
    <n v="0"/>
    <n v="0"/>
    <n v="0"/>
    <n v="0"/>
    <n v="0"/>
    <n v="6"/>
    <n v="41.05"/>
    <n v="5.35"/>
    <n v="35.7"/>
    <n v="1"/>
  </r>
  <r>
    <s v="2021-06-10"/>
    <s v="Vancouver"/>
    <s v="加拿大二店"/>
    <x v="3"/>
    <x v="5"/>
    <x v="43"/>
    <x v="44"/>
    <x v="45"/>
    <s v="整份"/>
    <n v="3.95"/>
    <s v="份"/>
    <n v="5"/>
    <n v="19.75"/>
    <n v="0"/>
    <n v="0"/>
    <n v="0"/>
    <n v="0"/>
    <n v="0"/>
    <n v="0"/>
    <n v="0"/>
    <n v="0"/>
    <n v="0"/>
    <n v="0"/>
    <n v="5"/>
    <n v="20.73"/>
    <n v="0.98"/>
    <n v="19.75"/>
    <n v="1"/>
  </r>
  <r>
    <s v="2021-06-10"/>
    <s v="Vancouver"/>
    <s v="加拿大二店"/>
    <x v="7"/>
    <x v="14"/>
    <x v="44"/>
    <x v="45"/>
    <x v="46"/>
    <s v="整份"/>
    <n v="0"/>
    <s v="份"/>
    <n v="3"/>
    <n v="0"/>
    <n v="0"/>
    <n v="0"/>
    <n v="0"/>
    <n v="0"/>
    <n v="0"/>
    <n v="0"/>
    <n v="0"/>
    <n v="0"/>
    <n v="0"/>
    <n v="0"/>
    <n v="3"/>
    <n v="0"/>
    <n v="0"/>
    <n v="0"/>
    <n v="1"/>
  </r>
  <r>
    <s v="2021-06-10"/>
    <s v="Vancouver"/>
    <s v="加拿大二店"/>
    <x v="7"/>
    <x v="14"/>
    <x v="45"/>
    <x v="46"/>
    <x v="47"/>
    <s v="整份"/>
    <n v="1"/>
    <s v="份"/>
    <n v="1"/>
    <n v="1"/>
    <n v="0"/>
    <n v="0"/>
    <n v="0"/>
    <n v="0"/>
    <n v="0"/>
    <n v="0"/>
    <n v="0"/>
    <n v="0"/>
    <n v="0"/>
    <n v="0"/>
    <n v="1"/>
    <n v="1.05"/>
    <n v="0.05"/>
    <n v="1"/>
    <n v="1"/>
  </r>
  <r>
    <s v="2021-06-10"/>
    <s v="Vancouver"/>
    <s v="加拿大二店"/>
    <x v="7"/>
    <x v="14"/>
    <x v="45"/>
    <x v="46"/>
    <x v="47"/>
    <s v="整份"/>
    <n v="4.97"/>
    <s v="份"/>
    <n v="1"/>
    <n v="4.97"/>
    <n v="0"/>
    <n v="0"/>
    <n v="0"/>
    <n v="0"/>
    <n v="0"/>
    <n v="0"/>
    <n v="0"/>
    <n v="0"/>
    <n v="0"/>
    <n v="0"/>
    <n v="1"/>
    <n v="5.21"/>
    <n v="0.24"/>
    <n v="4.97"/>
    <n v="1"/>
  </r>
  <r>
    <s v="2021-06-10"/>
    <s v="Vancouver"/>
    <s v="加拿大二店"/>
    <x v="7"/>
    <x v="14"/>
    <x v="45"/>
    <x v="46"/>
    <x v="47"/>
    <s v="整份"/>
    <n v="12.99"/>
    <s v="份"/>
    <n v="1"/>
    <n v="12.99"/>
    <n v="0"/>
    <n v="0"/>
    <n v="0"/>
    <n v="0"/>
    <n v="0"/>
    <n v="0"/>
    <n v="0"/>
    <n v="-0.01"/>
    <n v="7"/>
    <n v="0"/>
    <n v="1"/>
    <n v="6.3"/>
    <n v="0.3"/>
    <n v="6"/>
    <n v="1"/>
  </r>
  <r>
    <s v="2021-06-10"/>
    <s v="Vancouver"/>
    <s v="加拿大二店"/>
    <x v="7"/>
    <x v="14"/>
    <x v="45"/>
    <x v="46"/>
    <x v="47"/>
    <s v="整份"/>
    <n v="14"/>
    <s v="份"/>
    <n v="1"/>
    <n v="14"/>
    <n v="0"/>
    <n v="0"/>
    <n v="0"/>
    <n v="0"/>
    <n v="0"/>
    <n v="0"/>
    <n v="0"/>
    <n v="0"/>
    <n v="0"/>
    <n v="0"/>
    <n v="1"/>
    <n v="14.7"/>
    <n v="0.7"/>
    <n v="14"/>
    <n v="1"/>
  </r>
  <r>
    <s v="2021-06-10"/>
    <s v="Vancouver"/>
    <s v="加拿大二店"/>
    <x v="7"/>
    <x v="14"/>
    <x v="45"/>
    <x v="46"/>
    <x v="47"/>
    <s v="整份"/>
    <n v="23.8"/>
    <s v="份"/>
    <n v="1"/>
    <n v="23.8"/>
    <n v="0"/>
    <n v="0"/>
    <n v="0"/>
    <n v="0"/>
    <n v="0"/>
    <n v="0"/>
    <n v="0"/>
    <n v="0"/>
    <n v="7"/>
    <n v="0"/>
    <n v="1"/>
    <n v="17.64"/>
    <n v="0.84"/>
    <n v="16.8"/>
    <n v="1"/>
  </r>
  <r>
    <s v="2021-06-10"/>
    <s v="Vancouver"/>
    <s v="加拿大二店"/>
    <x v="7"/>
    <x v="14"/>
    <x v="45"/>
    <x v="46"/>
    <x v="47"/>
    <s v="整份"/>
    <n v="24.56"/>
    <s v="份"/>
    <n v="1"/>
    <n v="24.56"/>
    <n v="0"/>
    <n v="0"/>
    <n v="0"/>
    <n v="0"/>
    <n v="0"/>
    <n v="0"/>
    <n v="0"/>
    <n v="0"/>
    <n v="0"/>
    <n v="0"/>
    <n v="1"/>
    <n v="25.78"/>
    <n v="1.22"/>
    <n v="24.56"/>
    <n v="1"/>
  </r>
  <r>
    <s v="2021-06-10"/>
    <s v="Vancouver"/>
    <s v="加拿大二店"/>
    <x v="7"/>
    <x v="14"/>
    <x v="45"/>
    <x v="46"/>
    <x v="47"/>
    <s v="整份"/>
    <n v="25.61"/>
    <s v="份"/>
    <n v="1"/>
    <n v="25.61"/>
    <n v="0"/>
    <n v="0"/>
    <n v="0"/>
    <n v="0"/>
    <n v="0"/>
    <n v="0"/>
    <n v="0"/>
    <n v="0"/>
    <n v="7"/>
    <n v="0"/>
    <n v="1"/>
    <n v="19.54"/>
    <n v="0.93"/>
    <n v="18.61"/>
    <n v="1"/>
  </r>
  <r>
    <s v="2021-06-10"/>
    <s v="Vancouver"/>
    <s v="加拿大二店"/>
    <x v="7"/>
    <x v="14"/>
    <x v="45"/>
    <x v="46"/>
    <x v="47"/>
    <s v="整份"/>
    <n v="30.24"/>
    <s v="份"/>
    <n v="1"/>
    <n v="30.24"/>
    <n v="0"/>
    <n v="0"/>
    <n v="0"/>
    <n v="0"/>
    <n v="0"/>
    <n v="0"/>
    <n v="0"/>
    <n v="0.02"/>
    <n v="7"/>
    <n v="0"/>
    <n v="1"/>
    <n v="24.38"/>
    <n v="1.16"/>
    <n v="23.22"/>
    <n v="1"/>
  </r>
  <r>
    <s v="2021-06-10"/>
    <s v="Vancouver"/>
    <s v="加拿大二店"/>
    <x v="7"/>
    <x v="14"/>
    <x v="45"/>
    <x v="46"/>
    <x v="47"/>
    <s v="整份"/>
    <n v="31.96"/>
    <s v="份"/>
    <n v="1"/>
    <n v="31.96"/>
    <n v="0"/>
    <n v="0"/>
    <n v="0"/>
    <n v="0"/>
    <n v="0"/>
    <n v="0"/>
    <n v="0"/>
    <n v="0"/>
    <n v="0"/>
    <n v="0"/>
    <n v="1"/>
    <n v="33.55"/>
    <n v="1.59"/>
    <n v="31.96"/>
    <n v="1"/>
  </r>
  <r>
    <s v="2021-06-10"/>
    <s v="Vancouver"/>
    <s v="加拿大二店"/>
    <x v="7"/>
    <x v="14"/>
    <x v="45"/>
    <x v="46"/>
    <x v="47"/>
    <s v="整份"/>
    <n v="32.05"/>
    <s v="份"/>
    <n v="1"/>
    <n v="32.05"/>
    <n v="1"/>
    <n v="32.05"/>
    <n v="0"/>
    <n v="0"/>
    <n v="0"/>
    <n v="0"/>
    <n v="0"/>
    <n v="0"/>
    <n v="0"/>
    <n v="0"/>
    <n v="0"/>
    <n v="0"/>
    <n v="0"/>
    <n v="0"/>
    <n v="1"/>
  </r>
  <r>
    <s v="2021-06-10"/>
    <s v="Vancouver"/>
    <s v="加拿大二店"/>
    <x v="7"/>
    <x v="14"/>
    <x v="45"/>
    <x v="46"/>
    <x v="47"/>
    <s v="整份"/>
    <n v="32.96"/>
    <s v="份"/>
    <n v="1"/>
    <n v="32.96"/>
    <n v="0"/>
    <n v="0"/>
    <n v="0"/>
    <n v="0"/>
    <n v="0"/>
    <n v="0"/>
    <n v="0"/>
    <n v="-0.02"/>
    <n v="0"/>
    <n v="0"/>
    <n v="1"/>
    <n v="34.62"/>
    <n v="1.64"/>
    <n v="32.98"/>
    <n v="1"/>
  </r>
  <r>
    <s v="2021-06-10"/>
    <s v="Vancouver"/>
    <s v="加拿大二店"/>
    <x v="7"/>
    <x v="14"/>
    <x v="45"/>
    <x v="46"/>
    <x v="47"/>
    <s v="整份"/>
    <n v="33.45"/>
    <s v="份"/>
    <n v="1"/>
    <n v="33.45"/>
    <n v="0"/>
    <n v="0"/>
    <n v="0"/>
    <n v="0"/>
    <n v="0"/>
    <n v="0"/>
    <n v="0"/>
    <n v="0"/>
    <n v="0"/>
    <n v="0"/>
    <n v="1"/>
    <n v="35.12"/>
    <n v="1.67"/>
    <n v="33.45"/>
    <n v="1"/>
  </r>
  <r>
    <s v="2021-06-10"/>
    <s v="Vancouver"/>
    <s v="加拿大二店"/>
    <x v="7"/>
    <x v="14"/>
    <x v="45"/>
    <x v="46"/>
    <x v="47"/>
    <s v="整份"/>
    <n v="35.9"/>
    <s v="份"/>
    <n v="1"/>
    <n v="35.9"/>
    <n v="0"/>
    <n v="0"/>
    <n v="0"/>
    <n v="0"/>
    <n v="0"/>
    <n v="0"/>
    <n v="0"/>
    <n v="0.02"/>
    <n v="0"/>
    <n v="0"/>
    <n v="1"/>
    <n v="37.67"/>
    <n v="1.79"/>
    <n v="35.88"/>
    <n v="1"/>
  </r>
  <r>
    <s v="2021-06-10"/>
    <s v="Vancouver"/>
    <s v="加拿大二店"/>
    <x v="7"/>
    <x v="14"/>
    <x v="45"/>
    <x v="46"/>
    <x v="47"/>
    <s v="整份"/>
    <n v="36.79"/>
    <s v="份"/>
    <n v="1"/>
    <n v="36.79"/>
    <n v="0"/>
    <n v="0"/>
    <n v="0"/>
    <n v="0"/>
    <n v="0"/>
    <n v="0"/>
    <n v="0"/>
    <n v="0"/>
    <n v="0"/>
    <n v="0"/>
    <n v="1"/>
    <n v="38.62"/>
    <n v="1.83"/>
    <n v="36.79"/>
    <n v="1"/>
  </r>
  <r>
    <s v="2021-06-10"/>
    <s v="Vancouver"/>
    <s v="加拿大二店"/>
    <x v="7"/>
    <x v="14"/>
    <x v="45"/>
    <x v="46"/>
    <x v="47"/>
    <s v="整份"/>
    <n v="37.55"/>
    <s v="份"/>
    <n v="1"/>
    <n v="37.55"/>
    <n v="0"/>
    <n v="0"/>
    <n v="0"/>
    <n v="0"/>
    <n v="0"/>
    <n v="0"/>
    <n v="0"/>
    <n v="0.01"/>
    <n v="0"/>
    <n v="0"/>
    <n v="1"/>
    <n v="39.41"/>
    <n v="1.87"/>
    <n v="37.54"/>
    <n v="1"/>
  </r>
  <r>
    <s v="2021-06-10"/>
    <s v="Vancouver"/>
    <s v="加拿大二店"/>
    <x v="7"/>
    <x v="14"/>
    <x v="45"/>
    <x v="46"/>
    <x v="47"/>
    <s v="整份"/>
    <n v="73"/>
    <s v="份"/>
    <n v="1"/>
    <n v="73"/>
    <n v="0"/>
    <n v="0"/>
    <n v="0"/>
    <n v="0"/>
    <n v="0"/>
    <n v="0"/>
    <n v="0"/>
    <n v="-0.01"/>
    <n v="0"/>
    <n v="0"/>
    <n v="1"/>
    <n v="76.66"/>
    <n v="3.65"/>
    <n v="73.01"/>
    <n v="1"/>
  </r>
  <r>
    <s v="2021-06-10"/>
    <s v="Vancouver"/>
    <s v="加拿大二店"/>
    <x v="7"/>
    <x v="14"/>
    <x v="45"/>
    <x v="46"/>
    <x v="47"/>
    <s v="整份"/>
    <n v="128.95"/>
    <s v="份"/>
    <n v="1"/>
    <n v="128.95"/>
    <n v="0"/>
    <n v="0"/>
    <n v="0"/>
    <n v="0"/>
    <n v="0"/>
    <n v="0"/>
    <n v="0"/>
    <n v="-0.02"/>
    <n v="0"/>
    <n v="0"/>
    <n v="1"/>
    <n v="135.41"/>
    <n v="6.44"/>
    <n v="128.97"/>
    <n v="1"/>
  </r>
  <r>
    <s v="2021-06-10"/>
    <s v="Vancouver"/>
    <s v="加拿大二店"/>
    <x v="7"/>
    <x v="14"/>
    <x v="45"/>
    <x v="46"/>
    <x v="47"/>
    <s v="整份"/>
    <n v="137.9"/>
    <s v="份"/>
    <n v="1"/>
    <n v="137.9"/>
    <n v="0"/>
    <n v="0"/>
    <n v="0"/>
    <n v="0"/>
    <n v="0"/>
    <n v="0"/>
    <n v="0"/>
    <n v="0"/>
    <n v="0"/>
    <n v="0"/>
    <n v="1"/>
    <n v="144.79"/>
    <n v="6.89"/>
    <n v="137.9"/>
    <n v="1"/>
  </r>
  <r>
    <s v="2021-06-10"/>
    <s v="Vancouver"/>
    <s v="加拿大二店"/>
    <x v="7"/>
    <x v="14"/>
    <x v="45"/>
    <x v="46"/>
    <x v="47"/>
    <s v="整份"/>
    <n v="138"/>
    <s v="份"/>
    <n v="1"/>
    <n v="138"/>
    <n v="0"/>
    <n v="0"/>
    <n v="0"/>
    <n v="0"/>
    <n v="0"/>
    <n v="0"/>
    <n v="0"/>
    <n v="-0.01"/>
    <n v="0"/>
    <n v="0"/>
    <n v="1"/>
    <n v="144.91"/>
    <n v="6.9"/>
    <n v="138.01"/>
    <n v="1"/>
  </r>
  <r>
    <s v="2021-06-10"/>
    <s v="Vancouver"/>
    <s v="加拿大二店"/>
    <x v="2"/>
    <x v="4"/>
    <x v="47"/>
    <x v="48"/>
    <x v="49"/>
    <s v="冰镇"/>
    <n v="2.95"/>
    <s v="听"/>
    <n v="1"/>
    <n v="2.95"/>
    <n v="0"/>
    <n v="0"/>
    <n v="0"/>
    <n v="0"/>
    <n v="0"/>
    <n v="0"/>
    <n v="0"/>
    <n v="0"/>
    <n v="0.59"/>
    <n v="0"/>
    <n v="1"/>
    <n v="2.64"/>
    <n v="0.28"/>
    <n v="2.36"/>
    <n v="1"/>
  </r>
  <r>
    <s v="2021-06-10"/>
    <s v="Vancouver"/>
    <s v="加拿大二店"/>
    <x v="6"/>
    <x v="13"/>
    <x v="48"/>
    <x v="49"/>
    <x v="50"/>
    <s v="整份"/>
    <n v="4.95"/>
    <s v="份"/>
    <n v="4"/>
    <n v="19.8"/>
    <n v="0"/>
    <n v="0"/>
    <n v="0"/>
    <n v="0"/>
    <n v="0"/>
    <n v="0"/>
    <n v="0"/>
    <n v="0"/>
    <n v="0.91"/>
    <n v="0"/>
    <n v="4"/>
    <n v="19.83"/>
    <n v="0.94"/>
    <n v="18.89"/>
    <n v="1"/>
  </r>
  <r>
    <s v="2021-06-10"/>
    <s v="Vancouver"/>
    <s v="加拿大二店"/>
    <x v="6"/>
    <x v="15"/>
    <x v="50"/>
    <x v="51"/>
    <x v="52"/>
    <s v="份"/>
    <n v="8.95"/>
    <s v="份"/>
    <n v="2"/>
    <n v="17.9"/>
    <n v="0"/>
    <n v="0"/>
    <n v="0"/>
    <n v="0"/>
    <n v="0"/>
    <n v="0"/>
    <n v="0"/>
    <n v="0"/>
    <n v="0"/>
    <n v="0"/>
    <n v="2"/>
    <n v="18.79"/>
    <n v="0.89"/>
    <n v="17.9"/>
    <n v="1"/>
  </r>
  <r>
    <s v="2021-06-10"/>
    <s v="Vancouver"/>
    <s v="加拿大二店"/>
    <x v="1"/>
    <x v="6"/>
    <x v="113"/>
    <x v="107"/>
    <x v="117"/>
    <s v="整份"/>
    <n v="28.95"/>
    <s v="份"/>
    <n v="2"/>
    <n v="57.9"/>
    <n v="0"/>
    <n v="0"/>
    <n v="0"/>
    <n v="0"/>
    <n v="1"/>
    <n v="28.95"/>
    <n v="0"/>
    <n v="0.02"/>
    <n v="0"/>
    <n v="0"/>
    <n v="1"/>
    <n v="30.37"/>
    <n v="1.44"/>
    <n v="28.93"/>
    <n v="1"/>
  </r>
  <r>
    <s v="2021-06-10"/>
    <s v="Vancouver"/>
    <s v="加拿大二店"/>
    <x v="3"/>
    <x v="5"/>
    <x v="51"/>
    <x v="52"/>
    <x v="53"/>
    <s v="整份"/>
    <n v="3.95"/>
    <s v="份"/>
    <n v="5"/>
    <n v="19.75"/>
    <n v="0"/>
    <n v="0"/>
    <n v="0"/>
    <n v="0"/>
    <n v="1"/>
    <n v="3.95"/>
    <n v="0"/>
    <n v="0"/>
    <n v="2.16"/>
    <n v="0"/>
    <n v="4"/>
    <n v="14.32"/>
    <n v="0.68"/>
    <n v="13.64"/>
    <n v="1"/>
  </r>
  <r>
    <s v="2021-06-10"/>
    <s v="Vancouver"/>
    <s v="加拿大二店"/>
    <x v="3"/>
    <x v="5"/>
    <x v="52"/>
    <x v="53"/>
    <x v="54"/>
    <s v="整份"/>
    <n v="5.95"/>
    <s v="份"/>
    <n v="4"/>
    <n v="23.8"/>
    <n v="0"/>
    <n v="0"/>
    <n v="0"/>
    <n v="0"/>
    <n v="1"/>
    <n v="5.95"/>
    <n v="0"/>
    <n v="0.02"/>
    <n v="1.19"/>
    <n v="0"/>
    <n v="3"/>
    <n v="17.47"/>
    <n v="0.83"/>
    <n v="16.64"/>
    <n v="1"/>
  </r>
  <r>
    <s v="2021-06-10"/>
    <s v="Vancouver"/>
    <s v="加拿大二店"/>
    <x v="4"/>
    <x v="9"/>
    <x v="53"/>
    <x v="0"/>
    <x v="55"/>
    <s v="拼锅"/>
    <n v="0"/>
    <s v="锅"/>
    <n v="4"/>
    <n v="0"/>
    <n v="0"/>
    <n v="0"/>
    <n v="0"/>
    <n v="0"/>
    <n v="0"/>
    <n v="0"/>
    <n v="0"/>
    <n v="-0.04"/>
    <n v="0"/>
    <n v="0"/>
    <n v="4"/>
    <n v="0.04"/>
    <n v="0"/>
    <n v="0.04"/>
    <n v="2"/>
  </r>
  <r>
    <s v="2021-06-10"/>
    <s v="Vancouver"/>
    <s v="加拿大二店"/>
    <x v="4"/>
    <x v="10"/>
    <x v="53"/>
    <x v="0"/>
    <x v="55"/>
    <s v="四宫格"/>
    <n v="0"/>
    <s v="锅"/>
    <n v="22"/>
    <n v="0"/>
    <n v="0"/>
    <n v="0"/>
    <n v="0"/>
    <n v="0"/>
    <n v="3"/>
    <n v="0"/>
    <n v="0"/>
    <n v="0.03"/>
    <n v="0"/>
    <n v="0"/>
    <n v="19"/>
    <n v="-0.03"/>
    <n v="-0.01"/>
    <n v="-0.02"/>
    <n v="1"/>
  </r>
  <r>
    <s v="2021-06-10"/>
    <s v="Vancouver"/>
    <s v="加拿大二店"/>
    <x v="6"/>
    <x v="13"/>
    <x v="54"/>
    <x v="54"/>
    <x v="56"/>
    <s v="个"/>
    <n v="1.95"/>
    <s v="个"/>
    <n v="4"/>
    <n v="7.8"/>
    <n v="0"/>
    <n v="0"/>
    <n v="0"/>
    <n v="0"/>
    <n v="0"/>
    <n v="0"/>
    <n v="0"/>
    <n v="0"/>
    <n v="0"/>
    <n v="0"/>
    <n v="4"/>
    <n v="8.19"/>
    <n v="0.39"/>
    <n v="7.8"/>
    <n v="1"/>
  </r>
  <r>
    <s v="2021-06-10"/>
    <s v="Vancouver"/>
    <s v="加拿大二店"/>
    <x v="6"/>
    <x v="13"/>
    <x v="114"/>
    <x v="108"/>
    <x v="118"/>
    <s v="整份"/>
    <n v="7.95"/>
    <s v="份"/>
    <n v="3"/>
    <n v="23.85"/>
    <n v="0"/>
    <n v="0"/>
    <n v="0"/>
    <n v="0"/>
    <n v="1"/>
    <n v="7.95"/>
    <n v="0"/>
    <n v="0.01"/>
    <n v="1.59"/>
    <n v="0"/>
    <n v="2"/>
    <n v="15.01"/>
    <n v="0.71"/>
    <n v="14.3"/>
    <n v="1"/>
  </r>
  <r>
    <s v="2021-06-10"/>
    <s v="Vancouver"/>
    <s v="加拿大二店"/>
    <x v="1"/>
    <x v="8"/>
    <x v="55"/>
    <x v="55"/>
    <x v="57"/>
    <s v="整份"/>
    <n v="9.95"/>
    <s v="份"/>
    <n v="3"/>
    <n v="29.85"/>
    <n v="0"/>
    <n v="0"/>
    <n v="0"/>
    <n v="0"/>
    <n v="2"/>
    <n v="19.9"/>
    <n v="0"/>
    <n v="0.01"/>
    <n v="0"/>
    <n v="0"/>
    <n v="1"/>
    <n v="10.43"/>
    <n v="0.49"/>
    <n v="9.94"/>
    <n v="1"/>
  </r>
  <r>
    <s v="2021-06-10"/>
    <s v="Vancouver"/>
    <s v="加拿大二店"/>
    <x v="1"/>
    <x v="1"/>
    <x v="56"/>
    <x v="56"/>
    <x v="58"/>
    <s v="整份"/>
    <n v="12.95"/>
    <s v="份"/>
    <n v="7"/>
    <n v="90.65"/>
    <n v="0"/>
    <n v="0"/>
    <n v="0"/>
    <n v="0"/>
    <n v="0"/>
    <n v="0"/>
    <n v="0"/>
    <n v="0"/>
    <n v="5.18"/>
    <n v="0"/>
    <n v="7"/>
    <n v="89.74"/>
    <n v="4.27"/>
    <n v="85.47"/>
    <n v="1"/>
  </r>
  <r>
    <s v="2021-06-10"/>
    <s v="Vancouver"/>
    <s v="加拿大二店"/>
    <x v="1"/>
    <x v="1"/>
    <x v="57"/>
    <x v="57"/>
    <x v="59"/>
    <s v="整份"/>
    <n v="11.95"/>
    <s v="份"/>
    <n v="26"/>
    <n v="310.7"/>
    <n v="0"/>
    <n v="0"/>
    <n v="0"/>
    <n v="0"/>
    <n v="1"/>
    <n v="11.95"/>
    <n v="0"/>
    <n v="0"/>
    <n v="12.74"/>
    <n v="0"/>
    <n v="25"/>
    <n v="300.31"/>
    <n v="14.3"/>
    <n v="286.01"/>
    <n v="1"/>
  </r>
  <r>
    <s v="2021-06-10"/>
    <s v="Vancouver"/>
    <s v="加拿大二店"/>
    <x v="4"/>
    <x v="16"/>
    <x v="58"/>
    <x v="0"/>
    <x v="60"/>
    <s v="单锅"/>
    <n v="16.95"/>
    <s v="锅"/>
    <n v="1"/>
    <n v="16.95"/>
    <n v="0"/>
    <n v="0"/>
    <n v="0"/>
    <n v="0"/>
    <n v="0"/>
    <n v="0"/>
    <n v="0"/>
    <n v="0"/>
    <n v="0"/>
    <n v="0"/>
    <n v="1"/>
    <n v="17.79"/>
    <n v="0.84"/>
    <n v="16.95"/>
    <n v="4"/>
  </r>
  <r>
    <s v="2021-06-10"/>
    <s v="Vancouver"/>
    <s v="加拿大二店"/>
    <x v="4"/>
    <x v="9"/>
    <x v="58"/>
    <x v="0"/>
    <x v="60"/>
    <s v="拼锅"/>
    <n v="8.95"/>
    <s v="锅"/>
    <n v="10"/>
    <n v="89.5"/>
    <n v="1"/>
    <n v="8.95"/>
    <n v="0"/>
    <n v="0"/>
    <n v="0"/>
    <n v="0"/>
    <n v="0"/>
    <n v="0.01"/>
    <n v="2.53"/>
    <n v="0"/>
    <n v="9"/>
    <n v="81.91"/>
    <n v="3.9"/>
    <n v="78.01"/>
    <n v="2"/>
  </r>
  <r>
    <s v="2021-06-10"/>
    <s v="Vancouver"/>
    <s v="加拿大二店"/>
    <x v="4"/>
    <x v="10"/>
    <x v="58"/>
    <x v="0"/>
    <x v="60"/>
    <s v="四宫格"/>
    <n v="4.95"/>
    <s v="锅"/>
    <n v="11"/>
    <n v="54.45"/>
    <n v="0"/>
    <n v="0"/>
    <n v="0"/>
    <n v="0"/>
    <n v="1"/>
    <n v="4.95"/>
    <n v="0"/>
    <n v="0"/>
    <n v="2.89"/>
    <n v="0"/>
    <n v="10"/>
    <n v="48.94"/>
    <n v="2.33"/>
    <n v="46.61"/>
    <n v="1"/>
  </r>
  <r>
    <s v="2021-06-10"/>
    <s v="Vancouver"/>
    <s v="加拿大二店"/>
    <x v="3"/>
    <x v="5"/>
    <x v="59"/>
    <x v="58"/>
    <x v="61"/>
    <s v="整份"/>
    <n v="4.95"/>
    <s v="份"/>
    <n v="2"/>
    <n v="9.9"/>
    <n v="0"/>
    <n v="0"/>
    <n v="0"/>
    <n v="0"/>
    <n v="0"/>
    <n v="0"/>
    <n v="0"/>
    <n v="0"/>
    <n v="2.47"/>
    <n v="0"/>
    <n v="2"/>
    <n v="7.8"/>
    <n v="0.37"/>
    <n v="7.43"/>
    <n v="1"/>
  </r>
  <r>
    <s v="2021-06-10"/>
    <s v="Vancouver"/>
    <s v="加拿大二店"/>
    <x v="2"/>
    <x v="4"/>
    <x v="60"/>
    <x v="59"/>
    <x v="62"/>
    <s v="冰镇"/>
    <n v="6.95"/>
    <s v="扎"/>
    <n v="1"/>
    <n v="6.95"/>
    <n v="0"/>
    <n v="0"/>
    <n v="0"/>
    <n v="0"/>
    <n v="0"/>
    <n v="0"/>
    <n v="0"/>
    <n v="0"/>
    <n v="0"/>
    <n v="0"/>
    <n v="1"/>
    <n v="7.78"/>
    <n v="0.83"/>
    <n v="6.95"/>
    <n v="1"/>
  </r>
  <r>
    <s v="2021-06-10"/>
    <s v="Vancouver"/>
    <s v="加拿大二店"/>
    <x v="6"/>
    <x v="13"/>
    <x v="61"/>
    <x v="60"/>
    <x v="63"/>
    <s v="整份"/>
    <n v="3.95"/>
    <s v="包"/>
    <n v="6"/>
    <n v="23.7"/>
    <n v="0"/>
    <n v="0"/>
    <n v="0"/>
    <n v="0"/>
    <n v="0"/>
    <n v="0"/>
    <n v="0"/>
    <n v="0"/>
    <n v="1.31"/>
    <n v="0"/>
    <n v="6"/>
    <n v="23.5"/>
    <n v="1.11"/>
    <n v="22.39"/>
    <n v="1"/>
  </r>
  <r>
    <s v="2021-06-10"/>
    <s v="Vancouver"/>
    <s v="加拿大二店"/>
    <x v="4"/>
    <x v="16"/>
    <x v="62"/>
    <x v="0"/>
    <x v="64"/>
    <s v="单锅"/>
    <n v="16.95"/>
    <s v="锅"/>
    <n v="3"/>
    <n v="50.85"/>
    <n v="1"/>
    <n v="16.95"/>
    <n v="0"/>
    <n v="0"/>
    <n v="0"/>
    <n v="0"/>
    <n v="0"/>
    <n v="0"/>
    <n v="0.79"/>
    <n v="0"/>
    <n v="2"/>
    <n v="34.76"/>
    <n v="1.65"/>
    <n v="33.11"/>
    <n v="4"/>
  </r>
  <r>
    <s v="2021-06-10"/>
    <s v="Vancouver"/>
    <s v="加拿大二店"/>
    <x v="4"/>
    <x v="9"/>
    <x v="62"/>
    <x v="0"/>
    <x v="64"/>
    <s v="拼锅"/>
    <n v="8.95"/>
    <s v="锅"/>
    <n v="11"/>
    <n v="98.45"/>
    <n v="1"/>
    <n v="8.95"/>
    <n v="0"/>
    <n v="0"/>
    <n v="1"/>
    <n v="8.95"/>
    <n v="0"/>
    <n v="0"/>
    <n v="1.79"/>
    <n v="0"/>
    <n v="9"/>
    <n v="82.69"/>
    <n v="3.93"/>
    <n v="78.76"/>
    <n v="2"/>
  </r>
  <r>
    <s v="2021-06-10"/>
    <s v="Vancouver"/>
    <s v="加拿大二店"/>
    <x v="4"/>
    <x v="10"/>
    <x v="62"/>
    <x v="0"/>
    <x v="64"/>
    <s v="四宫格"/>
    <n v="4.95"/>
    <s v="锅"/>
    <n v="13"/>
    <n v="64.35"/>
    <n v="0"/>
    <n v="0"/>
    <n v="0"/>
    <n v="0"/>
    <n v="0"/>
    <n v="0"/>
    <n v="0"/>
    <n v="0"/>
    <n v="1.9"/>
    <n v="0"/>
    <n v="13"/>
    <n v="65.57"/>
    <n v="3.12"/>
    <n v="62.45"/>
    <n v="1"/>
  </r>
  <r>
    <s v="2021-06-10"/>
    <s v="Vancouver"/>
    <s v="加拿大二店"/>
    <x v="6"/>
    <x v="13"/>
    <x v="63"/>
    <x v="61"/>
    <x v="65"/>
    <s v="整份"/>
    <n v="1.5"/>
    <s v="碗"/>
    <n v="8"/>
    <n v="12"/>
    <n v="1"/>
    <n v="1.5"/>
    <n v="0"/>
    <n v="0"/>
    <n v="0"/>
    <n v="0"/>
    <n v="0"/>
    <n v="0"/>
    <n v="0"/>
    <n v="0"/>
    <n v="7"/>
    <n v="11.02"/>
    <n v="0.52"/>
    <n v="10.5"/>
    <n v="1"/>
  </r>
  <r>
    <s v="2021-06-10"/>
    <s v="Vancouver"/>
    <s v="加拿大二店"/>
    <x v="3"/>
    <x v="5"/>
    <x v="64"/>
    <x v="62"/>
    <x v="66"/>
    <s v="整份"/>
    <n v="3.95"/>
    <s v="份"/>
    <n v="2"/>
    <n v="7.9"/>
    <n v="0"/>
    <n v="0"/>
    <n v="0"/>
    <n v="0"/>
    <n v="0"/>
    <n v="0"/>
    <n v="0"/>
    <n v="0"/>
    <n v="1.97"/>
    <n v="0"/>
    <n v="2"/>
    <n v="6.22"/>
    <n v="0.29"/>
    <n v="5.93"/>
    <n v="1"/>
  </r>
  <r>
    <s v="2021-06-10"/>
    <s v="Vancouver"/>
    <s v="加拿大二店"/>
    <x v="2"/>
    <x v="4"/>
    <x v="65"/>
    <x v="63"/>
    <x v="67"/>
    <s v="扎"/>
    <n v="8.95"/>
    <s v="扎"/>
    <n v="2"/>
    <n v="17.9"/>
    <n v="0"/>
    <n v="0"/>
    <n v="0"/>
    <n v="0"/>
    <n v="0"/>
    <n v="0"/>
    <n v="0"/>
    <n v="0.01"/>
    <n v="0"/>
    <n v="0"/>
    <n v="2"/>
    <n v="20.03"/>
    <n v="2.14"/>
    <n v="17.89"/>
    <n v="1"/>
  </r>
  <r>
    <s v="2021-06-10"/>
    <s v="Vancouver"/>
    <s v="加拿大二店"/>
    <x v="2"/>
    <x v="4"/>
    <x v="66"/>
    <x v="64"/>
    <x v="68"/>
    <s v="扎"/>
    <n v="11.95"/>
    <s v="扎"/>
    <n v="4"/>
    <n v="47.8"/>
    <n v="0"/>
    <n v="0"/>
    <n v="0"/>
    <n v="0"/>
    <n v="1"/>
    <n v="11.95"/>
    <n v="0"/>
    <n v="0.01"/>
    <n v="2.39"/>
    <n v="0"/>
    <n v="3"/>
    <n v="37.46"/>
    <n v="4.01"/>
    <n v="33.45"/>
    <n v="1"/>
  </r>
  <r>
    <s v="2021-06-10"/>
    <s v="Vancouver"/>
    <s v="加拿大二店"/>
    <x v="3"/>
    <x v="5"/>
    <x v="117"/>
    <x v="111"/>
    <x v="121"/>
    <s v="整份"/>
    <n v="4.95"/>
    <s v="份"/>
    <n v="3"/>
    <n v="14.85"/>
    <n v="0"/>
    <n v="0"/>
    <n v="0"/>
    <n v="0"/>
    <n v="0"/>
    <n v="0"/>
    <n v="0"/>
    <n v="0"/>
    <n v="1.58"/>
    <n v="0"/>
    <n v="3"/>
    <n v="13.93"/>
    <n v="0.66"/>
    <n v="13.27"/>
    <n v="1"/>
  </r>
  <r>
    <s v="2021-06-10"/>
    <s v="Vancouver"/>
    <s v="加拿大二店"/>
    <x v="3"/>
    <x v="7"/>
    <x v="67"/>
    <x v="65"/>
    <x v="69"/>
    <s v="整份"/>
    <n v="3.95"/>
    <s v="份"/>
    <n v="2"/>
    <n v="7.9"/>
    <n v="0"/>
    <n v="0"/>
    <n v="0"/>
    <n v="0"/>
    <n v="1"/>
    <n v="3.95"/>
    <n v="0"/>
    <n v="0"/>
    <n v="0.72"/>
    <n v="0"/>
    <n v="1"/>
    <n v="3.39"/>
    <n v="0.16"/>
    <n v="3.23"/>
    <n v="1"/>
  </r>
  <r>
    <s v="2021-06-10"/>
    <s v="Vancouver"/>
    <s v="加拿大二店"/>
    <x v="1"/>
    <x v="1"/>
    <x v="68"/>
    <x v="66"/>
    <x v="70"/>
    <s v="整份"/>
    <n v="8.95"/>
    <s v="份"/>
    <n v="42"/>
    <n v="375.9"/>
    <n v="0"/>
    <n v="0"/>
    <n v="0"/>
    <n v="0"/>
    <n v="1"/>
    <n v="8.95"/>
    <n v="0"/>
    <n v="0"/>
    <n v="14.11"/>
    <n v="0"/>
    <n v="41"/>
    <n v="370.48"/>
    <n v="17.64"/>
    <n v="352.84"/>
    <n v="1"/>
  </r>
  <r>
    <s v="2021-06-10"/>
    <s v="Vancouver"/>
    <s v="加拿大二店"/>
    <x v="1"/>
    <x v="1"/>
    <x v="69"/>
    <x v="67"/>
    <x v="71"/>
    <s v="整份"/>
    <n v="8.95"/>
    <s v="份"/>
    <n v="4"/>
    <n v="35.8"/>
    <n v="0"/>
    <n v="0"/>
    <n v="0"/>
    <n v="0"/>
    <n v="0"/>
    <n v="0"/>
    <n v="0"/>
    <n v="0"/>
    <n v="0"/>
    <n v="0"/>
    <n v="4"/>
    <n v="37.59"/>
    <n v="1.79"/>
    <n v="35.8"/>
    <n v="1"/>
  </r>
  <r>
    <s v="2021-06-10"/>
    <s v="Vancouver"/>
    <s v="加拿大二店"/>
    <x v="6"/>
    <x v="15"/>
    <x v="70"/>
    <x v="68"/>
    <x v="72"/>
    <s v="整份"/>
    <n v="1.5"/>
    <s v="份"/>
    <n v="3"/>
    <n v="4.5"/>
    <n v="0"/>
    <n v="0"/>
    <n v="0"/>
    <n v="0"/>
    <n v="0"/>
    <n v="0"/>
    <n v="0"/>
    <n v="0.01"/>
    <n v="0"/>
    <n v="0"/>
    <n v="3"/>
    <n v="4.71"/>
    <n v="0.22"/>
    <n v="4.49"/>
    <n v="1"/>
  </r>
  <r>
    <s v="2021-06-10"/>
    <s v="Vancouver"/>
    <s v="加拿大二店"/>
    <x v="4"/>
    <x v="9"/>
    <x v="71"/>
    <x v="0"/>
    <x v="73"/>
    <s v="拼锅"/>
    <n v="18.95"/>
    <s v="锅"/>
    <n v="6"/>
    <n v="113.7"/>
    <n v="0"/>
    <n v="0"/>
    <n v="0"/>
    <n v="0"/>
    <n v="0"/>
    <n v="0"/>
    <n v="0"/>
    <n v="-0.01"/>
    <n v="0"/>
    <n v="0"/>
    <n v="6"/>
    <n v="119.39"/>
    <n v="5.68"/>
    <n v="113.71"/>
    <n v="2"/>
  </r>
  <r>
    <s v="2021-06-10"/>
    <s v="Vancouver"/>
    <s v="加拿大二店"/>
    <x v="4"/>
    <x v="10"/>
    <x v="71"/>
    <x v="0"/>
    <x v="73"/>
    <s v="四宫格"/>
    <n v="9.95"/>
    <s v="锅"/>
    <n v="4"/>
    <n v="39.8"/>
    <n v="0"/>
    <n v="0"/>
    <n v="0"/>
    <n v="0"/>
    <n v="0"/>
    <n v="0"/>
    <n v="0"/>
    <n v="0"/>
    <n v="1.99"/>
    <n v="0"/>
    <n v="4"/>
    <n v="39.7"/>
    <n v="1.89"/>
    <n v="37.81"/>
    <n v="1"/>
  </r>
  <r>
    <s v="2021-06-10"/>
    <s v="Vancouver"/>
    <s v="加拿大二店"/>
    <x v="1"/>
    <x v="8"/>
    <x v="72"/>
    <x v="69"/>
    <x v="74"/>
    <s v="个"/>
    <n v="7.95"/>
    <s v="份"/>
    <n v="4"/>
    <n v="31.8"/>
    <n v="0"/>
    <n v="0"/>
    <n v="0"/>
    <n v="0"/>
    <n v="0"/>
    <n v="0"/>
    <n v="0"/>
    <n v="0"/>
    <n v="0"/>
    <n v="0"/>
    <n v="4"/>
    <n v="33.39"/>
    <n v="1.59"/>
    <n v="31.8"/>
    <n v="1"/>
  </r>
  <r>
    <s v="2021-06-10"/>
    <s v="Vancouver"/>
    <s v="加拿大二店"/>
    <x v="6"/>
    <x v="13"/>
    <x v="73"/>
    <x v="70"/>
    <x v="75"/>
    <s v="份"/>
    <n v="6.95"/>
    <s v="份"/>
    <n v="4"/>
    <n v="27.8"/>
    <n v="0"/>
    <n v="0"/>
    <n v="0"/>
    <n v="0"/>
    <n v="1"/>
    <n v="6.95"/>
    <n v="0"/>
    <n v="0.01"/>
    <n v="0.33"/>
    <n v="0"/>
    <n v="3"/>
    <n v="21.53"/>
    <n v="1.02"/>
    <n v="20.51"/>
    <n v="1"/>
  </r>
  <r>
    <s v="2021-06-10"/>
    <s v="Vancouver"/>
    <s v="加拿大二店"/>
    <x v="4"/>
    <x v="9"/>
    <x v="74"/>
    <x v="0"/>
    <x v="76"/>
    <s v="拼锅"/>
    <n v="18.95"/>
    <s v="锅"/>
    <n v="3"/>
    <n v="56.85"/>
    <n v="0"/>
    <n v="0"/>
    <n v="0"/>
    <n v="0"/>
    <n v="0"/>
    <n v="0"/>
    <n v="0"/>
    <n v="-0.02"/>
    <n v="0"/>
    <n v="0"/>
    <n v="3"/>
    <n v="59.71"/>
    <n v="2.84"/>
    <n v="56.87"/>
    <n v="2"/>
  </r>
  <r>
    <s v="2021-06-10"/>
    <s v="Vancouver"/>
    <s v="加拿大二店"/>
    <x v="4"/>
    <x v="10"/>
    <x v="74"/>
    <x v="0"/>
    <x v="76"/>
    <s v="四宫格"/>
    <n v="9.95"/>
    <s v="锅"/>
    <n v="3"/>
    <n v="29.85"/>
    <n v="0"/>
    <n v="0"/>
    <n v="0"/>
    <n v="0"/>
    <n v="0"/>
    <n v="0"/>
    <n v="0"/>
    <n v="0"/>
    <n v="0"/>
    <n v="0"/>
    <n v="3"/>
    <n v="31.34"/>
    <n v="1.49"/>
    <n v="29.85"/>
    <n v="1"/>
  </r>
  <r>
    <s v="2021-06-10"/>
    <s v="Vancouver"/>
    <s v="加拿大二店"/>
    <x v="1"/>
    <x v="6"/>
    <x v="118"/>
    <x v="112"/>
    <x v="122"/>
    <s v="整份"/>
    <n v="28.95"/>
    <s v="份"/>
    <n v="1"/>
    <n v="28.95"/>
    <n v="0"/>
    <n v="0"/>
    <n v="0"/>
    <n v="0"/>
    <n v="0"/>
    <n v="0"/>
    <n v="0"/>
    <n v="0.02"/>
    <n v="0"/>
    <n v="0"/>
    <n v="1"/>
    <n v="30.37"/>
    <n v="1.44"/>
    <n v="28.93"/>
    <n v="1"/>
  </r>
  <r>
    <s v="2021-06-10"/>
    <s v="Vancouver"/>
    <s v="加拿大二店"/>
    <x v="8"/>
    <x v="17"/>
    <x v="75"/>
    <x v="71"/>
    <x v="77"/>
    <s v="整份"/>
    <n v="3.99"/>
    <s v="位"/>
    <n v="107"/>
    <n v="426.93"/>
    <n v="10"/>
    <n v="39.9"/>
    <n v="0"/>
    <n v="0"/>
    <n v="4"/>
    <n v="15.96"/>
    <n v="0"/>
    <n v="0"/>
    <n v="3.49"/>
    <n v="0"/>
    <n v="93"/>
    <n v="385.95"/>
    <n v="18.37"/>
    <n v="367.58"/>
    <n v="1"/>
  </r>
  <r>
    <s v="2021-06-10"/>
    <s v="Vancouver"/>
    <s v="加拿大二店"/>
    <x v="3"/>
    <x v="5"/>
    <x v="76"/>
    <x v="72"/>
    <x v="78"/>
    <s v="整份"/>
    <n v="3.95"/>
    <s v="份"/>
    <n v="3"/>
    <n v="11.85"/>
    <n v="0"/>
    <n v="0"/>
    <n v="0"/>
    <n v="0"/>
    <n v="0"/>
    <n v="0"/>
    <n v="0"/>
    <n v="0"/>
    <n v="0"/>
    <n v="0"/>
    <n v="3"/>
    <n v="12.44"/>
    <n v="0.59"/>
    <n v="11.85"/>
    <n v="1"/>
  </r>
  <r>
    <s v="2021-06-10"/>
    <s v="Vancouver"/>
    <s v="加拿大二店"/>
    <x v="1"/>
    <x v="3"/>
    <x v="77"/>
    <x v="73"/>
    <x v="79"/>
    <s v="整份"/>
    <n v="5.95"/>
    <s v="份"/>
    <n v="4"/>
    <n v="23.8"/>
    <n v="0"/>
    <n v="0"/>
    <n v="0"/>
    <n v="0"/>
    <n v="1"/>
    <n v="5.95"/>
    <n v="0"/>
    <n v="0"/>
    <n v="0"/>
    <n v="0"/>
    <n v="3"/>
    <n v="18.74"/>
    <n v="0.89"/>
    <n v="17.85"/>
    <n v="1"/>
  </r>
  <r>
    <s v="2021-06-10"/>
    <s v="Vancouver"/>
    <s v="加拿大二店"/>
    <x v="3"/>
    <x v="11"/>
    <x v="78"/>
    <x v="74"/>
    <x v="80"/>
    <s v="整份"/>
    <n v="5.95"/>
    <s v="份"/>
    <n v="2"/>
    <n v="11.9"/>
    <n v="0"/>
    <n v="0"/>
    <n v="0"/>
    <n v="0"/>
    <n v="0"/>
    <n v="0"/>
    <n v="0"/>
    <n v="0"/>
    <n v="0"/>
    <n v="0"/>
    <n v="2"/>
    <n v="12.49"/>
    <n v="0.59"/>
    <n v="11.9"/>
    <n v="1"/>
  </r>
  <r>
    <s v="2021-06-10"/>
    <s v="Vancouver"/>
    <s v="加拿大二店"/>
    <x v="3"/>
    <x v="11"/>
    <x v="78"/>
    <x v="75"/>
    <x v="81"/>
    <s v="半份"/>
    <n v="2.95"/>
    <s v="份"/>
    <n v="7"/>
    <n v="20.65"/>
    <n v="0"/>
    <n v="0"/>
    <n v="0"/>
    <n v="0"/>
    <n v="0"/>
    <n v="0"/>
    <n v="0"/>
    <n v="0"/>
    <n v="1.47"/>
    <n v="0"/>
    <n v="7"/>
    <n v="20.13"/>
    <n v="0.95"/>
    <n v="19.18"/>
    <n v="0.5"/>
  </r>
  <r>
    <s v="2021-06-10"/>
    <s v="Vancouver"/>
    <s v="加拿大二店"/>
    <x v="3"/>
    <x v="5"/>
    <x v="79"/>
    <x v="76"/>
    <x v="82"/>
    <s v="整份"/>
    <n v="3.95"/>
    <s v="份"/>
    <n v="8"/>
    <n v="31.6"/>
    <n v="0"/>
    <n v="0"/>
    <n v="0"/>
    <n v="0"/>
    <n v="0"/>
    <n v="0"/>
    <n v="0"/>
    <n v="0"/>
    <n v="2.44"/>
    <n v="0"/>
    <n v="8"/>
    <n v="30.61"/>
    <n v="1.45"/>
    <n v="29.16"/>
    <n v="1"/>
  </r>
  <r>
    <s v="2021-06-10"/>
    <s v="Vancouver"/>
    <s v="加拿大二店"/>
    <x v="3"/>
    <x v="5"/>
    <x v="80"/>
    <x v="77"/>
    <x v="83"/>
    <s v="整份"/>
    <n v="5.95"/>
    <s v="份"/>
    <n v="7"/>
    <n v="41.65"/>
    <n v="0"/>
    <n v="0"/>
    <n v="0"/>
    <n v="0"/>
    <n v="0"/>
    <n v="0"/>
    <n v="0"/>
    <n v="0"/>
    <n v="3.09"/>
    <n v="0"/>
    <n v="7"/>
    <n v="40.48"/>
    <n v="1.92"/>
    <n v="38.56"/>
    <n v="1"/>
  </r>
  <r>
    <s v="2021-06-10"/>
    <s v="Vancouver"/>
    <s v="加拿大二店"/>
    <x v="4"/>
    <x v="9"/>
    <x v="81"/>
    <x v="0"/>
    <x v="84"/>
    <s v="拼锅"/>
    <n v="8.95"/>
    <s v="锅"/>
    <n v="7"/>
    <n v="62.65"/>
    <n v="0"/>
    <n v="0"/>
    <n v="0"/>
    <n v="0"/>
    <n v="0"/>
    <n v="0"/>
    <n v="0"/>
    <n v="0.01"/>
    <n v="0"/>
    <n v="0"/>
    <n v="7"/>
    <n v="65.77"/>
    <n v="3.13"/>
    <n v="62.64"/>
    <n v="2"/>
  </r>
  <r>
    <s v="2021-06-10"/>
    <s v="Vancouver"/>
    <s v="加拿大二店"/>
    <x v="4"/>
    <x v="10"/>
    <x v="81"/>
    <x v="0"/>
    <x v="84"/>
    <s v="四宫格"/>
    <n v="4.95"/>
    <s v="锅"/>
    <n v="3"/>
    <n v="14.85"/>
    <n v="0"/>
    <n v="0"/>
    <n v="0"/>
    <n v="0"/>
    <n v="0"/>
    <n v="0"/>
    <n v="0"/>
    <n v="0"/>
    <n v="0"/>
    <n v="0"/>
    <n v="3"/>
    <n v="15.59"/>
    <n v="0.74"/>
    <n v="14.85"/>
    <n v="1"/>
  </r>
  <r>
    <s v="2021-06-10"/>
    <s v="Vancouver"/>
    <s v="加拿大二店"/>
    <x v="3"/>
    <x v="5"/>
    <x v="82"/>
    <x v="78"/>
    <x v="85"/>
    <s v="整份"/>
    <n v="12.95"/>
    <s v="份"/>
    <n v="5"/>
    <n v="64.75"/>
    <n v="0"/>
    <n v="0"/>
    <n v="0"/>
    <n v="0"/>
    <n v="0"/>
    <n v="0"/>
    <n v="0"/>
    <n v="0"/>
    <n v="4.14"/>
    <n v="0"/>
    <n v="5"/>
    <n v="63.64"/>
    <n v="3.03"/>
    <n v="60.61"/>
    <n v="1"/>
  </r>
  <r>
    <s v="2021-06-10"/>
    <s v="Vancouver"/>
    <s v="加拿大二店"/>
    <x v="3"/>
    <x v="11"/>
    <x v="83"/>
    <x v="79"/>
    <x v="86"/>
    <s v="整份"/>
    <n v="5.95"/>
    <s v="份"/>
    <n v="5"/>
    <n v="29.75"/>
    <n v="0"/>
    <n v="0"/>
    <n v="0"/>
    <n v="0"/>
    <n v="1"/>
    <n v="5.95"/>
    <n v="0"/>
    <n v="0"/>
    <n v="0"/>
    <n v="0"/>
    <n v="4"/>
    <n v="24.99"/>
    <n v="1.19"/>
    <n v="23.8"/>
    <n v="1"/>
  </r>
  <r>
    <s v="2021-06-10"/>
    <s v="Vancouver"/>
    <s v="加拿大二店"/>
    <x v="3"/>
    <x v="11"/>
    <x v="83"/>
    <x v="80"/>
    <x v="87"/>
    <s v="半份"/>
    <n v="2.95"/>
    <s v="份"/>
    <n v="2"/>
    <n v="5.9"/>
    <n v="0"/>
    <n v="0"/>
    <n v="0"/>
    <n v="0"/>
    <n v="0"/>
    <n v="0"/>
    <n v="0"/>
    <n v="0"/>
    <n v="1.47"/>
    <n v="0"/>
    <n v="2"/>
    <n v="4.65"/>
    <n v="0.22"/>
    <n v="4.43"/>
    <n v="0.5"/>
  </r>
  <r>
    <s v="2021-06-10"/>
    <s v="Vancouver"/>
    <s v="加拿大二店"/>
    <x v="3"/>
    <x v="11"/>
    <x v="84"/>
    <x v="81"/>
    <x v="88"/>
    <s v="整份"/>
    <n v="11.95"/>
    <s v="份"/>
    <n v="2"/>
    <n v="23.9"/>
    <n v="0"/>
    <n v="0"/>
    <n v="0"/>
    <n v="0"/>
    <n v="0"/>
    <n v="0"/>
    <n v="0"/>
    <n v="0"/>
    <n v="0"/>
    <n v="0"/>
    <n v="2"/>
    <n v="25.09"/>
    <n v="1.19"/>
    <n v="23.9"/>
    <n v="1"/>
  </r>
  <r>
    <s v="2021-06-10"/>
    <s v="Vancouver"/>
    <s v="加拿大二店"/>
    <x v="1"/>
    <x v="3"/>
    <x v="85"/>
    <x v="82"/>
    <x v="89"/>
    <s v="整份"/>
    <n v="6.95"/>
    <s v="份"/>
    <n v="2"/>
    <n v="13.9"/>
    <n v="0"/>
    <n v="0"/>
    <n v="0"/>
    <n v="0"/>
    <n v="0"/>
    <n v="0"/>
    <n v="0"/>
    <n v="0"/>
    <n v="0"/>
    <n v="0"/>
    <n v="2"/>
    <n v="14.59"/>
    <n v="0.69"/>
    <n v="13.9"/>
    <n v="1"/>
  </r>
  <r>
    <s v="2021-06-10"/>
    <s v="Vancouver"/>
    <s v="加拿大二店"/>
    <x v="6"/>
    <x v="13"/>
    <x v="86"/>
    <x v="83"/>
    <x v="90"/>
    <s v="碗"/>
    <n v="2.95"/>
    <s v="碗"/>
    <n v="9"/>
    <n v="26.55"/>
    <n v="0"/>
    <n v="0"/>
    <n v="0"/>
    <n v="0"/>
    <n v="0"/>
    <n v="0"/>
    <n v="0"/>
    <n v="0"/>
    <n v="0"/>
    <n v="0"/>
    <n v="9"/>
    <n v="27.87"/>
    <n v="1.32"/>
    <n v="26.55"/>
    <n v="1"/>
  </r>
  <r>
    <s v="2021-06-10"/>
    <s v="Vancouver"/>
    <s v="加拿大二店"/>
    <x v="2"/>
    <x v="4"/>
    <x v="87"/>
    <x v="84"/>
    <x v="91"/>
    <s v="常温"/>
    <n v="2.95"/>
    <s v="扎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10"/>
    <s v="Vancouver"/>
    <s v="加拿大二店"/>
    <x v="2"/>
    <x v="4"/>
    <x v="87"/>
    <x v="84"/>
    <x v="91"/>
    <s v="冰镇"/>
    <n v="2.95"/>
    <s v="扎"/>
    <n v="6"/>
    <n v="17.7"/>
    <n v="0"/>
    <n v="0"/>
    <n v="0"/>
    <n v="0"/>
    <n v="0"/>
    <n v="0"/>
    <n v="0"/>
    <n v="0"/>
    <n v="0.59"/>
    <n v="0"/>
    <n v="6"/>
    <n v="19.16"/>
    <n v="2.05"/>
    <n v="17.11"/>
    <n v="1"/>
  </r>
  <r>
    <s v="2021-06-10"/>
    <s v="Vancouver"/>
    <s v="加拿大二店"/>
    <x v="1"/>
    <x v="8"/>
    <x v="88"/>
    <x v="85"/>
    <x v="92"/>
    <s v="整份"/>
    <n v="7.95"/>
    <s v="份"/>
    <n v="4"/>
    <n v="31.8"/>
    <n v="0"/>
    <n v="0"/>
    <n v="0"/>
    <n v="0"/>
    <n v="0"/>
    <n v="0"/>
    <n v="0"/>
    <n v="0"/>
    <n v="6.8"/>
    <n v="0"/>
    <n v="4"/>
    <n v="26.25"/>
    <n v="1.25"/>
    <n v="25"/>
    <n v="1"/>
  </r>
  <r>
    <s v="2021-06-10"/>
    <s v="Vancouver"/>
    <s v="加拿大二店"/>
    <x v="1"/>
    <x v="8"/>
    <x v="89"/>
    <x v="86"/>
    <x v="93"/>
    <s v="整份"/>
    <n v="4.95"/>
    <s v="份"/>
    <n v="11"/>
    <n v="54.45"/>
    <n v="0"/>
    <n v="0"/>
    <n v="0"/>
    <n v="0"/>
    <n v="0"/>
    <n v="0"/>
    <n v="0"/>
    <n v="0"/>
    <n v="4.37"/>
    <n v="0"/>
    <n v="11"/>
    <n v="52.58"/>
    <n v="2.5"/>
    <n v="50.08"/>
    <n v="1"/>
  </r>
  <r>
    <s v="2021-06-10"/>
    <s v="Vancouver"/>
    <s v="加拿大二店"/>
    <x v="3"/>
    <x v="7"/>
    <x v="90"/>
    <x v="87"/>
    <x v="94"/>
    <s v="整份"/>
    <n v="4.95"/>
    <s v="份"/>
    <n v="7"/>
    <n v="34.65"/>
    <n v="0"/>
    <n v="0"/>
    <n v="0"/>
    <n v="0"/>
    <n v="1"/>
    <n v="4.95"/>
    <n v="0"/>
    <n v="0.01"/>
    <n v="1.74"/>
    <n v="0"/>
    <n v="6"/>
    <n v="29.34"/>
    <n v="1.39"/>
    <n v="27.95"/>
    <n v="1"/>
  </r>
  <r>
    <s v="2021-06-10"/>
    <s v="Vancouver"/>
    <s v="加拿大二店"/>
    <x v="6"/>
    <x v="18"/>
    <x v="91"/>
    <x v="88"/>
    <x v="95"/>
    <s v="整份"/>
    <n v="2.95"/>
    <s v="份"/>
    <n v="11"/>
    <n v="32.45"/>
    <n v="0"/>
    <n v="0"/>
    <n v="0"/>
    <n v="0"/>
    <n v="6"/>
    <n v="17.7"/>
    <n v="0"/>
    <n v="0"/>
    <n v="0.59"/>
    <n v="0"/>
    <n v="5"/>
    <n v="14.86"/>
    <n v="0.7"/>
    <n v="14.16"/>
    <n v="1"/>
  </r>
  <r>
    <s v="2021-06-10"/>
    <s v="Vancouver"/>
    <s v="加拿大二店"/>
    <x v="4"/>
    <x v="10"/>
    <x v="92"/>
    <x v="0"/>
    <x v="96"/>
    <s v="四宫格"/>
    <n v="4.95"/>
    <s v="锅"/>
    <n v="1"/>
    <n v="4.95"/>
    <n v="0"/>
    <n v="0"/>
    <n v="0"/>
    <n v="0"/>
    <n v="0"/>
    <n v="0"/>
    <n v="0"/>
    <n v="-0.01"/>
    <n v="0"/>
    <n v="0"/>
    <n v="1"/>
    <n v="5.2"/>
    <n v="0.24"/>
    <n v="4.96"/>
    <n v="1"/>
  </r>
  <r>
    <s v="2021-06-10"/>
    <s v="Vancouver"/>
    <s v="加拿大二店"/>
    <x v="3"/>
    <x v="5"/>
    <x v="93"/>
    <x v="89"/>
    <x v="97"/>
    <s v="整份"/>
    <n v="5.95"/>
    <s v="份"/>
    <n v="3"/>
    <n v="17.85"/>
    <n v="0"/>
    <n v="0"/>
    <n v="0"/>
    <n v="0"/>
    <n v="0"/>
    <n v="0"/>
    <n v="0"/>
    <n v="0"/>
    <n v="3.25"/>
    <n v="0"/>
    <n v="3"/>
    <n v="15.33"/>
    <n v="0.73"/>
    <n v="14.6"/>
    <n v="1"/>
  </r>
  <r>
    <s v="2021-06-10"/>
    <s v="Vancouver"/>
    <s v="加拿大二店"/>
    <x v="6"/>
    <x v="13"/>
    <x v="94"/>
    <x v="90"/>
    <x v="98"/>
    <s v="整份"/>
    <n v="4.95"/>
    <s v="份"/>
    <n v="15"/>
    <n v="74.25"/>
    <n v="0"/>
    <n v="0"/>
    <n v="0"/>
    <n v="0"/>
    <n v="5"/>
    <n v="24.75"/>
    <n v="0"/>
    <n v="0"/>
    <n v="0"/>
    <n v="0"/>
    <n v="10"/>
    <n v="51.97"/>
    <n v="2.47"/>
    <n v="49.5"/>
    <n v="1"/>
  </r>
  <r>
    <s v="2021-06-10"/>
    <s v="Vancouver"/>
    <s v="加拿大二店"/>
    <x v="7"/>
    <x v="14"/>
    <x v="123"/>
    <x v="117"/>
    <x v="127"/>
    <s v="整份"/>
    <n v="0"/>
    <s v="份"/>
    <n v="1"/>
    <n v="0"/>
    <n v="0"/>
    <n v="0"/>
    <n v="0"/>
    <n v="0"/>
    <n v="0"/>
    <n v="0"/>
    <n v="0"/>
    <n v="-0.02"/>
    <n v="0"/>
    <n v="0"/>
    <n v="1"/>
    <n v="0.02"/>
    <n v="0"/>
    <n v="0.02"/>
    <n v="1"/>
  </r>
  <r>
    <s v="2021-06-10"/>
    <s v="Vancouver"/>
    <s v="加拿大二店"/>
    <x v="2"/>
    <x v="4"/>
    <x v="95"/>
    <x v="91"/>
    <x v="99"/>
    <s v="冰镇"/>
    <n v="2.45"/>
    <s v="听"/>
    <n v="3"/>
    <n v="7.35"/>
    <n v="0"/>
    <n v="0"/>
    <n v="0"/>
    <n v="0"/>
    <n v="0"/>
    <n v="0"/>
    <n v="0"/>
    <n v="0"/>
    <n v="0"/>
    <n v="0"/>
    <n v="3"/>
    <n v="8.23"/>
    <n v="0.88"/>
    <n v="7.35"/>
    <n v="1"/>
  </r>
  <r>
    <s v="2021-06-10"/>
    <s v="Vancouver"/>
    <s v="加拿大二店"/>
    <x v="1"/>
    <x v="1"/>
    <x v="96"/>
    <x v="92"/>
    <x v="100"/>
    <s v="整份"/>
    <n v="49.95"/>
    <s v="份"/>
    <n v="2"/>
    <n v="99.9"/>
    <n v="0"/>
    <n v="0"/>
    <n v="0"/>
    <n v="0"/>
    <n v="0"/>
    <n v="0"/>
    <n v="0"/>
    <n v="0"/>
    <n v="0"/>
    <n v="0"/>
    <n v="2"/>
    <n v="104.89"/>
    <n v="4.99"/>
    <n v="99.9"/>
    <n v="1"/>
  </r>
  <r>
    <s v="2021-06-10"/>
    <s v="Vancouver"/>
    <s v="加拿大二店"/>
    <x v="2"/>
    <x v="2"/>
    <x v="97"/>
    <x v="93"/>
    <x v="101"/>
    <s v="冰镇"/>
    <n v="5.95"/>
    <s v="听"/>
    <n v="2"/>
    <n v="11.9"/>
    <n v="0"/>
    <n v="0"/>
    <n v="0"/>
    <n v="0"/>
    <n v="0"/>
    <n v="0"/>
    <n v="0"/>
    <n v="0"/>
    <n v="0"/>
    <n v="0"/>
    <n v="2"/>
    <n v="13.68"/>
    <n v="1.78"/>
    <n v="11.9"/>
    <n v="1"/>
  </r>
  <r>
    <s v="2021-06-10"/>
    <s v="Vancouver"/>
    <s v="加拿大二店"/>
    <x v="1"/>
    <x v="3"/>
    <x v="100"/>
    <x v="96"/>
    <x v="104"/>
    <s v="整份"/>
    <n v="7.95"/>
    <s v="份"/>
    <n v="7"/>
    <n v="55.65"/>
    <n v="0"/>
    <n v="0"/>
    <n v="0"/>
    <n v="0"/>
    <n v="1"/>
    <n v="7.95"/>
    <n v="0"/>
    <n v="0"/>
    <n v="2.54"/>
    <n v="0"/>
    <n v="6"/>
    <n v="47.41"/>
    <n v="2.25"/>
    <n v="45.16"/>
    <n v="1"/>
  </r>
  <r>
    <s v="2021-06-10"/>
    <s v="Vancouver"/>
    <s v="加拿大二店"/>
    <x v="1"/>
    <x v="8"/>
    <x v="101"/>
    <x v="97"/>
    <x v="105"/>
    <s v="整份"/>
    <n v="5.95"/>
    <s v="份"/>
    <n v="7"/>
    <n v="41.65"/>
    <n v="0"/>
    <n v="0"/>
    <n v="0"/>
    <n v="0"/>
    <n v="0"/>
    <n v="0"/>
    <n v="0"/>
    <n v="0"/>
    <n v="0.99"/>
    <n v="0"/>
    <n v="7"/>
    <n v="42.69"/>
    <n v="2.03"/>
    <n v="40.66"/>
    <n v="1"/>
  </r>
  <r>
    <s v="2021-06-10"/>
    <s v="Vancouver"/>
    <s v="加拿大二店"/>
    <x v="1"/>
    <x v="6"/>
    <x v="102"/>
    <x v="98"/>
    <x v="106"/>
    <s v="整份"/>
    <n v="8.95"/>
    <s v="份"/>
    <n v="3"/>
    <n v="26.85"/>
    <n v="0"/>
    <n v="0"/>
    <n v="0"/>
    <n v="0"/>
    <n v="1"/>
    <n v="8.95"/>
    <n v="0"/>
    <n v="-0.02"/>
    <n v="1.79"/>
    <n v="0"/>
    <n v="2"/>
    <n v="16.93"/>
    <n v="0.8"/>
    <n v="16.13"/>
    <n v="1"/>
  </r>
  <r>
    <s v="2021-06-10"/>
    <s v="Vancouver"/>
    <s v="加拿大二店"/>
    <x v="3"/>
    <x v="7"/>
    <x v="103"/>
    <x v="99"/>
    <x v="107"/>
    <s v="整份"/>
    <n v="5.95"/>
    <s v="份"/>
    <n v="8"/>
    <n v="47.6"/>
    <n v="0"/>
    <n v="0"/>
    <n v="0"/>
    <n v="0"/>
    <n v="0"/>
    <n v="0"/>
    <n v="0"/>
    <n v="-0.02"/>
    <n v="1.68"/>
    <n v="0"/>
    <n v="8"/>
    <n v="48.23"/>
    <n v="2.29"/>
    <n v="45.94"/>
    <n v="1"/>
  </r>
  <r>
    <s v="2021-06-10"/>
    <s v="Vancouver"/>
    <s v="加拿大二店"/>
    <x v="3"/>
    <x v="7"/>
    <x v="104"/>
    <x v="100"/>
    <x v="108"/>
    <s v="整份"/>
    <n v="3.95"/>
    <s v="份"/>
    <n v="5"/>
    <n v="19.75"/>
    <n v="0"/>
    <n v="0"/>
    <n v="0"/>
    <n v="0"/>
    <n v="0"/>
    <n v="0"/>
    <n v="0"/>
    <n v="0"/>
    <n v="0.72"/>
    <n v="0"/>
    <n v="5"/>
    <n v="19.98"/>
    <n v="0.95"/>
    <n v="19.03"/>
    <n v="1"/>
  </r>
  <r>
    <s v="2021-06-10"/>
    <s v="Vancouver"/>
    <s v="加拿大二店"/>
    <x v="1"/>
    <x v="8"/>
    <x v="105"/>
    <x v="101"/>
    <x v="109"/>
    <s v="整份"/>
    <n v="4.95"/>
    <s v="份"/>
    <n v="7"/>
    <n v="34.65"/>
    <n v="0"/>
    <n v="0"/>
    <n v="0"/>
    <n v="0"/>
    <n v="0"/>
    <n v="0"/>
    <n v="0"/>
    <n v="0"/>
    <n v="0.99"/>
    <n v="0"/>
    <n v="7"/>
    <n v="35.34"/>
    <n v="1.68"/>
    <n v="33.66"/>
    <n v="1"/>
  </r>
  <r>
    <s v="2021-06-10"/>
    <s v="Vancouver"/>
    <s v="加拿大二店"/>
    <x v="4"/>
    <x v="9"/>
    <x v="106"/>
    <x v="0"/>
    <x v="110"/>
    <s v="拼锅"/>
    <n v="11.95"/>
    <s v="锅"/>
    <n v="9"/>
    <n v="107.55"/>
    <n v="0"/>
    <n v="0"/>
    <n v="0"/>
    <n v="0"/>
    <n v="0"/>
    <n v="0"/>
    <n v="0"/>
    <n v="-0.01"/>
    <n v="0"/>
    <n v="0"/>
    <n v="9"/>
    <n v="112.93"/>
    <n v="5.37"/>
    <n v="107.56"/>
    <n v="2"/>
  </r>
  <r>
    <s v="2021-06-10"/>
    <s v="Vancouver"/>
    <s v="加拿大二店"/>
    <x v="4"/>
    <x v="10"/>
    <x v="106"/>
    <x v="0"/>
    <x v="110"/>
    <s v="四宫格"/>
    <n v="5.95"/>
    <s v="锅"/>
    <n v="4"/>
    <n v="23.8"/>
    <n v="0"/>
    <n v="0"/>
    <n v="0"/>
    <n v="0"/>
    <n v="0"/>
    <n v="0"/>
    <n v="0"/>
    <n v="-0.01"/>
    <n v="2.25"/>
    <n v="0"/>
    <n v="4"/>
    <n v="22.63"/>
    <n v="1.07"/>
    <n v="21.56"/>
    <n v="1"/>
  </r>
  <r>
    <s v="2021-06-10"/>
    <s v="Vancouver"/>
    <s v="加拿大二店"/>
    <x v="4"/>
    <x v="9"/>
    <x v="107"/>
    <x v="0"/>
    <x v="111"/>
    <s v="拼锅"/>
    <n v="11.95"/>
    <s v="锅"/>
    <n v="2"/>
    <n v="23.9"/>
    <n v="0"/>
    <n v="0"/>
    <n v="0"/>
    <n v="0"/>
    <n v="1"/>
    <n v="11.95"/>
    <n v="0"/>
    <n v="0"/>
    <n v="0"/>
    <n v="0"/>
    <n v="1"/>
    <n v="12.54"/>
    <n v="0.59"/>
    <n v="11.95"/>
    <n v="2"/>
  </r>
  <r>
    <s v="2021-06-10"/>
    <s v="Vancouver"/>
    <s v="加拿大二店"/>
    <x v="4"/>
    <x v="10"/>
    <x v="107"/>
    <x v="0"/>
    <x v="111"/>
    <s v="四宫格"/>
    <n v="5.95"/>
    <s v="锅"/>
    <n v="6"/>
    <n v="35.7"/>
    <n v="0"/>
    <n v="0"/>
    <n v="0"/>
    <n v="0"/>
    <n v="0"/>
    <n v="0"/>
    <n v="0"/>
    <n v="0"/>
    <n v="0"/>
    <n v="0"/>
    <n v="6"/>
    <n v="37.48"/>
    <n v="1.78"/>
    <n v="35.7"/>
    <n v="1"/>
  </r>
  <r>
    <s v="2021-06-11"/>
    <s v="Vancouver"/>
    <s v="加拿大二店"/>
    <x v="0"/>
    <x v="0"/>
    <x v="0"/>
    <x v="0"/>
    <x v="0"/>
    <s v="套餐"/>
    <n v="139.95"/>
    <s v="套餐"/>
    <n v="1"/>
    <n v="139.95"/>
    <n v="0"/>
    <n v="0"/>
    <n v="0"/>
    <n v="0"/>
    <n v="0"/>
    <n v="0"/>
    <n v="0"/>
    <n v="0.02"/>
    <n v="0"/>
    <n v="0"/>
    <n v="1"/>
    <n v="148.32"/>
    <n v="8.39"/>
    <n v="139.93"/>
    <n v="1"/>
  </r>
  <r>
    <s v="2021-06-11"/>
    <s v="Vancouver"/>
    <s v="加拿大二店"/>
    <x v="1"/>
    <x v="1"/>
    <x v="1"/>
    <x v="1"/>
    <x v="1"/>
    <s v="整份"/>
    <n v="16.95"/>
    <s v="份"/>
    <n v="11"/>
    <n v="186.45"/>
    <n v="1"/>
    <n v="16.95"/>
    <n v="0"/>
    <n v="0"/>
    <n v="0"/>
    <n v="0"/>
    <n v="0"/>
    <n v="0.01"/>
    <n v="3.39"/>
    <n v="0"/>
    <n v="10"/>
    <n v="174.4"/>
    <n v="8.3"/>
    <n v="166.1"/>
    <n v="1"/>
  </r>
  <r>
    <s v="2021-06-11"/>
    <s v="Vancouver"/>
    <s v="加拿大二店"/>
    <x v="2"/>
    <x v="19"/>
    <x v="132"/>
    <x v="126"/>
    <x v="137"/>
    <s v="瓶"/>
    <n v="15.95"/>
    <s v="瓶"/>
    <n v="1"/>
    <n v="15.95"/>
    <n v="0"/>
    <n v="0"/>
    <n v="0"/>
    <n v="0"/>
    <n v="0"/>
    <n v="0"/>
    <n v="0"/>
    <n v="0.01"/>
    <n v="0"/>
    <n v="0"/>
    <n v="1"/>
    <n v="18.33"/>
    <n v="2.39"/>
    <n v="15.94"/>
    <n v="1"/>
  </r>
  <r>
    <s v="2021-06-11"/>
    <s v="Vancouver"/>
    <s v="加拿大二店"/>
    <x v="1"/>
    <x v="1"/>
    <x v="2"/>
    <x v="2"/>
    <x v="2"/>
    <s v="整份"/>
    <n v="25.95"/>
    <s v="份"/>
    <n v="21"/>
    <n v="544.95"/>
    <n v="0"/>
    <n v="0"/>
    <n v="0"/>
    <n v="0"/>
    <n v="1"/>
    <n v="25.95"/>
    <n v="0"/>
    <n v="0"/>
    <n v="18.16"/>
    <n v="0"/>
    <n v="20"/>
    <n v="525.88"/>
    <n v="25.04"/>
    <n v="500.84"/>
    <n v="1"/>
  </r>
  <r>
    <s v="2021-06-11"/>
    <s v="Vancouver"/>
    <s v="加拿大二店"/>
    <x v="2"/>
    <x v="2"/>
    <x v="3"/>
    <x v="3"/>
    <x v="3"/>
    <s v="杯"/>
    <n v="6.95"/>
    <s v="杯"/>
    <n v="5"/>
    <n v="34.75"/>
    <n v="0"/>
    <n v="0"/>
    <n v="0"/>
    <n v="0"/>
    <n v="0"/>
    <n v="0"/>
    <n v="0"/>
    <n v="0.01"/>
    <n v="0"/>
    <n v="0"/>
    <n v="5"/>
    <n v="39.95"/>
    <n v="5.21"/>
    <n v="34.74"/>
    <n v="1"/>
  </r>
  <r>
    <s v="2021-06-11"/>
    <s v="Vancouver"/>
    <s v="加拿大二店"/>
    <x v="2"/>
    <x v="2"/>
    <x v="5"/>
    <x v="5"/>
    <x v="5"/>
    <s v="杯"/>
    <n v="6.95"/>
    <s v="杯"/>
    <n v="2"/>
    <n v="13.9"/>
    <n v="0"/>
    <n v="0"/>
    <n v="0"/>
    <n v="0"/>
    <n v="0"/>
    <n v="0"/>
    <n v="0"/>
    <n v="0"/>
    <n v="0"/>
    <n v="0"/>
    <n v="2"/>
    <n v="15.98"/>
    <n v="2.08"/>
    <n v="13.9"/>
    <n v="1"/>
  </r>
  <r>
    <s v="2021-06-11"/>
    <s v="Vancouver"/>
    <s v="加拿大二店"/>
    <x v="1"/>
    <x v="3"/>
    <x v="6"/>
    <x v="6"/>
    <x v="6"/>
    <s v="整份"/>
    <n v="7.95"/>
    <s v="份"/>
    <n v="11"/>
    <n v="87.45"/>
    <n v="0"/>
    <n v="0"/>
    <n v="0"/>
    <n v="0"/>
    <n v="0"/>
    <n v="0"/>
    <n v="0"/>
    <n v="0"/>
    <n v="1.59"/>
    <n v="0"/>
    <n v="11"/>
    <n v="90.15"/>
    <n v="4.29"/>
    <n v="85.86"/>
    <n v="1"/>
  </r>
  <r>
    <s v="2021-06-11"/>
    <s v="Vancouver"/>
    <s v="加拿大二店"/>
    <x v="0"/>
    <x v="0"/>
    <x v="124"/>
    <x v="0"/>
    <x v="128"/>
    <s v="套餐"/>
    <n v="59.95"/>
    <s v="套餐"/>
    <n v="2"/>
    <n v="119.9"/>
    <n v="0"/>
    <n v="0"/>
    <n v="0"/>
    <n v="0"/>
    <n v="0"/>
    <n v="0"/>
    <n v="0"/>
    <n v="0.01"/>
    <n v="0"/>
    <n v="0"/>
    <n v="2"/>
    <n v="127.08"/>
    <n v="7.19"/>
    <n v="119.89"/>
    <n v="1"/>
  </r>
  <r>
    <s v="2021-06-11"/>
    <s v="Vancouver"/>
    <s v="加拿大二店"/>
    <x v="2"/>
    <x v="19"/>
    <x v="108"/>
    <x v="102"/>
    <x v="112"/>
    <s v="小瓶"/>
    <n v="15.95"/>
    <s v="小瓶"/>
    <n v="3"/>
    <n v="47.85"/>
    <n v="0"/>
    <n v="0"/>
    <n v="0"/>
    <n v="0"/>
    <n v="0"/>
    <n v="0"/>
    <n v="0"/>
    <n v="-0.02"/>
    <n v="0"/>
    <n v="0"/>
    <n v="3"/>
    <n v="55.05"/>
    <n v="7.18"/>
    <n v="47.87"/>
    <n v="1"/>
  </r>
  <r>
    <s v="2021-06-11"/>
    <s v="Vancouver"/>
    <s v="加拿大二店"/>
    <x v="3"/>
    <x v="5"/>
    <x v="8"/>
    <x v="8"/>
    <x v="8"/>
    <s v="整份"/>
    <n v="3.95"/>
    <s v="份"/>
    <n v="9"/>
    <n v="35.55"/>
    <n v="0"/>
    <n v="0"/>
    <n v="0"/>
    <n v="0"/>
    <n v="0"/>
    <n v="0"/>
    <n v="0"/>
    <n v="0"/>
    <n v="0.79"/>
    <n v="0"/>
    <n v="9"/>
    <n v="36.49"/>
    <n v="1.73"/>
    <n v="34.76"/>
    <n v="1"/>
  </r>
  <r>
    <s v="2021-06-11"/>
    <s v="Vancouver"/>
    <s v="加拿大二店"/>
    <x v="2"/>
    <x v="4"/>
    <x v="10"/>
    <x v="10"/>
    <x v="10"/>
    <s v="半份"/>
    <n v="6.95"/>
    <s v="扎"/>
    <n v="4"/>
    <n v="27.8"/>
    <n v="0"/>
    <n v="0"/>
    <n v="0"/>
    <n v="0"/>
    <n v="1"/>
    <n v="6.95"/>
    <n v="0"/>
    <n v="0"/>
    <n v="1.88"/>
    <n v="0"/>
    <n v="3"/>
    <n v="21.24"/>
    <n v="2.27"/>
    <n v="18.97"/>
    <n v="0.5"/>
  </r>
  <r>
    <s v="2021-06-11"/>
    <s v="Vancouver"/>
    <s v="加拿大二店"/>
    <x v="2"/>
    <x v="4"/>
    <x v="10"/>
    <x v="11"/>
    <x v="11"/>
    <s v="整份"/>
    <n v="9.95"/>
    <s v="扎"/>
    <n v="7"/>
    <n v="69.65"/>
    <n v="0"/>
    <n v="0"/>
    <n v="0"/>
    <n v="0"/>
    <n v="0"/>
    <n v="0"/>
    <n v="0"/>
    <n v="0"/>
    <n v="0"/>
    <n v="0"/>
    <n v="7"/>
    <n v="78"/>
    <n v="8.35"/>
    <n v="69.65"/>
    <n v="1"/>
  </r>
  <r>
    <s v="2021-06-11"/>
    <s v="Vancouver"/>
    <s v="加拿大二店"/>
    <x v="1"/>
    <x v="6"/>
    <x v="11"/>
    <x v="12"/>
    <x v="12"/>
    <s v="整份"/>
    <n v="8.95"/>
    <s v="份"/>
    <n v="3"/>
    <n v="26.85"/>
    <n v="0"/>
    <n v="0"/>
    <n v="0"/>
    <n v="0"/>
    <n v="1"/>
    <n v="8.95"/>
    <n v="0"/>
    <n v="0"/>
    <n v="0"/>
    <n v="0"/>
    <n v="2"/>
    <n v="18.79"/>
    <n v="0.89"/>
    <n v="17.9"/>
    <n v="1"/>
  </r>
  <r>
    <s v="2021-06-11"/>
    <s v="Vancouver"/>
    <s v="加拿大二店"/>
    <x v="1"/>
    <x v="6"/>
    <x v="12"/>
    <x v="13"/>
    <x v="13"/>
    <s v="整份"/>
    <n v="16.95"/>
    <s v="份"/>
    <n v="1"/>
    <n v="16.95"/>
    <n v="0"/>
    <n v="0"/>
    <n v="0"/>
    <n v="0"/>
    <n v="0"/>
    <n v="0"/>
    <n v="0"/>
    <n v="0"/>
    <n v="0"/>
    <n v="0"/>
    <n v="1"/>
    <n v="17.79"/>
    <n v="0.84"/>
    <n v="16.95"/>
    <n v="1"/>
  </r>
  <r>
    <s v="2021-06-11"/>
    <s v="Vancouver"/>
    <s v="加拿大二店"/>
    <x v="1"/>
    <x v="6"/>
    <x v="13"/>
    <x v="14"/>
    <x v="14"/>
    <s v="整份"/>
    <n v="21.95"/>
    <s v="份"/>
    <n v="4"/>
    <n v="87.8"/>
    <n v="0"/>
    <n v="0"/>
    <n v="0"/>
    <n v="0"/>
    <n v="0"/>
    <n v="0"/>
    <n v="0"/>
    <n v="0"/>
    <n v="4.39"/>
    <n v="0"/>
    <n v="4"/>
    <n v="87.58"/>
    <n v="4.17"/>
    <n v="83.41"/>
    <n v="1"/>
  </r>
  <r>
    <s v="2021-06-11"/>
    <s v="Vancouver"/>
    <s v="加拿大二店"/>
    <x v="1"/>
    <x v="6"/>
    <x v="14"/>
    <x v="15"/>
    <x v="15"/>
    <s v="整份"/>
    <n v="29.95"/>
    <s v="份"/>
    <n v="2"/>
    <n v="59.9"/>
    <n v="0"/>
    <n v="0"/>
    <n v="0"/>
    <n v="0"/>
    <n v="0"/>
    <n v="0"/>
    <n v="0"/>
    <n v="0"/>
    <n v="5.99"/>
    <n v="0"/>
    <n v="2"/>
    <n v="56.6"/>
    <n v="2.69"/>
    <n v="53.91"/>
    <n v="1"/>
  </r>
  <r>
    <s v="2021-06-11"/>
    <s v="Vancouver"/>
    <s v="加拿大二店"/>
    <x v="1"/>
    <x v="6"/>
    <x v="121"/>
    <x v="115"/>
    <x v="125"/>
    <s v="整份"/>
    <n v="12.95"/>
    <s v="份"/>
    <n v="2"/>
    <n v="25.9"/>
    <n v="0"/>
    <n v="0"/>
    <n v="0"/>
    <n v="0"/>
    <n v="0"/>
    <n v="0"/>
    <n v="0"/>
    <n v="0"/>
    <n v="0"/>
    <n v="0"/>
    <n v="2"/>
    <n v="27.19"/>
    <n v="1.29"/>
    <n v="25.9"/>
    <n v="1"/>
  </r>
  <r>
    <s v="2021-06-11"/>
    <s v="Vancouver"/>
    <s v="加拿大二店"/>
    <x v="1"/>
    <x v="6"/>
    <x v="15"/>
    <x v="16"/>
    <x v="16"/>
    <s v="整份"/>
    <n v="8.95"/>
    <s v="份"/>
    <n v="5"/>
    <n v="44.75"/>
    <n v="0"/>
    <n v="0"/>
    <n v="0"/>
    <n v="0"/>
    <n v="0"/>
    <n v="0"/>
    <n v="0"/>
    <n v="0"/>
    <n v="0"/>
    <n v="0"/>
    <n v="5"/>
    <n v="46.98"/>
    <n v="2.23"/>
    <n v="44.75"/>
    <n v="1"/>
  </r>
  <r>
    <s v="2021-06-11"/>
    <s v="Vancouver"/>
    <s v="加拿大二店"/>
    <x v="1"/>
    <x v="6"/>
    <x v="111"/>
    <x v="105"/>
    <x v="115"/>
    <s v="整份"/>
    <n v="8.95"/>
    <s v="份"/>
    <n v="1"/>
    <n v="8.95"/>
    <n v="0"/>
    <n v="0"/>
    <n v="0"/>
    <n v="0"/>
    <n v="0"/>
    <n v="0"/>
    <n v="0"/>
    <n v="0"/>
    <n v="0"/>
    <n v="0"/>
    <n v="1"/>
    <n v="9.39"/>
    <n v="0.44"/>
    <n v="8.95"/>
    <n v="1"/>
  </r>
  <r>
    <s v="2021-06-11"/>
    <s v="Vancouver"/>
    <s v="加拿大二店"/>
    <x v="3"/>
    <x v="7"/>
    <x v="16"/>
    <x v="17"/>
    <x v="17"/>
    <s v="整份"/>
    <n v="4.95"/>
    <s v="份"/>
    <n v="16"/>
    <n v="79.2"/>
    <n v="0"/>
    <n v="0"/>
    <n v="0"/>
    <n v="0"/>
    <n v="0"/>
    <n v="0"/>
    <n v="0"/>
    <n v="0"/>
    <n v="3.32"/>
    <n v="0"/>
    <n v="16"/>
    <n v="79.67"/>
    <n v="3.79"/>
    <n v="75.88"/>
    <n v="1"/>
  </r>
  <r>
    <s v="2021-06-11"/>
    <s v="Vancouver"/>
    <s v="加拿大二店"/>
    <x v="2"/>
    <x v="4"/>
    <x v="17"/>
    <x v="18"/>
    <x v="18"/>
    <s v="冰镇"/>
    <n v="2.95"/>
    <s v="瓶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11"/>
    <s v="Vancouver"/>
    <s v="加拿大二店"/>
    <x v="2"/>
    <x v="2"/>
    <x v="127"/>
    <x v="121"/>
    <x v="132"/>
    <s v="冰镇"/>
    <n v="4.95"/>
    <s v="瓶"/>
    <n v="3"/>
    <n v="14.85"/>
    <n v="0"/>
    <n v="0"/>
    <n v="0"/>
    <n v="0"/>
    <n v="0"/>
    <n v="0"/>
    <n v="0"/>
    <n v="0"/>
    <n v="0"/>
    <n v="0"/>
    <n v="3"/>
    <n v="17.07"/>
    <n v="2.22"/>
    <n v="14.85"/>
    <n v="1"/>
  </r>
  <r>
    <s v="2021-06-11"/>
    <s v="Vancouver"/>
    <s v="加拿大二店"/>
    <x v="2"/>
    <x v="4"/>
    <x v="18"/>
    <x v="19"/>
    <x v="19"/>
    <s v="冰镇"/>
    <n v="2.95"/>
    <s v="听"/>
    <n v="3"/>
    <n v="8.85"/>
    <n v="0"/>
    <n v="0"/>
    <n v="0"/>
    <n v="0"/>
    <n v="0"/>
    <n v="0"/>
    <n v="0"/>
    <n v="0"/>
    <n v="0"/>
    <n v="0"/>
    <n v="3"/>
    <n v="9.91"/>
    <n v="1.06"/>
    <n v="8.85"/>
    <n v="1"/>
  </r>
  <r>
    <s v="2021-06-11"/>
    <s v="Vancouver"/>
    <s v="加拿大二店"/>
    <x v="1"/>
    <x v="8"/>
    <x v="19"/>
    <x v="20"/>
    <x v="20"/>
    <s v="整份"/>
    <n v="5.95"/>
    <s v="份"/>
    <n v="13"/>
    <n v="77.35"/>
    <n v="0"/>
    <n v="0"/>
    <n v="0"/>
    <n v="0"/>
    <n v="1"/>
    <n v="5.95"/>
    <n v="0"/>
    <n v="0"/>
    <n v="0.42"/>
    <n v="0"/>
    <n v="12"/>
    <n v="74.52"/>
    <n v="3.54"/>
    <n v="70.98"/>
    <n v="1"/>
  </r>
  <r>
    <s v="2021-06-11"/>
    <s v="Vancouver"/>
    <s v="加拿大二店"/>
    <x v="1"/>
    <x v="8"/>
    <x v="20"/>
    <x v="21"/>
    <x v="21"/>
    <s v="整份"/>
    <n v="7.95"/>
    <s v="份"/>
    <n v="7"/>
    <n v="55.65"/>
    <n v="0"/>
    <n v="0"/>
    <n v="0"/>
    <n v="0"/>
    <n v="0"/>
    <n v="0"/>
    <n v="0"/>
    <n v="0"/>
    <n v="3.18"/>
    <n v="0"/>
    <n v="7"/>
    <n v="55.09"/>
    <n v="2.62"/>
    <n v="52.47"/>
    <n v="1"/>
  </r>
  <r>
    <s v="2021-06-11"/>
    <s v="Vancouver"/>
    <s v="加拿大二店"/>
    <x v="2"/>
    <x v="4"/>
    <x v="21"/>
    <x v="22"/>
    <x v="22"/>
    <s v="冰镇"/>
    <n v="2.45"/>
    <s v="听"/>
    <n v="4"/>
    <n v="9.8"/>
    <n v="0"/>
    <n v="0"/>
    <n v="0"/>
    <n v="0"/>
    <n v="0"/>
    <n v="0"/>
    <n v="0"/>
    <n v="0"/>
    <n v="0"/>
    <n v="0"/>
    <n v="4"/>
    <n v="10.97"/>
    <n v="1.17"/>
    <n v="9.8"/>
    <n v="1"/>
  </r>
  <r>
    <s v="2021-06-11"/>
    <s v="Vancouver"/>
    <s v="加拿大二店"/>
    <x v="4"/>
    <x v="9"/>
    <x v="22"/>
    <x v="0"/>
    <x v="23"/>
    <s v="拼锅"/>
    <n v="11.95"/>
    <s v="锅"/>
    <n v="3"/>
    <n v="35.85"/>
    <n v="0"/>
    <n v="0"/>
    <n v="0"/>
    <n v="0"/>
    <n v="0"/>
    <n v="0"/>
    <n v="0"/>
    <n v="0"/>
    <n v="0"/>
    <n v="0"/>
    <n v="3"/>
    <n v="38"/>
    <n v="2.15"/>
    <n v="35.85"/>
    <n v="2"/>
  </r>
  <r>
    <s v="2021-06-11"/>
    <s v="Vancouver"/>
    <s v="加拿大二店"/>
    <x v="4"/>
    <x v="10"/>
    <x v="22"/>
    <x v="0"/>
    <x v="23"/>
    <s v="四宫格"/>
    <n v="5.95"/>
    <s v="锅"/>
    <n v="2"/>
    <n v="11.9"/>
    <n v="0"/>
    <n v="0"/>
    <n v="0"/>
    <n v="0"/>
    <n v="0"/>
    <n v="0"/>
    <n v="0"/>
    <n v="0"/>
    <n v="0"/>
    <n v="0"/>
    <n v="2"/>
    <n v="12.61"/>
    <n v="0.71"/>
    <n v="11.9"/>
    <n v="1"/>
  </r>
  <r>
    <s v="2021-06-11"/>
    <s v="Vancouver"/>
    <s v="加拿大二店"/>
    <x v="3"/>
    <x v="7"/>
    <x v="23"/>
    <x v="23"/>
    <x v="24"/>
    <s v="整份"/>
    <n v="4.95"/>
    <s v="份"/>
    <n v="17"/>
    <n v="84.15"/>
    <n v="0"/>
    <n v="0"/>
    <n v="0"/>
    <n v="0"/>
    <n v="1"/>
    <n v="4.95"/>
    <n v="0"/>
    <n v="0"/>
    <n v="2.97"/>
    <n v="0"/>
    <n v="16"/>
    <n v="80.04"/>
    <n v="3.81"/>
    <n v="76.23"/>
    <n v="1"/>
  </r>
  <r>
    <s v="2021-06-11"/>
    <s v="Vancouver"/>
    <s v="加拿大二店"/>
    <x v="3"/>
    <x v="11"/>
    <x v="24"/>
    <x v="118"/>
    <x v="129"/>
    <s v="整份"/>
    <n v="5.95"/>
    <s v="份"/>
    <n v="1"/>
    <n v="5.95"/>
    <n v="0"/>
    <n v="0"/>
    <n v="0"/>
    <n v="0"/>
    <n v="0"/>
    <n v="0"/>
    <n v="0"/>
    <n v="0"/>
    <n v="0"/>
    <n v="0"/>
    <n v="1"/>
    <n v="6.24"/>
    <n v="0.29"/>
    <n v="5.95"/>
    <n v="1"/>
  </r>
  <r>
    <s v="2021-06-11"/>
    <s v="Vancouver"/>
    <s v="加拿大二店"/>
    <x v="3"/>
    <x v="11"/>
    <x v="24"/>
    <x v="24"/>
    <x v="25"/>
    <s v="半份"/>
    <n v="2.95"/>
    <s v="份"/>
    <n v="5"/>
    <n v="14.75"/>
    <n v="0"/>
    <n v="0"/>
    <n v="0"/>
    <n v="0"/>
    <n v="0"/>
    <n v="0"/>
    <n v="0"/>
    <n v="0"/>
    <n v="0.59"/>
    <n v="0"/>
    <n v="5"/>
    <n v="14.86"/>
    <n v="0.7"/>
    <n v="14.16"/>
    <n v="0.5"/>
  </r>
  <r>
    <s v="2021-06-11"/>
    <s v="Vancouver"/>
    <s v="加拿大二店"/>
    <x v="3"/>
    <x v="5"/>
    <x v="25"/>
    <x v="25"/>
    <x v="26"/>
    <s v="整份"/>
    <n v="3.95"/>
    <s v="份"/>
    <n v="10"/>
    <n v="39.5"/>
    <n v="0"/>
    <n v="0"/>
    <n v="0"/>
    <n v="0"/>
    <n v="2"/>
    <n v="7.9"/>
    <n v="0"/>
    <n v="0"/>
    <n v="0.79"/>
    <n v="0"/>
    <n v="8"/>
    <n v="32.35"/>
    <n v="1.54"/>
    <n v="30.81"/>
    <n v="1"/>
  </r>
  <r>
    <s v="2021-06-11"/>
    <s v="Vancouver"/>
    <s v="加拿大二店"/>
    <x v="3"/>
    <x v="11"/>
    <x v="26"/>
    <x v="26"/>
    <x v="27"/>
    <s v="整份"/>
    <n v="4.95"/>
    <s v="份"/>
    <n v="21"/>
    <n v="103.95"/>
    <n v="0"/>
    <n v="0"/>
    <n v="0"/>
    <n v="0"/>
    <n v="2"/>
    <n v="9.9"/>
    <n v="0"/>
    <n v="0"/>
    <n v="2.33"/>
    <n v="0"/>
    <n v="19"/>
    <n v="96.3"/>
    <n v="4.58"/>
    <n v="91.72"/>
    <n v="1"/>
  </r>
  <r>
    <s v="2021-06-11"/>
    <s v="Vancouver"/>
    <s v="加拿大二店"/>
    <x v="3"/>
    <x v="11"/>
    <x v="26"/>
    <x v="27"/>
    <x v="28"/>
    <s v="半份"/>
    <n v="2.45"/>
    <s v="份"/>
    <n v="17"/>
    <n v="41.65"/>
    <n v="0"/>
    <n v="0"/>
    <n v="0"/>
    <n v="0"/>
    <n v="0"/>
    <n v="0"/>
    <n v="0"/>
    <n v="0"/>
    <n v="2.37"/>
    <n v="0"/>
    <n v="17"/>
    <n v="41.24"/>
    <n v="1.96"/>
    <n v="39.28"/>
    <n v="0.5"/>
  </r>
  <r>
    <s v="2021-06-11"/>
    <s v="Vancouver"/>
    <s v="加拿大二店"/>
    <x v="2"/>
    <x v="4"/>
    <x v="122"/>
    <x v="116"/>
    <x v="126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11"/>
    <s v="Vancouver"/>
    <s v="加拿大二店"/>
    <x v="5"/>
    <x v="12"/>
    <x v="27"/>
    <x v="28"/>
    <x v="29"/>
    <s v="整份"/>
    <n v="7.95"/>
    <s v="份"/>
    <n v="9"/>
    <n v="71.55"/>
    <n v="0"/>
    <n v="0"/>
    <n v="0"/>
    <n v="0"/>
    <n v="1"/>
    <n v="7.95"/>
    <n v="0"/>
    <n v="0"/>
    <n v="6.36"/>
    <n v="0"/>
    <n v="8"/>
    <n v="60.1"/>
    <n v="2.86"/>
    <n v="57.24"/>
    <n v="1"/>
  </r>
  <r>
    <s v="2021-06-11"/>
    <s v="Vancouver"/>
    <s v="加拿大二店"/>
    <x v="3"/>
    <x v="7"/>
    <x v="28"/>
    <x v="29"/>
    <x v="30"/>
    <s v="整份"/>
    <n v="4.95"/>
    <s v="份"/>
    <n v="28"/>
    <n v="138.6"/>
    <n v="0"/>
    <n v="0"/>
    <n v="0"/>
    <n v="0"/>
    <n v="0"/>
    <n v="0"/>
    <n v="0"/>
    <n v="-0.02"/>
    <n v="4.31"/>
    <n v="0"/>
    <n v="28"/>
    <n v="141.02"/>
    <n v="6.71"/>
    <n v="134.31"/>
    <n v="1"/>
  </r>
  <r>
    <s v="2021-06-11"/>
    <s v="Vancouver"/>
    <s v="加拿大二店"/>
    <x v="3"/>
    <x v="5"/>
    <x v="29"/>
    <x v="30"/>
    <x v="31"/>
    <s v="整份"/>
    <n v="3.95"/>
    <s v="份"/>
    <n v="6"/>
    <n v="23.7"/>
    <n v="0"/>
    <n v="0"/>
    <n v="0"/>
    <n v="0"/>
    <n v="0"/>
    <n v="0"/>
    <n v="0"/>
    <n v="0"/>
    <n v="1.58"/>
    <n v="0"/>
    <n v="6"/>
    <n v="23.22"/>
    <n v="1.1"/>
    <n v="22.12"/>
    <n v="1"/>
  </r>
  <r>
    <s v="2021-06-11"/>
    <s v="Vancouver"/>
    <s v="加拿大二店"/>
    <x v="6"/>
    <x v="13"/>
    <x v="30"/>
    <x v="31"/>
    <x v="32"/>
    <s v="整份"/>
    <n v="4.95"/>
    <s v="份"/>
    <n v="6"/>
    <n v="29.7"/>
    <n v="0"/>
    <n v="0"/>
    <n v="0"/>
    <n v="0"/>
    <n v="0"/>
    <n v="0"/>
    <n v="0"/>
    <n v="0"/>
    <n v="0"/>
    <n v="0"/>
    <n v="6"/>
    <n v="31.18"/>
    <n v="1.48"/>
    <n v="29.7"/>
    <n v="1"/>
  </r>
  <r>
    <s v="2021-06-11"/>
    <s v="Vancouver"/>
    <s v="加拿大二店"/>
    <x v="6"/>
    <x v="13"/>
    <x v="31"/>
    <x v="32"/>
    <x v="33"/>
    <s v="整份"/>
    <n v="9.95"/>
    <s v="份"/>
    <n v="6"/>
    <n v="59.7"/>
    <n v="1"/>
    <n v="9.95"/>
    <n v="0"/>
    <n v="0"/>
    <n v="0"/>
    <n v="0"/>
    <n v="0"/>
    <n v="0"/>
    <n v="0"/>
    <n v="0"/>
    <n v="5"/>
    <n v="52.23"/>
    <n v="2.48"/>
    <n v="49.75"/>
    <n v="1"/>
  </r>
  <r>
    <s v="2021-06-11"/>
    <s v="Vancouver"/>
    <s v="加拿大二店"/>
    <x v="5"/>
    <x v="12"/>
    <x v="32"/>
    <x v="33"/>
    <x v="34"/>
    <s v="整份"/>
    <n v="17.85"/>
    <s v="份"/>
    <n v="4"/>
    <n v="71.4"/>
    <n v="0"/>
    <n v="0"/>
    <n v="0"/>
    <n v="0"/>
    <n v="0"/>
    <n v="0"/>
    <n v="0"/>
    <n v="0"/>
    <n v="3.57"/>
    <n v="0"/>
    <n v="4"/>
    <n v="71.22"/>
    <n v="3.39"/>
    <n v="67.83"/>
    <n v="1"/>
  </r>
  <r>
    <s v="2021-06-11"/>
    <s v="Vancouver"/>
    <s v="加拿大二店"/>
    <x v="1"/>
    <x v="3"/>
    <x v="33"/>
    <x v="34"/>
    <x v="35"/>
    <s v="整份"/>
    <n v="11.95"/>
    <s v="份"/>
    <n v="33"/>
    <n v="394.35"/>
    <n v="0"/>
    <n v="0"/>
    <n v="0"/>
    <n v="0"/>
    <n v="1"/>
    <n v="11.95"/>
    <n v="0"/>
    <n v="0"/>
    <n v="14.34"/>
    <n v="0"/>
    <n v="32"/>
    <n v="386.46"/>
    <n v="18.4"/>
    <n v="368.06"/>
    <n v="1"/>
  </r>
  <r>
    <s v="2021-06-11"/>
    <s v="Vancouver"/>
    <s v="加拿大二店"/>
    <x v="5"/>
    <x v="12"/>
    <x v="34"/>
    <x v="35"/>
    <x v="36"/>
    <s v="整份"/>
    <n v="11.95"/>
    <s v="份"/>
    <n v="9"/>
    <n v="107.55"/>
    <n v="0"/>
    <n v="0"/>
    <n v="0"/>
    <n v="0"/>
    <n v="0"/>
    <n v="0"/>
    <n v="0"/>
    <n v="0"/>
    <n v="2.39"/>
    <n v="0"/>
    <n v="9"/>
    <n v="110.41"/>
    <n v="5.25"/>
    <n v="105.16"/>
    <n v="1"/>
  </r>
  <r>
    <s v="2021-06-11"/>
    <s v="Vancouver"/>
    <s v="加拿大二店"/>
    <x v="5"/>
    <x v="12"/>
    <x v="35"/>
    <x v="36"/>
    <x v="37"/>
    <s v="条"/>
    <n v="4.95"/>
    <s v="条"/>
    <n v="21"/>
    <n v="103.95"/>
    <n v="1"/>
    <n v="4.95"/>
    <n v="0"/>
    <n v="0"/>
    <n v="3"/>
    <n v="14.85"/>
    <n v="0"/>
    <n v="0"/>
    <n v="1.34"/>
    <n v="0"/>
    <n v="17"/>
    <n v="86.95"/>
    <n v="4.14"/>
    <n v="82.81"/>
    <n v="1"/>
  </r>
  <r>
    <s v="2021-06-11"/>
    <s v="Vancouver"/>
    <s v="加拿大二店"/>
    <x v="5"/>
    <x v="12"/>
    <x v="36"/>
    <x v="37"/>
    <x v="38"/>
    <s v="整份"/>
    <n v="13.95"/>
    <s v="份"/>
    <n v="14"/>
    <n v="195.3"/>
    <n v="0"/>
    <n v="0"/>
    <n v="0"/>
    <n v="0"/>
    <n v="0"/>
    <n v="0"/>
    <n v="0"/>
    <n v="0"/>
    <n v="11.16"/>
    <n v="0"/>
    <n v="14"/>
    <n v="193.34"/>
    <n v="9.2"/>
    <n v="184.14"/>
    <n v="1"/>
  </r>
  <r>
    <s v="2021-06-11"/>
    <s v="Vancouver"/>
    <s v="加拿大二店"/>
    <x v="5"/>
    <x v="12"/>
    <x v="37"/>
    <x v="38"/>
    <x v="39"/>
    <s v="整份"/>
    <n v="9.95"/>
    <s v="份"/>
    <n v="24"/>
    <n v="238.8"/>
    <n v="0"/>
    <n v="0"/>
    <n v="0"/>
    <n v="0"/>
    <n v="3"/>
    <n v="29.85"/>
    <n v="0"/>
    <n v="0"/>
    <n v="8.96"/>
    <n v="0"/>
    <n v="21"/>
    <n v="209.98"/>
    <n v="9.99"/>
    <n v="199.99"/>
    <n v="1"/>
  </r>
  <r>
    <s v="2021-06-11"/>
    <s v="Vancouver"/>
    <s v="加拿大二店"/>
    <x v="5"/>
    <x v="12"/>
    <x v="38"/>
    <x v="39"/>
    <x v="40"/>
    <s v="整份"/>
    <n v="9.95"/>
    <s v="份"/>
    <n v="7"/>
    <n v="69.65"/>
    <n v="1"/>
    <n v="9.95"/>
    <n v="0"/>
    <n v="0"/>
    <n v="0"/>
    <n v="0"/>
    <n v="0"/>
    <n v="0"/>
    <n v="6.67"/>
    <n v="0"/>
    <n v="6"/>
    <n v="55.68"/>
    <n v="2.65"/>
    <n v="53.03"/>
    <n v="1"/>
  </r>
  <r>
    <s v="2021-06-11"/>
    <s v="Vancouver"/>
    <s v="加拿大二店"/>
    <x v="6"/>
    <x v="13"/>
    <x v="39"/>
    <x v="40"/>
    <x v="41"/>
    <s v="整份"/>
    <n v="8.95"/>
    <s v="份"/>
    <n v="16"/>
    <n v="143.2"/>
    <n v="0"/>
    <n v="0"/>
    <n v="0"/>
    <n v="0"/>
    <n v="0"/>
    <n v="0"/>
    <n v="0"/>
    <n v="0"/>
    <n v="1.79"/>
    <n v="0"/>
    <n v="16"/>
    <n v="148.48"/>
    <n v="7.07"/>
    <n v="141.41"/>
    <n v="1"/>
  </r>
  <r>
    <s v="2021-06-11"/>
    <s v="Vancouver"/>
    <s v="加拿大二店"/>
    <x v="5"/>
    <x v="12"/>
    <x v="40"/>
    <x v="41"/>
    <x v="42"/>
    <s v="整份"/>
    <n v="9.95"/>
    <s v="份"/>
    <n v="12"/>
    <n v="119.4"/>
    <n v="0"/>
    <n v="0"/>
    <n v="0"/>
    <n v="0"/>
    <n v="0"/>
    <n v="0"/>
    <n v="0"/>
    <n v="0"/>
    <n v="6.96"/>
    <n v="0"/>
    <n v="12"/>
    <n v="118.06"/>
    <n v="5.62"/>
    <n v="112.44"/>
    <n v="1"/>
  </r>
  <r>
    <s v="2021-06-11"/>
    <s v="Vancouver"/>
    <s v="加拿大二店"/>
    <x v="5"/>
    <x v="12"/>
    <x v="41"/>
    <x v="42"/>
    <x v="43"/>
    <s v="整份"/>
    <n v="7.95"/>
    <s v="份"/>
    <n v="14"/>
    <n v="111.3"/>
    <n v="0"/>
    <n v="0"/>
    <n v="0"/>
    <n v="0"/>
    <n v="1"/>
    <n v="7.95"/>
    <n v="0"/>
    <n v="0"/>
    <n v="0.56"/>
    <n v="0"/>
    <n v="13"/>
    <n v="107.92"/>
    <n v="5.13"/>
    <n v="102.79"/>
    <n v="1"/>
  </r>
  <r>
    <s v="2021-06-11"/>
    <s v="Vancouver"/>
    <s v="加拿大二店"/>
    <x v="2"/>
    <x v="2"/>
    <x v="42"/>
    <x v="43"/>
    <x v="44"/>
    <s v="冰镇"/>
    <n v="5.95"/>
    <s v="瓶"/>
    <n v="10"/>
    <n v="59.5"/>
    <n v="0"/>
    <n v="0"/>
    <n v="0"/>
    <n v="0"/>
    <n v="0"/>
    <n v="0"/>
    <n v="0"/>
    <n v="0"/>
    <n v="0"/>
    <n v="0"/>
    <n v="10"/>
    <n v="68.42"/>
    <n v="8.92"/>
    <n v="59.5"/>
    <n v="1"/>
  </r>
  <r>
    <s v="2021-06-11"/>
    <s v="Vancouver"/>
    <s v="加拿大二店"/>
    <x v="3"/>
    <x v="5"/>
    <x v="43"/>
    <x v="44"/>
    <x v="45"/>
    <s v="整份"/>
    <n v="3.95"/>
    <s v="份"/>
    <n v="3"/>
    <n v="11.85"/>
    <n v="0"/>
    <n v="0"/>
    <n v="0"/>
    <n v="0"/>
    <n v="0"/>
    <n v="0"/>
    <n v="0"/>
    <n v="0"/>
    <n v="0.79"/>
    <n v="0"/>
    <n v="3"/>
    <n v="11.61"/>
    <n v="0.55"/>
    <n v="11.06"/>
    <n v="1"/>
  </r>
  <r>
    <s v="2021-06-11"/>
    <s v="Vancouver"/>
    <s v="加拿大二店"/>
    <x v="7"/>
    <x v="14"/>
    <x v="44"/>
    <x v="45"/>
    <x v="46"/>
    <s v="整份"/>
    <n v="0"/>
    <s v="份"/>
    <n v="4"/>
    <n v="0"/>
    <n v="0"/>
    <n v="0"/>
    <n v="0"/>
    <n v="0"/>
    <n v="0"/>
    <n v="0"/>
    <n v="0"/>
    <n v="0"/>
    <n v="0"/>
    <n v="0"/>
    <n v="4"/>
    <n v="0"/>
    <n v="0"/>
    <n v="0"/>
    <n v="1"/>
  </r>
  <r>
    <s v="2021-06-11"/>
    <s v="Vancouver"/>
    <s v="加拿大二店"/>
    <x v="7"/>
    <x v="14"/>
    <x v="45"/>
    <x v="46"/>
    <x v="47"/>
    <s v="整份"/>
    <n v="4.97"/>
    <s v="份"/>
    <n v="1"/>
    <n v="4.97"/>
    <n v="0"/>
    <n v="0"/>
    <n v="0"/>
    <n v="0"/>
    <n v="0"/>
    <n v="0"/>
    <n v="0"/>
    <n v="0"/>
    <n v="0"/>
    <n v="0"/>
    <n v="1"/>
    <n v="5.21"/>
    <n v="0.24"/>
    <n v="4.97"/>
    <n v="1"/>
  </r>
  <r>
    <s v="2021-06-11"/>
    <s v="Vancouver"/>
    <s v="加拿大二店"/>
    <x v="7"/>
    <x v="14"/>
    <x v="45"/>
    <x v="46"/>
    <x v="47"/>
    <s v="整份"/>
    <n v="4.99"/>
    <s v="份"/>
    <n v="1"/>
    <n v="4.99"/>
    <n v="0"/>
    <n v="0"/>
    <n v="0"/>
    <n v="0"/>
    <n v="0"/>
    <n v="0"/>
    <n v="0"/>
    <n v="0"/>
    <n v="0"/>
    <n v="0"/>
    <n v="1"/>
    <n v="5.23"/>
    <n v="0.24"/>
    <n v="4.99"/>
    <n v="1"/>
  </r>
  <r>
    <s v="2021-06-11"/>
    <s v="Vancouver"/>
    <s v="加拿大二店"/>
    <x v="7"/>
    <x v="14"/>
    <x v="45"/>
    <x v="46"/>
    <x v="47"/>
    <s v="整份"/>
    <n v="9.99"/>
    <s v="份"/>
    <n v="1"/>
    <n v="9.99"/>
    <n v="0"/>
    <n v="0"/>
    <n v="0"/>
    <n v="0"/>
    <n v="0"/>
    <n v="0"/>
    <n v="0"/>
    <n v="-0.01"/>
    <n v="0"/>
    <n v="0"/>
    <n v="1"/>
    <n v="10.5"/>
    <n v="0.5"/>
    <n v="10"/>
    <n v="1"/>
  </r>
  <r>
    <s v="2021-06-11"/>
    <s v="Vancouver"/>
    <s v="加拿大二店"/>
    <x v="7"/>
    <x v="14"/>
    <x v="45"/>
    <x v="46"/>
    <x v="47"/>
    <s v="整份"/>
    <n v="12.99"/>
    <s v="份"/>
    <n v="5"/>
    <n v="64.95"/>
    <n v="0"/>
    <n v="0"/>
    <n v="0"/>
    <n v="0"/>
    <n v="0"/>
    <n v="0"/>
    <n v="0"/>
    <n v="-0.02"/>
    <n v="7"/>
    <n v="0"/>
    <n v="5"/>
    <n v="60.86"/>
    <n v="2.89"/>
    <n v="57.97"/>
    <n v="1"/>
  </r>
  <r>
    <s v="2021-06-11"/>
    <s v="Vancouver"/>
    <s v="加拿大二店"/>
    <x v="7"/>
    <x v="14"/>
    <x v="45"/>
    <x v="46"/>
    <x v="47"/>
    <s v="整份"/>
    <n v="13.07"/>
    <s v="份"/>
    <n v="1"/>
    <n v="13.07"/>
    <n v="0"/>
    <n v="0"/>
    <n v="0"/>
    <n v="0"/>
    <n v="0"/>
    <n v="0"/>
    <n v="0"/>
    <n v="-0.02"/>
    <n v="0"/>
    <n v="0"/>
    <n v="1"/>
    <n v="13.74"/>
    <n v="0.65"/>
    <n v="13.09"/>
    <n v="1"/>
  </r>
  <r>
    <s v="2021-06-11"/>
    <s v="Vancouver"/>
    <s v="加拿大二店"/>
    <x v="7"/>
    <x v="14"/>
    <x v="45"/>
    <x v="46"/>
    <x v="47"/>
    <s v="整份"/>
    <n v="14.95"/>
    <s v="份"/>
    <n v="1"/>
    <n v="14.95"/>
    <n v="0"/>
    <n v="0"/>
    <n v="0"/>
    <n v="0"/>
    <n v="0"/>
    <n v="0"/>
    <n v="0"/>
    <n v="0"/>
    <n v="0"/>
    <n v="0"/>
    <n v="1"/>
    <n v="15.69"/>
    <n v="0.74"/>
    <n v="14.95"/>
    <n v="1"/>
  </r>
  <r>
    <s v="2021-06-11"/>
    <s v="Vancouver"/>
    <s v="加拿大二店"/>
    <x v="7"/>
    <x v="14"/>
    <x v="45"/>
    <x v="46"/>
    <x v="47"/>
    <s v="整份"/>
    <n v="14.96"/>
    <s v="份"/>
    <n v="1"/>
    <n v="14.96"/>
    <n v="0"/>
    <n v="0"/>
    <n v="0"/>
    <n v="0"/>
    <n v="0"/>
    <n v="0"/>
    <n v="0"/>
    <n v="0.01"/>
    <n v="0"/>
    <n v="0"/>
    <n v="1"/>
    <n v="15.69"/>
    <n v="0.74"/>
    <n v="14.95"/>
    <n v="1"/>
  </r>
  <r>
    <s v="2021-06-11"/>
    <s v="Vancouver"/>
    <s v="加拿大二店"/>
    <x v="7"/>
    <x v="14"/>
    <x v="45"/>
    <x v="46"/>
    <x v="47"/>
    <s v="整份"/>
    <n v="17.16"/>
    <s v="份"/>
    <n v="1"/>
    <n v="17.16"/>
    <n v="0"/>
    <n v="0"/>
    <n v="0"/>
    <n v="0"/>
    <n v="0"/>
    <n v="0"/>
    <n v="0"/>
    <n v="0"/>
    <n v="0"/>
    <n v="0"/>
    <n v="1"/>
    <n v="18.01"/>
    <n v="0.85"/>
    <n v="17.16"/>
    <n v="1"/>
  </r>
  <r>
    <s v="2021-06-11"/>
    <s v="Vancouver"/>
    <s v="加拿大二店"/>
    <x v="7"/>
    <x v="14"/>
    <x v="45"/>
    <x v="46"/>
    <x v="47"/>
    <s v="整份"/>
    <n v="19.16"/>
    <s v="份"/>
    <n v="1"/>
    <n v="19.16"/>
    <n v="0"/>
    <n v="0"/>
    <n v="0"/>
    <n v="0"/>
    <n v="0"/>
    <n v="0"/>
    <n v="0"/>
    <n v="-0.02"/>
    <n v="0"/>
    <n v="0"/>
    <n v="1"/>
    <n v="20.13"/>
    <n v="0.95"/>
    <n v="19.18"/>
    <n v="1"/>
  </r>
  <r>
    <s v="2021-06-11"/>
    <s v="Vancouver"/>
    <s v="加拿大二店"/>
    <x v="7"/>
    <x v="14"/>
    <x v="45"/>
    <x v="46"/>
    <x v="47"/>
    <s v="整份"/>
    <n v="22.28"/>
    <s v="份"/>
    <n v="1"/>
    <n v="22.28"/>
    <n v="0"/>
    <n v="0"/>
    <n v="0"/>
    <n v="0"/>
    <n v="0"/>
    <n v="0"/>
    <n v="0"/>
    <n v="0"/>
    <n v="0"/>
    <n v="0"/>
    <n v="1"/>
    <n v="23.39"/>
    <n v="1.11"/>
    <n v="22.28"/>
    <n v="1"/>
  </r>
  <r>
    <s v="2021-06-11"/>
    <s v="Vancouver"/>
    <s v="加拿大二店"/>
    <x v="7"/>
    <x v="14"/>
    <x v="45"/>
    <x v="46"/>
    <x v="47"/>
    <s v="整份"/>
    <n v="22.63"/>
    <s v="份"/>
    <n v="1"/>
    <n v="22.63"/>
    <n v="0"/>
    <n v="0"/>
    <n v="0"/>
    <n v="0"/>
    <n v="0"/>
    <n v="0"/>
    <n v="0"/>
    <n v="0.02"/>
    <n v="0"/>
    <n v="0"/>
    <n v="1"/>
    <n v="23.74"/>
    <n v="1.13"/>
    <n v="22.61"/>
    <n v="1"/>
  </r>
  <r>
    <s v="2021-06-11"/>
    <s v="Vancouver"/>
    <s v="加拿大二店"/>
    <x v="7"/>
    <x v="14"/>
    <x v="45"/>
    <x v="46"/>
    <x v="47"/>
    <s v="整份"/>
    <n v="23.8"/>
    <s v="份"/>
    <n v="1"/>
    <n v="23.8"/>
    <n v="0"/>
    <n v="0"/>
    <n v="0"/>
    <n v="0"/>
    <n v="0"/>
    <n v="0"/>
    <n v="0"/>
    <n v="0"/>
    <n v="0"/>
    <n v="0"/>
    <n v="1"/>
    <n v="24.99"/>
    <n v="1.19"/>
    <n v="23.8"/>
    <n v="1"/>
  </r>
  <r>
    <s v="2021-06-11"/>
    <s v="Vancouver"/>
    <s v="加拿大二店"/>
    <x v="7"/>
    <x v="14"/>
    <x v="45"/>
    <x v="46"/>
    <x v="47"/>
    <s v="整份"/>
    <n v="26.46"/>
    <s v="份"/>
    <n v="1"/>
    <n v="26.46"/>
    <n v="0"/>
    <n v="0"/>
    <n v="0"/>
    <n v="0"/>
    <n v="0"/>
    <n v="0"/>
    <n v="0"/>
    <n v="0"/>
    <n v="0"/>
    <n v="0"/>
    <n v="1"/>
    <n v="27.78"/>
    <n v="1.32"/>
    <n v="26.46"/>
    <n v="1"/>
  </r>
  <r>
    <s v="2021-06-11"/>
    <s v="Vancouver"/>
    <s v="加拿大二店"/>
    <x v="7"/>
    <x v="14"/>
    <x v="45"/>
    <x v="46"/>
    <x v="47"/>
    <s v="整份"/>
    <n v="26.75"/>
    <s v="份"/>
    <n v="1"/>
    <n v="26.75"/>
    <n v="0"/>
    <n v="0"/>
    <n v="0"/>
    <n v="0"/>
    <n v="0"/>
    <n v="0"/>
    <n v="0"/>
    <n v="0"/>
    <n v="0"/>
    <n v="0"/>
    <n v="1"/>
    <n v="28.08"/>
    <n v="1.33"/>
    <n v="26.75"/>
    <n v="1"/>
  </r>
  <r>
    <s v="2021-06-11"/>
    <s v="Vancouver"/>
    <s v="加拿大二店"/>
    <x v="7"/>
    <x v="14"/>
    <x v="45"/>
    <x v="46"/>
    <x v="47"/>
    <s v="整份"/>
    <n v="28.95"/>
    <s v="份"/>
    <n v="2"/>
    <n v="57.9"/>
    <n v="0"/>
    <n v="0"/>
    <n v="0"/>
    <n v="0"/>
    <n v="0"/>
    <n v="0"/>
    <n v="0"/>
    <n v="-0.02"/>
    <n v="0"/>
    <n v="0"/>
    <n v="2"/>
    <n v="60.81"/>
    <n v="2.89"/>
    <n v="57.92"/>
    <n v="1"/>
  </r>
  <r>
    <s v="2021-06-11"/>
    <s v="Vancouver"/>
    <s v="加拿大二店"/>
    <x v="7"/>
    <x v="14"/>
    <x v="45"/>
    <x v="46"/>
    <x v="47"/>
    <s v="整份"/>
    <n v="31.95"/>
    <s v="份"/>
    <n v="1"/>
    <n v="31.95"/>
    <n v="0"/>
    <n v="0"/>
    <n v="0"/>
    <n v="0"/>
    <n v="0"/>
    <n v="0"/>
    <n v="0"/>
    <n v="0"/>
    <n v="0"/>
    <n v="0"/>
    <n v="1"/>
    <n v="33.54"/>
    <n v="1.59"/>
    <n v="31.95"/>
    <n v="1"/>
  </r>
  <r>
    <s v="2021-06-11"/>
    <s v="Vancouver"/>
    <s v="加拿大二店"/>
    <x v="7"/>
    <x v="14"/>
    <x v="45"/>
    <x v="46"/>
    <x v="47"/>
    <s v="整份"/>
    <n v="37.4"/>
    <s v="份"/>
    <n v="1"/>
    <n v="37.4"/>
    <n v="0"/>
    <n v="0"/>
    <n v="0"/>
    <n v="0"/>
    <n v="0"/>
    <n v="0"/>
    <n v="0"/>
    <n v="-0.01"/>
    <n v="0"/>
    <n v="0"/>
    <n v="1"/>
    <n v="39.28"/>
    <n v="1.87"/>
    <n v="37.41"/>
    <n v="1"/>
  </r>
  <r>
    <s v="2021-06-11"/>
    <s v="Vancouver"/>
    <s v="加拿大二店"/>
    <x v="7"/>
    <x v="14"/>
    <x v="45"/>
    <x v="46"/>
    <x v="47"/>
    <s v="整份"/>
    <n v="47.45"/>
    <s v="份"/>
    <n v="1"/>
    <n v="47.45"/>
    <n v="0"/>
    <n v="0"/>
    <n v="0"/>
    <n v="0"/>
    <n v="0"/>
    <n v="0"/>
    <n v="0"/>
    <n v="0"/>
    <n v="0"/>
    <n v="0"/>
    <n v="1"/>
    <n v="49.82"/>
    <n v="2.37"/>
    <n v="47.45"/>
    <n v="1"/>
  </r>
  <r>
    <s v="2021-06-11"/>
    <s v="Vancouver"/>
    <s v="加拿大二店"/>
    <x v="7"/>
    <x v="14"/>
    <x v="45"/>
    <x v="46"/>
    <x v="47"/>
    <s v="整份"/>
    <n v="54.51"/>
    <s v="份"/>
    <n v="1"/>
    <n v="54.51"/>
    <n v="0"/>
    <n v="0"/>
    <n v="0"/>
    <n v="0"/>
    <n v="0"/>
    <n v="0"/>
    <n v="0"/>
    <n v="0.02"/>
    <n v="0"/>
    <n v="0"/>
    <n v="1"/>
    <n v="57.21"/>
    <n v="2.72"/>
    <n v="54.49"/>
    <n v="1"/>
  </r>
  <r>
    <s v="2021-06-11"/>
    <s v="Vancouver"/>
    <s v="加拿大二店"/>
    <x v="7"/>
    <x v="14"/>
    <x v="45"/>
    <x v="46"/>
    <x v="47"/>
    <s v="整份"/>
    <n v="70.83"/>
    <s v="份"/>
    <n v="1"/>
    <n v="70.83"/>
    <n v="0"/>
    <n v="0"/>
    <n v="0"/>
    <n v="0"/>
    <n v="0"/>
    <n v="0"/>
    <n v="0"/>
    <n v="0.02"/>
    <n v="0"/>
    <n v="0"/>
    <n v="1"/>
    <n v="74.35"/>
    <n v="3.54"/>
    <n v="70.81"/>
    <n v="1"/>
  </r>
  <r>
    <s v="2021-06-11"/>
    <s v="Vancouver"/>
    <s v="加拿大二店"/>
    <x v="7"/>
    <x v="14"/>
    <x v="45"/>
    <x v="46"/>
    <x v="47"/>
    <s v="整份"/>
    <n v="74.93"/>
    <s v="份"/>
    <n v="1"/>
    <n v="74.93"/>
    <n v="0"/>
    <n v="0"/>
    <n v="0"/>
    <n v="0"/>
    <n v="0"/>
    <n v="0"/>
    <n v="0"/>
    <n v="0.02"/>
    <n v="0"/>
    <n v="0"/>
    <n v="1"/>
    <n v="78.65"/>
    <n v="3.74"/>
    <n v="74.91"/>
    <n v="1"/>
  </r>
  <r>
    <s v="2021-06-11"/>
    <s v="Vancouver"/>
    <s v="加拿大二店"/>
    <x v="7"/>
    <x v="14"/>
    <x v="45"/>
    <x v="46"/>
    <x v="47"/>
    <s v="整份"/>
    <n v="128.95"/>
    <s v="份"/>
    <n v="1"/>
    <n v="128.95"/>
    <n v="0"/>
    <n v="0"/>
    <n v="0"/>
    <n v="0"/>
    <n v="0"/>
    <n v="0"/>
    <n v="0"/>
    <n v="-0.02"/>
    <n v="0"/>
    <n v="0"/>
    <n v="1"/>
    <n v="135.41"/>
    <n v="6.44"/>
    <n v="128.97"/>
    <n v="1"/>
  </r>
  <r>
    <s v="2021-06-11"/>
    <s v="Vancouver"/>
    <s v="加拿大二店"/>
    <x v="2"/>
    <x v="4"/>
    <x v="46"/>
    <x v="47"/>
    <x v="48"/>
    <s v="冰镇"/>
    <n v="2.45"/>
    <s v="听"/>
    <n v="2"/>
    <n v="4.9"/>
    <n v="0"/>
    <n v="0"/>
    <n v="0"/>
    <n v="0"/>
    <n v="0"/>
    <n v="0"/>
    <n v="0"/>
    <n v="0"/>
    <n v="0"/>
    <n v="0"/>
    <n v="2"/>
    <n v="5.48"/>
    <n v="0.58"/>
    <n v="4.9"/>
    <n v="1"/>
  </r>
  <r>
    <s v="2021-06-11"/>
    <s v="Vancouver"/>
    <s v="加拿大二店"/>
    <x v="2"/>
    <x v="4"/>
    <x v="47"/>
    <x v="48"/>
    <x v="49"/>
    <s v="常温"/>
    <n v="2.95"/>
    <s v="听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11"/>
    <s v="Vancouver"/>
    <s v="加拿大二店"/>
    <x v="2"/>
    <x v="4"/>
    <x v="47"/>
    <x v="48"/>
    <x v="49"/>
    <s v="冰镇"/>
    <n v="2.95"/>
    <s v="听"/>
    <n v="6"/>
    <n v="17.7"/>
    <n v="0"/>
    <n v="0"/>
    <n v="0"/>
    <n v="0"/>
    <n v="0"/>
    <n v="0"/>
    <n v="0"/>
    <n v="-0.02"/>
    <n v="0"/>
    <n v="0"/>
    <n v="6"/>
    <n v="19.84"/>
    <n v="2.12"/>
    <n v="17.72"/>
    <n v="1"/>
  </r>
  <r>
    <s v="2021-06-11"/>
    <s v="Vancouver"/>
    <s v="加拿大二店"/>
    <x v="6"/>
    <x v="13"/>
    <x v="48"/>
    <x v="49"/>
    <x v="50"/>
    <s v="整份"/>
    <n v="4.95"/>
    <s v="份"/>
    <n v="8"/>
    <n v="39.6"/>
    <n v="0"/>
    <n v="0"/>
    <n v="0"/>
    <n v="0"/>
    <n v="0"/>
    <n v="0"/>
    <n v="0"/>
    <n v="0"/>
    <n v="2.33"/>
    <n v="0"/>
    <n v="8"/>
    <n v="39.13"/>
    <n v="1.86"/>
    <n v="37.27"/>
    <n v="1"/>
  </r>
  <r>
    <s v="2021-06-11"/>
    <s v="Vancouver"/>
    <s v="加拿大二店"/>
    <x v="3"/>
    <x v="7"/>
    <x v="49"/>
    <x v="50"/>
    <x v="51"/>
    <s v="整份"/>
    <n v="4.95"/>
    <s v="份"/>
    <n v="7"/>
    <n v="34.65"/>
    <n v="0"/>
    <n v="0"/>
    <n v="0"/>
    <n v="0"/>
    <n v="0"/>
    <n v="0"/>
    <n v="0"/>
    <n v="0"/>
    <n v="1.98"/>
    <n v="0"/>
    <n v="7"/>
    <n v="34.3"/>
    <n v="1.63"/>
    <n v="32.67"/>
    <n v="1"/>
  </r>
  <r>
    <s v="2021-06-11"/>
    <s v="Vancouver"/>
    <s v="加拿大二店"/>
    <x v="6"/>
    <x v="15"/>
    <x v="50"/>
    <x v="51"/>
    <x v="52"/>
    <s v="份"/>
    <n v="8.95"/>
    <s v="份"/>
    <n v="1"/>
    <n v="8.95"/>
    <n v="0"/>
    <n v="0"/>
    <n v="0"/>
    <n v="0"/>
    <n v="0"/>
    <n v="0"/>
    <n v="0"/>
    <n v="0"/>
    <n v="0"/>
    <n v="0"/>
    <n v="1"/>
    <n v="9.39"/>
    <n v="0.44"/>
    <n v="8.95"/>
    <n v="1"/>
  </r>
  <r>
    <s v="2021-06-11"/>
    <s v="Vancouver"/>
    <s v="加拿大二店"/>
    <x v="3"/>
    <x v="5"/>
    <x v="51"/>
    <x v="52"/>
    <x v="53"/>
    <s v="整份"/>
    <n v="3.95"/>
    <s v="份"/>
    <n v="8"/>
    <n v="31.6"/>
    <n v="0"/>
    <n v="0"/>
    <n v="0"/>
    <n v="0"/>
    <n v="1"/>
    <n v="3.95"/>
    <n v="0"/>
    <n v="0"/>
    <n v="1.86"/>
    <n v="0"/>
    <n v="7"/>
    <n v="27.07"/>
    <n v="1.28"/>
    <n v="25.79"/>
    <n v="1"/>
  </r>
  <r>
    <s v="2021-06-11"/>
    <s v="Vancouver"/>
    <s v="加拿大二店"/>
    <x v="3"/>
    <x v="5"/>
    <x v="52"/>
    <x v="53"/>
    <x v="54"/>
    <s v="整份"/>
    <n v="5.95"/>
    <s v="份"/>
    <n v="4"/>
    <n v="23.8"/>
    <n v="0"/>
    <n v="0"/>
    <n v="0"/>
    <n v="0"/>
    <n v="1"/>
    <n v="5.95"/>
    <n v="0"/>
    <n v="-0.02"/>
    <n v="0"/>
    <n v="0"/>
    <n v="3"/>
    <n v="18.76"/>
    <n v="0.89"/>
    <n v="17.87"/>
    <n v="1"/>
  </r>
  <r>
    <s v="2021-06-11"/>
    <s v="Vancouver"/>
    <s v="加拿大二店"/>
    <x v="4"/>
    <x v="9"/>
    <x v="53"/>
    <x v="0"/>
    <x v="55"/>
    <s v="拼锅"/>
    <n v="0"/>
    <s v="锅"/>
    <n v="10"/>
    <n v="0"/>
    <n v="0"/>
    <n v="0"/>
    <n v="0"/>
    <n v="0"/>
    <n v="0"/>
    <n v="0"/>
    <n v="0"/>
    <n v="-0.02"/>
    <n v="0"/>
    <n v="0"/>
    <n v="10"/>
    <n v="0.02"/>
    <n v="0"/>
    <n v="0.02"/>
    <n v="2"/>
  </r>
  <r>
    <s v="2021-06-11"/>
    <s v="Vancouver"/>
    <s v="加拿大二店"/>
    <x v="4"/>
    <x v="10"/>
    <x v="53"/>
    <x v="0"/>
    <x v="55"/>
    <s v="四宫格"/>
    <n v="0"/>
    <s v="锅"/>
    <n v="13"/>
    <n v="0"/>
    <n v="0"/>
    <n v="0"/>
    <n v="0"/>
    <n v="0"/>
    <n v="0"/>
    <n v="0"/>
    <n v="0"/>
    <n v="0"/>
    <n v="0"/>
    <n v="0"/>
    <n v="13"/>
    <n v="0"/>
    <n v="0"/>
    <n v="0"/>
    <n v="1"/>
  </r>
  <r>
    <s v="2021-06-11"/>
    <s v="Vancouver"/>
    <s v="加拿大二店"/>
    <x v="6"/>
    <x v="13"/>
    <x v="54"/>
    <x v="54"/>
    <x v="56"/>
    <s v="个"/>
    <n v="1.95"/>
    <s v="个"/>
    <n v="4"/>
    <n v="7.8"/>
    <n v="0"/>
    <n v="0"/>
    <n v="0"/>
    <n v="0"/>
    <n v="0"/>
    <n v="0"/>
    <n v="0"/>
    <n v="0"/>
    <n v="0"/>
    <n v="0"/>
    <n v="4"/>
    <n v="8.19"/>
    <n v="0.39"/>
    <n v="7.8"/>
    <n v="1"/>
  </r>
  <r>
    <s v="2021-06-11"/>
    <s v="Vancouver"/>
    <s v="加拿大二店"/>
    <x v="6"/>
    <x v="13"/>
    <x v="114"/>
    <x v="108"/>
    <x v="118"/>
    <s v="整份"/>
    <n v="7.95"/>
    <s v="份"/>
    <n v="5"/>
    <n v="39.75"/>
    <n v="0"/>
    <n v="0"/>
    <n v="0"/>
    <n v="0"/>
    <n v="2"/>
    <n v="15.9"/>
    <n v="0"/>
    <n v="0"/>
    <n v="0"/>
    <n v="0"/>
    <n v="3"/>
    <n v="25.04"/>
    <n v="1.19"/>
    <n v="23.85"/>
    <n v="1"/>
  </r>
  <r>
    <s v="2021-06-11"/>
    <s v="Vancouver"/>
    <s v="加拿大二店"/>
    <x v="1"/>
    <x v="8"/>
    <x v="55"/>
    <x v="55"/>
    <x v="57"/>
    <s v="整份"/>
    <n v="9.95"/>
    <s v="份"/>
    <n v="10"/>
    <n v="99.5"/>
    <n v="0"/>
    <n v="0"/>
    <n v="0"/>
    <n v="0"/>
    <n v="2"/>
    <n v="19.9"/>
    <n v="0"/>
    <n v="0"/>
    <n v="0"/>
    <n v="0"/>
    <n v="8"/>
    <n v="83.58"/>
    <n v="3.98"/>
    <n v="79.6"/>
    <n v="1"/>
  </r>
  <r>
    <s v="2021-06-11"/>
    <s v="Vancouver"/>
    <s v="加拿大二店"/>
    <x v="1"/>
    <x v="1"/>
    <x v="56"/>
    <x v="56"/>
    <x v="58"/>
    <s v="整份"/>
    <n v="12.95"/>
    <s v="份"/>
    <n v="14"/>
    <n v="181.3"/>
    <n v="0"/>
    <n v="0"/>
    <n v="0"/>
    <n v="0"/>
    <n v="0"/>
    <n v="0"/>
    <n v="0"/>
    <n v="0"/>
    <n v="15.15"/>
    <n v="0"/>
    <n v="14"/>
    <n v="174.45"/>
    <n v="8.3"/>
    <n v="166.15"/>
    <n v="1"/>
  </r>
  <r>
    <s v="2021-06-11"/>
    <s v="Vancouver"/>
    <s v="加拿大二店"/>
    <x v="1"/>
    <x v="1"/>
    <x v="57"/>
    <x v="57"/>
    <x v="59"/>
    <s v="整份"/>
    <n v="11.95"/>
    <s v="份"/>
    <n v="56"/>
    <n v="669.2"/>
    <n v="1"/>
    <n v="11.95"/>
    <n v="0"/>
    <n v="0"/>
    <n v="2"/>
    <n v="23.9"/>
    <n v="0"/>
    <n v="0"/>
    <n v="14.34"/>
    <n v="0"/>
    <n v="53"/>
    <n v="649.96"/>
    <n v="30.95"/>
    <n v="619.01"/>
    <n v="1"/>
  </r>
  <r>
    <s v="2021-06-11"/>
    <s v="Vancouver"/>
    <s v="加拿大二店"/>
    <x v="4"/>
    <x v="9"/>
    <x v="58"/>
    <x v="0"/>
    <x v="60"/>
    <s v="拼锅"/>
    <n v="8.95"/>
    <s v="锅"/>
    <n v="27"/>
    <n v="241.65"/>
    <n v="0"/>
    <n v="0"/>
    <n v="0"/>
    <n v="0"/>
    <n v="0"/>
    <n v="0"/>
    <n v="0"/>
    <n v="-0.05"/>
    <n v="2.4"/>
    <n v="0"/>
    <n v="27"/>
    <n v="251.26"/>
    <n v="11.96"/>
    <n v="239.3"/>
    <n v="2"/>
  </r>
  <r>
    <s v="2021-06-11"/>
    <s v="Vancouver"/>
    <s v="加拿大二店"/>
    <x v="4"/>
    <x v="10"/>
    <x v="58"/>
    <x v="0"/>
    <x v="60"/>
    <s v="四宫格"/>
    <n v="4.95"/>
    <s v="锅"/>
    <n v="7"/>
    <n v="34.65"/>
    <n v="0"/>
    <n v="0"/>
    <n v="0"/>
    <n v="0"/>
    <n v="0"/>
    <n v="0"/>
    <n v="0"/>
    <n v="0"/>
    <n v="0.35"/>
    <n v="0"/>
    <n v="7"/>
    <n v="36.01"/>
    <n v="1.71"/>
    <n v="34.3"/>
    <n v="1"/>
  </r>
  <r>
    <s v="2021-06-11"/>
    <s v="Vancouver"/>
    <s v="加拿大二店"/>
    <x v="3"/>
    <x v="5"/>
    <x v="59"/>
    <x v="58"/>
    <x v="61"/>
    <s v="整份"/>
    <n v="4.95"/>
    <s v="份"/>
    <n v="5"/>
    <n v="24.75"/>
    <n v="0"/>
    <n v="0"/>
    <n v="0"/>
    <n v="0"/>
    <n v="0"/>
    <n v="0"/>
    <n v="0"/>
    <n v="0"/>
    <n v="1.98"/>
    <n v="0"/>
    <n v="5"/>
    <n v="23.9"/>
    <n v="1.13"/>
    <n v="22.77"/>
    <n v="1"/>
  </r>
  <r>
    <s v="2021-06-11"/>
    <s v="Vancouver"/>
    <s v="加拿大二店"/>
    <x v="2"/>
    <x v="4"/>
    <x v="60"/>
    <x v="59"/>
    <x v="62"/>
    <s v="冰镇"/>
    <n v="6.95"/>
    <s v="扎"/>
    <n v="6"/>
    <n v="41.7"/>
    <n v="1"/>
    <n v="6.95"/>
    <n v="0"/>
    <n v="0"/>
    <n v="0"/>
    <n v="0"/>
    <n v="0"/>
    <n v="0"/>
    <n v="0"/>
    <n v="0"/>
    <n v="5"/>
    <n v="38.92"/>
    <n v="4.17"/>
    <n v="34.75"/>
    <n v="1"/>
  </r>
  <r>
    <s v="2021-06-11"/>
    <s v="Vancouver"/>
    <s v="加拿大二店"/>
    <x v="6"/>
    <x v="13"/>
    <x v="61"/>
    <x v="60"/>
    <x v="63"/>
    <s v="整份"/>
    <n v="3.95"/>
    <s v="包"/>
    <n v="15"/>
    <n v="59.25"/>
    <n v="0"/>
    <n v="0"/>
    <n v="0"/>
    <n v="0"/>
    <n v="0"/>
    <n v="0"/>
    <n v="0"/>
    <n v="0"/>
    <n v="0.79"/>
    <n v="0"/>
    <n v="15"/>
    <n v="61.38"/>
    <n v="2.92"/>
    <n v="58.46"/>
    <n v="1"/>
  </r>
  <r>
    <s v="2021-06-11"/>
    <s v="Vancouver"/>
    <s v="加拿大二店"/>
    <x v="1"/>
    <x v="8"/>
    <x v="116"/>
    <x v="110"/>
    <x v="120"/>
    <s v="个"/>
    <n v="0.95"/>
    <s v="个"/>
    <n v="1"/>
    <n v="0.95"/>
    <n v="0"/>
    <n v="0"/>
    <n v="0"/>
    <n v="0"/>
    <n v="0"/>
    <n v="0"/>
    <n v="0"/>
    <n v="0"/>
    <n v="0"/>
    <n v="0"/>
    <n v="1"/>
    <n v="0.99"/>
    <n v="0.04"/>
    <n v="0.95"/>
    <n v="1"/>
  </r>
  <r>
    <s v="2021-06-11"/>
    <s v="Vancouver"/>
    <s v="加拿大二店"/>
    <x v="4"/>
    <x v="9"/>
    <x v="62"/>
    <x v="0"/>
    <x v="64"/>
    <s v="拼锅"/>
    <n v="8.95"/>
    <s v="锅"/>
    <n v="31"/>
    <n v="277.45"/>
    <n v="0"/>
    <n v="0"/>
    <n v="0"/>
    <n v="0"/>
    <n v="1"/>
    <n v="8.95"/>
    <n v="0"/>
    <n v="0.02"/>
    <n v="6"/>
    <n v="0"/>
    <n v="30"/>
    <n v="275.6"/>
    <n v="13.12"/>
    <n v="262.48"/>
    <n v="2"/>
  </r>
  <r>
    <s v="2021-06-11"/>
    <s v="Vancouver"/>
    <s v="加拿大二店"/>
    <x v="4"/>
    <x v="10"/>
    <x v="62"/>
    <x v="0"/>
    <x v="64"/>
    <s v="四宫格"/>
    <n v="4.95"/>
    <s v="锅"/>
    <n v="15"/>
    <n v="74.25"/>
    <n v="0"/>
    <n v="0"/>
    <n v="0"/>
    <n v="0"/>
    <n v="0"/>
    <n v="0"/>
    <n v="0"/>
    <n v="0"/>
    <n v="0.7"/>
    <n v="0"/>
    <n v="15"/>
    <n v="77.22"/>
    <n v="3.67"/>
    <n v="73.55"/>
    <n v="1"/>
  </r>
  <r>
    <s v="2021-06-11"/>
    <s v="Vancouver"/>
    <s v="加拿大二店"/>
    <x v="6"/>
    <x v="13"/>
    <x v="63"/>
    <x v="61"/>
    <x v="65"/>
    <s v="整份"/>
    <n v="1.5"/>
    <s v="碗"/>
    <n v="6"/>
    <n v="9"/>
    <n v="0"/>
    <n v="0"/>
    <n v="0"/>
    <n v="0"/>
    <n v="0"/>
    <n v="0"/>
    <n v="0"/>
    <n v="0"/>
    <n v="0"/>
    <n v="0"/>
    <n v="6"/>
    <n v="9.45"/>
    <n v="0.45"/>
    <n v="9"/>
    <n v="1"/>
  </r>
  <r>
    <s v="2021-06-11"/>
    <s v="Vancouver"/>
    <s v="加拿大二店"/>
    <x v="3"/>
    <x v="5"/>
    <x v="64"/>
    <x v="62"/>
    <x v="66"/>
    <s v="整份"/>
    <n v="3.95"/>
    <s v="份"/>
    <n v="4"/>
    <n v="15.8"/>
    <n v="0"/>
    <n v="0"/>
    <n v="0"/>
    <n v="0"/>
    <n v="0"/>
    <n v="0"/>
    <n v="0"/>
    <n v="0"/>
    <n v="0"/>
    <n v="0"/>
    <n v="4"/>
    <n v="16.59"/>
    <n v="0.79"/>
    <n v="15.8"/>
    <n v="1"/>
  </r>
  <r>
    <s v="2021-06-11"/>
    <s v="Vancouver"/>
    <s v="加拿大二店"/>
    <x v="2"/>
    <x v="19"/>
    <x v="125"/>
    <x v="119"/>
    <x v="130"/>
    <s v="瓶"/>
    <n v="16.95"/>
    <s v="瓶"/>
    <n v="1"/>
    <n v="16.95"/>
    <n v="0"/>
    <n v="0"/>
    <n v="0"/>
    <n v="0"/>
    <n v="0"/>
    <n v="0"/>
    <n v="0"/>
    <n v="0.02"/>
    <n v="0"/>
    <n v="0"/>
    <n v="1"/>
    <n v="19.46"/>
    <n v="2.53"/>
    <n v="16.93"/>
    <n v="1"/>
  </r>
  <r>
    <s v="2021-06-11"/>
    <s v="Vancouver"/>
    <s v="加拿大二店"/>
    <x v="2"/>
    <x v="4"/>
    <x v="65"/>
    <x v="63"/>
    <x v="67"/>
    <s v="扎"/>
    <n v="8.95"/>
    <s v="扎"/>
    <n v="7"/>
    <n v="62.65"/>
    <n v="0"/>
    <n v="0"/>
    <n v="0"/>
    <n v="0"/>
    <n v="0"/>
    <n v="0"/>
    <n v="0"/>
    <n v="0.04"/>
    <n v="0"/>
    <n v="0"/>
    <n v="7"/>
    <n v="70.12"/>
    <n v="7.51"/>
    <n v="62.61"/>
    <n v="1"/>
  </r>
  <r>
    <s v="2021-06-11"/>
    <s v="Vancouver"/>
    <s v="加拿大二店"/>
    <x v="2"/>
    <x v="4"/>
    <x v="66"/>
    <x v="64"/>
    <x v="68"/>
    <s v="扎"/>
    <n v="11.95"/>
    <s v="扎"/>
    <n v="2"/>
    <n v="23.9"/>
    <n v="0"/>
    <n v="0"/>
    <n v="0"/>
    <n v="0"/>
    <n v="1"/>
    <n v="11.95"/>
    <n v="0"/>
    <n v="0"/>
    <n v="0"/>
    <n v="0"/>
    <n v="1"/>
    <n v="13.38"/>
    <n v="1.43"/>
    <n v="11.95"/>
    <n v="1"/>
  </r>
  <r>
    <s v="2021-06-11"/>
    <s v="Vancouver"/>
    <s v="加拿大二店"/>
    <x v="3"/>
    <x v="5"/>
    <x v="117"/>
    <x v="111"/>
    <x v="121"/>
    <s v="整份"/>
    <n v="4.95"/>
    <s v="份"/>
    <n v="11"/>
    <n v="54.45"/>
    <n v="0"/>
    <n v="0"/>
    <n v="0"/>
    <n v="0"/>
    <n v="0"/>
    <n v="0"/>
    <n v="0"/>
    <n v="0"/>
    <n v="4.31"/>
    <n v="0"/>
    <n v="11"/>
    <n v="52.64"/>
    <n v="2.5"/>
    <n v="50.14"/>
    <n v="1"/>
  </r>
  <r>
    <s v="2021-06-11"/>
    <s v="Vancouver"/>
    <s v="加拿大二店"/>
    <x v="3"/>
    <x v="7"/>
    <x v="67"/>
    <x v="65"/>
    <x v="69"/>
    <s v="整份"/>
    <n v="3.95"/>
    <s v="份"/>
    <n v="9"/>
    <n v="35.55"/>
    <n v="0"/>
    <n v="0"/>
    <n v="0"/>
    <n v="0"/>
    <n v="1"/>
    <n v="3.95"/>
    <n v="0"/>
    <n v="-0.01"/>
    <n v="1.18"/>
    <n v="0"/>
    <n v="8"/>
    <n v="31.95"/>
    <n v="1.52"/>
    <n v="30.43"/>
    <n v="1"/>
  </r>
  <r>
    <s v="2021-06-11"/>
    <s v="Vancouver"/>
    <s v="加拿大二店"/>
    <x v="1"/>
    <x v="1"/>
    <x v="68"/>
    <x v="66"/>
    <x v="70"/>
    <s v="整份"/>
    <n v="8.95"/>
    <s v="份"/>
    <n v="76"/>
    <n v="680.2"/>
    <n v="0"/>
    <n v="0"/>
    <n v="0"/>
    <n v="0"/>
    <n v="1"/>
    <n v="8.95"/>
    <n v="0"/>
    <n v="-0.01"/>
    <n v="13.8"/>
    <n v="0"/>
    <n v="75"/>
    <n v="690.33"/>
    <n v="32.87"/>
    <n v="657.46"/>
    <n v="1"/>
  </r>
  <r>
    <s v="2021-06-11"/>
    <s v="Vancouver"/>
    <s v="加拿大二店"/>
    <x v="1"/>
    <x v="1"/>
    <x v="69"/>
    <x v="67"/>
    <x v="71"/>
    <s v="整份"/>
    <n v="8.95"/>
    <s v="份"/>
    <n v="12"/>
    <n v="107.4"/>
    <n v="0"/>
    <n v="0"/>
    <n v="0"/>
    <n v="0"/>
    <n v="0"/>
    <n v="0"/>
    <n v="0"/>
    <n v="0"/>
    <n v="0.64"/>
    <n v="0"/>
    <n v="12"/>
    <n v="112.09"/>
    <n v="5.33"/>
    <n v="106.76"/>
    <n v="1"/>
  </r>
  <r>
    <s v="2021-06-11"/>
    <s v="Vancouver"/>
    <s v="加拿大二店"/>
    <x v="6"/>
    <x v="15"/>
    <x v="70"/>
    <x v="68"/>
    <x v="72"/>
    <s v="整份"/>
    <n v="1.5"/>
    <s v="份"/>
    <n v="9"/>
    <n v="13.5"/>
    <n v="0"/>
    <n v="0"/>
    <n v="0"/>
    <n v="0"/>
    <n v="0"/>
    <n v="0"/>
    <n v="0"/>
    <n v="-0.02"/>
    <n v="0"/>
    <n v="0"/>
    <n v="9"/>
    <n v="14.19"/>
    <n v="0.67"/>
    <n v="13.52"/>
    <n v="1"/>
  </r>
  <r>
    <s v="2021-06-11"/>
    <s v="Vancouver"/>
    <s v="加拿大二店"/>
    <x v="4"/>
    <x v="9"/>
    <x v="71"/>
    <x v="0"/>
    <x v="73"/>
    <s v="拼锅"/>
    <n v="18.95"/>
    <s v="锅"/>
    <n v="8"/>
    <n v="151.6"/>
    <n v="0"/>
    <n v="0"/>
    <n v="0"/>
    <n v="0"/>
    <n v="0"/>
    <n v="0"/>
    <n v="0"/>
    <n v="-0.05"/>
    <n v="0"/>
    <n v="0"/>
    <n v="8"/>
    <n v="159.23"/>
    <n v="7.58"/>
    <n v="151.65"/>
    <n v="2"/>
  </r>
  <r>
    <s v="2021-06-11"/>
    <s v="Vancouver"/>
    <s v="加拿大二店"/>
    <x v="4"/>
    <x v="10"/>
    <x v="71"/>
    <x v="0"/>
    <x v="73"/>
    <s v="四宫格"/>
    <n v="9.95"/>
    <s v="锅"/>
    <n v="6"/>
    <n v="59.7"/>
    <n v="0"/>
    <n v="0"/>
    <n v="0"/>
    <n v="0"/>
    <n v="0"/>
    <n v="0"/>
    <n v="0"/>
    <n v="-0.01"/>
    <n v="0"/>
    <n v="0"/>
    <n v="6"/>
    <n v="62.69"/>
    <n v="2.98"/>
    <n v="59.71"/>
    <n v="1"/>
  </r>
  <r>
    <s v="2021-06-11"/>
    <s v="Vancouver"/>
    <s v="加拿大二店"/>
    <x v="1"/>
    <x v="8"/>
    <x v="72"/>
    <x v="69"/>
    <x v="74"/>
    <s v="个"/>
    <n v="7.95"/>
    <s v="份"/>
    <n v="2"/>
    <n v="15.9"/>
    <n v="0"/>
    <n v="0"/>
    <n v="0"/>
    <n v="0"/>
    <n v="0"/>
    <n v="0"/>
    <n v="0"/>
    <n v="0"/>
    <n v="1.59"/>
    <n v="0"/>
    <n v="2"/>
    <n v="15.02"/>
    <n v="0.71"/>
    <n v="14.31"/>
    <n v="1"/>
  </r>
  <r>
    <s v="2021-06-11"/>
    <s v="Vancouver"/>
    <s v="加拿大二店"/>
    <x v="6"/>
    <x v="13"/>
    <x v="73"/>
    <x v="70"/>
    <x v="75"/>
    <s v="份"/>
    <n v="6.95"/>
    <s v="份"/>
    <n v="3"/>
    <n v="20.85"/>
    <n v="0"/>
    <n v="0"/>
    <n v="0"/>
    <n v="0"/>
    <n v="1"/>
    <n v="6.95"/>
    <n v="0"/>
    <n v="-0.01"/>
    <n v="0"/>
    <n v="0"/>
    <n v="2"/>
    <n v="14.6"/>
    <n v="0.69"/>
    <n v="13.91"/>
    <n v="1"/>
  </r>
  <r>
    <s v="2021-06-11"/>
    <s v="Vancouver"/>
    <s v="加拿大二店"/>
    <x v="4"/>
    <x v="16"/>
    <x v="74"/>
    <x v="0"/>
    <x v="76"/>
    <s v="单锅"/>
    <n v="36.95"/>
    <s v="锅"/>
    <n v="1"/>
    <n v="36.95"/>
    <n v="0"/>
    <n v="0"/>
    <n v="0"/>
    <n v="0"/>
    <n v="0"/>
    <n v="0"/>
    <n v="0"/>
    <n v="0"/>
    <n v="0"/>
    <n v="0"/>
    <n v="1"/>
    <n v="38.79"/>
    <n v="1.84"/>
    <n v="36.95"/>
    <n v="4"/>
  </r>
  <r>
    <s v="2021-06-11"/>
    <s v="Vancouver"/>
    <s v="加拿大二店"/>
    <x v="4"/>
    <x v="9"/>
    <x v="74"/>
    <x v="0"/>
    <x v="76"/>
    <s v="拼锅"/>
    <n v="18.95"/>
    <s v="锅"/>
    <n v="5"/>
    <n v="94.75"/>
    <n v="0"/>
    <n v="0"/>
    <n v="0"/>
    <n v="0"/>
    <n v="0"/>
    <n v="0"/>
    <n v="0"/>
    <n v="-0.01"/>
    <n v="3.79"/>
    <n v="0"/>
    <n v="5"/>
    <n v="95.51"/>
    <n v="4.54"/>
    <n v="90.97"/>
    <n v="2"/>
  </r>
  <r>
    <s v="2021-06-11"/>
    <s v="Vancouver"/>
    <s v="加拿大二店"/>
    <x v="4"/>
    <x v="10"/>
    <x v="74"/>
    <x v="0"/>
    <x v="76"/>
    <s v="四宫格"/>
    <n v="9.95"/>
    <s v="锅"/>
    <n v="5"/>
    <n v="49.75"/>
    <n v="0"/>
    <n v="0"/>
    <n v="0"/>
    <n v="0"/>
    <n v="0"/>
    <n v="0"/>
    <n v="0"/>
    <n v="0"/>
    <n v="0"/>
    <n v="0"/>
    <n v="5"/>
    <n v="52.23"/>
    <n v="2.48"/>
    <n v="49.75"/>
    <n v="1"/>
  </r>
  <r>
    <s v="2021-06-11"/>
    <s v="Vancouver"/>
    <s v="加拿大二店"/>
    <x v="1"/>
    <x v="6"/>
    <x v="118"/>
    <x v="112"/>
    <x v="122"/>
    <s v="整份"/>
    <n v="28.95"/>
    <s v="份"/>
    <n v="6"/>
    <n v="173.7"/>
    <n v="0"/>
    <n v="0"/>
    <n v="0"/>
    <n v="0"/>
    <n v="1"/>
    <n v="28.95"/>
    <n v="0"/>
    <n v="0"/>
    <n v="11.58"/>
    <n v="0"/>
    <n v="5"/>
    <n v="139.82"/>
    <n v="6.65"/>
    <n v="133.17"/>
    <n v="1"/>
  </r>
  <r>
    <s v="2021-06-11"/>
    <s v="Vancouver"/>
    <s v="加拿大二店"/>
    <x v="8"/>
    <x v="17"/>
    <x v="75"/>
    <x v="71"/>
    <x v="77"/>
    <s v="整份"/>
    <n v="3.99"/>
    <s v="位"/>
    <n v="193"/>
    <n v="770.07"/>
    <n v="0"/>
    <n v="0"/>
    <n v="0"/>
    <n v="0"/>
    <n v="8"/>
    <n v="31.92"/>
    <n v="0"/>
    <n v="0.01"/>
    <n v="4.07"/>
    <n v="0"/>
    <n v="185"/>
    <n v="770.77"/>
    <n v="36.7"/>
    <n v="734.07"/>
    <n v="1"/>
  </r>
  <r>
    <s v="2021-06-11"/>
    <s v="Vancouver"/>
    <s v="加拿大二店"/>
    <x v="3"/>
    <x v="5"/>
    <x v="76"/>
    <x v="72"/>
    <x v="78"/>
    <s v="整份"/>
    <n v="3.95"/>
    <s v="份"/>
    <n v="9"/>
    <n v="35.55"/>
    <n v="0"/>
    <n v="0"/>
    <n v="0"/>
    <n v="0"/>
    <n v="0"/>
    <n v="0"/>
    <n v="0"/>
    <n v="0"/>
    <n v="1.58"/>
    <n v="0"/>
    <n v="9"/>
    <n v="35.66"/>
    <n v="1.69"/>
    <n v="33.97"/>
    <n v="1"/>
  </r>
  <r>
    <s v="2021-06-11"/>
    <s v="Vancouver"/>
    <s v="加拿大二店"/>
    <x v="1"/>
    <x v="3"/>
    <x v="77"/>
    <x v="73"/>
    <x v="79"/>
    <s v="整份"/>
    <n v="5.95"/>
    <s v="份"/>
    <n v="8"/>
    <n v="47.6"/>
    <n v="0"/>
    <n v="0"/>
    <n v="0"/>
    <n v="0"/>
    <n v="1"/>
    <n v="5.95"/>
    <n v="0"/>
    <n v="0"/>
    <n v="2.8"/>
    <n v="0"/>
    <n v="7"/>
    <n v="40.79"/>
    <n v="1.94"/>
    <n v="38.85"/>
    <n v="1"/>
  </r>
  <r>
    <s v="2021-06-11"/>
    <s v="Vancouver"/>
    <s v="加拿大二店"/>
    <x v="3"/>
    <x v="11"/>
    <x v="78"/>
    <x v="74"/>
    <x v="80"/>
    <s v="整份"/>
    <n v="5.95"/>
    <s v="份"/>
    <n v="15"/>
    <n v="89.25"/>
    <n v="0"/>
    <n v="0"/>
    <n v="0"/>
    <n v="0"/>
    <n v="0"/>
    <n v="0"/>
    <n v="0"/>
    <n v="0"/>
    <n v="5.95"/>
    <n v="0"/>
    <n v="15"/>
    <n v="87.46"/>
    <n v="4.16"/>
    <n v="83.3"/>
    <n v="1"/>
  </r>
  <r>
    <s v="2021-06-11"/>
    <s v="Vancouver"/>
    <s v="加拿大二店"/>
    <x v="3"/>
    <x v="11"/>
    <x v="78"/>
    <x v="75"/>
    <x v="81"/>
    <s v="半份"/>
    <n v="2.95"/>
    <s v="份"/>
    <n v="9"/>
    <n v="26.55"/>
    <n v="0"/>
    <n v="0"/>
    <n v="0"/>
    <n v="0"/>
    <n v="0"/>
    <n v="0"/>
    <n v="0"/>
    <n v="0"/>
    <n v="1.39"/>
    <n v="0"/>
    <n v="9"/>
    <n v="26.41"/>
    <n v="1.25"/>
    <n v="25.16"/>
    <n v="0.5"/>
  </r>
  <r>
    <s v="2021-06-11"/>
    <s v="Vancouver"/>
    <s v="加拿大二店"/>
    <x v="3"/>
    <x v="5"/>
    <x v="79"/>
    <x v="76"/>
    <x v="82"/>
    <s v="整份"/>
    <n v="3.95"/>
    <s v="份"/>
    <n v="21"/>
    <n v="82.95"/>
    <n v="0"/>
    <n v="0"/>
    <n v="0"/>
    <n v="0"/>
    <n v="0"/>
    <n v="0"/>
    <n v="0"/>
    <n v="0"/>
    <n v="2.37"/>
    <n v="0"/>
    <n v="21"/>
    <n v="84.6"/>
    <n v="4.02"/>
    <n v="80.58"/>
    <n v="1"/>
  </r>
  <r>
    <s v="2021-06-11"/>
    <s v="Vancouver"/>
    <s v="加拿大二店"/>
    <x v="3"/>
    <x v="5"/>
    <x v="80"/>
    <x v="77"/>
    <x v="83"/>
    <s v="整份"/>
    <n v="5.95"/>
    <s v="份"/>
    <n v="16"/>
    <n v="95.2"/>
    <n v="0"/>
    <n v="0"/>
    <n v="0"/>
    <n v="0"/>
    <n v="0"/>
    <n v="0"/>
    <n v="0"/>
    <n v="0"/>
    <n v="3.57"/>
    <n v="0"/>
    <n v="16"/>
    <n v="96.21"/>
    <n v="4.58"/>
    <n v="91.63"/>
    <n v="1"/>
  </r>
  <r>
    <s v="2021-06-11"/>
    <s v="Vancouver"/>
    <s v="加拿大二店"/>
    <x v="4"/>
    <x v="9"/>
    <x v="81"/>
    <x v="0"/>
    <x v="84"/>
    <s v="拼锅"/>
    <n v="8.95"/>
    <s v="锅"/>
    <n v="7"/>
    <n v="62.65"/>
    <n v="0"/>
    <n v="0"/>
    <n v="0"/>
    <n v="0"/>
    <n v="0"/>
    <n v="0"/>
    <n v="0"/>
    <n v="-0.04"/>
    <n v="1.79"/>
    <n v="0"/>
    <n v="7"/>
    <n v="63.94"/>
    <n v="3.04"/>
    <n v="60.9"/>
    <n v="2"/>
  </r>
  <r>
    <s v="2021-06-11"/>
    <s v="Vancouver"/>
    <s v="加拿大二店"/>
    <x v="4"/>
    <x v="10"/>
    <x v="81"/>
    <x v="0"/>
    <x v="84"/>
    <s v="四宫格"/>
    <n v="4.95"/>
    <s v="锅"/>
    <n v="8"/>
    <n v="39.6"/>
    <n v="0"/>
    <n v="0"/>
    <n v="0"/>
    <n v="0"/>
    <n v="0"/>
    <n v="0"/>
    <n v="0"/>
    <n v="0"/>
    <n v="0"/>
    <n v="0"/>
    <n v="8"/>
    <n v="41.58"/>
    <n v="1.98"/>
    <n v="39.6"/>
    <n v="1"/>
  </r>
  <r>
    <s v="2021-06-11"/>
    <s v="Vancouver"/>
    <s v="加拿大二店"/>
    <x v="3"/>
    <x v="5"/>
    <x v="82"/>
    <x v="78"/>
    <x v="85"/>
    <s v="整份"/>
    <n v="12.95"/>
    <s v="份"/>
    <n v="15"/>
    <n v="194.25"/>
    <n v="0"/>
    <n v="0"/>
    <n v="0"/>
    <n v="0"/>
    <n v="1"/>
    <n v="12.95"/>
    <n v="0"/>
    <n v="0"/>
    <n v="2.59"/>
    <n v="0"/>
    <n v="14"/>
    <n v="187.64"/>
    <n v="8.93"/>
    <n v="178.71"/>
    <n v="1"/>
  </r>
  <r>
    <s v="2021-06-11"/>
    <s v="Vancouver"/>
    <s v="加拿大二店"/>
    <x v="3"/>
    <x v="11"/>
    <x v="83"/>
    <x v="79"/>
    <x v="86"/>
    <s v="整份"/>
    <n v="5.95"/>
    <s v="份"/>
    <n v="6"/>
    <n v="35.7"/>
    <n v="0"/>
    <n v="0"/>
    <n v="0"/>
    <n v="0"/>
    <n v="1"/>
    <n v="5.95"/>
    <n v="0"/>
    <n v="0"/>
    <n v="0"/>
    <n v="0"/>
    <n v="5"/>
    <n v="31.23"/>
    <n v="1.48"/>
    <n v="29.75"/>
    <n v="1"/>
  </r>
  <r>
    <s v="2021-06-11"/>
    <s v="Vancouver"/>
    <s v="加拿大二店"/>
    <x v="3"/>
    <x v="11"/>
    <x v="83"/>
    <x v="80"/>
    <x v="87"/>
    <s v="半份"/>
    <n v="2.95"/>
    <s v="份"/>
    <n v="7"/>
    <n v="20.65"/>
    <n v="0"/>
    <n v="0"/>
    <n v="0"/>
    <n v="0"/>
    <n v="0"/>
    <n v="0"/>
    <n v="0"/>
    <n v="0"/>
    <n v="1.18"/>
    <n v="0"/>
    <n v="7"/>
    <n v="20.44"/>
    <n v="0.97"/>
    <n v="19.47"/>
    <n v="0.5"/>
  </r>
  <r>
    <s v="2021-06-11"/>
    <s v="Vancouver"/>
    <s v="加拿大二店"/>
    <x v="3"/>
    <x v="11"/>
    <x v="84"/>
    <x v="81"/>
    <x v="88"/>
    <s v="整份"/>
    <n v="11.95"/>
    <s v="份"/>
    <n v="11"/>
    <n v="131.45"/>
    <n v="0"/>
    <n v="0"/>
    <n v="0"/>
    <n v="0"/>
    <n v="0"/>
    <n v="0"/>
    <n v="0"/>
    <n v="0.01"/>
    <n v="2.39"/>
    <n v="0"/>
    <n v="11"/>
    <n v="135.5"/>
    <n v="6.45"/>
    <n v="129.05"/>
    <n v="1"/>
  </r>
  <r>
    <s v="2021-06-11"/>
    <s v="Vancouver"/>
    <s v="加拿大二店"/>
    <x v="1"/>
    <x v="3"/>
    <x v="85"/>
    <x v="82"/>
    <x v="89"/>
    <s v="整份"/>
    <n v="6.95"/>
    <s v="份"/>
    <n v="7"/>
    <n v="48.65"/>
    <n v="0"/>
    <n v="0"/>
    <n v="0"/>
    <n v="0"/>
    <n v="0"/>
    <n v="0"/>
    <n v="0"/>
    <n v="0"/>
    <n v="0.49"/>
    <n v="0"/>
    <n v="7"/>
    <n v="50.56"/>
    <n v="2.4"/>
    <n v="48.16"/>
    <n v="1"/>
  </r>
  <r>
    <s v="2021-06-11"/>
    <s v="Vancouver"/>
    <s v="加拿大二店"/>
    <x v="6"/>
    <x v="13"/>
    <x v="86"/>
    <x v="83"/>
    <x v="90"/>
    <s v="碗"/>
    <n v="2.95"/>
    <s v="碗"/>
    <n v="8"/>
    <n v="23.6"/>
    <n v="0"/>
    <n v="0"/>
    <n v="0"/>
    <n v="0"/>
    <n v="0"/>
    <n v="0"/>
    <n v="0"/>
    <n v="0"/>
    <n v="0"/>
    <n v="0"/>
    <n v="8"/>
    <n v="24.78"/>
    <n v="1.18"/>
    <n v="23.6"/>
    <n v="1"/>
  </r>
  <r>
    <s v="2021-06-11"/>
    <s v="Vancouver"/>
    <s v="加拿大二店"/>
    <x v="2"/>
    <x v="4"/>
    <x v="87"/>
    <x v="84"/>
    <x v="91"/>
    <s v="常温"/>
    <n v="2.95"/>
    <s v="扎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11"/>
    <s v="Vancouver"/>
    <s v="加拿大二店"/>
    <x v="2"/>
    <x v="4"/>
    <x v="87"/>
    <x v="84"/>
    <x v="91"/>
    <s v="冰镇"/>
    <n v="2.95"/>
    <s v="扎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11"/>
    <s v="Vancouver"/>
    <s v="加拿大二店"/>
    <x v="1"/>
    <x v="8"/>
    <x v="88"/>
    <x v="85"/>
    <x v="92"/>
    <s v="整份"/>
    <n v="7.95"/>
    <s v="份"/>
    <n v="8"/>
    <n v="63.6"/>
    <n v="0"/>
    <n v="0"/>
    <n v="0"/>
    <n v="0"/>
    <n v="0"/>
    <n v="0"/>
    <n v="0"/>
    <n v="0"/>
    <n v="3.18"/>
    <n v="0"/>
    <n v="8"/>
    <n v="63.44"/>
    <n v="3.02"/>
    <n v="60.42"/>
    <n v="1"/>
  </r>
  <r>
    <s v="2021-06-11"/>
    <s v="Vancouver"/>
    <s v="加拿大二店"/>
    <x v="1"/>
    <x v="8"/>
    <x v="89"/>
    <x v="86"/>
    <x v="93"/>
    <s v="整份"/>
    <n v="4.95"/>
    <s v="份"/>
    <n v="24"/>
    <n v="118.8"/>
    <n v="0"/>
    <n v="0"/>
    <n v="0"/>
    <n v="0"/>
    <n v="0"/>
    <n v="0"/>
    <n v="0"/>
    <n v="0"/>
    <n v="5.94"/>
    <n v="0"/>
    <n v="24"/>
    <n v="118.5"/>
    <n v="5.64"/>
    <n v="112.86"/>
    <n v="1"/>
  </r>
  <r>
    <s v="2021-06-11"/>
    <s v="Vancouver"/>
    <s v="加拿大二店"/>
    <x v="3"/>
    <x v="7"/>
    <x v="90"/>
    <x v="87"/>
    <x v="94"/>
    <s v="整份"/>
    <n v="4.95"/>
    <s v="份"/>
    <n v="8"/>
    <n v="39.6"/>
    <n v="0"/>
    <n v="0"/>
    <n v="0"/>
    <n v="0"/>
    <n v="1"/>
    <n v="4.95"/>
    <n v="0"/>
    <n v="0"/>
    <n v="1.98"/>
    <n v="0"/>
    <n v="7"/>
    <n v="34.3"/>
    <n v="1.63"/>
    <n v="32.67"/>
    <n v="1"/>
  </r>
  <r>
    <s v="2021-06-11"/>
    <s v="Vancouver"/>
    <s v="加拿大二店"/>
    <x v="1"/>
    <x v="6"/>
    <x v="119"/>
    <x v="113"/>
    <x v="123"/>
    <s v="整份"/>
    <n v="68.95"/>
    <s v="磅"/>
    <n v="1"/>
    <n v="68.95"/>
    <n v="0"/>
    <n v="0"/>
    <n v="0"/>
    <n v="0"/>
    <n v="0"/>
    <n v="0"/>
    <n v="0"/>
    <n v="0.01"/>
    <n v="0"/>
    <n v="0"/>
    <n v="1"/>
    <n v="72.38"/>
    <n v="3.44"/>
    <n v="68.94"/>
    <n v="1"/>
  </r>
  <r>
    <s v="2021-06-11"/>
    <s v="Vancouver"/>
    <s v="加拿大二店"/>
    <x v="6"/>
    <x v="18"/>
    <x v="91"/>
    <x v="88"/>
    <x v="95"/>
    <s v="整份"/>
    <n v="2.95"/>
    <s v="份"/>
    <n v="10"/>
    <n v="29.5"/>
    <n v="0"/>
    <n v="0"/>
    <n v="0"/>
    <n v="0"/>
    <n v="0"/>
    <n v="0"/>
    <n v="0"/>
    <n v="0"/>
    <n v="0.59"/>
    <n v="0"/>
    <n v="10"/>
    <n v="30.35"/>
    <n v="1.44"/>
    <n v="28.91"/>
    <n v="1"/>
  </r>
  <r>
    <s v="2021-06-11"/>
    <s v="Vancouver"/>
    <s v="加拿大二店"/>
    <x v="4"/>
    <x v="9"/>
    <x v="92"/>
    <x v="0"/>
    <x v="96"/>
    <s v="拼锅"/>
    <n v="8.95"/>
    <s v="锅"/>
    <n v="2"/>
    <n v="17.9"/>
    <n v="0"/>
    <n v="0"/>
    <n v="0"/>
    <n v="0"/>
    <n v="0"/>
    <n v="0"/>
    <n v="0"/>
    <n v="0.03"/>
    <n v="0"/>
    <n v="0"/>
    <n v="2"/>
    <n v="18.76"/>
    <n v="0.89"/>
    <n v="17.87"/>
    <n v="2"/>
  </r>
  <r>
    <s v="2021-06-11"/>
    <s v="Vancouver"/>
    <s v="加拿大二店"/>
    <x v="4"/>
    <x v="10"/>
    <x v="92"/>
    <x v="0"/>
    <x v="96"/>
    <s v="四宫格"/>
    <n v="4.95"/>
    <s v="锅"/>
    <n v="3"/>
    <n v="14.85"/>
    <n v="0"/>
    <n v="0"/>
    <n v="0"/>
    <n v="0"/>
    <n v="0"/>
    <n v="0"/>
    <n v="0"/>
    <n v="-0.01"/>
    <n v="0"/>
    <n v="0"/>
    <n v="3"/>
    <n v="15.6"/>
    <n v="0.74"/>
    <n v="14.86"/>
    <n v="1"/>
  </r>
  <r>
    <s v="2021-06-11"/>
    <s v="Vancouver"/>
    <s v="加拿大二店"/>
    <x v="3"/>
    <x v="5"/>
    <x v="93"/>
    <x v="89"/>
    <x v="97"/>
    <s v="整份"/>
    <n v="5.95"/>
    <s v="份"/>
    <n v="17"/>
    <n v="101.15"/>
    <n v="0"/>
    <n v="0"/>
    <n v="0"/>
    <n v="0"/>
    <n v="0"/>
    <n v="0"/>
    <n v="0"/>
    <n v="0"/>
    <n v="3.57"/>
    <n v="0"/>
    <n v="17"/>
    <n v="102.45"/>
    <n v="4.87"/>
    <n v="97.58"/>
    <n v="1"/>
  </r>
  <r>
    <s v="2021-06-11"/>
    <s v="Vancouver"/>
    <s v="加拿大二店"/>
    <x v="6"/>
    <x v="13"/>
    <x v="94"/>
    <x v="90"/>
    <x v="98"/>
    <s v="整份"/>
    <n v="4.95"/>
    <s v="份"/>
    <n v="15"/>
    <n v="74.25"/>
    <n v="0"/>
    <n v="0"/>
    <n v="0"/>
    <n v="0"/>
    <n v="0"/>
    <n v="0"/>
    <n v="0"/>
    <n v="0"/>
    <n v="0.35"/>
    <n v="0"/>
    <n v="15"/>
    <n v="77.59"/>
    <n v="3.69"/>
    <n v="73.9"/>
    <n v="1"/>
  </r>
  <r>
    <s v="2021-06-11"/>
    <s v="Vancouver"/>
    <s v="加拿大二店"/>
    <x v="7"/>
    <x v="14"/>
    <x v="123"/>
    <x v="117"/>
    <x v="127"/>
    <s v="整份"/>
    <n v="0"/>
    <s v="份"/>
    <n v="5"/>
    <n v="0"/>
    <n v="0"/>
    <n v="0"/>
    <n v="0"/>
    <n v="0"/>
    <n v="0"/>
    <n v="0"/>
    <n v="0"/>
    <n v="0"/>
    <n v="0"/>
    <n v="0"/>
    <n v="5"/>
    <n v="0"/>
    <n v="0"/>
    <n v="0"/>
    <n v="1"/>
  </r>
  <r>
    <s v="2021-06-11"/>
    <s v="Vancouver"/>
    <s v="加拿大二店"/>
    <x v="2"/>
    <x v="4"/>
    <x v="95"/>
    <x v="91"/>
    <x v="99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11"/>
    <s v="Vancouver"/>
    <s v="加拿大二店"/>
    <x v="1"/>
    <x v="1"/>
    <x v="96"/>
    <x v="92"/>
    <x v="100"/>
    <s v="整份"/>
    <n v="49.95"/>
    <s v="份"/>
    <n v="2"/>
    <n v="99.9"/>
    <n v="1"/>
    <n v="49.95"/>
    <n v="0"/>
    <n v="0"/>
    <n v="0"/>
    <n v="0"/>
    <n v="0"/>
    <n v="0"/>
    <n v="0"/>
    <n v="0"/>
    <n v="1"/>
    <n v="52.44"/>
    <n v="2.49"/>
    <n v="49.95"/>
    <n v="1"/>
  </r>
  <r>
    <s v="2021-06-11"/>
    <s v="Vancouver"/>
    <s v="加拿大二店"/>
    <x v="2"/>
    <x v="2"/>
    <x v="97"/>
    <x v="93"/>
    <x v="101"/>
    <s v="冰镇"/>
    <n v="5.95"/>
    <s v="听"/>
    <n v="6"/>
    <n v="35.7"/>
    <n v="0"/>
    <n v="0"/>
    <n v="0"/>
    <n v="0"/>
    <n v="0"/>
    <n v="0"/>
    <n v="0"/>
    <n v="0"/>
    <n v="1.19"/>
    <n v="0"/>
    <n v="6"/>
    <n v="39.68"/>
    <n v="5.17"/>
    <n v="34.51"/>
    <n v="1"/>
  </r>
  <r>
    <s v="2021-06-11"/>
    <s v="Vancouver"/>
    <s v="加拿大二店"/>
    <x v="6"/>
    <x v="13"/>
    <x v="98"/>
    <x v="94"/>
    <x v="102"/>
    <s v="整份"/>
    <n v="3.95"/>
    <s v="份"/>
    <n v="7"/>
    <n v="27.65"/>
    <n v="0"/>
    <n v="0"/>
    <n v="0"/>
    <n v="0"/>
    <n v="1"/>
    <n v="3.95"/>
    <n v="0"/>
    <n v="0"/>
    <n v="0"/>
    <n v="0"/>
    <n v="6"/>
    <n v="24.88"/>
    <n v="1.18"/>
    <n v="23.7"/>
    <n v="1"/>
  </r>
  <r>
    <s v="2021-06-11"/>
    <s v="Vancouver"/>
    <s v="加拿大二店"/>
    <x v="1"/>
    <x v="3"/>
    <x v="99"/>
    <x v="95"/>
    <x v="103"/>
    <s v="整份"/>
    <n v="5.95"/>
    <s v="份"/>
    <n v="2"/>
    <n v="11.9"/>
    <n v="0"/>
    <n v="0"/>
    <n v="0"/>
    <n v="0"/>
    <n v="0"/>
    <n v="0"/>
    <n v="0"/>
    <n v="0"/>
    <n v="1.19"/>
    <n v="0"/>
    <n v="2"/>
    <n v="11.24"/>
    <n v="0.53"/>
    <n v="10.71"/>
    <n v="1"/>
  </r>
  <r>
    <s v="2021-06-11"/>
    <s v="Vancouver"/>
    <s v="加拿大二店"/>
    <x v="1"/>
    <x v="3"/>
    <x v="100"/>
    <x v="96"/>
    <x v="104"/>
    <s v="整份"/>
    <n v="7.95"/>
    <s v="份"/>
    <n v="8"/>
    <n v="63.6"/>
    <n v="0"/>
    <n v="0"/>
    <n v="0"/>
    <n v="0"/>
    <n v="1"/>
    <n v="7.95"/>
    <n v="0"/>
    <n v="0"/>
    <n v="3.18"/>
    <n v="0"/>
    <n v="7"/>
    <n v="55.09"/>
    <n v="2.62"/>
    <n v="52.47"/>
    <n v="1"/>
  </r>
  <r>
    <s v="2021-06-11"/>
    <s v="Vancouver"/>
    <s v="加拿大二店"/>
    <x v="1"/>
    <x v="8"/>
    <x v="101"/>
    <x v="97"/>
    <x v="105"/>
    <s v="整份"/>
    <n v="5.95"/>
    <s v="份"/>
    <n v="14"/>
    <n v="83.3"/>
    <n v="0"/>
    <n v="0"/>
    <n v="0"/>
    <n v="0"/>
    <n v="0"/>
    <n v="0"/>
    <n v="0"/>
    <n v="0"/>
    <n v="2.38"/>
    <n v="0"/>
    <n v="14"/>
    <n v="84.96"/>
    <n v="4.04"/>
    <n v="80.92"/>
    <n v="1"/>
  </r>
  <r>
    <s v="2021-06-11"/>
    <s v="Vancouver"/>
    <s v="加拿大二店"/>
    <x v="1"/>
    <x v="6"/>
    <x v="102"/>
    <x v="98"/>
    <x v="106"/>
    <s v="整份"/>
    <n v="8.95"/>
    <s v="份"/>
    <n v="3"/>
    <n v="26.85"/>
    <n v="0"/>
    <n v="0"/>
    <n v="0"/>
    <n v="0"/>
    <n v="1"/>
    <n v="8.95"/>
    <n v="0"/>
    <n v="0"/>
    <n v="0"/>
    <n v="0"/>
    <n v="2"/>
    <n v="18.79"/>
    <n v="0.89"/>
    <n v="17.9"/>
    <n v="1"/>
  </r>
  <r>
    <s v="2021-06-11"/>
    <s v="Vancouver"/>
    <s v="加拿大二店"/>
    <x v="3"/>
    <x v="7"/>
    <x v="103"/>
    <x v="99"/>
    <x v="107"/>
    <s v="整份"/>
    <n v="5.95"/>
    <s v="份"/>
    <n v="20"/>
    <n v="119"/>
    <n v="0"/>
    <n v="0"/>
    <n v="0"/>
    <n v="0"/>
    <n v="0"/>
    <n v="0"/>
    <n v="0"/>
    <n v="0"/>
    <n v="1.19"/>
    <n v="0"/>
    <n v="20"/>
    <n v="123.7"/>
    <n v="5.89"/>
    <n v="117.81"/>
    <n v="1"/>
  </r>
  <r>
    <s v="2021-06-11"/>
    <s v="Vancouver"/>
    <s v="加拿大二店"/>
    <x v="3"/>
    <x v="7"/>
    <x v="104"/>
    <x v="100"/>
    <x v="108"/>
    <s v="整份"/>
    <n v="3.95"/>
    <s v="份"/>
    <n v="10"/>
    <n v="39.5"/>
    <n v="0"/>
    <n v="0"/>
    <n v="0"/>
    <n v="0"/>
    <n v="1"/>
    <n v="3.95"/>
    <n v="0"/>
    <n v="0"/>
    <n v="0"/>
    <n v="0"/>
    <n v="9"/>
    <n v="37.32"/>
    <n v="1.77"/>
    <n v="35.55"/>
    <n v="1"/>
  </r>
  <r>
    <s v="2021-06-11"/>
    <s v="Vancouver"/>
    <s v="加拿大二店"/>
    <x v="1"/>
    <x v="8"/>
    <x v="105"/>
    <x v="101"/>
    <x v="109"/>
    <s v="整份"/>
    <n v="4.95"/>
    <s v="份"/>
    <n v="16"/>
    <n v="79.2"/>
    <n v="0"/>
    <n v="0"/>
    <n v="0"/>
    <n v="0"/>
    <n v="0"/>
    <n v="0"/>
    <n v="0"/>
    <n v="0"/>
    <n v="2.97"/>
    <n v="0"/>
    <n v="16"/>
    <n v="80.04"/>
    <n v="3.81"/>
    <n v="76.23"/>
    <n v="1"/>
  </r>
  <r>
    <s v="2021-06-11"/>
    <s v="Vancouver"/>
    <s v="加拿大二店"/>
    <x v="4"/>
    <x v="9"/>
    <x v="106"/>
    <x v="0"/>
    <x v="110"/>
    <s v="拼锅"/>
    <n v="11.95"/>
    <s v="锅"/>
    <n v="18"/>
    <n v="215.1"/>
    <n v="0"/>
    <n v="0"/>
    <n v="0"/>
    <n v="0"/>
    <n v="1"/>
    <n v="11.95"/>
    <n v="0"/>
    <n v="-0.04"/>
    <n v="4.78"/>
    <n v="0"/>
    <n v="17"/>
    <n v="208.33"/>
    <n v="9.92"/>
    <n v="198.41"/>
    <n v="2"/>
  </r>
  <r>
    <s v="2021-06-11"/>
    <s v="Vancouver"/>
    <s v="加拿大二店"/>
    <x v="4"/>
    <x v="10"/>
    <x v="106"/>
    <x v="0"/>
    <x v="110"/>
    <s v="四宫格"/>
    <n v="5.95"/>
    <s v="锅"/>
    <n v="2"/>
    <n v="11.9"/>
    <n v="0"/>
    <n v="0"/>
    <n v="0"/>
    <n v="0"/>
    <n v="0"/>
    <n v="0"/>
    <n v="0"/>
    <n v="0.02"/>
    <n v="0"/>
    <n v="0"/>
    <n v="2"/>
    <n v="12.47"/>
    <n v="0.59"/>
    <n v="11.88"/>
    <n v="1"/>
  </r>
  <r>
    <s v="2021-06-11"/>
    <s v="Vancouver"/>
    <s v="加拿大二店"/>
    <x v="4"/>
    <x v="9"/>
    <x v="107"/>
    <x v="0"/>
    <x v="111"/>
    <s v="拼锅"/>
    <n v="11.95"/>
    <s v="锅"/>
    <n v="9"/>
    <n v="107.55"/>
    <n v="0"/>
    <n v="0"/>
    <n v="0"/>
    <n v="0"/>
    <n v="0"/>
    <n v="0"/>
    <n v="0"/>
    <n v="0"/>
    <n v="0"/>
    <n v="0"/>
    <n v="9"/>
    <n v="112.92"/>
    <n v="5.37"/>
    <n v="107.55"/>
    <n v="2"/>
  </r>
  <r>
    <s v="2021-06-11"/>
    <s v="Vancouver"/>
    <s v="加拿大二店"/>
    <x v="4"/>
    <x v="10"/>
    <x v="107"/>
    <x v="0"/>
    <x v="111"/>
    <s v="四宫格"/>
    <n v="5.95"/>
    <s v="锅"/>
    <n v="3"/>
    <n v="17.85"/>
    <n v="0"/>
    <n v="0"/>
    <n v="0"/>
    <n v="0"/>
    <n v="0"/>
    <n v="0"/>
    <n v="0"/>
    <n v="0"/>
    <n v="0"/>
    <n v="0"/>
    <n v="3"/>
    <n v="18.74"/>
    <n v="0.89"/>
    <n v="17.85"/>
    <n v="1"/>
  </r>
  <r>
    <s v="2021-06-12"/>
    <s v="Vancouver"/>
    <s v="加拿大二店"/>
    <x v="1"/>
    <x v="1"/>
    <x v="1"/>
    <x v="1"/>
    <x v="1"/>
    <s v="整份"/>
    <n v="16.95"/>
    <s v="份"/>
    <n v="19"/>
    <n v="322.05"/>
    <n v="0"/>
    <n v="0"/>
    <n v="0"/>
    <n v="0"/>
    <n v="0"/>
    <n v="0"/>
    <n v="0"/>
    <n v="0"/>
    <n v="14"/>
    <n v="0"/>
    <n v="19"/>
    <n v="323.45"/>
    <n v="15.4"/>
    <n v="308.05"/>
    <n v="1"/>
  </r>
  <r>
    <s v="2021-06-12"/>
    <s v="Vancouver"/>
    <s v="加拿大二店"/>
    <x v="2"/>
    <x v="22"/>
    <x v="128"/>
    <x v="122"/>
    <x v="133"/>
    <s v="杯"/>
    <n v="5.95"/>
    <s v="杯"/>
    <n v="1"/>
    <n v="5.95"/>
    <n v="0"/>
    <n v="0"/>
    <n v="0"/>
    <n v="0"/>
    <n v="0"/>
    <n v="0"/>
    <n v="0"/>
    <n v="0"/>
    <n v="0"/>
    <n v="0"/>
    <n v="1"/>
    <n v="6.84"/>
    <n v="0.89"/>
    <n v="5.95"/>
    <n v="1"/>
  </r>
  <r>
    <s v="2021-06-12"/>
    <s v="Vancouver"/>
    <s v="加拿大二店"/>
    <x v="1"/>
    <x v="1"/>
    <x v="2"/>
    <x v="2"/>
    <x v="2"/>
    <s v="整份"/>
    <n v="25.95"/>
    <s v="份"/>
    <n v="23"/>
    <n v="596.85"/>
    <n v="0"/>
    <n v="0"/>
    <n v="0"/>
    <n v="0"/>
    <n v="0"/>
    <n v="0"/>
    <n v="0"/>
    <n v="0.02"/>
    <n v="5.19"/>
    <n v="0"/>
    <n v="23"/>
    <n v="621.22"/>
    <n v="29.58"/>
    <n v="591.64"/>
    <n v="1"/>
  </r>
  <r>
    <s v="2021-06-12"/>
    <s v="Vancouver"/>
    <s v="加拿大二店"/>
    <x v="2"/>
    <x v="2"/>
    <x v="3"/>
    <x v="3"/>
    <x v="3"/>
    <s v="杯"/>
    <n v="6.95"/>
    <s v="杯"/>
    <n v="3"/>
    <n v="20.85"/>
    <n v="1"/>
    <n v="6.95"/>
    <n v="0"/>
    <n v="0"/>
    <n v="0"/>
    <n v="0"/>
    <n v="0"/>
    <n v="0"/>
    <n v="0"/>
    <n v="0"/>
    <n v="2"/>
    <n v="15.98"/>
    <n v="2.08"/>
    <n v="13.9"/>
    <n v="1"/>
  </r>
  <r>
    <s v="2021-06-12"/>
    <s v="Vancouver"/>
    <s v="加拿大二店"/>
    <x v="2"/>
    <x v="2"/>
    <x v="4"/>
    <x v="4"/>
    <x v="4"/>
    <s v="壶"/>
    <n v="22.95"/>
    <s v="壶"/>
    <n v="2"/>
    <n v="45.9"/>
    <n v="0"/>
    <n v="0"/>
    <n v="0"/>
    <n v="0"/>
    <n v="0"/>
    <n v="0"/>
    <n v="0"/>
    <n v="0"/>
    <n v="0"/>
    <n v="0"/>
    <n v="2"/>
    <n v="52.78"/>
    <n v="6.88"/>
    <n v="45.9"/>
    <n v="1"/>
  </r>
  <r>
    <s v="2021-06-12"/>
    <s v="Vancouver"/>
    <s v="加拿大二店"/>
    <x v="2"/>
    <x v="2"/>
    <x v="5"/>
    <x v="5"/>
    <x v="5"/>
    <s v="杯"/>
    <n v="6.95"/>
    <s v="杯"/>
    <n v="3"/>
    <n v="20.85"/>
    <n v="0"/>
    <n v="0"/>
    <n v="0"/>
    <n v="0"/>
    <n v="0"/>
    <n v="0"/>
    <n v="0"/>
    <n v="-0.01"/>
    <n v="0"/>
    <n v="0"/>
    <n v="3"/>
    <n v="23.98"/>
    <n v="3.12"/>
    <n v="20.86"/>
    <n v="1"/>
  </r>
  <r>
    <s v="2021-06-12"/>
    <s v="Vancouver"/>
    <s v="加拿大二店"/>
    <x v="1"/>
    <x v="3"/>
    <x v="6"/>
    <x v="6"/>
    <x v="6"/>
    <s v="整份"/>
    <n v="7.95"/>
    <s v="份"/>
    <n v="9"/>
    <n v="71.55"/>
    <n v="0"/>
    <n v="0"/>
    <n v="0"/>
    <n v="0"/>
    <n v="0"/>
    <n v="0"/>
    <n v="0"/>
    <n v="0"/>
    <n v="2.38"/>
    <n v="0"/>
    <n v="9"/>
    <n v="72.62"/>
    <n v="3.45"/>
    <n v="69.17"/>
    <n v="1"/>
  </r>
  <r>
    <s v="2021-06-12"/>
    <s v="Vancouver"/>
    <s v="加拿大二店"/>
    <x v="0"/>
    <x v="0"/>
    <x v="124"/>
    <x v="0"/>
    <x v="128"/>
    <s v="套餐"/>
    <n v="59.95"/>
    <s v="套餐"/>
    <n v="1"/>
    <n v="59.95"/>
    <n v="0"/>
    <n v="0"/>
    <n v="0"/>
    <n v="0"/>
    <n v="0"/>
    <n v="0"/>
    <n v="0"/>
    <n v="0"/>
    <n v="0"/>
    <n v="0"/>
    <n v="1"/>
    <n v="63.54"/>
    <n v="3.59"/>
    <n v="59.95"/>
    <n v="1"/>
  </r>
  <r>
    <s v="2021-06-12"/>
    <s v="Vancouver"/>
    <s v="加拿大二店"/>
    <x v="2"/>
    <x v="19"/>
    <x v="108"/>
    <x v="102"/>
    <x v="112"/>
    <s v="小瓶"/>
    <n v="15.95"/>
    <s v="小瓶"/>
    <n v="2"/>
    <n v="31.9"/>
    <n v="0"/>
    <n v="0"/>
    <n v="0"/>
    <n v="0"/>
    <n v="0"/>
    <n v="0"/>
    <n v="0"/>
    <n v="0"/>
    <n v="0"/>
    <n v="0"/>
    <n v="2"/>
    <n v="36.68"/>
    <n v="4.78"/>
    <n v="31.9"/>
    <n v="1"/>
  </r>
  <r>
    <s v="2021-06-12"/>
    <s v="Vancouver"/>
    <s v="加拿大二店"/>
    <x v="2"/>
    <x v="4"/>
    <x v="7"/>
    <x v="7"/>
    <x v="7"/>
    <s v="冰镇"/>
    <n v="2.45"/>
    <s v="罐"/>
    <n v="9"/>
    <n v="22.05"/>
    <n v="0"/>
    <n v="0"/>
    <n v="0"/>
    <n v="0"/>
    <n v="0"/>
    <n v="0"/>
    <n v="0"/>
    <n v="0"/>
    <n v="0"/>
    <n v="0"/>
    <n v="9"/>
    <n v="24.69"/>
    <n v="2.64"/>
    <n v="22.05"/>
    <n v="1"/>
  </r>
  <r>
    <s v="2021-06-12"/>
    <s v="Vancouver"/>
    <s v="加拿大二店"/>
    <x v="0"/>
    <x v="20"/>
    <x v="109"/>
    <x v="103"/>
    <x v="113"/>
    <s v="整份"/>
    <n v="8.95"/>
    <s v="份"/>
    <n v="2"/>
    <n v="17.9"/>
    <n v="0"/>
    <n v="0"/>
    <n v="0"/>
    <n v="0"/>
    <n v="0"/>
    <n v="0"/>
    <n v="0"/>
    <n v="0"/>
    <n v="0"/>
    <n v="0"/>
    <n v="2"/>
    <n v="18.79"/>
    <n v="0.89"/>
    <n v="17.9"/>
    <n v="1"/>
  </r>
  <r>
    <s v="2021-06-12"/>
    <s v="Vancouver"/>
    <s v="加拿大二店"/>
    <x v="2"/>
    <x v="4"/>
    <x v="110"/>
    <x v="104"/>
    <x v="114"/>
    <s v="小瓶"/>
    <n v="3.95"/>
    <s v="瓶"/>
    <n v="1"/>
    <n v="3.95"/>
    <n v="0"/>
    <n v="0"/>
    <n v="0"/>
    <n v="0"/>
    <n v="0"/>
    <n v="0"/>
    <n v="0"/>
    <n v="-0.01"/>
    <n v="0"/>
    <n v="0"/>
    <n v="1"/>
    <n v="4.43"/>
    <n v="0.47"/>
    <n v="3.96"/>
    <n v="1"/>
  </r>
  <r>
    <s v="2021-06-12"/>
    <s v="Vancouver"/>
    <s v="加拿大二店"/>
    <x v="3"/>
    <x v="5"/>
    <x v="8"/>
    <x v="8"/>
    <x v="8"/>
    <s v="整份"/>
    <n v="3.95"/>
    <s v="份"/>
    <n v="12"/>
    <n v="47.4"/>
    <n v="0"/>
    <n v="0"/>
    <n v="0"/>
    <n v="0"/>
    <n v="0"/>
    <n v="0"/>
    <n v="0"/>
    <n v="0"/>
    <n v="1.18"/>
    <n v="0"/>
    <n v="12"/>
    <n v="48.53"/>
    <n v="2.31"/>
    <n v="46.22"/>
    <n v="1"/>
  </r>
  <r>
    <s v="2021-06-12"/>
    <s v="Vancouver"/>
    <s v="加拿大二店"/>
    <x v="2"/>
    <x v="4"/>
    <x v="10"/>
    <x v="10"/>
    <x v="10"/>
    <s v="半份"/>
    <n v="6.95"/>
    <s v="扎"/>
    <n v="2"/>
    <n v="13.9"/>
    <n v="0"/>
    <n v="0"/>
    <n v="0"/>
    <n v="0"/>
    <n v="0"/>
    <n v="0"/>
    <n v="0"/>
    <n v="0"/>
    <n v="0"/>
    <n v="0"/>
    <n v="2"/>
    <n v="15.56"/>
    <n v="1.66"/>
    <n v="13.9"/>
    <n v="0.5"/>
  </r>
  <r>
    <s v="2021-06-12"/>
    <s v="Vancouver"/>
    <s v="加拿大二店"/>
    <x v="2"/>
    <x v="4"/>
    <x v="10"/>
    <x v="11"/>
    <x v="11"/>
    <s v="整份"/>
    <n v="9.95"/>
    <s v="扎"/>
    <n v="5"/>
    <n v="49.75"/>
    <n v="0"/>
    <n v="0"/>
    <n v="0"/>
    <n v="0"/>
    <n v="0"/>
    <n v="0"/>
    <n v="0"/>
    <n v="0"/>
    <n v="1.19"/>
    <n v="0"/>
    <n v="5"/>
    <n v="54.38"/>
    <n v="5.82"/>
    <n v="48.56"/>
    <n v="1"/>
  </r>
  <r>
    <s v="2021-06-12"/>
    <s v="Vancouver"/>
    <s v="加拿大二店"/>
    <x v="1"/>
    <x v="6"/>
    <x v="11"/>
    <x v="12"/>
    <x v="12"/>
    <s v="整份"/>
    <n v="8.95"/>
    <s v="份"/>
    <n v="3"/>
    <n v="26.85"/>
    <n v="0"/>
    <n v="0"/>
    <n v="0"/>
    <n v="0"/>
    <n v="0"/>
    <n v="0"/>
    <n v="0"/>
    <n v="0"/>
    <n v="3.13"/>
    <n v="0"/>
    <n v="3"/>
    <n v="24.9"/>
    <n v="1.18"/>
    <n v="23.72"/>
    <n v="1"/>
  </r>
  <r>
    <s v="2021-06-12"/>
    <s v="Vancouver"/>
    <s v="加拿大二店"/>
    <x v="1"/>
    <x v="6"/>
    <x v="12"/>
    <x v="13"/>
    <x v="13"/>
    <s v="整份"/>
    <n v="16.95"/>
    <s v="份"/>
    <n v="1"/>
    <n v="16.95"/>
    <n v="0"/>
    <n v="0"/>
    <n v="0"/>
    <n v="0"/>
    <n v="0"/>
    <n v="0"/>
    <n v="0"/>
    <n v="0"/>
    <n v="3.39"/>
    <n v="0"/>
    <n v="1"/>
    <n v="14.23"/>
    <n v="0.67"/>
    <n v="13.56"/>
    <n v="1"/>
  </r>
  <r>
    <s v="2021-06-12"/>
    <s v="Vancouver"/>
    <s v="加拿大二店"/>
    <x v="1"/>
    <x v="6"/>
    <x v="13"/>
    <x v="14"/>
    <x v="14"/>
    <s v="整份"/>
    <n v="21.95"/>
    <s v="份"/>
    <n v="4"/>
    <n v="87.8"/>
    <n v="0"/>
    <n v="0"/>
    <n v="0"/>
    <n v="0"/>
    <n v="0"/>
    <n v="0"/>
    <n v="0"/>
    <n v="0"/>
    <n v="0"/>
    <n v="0"/>
    <n v="4"/>
    <n v="92.19"/>
    <n v="4.39"/>
    <n v="87.8"/>
    <n v="1"/>
  </r>
  <r>
    <s v="2021-06-12"/>
    <s v="Vancouver"/>
    <s v="加拿大二店"/>
    <x v="1"/>
    <x v="6"/>
    <x v="121"/>
    <x v="115"/>
    <x v="125"/>
    <s v="整份"/>
    <n v="12.95"/>
    <s v="份"/>
    <n v="3"/>
    <n v="38.85"/>
    <n v="0"/>
    <n v="0"/>
    <n v="0"/>
    <n v="0"/>
    <n v="0"/>
    <n v="0"/>
    <n v="0"/>
    <n v="0"/>
    <n v="0"/>
    <n v="0"/>
    <n v="3"/>
    <n v="40.79"/>
    <n v="1.94"/>
    <n v="38.85"/>
    <n v="1"/>
  </r>
  <r>
    <s v="2021-06-12"/>
    <s v="Vancouver"/>
    <s v="加拿大二店"/>
    <x v="1"/>
    <x v="6"/>
    <x v="15"/>
    <x v="16"/>
    <x v="16"/>
    <s v="整份"/>
    <n v="8.95"/>
    <s v="份"/>
    <n v="3"/>
    <n v="26.85"/>
    <n v="0"/>
    <n v="0"/>
    <n v="0"/>
    <n v="0"/>
    <n v="0"/>
    <n v="0"/>
    <n v="0"/>
    <n v="0"/>
    <n v="1.79"/>
    <n v="0"/>
    <n v="3"/>
    <n v="26.31"/>
    <n v="1.25"/>
    <n v="25.06"/>
    <n v="1"/>
  </r>
  <r>
    <s v="2021-06-12"/>
    <s v="Vancouver"/>
    <s v="加拿大二店"/>
    <x v="1"/>
    <x v="6"/>
    <x v="111"/>
    <x v="105"/>
    <x v="115"/>
    <s v="整份"/>
    <n v="8.95"/>
    <s v="份"/>
    <n v="5"/>
    <n v="44.75"/>
    <n v="0"/>
    <n v="0"/>
    <n v="0"/>
    <n v="0"/>
    <n v="0"/>
    <n v="0"/>
    <n v="0"/>
    <n v="0"/>
    <n v="0"/>
    <n v="0"/>
    <n v="5"/>
    <n v="46.98"/>
    <n v="2.23"/>
    <n v="44.75"/>
    <n v="1"/>
  </r>
  <r>
    <s v="2021-06-12"/>
    <s v="Vancouver"/>
    <s v="加拿大二店"/>
    <x v="3"/>
    <x v="7"/>
    <x v="16"/>
    <x v="17"/>
    <x v="17"/>
    <s v="整份"/>
    <n v="4.95"/>
    <s v="份"/>
    <n v="22"/>
    <n v="108.9"/>
    <n v="0"/>
    <n v="0"/>
    <n v="0"/>
    <n v="0"/>
    <n v="0"/>
    <n v="0"/>
    <n v="0"/>
    <n v="0"/>
    <n v="0.99"/>
    <n v="0"/>
    <n v="22"/>
    <n v="113.3"/>
    <n v="5.39"/>
    <n v="107.91"/>
    <n v="1"/>
  </r>
  <r>
    <s v="2021-06-12"/>
    <s v="Vancouver"/>
    <s v="加拿大二店"/>
    <x v="2"/>
    <x v="4"/>
    <x v="17"/>
    <x v="18"/>
    <x v="18"/>
    <s v="常温"/>
    <n v="2.95"/>
    <s v="瓶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12"/>
    <s v="Vancouver"/>
    <s v="加拿大二店"/>
    <x v="2"/>
    <x v="4"/>
    <x v="17"/>
    <x v="18"/>
    <x v="18"/>
    <s v="冰镇"/>
    <n v="2.95"/>
    <s v="瓶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12"/>
    <s v="Vancouver"/>
    <s v="加拿大二店"/>
    <x v="2"/>
    <x v="2"/>
    <x v="127"/>
    <x v="121"/>
    <x v="132"/>
    <s v="冰镇"/>
    <n v="4.95"/>
    <s v="瓶"/>
    <n v="3"/>
    <n v="14.85"/>
    <n v="0"/>
    <n v="0"/>
    <n v="0"/>
    <n v="0"/>
    <n v="0"/>
    <n v="0"/>
    <n v="0"/>
    <n v="0"/>
    <n v="0"/>
    <n v="0"/>
    <n v="3"/>
    <n v="17.07"/>
    <n v="2.22"/>
    <n v="14.85"/>
    <n v="1"/>
  </r>
  <r>
    <s v="2021-06-12"/>
    <s v="Vancouver"/>
    <s v="加拿大二店"/>
    <x v="2"/>
    <x v="4"/>
    <x v="18"/>
    <x v="19"/>
    <x v="19"/>
    <s v="冰镇"/>
    <n v="2.95"/>
    <s v="听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12"/>
    <s v="Vancouver"/>
    <s v="加拿大二店"/>
    <x v="1"/>
    <x v="8"/>
    <x v="19"/>
    <x v="20"/>
    <x v="20"/>
    <s v="整份"/>
    <n v="5.95"/>
    <s v="份"/>
    <n v="24"/>
    <n v="142.8"/>
    <n v="0"/>
    <n v="0"/>
    <n v="0"/>
    <n v="0"/>
    <n v="0"/>
    <n v="0"/>
    <n v="0"/>
    <n v="0"/>
    <n v="7.72"/>
    <n v="0"/>
    <n v="24"/>
    <n v="141.83"/>
    <n v="6.75"/>
    <n v="135.08"/>
    <n v="1"/>
  </r>
  <r>
    <s v="2021-06-12"/>
    <s v="Vancouver"/>
    <s v="加拿大二店"/>
    <x v="1"/>
    <x v="8"/>
    <x v="20"/>
    <x v="21"/>
    <x v="21"/>
    <s v="整份"/>
    <n v="7.95"/>
    <s v="份"/>
    <n v="3"/>
    <n v="23.85"/>
    <n v="0"/>
    <n v="0"/>
    <n v="0"/>
    <n v="0"/>
    <n v="0"/>
    <n v="0"/>
    <n v="0"/>
    <n v="0"/>
    <n v="0.5"/>
    <n v="0"/>
    <n v="3"/>
    <n v="24.51"/>
    <n v="1.16"/>
    <n v="23.35"/>
    <n v="1"/>
  </r>
  <r>
    <s v="2021-06-12"/>
    <s v="Vancouver"/>
    <s v="加拿大二店"/>
    <x v="4"/>
    <x v="9"/>
    <x v="22"/>
    <x v="0"/>
    <x v="23"/>
    <s v="拼锅"/>
    <n v="11.95"/>
    <s v="锅"/>
    <n v="4"/>
    <n v="47.8"/>
    <n v="0"/>
    <n v="0"/>
    <n v="0"/>
    <n v="0"/>
    <n v="0"/>
    <n v="0"/>
    <n v="0"/>
    <n v="0.01"/>
    <n v="0"/>
    <n v="0"/>
    <n v="4"/>
    <n v="50.65"/>
    <n v="2.86"/>
    <n v="47.79"/>
    <n v="2"/>
  </r>
  <r>
    <s v="2021-06-12"/>
    <s v="Vancouver"/>
    <s v="加拿大二店"/>
    <x v="4"/>
    <x v="10"/>
    <x v="22"/>
    <x v="0"/>
    <x v="23"/>
    <s v="四宫格"/>
    <n v="5.95"/>
    <s v="锅"/>
    <n v="3"/>
    <n v="17.85"/>
    <n v="0"/>
    <n v="0"/>
    <n v="0"/>
    <n v="0"/>
    <n v="0"/>
    <n v="0"/>
    <n v="0"/>
    <n v="-0.01"/>
    <n v="0"/>
    <n v="0"/>
    <n v="3"/>
    <n v="18.93"/>
    <n v="1.07"/>
    <n v="17.86"/>
    <n v="1"/>
  </r>
  <r>
    <s v="2021-06-12"/>
    <s v="Vancouver"/>
    <s v="加拿大二店"/>
    <x v="3"/>
    <x v="7"/>
    <x v="23"/>
    <x v="23"/>
    <x v="24"/>
    <s v="整份"/>
    <n v="4.95"/>
    <s v="份"/>
    <n v="15"/>
    <n v="74.25"/>
    <n v="0"/>
    <n v="0"/>
    <n v="0"/>
    <n v="0"/>
    <n v="0"/>
    <n v="0"/>
    <n v="0"/>
    <n v="0"/>
    <n v="3.37"/>
    <n v="0"/>
    <n v="15"/>
    <n v="74.42"/>
    <n v="3.54"/>
    <n v="70.88"/>
    <n v="1"/>
  </r>
  <r>
    <s v="2021-06-12"/>
    <s v="Vancouver"/>
    <s v="加拿大二店"/>
    <x v="3"/>
    <x v="11"/>
    <x v="24"/>
    <x v="118"/>
    <x v="129"/>
    <s v="整份"/>
    <n v="5.95"/>
    <s v="份"/>
    <n v="4"/>
    <n v="23.8"/>
    <n v="0"/>
    <n v="0"/>
    <n v="0"/>
    <n v="0"/>
    <n v="0"/>
    <n v="0"/>
    <n v="0"/>
    <n v="0"/>
    <n v="0"/>
    <n v="0"/>
    <n v="4"/>
    <n v="24.99"/>
    <n v="1.19"/>
    <n v="23.8"/>
    <n v="1"/>
  </r>
  <r>
    <s v="2021-06-12"/>
    <s v="Vancouver"/>
    <s v="加拿大二店"/>
    <x v="3"/>
    <x v="11"/>
    <x v="24"/>
    <x v="24"/>
    <x v="25"/>
    <s v="半份"/>
    <n v="2.95"/>
    <s v="份"/>
    <n v="3"/>
    <n v="8.85"/>
    <n v="0"/>
    <n v="0"/>
    <n v="0"/>
    <n v="0"/>
    <n v="0"/>
    <n v="0"/>
    <n v="0"/>
    <n v="0"/>
    <n v="0"/>
    <n v="0"/>
    <n v="3"/>
    <n v="9.29"/>
    <n v="0.44"/>
    <n v="8.85"/>
    <n v="0.5"/>
  </r>
  <r>
    <s v="2021-06-12"/>
    <s v="Vancouver"/>
    <s v="加拿大二店"/>
    <x v="3"/>
    <x v="5"/>
    <x v="25"/>
    <x v="25"/>
    <x v="26"/>
    <s v="整份"/>
    <n v="3.95"/>
    <s v="份"/>
    <n v="9"/>
    <n v="35.55"/>
    <n v="0"/>
    <n v="0"/>
    <n v="0"/>
    <n v="0"/>
    <n v="0"/>
    <n v="0"/>
    <n v="0"/>
    <n v="0"/>
    <n v="0.25"/>
    <n v="0"/>
    <n v="9"/>
    <n v="37.06"/>
    <n v="1.76"/>
    <n v="35.3"/>
    <n v="1"/>
  </r>
  <r>
    <s v="2021-06-12"/>
    <s v="Vancouver"/>
    <s v="加拿大二店"/>
    <x v="3"/>
    <x v="11"/>
    <x v="26"/>
    <x v="26"/>
    <x v="27"/>
    <s v="整份"/>
    <n v="4.95"/>
    <s v="份"/>
    <n v="13"/>
    <n v="64.35"/>
    <n v="0"/>
    <n v="0"/>
    <n v="0"/>
    <n v="0"/>
    <n v="0"/>
    <n v="0"/>
    <n v="0"/>
    <n v="0"/>
    <n v="1.98"/>
    <n v="0"/>
    <n v="13"/>
    <n v="65.48"/>
    <n v="3.11"/>
    <n v="62.37"/>
    <n v="1"/>
  </r>
  <r>
    <s v="2021-06-12"/>
    <s v="Vancouver"/>
    <s v="加拿大二店"/>
    <x v="3"/>
    <x v="11"/>
    <x v="26"/>
    <x v="27"/>
    <x v="28"/>
    <s v="半份"/>
    <n v="2.45"/>
    <s v="份"/>
    <n v="13"/>
    <n v="31.85"/>
    <n v="0"/>
    <n v="0"/>
    <n v="0"/>
    <n v="0"/>
    <n v="0"/>
    <n v="0"/>
    <n v="0"/>
    <n v="0"/>
    <n v="0.78"/>
    <n v="0"/>
    <n v="13"/>
    <n v="32.62"/>
    <n v="1.55"/>
    <n v="31.07"/>
    <n v="0.5"/>
  </r>
  <r>
    <s v="2021-06-12"/>
    <s v="Vancouver"/>
    <s v="加拿大二店"/>
    <x v="5"/>
    <x v="12"/>
    <x v="27"/>
    <x v="28"/>
    <x v="29"/>
    <s v="整份"/>
    <n v="7.95"/>
    <s v="份"/>
    <n v="8"/>
    <n v="63.6"/>
    <n v="1"/>
    <n v="7.95"/>
    <n v="0"/>
    <n v="0"/>
    <n v="0"/>
    <n v="0"/>
    <n v="0"/>
    <n v="0"/>
    <n v="3.97"/>
    <n v="0"/>
    <n v="7"/>
    <n v="54.26"/>
    <n v="2.58"/>
    <n v="51.68"/>
    <n v="1"/>
  </r>
  <r>
    <s v="2021-06-12"/>
    <s v="Vancouver"/>
    <s v="加拿大二店"/>
    <x v="3"/>
    <x v="7"/>
    <x v="28"/>
    <x v="29"/>
    <x v="30"/>
    <s v="整份"/>
    <n v="4.95"/>
    <s v="份"/>
    <n v="29"/>
    <n v="143.55"/>
    <n v="1"/>
    <n v="4.95"/>
    <n v="0"/>
    <n v="0"/>
    <n v="0"/>
    <n v="0"/>
    <n v="0"/>
    <n v="0"/>
    <n v="7.33"/>
    <n v="0"/>
    <n v="28"/>
    <n v="137.83"/>
    <n v="6.56"/>
    <n v="131.27"/>
    <n v="1"/>
  </r>
  <r>
    <s v="2021-06-12"/>
    <s v="Vancouver"/>
    <s v="加拿大二店"/>
    <x v="2"/>
    <x v="4"/>
    <x v="112"/>
    <x v="106"/>
    <x v="116"/>
    <s v="常温"/>
    <n v="3.95"/>
    <s v="瓶"/>
    <n v="1"/>
    <n v="3.95"/>
    <n v="0"/>
    <n v="0"/>
    <n v="0"/>
    <n v="0"/>
    <n v="0"/>
    <n v="0"/>
    <n v="0"/>
    <n v="0"/>
    <n v="0"/>
    <n v="0"/>
    <n v="1"/>
    <n v="4.42"/>
    <n v="0.47"/>
    <n v="3.95"/>
    <n v="1"/>
  </r>
  <r>
    <s v="2021-06-12"/>
    <s v="Vancouver"/>
    <s v="加拿大二店"/>
    <x v="3"/>
    <x v="5"/>
    <x v="29"/>
    <x v="30"/>
    <x v="31"/>
    <s v="整份"/>
    <n v="3.95"/>
    <s v="份"/>
    <n v="7"/>
    <n v="27.65"/>
    <n v="0"/>
    <n v="0"/>
    <n v="0"/>
    <n v="0"/>
    <n v="0"/>
    <n v="0"/>
    <n v="0"/>
    <n v="0"/>
    <n v="2.17"/>
    <n v="0"/>
    <n v="7"/>
    <n v="26.75"/>
    <n v="1.27"/>
    <n v="25.48"/>
    <n v="1"/>
  </r>
  <r>
    <s v="2021-06-12"/>
    <s v="Vancouver"/>
    <s v="加拿大二店"/>
    <x v="6"/>
    <x v="13"/>
    <x v="30"/>
    <x v="31"/>
    <x v="32"/>
    <s v="整份"/>
    <n v="4.95"/>
    <s v="份"/>
    <n v="16"/>
    <n v="79.2"/>
    <n v="0"/>
    <n v="0"/>
    <n v="0"/>
    <n v="0"/>
    <n v="2"/>
    <n v="9.9"/>
    <n v="0"/>
    <n v="0"/>
    <n v="0.59"/>
    <n v="0"/>
    <n v="14"/>
    <n v="72.14"/>
    <n v="3.43"/>
    <n v="68.71"/>
    <n v="1"/>
  </r>
  <r>
    <s v="2021-06-12"/>
    <s v="Vancouver"/>
    <s v="加拿大二店"/>
    <x v="6"/>
    <x v="13"/>
    <x v="31"/>
    <x v="32"/>
    <x v="33"/>
    <s v="整份"/>
    <n v="9.95"/>
    <s v="份"/>
    <n v="2"/>
    <n v="19.9"/>
    <n v="0"/>
    <n v="0"/>
    <n v="0"/>
    <n v="0"/>
    <n v="0"/>
    <n v="0"/>
    <n v="0"/>
    <n v="0"/>
    <n v="0"/>
    <n v="0"/>
    <n v="2"/>
    <n v="20.89"/>
    <n v="0.99"/>
    <n v="19.9"/>
    <n v="1"/>
  </r>
  <r>
    <s v="2021-06-12"/>
    <s v="Vancouver"/>
    <s v="加拿大二店"/>
    <x v="5"/>
    <x v="12"/>
    <x v="32"/>
    <x v="33"/>
    <x v="34"/>
    <s v="整份"/>
    <n v="17.85"/>
    <s v="份"/>
    <n v="3"/>
    <n v="53.55"/>
    <n v="0"/>
    <n v="0"/>
    <n v="0"/>
    <n v="0"/>
    <n v="0"/>
    <n v="0"/>
    <n v="0"/>
    <n v="0"/>
    <n v="0"/>
    <n v="0"/>
    <n v="3"/>
    <n v="56.22"/>
    <n v="2.67"/>
    <n v="53.55"/>
    <n v="1"/>
  </r>
  <r>
    <s v="2021-06-12"/>
    <s v="Vancouver"/>
    <s v="加拿大二店"/>
    <x v="1"/>
    <x v="3"/>
    <x v="33"/>
    <x v="34"/>
    <x v="35"/>
    <s v="整份"/>
    <n v="11.95"/>
    <s v="份"/>
    <n v="39"/>
    <n v="466.05"/>
    <n v="0"/>
    <n v="0"/>
    <n v="0"/>
    <n v="0"/>
    <n v="1"/>
    <n v="11.95"/>
    <n v="0"/>
    <n v="0.01"/>
    <n v="23.83"/>
    <n v="0"/>
    <n v="38"/>
    <n v="451.77"/>
    <n v="21.51"/>
    <n v="430.26"/>
    <n v="1"/>
  </r>
  <r>
    <s v="2021-06-12"/>
    <s v="Vancouver"/>
    <s v="加拿大二店"/>
    <x v="5"/>
    <x v="12"/>
    <x v="34"/>
    <x v="35"/>
    <x v="36"/>
    <s v="整份"/>
    <n v="11.95"/>
    <s v="份"/>
    <n v="12"/>
    <n v="143.4"/>
    <n v="0"/>
    <n v="0"/>
    <n v="0"/>
    <n v="0"/>
    <n v="0"/>
    <n v="0"/>
    <n v="0"/>
    <n v="0"/>
    <n v="14.97"/>
    <n v="0"/>
    <n v="12"/>
    <n v="134.85"/>
    <n v="6.42"/>
    <n v="128.43"/>
    <n v="1"/>
  </r>
  <r>
    <s v="2021-06-12"/>
    <s v="Vancouver"/>
    <s v="加拿大二店"/>
    <x v="5"/>
    <x v="12"/>
    <x v="35"/>
    <x v="36"/>
    <x v="37"/>
    <s v="条"/>
    <n v="4.95"/>
    <s v="条"/>
    <n v="26"/>
    <n v="128.7"/>
    <n v="0"/>
    <n v="0"/>
    <n v="0"/>
    <n v="0"/>
    <n v="3"/>
    <n v="14.85"/>
    <n v="0"/>
    <n v="0.02"/>
    <n v="3.69"/>
    <n v="0"/>
    <n v="23"/>
    <n v="115.64"/>
    <n v="5.5"/>
    <n v="110.14"/>
    <n v="1"/>
  </r>
  <r>
    <s v="2021-06-12"/>
    <s v="Vancouver"/>
    <s v="加拿大二店"/>
    <x v="5"/>
    <x v="12"/>
    <x v="36"/>
    <x v="37"/>
    <x v="38"/>
    <s v="整份"/>
    <n v="13.95"/>
    <s v="份"/>
    <n v="27"/>
    <n v="376.65"/>
    <n v="1"/>
    <n v="13.95"/>
    <n v="0"/>
    <n v="0"/>
    <n v="0"/>
    <n v="0"/>
    <n v="0"/>
    <n v="0.01"/>
    <n v="25.98"/>
    <n v="0"/>
    <n v="26"/>
    <n v="353.54"/>
    <n v="16.83"/>
    <n v="336.71"/>
    <n v="1"/>
  </r>
  <r>
    <s v="2021-06-12"/>
    <s v="Vancouver"/>
    <s v="加拿大二店"/>
    <x v="5"/>
    <x v="12"/>
    <x v="37"/>
    <x v="38"/>
    <x v="39"/>
    <s v="整份"/>
    <n v="9.95"/>
    <s v="份"/>
    <n v="24"/>
    <n v="238.8"/>
    <n v="0"/>
    <n v="0"/>
    <n v="0"/>
    <n v="0"/>
    <n v="0"/>
    <n v="0"/>
    <n v="0"/>
    <n v="0"/>
    <n v="10.21"/>
    <n v="0"/>
    <n v="24"/>
    <n v="240.01"/>
    <n v="11.42"/>
    <n v="228.59"/>
    <n v="1"/>
  </r>
  <r>
    <s v="2021-06-12"/>
    <s v="Vancouver"/>
    <s v="加拿大二店"/>
    <x v="5"/>
    <x v="12"/>
    <x v="38"/>
    <x v="39"/>
    <x v="40"/>
    <s v="整份"/>
    <n v="9.95"/>
    <s v="份"/>
    <n v="3"/>
    <n v="29.85"/>
    <n v="0"/>
    <n v="0"/>
    <n v="0"/>
    <n v="0"/>
    <n v="0"/>
    <n v="0"/>
    <n v="0"/>
    <n v="0"/>
    <n v="0"/>
    <n v="0"/>
    <n v="3"/>
    <n v="31.34"/>
    <n v="1.49"/>
    <n v="29.85"/>
    <n v="1"/>
  </r>
  <r>
    <s v="2021-06-12"/>
    <s v="Vancouver"/>
    <s v="加拿大二店"/>
    <x v="6"/>
    <x v="13"/>
    <x v="39"/>
    <x v="40"/>
    <x v="41"/>
    <s v="整份"/>
    <n v="8.95"/>
    <s v="份"/>
    <n v="28"/>
    <n v="250.6"/>
    <n v="1"/>
    <n v="8.95"/>
    <n v="0"/>
    <n v="0"/>
    <n v="1"/>
    <n v="8.95"/>
    <n v="0"/>
    <n v="0"/>
    <n v="4.47"/>
    <n v="0"/>
    <n v="26"/>
    <n v="239.64"/>
    <n v="11.41"/>
    <n v="228.23"/>
    <n v="1"/>
  </r>
  <r>
    <s v="2021-06-12"/>
    <s v="Vancouver"/>
    <s v="加拿大二店"/>
    <x v="5"/>
    <x v="12"/>
    <x v="40"/>
    <x v="41"/>
    <x v="42"/>
    <s v="整份"/>
    <n v="9.95"/>
    <s v="份"/>
    <n v="14"/>
    <n v="139.3"/>
    <n v="0"/>
    <n v="0"/>
    <n v="0"/>
    <n v="0"/>
    <n v="0"/>
    <n v="0"/>
    <n v="0"/>
    <n v="0"/>
    <n v="8.95"/>
    <n v="0"/>
    <n v="14"/>
    <n v="136.86"/>
    <n v="6.51"/>
    <n v="130.35"/>
    <n v="1"/>
  </r>
  <r>
    <s v="2021-06-12"/>
    <s v="Vancouver"/>
    <s v="加拿大二店"/>
    <x v="1"/>
    <x v="6"/>
    <x v="131"/>
    <x v="125"/>
    <x v="136"/>
    <s v="整份"/>
    <n v="28.95"/>
    <s v="份"/>
    <n v="4"/>
    <n v="115.8"/>
    <n v="0"/>
    <n v="0"/>
    <n v="0"/>
    <n v="0"/>
    <n v="0"/>
    <n v="0"/>
    <n v="0"/>
    <n v="0.02"/>
    <n v="5.79"/>
    <n v="0"/>
    <n v="4"/>
    <n v="116.58"/>
    <n v="6.59"/>
    <n v="109.99"/>
    <n v="1"/>
  </r>
  <r>
    <s v="2021-06-12"/>
    <s v="Vancouver"/>
    <s v="加拿大二店"/>
    <x v="5"/>
    <x v="12"/>
    <x v="41"/>
    <x v="42"/>
    <x v="43"/>
    <s v="整份"/>
    <n v="7.95"/>
    <s v="份"/>
    <n v="18"/>
    <n v="143.1"/>
    <n v="0"/>
    <n v="0"/>
    <n v="0"/>
    <n v="0"/>
    <n v="0"/>
    <n v="0"/>
    <n v="0"/>
    <n v="0"/>
    <n v="10.82"/>
    <n v="0"/>
    <n v="18"/>
    <n v="138.89"/>
    <n v="6.61"/>
    <n v="132.28"/>
    <n v="1"/>
  </r>
  <r>
    <s v="2021-06-12"/>
    <s v="Vancouver"/>
    <s v="加拿大二店"/>
    <x v="2"/>
    <x v="2"/>
    <x v="42"/>
    <x v="43"/>
    <x v="44"/>
    <s v="冰镇"/>
    <n v="5.95"/>
    <s v="瓶"/>
    <n v="9"/>
    <n v="53.55"/>
    <n v="0"/>
    <n v="0"/>
    <n v="0"/>
    <n v="0"/>
    <n v="0"/>
    <n v="0"/>
    <n v="0"/>
    <n v="0"/>
    <n v="0"/>
    <n v="0"/>
    <n v="9"/>
    <n v="61.58"/>
    <n v="8.03"/>
    <n v="53.55"/>
    <n v="1"/>
  </r>
  <r>
    <s v="2021-06-12"/>
    <s v="Vancouver"/>
    <s v="加拿大二店"/>
    <x v="3"/>
    <x v="5"/>
    <x v="43"/>
    <x v="44"/>
    <x v="45"/>
    <s v="整份"/>
    <n v="3.95"/>
    <s v="份"/>
    <n v="8"/>
    <n v="31.6"/>
    <n v="0"/>
    <n v="0"/>
    <n v="0"/>
    <n v="0"/>
    <n v="0"/>
    <n v="0"/>
    <n v="0"/>
    <n v="0"/>
    <n v="0"/>
    <n v="0"/>
    <n v="8"/>
    <n v="33.18"/>
    <n v="1.58"/>
    <n v="31.6"/>
    <n v="1"/>
  </r>
  <r>
    <s v="2021-06-12"/>
    <s v="Vancouver"/>
    <s v="加拿大二店"/>
    <x v="7"/>
    <x v="14"/>
    <x v="44"/>
    <x v="45"/>
    <x v="46"/>
    <s v="整份"/>
    <n v="0"/>
    <s v="份"/>
    <n v="27"/>
    <n v="0"/>
    <n v="3"/>
    <n v="0"/>
    <n v="0"/>
    <n v="0"/>
    <n v="0"/>
    <n v="0"/>
    <n v="0"/>
    <n v="0.02"/>
    <n v="0"/>
    <n v="0"/>
    <n v="24"/>
    <n v="-0.02"/>
    <n v="-0.01"/>
    <n v="-0.01"/>
    <n v="1"/>
  </r>
  <r>
    <s v="2021-06-12"/>
    <s v="Vancouver"/>
    <s v="加拿大二店"/>
    <x v="7"/>
    <x v="14"/>
    <x v="45"/>
    <x v="46"/>
    <x v="47"/>
    <s v="整份"/>
    <n v="1.5"/>
    <s v="份"/>
    <n v="1"/>
    <n v="1.5"/>
    <n v="0"/>
    <n v="0"/>
    <n v="0"/>
    <n v="0"/>
    <n v="0"/>
    <n v="0"/>
    <n v="0"/>
    <n v="0"/>
    <n v="0"/>
    <n v="0"/>
    <n v="1"/>
    <n v="1.57"/>
    <n v="0.07"/>
    <n v="1.5"/>
    <n v="1"/>
  </r>
  <r>
    <s v="2021-06-12"/>
    <s v="Vancouver"/>
    <s v="加拿大二店"/>
    <x v="7"/>
    <x v="14"/>
    <x v="45"/>
    <x v="46"/>
    <x v="47"/>
    <s v="整份"/>
    <n v="9.99"/>
    <s v="份"/>
    <n v="1"/>
    <n v="9.99"/>
    <n v="0"/>
    <n v="0"/>
    <n v="0"/>
    <n v="0"/>
    <n v="0"/>
    <n v="0"/>
    <n v="0"/>
    <n v="-0.01"/>
    <n v="0"/>
    <n v="0"/>
    <n v="1"/>
    <n v="10.5"/>
    <n v="0.5"/>
    <n v="10"/>
    <n v="1"/>
  </r>
  <r>
    <s v="2021-06-12"/>
    <s v="Vancouver"/>
    <s v="加拿大二店"/>
    <x v="7"/>
    <x v="14"/>
    <x v="45"/>
    <x v="46"/>
    <x v="47"/>
    <s v="整份"/>
    <n v="12.99"/>
    <s v="份"/>
    <n v="1"/>
    <n v="12.99"/>
    <n v="0"/>
    <n v="0"/>
    <n v="0"/>
    <n v="0"/>
    <n v="0"/>
    <n v="0"/>
    <n v="0"/>
    <n v="-0.01"/>
    <n v="0"/>
    <n v="0"/>
    <n v="1"/>
    <n v="13.65"/>
    <n v="0.65"/>
    <n v="13"/>
    <n v="1"/>
  </r>
  <r>
    <s v="2021-06-12"/>
    <s v="Vancouver"/>
    <s v="加拿大二店"/>
    <x v="7"/>
    <x v="14"/>
    <x v="45"/>
    <x v="46"/>
    <x v="47"/>
    <s v="整份"/>
    <n v="13"/>
    <s v="份"/>
    <n v="1"/>
    <n v="13"/>
    <n v="0"/>
    <n v="0"/>
    <n v="0"/>
    <n v="0"/>
    <n v="0"/>
    <n v="0"/>
    <n v="0"/>
    <n v="0"/>
    <n v="0"/>
    <n v="0"/>
    <n v="1"/>
    <n v="13.65"/>
    <n v="0.65"/>
    <n v="13"/>
    <n v="1"/>
  </r>
  <r>
    <s v="2021-06-12"/>
    <s v="Vancouver"/>
    <s v="加拿大二店"/>
    <x v="7"/>
    <x v="14"/>
    <x v="45"/>
    <x v="46"/>
    <x v="47"/>
    <s v="整份"/>
    <n v="20"/>
    <s v="份"/>
    <n v="2"/>
    <n v="40"/>
    <n v="0"/>
    <n v="0"/>
    <n v="0"/>
    <n v="0"/>
    <n v="0"/>
    <n v="0"/>
    <n v="0"/>
    <n v="0.02"/>
    <n v="0"/>
    <n v="0"/>
    <n v="2"/>
    <n v="41.97"/>
    <n v="1.99"/>
    <n v="39.98"/>
    <n v="1"/>
  </r>
  <r>
    <s v="2021-06-12"/>
    <s v="Vancouver"/>
    <s v="加拿大二店"/>
    <x v="7"/>
    <x v="14"/>
    <x v="45"/>
    <x v="46"/>
    <x v="47"/>
    <s v="整份"/>
    <n v="27.94"/>
    <s v="份"/>
    <n v="1"/>
    <n v="27.94"/>
    <n v="0"/>
    <n v="0"/>
    <n v="0"/>
    <n v="0"/>
    <n v="0"/>
    <n v="0"/>
    <n v="0"/>
    <n v="0"/>
    <n v="0"/>
    <n v="0"/>
    <n v="1"/>
    <n v="29.33"/>
    <n v="1.39"/>
    <n v="27.94"/>
    <n v="1"/>
  </r>
  <r>
    <s v="2021-06-12"/>
    <s v="Vancouver"/>
    <s v="加拿大二店"/>
    <x v="7"/>
    <x v="14"/>
    <x v="45"/>
    <x v="46"/>
    <x v="47"/>
    <s v="整份"/>
    <n v="51.58"/>
    <s v="份"/>
    <n v="1"/>
    <n v="51.58"/>
    <n v="0"/>
    <n v="0"/>
    <n v="0"/>
    <n v="0"/>
    <n v="0"/>
    <n v="0"/>
    <n v="0"/>
    <n v="-0.01"/>
    <n v="0"/>
    <n v="0"/>
    <n v="1"/>
    <n v="54.16"/>
    <n v="2.57"/>
    <n v="51.59"/>
    <n v="1"/>
  </r>
  <r>
    <s v="2021-06-12"/>
    <s v="Vancouver"/>
    <s v="加拿大二店"/>
    <x v="2"/>
    <x v="4"/>
    <x v="47"/>
    <x v="48"/>
    <x v="49"/>
    <s v="常温"/>
    <n v="2.95"/>
    <s v="听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12"/>
    <s v="Vancouver"/>
    <s v="加拿大二店"/>
    <x v="2"/>
    <x v="4"/>
    <x v="47"/>
    <x v="48"/>
    <x v="49"/>
    <s v="冰镇"/>
    <n v="2.95"/>
    <s v="听"/>
    <n v="7"/>
    <n v="20.65"/>
    <n v="0"/>
    <n v="0"/>
    <n v="0"/>
    <n v="0"/>
    <n v="0"/>
    <n v="0"/>
    <n v="0"/>
    <n v="0"/>
    <n v="0"/>
    <n v="0"/>
    <n v="7"/>
    <n v="23.12"/>
    <n v="2.47"/>
    <n v="20.65"/>
    <n v="1"/>
  </r>
  <r>
    <s v="2021-06-12"/>
    <s v="Vancouver"/>
    <s v="加拿大二店"/>
    <x v="2"/>
    <x v="21"/>
    <x v="133"/>
    <x v="127"/>
    <x v="138"/>
    <s v="小瓶"/>
    <n v="9.95"/>
    <s v="小瓶"/>
    <n v="1"/>
    <n v="9.95"/>
    <n v="0"/>
    <n v="0"/>
    <n v="0"/>
    <n v="0"/>
    <n v="0"/>
    <n v="0"/>
    <n v="0"/>
    <n v="0"/>
    <n v="0"/>
    <n v="0"/>
    <n v="1"/>
    <n v="11.44"/>
    <n v="1.49"/>
    <n v="9.95"/>
    <n v="1"/>
  </r>
  <r>
    <s v="2021-06-12"/>
    <s v="Vancouver"/>
    <s v="加拿大二店"/>
    <x v="6"/>
    <x v="13"/>
    <x v="48"/>
    <x v="49"/>
    <x v="50"/>
    <s v="整份"/>
    <n v="4.95"/>
    <s v="份"/>
    <n v="12"/>
    <n v="59.4"/>
    <n v="0"/>
    <n v="0"/>
    <n v="0"/>
    <n v="0"/>
    <n v="0"/>
    <n v="0"/>
    <n v="0"/>
    <n v="0"/>
    <n v="3.96"/>
    <n v="0"/>
    <n v="12"/>
    <n v="58.21"/>
    <n v="2.77"/>
    <n v="55.44"/>
    <n v="1"/>
  </r>
  <r>
    <s v="2021-06-12"/>
    <s v="Vancouver"/>
    <s v="加拿大二店"/>
    <x v="3"/>
    <x v="7"/>
    <x v="49"/>
    <x v="50"/>
    <x v="51"/>
    <s v="整份"/>
    <n v="4.95"/>
    <s v="份"/>
    <n v="3"/>
    <n v="14.85"/>
    <n v="0"/>
    <n v="0"/>
    <n v="0"/>
    <n v="0"/>
    <n v="0"/>
    <n v="0"/>
    <n v="0"/>
    <n v="0"/>
    <n v="0.99"/>
    <n v="0"/>
    <n v="3"/>
    <n v="14.55"/>
    <n v="0.69"/>
    <n v="13.86"/>
    <n v="1"/>
  </r>
  <r>
    <s v="2021-06-12"/>
    <s v="Vancouver"/>
    <s v="加拿大二店"/>
    <x v="6"/>
    <x v="15"/>
    <x v="50"/>
    <x v="51"/>
    <x v="52"/>
    <s v="份"/>
    <n v="8.95"/>
    <s v="份"/>
    <n v="2"/>
    <n v="17.9"/>
    <n v="0"/>
    <n v="0"/>
    <n v="0"/>
    <n v="0"/>
    <n v="0"/>
    <n v="0"/>
    <n v="0"/>
    <n v="-0.02"/>
    <n v="0"/>
    <n v="0"/>
    <n v="2"/>
    <n v="18.81"/>
    <n v="0.89"/>
    <n v="17.92"/>
    <n v="1"/>
  </r>
  <r>
    <s v="2021-06-12"/>
    <s v="Vancouver"/>
    <s v="加拿大二店"/>
    <x v="3"/>
    <x v="5"/>
    <x v="51"/>
    <x v="52"/>
    <x v="53"/>
    <s v="整份"/>
    <n v="3.95"/>
    <s v="份"/>
    <n v="11"/>
    <n v="43.45"/>
    <n v="0"/>
    <n v="0"/>
    <n v="0"/>
    <n v="0"/>
    <n v="0"/>
    <n v="0"/>
    <n v="0"/>
    <n v="0"/>
    <n v="2.76"/>
    <n v="0"/>
    <n v="11"/>
    <n v="42.72"/>
    <n v="2.03"/>
    <n v="40.69"/>
    <n v="1"/>
  </r>
  <r>
    <s v="2021-06-12"/>
    <s v="Vancouver"/>
    <s v="加拿大二店"/>
    <x v="3"/>
    <x v="5"/>
    <x v="52"/>
    <x v="53"/>
    <x v="54"/>
    <s v="整份"/>
    <n v="5.95"/>
    <s v="份"/>
    <n v="5"/>
    <n v="29.75"/>
    <n v="0"/>
    <n v="0"/>
    <n v="0"/>
    <n v="0"/>
    <n v="0"/>
    <n v="0"/>
    <n v="0"/>
    <n v="-0.02"/>
    <n v="4.46"/>
    <n v="0"/>
    <n v="5"/>
    <n v="26.57"/>
    <n v="1.26"/>
    <n v="25.31"/>
    <n v="1"/>
  </r>
  <r>
    <s v="2021-06-12"/>
    <s v="Vancouver"/>
    <s v="加拿大二店"/>
    <x v="4"/>
    <x v="9"/>
    <x v="53"/>
    <x v="0"/>
    <x v="55"/>
    <s v="拼锅"/>
    <n v="0"/>
    <s v="锅"/>
    <n v="13"/>
    <n v="0"/>
    <n v="0"/>
    <n v="0"/>
    <n v="0"/>
    <n v="0"/>
    <n v="0"/>
    <n v="0"/>
    <n v="0"/>
    <n v="-0.03"/>
    <n v="0"/>
    <n v="0"/>
    <n v="13"/>
    <n v="0.03"/>
    <n v="0"/>
    <n v="0.03"/>
    <n v="2"/>
  </r>
  <r>
    <s v="2021-06-12"/>
    <s v="Vancouver"/>
    <s v="加拿大二店"/>
    <x v="4"/>
    <x v="10"/>
    <x v="53"/>
    <x v="0"/>
    <x v="55"/>
    <s v="四宫格"/>
    <n v="0"/>
    <s v="锅"/>
    <n v="8"/>
    <n v="0"/>
    <n v="0"/>
    <n v="0"/>
    <n v="0"/>
    <n v="0"/>
    <n v="0"/>
    <n v="0"/>
    <n v="0"/>
    <n v="-0.02"/>
    <n v="0"/>
    <n v="0"/>
    <n v="8"/>
    <n v="0.02"/>
    <n v="0"/>
    <n v="0.02"/>
    <n v="1"/>
  </r>
  <r>
    <s v="2021-06-12"/>
    <s v="Vancouver"/>
    <s v="加拿大二店"/>
    <x v="6"/>
    <x v="13"/>
    <x v="54"/>
    <x v="54"/>
    <x v="56"/>
    <s v="个"/>
    <n v="1.95"/>
    <s v="个"/>
    <n v="13"/>
    <n v="25.35"/>
    <n v="0"/>
    <n v="0"/>
    <n v="0"/>
    <n v="0"/>
    <n v="0"/>
    <n v="0"/>
    <n v="0"/>
    <n v="0"/>
    <n v="0"/>
    <n v="0"/>
    <n v="13"/>
    <n v="26.61"/>
    <n v="1.26"/>
    <n v="25.35"/>
    <n v="1"/>
  </r>
  <r>
    <s v="2021-06-12"/>
    <s v="Vancouver"/>
    <s v="加拿大二店"/>
    <x v="6"/>
    <x v="13"/>
    <x v="114"/>
    <x v="108"/>
    <x v="118"/>
    <s v="整份"/>
    <n v="7.95"/>
    <s v="份"/>
    <n v="2"/>
    <n v="15.9"/>
    <n v="0"/>
    <n v="0"/>
    <n v="0"/>
    <n v="0"/>
    <n v="0"/>
    <n v="0"/>
    <n v="0"/>
    <n v="-0.02"/>
    <n v="0"/>
    <n v="0"/>
    <n v="2"/>
    <n v="16.71"/>
    <n v="0.79"/>
    <n v="15.92"/>
    <n v="1"/>
  </r>
  <r>
    <s v="2021-06-12"/>
    <s v="Vancouver"/>
    <s v="加拿大二店"/>
    <x v="1"/>
    <x v="8"/>
    <x v="55"/>
    <x v="55"/>
    <x v="57"/>
    <s v="整份"/>
    <n v="9.95"/>
    <s v="份"/>
    <n v="8"/>
    <n v="79.6"/>
    <n v="0"/>
    <n v="0"/>
    <n v="0"/>
    <n v="0"/>
    <n v="0"/>
    <n v="0"/>
    <n v="0"/>
    <n v="0"/>
    <n v="0"/>
    <n v="0"/>
    <n v="8"/>
    <n v="83.58"/>
    <n v="3.98"/>
    <n v="79.6"/>
    <n v="1"/>
  </r>
  <r>
    <s v="2021-06-12"/>
    <s v="Vancouver"/>
    <s v="加拿大二店"/>
    <x v="1"/>
    <x v="1"/>
    <x v="56"/>
    <x v="56"/>
    <x v="58"/>
    <s v="整份"/>
    <n v="12.95"/>
    <s v="份"/>
    <n v="16"/>
    <n v="207.2"/>
    <n v="1"/>
    <n v="12.95"/>
    <n v="0"/>
    <n v="0"/>
    <n v="0"/>
    <n v="0"/>
    <n v="0"/>
    <n v="0"/>
    <n v="1.55"/>
    <n v="0"/>
    <n v="15"/>
    <n v="202.33"/>
    <n v="9.63"/>
    <n v="192.7"/>
    <n v="1"/>
  </r>
  <r>
    <s v="2021-06-12"/>
    <s v="Vancouver"/>
    <s v="加拿大二店"/>
    <x v="1"/>
    <x v="1"/>
    <x v="57"/>
    <x v="57"/>
    <x v="59"/>
    <s v="整份"/>
    <n v="11.95"/>
    <s v="份"/>
    <n v="67"/>
    <n v="800.65"/>
    <n v="1"/>
    <n v="11.95"/>
    <n v="0"/>
    <n v="0"/>
    <n v="0"/>
    <n v="0"/>
    <n v="0"/>
    <n v="0"/>
    <n v="21.75"/>
    <n v="0"/>
    <n v="66"/>
    <n v="805.29"/>
    <n v="38.34"/>
    <n v="766.95"/>
    <n v="1"/>
  </r>
  <r>
    <s v="2021-06-12"/>
    <s v="Vancouver"/>
    <s v="加拿大二店"/>
    <x v="4"/>
    <x v="9"/>
    <x v="58"/>
    <x v="0"/>
    <x v="60"/>
    <s v="拼锅"/>
    <n v="8.95"/>
    <s v="锅"/>
    <n v="25"/>
    <n v="223.75"/>
    <n v="0"/>
    <n v="0"/>
    <n v="0"/>
    <n v="0"/>
    <n v="0"/>
    <n v="0"/>
    <n v="0"/>
    <n v="0.02"/>
    <n v="1.79"/>
    <n v="0"/>
    <n v="25"/>
    <n v="233.03"/>
    <n v="11.09"/>
    <n v="221.94"/>
    <n v="2"/>
  </r>
  <r>
    <s v="2021-06-12"/>
    <s v="Vancouver"/>
    <s v="加拿大二店"/>
    <x v="4"/>
    <x v="10"/>
    <x v="58"/>
    <x v="0"/>
    <x v="60"/>
    <s v="四宫格"/>
    <n v="4.95"/>
    <s v="锅"/>
    <n v="13"/>
    <n v="64.35"/>
    <n v="0"/>
    <n v="0"/>
    <n v="0"/>
    <n v="0"/>
    <n v="0"/>
    <n v="0"/>
    <n v="0"/>
    <n v="0"/>
    <n v="0"/>
    <n v="0"/>
    <n v="13"/>
    <n v="67.56"/>
    <n v="3.21"/>
    <n v="64.35"/>
    <n v="1"/>
  </r>
  <r>
    <s v="2021-06-12"/>
    <s v="Vancouver"/>
    <s v="加拿大二店"/>
    <x v="3"/>
    <x v="5"/>
    <x v="59"/>
    <x v="58"/>
    <x v="61"/>
    <s v="整份"/>
    <n v="4.95"/>
    <s v="份"/>
    <n v="10"/>
    <n v="49.5"/>
    <n v="0"/>
    <n v="0"/>
    <n v="0"/>
    <n v="0"/>
    <n v="0"/>
    <n v="0"/>
    <n v="0"/>
    <n v="0"/>
    <n v="0.99"/>
    <n v="0"/>
    <n v="10"/>
    <n v="50.93"/>
    <n v="2.42"/>
    <n v="48.51"/>
    <n v="1"/>
  </r>
  <r>
    <s v="2021-06-12"/>
    <s v="Vancouver"/>
    <s v="加拿大二店"/>
    <x v="2"/>
    <x v="4"/>
    <x v="60"/>
    <x v="59"/>
    <x v="62"/>
    <s v="冰镇"/>
    <n v="6.95"/>
    <s v="扎"/>
    <n v="5"/>
    <n v="34.75"/>
    <n v="0"/>
    <n v="0"/>
    <n v="0"/>
    <n v="0"/>
    <n v="0"/>
    <n v="0"/>
    <n v="0"/>
    <n v="0"/>
    <n v="0"/>
    <n v="0"/>
    <n v="5"/>
    <n v="38.92"/>
    <n v="4.17"/>
    <n v="34.75"/>
    <n v="1"/>
  </r>
  <r>
    <s v="2021-06-12"/>
    <s v="Vancouver"/>
    <s v="加拿大二店"/>
    <x v="6"/>
    <x v="13"/>
    <x v="61"/>
    <x v="60"/>
    <x v="63"/>
    <s v="整份"/>
    <n v="3.95"/>
    <s v="包"/>
    <n v="11"/>
    <n v="43.45"/>
    <n v="0"/>
    <n v="0"/>
    <n v="0"/>
    <n v="0"/>
    <n v="0"/>
    <n v="0"/>
    <n v="0"/>
    <n v="0.01"/>
    <n v="1.58"/>
    <n v="0"/>
    <n v="11"/>
    <n v="43.95"/>
    <n v="2.09"/>
    <n v="41.86"/>
    <n v="1"/>
  </r>
  <r>
    <s v="2021-06-12"/>
    <s v="Vancouver"/>
    <s v="加拿大二店"/>
    <x v="1"/>
    <x v="8"/>
    <x v="116"/>
    <x v="110"/>
    <x v="120"/>
    <s v="个"/>
    <n v="0.95"/>
    <s v="个"/>
    <n v="1"/>
    <n v="0.95"/>
    <n v="0"/>
    <n v="0"/>
    <n v="0"/>
    <n v="0"/>
    <n v="0"/>
    <n v="0"/>
    <n v="0"/>
    <n v="0"/>
    <n v="0"/>
    <n v="0"/>
    <n v="1"/>
    <n v="0.99"/>
    <n v="0.04"/>
    <n v="0.95"/>
    <n v="1"/>
  </r>
  <r>
    <s v="2021-06-12"/>
    <s v="Vancouver"/>
    <s v="加拿大二店"/>
    <x v="4"/>
    <x v="16"/>
    <x v="62"/>
    <x v="0"/>
    <x v="64"/>
    <s v="单锅"/>
    <n v="16.95"/>
    <s v="锅"/>
    <n v="3"/>
    <n v="50.85"/>
    <n v="0"/>
    <n v="0"/>
    <n v="0"/>
    <n v="0"/>
    <n v="0"/>
    <n v="0"/>
    <n v="0"/>
    <n v="-0.02"/>
    <n v="0"/>
    <n v="0"/>
    <n v="3"/>
    <n v="53.41"/>
    <n v="2.54"/>
    <n v="50.87"/>
    <n v="4"/>
  </r>
  <r>
    <s v="2021-06-12"/>
    <s v="Vancouver"/>
    <s v="加拿大二店"/>
    <x v="4"/>
    <x v="9"/>
    <x v="62"/>
    <x v="0"/>
    <x v="64"/>
    <s v="拼锅"/>
    <n v="8.95"/>
    <s v="锅"/>
    <n v="34"/>
    <n v="304.3"/>
    <n v="0"/>
    <n v="0"/>
    <n v="0"/>
    <n v="0"/>
    <n v="0"/>
    <n v="0"/>
    <n v="0"/>
    <n v="0.03"/>
    <n v="4.96"/>
    <n v="0"/>
    <n v="34"/>
    <n v="314.27"/>
    <n v="14.96"/>
    <n v="299.31"/>
    <n v="2"/>
  </r>
  <r>
    <s v="2021-06-12"/>
    <s v="Vancouver"/>
    <s v="加拿大二店"/>
    <x v="4"/>
    <x v="10"/>
    <x v="62"/>
    <x v="0"/>
    <x v="64"/>
    <s v="四宫格"/>
    <n v="4.95"/>
    <s v="锅"/>
    <n v="18"/>
    <n v="89.1"/>
    <n v="0"/>
    <n v="0"/>
    <n v="0"/>
    <n v="0"/>
    <n v="0"/>
    <n v="0"/>
    <n v="0"/>
    <n v="0"/>
    <n v="0"/>
    <n v="0"/>
    <n v="18"/>
    <n v="93.55"/>
    <n v="4.45"/>
    <n v="89.1"/>
    <n v="1"/>
  </r>
  <r>
    <s v="2021-06-12"/>
    <s v="Vancouver"/>
    <s v="加拿大二店"/>
    <x v="6"/>
    <x v="13"/>
    <x v="63"/>
    <x v="61"/>
    <x v="65"/>
    <s v="整份"/>
    <n v="1.5"/>
    <s v="碗"/>
    <n v="9"/>
    <n v="13.5"/>
    <n v="0"/>
    <n v="0"/>
    <n v="0"/>
    <n v="0"/>
    <n v="0"/>
    <n v="0"/>
    <n v="0"/>
    <n v="0"/>
    <n v="0"/>
    <n v="0"/>
    <n v="9"/>
    <n v="14.17"/>
    <n v="0.67"/>
    <n v="13.5"/>
    <n v="1"/>
  </r>
  <r>
    <s v="2021-06-12"/>
    <s v="Vancouver"/>
    <s v="加拿大二店"/>
    <x v="3"/>
    <x v="5"/>
    <x v="64"/>
    <x v="62"/>
    <x v="66"/>
    <s v="整份"/>
    <n v="3.95"/>
    <s v="份"/>
    <n v="5"/>
    <n v="19.75"/>
    <n v="0"/>
    <n v="0"/>
    <n v="0"/>
    <n v="0"/>
    <n v="0"/>
    <n v="0"/>
    <n v="0"/>
    <n v="0"/>
    <n v="0"/>
    <n v="0"/>
    <n v="5"/>
    <n v="20.73"/>
    <n v="0.98"/>
    <n v="19.75"/>
    <n v="1"/>
  </r>
  <r>
    <s v="2021-06-12"/>
    <s v="Vancouver"/>
    <s v="加拿大二店"/>
    <x v="2"/>
    <x v="19"/>
    <x v="125"/>
    <x v="119"/>
    <x v="130"/>
    <s v="瓶"/>
    <n v="16.95"/>
    <s v="瓶"/>
    <n v="1"/>
    <n v="16.95"/>
    <n v="0"/>
    <n v="0"/>
    <n v="0"/>
    <n v="0"/>
    <n v="0"/>
    <n v="0"/>
    <n v="0"/>
    <n v="-0.01"/>
    <n v="0"/>
    <n v="0"/>
    <n v="1"/>
    <n v="19.5"/>
    <n v="2.54"/>
    <n v="16.96"/>
    <n v="1"/>
  </r>
  <r>
    <s v="2021-06-12"/>
    <s v="Vancouver"/>
    <s v="加拿大二店"/>
    <x v="2"/>
    <x v="4"/>
    <x v="65"/>
    <x v="63"/>
    <x v="67"/>
    <s v="扎"/>
    <n v="8.95"/>
    <s v="扎"/>
    <n v="5"/>
    <n v="44.75"/>
    <n v="0"/>
    <n v="0"/>
    <n v="0"/>
    <n v="0"/>
    <n v="0"/>
    <n v="0"/>
    <n v="0"/>
    <n v="-0.03"/>
    <n v="0"/>
    <n v="0"/>
    <n v="5"/>
    <n v="50.15"/>
    <n v="5.37"/>
    <n v="44.78"/>
    <n v="1"/>
  </r>
  <r>
    <s v="2021-06-12"/>
    <s v="Vancouver"/>
    <s v="加拿大二店"/>
    <x v="2"/>
    <x v="4"/>
    <x v="66"/>
    <x v="64"/>
    <x v="68"/>
    <s v="扎"/>
    <n v="11.95"/>
    <s v="扎"/>
    <n v="4"/>
    <n v="47.8"/>
    <n v="0"/>
    <n v="0"/>
    <n v="0"/>
    <n v="0"/>
    <n v="0"/>
    <n v="0"/>
    <n v="0"/>
    <n v="-0.02"/>
    <n v="0"/>
    <n v="0"/>
    <n v="4"/>
    <n v="53.55"/>
    <n v="5.73"/>
    <n v="47.82"/>
    <n v="1"/>
  </r>
  <r>
    <s v="2021-06-12"/>
    <s v="Vancouver"/>
    <s v="加拿大二店"/>
    <x v="3"/>
    <x v="5"/>
    <x v="134"/>
    <x v="128"/>
    <x v="139"/>
    <s v="整份"/>
    <n v="13.95"/>
    <s v="份"/>
    <n v="16"/>
    <n v="223.2"/>
    <n v="0"/>
    <n v="0"/>
    <n v="0"/>
    <n v="0"/>
    <n v="0"/>
    <n v="0"/>
    <n v="0"/>
    <n v="-0.02"/>
    <n v="13.95"/>
    <n v="0"/>
    <n v="16"/>
    <n v="219.73"/>
    <n v="10.46"/>
    <n v="209.27"/>
    <n v="1"/>
  </r>
  <r>
    <s v="2021-06-12"/>
    <s v="Vancouver"/>
    <s v="加拿大二店"/>
    <x v="3"/>
    <x v="5"/>
    <x v="117"/>
    <x v="111"/>
    <x v="121"/>
    <s v="整份"/>
    <n v="4.95"/>
    <s v="份"/>
    <n v="12"/>
    <n v="59.4"/>
    <n v="0"/>
    <n v="0"/>
    <n v="0"/>
    <n v="0"/>
    <n v="0"/>
    <n v="0"/>
    <n v="0"/>
    <n v="0"/>
    <n v="1.98"/>
    <n v="0"/>
    <n v="12"/>
    <n v="60.29"/>
    <n v="2.87"/>
    <n v="57.42"/>
    <n v="1"/>
  </r>
  <r>
    <s v="2021-06-12"/>
    <s v="Vancouver"/>
    <s v="加拿大二店"/>
    <x v="3"/>
    <x v="7"/>
    <x v="67"/>
    <x v="65"/>
    <x v="69"/>
    <s v="整份"/>
    <n v="3.95"/>
    <s v="份"/>
    <n v="4"/>
    <n v="15.8"/>
    <n v="0"/>
    <n v="0"/>
    <n v="0"/>
    <n v="0"/>
    <n v="0"/>
    <n v="0"/>
    <n v="0"/>
    <n v="0"/>
    <n v="1.18"/>
    <n v="0"/>
    <n v="4"/>
    <n v="15.35"/>
    <n v="0.73"/>
    <n v="14.62"/>
    <n v="1"/>
  </r>
  <r>
    <s v="2021-06-12"/>
    <s v="Vancouver"/>
    <s v="加拿大二店"/>
    <x v="1"/>
    <x v="1"/>
    <x v="68"/>
    <x v="66"/>
    <x v="70"/>
    <s v="整份"/>
    <n v="8.95"/>
    <s v="份"/>
    <n v="77"/>
    <n v="689.15"/>
    <n v="0"/>
    <n v="0"/>
    <n v="0"/>
    <n v="0"/>
    <n v="0"/>
    <n v="0"/>
    <n v="0"/>
    <n v="0.02"/>
    <n v="15.16"/>
    <n v="0"/>
    <n v="77"/>
    <n v="707.66"/>
    <n v="33.69"/>
    <n v="673.97"/>
    <n v="1"/>
  </r>
  <r>
    <s v="2021-06-12"/>
    <s v="Vancouver"/>
    <s v="加拿大二店"/>
    <x v="1"/>
    <x v="1"/>
    <x v="69"/>
    <x v="67"/>
    <x v="71"/>
    <s v="整份"/>
    <n v="8.95"/>
    <s v="份"/>
    <n v="8"/>
    <n v="71.6"/>
    <n v="0"/>
    <n v="0"/>
    <n v="0"/>
    <n v="0"/>
    <n v="0"/>
    <n v="0"/>
    <n v="0"/>
    <n v="0"/>
    <n v="0"/>
    <n v="0"/>
    <n v="8"/>
    <n v="75.18"/>
    <n v="3.58"/>
    <n v="71.6"/>
    <n v="1"/>
  </r>
  <r>
    <s v="2021-06-12"/>
    <s v="Vancouver"/>
    <s v="加拿大二店"/>
    <x v="6"/>
    <x v="15"/>
    <x v="70"/>
    <x v="68"/>
    <x v="72"/>
    <s v="整份"/>
    <n v="1.5"/>
    <s v="份"/>
    <n v="3"/>
    <n v="4.5"/>
    <n v="0"/>
    <n v="0"/>
    <n v="0"/>
    <n v="0"/>
    <n v="0"/>
    <n v="0"/>
    <n v="0"/>
    <n v="0.01"/>
    <n v="0"/>
    <n v="0"/>
    <n v="3"/>
    <n v="4.71"/>
    <n v="0.22"/>
    <n v="4.49"/>
    <n v="1"/>
  </r>
  <r>
    <s v="2021-06-12"/>
    <s v="Vancouver"/>
    <s v="加拿大二店"/>
    <x v="4"/>
    <x v="9"/>
    <x v="71"/>
    <x v="0"/>
    <x v="73"/>
    <s v="拼锅"/>
    <n v="18.95"/>
    <s v="锅"/>
    <n v="19"/>
    <n v="360.05"/>
    <n v="0"/>
    <n v="0"/>
    <n v="0"/>
    <n v="0"/>
    <n v="0"/>
    <n v="0"/>
    <n v="0"/>
    <n v="0.02"/>
    <n v="2.22"/>
    <n v="0"/>
    <n v="19"/>
    <n v="375.7"/>
    <n v="17.89"/>
    <n v="357.81"/>
    <n v="2"/>
  </r>
  <r>
    <s v="2021-06-12"/>
    <s v="Vancouver"/>
    <s v="加拿大二店"/>
    <x v="4"/>
    <x v="10"/>
    <x v="71"/>
    <x v="0"/>
    <x v="73"/>
    <s v="四宫格"/>
    <n v="9.95"/>
    <s v="锅"/>
    <n v="9"/>
    <n v="89.55"/>
    <n v="0"/>
    <n v="0"/>
    <n v="0"/>
    <n v="0"/>
    <n v="0"/>
    <n v="0"/>
    <n v="0"/>
    <n v="0.04"/>
    <n v="0"/>
    <n v="0"/>
    <n v="9"/>
    <n v="93.98"/>
    <n v="4.47"/>
    <n v="89.51"/>
    <n v="1"/>
  </r>
  <r>
    <s v="2021-06-12"/>
    <s v="Vancouver"/>
    <s v="加拿大二店"/>
    <x v="1"/>
    <x v="8"/>
    <x v="72"/>
    <x v="69"/>
    <x v="74"/>
    <s v="个"/>
    <n v="7.95"/>
    <s v="份"/>
    <n v="3"/>
    <n v="23.85"/>
    <n v="0"/>
    <n v="0"/>
    <n v="0"/>
    <n v="0"/>
    <n v="0"/>
    <n v="0"/>
    <n v="0"/>
    <n v="0"/>
    <n v="1.59"/>
    <n v="0"/>
    <n v="3"/>
    <n v="23.37"/>
    <n v="1.11"/>
    <n v="22.26"/>
    <n v="1"/>
  </r>
  <r>
    <s v="2021-06-12"/>
    <s v="Vancouver"/>
    <s v="加拿大二店"/>
    <x v="6"/>
    <x v="13"/>
    <x v="73"/>
    <x v="70"/>
    <x v="75"/>
    <s v="份"/>
    <n v="6.95"/>
    <s v="份"/>
    <n v="5"/>
    <n v="34.75"/>
    <n v="0"/>
    <n v="0"/>
    <n v="0"/>
    <n v="0"/>
    <n v="0"/>
    <n v="0"/>
    <n v="0"/>
    <n v="-0.05"/>
    <n v="0"/>
    <n v="0"/>
    <n v="5"/>
    <n v="36.54"/>
    <n v="1.74"/>
    <n v="34.8"/>
    <n v="1"/>
  </r>
  <r>
    <s v="2021-06-12"/>
    <s v="Vancouver"/>
    <s v="加拿大二店"/>
    <x v="4"/>
    <x v="16"/>
    <x v="74"/>
    <x v="0"/>
    <x v="76"/>
    <s v="单锅"/>
    <n v="36.95"/>
    <s v="锅"/>
    <n v="1"/>
    <n v="36.95"/>
    <n v="0"/>
    <n v="0"/>
    <n v="0"/>
    <n v="0"/>
    <n v="0"/>
    <n v="0"/>
    <n v="0"/>
    <n v="-0.02"/>
    <n v="0"/>
    <n v="0"/>
    <n v="1"/>
    <n v="38.81"/>
    <n v="1.84"/>
    <n v="36.97"/>
    <n v="4"/>
  </r>
  <r>
    <s v="2021-06-12"/>
    <s v="Vancouver"/>
    <s v="加拿大二店"/>
    <x v="4"/>
    <x v="9"/>
    <x v="74"/>
    <x v="0"/>
    <x v="76"/>
    <s v="拼锅"/>
    <n v="18.95"/>
    <s v="锅"/>
    <n v="4"/>
    <n v="75.8"/>
    <n v="0"/>
    <n v="0"/>
    <n v="0"/>
    <n v="0"/>
    <n v="0"/>
    <n v="0"/>
    <n v="0"/>
    <n v="-0.01"/>
    <n v="0"/>
    <n v="0"/>
    <n v="4"/>
    <n v="79.6"/>
    <n v="3.79"/>
    <n v="75.81"/>
    <n v="2"/>
  </r>
  <r>
    <s v="2021-06-12"/>
    <s v="Vancouver"/>
    <s v="加拿大二店"/>
    <x v="4"/>
    <x v="10"/>
    <x v="74"/>
    <x v="0"/>
    <x v="76"/>
    <s v="四宫格"/>
    <n v="9.95"/>
    <s v="锅"/>
    <n v="3"/>
    <n v="29.85"/>
    <n v="0"/>
    <n v="0"/>
    <n v="0"/>
    <n v="0"/>
    <n v="0"/>
    <n v="0"/>
    <n v="0"/>
    <n v="0"/>
    <n v="0"/>
    <n v="0"/>
    <n v="3"/>
    <n v="31.34"/>
    <n v="1.49"/>
    <n v="29.85"/>
    <n v="1"/>
  </r>
  <r>
    <s v="2021-06-12"/>
    <s v="Vancouver"/>
    <s v="加拿大二店"/>
    <x v="1"/>
    <x v="6"/>
    <x v="118"/>
    <x v="112"/>
    <x v="122"/>
    <s v="整份"/>
    <n v="28.95"/>
    <s v="份"/>
    <n v="5"/>
    <n v="144.75"/>
    <n v="0"/>
    <n v="0"/>
    <n v="0"/>
    <n v="0"/>
    <n v="0"/>
    <n v="0"/>
    <n v="0"/>
    <n v="0"/>
    <n v="4.34"/>
    <n v="0"/>
    <n v="5"/>
    <n v="147.43"/>
    <n v="7.02"/>
    <n v="140.41"/>
    <n v="1"/>
  </r>
  <r>
    <s v="2021-06-12"/>
    <s v="Vancouver"/>
    <s v="加拿大二店"/>
    <x v="8"/>
    <x v="17"/>
    <x v="75"/>
    <x v="71"/>
    <x v="77"/>
    <s v="整份"/>
    <n v="3.99"/>
    <s v="位"/>
    <n v="191"/>
    <n v="762.09"/>
    <n v="2"/>
    <n v="7.98"/>
    <n v="0"/>
    <n v="0"/>
    <n v="0"/>
    <n v="0"/>
    <n v="0"/>
    <n v="0.02"/>
    <n v="0.48"/>
    <n v="0"/>
    <n v="189"/>
    <n v="791.29"/>
    <n v="37.68"/>
    <n v="753.61"/>
    <n v="1"/>
  </r>
  <r>
    <s v="2021-06-12"/>
    <s v="Vancouver"/>
    <s v="加拿大二店"/>
    <x v="3"/>
    <x v="5"/>
    <x v="76"/>
    <x v="72"/>
    <x v="78"/>
    <s v="整份"/>
    <n v="3.95"/>
    <s v="份"/>
    <n v="8"/>
    <n v="31.6"/>
    <n v="0"/>
    <n v="0"/>
    <n v="0"/>
    <n v="0"/>
    <n v="0"/>
    <n v="0"/>
    <n v="0"/>
    <n v="0"/>
    <n v="1.83"/>
    <n v="0"/>
    <n v="8"/>
    <n v="31.25"/>
    <n v="1.48"/>
    <n v="29.77"/>
    <n v="1"/>
  </r>
  <r>
    <s v="2021-06-12"/>
    <s v="Vancouver"/>
    <s v="加拿大二店"/>
    <x v="1"/>
    <x v="3"/>
    <x v="77"/>
    <x v="73"/>
    <x v="79"/>
    <s v="整份"/>
    <n v="5.95"/>
    <s v="份"/>
    <n v="8"/>
    <n v="47.6"/>
    <n v="0"/>
    <n v="0"/>
    <n v="0"/>
    <n v="0"/>
    <n v="0"/>
    <n v="0"/>
    <n v="0"/>
    <n v="0"/>
    <n v="3.39"/>
    <n v="0"/>
    <n v="8"/>
    <n v="46.42"/>
    <n v="2.21"/>
    <n v="44.21"/>
    <n v="1"/>
  </r>
  <r>
    <s v="2021-06-12"/>
    <s v="Vancouver"/>
    <s v="加拿大二店"/>
    <x v="3"/>
    <x v="11"/>
    <x v="78"/>
    <x v="74"/>
    <x v="80"/>
    <s v="整份"/>
    <n v="5.95"/>
    <s v="份"/>
    <n v="8"/>
    <n v="47.6"/>
    <n v="0"/>
    <n v="0"/>
    <n v="0"/>
    <n v="0"/>
    <n v="0"/>
    <n v="0"/>
    <n v="0"/>
    <n v="0"/>
    <n v="2.45"/>
    <n v="0"/>
    <n v="8"/>
    <n v="47.4"/>
    <n v="2.25"/>
    <n v="45.15"/>
    <n v="1"/>
  </r>
  <r>
    <s v="2021-06-12"/>
    <s v="Vancouver"/>
    <s v="加拿大二店"/>
    <x v="3"/>
    <x v="11"/>
    <x v="78"/>
    <x v="75"/>
    <x v="81"/>
    <s v="半份"/>
    <n v="2.95"/>
    <s v="份"/>
    <n v="15"/>
    <n v="44.25"/>
    <n v="0"/>
    <n v="0"/>
    <n v="0"/>
    <n v="0"/>
    <n v="0"/>
    <n v="0"/>
    <n v="0"/>
    <n v="0"/>
    <n v="1.18"/>
    <n v="0"/>
    <n v="15"/>
    <n v="45.22"/>
    <n v="2.15"/>
    <n v="43.07"/>
    <n v="0.5"/>
  </r>
  <r>
    <s v="2021-06-12"/>
    <s v="Vancouver"/>
    <s v="加拿大二店"/>
    <x v="3"/>
    <x v="5"/>
    <x v="79"/>
    <x v="76"/>
    <x v="82"/>
    <s v="整份"/>
    <n v="3.95"/>
    <s v="份"/>
    <n v="25"/>
    <n v="98.75"/>
    <n v="0"/>
    <n v="0"/>
    <n v="0"/>
    <n v="0"/>
    <n v="0"/>
    <n v="0"/>
    <n v="0"/>
    <n v="0"/>
    <n v="5.02"/>
    <n v="0"/>
    <n v="25"/>
    <n v="98.41"/>
    <n v="4.68"/>
    <n v="93.73"/>
    <n v="1"/>
  </r>
  <r>
    <s v="2021-06-12"/>
    <s v="Vancouver"/>
    <s v="加拿大二店"/>
    <x v="3"/>
    <x v="5"/>
    <x v="80"/>
    <x v="77"/>
    <x v="83"/>
    <s v="整份"/>
    <n v="5.95"/>
    <s v="份"/>
    <n v="22"/>
    <n v="130.9"/>
    <n v="0"/>
    <n v="0"/>
    <n v="0"/>
    <n v="0"/>
    <n v="1"/>
    <n v="5.95"/>
    <n v="0"/>
    <n v="0"/>
    <n v="7.18"/>
    <n v="0"/>
    <n v="21"/>
    <n v="123.65"/>
    <n v="5.88"/>
    <n v="117.77"/>
    <n v="1"/>
  </r>
  <r>
    <s v="2021-06-12"/>
    <s v="Vancouver"/>
    <s v="加拿大二店"/>
    <x v="4"/>
    <x v="9"/>
    <x v="81"/>
    <x v="0"/>
    <x v="84"/>
    <s v="拼锅"/>
    <n v="8.95"/>
    <s v="锅"/>
    <n v="10"/>
    <n v="89.5"/>
    <n v="0"/>
    <n v="0"/>
    <n v="0"/>
    <n v="0"/>
    <n v="0"/>
    <n v="0"/>
    <n v="0"/>
    <n v="-0.02"/>
    <n v="0"/>
    <n v="0"/>
    <n v="10"/>
    <n v="93.99"/>
    <n v="4.47"/>
    <n v="89.52"/>
    <n v="2"/>
  </r>
  <r>
    <s v="2021-06-12"/>
    <s v="Vancouver"/>
    <s v="加拿大二店"/>
    <x v="4"/>
    <x v="10"/>
    <x v="81"/>
    <x v="0"/>
    <x v="84"/>
    <s v="四宫格"/>
    <n v="4.95"/>
    <s v="锅"/>
    <n v="9"/>
    <n v="44.55"/>
    <n v="0"/>
    <n v="0"/>
    <n v="0"/>
    <n v="0"/>
    <n v="0"/>
    <n v="0"/>
    <n v="0"/>
    <n v="-0.01"/>
    <n v="0"/>
    <n v="0"/>
    <n v="9"/>
    <n v="46.78"/>
    <n v="2.22"/>
    <n v="44.56"/>
    <n v="1"/>
  </r>
  <r>
    <s v="2021-06-12"/>
    <s v="Vancouver"/>
    <s v="加拿大二店"/>
    <x v="3"/>
    <x v="5"/>
    <x v="82"/>
    <x v="78"/>
    <x v="85"/>
    <s v="整份"/>
    <n v="12.95"/>
    <s v="份"/>
    <n v="16"/>
    <n v="207.2"/>
    <n v="0"/>
    <n v="0"/>
    <n v="0"/>
    <n v="0"/>
    <n v="0"/>
    <n v="0"/>
    <n v="0"/>
    <n v="0"/>
    <n v="8.02"/>
    <n v="0"/>
    <n v="16"/>
    <n v="209.13"/>
    <n v="9.95"/>
    <n v="199.18"/>
    <n v="1"/>
  </r>
  <r>
    <s v="2021-06-12"/>
    <s v="Vancouver"/>
    <s v="加拿大二店"/>
    <x v="3"/>
    <x v="11"/>
    <x v="83"/>
    <x v="79"/>
    <x v="86"/>
    <s v="整份"/>
    <n v="5.95"/>
    <s v="份"/>
    <n v="1"/>
    <n v="5.95"/>
    <n v="0"/>
    <n v="0"/>
    <n v="0"/>
    <n v="0"/>
    <n v="0"/>
    <n v="0"/>
    <n v="0"/>
    <n v="0"/>
    <n v="0"/>
    <n v="0"/>
    <n v="1"/>
    <n v="6.24"/>
    <n v="0.29"/>
    <n v="5.95"/>
    <n v="1"/>
  </r>
  <r>
    <s v="2021-06-12"/>
    <s v="Vancouver"/>
    <s v="加拿大二店"/>
    <x v="3"/>
    <x v="11"/>
    <x v="83"/>
    <x v="80"/>
    <x v="87"/>
    <s v="半份"/>
    <n v="2.95"/>
    <s v="份"/>
    <n v="3"/>
    <n v="8.85"/>
    <n v="0"/>
    <n v="0"/>
    <n v="0"/>
    <n v="0"/>
    <n v="0"/>
    <n v="0"/>
    <n v="0"/>
    <n v="0"/>
    <n v="0.88"/>
    <n v="0"/>
    <n v="3"/>
    <n v="8.36"/>
    <n v="0.39"/>
    <n v="7.97"/>
    <n v="0.5"/>
  </r>
  <r>
    <s v="2021-06-12"/>
    <s v="Vancouver"/>
    <s v="加拿大二店"/>
    <x v="3"/>
    <x v="11"/>
    <x v="84"/>
    <x v="81"/>
    <x v="88"/>
    <s v="整份"/>
    <n v="11.95"/>
    <s v="份"/>
    <n v="11"/>
    <n v="131.45"/>
    <n v="0"/>
    <n v="0"/>
    <n v="0"/>
    <n v="0"/>
    <n v="0"/>
    <n v="0"/>
    <n v="0"/>
    <n v="0"/>
    <n v="0"/>
    <n v="0"/>
    <n v="11"/>
    <n v="138.02"/>
    <n v="6.57"/>
    <n v="131.45"/>
    <n v="1"/>
  </r>
  <r>
    <s v="2021-06-12"/>
    <s v="Vancouver"/>
    <s v="加拿大二店"/>
    <x v="1"/>
    <x v="3"/>
    <x v="85"/>
    <x v="82"/>
    <x v="89"/>
    <s v="整份"/>
    <n v="6.95"/>
    <s v="份"/>
    <n v="4"/>
    <n v="27.8"/>
    <n v="0"/>
    <n v="0"/>
    <n v="0"/>
    <n v="0"/>
    <n v="0"/>
    <n v="0"/>
    <n v="0"/>
    <n v="0"/>
    <n v="1.39"/>
    <n v="0"/>
    <n v="4"/>
    <n v="27.73"/>
    <n v="1.32"/>
    <n v="26.41"/>
    <n v="1"/>
  </r>
  <r>
    <s v="2021-06-12"/>
    <s v="Vancouver"/>
    <s v="加拿大二店"/>
    <x v="6"/>
    <x v="13"/>
    <x v="86"/>
    <x v="83"/>
    <x v="90"/>
    <s v="碗"/>
    <n v="2.95"/>
    <s v="碗"/>
    <n v="8"/>
    <n v="23.6"/>
    <n v="0"/>
    <n v="0"/>
    <n v="0"/>
    <n v="0"/>
    <n v="0"/>
    <n v="0"/>
    <n v="0"/>
    <n v="0"/>
    <n v="0"/>
    <n v="0"/>
    <n v="8"/>
    <n v="24.78"/>
    <n v="1.18"/>
    <n v="23.6"/>
    <n v="1"/>
  </r>
  <r>
    <s v="2021-06-12"/>
    <s v="Vancouver"/>
    <s v="加拿大二店"/>
    <x v="2"/>
    <x v="4"/>
    <x v="87"/>
    <x v="84"/>
    <x v="91"/>
    <s v="冰镇"/>
    <n v="2.95"/>
    <s v="扎"/>
    <n v="5"/>
    <n v="14.75"/>
    <n v="0"/>
    <n v="0"/>
    <n v="0"/>
    <n v="0"/>
    <n v="0"/>
    <n v="0"/>
    <n v="0"/>
    <n v="0"/>
    <n v="0"/>
    <n v="0"/>
    <n v="5"/>
    <n v="16.52"/>
    <n v="1.77"/>
    <n v="14.75"/>
    <n v="1"/>
  </r>
  <r>
    <s v="2021-06-12"/>
    <s v="Vancouver"/>
    <s v="加拿大二店"/>
    <x v="1"/>
    <x v="8"/>
    <x v="88"/>
    <x v="85"/>
    <x v="92"/>
    <s v="整份"/>
    <n v="7.95"/>
    <s v="份"/>
    <n v="10"/>
    <n v="79.5"/>
    <n v="0"/>
    <n v="0"/>
    <n v="0"/>
    <n v="0"/>
    <n v="0"/>
    <n v="0"/>
    <n v="0"/>
    <n v="0.01"/>
    <n v="3.18"/>
    <n v="0"/>
    <n v="10"/>
    <n v="80.12"/>
    <n v="3.81"/>
    <n v="76.31"/>
    <n v="1"/>
  </r>
  <r>
    <s v="2021-06-12"/>
    <s v="Vancouver"/>
    <s v="加拿大二店"/>
    <x v="1"/>
    <x v="8"/>
    <x v="89"/>
    <x v="86"/>
    <x v="93"/>
    <s v="整份"/>
    <n v="4.95"/>
    <s v="份"/>
    <n v="33"/>
    <n v="163.35"/>
    <n v="0"/>
    <n v="0"/>
    <n v="0"/>
    <n v="0"/>
    <n v="0"/>
    <n v="0"/>
    <n v="0"/>
    <n v="-0.01"/>
    <n v="9.06"/>
    <n v="0"/>
    <n v="33"/>
    <n v="162.01"/>
    <n v="7.71"/>
    <n v="154.3"/>
    <n v="1"/>
  </r>
  <r>
    <s v="2021-06-12"/>
    <s v="Vancouver"/>
    <s v="加拿大二店"/>
    <x v="3"/>
    <x v="7"/>
    <x v="90"/>
    <x v="87"/>
    <x v="94"/>
    <s v="整份"/>
    <n v="4.95"/>
    <s v="份"/>
    <n v="21"/>
    <n v="103.95"/>
    <n v="0"/>
    <n v="0"/>
    <n v="0"/>
    <n v="0"/>
    <n v="0"/>
    <n v="0"/>
    <n v="0"/>
    <n v="0"/>
    <n v="3.71"/>
    <n v="0"/>
    <n v="21"/>
    <n v="105.25"/>
    <n v="5.01"/>
    <n v="100.24"/>
    <n v="1"/>
  </r>
  <r>
    <s v="2021-06-12"/>
    <s v="Vancouver"/>
    <s v="加拿大二店"/>
    <x v="1"/>
    <x v="6"/>
    <x v="119"/>
    <x v="113"/>
    <x v="123"/>
    <s v="整份"/>
    <n v="1"/>
    <s v="磅"/>
    <n v="2"/>
    <n v="2"/>
    <n v="2"/>
    <n v="2"/>
    <n v="0"/>
    <n v="0"/>
    <n v="0"/>
    <n v="0"/>
    <n v="0"/>
    <n v="0"/>
    <n v="0"/>
    <n v="0"/>
    <n v="0"/>
    <n v="0"/>
    <n v="0"/>
    <n v="0"/>
    <n v="1"/>
  </r>
  <r>
    <s v="2021-06-12"/>
    <s v="Vancouver"/>
    <s v="加拿大二店"/>
    <x v="1"/>
    <x v="6"/>
    <x v="119"/>
    <x v="113"/>
    <x v="123"/>
    <s v="整份"/>
    <n v="103.43"/>
    <s v="磅"/>
    <n v="1"/>
    <n v="103.43"/>
    <n v="0"/>
    <n v="0"/>
    <n v="0"/>
    <n v="0"/>
    <n v="0"/>
    <n v="0"/>
    <n v="0"/>
    <n v="0"/>
    <n v="0"/>
    <n v="0"/>
    <n v="1"/>
    <n v="108.6"/>
    <n v="5.17"/>
    <n v="103.43"/>
    <n v="1"/>
  </r>
  <r>
    <s v="2021-06-12"/>
    <s v="Vancouver"/>
    <s v="加拿大二店"/>
    <x v="6"/>
    <x v="18"/>
    <x v="91"/>
    <x v="88"/>
    <x v="95"/>
    <s v="整份"/>
    <n v="2.95"/>
    <s v="份"/>
    <n v="9"/>
    <n v="26.55"/>
    <n v="0"/>
    <n v="0"/>
    <n v="0"/>
    <n v="0"/>
    <n v="0"/>
    <n v="0"/>
    <n v="0"/>
    <n v="0"/>
    <n v="0"/>
    <n v="0"/>
    <n v="9"/>
    <n v="27.87"/>
    <n v="1.32"/>
    <n v="26.55"/>
    <n v="1"/>
  </r>
  <r>
    <s v="2021-06-12"/>
    <s v="Vancouver"/>
    <s v="加拿大二店"/>
    <x v="4"/>
    <x v="9"/>
    <x v="92"/>
    <x v="0"/>
    <x v="96"/>
    <s v="拼锅"/>
    <n v="8.95"/>
    <s v="锅"/>
    <n v="2"/>
    <n v="17.9"/>
    <n v="0"/>
    <n v="0"/>
    <n v="0"/>
    <n v="0"/>
    <n v="0"/>
    <n v="0"/>
    <n v="0"/>
    <n v="0"/>
    <n v="0"/>
    <n v="0"/>
    <n v="2"/>
    <n v="18.79"/>
    <n v="0.89"/>
    <n v="17.9"/>
    <n v="2"/>
  </r>
  <r>
    <s v="2021-06-12"/>
    <s v="Vancouver"/>
    <s v="加拿大二店"/>
    <x v="4"/>
    <x v="10"/>
    <x v="92"/>
    <x v="0"/>
    <x v="96"/>
    <s v="四宫格"/>
    <n v="4.95"/>
    <s v="锅"/>
    <n v="1"/>
    <n v="4.95"/>
    <n v="0"/>
    <n v="0"/>
    <n v="0"/>
    <n v="0"/>
    <n v="0"/>
    <n v="0"/>
    <n v="0"/>
    <n v="0.02"/>
    <n v="0"/>
    <n v="0"/>
    <n v="1"/>
    <n v="5.17"/>
    <n v="0.24"/>
    <n v="4.93"/>
    <n v="1"/>
  </r>
  <r>
    <s v="2021-06-12"/>
    <s v="Vancouver"/>
    <s v="加拿大二店"/>
    <x v="3"/>
    <x v="5"/>
    <x v="93"/>
    <x v="89"/>
    <x v="97"/>
    <s v="整份"/>
    <n v="5.95"/>
    <s v="份"/>
    <n v="12"/>
    <n v="71.4"/>
    <n v="0"/>
    <n v="0"/>
    <n v="0"/>
    <n v="0"/>
    <n v="0"/>
    <n v="0"/>
    <n v="0"/>
    <n v="0"/>
    <n v="6.35"/>
    <n v="0"/>
    <n v="12"/>
    <n v="68.3"/>
    <n v="3.25"/>
    <n v="65.05"/>
    <n v="1"/>
  </r>
  <r>
    <s v="2021-06-12"/>
    <s v="Vancouver"/>
    <s v="加拿大二店"/>
    <x v="6"/>
    <x v="13"/>
    <x v="94"/>
    <x v="90"/>
    <x v="98"/>
    <s v="整份"/>
    <n v="4.95"/>
    <s v="份"/>
    <n v="17"/>
    <n v="84.15"/>
    <n v="0"/>
    <n v="0"/>
    <n v="0"/>
    <n v="0"/>
    <n v="1"/>
    <n v="4.95"/>
    <n v="0"/>
    <n v="0"/>
    <n v="0"/>
    <n v="0"/>
    <n v="16"/>
    <n v="83.16"/>
    <n v="3.96"/>
    <n v="79.2"/>
    <n v="1"/>
  </r>
  <r>
    <s v="2021-06-12"/>
    <s v="Vancouver"/>
    <s v="加拿大二店"/>
    <x v="7"/>
    <x v="14"/>
    <x v="123"/>
    <x v="117"/>
    <x v="127"/>
    <s v="整份"/>
    <n v="0"/>
    <s v="份"/>
    <n v="2"/>
    <n v="0"/>
    <n v="0"/>
    <n v="0"/>
    <n v="0"/>
    <n v="0"/>
    <n v="0"/>
    <n v="0"/>
    <n v="0"/>
    <n v="0.01"/>
    <n v="0"/>
    <n v="0"/>
    <n v="2"/>
    <n v="-0.01"/>
    <n v="-0.01"/>
    <n v="0"/>
    <n v="1"/>
  </r>
  <r>
    <s v="2021-06-12"/>
    <s v="Vancouver"/>
    <s v="加拿大二店"/>
    <x v="2"/>
    <x v="4"/>
    <x v="95"/>
    <x v="91"/>
    <x v="99"/>
    <s v="冰镇"/>
    <n v="2.45"/>
    <s v="听"/>
    <n v="3"/>
    <n v="7.35"/>
    <n v="0"/>
    <n v="0"/>
    <n v="0"/>
    <n v="0"/>
    <n v="0"/>
    <n v="0"/>
    <n v="0"/>
    <n v="0.02"/>
    <n v="0"/>
    <n v="0"/>
    <n v="3"/>
    <n v="8.2"/>
    <n v="0.87"/>
    <n v="7.33"/>
    <n v="1"/>
  </r>
  <r>
    <s v="2021-06-12"/>
    <s v="Vancouver"/>
    <s v="加拿大二店"/>
    <x v="1"/>
    <x v="1"/>
    <x v="96"/>
    <x v="92"/>
    <x v="100"/>
    <s v="整份"/>
    <n v="49.95"/>
    <s v="份"/>
    <n v="10"/>
    <n v="499.5"/>
    <n v="0"/>
    <n v="0"/>
    <n v="0"/>
    <n v="0"/>
    <n v="0"/>
    <n v="0"/>
    <n v="0"/>
    <n v="0"/>
    <n v="17.48"/>
    <n v="0"/>
    <n v="10"/>
    <n v="506.12"/>
    <n v="24.1"/>
    <n v="482.02"/>
    <n v="1"/>
  </r>
  <r>
    <s v="2021-06-12"/>
    <s v="Vancouver"/>
    <s v="加拿大二店"/>
    <x v="2"/>
    <x v="2"/>
    <x v="97"/>
    <x v="93"/>
    <x v="101"/>
    <s v="常温"/>
    <n v="5.95"/>
    <s v="听"/>
    <n v="1"/>
    <n v="5.95"/>
    <n v="0"/>
    <n v="0"/>
    <n v="0"/>
    <n v="0"/>
    <n v="0"/>
    <n v="0"/>
    <n v="0"/>
    <n v="0"/>
    <n v="0"/>
    <n v="0"/>
    <n v="1"/>
    <n v="6.84"/>
    <n v="0.89"/>
    <n v="5.95"/>
    <n v="1"/>
  </r>
  <r>
    <s v="2021-06-12"/>
    <s v="Vancouver"/>
    <s v="加拿大二店"/>
    <x v="2"/>
    <x v="2"/>
    <x v="97"/>
    <x v="93"/>
    <x v="101"/>
    <s v="冰镇"/>
    <n v="5.95"/>
    <s v="听"/>
    <n v="3"/>
    <n v="17.85"/>
    <n v="0"/>
    <n v="0"/>
    <n v="0"/>
    <n v="0"/>
    <n v="0"/>
    <n v="0"/>
    <n v="0"/>
    <n v="0"/>
    <n v="0"/>
    <n v="0"/>
    <n v="3"/>
    <n v="20.52"/>
    <n v="2.67"/>
    <n v="17.85"/>
    <n v="1"/>
  </r>
  <r>
    <s v="2021-06-12"/>
    <s v="Vancouver"/>
    <s v="加拿大二店"/>
    <x v="6"/>
    <x v="13"/>
    <x v="98"/>
    <x v="94"/>
    <x v="102"/>
    <s v="整份"/>
    <n v="3.95"/>
    <s v="份"/>
    <n v="6"/>
    <n v="23.7"/>
    <n v="0"/>
    <n v="0"/>
    <n v="0"/>
    <n v="0"/>
    <n v="0"/>
    <n v="0"/>
    <n v="0"/>
    <n v="0"/>
    <n v="1.58"/>
    <n v="0"/>
    <n v="6"/>
    <n v="23.22"/>
    <n v="1.1"/>
    <n v="22.12"/>
    <n v="1"/>
  </r>
  <r>
    <s v="2021-06-12"/>
    <s v="Vancouver"/>
    <s v="加拿大二店"/>
    <x v="1"/>
    <x v="3"/>
    <x v="99"/>
    <x v="95"/>
    <x v="103"/>
    <s v="整份"/>
    <n v="5.95"/>
    <s v="份"/>
    <n v="4"/>
    <n v="23.8"/>
    <n v="0"/>
    <n v="0"/>
    <n v="0"/>
    <n v="0"/>
    <n v="0"/>
    <n v="0"/>
    <n v="0"/>
    <n v="0"/>
    <n v="1.56"/>
    <n v="0"/>
    <n v="4"/>
    <n v="23.35"/>
    <n v="1.11"/>
    <n v="22.24"/>
    <n v="1"/>
  </r>
  <r>
    <s v="2021-06-12"/>
    <s v="Vancouver"/>
    <s v="加拿大二店"/>
    <x v="1"/>
    <x v="3"/>
    <x v="100"/>
    <x v="96"/>
    <x v="104"/>
    <s v="整份"/>
    <n v="7.95"/>
    <s v="份"/>
    <n v="9"/>
    <n v="71.55"/>
    <n v="0"/>
    <n v="0"/>
    <n v="0"/>
    <n v="0"/>
    <n v="0"/>
    <n v="0"/>
    <n v="0"/>
    <n v="0.01"/>
    <n v="1.71"/>
    <n v="0"/>
    <n v="9"/>
    <n v="73.32"/>
    <n v="3.49"/>
    <n v="69.83"/>
    <n v="1"/>
  </r>
  <r>
    <s v="2021-06-12"/>
    <s v="Vancouver"/>
    <s v="加拿大二店"/>
    <x v="1"/>
    <x v="8"/>
    <x v="101"/>
    <x v="97"/>
    <x v="105"/>
    <s v="整份"/>
    <n v="5.95"/>
    <s v="份"/>
    <n v="15"/>
    <n v="89.25"/>
    <n v="0"/>
    <n v="0"/>
    <n v="0"/>
    <n v="0"/>
    <n v="0"/>
    <n v="0"/>
    <n v="0"/>
    <n v="0"/>
    <n v="1.78"/>
    <n v="0"/>
    <n v="15"/>
    <n v="91.84"/>
    <n v="4.37"/>
    <n v="87.47"/>
    <n v="1"/>
  </r>
  <r>
    <s v="2021-06-12"/>
    <s v="Vancouver"/>
    <s v="加拿大二店"/>
    <x v="1"/>
    <x v="6"/>
    <x v="102"/>
    <x v="98"/>
    <x v="106"/>
    <s v="整份"/>
    <n v="8.95"/>
    <s v="份"/>
    <n v="4"/>
    <n v="35.8"/>
    <n v="0"/>
    <n v="0"/>
    <n v="0"/>
    <n v="0"/>
    <n v="0"/>
    <n v="0"/>
    <n v="0"/>
    <n v="-0.02"/>
    <n v="1.79"/>
    <n v="0"/>
    <n v="4"/>
    <n v="35.73"/>
    <n v="1.7"/>
    <n v="34.03"/>
    <n v="1"/>
  </r>
  <r>
    <s v="2021-06-12"/>
    <s v="Vancouver"/>
    <s v="加拿大二店"/>
    <x v="3"/>
    <x v="7"/>
    <x v="103"/>
    <x v="99"/>
    <x v="107"/>
    <s v="整份"/>
    <n v="5.95"/>
    <s v="份"/>
    <n v="20"/>
    <n v="119"/>
    <n v="0"/>
    <n v="0"/>
    <n v="0"/>
    <n v="0"/>
    <n v="0"/>
    <n v="0"/>
    <n v="0"/>
    <n v="0"/>
    <n v="4.53"/>
    <n v="0"/>
    <n v="20"/>
    <n v="120.19"/>
    <n v="5.72"/>
    <n v="114.47"/>
    <n v="1"/>
  </r>
  <r>
    <s v="2021-06-12"/>
    <s v="Vancouver"/>
    <s v="加拿大二店"/>
    <x v="3"/>
    <x v="7"/>
    <x v="104"/>
    <x v="100"/>
    <x v="108"/>
    <s v="整份"/>
    <n v="3.95"/>
    <s v="份"/>
    <n v="14"/>
    <n v="55.3"/>
    <n v="0"/>
    <n v="0"/>
    <n v="0"/>
    <n v="0"/>
    <n v="0"/>
    <n v="0"/>
    <n v="0"/>
    <n v="0"/>
    <n v="3.01"/>
    <n v="0"/>
    <n v="14"/>
    <n v="54.9"/>
    <n v="2.61"/>
    <n v="52.29"/>
    <n v="1"/>
  </r>
  <r>
    <s v="2021-06-12"/>
    <s v="Vancouver"/>
    <s v="加拿大二店"/>
    <x v="1"/>
    <x v="8"/>
    <x v="105"/>
    <x v="101"/>
    <x v="109"/>
    <s v="整份"/>
    <n v="4.95"/>
    <s v="份"/>
    <n v="24"/>
    <n v="118.8"/>
    <n v="0"/>
    <n v="0"/>
    <n v="0"/>
    <n v="0"/>
    <n v="0"/>
    <n v="0"/>
    <n v="0"/>
    <n v="0"/>
    <n v="1.48"/>
    <n v="0"/>
    <n v="24"/>
    <n v="123.18"/>
    <n v="5.86"/>
    <n v="117.32"/>
    <n v="1"/>
  </r>
  <r>
    <s v="2021-06-12"/>
    <s v="Vancouver"/>
    <s v="加拿大二店"/>
    <x v="4"/>
    <x v="9"/>
    <x v="106"/>
    <x v="0"/>
    <x v="110"/>
    <s v="拼锅"/>
    <n v="11.95"/>
    <s v="锅"/>
    <n v="11"/>
    <n v="131.45"/>
    <n v="0"/>
    <n v="0"/>
    <n v="0"/>
    <n v="0"/>
    <n v="0"/>
    <n v="0"/>
    <n v="0"/>
    <n v="0.04"/>
    <n v="0"/>
    <n v="0"/>
    <n v="11"/>
    <n v="137.98"/>
    <n v="6.57"/>
    <n v="131.41"/>
    <n v="2"/>
  </r>
  <r>
    <s v="2021-06-12"/>
    <s v="Vancouver"/>
    <s v="加拿大二店"/>
    <x v="4"/>
    <x v="10"/>
    <x v="106"/>
    <x v="0"/>
    <x v="110"/>
    <s v="四宫格"/>
    <n v="5.95"/>
    <s v="锅"/>
    <n v="3"/>
    <n v="17.85"/>
    <n v="0"/>
    <n v="0"/>
    <n v="0"/>
    <n v="0"/>
    <n v="0"/>
    <n v="0"/>
    <n v="0"/>
    <n v="0"/>
    <n v="0"/>
    <n v="0"/>
    <n v="3"/>
    <n v="18.74"/>
    <n v="0.89"/>
    <n v="17.85"/>
    <n v="1"/>
  </r>
  <r>
    <s v="2021-06-12"/>
    <s v="Vancouver"/>
    <s v="加拿大二店"/>
    <x v="4"/>
    <x v="9"/>
    <x v="107"/>
    <x v="0"/>
    <x v="111"/>
    <s v="拼锅"/>
    <n v="11.95"/>
    <s v="锅"/>
    <n v="8"/>
    <n v="95.6"/>
    <n v="0"/>
    <n v="0"/>
    <n v="0"/>
    <n v="0"/>
    <n v="0"/>
    <n v="0"/>
    <n v="0"/>
    <n v="0"/>
    <n v="0"/>
    <n v="0"/>
    <n v="8"/>
    <n v="100.38"/>
    <n v="4.78"/>
    <n v="95.6"/>
    <n v="2"/>
  </r>
  <r>
    <s v="2021-06-12"/>
    <s v="Vancouver"/>
    <s v="加拿大二店"/>
    <x v="4"/>
    <x v="10"/>
    <x v="107"/>
    <x v="0"/>
    <x v="111"/>
    <s v="四宫格"/>
    <n v="5.95"/>
    <s v="锅"/>
    <n v="5"/>
    <n v="29.75"/>
    <n v="0"/>
    <n v="0"/>
    <n v="0"/>
    <n v="0"/>
    <n v="0"/>
    <n v="0"/>
    <n v="0"/>
    <n v="0"/>
    <n v="0"/>
    <n v="0"/>
    <n v="5"/>
    <n v="31.23"/>
    <n v="1.48"/>
    <n v="29.75"/>
    <n v="1"/>
  </r>
  <r>
    <s v="2021-06-13"/>
    <s v="Vancouver"/>
    <s v="加拿大二店"/>
    <x v="0"/>
    <x v="0"/>
    <x v="0"/>
    <x v="0"/>
    <x v="0"/>
    <s v="套餐"/>
    <n v="139.95"/>
    <s v="套餐"/>
    <n v="1"/>
    <n v="139.95"/>
    <n v="0"/>
    <n v="0"/>
    <n v="0"/>
    <n v="0"/>
    <n v="0"/>
    <n v="0"/>
    <n v="0"/>
    <n v="0"/>
    <n v="0"/>
    <n v="0"/>
    <n v="1"/>
    <n v="148.34"/>
    <n v="8.39"/>
    <n v="139.95"/>
    <n v="1"/>
  </r>
  <r>
    <s v="2021-06-13"/>
    <s v="Vancouver"/>
    <s v="加拿大二店"/>
    <x v="1"/>
    <x v="1"/>
    <x v="1"/>
    <x v="1"/>
    <x v="1"/>
    <s v="整份"/>
    <n v="16.95"/>
    <s v="份"/>
    <n v="18"/>
    <n v="305.1"/>
    <n v="1"/>
    <n v="16.95"/>
    <n v="0"/>
    <n v="0"/>
    <n v="1"/>
    <n v="16.95"/>
    <n v="0"/>
    <n v="0"/>
    <n v="26.24"/>
    <n v="0"/>
    <n v="16"/>
    <n v="257.2"/>
    <n v="12.24"/>
    <n v="244.96"/>
    <n v="1"/>
  </r>
  <r>
    <s v="2021-06-13"/>
    <s v="Vancouver"/>
    <s v="加拿大二店"/>
    <x v="1"/>
    <x v="1"/>
    <x v="2"/>
    <x v="2"/>
    <x v="2"/>
    <s v="整份"/>
    <n v="25.95"/>
    <s v="份"/>
    <n v="33"/>
    <n v="856.35"/>
    <n v="0"/>
    <n v="0"/>
    <n v="0"/>
    <n v="0"/>
    <n v="2"/>
    <n v="51.9"/>
    <n v="0"/>
    <n v="0"/>
    <n v="53.18"/>
    <n v="0"/>
    <n v="31"/>
    <n v="788.83"/>
    <n v="37.56"/>
    <n v="751.27"/>
    <n v="1"/>
  </r>
  <r>
    <s v="2021-06-13"/>
    <s v="Vancouver"/>
    <s v="加拿大二店"/>
    <x v="2"/>
    <x v="2"/>
    <x v="4"/>
    <x v="4"/>
    <x v="4"/>
    <s v="壶"/>
    <n v="22.95"/>
    <s v="壶"/>
    <n v="1"/>
    <n v="22.95"/>
    <n v="0"/>
    <n v="0"/>
    <n v="0"/>
    <n v="0"/>
    <n v="0"/>
    <n v="0"/>
    <n v="0"/>
    <n v="-0.01"/>
    <n v="0"/>
    <n v="0"/>
    <n v="1"/>
    <n v="26.4"/>
    <n v="3.44"/>
    <n v="22.96"/>
    <n v="1"/>
  </r>
  <r>
    <s v="2021-06-13"/>
    <s v="Vancouver"/>
    <s v="加拿大二店"/>
    <x v="2"/>
    <x v="2"/>
    <x v="5"/>
    <x v="5"/>
    <x v="5"/>
    <s v="杯"/>
    <n v="6.95"/>
    <s v="杯"/>
    <n v="6"/>
    <n v="41.7"/>
    <n v="0"/>
    <n v="0"/>
    <n v="0"/>
    <n v="0"/>
    <n v="0"/>
    <n v="0"/>
    <n v="0"/>
    <n v="-0.02"/>
    <n v="0"/>
    <n v="0"/>
    <n v="6"/>
    <n v="47.97"/>
    <n v="6.25"/>
    <n v="41.72"/>
    <n v="1"/>
  </r>
  <r>
    <s v="2021-06-13"/>
    <s v="Vancouver"/>
    <s v="加拿大二店"/>
    <x v="1"/>
    <x v="3"/>
    <x v="6"/>
    <x v="6"/>
    <x v="6"/>
    <s v="整份"/>
    <n v="7.95"/>
    <s v="份"/>
    <n v="10"/>
    <n v="79.5"/>
    <n v="0"/>
    <n v="0"/>
    <n v="0"/>
    <n v="0"/>
    <n v="0"/>
    <n v="0"/>
    <n v="0"/>
    <n v="0"/>
    <n v="1.59"/>
    <n v="0"/>
    <n v="10"/>
    <n v="81.8"/>
    <n v="3.89"/>
    <n v="77.91"/>
    <n v="1"/>
  </r>
  <r>
    <s v="2021-06-13"/>
    <s v="Vancouver"/>
    <s v="加拿大二店"/>
    <x v="0"/>
    <x v="0"/>
    <x v="124"/>
    <x v="0"/>
    <x v="128"/>
    <s v="套餐"/>
    <n v="59.95"/>
    <s v="套餐"/>
    <n v="5"/>
    <n v="299.75"/>
    <n v="0"/>
    <n v="0"/>
    <n v="0"/>
    <n v="0"/>
    <n v="0"/>
    <n v="0"/>
    <n v="0"/>
    <n v="-0.02"/>
    <n v="0"/>
    <n v="0"/>
    <n v="5"/>
    <n v="317.75"/>
    <n v="17.98"/>
    <n v="299.77"/>
    <n v="1"/>
  </r>
  <r>
    <s v="2021-06-13"/>
    <s v="Vancouver"/>
    <s v="加拿大二店"/>
    <x v="2"/>
    <x v="19"/>
    <x v="108"/>
    <x v="102"/>
    <x v="112"/>
    <s v="小瓶"/>
    <n v="15.95"/>
    <s v="小瓶"/>
    <n v="2"/>
    <n v="31.9"/>
    <n v="0"/>
    <n v="0"/>
    <n v="0"/>
    <n v="0"/>
    <n v="0"/>
    <n v="0"/>
    <n v="0"/>
    <n v="0"/>
    <n v="0"/>
    <n v="0"/>
    <n v="2"/>
    <n v="36.68"/>
    <n v="4.78"/>
    <n v="31.9"/>
    <n v="1"/>
  </r>
  <r>
    <s v="2021-06-13"/>
    <s v="Vancouver"/>
    <s v="加拿大二店"/>
    <x v="2"/>
    <x v="4"/>
    <x v="7"/>
    <x v="7"/>
    <x v="7"/>
    <s v="常温"/>
    <n v="2.45"/>
    <s v="罐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13"/>
    <s v="Vancouver"/>
    <s v="加拿大二店"/>
    <x v="2"/>
    <x v="4"/>
    <x v="7"/>
    <x v="7"/>
    <x v="7"/>
    <s v="冰镇"/>
    <n v="2.45"/>
    <s v="罐"/>
    <n v="5"/>
    <n v="12.25"/>
    <n v="0"/>
    <n v="0"/>
    <n v="0"/>
    <n v="0"/>
    <n v="0"/>
    <n v="0"/>
    <n v="0"/>
    <n v="0"/>
    <n v="0"/>
    <n v="0"/>
    <n v="5"/>
    <n v="13.72"/>
    <n v="1.47"/>
    <n v="12.25"/>
    <n v="1"/>
  </r>
  <r>
    <s v="2021-06-13"/>
    <s v="Vancouver"/>
    <s v="加拿大二店"/>
    <x v="3"/>
    <x v="5"/>
    <x v="8"/>
    <x v="8"/>
    <x v="8"/>
    <s v="整份"/>
    <n v="3.95"/>
    <s v="份"/>
    <n v="16"/>
    <n v="63.2"/>
    <n v="0"/>
    <n v="0"/>
    <n v="0"/>
    <n v="0"/>
    <n v="0"/>
    <n v="0"/>
    <n v="0"/>
    <n v="0"/>
    <n v="3.23"/>
    <n v="0"/>
    <n v="16"/>
    <n v="62.96"/>
    <n v="2.99"/>
    <n v="59.97"/>
    <n v="1"/>
  </r>
  <r>
    <s v="2021-06-13"/>
    <s v="Vancouver"/>
    <s v="加拿大二店"/>
    <x v="2"/>
    <x v="4"/>
    <x v="9"/>
    <x v="9"/>
    <x v="9"/>
    <s v="冰镇"/>
    <n v="2.95"/>
    <s v="位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13"/>
    <s v="Vancouver"/>
    <s v="加拿大二店"/>
    <x v="2"/>
    <x v="4"/>
    <x v="10"/>
    <x v="10"/>
    <x v="10"/>
    <s v="半份"/>
    <n v="6.95"/>
    <s v="扎"/>
    <n v="8"/>
    <n v="55.6"/>
    <n v="0"/>
    <n v="0"/>
    <n v="0"/>
    <n v="0"/>
    <n v="0"/>
    <n v="0"/>
    <n v="0"/>
    <n v="0"/>
    <n v="0"/>
    <n v="0"/>
    <n v="8"/>
    <n v="62.27"/>
    <n v="6.67"/>
    <n v="55.6"/>
    <n v="0.5"/>
  </r>
  <r>
    <s v="2021-06-13"/>
    <s v="Vancouver"/>
    <s v="加拿大二店"/>
    <x v="2"/>
    <x v="4"/>
    <x v="10"/>
    <x v="11"/>
    <x v="11"/>
    <s v="整份"/>
    <n v="9.95"/>
    <s v="扎"/>
    <n v="7"/>
    <n v="69.65"/>
    <n v="0"/>
    <n v="0"/>
    <n v="0"/>
    <n v="0"/>
    <n v="1"/>
    <n v="9.95"/>
    <n v="0"/>
    <n v="0"/>
    <n v="5.47"/>
    <n v="0"/>
    <n v="6"/>
    <n v="60.73"/>
    <n v="6.5"/>
    <n v="54.23"/>
    <n v="1"/>
  </r>
  <r>
    <s v="2021-06-13"/>
    <s v="Vancouver"/>
    <s v="加拿大二店"/>
    <x v="1"/>
    <x v="6"/>
    <x v="11"/>
    <x v="12"/>
    <x v="12"/>
    <s v="整份"/>
    <n v="8.95"/>
    <s v="份"/>
    <n v="6"/>
    <n v="53.7"/>
    <n v="0"/>
    <n v="0"/>
    <n v="0"/>
    <n v="0"/>
    <n v="1"/>
    <n v="8.95"/>
    <n v="0"/>
    <n v="0"/>
    <n v="0"/>
    <n v="0"/>
    <n v="5"/>
    <n v="46.98"/>
    <n v="2.23"/>
    <n v="44.75"/>
    <n v="1"/>
  </r>
  <r>
    <s v="2021-06-13"/>
    <s v="Vancouver"/>
    <s v="加拿大二店"/>
    <x v="1"/>
    <x v="6"/>
    <x v="12"/>
    <x v="13"/>
    <x v="13"/>
    <s v="整份"/>
    <n v="16.95"/>
    <s v="份"/>
    <n v="1"/>
    <n v="16.95"/>
    <n v="0"/>
    <n v="0"/>
    <n v="0"/>
    <n v="0"/>
    <n v="0"/>
    <n v="0"/>
    <n v="0"/>
    <n v="0"/>
    <n v="0"/>
    <n v="0"/>
    <n v="1"/>
    <n v="17.79"/>
    <n v="0.84"/>
    <n v="16.95"/>
    <n v="1"/>
  </r>
  <r>
    <s v="2021-06-13"/>
    <s v="Vancouver"/>
    <s v="加拿大二店"/>
    <x v="1"/>
    <x v="6"/>
    <x v="13"/>
    <x v="14"/>
    <x v="14"/>
    <s v="整份"/>
    <n v="21.95"/>
    <s v="份"/>
    <n v="3"/>
    <n v="65.85"/>
    <n v="0"/>
    <n v="0"/>
    <n v="0"/>
    <n v="0"/>
    <n v="0"/>
    <n v="0"/>
    <n v="0"/>
    <n v="0"/>
    <n v="0"/>
    <n v="0"/>
    <n v="3"/>
    <n v="69.14"/>
    <n v="3.29"/>
    <n v="65.85"/>
    <n v="1"/>
  </r>
  <r>
    <s v="2021-06-13"/>
    <s v="Vancouver"/>
    <s v="加拿大二店"/>
    <x v="1"/>
    <x v="6"/>
    <x v="14"/>
    <x v="15"/>
    <x v="15"/>
    <s v="整份"/>
    <n v="29.95"/>
    <s v="份"/>
    <n v="3"/>
    <n v="89.85"/>
    <n v="0"/>
    <n v="0"/>
    <n v="0"/>
    <n v="0"/>
    <n v="0"/>
    <n v="0"/>
    <n v="0"/>
    <n v="0"/>
    <n v="10.48"/>
    <n v="0"/>
    <n v="3"/>
    <n v="83.33"/>
    <n v="3.96"/>
    <n v="79.37"/>
    <n v="1"/>
  </r>
  <r>
    <s v="2021-06-13"/>
    <s v="Vancouver"/>
    <s v="加拿大二店"/>
    <x v="1"/>
    <x v="6"/>
    <x v="15"/>
    <x v="16"/>
    <x v="16"/>
    <s v="整份"/>
    <n v="8.95"/>
    <s v="份"/>
    <n v="3"/>
    <n v="26.85"/>
    <n v="0"/>
    <n v="0"/>
    <n v="0"/>
    <n v="0"/>
    <n v="0"/>
    <n v="0"/>
    <n v="0"/>
    <n v="0"/>
    <n v="1.79"/>
    <n v="0"/>
    <n v="3"/>
    <n v="26.31"/>
    <n v="1.25"/>
    <n v="25.06"/>
    <n v="1"/>
  </r>
  <r>
    <s v="2021-06-13"/>
    <s v="Vancouver"/>
    <s v="加拿大二店"/>
    <x v="1"/>
    <x v="6"/>
    <x v="111"/>
    <x v="105"/>
    <x v="115"/>
    <s v="整份"/>
    <n v="8.95"/>
    <s v="份"/>
    <n v="1"/>
    <n v="8.95"/>
    <n v="0"/>
    <n v="0"/>
    <n v="0"/>
    <n v="0"/>
    <n v="0"/>
    <n v="0"/>
    <n v="0"/>
    <n v="0"/>
    <n v="0"/>
    <n v="0"/>
    <n v="1"/>
    <n v="9.39"/>
    <n v="0.44"/>
    <n v="8.95"/>
    <n v="1"/>
  </r>
  <r>
    <s v="2021-06-13"/>
    <s v="Vancouver"/>
    <s v="加拿大二店"/>
    <x v="3"/>
    <x v="7"/>
    <x v="16"/>
    <x v="17"/>
    <x v="17"/>
    <s v="整份"/>
    <n v="4.95"/>
    <s v="份"/>
    <n v="26"/>
    <n v="128.7"/>
    <n v="0"/>
    <n v="0"/>
    <n v="0"/>
    <n v="0"/>
    <n v="0"/>
    <n v="0"/>
    <n v="0"/>
    <n v="0"/>
    <n v="5.93"/>
    <n v="0"/>
    <n v="26"/>
    <n v="128.9"/>
    <n v="6.13"/>
    <n v="122.77"/>
    <n v="1"/>
  </r>
  <r>
    <s v="2021-06-13"/>
    <s v="Vancouver"/>
    <s v="加拿大二店"/>
    <x v="2"/>
    <x v="4"/>
    <x v="17"/>
    <x v="18"/>
    <x v="18"/>
    <s v="常温"/>
    <n v="2.95"/>
    <s v="瓶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13"/>
    <s v="Vancouver"/>
    <s v="加拿大二店"/>
    <x v="2"/>
    <x v="2"/>
    <x v="127"/>
    <x v="121"/>
    <x v="132"/>
    <s v="冰镇"/>
    <n v="4.95"/>
    <s v="瓶"/>
    <n v="1"/>
    <n v="4.95"/>
    <n v="0"/>
    <n v="0"/>
    <n v="0"/>
    <n v="0"/>
    <n v="0"/>
    <n v="0"/>
    <n v="0"/>
    <n v="0"/>
    <n v="0"/>
    <n v="0"/>
    <n v="1"/>
    <n v="5.69"/>
    <n v="0.74"/>
    <n v="4.95"/>
    <n v="1"/>
  </r>
  <r>
    <s v="2021-06-13"/>
    <s v="Vancouver"/>
    <s v="加拿大二店"/>
    <x v="2"/>
    <x v="4"/>
    <x v="18"/>
    <x v="19"/>
    <x v="19"/>
    <s v="冰镇"/>
    <n v="2.95"/>
    <s v="听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13"/>
    <s v="Vancouver"/>
    <s v="加拿大二店"/>
    <x v="1"/>
    <x v="8"/>
    <x v="19"/>
    <x v="20"/>
    <x v="20"/>
    <s v="整份"/>
    <n v="5.95"/>
    <s v="份"/>
    <n v="20"/>
    <n v="119"/>
    <n v="0"/>
    <n v="0"/>
    <n v="0"/>
    <n v="0"/>
    <n v="1"/>
    <n v="5.95"/>
    <n v="0"/>
    <n v="0"/>
    <n v="6.73"/>
    <n v="0"/>
    <n v="19"/>
    <n v="111.63"/>
    <n v="5.31"/>
    <n v="106.32"/>
    <n v="1"/>
  </r>
  <r>
    <s v="2021-06-13"/>
    <s v="Vancouver"/>
    <s v="加拿大二店"/>
    <x v="1"/>
    <x v="8"/>
    <x v="20"/>
    <x v="21"/>
    <x v="21"/>
    <s v="整份"/>
    <n v="7.95"/>
    <s v="份"/>
    <n v="13"/>
    <n v="103.35"/>
    <n v="0"/>
    <n v="0"/>
    <n v="0"/>
    <n v="0"/>
    <n v="0"/>
    <n v="0"/>
    <n v="0"/>
    <n v="0"/>
    <n v="9.52"/>
    <n v="0"/>
    <n v="13"/>
    <n v="98.52"/>
    <n v="4.69"/>
    <n v="93.83"/>
    <n v="1"/>
  </r>
  <r>
    <s v="2021-06-13"/>
    <s v="Vancouver"/>
    <s v="加拿大二店"/>
    <x v="2"/>
    <x v="4"/>
    <x v="21"/>
    <x v="22"/>
    <x v="22"/>
    <s v="冰镇"/>
    <n v="2.45"/>
    <s v="听"/>
    <n v="7"/>
    <n v="17.15"/>
    <n v="0"/>
    <n v="0"/>
    <n v="0"/>
    <n v="0"/>
    <n v="0"/>
    <n v="0"/>
    <n v="0"/>
    <n v="0"/>
    <n v="0.49"/>
    <n v="0"/>
    <n v="7"/>
    <n v="18.65"/>
    <n v="1.99"/>
    <n v="16.66"/>
    <n v="1"/>
  </r>
  <r>
    <s v="2021-06-13"/>
    <s v="Vancouver"/>
    <s v="加拿大二店"/>
    <x v="4"/>
    <x v="9"/>
    <x v="22"/>
    <x v="0"/>
    <x v="23"/>
    <s v="拼锅"/>
    <n v="11.95"/>
    <s v="锅"/>
    <n v="3"/>
    <n v="35.85"/>
    <n v="0"/>
    <n v="0"/>
    <n v="0"/>
    <n v="0"/>
    <n v="0"/>
    <n v="0"/>
    <n v="0"/>
    <n v="0.01"/>
    <n v="0"/>
    <n v="0"/>
    <n v="3"/>
    <n v="37.99"/>
    <n v="2.15"/>
    <n v="35.84"/>
    <n v="2"/>
  </r>
  <r>
    <s v="2021-06-13"/>
    <s v="Vancouver"/>
    <s v="加拿大二店"/>
    <x v="4"/>
    <x v="10"/>
    <x v="22"/>
    <x v="0"/>
    <x v="23"/>
    <s v="四宫格"/>
    <n v="5.95"/>
    <s v="锅"/>
    <n v="11"/>
    <n v="65.45"/>
    <n v="1"/>
    <n v="5.95"/>
    <n v="0"/>
    <n v="0"/>
    <n v="0"/>
    <n v="0"/>
    <n v="0"/>
    <n v="0.04"/>
    <n v="1.19"/>
    <n v="0"/>
    <n v="10"/>
    <n v="61.76"/>
    <n v="3.49"/>
    <n v="58.27"/>
    <n v="1"/>
  </r>
  <r>
    <s v="2021-06-13"/>
    <s v="Vancouver"/>
    <s v="加拿大二店"/>
    <x v="3"/>
    <x v="7"/>
    <x v="23"/>
    <x v="23"/>
    <x v="24"/>
    <s v="整份"/>
    <n v="4.95"/>
    <s v="份"/>
    <n v="21"/>
    <n v="103.95"/>
    <n v="0"/>
    <n v="0"/>
    <n v="0"/>
    <n v="0"/>
    <n v="1"/>
    <n v="4.95"/>
    <n v="0"/>
    <n v="0"/>
    <n v="4.5"/>
    <n v="0"/>
    <n v="20"/>
    <n v="99.22"/>
    <n v="4.72"/>
    <n v="94.5"/>
    <n v="1"/>
  </r>
  <r>
    <s v="2021-06-13"/>
    <s v="Vancouver"/>
    <s v="加拿大二店"/>
    <x v="3"/>
    <x v="11"/>
    <x v="24"/>
    <x v="118"/>
    <x v="129"/>
    <s v="整份"/>
    <n v="5.95"/>
    <s v="份"/>
    <n v="8"/>
    <n v="47.6"/>
    <n v="0"/>
    <n v="0"/>
    <n v="0"/>
    <n v="0"/>
    <n v="0"/>
    <n v="0"/>
    <n v="0"/>
    <n v="0"/>
    <n v="4.46"/>
    <n v="0"/>
    <n v="8"/>
    <n v="45.29"/>
    <n v="2.15"/>
    <n v="43.14"/>
    <n v="1"/>
  </r>
  <r>
    <s v="2021-06-13"/>
    <s v="Vancouver"/>
    <s v="加拿大二店"/>
    <x v="3"/>
    <x v="11"/>
    <x v="24"/>
    <x v="24"/>
    <x v="25"/>
    <s v="半份"/>
    <n v="2.95"/>
    <s v="份"/>
    <n v="5"/>
    <n v="14.75"/>
    <n v="0"/>
    <n v="0"/>
    <n v="0"/>
    <n v="0"/>
    <n v="0"/>
    <n v="0"/>
    <n v="0"/>
    <n v="0"/>
    <n v="0"/>
    <n v="0"/>
    <n v="5"/>
    <n v="15.48"/>
    <n v="0.73"/>
    <n v="14.75"/>
    <n v="0.5"/>
  </r>
  <r>
    <s v="2021-06-13"/>
    <s v="Vancouver"/>
    <s v="加拿大二店"/>
    <x v="3"/>
    <x v="5"/>
    <x v="25"/>
    <x v="25"/>
    <x v="26"/>
    <s v="整份"/>
    <n v="3.95"/>
    <s v="份"/>
    <n v="10"/>
    <n v="39.5"/>
    <n v="0"/>
    <n v="0"/>
    <n v="0"/>
    <n v="0"/>
    <n v="1"/>
    <n v="3.95"/>
    <n v="0"/>
    <n v="0"/>
    <n v="1.94"/>
    <n v="0"/>
    <n v="9"/>
    <n v="35.29"/>
    <n v="1.68"/>
    <n v="33.61"/>
    <n v="1"/>
  </r>
  <r>
    <s v="2021-06-13"/>
    <s v="Vancouver"/>
    <s v="加拿大二店"/>
    <x v="3"/>
    <x v="11"/>
    <x v="26"/>
    <x v="26"/>
    <x v="27"/>
    <s v="整份"/>
    <n v="4.95"/>
    <s v="份"/>
    <n v="21"/>
    <n v="103.95"/>
    <n v="1"/>
    <n v="4.95"/>
    <n v="0"/>
    <n v="0"/>
    <n v="1"/>
    <n v="4.95"/>
    <n v="0"/>
    <n v="0"/>
    <n v="2.36"/>
    <n v="0"/>
    <n v="19"/>
    <n v="96.27"/>
    <n v="4.58"/>
    <n v="91.69"/>
    <n v="1"/>
  </r>
  <r>
    <s v="2021-06-13"/>
    <s v="Vancouver"/>
    <s v="加拿大二店"/>
    <x v="3"/>
    <x v="11"/>
    <x v="26"/>
    <x v="27"/>
    <x v="28"/>
    <s v="半份"/>
    <n v="2.45"/>
    <s v="份"/>
    <n v="20"/>
    <n v="49"/>
    <n v="0"/>
    <n v="0"/>
    <n v="0"/>
    <n v="0"/>
    <n v="0"/>
    <n v="0"/>
    <n v="0"/>
    <n v="0"/>
    <n v="3.18"/>
    <n v="0"/>
    <n v="20"/>
    <n v="48.11"/>
    <n v="2.29"/>
    <n v="45.82"/>
    <n v="0.5"/>
  </r>
  <r>
    <s v="2021-06-13"/>
    <s v="Vancouver"/>
    <s v="加拿大二店"/>
    <x v="2"/>
    <x v="4"/>
    <x v="122"/>
    <x v="116"/>
    <x v="126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13"/>
    <s v="Vancouver"/>
    <s v="加拿大二店"/>
    <x v="5"/>
    <x v="12"/>
    <x v="27"/>
    <x v="28"/>
    <x v="29"/>
    <s v="整份"/>
    <n v="7.95"/>
    <s v="份"/>
    <n v="13"/>
    <n v="103.35"/>
    <n v="0"/>
    <n v="0"/>
    <n v="0"/>
    <n v="0"/>
    <n v="1"/>
    <n v="7.95"/>
    <n v="0"/>
    <n v="0"/>
    <n v="12.84"/>
    <n v="0"/>
    <n v="12"/>
    <n v="86.68"/>
    <n v="4.12"/>
    <n v="82.56"/>
    <n v="1"/>
  </r>
  <r>
    <s v="2021-06-13"/>
    <s v="Vancouver"/>
    <s v="加拿大二店"/>
    <x v="3"/>
    <x v="7"/>
    <x v="28"/>
    <x v="29"/>
    <x v="30"/>
    <s v="整份"/>
    <n v="4.95"/>
    <s v="份"/>
    <n v="22"/>
    <n v="108.9"/>
    <n v="0"/>
    <n v="0"/>
    <n v="0"/>
    <n v="0"/>
    <n v="1"/>
    <n v="4.95"/>
    <n v="0"/>
    <n v="0.01"/>
    <n v="7.93"/>
    <n v="0"/>
    <n v="21"/>
    <n v="100.81"/>
    <n v="4.8"/>
    <n v="96.01"/>
    <n v="1"/>
  </r>
  <r>
    <s v="2021-06-13"/>
    <s v="Vancouver"/>
    <s v="加拿大二店"/>
    <x v="2"/>
    <x v="4"/>
    <x v="112"/>
    <x v="106"/>
    <x v="116"/>
    <s v="冰镇"/>
    <n v="3.95"/>
    <s v="瓶"/>
    <n v="1"/>
    <n v="3.95"/>
    <n v="0"/>
    <n v="0"/>
    <n v="0"/>
    <n v="0"/>
    <n v="1"/>
    <n v="3.95"/>
    <n v="0"/>
    <n v="0"/>
    <n v="0"/>
    <n v="0"/>
    <n v="0"/>
    <n v="0"/>
    <n v="0"/>
    <n v="0"/>
    <n v="1"/>
  </r>
  <r>
    <s v="2021-06-13"/>
    <s v="Vancouver"/>
    <s v="加拿大二店"/>
    <x v="3"/>
    <x v="5"/>
    <x v="29"/>
    <x v="30"/>
    <x v="31"/>
    <s v="整份"/>
    <n v="3.95"/>
    <s v="份"/>
    <n v="4"/>
    <n v="15.8"/>
    <n v="0"/>
    <n v="0"/>
    <n v="0"/>
    <n v="0"/>
    <n v="0"/>
    <n v="0"/>
    <n v="0"/>
    <n v="0"/>
    <n v="0.79"/>
    <n v="0"/>
    <n v="4"/>
    <n v="15.76"/>
    <n v="0.75"/>
    <n v="15.01"/>
    <n v="1"/>
  </r>
  <r>
    <s v="2021-06-13"/>
    <s v="Vancouver"/>
    <s v="加拿大二店"/>
    <x v="6"/>
    <x v="13"/>
    <x v="30"/>
    <x v="31"/>
    <x v="32"/>
    <s v="整份"/>
    <n v="4.95"/>
    <s v="份"/>
    <n v="8"/>
    <n v="39.6"/>
    <n v="0"/>
    <n v="0"/>
    <n v="0"/>
    <n v="0"/>
    <n v="1"/>
    <n v="4.95"/>
    <n v="0"/>
    <n v="0"/>
    <n v="0"/>
    <n v="0"/>
    <n v="7"/>
    <n v="36.38"/>
    <n v="1.73"/>
    <n v="34.65"/>
    <n v="1"/>
  </r>
  <r>
    <s v="2021-06-13"/>
    <s v="Vancouver"/>
    <s v="加拿大二店"/>
    <x v="6"/>
    <x v="13"/>
    <x v="31"/>
    <x v="32"/>
    <x v="33"/>
    <s v="整份"/>
    <n v="9.95"/>
    <s v="份"/>
    <n v="6"/>
    <n v="59.7"/>
    <n v="0"/>
    <n v="0"/>
    <n v="0"/>
    <n v="0"/>
    <n v="0"/>
    <n v="0"/>
    <n v="0"/>
    <n v="0"/>
    <n v="0"/>
    <n v="0"/>
    <n v="6"/>
    <n v="62.68"/>
    <n v="2.98"/>
    <n v="59.7"/>
    <n v="1"/>
  </r>
  <r>
    <s v="2021-06-13"/>
    <s v="Vancouver"/>
    <s v="加拿大二店"/>
    <x v="5"/>
    <x v="12"/>
    <x v="32"/>
    <x v="33"/>
    <x v="34"/>
    <s v="整份"/>
    <n v="17.85"/>
    <s v="份"/>
    <n v="6"/>
    <n v="107.1"/>
    <n v="0"/>
    <n v="0"/>
    <n v="0"/>
    <n v="0"/>
    <n v="1"/>
    <n v="17.85"/>
    <n v="0"/>
    <n v="0"/>
    <n v="5.35"/>
    <n v="0"/>
    <n v="5"/>
    <n v="88.09"/>
    <n v="4.19"/>
    <n v="83.9"/>
    <n v="1"/>
  </r>
  <r>
    <s v="2021-06-13"/>
    <s v="Vancouver"/>
    <s v="加拿大二店"/>
    <x v="1"/>
    <x v="3"/>
    <x v="33"/>
    <x v="34"/>
    <x v="35"/>
    <s v="整份"/>
    <n v="11.95"/>
    <s v="份"/>
    <n v="40"/>
    <n v="478"/>
    <n v="0"/>
    <n v="0"/>
    <n v="0"/>
    <n v="0"/>
    <n v="4"/>
    <n v="47.8"/>
    <n v="0"/>
    <n v="0"/>
    <n v="33.62"/>
    <n v="0"/>
    <n v="36"/>
    <n v="416.4"/>
    <n v="19.82"/>
    <n v="396.58"/>
    <n v="1"/>
  </r>
  <r>
    <s v="2021-06-13"/>
    <s v="Vancouver"/>
    <s v="加拿大二店"/>
    <x v="5"/>
    <x v="12"/>
    <x v="34"/>
    <x v="35"/>
    <x v="36"/>
    <s v="整份"/>
    <n v="11.95"/>
    <s v="份"/>
    <n v="10"/>
    <n v="119.5"/>
    <n v="0"/>
    <n v="0"/>
    <n v="0"/>
    <n v="0"/>
    <n v="0"/>
    <n v="0"/>
    <n v="0"/>
    <n v="0"/>
    <n v="11.51"/>
    <n v="0"/>
    <n v="10"/>
    <n v="113.38"/>
    <n v="5.39"/>
    <n v="107.99"/>
    <n v="1"/>
  </r>
  <r>
    <s v="2021-06-13"/>
    <s v="Vancouver"/>
    <s v="加拿大二店"/>
    <x v="5"/>
    <x v="12"/>
    <x v="35"/>
    <x v="36"/>
    <x v="37"/>
    <s v="条"/>
    <n v="4.95"/>
    <s v="条"/>
    <n v="28"/>
    <n v="138.6"/>
    <n v="1"/>
    <n v="4.95"/>
    <n v="0"/>
    <n v="0"/>
    <n v="1"/>
    <n v="4.95"/>
    <n v="0"/>
    <n v="0"/>
    <n v="1.65"/>
    <n v="0"/>
    <n v="26"/>
    <n v="133.4"/>
    <n v="6.35"/>
    <n v="127.05"/>
    <n v="1"/>
  </r>
  <r>
    <s v="2021-06-13"/>
    <s v="Vancouver"/>
    <s v="加拿大二店"/>
    <x v="5"/>
    <x v="12"/>
    <x v="36"/>
    <x v="37"/>
    <x v="38"/>
    <s v="整份"/>
    <n v="13.95"/>
    <s v="份"/>
    <n v="32"/>
    <n v="446.4"/>
    <n v="0"/>
    <n v="0"/>
    <n v="0"/>
    <n v="0"/>
    <n v="1"/>
    <n v="13.95"/>
    <n v="0"/>
    <n v="0"/>
    <n v="28.89"/>
    <n v="0"/>
    <n v="31"/>
    <n v="423.73"/>
    <n v="20.17"/>
    <n v="403.56"/>
    <n v="1"/>
  </r>
  <r>
    <s v="2021-06-13"/>
    <s v="Vancouver"/>
    <s v="加拿大二店"/>
    <x v="5"/>
    <x v="12"/>
    <x v="37"/>
    <x v="38"/>
    <x v="39"/>
    <s v="整份"/>
    <n v="9.95"/>
    <s v="份"/>
    <n v="33"/>
    <n v="328.35"/>
    <n v="0"/>
    <n v="0"/>
    <n v="0"/>
    <n v="0"/>
    <n v="3"/>
    <n v="29.85"/>
    <n v="0"/>
    <n v="0.01"/>
    <n v="24.95"/>
    <n v="0"/>
    <n v="30"/>
    <n v="287.21"/>
    <n v="13.67"/>
    <n v="273.54"/>
    <n v="1"/>
  </r>
  <r>
    <s v="2021-06-13"/>
    <s v="Vancouver"/>
    <s v="加拿大二店"/>
    <x v="5"/>
    <x v="12"/>
    <x v="38"/>
    <x v="39"/>
    <x v="40"/>
    <s v="整份"/>
    <n v="9.95"/>
    <s v="份"/>
    <n v="14"/>
    <n v="139.3"/>
    <n v="0"/>
    <n v="0"/>
    <n v="0"/>
    <n v="0"/>
    <n v="1"/>
    <n v="9.95"/>
    <n v="0"/>
    <n v="0"/>
    <n v="6.96"/>
    <n v="0"/>
    <n v="13"/>
    <n v="128.5"/>
    <n v="6.11"/>
    <n v="122.39"/>
    <n v="1"/>
  </r>
  <r>
    <s v="2021-06-13"/>
    <s v="Vancouver"/>
    <s v="加拿大二店"/>
    <x v="6"/>
    <x v="13"/>
    <x v="39"/>
    <x v="40"/>
    <x v="41"/>
    <s v="整份"/>
    <n v="8.95"/>
    <s v="份"/>
    <n v="35"/>
    <n v="313.25"/>
    <n v="0"/>
    <n v="0"/>
    <n v="0"/>
    <n v="0"/>
    <n v="3"/>
    <n v="26.85"/>
    <n v="0"/>
    <n v="0"/>
    <n v="3.13"/>
    <n v="0"/>
    <n v="32"/>
    <n v="297.43"/>
    <n v="14.16"/>
    <n v="283.27"/>
    <n v="1"/>
  </r>
  <r>
    <s v="2021-06-13"/>
    <s v="Vancouver"/>
    <s v="加拿大二店"/>
    <x v="5"/>
    <x v="12"/>
    <x v="40"/>
    <x v="41"/>
    <x v="42"/>
    <s v="整份"/>
    <n v="9.95"/>
    <s v="份"/>
    <n v="12"/>
    <n v="119.4"/>
    <n v="0"/>
    <n v="0"/>
    <n v="0"/>
    <n v="0"/>
    <n v="0"/>
    <n v="0"/>
    <n v="0"/>
    <n v="0"/>
    <n v="8.79"/>
    <n v="0"/>
    <n v="12"/>
    <n v="116.14"/>
    <n v="5.53"/>
    <n v="110.61"/>
    <n v="1"/>
  </r>
  <r>
    <s v="2021-06-13"/>
    <s v="Vancouver"/>
    <s v="加拿大二店"/>
    <x v="1"/>
    <x v="6"/>
    <x v="131"/>
    <x v="125"/>
    <x v="136"/>
    <s v="整份"/>
    <n v="28.95"/>
    <s v="份"/>
    <n v="2"/>
    <n v="57.9"/>
    <n v="0"/>
    <n v="0"/>
    <n v="0"/>
    <n v="0"/>
    <n v="0"/>
    <n v="0"/>
    <n v="0"/>
    <n v="-0.02"/>
    <n v="0"/>
    <n v="0"/>
    <n v="2"/>
    <n v="61.39"/>
    <n v="3.47"/>
    <n v="57.92"/>
    <n v="1"/>
  </r>
  <r>
    <s v="2021-06-13"/>
    <s v="Vancouver"/>
    <s v="加拿大二店"/>
    <x v="5"/>
    <x v="12"/>
    <x v="41"/>
    <x v="42"/>
    <x v="43"/>
    <s v="整份"/>
    <n v="7.95"/>
    <s v="份"/>
    <n v="26"/>
    <n v="206.7"/>
    <n v="0"/>
    <n v="0"/>
    <n v="0"/>
    <n v="0"/>
    <n v="2"/>
    <n v="15.9"/>
    <n v="0"/>
    <n v="0"/>
    <n v="15.42"/>
    <n v="0"/>
    <n v="24"/>
    <n v="184.14"/>
    <n v="8.76"/>
    <n v="175.38"/>
    <n v="1"/>
  </r>
  <r>
    <s v="2021-06-13"/>
    <s v="Vancouver"/>
    <s v="加拿大二店"/>
    <x v="2"/>
    <x v="2"/>
    <x v="42"/>
    <x v="43"/>
    <x v="44"/>
    <s v="冰镇"/>
    <n v="5.95"/>
    <s v="瓶"/>
    <n v="14"/>
    <n v="83.3"/>
    <n v="0"/>
    <n v="0"/>
    <n v="0"/>
    <n v="0"/>
    <n v="0"/>
    <n v="0"/>
    <n v="0"/>
    <n v="0"/>
    <n v="0"/>
    <n v="0"/>
    <n v="14"/>
    <n v="95.79"/>
    <n v="12.49"/>
    <n v="83.3"/>
    <n v="1"/>
  </r>
  <r>
    <s v="2021-06-13"/>
    <s v="Vancouver"/>
    <s v="加拿大二店"/>
    <x v="3"/>
    <x v="5"/>
    <x v="43"/>
    <x v="44"/>
    <x v="45"/>
    <s v="整份"/>
    <n v="3.95"/>
    <s v="份"/>
    <n v="10"/>
    <n v="39.5"/>
    <n v="0"/>
    <n v="0"/>
    <n v="0"/>
    <n v="0"/>
    <n v="0"/>
    <n v="0"/>
    <n v="0"/>
    <n v="0"/>
    <n v="0"/>
    <n v="0"/>
    <n v="10"/>
    <n v="41.47"/>
    <n v="1.97"/>
    <n v="39.5"/>
    <n v="1"/>
  </r>
  <r>
    <s v="2021-06-13"/>
    <s v="Vancouver"/>
    <s v="加拿大二店"/>
    <x v="7"/>
    <x v="14"/>
    <x v="44"/>
    <x v="45"/>
    <x v="46"/>
    <s v="整份"/>
    <n v="0"/>
    <s v="份"/>
    <n v="25"/>
    <n v="0"/>
    <n v="0"/>
    <n v="0"/>
    <n v="0"/>
    <n v="0"/>
    <n v="0"/>
    <n v="0"/>
    <n v="0"/>
    <n v="0"/>
    <n v="0"/>
    <n v="0"/>
    <n v="25"/>
    <n v="0"/>
    <n v="0"/>
    <n v="0"/>
    <n v="1"/>
  </r>
  <r>
    <s v="2021-06-13"/>
    <s v="Vancouver"/>
    <s v="加拿大二店"/>
    <x v="7"/>
    <x v="14"/>
    <x v="45"/>
    <x v="46"/>
    <x v="47"/>
    <s v="整份"/>
    <n v="4.98"/>
    <s v="份"/>
    <n v="1"/>
    <n v="4.98"/>
    <n v="0"/>
    <n v="0"/>
    <n v="0"/>
    <n v="0"/>
    <n v="0"/>
    <n v="0"/>
    <n v="0"/>
    <n v="0"/>
    <n v="0"/>
    <n v="0"/>
    <n v="1"/>
    <n v="5.22"/>
    <n v="0.24"/>
    <n v="4.98"/>
    <n v="1"/>
  </r>
  <r>
    <s v="2021-06-13"/>
    <s v="Vancouver"/>
    <s v="加拿大二店"/>
    <x v="7"/>
    <x v="14"/>
    <x v="45"/>
    <x v="46"/>
    <x v="47"/>
    <s v="整份"/>
    <n v="7"/>
    <s v="份"/>
    <n v="1"/>
    <n v="7"/>
    <n v="0"/>
    <n v="0"/>
    <n v="0"/>
    <n v="0"/>
    <n v="0"/>
    <n v="0"/>
    <n v="0"/>
    <n v="0"/>
    <n v="0"/>
    <n v="0"/>
    <n v="1"/>
    <n v="7.35"/>
    <n v="0.35"/>
    <n v="7"/>
    <n v="1"/>
  </r>
  <r>
    <s v="2021-06-13"/>
    <s v="Vancouver"/>
    <s v="加拿大二店"/>
    <x v="7"/>
    <x v="14"/>
    <x v="45"/>
    <x v="46"/>
    <x v="47"/>
    <s v="整份"/>
    <n v="9.99"/>
    <s v="份"/>
    <n v="2"/>
    <n v="19.98"/>
    <n v="0"/>
    <n v="0"/>
    <n v="0"/>
    <n v="0"/>
    <n v="0"/>
    <n v="0"/>
    <n v="0"/>
    <n v="-0.01"/>
    <n v="0"/>
    <n v="0"/>
    <n v="2"/>
    <n v="20.98"/>
    <n v="0.99"/>
    <n v="19.99"/>
    <n v="1"/>
  </r>
  <r>
    <s v="2021-06-13"/>
    <s v="Vancouver"/>
    <s v="加拿大二店"/>
    <x v="7"/>
    <x v="14"/>
    <x v="45"/>
    <x v="46"/>
    <x v="47"/>
    <s v="整份"/>
    <n v="10.5"/>
    <s v="份"/>
    <n v="1"/>
    <n v="10.5"/>
    <n v="0"/>
    <n v="0"/>
    <n v="0"/>
    <n v="0"/>
    <n v="0"/>
    <n v="0"/>
    <n v="0"/>
    <n v="-0.02"/>
    <n v="0"/>
    <n v="0"/>
    <n v="1"/>
    <n v="11.04"/>
    <n v="0.52"/>
    <n v="10.52"/>
    <n v="1"/>
  </r>
  <r>
    <s v="2021-06-13"/>
    <s v="Vancouver"/>
    <s v="加拿大二店"/>
    <x v="7"/>
    <x v="14"/>
    <x v="45"/>
    <x v="46"/>
    <x v="47"/>
    <s v="整份"/>
    <n v="11.66"/>
    <s v="份"/>
    <n v="1"/>
    <n v="11.66"/>
    <n v="0"/>
    <n v="0"/>
    <n v="0"/>
    <n v="0"/>
    <n v="0"/>
    <n v="0"/>
    <n v="0"/>
    <n v="0"/>
    <n v="0"/>
    <n v="0"/>
    <n v="1"/>
    <n v="12.24"/>
    <n v="0.58"/>
    <n v="11.66"/>
    <n v="1"/>
  </r>
  <r>
    <s v="2021-06-13"/>
    <s v="Vancouver"/>
    <s v="加拿大二店"/>
    <x v="7"/>
    <x v="14"/>
    <x v="45"/>
    <x v="46"/>
    <x v="47"/>
    <s v="整份"/>
    <n v="12.99"/>
    <s v="份"/>
    <n v="2"/>
    <n v="25.98"/>
    <n v="1"/>
    <n v="12.99"/>
    <n v="0"/>
    <n v="0"/>
    <n v="0"/>
    <n v="0"/>
    <n v="0"/>
    <n v="-0.01"/>
    <n v="0"/>
    <n v="0"/>
    <n v="1"/>
    <n v="13.65"/>
    <n v="0.65"/>
    <n v="13"/>
    <n v="1"/>
  </r>
  <r>
    <s v="2021-06-13"/>
    <s v="Vancouver"/>
    <s v="加拿大二店"/>
    <x v="7"/>
    <x v="14"/>
    <x v="45"/>
    <x v="46"/>
    <x v="47"/>
    <s v="整份"/>
    <n v="17.94"/>
    <s v="份"/>
    <n v="1"/>
    <n v="17.94"/>
    <n v="0"/>
    <n v="0"/>
    <n v="0"/>
    <n v="0"/>
    <n v="0"/>
    <n v="0"/>
    <n v="0"/>
    <n v="-0.01"/>
    <n v="0"/>
    <n v="0"/>
    <n v="1"/>
    <n v="18.84"/>
    <n v="0.89"/>
    <n v="17.95"/>
    <n v="1"/>
  </r>
  <r>
    <s v="2021-06-13"/>
    <s v="Vancouver"/>
    <s v="加拿大二店"/>
    <x v="7"/>
    <x v="14"/>
    <x v="45"/>
    <x v="46"/>
    <x v="47"/>
    <s v="整份"/>
    <n v="32.19"/>
    <s v="份"/>
    <n v="1"/>
    <n v="32.19"/>
    <n v="0"/>
    <n v="0"/>
    <n v="0"/>
    <n v="0"/>
    <n v="0"/>
    <n v="0"/>
    <n v="0"/>
    <n v="0.02"/>
    <n v="0"/>
    <n v="0"/>
    <n v="1"/>
    <n v="33.77"/>
    <n v="1.6"/>
    <n v="32.17"/>
    <n v="1"/>
  </r>
  <r>
    <s v="2021-06-13"/>
    <s v="Vancouver"/>
    <s v="加拿大二店"/>
    <x v="7"/>
    <x v="14"/>
    <x v="45"/>
    <x v="46"/>
    <x v="47"/>
    <s v="整份"/>
    <n v="67.37"/>
    <s v="份"/>
    <n v="1"/>
    <n v="67.37"/>
    <n v="0"/>
    <n v="0"/>
    <n v="0"/>
    <n v="0"/>
    <n v="0"/>
    <n v="0"/>
    <n v="0"/>
    <n v="-0.02"/>
    <n v="0"/>
    <n v="0"/>
    <n v="1"/>
    <n v="70.75"/>
    <n v="3.36"/>
    <n v="67.39"/>
    <n v="1"/>
  </r>
  <r>
    <s v="2021-06-13"/>
    <s v="Vancouver"/>
    <s v="加拿大二店"/>
    <x v="7"/>
    <x v="14"/>
    <x v="45"/>
    <x v="46"/>
    <x v="47"/>
    <s v="整份"/>
    <n v="85.3"/>
    <s v="份"/>
    <n v="1"/>
    <n v="85.3"/>
    <n v="0"/>
    <n v="0"/>
    <n v="0"/>
    <n v="0"/>
    <n v="0"/>
    <n v="0"/>
    <n v="0"/>
    <n v="0.02"/>
    <n v="0"/>
    <n v="0"/>
    <n v="1"/>
    <n v="89.54"/>
    <n v="4.26"/>
    <n v="85.28"/>
    <n v="1"/>
  </r>
  <r>
    <s v="2021-06-13"/>
    <s v="Vancouver"/>
    <s v="加拿大二店"/>
    <x v="7"/>
    <x v="14"/>
    <x v="45"/>
    <x v="46"/>
    <x v="47"/>
    <s v="整份"/>
    <n v="89.57"/>
    <s v="份"/>
    <n v="1"/>
    <n v="89.57"/>
    <n v="1"/>
    <n v="89.57"/>
    <n v="0"/>
    <n v="0"/>
    <n v="0"/>
    <n v="0"/>
    <n v="0"/>
    <n v="0"/>
    <n v="0"/>
    <n v="0"/>
    <n v="0"/>
    <n v="0"/>
    <n v="0"/>
    <n v="0"/>
    <n v="1"/>
  </r>
  <r>
    <s v="2021-06-13"/>
    <s v="Vancouver"/>
    <s v="加拿大二店"/>
    <x v="7"/>
    <x v="14"/>
    <x v="45"/>
    <x v="46"/>
    <x v="47"/>
    <s v="整份"/>
    <n v="113.99"/>
    <s v="份"/>
    <n v="1"/>
    <n v="113.99"/>
    <n v="0"/>
    <n v="0"/>
    <n v="0"/>
    <n v="0"/>
    <n v="0"/>
    <n v="0"/>
    <n v="0"/>
    <n v="0.01"/>
    <n v="0"/>
    <n v="0"/>
    <n v="1"/>
    <n v="119.67"/>
    <n v="5.69"/>
    <n v="113.98"/>
    <n v="1"/>
  </r>
  <r>
    <s v="2021-06-13"/>
    <s v="Vancouver"/>
    <s v="加拿大二店"/>
    <x v="7"/>
    <x v="14"/>
    <x v="45"/>
    <x v="46"/>
    <x v="47"/>
    <s v="整份"/>
    <n v="128.95"/>
    <s v="份"/>
    <n v="1"/>
    <n v="128.95"/>
    <n v="0"/>
    <n v="0"/>
    <n v="0"/>
    <n v="0"/>
    <n v="0"/>
    <n v="0"/>
    <n v="0"/>
    <n v="-0.01"/>
    <n v="0"/>
    <n v="0"/>
    <n v="1"/>
    <n v="135.4"/>
    <n v="6.44"/>
    <n v="128.96"/>
    <n v="1"/>
  </r>
  <r>
    <s v="2021-06-13"/>
    <s v="Vancouver"/>
    <s v="加拿大二店"/>
    <x v="7"/>
    <x v="14"/>
    <x v="45"/>
    <x v="46"/>
    <x v="47"/>
    <s v="整份"/>
    <n v="156.95"/>
    <s v="份"/>
    <n v="1"/>
    <n v="156.95"/>
    <n v="0"/>
    <n v="0"/>
    <n v="0"/>
    <n v="0"/>
    <n v="0"/>
    <n v="0"/>
    <n v="0"/>
    <n v="0"/>
    <n v="0"/>
    <n v="0"/>
    <n v="1"/>
    <n v="164.79"/>
    <n v="7.84"/>
    <n v="156.95"/>
    <n v="1"/>
  </r>
  <r>
    <s v="2021-06-13"/>
    <s v="Vancouver"/>
    <s v="加拿大二店"/>
    <x v="2"/>
    <x v="4"/>
    <x v="46"/>
    <x v="47"/>
    <x v="48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13"/>
    <s v="Vancouver"/>
    <s v="加拿大二店"/>
    <x v="2"/>
    <x v="4"/>
    <x v="47"/>
    <x v="48"/>
    <x v="49"/>
    <s v="常温"/>
    <n v="2.95"/>
    <s v="听"/>
    <n v="4"/>
    <n v="11.8"/>
    <n v="0"/>
    <n v="0"/>
    <n v="0"/>
    <n v="0"/>
    <n v="0"/>
    <n v="0"/>
    <n v="0"/>
    <n v="0"/>
    <n v="0"/>
    <n v="0"/>
    <n v="4"/>
    <n v="13.21"/>
    <n v="1.41"/>
    <n v="11.8"/>
    <n v="1"/>
  </r>
  <r>
    <s v="2021-06-13"/>
    <s v="Vancouver"/>
    <s v="加拿大二店"/>
    <x v="2"/>
    <x v="4"/>
    <x v="47"/>
    <x v="48"/>
    <x v="49"/>
    <s v="冰镇"/>
    <n v="2.95"/>
    <s v="听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13"/>
    <s v="Vancouver"/>
    <s v="加拿大二店"/>
    <x v="6"/>
    <x v="13"/>
    <x v="48"/>
    <x v="49"/>
    <x v="50"/>
    <s v="整份"/>
    <n v="4.95"/>
    <s v="份"/>
    <n v="17"/>
    <n v="84.15"/>
    <n v="0"/>
    <n v="0"/>
    <n v="0"/>
    <n v="0"/>
    <n v="1"/>
    <n v="4.95"/>
    <n v="0"/>
    <n v="0"/>
    <n v="5.53"/>
    <n v="0"/>
    <n v="16"/>
    <n v="77.35"/>
    <n v="3.68"/>
    <n v="73.67"/>
    <n v="1"/>
  </r>
  <r>
    <s v="2021-06-13"/>
    <s v="Vancouver"/>
    <s v="加拿大二店"/>
    <x v="3"/>
    <x v="7"/>
    <x v="49"/>
    <x v="50"/>
    <x v="51"/>
    <s v="整份"/>
    <n v="4.95"/>
    <s v="份"/>
    <n v="6"/>
    <n v="29.7"/>
    <n v="0"/>
    <n v="0"/>
    <n v="0"/>
    <n v="0"/>
    <n v="0"/>
    <n v="0"/>
    <n v="0"/>
    <n v="0"/>
    <n v="1.65"/>
    <n v="0"/>
    <n v="6"/>
    <n v="29.45"/>
    <n v="1.4"/>
    <n v="28.05"/>
    <n v="1"/>
  </r>
  <r>
    <s v="2021-06-13"/>
    <s v="Vancouver"/>
    <s v="加拿大二店"/>
    <x v="6"/>
    <x v="15"/>
    <x v="50"/>
    <x v="51"/>
    <x v="52"/>
    <s v="份"/>
    <n v="8.95"/>
    <s v="份"/>
    <n v="4"/>
    <n v="35.8"/>
    <n v="1"/>
    <n v="8.95"/>
    <n v="0"/>
    <n v="0"/>
    <n v="0"/>
    <n v="0"/>
    <n v="0"/>
    <n v="-0.02"/>
    <n v="3.13"/>
    <n v="0"/>
    <n v="3"/>
    <n v="24.92"/>
    <n v="1.18"/>
    <n v="23.74"/>
    <n v="1"/>
  </r>
  <r>
    <s v="2021-06-13"/>
    <s v="Vancouver"/>
    <s v="加拿大二店"/>
    <x v="1"/>
    <x v="6"/>
    <x v="113"/>
    <x v="107"/>
    <x v="117"/>
    <s v="整份"/>
    <n v="28.95"/>
    <s v="份"/>
    <n v="1"/>
    <n v="28.95"/>
    <n v="0"/>
    <n v="0"/>
    <n v="0"/>
    <n v="0"/>
    <n v="0"/>
    <n v="0"/>
    <n v="0"/>
    <n v="-0.02"/>
    <n v="0"/>
    <n v="0"/>
    <n v="1"/>
    <n v="30.41"/>
    <n v="1.44"/>
    <n v="28.97"/>
    <n v="1"/>
  </r>
  <r>
    <s v="2021-06-13"/>
    <s v="Vancouver"/>
    <s v="加拿大二店"/>
    <x v="3"/>
    <x v="5"/>
    <x v="51"/>
    <x v="52"/>
    <x v="53"/>
    <s v="整份"/>
    <n v="3.95"/>
    <s v="份"/>
    <n v="10"/>
    <n v="39.5"/>
    <n v="0"/>
    <n v="0"/>
    <n v="0"/>
    <n v="0"/>
    <n v="2"/>
    <n v="7.9"/>
    <n v="0"/>
    <n v="0"/>
    <n v="0.79"/>
    <n v="0"/>
    <n v="8"/>
    <n v="32.35"/>
    <n v="1.54"/>
    <n v="30.81"/>
    <n v="1"/>
  </r>
  <r>
    <s v="2021-06-13"/>
    <s v="Vancouver"/>
    <s v="加拿大二店"/>
    <x v="3"/>
    <x v="5"/>
    <x v="52"/>
    <x v="53"/>
    <x v="54"/>
    <s v="整份"/>
    <n v="5.95"/>
    <s v="份"/>
    <n v="7"/>
    <n v="41.65"/>
    <n v="0"/>
    <n v="0"/>
    <n v="0"/>
    <n v="0"/>
    <n v="1"/>
    <n v="5.95"/>
    <n v="0"/>
    <n v="0.03"/>
    <n v="1.78"/>
    <n v="0"/>
    <n v="6"/>
    <n v="35.58"/>
    <n v="1.69"/>
    <n v="33.89"/>
    <n v="1"/>
  </r>
  <r>
    <s v="2021-06-13"/>
    <s v="Vancouver"/>
    <s v="加拿大二店"/>
    <x v="4"/>
    <x v="9"/>
    <x v="53"/>
    <x v="0"/>
    <x v="55"/>
    <s v="拼锅"/>
    <n v="0"/>
    <s v="锅"/>
    <n v="19"/>
    <n v="0"/>
    <n v="0"/>
    <n v="0"/>
    <n v="0"/>
    <n v="0"/>
    <n v="1"/>
    <n v="0"/>
    <n v="0"/>
    <n v="-0.04"/>
    <n v="0"/>
    <n v="0"/>
    <n v="18"/>
    <n v="0.04"/>
    <n v="0"/>
    <n v="0.04"/>
    <n v="2"/>
  </r>
  <r>
    <s v="2021-06-13"/>
    <s v="Vancouver"/>
    <s v="加拿大二店"/>
    <x v="4"/>
    <x v="10"/>
    <x v="53"/>
    <x v="0"/>
    <x v="55"/>
    <s v="四宫格"/>
    <n v="0"/>
    <s v="锅"/>
    <n v="17"/>
    <n v="0"/>
    <n v="0"/>
    <n v="0"/>
    <n v="0"/>
    <n v="0"/>
    <n v="0"/>
    <n v="0"/>
    <n v="0"/>
    <n v="0"/>
    <n v="0"/>
    <n v="0"/>
    <n v="17"/>
    <n v="0"/>
    <n v="0"/>
    <n v="0"/>
    <n v="1"/>
  </r>
  <r>
    <s v="2021-06-13"/>
    <s v="Vancouver"/>
    <s v="加拿大二店"/>
    <x v="6"/>
    <x v="13"/>
    <x v="54"/>
    <x v="54"/>
    <x v="56"/>
    <s v="个"/>
    <n v="1.95"/>
    <s v="个"/>
    <n v="5"/>
    <n v="9.75"/>
    <n v="0"/>
    <n v="0"/>
    <n v="0"/>
    <n v="0"/>
    <n v="1"/>
    <n v="1.95"/>
    <n v="0"/>
    <n v="0"/>
    <n v="0"/>
    <n v="0"/>
    <n v="4"/>
    <n v="8.19"/>
    <n v="0.39"/>
    <n v="7.8"/>
    <n v="1"/>
  </r>
  <r>
    <s v="2021-06-13"/>
    <s v="Vancouver"/>
    <s v="加拿大二店"/>
    <x v="6"/>
    <x v="13"/>
    <x v="114"/>
    <x v="108"/>
    <x v="118"/>
    <s v="整份"/>
    <n v="7.95"/>
    <s v="份"/>
    <n v="6"/>
    <n v="47.7"/>
    <n v="0"/>
    <n v="0"/>
    <n v="0"/>
    <n v="0"/>
    <n v="0"/>
    <n v="0"/>
    <n v="0"/>
    <n v="0.05"/>
    <n v="0.6"/>
    <n v="0"/>
    <n v="6"/>
    <n v="49.4"/>
    <n v="2.35"/>
    <n v="47.05"/>
    <n v="1"/>
  </r>
  <r>
    <s v="2021-06-13"/>
    <s v="Vancouver"/>
    <s v="加拿大二店"/>
    <x v="1"/>
    <x v="8"/>
    <x v="55"/>
    <x v="55"/>
    <x v="57"/>
    <s v="整份"/>
    <n v="9.95"/>
    <s v="份"/>
    <n v="20"/>
    <n v="199"/>
    <n v="0"/>
    <n v="0"/>
    <n v="0"/>
    <n v="0"/>
    <n v="4"/>
    <n v="39.8"/>
    <n v="0"/>
    <n v="0.01"/>
    <n v="7.36"/>
    <n v="0"/>
    <n v="16"/>
    <n v="159.42"/>
    <n v="7.59"/>
    <n v="151.83"/>
    <n v="1"/>
  </r>
  <r>
    <s v="2021-06-13"/>
    <s v="Vancouver"/>
    <s v="加拿大二店"/>
    <x v="1"/>
    <x v="1"/>
    <x v="56"/>
    <x v="56"/>
    <x v="58"/>
    <s v="整份"/>
    <n v="12.95"/>
    <s v="份"/>
    <n v="18"/>
    <n v="233.1"/>
    <n v="2"/>
    <n v="25.9"/>
    <n v="0"/>
    <n v="0"/>
    <n v="1"/>
    <n v="12.95"/>
    <n v="0"/>
    <n v="0"/>
    <n v="13.2"/>
    <n v="0"/>
    <n v="15"/>
    <n v="190.1"/>
    <n v="9.05"/>
    <n v="181.05"/>
    <n v="1"/>
  </r>
  <r>
    <s v="2021-06-13"/>
    <s v="Vancouver"/>
    <s v="加拿大二店"/>
    <x v="1"/>
    <x v="1"/>
    <x v="57"/>
    <x v="57"/>
    <x v="59"/>
    <s v="整份"/>
    <n v="11.95"/>
    <s v="份"/>
    <n v="67"/>
    <n v="800.65"/>
    <n v="0"/>
    <n v="0"/>
    <n v="0"/>
    <n v="0"/>
    <n v="1"/>
    <n v="11.95"/>
    <n v="0"/>
    <n v="0"/>
    <n v="30.18"/>
    <n v="0"/>
    <n v="66"/>
    <n v="796.44"/>
    <n v="37.92"/>
    <n v="758.52"/>
    <n v="1"/>
  </r>
  <r>
    <s v="2021-06-13"/>
    <s v="Vancouver"/>
    <s v="加拿大二店"/>
    <x v="4"/>
    <x v="16"/>
    <x v="58"/>
    <x v="0"/>
    <x v="60"/>
    <s v="单锅"/>
    <n v="16.95"/>
    <s v="锅"/>
    <n v="1"/>
    <n v="16.95"/>
    <n v="1"/>
    <n v="16.95"/>
    <n v="0"/>
    <n v="0"/>
    <n v="0"/>
    <n v="0"/>
    <n v="0"/>
    <n v="0"/>
    <n v="0"/>
    <n v="0"/>
    <n v="0"/>
    <n v="0"/>
    <n v="0"/>
    <n v="0"/>
    <n v="4"/>
  </r>
  <r>
    <s v="2021-06-13"/>
    <s v="Vancouver"/>
    <s v="加拿大二店"/>
    <x v="4"/>
    <x v="9"/>
    <x v="58"/>
    <x v="0"/>
    <x v="60"/>
    <s v="拼锅"/>
    <n v="8.95"/>
    <s v="锅"/>
    <n v="27"/>
    <n v="241.65"/>
    <n v="0"/>
    <n v="0"/>
    <n v="0"/>
    <n v="0"/>
    <n v="2"/>
    <n v="17.9"/>
    <n v="0"/>
    <n v="0.04"/>
    <n v="0.57"/>
    <n v="0"/>
    <n v="25"/>
    <n v="234.29"/>
    <n v="11.15"/>
    <n v="223.14"/>
    <n v="2"/>
  </r>
  <r>
    <s v="2021-06-13"/>
    <s v="Vancouver"/>
    <s v="加拿大二店"/>
    <x v="4"/>
    <x v="10"/>
    <x v="58"/>
    <x v="0"/>
    <x v="60"/>
    <s v="四宫格"/>
    <n v="4.95"/>
    <s v="锅"/>
    <n v="22"/>
    <n v="108.9"/>
    <n v="1"/>
    <n v="4.95"/>
    <n v="0"/>
    <n v="0"/>
    <n v="0"/>
    <n v="0"/>
    <n v="0"/>
    <n v="0"/>
    <n v="2.47"/>
    <n v="0"/>
    <n v="21"/>
    <n v="106.55"/>
    <n v="5.07"/>
    <n v="101.48"/>
    <n v="1"/>
  </r>
  <r>
    <s v="2021-06-13"/>
    <s v="Vancouver"/>
    <s v="加拿大二店"/>
    <x v="3"/>
    <x v="5"/>
    <x v="59"/>
    <x v="58"/>
    <x v="61"/>
    <s v="整份"/>
    <n v="4.95"/>
    <s v="份"/>
    <n v="7"/>
    <n v="34.65"/>
    <n v="0"/>
    <n v="0"/>
    <n v="0"/>
    <n v="0"/>
    <n v="0"/>
    <n v="0"/>
    <n v="0"/>
    <n v="0"/>
    <n v="0.99"/>
    <n v="0"/>
    <n v="7"/>
    <n v="35.34"/>
    <n v="1.68"/>
    <n v="33.66"/>
    <n v="1"/>
  </r>
  <r>
    <s v="2021-06-13"/>
    <s v="Vancouver"/>
    <s v="加拿大二店"/>
    <x v="2"/>
    <x v="4"/>
    <x v="60"/>
    <x v="59"/>
    <x v="62"/>
    <s v="冰镇"/>
    <n v="6.95"/>
    <s v="扎"/>
    <n v="3"/>
    <n v="20.85"/>
    <n v="0"/>
    <n v="0"/>
    <n v="0"/>
    <n v="0"/>
    <n v="0"/>
    <n v="0"/>
    <n v="0"/>
    <n v="0"/>
    <n v="0.93"/>
    <n v="0"/>
    <n v="3"/>
    <n v="22.31"/>
    <n v="2.39"/>
    <n v="19.92"/>
    <n v="1"/>
  </r>
  <r>
    <s v="2021-06-13"/>
    <s v="Vancouver"/>
    <s v="加拿大二店"/>
    <x v="6"/>
    <x v="13"/>
    <x v="61"/>
    <x v="60"/>
    <x v="63"/>
    <s v="整份"/>
    <n v="3.95"/>
    <s v="包"/>
    <n v="22"/>
    <n v="86.9"/>
    <n v="0"/>
    <n v="0"/>
    <n v="0"/>
    <n v="0"/>
    <n v="0"/>
    <n v="0"/>
    <n v="0"/>
    <n v="0"/>
    <n v="0"/>
    <n v="0"/>
    <n v="22"/>
    <n v="91.24"/>
    <n v="4.34"/>
    <n v="86.9"/>
    <n v="1"/>
  </r>
  <r>
    <s v="2021-06-13"/>
    <s v="Vancouver"/>
    <s v="加拿大二店"/>
    <x v="1"/>
    <x v="8"/>
    <x v="116"/>
    <x v="110"/>
    <x v="120"/>
    <s v="个"/>
    <n v="0.95"/>
    <s v="个"/>
    <n v="5"/>
    <n v="4.75"/>
    <n v="0"/>
    <n v="0"/>
    <n v="0"/>
    <n v="0"/>
    <n v="0"/>
    <n v="0"/>
    <n v="0"/>
    <n v="0"/>
    <n v="0"/>
    <n v="0"/>
    <n v="5"/>
    <n v="4.98"/>
    <n v="0.23"/>
    <n v="4.75"/>
    <n v="1"/>
  </r>
  <r>
    <s v="2021-06-13"/>
    <s v="Vancouver"/>
    <s v="加拿大二店"/>
    <x v="4"/>
    <x v="16"/>
    <x v="62"/>
    <x v="0"/>
    <x v="64"/>
    <s v="单锅"/>
    <n v="16.95"/>
    <s v="锅"/>
    <n v="5"/>
    <n v="84.75"/>
    <n v="0"/>
    <n v="0"/>
    <n v="0"/>
    <n v="0"/>
    <n v="0"/>
    <n v="0"/>
    <n v="0"/>
    <n v="0"/>
    <n v="0"/>
    <n v="0"/>
    <n v="5"/>
    <n v="88.98"/>
    <n v="4.23"/>
    <n v="84.75"/>
    <n v="4"/>
  </r>
  <r>
    <s v="2021-06-13"/>
    <s v="Vancouver"/>
    <s v="加拿大二店"/>
    <x v="4"/>
    <x v="9"/>
    <x v="62"/>
    <x v="0"/>
    <x v="64"/>
    <s v="拼锅"/>
    <n v="8.95"/>
    <s v="锅"/>
    <n v="30"/>
    <n v="268.5"/>
    <n v="0"/>
    <n v="0"/>
    <n v="0"/>
    <n v="0"/>
    <n v="2"/>
    <n v="17.9"/>
    <n v="0"/>
    <n v="-0.02"/>
    <n v="4.22"/>
    <n v="0"/>
    <n v="28"/>
    <n v="258.72"/>
    <n v="12.32"/>
    <n v="246.4"/>
    <n v="2"/>
  </r>
  <r>
    <s v="2021-06-13"/>
    <s v="Vancouver"/>
    <s v="加拿大二店"/>
    <x v="4"/>
    <x v="10"/>
    <x v="62"/>
    <x v="0"/>
    <x v="64"/>
    <s v="四宫格"/>
    <n v="4.95"/>
    <s v="锅"/>
    <n v="27"/>
    <n v="133.65"/>
    <n v="1"/>
    <n v="4.95"/>
    <n v="0"/>
    <n v="0"/>
    <n v="0"/>
    <n v="0"/>
    <n v="0"/>
    <n v="0"/>
    <n v="0"/>
    <n v="0"/>
    <n v="26"/>
    <n v="135.13"/>
    <n v="6.43"/>
    <n v="128.7"/>
    <n v="1"/>
  </r>
  <r>
    <s v="2021-06-13"/>
    <s v="Vancouver"/>
    <s v="加拿大二店"/>
    <x v="6"/>
    <x v="13"/>
    <x v="63"/>
    <x v="61"/>
    <x v="65"/>
    <s v="整份"/>
    <n v="1.5"/>
    <s v="碗"/>
    <n v="18"/>
    <n v="27"/>
    <n v="0"/>
    <n v="0"/>
    <n v="0"/>
    <n v="0"/>
    <n v="1"/>
    <n v="1.5"/>
    <n v="0"/>
    <n v="0"/>
    <n v="0"/>
    <n v="0"/>
    <n v="17"/>
    <n v="26.77"/>
    <n v="1.27"/>
    <n v="25.5"/>
    <n v="1"/>
  </r>
  <r>
    <s v="2021-06-13"/>
    <s v="Vancouver"/>
    <s v="加拿大二店"/>
    <x v="3"/>
    <x v="5"/>
    <x v="64"/>
    <x v="62"/>
    <x v="66"/>
    <s v="整份"/>
    <n v="3.95"/>
    <s v="份"/>
    <n v="11"/>
    <n v="43.45"/>
    <n v="0"/>
    <n v="0"/>
    <n v="0"/>
    <n v="0"/>
    <n v="0"/>
    <n v="0"/>
    <n v="0"/>
    <n v="0"/>
    <n v="0.79"/>
    <n v="0"/>
    <n v="11"/>
    <n v="44.79"/>
    <n v="2.13"/>
    <n v="42.66"/>
    <n v="1"/>
  </r>
  <r>
    <s v="2021-06-13"/>
    <s v="Vancouver"/>
    <s v="加拿大二店"/>
    <x v="2"/>
    <x v="4"/>
    <x v="65"/>
    <x v="63"/>
    <x v="67"/>
    <s v="扎"/>
    <n v="8.95"/>
    <s v="扎"/>
    <n v="3"/>
    <n v="26.85"/>
    <n v="0"/>
    <n v="0"/>
    <n v="0"/>
    <n v="0"/>
    <n v="0"/>
    <n v="0"/>
    <n v="0"/>
    <n v="0.01"/>
    <n v="0"/>
    <n v="0"/>
    <n v="3"/>
    <n v="30.06"/>
    <n v="3.22"/>
    <n v="26.84"/>
    <n v="1"/>
  </r>
  <r>
    <s v="2021-06-13"/>
    <s v="Vancouver"/>
    <s v="加拿大二店"/>
    <x v="2"/>
    <x v="4"/>
    <x v="66"/>
    <x v="64"/>
    <x v="68"/>
    <s v="扎"/>
    <n v="11.95"/>
    <s v="扎"/>
    <n v="5"/>
    <n v="59.75"/>
    <n v="0"/>
    <n v="0"/>
    <n v="0"/>
    <n v="0"/>
    <n v="2"/>
    <n v="23.9"/>
    <n v="0"/>
    <n v="0.02"/>
    <n v="0"/>
    <n v="0"/>
    <n v="3"/>
    <n v="40.12"/>
    <n v="4.29"/>
    <n v="35.83"/>
    <n v="1"/>
  </r>
  <r>
    <s v="2021-06-13"/>
    <s v="Vancouver"/>
    <s v="加拿大二店"/>
    <x v="3"/>
    <x v="5"/>
    <x v="134"/>
    <x v="128"/>
    <x v="139"/>
    <s v="整份"/>
    <n v="13.95"/>
    <s v="份"/>
    <n v="22"/>
    <n v="306.9"/>
    <n v="0"/>
    <n v="0"/>
    <n v="0"/>
    <n v="0"/>
    <n v="1"/>
    <n v="13.95"/>
    <n v="0"/>
    <n v="0.14"/>
    <n v="25.79"/>
    <n v="0"/>
    <n v="21"/>
    <n v="280.37"/>
    <n v="13.35"/>
    <n v="267.02"/>
    <n v="1"/>
  </r>
  <r>
    <s v="2021-06-13"/>
    <s v="Vancouver"/>
    <s v="加拿大二店"/>
    <x v="3"/>
    <x v="5"/>
    <x v="117"/>
    <x v="111"/>
    <x v="121"/>
    <s v="整份"/>
    <n v="4.95"/>
    <s v="份"/>
    <n v="16"/>
    <n v="79.2"/>
    <n v="0"/>
    <n v="0"/>
    <n v="0"/>
    <n v="0"/>
    <n v="0"/>
    <n v="0"/>
    <n v="0"/>
    <n v="0"/>
    <n v="5.39"/>
    <n v="0"/>
    <n v="16"/>
    <n v="77.5"/>
    <n v="3.69"/>
    <n v="73.81"/>
    <n v="1"/>
  </r>
  <r>
    <s v="2021-06-13"/>
    <s v="Vancouver"/>
    <s v="加拿大二店"/>
    <x v="3"/>
    <x v="7"/>
    <x v="67"/>
    <x v="65"/>
    <x v="69"/>
    <s v="整份"/>
    <n v="3.95"/>
    <s v="份"/>
    <n v="12"/>
    <n v="47.4"/>
    <n v="0"/>
    <n v="0"/>
    <n v="0"/>
    <n v="0"/>
    <n v="1"/>
    <n v="3.95"/>
    <n v="0"/>
    <n v="0"/>
    <n v="2.05"/>
    <n v="0"/>
    <n v="11"/>
    <n v="43.47"/>
    <n v="2.07"/>
    <n v="41.4"/>
    <n v="1"/>
  </r>
  <r>
    <s v="2021-06-13"/>
    <s v="Vancouver"/>
    <s v="加拿大二店"/>
    <x v="1"/>
    <x v="1"/>
    <x v="68"/>
    <x v="66"/>
    <x v="70"/>
    <s v="整份"/>
    <n v="8.95"/>
    <s v="份"/>
    <n v="84"/>
    <n v="751.8"/>
    <n v="0"/>
    <n v="0"/>
    <n v="0"/>
    <n v="0"/>
    <n v="2"/>
    <n v="17.9"/>
    <n v="0"/>
    <n v="0"/>
    <n v="15.82"/>
    <n v="0"/>
    <n v="82"/>
    <n v="753.98"/>
    <n v="35.9"/>
    <n v="718.08"/>
    <n v="1"/>
  </r>
  <r>
    <s v="2021-06-13"/>
    <s v="Vancouver"/>
    <s v="加拿大二店"/>
    <x v="1"/>
    <x v="1"/>
    <x v="69"/>
    <x v="67"/>
    <x v="71"/>
    <s v="整份"/>
    <n v="8.95"/>
    <s v="份"/>
    <n v="10"/>
    <n v="89.5"/>
    <n v="0"/>
    <n v="0"/>
    <n v="0"/>
    <n v="0"/>
    <n v="0"/>
    <n v="0"/>
    <n v="0"/>
    <n v="0"/>
    <n v="0"/>
    <n v="0"/>
    <n v="10"/>
    <n v="93.97"/>
    <n v="4.47"/>
    <n v="89.5"/>
    <n v="1"/>
  </r>
  <r>
    <s v="2021-06-13"/>
    <s v="Vancouver"/>
    <s v="加拿大二店"/>
    <x v="6"/>
    <x v="15"/>
    <x v="70"/>
    <x v="68"/>
    <x v="72"/>
    <s v="整份"/>
    <n v="1.5"/>
    <s v="份"/>
    <n v="2"/>
    <n v="3"/>
    <n v="0"/>
    <n v="0"/>
    <n v="0"/>
    <n v="0"/>
    <n v="0"/>
    <n v="0"/>
    <n v="0"/>
    <n v="-0.04"/>
    <n v="0"/>
    <n v="0"/>
    <n v="2"/>
    <n v="3.19"/>
    <n v="0.15"/>
    <n v="3.04"/>
    <n v="1"/>
  </r>
  <r>
    <s v="2021-06-13"/>
    <s v="Vancouver"/>
    <s v="加拿大二店"/>
    <x v="4"/>
    <x v="9"/>
    <x v="71"/>
    <x v="0"/>
    <x v="73"/>
    <s v="拼锅"/>
    <n v="18.95"/>
    <s v="锅"/>
    <n v="13"/>
    <n v="246.35"/>
    <n v="0"/>
    <n v="0"/>
    <n v="0"/>
    <n v="0"/>
    <n v="1"/>
    <n v="18.95"/>
    <n v="0"/>
    <n v="-0.02"/>
    <n v="0"/>
    <n v="0"/>
    <n v="12"/>
    <n v="238.79"/>
    <n v="11.37"/>
    <n v="227.42"/>
    <n v="2"/>
  </r>
  <r>
    <s v="2021-06-13"/>
    <s v="Vancouver"/>
    <s v="加拿大二店"/>
    <x v="4"/>
    <x v="10"/>
    <x v="71"/>
    <x v="0"/>
    <x v="73"/>
    <s v="四宫格"/>
    <n v="9.95"/>
    <s v="锅"/>
    <n v="12"/>
    <n v="119.4"/>
    <n v="1"/>
    <n v="9.95"/>
    <n v="0"/>
    <n v="0"/>
    <n v="0"/>
    <n v="0"/>
    <n v="0"/>
    <n v="0.03"/>
    <n v="6.96"/>
    <n v="0"/>
    <n v="11"/>
    <n v="107.58"/>
    <n v="5.12"/>
    <n v="102.46"/>
    <n v="1"/>
  </r>
  <r>
    <s v="2021-06-13"/>
    <s v="Vancouver"/>
    <s v="加拿大二店"/>
    <x v="1"/>
    <x v="8"/>
    <x v="72"/>
    <x v="69"/>
    <x v="74"/>
    <s v="个"/>
    <n v="7.95"/>
    <s v="份"/>
    <n v="2"/>
    <n v="15.9"/>
    <n v="0"/>
    <n v="0"/>
    <n v="0"/>
    <n v="0"/>
    <n v="0"/>
    <n v="0"/>
    <n v="0"/>
    <n v="0"/>
    <n v="0"/>
    <n v="0"/>
    <n v="2"/>
    <n v="16.69"/>
    <n v="0.79"/>
    <n v="15.9"/>
    <n v="1"/>
  </r>
  <r>
    <s v="2021-06-13"/>
    <s v="Vancouver"/>
    <s v="加拿大二店"/>
    <x v="6"/>
    <x v="13"/>
    <x v="73"/>
    <x v="70"/>
    <x v="75"/>
    <s v="份"/>
    <n v="6.95"/>
    <s v="份"/>
    <n v="6"/>
    <n v="41.7"/>
    <n v="0"/>
    <n v="0"/>
    <n v="0"/>
    <n v="0"/>
    <n v="1"/>
    <n v="6.95"/>
    <n v="0"/>
    <n v="-0.02"/>
    <n v="2.02"/>
    <n v="0"/>
    <n v="5"/>
    <n v="34.38"/>
    <n v="1.63"/>
    <n v="32.75"/>
    <n v="1"/>
  </r>
  <r>
    <s v="2021-06-13"/>
    <s v="Vancouver"/>
    <s v="加拿大二店"/>
    <x v="4"/>
    <x v="9"/>
    <x v="74"/>
    <x v="0"/>
    <x v="76"/>
    <s v="拼锅"/>
    <n v="18.95"/>
    <s v="锅"/>
    <n v="6"/>
    <n v="113.7"/>
    <n v="0"/>
    <n v="0"/>
    <n v="0"/>
    <n v="0"/>
    <n v="1"/>
    <n v="18.95"/>
    <n v="0"/>
    <n v="0"/>
    <n v="6.63"/>
    <n v="0"/>
    <n v="5"/>
    <n v="92.52"/>
    <n v="4.4"/>
    <n v="88.12"/>
    <n v="2"/>
  </r>
  <r>
    <s v="2021-06-13"/>
    <s v="Vancouver"/>
    <s v="加拿大二店"/>
    <x v="4"/>
    <x v="10"/>
    <x v="74"/>
    <x v="0"/>
    <x v="76"/>
    <s v="四宫格"/>
    <n v="9.95"/>
    <s v="锅"/>
    <n v="3"/>
    <n v="29.85"/>
    <n v="0"/>
    <n v="0"/>
    <n v="0"/>
    <n v="0"/>
    <n v="0"/>
    <n v="0"/>
    <n v="0"/>
    <n v="0"/>
    <n v="0"/>
    <n v="0"/>
    <n v="3"/>
    <n v="31.34"/>
    <n v="1.49"/>
    <n v="29.85"/>
    <n v="1"/>
  </r>
  <r>
    <s v="2021-06-13"/>
    <s v="Vancouver"/>
    <s v="加拿大二店"/>
    <x v="1"/>
    <x v="6"/>
    <x v="118"/>
    <x v="112"/>
    <x v="122"/>
    <s v="整份"/>
    <n v="28.95"/>
    <s v="份"/>
    <n v="8"/>
    <n v="231.6"/>
    <n v="2"/>
    <n v="57.9"/>
    <n v="0"/>
    <n v="0"/>
    <n v="0"/>
    <n v="0"/>
    <n v="0"/>
    <n v="-0.06"/>
    <n v="11.12"/>
    <n v="0"/>
    <n v="6"/>
    <n v="170.77"/>
    <n v="8.13"/>
    <n v="162.64"/>
    <n v="1"/>
  </r>
  <r>
    <s v="2021-06-13"/>
    <s v="Vancouver"/>
    <s v="加拿大二店"/>
    <x v="8"/>
    <x v="17"/>
    <x v="75"/>
    <x v="71"/>
    <x v="77"/>
    <s v="整份"/>
    <n v="3.99"/>
    <s v="位"/>
    <n v="217"/>
    <n v="865.83"/>
    <n v="7"/>
    <n v="27.93"/>
    <n v="0"/>
    <n v="0"/>
    <n v="9"/>
    <n v="35.91"/>
    <n v="0"/>
    <n v="-0.01"/>
    <n v="4.71"/>
    <n v="0"/>
    <n v="201"/>
    <n v="837.15"/>
    <n v="39.86"/>
    <n v="797.29"/>
    <n v="1"/>
  </r>
  <r>
    <s v="2021-06-13"/>
    <s v="Vancouver"/>
    <s v="加拿大二店"/>
    <x v="3"/>
    <x v="5"/>
    <x v="76"/>
    <x v="72"/>
    <x v="78"/>
    <s v="整份"/>
    <n v="3.95"/>
    <s v="份"/>
    <n v="9"/>
    <n v="35.55"/>
    <n v="0"/>
    <n v="0"/>
    <n v="0"/>
    <n v="0"/>
    <n v="0"/>
    <n v="0"/>
    <n v="0"/>
    <n v="0"/>
    <n v="2.37"/>
    <n v="0"/>
    <n v="9"/>
    <n v="34.83"/>
    <n v="1.65"/>
    <n v="33.18"/>
    <n v="1"/>
  </r>
  <r>
    <s v="2021-06-13"/>
    <s v="Vancouver"/>
    <s v="加拿大二店"/>
    <x v="1"/>
    <x v="3"/>
    <x v="77"/>
    <x v="73"/>
    <x v="79"/>
    <s v="整份"/>
    <n v="5.95"/>
    <s v="份"/>
    <n v="16"/>
    <n v="95.2"/>
    <n v="0"/>
    <n v="0"/>
    <n v="0"/>
    <n v="0"/>
    <n v="1"/>
    <n v="5.95"/>
    <n v="0"/>
    <n v="0"/>
    <n v="6.47"/>
    <n v="0"/>
    <n v="15"/>
    <n v="86.91"/>
    <n v="4.13"/>
    <n v="82.78"/>
    <n v="1"/>
  </r>
  <r>
    <s v="2021-06-13"/>
    <s v="Vancouver"/>
    <s v="加拿大二店"/>
    <x v="3"/>
    <x v="11"/>
    <x v="78"/>
    <x v="74"/>
    <x v="80"/>
    <s v="整份"/>
    <n v="5.95"/>
    <s v="份"/>
    <n v="8"/>
    <n v="47.6"/>
    <n v="1"/>
    <n v="5.95"/>
    <n v="0"/>
    <n v="0"/>
    <n v="0"/>
    <n v="0"/>
    <n v="0"/>
    <n v="0"/>
    <n v="2.38"/>
    <n v="0"/>
    <n v="7"/>
    <n v="41.23"/>
    <n v="1.96"/>
    <n v="39.27"/>
    <n v="1"/>
  </r>
  <r>
    <s v="2021-06-13"/>
    <s v="Vancouver"/>
    <s v="加拿大二店"/>
    <x v="3"/>
    <x v="11"/>
    <x v="78"/>
    <x v="75"/>
    <x v="81"/>
    <s v="半份"/>
    <n v="2.95"/>
    <s v="份"/>
    <n v="8"/>
    <n v="23.6"/>
    <n v="1"/>
    <n v="2.95"/>
    <n v="0"/>
    <n v="0"/>
    <n v="0"/>
    <n v="0"/>
    <n v="0"/>
    <n v="0"/>
    <n v="1.18"/>
    <n v="0"/>
    <n v="7"/>
    <n v="20.44"/>
    <n v="0.97"/>
    <n v="19.47"/>
    <n v="0.5"/>
  </r>
  <r>
    <s v="2021-06-13"/>
    <s v="Vancouver"/>
    <s v="加拿大二店"/>
    <x v="3"/>
    <x v="5"/>
    <x v="79"/>
    <x v="76"/>
    <x v="82"/>
    <s v="整份"/>
    <n v="3.95"/>
    <s v="份"/>
    <n v="20"/>
    <n v="79"/>
    <n v="0"/>
    <n v="0"/>
    <n v="0"/>
    <n v="0"/>
    <n v="1"/>
    <n v="3.95"/>
    <n v="0"/>
    <n v="0"/>
    <n v="4.53"/>
    <n v="0"/>
    <n v="19"/>
    <n v="74.04"/>
    <n v="3.52"/>
    <n v="70.52"/>
    <n v="1"/>
  </r>
  <r>
    <s v="2021-06-13"/>
    <s v="Vancouver"/>
    <s v="加拿大二店"/>
    <x v="3"/>
    <x v="5"/>
    <x v="80"/>
    <x v="77"/>
    <x v="83"/>
    <s v="整份"/>
    <n v="5.95"/>
    <s v="份"/>
    <n v="1"/>
    <n v="5.95"/>
    <n v="0"/>
    <n v="0"/>
    <n v="0"/>
    <n v="0"/>
    <n v="0"/>
    <n v="0"/>
    <n v="0"/>
    <n v="0"/>
    <n v="0"/>
    <n v="0"/>
    <n v="1"/>
    <n v="6.24"/>
    <n v="0.29"/>
    <n v="5.95"/>
    <n v="1"/>
  </r>
  <r>
    <s v="2021-06-13"/>
    <s v="Vancouver"/>
    <s v="加拿大二店"/>
    <x v="4"/>
    <x v="9"/>
    <x v="81"/>
    <x v="0"/>
    <x v="84"/>
    <s v="拼锅"/>
    <n v="8.95"/>
    <s v="锅"/>
    <n v="12"/>
    <n v="107.4"/>
    <n v="0"/>
    <n v="0"/>
    <n v="0"/>
    <n v="0"/>
    <n v="0"/>
    <n v="0"/>
    <n v="0"/>
    <n v="0"/>
    <n v="4.39"/>
    <n v="0"/>
    <n v="12"/>
    <n v="108.16"/>
    <n v="5.15"/>
    <n v="103.01"/>
    <n v="2"/>
  </r>
  <r>
    <s v="2021-06-13"/>
    <s v="Vancouver"/>
    <s v="加拿大二店"/>
    <x v="4"/>
    <x v="10"/>
    <x v="81"/>
    <x v="0"/>
    <x v="84"/>
    <s v="四宫格"/>
    <n v="4.95"/>
    <s v="锅"/>
    <n v="13"/>
    <n v="64.35"/>
    <n v="0"/>
    <n v="0"/>
    <n v="0"/>
    <n v="0"/>
    <n v="0"/>
    <n v="0"/>
    <n v="0"/>
    <n v="-0.02"/>
    <n v="0.99"/>
    <n v="0"/>
    <n v="13"/>
    <n v="66.54"/>
    <n v="3.16"/>
    <n v="63.38"/>
    <n v="1"/>
  </r>
  <r>
    <s v="2021-06-13"/>
    <s v="Vancouver"/>
    <s v="加拿大二店"/>
    <x v="3"/>
    <x v="5"/>
    <x v="82"/>
    <x v="78"/>
    <x v="85"/>
    <s v="整份"/>
    <n v="12.95"/>
    <s v="份"/>
    <n v="11"/>
    <n v="142.45"/>
    <n v="0"/>
    <n v="0"/>
    <n v="0"/>
    <n v="0"/>
    <n v="0"/>
    <n v="0"/>
    <n v="0"/>
    <n v="0"/>
    <n v="7.77"/>
    <n v="0"/>
    <n v="11"/>
    <n v="141.41"/>
    <n v="6.73"/>
    <n v="134.68"/>
    <n v="1"/>
  </r>
  <r>
    <s v="2021-06-13"/>
    <s v="Vancouver"/>
    <s v="加拿大二店"/>
    <x v="3"/>
    <x v="11"/>
    <x v="83"/>
    <x v="79"/>
    <x v="86"/>
    <s v="整份"/>
    <n v="5.95"/>
    <s v="份"/>
    <n v="5"/>
    <n v="29.75"/>
    <n v="0"/>
    <n v="0"/>
    <n v="0"/>
    <n v="0"/>
    <n v="1"/>
    <n v="5.95"/>
    <n v="0"/>
    <n v="0"/>
    <n v="1.19"/>
    <n v="0"/>
    <n v="4"/>
    <n v="23.74"/>
    <n v="1.13"/>
    <n v="22.61"/>
    <n v="1"/>
  </r>
  <r>
    <s v="2021-06-13"/>
    <s v="Vancouver"/>
    <s v="加拿大二店"/>
    <x v="3"/>
    <x v="11"/>
    <x v="83"/>
    <x v="80"/>
    <x v="87"/>
    <s v="半份"/>
    <n v="2.95"/>
    <s v="份"/>
    <n v="10"/>
    <n v="29.5"/>
    <n v="0"/>
    <n v="0"/>
    <n v="0"/>
    <n v="0"/>
    <n v="0"/>
    <n v="0"/>
    <n v="0"/>
    <n v="0"/>
    <n v="1.77"/>
    <n v="0"/>
    <n v="10"/>
    <n v="29.11"/>
    <n v="1.38"/>
    <n v="27.73"/>
    <n v="0.5"/>
  </r>
  <r>
    <s v="2021-06-13"/>
    <s v="Vancouver"/>
    <s v="加拿大二店"/>
    <x v="3"/>
    <x v="11"/>
    <x v="84"/>
    <x v="81"/>
    <x v="88"/>
    <s v="整份"/>
    <n v="11.95"/>
    <s v="份"/>
    <n v="9"/>
    <n v="107.55"/>
    <n v="0"/>
    <n v="0"/>
    <n v="0"/>
    <n v="0"/>
    <n v="0"/>
    <n v="0"/>
    <n v="0"/>
    <n v="0"/>
    <n v="2.39"/>
    <n v="0"/>
    <n v="9"/>
    <n v="110.41"/>
    <n v="5.25"/>
    <n v="105.16"/>
    <n v="1"/>
  </r>
  <r>
    <s v="2021-06-13"/>
    <s v="Vancouver"/>
    <s v="加拿大二店"/>
    <x v="1"/>
    <x v="3"/>
    <x v="85"/>
    <x v="82"/>
    <x v="89"/>
    <s v="整份"/>
    <n v="6.95"/>
    <s v="份"/>
    <n v="12"/>
    <n v="83.4"/>
    <n v="0"/>
    <n v="0"/>
    <n v="0"/>
    <n v="0"/>
    <n v="0"/>
    <n v="0"/>
    <n v="0"/>
    <n v="0"/>
    <n v="2.78"/>
    <n v="0"/>
    <n v="12"/>
    <n v="84.65"/>
    <n v="4.03"/>
    <n v="80.62"/>
    <n v="1"/>
  </r>
  <r>
    <s v="2021-06-13"/>
    <s v="Vancouver"/>
    <s v="加拿大二店"/>
    <x v="6"/>
    <x v="13"/>
    <x v="86"/>
    <x v="83"/>
    <x v="90"/>
    <s v="碗"/>
    <n v="2.95"/>
    <s v="碗"/>
    <n v="9"/>
    <n v="26.55"/>
    <n v="0"/>
    <n v="0"/>
    <n v="0"/>
    <n v="0"/>
    <n v="0"/>
    <n v="0"/>
    <n v="0"/>
    <n v="0"/>
    <n v="0"/>
    <n v="0"/>
    <n v="9"/>
    <n v="27.87"/>
    <n v="1.32"/>
    <n v="26.55"/>
    <n v="1"/>
  </r>
  <r>
    <s v="2021-06-13"/>
    <s v="Vancouver"/>
    <s v="加拿大二店"/>
    <x v="2"/>
    <x v="4"/>
    <x v="87"/>
    <x v="84"/>
    <x v="91"/>
    <s v="冰镇"/>
    <n v="2.95"/>
    <s v="扎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13"/>
    <s v="Vancouver"/>
    <s v="加拿大二店"/>
    <x v="1"/>
    <x v="8"/>
    <x v="88"/>
    <x v="85"/>
    <x v="92"/>
    <s v="整份"/>
    <n v="7.95"/>
    <s v="份"/>
    <n v="18"/>
    <n v="143.1"/>
    <n v="0"/>
    <n v="0"/>
    <n v="0"/>
    <n v="0"/>
    <n v="0"/>
    <n v="0"/>
    <n v="0"/>
    <n v="0"/>
    <n v="9.53"/>
    <n v="0"/>
    <n v="18"/>
    <n v="140.24"/>
    <n v="6.67"/>
    <n v="133.57"/>
    <n v="1"/>
  </r>
  <r>
    <s v="2021-06-13"/>
    <s v="Vancouver"/>
    <s v="加拿大二店"/>
    <x v="1"/>
    <x v="8"/>
    <x v="89"/>
    <x v="86"/>
    <x v="93"/>
    <s v="整份"/>
    <n v="4.95"/>
    <s v="份"/>
    <n v="23"/>
    <n v="113.85"/>
    <n v="0"/>
    <n v="0"/>
    <n v="0"/>
    <n v="0"/>
    <n v="3"/>
    <n v="14.85"/>
    <n v="0"/>
    <n v="0"/>
    <n v="4.12"/>
    <n v="0"/>
    <n v="20"/>
    <n v="99.62"/>
    <n v="4.74"/>
    <n v="94.88"/>
    <n v="1"/>
  </r>
  <r>
    <s v="2021-06-13"/>
    <s v="Vancouver"/>
    <s v="加拿大二店"/>
    <x v="3"/>
    <x v="7"/>
    <x v="90"/>
    <x v="87"/>
    <x v="94"/>
    <s v="整份"/>
    <n v="4.95"/>
    <s v="份"/>
    <n v="17"/>
    <n v="84.15"/>
    <n v="0"/>
    <n v="0"/>
    <n v="0"/>
    <n v="0"/>
    <n v="1"/>
    <n v="4.95"/>
    <n v="0"/>
    <n v="0"/>
    <n v="6.63"/>
    <n v="0"/>
    <n v="16"/>
    <n v="76.19"/>
    <n v="3.62"/>
    <n v="72.57"/>
    <n v="1"/>
  </r>
  <r>
    <s v="2021-06-13"/>
    <s v="Vancouver"/>
    <s v="加拿大二店"/>
    <x v="6"/>
    <x v="18"/>
    <x v="91"/>
    <x v="88"/>
    <x v="95"/>
    <s v="整份"/>
    <n v="2.95"/>
    <s v="份"/>
    <n v="9"/>
    <n v="26.55"/>
    <n v="0"/>
    <n v="0"/>
    <n v="0"/>
    <n v="0"/>
    <n v="0"/>
    <n v="0"/>
    <n v="0"/>
    <n v="0"/>
    <n v="0.41"/>
    <n v="0"/>
    <n v="9"/>
    <n v="27.44"/>
    <n v="1.3"/>
    <n v="26.14"/>
    <n v="1"/>
  </r>
  <r>
    <s v="2021-06-13"/>
    <s v="Vancouver"/>
    <s v="加拿大二店"/>
    <x v="4"/>
    <x v="9"/>
    <x v="92"/>
    <x v="0"/>
    <x v="96"/>
    <s v="拼锅"/>
    <n v="8.95"/>
    <s v="锅"/>
    <n v="2"/>
    <n v="17.9"/>
    <n v="0"/>
    <n v="0"/>
    <n v="0"/>
    <n v="0"/>
    <n v="0"/>
    <n v="0"/>
    <n v="0"/>
    <n v="0"/>
    <n v="0.67"/>
    <n v="0"/>
    <n v="2"/>
    <n v="18.09"/>
    <n v="0.86"/>
    <n v="17.23"/>
    <n v="2"/>
  </r>
  <r>
    <s v="2021-06-13"/>
    <s v="Vancouver"/>
    <s v="加拿大二店"/>
    <x v="4"/>
    <x v="10"/>
    <x v="92"/>
    <x v="0"/>
    <x v="96"/>
    <s v="四宫格"/>
    <n v="4.95"/>
    <s v="锅"/>
    <n v="4"/>
    <n v="19.8"/>
    <n v="0"/>
    <n v="0"/>
    <n v="0"/>
    <n v="0"/>
    <n v="0"/>
    <n v="0"/>
    <n v="0"/>
    <n v="-0.02"/>
    <n v="3.46"/>
    <n v="0"/>
    <n v="4"/>
    <n v="17.17"/>
    <n v="0.81"/>
    <n v="16.36"/>
    <n v="1"/>
  </r>
  <r>
    <s v="2021-06-13"/>
    <s v="Vancouver"/>
    <s v="加拿大二店"/>
    <x v="3"/>
    <x v="5"/>
    <x v="93"/>
    <x v="89"/>
    <x v="97"/>
    <s v="整份"/>
    <n v="5.95"/>
    <s v="份"/>
    <n v="29"/>
    <n v="172.55"/>
    <n v="0"/>
    <n v="0"/>
    <n v="0"/>
    <n v="0"/>
    <n v="1"/>
    <n v="5.95"/>
    <n v="0"/>
    <n v="0"/>
    <n v="6.19"/>
    <n v="0"/>
    <n v="28"/>
    <n v="168.43"/>
    <n v="8.02"/>
    <n v="160.41"/>
    <n v="1"/>
  </r>
  <r>
    <s v="2021-06-13"/>
    <s v="Vancouver"/>
    <s v="加拿大二店"/>
    <x v="6"/>
    <x v="13"/>
    <x v="94"/>
    <x v="90"/>
    <x v="98"/>
    <s v="整份"/>
    <n v="4.95"/>
    <s v="份"/>
    <n v="12"/>
    <n v="59.4"/>
    <n v="0"/>
    <n v="0"/>
    <n v="0"/>
    <n v="0"/>
    <n v="1"/>
    <n v="4.95"/>
    <n v="0"/>
    <n v="0"/>
    <n v="0"/>
    <n v="0"/>
    <n v="11"/>
    <n v="57.17"/>
    <n v="2.72"/>
    <n v="54.45"/>
    <n v="1"/>
  </r>
  <r>
    <s v="2021-06-13"/>
    <s v="Vancouver"/>
    <s v="加拿大二店"/>
    <x v="7"/>
    <x v="14"/>
    <x v="123"/>
    <x v="117"/>
    <x v="127"/>
    <s v="整份"/>
    <n v="0"/>
    <s v="份"/>
    <n v="3"/>
    <n v="0"/>
    <n v="0"/>
    <n v="0"/>
    <n v="0"/>
    <n v="0"/>
    <n v="0"/>
    <n v="0"/>
    <n v="0"/>
    <n v="0"/>
    <n v="0"/>
    <n v="0"/>
    <n v="3"/>
    <n v="0"/>
    <n v="0"/>
    <n v="0"/>
    <n v="1"/>
  </r>
  <r>
    <s v="2021-06-13"/>
    <s v="Vancouver"/>
    <s v="加拿大二店"/>
    <x v="2"/>
    <x v="4"/>
    <x v="95"/>
    <x v="91"/>
    <x v="99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13"/>
    <s v="Vancouver"/>
    <s v="加拿大二店"/>
    <x v="2"/>
    <x v="2"/>
    <x v="97"/>
    <x v="93"/>
    <x v="101"/>
    <s v="冰镇"/>
    <n v="5.95"/>
    <s v="听"/>
    <n v="2"/>
    <n v="11.9"/>
    <n v="0"/>
    <n v="0"/>
    <n v="0"/>
    <n v="0"/>
    <n v="0"/>
    <n v="0"/>
    <n v="0"/>
    <n v="0"/>
    <n v="0"/>
    <n v="0"/>
    <n v="2"/>
    <n v="13.68"/>
    <n v="1.78"/>
    <n v="11.9"/>
    <n v="1"/>
  </r>
  <r>
    <s v="2021-06-13"/>
    <s v="Vancouver"/>
    <s v="加拿大二店"/>
    <x v="6"/>
    <x v="13"/>
    <x v="98"/>
    <x v="94"/>
    <x v="102"/>
    <s v="整份"/>
    <n v="3.95"/>
    <s v="份"/>
    <n v="6"/>
    <n v="23.7"/>
    <n v="0"/>
    <n v="0"/>
    <n v="0"/>
    <n v="0"/>
    <n v="0"/>
    <n v="0"/>
    <n v="0"/>
    <n v="0"/>
    <n v="0"/>
    <n v="0"/>
    <n v="6"/>
    <n v="24.88"/>
    <n v="1.18"/>
    <n v="23.7"/>
    <n v="1"/>
  </r>
  <r>
    <s v="2021-06-13"/>
    <s v="Vancouver"/>
    <s v="加拿大二店"/>
    <x v="1"/>
    <x v="3"/>
    <x v="99"/>
    <x v="95"/>
    <x v="103"/>
    <s v="整份"/>
    <n v="5.95"/>
    <s v="份"/>
    <n v="7"/>
    <n v="41.65"/>
    <n v="0"/>
    <n v="0"/>
    <n v="0"/>
    <n v="0"/>
    <n v="0"/>
    <n v="0"/>
    <n v="0"/>
    <n v="0"/>
    <n v="4.16"/>
    <n v="0"/>
    <n v="7"/>
    <n v="39.36"/>
    <n v="1.87"/>
    <n v="37.49"/>
    <n v="1"/>
  </r>
  <r>
    <s v="2021-06-13"/>
    <s v="Vancouver"/>
    <s v="加拿大二店"/>
    <x v="1"/>
    <x v="3"/>
    <x v="100"/>
    <x v="96"/>
    <x v="104"/>
    <s v="整份"/>
    <n v="7.95"/>
    <s v="份"/>
    <n v="11"/>
    <n v="87.45"/>
    <n v="0"/>
    <n v="0"/>
    <n v="0"/>
    <n v="0"/>
    <n v="1"/>
    <n v="7.95"/>
    <n v="0"/>
    <n v="0"/>
    <n v="4.37"/>
    <n v="0"/>
    <n v="10"/>
    <n v="78.88"/>
    <n v="3.75"/>
    <n v="75.13"/>
    <n v="1"/>
  </r>
  <r>
    <s v="2021-06-13"/>
    <s v="Vancouver"/>
    <s v="加拿大二店"/>
    <x v="1"/>
    <x v="8"/>
    <x v="101"/>
    <x v="97"/>
    <x v="105"/>
    <s v="整份"/>
    <n v="5.95"/>
    <s v="份"/>
    <n v="13"/>
    <n v="77.35"/>
    <n v="0"/>
    <n v="0"/>
    <n v="0"/>
    <n v="0"/>
    <n v="0"/>
    <n v="0"/>
    <n v="0"/>
    <n v="0"/>
    <n v="1.82"/>
    <n v="0"/>
    <n v="13"/>
    <n v="79.3"/>
    <n v="3.77"/>
    <n v="75.53"/>
    <n v="1"/>
  </r>
  <r>
    <s v="2021-06-13"/>
    <s v="Vancouver"/>
    <s v="加拿大二店"/>
    <x v="1"/>
    <x v="6"/>
    <x v="102"/>
    <x v="98"/>
    <x v="106"/>
    <s v="整份"/>
    <n v="8.95"/>
    <s v="份"/>
    <n v="7"/>
    <n v="62.65"/>
    <n v="0"/>
    <n v="0"/>
    <n v="0"/>
    <n v="0"/>
    <n v="1"/>
    <n v="8.95"/>
    <n v="0"/>
    <n v="0.02"/>
    <n v="10.2"/>
    <n v="0"/>
    <n v="6"/>
    <n v="45.65"/>
    <n v="2.17"/>
    <n v="43.48"/>
    <n v="1"/>
  </r>
  <r>
    <s v="2021-06-13"/>
    <s v="Vancouver"/>
    <s v="加拿大二店"/>
    <x v="3"/>
    <x v="7"/>
    <x v="103"/>
    <x v="99"/>
    <x v="107"/>
    <s v="整份"/>
    <n v="5.95"/>
    <s v="份"/>
    <n v="17"/>
    <n v="101.15"/>
    <n v="0"/>
    <n v="0"/>
    <n v="0"/>
    <n v="0"/>
    <n v="0"/>
    <n v="0"/>
    <n v="0"/>
    <n v="0"/>
    <n v="3.57"/>
    <n v="0"/>
    <n v="17"/>
    <n v="102.45"/>
    <n v="4.87"/>
    <n v="97.58"/>
    <n v="1"/>
  </r>
  <r>
    <s v="2021-06-13"/>
    <s v="Vancouver"/>
    <s v="加拿大二店"/>
    <x v="3"/>
    <x v="7"/>
    <x v="104"/>
    <x v="100"/>
    <x v="108"/>
    <s v="整份"/>
    <n v="3.95"/>
    <s v="份"/>
    <n v="7"/>
    <n v="27.65"/>
    <n v="0"/>
    <n v="0"/>
    <n v="0"/>
    <n v="0"/>
    <n v="0"/>
    <n v="0"/>
    <n v="0"/>
    <n v="0"/>
    <n v="0.79"/>
    <n v="0"/>
    <n v="7"/>
    <n v="28.2"/>
    <n v="1.34"/>
    <n v="26.86"/>
    <n v="1"/>
  </r>
  <r>
    <s v="2021-06-13"/>
    <s v="Vancouver"/>
    <s v="加拿大二店"/>
    <x v="1"/>
    <x v="8"/>
    <x v="105"/>
    <x v="101"/>
    <x v="109"/>
    <s v="整份"/>
    <n v="4.95"/>
    <s v="份"/>
    <n v="33"/>
    <n v="163.35"/>
    <n v="0"/>
    <n v="0"/>
    <n v="0"/>
    <n v="0"/>
    <n v="0"/>
    <n v="0"/>
    <n v="0"/>
    <n v="0.01"/>
    <n v="7.42"/>
    <n v="0"/>
    <n v="33"/>
    <n v="163.71"/>
    <n v="7.79"/>
    <n v="155.92"/>
    <n v="1"/>
  </r>
  <r>
    <s v="2021-06-13"/>
    <s v="Vancouver"/>
    <s v="加拿大二店"/>
    <x v="4"/>
    <x v="9"/>
    <x v="106"/>
    <x v="0"/>
    <x v="110"/>
    <s v="拼锅"/>
    <n v="11.95"/>
    <s v="锅"/>
    <n v="14"/>
    <n v="167.3"/>
    <n v="0"/>
    <n v="0"/>
    <n v="0"/>
    <n v="0"/>
    <n v="2"/>
    <n v="23.9"/>
    <n v="0"/>
    <n v="0.01"/>
    <n v="1.58"/>
    <n v="0"/>
    <n v="12"/>
    <n v="148.9"/>
    <n v="7.09"/>
    <n v="141.81"/>
    <n v="2"/>
  </r>
  <r>
    <s v="2021-06-13"/>
    <s v="Vancouver"/>
    <s v="加拿大二店"/>
    <x v="4"/>
    <x v="10"/>
    <x v="106"/>
    <x v="0"/>
    <x v="110"/>
    <s v="四宫格"/>
    <n v="5.95"/>
    <s v="锅"/>
    <n v="6"/>
    <n v="35.7"/>
    <n v="0"/>
    <n v="0"/>
    <n v="0"/>
    <n v="0"/>
    <n v="0"/>
    <n v="0"/>
    <n v="0"/>
    <n v="0.02"/>
    <n v="0"/>
    <n v="0"/>
    <n v="6"/>
    <n v="37.46"/>
    <n v="1.78"/>
    <n v="35.68"/>
    <n v="1"/>
  </r>
  <r>
    <s v="2021-06-13"/>
    <s v="Vancouver"/>
    <s v="加拿大二店"/>
    <x v="4"/>
    <x v="16"/>
    <x v="107"/>
    <x v="0"/>
    <x v="111"/>
    <s v="单锅"/>
    <n v="22.95"/>
    <s v="锅"/>
    <n v="1"/>
    <n v="22.95"/>
    <n v="0"/>
    <n v="0"/>
    <n v="0"/>
    <n v="0"/>
    <n v="0"/>
    <n v="0"/>
    <n v="0"/>
    <n v="-0.01"/>
    <n v="0"/>
    <n v="0"/>
    <n v="1"/>
    <n v="24.1"/>
    <n v="1.14"/>
    <n v="22.96"/>
    <n v="4"/>
  </r>
  <r>
    <s v="2021-06-13"/>
    <s v="Vancouver"/>
    <s v="加拿大二店"/>
    <x v="4"/>
    <x v="9"/>
    <x v="107"/>
    <x v="0"/>
    <x v="111"/>
    <s v="拼锅"/>
    <n v="11.95"/>
    <s v="锅"/>
    <n v="14"/>
    <n v="167.3"/>
    <n v="0"/>
    <n v="0"/>
    <n v="0"/>
    <n v="0"/>
    <n v="1"/>
    <n v="11.95"/>
    <n v="0"/>
    <n v="0.01"/>
    <n v="4.18"/>
    <n v="0"/>
    <n v="13"/>
    <n v="158.71"/>
    <n v="7.55"/>
    <n v="151.16"/>
    <n v="2"/>
  </r>
  <r>
    <s v="2021-06-13"/>
    <s v="Vancouver"/>
    <s v="加拿大二店"/>
    <x v="4"/>
    <x v="10"/>
    <x v="107"/>
    <x v="0"/>
    <x v="111"/>
    <s v="四宫格"/>
    <n v="5.95"/>
    <s v="锅"/>
    <n v="9"/>
    <n v="53.55"/>
    <n v="0"/>
    <n v="0"/>
    <n v="0"/>
    <n v="0"/>
    <n v="0"/>
    <n v="0"/>
    <n v="0"/>
    <n v="0"/>
    <n v="2.97"/>
    <n v="0"/>
    <n v="9"/>
    <n v="53.1"/>
    <n v="2.52"/>
    <n v="50.58"/>
    <n v="1"/>
  </r>
  <r>
    <s v="2021-06-14"/>
    <s v="Vancouver"/>
    <s v="加拿大二店"/>
    <x v="0"/>
    <x v="0"/>
    <x v="0"/>
    <x v="0"/>
    <x v="0"/>
    <s v="套餐"/>
    <n v="139.95"/>
    <s v="套餐"/>
    <n v="1"/>
    <n v="139.95"/>
    <n v="0"/>
    <n v="0"/>
    <n v="0"/>
    <n v="0"/>
    <n v="0"/>
    <n v="0"/>
    <n v="0"/>
    <n v="-0.01"/>
    <n v="0"/>
    <n v="0"/>
    <n v="1"/>
    <n v="148.35"/>
    <n v="8.39"/>
    <n v="139.96"/>
    <n v="1"/>
  </r>
  <r>
    <s v="2021-06-14"/>
    <s v="Vancouver"/>
    <s v="加拿大二店"/>
    <x v="1"/>
    <x v="1"/>
    <x v="1"/>
    <x v="1"/>
    <x v="1"/>
    <s v="整份"/>
    <n v="16.95"/>
    <s v="份"/>
    <n v="10"/>
    <n v="169.5"/>
    <n v="0"/>
    <n v="0"/>
    <n v="0"/>
    <n v="0"/>
    <n v="3"/>
    <n v="50.85"/>
    <n v="0"/>
    <n v="0"/>
    <n v="8.47"/>
    <n v="0"/>
    <n v="7"/>
    <n v="115.68"/>
    <n v="5.5"/>
    <n v="110.18"/>
    <n v="1"/>
  </r>
  <r>
    <s v="2021-06-14"/>
    <s v="Vancouver"/>
    <s v="加拿大二店"/>
    <x v="1"/>
    <x v="1"/>
    <x v="2"/>
    <x v="2"/>
    <x v="2"/>
    <s v="整份"/>
    <n v="25.95"/>
    <s v="份"/>
    <n v="24"/>
    <n v="622.8"/>
    <n v="0"/>
    <n v="0"/>
    <n v="0"/>
    <n v="0"/>
    <n v="1"/>
    <n v="25.95"/>
    <n v="0"/>
    <n v="0"/>
    <n v="46.67"/>
    <n v="0"/>
    <n v="23"/>
    <n v="577.68"/>
    <n v="27.5"/>
    <n v="550.18"/>
    <n v="1"/>
  </r>
  <r>
    <s v="2021-06-14"/>
    <s v="Vancouver"/>
    <s v="加拿大二店"/>
    <x v="2"/>
    <x v="2"/>
    <x v="129"/>
    <x v="123"/>
    <x v="134"/>
    <s v="扎"/>
    <n v="22.95"/>
    <s v="扎"/>
    <n v="1"/>
    <n v="22.95"/>
    <n v="0"/>
    <n v="0"/>
    <n v="0"/>
    <n v="0"/>
    <n v="0"/>
    <n v="0"/>
    <n v="0"/>
    <n v="0"/>
    <n v="0"/>
    <n v="0"/>
    <n v="1"/>
    <n v="26.39"/>
    <n v="3.44"/>
    <n v="22.95"/>
    <n v="1"/>
  </r>
  <r>
    <s v="2021-06-14"/>
    <s v="Vancouver"/>
    <s v="加拿大二店"/>
    <x v="2"/>
    <x v="2"/>
    <x v="4"/>
    <x v="4"/>
    <x v="4"/>
    <s v="壶"/>
    <n v="22.95"/>
    <s v="壶"/>
    <n v="1"/>
    <n v="22.95"/>
    <n v="0"/>
    <n v="0"/>
    <n v="0"/>
    <n v="0"/>
    <n v="0"/>
    <n v="0"/>
    <n v="0"/>
    <n v="0"/>
    <n v="0"/>
    <n v="0"/>
    <n v="1"/>
    <n v="26.39"/>
    <n v="3.44"/>
    <n v="22.95"/>
    <n v="1"/>
  </r>
  <r>
    <s v="2021-06-14"/>
    <s v="Vancouver"/>
    <s v="加拿大二店"/>
    <x v="2"/>
    <x v="2"/>
    <x v="5"/>
    <x v="5"/>
    <x v="5"/>
    <s v="杯"/>
    <n v="6.95"/>
    <s v="杯"/>
    <n v="2"/>
    <n v="13.9"/>
    <n v="1"/>
    <n v="6.95"/>
    <n v="0"/>
    <n v="0"/>
    <n v="0"/>
    <n v="0"/>
    <n v="0"/>
    <n v="0.02"/>
    <n v="0"/>
    <n v="0"/>
    <n v="1"/>
    <n v="7.96"/>
    <n v="1.03"/>
    <n v="6.93"/>
    <n v="1"/>
  </r>
  <r>
    <s v="2021-06-14"/>
    <s v="Vancouver"/>
    <s v="加拿大二店"/>
    <x v="1"/>
    <x v="3"/>
    <x v="6"/>
    <x v="6"/>
    <x v="6"/>
    <s v="整份"/>
    <n v="7.95"/>
    <s v="份"/>
    <n v="5"/>
    <n v="39.75"/>
    <n v="0"/>
    <n v="0"/>
    <n v="0"/>
    <n v="0"/>
    <n v="0"/>
    <n v="0"/>
    <n v="0"/>
    <n v="0"/>
    <n v="1.59"/>
    <n v="0"/>
    <n v="5"/>
    <n v="40.06"/>
    <n v="1.9"/>
    <n v="38.16"/>
    <n v="1"/>
  </r>
  <r>
    <s v="2021-06-14"/>
    <s v="Vancouver"/>
    <s v="加拿大二店"/>
    <x v="0"/>
    <x v="0"/>
    <x v="124"/>
    <x v="0"/>
    <x v="128"/>
    <s v="套餐"/>
    <n v="59.95"/>
    <s v="套餐"/>
    <n v="1"/>
    <n v="59.95"/>
    <n v="0"/>
    <n v="0"/>
    <n v="0"/>
    <n v="0"/>
    <n v="0"/>
    <n v="0"/>
    <n v="0"/>
    <n v="-0.01"/>
    <n v="0"/>
    <n v="0"/>
    <n v="1"/>
    <n v="63.55"/>
    <n v="3.59"/>
    <n v="59.96"/>
    <n v="1"/>
  </r>
  <r>
    <s v="2021-06-14"/>
    <s v="Vancouver"/>
    <s v="加拿大二店"/>
    <x v="2"/>
    <x v="4"/>
    <x v="7"/>
    <x v="7"/>
    <x v="7"/>
    <s v="冰镇"/>
    <n v="2.45"/>
    <s v="罐"/>
    <n v="4"/>
    <n v="9.8"/>
    <n v="0"/>
    <n v="0"/>
    <n v="0"/>
    <n v="0"/>
    <n v="0"/>
    <n v="0"/>
    <n v="0"/>
    <n v="0"/>
    <n v="0.49"/>
    <n v="0"/>
    <n v="4"/>
    <n v="10.42"/>
    <n v="1.11"/>
    <n v="9.31"/>
    <n v="1"/>
  </r>
  <r>
    <s v="2021-06-14"/>
    <s v="Vancouver"/>
    <s v="加拿大二店"/>
    <x v="0"/>
    <x v="20"/>
    <x v="109"/>
    <x v="103"/>
    <x v="113"/>
    <s v="整份"/>
    <n v="8.95"/>
    <s v="份"/>
    <n v="2"/>
    <n v="17.9"/>
    <n v="0"/>
    <n v="0"/>
    <n v="0"/>
    <n v="0"/>
    <n v="0"/>
    <n v="0"/>
    <n v="0"/>
    <n v="0"/>
    <n v="0"/>
    <n v="0"/>
    <n v="2"/>
    <n v="18.79"/>
    <n v="0.89"/>
    <n v="17.9"/>
    <n v="1"/>
  </r>
  <r>
    <s v="2021-06-14"/>
    <s v="Vancouver"/>
    <s v="加拿大二店"/>
    <x v="3"/>
    <x v="5"/>
    <x v="8"/>
    <x v="8"/>
    <x v="8"/>
    <s v="整份"/>
    <n v="3.95"/>
    <s v="份"/>
    <n v="3"/>
    <n v="11.85"/>
    <n v="0"/>
    <n v="0"/>
    <n v="0"/>
    <n v="0"/>
    <n v="0"/>
    <n v="0"/>
    <n v="0"/>
    <n v="0"/>
    <n v="2.63"/>
    <n v="0"/>
    <n v="3"/>
    <n v="9.68"/>
    <n v="0.46"/>
    <n v="9.22"/>
    <n v="1"/>
  </r>
  <r>
    <s v="2021-06-14"/>
    <s v="Vancouver"/>
    <s v="加拿大二店"/>
    <x v="2"/>
    <x v="4"/>
    <x v="9"/>
    <x v="9"/>
    <x v="9"/>
    <s v="常温"/>
    <n v="2.95"/>
    <s v="位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14"/>
    <s v="Vancouver"/>
    <s v="加拿大二店"/>
    <x v="2"/>
    <x v="4"/>
    <x v="10"/>
    <x v="10"/>
    <x v="10"/>
    <s v="半份"/>
    <n v="6.95"/>
    <s v="扎"/>
    <n v="6"/>
    <n v="41.7"/>
    <n v="0"/>
    <n v="0"/>
    <n v="0"/>
    <n v="0"/>
    <n v="1"/>
    <n v="6.95"/>
    <n v="0"/>
    <n v="0"/>
    <n v="0"/>
    <n v="0"/>
    <n v="5"/>
    <n v="38.92"/>
    <n v="4.17"/>
    <n v="34.75"/>
    <n v="0.5"/>
  </r>
  <r>
    <s v="2021-06-14"/>
    <s v="Vancouver"/>
    <s v="加拿大二店"/>
    <x v="2"/>
    <x v="4"/>
    <x v="10"/>
    <x v="11"/>
    <x v="11"/>
    <s v="整份"/>
    <n v="9.95"/>
    <s v="扎"/>
    <n v="3"/>
    <n v="29.85"/>
    <n v="0"/>
    <n v="0"/>
    <n v="0"/>
    <n v="0"/>
    <n v="0"/>
    <n v="0"/>
    <n v="0"/>
    <n v="0"/>
    <n v="0"/>
    <n v="0"/>
    <n v="3"/>
    <n v="33.43"/>
    <n v="3.58"/>
    <n v="29.85"/>
    <n v="1"/>
  </r>
  <r>
    <s v="2021-06-14"/>
    <s v="Vancouver"/>
    <s v="加拿大二店"/>
    <x v="1"/>
    <x v="6"/>
    <x v="11"/>
    <x v="12"/>
    <x v="12"/>
    <s v="整份"/>
    <n v="8.95"/>
    <s v="份"/>
    <n v="1"/>
    <n v="8.95"/>
    <n v="0"/>
    <n v="0"/>
    <n v="0"/>
    <n v="0"/>
    <n v="1"/>
    <n v="8.95"/>
    <n v="0"/>
    <n v="0"/>
    <n v="0"/>
    <n v="0"/>
    <n v="0"/>
    <n v="0"/>
    <n v="0"/>
    <n v="0"/>
    <n v="1"/>
  </r>
  <r>
    <s v="2021-06-14"/>
    <s v="Vancouver"/>
    <s v="加拿大二店"/>
    <x v="1"/>
    <x v="6"/>
    <x v="13"/>
    <x v="14"/>
    <x v="14"/>
    <s v="整份"/>
    <n v="21.95"/>
    <s v="份"/>
    <n v="2"/>
    <n v="43.9"/>
    <n v="0"/>
    <n v="0"/>
    <n v="0"/>
    <n v="0"/>
    <n v="0"/>
    <n v="0"/>
    <n v="0"/>
    <n v="0"/>
    <n v="0"/>
    <n v="0"/>
    <n v="2"/>
    <n v="46.09"/>
    <n v="2.19"/>
    <n v="43.9"/>
    <n v="1"/>
  </r>
  <r>
    <s v="2021-06-14"/>
    <s v="Vancouver"/>
    <s v="加拿大二店"/>
    <x v="1"/>
    <x v="6"/>
    <x v="14"/>
    <x v="15"/>
    <x v="15"/>
    <s v="整份"/>
    <n v="29.95"/>
    <s v="份"/>
    <n v="2"/>
    <n v="59.9"/>
    <n v="2"/>
    <n v="59.9"/>
    <n v="0"/>
    <n v="0"/>
    <n v="0"/>
    <n v="0"/>
    <n v="0"/>
    <n v="0"/>
    <n v="0"/>
    <n v="0"/>
    <n v="0"/>
    <n v="0"/>
    <n v="0"/>
    <n v="0"/>
    <n v="1"/>
  </r>
  <r>
    <s v="2021-06-14"/>
    <s v="Vancouver"/>
    <s v="加拿大二店"/>
    <x v="1"/>
    <x v="6"/>
    <x v="121"/>
    <x v="115"/>
    <x v="125"/>
    <s v="整份"/>
    <n v="12.95"/>
    <s v="份"/>
    <n v="4"/>
    <n v="51.8"/>
    <n v="0"/>
    <n v="0"/>
    <n v="0"/>
    <n v="0"/>
    <n v="0"/>
    <n v="0"/>
    <n v="0"/>
    <n v="0"/>
    <n v="5.18"/>
    <n v="0"/>
    <n v="4"/>
    <n v="48.95"/>
    <n v="2.33"/>
    <n v="46.62"/>
    <n v="1"/>
  </r>
  <r>
    <s v="2021-06-14"/>
    <s v="Vancouver"/>
    <s v="加拿大二店"/>
    <x v="1"/>
    <x v="6"/>
    <x v="15"/>
    <x v="16"/>
    <x v="16"/>
    <s v="整份"/>
    <n v="8.95"/>
    <s v="份"/>
    <n v="5"/>
    <n v="44.75"/>
    <n v="3"/>
    <n v="26.85"/>
    <n v="0"/>
    <n v="0"/>
    <n v="0"/>
    <n v="0"/>
    <n v="0"/>
    <n v="0"/>
    <n v="1.79"/>
    <n v="0"/>
    <n v="2"/>
    <n v="16.91"/>
    <n v="0.8"/>
    <n v="16.11"/>
    <n v="1"/>
  </r>
  <r>
    <s v="2021-06-14"/>
    <s v="Vancouver"/>
    <s v="加拿大二店"/>
    <x v="1"/>
    <x v="6"/>
    <x v="111"/>
    <x v="105"/>
    <x v="115"/>
    <s v="整份"/>
    <n v="8.95"/>
    <s v="份"/>
    <n v="1"/>
    <n v="8.95"/>
    <n v="0"/>
    <n v="0"/>
    <n v="0"/>
    <n v="0"/>
    <n v="0"/>
    <n v="0"/>
    <n v="0"/>
    <n v="0"/>
    <n v="0"/>
    <n v="0"/>
    <n v="1"/>
    <n v="9.39"/>
    <n v="0.44"/>
    <n v="8.95"/>
    <n v="1"/>
  </r>
  <r>
    <s v="2021-06-14"/>
    <s v="Vancouver"/>
    <s v="加拿大二店"/>
    <x v="3"/>
    <x v="7"/>
    <x v="16"/>
    <x v="17"/>
    <x v="17"/>
    <s v="整份"/>
    <n v="4.95"/>
    <s v="份"/>
    <n v="12"/>
    <n v="59.4"/>
    <n v="0"/>
    <n v="0"/>
    <n v="0"/>
    <n v="0"/>
    <n v="0"/>
    <n v="0"/>
    <n v="0"/>
    <n v="0"/>
    <n v="5.19"/>
    <n v="0"/>
    <n v="12"/>
    <n v="56.92"/>
    <n v="2.71"/>
    <n v="54.21"/>
    <n v="1"/>
  </r>
  <r>
    <s v="2021-06-14"/>
    <s v="Vancouver"/>
    <s v="加拿大二店"/>
    <x v="2"/>
    <x v="4"/>
    <x v="17"/>
    <x v="18"/>
    <x v="18"/>
    <s v="冰镇"/>
    <n v="2.95"/>
    <s v="瓶"/>
    <n v="3"/>
    <n v="8.85"/>
    <n v="0"/>
    <n v="0"/>
    <n v="0"/>
    <n v="0"/>
    <n v="0"/>
    <n v="0"/>
    <n v="0"/>
    <n v="0"/>
    <n v="0.58"/>
    <n v="0"/>
    <n v="3"/>
    <n v="9.26"/>
    <n v="0.99"/>
    <n v="8.27"/>
    <n v="1"/>
  </r>
  <r>
    <s v="2021-06-14"/>
    <s v="Vancouver"/>
    <s v="加拿大二店"/>
    <x v="2"/>
    <x v="2"/>
    <x v="127"/>
    <x v="121"/>
    <x v="132"/>
    <s v="冰镇"/>
    <n v="4.95"/>
    <s v="瓶"/>
    <n v="1"/>
    <n v="4.95"/>
    <n v="0"/>
    <n v="0"/>
    <n v="0"/>
    <n v="0"/>
    <n v="0"/>
    <n v="0"/>
    <n v="0"/>
    <n v="0"/>
    <n v="0"/>
    <n v="0"/>
    <n v="1"/>
    <n v="5.69"/>
    <n v="0.74"/>
    <n v="4.95"/>
    <n v="1"/>
  </r>
  <r>
    <s v="2021-06-14"/>
    <s v="Vancouver"/>
    <s v="加拿大二店"/>
    <x v="2"/>
    <x v="4"/>
    <x v="18"/>
    <x v="19"/>
    <x v="19"/>
    <s v="冰镇"/>
    <n v="2.95"/>
    <s v="听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14"/>
    <s v="Vancouver"/>
    <s v="加拿大二店"/>
    <x v="1"/>
    <x v="8"/>
    <x v="19"/>
    <x v="20"/>
    <x v="20"/>
    <s v="整份"/>
    <n v="5.95"/>
    <s v="份"/>
    <n v="12"/>
    <n v="71.4"/>
    <n v="0"/>
    <n v="0"/>
    <n v="0"/>
    <n v="0"/>
    <n v="3"/>
    <n v="17.85"/>
    <n v="0"/>
    <n v="0"/>
    <n v="5.35"/>
    <n v="0"/>
    <n v="9"/>
    <n v="50.61"/>
    <n v="2.41"/>
    <n v="48.2"/>
    <n v="1"/>
  </r>
  <r>
    <s v="2021-06-14"/>
    <s v="Vancouver"/>
    <s v="加拿大二店"/>
    <x v="1"/>
    <x v="8"/>
    <x v="20"/>
    <x v="21"/>
    <x v="21"/>
    <s v="整份"/>
    <n v="7.95"/>
    <s v="份"/>
    <n v="4"/>
    <n v="31.8"/>
    <n v="0"/>
    <n v="0"/>
    <n v="0"/>
    <n v="0"/>
    <n v="0"/>
    <n v="0"/>
    <n v="0"/>
    <n v="0"/>
    <n v="4.79"/>
    <n v="0"/>
    <n v="4"/>
    <n v="28.36"/>
    <n v="1.35"/>
    <n v="27.01"/>
    <n v="1"/>
  </r>
  <r>
    <s v="2021-06-14"/>
    <s v="Vancouver"/>
    <s v="加拿大二店"/>
    <x v="2"/>
    <x v="4"/>
    <x v="21"/>
    <x v="22"/>
    <x v="22"/>
    <s v="冰镇"/>
    <n v="2.45"/>
    <s v="听"/>
    <n v="4"/>
    <n v="9.8"/>
    <n v="0"/>
    <n v="0"/>
    <n v="0"/>
    <n v="0"/>
    <n v="0"/>
    <n v="0"/>
    <n v="0"/>
    <n v="0"/>
    <n v="0"/>
    <n v="0"/>
    <n v="4"/>
    <n v="10.97"/>
    <n v="1.17"/>
    <n v="9.8"/>
    <n v="1"/>
  </r>
  <r>
    <s v="2021-06-14"/>
    <s v="Vancouver"/>
    <s v="加拿大二店"/>
    <x v="4"/>
    <x v="16"/>
    <x v="22"/>
    <x v="0"/>
    <x v="23"/>
    <s v="单锅"/>
    <n v="22.95"/>
    <s v="锅"/>
    <n v="1"/>
    <n v="22.95"/>
    <n v="0"/>
    <n v="0"/>
    <n v="0"/>
    <n v="0"/>
    <n v="0"/>
    <n v="0"/>
    <n v="0"/>
    <n v="-0.01"/>
    <n v="0"/>
    <n v="0"/>
    <n v="1"/>
    <n v="24.33"/>
    <n v="1.37"/>
    <n v="22.96"/>
    <n v="4"/>
  </r>
  <r>
    <s v="2021-06-14"/>
    <s v="Vancouver"/>
    <s v="加拿大二店"/>
    <x v="4"/>
    <x v="9"/>
    <x v="22"/>
    <x v="0"/>
    <x v="23"/>
    <s v="拼锅"/>
    <n v="11.95"/>
    <s v="锅"/>
    <n v="2"/>
    <n v="23.9"/>
    <n v="0"/>
    <n v="0"/>
    <n v="0"/>
    <n v="0"/>
    <n v="0"/>
    <n v="0"/>
    <n v="0"/>
    <n v="-0.01"/>
    <n v="0"/>
    <n v="0"/>
    <n v="2"/>
    <n v="25.34"/>
    <n v="1.43"/>
    <n v="23.91"/>
    <n v="2"/>
  </r>
  <r>
    <s v="2021-06-14"/>
    <s v="Vancouver"/>
    <s v="加拿大二店"/>
    <x v="4"/>
    <x v="10"/>
    <x v="22"/>
    <x v="0"/>
    <x v="23"/>
    <s v="四宫格"/>
    <n v="5.95"/>
    <s v="锅"/>
    <n v="3"/>
    <n v="17.85"/>
    <n v="0"/>
    <n v="0"/>
    <n v="0"/>
    <n v="0"/>
    <n v="0"/>
    <n v="0"/>
    <n v="0"/>
    <n v="0"/>
    <n v="0"/>
    <n v="0"/>
    <n v="3"/>
    <n v="18.92"/>
    <n v="1.07"/>
    <n v="17.85"/>
    <n v="1"/>
  </r>
  <r>
    <s v="2021-06-14"/>
    <s v="Vancouver"/>
    <s v="加拿大二店"/>
    <x v="3"/>
    <x v="7"/>
    <x v="23"/>
    <x v="23"/>
    <x v="24"/>
    <s v="整份"/>
    <n v="4.95"/>
    <s v="份"/>
    <n v="15"/>
    <n v="74.25"/>
    <n v="0"/>
    <n v="0"/>
    <n v="0"/>
    <n v="0"/>
    <n v="2"/>
    <n v="9.9"/>
    <n v="0"/>
    <n v="0"/>
    <n v="3.29"/>
    <n v="0"/>
    <n v="13"/>
    <n v="64.11"/>
    <n v="3.05"/>
    <n v="61.06"/>
    <n v="1"/>
  </r>
  <r>
    <s v="2021-06-14"/>
    <s v="Vancouver"/>
    <s v="加拿大二店"/>
    <x v="3"/>
    <x v="11"/>
    <x v="24"/>
    <x v="118"/>
    <x v="129"/>
    <s v="整份"/>
    <n v="5.95"/>
    <s v="份"/>
    <n v="1"/>
    <n v="5.95"/>
    <n v="0"/>
    <n v="0"/>
    <n v="0"/>
    <n v="0"/>
    <n v="0"/>
    <n v="0"/>
    <n v="0"/>
    <n v="0"/>
    <n v="2.97"/>
    <n v="0"/>
    <n v="1"/>
    <n v="3.12"/>
    <n v="0.14"/>
    <n v="2.98"/>
    <n v="1"/>
  </r>
  <r>
    <s v="2021-06-14"/>
    <s v="Vancouver"/>
    <s v="加拿大二店"/>
    <x v="3"/>
    <x v="11"/>
    <x v="24"/>
    <x v="24"/>
    <x v="25"/>
    <s v="半份"/>
    <n v="2.95"/>
    <s v="份"/>
    <n v="3"/>
    <n v="8.85"/>
    <n v="0"/>
    <n v="0"/>
    <n v="0"/>
    <n v="0"/>
    <n v="0"/>
    <n v="0"/>
    <n v="0"/>
    <n v="0"/>
    <n v="0.15"/>
    <n v="0"/>
    <n v="3"/>
    <n v="9.13"/>
    <n v="0.43"/>
    <n v="8.7"/>
    <n v="0.5"/>
  </r>
  <r>
    <s v="2021-06-14"/>
    <s v="Vancouver"/>
    <s v="加拿大二店"/>
    <x v="3"/>
    <x v="5"/>
    <x v="25"/>
    <x v="25"/>
    <x v="26"/>
    <s v="整份"/>
    <n v="3.95"/>
    <s v="份"/>
    <n v="8"/>
    <n v="31.6"/>
    <n v="0"/>
    <n v="0"/>
    <n v="0"/>
    <n v="0"/>
    <n v="4"/>
    <n v="15.8"/>
    <n v="0"/>
    <n v="0"/>
    <n v="0.79"/>
    <n v="0"/>
    <n v="4"/>
    <n v="15.76"/>
    <n v="0.75"/>
    <n v="15.01"/>
    <n v="1"/>
  </r>
  <r>
    <s v="2021-06-14"/>
    <s v="Vancouver"/>
    <s v="加拿大二店"/>
    <x v="3"/>
    <x v="11"/>
    <x v="26"/>
    <x v="26"/>
    <x v="27"/>
    <s v="整份"/>
    <n v="4.95"/>
    <s v="份"/>
    <n v="9"/>
    <n v="44.55"/>
    <n v="0"/>
    <n v="0"/>
    <n v="0"/>
    <n v="0"/>
    <n v="2"/>
    <n v="9.9"/>
    <n v="0"/>
    <n v="0"/>
    <n v="2.97"/>
    <n v="0"/>
    <n v="7"/>
    <n v="33.26"/>
    <n v="1.58"/>
    <n v="31.68"/>
    <n v="1"/>
  </r>
  <r>
    <s v="2021-06-14"/>
    <s v="Vancouver"/>
    <s v="加拿大二店"/>
    <x v="3"/>
    <x v="11"/>
    <x v="26"/>
    <x v="27"/>
    <x v="28"/>
    <s v="半份"/>
    <n v="2.45"/>
    <s v="份"/>
    <n v="13"/>
    <n v="31.85"/>
    <n v="0"/>
    <n v="0"/>
    <n v="0"/>
    <n v="0"/>
    <n v="2"/>
    <n v="4.9"/>
    <n v="0"/>
    <n v="0"/>
    <n v="1.59"/>
    <n v="0"/>
    <n v="11"/>
    <n v="26.62"/>
    <n v="1.26"/>
    <n v="25.36"/>
    <n v="0.5"/>
  </r>
  <r>
    <s v="2021-06-14"/>
    <s v="Vancouver"/>
    <s v="加拿大二店"/>
    <x v="5"/>
    <x v="12"/>
    <x v="27"/>
    <x v="28"/>
    <x v="29"/>
    <s v="整份"/>
    <n v="7.95"/>
    <s v="份"/>
    <n v="12"/>
    <n v="95.4"/>
    <n v="0"/>
    <n v="0"/>
    <n v="0"/>
    <n v="0"/>
    <n v="4"/>
    <n v="31.8"/>
    <n v="0"/>
    <n v="0.01"/>
    <n v="6.35"/>
    <n v="0"/>
    <n v="8"/>
    <n v="60.1"/>
    <n v="2.86"/>
    <n v="57.24"/>
    <n v="1"/>
  </r>
  <r>
    <s v="2021-06-14"/>
    <s v="Vancouver"/>
    <s v="加拿大二店"/>
    <x v="3"/>
    <x v="7"/>
    <x v="28"/>
    <x v="29"/>
    <x v="30"/>
    <s v="整份"/>
    <n v="4.95"/>
    <s v="份"/>
    <n v="7"/>
    <n v="34.65"/>
    <n v="0"/>
    <n v="0"/>
    <n v="0"/>
    <n v="0"/>
    <n v="0"/>
    <n v="0"/>
    <n v="0"/>
    <n v="0"/>
    <n v="2.96"/>
    <n v="0"/>
    <n v="7"/>
    <n v="33.27"/>
    <n v="1.58"/>
    <n v="31.69"/>
    <n v="1"/>
  </r>
  <r>
    <s v="2021-06-14"/>
    <s v="Vancouver"/>
    <s v="加拿大二店"/>
    <x v="3"/>
    <x v="5"/>
    <x v="29"/>
    <x v="30"/>
    <x v="31"/>
    <s v="整份"/>
    <n v="3.95"/>
    <s v="份"/>
    <n v="4"/>
    <n v="15.8"/>
    <n v="0"/>
    <n v="0"/>
    <n v="0"/>
    <n v="0"/>
    <n v="0"/>
    <n v="0"/>
    <n v="0"/>
    <n v="0"/>
    <n v="1.58"/>
    <n v="0"/>
    <n v="4"/>
    <n v="14.93"/>
    <n v="0.71"/>
    <n v="14.22"/>
    <n v="1"/>
  </r>
  <r>
    <s v="2021-06-14"/>
    <s v="Vancouver"/>
    <s v="加拿大二店"/>
    <x v="6"/>
    <x v="13"/>
    <x v="30"/>
    <x v="31"/>
    <x v="32"/>
    <s v="整份"/>
    <n v="4.95"/>
    <s v="份"/>
    <n v="3"/>
    <n v="14.85"/>
    <n v="0"/>
    <n v="0"/>
    <n v="0"/>
    <n v="0"/>
    <n v="0"/>
    <n v="0"/>
    <n v="0"/>
    <n v="0"/>
    <n v="0"/>
    <n v="0"/>
    <n v="3"/>
    <n v="15.59"/>
    <n v="0.74"/>
    <n v="14.85"/>
    <n v="1"/>
  </r>
  <r>
    <s v="2021-06-14"/>
    <s v="Vancouver"/>
    <s v="加拿大二店"/>
    <x v="6"/>
    <x v="13"/>
    <x v="31"/>
    <x v="32"/>
    <x v="33"/>
    <s v="整份"/>
    <n v="9.95"/>
    <s v="份"/>
    <n v="4"/>
    <n v="39.8"/>
    <n v="0"/>
    <n v="0"/>
    <n v="0"/>
    <n v="0"/>
    <n v="0"/>
    <n v="0"/>
    <n v="0"/>
    <n v="0"/>
    <n v="0"/>
    <n v="0"/>
    <n v="4"/>
    <n v="41.79"/>
    <n v="1.99"/>
    <n v="39.8"/>
    <n v="1"/>
  </r>
  <r>
    <s v="2021-06-14"/>
    <s v="Vancouver"/>
    <s v="加拿大二店"/>
    <x v="5"/>
    <x v="12"/>
    <x v="32"/>
    <x v="33"/>
    <x v="34"/>
    <s v="整份"/>
    <n v="17.85"/>
    <s v="份"/>
    <n v="1"/>
    <n v="17.85"/>
    <n v="0"/>
    <n v="0"/>
    <n v="0"/>
    <n v="0"/>
    <n v="0"/>
    <n v="0"/>
    <n v="0"/>
    <n v="0"/>
    <n v="0"/>
    <n v="0"/>
    <n v="1"/>
    <n v="18.74"/>
    <n v="0.89"/>
    <n v="17.85"/>
    <n v="1"/>
  </r>
  <r>
    <s v="2021-06-14"/>
    <s v="Vancouver"/>
    <s v="加拿大二店"/>
    <x v="1"/>
    <x v="3"/>
    <x v="33"/>
    <x v="34"/>
    <x v="35"/>
    <s v="整份"/>
    <n v="11.95"/>
    <s v="份"/>
    <n v="28"/>
    <n v="334.6"/>
    <n v="1"/>
    <n v="11.95"/>
    <n v="0"/>
    <n v="0"/>
    <n v="3"/>
    <n v="35.85"/>
    <n v="0"/>
    <n v="0"/>
    <n v="20.91"/>
    <n v="0"/>
    <n v="24"/>
    <n v="279.18"/>
    <n v="13.29"/>
    <n v="265.89"/>
    <n v="1"/>
  </r>
  <r>
    <s v="2021-06-14"/>
    <s v="Vancouver"/>
    <s v="加拿大二店"/>
    <x v="5"/>
    <x v="12"/>
    <x v="34"/>
    <x v="35"/>
    <x v="36"/>
    <s v="整份"/>
    <n v="11.95"/>
    <s v="份"/>
    <n v="6"/>
    <n v="71.7"/>
    <n v="0"/>
    <n v="0"/>
    <n v="0"/>
    <n v="0"/>
    <n v="0"/>
    <n v="0"/>
    <n v="0"/>
    <n v="0"/>
    <n v="14.33"/>
    <n v="0"/>
    <n v="6"/>
    <n v="60.23"/>
    <n v="2.86"/>
    <n v="57.37"/>
    <n v="1"/>
  </r>
  <r>
    <s v="2021-06-14"/>
    <s v="Vancouver"/>
    <s v="加拿大二店"/>
    <x v="5"/>
    <x v="12"/>
    <x v="35"/>
    <x v="36"/>
    <x v="37"/>
    <s v="条"/>
    <n v="4.95"/>
    <s v="条"/>
    <n v="19"/>
    <n v="94.05"/>
    <n v="0"/>
    <n v="0"/>
    <n v="0"/>
    <n v="0"/>
    <n v="1"/>
    <n v="4.95"/>
    <n v="0"/>
    <n v="0"/>
    <n v="2.46"/>
    <n v="0"/>
    <n v="18"/>
    <n v="90.97"/>
    <n v="4.33"/>
    <n v="86.64"/>
    <n v="1"/>
  </r>
  <r>
    <s v="2021-06-14"/>
    <s v="Vancouver"/>
    <s v="加拿大二店"/>
    <x v="5"/>
    <x v="12"/>
    <x v="36"/>
    <x v="37"/>
    <x v="38"/>
    <s v="整份"/>
    <n v="13.95"/>
    <s v="份"/>
    <n v="16"/>
    <n v="223.2"/>
    <n v="0"/>
    <n v="0"/>
    <n v="0"/>
    <n v="0"/>
    <n v="0"/>
    <n v="0"/>
    <n v="0"/>
    <n v="0"/>
    <n v="20.47"/>
    <n v="0"/>
    <n v="16"/>
    <n v="212.86"/>
    <n v="10.13"/>
    <n v="202.73"/>
    <n v="1"/>
  </r>
  <r>
    <s v="2021-06-14"/>
    <s v="Vancouver"/>
    <s v="加拿大二店"/>
    <x v="5"/>
    <x v="12"/>
    <x v="37"/>
    <x v="38"/>
    <x v="39"/>
    <s v="整份"/>
    <n v="9.95"/>
    <s v="份"/>
    <n v="26"/>
    <n v="258.7"/>
    <n v="1"/>
    <n v="9.95"/>
    <n v="0"/>
    <n v="0"/>
    <n v="1"/>
    <n v="9.95"/>
    <n v="0"/>
    <n v="-0.01"/>
    <n v="20.56"/>
    <n v="0"/>
    <n v="24"/>
    <n v="229.16"/>
    <n v="10.91"/>
    <n v="218.25"/>
    <n v="1"/>
  </r>
  <r>
    <s v="2021-06-14"/>
    <s v="Vancouver"/>
    <s v="加拿大二店"/>
    <x v="5"/>
    <x v="12"/>
    <x v="38"/>
    <x v="39"/>
    <x v="40"/>
    <s v="整份"/>
    <n v="9.95"/>
    <s v="份"/>
    <n v="4"/>
    <n v="39.8"/>
    <n v="0"/>
    <n v="0"/>
    <n v="0"/>
    <n v="0"/>
    <n v="0"/>
    <n v="0"/>
    <n v="0"/>
    <n v="0"/>
    <n v="2.98"/>
    <n v="0"/>
    <n v="4"/>
    <n v="38.66"/>
    <n v="1.84"/>
    <n v="36.82"/>
    <n v="1"/>
  </r>
  <r>
    <s v="2021-06-14"/>
    <s v="Vancouver"/>
    <s v="加拿大二店"/>
    <x v="6"/>
    <x v="13"/>
    <x v="39"/>
    <x v="40"/>
    <x v="41"/>
    <s v="整份"/>
    <n v="8.95"/>
    <s v="份"/>
    <n v="11"/>
    <n v="98.45"/>
    <n v="0"/>
    <n v="0"/>
    <n v="0"/>
    <n v="0"/>
    <n v="1"/>
    <n v="8.95"/>
    <n v="0"/>
    <n v="0"/>
    <n v="3.58"/>
    <n v="0"/>
    <n v="10"/>
    <n v="90.21"/>
    <n v="4.29"/>
    <n v="85.92"/>
    <n v="1"/>
  </r>
  <r>
    <s v="2021-06-14"/>
    <s v="Vancouver"/>
    <s v="加拿大二店"/>
    <x v="5"/>
    <x v="12"/>
    <x v="40"/>
    <x v="41"/>
    <x v="42"/>
    <s v="整份"/>
    <n v="9.95"/>
    <s v="份"/>
    <n v="7"/>
    <n v="69.65"/>
    <n v="0"/>
    <n v="0"/>
    <n v="0"/>
    <n v="0"/>
    <n v="0"/>
    <n v="0"/>
    <n v="0"/>
    <n v="0"/>
    <n v="8.63"/>
    <n v="0"/>
    <n v="7"/>
    <n v="64.07"/>
    <n v="3.05"/>
    <n v="61.02"/>
    <n v="1"/>
  </r>
  <r>
    <s v="2021-06-14"/>
    <s v="Vancouver"/>
    <s v="加拿大二店"/>
    <x v="1"/>
    <x v="6"/>
    <x v="131"/>
    <x v="125"/>
    <x v="136"/>
    <s v="整份"/>
    <n v="28.95"/>
    <s v="份"/>
    <n v="1"/>
    <n v="28.95"/>
    <n v="1"/>
    <n v="28.95"/>
    <n v="0"/>
    <n v="0"/>
    <n v="0"/>
    <n v="0"/>
    <n v="0"/>
    <n v="0"/>
    <n v="0"/>
    <n v="0"/>
    <n v="0"/>
    <n v="0"/>
    <n v="0"/>
    <n v="0"/>
    <n v="1"/>
  </r>
  <r>
    <s v="2021-06-14"/>
    <s v="Vancouver"/>
    <s v="加拿大二店"/>
    <x v="5"/>
    <x v="12"/>
    <x v="41"/>
    <x v="42"/>
    <x v="43"/>
    <s v="整份"/>
    <n v="7.95"/>
    <s v="份"/>
    <n v="12"/>
    <n v="95.4"/>
    <n v="0"/>
    <n v="0"/>
    <n v="0"/>
    <n v="0"/>
    <n v="2"/>
    <n v="15.9"/>
    <n v="0"/>
    <n v="0"/>
    <n v="11.12"/>
    <n v="0"/>
    <n v="10"/>
    <n v="71.79"/>
    <n v="3.41"/>
    <n v="68.38"/>
    <n v="1"/>
  </r>
  <r>
    <s v="2021-06-14"/>
    <s v="Vancouver"/>
    <s v="加拿大二店"/>
    <x v="2"/>
    <x v="2"/>
    <x v="42"/>
    <x v="43"/>
    <x v="44"/>
    <s v="冰镇"/>
    <n v="5.95"/>
    <s v="瓶"/>
    <n v="6"/>
    <n v="35.7"/>
    <n v="0"/>
    <n v="0"/>
    <n v="0"/>
    <n v="0"/>
    <n v="0"/>
    <n v="0"/>
    <n v="0"/>
    <n v="0"/>
    <n v="0"/>
    <n v="0"/>
    <n v="6"/>
    <n v="41.05"/>
    <n v="5.35"/>
    <n v="35.7"/>
    <n v="1"/>
  </r>
  <r>
    <s v="2021-06-14"/>
    <s v="Vancouver"/>
    <s v="加拿大二店"/>
    <x v="3"/>
    <x v="5"/>
    <x v="43"/>
    <x v="44"/>
    <x v="45"/>
    <s v="整份"/>
    <n v="3.95"/>
    <s v="份"/>
    <n v="2"/>
    <n v="7.9"/>
    <n v="0"/>
    <n v="0"/>
    <n v="0"/>
    <n v="0"/>
    <n v="0"/>
    <n v="0"/>
    <n v="0"/>
    <n v="0"/>
    <n v="0.79"/>
    <n v="0"/>
    <n v="2"/>
    <n v="7.46"/>
    <n v="0.35"/>
    <n v="7.11"/>
    <n v="1"/>
  </r>
  <r>
    <s v="2021-06-14"/>
    <s v="Vancouver"/>
    <s v="加拿大二店"/>
    <x v="7"/>
    <x v="14"/>
    <x v="44"/>
    <x v="45"/>
    <x v="46"/>
    <s v="整份"/>
    <n v="0"/>
    <s v="份"/>
    <n v="5"/>
    <n v="0"/>
    <n v="0"/>
    <n v="0"/>
    <n v="0"/>
    <n v="0"/>
    <n v="0"/>
    <n v="0"/>
    <n v="0"/>
    <n v="0"/>
    <n v="0"/>
    <n v="0"/>
    <n v="5"/>
    <n v="0"/>
    <n v="0"/>
    <n v="0"/>
    <n v="1"/>
  </r>
  <r>
    <s v="2021-06-14"/>
    <s v="Vancouver"/>
    <s v="加拿大二店"/>
    <x v="7"/>
    <x v="14"/>
    <x v="45"/>
    <x v="46"/>
    <x v="47"/>
    <s v="整份"/>
    <n v="7"/>
    <s v="份"/>
    <n v="1"/>
    <n v="7"/>
    <n v="0"/>
    <n v="0"/>
    <n v="0"/>
    <n v="0"/>
    <n v="0"/>
    <n v="0"/>
    <n v="0"/>
    <n v="0"/>
    <n v="0"/>
    <n v="0"/>
    <n v="1"/>
    <n v="7.35"/>
    <n v="0.35"/>
    <n v="7"/>
    <n v="1"/>
  </r>
  <r>
    <s v="2021-06-14"/>
    <s v="Vancouver"/>
    <s v="加拿大二店"/>
    <x v="7"/>
    <x v="14"/>
    <x v="45"/>
    <x v="46"/>
    <x v="47"/>
    <s v="整份"/>
    <n v="9.99"/>
    <s v="份"/>
    <n v="1"/>
    <n v="9.99"/>
    <n v="0"/>
    <n v="0"/>
    <n v="0"/>
    <n v="0"/>
    <n v="0"/>
    <n v="0"/>
    <n v="0"/>
    <n v="-0.01"/>
    <n v="0"/>
    <n v="0"/>
    <n v="1"/>
    <n v="10.5"/>
    <n v="0.5"/>
    <n v="10"/>
    <n v="1"/>
  </r>
  <r>
    <s v="2021-06-14"/>
    <s v="Vancouver"/>
    <s v="加拿大二店"/>
    <x v="7"/>
    <x v="14"/>
    <x v="45"/>
    <x v="46"/>
    <x v="47"/>
    <s v="整份"/>
    <n v="12.99"/>
    <s v="份"/>
    <n v="1"/>
    <n v="12.99"/>
    <n v="0"/>
    <n v="0"/>
    <n v="0"/>
    <n v="0"/>
    <n v="0"/>
    <n v="0"/>
    <n v="0"/>
    <n v="0"/>
    <n v="0"/>
    <n v="0"/>
    <n v="1"/>
    <n v="13.63"/>
    <n v="0.64"/>
    <n v="12.99"/>
    <n v="1"/>
  </r>
  <r>
    <s v="2021-06-14"/>
    <s v="Vancouver"/>
    <s v="加拿大二店"/>
    <x v="7"/>
    <x v="14"/>
    <x v="45"/>
    <x v="46"/>
    <x v="47"/>
    <s v="整份"/>
    <n v="27.7"/>
    <s v="份"/>
    <n v="1"/>
    <n v="27.7"/>
    <n v="0"/>
    <n v="0"/>
    <n v="0"/>
    <n v="0"/>
    <n v="0"/>
    <n v="0"/>
    <n v="0"/>
    <n v="0"/>
    <n v="7"/>
    <n v="0"/>
    <n v="1"/>
    <n v="21.73"/>
    <n v="1.03"/>
    <n v="20.7"/>
    <n v="1"/>
  </r>
  <r>
    <s v="2021-06-14"/>
    <s v="Vancouver"/>
    <s v="加拿大二店"/>
    <x v="7"/>
    <x v="14"/>
    <x v="45"/>
    <x v="46"/>
    <x v="47"/>
    <s v="整份"/>
    <n v="34.1"/>
    <s v="份"/>
    <n v="1"/>
    <n v="34.1"/>
    <n v="0"/>
    <n v="0"/>
    <n v="0"/>
    <n v="0"/>
    <n v="0"/>
    <n v="0"/>
    <n v="0"/>
    <n v="0.02"/>
    <n v="0"/>
    <n v="0"/>
    <n v="1"/>
    <n v="35.78"/>
    <n v="1.7"/>
    <n v="34.08"/>
    <n v="1"/>
  </r>
  <r>
    <s v="2021-06-14"/>
    <s v="Vancouver"/>
    <s v="加拿大二店"/>
    <x v="7"/>
    <x v="14"/>
    <x v="45"/>
    <x v="46"/>
    <x v="47"/>
    <s v="整份"/>
    <n v="37.14"/>
    <s v="份"/>
    <n v="1"/>
    <n v="37.14"/>
    <n v="0"/>
    <n v="0"/>
    <n v="0"/>
    <n v="0"/>
    <n v="0"/>
    <n v="0"/>
    <n v="0"/>
    <n v="0.02"/>
    <n v="0"/>
    <n v="0"/>
    <n v="1"/>
    <n v="38.97"/>
    <n v="1.85"/>
    <n v="37.12"/>
    <n v="1"/>
  </r>
  <r>
    <s v="2021-06-14"/>
    <s v="Vancouver"/>
    <s v="加拿大二店"/>
    <x v="7"/>
    <x v="14"/>
    <x v="45"/>
    <x v="46"/>
    <x v="47"/>
    <s v="整份"/>
    <n v="45.05"/>
    <s v="份"/>
    <n v="1"/>
    <n v="45.05"/>
    <n v="0"/>
    <n v="0"/>
    <n v="0"/>
    <n v="0"/>
    <n v="0"/>
    <n v="0"/>
    <n v="0"/>
    <n v="-0.02"/>
    <n v="0"/>
    <n v="0"/>
    <n v="1"/>
    <n v="47.32"/>
    <n v="2.25"/>
    <n v="45.07"/>
    <n v="1"/>
  </r>
  <r>
    <s v="2021-06-14"/>
    <s v="Vancouver"/>
    <s v="加拿大二店"/>
    <x v="7"/>
    <x v="14"/>
    <x v="45"/>
    <x v="46"/>
    <x v="47"/>
    <s v="整份"/>
    <n v="48.5"/>
    <s v="份"/>
    <n v="1"/>
    <n v="48.5"/>
    <n v="0"/>
    <n v="0"/>
    <n v="0"/>
    <n v="0"/>
    <n v="0"/>
    <n v="0"/>
    <n v="0"/>
    <n v="0"/>
    <n v="7"/>
    <n v="0"/>
    <n v="1"/>
    <n v="43.57"/>
    <n v="2.07"/>
    <n v="41.5"/>
    <n v="1"/>
  </r>
  <r>
    <s v="2021-06-14"/>
    <s v="Vancouver"/>
    <s v="加拿大二店"/>
    <x v="7"/>
    <x v="14"/>
    <x v="45"/>
    <x v="46"/>
    <x v="47"/>
    <s v="整份"/>
    <n v="48.94"/>
    <s v="份"/>
    <n v="1"/>
    <n v="48.94"/>
    <n v="0"/>
    <n v="0"/>
    <n v="0"/>
    <n v="0"/>
    <n v="0"/>
    <n v="0"/>
    <n v="0"/>
    <n v="0.02"/>
    <n v="7"/>
    <n v="0"/>
    <n v="1"/>
    <n v="44.01"/>
    <n v="2.09"/>
    <n v="41.92"/>
    <n v="1"/>
  </r>
  <r>
    <s v="2021-06-14"/>
    <s v="Vancouver"/>
    <s v="加拿大二店"/>
    <x v="7"/>
    <x v="14"/>
    <x v="45"/>
    <x v="46"/>
    <x v="47"/>
    <s v="整份"/>
    <n v="59.96"/>
    <s v="份"/>
    <n v="2"/>
    <n v="119.92"/>
    <n v="0"/>
    <n v="0"/>
    <n v="0"/>
    <n v="0"/>
    <n v="0"/>
    <n v="0"/>
    <n v="0"/>
    <n v="-0.02"/>
    <n v="0"/>
    <n v="0"/>
    <n v="2"/>
    <n v="125.93"/>
    <n v="5.99"/>
    <n v="119.94"/>
    <n v="1"/>
  </r>
  <r>
    <s v="2021-06-14"/>
    <s v="Vancouver"/>
    <s v="加拿大二店"/>
    <x v="7"/>
    <x v="14"/>
    <x v="45"/>
    <x v="46"/>
    <x v="47"/>
    <s v="整份"/>
    <n v="62.95"/>
    <s v="份"/>
    <n v="1"/>
    <n v="62.95"/>
    <n v="0"/>
    <n v="0"/>
    <n v="0"/>
    <n v="0"/>
    <n v="0"/>
    <n v="0"/>
    <n v="0"/>
    <n v="0.01"/>
    <n v="0"/>
    <n v="0"/>
    <n v="1"/>
    <n v="66.08"/>
    <n v="3.14"/>
    <n v="62.94"/>
    <n v="1"/>
  </r>
  <r>
    <s v="2021-06-14"/>
    <s v="Vancouver"/>
    <s v="加拿大二店"/>
    <x v="7"/>
    <x v="14"/>
    <x v="45"/>
    <x v="46"/>
    <x v="47"/>
    <s v="整份"/>
    <n v="79.95"/>
    <s v="份"/>
    <n v="1"/>
    <n v="79.95"/>
    <n v="0"/>
    <n v="0"/>
    <n v="0"/>
    <n v="0"/>
    <n v="0"/>
    <n v="0"/>
    <n v="0"/>
    <n v="0"/>
    <n v="0"/>
    <n v="0"/>
    <n v="1"/>
    <n v="83.94"/>
    <n v="3.99"/>
    <n v="79.95"/>
    <n v="1"/>
  </r>
  <r>
    <s v="2021-06-14"/>
    <s v="Vancouver"/>
    <s v="加拿大二店"/>
    <x v="7"/>
    <x v="14"/>
    <x v="45"/>
    <x v="46"/>
    <x v="47"/>
    <s v="整份"/>
    <n v="128.95"/>
    <s v="份"/>
    <n v="1"/>
    <n v="128.95"/>
    <n v="0"/>
    <n v="0"/>
    <n v="0"/>
    <n v="0"/>
    <n v="0"/>
    <n v="0"/>
    <n v="0"/>
    <n v="0"/>
    <n v="0"/>
    <n v="0"/>
    <n v="1"/>
    <n v="135.39"/>
    <n v="6.44"/>
    <n v="128.95"/>
    <n v="1"/>
  </r>
  <r>
    <s v="2021-06-14"/>
    <s v="Vancouver"/>
    <s v="加拿大二店"/>
    <x v="2"/>
    <x v="4"/>
    <x v="46"/>
    <x v="47"/>
    <x v="48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14"/>
    <s v="Vancouver"/>
    <s v="加拿大二店"/>
    <x v="2"/>
    <x v="4"/>
    <x v="47"/>
    <x v="48"/>
    <x v="49"/>
    <s v="冰镇"/>
    <n v="2.95"/>
    <s v="听"/>
    <n v="3"/>
    <n v="8.85"/>
    <n v="0"/>
    <n v="0"/>
    <n v="0"/>
    <n v="0"/>
    <n v="0"/>
    <n v="0"/>
    <n v="0"/>
    <n v="0"/>
    <n v="0"/>
    <n v="0"/>
    <n v="3"/>
    <n v="9.91"/>
    <n v="1.06"/>
    <n v="8.85"/>
    <n v="1"/>
  </r>
  <r>
    <s v="2021-06-14"/>
    <s v="Vancouver"/>
    <s v="加拿大二店"/>
    <x v="6"/>
    <x v="13"/>
    <x v="48"/>
    <x v="49"/>
    <x v="50"/>
    <s v="整份"/>
    <n v="4.95"/>
    <s v="份"/>
    <n v="8"/>
    <n v="39.6"/>
    <n v="2"/>
    <n v="9.9"/>
    <n v="0"/>
    <n v="0"/>
    <n v="0"/>
    <n v="0"/>
    <n v="0"/>
    <n v="0"/>
    <n v="0"/>
    <n v="0"/>
    <n v="6"/>
    <n v="31.18"/>
    <n v="1.48"/>
    <n v="29.7"/>
    <n v="1"/>
  </r>
  <r>
    <s v="2021-06-14"/>
    <s v="Vancouver"/>
    <s v="加拿大二店"/>
    <x v="3"/>
    <x v="7"/>
    <x v="49"/>
    <x v="50"/>
    <x v="51"/>
    <s v="整份"/>
    <n v="4.95"/>
    <s v="份"/>
    <n v="4"/>
    <n v="19.8"/>
    <n v="0"/>
    <n v="0"/>
    <n v="0"/>
    <n v="0"/>
    <n v="0"/>
    <n v="0"/>
    <n v="0"/>
    <n v="0"/>
    <n v="0.99"/>
    <n v="0"/>
    <n v="4"/>
    <n v="19.75"/>
    <n v="0.94"/>
    <n v="18.81"/>
    <n v="1"/>
  </r>
  <r>
    <s v="2021-06-14"/>
    <s v="Vancouver"/>
    <s v="加拿大二店"/>
    <x v="1"/>
    <x v="6"/>
    <x v="113"/>
    <x v="107"/>
    <x v="117"/>
    <s v="整份"/>
    <n v="28.95"/>
    <s v="份"/>
    <n v="1"/>
    <n v="28.95"/>
    <n v="0"/>
    <n v="0"/>
    <n v="0"/>
    <n v="0"/>
    <n v="0"/>
    <n v="0"/>
    <n v="0"/>
    <n v="-0.01"/>
    <n v="0"/>
    <n v="0"/>
    <n v="1"/>
    <n v="30.4"/>
    <n v="1.44"/>
    <n v="28.96"/>
    <n v="1"/>
  </r>
  <r>
    <s v="2021-06-14"/>
    <s v="Vancouver"/>
    <s v="加拿大二店"/>
    <x v="3"/>
    <x v="5"/>
    <x v="51"/>
    <x v="52"/>
    <x v="53"/>
    <s v="整份"/>
    <n v="3.95"/>
    <s v="份"/>
    <n v="9"/>
    <n v="35.55"/>
    <n v="0"/>
    <n v="0"/>
    <n v="0"/>
    <n v="0"/>
    <n v="1"/>
    <n v="3.95"/>
    <n v="0"/>
    <n v="0"/>
    <n v="1.78"/>
    <n v="0"/>
    <n v="8"/>
    <n v="31.31"/>
    <n v="1.49"/>
    <n v="29.82"/>
    <n v="1"/>
  </r>
  <r>
    <s v="2021-06-14"/>
    <s v="Vancouver"/>
    <s v="加拿大二店"/>
    <x v="3"/>
    <x v="5"/>
    <x v="52"/>
    <x v="53"/>
    <x v="54"/>
    <s v="整份"/>
    <n v="5.95"/>
    <s v="份"/>
    <n v="4"/>
    <n v="23.8"/>
    <n v="0"/>
    <n v="0"/>
    <n v="0"/>
    <n v="0"/>
    <n v="1"/>
    <n v="5.95"/>
    <n v="0"/>
    <n v="-0.02"/>
    <n v="1.19"/>
    <n v="0"/>
    <n v="3"/>
    <n v="17.51"/>
    <n v="0.83"/>
    <n v="16.68"/>
    <n v="1"/>
  </r>
  <r>
    <s v="2021-06-14"/>
    <s v="Vancouver"/>
    <s v="加拿大二店"/>
    <x v="4"/>
    <x v="9"/>
    <x v="53"/>
    <x v="0"/>
    <x v="55"/>
    <s v="拼锅"/>
    <n v="0"/>
    <s v="锅"/>
    <n v="6"/>
    <n v="0"/>
    <n v="0"/>
    <n v="0"/>
    <n v="0"/>
    <n v="0"/>
    <n v="1"/>
    <n v="0"/>
    <n v="0"/>
    <n v="-0.01"/>
    <n v="0"/>
    <n v="0"/>
    <n v="5"/>
    <n v="0.01"/>
    <n v="0"/>
    <n v="0.01"/>
    <n v="2"/>
  </r>
  <r>
    <s v="2021-06-14"/>
    <s v="Vancouver"/>
    <s v="加拿大二店"/>
    <x v="4"/>
    <x v="10"/>
    <x v="53"/>
    <x v="0"/>
    <x v="55"/>
    <s v="四宫格"/>
    <n v="0"/>
    <s v="锅"/>
    <n v="10"/>
    <n v="0"/>
    <n v="0"/>
    <n v="0"/>
    <n v="0"/>
    <n v="0"/>
    <n v="0"/>
    <n v="0"/>
    <n v="0"/>
    <n v="0"/>
    <n v="0"/>
    <n v="0"/>
    <n v="10"/>
    <n v="0"/>
    <n v="0"/>
    <n v="0"/>
    <n v="1"/>
  </r>
  <r>
    <s v="2021-06-14"/>
    <s v="Vancouver"/>
    <s v="加拿大二店"/>
    <x v="6"/>
    <x v="13"/>
    <x v="54"/>
    <x v="54"/>
    <x v="56"/>
    <s v="个"/>
    <n v="1.95"/>
    <s v="个"/>
    <n v="3"/>
    <n v="5.85"/>
    <n v="0"/>
    <n v="0"/>
    <n v="0"/>
    <n v="0"/>
    <n v="0"/>
    <n v="0"/>
    <n v="0"/>
    <n v="0"/>
    <n v="0"/>
    <n v="0"/>
    <n v="3"/>
    <n v="6.14"/>
    <n v="0.29"/>
    <n v="5.85"/>
    <n v="1"/>
  </r>
  <r>
    <s v="2021-06-14"/>
    <s v="Vancouver"/>
    <s v="加拿大二店"/>
    <x v="6"/>
    <x v="13"/>
    <x v="114"/>
    <x v="108"/>
    <x v="118"/>
    <s v="整份"/>
    <n v="7.95"/>
    <s v="份"/>
    <n v="1"/>
    <n v="7.95"/>
    <n v="0"/>
    <n v="0"/>
    <n v="0"/>
    <n v="0"/>
    <n v="0"/>
    <n v="0"/>
    <n v="0"/>
    <n v="0"/>
    <n v="0"/>
    <n v="0"/>
    <n v="1"/>
    <n v="8.34"/>
    <n v="0.39"/>
    <n v="7.95"/>
    <n v="1"/>
  </r>
  <r>
    <s v="2021-06-14"/>
    <s v="Vancouver"/>
    <s v="加拿大二店"/>
    <x v="1"/>
    <x v="8"/>
    <x v="55"/>
    <x v="55"/>
    <x v="57"/>
    <s v="整份"/>
    <n v="9.95"/>
    <s v="份"/>
    <n v="3"/>
    <n v="29.85"/>
    <n v="0"/>
    <n v="0"/>
    <n v="0"/>
    <n v="0"/>
    <n v="1"/>
    <n v="9.95"/>
    <n v="0"/>
    <n v="0"/>
    <n v="0"/>
    <n v="0"/>
    <n v="2"/>
    <n v="20.89"/>
    <n v="0.99"/>
    <n v="19.9"/>
    <n v="1"/>
  </r>
  <r>
    <s v="2021-06-14"/>
    <s v="Vancouver"/>
    <s v="加拿大二店"/>
    <x v="1"/>
    <x v="1"/>
    <x v="56"/>
    <x v="56"/>
    <x v="58"/>
    <s v="整份"/>
    <n v="12.95"/>
    <s v="份"/>
    <n v="10"/>
    <n v="129.5"/>
    <n v="0"/>
    <n v="0"/>
    <n v="0"/>
    <n v="0"/>
    <n v="0"/>
    <n v="0"/>
    <n v="0"/>
    <n v="0"/>
    <n v="8.02"/>
    <n v="0"/>
    <n v="10"/>
    <n v="127.55"/>
    <n v="6.07"/>
    <n v="121.48"/>
    <n v="1"/>
  </r>
  <r>
    <s v="2021-06-14"/>
    <s v="Vancouver"/>
    <s v="加拿大二店"/>
    <x v="1"/>
    <x v="1"/>
    <x v="57"/>
    <x v="57"/>
    <x v="59"/>
    <s v="整份"/>
    <n v="11.95"/>
    <s v="份"/>
    <n v="29"/>
    <n v="346.55"/>
    <n v="0"/>
    <n v="0"/>
    <n v="0"/>
    <n v="0"/>
    <n v="4"/>
    <n v="47.8"/>
    <n v="0"/>
    <n v="0"/>
    <n v="7.17"/>
    <n v="0"/>
    <n v="25"/>
    <n v="306.15"/>
    <n v="14.57"/>
    <n v="291.58"/>
    <n v="1"/>
  </r>
  <r>
    <s v="2021-06-14"/>
    <s v="Vancouver"/>
    <s v="加拿大二店"/>
    <x v="4"/>
    <x v="9"/>
    <x v="58"/>
    <x v="0"/>
    <x v="60"/>
    <s v="拼锅"/>
    <n v="8.95"/>
    <s v="锅"/>
    <n v="14"/>
    <n v="125.3"/>
    <n v="0"/>
    <n v="0"/>
    <n v="0"/>
    <n v="0"/>
    <n v="2"/>
    <n v="17.9"/>
    <n v="0"/>
    <n v="0.01"/>
    <n v="5.37"/>
    <n v="0"/>
    <n v="12"/>
    <n v="107.12"/>
    <n v="5.1"/>
    <n v="102.02"/>
    <n v="2"/>
  </r>
  <r>
    <s v="2021-06-14"/>
    <s v="Vancouver"/>
    <s v="加拿大二店"/>
    <x v="4"/>
    <x v="10"/>
    <x v="58"/>
    <x v="0"/>
    <x v="60"/>
    <s v="四宫格"/>
    <n v="4.95"/>
    <s v="锅"/>
    <n v="6"/>
    <n v="29.7"/>
    <n v="0"/>
    <n v="0"/>
    <n v="0"/>
    <n v="0"/>
    <n v="0"/>
    <n v="0"/>
    <n v="0"/>
    <n v="0"/>
    <n v="0.99"/>
    <n v="0"/>
    <n v="6"/>
    <n v="30.14"/>
    <n v="1.43"/>
    <n v="28.71"/>
    <n v="1"/>
  </r>
  <r>
    <s v="2021-06-14"/>
    <s v="Vancouver"/>
    <s v="加拿大二店"/>
    <x v="3"/>
    <x v="5"/>
    <x v="59"/>
    <x v="58"/>
    <x v="61"/>
    <s v="整份"/>
    <n v="4.95"/>
    <s v="份"/>
    <n v="11"/>
    <n v="54.45"/>
    <n v="1"/>
    <n v="4.95"/>
    <n v="0"/>
    <n v="0"/>
    <n v="0"/>
    <n v="0"/>
    <n v="0"/>
    <n v="0"/>
    <n v="2.96"/>
    <n v="0"/>
    <n v="10"/>
    <n v="48.86"/>
    <n v="2.32"/>
    <n v="46.54"/>
    <n v="1"/>
  </r>
  <r>
    <s v="2021-06-14"/>
    <s v="Vancouver"/>
    <s v="加拿大二店"/>
    <x v="6"/>
    <x v="13"/>
    <x v="61"/>
    <x v="60"/>
    <x v="63"/>
    <s v="整份"/>
    <n v="3.95"/>
    <s v="包"/>
    <n v="18"/>
    <n v="71.1"/>
    <n v="2"/>
    <n v="7.9"/>
    <n v="0"/>
    <n v="0"/>
    <n v="0"/>
    <n v="0"/>
    <n v="0"/>
    <n v="0"/>
    <n v="1.46"/>
    <n v="0"/>
    <n v="16"/>
    <n v="64.82"/>
    <n v="3.08"/>
    <n v="61.74"/>
    <n v="1"/>
  </r>
  <r>
    <s v="2021-06-14"/>
    <s v="Vancouver"/>
    <s v="加拿大二店"/>
    <x v="1"/>
    <x v="8"/>
    <x v="116"/>
    <x v="110"/>
    <x v="120"/>
    <s v="个"/>
    <n v="0.95"/>
    <s v="个"/>
    <n v="4"/>
    <n v="3.8"/>
    <n v="0"/>
    <n v="0"/>
    <n v="0"/>
    <n v="0"/>
    <n v="0"/>
    <n v="0"/>
    <n v="0"/>
    <n v="0"/>
    <n v="0"/>
    <n v="0"/>
    <n v="4"/>
    <n v="3.99"/>
    <n v="0.19"/>
    <n v="3.8"/>
    <n v="1"/>
  </r>
  <r>
    <s v="2021-06-14"/>
    <s v="Vancouver"/>
    <s v="加拿大二店"/>
    <x v="4"/>
    <x v="9"/>
    <x v="62"/>
    <x v="0"/>
    <x v="64"/>
    <s v="拼锅"/>
    <n v="8.95"/>
    <s v="锅"/>
    <n v="14"/>
    <n v="125.3"/>
    <n v="0"/>
    <n v="0"/>
    <n v="0"/>
    <n v="0"/>
    <n v="2"/>
    <n v="17.9"/>
    <n v="0"/>
    <n v="-0.01"/>
    <n v="1.79"/>
    <n v="0"/>
    <n v="12"/>
    <n v="110.9"/>
    <n v="5.28"/>
    <n v="105.62"/>
    <n v="2"/>
  </r>
  <r>
    <s v="2021-06-14"/>
    <s v="Vancouver"/>
    <s v="加拿大二店"/>
    <x v="4"/>
    <x v="10"/>
    <x v="62"/>
    <x v="0"/>
    <x v="64"/>
    <s v="四宫格"/>
    <n v="4.95"/>
    <s v="锅"/>
    <n v="15"/>
    <n v="74.25"/>
    <n v="0"/>
    <n v="0"/>
    <n v="0"/>
    <n v="0"/>
    <n v="0"/>
    <n v="0"/>
    <n v="0"/>
    <n v="0"/>
    <n v="1.98"/>
    <n v="0"/>
    <n v="15"/>
    <n v="75.88"/>
    <n v="3.61"/>
    <n v="72.27"/>
    <n v="1"/>
  </r>
  <r>
    <s v="2021-06-14"/>
    <s v="Vancouver"/>
    <s v="加拿大二店"/>
    <x v="6"/>
    <x v="13"/>
    <x v="63"/>
    <x v="61"/>
    <x v="65"/>
    <s v="整份"/>
    <n v="1.5"/>
    <s v="碗"/>
    <n v="5"/>
    <n v="7.5"/>
    <n v="0"/>
    <n v="0"/>
    <n v="0"/>
    <n v="0"/>
    <n v="0"/>
    <n v="0"/>
    <n v="0"/>
    <n v="0"/>
    <n v="0"/>
    <n v="0"/>
    <n v="5"/>
    <n v="7.87"/>
    <n v="0.37"/>
    <n v="7.5"/>
    <n v="1"/>
  </r>
  <r>
    <s v="2021-06-14"/>
    <s v="Vancouver"/>
    <s v="加拿大二店"/>
    <x v="3"/>
    <x v="5"/>
    <x v="64"/>
    <x v="62"/>
    <x v="66"/>
    <s v="整份"/>
    <n v="3.95"/>
    <s v="份"/>
    <n v="2"/>
    <n v="7.9"/>
    <n v="0"/>
    <n v="0"/>
    <n v="0"/>
    <n v="0"/>
    <n v="0"/>
    <n v="0"/>
    <n v="0"/>
    <n v="0"/>
    <n v="1.18"/>
    <n v="0"/>
    <n v="2"/>
    <n v="7.05"/>
    <n v="0.33"/>
    <n v="6.72"/>
    <n v="1"/>
  </r>
  <r>
    <s v="2021-06-14"/>
    <s v="Vancouver"/>
    <s v="加拿大二店"/>
    <x v="2"/>
    <x v="4"/>
    <x v="65"/>
    <x v="63"/>
    <x v="67"/>
    <s v="扎"/>
    <n v="8.95"/>
    <s v="扎"/>
    <n v="4"/>
    <n v="35.8"/>
    <n v="0"/>
    <n v="0"/>
    <n v="0"/>
    <n v="0"/>
    <n v="2"/>
    <n v="17.9"/>
    <n v="0"/>
    <n v="0"/>
    <n v="0"/>
    <n v="0"/>
    <n v="2"/>
    <n v="20.04"/>
    <n v="2.14"/>
    <n v="17.9"/>
    <n v="1"/>
  </r>
  <r>
    <s v="2021-06-14"/>
    <s v="Vancouver"/>
    <s v="加拿大二店"/>
    <x v="2"/>
    <x v="4"/>
    <x v="66"/>
    <x v="64"/>
    <x v="68"/>
    <s v="扎"/>
    <n v="11.95"/>
    <s v="扎"/>
    <n v="4"/>
    <n v="47.8"/>
    <n v="0"/>
    <n v="0"/>
    <n v="0"/>
    <n v="0"/>
    <n v="1"/>
    <n v="11.95"/>
    <n v="0"/>
    <n v="0.03"/>
    <n v="2.39"/>
    <n v="0"/>
    <n v="3"/>
    <n v="37.44"/>
    <n v="4.01"/>
    <n v="33.43"/>
    <n v="1"/>
  </r>
  <r>
    <s v="2021-06-14"/>
    <s v="Vancouver"/>
    <s v="加拿大二店"/>
    <x v="3"/>
    <x v="5"/>
    <x v="134"/>
    <x v="128"/>
    <x v="139"/>
    <s v="整份"/>
    <n v="13.95"/>
    <s v="份"/>
    <n v="7"/>
    <n v="97.65"/>
    <n v="0"/>
    <n v="0"/>
    <n v="0"/>
    <n v="0"/>
    <n v="0"/>
    <n v="0"/>
    <n v="0"/>
    <n v="0.03"/>
    <n v="0"/>
    <n v="0"/>
    <n v="7"/>
    <n v="102.5"/>
    <n v="4.88"/>
    <n v="97.62"/>
    <n v="1"/>
  </r>
  <r>
    <s v="2021-06-14"/>
    <s v="Vancouver"/>
    <s v="加拿大二店"/>
    <x v="3"/>
    <x v="5"/>
    <x v="117"/>
    <x v="111"/>
    <x v="121"/>
    <s v="整份"/>
    <n v="4.95"/>
    <s v="份"/>
    <n v="5"/>
    <n v="24.75"/>
    <n v="0"/>
    <n v="0"/>
    <n v="0"/>
    <n v="0"/>
    <n v="1"/>
    <n v="4.95"/>
    <n v="0"/>
    <n v="0"/>
    <n v="0.25"/>
    <n v="0"/>
    <n v="4"/>
    <n v="20.52"/>
    <n v="0.97"/>
    <n v="19.55"/>
    <n v="1"/>
  </r>
  <r>
    <s v="2021-06-14"/>
    <s v="Vancouver"/>
    <s v="加拿大二店"/>
    <x v="3"/>
    <x v="7"/>
    <x v="67"/>
    <x v="65"/>
    <x v="69"/>
    <s v="整份"/>
    <n v="3.95"/>
    <s v="份"/>
    <n v="2"/>
    <n v="7.9"/>
    <n v="0"/>
    <n v="0"/>
    <n v="0"/>
    <n v="0"/>
    <n v="1"/>
    <n v="3.95"/>
    <n v="0"/>
    <n v="0"/>
    <n v="0"/>
    <n v="0"/>
    <n v="1"/>
    <n v="4.14"/>
    <n v="0.19"/>
    <n v="3.95"/>
    <n v="1"/>
  </r>
  <r>
    <s v="2021-06-14"/>
    <s v="Vancouver"/>
    <s v="加拿大二店"/>
    <x v="1"/>
    <x v="1"/>
    <x v="68"/>
    <x v="66"/>
    <x v="70"/>
    <s v="整份"/>
    <n v="8.95"/>
    <s v="份"/>
    <n v="44"/>
    <n v="393.8"/>
    <n v="0"/>
    <n v="0"/>
    <n v="0"/>
    <n v="0"/>
    <n v="6"/>
    <n v="53.7"/>
    <n v="0"/>
    <n v="0"/>
    <n v="9.84"/>
    <n v="0"/>
    <n v="38"/>
    <n v="346.77"/>
    <n v="16.51"/>
    <n v="330.26"/>
    <n v="1"/>
  </r>
  <r>
    <s v="2021-06-14"/>
    <s v="Vancouver"/>
    <s v="加拿大二店"/>
    <x v="1"/>
    <x v="1"/>
    <x v="69"/>
    <x v="67"/>
    <x v="71"/>
    <s v="整份"/>
    <n v="8.95"/>
    <s v="份"/>
    <n v="2"/>
    <n v="17.9"/>
    <n v="0"/>
    <n v="0"/>
    <n v="0"/>
    <n v="0"/>
    <n v="0"/>
    <n v="0"/>
    <n v="0"/>
    <n v="0"/>
    <n v="1.79"/>
    <n v="0"/>
    <n v="2"/>
    <n v="16.91"/>
    <n v="0.8"/>
    <n v="16.11"/>
    <n v="1"/>
  </r>
  <r>
    <s v="2021-06-14"/>
    <s v="Vancouver"/>
    <s v="加拿大二店"/>
    <x v="6"/>
    <x v="15"/>
    <x v="70"/>
    <x v="68"/>
    <x v="72"/>
    <s v="整份"/>
    <n v="1.5"/>
    <s v="份"/>
    <n v="6"/>
    <n v="9"/>
    <n v="0"/>
    <n v="0"/>
    <n v="0"/>
    <n v="0"/>
    <n v="0"/>
    <n v="0"/>
    <n v="0"/>
    <n v="0"/>
    <n v="0"/>
    <n v="0"/>
    <n v="6"/>
    <n v="9.45"/>
    <n v="0.45"/>
    <n v="9"/>
    <n v="1"/>
  </r>
  <r>
    <s v="2021-06-14"/>
    <s v="Vancouver"/>
    <s v="加拿大二店"/>
    <x v="4"/>
    <x v="9"/>
    <x v="71"/>
    <x v="0"/>
    <x v="73"/>
    <s v="拼锅"/>
    <n v="18.95"/>
    <s v="锅"/>
    <n v="10"/>
    <n v="189.5"/>
    <n v="0"/>
    <n v="0"/>
    <n v="0"/>
    <n v="0"/>
    <n v="0"/>
    <n v="0"/>
    <n v="0"/>
    <n v="0.01"/>
    <n v="15.16"/>
    <n v="0"/>
    <n v="10"/>
    <n v="183.04"/>
    <n v="8.71"/>
    <n v="174.33"/>
    <n v="2"/>
  </r>
  <r>
    <s v="2021-06-14"/>
    <s v="Vancouver"/>
    <s v="加拿大二店"/>
    <x v="4"/>
    <x v="10"/>
    <x v="71"/>
    <x v="0"/>
    <x v="73"/>
    <s v="四宫格"/>
    <n v="9.95"/>
    <s v="锅"/>
    <n v="6"/>
    <n v="59.7"/>
    <n v="0"/>
    <n v="0"/>
    <n v="0"/>
    <n v="0"/>
    <n v="0"/>
    <n v="0"/>
    <n v="0"/>
    <n v="-0.01"/>
    <n v="0"/>
    <n v="0"/>
    <n v="6"/>
    <n v="62.69"/>
    <n v="2.98"/>
    <n v="59.71"/>
    <n v="1"/>
  </r>
  <r>
    <s v="2021-06-14"/>
    <s v="Vancouver"/>
    <s v="加拿大二店"/>
    <x v="1"/>
    <x v="8"/>
    <x v="72"/>
    <x v="69"/>
    <x v="74"/>
    <s v="个"/>
    <n v="7.95"/>
    <s v="份"/>
    <n v="7"/>
    <n v="55.65"/>
    <n v="0"/>
    <n v="0"/>
    <n v="0"/>
    <n v="0"/>
    <n v="0"/>
    <n v="0"/>
    <n v="0"/>
    <n v="0"/>
    <n v="1.59"/>
    <n v="0"/>
    <n v="7"/>
    <n v="56.76"/>
    <n v="2.7"/>
    <n v="54.06"/>
    <n v="1"/>
  </r>
  <r>
    <s v="2021-06-14"/>
    <s v="Vancouver"/>
    <s v="加拿大二店"/>
    <x v="6"/>
    <x v="13"/>
    <x v="73"/>
    <x v="70"/>
    <x v="75"/>
    <s v="份"/>
    <n v="6.95"/>
    <s v="份"/>
    <n v="6"/>
    <n v="41.7"/>
    <n v="0"/>
    <n v="0"/>
    <n v="0"/>
    <n v="0"/>
    <n v="4"/>
    <n v="27.8"/>
    <n v="0"/>
    <n v="0.02"/>
    <n v="1.39"/>
    <n v="0"/>
    <n v="2"/>
    <n v="13.11"/>
    <n v="0.62"/>
    <n v="12.49"/>
    <n v="1"/>
  </r>
  <r>
    <s v="2021-06-14"/>
    <s v="Vancouver"/>
    <s v="加拿大二店"/>
    <x v="4"/>
    <x v="9"/>
    <x v="74"/>
    <x v="0"/>
    <x v="76"/>
    <s v="拼锅"/>
    <n v="18.95"/>
    <s v="锅"/>
    <n v="2"/>
    <n v="37.9"/>
    <n v="0"/>
    <n v="0"/>
    <n v="0"/>
    <n v="0"/>
    <n v="1"/>
    <n v="18.95"/>
    <n v="0"/>
    <n v="0"/>
    <n v="0"/>
    <n v="0"/>
    <n v="1"/>
    <n v="19.89"/>
    <n v="0.94"/>
    <n v="18.95"/>
    <n v="2"/>
  </r>
  <r>
    <s v="2021-06-14"/>
    <s v="Vancouver"/>
    <s v="加拿大二店"/>
    <x v="4"/>
    <x v="10"/>
    <x v="74"/>
    <x v="0"/>
    <x v="76"/>
    <s v="四宫格"/>
    <n v="9.95"/>
    <s v="锅"/>
    <n v="4"/>
    <n v="39.8"/>
    <n v="0"/>
    <n v="0"/>
    <n v="0"/>
    <n v="0"/>
    <n v="0"/>
    <n v="0"/>
    <n v="0"/>
    <n v="0"/>
    <n v="4.97"/>
    <n v="0"/>
    <n v="4"/>
    <n v="36.57"/>
    <n v="1.74"/>
    <n v="34.83"/>
    <n v="1"/>
  </r>
  <r>
    <s v="2021-06-14"/>
    <s v="Vancouver"/>
    <s v="加拿大二店"/>
    <x v="1"/>
    <x v="6"/>
    <x v="118"/>
    <x v="112"/>
    <x v="122"/>
    <s v="整份"/>
    <n v="28.95"/>
    <s v="份"/>
    <n v="2"/>
    <n v="57.9"/>
    <n v="0"/>
    <n v="0"/>
    <n v="0"/>
    <n v="0"/>
    <n v="0"/>
    <n v="0"/>
    <n v="0"/>
    <n v="-0.01"/>
    <n v="8.68"/>
    <n v="0"/>
    <n v="2"/>
    <n v="51.69"/>
    <n v="2.46"/>
    <n v="49.23"/>
    <n v="1"/>
  </r>
  <r>
    <s v="2021-06-14"/>
    <s v="Vancouver"/>
    <s v="加拿大二店"/>
    <x v="8"/>
    <x v="17"/>
    <x v="75"/>
    <x v="71"/>
    <x v="77"/>
    <s v="整份"/>
    <n v="3.99"/>
    <s v="位"/>
    <n v="127"/>
    <n v="506.73"/>
    <n v="3"/>
    <n v="11.97"/>
    <n v="0"/>
    <n v="0"/>
    <n v="8"/>
    <n v="31.92"/>
    <n v="0"/>
    <n v="0"/>
    <n v="4.8"/>
    <n v="0"/>
    <n v="116"/>
    <n v="480.94"/>
    <n v="22.9"/>
    <n v="458.04"/>
    <n v="1"/>
  </r>
  <r>
    <s v="2021-06-14"/>
    <s v="Vancouver"/>
    <s v="加拿大二店"/>
    <x v="3"/>
    <x v="5"/>
    <x v="76"/>
    <x v="72"/>
    <x v="78"/>
    <s v="整份"/>
    <n v="3.95"/>
    <s v="份"/>
    <n v="1"/>
    <n v="3.95"/>
    <n v="0"/>
    <n v="0"/>
    <n v="0"/>
    <n v="0"/>
    <n v="0"/>
    <n v="0"/>
    <n v="0"/>
    <n v="0"/>
    <n v="0"/>
    <n v="0"/>
    <n v="1"/>
    <n v="4.14"/>
    <n v="0.19"/>
    <n v="3.95"/>
    <n v="1"/>
  </r>
  <r>
    <s v="2021-06-14"/>
    <s v="Vancouver"/>
    <s v="加拿大二店"/>
    <x v="1"/>
    <x v="3"/>
    <x v="77"/>
    <x v="73"/>
    <x v="79"/>
    <s v="整份"/>
    <n v="5.95"/>
    <s v="份"/>
    <n v="8"/>
    <n v="47.6"/>
    <n v="0"/>
    <n v="0"/>
    <n v="0"/>
    <n v="0"/>
    <n v="4"/>
    <n v="23.8"/>
    <n v="0"/>
    <n v="0"/>
    <n v="1.79"/>
    <n v="0"/>
    <n v="4"/>
    <n v="23.11"/>
    <n v="1.1"/>
    <n v="22.01"/>
    <n v="1"/>
  </r>
  <r>
    <s v="2021-06-14"/>
    <s v="Vancouver"/>
    <s v="加拿大二店"/>
    <x v="3"/>
    <x v="11"/>
    <x v="78"/>
    <x v="74"/>
    <x v="80"/>
    <s v="整份"/>
    <n v="5.95"/>
    <s v="份"/>
    <n v="4"/>
    <n v="23.8"/>
    <n v="0"/>
    <n v="0"/>
    <n v="0"/>
    <n v="0"/>
    <n v="0"/>
    <n v="0"/>
    <n v="0"/>
    <n v="0"/>
    <n v="1.19"/>
    <n v="0"/>
    <n v="4"/>
    <n v="23.74"/>
    <n v="1.13"/>
    <n v="22.61"/>
    <n v="1"/>
  </r>
  <r>
    <s v="2021-06-14"/>
    <s v="Vancouver"/>
    <s v="加拿大二店"/>
    <x v="3"/>
    <x v="11"/>
    <x v="78"/>
    <x v="75"/>
    <x v="81"/>
    <s v="半份"/>
    <n v="2.95"/>
    <s v="份"/>
    <n v="6"/>
    <n v="17.7"/>
    <n v="0"/>
    <n v="0"/>
    <n v="0"/>
    <n v="0"/>
    <n v="0"/>
    <n v="0"/>
    <n v="0"/>
    <n v="0"/>
    <n v="0"/>
    <n v="0"/>
    <n v="6"/>
    <n v="18.58"/>
    <n v="0.88"/>
    <n v="17.7"/>
    <n v="0.5"/>
  </r>
  <r>
    <s v="2021-06-14"/>
    <s v="Vancouver"/>
    <s v="加拿大二店"/>
    <x v="3"/>
    <x v="5"/>
    <x v="79"/>
    <x v="76"/>
    <x v="82"/>
    <s v="整份"/>
    <n v="3.95"/>
    <s v="份"/>
    <n v="9"/>
    <n v="35.55"/>
    <n v="0"/>
    <n v="0"/>
    <n v="0"/>
    <n v="0"/>
    <n v="0"/>
    <n v="0"/>
    <n v="0"/>
    <n v="0"/>
    <n v="2.44"/>
    <n v="0"/>
    <n v="9"/>
    <n v="34.76"/>
    <n v="1.65"/>
    <n v="33.11"/>
    <n v="1"/>
  </r>
  <r>
    <s v="2021-06-14"/>
    <s v="Vancouver"/>
    <s v="加拿大二店"/>
    <x v="3"/>
    <x v="5"/>
    <x v="80"/>
    <x v="77"/>
    <x v="83"/>
    <s v="整份"/>
    <n v="5.95"/>
    <s v="份"/>
    <n v="11"/>
    <n v="65.45"/>
    <n v="1"/>
    <n v="5.95"/>
    <n v="0"/>
    <n v="0"/>
    <n v="0"/>
    <n v="0"/>
    <n v="0"/>
    <n v="-0.01"/>
    <n v="1.19"/>
    <n v="0"/>
    <n v="10"/>
    <n v="61.23"/>
    <n v="2.91"/>
    <n v="58.32"/>
    <n v="1"/>
  </r>
  <r>
    <s v="2021-06-14"/>
    <s v="Vancouver"/>
    <s v="加拿大二店"/>
    <x v="4"/>
    <x v="9"/>
    <x v="81"/>
    <x v="0"/>
    <x v="84"/>
    <s v="拼锅"/>
    <n v="8.95"/>
    <s v="锅"/>
    <n v="3"/>
    <n v="26.85"/>
    <n v="0"/>
    <n v="0"/>
    <n v="0"/>
    <n v="0"/>
    <n v="1"/>
    <n v="8.95"/>
    <n v="0"/>
    <n v="0.02"/>
    <n v="0"/>
    <n v="0"/>
    <n v="2"/>
    <n v="18.77"/>
    <n v="0.89"/>
    <n v="17.88"/>
    <n v="2"/>
  </r>
  <r>
    <s v="2021-06-14"/>
    <s v="Vancouver"/>
    <s v="加拿大二店"/>
    <x v="4"/>
    <x v="10"/>
    <x v="81"/>
    <x v="0"/>
    <x v="84"/>
    <s v="四宫格"/>
    <n v="4.95"/>
    <s v="锅"/>
    <n v="8"/>
    <n v="39.6"/>
    <n v="0"/>
    <n v="0"/>
    <n v="0"/>
    <n v="0"/>
    <n v="0"/>
    <n v="0"/>
    <n v="0"/>
    <n v="0"/>
    <n v="0"/>
    <n v="0"/>
    <n v="8"/>
    <n v="41.58"/>
    <n v="1.98"/>
    <n v="39.6"/>
    <n v="1"/>
  </r>
  <r>
    <s v="2021-06-14"/>
    <s v="Vancouver"/>
    <s v="加拿大二店"/>
    <x v="3"/>
    <x v="5"/>
    <x v="82"/>
    <x v="78"/>
    <x v="85"/>
    <s v="整份"/>
    <n v="12.95"/>
    <s v="份"/>
    <n v="20"/>
    <n v="259"/>
    <n v="1"/>
    <n v="12.95"/>
    <n v="0"/>
    <n v="0"/>
    <n v="0"/>
    <n v="0"/>
    <n v="0"/>
    <n v="0"/>
    <n v="9.81"/>
    <n v="0"/>
    <n v="19"/>
    <n v="248.05"/>
    <n v="11.81"/>
    <n v="236.24"/>
    <n v="1"/>
  </r>
  <r>
    <s v="2021-06-14"/>
    <s v="Vancouver"/>
    <s v="加拿大二店"/>
    <x v="3"/>
    <x v="11"/>
    <x v="83"/>
    <x v="79"/>
    <x v="86"/>
    <s v="整份"/>
    <n v="5.95"/>
    <s v="份"/>
    <n v="4"/>
    <n v="23.8"/>
    <n v="0"/>
    <n v="0"/>
    <n v="0"/>
    <n v="0"/>
    <n v="1"/>
    <n v="5.95"/>
    <n v="0"/>
    <n v="0"/>
    <n v="0"/>
    <n v="0"/>
    <n v="3"/>
    <n v="18.74"/>
    <n v="0.89"/>
    <n v="17.85"/>
    <n v="1"/>
  </r>
  <r>
    <s v="2021-06-14"/>
    <s v="Vancouver"/>
    <s v="加拿大二店"/>
    <x v="3"/>
    <x v="11"/>
    <x v="83"/>
    <x v="80"/>
    <x v="87"/>
    <s v="半份"/>
    <n v="2.95"/>
    <s v="份"/>
    <n v="3"/>
    <n v="8.85"/>
    <n v="0"/>
    <n v="0"/>
    <n v="0"/>
    <n v="0"/>
    <n v="0"/>
    <n v="0"/>
    <n v="0"/>
    <n v="0"/>
    <n v="0.59"/>
    <n v="0"/>
    <n v="3"/>
    <n v="8.67"/>
    <n v="0.41"/>
    <n v="8.26"/>
    <n v="0.5"/>
  </r>
  <r>
    <s v="2021-06-14"/>
    <s v="Vancouver"/>
    <s v="加拿大二店"/>
    <x v="3"/>
    <x v="11"/>
    <x v="84"/>
    <x v="81"/>
    <x v="88"/>
    <s v="整份"/>
    <n v="11.95"/>
    <s v="份"/>
    <n v="8"/>
    <n v="95.6"/>
    <n v="1"/>
    <n v="11.95"/>
    <n v="0"/>
    <n v="0"/>
    <n v="0"/>
    <n v="0"/>
    <n v="0"/>
    <n v="0"/>
    <n v="0"/>
    <n v="0"/>
    <n v="7"/>
    <n v="87.83"/>
    <n v="4.18"/>
    <n v="83.65"/>
    <n v="1"/>
  </r>
  <r>
    <s v="2021-06-14"/>
    <s v="Vancouver"/>
    <s v="加拿大二店"/>
    <x v="1"/>
    <x v="3"/>
    <x v="85"/>
    <x v="82"/>
    <x v="89"/>
    <s v="整份"/>
    <n v="6.95"/>
    <s v="份"/>
    <n v="4"/>
    <n v="27.8"/>
    <n v="0"/>
    <n v="0"/>
    <n v="0"/>
    <n v="0"/>
    <n v="0"/>
    <n v="0"/>
    <n v="0"/>
    <n v="0"/>
    <n v="1.39"/>
    <n v="0"/>
    <n v="4"/>
    <n v="27.73"/>
    <n v="1.32"/>
    <n v="26.41"/>
    <n v="1"/>
  </r>
  <r>
    <s v="2021-06-14"/>
    <s v="Vancouver"/>
    <s v="加拿大二店"/>
    <x v="6"/>
    <x v="13"/>
    <x v="86"/>
    <x v="83"/>
    <x v="90"/>
    <s v="碗"/>
    <n v="2.95"/>
    <s v="碗"/>
    <n v="10"/>
    <n v="29.5"/>
    <n v="0"/>
    <n v="0"/>
    <n v="0"/>
    <n v="0"/>
    <n v="1"/>
    <n v="2.95"/>
    <n v="0"/>
    <n v="0"/>
    <n v="0"/>
    <n v="0"/>
    <n v="9"/>
    <n v="27.87"/>
    <n v="1.32"/>
    <n v="26.55"/>
    <n v="1"/>
  </r>
  <r>
    <s v="2021-06-14"/>
    <s v="Vancouver"/>
    <s v="加拿大二店"/>
    <x v="2"/>
    <x v="4"/>
    <x v="87"/>
    <x v="84"/>
    <x v="91"/>
    <s v="冰镇"/>
    <n v="2.95"/>
    <s v="扎"/>
    <n v="4"/>
    <n v="11.8"/>
    <n v="0"/>
    <n v="0"/>
    <n v="0"/>
    <n v="0"/>
    <n v="0"/>
    <n v="0"/>
    <n v="0"/>
    <n v="0"/>
    <n v="0.59"/>
    <n v="0"/>
    <n v="4"/>
    <n v="12.55"/>
    <n v="1.34"/>
    <n v="11.21"/>
    <n v="1"/>
  </r>
  <r>
    <s v="2021-06-14"/>
    <s v="Vancouver"/>
    <s v="加拿大二店"/>
    <x v="1"/>
    <x v="8"/>
    <x v="88"/>
    <x v="85"/>
    <x v="92"/>
    <s v="整份"/>
    <n v="7.95"/>
    <s v="份"/>
    <n v="5"/>
    <n v="39.75"/>
    <n v="0"/>
    <n v="0"/>
    <n v="0"/>
    <n v="0"/>
    <n v="0"/>
    <n v="0"/>
    <n v="0"/>
    <n v="0"/>
    <n v="4.77"/>
    <n v="0"/>
    <n v="5"/>
    <n v="36.72"/>
    <n v="1.74"/>
    <n v="34.98"/>
    <n v="1"/>
  </r>
  <r>
    <s v="2021-06-14"/>
    <s v="Vancouver"/>
    <s v="加拿大二店"/>
    <x v="1"/>
    <x v="8"/>
    <x v="89"/>
    <x v="86"/>
    <x v="93"/>
    <s v="整份"/>
    <n v="4.95"/>
    <s v="份"/>
    <n v="16"/>
    <n v="79.2"/>
    <n v="0"/>
    <n v="0"/>
    <n v="0"/>
    <n v="0"/>
    <n v="0"/>
    <n v="0"/>
    <n v="0"/>
    <n v="0"/>
    <n v="5.94"/>
    <n v="0"/>
    <n v="16"/>
    <n v="76.92"/>
    <n v="3.66"/>
    <n v="73.26"/>
    <n v="1"/>
  </r>
  <r>
    <s v="2021-06-14"/>
    <s v="Vancouver"/>
    <s v="加拿大二店"/>
    <x v="3"/>
    <x v="7"/>
    <x v="90"/>
    <x v="87"/>
    <x v="94"/>
    <s v="整份"/>
    <n v="4.95"/>
    <s v="份"/>
    <n v="14"/>
    <n v="69.3"/>
    <n v="0"/>
    <n v="0"/>
    <n v="0"/>
    <n v="0"/>
    <n v="5"/>
    <n v="24.75"/>
    <n v="0"/>
    <n v="0"/>
    <n v="3.71"/>
    <n v="0"/>
    <n v="9"/>
    <n v="42.88"/>
    <n v="2.04"/>
    <n v="40.84"/>
    <n v="1"/>
  </r>
  <r>
    <s v="2021-06-14"/>
    <s v="Vancouver"/>
    <s v="加拿大二店"/>
    <x v="1"/>
    <x v="6"/>
    <x v="119"/>
    <x v="113"/>
    <x v="123"/>
    <s v="整份"/>
    <n v="137.9"/>
    <s v="磅"/>
    <n v="1"/>
    <n v="137.9"/>
    <n v="0"/>
    <n v="0"/>
    <n v="0"/>
    <n v="0"/>
    <n v="0"/>
    <n v="0"/>
    <n v="0"/>
    <n v="0"/>
    <n v="16.55"/>
    <n v="0"/>
    <n v="1"/>
    <n v="127.41"/>
    <n v="6.06"/>
    <n v="121.35"/>
    <n v="1"/>
  </r>
  <r>
    <s v="2021-06-14"/>
    <s v="Vancouver"/>
    <s v="加拿大二店"/>
    <x v="6"/>
    <x v="18"/>
    <x v="91"/>
    <x v="88"/>
    <x v="95"/>
    <s v="整份"/>
    <n v="2.95"/>
    <s v="份"/>
    <n v="1"/>
    <n v="2.95"/>
    <n v="0"/>
    <n v="0"/>
    <n v="0"/>
    <n v="0"/>
    <n v="0"/>
    <n v="0"/>
    <n v="0"/>
    <n v="0"/>
    <n v="0"/>
    <n v="0"/>
    <n v="1"/>
    <n v="3.09"/>
    <n v="0.14"/>
    <n v="2.95"/>
    <n v="1"/>
  </r>
  <r>
    <s v="2021-06-14"/>
    <s v="Vancouver"/>
    <s v="加拿大二店"/>
    <x v="4"/>
    <x v="9"/>
    <x v="92"/>
    <x v="0"/>
    <x v="96"/>
    <s v="拼锅"/>
    <n v="8.95"/>
    <s v="锅"/>
    <n v="2"/>
    <n v="17.9"/>
    <n v="0"/>
    <n v="0"/>
    <n v="0"/>
    <n v="0"/>
    <n v="0"/>
    <n v="0"/>
    <n v="0"/>
    <n v="0.02"/>
    <n v="0"/>
    <n v="0"/>
    <n v="2"/>
    <n v="18.77"/>
    <n v="0.89"/>
    <n v="17.88"/>
    <n v="2"/>
  </r>
  <r>
    <s v="2021-06-14"/>
    <s v="Vancouver"/>
    <s v="加拿大二店"/>
    <x v="4"/>
    <x v="10"/>
    <x v="92"/>
    <x v="0"/>
    <x v="96"/>
    <s v="四宫格"/>
    <n v="4.95"/>
    <s v="锅"/>
    <n v="2"/>
    <n v="9.9"/>
    <n v="0"/>
    <n v="0"/>
    <n v="0"/>
    <n v="0"/>
    <n v="0"/>
    <n v="0"/>
    <n v="0"/>
    <n v="-0.01"/>
    <n v="0.99"/>
    <n v="0"/>
    <n v="2"/>
    <n v="9.36"/>
    <n v="0.44"/>
    <n v="8.92"/>
    <n v="1"/>
  </r>
  <r>
    <s v="2021-06-14"/>
    <s v="Vancouver"/>
    <s v="加拿大二店"/>
    <x v="3"/>
    <x v="5"/>
    <x v="93"/>
    <x v="89"/>
    <x v="97"/>
    <s v="整份"/>
    <n v="5.95"/>
    <s v="份"/>
    <n v="5"/>
    <n v="29.75"/>
    <n v="0"/>
    <n v="0"/>
    <n v="0"/>
    <n v="0"/>
    <n v="3"/>
    <n v="17.85"/>
    <n v="0"/>
    <n v="0"/>
    <n v="0"/>
    <n v="0"/>
    <n v="2"/>
    <n v="12.49"/>
    <n v="0.59"/>
    <n v="11.9"/>
    <n v="1"/>
  </r>
  <r>
    <s v="2021-06-14"/>
    <s v="Vancouver"/>
    <s v="加拿大二店"/>
    <x v="6"/>
    <x v="13"/>
    <x v="94"/>
    <x v="90"/>
    <x v="98"/>
    <s v="整份"/>
    <n v="4.95"/>
    <s v="份"/>
    <n v="11"/>
    <n v="54.45"/>
    <n v="0"/>
    <n v="0"/>
    <n v="0"/>
    <n v="0"/>
    <n v="1"/>
    <n v="4.95"/>
    <n v="0"/>
    <n v="0"/>
    <n v="1.98"/>
    <n v="0"/>
    <n v="10"/>
    <n v="49.89"/>
    <n v="2.37"/>
    <n v="47.52"/>
    <n v="1"/>
  </r>
  <r>
    <s v="2021-06-14"/>
    <s v="Vancouver"/>
    <s v="加拿大二店"/>
    <x v="2"/>
    <x v="4"/>
    <x v="95"/>
    <x v="91"/>
    <x v="99"/>
    <s v="冰镇"/>
    <n v="2.45"/>
    <s v="听"/>
    <n v="3"/>
    <n v="7.35"/>
    <n v="0"/>
    <n v="0"/>
    <n v="0"/>
    <n v="0"/>
    <n v="0"/>
    <n v="0"/>
    <n v="0"/>
    <n v="0"/>
    <n v="0.98"/>
    <n v="0"/>
    <n v="3"/>
    <n v="7.13"/>
    <n v="0.76"/>
    <n v="6.37"/>
    <n v="1"/>
  </r>
  <r>
    <s v="2021-06-14"/>
    <s v="Vancouver"/>
    <s v="加拿大二店"/>
    <x v="1"/>
    <x v="1"/>
    <x v="96"/>
    <x v="92"/>
    <x v="100"/>
    <s v="整份"/>
    <n v="49.95"/>
    <s v="份"/>
    <n v="4"/>
    <n v="199.8"/>
    <n v="0"/>
    <n v="0"/>
    <n v="0"/>
    <n v="0"/>
    <n v="0"/>
    <n v="0"/>
    <n v="0"/>
    <n v="0"/>
    <n v="11.99"/>
    <n v="0"/>
    <n v="4"/>
    <n v="197.2"/>
    <n v="9.39"/>
    <n v="187.81"/>
    <n v="1"/>
  </r>
  <r>
    <s v="2021-06-14"/>
    <s v="Vancouver"/>
    <s v="加拿大二店"/>
    <x v="2"/>
    <x v="2"/>
    <x v="97"/>
    <x v="93"/>
    <x v="101"/>
    <s v="冰镇"/>
    <n v="5.95"/>
    <s v="听"/>
    <n v="13"/>
    <n v="77.35"/>
    <n v="1"/>
    <n v="5.95"/>
    <n v="0"/>
    <n v="0"/>
    <n v="0"/>
    <n v="0"/>
    <n v="0"/>
    <n v="0"/>
    <n v="0"/>
    <n v="0"/>
    <n v="12"/>
    <n v="82.11"/>
    <n v="10.71"/>
    <n v="71.4"/>
    <n v="1"/>
  </r>
  <r>
    <s v="2021-06-14"/>
    <s v="Vancouver"/>
    <s v="加拿大二店"/>
    <x v="6"/>
    <x v="13"/>
    <x v="98"/>
    <x v="94"/>
    <x v="102"/>
    <s v="整份"/>
    <n v="3.95"/>
    <s v="份"/>
    <n v="2"/>
    <n v="7.9"/>
    <n v="0"/>
    <n v="0"/>
    <n v="0"/>
    <n v="0"/>
    <n v="0"/>
    <n v="0"/>
    <n v="0"/>
    <n v="0"/>
    <n v="0.79"/>
    <n v="0"/>
    <n v="2"/>
    <n v="7.46"/>
    <n v="0.35"/>
    <n v="7.11"/>
    <n v="1"/>
  </r>
  <r>
    <s v="2021-06-14"/>
    <s v="Vancouver"/>
    <s v="加拿大二店"/>
    <x v="1"/>
    <x v="3"/>
    <x v="99"/>
    <x v="95"/>
    <x v="103"/>
    <s v="整份"/>
    <n v="5.95"/>
    <s v="份"/>
    <n v="3"/>
    <n v="17.85"/>
    <n v="0"/>
    <n v="0"/>
    <n v="0"/>
    <n v="0"/>
    <n v="0"/>
    <n v="0"/>
    <n v="0"/>
    <n v="0"/>
    <n v="1.19"/>
    <n v="0"/>
    <n v="3"/>
    <n v="17.49"/>
    <n v="0.83"/>
    <n v="16.66"/>
    <n v="1"/>
  </r>
  <r>
    <s v="2021-06-14"/>
    <s v="Vancouver"/>
    <s v="加拿大二店"/>
    <x v="1"/>
    <x v="3"/>
    <x v="100"/>
    <x v="96"/>
    <x v="104"/>
    <s v="整份"/>
    <n v="7.95"/>
    <s v="份"/>
    <n v="4"/>
    <n v="31.8"/>
    <n v="0"/>
    <n v="0"/>
    <n v="0"/>
    <n v="0"/>
    <n v="1"/>
    <n v="7.95"/>
    <n v="0"/>
    <n v="0"/>
    <n v="4.37"/>
    <n v="0"/>
    <n v="3"/>
    <n v="20.45"/>
    <n v="0.97"/>
    <n v="19.48"/>
    <n v="1"/>
  </r>
  <r>
    <s v="2021-06-14"/>
    <s v="Vancouver"/>
    <s v="加拿大二店"/>
    <x v="1"/>
    <x v="8"/>
    <x v="101"/>
    <x v="97"/>
    <x v="105"/>
    <s v="整份"/>
    <n v="5.95"/>
    <s v="份"/>
    <n v="9"/>
    <n v="53.55"/>
    <n v="1"/>
    <n v="5.95"/>
    <n v="0"/>
    <n v="0"/>
    <n v="0"/>
    <n v="0"/>
    <n v="0"/>
    <n v="0"/>
    <n v="1.19"/>
    <n v="0"/>
    <n v="8"/>
    <n v="48.73"/>
    <n v="2.32"/>
    <n v="46.41"/>
    <n v="1"/>
  </r>
  <r>
    <s v="2021-06-14"/>
    <s v="Vancouver"/>
    <s v="加拿大二店"/>
    <x v="1"/>
    <x v="6"/>
    <x v="102"/>
    <x v="98"/>
    <x v="106"/>
    <s v="整份"/>
    <n v="8.95"/>
    <s v="份"/>
    <n v="7"/>
    <n v="62.65"/>
    <n v="0"/>
    <n v="0"/>
    <n v="0"/>
    <n v="0"/>
    <n v="2"/>
    <n v="17.9"/>
    <n v="0"/>
    <n v="-0.01"/>
    <n v="8.94"/>
    <n v="0"/>
    <n v="5"/>
    <n v="37.61"/>
    <n v="1.79"/>
    <n v="35.82"/>
    <n v="1"/>
  </r>
  <r>
    <s v="2021-06-14"/>
    <s v="Vancouver"/>
    <s v="加拿大二店"/>
    <x v="3"/>
    <x v="7"/>
    <x v="103"/>
    <x v="99"/>
    <x v="107"/>
    <s v="整份"/>
    <n v="5.95"/>
    <s v="份"/>
    <n v="14"/>
    <n v="83.3"/>
    <n v="0"/>
    <n v="0"/>
    <n v="0"/>
    <n v="0"/>
    <n v="0"/>
    <n v="0"/>
    <n v="0"/>
    <n v="0"/>
    <n v="7.13"/>
    <n v="0"/>
    <n v="14"/>
    <n v="79.97"/>
    <n v="3.8"/>
    <n v="76.17"/>
    <n v="1"/>
  </r>
  <r>
    <s v="2021-06-14"/>
    <s v="Vancouver"/>
    <s v="加拿大二店"/>
    <x v="3"/>
    <x v="7"/>
    <x v="104"/>
    <x v="100"/>
    <x v="108"/>
    <s v="整份"/>
    <n v="3.95"/>
    <s v="份"/>
    <n v="7"/>
    <n v="27.65"/>
    <n v="1"/>
    <n v="3.95"/>
    <n v="0"/>
    <n v="0"/>
    <n v="0"/>
    <n v="0"/>
    <n v="0"/>
    <n v="0"/>
    <n v="0.79"/>
    <n v="0"/>
    <n v="6"/>
    <n v="24.05"/>
    <n v="1.14"/>
    <n v="22.91"/>
    <n v="1"/>
  </r>
  <r>
    <s v="2021-06-14"/>
    <s v="Vancouver"/>
    <s v="加拿大二店"/>
    <x v="1"/>
    <x v="8"/>
    <x v="105"/>
    <x v="101"/>
    <x v="109"/>
    <s v="整份"/>
    <n v="4.95"/>
    <s v="份"/>
    <n v="12"/>
    <n v="59.4"/>
    <n v="1"/>
    <n v="4.95"/>
    <n v="0"/>
    <n v="0"/>
    <n v="1"/>
    <n v="4.95"/>
    <n v="0"/>
    <n v="0"/>
    <n v="3.71"/>
    <n v="0"/>
    <n v="10"/>
    <n v="48.07"/>
    <n v="2.28"/>
    <n v="45.79"/>
    <n v="1"/>
  </r>
  <r>
    <s v="2021-06-14"/>
    <s v="Vancouver"/>
    <s v="加拿大二店"/>
    <x v="4"/>
    <x v="9"/>
    <x v="106"/>
    <x v="0"/>
    <x v="110"/>
    <s v="拼锅"/>
    <n v="11.95"/>
    <s v="锅"/>
    <n v="7"/>
    <n v="83.65"/>
    <n v="0"/>
    <n v="0"/>
    <n v="0"/>
    <n v="0"/>
    <n v="3"/>
    <n v="35.85"/>
    <n v="0"/>
    <n v="0"/>
    <n v="0"/>
    <n v="0"/>
    <n v="4"/>
    <n v="50.19"/>
    <n v="2.39"/>
    <n v="47.8"/>
    <n v="2"/>
  </r>
  <r>
    <s v="2021-06-14"/>
    <s v="Vancouver"/>
    <s v="加拿大二店"/>
    <x v="4"/>
    <x v="10"/>
    <x v="106"/>
    <x v="0"/>
    <x v="110"/>
    <s v="四宫格"/>
    <n v="5.95"/>
    <s v="锅"/>
    <n v="5"/>
    <n v="29.75"/>
    <n v="0"/>
    <n v="0"/>
    <n v="0"/>
    <n v="0"/>
    <n v="0"/>
    <n v="0"/>
    <n v="0"/>
    <n v="0.01"/>
    <n v="7.13"/>
    <n v="0"/>
    <n v="5"/>
    <n v="23.74"/>
    <n v="1.13"/>
    <n v="22.61"/>
    <n v="1"/>
  </r>
  <r>
    <s v="2021-06-14"/>
    <s v="Vancouver"/>
    <s v="加拿大二店"/>
    <x v="4"/>
    <x v="9"/>
    <x v="107"/>
    <x v="0"/>
    <x v="111"/>
    <s v="拼锅"/>
    <n v="11.95"/>
    <s v="锅"/>
    <n v="4"/>
    <n v="47.8"/>
    <n v="0"/>
    <n v="0"/>
    <n v="0"/>
    <n v="0"/>
    <n v="0"/>
    <n v="0"/>
    <n v="0"/>
    <n v="0"/>
    <n v="0"/>
    <n v="0"/>
    <n v="4"/>
    <n v="50.19"/>
    <n v="2.39"/>
    <n v="47.8"/>
    <n v="2"/>
  </r>
  <r>
    <s v="2021-06-14"/>
    <s v="Vancouver"/>
    <s v="加拿大二店"/>
    <x v="4"/>
    <x v="10"/>
    <x v="107"/>
    <x v="0"/>
    <x v="111"/>
    <s v="四宫格"/>
    <n v="5.95"/>
    <s v="锅"/>
    <n v="9"/>
    <n v="53.55"/>
    <n v="0"/>
    <n v="0"/>
    <n v="0"/>
    <n v="0"/>
    <n v="0"/>
    <n v="0"/>
    <n v="0"/>
    <n v="0"/>
    <n v="1.19"/>
    <n v="0"/>
    <n v="9"/>
    <n v="54.97"/>
    <n v="2.61"/>
    <n v="52.36"/>
    <n v="1"/>
  </r>
  <r>
    <s v="2021-06-15"/>
    <s v="Vancouver"/>
    <s v="加拿大二店"/>
    <x v="0"/>
    <x v="0"/>
    <x v="0"/>
    <x v="0"/>
    <x v="0"/>
    <s v="套餐"/>
    <n v="139.95"/>
    <s v="套餐"/>
    <n v="1"/>
    <n v="139.95"/>
    <n v="0"/>
    <n v="0"/>
    <n v="0"/>
    <n v="0"/>
    <n v="0"/>
    <n v="0"/>
    <n v="0"/>
    <n v="-0.01"/>
    <n v="0"/>
    <n v="0"/>
    <n v="1"/>
    <n v="148.35"/>
    <n v="8.39"/>
    <n v="139.96"/>
    <n v="1"/>
  </r>
  <r>
    <s v="2021-06-15"/>
    <s v="Vancouver"/>
    <s v="加拿大二店"/>
    <x v="1"/>
    <x v="1"/>
    <x v="1"/>
    <x v="1"/>
    <x v="1"/>
    <s v="整份"/>
    <n v="16.95"/>
    <s v="份"/>
    <n v="4"/>
    <n v="67.8"/>
    <n v="0"/>
    <n v="0"/>
    <n v="0"/>
    <n v="0"/>
    <n v="0"/>
    <n v="0"/>
    <n v="0"/>
    <n v="0"/>
    <n v="4.06"/>
    <n v="0"/>
    <n v="4"/>
    <n v="66.92"/>
    <n v="3.18"/>
    <n v="63.74"/>
    <n v="1"/>
  </r>
  <r>
    <s v="2021-06-15"/>
    <s v="Vancouver"/>
    <s v="加拿大二店"/>
    <x v="2"/>
    <x v="22"/>
    <x v="128"/>
    <x v="122"/>
    <x v="133"/>
    <s v="杯"/>
    <n v="5.95"/>
    <s v="杯"/>
    <n v="2"/>
    <n v="11.9"/>
    <n v="0"/>
    <n v="0"/>
    <n v="0"/>
    <n v="0"/>
    <n v="0"/>
    <n v="0"/>
    <n v="0"/>
    <n v="0"/>
    <n v="1.19"/>
    <n v="0"/>
    <n v="2"/>
    <n v="12.31"/>
    <n v="1.6"/>
    <n v="10.71"/>
    <n v="1"/>
  </r>
  <r>
    <s v="2021-06-15"/>
    <s v="Vancouver"/>
    <s v="加拿大二店"/>
    <x v="1"/>
    <x v="1"/>
    <x v="2"/>
    <x v="2"/>
    <x v="2"/>
    <s v="整份"/>
    <n v="25.95"/>
    <s v="份"/>
    <n v="13"/>
    <n v="337.35"/>
    <n v="0"/>
    <n v="0"/>
    <n v="0"/>
    <n v="0"/>
    <n v="0"/>
    <n v="0"/>
    <n v="0"/>
    <n v="-0.01"/>
    <n v="23.87"/>
    <n v="0"/>
    <n v="13"/>
    <n v="329.16"/>
    <n v="15.67"/>
    <n v="313.49"/>
    <n v="1"/>
  </r>
  <r>
    <s v="2021-06-15"/>
    <s v="Vancouver"/>
    <s v="加拿大二店"/>
    <x v="2"/>
    <x v="2"/>
    <x v="129"/>
    <x v="123"/>
    <x v="134"/>
    <s v="扎"/>
    <n v="22.95"/>
    <s v="扎"/>
    <n v="6"/>
    <n v="137.7"/>
    <n v="0"/>
    <n v="0"/>
    <n v="0"/>
    <n v="0"/>
    <n v="0"/>
    <n v="0"/>
    <n v="0"/>
    <n v="-0.01"/>
    <n v="0"/>
    <n v="0"/>
    <n v="6"/>
    <n v="158.36"/>
    <n v="20.65"/>
    <n v="137.71"/>
    <n v="1"/>
  </r>
  <r>
    <s v="2021-06-15"/>
    <s v="Vancouver"/>
    <s v="加拿大二店"/>
    <x v="1"/>
    <x v="3"/>
    <x v="6"/>
    <x v="6"/>
    <x v="6"/>
    <s v="整份"/>
    <n v="7.95"/>
    <s v="份"/>
    <n v="3"/>
    <n v="23.85"/>
    <n v="0"/>
    <n v="0"/>
    <n v="0"/>
    <n v="0"/>
    <n v="0"/>
    <n v="0"/>
    <n v="0"/>
    <n v="0"/>
    <n v="4.92"/>
    <n v="0"/>
    <n v="3"/>
    <n v="19.87"/>
    <n v="0.94"/>
    <n v="18.93"/>
    <n v="1"/>
  </r>
  <r>
    <s v="2021-06-15"/>
    <s v="Vancouver"/>
    <s v="加拿大二店"/>
    <x v="0"/>
    <x v="0"/>
    <x v="124"/>
    <x v="0"/>
    <x v="128"/>
    <s v="套餐"/>
    <n v="59.95"/>
    <s v="套餐"/>
    <n v="1"/>
    <n v="59.95"/>
    <n v="0"/>
    <n v="0"/>
    <n v="0"/>
    <n v="0"/>
    <n v="0"/>
    <n v="0"/>
    <n v="0"/>
    <n v="0"/>
    <n v="0"/>
    <n v="0"/>
    <n v="1"/>
    <n v="63.54"/>
    <n v="3.59"/>
    <n v="59.95"/>
    <n v="1"/>
  </r>
  <r>
    <s v="2021-06-15"/>
    <s v="Vancouver"/>
    <s v="加拿大二店"/>
    <x v="2"/>
    <x v="4"/>
    <x v="7"/>
    <x v="7"/>
    <x v="7"/>
    <s v="冰镇"/>
    <n v="2.45"/>
    <s v="罐"/>
    <n v="2"/>
    <n v="4.9"/>
    <n v="0"/>
    <n v="0"/>
    <n v="0"/>
    <n v="0"/>
    <n v="0"/>
    <n v="0"/>
    <n v="0"/>
    <n v="0"/>
    <n v="0"/>
    <n v="0"/>
    <n v="2"/>
    <n v="5.48"/>
    <n v="0.58"/>
    <n v="4.9"/>
    <n v="1"/>
  </r>
  <r>
    <s v="2021-06-15"/>
    <s v="Vancouver"/>
    <s v="加拿大二店"/>
    <x v="0"/>
    <x v="20"/>
    <x v="109"/>
    <x v="103"/>
    <x v="113"/>
    <s v="整份"/>
    <n v="8.95"/>
    <s v="份"/>
    <n v="2"/>
    <n v="17.9"/>
    <n v="1"/>
    <n v="8.95"/>
    <n v="0"/>
    <n v="0"/>
    <n v="0"/>
    <n v="0"/>
    <n v="0"/>
    <n v="0"/>
    <n v="0"/>
    <n v="0"/>
    <n v="1"/>
    <n v="9.39"/>
    <n v="0.44"/>
    <n v="8.95"/>
    <n v="1"/>
  </r>
  <r>
    <s v="2021-06-15"/>
    <s v="Vancouver"/>
    <s v="加拿大二店"/>
    <x v="2"/>
    <x v="4"/>
    <x v="110"/>
    <x v="104"/>
    <x v="114"/>
    <s v="小瓶"/>
    <n v="3.95"/>
    <s v="瓶"/>
    <n v="1"/>
    <n v="3.95"/>
    <n v="0"/>
    <n v="0"/>
    <n v="0"/>
    <n v="0"/>
    <n v="0"/>
    <n v="0"/>
    <n v="0"/>
    <n v="0"/>
    <n v="0"/>
    <n v="0"/>
    <n v="1"/>
    <n v="4.42"/>
    <n v="0.47"/>
    <n v="3.95"/>
    <n v="1"/>
  </r>
  <r>
    <s v="2021-06-15"/>
    <s v="Vancouver"/>
    <s v="加拿大二店"/>
    <x v="3"/>
    <x v="5"/>
    <x v="8"/>
    <x v="8"/>
    <x v="8"/>
    <s v="整份"/>
    <n v="3.95"/>
    <s v="份"/>
    <n v="4"/>
    <n v="15.8"/>
    <n v="0"/>
    <n v="0"/>
    <n v="0"/>
    <n v="0"/>
    <n v="0"/>
    <n v="0"/>
    <n v="0"/>
    <n v="0"/>
    <n v="0.79"/>
    <n v="0"/>
    <n v="4"/>
    <n v="15.76"/>
    <n v="0.75"/>
    <n v="15.01"/>
    <n v="1"/>
  </r>
  <r>
    <s v="2021-06-15"/>
    <s v="Vancouver"/>
    <s v="加拿大二店"/>
    <x v="2"/>
    <x v="4"/>
    <x v="9"/>
    <x v="9"/>
    <x v="9"/>
    <s v="常温"/>
    <n v="2.95"/>
    <s v="位"/>
    <n v="4"/>
    <n v="11.8"/>
    <n v="0"/>
    <n v="0"/>
    <n v="0"/>
    <n v="0"/>
    <n v="0"/>
    <n v="0"/>
    <n v="0"/>
    <n v="0"/>
    <n v="0"/>
    <n v="0"/>
    <n v="4"/>
    <n v="13.21"/>
    <n v="1.41"/>
    <n v="11.8"/>
    <n v="1"/>
  </r>
  <r>
    <s v="2021-06-15"/>
    <s v="Vancouver"/>
    <s v="加拿大二店"/>
    <x v="2"/>
    <x v="4"/>
    <x v="9"/>
    <x v="9"/>
    <x v="9"/>
    <s v="冰镇"/>
    <n v="2.95"/>
    <s v="位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15"/>
    <s v="Vancouver"/>
    <s v="加拿大二店"/>
    <x v="2"/>
    <x v="4"/>
    <x v="10"/>
    <x v="10"/>
    <x v="10"/>
    <s v="半份"/>
    <n v="6.95"/>
    <s v="扎"/>
    <n v="2"/>
    <n v="13.9"/>
    <n v="0"/>
    <n v="0"/>
    <n v="0"/>
    <n v="0"/>
    <n v="0"/>
    <n v="0"/>
    <n v="0"/>
    <n v="0"/>
    <n v="0"/>
    <n v="0"/>
    <n v="2"/>
    <n v="15.56"/>
    <n v="1.66"/>
    <n v="13.9"/>
    <n v="0.5"/>
  </r>
  <r>
    <s v="2021-06-15"/>
    <s v="Vancouver"/>
    <s v="加拿大二店"/>
    <x v="2"/>
    <x v="4"/>
    <x v="10"/>
    <x v="11"/>
    <x v="11"/>
    <s v="整份"/>
    <n v="9.95"/>
    <s v="扎"/>
    <n v="1"/>
    <n v="9.95"/>
    <n v="1"/>
    <n v="9.95"/>
    <n v="0"/>
    <n v="0"/>
    <n v="0"/>
    <n v="0"/>
    <n v="0"/>
    <n v="0"/>
    <n v="0"/>
    <n v="0"/>
    <n v="0"/>
    <n v="0"/>
    <n v="0"/>
    <n v="0"/>
    <n v="1"/>
  </r>
  <r>
    <s v="2021-06-15"/>
    <s v="Vancouver"/>
    <s v="加拿大二店"/>
    <x v="1"/>
    <x v="6"/>
    <x v="11"/>
    <x v="12"/>
    <x v="12"/>
    <s v="整份"/>
    <n v="8.95"/>
    <s v="份"/>
    <n v="5"/>
    <n v="44.75"/>
    <n v="0"/>
    <n v="0"/>
    <n v="0"/>
    <n v="0"/>
    <n v="0"/>
    <n v="0"/>
    <n v="0"/>
    <n v="0"/>
    <n v="6.26"/>
    <n v="0"/>
    <n v="5"/>
    <n v="40.41"/>
    <n v="1.92"/>
    <n v="38.49"/>
    <n v="1"/>
  </r>
  <r>
    <s v="2021-06-15"/>
    <s v="Vancouver"/>
    <s v="加拿大二店"/>
    <x v="1"/>
    <x v="6"/>
    <x v="13"/>
    <x v="14"/>
    <x v="14"/>
    <s v="整份"/>
    <n v="21.95"/>
    <s v="份"/>
    <n v="3"/>
    <n v="65.85"/>
    <n v="0"/>
    <n v="0"/>
    <n v="0"/>
    <n v="0"/>
    <n v="0"/>
    <n v="0"/>
    <n v="0"/>
    <n v="0"/>
    <n v="0"/>
    <n v="0"/>
    <n v="3"/>
    <n v="69.14"/>
    <n v="3.29"/>
    <n v="65.85"/>
    <n v="1"/>
  </r>
  <r>
    <s v="2021-06-15"/>
    <s v="Vancouver"/>
    <s v="加拿大二店"/>
    <x v="1"/>
    <x v="6"/>
    <x v="14"/>
    <x v="15"/>
    <x v="15"/>
    <s v="整份"/>
    <n v="29.95"/>
    <s v="份"/>
    <n v="2"/>
    <n v="59.9"/>
    <n v="0"/>
    <n v="0"/>
    <n v="0"/>
    <n v="0"/>
    <n v="0"/>
    <n v="0"/>
    <n v="0"/>
    <n v="0"/>
    <n v="9.58"/>
    <n v="0"/>
    <n v="2"/>
    <n v="52.83"/>
    <n v="2.51"/>
    <n v="50.32"/>
    <n v="1"/>
  </r>
  <r>
    <s v="2021-06-15"/>
    <s v="Vancouver"/>
    <s v="加拿大二店"/>
    <x v="1"/>
    <x v="6"/>
    <x v="121"/>
    <x v="115"/>
    <x v="125"/>
    <s v="整份"/>
    <n v="12.95"/>
    <s v="份"/>
    <n v="1"/>
    <n v="12.95"/>
    <n v="0"/>
    <n v="0"/>
    <n v="0"/>
    <n v="0"/>
    <n v="0"/>
    <n v="0"/>
    <n v="0"/>
    <n v="0"/>
    <n v="0"/>
    <n v="0"/>
    <n v="1"/>
    <n v="13.59"/>
    <n v="0.64"/>
    <n v="12.95"/>
    <n v="1"/>
  </r>
  <r>
    <s v="2021-06-15"/>
    <s v="Vancouver"/>
    <s v="加拿大二店"/>
    <x v="1"/>
    <x v="6"/>
    <x v="15"/>
    <x v="16"/>
    <x v="16"/>
    <s v="整份"/>
    <n v="8.95"/>
    <s v="份"/>
    <n v="2"/>
    <n v="17.9"/>
    <n v="0"/>
    <n v="0"/>
    <n v="0"/>
    <n v="0"/>
    <n v="0"/>
    <n v="0"/>
    <n v="0"/>
    <n v="0"/>
    <n v="1.07"/>
    <n v="0"/>
    <n v="2"/>
    <n v="17.67"/>
    <n v="0.84"/>
    <n v="16.83"/>
    <n v="1"/>
  </r>
  <r>
    <s v="2021-06-15"/>
    <s v="Vancouver"/>
    <s v="加拿大二店"/>
    <x v="1"/>
    <x v="6"/>
    <x v="111"/>
    <x v="105"/>
    <x v="115"/>
    <s v="整份"/>
    <n v="8.95"/>
    <s v="份"/>
    <n v="3"/>
    <n v="26.85"/>
    <n v="0"/>
    <n v="0"/>
    <n v="0"/>
    <n v="0"/>
    <n v="0"/>
    <n v="0"/>
    <n v="0"/>
    <n v="0"/>
    <n v="3.75"/>
    <n v="0"/>
    <n v="3"/>
    <n v="24.25"/>
    <n v="1.15"/>
    <n v="23.1"/>
    <n v="1"/>
  </r>
  <r>
    <s v="2021-06-15"/>
    <s v="Vancouver"/>
    <s v="加拿大二店"/>
    <x v="3"/>
    <x v="7"/>
    <x v="16"/>
    <x v="17"/>
    <x v="17"/>
    <s v="整份"/>
    <n v="4.95"/>
    <s v="份"/>
    <n v="5"/>
    <n v="24.75"/>
    <n v="0"/>
    <n v="0"/>
    <n v="0"/>
    <n v="0"/>
    <n v="0"/>
    <n v="0"/>
    <n v="0"/>
    <n v="0"/>
    <n v="3.95"/>
    <n v="0"/>
    <n v="5"/>
    <n v="21.84"/>
    <n v="1.04"/>
    <n v="20.8"/>
    <n v="1"/>
  </r>
  <r>
    <s v="2021-06-15"/>
    <s v="Vancouver"/>
    <s v="加拿大二店"/>
    <x v="2"/>
    <x v="4"/>
    <x v="17"/>
    <x v="18"/>
    <x v="18"/>
    <s v="冰镇"/>
    <n v="2.95"/>
    <s v="瓶"/>
    <n v="6"/>
    <n v="17.7"/>
    <n v="0"/>
    <n v="0"/>
    <n v="0"/>
    <n v="0"/>
    <n v="0"/>
    <n v="0"/>
    <n v="0"/>
    <n v="0"/>
    <n v="0"/>
    <n v="0"/>
    <n v="6"/>
    <n v="19.82"/>
    <n v="2.12"/>
    <n v="17.7"/>
    <n v="1"/>
  </r>
  <r>
    <s v="2021-06-15"/>
    <s v="Vancouver"/>
    <s v="加拿大二店"/>
    <x v="2"/>
    <x v="4"/>
    <x v="18"/>
    <x v="19"/>
    <x v="19"/>
    <s v="冰镇"/>
    <n v="2.95"/>
    <s v="听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15"/>
    <s v="Vancouver"/>
    <s v="加拿大二店"/>
    <x v="1"/>
    <x v="8"/>
    <x v="19"/>
    <x v="20"/>
    <x v="20"/>
    <s v="整份"/>
    <n v="5.95"/>
    <s v="份"/>
    <n v="15"/>
    <n v="89.25"/>
    <n v="0"/>
    <n v="0"/>
    <n v="0"/>
    <n v="0"/>
    <n v="0"/>
    <n v="0"/>
    <n v="0"/>
    <n v="0"/>
    <n v="5.58"/>
    <n v="0"/>
    <n v="15"/>
    <n v="87.85"/>
    <n v="4.18"/>
    <n v="83.67"/>
    <n v="1"/>
  </r>
  <r>
    <s v="2021-06-15"/>
    <s v="Vancouver"/>
    <s v="加拿大二店"/>
    <x v="1"/>
    <x v="8"/>
    <x v="20"/>
    <x v="21"/>
    <x v="21"/>
    <s v="整份"/>
    <n v="7.95"/>
    <s v="份"/>
    <n v="4"/>
    <n v="31.8"/>
    <n v="0"/>
    <n v="0"/>
    <n v="0"/>
    <n v="0"/>
    <n v="0"/>
    <n v="0"/>
    <n v="0"/>
    <n v="0"/>
    <n v="1.59"/>
    <n v="0"/>
    <n v="4"/>
    <n v="31.72"/>
    <n v="1.51"/>
    <n v="30.21"/>
    <n v="1"/>
  </r>
  <r>
    <s v="2021-06-15"/>
    <s v="Vancouver"/>
    <s v="加拿大二店"/>
    <x v="2"/>
    <x v="4"/>
    <x v="21"/>
    <x v="22"/>
    <x v="22"/>
    <s v="冰镇"/>
    <n v="2.45"/>
    <s v="听"/>
    <n v="9"/>
    <n v="22.05"/>
    <n v="2"/>
    <n v="4.9"/>
    <n v="0"/>
    <n v="0"/>
    <n v="0"/>
    <n v="0"/>
    <n v="0"/>
    <n v="0"/>
    <n v="0"/>
    <n v="0"/>
    <n v="7"/>
    <n v="19.2"/>
    <n v="2.05"/>
    <n v="17.15"/>
    <n v="1"/>
  </r>
  <r>
    <s v="2021-06-15"/>
    <s v="Vancouver"/>
    <s v="加拿大二店"/>
    <x v="4"/>
    <x v="9"/>
    <x v="22"/>
    <x v="0"/>
    <x v="23"/>
    <s v="拼锅"/>
    <n v="11.95"/>
    <s v="锅"/>
    <n v="1"/>
    <n v="11.95"/>
    <n v="0"/>
    <n v="0"/>
    <n v="0"/>
    <n v="0"/>
    <n v="0"/>
    <n v="0"/>
    <n v="0"/>
    <n v="-0.01"/>
    <n v="0"/>
    <n v="0"/>
    <n v="1"/>
    <n v="12.67"/>
    <n v="0.71"/>
    <n v="11.96"/>
    <n v="2"/>
  </r>
  <r>
    <s v="2021-06-15"/>
    <s v="Vancouver"/>
    <s v="加拿大二店"/>
    <x v="4"/>
    <x v="10"/>
    <x v="22"/>
    <x v="0"/>
    <x v="23"/>
    <s v="四宫格"/>
    <n v="5.95"/>
    <s v="锅"/>
    <n v="2"/>
    <n v="11.9"/>
    <n v="0"/>
    <n v="0"/>
    <n v="0"/>
    <n v="0"/>
    <n v="0"/>
    <n v="0"/>
    <n v="0"/>
    <n v="0"/>
    <n v="0"/>
    <n v="0"/>
    <n v="2"/>
    <n v="12.61"/>
    <n v="0.71"/>
    <n v="11.9"/>
    <n v="1"/>
  </r>
  <r>
    <s v="2021-06-15"/>
    <s v="Vancouver"/>
    <s v="加拿大二店"/>
    <x v="3"/>
    <x v="7"/>
    <x v="23"/>
    <x v="23"/>
    <x v="24"/>
    <s v="整份"/>
    <n v="4.95"/>
    <s v="份"/>
    <n v="5"/>
    <n v="24.75"/>
    <n v="0"/>
    <n v="0"/>
    <n v="0"/>
    <n v="0"/>
    <n v="0"/>
    <n v="0"/>
    <n v="0"/>
    <n v="0"/>
    <n v="0"/>
    <n v="0"/>
    <n v="5"/>
    <n v="25.98"/>
    <n v="1.23"/>
    <n v="24.75"/>
    <n v="1"/>
  </r>
  <r>
    <s v="2021-06-15"/>
    <s v="Vancouver"/>
    <s v="加拿大二店"/>
    <x v="3"/>
    <x v="11"/>
    <x v="24"/>
    <x v="118"/>
    <x v="129"/>
    <s v="整份"/>
    <n v="5.95"/>
    <s v="份"/>
    <n v="3"/>
    <n v="17.85"/>
    <n v="0"/>
    <n v="0"/>
    <n v="0"/>
    <n v="0"/>
    <n v="0"/>
    <n v="0"/>
    <n v="0"/>
    <n v="0"/>
    <n v="0"/>
    <n v="0"/>
    <n v="3"/>
    <n v="18.74"/>
    <n v="0.89"/>
    <n v="17.85"/>
    <n v="1"/>
  </r>
  <r>
    <s v="2021-06-15"/>
    <s v="Vancouver"/>
    <s v="加拿大二店"/>
    <x v="3"/>
    <x v="11"/>
    <x v="24"/>
    <x v="24"/>
    <x v="25"/>
    <s v="半份"/>
    <n v="2.95"/>
    <s v="份"/>
    <n v="2"/>
    <n v="5.9"/>
    <n v="0"/>
    <n v="0"/>
    <n v="0"/>
    <n v="0"/>
    <n v="0"/>
    <n v="0"/>
    <n v="0"/>
    <n v="0"/>
    <n v="0.88"/>
    <n v="0"/>
    <n v="2"/>
    <n v="5.27"/>
    <n v="0.25"/>
    <n v="5.02"/>
    <n v="0.5"/>
  </r>
  <r>
    <s v="2021-06-15"/>
    <s v="Vancouver"/>
    <s v="加拿大二店"/>
    <x v="3"/>
    <x v="5"/>
    <x v="25"/>
    <x v="25"/>
    <x v="26"/>
    <s v="整份"/>
    <n v="3.95"/>
    <s v="份"/>
    <n v="6"/>
    <n v="23.7"/>
    <n v="0"/>
    <n v="0"/>
    <n v="0"/>
    <n v="0"/>
    <n v="0"/>
    <n v="0"/>
    <n v="0"/>
    <n v="0"/>
    <n v="1.65"/>
    <n v="0"/>
    <n v="6"/>
    <n v="23.15"/>
    <n v="1.1"/>
    <n v="22.05"/>
    <n v="1"/>
  </r>
  <r>
    <s v="2021-06-15"/>
    <s v="Vancouver"/>
    <s v="加拿大二店"/>
    <x v="3"/>
    <x v="11"/>
    <x v="26"/>
    <x v="26"/>
    <x v="27"/>
    <s v="整份"/>
    <n v="4.95"/>
    <s v="份"/>
    <n v="7"/>
    <n v="34.65"/>
    <n v="0"/>
    <n v="0"/>
    <n v="0"/>
    <n v="0"/>
    <n v="0"/>
    <n v="0"/>
    <n v="0"/>
    <n v="0"/>
    <n v="2.47"/>
    <n v="0"/>
    <n v="7"/>
    <n v="33.78"/>
    <n v="1.6"/>
    <n v="32.18"/>
    <n v="1"/>
  </r>
  <r>
    <s v="2021-06-15"/>
    <s v="Vancouver"/>
    <s v="加拿大二店"/>
    <x v="3"/>
    <x v="11"/>
    <x v="26"/>
    <x v="27"/>
    <x v="28"/>
    <s v="半份"/>
    <n v="2.45"/>
    <s v="份"/>
    <n v="4"/>
    <n v="9.8"/>
    <n v="0"/>
    <n v="0"/>
    <n v="0"/>
    <n v="0"/>
    <n v="0"/>
    <n v="0"/>
    <n v="0"/>
    <n v="0"/>
    <n v="0.98"/>
    <n v="0"/>
    <n v="4"/>
    <n v="9.26"/>
    <n v="0.44"/>
    <n v="8.82"/>
    <n v="0.5"/>
  </r>
  <r>
    <s v="2021-06-15"/>
    <s v="Vancouver"/>
    <s v="加拿大二店"/>
    <x v="2"/>
    <x v="4"/>
    <x v="122"/>
    <x v="116"/>
    <x v="126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15"/>
    <s v="Vancouver"/>
    <s v="加拿大二店"/>
    <x v="5"/>
    <x v="12"/>
    <x v="27"/>
    <x v="28"/>
    <x v="29"/>
    <s v="整份"/>
    <n v="7.95"/>
    <s v="份"/>
    <n v="5"/>
    <n v="39.75"/>
    <n v="0"/>
    <n v="0"/>
    <n v="0"/>
    <n v="0"/>
    <n v="0"/>
    <n v="0"/>
    <n v="0"/>
    <n v="0"/>
    <n v="5.56"/>
    <n v="0"/>
    <n v="5"/>
    <n v="35.89"/>
    <n v="1.7"/>
    <n v="34.19"/>
    <n v="1"/>
  </r>
  <r>
    <s v="2021-06-15"/>
    <s v="Vancouver"/>
    <s v="加拿大二店"/>
    <x v="3"/>
    <x v="7"/>
    <x v="28"/>
    <x v="29"/>
    <x v="30"/>
    <s v="整份"/>
    <n v="4.95"/>
    <s v="份"/>
    <n v="18"/>
    <n v="89.1"/>
    <n v="0"/>
    <n v="0"/>
    <n v="0"/>
    <n v="0"/>
    <n v="0"/>
    <n v="0"/>
    <n v="0"/>
    <n v="0"/>
    <n v="4.64"/>
    <n v="0"/>
    <n v="18"/>
    <n v="88.68"/>
    <n v="4.22"/>
    <n v="84.46"/>
    <n v="1"/>
  </r>
  <r>
    <s v="2021-06-15"/>
    <s v="Vancouver"/>
    <s v="加拿大二店"/>
    <x v="2"/>
    <x v="4"/>
    <x v="112"/>
    <x v="106"/>
    <x v="116"/>
    <s v="冰镇"/>
    <n v="3.95"/>
    <s v="瓶"/>
    <n v="1"/>
    <n v="3.95"/>
    <n v="0"/>
    <n v="0"/>
    <n v="0"/>
    <n v="0"/>
    <n v="0"/>
    <n v="0"/>
    <n v="0"/>
    <n v="0"/>
    <n v="0"/>
    <n v="0"/>
    <n v="1"/>
    <n v="4.42"/>
    <n v="0.47"/>
    <n v="3.95"/>
    <n v="1"/>
  </r>
  <r>
    <s v="2021-06-15"/>
    <s v="Vancouver"/>
    <s v="加拿大二店"/>
    <x v="3"/>
    <x v="5"/>
    <x v="29"/>
    <x v="30"/>
    <x v="31"/>
    <s v="整份"/>
    <n v="3.95"/>
    <s v="份"/>
    <n v="8"/>
    <n v="31.6"/>
    <n v="0"/>
    <n v="0"/>
    <n v="0"/>
    <n v="0"/>
    <n v="0"/>
    <n v="0"/>
    <n v="0"/>
    <n v="0"/>
    <n v="2.05"/>
    <n v="0"/>
    <n v="8"/>
    <n v="31.02"/>
    <n v="1.47"/>
    <n v="29.55"/>
    <n v="1"/>
  </r>
  <r>
    <s v="2021-06-15"/>
    <s v="Vancouver"/>
    <s v="加拿大二店"/>
    <x v="6"/>
    <x v="13"/>
    <x v="30"/>
    <x v="31"/>
    <x v="32"/>
    <s v="整份"/>
    <n v="4.95"/>
    <s v="份"/>
    <n v="8"/>
    <n v="39.6"/>
    <n v="0"/>
    <n v="0"/>
    <n v="0"/>
    <n v="0"/>
    <n v="1"/>
    <n v="4.95"/>
    <n v="0"/>
    <n v="0"/>
    <n v="0"/>
    <n v="0"/>
    <n v="7"/>
    <n v="36.38"/>
    <n v="1.73"/>
    <n v="34.65"/>
    <n v="1"/>
  </r>
  <r>
    <s v="2021-06-15"/>
    <s v="Vancouver"/>
    <s v="加拿大二店"/>
    <x v="6"/>
    <x v="13"/>
    <x v="31"/>
    <x v="32"/>
    <x v="33"/>
    <s v="整份"/>
    <n v="9.95"/>
    <s v="份"/>
    <n v="3"/>
    <n v="29.85"/>
    <n v="0"/>
    <n v="0"/>
    <n v="0"/>
    <n v="0"/>
    <n v="0"/>
    <n v="0"/>
    <n v="0"/>
    <n v="0"/>
    <n v="4.97"/>
    <n v="0"/>
    <n v="3"/>
    <n v="26.12"/>
    <n v="1.24"/>
    <n v="24.88"/>
    <n v="1"/>
  </r>
  <r>
    <s v="2021-06-15"/>
    <s v="Vancouver"/>
    <s v="加拿大二店"/>
    <x v="5"/>
    <x v="12"/>
    <x v="32"/>
    <x v="33"/>
    <x v="34"/>
    <s v="整份"/>
    <n v="17.85"/>
    <s v="份"/>
    <n v="2"/>
    <n v="35.7"/>
    <n v="0"/>
    <n v="0"/>
    <n v="0"/>
    <n v="0"/>
    <n v="0"/>
    <n v="0"/>
    <n v="0"/>
    <n v="0"/>
    <n v="3.57"/>
    <n v="0"/>
    <n v="2"/>
    <n v="33.73"/>
    <n v="1.6"/>
    <n v="32.13"/>
    <n v="1"/>
  </r>
  <r>
    <s v="2021-06-15"/>
    <s v="Vancouver"/>
    <s v="加拿大二店"/>
    <x v="1"/>
    <x v="3"/>
    <x v="33"/>
    <x v="34"/>
    <x v="35"/>
    <s v="整份"/>
    <n v="11.95"/>
    <s v="份"/>
    <n v="10"/>
    <n v="119.5"/>
    <n v="0"/>
    <n v="0"/>
    <n v="0"/>
    <n v="0"/>
    <n v="1"/>
    <n v="11.95"/>
    <n v="0"/>
    <n v="0"/>
    <n v="5.04"/>
    <n v="0"/>
    <n v="9"/>
    <n v="107.63"/>
    <n v="5.12"/>
    <n v="102.51"/>
    <n v="1"/>
  </r>
  <r>
    <s v="2021-06-15"/>
    <s v="Vancouver"/>
    <s v="加拿大二店"/>
    <x v="5"/>
    <x v="12"/>
    <x v="34"/>
    <x v="35"/>
    <x v="36"/>
    <s v="整份"/>
    <n v="11.95"/>
    <s v="份"/>
    <n v="3"/>
    <n v="35.85"/>
    <n v="0"/>
    <n v="0"/>
    <n v="0"/>
    <n v="0"/>
    <n v="0"/>
    <n v="0"/>
    <n v="0"/>
    <n v="0"/>
    <n v="3.58"/>
    <n v="0"/>
    <n v="3"/>
    <n v="33.88"/>
    <n v="1.61"/>
    <n v="32.27"/>
    <n v="1"/>
  </r>
  <r>
    <s v="2021-06-15"/>
    <s v="Vancouver"/>
    <s v="加拿大二店"/>
    <x v="5"/>
    <x v="12"/>
    <x v="35"/>
    <x v="36"/>
    <x v="37"/>
    <s v="条"/>
    <n v="4.95"/>
    <s v="条"/>
    <n v="9"/>
    <n v="44.55"/>
    <n v="0"/>
    <n v="0"/>
    <n v="0"/>
    <n v="0"/>
    <n v="2"/>
    <n v="9.9"/>
    <n v="0"/>
    <n v="0"/>
    <n v="3.85"/>
    <n v="0"/>
    <n v="7"/>
    <n v="32.34"/>
    <n v="1.54"/>
    <n v="30.8"/>
    <n v="1"/>
  </r>
  <r>
    <s v="2021-06-15"/>
    <s v="Vancouver"/>
    <s v="加拿大二店"/>
    <x v="5"/>
    <x v="12"/>
    <x v="36"/>
    <x v="37"/>
    <x v="38"/>
    <s v="整份"/>
    <n v="13.95"/>
    <s v="份"/>
    <n v="15"/>
    <n v="209.25"/>
    <n v="0"/>
    <n v="0"/>
    <n v="0"/>
    <n v="0"/>
    <n v="0"/>
    <n v="0"/>
    <n v="0"/>
    <n v="0"/>
    <n v="9.76"/>
    <n v="0"/>
    <n v="15"/>
    <n v="209.46"/>
    <n v="9.97"/>
    <n v="199.49"/>
    <n v="1"/>
  </r>
  <r>
    <s v="2021-06-15"/>
    <s v="Vancouver"/>
    <s v="加拿大二店"/>
    <x v="5"/>
    <x v="12"/>
    <x v="37"/>
    <x v="38"/>
    <x v="39"/>
    <s v="整份"/>
    <n v="9.95"/>
    <s v="份"/>
    <n v="10"/>
    <n v="99.5"/>
    <n v="0"/>
    <n v="0"/>
    <n v="0"/>
    <n v="0"/>
    <n v="0"/>
    <n v="0"/>
    <n v="0"/>
    <n v="0"/>
    <n v="11.13"/>
    <n v="0"/>
    <n v="10"/>
    <n v="92.78"/>
    <n v="4.41"/>
    <n v="88.37"/>
    <n v="1"/>
  </r>
  <r>
    <s v="2021-06-15"/>
    <s v="Vancouver"/>
    <s v="加拿大二店"/>
    <x v="5"/>
    <x v="12"/>
    <x v="38"/>
    <x v="39"/>
    <x v="40"/>
    <s v="整份"/>
    <n v="9.95"/>
    <s v="份"/>
    <n v="5"/>
    <n v="49.75"/>
    <n v="0"/>
    <n v="0"/>
    <n v="0"/>
    <n v="0"/>
    <n v="0"/>
    <n v="0"/>
    <n v="0"/>
    <n v="0"/>
    <n v="6.2"/>
    <n v="0"/>
    <n v="5"/>
    <n v="45.72"/>
    <n v="2.17"/>
    <n v="43.55"/>
    <n v="1"/>
  </r>
  <r>
    <s v="2021-06-15"/>
    <s v="Vancouver"/>
    <s v="加拿大二店"/>
    <x v="6"/>
    <x v="13"/>
    <x v="39"/>
    <x v="40"/>
    <x v="41"/>
    <s v="整份"/>
    <n v="8.95"/>
    <s v="份"/>
    <n v="10"/>
    <n v="89.5"/>
    <n v="0"/>
    <n v="0"/>
    <n v="0"/>
    <n v="0"/>
    <n v="0"/>
    <n v="0"/>
    <n v="0"/>
    <n v="0"/>
    <n v="2.68"/>
    <n v="0"/>
    <n v="10"/>
    <n v="91.16"/>
    <n v="4.34"/>
    <n v="86.82"/>
    <n v="1"/>
  </r>
  <r>
    <s v="2021-06-15"/>
    <s v="Vancouver"/>
    <s v="加拿大二店"/>
    <x v="5"/>
    <x v="12"/>
    <x v="40"/>
    <x v="41"/>
    <x v="42"/>
    <s v="整份"/>
    <n v="9.95"/>
    <s v="份"/>
    <n v="5"/>
    <n v="49.75"/>
    <n v="0"/>
    <n v="0"/>
    <n v="0"/>
    <n v="0"/>
    <n v="0"/>
    <n v="0"/>
    <n v="0"/>
    <n v="0"/>
    <n v="1.99"/>
    <n v="0"/>
    <n v="5"/>
    <n v="50.14"/>
    <n v="2.38"/>
    <n v="47.76"/>
    <n v="1"/>
  </r>
  <r>
    <s v="2021-06-15"/>
    <s v="Vancouver"/>
    <s v="加拿大二店"/>
    <x v="1"/>
    <x v="6"/>
    <x v="131"/>
    <x v="125"/>
    <x v="136"/>
    <s v="整份"/>
    <n v="28.95"/>
    <s v="份"/>
    <n v="2"/>
    <n v="57.9"/>
    <n v="0"/>
    <n v="0"/>
    <n v="0"/>
    <n v="0"/>
    <n v="0"/>
    <n v="0"/>
    <n v="0"/>
    <n v="-0.02"/>
    <n v="0"/>
    <n v="0"/>
    <n v="2"/>
    <n v="61.39"/>
    <n v="3.47"/>
    <n v="57.92"/>
    <n v="1"/>
  </r>
  <r>
    <s v="2021-06-15"/>
    <s v="Vancouver"/>
    <s v="加拿大二店"/>
    <x v="5"/>
    <x v="12"/>
    <x v="41"/>
    <x v="42"/>
    <x v="43"/>
    <s v="整份"/>
    <n v="7.95"/>
    <s v="份"/>
    <n v="2"/>
    <n v="15.9"/>
    <n v="0"/>
    <n v="0"/>
    <n v="0"/>
    <n v="0"/>
    <n v="0"/>
    <n v="0"/>
    <n v="0"/>
    <n v="0"/>
    <n v="0"/>
    <n v="0"/>
    <n v="2"/>
    <n v="16.69"/>
    <n v="0.79"/>
    <n v="15.9"/>
    <n v="1"/>
  </r>
  <r>
    <s v="2021-06-15"/>
    <s v="Vancouver"/>
    <s v="加拿大二店"/>
    <x v="2"/>
    <x v="2"/>
    <x v="42"/>
    <x v="43"/>
    <x v="44"/>
    <s v="冰镇"/>
    <n v="5.95"/>
    <s v="瓶"/>
    <n v="1"/>
    <n v="5.95"/>
    <n v="0"/>
    <n v="0"/>
    <n v="0"/>
    <n v="0"/>
    <n v="0"/>
    <n v="0"/>
    <n v="0"/>
    <n v="0"/>
    <n v="0"/>
    <n v="0"/>
    <n v="1"/>
    <n v="6.84"/>
    <n v="0.89"/>
    <n v="5.95"/>
    <n v="1"/>
  </r>
  <r>
    <s v="2021-06-15"/>
    <s v="Vancouver"/>
    <s v="加拿大二店"/>
    <x v="3"/>
    <x v="5"/>
    <x v="43"/>
    <x v="44"/>
    <x v="45"/>
    <s v="整份"/>
    <n v="3.95"/>
    <s v="份"/>
    <n v="6"/>
    <n v="23.7"/>
    <n v="0"/>
    <n v="0"/>
    <n v="0"/>
    <n v="0"/>
    <n v="0"/>
    <n v="0"/>
    <n v="0"/>
    <n v="0"/>
    <n v="3.23"/>
    <n v="0"/>
    <n v="6"/>
    <n v="21.49"/>
    <n v="1.02"/>
    <n v="20.47"/>
    <n v="1"/>
  </r>
  <r>
    <s v="2021-06-15"/>
    <s v="Vancouver"/>
    <s v="加拿大二店"/>
    <x v="7"/>
    <x v="14"/>
    <x v="44"/>
    <x v="45"/>
    <x v="46"/>
    <s v="整份"/>
    <n v="0"/>
    <s v="份"/>
    <n v="12"/>
    <n v="0"/>
    <n v="0"/>
    <n v="0"/>
    <n v="0"/>
    <n v="0"/>
    <n v="0"/>
    <n v="0"/>
    <n v="0"/>
    <n v="0"/>
    <n v="0"/>
    <n v="0"/>
    <n v="12"/>
    <n v="0"/>
    <n v="0"/>
    <n v="0"/>
    <n v="1"/>
  </r>
  <r>
    <s v="2021-06-15"/>
    <s v="Vancouver"/>
    <s v="加拿大二店"/>
    <x v="7"/>
    <x v="14"/>
    <x v="45"/>
    <x v="46"/>
    <x v="47"/>
    <s v="整份"/>
    <n v="3"/>
    <s v="份"/>
    <n v="1"/>
    <n v="3"/>
    <n v="0"/>
    <n v="0"/>
    <n v="0"/>
    <n v="0"/>
    <n v="0"/>
    <n v="0"/>
    <n v="0"/>
    <n v="0"/>
    <n v="0"/>
    <n v="0"/>
    <n v="1"/>
    <n v="3.15"/>
    <n v="0.15"/>
    <n v="3"/>
    <n v="1"/>
  </r>
  <r>
    <s v="2021-06-15"/>
    <s v="Vancouver"/>
    <s v="加拿大二店"/>
    <x v="7"/>
    <x v="14"/>
    <x v="45"/>
    <x v="46"/>
    <x v="47"/>
    <s v="整份"/>
    <n v="4.98"/>
    <s v="份"/>
    <n v="1"/>
    <n v="4.98"/>
    <n v="0"/>
    <n v="0"/>
    <n v="0"/>
    <n v="0"/>
    <n v="0"/>
    <n v="0"/>
    <n v="0"/>
    <n v="0"/>
    <n v="0"/>
    <n v="0"/>
    <n v="1"/>
    <n v="5.22"/>
    <n v="0.24"/>
    <n v="4.98"/>
    <n v="1"/>
  </r>
  <r>
    <s v="2021-06-15"/>
    <s v="Vancouver"/>
    <s v="加拿大二店"/>
    <x v="7"/>
    <x v="14"/>
    <x v="45"/>
    <x v="46"/>
    <x v="47"/>
    <s v="整份"/>
    <n v="9.95"/>
    <s v="份"/>
    <n v="3"/>
    <n v="29.85"/>
    <n v="0"/>
    <n v="0"/>
    <n v="0"/>
    <n v="0"/>
    <n v="0"/>
    <n v="0"/>
    <n v="0"/>
    <n v="0"/>
    <n v="0"/>
    <n v="0"/>
    <n v="3"/>
    <n v="31.34"/>
    <n v="1.49"/>
    <n v="29.85"/>
    <n v="1"/>
  </r>
  <r>
    <s v="2021-06-15"/>
    <s v="Vancouver"/>
    <s v="加拿大二店"/>
    <x v="7"/>
    <x v="14"/>
    <x v="45"/>
    <x v="46"/>
    <x v="47"/>
    <s v="整份"/>
    <n v="9.99"/>
    <s v="份"/>
    <n v="1"/>
    <n v="9.99"/>
    <n v="0"/>
    <n v="0"/>
    <n v="0"/>
    <n v="0"/>
    <n v="0"/>
    <n v="0"/>
    <n v="0"/>
    <n v="-0.01"/>
    <n v="0"/>
    <n v="0"/>
    <n v="1"/>
    <n v="10.5"/>
    <n v="0.5"/>
    <n v="10"/>
    <n v="1"/>
  </r>
  <r>
    <s v="2021-06-15"/>
    <s v="Vancouver"/>
    <s v="加拿大二店"/>
    <x v="7"/>
    <x v="14"/>
    <x v="45"/>
    <x v="46"/>
    <x v="47"/>
    <s v="整份"/>
    <n v="12"/>
    <s v="份"/>
    <n v="1"/>
    <n v="12"/>
    <n v="0"/>
    <n v="0"/>
    <n v="0"/>
    <n v="0"/>
    <n v="0"/>
    <n v="0"/>
    <n v="0"/>
    <n v="0"/>
    <n v="0"/>
    <n v="0"/>
    <n v="1"/>
    <n v="12.6"/>
    <n v="0.6"/>
    <n v="12"/>
    <n v="1"/>
  </r>
  <r>
    <s v="2021-06-15"/>
    <s v="Vancouver"/>
    <s v="加拿大二店"/>
    <x v="7"/>
    <x v="14"/>
    <x v="45"/>
    <x v="46"/>
    <x v="47"/>
    <s v="整份"/>
    <n v="12.99"/>
    <s v="份"/>
    <n v="4"/>
    <n v="51.96"/>
    <n v="1"/>
    <n v="12.99"/>
    <n v="0"/>
    <n v="0"/>
    <n v="0"/>
    <n v="0"/>
    <n v="0"/>
    <n v="0"/>
    <n v="0"/>
    <n v="0"/>
    <n v="3"/>
    <n v="40.91"/>
    <n v="1.94"/>
    <n v="38.97"/>
    <n v="1"/>
  </r>
  <r>
    <s v="2021-06-15"/>
    <s v="Vancouver"/>
    <s v="加拿大二店"/>
    <x v="7"/>
    <x v="14"/>
    <x v="45"/>
    <x v="46"/>
    <x v="47"/>
    <s v="整份"/>
    <n v="14.95"/>
    <s v="份"/>
    <n v="2"/>
    <n v="29.9"/>
    <n v="0"/>
    <n v="0"/>
    <n v="0"/>
    <n v="0"/>
    <n v="0"/>
    <n v="0"/>
    <n v="0"/>
    <n v="0"/>
    <n v="0"/>
    <n v="0"/>
    <n v="2"/>
    <n v="31.39"/>
    <n v="1.49"/>
    <n v="29.9"/>
    <n v="1"/>
  </r>
  <r>
    <s v="2021-06-15"/>
    <s v="Vancouver"/>
    <s v="加拿大二店"/>
    <x v="7"/>
    <x v="14"/>
    <x v="45"/>
    <x v="46"/>
    <x v="47"/>
    <s v="整份"/>
    <n v="23.8"/>
    <s v="份"/>
    <n v="1"/>
    <n v="23.8"/>
    <n v="0"/>
    <n v="0"/>
    <n v="0"/>
    <n v="0"/>
    <n v="0"/>
    <n v="0"/>
    <n v="0"/>
    <n v="0"/>
    <n v="0"/>
    <n v="0"/>
    <n v="1"/>
    <n v="24.99"/>
    <n v="1.19"/>
    <n v="23.8"/>
    <n v="1"/>
  </r>
  <r>
    <s v="2021-06-15"/>
    <s v="Vancouver"/>
    <s v="加拿大二店"/>
    <x v="7"/>
    <x v="14"/>
    <x v="45"/>
    <x v="46"/>
    <x v="47"/>
    <s v="整份"/>
    <n v="25.98"/>
    <s v="份"/>
    <n v="1"/>
    <n v="25.98"/>
    <n v="0"/>
    <n v="0"/>
    <n v="0"/>
    <n v="0"/>
    <n v="0"/>
    <n v="0"/>
    <n v="0"/>
    <n v="-0.01"/>
    <n v="0"/>
    <n v="0"/>
    <n v="1"/>
    <n v="27.28"/>
    <n v="1.29"/>
    <n v="25.99"/>
    <n v="1"/>
  </r>
  <r>
    <s v="2021-06-15"/>
    <s v="Vancouver"/>
    <s v="加拿大二店"/>
    <x v="7"/>
    <x v="14"/>
    <x v="45"/>
    <x v="46"/>
    <x v="47"/>
    <s v="整份"/>
    <n v="28.95"/>
    <s v="份"/>
    <n v="2"/>
    <n v="57.9"/>
    <n v="0"/>
    <n v="0"/>
    <n v="0"/>
    <n v="0"/>
    <n v="0"/>
    <n v="0"/>
    <n v="0"/>
    <n v="-0.03"/>
    <n v="0"/>
    <n v="0"/>
    <n v="2"/>
    <n v="60.82"/>
    <n v="2.89"/>
    <n v="57.93"/>
    <n v="1"/>
  </r>
  <r>
    <s v="2021-06-15"/>
    <s v="Vancouver"/>
    <s v="加拿大二店"/>
    <x v="7"/>
    <x v="14"/>
    <x v="45"/>
    <x v="46"/>
    <x v="47"/>
    <s v="整份"/>
    <n v="29.65"/>
    <s v="份"/>
    <n v="1"/>
    <n v="29.65"/>
    <n v="0"/>
    <n v="0"/>
    <n v="0"/>
    <n v="0"/>
    <n v="0"/>
    <n v="0"/>
    <n v="0"/>
    <n v="0"/>
    <n v="0"/>
    <n v="0"/>
    <n v="1"/>
    <n v="31.13"/>
    <n v="1.48"/>
    <n v="29.65"/>
    <n v="1"/>
  </r>
  <r>
    <s v="2021-06-15"/>
    <s v="Vancouver"/>
    <s v="加拿大二店"/>
    <x v="7"/>
    <x v="14"/>
    <x v="45"/>
    <x v="46"/>
    <x v="47"/>
    <s v="整份"/>
    <n v="32.6"/>
    <s v="份"/>
    <n v="1"/>
    <n v="32.6"/>
    <n v="0"/>
    <n v="0"/>
    <n v="0"/>
    <n v="0"/>
    <n v="0"/>
    <n v="0"/>
    <n v="0"/>
    <n v="0"/>
    <n v="0"/>
    <n v="0"/>
    <n v="1"/>
    <n v="34.23"/>
    <n v="1.63"/>
    <n v="32.6"/>
    <n v="1"/>
  </r>
  <r>
    <s v="2021-06-15"/>
    <s v="Vancouver"/>
    <s v="加拿大二店"/>
    <x v="7"/>
    <x v="14"/>
    <x v="45"/>
    <x v="46"/>
    <x v="47"/>
    <s v="整份"/>
    <n v="34.21"/>
    <s v="份"/>
    <n v="1"/>
    <n v="34.21"/>
    <n v="1"/>
    <n v="34.21"/>
    <n v="0"/>
    <n v="0"/>
    <n v="0"/>
    <n v="0"/>
    <n v="0"/>
    <n v="0"/>
    <n v="0"/>
    <n v="0"/>
    <n v="0"/>
    <n v="0"/>
    <n v="0"/>
    <n v="0"/>
    <n v="1"/>
  </r>
  <r>
    <s v="2021-06-15"/>
    <s v="Vancouver"/>
    <s v="加拿大二店"/>
    <x v="7"/>
    <x v="14"/>
    <x v="45"/>
    <x v="46"/>
    <x v="47"/>
    <s v="整份"/>
    <n v="36.05"/>
    <s v="份"/>
    <n v="1"/>
    <n v="36.05"/>
    <n v="0"/>
    <n v="0"/>
    <n v="0"/>
    <n v="0"/>
    <n v="0"/>
    <n v="0"/>
    <n v="0"/>
    <n v="0"/>
    <n v="0"/>
    <n v="0"/>
    <n v="1"/>
    <n v="37.85"/>
    <n v="1.8"/>
    <n v="36.05"/>
    <n v="1"/>
  </r>
  <r>
    <s v="2021-06-15"/>
    <s v="Vancouver"/>
    <s v="加拿大二店"/>
    <x v="7"/>
    <x v="14"/>
    <x v="45"/>
    <x v="46"/>
    <x v="47"/>
    <s v="整份"/>
    <n v="37"/>
    <s v="份"/>
    <n v="1"/>
    <n v="37"/>
    <n v="0"/>
    <n v="0"/>
    <n v="0"/>
    <n v="0"/>
    <n v="0"/>
    <n v="0"/>
    <n v="0"/>
    <n v="0"/>
    <n v="0"/>
    <n v="0"/>
    <n v="1"/>
    <n v="38.85"/>
    <n v="1.85"/>
    <n v="37"/>
    <n v="1"/>
  </r>
  <r>
    <s v="2021-06-15"/>
    <s v="Vancouver"/>
    <s v="加拿大二店"/>
    <x v="7"/>
    <x v="14"/>
    <x v="45"/>
    <x v="46"/>
    <x v="47"/>
    <s v="整份"/>
    <n v="40.24"/>
    <s v="份"/>
    <n v="1"/>
    <n v="40.24"/>
    <n v="1"/>
    <n v="40.24"/>
    <n v="0"/>
    <n v="0"/>
    <n v="0"/>
    <n v="0"/>
    <n v="0"/>
    <n v="0"/>
    <n v="0"/>
    <n v="0"/>
    <n v="0"/>
    <n v="0"/>
    <n v="0"/>
    <n v="0"/>
    <n v="1"/>
  </r>
  <r>
    <s v="2021-06-15"/>
    <s v="Vancouver"/>
    <s v="加拿大二店"/>
    <x v="7"/>
    <x v="14"/>
    <x v="45"/>
    <x v="46"/>
    <x v="47"/>
    <s v="整份"/>
    <n v="42.6"/>
    <s v="份"/>
    <n v="1"/>
    <n v="42.6"/>
    <n v="0"/>
    <n v="0"/>
    <n v="0"/>
    <n v="0"/>
    <n v="0"/>
    <n v="0"/>
    <n v="0"/>
    <n v="0"/>
    <n v="0"/>
    <n v="0"/>
    <n v="1"/>
    <n v="44.73"/>
    <n v="2.13"/>
    <n v="42.6"/>
    <n v="1"/>
  </r>
  <r>
    <s v="2021-06-15"/>
    <s v="Vancouver"/>
    <s v="加拿大二店"/>
    <x v="7"/>
    <x v="14"/>
    <x v="45"/>
    <x v="46"/>
    <x v="47"/>
    <s v="整份"/>
    <n v="50"/>
    <s v="份"/>
    <n v="1"/>
    <n v="50"/>
    <n v="0"/>
    <n v="0"/>
    <n v="0"/>
    <n v="0"/>
    <n v="0"/>
    <n v="0"/>
    <n v="0"/>
    <n v="-0.02"/>
    <n v="0"/>
    <n v="0"/>
    <n v="1"/>
    <n v="52.52"/>
    <n v="2.5"/>
    <n v="50.02"/>
    <n v="1"/>
  </r>
  <r>
    <s v="2021-06-15"/>
    <s v="Vancouver"/>
    <s v="加拿大二店"/>
    <x v="2"/>
    <x v="4"/>
    <x v="46"/>
    <x v="47"/>
    <x v="48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15"/>
    <s v="Vancouver"/>
    <s v="加拿大二店"/>
    <x v="2"/>
    <x v="21"/>
    <x v="133"/>
    <x v="127"/>
    <x v="138"/>
    <s v="小瓶"/>
    <n v="9.95"/>
    <s v="小瓶"/>
    <n v="1"/>
    <n v="9.95"/>
    <n v="1"/>
    <n v="9.95"/>
    <n v="0"/>
    <n v="0"/>
    <n v="0"/>
    <n v="0"/>
    <n v="0"/>
    <n v="0"/>
    <n v="0"/>
    <n v="0"/>
    <n v="0"/>
    <n v="0"/>
    <n v="0"/>
    <n v="0"/>
    <n v="1"/>
  </r>
  <r>
    <s v="2021-06-15"/>
    <s v="Vancouver"/>
    <s v="加拿大二店"/>
    <x v="6"/>
    <x v="13"/>
    <x v="48"/>
    <x v="49"/>
    <x v="50"/>
    <s v="整份"/>
    <n v="4.95"/>
    <s v="份"/>
    <n v="6"/>
    <n v="29.7"/>
    <n v="0"/>
    <n v="0"/>
    <n v="0"/>
    <n v="0"/>
    <n v="0"/>
    <n v="0"/>
    <n v="0"/>
    <n v="0"/>
    <n v="1.18"/>
    <n v="0"/>
    <n v="6"/>
    <n v="29.94"/>
    <n v="1.42"/>
    <n v="28.52"/>
    <n v="1"/>
  </r>
  <r>
    <s v="2021-06-15"/>
    <s v="Vancouver"/>
    <s v="加拿大二店"/>
    <x v="3"/>
    <x v="7"/>
    <x v="49"/>
    <x v="50"/>
    <x v="51"/>
    <s v="整份"/>
    <n v="4.95"/>
    <s v="份"/>
    <n v="2"/>
    <n v="9.9"/>
    <n v="0"/>
    <n v="0"/>
    <n v="0"/>
    <n v="0"/>
    <n v="0"/>
    <n v="0"/>
    <n v="0"/>
    <n v="0"/>
    <n v="0"/>
    <n v="0"/>
    <n v="2"/>
    <n v="10.39"/>
    <n v="0.49"/>
    <n v="9.9"/>
    <n v="1"/>
  </r>
  <r>
    <s v="2021-06-15"/>
    <s v="Vancouver"/>
    <s v="加拿大二店"/>
    <x v="1"/>
    <x v="6"/>
    <x v="113"/>
    <x v="107"/>
    <x v="117"/>
    <s v="整份"/>
    <n v="28.95"/>
    <s v="份"/>
    <n v="1"/>
    <n v="28.95"/>
    <n v="0"/>
    <n v="0"/>
    <n v="0"/>
    <n v="0"/>
    <n v="0"/>
    <n v="0"/>
    <n v="0"/>
    <n v="0"/>
    <n v="5.79"/>
    <n v="0"/>
    <n v="1"/>
    <n v="24.31"/>
    <n v="1.15"/>
    <n v="23.16"/>
    <n v="1"/>
  </r>
  <r>
    <s v="2021-06-15"/>
    <s v="Vancouver"/>
    <s v="加拿大二店"/>
    <x v="3"/>
    <x v="5"/>
    <x v="51"/>
    <x v="52"/>
    <x v="53"/>
    <s v="整份"/>
    <n v="3.95"/>
    <s v="份"/>
    <n v="9"/>
    <n v="35.55"/>
    <n v="0"/>
    <n v="0"/>
    <n v="0"/>
    <n v="0"/>
    <n v="0"/>
    <n v="0"/>
    <n v="0"/>
    <n v="0"/>
    <n v="3.72"/>
    <n v="0"/>
    <n v="9"/>
    <n v="33.42"/>
    <n v="1.59"/>
    <n v="31.83"/>
    <n v="1"/>
  </r>
  <r>
    <s v="2021-06-15"/>
    <s v="Vancouver"/>
    <s v="加拿大二店"/>
    <x v="3"/>
    <x v="5"/>
    <x v="52"/>
    <x v="53"/>
    <x v="54"/>
    <s v="整份"/>
    <n v="5.95"/>
    <s v="份"/>
    <n v="5"/>
    <n v="29.75"/>
    <n v="0"/>
    <n v="0"/>
    <n v="0"/>
    <n v="0"/>
    <n v="0"/>
    <n v="0"/>
    <n v="0"/>
    <n v="0.01"/>
    <n v="4.16"/>
    <n v="0"/>
    <n v="5"/>
    <n v="26.85"/>
    <n v="1.27"/>
    <n v="25.58"/>
    <n v="1"/>
  </r>
  <r>
    <s v="2021-06-15"/>
    <s v="Vancouver"/>
    <s v="加拿大二店"/>
    <x v="4"/>
    <x v="9"/>
    <x v="53"/>
    <x v="0"/>
    <x v="55"/>
    <s v="拼锅"/>
    <n v="0"/>
    <s v="锅"/>
    <n v="10"/>
    <n v="0"/>
    <n v="0"/>
    <n v="0"/>
    <n v="0"/>
    <n v="0"/>
    <n v="0"/>
    <n v="0"/>
    <n v="0"/>
    <n v="0.01"/>
    <n v="0"/>
    <n v="0"/>
    <n v="10"/>
    <n v="-0.01"/>
    <n v="-0.01"/>
    <n v="0"/>
    <n v="2"/>
  </r>
  <r>
    <s v="2021-06-15"/>
    <s v="Vancouver"/>
    <s v="加拿大二店"/>
    <x v="4"/>
    <x v="10"/>
    <x v="53"/>
    <x v="0"/>
    <x v="55"/>
    <s v="四宫格"/>
    <n v="0"/>
    <s v="锅"/>
    <n v="9"/>
    <n v="0"/>
    <n v="3"/>
    <n v="0"/>
    <n v="0"/>
    <n v="0"/>
    <n v="0"/>
    <n v="0"/>
    <n v="0"/>
    <n v="0"/>
    <n v="0"/>
    <n v="0"/>
    <n v="6"/>
    <n v="0"/>
    <n v="0"/>
    <n v="0"/>
    <n v="1"/>
  </r>
  <r>
    <s v="2021-06-15"/>
    <s v="Vancouver"/>
    <s v="加拿大二店"/>
    <x v="6"/>
    <x v="13"/>
    <x v="54"/>
    <x v="54"/>
    <x v="56"/>
    <s v="个"/>
    <n v="1.95"/>
    <s v="个"/>
    <n v="1"/>
    <n v="1.95"/>
    <n v="0"/>
    <n v="0"/>
    <n v="0"/>
    <n v="0"/>
    <n v="0"/>
    <n v="0"/>
    <n v="0"/>
    <n v="0"/>
    <n v="0"/>
    <n v="0"/>
    <n v="1"/>
    <n v="2.04"/>
    <n v="0.09"/>
    <n v="1.95"/>
    <n v="1"/>
  </r>
  <r>
    <s v="2021-06-15"/>
    <s v="Vancouver"/>
    <s v="加拿大二店"/>
    <x v="6"/>
    <x v="13"/>
    <x v="114"/>
    <x v="108"/>
    <x v="118"/>
    <s v="整份"/>
    <n v="7.95"/>
    <s v="份"/>
    <n v="5"/>
    <n v="39.75"/>
    <n v="0"/>
    <n v="0"/>
    <n v="0"/>
    <n v="0"/>
    <n v="0"/>
    <n v="0"/>
    <n v="0"/>
    <n v="-0.01"/>
    <n v="0"/>
    <n v="0"/>
    <n v="5"/>
    <n v="41.74"/>
    <n v="1.98"/>
    <n v="39.76"/>
    <n v="1"/>
  </r>
  <r>
    <s v="2021-06-15"/>
    <s v="Vancouver"/>
    <s v="加拿大二店"/>
    <x v="1"/>
    <x v="8"/>
    <x v="55"/>
    <x v="55"/>
    <x v="57"/>
    <s v="整份"/>
    <n v="9.95"/>
    <s v="份"/>
    <n v="15"/>
    <n v="149.25"/>
    <n v="0"/>
    <n v="0"/>
    <n v="0"/>
    <n v="0"/>
    <n v="4"/>
    <n v="39.8"/>
    <n v="0"/>
    <n v="0.01"/>
    <n v="4.97"/>
    <n v="0"/>
    <n v="11"/>
    <n v="109.69"/>
    <n v="5.22"/>
    <n v="104.47"/>
    <n v="1"/>
  </r>
  <r>
    <s v="2021-06-15"/>
    <s v="Vancouver"/>
    <s v="加拿大二店"/>
    <x v="1"/>
    <x v="1"/>
    <x v="56"/>
    <x v="56"/>
    <x v="58"/>
    <s v="整份"/>
    <n v="12.95"/>
    <s v="份"/>
    <n v="3"/>
    <n v="38.85"/>
    <n v="0"/>
    <n v="0"/>
    <n v="0"/>
    <n v="0"/>
    <n v="0"/>
    <n v="0"/>
    <n v="0"/>
    <n v="0"/>
    <n v="1.55"/>
    <n v="0"/>
    <n v="3"/>
    <n v="39.16"/>
    <n v="1.86"/>
    <n v="37.3"/>
    <n v="1"/>
  </r>
  <r>
    <s v="2021-06-15"/>
    <s v="Vancouver"/>
    <s v="加拿大二店"/>
    <x v="1"/>
    <x v="1"/>
    <x v="57"/>
    <x v="57"/>
    <x v="59"/>
    <s v="整份"/>
    <n v="11.95"/>
    <s v="份"/>
    <n v="24"/>
    <n v="286.8"/>
    <n v="0"/>
    <n v="0"/>
    <n v="0"/>
    <n v="0"/>
    <n v="0"/>
    <n v="0"/>
    <n v="0"/>
    <n v="-0.01"/>
    <n v="15.99"/>
    <n v="0"/>
    <n v="24"/>
    <n v="284.36"/>
    <n v="13.54"/>
    <n v="270.82"/>
    <n v="1"/>
  </r>
  <r>
    <s v="2021-06-15"/>
    <s v="Vancouver"/>
    <s v="加拿大二店"/>
    <x v="4"/>
    <x v="9"/>
    <x v="58"/>
    <x v="0"/>
    <x v="60"/>
    <s v="拼锅"/>
    <n v="8.95"/>
    <s v="锅"/>
    <n v="13"/>
    <n v="116.35"/>
    <n v="1"/>
    <n v="8.95"/>
    <n v="0"/>
    <n v="0"/>
    <n v="0"/>
    <n v="0"/>
    <n v="0"/>
    <n v="0.01"/>
    <n v="2.68"/>
    <n v="0"/>
    <n v="12"/>
    <n v="109.94"/>
    <n v="5.23"/>
    <n v="104.71"/>
    <n v="2"/>
  </r>
  <r>
    <s v="2021-06-15"/>
    <s v="Vancouver"/>
    <s v="加拿大二店"/>
    <x v="4"/>
    <x v="10"/>
    <x v="58"/>
    <x v="0"/>
    <x v="60"/>
    <s v="四宫格"/>
    <n v="4.95"/>
    <s v="锅"/>
    <n v="6"/>
    <n v="29.7"/>
    <n v="0"/>
    <n v="0"/>
    <n v="0"/>
    <n v="0"/>
    <n v="0"/>
    <n v="0"/>
    <n v="0"/>
    <n v="0"/>
    <n v="0"/>
    <n v="0"/>
    <n v="6"/>
    <n v="31.18"/>
    <n v="1.48"/>
    <n v="29.7"/>
    <n v="1"/>
  </r>
  <r>
    <s v="2021-06-15"/>
    <s v="Vancouver"/>
    <s v="加拿大二店"/>
    <x v="3"/>
    <x v="5"/>
    <x v="59"/>
    <x v="58"/>
    <x v="61"/>
    <s v="整份"/>
    <n v="4.95"/>
    <s v="份"/>
    <n v="1"/>
    <n v="4.95"/>
    <n v="0"/>
    <n v="0"/>
    <n v="0"/>
    <n v="0"/>
    <n v="0"/>
    <n v="0"/>
    <n v="0"/>
    <n v="0"/>
    <n v="1.48"/>
    <n v="0"/>
    <n v="1"/>
    <n v="3.64"/>
    <n v="0.17"/>
    <n v="3.47"/>
    <n v="1"/>
  </r>
  <r>
    <s v="2021-06-15"/>
    <s v="Vancouver"/>
    <s v="加拿大二店"/>
    <x v="2"/>
    <x v="4"/>
    <x v="60"/>
    <x v="59"/>
    <x v="62"/>
    <s v="冰镇"/>
    <n v="6.95"/>
    <s v="扎"/>
    <n v="1"/>
    <n v="6.95"/>
    <n v="0"/>
    <n v="0"/>
    <n v="0"/>
    <n v="0"/>
    <n v="0"/>
    <n v="0"/>
    <n v="0"/>
    <n v="0"/>
    <n v="0"/>
    <n v="0"/>
    <n v="1"/>
    <n v="7.78"/>
    <n v="0.83"/>
    <n v="6.95"/>
    <n v="1"/>
  </r>
  <r>
    <s v="2021-06-15"/>
    <s v="Vancouver"/>
    <s v="加拿大二店"/>
    <x v="6"/>
    <x v="13"/>
    <x v="61"/>
    <x v="60"/>
    <x v="63"/>
    <s v="整份"/>
    <n v="3.95"/>
    <s v="包"/>
    <n v="3"/>
    <n v="11.85"/>
    <n v="0"/>
    <n v="0"/>
    <n v="0"/>
    <n v="0"/>
    <n v="0"/>
    <n v="0"/>
    <n v="0"/>
    <n v="0"/>
    <n v="0"/>
    <n v="0"/>
    <n v="3"/>
    <n v="12.44"/>
    <n v="0.59"/>
    <n v="11.85"/>
    <n v="1"/>
  </r>
  <r>
    <s v="2021-06-15"/>
    <s v="Vancouver"/>
    <s v="加拿大二店"/>
    <x v="4"/>
    <x v="9"/>
    <x v="62"/>
    <x v="0"/>
    <x v="64"/>
    <s v="拼锅"/>
    <n v="8.95"/>
    <s v="锅"/>
    <n v="12"/>
    <n v="107.4"/>
    <n v="0"/>
    <n v="0"/>
    <n v="0"/>
    <n v="0"/>
    <n v="1"/>
    <n v="8.95"/>
    <n v="0"/>
    <n v="0"/>
    <n v="1.79"/>
    <n v="0"/>
    <n v="11"/>
    <n v="101.49"/>
    <n v="4.83"/>
    <n v="96.66"/>
    <n v="2"/>
  </r>
  <r>
    <s v="2021-06-15"/>
    <s v="Vancouver"/>
    <s v="加拿大二店"/>
    <x v="4"/>
    <x v="10"/>
    <x v="62"/>
    <x v="0"/>
    <x v="64"/>
    <s v="四宫格"/>
    <n v="4.95"/>
    <s v="锅"/>
    <n v="10"/>
    <n v="49.5"/>
    <n v="0"/>
    <n v="0"/>
    <n v="0"/>
    <n v="0"/>
    <n v="0"/>
    <n v="0"/>
    <n v="0"/>
    <n v="0"/>
    <n v="0"/>
    <n v="0"/>
    <n v="10"/>
    <n v="51.97"/>
    <n v="2.47"/>
    <n v="49.5"/>
    <n v="1"/>
  </r>
  <r>
    <s v="2021-06-15"/>
    <s v="Vancouver"/>
    <s v="加拿大二店"/>
    <x v="6"/>
    <x v="13"/>
    <x v="63"/>
    <x v="61"/>
    <x v="65"/>
    <s v="整份"/>
    <n v="1.5"/>
    <s v="碗"/>
    <n v="4"/>
    <n v="6"/>
    <n v="0"/>
    <n v="0"/>
    <n v="0"/>
    <n v="0"/>
    <n v="0"/>
    <n v="0"/>
    <n v="0"/>
    <n v="0"/>
    <n v="0"/>
    <n v="0"/>
    <n v="4"/>
    <n v="6.3"/>
    <n v="0.3"/>
    <n v="6"/>
    <n v="1"/>
  </r>
  <r>
    <s v="2021-06-15"/>
    <s v="Vancouver"/>
    <s v="加拿大二店"/>
    <x v="3"/>
    <x v="5"/>
    <x v="64"/>
    <x v="62"/>
    <x v="66"/>
    <s v="整份"/>
    <n v="3.95"/>
    <s v="份"/>
    <n v="6"/>
    <n v="23.7"/>
    <n v="0"/>
    <n v="0"/>
    <n v="0"/>
    <n v="0"/>
    <n v="0"/>
    <n v="0"/>
    <n v="0"/>
    <n v="0"/>
    <n v="2.36"/>
    <n v="0"/>
    <n v="6"/>
    <n v="22.4"/>
    <n v="1.06"/>
    <n v="21.34"/>
    <n v="1"/>
  </r>
  <r>
    <s v="2021-06-15"/>
    <s v="Vancouver"/>
    <s v="加拿大二店"/>
    <x v="2"/>
    <x v="19"/>
    <x v="125"/>
    <x v="119"/>
    <x v="130"/>
    <s v="瓶"/>
    <n v="16.95"/>
    <s v="瓶"/>
    <n v="1"/>
    <n v="16.95"/>
    <n v="0"/>
    <n v="0"/>
    <n v="0"/>
    <n v="0"/>
    <n v="0"/>
    <n v="0"/>
    <n v="0"/>
    <n v="0.02"/>
    <n v="0"/>
    <n v="0"/>
    <n v="1"/>
    <n v="19.46"/>
    <n v="2.53"/>
    <n v="16.93"/>
    <n v="1"/>
  </r>
  <r>
    <s v="2021-06-15"/>
    <s v="Vancouver"/>
    <s v="加拿大二店"/>
    <x v="2"/>
    <x v="4"/>
    <x v="65"/>
    <x v="63"/>
    <x v="67"/>
    <s v="扎"/>
    <n v="8.95"/>
    <s v="扎"/>
    <n v="1"/>
    <n v="8.95"/>
    <n v="0"/>
    <n v="0"/>
    <n v="0"/>
    <n v="0"/>
    <n v="0"/>
    <n v="0"/>
    <n v="0"/>
    <n v="-0.01"/>
    <n v="0"/>
    <n v="0"/>
    <n v="1"/>
    <n v="10.03"/>
    <n v="1.07"/>
    <n v="8.96"/>
    <n v="1"/>
  </r>
  <r>
    <s v="2021-06-15"/>
    <s v="Vancouver"/>
    <s v="加拿大二店"/>
    <x v="2"/>
    <x v="4"/>
    <x v="66"/>
    <x v="64"/>
    <x v="68"/>
    <s v="扎"/>
    <n v="11.95"/>
    <s v="扎"/>
    <n v="3"/>
    <n v="35.85"/>
    <n v="0"/>
    <n v="0"/>
    <n v="0"/>
    <n v="0"/>
    <n v="1"/>
    <n v="11.95"/>
    <n v="0"/>
    <n v="0"/>
    <n v="0"/>
    <n v="0"/>
    <n v="2"/>
    <n v="26.76"/>
    <n v="2.86"/>
    <n v="23.9"/>
    <n v="1"/>
  </r>
  <r>
    <s v="2021-06-15"/>
    <s v="Vancouver"/>
    <s v="加拿大二店"/>
    <x v="3"/>
    <x v="5"/>
    <x v="134"/>
    <x v="128"/>
    <x v="139"/>
    <s v="整份"/>
    <n v="13.95"/>
    <s v="份"/>
    <n v="9"/>
    <n v="125.55"/>
    <n v="0"/>
    <n v="0"/>
    <n v="0"/>
    <n v="0"/>
    <n v="0"/>
    <n v="0"/>
    <n v="0"/>
    <n v="0.05"/>
    <n v="12.59"/>
    <n v="0"/>
    <n v="9"/>
    <n v="118.55"/>
    <n v="5.64"/>
    <n v="112.91"/>
    <n v="1"/>
  </r>
  <r>
    <s v="2021-06-15"/>
    <s v="Vancouver"/>
    <s v="加拿大二店"/>
    <x v="3"/>
    <x v="5"/>
    <x v="117"/>
    <x v="111"/>
    <x v="121"/>
    <s v="整份"/>
    <n v="4.95"/>
    <s v="份"/>
    <n v="2"/>
    <n v="9.9"/>
    <n v="0"/>
    <n v="0"/>
    <n v="0"/>
    <n v="0"/>
    <n v="0"/>
    <n v="0"/>
    <n v="0"/>
    <n v="0"/>
    <n v="0.99"/>
    <n v="0"/>
    <n v="2"/>
    <n v="9.35"/>
    <n v="0.44"/>
    <n v="8.91"/>
    <n v="1"/>
  </r>
  <r>
    <s v="2021-06-15"/>
    <s v="Vancouver"/>
    <s v="加拿大二店"/>
    <x v="3"/>
    <x v="7"/>
    <x v="67"/>
    <x v="65"/>
    <x v="69"/>
    <s v="整份"/>
    <n v="3.95"/>
    <s v="份"/>
    <n v="2"/>
    <n v="7.9"/>
    <n v="0"/>
    <n v="0"/>
    <n v="0"/>
    <n v="0"/>
    <n v="0"/>
    <n v="0"/>
    <n v="0"/>
    <n v="0"/>
    <n v="0"/>
    <n v="0"/>
    <n v="2"/>
    <n v="8.29"/>
    <n v="0.39"/>
    <n v="7.9"/>
    <n v="1"/>
  </r>
  <r>
    <s v="2021-06-15"/>
    <s v="Vancouver"/>
    <s v="加拿大二店"/>
    <x v="1"/>
    <x v="1"/>
    <x v="68"/>
    <x v="66"/>
    <x v="70"/>
    <s v="整份"/>
    <n v="8.95"/>
    <s v="份"/>
    <n v="35"/>
    <n v="313.25"/>
    <n v="0"/>
    <n v="0"/>
    <n v="0"/>
    <n v="0"/>
    <n v="1"/>
    <n v="8.95"/>
    <n v="0"/>
    <n v="0"/>
    <n v="18.41"/>
    <n v="0"/>
    <n v="34"/>
    <n v="300.18"/>
    <n v="14.29"/>
    <n v="285.89"/>
    <n v="1"/>
  </r>
  <r>
    <s v="2021-06-15"/>
    <s v="Vancouver"/>
    <s v="加拿大二店"/>
    <x v="1"/>
    <x v="1"/>
    <x v="69"/>
    <x v="67"/>
    <x v="71"/>
    <s v="整份"/>
    <n v="8.95"/>
    <s v="份"/>
    <n v="5"/>
    <n v="44.75"/>
    <n v="0"/>
    <n v="0"/>
    <n v="0"/>
    <n v="0"/>
    <n v="0"/>
    <n v="0"/>
    <n v="0"/>
    <n v="0"/>
    <n v="2.68"/>
    <n v="0"/>
    <n v="5"/>
    <n v="44.17"/>
    <n v="2.1"/>
    <n v="42.07"/>
    <n v="1"/>
  </r>
  <r>
    <s v="2021-06-15"/>
    <s v="Vancouver"/>
    <s v="加拿大二店"/>
    <x v="6"/>
    <x v="15"/>
    <x v="70"/>
    <x v="68"/>
    <x v="72"/>
    <s v="整份"/>
    <n v="1.5"/>
    <s v="份"/>
    <n v="3"/>
    <n v="4.5"/>
    <n v="0"/>
    <n v="0"/>
    <n v="0"/>
    <n v="0"/>
    <n v="0"/>
    <n v="0"/>
    <n v="0"/>
    <n v="0"/>
    <n v="0"/>
    <n v="0"/>
    <n v="3"/>
    <n v="4.72"/>
    <n v="0.22"/>
    <n v="4.5"/>
    <n v="1"/>
  </r>
  <r>
    <s v="2021-06-15"/>
    <s v="Vancouver"/>
    <s v="加拿大二店"/>
    <x v="4"/>
    <x v="9"/>
    <x v="71"/>
    <x v="0"/>
    <x v="73"/>
    <s v="拼锅"/>
    <n v="18.95"/>
    <s v="锅"/>
    <n v="6"/>
    <n v="113.7"/>
    <n v="0"/>
    <n v="0"/>
    <n v="0"/>
    <n v="0"/>
    <n v="1"/>
    <n v="18.95"/>
    <n v="0"/>
    <n v="0.01"/>
    <n v="0"/>
    <n v="0"/>
    <n v="5"/>
    <n v="99.47"/>
    <n v="4.73"/>
    <n v="94.74"/>
    <n v="2"/>
  </r>
  <r>
    <s v="2021-06-15"/>
    <s v="Vancouver"/>
    <s v="加拿大二店"/>
    <x v="4"/>
    <x v="10"/>
    <x v="71"/>
    <x v="0"/>
    <x v="73"/>
    <s v="四宫格"/>
    <n v="9.95"/>
    <s v="锅"/>
    <n v="2"/>
    <n v="19.9"/>
    <n v="0"/>
    <n v="0"/>
    <n v="0"/>
    <n v="0"/>
    <n v="0"/>
    <n v="0"/>
    <n v="0"/>
    <n v="0"/>
    <n v="0"/>
    <n v="0"/>
    <n v="2"/>
    <n v="20.89"/>
    <n v="0.99"/>
    <n v="19.9"/>
    <n v="1"/>
  </r>
  <r>
    <s v="2021-06-15"/>
    <s v="Vancouver"/>
    <s v="加拿大二店"/>
    <x v="6"/>
    <x v="13"/>
    <x v="73"/>
    <x v="70"/>
    <x v="75"/>
    <s v="份"/>
    <n v="6.95"/>
    <s v="份"/>
    <n v="3"/>
    <n v="20.85"/>
    <n v="0"/>
    <n v="0"/>
    <n v="0"/>
    <n v="0"/>
    <n v="0"/>
    <n v="0"/>
    <n v="0"/>
    <n v="-0.01"/>
    <n v="0"/>
    <n v="0"/>
    <n v="3"/>
    <n v="21.9"/>
    <n v="1.04"/>
    <n v="20.86"/>
    <n v="1"/>
  </r>
  <r>
    <s v="2021-06-15"/>
    <s v="Vancouver"/>
    <s v="加拿大二店"/>
    <x v="4"/>
    <x v="9"/>
    <x v="74"/>
    <x v="0"/>
    <x v="76"/>
    <s v="拼锅"/>
    <n v="18.95"/>
    <s v="锅"/>
    <n v="4"/>
    <n v="75.8"/>
    <n v="0"/>
    <n v="0"/>
    <n v="0"/>
    <n v="0"/>
    <n v="0"/>
    <n v="0"/>
    <n v="0"/>
    <n v="0.02"/>
    <n v="0"/>
    <n v="0"/>
    <n v="4"/>
    <n v="79.56"/>
    <n v="3.78"/>
    <n v="75.78"/>
    <n v="2"/>
  </r>
  <r>
    <s v="2021-06-15"/>
    <s v="Vancouver"/>
    <s v="加拿大二店"/>
    <x v="4"/>
    <x v="10"/>
    <x v="74"/>
    <x v="0"/>
    <x v="76"/>
    <s v="四宫格"/>
    <n v="9.95"/>
    <s v="锅"/>
    <n v="3"/>
    <n v="29.85"/>
    <n v="1"/>
    <n v="9.95"/>
    <n v="0"/>
    <n v="0"/>
    <n v="0"/>
    <n v="0"/>
    <n v="0"/>
    <n v="0"/>
    <n v="0"/>
    <n v="0"/>
    <n v="2"/>
    <n v="20.89"/>
    <n v="0.99"/>
    <n v="19.9"/>
    <n v="1"/>
  </r>
  <r>
    <s v="2021-06-15"/>
    <s v="Vancouver"/>
    <s v="加拿大二店"/>
    <x v="1"/>
    <x v="6"/>
    <x v="118"/>
    <x v="112"/>
    <x v="122"/>
    <s v="整份"/>
    <n v="28.95"/>
    <s v="份"/>
    <n v="2"/>
    <n v="57.9"/>
    <n v="0"/>
    <n v="0"/>
    <n v="0"/>
    <n v="0"/>
    <n v="0"/>
    <n v="0"/>
    <n v="0"/>
    <n v="0"/>
    <n v="5.79"/>
    <n v="0"/>
    <n v="2"/>
    <n v="54.71"/>
    <n v="2.6"/>
    <n v="52.11"/>
    <n v="1"/>
  </r>
  <r>
    <s v="2021-06-15"/>
    <s v="Vancouver"/>
    <s v="加拿大二店"/>
    <x v="8"/>
    <x v="17"/>
    <x v="75"/>
    <x v="71"/>
    <x v="77"/>
    <s v="整份"/>
    <n v="3.99"/>
    <s v="位"/>
    <n v="89"/>
    <n v="355.11"/>
    <n v="4"/>
    <n v="15.96"/>
    <n v="0"/>
    <n v="0"/>
    <n v="0"/>
    <n v="0"/>
    <n v="0"/>
    <n v="0"/>
    <n v="2"/>
    <n v="0"/>
    <n v="85"/>
    <n v="354"/>
    <n v="16.85"/>
    <n v="337.15"/>
    <n v="1"/>
  </r>
  <r>
    <s v="2021-06-15"/>
    <s v="Vancouver"/>
    <s v="加拿大二店"/>
    <x v="3"/>
    <x v="5"/>
    <x v="76"/>
    <x v="72"/>
    <x v="78"/>
    <s v="整份"/>
    <n v="3.95"/>
    <s v="份"/>
    <n v="4"/>
    <n v="15.8"/>
    <n v="0"/>
    <n v="0"/>
    <n v="0"/>
    <n v="0"/>
    <n v="0"/>
    <n v="0"/>
    <n v="0"/>
    <n v="0"/>
    <n v="0.47"/>
    <n v="0"/>
    <n v="4"/>
    <n v="16.09"/>
    <n v="0.76"/>
    <n v="15.33"/>
    <n v="1"/>
  </r>
  <r>
    <s v="2021-06-15"/>
    <s v="Vancouver"/>
    <s v="加拿大二店"/>
    <x v="1"/>
    <x v="3"/>
    <x v="77"/>
    <x v="73"/>
    <x v="79"/>
    <s v="整份"/>
    <n v="5.95"/>
    <s v="份"/>
    <n v="2"/>
    <n v="11.9"/>
    <n v="0"/>
    <n v="0"/>
    <n v="0"/>
    <n v="0"/>
    <n v="0"/>
    <n v="0"/>
    <n v="0"/>
    <n v="0"/>
    <n v="0"/>
    <n v="0"/>
    <n v="2"/>
    <n v="12.49"/>
    <n v="0.59"/>
    <n v="11.9"/>
    <n v="1"/>
  </r>
  <r>
    <s v="2021-06-15"/>
    <s v="Vancouver"/>
    <s v="加拿大二店"/>
    <x v="3"/>
    <x v="11"/>
    <x v="78"/>
    <x v="74"/>
    <x v="80"/>
    <s v="整份"/>
    <n v="5.95"/>
    <s v="份"/>
    <n v="5"/>
    <n v="29.75"/>
    <n v="0"/>
    <n v="0"/>
    <n v="0"/>
    <n v="0"/>
    <n v="0"/>
    <n v="0"/>
    <n v="0"/>
    <n v="0"/>
    <n v="2.97"/>
    <n v="0"/>
    <n v="5"/>
    <n v="28.11"/>
    <n v="1.33"/>
    <n v="26.78"/>
    <n v="1"/>
  </r>
  <r>
    <s v="2021-06-15"/>
    <s v="Vancouver"/>
    <s v="加拿大二店"/>
    <x v="3"/>
    <x v="11"/>
    <x v="78"/>
    <x v="75"/>
    <x v="81"/>
    <s v="半份"/>
    <n v="2.95"/>
    <s v="份"/>
    <n v="2"/>
    <n v="5.9"/>
    <n v="0"/>
    <n v="0"/>
    <n v="0"/>
    <n v="0"/>
    <n v="0"/>
    <n v="0"/>
    <n v="0"/>
    <n v="0"/>
    <n v="0.91"/>
    <n v="0"/>
    <n v="2"/>
    <n v="5.23"/>
    <n v="0.24"/>
    <n v="4.99"/>
    <n v="0.5"/>
  </r>
  <r>
    <s v="2021-06-15"/>
    <s v="Vancouver"/>
    <s v="加拿大二店"/>
    <x v="3"/>
    <x v="5"/>
    <x v="79"/>
    <x v="76"/>
    <x v="82"/>
    <s v="整份"/>
    <n v="3.95"/>
    <s v="份"/>
    <n v="7"/>
    <n v="27.65"/>
    <n v="0"/>
    <n v="0"/>
    <n v="0"/>
    <n v="0"/>
    <n v="0"/>
    <n v="0"/>
    <n v="0"/>
    <n v="0"/>
    <n v="2.05"/>
    <n v="0"/>
    <n v="7"/>
    <n v="26.88"/>
    <n v="1.28"/>
    <n v="25.6"/>
    <n v="1"/>
  </r>
  <r>
    <s v="2021-06-15"/>
    <s v="Vancouver"/>
    <s v="加拿大二店"/>
    <x v="3"/>
    <x v="5"/>
    <x v="80"/>
    <x v="77"/>
    <x v="83"/>
    <s v="整份"/>
    <n v="5.95"/>
    <s v="份"/>
    <n v="7"/>
    <n v="41.65"/>
    <n v="0"/>
    <n v="0"/>
    <n v="0"/>
    <n v="0"/>
    <n v="0"/>
    <n v="0"/>
    <n v="0"/>
    <n v="0"/>
    <n v="1.19"/>
    <n v="0"/>
    <n v="7"/>
    <n v="42.48"/>
    <n v="2.02"/>
    <n v="40.46"/>
    <n v="1"/>
  </r>
  <r>
    <s v="2021-06-15"/>
    <s v="Vancouver"/>
    <s v="加拿大二店"/>
    <x v="4"/>
    <x v="9"/>
    <x v="81"/>
    <x v="0"/>
    <x v="84"/>
    <s v="拼锅"/>
    <n v="8.95"/>
    <s v="锅"/>
    <n v="7"/>
    <n v="62.65"/>
    <n v="0"/>
    <n v="0"/>
    <n v="0"/>
    <n v="0"/>
    <n v="0"/>
    <n v="0"/>
    <n v="0"/>
    <n v="-0.01"/>
    <n v="2.68"/>
    <n v="0"/>
    <n v="7"/>
    <n v="62.97"/>
    <n v="2.99"/>
    <n v="59.98"/>
    <n v="2"/>
  </r>
  <r>
    <s v="2021-06-15"/>
    <s v="Vancouver"/>
    <s v="加拿大二店"/>
    <x v="4"/>
    <x v="10"/>
    <x v="81"/>
    <x v="0"/>
    <x v="84"/>
    <s v="四宫格"/>
    <n v="4.95"/>
    <s v="锅"/>
    <n v="3"/>
    <n v="14.85"/>
    <n v="0"/>
    <n v="0"/>
    <n v="0"/>
    <n v="0"/>
    <n v="0"/>
    <n v="0"/>
    <n v="0"/>
    <n v="0.01"/>
    <n v="0"/>
    <n v="0"/>
    <n v="3"/>
    <n v="15.58"/>
    <n v="0.74"/>
    <n v="14.84"/>
    <n v="1"/>
  </r>
  <r>
    <s v="2021-06-15"/>
    <s v="Vancouver"/>
    <s v="加拿大二店"/>
    <x v="3"/>
    <x v="5"/>
    <x v="82"/>
    <x v="78"/>
    <x v="85"/>
    <s v="整份"/>
    <n v="12.95"/>
    <s v="份"/>
    <n v="1"/>
    <n v="12.95"/>
    <n v="0"/>
    <n v="0"/>
    <n v="0"/>
    <n v="0"/>
    <n v="0"/>
    <n v="0"/>
    <n v="0"/>
    <n v="0"/>
    <n v="0"/>
    <n v="0"/>
    <n v="1"/>
    <n v="13.59"/>
    <n v="0.64"/>
    <n v="12.95"/>
    <n v="1"/>
  </r>
  <r>
    <s v="2021-06-15"/>
    <s v="Vancouver"/>
    <s v="加拿大二店"/>
    <x v="3"/>
    <x v="11"/>
    <x v="83"/>
    <x v="79"/>
    <x v="86"/>
    <s v="整份"/>
    <n v="5.95"/>
    <s v="份"/>
    <n v="6"/>
    <n v="35.7"/>
    <n v="0"/>
    <n v="0"/>
    <n v="0"/>
    <n v="0"/>
    <n v="0"/>
    <n v="0"/>
    <n v="0"/>
    <n v="0"/>
    <n v="2.49"/>
    <n v="0"/>
    <n v="6"/>
    <n v="34.87"/>
    <n v="1.66"/>
    <n v="33.21"/>
    <n v="1"/>
  </r>
  <r>
    <s v="2021-06-15"/>
    <s v="Vancouver"/>
    <s v="加拿大二店"/>
    <x v="3"/>
    <x v="11"/>
    <x v="83"/>
    <x v="80"/>
    <x v="87"/>
    <s v="半份"/>
    <n v="2.95"/>
    <s v="份"/>
    <n v="1"/>
    <n v="2.95"/>
    <n v="0"/>
    <n v="0"/>
    <n v="0"/>
    <n v="0"/>
    <n v="0"/>
    <n v="0"/>
    <n v="0"/>
    <n v="0"/>
    <n v="0"/>
    <n v="0"/>
    <n v="1"/>
    <n v="3.09"/>
    <n v="0.14"/>
    <n v="2.95"/>
    <n v="0.5"/>
  </r>
  <r>
    <s v="2021-06-15"/>
    <s v="Vancouver"/>
    <s v="加拿大二店"/>
    <x v="3"/>
    <x v="11"/>
    <x v="84"/>
    <x v="81"/>
    <x v="88"/>
    <s v="整份"/>
    <n v="11.95"/>
    <s v="份"/>
    <n v="4"/>
    <n v="47.8"/>
    <n v="0"/>
    <n v="0"/>
    <n v="0"/>
    <n v="0"/>
    <n v="0"/>
    <n v="0"/>
    <n v="0"/>
    <n v="0"/>
    <n v="1.43"/>
    <n v="0"/>
    <n v="4"/>
    <n v="48.68"/>
    <n v="2.31"/>
    <n v="46.37"/>
    <n v="1"/>
  </r>
  <r>
    <s v="2021-06-15"/>
    <s v="Vancouver"/>
    <s v="加拿大二店"/>
    <x v="1"/>
    <x v="3"/>
    <x v="85"/>
    <x v="82"/>
    <x v="89"/>
    <s v="整份"/>
    <n v="6.95"/>
    <s v="份"/>
    <n v="5"/>
    <n v="34.75"/>
    <n v="0"/>
    <n v="0"/>
    <n v="0"/>
    <n v="0"/>
    <n v="0"/>
    <n v="0"/>
    <n v="0"/>
    <n v="0"/>
    <n v="0.83"/>
    <n v="0"/>
    <n v="5"/>
    <n v="35.61"/>
    <n v="1.69"/>
    <n v="33.92"/>
    <n v="1"/>
  </r>
  <r>
    <s v="2021-06-15"/>
    <s v="Vancouver"/>
    <s v="加拿大二店"/>
    <x v="6"/>
    <x v="13"/>
    <x v="86"/>
    <x v="83"/>
    <x v="90"/>
    <s v="碗"/>
    <n v="2.95"/>
    <s v="碗"/>
    <n v="4"/>
    <n v="11.8"/>
    <n v="0"/>
    <n v="0"/>
    <n v="0"/>
    <n v="0"/>
    <n v="0"/>
    <n v="0"/>
    <n v="0"/>
    <n v="0"/>
    <n v="0"/>
    <n v="0"/>
    <n v="4"/>
    <n v="12.39"/>
    <n v="0.59"/>
    <n v="11.8"/>
    <n v="1"/>
  </r>
  <r>
    <s v="2021-06-15"/>
    <s v="Vancouver"/>
    <s v="加拿大二店"/>
    <x v="2"/>
    <x v="4"/>
    <x v="87"/>
    <x v="84"/>
    <x v="91"/>
    <s v="常温"/>
    <n v="2.95"/>
    <s v="扎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15"/>
    <s v="Vancouver"/>
    <s v="加拿大二店"/>
    <x v="2"/>
    <x v="4"/>
    <x v="87"/>
    <x v="84"/>
    <x v="91"/>
    <s v="冰镇"/>
    <n v="2.95"/>
    <s v="扎"/>
    <n v="5"/>
    <n v="14.75"/>
    <n v="0"/>
    <n v="0"/>
    <n v="0"/>
    <n v="0"/>
    <n v="0"/>
    <n v="0"/>
    <n v="0"/>
    <n v="0"/>
    <n v="0"/>
    <n v="0"/>
    <n v="5"/>
    <n v="16.52"/>
    <n v="1.77"/>
    <n v="14.75"/>
    <n v="1"/>
  </r>
  <r>
    <s v="2021-06-15"/>
    <s v="Vancouver"/>
    <s v="加拿大二店"/>
    <x v="1"/>
    <x v="8"/>
    <x v="88"/>
    <x v="85"/>
    <x v="92"/>
    <s v="整份"/>
    <n v="7.95"/>
    <s v="份"/>
    <n v="3"/>
    <n v="23.85"/>
    <n v="0"/>
    <n v="0"/>
    <n v="0"/>
    <n v="0"/>
    <n v="0"/>
    <n v="0"/>
    <n v="0"/>
    <n v="0"/>
    <n v="0"/>
    <n v="0"/>
    <n v="3"/>
    <n v="25.04"/>
    <n v="1.19"/>
    <n v="23.85"/>
    <n v="1"/>
  </r>
  <r>
    <s v="2021-06-15"/>
    <s v="Vancouver"/>
    <s v="加拿大二店"/>
    <x v="1"/>
    <x v="8"/>
    <x v="89"/>
    <x v="86"/>
    <x v="93"/>
    <s v="整份"/>
    <n v="4.95"/>
    <s v="份"/>
    <n v="14"/>
    <n v="69.3"/>
    <n v="0"/>
    <n v="0"/>
    <n v="0"/>
    <n v="0"/>
    <n v="0"/>
    <n v="0"/>
    <n v="0"/>
    <n v="0"/>
    <n v="5.93"/>
    <n v="0"/>
    <n v="14"/>
    <n v="66.53"/>
    <n v="3.16"/>
    <n v="63.37"/>
    <n v="1"/>
  </r>
  <r>
    <s v="2021-06-15"/>
    <s v="Vancouver"/>
    <s v="加拿大二店"/>
    <x v="3"/>
    <x v="7"/>
    <x v="90"/>
    <x v="87"/>
    <x v="94"/>
    <s v="整份"/>
    <n v="4.95"/>
    <s v="份"/>
    <n v="6"/>
    <n v="29.7"/>
    <n v="0"/>
    <n v="0"/>
    <n v="0"/>
    <n v="0"/>
    <n v="0"/>
    <n v="0"/>
    <n v="0"/>
    <n v="0"/>
    <n v="4.94"/>
    <n v="0"/>
    <n v="6"/>
    <n v="25.99"/>
    <n v="1.23"/>
    <n v="24.76"/>
    <n v="1"/>
  </r>
  <r>
    <s v="2021-06-15"/>
    <s v="Vancouver"/>
    <s v="加拿大二店"/>
    <x v="6"/>
    <x v="18"/>
    <x v="91"/>
    <x v="88"/>
    <x v="95"/>
    <s v="整份"/>
    <n v="2.95"/>
    <s v="份"/>
    <n v="4"/>
    <n v="11.8"/>
    <n v="0"/>
    <n v="0"/>
    <n v="0"/>
    <n v="0"/>
    <n v="0"/>
    <n v="0"/>
    <n v="0"/>
    <n v="0"/>
    <n v="0"/>
    <n v="0"/>
    <n v="4"/>
    <n v="12.39"/>
    <n v="0.59"/>
    <n v="11.8"/>
    <n v="1"/>
  </r>
  <r>
    <s v="2021-06-15"/>
    <s v="Vancouver"/>
    <s v="加拿大二店"/>
    <x v="4"/>
    <x v="9"/>
    <x v="92"/>
    <x v="0"/>
    <x v="96"/>
    <s v="拼锅"/>
    <n v="8.95"/>
    <s v="锅"/>
    <n v="3"/>
    <n v="26.85"/>
    <n v="0"/>
    <n v="0"/>
    <n v="0"/>
    <n v="0"/>
    <n v="0"/>
    <n v="0"/>
    <n v="0"/>
    <n v="0"/>
    <n v="2.76"/>
    <n v="0"/>
    <n v="3"/>
    <n v="25.29"/>
    <n v="1.2"/>
    <n v="24.09"/>
    <n v="2"/>
  </r>
  <r>
    <s v="2021-06-15"/>
    <s v="Vancouver"/>
    <s v="加拿大二店"/>
    <x v="4"/>
    <x v="10"/>
    <x v="92"/>
    <x v="0"/>
    <x v="96"/>
    <s v="四宫格"/>
    <n v="4.95"/>
    <s v="锅"/>
    <n v="2"/>
    <n v="9.9"/>
    <n v="0"/>
    <n v="0"/>
    <n v="0"/>
    <n v="0"/>
    <n v="0"/>
    <n v="0"/>
    <n v="0"/>
    <n v="0"/>
    <n v="2.47"/>
    <n v="0"/>
    <n v="2"/>
    <n v="7.8"/>
    <n v="0.37"/>
    <n v="7.43"/>
    <n v="1"/>
  </r>
  <r>
    <s v="2021-06-15"/>
    <s v="Vancouver"/>
    <s v="加拿大二店"/>
    <x v="3"/>
    <x v="5"/>
    <x v="93"/>
    <x v="89"/>
    <x v="97"/>
    <s v="整份"/>
    <n v="5.95"/>
    <s v="份"/>
    <n v="9"/>
    <n v="53.55"/>
    <n v="0"/>
    <n v="0"/>
    <n v="0"/>
    <n v="0"/>
    <n v="0"/>
    <n v="0"/>
    <n v="0"/>
    <n v="0"/>
    <n v="1.19"/>
    <n v="0"/>
    <n v="9"/>
    <n v="54.97"/>
    <n v="2.61"/>
    <n v="52.36"/>
    <n v="1"/>
  </r>
  <r>
    <s v="2021-06-15"/>
    <s v="Vancouver"/>
    <s v="加拿大二店"/>
    <x v="6"/>
    <x v="13"/>
    <x v="94"/>
    <x v="90"/>
    <x v="98"/>
    <s v="整份"/>
    <n v="4.95"/>
    <s v="份"/>
    <n v="11"/>
    <n v="54.45"/>
    <n v="0"/>
    <n v="0"/>
    <n v="0"/>
    <n v="0"/>
    <n v="0"/>
    <n v="0"/>
    <n v="0"/>
    <n v="0"/>
    <n v="0"/>
    <n v="0"/>
    <n v="11"/>
    <n v="57.17"/>
    <n v="2.72"/>
    <n v="54.45"/>
    <n v="1"/>
  </r>
  <r>
    <s v="2021-06-15"/>
    <s v="Vancouver"/>
    <s v="加拿大二店"/>
    <x v="7"/>
    <x v="14"/>
    <x v="123"/>
    <x v="117"/>
    <x v="127"/>
    <s v="整份"/>
    <n v="0"/>
    <s v="份"/>
    <n v="1"/>
    <n v="0"/>
    <n v="0"/>
    <n v="0"/>
    <n v="0"/>
    <n v="0"/>
    <n v="0"/>
    <n v="0"/>
    <n v="0"/>
    <n v="0"/>
    <n v="0"/>
    <n v="0"/>
    <n v="1"/>
    <n v="0"/>
    <n v="0"/>
    <n v="0"/>
    <n v="1"/>
  </r>
  <r>
    <s v="2021-06-15"/>
    <s v="Vancouver"/>
    <s v="加拿大二店"/>
    <x v="1"/>
    <x v="1"/>
    <x v="96"/>
    <x v="92"/>
    <x v="100"/>
    <s v="整份"/>
    <n v="49.95"/>
    <s v="份"/>
    <n v="5"/>
    <n v="249.75"/>
    <n v="0"/>
    <n v="0"/>
    <n v="0"/>
    <n v="0"/>
    <n v="0"/>
    <n v="0"/>
    <n v="0"/>
    <n v="0.03"/>
    <n v="34.96"/>
    <n v="0"/>
    <n v="5"/>
    <n v="225.49"/>
    <n v="10.73"/>
    <n v="214.76"/>
    <n v="1"/>
  </r>
  <r>
    <s v="2021-06-15"/>
    <s v="Vancouver"/>
    <s v="加拿大二店"/>
    <x v="2"/>
    <x v="2"/>
    <x v="97"/>
    <x v="93"/>
    <x v="101"/>
    <s v="冰镇"/>
    <n v="5.95"/>
    <s v="听"/>
    <n v="2"/>
    <n v="11.9"/>
    <n v="0"/>
    <n v="0"/>
    <n v="0"/>
    <n v="0"/>
    <n v="0"/>
    <n v="0"/>
    <n v="0"/>
    <n v="0"/>
    <n v="0"/>
    <n v="0"/>
    <n v="2"/>
    <n v="13.68"/>
    <n v="1.78"/>
    <n v="11.9"/>
    <n v="1"/>
  </r>
  <r>
    <s v="2021-06-15"/>
    <s v="Vancouver"/>
    <s v="加拿大二店"/>
    <x v="6"/>
    <x v="13"/>
    <x v="98"/>
    <x v="94"/>
    <x v="102"/>
    <s v="整份"/>
    <n v="3.95"/>
    <s v="份"/>
    <n v="4"/>
    <n v="15.8"/>
    <n v="0"/>
    <n v="0"/>
    <n v="0"/>
    <n v="0"/>
    <n v="0"/>
    <n v="0"/>
    <n v="0"/>
    <n v="0"/>
    <n v="1.26"/>
    <n v="0"/>
    <n v="4"/>
    <n v="15.26"/>
    <n v="0.72"/>
    <n v="14.54"/>
    <n v="1"/>
  </r>
  <r>
    <s v="2021-06-15"/>
    <s v="Vancouver"/>
    <s v="加拿大二店"/>
    <x v="1"/>
    <x v="3"/>
    <x v="99"/>
    <x v="95"/>
    <x v="103"/>
    <s v="整份"/>
    <n v="5.95"/>
    <s v="份"/>
    <n v="4"/>
    <n v="23.8"/>
    <n v="0"/>
    <n v="0"/>
    <n v="0"/>
    <n v="0"/>
    <n v="0"/>
    <n v="0"/>
    <n v="0"/>
    <n v="0"/>
    <n v="4.16"/>
    <n v="0"/>
    <n v="4"/>
    <n v="20.62"/>
    <n v="0.98"/>
    <n v="19.64"/>
    <n v="1"/>
  </r>
  <r>
    <s v="2021-06-15"/>
    <s v="Vancouver"/>
    <s v="加拿大二店"/>
    <x v="1"/>
    <x v="3"/>
    <x v="100"/>
    <x v="96"/>
    <x v="104"/>
    <s v="整份"/>
    <n v="7.95"/>
    <s v="份"/>
    <n v="3"/>
    <n v="23.85"/>
    <n v="0"/>
    <n v="0"/>
    <n v="0"/>
    <n v="0"/>
    <n v="0"/>
    <n v="0"/>
    <n v="0"/>
    <n v="0"/>
    <n v="2.38"/>
    <n v="0"/>
    <n v="3"/>
    <n v="22.54"/>
    <n v="1.07"/>
    <n v="21.47"/>
    <n v="1"/>
  </r>
  <r>
    <s v="2021-06-15"/>
    <s v="Vancouver"/>
    <s v="加拿大二店"/>
    <x v="1"/>
    <x v="8"/>
    <x v="101"/>
    <x v="97"/>
    <x v="105"/>
    <s v="整份"/>
    <n v="5.95"/>
    <s v="份"/>
    <n v="3"/>
    <n v="17.85"/>
    <n v="0"/>
    <n v="0"/>
    <n v="0"/>
    <n v="0"/>
    <n v="0"/>
    <n v="0"/>
    <n v="0"/>
    <n v="0"/>
    <n v="0.71"/>
    <n v="0"/>
    <n v="3"/>
    <n v="17.99"/>
    <n v="0.85"/>
    <n v="17.14"/>
    <n v="1"/>
  </r>
  <r>
    <s v="2021-06-15"/>
    <s v="Vancouver"/>
    <s v="加拿大二店"/>
    <x v="1"/>
    <x v="6"/>
    <x v="102"/>
    <x v="98"/>
    <x v="106"/>
    <s v="整份"/>
    <n v="8.95"/>
    <s v="份"/>
    <n v="4"/>
    <n v="35.8"/>
    <n v="0"/>
    <n v="0"/>
    <n v="0"/>
    <n v="0"/>
    <n v="0"/>
    <n v="0"/>
    <n v="0"/>
    <n v="0"/>
    <n v="5.37"/>
    <n v="0"/>
    <n v="4"/>
    <n v="31.95"/>
    <n v="1.52"/>
    <n v="30.43"/>
    <n v="1"/>
  </r>
  <r>
    <s v="2021-06-15"/>
    <s v="Vancouver"/>
    <s v="加拿大二店"/>
    <x v="3"/>
    <x v="7"/>
    <x v="103"/>
    <x v="99"/>
    <x v="107"/>
    <s v="整份"/>
    <n v="5.95"/>
    <s v="份"/>
    <n v="10"/>
    <n v="59.5"/>
    <n v="0"/>
    <n v="0"/>
    <n v="0"/>
    <n v="0"/>
    <n v="0"/>
    <n v="0"/>
    <n v="0"/>
    <n v="0"/>
    <n v="5.58"/>
    <n v="0"/>
    <n v="10"/>
    <n v="56.61"/>
    <n v="2.69"/>
    <n v="53.92"/>
    <n v="1"/>
  </r>
  <r>
    <s v="2021-06-15"/>
    <s v="Vancouver"/>
    <s v="加拿大二店"/>
    <x v="3"/>
    <x v="7"/>
    <x v="104"/>
    <x v="100"/>
    <x v="108"/>
    <s v="整份"/>
    <n v="3.95"/>
    <s v="份"/>
    <n v="3"/>
    <n v="11.85"/>
    <n v="0"/>
    <n v="0"/>
    <n v="0"/>
    <n v="0"/>
    <n v="0"/>
    <n v="0"/>
    <n v="0"/>
    <n v="0"/>
    <n v="0.47"/>
    <n v="0"/>
    <n v="3"/>
    <n v="11.94"/>
    <n v="0.56"/>
    <n v="11.38"/>
    <n v="1"/>
  </r>
  <r>
    <s v="2021-06-15"/>
    <s v="Vancouver"/>
    <s v="加拿大二店"/>
    <x v="1"/>
    <x v="8"/>
    <x v="105"/>
    <x v="101"/>
    <x v="109"/>
    <s v="整份"/>
    <n v="4.95"/>
    <s v="份"/>
    <n v="10"/>
    <n v="49.5"/>
    <n v="0"/>
    <n v="0"/>
    <n v="0"/>
    <n v="0"/>
    <n v="0"/>
    <n v="0"/>
    <n v="0"/>
    <n v="0"/>
    <n v="2.17"/>
    <n v="0"/>
    <n v="10"/>
    <n v="49.69"/>
    <n v="2.36"/>
    <n v="47.33"/>
    <n v="1"/>
  </r>
  <r>
    <s v="2021-06-15"/>
    <s v="Vancouver"/>
    <s v="加拿大二店"/>
    <x v="4"/>
    <x v="16"/>
    <x v="106"/>
    <x v="0"/>
    <x v="110"/>
    <s v="单锅"/>
    <n v="22.95"/>
    <s v="锅"/>
    <n v="1"/>
    <n v="22.95"/>
    <n v="0"/>
    <n v="0"/>
    <n v="0"/>
    <n v="0"/>
    <n v="0"/>
    <n v="0"/>
    <n v="0"/>
    <n v="0"/>
    <n v="0"/>
    <n v="0"/>
    <n v="1"/>
    <n v="24.09"/>
    <n v="1.14"/>
    <n v="22.95"/>
    <n v="4"/>
  </r>
  <r>
    <s v="2021-06-15"/>
    <s v="Vancouver"/>
    <s v="加拿大二店"/>
    <x v="4"/>
    <x v="9"/>
    <x v="106"/>
    <x v="0"/>
    <x v="110"/>
    <s v="拼锅"/>
    <n v="11.95"/>
    <s v="锅"/>
    <n v="5"/>
    <n v="59.75"/>
    <n v="1"/>
    <n v="11.95"/>
    <n v="0"/>
    <n v="0"/>
    <n v="0"/>
    <n v="0"/>
    <n v="0"/>
    <n v="0"/>
    <n v="2.39"/>
    <n v="0"/>
    <n v="4"/>
    <n v="47.68"/>
    <n v="2.27"/>
    <n v="45.41"/>
    <n v="2"/>
  </r>
  <r>
    <s v="2021-06-15"/>
    <s v="Vancouver"/>
    <s v="加拿大二店"/>
    <x v="4"/>
    <x v="10"/>
    <x v="106"/>
    <x v="0"/>
    <x v="110"/>
    <s v="四宫格"/>
    <n v="5.95"/>
    <s v="锅"/>
    <n v="4"/>
    <n v="23.8"/>
    <n v="0"/>
    <n v="0"/>
    <n v="0"/>
    <n v="0"/>
    <n v="0"/>
    <n v="0"/>
    <n v="0"/>
    <n v="0"/>
    <n v="2.97"/>
    <n v="0"/>
    <n v="4"/>
    <n v="21.87"/>
    <n v="1.04"/>
    <n v="20.83"/>
    <n v="1"/>
  </r>
  <r>
    <s v="2021-06-15"/>
    <s v="Vancouver"/>
    <s v="加拿大二店"/>
    <x v="4"/>
    <x v="9"/>
    <x v="107"/>
    <x v="0"/>
    <x v="111"/>
    <s v="拼锅"/>
    <n v="11.95"/>
    <s v="锅"/>
    <n v="7"/>
    <n v="83.65"/>
    <n v="0"/>
    <n v="0"/>
    <n v="0"/>
    <n v="0"/>
    <n v="0"/>
    <n v="0"/>
    <n v="0"/>
    <n v="0"/>
    <n v="0"/>
    <n v="0"/>
    <n v="7"/>
    <n v="87.83"/>
    <n v="4.18"/>
    <n v="83.65"/>
    <n v="2"/>
  </r>
  <r>
    <s v="2021-06-15"/>
    <s v="Vancouver"/>
    <s v="加拿大二店"/>
    <x v="4"/>
    <x v="10"/>
    <x v="107"/>
    <x v="0"/>
    <x v="111"/>
    <s v="四宫格"/>
    <n v="5.95"/>
    <s v="锅"/>
    <n v="3"/>
    <n v="17.85"/>
    <n v="0"/>
    <n v="0"/>
    <n v="0"/>
    <n v="0"/>
    <n v="0"/>
    <n v="0"/>
    <n v="0"/>
    <n v="0"/>
    <n v="0"/>
    <n v="0"/>
    <n v="3"/>
    <n v="18.74"/>
    <n v="0.89"/>
    <n v="17.85"/>
    <n v="1"/>
  </r>
  <r>
    <s v="2021-06-16"/>
    <s v="Vancouver"/>
    <s v="加拿大二店"/>
    <x v="1"/>
    <x v="1"/>
    <x v="1"/>
    <x v="1"/>
    <x v="1"/>
    <s v="整份"/>
    <n v="16.95"/>
    <s v="份"/>
    <n v="11"/>
    <n v="186.45"/>
    <n v="0"/>
    <n v="0"/>
    <n v="0"/>
    <n v="0"/>
    <n v="1"/>
    <n v="16.95"/>
    <n v="0"/>
    <n v="0"/>
    <n v="6.78"/>
    <n v="0"/>
    <n v="10"/>
    <n v="170.85"/>
    <n v="8.13"/>
    <n v="162.72"/>
    <n v="1"/>
  </r>
  <r>
    <s v="2021-06-16"/>
    <s v="Vancouver"/>
    <s v="加拿大二店"/>
    <x v="1"/>
    <x v="1"/>
    <x v="2"/>
    <x v="2"/>
    <x v="2"/>
    <s v="整份"/>
    <n v="25.95"/>
    <s v="份"/>
    <n v="16"/>
    <n v="415.2"/>
    <n v="0"/>
    <n v="0"/>
    <n v="0"/>
    <n v="0"/>
    <n v="1"/>
    <n v="25.95"/>
    <n v="0"/>
    <n v="0.02"/>
    <n v="5.19"/>
    <n v="0"/>
    <n v="15"/>
    <n v="403.24"/>
    <n v="19.2"/>
    <n v="384.04"/>
    <n v="1"/>
  </r>
  <r>
    <s v="2021-06-16"/>
    <s v="Vancouver"/>
    <s v="加拿大二店"/>
    <x v="2"/>
    <x v="2"/>
    <x v="4"/>
    <x v="4"/>
    <x v="4"/>
    <s v="壶"/>
    <n v="22.95"/>
    <s v="壶"/>
    <n v="2"/>
    <n v="45.9"/>
    <n v="0"/>
    <n v="0"/>
    <n v="0"/>
    <n v="0"/>
    <n v="0"/>
    <n v="0"/>
    <n v="0"/>
    <n v="0"/>
    <n v="0"/>
    <n v="0"/>
    <n v="2"/>
    <n v="52.78"/>
    <n v="6.88"/>
    <n v="45.9"/>
    <n v="1"/>
  </r>
  <r>
    <s v="2021-06-16"/>
    <s v="Vancouver"/>
    <s v="加拿大二店"/>
    <x v="2"/>
    <x v="2"/>
    <x v="5"/>
    <x v="5"/>
    <x v="5"/>
    <s v="杯"/>
    <n v="6.95"/>
    <s v="杯"/>
    <n v="3"/>
    <n v="20.85"/>
    <n v="0"/>
    <n v="0"/>
    <n v="0"/>
    <n v="0"/>
    <n v="0"/>
    <n v="0"/>
    <n v="0"/>
    <n v="0"/>
    <n v="2.78"/>
    <n v="0"/>
    <n v="3"/>
    <n v="20.78"/>
    <n v="2.71"/>
    <n v="18.07"/>
    <n v="1"/>
  </r>
  <r>
    <s v="2021-06-16"/>
    <s v="Vancouver"/>
    <s v="加拿大二店"/>
    <x v="1"/>
    <x v="3"/>
    <x v="6"/>
    <x v="6"/>
    <x v="6"/>
    <s v="整份"/>
    <n v="7.95"/>
    <s v="份"/>
    <n v="3"/>
    <n v="23.85"/>
    <n v="0"/>
    <n v="0"/>
    <n v="0"/>
    <n v="0"/>
    <n v="0"/>
    <n v="0"/>
    <n v="0"/>
    <n v="0"/>
    <n v="2.38"/>
    <n v="0"/>
    <n v="3"/>
    <n v="22.54"/>
    <n v="1.07"/>
    <n v="21.47"/>
    <n v="1"/>
  </r>
  <r>
    <s v="2021-06-16"/>
    <s v="Vancouver"/>
    <s v="加拿大二店"/>
    <x v="0"/>
    <x v="0"/>
    <x v="124"/>
    <x v="0"/>
    <x v="128"/>
    <s v="套餐"/>
    <n v="59.95"/>
    <s v="套餐"/>
    <n v="3"/>
    <n v="179.85"/>
    <n v="0"/>
    <n v="0"/>
    <n v="0"/>
    <n v="0"/>
    <n v="0"/>
    <n v="0"/>
    <n v="0"/>
    <n v="0"/>
    <n v="0"/>
    <n v="0"/>
    <n v="3"/>
    <n v="190.64"/>
    <n v="10.79"/>
    <n v="179.85"/>
    <n v="1"/>
  </r>
  <r>
    <s v="2021-06-16"/>
    <s v="Vancouver"/>
    <s v="加拿大二店"/>
    <x v="2"/>
    <x v="19"/>
    <x v="108"/>
    <x v="102"/>
    <x v="112"/>
    <s v="小瓶"/>
    <n v="15.95"/>
    <s v="小瓶"/>
    <n v="1"/>
    <n v="15.95"/>
    <n v="0"/>
    <n v="0"/>
    <n v="0"/>
    <n v="0"/>
    <n v="0"/>
    <n v="0"/>
    <n v="0"/>
    <n v="0.01"/>
    <n v="0"/>
    <n v="0"/>
    <n v="1"/>
    <n v="18.33"/>
    <n v="2.39"/>
    <n v="15.94"/>
    <n v="1"/>
  </r>
  <r>
    <s v="2021-06-16"/>
    <s v="Vancouver"/>
    <s v="加拿大二店"/>
    <x v="2"/>
    <x v="4"/>
    <x v="7"/>
    <x v="7"/>
    <x v="7"/>
    <s v="冰镇"/>
    <n v="2.45"/>
    <s v="罐"/>
    <n v="7"/>
    <n v="17.15"/>
    <n v="0"/>
    <n v="0"/>
    <n v="0"/>
    <n v="0"/>
    <n v="0"/>
    <n v="0"/>
    <n v="0"/>
    <n v="0.02"/>
    <n v="0.98"/>
    <n v="0"/>
    <n v="7"/>
    <n v="18.08"/>
    <n v="1.93"/>
    <n v="16.15"/>
    <n v="1"/>
  </r>
  <r>
    <s v="2021-06-16"/>
    <s v="Vancouver"/>
    <s v="加拿大二店"/>
    <x v="0"/>
    <x v="20"/>
    <x v="109"/>
    <x v="103"/>
    <x v="113"/>
    <s v="整份"/>
    <n v="8.95"/>
    <s v="份"/>
    <n v="1"/>
    <n v="8.95"/>
    <n v="0"/>
    <n v="0"/>
    <n v="0"/>
    <n v="0"/>
    <n v="0"/>
    <n v="0"/>
    <n v="0"/>
    <n v="0"/>
    <n v="0"/>
    <n v="0"/>
    <n v="1"/>
    <n v="9.39"/>
    <n v="0.44"/>
    <n v="8.95"/>
    <n v="1"/>
  </r>
  <r>
    <s v="2021-06-16"/>
    <s v="Vancouver"/>
    <s v="加拿大二店"/>
    <x v="2"/>
    <x v="4"/>
    <x v="110"/>
    <x v="104"/>
    <x v="114"/>
    <s v="小瓶"/>
    <n v="3.95"/>
    <s v="瓶"/>
    <n v="2"/>
    <n v="7.9"/>
    <n v="0"/>
    <n v="0"/>
    <n v="0"/>
    <n v="0"/>
    <n v="0"/>
    <n v="0"/>
    <n v="0"/>
    <n v="0"/>
    <n v="0"/>
    <n v="0"/>
    <n v="2"/>
    <n v="8.84"/>
    <n v="0.94"/>
    <n v="7.9"/>
    <n v="1"/>
  </r>
  <r>
    <s v="2021-06-16"/>
    <s v="Vancouver"/>
    <s v="加拿大二店"/>
    <x v="3"/>
    <x v="5"/>
    <x v="8"/>
    <x v="8"/>
    <x v="8"/>
    <s v="整份"/>
    <n v="3.95"/>
    <s v="份"/>
    <n v="1"/>
    <n v="3.95"/>
    <n v="0"/>
    <n v="0"/>
    <n v="0"/>
    <n v="0"/>
    <n v="0"/>
    <n v="0"/>
    <n v="0"/>
    <n v="0"/>
    <n v="0.79"/>
    <n v="0"/>
    <n v="1"/>
    <n v="3.31"/>
    <n v="0.15"/>
    <n v="3.16"/>
    <n v="1"/>
  </r>
  <r>
    <s v="2021-06-16"/>
    <s v="Vancouver"/>
    <s v="加拿大二店"/>
    <x v="2"/>
    <x v="4"/>
    <x v="10"/>
    <x v="10"/>
    <x v="10"/>
    <s v="半份"/>
    <n v="6.95"/>
    <s v="扎"/>
    <n v="3"/>
    <n v="20.85"/>
    <n v="0"/>
    <n v="0"/>
    <n v="0"/>
    <n v="0"/>
    <n v="1"/>
    <n v="6.95"/>
    <n v="0"/>
    <n v="0"/>
    <n v="1.39"/>
    <n v="0"/>
    <n v="2"/>
    <n v="14.01"/>
    <n v="1.5"/>
    <n v="12.51"/>
    <n v="0.5"/>
  </r>
  <r>
    <s v="2021-06-16"/>
    <s v="Vancouver"/>
    <s v="加拿大二店"/>
    <x v="2"/>
    <x v="4"/>
    <x v="10"/>
    <x v="11"/>
    <x v="11"/>
    <s v="整份"/>
    <n v="9.95"/>
    <s v="扎"/>
    <n v="6"/>
    <n v="59.7"/>
    <n v="0"/>
    <n v="0"/>
    <n v="0"/>
    <n v="0"/>
    <n v="1"/>
    <n v="9.95"/>
    <n v="0"/>
    <n v="0"/>
    <n v="0"/>
    <n v="0"/>
    <n v="5"/>
    <n v="55.72"/>
    <n v="5.97"/>
    <n v="49.75"/>
    <n v="1"/>
  </r>
  <r>
    <s v="2021-06-16"/>
    <s v="Vancouver"/>
    <s v="加拿大二店"/>
    <x v="1"/>
    <x v="6"/>
    <x v="11"/>
    <x v="12"/>
    <x v="12"/>
    <s v="整份"/>
    <n v="8.95"/>
    <s v="份"/>
    <n v="4"/>
    <n v="35.8"/>
    <n v="0"/>
    <n v="0"/>
    <n v="0"/>
    <n v="0"/>
    <n v="1"/>
    <n v="8.95"/>
    <n v="0"/>
    <n v="0"/>
    <n v="0"/>
    <n v="0"/>
    <n v="3"/>
    <n v="28.19"/>
    <n v="1.34"/>
    <n v="26.85"/>
    <n v="1"/>
  </r>
  <r>
    <s v="2021-06-16"/>
    <s v="Vancouver"/>
    <s v="加拿大二店"/>
    <x v="1"/>
    <x v="6"/>
    <x v="13"/>
    <x v="14"/>
    <x v="14"/>
    <s v="整份"/>
    <n v="21.95"/>
    <s v="份"/>
    <n v="1"/>
    <n v="21.95"/>
    <n v="0"/>
    <n v="0"/>
    <n v="0"/>
    <n v="0"/>
    <n v="0"/>
    <n v="0"/>
    <n v="0"/>
    <n v="0"/>
    <n v="6.58"/>
    <n v="0"/>
    <n v="1"/>
    <n v="16.13"/>
    <n v="0.76"/>
    <n v="15.37"/>
    <n v="1"/>
  </r>
  <r>
    <s v="2021-06-16"/>
    <s v="Vancouver"/>
    <s v="加拿大二店"/>
    <x v="1"/>
    <x v="6"/>
    <x v="14"/>
    <x v="15"/>
    <x v="15"/>
    <s v="整份"/>
    <n v="29.95"/>
    <s v="份"/>
    <n v="5"/>
    <n v="149.75"/>
    <n v="0"/>
    <n v="0"/>
    <n v="0"/>
    <n v="0"/>
    <n v="0"/>
    <n v="0"/>
    <n v="0"/>
    <n v="0"/>
    <n v="14.97"/>
    <n v="0"/>
    <n v="5"/>
    <n v="141.51"/>
    <n v="6.73"/>
    <n v="134.78"/>
    <n v="1"/>
  </r>
  <r>
    <s v="2021-06-16"/>
    <s v="Vancouver"/>
    <s v="加拿大二店"/>
    <x v="1"/>
    <x v="6"/>
    <x v="121"/>
    <x v="115"/>
    <x v="125"/>
    <s v="整份"/>
    <n v="12.95"/>
    <s v="份"/>
    <n v="2"/>
    <n v="25.9"/>
    <n v="0"/>
    <n v="0"/>
    <n v="0"/>
    <n v="0"/>
    <n v="0"/>
    <n v="0"/>
    <n v="0"/>
    <n v="0"/>
    <n v="2.59"/>
    <n v="0"/>
    <n v="2"/>
    <n v="24.47"/>
    <n v="1.16"/>
    <n v="23.31"/>
    <n v="1"/>
  </r>
  <r>
    <s v="2021-06-16"/>
    <s v="Vancouver"/>
    <s v="加拿大二店"/>
    <x v="1"/>
    <x v="6"/>
    <x v="15"/>
    <x v="16"/>
    <x v="16"/>
    <s v="整份"/>
    <n v="8.95"/>
    <s v="份"/>
    <n v="2"/>
    <n v="17.9"/>
    <n v="0"/>
    <n v="0"/>
    <n v="0"/>
    <n v="0"/>
    <n v="0"/>
    <n v="0"/>
    <n v="0"/>
    <n v="0"/>
    <n v="1.79"/>
    <n v="0"/>
    <n v="2"/>
    <n v="16.91"/>
    <n v="0.8"/>
    <n v="16.11"/>
    <n v="1"/>
  </r>
  <r>
    <s v="2021-06-16"/>
    <s v="Vancouver"/>
    <s v="加拿大二店"/>
    <x v="3"/>
    <x v="7"/>
    <x v="16"/>
    <x v="17"/>
    <x v="17"/>
    <s v="整份"/>
    <n v="4.95"/>
    <s v="份"/>
    <n v="10"/>
    <n v="49.5"/>
    <n v="0"/>
    <n v="0"/>
    <n v="0"/>
    <n v="0"/>
    <n v="0"/>
    <n v="0"/>
    <n v="0"/>
    <n v="0"/>
    <n v="1.98"/>
    <n v="0"/>
    <n v="10"/>
    <n v="49.89"/>
    <n v="2.37"/>
    <n v="47.52"/>
    <n v="1"/>
  </r>
  <r>
    <s v="2021-06-16"/>
    <s v="Vancouver"/>
    <s v="加拿大二店"/>
    <x v="2"/>
    <x v="4"/>
    <x v="17"/>
    <x v="18"/>
    <x v="18"/>
    <s v="冰镇"/>
    <n v="2.95"/>
    <s v="瓶"/>
    <n v="3"/>
    <n v="8.85"/>
    <n v="0"/>
    <n v="0"/>
    <n v="0"/>
    <n v="0"/>
    <n v="0"/>
    <n v="0"/>
    <n v="0"/>
    <n v="0"/>
    <n v="0"/>
    <n v="0"/>
    <n v="3"/>
    <n v="9.91"/>
    <n v="1.06"/>
    <n v="8.85"/>
    <n v="1"/>
  </r>
  <r>
    <s v="2021-06-16"/>
    <s v="Vancouver"/>
    <s v="加拿大二店"/>
    <x v="2"/>
    <x v="2"/>
    <x v="127"/>
    <x v="121"/>
    <x v="132"/>
    <s v="冰镇"/>
    <n v="4.95"/>
    <s v="瓶"/>
    <n v="2"/>
    <n v="9.9"/>
    <n v="0"/>
    <n v="0"/>
    <n v="0"/>
    <n v="0"/>
    <n v="0"/>
    <n v="0"/>
    <n v="0"/>
    <n v="0"/>
    <n v="0"/>
    <n v="0"/>
    <n v="2"/>
    <n v="11.38"/>
    <n v="1.48"/>
    <n v="9.9"/>
    <n v="1"/>
  </r>
  <r>
    <s v="2021-06-16"/>
    <s v="Vancouver"/>
    <s v="加拿大二店"/>
    <x v="2"/>
    <x v="4"/>
    <x v="18"/>
    <x v="19"/>
    <x v="19"/>
    <s v="冰镇"/>
    <n v="2.95"/>
    <s v="听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16"/>
    <s v="Vancouver"/>
    <s v="加拿大二店"/>
    <x v="1"/>
    <x v="8"/>
    <x v="19"/>
    <x v="20"/>
    <x v="20"/>
    <s v="整份"/>
    <n v="5.95"/>
    <s v="份"/>
    <n v="10"/>
    <n v="59.5"/>
    <n v="0"/>
    <n v="0"/>
    <n v="0"/>
    <n v="0"/>
    <n v="1"/>
    <n v="5.95"/>
    <n v="0"/>
    <n v="0"/>
    <n v="1.19"/>
    <n v="0"/>
    <n v="9"/>
    <n v="54.97"/>
    <n v="2.61"/>
    <n v="52.36"/>
    <n v="1"/>
  </r>
  <r>
    <s v="2021-06-16"/>
    <s v="Vancouver"/>
    <s v="加拿大二店"/>
    <x v="1"/>
    <x v="8"/>
    <x v="20"/>
    <x v="21"/>
    <x v="21"/>
    <s v="整份"/>
    <n v="7.95"/>
    <s v="份"/>
    <n v="3"/>
    <n v="23.85"/>
    <n v="0"/>
    <n v="0"/>
    <n v="0"/>
    <n v="0"/>
    <n v="0"/>
    <n v="0"/>
    <n v="0"/>
    <n v="0"/>
    <n v="4.02"/>
    <n v="0"/>
    <n v="3"/>
    <n v="20.82"/>
    <n v="0.99"/>
    <n v="19.83"/>
    <n v="1"/>
  </r>
  <r>
    <s v="2021-06-16"/>
    <s v="Vancouver"/>
    <s v="加拿大二店"/>
    <x v="2"/>
    <x v="4"/>
    <x v="21"/>
    <x v="22"/>
    <x v="22"/>
    <s v="冰镇"/>
    <n v="2.45"/>
    <s v="听"/>
    <n v="10"/>
    <n v="24.5"/>
    <n v="0"/>
    <n v="0"/>
    <n v="0"/>
    <n v="0"/>
    <n v="0"/>
    <n v="0"/>
    <n v="0"/>
    <n v="0"/>
    <n v="1.74"/>
    <n v="0"/>
    <n v="10"/>
    <n v="25.49"/>
    <n v="2.73"/>
    <n v="22.76"/>
    <n v="1"/>
  </r>
  <r>
    <s v="2021-06-16"/>
    <s v="Vancouver"/>
    <s v="加拿大二店"/>
    <x v="4"/>
    <x v="9"/>
    <x v="22"/>
    <x v="0"/>
    <x v="23"/>
    <s v="拼锅"/>
    <n v="11.95"/>
    <s v="锅"/>
    <n v="1"/>
    <n v="11.95"/>
    <n v="0"/>
    <n v="0"/>
    <n v="0"/>
    <n v="0"/>
    <n v="0"/>
    <n v="0"/>
    <n v="0"/>
    <n v="0"/>
    <n v="0"/>
    <n v="0"/>
    <n v="1"/>
    <n v="12.66"/>
    <n v="0.71"/>
    <n v="11.95"/>
    <n v="2"/>
  </r>
  <r>
    <s v="2021-06-16"/>
    <s v="Vancouver"/>
    <s v="加拿大二店"/>
    <x v="4"/>
    <x v="10"/>
    <x v="22"/>
    <x v="0"/>
    <x v="23"/>
    <s v="四宫格"/>
    <n v="5.95"/>
    <s v="锅"/>
    <n v="6"/>
    <n v="35.7"/>
    <n v="0"/>
    <n v="0"/>
    <n v="0"/>
    <n v="0"/>
    <n v="0"/>
    <n v="0"/>
    <n v="0"/>
    <n v="0.04"/>
    <n v="1.19"/>
    <n v="0"/>
    <n v="6"/>
    <n v="36.53"/>
    <n v="2.06"/>
    <n v="34.47"/>
    <n v="1"/>
  </r>
  <r>
    <s v="2021-06-16"/>
    <s v="Vancouver"/>
    <s v="加拿大二店"/>
    <x v="3"/>
    <x v="7"/>
    <x v="23"/>
    <x v="23"/>
    <x v="24"/>
    <s v="整份"/>
    <n v="4.95"/>
    <s v="份"/>
    <n v="14"/>
    <n v="69.3"/>
    <n v="0"/>
    <n v="0"/>
    <n v="0"/>
    <n v="0"/>
    <n v="1"/>
    <n v="4.95"/>
    <n v="0"/>
    <n v="-0.01"/>
    <n v="0.99"/>
    <n v="0"/>
    <n v="13"/>
    <n v="66.53"/>
    <n v="3.16"/>
    <n v="63.37"/>
    <n v="1"/>
  </r>
  <r>
    <s v="2021-06-16"/>
    <s v="Vancouver"/>
    <s v="加拿大二店"/>
    <x v="3"/>
    <x v="11"/>
    <x v="24"/>
    <x v="118"/>
    <x v="129"/>
    <s v="整份"/>
    <n v="5.95"/>
    <s v="份"/>
    <n v="2"/>
    <n v="11.9"/>
    <n v="0"/>
    <n v="0"/>
    <n v="0"/>
    <n v="0"/>
    <n v="0"/>
    <n v="0"/>
    <n v="0"/>
    <n v="0"/>
    <n v="1.19"/>
    <n v="0"/>
    <n v="2"/>
    <n v="11.24"/>
    <n v="0.53"/>
    <n v="10.71"/>
    <n v="1"/>
  </r>
  <r>
    <s v="2021-06-16"/>
    <s v="Vancouver"/>
    <s v="加拿大二店"/>
    <x v="3"/>
    <x v="11"/>
    <x v="24"/>
    <x v="24"/>
    <x v="25"/>
    <s v="半份"/>
    <n v="2.95"/>
    <s v="份"/>
    <n v="3"/>
    <n v="8.85"/>
    <n v="0"/>
    <n v="0"/>
    <n v="0"/>
    <n v="0"/>
    <n v="0"/>
    <n v="0"/>
    <n v="0"/>
    <n v="0"/>
    <n v="0.59"/>
    <n v="0"/>
    <n v="3"/>
    <n v="8.67"/>
    <n v="0.41"/>
    <n v="8.26"/>
    <n v="0.5"/>
  </r>
  <r>
    <s v="2021-06-16"/>
    <s v="Vancouver"/>
    <s v="加拿大二店"/>
    <x v="3"/>
    <x v="5"/>
    <x v="25"/>
    <x v="25"/>
    <x v="26"/>
    <s v="整份"/>
    <n v="3.95"/>
    <s v="份"/>
    <n v="8"/>
    <n v="31.6"/>
    <n v="0"/>
    <n v="0"/>
    <n v="0"/>
    <n v="0"/>
    <n v="3"/>
    <n v="11.85"/>
    <n v="0"/>
    <n v="0"/>
    <n v="1.97"/>
    <n v="0"/>
    <n v="5"/>
    <n v="18.66"/>
    <n v="0.88"/>
    <n v="17.78"/>
    <n v="1"/>
  </r>
  <r>
    <s v="2021-06-16"/>
    <s v="Vancouver"/>
    <s v="加拿大二店"/>
    <x v="3"/>
    <x v="11"/>
    <x v="26"/>
    <x v="26"/>
    <x v="27"/>
    <s v="整份"/>
    <n v="4.95"/>
    <s v="份"/>
    <n v="13"/>
    <n v="64.35"/>
    <n v="1"/>
    <n v="4.95"/>
    <n v="0"/>
    <n v="0"/>
    <n v="2"/>
    <n v="9.9"/>
    <n v="0"/>
    <n v="0"/>
    <n v="0"/>
    <n v="0"/>
    <n v="10"/>
    <n v="51.97"/>
    <n v="2.47"/>
    <n v="49.5"/>
    <n v="1"/>
  </r>
  <r>
    <s v="2021-06-16"/>
    <s v="Vancouver"/>
    <s v="加拿大二店"/>
    <x v="3"/>
    <x v="11"/>
    <x v="26"/>
    <x v="27"/>
    <x v="28"/>
    <s v="半份"/>
    <n v="2.45"/>
    <s v="份"/>
    <n v="12"/>
    <n v="29.4"/>
    <n v="0"/>
    <n v="0"/>
    <n v="0"/>
    <n v="0"/>
    <n v="2"/>
    <n v="4.9"/>
    <n v="0"/>
    <n v="0"/>
    <n v="1.96"/>
    <n v="0"/>
    <n v="10"/>
    <n v="23.66"/>
    <n v="1.12"/>
    <n v="22.54"/>
    <n v="0.5"/>
  </r>
  <r>
    <s v="2021-06-16"/>
    <s v="Vancouver"/>
    <s v="加拿大二店"/>
    <x v="5"/>
    <x v="12"/>
    <x v="27"/>
    <x v="28"/>
    <x v="29"/>
    <s v="整份"/>
    <n v="7.95"/>
    <s v="份"/>
    <n v="7"/>
    <n v="55.65"/>
    <n v="0"/>
    <n v="0"/>
    <n v="0"/>
    <n v="0"/>
    <n v="3"/>
    <n v="23.85"/>
    <n v="0"/>
    <n v="0"/>
    <n v="7.94"/>
    <n v="0"/>
    <n v="4"/>
    <n v="25.05"/>
    <n v="1.19"/>
    <n v="23.86"/>
    <n v="1"/>
  </r>
  <r>
    <s v="2021-06-16"/>
    <s v="Vancouver"/>
    <s v="加拿大二店"/>
    <x v="3"/>
    <x v="7"/>
    <x v="28"/>
    <x v="29"/>
    <x v="30"/>
    <s v="整份"/>
    <n v="4.95"/>
    <s v="份"/>
    <n v="15"/>
    <n v="74.25"/>
    <n v="0"/>
    <n v="0"/>
    <n v="0"/>
    <n v="0"/>
    <n v="1"/>
    <n v="4.95"/>
    <n v="0"/>
    <n v="0"/>
    <n v="1.98"/>
    <n v="0"/>
    <n v="14"/>
    <n v="70.68"/>
    <n v="3.36"/>
    <n v="67.32"/>
    <n v="1"/>
  </r>
  <r>
    <s v="2021-06-16"/>
    <s v="Vancouver"/>
    <s v="加拿大二店"/>
    <x v="3"/>
    <x v="5"/>
    <x v="29"/>
    <x v="30"/>
    <x v="31"/>
    <s v="整份"/>
    <n v="3.95"/>
    <s v="份"/>
    <n v="3"/>
    <n v="11.85"/>
    <n v="0"/>
    <n v="0"/>
    <n v="0"/>
    <n v="0"/>
    <n v="0"/>
    <n v="0"/>
    <n v="0"/>
    <n v="0"/>
    <n v="0.79"/>
    <n v="0"/>
    <n v="3"/>
    <n v="11.61"/>
    <n v="0.55"/>
    <n v="11.06"/>
    <n v="1"/>
  </r>
  <r>
    <s v="2021-06-16"/>
    <s v="Vancouver"/>
    <s v="加拿大二店"/>
    <x v="6"/>
    <x v="13"/>
    <x v="30"/>
    <x v="31"/>
    <x v="32"/>
    <s v="整份"/>
    <n v="4.95"/>
    <s v="份"/>
    <n v="5"/>
    <n v="24.75"/>
    <n v="0"/>
    <n v="0"/>
    <n v="0"/>
    <n v="0"/>
    <n v="0"/>
    <n v="0"/>
    <n v="0"/>
    <n v="0"/>
    <n v="0.99"/>
    <n v="0"/>
    <n v="5"/>
    <n v="24.94"/>
    <n v="1.18"/>
    <n v="23.76"/>
    <n v="1"/>
  </r>
  <r>
    <s v="2021-06-16"/>
    <s v="Vancouver"/>
    <s v="加拿大二店"/>
    <x v="6"/>
    <x v="13"/>
    <x v="31"/>
    <x v="32"/>
    <x v="33"/>
    <s v="整份"/>
    <n v="9.95"/>
    <s v="份"/>
    <n v="3"/>
    <n v="29.85"/>
    <n v="0"/>
    <n v="0"/>
    <n v="0"/>
    <n v="0"/>
    <n v="0"/>
    <n v="0"/>
    <n v="0"/>
    <n v="0"/>
    <n v="0"/>
    <n v="0"/>
    <n v="3"/>
    <n v="31.34"/>
    <n v="1.49"/>
    <n v="29.85"/>
    <n v="1"/>
  </r>
  <r>
    <s v="2021-06-16"/>
    <s v="Vancouver"/>
    <s v="加拿大二店"/>
    <x v="5"/>
    <x v="12"/>
    <x v="32"/>
    <x v="33"/>
    <x v="34"/>
    <s v="整份"/>
    <n v="17.85"/>
    <s v="份"/>
    <n v="3"/>
    <n v="53.55"/>
    <n v="0"/>
    <n v="0"/>
    <n v="0"/>
    <n v="0"/>
    <n v="0"/>
    <n v="0"/>
    <n v="0"/>
    <n v="0"/>
    <n v="0"/>
    <n v="0"/>
    <n v="3"/>
    <n v="56.22"/>
    <n v="2.67"/>
    <n v="53.55"/>
    <n v="1"/>
  </r>
  <r>
    <s v="2021-06-16"/>
    <s v="Vancouver"/>
    <s v="加拿大二店"/>
    <x v="1"/>
    <x v="3"/>
    <x v="33"/>
    <x v="34"/>
    <x v="35"/>
    <s v="整份"/>
    <n v="11.95"/>
    <s v="份"/>
    <n v="21"/>
    <n v="250.95"/>
    <n v="1"/>
    <n v="11.95"/>
    <n v="0"/>
    <n v="0"/>
    <n v="1"/>
    <n v="11.95"/>
    <n v="0"/>
    <n v="0"/>
    <n v="19.11"/>
    <n v="0"/>
    <n v="19"/>
    <n v="218.33"/>
    <n v="10.39"/>
    <n v="207.94"/>
    <n v="1"/>
  </r>
  <r>
    <s v="2021-06-16"/>
    <s v="Vancouver"/>
    <s v="加拿大二店"/>
    <x v="5"/>
    <x v="12"/>
    <x v="34"/>
    <x v="35"/>
    <x v="36"/>
    <s v="整份"/>
    <n v="11.95"/>
    <s v="份"/>
    <n v="5"/>
    <n v="59.75"/>
    <n v="0"/>
    <n v="0"/>
    <n v="0"/>
    <n v="0"/>
    <n v="0"/>
    <n v="0"/>
    <n v="0"/>
    <n v="0"/>
    <n v="8.36"/>
    <n v="0"/>
    <n v="5"/>
    <n v="53.95"/>
    <n v="2.56"/>
    <n v="51.39"/>
    <n v="1"/>
  </r>
  <r>
    <s v="2021-06-16"/>
    <s v="Vancouver"/>
    <s v="加拿大二店"/>
    <x v="5"/>
    <x v="12"/>
    <x v="35"/>
    <x v="36"/>
    <x v="37"/>
    <s v="条"/>
    <n v="4.95"/>
    <s v="条"/>
    <n v="4"/>
    <n v="19.8"/>
    <n v="0"/>
    <n v="0"/>
    <n v="0"/>
    <n v="0"/>
    <n v="3"/>
    <n v="14.85"/>
    <n v="0"/>
    <n v="0"/>
    <n v="0"/>
    <n v="0"/>
    <n v="1"/>
    <n v="5.19"/>
    <n v="0.24"/>
    <n v="4.95"/>
    <n v="1"/>
  </r>
  <r>
    <s v="2021-06-16"/>
    <s v="Vancouver"/>
    <s v="加拿大二店"/>
    <x v="5"/>
    <x v="12"/>
    <x v="36"/>
    <x v="37"/>
    <x v="38"/>
    <s v="整份"/>
    <n v="13.95"/>
    <s v="份"/>
    <n v="12"/>
    <n v="167.4"/>
    <n v="0"/>
    <n v="0"/>
    <n v="0"/>
    <n v="0"/>
    <n v="0"/>
    <n v="0"/>
    <n v="0"/>
    <n v="-0.01"/>
    <n v="9.76"/>
    <n v="0"/>
    <n v="12"/>
    <n v="165.53"/>
    <n v="7.88"/>
    <n v="157.65"/>
    <n v="1"/>
  </r>
  <r>
    <s v="2021-06-16"/>
    <s v="Vancouver"/>
    <s v="加拿大二店"/>
    <x v="5"/>
    <x v="12"/>
    <x v="37"/>
    <x v="38"/>
    <x v="39"/>
    <s v="整份"/>
    <n v="9.95"/>
    <s v="份"/>
    <n v="13"/>
    <n v="129.35"/>
    <n v="0"/>
    <n v="0"/>
    <n v="0"/>
    <n v="0"/>
    <n v="1"/>
    <n v="9.95"/>
    <n v="0"/>
    <n v="0"/>
    <n v="10.94"/>
    <n v="0"/>
    <n v="12"/>
    <n v="113.88"/>
    <n v="5.42"/>
    <n v="108.46"/>
    <n v="1"/>
  </r>
  <r>
    <s v="2021-06-16"/>
    <s v="Vancouver"/>
    <s v="加拿大二店"/>
    <x v="5"/>
    <x v="12"/>
    <x v="38"/>
    <x v="39"/>
    <x v="40"/>
    <s v="整份"/>
    <n v="9.95"/>
    <s v="份"/>
    <n v="2"/>
    <n v="19.9"/>
    <n v="0"/>
    <n v="0"/>
    <n v="0"/>
    <n v="0"/>
    <n v="0"/>
    <n v="0"/>
    <n v="0"/>
    <n v="0"/>
    <n v="4.97"/>
    <n v="0"/>
    <n v="2"/>
    <n v="15.67"/>
    <n v="0.74"/>
    <n v="14.93"/>
    <n v="1"/>
  </r>
  <r>
    <s v="2021-06-16"/>
    <s v="Vancouver"/>
    <s v="加拿大二店"/>
    <x v="6"/>
    <x v="13"/>
    <x v="39"/>
    <x v="40"/>
    <x v="41"/>
    <s v="整份"/>
    <n v="8.95"/>
    <s v="份"/>
    <n v="14"/>
    <n v="125.3"/>
    <n v="0"/>
    <n v="0"/>
    <n v="0"/>
    <n v="0"/>
    <n v="1"/>
    <n v="8.95"/>
    <n v="0"/>
    <n v="0"/>
    <n v="3.58"/>
    <n v="0"/>
    <n v="13"/>
    <n v="118.4"/>
    <n v="5.63"/>
    <n v="112.77"/>
    <n v="1"/>
  </r>
  <r>
    <s v="2021-06-16"/>
    <s v="Vancouver"/>
    <s v="加拿大二店"/>
    <x v="5"/>
    <x v="12"/>
    <x v="40"/>
    <x v="41"/>
    <x v="42"/>
    <s v="整份"/>
    <n v="9.95"/>
    <s v="份"/>
    <n v="5"/>
    <n v="49.75"/>
    <n v="0"/>
    <n v="0"/>
    <n v="0"/>
    <n v="0"/>
    <n v="0"/>
    <n v="0"/>
    <n v="0"/>
    <n v="0"/>
    <n v="1.99"/>
    <n v="0"/>
    <n v="5"/>
    <n v="50.14"/>
    <n v="2.38"/>
    <n v="47.76"/>
    <n v="1"/>
  </r>
  <r>
    <s v="2021-06-16"/>
    <s v="Vancouver"/>
    <s v="加拿大二店"/>
    <x v="1"/>
    <x v="6"/>
    <x v="131"/>
    <x v="125"/>
    <x v="136"/>
    <s v="整份"/>
    <n v="28.95"/>
    <s v="份"/>
    <n v="1"/>
    <n v="28.95"/>
    <n v="0"/>
    <n v="0"/>
    <n v="0"/>
    <n v="0"/>
    <n v="0"/>
    <n v="0"/>
    <n v="0"/>
    <n v="0"/>
    <n v="0"/>
    <n v="0"/>
    <n v="1"/>
    <n v="30.68"/>
    <n v="1.73"/>
    <n v="28.95"/>
    <n v="1"/>
  </r>
  <r>
    <s v="2021-06-16"/>
    <s v="Vancouver"/>
    <s v="加拿大二店"/>
    <x v="5"/>
    <x v="12"/>
    <x v="41"/>
    <x v="42"/>
    <x v="43"/>
    <s v="整份"/>
    <n v="7.95"/>
    <s v="份"/>
    <n v="14"/>
    <n v="111.3"/>
    <n v="0"/>
    <n v="0"/>
    <n v="0"/>
    <n v="0"/>
    <n v="1"/>
    <n v="7.95"/>
    <n v="0"/>
    <n v="0"/>
    <n v="5.56"/>
    <n v="0"/>
    <n v="13"/>
    <n v="102.67"/>
    <n v="4.88"/>
    <n v="97.79"/>
    <n v="1"/>
  </r>
  <r>
    <s v="2021-06-16"/>
    <s v="Vancouver"/>
    <s v="加拿大二店"/>
    <x v="2"/>
    <x v="21"/>
    <x v="135"/>
    <x v="129"/>
    <x v="140"/>
    <s v="瓶"/>
    <n v="21.95"/>
    <s v="瓶"/>
    <n v="1"/>
    <n v="21.95"/>
    <n v="0"/>
    <n v="0"/>
    <n v="0"/>
    <n v="0"/>
    <n v="0"/>
    <n v="0"/>
    <n v="0"/>
    <n v="0"/>
    <n v="0"/>
    <n v="0"/>
    <n v="1"/>
    <n v="25.24"/>
    <n v="3.29"/>
    <n v="21.95"/>
    <n v="1"/>
  </r>
  <r>
    <s v="2021-06-16"/>
    <s v="Vancouver"/>
    <s v="加拿大二店"/>
    <x v="2"/>
    <x v="2"/>
    <x v="42"/>
    <x v="43"/>
    <x v="44"/>
    <s v="冰镇"/>
    <n v="5.95"/>
    <s v="瓶"/>
    <n v="2"/>
    <n v="11.9"/>
    <n v="2"/>
    <n v="11.9"/>
    <n v="0"/>
    <n v="0"/>
    <n v="0"/>
    <n v="0"/>
    <n v="0"/>
    <n v="0"/>
    <n v="0"/>
    <n v="0"/>
    <n v="0"/>
    <n v="0"/>
    <n v="0"/>
    <n v="0"/>
    <n v="1"/>
  </r>
  <r>
    <s v="2021-06-16"/>
    <s v="Vancouver"/>
    <s v="加拿大二店"/>
    <x v="3"/>
    <x v="5"/>
    <x v="43"/>
    <x v="44"/>
    <x v="45"/>
    <s v="整份"/>
    <n v="3.95"/>
    <s v="份"/>
    <n v="7"/>
    <n v="27.65"/>
    <n v="0"/>
    <n v="0"/>
    <n v="0"/>
    <n v="0"/>
    <n v="1"/>
    <n v="3.95"/>
    <n v="0"/>
    <n v="0"/>
    <n v="1.58"/>
    <n v="0"/>
    <n v="6"/>
    <n v="23.22"/>
    <n v="1.1"/>
    <n v="22.12"/>
    <n v="1"/>
  </r>
  <r>
    <s v="2021-06-16"/>
    <s v="Vancouver"/>
    <s v="加拿大二店"/>
    <x v="7"/>
    <x v="14"/>
    <x v="44"/>
    <x v="45"/>
    <x v="46"/>
    <s v="整份"/>
    <n v="0"/>
    <s v="份"/>
    <n v="16"/>
    <n v="0"/>
    <n v="0"/>
    <n v="0"/>
    <n v="0"/>
    <n v="0"/>
    <n v="0"/>
    <n v="0"/>
    <n v="0"/>
    <n v="0"/>
    <n v="0"/>
    <n v="0"/>
    <n v="16"/>
    <n v="0"/>
    <n v="0"/>
    <n v="0"/>
    <n v="1"/>
  </r>
  <r>
    <s v="2021-06-16"/>
    <s v="Vancouver"/>
    <s v="加拿大二店"/>
    <x v="7"/>
    <x v="14"/>
    <x v="45"/>
    <x v="46"/>
    <x v="47"/>
    <s v="整份"/>
    <n v="1.66"/>
    <s v="份"/>
    <n v="1"/>
    <n v="1.66"/>
    <n v="0"/>
    <n v="0"/>
    <n v="0"/>
    <n v="0"/>
    <n v="0"/>
    <n v="0"/>
    <n v="0"/>
    <n v="0"/>
    <n v="0"/>
    <n v="0"/>
    <n v="1"/>
    <n v="1.74"/>
    <n v="0.08"/>
    <n v="1.66"/>
    <n v="1"/>
  </r>
  <r>
    <s v="2021-06-16"/>
    <s v="Vancouver"/>
    <s v="加拿大二店"/>
    <x v="7"/>
    <x v="14"/>
    <x v="45"/>
    <x v="46"/>
    <x v="47"/>
    <s v="整份"/>
    <n v="2.95"/>
    <s v="份"/>
    <n v="1"/>
    <n v="2.95"/>
    <n v="0"/>
    <n v="0"/>
    <n v="0"/>
    <n v="0"/>
    <n v="0"/>
    <n v="0"/>
    <n v="0"/>
    <n v="0"/>
    <n v="0"/>
    <n v="0"/>
    <n v="1"/>
    <n v="3.09"/>
    <n v="0.14"/>
    <n v="2.95"/>
    <n v="1"/>
  </r>
  <r>
    <s v="2021-06-16"/>
    <s v="Vancouver"/>
    <s v="加拿大二店"/>
    <x v="7"/>
    <x v="14"/>
    <x v="45"/>
    <x v="46"/>
    <x v="47"/>
    <s v="整份"/>
    <n v="9.76"/>
    <s v="份"/>
    <n v="1"/>
    <n v="9.76"/>
    <n v="0"/>
    <n v="0"/>
    <n v="0"/>
    <n v="0"/>
    <n v="0"/>
    <n v="0"/>
    <n v="0"/>
    <n v="0"/>
    <n v="0"/>
    <n v="0"/>
    <n v="1"/>
    <n v="10.24"/>
    <n v="0.48"/>
    <n v="9.76"/>
    <n v="1"/>
  </r>
  <r>
    <s v="2021-06-16"/>
    <s v="Vancouver"/>
    <s v="加拿大二店"/>
    <x v="7"/>
    <x v="14"/>
    <x v="45"/>
    <x v="46"/>
    <x v="47"/>
    <s v="整份"/>
    <n v="9.99"/>
    <s v="份"/>
    <n v="1"/>
    <n v="9.99"/>
    <n v="0"/>
    <n v="0"/>
    <n v="0"/>
    <n v="0"/>
    <n v="0"/>
    <n v="0"/>
    <n v="0"/>
    <n v="-0.01"/>
    <n v="0"/>
    <n v="0"/>
    <n v="1"/>
    <n v="10.5"/>
    <n v="0.5"/>
    <n v="10"/>
    <n v="1"/>
  </r>
  <r>
    <s v="2021-06-16"/>
    <s v="Vancouver"/>
    <s v="加拿大二店"/>
    <x v="7"/>
    <x v="14"/>
    <x v="45"/>
    <x v="46"/>
    <x v="47"/>
    <s v="整份"/>
    <n v="12.99"/>
    <s v="份"/>
    <n v="1"/>
    <n v="12.99"/>
    <n v="0"/>
    <n v="0"/>
    <n v="0"/>
    <n v="0"/>
    <n v="0"/>
    <n v="0"/>
    <n v="0"/>
    <n v="0"/>
    <n v="0"/>
    <n v="0"/>
    <n v="1"/>
    <n v="13.63"/>
    <n v="0.64"/>
    <n v="12.99"/>
    <n v="1"/>
  </r>
  <r>
    <s v="2021-06-16"/>
    <s v="Vancouver"/>
    <s v="加拿大二店"/>
    <x v="7"/>
    <x v="14"/>
    <x v="45"/>
    <x v="46"/>
    <x v="47"/>
    <s v="整份"/>
    <n v="23.8"/>
    <s v="份"/>
    <n v="2"/>
    <n v="47.6"/>
    <n v="0"/>
    <n v="0"/>
    <n v="0"/>
    <n v="0"/>
    <n v="0"/>
    <n v="0"/>
    <n v="0"/>
    <n v="-0.01"/>
    <n v="0"/>
    <n v="0"/>
    <n v="2"/>
    <n v="49.99"/>
    <n v="2.38"/>
    <n v="47.61"/>
    <n v="1"/>
  </r>
  <r>
    <s v="2021-06-16"/>
    <s v="Vancouver"/>
    <s v="加拿大二店"/>
    <x v="7"/>
    <x v="14"/>
    <x v="45"/>
    <x v="46"/>
    <x v="47"/>
    <s v="整份"/>
    <n v="27.79"/>
    <s v="份"/>
    <n v="1"/>
    <n v="27.79"/>
    <n v="0"/>
    <n v="0"/>
    <n v="0"/>
    <n v="0"/>
    <n v="0"/>
    <n v="0"/>
    <n v="0"/>
    <n v="-0.02"/>
    <n v="0"/>
    <n v="0"/>
    <n v="1"/>
    <n v="29.2"/>
    <n v="1.39"/>
    <n v="27.81"/>
    <n v="1"/>
  </r>
  <r>
    <s v="2021-06-16"/>
    <s v="Vancouver"/>
    <s v="加拿大二店"/>
    <x v="7"/>
    <x v="14"/>
    <x v="45"/>
    <x v="46"/>
    <x v="47"/>
    <s v="整份"/>
    <n v="28.2"/>
    <s v="份"/>
    <n v="1"/>
    <n v="28.2"/>
    <n v="0"/>
    <n v="0"/>
    <n v="0"/>
    <n v="0"/>
    <n v="0"/>
    <n v="0"/>
    <n v="0"/>
    <n v="0.01"/>
    <n v="3.14"/>
    <n v="0"/>
    <n v="1"/>
    <n v="26.3"/>
    <n v="1.25"/>
    <n v="25.05"/>
    <n v="1"/>
  </r>
  <r>
    <s v="2021-06-16"/>
    <s v="Vancouver"/>
    <s v="加拿大二店"/>
    <x v="7"/>
    <x v="14"/>
    <x v="45"/>
    <x v="46"/>
    <x v="47"/>
    <s v="整份"/>
    <n v="28.95"/>
    <s v="份"/>
    <n v="2"/>
    <n v="57.9"/>
    <n v="0"/>
    <n v="0"/>
    <n v="0"/>
    <n v="0"/>
    <n v="0"/>
    <n v="0"/>
    <n v="0"/>
    <n v="-0.01"/>
    <n v="0"/>
    <n v="0"/>
    <n v="2"/>
    <n v="60.8"/>
    <n v="2.89"/>
    <n v="57.91"/>
    <n v="1"/>
  </r>
  <r>
    <s v="2021-06-16"/>
    <s v="Vancouver"/>
    <s v="加拿大二店"/>
    <x v="7"/>
    <x v="14"/>
    <x v="45"/>
    <x v="46"/>
    <x v="47"/>
    <s v="整份"/>
    <n v="31.95"/>
    <s v="份"/>
    <n v="1"/>
    <n v="31.95"/>
    <n v="0"/>
    <n v="0"/>
    <n v="0"/>
    <n v="0"/>
    <n v="0"/>
    <n v="0"/>
    <n v="0"/>
    <n v="0.01"/>
    <n v="0"/>
    <n v="0"/>
    <n v="1"/>
    <n v="33.53"/>
    <n v="1.59"/>
    <n v="31.94"/>
    <n v="1"/>
  </r>
  <r>
    <s v="2021-06-16"/>
    <s v="Vancouver"/>
    <s v="加拿大二店"/>
    <x v="7"/>
    <x v="14"/>
    <x v="45"/>
    <x v="46"/>
    <x v="47"/>
    <s v="整份"/>
    <n v="34.1"/>
    <s v="份"/>
    <n v="1"/>
    <n v="34.1"/>
    <n v="0"/>
    <n v="0"/>
    <n v="0"/>
    <n v="0"/>
    <n v="0"/>
    <n v="0"/>
    <n v="0"/>
    <n v="0.02"/>
    <n v="0"/>
    <n v="0"/>
    <n v="1"/>
    <n v="35.78"/>
    <n v="1.7"/>
    <n v="34.08"/>
    <n v="1"/>
  </r>
  <r>
    <s v="2021-06-16"/>
    <s v="Vancouver"/>
    <s v="加拿大二店"/>
    <x v="7"/>
    <x v="14"/>
    <x v="45"/>
    <x v="46"/>
    <x v="47"/>
    <s v="整份"/>
    <n v="34.64"/>
    <s v="份"/>
    <n v="1"/>
    <n v="34.64"/>
    <n v="0"/>
    <n v="0"/>
    <n v="0"/>
    <n v="0"/>
    <n v="0"/>
    <n v="0"/>
    <n v="0"/>
    <n v="0.01"/>
    <n v="3.86"/>
    <n v="0"/>
    <n v="1"/>
    <n v="32.3"/>
    <n v="1.53"/>
    <n v="30.77"/>
    <n v="1"/>
  </r>
  <r>
    <s v="2021-06-16"/>
    <s v="Vancouver"/>
    <s v="加拿大二店"/>
    <x v="7"/>
    <x v="14"/>
    <x v="45"/>
    <x v="46"/>
    <x v="47"/>
    <s v="整份"/>
    <n v="38.6"/>
    <s v="份"/>
    <n v="1"/>
    <n v="38.6"/>
    <n v="0"/>
    <n v="0"/>
    <n v="0"/>
    <n v="0"/>
    <n v="0"/>
    <n v="0"/>
    <n v="0"/>
    <n v="0"/>
    <n v="0"/>
    <n v="0"/>
    <n v="1"/>
    <n v="40.53"/>
    <n v="1.93"/>
    <n v="38.6"/>
    <n v="1"/>
  </r>
  <r>
    <s v="2021-06-16"/>
    <s v="Vancouver"/>
    <s v="加拿大二店"/>
    <x v="7"/>
    <x v="14"/>
    <x v="45"/>
    <x v="46"/>
    <x v="47"/>
    <s v="整份"/>
    <n v="40.45"/>
    <s v="份"/>
    <n v="1"/>
    <n v="40.45"/>
    <n v="0"/>
    <n v="0"/>
    <n v="0"/>
    <n v="0"/>
    <n v="0"/>
    <n v="0"/>
    <n v="0"/>
    <n v="-0.01"/>
    <n v="0"/>
    <n v="0"/>
    <n v="1"/>
    <n v="42.48"/>
    <n v="2.02"/>
    <n v="40.46"/>
    <n v="1"/>
  </r>
  <r>
    <s v="2021-06-16"/>
    <s v="Vancouver"/>
    <s v="加拿大二店"/>
    <x v="7"/>
    <x v="14"/>
    <x v="45"/>
    <x v="46"/>
    <x v="47"/>
    <s v="整份"/>
    <n v="40.89"/>
    <s v="份"/>
    <n v="1"/>
    <n v="40.89"/>
    <n v="1"/>
    <n v="40.89"/>
    <n v="0"/>
    <n v="0"/>
    <n v="0"/>
    <n v="0"/>
    <n v="0"/>
    <n v="0"/>
    <n v="0"/>
    <n v="0"/>
    <n v="0"/>
    <n v="0"/>
    <n v="0"/>
    <n v="0"/>
    <n v="1"/>
  </r>
  <r>
    <s v="2021-06-16"/>
    <s v="Vancouver"/>
    <s v="加拿大二店"/>
    <x v="7"/>
    <x v="14"/>
    <x v="45"/>
    <x v="46"/>
    <x v="47"/>
    <s v="整份"/>
    <n v="51.56"/>
    <s v="份"/>
    <n v="1"/>
    <n v="51.56"/>
    <n v="0"/>
    <n v="0"/>
    <n v="0"/>
    <n v="0"/>
    <n v="0"/>
    <n v="0"/>
    <n v="0"/>
    <n v="0.02"/>
    <n v="0"/>
    <n v="0"/>
    <n v="1"/>
    <n v="54.11"/>
    <n v="2.57"/>
    <n v="51.54"/>
    <n v="1"/>
  </r>
  <r>
    <s v="2021-06-16"/>
    <s v="Vancouver"/>
    <s v="加拿大二店"/>
    <x v="7"/>
    <x v="14"/>
    <x v="45"/>
    <x v="46"/>
    <x v="47"/>
    <s v="整份"/>
    <n v="56.95"/>
    <s v="份"/>
    <n v="1"/>
    <n v="56.95"/>
    <n v="0"/>
    <n v="0"/>
    <n v="0"/>
    <n v="0"/>
    <n v="0"/>
    <n v="0"/>
    <n v="0"/>
    <n v="-0.02"/>
    <n v="0"/>
    <n v="0"/>
    <n v="1"/>
    <n v="59.81"/>
    <n v="2.84"/>
    <n v="56.97"/>
    <n v="1"/>
  </r>
  <r>
    <s v="2021-06-16"/>
    <s v="Vancouver"/>
    <s v="加拿大二店"/>
    <x v="7"/>
    <x v="14"/>
    <x v="45"/>
    <x v="46"/>
    <x v="47"/>
    <s v="整份"/>
    <n v="59.69"/>
    <s v="份"/>
    <n v="1"/>
    <n v="59.69"/>
    <n v="0"/>
    <n v="0"/>
    <n v="0"/>
    <n v="0"/>
    <n v="0"/>
    <n v="0"/>
    <n v="0"/>
    <n v="-0.01"/>
    <n v="0"/>
    <n v="0"/>
    <n v="1"/>
    <n v="62.68"/>
    <n v="2.98"/>
    <n v="59.7"/>
    <n v="1"/>
  </r>
  <r>
    <s v="2021-06-16"/>
    <s v="Vancouver"/>
    <s v="加拿大二店"/>
    <x v="7"/>
    <x v="14"/>
    <x v="45"/>
    <x v="46"/>
    <x v="47"/>
    <s v="整份"/>
    <n v="68.57"/>
    <s v="份"/>
    <n v="1"/>
    <n v="68.57"/>
    <n v="0"/>
    <n v="0"/>
    <n v="0"/>
    <n v="0"/>
    <n v="0"/>
    <n v="0"/>
    <n v="0"/>
    <n v="-0.01"/>
    <n v="0"/>
    <n v="0"/>
    <n v="1"/>
    <n v="72"/>
    <n v="3.42"/>
    <n v="68.58"/>
    <n v="1"/>
  </r>
  <r>
    <s v="2021-06-16"/>
    <s v="Vancouver"/>
    <s v="加拿大二店"/>
    <x v="7"/>
    <x v="14"/>
    <x v="45"/>
    <x v="46"/>
    <x v="47"/>
    <s v="整份"/>
    <n v="72.11"/>
    <s v="份"/>
    <n v="1"/>
    <n v="72.11"/>
    <n v="0"/>
    <n v="0"/>
    <n v="0"/>
    <n v="0"/>
    <n v="0"/>
    <n v="0"/>
    <n v="0"/>
    <n v="0.01"/>
    <n v="0"/>
    <n v="0"/>
    <n v="1"/>
    <n v="75.7"/>
    <n v="3.6"/>
    <n v="72.1"/>
    <n v="1"/>
  </r>
  <r>
    <s v="2021-06-16"/>
    <s v="Vancouver"/>
    <s v="加拿大二店"/>
    <x v="7"/>
    <x v="14"/>
    <x v="45"/>
    <x v="46"/>
    <x v="47"/>
    <s v="整份"/>
    <n v="128.95"/>
    <s v="份"/>
    <n v="1"/>
    <n v="128.95"/>
    <n v="0"/>
    <n v="0"/>
    <n v="0"/>
    <n v="0"/>
    <n v="0"/>
    <n v="0"/>
    <n v="0"/>
    <n v="-0.02"/>
    <n v="0"/>
    <n v="0"/>
    <n v="1"/>
    <n v="135.41"/>
    <n v="6.44"/>
    <n v="128.97"/>
    <n v="1"/>
  </r>
  <r>
    <s v="2021-06-16"/>
    <s v="Vancouver"/>
    <s v="加拿大二店"/>
    <x v="2"/>
    <x v="4"/>
    <x v="46"/>
    <x v="47"/>
    <x v="48"/>
    <s v="冰镇"/>
    <n v="2.45"/>
    <s v="听"/>
    <n v="4"/>
    <n v="9.8"/>
    <n v="0"/>
    <n v="0"/>
    <n v="0"/>
    <n v="0"/>
    <n v="0"/>
    <n v="0"/>
    <n v="0"/>
    <n v="0"/>
    <n v="0"/>
    <n v="0"/>
    <n v="4"/>
    <n v="10.97"/>
    <n v="1.17"/>
    <n v="9.8"/>
    <n v="1"/>
  </r>
  <r>
    <s v="2021-06-16"/>
    <s v="Vancouver"/>
    <s v="加拿大二店"/>
    <x v="2"/>
    <x v="4"/>
    <x v="47"/>
    <x v="48"/>
    <x v="49"/>
    <s v="冰镇"/>
    <n v="2.95"/>
    <s v="听"/>
    <n v="5"/>
    <n v="14.75"/>
    <n v="0"/>
    <n v="0"/>
    <n v="0"/>
    <n v="0"/>
    <n v="0"/>
    <n v="0"/>
    <n v="0"/>
    <n v="0.01"/>
    <n v="0"/>
    <n v="0"/>
    <n v="5"/>
    <n v="16.5"/>
    <n v="1.76"/>
    <n v="14.74"/>
    <n v="1"/>
  </r>
  <r>
    <s v="2021-06-16"/>
    <s v="Vancouver"/>
    <s v="加拿大二店"/>
    <x v="6"/>
    <x v="13"/>
    <x v="48"/>
    <x v="49"/>
    <x v="50"/>
    <s v="整份"/>
    <n v="4.95"/>
    <s v="份"/>
    <n v="10"/>
    <n v="49.5"/>
    <n v="0"/>
    <n v="0"/>
    <n v="0"/>
    <n v="0"/>
    <n v="1"/>
    <n v="4.95"/>
    <n v="0"/>
    <n v="0"/>
    <n v="1.98"/>
    <n v="0"/>
    <n v="9"/>
    <n v="44.69"/>
    <n v="2.12"/>
    <n v="42.57"/>
    <n v="1"/>
  </r>
  <r>
    <s v="2021-06-16"/>
    <s v="Vancouver"/>
    <s v="加拿大二店"/>
    <x v="3"/>
    <x v="7"/>
    <x v="49"/>
    <x v="50"/>
    <x v="51"/>
    <s v="整份"/>
    <n v="4.95"/>
    <s v="份"/>
    <n v="3"/>
    <n v="14.85"/>
    <n v="0"/>
    <n v="0"/>
    <n v="0"/>
    <n v="0"/>
    <n v="0"/>
    <n v="0"/>
    <n v="0"/>
    <n v="0"/>
    <n v="0"/>
    <n v="0"/>
    <n v="3"/>
    <n v="15.59"/>
    <n v="0.74"/>
    <n v="14.85"/>
    <n v="1"/>
  </r>
  <r>
    <s v="2021-06-16"/>
    <s v="Vancouver"/>
    <s v="加拿大二店"/>
    <x v="3"/>
    <x v="5"/>
    <x v="51"/>
    <x v="52"/>
    <x v="53"/>
    <s v="整份"/>
    <n v="3.95"/>
    <s v="份"/>
    <n v="9"/>
    <n v="35.55"/>
    <n v="0"/>
    <n v="0"/>
    <n v="0"/>
    <n v="0"/>
    <n v="1"/>
    <n v="3.95"/>
    <n v="0"/>
    <n v="0"/>
    <n v="0.79"/>
    <n v="0"/>
    <n v="8"/>
    <n v="32.35"/>
    <n v="1.54"/>
    <n v="30.81"/>
    <n v="1"/>
  </r>
  <r>
    <s v="2021-06-16"/>
    <s v="Vancouver"/>
    <s v="加拿大二店"/>
    <x v="3"/>
    <x v="5"/>
    <x v="52"/>
    <x v="53"/>
    <x v="54"/>
    <s v="整份"/>
    <n v="5.95"/>
    <s v="份"/>
    <n v="5"/>
    <n v="29.75"/>
    <n v="0"/>
    <n v="0"/>
    <n v="0"/>
    <n v="0"/>
    <n v="1"/>
    <n v="5.95"/>
    <n v="0"/>
    <n v="0.01"/>
    <n v="0"/>
    <n v="0"/>
    <n v="4"/>
    <n v="24.97"/>
    <n v="1.18"/>
    <n v="23.79"/>
    <n v="1"/>
  </r>
  <r>
    <s v="2021-06-16"/>
    <s v="Vancouver"/>
    <s v="加拿大二店"/>
    <x v="4"/>
    <x v="9"/>
    <x v="53"/>
    <x v="0"/>
    <x v="55"/>
    <s v="拼锅"/>
    <n v="0"/>
    <s v="锅"/>
    <n v="7"/>
    <n v="0"/>
    <n v="0"/>
    <n v="0"/>
    <n v="0"/>
    <n v="0"/>
    <n v="2"/>
    <n v="0"/>
    <n v="0"/>
    <n v="-0.02"/>
    <n v="0"/>
    <n v="0"/>
    <n v="5"/>
    <n v="0.02"/>
    <n v="0"/>
    <n v="0.02"/>
    <n v="2"/>
  </r>
  <r>
    <s v="2021-06-16"/>
    <s v="Vancouver"/>
    <s v="加拿大二店"/>
    <x v="4"/>
    <x v="10"/>
    <x v="53"/>
    <x v="0"/>
    <x v="55"/>
    <s v="四宫格"/>
    <n v="0"/>
    <s v="锅"/>
    <n v="20"/>
    <n v="0"/>
    <n v="0"/>
    <n v="0"/>
    <n v="0"/>
    <n v="0"/>
    <n v="3"/>
    <n v="0"/>
    <n v="0"/>
    <n v="0.04"/>
    <n v="0"/>
    <n v="0"/>
    <n v="17"/>
    <n v="-0.04"/>
    <n v="-0.01"/>
    <n v="-0.03"/>
    <n v="1"/>
  </r>
  <r>
    <s v="2021-06-16"/>
    <s v="Vancouver"/>
    <s v="加拿大二店"/>
    <x v="6"/>
    <x v="13"/>
    <x v="54"/>
    <x v="54"/>
    <x v="56"/>
    <s v="个"/>
    <n v="1.95"/>
    <s v="个"/>
    <n v="4"/>
    <n v="7.8"/>
    <n v="0"/>
    <n v="0"/>
    <n v="0"/>
    <n v="0"/>
    <n v="1"/>
    <n v="1.95"/>
    <n v="0"/>
    <n v="0"/>
    <n v="0"/>
    <n v="0"/>
    <n v="3"/>
    <n v="6.14"/>
    <n v="0.29"/>
    <n v="5.85"/>
    <n v="1"/>
  </r>
  <r>
    <s v="2021-06-16"/>
    <s v="Vancouver"/>
    <s v="加拿大二店"/>
    <x v="6"/>
    <x v="13"/>
    <x v="114"/>
    <x v="108"/>
    <x v="118"/>
    <s v="整份"/>
    <n v="7.95"/>
    <s v="份"/>
    <n v="1"/>
    <n v="7.95"/>
    <n v="0"/>
    <n v="0"/>
    <n v="0"/>
    <n v="0"/>
    <n v="0"/>
    <n v="0"/>
    <n v="0"/>
    <n v="0"/>
    <n v="0"/>
    <n v="0"/>
    <n v="1"/>
    <n v="8.34"/>
    <n v="0.39"/>
    <n v="7.95"/>
    <n v="1"/>
  </r>
  <r>
    <s v="2021-06-16"/>
    <s v="Vancouver"/>
    <s v="加拿大二店"/>
    <x v="1"/>
    <x v="8"/>
    <x v="55"/>
    <x v="55"/>
    <x v="57"/>
    <s v="整份"/>
    <n v="9.95"/>
    <s v="份"/>
    <n v="5"/>
    <n v="49.75"/>
    <n v="0"/>
    <n v="0"/>
    <n v="0"/>
    <n v="0"/>
    <n v="1"/>
    <n v="9.95"/>
    <n v="0"/>
    <n v="0"/>
    <n v="0"/>
    <n v="0"/>
    <n v="4"/>
    <n v="41.79"/>
    <n v="1.99"/>
    <n v="39.8"/>
    <n v="1"/>
  </r>
  <r>
    <s v="2021-06-16"/>
    <s v="Vancouver"/>
    <s v="加拿大二店"/>
    <x v="1"/>
    <x v="1"/>
    <x v="56"/>
    <x v="56"/>
    <x v="58"/>
    <s v="整份"/>
    <n v="12.95"/>
    <s v="份"/>
    <n v="12"/>
    <n v="155.4"/>
    <n v="0"/>
    <n v="0"/>
    <n v="0"/>
    <n v="0"/>
    <n v="0"/>
    <n v="0"/>
    <n v="0"/>
    <n v="0"/>
    <n v="3.88"/>
    <n v="0"/>
    <n v="12"/>
    <n v="159.09"/>
    <n v="7.57"/>
    <n v="151.52"/>
    <n v="1"/>
  </r>
  <r>
    <s v="2021-06-16"/>
    <s v="Vancouver"/>
    <s v="加拿大二店"/>
    <x v="1"/>
    <x v="1"/>
    <x v="57"/>
    <x v="57"/>
    <x v="59"/>
    <s v="整份"/>
    <n v="11.95"/>
    <s v="份"/>
    <n v="33"/>
    <n v="394.35"/>
    <n v="0"/>
    <n v="0"/>
    <n v="0"/>
    <n v="0"/>
    <n v="1"/>
    <n v="11.95"/>
    <n v="0"/>
    <n v="0"/>
    <n v="16.73"/>
    <n v="0"/>
    <n v="32"/>
    <n v="383.95"/>
    <n v="18.28"/>
    <n v="365.67"/>
    <n v="1"/>
  </r>
  <r>
    <s v="2021-06-16"/>
    <s v="Vancouver"/>
    <s v="加拿大二店"/>
    <x v="4"/>
    <x v="16"/>
    <x v="58"/>
    <x v="0"/>
    <x v="60"/>
    <s v="单锅"/>
    <n v="16.95"/>
    <s v="锅"/>
    <n v="1"/>
    <n v="16.95"/>
    <n v="0"/>
    <n v="0"/>
    <n v="0"/>
    <n v="0"/>
    <n v="0"/>
    <n v="0"/>
    <n v="0"/>
    <n v="0.01"/>
    <n v="0"/>
    <n v="0"/>
    <n v="1"/>
    <n v="17.78"/>
    <n v="0.84"/>
    <n v="16.94"/>
    <n v="4"/>
  </r>
  <r>
    <s v="2021-06-16"/>
    <s v="Vancouver"/>
    <s v="加拿大二店"/>
    <x v="4"/>
    <x v="9"/>
    <x v="58"/>
    <x v="0"/>
    <x v="60"/>
    <s v="拼锅"/>
    <n v="8.95"/>
    <s v="锅"/>
    <n v="12"/>
    <n v="107.4"/>
    <n v="0"/>
    <n v="0"/>
    <n v="0"/>
    <n v="0"/>
    <n v="2"/>
    <n v="17.9"/>
    <n v="0"/>
    <n v="-0.05"/>
    <n v="3.58"/>
    <n v="0"/>
    <n v="10"/>
    <n v="90.26"/>
    <n v="4.29"/>
    <n v="85.97"/>
    <n v="2"/>
  </r>
  <r>
    <s v="2021-06-16"/>
    <s v="Vancouver"/>
    <s v="加拿大二店"/>
    <x v="4"/>
    <x v="10"/>
    <x v="58"/>
    <x v="0"/>
    <x v="60"/>
    <s v="四宫格"/>
    <n v="4.95"/>
    <s v="锅"/>
    <n v="12"/>
    <n v="59.4"/>
    <n v="0"/>
    <n v="0"/>
    <n v="0"/>
    <n v="0"/>
    <n v="0"/>
    <n v="0"/>
    <n v="0"/>
    <n v="0"/>
    <n v="0.99"/>
    <n v="0"/>
    <n v="12"/>
    <n v="61.33"/>
    <n v="2.92"/>
    <n v="58.41"/>
    <n v="1"/>
  </r>
  <r>
    <s v="2021-06-16"/>
    <s v="Vancouver"/>
    <s v="加拿大二店"/>
    <x v="3"/>
    <x v="5"/>
    <x v="59"/>
    <x v="58"/>
    <x v="61"/>
    <s v="整份"/>
    <n v="4.95"/>
    <s v="份"/>
    <n v="12"/>
    <n v="59.4"/>
    <n v="0"/>
    <n v="0"/>
    <n v="0"/>
    <n v="0"/>
    <n v="0"/>
    <n v="0"/>
    <n v="0"/>
    <n v="0"/>
    <n v="3.46"/>
    <n v="0"/>
    <n v="12"/>
    <n v="58.73"/>
    <n v="2.79"/>
    <n v="55.94"/>
    <n v="1"/>
  </r>
  <r>
    <s v="2021-06-16"/>
    <s v="Vancouver"/>
    <s v="加拿大二店"/>
    <x v="6"/>
    <x v="13"/>
    <x v="61"/>
    <x v="60"/>
    <x v="63"/>
    <s v="整份"/>
    <n v="3.95"/>
    <s v="包"/>
    <n v="14"/>
    <n v="55.3"/>
    <n v="0"/>
    <n v="0"/>
    <n v="0"/>
    <n v="0"/>
    <n v="3"/>
    <n v="11.85"/>
    <n v="0"/>
    <n v="0"/>
    <n v="0"/>
    <n v="0"/>
    <n v="11"/>
    <n v="45.62"/>
    <n v="2.17"/>
    <n v="43.45"/>
    <n v="1"/>
  </r>
  <r>
    <s v="2021-06-16"/>
    <s v="Vancouver"/>
    <s v="加拿大二店"/>
    <x v="1"/>
    <x v="8"/>
    <x v="116"/>
    <x v="110"/>
    <x v="120"/>
    <s v="个"/>
    <n v="0.95"/>
    <s v="个"/>
    <n v="9"/>
    <n v="8.55"/>
    <n v="0"/>
    <n v="0"/>
    <n v="0"/>
    <n v="0"/>
    <n v="0"/>
    <n v="0"/>
    <n v="0"/>
    <n v="0"/>
    <n v="0"/>
    <n v="0"/>
    <n v="9"/>
    <n v="8.97"/>
    <n v="0.42"/>
    <n v="8.55"/>
    <n v="1"/>
  </r>
  <r>
    <s v="2021-06-16"/>
    <s v="Vancouver"/>
    <s v="加拿大二店"/>
    <x v="4"/>
    <x v="16"/>
    <x v="62"/>
    <x v="0"/>
    <x v="64"/>
    <s v="单锅"/>
    <n v="16.95"/>
    <s v="锅"/>
    <n v="1"/>
    <n v="16.95"/>
    <n v="0"/>
    <n v="0"/>
    <n v="0"/>
    <n v="0"/>
    <n v="0"/>
    <n v="0"/>
    <n v="0"/>
    <n v="0.01"/>
    <n v="0"/>
    <n v="0"/>
    <n v="1"/>
    <n v="17.78"/>
    <n v="0.84"/>
    <n v="16.94"/>
    <n v="4"/>
  </r>
  <r>
    <s v="2021-06-16"/>
    <s v="Vancouver"/>
    <s v="加拿大二店"/>
    <x v="4"/>
    <x v="9"/>
    <x v="62"/>
    <x v="0"/>
    <x v="64"/>
    <s v="拼锅"/>
    <n v="8.95"/>
    <s v="锅"/>
    <n v="23"/>
    <n v="205.85"/>
    <n v="0"/>
    <n v="0"/>
    <n v="0"/>
    <n v="0"/>
    <n v="1"/>
    <n v="8.95"/>
    <n v="0"/>
    <n v="-0.01"/>
    <n v="1.79"/>
    <n v="0"/>
    <n v="22"/>
    <n v="204.87"/>
    <n v="9.75"/>
    <n v="195.12"/>
    <n v="2"/>
  </r>
  <r>
    <s v="2021-06-16"/>
    <s v="Vancouver"/>
    <s v="加拿大二店"/>
    <x v="4"/>
    <x v="10"/>
    <x v="62"/>
    <x v="0"/>
    <x v="64"/>
    <s v="四宫格"/>
    <n v="4.95"/>
    <s v="锅"/>
    <n v="12"/>
    <n v="59.4"/>
    <n v="0"/>
    <n v="0"/>
    <n v="0"/>
    <n v="0"/>
    <n v="0"/>
    <n v="0"/>
    <n v="0"/>
    <n v="0"/>
    <n v="0"/>
    <n v="0"/>
    <n v="12"/>
    <n v="62.37"/>
    <n v="2.97"/>
    <n v="59.4"/>
    <n v="1"/>
  </r>
  <r>
    <s v="2021-06-16"/>
    <s v="Vancouver"/>
    <s v="加拿大二店"/>
    <x v="6"/>
    <x v="13"/>
    <x v="63"/>
    <x v="61"/>
    <x v="65"/>
    <s v="整份"/>
    <n v="1.5"/>
    <s v="碗"/>
    <n v="9"/>
    <n v="13.5"/>
    <n v="0"/>
    <n v="0"/>
    <n v="0"/>
    <n v="0"/>
    <n v="0"/>
    <n v="0"/>
    <n v="0"/>
    <n v="0"/>
    <n v="0.75"/>
    <n v="0"/>
    <n v="9"/>
    <n v="13.38"/>
    <n v="0.63"/>
    <n v="12.75"/>
    <n v="1"/>
  </r>
  <r>
    <s v="2021-06-16"/>
    <s v="Vancouver"/>
    <s v="加拿大二店"/>
    <x v="3"/>
    <x v="5"/>
    <x v="64"/>
    <x v="62"/>
    <x v="66"/>
    <s v="整份"/>
    <n v="3.95"/>
    <s v="份"/>
    <n v="4"/>
    <n v="15.8"/>
    <n v="0"/>
    <n v="0"/>
    <n v="0"/>
    <n v="0"/>
    <n v="1"/>
    <n v="3.95"/>
    <n v="0"/>
    <n v="0"/>
    <n v="0.79"/>
    <n v="0"/>
    <n v="3"/>
    <n v="11.61"/>
    <n v="0.55"/>
    <n v="11.06"/>
    <n v="1"/>
  </r>
  <r>
    <s v="2021-06-16"/>
    <s v="Vancouver"/>
    <s v="加拿大二店"/>
    <x v="2"/>
    <x v="4"/>
    <x v="65"/>
    <x v="63"/>
    <x v="67"/>
    <s v="扎"/>
    <n v="8.95"/>
    <s v="扎"/>
    <n v="2"/>
    <n v="17.9"/>
    <n v="0"/>
    <n v="0"/>
    <n v="0"/>
    <n v="0"/>
    <n v="0"/>
    <n v="0"/>
    <n v="0"/>
    <n v="-0.01"/>
    <n v="1.79"/>
    <n v="0"/>
    <n v="2"/>
    <n v="18.05"/>
    <n v="1.93"/>
    <n v="16.12"/>
    <n v="1"/>
  </r>
  <r>
    <s v="2021-06-16"/>
    <s v="Vancouver"/>
    <s v="加拿大二店"/>
    <x v="2"/>
    <x v="4"/>
    <x v="66"/>
    <x v="64"/>
    <x v="68"/>
    <s v="扎"/>
    <n v="11.95"/>
    <s v="扎"/>
    <n v="3"/>
    <n v="35.85"/>
    <n v="0"/>
    <n v="0"/>
    <n v="0"/>
    <n v="0"/>
    <n v="1"/>
    <n v="11.95"/>
    <n v="0"/>
    <n v="0"/>
    <n v="0"/>
    <n v="0"/>
    <n v="2"/>
    <n v="26.76"/>
    <n v="2.86"/>
    <n v="23.9"/>
    <n v="1"/>
  </r>
  <r>
    <s v="2021-06-16"/>
    <s v="Vancouver"/>
    <s v="加拿大二店"/>
    <x v="3"/>
    <x v="5"/>
    <x v="134"/>
    <x v="128"/>
    <x v="139"/>
    <s v="整份"/>
    <n v="13.95"/>
    <s v="份"/>
    <n v="6"/>
    <n v="83.7"/>
    <n v="0"/>
    <n v="0"/>
    <n v="0"/>
    <n v="0"/>
    <n v="0"/>
    <n v="0"/>
    <n v="0"/>
    <n v="0.04"/>
    <n v="2.79"/>
    <n v="0"/>
    <n v="6"/>
    <n v="84.91"/>
    <n v="4.04"/>
    <n v="80.87"/>
    <n v="1"/>
  </r>
  <r>
    <s v="2021-06-16"/>
    <s v="Vancouver"/>
    <s v="加拿大二店"/>
    <x v="3"/>
    <x v="5"/>
    <x v="117"/>
    <x v="111"/>
    <x v="121"/>
    <s v="整份"/>
    <n v="4.95"/>
    <s v="份"/>
    <n v="11"/>
    <n v="54.45"/>
    <n v="0"/>
    <n v="0"/>
    <n v="0"/>
    <n v="0"/>
    <n v="1"/>
    <n v="4.95"/>
    <n v="0"/>
    <n v="0"/>
    <n v="2.47"/>
    <n v="0"/>
    <n v="10"/>
    <n v="49.38"/>
    <n v="2.35"/>
    <n v="47.03"/>
    <n v="1"/>
  </r>
  <r>
    <s v="2021-06-16"/>
    <s v="Vancouver"/>
    <s v="加拿大二店"/>
    <x v="3"/>
    <x v="7"/>
    <x v="67"/>
    <x v="65"/>
    <x v="69"/>
    <s v="整份"/>
    <n v="3.95"/>
    <s v="份"/>
    <n v="4"/>
    <n v="15.8"/>
    <n v="0"/>
    <n v="0"/>
    <n v="0"/>
    <n v="0"/>
    <n v="1"/>
    <n v="3.95"/>
    <n v="0"/>
    <n v="0"/>
    <n v="0"/>
    <n v="0"/>
    <n v="3"/>
    <n v="12.44"/>
    <n v="0.59"/>
    <n v="11.85"/>
    <n v="1"/>
  </r>
  <r>
    <s v="2021-06-16"/>
    <s v="Vancouver"/>
    <s v="加拿大二店"/>
    <x v="1"/>
    <x v="1"/>
    <x v="68"/>
    <x v="66"/>
    <x v="70"/>
    <s v="整份"/>
    <n v="8.95"/>
    <s v="份"/>
    <n v="47"/>
    <n v="420.65"/>
    <n v="0"/>
    <n v="0"/>
    <n v="0"/>
    <n v="0"/>
    <n v="5"/>
    <n v="44.75"/>
    <n v="0"/>
    <n v="0"/>
    <n v="9.84"/>
    <n v="0"/>
    <n v="42"/>
    <n v="384.36"/>
    <n v="18.3"/>
    <n v="366.06"/>
    <n v="1"/>
  </r>
  <r>
    <s v="2021-06-16"/>
    <s v="Vancouver"/>
    <s v="加拿大二店"/>
    <x v="1"/>
    <x v="1"/>
    <x v="69"/>
    <x v="67"/>
    <x v="71"/>
    <s v="整份"/>
    <n v="8.95"/>
    <s v="份"/>
    <n v="6"/>
    <n v="53.7"/>
    <n v="0"/>
    <n v="0"/>
    <n v="0"/>
    <n v="0"/>
    <n v="2"/>
    <n v="17.9"/>
    <n v="0"/>
    <n v="0"/>
    <n v="1.79"/>
    <n v="0"/>
    <n v="4"/>
    <n v="35.71"/>
    <n v="1.7"/>
    <n v="34.01"/>
    <n v="1"/>
  </r>
  <r>
    <s v="2021-06-16"/>
    <s v="Vancouver"/>
    <s v="加拿大二店"/>
    <x v="6"/>
    <x v="15"/>
    <x v="70"/>
    <x v="68"/>
    <x v="72"/>
    <s v="整份"/>
    <n v="1.5"/>
    <s v="份"/>
    <n v="3"/>
    <n v="4.5"/>
    <n v="0"/>
    <n v="0"/>
    <n v="0"/>
    <n v="0"/>
    <n v="0"/>
    <n v="0"/>
    <n v="0"/>
    <n v="-0.02"/>
    <n v="0.3"/>
    <n v="0"/>
    <n v="3"/>
    <n v="4.43"/>
    <n v="0.21"/>
    <n v="4.22"/>
    <n v="1"/>
  </r>
  <r>
    <s v="2021-06-16"/>
    <s v="Vancouver"/>
    <s v="加拿大二店"/>
    <x v="4"/>
    <x v="9"/>
    <x v="71"/>
    <x v="0"/>
    <x v="73"/>
    <s v="拼锅"/>
    <n v="18.95"/>
    <s v="锅"/>
    <n v="8"/>
    <n v="151.6"/>
    <n v="0"/>
    <n v="0"/>
    <n v="0"/>
    <n v="0"/>
    <n v="0"/>
    <n v="0"/>
    <n v="0"/>
    <n v="0.01"/>
    <n v="0"/>
    <n v="0"/>
    <n v="8"/>
    <n v="159.16"/>
    <n v="7.57"/>
    <n v="151.59"/>
    <n v="2"/>
  </r>
  <r>
    <s v="2021-06-16"/>
    <s v="Vancouver"/>
    <s v="加拿大二店"/>
    <x v="4"/>
    <x v="10"/>
    <x v="71"/>
    <x v="0"/>
    <x v="73"/>
    <s v="四宫格"/>
    <n v="9.95"/>
    <s v="锅"/>
    <n v="7"/>
    <n v="69.65"/>
    <n v="0"/>
    <n v="0"/>
    <n v="0"/>
    <n v="0"/>
    <n v="0"/>
    <n v="0"/>
    <n v="0"/>
    <n v="-0.03"/>
    <n v="1.99"/>
    <n v="0"/>
    <n v="7"/>
    <n v="71.07"/>
    <n v="3.38"/>
    <n v="67.69"/>
    <n v="1"/>
  </r>
  <r>
    <s v="2021-06-16"/>
    <s v="Vancouver"/>
    <s v="加拿大二店"/>
    <x v="1"/>
    <x v="8"/>
    <x v="72"/>
    <x v="69"/>
    <x v="74"/>
    <s v="个"/>
    <n v="7.95"/>
    <s v="份"/>
    <n v="6"/>
    <n v="47.7"/>
    <n v="1"/>
    <n v="7.95"/>
    <n v="0"/>
    <n v="0"/>
    <n v="0"/>
    <n v="0"/>
    <n v="0"/>
    <n v="0"/>
    <n v="1.59"/>
    <n v="0"/>
    <n v="5"/>
    <n v="40.06"/>
    <n v="1.9"/>
    <n v="38.16"/>
    <n v="1"/>
  </r>
  <r>
    <s v="2021-06-16"/>
    <s v="Vancouver"/>
    <s v="加拿大二店"/>
    <x v="6"/>
    <x v="13"/>
    <x v="73"/>
    <x v="70"/>
    <x v="75"/>
    <s v="份"/>
    <n v="6.95"/>
    <s v="份"/>
    <n v="3"/>
    <n v="20.85"/>
    <n v="0"/>
    <n v="0"/>
    <n v="0"/>
    <n v="0"/>
    <n v="1"/>
    <n v="6.95"/>
    <n v="0"/>
    <n v="0.02"/>
    <n v="0"/>
    <n v="0"/>
    <n v="2"/>
    <n v="14.57"/>
    <n v="0.69"/>
    <n v="13.88"/>
    <n v="1"/>
  </r>
  <r>
    <s v="2021-06-16"/>
    <s v="Vancouver"/>
    <s v="加拿大二店"/>
    <x v="4"/>
    <x v="9"/>
    <x v="74"/>
    <x v="0"/>
    <x v="76"/>
    <s v="拼锅"/>
    <n v="18.95"/>
    <s v="锅"/>
    <n v="3"/>
    <n v="56.85"/>
    <n v="0"/>
    <n v="0"/>
    <n v="0"/>
    <n v="0"/>
    <n v="0"/>
    <n v="0"/>
    <n v="0"/>
    <n v="0"/>
    <n v="0"/>
    <n v="0"/>
    <n v="3"/>
    <n v="59.69"/>
    <n v="2.84"/>
    <n v="56.85"/>
    <n v="2"/>
  </r>
  <r>
    <s v="2021-06-16"/>
    <s v="Vancouver"/>
    <s v="加拿大二店"/>
    <x v="4"/>
    <x v="10"/>
    <x v="74"/>
    <x v="0"/>
    <x v="76"/>
    <s v="四宫格"/>
    <n v="9.95"/>
    <s v="锅"/>
    <n v="3"/>
    <n v="29.85"/>
    <n v="0"/>
    <n v="0"/>
    <n v="0"/>
    <n v="0"/>
    <n v="0"/>
    <n v="0"/>
    <n v="0"/>
    <n v="0"/>
    <n v="3.98"/>
    <n v="0"/>
    <n v="3"/>
    <n v="27.16"/>
    <n v="1.29"/>
    <n v="25.87"/>
    <n v="1"/>
  </r>
  <r>
    <s v="2021-06-16"/>
    <s v="Vancouver"/>
    <s v="加拿大二店"/>
    <x v="1"/>
    <x v="6"/>
    <x v="118"/>
    <x v="112"/>
    <x v="122"/>
    <s v="整份"/>
    <n v="28.95"/>
    <s v="份"/>
    <n v="3"/>
    <n v="86.85"/>
    <n v="0"/>
    <n v="0"/>
    <n v="0"/>
    <n v="0"/>
    <n v="0"/>
    <n v="0"/>
    <n v="0"/>
    <n v="-0.01"/>
    <n v="0"/>
    <n v="0"/>
    <n v="3"/>
    <n v="91.2"/>
    <n v="4.34"/>
    <n v="86.86"/>
    <n v="1"/>
  </r>
  <r>
    <s v="2021-06-16"/>
    <s v="Vancouver"/>
    <s v="加拿大二店"/>
    <x v="8"/>
    <x v="17"/>
    <x v="75"/>
    <x v="71"/>
    <x v="77"/>
    <s v="整份"/>
    <n v="3.99"/>
    <s v="位"/>
    <n v="104"/>
    <n v="414.96"/>
    <n v="0"/>
    <n v="0"/>
    <n v="0"/>
    <n v="0"/>
    <n v="5"/>
    <n v="19.95"/>
    <n v="0"/>
    <n v="0.02"/>
    <n v="4"/>
    <n v="0"/>
    <n v="99"/>
    <n v="410.53"/>
    <n v="19.54"/>
    <n v="390.99"/>
    <n v="1"/>
  </r>
  <r>
    <s v="2021-06-16"/>
    <s v="Vancouver"/>
    <s v="加拿大二店"/>
    <x v="3"/>
    <x v="5"/>
    <x v="76"/>
    <x v="72"/>
    <x v="78"/>
    <s v="整份"/>
    <n v="3.95"/>
    <s v="份"/>
    <n v="5"/>
    <n v="19.75"/>
    <n v="0"/>
    <n v="0"/>
    <n v="0"/>
    <n v="0"/>
    <n v="0"/>
    <n v="0"/>
    <n v="0"/>
    <n v="0"/>
    <n v="0"/>
    <n v="0"/>
    <n v="5"/>
    <n v="20.73"/>
    <n v="0.98"/>
    <n v="19.75"/>
    <n v="1"/>
  </r>
  <r>
    <s v="2021-06-16"/>
    <s v="Vancouver"/>
    <s v="加拿大二店"/>
    <x v="1"/>
    <x v="3"/>
    <x v="77"/>
    <x v="73"/>
    <x v="79"/>
    <s v="整份"/>
    <n v="5.95"/>
    <s v="份"/>
    <n v="5"/>
    <n v="29.75"/>
    <n v="0"/>
    <n v="0"/>
    <n v="0"/>
    <n v="0"/>
    <n v="2"/>
    <n v="11.9"/>
    <n v="0"/>
    <n v="0"/>
    <n v="0"/>
    <n v="0"/>
    <n v="3"/>
    <n v="18.74"/>
    <n v="0.89"/>
    <n v="17.85"/>
    <n v="1"/>
  </r>
  <r>
    <s v="2021-06-16"/>
    <s v="Vancouver"/>
    <s v="加拿大二店"/>
    <x v="3"/>
    <x v="11"/>
    <x v="78"/>
    <x v="74"/>
    <x v="80"/>
    <s v="整份"/>
    <n v="5.95"/>
    <s v="份"/>
    <n v="4"/>
    <n v="23.8"/>
    <n v="0"/>
    <n v="0"/>
    <n v="0"/>
    <n v="0"/>
    <n v="0"/>
    <n v="0"/>
    <n v="0"/>
    <n v="0"/>
    <n v="0"/>
    <n v="0"/>
    <n v="4"/>
    <n v="24.99"/>
    <n v="1.19"/>
    <n v="23.8"/>
    <n v="1"/>
  </r>
  <r>
    <s v="2021-06-16"/>
    <s v="Vancouver"/>
    <s v="加拿大二店"/>
    <x v="3"/>
    <x v="11"/>
    <x v="78"/>
    <x v="75"/>
    <x v="81"/>
    <s v="半份"/>
    <n v="2.95"/>
    <s v="份"/>
    <n v="2"/>
    <n v="5.9"/>
    <n v="0"/>
    <n v="0"/>
    <n v="0"/>
    <n v="0"/>
    <n v="0"/>
    <n v="0"/>
    <n v="0"/>
    <n v="0"/>
    <n v="0"/>
    <n v="0"/>
    <n v="2"/>
    <n v="6.19"/>
    <n v="0.29"/>
    <n v="5.9"/>
    <n v="0.5"/>
  </r>
  <r>
    <s v="2021-06-16"/>
    <s v="Vancouver"/>
    <s v="加拿大二店"/>
    <x v="3"/>
    <x v="5"/>
    <x v="79"/>
    <x v="76"/>
    <x v="82"/>
    <s v="整份"/>
    <n v="3.95"/>
    <s v="份"/>
    <n v="8"/>
    <n v="31.6"/>
    <n v="0"/>
    <n v="0"/>
    <n v="0"/>
    <n v="0"/>
    <n v="0"/>
    <n v="0"/>
    <n v="0"/>
    <n v="0"/>
    <n v="2.37"/>
    <n v="0"/>
    <n v="8"/>
    <n v="30.69"/>
    <n v="1.46"/>
    <n v="29.23"/>
    <n v="1"/>
  </r>
  <r>
    <s v="2021-06-16"/>
    <s v="Vancouver"/>
    <s v="加拿大二店"/>
    <x v="3"/>
    <x v="5"/>
    <x v="80"/>
    <x v="77"/>
    <x v="83"/>
    <s v="整份"/>
    <n v="5.95"/>
    <s v="份"/>
    <n v="5"/>
    <n v="29.75"/>
    <n v="0"/>
    <n v="0"/>
    <n v="0"/>
    <n v="0"/>
    <n v="0"/>
    <n v="0"/>
    <n v="0"/>
    <n v="0"/>
    <n v="2.38"/>
    <n v="0"/>
    <n v="5"/>
    <n v="28.73"/>
    <n v="1.36"/>
    <n v="27.37"/>
    <n v="1"/>
  </r>
  <r>
    <s v="2021-06-16"/>
    <s v="Vancouver"/>
    <s v="加拿大二店"/>
    <x v="4"/>
    <x v="16"/>
    <x v="81"/>
    <x v="0"/>
    <x v="84"/>
    <s v="单锅"/>
    <n v="16.95"/>
    <s v="锅"/>
    <n v="1"/>
    <n v="16.95"/>
    <n v="0"/>
    <n v="0"/>
    <n v="0"/>
    <n v="0"/>
    <n v="0"/>
    <n v="0"/>
    <n v="0"/>
    <n v="0"/>
    <n v="0"/>
    <n v="0"/>
    <n v="1"/>
    <n v="17.79"/>
    <n v="0.84"/>
    <n v="16.95"/>
    <n v="4"/>
  </r>
  <r>
    <s v="2021-06-16"/>
    <s v="Vancouver"/>
    <s v="加拿大二店"/>
    <x v="4"/>
    <x v="9"/>
    <x v="81"/>
    <x v="0"/>
    <x v="84"/>
    <s v="拼锅"/>
    <n v="8.95"/>
    <s v="锅"/>
    <n v="4"/>
    <n v="35.8"/>
    <n v="0"/>
    <n v="0"/>
    <n v="0"/>
    <n v="0"/>
    <n v="0"/>
    <n v="0"/>
    <n v="0"/>
    <n v="0"/>
    <n v="1.79"/>
    <n v="0"/>
    <n v="4"/>
    <n v="35.71"/>
    <n v="1.7"/>
    <n v="34.01"/>
    <n v="2"/>
  </r>
  <r>
    <s v="2021-06-16"/>
    <s v="Vancouver"/>
    <s v="加拿大二店"/>
    <x v="4"/>
    <x v="10"/>
    <x v="81"/>
    <x v="0"/>
    <x v="84"/>
    <s v="四宫格"/>
    <n v="4.95"/>
    <s v="锅"/>
    <n v="8"/>
    <n v="39.6"/>
    <n v="0"/>
    <n v="0"/>
    <n v="0"/>
    <n v="0"/>
    <n v="0"/>
    <n v="0"/>
    <n v="0"/>
    <n v="0"/>
    <n v="5.93"/>
    <n v="0"/>
    <n v="8"/>
    <n v="35.35"/>
    <n v="1.68"/>
    <n v="33.67"/>
    <n v="1"/>
  </r>
  <r>
    <s v="2021-06-16"/>
    <s v="Vancouver"/>
    <s v="加拿大二店"/>
    <x v="3"/>
    <x v="5"/>
    <x v="82"/>
    <x v="78"/>
    <x v="85"/>
    <s v="整份"/>
    <n v="12.95"/>
    <s v="份"/>
    <n v="9"/>
    <n v="116.55"/>
    <n v="0"/>
    <n v="0"/>
    <n v="0"/>
    <n v="0"/>
    <n v="1"/>
    <n v="12.95"/>
    <n v="0"/>
    <n v="0"/>
    <n v="9.06"/>
    <n v="0"/>
    <n v="8"/>
    <n v="99.26"/>
    <n v="4.72"/>
    <n v="94.54"/>
    <n v="1"/>
  </r>
  <r>
    <s v="2021-06-16"/>
    <s v="Vancouver"/>
    <s v="加拿大二店"/>
    <x v="3"/>
    <x v="11"/>
    <x v="83"/>
    <x v="79"/>
    <x v="86"/>
    <s v="整份"/>
    <n v="5.95"/>
    <s v="份"/>
    <n v="5"/>
    <n v="29.75"/>
    <n v="0"/>
    <n v="0"/>
    <n v="0"/>
    <n v="0"/>
    <n v="1"/>
    <n v="5.95"/>
    <n v="0"/>
    <n v="0"/>
    <n v="1.19"/>
    <n v="0"/>
    <n v="4"/>
    <n v="23.74"/>
    <n v="1.13"/>
    <n v="22.61"/>
    <n v="1"/>
  </r>
  <r>
    <s v="2021-06-16"/>
    <s v="Vancouver"/>
    <s v="加拿大二店"/>
    <x v="3"/>
    <x v="11"/>
    <x v="83"/>
    <x v="80"/>
    <x v="87"/>
    <s v="半份"/>
    <n v="2.95"/>
    <s v="份"/>
    <n v="2"/>
    <n v="5.9"/>
    <n v="0"/>
    <n v="0"/>
    <n v="0"/>
    <n v="0"/>
    <n v="0"/>
    <n v="0"/>
    <n v="0"/>
    <n v="0"/>
    <n v="1.47"/>
    <n v="0"/>
    <n v="2"/>
    <n v="4.65"/>
    <n v="0.22"/>
    <n v="4.43"/>
    <n v="0.5"/>
  </r>
  <r>
    <s v="2021-06-16"/>
    <s v="Vancouver"/>
    <s v="加拿大二店"/>
    <x v="3"/>
    <x v="11"/>
    <x v="84"/>
    <x v="81"/>
    <x v="88"/>
    <s v="整份"/>
    <n v="11.95"/>
    <s v="份"/>
    <n v="5"/>
    <n v="59.75"/>
    <n v="1"/>
    <n v="11.95"/>
    <n v="0"/>
    <n v="0"/>
    <n v="0"/>
    <n v="0"/>
    <n v="0"/>
    <n v="0"/>
    <n v="2.39"/>
    <n v="0"/>
    <n v="4"/>
    <n v="47.68"/>
    <n v="2.27"/>
    <n v="45.41"/>
    <n v="1"/>
  </r>
  <r>
    <s v="2021-06-16"/>
    <s v="Vancouver"/>
    <s v="加拿大二店"/>
    <x v="1"/>
    <x v="3"/>
    <x v="85"/>
    <x v="82"/>
    <x v="89"/>
    <s v="整份"/>
    <n v="6.95"/>
    <s v="份"/>
    <n v="7"/>
    <n v="48.65"/>
    <n v="0"/>
    <n v="0"/>
    <n v="0"/>
    <n v="0"/>
    <n v="0"/>
    <n v="0"/>
    <n v="0"/>
    <n v="0"/>
    <n v="0"/>
    <n v="0"/>
    <n v="7"/>
    <n v="51.08"/>
    <n v="2.43"/>
    <n v="48.65"/>
    <n v="1"/>
  </r>
  <r>
    <s v="2021-06-16"/>
    <s v="Vancouver"/>
    <s v="加拿大二店"/>
    <x v="6"/>
    <x v="13"/>
    <x v="86"/>
    <x v="83"/>
    <x v="90"/>
    <s v="碗"/>
    <n v="2.95"/>
    <s v="碗"/>
    <n v="11"/>
    <n v="32.45"/>
    <n v="0"/>
    <n v="0"/>
    <n v="0"/>
    <n v="0"/>
    <n v="0"/>
    <n v="0"/>
    <n v="0"/>
    <n v="0"/>
    <n v="1.47"/>
    <n v="0"/>
    <n v="11"/>
    <n v="32.52"/>
    <n v="1.54"/>
    <n v="30.98"/>
    <n v="1"/>
  </r>
  <r>
    <s v="2021-06-16"/>
    <s v="Vancouver"/>
    <s v="加拿大二店"/>
    <x v="2"/>
    <x v="4"/>
    <x v="87"/>
    <x v="84"/>
    <x v="91"/>
    <s v="冰镇"/>
    <n v="2.95"/>
    <s v="扎"/>
    <n v="3"/>
    <n v="8.85"/>
    <n v="0"/>
    <n v="0"/>
    <n v="0"/>
    <n v="0"/>
    <n v="0"/>
    <n v="0"/>
    <n v="0"/>
    <n v="0"/>
    <n v="0"/>
    <n v="0"/>
    <n v="3"/>
    <n v="9.91"/>
    <n v="1.06"/>
    <n v="8.85"/>
    <n v="1"/>
  </r>
  <r>
    <s v="2021-06-16"/>
    <s v="Vancouver"/>
    <s v="加拿大二店"/>
    <x v="1"/>
    <x v="8"/>
    <x v="88"/>
    <x v="85"/>
    <x v="92"/>
    <s v="整份"/>
    <n v="7.95"/>
    <s v="份"/>
    <n v="4"/>
    <n v="31.8"/>
    <n v="0"/>
    <n v="0"/>
    <n v="0"/>
    <n v="0"/>
    <n v="0"/>
    <n v="0"/>
    <n v="0"/>
    <n v="0"/>
    <n v="1.59"/>
    <n v="0"/>
    <n v="4"/>
    <n v="31.72"/>
    <n v="1.51"/>
    <n v="30.21"/>
    <n v="1"/>
  </r>
  <r>
    <s v="2021-06-16"/>
    <s v="Vancouver"/>
    <s v="加拿大二店"/>
    <x v="1"/>
    <x v="8"/>
    <x v="89"/>
    <x v="86"/>
    <x v="93"/>
    <s v="整份"/>
    <n v="4.95"/>
    <s v="份"/>
    <n v="13"/>
    <n v="64.35"/>
    <n v="0"/>
    <n v="0"/>
    <n v="0"/>
    <n v="0"/>
    <n v="0"/>
    <n v="0"/>
    <n v="0"/>
    <n v="0"/>
    <n v="4.99"/>
    <n v="0"/>
    <n v="13"/>
    <n v="62.32"/>
    <n v="2.96"/>
    <n v="59.36"/>
    <n v="1"/>
  </r>
  <r>
    <s v="2021-06-16"/>
    <s v="Vancouver"/>
    <s v="加拿大二店"/>
    <x v="3"/>
    <x v="7"/>
    <x v="90"/>
    <x v="87"/>
    <x v="94"/>
    <s v="整份"/>
    <n v="4.95"/>
    <s v="份"/>
    <n v="12"/>
    <n v="59.4"/>
    <n v="0"/>
    <n v="0"/>
    <n v="0"/>
    <n v="0"/>
    <n v="3"/>
    <n v="14.85"/>
    <n v="0"/>
    <n v="0"/>
    <n v="3.46"/>
    <n v="0"/>
    <n v="9"/>
    <n v="43.14"/>
    <n v="2.05"/>
    <n v="41.09"/>
    <n v="1"/>
  </r>
  <r>
    <s v="2021-06-16"/>
    <s v="Vancouver"/>
    <s v="加拿大二店"/>
    <x v="1"/>
    <x v="6"/>
    <x v="119"/>
    <x v="113"/>
    <x v="123"/>
    <s v="整份"/>
    <n v="135.83"/>
    <s v="磅"/>
    <n v="1"/>
    <n v="135.83"/>
    <n v="0"/>
    <n v="0"/>
    <n v="0"/>
    <n v="0"/>
    <n v="0"/>
    <n v="0"/>
    <n v="0"/>
    <n v="-0.01"/>
    <n v="0"/>
    <n v="0"/>
    <n v="1"/>
    <n v="142.63"/>
    <n v="6.79"/>
    <n v="135.84"/>
    <n v="1"/>
  </r>
  <r>
    <s v="2021-06-16"/>
    <s v="Vancouver"/>
    <s v="加拿大二店"/>
    <x v="6"/>
    <x v="18"/>
    <x v="91"/>
    <x v="88"/>
    <x v="95"/>
    <s v="整份"/>
    <n v="2.95"/>
    <s v="份"/>
    <n v="4"/>
    <n v="11.8"/>
    <n v="0"/>
    <n v="0"/>
    <n v="0"/>
    <n v="0"/>
    <n v="0"/>
    <n v="0"/>
    <n v="0"/>
    <n v="0"/>
    <n v="0"/>
    <n v="0"/>
    <n v="4"/>
    <n v="12.39"/>
    <n v="0.59"/>
    <n v="11.8"/>
    <n v="1"/>
  </r>
  <r>
    <s v="2021-06-16"/>
    <s v="Vancouver"/>
    <s v="加拿大二店"/>
    <x v="4"/>
    <x v="9"/>
    <x v="92"/>
    <x v="0"/>
    <x v="96"/>
    <s v="拼锅"/>
    <n v="8.95"/>
    <s v="锅"/>
    <n v="1"/>
    <n v="8.95"/>
    <n v="0"/>
    <n v="0"/>
    <n v="0"/>
    <n v="0"/>
    <n v="0"/>
    <n v="0"/>
    <n v="0"/>
    <n v="0"/>
    <n v="0"/>
    <n v="0"/>
    <n v="1"/>
    <n v="9.39"/>
    <n v="0.44"/>
    <n v="8.95"/>
    <n v="2"/>
  </r>
  <r>
    <s v="2021-06-16"/>
    <s v="Vancouver"/>
    <s v="加拿大二店"/>
    <x v="4"/>
    <x v="10"/>
    <x v="92"/>
    <x v="0"/>
    <x v="96"/>
    <s v="四宫格"/>
    <n v="4.95"/>
    <s v="锅"/>
    <n v="2"/>
    <n v="9.9"/>
    <n v="0"/>
    <n v="0"/>
    <n v="0"/>
    <n v="0"/>
    <n v="0"/>
    <n v="0"/>
    <n v="0"/>
    <n v="0"/>
    <n v="0.99"/>
    <n v="0"/>
    <n v="2"/>
    <n v="9.35"/>
    <n v="0.44"/>
    <n v="8.91"/>
    <n v="1"/>
  </r>
  <r>
    <s v="2021-06-16"/>
    <s v="Vancouver"/>
    <s v="加拿大二店"/>
    <x v="3"/>
    <x v="5"/>
    <x v="93"/>
    <x v="89"/>
    <x v="97"/>
    <s v="整份"/>
    <n v="5.95"/>
    <s v="份"/>
    <n v="13"/>
    <n v="77.35"/>
    <n v="0"/>
    <n v="0"/>
    <n v="0"/>
    <n v="0"/>
    <n v="0"/>
    <n v="0"/>
    <n v="0"/>
    <n v="0"/>
    <n v="5.35"/>
    <n v="0"/>
    <n v="13"/>
    <n v="75.6"/>
    <n v="3.6"/>
    <n v="72"/>
    <n v="1"/>
  </r>
  <r>
    <s v="2021-06-16"/>
    <s v="Vancouver"/>
    <s v="加拿大二店"/>
    <x v="6"/>
    <x v="13"/>
    <x v="94"/>
    <x v="90"/>
    <x v="98"/>
    <s v="整份"/>
    <n v="4.95"/>
    <s v="份"/>
    <n v="7"/>
    <n v="34.65"/>
    <n v="1"/>
    <n v="4.95"/>
    <n v="0"/>
    <n v="0"/>
    <n v="1"/>
    <n v="4.95"/>
    <n v="0"/>
    <n v="0"/>
    <n v="0.99"/>
    <n v="0"/>
    <n v="5"/>
    <n v="24.94"/>
    <n v="1.18"/>
    <n v="23.76"/>
    <n v="1"/>
  </r>
  <r>
    <s v="2021-06-16"/>
    <s v="Vancouver"/>
    <s v="加拿大二店"/>
    <x v="7"/>
    <x v="14"/>
    <x v="123"/>
    <x v="117"/>
    <x v="127"/>
    <s v="整份"/>
    <n v="0"/>
    <s v="份"/>
    <n v="3"/>
    <n v="0"/>
    <n v="0"/>
    <n v="0"/>
    <n v="0"/>
    <n v="0"/>
    <n v="0"/>
    <n v="0"/>
    <n v="0"/>
    <n v="0"/>
    <n v="0"/>
    <n v="0"/>
    <n v="3"/>
    <n v="0"/>
    <n v="0"/>
    <n v="0"/>
    <n v="1"/>
  </r>
  <r>
    <s v="2021-06-16"/>
    <s v="Vancouver"/>
    <s v="加拿大二店"/>
    <x v="2"/>
    <x v="4"/>
    <x v="95"/>
    <x v="91"/>
    <x v="99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16"/>
    <s v="Vancouver"/>
    <s v="加拿大二店"/>
    <x v="1"/>
    <x v="1"/>
    <x v="96"/>
    <x v="92"/>
    <x v="100"/>
    <s v="整份"/>
    <n v="49.95"/>
    <s v="份"/>
    <n v="4"/>
    <n v="199.8"/>
    <n v="0"/>
    <n v="0"/>
    <n v="0"/>
    <n v="0"/>
    <n v="0"/>
    <n v="0"/>
    <n v="0"/>
    <n v="0"/>
    <n v="24.97"/>
    <n v="0"/>
    <n v="4"/>
    <n v="183.57"/>
    <n v="8.74"/>
    <n v="174.83"/>
    <n v="1"/>
  </r>
  <r>
    <s v="2021-06-16"/>
    <s v="Vancouver"/>
    <s v="加拿大二店"/>
    <x v="2"/>
    <x v="2"/>
    <x v="97"/>
    <x v="93"/>
    <x v="101"/>
    <s v="冰镇"/>
    <n v="5.95"/>
    <s v="听"/>
    <n v="1"/>
    <n v="5.95"/>
    <n v="0"/>
    <n v="0"/>
    <n v="0"/>
    <n v="0"/>
    <n v="0"/>
    <n v="0"/>
    <n v="0"/>
    <n v="0"/>
    <n v="0"/>
    <n v="0"/>
    <n v="1"/>
    <n v="6.84"/>
    <n v="0.89"/>
    <n v="5.95"/>
    <n v="1"/>
  </r>
  <r>
    <s v="2021-06-16"/>
    <s v="Vancouver"/>
    <s v="加拿大二店"/>
    <x v="6"/>
    <x v="13"/>
    <x v="98"/>
    <x v="94"/>
    <x v="102"/>
    <s v="整份"/>
    <n v="3.95"/>
    <s v="份"/>
    <n v="3"/>
    <n v="11.85"/>
    <n v="0"/>
    <n v="0"/>
    <n v="0"/>
    <n v="0"/>
    <n v="1"/>
    <n v="3.95"/>
    <n v="0"/>
    <n v="0"/>
    <n v="0"/>
    <n v="0"/>
    <n v="2"/>
    <n v="8.29"/>
    <n v="0.39"/>
    <n v="7.9"/>
    <n v="1"/>
  </r>
  <r>
    <s v="2021-06-16"/>
    <s v="Vancouver"/>
    <s v="加拿大二店"/>
    <x v="1"/>
    <x v="3"/>
    <x v="99"/>
    <x v="95"/>
    <x v="103"/>
    <s v="整份"/>
    <n v="5.95"/>
    <s v="份"/>
    <n v="5"/>
    <n v="29.75"/>
    <n v="0"/>
    <n v="0"/>
    <n v="0"/>
    <n v="0"/>
    <n v="1"/>
    <n v="5.95"/>
    <n v="0"/>
    <n v="0"/>
    <n v="1.19"/>
    <n v="0"/>
    <n v="4"/>
    <n v="23.74"/>
    <n v="1.13"/>
    <n v="22.61"/>
    <n v="1"/>
  </r>
  <r>
    <s v="2021-06-16"/>
    <s v="Vancouver"/>
    <s v="加拿大二店"/>
    <x v="1"/>
    <x v="3"/>
    <x v="100"/>
    <x v="96"/>
    <x v="104"/>
    <s v="整份"/>
    <n v="7.95"/>
    <s v="份"/>
    <n v="6"/>
    <n v="47.7"/>
    <n v="0"/>
    <n v="0"/>
    <n v="0"/>
    <n v="0"/>
    <n v="1"/>
    <n v="7.95"/>
    <n v="0"/>
    <n v="0"/>
    <n v="1.59"/>
    <n v="0"/>
    <n v="5"/>
    <n v="40.06"/>
    <n v="1.9"/>
    <n v="38.16"/>
    <n v="1"/>
  </r>
  <r>
    <s v="2021-06-16"/>
    <s v="Vancouver"/>
    <s v="加拿大二店"/>
    <x v="1"/>
    <x v="8"/>
    <x v="101"/>
    <x v="97"/>
    <x v="105"/>
    <s v="整份"/>
    <n v="5.95"/>
    <s v="份"/>
    <n v="6"/>
    <n v="35.7"/>
    <n v="0"/>
    <n v="0"/>
    <n v="0"/>
    <n v="0"/>
    <n v="0"/>
    <n v="0"/>
    <n v="0"/>
    <n v="0"/>
    <n v="0"/>
    <n v="0"/>
    <n v="6"/>
    <n v="37.48"/>
    <n v="1.78"/>
    <n v="35.7"/>
    <n v="1"/>
  </r>
  <r>
    <s v="2021-06-16"/>
    <s v="Vancouver"/>
    <s v="加拿大二店"/>
    <x v="1"/>
    <x v="6"/>
    <x v="102"/>
    <x v="98"/>
    <x v="106"/>
    <s v="整份"/>
    <n v="8.95"/>
    <s v="份"/>
    <n v="6"/>
    <n v="53.7"/>
    <n v="0"/>
    <n v="0"/>
    <n v="0"/>
    <n v="0"/>
    <n v="3"/>
    <n v="26.85"/>
    <n v="0"/>
    <n v="-0.01"/>
    <n v="1.79"/>
    <n v="0"/>
    <n v="3"/>
    <n v="26.32"/>
    <n v="1.25"/>
    <n v="25.07"/>
    <n v="1"/>
  </r>
  <r>
    <s v="2021-06-16"/>
    <s v="Vancouver"/>
    <s v="加拿大二店"/>
    <x v="3"/>
    <x v="7"/>
    <x v="103"/>
    <x v="99"/>
    <x v="107"/>
    <s v="整份"/>
    <n v="5.95"/>
    <s v="份"/>
    <n v="14"/>
    <n v="83.3"/>
    <n v="0"/>
    <n v="0"/>
    <n v="0"/>
    <n v="0"/>
    <n v="0"/>
    <n v="0"/>
    <n v="0"/>
    <n v="0"/>
    <n v="5.95"/>
    <n v="0"/>
    <n v="14"/>
    <n v="81.21"/>
    <n v="3.86"/>
    <n v="77.35"/>
    <n v="1"/>
  </r>
  <r>
    <s v="2021-06-16"/>
    <s v="Vancouver"/>
    <s v="加拿大二店"/>
    <x v="3"/>
    <x v="7"/>
    <x v="104"/>
    <x v="100"/>
    <x v="108"/>
    <s v="整份"/>
    <n v="3.95"/>
    <s v="份"/>
    <n v="6"/>
    <n v="23.7"/>
    <n v="0"/>
    <n v="0"/>
    <n v="0"/>
    <n v="0"/>
    <n v="1"/>
    <n v="3.95"/>
    <n v="0"/>
    <n v="0"/>
    <n v="0"/>
    <n v="0"/>
    <n v="5"/>
    <n v="20.73"/>
    <n v="0.98"/>
    <n v="19.75"/>
    <n v="1"/>
  </r>
  <r>
    <s v="2021-06-16"/>
    <s v="Vancouver"/>
    <s v="加拿大二店"/>
    <x v="1"/>
    <x v="8"/>
    <x v="105"/>
    <x v="101"/>
    <x v="109"/>
    <s v="整份"/>
    <n v="4.95"/>
    <s v="份"/>
    <n v="13"/>
    <n v="64.35"/>
    <n v="0"/>
    <n v="0"/>
    <n v="0"/>
    <n v="0"/>
    <n v="0"/>
    <n v="0"/>
    <n v="0"/>
    <n v="0"/>
    <n v="4.45"/>
    <n v="0"/>
    <n v="13"/>
    <n v="62.89"/>
    <n v="2.99"/>
    <n v="59.9"/>
    <n v="1"/>
  </r>
  <r>
    <s v="2021-06-16"/>
    <s v="Vancouver"/>
    <s v="加拿大二店"/>
    <x v="4"/>
    <x v="9"/>
    <x v="106"/>
    <x v="0"/>
    <x v="110"/>
    <s v="拼锅"/>
    <n v="11.95"/>
    <s v="锅"/>
    <n v="9"/>
    <n v="107.55"/>
    <n v="0"/>
    <n v="0"/>
    <n v="0"/>
    <n v="0"/>
    <n v="1"/>
    <n v="11.95"/>
    <n v="0"/>
    <n v="0.04"/>
    <n v="2.39"/>
    <n v="0"/>
    <n v="8"/>
    <n v="97.82"/>
    <n v="4.65"/>
    <n v="93.17"/>
    <n v="2"/>
  </r>
  <r>
    <s v="2021-06-16"/>
    <s v="Vancouver"/>
    <s v="加拿大二店"/>
    <x v="4"/>
    <x v="10"/>
    <x v="106"/>
    <x v="0"/>
    <x v="110"/>
    <s v="四宫格"/>
    <n v="5.95"/>
    <s v="锅"/>
    <n v="6"/>
    <n v="35.7"/>
    <n v="0"/>
    <n v="0"/>
    <n v="0"/>
    <n v="0"/>
    <n v="0"/>
    <n v="0"/>
    <n v="0"/>
    <n v="0"/>
    <n v="1.19"/>
    <n v="0"/>
    <n v="6"/>
    <n v="36.23"/>
    <n v="1.72"/>
    <n v="34.51"/>
    <n v="1"/>
  </r>
  <r>
    <s v="2021-06-16"/>
    <s v="Vancouver"/>
    <s v="加拿大二店"/>
    <x v="4"/>
    <x v="9"/>
    <x v="107"/>
    <x v="0"/>
    <x v="111"/>
    <s v="拼锅"/>
    <n v="11.95"/>
    <s v="锅"/>
    <n v="4"/>
    <n v="47.8"/>
    <n v="0"/>
    <n v="0"/>
    <n v="0"/>
    <n v="0"/>
    <n v="0"/>
    <n v="0"/>
    <n v="0"/>
    <n v="0"/>
    <n v="2.39"/>
    <n v="0"/>
    <n v="4"/>
    <n v="47.68"/>
    <n v="2.27"/>
    <n v="45.41"/>
    <n v="2"/>
  </r>
  <r>
    <s v="2021-06-16"/>
    <s v="Vancouver"/>
    <s v="加拿大二店"/>
    <x v="4"/>
    <x v="10"/>
    <x v="107"/>
    <x v="0"/>
    <x v="111"/>
    <s v="四宫格"/>
    <n v="5.95"/>
    <s v="锅"/>
    <n v="4"/>
    <n v="23.8"/>
    <n v="0"/>
    <n v="0"/>
    <n v="0"/>
    <n v="0"/>
    <n v="1"/>
    <n v="5.95"/>
    <n v="0"/>
    <n v="0"/>
    <n v="0"/>
    <n v="0"/>
    <n v="3"/>
    <n v="18.74"/>
    <n v="0.89"/>
    <n v="17.85"/>
    <n v="1"/>
  </r>
  <r>
    <s v="2021-06-17"/>
    <s v="Vancouver"/>
    <s v="加拿大二店"/>
    <x v="1"/>
    <x v="1"/>
    <x v="1"/>
    <x v="1"/>
    <x v="1"/>
    <s v="整份"/>
    <n v="16.95"/>
    <s v="份"/>
    <n v="6"/>
    <n v="101.7"/>
    <n v="0"/>
    <n v="0"/>
    <n v="0"/>
    <n v="0"/>
    <n v="3"/>
    <n v="50.85"/>
    <n v="0"/>
    <n v="0"/>
    <n v="0"/>
    <n v="0"/>
    <n v="3"/>
    <n v="53.39"/>
    <n v="2.54"/>
    <n v="50.85"/>
    <n v="1"/>
  </r>
  <r>
    <s v="2021-06-17"/>
    <s v="Vancouver"/>
    <s v="加拿大二店"/>
    <x v="1"/>
    <x v="1"/>
    <x v="2"/>
    <x v="2"/>
    <x v="2"/>
    <s v="整份"/>
    <n v="25.95"/>
    <s v="份"/>
    <n v="10"/>
    <n v="259.5"/>
    <n v="0"/>
    <n v="0"/>
    <n v="0"/>
    <n v="0"/>
    <n v="0"/>
    <n v="0"/>
    <n v="0"/>
    <n v="0"/>
    <n v="0"/>
    <n v="0"/>
    <n v="10"/>
    <n v="272.47"/>
    <n v="12.97"/>
    <n v="259.5"/>
    <n v="1"/>
  </r>
  <r>
    <s v="2021-06-17"/>
    <s v="Vancouver"/>
    <s v="加拿大二店"/>
    <x v="2"/>
    <x v="2"/>
    <x v="129"/>
    <x v="123"/>
    <x v="134"/>
    <s v="扎"/>
    <n v="22.95"/>
    <s v="扎"/>
    <n v="1"/>
    <n v="22.95"/>
    <n v="0"/>
    <n v="0"/>
    <n v="0"/>
    <n v="0"/>
    <n v="0"/>
    <n v="0"/>
    <n v="0"/>
    <n v="-0.02"/>
    <n v="0"/>
    <n v="0"/>
    <n v="1"/>
    <n v="26.41"/>
    <n v="3.44"/>
    <n v="22.97"/>
    <n v="1"/>
  </r>
  <r>
    <s v="2021-06-17"/>
    <s v="Vancouver"/>
    <s v="加拿大二店"/>
    <x v="2"/>
    <x v="2"/>
    <x v="4"/>
    <x v="4"/>
    <x v="4"/>
    <s v="壶"/>
    <n v="22.95"/>
    <s v="壶"/>
    <n v="1"/>
    <n v="22.95"/>
    <n v="0"/>
    <n v="0"/>
    <n v="0"/>
    <n v="0"/>
    <n v="0"/>
    <n v="0"/>
    <n v="0"/>
    <n v="0.02"/>
    <n v="0"/>
    <n v="0"/>
    <n v="1"/>
    <n v="26.36"/>
    <n v="3.43"/>
    <n v="22.93"/>
    <n v="1"/>
  </r>
  <r>
    <s v="2021-06-17"/>
    <s v="Vancouver"/>
    <s v="加拿大二店"/>
    <x v="2"/>
    <x v="2"/>
    <x v="5"/>
    <x v="5"/>
    <x v="5"/>
    <s v="杯"/>
    <n v="6.95"/>
    <s v="杯"/>
    <n v="6"/>
    <n v="41.7"/>
    <n v="0"/>
    <n v="0"/>
    <n v="0"/>
    <n v="0"/>
    <n v="0"/>
    <n v="0"/>
    <n v="0"/>
    <n v="-0.03"/>
    <n v="0"/>
    <n v="0"/>
    <n v="6"/>
    <n v="47.98"/>
    <n v="6.25"/>
    <n v="41.73"/>
    <n v="1"/>
  </r>
  <r>
    <s v="2021-06-17"/>
    <s v="Vancouver"/>
    <s v="加拿大二店"/>
    <x v="1"/>
    <x v="3"/>
    <x v="6"/>
    <x v="6"/>
    <x v="6"/>
    <s v="整份"/>
    <n v="7.95"/>
    <s v="份"/>
    <n v="3"/>
    <n v="23.85"/>
    <n v="0"/>
    <n v="0"/>
    <n v="0"/>
    <n v="0"/>
    <n v="0"/>
    <n v="0"/>
    <n v="0"/>
    <n v="0"/>
    <n v="3.97"/>
    <n v="0"/>
    <n v="3"/>
    <n v="20.87"/>
    <n v="0.99"/>
    <n v="19.88"/>
    <n v="1"/>
  </r>
  <r>
    <s v="2021-06-17"/>
    <s v="Vancouver"/>
    <s v="加拿大二店"/>
    <x v="0"/>
    <x v="0"/>
    <x v="124"/>
    <x v="0"/>
    <x v="128"/>
    <s v="套餐"/>
    <n v="59.95"/>
    <s v="套餐"/>
    <n v="1"/>
    <n v="59.95"/>
    <n v="0"/>
    <n v="0"/>
    <n v="0"/>
    <n v="0"/>
    <n v="0"/>
    <n v="0"/>
    <n v="0"/>
    <n v="0"/>
    <n v="0"/>
    <n v="0"/>
    <n v="1"/>
    <n v="63.54"/>
    <n v="3.59"/>
    <n v="59.95"/>
    <n v="1"/>
  </r>
  <r>
    <s v="2021-06-17"/>
    <s v="Vancouver"/>
    <s v="加拿大二店"/>
    <x v="2"/>
    <x v="4"/>
    <x v="7"/>
    <x v="7"/>
    <x v="7"/>
    <s v="冰镇"/>
    <n v="2.45"/>
    <s v="罐"/>
    <n v="2"/>
    <n v="4.9"/>
    <n v="1"/>
    <n v="2.45"/>
    <n v="0"/>
    <n v="0"/>
    <n v="0"/>
    <n v="0"/>
    <n v="0"/>
    <n v="0"/>
    <n v="0"/>
    <n v="0"/>
    <n v="1"/>
    <n v="2.74"/>
    <n v="0.29"/>
    <n v="2.45"/>
    <n v="1"/>
  </r>
  <r>
    <s v="2021-06-17"/>
    <s v="Vancouver"/>
    <s v="加拿大二店"/>
    <x v="2"/>
    <x v="4"/>
    <x v="110"/>
    <x v="104"/>
    <x v="114"/>
    <s v="小瓶"/>
    <n v="3.95"/>
    <s v="瓶"/>
    <n v="3"/>
    <n v="11.85"/>
    <n v="0"/>
    <n v="0"/>
    <n v="0"/>
    <n v="0"/>
    <n v="0"/>
    <n v="0"/>
    <n v="0"/>
    <n v="0"/>
    <n v="1.97"/>
    <n v="0"/>
    <n v="3"/>
    <n v="11.06"/>
    <n v="1.18"/>
    <n v="9.88"/>
    <n v="1"/>
  </r>
  <r>
    <s v="2021-06-17"/>
    <s v="Vancouver"/>
    <s v="加拿大二店"/>
    <x v="2"/>
    <x v="4"/>
    <x v="9"/>
    <x v="9"/>
    <x v="9"/>
    <s v="常温"/>
    <n v="2.95"/>
    <s v="位"/>
    <n v="2"/>
    <n v="5.9"/>
    <n v="0"/>
    <n v="0"/>
    <n v="0"/>
    <n v="0"/>
    <n v="0"/>
    <n v="0"/>
    <n v="0"/>
    <n v="0"/>
    <n v="1.47"/>
    <n v="0"/>
    <n v="2"/>
    <n v="4.96"/>
    <n v="0.53"/>
    <n v="4.43"/>
    <n v="1"/>
  </r>
  <r>
    <s v="2021-06-17"/>
    <s v="Vancouver"/>
    <s v="加拿大二店"/>
    <x v="2"/>
    <x v="4"/>
    <x v="9"/>
    <x v="9"/>
    <x v="9"/>
    <s v="冰镇"/>
    <n v="2.95"/>
    <s v="位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17"/>
    <s v="Vancouver"/>
    <s v="加拿大二店"/>
    <x v="2"/>
    <x v="4"/>
    <x v="10"/>
    <x v="10"/>
    <x v="10"/>
    <s v="半份"/>
    <n v="6.95"/>
    <s v="扎"/>
    <n v="5"/>
    <n v="34.75"/>
    <n v="0"/>
    <n v="0"/>
    <n v="0"/>
    <n v="0"/>
    <n v="0"/>
    <n v="0"/>
    <n v="0"/>
    <n v="0"/>
    <n v="0"/>
    <n v="0"/>
    <n v="5"/>
    <n v="38.92"/>
    <n v="4.17"/>
    <n v="34.75"/>
    <n v="0.5"/>
  </r>
  <r>
    <s v="2021-06-17"/>
    <s v="Vancouver"/>
    <s v="加拿大二店"/>
    <x v="2"/>
    <x v="4"/>
    <x v="10"/>
    <x v="11"/>
    <x v="11"/>
    <s v="整份"/>
    <n v="9.95"/>
    <s v="扎"/>
    <n v="1"/>
    <n v="9.95"/>
    <n v="0"/>
    <n v="0"/>
    <n v="0"/>
    <n v="0"/>
    <n v="0"/>
    <n v="0"/>
    <n v="0"/>
    <n v="0"/>
    <n v="0"/>
    <n v="0"/>
    <n v="1"/>
    <n v="11.14"/>
    <n v="1.19"/>
    <n v="9.95"/>
    <n v="1"/>
  </r>
  <r>
    <s v="2021-06-17"/>
    <s v="Vancouver"/>
    <s v="加拿大二店"/>
    <x v="1"/>
    <x v="6"/>
    <x v="11"/>
    <x v="12"/>
    <x v="12"/>
    <s v="整份"/>
    <n v="8.95"/>
    <s v="份"/>
    <n v="2"/>
    <n v="17.9"/>
    <n v="0"/>
    <n v="0"/>
    <n v="0"/>
    <n v="0"/>
    <n v="0"/>
    <n v="0"/>
    <n v="0"/>
    <n v="0"/>
    <n v="0"/>
    <n v="0"/>
    <n v="2"/>
    <n v="18.79"/>
    <n v="0.89"/>
    <n v="17.9"/>
    <n v="1"/>
  </r>
  <r>
    <s v="2021-06-17"/>
    <s v="Vancouver"/>
    <s v="加拿大二店"/>
    <x v="1"/>
    <x v="6"/>
    <x v="13"/>
    <x v="14"/>
    <x v="14"/>
    <s v="整份"/>
    <n v="21.95"/>
    <s v="份"/>
    <n v="2"/>
    <n v="43.9"/>
    <n v="0"/>
    <n v="0"/>
    <n v="0"/>
    <n v="0"/>
    <n v="0"/>
    <n v="0"/>
    <n v="0"/>
    <n v="0"/>
    <n v="4.39"/>
    <n v="0"/>
    <n v="2"/>
    <n v="41.48"/>
    <n v="1.97"/>
    <n v="39.51"/>
    <n v="1"/>
  </r>
  <r>
    <s v="2021-06-17"/>
    <s v="Vancouver"/>
    <s v="加拿大二店"/>
    <x v="1"/>
    <x v="6"/>
    <x v="121"/>
    <x v="115"/>
    <x v="125"/>
    <s v="整份"/>
    <n v="12.95"/>
    <s v="份"/>
    <n v="1"/>
    <n v="12.95"/>
    <n v="0"/>
    <n v="0"/>
    <n v="0"/>
    <n v="0"/>
    <n v="0"/>
    <n v="0"/>
    <n v="0"/>
    <n v="0"/>
    <n v="0"/>
    <n v="0"/>
    <n v="1"/>
    <n v="13.59"/>
    <n v="0.64"/>
    <n v="12.95"/>
    <n v="1"/>
  </r>
  <r>
    <s v="2021-06-17"/>
    <s v="Vancouver"/>
    <s v="加拿大二店"/>
    <x v="1"/>
    <x v="6"/>
    <x v="15"/>
    <x v="16"/>
    <x v="16"/>
    <s v="整份"/>
    <n v="8.95"/>
    <s v="份"/>
    <n v="2"/>
    <n v="17.9"/>
    <n v="0"/>
    <n v="0"/>
    <n v="0"/>
    <n v="0"/>
    <n v="0"/>
    <n v="0"/>
    <n v="0"/>
    <n v="0"/>
    <n v="0"/>
    <n v="0"/>
    <n v="2"/>
    <n v="18.79"/>
    <n v="0.89"/>
    <n v="17.9"/>
    <n v="1"/>
  </r>
  <r>
    <s v="2021-06-17"/>
    <s v="Vancouver"/>
    <s v="加拿大二店"/>
    <x v="3"/>
    <x v="7"/>
    <x v="16"/>
    <x v="17"/>
    <x v="17"/>
    <s v="整份"/>
    <n v="4.95"/>
    <s v="份"/>
    <n v="14"/>
    <n v="69.3"/>
    <n v="0"/>
    <n v="0"/>
    <n v="0"/>
    <n v="0"/>
    <n v="0"/>
    <n v="0"/>
    <n v="0"/>
    <n v="0"/>
    <n v="1.98"/>
    <n v="0"/>
    <n v="14"/>
    <n v="70.68"/>
    <n v="3.36"/>
    <n v="67.32"/>
    <n v="1"/>
  </r>
  <r>
    <s v="2021-06-17"/>
    <s v="Vancouver"/>
    <s v="加拿大二店"/>
    <x v="2"/>
    <x v="4"/>
    <x v="17"/>
    <x v="18"/>
    <x v="18"/>
    <s v="冰镇"/>
    <n v="2.95"/>
    <s v="瓶"/>
    <n v="3"/>
    <n v="8.85"/>
    <n v="0"/>
    <n v="0"/>
    <n v="0"/>
    <n v="0"/>
    <n v="0"/>
    <n v="0"/>
    <n v="0"/>
    <n v="0"/>
    <n v="0"/>
    <n v="0"/>
    <n v="3"/>
    <n v="9.91"/>
    <n v="1.06"/>
    <n v="8.85"/>
    <n v="1"/>
  </r>
  <r>
    <s v="2021-06-17"/>
    <s v="Vancouver"/>
    <s v="加拿大二店"/>
    <x v="2"/>
    <x v="4"/>
    <x v="18"/>
    <x v="19"/>
    <x v="19"/>
    <s v="冰镇"/>
    <n v="2.95"/>
    <s v="听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17"/>
    <s v="Vancouver"/>
    <s v="加拿大二店"/>
    <x v="1"/>
    <x v="8"/>
    <x v="19"/>
    <x v="20"/>
    <x v="20"/>
    <s v="整份"/>
    <n v="5.95"/>
    <s v="份"/>
    <n v="8"/>
    <n v="47.6"/>
    <n v="0"/>
    <n v="0"/>
    <n v="0"/>
    <n v="0"/>
    <n v="3"/>
    <n v="17.85"/>
    <n v="0"/>
    <n v="0"/>
    <n v="3.57"/>
    <n v="0"/>
    <n v="5"/>
    <n v="27.48"/>
    <n v="1.3"/>
    <n v="26.18"/>
    <n v="1"/>
  </r>
  <r>
    <s v="2021-06-17"/>
    <s v="Vancouver"/>
    <s v="加拿大二店"/>
    <x v="1"/>
    <x v="8"/>
    <x v="20"/>
    <x v="21"/>
    <x v="21"/>
    <s v="整份"/>
    <n v="7.95"/>
    <s v="份"/>
    <n v="3"/>
    <n v="23.85"/>
    <n v="0"/>
    <n v="0"/>
    <n v="0"/>
    <n v="0"/>
    <n v="0"/>
    <n v="0"/>
    <n v="0"/>
    <n v="0"/>
    <n v="1.59"/>
    <n v="0"/>
    <n v="3"/>
    <n v="23.37"/>
    <n v="1.11"/>
    <n v="22.26"/>
    <n v="1"/>
  </r>
  <r>
    <s v="2021-06-17"/>
    <s v="Vancouver"/>
    <s v="加拿大二店"/>
    <x v="2"/>
    <x v="4"/>
    <x v="21"/>
    <x v="22"/>
    <x v="22"/>
    <s v="冰镇"/>
    <n v="2.45"/>
    <s v="听"/>
    <n v="1"/>
    <n v="2.45"/>
    <n v="0"/>
    <n v="0"/>
    <n v="0"/>
    <n v="0"/>
    <n v="0"/>
    <n v="0"/>
    <n v="0"/>
    <n v="0"/>
    <n v="0.49"/>
    <n v="0"/>
    <n v="1"/>
    <n v="2.19"/>
    <n v="0.23"/>
    <n v="1.96"/>
    <n v="1"/>
  </r>
  <r>
    <s v="2021-06-17"/>
    <s v="Vancouver"/>
    <s v="加拿大二店"/>
    <x v="4"/>
    <x v="16"/>
    <x v="22"/>
    <x v="0"/>
    <x v="23"/>
    <s v="单锅"/>
    <n v="22.95"/>
    <s v="锅"/>
    <n v="1"/>
    <n v="22.95"/>
    <n v="0"/>
    <n v="0"/>
    <n v="0"/>
    <n v="0"/>
    <n v="0"/>
    <n v="0"/>
    <n v="0"/>
    <n v="0.01"/>
    <n v="4.59"/>
    <n v="0"/>
    <n v="1"/>
    <n v="19.45"/>
    <n v="1.1"/>
    <n v="18.35"/>
    <n v="4"/>
  </r>
  <r>
    <s v="2021-06-17"/>
    <s v="Vancouver"/>
    <s v="加拿大二店"/>
    <x v="4"/>
    <x v="9"/>
    <x v="22"/>
    <x v="0"/>
    <x v="23"/>
    <s v="拼锅"/>
    <n v="11.95"/>
    <s v="锅"/>
    <n v="2"/>
    <n v="23.9"/>
    <n v="0"/>
    <n v="0"/>
    <n v="0"/>
    <n v="0"/>
    <n v="0"/>
    <n v="0"/>
    <n v="0"/>
    <n v="0"/>
    <n v="0"/>
    <n v="0"/>
    <n v="2"/>
    <n v="25.33"/>
    <n v="1.43"/>
    <n v="23.9"/>
    <n v="2"/>
  </r>
  <r>
    <s v="2021-06-17"/>
    <s v="Vancouver"/>
    <s v="加拿大二店"/>
    <x v="4"/>
    <x v="10"/>
    <x v="22"/>
    <x v="0"/>
    <x v="23"/>
    <s v="四宫格"/>
    <n v="5.95"/>
    <s v="锅"/>
    <n v="4"/>
    <n v="23.8"/>
    <n v="0"/>
    <n v="0"/>
    <n v="0"/>
    <n v="0"/>
    <n v="0"/>
    <n v="0"/>
    <n v="0"/>
    <n v="0"/>
    <n v="0"/>
    <n v="0"/>
    <n v="4"/>
    <n v="25.22"/>
    <n v="1.42"/>
    <n v="23.8"/>
    <n v="1"/>
  </r>
  <r>
    <s v="2021-06-17"/>
    <s v="Vancouver"/>
    <s v="加拿大二店"/>
    <x v="3"/>
    <x v="7"/>
    <x v="23"/>
    <x v="23"/>
    <x v="24"/>
    <s v="整份"/>
    <n v="4.95"/>
    <s v="份"/>
    <n v="8"/>
    <n v="39.6"/>
    <n v="0"/>
    <n v="0"/>
    <n v="0"/>
    <n v="0"/>
    <n v="0"/>
    <n v="0"/>
    <n v="0"/>
    <n v="0"/>
    <n v="0"/>
    <n v="0"/>
    <n v="8"/>
    <n v="41.58"/>
    <n v="1.98"/>
    <n v="39.6"/>
    <n v="1"/>
  </r>
  <r>
    <s v="2021-06-17"/>
    <s v="Vancouver"/>
    <s v="加拿大二店"/>
    <x v="3"/>
    <x v="11"/>
    <x v="24"/>
    <x v="118"/>
    <x v="129"/>
    <s v="整份"/>
    <n v="5.95"/>
    <s v="份"/>
    <n v="4"/>
    <n v="23.8"/>
    <n v="0"/>
    <n v="0"/>
    <n v="0"/>
    <n v="0"/>
    <n v="0"/>
    <n v="0"/>
    <n v="0"/>
    <n v="0"/>
    <n v="0"/>
    <n v="0"/>
    <n v="4"/>
    <n v="24.99"/>
    <n v="1.19"/>
    <n v="23.8"/>
    <n v="1"/>
  </r>
  <r>
    <s v="2021-06-17"/>
    <s v="Vancouver"/>
    <s v="加拿大二店"/>
    <x v="3"/>
    <x v="11"/>
    <x v="24"/>
    <x v="24"/>
    <x v="25"/>
    <s v="半份"/>
    <n v="2.95"/>
    <s v="份"/>
    <n v="3"/>
    <n v="8.85"/>
    <n v="0"/>
    <n v="0"/>
    <n v="0"/>
    <n v="0"/>
    <n v="0"/>
    <n v="0"/>
    <n v="0"/>
    <n v="0"/>
    <n v="0"/>
    <n v="0"/>
    <n v="3"/>
    <n v="9.29"/>
    <n v="0.44"/>
    <n v="8.85"/>
    <n v="0.5"/>
  </r>
  <r>
    <s v="2021-06-17"/>
    <s v="Vancouver"/>
    <s v="加拿大二店"/>
    <x v="3"/>
    <x v="5"/>
    <x v="25"/>
    <x v="25"/>
    <x v="26"/>
    <s v="整份"/>
    <n v="3.95"/>
    <s v="份"/>
    <n v="9"/>
    <n v="35.55"/>
    <n v="0"/>
    <n v="0"/>
    <n v="0"/>
    <n v="0"/>
    <n v="3"/>
    <n v="11.85"/>
    <n v="0"/>
    <n v="0"/>
    <n v="0.79"/>
    <n v="0"/>
    <n v="6"/>
    <n v="24.05"/>
    <n v="1.14"/>
    <n v="22.91"/>
    <n v="1"/>
  </r>
  <r>
    <s v="2021-06-17"/>
    <s v="Vancouver"/>
    <s v="加拿大二店"/>
    <x v="3"/>
    <x v="11"/>
    <x v="26"/>
    <x v="26"/>
    <x v="27"/>
    <s v="整份"/>
    <n v="4.95"/>
    <s v="份"/>
    <n v="7"/>
    <n v="34.65"/>
    <n v="0"/>
    <n v="0"/>
    <n v="0"/>
    <n v="0"/>
    <n v="1"/>
    <n v="4.95"/>
    <n v="0"/>
    <n v="0"/>
    <n v="0"/>
    <n v="0"/>
    <n v="6"/>
    <n v="31.18"/>
    <n v="1.48"/>
    <n v="29.7"/>
    <n v="1"/>
  </r>
  <r>
    <s v="2021-06-17"/>
    <s v="Vancouver"/>
    <s v="加拿大二店"/>
    <x v="3"/>
    <x v="11"/>
    <x v="26"/>
    <x v="27"/>
    <x v="28"/>
    <s v="半份"/>
    <n v="2.45"/>
    <s v="份"/>
    <n v="10"/>
    <n v="24.5"/>
    <n v="0"/>
    <n v="0"/>
    <n v="0"/>
    <n v="0"/>
    <n v="2"/>
    <n v="4.9"/>
    <n v="0"/>
    <n v="0"/>
    <n v="0"/>
    <n v="0"/>
    <n v="8"/>
    <n v="20.58"/>
    <n v="0.98"/>
    <n v="19.6"/>
    <n v="0.5"/>
  </r>
  <r>
    <s v="2021-06-17"/>
    <s v="Vancouver"/>
    <s v="加拿大二店"/>
    <x v="5"/>
    <x v="12"/>
    <x v="27"/>
    <x v="28"/>
    <x v="29"/>
    <s v="整份"/>
    <n v="7.95"/>
    <s v="份"/>
    <n v="6"/>
    <n v="47.7"/>
    <n v="0"/>
    <n v="0"/>
    <n v="0"/>
    <n v="0"/>
    <n v="3"/>
    <n v="23.85"/>
    <n v="0"/>
    <n v="0"/>
    <n v="1.59"/>
    <n v="0"/>
    <n v="3"/>
    <n v="23.37"/>
    <n v="1.11"/>
    <n v="22.26"/>
    <n v="1"/>
  </r>
  <r>
    <s v="2021-06-17"/>
    <s v="Vancouver"/>
    <s v="加拿大二店"/>
    <x v="3"/>
    <x v="7"/>
    <x v="28"/>
    <x v="29"/>
    <x v="30"/>
    <s v="整份"/>
    <n v="4.95"/>
    <s v="份"/>
    <n v="16"/>
    <n v="79.2"/>
    <n v="0"/>
    <n v="0"/>
    <n v="0"/>
    <n v="0"/>
    <n v="0"/>
    <n v="0"/>
    <n v="0"/>
    <n v="0.01"/>
    <n v="2.47"/>
    <n v="0"/>
    <n v="16"/>
    <n v="80.55"/>
    <n v="3.83"/>
    <n v="76.72"/>
    <n v="1"/>
  </r>
  <r>
    <s v="2021-06-17"/>
    <s v="Vancouver"/>
    <s v="加拿大二店"/>
    <x v="3"/>
    <x v="5"/>
    <x v="29"/>
    <x v="30"/>
    <x v="31"/>
    <s v="整份"/>
    <n v="3.95"/>
    <s v="份"/>
    <n v="4"/>
    <n v="15.8"/>
    <n v="0"/>
    <n v="0"/>
    <n v="0"/>
    <n v="0"/>
    <n v="0"/>
    <n v="0"/>
    <n v="0"/>
    <n v="0"/>
    <n v="0"/>
    <n v="0"/>
    <n v="4"/>
    <n v="16.59"/>
    <n v="0.79"/>
    <n v="15.8"/>
    <n v="1"/>
  </r>
  <r>
    <s v="2021-06-17"/>
    <s v="Vancouver"/>
    <s v="加拿大二店"/>
    <x v="6"/>
    <x v="13"/>
    <x v="30"/>
    <x v="31"/>
    <x v="32"/>
    <s v="整份"/>
    <n v="4.95"/>
    <s v="份"/>
    <n v="4"/>
    <n v="19.8"/>
    <n v="0"/>
    <n v="0"/>
    <n v="0"/>
    <n v="0"/>
    <n v="0"/>
    <n v="0"/>
    <n v="0"/>
    <n v="0"/>
    <n v="0"/>
    <n v="0"/>
    <n v="4"/>
    <n v="20.79"/>
    <n v="0.99"/>
    <n v="19.8"/>
    <n v="1"/>
  </r>
  <r>
    <s v="2021-06-17"/>
    <s v="Vancouver"/>
    <s v="加拿大二店"/>
    <x v="6"/>
    <x v="13"/>
    <x v="31"/>
    <x v="32"/>
    <x v="33"/>
    <s v="整份"/>
    <n v="9.95"/>
    <s v="份"/>
    <n v="2"/>
    <n v="19.9"/>
    <n v="0"/>
    <n v="0"/>
    <n v="0"/>
    <n v="0"/>
    <n v="0"/>
    <n v="0"/>
    <n v="0"/>
    <n v="0"/>
    <n v="1.99"/>
    <n v="0"/>
    <n v="2"/>
    <n v="18.8"/>
    <n v="0.89"/>
    <n v="17.91"/>
    <n v="1"/>
  </r>
  <r>
    <s v="2021-06-17"/>
    <s v="Vancouver"/>
    <s v="加拿大二店"/>
    <x v="1"/>
    <x v="3"/>
    <x v="33"/>
    <x v="34"/>
    <x v="35"/>
    <s v="整份"/>
    <n v="11.95"/>
    <s v="份"/>
    <n v="17"/>
    <n v="203.15"/>
    <n v="0"/>
    <n v="0"/>
    <n v="0"/>
    <n v="0"/>
    <n v="3"/>
    <n v="35.85"/>
    <n v="0"/>
    <n v="-0.01"/>
    <n v="2.39"/>
    <n v="0"/>
    <n v="14"/>
    <n v="173.16"/>
    <n v="8.24"/>
    <n v="164.92"/>
    <n v="1"/>
  </r>
  <r>
    <s v="2021-06-17"/>
    <s v="Vancouver"/>
    <s v="加拿大二店"/>
    <x v="5"/>
    <x v="12"/>
    <x v="34"/>
    <x v="35"/>
    <x v="36"/>
    <s v="整份"/>
    <n v="11.95"/>
    <s v="份"/>
    <n v="3"/>
    <n v="35.85"/>
    <n v="0"/>
    <n v="0"/>
    <n v="0"/>
    <n v="0"/>
    <n v="0"/>
    <n v="0"/>
    <n v="0"/>
    <n v="0"/>
    <n v="0"/>
    <n v="0"/>
    <n v="3"/>
    <n v="37.64"/>
    <n v="1.79"/>
    <n v="35.85"/>
    <n v="1"/>
  </r>
  <r>
    <s v="2021-06-17"/>
    <s v="Vancouver"/>
    <s v="加拿大二店"/>
    <x v="5"/>
    <x v="12"/>
    <x v="35"/>
    <x v="36"/>
    <x v="37"/>
    <s v="条"/>
    <n v="4.95"/>
    <s v="条"/>
    <n v="4"/>
    <n v="19.8"/>
    <n v="0"/>
    <n v="0"/>
    <n v="0"/>
    <n v="0"/>
    <n v="0"/>
    <n v="0"/>
    <n v="0"/>
    <n v="0"/>
    <n v="0"/>
    <n v="0"/>
    <n v="4"/>
    <n v="20.79"/>
    <n v="0.99"/>
    <n v="19.8"/>
    <n v="1"/>
  </r>
  <r>
    <s v="2021-06-17"/>
    <s v="Vancouver"/>
    <s v="加拿大二店"/>
    <x v="5"/>
    <x v="12"/>
    <x v="36"/>
    <x v="37"/>
    <x v="38"/>
    <s v="整份"/>
    <n v="13.95"/>
    <s v="份"/>
    <n v="21"/>
    <n v="292.95"/>
    <n v="0"/>
    <n v="0"/>
    <n v="0"/>
    <n v="0"/>
    <n v="0"/>
    <n v="0"/>
    <n v="0"/>
    <n v="0"/>
    <n v="18.83"/>
    <n v="0"/>
    <n v="21"/>
    <n v="287.82"/>
    <n v="13.7"/>
    <n v="274.12"/>
    <n v="1"/>
  </r>
  <r>
    <s v="2021-06-17"/>
    <s v="Vancouver"/>
    <s v="加拿大二店"/>
    <x v="5"/>
    <x v="12"/>
    <x v="37"/>
    <x v="38"/>
    <x v="39"/>
    <s v="整份"/>
    <n v="9.95"/>
    <s v="份"/>
    <n v="13"/>
    <n v="129.35"/>
    <n v="0"/>
    <n v="0"/>
    <n v="0"/>
    <n v="0"/>
    <n v="1"/>
    <n v="9.95"/>
    <n v="0"/>
    <n v="0"/>
    <n v="12.45"/>
    <n v="0"/>
    <n v="12"/>
    <n v="112.29"/>
    <n v="5.34"/>
    <n v="106.95"/>
    <n v="1"/>
  </r>
  <r>
    <s v="2021-06-17"/>
    <s v="Vancouver"/>
    <s v="加拿大二店"/>
    <x v="5"/>
    <x v="12"/>
    <x v="38"/>
    <x v="39"/>
    <x v="40"/>
    <s v="整份"/>
    <n v="9.95"/>
    <s v="份"/>
    <n v="5"/>
    <n v="49.75"/>
    <n v="0"/>
    <n v="0"/>
    <n v="0"/>
    <n v="0"/>
    <n v="0"/>
    <n v="0"/>
    <n v="0"/>
    <n v="0"/>
    <n v="2.98"/>
    <n v="0"/>
    <n v="5"/>
    <n v="49.1"/>
    <n v="2.33"/>
    <n v="46.77"/>
    <n v="1"/>
  </r>
  <r>
    <s v="2021-06-17"/>
    <s v="Vancouver"/>
    <s v="加拿大二店"/>
    <x v="6"/>
    <x v="13"/>
    <x v="39"/>
    <x v="40"/>
    <x v="41"/>
    <s v="整份"/>
    <n v="8.95"/>
    <s v="份"/>
    <n v="15"/>
    <n v="134.25"/>
    <n v="0"/>
    <n v="0"/>
    <n v="0"/>
    <n v="0"/>
    <n v="1"/>
    <n v="8.95"/>
    <n v="0"/>
    <n v="0"/>
    <n v="1.79"/>
    <n v="0"/>
    <n v="14"/>
    <n v="129.68"/>
    <n v="6.17"/>
    <n v="123.51"/>
    <n v="1"/>
  </r>
  <r>
    <s v="2021-06-17"/>
    <s v="Vancouver"/>
    <s v="加拿大二店"/>
    <x v="5"/>
    <x v="12"/>
    <x v="40"/>
    <x v="41"/>
    <x v="42"/>
    <s v="整份"/>
    <n v="9.95"/>
    <s v="份"/>
    <n v="5"/>
    <n v="49.75"/>
    <n v="0"/>
    <n v="0"/>
    <n v="0"/>
    <n v="0"/>
    <n v="0"/>
    <n v="0"/>
    <n v="0"/>
    <n v="0"/>
    <n v="1.99"/>
    <n v="0"/>
    <n v="5"/>
    <n v="50.14"/>
    <n v="2.38"/>
    <n v="47.76"/>
    <n v="1"/>
  </r>
  <r>
    <s v="2021-06-17"/>
    <s v="Vancouver"/>
    <s v="加拿大二店"/>
    <x v="1"/>
    <x v="6"/>
    <x v="131"/>
    <x v="125"/>
    <x v="136"/>
    <s v="整份"/>
    <n v="28.95"/>
    <s v="份"/>
    <n v="1"/>
    <n v="28.95"/>
    <n v="0"/>
    <n v="0"/>
    <n v="0"/>
    <n v="0"/>
    <n v="0"/>
    <n v="0"/>
    <n v="0"/>
    <n v="0.02"/>
    <n v="0"/>
    <n v="0"/>
    <n v="1"/>
    <n v="30.66"/>
    <n v="1.73"/>
    <n v="28.93"/>
    <n v="1"/>
  </r>
  <r>
    <s v="2021-06-17"/>
    <s v="Vancouver"/>
    <s v="加拿大二店"/>
    <x v="5"/>
    <x v="12"/>
    <x v="41"/>
    <x v="42"/>
    <x v="43"/>
    <s v="整份"/>
    <n v="7.95"/>
    <s v="份"/>
    <n v="8"/>
    <n v="63.6"/>
    <n v="0"/>
    <n v="0"/>
    <n v="0"/>
    <n v="0"/>
    <n v="0"/>
    <n v="0"/>
    <n v="0"/>
    <n v="0"/>
    <n v="4.77"/>
    <n v="0"/>
    <n v="8"/>
    <n v="61.77"/>
    <n v="2.94"/>
    <n v="58.83"/>
    <n v="1"/>
  </r>
  <r>
    <s v="2021-06-17"/>
    <s v="Vancouver"/>
    <s v="加拿大二店"/>
    <x v="2"/>
    <x v="21"/>
    <x v="135"/>
    <x v="129"/>
    <x v="140"/>
    <s v="瓶"/>
    <n v="21.95"/>
    <s v="瓶"/>
    <n v="2"/>
    <n v="43.9"/>
    <n v="0"/>
    <n v="0"/>
    <n v="0"/>
    <n v="0"/>
    <n v="0"/>
    <n v="0"/>
    <n v="0"/>
    <n v="0"/>
    <n v="0"/>
    <n v="0"/>
    <n v="2"/>
    <n v="50.48"/>
    <n v="6.58"/>
    <n v="43.9"/>
    <n v="1"/>
  </r>
  <r>
    <s v="2021-06-17"/>
    <s v="Vancouver"/>
    <s v="加拿大二店"/>
    <x v="7"/>
    <x v="14"/>
    <x v="44"/>
    <x v="45"/>
    <x v="46"/>
    <s v="整份"/>
    <n v="0"/>
    <s v="份"/>
    <n v="5"/>
    <n v="0"/>
    <n v="0"/>
    <n v="0"/>
    <n v="0"/>
    <n v="0"/>
    <n v="0"/>
    <n v="0"/>
    <n v="0"/>
    <n v="0"/>
    <n v="0"/>
    <n v="0"/>
    <n v="5"/>
    <n v="0"/>
    <n v="0"/>
    <n v="0"/>
    <n v="1"/>
  </r>
  <r>
    <s v="2021-06-17"/>
    <s v="Vancouver"/>
    <s v="加拿大二店"/>
    <x v="7"/>
    <x v="14"/>
    <x v="45"/>
    <x v="46"/>
    <x v="47"/>
    <s v="整份"/>
    <n v="2"/>
    <s v="份"/>
    <n v="1"/>
    <n v="2"/>
    <n v="0"/>
    <n v="0"/>
    <n v="0"/>
    <n v="0"/>
    <n v="0"/>
    <n v="0"/>
    <n v="0"/>
    <n v="0"/>
    <n v="0"/>
    <n v="0"/>
    <n v="1"/>
    <n v="2.1"/>
    <n v="0.1"/>
    <n v="2"/>
    <n v="1"/>
  </r>
  <r>
    <s v="2021-06-17"/>
    <s v="Vancouver"/>
    <s v="加拿大二店"/>
    <x v="7"/>
    <x v="14"/>
    <x v="45"/>
    <x v="46"/>
    <x v="47"/>
    <s v="整份"/>
    <n v="12.99"/>
    <s v="份"/>
    <n v="4"/>
    <n v="51.96"/>
    <n v="0"/>
    <n v="0"/>
    <n v="0"/>
    <n v="0"/>
    <n v="0"/>
    <n v="0"/>
    <n v="0"/>
    <n v="-0.01"/>
    <n v="3.25"/>
    <n v="0"/>
    <n v="4"/>
    <n v="51.15"/>
    <n v="2.43"/>
    <n v="48.72"/>
    <n v="1"/>
  </r>
  <r>
    <s v="2021-06-17"/>
    <s v="Vancouver"/>
    <s v="加拿大二店"/>
    <x v="7"/>
    <x v="14"/>
    <x v="45"/>
    <x v="46"/>
    <x v="47"/>
    <s v="整份"/>
    <n v="14.95"/>
    <s v="份"/>
    <n v="2"/>
    <n v="29.9"/>
    <n v="0"/>
    <n v="0"/>
    <n v="0"/>
    <n v="0"/>
    <n v="0"/>
    <n v="0"/>
    <n v="0"/>
    <n v="0"/>
    <n v="10.75"/>
    <n v="0"/>
    <n v="2"/>
    <n v="20.1"/>
    <n v="0.95"/>
    <n v="19.15"/>
    <n v="1"/>
  </r>
  <r>
    <s v="2021-06-17"/>
    <s v="Vancouver"/>
    <s v="加拿大二店"/>
    <x v="7"/>
    <x v="14"/>
    <x v="45"/>
    <x v="46"/>
    <x v="47"/>
    <s v="整份"/>
    <n v="25.76"/>
    <s v="份"/>
    <n v="1"/>
    <n v="25.76"/>
    <n v="0"/>
    <n v="0"/>
    <n v="0"/>
    <n v="0"/>
    <n v="0"/>
    <n v="0"/>
    <n v="0"/>
    <n v="0.01"/>
    <n v="0"/>
    <n v="0"/>
    <n v="1"/>
    <n v="27.03"/>
    <n v="1.28"/>
    <n v="25.75"/>
    <n v="1"/>
  </r>
  <r>
    <s v="2021-06-17"/>
    <s v="Vancouver"/>
    <s v="加拿大二店"/>
    <x v="7"/>
    <x v="14"/>
    <x v="45"/>
    <x v="46"/>
    <x v="47"/>
    <s v="整份"/>
    <n v="25.98"/>
    <s v="份"/>
    <n v="1"/>
    <n v="25.98"/>
    <n v="0"/>
    <n v="0"/>
    <n v="0"/>
    <n v="0"/>
    <n v="0"/>
    <n v="0"/>
    <n v="0"/>
    <n v="0"/>
    <n v="0"/>
    <n v="0"/>
    <n v="1"/>
    <n v="27.27"/>
    <n v="1.29"/>
    <n v="25.98"/>
    <n v="1"/>
  </r>
  <r>
    <s v="2021-06-17"/>
    <s v="Vancouver"/>
    <s v="加拿大二店"/>
    <x v="7"/>
    <x v="14"/>
    <x v="45"/>
    <x v="46"/>
    <x v="47"/>
    <s v="整份"/>
    <n v="28.95"/>
    <s v="份"/>
    <n v="3"/>
    <n v="86.85"/>
    <n v="0"/>
    <n v="0"/>
    <n v="0"/>
    <n v="0"/>
    <n v="0"/>
    <n v="0"/>
    <n v="0"/>
    <n v="0.03"/>
    <n v="0"/>
    <n v="0"/>
    <n v="3"/>
    <n v="91.16"/>
    <n v="4.34"/>
    <n v="86.82"/>
    <n v="1"/>
  </r>
  <r>
    <s v="2021-06-17"/>
    <s v="Vancouver"/>
    <s v="加拿大二店"/>
    <x v="7"/>
    <x v="14"/>
    <x v="45"/>
    <x v="46"/>
    <x v="47"/>
    <s v="整份"/>
    <n v="29.7"/>
    <s v="份"/>
    <n v="1"/>
    <n v="29.7"/>
    <n v="0"/>
    <n v="0"/>
    <n v="0"/>
    <n v="0"/>
    <n v="0"/>
    <n v="0"/>
    <n v="0"/>
    <n v="0"/>
    <n v="0"/>
    <n v="0"/>
    <n v="1"/>
    <n v="31.18"/>
    <n v="1.48"/>
    <n v="29.7"/>
    <n v="1"/>
  </r>
  <r>
    <s v="2021-06-17"/>
    <s v="Vancouver"/>
    <s v="加拿大二店"/>
    <x v="7"/>
    <x v="14"/>
    <x v="45"/>
    <x v="46"/>
    <x v="47"/>
    <s v="整份"/>
    <n v="37.09"/>
    <s v="份"/>
    <n v="1"/>
    <n v="37.09"/>
    <n v="0"/>
    <n v="0"/>
    <n v="0"/>
    <n v="0"/>
    <n v="0"/>
    <n v="0"/>
    <n v="0"/>
    <n v="0.02"/>
    <n v="7"/>
    <n v="0"/>
    <n v="1"/>
    <n v="31.57"/>
    <n v="1.5"/>
    <n v="30.07"/>
    <n v="1"/>
  </r>
  <r>
    <s v="2021-06-17"/>
    <s v="Vancouver"/>
    <s v="加拿大二店"/>
    <x v="7"/>
    <x v="14"/>
    <x v="45"/>
    <x v="46"/>
    <x v="47"/>
    <s v="整份"/>
    <n v="39.54"/>
    <s v="份"/>
    <n v="1"/>
    <n v="39.54"/>
    <n v="0"/>
    <n v="0"/>
    <n v="0"/>
    <n v="0"/>
    <n v="0"/>
    <n v="0"/>
    <n v="0"/>
    <n v="-0.01"/>
    <n v="0"/>
    <n v="0"/>
    <n v="1"/>
    <n v="41.52"/>
    <n v="1.97"/>
    <n v="39.55"/>
    <n v="1"/>
  </r>
  <r>
    <s v="2021-06-17"/>
    <s v="Vancouver"/>
    <s v="加拿大二店"/>
    <x v="7"/>
    <x v="14"/>
    <x v="45"/>
    <x v="46"/>
    <x v="47"/>
    <s v="整份"/>
    <n v="41.89"/>
    <s v="份"/>
    <n v="1"/>
    <n v="41.89"/>
    <n v="0"/>
    <n v="0"/>
    <n v="0"/>
    <n v="0"/>
    <n v="0"/>
    <n v="0"/>
    <n v="0"/>
    <n v="0.01"/>
    <n v="0"/>
    <n v="0"/>
    <n v="1"/>
    <n v="43.97"/>
    <n v="2.09"/>
    <n v="41.88"/>
    <n v="1"/>
  </r>
  <r>
    <s v="2021-06-17"/>
    <s v="Vancouver"/>
    <s v="加拿大二店"/>
    <x v="7"/>
    <x v="14"/>
    <x v="45"/>
    <x v="46"/>
    <x v="47"/>
    <s v="整份"/>
    <n v="59.95"/>
    <s v="份"/>
    <n v="4"/>
    <n v="239.8"/>
    <n v="0"/>
    <n v="0"/>
    <n v="0"/>
    <n v="0"/>
    <n v="0"/>
    <n v="0"/>
    <n v="0"/>
    <n v="-0.09"/>
    <n v="0"/>
    <n v="0"/>
    <n v="4"/>
    <n v="251.88"/>
    <n v="11.99"/>
    <n v="239.89"/>
    <n v="1"/>
  </r>
  <r>
    <s v="2021-06-17"/>
    <s v="Vancouver"/>
    <s v="加拿大二店"/>
    <x v="2"/>
    <x v="4"/>
    <x v="47"/>
    <x v="48"/>
    <x v="49"/>
    <s v="冰镇"/>
    <n v="2.95"/>
    <s v="听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17"/>
    <s v="Vancouver"/>
    <s v="加拿大二店"/>
    <x v="6"/>
    <x v="13"/>
    <x v="48"/>
    <x v="49"/>
    <x v="50"/>
    <s v="整份"/>
    <n v="4.95"/>
    <s v="份"/>
    <n v="6"/>
    <n v="29.7"/>
    <n v="0"/>
    <n v="0"/>
    <n v="0"/>
    <n v="0"/>
    <n v="0"/>
    <n v="0"/>
    <n v="0"/>
    <n v="0"/>
    <n v="0"/>
    <n v="0"/>
    <n v="6"/>
    <n v="31.18"/>
    <n v="1.48"/>
    <n v="29.7"/>
    <n v="1"/>
  </r>
  <r>
    <s v="2021-06-17"/>
    <s v="Vancouver"/>
    <s v="加拿大二店"/>
    <x v="3"/>
    <x v="7"/>
    <x v="49"/>
    <x v="50"/>
    <x v="51"/>
    <s v="整份"/>
    <n v="4.95"/>
    <s v="份"/>
    <n v="5"/>
    <n v="24.75"/>
    <n v="0"/>
    <n v="0"/>
    <n v="0"/>
    <n v="0"/>
    <n v="0"/>
    <n v="0"/>
    <n v="0"/>
    <n v="0"/>
    <n v="0.99"/>
    <n v="0"/>
    <n v="5"/>
    <n v="24.94"/>
    <n v="1.18"/>
    <n v="23.76"/>
    <n v="1"/>
  </r>
  <r>
    <s v="2021-06-17"/>
    <s v="Vancouver"/>
    <s v="加拿大二店"/>
    <x v="3"/>
    <x v="5"/>
    <x v="51"/>
    <x v="52"/>
    <x v="53"/>
    <s v="整份"/>
    <n v="3.95"/>
    <s v="份"/>
    <n v="4"/>
    <n v="15.8"/>
    <n v="0"/>
    <n v="0"/>
    <n v="0"/>
    <n v="0"/>
    <n v="0"/>
    <n v="0"/>
    <n v="0"/>
    <n v="0"/>
    <n v="0.79"/>
    <n v="0"/>
    <n v="4"/>
    <n v="15.76"/>
    <n v="0.75"/>
    <n v="15.01"/>
    <n v="1"/>
  </r>
  <r>
    <s v="2021-06-17"/>
    <s v="Vancouver"/>
    <s v="加拿大二店"/>
    <x v="3"/>
    <x v="5"/>
    <x v="52"/>
    <x v="53"/>
    <x v="54"/>
    <s v="整份"/>
    <n v="5.95"/>
    <s v="份"/>
    <n v="1"/>
    <n v="5.95"/>
    <n v="0"/>
    <n v="0"/>
    <n v="0"/>
    <n v="0"/>
    <n v="0"/>
    <n v="0"/>
    <n v="0"/>
    <n v="0"/>
    <n v="0"/>
    <n v="0"/>
    <n v="1"/>
    <n v="6.24"/>
    <n v="0.29"/>
    <n v="5.95"/>
    <n v="1"/>
  </r>
  <r>
    <s v="2021-06-17"/>
    <s v="Vancouver"/>
    <s v="加拿大二店"/>
    <x v="4"/>
    <x v="9"/>
    <x v="53"/>
    <x v="0"/>
    <x v="55"/>
    <s v="拼锅"/>
    <n v="0"/>
    <s v="锅"/>
    <n v="5"/>
    <n v="0"/>
    <n v="0"/>
    <n v="0"/>
    <n v="0"/>
    <n v="0"/>
    <n v="0"/>
    <n v="0"/>
    <n v="0"/>
    <n v="-0.02"/>
    <n v="0"/>
    <n v="0"/>
    <n v="5"/>
    <n v="0.02"/>
    <n v="0"/>
    <n v="0.02"/>
    <n v="2"/>
  </r>
  <r>
    <s v="2021-06-17"/>
    <s v="Vancouver"/>
    <s v="加拿大二店"/>
    <x v="4"/>
    <x v="10"/>
    <x v="53"/>
    <x v="0"/>
    <x v="55"/>
    <s v="四宫格"/>
    <n v="0"/>
    <s v="锅"/>
    <n v="17"/>
    <n v="0"/>
    <n v="0"/>
    <n v="0"/>
    <n v="0"/>
    <n v="0"/>
    <n v="6"/>
    <n v="0"/>
    <n v="0"/>
    <n v="0.01"/>
    <n v="0"/>
    <n v="0"/>
    <n v="11"/>
    <n v="-0.01"/>
    <n v="-0.01"/>
    <n v="0"/>
    <n v="1"/>
  </r>
  <r>
    <s v="2021-06-17"/>
    <s v="Vancouver"/>
    <s v="加拿大二店"/>
    <x v="6"/>
    <x v="13"/>
    <x v="54"/>
    <x v="54"/>
    <x v="56"/>
    <s v="个"/>
    <n v="1.95"/>
    <s v="个"/>
    <n v="1"/>
    <n v="1.95"/>
    <n v="0"/>
    <n v="0"/>
    <n v="0"/>
    <n v="0"/>
    <n v="0"/>
    <n v="0"/>
    <n v="0"/>
    <n v="0"/>
    <n v="0"/>
    <n v="0"/>
    <n v="1"/>
    <n v="2.04"/>
    <n v="0.09"/>
    <n v="1.95"/>
    <n v="1"/>
  </r>
  <r>
    <s v="2021-06-17"/>
    <s v="Vancouver"/>
    <s v="加拿大二店"/>
    <x v="6"/>
    <x v="13"/>
    <x v="114"/>
    <x v="108"/>
    <x v="118"/>
    <s v="整份"/>
    <n v="7.95"/>
    <s v="份"/>
    <n v="2"/>
    <n v="15.9"/>
    <n v="0"/>
    <n v="0"/>
    <n v="0"/>
    <n v="0"/>
    <n v="0"/>
    <n v="0"/>
    <n v="0"/>
    <n v="0"/>
    <n v="0"/>
    <n v="0"/>
    <n v="2"/>
    <n v="16.69"/>
    <n v="0.79"/>
    <n v="15.9"/>
    <n v="1"/>
  </r>
  <r>
    <s v="2021-06-17"/>
    <s v="Vancouver"/>
    <s v="加拿大二店"/>
    <x v="2"/>
    <x v="21"/>
    <x v="136"/>
    <x v="130"/>
    <x v="141"/>
    <s v="小瓶"/>
    <n v="10.95"/>
    <s v="小瓶"/>
    <n v="2"/>
    <n v="21.9"/>
    <n v="0"/>
    <n v="0"/>
    <n v="0"/>
    <n v="0"/>
    <n v="0"/>
    <n v="0"/>
    <n v="0"/>
    <n v="0"/>
    <n v="0"/>
    <n v="0"/>
    <n v="2"/>
    <n v="25.18"/>
    <n v="3.28"/>
    <n v="21.9"/>
    <n v="1"/>
  </r>
  <r>
    <s v="2021-06-17"/>
    <s v="Vancouver"/>
    <s v="加拿大二店"/>
    <x v="1"/>
    <x v="8"/>
    <x v="55"/>
    <x v="55"/>
    <x v="57"/>
    <s v="整份"/>
    <n v="9.95"/>
    <s v="份"/>
    <n v="8"/>
    <n v="79.6"/>
    <n v="0"/>
    <n v="0"/>
    <n v="0"/>
    <n v="0"/>
    <n v="0"/>
    <n v="0"/>
    <n v="0"/>
    <n v="0"/>
    <n v="0"/>
    <n v="0"/>
    <n v="8"/>
    <n v="83.58"/>
    <n v="3.98"/>
    <n v="79.6"/>
    <n v="1"/>
  </r>
  <r>
    <s v="2021-06-17"/>
    <s v="Vancouver"/>
    <s v="加拿大二店"/>
    <x v="1"/>
    <x v="1"/>
    <x v="56"/>
    <x v="56"/>
    <x v="58"/>
    <s v="整份"/>
    <n v="12.95"/>
    <s v="份"/>
    <n v="11"/>
    <n v="142.45"/>
    <n v="0"/>
    <n v="0"/>
    <n v="0"/>
    <n v="0"/>
    <n v="0"/>
    <n v="0"/>
    <n v="0"/>
    <n v="0"/>
    <n v="3.24"/>
    <n v="0"/>
    <n v="11"/>
    <n v="146.17"/>
    <n v="6.96"/>
    <n v="139.21"/>
    <n v="1"/>
  </r>
  <r>
    <s v="2021-06-17"/>
    <s v="Vancouver"/>
    <s v="加拿大二店"/>
    <x v="1"/>
    <x v="1"/>
    <x v="57"/>
    <x v="57"/>
    <x v="59"/>
    <s v="整份"/>
    <n v="11.95"/>
    <s v="份"/>
    <n v="25"/>
    <n v="298.75"/>
    <n v="0"/>
    <n v="0"/>
    <n v="0"/>
    <n v="0"/>
    <n v="0"/>
    <n v="0"/>
    <n v="0"/>
    <n v="0"/>
    <n v="4.78"/>
    <n v="0"/>
    <n v="25"/>
    <n v="308.66"/>
    <n v="14.69"/>
    <n v="293.97"/>
    <n v="1"/>
  </r>
  <r>
    <s v="2021-06-17"/>
    <s v="Vancouver"/>
    <s v="加拿大二店"/>
    <x v="4"/>
    <x v="16"/>
    <x v="58"/>
    <x v="0"/>
    <x v="60"/>
    <s v="单锅"/>
    <n v="16.95"/>
    <s v="锅"/>
    <n v="2"/>
    <n v="33.9"/>
    <n v="0"/>
    <n v="0"/>
    <n v="0"/>
    <n v="0"/>
    <n v="0"/>
    <n v="0"/>
    <n v="0"/>
    <n v="0"/>
    <n v="3.39"/>
    <n v="0"/>
    <n v="2"/>
    <n v="32.03"/>
    <n v="1.52"/>
    <n v="30.51"/>
    <n v="4"/>
  </r>
  <r>
    <s v="2021-06-17"/>
    <s v="Vancouver"/>
    <s v="加拿大二店"/>
    <x v="4"/>
    <x v="9"/>
    <x v="58"/>
    <x v="0"/>
    <x v="60"/>
    <s v="拼锅"/>
    <n v="8.95"/>
    <s v="锅"/>
    <n v="5"/>
    <n v="44.75"/>
    <n v="0"/>
    <n v="0"/>
    <n v="0"/>
    <n v="0"/>
    <n v="0"/>
    <n v="0"/>
    <n v="0"/>
    <n v="0.02"/>
    <n v="1.79"/>
    <n v="0"/>
    <n v="5"/>
    <n v="45.08"/>
    <n v="2.14"/>
    <n v="42.94"/>
    <n v="2"/>
  </r>
  <r>
    <s v="2021-06-17"/>
    <s v="Vancouver"/>
    <s v="加拿大二店"/>
    <x v="4"/>
    <x v="10"/>
    <x v="58"/>
    <x v="0"/>
    <x v="60"/>
    <s v="四宫格"/>
    <n v="4.95"/>
    <s v="锅"/>
    <n v="8"/>
    <n v="39.6"/>
    <n v="0"/>
    <n v="0"/>
    <n v="0"/>
    <n v="0"/>
    <n v="1"/>
    <n v="4.95"/>
    <n v="0"/>
    <n v="0"/>
    <n v="0"/>
    <n v="0"/>
    <n v="7"/>
    <n v="36.38"/>
    <n v="1.73"/>
    <n v="34.65"/>
    <n v="1"/>
  </r>
  <r>
    <s v="2021-06-17"/>
    <s v="Vancouver"/>
    <s v="加拿大二店"/>
    <x v="3"/>
    <x v="5"/>
    <x v="59"/>
    <x v="58"/>
    <x v="61"/>
    <s v="整份"/>
    <n v="4.95"/>
    <s v="份"/>
    <n v="1"/>
    <n v="4.95"/>
    <n v="0"/>
    <n v="0"/>
    <n v="0"/>
    <n v="0"/>
    <n v="0"/>
    <n v="0"/>
    <n v="0"/>
    <n v="0"/>
    <n v="0"/>
    <n v="0"/>
    <n v="1"/>
    <n v="5.19"/>
    <n v="0.24"/>
    <n v="4.95"/>
    <n v="1"/>
  </r>
  <r>
    <s v="2021-06-17"/>
    <s v="Vancouver"/>
    <s v="加拿大二店"/>
    <x v="2"/>
    <x v="4"/>
    <x v="60"/>
    <x v="59"/>
    <x v="62"/>
    <s v="冰镇"/>
    <n v="6.95"/>
    <s v="扎"/>
    <n v="1"/>
    <n v="6.95"/>
    <n v="0"/>
    <n v="0"/>
    <n v="0"/>
    <n v="0"/>
    <n v="0"/>
    <n v="0"/>
    <n v="0"/>
    <n v="0"/>
    <n v="0"/>
    <n v="0"/>
    <n v="1"/>
    <n v="7.78"/>
    <n v="0.83"/>
    <n v="6.95"/>
    <n v="1"/>
  </r>
  <r>
    <s v="2021-06-17"/>
    <s v="Vancouver"/>
    <s v="加拿大二店"/>
    <x v="6"/>
    <x v="13"/>
    <x v="61"/>
    <x v="60"/>
    <x v="63"/>
    <s v="整份"/>
    <n v="3.95"/>
    <s v="包"/>
    <n v="3"/>
    <n v="11.85"/>
    <n v="0"/>
    <n v="0"/>
    <n v="0"/>
    <n v="0"/>
    <n v="0"/>
    <n v="0"/>
    <n v="0"/>
    <n v="0"/>
    <n v="0.79"/>
    <n v="0"/>
    <n v="3"/>
    <n v="11.61"/>
    <n v="0.55"/>
    <n v="11.06"/>
    <n v="1"/>
  </r>
  <r>
    <s v="2021-06-17"/>
    <s v="Vancouver"/>
    <s v="加拿大二店"/>
    <x v="1"/>
    <x v="8"/>
    <x v="116"/>
    <x v="110"/>
    <x v="120"/>
    <s v="个"/>
    <n v="0.95"/>
    <s v="个"/>
    <n v="3"/>
    <n v="2.85"/>
    <n v="0"/>
    <n v="0"/>
    <n v="0"/>
    <n v="0"/>
    <n v="0"/>
    <n v="0"/>
    <n v="0"/>
    <n v="0"/>
    <n v="0"/>
    <n v="0"/>
    <n v="3"/>
    <n v="2.99"/>
    <n v="0.14"/>
    <n v="2.85"/>
    <n v="1"/>
  </r>
  <r>
    <s v="2021-06-17"/>
    <s v="Vancouver"/>
    <s v="加拿大二店"/>
    <x v="4"/>
    <x v="16"/>
    <x v="62"/>
    <x v="0"/>
    <x v="64"/>
    <s v="单锅"/>
    <n v="16.95"/>
    <s v="锅"/>
    <n v="1"/>
    <n v="16.95"/>
    <n v="0"/>
    <n v="0"/>
    <n v="0"/>
    <n v="0"/>
    <n v="0"/>
    <n v="0"/>
    <n v="0"/>
    <n v="0"/>
    <n v="0"/>
    <n v="0"/>
    <n v="1"/>
    <n v="17.79"/>
    <n v="0.84"/>
    <n v="16.95"/>
    <n v="4"/>
  </r>
  <r>
    <s v="2021-06-17"/>
    <s v="Vancouver"/>
    <s v="加拿大二店"/>
    <x v="4"/>
    <x v="9"/>
    <x v="62"/>
    <x v="0"/>
    <x v="64"/>
    <s v="拼锅"/>
    <n v="8.95"/>
    <s v="锅"/>
    <n v="11"/>
    <n v="98.45"/>
    <n v="0"/>
    <n v="0"/>
    <n v="0"/>
    <n v="0"/>
    <n v="0"/>
    <n v="0"/>
    <n v="0"/>
    <n v="-0.01"/>
    <n v="0"/>
    <n v="0"/>
    <n v="11"/>
    <n v="103.38"/>
    <n v="4.92"/>
    <n v="98.46"/>
    <n v="2"/>
  </r>
  <r>
    <s v="2021-06-17"/>
    <s v="Vancouver"/>
    <s v="加拿大二店"/>
    <x v="4"/>
    <x v="10"/>
    <x v="62"/>
    <x v="0"/>
    <x v="64"/>
    <s v="四宫格"/>
    <n v="4.95"/>
    <s v="锅"/>
    <n v="15"/>
    <n v="74.25"/>
    <n v="0"/>
    <n v="0"/>
    <n v="0"/>
    <n v="0"/>
    <n v="1"/>
    <n v="4.95"/>
    <n v="0"/>
    <n v="0"/>
    <n v="2.47"/>
    <n v="0"/>
    <n v="14"/>
    <n v="70.17"/>
    <n v="3.34"/>
    <n v="66.83"/>
    <n v="1"/>
  </r>
  <r>
    <s v="2021-06-17"/>
    <s v="Vancouver"/>
    <s v="加拿大二店"/>
    <x v="6"/>
    <x v="13"/>
    <x v="63"/>
    <x v="61"/>
    <x v="65"/>
    <s v="整份"/>
    <n v="1.5"/>
    <s v="碗"/>
    <n v="12"/>
    <n v="18"/>
    <n v="0"/>
    <n v="0"/>
    <n v="0"/>
    <n v="0"/>
    <n v="0"/>
    <n v="0"/>
    <n v="0"/>
    <n v="0"/>
    <n v="0"/>
    <n v="0"/>
    <n v="12"/>
    <n v="18.9"/>
    <n v="0.9"/>
    <n v="18"/>
    <n v="1"/>
  </r>
  <r>
    <s v="2021-06-17"/>
    <s v="Vancouver"/>
    <s v="加拿大二店"/>
    <x v="3"/>
    <x v="5"/>
    <x v="64"/>
    <x v="62"/>
    <x v="66"/>
    <s v="整份"/>
    <n v="3.95"/>
    <s v="份"/>
    <n v="6"/>
    <n v="23.7"/>
    <n v="0"/>
    <n v="0"/>
    <n v="0"/>
    <n v="0"/>
    <n v="0"/>
    <n v="0"/>
    <n v="0"/>
    <n v="0"/>
    <n v="1.58"/>
    <n v="0"/>
    <n v="6"/>
    <n v="23.22"/>
    <n v="1.1"/>
    <n v="22.12"/>
    <n v="1"/>
  </r>
  <r>
    <s v="2021-06-17"/>
    <s v="Vancouver"/>
    <s v="加拿大二店"/>
    <x v="2"/>
    <x v="4"/>
    <x v="65"/>
    <x v="63"/>
    <x v="67"/>
    <s v="扎"/>
    <n v="8.95"/>
    <s v="扎"/>
    <n v="4"/>
    <n v="35.8"/>
    <n v="0"/>
    <n v="0"/>
    <n v="0"/>
    <n v="0"/>
    <n v="3"/>
    <n v="26.85"/>
    <n v="0"/>
    <n v="0"/>
    <n v="0"/>
    <n v="0"/>
    <n v="1"/>
    <n v="10.02"/>
    <n v="1.07"/>
    <n v="8.95"/>
    <n v="1"/>
  </r>
  <r>
    <s v="2021-06-17"/>
    <s v="Vancouver"/>
    <s v="加拿大二店"/>
    <x v="2"/>
    <x v="4"/>
    <x v="66"/>
    <x v="64"/>
    <x v="68"/>
    <s v="扎"/>
    <n v="11.95"/>
    <s v="扎"/>
    <n v="1"/>
    <n v="11.95"/>
    <n v="0"/>
    <n v="0"/>
    <n v="0"/>
    <n v="0"/>
    <n v="0"/>
    <n v="0"/>
    <n v="0"/>
    <n v="0"/>
    <n v="0"/>
    <n v="0"/>
    <n v="1"/>
    <n v="13.38"/>
    <n v="1.43"/>
    <n v="11.95"/>
    <n v="1"/>
  </r>
  <r>
    <s v="2021-06-17"/>
    <s v="Vancouver"/>
    <s v="加拿大二店"/>
    <x v="3"/>
    <x v="5"/>
    <x v="134"/>
    <x v="128"/>
    <x v="139"/>
    <s v="整份"/>
    <n v="13.95"/>
    <s v="份"/>
    <n v="6"/>
    <n v="83.7"/>
    <n v="0"/>
    <n v="0"/>
    <n v="0"/>
    <n v="0"/>
    <n v="0"/>
    <n v="0"/>
    <n v="0"/>
    <n v="-0.01"/>
    <n v="2.79"/>
    <n v="0"/>
    <n v="6"/>
    <n v="84.96"/>
    <n v="4.04"/>
    <n v="80.92"/>
    <n v="1"/>
  </r>
  <r>
    <s v="2021-06-17"/>
    <s v="Vancouver"/>
    <s v="加拿大二店"/>
    <x v="3"/>
    <x v="5"/>
    <x v="117"/>
    <x v="111"/>
    <x v="121"/>
    <s v="整份"/>
    <n v="4.95"/>
    <s v="份"/>
    <n v="5"/>
    <n v="24.75"/>
    <n v="0"/>
    <n v="0"/>
    <n v="0"/>
    <n v="0"/>
    <n v="0"/>
    <n v="0"/>
    <n v="0"/>
    <n v="0"/>
    <n v="0"/>
    <n v="0"/>
    <n v="5"/>
    <n v="25.98"/>
    <n v="1.23"/>
    <n v="24.75"/>
    <n v="1"/>
  </r>
  <r>
    <s v="2021-06-17"/>
    <s v="Vancouver"/>
    <s v="加拿大二店"/>
    <x v="3"/>
    <x v="7"/>
    <x v="67"/>
    <x v="65"/>
    <x v="69"/>
    <s v="整份"/>
    <n v="3.95"/>
    <s v="份"/>
    <n v="2"/>
    <n v="7.9"/>
    <n v="0"/>
    <n v="0"/>
    <n v="0"/>
    <n v="0"/>
    <n v="0"/>
    <n v="0"/>
    <n v="0"/>
    <n v="0"/>
    <n v="0.79"/>
    <n v="0"/>
    <n v="2"/>
    <n v="7.46"/>
    <n v="0.35"/>
    <n v="7.11"/>
    <n v="1"/>
  </r>
  <r>
    <s v="2021-06-17"/>
    <s v="Vancouver"/>
    <s v="加拿大二店"/>
    <x v="1"/>
    <x v="1"/>
    <x v="68"/>
    <x v="66"/>
    <x v="70"/>
    <s v="整份"/>
    <n v="8.95"/>
    <s v="份"/>
    <n v="36"/>
    <n v="322.2"/>
    <n v="0"/>
    <n v="0"/>
    <n v="0"/>
    <n v="0"/>
    <n v="0"/>
    <n v="0"/>
    <n v="0"/>
    <n v="0"/>
    <n v="10.12"/>
    <n v="0"/>
    <n v="36"/>
    <n v="327.68"/>
    <n v="15.6"/>
    <n v="312.08"/>
    <n v="1"/>
  </r>
  <r>
    <s v="2021-06-17"/>
    <s v="Vancouver"/>
    <s v="加拿大二店"/>
    <x v="1"/>
    <x v="1"/>
    <x v="69"/>
    <x v="67"/>
    <x v="71"/>
    <s v="整份"/>
    <n v="8.95"/>
    <s v="份"/>
    <n v="6"/>
    <n v="53.7"/>
    <n v="0"/>
    <n v="0"/>
    <n v="0"/>
    <n v="0"/>
    <n v="0"/>
    <n v="0"/>
    <n v="0"/>
    <n v="0"/>
    <n v="0"/>
    <n v="0"/>
    <n v="6"/>
    <n v="56.38"/>
    <n v="2.68"/>
    <n v="53.7"/>
    <n v="1"/>
  </r>
  <r>
    <s v="2021-06-17"/>
    <s v="Vancouver"/>
    <s v="加拿大二店"/>
    <x v="6"/>
    <x v="15"/>
    <x v="70"/>
    <x v="68"/>
    <x v="72"/>
    <s v="整份"/>
    <n v="1.5"/>
    <s v="份"/>
    <n v="8"/>
    <n v="12"/>
    <n v="0"/>
    <n v="0"/>
    <n v="0"/>
    <n v="0"/>
    <n v="0"/>
    <n v="0"/>
    <n v="0"/>
    <n v="0"/>
    <n v="0"/>
    <n v="0"/>
    <n v="8"/>
    <n v="12.6"/>
    <n v="0.6"/>
    <n v="12"/>
    <n v="1"/>
  </r>
  <r>
    <s v="2021-06-17"/>
    <s v="Vancouver"/>
    <s v="加拿大二店"/>
    <x v="4"/>
    <x v="9"/>
    <x v="71"/>
    <x v="0"/>
    <x v="73"/>
    <s v="拼锅"/>
    <n v="18.95"/>
    <s v="锅"/>
    <n v="7"/>
    <n v="132.65"/>
    <n v="0"/>
    <n v="0"/>
    <n v="0"/>
    <n v="0"/>
    <n v="0"/>
    <n v="0"/>
    <n v="0"/>
    <n v="-0.01"/>
    <n v="0"/>
    <n v="0"/>
    <n v="7"/>
    <n v="139.29"/>
    <n v="6.63"/>
    <n v="132.66"/>
    <n v="2"/>
  </r>
  <r>
    <s v="2021-06-17"/>
    <s v="Vancouver"/>
    <s v="加拿大二店"/>
    <x v="4"/>
    <x v="10"/>
    <x v="71"/>
    <x v="0"/>
    <x v="73"/>
    <s v="四宫格"/>
    <n v="9.95"/>
    <s v="锅"/>
    <n v="5"/>
    <n v="49.75"/>
    <n v="0"/>
    <n v="0"/>
    <n v="0"/>
    <n v="0"/>
    <n v="0"/>
    <n v="0"/>
    <n v="0"/>
    <n v="0.01"/>
    <n v="0"/>
    <n v="0"/>
    <n v="5"/>
    <n v="52.22"/>
    <n v="2.48"/>
    <n v="49.74"/>
    <n v="1"/>
  </r>
  <r>
    <s v="2021-06-17"/>
    <s v="Vancouver"/>
    <s v="加拿大二店"/>
    <x v="1"/>
    <x v="8"/>
    <x v="72"/>
    <x v="69"/>
    <x v="74"/>
    <s v="个"/>
    <n v="7.95"/>
    <s v="份"/>
    <n v="2"/>
    <n v="15.9"/>
    <n v="0"/>
    <n v="0"/>
    <n v="0"/>
    <n v="0"/>
    <n v="0"/>
    <n v="0"/>
    <n v="0"/>
    <n v="0"/>
    <n v="0"/>
    <n v="0"/>
    <n v="2"/>
    <n v="16.69"/>
    <n v="0.79"/>
    <n v="15.9"/>
    <n v="1"/>
  </r>
  <r>
    <s v="2021-06-17"/>
    <s v="Vancouver"/>
    <s v="加拿大二店"/>
    <x v="6"/>
    <x v="13"/>
    <x v="73"/>
    <x v="70"/>
    <x v="75"/>
    <s v="份"/>
    <n v="6.95"/>
    <s v="份"/>
    <n v="4"/>
    <n v="27.8"/>
    <n v="0"/>
    <n v="0"/>
    <n v="0"/>
    <n v="0"/>
    <n v="2"/>
    <n v="13.9"/>
    <n v="0"/>
    <n v="0"/>
    <n v="0"/>
    <n v="0"/>
    <n v="2"/>
    <n v="14.59"/>
    <n v="0.69"/>
    <n v="13.9"/>
    <n v="1"/>
  </r>
  <r>
    <s v="2021-06-17"/>
    <s v="Vancouver"/>
    <s v="加拿大二店"/>
    <x v="1"/>
    <x v="6"/>
    <x v="118"/>
    <x v="112"/>
    <x v="122"/>
    <s v="整份"/>
    <n v="28.95"/>
    <s v="份"/>
    <n v="3"/>
    <n v="86.85"/>
    <n v="0"/>
    <n v="0"/>
    <n v="0"/>
    <n v="0"/>
    <n v="0"/>
    <n v="0"/>
    <n v="0"/>
    <n v="0"/>
    <n v="0"/>
    <n v="0"/>
    <n v="3"/>
    <n v="91.19"/>
    <n v="4.34"/>
    <n v="86.85"/>
    <n v="1"/>
  </r>
  <r>
    <s v="2021-06-17"/>
    <s v="Vancouver"/>
    <s v="加拿大二店"/>
    <x v="8"/>
    <x v="17"/>
    <x v="75"/>
    <x v="71"/>
    <x v="77"/>
    <s v="整份"/>
    <n v="3.99"/>
    <s v="位"/>
    <n v="88"/>
    <n v="351.12"/>
    <n v="0"/>
    <n v="0"/>
    <n v="0"/>
    <n v="0"/>
    <n v="2"/>
    <n v="7.98"/>
    <n v="0"/>
    <n v="0"/>
    <n v="3.2"/>
    <n v="0"/>
    <n v="86"/>
    <n v="356.93"/>
    <n v="16.99"/>
    <n v="339.94"/>
    <n v="1"/>
  </r>
  <r>
    <s v="2021-06-17"/>
    <s v="Vancouver"/>
    <s v="加拿大二店"/>
    <x v="1"/>
    <x v="3"/>
    <x v="77"/>
    <x v="73"/>
    <x v="79"/>
    <s v="整份"/>
    <n v="5.95"/>
    <s v="份"/>
    <n v="8"/>
    <n v="47.6"/>
    <n v="0"/>
    <n v="0"/>
    <n v="0"/>
    <n v="0"/>
    <n v="3"/>
    <n v="17.85"/>
    <n v="0"/>
    <n v="0"/>
    <n v="1.19"/>
    <n v="0"/>
    <n v="5"/>
    <n v="29.98"/>
    <n v="1.42"/>
    <n v="28.56"/>
    <n v="1"/>
  </r>
  <r>
    <s v="2021-06-17"/>
    <s v="Vancouver"/>
    <s v="加拿大二店"/>
    <x v="3"/>
    <x v="11"/>
    <x v="78"/>
    <x v="74"/>
    <x v="80"/>
    <s v="整份"/>
    <n v="5.95"/>
    <s v="份"/>
    <n v="3"/>
    <n v="17.85"/>
    <n v="0"/>
    <n v="0"/>
    <n v="0"/>
    <n v="0"/>
    <n v="0"/>
    <n v="0"/>
    <n v="0"/>
    <n v="0"/>
    <n v="0"/>
    <n v="0"/>
    <n v="3"/>
    <n v="18.74"/>
    <n v="0.89"/>
    <n v="17.85"/>
    <n v="1"/>
  </r>
  <r>
    <s v="2021-06-17"/>
    <s v="Vancouver"/>
    <s v="加拿大二店"/>
    <x v="3"/>
    <x v="11"/>
    <x v="78"/>
    <x v="75"/>
    <x v="81"/>
    <s v="半份"/>
    <n v="2.95"/>
    <s v="份"/>
    <n v="8"/>
    <n v="23.6"/>
    <n v="0"/>
    <n v="0"/>
    <n v="0"/>
    <n v="0"/>
    <n v="0"/>
    <n v="0"/>
    <n v="0"/>
    <n v="0"/>
    <n v="1.18"/>
    <n v="0"/>
    <n v="8"/>
    <n v="23.54"/>
    <n v="1.12"/>
    <n v="22.42"/>
    <n v="0.5"/>
  </r>
  <r>
    <s v="2021-06-17"/>
    <s v="Vancouver"/>
    <s v="加拿大二店"/>
    <x v="3"/>
    <x v="5"/>
    <x v="79"/>
    <x v="76"/>
    <x v="82"/>
    <s v="整份"/>
    <n v="3.95"/>
    <s v="份"/>
    <n v="6"/>
    <n v="23.7"/>
    <n v="0"/>
    <n v="0"/>
    <n v="0"/>
    <n v="0"/>
    <n v="0"/>
    <n v="0"/>
    <n v="0"/>
    <n v="0"/>
    <n v="0.79"/>
    <n v="0"/>
    <n v="6"/>
    <n v="24.05"/>
    <n v="1.14"/>
    <n v="22.91"/>
    <n v="1"/>
  </r>
  <r>
    <s v="2021-06-17"/>
    <s v="Vancouver"/>
    <s v="加拿大二店"/>
    <x v="3"/>
    <x v="5"/>
    <x v="80"/>
    <x v="77"/>
    <x v="83"/>
    <s v="整份"/>
    <n v="5.95"/>
    <s v="份"/>
    <n v="9"/>
    <n v="53.55"/>
    <n v="0"/>
    <n v="0"/>
    <n v="0"/>
    <n v="0"/>
    <n v="0"/>
    <n v="0"/>
    <n v="0"/>
    <n v="0"/>
    <n v="1.19"/>
    <n v="0"/>
    <n v="9"/>
    <n v="54.97"/>
    <n v="2.61"/>
    <n v="52.36"/>
    <n v="1"/>
  </r>
  <r>
    <s v="2021-06-17"/>
    <s v="Vancouver"/>
    <s v="加拿大二店"/>
    <x v="4"/>
    <x v="9"/>
    <x v="81"/>
    <x v="0"/>
    <x v="84"/>
    <s v="拼锅"/>
    <n v="8.95"/>
    <s v="锅"/>
    <n v="7"/>
    <n v="62.65"/>
    <n v="0"/>
    <n v="0"/>
    <n v="0"/>
    <n v="0"/>
    <n v="0"/>
    <n v="0"/>
    <n v="0"/>
    <n v="0.03"/>
    <n v="1.79"/>
    <n v="0"/>
    <n v="7"/>
    <n v="63.87"/>
    <n v="3.04"/>
    <n v="60.83"/>
    <n v="2"/>
  </r>
  <r>
    <s v="2021-06-17"/>
    <s v="Vancouver"/>
    <s v="加拿大二店"/>
    <x v="4"/>
    <x v="10"/>
    <x v="81"/>
    <x v="0"/>
    <x v="84"/>
    <s v="四宫格"/>
    <n v="4.95"/>
    <s v="锅"/>
    <n v="6"/>
    <n v="29.7"/>
    <n v="0"/>
    <n v="0"/>
    <n v="0"/>
    <n v="0"/>
    <n v="0"/>
    <n v="0"/>
    <n v="0"/>
    <n v="0"/>
    <n v="0"/>
    <n v="0"/>
    <n v="6"/>
    <n v="31.18"/>
    <n v="1.48"/>
    <n v="29.7"/>
    <n v="1"/>
  </r>
  <r>
    <s v="2021-06-17"/>
    <s v="Vancouver"/>
    <s v="加拿大二店"/>
    <x v="3"/>
    <x v="5"/>
    <x v="82"/>
    <x v="78"/>
    <x v="85"/>
    <s v="整份"/>
    <n v="12.95"/>
    <s v="份"/>
    <n v="6"/>
    <n v="77.7"/>
    <n v="0"/>
    <n v="0"/>
    <n v="0"/>
    <n v="0"/>
    <n v="0"/>
    <n v="0"/>
    <n v="0"/>
    <n v="0"/>
    <n v="2.59"/>
    <n v="0"/>
    <n v="6"/>
    <n v="78.86"/>
    <n v="3.75"/>
    <n v="75.11"/>
    <n v="1"/>
  </r>
  <r>
    <s v="2021-06-17"/>
    <s v="Vancouver"/>
    <s v="加拿大二店"/>
    <x v="3"/>
    <x v="11"/>
    <x v="83"/>
    <x v="80"/>
    <x v="87"/>
    <s v="半份"/>
    <n v="2.95"/>
    <s v="份"/>
    <n v="6"/>
    <n v="17.7"/>
    <n v="0"/>
    <n v="0"/>
    <n v="0"/>
    <n v="0"/>
    <n v="0"/>
    <n v="0"/>
    <n v="0"/>
    <n v="0"/>
    <n v="0"/>
    <n v="0"/>
    <n v="6"/>
    <n v="18.58"/>
    <n v="0.88"/>
    <n v="17.7"/>
    <n v="0.5"/>
  </r>
  <r>
    <s v="2021-06-17"/>
    <s v="Vancouver"/>
    <s v="加拿大二店"/>
    <x v="3"/>
    <x v="11"/>
    <x v="84"/>
    <x v="81"/>
    <x v="88"/>
    <s v="整份"/>
    <n v="11.95"/>
    <s v="份"/>
    <n v="4"/>
    <n v="47.8"/>
    <n v="0"/>
    <n v="0"/>
    <n v="0"/>
    <n v="0"/>
    <n v="0"/>
    <n v="0"/>
    <n v="0"/>
    <n v="0"/>
    <n v="2.39"/>
    <n v="0"/>
    <n v="4"/>
    <n v="47.68"/>
    <n v="2.27"/>
    <n v="45.41"/>
    <n v="1"/>
  </r>
  <r>
    <s v="2021-06-17"/>
    <s v="Vancouver"/>
    <s v="加拿大二店"/>
    <x v="1"/>
    <x v="3"/>
    <x v="85"/>
    <x v="82"/>
    <x v="89"/>
    <s v="整份"/>
    <n v="6.95"/>
    <s v="份"/>
    <n v="2"/>
    <n v="13.9"/>
    <n v="0"/>
    <n v="0"/>
    <n v="0"/>
    <n v="0"/>
    <n v="0"/>
    <n v="0"/>
    <n v="0"/>
    <n v="0"/>
    <n v="0"/>
    <n v="0"/>
    <n v="2"/>
    <n v="14.59"/>
    <n v="0.69"/>
    <n v="13.9"/>
    <n v="1"/>
  </r>
  <r>
    <s v="2021-06-17"/>
    <s v="Vancouver"/>
    <s v="加拿大二店"/>
    <x v="6"/>
    <x v="13"/>
    <x v="86"/>
    <x v="83"/>
    <x v="90"/>
    <s v="碗"/>
    <n v="2.95"/>
    <s v="碗"/>
    <n v="5"/>
    <n v="14.75"/>
    <n v="0"/>
    <n v="0"/>
    <n v="0"/>
    <n v="0"/>
    <n v="0"/>
    <n v="0"/>
    <n v="0"/>
    <n v="0"/>
    <n v="0"/>
    <n v="0"/>
    <n v="5"/>
    <n v="15.48"/>
    <n v="0.73"/>
    <n v="14.75"/>
    <n v="1"/>
  </r>
  <r>
    <s v="2021-06-17"/>
    <s v="Vancouver"/>
    <s v="加拿大二店"/>
    <x v="2"/>
    <x v="4"/>
    <x v="87"/>
    <x v="84"/>
    <x v="91"/>
    <s v="冰镇"/>
    <n v="2.95"/>
    <s v="扎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17"/>
    <s v="Vancouver"/>
    <s v="加拿大二店"/>
    <x v="1"/>
    <x v="8"/>
    <x v="88"/>
    <x v="85"/>
    <x v="92"/>
    <s v="整份"/>
    <n v="7.95"/>
    <s v="份"/>
    <n v="4"/>
    <n v="31.8"/>
    <n v="0"/>
    <n v="0"/>
    <n v="0"/>
    <n v="0"/>
    <n v="0"/>
    <n v="0"/>
    <n v="0"/>
    <n v="0"/>
    <n v="0"/>
    <n v="0"/>
    <n v="4"/>
    <n v="33.39"/>
    <n v="1.59"/>
    <n v="31.8"/>
    <n v="1"/>
  </r>
  <r>
    <s v="2021-06-17"/>
    <s v="Vancouver"/>
    <s v="加拿大二店"/>
    <x v="1"/>
    <x v="8"/>
    <x v="89"/>
    <x v="86"/>
    <x v="93"/>
    <s v="整份"/>
    <n v="4.95"/>
    <s v="份"/>
    <n v="15"/>
    <n v="74.25"/>
    <n v="0"/>
    <n v="0"/>
    <n v="0"/>
    <n v="0"/>
    <n v="0"/>
    <n v="0"/>
    <n v="0"/>
    <n v="0"/>
    <n v="0.99"/>
    <n v="0"/>
    <n v="15"/>
    <n v="76.92"/>
    <n v="3.66"/>
    <n v="73.26"/>
    <n v="1"/>
  </r>
  <r>
    <s v="2021-06-17"/>
    <s v="Vancouver"/>
    <s v="加拿大二店"/>
    <x v="3"/>
    <x v="7"/>
    <x v="90"/>
    <x v="87"/>
    <x v="94"/>
    <s v="整份"/>
    <n v="4.95"/>
    <s v="份"/>
    <n v="9"/>
    <n v="44.55"/>
    <n v="0"/>
    <n v="0"/>
    <n v="0"/>
    <n v="0"/>
    <n v="3"/>
    <n v="14.85"/>
    <n v="0"/>
    <n v="0"/>
    <n v="0.99"/>
    <n v="0"/>
    <n v="6"/>
    <n v="30.14"/>
    <n v="1.43"/>
    <n v="28.71"/>
    <n v="1"/>
  </r>
  <r>
    <s v="2021-06-17"/>
    <s v="Vancouver"/>
    <s v="加拿大二店"/>
    <x v="6"/>
    <x v="18"/>
    <x v="91"/>
    <x v="88"/>
    <x v="95"/>
    <s v="整份"/>
    <n v="2.95"/>
    <s v="份"/>
    <n v="3"/>
    <n v="8.85"/>
    <n v="0"/>
    <n v="0"/>
    <n v="0"/>
    <n v="0"/>
    <n v="0"/>
    <n v="0"/>
    <n v="0"/>
    <n v="0"/>
    <n v="0.59"/>
    <n v="0"/>
    <n v="3"/>
    <n v="8.67"/>
    <n v="0.41"/>
    <n v="8.26"/>
    <n v="1"/>
  </r>
  <r>
    <s v="2021-06-17"/>
    <s v="Vancouver"/>
    <s v="加拿大二店"/>
    <x v="4"/>
    <x v="10"/>
    <x v="92"/>
    <x v="0"/>
    <x v="96"/>
    <s v="四宫格"/>
    <n v="4.95"/>
    <s v="锅"/>
    <n v="3"/>
    <n v="14.85"/>
    <n v="0"/>
    <n v="0"/>
    <n v="0"/>
    <n v="0"/>
    <n v="1"/>
    <n v="4.95"/>
    <n v="0"/>
    <n v="0.01"/>
    <n v="0"/>
    <n v="0"/>
    <n v="2"/>
    <n v="10.38"/>
    <n v="0.49"/>
    <n v="9.89"/>
    <n v="1"/>
  </r>
  <r>
    <s v="2021-06-17"/>
    <s v="Vancouver"/>
    <s v="加拿大二店"/>
    <x v="3"/>
    <x v="5"/>
    <x v="93"/>
    <x v="89"/>
    <x v="97"/>
    <s v="整份"/>
    <n v="5.95"/>
    <s v="份"/>
    <n v="11"/>
    <n v="65.45"/>
    <n v="0"/>
    <n v="0"/>
    <n v="0"/>
    <n v="0"/>
    <n v="3"/>
    <n v="17.85"/>
    <n v="0"/>
    <n v="0"/>
    <n v="1.19"/>
    <n v="0"/>
    <n v="8"/>
    <n v="48.73"/>
    <n v="2.32"/>
    <n v="46.41"/>
    <n v="1"/>
  </r>
  <r>
    <s v="2021-06-17"/>
    <s v="Vancouver"/>
    <s v="加拿大二店"/>
    <x v="6"/>
    <x v="13"/>
    <x v="94"/>
    <x v="90"/>
    <x v="98"/>
    <s v="整份"/>
    <n v="4.95"/>
    <s v="份"/>
    <n v="4"/>
    <n v="19.8"/>
    <n v="0"/>
    <n v="0"/>
    <n v="0"/>
    <n v="0"/>
    <n v="1"/>
    <n v="4.95"/>
    <n v="0"/>
    <n v="0"/>
    <n v="2.47"/>
    <n v="0"/>
    <n v="3"/>
    <n v="12.99"/>
    <n v="0.61"/>
    <n v="12.38"/>
    <n v="1"/>
  </r>
  <r>
    <s v="2021-06-17"/>
    <s v="Vancouver"/>
    <s v="加拿大二店"/>
    <x v="1"/>
    <x v="1"/>
    <x v="96"/>
    <x v="92"/>
    <x v="100"/>
    <s v="整份"/>
    <n v="49.95"/>
    <s v="份"/>
    <n v="3"/>
    <n v="149.85"/>
    <n v="0"/>
    <n v="0"/>
    <n v="0"/>
    <n v="0"/>
    <n v="0"/>
    <n v="0"/>
    <n v="0"/>
    <n v="-0.02"/>
    <n v="19.98"/>
    <n v="0"/>
    <n v="3"/>
    <n v="136.38"/>
    <n v="6.49"/>
    <n v="129.89"/>
    <n v="1"/>
  </r>
  <r>
    <s v="2021-06-17"/>
    <s v="Vancouver"/>
    <s v="加拿大二店"/>
    <x v="2"/>
    <x v="2"/>
    <x v="97"/>
    <x v="93"/>
    <x v="101"/>
    <s v="常温"/>
    <n v="5.95"/>
    <s v="听"/>
    <n v="2"/>
    <n v="11.9"/>
    <n v="0"/>
    <n v="0"/>
    <n v="0"/>
    <n v="0"/>
    <n v="0"/>
    <n v="0"/>
    <n v="0"/>
    <n v="0"/>
    <n v="0"/>
    <n v="0"/>
    <n v="2"/>
    <n v="13.68"/>
    <n v="1.78"/>
    <n v="11.9"/>
    <n v="1"/>
  </r>
  <r>
    <s v="2021-06-17"/>
    <s v="Vancouver"/>
    <s v="加拿大二店"/>
    <x v="2"/>
    <x v="2"/>
    <x v="97"/>
    <x v="93"/>
    <x v="101"/>
    <s v="冰镇"/>
    <n v="5.95"/>
    <s v="听"/>
    <n v="2"/>
    <n v="11.9"/>
    <n v="0"/>
    <n v="0"/>
    <n v="0"/>
    <n v="0"/>
    <n v="0"/>
    <n v="0"/>
    <n v="0"/>
    <n v="0"/>
    <n v="0"/>
    <n v="0"/>
    <n v="2"/>
    <n v="13.68"/>
    <n v="1.78"/>
    <n v="11.9"/>
    <n v="1"/>
  </r>
  <r>
    <s v="2021-06-17"/>
    <s v="Vancouver"/>
    <s v="加拿大二店"/>
    <x v="1"/>
    <x v="3"/>
    <x v="99"/>
    <x v="95"/>
    <x v="103"/>
    <s v="整份"/>
    <n v="5.95"/>
    <s v="份"/>
    <n v="1"/>
    <n v="5.95"/>
    <n v="0"/>
    <n v="0"/>
    <n v="0"/>
    <n v="0"/>
    <n v="0"/>
    <n v="0"/>
    <n v="0"/>
    <n v="0"/>
    <n v="0"/>
    <n v="0"/>
    <n v="1"/>
    <n v="6.24"/>
    <n v="0.29"/>
    <n v="5.95"/>
    <n v="1"/>
  </r>
  <r>
    <s v="2021-06-17"/>
    <s v="Vancouver"/>
    <s v="加拿大二店"/>
    <x v="1"/>
    <x v="3"/>
    <x v="100"/>
    <x v="96"/>
    <x v="104"/>
    <s v="整份"/>
    <n v="7.95"/>
    <s v="份"/>
    <n v="6"/>
    <n v="47.7"/>
    <n v="0"/>
    <n v="0"/>
    <n v="0"/>
    <n v="0"/>
    <n v="0"/>
    <n v="0"/>
    <n v="0"/>
    <n v="0"/>
    <n v="1.59"/>
    <n v="0"/>
    <n v="6"/>
    <n v="48.41"/>
    <n v="2.3"/>
    <n v="46.11"/>
    <n v="1"/>
  </r>
  <r>
    <s v="2021-06-17"/>
    <s v="Vancouver"/>
    <s v="加拿大二店"/>
    <x v="1"/>
    <x v="8"/>
    <x v="101"/>
    <x v="97"/>
    <x v="105"/>
    <s v="整份"/>
    <n v="5.95"/>
    <s v="份"/>
    <n v="6"/>
    <n v="35.7"/>
    <n v="0"/>
    <n v="0"/>
    <n v="0"/>
    <n v="0"/>
    <n v="0"/>
    <n v="0"/>
    <n v="0"/>
    <n v="0"/>
    <n v="1.19"/>
    <n v="0"/>
    <n v="6"/>
    <n v="36.23"/>
    <n v="1.72"/>
    <n v="34.51"/>
    <n v="1"/>
  </r>
  <r>
    <s v="2021-06-17"/>
    <s v="Vancouver"/>
    <s v="加拿大二店"/>
    <x v="1"/>
    <x v="6"/>
    <x v="102"/>
    <x v="98"/>
    <x v="106"/>
    <s v="整份"/>
    <n v="8.95"/>
    <s v="份"/>
    <n v="4"/>
    <n v="35.8"/>
    <n v="0"/>
    <n v="0"/>
    <n v="0"/>
    <n v="0"/>
    <n v="0"/>
    <n v="0"/>
    <n v="0"/>
    <n v="0"/>
    <n v="0"/>
    <n v="0"/>
    <n v="4"/>
    <n v="37.59"/>
    <n v="1.79"/>
    <n v="35.8"/>
    <n v="1"/>
  </r>
  <r>
    <s v="2021-06-17"/>
    <s v="Vancouver"/>
    <s v="加拿大二店"/>
    <x v="3"/>
    <x v="7"/>
    <x v="103"/>
    <x v="99"/>
    <x v="107"/>
    <s v="整份"/>
    <n v="5.95"/>
    <s v="份"/>
    <n v="7"/>
    <n v="41.65"/>
    <n v="0"/>
    <n v="0"/>
    <n v="0"/>
    <n v="0"/>
    <n v="0"/>
    <n v="0"/>
    <n v="0"/>
    <n v="0"/>
    <n v="1.19"/>
    <n v="0"/>
    <n v="7"/>
    <n v="42.48"/>
    <n v="2.02"/>
    <n v="40.46"/>
    <n v="1"/>
  </r>
  <r>
    <s v="2021-06-17"/>
    <s v="Vancouver"/>
    <s v="加拿大二店"/>
    <x v="3"/>
    <x v="7"/>
    <x v="104"/>
    <x v="100"/>
    <x v="108"/>
    <s v="整份"/>
    <n v="3.95"/>
    <s v="份"/>
    <n v="6"/>
    <n v="23.7"/>
    <n v="0"/>
    <n v="0"/>
    <n v="0"/>
    <n v="0"/>
    <n v="0"/>
    <n v="0"/>
    <n v="0"/>
    <n v="-0.02"/>
    <n v="1.58"/>
    <n v="0"/>
    <n v="6"/>
    <n v="23.24"/>
    <n v="1.1"/>
    <n v="22.14"/>
    <n v="1"/>
  </r>
  <r>
    <s v="2021-06-17"/>
    <s v="Vancouver"/>
    <s v="加拿大二店"/>
    <x v="1"/>
    <x v="8"/>
    <x v="105"/>
    <x v="101"/>
    <x v="109"/>
    <s v="整份"/>
    <n v="4.95"/>
    <s v="份"/>
    <n v="8"/>
    <n v="39.6"/>
    <n v="0"/>
    <n v="0"/>
    <n v="0"/>
    <n v="0"/>
    <n v="0"/>
    <n v="0"/>
    <n v="0"/>
    <n v="0"/>
    <n v="2.74"/>
    <n v="0"/>
    <n v="8"/>
    <n v="38.7"/>
    <n v="1.84"/>
    <n v="36.86"/>
    <n v="1"/>
  </r>
  <r>
    <s v="2021-06-17"/>
    <s v="Vancouver"/>
    <s v="加拿大二店"/>
    <x v="4"/>
    <x v="16"/>
    <x v="106"/>
    <x v="0"/>
    <x v="110"/>
    <s v="单锅"/>
    <n v="22.95"/>
    <s v="锅"/>
    <n v="1"/>
    <n v="22.95"/>
    <n v="1"/>
    <n v="22.95"/>
    <n v="0"/>
    <n v="0"/>
    <n v="0"/>
    <n v="0"/>
    <n v="0"/>
    <n v="0"/>
    <n v="0"/>
    <n v="0"/>
    <n v="0"/>
    <n v="0"/>
    <n v="0"/>
    <n v="0"/>
    <n v="4"/>
  </r>
  <r>
    <s v="2021-06-17"/>
    <s v="Vancouver"/>
    <s v="加拿大二店"/>
    <x v="4"/>
    <x v="9"/>
    <x v="106"/>
    <x v="0"/>
    <x v="110"/>
    <s v="拼锅"/>
    <n v="11.95"/>
    <s v="锅"/>
    <n v="6"/>
    <n v="71.7"/>
    <n v="0"/>
    <n v="0"/>
    <n v="0"/>
    <n v="0"/>
    <n v="0"/>
    <n v="0"/>
    <n v="0"/>
    <n v="0.02"/>
    <n v="0"/>
    <n v="0"/>
    <n v="6"/>
    <n v="75.26"/>
    <n v="3.58"/>
    <n v="71.68"/>
    <n v="2"/>
  </r>
  <r>
    <s v="2021-06-17"/>
    <s v="Vancouver"/>
    <s v="加拿大二店"/>
    <x v="4"/>
    <x v="10"/>
    <x v="106"/>
    <x v="0"/>
    <x v="110"/>
    <s v="四宫格"/>
    <n v="5.95"/>
    <s v="锅"/>
    <n v="6"/>
    <n v="35.7"/>
    <n v="0"/>
    <n v="0"/>
    <n v="0"/>
    <n v="0"/>
    <n v="1"/>
    <n v="5.95"/>
    <n v="0"/>
    <n v="-0.01"/>
    <n v="0"/>
    <n v="0"/>
    <n v="5"/>
    <n v="31.24"/>
    <n v="1.48"/>
    <n v="29.76"/>
    <n v="1"/>
  </r>
  <r>
    <s v="2021-06-17"/>
    <s v="Vancouver"/>
    <s v="加拿大二店"/>
    <x v="4"/>
    <x v="9"/>
    <x v="107"/>
    <x v="0"/>
    <x v="111"/>
    <s v="拼锅"/>
    <n v="11.95"/>
    <s v="锅"/>
    <n v="5"/>
    <n v="59.75"/>
    <n v="0"/>
    <n v="0"/>
    <n v="0"/>
    <n v="0"/>
    <n v="0"/>
    <n v="0"/>
    <n v="0"/>
    <n v="-0.01"/>
    <n v="2.39"/>
    <n v="0"/>
    <n v="5"/>
    <n v="60.23"/>
    <n v="2.86"/>
    <n v="57.37"/>
    <n v="2"/>
  </r>
  <r>
    <s v="2021-06-17"/>
    <s v="Vancouver"/>
    <s v="加拿大二店"/>
    <x v="4"/>
    <x v="10"/>
    <x v="107"/>
    <x v="0"/>
    <x v="111"/>
    <s v="四宫格"/>
    <n v="5.95"/>
    <s v="锅"/>
    <n v="4"/>
    <n v="23.8"/>
    <n v="0"/>
    <n v="0"/>
    <n v="0"/>
    <n v="0"/>
    <n v="2"/>
    <n v="11.9"/>
    <n v="0"/>
    <n v="0"/>
    <n v="2.97"/>
    <n v="0"/>
    <n v="2"/>
    <n v="9.37"/>
    <n v="0.44"/>
    <n v="8.93"/>
    <n v="1"/>
  </r>
  <r>
    <s v="2021-06-18"/>
    <s v="Vancouver"/>
    <s v="加拿大二店"/>
    <x v="0"/>
    <x v="0"/>
    <x v="0"/>
    <x v="0"/>
    <x v="0"/>
    <s v="套餐"/>
    <n v="139.95"/>
    <s v="套餐"/>
    <n v="1"/>
    <n v="139.95"/>
    <n v="0"/>
    <n v="0"/>
    <n v="0"/>
    <n v="0"/>
    <n v="0"/>
    <n v="0"/>
    <n v="0"/>
    <n v="0"/>
    <n v="0"/>
    <n v="0"/>
    <n v="1"/>
    <n v="148.34"/>
    <n v="8.39"/>
    <n v="139.95"/>
    <n v="1"/>
  </r>
  <r>
    <s v="2021-06-18"/>
    <s v="Vancouver"/>
    <s v="加拿大二店"/>
    <x v="1"/>
    <x v="1"/>
    <x v="1"/>
    <x v="1"/>
    <x v="1"/>
    <s v="整份"/>
    <n v="16.95"/>
    <s v="份"/>
    <n v="20"/>
    <n v="339"/>
    <n v="0"/>
    <n v="0"/>
    <n v="0"/>
    <n v="0"/>
    <n v="2"/>
    <n v="33.9"/>
    <n v="0"/>
    <n v="-0.01"/>
    <n v="11.86"/>
    <n v="0"/>
    <n v="18"/>
    <n v="307.91"/>
    <n v="14.66"/>
    <n v="293.25"/>
    <n v="1"/>
  </r>
  <r>
    <s v="2021-06-18"/>
    <s v="Vancouver"/>
    <s v="加拿大二店"/>
    <x v="2"/>
    <x v="2"/>
    <x v="120"/>
    <x v="114"/>
    <x v="124"/>
    <s v="罐"/>
    <n v="5.95"/>
    <s v="罐"/>
    <n v="2"/>
    <n v="11.9"/>
    <n v="0"/>
    <n v="0"/>
    <n v="0"/>
    <n v="0"/>
    <n v="0"/>
    <n v="0"/>
    <n v="0"/>
    <n v="-0.03"/>
    <n v="0"/>
    <n v="0"/>
    <n v="2"/>
    <n v="13.71"/>
    <n v="1.78"/>
    <n v="11.93"/>
    <n v="1"/>
  </r>
  <r>
    <s v="2021-06-18"/>
    <s v="Vancouver"/>
    <s v="加拿大二店"/>
    <x v="1"/>
    <x v="1"/>
    <x v="2"/>
    <x v="2"/>
    <x v="2"/>
    <s v="整份"/>
    <n v="25.95"/>
    <s v="份"/>
    <n v="20"/>
    <n v="519"/>
    <n v="0"/>
    <n v="0"/>
    <n v="0"/>
    <n v="0"/>
    <n v="0"/>
    <n v="0"/>
    <n v="0"/>
    <n v="0"/>
    <n v="15.57"/>
    <n v="0"/>
    <n v="20"/>
    <n v="528.6"/>
    <n v="25.17"/>
    <n v="503.43"/>
    <n v="1"/>
  </r>
  <r>
    <s v="2021-06-18"/>
    <s v="Vancouver"/>
    <s v="加拿大二店"/>
    <x v="2"/>
    <x v="2"/>
    <x v="129"/>
    <x v="123"/>
    <x v="134"/>
    <s v="扎"/>
    <n v="22.95"/>
    <s v="扎"/>
    <n v="2"/>
    <n v="45.9"/>
    <n v="0"/>
    <n v="0"/>
    <n v="0"/>
    <n v="0"/>
    <n v="0"/>
    <n v="0"/>
    <n v="0"/>
    <n v="0"/>
    <n v="0"/>
    <n v="0"/>
    <n v="2"/>
    <n v="52.78"/>
    <n v="6.88"/>
    <n v="45.9"/>
    <n v="1"/>
  </r>
  <r>
    <s v="2021-06-18"/>
    <s v="Vancouver"/>
    <s v="加拿大二店"/>
    <x v="2"/>
    <x v="2"/>
    <x v="3"/>
    <x v="3"/>
    <x v="3"/>
    <s v="杯"/>
    <n v="6.95"/>
    <s v="杯"/>
    <n v="3"/>
    <n v="20.85"/>
    <n v="0"/>
    <n v="0"/>
    <n v="0"/>
    <n v="0"/>
    <n v="0"/>
    <n v="0"/>
    <n v="0"/>
    <n v="0"/>
    <n v="0"/>
    <n v="0"/>
    <n v="3"/>
    <n v="23.97"/>
    <n v="3.12"/>
    <n v="20.85"/>
    <n v="1"/>
  </r>
  <r>
    <s v="2021-06-18"/>
    <s v="Vancouver"/>
    <s v="加拿大二店"/>
    <x v="2"/>
    <x v="2"/>
    <x v="5"/>
    <x v="5"/>
    <x v="5"/>
    <s v="杯"/>
    <n v="6.95"/>
    <s v="杯"/>
    <n v="8"/>
    <n v="55.6"/>
    <n v="0"/>
    <n v="0"/>
    <n v="0"/>
    <n v="0"/>
    <n v="0"/>
    <n v="0"/>
    <n v="0"/>
    <n v="0"/>
    <n v="0"/>
    <n v="0"/>
    <n v="8"/>
    <n v="63.94"/>
    <n v="8.34"/>
    <n v="55.6"/>
    <n v="1"/>
  </r>
  <r>
    <s v="2021-06-18"/>
    <s v="Vancouver"/>
    <s v="加拿大二店"/>
    <x v="1"/>
    <x v="3"/>
    <x v="6"/>
    <x v="6"/>
    <x v="6"/>
    <s v="整份"/>
    <n v="7.95"/>
    <s v="份"/>
    <n v="14"/>
    <n v="111.3"/>
    <n v="0"/>
    <n v="0"/>
    <n v="0"/>
    <n v="0"/>
    <n v="0"/>
    <n v="0"/>
    <n v="0"/>
    <n v="0"/>
    <n v="10.33"/>
    <n v="0"/>
    <n v="14"/>
    <n v="106.01"/>
    <n v="5.04"/>
    <n v="100.97"/>
    <n v="1"/>
  </r>
  <r>
    <s v="2021-06-18"/>
    <s v="Vancouver"/>
    <s v="加拿大二店"/>
    <x v="0"/>
    <x v="0"/>
    <x v="124"/>
    <x v="0"/>
    <x v="128"/>
    <s v="套餐"/>
    <n v="59.95"/>
    <s v="套餐"/>
    <n v="4"/>
    <n v="239.8"/>
    <n v="0"/>
    <n v="0"/>
    <n v="0"/>
    <n v="0"/>
    <n v="0"/>
    <n v="0"/>
    <n v="0"/>
    <n v="-0.01"/>
    <n v="0"/>
    <n v="0"/>
    <n v="4"/>
    <n v="254.19"/>
    <n v="14.38"/>
    <n v="239.81"/>
    <n v="1"/>
  </r>
  <r>
    <s v="2021-06-18"/>
    <s v="Vancouver"/>
    <s v="加拿大二店"/>
    <x v="2"/>
    <x v="4"/>
    <x v="7"/>
    <x v="7"/>
    <x v="7"/>
    <s v="冰镇"/>
    <n v="2.45"/>
    <s v="罐"/>
    <n v="4"/>
    <n v="9.8"/>
    <n v="0"/>
    <n v="0"/>
    <n v="0"/>
    <n v="0"/>
    <n v="0"/>
    <n v="0"/>
    <n v="0"/>
    <n v="0"/>
    <n v="0"/>
    <n v="0"/>
    <n v="4"/>
    <n v="10.97"/>
    <n v="1.17"/>
    <n v="9.8"/>
    <n v="1"/>
  </r>
  <r>
    <s v="2021-06-18"/>
    <s v="Vancouver"/>
    <s v="加拿大二店"/>
    <x v="0"/>
    <x v="20"/>
    <x v="109"/>
    <x v="103"/>
    <x v="113"/>
    <s v="整份"/>
    <n v="8.95"/>
    <s v="份"/>
    <n v="1"/>
    <n v="8.95"/>
    <n v="0"/>
    <n v="0"/>
    <n v="0"/>
    <n v="0"/>
    <n v="0"/>
    <n v="0"/>
    <n v="0"/>
    <n v="0"/>
    <n v="0"/>
    <n v="0"/>
    <n v="1"/>
    <n v="9.39"/>
    <n v="0.44"/>
    <n v="8.95"/>
    <n v="1"/>
  </r>
  <r>
    <s v="2021-06-18"/>
    <s v="Vancouver"/>
    <s v="加拿大二店"/>
    <x v="2"/>
    <x v="4"/>
    <x v="9"/>
    <x v="9"/>
    <x v="9"/>
    <s v="冰镇"/>
    <n v="2.95"/>
    <s v="位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18"/>
    <s v="Vancouver"/>
    <s v="加拿大二店"/>
    <x v="2"/>
    <x v="4"/>
    <x v="10"/>
    <x v="10"/>
    <x v="10"/>
    <s v="半份"/>
    <n v="6.95"/>
    <s v="扎"/>
    <n v="5"/>
    <n v="34.75"/>
    <n v="0"/>
    <n v="0"/>
    <n v="0"/>
    <n v="0"/>
    <n v="0"/>
    <n v="0"/>
    <n v="0"/>
    <n v="0"/>
    <n v="0"/>
    <n v="0"/>
    <n v="5"/>
    <n v="38.92"/>
    <n v="4.17"/>
    <n v="34.75"/>
    <n v="0.5"/>
  </r>
  <r>
    <s v="2021-06-18"/>
    <s v="Vancouver"/>
    <s v="加拿大二店"/>
    <x v="2"/>
    <x v="4"/>
    <x v="10"/>
    <x v="11"/>
    <x v="11"/>
    <s v="整份"/>
    <n v="9.95"/>
    <s v="扎"/>
    <n v="5"/>
    <n v="49.75"/>
    <n v="0"/>
    <n v="0"/>
    <n v="0"/>
    <n v="0"/>
    <n v="0"/>
    <n v="0"/>
    <n v="0"/>
    <n v="0"/>
    <n v="1.99"/>
    <n v="0"/>
    <n v="5"/>
    <n v="53.49"/>
    <n v="5.73"/>
    <n v="47.76"/>
    <n v="1"/>
  </r>
  <r>
    <s v="2021-06-18"/>
    <s v="Vancouver"/>
    <s v="加拿大二店"/>
    <x v="1"/>
    <x v="6"/>
    <x v="11"/>
    <x v="12"/>
    <x v="12"/>
    <s v="整份"/>
    <n v="8.95"/>
    <s v="份"/>
    <n v="3"/>
    <n v="26.85"/>
    <n v="0"/>
    <n v="0"/>
    <n v="0"/>
    <n v="0"/>
    <n v="0"/>
    <n v="0"/>
    <n v="0"/>
    <n v="0"/>
    <n v="1.07"/>
    <n v="0"/>
    <n v="3"/>
    <n v="27.06"/>
    <n v="1.28"/>
    <n v="25.78"/>
    <n v="1"/>
  </r>
  <r>
    <s v="2021-06-18"/>
    <s v="Vancouver"/>
    <s v="加拿大二店"/>
    <x v="1"/>
    <x v="6"/>
    <x v="12"/>
    <x v="13"/>
    <x v="13"/>
    <s v="整份"/>
    <n v="16.95"/>
    <s v="份"/>
    <n v="3"/>
    <n v="50.85"/>
    <n v="0"/>
    <n v="0"/>
    <n v="0"/>
    <n v="0"/>
    <n v="0"/>
    <n v="0"/>
    <n v="0"/>
    <n v="0"/>
    <n v="0"/>
    <n v="0"/>
    <n v="3"/>
    <n v="53.39"/>
    <n v="2.54"/>
    <n v="50.85"/>
    <n v="1"/>
  </r>
  <r>
    <s v="2021-06-18"/>
    <s v="Vancouver"/>
    <s v="加拿大二店"/>
    <x v="1"/>
    <x v="6"/>
    <x v="13"/>
    <x v="14"/>
    <x v="14"/>
    <s v="整份"/>
    <n v="21.95"/>
    <s v="份"/>
    <n v="6"/>
    <n v="131.7"/>
    <n v="0"/>
    <n v="0"/>
    <n v="0"/>
    <n v="0"/>
    <n v="0"/>
    <n v="0"/>
    <n v="0"/>
    <n v="0"/>
    <n v="13.17"/>
    <n v="0"/>
    <n v="6"/>
    <n v="124.45"/>
    <n v="5.92"/>
    <n v="118.53"/>
    <n v="1"/>
  </r>
  <r>
    <s v="2021-06-18"/>
    <s v="Vancouver"/>
    <s v="加拿大二店"/>
    <x v="1"/>
    <x v="6"/>
    <x v="14"/>
    <x v="15"/>
    <x v="15"/>
    <s v="整份"/>
    <n v="29.95"/>
    <s v="份"/>
    <n v="1"/>
    <n v="29.95"/>
    <n v="0"/>
    <n v="0"/>
    <n v="0"/>
    <n v="0"/>
    <n v="0"/>
    <n v="0"/>
    <n v="0"/>
    <n v="0"/>
    <n v="0"/>
    <n v="0"/>
    <n v="1"/>
    <n v="31.44"/>
    <n v="1.49"/>
    <n v="29.95"/>
    <n v="1"/>
  </r>
  <r>
    <s v="2021-06-18"/>
    <s v="Vancouver"/>
    <s v="加拿大二店"/>
    <x v="1"/>
    <x v="6"/>
    <x v="121"/>
    <x v="115"/>
    <x v="125"/>
    <s v="整份"/>
    <n v="12.95"/>
    <s v="份"/>
    <n v="1"/>
    <n v="12.95"/>
    <n v="0"/>
    <n v="0"/>
    <n v="0"/>
    <n v="0"/>
    <n v="0"/>
    <n v="0"/>
    <n v="0"/>
    <n v="0"/>
    <n v="0"/>
    <n v="0"/>
    <n v="1"/>
    <n v="13.59"/>
    <n v="0.64"/>
    <n v="12.95"/>
    <n v="1"/>
  </r>
  <r>
    <s v="2021-06-18"/>
    <s v="Vancouver"/>
    <s v="加拿大二店"/>
    <x v="1"/>
    <x v="6"/>
    <x v="15"/>
    <x v="16"/>
    <x v="16"/>
    <s v="整份"/>
    <n v="8.95"/>
    <s v="份"/>
    <n v="5"/>
    <n v="44.75"/>
    <n v="0"/>
    <n v="0"/>
    <n v="0"/>
    <n v="0"/>
    <n v="0"/>
    <n v="0"/>
    <n v="0"/>
    <n v="0"/>
    <n v="0"/>
    <n v="0"/>
    <n v="5"/>
    <n v="46.98"/>
    <n v="2.23"/>
    <n v="44.75"/>
    <n v="1"/>
  </r>
  <r>
    <s v="2021-06-18"/>
    <s v="Vancouver"/>
    <s v="加拿大二店"/>
    <x v="1"/>
    <x v="6"/>
    <x v="111"/>
    <x v="105"/>
    <x v="115"/>
    <s v="整份"/>
    <n v="8.95"/>
    <s v="份"/>
    <n v="2"/>
    <n v="17.9"/>
    <n v="0"/>
    <n v="0"/>
    <n v="0"/>
    <n v="0"/>
    <n v="0"/>
    <n v="0"/>
    <n v="0"/>
    <n v="0"/>
    <n v="2.86"/>
    <n v="0"/>
    <n v="2"/>
    <n v="15.79"/>
    <n v="0.75"/>
    <n v="15.04"/>
    <n v="1"/>
  </r>
  <r>
    <s v="2021-06-18"/>
    <s v="Vancouver"/>
    <s v="加拿大二店"/>
    <x v="3"/>
    <x v="7"/>
    <x v="16"/>
    <x v="17"/>
    <x v="17"/>
    <s v="整份"/>
    <n v="4.95"/>
    <s v="份"/>
    <n v="18"/>
    <n v="89.1"/>
    <n v="0"/>
    <n v="0"/>
    <n v="0"/>
    <n v="0"/>
    <n v="0"/>
    <n v="0"/>
    <n v="0"/>
    <n v="0.02"/>
    <n v="5.86"/>
    <n v="0"/>
    <n v="18"/>
    <n v="87.38"/>
    <n v="4.16"/>
    <n v="83.22"/>
    <n v="1"/>
  </r>
  <r>
    <s v="2021-06-18"/>
    <s v="Vancouver"/>
    <s v="加拿大二店"/>
    <x v="2"/>
    <x v="4"/>
    <x v="17"/>
    <x v="18"/>
    <x v="18"/>
    <s v="冰镇"/>
    <n v="2.95"/>
    <s v="瓶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18"/>
    <s v="Vancouver"/>
    <s v="加拿大二店"/>
    <x v="1"/>
    <x v="8"/>
    <x v="19"/>
    <x v="20"/>
    <x v="20"/>
    <s v="整份"/>
    <n v="5.95"/>
    <s v="份"/>
    <n v="20"/>
    <n v="119"/>
    <n v="1"/>
    <n v="5.95"/>
    <n v="0"/>
    <n v="0"/>
    <n v="2"/>
    <n v="11.9"/>
    <n v="0"/>
    <n v="0"/>
    <n v="5.27"/>
    <n v="0"/>
    <n v="17"/>
    <n v="100.67"/>
    <n v="4.79"/>
    <n v="95.88"/>
    <n v="1"/>
  </r>
  <r>
    <s v="2021-06-18"/>
    <s v="Vancouver"/>
    <s v="加拿大二店"/>
    <x v="1"/>
    <x v="8"/>
    <x v="20"/>
    <x v="21"/>
    <x v="21"/>
    <s v="整份"/>
    <n v="7.95"/>
    <s v="份"/>
    <n v="7"/>
    <n v="55.65"/>
    <n v="1"/>
    <n v="7.95"/>
    <n v="0"/>
    <n v="0"/>
    <n v="0"/>
    <n v="0"/>
    <n v="0"/>
    <n v="0"/>
    <n v="0"/>
    <n v="0"/>
    <n v="6"/>
    <n v="50.08"/>
    <n v="2.38"/>
    <n v="47.7"/>
    <n v="1"/>
  </r>
  <r>
    <s v="2021-06-18"/>
    <s v="Vancouver"/>
    <s v="加拿大二店"/>
    <x v="2"/>
    <x v="4"/>
    <x v="21"/>
    <x v="22"/>
    <x v="22"/>
    <s v="冰镇"/>
    <n v="2.45"/>
    <s v="听"/>
    <n v="9"/>
    <n v="22.05"/>
    <n v="0"/>
    <n v="0"/>
    <n v="0"/>
    <n v="0"/>
    <n v="0"/>
    <n v="0"/>
    <n v="0"/>
    <n v="0"/>
    <n v="0"/>
    <n v="0"/>
    <n v="9"/>
    <n v="24.69"/>
    <n v="2.64"/>
    <n v="22.05"/>
    <n v="1"/>
  </r>
  <r>
    <s v="2021-06-18"/>
    <s v="Vancouver"/>
    <s v="加拿大二店"/>
    <x v="4"/>
    <x v="9"/>
    <x v="22"/>
    <x v="0"/>
    <x v="23"/>
    <s v="拼锅"/>
    <n v="11.95"/>
    <s v="锅"/>
    <n v="2"/>
    <n v="23.9"/>
    <n v="0"/>
    <n v="0"/>
    <n v="0"/>
    <n v="0"/>
    <n v="0"/>
    <n v="0"/>
    <n v="0"/>
    <n v="0"/>
    <n v="0"/>
    <n v="0"/>
    <n v="2"/>
    <n v="25.33"/>
    <n v="1.43"/>
    <n v="23.9"/>
    <n v="2"/>
  </r>
  <r>
    <s v="2021-06-18"/>
    <s v="Vancouver"/>
    <s v="加拿大二店"/>
    <x v="4"/>
    <x v="10"/>
    <x v="22"/>
    <x v="0"/>
    <x v="23"/>
    <s v="四宫格"/>
    <n v="5.95"/>
    <s v="锅"/>
    <n v="6"/>
    <n v="35.7"/>
    <n v="0"/>
    <n v="0"/>
    <n v="0"/>
    <n v="0"/>
    <n v="0"/>
    <n v="0"/>
    <n v="0"/>
    <n v="-0.04"/>
    <n v="1.19"/>
    <n v="0"/>
    <n v="6"/>
    <n v="36.62"/>
    <n v="2.07"/>
    <n v="34.55"/>
    <n v="1"/>
  </r>
  <r>
    <s v="2021-06-18"/>
    <s v="Vancouver"/>
    <s v="加拿大二店"/>
    <x v="3"/>
    <x v="7"/>
    <x v="23"/>
    <x v="23"/>
    <x v="24"/>
    <s v="整份"/>
    <n v="4.95"/>
    <s v="份"/>
    <n v="21"/>
    <n v="103.95"/>
    <n v="0"/>
    <n v="0"/>
    <n v="0"/>
    <n v="0"/>
    <n v="0"/>
    <n v="0"/>
    <n v="0"/>
    <n v="0"/>
    <n v="4.39"/>
    <n v="0"/>
    <n v="21"/>
    <n v="104.53"/>
    <n v="4.97"/>
    <n v="99.56"/>
    <n v="1"/>
  </r>
  <r>
    <s v="2021-06-18"/>
    <s v="Vancouver"/>
    <s v="加拿大二店"/>
    <x v="3"/>
    <x v="11"/>
    <x v="24"/>
    <x v="118"/>
    <x v="129"/>
    <s v="整份"/>
    <n v="5.95"/>
    <s v="份"/>
    <n v="6"/>
    <n v="35.7"/>
    <n v="0"/>
    <n v="0"/>
    <n v="0"/>
    <n v="0"/>
    <n v="0"/>
    <n v="0"/>
    <n v="0"/>
    <n v="0"/>
    <n v="3.57"/>
    <n v="0"/>
    <n v="6"/>
    <n v="33.73"/>
    <n v="1.6"/>
    <n v="32.13"/>
    <n v="1"/>
  </r>
  <r>
    <s v="2021-06-18"/>
    <s v="Vancouver"/>
    <s v="加拿大二店"/>
    <x v="3"/>
    <x v="11"/>
    <x v="24"/>
    <x v="24"/>
    <x v="25"/>
    <s v="半份"/>
    <n v="2.95"/>
    <s v="份"/>
    <n v="5"/>
    <n v="14.75"/>
    <n v="1"/>
    <n v="2.95"/>
    <n v="0"/>
    <n v="0"/>
    <n v="0"/>
    <n v="0"/>
    <n v="0"/>
    <n v="0"/>
    <n v="0.59"/>
    <n v="0"/>
    <n v="4"/>
    <n v="11.77"/>
    <n v="0.56"/>
    <n v="11.21"/>
    <n v="0.5"/>
  </r>
  <r>
    <s v="2021-06-18"/>
    <s v="Vancouver"/>
    <s v="加拿大二店"/>
    <x v="3"/>
    <x v="5"/>
    <x v="25"/>
    <x v="25"/>
    <x v="26"/>
    <s v="整份"/>
    <n v="3.95"/>
    <s v="份"/>
    <n v="11"/>
    <n v="43.45"/>
    <n v="0"/>
    <n v="0"/>
    <n v="0"/>
    <n v="0"/>
    <n v="2"/>
    <n v="7.9"/>
    <n v="0"/>
    <n v="0"/>
    <n v="1.97"/>
    <n v="0"/>
    <n v="9"/>
    <n v="35.25"/>
    <n v="1.67"/>
    <n v="33.58"/>
    <n v="1"/>
  </r>
  <r>
    <s v="2021-06-18"/>
    <s v="Vancouver"/>
    <s v="加拿大二店"/>
    <x v="3"/>
    <x v="11"/>
    <x v="26"/>
    <x v="26"/>
    <x v="27"/>
    <s v="整份"/>
    <n v="4.95"/>
    <s v="份"/>
    <n v="15"/>
    <n v="74.25"/>
    <n v="0"/>
    <n v="0"/>
    <n v="0"/>
    <n v="0"/>
    <n v="0"/>
    <n v="0"/>
    <n v="0"/>
    <n v="0"/>
    <n v="0"/>
    <n v="0"/>
    <n v="15"/>
    <n v="77.96"/>
    <n v="3.71"/>
    <n v="74.25"/>
    <n v="1"/>
  </r>
  <r>
    <s v="2021-06-18"/>
    <s v="Vancouver"/>
    <s v="加拿大二店"/>
    <x v="3"/>
    <x v="11"/>
    <x v="26"/>
    <x v="27"/>
    <x v="28"/>
    <s v="半份"/>
    <n v="2.45"/>
    <s v="份"/>
    <n v="20"/>
    <n v="49"/>
    <n v="2"/>
    <n v="4.9"/>
    <n v="0"/>
    <n v="0"/>
    <n v="2"/>
    <n v="4.9"/>
    <n v="0"/>
    <n v="0"/>
    <n v="2.2"/>
    <n v="0"/>
    <n v="16"/>
    <n v="38.85"/>
    <n v="1.85"/>
    <n v="37"/>
    <n v="0.5"/>
  </r>
  <r>
    <s v="2021-06-18"/>
    <s v="Vancouver"/>
    <s v="加拿大二店"/>
    <x v="2"/>
    <x v="4"/>
    <x v="122"/>
    <x v="116"/>
    <x v="126"/>
    <s v="常温"/>
    <n v="2.45"/>
    <s v="听"/>
    <n v="3"/>
    <n v="7.35"/>
    <n v="0"/>
    <n v="0"/>
    <n v="0"/>
    <n v="0"/>
    <n v="0"/>
    <n v="0"/>
    <n v="0"/>
    <n v="0"/>
    <n v="0.49"/>
    <n v="0"/>
    <n v="3"/>
    <n v="7.68"/>
    <n v="0.82"/>
    <n v="6.86"/>
    <n v="1"/>
  </r>
  <r>
    <s v="2021-06-18"/>
    <s v="Vancouver"/>
    <s v="加拿大二店"/>
    <x v="2"/>
    <x v="4"/>
    <x v="122"/>
    <x v="116"/>
    <x v="126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18"/>
    <s v="Vancouver"/>
    <s v="加拿大二店"/>
    <x v="5"/>
    <x v="12"/>
    <x v="27"/>
    <x v="28"/>
    <x v="29"/>
    <s v="整份"/>
    <n v="7.95"/>
    <s v="份"/>
    <n v="5"/>
    <n v="39.75"/>
    <n v="0"/>
    <n v="0"/>
    <n v="0"/>
    <n v="0"/>
    <n v="2"/>
    <n v="15.9"/>
    <n v="0"/>
    <n v="0"/>
    <n v="1.59"/>
    <n v="0"/>
    <n v="3"/>
    <n v="23.37"/>
    <n v="1.11"/>
    <n v="22.26"/>
    <n v="1"/>
  </r>
  <r>
    <s v="2021-06-18"/>
    <s v="Vancouver"/>
    <s v="加拿大二店"/>
    <x v="3"/>
    <x v="7"/>
    <x v="28"/>
    <x v="29"/>
    <x v="30"/>
    <s v="整份"/>
    <n v="4.95"/>
    <s v="份"/>
    <n v="23"/>
    <n v="113.85"/>
    <n v="1"/>
    <n v="4.95"/>
    <n v="0"/>
    <n v="0"/>
    <n v="0"/>
    <n v="0"/>
    <n v="0"/>
    <n v="0"/>
    <n v="0.99"/>
    <n v="0"/>
    <n v="22"/>
    <n v="113.3"/>
    <n v="5.39"/>
    <n v="107.91"/>
    <n v="1"/>
  </r>
  <r>
    <s v="2021-06-18"/>
    <s v="Vancouver"/>
    <s v="加拿大二店"/>
    <x v="2"/>
    <x v="4"/>
    <x v="112"/>
    <x v="106"/>
    <x v="116"/>
    <s v="冰镇"/>
    <n v="3.95"/>
    <s v="瓶"/>
    <n v="2"/>
    <n v="7.9"/>
    <n v="0"/>
    <n v="0"/>
    <n v="0"/>
    <n v="0"/>
    <n v="0"/>
    <n v="0"/>
    <n v="0"/>
    <n v="0"/>
    <n v="0"/>
    <n v="0"/>
    <n v="2"/>
    <n v="8.84"/>
    <n v="0.94"/>
    <n v="7.9"/>
    <n v="1"/>
  </r>
  <r>
    <s v="2021-06-18"/>
    <s v="Vancouver"/>
    <s v="加拿大二店"/>
    <x v="3"/>
    <x v="5"/>
    <x v="29"/>
    <x v="30"/>
    <x v="31"/>
    <s v="整份"/>
    <n v="3.95"/>
    <s v="份"/>
    <n v="9"/>
    <n v="35.55"/>
    <n v="0"/>
    <n v="0"/>
    <n v="0"/>
    <n v="0"/>
    <n v="0"/>
    <n v="0"/>
    <n v="0"/>
    <n v="0"/>
    <n v="4.34"/>
    <n v="0"/>
    <n v="9"/>
    <n v="32.77"/>
    <n v="1.56"/>
    <n v="31.21"/>
    <n v="1"/>
  </r>
  <r>
    <s v="2021-06-18"/>
    <s v="Vancouver"/>
    <s v="加拿大二店"/>
    <x v="6"/>
    <x v="13"/>
    <x v="30"/>
    <x v="31"/>
    <x v="32"/>
    <s v="整份"/>
    <n v="4.95"/>
    <s v="份"/>
    <n v="14"/>
    <n v="69.3"/>
    <n v="0"/>
    <n v="0"/>
    <n v="0"/>
    <n v="0"/>
    <n v="2"/>
    <n v="9.9"/>
    <n v="0"/>
    <n v="0"/>
    <n v="0"/>
    <n v="0"/>
    <n v="12"/>
    <n v="62.37"/>
    <n v="2.97"/>
    <n v="59.4"/>
    <n v="1"/>
  </r>
  <r>
    <s v="2021-06-18"/>
    <s v="Vancouver"/>
    <s v="加拿大二店"/>
    <x v="6"/>
    <x v="13"/>
    <x v="31"/>
    <x v="32"/>
    <x v="33"/>
    <s v="整份"/>
    <n v="9.95"/>
    <s v="份"/>
    <n v="8"/>
    <n v="79.6"/>
    <n v="0"/>
    <n v="0"/>
    <n v="0"/>
    <n v="0"/>
    <n v="0"/>
    <n v="0"/>
    <n v="0"/>
    <n v="0"/>
    <n v="0"/>
    <n v="0"/>
    <n v="8"/>
    <n v="83.58"/>
    <n v="3.98"/>
    <n v="79.6"/>
    <n v="1"/>
  </r>
  <r>
    <s v="2021-06-18"/>
    <s v="Vancouver"/>
    <s v="加拿大二店"/>
    <x v="5"/>
    <x v="12"/>
    <x v="32"/>
    <x v="33"/>
    <x v="34"/>
    <s v="整份"/>
    <n v="17.85"/>
    <s v="份"/>
    <n v="5"/>
    <n v="89.25"/>
    <n v="1"/>
    <n v="17.85"/>
    <n v="0"/>
    <n v="0"/>
    <n v="0"/>
    <n v="0"/>
    <n v="0"/>
    <n v="0"/>
    <n v="5.1"/>
    <n v="0"/>
    <n v="4"/>
    <n v="69.61"/>
    <n v="3.31"/>
    <n v="66.3"/>
    <n v="1"/>
  </r>
  <r>
    <s v="2021-06-18"/>
    <s v="Vancouver"/>
    <s v="加拿大二店"/>
    <x v="1"/>
    <x v="3"/>
    <x v="33"/>
    <x v="34"/>
    <x v="35"/>
    <s v="整份"/>
    <n v="11.95"/>
    <s v="份"/>
    <n v="39"/>
    <n v="466.05"/>
    <n v="0"/>
    <n v="0"/>
    <n v="0"/>
    <n v="0"/>
    <n v="2"/>
    <n v="23.9"/>
    <n v="0"/>
    <n v="-0.01"/>
    <n v="34.66"/>
    <n v="0"/>
    <n v="37"/>
    <n v="427.87"/>
    <n v="20.37"/>
    <n v="407.5"/>
    <n v="1"/>
  </r>
  <r>
    <s v="2021-06-18"/>
    <s v="Vancouver"/>
    <s v="加拿大二店"/>
    <x v="5"/>
    <x v="12"/>
    <x v="34"/>
    <x v="35"/>
    <x v="36"/>
    <s v="整份"/>
    <n v="11.95"/>
    <s v="份"/>
    <n v="10"/>
    <n v="119.5"/>
    <n v="0"/>
    <n v="0"/>
    <n v="0"/>
    <n v="0"/>
    <n v="0"/>
    <n v="0"/>
    <n v="0"/>
    <n v="0"/>
    <n v="7.17"/>
    <n v="0"/>
    <n v="10"/>
    <n v="117.94"/>
    <n v="5.61"/>
    <n v="112.33"/>
    <n v="1"/>
  </r>
  <r>
    <s v="2021-06-18"/>
    <s v="Vancouver"/>
    <s v="加拿大二店"/>
    <x v="5"/>
    <x v="12"/>
    <x v="35"/>
    <x v="36"/>
    <x v="37"/>
    <s v="条"/>
    <n v="4.95"/>
    <s v="条"/>
    <n v="21"/>
    <n v="103.95"/>
    <n v="0"/>
    <n v="0"/>
    <n v="0"/>
    <n v="0"/>
    <n v="1"/>
    <n v="4.95"/>
    <n v="0"/>
    <n v="0"/>
    <n v="4.93"/>
    <n v="0"/>
    <n v="20"/>
    <n v="98.77"/>
    <n v="4.7"/>
    <n v="94.07"/>
    <n v="1"/>
  </r>
  <r>
    <s v="2021-06-18"/>
    <s v="Vancouver"/>
    <s v="加拿大二店"/>
    <x v="5"/>
    <x v="12"/>
    <x v="36"/>
    <x v="37"/>
    <x v="38"/>
    <s v="整份"/>
    <n v="13.95"/>
    <s v="份"/>
    <n v="23"/>
    <n v="320.85"/>
    <n v="0"/>
    <n v="0"/>
    <n v="0"/>
    <n v="0"/>
    <n v="0"/>
    <n v="0"/>
    <n v="0"/>
    <n v="0"/>
    <n v="11.16"/>
    <n v="0"/>
    <n v="23"/>
    <n v="325.17"/>
    <n v="15.48"/>
    <n v="309.69"/>
    <n v="1"/>
  </r>
  <r>
    <s v="2021-06-18"/>
    <s v="Vancouver"/>
    <s v="加拿大二店"/>
    <x v="5"/>
    <x v="12"/>
    <x v="37"/>
    <x v="38"/>
    <x v="39"/>
    <s v="整份"/>
    <n v="9.95"/>
    <s v="份"/>
    <n v="27"/>
    <n v="268.65"/>
    <n v="1"/>
    <n v="9.95"/>
    <n v="0"/>
    <n v="0"/>
    <n v="0"/>
    <n v="0"/>
    <n v="0"/>
    <n v="0"/>
    <n v="16.9"/>
    <n v="0"/>
    <n v="26"/>
    <n v="253.89"/>
    <n v="12.09"/>
    <n v="241.8"/>
    <n v="1"/>
  </r>
  <r>
    <s v="2021-06-18"/>
    <s v="Vancouver"/>
    <s v="加拿大二店"/>
    <x v="5"/>
    <x v="12"/>
    <x v="38"/>
    <x v="39"/>
    <x v="40"/>
    <s v="整份"/>
    <n v="9.95"/>
    <s v="份"/>
    <n v="7"/>
    <n v="69.65"/>
    <n v="0"/>
    <n v="0"/>
    <n v="0"/>
    <n v="0"/>
    <n v="0"/>
    <n v="0"/>
    <n v="0"/>
    <n v="0"/>
    <n v="4.97"/>
    <n v="0"/>
    <n v="7"/>
    <n v="67.91"/>
    <n v="3.23"/>
    <n v="64.68"/>
    <n v="1"/>
  </r>
  <r>
    <s v="2021-06-18"/>
    <s v="Vancouver"/>
    <s v="加拿大二店"/>
    <x v="6"/>
    <x v="13"/>
    <x v="39"/>
    <x v="40"/>
    <x v="41"/>
    <s v="整份"/>
    <n v="8.95"/>
    <s v="份"/>
    <n v="27"/>
    <n v="241.65"/>
    <n v="0"/>
    <n v="0"/>
    <n v="0"/>
    <n v="0"/>
    <n v="2"/>
    <n v="17.9"/>
    <n v="0"/>
    <n v="0"/>
    <n v="0"/>
    <n v="0"/>
    <n v="25"/>
    <n v="234.93"/>
    <n v="11.18"/>
    <n v="223.75"/>
    <n v="1"/>
  </r>
  <r>
    <s v="2021-06-18"/>
    <s v="Vancouver"/>
    <s v="加拿大二店"/>
    <x v="5"/>
    <x v="12"/>
    <x v="40"/>
    <x v="41"/>
    <x v="42"/>
    <s v="整份"/>
    <n v="9.95"/>
    <s v="份"/>
    <n v="13"/>
    <n v="129.35"/>
    <n v="0"/>
    <n v="0"/>
    <n v="0"/>
    <n v="0"/>
    <n v="0"/>
    <n v="0"/>
    <n v="0"/>
    <n v="0"/>
    <n v="5.97"/>
    <n v="0"/>
    <n v="13"/>
    <n v="129.54"/>
    <n v="6.16"/>
    <n v="123.38"/>
    <n v="1"/>
  </r>
  <r>
    <s v="2021-06-18"/>
    <s v="Vancouver"/>
    <s v="加拿大二店"/>
    <x v="1"/>
    <x v="6"/>
    <x v="131"/>
    <x v="125"/>
    <x v="136"/>
    <s v="整份"/>
    <n v="28.95"/>
    <s v="份"/>
    <n v="5"/>
    <n v="144.75"/>
    <n v="0"/>
    <n v="0"/>
    <n v="0"/>
    <n v="0"/>
    <n v="0"/>
    <n v="0"/>
    <n v="0"/>
    <n v="-0.03"/>
    <n v="11.58"/>
    <n v="0"/>
    <n v="5"/>
    <n v="141.19"/>
    <n v="7.99"/>
    <n v="133.2"/>
    <n v="1"/>
  </r>
  <r>
    <s v="2021-06-18"/>
    <s v="Vancouver"/>
    <s v="加拿大二店"/>
    <x v="5"/>
    <x v="12"/>
    <x v="41"/>
    <x v="42"/>
    <x v="43"/>
    <s v="整份"/>
    <n v="7.95"/>
    <s v="份"/>
    <n v="12"/>
    <n v="95.4"/>
    <n v="0"/>
    <n v="0"/>
    <n v="0"/>
    <n v="0"/>
    <n v="0"/>
    <n v="0"/>
    <n v="0"/>
    <n v="0"/>
    <n v="7.15"/>
    <n v="0"/>
    <n v="12"/>
    <n v="92.66"/>
    <n v="4.41"/>
    <n v="88.25"/>
    <n v="1"/>
  </r>
  <r>
    <s v="2021-06-18"/>
    <s v="Vancouver"/>
    <s v="加拿大二店"/>
    <x v="2"/>
    <x v="21"/>
    <x v="135"/>
    <x v="129"/>
    <x v="140"/>
    <s v="瓶"/>
    <n v="21.95"/>
    <s v="瓶"/>
    <n v="2"/>
    <n v="43.9"/>
    <n v="0"/>
    <n v="0"/>
    <n v="0"/>
    <n v="0"/>
    <n v="0"/>
    <n v="0"/>
    <n v="0"/>
    <n v="0"/>
    <n v="0"/>
    <n v="0"/>
    <n v="2"/>
    <n v="50.48"/>
    <n v="6.58"/>
    <n v="43.9"/>
    <n v="1"/>
  </r>
  <r>
    <s v="2021-06-18"/>
    <s v="Vancouver"/>
    <s v="加拿大二店"/>
    <x v="3"/>
    <x v="5"/>
    <x v="43"/>
    <x v="44"/>
    <x v="45"/>
    <s v="整份"/>
    <n v="3.95"/>
    <s v="份"/>
    <n v="3"/>
    <n v="11.85"/>
    <n v="0"/>
    <n v="0"/>
    <n v="0"/>
    <n v="0"/>
    <n v="0"/>
    <n v="0"/>
    <n v="0"/>
    <n v="0"/>
    <n v="0"/>
    <n v="0"/>
    <n v="3"/>
    <n v="12.44"/>
    <n v="0.59"/>
    <n v="11.85"/>
    <n v="1"/>
  </r>
  <r>
    <s v="2021-06-18"/>
    <s v="Vancouver"/>
    <s v="加拿大二店"/>
    <x v="7"/>
    <x v="14"/>
    <x v="44"/>
    <x v="45"/>
    <x v="46"/>
    <s v="整份"/>
    <n v="0"/>
    <s v="份"/>
    <n v="22"/>
    <n v="0"/>
    <n v="0"/>
    <n v="0"/>
    <n v="0"/>
    <n v="0"/>
    <n v="0"/>
    <n v="0"/>
    <n v="0"/>
    <n v="-0.01"/>
    <n v="0"/>
    <n v="0"/>
    <n v="22"/>
    <n v="0.01"/>
    <n v="0"/>
    <n v="0.01"/>
    <n v="1"/>
  </r>
  <r>
    <s v="2021-06-18"/>
    <s v="Vancouver"/>
    <s v="加拿大二店"/>
    <x v="7"/>
    <x v="14"/>
    <x v="45"/>
    <x v="46"/>
    <x v="47"/>
    <s v="整份"/>
    <n v="3"/>
    <s v="份"/>
    <n v="1"/>
    <n v="3"/>
    <n v="1"/>
    <n v="3"/>
    <n v="0"/>
    <n v="0"/>
    <n v="0"/>
    <n v="0"/>
    <n v="0"/>
    <n v="0"/>
    <n v="0"/>
    <n v="0"/>
    <n v="0"/>
    <n v="0"/>
    <n v="0"/>
    <n v="0"/>
    <n v="1"/>
  </r>
  <r>
    <s v="2021-06-18"/>
    <s v="Vancouver"/>
    <s v="加拿大二店"/>
    <x v="7"/>
    <x v="14"/>
    <x v="45"/>
    <x v="46"/>
    <x v="47"/>
    <s v="整份"/>
    <n v="4.99"/>
    <s v="份"/>
    <n v="2"/>
    <n v="9.98"/>
    <n v="0"/>
    <n v="0"/>
    <n v="0"/>
    <n v="0"/>
    <n v="0"/>
    <n v="0"/>
    <n v="0"/>
    <n v="0"/>
    <n v="0"/>
    <n v="0"/>
    <n v="2"/>
    <n v="10.47"/>
    <n v="0.49"/>
    <n v="9.98"/>
    <n v="1"/>
  </r>
  <r>
    <s v="2021-06-18"/>
    <s v="Vancouver"/>
    <s v="加拿大二店"/>
    <x v="7"/>
    <x v="14"/>
    <x v="45"/>
    <x v="46"/>
    <x v="47"/>
    <s v="整份"/>
    <n v="9.99"/>
    <s v="份"/>
    <n v="2"/>
    <n v="19.98"/>
    <n v="0"/>
    <n v="0"/>
    <n v="0"/>
    <n v="0"/>
    <n v="0"/>
    <n v="0"/>
    <n v="0"/>
    <n v="-0.02"/>
    <n v="0"/>
    <n v="0"/>
    <n v="2"/>
    <n v="21"/>
    <n v="1"/>
    <n v="20"/>
    <n v="1"/>
  </r>
  <r>
    <s v="2021-06-18"/>
    <s v="Vancouver"/>
    <s v="加拿大二店"/>
    <x v="7"/>
    <x v="14"/>
    <x v="45"/>
    <x v="46"/>
    <x v="47"/>
    <s v="整份"/>
    <n v="11.96"/>
    <s v="份"/>
    <n v="1"/>
    <n v="11.96"/>
    <n v="0"/>
    <n v="0"/>
    <n v="0"/>
    <n v="0"/>
    <n v="0"/>
    <n v="0"/>
    <n v="0"/>
    <n v="0.01"/>
    <n v="0"/>
    <n v="0"/>
    <n v="1"/>
    <n v="12.54"/>
    <n v="0.59"/>
    <n v="11.95"/>
    <n v="1"/>
  </r>
  <r>
    <s v="2021-06-18"/>
    <s v="Vancouver"/>
    <s v="加拿大二店"/>
    <x v="7"/>
    <x v="14"/>
    <x v="45"/>
    <x v="46"/>
    <x v="47"/>
    <s v="整份"/>
    <n v="12.99"/>
    <s v="份"/>
    <n v="2"/>
    <n v="25.98"/>
    <n v="0"/>
    <n v="0"/>
    <n v="0"/>
    <n v="0"/>
    <n v="0"/>
    <n v="0"/>
    <n v="0"/>
    <n v="-0.02"/>
    <n v="0"/>
    <n v="0"/>
    <n v="2"/>
    <n v="27.3"/>
    <n v="1.3"/>
    <n v="26"/>
    <n v="1"/>
  </r>
  <r>
    <s v="2021-06-18"/>
    <s v="Vancouver"/>
    <s v="加拿大二店"/>
    <x v="7"/>
    <x v="14"/>
    <x v="45"/>
    <x v="46"/>
    <x v="47"/>
    <s v="整份"/>
    <n v="14.95"/>
    <s v="份"/>
    <n v="2"/>
    <n v="29.9"/>
    <n v="0"/>
    <n v="0"/>
    <n v="0"/>
    <n v="0"/>
    <n v="0"/>
    <n v="0"/>
    <n v="0"/>
    <n v="0"/>
    <n v="0"/>
    <n v="0"/>
    <n v="2"/>
    <n v="31.39"/>
    <n v="1.49"/>
    <n v="29.9"/>
    <n v="1"/>
  </r>
  <r>
    <s v="2021-06-18"/>
    <s v="Vancouver"/>
    <s v="加拿大二店"/>
    <x v="7"/>
    <x v="14"/>
    <x v="45"/>
    <x v="46"/>
    <x v="47"/>
    <s v="整份"/>
    <n v="18.8"/>
    <s v="份"/>
    <n v="1"/>
    <n v="18.8"/>
    <n v="0"/>
    <n v="0"/>
    <n v="0"/>
    <n v="0"/>
    <n v="0"/>
    <n v="0"/>
    <n v="0"/>
    <n v="0"/>
    <n v="0"/>
    <n v="0"/>
    <n v="1"/>
    <n v="19.74"/>
    <n v="0.94"/>
    <n v="18.8"/>
    <n v="1"/>
  </r>
  <r>
    <s v="2021-06-18"/>
    <s v="Vancouver"/>
    <s v="加拿大二店"/>
    <x v="7"/>
    <x v="14"/>
    <x v="45"/>
    <x v="46"/>
    <x v="47"/>
    <s v="整份"/>
    <n v="23.8"/>
    <s v="份"/>
    <n v="2"/>
    <n v="47.6"/>
    <n v="0"/>
    <n v="0"/>
    <n v="0"/>
    <n v="0"/>
    <n v="0"/>
    <n v="0"/>
    <n v="0"/>
    <n v="0"/>
    <n v="0"/>
    <n v="0"/>
    <n v="2"/>
    <n v="49.98"/>
    <n v="2.38"/>
    <n v="47.6"/>
    <n v="1"/>
  </r>
  <r>
    <s v="2021-06-18"/>
    <s v="Vancouver"/>
    <s v="加拿大二店"/>
    <x v="7"/>
    <x v="14"/>
    <x v="45"/>
    <x v="46"/>
    <x v="47"/>
    <s v="整份"/>
    <n v="26.25"/>
    <s v="份"/>
    <n v="1"/>
    <n v="26.25"/>
    <n v="0"/>
    <n v="0"/>
    <n v="0"/>
    <n v="0"/>
    <n v="0"/>
    <n v="0"/>
    <n v="0"/>
    <n v="0"/>
    <n v="0"/>
    <n v="0"/>
    <n v="1"/>
    <n v="27.56"/>
    <n v="1.31"/>
    <n v="26.25"/>
    <n v="1"/>
  </r>
  <r>
    <s v="2021-06-18"/>
    <s v="Vancouver"/>
    <s v="加拿大二店"/>
    <x v="7"/>
    <x v="14"/>
    <x v="45"/>
    <x v="46"/>
    <x v="47"/>
    <s v="整份"/>
    <n v="27.25"/>
    <s v="份"/>
    <n v="1"/>
    <n v="27.25"/>
    <n v="0"/>
    <n v="0"/>
    <n v="0"/>
    <n v="0"/>
    <n v="0"/>
    <n v="0"/>
    <n v="0"/>
    <n v="-0.01"/>
    <n v="0"/>
    <n v="0"/>
    <n v="1"/>
    <n v="28.62"/>
    <n v="1.36"/>
    <n v="27.26"/>
    <n v="1"/>
  </r>
  <r>
    <s v="2021-06-18"/>
    <s v="Vancouver"/>
    <s v="加拿大二店"/>
    <x v="7"/>
    <x v="14"/>
    <x v="45"/>
    <x v="46"/>
    <x v="47"/>
    <s v="整份"/>
    <n v="38.05"/>
    <s v="份"/>
    <n v="1"/>
    <n v="38.05"/>
    <n v="0"/>
    <n v="0"/>
    <n v="0"/>
    <n v="0"/>
    <n v="0"/>
    <n v="0"/>
    <n v="0"/>
    <n v="0.02"/>
    <n v="0"/>
    <n v="0"/>
    <n v="1"/>
    <n v="39.93"/>
    <n v="1.9"/>
    <n v="38.03"/>
    <n v="1"/>
  </r>
  <r>
    <s v="2021-06-18"/>
    <s v="Vancouver"/>
    <s v="加拿大二店"/>
    <x v="7"/>
    <x v="14"/>
    <x v="45"/>
    <x v="46"/>
    <x v="47"/>
    <s v="整份"/>
    <n v="59.95"/>
    <s v="份"/>
    <n v="2"/>
    <n v="119.9"/>
    <n v="0"/>
    <n v="0"/>
    <n v="0"/>
    <n v="0"/>
    <n v="0"/>
    <n v="0"/>
    <n v="0"/>
    <n v="-0.05"/>
    <n v="0"/>
    <n v="0"/>
    <n v="2"/>
    <n v="125.94"/>
    <n v="5.99"/>
    <n v="119.95"/>
    <n v="1"/>
  </r>
  <r>
    <s v="2021-06-18"/>
    <s v="Vancouver"/>
    <s v="加拿大二店"/>
    <x v="7"/>
    <x v="14"/>
    <x v="45"/>
    <x v="46"/>
    <x v="47"/>
    <s v="整份"/>
    <n v="117.2"/>
    <s v="份"/>
    <n v="1"/>
    <n v="117.2"/>
    <n v="0"/>
    <n v="0"/>
    <n v="0"/>
    <n v="0"/>
    <n v="0"/>
    <n v="0"/>
    <n v="0"/>
    <n v="0.01"/>
    <n v="0"/>
    <n v="0"/>
    <n v="1"/>
    <n v="123.04"/>
    <n v="5.85"/>
    <n v="117.19"/>
    <n v="1"/>
  </r>
  <r>
    <s v="2021-06-18"/>
    <s v="Vancouver"/>
    <s v="加拿大二店"/>
    <x v="2"/>
    <x v="4"/>
    <x v="46"/>
    <x v="47"/>
    <x v="48"/>
    <s v="冰镇"/>
    <n v="2.45"/>
    <s v="听"/>
    <n v="3"/>
    <n v="7.35"/>
    <n v="0"/>
    <n v="0"/>
    <n v="0"/>
    <n v="0"/>
    <n v="0"/>
    <n v="0"/>
    <n v="0"/>
    <n v="0"/>
    <n v="0"/>
    <n v="0"/>
    <n v="3"/>
    <n v="8.23"/>
    <n v="0.88"/>
    <n v="7.35"/>
    <n v="1"/>
  </r>
  <r>
    <s v="2021-06-18"/>
    <s v="Vancouver"/>
    <s v="加拿大二店"/>
    <x v="6"/>
    <x v="13"/>
    <x v="48"/>
    <x v="49"/>
    <x v="50"/>
    <s v="整份"/>
    <n v="4.95"/>
    <s v="份"/>
    <n v="10"/>
    <n v="49.5"/>
    <n v="0"/>
    <n v="0"/>
    <n v="0"/>
    <n v="0"/>
    <n v="0"/>
    <n v="0"/>
    <n v="0"/>
    <n v="0"/>
    <n v="0.63"/>
    <n v="0"/>
    <n v="10"/>
    <n v="51.31"/>
    <n v="2.44"/>
    <n v="48.87"/>
    <n v="1"/>
  </r>
  <r>
    <s v="2021-06-18"/>
    <s v="Vancouver"/>
    <s v="加拿大二店"/>
    <x v="3"/>
    <x v="7"/>
    <x v="49"/>
    <x v="50"/>
    <x v="51"/>
    <s v="整份"/>
    <n v="4.95"/>
    <s v="份"/>
    <n v="7"/>
    <n v="34.65"/>
    <n v="0"/>
    <n v="0"/>
    <n v="0"/>
    <n v="0"/>
    <n v="0"/>
    <n v="0"/>
    <n v="0"/>
    <n v="0"/>
    <n v="1.98"/>
    <n v="0"/>
    <n v="7"/>
    <n v="34.3"/>
    <n v="1.63"/>
    <n v="32.67"/>
    <n v="1"/>
  </r>
  <r>
    <s v="2021-06-18"/>
    <s v="Vancouver"/>
    <s v="加拿大二店"/>
    <x v="3"/>
    <x v="5"/>
    <x v="51"/>
    <x v="52"/>
    <x v="53"/>
    <s v="整份"/>
    <n v="3.95"/>
    <s v="份"/>
    <n v="9"/>
    <n v="35.55"/>
    <n v="0"/>
    <n v="0"/>
    <n v="0"/>
    <n v="0"/>
    <n v="0"/>
    <n v="0"/>
    <n v="0"/>
    <n v="0"/>
    <n v="3.16"/>
    <n v="0"/>
    <n v="9"/>
    <n v="34"/>
    <n v="1.61"/>
    <n v="32.39"/>
    <n v="1"/>
  </r>
  <r>
    <s v="2021-06-18"/>
    <s v="Vancouver"/>
    <s v="加拿大二店"/>
    <x v="3"/>
    <x v="5"/>
    <x v="52"/>
    <x v="53"/>
    <x v="54"/>
    <s v="整份"/>
    <n v="5.95"/>
    <s v="份"/>
    <n v="7"/>
    <n v="41.65"/>
    <n v="0"/>
    <n v="0"/>
    <n v="0"/>
    <n v="0"/>
    <n v="0"/>
    <n v="0"/>
    <n v="0"/>
    <n v="0.01"/>
    <n v="2.38"/>
    <n v="0"/>
    <n v="7"/>
    <n v="41.22"/>
    <n v="1.96"/>
    <n v="39.26"/>
    <n v="1"/>
  </r>
  <r>
    <s v="2021-06-18"/>
    <s v="Vancouver"/>
    <s v="加拿大二店"/>
    <x v="4"/>
    <x v="9"/>
    <x v="53"/>
    <x v="0"/>
    <x v="55"/>
    <s v="拼锅"/>
    <n v="0"/>
    <s v="锅"/>
    <n v="15"/>
    <n v="0"/>
    <n v="2"/>
    <n v="0"/>
    <n v="0"/>
    <n v="0"/>
    <n v="0"/>
    <n v="0"/>
    <n v="0"/>
    <n v="0.02"/>
    <n v="0"/>
    <n v="0"/>
    <n v="13"/>
    <n v="-0.02"/>
    <n v="-0.01"/>
    <n v="-0.01"/>
    <n v="2"/>
  </r>
  <r>
    <s v="2021-06-18"/>
    <s v="Vancouver"/>
    <s v="加拿大二店"/>
    <x v="4"/>
    <x v="10"/>
    <x v="53"/>
    <x v="0"/>
    <x v="55"/>
    <s v="四宫格"/>
    <n v="0"/>
    <s v="锅"/>
    <n v="17"/>
    <n v="0"/>
    <n v="3"/>
    <n v="0"/>
    <n v="0"/>
    <n v="0"/>
    <n v="2"/>
    <n v="0"/>
    <n v="0"/>
    <n v="0"/>
    <n v="0"/>
    <n v="0"/>
    <n v="12"/>
    <n v="0"/>
    <n v="0"/>
    <n v="0"/>
    <n v="1"/>
  </r>
  <r>
    <s v="2021-06-18"/>
    <s v="Vancouver"/>
    <s v="加拿大二店"/>
    <x v="6"/>
    <x v="13"/>
    <x v="54"/>
    <x v="54"/>
    <x v="56"/>
    <s v="个"/>
    <n v="1.95"/>
    <s v="个"/>
    <n v="3"/>
    <n v="5.85"/>
    <n v="0"/>
    <n v="0"/>
    <n v="0"/>
    <n v="0"/>
    <n v="0"/>
    <n v="0"/>
    <n v="0"/>
    <n v="0"/>
    <n v="0"/>
    <n v="0"/>
    <n v="3"/>
    <n v="6.14"/>
    <n v="0.29"/>
    <n v="5.85"/>
    <n v="1"/>
  </r>
  <r>
    <s v="2021-06-18"/>
    <s v="Vancouver"/>
    <s v="加拿大二店"/>
    <x v="6"/>
    <x v="13"/>
    <x v="114"/>
    <x v="108"/>
    <x v="118"/>
    <s v="整份"/>
    <n v="7.95"/>
    <s v="份"/>
    <n v="2"/>
    <n v="15.9"/>
    <n v="0"/>
    <n v="0"/>
    <n v="0"/>
    <n v="0"/>
    <n v="0"/>
    <n v="0"/>
    <n v="0"/>
    <n v="0.01"/>
    <n v="0"/>
    <n v="0"/>
    <n v="2"/>
    <n v="16.68"/>
    <n v="0.79"/>
    <n v="15.89"/>
    <n v="1"/>
  </r>
  <r>
    <s v="2021-06-18"/>
    <s v="Vancouver"/>
    <s v="加拿大二店"/>
    <x v="2"/>
    <x v="21"/>
    <x v="136"/>
    <x v="130"/>
    <x v="141"/>
    <s v="小瓶"/>
    <n v="10.95"/>
    <s v="小瓶"/>
    <n v="1"/>
    <n v="10.95"/>
    <n v="0"/>
    <n v="0"/>
    <n v="0"/>
    <n v="0"/>
    <n v="0"/>
    <n v="0"/>
    <n v="0"/>
    <n v="0"/>
    <n v="0"/>
    <n v="0"/>
    <n v="1"/>
    <n v="12.59"/>
    <n v="1.64"/>
    <n v="10.95"/>
    <n v="1"/>
  </r>
  <r>
    <s v="2021-06-18"/>
    <s v="Vancouver"/>
    <s v="加拿大二店"/>
    <x v="1"/>
    <x v="8"/>
    <x v="55"/>
    <x v="55"/>
    <x v="57"/>
    <s v="整份"/>
    <n v="9.95"/>
    <s v="份"/>
    <n v="7"/>
    <n v="69.65"/>
    <n v="0"/>
    <n v="0"/>
    <n v="0"/>
    <n v="0"/>
    <n v="0"/>
    <n v="0"/>
    <n v="0"/>
    <n v="0"/>
    <n v="3.98"/>
    <n v="0"/>
    <n v="7"/>
    <n v="68.95"/>
    <n v="3.28"/>
    <n v="65.67"/>
    <n v="1"/>
  </r>
  <r>
    <s v="2021-06-18"/>
    <s v="Vancouver"/>
    <s v="加拿大二店"/>
    <x v="1"/>
    <x v="1"/>
    <x v="56"/>
    <x v="56"/>
    <x v="58"/>
    <s v="整份"/>
    <n v="12.95"/>
    <s v="份"/>
    <n v="14"/>
    <n v="181.3"/>
    <n v="0"/>
    <n v="0"/>
    <n v="0"/>
    <n v="0"/>
    <n v="0"/>
    <n v="0"/>
    <n v="0"/>
    <n v="0"/>
    <n v="0"/>
    <n v="0"/>
    <n v="14"/>
    <n v="190.36"/>
    <n v="9.06"/>
    <n v="181.3"/>
    <n v="1"/>
  </r>
  <r>
    <s v="2021-06-18"/>
    <s v="Vancouver"/>
    <s v="加拿大二店"/>
    <x v="1"/>
    <x v="1"/>
    <x v="57"/>
    <x v="57"/>
    <x v="59"/>
    <s v="整份"/>
    <n v="11.95"/>
    <s v="份"/>
    <n v="56"/>
    <n v="669.2"/>
    <n v="0"/>
    <n v="0"/>
    <n v="0"/>
    <n v="0"/>
    <n v="0"/>
    <n v="0"/>
    <n v="0"/>
    <n v="0"/>
    <n v="28.74"/>
    <n v="0"/>
    <n v="56"/>
    <n v="672.48"/>
    <n v="32.02"/>
    <n v="640.46"/>
    <n v="1"/>
  </r>
  <r>
    <s v="2021-06-18"/>
    <s v="Vancouver"/>
    <s v="加拿大二店"/>
    <x v="4"/>
    <x v="9"/>
    <x v="58"/>
    <x v="0"/>
    <x v="60"/>
    <s v="拼锅"/>
    <n v="8.95"/>
    <s v="锅"/>
    <n v="14"/>
    <n v="125.3"/>
    <n v="0"/>
    <n v="0"/>
    <n v="0"/>
    <n v="0"/>
    <n v="0"/>
    <n v="0"/>
    <n v="0"/>
    <n v="0"/>
    <n v="4.47"/>
    <n v="0"/>
    <n v="14"/>
    <n v="126.87"/>
    <n v="6.04"/>
    <n v="120.83"/>
    <n v="2"/>
  </r>
  <r>
    <s v="2021-06-18"/>
    <s v="Vancouver"/>
    <s v="加拿大二店"/>
    <x v="4"/>
    <x v="10"/>
    <x v="58"/>
    <x v="0"/>
    <x v="60"/>
    <s v="四宫格"/>
    <n v="4.95"/>
    <s v="锅"/>
    <n v="20"/>
    <n v="99"/>
    <n v="1"/>
    <n v="4.95"/>
    <n v="0"/>
    <n v="0"/>
    <n v="0"/>
    <n v="0"/>
    <n v="0"/>
    <n v="0"/>
    <n v="3.46"/>
    <n v="0"/>
    <n v="19"/>
    <n v="95.11"/>
    <n v="4.52"/>
    <n v="90.59"/>
    <n v="1"/>
  </r>
  <r>
    <s v="2021-06-18"/>
    <s v="Vancouver"/>
    <s v="加拿大二店"/>
    <x v="3"/>
    <x v="5"/>
    <x v="59"/>
    <x v="58"/>
    <x v="61"/>
    <s v="整份"/>
    <n v="4.95"/>
    <s v="份"/>
    <n v="11"/>
    <n v="54.45"/>
    <n v="0"/>
    <n v="0"/>
    <n v="0"/>
    <n v="0"/>
    <n v="0"/>
    <n v="0"/>
    <n v="0"/>
    <n v="0"/>
    <n v="1.98"/>
    <n v="0"/>
    <n v="11"/>
    <n v="55.09"/>
    <n v="2.62"/>
    <n v="52.47"/>
    <n v="1"/>
  </r>
  <r>
    <s v="2021-06-18"/>
    <s v="Vancouver"/>
    <s v="加拿大二店"/>
    <x v="2"/>
    <x v="4"/>
    <x v="60"/>
    <x v="59"/>
    <x v="62"/>
    <s v="冰镇"/>
    <n v="6.95"/>
    <s v="扎"/>
    <n v="3"/>
    <n v="20.85"/>
    <n v="0"/>
    <n v="0"/>
    <n v="0"/>
    <n v="0"/>
    <n v="0"/>
    <n v="0"/>
    <n v="0"/>
    <n v="0"/>
    <n v="0"/>
    <n v="0"/>
    <n v="3"/>
    <n v="23.35"/>
    <n v="2.5"/>
    <n v="20.85"/>
    <n v="1"/>
  </r>
  <r>
    <s v="2021-06-18"/>
    <s v="Vancouver"/>
    <s v="加拿大二店"/>
    <x v="6"/>
    <x v="13"/>
    <x v="61"/>
    <x v="60"/>
    <x v="63"/>
    <s v="整份"/>
    <n v="3.95"/>
    <s v="包"/>
    <n v="10"/>
    <n v="39.5"/>
    <n v="0"/>
    <n v="0"/>
    <n v="0"/>
    <n v="0"/>
    <n v="0"/>
    <n v="0"/>
    <n v="0"/>
    <n v="0"/>
    <n v="0.79"/>
    <n v="0"/>
    <n v="10"/>
    <n v="40.64"/>
    <n v="1.93"/>
    <n v="38.71"/>
    <n v="1"/>
  </r>
  <r>
    <s v="2021-06-18"/>
    <s v="Vancouver"/>
    <s v="加拿大二店"/>
    <x v="1"/>
    <x v="8"/>
    <x v="116"/>
    <x v="110"/>
    <x v="120"/>
    <s v="个"/>
    <n v="0.95"/>
    <s v="个"/>
    <n v="1"/>
    <n v="0.95"/>
    <n v="0"/>
    <n v="0"/>
    <n v="0"/>
    <n v="0"/>
    <n v="0"/>
    <n v="0"/>
    <n v="0"/>
    <n v="0"/>
    <n v="0.19"/>
    <n v="0"/>
    <n v="1"/>
    <n v="0.79"/>
    <n v="0.03"/>
    <n v="0.76"/>
    <n v="1"/>
  </r>
  <r>
    <s v="2021-06-18"/>
    <s v="Vancouver"/>
    <s v="加拿大二店"/>
    <x v="4"/>
    <x v="16"/>
    <x v="62"/>
    <x v="0"/>
    <x v="64"/>
    <s v="单锅"/>
    <n v="16.95"/>
    <s v="锅"/>
    <n v="1"/>
    <n v="16.95"/>
    <n v="0"/>
    <n v="0"/>
    <n v="0"/>
    <n v="0"/>
    <n v="0"/>
    <n v="0"/>
    <n v="0"/>
    <n v="-0.02"/>
    <n v="0"/>
    <n v="0"/>
    <n v="1"/>
    <n v="17.81"/>
    <n v="0.84"/>
    <n v="16.97"/>
    <n v="4"/>
  </r>
  <r>
    <s v="2021-06-18"/>
    <s v="Vancouver"/>
    <s v="加拿大二店"/>
    <x v="4"/>
    <x v="9"/>
    <x v="62"/>
    <x v="0"/>
    <x v="64"/>
    <s v="拼锅"/>
    <n v="8.95"/>
    <s v="锅"/>
    <n v="30"/>
    <n v="268.5"/>
    <n v="1"/>
    <n v="8.95"/>
    <n v="0"/>
    <n v="0"/>
    <n v="0"/>
    <n v="0"/>
    <n v="0"/>
    <n v="-0.02"/>
    <n v="0.77"/>
    <n v="0"/>
    <n v="29"/>
    <n v="271.74"/>
    <n v="12.94"/>
    <n v="258.8"/>
    <n v="2"/>
  </r>
  <r>
    <s v="2021-06-18"/>
    <s v="Vancouver"/>
    <s v="加拿大二店"/>
    <x v="4"/>
    <x v="10"/>
    <x v="62"/>
    <x v="0"/>
    <x v="64"/>
    <s v="四宫格"/>
    <n v="4.95"/>
    <s v="锅"/>
    <n v="17"/>
    <n v="84.15"/>
    <n v="0"/>
    <n v="0"/>
    <n v="0"/>
    <n v="0"/>
    <n v="1"/>
    <n v="4.95"/>
    <n v="0"/>
    <n v="0"/>
    <n v="0.99"/>
    <n v="0"/>
    <n v="16"/>
    <n v="82.12"/>
    <n v="3.91"/>
    <n v="78.21"/>
    <n v="1"/>
  </r>
  <r>
    <s v="2021-06-18"/>
    <s v="Vancouver"/>
    <s v="加拿大二店"/>
    <x v="6"/>
    <x v="13"/>
    <x v="63"/>
    <x v="61"/>
    <x v="65"/>
    <s v="整份"/>
    <n v="1.5"/>
    <s v="碗"/>
    <n v="10"/>
    <n v="15"/>
    <n v="0"/>
    <n v="0"/>
    <n v="0"/>
    <n v="0"/>
    <n v="0"/>
    <n v="0"/>
    <n v="0"/>
    <n v="0.01"/>
    <n v="0"/>
    <n v="0"/>
    <n v="10"/>
    <n v="15.73"/>
    <n v="0.74"/>
    <n v="14.99"/>
    <n v="1"/>
  </r>
  <r>
    <s v="2021-06-18"/>
    <s v="Vancouver"/>
    <s v="加拿大二店"/>
    <x v="3"/>
    <x v="5"/>
    <x v="64"/>
    <x v="62"/>
    <x v="66"/>
    <s v="整份"/>
    <n v="3.95"/>
    <s v="份"/>
    <n v="7"/>
    <n v="27.65"/>
    <n v="0"/>
    <n v="0"/>
    <n v="0"/>
    <n v="0"/>
    <n v="0"/>
    <n v="0"/>
    <n v="0"/>
    <n v="0"/>
    <n v="0"/>
    <n v="0"/>
    <n v="7"/>
    <n v="29.03"/>
    <n v="1.38"/>
    <n v="27.65"/>
    <n v="1"/>
  </r>
  <r>
    <s v="2021-06-18"/>
    <s v="Vancouver"/>
    <s v="加拿大二店"/>
    <x v="2"/>
    <x v="4"/>
    <x v="65"/>
    <x v="63"/>
    <x v="67"/>
    <s v="扎"/>
    <n v="8.95"/>
    <s v="扎"/>
    <n v="7"/>
    <n v="62.65"/>
    <n v="0"/>
    <n v="0"/>
    <n v="0"/>
    <n v="0"/>
    <n v="2"/>
    <n v="17.9"/>
    <n v="0"/>
    <n v="0.01"/>
    <n v="0"/>
    <n v="0"/>
    <n v="5"/>
    <n v="50.1"/>
    <n v="5.36"/>
    <n v="44.74"/>
    <n v="1"/>
  </r>
  <r>
    <s v="2021-06-18"/>
    <s v="Vancouver"/>
    <s v="加拿大二店"/>
    <x v="2"/>
    <x v="4"/>
    <x v="66"/>
    <x v="64"/>
    <x v="68"/>
    <s v="扎"/>
    <n v="11.95"/>
    <s v="扎"/>
    <n v="3"/>
    <n v="35.85"/>
    <n v="0"/>
    <n v="0"/>
    <n v="0"/>
    <n v="0"/>
    <n v="0"/>
    <n v="0"/>
    <n v="0"/>
    <n v="-0.02"/>
    <n v="0"/>
    <n v="0"/>
    <n v="3"/>
    <n v="40.17"/>
    <n v="4.3"/>
    <n v="35.87"/>
    <n v="1"/>
  </r>
  <r>
    <s v="2021-06-18"/>
    <s v="Vancouver"/>
    <s v="加拿大二店"/>
    <x v="3"/>
    <x v="5"/>
    <x v="134"/>
    <x v="128"/>
    <x v="139"/>
    <s v="整份"/>
    <n v="13.95"/>
    <s v="份"/>
    <n v="16"/>
    <n v="223.2"/>
    <n v="0"/>
    <n v="0"/>
    <n v="0"/>
    <n v="0"/>
    <n v="0"/>
    <n v="0"/>
    <n v="0"/>
    <n v="-0.02"/>
    <n v="12.55"/>
    <n v="0"/>
    <n v="16"/>
    <n v="221.2"/>
    <n v="10.53"/>
    <n v="210.67"/>
    <n v="1"/>
  </r>
  <r>
    <s v="2021-06-18"/>
    <s v="Vancouver"/>
    <s v="加拿大二店"/>
    <x v="3"/>
    <x v="5"/>
    <x v="117"/>
    <x v="111"/>
    <x v="121"/>
    <s v="整份"/>
    <n v="4.95"/>
    <s v="份"/>
    <n v="10"/>
    <n v="49.5"/>
    <n v="1"/>
    <n v="4.95"/>
    <n v="0"/>
    <n v="0"/>
    <n v="0"/>
    <n v="0"/>
    <n v="0"/>
    <n v="0"/>
    <n v="0.99"/>
    <n v="0"/>
    <n v="9"/>
    <n v="45.73"/>
    <n v="2.17"/>
    <n v="43.56"/>
    <n v="1"/>
  </r>
  <r>
    <s v="2021-06-18"/>
    <s v="Vancouver"/>
    <s v="加拿大二店"/>
    <x v="3"/>
    <x v="7"/>
    <x v="67"/>
    <x v="65"/>
    <x v="69"/>
    <s v="整份"/>
    <n v="3.95"/>
    <s v="份"/>
    <n v="6"/>
    <n v="23.7"/>
    <n v="0"/>
    <n v="0"/>
    <n v="0"/>
    <n v="0"/>
    <n v="0"/>
    <n v="0"/>
    <n v="0"/>
    <n v="0"/>
    <n v="1.58"/>
    <n v="0"/>
    <n v="6"/>
    <n v="23.22"/>
    <n v="1.1"/>
    <n v="22.12"/>
    <n v="1"/>
  </r>
  <r>
    <s v="2021-06-18"/>
    <s v="Vancouver"/>
    <s v="加拿大二店"/>
    <x v="1"/>
    <x v="1"/>
    <x v="68"/>
    <x v="66"/>
    <x v="70"/>
    <s v="整份"/>
    <n v="8.95"/>
    <s v="份"/>
    <n v="83"/>
    <n v="742.85"/>
    <n v="1"/>
    <n v="8.95"/>
    <n v="0"/>
    <n v="0"/>
    <n v="8"/>
    <n v="71.6"/>
    <n v="0"/>
    <n v="0"/>
    <n v="25.82"/>
    <n v="0"/>
    <n v="74"/>
    <n v="668.3"/>
    <n v="31.82"/>
    <n v="636.48"/>
    <n v="1"/>
  </r>
  <r>
    <s v="2021-06-18"/>
    <s v="Vancouver"/>
    <s v="加拿大二店"/>
    <x v="1"/>
    <x v="1"/>
    <x v="69"/>
    <x v="67"/>
    <x v="71"/>
    <s v="整份"/>
    <n v="8.95"/>
    <s v="份"/>
    <n v="11"/>
    <n v="98.45"/>
    <n v="0"/>
    <n v="0"/>
    <n v="0"/>
    <n v="0"/>
    <n v="0"/>
    <n v="0"/>
    <n v="0"/>
    <n v="0"/>
    <n v="1.07"/>
    <n v="0"/>
    <n v="11"/>
    <n v="102.24"/>
    <n v="4.86"/>
    <n v="97.38"/>
    <n v="1"/>
  </r>
  <r>
    <s v="2021-06-18"/>
    <s v="Vancouver"/>
    <s v="加拿大二店"/>
    <x v="6"/>
    <x v="15"/>
    <x v="70"/>
    <x v="68"/>
    <x v="72"/>
    <s v="整份"/>
    <n v="1.5"/>
    <s v="份"/>
    <n v="7"/>
    <n v="10.5"/>
    <n v="0"/>
    <n v="0"/>
    <n v="0"/>
    <n v="0"/>
    <n v="0"/>
    <n v="0"/>
    <n v="0"/>
    <n v="0"/>
    <n v="0"/>
    <n v="0"/>
    <n v="7"/>
    <n v="11.02"/>
    <n v="0.52"/>
    <n v="10.5"/>
    <n v="1"/>
  </r>
  <r>
    <s v="2021-06-18"/>
    <s v="Vancouver"/>
    <s v="加拿大二店"/>
    <x v="4"/>
    <x v="9"/>
    <x v="71"/>
    <x v="0"/>
    <x v="73"/>
    <s v="拼锅"/>
    <n v="18.95"/>
    <s v="锅"/>
    <n v="10"/>
    <n v="189.5"/>
    <n v="0"/>
    <n v="0"/>
    <n v="0"/>
    <n v="0"/>
    <n v="0"/>
    <n v="0"/>
    <n v="0"/>
    <n v="0.04"/>
    <n v="3.79"/>
    <n v="0"/>
    <n v="10"/>
    <n v="194.95"/>
    <n v="9.28"/>
    <n v="185.67"/>
    <n v="2"/>
  </r>
  <r>
    <s v="2021-06-18"/>
    <s v="Vancouver"/>
    <s v="加拿大二店"/>
    <x v="4"/>
    <x v="10"/>
    <x v="71"/>
    <x v="0"/>
    <x v="73"/>
    <s v="四宫格"/>
    <n v="9.95"/>
    <s v="锅"/>
    <n v="9"/>
    <n v="89.55"/>
    <n v="0"/>
    <n v="0"/>
    <n v="0"/>
    <n v="0"/>
    <n v="0"/>
    <n v="0"/>
    <n v="0"/>
    <n v="0"/>
    <n v="1.99"/>
    <n v="0"/>
    <n v="9"/>
    <n v="91.93"/>
    <n v="4.37"/>
    <n v="87.56"/>
    <n v="1"/>
  </r>
  <r>
    <s v="2021-06-18"/>
    <s v="Vancouver"/>
    <s v="加拿大二店"/>
    <x v="1"/>
    <x v="8"/>
    <x v="72"/>
    <x v="69"/>
    <x v="74"/>
    <s v="个"/>
    <n v="7.95"/>
    <s v="份"/>
    <n v="9"/>
    <n v="71.55"/>
    <n v="0"/>
    <n v="0"/>
    <n v="0"/>
    <n v="0"/>
    <n v="0"/>
    <n v="0"/>
    <n v="0"/>
    <n v="0"/>
    <n v="0"/>
    <n v="0"/>
    <n v="9"/>
    <n v="75.12"/>
    <n v="3.57"/>
    <n v="71.55"/>
    <n v="1"/>
  </r>
  <r>
    <s v="2021-06-18"/>
    <s v="Vancouver"/>
    <s v="加拿大二店"/>
    <x v="6"/>
    <x v="13"/>
    <x v="73"/>
    <x v="70"/>
    <x v="75"/>
    <s v="份"/>
    <n v="6.95"/>
    <s v="份"/>
    <n v="8"/>
    <n v="55.6"/>
    <n v="0"/>
    <n v="0"/>
    <n v="0"/>
    <n v="0"/>
    <n v="2"/>
    <n v="13.9"/>
    <n v="0"/>
    <n v="0.01"/>
    <n v="1.39"/>
    <n v="0"/>
    <n v="6"/>
    <n v="42.31"/>
    <n v="2.01"/>
    <n v="40.3"/>
    <n v="1"/>
  </r>
  <r>
    <s v="2021-06-18"/>
    <s v="Vancouver"/>
    <s v="加拿大二店"/>
    <x v="4"/>
    <x v="9"/>
    <x v="74"/>
    <x v="0"/>
    <x v="76"/>
    <s v="拼锅"/>
    <n v="18.95"/>
    <s v="锅"/>
    <n v="2"/>
    <n v="37.9"/>
    <n v="0"/>
    <n v="0"/>
    <n v="0"/>
    <n v="0"/>
    <n v="0"/>
    <n v="0"/>
    <n v="0"/>
    <n v="0.02"/>
    <n v="0"/>
    <n v="0"/>
    <n v="2"/>
    <n v="39.77"/>
    <n v="1.89"/>
    <n v="37.88"/>
    <n v="2"/>
  </r>
  <r>
    <s v="2021-06-18"/>
    <s v="Vancouver"/>
    <s v="加拿大二店"/>
    <x v="4"/>
    <x v="10"/>
    <x v="74"/>
    <x v="0"/>
    <x v="76"/>
    <s v="四宫格"/>
    <n v="9.95"/>
    <s v="锅"/>
    <n v="6"/>
    <n v="59.7"/>
    <n v="0"/>
    <n v="0"/>
    <n v="0"/>
    <n v="0"/>
    <n v="0"/>
    <n v="0"/>
    <n v="0"/>
    <n v="0"/>
    <n v="4.97"/>
    <n v="0"/>
    <n v="6"/>
    <n v="57.46"/>
    <n v="2.73"/>
    <n v="54.73"/>
    <n v="1"/>
  </r>
  <r>
    <s v="2021-06-18"/>
    <s v="Vancouver"/>
    <s v="加拿大二店"/>
    <x v="1"/>
    <x v="6"/>
    <x v="118"/>
    <x v="112"/>
    <x v="122"/>
    <s v="整份"/>
    <n v="28.95"/>
    <s v="份"/>
    <n v="3"/>
    <n v="86.85"/>
    <n v="0"/>
    <n v="0"/>
    <n v="0"/>
    <n v="0"/>
    <n v="0"/>
    <n v="0"/>
    <n v="0"/>
    <n v="0.01"/>
    <n v="5.79"/>
    <n v="0"/>
    <n v="3"/>
    <n v="85.1"/>
    <n v="4.05"/>
    <n v="81.05"/>
    <n v="1"/>
  </r>
  <r>
    <s v="2021-06-18"/>
    <s v="Vancouver"/>
    <s v="加拿大二店"/>
    <x v="8"/>
    <x v="17"/>
    <x v="75"/>
    <x v="71"/>
    <x v="77"/>
    <s v="整份"/>
    <n v="3.99"/>
    <s v="位"/>
    <n v="178"/>
    <n v="710.22"/>
    <n v="1"/>
    <n v="3.99"/>
    <n v="0"/>
    <n v="0"/>
    <n v="2"/>
    <n v="7.98"/>
    <n v="0"/>
    <n v="0"/>
    <n v="4.79"/>
    <n v="0"/>
    <n v="175"/>
    <n v="728.13"/>
    <n v="34.67"/>
    <n v="693.46"/>
    <n v="1"/>
  </r>
  <r>
    <s v="2021-06-18"/>
    <s v="Vancouver"/>
    <s v="加拿大二店"/>
    <x v="3"/>
    <x v="5"/>
    <x v="76"/>
    <x v="72"/>
    <x v="78"/>
    <s v="整份"/>
    <n v="3.95"/>
    <s v="份"/>
    <n v="6"/>
    <n v="23.7"/>
    <n v="0"/>
    <n v="0"/>
    <n v="0"/>
    <n v="0"/>
    <n v="0"/>
    <n v="0"/>
    <n v="0"/>
    <n v="0"/>
    <n v="0.79"/>
    <n v="0"/>
    <n v="6"/>
    <n v="24.05"/>
    <n v="1.14"/>
    <n v="22.91"/>
    <n v="1"/>
  </r>
  <r>
    <s v="2021-06-18"/>
    <s v="Vancouver"/>
    <s v="加拿大二店"/>
    <x v="1"/>
    <x v="3"/>
    <x v="77"/>
    <x v="73"/>
    <x v="79"/>
    <s v="整份"/>
    <n v="5.95"/>
    <s v="份"/>
    <n v="10"/>
    <n v="59.5"/>
    <n v="0"/>
    <n v="0"/>
    <n v="0"/>
    <n v="0"/>
    <n v="2"/>
    <n v="11.9"/>
    <n v="0"/>
    <n v="0"/>
    <n v="5.35"/>
    <n v="0"/>
    <n v="8"/>
    <n v="44.36"/>
    <n v="2.11"/>
    <n v="42.25"/>
    <n v="1"/>
  </r>
  <r>
    <s v="2021-06-18"/>
    <s v="Vancouver"/>
    <s v="加拿大二店"/>
    <x v="3"/>
    <x v="11"/>
    <x v="78"/>
    <x v="74"/>
    <x v="80"/>
    <s v="整份"/>
    <n v="5.95"/>
    <s v="份"/>
    <n v="11"/>
    <n v="65.45"/>
    <n v="0"/>
    <n v="0"/>
    <n v="0"/>
    <n v="0"/>
    <n v="0"/>
    <n v="0"/>
    <n v="0"/>
    <n v="0"/>
    <n v="2.38"/>
    <n v="0"/>
    <n v="11"/>
    <n v="66.22"/>
    <n v="3.15"/>
    <n v="63.07"/>
    <n v="1"/>
  </r>
  <r>
    <s v="2021-06-18"/>
    <s v="Vancouver"/>
    <s v="加拿大二店"/>
    <x v="3"/>
    <x v="11"/>
    <x v="78"/>
    <x v="75"/>
    <x v="81"/>
    <s v="半份"/>
    <n v="2.95"/>
    <s v="份"/>
    <n v="8"/>
    <n v="23.6"/>
    <n v="0"/>
    <n v="0"/>
    <n v="0"/>
    <n v="0"/>
    <n v="0"/>
    <n v="0"/>
    <n v="0"/>
    <n v="0"/>
    <n v="0.59"/>
    <n v="0"/>
    <n v="8"/>
    <n v="24.16"/>
    <n v="1.15"/>
    <n v="23.01"/>
    <n v="0.5"/>
  </r>
  <r>
    <s v="2021-06-18"/>
    <s v="Vancouver"/>
    <s v="加拿大二店"/>
    <x v="3"/>
    <x v="5"/>
    <x v="79"/>
    <x v="76"/>
    <x v="82"/>
    <s v="整份"/>
    <n v="3.95"/>
    <s v="份"/>
    <n v="9"/>
    <n v="35.55"/>
    <n v="0"/>
    <n v="0"/>
    <n v="0"/>
    <n v="0"/>
    <n v="0"/>
    <n v="0"/>
    <n v="0"/>
    <n v="0"/>
    <n v="0.79"/>
    <n v="0"/>
    <n v="9"/>
    <n v="36.49"/>
    <n v="1.73"/>
    <n v="34.76"/>
    <n v="1"/>
  </r>
  <r>
    <s v="2021-06-18"/>
    <s v="Vancouver"/>
    <s v="加拿大二店"/>
    <x v="3"/>
    <x v="5"/>
    <x v="80"/>
    <x v="77"/>
    <x v="83"/>
    <s v="整份"/>
    <n v="5.95"/>
    <s v="份"/>
    <n v="6"/>
    <n v="35.7"/>
    <n v="0"/>
    <n v="0"/>
    <n v="0"/>
    <n v="0"/>
    <n v="0"/>
    <n v="0"/>
    <n v="0"/>
    <n v="0"/>
    <n v="1.19"/>
    <n v="0"/>
    <n v="6"/>
    <n v="36.23"/>
    <n v="1.72"/>
    <n v="34.51"/>
    <n v="1"/>
  </r>
  <r>
    <s v="2021-06-18"/>
    <s v="Vancouver"/>
    <s v="加拿大二店"/>
    <x v="4"/>
    <x v="9"/>
    <x v="81"/>
    <x v="0"/>
    <x v="84"/>
    <s v="拼锅"/>
    <n v="8.95"/>
    <s v="锅"/>
    <n v="10"/>
    <n v="89.5"/>
    <n v="0"/>
    <n v="0"/>
    <n v="0"/>
    <n v="0"/>
    <n v="1"/>
    <n v="8.95"/>
    <n v="0"/>
    <n v="0.02"/>
    <n v="1.79"/>
    <n v="0"/>
    <n v="9"/>
    <n v="82.67"/>
    <n v="3.93"/>
    <n v="78.74"/>
    <n v="2"/>
  </r>
  <r>
    <s v="2021-06-18"/>
    <s v="Vancouver"/>
    <s v="加拿大二店"/>
    <x v="4"/>
    <x v="10"/>
    <x v="81"/>
    <x v="0"/>
    <x v="84"/>
    <s v="四宫格"/>
    <n v="4.95"/>
    <s v="锅"/>
    <n v="12"/>
    <n v="59.4"/>
    <n v="0"/>
    <n v="0"/>
    <n v="0"/>
    <n v="0"/>
    <n v="1"/>
    <n v="4.95"/>
    <n v="0"/>
    <n v="0"/>
    <n v="1.98"/>
    <n v="0"/>
    <n v="11"/>
    <n v="55.09"/>
    <n v="2.62"/>
    <n v="52.47"/>
    <n v="1"/>
  </r>
  <r>
    <s v="2021-06-18"/>
    <s v="Vancouver"/>
    <s v="加拿大二店"/>
    <x v="3"/>
    <x v="5"/>
    <x v="82"/>
    <x v="78"/>
    <x v="85"/>
    <s v="整份"/>
    <n v="12.95"/>
    <s v="份"/>
    <n v="13"/>
    <n v="168.35"/>
    <n v="0"/>
    <n v="0"/>
    <n v="0"/>
    <n v="0"/>
    <n v="0"/>
    <n v="0"/>
    <n v="0"/>
    <n v="0"/>
    <n v="2.59"/>
    <n v="0"/>
    <n v="13"/>
    <n v="174.04"/>
    <n v="8.28"/>
    <n v="165.76"/>
    <n v="1"/>
  </r>
  <r>
    <s v="2021-06-18"/>
    <s v="Vancouver"/>
    <s v="加拿大二店"/>
    <x v="3"/>
    <x v="11"/>
    <x v="83"/>
    <x v="79"/>
    <x v="86"/>
    <s v="整份"/>
    <n v="5.95"/>
    <s v="份"/>
    <n v="3"/>
    <n v="17.85"/>
    <n v="0"/>
    <n v="0"/>
    <n v="0"/>
    <n v="0"/>
    <n v="0"/>
    <n v="0"/>
    <n v="0"/>
    <n v="0"/>
    <n v="0"/>
    <n v="0"/>
    <n v="3"/>
    <n v="18.74"/>
    <n v="0.89"/>
    <n v="17.85"/>
    <n v="1"/>
  </r>
  <r>
    <s v="2021-06-18"/>
    <s v="Vancouver"/>
    <s v="加拿大二店"/>
    <x v="3"/>
    <x v="11"/>
    <x v="83"/>
    <x v="80"/>
    <x v="87"/>
    <s v="半份"/>
    <n v="2.95"/>
    <s v="份"/>
    <n v="6"/>
    <n v="17.7"/>
    <n v="0"/>
    <n v="0"/>
    <n v="0"/>
    <n v="0"/>
    <n v="0"/>
    <n v="0"/>
    <n v="0"/>
    <n v="0"/>
    <n v="2.65"/>
    <n v="0"/>
    <n v="6"/>
    <n v="15.8"/>
    <n v="0.75"/>
    <n v="15.05"/>
    <n v="0.5"/>
  </r>
  <r>
    <s v="2021-06-18"/>
    <s v="Vancouver"/>
    <s v="加拿大二店"/>
    <x v="3"/>
    <x v="11"/>
    <x v="84"/>
    <x v="81"/>
    <x v="88"/>
    <s v="整份"/>
    <n v="11.95"/>
    <s v="份"/>
    <n v="9"/>
    <n v="107.55"/>
    <n v="0"/>
    <n v="0"/>
    <n v="0"/>
    <n v="0"/>
    <n v="0"/>
    <n v="0"/>
    <n v="0"/>
    <n v="-0.01"/>
    <n v="8.6"/>
    <n v="0"/>
    <n v="9"/>
    <n v="103.9"/>
    <n v="4.94"/>
    <n v="98.96"/>
    <n v="1"/>
  </r>
  <r>
    <s v="2021-06-18"/>
    <s v="Vancouver"/>
    <s v="加拿大二店"/>
    <x v="1"/>
    <x v="3"/>
    <x v="85"/>
    <x v="82"/>
    <x v="89"/>
    <s v="整份"/>
    <n v="6.95"/>
    <s v="份"/>
    <n v="10"/>
    <n v="69.5"/>
    <n v="0"/>
    <n v="0"/>
    <n v="0"/>
    <n v="0"/>
    <n v="0"/>
    <n v="0"/>
    <n v="0"/>
    <n v="0"/>
    <n v="4.17"/>
    <n v="0"/>
    <n v="10"/>
    <n v="68.59"/>
    <n v="3.26"/>
    <n v="65.33"/>
    <n v="1"/>
  </r>
  <r>
    <s v="2021-06-18"/>
    <s v="Vancouver"/>
    <s v="加拿大二店"/>
    <x v="6"/>
    <x v="13"/>
    <x v="86"/>
    <x v="83"/>
    <x v="90"/>
    <s v="碗"/>
    <n v="2.95"/>
    <s v="碗"/>
    <n v="10"/>
    <n v="29.5"/>
    <n v="0"/>
    <n v="0"/>
    <n v="0"/>
    <n v="0"/>
    <n v="0"/>
    <n v="0"/>
    <n v="0"/>
    <n v="0"/>
    <n v="0"/>
    <n v="0"/>
    <n v="10"/>
    <n v="30.97"/>
    <n v="1.47"/>
    <n v="29.5"/>
    <n v="1"/>
  </r>
  <r>
    <s v="2021-06-18"/>
    <s v="Vancouver"/>
    <s v="加拿大二店"/>
    <x v="2"/>
    <x v="4"/>
    <x v="87"/>
    <x v="84"/>
    <x v="91"/>
    <s v="常温"/>
    <n v="2.95"/>
    <s v="扎"/>
    <n v="3"/>
    <n v="8.85"/>
    <n v="0"/>
    <n v="0"/>
    <n v="0"/>
    <n v="0"/>
    <n v="0"/>
    <n v="0"/>
    <n v="0"/>
    <n v="0"/>
    <n v="0"/>
    <n v="0"/>
    <n v="3"/>
    <n v="9.91"/>
    <n v="1.06"/>
    <n v="8.85"/>
    <n v="1"/>
  </r>
  <r>
    <s v="2021-06-18"/>
    <s v="Vancouver"/>
    <s v="加拿大二店"/>
    <x v="2"/>
    <x v="4"/>
    <x v="87"/>
    <x v="84"/>
    <x v="91"/>
    <s v="冰镇"/>
    <n v="2.95"/>
    <s v="扎"/>
    <n v="3"/>
    <n v="8.85"/>
    <n v="0"/>
    <n v="0"/>
    <n v="0"/>
    <n v="0"/>
    <n v="0"/>
    <n v="0"/>
    <n v="0"/>
    <n v="0"/>
    <n v="0"/>
    <n v="0"/>
    <n v="3"/>
    <n v="9.91"/>
    <n v="1.06"/>
    <n v="8.85"/>
    <n v="1"/>
  </r>
  <r>
    <s v="2021-06-18"/>
    <s v="Vancouver"/>
    <s v="加拿大二店"/>
    <x v="1"/>
    <x v="8"/>
    <x v="88"/>
    <x v="85"/>
    <x v="92"/>
    <s v="整份"/>
    <n v="7.95"/>
    <s v="份"/>
    <n v="6"/>
    <n v="47.7"/>
    <n v="0"/>
    <n v="0"/>
    <n v="0"/>
    <n v="0"/>
    <n v="0"/>
    <n v="0"/>
    <n v="0"/>
    <n v="0"/>
    <n v="1.59"/>
    <n v="0"/>
    <n v="6"/>
    <n v="48.41"/>
    <n v="2.3"/>
    <n v="46.11"/>
    <n v="1"/>
  </r>
  <r>
    <s v="2021-06-18"/>
    <s v="Vancouver"/>
    <s v="加拿大二店"/>
    <x v="1"/>
    <x v="8"/>
    <x v="89"/>
    <x v="86"/>
    <x v="93"/>
    <s v="整份"/>
    <n v="4.95"/>
    <s v="份"/>
    <n v="20"/>
    <n v="99"/>
    <n v="2"/>
    <n v="9.9"/>
    <n v="0"/>
    <n v="0"/>
    <n v="0"/>
    <n v="0"/>
    <n v="0"/>
    <n v="0"/>
    <n v="2.97"/>
    <n v="0"/>
    <n v="18"/>
    <n v="90.43"/>
    <n v="4.3"/>
    <n v="86.13"/>
    <n v="1"/>
  </r>
  <r>
    <s v="2021-06-18"/>
    <s v="Vancouver"/>
    <s v="加拿大二店"/>
    <x v="3"/>
    <x v="7"/>
    <x v="90"/>
    <x v="87"/>
    <x v="94"/>
    <s v="整份"/>
    <n v="4.95"/>
    <s v="份"/>
    <n v="14"/>
    <n v="69.3"/>
    <n v="1"/>
    <n v="4.95"/>
    <n v="0"/>
    <n v="0"/>
    <n v="2"/>
    <n v="9.9"/>
    <n v="0"/>
    <n v="-0.04"/>
    <n v="2.97"/>
    <n v="0"/>
    <n v="11"/>
    <n v="54.09"/>
    <n v="2.57"/>
    <n v="51.52"/>
    <n v="1"/>
  </r>
  <r>
    <s v="2021-06-18"/>
    <s v="Vancouver"/>
    <s v="加拿大二店"/>
    <x v="1"/>
    <x v="6"/>
    <x v="119"/>
    <x v="113"/>
    <x v="123"/>
    <s v="整份"/>
    <n v="1"/>
    <s v="磅"/>
    <n v="2"/>
    <n v="2"/>
    <n v="2"/>
    <n v="2"/>
    <n v="0"/>
    <n v="0"/>
    <n v="0"/>
    <n v="0"/>
    <n v="0"/>
    <n v="0"/>
    <n v="0"/>
    <n v="0"/>
    <n v="0"/>
    <n v="0"/>
    <n v="0"/>
    <n v="0"/>
    <n v="1"/>
  </r>
  <r>
    <s v="2021-06-18"/>
    <s v="Vancouver"/>
    <s v="加拿大二店"/>
    <x v="1"/>
    <x v="6"/>
    <x v="119"/>
    <x v="113"/>
    <x v="123"/>
    <s v="整份"/>
    <n v="1.89"/>
    <s v="磅"/>
    <n v="1"/>
    <n v="1.89"/>
    <n v="0"/>
    <n v="0"/>
    <n v="0"/>
    <n v="0"/>
    <n v="0"/>
    <n v="0"/>
    <n v="0"/>
    <n v="0"/>
    <n v="0"/>
    <n v="0"/>
    <n v="1"/>
    <n v="1.98"/>
    <n v="0.09"/>
    <n v="1.89"/>
    <n v="1"/>
  </r>
  <r>
    <s v="2021-06-18"/>
    <s v="Vancouver"/>
    <s v="加拿大二店"/>
    <x v="1"/>
    <x v="6"/>
    <x v="119"/>
    <x v="113"/>
    <x v="123"/>
    <s v="整份"/>
    <n v="110.32"/>
    <s v="磅"/>
    <n v="1"/>
    <n v="110.32"/>
    <n v="0"/>
    <n v="0"/>
    <n v="0"/>
    <n v="0"/>
    <n v="0"/>
    <n v="0"/>
    <n v="0"/>
    <n v="0.01"/>
    <n v="0"/>
    <n v="0"/>
    <n v="1"/>
    <n v="115.82"/>
    <n v="5.51"/>
    <n v="110.31"/>
    <n v="1"/>
  </r>
  <r>
    <s v="2021-06-18"/>
    <s v="Vancouver"/>
    <s v="加拿大二店"/>
    <x v="1"/>
    <x v="6"/>
    <x v="119"/>
    <x v="113"/>
    <x v="123"/>
    <s v="整份"/>
    <n v="130.31"/>
    <s v="磅"/>
    <n v="1"/>
    <n v="130.31"/>
    <n v="1"/>
    <n v="130.31"/>
    <n v="0"/>
    <n v="0"/>
    <n v="0"/>
    <n v="0"/>
    <n v="0"/>
    <n v="0"/>
    <n v="0"/>
    <n v="0"/>
    <n v="0"/>
    <n v="0"/>
    <n v="0"/>
    <n v="0"/>
    <n v="1"/>
  </r>
  <r>
    <s v="2021-06-18"/>
    <s v="Vancouver"/>
    <s v="加拿大二店"/>
    <x v="6"/>
    <x v="18"/>
    <x v="91"/>
    <x v="88"/>
    <x v="95"/>
    <s v="整份"/>
    <n v="2.95"/>
    <s v="份"/>
    <n v="7"/>
    <n v="20.65"/>
    <n v="0"/>
    <n v="0"/>
    <n v="0"/>
    <n v="0"/>
    <n v="0"/>
    <n v="0"/>
    <n v="0"/>
    <n v="0"/>
    <n v="0"/>
    <n v="0"/>
    <n v="7"/>
    <n v="21.68"/>
    <n v="1.03"/>
    <n v="20.65"/>
    <n v="1"/>
  </r>
  <r>
    <s v="2021-06-18"/>
    <s v="Vancouver"/>
    <s v="加拿大二店"/>
    <x v="4"/>
    <x v="9"/>
    <x v="92"/>
    <x v="0"/>
    <x v="96"/>
    <s v="拼锅"/>
    <n v="8.95"/>
    <s v="锅"/>
    <n v="3"/>
    <n v="26.85"/>
    <n v="1"/>
    <n v="8.95"/>
    <n v="0"/>
    <n v="0"/>
    <n v="0"/>
    <n v="0"/>
    <n v="0"/>
    <n v="-0.01"/>
    <n v="0"/>
    <n v="0"/>
    <n v="2"/>
    <n v="18.8"/>
    <n v="0.89"/>
    <n v="17.91"/>
    <n v="2"/>
  </r>
  <r>
    <s v="2021-06-18"/>
    <s v="Vancouver"/>
    <s v="加拿大二店"/>
    <x v="4"/>
    <x v="10"/>
    <x v="92"/>
    <x v="0"/>
    <x v="96"/>
    <s v="四宫格"/>
    <n v="4.95"/>
    <s v="锅"/>
    <n v="3"/>
    <n v="14.85"/>
    <n v="0"/>
    <n v="0"/>
    <n v="0"/>
    <n v="0"/>
    <n v="0"/>
    <n v="0"/>
    <n v="0"/>
    <n v="0.01"/>
    <n v="0"/>
    <n v="0"/>
    <n v="3"/>
    <n v="15.58"/>
    <n v="0.74"/>
    <n v="14.84"/>
    <n v="1"/>
  </r>
  <r>
    <s v="2021-06-18"/>
    <s v="Vancouver"/>
    <s v="加拿大二店"/>
    <x v="3"/>
    <x v="5"/>
    <x v="93"/>
    <x v="89"/>
    <x v="97"/>
    <s v="整份"/>
    <n v="5.95"/>
    <s v="份"/>
    <n v="21"/>
    <n v="124.95"/>
    <n v="0"/>
    <n v="0"/>
    <n v="0"/>
    <n v="0"/>
    <n v="2"/>
    <n v="11.9"/>
    <n v="0"/>
    <n v="0"/>
    <n v="3.57"/>
    <n v="0"/>
    <n v="19"/>
    <n v="114.95"/>
    <n v="5.47"/>
    <n v="109.48"/>
    <n v="1"/>
  </r>
  <r>
    <s v="2021-06-18"/>
    <s v="Vancouver"/>
    <s v="加拿大二店"/>
    <x v="6"/>
    <x v="13"/>
    <x v="94"/>
    <x v="90"/>
    <x v="98"/>
    <s v="整份"/>
    <n v="4.95"/>
    <s v="份"/>
    <n v="11"/>
    <n v="54.45"/>
    <n v="0"/>
    <n v="0"/>
    <n v="0"/>
    <n v="0"/>
    <n v="2"/>
    <n v="9.9"/>
    <n v="0"/>
    <n v="0"/>
    <n v="2.47"/>
    <n v="0"/>
    <n v="9"/>
    <n v="44.18"/>
    <n v="2.1"/>
    <n v="42.08"/>
    <n v="1"/>
  </r>
  <r>
    <s v="2021-06-18"/>
    <s v="Vancouver"/>
    <s v="加拿大二店"/>
    <x v="7"/>
    <x v="14"/>
    <x v="123"/>
    <x v="117"/>
    <x v="127"/>
    <s v="整份"/>
    <n v="0"/>
    <s v="份"/>
    <n v="1"/>
    <n v="0"/>
    <n v="0"/>
    <n v="0"/>
    <n v="0"/>
    <n v="0"/>
    <n v="0"/>
    <n v="0"/>
    <n v="0"/>
    <n v="0"/>
    <n v="-0.01"/>
    <n v="0"/>
    <n v="1"/>
    <n v="0.01"/>
    <n v="0"/>
    <n v="0.01"/>
    <n v="1"/>
  </r>
  <r>
    <s v="2021-06-18"/>
    <s v="Vancouver"/>
    <s v="加拿大二店"/>
    <x v="2"/>
    <x v="4"/>
    <x v="95"/>
    <x v="91"/>
    <x v="99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18"/>
    <s v="Vancouver"/>
    <s v="加拿大二店"/>
    <x v="1"/>
    <x v="1"/>
    <x v="96"/>
    <x v="92"/>
    <x v="100"/>
    <s v="整份"/>
    <n v="49.95"/>
    <s v="份"/>
    <n v="10"/>
    <n v="499.5"/>
    <n v="0"/>
    <n v="0"/>
    <n v="0"/>
    <n v="0"/>
    <n v="0"/>
    <n v="0"/>
    <n v="0"/>
    <n v="-0.01"/>
    <n v="19.98"/>
    <n v="0"/>
    <n v="10"/>
    <n v="503.5"/>
    <n v="23.97"/>
    <n v="479.53"/>
    <n v="1"/>
  </r>
  <r>
    <s v="2021-06-18"/>
    <s v="Vancouver"/>
    <s v="加拿大二店"/>
    <x v="2"/>
    <x v="2"/>
    <x v="97"/>
    <x v="93"/>
    <x v="101"/>
    <s v="冰镇"/>
    <n v="5.95"/>
    <s v="听"/>
    <n v="5"/>
    <n v="29.75"/>
    <n v="0"/>
    <n v="0"/>
    <n v="0"/>
    <n v="0"/>
    <n v="0"/>
    <n v="0"/>
    <n v="0"/>
    <n v="0"/>
    <n v="0"/>
    <n v="0"/>
    <n v="5"/>
    <n v="34.21"/>
    <n v="4.46"/>
    <n v="29.75"/>
    <n v="1"/>
  </r>
  <r>
    <s v="2021-06-18"/>
    <s v="Vancouver"/>
    <s v="加拿大二店"/>
    <x v="6"/>
    <x v="13"/>
    <x v="98"/>
    <x v="94"/>
    <x v="102"/>
    <s v="整份"/>
    <n v="3.95"/>
    <s v="份"/>
    <n v="11"/>
    <n v="43.45"/>
    <n v="1"/>
    <n v="3.95"/>
    <n v="0"/>
    <n v="0"/>
    <n v="0"/>
    <n v="0"/>
    <n v="0"/>
    <n v="0"/>
    <n v="1.58"/>
    <n v="0"/>
    <n v="10"/>
    <n v="39.81"/>
    <n v="1.89"/>
    <n v="37.92"/>
    <n v="1"/>
  </r>
  <r>
    <s v="2021-06-18"/>
    <s v="Vancouver"/>
    <s v="加拿大二店"/>
    <x v="1"/>
    <x v="3"/>
    <x v="99"/>
    <x v="95"/>
    <x v="103"/>
    <s v="整份"/>
    <n v="5.95"/>
    <s v="份"/>
    <n v="5"/>
    <n v="29.75"/>
    <n v="1"/>
    <n v="5.95"/>
    <n v="0"/>
    <n v="0"/>
    <n v="0"/>
    <n v="0"/>
    <n v="0"/>
    <n v="0"/>
    <n v="4.21"/>
    <n v="0"/>
    <n v="4"/>
    <n v="20.56"/>
    <n v="0.97"/>
    <n v="19.59"/>
    <n v="1"/>
  </r>
  <r>
    <s v="2021-06-18"/>
    <s v="Vancouver"/>
    <s v="加拿大二店"/>
    <x v="1"/>
    <x v="3"/>
    <x v="100"/>
    <x v="96"/>
    <x v="104"/>
    <s v="整份"/>
    <n v="7.95"/>
    <s v="份"/>
    <n v="6"/>
    <n v="47.7"/>
    <n v="0"/>
    <n v="0"/>
    <n v="0"/>
    <n v="0"/>
    <n v="0"/>
    <n v="0"/>
    <n v="0"/>
    <n v="0"/>
    <n v="3.18"/>
    <n v="0"/>
    <n v="6"/>
    <n v="46.74"/>
    <n v="2.22"/>
    <n v="44.52"/>
    <n v="1"/>
  </r>
  <r>
    <s v="2021-06-18"/>
    <s v="Vancouver"/>
    <s v="加拿大二店"/>
    <x v="1"/>
    <x v="8"/>
    <x v="101"/>
    <x v="97"/>
    <x v="105"/>
    <s v="整份"/>
    <n v="5.95"/>
    <s v="份"/>
    <n v="11"/>
    <n v="65.45"/>
    <n v="0"/>
    <n v="0"/>
    <n v="0"/>
    <n v="0"/>
    <n v="0"/>
    <n v="0"/>
    <n v="0"/>
    <n v="0"/>
    <n v="3.09"/>
    <n v="0"/>
    <n v="11"/>
    <n v="65.47"/>
    <n v="3.11"/>
    <n v="62.36"/>
    <n v="1"/>
  </r>
  <r>
    <s v="2021-06-18"/>
    <s v="Vancouver"/>
    <s v="加拿大二店"/>
    <x v="1"/>
    <x v="6"/>
    <x v="102"/>
    <x v="98"/>
    <x v="106"/>
    <s v="整份"/>
    <n v="8.95"/>
    <s v="份"/>
    <n v="6"/>
    <n v="53.7"/>
    <n v="1"/>
    <n v="8.95"/>
    <n v="0"/>
    <n v="0"/>
    <n v="0"/>
    <n v="0"/>
    <n v="0"/>
    <n v="0.03"/>
    <n v="2.86"/>
    <n v="0"/>
    <n v="5"/>
    <n v="43.95"/>
    <n v="2.09"/>
    <n v="41.86"/>
    <n v="1"/>
  </r>
  <r>
    <s v="2021-06-18"/>
    <s v="Vancouver"/>
    <s v="加拿大二店"/>
    <x v="3"/>
    <x v="7"/>
    <x v="103"/>
    <x v="99"/>
    <x v="107"/>
    <s v="整份"/>
    <n v="5.95"/>
    <s v="份"/>
    <n v="26"/>
    <n v="154.7"/>
    <n v="0"/>
    <n v="0"/>
    <n v="0"/>
    <n v="0"/>
    <n v="0"/>
    <n v="0"/>
    <n v="0"/>
    <n v="0"/>
    <n v="6.54"/>
    <n v="0"/>
    <n v="26"/>
    <n v="155.56"/>
    <n v="7.4"/>
    <n v="148.16"/>
    <n v="1"/>
  </r>
  <r>
    <s v="2021-06-18"/>
    <s v="Vancouver"/>
    <s v="加拿大二店"/>
    <x v="3"/>
    <x v="7"/>
    <x v="104"/>
    <x v="100"/>
    <x v="108"/>
    <s v="整份"/>
    <n v="3.95"/>
    <s v="份"/>
    <n v="9"/>
    <n v="35.55"/>
    <n v="0"/>
    <n v="0"/>
    <n v="0"/>
    <n v="0"/>
    <n v="0"/>
    <n v="0"/>
    <n v="0"/>
    <n v="0"/>
    <n v="1.58"/>
    <n v="0"/>
    <n v="9"/>
    <n v="35.66"/>
    <n v="1.69"/>
    <n v="33.97"/>
    <n v="1"/>
  </r>
  <r>
    <s v="2021-06-18"/>
    <s v="Vancouver"/>
    <s v="加拿大二店"/>
    <x v="1"/>
    <x v="8"/>
    <x v="105"/>
    <x v="101"/>
    <x v="109"/>
    <s v="整份"/>
    <n v="4.95"/>
    <s v="份"/>
    <n v="19"/>
    <n v="94.05"/>
    <n v="0"/>
    <n v="0"/>
    <n v="0"/>
    <n v="0"/>
    <n v="0"/>
    <n v="0"/>
    <n v="0"/>
    <n v="0.01"/>
    <n v="5.97"/>
    <n v="0"/>
    <n v="19"/>
    <n v="92.47"/>
    <n v="4.4"/>
    <n v="88.07"/>
    <n v="1"/>
  </r>
  <r>
    <s v="2021-06-18"/>
    <s v="Vancouver"/>
    <s v="加拿大二店"/>
    <x v="4"/>
    <x v="9"/>
    <x v="106"/>
    <x v="0"/>
    <x v="110"/>
    <s v="拼锅"/>
    <n v="11.95"/>
    <s v="锅"/>
    <n v="12"/>
    <n v="143.4"/>
    <n v="0"/>
    <n v="0"/>
    <n v="0"/>
    <n v="0"/>
    <n v="0"/>
    <n v="0"/>
    <n v="0"/>
    <n v="-0.03"/>
    <n v="0"/>
    <n v="0"/>
    <n v="12"/>
    <n v="150.6"/>
    <n v="7.17"/>
    <n v="143.43"/>
    <n v="2"/>
  </r>
  <r>
    <s v="2021-06-18"/>
    <s v="Vancouver"/>
    <s v="加拿大二店"/>
    <x v="4"/>
    <x v="10"/>
    <x v="106"/>
    <x v="0"/>
    <x v="110"/>
    <s v="四宫格"/>
    <n v="5.95"/>
    <s v="锅"/>
    <n v="8"/>
    <n v="47.6"/>
    <n v="0"/>
    <n v="0"/>
    <n v="0"/>
    <n v="0"/>
    <n v="0"/>
    <n v="0"/>
    <n v="0"/>
    <n v="0.01"/>
    <n v="1.19"/>
    <n v="0"/>
    <n v="8"/>
    <n v="48.72"/>
    <n v="2.32"/>
    <n v="46.4"/>
    <n v="1"/>
  </r>
  <r>
    <s v="2021-06-18"/>
    <s v="Vancouver"/>
    <s v="加拿大二店"/>
    <x v="4"/>
    <x v="9"/>
    <x v="107"/>
    <x v="0"/>
    <x v="111"/>
    <s v="拼锅"/>
    <n v="11.95"/>
    <s v="锅"/>
    <n v="14"/>
    <n v="167.3"/>
    <n v="0"/>
    <n v="0"/>
    <n v="0"/>
    <n v="0"/>
    <n v="1"/>
    <n v="11.95"/>
    <n v="0"/>
    <n v="0"/>
    <n v="5.97"/>
    <n v="0"/>
    <n v="13"/>
    <n v="156.84"/>
    <n v="7.46"/>
    <n v="149.38"/>
    <n v="2"/>
  </r>
  <r>
    <s v="2021-06-18"/>
    <s v="Vancouver"/>
    <s v="加拿大二店"/>
    <x v="4"/>
    <x v="10"/>
    <x v="107"/>
    <x v="0"/>
    <x v="111"/>
    <s v="四宫格"/>
    <n v="5.95"/>
    <s v="锅"/>
    <n v="6"/>
    <n v="35.7"/>
    <n v="0"/>
    <n v="0"/>
    <n v="0"/>
    <n v="0"/>
    <n v="0"/>
    <n v="0"/>
    <n v="0"/>
    <n v="0"/>
    <n v="1.19"/>
    <n v="0"/>
    <n v="6"/>
    <n v="36.23"/>
    <n v="1.72"/>
    <n v="34.51"/>
    <n v="1"/>
  </r>
  <r>
    <s v="2021-06-19"/>
    <s v="Vancouver"/>
    <s v="加拿大二店"/>
    <x v="1"/>
    <x v="1"/>
    <x v="1"/>
    <x v="1"/>
    <x v="1"/>
    <s v="整份"/>
    <n v="16.95"/>
    <s v="份"/>
    <n v="15"/>
    <n v="254.25"/>
    <n v="0"/>
    <n v="0"/>
    <n v="0"/>
    <n v="0"/>
    <n v="2"/>
    <n v="33.9"/>
    <n v="0"/>
    <n v="0"/>
    <n v="3.39"/>
    <n v="0"/>
    <n v="13"/>
    <n v="227.8"/>
    <n v="10.84"/>
    <n v="216.96"/>
    <n v="1"/>
  </r>
  <r>
    <s v="2021-06-19"/>
    <s v="Vancouver"/>
    <s v="加拿大二店"/>
    <x v="1"/>
    <x v="1"/>
    <x v="2"/>
    <x v="2"/>
    <x v="2"/>
    <s v="整份"/>
    <n v="25.95"/>
    <s v="份"/>
    <n v="25"/>
    <n v="648.75"/>
    <n v="0"/>
    <n v="0"/>
    <n v="0"/>
    <n v="0"/>
    <n v="1"/>
    <n v="25.95"/>
    <n v="0"/>
    <n v="0.01"/>
    <n v="31.14"/>
    <n v="0"/>
    <n v="24"/>
    <n v="621.23"/>
    <n v="29.58"/>
    <n v="591.65"/>
    <n v="1"/>
  </r>
  <r>
    <s v="2021-06-19"/>
    <s v="Vancouver"/>
    <s v="加拿大二店"/>
    <x v="2"/>
    <x v="2"/>
    <x v="3"/>
    <x v="3"/>
    <x v="3"/>
    <s v="杯"/>
    <n v="6.95"/>
    <s v="杯"/>
    <n v="2"/>
    <n v="13.9"/>
    <n v="0"/>
    <n v="0"/>
    <n v="0"/>
    <n v="0"/>
    <n v="0"/>
    <n v="0"/>
    <n v="0"/>
    <n v="0"/>
    <n v="0"/>
    <n v="0"/>
    <n v="2"/>
    <n v="15.98"/>
    <n v="2.08"/>
    <n v="13.9"/>
    <n v="1"/>
  </r>
  <r>
    <s v="2021-06-19"/>
    <s v="Vancouver"/>
    <s v="加拿大二店"/>
    <x v="2"/>
    <x v="2"/>
    <x v="4"/>
    <x v="4"/>
    <x v="4"/>
    <s v="壶"/>
    <n v="22.95"/>
    <s v="壶"/>
    <n v="1"/>
    <n v="22.95"/>
    <n v="0"/>
    <n v="0"/>
    <n v="0"/>
    <n v="0"/>
    <n v="0"/>
    <n v="0"/>
    <n v="0"/>
    <n v="-0.02"/>
    <n v="0"/>
    <n v="0"/>
    <n v="1"/>
    <n v="26.41"/>
    <n v="3.44"/>
    <n v="22.97"/>
    <n v="1"/>
  </r>
  <r>
    <s v="2021-06-19"/>
    <s v="Vancouver"/>
    <s v="加拿大二店"/>
    <x v="2"/>
    <x v="2"/>
    <x v="5"/>
    <x v="5"/>
    <x v="5"/>
    <s v="杯"/>
    <n v="6.95"/>
    <s v="杯"/>
    <n v="6"/>
    <n v="41.7"/>
    <n v="0"/>
    <n v="0"/>
    <n v="0"/>
    <n v="0"/>
    <n v="0"/>
    <n v="0"/>
    <n v="0"/>
    <n v="-0.03"/>
    <n v="0"/>
    <n v="0"/>
    <n v="6"/>
    <n v="47.98"/>
    <n v="6.25"/>
    <n v="41.73"/>
    <n v="1"/>
  </r>
  <r>
    <s v="2021-06-19"/>
    <s v="Vancouver"/>
    <s v="加拿大二店"/>
    <x v="1"/>
    <x v="3"/>
    <x v="6"/>
    <x v="6"/>
    <x v="6"/>
    <s v="整份"/>
    <n v="7.95"/>
    <s v="份"/>
    <n v="8"/>
    <n v="63.6"/>
    <n v="0"/>
    <n v="0"/>
    <n v="0"/>
    <n v="0"/>
    <n v="0"/>
    <n v="0"/>
    <n v="0"/>
    <n v="0"/>
    <n v="1.59"/>
    <n v="0"/>
    <n v="8"/>
    <n v="65.11"/>
    <n v="3.1"/>
    <n v="62.01"/>
    <n v="1"/>
  </r>
  <r>
    <s v="2021-06-19"/>
    <s v="Vancouver"/>
    <s v="加拿大二店"/>
    <x v="0"/>
    <x v="0"/>
    <x v="124"/>
    <x v="0"/>
    <x v="128"/>
    <s v="套餐"/>
    <n v="59.95"/>
    <s v="套餐"/>
    <n v="6"/>
    <n v="359.7"/>
    <n v="1"/>
    <n v="59.95"/>
    <n v="0"/>
    <n v="0"/>
    <n v="0"/>
    <n v="0"/>
    <n v="0"/>
    <n v="-0.07"/>
    <n v="0"/>
    <n v="0"/>
    <n v="5"/>
    <n v="317.8"/>
    <n v="17.98"/>
    <n v="299.82"/>
    <n v="1"/>
  </r>
  <r>
    <s v="2021-06-19"/>
    <s v="Vancouver"/>
    <s v="加拿大二店"/>
    <x v="2"/>
    <x v="19"/>
    <x v="108"/>
    <x v="102"/>
    <x v="112"/>
    <s v="小瓶"/>
    <n v="15.95"/>
    <s v="小瓶"/>
    <n v="6"/>
    <n v="95.7"/>
    <n v="0"/>
    <n v="0"/>
    <n v="0"/>
    <n v="0"/>
    <n v="0"/>
    <n v="0"/>
    <n v="0"/>
    <n v="0"/>
    <n v="0"/>
    <n v="0"/>
    <n v="6"/>
    <n v="110.05"/>
    <n v="14.35"/>
    <n v="95.7"/>
    <n v="1"/>
  </r>
  <r>
    <s v="2021-06-19"/>
    <s v="Vancouver"/>
    <s v="加拿大二店"/>
    <x v="0"/>
    <x v="20"/>
    <x v="109"/>
    <x v="103"/>
    <x v="113"/>
    <s v="整份"/>
    <n v="8.95"/>
    <s v="份"/>
    <n v="2"/>
    <n v="17.9"/>
    <n v="0"/>
    <n v="0"/>
    <n v="0"/>
    <n v="0"/>
    <n v="0"/>
    <n v="0"/>
    <n v="0"/>
    <n v="0"/>
    <n v="0"/>
    <n v="0"/>
    <n v="2"/>
    <n v="18.79"/>
    <n v="0.89"/>
    <n v="17.9"/>
    <n v="1"/>
  </r>
  <r>
    <s v="2021-06-19"/>
    <s v="Vancouver"/>
    <s v="加拿大二店"/>
    <x v="2"/>
    <x v="4"/>
    <x v="110"/>
    <x v="104"/>
    <x v="114"/>
    <s v="小瓶"/>
    <n v="3.95"/>
    <s v="瓶"/>
    <n v="7"/>
    <n v="27.65"/>
    <n v="0"/>
    <n v="0"/>
    <n v="0"/>
    <n v="0"/>
    <n v="0"/>
    <n v="0"/>
    <n v="0"/>
    <n v="0.04"/>
    <n v="0.35"/>
    <n v="0"/>
    <n v="7"/>
    <n v="30.53"/>
    <n v="3.27"/>
    <n v="27.26"/>
    <n v="1"/>
  </r>
  <r>
    <s v="2021-06-19"/>
    <s v="Vancouver"/>
    <s v="加拿大二店"/>
    <x v="3"/>
    <x v="5"/>
    <x v="8"/>
    <x v="8"/>
    <x v="8"/>
    <s v="整份"/>
    <n v="3.95"/>
    <s v="份"/>
    <n v="13"/>
    <n v="51.35"/>
    <n v="0"/>
    <n v="0"/>
    <n v="0"/>
    <n v="0"/>
    <n v="0"/>
    <n v="0"/>
    <n v="0"/>
    <n v="0"/>
    <n v="4.81"/>
    <n v="0"/>
    <n v="13"/>
    <n v="48.86"/>
    <n v="2.32"/>
    <n v="46.54"/>
    <n v="1"/>
  </r>
  <r>
    <s v="2021-06-19"/>
    <s v="Vancouver"/>
    <s v="加拿大二店"/>
    <x v="2"/>
    <x v="4"/>
    <x v="10"/>
    <x v="10"/>
    <x v="10"/>
    <s v="半份"/>
    <n v="6.95"/>
    <s v="扎"/>
    <n v="7"/>
    <n v="48.65"/>
    <n v="0"/>
    <n v="0"/>
    <n v="0"/>
    <n v="0"/>
    <n v="2"/>
    <n v="13.9"/>
    <n v="0"/>
    <n v="0"/>
    <n v="1.48"/>
    <n v="0"/>
    <n v="5"/>
    <n v="37.26"/>
    <n v="3.99"/>
    <n v="33.27"/>
    <n v="0.5"/>
  </r>
  <r>
    <s v="2021-06-19"/>
    <s v="Vancouver"/>
    <s v="加拿大二店"/>
    <x v="2"/>
    <x v="4"/>
    <x v="10"/>
    <x v="11"/>
    <x v="11"/>
    <s v="整份"/>
    <n v="9.95"/>
    <s v="扎"/>
    <n v="6"/>
    <n v="59.7"/>
    <n v="0"/>
    <n v="0"/>
    <n v="0"/>
    <n v="0"/>
    <n v="0"/>
    <n v="0"/>
    <n v="0"/>
    <n v="0"/>
    <n v="0"/>
    <n v="0"/>
    <n v="6"/>
    <n v="66.86"/>
    <n v="7.16"/>
    <n v="59.7"/>
    <n v="1"/>
  </r>
  <r>
    <s v="2021-06-19"/>
    <s v="Vancouver"/>
    <s v="加拿大二店"/>
    <x v="1"/>
    <x v="6"/>
    <x v="11"/>
    <x v="12"/>
    <x v="12"/>
    <s v="整份"/>
    <n v="8.95"/>
    <s v="份"/>
    <n v="5"/>
    <n v="44.75"/>
    <n v="0"/>
    <n v="0"/>
    <n v="0"/>
    <n v="0"/>
    <n v="0"/>
    <n v="0"/>
    <n v="0"/>
    <n v="0"/>
    <n v="1.07"/>
    <n v="0"/>
    <n v="5"/>
    <n v="45.86"/>
    <n v="2.18"/>
    <n v="43.68"/>
    <n v="1"/>
  </r>
  <r>
    <s v="2021-06-19"/>
    <s v="Vancouver"/>
    <s v="加拿大二店"/>
    <x v="1"/>
    <x v="6"/>
    <x v="12"/>
    <x v="13"/>
    <x v="13"/>
    <s v="整份"/>
    <n v="16.95"/>
    <s v="份"/>
    <n v="1"/>
    <n v="16.95"/>
    <n v="0"/>
    <n v="0"/>
    <n v="0"/>
    <n v="0"/>
    <n v="0"/>
    <n v="0"/>
    <n v="0"/>
    <n v="0"/>
    <n v="0"/>
    <n v="0"/>
    <n v="1"/>
    <n v="17.79"/>
    <n v="0.84"/>
    <n v="16.95"/>
    <n v="1"/>
  </r>
  <r>
    <s v="2021-06-19"/>
    <s v="Vancouver"/>
    <s v="加拿大二店"/>
    <x v="1"/>
    <x v="6"/>
    <x v="13"/>
    <x v="14"/>
    <x v="14"/>
    <s v="整份"/>
    <n v="21.95"/>
    <s v="份"/>
    <n v="6"/>
    <n v="131.7"/>
    <n v="0"/>
    <n v="0"/>
    <n v="0"/>
    <n v="0"/>
    <n v="0"/>
    <n v="0"/>
    <n v="0"/>
    <n v="0.01"/>
    <n v="2.63"/>
    <n v="0"/>
    <n v="6"/>
    <n v="135.51"/>
    <n v="6.45"/>
    <n v="129.06"/>
    <n v="1"/>
  </r>
  <r>
    <s v="2021-06-19"/>
    <s v="Vancouver"/>
    <s v="加拿大二店"/>
    <x v="1"/>
    <x v="6"/>
    <x v="14"/>
    <x v="15"/>
    <x v="15"/>
    <s v="整份"/>
    <n v="29.95"/>
    <s v="份"/>
    <n v="2"/>
    <n v="59.9"/>
    <n v="0"/>
    <n v="0"/>
    <n v="0"/>
    <n v="0"/>
    <n v="0"/>
    <n v="0"/>
    <n v="0"/>
    <n v="0.01"/>
    <n v="0"/>
    <n v="0"/>
    <n v="2"/>
    <n v="62.88"/>
    <n v="2.99"/>
    <n v="59.89"/>
    <n v="1"/>
  </r>
  <r>
    <s v="2021-06-19"/>
    <s v="Vancouver"/>
    <s v="加拿大二店"/>
    <x v="1"/>
    <x v="6"/>
    <x v="121"/>
    <x v="115"/>
    <x v="125"/>
    <s v="整份"/>
    <n v="12.95"/>
    <s v="份"/>
    <n v="2"/>
    <n v="25.9"/>
    <n v="0"/>
    <n v="0"/>
    <n v="0"/>
    <n v="0"/>
    <n v="0"/>
    <n v="0"/>
    <n v="0"/>
    <n v="0"/>
    <n v="0"/>
    <n v="0"/>
    <n v="2"/>
    <n v="27.19"/>
    <n v="1.29"/>
    <n v="25.9"/>
    <n v="1"/>
  </r>
  <r>
    <s v="2021-06-19"/>
    <s v="Vancouver"/>
    <s v="加拿大二店"/>
    <x v="1"/>
    <x v="6"/>
    <x v="15"/>
    <x v="16"/>
    <x v="16"/>
    <s v="整份"/>
    <n v="8.95"/>
    <s v="份"/>
    <n v="9"/>
    <n v="80.55"/>
    <n v="0"/>
    <n v="0"/>
    <n v="0"/>
    <n v="0"/>
    <n v="0"/>
    <n v="0"/>
    <n v="0"/>
    <n v="0"/>
    <n v="1.79"/>
    <n v="0"/>
    <n v="9"/>
    <n v="82.69"/>
    <n v="3.93"/>
    <n v="78.76"/>
    <n v="1"/>
  </r>
  <r>
    <s v="2021-06-19"/>
    <s v="Vancouver"/>
    <s v="加拿大二店"/>
    <x v="3"/>
    <x v="7"/>
    <x v="16"/>
    <x v="17"/>
    <x v="17"/>
    <s v="整份"/>
    <n v="4.95"/>
    <s v="份"/>
    <n v="20"/>
    <n v="99"/>
    <n v="0"/>
    <n v="0"/>
    <n v="0"/>
    <n v="0"/>
    <n v="0"/>
    <n v="0"/>
    <n v="0"/>
    <n v="0"/>
    <n v="4.15"/>
    <n v="0"/>
    <n v="20"/>
    <n v="99.59"/>
    <n v="4.74"/>
    <n v="94.85"/>
    <n v="1"/>
  </r>
  <r>
    <s v="2021-06-19"/>
    <s v="Vancouver"/>
    <s v="加拿大二店"/>
    <x v="2"/>
    <x v="4"/>
    <x v="17"/>
    <x v="18"/>
    <x v="18"/>
    <s v="冰镇"/>
    <n v="2.95"/>
    <s v="瓶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19"/>
    <s v="Vancouver"/>
    <s v="加拿大二店"/>
    <x v="2"/>
    <x v="4"/>
    <x v="18"/>
    <x v="19"/>
    <x v="19"/>
    <s v="冰镇"/>
    <n v="2.95"/>
    <s v="听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19"/>
    <s v="Vancouver"/>
    <s v="加拿大二店"/>
    <x v="1"/>
    <x v="8"/>
    <x v="19"/>
    <x v="20"/>
    <x v="20"/>
    <s v="整份"/>
    <n v="5.95"/>
    <s v="份"/>
    <n v="23"/>
    <n v="136.85"/>
    <n v="0"/>
    <n v="0"/>
    <n v="0"/>
    <n v="0"/>
    <n v="2"/>
    <n v="11.9"/>
    <n v="0"/>
    <n v="0"/>
    <n v="3.98"/>
    <n v="0"/>
    <n v="21"/>
    <n v="127.01"/>
    <n v="6.04"/>
    <n v="120.97"/>
    <n v="1"/>
  </r>
  <r>
    <s v="2021-06-19"/>
    <s v="Vancouver"/>
    <s v="加拿大二店"/>
    <x v="1"/>
    <x v="8"/>
    <x v="20"/>
    <x v="21"/>
    <x v="21"/>
    <s v="整份"/>
    <n v="7.95"/>
    <s v="份"/>
    <n v="10"/>
    <n v="79.5"/>
    <n v="1"/>
    <n v="7.95"/>
    <n v="0"/>
    <n v="0"/>
    <n v="0"/>
    <n v="0"/>
    <n v="0"/>
    <n v="0"/>
    <n v="4.77"/>
    <n v="0"/>
    <n v="9"/>
    <n v="70.11"/>
    <n v="3.33"/>
    <n v="66.78"/>
    <n v="1"/>
  </r>
  <r>
    <s v="2021-06-19"/>
    <s v="Vancouver"/>
    <s v="加拿大二店"/>
    <x v="2"/>
    <x v="4"/>
    <x v="21"/>
    <x v="22"/>
    <x v="22"/>
    <s v="常温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19"/>
    <s v="Vancouver"/>
    <s v="加拿大二店"/>
    <x v="2"/>
    <x v="4"/>
    <x v="21"/>
    <x v="22"/>
    <x v="22"/>
    <s v="冰镇"/>
    <n v="2.45"/>
    <s v="听"/>
    <n v="5"/>
    <n v="12.25"/>
    <n v="0"/>
    <n v="0"/>
    <n v="0"/>
    <n v="0"/>
    <n v="0"/>
    <n v="0"/>
    <n v="0"/>
    <n v="0"/>
    <n v="0"/>
    <n v="0"/>
    <n v="5"/>
    <n v="13.72"/>
    <n v="1.47"/>
    <n v="12.25"/>
    <n v="1"/>
  </r>
  <r>
    <s v="2021-06-19"/>
    <s v="Vancouver"/>
    <s v="加拿大二店"/>
    <x v="4"/>
    <x v="16"/>
    <x v="22"/>
    <x v="0"/>
    <x v="23"/>
    <s v="单锅"/>
    <n v="22.95"/>
    <s v="锅"/>
    <n v="1"/>
    <n v="22.95"/>
    <n v="0"/>
    <n v="0"/>
    <n v="0"/>
    <n v="0"/>
    <n v="0"/>
    <n v="0"/>
    <n v="0"/>
    <n v="0.02"/>
    <n v="0"/>
    <n v="0"/>
    <n v="1"/>
    <n v="24.3"/>
    <n v="1.37"/>
    <n v="22.93"/>
    <n v="4"/>
  </r>
  <r>
    <s v="2021-06-19"/>
    <s v="Vancouver"/>
    <s v="加拿大二店"/>
    <x v="4"/>
    <x v="9"/>
    <x v="22"/>
    <x v="0"/>
    <x v="23"/>
    <s v="拼锅"/>
    <n v="11.95"/>
    <s v="锅"/>
    <n v="1"/>
    <n v="11.95"/>
    <n v="0"/>
    <n v="0"/>
    <n v="0"/>
    <n v="0"/>
    <n v="0"/>
    <n v="0"/>
    <n v="0"/>
    <n v="0"/>
    <n v="0"/>
    <n v="0"/>
    <n v="1"/>
    <n v="12.66"/>
    <n v="0.71"/>
    <n v="11.95"/>
    <n v="2"/>
  </r>
  <r>
    <s v="2021-06-19"/>
    <s v="Vancouver"/>
    <s v="加拿大二店"/>
    <x v="4"/>
    <x v="10"/>
    <x v="22"/>
    <x v="0"/>
    <x v="23"/>
    <s v="四宫格"/>
    <n v="5.95"/>
    <s v="锅"/>
    <n v="6"/>
    <n v="35.7"/>
    <n v="0"/>
    <n v="0"/>
    <n v="0"/>
    <n v="0"/>
    <n v="0"/>
    <n v="0"/>
    <n v="0"/>
    <n v="0.01"/>
    <n v="0"/>
    <n v="0"/>
    <n v="6"/>
    <n v="37.83"/>
    <n v="2.14"/>
    <n v="35.69"/>
    <n v="1"/>
  </r>
  <r>
    <s v="2021-06-19"/>
    <s v="Vancouver"/>
    <s v="加拿大二店"/>
    <x v="3"/>
    <x v="7"/>
    <x v="23"/>
    <x v="23"/>
    <x v="24"/>
    <s v="整份"/>
    <n v="4.95"/>
    <s v="份"/>
    <n v="21"/>
    <n v="103.95"/>
    <n v="0"/>
    <n v="0"/>
    <n v="0"/>
    <n v="0"/>
    <n v="1"/>
    <n v="4.95"/>
    <n v="0"/>
    <n v="0"/>
    <n v="0"/>
    <n v="0"/>
    <n v="20"/>
    <n v="103.95"/>
    <n v="4.95"/>
    <n v="99"/>
    <n v="1"/>
  </r>
  <r>
    <s v="2021-06-19"/>
    <s v="Vancouver"/>
    <s v="加拿大二店"/>
    <x v="3"/>
    <x v="11"/>
    <x v="24"/>
    <x v="118"/>
    <x v="129"/>
    <s v="整份"/>
    <n v="5.95"/>
    <s v="份"/>
    <n v="8"/>
    <n v="47.6"/>
    <n v="0"/>
    <n v="0"/>
    <n v="0"/>
    <n v="0"/>
    <n v="0"/>
    <n v="0"/>
    <n v="0"/>
    <n v="-0.02"/>
    <n v="2.38"/>
    <n v="0"/>
    <n v="8"/>
    <n v="47.5"/>
    <n v="2.26"/>
    <n v="45.24"/>
    <n v="1"/>
  </r>
  <r>
    <s v="2021-06-19"/>
    <s v="Vancouver"/>
    <s v="加拿大二店"/>
    <x v="3"/>
    <x v="11"/>
    <x v="24"/>
    <x v="24"/>
    <x v="25"/>
    <s v="半份"/>
    <n v="2.95"/>
    <s v="份"/>
    <n v="4"/>
    <n v="11.8"/>
    <n v="0"/>
    <n v="0"/>
    <n v="0"/>
    <n v="0"/>
    <n v="0"/>
    <n v="0"/>
    <n v="0"/>
    <n v="0"/>
    <n v="2.12"/>
    <n v="0"/>
    <n v="4"/>
    <n v="10.16"/>
    <n v="0.48"/>
    <n v="9.68"/>
    <n v="0.5"/>
  </r>
  <r>
    <s v="2021-06-19"/>
    <s v="Vancouver"/>
    <s v="加拿大二店"/>
    <x v="3"/>
    <x v="5"/>
    <x v="25"/>
    <x v="25"/>
    <x v="26"/>
    <s v="整份"/>
    <n v="3.95"/>
    <s v="份"/>
    <n v="6"/>
    <n v="23.7"/>
    <n v="0"/>
    <n v="0"/>
    <n v="0"/>
    <n v="0"/>
    <n v="2"/>
    <n v="7.9"/>
    <n v="0"/>
    <n v="0"/>
    <n v="0.47"/>
    <n v="0"/>
    <n v="4"/>
    <n v="16.09"/>
    <n v="0.76"/>
    <n v="15.33"/>
    <n v="1"/>
  </r>
  <r>
    <s v="2021-06-19"/>
    <s v="Vancouver"/>
    <s v="加拿大二店"/>
    <x v="3"/>
    <x v="11"/>
    <x v="26"/>
    <x v="26"/>
    <x v="27"/>
    <s v="整份"/>
    <n v="4.95"/>
    <s v="份"/>
    <n v="18"/>
    <n v="89.1"/>
    <n v="0"/>
    <n v="0"/>
    <n v="0"/>
    <n v="0"/>
    <n v="2"/>
    <n v="9.9"/>
    <n v="0"/>
    <n v="0"/>
    <n v="3.56"/>
    <n v="0"/>
    <n v="16"/>
    <n v="79.42"/>
    <n v="3.78"/>
    <n v="75.64"/>
    <n v="1"/>
  </r>
  <r>
    <s v="2021-06-19"/>
    <s v="Vancouver"/>
    <s v="加拿大二店"/>
    <x v="3"/>
    <x v="11"/>
    <x v="26"/>
    <x v="27"/>
    <x v="28"/>
    <s v="半份"/>
    <n v="2.45"/>
    <s v="份"/>
    <n v="12"/>
    <n v="29.4"/>
    <n v="0"/>
    <n v="0"/>
    <n v="0"/>
    <n v="0"/>
    <n v="1"/>
    <n v="2.45"/>
    <n v="0"/>
    <n v="0"/>
    <n v="2.2"/>
    <n v="0"/>
    <n v="11"/>
    <n v="25.98"/>
    <n v="1.23"/>
    <n v="24.75"/>
    <n v="0.5"/>
  </r>
  <r>
    <s v="2021-06-19"/>
    <s v="Vancouver"/>
    <s v="加拿大二店"/>
    <x v="5"/>
    <x v="12"/>
    <x v="27"/>
    <x v="28"/>
    <x v="29"/>
    <s v="整份"/>
    <n v="7.95"/>
    <s v="份"/>
    <n v="11"/>
    <n v="87.45"/>
    <n v="0"/>
    <n v="0"/>
    <n v="0"/>
    <n v="0"/>
    <n v="3"/>
    <n v="23.85"/>
    <n v="0"/>
    <n v="0"/>
    <n v="0"/>
    <n v="0"/>
    <n v="8"/>
    <n v="66.78"/>
    <n v="3.18"/>
    <n v="63.6"/>
    <n v="1"/>
  </r>
  <r>
    <s v="2021-06-19"/>
    <s v="Vancouver"/>
    <s v="加拿大二店"/>
    <x v="3"/>
    <x v="7"/>
    <x v="28"/>
    <x v="29"/>
    <x v="30"/>
    <s v="整份"/>
    <n v="4.95"/>
    <s v="份"/>
    <n v="22"/>
    <n v="108.9"/>
    <n v="0"/>
    <n v="0"/>
    <n v="0"/>
    <n v="0"/>
    <n v="0"/>
    <n v="0"/>
    <n v="0"/>
    <n v="0"/>
    <n v="7.46"/>
    <n v="0"/>
    <n v="22"/>
    <n v="106.51"/>
    <n v="5.07"/>
    <n v="101.44"/>
    <n v="1"/>
  </r>
  <r>
    <s v="2021-06-19"/>
    <s v="Vancouver"/>
    <s v="加拿大二店"/>
    <x v="3"/>
    <x v="5"/>
    <x v="29"/>
    <x v="30"/>
    <x v="31"/>
    <s v="整份"/>
    <n v="3.95"/>
    <s v="份"/>
    <n v="15"/>
    <n v="59.25"/>
    <n v="0"/>
    <n v="0"/>
    <n v="0"/>
    <n v="0"/>
    <n v="0"/>
    <n v="0"/>
    <n v="0"/>
    <n v="0"/>
    <n v="3.16"/>
    <n v="0"/>
    <n v="15"/>
    <n v="58.89"/>
    <n v="2.8"/>
    <n v="56.09"/>
    <n v="1"/>
  </r>
  <r>
    <s v="2021-06-19"/>
    <s v="Vancouver"/>
    <s v="加拿大二店"/>
    <x v="6"/>
    <x v="13"/>
    <x v="30"/>
    <x v="31"/>
    <x v="32"/>
    <s v="整份"/>
    <n v="4.95"/>
    <s v="份"/>
    <n v="12"/>
    <n v="59.4"/>
    <n v="0"/>
    <n v="0"/>
    <n v="0"/>
    <n v="0"/>
    <n v="0"/>
    <n v="0"/>
    <n v="0"/>
    <n v="0"/>
    <n v="0"/>
    <n v="0"/>
    <n v="12"/>
    <n v="62.37"/>
    <n v="2.97"/>
    <n v="59.4"/>
    <n v="1"/>
  </r>
  <r>
    <s v="2021-06-19"/>
    <s v="Vancouver"/>
    <s v="加拿大二店"/>
    <x v="6"/>
    <x v="13"/>
    <x v="31"/>
    <x v="32"/>
    <x v="33"/>
    <s v="整份"/>
    <n v="9.95"/>
    <s v="份"/>
    <n v="8"/>
    <n v="79.6"/>
    <n v="0"/>
    <n v="0"/>
    <n v="0"/>
    <n v="0"/>
    <n v="0"/>
    <n v="0"/>
    <n v="0"/>
    <n v="0"/>
    <n v="0"/>
    <n v="0"/>
    <n v="8"/>
    <n v="83.58"/>
    <n v="3.98"/>
    <n v="79.6"/>
    <n v="1"/>
  </r>
  <r>
    <s v="2021-06-19"/>
    <s v="Vancouver"/>
    <s v="加拿大二店"/>
    <x v="5"/>
    <x v="12"/>
    <x v="32"/>
    <x v="33"/>
    <x v="34"/>
    <s v="整份"/>
    <n v="17.85"/>
    <s v="份"/>
    <n v="3"/>
    <n v="53.55"/>
    <n v="0"/>
    <n v="0"/>
    <n v="0"/>
    <n v="0"/>
    <n v="0"/>
    <n v="0"/>
    <n v="0"/>
    <n v="0"/>
    <n v="0"/>
    <n v="0"/>
    <n v="3"/>
    <n v="56.22"/>
    <n v="2.67"/>
    <n v="53.55"/>
    <n v="1"/>
  </r>
  <r>
    <s v="2021-06-19"/>
    <s v="Vancouver"/>
    <s v="加拿大二店"/>
    <x v="1"/>
    <x v="3"/>
    <x v="33"/>
    <x v="34"/>
    <x v="35"/>
    <s v="整份"/>
    <n v="11.95"/>
    <s v="份"/>
    <n v="30"/>
    <n v="358.5"/>
    <n v="0"/>
    <n v="0"/>
    <n v="0"/>
    <n v="0"/>
    <n v="1"/>
    <n v="11.95"/>
    <n v="0"/>
    <n v="0.01"/>
    <n v="23.53"/>
    <n v="0"/>
    <n v="29"/>
    <n v="339.16"/>
    <n v="16.15"/>
    <n v="323.01"/>
    <n v="1"/>
  </r>
  <r>
    <s v="2021-06-19"/>
    <s v="Vancouver"/>
    <s v="加拿大二店"/>
    <x v="5"/>
    <x v="12"/>
    <x v="34"/>
    <x v="35"/>
    <x v="36"/>
    <s v="整份"/>
    <n v="11.95"/>
    <s v="份"/>
    <n v="10"/>
    <n v="119.5"/>
    <n v="1"/>
    <n v="11.95"/>
    <n v="0"/>
    <n v="0"/>
    <n v="0"/>
    <n v="0"/>
    <n v="0"/>
    <n v="0"/>
    <n v="4.78"/>
    <n v="0"/>
    <n v="9"/>
    <n v="107.9"/>
    <n v="5.13"/>
    <n v="102.77"/>
    <n v="1"/>
  </r>
  <r>
    <s v="2021-06-19"/>
    <s v="Vancouver"/>
    <s v="加拿大二店"/>
    <x v="5"/>
    <x v="12"/>
    <x v="35"/>
    <x v="36"/>
    <x v="37"/>
    <s v="条"/>
    <n v="4.95"/>
    <s v="条"/>
    <n v="25"/>
    <n v="123.75"/>
    <n v="0"/>
    <n v="0"/>
    <n v="0"/>
    <n v="0"/>
    <n v="4"/>
    <n v="19.8"/>
    <n v="0"/>
    <n v="-0.02"/>
    <n v="1.87"/>
    <n v="0"/>
    <n v="21"/>
    <n v="107.2"/>
    <n v="5.1"/>
    <n v="102.1"/>
    <n v="1"/>
  </r>
  <r>
    <s v="2021-06-19"/>
    <s v="Vancouver"/>
    <s v="加拿大二店"/>
    <x v="5"/>
    <x v="12"/>
    <x v="36"/>
    <x v="37"/>
    <x v="38"/>
    <s v="整份"/>
    <n v="13.95"/>
    <s v="份"/>
    <n v="27"/>
    <n v="376.65"/>
    <n v="0"/>
    <n v="0"/>
    <n v="0"/>
    <n v="0"/>
    <n v="0"/>
    <n v="0"/>
    <n v="0"/>
    <n v="0"/>
    <n v="26.77"/>
    <n v="0"/>
    <n v="27"/>
    <n v="367.37"/>
    <n v="17.49"/>
    <n v="349.88"/>
    <n v="1"/>
  </r>
  <r>
    <s v="2021-06-19"/>
    <s v="Vancouver"/>
    <s v="加拿大二店"/>
    <x v="5"/>
    <x v="12"/>
    <x v="37"/>
    <x v="38"/>
    <x v="39"/>
    <s v="整份"/>
    <n v="9.95"/>
    <s v="份"/>
    <n v="21"/>
    <n v="208.95"/>
    <n v="0"/>
    <n v="0"/>
    <n v="0"/>
    <n v="0"/>
    <n v="0"/>
    <n v="0"/>
    <n v="0"/>
    <n v="0"/>
    <n v="10.64"/>
    <n v="0"/>
    <n v="21"/>
    <n v="208.22"/>
    <n v="9.91"/>
    <n v="198.31"/>
    <n v="1"/>
  </r>
  <r>
    <s v="2021-06-19"/>
    <s v="Vancouver"/>
    <s v="加拿大二店"/>
    <x v="5"/>
    <x v="12"/>
    <x v="38"/>
    <x v="39"/>
    <x v="40"/>
    <s v="整份"/>
    <n v="9.95"/>
    <s v="份"/>
    <n v="8"/>
    <n v="79.6"/>
    <n v="0"/>
    <n v="0"/>
    <n v="0"/>
    <n v="0"/>
    <n v="0"/>
    <n v="0"/>
    <n v="0"/>
    <n v="0"/>
    <n v="5.97"/>
    <n v="0"/>
    <n v="8"/>
    <n v="77.31"/>
    <n v="3.68"/>
    <n v="73.63"/>
    <n v="1"/>
  </r>
  <r>
    <s v="2021-06-19"/>
    <s v="Vancouver"/>
    <s v="加拿大二店"/>
    <x v="6"/>
    <x v="13"/>
    <x v="39"/>
    <x v="40"/>
    <x v="41"/>
    <s v="整份"/>
    <n v="8.95"/>
    <s v="份"/>
    <n v="22"/>
    <n v="196.9"/>
    <n v="0"/>
    <n v="0"/>
    <n v="0"/>
    <n v="0"/>
    <n v="4"/>
    <n v="35.8"/>
    <n v="0"/>
    <n v="0"/>
    <n v="2.59"/>
    <n v="0"/>
    <n v="18"/>
    <n v="166.43"/>
    <n v="7.92"/>
    <n v="158.51"/>
    <n v="1"/>
  </r>
  <r>
    <s v="2021-06-19"/>
    <s v="Vancouver"/>
    <s v="加拿大二店"/>
    <x v="5"/>
    <x v="12"/>
    <x v="40"/>
    <x v="41"/>
    <x v="42"/>
    <s v="整份"/>
    <n v="9.95"/>
    <s v="份"/>
    <n v="10"/>
    <n v="99.5"/>
    <n v="0"/>
    <n v="0"/>
    <n v="0"/>
    <n v="0"/>
    <n v="0"/>
    <n v="0"/>
    <n v="0"/>
    <n v="0.02"/>
    <n v="7.96"/>
    <n v="0"/>
    <n v="10"/>
    <n v="96.09"/>
    <n v="4.57"/>
    <n v="91.52"/>
    <n v="1"/>
  </r>
  <r>
    <s v="2021-06-19"/>
    <s v="Vancouver"/>
    <s v="加拿大二店"/>
    <x v="1"/>
    <x v="6"/>
    <x v="131"/>
    <x v="125"/>
    <x v="136"/>
    <s v="整份"/>
    <n v="28.95"/>
    <s v="份"/>
    <n v="3"/>
    <n v="86.85"/>
    <n v="0"/>
    <n v="0"/>
    <n v="0"/>
    <n v="0"/>
    <n v="0"/>
    <n v="0"/>
    <n v="0"/>
    <n v="-0.01"/>
    <n v="9.26"/>
    <n v="0"/>
    <n v="3"/>
    <n v="82.25"/>
    <n v="4.65"/>
    <n v="77.6"/>
    <n v="1"/>
  </r>
  <r>
    <s v="2021-06-19"/>
    <s v="Vancouver"/>
    <s v="加拿大二店"/>
    <x v="5"/>
    <x v="12"/>
    <x v="41"/>
    <x v="42"/>
    <x v="43"/>
    <s v="整份"/>
    <n v="7.95"/>
    <s v="份"/>
    <n v="19"/>
    <n v="151.05"/>
    <n v="0"/>
    <n v="0"/>
    <n v="0"/>
    <n v="0"/>
    <n v="1"/>
    <n v="7.95"/>
    <n v="0"/>
    <n v="0"/>
    <n v="9.05"/>
    <n v="0"/>
    <n v="18"/>
    <n v="140.75"/>
    <n v="6.7"/>
    <n v="134.05"/>
    <n v="1"/>
  </r>
  <r>
    <s v="2021-06-19"/>
    <s v="Vancouver"/>
    <s v="加拿大二店"/>
    <x v="2"/>
    <x v="21"/>
    <x v="135"/>
    <x v="129"/>
    <x v="140"/>
    <s v="瓶"/>
    <n v="21.95"/>
    <s v="瓶"/>
    <n v="1"/>
    <n v="21.95"/>
    <n v="0"/>
    <n v="0"/>
    <n v="0"/>
    <n v="0"/>
    <n v="0"/>
    <n v="0"/>
    <n v="0"/>
    <n v="0"/>
    <n v="0"/>
    <n v="0"/>
    <n v="1"/>
    <n v="25.24"/>
    <n v="3.29"/>
    <n v="21.95"/>
    <n v="1"/>
  </r>
  <r>
    <s v="2021-06-19"/>
    <s v="Vancouver"/>
    <s v="加拿大二店"/>
    <x v="3"/>
    <x v="5"/>
    <x v="43"/>
    <x v="44"/>
    <x v="45"/>
    <s v="整份"/>
    <n v="3.95"/>
    <s v="份"/>
    <n v="12"/>
    <n v="47.4"/>
    <n v="0"/>
    <n v="0"/>
    <n v="0"/>
    <n v="0"/>
    <n v="0"/>
    <n v="0"/>
    <n v="0"/>
    <n v="0"/>
    <n v="4.3"/>
    <n v="0"/>
    <n v="12"/>
    <n v="45.25"/>
    <n v="2.15"/>
    <n v="43.1"/>
    <n v="1"/>
  </r>
  <r>
    <s v="2021-06-19"/>
    <s v="Vancouver"/>
    <s v="加拿大二店"/>
    <x v="7"/>
    <x v="14"/>
    <x v="44"/>
    <x v="45"/>
    <x v="46"/>
    <s v="整份"/>
    <n v="0"/>
    <s v="份"/>
    <n v="22"/>
    <n v="0"/>
    <n v="0"/>
    <n v="0"/>
    <n v="0"/>
    <n v="0"/>
    <n v="0"/>
    <n v="0"/>
    <n v="0"/>
    <n v="0"/>
    <n v="0"/>
    <n v="0"/>
    <n v="22"/>
    <n v="0"/>
    <n v="0"/>
    <n v="0"/>
    <n v="1"/>
  </r>
  <r>
    <s v="2021-06-19"/>
    <s v="Vancouver"/>
    <s v="加拿大二店"/>
    <x v="7"/>
    <x v="14"/>
    <x v="45"/>
    <x v="46"/>
    <x v="47"/>
    <s v="整份"/>
    <n v="0.01"/>
    <s v="份"/>
    <n v="1"/>
    <n v="0.01"/>
    <n v="1"/>
    <n v="0.01"/>
    <n v="0"/>
    <n v="0"/>
    <n v="0"/>
    <n v="0"/>
    <n v="0"/>
    <n v="0"/>
    <n v="0"/>
    <n v="0"/>
    <n v="0"/>
    <n v="0"/>
    <n v="0"/>
    <n v="0"/>
    <n v="1"/>
  </r>
  <r>
    <s v="2021-06-19"/>
    <s v="Vancouver"/>
    <s v="加拿大二店"/>
    <x v="7"/>
    <x v="14"/>
    <x v="45"/>
    <x v="46"/>
    <x v="47"/>
    <s v="整份"/>
    <n v="4.5"/>
    <s v="份"/>
    <n v="1"/>
    <n v="4.5"/>
    <n v="0"/>
    <n v="0"/>
    <n v="0"/>
    <n v="0"/>
    <n v="0"/>
    <n v="0"/>
    <n v="0"/>
    <n v="0"/>
    <n v="0"/>
    <n v="0"/>
    <n v="1"/>
    <n v="4.72"/>
    <n v="0.22"/>
    <n v="4.5"/>
    <n v="1"/>
  </r>
  <r>
    <s v="2021-06-19"/>
    <s v="Vancouver"/>
    <s v="加拿大二店"/>
    <x v="7"/>
    <x v="14"/>
    <x v="45"/>
    <x v="46"/>
    <x v="47"/>
    <s v="整份"/>
    <n v="4.98"/>
    <s v="份"/>
    <n v="1"/>
    <n v="4.98"/>
    <n v="0"/>
    <n v="0"/>
    <n v="0"/>
    <n v="0"/>
    <n v="0"/>
    <n v="0"/>
    <n v="0"/>
    <n v="0"/>
    <n v="0"/>
    <n v="0"/>
    <n v="1"/>
    <n v="5.22"/>
    <n v="0.24"/>
    <n v="4.98"/>
    <n v="1"/>
  </r>
  <r>
    <s v="2021-06-19"/>
    <s v="Vancouver"/>
    <s v="加拿大二店"/>
    <x v="7"/>
    <x v="14"/>
    <x v="45"/>
    <x v="46"/>
    <x v="47"/>
    <s v="整份"/>
    <n v="12.99"/>
    <s v="份"/>
    <n v="6"/>
    <n v="77.94"/>
    <n v="0"/>
    <n v="0"/>
    <n v="0"/>
    <n v="0"/>
    <n v="0"/>
    <n v="0"/>
    <n v="0"/>
    <n v="-0.02"/>
    <n v="0"/>
    <n v="0"/>
    <n v="6"/>
    <n v="81.85"/>
    <n v="3.89"/>
    <n v="77.96"/>
    <n v="1"/>
  </r>
  <r>
    <s v="2021-06-19"/>
    <s v="Vancouver"/>
    <s v="加拿大二店"/>
    <x v="7"/>
    <x v="14"/>
    <x v="45"/>
    <x v="46"/>
    <x v="47"/>
    <s v="整份"/>
    <n v="14.95"/>
    <s v="份"/>
    <n v="1"/>
    <n v="14.95"/>
    <n v="0"/>
    <n v="0"/>
    <n v="0"/>
    <n v="0"/>
    <n v="0"/>
    <n v="0"/>
    <n v="0"/>
    <n v="0"/>
    <n v="0"/>
    <n v="0"/>
    <n v="1"/>
    <n v="15.69"/>
    <n v="0.74"/>
    <n v="14.95"/>
    <n v="1"/>
  </r>
  <r>
    <s v="2021-06-19"/>
    <s v="Vancouver"/>
    <s v="加拿大二店"/>
    <x v="7"/>
    <x v="14"/>
    <x v="45"/>
    <x v="46"/>
    <x v="47"/>
    <s v="整份"/>
    <n v="24.97"/>
    <s v="份"/>
    <n v="2"/>
    <n v="49.94"/>
    <n v="0"/>
    <n v="0"/>
    <n v="0"/>
    <n v="0"/>
    <n v="0"/>
    <n v="0"/>
    <n v="0"/>
    <n v="0"/>
    <n v="0"/>
    <n v="0"/>
    <n v="2"/>
    <n v="52.43"/>
    <n v="2.49"/>
    <n v="49.94"/>
    <n v="1"/>
  </r>
  <r>
    <s v="2021-06-19"/>
    <s v="Vancouver"/>
    <s v="加拿大二店"/>
    <x v="7"/>
    <x v="14"/>
    <x v="45"/>
    <x v="46"/>
    <x v="47"/>
    <s v="整份"/>
    <n v="28.72"/>
    <s v="份"/>
    <n v="1"/>
    <n v="28.72"/>
    <n v="0"/>
    <n v="0"/>
    <n v="0"/>
    <n v="0"/>
    <n v="0"/>
    <n v="0"/>
    <n v="0"/>
    <n v="0.02"/>
    <n v="0"/>
    <n v="0"/>
    <n v="1"/>
    <n v="30.13"/>
    <n v="1.43"/>
    <n v="28.7"/>
    <n v="1"/>
  </r>
  <r>
    <s v="2021-06-19"/>
    <s v="Vancouver"/>
    <s v="加拿大二店"/>
    <x v="7"/>
    <x v="14"/>
    <x v="45"/>
    <x v="46"/>
    <x v="47"/>
    <s v="整份"/>
    <n v="28.95"/>
    <s v="份"/>
    <n v="2"/>
    <n v="57.9"/>
    <n v="0"/>
    <n v="0"/>
    <n v="0"/>
    <n v="0"/>
    <n v="0"/>
    <n v="0"/>
    <n v="0"/>
    <n v="-0.02"/>
    <n v="0"/>
    <n v="0"/>
    <n v="2"/>
    <n v="60.81"/>
    <n v="2.89"/>
    <n v="57.92"/>
    <n v="1"/>
  </r>
  <r>
    <s v="2021-06-19"/>
    <s v="Vancouver"/>
    <s v="加拿大二店"/>
    <x v="7"/>
    <x v="14"/>
    <x v="45"/>
    <x v="46"/>
    <x v="47"/>
    <s v="整份"/>
    <n v="29.95"/>
    <s v="份"/>
    <n v="1"/>
    <n v="29.95"/>
    <n v="0"/>
    <n v="0"/>
    <n v="0"/>
    <n v="0"/>
    <n v="0"/>
    <n v="0"/>
    <n v="0"/>
    <n v="0"/>
    <n v="0"/>
    <n v="0"/>
    <n v="1"/>
    <n v="31.44"/>
    <n v="1.49"/>
    <n v="29.95"/>
    <n v="1"/>
  </r>
  <r>
    <s v="2021-06-19"/>
    <s v="Vancouver"/>
    <s v="加拿大二店"/>
    <x v="7"/>
    <x v="14"/>
    <x v="45"/>
    <x v="46"/>
    <x v="47"/>
    <s v="整份"/>
    <n v="44.95"/>
    <s v="份"/>
    <n v="1"/>
    <n v="44.95"/>
    <n v="0"/>
    <n v="0"/>
    <n v="0"/>
    <n v="0"/>
    <n v="0"/>
    <n v="0"/>
    <n v="0"/>
    <n v="0.02"/>
    <n v="0"/>
    <n v="0"/>
    <n v="1"/>
    <n v="47.17"/>
    <n v="2.24"/>
    <n v="44.93"/>
    <n v="1"/>
  </r>
  <r>
    <s v="2021-06-19"/>
    <s v="Vancouver"/>
    <s v="加拿大二店"/>
    <x v="7"/>
    <x v="14"/>
    <x v="45"/>
    <x v="46"/>
    <x v="47"/>
    <s v="整份"/>
    <n v="49.94"/>
    <s v="份"/>
    <n v="2"/>
    <n v="99.88"/>
    <n v="0"/>
    <n v="0"/>
    <n v="0"/>
    <n v="0"/>
    <n v="0"/>
    <n v="0"/>
    <n v="0"/>
    <n v="0"/>
    <n v="4.44"/>
    <n v="0"/>
    <n v="2"/>
    <n v="100.21"/>
    <n v="4.77"/>
    <n v="95.44"/>
    <n v="1"/>
  </r>
  <r>
    <s v="2021-06-19"/>
    <s v="Vancouver"/>
    <s v="加拿大二店"/>
    <x v="7"/>
    <x v="14"/>
    <x v="45"/>
    <x v="46"/>
    <x v="47"/>
    <s v="整份"/>
    <n v="59.95"/>
    <s v="份"/>
    <n v="1"/>
    <n v="59.95"/>
    <n v="0"/>
    <n v="0"/>
    <n v="0"/>
    <n v="0"/>
    <n v="0"/>
    <n v="0"/>
    <n v="0"/>
    <n v="-0.02"/>
    <n v="0"/>
    <n v="0"/>
    <n v="1"/>
    <n v="62.96"/>
    <n v="2.99"/>
    <n v="59.97"/>
    <n v="1"/>
  </r>
  <r>
    <s v="2021-06-19"/>
    <s v="Vancouver"/>
    <s v="加拿大二店"/>
    <x v="7"/>
    <x v="14"/>
    <x v="45"/>
    <x v="46"/>
    <x v="47"/>
    <s v="整份"/>
    <n v="67.65"/>
    <s v="份"/>
    <n v="1"/>
    <n v="67.65"/>
    <n v="0"/>
    <n v="0"/>
    <n v="0"/>
    <n v="0"/>
    <n v="0"/>
    <n v="0"/>
    <n v="0"/>
    <n v="0.02"/>
    <n v="0"/>
    <n v="0"/>
    <n v="1"/>
    <n v="71.01"/>
    <n v="3.38"/>
    <n v="67.63"/>
    <n v="1"/>
  </r>
  <r>
    <s v="2021-06-19"/>
    <s v="Vancouver"/>
    <s v="加拿大二店"/>
    <x v="7"/>
    <x v="14"/>
    <x v="45"/>
    <x v="46"/>
    <x v="47"/>
    <s v="整份"/>
    <n v="89.95"/>
    <s v="份"/>
    <n v="1"/>
    <n v="89.95"/>
    <n v="0"/>
    <n v="0"/>
    <n v="0"/>
    <n v="0"/>
    <n v="0"/>
    <n v="0"/>
    <n v="0"/>
    <n v="0.01"/>
    <n v="0"/>
    <n v="0"/>
    <n v="1"/>
    <n v="94.43"/>
    <n v="4.49"/>
    <n v="89.94"/>
    <n v="1"/>
  </r>
  <r>
    <s v="2021-06-19"/>
    <s v="Vancouver"/>
    <s v="加拿大二店"/>
    <x v="7"/>
    <x v="14"/>
    <x v="45"/>
    <x v="46"/>
    <x v="47"/>
    <s v="整份"/>
    <n v="98"/>
    <s v="份"/>
    <n v="1"/>
    <n v="98"/>
    <n v="0"/>
    <n v="0"/>
    <n v="0"/>
    <n v="0"/>
    <n v="0"/>
    <n v="0"/>
    <n v="0"/>
    <n v="-0.01"/>
    <n v="0"/>
    <n v="0"/>
    <n v="1"/>
    <n v="102.91"/>
    <n v="4.9"/>
    <n v="98.01"/>
    <n v="1"/>
  </r>
  <r>
    <s v="2021-06-19"/>
    <s v="Vancouver"/>
    <s v="加拿大二店"/>
    <x v="2"/>
    <x v="4"/>
    <x v="46"/>
    <x v="47"/>
    <x v="48"/>
    <s v="冰镇"/>
    <n v="2.45"/>
    <s v="听"/>
    <n v="3"/>
    <n v="7.35"/>
    <n v="0"/>
    <n v="0"/>
    <n v="0"/>
    <n v="0"/>
    <n v="0"/>
    <n v="0"/>
    <n v="0"/>
    <n v="0"/>
    <n v="0"/>
    <n v="0"/>
    <n v="3"/>
    <n v="8.23"/>
    <n v="0.88"/>
    <n v="7.35"/>
    <n v="1"/>
  </r>
  <r>
    <s v="2021-06-19"/>
    <s v="Vancouver"/>
    <s v="加拿大二店"/>
    <x v="2"/>
    <x v="4"/>
    <x v="47"/>
    <x v="48"/>
    <x v="49"/>
    <s v="冰镇"/>
    <n v="2.95"/>
    <s v="听"/>
    <n v="4"/>
    <n v="11.8"/>
    <n v="0"/>
    <n v="0"/>
    <n v="0"/>
    <n v="0"/>
    <n v="0"/>
    <n v="0"/>
    <n v="0"/>
    <n v="0"/>
    <n v="0"/>
    <n v="0"/>
    <n v="4"/>
    <n v="13.21"/>
    <n v="1.41"/>
    <n v="11.8"/>
    <n v="1"/>
  </r>
  <r>
    <s v="2021-06-19"/>
    <s v="Vancouver"/>
    <s v="加拿大二店"/>
    <x v="6"/>
    <x v="13"/>
    <x v="48"/>
    <x v="49"/>
    <x v="50"/>
    <s v="整份"/>
    <n v="4.95"/>
    <s v="份"/>
    <n v="18"/>
    <n v="89.1"/>
    <n v="0"/>
    <n v="0"/>
    <n v="0"/>
    <n v="0"/>
    <n v="0"/>
    <n v="0"/>
    <n v="0"/>
    <n v="0.02"/>
    <n v="5.98"/>
    <n v="0"/>
    <n v="18"/>
    <n v="87.25"/>
    <n v="4.15"/>
    <n v="83.1"/>
    <n v="1"/>
  </r>
  <r>
    <s v="2021-06-19"/>
    <s v="Vancouver"/>
    <s v="加拿大二店"/>
    <x v="3"/>
    <x v="7"/>
    <x v="49"/>
    <x v="50"/>
    <x v="51"/>
    <s v="整份"/>
    <n v="4.95"/>
    <s v="份"/>
    <n v="4"/>
    <n v="19.8"/>
    <n v="1"/>
    <n v="4.95"/>
    <n v="0"/>
    <n v="0"/>
    <n v="0"/>
    <n v="0"/>
    <n v="0"/>
    <n v="0"/>
    <n v="0.99"/>
    <n v="0"/>
    <n v="3"/>
    <n v="14.55"/>
    <n v="0.69"/>
    <n v="13.86"/>
    <n v="1"/>
  </r>
  <r>
    <s v="2021-06-19"/>
    <s v="Vancouver"/>
    <s v="加拿大二店"/>
    <x v="1"/>
    <x v="6"/>
    <x v="113"/>
    <x v="107"/>
    <x v="117"/>
    <s v="整份"/>
    <n v="28.95"/>
    <s v="份"/>
    <n v="2"/>
    <n v="57.9"/>
    <n v="0"/>
    <n v="0"/>
    <n v="0"/>
    <n v="0"/>
    <n v="0"/>
    <n v="0"/>
    <n v="0"/>
    <n v="-0.03"/>
    <n v="0"/>
    <n v="0"/>
    <n v="2"/>
    <n v="60.82"/>
    <n v="2.89"/>
    <n v="57.93"/>
    <n v="1"/>
  </r>
  <r>
    <s v="2021-06-19"/>
    <s v="Vancouver"/>
    <s v="加拿大二店"/>
    <x v="3"/>
    <x v="5"/>
    <x v="51"/>
    <x v="52"/>
    <x v="53"/>
    <s v="整份"/>
    <n v="3.95"/>
    <s v="份"/>
    <n v="14"/>
    <n v="55.3"/>
    <n v="0"/>
    <n v="0"/>
    <n v="0"/>
    <n v="0"/>
    <n v="0"/>
    <n v="0"/>
    <n v="0"/>
    <n v="0"/>
    <n v="4.07"/>
    <n v="0"/>
    <n v="14"/>
    <n v="53.79"/>
    <n v="2.56"/>
    <n v="51.23"/>
    <n v="1"/>
  </r>
  <r>
    <s v="2021-06-19"/>
    <s v="Vancouver"/>
    <s v="加拿大二店"/>
    <x v="3"/>
    <x v="5"/>
    <x v="52"/>
    <x v="53"/>
    <x v="54"/>
    <s v="整份"/>
    <n v="5.95"/>
    <s v="份"/>
    <n v="6"/>
    <n v="35.7"/>
    <n v="0"/>
    <n v="0"/>
    <n v="0"/>
    <n v="0"/>
    <n v="0"/>
    <n v="0"/>
    <n v="0"/>
    <n v="0.02"/>
    <n v="2.97"/>
    <n v="0"/>
    <n v="6"/>
    <n v="34.34"/>
    <n v="1.63"/>
    <n v="32.71"/>
    <n v="1"/>
  </r>
  <r>
    <s v="2021-06-19"/>
    <s v="Vancouver"/>
    <s v="加拿大二店"/>
    <x v="4"/>
    <x v="9"/>
    <x v="53"/>
    <x v="0"/>
    <x v="55"/>
    <s v="拼锅"/>
    <n v="0"/>
    <s v="锅"/>
    <n v="12"/>
    <n v="0"/>
    <n v="0"/>
    <n v="0"/>
    <n v="0"/>
    <n v="0"/>
    <n v="2"/>
    <n v="0"/>
    <n v="0"/>
    <n v="-0.02"/>
    <n v="0.01"/>
    <n v="0"/>
    <n v="10"/>
    <n v="0.01"/>
    <n v="0"/>
    <n v="0.01"/>
    <n v="2"/>
  </r>
  <r>
    <s v="2021-06-19"/>
    <s v="Vancouver"/>
    <s v="加拿大二店"/>
    <x v="4"/>
    <x v="10"/>
    <x v="53"/>
    <x v="0"/>
    <x v="55"/>
    <s v="四宫格"/>
    <n v="0"/>
    <s v="锅"/>
    <n v="13"/>
    <n v="0"/>
    <n v="0"/>
    <n v="0"/>
    <n v="0"/>
    <n v="0"/>
    <n v="2"/>
    <n v="0"/>
    <n v="0"/>
    <n v="0"/>
    <n v="0"/>
    <n v="0"/>
    <n v="11"/>
    <n v="0"/>
    <n v="0"/>
    <n v="0"/>
    <n v="1"/>
  </r>
  <r>
    <s v="2021-06-19"/>
    <s v="Vancouver"/>
    <s v="加拿大二店"/>
    <x v="6"/>
    <x v="13"/>
    <x v="54"/>
    <x v="54"/>
    <x v="56"/>
    <s v="个"/>
    <n v="1.95"/>
    <s v="个"/>
    <n v="14"/>
    <n v="27.3"/>
    <n v="0"/>
    <n v="0"/>
    <n v="0"/>
    <n v="0"/>
    <n v="4"/>
    <n v="7.8"/>
    <n v="0"/>
    <n v="0"/>
    <n v="0"/>
    <n v="0"/>
    <n v="10"/>
    <n v="20.47"/>
    <n v="0.97"/>
    <n v="19.5"/>
    <n v="1"/>
  </r>
  <r>
    <s v="2021-06-19"/>
    <s v="Vancouver"/>
    <s v="加拿大二店"/>
    <x v="6"/>
    <x v="13"/>
    <x v="114"/>
    <x v="108"/>
    <x v="118"/>
    <s v="整份"/>
    <n v="7.95"/>
    <s v="份"/>
    <n v="6"/>
    <n v="47.7"/>
    <n v="0"/>
    <n v="0"/>
    <n v="0"/>
    <n v="0"/>
    <n v="0"/>
    <n v="0"/>
    <n v="0"/>
    <n v="0.02"/>
    <n v="0"/>
    <n v="0"/>
    <n v="6"/>
    <n v="50.06"/>
    <n v="2.38"/>
    <n v="47.68"/>
    <n v="1"/>
  </r>
  <r>
    <s v="2021-06-19"/>
    <s v="Vancouver"/>
    <s v="加拿大二店"/>
    <x v="2"/>
    <x v="21"/>
    <x v="136"/>
    <x v="130"/>
    <x v="141"/>
    <s v="小瓶"/>
    <n v="10.95"/>
    <s v="小瓶"/>
    <n v="3"/>
    <n v="32.85"/>
    <n v="0"/>
    <n v="0"/>
    <n v="0"/>
    <n v="0"/>
    <n v="0"/>
    <n v="0"/>
    <n v="0"/>
    <n v="0"/>
    <n v="0"/>
    <n v="0"/>
    <n v="3"/>
    <n v="37.77"/>
    <n v="4.92"/>
    <n v="32.85"/>
    <n v="1"/>
  </r>
  <r>
    <s v="2021-06-19"/>
    <s v="Vancouver"/>
    <s v="加拿大二店"/>
    <x v="1"/>
    <x v="8"/>
    <x v="55"/>
    <x v="55"/>
    <x v="57"/>
    <s v="整份"/>
    <n v="9.95"/>
    <s v="份"/>
    <n v="21"/>
    <n v="208.95"/>
    <n v="0"/>
    <n v="0"/>
    <n v="0"/>
    <n v="0"/>
    <n v="3"/>
    <n v="29.85"/>
    <n v="0"/>
    <n v="0"/>
    <n v="10.44"/>
    <n v="0"/>
    <n v="18"/>
    <n v="177.09"/>
    <n v="8.43"/>
    <n v="168.66"/>
    <n v="1"/>
  </r>
  <r>
    <s v="2021-06-19"/>
    <s v="Vancouver"/>
    <s v="加拿大二店"/>
    <x v="1"/>
    <x v="1"/>
    <x v="56"/>
    <x v="56"/>
    <x v="58"/>
    <s v="整份"/>
    <n v="12.95"/>
    <s v="份"/>
    <n v="13"/>
    <n v="168.35"/>
    <n v="0"/>
    <n v="0"/>
    <n v="0"/>
    <n v="0"/>
    <n v="0"/>
    <n v="0"/>
    <n v="0"/>
    <n v="0"/>
    <n v="9.71"/>
    <n v="0"/>
    <n v="13"/>
    <n v="166.57"/>
    <n v="7.93"/>
    <n v="158.64"/>
    <n v="1"/>
  </r>
  <r>
    <s v="2021-06-19"/>
    <s v="Vancouver"/>
    <s v="加拿大二店"/>
    <x v="1"/>
    <x v="1"/>
    <x v="57"/>
    <x v="57"/>
    <x v="59"/>
    <s v="整份"/>
    <n v="11.95"/>
    <s v="份"/>
    <n v="35"/>
    <n v="418.25"/>
    <n v="0"/>
    <n v="0"/>
    <n v="0"/>
    <n v="0"/>
    <n v="0"/>
    <n v="0"/>
    <n v="0"/>
    <n v="0"/>
    <n v="16.13"/>
    <n v="0"/>
    <n v="35"/>
    <n v="422.22"/>
    <n v="20.1"/>
    <n v="402.12"/>
    <n v="1"/>
  </r>
  <r>
    <s v="2021-06-19"/>
    <s v="Vancouver"/>
    <s v="加拿大二店"/>
    <x v="4"/>
    <x v="16"/>
    <x v="58"/>
    <x v="0"/>
    <x v="60"/>
    <s v="单锅"/>
    <n v="16.95"/>
    <s v="锅"/>
    <n v="1"/>
    <n v="16.95"/>
    <n v="0"/>
    <n v="0"/>
    <n v="0"/>
    <n v="0"/>
    <n v="0"/>
    <n v="0"/>
    <n v="0"/>
    <n v="0"/>
    <n v="1.18"/>
    <n v="0"/>
    <n v="1"/>
    <n v="16.55"/>
    <n v="0.78"/>
    <n v="15.77"/>
    <n v="4"/>
  </r>
  <r>
    <s v="2021-06-19"/>
    <s v="Vancouver"/>
    <s v="加拿大二店"/>
    <x v="4"/>
    <x v="9"/>
    <x v="58"/>
    <x v="0"/>
    <x v="60"/>
    <s v="拼锅"/>
    <n v="8.95"/>
    <s v="锅"/>
    <n v="23"/>
    <n v="205.85"/>
    <n v="0"/>
    <n v="0"/>
    <n v="0"/>
    <n v="0"/>
    <n v="0"/>
    <n v="0"/>
    <n v="0"/>
    <n v="0.06"/>
    <n v="1.29"/>
    <n v="0"/>
    <n v="23"/>
    <n v="214.72"/>
    <n v="10.22"/>
    <n v="204.5"/>
    <n v="2"/>
  </r>
  <r>
    <s v="2021-06-19"/>
    <s v="Vancouver"/>
    <s v="加拿大二店"/>
    <x v="4"/>
    <x v="10"/>
    <x v="58"/>
    <x v="0"/>
    <x v="60"/>
    <s v="四宫格"/>
    <n v="4.95"/>
    <s v="锅"/>
    <n v="12"/>
    <n v="59.4"/>
    <n v="0"/>
    <n v="0"/>
    <n v="0"/>
    <n v="0"/>
    <n v="0"/>
    <n v="0"/>
    <n v="0"/>
    <n v="0"/>
    <n v="0"/>
    <n v="0"/>
    <n v="12"/>
    <n v="62.37"/>
    <n v="2.97"/>
    <n v="59.4"/>
    <n v="1"/>
  </r>
  <r>
    <s v="2021-06-19"/>
    <s v="Vancouver"/>
    <s v="加拿大二店"/>
    <x v="3"/>
    <x v="5"/>
    <x v="59"/>
    <x v="58"/>
    <x v="61"/>
    <s v="整份"/>
    <n v="4.95"/>
    <s v="份"/>
    <n v="7"/>
    <n v="34.65"/>
    <n v="0"/>
    <n v="0"/>
    <n v="0"/>
    <n v="0"/>
    <n v="0"/>
    <n v="0"/>
    <n v="0"/>
    <n v="0"/>
    <n v="0.99"/>
    <n v="0"/>
    <n v="7"/>
    <n v="35.34"/>
    <n v="1.68"/>
    <n v="33.66"/>
    <n v="1"/>
  </r>
  <r>
    <s v="2021-06-19"/>
    <s v="Vancouver"/>
    <s v="加拿大二店"/>
    <x v="2"/>
    <x v="4"/>
    <x v="60"/>
    <x v="59"/>
    <x v="62"/>
    <s v="冰镇"/>
    <n v="6.95"/>
    <s v="扎"/>
    <n v="3"/>
    <n v="20.85"/>
    <n v="0"/>
    <n v="0"/>
    <n v="0"/>
    <n v="0"/>
    <n v="1"/>
    <n v="6.95"/>
    <n v="0"/>
    <n v="0"/>
    <n v="0"/>
    <n v="0"/>
    <n v="2"/>
    <n v="15.56"/>
    <n v="1.66"/>
    <n v="13.9"/>
    <n v="1"/>
  </r>
  <r>
    <s v="2021-06-19"/>
    <s v="Vancouver"/>
    <s v="加拿大二店"/>
    <x v="6"/>
    <x v="13"/>
    <x v="61"/>
    <x v="60"/>
    <x v="63"/>
    <s v="整份"/>
    <n v="3.95"/>
    <s v="包"/>
    <n v="11"/>
    <n v="43.45"/>
    <n v="0"/>
    <n v="0"/>
    <n v="0"/>
    <n v="0"/>
    <n v="1"/>
    <n v="3.95"/>
    <n v="0"/>
    <n v="0"/>
    <n v="1.58"/>
    <n v="0"/>
    <n v="10"/>
    <n v="39.81"/>
    <n v="1.89"/>
    <n v="37.92"/>
    <n v="1"/>
  </r>
  <r>
    <s v="2021-06-19"/>
    <s v="Vancouver"/>
    <s v="加拿大二店"/>
    <x v="1"/>
    <x v="8"/>
    <x v="116"/>
    <x v="110"/>
    <x v="120"/>
    <s v="个"/>
    <n v="0.95"/>
    <s v="个"/>
    <n v="3"/>
    <n v="2.85"/>
    <n v="0"/>
    <n v="0"/>
    <n v="0"/>
    <n v="0"/>
    <n v="0"/>
    <n v="0"/>
    <n v="0"/>
    <n v="0"/>
    <n v="0"/>
    <n v="0"/>
    <n v="3"/>
    <n v="2.99"/>
    <n v="0.14"/>
    <n v="2.85"/>
    <n v="1"/>
  </r>
  <r>
    <s v="2021-06-19"/>
    <s v="Vancouver"/>
    <s v="加拿大二店"/>
    <x v="4"/>
    <x v="16"/>
    <x v="62"/>
    <x v="0"/>
    <x v="64"/>
    <s v="单锅"/>
    <n v="16.95"/>
    <s v="锅"/>
    <n v="1"/>
    <n v="16.95"/>
    <n v="0"/>
    <n v="0"/>
    <n v="0"/>
    <n v="0"/>
    <n v="0"/>
    <n v="0"/>
    <n v="0"/>
    <n v="0"/>
    <n v="0"/>
    <n v="0"/>
    <n v="1"/>
    <n v="17.79"/>
    <n v="0.84"/>
    <n v="16.95"/>
    <n v="4"/>
  </r>
  <r>
    <s v="2021-06-19"/>
    <s v="Vancouver"/>
    <s v="加拿大二店"/>
    <x v="4"/>
    <x v="9"/>
    <x v="62"/>
    <x v="0"/>
    <x v="64"/>
    <s v="拼锅"/>
    <n v="8.95"/>
    <s v="锅"/>
    <n v="20"/>
    <n v="179"/>
    <n v="1"/>
    <n v="8.95"/>
    <n v="0"/>
    <n v="0"/>
    <n v="0"/>
    <n v="0"/>
    <n v="0"/>
    <n v="0"/>
    <n v="3.08"/>
    <n v="0"/>
    <n v="19"/>
    <n v="175.31"/>
    <n v="8.34"/>
    <n v="166.97"/>
    <n v="2"/>
  </r>
  <r>
    <s v="2021-06-19"/>
    <s v="Vancouver"/>
    <s v="加拿大二店"/>
    <x v="4"/>
    <x v="10"/>
    <x v="62"/>
    <x v="0"/>
    <x v="64"/>
    <s v="四宫格"/>
    <n v="4.95"/>
    <s v="锅"/>
    <n v="19"/>
    <n v="94.05"/>
    <n v="0"/>
    <n v="0"/>
    <n v="0"/>
    <n v="0"/>
    <n v="1"/>
    <n v="4.95"/>
    <n v="0"/>
    <n v="0"/>
    <n v="2.47"/>
    <n v="0"/>
    <n v="18"/>
    <n v="90.96"/>
    <n v="4.33"/>
    <n v="86.63"/>
    <n v="1"/>
  </r>
  <r>
    <s v="2021-06-19"/>
    <s v="Vancouver"/>
    <s v="加拿大二店"/>
    <x v="6"/>
    <x v="13"/>
    <x v="63"/>
    <x v="61"/>
    <x v="65"/>
    <s v="整份"/>
    <n v="1.5"/>
    <s v="碗"/>
    <n v="18"/>
    <n v="27"/>
    <n v="0"/>
    <n v="0"/>
    <n v="0"/>
    <n v="0"/>
    <n v="1"/>
    <n v="1.5"/>
    <n v="0"/>
    <n v="0"/>
    <n v="0.1"/>
    <n v="0"/>
    <n v="17"/>
    <n v="26.67"/>
    <n v="1.27"/>
    <n v="25.4"/>
    <n v="1"/>
  </r>
  <r>
    <s v="2021-06-19"/>
    <s v="Vancouver"/>
    <s v="加拿大二店"/>
    <x v="3"/>
    <x v="5"/>
    <x v="64"/>
    <x v="62"/>
    <x v="66"/>
    <s v="整份"/>
    <n v="3.95"/>
    <s v="份"/>
    <n v="14"/>
    <n v="55.3"/>
    <n v="0"/>
    <n v="0"/>
    <n v="0"/>
    <n v="0"/>
    <n v="1"/>
    <n v="3.95"/>
    <n v="0"/>
    <n v="0"/>
    <n v="1.58"/>
    <n v="0"/>
    <n v="13"/>
    <n v="52.25"/>
    <n v="2.48"/>
    <n v="49.77"/>
    <n v="1"/>
  </r>
  <r>
    <s v="2021-06-19"/>
    <s v="Vancouver"/>
    <s v="加拿大二店"/>
    <x v="2"/>
    <x v="4"/>
    <x v="65"/>
    <x v="63"/>
    <x v="67"/>
    <s v="扎"/>
    <n v="8.95"/>
    <s v="扎"/>
    <n v="4"/>
    <n v="35.8"/>
    <n v="0"/>
    <n v="0"/>
    <n v="0"/>
    <n v="0"/>
    <n v="1"/>
    <n v="8.95"/>
    <n v="0"/>
    <n v="0"/>
    <n v="0"/>
    <n v="0"/>
    <n v="3"/>
    <n v="30.07"/>
    <n v="3.22"/>
    <n v="26.85"/>
    <n v="1"/>
  </r>
  <r>
    <s v="2021-06-19"/>
    <s v="Vancouver"/>
    <s v="加拿大二店"/>
    <x v="2"/>
    <x v="4"/>
    <x v="66"/>
    <x v="64"/>
    <x v="68"/>
    <s v="扎"/>
    <n v="11.95"/>
    <s v="扎"/>
    <n v="3"/>
    <n v="35.85"/>
    <n v="0"/>
    <n v="0"/>
    <n v="0"/>
    <n v="0"/>
    <n v="0"/>
    <n v="0"/>
    <n v="0"/>
    <n v="-0.02"/>
    <n v="0"/>
    <n v="0"/>
    <n v="3"/>
    <n v="40.17"/>
    <n v="4.3"/>
    <n v="35.87"/>
    <n v="1"/>
  </r>
  <r>
    <s v="2021-06-19"/>
    <s v="Vancouver"/>
    <s v="加拿大二店"/>
    <x v="3"/>
    <x v="5"/>
    <x v="134"/>
    <x v="128"/>
    <x v="139"/>
    <s v="整份"/>
    <n v="13.95"/>
    <s v="份"/>
    <n v="13"/>
    <n v="181.35"/>
    <n v="0"/>
    <n v="0"/>
    <n v="0"/>
    <n v="0"/>
    <n v="0"/>
    <n v="0"/>
    <n v="0"/>
    <n v="0"/>
    <n v="9.34"/>
    <n v="0"/>
    <n v="13"/>
    <n v="180.61"/>
    <n v="8.6"/>
    <n v="172.01"/>
    <n v="1"/>
  </r>
  <r>
    <s v="2021-06-19"/>
    <s v="Vancouver"/>
    <s v="加拿大二店"/>
    <x v="3"/>
    <x v="5"/>
    <x v="117"/>
    <x v="111"/>
    <x v="121"/>
    <s v="整份"/>
    <n v="4.95"/>
    <s v="份"/>
    <n v="14"/>
    <n v="69.3"/>
    <n v="0"/>
    <n v="0"/>
    <n v="0"/>
    <n v="0"/>
    <n v="1"/>
    <n v="4.95"/>
    <n v="0"/>
    <n v="0"/>
    <n v="5.88"/>
    <n v="0"/>
    <n v="13"/>
    <n v="61.39"/>
    <n v="2.92"/>
    <n v="58.47"/>
    <n v="1"/>
  </r>
  <r>
    <s v="2021-06-19"/>
    <s v="Vancouver"/>
    <s v="加拿大二店"/>
    <x v="3"/>
    <x v="7"/>
    <x v="67"/>
    <x v="65"/>
    <x v="69"/>
    <s v="整份"/>
    <n v="3.95"/>
    <s v="份"/>
    <n v="5"/>
    <n v="19.75"/>
    <n v="0"/>
    <n v="0"/>
    <n v="0"/>
    <n v="0"/>
    <n v="0"/>
    <n v="0"/>
    <n v="0"/>
    <n v="0"/>
    <n v="0.99"/>
    <n v="0"/>
    <n v="5"/>
    <n v="19.69"/>
    <n v="0.93"/>
    <n v="18.76"/>
    <n v="1"/>
  </r>
  <r>
    <s v="2021-06-19"/>
    <s v="Vancouver"/>
    <s v="加拿大二店"/>
    <x v="1"/>
    <x v="1"/>
    <x v="68"/>
    <x v="66"/>
    <x v="70"/>
    <s v="整份"/>
    <n v="8.95"/>
    <s v="份"/>
    <n v="82"/>
    <n v="733.9"/>
    <n v="0"/>
    <n v="0"/>
    <n v="0"/>
    <n v="0"/>
    <n v="11"/>
    <n v="98.45"/>
    <n v="0"/>
    <n v="0"/>
    <n v="20.23"/>
    <n v="0"/>
    <n v="71"/>
    <n v="645.98"/>
    <n v="30.76"/>
    <n v="615.22"/>
    <n v="1"/>
  </r>
  <r>
    <s v="2021-06-19"/>
    <s v="Vancouver"/>
    <s v="加拿大二店"/>
    <x v="1"/>
    <x v="1"/>
    <x v="69"/>
    <x v="67"/>
    <x v="71"/>
    <s v="整份"/>
    <n v="8.95"/>
    <s v="份"/>
    <n v="8"/>
    <n v="71.6"/>
    <n v="0"/>
    <n v="0"/>
    <n v="0"/>
    <n v="0"/>
    <n v="1"/>
    <n v="8.95"/>
    <n v="0"/>
    <n v="0"/>
    <n v="1.79"/>
    <n v="0"/>
    <n v="7"/>
    <n v="63.9"/>
    <n v="3.04"/>
    <n v="60.86"/>
    <n v="1"/>
  </r>
  <r>
    <s v="2021-06-19"/>
    <s v="Vancouver"/>
    <s v="加拿大二店"/>
    <x v="6"/>
    <x v="15"/>
    <x v="70"/>
    <x v="68"/>
    <x v="72"/>
    <s v="整份"/>
    <n v="1.5"/>
    <s v="份"/>
    <n v="6"/>
    <n v="9"/>
    <n v="0"/>
    <n v="0"/>
    <n v="0"/>
    <n v="0"/>
    <n v="0"/>
    <n v="0"/>
    <n v="0"/>
    <n v="0"/>
    <n v="0"/>
    <n v="0"/>
    <n v="6"/>
    <n v="9.45"/>
    <n v="0.45"/>
    <n v="9"/>
    <n v="1"/>
  </r>
  <r>
    <s v="2021-06-19"/>
    <s v="Vancouver"/>
    <s v="加拿大二店"/>
    <x v="4"/>
    <x v="9"/>
    <x v="71"/>
    <x v="0"/>
    <x v="73"/>
    <s v="拼锅"/>
    <n v="18.95"/>
    <s v="锅"/>
    <n v="15"/>
    <n v="284.25"/>
    <n v="0"/>
    <n v="0"/>
    <n v="0"/>
    <n v="0"/>
    <n v="0"/>
    <n v="0"/>
    <n v="0"/>
    <n v="0.06"/>
    <n v="0"/>
    <n v="0"/>
    <n v="15"/>
    <n v="298.39"/>
    <n v="14.2"/>
    <n v="284.19"/>
    <n v="2"/>
  </r>
  <r>
    <s v="2021-06-19"/>
    <s v="Vancouver"/>
    <s v="加拿大二店"/>
    <x v="4"/>
    <x v="10"/>
    <x v="71"/>
    <x v="0"/>
    <x v="73"/>
    <s v="四宫格"/>
    <n v="9.95"/>
    <s v="锅"/>
    <n v="10"/>
    <n v="99.5"/>
    <n v="0"/>
    <n v="0"/>
    <n v="0"/>
    <n v="0"/>
    <n v="0"/>
    <n v="0"/>
    <n v="0"/>
    <n v="-0.02"/>
    <n v="0"/>
    <n v="0"/>
    <n v="10"/>
    <n v="104.49"/>
    <n v="4.97"/>
    <n v="99.52"/>
    <n v="1"/>
  </r>
  <r>
    <s v="2021-06-19"/>
    <s v="Vancouver"/>
    <s v="加拿大二店"/>
    <x v="1"/>
    <x v="8"/>
    <x v="72"/>
    <x v="69"/>
    <x v="74"/>
    <s v="个"/>
    <n v="7.95"/>
    <s v="份"/>
    <n v="4"/>
    <n v="31.8"/>
    <n v="0"/>
    <n v="0"/>
    <n v="0"/>
    <n v="0"/>
    <n v="0"/>
    <n v="0"/>
    <n v="0"/>
    <n v="0"/>
    <n v="3.21"/>
    <n v="0"/>
    <n v="4"/>
    <n v="30.01"/>
    <n v="1.42"/>
    <n v="28.59"/>
    <n v="1"/>
  </r>
  <r>
    <s v="2021-06-19"/>
    <s v="Vancouver"/>
    <s v="加拿大二店"/>
    <x v="6"/>
    <x v="13"/>
    <x v="73"/>
    <x v="70"/>
    <x v="75"/>
    <s v="份"/>
    <n v="6.95"/>
    <s v="份"/>
    <n v="6"/>
    <n v="41.7"/>
    <n v="0"/>
    <n v="0"/>
    <n v="0"/>
    <n v="0"/>
    <n v="1"/>
    <n v="6.95"/>
    <n v="0"/>
    <n v="0"/>
    <n v="0"/>
    <n v="0"/>
    <n v="5"/>
    <n v="36.48"/>
    <n v="1.73"/>
    <n v="34.75"/>
    <n v="1"/>
  </r>
  <r>
    <s v="2021-06-19"/>
    <s v="Vancouver"/>
    <s v="加拿大二店"/>
    <x v="4"/>
    <x v="16"/>
    <x v="74"/>
    <x v="0"/>
    <x v="76"/>
    <s v="单锅"/>
    <n v="36.95"/>
    <s v="锅"/>
    <n v="1"/>
    <n v="36.95"/>
    <n v="0"/>
    <n v="0"/>
    <n v="0"/>
    <n v="0"/>
    <n v="0"/>
    <n v="0"/>
    <n v="0"/>
    <n v="0"/>
    <n v="0"/>
    <n v="0"/>
    <n v="1"/>
    <n v="38.79"/>
    <n v="1.84"/>
    <n v="36.95"/>
    <n v="4"/>
  </r>
  <r>
    <s v="2021-06-19"/>
    <s v="Vancouver"/>
    <s v="加拿大二店"/>
    <x v="4"/>
    <x v="9"/>
    <x v="74"/>
    <x v="0"/>
    <x v="76"/>
    <s v="拼锅"/>
    <n v="18.95"/>
    <s v="锅"/>
    <n v="6"/>
    <n v="113.7"/>
    <n v="0"/>
    <n v="0"/>
    <n v="0"/>
    <n v="0"/>
    <n v="1"/>
    <n v="18.95"/>
    <n v="0"/>
    <n v="0.03"/>
    <n v="0"/>
    <n v="0"/>
    <n v="5"/>
    <n v="99.45"/>
    <n v="4.73"/>
    <n v="94.72"/>
    <n v="2"/>
  </r>
  <r>
    <s v="2021-06-19"/>
    <s v="Vancouver"/>
    <s v="加拿大二店"/>
    <x v="4"/>
    <x v="10"/>
    <x v="74"/>
    <x v="0"/>
    <x v="76"/>
    <s v="四宫格"/>
    <n v="9.95"/>
    <s v="锅"/>
    <n v="5"/>
    <n v="49.75"/>
    <n v="0"/>
    <n v="0"/>
    <n v="0"/>
    <n v="0"/>
    <n v="0"/>
    <n v="0"/>
    <n v="0"/>
    <n v="0"/>
    <n v="0"/>
    <n v="0"/>
    <n v="5"/>
    <n v="52.23"/>
    <n v="2.48"/>
    <n v="49.75"/>
    <n v="1"/>
  </r>
  <r>
    <s v="2021-06-19"/>
    <s v="Vancouver"/>
    <s v="加拿大二店"/>
    <x v="1"/>
    <x v="6"/>
    <x v="118"/>
    <x v="112"/>
    <x v="122"/>
    <s v="整份"/>
    <n v="28.95"/>
    <s v="份"/>
    <n v="4"/>
    <n v="115.8"/>
    <n v="0"/>
    <n v="0"/>
    <n v="0"/>
    <n v="0"/>
    <n v="1"/>
    <n v="28.95"/>
    <n v="0"/>
    <n v="-0.01"/>
    <n v="0"/>
    <n v="0"/>
    <n v="3"/>
    <n v="91.2"/>
    <n v="4.34"/>
    <n v="86.86"/>
    <n v="1"/>
  </r>
  <r>
    <s v="2021-06-19"/>
    <s v="Vancouver"/>
    <s v="加拿大二店"/>
    <x v="8"/>
    <x v="17"/>
    <x v="75"/>
    <x v="71"/>
    <x v="77"/>
    <s v="整份"/>
    <n v="3.99"/>
    <s v="位"/>
    <n v="194"/>
    <n v="774.06"/>
    <n v="6"/>
    <n v="23.94"/>
    <n v="0"/>
    <n v="0"/>
    <n v="2"/>
    <n v="7.98"/>
    <n v="0"/>
    <n v="0"/>
    <n v="2.48"/>
    <n v="0"/>
    <n v="186"/>
    <n v="776.64"/>
    <n v="36.98"/>
    <n v="739.66"/>
    <n v="1"/>
  </r>
  <r>
    <s v="2021-06-19"/>
    <s v="Vancouver"/>
    <s v="加拿大二店"/>
    <x v="3"/>
    <x v="5"/>
    <x v="76"/>
    <x v="72"/>
    <x v="78"/>
    <s v="整份"/>
    <n v="3.95"/>
    <s v="份"/>
    <n v="8"/>
    <n v="31.6"/>
    <n v="0"/>
    <n v="0"/>
    <n v="0"/>
    <n v="0"/>
    <n v="0"/>
    <n v="0"/>
    <n v="0"/>
    <n v="0"/>
    <n v="1.58"/>
    <n v="0"/>
    <n v="8"/>
    <n v="31.52"/>
    <n v="1.5"/>
    <n v="30.02"/>
    <n v="1"/>
  </r>
  <r>
    <s v="2021-06-19"/>
    <s v="Vancouver"/>
    <s v="加拿大二店"/>
    <x v="1"/>
    <x v="3"/>
    <x v="77"/>
    <x v="73"/>
    <x v="79"/>
    <s v="整份"/>
    <n v="5.95"/>
    <s v="份"/>
    <n v="14"/>
    <n v="83.3"/>
    <n v="0"/>
    <n v="0"/>
    <n v="0"/>
    <n v="0"/>
    <n v="3"/>
    <n v="17.85"/>
    <n v="0"/>
    <n v="0"/>
    <n v="8.62"/>
    <n v="0"/>
    <n v="11"/>
    <n v="59.67"/>
    <n v="2.84"/>
    <n v="56.83"/>
    <n v="1"/>
  </r>
  <r>
    <s v="2021-06-19"/>
    <s v="Vancouver"/>
    <s v="加拿大二店"/>
    <x v="3"/>
    <x v="11"/>
    <x v="78"/>
    <x v="74"/>
    <x v="80"/>
    <s v="整份"/>
    <n v="5.95"/>
    <s v="份"/>
    <n v="13"/>
    <n v="77.35"/>
    <n v="1"/>
    <n v="5.95"/>
    <n v="0"/>
    <n v="0"/>
    <n v="0"/>
    <n v="0"/>
    <n v="0"/>
    <n v="0"/>
    <n v="1.49"/>
    <n v="0"/>
    <n v="12"/>
    <n v="73.4"/>
    <n v="3.49"/>
    <n v="69.91"/>
    <n v="1"/>
  </r>
  <r>
    <s v="2021-06-19"/>
    <s v="Vancouver"/>
    <s v="加拿大二店"/>
    <x v="3"/>
    <x v="11"/>
    <x v="78"/>
    <x v="75"/>
    <x v="81"/>
    <s v="半份"/>
    <n v="2.95"/>
    <s v="份"/>
    <n v="11"/>
    <n v="32.45"/>
    <n v="0"/>
    <n v="0"/>
    <n v="0"/>
    <n v="0"/>
    <n v="0"/>
    <n v="0"/>
    <n v="0"/>
    <n v="-0.01"/>
    <n v="3.09"/>
    <n v="0"/>
    <n v="11"/>
    <n v="30.83"/>
    <n v="1.46"/>
    <n v="29.37"/>
    <n v="0.5"/>
  </r>
  <r>
    <s v="2021-06-19"/>
    <s v="Vancouver"/>
    <s v="加拿大二店"/>
    <x v="3"/>
    <x v="5"/>
    <x v="79"/>
    <x v="76"/>
    <x v="82"/>
    <s v="整份"/>
    <n v="3.95"/>
    <s v="份"/>
    <n v="18"/>
    <n v="71.1"/>
    <n v="0"/>
    <n v="0"/>
    <n v="0"/>
    <n v="0"/>
    <n v="0"/>
    <n v="0"/>
    <n v="0"/>
    <n v="0"/>
    <n v="2.03"/>
    <n v="0"/>
    <n v="18"/>
    <n v="72.52"/>
    <n v="3.45"/>
    <n v="69.07"/>
    <n v="1"/>
  </r>
  <r>
    <s v="2021-06-19"/>
    <s v="Vancouver"/>
    <s v="加拿大二店"/>
    <x v="3"/>
    <x v="5"/>
    <x v="80"/>
    <x v="77"/>
    <x v="83"/>
    <s v="整份"/>
    <n v="5.95"/>
    <s v="份"/>
    <n v="17"/>
    <n v="101.15"/>
    <n v="0"/>
    <n v="0"/>
    <n v="0"/>
    <n v="0"/>
    <n v="0"/>
    <n v="0"/>
    <n v="0"/>
    <n v="0"/>
    <n v="4.99"/>
    <n v="0"/>
    <n v="17"/>
    <n v="100.96"/>
    <n v="4.8"/>
    <n v="96.16"/>
    <n v="1"/>
  </r>
  <r>
    <s v="2021-06-19"/>
    <s v="Vancouver"/>
    <s v="加拿大二店"/>
    <x v="4"/>
    <x v="9"/>
    <x v="81"/>
    <x v="0"/>
    <x v="84"/>
    <s v="拼锅"/>
    <n v="8.95"/>
    <s v="锅"/>
    <n v="11"/>
    <n v="98.45"/>
    <n v="0"/>
    <n v="0"/>
    <n v="0"/>
    <n v="0"/>
    <n v="1"/>
    <n v="8.95"/>
    <n v="0"/>
    <n v="-0.02"/>
    <n v="0"/>
    <n v="0"/>
    <n v="10"/>
    <n v="93.99"/>
    <n v="4.47"/>
    <n v="89.52"/>
    <n v="2"/>
  </r>
  <r>
    <s v="2021-06-19"/>
    <s v="Vancouver"/>
    <s v="加拿大二店"/>
    <x v="4"/>
    <x v="10"/>
    <x v="81"/>
    <x v="0"/>
    <x v="84"/>
    <s v="四宫格"/>
    <n v="4.95"/>
    <s v="锅"/>
    <n v="7"/>
    <n v="34.65"/>
    <n v="0"/>
    <n v="0"/>
    <n v="0"/>
    <n v="0"/>
    <n v="0"/>
    <n v="0"/>
    <n v="0"/>
    <n v="0"/>
    <n v="0"/>
    <n v="0"/>
    <n v="7"/>
    <n v="36.38"/>
    <n v="1.73"/>
    <n v="34.65"/>
    <n v="1"/>
  </r>
  <r>
    <s v="2021-06-19"/>
    <s v="Vancouver"/>
    <s v="加拿大二店"/>
    <x v="3"/>
    <x v="5"/>
    <x v="82"/>
    <x v="78"/>
    <x v="85"/>
    <s v="整份"/>
    <n v="12.95"/>
    <s v="份"/>
    <n v="12"/>
    <n v="155.4"/>
    <n v="0"/>
    <n v="0"/>
    <n v="0"/>
    <n v="0"/>
    <n v="0"/>
    <n v="0"/>
    <n v="0"/>
    <n v="0"/>
    <n v="11.72"/>
    <n v="0"/>
    <n v="12"/>
    <n v="150.86"/>
    <n v="7.18"/>
    <n v="143.68"/>
    <n v="1"/>
  </r>
  <r>
    <s v="2021-06-19"/>
    <s v="Vancouver"/>
    <s v="加拿大二店"/>
    <x v="3"/>
    <x v="11"/>
    <x v="83"/>
    <x v="79"/>
    <x v="86"/>
    <s v="整份"/>
    <n v="5.95"/>
    <s v="份"/>
    <n v="6"/>
    <n v="35.7"/>
    <n v="0"/>
    <n v="0"/>
    <n v="0"/>
    <n v="0"/>
    <n v="0"/>
    <n v="0"/>
    <n v="0"/>
    <n v="0"/>
    <n v="0"/>
    <n v="0"/>
    <n v="6"/>
    <n v="37.48"/>
    <n v="1.78"/>
    <n v="35.7"/>
    <n v="1"/>
  </r>
  <r>
    <s v="2021-06-19"/>
    <s v="Vancouver"/>
    <s v="加拿大二店"/>
    <x v="3"/>
    <x v="11"/>
    <x v="83"/>
    <x v="80"/>
    <x v="87"/>
    <s v="半份"/>
    <n v="2.95"/>
    <s v="份"/>
    <n v="5"/>
    <n v="14.75"/>
    <n v="0"/>
    <n v="0"/>
    <n v="0"/>
    <n v="0"/>
    <n v="0"/>
    <n v="0"/>
    <n v="0"/>
    <n v="0"/>
    <n v="1.18"/>
    <n v="0"/>
    <n v="5"/>
    <n v="14.24"/>
    <n v="0.67"/>
    <n v="13.57"/>
    <n v="0.5"/>
  </r>
  <r>
    <s v="2021-06-19"/>
    <s v="Vancouver"/>
    <s v="加拿大二店"/>
    <x v="3"/>
    <x v="11"/>
    <x v="84"/>
    <x v="81"/>
    <x v="88"/>
    <s v="整份"/>
    <n v="11.95"/>
    <s v="份"/>
    <n v="8"/>
    <n v="95.6"/>
    <n v="0"/>
    <n v="0"/>
    <n v="0"/>
    <n v="0"/>
    <n v="0"/>
    <n v="0"/>
    <n v="0"/>
    <n v="0"/>
    <n v="4.18"/>
    <n v="0"/>
    <n v="8"/>
    <n v="95.99"/>
    <n v="4.57"/>
    <n v="91.42"/>
    <n v="1"/>
  </r>
  <r>
    <s v="2021-06-19"/>
    <s v="Vancouver"/>
    <s v="加拿大二店"/>
    <x v="1"/>
    <x v="3"/>
    <x v="85"/>
    <x v="82"/>
    <x v="89"/>
    <s v="整份"/>
    <n v="6.95"/>
    <s v="份"/>
    <n v="10"/>
    <n v="69.5"/>
    <n v="0"/>
    <n v="0"/>
    <n v="0"/>
    <n v="0"/>
    <n v="0"/>
    <n v="0"/>
    <n v="0"/>
    <n v="0"/>
    <n v="3.26"/>
    <n v="0"/>
    <n v="10"/>
    <n v="69.55"/>
    <n v="3.31"/>
    <n v="66.24"/>
    <n v="1"/>
  </r>
  <r>
    <s v="2021-06-19"/>
    <s v="Vancouver"/>
    <s v="加拿大二店"/>
    <x v="6"/>
    <x v="13"/>
    <x v="86"/>
    <x v="83"/>
    <x v="90"/>
    <s v="碗"/>
    <n v="2.95"/>
    <s v="碗"/>
    <n v="11"/>
    <n v="32.45"/>
    <n v="0"/>
    <n v="0"/>
    <n v="0"/>
    <n v="0"/>
    <n v="0"/>
    <n v="0"/>
    <n v="0"/>
    <n v="0"/>
    <n v="0.26"/>
    <n v="0"/>
    <n v="11"/>
    <n v="33.79"/>
    <n v="1.6"/>
    <n v="32.19"/>
    <n v="1"/>
  </r>
  <r>
    <s v="2021-06-19"/>
    <s v="Vancouver"/>
    <s v="加拿大二店"/>
    <x v="2"/>
    <x v="4"/>
    <x v="87"/>
    <x v="84"/>
    <x v="91"/>
    <s v="常温"/>
    <n v="2.95"/>
    <s v="扎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19"/>
    <s v="Vancouver"/>
    <s v="加拿大二店"/>
    <x v="2"/>
    <x v="4"/>
    <x v="87"/>
    <x v="84"/>
    <x v="91"/>
    <s v="冰镇"/>
    <n v="2.95"/>
    <s v="扎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19"/>
    <s v="Vancouver"/>
    <s v="加拿大二店"/>
    <x v="1"/>
    <x v="8"/>
    <x v="88"/>
    <x v="85"/>
    <x v="92"/>
    <s v="整份"/>
    <n v="7.95"/>
    <s v="份"/>
    <n v="6"/>
    <n v="47.7"/>
    <n v="0"/>
    <n v="0"/>
    <n v="0"/>
    <n v="0"/>
    <n v="0"/>
    <n v="0"/>
    <n v="0"/>
    <n v="0"/>
    <n v="5.56"/>
    <n v="0"/>
    <n v="6"/>
    <n v="44.24"/>
    <n v="2.1"/>
    <n v="42.14"/>
    <n v="1"/>
  </r>
  <r>
    <s v="2021-06-19"/>
    <s v="Vancouver"/>
    <s v="加拿大二店"/>
    <x v="1"/>
    <x v="8"/>
    <x v="89"/>
    <x v="86"/>
    <x v="93"/>
    <s v="整份"/>
    <n v="4.95"/>
    <s v="份"/>
    <n v="32"/>
    <n v="158.4"/>
    <n v="0"/>
    <n v="0"/>
    <n v="0"/>
    <n v="0"/>
    <n v="0"/>
    <n v="0"/>
    <n v="0"/>
    <n v="0"/>
    <n v="9.65"/>
    <n v="0"/>
    <n v="32"/>
    <n v="156.18"/>
    <n v="7.43"/>
    <n v="148.75"/>
    <n v="1"/>
  </r>
  <r>
    <s v="2021-06-19"/>
    <s v="Vancouver"/>
    <s v="加拿大二店"/>
    <x v="3"/>
    <x v="7"/>
    <x v="90"/>
    <x v="87"/>
    <x v="94"/>
    <s v="整份"/>
    <n v="4.95"/>
    <s v="份"/>
    <n v="22"/>
    <n v="108.9"/>
    <n v="0"/>
    <n v="0"/>
    <n v="0"/>
    <n v="0"/>
    <n v="3"/>
    <n v="14.85"/>
    <n v="0"/>
    <n v="0"/>
    <n v="3.56"/>
    <n v="0"/>
    <n v="19"/>
    <n v="95.01"/>
    <n v="4.52"/>
    <n v="90.49"/>
    <n v="1"/>
  </r>
  <r>
    <s v="2021-06-19"/>
    <s v="Vancouver"/>
    <s v="加拿大二店"/>
    <x v="1"/>
    <x v="6"/>
    <x v="119"/>
    <x v="113"/>
    <x v="123"/>
    <s v="整份"/>
    <n v="1"/>
    <s v="磅"/>
    <n v="2"/>
    <n v="2"/>
    <n v="2"/>
    <n v="2"/>
    <n v="0"/>
    <n v="0"/>
    <n v="0"/>
    <n v="0"/>
    <n v="0"/>
    <n v="0"/>
    <n v="0"/>
    <n v="0"/>
    <n v="0"/>
    <n v="0"/>
    <n v="0"/>
    <n v="0"/>
    <n v="1"/>
  </r>
  <r>
    <s v="2021-06-19"/>
    <s v="Vancouver"/>
    <s v="加拿大二店"/>
    <x v="1"/>
    <x v="6"/>
    <x v="119"/>
    <x v="113"/>
    <x v="123"/>
    <s v="整份"/>
    <n v="68.95"/>
    <s v="磅"/>
    <n v="2"/>
    <n v="137.9"/>
    <n v="2"/>
    <n v="137.9"/>
    <n v="0"/>
    <n v="0"/>
    <n v="0"/>
    <n v="0"/>
    <n v="0"/>
    <n v="0"/>
    <n v="0"/>
    <n v="0"/>
    <n v="0"/>
    <n v="0"/>
    <n v="0"/>
    <n v="0"/>
    <n v="1"/>
  </r>
  <r>
    <s v="2021-06-19"/>
    <s v="Vancouver"/>
    <s v="加拿大二店"/>
    <x v="1"/>
    <x v="6"/>
    <x v="119"/>
    <x v="113"/>
    <x v="123"/>
    <s v="整份"/>
    <n v="172.38"/>
    <s v="磅"/>
    <n v="1"/>
    <n v="172.38"/>
    <n v="0"/>
    <n v="0"/>
    <n v="0"/>
    <n v="0"/>
    <n v="0"/>
    <n v="0"/>
    <n v="0"/>
    <n v="0"/>
    <n v="0"/>
    <n v="0"/>
    <n v="1"/>
    <n v="180.99"/>
    <n v="8.61"/>
    <n v="172.38"/>
    <n v="1"/>
  </r>
  <r>
    <s v="2021-06-19"/>
    <s v="Vancouver"/>
    <s v="加拿大二店"/>
    <x v="6"/>
    <x v="18"/>
    <x v="91"/>
    <x v="88"/>
    <x v="95"/>
    <s v="整份"/>
    <n v="2.95"/>
    <s v="份"/>
    <n v="5"/>
    <n v="14.75"/>
    <n v="0"/>
    <n v="0"/>
    <n v="0"/>
    <n v="0"/>
    <n v="0"/>
    <n v="0"/>
    <n v="0"/>
    <n v="0"/>
    <n v="0"/>
    <n v="0"/>
    <n v="5"/>
    <n v="15.48"/>
    <n v="0.73"/>
    <n v="14.75"/>
    <n v="1"/>
  </r>
  <r>
    <s v="2021-06-19"/>
    <s v="Vancouver"/>
    <s v="加拿大二店"/>
    <x v="4"/>
    <x v="9"/>
    <x v="92"/>
    <x v="0"/>
    <x v="96"/>
    <s v="拼锅"/>
    <n v="8.95"/>
    <s v="锅"/>
    <n v="3"/>
    <n v="26.85"/>
    <n v="0"/>
    <n v="0"/>
    <n v="0"/>
    <n v="0"/>
    <n v="0"/>
    <n v="0"/>
    <n v="0"/>
    <n v="0.01"/>
    <n v="0"/>
    <n v="0"/>
    <n v="3"/>
    <n v="28.18"/>
    <n v="1.34"/>
    <n v="26.84"/>
    <n v="2"/>
  </r>
  <r>
    <s v="2021-06-19"/>
    <s v="Vancouver"/>
    <s v="加拿大二店"/>
    <x v="4"/>
    <x v="10"/>
    <x v="92"/>
    <x v="0"/>
    <x v="96"/>
    <s v="四宫格"/>
    <n v="4.95"/>
    <s v="锅"/>
    <n v="1"/>
    <n v="4.95"/>
    <n v="0"/>
    <n v="0"/>
    <n v="0"/>
    <n v="0"/>
    <n v="0"/>
    <n v="0"/>
    <n v="0"/>
    <n v="0"/>
    <n v="0"/>
    <n v="0"/>
    <n v="1"/>
    <n v="5.19"/>
    <n v="0.24"/>
    <n v="4.95"/>
    <n v="1"/>
  </r>
  <r>
    <s v="2021-06-19"/>
    <s v="Vancouver"/>
    <s v="加拿大二店"/>
    <x v="3"/>
    <x v="5"/>
    <x v="93"/>
    <x v="89"/>
    <x v="97"/>
    <s v="整份"/>
    <n v="5.95"/>
    <s v="份"/>
    <n v="25"/>
    <n v="148.75"/>
    <n v="0"/>
    <n v="0"/>
    <n v="0"/>
    <n v="0"/>
    <n v="2"/>
    <n v="11.9"/>
    <n v="0"/>
    <n v="0"/>
    <n v="3.87"/>
    <n v="0"/>
    <n v="23"/>
    <n v="139.62"/>
    <n v="6.64"/>
    <n v="132.98"/>
    <n v="1"/>
  </r>
  <r>
    <s v="2021-06-19"/>
    <s v="Vancouver"/>
    <s v="加拿大二店"/>
    <x v="6"/>
    <x v="13"/>
    <x v="94"/>
    <x v="90"/>
    <x v="98"/>
    <s v="整份"/>
    <n v="4.95"/>
    <s v="份"/>
    <n v="18"/>
    <n v="89.1"/>
    <n v="0"/>
    <n v="0"/>
    <n v="0"/>
    <n v="0"/>
    <n v="2"/>
    <n v="9.9"/>
    <n v="0"/>
    <n v="0"/>
    <n v="0.34"/>
    <n v="0"/>
    <n v="16"/>
    <n v="82.8"/>
    <n v="3.94"/>
    <n v="78.86"/>
    <n v="1"/>
  </r>
  <r>
    <s v="2021-06-19"/>
    <s v="Vancouver"/>
    <s v="加拿大二店"/>
    <x v="7"/>
    <x v="14"/>
    <x v="123"/>
    <x v="117"/>
    <x v="127"/>
    <s v="整份"/>
    <n v="0"/>
    <s v="份"/>
    <n v="3"/>
    <n v="0"/>
    <n v="0"/>
    <n v="0"/>
    <n v="0"/>
    <n v="0"/>
    <n v="0"/>
    <n v="0"/>
    <n v="0"/>
    <n v="0"/>
    <n v="0"/>
    <n v="0"/>
    <n v="3"/>
    <n v="0"/>
    <n v="0"/>
    <n v="0"/>
    <n v="1"/>
  </r>
  <r>
    <s v="2021-06-19"/>
    <s v="Vancouver"/>
    <s v="加拿大二店"/>
    <x v="1"/>
    <x v="1"/>
    <x v="96"/>
    <x v="92"/>
    <x v="100"/>
    <s v="整份"/>
    <n v="49.95"/>
    <s v="份"/>
    <n v="10"/>
    <n v="499.5"/>
    <n v="0"/>
    <n v="0"/>
    <n v="0"/>
    <n v="0"/>
    <n v="3"/>
    <n v="149.85"/>
    <n v="0"/>
    <n v="0.02"/>
    <n v="19.98"/>
    <n v="0"/>
    <n v="7"/>
    <n v="346.13"/>
    <n v="16.48"/>
    <n v="329.65"/>
    <n v="1"/>
  </r>
  <r>
    <s v="2021-06-19"/>
    <s v="Vancouver"/>
    <s v="加拿大二店"/>
    <x v="2"/>
    <x v="2"/>
    <x v="97"/>
    <x v="93"/>
    <x v="101"/>
    <s v="冰镇"/>
    <n v="5.95"/>
    <s v="听"/>
    <n v="13"/>
    <n v="77.35"/>
    <n v="0"/>
    <n v="0"/>
    <n v="0"/>
    <n v="0"/>
    <n v="0"/>
    <n v="0"/>
    <n v="0"/>
    <n v="0"/>
    <n v="0"/>
    <n v="0"/>
    <n v="13"/>
    <n v="88.95"/>
    <n v="11.6"/>
    <n v="77.35"/>
    <n v="1"/>
  </r>
  <r>
    <s v="2021-06-19"/>
    <s v="Vancouver"/>
    <s v="加拿大二店"/>
    <x v="6"/>
    <x v="13"/>
    <x v="98"/>
    <x v="94"/>
    <x v="102"/>
    <s v="整份"/>
    <n v="3.95"/>
    <s v="份"/>
    <n v="9"/>
    <n v="35.55"/>
    <n v="0"/>
    <n v="0"/>
    <n v="0"/>
    <n v="0"/>
    <n v="0"/>
    <n v="0"/>
    <n v="0"/>
    <n v="0"/>
    <n v="1.58"/>
    <n v="0"/>
    <n v="9"/>
    <n v="35.66"/>
    <n v="1.69"/>
    <n v="33.97"/>
    <n v="1"/>
  </r>
  <r>
    <s v="2021-06-19"/>
    <s v="Vancouver"/>
    <s v="加拿大二店"/>
    <x v="1"/>
    <x v="3"/>
    <x v="99"/>
    <x v="95"/>
    <x v="103"/>
    <s v="整份"/>
    <n v="5.95"/>
    <s v="份"/>
    <n v="2"/>
    <n v="11.9"/>
    <n v="0"/>
    <n v="0"/>
    <n v="0"/>
    <n v="0"/>
    <n v="0"/>
    <n v="0"/>
    <n v="0"/>
    <n v="0"/>
    <n v="0"/>
    <n v="0"/>
    <n v="2"/>
    <n v="12.49"/>
    <n v="0.59"/>
    <n v="11.9"/>
    <n v="1"/>
  </r>
  <r>
    <s v="2021-06-19"/>
    <s v="Vancouver"/>
    <s v="加拿大二店"/>
    <x v="1"/>
    <x v="3"/>
    <x v="100"/>
    <x v="96"/>
    <x v="104"/>
    <s v="整份"/>
    <n v="7.95"/>
    <s v="份"/>
    <n v="6"/>
    <n v="47.7"/>
    <n v="0"/>
    <n v="0"/>
    <n v="0"/>
    <n v="0"/>
    <n v="0"/>
    <n v="0"/>
    <n v="0"/>
    <n v="0"/>
    <n v="1.99"/>
    <n v="0"/>
    <n v="6"/>
    <n v="47.99"/>
    <n v="2.28"/>
    <n v="45.71"/>
    <n v="1"/>
  </r>
  <r>
    <s v="2021-06-19"/>
    <s v="Vancouver"/>
    <s v="加拿大二店"/>
    <x v="1"/>
    <x v="8"/>
    <x v="101"/>
    <x v="97"/>
    <x v="105"/>
    <s v="整份"/>
    <n v="5.95"/>
    <s v="份"/>
    <n v="13"/>
    <n v="77.35"/>
    <n v="0"/>
    <n v="0"/>
    <n v="0"/>
    <n v="0"/>
    <n v="0"/>
    <n v="0"/>
    <n v="0"/>
    <n v="0"/>
    <n v="1.6"/>
    <n v="0"/>
    <n v="13"/>
    <n v="79.53"/>
    <n v="3.78"/>
    <n v="75.75"/>
    <n v="1"/>
  </r>
  <r>
    <s v="2021-06-19"/>
    <s v="Vancouver"/>
    <s v="加拿大二店"/>
    <x v="1"/>
    <x v="6"/>
    <x v="102"/>
    <x v="98"/>
    <x v="106"/>
    <s v="整份"/>
    <n v="8.95"/>
    <s v="份"/>
    <n v="7"/>
    <n v="62.65"/>
    <n v="0"/>
    <n v="0"/>
    <n v="0"/>
    <n v="0"/>
    <n v="1"/>
    <n v="8.95"/>
    <n v="0"/>
    <n v="-0.03"/>
    <n v="0"/>
    <n v="0"/>
    <n v="6"/>
    <n v="56.41"/>
    <n v="2.68"/>
    <n v="53.73"/>
    <n v="1"/>
  </r>
  <r>
    <s v="2021-06-19"/>
    <s v="Vancouver"/>
    <s v="加拿大二店"/>
    <x v="3"/>
    <x v="7"/>
    <x v="103"/>
    <x v="99"/>
    <x v="107"/>
    <s v="整份"/>
    <n v="5.95"/>
    <s v="份"/>
    <n v="20"/>
    <n v="119"/>
    <n v="0"/>
    <n v="0"/>
    <n v="0"/>
    <n v="0"/>
    <n v="0"/>
    <n v="0"/>
    <n v="0"/>
    <n v="0"/>
    <n v="8.14"/>
    <n v="0"/>
    <n v="20"/>
    <n v="116.4"/>
    <n v="5.54"/>
    <n v="110.86"/>
    <n v="1"/>
  </r>
  <r>
    <s v="2021-06-19"/>
    <s v="Vancouver"/>
    <s v="加拿大二店"/>
    <x v="3"/>
    <x v="7"/>
    <x v="104"/>
    <x v="100"/>
    <x v="108"/>
    <s v="整份"/>
    <n v="3.95"/>
    <s v="份"/>
    <n v="17"/>
    <n v="67.15"/>
    <n v="0"/>
    <n v="0"/>
    <n v="0"/>
    <n v="0"/>
    <n v="0"/>
    <n v="0"/>
    <n v="0"/>
    <n v="0"/>
    <n v="3.75"/>
    <n v="0"/>
    <n v="17"/>
    <n v="66.57"/>
    <n v="3.17"/>
    <n v="63.4"/>
    <n v="1"/>
  </r>
  <r>
    <s v="2021-06-19"/>
    <s v="Vancouver"/>
    <s v="加拿大二店"/>
    <x v="1"/>
    <x v="8"/>
    <x v="105"/>
    <x v="101"/>
    <x v="109"/>
    <s v="整份"/>
    <n v="4.95"/>
    <s v="份"/>
    <n v="17"/>
    <n v="84.15"/>
    <n v="0"/>
    <n v="0"/>
    <n v="0"/>
    <n v="0"/>
    <n v="1"/>
    <n v="4.95"/>
    <n v="0"/>
    <n v="0"/>
    <n v="4.05"/>
    <n v="0"/>
    <n v="16"/>
    <n v="78.9"/>
    <n v="3.75"/>
    <n v="75.15"/>
    <n v="1"/>
  </r>
  <r>
    <s v="2021-06-19"/>
    <s v="Vancouver"/>
    <s v="加拿大二店"/>
    <x v="4"/>
    <x v="16"/>
    <x v="106"/>
    <x v="0"/>
    <x v="110"/>
    <s v="单锅"/>
    <n v="22.95"/>
    <s v="锅"/>
    <n v="1"/>
    <n v="22.95"/>
    <n v="0"/>
    <n v="0"/>
    <n v="0"/>
    <n v="0"/>
    <n v="0"/>
    <n v="0"/>
    <n v="0"/>
    <n v="0"/>
    <n v="0"/>
    <n v="0"/>
    <n v="1"/>
    <n v="24.09"/>
    <n v="1.14"/>
    <n v="22.95"/>
    <n v="4"/>
  </r>
  <r>
    <s v="2021-06-19"/>
    <s v="Vancouver"/>
    <s v="加拿大二店"/>
    <x v="4"/>
    <x v="9"/>
    <x v="106"/>
    <x v="0"/>
    <x v="110"/>
    <s v="拼锅"/>
    <n v="11.95"/>
    <s v="锅"/>
    <n v="8"/>
    <n v="95.6"/>
    <n v="1"/>
    <n v="11.95"/>
    <n v="0"/>
    <n v="0"/>
    <n v="0"/>
    <n v="0"/>
    <n v="0"/>
    <n v="0.05"/>
    <n v="1.71"/>
    <n v="0"/>
    <n v="7"/>
    <n v="85.98"/>
    <n v="4.09"/>
    <n v="81.89"/>
    <n v="2"/>
  </r>
  <r>
    <s v="2021-06-19"/>
    <s v="Vancouver"/>
    <s v="加拿大二店"/>
    <x v="4"/>
    <x v="10"/>
    <x v="106"/>
    <x v="0"/>
    <x v="110"/>
    <s v="四宫格"/>
    <n v="5.95"/>
    <s v="锅"/>
    <n v="6"/>
    <n v="35.7"/>
    <n v="0"/>
    <n v="0"/>
    <n v="0"/>
    <n v="0"/>
    <n v="0"/>
    <n v="0"/>
    <n v="0"/>
    <n v="0"/>
    <n v="0"/>
    <n v="0"/>
    <n v="6"/>
    <n v="37.48"/>
    <n v="1.78"/>
    <n v="35.7"/>
    <n v="1"/>
  </r>
  <r>
    <s v="2021-06-19"/>
    <s v="Vancouver"/>
    <s v="加拿大二店"/>
    <x v="4"/>
    <x v="9"/>
    <x v="107"/>
    <x v="0"/>
    <x v="111"/>
    <s v="拼锅"/>
    <n v="11.95"/>
    <s v="锅"/>
    <n v="9"/>
    <n v="107.55"/>
    <n v="0"/>
    <n v="0"/>
    <n v="0"/>
    <n v="0"/>
    <n v="0"/>
    <n v="0"/>
    <n v="0"/>
    <n v="0"/>
    <n v="3.82"/>
    <n v="0"/>
    <n v="9"/>
    <n v="108.91"/>
    <n v="5.18"/>
    <n v="103.73"/>
    <n v="2"/>
  </r>
  <r>
    <s v="2021-06-19"/>
    <s v="Vancouver"/>
    <s v="加拿大二店"/>
    <x v="4"/>
    <x v="10"/>
    <x v="107"/>
    <x v="0"/>
    <x v="111"/>
    <s v="四宫格"/>
    <n v="5.95"/>
    <s v="锅"/>
    <n v="9"/>
    <n v="53.55"/>
    <n v="0"/>
    <n v="0"/>
    <n v="0"/>
    <n v="0"/>
    <n v="1"/>
    <n v="5.95"/>
    <n v="0"/>
    <n v="0"/>
    <n v="2.97"/>
    <n v="0"/>
    <n v="8"/>
    <n v="46.86"/>
    <n v="2.23"/>
    <n v="44.63"/>
    <n v="1"/>
  </r>
  <r>
    <s v="2021-06-20"/>
    <s v="Vancouver"/>
    <s v="加拿大二店"/>
    <x v="0"/>
    <x v="0"/>
    <x v="0"/>
    <x v="0"/>
    <x v="0"/>
    <s v="套餐"/>
    <n v="139.95"/>
    <s v="套餐"/>
    <n v="2"/>
    <n v="279.9"/>
    <n v="0"/>
    <n v="0"/>
    <n v="0"/>
    <n v="0"/>
    <n v="0"/>
    <n v="0"/>
    <n v="0"/>
    <n v="0.02"/>
    <n v="0"/>
    <n v="0"/>
    <n v="2"/>
    <n v="296.67"/>
    <n v="16.79"/>
    <n v="279.88"/>
    <n v="1"/>
  </r>
  <r>
    <s v="2021-06-20"/>
    <s v="Vancouver"/>
    <s v="加拿大二店"/>
    <x v="1"/>
    <x v="1"/>
    <x v="1"/>
    <x v="1"/>
    <x v="1"/>
    <s v="整份"/>
    <n v="16.95"/>
    <s v="份"/>
    <n v="21"/>
    <n v="355.95"/>
    <n v="0"/>
    <n v="0"/>
    <n v="0"/>
    <n v="0"/>
    <n v="1"/>
    <n v="16.95"/>
    <n v="0"/>
    <n v="0"/>
    <n v="9.58"/>
    <n v="0"/>
    <n v="20"/>
    <n v="345.89"/>
    <n v="16.47"/>
    <n v="329.42"/>
    <n v="1"/>
  </r>
  <r>
    <s v="2021-06-20"/>
    <s v="Vancouver"/>
    <s v="加拿大二店"/>
    <x v="2"/>
    <x v="2"/>
    <x v="120"/>
    <x v="114"/>
    <x v="124"/>
    <s v="罐"/>
    <n v="5.95"/>
    <s v="罐"/>
    <n v="1"/>
    <n v="5.95"/>
    <n v="0"/>
    <n v="0"/>
    <n v="0"/>
    <n v="0"/>
    <n v="0"/>
    <n v="0"/>
    <n v="0"/>
    <n v="0"/>
    <n v="0"/>
    <n v="0"/>
    <n v="1"/>
    <n v="6.84"/>
    <n v="0.89"/>
    <n v="5.95"/>
    <n v="1"/>
  </r>
  <r>
    <s v="2021-06-20"/>
    <s v="Vancouver"/>
    <s v="加拿大二店"/>
    <x v="1"/>
    <x v="1"/>
    <x v="2"/>
    <x v="2"/>
    <x v="2"/>
    <s v="整份"/>
    <n v="25.95"/>
    <s v="份"/>
    <n v="34"/>
    <n v="882.3"/>
    <n v="1"/>
    <n v="25.95"/>
    <n v="0"/>
    <n v="0"/>
    <n v="1"/>
    <n v="25.95"/>
    <n v="0"/>
    <n v="0.01"/>
    <n v="41.63"/>
    <n v="0"/>
    <n v="32"/>
    <n v="828.19"/>
    <n v="39.43"/>
    <n v="788.76"/>
    <n v="1"/>
  </r>
  <r>
    <s v="2021-06-20"/>
    <s v="Vancouver"/>
    <s v="加拿大二店"/>
    <x v="2"/>
    <x v="2"/>
    <x v="3"/>
    <x v="3"/>
    <x v="3"/>
    <s v="杯"/>
    <n v="6.95"/>
    <s v="杯"/>
    <n v="3"/>
    <n v="20.85"/>
    <n v="0"/>
    <n v="0"/>
    <n v="0"/>
    <n v="0"/>
    <n v="0"/>
    <n v="0"/>
    <n v="0"/>
    <n v="0.02"/>
    <n v="1.39"/>
    <n v="0"/>
    <n v="3"/>
    <n v="22.35"/>
    <n v="2.91"/>
    <n v="19.44"/>
    <n v="1"/>
  </r>
  <r>
    <s v="2021-06-20"/>
    <s v="Vancouver"/>
    <s v="加拿大二店"/>
    <x v="2"/>
    <x v="2"/>
    <x v="4"/>
    <x v="4"/>
    <x v="4"/>
    <s v="壶"/>
    <n v="22.95"/>
    <s v="壶"/>
    <n v="3"/>
    <n v="68.85"/>
    <n v="0"/>
    <n v="0"/>
    <n v="0"/>
    <n v="0"/>
    <n v="0"/>
    <n v="0"/>
    <n v="0"/>
    <n v="-0.01"/>
    <n v="0"/>
    <n v="0"/>
    <n v="3"/>
    <n v="79.18"/>
    <n v="10.32"/>
    <n v="68.86"/>
    <n v="1"/>
  </r>
  <r>
    <s v="2021-06-20"/>
    <s v="Vancouver"/>
    <s v="加拿大二店"/>
    <x v="2"/>
    <x v="2"/>
    <x v="5"/>
    <x v="5"/>
    <x v="5"/>
    <s v="杯"/>
    <n v="6.95"/>
    <s v="杯"/>
    <n v="17"/>
    <n v="118.15"/>
    <n v="0"/>
    <n v="0"/>
    <n v="0"/>
    <n v="0"/>
    <n v="0"/>
    <n v="0"/>
    <n v="0"/>
    <n v="0.03"/>
    <n v="0"/>
    <n v="0"/>
    <n v="17"/>
    <n v="135.83"/>
    <n v="17.71"/>
    <n v="118.12"/>
    <n v="1"/>
  </r>
  <r>
    <s v="2021-06-20"/>
    <s v="Vancouver"/>
    <s v="加拿大二店"/>
    <x v="1"/>
    <x v="3"/>
    <x v="6"/>
    <x v="6"/>
    <x v="6"/>
    <s v="整份"/>
    <n v="7.95"/>
    <s v="份"/>
    <n v="10"/>
    <n v="79.5"/>
    <n v="0"/>
    <n v="0"/>
    <n v="0"/>
    <n v="0"/>
    <n v="0"/>
    <n v="0"/>
    <n v="0"/>
    <n v="0"/>
    <n v="0"/>
    <n v="0"/>
    <n v="10"/>
    <n v="83.47"/>
    <n v="3.97"/>
    <n v="79.5"/>
    <n v="1"/>
  </r>
  <r>
    <s v="2021-06-20"/>
    <s v="Vancouver"/>
    <s v="加拿大二店"/>
    <x v="2"/>
    <x v="4"/>
    <x v="7"/>
    <x v="7"/>
    <x v="7"/>
    <s v="冰镇"/>
    <n v="2.45"/>
    <s v="罐"/>
    <n v="4"/>
    <n v="9.8"/>
    <n v="0"/>
    <n v="0"/>
    <n v="0"/>
    <n v="0"/>
    <n v="0"/>
    <n v="0"/>
    <n v="0"/>
    <n v="0"/>
    <n v="0"/>
    <n v="0"/>
    <n v="4"/>
    <n v="10.97"/>
    <n v="1.17"/>
    <n v="9.8"/>
    <n v="1"/>
  </r>
  <r>
    <s v="2021-06-20"/>
    <s v="Vancouver"/>
    <s v="加拿大二店"/>
    <x v="2"/>
    <x v="4"/>
    <x v="110"/>
    <x v="104"/>
    <x v="114"/>
    <s v="小瓶"/>
    <n v="3.95"/>
    <s v="瓶"/>
    <n v="3"/>
    <n v="11.85"/>
    <n v="0"/>
    <n v="0"/>
    <n v="0"/>
    <n v="0"/>
    <n v="0"/>
    <n v="0"/>
    <n v="0"/>
    <n v="-0.02"/>
    <n v="0"/>
    <n v="0"/>
    <n v="3"/>
    <n v="13.29"/>
    <n v="1.42"/>
    <n v="11.87"/>
    <n v="1"/>
  </r>
  <r>
    <s v="2021-06-20"/>
    <s v="Vancouver"/>
    <s v="加拿大二店"/>
    <x v="3"/>
    <x v="5"/>
    <x v="8"/>
    <x v="8"/>
    <x v="8"/>
    <s v="整份"/>
    <n v="3.95"/>
    <s v="份"/>
    <n v="10"/>
    <n v="39.5"/>
    <n v="0"/>
    <n v="0"/>
    <n v="0"/>
    <n v="0"/>
    <n v="0"/>
    <n v="0"/>
    <n v="0"/>
    <n v="0"/>
    <n v="0"/>
    <n v="0"/>
    <n v="10"/>
    <n v="41.47"/>
    <n v="1.97"/>
    <n v="39.5"/>
    <n v="1"/>
  </r>
  <r>
    <s v="2021-06-20"/>
    <s v="Vancouver"/>
    <s v="加拿大二店"/>
    <x v="2"/>
    <x v="4"/>
    <x v="9"/>
    <x v="9"/>
    <x v="9"/>
    <s v="常温"/>
    <n v="2.95"/>
    <s v="位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20"/>
    <s v="Vancouver"/>
    <s v="加拿大二店"/>
    <x v="2"/>
    <x v="4"/>
    <x v="9"/>
    <x v="9"/>
    <x v="9"/>
    <s v="冰镇"/>
    <n v="2.95"/>
    <s v="位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20"/>
    <s v="Vancouver"/>
    <s v="加拿大二店"/>
    <x v="2"/>
    <x v="4"/>
    <x v="10"/>
    <x v="10"/>
    <x v="10"/>
    <s v="半份"/>
    <n v="6.95"/>
    <s v="扎"/>
    <n v="3"/>
    <n v="20.85"/>
    <n v="0"/>
    <n v="0"/>
    <n v="0"/>
    <n v="0"/>
    <n v="1"/>
    <n v="6.95"/>
    <n v="0"/>
    <n v="0"/>
    <n v="0"/>
    <n v="0"/>
    <n v="2"/>
    <n v="15.56"/>
    <n v="1.66"/>
    <n v="13.9"/>
    <n v="0.5"/>
  </r>
  <r>
    <s v="2021-06-20"/>
    <s v="Vancouver"/>
    <s v="加拿大二店"/>
    <x v="2"/>
    <x v="4"/>
    <x v="10"/>
    <x v="11"/>
    <x v="11"/>
    <s v="整份"/>
    <n v="9.95"/>
    <s v="扎"/>
    <n v="9"/>
    <n v="89.55"/>
    <n v="1"/>
    <n v="9.95"/>
    <n v="0"/>
    <n v="0"/>
    <n v="1"/>
    <n v="9.95"/>
    <n v="0"/>
    <n v="0"/>
    <n v="0"/>
    <n v="0"/>
    <n v="7"/>
    <n v="78"/>
    <n v="8.35"/>
    <n v="69.65"/>
    <n v="1"/>
  </r>
  <r>
    <s v="2021-06-20"/>
    <s v="Vancouver"/>
    <s v="加拿大二店"/>
    <x v="1"/>
    <x v="6"/>
    <x v="11"/>
    <x v="12"/>
    <x v="12"/>
    <s v="整份"/>
    <n v="8.95"/>
    <s v="份"/>
    <n v="15"/>
    <n v="134.25"/>
    <n v="0"/>
    <n v="0"/>
    <n v="0"/>
    <n v="0"/>
    <n v="1"/>
    <n v="8.95"/>
    <n v="0"/>
    <n v="0"/>
    <n v="1.79"/>
    <n v="0"/>
    <n v="14"/>
    <n v="129.68"/>
    <n v="6.17"/>
    <n v="123.51"/>
    <n v="1"/>
  </r>
  <r>
    <s v="2021-06-20"/>
    <s v="Vancouver"/>
    <s v="加拿大二店"/>
    <x v="1"/>
    <x v="6"/>
    <x v="12"/>
    <x v="13"/>
    <x v="13"/>
    <s v="整份"/>
    <n v="16.95"/>
    <s v="份"/>
    <n v="4"/>
    <n v="67.8"/>
    <n v="0"/>
    <n v="0"/>
    <n v="0"/>
    <n v="0"/>
    <n v="0"/>
    <n v="0"/>
    <n v="0"/>
    <n v="0"/>
    <n v="0"/>
    <n v="0"/>
    <n v="4"/>
    <n v="71.19"/>
    <n v="3.39"/>
    <n v="67.8"/>
    <n v="1"/>
  </r>
  <r>
    <s v="2021-06-20"/>
    <s v="Vancouver"/>
    <s v="加拿大二店"/>
    <x v="1"/>
    <x v="6"/>
    <x v="13"/>
    <x v="14"/>
    <x v="14"/>
    <s v="整份"/>
    <n v="21.95"/>
    <s v="份"/>
    <n v="2"/>
    <n v="43.9"/>
    <n v="0"/>
    <n v="0"/>
    <n v="0"/>
    <n v="0"/>
    <n v="0"/>
    <n v="0"/>
    <n v="0"/>
    <n v="0"/>
    <n v="4.39"/>
    <n v="0"/>
    <n v="2"/>
    <n v="41.48"/>
    <n v="1.97"/>
    <n v="39.51"/>
    <n v="1"/>
  </r>
  <r>
    <s v="2021-06-20"/>
    <s v="Vancouver"/>
    <s v="加拿大二店"/>
    <x v="1"/>
    <x v="6"/>
    <x v="14"/>
    <x v="15"/>
    <x v="15"/>
    <s v="整份"/>
    <n v="29.95"/>
    <s v="份"/>
    <n v="2"/>
    <n v="59.9"/>
    <n v="0"/>
    <n v="0"/>
    <n v="0"/>
    <n v="0"/>
    <n v="0"/>
    <n v="0"/>
    <n v="0"/>
    <n v="0"/>
    <n v="0"/>
    <n v="0"/>
    <n v="2"/>
    <n v="62.89"/>
    <n v="2.99"/>
    <n v="59.9"/>
    <n v="1"/>
  </r>
  <r>
    <s v="2021-06-20"/>
    <s v="Vancouver"/>
    <s v="加拿大二店"/>
    <x v="1"/>
    <x v="6"/>
    <x v="121"/>
    <x v="115"/>
    <x v="125"/>
    <s v="整份"/>
    <n v="12.95"/>
    <s v="份"/>
    <n v="5"/>
    <n v="64.75"/>
    <n v="0"/>
    <n v="0"/>
    <n v="0"/>
    <n v="0"/>
    <n v="0"/>
    <n v="0"/>
    <n v="0"/>
    <n v="0"/>
    <n v="2.59"/>
    <n v="0"/>
    <n v="5"/>
    <n v="65.26"/>
    <n v="3.1"/>
    <n v="62.16"/>
    <n v="1"/>
  </r>
  <r>
    <s v="2021-06-20"/>
    <s v="Vancouver"/>
    <s v="加拿大二店"/>
    <x v="1"/>
    <x v="6"/>
    <x v="15"/>
    <x v="16"/>
    <x v="16"/>
    <s v="整份"/>
    <n v="8.95"/>
    <s v="份"/>
    <n v="12"/>
    <n v="107.4"/>
    <n v="0"/>
    <n v="0"/>
    <n v="0"/>
    <n v="0"/>
    <n v="0"/>
    <n v="0"/>
    <n v="0"/>
    <n v="0"/>
    <n v="0"/>
    <n v="0"/>
    <n v="12"/>
    <n v="112.77"/>
    <n v="5.37"/>
    <n v="107.4"/>
    <n v="1"/>
  </r>
  <r>
    <s v="2021-06-20"/>
    <s v="Vancouver"/>
    <s v="加拿大二店"/>
    <x v="1"/>
    <x v="6"/>
    <x v="111"/>
    <x v="105"/>
    <x v="115"/>
    <s v="整份"/>
    <n v="8.95"/>
    <s v="份"/>
    <n v="7"/>
    <n v="62.65"/>
    <n v="0"/>
    <n v="0"/>
    <n v="0"/>
    <n v="0"/>
    <n v="0"/>
    <n v="0"/>
    <n v="0"/>
    <n v="0"/>
    <n v="1.79"/>
    <n v="0"/>
    <n v="7"/>
    <n v="63.9"/>
    <n v="3.04"/>
    <n v="60.86"/>
    <n v="1"/>
  </r>
  <r>
    <s v="2021-06-20"/>
    <s v="Vancouver"/>
    <s v="加拿大二店"/>
    <x v="3"/>
    <x v="7"/>
    <x v="16"/>
    <x v="17"/>
    <x v="17"/>
    <s v="整份"/>
    <n v="4.95"/>
    <s v="份"/>
    <n v="13"/>
    <n v="64.35"/>
    <n v="0"/>
    <n v="0"/>
    <n v="0"/>
    <n v="0"/>
    <n v="0"/>
    <n v="0"/>
    <n v="0"/>
    <n v="0"/>
    <n v="1.98"/>
    <n v="0"/>
    <n v="13"/>
    <n v="65.48"/>
    <n v="3.11"/>
    <n v="62.37"/>
    <n v="1"/>
  </r>
  <r>
    <s v="2021-06-20"/>
    <s v="Vancouver"/>
    <s v="加拿大二店"/>
    <x v="2"/>
    <x v="4"/>
    <x v="17"/>
    <x v="18"/>
    <x v="18"/>
    <s v="常温"/>
    <n v="2.95"/>
    <s v="瓶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20"/>
    <s v="Vancouver"/>
    <s v="加拿大二店"/>
    <x v="2"/>
    <x v="4"/>
    <x v="17"/>
    <x v="18"/>
    <x v="18"/>
    <s v="冰镇"/>
    <n v="2.95"/>
    <s v="瓶"/>
    <n v="9"/>
    <n v="26.55"/>
    <n v="0"/>
    <n v="0"/>
    <n v="0"/>
    <n v="0"/>
    <n v="0"/>
    <n v="0"/>
    <n v="0"/>
    <n v="0"/>
    <n v="0"/>
    <n v="0"/>
    <n v="9"/>
    <n v="29.73"/>
    <n v="3.18"/>
    <n v="26.55"/>
    <n v="1"/>
  </r>
  <r>
    <s v="2021-06-20"/>
    <s v="Vancouver"/>
    <s v="加拿大二店"/>
    <x v="2"/>
    <x v="2"/>
    <x v="127"/>
    <x v="121"/>
    <x v="132"/>
    <s v="常温"/>
    <n v="4.95"/>
    <s v="瓶"/>
    <n v="1"/>
    <n v="4.95"/>
    <n v="0"/>
    <n v="0"/>
    <n v="0"/>
    <n v="0"/>
    <n v="0"/>
    <n v="0"/>
    <n v="0"/>
    <n v="0"/>
    <n v="0"/>
    <n v="0"/>
    <n v="1"/>
    <n v="5.69"/>
    <n v="0.74"/>
    <n v="4.95"/>
    <n v="1"/>
  </r>
  <r>
    <s v="2021-06-20"/>
    <s v="Vancouver"/>
    <s v="加拿大二店"/>
    <x v="2"/>
    <x v="2"/>
    <x v="127"/>
    <x v="121"/>
    <x v="132"/>
    <s v="冰镇"/>
    <n v="4.95"/>
    <s v="瓶"/>
    <n v="1"/>
    <n v="4.95"/>
    <n v="0"/>
    <n v="0"/>
    <n v="0"/>
    <n v="0"/>
    <n v="0"/>
    <n v="0"/>
    <n v="0"/>
    <n v="0"/>
    <n v="0"/>
    <n v="0"/>
    <n v="1"/>
    <n v="5.69"/>
    <n v="0.74"/>
    <n v="4.95"/>
    <n v="1"/>
  </r>
  <r>
    <s v="2021-06-20"/>
    <s v="Vancouver"/>
    <s v="加拿大二店"/>
    <x v="2"/>
    <x v="4"/>
    <x v="18"/>
    <x v="19"/>
    <x v="19"/>
    <s v="冰镇"/>
    <n v="2.95"/>
    <s v="听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20"/>
    <s v="Vancouver"/>
    <s v="加拿大二店"/>
    <x v="1"/>
    <x v="8"/>
    <x v="19"/>
    <x v="20"/>
    <x v="20"/>
    <s v="整份"/>
    <n v="5.95"/>
    <s v="份"/>
    <n v="16"/>
    <n v="95.2"/>
    <n v="0"/>
    <n v="0"/>
    <n v="0"/>
    <n v="0"/>
    <n v="0"/>
    <n v="0"/>
    <n v="0"/>
    <n v="0"/>
    <n v="2.08"/>
    <n v="0"/>
    <n v="16"/>
    <n v="97.77"/>
    <n v="4.65"/>
    <n v="93.12"/>
    <n v="1"/>
  </r>
  <r>
    <s v="2021-06-20"/>
    <s v="Vancouver"/>
    <s v="加拿大二店"/>
    <x v="1"/>
    <x v="8"/>
    <x v="20"/>
    <x v="21"/>
    <x v="21"/>
    <s v="整份"/>
    <n v="7.95"/>
    <s v="份"/>
    <n v="3"/>
    <n v="23.85"/>
    <n v="0"/>
    <n v="0"/>
    <n v="0"/>
    <n v="0"/>
    <n v="0"/>
    <n v="0"/>
    <n v="0"/>
    <n v="0"/>
    <n v="2.43"/>
    <n v="0"/>
    <n v="3"/>
    <n v="22.49"/>
    <n v="1.07"/>
    <n v="21.42"/>
    <n v="1"/>
  </r>
  <r>
    <s v="2021-06-20"/>
    <s v="Vancouver"/>
    <s v="加拿大二店"/>
    <x v="2"/>
    <x v="4"/>
    <x v="21"/>
    <x v="22"/>
    <x v="22"/>
    <s v="冰镇"/>
    <n v="2.45"/>
    <s v="听"/>
    <n v="7"/>
    <n v="17.15"/>
    <n v="0"/>
    <n v="0"/>
    <n v="0"/>
    <n v="0"/>
    <n v="0"/>
    <n v="0"/>
    <n v="0"/>
    <n v="0"/>
    <n v="0"/>
    <n v="0"/>
    <n v="7"/>
    <n v="19.2"/>
    <n v="2.05"/>
    <n v="17.15"/>
    <n v="1"/>
  </r>
  <r>
    <s v="2021-06-20"/>
    <s v="Vancouver"/>
    <s v="加拿大二店"/>
    <x v="4"/>
    <x v="9"/>
    <x v="22"/>
    <x v="0"/>
    <x v="23"/>
    <s v="拼锅"/>
    <n v="11.95"/>
    <s v="锅"/>
    <n v="6"/>
    <n v="71.7"/>
    <n v="1"/>
    <n v="11.95"/>
    <n v="0"/>
    <n v="0"/>
    <n v="0"/>
    <n v="0"/>
    <n v="0"/>
    <n v="0"/>
    <n v="0"/>
    <n v="0"/>
    <n v="5"/>
    <n v="63.33"/>
    <n v="3.58"/>
    <n v="59.75"/>
    <n v="2"/>
  </r>
  <r>
    <s v="2021-06-20"/>
    <s v="Vancouver"/>
    <s v="加拿大二店"/>
    <x v="4"/>
    <x v="10"/>
    <x v="22"/>
    <x v="0"/>
    <x v="23"/>
    <s v="四宫格"/>
    <n v="5.95"/>
    <s v="锅"/>
    <n v="6"/>
    <n v="35.7"/>
    <n v="0"/>
    <n v="0"/>
    <n v="0"/>
    <n v="0"/>
    <n v="0"/>
    <n v="0"/>
    <n v="0"/>
    <n v="0.05"/>
    <n v="0"/>
    <n v="0"/>
    <n v="6"/>
    <n v="37.78"/>
    <n v="2.13"/>
    <n v="35.65"/>
    <n v="1"/>
  </r>
  <r>
    <s v="2021-06-20"/>
    <s v="Vancouver"/>
    <s v="加拿大二店"/>
    <x v="3"/>
    <x v="7"/>
    <x v="23"/>
    <x v="23"/>
    <x v="24"/>
    <s v="整份"/>
    <n v="4.95"/>
    <s v="份"/>
    <n v="21"/>
    <n v="103.95"/>
    <n v="0"/>
    <n v="0"/>
    <n v="0"/>
    <n v="0"/>
    <n v="1"/>
    <n v="4.95"/>
    <n v="0"/>
    <n v="0"/>
    <n v="1.48"/>
    <n v="0"/>
    <n v="20"/>
    <n v="102.39"/>
    <n v="4.87"/>
    <n v="97.52"/>
    <n v="1"/>
  </r>
  <r>
    <s v="2021-06-20"/>
    <s v="Vancouver"/>
    <s v="加拿大二店"/>
    <x v="3"/>
    <x v="11"/>
    <x v="24"/>
    <x v="118"/>
    <x v="129"/>
    <s v="整份"/>
    <n v="5.95"/>
    <s v="份"/>
    <n v="6"/>
    <n v="35.7"/>
    <n v="0"/>
    <n v="0"/>
    <n v="0"/>
    <n v="0"/>
    <n v="0"/>
    <n v="0"/>
    <n v="0"/>
    <n v="0"/>
    <n v="0"/>
    <n v="0"/>
    <n v="6"/>
    <n v="37.48"/>
    <n v="1.78"/>
    <n v="35.7"/>
    <n v="1"/>
  </r>
  <r>
    <s v="2021-06-20"/>
    <s v="Vancouver"/>
    <s v="加拿大二店"/>
    <x v="3"/>
    <x v="11"/>
    <x v="24"/>
    <x v="24"/>
    <x v="25"/>
    <s v="半份"/>
    <n v="2.95"/>
    <s v="份"/>
    <n v="2"/>
    <n v="5.9"/>
    <n v="1"/>
    <n v="2.95"/>
    <n v="0"/>
    <n v="0"/>
    <n v="0"/>
    <n v="0"/>
    <n v="0"/>
    <n v="0"/>
    <n v="0"/>
    <n v="0"/>
    <n v="1"/>
    <n v="3.09"/>
    <n v="0.14"/>
    <n v="2.95"/>
    <n v="0.5"/>
  </r>
  <r>
    <s v="2021-06-20"/>
    <s v="Vancouver"/>
    <s v="加拿大二店"/>
    <x v="3"/>
    <x v="5"/>
    <x v="25"/>
    <x v="25"/>
    <x v="26"/>
    <s v="整份"/>
    <n v="3.95"/>
    <s v="份"/>
    <n v="2"/>
    <n v="7.9"/>
    <n v="0"/>
    <n v="0"/>
    <n v="0"/>
    <n v="0"/>
    <n v="1"/>
    <n v="3.95"/>
    <n v="0"/>
    <n v="0"/>
    <n v="0.79"/>
    <n v="0"/>
    <n v="1"/>
    <n v="3.31"/>
    <n v="0.15"/>
    <n v="3.16"/>
    <n v="1"/>
  </r>
  <r>
    <s v="2021-06-20"/>
    <s v="Vancouver"/>
    <s v="加拿大二店"/>
    <x v="3"/>
    <x v="11"/>
    <x v="26"/>
    <x v="26"/>
    <x v="27"/>
    <s v="整份"/>
    <n v="4.95"/>
    <s v="份"/>
    <n v="20"/>
    <n v="99"/>
    <n v="0"/>
    <n v="0"/>
    <n v="0"/>
    <n v="0"/>
    <n v="1"/>
    <n v="4.95"/>
    <n v="0"/>
    <n v="0"/>
    <n v="0"/>
    <n v="0"/>
    <n v="19"/>
    <n v="98.75"/>
    <n v="4.7"/>
    <n v="94.05"/>
    <n v="1"/>
  </r>
  <r>
    <s v="2021-06-20"/>
    <s v="Vancouver"/>
    <s v="加拿大二店"/>
    <x v="3"/>
    <x v="11"/>
    <x v="26"/>
    <x v="27"/>
    <x v="28"/>
    <s v="半份"/>
    <n v="2.45"/>
    <s v="份"/>
    <n v="11"/>
    <n v="26.95"/>
    <n v="0"/>
    <n v="0"/>
    <n v="0"/>
    <n v="0"/>
    <n v="0"/>
    <n v="0"/>
    <n v="0"/>
    <n v="0"/>
    <n v="0"/>
    <n v="0"/>
    <n v="11"/>
    <n v="28.29"/>
    <n v="1.34"/>
    <n v="26.95"/>
    <n v="0.5"/>
  </r>
  <r>
    <s v="2021-06-20"/>
    <s v="Vancouver"/>
    <s v="加拿大二店"/>
    <x v="2"/>
    <x v="4"/>
    <x v="122"/>
    <x v="116"/>
    <x v="126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20"/>
    <s v="Vancouver"/>
    <s v="加拿大二店"/>
    <x v="5"/>
    <x v="12"/>
    <x v="27"/>
    <x v="28"/>
    <x v="29"/>
    <s v="整份"/>
    <n v="7.95"/>
    <s v="份"/>
    <n v="8"/>
    <n v="63.6"/>
    <n v="0"/>
    <n v="0"/>
    <n v="0"/>
    <n v="0"/>
    <n v="1"/>
    <n v="7.95"/>
    <n v="0"/>
    <n v="0"/>
    <n v="3.57"/>
    <n v="0"/>
    <n v="7"/>
    <n v="54.68"/>
    <n v="2.6"/>
    <n v="52.08"/>
    <n v="1"/>
  </r>
  <r>
    <s v="2021-06-20"/>
    <s v="Vancouver"/>
    <s v="加拿大二店"/>
    <x v="3"/>
    <x v="7"/>
    <x v="28"/>
    <x v="29"/>
    <x v="30"/>
    <s v="整份"/>
    <n v="4.95"/>
    <s v="份"/>
    <n v="20"/>
    <n v="99"/>
    <n v="0"/>
    <n v="0"/>
    <n v="0"/>
    <n v="0"/>
    <n v="0"/>
    <n v="0"/>
    <n v="0"/>
    <n v="0"/>
    <n v="2.81"/>
    <n v="0"/>
    <n v="20"/>
    <n v="100.99"/>
    <n v="4.8"/>
    <n v="96.19"/>
    <n v="1"/>
  </r>
  <r>
    <s v="2021-06-20"/>
    <s v="Vancouver"/>
    <s v="加拿大二店"/>
    <x v="2"/>
    <x v="4"/>
    <x v="112"/>
    <x v="106"/>
    <x v="116"/>
    <s v="常温"/>
    <n v="3.95"/>
    <s v="瓶"/>
    <n v="2"/>
    <n v="7.9"/>
    <n v="0"/>
    <n v="0"/>
    <n v="0"/>
    <n v="0"/>
    <n v="0"/>
    <n v="0"/>
    <n v="0"/>
    <n v="0"/>
    <n v="0"/>
    <n v="0"/>
    <n v="2"/>
    <n v="8.84"/>
    <n v="0.94"/>
    <n v="7.9"/>
    <n v="1"/>
  </r>
  <r>
    <s v="2021-06-20"/>
    <s v="Vancouver"/>
    <s v="加拿大二店"/>
    <x v="2"/>
    <x v="4"/>
    <x v="112"/>
    <x v="106"/>
    <x v="116"/>
    <s v="冰镇"/>
    <n v="3.95"/>
    <s v="瓶"/>
    <n v="2"/>
    <n v="7.9"/>
    <n v="0"/>
    <n v="0"/>
    <n v="0"/>
    <n v="0"/>
    <n v="0"/>
    <n v="0"/>
    <n v="0"/>
    <n v="0"/>
    <n v="0"/>
    <n v="0"/>
    <n v="2"/>
    <n v="8.84"/>
    <n v="0.94"/>
    <n v="7.9"/>
    <n v="1"/>
  </r>
  <r>
    <s v="2021-06-20"/>
    <s v="Vancouver"/>
    <s v="加拿大二店"/>
    <x v="3"/>
    <x v="5"/>
    <x v="29"/>
    <x v="30"/>
    <x v="31"/>
    <s v="整份"/>
    <n v="3.95"/>
    <s v="份"/>
    <n v="10"/>
    <n v="39.5"/>
    <n v="0"/>
    <n v="0"/>
    <n v="0"/>
    <n v="0"/>
    <n v="0"/>
    <n v="0"/>
    <n v="0"/>
    <n v="0"/>
    <n v="1.38"/>
    <n v="0"/>
    <n v="10"/>
    <n v="40.02"/>
    <n v="1.9"/>
    <n v="38.12"/>
    <n v="1"/>
  </r>
  <r>
    <s v="2021-06-20"/>
    <s v="Vancouver"/>
    <s v="加拿大二店"/>
    <x v="6"/>
    <x v="13"/>
    <x v="30"/>
    <x v="31"/>
    <x v="32"/>
    <s v="整份"/>
    <n v="4.95"/>
    <s v="份"/>
    <n v="20"/>
    <n v="99"/>
    <n v="0"/>
    <n v="0"/>
    <n v="0"/>
    <n v="0"/>
    <n v="0"/>
    <n v="0"/>
    <n v="0"/>
    <n v="0"/>
    <n v="0.99"/>
    <n v="0"/>
    <n v="20"/>
    <n v="102.91"/>
    <n v="4.9"/>
    <n v="98.01"/>
    <n v="1"/>
  </r>
  <r>
    <s v="2021-06-20"/>
    <s v="Vancouver"/>
    <s v="加拿大二店"/>
    <x v="6"/>
    <x v="13"/>
    <x v="31"/>
    <x v="32"/>
    <x v="33"/>
    <s v="整份"/>
    <n v="9.95"/>
    <s v="份"/>
    <n v="10"/>
    <n v="99.5"/>
    <n v="1"/>
    <n v="9.95"/>
    <n v="0"/>
    <n v="0"/>
    <n v="0"/>
    <n v="0"/>
    <n v="0"/>
    <n v="0"/>
    <n v="0"/>
    <n v="0"/>
    <n v="9"/>
    <n v="94.02"/>
    <n v="4.47"/>
    <n v="89.55"/>
    <n v="1"/>
  </r>
  <r>
    <s v="2021-06-20"/>
    <s v="Vancouver"/>
    <s v="加拿大二店"/>
    <x v="5"/>
    <x v="12"/>
    <x v="32"/>
    <x v="33"/>
    <x v="34"/>
    <s v="整份"/>
    <n v="17.85"/>
    <s v="份"/>
    <n v="4"/>
    <n v="71.4"/>
    <n v="0"/>
    <n v="0"/>
    <n v="0"/>
    <n v="0"/>
    <n v="0"/>
    <n v="0"/>
    <n v="0"/>
    <n v="0"/>
    <n v="0"/>
    <n v="0"/>
    <n v="4"/>
    <n v="74.97"/>
    <n v="3.57"/>
    <n v="71.4"/>
    <n v="1"/>
  </r>
  <r>
    <s v="2021-06-20"/>
    <s v="Vancouver"/>
    <s v="加拿大二店"/>
    <x v="1"/>
    <x v="3"/>
    <x v="33"/>
    <x v="34"/>
    <x v="35"/>
    <s v="整份"/>
    <n v="11.95"/>
    <s v="份"/>
    <n v="39"/>
    <n v="466.05"/>
    <n v="0"/>
    <n v="0"/>
    <n v="0"/>
    <n v="0"/>
    <n v="1"/>
    <n v="11.95"/>
    <n v="0"/>
    <n v="0.01"/>
    <n v="20.57"/>
    <n v="0"/>
    <n v="38"/>
    <n v="455.19"/>
    <n v="21.67"/>
    <n v="433.52"/>
    <n v="1"/>
  </r>
  <r>
    <s v="2021-06-20"/>
    <s v="Vancouver"/>
    <s v="加拿大二店"/>
    <x v="5"/>
    <x v="12"/>
    <x v="34"/>
    <x v="35"/>
    <x v="36"/>
    <s v="整份"/>
    <n v="11.95"/>
    <s v="份"/>
    <n v="15"/>
    <n v="179.25"/>
    <n v="0"/>
    <n v="0"/>
    <n v="0"/>
    <n v="0"/>
    <n v="0"/>
    <n v="0"/>
    <n v="0"/>
    <n v="0.01"/>
    <n v="7.82"/>
    <n v="0"/>
    <n v="15"/>
    <n v="179.99"/>
    <n v="8.57"/>
    <n v="171.42"/>
    <n v="1"/>
  </r>
  <r>
    <s v="2021-06-20"/>
    <s v="Vancouver"/>
    <s v="加拿大二店"/>
    <x v="5"/>
    <x v="12"/>
    <x v="35"/>
    <x v="36"/>
    <x v="37"/>
    <s v="条"/>
    <n v="4.95"/>
    <s v="条"/>
    <n v="28"/>
    <n v="138.6"/>
    <n v="1"/>
    <n v="4.95"/>
    <n v="0"/>
    <n v="0"/>
    <n v="0"/>
    <n v="0"/>
    <n v="0"/>
    <n v="-0.03"/>
    <n v="1.4"/>
    <n v="0"/>
    <n v="27"/>
    <n v="138.89"/>
    <n v="6.61"/>
    <n v="132.28"/>
    <n v="1"/>
  </r>
  <r>
    <s v="2021-06-20"/>
    <s v="Vancouver"/>
    <s v="加拿大二店"/>
    <x v="5"/>
    <x v="12"/>
    <x v="36"/>
    <x v="37"/>
    <x v="38"/>
    <s v="整份"/>
    <n v="13.95"/>
    <s v="份"/>
    <n v="25"/>
    <n v="348.75"/>
    <n v="0"/>
    <n v="0"/>
    <n v="0"/>
    <n v="0"/>
    <n v="0"/>
    <n v="0"/>
    <n v="0"/>
    <n v="-0.01"/>
    <n v="8.59"/>
    <n v="0"/>
    <n v="25"/>
    <n v="357.17"/>
    <n v="17"/>
    <n v="340.17"/>
    <n v="1"/>
  </r>
  <r>
    <s v="2021-06-20"/>
    <s v="Vancouver"/>
    <s v="加拿大二店"/>
    <x v="5"/>
    <x v="12"/>
    <x v="37"/>
    <x v="38"/>
    <x v="39"/>
    <s v="整份"/>
    <n v="9.95"/>
    <s v="份"/>
    <n v="23"/>
    <n v="228.85"/>
    <n v="0"/>
    <n v="0"/>
    <n v="0"/>
    <n v="0"/>
    <n v="0"/>
    <n v="0"/>
    <n v="0"/>
    <n v="0"/>
    <n v="14.11"/>
    <n v="0"/>
    <n v="23"/>
    <n v="225.47"/>
    <n v="10.73"/>
    <n v="214.74"/>
    <n v="1"/>
  </r>
  <r>
    <s v="2021-06-20"/>
    <s v="Vancouver"/>
    <s v="加拿大二店"/>
    <x v="5"/>
    <x v="12"/>
    <x v="38"/>
    <x v="39"/>
    <x v="40"/>
    <s v="整份"/>
    <n v="9.95"/>
    <s v="份"/>
    <n v="9"/>
    <n v="89.55"/>
    <n v="2"/>
    <n v="19.9"/>
    <n v="0"/>
    <n v="0"/>
    <n v="0"/>
    <n v="0"/>
    <n v="0"/>
    <n v="-0.02"/>
    <n v="4.47"/>
    <n v="0"/>
    <n v="7"/>
    <n v="68.46"/>
    <n v="3.26"/>
    <n v="65.2"/>
    <n v="1"/>
  </r>
  <r>
    <s v="2021-06-20"/>
    <s v="Vancouver"/>
    <s v="加拿大二店"/>
    <x v="6"/>
    <x v="13"/>
    <x v="39"/>
    <x v="40"/>
    <x v="41"/>
    <s v="整份"/>
    <n v="8.95"/>
    <s v="份"/>
    <n v="35"/>
    <n v="313.25"/>
    <n v="0"/>
    <n v="0"/>
    <n v="0"/>
    <n v="0"/>
    <n v="2"/>
    <n v="17.9"/>
    <n v="0"/>
    <n v="0"/>
    <n v="0.49"/>
    <n v="0"/>
    <n v="33"/>
    <n v="309.6"/>
    <n v="14.74"/>
    <n v="294.86"/>
    <n v="1"/>
  </r>
  <r>
    <s v="2021-06-20"/>
    <s v="Vancouver"/>
    <s v="加拿大二店"/>
    <x v="5"/>
    <x v="12"/>
    <x v="40"/>
    <x v="41"/>
    <x v="42"/>
    <s v="整份"/>
    <n v="9.95"/>
    <s v="份"/>
    <n v="15"/>
    <n v="149.25"/>
    <n v="0"/>
    <n v="0"/>
    <n v="0"/>
    <n v="0"/>
    <n v="0"/>
    <n v="0"/>
    <n v="0"/>
    <n v="0"/>
    <n v="6.12"/>
    <n v="0"/>
    <n v="15"/>
    <n v="150.28"/>
    <n v="7.15"/>
    <n v="143.13"/>
    <n v="1"/>
  </r>
  <r>
    <s v="2021-06-20"/>
    <s v="Vancouver"/>
    <s v="加拿大二店"/>
    <x v="1"/>
    <x v="6"/>
    <x v="131"/>
    <x v="125"/>
    <x v="136"/>
    <s v="整份"/>
    <n v="28.95"/>
    <s v="份"/>
    <n v="7"/>
    <n v="202.65"/>
    <n v="0"/>
    <n v="0"/>
    <n v="0"/>
    <n v="0"/>
    <n v="0"/>
    <n v="0"/>
    <n v="0"/>
    <n v="-0.03"/>
    <n v="10.13"/>
    <n v="0"/>
    <n v="7"/>
    <n v="204.1"/>
    <n v="11.55"/>
    <n v="192.55"/>
    <n v="1"/>
  </r>
  <r>
    <s v="2021-06-20"/>
    <s v="Vancouver"/>
    <s v="加拿大二店"/>
    <x v="5"/>
    <x v="12"/>
    <x v="41"/>
    <x v="42"/>
    <x v="43"/>
    <s v="整份"/>
    <n v="7.95"/>
    <s v="份"/>
    <n v="18"/>
    <n v="143.1"/>
    <n v="0"/>
    <n v="0"/>
    <n v="0"/>
    <n v="0"/>
    <n v="1"/>
    <n v="7.95"/>
    <n v="0"/>
    <n v="0"/>
    <n v="2.78"/>
    <n v="0"/>
    <n v="17"/>
    <n v="138.98"/>
    <n v="6.61"/>
    <n v="132.37"/>
    <n v="1"/>
  </r>
  <r>
    <s v="2021-06-20"/>
    <s v="Vancouver"/>
    <s v="加拿大二店"/>
    <x v="2"/>
    <x v="21"/>
    <x v="135"/>
    <x v="129"/>
    <x v="140"/>
    <s v="瓶"/>
    <n v="21.95"/>
    <s v="瓶"/>
    <n v="1"/>
    <n v="21.95"/>
    <n v="1"/>
    <n v="21.95"/>
    <n v="0"/>
    <n v="0"/>
    <n v="0"/>
    <n v="0"/>
    <n v="0"/>
    <n v="0"/>
    <n v="0"/>
    <n v="0"/>
    <n v="0"/>
    <n v="0"/>
    <n v="0"/>
    <n v="0"/>
    <n v="1"/>
  </r>
  <r>
    <s v="2021-06-20"/>
    <s v="Vancouver"/>
    <s v="加拿大二店"/>
    <x v="7"/>
    <x v="14"/>
    <x v="44"/>
    <x v="45"/>
    <x v="46"/>
    <s v="整份"/>
    <n v="0"/>
    <s v="份"/>
    <n v="26"/>
    <n v="0"/>
    <n v="1"/>
    <n v="0"/>
    <n v="0"/>
    <n v="0"/>
    <n v="0"/>
    <n v="0"/>
    <n v="0"/>
    <n v="0.01"/>
    <n v="0"/>
    <n v="0"/>
    <n v="25"/>
    <n v="-0.01"/>
    <n v="-0.01"/>
    <n v="0"/>
    <n v="1"/>
  </r>
  <r>
    <s v="2021-06-20"/>
    <s v="Vancouver"/>
    <s v="加拿大二店"/>
    <x v="7"/>
    <x v="14"/>
    <x v="45"/>
    <x v="46"/>
    <x v="47"/>
    <s v="整份"/>
    <n v="4.98"/>
    <s v="份"/>
    <n v="1"/>
    <n v="4.98"/>
    <n v="0"/>
    <n v="0"/>
    <n v="0"/>
    <n v="0"/>
    <n v="0"/>
    <n v="0"/>
    <n v="0"/>
    <n v="0"/>
    <n v="0"/>
    <n v="0"/>
    <n v="1"/>
    <n v="5.22"/>
    <n v="0.24"/>
    <n v="4.98"/>
    <n v="1"/>
  </r>
  <r>
    <s v="2021-06-20"/>
    <s v="Vancouver"/>
    <s v="加拿大二店"/>
    <x v="7"/>
    <x v="14"/>
    <x v="45"/>
    <x v="46"/>
    <x v="47"/>
    <s v="整份"/>
    <n v="12.99"/>
    <s v="份"/>
    <n v="4"/>
    <n v="51.96"/>
    <n v="0"/>
    <n v="0"/>
    <n v="0"/>
    <n v="0"/>
    <n v="0"/>
    <n v="0"/>
    <n v="0"/>
    <n v="-0.01"/>
    <n v="0"/>
    <n v="0"/>
    <n v="4"/>
    <n v="54.56"/>
    <n v="2.59"/>
    <n v="51.97"/>
    <n v="1"/>
  </r>
  <r>
    <s v="2021-06-20"/>
    <s v="Vancouver"/>
    <s v="加拿大二店"/>
    <x v="7"/>
    <x v="14"/>
    <x v="45"/>
    <x v="46"/>
    <x v="47"/>
    <s v="整份"/>
    <n v="23"/>
    <s v="份"/>
    <n v="1"/>
    <n v="23"/>
    <n v="0"/>
    <n v="0"/>
    <n v="0"/>
    <n v="0"/>
    <n v="0"/>
    <n v="0"/>
    <n v="0"/>
    <n v="0"/>
    <n v="0"/>
    <n v="0"/>
    <n v="1"/>
    <n v="24.15"/>
    <n v="1.15"/>
    <n v="23"/>
    <n v="1"/>
  </r>
  <r>
    <s v="2021-06-20"/>
    <s v="Vancouver"/>
    <s v="加拿大二店"/>
    <x v="7"/>
    <x v="14"/>
    <x v="45"/>
    <x v="46"/>
    <x v="47"/>
    <s v="整份"/>
    <n v="24.95"/>
    <s v="份"/>
    <n v="1"/>
    <n v="24.95"/>
    <n v="0"/>
    <n v="0"/>
    <n v="0"/>
    <n v="0"/>
    <n v="0"/>
    <n v="0"/>
    <n v="0"/>
    <n v="0"/>
    <n v="0"/>
    <n v="0"/>
    <n v="1"/>
    <n v="26.19"/>
    <n v="1.24"/>
    <n v="24.95"/>
    <n v="1"/>
  </r>
  <r>
    <s v="2021-06-20"/>
    <s v="Vancouver"/>
    <s v="加拿大二店"/>
    <x v="7"/>
    <x v="14"/>
    <x v="45"/>
    <x v="46"/>
    <x v="47"/>
    <s v="整份"/>
    <n v="27.75"/>
    <s v="份"/>
    <n v="1"/>
    <n v="27.75"/>
    <n v="0"/>
    <n v="0"/>
    <n v="0"/>
    <n v="0"/>
    <n v="0"/>
    <n v="0"/>
    <n v="0"/>
    <n v="0"/>
    <n v="7"/>
    <n v="0"/>
    <n v="1"/>
    <n v="21.78"/>
    <n v="1.03"/>
    <n v="20.75"/>
    <n v="1"/>
  </r>
  <r>
    <s v="2021-06-20"/>
    <s v="Vancouver"/>
    <s v="加拿大二店"/>
    <x v="7"/>
    <x v="14"/>
    <x v="45"/>
    <x v="46"/>
    <x v="47"/>
    <s v="整份"/>
    <n v="30.97"/>
    <s v="份"/>
    <n v="1"/>
    <n v="30.97"/>
    <n v="0"/>
    <n v="0"/>
    <n v="0"/>
    <n v="0"/>
    <n v="0"/>
    <n v="0"/>
    <n v="0"/>
    <n v="-0.01"/>
    <n v="0"/>
    <n v="0"/>
    <n v="1"/>
    <n v="32.52"/>
    <n v="1.54"/>
    <n v="30.98"/>
    <n v="1"/>
  </r>
  <r>
    <s v="2021-06-20"/>
    <s v="Vancouver"/>
    <s v="加拿大二店"/>
    <x v="7"/>
    <x v="14"/>
    <x v="45"/>
    <x v="46"/>
    <x v="47"/>
    <s v="整份"/>
    <n v="47.35"/>
    <s v="份"/>
    <n v="2"/>
    <n v="94.7"/>
    <n v="0"/>
    <n v="0"/>
    <n v="0"/>
    <n v="0"/>
    <n v="0"/>
    <n v="0"/>
    <n v="0"/>
    <n v="-0.02"/>
    <n v="0"/>
    <n v="0"/>
    <n v="2"/>
    <n v="99.45"/>
    <n v="4.73"/>
    <n v="94.72"/>
    <n v="1"/>
  </r>
  <r>
    <s v="2021-06-20"/>
    <s v="Vancouver"/>
    <s v="加拿大二店"/>
    <x v="7"/>
    <x v="14"/>
    <x v="45"/>
    <x v="46"/>
    <x v="47"/>
    <s v="整份"/>
    <n v="96.53"/>
    <s v="份"/>
    <n v="1"/>
    <n v="96.53"/>
    <n v="0"/>
    <n v="0"/>
    <n v="0"/>
    <n v="0"/>
    <n v="0"/>
    <n v="0"/>
    <n v="0"/>
    <n v="0"/>
    <n v="0"/>
    <n v="0"/>
    <n v="1"/>
    <n v="101.35"/>
    <n v="4.82"/>
    <n v="96.53"/>
    <n v="1"/>
  </r>
  <r>
    <s v="2021-06-20"/>
    <s v="Vancouver"/>
    <s v="加拿大二店"/>
    <x v="7"/>
    <x v="14"/>
    <x v="45"/>
    <x v="46"/>
    <x v="47"/>
    <s v="整份"/>
    <n v="98"/>
    <s v="份"/>
    <n v="1"/>
    <n v="98"/>
    <n v="0"/>
    <n v="0"/>
    <n v="0"/>
    <n v="0"/>
    <n v="0"/>
    <n v="0"/>
    <n v="0"/>
    <n v="0.01"/>
    <n v="0"/>
    <n v="0"/>
    <n v="1"/>
    <n v="102.88"/>
    <n v="4.89"/>
    <n v="97.99"/>
    <n v="1"/>
  </r>
  <r>
    <s v="2021-06-20"/>
    <s v="Vancouver"/>
    <s v="加拿大二店"/>
    <x v="7"/>
    <x v="14"/>
    <x v="45"/>
    <x v="46"/>
    <x v="47"/>
    <s v="整份"/>
    <n v="105"/>
    <s v="份"/>
    <n v="1"/>
    <n v="105"/>
    <n v="0"/>
    <n v="0"/>
    <n v="0"/>
    <n v="0"/>
    <n v="0"/>
    <n v="0"/>
    <n v="0"/>
    <n v="0.02"/>
    <n v="0"/>
    <n v="0"/>
    <n v="1"/>
    <n v="110.22"/>
    <n v="5.24"/>
    <n v="104.98"/>
    <n v="1"/>
  </r>
  <r>
    <s v="2021-06-20"/>
    <s v="Vancouver"/>
    <s v="加拿大二店"/>
    <x v="2"/>
    <x v="4"/>
    <x v="46"/>
    <x v="47"/>
    <x v="48"/>
    <s v="冰镇"/>
    <n v="2.45"/>
    <s v="听"/>
    <n v="4"/>
    <n v="9.8"/>
    <n v="0"/>
    <n v="0"/>
    <n v="0"/>
    <n v="0"/>
    <n v="0"/>
    <n v="0"/>
    <n v="0"/>
    <n v="0"/>
    <n v="0"/>
    <n v="0"/>
    <n v="4"/>
    <n v="10.97"/>
    <n v="1.17"/>
    <n v="9.8"/>
    <n v="1"/>
  </r>
  <r>
    <s v="2021-06-20"/>
    <s v="Vancouver"/>
    <s v="加拿大二店"/>
    <x v="2"/>
    <x v="4"/>
    <x v="47"/>
    <x v="48"/>
    <x v="49"/>
    <s v="常温"/>
    <n v="2.95"/>
    <s v="听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20"/>
    <s v="Vancouver"/>
    <s v="加拿大二店"/>
    <x v="2"/>
    <x v="4"/>
    <x v="47"/>
    <x v="48"/>
    <x v="49"/>
    <s v="冰镇"/>
    <n v="2.95"/>
    <s v="听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20"/>
    <s v="Vancouver"/>
    <s v="加拿大二店"/>
    <x v="2"/>
    <x v="21"/>
    <x v="133"/>
    <x v="127"/>
    <x v="138"/>
    <s v="小瓶"/>
    <n v="9.95"/>
    <s v="小瓶"/>
    <n v="1"/>
    <n v="9.95"/>
    <n v="1"/>
    <n v="9.95"/>
    <n v="0"/>
    <n v="0"/>
    <n v="0"/>
    <n v="0"/>
    <n v="0"/>
    <n v="0"/>
    <n v="0"/>
    <n v="0"/>
    <n v="0"/>
    <n v="0"/>
    <n v="0"/>
    <n v="0"/>
    <n v="1"/>
  </r>
  <r>
    <s v="2021-06-20"/>
    <s v="Vancouver"/>
    <s v="加拿大二店"/>
    <x v="6"/>
    <x v="13"/>
    <x v="48"/>
    <x v="49"/>
    <x v="50"/>
    <s v="整份"/>
    <n v="4.95"/>
    <s v="份"/>
    <n v="16"/>
    <n v="79.2"/>
    <n v="0"/>
    <n v="0"/>
    <n v="0"/>
    <n v="0"/>
    <n v="0"/>
    <n v="0"/>
    <n v="0"/>
    <n v="0"/>
    <n v="2.31"/>
    <n v="0"/>
    <n v="16"/>
    <n v="80.73"/>
    <n v="3.84"/>
    <n v="76.89"/>
    <n v="1"/>
  </r>
  <r>
    <s v="2021-06-20"/>
    <s v="Vancouver"/>
    <s v="加拿大二店"/>
    <x v="3"/>
    <x v="7"/>
    <x v="49"/>
    <x v="50"/>
    <x v="51"/>
    <s v="整份"/>
    <n v="4.95"/>
    <s v="份"/>
    <n v="4"/>
    <n v="19.8"/>
    <n v="0"/>
    <n v="0"/>
    <n v="0"/>
    <n v="0"/>
    <n v="0"/>
    <n v="0"/>
    <n v="0"/>
    <n v="0"/>
    <n v="0"/>
    <n v="0"/>
    <n v="4"/>
    <n v="20.79"/>
    <n v="0.99"/>
    <n v="19.8"/>
    <n v="1"/>
  </r>
  <r>
    <s v="2021-06-20"/>
    <s v="Vancouver"/>
    <s v="加拿大二店"/>
    <x v="3"/>
    <x v="5"/>
    <x v="51"/>
    <x v="52"/>
    <x v="53"/>
    <s v="整份"/>
    <n v="3.95"/>
    <s v="份"/>
    <n v="12"/>
    <n v="47.4"/>
    <n v="0"/>
    <n v="0"/>
    <n v="0"/>
    <n v="0"/>
    <n v="0"/>
    <n v="0"/>
    <n v="0"/>
    <n v="0"/>
    <n v="0.79"/>
    <n v="0"/>
    <n v="12"/>
    <n v="48.94"/>
    <n v="2.33"/>
    <n v="46.61"/>
    <n v="1"/>
  </r>
  <r>
    <s v="2021-06-20"/>
    <s v="Vancouver"/>
    <s v="加拿大二店"/>
    <x v="3"/>
    <x v="5"/>
    <x v="52"/>
    <x v="53"/>
    <x v="54"/>
    <s v="整份"/>
    <n v="5.95"/>
    <s v="份"/>
    <n v="5"/>
    <n v="29.75"/>
    <n v="0"/>
    <n v="0"/>
    <n v="0"/>
    <n v="0"/>
    <n v="0"/>
    <n v="0"/>
    <n v="0"/>
    <n v="-0.02"/>
    <n v="1.19"/>
    <n v="0"/>
    <n v="5"/>
    <n v="30"/>
    <n v="1.42"/>
    <n v="28.58"/>
    <n v="1"/>
  </r>
  <r>
    <s v="2021-06-20"/>
    <s v="Vancouver"/>
    <s v="加拿大二店"/>
    <x v="4"/>
    <x v="9"/>
    <x v="53"/>
    <x v="0"/>
    <x v="55"/>
    <s v="拼锅"/>
    <n v="0"/>
    <s v="锅"/>
    <n v="11"/>
    <n v="0"/>
    <n v="0"/>
    <n v="0"/>
    <n v="0"/>
    <n v="0"/>
    <n v="1"/>
    <n v="0"/>
    <n v="0"/>
    <n v="0.01"/>
    <n v="0"/>
    <n v="0"/>
    <n v="10"/>
    <n v="-0.01"/>
    <n v="-0.01"/>
    <n v="0"/>
    <n v="2"/>
  </r>
  <r>
    <s v="2021-06-20"/>
    <s v="Vancouver"/>
    <s v="加拿大二店"/>
    <x v="4"/>
    <x v="10"/>
    <x v="53"/>
    <x v="0"/>
    <x v="55"/>
    <s v="四宫格"/>
    <n v="0"/>
    <s v="锅"/>
    <n v="22"/>
    <n v="0"/>
    <n v="0"/>
    <n v="0"/>
    <n v="0"/>
    <n v="0"/>
    <n v="0"/>
    <n v="0"/>
    <n v="0"/>
    <n v="0.01"/>
    <n v="0"/>
    <n v="0"/>
    <n v="22"/>
    <n v="-0.01"/>
    <n v="-0.01"/>
    <n v="0"/>
    <n v="1"/>
  </r>
  <r>
    <s v="2021-06-20"/>
    <s v="Vancouver"/>
    <s v="加拿大二店"/>
    <x v="6"/>
    <x v="13"/>
    <x v="54"/>
    <x v="54"/>
    <x v="56"/>
    <s v="个"/>
    <n v="1.95"/>
    <s v="个"/>
    <n v="10"/>
    <n v="19.5"/>
    <n v="0"/>
    <n v="0"/>
    <n v="0"/>
    <n v="0"/>
    <n v="0"/>
    <n v="0"/>
    <n v="0"/>
    <n v="0"/>
    <n v="0.11"/>
    <n v="0"/>
    <n v="10"/>
    <n v="20.35"/>
    <n v="0.96"/>
    <n v="19.39"/>
    <n v="1"/>
  </r>
  <r>
    <s v="2021-06-20"/>
    <s v="Vancouver"/>
    <s v="加拿大二店"/>
    <x v="6"/>
    <x v="13"/>
    <x v="114"/>
    <x v="108"/>
    <x v="118"/>
    <s v="整份"/>
    <n v="7.95"/>
    <s v="份"/>
    <n v="5"/>
    <n v="39.75"/>
    <n v="0"/>
    <n v="0"/>
    <n v="0"/>
    <n v="0"/>
    <n v="0"/>
    <n v="0"/>
    <n v="0"/>
    <n v="-0.03"/>
    <n v="0"/>
    <n v="0"/>
    <n v="5"/>
    <n v="41.76"/>
    <n v="1.98"/>
    <n v="39.78"/>
    <n v="1"/>
  </r>
  <r>
    <s v="2021-06-20"/>
    <s v="Vancouver"/>
    <s v="加拿大二店"/>
    <x v="2"/>
    <x v="21"/>
    <x v="136"/>
    <x v="130"/>
    <x v="141"/>
    <s v="小瓶"/>
    <n v="10.95"/>
    <s v="小瓶"/>
    <n v="2"/>
    <n v="21.9"/>
    <n v="0"/>
    <n v="0"/>
    <n v="0"/>
    <n v="0"/>
    <n v="0"/>
    <n v="0"/>
    <n v="0"/>
    <n v="0"/>
    <n v="0"/>
    <n v="0"/>
    <n v="2"/>
    <n v="25.18"/>
    <n v="3.28"/>
    <n v="21.9"/>
    <n v="1"/>
  </r>
  <r>
    <s v="2021-06-20"/>
    <s v="Vancouver"/>
    <s v="加拿大二店"/>
    <x v="1"/>
    <x v="8"/>
    <x v="55"/>
    <x v="55"/>
    <x v="57"/>
    <s v="整份"/>
    <n v="9.95"/>
    <s v="份"/>
    <n v="15"/>
    <n v="149.25"/>
    <n v="0"/>
    <n v="0"/>
    <n v="0"/>
    <n v="0"/>
    <n v="0"/>
    <n v="0"/>
    <n v="0"/>
    <n v="0"/>
    <n v="4.13"/>
    <n v="0"/>
    <n v="15"/>
    <n v="152.37"/>
    <n v="7.25"/>
    <n v="145.12"/>
    <n v="1"/>
  </r>
  <r>
    <s v="2021-06-20"/>
    <s v="Vancouver"/>
    <s v="加拿大二店"/>
    <x v="1"/>
    <x v="1"/>
    <x v="56"/>
    <x v="56"/>
    <x v="58"/>
    <s v="整份"/>
    <n v="12.95"/>
    <s v="份"/>
    <n v="19"/>
    <n v="246.05"/>
    <n v="0"/>
    <n v="0"/>
    <n v="0"/>
    <n v="0"/>
    <n v="0"/>
    <n v="0"/>
    <n v="0"/>
    <n v="0"/>
    <n v="8.01"/>
    <n v="0"/>
    <n v="19"/>
    <n v="249.94"/>
    <n v="11.9"/>
    <n v="238.04"/>
    <n v="1"/>
  </r>
  <r>
    <s v="2021-06-20"/>
    <s v="Vancouver"/>
    <s v="加拿大二店"/>
    <x v="1"/>
    <x v="1"/>
    <x v="57"/>
    <x v="57"/>
    <x v="59"/>
    <s v="整份"/>
    <n v="11.95"/>
    <s v="份"/>
    <n v="68"/>
    <n v="812.6"/>
    <n v="0"/>
    <n v="0"/>
    <n v="0"/>
    <n v="0"/>
    <n v="0"/>
    <n v="0"/>
    <n v="0"/>
    <n v="0"/>
    <n v="18.8"/>
    <n v="0"/>
    <n v="68"/>
    <n v="833.49"/>
    <n v="39.69"/>
    <n v="793.8"/>
    <n v="1"/>
  </r>
  <r>
    <s v="2021-06-20"/>
    <s v="Vancouver"/>
    <s v="加拿大二店"/>
    <x v="4"/>
    <x v="16"/>
    <x v="58"/>
    <x v="0"/>
    <x v="60"/>
    <s v="单锅"/>
    <n v="16.95"/>
    <s v="锅"/>
    <n v="3"/>
    <n v="50.85"/>
    <n v="0"/>
    <n v="0"/>
    <n v="0"/>
    <n v="0"/>
    <n v="0"/>
    <n v="0"/>
    <n v="0"/>
    <n v="0.01"/>
    <n v="0"/>
    <n v="0"/>
    <n v="3"/>
    <n v="53.38"/>
    <n v="2.54"/>
    <n v="50.84"/>
    <n v="4"/>
  </r>
  <r>
    <s v="2021-06-20"/>
    <s v="Vancouver"/>
    <s v="加拿大二店"/>
    <x v="4"/>
    <x v="9"/>
    <x v="58"/>
    <x v="0"/>
    <x v="60"/>
    <s v="拼锅"/>
    <n v="8.95"/>
    <s v="锅"/>
    <n v="25"/>
    <n v="223.75"/>
    <n v="0"/>
    <n v="0"/>
    <n v="0"/>
    <n v="0"/>
    <n v="0"/>
    <n v="0"/>
    <n v="0"/>
    <n v="0.02"/>
    <n v="0"/>
    <n v="0"/>
    <n v="25"/>
    <n v="234.91"/>
    <n v="11.18"/>
    <n v="223.73"/>
    <n v="2"/>
  </r>
  <r>
    <s v="2021-06-20"/>
    <s v="Vancouver"/>
    <s v="加拿大二店"/>
    <x v="4"/>
    <x v="10"/>
    <x v="58"/>
    <x v="0"/>
    <x v="60"/>
    <s v="四宫格"/>
    <n v="4.95"/>
    <s v="锅"/>
    <n v="21"/>
    <n v="103.95"/>
    <n v="0"/>
    <n v="0"/>
    <n v="0"/>
    <n v="0"/>
    <n v="0"/>
    <n v="0"/>
    <n v="0"/>
    <n v="0"/>
    <n v="0"/>
    <n v="0"/>
    <n v="21"/>
    <n v="109.14"/>
    <n v="5.19"/>
    <n v="103.95"/>
    <n v="1"/>
  </r>
  <r>
    <s v="2021-06-20"/>
    <s v="Vancouver"/>
    <s v="加拿大二店"/>
    <x v="2"/>
    <x v="21"/>
    <x v="115"/>
    <x v="109"/>
    <x v="119"/>
    <s v="瓶"/>
    <n v="49.95"/>
    <s v="瓶"/>
    <n v="1"/>
    <n v="49.95"/>
    <n v="0"/>
    <n v="0"/>
    <n v="0"/>
    <n v="0"/>
    <n v="0"/>
    <n v="0"/>
    <n v="0"/>
    <n v="0"/>
    <n v="0"/>
    <n v="0"/>
    <n v="1"/>
    <n v="57.44"/>
    <n v="7.49"/>
    <n v="49.95"/>
    <n v="1"/>
  </r>
  <r>
    <s v="2021-06-20"/>
    <s v="Vancouver"/>
    <s v="加拿大二店"/>
    <x v="3"/>
    <x v="5"/>
    <x v="59"/>
    <x v="58"/>
    <x v="61"/>
    <s v="整份"/>
    <n v="4.95"/>
    <s v="份"/>
    <n v="7"/>
    <n v="34.65"/>
    <n v="0"/>
    <n v="0"/>
    <n v="0"/>
    <n v="0"/>
    <n v="0"/>
    <n v="0"/>
    <n v="0"/>
    <n v="0"/>
    <n v="0"/>
    <n v="0"/>
    <n v="7"/>
    <n v="36.38"/>
    <n v="1.73"/>
    <n v="34.65"/>
    <n v="1"/>
  </r>
  <r>
    <s v="2021-06-20"/>
    <s v="Vancouver"/>
    <s v="加拿大二店"/>
    <x v="2"/>
    <x v="4"/>
    <x v="60"/>
    <x v="59"/>
    <x v="62"/>
    <s v="冰镇"/>
    <n v="6.95"/>
    <s v="扎"/>
    <n v="5"/>
    <n v="34.75"/>
    <n v="0"/>
    <n v="0"/>
    <n v="0"/>
    <n v="0"/>
    <n v="0"/>
    <n v="0"/>
    <n v="0"/>
    <n v="0"/>
    <n v="0"/>
    <n v="0"/>
    <n v="5"/>
    <n v="38.92"/>
    <n v="4.17"/>
    <n v="34.75"/>
    <n v="1"/>
  </r>
  <r>
    <s v="2021-06-20"/>
    <s v="Vancouver"/>
    <s v="加拿大二店"/>
    <x v="6"/>
    <x v="13"/>
    <x v="61"/>
    <x v="60"/>
    <x v="63"/>
    <s v="整份"/>
    <n v="3.95"/>
    <s v="包"/>
    <n v="23"/>
    <n v="90.85"/>
    <n v="0"/>
    <n v="0"/>
    <n v="0"/>
    <n v="0"/>
    <n v="0"/>
    <n v="0"/>
    <n v="0"/>
    <n v="0"/>
    <n v="0"/>
    <n v="0"/>
    <n v="23"/>
    <n v="95.39"/>
    <n v="4.54"/>
    <n v="90.85"/>
    <n v="1"/>
  </r>
  <r>
    <s v="2021-06-20"/>
    <s v="Vancouver"/>
    <s v="加拿大二店"/>
    <x v="1"/>
    <x v="8"/>
    <x v="116"/>
    <x v="110"/>
    <x v="120"/>
    <s v="个"/>
    <n v="0.95"/>
    <s v="个"/>
    <n v="2"/>
    <n v="1.9"/>
    <n v="0"/>
    <n v="0"/>
    <n v="0"/>
    <n v="0"/>
    <n v="0"/>
    <n v="0"/>
    <n v="0"/>
    <n v="0"/>
    <n v="0"/>
    <n v="0"/>
    <n v="2"/>
    <n v="1.99"/>
    <n v="0.09"/>
    <n v="1.9"/>
    <n v="1"/>
  </r>
  <r>
    <s v="2021-06-20"/>
    <s v="Vancouver"/>
    <s v="加拿大二店"/>
    <x v="4"/>
    <x v="16"/>
    <x v="62"/>
    <x v="0"/>
    <x v="64"/>
    <s v="单锅"/>
    <n v="16.95"/>
    <s v="锅"/>
    <n v="1"/>
    <n v="16.95"/>
    <n v="0"/>
    <n v="0"/>
    <n v="0"/>
    <n v="0"/>
    <n v="0"/>
    <n v="0"/>
    <n v="0"/>
    <n v="0.01"/>
    <n v="0"/>
    <n v="0"/>
    <n v="1"/>
    <n v="17.78"/>
    <n v="0.84"/>
    <n v="16.94"/>
    <n v="4"/>
  </r>
  <r>
    <s v="2021-06-20"/>
    <s v="Vancouver"/>
    <s v="加拿大二店"/>
    <x v="4"/>
    <x v="9"/>
    <x v="62"/>
    <x v="0"/>
    <x v="64"/>
    <s v="拼锅"/>
    <n v="8.95"/>
    <s v="锅"/>
    <n v="22"/>
    <n v="196.9"/>
    <n v="0"/>
    <n v="0"/>
    <n v="0"/>
    <n v="0"/>
    <n v="0"/>
    <n v="0"/>
    <n v="0"/>
    <n v="-0.01"/>
    <n v="4.47"/>
    <n v="0"/>
    <n v="22"/>
    <n v="202.06"/>
    <n v="9.62"/>
    <n v="192.44"/>
    <n v="2"/>
  </r>
  <r>
    <s v="2021-06-20"/>
    <s v="Vancouver"/>
    <s v="加拿大二店"/>
    <x v="4"/>
    <x v="10"/>
    <x v="62"/>
    <x v="0"/>
    <x v="64"/>
    <s v="四宫格"/>
    <n v="4.95"/>
    <s v="锅"/>
    <n v="27"/>
    <n v="133.65"/>
    <n v="0"/>
    <n v="0"/>
    <n v="0"/>
    <n v="0"/>
    <n v="0"/>
    <n v="0"/>
    <n v="0"/>
    <n v="0"/>
    <n v="0"/>
    <n v="0"/>
    <n v="27"/>
    <n v="140.33"/>
    <n v="6.68"/>
    <n v="133.65"/>
    <n v="1"/>
  </r>
  <r>
    <s v="2021-06-20"/>
    <s v="Vancouver"/>
    <s v="加拿大二店"/>
    <x v="6"/>
    <x v="13"/>
    <x v="63"/>
    <x v="61"/>
    <x v="65"/>
    <s v="整份"/>
    <n v="1.5"/>
    <s v="碗"/>
    <n v="11"/>
    <n v="16.5"/>
    <n v="0"/>
    <n v="0"/>
    <n v="0"/>
    <n v="0"/>
    <n v="0"/>
    <n v="0"/>
    <n v="0"/>
    <n v="0"/>
    <n v="0"/>
    <n v="0"/>
    <n v="11"/>
    <n v="17.32"/>
    <n v="0.82"/>
    <n v="16.5"/>
    <n v="1"/>
  </r>
  <r>
    <s v="2021-06-20"/>
    <s v="Vancouver"/>
    <s v="加拿大二店"/>
    <x v="3"/>
    <x v="5"/>
    <x v="64"/>
    <x v="62"/>
    <x v="66"/>
    <s v="整份"/>
    <n v="3.95"/>
    <s v="份"/>
    <n v="16"/>
    <n v="63.2"/>
    <n v="0"/>
    <n v="0"/>
    <n v="0"/>
    <n v="0"/>
    <n v="0"/>
    <n v="0"/>
    <n v="0"/>
    <n v="0"/>
    <n v="0"/>
    <n v="0"/>
    <n v="16"/>
    <n v="66.36"/>
    <n v="3.16"/>
    <n v="63.2"/>
    <n v="1"/>
  </r>
  <r>
    <s v="2021-06-20"/>
    <s v="Vancouver"/>
    <s v="加拿大二店"/>
    <x v="2"/>
    <x v="4"/>
    <x v="65"/>
    <x v="63"/>
    <x v="67"/>
    <s v="扎"/>
    <n v="8.95"/>
    <s v="扎"/>
    <n v="5"/>
    <n v="44.75"/>
    <n v="0"/>
    <n v="0"/>
    <n v="0"/>
    <n v="0"/>
    <n v="0"/>
    <n v="0"/>
    <n v="0"/>
    <n v="0"/>
    <n v="0"/>
    <n v="0"/>
    <n v="5"/>
    <n v="50.12"/>
    <n v="5.37"/>
    <n v="44.75"/>
    <n v="1"/>
  </r>
  <r>
    <s v="2021-06-20"/>
    <s v="Vancouver"/>
    <s v="加拿大二店"/>
    <x v="2"/>
    <x v="4"/>
    <x v="66"/>
    <x v="64"/>
    <x v="68"/>
    <s v="扎"/>
    <n v="11.95"/>
    <s v="扎"/>
    <n v="3"/>
    <n v="35.85"/>
    <n v="0"/>
    <n v="0"/>
    <n v="0"/>
    <n v="0"/>
    <n v="0"/>
    <n v="0"/>
    <n v="0"/>
    <n v="-0.01"/>
    <n v="0"/>
    <n v="0"/>
    <n v="3"/>
    <n v="40.16"/>
    <n v="4.3"/>
    <n v="35.86"/>
    <n v="1"/>
  </r>
  <r>
    <s v="2021-06-20"/>
    <s v="Vancouver"/>
    <s v="加拿大二店"/>
    <x v="3"/>
    <x v="5"/>
    <x v="134"/>
    <x v="128"/>
    <x v="139"/>
    <s v="整份"/>
    <n v="13.95"/>
    <s v="份"/>
    <n v="15"/>
    <n v="209.25"/>
    <n v="0"/>
    <n v="0"/>
    <n v="0"/>
    <n v="0"/>
    <n v="0"/>
    <n v="0"/>
    <n v="0"/>
    <n v="-0.02"/>
    <n v="14"/>
    <n v="0"/>
    <n v="15"/>
    <n v="205.03"/>
    <n v="9.76"/>
    <n v="195.27"/>
    <n v="1"/>
  </r>
  <r>
    <s v="2021-06-20"/>
    <s v="Vancouver"/>
    <s v="加拿大二店"/>
    <x v="3"/>
    <x v="5"/>
    <x v="117"/>
    <x v="111"/>
    <x v="121"/>
    <s v="整份"/>
    <n v="4.95"/>
    <s v="份"/>
    <n v="14"/>
    <n v="69.3"/>
    <n v="0"/>
    <n v="0"/>
    <n v="0"/>
    <n v="0"/>
    <n v="1"/>
    <n v="4.95"/>
    <n v="0"/>
    <n v="0"/>
    <n v="2.97"/>
    <n v="0"/>
    <n v="13"/>
    <n v="64.44"/>
    <n v="3.06"/>
    <n v="61.38"/>
    <n v="1"/>
  </r>
  <r>
    <s v="2021-06-20"/>
    <s v="Vancouver"/>
    <s v="加拿大二店"/>
    <x v="3"/>
    <x v="7"/>
    <x v="67"/>
    <x v="65"/>
    <x v="69"/>
    <s v="整份"/>
    <n v="3.95"/>
    <s v="份"/>
    <n v="9"/>
    <n v="35.55"/>
    <n v="0"/>
    <n v="0"/>
    <n v="0"/>
    <n v="0"/>
    <n v="0"/>
    <n v="0"/>
    <n v="0"/>
    <n v="0"/>
    <n v="0.59"/>
    <n v="0"/>
    <n v="9"/>
    <n v="36.7"/>
    <n v="1.74"/>
    <n v="34.96"/>
    <n v="1"/>
  </r>
  <r>
    <s v="2021-06-20"/>
    <s v="Vancouver"/>
    <s v="加拿大二店"/>
    <x v="1"/>
    <x v="1"/>
    <x v="68"/>
    <x v="66"/>
    <x v="70"/>
    <s v="整份"/>
    <n v="8.95"/>
    <s v="份"/>
    <n v="82"/>
    <n v="733.9"/>
    <n v="0"/>
    <n v="0"/>
    <n v="0"/>
    <n v="0"/>
    <n v="23"/>
    <n v="205.85"/>
    <n v="0"/>
    <n v="0"/>
    <n v="7.37"/>
    <n v="0"/>
    <n v="59"/>
    <n v="546.71"/>
    <n v="26.03"/>
    <n v="520.68"/>
    <n v="1"/>
  </r>
  <r>
    <s v="2021-06-20"/>
    <s v="Vancouver"/>
    <s v="加拿大二店"/>
    <x v="1"/>
    <x v="1"/>
    <x v="69"/>
    <x v="67"/>
    <x v="71"/>
    <s v="整份"/>
    <n v="8.95"/>
    <s v="份"/>
    <n v="15"/>
    <n v="134.25"/>
    <n v="0"/>
    <n v="0"/>
    <n v="0"/>
    <n v="0"/>
    <n v="0"/>
    <n v="0"/>
    <n v="0"/>
    <n v="0"/>
    <n v="2.71"/>
    <n v="0"/>
    <n v="15"/>
    <n v="138.11"/>
    <n v="6.57"/>
    <n v="131.54"/>
    <n v="1"/>
  </r>
  <r>
    <s v="2021-06-20"/>
    <s v="Vancouver"/>
    <s v="加拿大二店"/>
    <x v="6"/>
    <x v="15"/>
    <x v="70"/>
    <x v="68"/>
    <x v="72"/>
    <s v="整份"/>
    <n v="1.5"/>
    <s v="份"/>
    <n v="10"/>
    <n v="15"/>
    <n v="0"/>
    <n v="0"/>
    <n v="0"/>
    <n v="0"/>
    <n v="0"/>
    <n v="0"/>
    <n v="0"/>
    <n v="0.02"/>
    <n v="0"/>
    <n v="0"/>
    <n v="10"/>
    <n v="15.72"/>
    <n v="0.74"/>
    <n v="14.98"/>
    <n v="1"/>
  </r>
  <r>
    <s v="2021-06-20"/>
    <s v="Vancouver"/>
    <s v="加拿大二店"/>
    <x v="4"/>
    <x v="9"/>
    <x v="71"/>
    <x v="0"/>
    <x v="73"/>
    <s v="拼锅"/>
    <n v="18.95"/>
    <s v="锅"/>
    <n v="11"/>
    <n v="208.45"/>
    <n v="0"/>
    <n v="0"/>
    <n v="0"/>
    <n v="0"/>
    <n v="1"/>
    <n v="18.95"/>
    <n v="0"/>
    <n v="0.04"/>
    <n v="7.93"/>
    <n v="0"/>
    <n v="10"/>
    <n v="190.6"/>
    <n v="9.07"/>
    <n v="181.53"/>
    <n v="2"/>
  </r>
  <r>
    <s v="2021-06-20"/>
    <s v="Vancouver"/>
    <s v="加拿大二店"/>
    <x v="4"/>
    <x v="10"/>
    <x v="71"/>
    <x v="0"/>
    <x v="73"/>
    <s v="四宫格"/>
    <n v="9.95"/>
    <s v="锅"/>
    <n v="9"/>
    <n v="89.55"/>
    <n v="0"/>
    <n v="0"/>
    <n v="0"/>
    <n v="0"/>
    <n v="0"/>
    <n v="0"/>
    <n v="0"/>
    <n v="0"/>
    <n v="0"/>
    <n v="0"/>
    <n v="9"/>
    <n v="94.02"/>
    <n v="4.47"/>
    <n v="89.55"/>
    <n v="1"/>
  </r>
  <r>
    <s v="2021-06-20"/>
    <s v="Vancouver"/>
    <s v="加拿大二店"/>
    <x v="1"/>
    <x v="8"/>
    <x v="72"/>
    <x v="69"/>
    <x v="74"/>
    <s v="个"/>
    <n v="7.95"/>
    <s v="份"/>
    <n v="13"/>
    <n v="103.35"/>
    <n v="0"/>
    <n v="0"/>
    <n v="0"/>
    <n v="0"/>
    <n v="0"/>
    <n v="0"/>
    <n v="0"/>
    <n v="0"/>
    <n v="4.49"/>
    <n v="0"/>
    <n v="13"/>
    <n v="103.8"/>
    <n v="4.94"/>
    <n v="98.86"/>
    <n v="1"/>
  </r>
  <r>
    <s v="2021-06-20"/>
    <s v="Vancouver"/>
    <s v="加拿大二店"/>
    <x v="6"/>
    <x v="13"/>
    <x v="73"/>
    <x v="70"/>
    <x v="75"/>
    <s v="份"/>
    <n v="6.95"/>
    <s v="份"/>
    <n v="7"/>
    <n v="48.65"/>
    <n v="1"/>
    <n v="6.95"/>
    <n v="0"/>
    <n v="0"/>
    <n v="0"/>
    <n v="0"/>
    <n v="0"/>
    <n v="0.03"/>
    <n v="1.39"/>
    <n v="0"/>
    <n v="6"/>
    <n v="42.29"/>
    <n v="2.01"/>
    <n v="40.28"/>
    <n v="1"/>
  </r>
  <r>
    <s v="2021-06-20"/>
    <s v="Vancouver"/>
    <s v="加拿大二店"/>
    <x v="4"/>
    <x v="9"/>
    <x v="74"/>
    <x v="0"/>
    <x v="76"/>
    <s v="拼锅"/>
    <n v="18.95"/>
    <s v="锅"/>
    <n v="3"/>
    <n v="56.85"/>
    <n v="0"/>
    <n v="0"/>
    <n v="0"/>
    <n v="0"/>
    <n v="0"/>
    <n v="0"/>
    <n v="0"/>
    <n v="0.02"/>
    <n v="3.79"/>
    <n v="0"/>
    <n v="3"/>
    <n v="55.69"/>
    <n v="2.65"/>
    <n v="53.04"/>
    <n v="2"/>
  </r>
  <r>
    <s v="2021-06-20"/>
    <s v="Vancouver"/>
    <s v="加拿大二店"/>
    <x v="4"/>
    <x v="10"/>
    <x v="74"/>
    <x v="0"/>
    <x v="76"/>
    <s v="四宫格"/>
    <n v="9.95"/>
    <s v="锅"/>
    <n v="13"/>
    <n v="129.35"/>
    <n v="0"/>
    <n v="0"/>
    <n v="0"/>
    <n v="0"/>
    <n v="0"/>
    <n v="0"/>
    <n v="0"/>
    <n v="0.01"/>
    <n v="0"/>
    <n v="0"/>
    <n v="13"/>
    <n v="135.8"/>
    <n v="6.46"/>
    <n v="129.34"/>
    <n v="1"/>
  </r>
  <r>
    <s v="2021-06-20"/>
    <s v="Vancouver"/>
    <s v="加拿大二店"/>
    <x v="1"/>
    <x v="6"/>
    <x v="118"/>
    <x v="112"/>
    <x v="122"/>
    <s v="整份"/>
    <n v="28.95"/>
    <s v="份"/>
    <n v="3"/>
    <n v="86.85"/>
    <n v="0"/>
    <n v="0"/>
    <n v="0"/>
    <n v="0"/>
    <n v="0"/>
    <n v="0"/>
    <n v="0"/>
    <n v="0"/>
    <n v="0"/>
    <n v="0"/>
    <n v="3"/>
    <n v="91.19"/>
    <n v="4.34"/>
    <n v="86.85"/>
    <n v="1"/>
  </r>
  <r>
    <s v="2021-06-20"/>
    <s v="Vancouver"/>
    <s v="加拿大二店"/>
    <x v="8"/>
    <x v="17"/>
    <x v="75"/>
    <x v="71"/>
    <x v="77"/>
    <s v="整份"/>
    <n v="3.99"/>
    <s v="位"/>
    <n v="234"/>
    <n v="933.66"/>
    <n v="5"/>
    <n v="19.95"/>
    <n v="0"/>
    <n v="0"/>
    <n v="0"/>
    <n v="0"/>
    <n v="0"/>
    <n v="0"/>
    <n v="4.95"/>
    <n v="0"/>
    <n v="229"/>
    <n v="954.19"/>
    <n v="45.43"/>
    <n v="908.76"/>
    <n v="1"/>
  </r>
  <r>
    <s v="2021-06-20"/>
    <s v="Vancouver"/>
    <s v="加拿大二店"/>
    <x v="3"/>
    <x v="5"/>
    <x v="76"/>
    <x v="72"/>
    <x v="78"/>
    <s v="整份"/>
    <n v="3.95"/>
    <s v="份"/>
    <n v="5"/>
    <n v="19.75"/>
    <n v="0"/>
    <n v="0"/>
    <n v="0"/>
    <n v="0"/>
    <n v="0"/>
    <n v="0"/>
    <n v="0"/>
    <n v="0"/>
    <n v="1.05"/>
    <n v="0"/>
    <n v="5"/>
    <n v="19.63"/>
    <n v="0.93"/>
    <n v="18.7"/>
    <n v="1"/>
  </r>
  <r>
    <s v="2021-06-20"/>
    <s v="Vancouver"/>
    <s v="加拿大二店"/>
    <x v="1"/>
    <x v="3"/>
    <x v="77"/>
    <x v="73"/>
    <x v="79"/>
    <s v="整份"/>
    <n v="5.95"/>
    <s v="份"/>
    <n v="14"/>
    <n v="83.3"/>
    <n v="0"/>
    <n v="0"/>
    <n v="0"/>
    <n v="0"/>
    <n v="1"/>
    <n v="5.95"/>
    <n v="0"/>
    <n v="0"/>
    <n v="2.47"/>
    <n v="0"/>
    <n v="13"/>
    <n v="78.62"/>
    <n v="3.74"/>
    <n v="74.88"/>
    <n v="1"/>
  </r>
  <r>
    <s v="2021-06-20"/>
    <s v="Vancouver"/>
    <s v="加拿大二店"/>
    <x v="3"/>
    <x v="11"/>
    <x v="78"/>
    <x v="74"/>
    <x v="80"/>
    <s v="整份"/>
    <n v="5.95"/>
    <s v="份"/>
    <n v="8"/>
    <n v="47.6"/>
    <n v="0"/>
    <n v="0"/>
    <n v="0"/>
    <n v="0"/>
    <n v="0"/>
    <n v="0"/>
    <n v="0"/>
    <n v="0"/>
    <n v="1.19"/>
    <n v="0"/>
    <n v="8"/>
    <n v="48.73"/>
    <n v="2.32"/>
    <n v="46.41"/>
    <n v="1"/>
  </r>
  <r>
    <s v="2021-06-20"/>
    <s v="Vancouver"/>
    <s v="加拿大二店"/>
    <x v="3"/>
    <x v="11"/>
    <x v="78"/>
    <x v="75"/>
    <x v="81"/>
    <s v="半份"/>
    <n v="2.95"/>
    <s v="份"/>
    <n v="9"/>
    <n v="26.55"/>
    <n v="0"/>
    <n v="0"/>
    <n v="0"/>
    <n v="0"/>
    <n v="0"/>
    <n v="0"/>
    <n v="0"/>
    <n v="0"/>
    <n v="0"/>
    <n v="0"/>
    <n v="9"/>
    <n v="27.87"/>
    <n v="1.32"/>
    <n v="26.55"/>
    <n v="0.5"/>
  </r>
  <r>
    <s v="2021-06-20"/>
    <s v="Vancouver"/>
    <s v="加拿大二店"/>
    <x v="3"/>
    <x v="5"/>
    <x v="79"/>
    <x v="76"/>
    <x v="82"/>
    <s v="整份"/>
    <n v="3.95"/>
    <s v="份"/>
    <n v="16"/>
    <n v="63.2"/>
    <n v="0"/>
    <n v="0"/>
    <n v="0"/>
    <n v="0"/>
    <n v="0"/>
    <n v="0"/>
    <n v="0"/>
    <n v="0"/>
    <n v="2.76"/>
    <n v="0"/>
    <n v="16"/>
    <n v="63.46"/>
    <n v="3.02"/>
    <n v="60.44"/>
    <n v="1"/>
  </r>
  <r>
    <s v="2021-06-20"/>
    <s v="Vancouver"/>
    <s v="加拿大二店"/>
    <x v="3"/>
    <x v="5"/>
    <x v="80"/>
    <x v="77"/>
    <x v="83"/>
    <s v="整份"/>
    <n v="5.95"/>
    <s v="份"/>
    <n v="19"/>
    <n v="113.05"/>
    <n v="0"/>
    <n v="0"/>
    <n v="0"/>
    <n v="0"/>
    <n v="0"/>
    <n v="0"/>
    <n v="0"/>
    <n v="0"/>
    <n v="6.7"/>
    <n v="0"/>
    <n v="19"/>
    <n v="111.66"/>
    <n v="5.31"/>
    <n v="106.35"/>
    <n v="1"/>
  </r>
  <r>
    <s v="2021-06-20"/>
    <s v="Vancouver"/>
    <s v="加拿大二店"/>
    <x v="4"/>
    <x v="9"/>
    <x v="81"/>
    <x v="0"/>
    <x v="84"/>
    <s v="拼锅"/>
    <n v="8.95"/>
    <s v="锅"/>
    <n v="12"/>
    <n v="107.4"/>
    <n v="1"/>
    <n v="8.95"/>
    <n v="0"/>
    <n v="0"/>
    <n v="0"/>
    <n v="0"/>
    <n v="0"/>
    <n v="0.01"/>
    <n v="0"/>
    <n v="0"/>
    <n v="11"/>
    <n v="103.36"/>
    <n v="4.92"/>
    <n v="98.44"/>
    <n v="2"/>
  </r>
  <r>
    <s v="2021-06-20"/>
    <s v="Vancouver"/>
    <s v="加拿大二店"/>
    <x v="4"/>
    <x v="10"/>
    <x v="81"/>
    <x v="0"/>
    <x v="84"/>
    <s v="四宫格"/>
    <n v="4.95"/>
    <s v="锅"/>
    <n v="5"/>
    <n v="24.75"/>
    <n v="0"/>
    <n v="0"/>
    <n v="0"/>
    <n v="0"/>
    <n v="0"/>
    <n v="0"/>
    <n v="0"/>
    <n v="0"/>
    <n v="0"/>
    <n v="0"/>
    <n v="5"/>
    <n v="25.98"/>
    <n v="1.23"/>
    <n v="24.75"/>
    <n v="1"/>
  </r>
  <r>
    <s v="2021-06-20"/>
    <s v="Vancouver"/>
    <s v="加拿大二店"/>
    <x v="3"/>
    <x v="5"/>
    <x v="82"/>
    <x v="78"/>
    <x v="85"/>
    <s v="整份"/>
    <n v="12.95"/>
    <s v="份"/>
    <n v="13"/>
    <n v="168.35"/>
    <n v="0"/>
    <n v="0"/>
    <n v="0"/>
    <n v="0"/>
    <n v="0"/>
    <n v="0"/>
    <n v="0"/>
    <n v="0"/>
    <n v="0"/>
    <n v="0"/>
    <n v="13"/>
    <n v="176.76"/>
    <n v="8.41"/>
    <n v="168.35"/>
    <n v="1"/>
  </r>
  <r>
    <s v="2021-06-20"/>
    <s v="Vancouver"/>
    <s v="加拿大二店"/>
    <x v="3"/>
    <x v="11"/>
    <x v="83"/>
    <x v="79"/>
    <x v="86"/>
    <s v="整份"/>
    <n v="5.95"/>
    <s v="份"/>
    <n v="7"/>
    <n v="41.65"/>
    <n v="0"/>
    <n v="0"/>
    <n v="0"/>
    <n v="0"/>
    <n v="0"/>
    <n v="0"/>
    <n v="0"/>
    <n v="0"/>
    <n v="0"/>
    <n v="0"/>
    <n v="7"/>
    <n v="43.73"/>
    <n v="2.08"/>
    <n v="41.65"/>
    <n v="1"/>
  </r>
  <r>
    <s v="2021-06-20"/>
    <s v="Vancouver"/>
    <s v="加拿大二店"/>
    <x v="3"/>
    <x v="11"/>
    <x v="83"/>
    <x v="80"/>
    <x v="87"/>
    <s v="半份"/>
    <n v="2.95"/>
    <s v="份"/>
    <n v="4"/>
    <n v="11.8"/>
    <n v="0"/>
    <n v="0"/>
    <n v="0"/>
    <n v="0"/>
    <n v="0"/>
    <n v="0"/>
    <n v="0"/>
    <n v="0"/>
    <n v="0"/>
    <n v="0"/>
    <n v="4"/>
    <n v="12.39"/>
    <n v="0.59"/>
    <n v="11.8"/>
    <n v="0.5"/>
  </r>
  <r>
    <s v="2021-06-20"/>
    <s v="Vancouver"/>
    <s v="加拿大二店"/>
    <x v="3"/>
    <x v="11"/>
    <x v="84"/>
    <x v="81"/>
    <x v="88"/>
    <s v="整份"/>
    <n v="11.95"/>
    <s v="份"/>
    <n v="18"/>
    <n v="215.1"/>
    <n v="0"/>
    <n v="0"/>
    <n v="0"/>
    <n v="0"/>
    <n v="0"/>
    <n v="0"/>
    <n v="0"/>
    <n v="0"/>
    <n v="3.82"/>
    <n v="0"/>
    <n v="18"/>
    <n v="221.84"/>
    <n v="10.56"/>
    <n v="211.28"/>
    <n v="1"/>
  </r>
  <r>
    <s v="2021-06-20"/>
    <s v="Vancouver"/>
    <s v="加拿大二店"/>
    <x v="1"/>
    <x v="3"/>
    <x v="85"/>
    <x v="82"/>
    <x v="89"/>
    <s v="整份"/>
    <n v="6.95"/>
    <s v="份"/>
    <n v="13"/>
    <n v="90.35"/>
    <n v="0"/>
    <n v="0"/>
    <n v="0"/>
    <n v="0"/>
    <n v="0"/>
    <n v="0"/>
    <n v="0"/>
    <n v="0"/>
    <n v="3.93"/>
    <n v="0"/>
    <n v="13"/>
    <n v="90.74"/>
    <n v="4.32"/>
    <n v="86.42"/>
    <n v="1"/>
  </r>
  <r>
    <s v="2021-06-20"/>
    <s v="Vancouver"/>
    <s v="加拿大二店"/>
    <x v="6"/>
    <x v="13"/>
    <x v="86"/>
    <x v="83"/>
    <x v="90"/>
    <s v="碗"/>
    <n v="2.95"/>
    <s v="碗"/>
    <n v="18"/>
    <n v="53.1"/>
    <n v="2"/>
    <n v="5.9"/>
    <n v="0"/>
    <n v="0"/>
    <n v="0"/>
    <n v="0"/>
    <n v="0"/>
    <n v="0"/>
    <n v="0.16"/>
    <n v="0"/>
    <n v="16"/>
    <n v="49.39"/>
    <n v="2.35"/>
    <n v="47.04"/>
    <n v="1"/>
  </r>
  <r>
    <s v="2021-06-20"/>
    <s v="Vancouver"/>
    <s v="加拿大二店"/>
    <x v="2"/>
    <x v="4"/>
    <x v="87"/>
    <x v="84"/>
    <x v="91"/>
    <s v="常温"/>
    <n v="2.95"/>
    <s v="扎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20"/>
    <s v="Vancouver"/>
    <s v="加拿大二店"/>
    <x v="2"/>
    <x v="4"/>
    <x v="87"/>
    <x v="84"/>
    <x v="91"/>
    <s v="冰镇"/>
    <n v="2.95"/>
    <s v="扎"/>
    <n v="5"/>
    <n v="14.75"/>
    <n v="0"/>
    <n v="0"/>
    <n v="0"/>
    <n v="0"/>
    <n v="0"/>
    <n v="0"/>
    <n v="0"/>
    <n v="0"/>
    <n v="0"/>
    <n v="0"/>
    <n v="5"/>
    <n v="16.52"/>
    <n v="1.77"/>
    <n v="14.75"/>
    <n v="1"/>
  </r>
  <r>
    <s v="2021-06-20"/>
    <s v="Vancouver"/>
    <s v="加拿大二店"/>
    <x v="1"/>
    <x v="8"/>
    <x v="88"/>
    <x v="85"/>
    <x v="92"/>
    <s v="整份"/>
    <n v="7.95"/>
    <s v="份"/>
    <n v="14"/>
    <n v="111.3"/>
    <n v="0"/>
    <n v="0"/>
    <n v="0"/>
    <n v="0"/>
    <n v="0"/>
    <n v="0"/>
    <n v="0"/>
    <n v="0"/>
    <n v="4.13"/>
    <n v="0"/>
    <n v="14"/>
    <n v="112.52"/>
    <n v="5.35"/>
    <n v="107.17"/>
    <n v="1"/>
  </r>
  <r>
    <s v="2021-06-20"/>
    <s v="Vancouver"/>
    <s v="加拿大二店"/>
    <x v="1"/>
    <x v="8"/>
    <x v="89"/>
    <x v="86"/>
    <x v="93"/>
    <s v="整份"/>
    <n v="4.95"/>
    <s v="份"/>
    <n v="29"/>
    <n v="143.55"/>
    <n v="0"/>
    <n v="0"/>
    <n v="0"/>
    <n v="0"/>
    <n v="0"/>
    <n v="0"/>
    <n v="0"/>
    <n v="0"/>
    <n v="4.05"/>
    <n v="0"/>
    <n v="29"/>
    <n v="146.47"/>
    <n v="6.97"/>
    <n v="139.5"/>
    <n v="1"/>
  </r>
  <r>
    <s v="2021-06-20"/>
    <s v="Vancouver"/>
    <s v="加拿大二店"/>
    <x v="3"/>
    <x v="7"/>
    <x v="90"/>
    <x v="87"/>
    <x v="94"/>
    <s v="整份"/>
    <n v="4.95"/>
    <s v="份"/>
    <n v="14"/>
    <n v="69.3"/>
    <n v="0"/>
    <n v="0"/>
    <n v="0"/>
    <n v="0"/>
    <n v="1"/>
    <n v="4.95"/>
    <n v="0"/>
    <n v="0"/>
    <n v="2.72"/>
    <n v="0"/>
    <n v="13"/>
    <n v="64.71"/>
    <n v="3.08"/>
    <n v="61.63"/>
    <n v="1"/>
  </r>
  <r>
    <s v="2021-06-20"/>
    <s v="Vancouver"/>
    <s v="加拿大二店"/>
    <x v="1"/>
    <x v="6"/>
    <x v="119"/>
    <x v="113"/>
    <x v="123"/>
    <s v="整份"/>
    <n v="1"/>
    <s v="磅"/>
    <n v="1"/>
    <n v="1"/>
    <n v="1"/>
    <n v="1"/>
    <n v="0"/>
    <n v="0"/>
    <n v="0"/>
    <n v="0"/>
    <n v="0"/>
    <n v="0"/>
    <n v="0"/>
    <n v="0"/>
    <n v="0"/>
    <n v="0"/>
    <n v="0"/>
    <n v="0"/>
    <n v="1"/>
  </r>
  <r>
    <s v="2021-06-20"/>
    <s v="Vancouver"/>
    <s v="加拿大二店"/>
    <x v="1"/>
    <x v="6"/>
    <x v="119"/>
    <x v="113"/>
    <x v="123"/>
    <s v="整份"/>
    <n v="1.4"/>
    <s v="磅"/>
    <n v="1"/>
    <n v="1.4"/>
    <n v="1"/>
    <n v="1.4"/>
    <n v="0"/>
    <n v="0"/>
    <n v="0"/>
    <n v="0"/>
    <n v="0"/>
    <n v="0"/>
    <n v="0"/>
    <n v="0"/>
    <n v="0"/>
    <n v="0"/>
    <n v="0"/>
    <n v="0"/>
    <n v="1"/>
  </r>
  <r>
    <s v="2021-06-20"/>
    <s v="Vancouver"/>
    <s v="加拿大二店"/>
    <x v="1"/>
    <x v="6"/>
    <x v="119"/>
    <x v="113"/>
    <x v="123"/>
    <s v="整份"/>
    <n v="227.6"/>
    <s v="磅"/>
    <n v="1"/>
    <n v="227.6"/>
    <n v="0"/>
    <n v="0"/>
    <n v="0"/>
    <n v="0"/>
    <n v="0"/>
    <n v="0"/>
    <n v="0"/>
    <n v="-0.01"/>
    <n v="0"/>
    <n v="0"/>
    <n v="1"/>
    <n v="238.99"/>
    <n v="11.38"/>
    <n v="227.61"/>
    <n v="1"/>
  </r>
  <r>
    <s v="2021-06-20"/>
    <s v="Vancouver"/>
    <s v="加拿大二店"/>
    <x v="6"/>
    <x v="18"/>
    <x v="91"/>
    <x v="88"/>
    <x v="95"/>
    <s v="整份"/>
    <n v="2.95"/>
    <s v="份"/>
    <n v="17"/>
    <n v="50.15"/>
    <n v="0"/>
    <n v="0"/>
    <n v="0"/>
    <n v="0"/>
    <n v="0"/>
    <n v="0"/>
    <n v="0"/>
    <n v="0"/>
    <n v="0"/>
    <n v="0"/>
    <n v="17"/>
    <n v="52.65"/>
    <n v="2.5"/>
    <n v="50.15"/>
    <n v="1"/>
  </r>
  <r>
    <s v="2021-06-20"/>
    <s v="Vancouver"/>
    <s v="加拿大二店"/>
    <x v="4"/>
    <x v="9"/>
    <x v="92"/>
    <x v="0"/>
    <x v="96"/>
    <s v="拼锅"/>
    <n v="8.95"/>
    <s v="锅"/>
    <n v="4"/>
    <n v="35.8"/>
    <n v="0"/>
    <n v="0"/>
    <n v="0"/>
    <n v="0"/>
    <n v="0"/>
    <n v="0"/>
    <n v="0"/>
    <n v="-0.03"/>
    <n v="1.79"/>
    <n v="0"/>
    <n v="4"/>
    <n v="35.74"/>
    <n v="1.7"/>
    <n v="34.04"/>
    <n v="2"/>
  </r>
  <r>
    <s v="2021-06-20"/>
    <s v="Vancouver"/>
    <s v="加拿大二店"/>
    <x v="4"/>
    <x v="10"/>
    <x v="92"/>
    <x v="0"/>
    <x v="96"/>
    <s v="四宫格"/>
    <n v="4.95"/>
    <s v="锅"/>
    <n v="5"/>
    <n v="24.75"/>
    <n v="0"/>
    <n v="0"/>
    <n v="0"/>
    <n v="0"/>
    <n v="0"/>
    <n v="0"/>
    <n v="0"/>
    <n v="0.02"/>
    <n v="0"/>
    <n v="0"/>
    <n v="5"/>
    <n v="25.96"/>
    <n v="1.23"/>
    <n v="24.73"/>
    <n v="1"/>
  </r>
  <r>
    <s v="2021-06-20"/>
    <s v="Vancouver"/>
    <s v="加拿大二店"/>
    <x v="3"/>
    <x v="5"/>
    <x v="93"/>
    <x v="89"/>
    <x v="97"/>
    <s v="整份"/>
    <n v="5.95"/>
    <s v="份"/>
    <n v="20"/>
    <n v="119"/>
    <n v="0"/>
    <n v="0"/>
    <n v="0"/>
    <n v="0"/>
    <n v="0"/>
    <n v="0"/>
    <n v="0"/>
    <n v="0"/>
    <n v="0.89"/>
    <n v="0"/>
    <n v="20"/>
    <n v="124.01"/>
    <n v="5.9"/>
    <n v="118.11"/>
    <n v="1"/>
  </r>
  <r>
    <s v="2021-06-20"/>
    <s v="Vancouver"/>
    <s v="加拿大二店"/>
    <x v="6"/>
    <x v="13"/>
    <x v="94"/>
    <x v="90"/>
    <x v="98"/>
    <s v="整份"/>
    <n v="4.95"/>
    <s v="份"/>
    <n v="20"/>
    <n v="99"/>
    <n v="0"/>
    <n v="0"/>
    <n v="0"/>
    <n v="0"/>
    <n v="1"/>
    <n v="4.95"/>
    <n v="0"/>
    <n v="0"/>
    <n v="0"/>
    <n v="0"/>
    <n v="19"/>
    <n v="98.75"/>
    <n v="4.7"/>
    <n v="94.05"/>
    <n v="1"/>
  </r>
  <r>
    <s v="2021-06-20"/>
    <s v="Vancouver"/>
    <s v="加拿大二店"/>
    <x v="7"/>
    <x v="14"/>
    <x v="123"/>
    <x v="117"/>
    <x v="127"/>
    <s v="整份"/>
    <n v="0"/>
    <s v="份"/>
    <n v="1"/>
    <n v="0"/>
    <n v="0"/>
    <n v="0"/>
    <n v="0"/>
    <n v="0"/>
    <n v="0"/>
    <n v="0"/>
    <n v="0"/>
    <n v="0"/>
    <n v="0"/>
    <n v="0"/>
    <n v="1"/>
    <n v="0"/>
    <n v="0"/>
    <n v="0"/>
    <n v="1"/>
  </r>
  <r>
    <s v="2021-06-20"/>
    <s v="Vancouver"/>
    <s v="加拿大二店"/>
    <x v="2"/>
    <x v="4"/>
    <x v="95"/>
    <x v="91"/>
    <x v="99"/>
    <s v="冰镇"/>
    <n v="2.45"/>
    <s v="听"/>
    <n v="4"/>
    <n v="9.8"/>
    <n v="0"/>
    <n v="0"/>
    <n v="0"/>
    <n v="0"/>
    <n v="0"/>
    <n v="0"/>
    <n v="0"/>
    <n v="0"/>
    <n v="0"/>
    <n v="0"/>
    <n v="4"/>
    <n v="10.97"/>
    <n v="1.17"/>
    <n v="9.8"/>
    <n v="1"/>
  </r>
  <r>
    <s v="2021-06-20"/>
    <s v="Vancouver"/>
    <s v="加拿大二店"/>
    <x v="1"/>
    <x v="1"/>
    <x v="96"/>
    <x v="92"/>
    <x v="100"/>
    <s v="整份"/>
    <n v="49.95"/>
    <s v="份"/>
    <n v="11"/>
    <n v="549.45"/>
    <n v="0"/>
    <n v="0"/>
    <n v="0"/>
    <n v="0"/>
    <n v="1"/>
    <n v="49.95"/>
    <n v="0"/>
    <n v="0"/>
    <n v="11.98"/>
    <n v="0"/>
    <n v="10"/>
    <n v="511.89"/>
    <n v="24.37"/>
    <n v="487.52"/>
    <n v="1"/>
  </r>
  <r>
    <s v="2021-06-20"/>
    <s v="Vancouver"/>
    <s v="加拿大二店"/>
    <x v="2"/>
    <x v="2"/>
    <x v="97"/>
    <x v="93"/>
    <x v="101"/>
    <s v="常温"/>
    <n v="5.95"/>
    <s v="听"/>
    <n v="1"/>
    <n v="5.95"/>
    <n v="0"/>
    <n v="0"/>
    <n v="0"/>
    <n v="0"/>
    <n v="0"/>
    <n v="0"/>
    <n v="0"/>
    <n v="0"/>
    <n v="0"/>
    <n v="0"/>
    <n v="1"/>
    <n v="6.84"/>
    <n v="0.89"/>
    <n v="5.95"/>
    <n v="1"/>
  </r>
  <r>
    <s v="2021-06-20"/>
    <s v="Vancouver"/>
    <s v="加拿大二店"/>
    <x v="2"/>
    <x v="2"/>
    <x v="97"/>
    <x v="93"/>
    <x v="101"/>
    <s v="冰镇"/>
    <n v="5.95"/>
    <s v="听"/>
    <n v="6"/>
    <n v="35.7"/>
    <n v="1"/>
    <n v="5.95"/>
    <n v="0"/>
    <n v="0"/>
    <n v="0"/>
    <n v="0"/>
    <n v="0"/>
    <n v="0.02"/>
    <n v="0"/>
    <n v="0"/>
    <n v="5"/>
    <n v="34.18"/>
    <n v="4.45"/>
    <n v="29.73"/>
    <n v="1"/>
  </r>
  <r>
    <s v="2021-06-20"/>
    <s v="Vancouver"/>
    <s v="加拿大二店"/>
    <x v="6"/>
    <x v="13"/>
    <x v="98"/>
    <x v="94"/>
    <x v="102"/>
    <s v="整份"/>
    <n v="3.95"/>
    <s v="份"/>
    <n v="7"/>
    <n v="27.65"/>
    <n v="0"/>
    <n v="0"/>
    <n v="0"/>
    <n v="0"/>
    <n v="0"/>
    <n v="0"/>
    <n v="0"/>
    <n v="0"/>
    <n v="0"/>
    <n v="0"/>
    <n v="7"/>
    <n v="29.03"/>
    <n v="1.38"/>
    <n v="27.65"/>
    <n v="1"/>
  </r>
  <r>
    <s v="2021-06-20"/>
    <s v="Vancouver"/>
    <s v="加拿大二店"/>
    <x v="1"/>
    <x v="3"/>
    <x v="99"/>
    <x v="95"/>
    <x v="103"/>
    <s v="整份"/>
    <n v="5.95"/>
    <s v="份"/>
    <n v="8"/>
    <n v="47.6"/>
    <n v="0"/>
    <n v="0"/>
    <n v="0"/>
    <n v="0"/>
    <n v="0"/>
    <n v="0"/>
    <n v="0"/>
    <n v="0"/>
    <n v="0"/>
    <n v="0"/>
    <n v="8"/>
    <n v="49.98"/>
    <n v="2.38"/>
    <n v="47.6"/>
    <n v="1"/>
  </r>
  <r>
    <s v="2021-06-20"/>
    <s v="Vancouver"/>
    <s v="加拿大二店"/>
    <x v="1"/>
    <x v="3"/>
    <x v="100"/>
    <x v="96"/>
    <x v="104"/>
    <s v="整份"/>
    <n v="7.95"/>
    <s v="份"/>
    <n v="7"/>
    <n v="55.65"/>
    <n v="0"/>
    <n v="0"/>
    <n v="0"/>
    <n v="0"/>
    <n v="0"/>
    <n v="0"/>
    <n v="0"/>
    <n v="0"/>
    <n v="3.57"/>
    <n v="0"/>
    <n v="7"/>
    <n v="54.68"/>
    <n v="2.6"/>
    <n v="52.08"/>
    <n v="1"/>
  </r>
  <r>
    <s v="2021-06-20"/>
    <s v="Vancouver"/>
    <s v="加拿大二店"/>
    <x v="1"/>
    <x v="8"/>
    <x v="101"/>
    <x v="97"/>
    <x v="105"/>
    <s v="整份"/>
    <n v="5.95"/>
    <s v="份"/>
    <n v="16"/>
    <n v="95.2"/>
    <n v="0"/>
    <n v="0"/>
    <n v="0"/>
    <n v="0"/>
    <n v="0"/>
    <n v="0"/>
    <n v="0"/>
    <n v="0"/>
    <n v="3.11"/>
    <n v="0"/>
    <n v="16"/>
    <n v="96.69"/>
    <n v="4.6"/>
    <n v="92.09"/>
    <n v="1"/>
  </r>
  <r>
    <s v="2021-06-20"/>
    <s v="Vancouver"/>
    <s v="加拿大二店"/>
    <x v="1"/>
    <x v="6"/>
    <x v="102"/>
    <x v="98"/>
    <x v="106"/>
    <s v="整份"/>
    <n v="8.95"/>
    <s v="份"/>
    <n v="6"/>
    <n v="53.7"/>
    <n v="0"/>
    <n v="0"/>
    <n v="0"/>
    <n v="0"/>
    <n v="0"/>
    <n v="0"/>
    <n v="0"/>
    <n v="-0.05"/>
    <n v="1.79"/>
    <n v="0"/>
    <n v="6"/>
    <n v="54.55"/>
    <n v="2.59"/>
    <n v="51.96"/>
    <n v="1"/>
  </r>
  <r>
    <s v="2021-06-20"/>
    <s v="Vancouver"/>
    <s v="加拿大二店"/>
    <x v="3"/>
    <x v="7"/>
    <x v="103"/>
    <x v="99"/>
    <x v="107"/>
    <s v="整份"/>
    <n v="5.95"/>
    <s v="份"/>
    <n v="20"/>
    <n v="119"/>
    <n v="0"/>
    <n v="0"/>
    <n v="0"/>
    <n v="0"/>
    <n v="0"/>
    <n v="0"/>
    <n v="0"/>
    <n v="0"/>
    <n v="2.38"/>
    <n v="0"/>
    <n v="20"/>
    <n v="122.45"/>
    <n v="5.83"/>
    <n v="116.62"/>
    <n v="1"/>
  </r>
  <r>
    <s v="2021-06-20"/>
    <s v="Vancouver"/>
    <s v="加拿大二店"/>
    <x v="3"/>
    <x v="7"/>
    <x v="104"/>
    <x v="100"/>
    <x v="108"/>
    <s v="整份"/>
    <n v="3.95"/>
    <s v="份"/>
    <n v="13"/>
    <n v="51.35"/>
    <n v="0"/>
    <n v="0"/>
    <n v="0"/>
    <n v="0"/>
    <n v="0"/>
    <n v="0"/>
    <n v="0"/>
    <n v="0"/>
    <n v="0"/>
    <n v="0"/>
    <n v="13"/>
    <n v="53.91"/>
    <n v="2.56"/>
    <n v="51.35"/>
    <n v="1"/>
  </r>
  <r>
    <s v="2021-06-20"/>
    <s v="Vancouver"/>
    <s v="加拿大二店"/>
    <x v="1"/>
    <x v="8"/>
    <x v="105"/>
    <x v="101"/>
    <x v="109"/>
    <s v="整份"/>
    <n v="4.95"/>
    <s v="份"/>
    <n v="23"/>
    <n v="113.85"/>
    <n v="0"/>
    <n v="0"/>
    <n v="0"/>
    <n v="0"/>
    <n v="1"/>
    <n v="4.95"/>
    <n v="0"/>
    <n v="0"/>
    <n v="4.29"/>
    <n v="0"/>
    <n v="22"/>
    <n v="109.84"/>
    <n v="5.23"/>
    <n v="104.61"/>
    <n v="1"/>
  </r>
  <r>
    <s v="2021-06-20"/>
    <s v="Vancouver"/>
    <s v="加拿大二店"/>
    <x v="4"/>
    <x v="9"/>
    <x v="106"/>
    <x v="0"/>
    <x v="110"/>
    <s v="拼锅"/>
    <n v="11.95"/>
    <s v="锅"/>
    <n v="16"/>
    <n v="191.2"/>
    <n v="2"/>
    <n v="23.9"/>
    <n v="0"/>
    <n v="0"/>
    <n v="0"/>
    <n v="0"/>
    <n v="0"/>
    <n v="-0.08"/>
    <n v="0.8"/>
    <n v="0"/>
    <n v="14"/>
    <n v="174.9"/>
    <n v="8.32"/>
    <n v="166.58"/>
    <n v="2"/>
  </r>
  <r>
    <s v="2021-06-20"/>
    <s v="Vancouver"/>
    <s v="加拿大二店"/>
    <x v="4"/>
    <x v="10"/>
    <x v="106"/>
    <x v="0"/>
    <x v="110"/>
    <s v="四宫格"/>
    <n v="5.95"/>
    <s v="锅"/>
    <n v="12"/>
    <n v="71.4"/>
    <n v="0"/>
    <n v="0"/>
    <n v="0"/>
    <n v="0"/>
    <n v="0"/>
    <n v="0"/>
    <n v="0"/>
    <n v="0.02"/>
    <n v="0"/>
    <n v="0"/>
    <n v="12"/>
    <n v="74.94"/>
    <n v="3.56"/>
    <n v="71.38"/>
    <n v="1"/>
  </r>
  <r>
    <s v="2021-06-20"/>
    <s v="Vancouver"/>
    <s v="加拿大二店"/>
    <x v="4"/>
    <x v="9"/>
    <x v="107"/>
    <x v="0"/>
    <x v="111"/>
    <s v="拼锅"/>
    <n v="11.95"/>
    <s v="锅"/>
    <n v="8"/>
    <n v="95.6"/>
    <n v="0"/>
    <n v="0"/>
    <n v="0"/>
    <n v="0"/>
    <n v="0"/>
    <n v="0"/>
    <n v="0"/>
    <n v="0"/>
    <n v="0"/>
    <n v="0"/>
    <n v="8"/>
    <n v="100.38"/>
    <n v="4.78"/>
    <n v="95.6"/>
    <n v="2"/>
  </r>
  <r>
    <s v="2021-06-20"/>
    <s v="Vancouver"/>
    <s v="加拿大二店"/>
    <x v="4"/>
    <x v="10"/>
    <x v="107"/>
    <x v="0"/>
    <x v="111"/>
    <s v="四宫格"/>
    <n v="5.95"/>
    <s v="锅"/>
    <n v="8"/>
    <n v="47.6"/>
    <n v="0"/>
    <n v="0"/>
    <n v="0"/>
    <n v="0"/>
    <n v="0"/>
    <n v="0"/>
    <n v="0"/>
    <n v="0"/>
    <n v="0"/>
    <n v="0"/>
    <n v="8"/>
    <n v="49.98"/>
    <n v="2.38"/>
    <n v="47.6"/>
    <n v="1"/>
  </r>
  <r>
    <s v="2021-06-21"/>
    <s v="Vancouver"/>
    <s v="加拿大二店"/>
    <x v="1"/>
    <x v="1"/>
    <x v="1"/>
    <x v="1"/>
    <x v="1"/>
    <s v="整份"/>
    <n v="16.95"/>
    <s v="份"/>
    <n v="7"/>
    <n v="118.65"/>
    <n v="0"/>
    <n v="0"/>
    <n v="0"/>
    <n v="0"/>
    <n v="1"/>
    <n v="16.95"/>
    <n v="0"/>
    <n v="0"/>
    <n v="5.08"/>
    <n v="0"/>
    <n v="6"/>
    <n v="101.45"/>
    <n v="4.83"/>
    <n v="96.62"/>
    <n v="1"/>
  </r>
  <r>
    <s v="2021-06-21"/>
    <s v="Vancouver"/>
    <s v="加拿大二店"/>
    <x v="1"/>
    <x v="1"/>
    <x v="2"/>
    <x v="2"/>
    <x v="2"/>
    <s v="整份"/>
    <n v="25.95"/>
    <s v="份"/>
    <n v="19"/>
    <n v="493.05"/>
    <n v="0"/>
    <n v="0"/>
    <n v="0"/>
    <n v="0"/>
    <n v="1"/>
    <n v="25.95"/>
    <n v="0"/>
    <n v="0"/>
    <n v="28.54"/>
    <n v="0"/>
    <n v="18"/>
    <n v="460.48"/>
    <n v="21.92"/>
    <n v="438.56"/>
    <n v="1"/>
  </r>
  <r>
    <s v="2021-06-21"/>
    <s v="Vancouver"/>
    <s v="加拿大二店"/>
    <x v="2"/>
    <x v="2"/>
    <x v="129"/>
    <x v="123"/>
    <x v="134"/>
    <s v="扎"/>
    <n v="22.95"/>
    <s v="扎"/>
    <n v="2"/>
    <n v="45.9"/>
    <n v="0"/>
    <n v="0"/>
    <n v="0"/>
    <n v="0"/>
    <n v="0"/>
    <n v="0"/>
    <n v="0"/>
    <n v="0"/>
    <n v="0"/>
    <n v="0"/>
    <n v="2"/>
    <n v="52.78"/>
    <n v="6.88"/>
    <n v="45.9"/>
    <n v="1"/>
  </r>
  <r>
    <s v="2021-06-21"/>
    <s v="Vancouver"/>
    <s v="加拿大二店"/>
    <x v="2"/>
    <x v="2"/>
    <x v="4"/>
    <x v="4"/>
    <x v="4"/>
    <s v="壶"/>
    <n v="22.95"/>
    <s v="壶"/>
    <n v="3"/>
    <n v="68.85"/>
    <n v="0"/>
    <n v="0"/>
    <n v="0"/>
    <n v="0"/>
    <n v="0"/>
    <n v="0"/>
    <n v="0"/>
    <n v="0"/>
    <n v="0"/>
    <n v="0"/>
    <n v="3"/>
    <n v="79.17"/>
    <n v="10.32"/>
    <n v="68.85"/>
    <n v="1"/>
  </r>
  <r>
    <s v="2021-06-21"/>
    <s v="Vancouver"/>
    <s v="加拿大二店"/>
    <x v="2"/>
    <x v="2"/>
    <x v="5"/>
    <x v="5"/>
    <x v="5"/>
    <s v="杯"/>
    <n v="6.95"/>
    <s v="杯"/>
    <n v="2"/>
    <n v="13.9"/>
    <n v="0"/>
    <n v="0"/>
    <n v="0"/>
    <n v="0"/>
    <n v="0"/>
    <n v="0"/>
    <n v="0"/>
    <n v="-0.01"/>
    <n v="0"/>
    <n v="0"/>
    <n v="2"/>
    <n v="15.99"/>
    <n v="2.08"/>
    <n v="13.91"/>
    <n v="1"/>
  </r>
  <r>
    <s v="2021-06-21"/>
    <s v="Vancouver"/>
    <s v="加拿大二店"/>
    <x v="1"/>
    <x v="3"/>
    <x v="6"/>
    <x v="6"/>
    <x v="6"/>
    <s v="整份"/>
    <n v="7.95"/>
    <s v="份"/>
    <n v="2"/>
    <n v="15.9"/>
    <n v="0"/>
    <n v="0"/>
    <n v="0"/>
    <n v="0"/>
    <n v="0"/>
    <n v="0"/>
    <n v="0"/>
    <n v="0"/>
    <n v="1.59"/>
    <n v="0"/>
    <n v="2"/>
    <n v="15.02"/>
    <n v="0.71"/>
    <n v="14.31"/>
    <n v="1"/>
  </r>
  <r>
    <s v="2021-06-21"/>
    <s v="Vancouver"/>
    <s v="加拿大二店"/>
    <x v="2"/>
    <x v="4"/>
    <x v="7"/>
    <x v="7"/>
    <x v="7"/>
    <s v="冰镇"/>
    <n v="2.45"/>
    <s v="罐"/>
    <n v="3"/>
    <n v="7.35"/>
    <n v="0"/>
    <n v="0"/>
    <n v="0"/>
    <n v="0"/>
    <n v="0"/>
    <n v="0"/>
    <n v="0"/>
    <n v="0"/>
    <n v="1.73"/>
    <n v="0"/>
    <n v="3"/>
    <n v="6.29"/>
    <n v="0.67"/>
    <n v="5.62"/>
    <n v="1"/>
  </r>
  <r>
    <s v="2021-06-21"/>
    <s v="Vancouver"/>
    <s v="加拿大二店"/>
    <x v="2"/>
    <x v="4"/>
    <x v="110"/>
    <x v="104"/>
    <x v="114"/>
    <s v="小瓶"/>
    <n v="3.95"/>
    <s v="瓶"/>
    <n v="6"/>
    <n v="23.7"/>
    <n v="0"/>
    <n v="0"/>
    <n v="0"/>
    <n v="0"/>
    <n v="0"/>
    <n v="0"/>
    <n v="0"/>
    <n v="-0.01"/>
    <n v="1.97"/>
    <n v="0"/>
    <n v="6"/>
    <n v="24.34"/>
    <n v="2.6"/>
    <n v="21.74"/>
    <n v="1"/>
  </r>
  <r>
    <s v="2021-06-21"/>
    <s v="Vancouver"/>
    <s v="加拿大二店"/>
    <x v="3"/>
    <x v="5"/>
    <x v="8"/>
    <x v="8"/>
    <x v="8"/>
    <s v="整份"/>
    <n v="3.95"/>
    <s v="份"/>
    <n v="8"/>
    <n v="31.6"/>
    <n v="0"/>
    <n v="0"/>
    <n v="0"/>
    <n v="0"/>
    <n v="0"/>
    <n v="0"/>
    <n v="0"/>
    <n v="0"/>
    <n v="3.55"/>
    <n v="0"/>
    <n v="8"/>
    <n v="29.45"/>
    <n v="1.4"/>
    <n v="28.05"/>
    <n v="1"/>
  </r>
  <r>
    <s v="2021-06-21"/>
    <s v="Vancouver"/>
    <s v="加拿大二店"/>
    <x v="2"/>
    <x v="4"/>
    <x v="9"/>
    <x v="9"/>
    <x v="9"/>
    <s v="常温"/>
    <n v="2.95"/>
    <s v="位"/>
    <n v="1"/>
    <n v="2.95"/>
    <n v="0"/>
    <n v="0"/>
    <n v="0"/>
    <n v="0"/>
    <n v="0"/>
    <n v="0"/>
    <n v="0"/>
    <n v="0"/>
    <n v="1.47"/>
    <n v="0"/>
    <n v="1"/>
    <n v="1.65"/>
    <n v="0.17"/>
    <n v="1.48"/>
    <n v="1"/>
  </r>
  <r>
    <s v="2021-06-21"/>
    <s v="Vancouver"/>
    <s v="加拿大二店"/>
    <x v="2"/>
    <x v="4"/>
    <x v="9"/>
    <x v="9"/>
    <x v="9"/>
    <s v="冰镇"/>
    <n v="2.95"/>
    <s v="位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21"/>
    <s v="Vancouver"/>
    <s v="加拿大二店"/>
    <x v="2"/>
    <x v="4"/>
    <x v="10"/>
    <x v="11"/>
    <x v="11"/>
    <s v="整份"/>
    <n v="9.95"/>
    <s v="扎"/>
    <n v="2"/>
    <n v="19.9"/>
    <n v="0"/>
    <n v="0"/>
    <n v="0"/>
    <n v="0"/>
    <n v="0"/>
    <n v="0"/>
    <n v="0"/>
    <n v="0"/>
    <n v="0"/>
    <n v="0"/>
    <n v="2"/>
    <n v="22.28"/>
    <n v="2.38"/>
    <n v="19.9"/>
    <n v="1"/>
  </r>
  <r>
    <s v="2021-06-21"/>
    <s v="Vancouver"/>
    <s v="加拿大二店"/>
    <x v="1"/>
    <x v="6"/>
    <x v="11"/>
    <x v="12"/>
    <x v="12"/>
    <s v="整份"/>
    <n v="8.95"/>
    <s v="份"/>
    <n v="1"/>
    <n v="8.95"/>
    <n v="0"/>
    <n v="0"/>
    <n v="0"/>
    <n v="0"/>
    <n v="1"/>
    <n v="8.95"/>
    <n v="0"/>
    <n v="0"/>
    <n v="0"/>
    <n v="0"/>
    <n v="0"/>
    <n v="0"/>
    <n v="0"/>
    <n v="0"/>
    <n v="1"/>
  </r>
  <r>
    <s v="2021-06-21"/>
    <s v="Vancouver"/>
    <s v="加拿大二店"/>
    <x v="1"/>
    <x v="6"/>
    <x v="13"/>
    <x v="14"/>
    <x v="14"/>
    <s v="整份"/>
    <n v="21.95"/>
    <s v="份"/>
    <n v="1"/>
    <n v="21.95"/>
    <n v="0"/>
    <n v="0"/>
    <n v="0"/>
    <n v="0"/>
    <n v="0"/>
    <n v="0"/>
    <n v="0"/>
    <n v="0"/>
    <n v="0"/>
    <n v="0"/>
    <n v="1"/>
    <n v="23.04"/>
    <n v="1.09"/>
    <n v="21.95"/>
    <n v="1"/>
  </r>
  <r>
    <s v="2021-06-21"/>
    <s v="Vancouver"/>
    <s v="加拿大二店"/>
    <x v="1"/>
    <x v="6"/>
    <x v="14"/>
    <x v="15"/>
    <x v="15"/>
    <s v="整份"/>
    <n v="29.95"/>
    <s v="份"/>
    <n v="1"/>
    <n v="29.95"/>
    <n v="0"/>
    <n v="0"/>
    <n v="0"/>
    <n v="0"/>
    <n v="0"/>
    <n v="0"/>
    <n v="0"/>
    <n v="0"/>
    <n v="0"/>
    <n v="0"/>
    <n v="1"/>
    <n v="31.44"/>
    <n v="1.49"/>
    <n v="29.95"/>
    <n v="1"/>
  </r>
  <r>
    <s v="2021-06-21"/>
    <s v="Vancouver"/>
    <s v="加拿大二店"/>
    <x v="1"/>
    <x v="6"/>
    <x v="121"/>
    <x v="115"/>
    <x v="125"/>
    <s v="整份"/>
    <n v="12.95"/>
    <s v="份"/>
    <n v="2"/>
    <n v="25.9"/>
    <n v="0"/>
    <n v="0"/>
    <n v="0"/>
    <n v="0"/>
    <n v="0"/>
    <n v="0"/>
    <n v="0"/>
    <n v="0"/>
    <n v="2.59"/>
    <n v="0"/>
    <n v="2"/>
    <n v="24.47"/>
    <n v="1.16"/>
    <n v="23.31"/>
    <n v="1"/>
  </r>
  <r>
    <s v="2021-06-21"/>
    <s v="Vancouver"/>
    <s v="加拿大二店"/>
    <x v="1"/>
    <x v="6"/>
    <x v="15"/>
    <x v="16"/>
    <x v="16"/>
    <s v="整份"/>
    <n v="8.95"/>
    <s v="份"/>
    <n v="2"/>
    <n v="17.9"/>
    <n v="0"/>
    <n v="0"/>
    <n v="0"/>
    <n v="0"/>
    <n v="0"/>
    <n v="0"/>
    <n v="0"/>
    <n v="0"/>
    <n v="1.79"/>
    <n v="0"/>
    <n v="2"/>
    <n v="16.91"/>
    <n v="0.8"/>
    <n v="16.11"/>
    <n v="1"/>
  </r>
  <r>
    <s v="2021-06-21"/>
    <s v="Vancouver"/>
    <s v="加拿大二店"/>
    <x v="3"/>
    <x v="7"/>
    <x v="16"/>
    <x v="17"/>
    <x v="17"/>
    <s v="整份"/>
    <n v="4.95"/>
    <s v="份"/>
    <n v="10"/>
    <n v="49.5"/>
    <n v="0"/>
    <n v="0"/>
    <n v="0"/>
    <n v="0"/>
    <n v="0"/>
    <n v="0"/>
    <n v="0"/>
    <n v="0"/>
    <n v="4.45"/>
    <n v="0"/>
    <n v="10"/>
    <n v="47.3"/>
    <n v="2.25"/>
    <n v="45.05"/>
    <n v="1"/>
  </r>
  <r>
    <s v="2021-06-21"/>
    <s v="Vancouver"/>
    <s v="加拿大二店"/>
    <x v="2"/>
    <x v="2"/>
    <x v="127"/>
    <x v="121"/>
    <x v="132"/>
    <s v="冰镇"/>
    <n v="4.95"/>
    <s v="瓶"/>
    <n v="1"/>
    <n v="4.95"/>
    <n v="0"/>
    <n v="0"/>
    <n v="0"/>
    <n v="0"/>
    <n v="0"/>
    <n v="0"/>
    <n v="0"/>
    <n v="0"/>
    <n v="0"/>
    <n v="0"/>
    <n v="1"/>
    <n v="5.69"/>
    <n v="0.74"/>
    <n v="4.95"/>
    <n v="1"/>
  </r>
  <r>
    <s v="2021-06-21"/>
    <s v="Vancouver"/>
    <s v="加拿大二店"/>
    <x v="1"/>
    <x v="8"/>
    <x v="19"/>
    <x v="20"/>
    <x v="20"/>
    <s v="整份"/>
    <n v="5.95"/>
    <s v="份"/>
    <n v="7"/>
    <n v="41.65"/>
    <n v="0"/>
    <n v="0"/>
    <n v="0"/>
    <n v="0"/>
    <n v="2"/>
    <n v="11.9"/>
    <n v="0"/>
    <n v="0"/>
    <n v="1.19"/>
    <n v="0"/>
    <n v="5"/>
    <n v="29.98"/>
    <n v="1.42"/>
    <n v="28.56"/>
    <n v="1"/>
  </r>
  <r>
    <s v="2021-06-21"/>
    <s v="Vancouver"/>
    <s v="加拿大二店"/>
    <x v="1"/>
    <x v="8"/>
    <x v="20"/>
    <x v="21"/>
    <x v="21"/>
    <s v="整份"/>
    <n v="7.95"/>
    <s v="份"/>
    <n v="3"/>
    <n v="23.85"/>
    <n v="0"/>
    <n v="0"/>
    <n v="0"/>
    <n v="0"/>
    <n v="0"/>
    <n v="0"/>
    <n v="0"/>
    <n v="0"/>
    <n v="0"/>
    <n v="0"/>
    <n v="3"/>
    <n v="25.04"/>
    <n v="1.19"/>
    <n v="23.85"/>
    <n v="1"/>
  </r>
  <r>
    <s v="2021-06-21"/>
    <s v="Vancouver"/>
    <s v="加拿大二店"/>
    <x v="2"/>
    <x v="4"/>
    <x v="21"/>
    <x v="22"/>
    <x v="22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21"/>
    <s v="Vancouver"/>
    <s v="加拿大二店"/>
    <x v="4"/>
    <x v="9"/>
    <x v="22"/>
    <x v="0"/>
    <x v="23"/>
    <s v="拼锅"/>
    <n v="11.95"/>
    <s v="锅"/>
    <n v="2"/>
    <n v="23.9"/>
    <n v="0"/>
    <n v="0"/>
    <n v="0"/>
    <n v="0"/>
    <n v="0"/>
    <n v="0"/>
    <n v="0"/>
    <n v="0"/>
    <n v="0"/>
    <n v="0"/>
    <n v="2"/>
    <n v="25.33"/>
    <n v="1.43"/>
    <n v="23.9"/>
    <n v="2"/>
  </r>
  <r>
    <s v="2021-06-21"/>
    <s v="Vancouver"/>
    <s v="加拿大二店"/>
    <x v="4"/>
    <x v="10"/>
    <x v="22"/>
    <x v="0"/>
    <x v="23"/>
    <s v="四宫格"/>
    <n v="5.95"/>
    <s v="锅"/>
    <n v="4"/>
    <n v="23.8"/>
    <n v="0"/>
    <n v="0"/>
    <n v="0"/>
    <n v="0"/>
    <n v="0"/>
    <n v="0"/>
    <n v="0"/>
    <n v="0"/>
    <n v="0"/>
    <n v="0"/>
    <n v="4"/>
    <n v="25.22"/>
    <n v="1.42"/>
    <n v="23.8"/>
    <n v="1"/>
  </r>
  <r>
    <s v="2021-06-21"/>
    <s v="Vancouver"/>
    <s v="加拿大二店"/>
    <x v="3"/>
    <x v="7"/>
    <x v="23"/>
    <x v="23"/>
    <x v="24"/>
    <s v="整份"/>
    <n v="4.95"/>
    <s v="份"/>
    <n v="8"/>
    <n v="39.6"/>
    <n v="0"/>
    <n v="0"/>
    <n v="0"/>
    <n v="0"/>
    <n v="1"/>
    <n v="4.95"/>
    <n v="0"/>
    <n v="0"/>
    <n v="0.99"/>
    <n v="0"/>
    <n v="7"/>
    <n v="35.34"/>
    <n v="1.68"/>
    <n v="33.66"/>
    <n v="1"/>
  </r>
  <r>
    <s v="2021-06-21"/>
    <s v="Vancouver"/>
    <s v="加拿大二店"/>
    <x v="3"/>
    <x v="11"/>
    <x v="24"/>
    <x v="118"/>
    <x v="129"/>
    <s v="整份"/>
    <n v="5.95"/>
    <s v="份"/>
    <n v="2"/>
    <n v="11.9"/>
    <n v="0"/>
    <n v="0"/>
    <n v="0"/>
    <n v="0"/>
    <n v="0"/>
    <n v="0"/>
    <n v="0"/>
    <n v="0"/>
    <n v="1.19"/>
    <n v="0"/>
    <n v="2"/>
    <n v="11.24"/>
    <n v="0.53"/>
    <n v="10.71"/>
    <n v="1"/>
  </r>
  <r>
    <s v="2021-06-21"/>
    <s v="Vancouver"/>
    <s v="加拿大二店"/>
    <x v="3"/>
    <x v="11"/>
    <x v="24"/>
    <x v="24"/>
    <x v="25"/>
    <s v="半份"/>
    <n v="2.95"/>
    <s v="份"/>
    <n v="3"/>
    <n v="8.85"/>
    <n v="0"/>
    <n v="0"/>
    <n v="0"/>
    <n v="0"/>
    <n v="0"/>
    <n v="0"/>
    <n v="0"/>
    <n v="0"/>
    <n v="0.59"/>
    <n v="0"/>
    <n v="3"/>
    <n v="8.67"/>
    <n v="0.41"/>
    <n v="8.26"/>
    <n v="0.5"/>
  </r>
  <r>
    <s v="2021-06-21"/>
    <s v="Vancouver"/>
    <s v="加拿大二店"/>
    <x v="3"/>
    <x v="5"/>
    <x v="25"/>
    <x v="25"/>
    <x v="26"/>
    <s v="整份"/>
    <n v="3.95"/>
    <s v="份"/>
    <n v="5"/>
    <n v="19.75"/>
    <n v="0"/>
    <n v="0"/>
    <n v="0"/>
    <n v="0"/>
    <n v="2"/>
    <n v="7.9"/>
    <n v="0"/>
    <n v="0"/>
    <n v="0"/>
    <n v="0"/>
    <n v="3"/>
    <n v="12.44"/>
    <n v="0.59"/>
    <n v="11.85"/>
    <n v="1"/>
  </r>
  <r>
    <s v="2021-06-21"/>
    <s v="Vancouver"/>
    <s v="加拿大二店"/>
    <x v="3"/>
    <x v="11"/>
    <x v="26"/>
    <x v="26"/>
    <x v="27"/>
    <s v="整份"/>
    <n v="4.95"/>
    <s v="份"/>
    <n v="5"/>
    <n v="24.75"/>
    <n v="0"/>
    <n v="0"/>
    <n v="0"/>
    <n v="0"/>
    <n v="1"/>
    <n v="4.95"/>
    <n v="0"/>
    <n v="0"/>
    <n v="0"/>
    <n v="0"/>
    <n v="4"/>
    <n v="20.79"/>
    <n v="0.99"/>
    <n v="19.8"/>
    <n v="1"/>
  </r>
  <r>
    <s v="2021-06-21"/>
    <s v="Vancouver"/>
    <s v="加拿大二店"/>
    <x v="3"/>
    <x v="11"/>
    <x v="26"/>
    <x v="27"/>
    <x v="28"/>
    <s v="半份"/>
    <n v="2.45"/>
    <s v="份"/>
    <n v="5"/>
    <n v="12.25"/>
    <n v="0"/>
    <n v="0"/>
    <n v="0"/>
    <n v="0"/>
    <n v="1"/>
    <n v="2.45"/>
    <n v="0"/>
    <n v="0"/>
    <n v="0.49"/>
    <n v="0"/>
    <n v="4"/>
    <n v="9.77"/>
    <n v="0.46"/>
    <n v="9.31"/>
    <n v="0.5"/>
  </r>
  <r>
    <s v="2021-06-21"/>
    <s v="Vancouver"/>
    <s v="加拿大二店"/>
    <x v="5"/>
    <x v="12"/>
    <x v="27"/>
    <x v="28"/>
    <x v="29"/>
    <s v="整份"/>
    <n v="7.95"/>
    <s v="份"/>
    <n v="4"/>
    <n v="31.8"/>
    <n v="0"/>
    <n v="0"/>
    <n v="0"/>
    <n v="0"/>
    <n v="2"/>
    <n v="15.9"/>
    <n v="0"/>
    <n v="0"/>
    <n v="0"/>
    <n v="0"/>
    <n v="2"/>
    <n v="16.69"/>
    <n v="0.79"/>
    <n v="15.9"/>
    <n v="1"/>
  </r>
  <r>
    <s v="2021-06-21"/>
    <s v="Vancouver"/>
    <s v="加拿大二店"/>
    <x v="3"/>
    <x v="7"/>
    <x v="28"/>
    <x v="29"/>
    <x v="30"/>
    <s v="整份"/>
    <n v="4.95"/>
    <s v="份"/>
    <n v="8"/>
    <n v="39.6"/>
    <n v="1"/>
    <n v="4.95"/>
    <n v="0"/>
    <n v="0"/>
    <n v="0"/>
    <n v="0"/>
    <n v="0"/>
    <n v="0"/>
    <n v="4.45"/>
    <n v="0"/>
    <n v="7"/>
    <n v="31.71"/>
    <n v="1.51"/>
    <n v="30.2"/>
    <n v="1"/>
  </r>
  <r>
    <s v="2021-06-21"/>
    <s v="Vancouver"/>
    <s v="加拿大二店"/>
    <x v="2"/>
    <x v="4"/>
    <x v="112"/>
    <x v="106"/>
    <x v="116"/>
    <s v="常温"/>
    <n v="3.95"/>
    <s v="瓶"/>
    <n v="2"/>
    <n v="7.9"/>
    <n v="0"/>
    <n v="0"/>
    <n v="0"/>
    <n v="0"/>
    <n v="0"/>
    <n v="0"/>
    <n v="0"/>
    <n v="0"/>
    <n v="1.97"/>
    <n v="0"/>
    <n v="2"/>
    <n v="6.64"/>
    <n v="0.71"/>
    <n v="5.93"/>
    <n v="1"/>
  </r>
  <r>
    <s v="2021-06-21"/>
    <s v="Vancouver"/>
    <s v="加拿大二店"/>
    <x v="3"/>
    <x v="5"/>
    <x v="29"/>
    <x v="30"/>
    <x v="31"/>
    <s v="整份"/>
    <n v="3.95"/>
    <s v="份"/>
    <n v="6"/>
    <n v="23.7"/>
    <n v="0"/>
    <n v="0"/>
    <n v="0"/>
    <n v="0"/>
    <n v="0"/>
    <n v="0"/>
    <n v="0"/>
    <n v="0"/>
    <n v="1.97"/>
    <n v="0"/>
    <n v="6"/>
    <n v="22.81"/>
    <n v="1.08"/>
    <n v="21.73"/>
    <n v="1"/>
  </r>
  <r>
    <s v="2021-06-21"/>
    <s v="Vancouver"/>
    <s v="加拿大二店"/>
    <x v="6"/>
    <x v="13"/>
    <x v="30"/>
    <x v="31"/>
    <x v="32"/>
    <s v="整份"/>
    <n v="4.95"/>
    <s v="份"/>
    <n v="3"/>
    <n v="14.85"/>
    <n v="0"/>
    <n v="0"/>
    <n v="0"/>
    <n v="0"/>
    <n v="0"/>
    <n v="0"/>
    <n v="0"/>
    <n v="0"/>
    <n v="0"/>
    <n v="0"/>
    <n v="3"/>
    <n v="15.59"/>
    <n v="0.74"/>
    <n v="14.85"/>
    <n v="1"/>
  </r>
  <r>
    <s v="2021-06-21"/>
    <s v="Vancouver"/>
    <s v="加拿大二店"/>
    <x v="6"/>
    <x v="13"/>
    <x v="31"/>
    <x v="32"/>
    <x v="33"/>
    <s v="整份"/>
    <n v="9.95"/>
    <s v="份"/>
    <n v="1"/>
    <n v="9.95"/>
    <n v="0"/>
    <n v="0"/>
    <n v="0"/>
    <n v="0"/>
    <n v="0"/>
    <n v="0"/>
    <n v="0"/>
    <n v="0"/>
    <n v="0"/>
    <n v="0"/>
    <n v="1"/>
    <n v="10.44"/>
    <n v="0.49"/>
    <n v="9.95"/>
    <n v="1"/>
  </r>
  <r>
    <s v="2021-06-21"/>
    <s v="Vancouver"/>
    <s v="加拿大二店"/>
    <x v="5"/>
    <x v="12"/>
    <x v="32"/>
    <x v="33"/>
    <x v="34"/>
    <s v="整份"/>
    <n v="17.85"/>
    <s v="份"/>
    <n v="2"/>
    <n v="35.7"/>
    <n v="0"/>
    <n v="0"/>
    <n v="0"/>
    <n v="0"/>
    <n v="0"/>
    <n v="0"/>
    <n v="0"/>
    <n v="0"/>
    <n v="3.57"/>
    <n v="0"/>
    <n v="2"/>
    <n v="33.73"/>
    <n v="1.6"/>
    <n v="32.13"/>
    <n v="1"/>
  </r>
  <r>
    <s v="2021-06-21"/>
    <s v="Vancouver"/>
    <s v="加拿大二店"/>
    <x v="1"/>
    <x v="3"/>
    <x v="33"/>
    <x v="34"/>
    <x v="35"/>
    <s v="整份"/>
    <n v="11.95"/>
    <s v="份"/>
    <n v="13"/>
    <n v="155.35"/>
    <n v="0"/>
    <n v="0"/>
    <n v="0"/>
    <n v="0"/>
    <n v="2"/>
    <n v="23.9"/>
    <n v="0"/>
    <n v="0"/>
    <n v="7.17"/>
    <n v="0"/>
    <n v="11"/>
    <n v="130.49"/>
    <n v="6.21"/>
    <n v="124.28"/>
    <n v="1"/>
  </r>
  <r>
    <s v="2021-06-21"/>
    <s v="Vancouver"/>
    <s v="加拿大二店"/>
    <x v="5"/>
    <x v="12"/>
    <x v="34"/>
    <x v="35"/>
    <x v="36"/>
    <s v="整份"/>
    <n v="11.95"/>
    <s v="份"/>
    <n v="6"/>
    <n v="71.7"/>
    <n v="0"/>
    <n v="0"/>
    <n v="0"/>
    <n v="0"/>
    <n v="0"/>
    <n v="0"/>
    <n v="0"/>
    <n v="0"/>
    <n v="0"/>
    <n v="0"/>
    <n v="6"/>
    <n v="75.28"/>
    <n v="3.58"/>
    <n v="71.7"/>
    <n v="1"/>
  </r>
  <r>
    <s v="2021-06-21"/>
    <s v="Vancouver"/>
    <s v="加拿大二店"/>
    <x v="5"/>
    <x v="12"/>
    <x v="35"/>
    <x v="36"/>
    <x v="37"/>
    <s v="条"/>
    <n v="4.95"/>
    <s v="条"/>
    <n v="9"/>
    <n v="44.55"/>
    <n v="0"/>
    <n v="0"/>
    <n v="0"/>
    <n v="0"/>
    <n v="0"/>
    <n v="0"/>
    <n v="0"/>
    <n v="0"/>
    <n v="0.99"/>
    <n v="0"/>
    <n v="9"/>
    <n v="45.73"/>
    <n v="2.17"/>
    <n v="43.56"/>
    <n v="1"/>
  </r>
  <r>
    <s v="2021-06-21"/>
    <s v="Vancouver"/>
    <s v="加拿大二店"/>
    <x v="5"/>
    <x v="12"/>
    <x v="36"/>
    <x v="37"/>
    <x v="38"/>
    <s v="整份"/>
    <n v="13.95"/>
    <s v="份"/>
    <n v="13"/>
    <n v="181.35"/>
    <n v="0"/>
    <n v="0"/>
    <n v="0"/>
    <n v="0"/>
    <n v="0"/>
    <n v="0"/>
    <n v="0"/>
    <n v="0"/>
    <n v="12.55"/>
    <n v="0"/>
    <n v="13"/>
    <n v="177.24"/>
    <n v="8.44"/>
    <n v="168.8"/>
    <n v="1"/>
  </r>
  <r>
    <s v="2021-06-21"/>
    <s v="Vancouver"/>
    <s v="加拿大二店"/>
    <x v="5"/>
    <x v="12"/>
    <x v="37"/>
    <x v="38"/>
    <x v="39"/>
    <s v="整份"/>
    <n v="9.95"/>
    <s v="份"/>
    <n v="10"/>
    <n v="99.5"/>
    <n v="0"/>
    <n v="0"/>
    <n v="0"/>
    <n v="0"/>
    <n v="1"/>
    <n v="9.95"/>
    <n v="0"/>
    <n v="0"/>
    <n v="1.99"/>
    <n v="0"/>
    <n v="9"/>
    <n v="91.93"/>
    <n v="4.37"/>
    <n v="87.56"/>
    <n v="1"/>
  </r>
  <r>
    <s v="2021-06-21"/>
    <s v="Vancouver"/>
    <s v="加拿大二店"/>
    <x v="5"/>
    <x v="12"/>
    <x v="38"/>
    <x v="39"/>
    <x v="40"/>
    <s v="整份"/>
    <n v="9.95"/>
    <s v="份"/>
    <n v="3"/>
    <n v="29.85"/>
    <n v="0"/>
    <n v="0"/>
    <n v="0"/>
    <n v="0"/>
    <n v="0"/>
    <n v="0"/>
    <n v="0"/>
    <n v="0"/>
    <n v="1.99"/>
    <n v="0"/>
    <n v="3"/>
    <n v="29.25"/>
    <n v="1.39"/>
    <n v="27.86"/>
    <n v="1"/>
  </r>
  <r>
    <s v="2021-06-21"/>
    <s v="Vancouver"/>
    <s v="加拿大二店"/>
    <x v="6"/>
    <x v="13"/>
    <x v="39"/>
    <x v="40"/>
    <x v="41"/>
    <s v="整份"/>
    <n v="8.95"/>
    <s v="份"/>
    <n v="16"/>
    <n v="143.2"/>
    <n v="0"/>
    <n v="0"/>
    <n v="0"/>
    <n v="0"/>
    <n v="1"/>
    <n v="8.95"/>
    <n v="0"/>
    <n v="0"/>
    <n v="1.79"/>
    <n v="0"/>
    <n v="15"/>
    <n v="139.08"/>
    <n v="6.62"/>
    <n v="132.46"/>
    <n v="1"/>
  </r>
  <r>
    <s v="2021-06-21"/>
    <s v="Vancouver"/>
    <s v="加拿大二店"/>
    <x v="5"/>
    <x v="12"/>
    <x v="40"/>
    <x v="41"/>
    <x v="42"/>
    <s v="整份"/>
    <n v="9.95"/>
    <s v="份"/>
    <n v="9"/>
    <n v="89.55"/>
    <n v="0"/>
    <n v="0"/>
    <n v="0"/>
    <n v="0"/>
    <n v="0"/>
    <n v="0"/>
    <n v="0"/>
    <n v="0"/>
    <n v="5.17"/>
    <n v="0"/>
    <n v="9"/>
    <n v="88.59"/>
    <n v="4.21"/>
    <n v="84.38"/>
    <n v="1"/>
  </r>
  <r>
    <s v="2021-06-21"/>
    <s v="Vancouver"/>
    <s v="加拿大二店"/>
    <x v="1"/>
    <x v="6"/>
    <x v="131"/>
    <x v="125"/>
    <x v="136"/>
    <s v="整份"/>
    <n v="28.95"/>
    <s v="份"/>
    <n v="3"/>
    <n v="86.85"/>
    <n v="0"/>
    <n v="0"/>
    <n v="0"/>
    <n v="0"/>
    <n v="0"/>
    <n v="0"/>
    <n v="0"/>
    <n v="0"/>
    <n v="3.47"/>
    <n v="0"/>
    <n v="3"/>
    <n v="88.38"/>
    <n v="5"/>
    <n v="83.38"/>
    <n v="1"/>
  </r>
  <r>
    <s v="2021-06-21"/>
    <s v="Vancouver"/>
    <s v="加拿大二店"/>
    <x v="5"/>
    <x v="12"/>
    <x v="41"/>
    <x v="42"/>
    <x v="43"/>
    <s v="整份"/>
    <n v="7.95"/>
    <s v="份"/>
    <n v="7"/>
    <n v="55.65"/>
    <n v="0"/>
    <n v="0"/>
    <n v="0"/>
    <n v="0"/>
    <n v="1"/>
    <n v="7.95"/>
    <n v="0"/>
    <n v="0"/>
    <n v="3.18"/>
    <n v="0"/>
    <n v="6"/>
    <n v="46.74"/>
    <n v="2.22"/>
    <n v="44.52"/>
    <n v="1"/>
  </r>
  <r>
    <s v="2021-06-21"/>
    <s v="Vancouver"/>
    <s v="加拿大二店"/>
    <x v="3"/>
    <x v="5"/>
    <x v="43"/>
    <x v="44"/>
    <x v="45"/>
    <s v="整份"/>
    <n v="3.95"/>
    <s v="份"/>
    <n v="1"/>
    <n v="3.95"/>
    <n v="0"/>
    <n v="0"/>
    <n v="0"/>
    <n v="0"/>
    <n v="0"/>
    <n v="0"/>
    <n v="0"/>
    <n v="0"/>
    <n v="0"/>
    <n v="0"/>
    <n v="1"/>
    <n v="4.14"/>
    <n v="0.19"/>
    <n v="3.95"/>
    <n v="1"/>
  </r>
  <r>
    <s v="2021-06-21"/>
    <s v="Vancouver"/>
    <s v="加拿大二店"/>
    <x v="7"/>
    <x v="14"/>
    <x v="44"/>
    <x v="45"/>
    <x v="46"/>
    <s v="整份"/>
    <n v="0"/>
    <s v="份"/>
    <n v="3"/>
    <n v="0"/>
    <n v="0"/>
    <n v="0"/>
    <n v="0"/>
    <n v="0"/>
    <n v="0"/>
    <n v="0"/>
    <n v="0"/>
    <n v="0"/>
    <n v="0"/>
    <n v="0"/>
    <n v="3"/>
    <n v="0"/>
    <n v="0"/>
    <n v="0"/>
    <n v="1"/>
  </r>
  <r>
    <s v="2021-06-21"/>
    <s v="Vancouver"/>
    <s v="加拿大二店"/>
    <x v="7"/>
    <x v="14"/>
    <x v="45"/>
    <x v="46"/>
    <x v="47"/>
    <s v="整份"/>
    <n v="1.5"/>
    <s v="份"/>
    <n v="1"/>
    <n v="1.5"/>
    <n v="0"/>
    <n v="0"/>
    <n v="0"/>
    <n v="0"/>
    <n v="0"/>
    <n v="0"/>
    <n v="0"/>
    <n v="0"/>
    <n v="0"/>
    <n v="0"/>
    <n v="1"/>
    <n v="1.57"/>
    <n v="0.07"/>
    <n v="1.5"/>
    <n v="1"/>
  </r>
  <r>
    <s v="2021-06-21"/>
    <s v="Vancouver"/>
    <s v="加拿大二店"/>
    <x v="7"/>
    <x v="14"/>
    <x v="45"/>
    <x v="46"/>
    <x v="47"/>
    <s v="整份"/>
    <n v="9.9"/>
    <s v="份"/>
    <n v="1"/>
    <n v="9.9"/>
    <n v="0"/>
    <n v="0"/>
    <n v="0"/>
    <n v="0"/>
    <n v="0"/>
    <n v="0"/>
    <n v="0"/>
    <n v="0"/>
    <n v="0"/>
    <n v="0"/>
    <n v="1"/>
    <n v="10.39"/>
    <n v="0.49"/>
    <n v="9.9"/>
    <n v="1"/>
  </r>
  <r>
    <s v="2021-06-21"/>
    <s v="Vancouver"/>
    <s v="加拿大二店"/>
    <x v="7"/>
    <x v="14"/>
    <x v="45"/>
    <x v="46"/>
    <x v="47"/>
    <s v="整份"/>
    <n v="9.95"/>
    <s v="份"/>
    <n v="1"/>
    <n v="9.95"/>
    <n v="0"/>
    <n v="0"/>
    <n v="0"/>
    <n v="0"/>
    <n v="0"/>
    <n v="0"/>
    <n v="0"/>
    <n v="0"/>
    <n v="0"/>
    <n v="0"/>
    <n v="1"/>
    <n v="10.44"/>
    <n v="0.49"/>
    <n v="9.95"/>
    <n v="1"/>
  </r>
  <r>
    <s v="2021-06-21"/>
    <s v="Vancouver"/>
    <s v="加拿大二店"/>
    <x v="7"/>
    <x v="14"/>
    <x v="45"/>
    <x v="46"/>
    <x v="47"/>
    <s v="整份"/>
    <n v="9.99"/>
    <s v="份"/>
    <n v="1"/>
    <n v="9.99"/>
    <n v="0"/>
    <n v="0"/>
    <n v="0"/>
    <n v="0"/>
    <n v="0"/>
    <n v="0"/>
    <n v="0"/>
    <n v="-0.01"/>
    <n v="0"/>
    <n v="0"/>
    <n v="1"/>
    <n v="10.5"/>
    <n v="0.5"/>
    <n v="10"/>
    <n v="1"/>
  </r>
  <r>
    <s v="2021-06-21"/>
    <s v="Vancouver"/>
    <s v="加拿大二店"/>
    <x v="7"/>
    <x v="14"/>
    <x v="45"/>
    <x v="46"/>
    <x v="47"/>
    <s v="整份"/>
    <n v="12.99"/>
    <s v="份"/>
    <n v="1"/>
    <n v="12.99"/>
    <n v="1"/>
    <n v="12.99"/>
    <n v="0"/>
    <n v="0"/>
    <n v="0"/>
    <n v="0"/>
    <n v="0"/>
    <n v="-0.01"/>
    <n v="0"/>
    <n v="0"/>
    <n v="0"/>
    <n v="0.01"/>
    <n v="0"/>
    <n v="0.01"/>
    <n v="1"/>
  </r>
  <r>
    <s v="2021-06-21"/>
    <s v="Vancouver"/>
    <s v="加拿大二店"/>
    <x v="7"/>
    <x v="14"/>
    <x v="45"/>
    <x v="46"/>
    <x v="47"/>
    <s v="整份"/>
    <n v="14.95"/>
    <s v="份"/>
    <n v="2"/>
    <n v="29.9"/>
    <n v="0"/>
    <n v="0"/>
    <n v="0"/>
    <n v="0"/>
    <n v="0"/>
    <n v="0"/>
    <n v="0"/>
    <n v="0"/>
    <n v="0"/>
    <n v="0"/>
    <n v="2"/>
    <n v="31.39"/>
    <n v="1.49"/>
    <n v="29.9"/>
    <n v="1"/>
  </r>
  <r>
    <s v="2021-06-21"/>
    <s v="Vancouver"/>
    <s v="加拿大二店"/>
    <x v="7"/>
    <x v="14"/>
    <x v="45"/>
    <x v="46"/>
    <x v="47"/>
    <s v="整份"/>
    <n v="19.95"/>
    <s v="份"/>
    <n v="1"/>
    <n v="19.95"/>
    <n v="0"/>
    <n v="0"/>
    <n v="0"/>
    <n v="0"/>
    <n v="0"/>
    <n v="0"/>
    <n v="0"/>
    <n v="0.01"/>
    <n v="0"/>
    <n v="0"/>
    <n v="1"/>
    <n v="20.93"/>
    <n v="0.99"/>
    <n v="19.94"/>
    <n v="1"/>
  </r>
  <r>
    <s v="2021-06-21"/>
    <s v="Vancouver"/>
    <s v="加拿大二店"/>
    <x v="7"/>
    <x v="14"/>
    <x v="45"/>
    <x v="46"/>
    <x v="47"/>
    <s v="整份"/>
    <n v="20.95"/>
    <s v="份"/>
    <n v="1"/>
    <n v="20.95"/>
    <n v="1"/>
    <n v="20.95"/>
    <n v="0"/>
    <n v="0"/>
    <n v="0"/>
    <n v="0"/>
    <n v="0"/>
    <n v="0"/>
    <n v="0"/>
    <n v="0"/>
    <n v="0"/>
    <n v="0"/>
    <n v="0"/>
    <n v="0"/>
    <n v="1"/>
  </r>
  <r>
    <s v="2021-06-21"/>
    <s v="Vancouver"/>
    <s v="加拿大二店"/>
    <x v="7"/>
    <x v="14"/>
    <x v="45"/>
    <x v="46"/>
    <x v="47"/>
    <s v="整份"/>
    <n v="25.98"/>
    <s v="份"/>
    <n v="3"/>
    <n v="77.94"/>
    <n v="0"/>
    <n v="0"/>
    <n v="0"/>
    <n v="0"/>
    <n v="0"/>
    <n v="0"/>
    <n v="0"/>
    <n v="-0.01"/>
    <n v="0"/>
    <n v="0"/>
    <n v="3"/>
    <n v="81.84"/>
    <n v="3.89"/>
    <n v="77.95"/>
    <n v="1"/>
  </r>
  <r>
    <s v="2021-06-21"/>
    <s v="Vancouver"/>
    <s v="加拿大二店"/>
    <x v="7"/>
    <x v="14"/>
    <x v="45"/>
    <x v="46"/>
    <x v="47"/>
    <s v="整份"/>
    <n v="27.75"/>
    <s v="份"/>
    <n v="1"/>
    <n v="27.75"/>
    <n v="0"/>
    <n v="0"/>
    <n v="0"/>
    <n v="0"/>
    <n v="0"/>
    <n v="0"/>
    <n v="0"/>
    <n v="0"/>
    <n v="0"/>
    <n v="0"/>
    <n v="1"/>
    <n v="29.13"/>
    <n v="1.38"/>
    <n v="27.75"/>
    <n v="1"/>
  </r>
  <r>
    <s v="2021-06-21"/>
    <s v="Vancouver"/>
    <s v="加拿大二店"/>
    <x v="7"/>
    <x v="14"/>
    <x v="45"/>
    <x v="46"/>
    <x v="47"/>
    <s v="整份"/>
    <n v="30.24"/>
    <s v="份"/>
    <n v="1"/>
    <n v="30.24"/>
    <n v="0"/>
    <n v="0"/>
    <n v="0"/>
    <n v="0"/>
    <n v="0"/>
    <n v="0"/>
    <n v="0"/>
    <n v="0.01"/>
    <n v="0"/>
    <n v="0"/>
    <n v="1"/>
    <n v="31.74"/>
    <n v="1.51"/>
    <n v="30.23"/>
    <n v="1"/>
  </r>
  <r>
    <s v="2021-06-21"/>
    <s v="Vancouver"/>
    <s v="加拿大二店"/>
    <x v="7"/>
    <x v="14"/>
    <x v="45"/>
    <x v="46"/>
    <x v="47"/>
    <s v="整份"/>
    <n v="30.71"/>
    <s v="份"/>
    <n v="1"/>
    <n v="30.71"/>
    <n v="0"/>
    <n v="0"/>
    <n v="0"/>
    <n v="0"/>
    <n v="0"/>
    <n v="0"/>
    <n v="0"/>
    <n v="0.01"/>
    <n v="0"/>
    <n v="0"/>
    <n v="1"/>
    <n v="32.23"/>
    <n v="1.53"/>
    <n v="30.7"/>
    <n v="1"/>
  </r>
  <r>
    <s v="2021-06-21"/>
    <s v="Vancouver"/>
    <s v="加拿大二店"/>
    <x v="7"/>
    <x v="14"/>
    <x v="45"/>
    <x v="46"/>
    <x v="47"/>
    <s v="整份"/>
    <n v="34.72"/>
    <s v="份"/>
    <n v="1"/>
    <n v="34.72"/>
    <n v="0"/>
    <n v="0"/>
    <n v="0"/>
    <n v="0"/>
    <n v="0"/>
    <n v="0"/>
    <n v="0"/>
    <n v="-0.02"/>
    <n v="0"/>
    <n v="0"/>
    <n v="1"/>
    <n v="36.47"/>
    <n v="1.73"/>
    <n v="34.74"/>
    <n v="1"/>
  </r>
  <r>
    <s v="2021-06-21"/>
    <s v="Vancouver"/>
    <s v="加拿大二店"/>
    <x v="7"/>
    <x v="14"/>
    <x v="45"/>
    <x v="46"/>
    <x v="47"/>
    <s v="整份"/>
    <n v="36.64"/>
    <s v="份"/>
    <n v="1"/>
    <n v="36.64"/>
    <n v="0"/>
    <n v="0"/>
    <n v="0"/>
    <n v="0"/>
    <n v="0"/>
    <n v="0"/>
    <n v="0"/>
    <n v="-0.01"/>
    <n v="0"/>
    <n v="0"/>
    <n v="1"/>
    <n v="38.48"/>
    <n v="1.83"/>
    <n v="36.65"/>
    <n v="1"/>
  </r>
  <r>
    <s v="2021-06-21"/>
    <s v="Vancouver"/>
    <s v="加拿大二店"/>
    <x v="7"/>
    <x v="14"/>
    <x v="45"/>
    <x v="46"/>
    <x v="47"/>
    <s v="整份"/>
    <n v="38.54"/>
    <s v="份"/>
    <n v="1"/>
    <n v="38.54"/>
    <n v="0"/>
    <n v="0"/>
    <n v="0"/>
    <n v="0"/>
    <n v="0"/>
    <n v="0"/>
    <n v="0"/>
    <n v="-0.01"/>
    <n v="0"/>
    <n v="0"/>
    <n v="1"/>
    <n v="40.47"/>
    <n v="1.92"/>
    <n v="38.55"/>
    <n v="1"/>
  </r>
  <r>
    <s v="2021-06-21"/>
    <s v="Vancouver"/>
    <s v="加拿大二店"/>
    <x v="7"/>
    <x v="14"/>
    <x v="45"/>
    <x v="46"/>
    <x v="47"/>
    <s v="整份"/>
    <n v="39.15"/>
    <s v="份"/>
    <n v="1"/>
    <n v="39.15"/>
    <n v="0"/>
    <n v="0"/>
    <n v="0"/>
    <n v="0"/>
    <n v="0"/>
    <n v="0"/>
    <n v="0"/>
    <n v="-0.02"/>
    <n v="0"/>
    <n v="0"/>
    <n v="1"/>
    <n v="41.12"/>
    <n v="1.95"/>
    <n v="39.17"/>
    <n v="1"/>
  </r>
  <r>
    <s v="2021-06-21"/>
    <s v="Vancouver"/>
    <s v="加拿大二店"/>
    <x v="7"/>
    <x v="14"/>
    <x v="45"/>
    <x v="46"/>
    <x v="47"/>
    <s v="整份"/>
    <n v="39.59"/>
    <s v="份"/>
    <n v="1"/>
    <n v="39.59"/>
    <n v="0"/>
    <n v="0"/>
    <n v="0"/>
    <n v="0"/>
    <n v="0"/>
    <n v="0"/>
    <n v="0"/>
    <n v="-0.01"/>
    <n v="0"/>
    <n v="0"/>
    <n v="1"/>
    <n v="41.58"/>
    <n v="1.98"/>
    <n v="39.6"/>
    <n v="1"/>
  </r>
  <r>
    <s v="2021-06-21"/>
    <s v="Vancouver"/>
    <s v="加拿大二店"/>
    <x v="7"/>
    <x v="14"/>
    <x v="45"/>
    <x v="46"/>
    <x v="47"/>
    <s v="整份"/>
    <n v="43.49"/>
    <s v="份"/>
    <n v="1"/>
    <n v="43.49"/>
    <n v="0"/>
    <n v="0"/>
    <n v="0"/>
    <n v="0"/>
    <n v="0"/>
    <n v="0"/>
    <n v="0"/>
    <n v="-0.01"/>
    <n v="0"/>
    <n v="0"/>
    <n v="1"/>
    <n v="45.67"/>
    <n v="2.17"/>
    <n v="43.5"/>
    <n v="1"/>
  </r>
  <r>
    <s v="2021-06-21"/>
    <s v="Vancouver"/>
    <s v="加拿大二店"/>
    <x v="7"/>
    <x v="14"/>
    <x v="45"/>
    <x v="46"/>
    <x v="47"/>
    <s v="整份"/>
    <n v="49.94"/>
    <s v="份"/>
    <n v="1"/>
    <n v="49.94"/>
    <n v="0"/>
    <n v="0"/>
    <n v="0"/>
    <n v="0"/>
    <n v="0"/>
    <n v="0"/>
    <n v="0"/>
    <n v="0"/>
    <n v="0"/>
    <n v="0"/>
    <n v="1"/>
    <n v="52.43"/>
    <n v="2.49"/>
    <n v="49.94"/>
    <n v="1"/>
  </r>
  <r>
    <s v="2021-06-21"/>
    <s v="Vancouver"/>
    <s v="加拿大二店"/>
    <x v="7"/>
    <x v="14"/>
    <x v="45"/>
    <x v="46"/>
    <x v="47"/>
    <s v="整份"/>
    <n v="59.8"/>
    <s v="份"/>
    <n v="1"/>
    <n v="59.8"/>
    <n v="1"/>
    <n v="59.8"/>
    <n v="0"/>
    <n v="0"/>
    <n v="0"/>
    <n v="0"/>
    <n v="0"/>
    <n v="0"/>
    <n v="0"/>
    <n v="0"/>
    <n v="0"/>
    <n v="0"/>
    <n v="0"/>
    <n v="0"/>
    <n v="1"/>
  </r>
  <r>
    <s v="2021-06-21"/>
    <s v="Vancouver"/>
    <s v="加拿大二店"/>
    <x v="7"/>
    <x v="14"/>
    <x v="45"/>
    <x v="46"/>
    <x v="47"/>
    <s v="整份"/>
    <n v="59.95"/>
    <s v="份"/>
    <n v="1"/>
    <n v="59.95"/>
    <n v="0"/>
    <n v="0"/>
    <n v="0"/>
    <n v="0"/>
    <n v="0"/>
    <n v="0"/>
    <n v="0"/>
    <n v="-0.03"/>
    <n v="0"/>
    <n v="0"/>
    <n v="1"/>
    <n v="62.97"/>
    <n v="2.99"/>
    <n v="59.98"/>
    <n v="1"/>
  </r>
  <r>
    <s v="2021-06-21"/>
    <s v="Vancouver"/>
    <s v="加拿大二店"/>
    <x v="7"/>
    <x v="14"/>
    <x v="45"/>
    <x v="46"/>
    <x v="47"/>
    <s v="整份"/>
    <n v="67.64"/>
    <s v="份"/>
    <n v="1"/>
    <n v="67.64"/>
    <n v="0"/>
    <n v="0"/>
    <n v="0"/>
    <n v="0"/>
    <n v="0"/>
    <n v="0"/>
    <n v="0"/>
    <n v="0.01"/>
    <n v="0"/>
    <n v="0"/>
    <n v="1"/>
    <n v="71.01"/>
    <n v="3.38"/>
    <n v="67.63"/>
    <n v="1"/>
  </r>
  <r>
    <s v="2021-06-21"/>
    <s v="Vancouver"/>
    <s v="加拿大二店"/>
    <x v="7"/>
    <x v="14"/>
    <x v="45"/>
    <x v="46"/>
    <x v="47"/>
    <s v="整份"/>
    <n v="74.36"/>
    <s v="份"/>
    <n v="1"/>
    <n v="74.36"/>
    <n v="0"/>
    <n v="0"/>
    <n v="0"/>
    <n v="0"/>
    <n v="0"/>
    <n v="0"/>
    <n v="0"/>
    <n v="-0.02"/>
    <n v="0"/>
    <n v="0"/>
    <n v="1"/>
    <n v="78.09"/>
    <n v="3.71"/>
    <n v="74.38"/>
    <n v="1"/>
  </r>
  <r>
    <s v="2021-06-21"/>
    <s v="Vancouver"/>
    <s v="加拿大二店"/>
    <x v="7"/>
    <x v="14"/>
    <x v="45"/>
    <x v="46"/>
    <x v="47"/>
    <s v="整份"/>
    <n v="128.95"/>
    <s v="份"/>
    <n v="1"/>
    <n v="128.95"/>
    <n v="0"/>
    <n v="0"/>
    <n v="0"/>
    <n v="0"/>
    <n v="0"/>
    <n v="0"/>
    <n v="0"/>
    <n v="-0.02"/>
    <n v="0"/>
    <n v="0"/>
    <n v="1"/>
    <n v="135.41"/>
    <n v="6.44"/>
    <n v="128.97"/>
    <n v="1"/>
  </r>
  <r>
    <s v="2021-06-21"/>
    <s v="Vancouver"/>
    <s v="加拿大二店"/>
    <x v="2"/>
    <x v="4"/>
    <x v="46"/>
    <x v="47"/>
    <x v="48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21"/>
    <s v="Vancouver"/>
    <s v="加拿大二店"/>
    <x v="2"/>
    <x v="4"/>
    <x v="47"/>
    <x v="48"/>
    <x v="49"/>
    <s v="冰镇"/>
    <n v="2.95"/>
    <s v="听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21"/>
    <s v="Vancouver"/>
    <s v="加拿大二店"/>
    <x v="2"/>
    <x v="21"/>
    <x v="133"/>
    <x v="127"/>
    <x v="138"/>
    <s v="小瓶"/>
    <n v="9.95"/>
    <s v="小瓶"/>
    <n v="1"/>
    <n v="9.95"/>
    <n v="0"/>
    <n v="0"/>
    <n v="0"/>
    <n v="0"/>
    <n v="1"/>
    <n v="9.95"/>
    <n v="0"/>
    <n v="0"/>
    <n v="0"/>
    <n v="0"/>
    <n v="0"/>
    <n v="0"/>
    <n v="0"/>
    <n v="0"/>
    <n v="1"/>
  </r>
  <r>
    <s v="2021-06-21"/>
    <s v="Vancouver"/>
    <s v="加拿大二店"/>
    <x v="6"/>
    <x v="13"/>
    <x v="48"/>
    <x v="49"/>
    <x v="50"/>
    <s v="整份"/>
    <n v="4.95"/>
    <s v="份"/>
    <n v="8"/>
    <n v="39.6"/>
    <n v="0"/>
    <n v="0"/>
    <n v="0"/>
    <n v="0"/>
    <n v="0"/>
    <n v="0"/>
    <n v="0"/>
    <n v="-0.01"/>
    <n v="5.51"/>
    <n v="0"/>
    <n v="8"/>
    <n v="35.8"/>
    <n v="1.7"/>
    <n v="34.1"/>
    <n v="1"/>
  </r>
  <r>
    <s v="2021-06-21"/>
    <s v="Vancouver"/>
    <s v="加拿大二店"/>
    <x v="3"/>
    <x v="7"/>
    <x v="49"/>
    <x v="50"/>
    <x v="51"/>
    <s v="整份"/>
    <n v="4.95"/>
    <s v="份"/>
    <n v="1"/>
    <n v="4.95"/>
    <n v="0"/>
    <n v="0"/>
    <n v="0"/>
    <n v="0"/>
    <n v="0"/>
    <n v="0"/>
    <n v="0"/>
    <n v="0"/>
    <n v="0"/>
    <n v="0"/>
    <n v="1"/>
    <n v="5.19"/>
    <n v="0.24"/>
    <n v="4.95"/>
    <n v="1"/>
  </r>
  <r>
    <s v="2021-06-21"/>
    <s v="Vancouver"/>
    <s v="加拿大二店"/>
    <x v="3"/>
    <x v="5"/>
    <x v="51"/>
    <x v="52"/>
    <x v="53"/>
    <s v="整份"/>
    <n v="3.95"/>
    <s v="份"/>
    <n v="6"/>
    <n v="23.7"/>
    <n v="0"/>
    <n v="0"/>
    <n v="0"/>
    <n v="0"/>
    <n v="1"/>
    <n v="3.95"/>
    <n v="0"/>
    <n v="0"/>
    <n v="1.97"/>
    <n v="0"/>
    <n v="5"/>
    <n v="18.66"/>
    <n v="0.88"/>
    <n v="17.78"/>
    <n v="1"/>
  </r>
  <r>
    <s v="2021-06-21"/>
    <s v="Vancouver"/>
    <s v="加拿大二店"/>
    <x v="3"/>
    <x v="5"/>
    <x v="52"/>
    <x v="53"/>
    <x v="54"/>
    <s v="整份"/>
    <n v="5.95"/>
    <s v="份"/>
    <n v="2"/>
    <n v="11.9"/>
    <n v="0"/>
    <n v="0"/>
    <n v="0"/>
    <n v="0"/>
    <n v="1"/>
    <n v="5.95"/>
    <n v="0"/>
    <n v="0"/>
    <n v="0"/>
    <n v="0"/>
    <n v="1"/>
    <n v="6.24"/>
    <n v="0.29"/>
    <n v="5.95"/>
    <n v="1"/>
  </r>
  <r>
    <s v="2021-06-21"/>
    <s v="Vancouver"/>
    <s v="加拿大二店"/>
    <x v="4"/>
    <x v="9"/>
    <x v="53"/>
    <x v="0"/>
    <x v="55"/>
    <s v="拼锅"/>
    <n v="0"/>
    <s v="锅"/>
    <n v="7"/>
    <n v="0"/>
    <n v="0"/>
    <n v="0"/>
    <n v="0"/>
    <n v="0"/>
    <n v="0"/>
    <n v="0"/>
    <n v="0"/>
    <n v="-0.01"/>
    <n v="0"/>
    <n v="0"/>
    <n v="7"/>
    <n v="0.01"/>
    <n v="0"/>
    <n v="0.01"/>
    <n v="2"/>
  </r>
  <r>
    <s v="2021-06-21"/>
    <s v="Vancouver"/>
    <s v="加拿大二店"/>
    <x v="4"/>
    <x v="10"/>
    <x v="53"/>
    <x v="0"/>
    <x v="55"/>
    <s v="四宫格"/>
    <n v="0"/>
    <s v="锅"/>
    <n v="12"/>
    <n v="0"/>
    <n v="0"/>
    <n v="0"/>
    <n v="0"/>
    <n v="0"/>
    <n v="2"/>
    <n v="0"/>
    <n v="0"/>
    <n v="-0.01"/>
    <n v="0"/>
    <n v="0"/>
    <n v="10"/>
    <n v="0.01"/>
    <n v="0"/>
    <n v="0.01"/>
    <n v="1"/>
  </r>
  <r>
    <s v="2021-06-21"/>
    <s v="Vancouver"/>
    <s v="加拿大二店"/>
    <x v="6"/>
    <x v="13"/>
    <x v="114"/>
    <x v="108"/>
    <x v="118"/>
    <s v="整份"/>
    <n v="7.95"/>
    <s v="份"/>
    <n v="1"/>
    <n v="7.95"/>
    <n v="0"/>
    <n v="0"/>
    <n v="0"/>
    <n v="0"/>
    <n v="0"/>
    <n v="0"/>
    <n v="0"/>
    <n v="0.02"/>
    <n v="0"/>
    <n v="0"/>
    <n v="1"/>
    <n v="8.32"/>
    <n v="0.39"/>
    <n v="7.93"/>
    <n v="1"/>
  </r>
  <r>
    <s v="2021-06-21"/>
    <s v="Vancouver"/>
    <s v="加拿大二店"/>
    <x v="1"/>
    <x v="8"/>
    <x v="55"/>
    <x v="55"/>
    <x v="57"/>
    <s v="整份"/>
    <n v="9.95"/>
    <s v="份"/>
    <n v="10"/>
    <n v="99.5"/>
    <n v="0"/>
    <n v="0"/>
    <n v="0"/>
    <n v="0"/>
    <n v="1"/>
    <n v="9.95"/>
    <n v="0"/>
    <n v="0.01"/>
    <n v="1.99"/>
    <n v="0"/>
    <n v="9"/>
    <n v="91.92"/>
    <n v="4.37"/>
    <n v="87.55"/>
    <n v="1"/>
  </r>
  <r>
    <s v="2021-06-21"/>
    <s v="Vancouver"/>
    <s v="加拿大二店"/>
    <x v="1"/>
    <x v="1"/>
    <x v="56"/>
    <x v="56"/>
    <x v="58"/>
    <s v="整份"/>
    <n v="12.95"/>
    <s v="份"/>
    <n v="8"/>
    <n v="103.6"/>
    <n v="0"/>
    <n v="0"/>
    <n v="0"/>
    <n v="0"/>
    <n v="0"/>
    <n v="0"/>
    <n v="0"/>
    <n v="0"/>
    <n v="3.88"/>
    <n v="0"/>
    <n v="8"/>
    <n v="104.7"/>
    <n v="4.98"/>
    <n v="99.72"/>
    <n v="1"/>
  </r>
  <r>
    <s v="2021-06-21"/>
    <s v="Vancouver"/>
    <s v="加拿大二店"/>
    <x v="1"/>
    <x v="1"/>
    <x v="57"/>
    <x v="57"/>
    <x v="59"/>
    <s v="整份"/>
    <n v="11.95"/>
    <s v="份"/>
    <n v="24"/>
    <n v="286.8"/>
    <n v="0"/>
    <n v="0"/>
    <n v="0"/>
    <n v="0"/>
    <n v="1"/>
    <n v="11.95"/>
    <n v="0"/>
    <n v="0"/>
    <n v="4.78"/>
    <n v="0"/>
    <n v="23"/>
    <n v="283.57"/>
    <n v="13.5"/>
    <n v="270.07"/>
    <n v="1"/>
  </r>
  <r>
    <s v="2021-06-21"/>
    <s v="Vancouver"/>
    <s v="加拿大二店"/>
    <x v="4"/>
    <x v="16"/>
    <x v="58"/>
    <x v="0"/>
    <x v="60"/>
    <s v="单锅"/>
    <n v="16.95"/>
    <s v="锅"/>
    <n v="2"/>
    <n v="33.9"/>
    <n v="0"/>
    <n v="0"/>
    <n v="0"/>
    <n v="0"/>
    <n v="0"/>
    <n v="0"/>
    <n v="0"/>
    <n v="0.02"/>
    <n v="0"/>
    <n v="0"/>
    <n v="2"/>
    <n v="35.57"/>
    <n v="1.69"/>
    <n v="33.88"/>
    <n v="4"/>
  </r>
  <r>
    <s v="2021-06-21"/>
    <s v="Vancouver"/>
    <s v="加拿大二店"/>
    <x v="4"/>
    <x v="9"/>
    <x v="58"/>
    <x v="0"/>
    <x v="60"/>
    <s v="拼锅"/>
    <n v="8.95"/>
    <s v="锅"/>
    <n v="4"/>
    <n v="35.8"/>
    <n v="1"/>
    <n v="8.95"/>
    <n v="0"/>
    <n v="0"/>
    <n v="0"/>
    <n v="0"/>
    <n v="0"/>
    <n v="0"/>
    <n v="1.79"/>
    <n v="0"/>
    <n v="3"/>
    <n v="26.31"/>
    <n v="1.25"/>
    <n v="25.06"/>
    <n v="2"/>
  </r>
  <r>
    <s v="2021-06-21"/>
    <s v="Vancouver"/>
    <s v="加拿大二店"/>
    <x v="4"/>
    <x v="10"/>
    <x v="58"/>
    <x v="0"/>
    <x v="60"/>
    <s v="四宫格"/>
    <n v="4.95"/>
    <s v="锅"/>
    <n v="6"/>
    <n v="29.7"/>
    <n v="0"/>
    <n v="0"/>
    <n v="0"/>
    <n v="0"/>
    <n v="1"/>
    <n v="4.95"/>
    <n v="0"/>
    <n v="0"/>
    <n v="0"/>
    <n v="0"/>
    <n v="5"/>
    <n v="25.98"/>
    <n v="1.23"/>
    <n v="24.75"/>
    <n v="1"/>
  </r>
  <r>
    <s v="2021-06-21"/>
    <s v="Vancouver"/>
    <s v="加拿大二店"/>
    <x v="3"/>
    <x v="5"/>
    <x v="59"/>
    <x v="58"/>
    <x v="61"/>
    <s v="整份"/>
    <n v="4.95"/>
    <s v="份"/>
    <n v="4"/>
    <n v="19.8"/>
    <n v="0"/>
    <n v="0"/>
    <n v="0"/>
    <n v="0"/>
    <n v="0"/>
    <n v="0"/>
    <n v="0"/>
    <n v="0"/>
    <n v="0"/>
    <n v="0"/>
    <n v="4"/>
    <n v="20.79"/>
    <n v="0.99"/>
    <n v="19.8"/>
    <n v="1"/>
  </r>
  <r>
    <s v="2021-06-21"/>
    <s v="Vancouver"/>
    <s v="加拿大二店"/>
    <x v="2"/>
    <x v="4"/>
    <x v="60"/>
    <x v="59"/>
    <x v="62"/>
    <s v="冰镇"/>
    <n v="6.95"/>
    <s v="扎"/>
    <n v="1"/>
    <n v="6.95"/>
    <n v="0"/>
    <n v="0"/>
    <n v="0"/>
    <n v="0"/>
    <n v="0"/>
    <n v="0"/>
    <n v="0"/>
    <n v="0"/>
    <n v="0"/>
    <n v="0"/>
    <n v="1"/>
    <n v="7.78"/>
    <n v="0.83"/>
    <n v="6.95"/>
    <n v="1"/>
  </r>
  <r>
    <s v="2021-06-21"/>
    <s v="Vancouver"/>
    <s v="加拿大二店"/>
    <x v="6"/>
    <x v="13"/>
    <x v="61"/>
    <x v="60"/>
    <x v="63"/>
    <s v="整份"/>
    <n v="3.95"/>
    <s v="包"/>
    <n v="4"/>
    <n v="15.8"/>
    <n v="0"/>
    <n v="0"/>
    <n v="0"/>
    <n v="0"/>
    <n v="0"/>
    <n v="0"/>
    <n v="0"/>
    <n v="0"/>
    <n v="0.79"/>
    <n v="0"/>
    <n v="4"/>
    <n v="15.76"/>
    <n v="0.75"/>
    <n v="15.01"/>
    <n v="1"/>
  </r>
  <r>
    <s v="2021-06-21"/>
    <s v="Vancouver"/>
    <s v="加拿大二店"/>
    <x v="1"/>
    <x v="8"/>
    <x v="116"/>
    <x v="110"/>
    <x v="120"/>
    <s v="个"/>
    <n v="0.95"/>
    <s v="个"/>
    <n v="1"/>
    <n v="0.95"/>
    <n v="0"/>
    <n v="0"/>
    <n v="0"/>
    <n v="0"/>
    <n v="0"/>
    <n v="0"/>
    <n v="0"/>
    <n v="0"/>
    <n v="0"/>
    <n v="0"/>
    <n v="1"/>
    <n v="0.99"/>
    <n v="0.04"/>
    <n v="0.95"/>
    <n v="1"/>
  </r>
  <r>
    <s v="2021-06-21"/>
    <s v="Vancouver"/>
    <s v="加拿大二店"/>
    <x v="4"/>
    <x v="9"/>
    <x v="62"/>
    <x v="0"/>
    <x v="64"/>
    <s v="拼锅"/>
    <n v="8.95"/>
    <s v="锅"/>
    <n v="13"/>
    <n v="116.35"/>
    <n v="0"/>
    <n v="0"/>
    <n v="0"/>
    <n v="0"/>
    <n v="0"/>
    <n v="0"/>
    <n v="0"/>
    <n v="0"/>
    <n v="1.79"/>
    <n v="0"/>
    <n v="13"/>
    <n v="120.28"/>
    <n v="5.72"/>
    <n v="114.56"/>
    <n v="2"/>
  </r>
  <r>
    <s v="2021-06-21"/>
    <s v="Vancouver"/>
    <s v="加拿大二店"/>
    <x v="4"/>
    <x v="10"/>
    <x v="62"/>
    <x v="0"/>
    <x v="64"/>
    <s v="四宫格"/>
    <n v="4.95"/>
    <s v="锅"/>
    <n v="6"/>
    <n v="29.7"/>
    <n v="0"/>
    <n v="0"/>
    <n v="0"/>
    <n v="0"/>
    <n v="2"/>
    <n v="9.9"/>
    <n v="0"/>
    <n v="0"/>
    <n v="0"/>
    <n v="0"/>
    <n v="4"/>
    <n v="20.79"/>
    <n v="0.99"/>
    <n v="19.8"/>
    <n v="1"/>
  </r>
  <r>
    <s v="2021-06-21"/>
    <s v="Vancouver"/>
    <s v="加拿大二店"/>
    <x v="6"/>
    <x v="13"/>
    <x v="63"/>
    <x v="61"/>
    <x v="65"/>
    <s v="整份"/>
    <n v="1.5"/>
    <s v="碗"/>
    <n v="5"/>
    <n v="7.5"/>
    <n v="0"/>
    <n v="0"/>
    <n v="0"/>
    <n v="0"/>
    <n v="0"/>
    <n v="0"/>
    <n v="0"/>
    <n v="0"/>
    <n v="0.3"/>
    <n v="0"/>
    <n v="5"/>
    <n v="7.56"/>
    <n v="0.36"/>
    <n v="7.2"/>
    <n v="1"/>
  </r>
  <r>
    <s v="2021-06-21"/>
    <s v="Vancouver"/>
    <s v="加拿大二店"/>
    <x v="3"/>
    <x v="5"/>
    <x v="64"/>
    <x v="62"/>
    <x v="66"/>
    <s v="整份"/>
    <n v="3.95"/>
    <s v="份"/>
    <n v="3"/>
    <n v="11.85"/>
    <n v="0"/>
    <n v="0"/>
    <n v="0"/>
    <n v="0"/>
    <n v="0"/>
    <n v="0"/>
    <n v="0"/>
    <n v="0"/>
    <n v="0"/>
    <n v="0"/>
    <n v="3"/>
    <n v="12.44"/>
    <n v="0.59"/>
    <n v="11.85"/>
    <n v="1"/>
  </r>
  <r>
    <s v="2021-06-21"/>
    <s v="Vancouver"/>
    <s v="加拿大二店"/>
    <x v="2"/>
    <x v="4"/>
    <x v="65"/>
    <x v="63"/>
    <x v="67"/>
    <s v="扎"/>
    <n v="8.95"/>
    <s v="扎"/>
    <n v="1"/>
    <n v="8.95"/>
    <n v="0"/>
    <n v="0"/>
    <n v="0"/>
    <n v="0"/>
    <n v="1"/>
    <n v="8.95"/>
    <n v="0"/>
    <n v="0"/>
    <n v="0"/>
    <n v="0"/>
    <n v="0"/>
    <n v="0"/>
    <n v="0"/>
    <n v="0"/>
    <n v="1"/>
  </r>
  <r>
    <s v="2021-06-21"/>
    <s v="Vancouver"/>
    <s v="加拿大二店"/>
    <x v="2"/>
    <x v="4"/>
    <x v="66"/>
    <x v="64"/>
    <x v="68"/>
    <s v="扎"/>
    <n v="11.95"/>
    <s v="扎"/>
    <n v="1"/>
    <n v="11.95"/>
    <n v="0"/>
    <n v="0"/>
    <n v="0"/>
    <n v="0"/>
    <n v="1"/>
    <n v="11.95"/>
    <n v="0"/>
    <n v="0"/>
    <n v="0"/>
    <n v="0"/>
    <n v="0"/>
    <n v="0"/>
    <n v="0"/>
    <n v="0"/>
    <n v="1"/>
  </r>
  <r>
    <s v="2021-06-21"/>
    <s v="Vancouver"/>
    <s v="加拿大二店"/>
    <x v="3"/>
    <x v="5"/>
    <x v="134"/>
    <x v="128"/>
    <x v="139"/>
    <s v="整份"/>
    <n v="13.95"/>
    <s v="份"/>
    <n v="10"/>
    <n v="139.5"/>
    <n v="0"/>
    <n v="0"/>
    <n v="0"/>
    <n v="0"/>
    <n v="0"/>
    <n v="0"/>
    <n v="0"/>
    <n v="-0.01"/>
    <n v="8.37"/>
    <n v="0"/>
    <n v="10"/>
    <n v="137.69"/>
    <n v="6.55"/>
    <n v="131.14"/>
    <n v="1"/>
  </r>
  <r>
    <s v="2021-06-21"/>
    <s v="Vancouver"/>
    <s v="加拿大二店"/>
    <x v="3"/>
    <x v="5"/>
    <x v="117"/>
    <x v="111"/>
    <x v="121"/>
    <s v="整份"/>
    <n v="4.95"/>
    <s v="份"/>
    <n v="3"/>
    <n v="14.85"/>
    <n v="0"/>
    <n v="0"/>
    <n v="0"/>
    <n v="0"/>
    <n v="0"/>
    <n v="0"/>
    <n v="0"/>
    <n v="0"/>
    <n v="0"/>
    <n v="0"/>
    <n v="3"/>
    <n v="15.59"/>
    <n v="0.74"/>
    <n v="14.85"/>
    <n v="1"/>
  </r>
  <r>
    <s v="2021-06-21"/>
    <s v="Vancouver"/>
    <s v="加拿大二店"/>
    <x v="3"/>
    <x v="7"/>
    <x v="67"/>
    <x v="65"/>
    <x v="69"/>
    <s v="整份"/>
    <n v="3.95"/>
    <s v="份"/>
    <n v="4"/>
    <n v="15.8"/>
    <n v="0"/>
    <n v="0"/>
    <n v="0"/>
    <n v="0"/>
    <n v="1"/>
    <n v="3.95"/>
    <n v="0"/>
    <n v="0"/>
    <n v="2.76"/>
    <n v="0"/>
    <n v="3"/>
    <n v="9.54"/>
    <n v="0.45"/>
    <n v="9.09"/>
    <n v="1"/>
  </r>
  <r>
    <s v="2021-06-21"/>
    <s v="Vancouver"/>
    <s v="加拿大二店"/>
    <x v="1"/>
    <x v="1"/>
    <x v="68"/>
    <x v="66"/>
    <x v="70"/>
    <s v="整份"/>
    <n v="8.95"/>
    <s v="份"/>
    <n v="28"/>
    <n v="250.6"/>
    <n v="0"/>
    <n v="0"/>
    <n v="0"/>
    <n v="0"/>
    <n v="2"/>
    <n v="17.9"/>
    <n v="0"/>
    <n v="0"/>
    <n v="11.81"/>
    <n v="0"/>
    <n v="26"/>
    <n v="231.93"/>
    <n v="11.04"/>
    <n v="220.89"/>
    <n v="1"/>
  </r>
  <r>
    <s v="2021-06-21"/>
    <s v="Vancouver"/>
    <s v="加拿大二店"/>
    <x v="1"/>
    <x v="1"/>
    <x v="69"/>
    <x v="67"/>
    <x v="71"/>
    <s v="整份"/>
    <n v="8.95"/>
    <s v="份"/>
    <n v="1"/>
    <n v="8.95"/>
    <n v="0"/>
    <n v="0"/>
    <n v="0"/>
    <n v="0"/>
    <n v="0"/>
    <n v="0"/>
    <n v="0"/>
    <n v="0"/>
    <n v="0"/>
    <n v="0"/>
    <n v="1"/>
    <n v="9.39"/>
    <n v="0.44"/>
    <n v="8.95"/>
    <n v="1"/>
  </r>
  <r>
    <s v="2021-06-21"/>
    <s v="Vancouver"/>
    <s v="加拿大二店"/>
    <x v="4"/>
    <x v="9"/>
    <x v="71"/>
    <x v="0"/>
    <x v="73"/>
    <s v="拼锅"/>
    <n v="18.95"/>
    <s v="锅"/>
    <n v="7"/>
    <n v="132.65"/>
    <n v="1"/>
    <n v="18.95"/>
    <n v="0"/>
    <n v="0"/>
    <n v="0"/>
    <n v="0"/>
    <n v="0"/>
    <n v="-0.04"/>
    <n v="3.79"/>
    <n v="0"/>
    <n v="6"/>
    <n v="115.44"/>
    <n v="5.49"/>
    <n v="109.95"/>
    <n v="2"/>
  </r>
  <r>
    <s v="2021-06-21"/>
    <s v="Vancouver"/>
    <s v="加拿大二店"/>
    <x v="4"/>
    <x v="10"/>
    <x v="71"/>
    <x v="0"/>
    <x v="73"/>
    <s v="四宫格"/>
    <n v="9.95"/>
    <s v="锅"/>
    <n v="5"/>
    <n v="49.75"/>
    <n v="0"/>
    <n v="0"/>
    <n v="0"/>
    <n v="0"/>
    <n v="0"/>
    <n v="0"/>
    <n v="0"/>
    <n v="0"/>
    <n v="0"/>
    <n v="0"/>
    <n v="5"/>
    <n v="52.23"/>
    <n v="2.48"/>
    <n v="49.75"/>
    <n v="1"/>
  </r>
  <r>
    <s v="2021-06-21"/>
    <s v="Vancouver"/>
    <s v="加拿大二店"/>
    <x v="1"/>
    <x v="8"/>
    <x v="72"/>
    <x v="69"/>
    <x v="74"/>
    <s v="个"/>
    <n v="7.95"/>
    <s v="份"/>
    <n v="6"/>
    <n v="47.7"/>
    <n v="0"/>
    <n v="0"/>
    <n v="0"/>
    <n v="0"/>
    <n v="0"/>
    <n v="0"/>
    <n v="0"/>
    <n v="0"/>
    <n v="1.59"/>
    <n v="0"/>
    <n v="6"/>
    <n v="48.41"/>
    <n v="2.3"/>
    <n v="46.11"/>
    <n v="1"/>
  </r>
  <r>
    <s v="2021-06-21"/>
    <s v="Vancouver"/>
    <s v="加拿大二店"/>
    <x v="6"/>
    <x v="13"/>
    <x v="73"/>
    <x v="70"/>
    <x v="75"/>
    <s v="份"/>
    <n v="6.95"/>
    <s v="份"/>
    <n v="5"/>
    <n v="34.75"/>
    <n v="0"/>
    <n v="0"/>
    <n v="0"/>
    <n v="0"/>
    <n v="2"/>
    <n v="13.9"/>
    <n v="0"/>
    <n v="-0.01"/>
    <n v="0"/>
    <n v="0"/>
    <n v="3"/>
    <n v="21.9"/>
    <n v="1.04"/>
    <n v="20.86"/>
    <n v="1"/>
  </r>
  <r>
    <s v="2021-06-21"/>
    <s v="Vancouver"/>
    <s v="加拿大二店"/>
    <x v="4"/>
    <x v="9"/>
    <x v="74"/>
    <x v="0"/>
    <x v="76"/>
    <s v="拼锅"/>
    <n v="18.95"/>
    <s v="锅"/>
    <n v="1"/>
    <n v="18.95"/>
    <n v="0"/>
    <n v="0"/>
    <n v="0"/>
    <n v="0"/>
    <n v="0"/>
    <n v="0"/>
    <n v="0"/>
    <n v="0"/>
    <n v="0"/>
    <n v="0"/>
    <n v="1"/>
    <n v="19.89"/>
    <n v="0.94"/>
    <n v="18.95"/>
    <n v="2"/>
  </r>
  <r>
    <s v="2021-06-21"/>
    <s v="Vancouver"/>
    <s v="加拿大二店"/>
    <x v="4"/>
    <x v="10"/>
    <x v="74"/>
    <x v="0"/>
    <x v="76"/>
    <s v="四宫格"/>
    <n v="9.95"/>
    <s v="锅"/>
    <n v="3"/>
    <n v="29.85"/>
    <n v="0"/>
    <n v="0"/>
    <n v="0"/>
    <n v="0"/>
    <n v="0"/>
    <n v="0"/>
    <n v="0"/>
    <n v="0.01"/>
    <n v="1.99"/>
    <n v="0"/>
    <n v="3"/>
    <n v="29.24"/>
    <n v="1.39"/>
    <n v="27.85"/>
    <n v="1"/>
  </r>
  <r>
    <s v="2021-06-21"/>
    <s v="Vancouver"/>
    <s v="加拿大二店"/>
    <x v="1"/>
    <x v="6"/>
    <x v="118"/>
    <x v="112"/>
    <x v="122"/>
    <s v="整份"/>
    <n v="28.95"/>
    <s v="份"/>
    <n v="3"/>
    <n v="86.85"/>
    <n v="0"/>
    <n v="0"/>
    <n v="0"/>
    <n v="0"/>
    <n v="0"/>
    <n v="0"/>
    <n v="0"/>
    <n v="0"/>
    <n v="5.79"/>
    <n v="0"/>
    <n v="3"/>
    <n v="85.11"/>
    <n v="4.05"/>
    <n v="81.06"/>
    <n v="1"/>
  </r>
  <r>
    <s v="2021-06-21"/>
    <s v="Vancouver"/>
    <s v="加拿大二店"/>
    <x v="8"/>
    <x v="17"/>
    <x v="75"/>
    <x v="71"/>
    <x v="77"/>
    <s v="整份"/>
    <n v="3.99"/>
    <s v="位"/>
    <n v="88"/>
    <n v="351.12"/>
    <n v="2"/>
    <n v="7.98"/>
    <n v="0"/>
    <n v="0"/>
    <n v="6"/>
    <n v="23.94"/>
    <n v="0"/>
    <n v="0"/>
    <n v="3.2"/>
    <n v="0"/>
    <n v="80"/>
    <n v="331.8"/>
    <n v="15.8"/>
    <n v="316"/>
    <n v="1"/>
  </r>
  <r>
    <s v="2021-06-21"/>
    <s v="Vancouver"/>
    <s v="加拿大二店"/>
    <x v="3"/>
    <x v="5"/>
    <x v="76"/>
    <x v="72"/>
    <x v="78"/>
    <s v="整份"/>
    <n v="3.95"/>
    <s v="份"/>
    <n v="2"/>
    <n v="7.9"/>
    <n v="0"/>
    <n v="0"/>
    <n v="0"/>
    <n v="0"/>
    <n v="0"/>
    <n v="0"/>
    <n v="0"/>
    <n v="0"/>
    <n v="0"/>
    <n v="0"/>
    <n v="2"/>
    <n v="8.29"/>
    <n v="0.39"/>
    <n v="7.9"/>
    <n v="1"/>
  </r>
  <r>
    <s v="2021-06-21"/>
    <s v="Vancouver"/>
    <s v="加拿大二店"/>
    <x v="1"/>
    <x v="3"/>
    <x v="77"/>
    <x v="73"/>
    <x v="79"/>
    <s v="整份"/>
    <n v="5.95"/>
    <s v="份"/>
    <n v="5"/>
    <n v="29.75"/>
    <n v="0"/>
    <n v="0"/>
    <n v="0"/>
    <n v="0"/>
    <n v="2"/>
    <n v="11.9"/>
    <n v="0"/>
    <n v="0"/>
    <n v="0"/>
    <n v="0"/>
    <n v="3"/>
    <n v="18.74"/>
    <n v="0.89"/>
    <n v="17.85"/>
    <n v="1"/>
  </r>
  <r>
    <s v="2021-06-21"/>
    <s v="Vancouver"/>
    <s v="加拿大二店"/>
    <x v="3"/>
    <x v="11"/>
    <x v="78"/>
    <x v="74"/>
    <x v="80"/>
    <s v="整份"/>
    <n v="5.95"/>
    <s v="份"/>
    <n v="4"/>
    <n v="23.8"/>
    <n v="0"/>
    <n v="0"/>
    <n v="0"/>
    <n v="0"/>
    <n v="0"/>
    <n v="0"/>
    <n v="0"/>
    <n v="0"/>
    <n v="2.97"/>
    <n v="0"/>
    <n v="4"/>
    <n v="21.87"/>
    <n v="1.04"/>
    <n v="20.83"/>
    <n v="1"/>
  </r>
  <r>
    <s v="2021-06-21"/>
    <s v="Vancouver"/>
    <s v="加拿大二店"/>
    <x v="3"/>
    <x v="11"/>
    <x v="78"/>
    <x v="75"/>
    <x v="81"/>
    <s v="半份"/>
    <n v="2.95"/>
    <s v="份"/>
    <n v="7"/>
    <n v="20.65"/>
    <n v="0"/>
    <n v="0"/>
    <n v="0"/>
    <n v="0"/>
    <n v="0"/>
    <n v="0"/>
    <n v="0"/>
    <n v="0"/>
    <n v="1.18"/>
    <n v="0"/>
    <n v="7"/>
    <n v="20.44"/>
    <n v="0.97"/>
    <n v="19.47"/>
    <n v="0.5"/>
  </r>
  <r>
    <s v="2021-06-21"/>
    <s v="Vancouver"/>
    <s v="加拿大二店"/>
    <x v="3"/>
    <x v="5"/>
    <x v="79"/>
    <x v="76"/>
    <x v="82"/>
    <s v="整份"/>
    <n v="3.95"/>
    <s v="份"/>
    <n v="10"/>
    <n v="39.5"/>
    <n v="0"/>
    <n v="0"/>
    <n v="0"/>
    <n v="0"/>
    <n v="0"/>
    <n v="0"/>
    <n v="0"/>
    <n v="0"/>
    <n v="1.26"/>
    <n v="0"/>
    <n v="10"/>
    <n v="40.15"/>
    <n v="1.91"/>
    <n v="38.24"/>
    <n v="1"/>
  </r>
  <r>
    <s v="2021-06-21"/>
    <s v="Vancouver"/>
    <s v="加拿大二店"/>
    <x v="3"/>
    <x v="5"/>
    <x v="80"/>
    <x v="77"/>
    <x v="83"/>
    <s v="整份"/>
    <n v="5.95"/>
    <s v="份"/>
    <n v="9"/>
    <n v="53.55"/>
    <n v="0"/>
    <n v="0"/>
    <n v="0"/>
    <n v="0"/>
    <n v="0"/>
    <n v="0"/>
    <n v="0"/>
    <n v="0"/>
    <n v="2.38"/>
    <n v="0"/>
    <n v="9"/>
    <n v="53.72"/>
    <n v="2.55"/>
    <n v="51.17"/>
    <n v="1"/>
  </r>
  <r>
    <s v="2021-06-21"/>
    <s v="Vancouver"/>
    <s v="加拿大二店"/>
    <x v="4"/>
    <x v="9"/>
    <x v="81"/>
    <x v="0"/>
    <x v="84"/>
    <s v="拼锅"/>
    <n v="8.95"/>
    <s v="锅"/>
    <n v="8"/>
    <n v="71.6"/>
    <n v="0"/>
    <n v="0"/>
    <n v="0"/>
    <n v="0"/>
    <n v="0"/>
    <n v="0"/>
    <n v="0"/>
    <n v="0"/>
    <n v="1.79"/>
    <n v="0"/>
    <n v="8"/>
    <n v="73.3"/>
    <n v="3.49"/>
    <n v="69.81"/>
    <n v="2"/>
  </r>
  <r>
    <s v="2021-06-21"/>
    <s v="Vancouver"/>
    <s v="加拿大二店"/>
    <x v="4"/>
    <x v="10"/>
    <x v="81"/>
    <x v="0"/>
    <x v="84"/>
    <s v="四宫格"/>
    <n v="4.95"/>
    <s v="锅"/>
    <n v="3"/>
    <n v="14.85"/>
    <n v="0"/>
    <n v="0"/>
    <n v="0"/>
    <n v="0"/>
    <n v="1"/>
    <n v="4.95"/>
    <n v="0"/>
    <n v="0"/>
    <n v="0"/>
    <n v="0"/>
    <n v="2"/>
    <n v="10.39"/>
    <n v="0.49"/>
    <n v="9.9"/>
    <n v="1"/>
  </r>
  <r>
    <s v="2021-06-21"/>
    <s v="Vancouver"/>
    <s v="加拿大二店"/>
    <x v="3"/>
    <x v="5"/>
    <x v="82"/>
    <x v="78"/>
    <x v="85"/>
    <s v="整份"/>
    <n v="12.95"/>
    <s v="份"/>
    <n v="5"/>
    <n v="64.75"/>
    <n v="0"/>
    <n v="0"/>
    <n v="0"/>
    <n v="0"/>
    <n v="0"/>
    <n v="0"/>
    <n v="0"/>
    <n v="0"/>
    <n v="0"/>
    <n v="0"/>
    <n v="5"/>
    <n v="67.98"/>
    <n v="3.23"/>
    <n v="64.75"/>
    <n v="1"/>
  </r>
  <r>
    <s v="2021-06-21"/>
    <s v="Vancouver"/>
    <s v="加拿大二店"/>
    <x v="3"/>
    <x v="11"/>
    <x v="83"/>
    <x v="79"/>
    <x v="86"/>
    <s v="整份"/>
    <n v="5.95"/>
    <s v="份"/>
    <n v="3"/>
    <n v="17.85"/>
    <n v="0"/>
    <n v="0"/>
    <n v="0"/>
    <n v="0"/>
    <n v="1"/>
    <n v="5.95"/>
    <n v="0"/>
    <n v="0"/>
    <n v="0"/>
    <n v="0"/>
    <n v="2"/>
    <n v="12.49"/>
    <n v="0.59"/>
    <n v="11.9"/>
    <n v="1"/>
  </r>
  <r>
    <s v="2021-06-21"/>
    <s v="Vancouver"/>
    <s v="加拿大二店"/>
    <x v="3"/>
    <x v="11"/>
    <x v="83"/>
    <x v="80"/>
    <x v="87"/>
    <s v="半份"/>
    <n v="2.95"/>
    <s v="份"/>
    <n v="5"/>
    <n v="14.75"/>
    <n v="0"/>
    <n v="0"/>
    <n v="0"/>
    <n v="0"/>
    <n v="0"/>
    <n v="0"/>
    <n v="0"/>
    <n v="0"/>
    <n v="0.59"/>
    <n v="0"/>
    <n v="5"/>
    <n v="14.86"/>
    <n v="0.7"/>
    <n v="14.16"/>
    <n v="0.5"/>
  </r>
  <r>
    <s v="2021-06-21"/>
    <s v="Vancouver"/>
    <s v="加拿大二店"/>
    <x v="7"/>
    <x v="14"/>
    <x v="137"/>
    <x v="131"/>
    <x v="142"/>
    <s v="整份"/>
    <n v="0"/>
    <s v="份"/>
    <n v="2"/>
    <n v="0"/>
    <n v="1"/>
    <n v="0"/>
    <n v="0"/>
    <n v="0"/>
    <n v="0"/>
    <n v="0"/>
    <n v="0"/>
    <n v="0"/>
    <n v="0"/>
    <n v="0"/>
    <n v="1"/>
    <n v="0"/>
    <n v="0"/>
    <n v="0"/>
    <n v="1"/>
  </r>
  <r>
    <s v="2021-06-21"/>
    <s v="Vancouver"/>
    <s v="加拿大二店"/>
    <x v="3"/>
    <x v="11"/>
    <x v="84"/>
    <x v="81"/>
    <x v="88"/>
    <s v="整份"/>
    <n v="11.95"/>
    <s v="份"/>
    <n v="4"/>
    <n v="47.8"/>
    <n v="1"/>
    <n v="11.95"/>
    <n v="0"/>
    <n v="0"/>
    <n v="0"/>
    <n v="0"/>
    <n v="0"/>
    <n v="0"/>
    <n v="3.82"/>
    <n v="0"/>
    <n v="3"/>
    <n v="33.63"/>
    <n v="1.6"/>
    <n v="32.03"/>
    <n v="1"/>
  </r>
  <r>
    <s v="2021-06-21"/>
    <s v="Vancouver"/>
    <s v="加拿大二店"/>
    <x v="1"/>
    <x v="3"/>
    <x v="85"/>
    <x v="82"/>
    <x v="89"/>
    <s v="整份"/>
    <n v="6.95"/>
    <s v="份"/>
    <n v="2"/>
    <n v="13.9"/>
    <n v="0"/>
    <n v="0"/>
    <n v="0"/>
    <n v="0"/>
    <n v="0"/>
    <n v="0"/>
    <n v="0"/>
    <n v="0"/>
    <n v="1.39"/>
    <n v="0"/>
    <n v="2"/>
    <n v="13.13"/>
    <n v="0.62"/>
    <n v="12.51"/>
    <n v="1"/>
  </r>
  <r>
    <s v="2021-06-21"/>
    <s v="Vancouver"/>
    <s v="加拿大二店"/>
    <x v="6"/>
    <x v="13"/>
    <x v="86"/>
    <x v="83"/>
    <x v="90"/>
    <s v="碗"/>
    <n v="2.95"/>
    <s v="碗"/>
    <n v="8"/>
    <n v="23.6"/>
    <n v="0"/>
    <n v="0"/>
    <n v="0"/>
    <n v="0"/>
    <n v="0"/>
    <n v="0"/>
    <n v="0"/>
    <n v="0"/>
    <n v="0"/>
    <n v="0"/>
    <n v="8"/>
    <n v="24.78"/>
    <n v="1.18"/>
    <n v="23.6"/>
    <n v="1"/>
  </r>
  <r>
    <s v="2021-06-21"/>
    <s v="Vancouver"/>
    <s v="加拿大二店"/>
    <x v="2"/>
    <x v="4"/>
    <x v="87"/>
    <x v="84"/>
    <x v="91"/>
    <s v="常温"/>
    <n v="2.95"/>
    <s v="扎"/>
    <n v="2"/>
    <n v="5.9"/>
    <n v="0"/>
    <n v="0"/>
    <n v="0"/>
    <n v="0"/>
    <n v="0"/>
    <n v="0"/>
    <n v="0"/>
    <n v="0"/>
    <n v="1.47"/>
    <n v="0"/>
    <n v="2"/>
    <n v="4.96"/>
    <n v="0.53"/>
    <n v="4.43"/>
    <n v="1"/>
  </r>
  <r>
    <s v="2021-06-21"/>
    <s v="Vancouver"/>
    <s v="加拿大二店"/>
    <x v="2"/>
    <x v="4"/>
    <x v="87"/>
    <x v="84"/>
    <x v="91"/>
    <s v="冰镇"/>
    <n v="2.95"/>
    <s v="扎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21"/>
    <s v="Vancouver"/>
    <s v="加拿大二店"/>
    <x v="1"/>
    <x v="8"/>
    <x v="88"/>
    <x v="85"/>
    <x v="92"/>
    <s v="整份"/>
    <n v="7.95"/>
    <s v="份"/>
    <n v="3"/>
    <n v="23.85"/>
    <n v="0"/>
    <n v="0"/>
    <n v="0"/>
    <n v="0"/>
    <n v="0"/>
    <n v="0"/>
    <n v="0"/>
    <n v="0"/>
    <n v="0"/>
    <n v="0"/>
    <n v="3"/>
    <n v="25.04"/>
    <n v="1.19"/>
    <n v="23.85"/>
    <n v="1"/>
  </r>
  <r>
    <s v="2021-06-21"/>
    <s v="Vancouver"/>
    <s v="加拿大二店"/>
    <x v="1"/>
    <x v="8"/>
    <x v="89"/>
    <x v="86"/>
    <x v="93"/>
    <s v="整份"/>
    <n v="4.95"/>
    <s v="份"/>
    <n v="14"/>
    <n v="69.3"/>
    <n v="0"/>
    <n v="0"/>
    <n v="0"/>
    <n v="0"/>
    <n v="0"/>
    <n v="0"/>
    <n v="0"/>
    <n v="-0.01"/>
    <n v="2.97"/>
    <n v="0"/>
    <n v="14"/>
    <n v="69.65"/>
    <n v="3.31"/>
    <n v="66.34"/>
    <n v="1"/>
  </r>
  <r>
    <s v="2021-06-21"/>
    <s v="Vancouver"/>
    <s v="加拿大二店"/>
    <x v="3"/>
    <x v="7"/>
    <x v="90"/>
    <x v="87"/>
    <x v="94"/>
    <s v="整份"/>
    <n v="4.95"/>
    <s v="份"/>
    <n v="9"/>
    <n v="44.55"/>
    <n v="0"/>
    <n v="0"/>
    <n v="0"/>
    <n v="0"/>
    <n v="2"/>
    <n v="9.9"/>
    <n v="0"/>
    <n v="0"/>
    <n v="1.6"/>
    <n v="0"/>
    <n v="7"/>
    <n v="34.7"/>
    <n v="1.65"/>
    <n v="33.05"/>
    <n v="1"/>
  </r>
  <r>
    <s v="2021-06-21"/>
    <s v="Vancouver"/>
    <s v="加拿大二店"/>
    <x v="4"/>
    <x v="10"/>
    <x v="92"/>
    <x v="0"/>
    <x v="96"/>
    <s v="四宫格"/>
    <n v="4.95"/>
    <s v="锅"/>
    <n v="2"/>
    <n v="9.9"/>
    <n v="0"/>
    <n v="0"/>
    <n v="0"/>
    <n v="0"/>
    <n v="0"/>
    <n v="0"/>
    <n v="0"/>
    <n v="0"/>
    <n v="0"/>
    <n v="0"/>
    <n v="2"/>
    <n v="10.39"/>
    <n v="0.49"/>
    <n v="9.9"/>
    <n v="1"/>
  </r>
  <r>
    <s v="2021-06-21"/>
    <s v="Vancouver"/>
    <s v="加拿大二店"/>
    <x v="3"/>
    <x v="5"/>
    <x v="93"/>
    <x v="89"/>
    <x v="97"/>
    <s v="整份"/>
    <n v="5.95"/>
    <s v="份"/>
    <n v="4"/>
    <n v="23.8"/>
    <n v="0"/>
    <n v="0"/>
    <n v="0"/>
    <n v="0"/>
    <n v="1"/>
    <n v="5.95"/>
    <n v="0"/>
    <n v="0"/>
    <n v="0"/>
    <n v="0"/>
    <n v="3"/>
    <n v="18.74"/>
    <n v="0.89"/>
    <n v="17.85"/>
    <n v="1"/>
  </r>
  <r>
    <s v="2021-06-21"/>
    <s v="Vancouver"/>
    <s v="加拿大二店"/>
    <x v="6"/>
    <x v="13"/>
    <x v="94"/>
    <x v="90"/>
    <x v="98"/>
    <s v="整份"/>
    <n v="4.95"/>
    <s v="份"/>
    <n v="4"/>
    <n v="19.8"/>
    <n v="0"/>
    <n v="0"/>
    <n v="0"/>
    <n v="0"/>
    <n v="0"/>
    <n v="0"/>
    <n v="0"/>
    <n v="0"/>
    <n v="0"/>
    <n v="0"/>
    <n v="4"/>
    <n v="20.79"/>
    <n v="0.99"/>
    <n v="19.8"/>
    <n v="1"/>
  </r>
  <r>
    <s v="2021-06-21"/>
    <s v="Vancouver"/>
    <s v="加拿大二店"/>
    <x v="7"/>
    <x v="14"/>
    <x v="123"/>
    <x v="117"/>
    <x v="127"/>
    <s v="整份"/>
    <n v="0"/>
    <s v="份"/>
    <n v="1"/>
    <n v="0"/>
    <n v="0"/>
    <n v="0"/>
    <n v="0"/>
    <n v="0"/>
    <n v="0"/>
    <n v="0"/>
    <n v="0"/>
    <n v="0"/>
    <n v="0"/>
    <n v="0"/>
    <n v="1"/>
    <n v="0"/>
    <n v="0"/>
    <n v="0"/>
    <n v="1"/>
  </r>
  <r>
    <s v="2021-06-21"/>
    <s v="Vancouver"/>
    <s v="加拿大二店"/>
    <x v="2"/>
    <x v="4"/>
    <x v="95"/>
    <x v="91"/>
    <x v="99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21"/>
    <s v="Vancouver"/>
    <s v="加拿大二店"/>
    <x v="1"/>
    <x v="1"/>
    <x v="96"/>
    <x v="92"/>
    <x v="100"/>
    <s v="整份"/>
    <n v="49.95"/>
    <s v="份"/>
    <n v="8"/>
    <n v="399.6"/>
    <n v="0"/>
    <n v="0"/>
    <n v="0"/>
    <n v="0"/>
    <n v="1"/>
    <n v="49.95"/>
    <n v="0"/>
    <n v="0.01"/>
    <n v="14.98"/>
    <n v="0"/>
    <n v="7"/>
    <n v="351.39"/>
    <n v="16.73"/>
    <n v="334.66"/>
    <n v="1"/>
  </r>
  <r>
    <s v="2021-06-21"/>
    <s v="Vancouver"/>
    <s v="加拿大二店"/>
    <x v="2"/>
    <x v="2"/>
    <x v="97"/>
    <x v="93"/>
    <x v="101"/>
    <s v="冰镇"/>
    <n v="5.95"/>
    <s v="听"/>
    <n v="1"/>
    <n v="5.95"/>
    <n v="0"/>
    <n v="0"/>
    <n v="0"/>
    <n v="0"/>
    <n v="0"/>
    <n v="0"/>
    <n v="0"/>
    <n v="0"/>
    <n v="0"/>
    <n v="0"/>
    <n v="1"/>
    <n v="6.84"/>
    <n v="0.89"/>
    <n v="5.95"/>
    <n v="1"/>
  </r>
  <r>
    <s v="2021-06-21"/>
    <s v="Vancouver"/>
    <s v="加拿大二店"/>
    <x v="6"/>
    <x v="13"/>
    <x v="98"/>
    <x v="94"/>
    <x v="102"/>
    <s v="整份"/>
    <n v="3.95"/>
    <s v="份"/>
    <n v="1"/>
    <n v="3.95"/>
    <n v="0"/>
    <n v="0"/>
    <n v="0"/>
    <n v="0"/>
    <n v="0"/>
    <n v="0"/>
    <n v="0"/>
    <n v="0"/>
    <n v="0"/>
    <n v="0"/>
    <n v="1"/>
    <n v="4.14"/>
    <n v="0.19"/>
    <n v="3.95"/>
    <n v="1"/>
  </r>
  <r>
    <s v="2021-06-21"/>
    <s v="Vancouver"/>
    <s v="加拿大二店"/>
    <x v="1"/>
    <x v="3"/>
    <x v="99"/>
    <x v="95"/>
    <x v="103"/>
    <s v="整份"/>
    <n v="5.95"/>
    <s v="份"/>
    <n v="1"/>
    <n v="5.95"/>
    <n v="0"/>
    <n v="0"/>
    <n v="0"/>
    <n v="0"/>
    <n v="0"/>
    <n v="0"/>
    <n v="0"/>
    <n v="0"/>
    <n v="0"/>
    <n v="0"/>
    <n v="1"/>
    <n v="6.24"/>
    <n v="0.29"/>
    <n v="5.95"/>
    <n v="1"/>
  </r>
  <r>
    <s v="2021-06-21"/>
    <s v="Vancouver"/>
    <s v="加拿大二店"/>
    <x v="1"/>
    <x v="3"/>
    <x v="100"/>
    <x v="96"/>
    <x v="104"/>
    <s v="整份"/>
    <n v="7.95"/>
    <s v="份"/>
    <n v="2"/>
    <n v="15.9"/>
    <n v="0"/>
    <n v="0"/>
    <n v="0"/>
    <n v="0"/>
    <n v="1"/>
    <n v="7.95"/>
    <n v="0"/>
    <n v="0"/>
    <n v="0"/>
    <n v="0"/>
    <n v="1"/>
    <n v="8.34"/>
    <n v="0.39"/>
    <n v="7.95"/>
    <n v="1"/>
  </r>
  <r>
    <s v="2021-06-21"/>
    <s v="Vancouver"/>
    <s v="加拿大二店"/>
    <x v="1"/>
    <x v="8"/>
    <x v="101"/>
    <x v="97"/>
    <x v="105"/>
    <s v="整份"/>
    <n v="5.95"/>
    <s v="份"/>
    <n v="4"/>
    <n v="23.8"/>
    <n v="0"/>
    <n v="0"/>
    <n v="0"/>
    <n v="0"/>
    <n v="0"/>
    <n v="0"/>
    <n v="0"/>
    <n v="0"/>
    <n v="0"/>
    <n v="0"/>
    <n v="4"/>
    <n v="24.99"/>
    <n v="1.19"/>
    <n v="23.8"/>
    <n v="1"/>
  </r>
  <r>
    <s v="2021-06-21"/>
    <s v="Vancouver"/>
    <s v="加拿大二店"/>
    <x v="1"/>
    <x v="6"/>
    <x v="102"/>
    <x v="98"/>
    <x v="106"/>
    <s v="整份"/>
    <n v="8.95"/>
    <s v="份"/>
    <n v="3"/>
    <n v="26.85"/>
    <n v="0"/>
    <n v="0"/>
    <n v="0"/>
    <n v="0"/>
    <n v="1"/>
    <n v="8.95"/>
    <n v="0"/>
    <n v="0.01"/>
    <n v="0"/>
    <n v="0"/>
    <n v="2"/>
    <n v="18.78"/>
    <n v="0.89"/>
    <n v="17.89"/>
    <n v="1"/>
  </r>
  <r>
    <s v="2021-06-21"/>
    <s v="Vancouver"/>
    <s v="加拿大二店"/>
    <x v="3"/>
    <x v="7"/>
    <x v="103"/>
    <x v="99"/>
    <x v="107"/>
    <s v="整份"/>
    <n v="5.95"/>
    <s v="份"/>
    <n v="4"/>
    <n v="23.8"/>
    <n v="0"/>
    <n v="0"/>
    <n v="0"/>
    <n v="0"/>
    <n v="0"/>
    <n v="0"/>
    <n v="0"/>
    <n v="0"/>
    <n v="1.19"/>
    <n v="0"/>
    <n v="4"/>
    <n v="23.74"/>
    <n v="1.13"/>
    <n v="22.61"/>
    <n v="1"/>
  </r>
  <r>
    <s v="2021-06-21"/>
    <s v="Vancouver"/>
    <s v="加拿大二店"/>
    <x v="3"/>
    <x v="7"/>
    <x v="104"/>
    <x v="100"/>
    <x v="108"/>
    <s v="整份"/>
    <n v="3.95"/>
    <s v="份"/>
    <n v="2"/>
    <n v="7.9"/>
    <n v="0"/>
    <n v="0"/>
    <n v="0"/>
    <n v="0"/>
    <n v="0"/>
    <n v="0"/>
    <n v="0"/>
    <n v="0"/>
    <n v="0"/>
    <n v="0"/>
    <n v="2"/>
    <n v="8.29"/>
    <n v="0.39"/>
    <n v="7.9"/>
    <n v="1"/>
  </r>
  <r>
    <s v="2021-06-21"/>
    <s v="Vancouver"/>
    <s v="加拿大二店"/>
    <x v="1"/>
    <x v="8"/>
    <x v="105"/>
    <x v="101"/>
    <x v="109"/>
    <s v="整份"/>
    <n v="4.95"/>
    <s v="份"/>
    <n v="10"/>
    <n v="49.5"/>
    <n v="0"/>
    <n v="0"/>
    <n v="0"/>
    <n v="0"/>
    <n v="0"/>
    <n v="0"/>
    <n v="0"/>
    <n v="0"/>
    <n v="1.98"/>
    <n v="0"/>
    <n v="10"/>
    <n v="49.89"/>
    <n v="2.37"/>
    <n v="47.52"/>
    <n v="1"/>
  </r>
  <r>
    <s v="2021-06-21"/>
    <s v="Vancouver"/>
    <s v="加拿大二店"/>
    <x v="4"/>
    <x v="9"/>
    <x v="106"/>
    <x v="0"/>
    <x v="110"/>
    <s v="拼锅"/>
    <n v="11.95"/>
    <s v="锅"/>
    <n v="4"/>
    <n v="47.8"/>
    <n v="0"/>
    <n v="0"/>
    <n v="0"/>
    <n v="0"/>
    <n v="0"/>
    <n v="0"/>
    <n v="0"/>
    <n v="-0.01"/>
    <n v="0"/>
    <n v="0"/>
    <n v="4"/>
    <n v="50.2"/>
    <n v="2.39"/>
    <n v="47.81"/>
    <n v="2"/>
  </r>
  <r>
    <s v="2021-06-21"/>
    <s v="Vancouver"/>
    <s v="加拿大二店"/>
    <x v="4"/>
    <x v="9"/>
    <x v="107"/>
    <x v="0"/>
    <x v="111"/>
    <s v="拼锅"/>
    <n v="11.95"/>
    <s v="锅"/>
    <n v="4"/>
    <n v="47.8"/>
    <n v="0"/>
    <n v="0"/>
    <n v="0"/>
    <n v="0"/>
    <n v="0"/>
    <n v="0"/>
    <n v="0"/>
    <n v="0"/>
    <n v="4.78"/>
    <n v="0"/>
    <n v="4"/>
    <n v="45.17"/>
    <n v="2.15"/>
    <n v="43.02"/>
    <n v="2"/>
  </r>
  <r>
    <s v="2021-06-21"/>
    <s v="Vancouver"/>
    <s v="加拿大二店"/>
    <x v="4"/>
    <x v="10"/>
    <x v="107"/>
    <x v="0"/>
    <x v="111"/>
    <s v="四宫格"/>
    <n v="5.95"/>
    <s v="锅"/>
    <n v="3"/>
    <n v="17.85"/>
    <n v="0"/>
    <n v="0"/>
    <n v="0"/>
    <n v="0"/>
    <n v="2"/>
    <n v="11.9"/>
    <n v="0"/>
    <n v="0"/>
    <n v="0"/>
    <n v="0"/>
    <n v="1"/>
    <n v="6.24"/>
    <n v="0.29"/>
    <n v="5.95"/>
    <n v="1"/>
  </r>
  <r>
    <s v="2021-06-22"/>
    <s v="Vancouver"/>
    <s v="加拿大二店"/>
    <x v="1"/>
    <x v="1"/>
    <x v="1"/>
    <x v="1"/>
    <x v="1"/>
    <s v="整份"/>
    <n v="16.95"/>
    <s v="份"/>
    <n v="7"/>
    <n v="118.65"/>
    <n v="0"/>
    <n v="0"/>
    <n v="0"/>
    <n v="0"/>
    <n v="0"/>
    <n v="0"/>
    <n v="0"/>
    <n v="0"/>
    <n v="13.89"/>
    <n v="0"/>
    <n v="7"/>
    <n v="109.99"/>
    <n v="5.23"/>
    <n v="104.76"/>
    <n v="1"/>
  </r>
  <r>
    <s v="2021-06-22"/>
    <s v="Vancouver"/>
    <s v="加拿大二店"/>
    <x v="2"/>
    <x v="19"/>
    <x v="132"/>
    <x v="126"/>
    <x v="137"/>
    <s v="瓶"/>
    <n v="15.95"/>
    <s v="瓶"/>
    <n v="1"/>
    <n v="15.95"/>
    <n v="0"/>
    <n v="0"/>
    <n v="0"/>
    <n v="0"/>
    <n v="0"/>
    <n v="0"/>
    <n v="0"/>
    <n v="0"/>
    <n v="7.98"/>
    <n v="0"/>
    <n v="1"/>
    <n v="9.16"/>
    <n v="1.19"/>
    <n v="7.97"/>
    <n v="1"/>
  </r>
  <r>
    <s v="2021-06-22"/>
    <s v="Vancouver"/>
    <s v="加拿大二店"/>
    <x v="2"/>
    <x v="22"/>
    <x v="128"/>
    <x v="122"/>
    <x v="133"/>
    <s v="杯"/>
    <n v="5.95"/>
    <s v="杯"/>
    <n v="1"/>
    <n v="5.95"/>
    <n v="0"/>
    <n v="0"/>
    <n v="0"/>
    <n v="0"/>
    <n v="0"/>
    <n v="0"/>
    <n v="0"/>
    <n v="0.01"/>
    <n v="0"/>
    <n v="0"/>
    <n v="1"/>
    <n v="6.83"/>
    <n v="0.89"/>
    <n v="5.94"/>
    <n v="1"/>
  </r>
  <r>
    <s v="2021-06-22"/>
    <s v="Vancouver"/>
    <s v="加拿大二店"/>
    <x v="1"/>
    <x v="1"/>
    <x v="2"/>
    <x v="2"/>
    <x v="2"/>
    <s v="整份"/>
    <n v="25.95"/>
    <s v="份"/>
    <n v="14"/>
    <n v="363.3"/>
    <n v="0"/>
    <n v="0"/>
    <n v="0"/>
    <n v="0"/>
    <n v="0"/>
    <n v="0"/>
    <n v="0"/>
    <n v="0"/>
    <n v="34.76"/>
    <n v="0"/>
    <n v="14"/>
    <n v="344.96"/>
    <n v="16.42"/>
    <n v="328.54"/>
    <n v="1"/>
  </r>
  <r>
    <s v="2021-06-22"/>
    <s v="Vancouver"/>
    <s v="加拿大二店"/>
    <x v="2"/>
    <x v="2"/>
    <x v="5"/>
    <x v="5"/>
    <x v="5"/>
    <s v="杯"/>
    <n v="6.95"/>
    <s v="杯"/>
    <n v="2"/>
    <n v="13.9"/>
    <n v="0"/>
    <n v="0"/>
    <n v="0"/>
    <n v="0"/>
    <n v="0"/>
    <n v="0"/>
    <n v="0"/>
    <n v="0"/>
    <n v="0"/>
    <n v="0"/>
    <n v="2"/>
    <n v="15.98"/>
    <n v="2.08"/>
    <n v="13.9"/>
    <n v="1"/>
  </r>
  <r>
    <s v="2021-06-22"/>
    <s v="Vancouver"/>
    <s v="加拿大二店"/>
    <x v="1"/>
    <x v="3"/>
    <x v="6"/>
    <x v="6"/>
    <x v="6"/>
    <s v="整份"/>
    <n v="7.95"/>
    <s v="份"/>
    <n v="4"/>
    <n v="31.8"/>
    <n v="0"/>
    <n v="0"/>
    <n v="0"/>
    <n v="0"/>
    <n v="0"/>
    <n v="0"/>
    <n v="0"/>
    <n v="0"/>
    <n v="1.98"/>
    <n v="0"/>
    <n v="4"/>
    <n v="31.31"/>
    <n v="1.49"/>
    <n v="29.82"/>
    <n v="1"/>
  </r>
  <r>
    <s v="2021-06-22"/>
    <s v="Vancouver"/>
    <s v="加拿大二店"/>
    <x v="2"/>
    <x v="19"/>
    <x v="108"/>
    <x v="102"/>
    <x v="112"/>
    <s v="小瓶"/>
    <n v="15.95"/>
    <s v="小瓶"/>
    <n v="1"/>
    <n v="15.95"/>
    <n v="0"/>
    <n v="0"/>
    <n v="0"/>
    <n v="0"/>
    <n v="0"/>
    <n v="0"/>
    <n v="0"/>
    <n v="0"/>
    <n v="7.97"/>
    <n v="0"/>
    <n v="1"/>
    <n v="9.17"/>
    <n v="1.19"/>
    <n v="7.98"/>
    <n v="1"/>
  </r>
  <r>
    <s v="2021-06-22"/>
    <s v="Vancouver"/>
    <s v="加拿大二店"/>
    <x v="2"/>
    <x v="4"/>
    <x v="7"/>
    <x v="7"/>
    <x v="7"/>
    <s v="常温"/>
    <n v="2.45"/>
    <s v="罐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22"/>
    <s v="Vancouver"/>
    <s v="加拿大二店"/>
    <x v="2"/>
    <x v="4"/>
    <x v="7"/>
    <x v="7"/>
    <x v="7"/>
    <s v="冰镇"/>
    <n v="2.45"/>
    <s v="罐"/>
    <n v="2"/>
    <n v="4.9"/>
    <n v="0"/>
    <n v="0"/>
    <n v="0"/>
    <n v="0"/>
    <n v="0"/>
    <n v="0"/>
    <n v="0"/>
    <n v="0"/>
    <n v="0"/>
    <n v="0"/>
    <n v="2"/>
    <n v="5.48"/>
    <n v="0.58"/>
    <n v="4.9"/>
    <n v="1"/>
  </r>
  <r>
    <s v="2021-06-22"/>
    <s v="Vancouver"/>
    <s v="加拿大二店"/>
    <x v="2"/>
    <x v="4"/>
    <x v="110"/>
    <x v="104"/>
    <x v="114"/>
    <s v="小瓶"/>
    <n v="3.95"/>
    <s v="瓶"/>
    <n v="3"/>
    <n v="11.85"/>
    <n v="0"/>
    <n v="0"/>
    <n v="0"/>
    <n v="0"/>
    <n v="0"/>
    <n v="0"/>
    <n v="0"/>
    <n v="0"/>
    <n v="0"/>
    <n v="0"/>
    <n v="3"/>
    <n v="13.27"/>
    <n v="1.42"/>
    <n v="11.85"/>
    <n v="1"/>
  </r>
  <r>
    <s v="2021-06-22"/>
    <s v="Vancouver"/>
    <s v="加拿大二店"/>
    <x v="3"/>
    <x v="5"/>
    <x v="8"/>
    <x v="8"/>
    <x v="8"/>
    <s v="整份"/>
    <n v="3.95"/>
    <s v="份"/>
    <n v="3"/>
    <n v="11.85"/>
    <n v="0"/>
    <n v="0"/>
    <n v="0"/>
    <n v="0"/>
    <n v="0"/>
    <n v="0"/>
    <n v="0"/>
    <n v="0"/>
    <n v="1.73"/>
    <n v="0"/>
    <n v="3"/>
    <n v="10.62"/>
    <n v="0.5"/>
    <n v="10.12"/>
    <n v="1"/>
  </r>
  <r>
    <s v="2021-06-22"/>
    <s v="Vancouver"/>
    <s v="加拿大二店"/>
    <x v="2"/>
    <x v="4"/>
    <x v="10"/>
    <x v="10"/>
    <x v="10"/>
    <s v="半份"/>
    <n v="6.95"/>
    <s v="扎"/>
    <n v="4"/>
    <n v="27.8"/>
    <n v="0"/>
    <n v="0"/>
    <n v="0"/>
    <n v="0"/>
    <n v="1"/>
    <n v="6.95"/>
    <n v="0"/>
    <n v="0"/>
    <n v="1.39"/>
    <n v="0"/>
    <n v="3"/>
    <n v="21.79"/>
    <n v="2.33"/>
    <n v="19.46"/>
    <n v="0.5"/>
  </r>
  <r>
    <s v="2021-06-22"/>
    <s v="Vancouver"/>
    <s v="加拿大二店"/>
    <x v="2"/>
    <x v="4"/>
    <x v="10"/>
    <x v="11"/>
    <x v="11"/>
    <s v="整份"/>
    <n v="9.95"/>
    <s v="扎"/>
    <n v="1"/>
    <n v="9.95"/>
    <n v="0"/>
    <n v="0"/>
    <n v="0"/>
    <n v="0"/>
    <n v="0"/>
    <n v="0"/>
    <n v="0"/>
    <n v="0"/>
    <n v="0"/>
    <n v="0"/>
    <n v="1"/>
    <n v="11.14"/>
    <n v="1.19"/>
    <n v="9.95"/>
    <n v="1"/>
  </r>
  <r>
    <s v="2021-06-22"/>
    <s v="Vancouver"/>
    <s v="加拿大二店"/>
    <x v="1"/>
    <x v="6"/>
    <x v="11"/>
    <x v="12"/>
    <x v="12"/>
    <s v="整份"/>
    <n v="8.95"/>
    <s v="份"/>
    <n v="6"/>
    <n v="53.7"/>
    <n v="0"/>
    <n v="0"/>
    <n v="0"/>
    <n v="0"/>
    <n v="0"/>
    <n v="0"/>
    <n v="0"/>
    <n v="0"/>
    <n v="3.58"/>
    <n v="0"/>
    <n v="6"/>
    <n v="52.62"/>
    <n v="2.5"/>
    <n v="50.12"/>
    <n v="1"/>
  </r>
  <r>
    <s v="2021-06-22"/>
    <s v="Vancouver"/>
    <s v="加拿大二店"/>
    <x v="1"/>
    <x v="6"/>
    <x v="13"/>
    <x v="14"/>
    <x v="14"/>
    <s v="整份"/>
    <n v="21.95"/>
    <s v="份"/>
    <n v="2"/>
    <n v="43.9"/>
    <n v="0"/>
    <n v="0"/>
    <n v="0"/>
    <n v="0"/>
    <n v="0"/>
    <n v="0"/>
    <n v="0"/>
    <n v="0"/>
    <n v="13.18"/>
    <n v="0"/>
    <n v="2"/>
    <n v="32.25"/>
    <n v="1.53"/>
    <n v="30.72"/>
    <n v="1"/>
  </r>
  <r>
    <s v="2021-06-22"/>
    <s v="Vancouver"/>
    <s v="加拿大二店"/>
    <x v="1"/>
    <x v="6"/>
    <x v="121"/>
    <x v="115"/>
    <x v="125"/>
    <s v="整份"/>
    <n v="12.95"/>
    <s v="份"/>
    <n v="3"/>
    <n v="38.85"/>
    <n v="0"/>
    <n v="0"/>
    <n v="0"/>
    <n v="0"/>
    <n v="0"/>
    <n v="0"/>
    <n v="0"/>
    <n v="0"/>
    <n v="4.2"/>
    <n v="0"/>
    <n v="3"/>
    <n v="36.38"/>
    <n v="1.73"/>
    <n v="34.65"/>
    <n v="1"/>
  </r>
  <r>
    <s v="2021-06-22"/>
    <s v="Vancouver"/>
    <s v="加拿大二店"/>
    <x v="3"/>
    <x v="7"/>
    <x v="16"/>
    <x v="17"/>
    <x v="17"/>
    <s v="整份"/>
    <n v="4.95"/>
    <s v="份"/>
    <n v="9"/>
    <n v="44.55"/>
    <n v="0"/>
    <n v="0"/>
    <n v="0"/>
    <n v="0"/>
    <n v="0"/>
    <n v="0"/>
    <n v="0"/>
    <n v="0"/>
    <n v="5.14"/>
    <n v="0"/>
    <n v="9"/>
    <n v="41.38"/>
    <n v="1.97"/>
    <n v="39.41"/>
    <n v="1"/>
  </r>
  <r>
    <s v="2021-06-22"/>
    <s v="Vancouver"/>
    <s v="加拿大二店"/>
    <x v="2"/>
    <x v="4"/>
    <x v="17"/>
    <x v="18"/>
    <x v="18"/>
    <s v="冰镇"/>
    <n v="2.95"/>
    <s v="瓶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22"/>
    <s v="Vancouver"/>
    <s v="加拿大二店"/>
    <x v="2"/>
    <x v="4"/>
    <x v="18"/>
    <x v="19"/>
    <x v="19"/>
    <s v="常温"/>
    <n v="2.95"/>
    <s v="听"/>
    <n v="6"/>
    <n v="17.7"/>
    <n v="0"/>
    <n v="0"/>
    <n v="0"/>
    <n v="0"/>
    <n v="0"/>
    <n v="0"/>
    <n v="0"/>
    <n v="0"/>
    <n v="0"/>
    <n v="0"/>
    <n v="6"/>
    <n v="19.82"/>
    <n v="2.12"/>
    <n v="17.7"/>
    <n v="1"/>
  </r>
  <r>
    <s v="2021-06-22"/>
    <s v="Vancouver"/>
    <s v="加拿大二店"/>
    <x v="1"/>
    <x v="8"/>
    <x v="19"/>
    <x v="20"/>
    <x v="20"/>
    <s v="整份"/>
    <n v="5.95"/>
    <s v="份"/>
    <n v="5"/>
    <n v="29.75"/>
    <n v="0"/>
    <n v="0"/>
    <n v="0"/>
    <n v="0"/>
    <n v="0"/>
    <n v="0"/>
    <n v="0"/>
    <n v="0"/>
    <n v="1.19"/>
    <n v="0"/>
    <n v="5"/>
    <n v="29.98"/>
    <n v="1.42"/>
    <n v="28.56"/>
    <n v="1"/>
  </r>
  <r>
    <s v="2021-06-22"/>
    <s v="Vancouver"/>
    <s v="加拿大二店"/>
    <x v="1"/>
    <x v="8"/>
    <x v="20"/>
    <x v="21"/>
    <x v="21"/>
    <s v="整份"/>
    <n v="7.95"/>
    <s v="份"/>
    <n v="6"/>
    <n v="47.7"/>
    <n v="1"/>
    <n v="7.95"/>
    <n v="0"/>
    <n v="0"/>
    <n v="0"/>
    <n v="0"/>
    <n v="0"/>
    <n v="0"/>
    <n v="1.59"/>
    <n v="0"/>
    <n v="5"/>
    <n v="40.06"/>
    <n v="1.9"/>
    <n v="38.16"/>
    <n v="1"/>
  </r>
  <r>
    <s v="2021-06-22"/>
    <s v="Vancouver"/>
    <s v="加拿大二店"/>
    <x v="2"/>
    <x v="4"/>
    <x v="21"/>
    <x v="22"/>
    <x v="22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22"/>
    <s v="Vancouver"/>
    <s v="加拿大二店"/>
    <x v="4"/>
    <x v="16"/>
    <x v="22"/>
    <x v="0"/>
    <x v="23"/>
    <s v="单锅"/>
    <n v="22.95"/>
    <s v="锅"/>
    <n v="1"/>
    <n v="22.95"/>
    <n v="0"/>
    <n v="0"/>
    <n v="0"/>
    <n v="0"/>
    <n v="0"/>
    <n v="0"/>
    <n v="0"/>
    <n v="0.01"/>
    <n v="0"/>
    <n v="0"/>
    <n v="1"/>
    <n v="24.31"/>
    <n v="1.37"/>
    <n v="22.94"/>
    <n v="4"/>
  </r>
  <r>
    <s v="2021-06-22"/>
    <s v="Vancouver"/>
    <s v="加拿大二店"/>
    <x v="4"/>
    <x v="9"/>
    <x v="22"/>
    <x v="0"/>
    <x v="23"/>
    <s v="拼锅"/>
    <n v="11.95"/>
    <s v="锅"/>
    <n v="2"/>
    <n v="23.9"/>
    <n v="0"/>
    <n v="0"/>
    <n v="0"/>
    <n v="0"/>
    <n v="0"/>
    <n v="0"/>
    <n v="0"/>
    <n v="0"/>
    <n v="2.39"/>
    <n v="0"/>
    <n v="2"/>
    <n v="22.8"/>
    <n v="1.29"/>
    <n v="21.51"/>
    <n v="2"/>
  </r>
  <r>
    <s v="2021-06-22"/>
    <s v="Vancouver"/>
    <s v="加拿大二店"/>
    <x v="4"/>
    <x v="10"/>
    <x v="22"/>
    <x v="0"/>
    <x v="23"/>
    <s v="四宫格"/>
    <n v="5.95"/>
    <s v="锅"/>
    <n v="4"/>
    <n v="23.8"/>
    <n v="0"/>
    <n v="0"/>
    <n v="0"/>
    <n v="0"/>
    <n v="0"/>
    <n v="0"/>
    <n v="0"/>
    <n v="0.02"/>
    <n v="4.16"/>
    <n v="0"/>
    <n v="4"/>
    <n v="20.79"/>
    <n v="1.17"/>
    <n v="19.62"/>
    <n v="1"/>
  </r>
  <r>
    <s v="2021-06-22"/>
    <s v="Vancouver"/>
    <s v="加拿大二店"/>
    <x v="3"/>
    <x v="7"/>
    <x v="23"/>
    <x v="23"/>
    <x v="24"/>
    <s v="整份"/>
    <n v="4.95"/>
    <s v="份"/>
    <n v="14"/>
    <n v="69.3"/>
    <n v="0"/>
    <n v="0"/>
    <n v="0"/>
    <n v="0"/>
    <n v="0"/>
    <n v="0"/>
    <n v="0"/>
    <n v="0"/>
    <n v="4.64"/>
    <n v="0"/>
    <n v="14"/>
    <n v="67.89"/>
    <n v="3.23"/>
    <n v="64.66"/>
    <n v="1"/>
  </r>
  <r>
    <s v="2021-06-22"/>
    <s v="Vancouver"/>
    <s v="加拿大二店"/>
    <x v="3"/>
    <x v="11"/>
    <x v="24"/>
    <x v="118"/>
    <x v="129"/>
    <s v="整份"/>
    <n v="5.95"/>
    <s v="份"/>
    <n v="3"/>
    <n v="17.85"/>
    <n v="0"/>
    <n v="0"/>
    <n v="0"/>
    <n v="0"/>
    <n v="0"/>
    <n v="0"/>
    <n v="0"/>
    <n v="0"/>
    <n v="1.19"/>
    <n v="0"/>
    <n v="3"/>
    <n v="17.49"/>
    <n v="0.83"/>
    <n v="16.66"/>
    <n v="1"/>
  </r>
  <r>
    <s v="2021-06-22"/>
    <s v="Vancouver"/>
    <s v="加拿大二店"/>
    <x v="3"/>
    <x v="11"/>
    <x v="24"/>
    <x v="24"/>
    <x v="25"/>
    <s v="半份"/>
    <n v="2.95"/>
    <s v="份"/>
    <n v="4"/>
    <n v="11.8"/>
    <n v="0"/>
    <n v="0"/>
    <n v="0"/>
    <n v="0"/>
    <n v="0"/>
    <n v="0"/>
    <n v="0"/>
    <n v="0"/>
    <n v="0.59"/>
    <n v="0"/>
    <n v="4"/>
    <n v="11.77"/>
    <n v="0.56"/>
    <n v="11.21"/>
    <n v="0.5"/>
  </r>
  <r>
    <s v="2021-06-22"/>
    <s v="Vancouver"/>
    <s v="加拿大二店"/>
    <x v="3"/>
    <x v="5"/>
    <x v="25"/>
    <x v="25"/>
    <x v="26"/>
    <s v="整份"/>
    <n v="3.95"/>
    <s v="份"/>
    <n v="5"/>
    <n v="19.75"/>
    <n v="0"/>
    <n v="0"/>
    <n v="0"/>
    <n v="0"/>
    <n v="0"/>
    <n v="0"/>
    <n v="0"/>
    <n v="0"/>
    <n v="2.84"/>
    <n v="0"/>
    <n v="5"/>
    <n v="17.75"/>
    <n v="0.84"/>
    <n v="16.91"/>
    <n v="1"/>
  </r>
  <r>
    <s v="2021-06-22"/>
    <s v="Vancouver"/>
    <s v="加拿大二店"/>
    <x v="3"/>
    <x v="11"/>
    <x v="26"/>
    <x v="26"/>
    <x v="27"/>
    <s v="整份"/>
    <n v="4.95"/>
    <s v="份"/>
    <n v="4"/>
    <n v="19.8"/>
    <n v="0"/>
    <n v="0"/>
    <n v="0"/>
    <n v="0"/>
    <n v="0"/>
    <n v="0"/>
    <n v="0"/>
    <n v="0"/>
    <n v="0.59"/>
    <n v="0"/>
    <n v="4"/>
    <n v="20.17"/>
    <n v="0.96"/>
    <n v="19.21"/>
    <n v="1"/>
  </r>
  <r>
    <s v="2021-06-22"/>
    <s v="Vancouver"/>
    <s v="加拿大二店"/>
    <x v="3"/>
    <x v="11"/>
    <x v="26"/>
    <x v="27"/>
    <x v="28"/>
    <s v="半份"/>
    <n v="2.45"/>
    <s v="份"/>
    <n v="9"/>
    <n v="22.05"/>
    <n v="0"/>
    <n v="0"/>
    <n v="0"/>
    <n v="0"/>
    <n v="0"/>
    <n v="0"/>
    <n v="0"/>
    <n v="0"/>
    <n v="2.27"/>
    <n v="0"/>
    <n v="9"/>
    <n v="20.76"/>
    <n v="0.98"/>
    <n v="19.78"/>
    <n v="0.5"/>
  </r>
  <r>
    <s v="2021-06-22"/>
    <s v="Vancouver"/>
    <s v="加拿大二店"/>
    <x v="5"/>
    <x v="12"/>
    <x v="27"/>
    <x v="28"/>
    <x v="29"/>
    <s v="整份"/>
    <n v="7.95"/>
    <s v="份"/>
    <n v="5"/>
    <n v="39.75"/>
    <n v="0"/>
    <n v="0"/>
    <n v="0"/>
    <n v="0"/>
    <n v="0"/>
    <n v="0"/>
    <n v="0"/>
    <n v="0"/>
    <n v="3.18"/>
    <n v="0"/>
    <n v="5"/>
    <n v="38.39"/>
    <n v="1.82"/>
    <n v="36.57"/>
    <n v="1"/>
  </r>
  <r>
    <s v="2021-06-22"/>
    <s v="Vancouver"/>
    <s v="加拿大二店"/>
    <x v="3"/>
    <x v="7"/>
    <x v="28"/>
    <x v="29"/>
    <x v="30"/>
    <s v="整份"/>
    <n v="4.95"/>
    <s v="份"/>
    <n v="8"/>
    <n v="39.6"/>
    <n v="0"/>
    <n v="0"/>
    <n v="0"/>
    <n v="0"/>
    <n v="1"/>
    <n v="4.95"/>
    <n v="0"/>
    <n v="0"/>
    <n v="2.17"/>
    <n v="0"/>
    <n v="7"/>
    <n v="34.1"/>
    <n v="1.62"/>
    <n v="32.48"/>
    <n v="1"/>
  </r>
  <r>
    <s v="2021-06-22"/>
    <s v="Vancouver"/>
    <s v="加拿大二店"/>
    <x v="3"/>
    <x v="5"/>
    <x v="29"/>
    <x v="30"/>
    <x v="31"/>
    <s v="整份"/>
    <n v="3.95"/>
    <s v="份"/>
    <n v="7"/>
    <n v="27.65"/>
    <n v="0"/>
    <n v="0"/>
    <n v="0"/>
    <n v="0"/>
    <n v="0"/>
    <n v="0"/>
    <n v="0"/>
    <n v="0"/>
    <n v="3.7"/>
    <n v="0"/>
    <n v="7"/>
    <n v="25.14"/>
    <n v="1.19"/>
    <n v="23.95"/>
    <n v="1"/>
  </r>
  <r>
    <s v="2021-06-22"/>
    <s v="Vancouver"/>
    <s v="加拿大二店"/>
    <x v="6"/>
    <x v="13"/>
    <x v="30"/>
    <x v="31"/>
    <x v="32"/>
    <s v="整份"/>
    <n v="4.95"/>
    <s v="份"/>
    <n v="7"/>
    <n v="34.65"/>
    <n v="0"/>
    <n v="0"/>
    <n v="0"/>
    <n v="0"/>
    <n v="0"/>
    <n v="0"/>
    <n v="0"/>
    <n v="0"/>
    <n v="0"/>
    <n v="0"/>
    <n v="7"/>
    <n v="36.38"/>
    <n v="1.73"/>
    <n v="34.65"/>
    <n v="1"/>
  </r>
  <r>
    <s v="2021-06-22"/>
    <s v="Vancouver"/>
    <s v="加拿大二店"/>
    <x v="6"/>
    <x v="13"/>
    <x v="31"/>
    <x v="32"/>
    <x v="33"/>
    <s v="整份"/>
    <n v="9.95"/>
    <s v="份"/>
    <n v="5"/>
    <n v="49.75"/>
    <n v="0"/>
    <n v="0"/>
    <n v="0"/>
    <n v="0"/>
    <n v="0"/>
    <n v="0"/>
    <n v="0"/>
    <n v="0"/>
    <n v="4.97"/>
    <n v="0"/>
    <n v="5"/>
    <n v="47.01"/>
    <n v="2.23"/>
    <n v="44.78"/>
    <n v="1"/>
  </r>
  <r>
    <s v="2021-06-22"/>
    <s v="Vancouver"/>
    <s v="加拿大二店"/>
    <x v="5"/>
    <x v="12"/>
    <x v="32"/>
    <x v="33"/>
    <x v="34"/>
    <s v="整份"/>
    <n v="17.85"/>
    <s v="份"/>
    <n v="4"/>
    <n v="71.4"/>
    <n v="0"/>
    <n v="0"/>
    <n v="0"/>
    <n v="0"/>
    <n v="0"/>
    <n v="0"/>
    <n v="0"/>
    <n v="0"/>
    <n v="5.71"/>
    <n v="0"/>
    <n v="4"/>
    <n v="68.97"/>
    <n v="3.28"/>
    <n v="65.69"/>
    <n v="1"/>
  </r>
  <r>
    <s v="2021-06-22"/>
    <s v="Vancouver"/>
    <s v="加拿大二店"/>
    <x v="1"/>
    <x v="3"/>
    <x v="33"/>
    <x v="34"/>
    <x v="35"/>
    <s v="整份"/>
    <n v="11.95"/>
    <s v="份"/>
    <n v="21"/>
    <n v="250.95"/>
    <n v="0"/>
    <n v="0"/>
    <n v="0"/>
    <n v="0"/>
    <n v="0"/>
    <n v="0"/>
    <n v="0"/>
    <n v="0"/>
    <n v="28.22"/>
    <n v="0"/>
    <n v="21"/>
    <n v="233.86"/>
    <n v="11.13"/>
    <n v="222.73"/>
    <n v="1"/>
  </r>
  <r>
    <s v="2021-06-22"/>
    <s v="Vancouver"/>
    <s v="加拿大二店"/>
    <x v="5"/>
    <x v="12"/>
    <x v="34"/>
    <x v="35"/>
    <x v="36"/>
    <s v="整份"/>
    <n v="11.95"/>
    <s v="份"/>
    <n v="8"/>
    <n v="95.6"/>
    <n v="0"/>
    <n v="0"/>
    <n v="0"/>
    <n v="0"/>
    <n v="0"/>
    <n v="0"/>
    <n v="0"/>
    <n v="0"/>
    <n v="14.81"/>
    <n v="0"/>
    <n v="8"/>
    <n v="84.82"/>
    <n v="4.03"/>
    <n v="80.79"/>
    <n v="1"/>
  </r>
  <r>
    <s v="2021-06-22"/>
    <s v="Vancouver"/>
    <s v="加拿大二店"/>
    <x v="5"/>
    <x v="12"/>
    <x v="35"/>
    <x v="36"/>
    <x v="37"/>
    <s v="条"/>
    <n v="4.95"/>
    <s v="条"/>
    <n v="10"/>
    <n v="49.5"/>
    <n v="0"/>
    <n v="0"/>
    <n v="0"/>
    <n v="0"/>
    <n v="0"/>
    <n v="0"/>
    <n v="0"/>
    <n v="0"/>
    <n v="4.09"/>
    <n v="0"/>
    <n v="10"/>
    <n v="47.68"/>
    <n v="2.27"/>
    <n v="45.41"/>
    <n v="1"/>
  </r>
  <r>
    <s v="2021-06-22"/>
    <s v="Vancouver"/>
    <s v="加拿大二店"/>
    <x v="5"/>
    <x v="12"/>
    <x v="36"/>
    <x v="37"/>
    <x v="38"/>
    <s v="整份"/>
    <n v="13.95"/>
    <s v="份"/>
    <n v="11"/>
    <n v="153.45"/>
    <n v="0"/>
    <n v="0"/>
    <n v="0"/>
    <n v="0"/>
    <n v="0"/>
    <n v="0"/>
    <n v="0"/>
    <n v="0"/>
    <n v="14.23"/>
    <n v="0"/>
    <n v="11"/>
    <n v="146.18"/>
    <n v="6.96"/>
    <n v="139.22"/>
    <n v="1"/>
  </r>
  <r>
    <s v="2021-06-22"/>
    <s v="Vancouver"/>
    <s v="加拿大二店"/>
    <x v="5"/>
    <x v="12"/>
    <x v="37"/>
    <x v="38"/>
    <x v="39"/>
    <s v="整份"/>
    <n v="9.95"/>
    <s v="份"/>
    <n v="21"/>
    <n v="208.95"/>
    <n v="0"/>
    <n v="0"/>
    <n v="0"/>
    <n v="0"/>
    <n v="0"/>
    <n v="0"/>
    <n v="0"/>
    <n v="0"/>
    <n v="12.16"/>
    <n v="0"/>
    <n v="21"/>
    <n v="206.62"/>
    <n v="9.83"/>
    <n v="196.79"/>
    <n v="1"/>
  </r>
  <r>
    <s v="2021-06-22"/>
    <s v="Vancouver"/>
    <s v="加拿大二店"/>
    <x v="5"/>
    <x v="12"/>
    <x v="38"/>
    <x v="39"/>
    <x v="40"/>
    <s v="整份"/>
    <n v="9.95"/>
    <s v="份"/>
    <n v="1"/>
    <n v="9.95"/>
    <n v="0"/>
    <n v="0"/>
    <n v="0"/>
    <n v="0"/>
    <n v="0"/>
    <n v="0"/>
    <n v="0"/>
    <n v="0"/>
    <n v="1.99"/>
    <n v="0"/>
    <n v="1"/>
    <n v="8.35"/>
    <n v="0.39"/>
    <n v="7.96"/>
    <n v="1"/>
  </r>
  <r>
    <s v="2021-06-22"/>
    <s v="Vancouver"/>
    <s v="加拿大二店"/>
    <x v="6"/>
    <x v="13"/>
    <x v="39"/>
    <x v="40"/>
    <x v="41"/>
    <s v="整份"/>
    <n v="8.95"/>
    <s v="份"/>
    <n v="19"/>
    <n v="170.05"/>
    <n v="0"/>
    <n v="0"/>
    <n v="0"/>
    <n v="0"/>
    <n v="1"/>
    <n v="8.95"/>
    <n v="0"/>
    <n v="0"/>
    <n v="3.58"/>
    <n v="0"/>
    <n v="18"/>
    <n v="165.39"/>
    <n v="7.87"/>
    <n v="157.52"/>
    <n v="1"/>
  </r>
  <r>
    <s v="2021-06-22"/>
    <s v="Vancouver"/>
    <s v="加拿大二店"/>
    <x v="5"/>
    <x v="12"/>
    <x v="40"/>
    <x v="41"/>
    <x v="42"/>
    <s v="整份"/>
    <n v="9.95"/>
    <s v="份"/>
    <n v="3"/>
    <n v="29.85"/>
    <n v="0"/>
    <n v="0"/>
    <n v="0"/>
    <n v="0"/>
    <n v="0"/>
    <n v="0"/>
    <n v="0"/>
    <n v="0"/>
    <n v="3.18"/>
    <n v="0"/>
    <n v="3"/>
    <n v="28"/>
    <n v="1.33"/>
    <n v="26.67"/>
    <n v="1"/>
  </r>
  <r>
    <s v="2021-06-22"/>
    <s v="Vancouver"/>
    <s v="加拿大二店"/>
    <x v="1"/>
    <x v="6"/>
    <x v="131"/>
    <x v="125"/>
    <x v="136"/>
    <s v="整份"/>
    <n v="28.95"/>
    <s v="份"/>
    <n v="2"/>
    <n v="57.9"/>
    <n v="0"/>
    <n v="0"/>
    <n v="0"/>
    <n v="0"/>
    <n v="0"/>
    <n v="0"/>
    <n v="0"/>
    <n v="-0.02"/>
    <n v="3.47"/>
    <n v="0"/>
    <n v="2"/>
    <n v="57.71"/>
    <n v="3.26"/>
    <n v="54.45"/>
    <n v="1"/>
  </r>
  <r>
    <s v="2021-06-22"/>
    <s v="Vancouver"/>
    <s v="加拿大二店"/>
    <x v="5"/>
    <x v="12"/>
    <x v="41"/>
    <x v="42"/>
    <x v="43"/>
    <s v="整份"/>
    <n v="7.95"/>
    <s v="份"/>
    <n v="10"/>
    <n v="79.5"/>
    <n v="1"/>
    <n v="7.95"/>
    <n v="0"/>
    <n v="0"/>
    <n v="0"/>
    <n v="0"/>
    <n v="0"/>
    <n v="0"/>
    <n v="3.98"/>
    <n v="0"/>
    <n v="9"/>
    <n v="70.94"/>
    <n v="3.37"/>
    <n v="67.57"/>
    <n v="1"/>
  </r>
  <r>
    <s v="2021-06-22"/>
    <s v="Vancouver"/>
    <s v="加拿大二店"/>
    <x v="3"/>
    <x v="5"/>
    <x v="43"/>
    <x v="44"/>
    <x v="45"/>
    <s v="整份"/>
    <n v="3.95"/>
    <s v="份"/>
    <n v="9"/>
    <n v="35.55"/>
    <n v="0"/>
    <n v="0"/>
    <n v="0"/>
    <n v="0"/>
    <n v="0"/>
    <n v="0"/>
    <n v="0"/>
    <n v="0"/>
    <n v="2.52"/>
    <n v="0"/>
    <n v="9"/>
    <n v="34.68"/>
    <n v="1.65"/>
    <n v="33.03"/>
    <n v="1"/>
  </r>
  <r>
    <s v="2021-06-22"/>
    <s v="Vancouver"/>
    <s v="加拿大二店"/>
    <x v="7"/>
    <x v="14"/>
    <x v="44"/>
    <x v="45"/>
    <x v="46"/>
    <s v="整份"/>
    <n v="0"/>
    <s v="份"/>
    <n v="12"/>
    <n v="0"/>
    <n v="0"/>
    <n v="0"/>
    <n v="0"/>
    <n v="0"/>
    <n v="0"/>
    <n v="0"/>
    <n v="0"/>
    <n v="0"/>
    <n v="0"/>
    <n v="0"/>
    <n v="12"/>
    <n v="0"/>
    <n v="0"/>
    <n v="0"/>
    <n v="1"/>
  </r>
  <r>
    <s v="2021-06-22"/>
    <s v="Vancouver"/>
    <s v="加拿大二店"/>
    <x v="7"/>
    <x v="14"/>
    <x v="45"/>
    <x v="46"/>
    <x v="47"/>
    <s v="整份"/>
    <n v="1.5"/>
    <s v="份"/>
    <n v="3"/>
    <n v="4.5"/>
    <n v="0"/>
    <n v="0"/>
    <n v="0"/>
    <n v="0"/>
    <n v="0"/>
    <n v="0"/>
    <n v="0"/>
    <n v="0"/>
    <n v="0"/>
    <n v="0"/>
    <n v="3"/>
    <n v="4.72"/>
    <n v="0.22"/>
    <n v="4.5"/>
    <n v="1"/>
  </r>
  <r>
    <s v="2021-06-22"/>
    <s v="Vancouver"/>
    <s v="加拿大二店"/>
    <x v="7"/>
    <x v="14"/>
    <x v="45"/>
    <x v="46"/>
    <x v="47"/>
    <s v="整份"/>
    <n v="3"/>
    <s v="份"/>
    <n v="1"/>
    <n v="3"/>
    <n v="0"/>
    <n v="0"/>
    <n v="0"/>
    <n v="0"/>
    <n v="0"/>
    <n v="0"/>
    <n v="0"/>
    <n v="0.01"/>
    <n v="0"/>
    <n v="0"/>
    <n v="1"/>
    <n v="3.13"/>
    <n v="0.14"/>
    <n v="2.99"/>
    <n v="1"/>
  </r>
  <r>
    <s v="2021-06-22"/>
    <s v="Vancouver"/>
    <s v="加拿大二店"/>
    <x v="7"/>
    <x v="14"/>
    <x v="45"/>
    <x v="46"/>
    <x v="47"/>
    <s v="整份"/>
    <n v="12.99"/>
    <s v="份"/>
    <n v="6"/>
    <n v="77.94"/>
    <n v="0"/>
    <n v="0"/>
    <n v="0"/>
    <n v="0"/>
    <n v="0"/>
    <n v="0"/>
    <n v="0"/>
    <n v="0"/>
    <n v="0"/>
    <n v="0"/>
    <n v="6"/>
    <n v="81.83"/>
    <n v="3.89"/>
    <n v="77.94"/>
    <n v="1"/>
  </r>
  <r>
    <s v="2021-06-22"/>
    <s v="Vancouver"/>
    <s v="加拿大二店"/>
    <x v="7"/>
    <x v="14"/>
    <x v="45"/>
    <x v="46"/>
    <x v="47"/>
    <s v="整份"/>
    <n v="26.25"/>
    <s v="份"/>
    <n v="1"/>
    <n v="26.25"/>
    <n v="0"/>
    <n v="0"/>
    <n v="0"/>
    <n v="0"/>
    <n v="0"/>
    <n v="0"/>
    <n v="0"/>
    <n v="-0.02"/>
    <n v="0"/>
    <n v="0"/>
    <n v="1"/>
    <n v="27.58"/>
    <n v="1.31"/>
    <n v="26.27"/>
    <n v="1"/>
  </r>
  <r>
    <s v="2021-06-22"/>
    <s v="Vancouver"/>
    <s v="加拿大二店"/>
    <x v="7"/>
    <x v="14"/>
    <x v="45"/>
    <x v="46"/>
    <x v="47"/>
    <s v="整份"/>
    <n v="27.79"/>
    <s v="份"/>
    <n v="1"/>
    <n v="27.79"/>
    <n v="0"/>
    <n v="0"/>
    <n v="0"/>
    <n v="0"/>
    <n v="0"/>
    <n v="0"/>
    <n v="0"/>
    <n v="0.02"/>
    <n v="0"/>
    <n v="0"/>
    <n v="1"/>
    <n v="29.15"/>
    <n v="1.38"/>
    <n v="27.77"/>
    <n v="1"/>
  </r>
  <r>
    <s v="2021-06-22"/>
    <s v="Vancouver"/>
    <s v="加拿大二店"/>
    <x v="7"/>
    <x v="14"/>
    <x v="45"/>
    <x v="46"/>
    <x v="47"/>
    <s v="整份"/>
    <n v="28.95"/>
    <s v="份"/>
    <n v="1"/>
    <n v="28.95"/>
    <n v="0"/>
    <n v="0"/>
    <n v="0"/>
    <n v="0"/>
    <n v="0"/>
    <n v="0"/>
    <n v="0"/>
    <n v="0.01"/>
    <n v="0"/>
    <n v="0"/>
    <n v="1"/>
    <n v="30.38"/>
    <n v="1.44"/>
    <n v="28.94"/>
    <n v="1"/>
  </r>
  <r>
    <s v="2021-06-22"/>
    <s v="Vancouver"/>
    <s v="加拿大二店"/>
    <x v="7"/>
    <x v="14"/>
    <x v="45"/>
    <x v="46"/>
    <x v="47"/>
    <s v="整份"/>
    <n v="30.74"/>
    <s v="份"/>
    <n v="1"/>
    <n v="30.74"/>
    <n v="0"/>
    <n v="0"/>
    <n v="0"/>
    <n v="0"/>
    <n v="0"/>
    <n v="0"/>
    <n v="0"/>
    <n v="-0.01"/>
    <n v="0"/>
    <n v="0"/>
    <n v="1"/>
    <n v="32.28"/>
    <n v="1.53"/>
    <n v="30.75"/>
    <n v="1"/>
  </r>
  <r>
    <s v="2021-06-22"/>
    <s v="Vancouver"/>
    <s v="加拿大二店"/>
    <x v="7"/>
    <x v="14"/>
    <x v="45"/>
    <x v="46"/>
    <x v="47"/>
    <s v="整份"/>
    <n v="31.69"/>
    <s v="份"/>
    <n v="1"/>
    <n v="31.69"/>
    <n v="0"/>
    <n v="0"/>
    <n v="0"/>
    <n v="0"/>
    <n v="0"/>
    <n v="0"/>
    <n v="0"/>
    <n v="-0.01"/>
    <n v="0"/>
    <n v="0"/>
    <n v="1"/>
    <n v="33.28"/>
    <n v="1.58"/>
    <n v="31.7"/>
    <n v="1"/>
  </r>
  <r>
    <s v="2021-06-22"/>
    <s v="Vancouver"/>
    <s v="加拿大二店"/>
    <x v="7"/>
    <x v="14"/>
    <x v="45"/>
    <x v="46"/>
    <x v="47"/>
    <s v="整份"/>
    <n v="37.59"/>
    <s v="份"/>
    <n v="1"/>
    <n v="37.59"/>
    <n v="0"/>
    <n v="0"/>
    <n v="0"/>
    <n v="0"/>
    <n v="0"/>
    <n v="0"/>
    <n v="0"/>
    <n v="0.02"/>
    <n v="0"/>
    <n v="0"/>
    <n v="1"/>
    <n v="39.44"/>
    <n v="1.87"/>
    <n v="37.57"/>
    <n v="1"/>
  </r>
  <r>
    <s v="2021-06-22"/>
    <s v="Vancouver"/>
    <s v="加拿大二店"/>
    <x v="7"/>
    <x v="14"/>
    <x v="45"/>
    <x v="46"/>
    <x v="47"/>
    <s v="整份"/>
    <n v="45.94"/>
    <s v="份"/>
    <n v="1"/>
    <n v="45.94"/>
    <n v="0"/>
    <n v="0"/>
    <n v="0"/>
    <n v="0"/>
    <n v="0"/>
    <n v="0"/>
    <n v="0"/>
    <n v="-0.01"/>
    <n v="0"/>
    <n v="0"/>
    <n v="1"/>
    <n v="48.24"/>
    <n v="2.29"/>
    <n v="45.95"/>
    <n v="1"/>
  </r>
  <r>
    <s v="2021-06-22"/>
    <s v="Vancouver"/>
    <s v="加拿大二店"/>
    <x v="7"/>
    <x v="14"/>
    <x v="45"/>
    <x v="46"/>
    <x v="47"/>
    <s v="整份"/>
    <n v="50.84"/>
    <s v="份"/>
    <n v="1"/>
    <n v="50.84"/>
    <n v="0"/>
    <n v="0"/>
    <n v="0"/>
    <n v="0"/>
    <n v="0"/>
    <n v="0"/>
    <n v="0"/>
    <n v="-0.01"/>
    <n v="0"/>
    <n v="0"/>
    <n v="1"/>
    <n v="53.39"/>
    <n v="2.54"/>
    <n v="50.85"/>
    <n v="1"/>
  </r>
  <r>
    <s v="2021-06-22"/>
    <s v="Vancouver"/>
    <s v="加拿大二店"/>
    <x v="7"/>
    <x v="14"/>
    <x v="45"/>
    <x v="46"/>
    <x v="47"/>
    <s v="整份"/>
    <n v="58.81"/>
    <s v="份"/>
    <n v="1"/>
    <n v="58.81"/>
    <n v="0"/>
    <n v="0"/>
    <n v="0"/>
    <n v="0"/>
    <n v="0"/>
    <n v="0"/>
    <n v="0"/>
    <n v="-0.01"/>
    <n v="0"/>
    <n v="0"/>
    <n v="1"/>
    <n v="61.76"/>
    <n v="2.94"/>
    <n v="58.82"/>
    <n v="1"/>
  </r>
  <r>
    <s v="2021-06-22"/>
    <s v="Vancouver"/>
    <s v="加拿大二店"/>
    <x v="7"/>
    <x v="14"/>
    <x v="45"/>
    <x v="46"/>
    <x v="47"/>
    <s v="整份"/>
    <n v="82.89"/>
    <s v="份"/>
    <n v="1"/>
    <n v="82.89"/>
    <n v="0"/>
    <n v="0"/>
    <n v="0"/>
    <n v="0"/>
    <n v="0"/>
    <n v="0"/>
    <n v="0"/>
    <n v="-0.01"/>
    <n v="0"/>
    <n v="0"/>
    <n v="1"/>
    <n v="87.04"/>
    <n v="4.14"/>
    <n v="82.9"/>
    <n v="1"/>
  </r>
  <r>
    <s v="2021-06-22"/>
    <s v="Vancouver"/>
    <s v="加拿大二店"/>
    <x v="2"/>
    <x v="4"/>
    <x v="46"/>
    <x v="47"/>
    <x v="48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22"/>
    <s v="Vancouver"/>
    <s v="加拿大二店"/>
    <x v="2"/>
    <x v="4"/>
    <x v="47"/>
    <x v="48"/>
    <x v="49"/>
    <s v="冰镇"/>
    <n v="2.95"/>
    <s v="听"/>
    <n v="4"/>
    <n v="11.8"/>
    <n v="0"/>
    <n v="0"/>
    <n v="0"/>
    <n v="0"/>
    <n v="0"/>
    <n v="0"/>
    <n v="0"/>
    <n v="0"/>
    <n v="0"/>
    <n v="0"/>
    <n v="4"/>
    <n v="13.21"/>
    <n v="1.41"/>
    <n v="11.8"/>
    <n v="1"/>
  </r>
  <r>
    <s v="2021-06-22"/>
    <s v="Vancouver"/>
    <s v="加拿大二店"/>
    <x v="6"/>
    <x v="13"/>
    <x v="48"/>
    <x v="49"/>
    <x v="50"/>
    <s v="整份"/>
    <n v="4.95"/>
    <s v="份"/>
    <n v="6"/>
    <n v="29.7"/>
    <n v="0"/>
    <n v="0"/>
    <n v="0"/>
    <n v="0"/>
    <n v="0"/>
    <n v="0"/>
    <n v="0"/>
    <n v="0"/>
    <n v="0.59"/>
    <n v="0"/>
    <n v="6"/>
    <n v="30.56"/>
    <n v="1.45"/>
    <n v="29.11"/>
    <n v="1"/>
  </r>
  <r>
    <s v="2021-06-22"/>
    <s v="Vancouver"/>
    <s v="加拿大二店"/>
    <x v="3"/>
    <x v="7"/>
    <x v="49"/>
    <x v="50"/>
    <x v="51"/>
    <s v="整份"/>
    <n v="4.95"/>
    <s v="份"/>
    <n v="6"/>
    <n v="29.7"/>
    <n v="0"/>
    <n v="0"/>
    <n v="0"/>
    <n v="0"/>
    <n v="0"/>
    <n v="0"/>
    <n v="0"/>
    <n v="0"/>
    <n v="1.98"/>
    <n v="0"/>
    <n v="6"/>
    <n v="29.1"/>
    <n v="1.38"/>
    <n v="27.72"/>
    <n v="1"/>
  </r>
  <r>
    <s v="2021-06-22"/>
    <s v="Vancouver"/>
    <s v="加拿大二店"/>
    <x v="6"/>
    <x v="15"/>
    <x v="50"/>
    <x v="51"/>
    <x v="52"/>
    <s v="份"/>
    <n v="8.95"/>
    <s v="份"/>
    <n v="1"/>
    <n v="8.95"/>
    <n v="0"/>
    <n v="0"/>
    <n v="0"/>
    <n v="0"/>
    <n v="0"/>
    <n v="0"/>
    <n v="0"/>
    <n v="0"/>
    <n v="0"/>
    <n v="0"/>
    <n v="1"/>
    <n v="9.39"/>
    <n v="0.44"/>
    <n v="8.95"/>
    <n v="1"/>
  </r>
  <r>
    <s v="2021-06-22"/>
    <s v="Vancouver"/>
    <s v="加拿大二店"/>
    <x v="1"/>
    <x v="6"/>
    <x v="113"/>
    <x v="107"/>
    <x v="117"/>
    <s v="整份"/>
    <n v="28.95"/>
    <s v="份"/>
    <n v="1"/>
    <n v="28.95"/>
    <n v="0"/>
    <n v="0"/>
    <n v="0"/>
    <n v="0"/>
    <n v="0"/>
    <n v="0"/>
    <n v="0"/>
    <n v="0"/>
    <n v="8.7"/>
    <n v="0"/>
    <n v="1"/>
    <n v="21.26"/>
    <n v="1.01"/>
    <n v="20.25"/>
    <n v="1"/>
  </r>
  <r>
    <s v="2021-06-22"/>
    <s v="Vancouver"/>
    <s v="加拿大二店"/>
    <x v="3"/>
    <x v="5"/>
    <x v="51"/>
    <x v="52"/>
    <x v="53"/>
    <s v="整份"/>
    <n v="3.95"/>
    <s v="份"/>
    <n v="7"/>
    <n v="27.65"/>
    <n v="0"/>
    <n v="0"/>
    <n v="0"/>
    <n v="0"/>
    <n v="0"/>
    <n v="0"/>
    <n v="0"/>
    <n v="0"/>
    <n v="2.05"/>
    <n v="0"/>
    <n v="7"/>
    <n v="26.88"/>
    <n v="1.28"/>
    <n v="25.6"/>
    <n v="1"/>
  </r>
  <r>
    <s v="2021-06-22"/>
    <s v="Vancouver"/>
    <s v="加拿大二店"/>
    <x v="3"/>
    <x v="5"/>
    <x v="52"/>
    <x v="53"/>
    <x v="54"/>
    <s v="整份"/>
    <n v="5.95"/>
    <s v="份"/>
    <n v="7"/>
    <n v="41.65"/>
    <n v="0"/>
    <n v="0"/>
    <n v="0"/>
    <n v="0"/>
    <n v="0"/>
    <n v="0"/>
    <n v="0"/>
    <n v="-0.03"/>
    <n v="0"/>
    <n v="0"/>
    <n v="7"/>
    <n v="43.76"/>
    <n v="2.08"/>
    <n v="41.68"/>
    <n v="1"/>
  </r>
  <r>
    <s v="2021-06-22"/>
    <s v="Vancouver"/>
    <s v="加拿大二店"/>
    <x v="4"/>
    <x v="9"/>
    <x v="53"/>
    <x v="0"/>
    <x v="55"/>
    <s v="拼锅"/>
    <n v="0"/>
    <s v="锅"/>
    <n v="9"/>
    <n v="0"/>
    <n v="1"/>
    <n v="0"/>
    <n v="0"/>
    <n v="0"/>
    <n v="0"/>
    <n v="0"/>
    <n v="0"/>
    <n v="0.03"/>
    <n v="0"/>
    <n v="0"/>
    <n v="8"/>
    <n v="-0.03"/>
    <n v="-0.01"/>
    <n v="-0.02"/>
    <n v="2"/>
  </r>
  <r>
    <s v="2021-06-22"/>
    <s v="Vancouver"/>
    <s v="加拿大二店"/>
    <x v="4"/>
    <x v="10"/>
    <x v="53"/>
    <x v="0"/>
    <x v="55"/>
    <s v="四宫格"/>
    <n v="0"/>
    <s v="锅"/>
    <n v="14"/>
    <n v="0"/>
    <n v="0"/>
    <n v="0"/>
    <n v="0"/>
    <n v="0"/>
    <n v="0"/>
    <n v="0"/>
    <n v="0"/>
    <n v="0.02"/>
    <n v="0"/>
    <n v="0"/>
    <n v="14"/>
    <n v="-0.02"/>
    <n v="-0.01"/>
    <n v="-0.01"/>
    <n v="1"/>
  </r>
  <r>
    <s v="2021-06-22"/>
    <s v="Vancouver"/>
    <s v="加拿大二店"/>
    <x v="6"/>
    <x v="13"/>
    <x v="54"/>
    <x v="54"/>
    <x v="56"/>
    <s v="个"/>
    <n v="1.95"/>
    <s v="个"/>
    <n v="3"/>
    <n v="5.85"/>
    <n v="0"/>
    <n v="0"/>
    <n v="0"/>
    <n v="0"/>
    <n v="3"/>
    <n v="5.85"/>
    <n v="0"/>
    <n v="0"/>
    <n v="0"/>
    <n v="0"/>
    <n v="0"/>
    <n v="0"/>
    <n v="0"/>
    <n v="0"/>
    <n v="1"/>
  </r>
  <r>
    <s v="2021-06-22"/>
    <s v="Vancouver"/>
    <s v="加拿大二店"/>
    <x v="6"/>
    <x v="13"/>
    <x v="114"/>
    <x v="108"/>
    <x v="118"/>
    <s v="整份"/>
    <n v="7.95"/>
    <s v="份"/>
    <n v="3"/>
    <n v="23.85"/>
    <n v="0"/>
    <n v="0"/>
    <n v="0"/>
    <n v="0"/>
    <n v="0"/>
    <n v="0"/>
    <n v="0"/>
    <n v="0.02"/>
    <n v="5.56"/>
    <n v="0"/>
    <n v="3"/>
    <n v="19.18"/>
    <n v="0.91"/>
    <n v="18.27"/>
    <n v="1"/>
  </r>
  <r>
    <s v="2021-06-22"/>
    <s v="Vancouver"/>
    <s v="加拿大二店"/>
    <x v="1"/>
    <x v="8"/>
    <x v="55"/>
    <x v="55"/>
    <x v="57"/>
    <s v="整份"/>
    <n v="9.95"/>
    <s v="份"/>
    <n v="6"/>
    <n v="59.7"/>
    <n v="0"/>
    <n v="0"/>
    <n v="0"/>
    <n v="0"/>
    <n v="0"/>
    <n v="0"/>
    <n v="0"/>
    <n v="0"/>
    <n v="7.96"/>
    <n v="0"/>
    <n v="6"/>
    <n v="54.32"/>
    <n v="2.58"/>
    <n v="51.74"/>
    <n v="1"/>
  </r>
  <r>
    <s v="2021-06-22"/>
    <s v="Vancouver"/>
    <s v="加拿大二店"/>
    <x v="1"/>
    <x v="1"/>
    <x v="56"/>
    <x v="56"/>
    <x v="58"/>
    <s v="整份"/>
    <n v="12.95"/>
    <s v="份"/>
    <n v="11"/>
    <n v="142.45"/>
    <n v="0"/>
    <n v="0"/>
    <n v="0"/>
    <n v="0"/>
    <n v="0"/>
    <n v="0"/>
    <n v="0"/>
    <n v="0"/>
    <n v="8.28"/>
    <n v="0"/>
    <n v="11"/>
    <n v="140.87"/>
    <n v="6.7"/>
    <n v="134.17"/>
    <n v="1"/>
  </r>
  <r>
    <s v="2021-06-22"/>
    <s v="Vancouver"/>
    <s v="加拿大二店"/>
    <x v="1"/>
    <x v="1"/>
    <x v="57"/>
    <x v="57"/>
    <x v="59"/>
    <s v="整份"/>
    <n v="11.95"/>
    <s v="份"/>
    <n v="28"/>
    <n v="334.6"/>
    <n v="0"/>
    <n v="0"/>
    <n v="0"/>
    <n v="0"/>
    <n v="0"/>
    <n v="0"/>
    <n v="0"/>
    <n v="0.01"/>
    <n v="20.79"/>
    <n v="0"/>
    <n v="28"/>
    <n v="329.49"/>
    <n v="15.69"/>
    <n v="313.8"/>
    <n v="1"/>
  </r>
  <r>
    <s v="2021-06-22"/>
    <s v="Vancouver"/>
    <s v="加拿大二店"/>
    <x v="4"/>
    <x v="16"/>
    <x v="58"/>
    <x v="0"/>
    <x v="60"/>
    <s v="单锅"/>
    <n v="16.95"/>
    <s v="锅"/>
    <n v="1"/>
    <n v="16.95"/>
    <n v="0"/>
    <n v="0"/>
    <n v="0"/>
    <n v="0"/>
    <n v="0"/>
    <n v="0"/>
    <n v="0"/>
    <n v="0"/>
    <n v="0"/>
    <n v="0"/>
    <n v="1"/>
    <n v="17.79"/>
    <n v="0.84"/>
    <n v="16.95"/>
    <n v="4"/>
  </r>
  <r>
    <s v="2021-06-22"/>
    <s v="Vancouver"/>
    <s v="加拿大二店"/>
    <x v="4"/>
    <x v="9"/>
    <x v="58"/>
    <x v="0"/>
    <x v="60"/>
    <s v="拼锅"/>
    <n v="8.95"/>
    <s v="锅"/>
    <n v="7"/>
    <n v="62.65"/>
    <n v="0"/>
    <n v="0"/>
    <n v="0"/>
    <n v="0"/>
    <n v="0"/>
    <n v="0"/>
    <n v="0"/>
    <n v="0"/>
    <n v="0.01"/>
    <n v="0"/>
    <n v="7"/>
    <n v="65.77"/>
    <n v="3.13"/>
    <n v="62.64"/>
    <n v="2"/>
  </r>
  <r>
    <s v="2021-06-22"/>
    <s v="Vancouver"/>
    <s v="加拿大二店"/>
    <x v="4"/>
    <x v="10"/>
    <x v="58"/>
    <x v="0"/>
    <x v="60"/>
    <s v="四宫格"/>
    <n v="4.95"/>
    <s v="锅"/>
    <n v="5"/>
    <n v="24.75"/>
    <n v="0"/>
    <n v="0"/>
    <n v="0"/>
    <n v="0"/>
    <n v="0"/>
    <n v="0"/>
    <n v="0"/>
    <n v="0"/>
    <n v="3.46"/>
    <n v="0"/>
    <n v="5"/>
    <n v="22.35"/>
    <n v="1.06"/>
    <n v="21.29"/>
    <n v="1"/>
  </r>
  <r>
    <s v="2021-06-22"/>
    <s v="Vancouver"/>
    <s v="加拿大二店"/>
    <x v="3"/>
    <x v="5"/>
    <x v="59"/>
    <x v="58"/>
    <x v="61"/>
    <s v="整份"/>
    <n v="4.95"/>
    <s v="份"/>
    <n v="8"/>
    <n v="39.6"/>
    <n v="0"/>
    <n v="0"/>
    <n v="0"/>
    <n v="0"/>
    <n v="0"/>
    <n v="0"/>
    <n v="0"/>
    <n v="0"/>
    <n v="1.98"/>
    <n v="0"/>
    <n v="8"/>
    <n v="39.5"/>
    <n v="1.88"/>
    <n v="37.62"/>
    <n v="1"/>
  </r>
  <r>
    <s v="2021-06-22"/>
    <s v="Vancouver"/>
    <s v="加拿大二店"/>
    <x v="2"/>
    <x v="4"/>
    <x v="60"/>
    <x v="59"/>
    <x v="62"/>
    <s v="冰镇"/>
    <n v="6.95"/>
    <s v="扎"/>
    <n v="2"/>
    <n v="13.9"/>
    <n v="0"/>
    <n v="0"/>
    <n v="0"/>
    <n v="0"/>
    <n v="0"/>
    <n v="0"/>
    <n v="0"/>
    <n v="0"/>
    <n v="0"/>
    <n v="0"/>
    <n v="2"/>
    <n v="15.56"/>
    <n v="1.66"/>
    <n v="13.9"/>
    <n v="1"/>
  </r>
  <r>
    <s v="2021-06-22"/>
    <s v="Vancouver"/>
    <s v="加拿大二店"/>
    <x v="6"/>
    <x v="13"/>
    <x v="61"/>
    <x v="60"/>
    <x v="63"/>
    <s v="整份"/>
    <n v="3.95"/>
    <s v="包"/>
    <n v="7"/>
    <n v="27.65"/>
    <n v="0"/>
    <n v="0"/>
    <n v="0"/>
    <n v="0"/>
    <n v="0"/>
    <n v="0"/>
    <n v="0"/>
    <n v="0"/>
    <n v="1.26"/>
    <n v="0"/>
    <n v="7"/>
    <n v="27.7"/>
    <n v="1.31"/>
    <n v="26.39"/>
    <n v="1"/>
  </r>
  <r>
    <s v="2021-06-22"/>
    <s v="Vancouver"/>
    <s v="加拿大二店"/>
    <x v="1"/>
    <x v="8"/>
    <x v="116"/>
    <x v="110"/>
    <x v="120"/>
    <s v="个"/>
    <n v="0.95"/>
    <s v="个"/>
    <n v="2"/>
    <n v="1.9"/>
    <n v="0"/>
    <n v="0"/>
    <n v="0"/>
    <n v="0"/>
    <n v="0"/>
    <n v="0"/>
    <n v="0"/>
    <n v="0"/>
    <n v="0.19"/>
    <n v="0"/>
    <n v="2"/>
    <n v="1.79"/>
    <n v="0.08"/>
    <n v="1.71"/>
    <n v="1"/>
  </r>
  <r>
    <s v="2021-06-22"/>
    <s v="Vancouver"/>
    <s v="加拿大二店"/>
    <x v="4"/>
    <x v="9"/>
    <x v="62"/>
    <x v="0"/>
    <x v="64"/>
    <s v="拼锅"/>
    <n v="8.95"/>
    <s v="锅"/>
    <n v="15"/>
    <n v="134.25"/>
    <n v="1"/>
    <n v="8.95"/>
    <n v="0"/>
    <n v="0"/>
    <n v="0"/>
    <n v="0"/>
    <n v="0"/>
    <n v="0.02"/>
    <n v="1.79"/>
    <n v="0"/>
    <n v="14"/>
    <n v="129.66"/>
    <n v="6.17"/>
    <n v="123.49"/>
    <n v="2"/>
  </r>
  <r>
    <s v="2021-06-22"/>
    <s v="Vancouver"/>
    <s v="加拿大二店"/>
    <x v="4"/>
    <x v="10"/>
    <x v="62"/>
    <x v="0"/>
    <x v="64"/>
    <s v="四宫格"/>
    <n v="4.95"/>
    <s v="锅"/>
    <n v="8"/>
    <n v="39.6"/>
    <n v="0"/>
    <n v="0"/>
    <n v="0"/>
    <n v="0"/>
    <n v="0"/>
    <n v="0"/>
    <n v="0"/>
    <n v="0"/>
    <n v="4.45"/>
    <n v="0"/>
    <n v="8"/>
    <n v="36.9"/>
    <n v="1.75"/>
    <n v="35.15"/>
    <n v="1"/>
  </r>
  <r>
    <s v="2021-06-22"/>
    <s v="Vancouver"/>
    <s v="加拿大二店"/>
    <x v="6"/>
    <x v="13"/>
    <x v="63"/>
    <x v="61"/>
    <x v="65"/>
    <s v="整份"/>
    <n v="1.5"/>
    <s v="碗"/>
    <n v="7"/>
    <n v="10.5"/>
    <n v="0"/>
    <n v="0"/>
    <n v="0"/>
    <n v="0"/>
    <n v="3"/>
    <n v="4.5"/>
    <n v="0"/>
    <n v="0"/>
    <n v="0"/>
    <n v="0"/>
    <n v="4"/>
    <n v="6.3"/>
    <n v="0.3"/>
    <n v="6"/>
    <n v="1"/>
  </r>
  <r>
    <s v="2021-06-22"/>
    <s v="Vancouver"/>
    <s v="加拿大二店"/>
    <x v="3"/>
    <x v="5"/>
    <x v="64"/>
    <x v="62"/>
    <x v="66"/>
    <s v="整份"/>
    <n v="3.95"/>
    <s v="份"/>
    <n v="6"/>
    <n v="23.7"/>
    <n v="0"/>
    <n v="0"/>
    <n v="0"/>
    <n v="0"/>
    <n v="0"/>
    <n v="0"/>
    <n v="0"/>
    <n v="0"/>
    <n v="0"/>
    <n v="0"/>
    <n v="6"/>
    <n v="24.88"/>
    <n v="1.18"/>
    <n v="23.7"/>
    <n v="1"/>
  </r>
  <r>
    <s v="2021-06-22"/>
    <s v="Vancouver"/>
    <s v="加拿大二店"/>
    <x v="2"/>
    <x v="4"/>
    <x v="65"/>
    <x v="63"/>
    <x v="67"/>
    <s v="扎"/>
    <n v="8.95"/>
    <s v="扎"/>
    <n v="2"/>
    <n v="17.9"/>
    <n v="0"/>
    <n v="0"/>
    <n v="0"/>
    <n v="0"/>
    <n v="0"/>
    <n v="0"/>
    <n v="0"/>
    <n v="-0.03"/>
    <n v="0"/>
    <n v="0"/>
    <n v="2"/>
    <n v="20.08"/>
    <n v="2.15"/>
    <n v="17.93"/>
    <n v="1"/>
  </r>
  <r>
    <s v="2021-06-22"/>
    <s v="Vancouver"/>
    <s v="加拿大二店"/>
    <x v="2"/>
    <x v="4"/>
    <x v="66"/>
    <x v="64"/>
    <x v="68"/>
    <s v="扎"/>
    <n v="11.95"/>
    <s v="扎"/>
    <n v="1"/>
    <n v="11.95"/>
    <n v="0"/>
    <n v="0"/>
    <n v="0"/>
    <n v="0"/>
    <n v="0"/>
    <n v="0"/>
    <n v="0"/>
    <n v="0"/>
    <n v="0"/>
    <n v="0"/>
    <n v="1"/>
    <n v="13.38"/>
    <n v="1.43"/>
    <n v="11.95"/>
    <n v="1"/>
  </r>
  <r>
    <s v="2021-06-22"/>
    <s v="Vancouver"/>
    <s v="加拿大二店"/>
    <x v="3"/>
    <x v="5"/>
    <x v="134"/>
    <x v="128"/>
    <x v="139"/>
    <s v="整份"/>
    <n v="13.95"/>
    <s v="份"/>
    <n v="4"/>
    <n v="55.8"/>
    <n v="0"/>
    <n v="0"/>
    <n v="0"/>
    <n v="0"/>
    <n v="0"/>
    <n v="0"/>
    <n v="0"/>
    <n v="0.02"/>
    <n v="0"/>
    <n v="0"/>
    <n v="4"/>
    <n v="58.56"/>
    <n v="2.78"/>
    <n v="55.78"/>
    <n v="1"/>
  </r>
  <r>
    <s v="2021-06-22"/>
    <s v="Vancouver"/>
    <s v="加拿大二店"/>
    <x v="3"/>
    <x v="5"/>
    <x v="117"/>
    <x v="111"/>
    <x v="121"/>
    <s v="整份"/>
    <n v="4.95"/>
    <s v="份"/>
    <n v="7"/>
    <n v="34.65"/>
    <n v="0"/>
    <n v="0"/>
    <n v="0"/>
    <n v="0"/>
    <n v="0"/>
    <n v="0"/>
    <n v="0"/>
    <n v="0"/>
    <n v="3.16"/>
    <n v="0"/>
    <n v="7"/>
    <n v="33.06"/>
    <n v="1.57"/>
    <n v="31.49"/>
    <n v="1"/>
  </r>
  <r>
    <s v="2021-06-22"/>
    <s v="Vancouver"/>
    <s v="加拿大二店"/>
    <x v="3"/>
    <x v="7"/>
    <x v="67"/>
    <x v="65"/>
    <x v="69"/>
    <s v="整份"/>
    <n v="3.95"/>
    <s v="份"/>
    <n v="1"/>
    <n v="3.95"/>
    <n v="0"/>
    <n v="0"/>
    <n v="0"/>
    <n v="0"/>
    <n v="0"/>
    <n v="0"/>
    <n v="0"/>
    <n v="0"/>
    <n v="0"/>
    <n v="0"/>
    <n v="1"/>
    <n v="4.14"/>
    <n v="0.19"/>
    <n v="3.95"/>
    <n v="1"/>
  </r>
  <r>
    <s v="2021-06-22"/>
    <s v="Vancouver"/>
    <s v="加拿大二店"/>
    <x v="1"/>
    <x v="1"/>
    <x v="68"/>
    <x v="66"/>
    <x v="70"/>
    <s v="整份"/>
    <n v="8.95"/>
    <s v="份"/>
    <n v="37"/>
    <n v="331.15"/>
    <n v="0"/>
    <n v="0"/>
    <n v="0"/>
    <n v="0"/>
    <n v="0"/>
    <n v="0"/>
    <n v="0"/>
    <n v="0"/>
    <n v="14.84"/>
    <n v="0"/>
    <n v="37"/>
    <n v="332.12"/>
    <n v="15.81"/>
    <n v="316.31"/>
    <n v="1"/>
  </r>
  <r>
    <s v="2021-06-22"/>
    <s v="Vancouver"/>
    <s v="加拿大二店"/>
    <x v="1"/>
    <x v="1"/>
    <x v="69"/>
    <x v="67"/>
    <x v="71"/>
    <s v="整份"/>
    <n v="8.95"/>
    <s v="份"/>
    <n v="4"/>
    <n v="35.8"/>
    <n v="0"/>
    <n v="0"/>
    <n v="0"/>
    <n v="0"/>
    <n v="0"/>
    <n v="0"/>
    <n v="0"/>
    <n v="0"/>
    <n v="1.79"/>
    <n v="0"/>
    <n v="4"/>
    <n v="35.71"/>
    <n v="1.7"/>
    <n v="34.01"/>
    <n v="1"/>
  </r>
  <r>
    <s v="2021-06-22"/>
    <s v="Vancouver"/>
    <s v="加拿大二店"/>
    <x v="6"/>
    <x v="15"/>
    <x v="70"/>
    <x v="68"/>
    <x v="72"/>
    <s v="整份"/>
    <n v="1.5"/>
    <s v="份"/>
    <n v="10"/>
    <n v="15"/>
    <n v="0"/>
    <n v="0"/>
    <n v="0"/>
    <n v="0"/>
    <n v="0"/>
    <n v="0"/>
    <n v="0"/>
    <n v="0"/>
    <n v="0.3"/>
    <n v="0"/>
    <n v="10"/>
    <n v="15.43"/>
    <n v="0.73"/>
    <n v="14.7"/>
    <n v="1"/>
  </r>
  <r>
    <s v="2021-06-22"/>
    <s v="Vancouver"/>
    <s v="加拿大二店"/>
    <x v="4"/>
    <x v="16"/>
    <x v="71"/>
    <x v="0"/>
    <x v="73"/>
    <s v="单锅"/>
    <n v="36.95"/>
    <s v="锅"/>
    <n v="1"/>
    <n v="36.95"/>
    <n v="0"/>
    <n v="0"/>
    <n v="0"/>
    <n v="0"/>
    <n v="0"/>
    <n v="0"/>
    <n v="0"/>
    <n v="0"/>
    <n v="7.39"/>
    <n v="0"/>
    <n v="1"/>
    <n v="31.03"/>
    <n v="1.47"/>
    <n v="29.56"/>
    <n v="4"/>
  </r>
  <r>
    <s v="2021-06-22"/>
    <s v="Vancouver"/>
    <s v="加拿大二店"/>
    <x v="4"/>
    <x v="9"/>
    <x v="71"/>
    <x v="0"/>
    <x v="73"/>
    <s v="拼锅"/>
    <n v="18.95"/>
    <s v="锅"/>
    <n v="7"/>
    <n v="132.65"/>
    <n v="0"/>
    <n v="0"/>
    <n v="0"/>
    <n v="0"/>
    <n v="0"/>
    <n v="0"/>
    <n v="0"/>
    <n v="-0.02"/>
    <n v="0"/>
    <n v="0"/>
    <n v="7"/>
    <n v="139.3"/>
    <n v="6.63"/>
    <n v="132.67"/>
    <n v="2"/>
  </r>
  <r>
    <s v="2021-06-22"/>
    <s v="Vancouver"/>
    <s v="加拿大二店"/>
    <x v="4"/>
    <x v="10"/>
    <x v="71"/>
    <x v="0"/>
    <x v="73"/>
    <s v="四宫格"/>
    <n v="9.95"/>
    <s v="锅"/>
    <n v="5"/>
    <n v="49.75"/>
    <n v="0"/>
    <n v="0"/>
    <n v="0"/>
    <n v="0"/>
    <n v="0"/>
    <n v="0"/>
    <n v="0"/>
    <n v="0.02"/>
    <n v="1.99"/>
    <n v="0"/>
    <n v="5"/>
    <n v="50.12"/>
    <n v="2.38"/>
    <n v="47.74"/>
    <n v="1"/>
  </r>
  <r>
    <s v="2021-06-22"/>
    <s v="Vancouver"/>
    <s v="加拿大二店"/>
    <x v="1"/>
    <x v="8"/>
    <x v="72"/>
    <x v="69"/>
    <x v="74"/>
    <s v="个"/>
    <n v="7.95"/>
    <s v="份"/>
    <n v="3"/>
    <n v="23.85"/>
    <n v="0"/>
    <n v="0"/>
    <n v="0"/>
    <n v="0"/>
    <n v="0"/>
    <n v="0"/>
    <n v="0"/>
    <n v="0"/>
    <n v="1.59"/>
    <n v="0"/>
    <n v="3"/>
    <n v="23.37"/>
    <n v="1.11"/>
    <n v="22.26"/>
    <n v="1"/>
  </r>
  <r>
    <s v="2021-06-22"/>
    <s v="Vancouver"/>
    <s v="加拿大二店"/>
    <x v="6"/>
    <x v="13"/>
    <x v="73"/>
    <x v="70"/>
    <x v="75"/>
    <s v="份"/>
    <n v="6.95"/>
    <s v="份"/>
    <n v="3"/>
    <n v="20.85"/>
    <n v="0"/>
    <n v="0"/>
    <n v="0"/>
    <n v="0"/>
    <n v="0"/>
    <n v="0"/>
    <n v="0"/>
    <n v="0"/>
    <n v="0"/>
    <n v="0"/>
    <n v="3"/>
    <n v="21.89"/>
    <n v="1.04"/>
    <n v="20.85"/>
    <n v="1"/>
  </r>
  <r>
    <s v="2021-06-22"/>
    <s v="Vancouver"/>
    <s v="加拿大二店"/>
    <x v="4"/>
    <x v="9"/>
    <x v="74"/>
    <x v="0"/>
    <x v="76"/>
    <s v="拼锅"/>
    <n v="18.95"/>
    <s v="锅"/>
    <n v="3"/>
    <n v="56.85"/>
    <n v="0"/>
    <n v="0"/>
    <n v="0"/>
    <n v="0"/>
    <n v="0"/>
    <n v="0"/>
    <n v="0"/>
    <n v="-0.02"/>
    <n v="0"/>
    <n v="0"/>
    <n v="3"/>
    <n v="59.71"/>
    <n v="2.84"/>
    <n v="56.87"/>
    <n v="2"/>
  </r>
  <r>
    <s v="2021-06-22"/>
    <s v="Vancouver"/>
    <s v="加拿大二店"/>
    <x v="4"/>
    <x v="10"/>
    <x v="74"/>
    <x v="0"/>
    <x v="76"/>
    <s v="四宫格"/>
    <n v="9.95"/>
    <s v="锅"/>
    <n v="1"/>
    <n v="9.95"/>
    <n v="0"/>
    <n v="0"/>
    <n v="0"/>
    <n v="0"/>
    <n v="0"/>
    <n v="0"/>
    <n v="0"/>
    <n v="0"/>
    <n v="0"/>
    <n v="0"/>
    <n v="1"/>
    <n v="10.44"/>
    <n v="0.49"/>
    <n v="9.95"/>
    <n v="1"/>
  </r>
  <r>
    <s v="2021-06-22"/>
    <s v="Vancouver"/>
    <s v="加拿大二店"/>
    <x v="1"/>
    <x v="6"/>
    <x v="118"/>
    <x v="112"/>
    <x v="122"/>
    <s v="整份"/>
    <n v="28.95"/>
    <s v="份"/>
    <n v="6"/>
    <n v="173.7"/>
    <n v="0"/>
    <n v="0"/>
    <n v="0"/>
    <n v="0"/>
    <n v="0"/>
    <n v="0"/>
    <n v="0"/>
    <n v="0.01"/>
    <n v="24.31"/>
    <n v="0"/>
    <n v="6"/>
    <n v="156.84"/>
    <n v="7.46"/>
    <n v="149.38"/>
    <n v="1"/>
  </r>
  <r>
    <s v="2021-06-22"/>
    <s v="Vancouver"/>
    <s v="加拿大二店"/>
    <x v="8"/>
    <x v="17"/>
    <x v="75"/>
    <x v="71"/>
    <x v="77"/>
    <s v="整份"/>
    <n v="3.99"/>
    <s v="位"/>
    <n v="98"/>
    <n v="391.02"/>
    <n v="4"/>
    <n v="15.96"/>
    <n v="0"/>
    <n v="0"/>
    <n v="0"/>
    <n v="0"/>
    <n v="0"/>
    <n v="0.02"/>
    <n v="4.8"/>
    <n v="0"/>
    <n v="94"/>
    <n v="388.75"/>
    <n v="18.51"/>
    <n v="370.24"/>
    <n v="1"/>
  </r>
  <r>
    <s v="2021-06-22"/>
    <s v="Vancouver"/>
    <s v="加拿大二店"/>
    <x v="3"/>
    <x v="5"/>
    <x v="76"/>
    <x v="72"/>
    <x v="78"/>
    <s v="整份"/>
    <n v="3.95"/>
    <s v="份"/>
    <n v="3"/>
    <n v="11.85"/>
    <n v="0"/>
    <n v="0"/>
    <n v="0"/>
    <n v="0"/>
    <n v="0"/>
    <n v="0"/>
    <n v="0"/>
    <n v="0"/>
    <n v="3.55"/>
    <n v="0"/>
    <n v="3"/>
    <n v="8.71"/>
    <n v="0.41"/>
    <n v="8.3"/>
    <n v="1"/>
  </r>
  <r>
    <s v="2021-06-22"/>
    <s v="Vancouver"/>
    <s v="加拿大二店"/>
    <x v="1"/>
    <x v="3"/>
    <x v="77"/>
    <x v="73"/>
    <x v="79"/>
    <s v="整份"/>
    <n v="5.95"/>
    <s v="份"/>
    <n v="3"/>
    <n v="17.85"/>
    <n v="0"/>
    <n v="0"/>
    <n v="0"/>
    <n v="0"/>
    <n v="0"/>
    <n v="0"/>
    <n v="0"/>
    <n v="0"/>
    <n v="2.38"/>
    <n v="0"/>
    <n v="3"/>
    <n v="16.24"/>
    <n v="0.77"/>
    <n v="15.47"/>
    <n v="1"/>
  </r>
  <r>
    <s v="2021-06-22"/>
    <s v="Vancouver"/>
    <s v="加拿大二店"/>
    <x v="3"/>
    <x v="11"/>
    <x v="78"/>
    <x v="74"/>
    <x v="80"/>
    <s v="整份"/>
    <n v="5.95"/>
    <s v="份"/>
    <n v="11"/>
    <n v="65.45"/>
    <n v="0"/>
    <n v="0"/>
    <n v="0"/>
    <n v="0"/>
    <n v="0"/>
    <n v="0"/>
    <n v="0"/>
    <n v="0"/>
    <n v="6.77"/>
    <n v="0"/>
    <n v="11"/>
    <n v="61.61"/>
    <n v="2.93"/>
    <n v="58.68"/>
    <n v="1"/>
  </r>
  <r>
    <s v="2021-06-22"/>
    <s v="Vancouver"/>
    <s v="加拿大二店"/>
    <x v="3"/>
    <x v="11"/>
    <x v="78"/>
    <x v="75"/>
    <x v="81"/>
    <s v="半份"/>
    <n v="2.95"/>
    <s v="份"/>
    <n v="5"/>
    <n v="14.75"/>
    <n v="0"/>
    <n v="0"/>
    <n v="0"/>
    <n v="0"/>
    <n v="0"/>
    <n v="0"/>
    <n v="0"/>
    <n v="0"/>
    <n v="1.47"/>
    <n v="0"/>
    <n v="5"/>
    <n v="13.94"/>
    <n v="0.66"/>
    <n v="13.28"/>
    <n v="0.5"/>
  </r>
  <r>
    <s v="2021-06-22"/>
    <s v="Vancouver"/>
    <s v="加拿大二店"/>
    <x v="3"/>
    <x v="5"/>
    <x v="79"/>
    <x v="76"/>
    <x v="82"/>
    <s v="整份"/>
    <n v="3.95"/>
    <s v="份"/>
    <n v="7"/>
    <n v="27.65"/>
    <n v="0"/>
    <n v="0"/>
    <n v="0"/>
    <n v="0"/>
    <n v="1"/>
    <n v="3.95"/>
    <n v="0"/>
    <n v="0"/>
    <n v="1.73"/>
    <n v="0"/>
    <n v="6"/>
    <n v="23.06"/>
    <n v="1.09"/>
    <n v="21.97"/>
    <n v="1"/>
  </r>
  <r>
    <s v="2021-06-22"/>
    <s v="Vancouver"/>
    <s v="加拿大二店"/>
    <x v="3"/>
    <x v="5"/>
    <x v="80"/>
    <x v="77"/>
    <x v="83"/>
    <s v="整份"/>
    <n v="5.95"/>
    <s v="份"/>
    <n v="7"/>
    <n v="41.65"/>
    <n v="0"/>
    <n v="0"/>
    <n v="0"/>
    <n v="0"/>
    <n v="0"/>
    <n v="0"/>
    <n v="0"/>
    <n v="0"/>
    <n v="4.51"/>
    <n v="0"/>
    <n v="7"/>
    <n v="38.99"/>
    <n v="1.85"/>
    <n v="37.14"/>
    <n v="1"/>
  </r>
  <r>
    <s v="2021-06-22"/>
    <s v="Vancouver"/>
    <s v="加拿大二店"/>
    <x v="4"/>
    <x v="16"/>
    <x v="81"/>
    <x v="0"/>
    <x v="84"/>
    <s v="单锅"/>
    <n v="16.95"/>
    <s v="锅"/>
    <n v="2"/>
    <n v="33.9"/>
    <n v="0"/>
    <n v="0"/>
    <n v="0"/>
    <n v="0"/>
    <n v="0"/>
    <n v="0"/>
    <n v="0"/>
    <n v="-0.02"/>
    <n v="3.39"/>
    <n v="0"/>
    <n v="2"/>
    <n v="32.05"/>
    <n v="1.52"/>
    <n v="30.53"/>
    <n v="4"/>
  </r>
  <r>
    <s v="2021-06-22"/>
    <s v="Vancouver"/>
    <s v="加拿大二店"/>
    <x v="4"/>
    <x v="9"/>
    <x v="81"/>
    <x v="0"/>
    <x v="84"/>
    <s v="拼锅"/>
    <n v="8.95"/>
    <s v="锅"/>
    <n v="4"/>
    <n v="35.8"/>
    <n v="0"/>
    <n v="0"/>
    <n v="0"/>
    <n v="0"/>
    <n v="0"/>
    <n v="0"/>
    <n v="0"/>
    <n v="0.01"/>
    <n v="0"/>
    <n v="0"/>
    <n v="4"/>
    <n v="37.57"/>
    <n v="1.78"/>
    <n v="35.79"/>
    <n v="2"/>
  </r>
  <r>
    <s v="2021-06-22"/>
    <s v="Vancouver"/>
    <s v="加拿大二店"/>
    <x v="4"/>
    <x v="10"/>
    <x v="81"/>
    <x v="0"/>
    <x v="84"/>
    <s v="四宫格"/>
    <n v="4.95"/>
    <s v="锅"/>
    <n v="3"/>
    <n v="14.85"/>
    <n v="0"/>
    <n v="0"/>
    <n v="0"/>
    <n v="0"/>
    <n v="0"/>
    <n v="0"/>
    <n v="0"/>
    <n v="0"/>
    <n v="0.99"/>
    <n v="0"/>
    <n v="3"/>
    <n v="14.55"/>
    <n v="0.69"/>
    <n v="13.86"/>
    <n v="1"/>
  </r>
  <r>
    <s v="2021-06-22"/>
    <s v="Vancouver"/>
    <s v="加拿大二店"/>
    <x v="3"/>
    <x v="5"/>
    <x v="82"/>
    <x v="78"/>
    <x v="85"/>
    <s v="整份"/>
    <n v="12.95"/>
    <s v="份"/>
    <n v="6"/>
    <n v="77.7"/>
    <n v="0"/>
    <n v="0"/>
    <n v="0"/>
    <n v="0"/>
    <n v="0"/>
    <n v="0"/>
    <n v="0"/>
    <n v="0"/>
    <n v="6.73"/>
    <n v="0"/>
    <n v="6"/>
    <n v="74.51"/>
    <n v="3.54"/>
    <n v="70.97"/>
    <n v="1"/>
  </r>
  <r>
    <s v="2021-06-22"/>
    <s v="Vancouver"/>
    <s v="加拿大二店"/>
    <x v="3"/>
    <x v="11"/>
    <x v="83"/>
    <x v="79"/>
    <x v="86"/>
    <s v="整份"/>
    <n v="5.95"/>
    <s v="份"/>
    <n v="2"/>
    <n v="11.9"/>
    <n v="0"/>
    <n v="0"/>
    <n v="0"/>
    <n v="0"/>
    <n v="0"/>
    <n v="0"/>
    <n v="0"/>
    <n v="0"/>
    <n v="0.71"/>
    <n v="0"/>
    <n v="2"/>
    <n v="11.74"/>
    <n v="0.55"/>
    <n v="11.19"/>
    <n v="1"/>
  </r>
  <r>
    <s v="2021-06-22"/>
    <s v="Vancouver"/>
    <s v="加拿大二店"/>
    <x v="3"/>
    <x v="11"/>
    <x v="83"/>
    <x v="80"/>
    <x v="87"/>
    <s v="半份"/>
    <n v="2.95"/>
    <s v="份"/>
    <n v="4"/>
    <n v="11.8"/>
    <n v="0"/>
    <n v="0"/>
    <n v="0"/>
    <n v="0"/>
    <n v="0"/>
    <n v="0"/>
    <n v="0"/>
    <n v="0"/>
    <n v="0"/>
    <n v="0"/>
    <n v="4"/>
    <n v="12.39"/>
    <n v="0.59"/>
    <n v="11.8"/>
    <n v="0.5"/>
  </r>
  <r>
    <s v="2021-06-22"/>
    <s v="Vancouver"/>
    <s v="加拿大二店"/>
    <x v="3"/>
    <x v="11"/>
    <x v="84"/>
    <x v="81"/>
    <x v="88"/>
    <s v="整份"/>
    <n v="11.95"/>
    <s v="份"/>
    <n v="1"/>
    <n v="11.95"/>
    <n v="0"/>
    <n v="0"/>
    <n v="0"/>
    <n v="0"/>
    <n v="0"/>
    <n v="0"/>
    <n v="0"/>
    <n v="0"/>
    <n v="0"/>
    <n v="0"/>
    <n v="1"/>
    <n v="12.54"/>
    <n v="0.59"/>
    <n v="11.95"/>
    <n v="1"/>
  </r>
  <r>
    <s v="2021-06-22"/>
    <s v="Vancouver"/>
    <s v="加拿大二店"/>
    <x v="1"/>
    <x v="3"/>
    <x v="85"/>
    <x v="82"/>
    <x v="89"/>
    <s v="整份"/>
    <n v="6.95"/>
    <s v="份"/>
    <n v="3"/>
    <n v="20.85"/>
    <n v="0"/>
    <n v="0"/>
    <n v="0"/>
    <n v="0"/>
    <n v="0"/>
    <n v="0"/>
    <n v="0"/>
    <n v="0"/>
    <n v="0"/>
    <n v="0"/>
    <n v="3"/>
    <n v="21.89"/>
    <n v="1.04"/>
    <n v="20.85"/>
    <n v="1"/>
  </r>
  <r>
    <s v="2021-06-22"/>
    <s v="Vancouver"/>
    <s v="加拿大二店"/>
    <x v="6"/>
    <x v="13"/>
    <x v="86"/>
    <x v="83"/>
    <x v="90"/>
    <s v="碗"/>
    <n v="2.95"/>
    <s v="碗"/>
    <n v="6"/>
    <n v="17.7"/>
    <n v="0"/>
    <n v="0"/>
    <n v="0"/>
    <n v="0"/>
    <n v="0"/>
    <n v="0"/>
    <n v="0"/>
    <n v="0"/>
    <n v="0"/>
    <n v="0"/>
    <n v="6"/>
    <n v="18.58"/>
    <n v="0.88"/>
    <n v="17.7"/>
    <n v="1"/>
  </r>
  <r>
    <s v="2021-06-22"/>
    <s v="Vancouver"/>
    <s v="加拿大二店"/>
    <x v="2"/>
    <x v="4"/>
    <x v="87"/>
    <x v="84"/>
    <x v="91"/>
    <s v="常温"/>
    <n v="2.95"/>
    <s v="扎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22"/>
    <s v="Vancouver"/>
    <s v="加拿大二店"/>
    <x v="2"/>
    <x v="4"/>
    <x v="87"/>
    <x v="84"/>
    <x v="91"/>
    <s v="冰镇"/>
    <n v="2.95"/>
    <s v="扎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22"/>
    <s v="Vancouver"/>
    <s v="加拿大二店"/>
    <x v="1"/>
    <x v="8"/>
    <x v="88"/>
    <x v="85"/>
    <x v="92"/>
    <s v="整份"/>
    <n v="7.95"/>
    <s v="份"/>
    <n v="7"/>
    <n v="55.65"/>
    <n v="0"/>
    <n v="0"/>
    <n v="0"/>
    <n v="0"/>
    <n v="0"/>
    <n v="0"/>
    <n v="0"/>
    <n v="0"/>
    <n v="1.59"/>
    <n v="0"/>
    <n v="7"/>
    <n v="56.76"/>
    <n v="2.7"/>
    <n v="54.06"/>
    <n v="1"/>
  </r>
  <r>
    <s v="2021-06-22"/>
    <s v="Vancouver"/>
    <s v="加拿大二店"/>
    <x v="1"/>
    <x v="8"/>
    <x v="89"/>
    <x v="86"/>
    <x v="93"/>
    <s v="整份"/>
    <n v="4.95"/>
    <s v="份"/>
    <n v="11"/>
    <n v="54.45"/>
    <n v="0"/>
    <n v="0"/>
    <n v="0"/>
    <n v="0"/>
    <n v="0"/>
    <n v="0"/>
    <n v="0"/>
    <n v="0"/>
    <n v="6.13"/>
    <n v="0"/>
    <n v="11"/>
    <n v="50.73"/>
    <n v="2.41"/>
    <n v="48.32"/>
    <n v="1"/>
  </r>
  <r>
    <s v="2021-06-22"/>
    <s v="Vancouver"/>
    <s v="加拿大二店"/>
    <x v="2"/>
    <x v="4"/>
    <x v="138"/>
    <x v="132"/>
    <x v="143"/>
    <s v="扎"/>
    <n v="12.95"/>
    <s v="扎"/>
    <n v="1"/>
    <n v="12.95"/>
    <n v="0"/>
    <n v="0"/>
    <n v="0"/>
    <n v="0"/>
    <n v="0"/>
    <n v="0"/>
    <n v="0"/>
    <n v="0"/>
    <n v="0"/>
    <n v="0"/>
    <n v="1"/>
    <n v="14.5"/>
    <n v="1.55"/>
    <n v="12.95"/>
    <n v="1"/>
  </r>
  <r>
    <s v="2021-06-22"/>
    <s v="Vancouver"/>
    <s v="加拿大二店"/>
    <x v="3"/>
    <x v="7"/>
    <x v="90"/>
    <x v="87"/>
    <x v="94"/>
    <s v="整份"/>
    <n v="4.95"/>
    <s v="份"/>
    <n v="2"/>
    <n v="9.9"/>
    <n v="0"/>
    <n v="0"/>
    <n v="0"/>
    <n v="0"/>
    <n v="0"/>
    <n v="0"/>
    <n v="0"/>
    <n v="0"/>
    <n v="0.99"/>
    <n v="0"/>
    <n v="2"/>
    <n v="9.35"/>
    <n v="0.44"/>
    <n v="8.91"/>
    <n v="1"/>
  </r>
  <r>
    <s v="2021-06-22"/>
    <s v="Vancouver"/>
    <s v="加拿大二店"/>
    <x v="1"/>
    <x v="6"/>
    <x v="119"/>
    <x v="113"/>
    <x v="123"/>
    <s v="整份"/>
    <n v="102"/>
    <s v="磅"/>
    <n v="1"/>
    <n v="102"/>
    <n v="0"/>
    <n v="0"/>
    <n v="0"/>
    <n v="0"/>
    <n v="0"/>
    <n v="0"/>
    <n v="0"/>
    <n v="0"/>
    <n v="0"/>
    <n v="0"/>
    <n v="1"/>
    <n v="107.1"/>
    <n v="5.1"/>
    <n v="102"/>
    <n v="1"/>
  </r>
  <r>
    <s v="2021-06-22"/>
    <s v="Vancouver"/>
    <s v="加拿大二店"/>
    <x v="6"/>
    <x v="18"/>
    <x v="91"/>
    <x v="88"/>
    <x v="95"/>
    <s v="整份"/>
    <n v="2.95"/>
    <s v="份"/>
    <n v="1"/>
    <n v="2.95"/>
    <n v="0"/>
    <n v="0"/>
    <n v="0"/>
    <n v="0"/>
    <n v="0"/>
    <n v="0"/>
    <n v="0"/>
    <n v="0"/>
    <n v="0"/>
    <n v="0"/>
    <n v="1"/>
    <n v="3.09"/>
    <n v="0.14"/>
    <n v="2.95"/>
    <n v="1"/>
  </r>
  <r>
    <s v="2021-06-22"/>
    <s v="Vancouver"/>
    <s v="加拿大二店"/>
    <x v="3"/>
    <x v="5"/>
    <x v="93"/>
    <x v="89"/>
    <x v="97"/>
    <s v="整份"/>
    <n v="5.95"/>
    <s v="份"/>
    <n v="8"/>
    <n v="47.6"/>
    <n v="0"/>
    <n v="0"/>
    <n v="0"/>
    <n v="0"/>
    <n v="0"/>
    <n v="0"/>
    <n v="0"/>
    <n v="0"/>
    <n v="2.38"/>
    <n v="0"/>
    <n v="8"/>
    <n v="47.48"/>
    <n v="2.26"/>
    <n v="45.22"/>
    <n v="1"/>
  </r>
  <r>
    <s v="2021-06-22"/>
    <s v="Vancouver"/>
    <s v="加拿大二店"/>
    <x v="6"/>
    <x v="13"/>
    <x v="94"/>
    <x v="90"/>
    <x v="98"/>
    <s v="整份"/>
    <n v="4.95"/>
    <s v="份"/>
    <n v="8"/>
    <n v="39.6"/>
    <n v="0"/>
    <n v="0"/>
    <n v="0"/>
    <n v="0"/>
    <n v="0"/>
    <n v="0"/>
    <n v="0"/>
    <n v="0"/>
    <n v="0.99"/>
    <n v="0"/>
    <n v="8"/>
    <n v="40.54"/>
    <n v="1.93"/>
    <n v="38.61"/>
    <n v="1"/>
  </r>
  <r>
    <s v="2021-06-22"/>
    <s v="Vancouver"/>
    <s v="加拿大二店"/>
    <x v="1"/>
    <x v="1"/>
    <x v="96"/>
    <x v="92"/>
    <x v="100"/>
    <s v="整份"/>
    <n v="49.95"/>
    <s v="份"/>
    <n v="1"/>
    <n v="49.95"/>
    <n v="0"/>
    <n v="0"/>
    <n v="0"/>
    <n v="0"/>
    <n v="0"/>
    <n v="0"/>
    <n v="0"/>
    <n v="0"/>
    <n v="0"/>
    <n v="0"/>
    <n v="1"/>
    <n v="52.44"/>
    <n v="2.49"/>
    <n v="49.95"/>
    <n v="1"/>
  </r>
  <r>
    <s v="2021-06-22"/>
    <s v="Vancouver"/>
    <s v="加拿大二店"/>
    <x v="2"/>
    <x v="2"/>
    <x v="97"/>
    <x v="93"/>
    <x v="101"/>
    <s v="冰镇"/>
    <n v="5.95"/>
    <s v="听"/>
    <n v="7"/>
    <n v="41.65"/>
    <n v="0"/>
    <n v="0"/>
    <n v="0"/>
    <n v="0"/>
    <n v="0"/>
    <n v="0"/>
    <n v="0"/>
    <n v="0"/>
    <n v="0"/>
    <n v="0"/>
    <n v="7"/>
    <n v="47.89"/>
    <n v="6.24"/>
    <n v="41.65"/>
    <n v="1"/>
  </r>
  <r>
    <s v="2021-06-22"/>
    <s v="Vancouver"/>
    <s v="加拿大二店"/>
    <x v="6"/>
    <x v="13"/>
    <x v="98"/>
    <x v="94"/>
    <x v="102"/>
    <s v="整份"/>
    <n v="3.95"/>
    <s v="份"/>
    <n v="4"/>
    <n v="15.8"/>
    <n v="0"/>
    <n v="0"/>
    <n v="0"/>
    <n v="0"/>
    <n v="0"/>
    <n v="0"/>
    <n v="0"/>
    <n v="0"/>
    <n v="1.26"/>
    <n v="0"/>
    <n v="4"/>
    <n v="15.26"/>
    <n v="0.72"/>
    <n v="14.54"/>
    <n v="1"/>
  </r>
  <r>
    <s v="2021-06-22"/>
    <s v="Vancouver"/>
    <s v="加拿大二店"/>
    <x v="1"/>
    <x v="3"/>
    <x v="99"/>
    <x v="95"/>
    <x v="103"/>
    <s v="整份"/>
    <n v="5.95"/>
    <s v="份"/>
    <n v="9"/>
    <n v="53.55"/>
    <n v="0"/>
    <n v="0"/>
    <n v="0"/>
    <n v="0"/>
    <n v="0"/>
    <n v="0"/>
    <n v="0"/>
    <n v="0"/>
    <n v="5.35"/>
    <n v="0"/>
    <n v="9"/>
    <n v="50.61"/>
    <n v="2.41"/>
    <n v="48.2"/>
    <n v="1"/>
  </r>
  <r>
    <s v="2021-06-22"/>
    <s v="Vancouver"/>
    <s v="加拿大二店"/>
    <x v="1"/>
    <x v="3"/>
    <x v="100"/>
    <x v="96"/>
    <x v="104"/>
    <s v="整份"/>
    <n v="7.95"/>
    <s v="份"/>
    <n v="6"/>
    <n v="47.7"/>
    <n v="0"/>
    <n v="0"/>
    <n v="0"/>
    <n v="0"/>
    <n v="0"/>
    <n v="0"/>
    <n v="0"/>
    <n v="0"/>
    <n v="3.49"/>
    <n v="0"/>
    <n v="6"/>
    <n v="46.42"/>
    <n v="2.21"/>
    <n v="44.21"/>
    <n v="1"/>
  </r>
  <r>
    <s v="2021-06-22"/>
    <s v="Vancouver"/>
    <s v="加拿大二店"/>
    <x v="1"/>
    <x v="8"/>
    <x v="101"/>
    <x v="97"/>
    <x v="105"/>
    <s v="整份"/>
    <n v="5.95"/>
    <s v="份"/>
    <n v="8"/>
    <n v="47.6"/>
    <n v="0"/>
    <n v="0"/>
    <n v="0"/>
    <n v="0"/>
    <n v="0"/>
    <n v="0"/>
    <n v="0"/>
    <n v="0"/>
    <n v="5.08"/>
    <n v="0"/>
    <n v="8"/>
    <n v="44.64"/>
    <n v="2.12"/>
    <n v="42.52"/>
    <n v="1"/>
  </r>
  <r>
    <s v="2021-06-22"/>
    <s v="Vancouver"/>
    <s v="加拿大二店"/>
    <x v="1"/>
    <x v="6"/>
    <x v="102"/>
    <x v="98"/>
    <x v="106"/>
    <s v="整份"/>
    <n v="8.95"/>
    <s v="份"/>
    <n v="3"/>
    <n v="26.85"/>
    <n v="0"/>
    <n v="0"/>
    <n v="0"/>
    <n v="0"/>
    <n v="0"/>
    <n v="0"/>
    <n v="0"/>
    <n v="-0.02"/>
    <n v="4.49"/>
    <n v="0"/>
    <n v="3"/>
    <n v="23.49"/>
    <n v="1.11"/>
    <n v="22.38"/>
    <n v="1"/>
  </r>
  <r>
    <s v="2021-06-22"/>
    <s v="Vancouver"/>
    <s v="加拿大二店"/>
    <x v="3"/>
    <x v="7"/>
    <x v="103"/>
    <x v="99"/>
    <x v="107"/>
    <s v="整份"/>
    <n v="5.95"/>
    <s v="份"/>
    <n v="12"/>
    <n v="71.4"/>
    <n v="0"/>
    <n v="0"/>
    <n v="0"/>
    <n v="0"/>
    <n v="0"/>
    <n v="0"/>
    <n v="0"/>
    <n v="0"/>
    <n v="4.39"/>
    <n v="0"/>
    <n v="12"/>
    <n v="70.36"/>
    <n v="3.35"/>
    <n v="67.01"/>
    <n v="1"/>
  </r>
  <r>
    <s v="2021-06-22"/>
    <s v="Vancouver"/>
    <s v="加拿大二店"/>
    <x v="3"/>
    <x v="7"/>
    <x v="104"/>
    <x v="100"/>
    <x v="108"/>
    <s v="整份"/>
    <n v="3.95"/>
    <s v="份"/>
    <n v="11"/>
    <n v="43.45"/>
    <n v="0"/>
    <n v="0"/>
    <n v="0"/>
    <n v="0"/>
    <n v="0"/>
    <n v="0"/>
    <n v="0"/>
    <n v="0.02"/>
    <n v="2.52"/>
    <n v="0"/>
    <n v="11"/>
    <n v="42.95"/>
    <n v="2.04"/>
    <n v="40.91"/>
    <n v="1"/>
  </r>
  <r>
    <s v="2021-06-22"/>
    <s v="Vancouver"/>
    <s v="加拿大二店"/>
    <x v="1"/>
    <x v="8"/>
    <x v="105"/>
    <x v="101"/>
    <x v="109"/>
    <s v="整份"/>
    <n v="4.95"/>
    <s v="份"/>
    <n v="14"/>
    <n v="69.3"/>
    <n v="0"/>
    <n v="0"/>
    <n v="0"/>
    <n v="0"/>
    <n v="0"/>
    <n v="0"/>
    <n v="0"/>
    <n v="0.02"/>
    <n v="4.55"/>
    <n v="0"/>
    <n v="14"/>
    <n v="67.96"/>
    <n v="3.23"/>
    <n v="64.73"/>
    <n v="1"/>
  </r>
  <r>
    <s v="2021-06-22"/>
    <s v="Vancouver"/>
    <s v="加拿大二店"/>
    <x v="4"/>
    <x v="9"/>
    <x v="106"/>
    <x v="0"/>
    <x v="110"/>
    <s v="拼锅"/>
    <n v="11.95"/>
    <s v="锅"/>
    <n v="6"/>
    <n v="71.7"/>
    <n v="0"/>
    <n v="0"/>
    <n v="0"/>
    <n v="0"/>
    <n v="0"/>
    <n v="0"/>
    <n v="0"/>
    <n v="0"/>
    <n v="2.39"/>
    <n v="0"/>
    <n v="6"/>
    <n v="72.77"/>
    <n v="3.46"/>
    <n v="69.31"/>
    <n v="2"/>
  </r>
  <r>
    <s v="2021-06-22"/>
    <s v="Vancouver"/>
    <s v="加拿大二店"/>
    <x v="4"/>
    <x v="10"/>
    <x v="106"/>
    <x v="0"/>
    <x v="110"/>
    <s v="四宫格"/>
    <n v="5.95"/>
    <s v="锅"/>
    <n v="3"/>
    <n v="17.85"/>
    <n v="0"/>
    <n v="0"/>
    <n v="0"/>
    <n v="0"/>
    <n v="0"/>
    <n v="0"/>
    <n v="0"/>
    <n v="0"/>
    <n v="1.19"/>
    <n v="0"/>
    <n v="3"/>
    <n v="17.49"/>
    <n v="0.83"/>
    <n v="16.66"/>
    <n v="1"/>
  </r>
  <r>
    <s v="2021-06-22"/>
    <s v="Vancouver"/>
    <s v="加拿大二店"/>
    <x v="4"/>
    <x v="9"/>
    <x v="107"/>
    <x v="0"/>
    <x v="111"/>
    <s v="拼锅"/>
    <n v="11.95"/>
    <s v="锅"/>
    <n v="5"/>
    <n v="59.75"/>
    <n v="0"/>
    <n v="0"/>
    <n v="0"/>
    <n v="0"/>
    <n v="0"/>
    <n v="0"/>
    <n v="0"/>
    <n v="0"/>
    <n v="0"/>
    <n v="0"/>
    <n v="5"/>
    <n v="62.73"/>
    <n v="2.98"/>
    <n v="59.75"/>
    <n v="2"/>
  </r>
  <r>
    <s v="2021-06-22"/>
    <s v="Vancouver"/>
    <s v="加拿大二店"/>
    <x v="4"/>
    <x v="10"/>
    <x v="107"/>
    <x v="0"/>
    <x v="111"/>
    <s v="四宫格"/>
    <n v="5.95"/>
    <s v="锅"/>
    <n v="1"/>
    <n v="5.95"/>
    <n v="0"/>
    <n v="0"/>
    <n v="0"/>
    <n v="0"/>
    <n v="0"/>
    <n v="0"/>
    <n v="0"/>
    <n v="0"/>
    <n v="0"/>
    <n v="0"/>
    <n v="1"/>
    <n v="6.24"/>
    <n v="0.29"/>
    <n v="5.95"/>
    <n v="1"/>
  </r>
  <r>
    <s v="2021-06-23"/>
    <s v="Vancouver"/>
    <s v="加拿大二店"/>
    <x v="1"/>
    <x v="1"/>
    <x v="1"/>
    <x v="1"/>
    <x v="1"/>
    <s v="整份"/>
    <n v="16.95"/>
    <s v="份"/>
    <n v="11"/>
    <n v="186.45"/>
    <n v="0"/>
    <n v="0"/>
    <n v="0"/>
    <n v="0"/>
    <n v="1"/>
    <n v="16.95"/>
    <n v="0"/>
    <n v="0"/>
    <n v="3.39"/>
    <n v="0"/>
    <n v="10"/>
    <n v="174.41"/>
    <n v="8.3"/>
    <n v="166.11"/>
    <n v="1"/>
  </r>
  <r>
    <s v="2021-06-23"/>
    <s v="Vancouver"/>
    <s v="加拿大二店"/>
    <x v="1"/>
    <x v="1"/>
    <x v="2"/>
    <x v="2"/>
    <x v="2"/>
    <s v="整份"/>
    <n v="25.95"/>
    <s v="份"/>
    <n v="9"/>
    <n v="233.55"/>
    <n v="0"/>
    <n v="0"/>
    <n v="0"/>
    <n v="0"/>
    <n v="0"/>
    <n v="0"/>
    <n v="0"/>
    <n v="0"/>
    <n v="25.94"/>
    <n v="0"/>
    <n v="9"/>
    <n v="217.99"/>
    <n v="10.38"/>
    <n v="207.61"/>
    <n v="1"/>
  </r>
  <r>
    <s v="2021-06-23"/>
    <s v="Vancouver"/>
    <s v="加拿大二店"/>
    <x v="2"/>
    <x v="2"/>
    <x v="129"/>
    <x v="123"/>
    <x v="134"/>
    <s v="扎"/>
    <n v="22.95"/>
    <s v="扎"/>
    <n v="1"/>
    <n v="22.95"/>
    <n v="0"/>
    <n v="0"/>
    <n v="0"/>
    <n v="0"/>
    <n v="0"/>
    <n v="0"/>
    <n v="0"/>
    <n v="-0.02"/>
    <n v="0"/>
    <n v="0"/>
    <n v="1"/>
    <n v="26.41"/>
    <n v="3.44"/>
    <n v="22.97"/>
    <n v="1"/>
  </r>
  <r>
    <s v="2021-06-23"/>
    <s v="Vancouver"/>
    <s v="加拿大二店"/>
    <x v="2"/>
    <x v="2"/>
    <x v="4"/>
    <x v="4"/>
    <x v="4"/>
    <s v="壶"/>
    <n v="22.95"/>
    <s v="壶"/>
    <n v="1"/>
    <n v="22.95"/>
    <n v="0"/>
    <n v="0"/>
    <n v="0"/>
    <n v="0"/>
    <n v="0"/>
    <n v="0"/>
    <n v="0"/>
    <n v="0"/>
    <n v="0"/>
    <n v="0"/>
    <n v="1"/>
    <n v="26.39"/>
    <n v="3.44"/>
    <n v="22.95"/>
    <n v="1"/>
  </r>
  <r>
    <s v="2021-06-23"/>
    <s v="Vancouver"/>
    <s v="加拿大二店"/>
    <x v="1"/>
    <x v="3"/>
    <x v="6"/>
    <x v="6"/>
    <x v="6"/>
    <s v="整份"/>
    <n v="7.95"/>
    <s v="份"/>
    <n v="3"/>
    <n v="23.85"/>
    <n v="0"/>
    <n v="0"/>
    <n v="0"/>
    <n v="0"/>
    <n v="0"/>
    <n v="0"/>
    <n v="0"/>
    <n v="0"/>
    <n v="0"/>
    <n v="0"/>
    <n v="3"/>
    <n v="25.04"/>
    <n v="1.19"/>
    <n v="23.85"/>
    <n v="1"/>
  </r>
  <r>
    <s v="2021-06-23"/>
    <s v="Vancouver"/>
    <s v="加拿大二店"/>
    <x v="0"/>
    <x v="0"/>
    <x v="124"/>
    <x v="0"/>
    <x v="128"/>
    <s v="套餐"/>
    <n v="59.95"/>
    <s v="套餐"/>
    <n v="1"/>
    <n v="59.95"/>
    <n v="0"/>
    <n v="0"/>
    <n v="0"/>
    <n v="0"/>
    <n v="0"/>
    <n v="0"/>
    <n v="0"/>
    <n v="0"/>
    <n v="0"/>
    <n v="0"/>
    <n v="1"/>
    <n v="63.54"/>
    <n v="3.59"/>
    <n v="59.95"/>
    <n v="1"/>
  </r>
  <r>
    <s v="2021-06-23"/>
    <s v="Vancouver"/>
    <s v="加拿大二店"/>
    <x v="2"/>
    <x v="4"/>
    <x v="7"/>
    <x v="7"/>
    <x v="7"/>
    <s v="冰镇"/>
    <n v="2.45"/>
    <s v="罐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23"/>
    <s v="Vancouver"/>
    <s v="加拿大二店"/>
    <x v="0"/>
    <x v="20"/>
    <x v="109"/>
    <x v="103"/>
    <x v="113"/>
    <s v="整份"/>
    <n v="8.95"/>
    <s v="份"/>
    <n v="2"/>
    <n v="17.9"/>
    <n v="0"/>
    <n v="0"/>
    <n v="0"/>
    <n v="0"/>
    <n v="0"/>
    <n v="0"/>
    <n v="0"/>
    <n v="0"/>
    <n v="0"/>
    <n v="0"/>
    <n v="2"/>
    <n v="18.79"/>
    <n v="0.89"/>
    <n v="17.9"/>
    <n v="1"/>
  </r>
  <r>
    <s v="2021-06-23"/>
    <s v="Vancouver"/>
    <s v="加拿大二店"/>
    <x v="2"/>
    <x v="4"/>
    <x v="110"/>
    <x v="104"/>
    <x v="114"/>
    <s v="小瓶"/>
    <n v="3.95"/>
    <s v="瓶"/>
    <n v="1"/>
    <n v="3.95"/>
    <n v="0"/>
    <n v="0"/>
    <n v="0"/>
    <n v="0"/>
    <n v="0"/>
    <n v="0"/>
    <n v="0"/>
    <n v="-0.01"/>
    <n v="0"/>
    <n v="0"/>
    <n v="1"/>
    <n v="4.43"/>
    <n v="0.47"/>
    <n v="3.96"/>
    <n v="1"/>
  </r>
  <r>
    <s v="2021-06-23"/>
    <s v="Vancouver"/>
    <s v="加拿大二店"/>
    <x v="3"/>
    <x v="5"/>
    <x v="8"/>
    <x v="8"/>
    <x v="8"/>
    <s v="整份"/>
    <n v="3.95"/>
    <s v="份"/>
    <n v="3"/>
    <n v="11.85"/>
    <n v="0"/>
    <n v="0"/>
    <n v="0"/>
    <n v="0"/>
    <n v="0"/>
    <n v="0"/>
    <n v="0"/>
    <n v="0"/>
    <n v="0.79"/>
    <n v="0"/>
    <n v="3"/>
    <n v="11.61"/>
    <n v="0.55"/>
    <n v="11.06"/>
    <n v="1"/>
  </r>
  <r>
    <s v="2021-06-23"/>
    <s v="Vancouver"/>
    <s v="加拿大二店"/>
    <x v="2"/>
    <x v="4"/>
    <x v="9"/>
    <x v="9"/>
    <x v="9"/>
    <s v="常温"/>
    <n v="2.95"/>
    <s v="位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23"/>
    <s v="Vancouver"/>
    <s v="加拿大二店"/>
    <x v="2"/>
    <x v="4"/>
    <x v="10"/>
    <x v="10"/>
    <x v="10"/>
    <s v="半份"/>
    <n v="6.95"/>
    <s v="扎"/>
    <n v="3"/>
    <n v="20.85"/>
    <n v="0"/>
    <n v="0"/>
    <n v="0"/>
    <n v="0"/>
    <n v="0"/>
    <n v="0"/>
    <n v="0"/>
    <n v="0"/>
    <n v="1.39"/>
    <n v="0"/>
    <n v="3"/>
    <n v="21.79"/>
    <n v="2.33"/>
    <n v="19.46"/>
    <n v="0.5"/>
  </r>
  <r>
    <s v="2021-06-23"/>
    <s v="Vancouver"/>
    <s v="加拿大二店"/>
    <x v="2"/>
    <x v="4"/>
    <x v="10"/>
    <x v="11"/>
    <x v="11"/>
    <s v="整份"/>
    <n v="9.95"/>
    <s v="扎"/>
    <n v="1"/>
    <n v="9.95"/>
    <n v="0"/>
    <n v="0"/>
    <n v="0"/>
    <n v="0"/>
    <n v="0"/>
    <n v="0"/>
    <n v="0"/>
    <n v="0"/>
    <n v="0"/>
    <n v="0"/>
    <n v="1"/>
    <n v="11.14"/>
    <n v="1.19"/>
    <n v="9.95"/>
    <n v="1"/>
  </r>
  <r>
    <s v="2021-06-23"/>
    <s v="Vancouver"/>
    <s v="加拿大二店"/>
    <x v="1"/>
    <x v="6"/>
    <x v="11"/>
    <x v="12"/>
    <x v="12"/>
    <s v="整份"/>
    <n v="8.95"/>
    <s v="份"/>
    <n v="2"/>
    <n v="17.9"/>
    <n v="0"/>
    <n v="0"/>
    <n v="0"/>
    <n v="0"/>
    <n v="0"/>
    <n v="0"/>
    <n v="0"/>
    <n v="0"/>
    <n v="0"/>
    <n v="0"/>
    <n v="2"/>
    <n v="18.79"/>
    <n v="0.89"/>
    <n v="17.9"/>
    <n v="1"/>
  </r>
  <r>
    <s v="2021-06-23"/>
    <s v="Vancouver"/>
    <s v="加拿大二店"/>
    <x v="1"/>
    <x v="6"/>
    <x v="12"/>
    <x v="13"/>
    <x v="13"/>
    <s v="整份"/>
    <n v="16.95"/>
    <s v="份"/>
    <n v="1"/>
    <n v="16.95"/>
    <n v="0"/>
    <n v="0"/>
    <n v="0"/>
    <n v="0"/>
    <n v="0"/>
    <n v="0"/>
    <n v="0"/>
    <n v="0"/>
    <n v="3.39"/>
    <n v="0"/>
    <n v="1"/>
    <n v="14.23"/>
    <n v="0.67"/>
    <n v="13.56"/>
    <n v="1"/>
  </r>
  <r>
    <s v="2021-06-23"/>
    <s v="Vancouver"/>
    <s v="加拿大二店"/>
    <x v="1"/>
    <x v="6"/>
    <x v="13"/>
    <x v="14"/>
    <x v="14"/>
    <s v="整份"/>
    <n v="21.95"/>
    <s v="份"/>
    <n v="2"/>
    <n v="43.9"/>
    <n v="0"/>
    <n v="0"/>
    <n v="0"/>
    <n v="0"/>
    <n v="0"/>
    <n v="0"/>
    <n v="0"/>
    <n v="0"/>
    <n v="0"/>
    <n v="0"/>
    <n v="2"/>
    <n v="46.09"/>
    <n v="2.19"/>
    <n v="43.9"/>
    <n v="1"/>
  </r>
  <r>
    <s v="2021-06-23"/>
    <s v="Vancouver"/>
    <s v="加拿大二店"/>
    <x v="1"/>
    <x v="6"/>
    <x v="14"/>
    <x v="15"/>
    <x v="15"/>
    <s v="整份"/>
    <n v="29.95"/>
    <s v="份"/>
    <n v="1"/>
    <n v="29.95"/>
    <n v="0"/>
    <n v="0"/>
    <n v="0"/>
    <n v="0"/>
    <n v="0"/>
    <n v="0"/>
    <n v="0"/>
    <n v="0"/>
    <n v="0"/>
    <n v="0"/>
    <n v="1"/>
    <n v="31.44"/>
    <n v="1.49"/>
    <n v="29.95"/>
    <n v="1"/>
  </r>
  <r>
    <s v="2021-06-23"/>
    <s v="Vancouver"/>
    <s v="加拿大二店"/>
    <x v="1"/>
    <x v="6"/>
    <x v="15"/>
    <x v="16"/>
    <x v="16"/>
    <s v="整份"/>
    <n v="8.95"/>
    <s v="份"/>
    <n v="2"/>
    <n v="17.9"/>
    <n v="0"/>
    <n v="0"/>
    <n v="0"/>
    <n v="0"/>
    <n v="0"/>
    <n v="0"/>
    <n v="0"/>
    <n v="0"/>
    <n v="2.68"/>
    <n v="0"/>
    <n v="2"/>
    <n v="15.98"/>
    <n v="0.76"/>
    <n v="15.22"/>
    <n v="1"/>
  </r>
  <r>
    <s v="2021-06-23"/>
    <s v="Vancouver"/>
    <s v="加拿大二店"/>
    <x v="1"/>
    <x v="6"/>
    <x v="111"/>
    <x v="105"/>
    <x v="115"/>
    <s v="整份"/>
    <n v="8.95"/>
    <s v="份"/>
    <n v="2"/>
    <n v="17.9"/>
    <n v="0"/>
    <n v="0"/>
    <n v="0"/>
    <n v="0"/>
    <n v="0"/>
    <n v="0"/>
    <n v="0"/>
    <n v="0"/>
    <n v="1.79"/>
    <n v="0"/>
    <n v="2"/>
    <n v="16.91"/>
    <n v="0.8"/>
    <n v="16.11"/>
    <n v="1"/>
  </r>
  <r>
    <s v="2021-06-23"/>
    <s v="Vancouver"/>
    <s v="加拿大二店"/>
    <x v="3"/>
    <x v="7"/>
    <x v="16"/>
    <x v="17"/>
    <x v="17"/>
    <s v="整份"/>
    <n v="4.95"/>
    <s v="份"/>
    <n v="8"/>
    <n v="39.6"/>
    <n v="0"/>
    <n v="0"/>
    <n v="0"/>
    <n v="0"/>
    <n v="0"/>
    <n v="0"/>
    <n v="0"/>
    <n v="0"/>
    <n v="2.47"/>
    <n v="0"/>
    <n v="8"/>
    <n v="38.98"/>
    <n v="1.85"/>
    <n v="37.13"/>
    <n v="1"/>
  </r>
  <r>
    <s v="2021-06-23"/>
    <s v="Vancouver"/>
    <s v="加拿大二店"/>
    <x v="1"/>
    <x v="8"/>
    <x v="19"/>
    <x v="20"/>
    <x v="20"/>
    <s v="整份"/>
    <n v="5.95"/>
    <s v="份"/>
    <n v="4"/>
    <n v="23.8"/>
    <n v="0"/>
    <n v="0"/>
    <n v="0"/>
    <n v="0"/>
    <n v="1"/>
    <n v="5.95"/>
    <n v="0"/>
    <n v="0"/>
    <n v="1.19"/>
    <n v="0"/>
    <n v="3"/>
    <n v="17.49"/>
    <n v="0.83"/>
    <n v="16.66"/>
    <n v="1"/>
  </r>
  <r>
    <s v="2021-06-23"/>
    <s v="Vancouver"/>
    <s v="加拿大二店"/>
    <x v="1"/>
    <x v="8"/>
    <x v="20"/>
    <x v="21"/>
    <x v="21"/>
    <s v="整份"/>
    <n v="7.95"/>
    <s v="份"/>
    <n v="5"/>
    <n v="39.75"/>
    <n v="0"/>
    <n v="0"/>
    <n v="0"/>
    <n v="0"/>
    <n v="0"/>
    <n v="0"/>
    <n v="0"/>
    <n v="0"/>
    <n v="5.56"/>
    <n v="0"/>
    <n v="5"/>
    <n v="35.89"/>
    <n v="1.7"/>
    <n v="34.19"/>
    <n v="1"/>
  </r>
  <r>
    <s v="2021-06-23"/>
    <s v="Vancouver"/>
    <s v="加拿大二店"/>
    <x v="4"/>
    <x v="9"/>
    <x v="22"/>
    <x v="0"/>
    <x v="23"/>
    <s v="拼锅"/>
    <n v="11.95"/>
    <s v="锅"/>
    <n v="3"/>
    <n v="35.85"/>
    <n v="0"/>
    <n v="0"/>
    <n v="0"/>
    <n v="0"/>
    <n v="0"/>
    <n v="0"/>
    <n v="0"/>
    <n v="-0.02"/>
    <n v="0"/>
    <n v="0"/>
    <n v="3"/>
    <n v="38.02"/>
    <n v="2.15"/>
    <n v="35.87"/>
    <n v="2"/>
  </r>
  <r>
    <s v="2021-06-23"/>
    <s v="Vancouver"/>
    <s v="加拿大二店"/>
    <x v="3"/>
    <x v="7"/>
    <x v="23"/>
    <x v="23"/>
    <x v="24"/>
    <s v="整份"/>
    <n v="4.95"/>
    <s v="份"/>
    <n v="7"/>
    <n v="34.65"/>
    <n v="0"/>
    <n v="0"/>
    <n v="0"/>
    <n v="0"/>
    <n v="0"/>
    <n v="0"/>
    <n v="0"/>
    <n v="0"/>
    <n v="0"/>
    <n v="0"/>
    <n v="7"/>
    <n v="36.38"/>
    <n v="1.73"/>
    <n v="34.65"/>
    <n v="1"/>
  </r>
  <r>
    <s v="2021-06-23"/>
    <s v="Vancouver"/>
    <s v="加拿大二店"/>
    <x v="3"/>
    <x v="11"/>
    <x v="24"/>
    <x v="118"/>
    <x v="129"/>
    <s v="整份"/>
    <n v="5.95"/>
    <s v="份"/>
    <n v="2"/>
    <n v="11.9"/>
    <n v="1"/>
    <n v="5.95"/>
    <n v="0"/>
    <n v="0"/>
    <n v="0"/>
    <n v="0"/>
    <n v="0"/>
    <n v="0"/>
    <n v="2.97"/>
    <n v="0"/>
    <n v="1"/>
    <n v="3.12"/>
    <n v="0.14"/>
    <n v="2.98"/>
    <n v="1"/>
  </r>
  <r>
    <s v="2021-06-23"/>
    <s v="Vancouver"/>
    <s v="加拿大二店"/>
    <x v="3"/>
    <x v="11"/>
    <x v="24"/>
    <x v="24"/>
    <x v="25"/>
    <s v="半份"/>
    <n v="2.95"/>
    <s v="份"/>
    <n v="3"/>
    <n v="8.85"/>
    <n v="0"/>
    <n v="0"/>
    <n v="0"/>
    <n v="0"/>
    <n v="0"/>
    <n v="0"/>
    <n v="0"/>
    <n v="0"/>
    <n v="0"/>
    <n v="0"/>
    <n v="3"/>
    <n v="9.29"/>
    <n v="0.44"/>
    <n v="8.85"/>
    <n v="0.5"/>
  </r>
  <r>
    <s v="2021-06-23"/>
    <s v="Vancouver"/>
    <s v="加拿大二店"/>
    <x v="3"/>
    <x v="5"/>
    <x v="25"/>
    <x v="25"/>
    <x v="26"/>
    <s v="整份"/>
    <n v="3.95"/>
    <s v="份"/>
    <n v="4"/>
    <n v="15.8"/>
    <n v="0"/>
    <n v="0"/>
    <n v="0"/>
    <n v="0"/>
    <n v="1"/>
    <n v="3.95"/>
    <n v="0"/>
    <n v="0"/>
    <n v="0.79"/>
    <n v="0"/>
    <n v="3"/>
    <n v="11.61"/>
    <n v="0.55"/>
    <n v="11.06"/>
    <n v="1"/>
  </r>
  <r>
    <s v="2021-06-23"/>
    <s v="Vancouver"/>
    <s v="加拿大二店"/>
    <x v="3"/>
    <x v="11"/>
    <x v="26"/>
    <x v="26"/>
    <x v="27"/>
    <s v="整份"/>
    <n v="4.95"/>
    <s v="份"/>
    <n v="3"/>
    <n v="14.85"/>
    <n v="0"/>
    <n v="0"/>
    <n v="0"/>
    <n v="0"/>
    <n v="0"/>
    <n v="0"/>
    <n v="0"/>
    <n v="0"/>
    <n v="0"/>
    <n v="0"/>
    <n v="3"/>
    <n v="15.59"/>
    <n v="0.74"/>
    <n v="14.85"/>
    <n v="1"/>
  </r>
  <r>
    <s v="2021-06-23"/>
    <s v="Vancouver"/>
    <s v="加拿大二店"/>
    <x v="3"/>
    <x v="11"/>
    <x v="26"/>
    <x v="27"/>
    <x v="28"/>
    <s v="半份"/>
    <n v="2.45"/>
    <s v="份"/>
    <n v="6"/>
    <n v="14.7"/>
    <n v="0"/>
    <n v="0"/>
    <n v="0"/>
    <n v="0"/>
    <n v="1"/>
    <n v="2.45"/>
    <n v="0"/>
    <n v="0"/>
    <n v="0"/>
    <n v="0"/>
    <n v="5"/>
    <n v="12.86"/>
    <n v="0.61"/>
    <n v="12.25"/>
    <n v="0.5"/>
  </r>
  <r>
    <s v="2021-06-23"/>
    <s v="Vancouver"/>
    <s v="加拿大二店"/>
    <x v="5"/>
    <x v="12"/>
    <x v="27"/>
    <x v="28"/>
    <x v="29"/>
    <s v="整份"/>
    <n v="7.95"/>
    <s v="份"/>
    <n v="5"/>
    <n v="39.75"/>
    <n v="0"/>
    <n v="0"/>
    <n v="0"/>
    <n v="0"/>
    <n v="1"/>
    <n v="7.95"/>
    <n v="0"/>
    <n v="0"/>
    <n v="3.18"/>
    <n v="0"/>
    <n v="4"/>
    <n v="30.05"/>
    <n v="1.43"/>
    <n v="28.62"/>
    <n v="1"/>
  </r>
  <r>
    <s v="2021-06-23"/>
    <s v="Vancouver"/>
    <s v="加拿大二店"/>
    <x v="3"/>
    <x v="7"/>
    <x v="28"/>
    <x v="29"/>
    <x v="30"/>
    <s v="整份"/>
    <n v="4.95"/>
    <s v="份"/>
    <n v="7"/>
    <n v="34.65"/>
    <n v="0"/>
    <n v="0"/>
    <n v="0"/>
    <n v="0"/>
    <n v="0"/>
    <n v="0"/>
    <n v="0"/>
    <n v="0"/>
    <n v="2.97"/>
    <n v="0"/>
    <n v="7"/>
    <n v="33.26"/>
    <n v="1.58"/>
    <n v="31.68"/>
    <n v="1"/>
  </r>
  <r>
    <s v="2021-06-23"/>
    <s v="Vancouver"/>
    <s v="加拿大二店"/>
    <x v="3"/>
    <x v="5"/>
    <x v="29"/>
    <x v="30"/>
    <x v="31"/>
    <s v="整份"/>
    <n v="3.95"/>
    <s v="份"/>
    <n v="2"/>
    <n v="7.9"/>
    <n v="0"/>
    <n v="0"/>
    <n v="0"/>
    <n v="0"/>
    <n v="0"/>
    <n v="0"/>
    <n v="0"/>
    <n v="0"/>
    <n v="0.79"/>
    <n v="0"/>
    <n v="2"/>
    <n v="7.46"/>
    <n v="0.35"/>
    <n v="7.11"/>
    <n v="1"/>
  </r>
  <r>
    <s v="2021-06-23"/>
    <s v="Vancouver"/>
    <s v="加拿大二店"/>
    <x v="6"/>
    <x v="13"/>
    <x v="30"/>
    <x v="31"/>
    <x v="32"/>
    <s v="整份"/>
    <n v="4.95"/>
    <s v="份"/>
    <n v="4"/>
    <n v="19.8"/>
    <n v="0"/>
    <n v="0"/>
    <n v="0"/>
    <n v="0"/>
    <n v="0"/>
    <n v="0"/>
    <n v="0"/>
    <n v="0"/>
    <n v="0"/>
    <n v="0"/>
    <n v="4"/>
    <n v="20.79"/>
    <n v="0.99"/>
    <n v="19.8"/>
    <n v="1"/>
  </r>
  <r>
    <s v="2021-06-23"/>
    <s v="Vancouver"/>
    <s v="加拿大二店"/>
    <x v="6"/>
    <x v="13"/>
    <x v="31"/>
    <x v="32"/>
    <x v="33"/>
    <s v="整份"/>
    <n v="9.95"/>
    <s v="份"/>
    <n v="1"/>
    <n v="9.95"/>
    <n v="0"/>
    <n v="0"/>
    <n v="0"/>
    <n v="0"/>
    <n v="0"/>
    <n v="0"/>
    <n v="0"/>
    <n v="0"/>
    <n v="0"/>
    <n v="0"/>
    <n v="1"/>
    <n v="10.44"/>
    <n v="0.49"/>
    <n v="9.95"/>
    <n v="1"/>
  </r>
  <r>
    <s v="2021-06-23"/>
    <s v="Vancouver"/>
    <s v="加拿大二店"/>
    <x v="1"/>
    <x v="3"/>
    <x v="33"/>
    <x v="34"/>
    <x v="35"/>
    <s v="整份"/>
    <n v="11.95"/>
    <s v="份"/>
    <n v="15"/>
    <n v="179.25"/>
    <n v="0"/>
    <n v="0"/>
    <n v="0"/>
    <n v="0"/>
    <n v="1"/>
    <n v="11.95"/>
    <n v="0"/>
    <n v="0"/>
    <n v="21.54"/>
    <n v="0"/>
    <n v="14"/>
    <n v="153.04"/>
    <n v="7.28"/>
    <n v="145.76"/>
    <n v="1"/>
  </r>
  <r>
    <s v="2021-06-23"/>
    <s v="Vancouver"/>
    <s v="加拿大二店"/>
    <x v="5"/>
    <x v="12"/>
    <x v="34"/>
    <x v="35"/>
    <x v="36"/>
    <s v="整份"/>
    <n v="11.95"/>
    <s v="份"/>
    <n v="5"/>
    <n v="59.75"/>
    <n v="0"/>
    <n v="0"/>
    <n v="0"/>
    <n v="0"/>
    <n v="0"/>
    <n v="0"/>
    <n v="0"/>
    <n v="0"/>
    <n v="9.56"/>
    <n v="0"/>
    <n v="5"/>
    <n v="52.69"/>
    <n v="2.5"/>
    <n v="50.19"/>
    <n v="1"/>
  </r>
  <r>
    <s v="2021-06-23"/>
    <s v="Vancouver"/>
    <s v="加拿大二店"/>
    <x v="5"/>
    <x v="12"/>
    <x v="35"/>
    <x v="36"/>
    <x v="37"/>
    <s v="条"/>
    <n v="4.95"/>
    <s v="条"/>
    <n v="4"/>
    <n v="19.8"/>
    <n v="0"/>
    <n v="0"/>
    <n v="0"/>
    <n v="0"/>
    <n v="1"/>
    <n v="4.95"/>
    <n v="0"/>
    <n v="0"/>
    <n v="0"/>
    <n v="0"/>
    <n v="3"/>
    <n v="15.59"/>
    <n v="0.74"/>
    <n v="14.85"/>
    <n v="1"/>
  </r>
  <r>
    <s v="2021-06-23"/>
    <s v="Vancouver"/>
    <s v="加拿大二店"/>
    <x v="5"/>
    <x v="12"/>
    <x v="36"/>
    <x v="37"/>
    <x v="38"/>
    <s v="整份"/>
    <n v="13.95"/>
    <s v="份"/>
    <n v="6"/>
    <n v="83.7"/>
    <n v="0"/>
    <n v="0"/>
    <n v="0"/>
    <n v="0"/>
    <n v="0"/>
    <n v="0"/>
    <n v="0"/>
    <n v="0"/>
    <n v="0"/>
    <n v="0"/>
    <n v="6"/>
    <n v="87.88"/>
    <n v="4.18"/>
    <n v="83.7"/>
    <n v="1"/>
  </r>
  <r>
    <s v="2021-06-23"/>
    <s v="Vancouver"/>
    <s v="加拿大二店"/>
    <x v="5"/>
    <x v="12"/>
    <x v="37"/>
    <x v="38"/>
    <x v="39"/>
    <s v="整份"/>
    <n v="9.95"/>
    <s v="份"/>
    <n v="8"/>
    <n v="79.6"/>
    <n v="0"/>
    <n v="0"/>
    <n v="0"/>
    <n v="0"/>
    <n v="0"/>
    <n v="0"/>
    <n v="0"/>
    <n v="0"/>
    <n v="8.95"/>
    <n v="0"/>
    <n v="8"/>
    <n v="74.18"/>
    <n v="3.53"/>
    <n v="70.65"/>
    <n v="1"/>
  </r>
  <r>
    <s v="2021-06-23"/>
    <s v="Vancouver"/>
    <s v="加拿大二店"/>
    <x v="5"/>
    <x v="12"/>
    <x v="38"/>
    <x v="39"/>
    <x v="40"/>
    <s v="整份"/>
    <n v="9.95"/>
    <s v="份"/>
    <n v="2"/>
    <n v="19.9"/>
    <n v="0"/>
    <n v="0"/>
    <n v="0"/>
    <n v="0"/>
    <n v="0"/>
    <n v="0"/>
    <n v="0"/>
    <n v="0"/>
    <n v="0"/>
    <n v="0"/>
    <n v="2"/>
    <n v="20.89"/>
    <n v="0.99"/>
    <n v="19.9"/>
    <n v="1"/>
  </r>
  <r>
    <s v="2021-06-23"/>
    <s v="Vancouver"/>
    <s v="加拿大二店"/>
    <x v="6"/>
    <x v="13"/>
    <x v="39"/>
    <x v="40"/>
    <x v="41"/>
    <s v="整份"/>
    <n v="8.95"/>
    <s v="份"/>
    <n v="8"/>
    <n v="71.6"/>
    <n v="0"/>
    <n v="0"/>
    <n v="0"/>
    <n v="0"/>
    <n v="1"/>
    <n v="8.95"/>
    <n v="0"/>
    <n v="0"/>
    <n v="1.79"/>
    <n v="0"/>
    <n v="7"/>
    <n v="63.9"/>
    <n v="3.04"/>
    <n v="60.86"/>
    <n v="1"/>
  </r>
  <r>
    <s v="2021-06-23"/>
    <s v="Vancouver"/>
    <s v="加拿大二店"/>
    <x v="5"/>
    <x v="12"/>
    <x v="40"/>
    <x v="41"/>
    <x v="42"/>
    <s v="整份"/>
    <n v="9.95"/>
    <s v="份"/>
    <n v="6"/>
    <n v="59.7"/>
    <n v="0"/>
    <n v="0"/>
    <n v="0"/>
    <n v="0"/>
    <n v="0"/>
    <n v="0"/>
    <n v="0"/>
    <n v="0"/>
    <n v="3.98"/>
    <n v="0"/>
    <n v="6"/>
    <n v="58.5"/>
    <n v="2.78"/>
    <n v="55.72"/>
    <n v="1"/>
  </r>
  <r>
    <s v="2021-06-23"/>
    <s v="Vancouver"/>
    <s v="加拿大二店"/>
    <x v="1"/>
    <x v="6"/>
    <x v="131"/>
    <x v="125"/>
    <x v="136"/>
    <s v="整份"/>
    <n v="28.95"/>
    <s v="份"/>
    <n v="1"/>
    <n v="28.95"/>
    <n v="0"/>
    <n v="0"/>
    <n v="0"/>
    <n v="0"/>
    <n v="0"/>
    <n v="0"/>
    <n v="0"/>
    <n v="0.01"/>
    <n v="0"/>
    <n v="0"/>
    <n v="1"/>
    <n v="30.67"/>
    <n v="1.73"/>
    <n v="28.94"/>
    <n v="1"/>
  </r>
  <r>
    <s v="2021-06-23"/>
    <s v="Vancouver"/>
    <s v="加拿大二店"/>
    <x v="5"/>
    <x v="12"/>
    <x v="41"/>
    <x v="42"/>
    <x v="43"/>
    <s v="整份"/>
    <n v="7.95"/>
    <s v="份"/>
    <n v="5"/>
    <n v="39.75"/>
    <n v="0"/>
    <n v="0"/>
    <n v="0"/>
    <n v="0"/>
    <n v="0"/>
    <n v="0"/>
    <n v="0"/>
    <n v="0"/>
    <n v="7.94"/>
    <n v="0"/>
    <n v="5"/>
    <n v="33.4"/>
    <n v="1.59"/>
    <n v="31.81"/>
    <n v="1"/>
  </r>
  <r>
    <s v="2021-06-23"/>
    <s v="Vancouver"/>
    <s v="加拿大二店"/>
    <x v="2"/>
    <x v="2"/>
    <x v="42"/>
    <x v="43"/>
    <x v="44"/>
    <s v="冰镇"/>
    <n v="5.95"/>
    <s v="瓶"/>
    <n v="8"/>
    <n v="47.6"/>
    <n v="0"/>
    <n v="0"/>
    <n v="0"/>
    <n v="0"/>
    <n v="0"/>
    <n v="0"/>
    <n v="0"/>
    <n v="0"/>
    <n v="0"/>
    <n v="0"/>
    <n v="8"/>
    <n v="54.74"/>
    <n v="7.14"/>
    <n v="47.6"/>
    <n v="1"/>
  </r>
  <r>
    <s v="2021-06-23"/>
    <s v="Vancouver"/>
    <s v="加拿大二店"/>
    <x v="3"/>
    <x v="5"/>
    <x v="43"/>
    <x v="44"/>
    <x v="45"/>
    <s v="整份"/>
    <n v="3.95"/>
    <s v="份"/>
    <n v="1"/>
    <n v="3.95"/>
    <n v="0"/>
    <n v="0"/>
    <n v="0"/>
    <n v="0"/>
    <n v="0"/>
    <n v="0"/>
    <n v="0"/>
    <n v="0"/>
    <n v="1.18"/>
    <n v="0"/>
    <n v="1"/>
    <n v="2.9"/>
    <n v="0.13"/>
    <n v="2.77"/>
    <n v="1"/>
  </r>
  <r>
    <s v="2021-06-23"/>
    <s v="Vancouver"/>
    <s v="加拿大二店"/>
    <x v="7"/>
    <x v="14"/>
    <x v="44"/>
    <x v="45"/>
    <x v="46"/>
    <s v="整份"/>
    <n v="0"/>
    <s v="份"/>
    <n v="4"/>
    <n v="0"/>
    <n v="0"/>
    <n v="0"/>
    <n v="0"/>
    <n v="0"/>
    <n v="0"/>
    <n v="0"/>
    <n v="0"/>
    <n v="0"/>
    <n v="0"/>
    <n v="0"/>
    <n v="4"/>
    <n v="0"/>
    <n v="0"/>
    <n v="0"/>
    <n v="1"/>
  </r>
  <r>
    <s v="2021-06-23"/>
    <s v="Vancouver"/>
    <s v="加拿大二店"/>
    <x v="7"/>
    <x v="14"/>
    <x v="45"/>
    <x v="46"/>
    <x v="47"/>
    <s v="整份"/>
    <n v="3.49"/>
    <s v="份"/>
    <n v="1"/>
    <n v="3.49"/>
    <n v="0"/>
    <n v="0"/>
    <n v="0"/>
    <n v="0"/>
    <n v="0"/>
    <n v="0"/>
    <n v="0"/>
    <n v="0.01"/>
    <n v="0"/>
    <n v="0"/>
    <n v="1"/>
    <n v="3.65"/>
    <n v="0.17"/>
    <n v="3.48"/>
    <n v="1"/>
  </r>
  <r>
    <s v="2021-06-23"/>
    <s v="Vancouver"/>
    <s v="加拿大二店"/>
    <x v="7"/>
    <x v="14"/>
    <x v="45"/>
    <x v="46"/>
    <x v="47"/>
    <s v="整份"/>
    <n v="9.99"/>
    <s v="份"/>
    <n v="1"/>
    <n v="9.99"/>
    <n v="0"/>
    <n v="0"/>
    <n v="0"/>
    <n v="0"/>
    <n v="0"/>
    <n v="0"/>
    <n v="0"/>
    <n v="-0.01"/>
    <n v="0"/>
    <n v="0"/>
    <n v="1"/>
    <n v="10.5"/>
    <n v="0.5"/>
    <n v="10"/>
    <n v="1"/>
  </r>
  <r>
    <s v="2021-06-23"/>
    <s v="Vancouver"/>
    <s v="加拿大二店"/>
    <x v="7"/>
    <x v="14"/>
    <x v="45"/>
    <x v="46"/>
    <x v="47"/>
    <s v="整份"/>
    <n v="12.99"/>
    <s v="份"/>
    <n v="5"/>
    <n v="64.95"/>
    <n v="0"/>
    <n v="0"/>
    <n v="0"/>
    <n v="0"/>
    <n v="0"/>
    <n v="0"/>
    <n v="0"/>
    <n v="-0.01"/>
    <n v="0"/>
    <n v="0"/>
    <n v="5"/>
    <n v="68.2"/>
    <n v="3.24"/>
    <n v="64.96"/>
    <n v="1"/>
  </r>
  <r>
    <s v="2021-06-23"/>
    <s v="Vancouver"/>
    <s v="加拿大二店"/>
    <x v="7"/>
    <x v="14"/>
    <x v="45"/>
    <x v="46"/>
    <x v="47"/>
    <s v="整份"/>
    <n v="14.99"/>
    <s v="份"/>
    <n v="1"/>
    <n v="14.99"/>
    <n v="0"/>
    <n v="0"/>
    <n v="0"/>
    <n v="0"/>
    <n v="0"/>
    <n v="0"/>
    <n v="0"/>
    <n v="0"/>
    <n v="0"/>
    <n v="0"/>
    <n v="1"/>
    <n v="15.73"/>
    <n v="0.74"/>
    <n v="14.99"/>
    <n v="1"/>
  </r>
  <r>
    <s v="2021-06-23"/>
    <s v="Vancouver"/>
    <s v="加拿大二店"/>
    <x v="7"/>
    <x v="14"/>
    <x v="45"/>
    <x v="46"/>
    <x v="47"/>
    <s v="整份"/>
    <n v="21.5"/>
    <s v="份"/>
    <n v="1"/>
    <n v="21.5"/>
    <n v="0"/>
    <n v="0"/>
    <n v="0"/>
    <n v="0"/>
    <n v="0"/>
    <n v="0"/>
    <n v="0"/>
    <n v="0"/>
    <n v="0"/>
    <n v="0"/>
    <n v="1"/>
    <n v="22.57"/>
    <n v="1.07"/>
    <n v="21.5"/>
    <n v="1"/>
  </r>
  <r>
    <s v="2021-06-23"/>
    <s v="Vancouver"/>
    <s v="加拿大二店"/>
    <x v="7"/>
    <x v="14"/>
    <x v="45"/>
    <x v="46"/>
    <x v="47"/>
    <s v="整份"/>
    <n v="23.8"/>
    <s v="份"/>
    <n v="1"/>
    <n v="23.8"/>
    <n v="0"/>
    <n v="0"/>
    <n v="0"/>
    <n v="0"/>
    <n v="0"/>
    <n v="0"/>
    <n v="0"/>
    <n v="0"/>
    <n v="0"/>
    <n v="0"/>
    <n v="1"/>
    <n v="24.99"/>
    <n v="1.19"/>
    <n v="23.8"/>
    <n v="1"/>
  </r>
  <r>
    <s v="2021-06-23"/>
    <s v="Vancouver"/>
    <s v="加拿大二店"/>
    <x v="7"/>
    <x v="14"/>
    <x v="45"/>
    <x v="46"/>
    <x v="47"/>
    <s v="整份"/>
    <n v="26.25"/>
    <s v="份"/>
    <n v="1"/>
    <n v="26.25"/>
    <n v="0"/>
    <n v="0"/>
    <n v="0"/>
    <n v="0"/>
    <n v="0"/>
    <n v="0"/>
    <n v="0"/>
    <n v="-0.02"/>
    <n v="0"/>
    <n v="0"/>
    <n v="1"/>
    <n v="27.58"/>
    <n v="1.31"/>
    <n v="26.27"/>
    <n v="1"/>
  </r>
  <r>
    <s v="2021-06-23"/>
    <s v="Vancouver"/>
    <s v="加拿大二店"/>
    <x v="7"/>
    <x v="14"/>
    <x v="45"/>
    <x v="46"/>
    <x v="47"/>
    <s v="整份"/>
    <n v="27.25"/>
    <s v="份"/>
    <n v="1"/>
    <n v="27.25"/>
    <n v="0"/>
    <n v="0"/>
    <n v="0"/>
    <n v="0"/>
    <n v="0"/>
    <n v="0"/>
    <n v="0"/>
    <n v="-0.01"/>
    <n v="0"/>
    <n v="0"/>
    <n v="1"/>
    <n v="28.62"/>
    <n v="1.36"/>
    <n v="27.26"/>
    <n v="1"/>
  </r>
  <r>
    <s v="2021-06-23"/>
    <s v="Vancouver"/>
    <s v="加拿大二店"/>
    <x v="7"/>
    <x v="14"/>
    <x v="45"/>
    <x v="46"/>
    <x v="47"/>
    <s v="整份"/>
    <n v="27.75"/>
    <s v="份"/>
    <n v="1"/>
    <n v="27.75"/>
    <n v="0"/>
    <n v="0"/>
    <n v="0"/>
    <n v="0"/>
    <n v="0"/>
    <n v="0"/>
    <n v="0"/>
    <n v="0"/>
    <n v="0"/>
    <n v="0"/>
    <n v="1"/>
    <n v="29.13"/>
    <n v="1.38"/>
    <n v="27.75"/>
    <n v="1"/>
  </r>
  <r>
    <s v="2021-06-23"/>
    <s v="Vancouver"/>
    <s v="加拿大二店"/>
    <x v="7"/>
    <x v="14"/>
    <x v="45"/>
    <x v="46"/>
    <x v="47"/>
    <s v="整份"/>
    <n v="28.2"/>
    <s v="份"/>
    <n v="2"/>
    <n v="56.4"/>
    <n v="0"/>
    <n v="0"/>
    <n v="0"/>
    <n v="0"/>
    <n v="0"/>
    <n v="0"/>
    <n v="0"/>
    <n v="0.04"/>
    <n v="0"/>
    <n v="0"/>
    <n v="2"/>
    <n v="59.17"/>
    <n v="2.81"/>
    <n v="56.36"/>
    <n v="1"/>
  </r>
  <r>
    <s v="2021-06-23"/>
    <s v="Vancouver"/>
    <s v="加拿大二店"/>
    <x v="7"/>
    <x v="14"/>
    <x v="45"/>
    <x v="46"/>
    <x v="47"/>
    <s v="整份"/>
    <n v="28.95"/>
    <s v="份"/>
    <n v="6"/>
    <n v="173.7"/>
    <n v="0"/>
    <n v="0"/>
    <n v="0"/>
    <n v="0"/>
    <n v="0"/>
    <n v="0"/>
    <n v="0"/>
    <n v="0.02"/>
    <n v="0"/>
    <n v="0"/>
    <n v="6"/>
    <n v="182.36"/>
    <n v="8.68"/>
    <n v="173.68"/>
    <n v="1"/>
  </r>
  <r>
    <s v="2021-06-23"/>
    <s v="Vancouver"/>
    <s v="加拿大二店"/>
    <x v="7"/>
    <x v="14"/>
    <x v="45"/>
    <x v="46"/>
    <x v="47"/>
    <s v="整份"/>
    <n v="29.95"/>
    <s v="份"/>
    <n v="2"/>
    <n v="59.9"/>
    <n v="0"/>
    <n v="0"/>
    <n v="0"/>
    <n v="0"/>
    <n v="0"/>
    <n v="0"/>
    <n v="0"/>
    <n v="0.02"/>
    <n v="0"/>
    <n v="0"/>
    <n v="2"/>
    <n v="62.87"/>
    <n v="2.99"/>
    <n v="59.88"/>
    <n v="1"/>
  </r>
  <r>
    <s v="2021-06-23"/>
    <s v="Vancouver"/>
    <s v="加拿大二店"/>
    <x v="7"/>
    <x v="14"/>
    <x v="45"/>
    <x v="46"/>
    <x v="47"/>
    <s v="整份"/>
    <n v="59.95"/>
    <s v="份"/>
    <n v="1"/>
    <n v="59.95"/>
    <n v="0"/>
    <n v="0"/>
    <n v="0"/>
    <n v="0"/>
    <n v="0"/>
    <n v="0"/>
    <n v="0"/>
    <n v="0"/>
    <n v="0"/>
    <n v="0"/>
    <n v="1"/>
    <n v="62.94"/>
    <n v="2.99"/>
    <n v="59.95"/>
    <n v="1"/>
  </r>
  <r>
    <s v="2021-06-23"/>
    <s v="Vancouver"/>
    <s v="加拿大二店"/>
    <x v="7"/>
    <x v="14"/>
    <x v="45"/>
    <x v="46"/>
    <x v="47"/>
    <s v="整份"/>
    <n v="277.88"/>
    <s v="份"/>
    <n v="1"/>
    <n v="277.88"/>
    <n v="1"/>
    <n v="277.88"/>
    <n v="0"/>
    <n v="0"/>
    <n v="0"/>
    <n v="0"/>
    <n v="0"/>
    <n v="0"/>
    <n v="0"/>
    <n v="0"/>
    <n v="0"/>
    <n v="0"/>
    <n v="0"/>
    <n v="0"/>
    <n v="1"/>
  </r>
  <r>
    <s v="2021-06-23"/>
    <s v="Vancouver"/>
    <s v="加拿大二店"/>
    <x v="7"/>
    <x v="14"/>
    <x v="45"/>
    <x v="46"/>
    <x v="47"/>
    <s v="整份"/>
    <n v="291.78"/>
    <s v="份"/>
    <n v="2"/>
    <n v="583.56"/>
    <n v="1"/>
    <n v="291.78"/>
    <n v="0"/>
    <n v="0"/>
    <n v="0"/>
    <n v="0"/>
    <n v="0"/>
    <n v="0.02"/>
    <n v="14.77"/>
    <n v="0"/>
    <n v="1"/>
    <n v="290.83"/>
    <n v="13.84"/>
    <n v="276.99"/>
    <n v="1"/>
  </r>
  <r>
    <s v="2021-06-23"/>
    <s v="Vancouver"/>
    <s v="加拿大二店"/>
    <x v="6"/>
    <x v="13"/>
    <x v="48"/>
    <x v="49"/>
    <x v="50"/>
    <s v="整份"/>
    <n v="4.95"/>
    <s v="份"/>
    <n v="4"/>
    <n v="19.8"/>
    <n v="0"/>
    <n v="0"/>
    <n v="0"/>
    <n v="0"/>
    <n v="0"/>
    <n v="0"/>
    <n v="0"/>
    <n v="0"/>
    <n v="0"/>
    <n v="0"/>
    <n v="4"/>
    <n v="20.79"/>
    <n v="0.99"/>
    <n v="19.8"/>
    <n v="1"/>
  </r>
  <r>
    <s v="2021-06-23"/>
    <s v="Vancouver"/>
    <s v="加拿大二店"/>
    <x v="3"/>
    <x v="7"/>
    <x v="49"/>
    <x v="50"/>
    <x v="51"/>
    <s v="整份"/>
    <n v="4.95"/>
    <s v="份"/>
    <n v="1"/>
    <n v="4.95"/>
    <n v="0"/>
    <n v="0"/>
    <n v="0"/>
    <n v="0"/>
    <n v="0"/>
    <n v="0"/>
    <n v="0"/>
    <n v="0"/>
    <n v="0.99"/>
    <n v="0"/>
    <n v="1"/>
    <n v="4.15"/>
    <n v="0.19"/>
    <n v="3.96"/>
    <n v="1"/>
  </r>
  <r>
    <s v="2021-06-23"/>
    <s v="Vancouver"/>
    <s v="加拿大二店"/>
    <x v="6"/>
    <x v="15"/>
    <x v="50"/>
    <x v="51"/>
    <x v="52"/>
    <s v="份"/>
    <n v="8.95"/>
    <s v="份"/>
    <n v="3"/>
    <n v="26.85"/>
    <n v="0"/>
    <n v="0"/>
    <n v="0"/>
    <n v="0"/>
    <n v="0"/>
    <n v="0"/>
    <n v="0"/>
    <n v="0.01"/>
    <n v="0"/>
    <n v="0"/>
    <n v="3"/>
    <n v="28.18"/>
    <n v="1.34"/>
    <n v="26.84"/>
    <n v="1"/>
  </r>
  <r>
    <s v="2021-06-23"/>
    <s v="Vancouver"/>
    <s v="加拿大二店"/>
    <x v="3"/>
    <x v="5"/>
    <x v="51"/>
    <x v="52"/>
    <x v="53"/>
    <s v="整份"/>
    <n v="3.95"/>
    <s v="份"/>
    <n v="5"/>
    <n v="19.75"/>
    <n v="0"/>
    <n v="0"/>
    <n v="0"/>
    <n v="0"/>
    <n v="0"/>
    <n v="0"/>
    <n v="0"/>
    <n v="0"/>
    <n v="3.94"/>
    <n v="0"/>
    <n v="5"/>
    <n v="16.6"/>
    <n v="0.79"/>
    <n v="15.81"/>
    <n v="1"/>
  </r>
  <r>
    <s v="2021-06-23"/>
    <s v="Vancouver"/>
    <s v="加拿大二店"/>
    <x v="3"/>
    <x v="5"/>
    <x v="52"/>
    <x v="53"/>
    <x v="54"/>
    <s v="整份"/>
    <n v="5.95"/>
    <s v="份"/>
    <n v="3"/>
    <n v="17.85"/>
    <n v="0"/>
    <n v="0"/>
    <n v="0"/>
    <n v="0"/>
    <n v="0"/>
    <n v="0"/>
    <n v="0"/>
    <n v="-0.01"/>
    <n v="1.84"/>
    <n v="0"/>
    <n v="3"/>
    <n v="16.82"/>
    <n v="0.8"/>
    <n v="16.02"/>
    <n v="1"/>
  </r>
  <r>
    <s v="2021-06-23"/>
    <s v="Vancouver"/>
    <s v="加拿大二店"/>
    <x v="4"/>
    <x v="9"/>
    <x v="53"/>
    <x v="0"/>
    <x v="55"/>
    <s v="拼锅"/>
    <n v="0"/>
    <s v="锅"/>
    <n v="8"/>
    <n v="0"/>
    <n v="0"/>
    <n v="0"/>
    <n v="0"/>
    <n v="0"/>
    <n v="0"/>
    <n v="0"/>
    <n v="0"/>
    <n v="-0.02"/>
    <n v="0"/>
    <n v="0"/>
    <n v="8"/>
    <n v="0.02"/>
    <n v="0"/>
    <n v="0.02"/>
    <n v="2"/>
  </r>
  <r>
    <s v="2021-06-23"/>
    <s v="Vancouver"/>
    <s v="加拿大二店"/>
    <x v="4"/>
    <x v="10"/>
    <x v="53"/>
    <x v="0"/>
    <x v="55"/>
    <s v="四宫格"/>
    <n v="0"/>
    <s v="锅"/>
    <n v="8"/>
    <n v="0"/>
    <n v="0"/>
    <n v="0"/>
    <n v="0"/>
    <n v="0"/>
    <n v="2"/>
    <n v="0"/>
    <n v="0"/>
    <n v="0"/>
    <n v="0"/>
    <n v="0"/>
    <n v="6"/>
    <n v="0"/>
    <n v="0"/>
    <n v="0"/>
    <n v="1"/>
  </r>
  <r>
    <s v="2021-06-23"/>
    <s v="Vancouver"/>
    <s v="加拿大二店"/>
    <x v="6"/>
    <x v="13"/>
    <x v="54"/>
    <x v="54"/>
    <x v="56"/>
    <s v="个"/>
    <n v="1.95"/>
    <s v="个"/>
    <n v="6"/>
    <n v="11.7"/>
    <n v="0"/>
    <n v="0"/>
    <n v="0"/>
    <n v="0"/>
    <n v="0"/>
    <n v="0"/>
    <n v="0"/>
    <n v="0"/>
    <n v="0"/>
    <n v="0"/>
    <n v="6"/>
    <n v="12.28"/>
    <n v="0.58"/>
    <n v="11.7"/>
    <n v="1"/>
  </r>
  <r>
    <s v="2021-06-23"/>
    <s v="Vancouver"/>
    <s v="加拿大二店"/>
    <x v="6"/>
    <x v="13"/>
    <x v="114"/>
    <x v="108"/>
    <x v="118"/>
    <s v="整份"/>
    <n v="7.95"/>
    <s v="份"/>
    <n v="1"/>
    <n v="7.95"/>
    <n v="0"/>
    <n v="0"/>
    <n v="0"/>
    <n v="0"/>
    <n v="0"/>
    <n v="0"/>
    <n v="0"/>
    <n v="0.01"/>
    <n v="0"/>
    <n v="0"/>
    <n v="1"/>
    <n v="8.33"/>
    <n v="0.39"/>
    <n v="7.94"/>
    <n v="1"/>
  </r>
  <r>
    <s v="2021-06-23"/>
    <s v="Vancouver"/>
    <s v="加拿大二店"/>
    <x v="1"/>
    <x v="8"/>
    <x v="55"/>
    <x v="55"/>
    <x v="57"/>
    <s v="整份"/>
    <n v="9.95"/>
    <s v="份"/>
    <n v="2"/>
    <n v="19.9"/>
    <n v="0"/>
    <n v="0"/>
    <n v="0"/>
    <n v="0"/>
    <n v="0"/>
    <n v="0"/>
    <n v="0"/>
    <n v="0"/>
    <n v="0"/>
    <n v="0"/>
    <n v="2"/>
    <n v="20.89"/>
    <n v="0.99"/>
    <n v="19.9"/>
    <n v="1"/>
  </r>
  <r>
    <s v="2021-06-23"/>
    <s v="Vancouver"/>
    <s v="加拿大二店"/>
    <x v="1"/>
    <x v="1"/>
    <x v="56"/>
    <x v="56"/>
    <x v="58"/>
    <s v="整份"/>
    <n v="12.95"/>
    <s v="份"/>
    <n v="5"/>
    <n v="64.75"/>
    <n v="0"/>
    <n v="0"/>
    <n v="0"/>
    <n v="0"/>
    <n v="0"/>
    <n v="0"/>
    <n v="0"/>
    <n v="0"/>
    <n v="0"/>
    <n v="0"/>
    <n v="5"/>
    <n v="67.98"/>
    <n v="3.23"/>
    <n v="64.75"/>
    <n v="1"/>
  </r>
  <r>
    <s v="2021-06-23"/>
    <s v="Vancouver"/>
    <s v="加拿大二店"/>
    <x v="1"/>
    <x v="1"/>
    <x v="57"/>
    <x v="57"/>
    <x v="59"/>
    <s v="整份"/>
    <n v="11.95"/>
    <s v="份"/>
    <n v="9"/>
    <n v="107.55"/>
    <n v="0"/>
    <n v="0"/>
    <n v="0"/>
    <n v="0"/>
    <n v="0"/>
    <n v="0"/>
    <n v="0"/>
    <n v="0"/>
    <n v="5.97"/>
    <n v="0"/>
    <n v="9"/>
    <n v="106.65"/>
    <n v="5.07"/>
    <n v="101.58"/>
    <n v="1"/>
  </r>
  <r>
    <s v="2021-06-23"/>
    <s v="Vancouver"/>
    <s v="加拿大二店"/>
    <x v="4"/>
    <x v="9"/>
    <x v="58"/>
    <x v="0"/>
    <x v="60"/>
    <s v="拼锅"/>
    <n v="8.95"/>
    <s v="锅"/>
    <n v="7"/>
    <n v="62.65"/>
    <n v="0"/>
    <n v="0"/>
    <n v="0"/>
    <n v="0"/>
    <n v="0"/>
    <n v="0"/>
    <n v="0"/>
    <n v="-0.02"/>
    <n v="0"/>
    <n v="0"/>
    <n v="7"/>
    <n v="65.8"/>
    <n v="3.13"/>
    <n v="62.67"/>
    <n v="2"/>
  </r>
  <r>
    <s v="2021-06-23"/>
    <s v="Vancouver"/>
    <s v="加拿大二店"/>
    <x v="4"/>
    <x v="10"/>
    <x v="58"/>
    <x v="0"/>
    <x v="60"/>
    <s v="四宫格"/>
    <n v="4.95"/>
    <s v="锅"/>
    <n v="5"/>
    <n v="24.75"/>
    <n v="0"/>
    <n v="0"/>
    <n v="0"/>
    <n v="0"/>
    <n v="0"/>
    <n v="0"/>
    <n v="0"/>
    <n v="0"/>
    <n v="0.99"/>
    <n v="0"/>
    <n v="5"/>
    <n v="24.94"/>
    <n v="1.18"/>
    <n v="23.76"/>
    <n v="1"/>
  </r>
  <r>
    <s v="2021-06-23"/>
    <s v="Vancouver"/>
    <s v="加拿大二店"/>
    <x v="3"/>
    <x v="5"/>
    <x v="59"/>
    <x v="58"/>
    <x v="61"/>
    <s v="整份"/>
    <n v="4.95"/>
    <s v="份"/>
    <n v="2"/>
    <n v="9.9"/>
    <n v="0"/>
    <n v="0"/>
    <n v="0"/>
    <n v="0"/>
    <n v="0"/>
    <n v="0"/>
    <n v="0"/>
    <n v="0"/>
    <n v="0"/>
    <n v="0"/>
    <n v="2"/>
    <n v="10.39"/>
    <n v="0.49"/>
    <n v="9.9"/>
    <n v="1"/>
  </r>
  <r>
    <s v="2021-06-23"/>
    <s v="Vancouver"/>
    <s v="加拿大二店"/>
    <x v="2"/>
    <x v="4"/>
    <x v="60"/>
    <x v="59"/>
    <x v="62"/>
    <s v="冰镇"/>
    <n v="6.95"/>
    <s v="扎"/>
    <n v="1"/>
    <n v="6.95"/>
    <n v="0"/>
    <n v="0"/>
    <n v="0"/>
    <n v="0"/>
    <n v="0"/>
    <n v="0"/>
    <n v="0"/>
    <n v="0"/>
    <n v="0"/>
    <n v="0"/>
    <n v="1"/>
    <n v="7.78"/>
    <n v="0.83"/>
    <n v="6.95"/>
    <n v="1"/>
  </r>
  <r>
    <s v="2021-06-23"/>
    <s v="Vancouver"/>
    <s v="加拿大二店"/>
    <x v="6"/>
    <x v="13"/>
    <x v="61"/>
    <x v="60"/>
    <x v="63"/>
    <s v="整份"/>
    <n v="3.95"/>
    <s v="包"/>
    <n v="3"/>
    <n v="11.85"/>
    <n v="0"/>
    <n v="0"/>
    <n v="0"/>
    <n v="0"/>
    <n v="0"/>
    <n v="0"/>
    <n v="0"/>
    <n v="0.02"/>
    <n v="0.79"/>
    <n v="0"/>
    <n v="3"/>
    <n v="11.59"/>
    <n v="0.55"/>
    <n v="11.04"/>
    <n v="1"/>
  </r>
  <r>
    <s v="2021-06-23"/>
    <s v="Vancouver"/>
    <s v="加拿大二店"/>
    <x v="1"/>
    <x v="8"/>
    <x v="116"/>
    <x v="110"/>
    <x v="120"/>
    <s v="个"/>
    <n v="0.95"/>
    <s v="个"/>
    <n v="6"/>
    <n v="5.7"/>
    <n v="0"/>
    <n v="0"/>
    <n v="0"/>
    <n v="0"/>
    <n v="0"/>
    <n v="0"/>
    <n v="0"/>
    <n v="0"/>
    <n v="0"/>
    <n v="0"/>
    <n v="6"/>
    <n v="5.98"/>
    <n v="0.28"/>
    <n v="5.7"/>
    <n v="1"/>
  </r>
  <r>
    <s v="2021-06-23"/>
    <s v="Vancouver"/>
    <s v="加拿大二店"/>
    <x v="4"/>
    <x v="9"/>
    <x v="62"/>
    <x v="0"/>
    <x v="64"/>
    <s v="拼锅"/>
    <n v="8.95"/>
    <s v="锅"/>
    <n v="10"/>
    <n v="89.5"/>
    <n v="0"/>
    <n v="0"/>
    <n v="0"/>
    <n v="0"/>
    <n v="0"/>
    <n v="0"/>
    <n v="0"/>
    <n v="0"/>
    <n v="3.58"/>
    <n v="0"/>
    <n v="10"/>
    <n v="90.21"/>
    <n v="4.29"/>
    <n v="85.92"/>
    <n v="2"/>
  </r>
  <r>
    <s v="2021-06-23"/>
    <s v="Vancouver"/>
    <s v="加拿大二店"/>
    <x v="4"/>
    <x v="10"/>
    <x v="62"/>
    <x v="0"/>
    <x v="64"/>
    <s v="四宫格"/>
    <n v="4.95"/>
    <s v="锅"/>
    <n v="9"/>
    <n v="44.55"/>
    <n v="0"/>
    <n v="0"/>
    <n v="0"/>
    <n v="0"/>
    <n v="1"/>
    <n v="4.95"/>
    <n v="0"/>
    <n v="0"/>
    <n v="0"/>
    <n v="0"/>
    <n v="8"/>
    <n v="41.58"/>
    <n v="1.98"/>
    <n v="39.6"/>
    <n v="1"/>
  </r>
  <r>
    <s v="2021-06-23"/>
    <s v="Vancouver"/>
    <s v="加拿大二店"/>
    <x v="6"/>
    <x v="13"/>
    <x v="63"/>
    <x v="61"/>
    <x v="65"/>
    <s v="整份"/>
    <n v="1.5"/>
    <s v="碗"/>
    <n v="12"/>
    <n v="18"/>
    <n v="0"/>
    <n v="0"/>
    <n v="0"/>
    <n v="0"/>
    <n v="1"/>
    <n v="1.5"/>
    <n v="0"/>
    <n v="0"/>
    <n v="0"/>
    <n v="0"/>
    <n v="11"/>
    <n v="17.32"/>
    <n v="0.82"/>
    <n v="16.5"/>
    <n v="1"/>
  </r>
  <r>
    <s v="2021-06-23"/>
    <s v="Vancouver"/>
    <s v="加拿大二店"/>
    <x v="3"/>
    <x v="5"/>
    <x v="64"/>
    <x v="62"/>
    <x v="66"/>
    <s v="整份"/>
    <n v="3.95"/>
    <s v="份"/>
    <n v="2"/>
    <n v="7.9"/>
    <n v="0"/>
    <n v="0"/>
    <n v="0"/>
    <n v="0"/>
    <n v="0"/>
    <n v="0"/>
    <n v="0"/>
    <n v="0"/>
    <n v="1.97"/>
    <n v="0"/>
    <n v="2"/>
    <n v="6.22"/>
    <n v="0.29"/>
    <n v="5.93"/>
    <n v="1"/>
  </r>
  <r>
    <s v="2021-06-23"/>
    <s v="Vancouver"/>
    <s v="加拿大二店"/>
    <x v="2"/>
    <x v="4"/>
    <x v="65"/>
    <x v="63"/>
    <x v="67"/>
    <s v="扎"/>
    <n v="8.95"/>
    <s v="扎"/>
    <n v="2"/>
    <n v="17.9"/>
    <n v="0"/>
    <n v="0"/>
    <n v="0"/>
    <n v="0"/>
    <n v="1"/>
    <n v="8.95"/>
    <n v="0"/>
    <n v="-0.02"/>
    <n v="0"/>
    <n v="0"/>
    <n v="1"/>
    <n v="10.04"/>
    <n v="1.07"/>
    <n v="8.97"/>
    <n v="1"/>
  </r>
  <r>
    <s v="2021-06-23"/>
    <s v="Vancouver"/>
    <s v="加拿大二店"/>
    <x v="2"/>
    <x v="4"/>
    <x v="66"/>
    <x v="64"/>
    <x v="68"/>
    <s v="扎"/>
    <n v="11.95"/>
    <s v="扎"/>
    <n v="2"/>
    <n v="23.9"/>
    <n v="0"/>
    <n v="0"/>
    <n v="0"/>
    <n v="0"/>
    <n v="0"/>
    <n v="0"/>
    <n v="0"/>
    <n v="0"/>
    <n v="2.39"/>
    <n v="0"/>
    <n v="2"/>
    <n v="24.09"/>
    <n v="2.58"/>
    <n v="21.51"/>
    <n v="1"/>
  </r>
  <r>
    <s v="2021-06-23"/>
    <s v="Vancouver"/>
    <s v="加拿大二店"/>
    <x v="3"/>
    <x v="5"/>
    <x v="134"/>
    <x v="128"/>
    <x v="139"/>
    <s v="整份"/>
    <n v="13.95"/>
    <s v="份"/>
    <n v="5"/>
    <n v="69.75"/>
    <n v="0"/>
    <n v="0"/>
    <n v="0"/>
    <n v="0"/>
    <n v="0"/>
    <n v="0"/>
    <n v="0"/>
    <n v="0.01"/>
    <n v="2.79"/>
    <n v="0"/>
    <n v="5"/>
    <n v="70.29"/>
    <n v="3.34"/>
    <n v="66.95"/>
    <n v="1"/>
  </r>
  <r>
    <s v="2021-06-23"/>
    <s v="Vancouver"/>
    <s v="加拿大二店"/>
    <x v="3"/>
    <x v="5"/>
    <x v="117"/>
    <x v="111"/>
    <x v="121"/>
    <s v="整份"/>
    <n v="4.95"/>
    <s v="份"/>
    <n v="4"/>
    <n v="19.8"/>
    <n v="0"/>
    <n v="0"/>
    <n v="0"/>
    <n v="0"/>
    <n v="0"/>
    <n v="0"/>
    <n v="0"/>
    <n v="0"/>
    <n v="0"/>
    <n v="0"/>
    <n v="4"/>
    <n v="20.79"/>
    <n v="0.99"/>
    <n v="19.8"/>
    <n v="1"/>
  </r>
  <r>
    <s v="2021-06-23"/>
    <s v="Vancouver"/>
    <s v="加拿大二店"/>
    <x v="3"/>
    <x v="7"/>
    <x v="67"/>
    <x v="65"/>
    <x v="69"/>
    <s v="整份"/>
    <n v="3.95"/>
    <s v="份"/>
    <n v="3"/>
    <n v="11.85"/>
    <n v="0"/>
    <n v="0"/>
    <n v="0"/>
    <n v="0"/>
    <n v="0"/>
    <n v="0"/>
    <n v="0"/>
    <n v="0.01"/>
    <n v="0"/>
    <n v="0"/>
    <n v="3"/>
    <n v="12.43"/>
    <n v="0.59"/>
    <n v="11.84"/>
    <n v="1"/>
  </r>
  <r>
    <s v="2021-06-23"/>
    <s v="Vancouver"/>
    <s v="加拿大二店"/>
    <x v="1"/>
    <x v="1"/>
    <x v="68"/>
    <x v="66"/>
    <x v="70"/>
    <s v="整份"/>
    <n v="8.95"/>
    <s v="份"/>
    <n v="26"/>
    <n v="232.7"/>
    <n v="1"/>
    <n v="8.95"/>
    <n v="0"/>
    <n v="0"/>
    <n v="1"/>
    <n v="8.95"/>
    <n v="0"/>
    <n v="0"/>
    <n v="16.1"/>
    <n v="0"/>
    <n v="24"/>
    <n v="208.63"/>
    <n v="9.93"/>
    <n v="198.7"/>
    <n v="1"/>
  </r>
  <r>
    <s v="2021-06-23"/>
    <s v="Vancouver"/>
    <s v="加拿大二店"/>
    <x v="1"/>
    <x v="1"/>
    <x v="69"/>
    <x v="67"/>
    <x v="71"/>
    <s v="整份"/>
    <n v="8.95"/>
    <s v="份"/>
    <n v="2"/>
    <n v="17.9"/>
    <n v="0"/>
    <n v="0"/>
    <n v="0"/>
    <n v="0"/>
    <n v="0"/>
    <n v="0"/>
    <n v="0"/>
    <n v="0"/>
    <n v="0"/>
    <n v="0"/>
    <n v="2"/>
    <n v="18.79"/>
    <n v="0.89"/>
    <n v="17.9"/>
    <n v="1"/>
  </r>
  <r>
    <s v="2021-06-23"/>
    <s v="Vancouver"/>
    <s v="加拿大二店"/>
    <x v="6"/>
    <x v="15"/>
    <x v="70"/>
    <x v="68"/>
    <x v="72"/>
    <s v="整份"/>
    <n v="1.5"/>
    <s v="份"/>
    <n v="7"/>
    <n v="10.5"/>
    <n v="0"/>
    <n v="0"/>
    <n v="0"/>
    <n v="0"/>
    <n v="0"/>
    <n v="0"/>
    <n v="0"/>
    <n v="0"/>
    <n v="0"/>
    <n v="0"/>
    <n v="7"/>
    <n v="11.02"/>
    <n v="0.52"/>
    <n v="10.5"/>
    <n v="1"/>
  </r>
  <r>
    <s v="2021-06-23"/>
    <s v="Vancouver"/>
    <s v="加拿大二店"/>
    <x v="4"/>
    <x v="9"/>
    <x v="71"/>
    <x v="0"/>
    <x v="73"/>
    <s v="拼锅"/>
    <n v="18.95"/>
    <s v="锅"/>
    <n v="7"/>
    <n v="132.65"/>
    <n v="0"/>
    <n v="0"/>
    <n v="0"/>
    <n v="0"/>
    <n v="0"/>
    <n v="0"/>
    <n v="0"/>
    <n v="0"/>
    <n v="9.47"/>
    <n v="0"/>
    <n v="7"/>
    <n v="129.33"/>
    <n v="6.15"/>
    <n v="123.18"/>
    <n v="2"/>
  </r>
  <r>
    <s v="2021-06-23"/>
    <s v="Vancouver"/>
    <s v="加拿大二店"/>
    <x v="4"/>
    <x v="10"/>
    <x v="71"/>
    <x v="0"/>
    <x v="73"/>
    <s v="四宫格"/>
    <n v="9.95"/>
    <s v="锅"/>
    <n v="3"/>
    <n v="29.85"/>
    <n v="0"/>
    <n v="0"/>
    <n v="0"/>
    <n v="0"/>
    <n v="0"/>
    <n v="0"/>
    <n v="0"/>
    <n v="0"/>
    <n v="0"/>
    <n v="0"/>
    <n v="3"/>
    <n v="31.34"/>
    <n v="1.49"/>
    <n v="29.85"/>
    <n v="1"/>
  </r>
  <r>
    <s v="2021-06-23"/>
    <s v="Vancouver"/>
    <s v="加拿大二店"/>
    <x v="1"/>
    <x v="8"/>
    <x v="72"/>
    <x v="69"/>
    <x v="74"/>
    <s v="个"/>
    <n v="7.95"/>
    <s v="份"/>
    <n v="5"/>
    <n v="39.75"/>
    <n v="0"/>
    <n v="0"/>
    <n v="0"/>
    <n v="0"/>
    <n v="0"/>
    <n v="0"/>
    <n v="0"/>
    <n v="0"/>
    <n v="0"/>
    <n v="0"/>
    <n v="5"/>
    <n v="41.73"/>
    <n v="1.98"/>
    <n v="39.75"/>
    <n v="1"/>
  </r>
  <r>
    <s v="2021-06-23"/>
    <s v="Vancouver"/>
    <s v="加拿大二店"/>
    <x v="6"/>
    <x v="13"/>
    <x v="73"/>
    <x v="70"/>
    <x v="75"/>
    <s v="份"/>
    <n v="6.95"/>
    <s v="份"/>
    <n v="2"/>
    <n v="13.9"/>
    <n v="0"/>
    <n v="0"/>
    <n v="0"/>
    <n v="0"/>
    <n v="1"/>
    <n v="6.95"/>
    <n v="0"/>
    <n v="0.01"/>
    <n v="1.39"/>
    <n v="0"/>
    <n v="1"/>
    <n v="5.82"/>
    <n v="0.27"/>
    <n v="5.55"/>
    <n v="1"/>
  </r>
  <r>
    <s v="2021-06-23"/>
    <s v="Vancouver"/>
    <s v="加拿大二店"/>
    <x v="4"/>
    <x v="9"/>
    <x v="74"/>
    <x v="0"/>
    <x v="76"/>
    <s v="拼锅"/>
    <n v="18.95"/>
    <s v="锅"/>
    <n v="2"/>
    <n v="37.9"/>
    <n v="0"/>
    <n v="0"/>
    <n v="0"/>
    <n v="0"/>
    <n v="0"/>
    <n v="0"/>
    <n v="0"/>
    <n v="0.01"/>
    <n v="0"/>
    <n v="0"/>
    <n v="2"/>
    <n v="39.78"/>
    <n v="1.89"/>
    <n v="37.89"/>
    <n v="2"/>
  </r>
  <r>
    <s v="2021-06-23"/>
    <s v="Vancouver"/>
    <s v="加拿大二店"/>
    <x v="4"/>
    <x v="10"/>
    <x v="74"/>
    <x v="0"/>
    <x v="76"/>
    <s v="四宫格"/>
    <n v="9.95"/>
    <s v="锅"/>
    <n v="1"/>
    <n v="9.95"/>
    <n v="0"/>
    <n v="0"/>
    <n v="0"/>
    <n v="0"/>
    <n v="0"/>
    <n v="0"/>
    <n v="0"/>
    <n v="0"/>
    <n v="0"/>
    <n v="0"/>
    <n v="1"/>
    <n v="10.44"/>
    <n v="0.49"/>
    <n v="9.95"/>
    <n v="1"/>
  </r>
  <r>
    <s v="2021-06-23"/>
    <s v="Vancouver"/>
    <s v="加拿大二店"/>
    <x v="1"/>
    <x v="6"/>
    <x v="118"/>
    <x v="112"/>
    <x v="122"/>
    <s v="整份"/>
    <n v="28.95"/>
    <s v="份"/>
    <n v="1"/>
    <n v="28.95"/>
    <n v="0"/>
    <n v="0"/>
    <n v="0"/>
    <n v="0"/>
    <n v="0"/>
    <n v="0"/>
    <n v="0"/>
    <n v="-0.02"/>
    <n v="0"/>
    <n v="0"/>
    <n v="1"/>
    <n v="30.41"/>
    <n v="1.44"/>
    <n v="28.97"/>
    <n v="1"/>
  </r>
  <r>
    <s v="2021-06-23"/>
    <s v="Vancouver"/>
    <s v="加拿大二店"/>
    <x v="8"/>
    <x v="17"/>
    <x v="75"/>
    <x v="71"/>
    <x v="77"/>
    <s v="整份"/>
    <n v="3.99"/>
    <s v="位"/>
    <n v="58"/>
    <n v="231.42"/>
    <n v="1"/>
    <n v="3.99"/>
    <n v="0"/>
    <n v="0"/>
    <n v="2"/>
    <n v="7.98"/>
    <n v="0"/>
    <n v="0.01"/>
    <n v="2.4"/>
    <n v="0"/>
    <n v="55"/>
    <n v="227.89"/>
    <n v="10.85"/>
    <n v="217.04"/>
    <n v="1"/>
  </r>
  <r>
    <s v="2021-06-23"/>
    <s v="Vancouver"/>
    <s v="加拿大二店"/>
    <x v="3"/>
    <x v="5"/>
    <x v="76"/>
    <x v="72"/>
    <x v="78"/>
    <s v="整份"/>
    <n v="3.95"/>
    <s v="份"/>
    <n v="2"/>
    <n v="7.9"/>
    <n v="0"/>
    <n v="0"/>
    <n v="0"/>
    <n v="0"/>
    <n v="0"/>
    <n v="0"/>
    <n v="0"/>
    <n v="0"/>
    <n v="0"/>
    <n v="0"/>
    <n v="2"/>
    <n v="8.29"/>
    <n v="0.39"/>
    <n v="7.9"/>
    <n v="1"/>
  </r>
  <r>
    <s v="2021-06-23"/>
    <s v="Vancouver"/>
    <s v="加拿大二店"/>
    <x v="1"/>
    <x v="3"/>
    <x v="77"/>
    <x v="73"/>
    <x v="79"/>
    <s v="整份"/>
    <n v="5.95"/>
    <s v="份"/>
    <n v="7"/>
    <n v="41.65"/>
    <n v="0"/>
    <n v="0"/>
    <n v="0"/>
    <n v="0"/>
    <n v="1"/>
    <n v="5.95"/>
    <n v="0"/>
    <n v="0"/>
    <n v="0"/>
    <n v="0"/>
    <n v="6"/>
    <n v="37.48"/>
    <n v="1.78"/>
    <n v="35.7"/>
    <n v="1"/>
  </r>
  <r>
    <s v="2021-06-23"/>
    <s v="Vancouver"/>
    <s v="加拿大二店"/>
    <x v="3"/>
    <x v="11"/>
    <x v="78"/>
    <x v="74"/>
    <x v="80"/>
    <s v="整份"/>
    <n v="5.95"/>
    <s v="份"/>
    <n v="3"/>
    <n v="17.85"/>
    <n v="0"/>
    <n v="0"/>
    <n v="0"/>
    <n v="0"/>
    <n v="0"/>
    <n v="0"/>
    <n v="0"/>
    <n v="0"/>
    <n v="1.78"/>
    <n v="0"/>
    <n v="3"/>
    <n v="16.87"/>
    <n v="0.8"/>
    <n v="16.07"/>
    <n v="1"/>
  </r>
  <r>
    <s v="2021-06-23"/>
    <s v="Vancouver"/>
    <s v="加拿大二店"/>
    <x v="3"/>
    <x v="11"/>
    <x v="78"/>
    <x v="75"/>
    <x v="81"/>
    <s v="半份"/>
    <n v="2.95"/>
    <s v="份"/>
    <n v="3"/>
    <n v="8.85"/>
    <n v="0"/>
    <n v="0"/>
    <n v="0"/>
    <n v="0"/>
    <n v="0"/>
    <n v="0"/>
    <n v="0"/>
    <n v="0"/>
    <n v="0.59"/>
    <n v="0"/>
    <n v="3"/>
    <n v="8.67"/>
    <n v="0.41"/>
    <n v="8.26"/>
    <n v="0.5"/>
  </r>
  <r>
    <s v="2021-06-23"/>
    <s v="Vancouver"/>
    <s v="加拿大二店"/>
    <x v="3"/>
    <x v="5"/>
    <x v="79"/>
    <x v="76"/>
    <x v="82"/>
    <s v="整份"/>
    <n v="3.95"/>
    <s v="份"/>
    <n v="3"/>
    <n v="11.85"/>
    <n v="0"/>
    <n v="0"/>
    <n v="0"/>
    <n v="0"/>
    <n v="0"/>
    <n v="0"/>
    <n v="0"/>
    <n v="0"/>
    <n v="0.79"/>
    <n v="0"/>
    <n v="3"/>
    <n v="11.61"/>
    <n v="0.55"/>
    <n v="11.06"/>
    <n v="1"/>
  </r>
  <r>
    <s v="2021-06-23"/>
    <s v="Vancouver"/>
    <s v="加拿大二店"/>
    <x v="3"/>
    <x v="5"/>
    <x v="80"/>
    <x v="77"/>
    <x v="83"/>
    <s v="整份"/>
    <n v="5.95"/>
    <s v="份"/>
    <n v="7"/>
    <n v="41.65"/>
    <n v="0"/>
    <n v="0"/>
    <n v="0"/>
    <n v="0"/>
    <n v="0"/>
    <n v="0"/>
    <n v="0"/>
    <n v="0"/>
    <n v="0"/>
    <n v="0"/>
    <n v="7"/>
    <n v="43.73"/>
    <n v="2.08"/>
    <n v="41.65"/>
    <n v="1"/>
  </r>
  <r>
    <s v="2021-06-23"/>
    <s v="Vancouver"/>
    <s v="加拿大二店"/>
    <x v="4"/>
    <x v="16"/>
    <x v="81"/>
    <x v="0"/>
    <x v="84"/>
    <s v="单锅"/>
    <n v="16.95"/>
    <s v="锅"/>
    <n v="1"/>
    <n v="16.95"/>
    <n v="0"/>
    <n v="0"/>
    <n v="0"/>
    <n v="0"/>
    <n v="0"/>
    <n v="0"/>
    <n v="0"/>
    <n v="0.02"/>
    <n v="0"/>
    <n v="0"/>
    <n v="1"/>
    <n v="17.77"/>
    <n v="0.84"/>
    <n v="16.93"/>
    <n v="4"/>
  </r>
  <r>
    <s v="2021-06-23"/>
    <s v="Vancouver"/>
    <s v="加拿大二店"/>
    <x v="4"/>
    <x v="9"/>
    <x v="81"/>
    <x v="0"/>
    <x v="84"/>
    <s v="拼锅"/>
    <n v="8.95"/>
    <s v="锅"/>
    <n v="2"/>
    <n v="17.9"/>
    <n v="0"/>
    <n v="0"/>
    <n v="0"/>
    <n v="0"/>
    <n v="0"/>
    <n v="0"/>
    <n v="0"/>
    <n v="0"/>
    <n v="0"/>
    <n v="0"/>
    <n v="2"/>
    <n v="18.79"/>
    <n v="0.89"/>
    <n v="17.9"/>
    <n v="2"/>
  </r>
  <r>
    <s v="2021-06-23"/>
    <s v="Vancouver"/>
    <s v="加拿大二店"/>
    <x v="4"/>
    <x v="10"/>
    <x v="81"/>
    <x v="0"/>
    <x v="84"/>
    <s v="四宫格"/>
    <n v="4.95"/>
    <s v="锅"/>
    <n v="1"/>
    <n v="4.95"/>
    <n v="0"/>
    <n v="0"/>
    <n v="0"/>
    <n v="0"/>
    <n v="0"/>
    <n v="0"/>
    <n v="0"/>
    <n v="0"/>
    <n v="0"/>
    <n v="0"/>
    <n v="1"/>
    <n v="5.19"/>
    <n v="0.24"/>
    <n v="4.95"/>
    <n v="1"/>
  </r>
  <r>
    <s v="2021-06-23"/>
    <s v="Vancouver"/>
    <s v="加拿大二店"/>
    <x v="3"/>
    <x v="5"/>
    <x v="82"/>
    <x v="78"/>
    <x v="85"/>
    <s v="整份"/>
    <n v="12.95"/>
    <s v="份"/>
    <n v="6"/>
    <n v="77.7"/>
    <n v="0"/>
    <n v="0"/>
    <n v="0"/>
    <n v="0"/>
    <n v="0"/>
    <n v="0"/>
    <n v="0"/>
    <n v="0"/>
    <n v="11.65"/>
    <n v="0"/>
    <n v="6"/>
    <n v="69.35"/>
    <n v="3.3"/>
    <n v="66.05"/>
    <n v="1"/>
  </r>
  <r>
    <s v="2021-06-23"/>
    <s v="Vancouver"/>
    <s v="加拿大二店"/>
    <x v="3"/>
    <x v="11"/>
    <x v="83"/>
    <x v="79"/>
    <x v="86"/>
    <s v="整份"/>
    <n v="5.95"/>
    <s v="份"/>
    <n v="3"/>
    <n v="17.85"/>
    <n v="1"/>
    <n v="5.95"/>
    <n v="0"/>
    <n v="0"/>
    <n v="0"/>
    <n v="0"/>
    <n v="0"/>
    <n v="0"/>
    <n v="2.97"/>
    <n v="0"/>
    <n v="2"/>
    <n v="9.37"/>
    <n v="0.44"/>
    <n v="8.93"/>
    <n v="1"/>
  </r>
  <r>
    <s v="2021-06-23"/>
    <s v="Vancouver"/>
    <s v="加拿大二店"/>
    <x v="3"/>
    <x v="11"/>
    <x v="83"/>
    <x v="80"/>
    <x v="87"/>
    <s v="半份"/>
    <n v="2.95"/>
    <s v="份"/>
    <n v="4"/>
    <n v="11.8"/>
    <n v="0"/>
    <n v="0"/>
    <n v="0"/>
    <n v="0"/>
    <n v="0"/>
    <n v="0"/>
    <n v="0"/>
    <n v="0"/>
    <n v="0.59"/>
    <n v="0"/>
    <n v="4"/>
    <n v="11.77"/>
    <n v="0.56"/>
    <n v="11.21"/>
    <n v="0.5"/>
  </r>
  <r>
    <s v="2021-06-23"/>
    <s v="Vancouver"/>
    <s v="加拿大二店"/>
    <x v="3"/>
    <x v="11"/>
    <x v="84"/>
    <x v="81"/>
    <x v="88"/>
    <s v="整份"/>
    <n v="11.95"/>
    <s v="份"/>
    <n v="3"/>
    <n v="35.85"/>
    <n v="0"/>
    <n v="0"/>
    <n v="0"/>
    <n v="0"/>
    <n v="0"/>
    <n v="0"/>
    <n v="0"/>
    <n v="0"/>
    <n v="2.39"/>
    <n v="0"/>
    <n v="3"/>
    <n v="35.13"/>
    <n v="1.67"/>
    <n v="33.46"/>
    <n v="1"/>
  </r>
  <r>
    <s v="2021-06-23"/>
    <s v="Vancouver"/>
    <s v="加拿大二店"/>
    <x v="1"/>
    <x v="3"/>
    <x v="85"/>
    <x v="82"/>
    <x v="89"/>
    <s v="整份"/>
    <n v="6.95"/>
    <s v="份"/>
    <n v="1"/>
    <n v="6.95"/>
    <n v="0"/>
    <n v="0"/>
    <n v="0"/>
    <n v="0"/>
    <n v="0"/>
    <n v="0"/>
    <n v="0"/>
    <n v="0"/>
    <n v="0"/>
    <n v="0"/>
    <n v="1"/>
    <n v="7.29"/>
    <n v="0.34"/>
    <n v="6.95"/>
    <n v="1"/>
  </r>
  <r>
    <s v="2021-06-23"/>
    <s v="Vancouver"/>
    <s v="加拿大二店"/>
    <x v="6"/>
    <x v="13"/>
    <x v="86"/>
    <x v="83"/>
    <x v="90"/>
    <s v="碗"/>
    <n v="2.95"/>
    <s v="碗"/>
    <n v="3"/>
    <n v="8.85"/>
    <n v="0"/>
    <n v="0"/>
    <n v="0"/>
    <n v="0"/>
    <n v="0"/>
    <n v="0"/>
    <n v="0"/>
    <n v="0"/>
    <n v="0.59"/>
    <n v="0"/>
    <n v="3"/>
    <n v="8.67"/>
    <n v="0.41"/>
    <n v="8.26"/>
    <n v="1"/>
  </r>
  <r>
    <s v="2021-06-23"/>
    <s v="Vancouver"/>
    <s v="加拿大二店"/>
    <x v="2"/>
    <x v="4"/>
    <x v="87"/>
    <x v="84"/>
    <x v="91"/>
    <s v="冰镇"/>
    <n v="2.95"/>
    <s v="扎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23"/>
    <s v="Vancouver"/>
    <s v="加拿大二店"/>
    <x v="1"/>
    <x v="8"/>
    <x v="88"/>
    <x v="85"/>
    <x v="92"/>
    <s v="整份"/>
    <n v="7.95"/>
    <s v="份"/>
    <n v="3"/>
    <n v="23.85"/>
    <n v="0"/>
    <n v="0"/>
    <n v="0"/>
    <n v="0"/>
    <n v="0"/>
    <n v="0"/>
    <n v="0"/>
    <n v="0"/>
    <n v="1.59"/>
    <n v="0"/>
    <n v="3"/>
    <n v="23.37"/>
    <n v="1.11"/>
    <n v="22.26"/>
    <n v="1"/>
  </r>
  <r>
    <s v="2021-06-23"/>
    <s v="Vancouver"/>
    <s v="加拿大二店"/>
    <x v="1"/>
    <x v="8"/>
    <x v="89"/>
    <x v="86"/>
    <x v="93"/>
    <s v="整份"/>
    <n v="4.95"/>
    <s v="份"/>
    <n v="10"/>
    <n v="49.5"/>
    <n v="0"/>
    <n v="0"/>
    <n v="0"/>
    <n v="0"/>
    <n v="0"/>
    <n v="0"/>
    <n v="0"/>
    <n v="0"/>
    <n v="0.98"/>
    <n v="0"/>
    <n v="10"/>
    <n v="50.94"/>
    <n v="2.42"/>
    <n v="48.52"/>
    <n v="1"/>
  </r>
  <r>
    <s v="2021-06-23"/>
    <s v="Vancouver"/>
    <s v="加拿大二店"/>
    <x v="2"/>
    <x v="4"/>
    <x v="138"/>
    <x v="132"/>
    <x v="143"/>
    <s v="扎"/>
    <n v="12.95"/>
    <s v="扎"/>
    <n v="4"/>
    <n v="51.8"/>
    <n v="0"/>
    <n v="0"/>
    <n v="0"/>
    <n v="0"/>
    <n v="0"/>
    <n v="0"/>
    <n v="0"/>
    <n v="0"/>
    <n v="0"/>
    <n v="0"/>
    <n v="4"/>
    <n v="58.01"/>
    <n v="6.21"/>
    <n v="51.8"/>
    <n v="1"/>
  </r>
  <r>
    <s v="2021-06-23"/>
    <s v="Vancouver"/>
    <s v="加拿大二店"/>
    <x v="3"/>
    <x v="7"/>
    <x v="90"/>
    <x v="87"/>
    <x v="94"/>
    <s v="整份"/>
    <n v="4.95"/>
    <s v="份"/>
    <n v="7"/>
    <n v="34.65"/>
    <n v="0"/>
    <n v="0"/>
    <n v="0"/>
    <n v="0"/>
    <n v="1"/>
    <n v="4.95"/>
    <n v="0"/>
    <n v="0"/>
    <n v="1.98"/>
    <n v="0"/>
    <n v="6"/>
    <n v="29.1"/>
    <n v="1.38"/>
    <n v="27.72"/>
    <n v="1"/>
  </r>
  <r>
    <s v="2021-06-23"/>
    <s v="Vancouver"/>
    <s v="加拿大二店"/>
    <x v="6"/>
    <x v="18"/>
    <x v="91"/>
    <x v="88"/>
    <x v="95"/>
    <s v="整份"/>
    <n v="2.95"/>
    <s v="份"/>
    <n v="3"/>
    <n v="8.85"/>
    <n v="0"/>
    <n v="0"/>
    <n v="0"/>
    <n v="0"/>
    <n v="0"/>
    <n v="0"/>
    <n v="0"/>
    <n v="0"/>
    <n v="0"/>
    <n v="0"/>
    <n v="3"/>
    <n v="9.29"/>
    <n v="0.44"/>
    <n v="8.85"/>
    <n v="1"/>
  </r>
  <r>
    <s v="2021-06-23"/>
    <s v="Vancouver"/>
    <s v="加拿大二店"/>
    <x v="3"/>
    <x v="5"/>
    <x v="93"/>
    <x v="89"/>
    <x v="97"/>
    <s v="整份"/>
    <n v="5.95"/>
    <s v="份"/>
    <n v="11"/>
    <n v="65.45"/>
    <n v="0"/>
    <n v="0"/>
    <n v="0"/>
    <n v="0"/>
    <n v="1"/>
    <n v="5.95"/>
    <n v="0"/>
    <n v="0"/>
    <n v="5.35"/>
    <n v="0"/>
    <n v="10"/>
    <n v="56.85"/>
    <n v="2.7"/>
    <n v="54.15"/>
    <n v="1"/>
  </r>
  <r>
    <s v="2021-06-23"/>
    <s v="Vancouver"/>
    <s v="加拿大二店"/>
    <x v="6"/>
    <x v="13"/>
    <x v="94"/>
    <x v="90"/>
    <x v="98"/>
    <s v="整份"/>
    <n v="4.95"/>
    <s v="份"/>
    <n v="8"/>
    <n v="39.6"/>
    <n v="0"/>
    <n v="0"/>
    <n v="0"/>
    <n v="0"/>
    <n v="0"/>
    <n v="0"/>
    <n v="0"/>
    <n v="0"/>
    <n v="0"/>
    <n v="0"/>
    <n v="8"/>
    <n v="41.58"/>
    <n v="1.98"/>
    <n v="39.6"/>
    <n v="1"/>
  </r>
  <r>
    <s v="2021-06-23"/>
    <s v="Vancouver"/>
    <s v="加拿大二店"/>
    <x v="2"/>
    <x v="4"/>
    <x v="95"/>
    <x v="91"/>
    <x v="99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23"/>
    <s v="Vancouver"/>
    <s v="加拿大二店"/>
    <x v="1"/>
    <x v="1"/>
    <x v="96"/>
    <x v="92"/>
    <x v="100"/>
    <s v="整份"/>
    <n v="49.95"/>
    <s v="份"/>
    <n v="6"/>
    <n v="299.7"/>
    <n v="0"/>
    <n v="0"/>
    <n v="0"/>
    <n v="0"/>
    <n v="0"/>
    <n v="0"/>
    <n v="0"/>
    <n v="-0.01"/>
    <n v="24.97"/>
    <n v="0"/>
    <n v="6"/>
    <n v="288.47"/>
    <n v="13.73"/>
    <n v="274.74"/>
    <n v="1"/>
  </r>
  <r>
    <s v="2021-06-23"/>
    <s v="Vancouver"/>
    <s v="加拿大二店"/>
    <x v="2"/>
    <x v="2"/>
    <x v="97"/>
    <x v="93"/>
    <x v="101"/>
    <s v="冰镇"/>
    <n v="5.95"/>
    <s v="听"/>
    <n v="4"/>
    <n v="23.8"/>
    <n v="0"/>
    <n v="0"/>
    <n v="0"/>
    <n v="0"/>
    <n v="0"/>
    <n v="0"/>
    <n v="0"/>
    <n v="0"/>
    <n v="1.19"/>
    <n v="0"/>
    <n v="4"/>
    <n v="26"/>
    <n v="3.39"/>
    <n v="22.61"/>
    <n v="1"/>
  </r>
  <r>
    <s v="2021-06-23"/>
    <s v="Vancouver"/>
    <s v="加拿大二店"/>
    <x v="6"/>
    <x v="13"/>
    <x v="98"/>
    <x v="94"/>
    <x v="102"/>
    <s v="整份"/>
    <n v="3.95"/>
    <s v="份"/>
    <n v="3"/>
    <n v="11.85"/>
    <n v="0"/>
    <n v="0"/>
    <n v="0"/>
    <n v="0"/>
    <n v="0"/>
    <n v="0"/>
    <n v="0"/>
    <n v="0"/>
    <n v="0"/>
    <n v="0"/>
    <n v="3"/>
    <n v="12.44"/>
    <n v="0.59"/>
    <n v="11.85"/>
    <n v="1"/>
  </r>
  <r>
    <s v="2021-06-23"/>
    <s v="Vancouver"/>
    <s v="加拿大二店"/>
    <x v="1"/>
    <x v="3"/>
    <x v="99"/>
    <x v="95"/>
    <x v="103"/>
    <s v="整份"/>
    <n v="5.95"/>
    <s v="份"/>
    <n v="3"/>
    <n v="17.85"/>
    <n v="0"/>
    <n v="0"/>
    <n v="0"/>
    <n v="0"/>
    <n v="0"/>
    <n v="0"/>
    <n v="0"/>
    <n v="0"/>
    <n v="0"/>
    <n v="0"/>
    <n v="3"/>
    <n v="18.74"/>
    <n v="0.89"/>
    <n v="17.85"/>
    <n v="1"/>
  </r>
  <r>
    <s v="2021-06-23"/>
    <s v="Vancouver"/>
    <s v="加拿大二店"/>
    <x v="1"/>
    <x v="3"/>
    <x v="100"/>
    <x v="96"/>
    <x v="104"/>
    <s v="整份"/>
    <n v="7.95"/>
    <s v="份"/>
    <n v="3"/>
    <n v="23.85"/>
    <n v="0"/>
    <n v="0"/>
    <n v="0"/>
    <n v="0"/>
    <n v="0"/>
    <n v="0"/>
    <n v="0"/>
    <n v="0"/>
    <n v="1.59"/>
    <n v="0"/>
    <n v="3"/>
    <n v="23.37"/>
    <n v="1.11"/>
    <n v="22.26"/>
    <n v="1"/>
  </r>
  <r>
    <s v="2021-06-23"/>
    <s v="Vancouver"/>
    <s v="加拿大二店"/>
    <x v="1"/>
    <x v="8"/>
    <x v="101"/>
    <x v="97"/>
    <x v="105"/>
    <s v="整份"/>
    <n v="5.95"/>
    <s v="份"/>
    <n v="5"/>
    <n v="29.75"/>
    <n v="0"/>
    <n v="0"/>
    <n v="0"/>
    <n v="0"/>
    <n v="0"/>
    <n v="0"/>
    <n v="0"/>
    <n v="0"/>
    <n v="0"/>
    <n v="0"/>
    <n v="5"/>
    <n v="31.23"/>
    <n v="1.48"/>
    <n v="29.75"/>
    <n v="1"/>
  </r>
  <r>
    <s v="2021-06-23"/>
    <s v="Vancouver"/>
    <s v="加拿大二店"/>
    <x v="1"/>
    <x v="6"/>
    <x v="102"/>
    <x v="98"/>
    <x v="106"/>
    <s v="整份"/>
    <n v="8.95"/>
    <s v="份"/>
    <n v="1"/>
    <n v="8.95"/>
    <n v="0"/>
    <n v="0"/>
    <n v="0"/>
    <n v="0"/>
    <n v="0"/>
    <n v="0"/>
    <n v="0"/>
    <n v="0.02"/>
    <n v="2.68"/>
    <n v="0"/>
    <n v="1"/>
    <n v="6.56"/>
    <n v="0.31"/>
    <n v="6.25"/>
    <n v="1"/>
  </r>
  <r>
    <s v="2021-06-23"/>
    <s v="Vancouver"/>
    <s v="加拿大二店"/>
    <x v="3"/>
    <x v="7"/>
    <x v="103"/>
    <x v="99"/>
    <x v="107"/>
    <s v="整份"/>
    <n v="5.95"/>
    <s v="份"/>
    <n v="2"/>
    <n v="11.9"/>
    <n v="0"/>
    <n v="0"/>
    <n v="0"/>
    <n v="0"/>
    <n v="0"/>
    <n v="0"/>
    <n v="0"/>
    <n v="0"/>
    <n v="0"/>
    <n v="0"/>
    <n v="2"/>
    <n v="12.49"/>
    <n v="0.59"/>
    <n v="11.9"/>
    <n v="1"/>
  </r>
  <r>
    <s v="2021-06-23"/>
    <s v="Vancouver"/>
    <s v="加拿大二店"/>
    <x v="3"/>
    <x v="7"/>
    <x v="104"/>
    <x v="100"/>
    <x v="108"/>
    <s v="整份"/>
    <n v="3.95"/>
    <s v="份"/>
    <n v="2"/>
    <n v="7.9"/>
    <n v="0"/>
    <n v="0"/>
    <n v="0"/>
    <n v="0"/>
    <n v="0"/>
    <n v="0"/>
    <n v="0"/>
    <n v="0"/>
    <n v="0.79"/>
    <n v="0"/>
    <n v="2"/>
    <n v="7.46"/>
    <n v="0.35"/>
    <n v="7.11"/>
    <n v="1"/>
  </r>
  <r>
    <s v="2021-06-23"/>
    <s v="Vancouver"/>
    <s v="加拿大二店"/>
    <x v="1"/>
    <x v="8"/>
    <x v="105"/>
    <x v="101"/>
    <x v="109"/>
    <s v="整份"/>
    <n v="4.95"/>
    <s v="份"/>
    <n v="3"/>
    <n v="14.85"/>
    <n v="0"/>
    <n v="0"/>
    <n v="0"/>
    <n v="0"/>
    <n v="0"/>
    <n v="0"/>
    <n v="0"/>
    <n v="0"/>
    <n v="3.46"/>
    <n v="0"/>
    <n v="3"/>
    <n v="11.95"/>
    <n v="0.56"/>
    <n v="11.39"/>
    <n v="1"/>
  </r>
  <r>
    <s v="2021-06-23"/>
    <s v="Vancouver"/>
    <s v="加拿大二店"/>
    <x v="4"/>
    <x v="9"/>
    <x v="106"/>
    <x v="0"/>
    <x v="110"/>
    <s v="拼锅"/>
    <n v="11.95"/>
    <s v="锅"/>
    <n v="4"/>
    <n v="47.8"/>
    <n v="0"/>
    <n v="0"/>
    <n v="0"/>
    <n v="0"/>
    <n v="0"/>
    <n v="0"/>
    <n v="0"/>
    <n v="-0.01"/>
    <n v="2.39"/>
    <n v="0"/>
    <n v="4"/>
    <n v="47.69"/>
    <n v="2.27"/>
    <n v="45.42"/>
    <n v="2"/>
  </r>
  <r>
    <s v="2021-06-23"/>
    <s v="Vancouver"/>
    <s v="加拿大二店"/>
    <x v="4"/>
    <x v="10"/>
    <x v="106"/>
    <x v="0"/>
    <x v="110"/>
    <s v="四宫格"/>
    <n v="5.95"/>
    <s v="锅"/>
    <n v="2"/>
    <n v="11.9"/>
    <n v="0"/>
    <n v="0"/>
    <n v="0"/>
    <n v="0"/>
    <n v="0"/>
    <n v="0"/>
    <n v="0"/>
    <n v="0.02"/>
    <n v="0"/>
    <n v="0"/>
    <n v="2"/>
    <n v="12.47"/>
    <n v="0.59"/>
    <n v="11.88"/>
    <n v="1"/>
  </r>
  <r>
    <s v="2021-06-23"/>
    <s v="Vancouver"/>
    <s v="加拿大二店"/>
    <x v="4"/>
    <x v="9"/>
    <x v="107"/>
    <x v="0"/>
    <x v="111"/>
    <s v="拼锅"/>
    <n v="11.95"/>
    <s v="锅"/>
    <n v="1"/>
    <n v="11.95"/>
    <n v="0"/>
    <n v="0"/>
    <n v="0"/>
    <n v="0"/>
    <n v="0"/>
    <n v="0"/>
    <n v="0"/>
    <n v="0"/>
    <n v="2.39"/>
    <n v="0"/>
    <n v="1"/>
    <n v="10.03"/>
    <n v="0.47"/>
    <n v="9.56"/>
    <n v="2"/>
  </r>
  <r>
    <s v="2021-06-23"/>
    <s v="Vancouver"/>
    <s v="加拿大二店"/>
    <x v="4"/>
    <x v="10"/>
    <x v="107"/>
    <x v="0"/>
    <x v="111"/>
    <s v="四宫格"/>
    <n v="5.95"/>
    <s v="锅"/>
    <n v="3"/>
    <n v="17.85"/>
    <n v="0"/>
    <n v="0"/>
    <n v="0"/>
    <n v="0"/>
    <n v="1"/>
    <n v="5.95"/>
    <n v="0"/>
    <n v="0"/>
    <n v="0"/>
    <n v="0"/>
    <n v="2"/>
    <n v="12.49"/>
    <n v="0.59"/>
    <n v="11.9"/>
    <n v="1"/>
  </r>
  <r>
    <s v="2021-06-24"/>
    <s v="Vancouver"/>
    <s v="加拿大二店"/>
    <x v="1"/>
    <x v="1"/>
    <x v="1"/>
    <x v="1"/>
    <x v="1"/>
    <s v="整份"/>
    <n v="16.95"/>
    <s v="份"/>
    <n v="11"/>
    <n v="186.45"/>
    <n v="0"/>
    <n v="0"/>
    <n v="0"/>
    <n v="0"/>
    <n v="1"/>
    <n v="16.95"/>
    <n v="0"/>
    <n v="0"/>
    <n v="0"/>
    <n v="0"/>
    <n v="10"/>
    <n v="177.97"/>
    <n v="8.47"/>
    <n v="169.5"/>
    <n v="1"/>
  </r>
  <r>
    <s v="2021-06-24"/>
    <s v="Vancouver"/>
    <s v="加拿大二店"/>
    <x v="2"/>
    <x v="22"/>
    <x v="128"/>
    <x v="122"/>
    <x v="133"/>
    <s v="杯"/>
    <n v="5.95"/>
    <s v="杯"/>
    <n v="3"/>
    <n v="17.85"/>
    <n v="0"/>
    <n v="0"/>
    <n v="0"/>
    <n v="0"/>
    <n v="0"/>
    <n v="0"/>
    <n v="0"/>
    <n v="-0.01"/>
    <n v="0"/>
    <n v="0"/>
    <n v="3"/>
    <n v="20.53"/>
    <n v="2.67"/>
    <n v="17.86"/>
    <n v="1"/>
  </r>
  <r>
    <s v="2021-06-24"/>
    <s v="Vancouver"/>
    <s v="加拿大二店"/>
    <x v="1"/>
    <x v="1"/>
    <x v="2"/>
    <x v="2"/>
    <x v="2"/>
    <s v="整份"/>
    <n v="25.95"/>
    <s v="份"/>
    <n v="15"/>
    <n v="389.25"/>
    <n v="0"/>
    <n v="0"/>
    <n v="0"/>
    <n v="0"/>
    <n v="0"/>
    <n v="0"/>
    <n v="0"/>
    <n v="-0.01"/>
    <n v="18.16"/>
    <n v="0"/>
    <n v="15"/>
    <n v="389.65"/>
    <n v="18.55"/>
    <n v="371.1"/>
    <n v="1"/>
  </r>
  <r>
    <s v="2021-06-24"/>
    <s v="Vancouver"/>
    <s v="加拿大二店"/>
    <x v="2"/>
    <x v="2"/>
    <x v="4"/>
    <x v="4"/>
    <x v="4"/>
    <s v="壶"/>
    <n v="22.95"/>
    <s v="壶"/>
    <n v="7"/>
    <n v="160.65"/>
    <n v="0"/>
    <n v="0"/>
    <n v="0"/>
    <n v="0"/>
    <n v="0"/>
    <n v="0"/>
    <n v="0"/>
    <n v="0.01"/>
    <n v="4.59"/>
    <n v="0"/>
    <n v="7"/>
    <n v="179.45"/>
    <n v="23.4"/>
    <n v="156.05"/>
    <n v="1"/>
  </r>
  <r>
    <s v="2021-06-24"/>
    <s v="Vancouver"/>
    <s v="加拿大二店"/>
    <x v="2"/>
    <x v="2"/>
    <x v="5"/>
    <x v="5"/>
    <x v="5"/>
    <s v="杯"/>
    <n v="6.95"/>
    <s v="杯"/>
    <n v="1"/>
    <n v="6.95"/>
    <n v="0"/>
    <n v="0"/>
    <n v="0"/>
    <n v="0"/>
    <n v="0"/>
    <n v="0"/>
    <n v="0"/>
    <n v="0"/>
    <n v="0"/>
    <n v="0"/>
    <n v="1"/>
    <n v="7.99"/>
    <n v="1.04"/>
    <n v="6.95"/>
    <n v="1"/>
  </r>
  <r>
    <s v="2021-06-24"/>
    <s v="Vancouver"/>
    <s v="加拿大二店"/>
    <x v="1"/>
    <x v="3"/>
    <x v="6"/>
    <x v="6"/>
    <x v="6"/>
    <s v="整份"/>
    <n v="7.95"/>
    <s v="份"/>
    <n v="6"/>
    <n v="47.7"/>
    <n v="1"/>
    <n v="7.95"/>
    <n v="0"/>
    <n v="0"/>
    <n v="0"/>
    <n v="0"/>
    <n v="0"/>
    <n v="0"/>
    <n v="2.71"/>
    <n v="0"/>
    <n v="5"/>
    <n v="38.89"/>
    <n v="1.85"/>
    <n v="37.04"/>
    <n v="1"/>
  </r>
  <r>
    <s v="2021-06-24"/>
    <s v="Vancouver"/>
    <s v="加拿大二店"/>
    <x v="9"/>
    <x v="23"/>
    <x v="139"/>
    <x v="133"/>
    <x v="144"/>
    <s v="冰镇"/>
    <n v="6.95"/>
    <s v="杯"/>
    <n v="1"/>
    <n v="6.95"/>
    <n v="1"/>
    <n v="6.95"/>
    <n v="0"/>
    <n v="0"/>
    <n v="0"/>
    <n v="0"/>
    <n v="0"/>
    <n v="0"/>
    <n v="0"/>
    <n v="0"/>
    <n v="0"/>
    <n v="0"/>
    <n v="0"/>
    <n v="0"/>
    <n v="1"/>
  </r>
  <r>
    <s v="2021-06-24"/>
    <s v="Vancouver"/>
    <s v="加拿大二店"/>
    <x v="2"/>
    <x v="4"/>
    <x v="7"/>
    <x v="7"/>
    <x v="7"/>
    <s v="冰镇"/>
    <n v="2.45"/>
    <s v="罐"/>
    <n v="2"/>
    <n v="4.9"/>
    <n v="0"/>
    <n v="0"/>
    <n v="0"/>
    <n v="0"/>
    <n v="0"/>
    <n v="0"/>
    <n v="0"/>
    <n v="0"/>
    <n v="0"/>
    <n v="0"/>
    <n v="2"/>
    <n v="5.48"/>
    <n v="0.58"/>
    <n v="4.9"/>
    <n v="1"/>
  </r>
  <r>
    <s v="2021-06-24"/>
    <s v="Vancouver"/>
    <s v="加拿大二店"/>
    <x v="0"/>
    <x v="20"/>
    <x v="109"/>
    <x v="103"/>
    <x v="113"/>
    <s v="整份"/>
    <n v="8.95"/>
    <s v="份"/>
    <n v="1"/>
    <n v="8.95"/>
    <n v="0"/>
    <n v="0"/>
    <n v="0"/>
    <n v="0"/>
    <n v="0"/>
    <n v="0"/>
    <n v="0"/>
    <n v="0"/>
    <n v="0"/>
    <n v="0"/>
    <n v="1"/>
    <n v="9.39"/>
    <n v="0.44"/>
    <n v="8.95"/>
    <n v="1"/>
  </r>
  <r>
    <s v="2021-06-24"/>
    <s v="Vancouver"/>
    <s v="加拿大二店"/>
    <x v="2"/>
    <x v="4"/>
    <x v="110"/>
    <x v="104"/>
    <x v="114"/>
    <s v="小瓶"/>
    <n v="3.95"/>
    <s v="瓶"/>
    <n v="1"/>
    <n v="3.95"/>
    <n v="0"/>
    <n v="0"/>
    <n v="0"/>
    <n v="0"/>
    <n v="0"/>
    <n v="0"/>
    <n v="0"/>
    <n v="0.02"/>
    <n v="0"/>
    <n v="0"/>
    <n v="1"/>
    <n v="4.4"/>
    <n v="0.47"/>
    <n v="3.93"/>
    <n v="1"/>
  </r>
  <r>
    <s v="2021-06-24"/>
    <s v="Vancouver"/>
    <s v="加拿大二店"/>
    <x v="3"/>
    <x v="5"/>
    <x v="8"/>
    <x v="8"/>
    <x v="8"/>
    <s v="整份"/>
    <n v="3.95"/>
    <s v="份"/>
    <n v="7"/>
    <n v="27.65"/>
    <n v="0"/>
    <n v="0"/>
    <n v="0"/>
    <n v="0"/>
    <n v="0"/>
    <n v="0"/>
    <n v="0"/>
    <n v="0"/>
    <n v="1.58"/>
    <n v="0"/>
    <n v="7"/>
    <n v="27.37"/>
    <n v="1.3"/>
    <n v="26.07"/>
    <n v="1"/>
  </r>
  <r>
    <s v="2021-06-24"/>
    <s v="Vancouver"/>
    <s v="加拿大二店"/>
    <x v="2"/>
    <x v="4"/>
    <x v="10"/>
    <x v="10"/>
    <x v="10"/>
    <s v="半份"/>
    <n v="6.95"/>
    <s v="扎"/>
    <n v="2"/>
    <n v="13.9"/>
    <n v="0"/>
    <n v="0"/>
    <n v="0"/>
    <n v="0"/>
    <n v="0"/>
    <n v="0"/>
    <n v="0"/>
    <n v="0"/>
    <n v="0"/>
    <n v="0"/>
    <n v="2"/>
    <n v="15.56"/>
    <n v="1.66"/>
    <n v="13.9"/>
    <n v="0.5"/>
  </r>
  <r>
    <s v="2021-06-24"/>
    <s v="Vancouver"/>
    <s v="加拿大二店"/>
    <x v="2"/>
    <x v="4"/>
    <x v="10"/>
    <x v="11"/>
    <x v="11"/>
    <s v="整份"/>
    <n v="9.95"/>
    <s v="扎"/>
    <n v="3"/>
    <n v="29.85"/>
    <n v="0"/>
    <n v="0"/>
    <n v="0"/>
    <n v="0"/>
    <n v="0"/>
    <n v="0"/>
    <n v="0"/>
    <n v="0"/>
    <n v="0"/>
    <n v="0"/>
    <n v="3"/>
    <n v="33.43"/>
    <n v="3.58"/>
    <n v="29.85"/>
    <n v="1"/>
  </r>
  <r>
    <s v="2021-06-24"/>
    <s v="Vancouver"/>
    <s v="加拿大二店"/>
    <x v="1"/>
    <x v="6"/>
    <x v="11"/>
    <x v="12"/>
    <x v="12"/>
    <s v="整份"/>
    <n v="8.95"/>
    <s v="份"/>
    <n v="7"/>
    <n v="62.65"/>
    <n v="0"/>
    <n v="0"/>
    <n v="0"/>
    <n v="0"/>
    <n v="0"/>
    <n v="0"/>
    <n v="0"/>
    <n v="0"/>
    <n v="1.79"/>
    <n v="0"/>
    <n v="7"/>
    <n v="63.9"/>
    <n v="3.04"/>
    <n v="60.86"/>
    <n v="1"/>
  </r>
  <r>
    <s v="2021-06-24"/>
    <s v="Vancouver"/>
    <s v="加拿大二店"/>
    <x v="1"/>
    <x v="6"/>
    <x v="13"/>
    <x v="14"/>
    <x v="14"/>
    <s v="整份"/>
    <n v="21.95"/>
    <s v="份"/>
    <n v="1"/>
    <n v="21.95"/>
    <n v="0"/>
    <n v="0"/>
    <n v="0"/>
    <n v="0"/>
    <n v="0"/>
    <n v="0"/>
    <n v="0"/>
    <n v="0"/>
    <n v="0"/>
    <n v="0"/>
    <n v="1"/>
    <n v="23.04"/>
    <n v="1.09"/>
    <n v="21.95"/>
    <n v="1"/>
  </r>
  <r>
    <s v="2021-06-24"/>
    <s v="Vancouver"/>
    <s v="加拿大二店"/>
    <x v="1"/>
    <x v="6"/>
    <x v="14"/>
    <x v="15"/>
    <x v="15"/>
    <s v="整份"/>
    <n v="29.95"/>
    <s v="份"/>
    <n v="1"/>
    <n v="29.95"/>
    <n v="0"/>
    <n v="0"/>
    <n v="0"/>
    <n v="0"/>
    <n v="0"/>
    <n v="0"/>
    <n v="0"/>
    <n v="0"/>
    <n v="0"/>
    <n v="0"/>
    <n v="1"/>
    <n v="31.44"/>
    <n v="1.49"/>
    <n v="29.95"/>
    <n v="1"/>
  </r>
  <r>
    <s v="2021-06-24"/>
    <s v="Vancouver"/>
    <s v="加拿大二店"/>
    <x v="1"/>
    <x v="6"/>
    <x v="121"/>
    <x v="115"/>
    <x v="125"/>
    <s v="整份"/>
    <n v="12.95"/>
    <s v="份"/>
    <n v="1"/>
    <n v="12.95"/>
    <n v="0"/>
    <n v="0"/>
    <n v="0"/>
    <n v="0"/>
    <n v="0"/>
    <n v="0"/>
    <n v="0"/>
    <n v="0"/>
    <n v="0"/>
    <n v="0"/>
    <n v="1"/>
    <n v="13.59"/>
    <n v="0.64"/>
    <n v="12.95"/>
    <n v="1"/>
  </r>
  <r>
    <s v="2021-06-24"/>
    <s v="Vancouver"/>
    <s v="加拿大二店"/>
    <x v="1"/>
    <x v="6"/>
    <x v="15"/>
    <x v="16"/>
    <x v="16"/>
    <s v="整份"/>
    <n v="8.95"/>
    <s v="份"/>
    <n v="3"/>
    <n v="26.85"/>
    <n v="0"/>
    <n v="0"/>
    <n v="0"/>
    <n v="0"/>
    <n v="0"/>
    <n v="0"/>
    <n v="0"/>
    <n v="0"/>
    <n v="0"/>
    <n v="0"/>
    <n v="3"/>
    <n v="28.19"/>
    <n v="1.34"/>
    <n v="26.85"/>
    <n v="1"/>
  </r>
  <r>
    <s v="2021-06-24"/>
    <s v="Vancouver"/>
    <s v="加拿大二店"/>
    <x v="1"/>
    <x v="6"/>
    <x v="111"/>
    <x v="105"/>
    <x v="115"/>
    <s v="整份"/>
    <n v="8.95"/>
    <s v="份"/>
    <n v="1"/>
    <n v="8.95"/>
    <n v="0"/>
    <n v="0"/>
    <n v="0"/>
    <n v="0"/>
    <n v="0"/>
    <n v="0"/>
    <n v="0"/>
    <n v="0"/>
    <n v="0"/>
    <n v="0"/>
    <n v="1"/>
    <n v="9.39"/>
    <n v="0.44"/>
    <n v="8.95"/>
    <n v="1"/>
  </r>
  <r>
    <s v="2021-06-24"/>
    <s v="Vancouver"/>
    <s v="加拿大二店"/>
    <x v="3"/>
    <x v="7"/>
    <x v="16"/>
    <x v="17"/>
    <x v="17"/>
    <s v="整份"/>
    <n v="4.95"/>
    <s v="份"/>
    <n v="5"/>
    <n v="24.75"/>
    <n v="0"/>
    <n v="0"/>
    <n v="0"/>
    <n v="0"/>
    <n v="0"/>
    <n v="0"/>
    <n v="0"/>
    <n v="0"/>
    <n v="0"/>
    <n v="0"/>
    <n v="5"/>
    <n v="25.98"/>
    <n v="1.23"/>
    <n v="24.75"/>
    <n v="1"/>
  </r>
  <r>
    <s v="2021-06-24"/>
    <s v="Vancouver"/>
    <s v="加拿大二店"/>
    <x v="2"/>
    <x v="4"/>
    <x v="17"/>
    <x v="18"/>
    <x v="18"/>
    <s v="冰镇"/>
    <n v="2.95"/>
    <s v="瓶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24"/>
    <s v="Vancouver"/>
    <s v="加拿大二店"/>
    <x v="1"/>
    <x v="8"/>
    <x v="19"/>
    <x v="20"/>
    <x v="20"/>
    <s v="整份"/>
    <n v="5.95"/>
    <s v="份"/>
    <n v="10"/>
    <n v="59.5"/>
    <n v="1"/>
    <n v="5.95"/>
    <n v="0"/>
    <n v="0"/>
    <n v="1"/>
    <n v="5.95"/>
    <n v="0"/>
    <n v="0"/>
    <n v="1.19"/>
    <n v="0"/>
    <n v="8"/>
    <n v="48.73"/>
    <n v="2.32"/>
    <n v="46.41"/>
    <n v="1"/>
  </r>
  <r>
    <s v="2021-06-24"/>
    <s v="Vancouver"/>
    <s v="加拿大二店"/>
    <x v="1"/>
    <x v="8"/>
    <x v="20"/>
    <x v="21"/>
    <x v="21"/>
    <s v="整份"/>
    <n v="7.95"/>
    <s v="份"/>
    <n v="5"/>
    <n v="39.75"/>
    <n v="1"/>
    <n v="7.95"/>
    <n v="0"/>
    <n v="0"/>
    <n v="0"/>
    <n v="0"/>
    <n v="0"/>
    <n v="0"/>
    <n v="3.38"/>
    <n v="0"/>
    <n v="4"/>
    <n v="29.84"/>
    <n v="1.42"/>
    <n v="28.42"/>
    <n v="1"/>
  </r>
  <r>
    <s v="2021-06-24"/>
    <s v="Vancouver"/>
    <s v="加拿大二店"/>
    <x v="2"/>
    <x v="4"/>
    <x v="21"/>
    <x v="22"/>
    <x v="22"/>
    <s v="冰镇"/>
    <n v="2.45"/>
    <s v="听"/>
    <n v="3"/>
    <n v="7.35"/>
    <n v="1"/>
    <n v="2.45"/>
    <n v="0"/>
    <n v="0"/>
    <n v="0"/>
    <n v="0"/>
    <n v="0"/>
    <n v="0"/>
    <n v="0"/>
    <n v="0"/>
    <n v="2"/>
    <n v="5.48"/>
    <n v="0.58"/>
    <n v="4.9"/>
    <n v="1"/>
  </r>
  <r>
    <s v="2021-06-24"/>
    <s v="Vancouver"/>
    <s v="加拿大二店"/>
    <x v="4"/>
    <x v="10"/>
    <x v="22"/>
    <x v="0"/>
    <x v="23"/>
    <s v="四宫格"/>
    <n v="5.95"/>
    <s v="锅"/>
    <n v="7"/>
    <n v="41.65"/>
    <n v="0"/>
    <n v="0"/>
    <n v="0"/>
    <n v="0"/>
    <n v="0"/>
    <n v="0"/>
    <n v="0"/>
    <n v="-0.01"/>
    <n v="0"/>
    <n v="0"/>
    <n v="7"/>
    <n v="44.15"/>
    <n v="2.49"/>
    <n v="41.66"/>
    <n v="1"/>
  </r>
  <r>
    <s v="2021-06-24"/>
    <s v="Vancouver"/>
    <s v="加拿大二店"/>
    <x v="3"/>
    <x v="7"/>
    <x v="23"/>
    <x v="23"/>
    <x v="24"/>
    <s v="整份"/>
    <n v="4.95"/>
    <s v="份"/>
    <n v="4"/>
    <n v="19.8"/>
    <n v="0"/>
    <n v="0"/>
    <n v="0"/>
    <n v="0"/>
    <n v="0"/>
    <n v="0"/>
    <n v="0"/>
    <n v="0"/>
    <n v="0"/>
    <n v="0"/>
    <n v="4"/>
    <n v="20.79"/>
    <n v="0.99"/>
    <n v="19.8"/>
    <n v="1"/>
  </r>
  <r>
    <s v="2021-06-24"/>
    <s v="Vancouver"/>
    <s v="加拿大二店"/>
    <x v="3"/>
    <x v="11"/>
    <x v="24"/>
    <x v="118"/>
    <x v="129"/>
    <s v="整份"/>
    <n v="5.95"/>
    <s v="份"/>
    <n v="3"/>
    <n v="17.85"/>
    <n v="0"/>
    <n v="0"/>
    <n v="0"/>
    <n v="0"/>
    <n v="0"/>
    <n v="0"/>
    <n v="0"/>
    <n v="0"/>
    <n v="1.19"/>
    <n v="0"/>
    <n v="3"/>
    <n v="17.49"/>
    <n v="0.83"/>
    <n v="16.66"/>
    <n v="1"/>
  </r>
  <r>
    <s v="2021-06-24"/>
    <s v="Vancouver"/>
    <s v="加拿大二店"/>
    <x v="3"/>
    <x v="11"/>
    <x v="24"/>
    <x v="24"/>
    <x v="25"/>
    <s v="半份"/>
    <n v="2.95"/>
    <s v="份"/>
    <n v="1"/>
    <n v="2.95"/>
    <n v="0"/>
    <n v="0"/>
    <n v="0"/>
    <n v="0"/>
    <n v="0"/>
    <n v="0"/>
    <n v="0"/>
    <n v="0"/>
    <n v="0.59"/>
    <n v="0"/>
    <n v="1"/>
    <n v="2.47"/>
    <n v="0.11"/>
    <n v="2.36"/>
    <n v="0.5"/>
  </r>
  <r>
    <s v="2021-06-24"/>
    <s v="Vancouver"/>
    <s v="加拿大二店"/>
    <x v="3"/>
    <x v="5"/>
    <x v="25"/>
    <x v="25"/>
    <x v="26"/>
    <s v="整份"/>
    <n v="3.95"/>
    <s v="份"/>
    <n v="4"/>
    <n v="15.8"/>
    <n v="0"/>
    <n v="0"/>
    <n v="0"/>
    <n v="0"/>
    <n v="1"/>
    <n v="3.95"/>
    <n v="0"/>
    <n v="0"/>
    <n v="0"/>
    <n v="0"/>
    <n v="3"/>
    <n v="12.44"/>
    <n v="0.59"/>
    <n v="11.85"/>
    <n v="1"/>
  </r>
  <r>
    <s v="2021-06-24"/>
    <s v="Vancouver"/>
    <s v="加拿大二店"/>
    <x v="3"/>
    <x v="11"/>
    <x v="26"/>
    <x v="26"/>
    <x v="27"/>
    <s v="整份"/>
    <n v="4.95"/>
    <s v="份"/>
    <n v="6"/>
    <n v="29.7"/>
    <n v="0"/>
    <n v="0"/>
    <n v="0"/>
    <n v="0"/>
    <n v="0"/>
    <n v="0"/>
    <n v="0"/>
    <n v="0"/>
    <n v="1.12"/>
    <n v="0"/>
    <n v="6"/>
    <n v="30"/>
    <n v="1.42"/>
    <n v="28.58"/>
    <n v="1"/>
  </r>
  <r>
    <s v="2021-06-24"/>
    <s v="Vancouver"/>
    <s v="加拿大二店"/>
    <x v="3"/>
    <x v="11"/>
    <x v="26"/>
    <x v="27"/>
    <x v="28"/>
    <s v="半份"/>
    <n v="2.45"/>
    <s v="份"/>
    <n v="12"/>
    <n v="29.4"/>
    <n v="0"/>
    <n v="0"/>
    <n v="0"/>
    <n v="0"/>
    <n v="1"/>
    <n v="2.45"/>
    <n v="0"/>
    <n v="0"/>
    <n v="0.97"/>
    <n v="0"/>
    <n v="11"/>
    <n v="27.27"/>
    <n v="1.29"/>
    <n v="25.98"/>
    <n v="0.5"/>
  </r>
  <r>
    <s v="2021-06-24"/>
    <s v="Vancouver"/>
    <s v="加拿大二店"/>
    <x v="5"/>
    <x v="12"/>
    <x v="27"/>
    <x v="28"/>
    <x v="29"/>
    <s v="整份"/>
    <n v="7.95"/>
    <s v="份"/>
    <n v="2"/>
    <n v="15.9"/>
    <n v="0"/>
    <n v="0"/>
    <n v="0"/>
    <n v="0"/>
    <n v="1"/>
    <n v="7.95"/>
    <n v="0"/>
    <n v="0"/>
    <n v="0"/>
    <n v="0"/>
    <n v="1"/>
    <n v="8.34"/>
    <n v="0.39"/>
    <n v="7.95"/>
    <n v="1"/>
  </r>
  <r>
    <s v="2021-06-24"/>
    <s v="Vancouver"/>
    <s v="加拿大二店"/>
    <x v="3"/>
    <x v="7"/>
    <x v="28"/>
    <x v="29"/>
    <x v="30"/>
    <s v="整份"/>
    <n v="4.95"/>
    <s v="份"/>
    <n v="5"/>
    <n v="24.75"/>
    <n v="0"/>
    <n v="0"/>
    <n v="0"/>
    <n v="0"/>
    <n v="0"/>
    <n v="0"/>
    <n v="0"/>
    <n v="0"/>
    <n v="0"/>
    <n v="0"/>
    <n v="5"/>
    <n v="25.98"/>
    <n v="1.23"/>
    <n v="24.75"/>
    <n v="1"/>
  </r>
  <r>
    <s v="2021-06-24"/>
    <s v="Vancouver"/>
    <s v="加拿大二店"/>
    <x v="2"/>
    <x v="4"/>
    <x v="112"/>
    <x v="106"/>
    <x v="116"/>
    <s v="冰镇"/>
    <n v="3.95"/>
    <s v="瓶"/>
    <n v="3"/>
    <n v="11.85"/>
    <n v="0"/>
    <n v="0"/>
    <n v="0"/>
    <n v="0"/>
    <n v="0"/>
    <n v="0"/>
    <n v="0"/>
    <n v="0"/>
    <n v="0"/>
    <n v="0"/>
    <n v="3"/>
    <n v="13.27"/>
    <n v="1.42"/>
    <n v="11.85"/>
    <n v="1"/>
  </r>
  <r>
    <s v="2021-06-24"/>
    <s v="Vancouver"/>
    <s v="加拿大二店"/>
    <x v="3"/>
    <x v="5"/>
    <x v="29"/>
    <x v="30"/>
    <x v="31"/>
    <s v="整份"/>
    <n v="3.95"/>
    <s v="份"/>
    <n v="4"/>
    <n v="15.8"/>
    <n v="0"/>
    <n v="0"/>
    <n v="0"/>
    <n v="0"/>
    <n v="0"/>
    <n v="0"/>
    <n v="0"/>
    <n v="0"/>
    <n v="2.14"/>
    <n v="0"/>
    <n v="4"/>
    <n v="14.34"/>
    <n v="0.68"/>
    <n v="13.66"/>
    <n v="1"/>
  </r>
  <r>
    <s v="2021-06-24"/>
    <s v="Vancouver"/>
    <s v="加拿大二店"/>
    <x v="6"/>
    <x v="13"/>
    <x v="30"/>
    <x v="31"/>
    <x v="32"/>
    <s v="整份"/>
    <n v="4.95"/>
    <s v="份"/>
    <n v="10"/>
    <n v="49.5"/>
    <n v="0"/>
    <n v="0"/>
    <n v="0"/>
    <n v="0"/>
    <n v="0"/>
    <n v="0"/>
    <n v="0"/>
    <n v="0"/>
    <n v="2.11"/>
    <n v="0"/>
    <n v="10"/>
    <n v="49.75"/>
    <n v="2.36"/>
    <n v="47.39"/>
    <n v="1"/>
  </r>
  <r>
    <s v="2021-06-24"/>
    <s v="Vancouver"/>
    <s v="加拿大二店"/>
    <x v="6"/>
    <x v="13"/>
    <x v="31"/>
    <x v="32"/>
    <x v="33"/>
    <s v="整份"/>
    <n v="9.95"/>
    <s v="份"/>
    <n v="3"/>
    <n v="29.85"/>
    <n v="0"/>
    <n v="0"/>
    <n v="0"/>
    <n v="0"/>
    <n v="0"/>
    <n v="0"/>
    <n v="0"/>
    <n v="0"/>
    <n v="0"/>
    <n v="0"/>
    <n v="3"/>
    <n v="31.34"/>
    <n v="1.49"/>
    <n v="29.85"/>
    <n v="1"/>
  </r>
  <r>
    <s v="2021-06-24"/>
    <s v="Vancouver"/>
    <s v="加拿大二店"/>
    <x v="1"/>
    <x v="3"/>
    <x v="33"/>
    <x v="34"/>
    <x v="35"/>
    <s v="整份"/>
    <n v="11.95"/>
    <s v="份"/>
    <n v="12"/>
    <n v="143.4"/>
    <n v="0"/>
    <n v="0"/>
    <n v="0"/>
    <n v="0"/>
    <n v="1"/>
    <n v="11.95"/>
    <n v="0"/>
    <n v="0"/>
    <n v="7.17"/>
    <n v="0"/>
    <n v="11"/>
    <n v="130.49"/>
    <n v="6.21"/>
    <n v="124.28"/>
    <n v="1"/>
  </r>
  <r>
    <s v="2021-06-24"/>
    <s v="Vancouver"/>
    <s v="加拿大二店"/>
    <x v="5"/>
    <x v="12"/>
    <x v="34"/>
    <x v="35"/>
    <x v="36"/>
    <s v="整份"/>
    <n v="11.95"/>
    <s v="份"/>
    <n v="4"/>
    <n v="47.8"/>
    <n v="0"/>
    <n v="0"/>
    <n v="0"/>
    <n v="0"/>
    <n v="0"/>
    <n v="0"/>
    <n v="0"/>
    <n v="0"/>
    <n v="7.48"/>
    <n v="0"/>
    <n v="4"/>
    <n v="42.33"/>
    <n v="2.01"/>
    <n v="40.32"/>
    <n v="1"/>
  </r>
  <r>
    <s v="2021-06-24"/>
    <s v="Vancouver"/>
    <s v="加拿大二店"/>
    <x v="5"/>
    <x v="12"/>
    <x v="35"/>
    <x v="36"/>
    <x v="37"/>
    <s v="条"/>
    <n v="4.95"/>
    <s v="条"/>
    <n v="14"/>
    <n v="69.3"/>
    <n v="1"/>
    <n v="4.95"/>
    <n v="0"/>
    <n v="0"/>
    <n v="1"/>
    <n v="4.95"/>
    <n v="0"/>
    <n v="0"/>
    <n v="0"/>
    <n v="0"/>
    <n v="12"/>
    <n v="62.37"/>
    <n v="2.97"/>
    <n v="59.4"/>
    <n v="1"/>
  </r>
  <r>
    <s v="2021-06-24"/>
    <s v="Vancouver"/>
    <s v="加拿大二店"/>
    <x v="5"/>
    <x v="12"/>
    <x v="36"/>
    <x v="37"/>
    <x v="38"/>
    <s v="整份"/>
    <n v="13.95"/>
    <s v="份"/>
    <n v="12"/>
    <n v="167.4"/>
    <n v="0"/>
    <n v="0"/>
    <n v="0"/>
    <n v="0"/>
    <n v="0"/>
    <n v="0"/>
    <n v="0"/>
    <n v="0"/>
    <n v="2.79"/>
    <n v="0"/>
    <n v="12"/>
    <n v="172.84"/>
    <n v="8.23"/>
    <n v="164.61"/>
    <n v="1"/>
  </r>
  <r>
    <s v="2021-06-24"/>
    <s v="Vancouver"/>
    <s v="加拿大二店"/>
    <x v="5"/>
    <x v="12"/>
    <x v="37"/>
    <x v="38"/>
    <x v="39"/>
    <s v="整份"/>
    <n v="9.95"/>
    <s v="份"/>
    <n v="8"/>
    <n v="79.6"/>
    <n v="0"/>
    <n v="0"/>
    <n v="0"/>
    <n v="0"/>
    <n v="0"/>
    <n v="0"/>
    <n v="0"/>
    <n v="0"/>
    <n v="2.24"/>
    <n v="0"/>
    <n v="8"/>
    <n v="81.22"/>
    <n v="3.86"/>
    <n v="77.36"/>
    <n v="1"/>
  </r>
  <r>
    <s v="2021-06-24"/>
    <s v="Vancouver"/>
    <s v="加拿大二店"/>
    <x v="5"/>
    <x v="12"/>
    <x v="38"/>
    <x v="39"/>
    <x v="40"/>
    <s v="整份"/>
    <n v="9.95"/>
    <s v="份"/>
    <n v="1"/>
    <n v="9.95"/>
    <n v="0"/>
    <n v="0"/>
    <n v="0"/>
    <n v="0"/>
    <n v="0"/>
    <n v="0"/>
    <n v="0"/>
    <n v="0"/>
    <n v="0"/>
    <n v="0"/>
    <n v="1"/>
    <n v="10.44"/>
    <n v="0.49"/>
    <n v="9.95"/>
    <n v="1"/>
  </r>
  <r>
    <s v="2021-06-24"/>
    <s v="Vancouver"/>
    <s v="加拿大二店"/>
    <x v="6"/>
    <x v="13"/>
    <x v="39"/>
    <x v="40"/>
    <x v="41"/>
    <s v="整份"/>
    <n v="8.95"/>
    <s v="份"/>
    <n v="19"/>
    <n v="170.05"/>
    <n v="0"/>
    <n v="0"/>
    <n v="0"/>
    <n v="0"/>
    <n v="0"/>
    <n v="0"/>
    <n v="0"/>
    <n v="0"/>
    <n v="8.28"/>
    <n v="0"/>
    <n v="19"/>
    <n v="169.85"/>
    <n v="8.08"/>
    <n v="161.77"/>
    <n v="1"/>
  </r>
  <r>
    <s v="2021-06-24"/>
    <s v="Vancouver"/>
    <s v="加拿大二店"/>
    <x v="5"/>
    <x v="12"/>
    <x v="40"/>
    <x v="41"/>
    <x v="42"/>
    <s v="整份"/>
    <n v="9.95"/>
    <s v="份"/>
    <n v="10"/>
    <n v="99.5"/>
    <n v="0"/>
    <n v="0"/>
    <n v="0"/>
    <n v="0"/>
    <n v="0"/>
    <n v="0"/>
    <n v="0"/>
    <n v="0"/>
    <n v="8.21"/>
    <n v="0"/>
    <n v="10"/>
    <n v="95.85"/>
    <n v="4.56"/>
    <n v="91.29"/>
    <n v="1"/>
  </r>
  <r>
    <s v="2021-06-24"/>
    <s v="Vancouver"/>
    <s v="加拿大二店"/>
    <x v="1"/>
    <x v="6"/>
    <x v="131"/>
    <x v="125"/>
    <x v="136"/>
    <s v="整份"/>
    <n v="28.95"/>
    <s v="份"/>
    <n v="3"/>
    <n v="86.85"/>
    <n v="0"/>
    <n v="0"/>
    <n v="0"/>
    <n v="0"/>
    <n v="0"/>
    <n v="0"/>
    <n v="0"/>
    <n v="0.02"/>
    <n v="0"/>
    <n v="0"/>
    <n v="3"/>
    <n v="92.03"/>
    <n v="5.2"/>
    <n v="86.83"/>
    <n v="1"/>
  </r>
  <r>
    <s v="2021-06-24"/>
    <s v="Vancouver"/>
    <s v="加拿大二店"/>
    <x v="5"/>
    <x v="12"/>
    <x v="41"/>
    <x v="42"/>
    <x v="43"/>
    <s v="整份"/>
    <n v="7.95"/>
    <s v="份"/>
    <n v="9"/>
    <n v="71.55"/>
    <n v="0"/>
    <n v="0"/>
    <n v="0"/>
    <n v="0"/>
    <n v="0"/>
    <n v="0"/>
    <n v="0"/>
    <n v="0"/>
    <n v="7.15"/>
    <n v="0"/>
    <n v="9"/>
    <n v="67.62"/>
    <n v="3.22"/>
    <n v="64.4"/>
    <n v="1"/>
  </r>
  <r>
    <s v="2021-06-24"/>
    <s v="Vancouver"/>
    <s v="加拿大二店"/>
    <x v="3"/>
    <x v="5"/>
    <x v="43"/>
    <x v="44"/>
    <x v="45"/>
    <s v="整份"/>
    <n v="3.95"/>
    <s v="份"/>
    <n v="7"/>
    <n v="27.65"/>
    <n v="0"/>
    <n v="0"/>
    <n v="0"/>
    <n v="0"/>
    <n v="0"/>
    <n v="0"/>
    <n v="0"/>
    <n v="0"/>
    <n v="1.68"/>
    <n v="0"/>
    <n v="7"/>
    <n v="27.26"/>
    <n v="1.29"/>
    <n v="25.97"/>
    <n v="1"/>
  </r>
  <r>
    <s v="2021-06-24"/>
    <s v="Vancouver"/>
    <s v="加拿大二店"/>
    <x v="7"/>
    <x v="14"/>
    <x v="44"/>
    <x v="45"/>
    <x v="46"/>
    <s v="整份"/>
    <n v="0"/>
    <s v="份"/>
    <n v="3"/>
    <n v="0"/>
    <n v="0"/>
    <n v="0"/>
    <n v="0"/>
    <n v="0"/>
    <n v="0"/>
    <n v="0"/>
    <n v="0"/>
    <n v="0"/>
    <n v="0.02"/>
    <n v="0"/>
    <n v="3"/>
    <n v="-0.02"/>
    <n v="-0.01"/>
    <n v="-0.01"/>
    <n v="1"/>
  </r>
  <r>
    <s v="2021-06-24"/>
    <s v="Vancouver"/>
    <s v="加拿大二店"/>
    <x v="7"/>
    <x v="14"/>
    <x v="45"/>
    <x v="46"/>
    <x v="47"/>
    <s v="整份"/>
    <n v="1.5"/>
    <s v="份"/>
    <n v="1"/>
    <n v="1.5"/>
    <n v="0"/>
    <n v="0"/>
    <n v="0"/>
    <n v="0"/>
    <n v="0"/>
    <n v="0"/>
    <n v="0"/>
    <n v="0"/>
    <n v="0"/>
    <n v="0"/>
    <n v="1"/>
    <n v="1.57"/>
    <n v="0.07"/>
    <n v="1.5"/>
    <n v="1"/>
  </r>
  <r>
    <s v="2021-06-24"/>
    <s v="Vancouver"/>
    <s v="加拿大二店"/>
    <x v="7"/>
    <x v="14"/>
    <x v="45"/>
    <x v="46"/>
    <x v="47"/>
    <s v="整份"/>
    <n v="2.95"/>
    <s v="份"/>
    <n v="1"/>
    <n v="2.95"/>
    <n v="0"/>
    <n v="0"/>
    <n v="0"/>
    <n v="0"/>
    <n v="0"/>
    <n v="0"/>
    <n v="0"/>
    <n v="0"/>
    <n v="0"/>
    <n v="0"/>
    <n v="1"/>
    <n v="3.09"/>
    <n v="0.14"/>
    <n v="2.95"/>
    <n v="1"/>
  </r>
  <r>
    <s v="2021-06-24"/>
    <s v="Vancouver"/>
    <s v="加拿大二店"/>
    <x v="7"/>
    <x v="14"/>
    <x v="45"/>
    <x v="46"/>
    <x v="47"/>
    <s v="整份"/>
    <n v="3.99"/>
    <s v="份"/>
    <n v="2"/>
    <n v="7.98"/>
    <n v="0"/>
    <n v="0"/>
    <n v="0"/>
    <n v="0"/>
    <n v="0"/>
    <n v="0"/>
    <n v="0"/>
    <n v="0"/>
    <n v="0"/>
    <n v="0"/>
    <n v="2"/>
    <n v="8.37"/>
    <n v="0.39"/>
    <n v="7.98"/>
    <n v="1"/>
  </r>
  <r>
    <s v="2021-06-24"/>
    <s v="Vancouver"/>
    <s v="加拿大二店"/>
    <x v="7"/>
    <x v="14"/>
    <x v="45"/>
    <x v="46"/>
    <x v="47"/>
    <s v="整份"/>
    <n v="7"/>
    <s v="份"/>
    <n v="1"/>
    <n v="7"/>
    <n v="1"/>
    <n v="7"/>
    <n v="0"/>
    <n v="0"/>
    <n v="0"/>
    <n v="0"/>
    <n v="0"/>
    <n v="0"/>
    <n v="0"/>
    <n v="0"/>
    <n v="0"/>
    <n v="0"/>
    <n v="0"/>
    <n v="0"/>
    <n v="1"/>
  </r>
  <r>
    <s v="2021-06-24"/>
    <s v="Vancouver"/>
    <s v="加拿大二店"/>
    <x v="7"/>
    <x v="14"/>
    <x v="45"/>
    <x v="46"/>
    <x v="47"/>
    <s v="整份"/>
    <n v="10.39"/>
    <s v="份"/>
    <n v="1"/>
    <n v="10.39"/>
    <n v="0"/>
    <n v="0"/>
    <n v="0"/>
    <n v="0"/>
    <n v="0"/>
    <n v="0"/>
    <n v="0"/>
    <n v="0.01"/>
    <n v="0"/>
    <n v="0"/>
    <n v="1"/>
    <n v="10.89"/>
    <n v="0.51"/>
    <n v="10.38"/>
    <n v="1"/>
  </r>
  <r>
    <s v="2021-06-24"/>
    <s v="Vancouver"/>
    <s v="加拿大二店"/>
    <x v="7"/>
    <x v="14"/>
    <x v="45"/>
    <x v="46"/>
    <x v="47"/>
    <s v="整份"/>
    <n v="12.99"/>
    <s v="份"/>
    <n v="2"/>
    <n v="25.98"/>
    <n v="0"/>
    <n v="0"/>
    <n v="0"/>
    <n v="0"/>
    <n v="0"/>
    <n v="0"/>
    <n v="0"/>
    <n v="-0.01"/>
    <n v="2.18"/>
    <n v="0"/>
    <n v="2"/>
    <n v="25"/>
    <n v="1.19"/>
    <n v="23.81"/>
    <n v="1"/>
  </r>
  <r>
    <s v="2021-06-24"/>
    <s v="Vancouver"/>
    <s v="加拿大二店"/>
    <x v="7"/>
    <x v="14"/>
    <x v="45"/>
    <x v="46"/>
    <x v="47"/>
    <s v="整份"/>
    <n v="28.65"/>
    <s v="份"/>
    <n v="1"/>
    <n v="28.65"/>
    <n v="0"/>
    <n v="0"/>
    <n v="0"/>
    <n v="0"/>
    <n v="0"/>
    <n v="0"/>
    <n v="0"/>
    <n v="0"/>
    <n v="4.82"/>
    <n v="0"/>
    <n v="1"/>
    <n v="25.02"/>
    <n v="1.19"/>
    <n v="23.83"/>
    <n v="1"/>
  </r>
  <r>
    <s v="2021-06-24"/>
    <s v="Vancouver"/>
    <s v="加拿大二店"/>
    <x v="7"/>
    <x v="14"/>
    <x v="45"/>
    <x v="46"/>
    <x v="47"/>
    <s v="整份"/>
    <n v="32.15"/>
    <s v="份"/>
    <n v="1"/>
    <n v="32.15"/>
    <n v="0"/>
    <n v="0"/>
    <n v="0"/>
    <n v="0"/>
    <n v="0"/>
    <n v="0"/>
    <n v="0"/>
    <n v="0.01"/>
    <n v="0"/>
    <n v="0"/>
    <n v="1"/>
    <n v="33.74"/>
    <n v="1.6"/>
    <n v="32.14"/>
    <n v="1"/>
  </r>
  <r>
    <s v="2021-06-24"/>
    <s v="Vancouver"/>
    <s v="加拿大二店"/>
    <x v="7"/>
    <x v="14"/>
    <x v="45"/>
    <x v="46"/>
    <x v="47"/>
    <s v="整份"/>
    <n v="32.2"/>
    <s v="份"/>
    <n v="1"/>
    <n v="32.2"/>
    <n v="0"/>
    <n v="0"/>
    <n v="0"/>
    <n v="0"/>
    <n v="0"/>
    <n v="0"/>
    <n v="0"/>
    <n v="0"/>
    <n v="0"/>
    <n v="0"/>
    <n v="1"/>
    <n v="33.81"/>
    <n v="1.61"/>
    <n v="32.2"/>
    <n v="1"/>
  </r>
  <r>
    <s v="2021-06-24"/>
    <s v="Vancouver"/>
    <s v="加拿大二店"/>
    <x v="7"/>
    <x v="14"/>
    <x v="45"/>
    <x v="46"/>
    <x v="47"/>
    <s v="整份"/>
    <n v="33.84"/>
    <s v="份"/>
    <n v="1"/>
    <n v="33.84"/>
    <n v="0"/>
    <n v="0"/>
    <n v="0"/>
    <n v="0"/>
    <n v="0"/>
    <n v="0"/>
    <n v="0"/>
    <n v="0"/>
    <n v="0"/>
    <n v="0"/>
    <n v="1"/>
    <n v="35.53"/>
    <n v="1.69"/>
    <n v="33.84"/>
    <n v="1"/>
  </r>
  <r>
    <s v="2021-06-24"/>
    <s v="Vancouver"/>
    <s v="加拿大二店"/>
    <x v="7"/>
    <x v="14"/>
    <x v="45"/>
    <x v="46"/>
    <x v="47"/>
    <s v="整份"/>
    <n v="34.15"/>
    <s v="份"/>
    <n v="1"/>
    <n v="34.15"/>
    <n v="0"/>
    <n v="0"/>
    <n v="0"/>
    <n v="0"/>
    <n v="0"/>
    <n v="0"/>
    <n v="0"/>
    <n v="-0.02"/>
    <n v="7"/>
    <n v="0"/>
    <n v="1"/>
    <n v="28.52"/>
    <n v="1.35"/>
    <n v="27.17"/>
    <n v="1"/>
  </r>
  <r>
    <s v="2021-06-24"/>
    <s v="Vancouver"/>
    <s v="加拿大二店"/>
    <x v="7"/>
    <x v="14"/>
    <x v="45"/>
    <x v="46"/>
    <x v="47"/>
    <s v="整份"/>
    <n v="36.19"/>
    <s v="份"/>
    <n v="1"/>
    <n v="36.19"/>
    <n v="0"/>
    <n v="0"/>
    <n v="0"/>
    <n v="0"/>
    <n v="0"/>
    <n v="0"/>
    <n v="0"/>
    <n v="0.02"/>
    <n v="0"/>
    <n v="0"/>
    <n v="1"/>
    <n v="37.97"/>
    <n v="1.8"/>
    <n v="36.17"/>
    <n v="1"/>
  </r>
  <r>
    <s v="2021-06-24"/>
    <s v="Vancouver"/>
    <s v="加拿大二店"/>
    <x v="7"/>
    <x v="14"/>
    <x v="45"/>
    <x v="46"/>
    <x v="47"/>
    <s v="整份"/>
    <n v="36.59"/>
    <s v="份"/>
    <n v="1"/>
    <n v="36.59"/>
    <n v="0"/>
    <n v="0"/>
    <n v="0"/>
    <n v="0"/>
    <n v="0"/>
    <n v="0"/>
    <n v="0"/>
    <n v="-0.01"/>
    <n v="0"/>
    <n v="0"/>
    <n v="1"/>
    <n v="38.43"/>
    <n v="1.83"/>
    <n v="36.6"/>
    <n v="1"/>
  </r>
  <r>
    <s v="2021-06-24"/>
    <s v="Vancouver"/>
    <s v="加拿大二店"/>
    <x v="7"/>
    <x v="14"/>
    <x v="45"/>
    <x v="46"/>
    <x v="47"/>
    <s v="整份"/>
    <n v="37.64"/>
    <s v="份"/>
    <n v="1"/>
    <n v="37.64"/>
    <n v="0"/>
    <n v="0"/>
    <n v="0"/>
    <n v="0"/>
    <n v="0"/>
    <n v="0"/>
    <n v="0"/>
    <n v="-0.01"/>
    <n v="7"/>
    <n v="0"/>
    <n v="1"/>
    <n v="32.18"/>
    <n v="1.53"/>
    <n v="30.65"/>
    <n v="1"/>
  </r>
  <r>
    <s v="2021-06-24"/>
    <s v="Vancouver"/>
    <s v="加拿大二店"/>
    <x v="7"/>
    <x v="14"/>
    <x v="45"/>
    <x v="46"/>
    <x v="47"/>
    <s v="整份"/>
    <n v="42.84"/>
    <s v="份"/>
    <n v="1"/>
    <n v="42.84"/>
    <n v="0"/>
    <n v="0"/>
    <n v="0"/>
    <n v="0"/>
    <n v="0"/>
    <n v="0"/>
    <n v="0"/>
    <n v="0.01"/>
    <n v="0"/>
    <n v="0"/>
    <n v="1"/>
    <n v="44.97"/>
    <n v="2.14"/>
    <n v="42.83"/>
    <n v="1"/>
  </r>
  <r>
    <s v="2021-06-24"/>
    <s v="Vancouver"/>
    <s v="加拿大二店"/>
    <x v="7"/>
    <x v="14"/>
    <x v="45"/>
    <x v="46"/>
    <x v="47"/>
    <s v="整份"/>
    <n v="46.45"/>
    <s v="份"/>
    <n v="1"/>
    <n v="46.45"/>
    <n v="0"/>
    <n v="0"/>
    <n v="0"/>
    <n v="0"/>
    <n v="0"/>
    <n v="0"/>
    <n v="0"/>
    <n v="0"/>
    <n v="0"/>
    <n v="0"/>
    <n v="1"/>
    <n v="48.77"/>
    <n v="2.32"/>
    <n v="46.45"/>
    <n v="1"/>
  </r>
  <r>
    <s v="2021-06-24"/>
    <s v="Vancouver"/>
    <s v="加拿大二店"/>
    <x v="7"/>
    <x v="14"/>
    <x v="45"/>
    <x v="46"/>
    <x v="47"/>
    <s v="整份"/>
    <n v="46.5"/>
    <s v="份"/>
    <n v="1"/>
    <n v="46.5"/>
    <n v="0"/>
    <n v="0"/>
    <n v="0"/>
    <n v="0"/>
    <n v="0"/>
    <n v="0"/>
    <n v="0"/>
    <n v="0"/>
    <n v="0"/>
    <n v="0"/>
    <n v="1"/>
    <n v="48.82"/>
    <n v="2.32"/>
    <n v="46.5"/>
    <n v="1"/>
  </r>
  <r>
    <s v="2021-06-24"/>
    <s v="Vancouver"/>
    <s v="加拿大二店"/>
    <x v="7"/>
    <x v="14"/>
    <x v="45"/>
    <x v="46"/>
    <x v="47"/>
    <s v="整份"/>
    <n v="50.45"/>
    <s v="份"/>
    <n v="1"/>
    <n v="50.45"/>
    <n v="0"/>
    <n v="0"/>
    <n v="0"/>
    <n v="0"/>
    <n v="0"/>
    <n v="0"/>
    <n v="0"/>
    <n v="0.02"/>
    <n v="0"/>
    <n v="0"/>
    <n v="1"/>
    <n v="52.95"/>
    <n v="2.52"/>
    <n v="50.43"/>
    <n v="1"/>
  </r>
  <r>
    <s v="2021-06-24"/>
    <s v="Vancouver"/>
    <s v="加拿大二店"/>
    <x v="7"/>
    <x v="14"/>
    <x v="45"/>
    <x v="46"/>
    <x v="47"/>
    <s v="整份"/>
    <n v="51.35"/>
    <s v="份"/>
    <n v="1"/>
    <n v="51.35"/>
    <n v="0"/>
    <n v="0"/>
    <n v="0"/>
    <n v="0"/>
    <n v="0"/>
    <n v="0"/>
    <n v="0"/>
    <n v="-0.01"/>
    <n v="0"/>
    <n v="0"/>
    <n v="1"/>
    <n v="53.92"/>
    <n v="2.56"/>
    <n v="51.36"/>
    <n v="1"/>
  </r>
  <r>
    <s v="2021-06-24"/>
    <s v="Vancouver"/>
    <s v="加拿大二店"/>
    <x v="7"/>
    <x v="14"/>
    <x v="45"/>
    <x v="46"/>
    <x v="47"/>
    <s v="整份"/>
    <n v="59.95"/>
    <s v="份"/>
    <n v="1"/>
    <n v="59.95"/>
    <n v="0"/>
    <n v="0"/>
    <n v="0"/>
    <n v="0"/>
    <n v="0"/>
    <n v="0"/>
    <n v="0"/>
    <n v="-0.02"/>
    <n v="0"/>
    <n v="0"/>
    <n v="1"/>
    <n v="62.96"/>
    <n v="2.99"/>
    <n v="59.97"/>
    <n v="1"/>
  </r>
  <r>
    <s v="2021-06-24"/>
    <s v="Vancouver"/>
    <s v="加拿大二店"/>
    <x v="6"/>
    <x v="13"/>
    <x v="48"/>
    <x v="49"/>
    <x v="50"/>
    <s v="整份"/>
    <n v="4.95"/>
    <s v="份"/>
    <n v="4"/>
    <n v="19.8"/>
    <n v="0"/>
    <n v="0"/>
    <n v="0"/>
    <n v="0"/>
    <n v="0"/>
    <n v="0"/>
    <n v="0"/>
    <n v="0"/>
    <n v="0"/>
    <n v="0"/>
    <n v="4"/>
    <n v="20.79"/>
    <n v="0.99"/>
    <n v="19.8"/>
    <n v="1"/>
  </r>
  <r>
    <s v="2021-06-24"/>
    <s v="Vancouver"/>
    <s v="加拿大二店"/>
    <x v="3"/>
    <x v="7"/>
    <x v="49"/>
    <x v="50"/>
    <x v="51"/>
    <s v="整份"/>
    <n v="4.95"/>
    <s v="份"/>
    <n v="2"/>
    <n v="9.9"/>
    <n v="0"/>
    <n v="0"/>
    <n v="0"/>
    <n v="0"/>
    <n v="0"/>
    <n v="0"/>
    <n v="0"/>
    <n v="0"/>
    <n v="0.99"/>
    <n v="0"/>
    <n v="2"/>
    <n v="9.35"/>
    <n v="0.44"/>
    <n v="8.91"/>
    <n v="1"/>
  </r>
  <r>
    <s v="2021-06-24"/>
    <s v="Vancouver"/>
    <s v="加拿大二店"/>
    <x v="6"/>
    <x v="15"/>
    <x v="50"/>
    <x v="51"/>
    <x v="52"/>
    <s v="份"/>
    <n v="8.95"/>
    <s v="份"/>
    <n v="2"/>
    <n v="17.9"/>
    <n v="0"/>
    <n v="0"/>
    <n v="0"/>
    <n v="0"/>
    <n v="0"/>
    <n v="0"/>
    <n v="0"/>
    <n v="-0.02"/>
    <n v="0"/>
    <n v="0"/>
    <n v="2"/>
    <n v="18.81"/>
    <n v="0.89"/>
    <n v="17.92"/>
    <n v="1"/>
  </r>
  <r>
    <s v="2021-06-24"/>
    <s v="Vancouver"/>
    <s v="加拿大二店"/>
    <x v="1"/>
    <x v="6"/>
    <x v="113"/>
    <x v="107"/>
    <x v="117"/>
    <s v="整份"/>
    <n v="28.95"/>
    <s v="份"/>
    <n v="1"/>
    <n v="28.95"/>
    <n v="0"/>
    <n v="0"/>
    <n v="0"/>
    <n v="0"/>
    <n v="0"/>
    <n v="0"/>
    <n v="0"/>
    <n v="0"/>
    <n v="0"/>
    <n v="0"/>
    <n v="1"/>
    <n v="30.39"/>
    <n v="1.44"/>
    <n v="28.95"/>
    <n v="1"/>
  </r>
  <r>
    <s v="2021-06-24"/>
    <s v="Vancouver"/>
    <s v="加拿大二店"/>
    <x v="3"/>
    <x v="5"/>
    <x v="51"/>
    <x v="52"/>
    <x v="53"/>
    <s v="整份"/>
    <n v="3.95"/>
    <s v="份"/>
    <n v="2"/>
    <n v="7.9"/>
    <n v="0"/>
    <n v="0"/>
    <n v="0"/>
    <n v="0"/>
    <n v="0"/>
    <n v="0"/>
    <n v="0"/>
    <n v="0"/>
    <n v="0"/>
    <n v="0"/>
    <n v="2"/>
    <n v="8.29"/>
    <n v="0.39"/>
    <n v="7.9"/>
    <n v="1"/>
  </r>
  <r>
    <s v="2021-06-24"/>
    <s v="Vancouver"/>
    <s v="加拿大二店"/>
    <x v="3"/>
    <x v="5"/>
    <x v="52"/>
    <x v="53"/>
    <x v="54"/>
    <s v="整份"/>
    <n v="5.95"/>
    <s v="份"/>
    <n v="3"/>
    <n v="17.85"/>
    <n v="0"/>
    <n v="0"/>
    <n v="0"/>
    <n v="0"/>
    <n v="0"/>
    <n v="0"/>
    <n v="0"/>
    <n v="0.02"/>
    <n v="0"/>
    <n v="0"/>
    <n v="3"/>
    <n v="18.72"/>
    <n v="0.89"/>
    <n v="17.83"/>
    <n v="1"/>
  </r>
  <r>
    <s v="2021-06-24"/>
    <s v="Vancouver"/>
    <s v="加拿大二店"/>
    <x v="4"/>
    <x v="9"/>
    <x v="53"/>
    <x v="0"/>
    <x v="55"/>
    <s v="拼锅"/>
    <n v="0"/>
    <s v="锅"/>
    <n v="4"/>
    <n v="0"/>
    <n v="0"/>
    <n v="0"/>
    <n v="0"/>
    <n v="0"/>
    <n v="0"/>
    <n v="0"/>
    <n v="0"/>
    <n v="0"/>
    <n v="0"/>
    <n v="0"/>
    <n v="4"/>
    <n v="0"/>
    <n v="0"/>
    <n v="0"/>
    <n v="2"/>
  </r>
  <r>
    <s v="2021-06-24"/>
    <s v="Vancouver"/>
    <s v="加拿大二店"/>
    <x v="4"/>
    <x v="10"/>
    <x v="53"/>
    <x v="0"/>
    <x v="55"/>
    <s v="四宫格"/>
    <n v="0"/>
    <s v="锅"/>
    <n v="13"/>
    <n v="0"/>
    <n v="0"/>
    <n v="0"/>
    <n v="0"/>
    <n v="0"/>
    <n v="2"/>
    <n v="0"/>
    <n v="0"/>
    <n v="0"/>
    <n v="0"/>
    <n v="0"/>
    <n v="11"/>
    <n v="0"/>
    <n v="0"/>
    <n v="0"/>
    <n v="1"/>
  </r>
  <r>
    <s v="2021-06-24"/>
    <s v="Vancouver"/>
    <s v="加拿大二店"/>
    <x v="6"/>
    <x v="13"/>
    <x v="54"/>
    <x v="54"/>
    <x v="56"/>
    <s v="个"/>
    <n v="1.95"/>
    <s v="个"/>
    <n v="2"/>
    <n v="3.9"/>
    <n v="0"/>
    <n v="0"/>
    <n v="0"/>
    <n v="0"/>
    <n v="0"/>
    <n v="0"/>
    <n v="0"/>
    <n v="0"/>
    <n v="0"/>
    <n v="0"/>
    <n v="2"/>
    <n v="4.09"/>
    <n v="0.19"/>
    <n v="3.9"/>
    <n v="1"/>
  </r>
  <r>
    <s v="2021-06-24"/>
    <s v="Vancouver"/>
    <s v="加拿大二店"/>
    <x v="6"/>
    <x v="13"/>
    <x v="114"/>
    <x v="108"/>
    <x v="118"/>
    <s v="整份"/>
    <n v="7.95"/>
    <s v="份"/>
    <n v="1"/>
    <n v="7.95"/>
    <n v="0"/>
    <n v="0"/>
    <n v="0"/>
    <n v="0"/>
    <n v="0"/>
    <n v="0"/>
    <n v="0"/>
    <n v="-0.02"/>
    <n v="0"/>
    <n v="0"/>
    <n v="1"/>
    <n v="8.36"/>
    <n v="0.39"/>
    <n v="7.97"/>
    <n v="1"/>
  </r>
  <r>
    <s v="2021-06-24"/>
    <s v="Vancouver"/>
    <s v="加拿大二店"/>
    <x v="1"/>
    <x v="8"/>
    <x v="55"/>
    <x v="55"/>
    <x v="57"/>
    <s v="整份"/>
    <n v="9.95"/>
    <s v="份"/>
    <n v="2"/>
    <n v="19.9"/>
    <n v="0"/>
    <n v="0"/>
    <n v="0"/>
    <n v="0"/>
    <n v="0"/>
    <n v="0"/>
    <n v="0"/>
    <n v="0"/>
    <n v="1.99"/>
    <n v="0"/>
    <n v="2"/>
    <n v="18.8"/>
    <n v="0.89"/>
    <n v="17.91"/>
    <n v="1"/>
  </r>
  <r>
    <s v="2021-06-24"/>
    <s v="Vancouver"/>
    <s v="加拿大二店"/>
    <x v="1"/>
    <x v="1"/>
    <x v="56"/>
    <x v="56"/>
    <x v="58"/>
    <s v="整份"/>
    <n v="12.95"/>
    <s v="份"/>
    <n v="10"/>
    <n v="129.5"/>
    <n v="0"/>
    <n v="0"/>
    <n v="0"/>
    <n v="0"/>
    <n v="0"/>
    <n v="0"/>
    <n v="0"/>
    <n v="0"/>
    <n v="5.18"/>
    <n v="0"/>
    <n v="10"/>
    <n v="130.53"/>
    <n v="6.21"/>
    <n v="124.32"/>
    <n v="1"/>
  </r>
  <r>
    <s v="2021-06-24"/>
    <s v="Vancouver"/>
    <s v="加拿大二店"/>
    <x v="1"/>
    <x v="1"/>
    <x v="57"/>
    <x v="57"/>
    <x v="59"/>
    <s v="整份"/>
    <n v="11.95"/>
    <s v="份"/>
    <n v="26"/>
    <n v="310.7"/>
    <n v="0"/>
    <n v="0"/>
    <n v="0"/>
    <n v="0"/>
    <n v="0"/>
    <n v="0"/>
    <n v="0"/>
    <n v="0"/>
    <n v="13.63"/>
    <n v="0"/>
    <n v="26"/>
    <n v="311.92"/>
    <n v="14.85"/>
    <n v="297.07"/>
    <n v="1"/>
  </r>
  <r>
    <s v="2021-06-24"/>
    <s v="Vancouver"/>
    <s v="加拿大二店"/>
    <x v="4"/>
    <x v="9"/>
    <x v="58"/>
    <x v="0"/>
    <x v="60"/>
    <s v="拼锅"/>
    <n v="8.95"/>
    <s v="锅"/>
    <n v="10"/>
    <n v="89.5"/>
    <n v="0"/>
    <n v="0"/>
    <n v="0"/>
    <n v="0"/>
    <n v="0"/>
    <n v="0"/>
    <n v="0"/>
    <n v="0"/>
    <n v="2.02"/>
    <n v="0"/>
    <n v="10"/>
    <n v="91.85"/>
    <n v="4.37"/>
    <n v="87.48"/>
    <n v="2"/>
  </r>
  <r>
    <s v="2021-06-24"/>
    <s v="Vancouver"/>
    <s v="加拿大二店"/>
    <x v="4"/>
    <x v="10"/>
    <x v="58"/>
    <x v="0"/>
    <x v="60"/>
    <s v="四宫格"/>
    <n v="4.95"/>
    <s v="锅"/>
    <n v="9"/>
    <n v="44.55"/>
    <n v="0"/>
    <n v="0"/>
    <n v="0"/>
    <n v="0"/>
    <n v="0"/>
    <n v="0"/>
    <n v="0"/>
    <n v="0"/>
    <n v="0.99"/>
    <n v="0"/>
    <n v="9"/>
    <n v="45.73"/>
    <n v="2.17"/>
    <n v="43.56"/>
    <n v="1"/>
  </r>
  <r>
    <s v="2021-06-24"/>
    <s v="Vancouver"/>
    <s v="加拿大二店"/>
    <x v="2"/>
    <x v="21"/>
    <x v="115"/>
    <x v="109"/>
    <x v="119"/>
    <s v="瓶"/>
    <n v="49.95"/>
    <s v="瓶"/>
    <n v="4"/>
    <n v="199.8"/>
    <n v="0"/>
    <n v="0"/>
    <n v="0"/>
    <n v="0"/>
    <n v="0"/>
    <n v="0"/>
    <n v="0"/>
    <n v="0"/>
    <n v="0"/>
    <n v="0"/>
    <n v="4"/>
    <n v="229.77"/>
    <n v="29.97"/>
    <n v="199.8"/>
    <n v="1"/>
  </r>
  <r>
    <s v="2021-06-24"/>
    <s v="Vancouver"/>
    <s v="加拿大二店"/>
    <x v="3"/>
    <x v="5"/>
    <x v="59"/>
    <x v="58"/>
    <x v="61"/>
    <s v="整份"/>
    <n v="4.95"/>
    <s v="份"/>
    <n v="4"/>
    <n v="19.8"/>
    <n v="0"/>
    <n v="0"/>
    <n v="0"/>
    <n v="0"/>
    <n v="0"/>
    <n v="0"/>
    <n v="0"/>
    <n v="0"/>
    <n v="1.12"/>
    <n v="0"/>
    <n v="4"/>
    <n v="19.61"/>
    <n v="0.93"/>
    <n v="18.68"/>
    <n v="1"/>
  </r>
  <r>
    <s v="2021-06-24"/>
    <s v="Vancouver"/>
    <s v="加拿大二店"/>
    <x v="2"/>
    <x v="4"/>
    <x v="60"/>
    <x v="59"/>
    <x v="62"/>
    <s v="冰镇"/>
    <n v="6.95"/>
    <s v="扎"/>
    <n v="1"/>
    <n v="6.95"/>
    <n v="0"/>
    <n v="0"/>
    <n v="0"/>
    <n v="0"/>
    <n v="0"/>
    <n v="0"/>
    <n v="0"/>
    <n v="0"/>
    <n v="0"/>
    <n v="0"/>
    <n v="1"/>
    <n v="7.78"/>
    <n v="0.83"/>
    <n v="6.95"/>
    <n v="1"/>
  </r>
  <r>
    <s v="2021-06-24"/>
    <s v="Vancouver"/>
    <s v="加拿大二店"/>
    <x v="6"/>
    <x v="13"/>
    <x v="61"/>
    <x v="60"/>
    <x v="63"/>
    <s v="整份"/>
    <n v="3.95"/>
    <s v="包"/>
    <n v="4"/>
    <n v="15.8"/>
    <n v="0"/>
    <n v="0"/>
    <n v="0"/>
    <n v="0"/>
    <n v="0"/>
    <n v="0"/>
    <n v="0"/>
    <n v="0"/>
    <n v="1.35"/>
    <n v="0"/>
    <n v="4"/>
    <n v="15.17"/>
    <n v="0.72"/>
    <n v="14.45"/>
    <n v="1"/>
  </r>
  <r>
    <s v="2021-06-24"/>
    <s v="Vancouver"/>
    <s v="加拿大二店"/>
    <x v="4"/>
    <x v="9"/>
    <x v="62"/>
    <x v="0"/>
    <x v="64"/>
    <s v="拼锅"/>
    <n v="8.95"/>
    <s v="锅"/>
    <n v="7"/>
    <n v="62.65"/>
    <n v="0"/>
    <n v="0"/>
    <n v="0"/>
    <n v="0"/>
    <n v="0"/>
    <n v="0"/>
    <n v="0"/>
    <n v="0.04"/>
    <n v="3.58"/>
    <n v="0"/>
    <n v="7"/>
    <n v="61.98"/>
    <n v="2.95"/>
    <n v="59.03"/>
    <n v="2"/>
  </r>
  <r>
    <s v="2021-06-24"/>
    <s v="Vancouver"/>
    <s v="加拿大二店"/>
    <x v="4"/>
    <x v="10"/>
    <x v="62"/>
    <x v="0"/>
    <x v="64"/>
    <s v="四宫格"/>
    <n v="4.95"/>
    <s v="锅"/>
    <n v="13"/>
    <n v="64.35"/>
    <n v="0"/>
    <n v="0"/>
    <n v="0"/>
    <n v="0"/>
    <n v="1"/>
    <n v="4.95"/>
    <n v="0"/>
    <n v="0"/>
    <n v="0.99"/>
    <n v="0"/>
    <n v="12"/>
    <n v="61.33"/>
    <n v="2.92"/>
    <n v="58.41"/>
    <n v="1"/>
  </r>
  <r>
    <s v="2021-06-24"/>
    <s v="Vancouver"/>
    <s v="加拿大二店"/>
    <x v="6"/>
    <x v="13"/>
    <x v="63"/>
    <x v="61"/>
    <x v="65"/>
    <s v="整份"/>
    <n v="1.5"/>
    <s v="碗"/>
    <n v="7"/>
    <n v="10.5"/>
    <n v="0"/>
    <n v="0"/>
    <n v="0"/>
    <n v="0"/>
    <n v="0"/>
    <n v="0"/>
    <n v="0"/>
    <n v="0"/>
    <n v="0"/>
    <n v="0"/>
    <n v="7"/>
    <n v="11.02"/>
    <n v="0.52"/>
    <n v="10.5"/>
    <n v="1"/>
  </r>
  <r>
    <s v="2021-06-24"/>
    <s v="Vancouver"/>
    <s v="加拿大二店"/>
    <x v="3"/>
    <x v="5"/>
    <x v="64"/>
    <x v="62"/>
    <x v="66"/>
    <s v="整份"/>
    <n v="3.95"/>
    <s v="份"/>
    <n v="6"/>
    <n v="23.7"/>
    <n v="0"/>
    <n v="0"/>
    <n v="0"/>
    <n v="0"/>
    <n v="0"/>
    <n v="0"/>
    <n v="0"/>
    <n v="0"/>
    <n v="2.76"/>
    <n v="0"/>
    <n v="6"/>
    <n v="21.98"/>
    <n v="1.04"/>
    <n v="20.94"/>
    <n v="1"/>
  </r>
  <r>
    <s v="2021-06-24"/>
    <s v="Vancouver"/>
    <s v="加拿大二店"/>
    <x v="2"/>
    <x v="4"/>
    <x v="65"/>
    <x v="63"/>
    <x v="67"/>
    <s v="扎"/>
    <n v="8.95"/>
    <s v="扎"/>
    <n v="3"/>
    <n v="26.85"/>
    <n v="0"/>
    <n v="0"/>
    <n v="0"/>
    <n v="0"/>
    <n v="1"/>
    <n v="8.95"/>
    <n v="0"/>
    <n v="0.02"/>
    <n v="1.79"/>
    <n v="0"/>
    <n v="2"/>
    <n v="18.02"/>
    <n v="1.93"/>
    <n v="16.09"/>
    <n v="1"/>
  </r>
  <r>
    <s v="2021-06-24"/>
    <s v="Vancouver"/>
    <s v="加拿大二店"/>
    <x v="2"/>
    <x v="4"/>
    <x v="66"/>
    <x v="64"/>
    <x v="68"/>
    <s v="扎"/>
    <n v="11.95"/>
    <s v="扎"/>
    <n v="1"/>
    <n v="11.95"/>
    <n v="0"/>
    <n v="0"/>
    <n v="0"/>
    <n v="0"/>
    <n v="0"/>
    <n v="0"/>
    <n v="0"/>
    <n v="0"/>
    <n v="0"/>
    <n v="0"/>
    <n v="1"/>
    <n v="13.38"/>
    <n v="1.43"/>
    <n v="11.95"/>
    <n v="1"/>
  </r>
  <r>
    <s v="2021-06-24"/>
    <s v="Vancouver"/>
    <s v="加拿大二店"/>
    <x v="3"/>
    <x v="5"/>
    <x v="134"/>
    <x v="128"/>
    <x v="139"/>
    <s v="整份"/>
    <n v="13.95"/>
    <s v="份"/>
    <n v="1"/>
    <n v="13.95"/>
    <n v="0"/>
    <n v="0"/>
    <n v="0"/>
    <n v="0"/>
    <n v="0"/>
    <n v="0"/>
    <n v="0"/>
    <n v="0"/>
    <n v="0"/>
    <n v="0"/>
    <n v="1"/>
    <n v="14.64"/>
    <n v="0.69"/>
    <n v="13.95"/>
    <n v="1"/>
  </r>
  <r>
    <s v="2021-06-24"/>
    <s v="Vancouver"/>
    <s v="加拿大二店"/>
    <x v="3"/>
    <x v="5"/>
    <x v="117"/>
    <x v="111"/>
    <x v="121"/>
    <s v="整份"/>
    <n v="4.95"/>
    <s v="份"/>
    <n v="5"/>
    <n v="24.75"/>
    <n v="0"/>
    <n v="0"/>
    <n v="0"/>
    <n v="0"/>
    <n v="0"/>
    <n v="0"/>
    <n v="0"/>
    <n v="0"/>
    <n v="1.98"/>
    <n v="0"/>
    <n v="5"/>
    <n v="23.9"/>
    <n v="1.13"/>
    <n v="22.77"/>
    <n v="1"/>
  </r>
  <r>
    <s v="2021-06-24"/>
    <s v="Vancouver"/>
    <s v="加拿大二店"/>
    <x v="3"/>
    <x v="7"/>
    <x v="67"/>
    <x v="65"/>
    <x v="69"/>
    <s v="整份"/>
    <n v="3.95"/>
    <s v="份"/>
    <n v="5"/>
    <n v="19.75"/>
    <n v="0"/>
    <n v="0"/>
    <n v="0"/>
    <n v="0"/>
    <n v="0"/>
    <n v="0"/>
    <n v="0"/>
    <n v="0"/>
    <n v="0.79"/>
    <n v="0"/>
    <n v="5"/>
    <n v="19.9"/>
    <n v="0.94"/>
    <n v="18.96"/>
    <n v="1"/>
  </r>
  <r>
    <s v="2021-06-24"/>
    <s v="Vancouver"/>
    <s v="加拿大二店"/>
    <x v="1"/>
    <x v="1"/>
    <x v="68"/>
    <x v="66"/>
    <x v="70"/>
    <s v="整份"/>
    <n v="8.95"/>
    <s v="份"/>
    <n v="36"/>
    <n v="322.2"/>
    <n v="0"/>
    <n v="0"/>
    <n v="0"/>
    <n v="0"/>
    <n v="0"/>
    <n v="0"/>
    <n v="0"/>
    <n v="0"/>
    <n v="13.42"/>
    <n v="0"/>
    <n v="36"/>
    <n v="324.21"/>
    <n v="15.43"/>
    <n v="308.78"/>
    <n v="1"/>
  </r>
  <r>
    <s v="2021-06-24"/>
    <s v="Vancouver"/>
    <s v="加拿大二店"/>
    <x v="1"/>
    <x v="1"/>
    <x v="69"/>
    <x v="67"/>
    <x v="71"/>
    <s v="整份"/>
    <n v="8.95"/>
    <s v="份"/>
    <n v="2"/>
    <n v="17.9"/>
    <n v="0"/>
    <n v="0"/>
    <n v="0"/>
    <n v="0"/>
    <n v="0"/>
    <n v="0"/>
    <n v="0"/>
    <n v="-0.01"/>
    <n v="1.79"/>
    <n v="0"/>
    <n v="2"/>
    <n v="16.92"/>
    <n v="0.8"/>
    <n v="16.12"/>
    <n v="1"/>
  </r>
  <r>
    <s v="2021-06-24"/>
    <s v="Vancouver"/>
    <s v="加拿大二店"/>
    <x v="6"/>
    <x v="15"/>
    <x v="70"/>
    <x v="68"/>
    <x v="72"/>
    <s v="整份"/>
    <n v="1.5"/>
    <s v="份"/>
    <n v="3"/>
    <n v="4.5"/>
    <n v="0"/>
    <n v="0"/>
    <n v="0"/>
    <n v="0"/>
    <n v="0"/>
    <n v="0"/>
    <n v="0"/>
    <n v="-0.02"/>
    <n v="0.3"/>
    <n v="0"/>
    <n v="3"/>
    <n v="4.43"/>
    <n v="0.21"/>
    <n v="4.22"/>
    <n v="1"/>
  </r>
  <r>
    <s v="2021-06-24"/>
    <s v="Vancouver"/>
    <s v="加拿大二店"/>
    <x v="4"/>
    <x v="9"/>
    <x v="71"/>
    <x v="0"/>
    <x v="73"/>
    <s v="拼锅"/>
    <n v="18.95"/>
    <s v="锅"/>
    <n v="6"/>
    <n v="113.7"/>
    <n v="0"/>
    <n v="0"/>
    <n v="0"/>
    <n v="0"/>
    <n v="0"/>
    <n v="0"/>
    <n v="0"/>
    <n v="0.04"/>
    <n v="0"/>
    <n v="0"/>
    <n v="6"/>
    <n v="119.34"/>
    <n v="5.68"/>
    <n v="113.66"/>
    <n v="2"/>
  </r>
  <r>
    <s v="2021-06-24"/>
    <s v="Vancouver"/>
    <s v="加拿大二店"/>
    <x v="4"/>
    <x v="10"/>
    <x v="71"/>
    <x v="0"/>
    <x v="73"/>
    <s v="四宫格"/>
    <n v="9.95"/>
    <s v="锅"/>
    <n v="6"/>
    <n v="59.7"/>
    <n v="0"/>
    <n v="0"/>
    <n v="0"/>
    <n v="0"/>
    <n v="1"/>
    <n v="9.95"/>
    <n v="0"/>
    <n v="0"/>
    <n v="0"/>
    <n v="0"/>
    <n v="5"/>
    <n v="52.23"/>
    <n v="2.48"/>
    <n v="49.75"/>
    <n v="1"/>
  </r>
  <r>
    <s v="2021-06-24"/>
    <s v="Vancouver"/>
    <s v="加拿大二店"/>
    <x v="1"/>
    <x v="8"/>
    <x v="72"/>
    <x v="69"/>
    <x v="74"/>
    <s v="个"/>
    <n v="7.95"/>
    <s v="份"/>
    <n v="5"/>
    <n v="39.75"/>
    <n v="0"/>
    <n v="0"/>
    <n v="0"/>
    <n v="0"/>
    <n v="0"/>
    <n v="0"/>
    <n v="0"/>
    <n v="0"/>
    <n v="0"/>
    <n v="0"/>
    <n v="5"/>
    <n v="41.73"/>
    <n v="1.98"/>
    <n v="39.75"/>
    <n v="1"/>
  </r>
  <r>
    <s v="2021-06-24"/>
    <s v="Vancouver"/>
    <s v="加拿大二店"/>
    <x v="6"/>
    <x v="13"/>
    <x v="73"/>
    <x v="70"/>
    <x v="75"/>
    <s v="份"/>
    <n v="6.95"/>
    <s v="份"/>
    <n v="2"/>
    <n v="13.9"/>
    <n v="0"/>
    <n v="0"/>
    <n v="0"/>
    <n v="0"/>
    <n v="1"/>
    <n v="6.95"/>
    <n v="0"/>
    <n v="0"/>
    <n v="1.39"/>
    <n v="0"/>
    <n v="1"/>
    <n v="5.83"/>
    <n v="0.27"/>
    <n v="5.56"/>
    <n v="1"/>
  </r>
  <r>
    <s v="2021-06-24"/>
    <s v="Vancouver"/>
    <s v="加拿大二店"/>
    <x v="4"/>
    <x v="9"/>
    <x v="74"/>
    <x v="0"/>
    <x v="76"/>
    <s v="拼锅"/>
    <n v="18.95"/>
    <s v="锅"/>
    <n v="3"/>
    <n v="56.85"/>
    <n v="0"/>
    <n v="0"/>
    <n v="0"/>
    <n v="0"/>
    <n v="0"/>
    <n v="0"/>
    <n v="0"/>
    <n v="0.02"/>
    <n v="2.66"/>
    <n v="0"/>
    <n v="3"/>
    <n v="56.87"/>
    <n v="2.7"/>
    <n v="54.17"/>
    <n v="2"/>
  </r>
  <r>
    <s v="2021-06-24"/>
    <s v="Vancouver"/>
    <s v="加拿大二店"/>
    <x v="4"/>
    <x v="10"/>
    <x v="74"/>
    <x v="0"/>
    <x v="76"/>
    <s v="四宫格"/>
    <n v="9.95"/>
    <s v="锅"/>
    <n v="6"/>
    <n v="59.7"/>
    <n v="0"/>
    <n v="0"/>
    <n v="0"/>
    <n v="0"/>
    <n v="0"/>
    <n v="0"/>
    <n v="0"/>
    <n v="0"/>
    <n v="0"/>
    <n v="0"/>
    <n v="6"/>
    <n v="62.68"/>
    <n v="2.98"/>
    <n v="59.7"/>
    <n v="1"/>
  </r>
  <r>
    <s v="2021-06-24"/>
    <s v="Vancouver"/>
    <s v="加拿大二店"/>
    <x v="1"/>
    <x v="6"/>
    <x v="118"/>
    <x v="112"/>
    <x v="122"/>
    <s v="整份"/>
    <n v="28.95"/>
    <s v="份"/>
    <n v="2"/>
    <n v="57.9"/>
    <n v="0"/>
    <n v="0"/>
    <n v="0"/>
    <n v="0"/>
    <n v="0"/>
    <n v="0"/>
    <n v="0"/>
    <n v="-0.02"/>
    <n v="5.79"/>
    <n v="0"/>
    <n v="2"/>
    <n v="54.73"/>
    <n v="2.6"/>
    <n v="52.13"/>
    <n v="1"/>
  </r>
  <r>
    <s v="2021-06-24"/>
    <s v="Vancouver"/>
    <s v="加拿大二店"/>
    <x v="8"/>
    <x v="17"/>
    <x v="75"/>
    <x v="71"/>
    <x v="77"/>
    <s v="整份"/>
    <n v="3.99"/>
    <s v="位"/>
    <n v="93"/>
    <n v="371.07"/>
    <n v="2"/>
    <n v="7.98"/>
    <n v="0"/>
    <n v="0"/>
    <n v="2"/>
    <n v="7.98"/>
    <n v="0"/>
    <n v="-0.01"/>
    <n v="2.5"/>
    <n v="0"/>
    <n v="89"/>
    <n v="370.25"/>
    <n v="17.63"/>
    <n v="352.62"/>
    <n v="1"/>
  </r>
  <r>
    <s v="2021-06-24"/>
    <s v="Vancouver"/>
    <s v="加拿大二店"/>
    <x v="3"/>
    <x v="5"/>
    <x v="76"/>
    <x v="72"/>
    <x v="78"/>
    <s v="整份"/>
    <n v="3.95"/>
    <s v="份"/>
    <n v="1"/>
    <n v="3.95"/>
    <n v="0"/>
    <n v="0"/>
    <n v="0"/>
    <n v="0"/>
    <n v="0"/>
    <n v="0"/>
    <n v="0"/>
    <n v="0"/>
    <n v="0"/>
    <n v="0"/>
    <n v="1"/>
    <n v="4.14"/>
    <n v="0.19"/>
    <n v="3.95"/>
    <n v="1"/>
  </r>
  <r>
    <s v="2021-06-24"/>
    <s v="Vancouver"/>
    <s v="加拿大二店"/>
    <x v="1"/>
    <x v="3"/>
    <x v="77"/>
    <x v="73"/>
    <x v="79"/>
    <s v="整份"/>
    <n v="5.95"/>
    <s v="份"/>
    <n v="7"/>
    <n v="41.65"/>
    <n v="0"/>
    <n v="0"/>
    <n v="0"/>
    <n v="0"/>
    <n v="1"/>
    <n v="5.95"/>
    <n v="0"/>
    <n v="0"/>
    <n v="0"/>
    <n v="0"/>
    <n v="6"/>
    <n v="37.48"/>
    <n v="1.78"/>
    <n v="35.7"/>
    <n v="1"/>
  </r>
  <r>
    <s v="2021-06-24"/>
    <s v="Vancouver"/>
    <s v="加拿大二店"/>
    <x v="3"/>
    <x v="11"/>
    <x v="78"/>
    <x v="74"/>
    <x v="80"/>
    <s v="整份"/>
    <n v="5.95"/>
    <s v="份"/>
    <n v="3"/>
    <n v="17.85"/>
    <n v="0"/>
    <n v="0"/>
    <n v="0"/>
    <n v="0"/>
    <n v="0"/>
    <n v="0"/>
    <n v="0"/>
    <n v="0"/>
    <n v="0"/>
    <n v="0"/>
    <n v="3"/>
    <n v="18.74"/>
    <n v="0.89"/>
    <n v="17.85"/>
    <n v="1"/>
  </r>
  <r>
    <s v="2021-06-24"/>
    <s v="Vancouver"/>
    <s v="加拿大二店"/>
    <x v="3"/>
    <x v="11"/>
    <x v="78"/>
    <x v="75"/>
    <x v="81"/>
    <s v="半份"/>
    <n v="2.95"/>
    <s v="份"/>
    <n v="10"/>
    <n v="29.5"/>
    <n v="0"/>
    <n v="0"/>
    <n v="0"/>
    <n v="0"/>
    <n v="0"/>
    <n v="0"/>
    <n v="0"/>
    <n v="0"/>
    <n v="2.19"/>
    <n v="0"/>
    <n v="10"/>
    <n v="28.67"/>
    <n v="1.36"/>
    <n v="27.31"/>
    <n v="0.5"/>
  </r>
  <r>
    <s v="2021-06-24"/>
    <s v="Vancouver"/>
    <s v="加拿大二店"/>
    <x v="3"/>
    <x v="5"/>
    <x v="79"/>
    <x v="76"/>
    <x v="82"/>
    <s v="整份"/>
    <n v="3.95"/>
    <s v="份"/>
    <n v="6"/>
    <n v="23.7"/>
    <n v="0"/>
    <n v="0"/>
    <n v="0"/>
    <n v="0"/>
    <n v="0"/>
    <n v="0"/>
    <n v="0"/>
    <n v="0"/>
    <n v="1.68"/>
    <n v="0"/>
    <n v="6"/>
    <n v="23.12"/>
    <n v="1.1"/>
    <n v="22.02"/>
    <n v="1"/>
  </r>
  <r>
    <s v="2021-06-24"/>
    <s v="Vancouver"/>
    <s v="加拿大二店"/>
    <x v="3"/>
    <x v="5"/>
    <x v="80"/>
    <x v="77"/>
    <x v="83"/>
    <s v="整份"/>
    <n v="5.95"/>
    <s v="份"/>
    <n v="10"/>
    <n v="59.5"/>
    <n v="0"/>
    <n v="0"/>
    <n v="0"/>
    <n v="0"/>
    <n v="0"/>
    <n v="0"/>
    <n v="0"/>
    <n v="0"/>
    <n v="4.76"/>
    <n v="0"/>
    <n v="10"/>
    <n v="57.47"/>
    <n v="2.73"/>
    <n v="54.74"/>
    <n v="1"/>
  </r>
  <r>
    <s v="2021-06-24"/>
    <s v="Vancouver"/>
    <s v="加拿大二店"/>
    <x v="4"/>
    <x v="9"/>
    <x v="81"/>
    <x v="0"/>
    <x v="84"/>
    <s v="拼锅"/>
    <n v="8.95"/>
    <s v="锅"/>
    <n v="3"/>
    <n v="26.85"/>
    <n v="0"/>
    <n v="0"/>
    <n v="0"/>
    <n v="0"/>
    <n v="0"/>
    <n v="0"/>
    <n v="0"/>
    <n v="-0.02"/>
    <n v="0"/>
    <n v="0"/>
    <n v="3"/>
    <n v="28.21"/>
    <n v="1.34"/>
    <n v="26.87"/>
    <n v="2"/>
  </r>
  <r>
    <s v="2021-06-24"/>
    <s v="Vancouver"/>
    <s v="加拿大二店"/>
    <x v="4"/>
    <x v="10"/>
    <x v="81"/>
    <x v="0"/>
    <x v="84"/>
    <s v="四宫格"/>
    <n v="4.95"/>
    <s v="锅"/>
    <n v="8"/>
    <n v="39.6"/>
    <n v="0"/>
    <n v="0"/>
    <n v="0"/>
    <n v="0"/>
    <n v="0"/>
    <n v="0"/>
    <n v="0"/>
    <n v="0"/>
    <n v="0"/>
    <n v="0"/>
    <n v="8"/>
    <n v="41.58"/>
    <n v="1.98"/>
    <n v="39.6"/>
    <n v="1"/>
  </r>
  <r>
    <s v="2021-06-24"/>
    <s v="Vancouver"/>
    <s v="加拿大二店"/>
    <x v="3"/>
    <x v="5"/>
    <x v="82"/>
    <x v="78"/>
    <x v="85"/>
    <s v="整份"/>
    <n v="12.95"/>
    <s v="份"/>
    <n v="6"/>
    <n v="77.7"/>
    <n v="0"/>
    <n v="0"/>
    <n v="0"/>
    <n v="0"/>
    <n v="0"/>
    <n v="0"/>
    <n v="0"/>
    <n v="0"/>
    <n v="0"/>
    <n v="0"/>
    <n v="6"/>
    <n v="81.58"/>
    <n v="3.88"/>
    <n v="77.7"/>
    <n v="1"/>
  </r>
  <r>
    <s v="2021-06-24"/>
    <s v="Vancouver"/>
    <s v="加拿大二店"/>
    <x v="3"/>
    <x v="11"/>
    <x v="83"/>
    <x v="79"/>
    <x v="86"/>
    <s v="整份"/>
    <n v="5.95"/>
    <s v="份"/>
    <n v="1"/>
    <n v="5.95"/>
    <n v="0"/>
    <n v="0"/>
    <n v="0"/>
    <n v="0"/>
    <n v="0"/>
    <n v="0"/>
    <n v="0"/>
    <n v="0"/>
    <n v="0"/>
    <n v="0"/>
    <n v="1"/>
    <n v="6.24"/>
    <n v="0.29"/>
    <n v="5.95"/>
    <n v="1"/>
  </r>
  <r>
    <s v="2021-06-24"/>
    <s v="Vancouver"/>
    <s v="加拿大二店"/>
    <x v="3"/>
    <x v="11"/>
    <x v="83"/>
    <x v="80"/>
    <x v="87"/>
    <s v="半份"/>
    <n v="2.95"/>
    <s v="份"/>
    <n v="5"/>
    <n v="14.75"/>
    <n v="0"/>
    <n v="0"/>
    <n v="0"/>
    <n v="0"/>
    <n v="0"/>
    <n v="0"/>
    <n v="0"/>
    <n v="0"/>
    <n v="1.26"/>
    <n v="0"/>
    <n v="5"/>
    <n v="14.16"/>
    <n v="0.67"/>
    <n v="13.49"/>
    <n v="0.5"/>
  </r>
  <r>
    <s v="2021-06-24"/>
    <s v="Vancouver"/>
    <s v="加拿大二店"/>
    <x v="3"/>
    <x v="11"/>
    <x v="84"/>
    <x v="81"/>
    <x v="88"/>
    <s v="整份"/>
    <n v="11.95"/>
    <s v="份"/>
    <n v="2"/>
    <n v="23.9"/>
    <n v="0"/>
    <n v="0"/>
    <n v="0"/>
    <n v="0"/>
    <n v="0"/>
    <n v="0"/>
    <n v="0"/>
    <n v="0"/>
    <n v="0"/>
    <n v="0"/>
    <n v="2"/>
    <n v="25.09"/>
    <n v="1.19"/>
    <n v="23.9"/>
    <n v="1"/>
  </r>
  <r>
    <s v="2021-06-24"/>
    <s v="Vancouver"/>
    <s v="加拿大二店"/>
    <x v="1"/>
    <x v="3"/>
    <x v="85"/>
    <x v="82"/>
    <x v="89"/>
    <s v="整份"/>
    <n v="6.95"/>
    <s v="份"/>
    <n v="4"/>
    <n v="27.8"/>
    <n v="0"/>
    <n v="0"/>
    <n v="0"/>
    <n v="0"/>
    <n v="0"/>
    <n v="0"/>
    <n v="0"/>
    <n v="0"/>
    <n v="0"/>
    <n v="0"/>
    <n v="4"/>
    <n v="29.19"/>
    <n v="1.39"/>
    <n v="27.8"/>
    <n v="1"/>
  </r>
  <r>
    <s v="2021-06-24"/>
    <s v="Vancouver"/>
    <s v="加拿大二店"/>
    <x v="6"/>
    <x v="13"/>
    <x v="86"/>
    <x v="83"/>
    <x v="90"/>
    <s v="碗"/>
    <n v="2.95"/>
    <s v="碗"/>
    <n v="11"/>
    <n v="32.45"/>
    <n v="0"/>
    <n v="0"/>
    <n v="0"/>
    <n v="0"/>
    <n v="0"/>
    <n v="0"/>
    <n v="0"/>
    <n v="0.02"/>
    <n v="0.08"/>
    <n v="0"/>
    <n v="11"/>
    <n v="33.96"/>
    <n v="1.61"/>
    <n v="32.35"/>
    <n v="1"/>
  </r>
  <r>
    <s v="2021-06-24"/>
    <s v="Vancouver"/>
    <s v="加拿大二店"/>
    <x v="2"/>
    <x v="4"/>
    <x v="87"/>
    <x v="84"/>
    <x v="91"/>
    <s v="常温"/>
    <n v="2.95"/>
    <s v="扎"/>
    <n v="4"/>
    <n v="11.8"/>
    <n v="0"/>
    <n v="0"/>
    <n v="0"/>
    <n v="0"/>
    <n v="0"/>
    <n v="0"/>
    <n v="0"/>
    <n v="0"/>
    <n v="0.08"/>
    <n v="0"/>
    <n v="4"/>
    <n v="13.12"/>
    <n v="1.4"/>
    <n v="11.72"/>
    <n v="1"/>
  </r>
  <r>
    <s v="2021-06-24"/>
    <s v="Vancouver"/>
    <s v="加拿大二店"/>
    <x v="2"/>
    <x v="4"/>
    <x v="87"/>
    <x v="84"/>
    <x v="91"/>
    <s v="冰镇"/>
    <n v="2.95"/>
    <s v="扎"/>
    <n v="3"/>
    <n v="8.85"/>
    <n v="0"/>
    <n v="0"/>
    <n v="0"/>
    <n v="0"/>
    <n v="0"/>
    <n v="0"/>
    <n v="0"/>
    <n v="0"/>
    <n v="0"/>
    <n v="0"/>
    <n v="3"/>
    <n v="9.91"/>
    <n v="1.06"/>
    <n v="8.85"/>
    <n v="1"/>
  </r>
  <r>
    <s v="2021-06-24"/>
    <s v="Vancouver"/>
    <s v="加拿大二店"/>
    <x v="1"/>
    <x v="8"/>
    <x v="88"/>
    <x v="85"/>
    <x v="92"/>
    <s v="整份"/>
    <n v="7.95"/>
    <s v="份"/>
    <n v="4"/>
    <n v="31.8"/>
    <n v="0"/>
    <n v="0"/>
    <n v="0"/>
    <n v="0"/>
    <n v="0"/>
    <n v="0"/>
    <n v="0"/>
    <n v="0"/>
    <n v="1.59"/>
    <n v="0"/>
    <n v="4"/>
    <n v="31.72"/>
    <n v="1.51"/>
    <n v="30.21"/>
    <n v="1"/>
  </r>
  <r>
    <s v="2021-06-24"/>
    <s v="Vancouver"/>
    <s v="加拿大二店"/>
    <x v="1"/>
    <x v="8"/>
    <x v="89"/>
    <x v="86"/>
    <x v="93"/>
    <s v="整份"/>
    <n v="4.95"/>
    <s v="份"/>
    <n v="11"/>
    <n v="54.45"/>
    <n v="0"/>
    <n v="0"/>
    <n v="0"/>
    <n v="0"/>
    <n v="0"/>
    <n v="0"/>
    <n v="0"/>
    <n v="0"/>
    <n v="2.11"/>
    <n v="0"/>
    <n v="11"/>
    <n v="54.95"/>
    <n v="2.61"/>
    <n v="52.34"/>
    <n v="1"/>
  </r>
  <r>
    <s v="2021-06-24"/>
    <s v="Vancouver"/>
    <s v="加拿大二店"/>
    <x v="2"/>
    <x v="4"/>
    <x v="138"/>
    <x v="132"/>
    <x v="143"/>
    <s v="扎"/>
    <n v="12.95"/>
    <s v="扎"/>
    <n v="1"/>
    <n v="12.95"/>
    <n v="0"/>
    <n v="0"/>
    <n v="0"/>
    <n v="0"/>
    <n v="0"/>
    <n v="0"/>
    <n v="0"/>
    <n v="0"/>
    <n v="0"/>
    <n v="0"/>
    <n v="1"/>
    <n v="14.5"/>
    <n v="1.55"/>
    <n v="12.95"/>
    <n v="1"/>
  </r>
  <r>
    <s v="2021-06-24"/>
    <s v="Vancouver"/>
    <s v="加拿大二店"/>
    <x v="3"/>
    <x v="7"/>
    <x v="90"/>
    <x v="87"/>
    <x v="94"/>
    <s v="整份"/>
    <n v="4.95"/>
    <s v="份"/>
    <n v="8"/>
    <n v="39.6"/>
    <n v="0"/>
    <n v="0"/>
    <n v="0"/>
    <n v="0"/>
    <n v="1"/>
    <n v="4.95"/>
    <n v="0"/>
    <n v="0"/>
    <n v="1.12"/>
    <n v="0"/>
    <n v="7"/>
    <n v="35.2"/>
    <n v="1.67"/>
    <n v="33.53"/>
    <n v="1"/>
  </r>
  <r>
    <s v="2021-06-24"/>
    <s v="Vancouver"/>
    <s v="加拿大二店"/>
    <x v="1"/>
    <x v="6"/>
    <x v="119"/>
    <x v="113"/>
    <x v="123"/>
    <s v="整份"/>
    <n v="2"/>
    <s v="磅"/>
    <n v="1"/>
    <n v="2"/>
    <n v="0"/>
    <n v="0"/>
    <n v="0"/>
    <n v="0"/>
    <n v="0"/>
    <n v="0"/>
    <n v="0"/>
    <n v="0"/>
    <n v="0"/>
    <n v="0"/>
    <n v="1"/>
    <n v="2.1"/>
    <n v="0.1"/>
    <n v="2"/>
    <n v="1"/>
  </r>
  <r>
    <s v="2021-06-24"/>
    <s v="Vancouver"/>
    <s v="加拿大二店"/>
    <x v="6"/>
    <x v="18"/>
    <x v="91"/>
    <x v="88"/>
    <x v="95"/>
    <s v="整份"/>
    <n v="2.95"/>
    <s v="份"/>
    <n v="5"/>
    <n v="14.75"/>
    <n v="0"/>
    <n v="0"/>
    <n v="0"/>
    <n v="0"/>
    <n v="0"/>
    <n v="0"/>
    <n v="0"/>
    <n v="0"/>
    <n v="0"/>
    <n v="0"/>
    <n v="5"/>
    <n v="15.48"/>
    <n v="0.73"/>
    <n v="14.75"/>
    <n v="1"/>
  </r>
  <r>
    <s v="2021-06-24"/>
    <s v="Vancouver"/>
    <s v="加拿大二店"/>
    <x v="4"/>
    <x v="9"/>
    <x v="92"/>
    <x v="0"/>
    <x v="96"/>
    <s v="拼锅"/>
    <n v="8.95"/>
    <s v="锅"/>
    <n v="1"/>
    <n v="8.95"/>
    <n v="0"/>
    <n v="0"/>
    <n v="0"/>
    <n v="0"/>
    <n v="0"/>
    <n v="0"/>
    <n v="0"/>
    <n v="0.01"/>
    <n v="0"/>
    <n v="0"/>
    <n v="1"/>
    <n v="9.38"/>
    <n v="0.44"/>
    <n v="8.94"/>
    <n v="2"/>
  </r>
  <r>
    <s v="2021-06-24"/>
    <s v="Vancouver"/>
    <s v="加拿大二店"/>
    <x v="4"/>
    <x v="10"/>
    <x v="92"/>
    <x v="0"/>
    <x v="96"/>
    <s v="四宫格"/>
    <n v="4.95"/>
    <s v="锅"/>
    <n v="4"/>
    <n v="19.8"/>
    <n v="0"/>
    <n v="0"/>
    <n v="0"/>
    <n v="0"/>
    <n v="0"/>
    <n v="0"/>
    <n v="0"/>
    <n v="0"/>
    <n v="3.46"/>
    <n v="0"/>
    <n v="4"/>
    <n v="17.15"/>
    <n v="0.81"/>
    <n v="16.34"/>
    <n v="1"/>
  </r>
  <r>
    <s v="2021-06-24"/>
    <s v="Vancouver"/>
    <s v="加拿大二店"/>
    <x v="3"/>
    <x v="5"/>
    <x v="93"/>
    <x v="89"/>
    <x v="97"/>
    <s v="整份"/>
    <n v="5.95"/>
    <s v="份"/>
    <n v="8"/>
    <n v="47.6"/>
    <n v="0"/>
    <n v="0"/>
    <n v="0"/>
    <n v="0"/>
    <n v="1"/>
    <n v="5.95"/>
    <n v="0"/>
    <n v="0"/>
    <n v="2.38"/>
    <n v="0"/>
    <n v="7"/>
    <n v="41.23"/>
    <n v="1.96"/>
    <n v="39.27"/>
    <n v="1"/>
  </r>
  <r>
    <s v="2021-06-24"/>
    <s v="Vancouver"/>
    <s v="加拿大二店"/>
    <x v="6"/>
    <x v="13"/>
    <x v="94"/>
    <x v="90"/>
    <x v="98"/>
    <s v="整份"/>
    <n v="4.95"/>
    <s v="份"/>
    <n v="7"/>
    <n v="34.65"/>
    <n v="0"/>
    <n v="0"/>
    <n v="0"/>
    <n v="0"/>
    <n v="1"/>
    <n v="4.95"/>
    <n v="0"/>
    <n v="0"/>
    <n v="0.13"/>
    <n v="0"/>
    <n v="6"/>
    <n v="31.04"/>
    <n v="1.47"/>
    <n v="29.57"/>
    <n v="1"/>
  </r>
  <r>
    <s v="2021-06-24"/>
    <s v="Vancouver"/>
    <s v="加拿大二店"/>
    <x v="2"/>
    <x v="4"/>
    <x v="95"/>
    <x v="91"/>
    <x v="99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24"/>
    <s v="Vancouver"/>
    <s v="加拿大二店"/>
    <x v="1"/>
    <x v="1"/>
    <x v="96"/>
    <x v="92"/>
    <x v="100"/>
    <s v="整份"/>
    <n v="49.95"/>
    <s v="份"/>
    <n v="3"/>
    <n v="149.85"/>
    <n v="0"/>
    <n v="0"/>
    <n v="0"/>
    <n v="0"/>
    <n v="0"/>
    <n v="0"/>
    <n v="0"/>
    <n v="0"/>
    <n v="11.27"/>
    <n v="0"/>
    <n v="3"/>
    <n v="145.5"/>
    <n v="6.92"/>
    <n v="138.58"/>
    <n v="1"/>
  </r>
  <r>
    <s v="2021-06-24"/>
    <s v="Vancouver"/>
    <s v="加拿大二店"/>
    <x v="2"/>
    <x v="2"/>
    <x v="97"/>
    <x v="93"/>
    <x v="101"/>
    <s v="冰镇"/>
    <n v="5.95"/>
    <s v="听"/>
    <n v="4"/>
    <n v="23.8"/>
    <n v="0"/>
    <n v="0"/>
    <n v="0"/>
    <n v="0"/>
    <n v="0"/>
    <n v="0"/>
    <n v="0"/>
    <n v="0"/>
    <n v="0"/>
    <n v="0"/>
    <n v="4"/>
    <n v="27.37"/>
    <n v="3.57"/>
    <n v="23.8"/>
    <n v="1"/>
  </r>
  <r>
    <s v="2021-06-24"/>
    <s v="Vancouver"/>
    <s v="加拿大二店"/>
    <x v="6"/>
    <x v="13"/>
    <x v="98"/>
    <x v="94"/>
    <x v="102"/>
    <s v="整份"/>
    <n v="3.95"/>
    <s v="份"/>
    <n v="6"/>
    <n v="23.7"/>
    <n v="0"/>
    <n v="0"/>
    <n v="0"/>
    <n v="0"/>
    <n v="0"/>
    <n v="0"/>
    <n v="0"/>
    <n v="0"/>
    <n v="0"/>
    <n v="0"/>
    <n v="6"/>
    <n v="24.88"/>
    <n v="1.18"/>
    <n v="23.7"/>
    <n v="1"/>
  </r>
  <r>
    <s v="2021-06-24"/>
    <s v="Vancouver"/>
    <s v="加拿大二店"/>
    <x v="1"/>
    <x v="3"/>
    <x v="99"/>
    <x v="95"/>
    <x v="103"/>
    <s v="整份"/>
    <n v="5.95"/>
    <s v="份"/>
    <n v="1"/>
    <n v="5.95"/>
    <n v="0"/>
    <n v="0"/>
    <n v="0"/>
    <n v="0"/>
    <n v="0"/>
    <n v="0"/>
    <n v="0"/>
    <n v="0"/>
    <n v="0"/>
    <n v="0"/>
    <n v="1"/>
    <n v="6.24"/>
    <n v="0.29"/>
    <n v="5.95"/>
    <n v="1"/>
  </r>
  <r>
    <s v="2021-06-24"/>
    <s v="Vancouver"/>
    <s v="加拿大二店"/>
    <x v="1"/>
    <x v="8"/>
    <x v="101"/>
    <x v="97"/>
    <x v="105"/>
    <s v="整份"/>
    <n v="5.95"/>
    <s v="份"/>
    <n v="6"/>
    <n v="35.7"/>
    <n v="0"/>
    <n v="0"/>
    <n v="0"/>
    <n v="0"/>
    <n v="0"/>
    <n v="0"/>
    <n v="0"/>
    <n v="0"/>
    <n v="3.72"/>
    <n v="0"/>
    <n v="6"/>
    <n v="33.57"/>
    <n v="1.59"/>
    <n v="31.98"/>
    <n v="1"/>
  </r>
  <r>
    <s v="2021-06-24"/>
    <s v="Vancouver"/>
    <s v="加拿大二店"/>
    <x v="1"/>
    <x v="6"/>
    <x v="102"/>
    <x v="98"/>
    <x v="106"/>
    <s v="整份"/>
    <n v="8.95"/>
    <s v="份"/>
    <n v="2"/>
    <n v="17.9"/>
    <n v="0"/>
    <n v="0"/>
    <n v="0"/>
    <n v="0"/>
    <n v="0"/>
    <n v="0"/>
    <n v="0"/>
    <n v="-0.02"/>
    <n v="0"/>
    <n v="0"/>
    <n v="2"/>
    <n v="18.81"/>
    <n v="0.89"/>
    <n v="17.92"/>
    <n v="1"/>
  </r>
  <r>
    <s v="2021-06-24"/>
    <s v="Vancouver"/>
    <s v="加拿大二店"/>
    <x v="3"/>
    <x v="7"/>
    <x v="103"/>
    <x v="99"/>
    <x v="107"/>
    <s v="整份"/>
    <n v="5.95"/>
    <s v="份"/>
    <n v="9"/>
    <n v="53.55"/>
    <n v="0"/>
    <n v="0"/>
    <n v="0"/>
    <n v="0"/>
    <n v="0"/>
    <n v="0"/>
    <n v="0"/>
    <n v="0"/>
    <n v="2.53"/>
    <n v="0"/>
    <n v="9"/>
    <n v="53.57"/>
    <n v="2.55"/>
    <n v="51.02"/>
    <n v="1"/>
  </r>
  <r>
    <s v="2021-06-24"/>
    <s v="Vancouver"/>
    <s v="加拿大二店"/>
    <x v="3"/>
    <x v="7"/>
    <x v="104"/>
    <x v="100"/>
    <x v="108"/>
    <s v="整份"/>
    <n v="3.95"/>
    <s v="份"/>
    <n v="7"/>
    <n v="27.65"/>
    <n v="0"/>
    <n v="0"/>
    <n v="0"/>
    <n v="0"/>
    <n v="0"/>
    <n v="0"/>
    <n v="0"/>
    <n v="-0.02"/>
    <n v="0.79"/>
    <n v="0"/>
    <n v="7"/>
    <n v="28.22"/>
    <n v="1.34"/>
    <n v="26.88"/>
    <n v="1"/>
  </r>
  <r>
    <s v="2021-06-24"/>
    <s v="Vancouver"/>
    <s v="加拿大二店"/>
    <x v="1"/>
    <x v="8"/>
    <x v="105"/>
    <x v="101"/>
    <x v="109"/>
    <s v="整份"/>
    <n v="4.95"/>
    <s v="份"/>
    <n v="8"/>
    <n v="39.6"/>
    <n v="0"/>
    <n v="0"/>
    <n v="0"/>
    <n v="0"/>
    <n v="0"/>
    <n v="0"/>
    <n v="0"/>
    <n v="0"/>
    <n v="2.11"/>
    <n v="0"/>
    <n v="8"/>
    <n v="39.36"/>
    <n v="1.87"/>
    <n v="37.49"/>
    <n v="1"/>
  </r>
  <r>
    <s v="2021-06-24"/>
    <s v="Vancouver"/>
    <s v="加拿大二店"/>
    <x v="4"/>
    <x v="9"/>
    <x v="106"/>
    <x v="0"/>
    <x v="110"/>
    <s v="拼锅"/>
    <n v="11.95"/>
    <s v="锅"/>
    <n v="4"/>
    <n v="47.8"/>
    <n v="0"/>
    <n v="0"/>
    <n v="0"/>
    <n v="0"/>
    <n v="0"/>
    <n v="0"/>
    <n v="0"/>
    <n v="0.02"/>
    <n v="0.26"/>
    <n v="0"/>
    <n v="4"/>
    <n v="49.89"/>
    <n v="2.37"/>
    <n v="47.52"/>
    <n v="2"/>
  </r>
  <r>
    <s v="2021-06-24"/>
    <s v="Vancouver"/>
    <s v="加拿大二店"/>
    <x v="4"/>
    <x v="10"/>
    <x v="106"/>
    <x v="0"/>
    <x v="110"/>
    <s v="四宫格"/>
    <n v="5.95"/>
    <s v="锅"/>
    <n v="5"/>
    <n v="29.75"/>
    <n v="0"/>
    <n v="0"/>
    <n v="0"/>
    <n v="0"/>
    <n v="0"/>
    <n v="0"/>
    <n v="0"/>
    <n v="0"/>
    <n v="1.19"/>
    <n v="0"/>
    <n v="5"/>
    <n v="29.98"/>
    <n v="1.42"/>
    <n v="28.56"/>
    <n v="1"/>
  </r>
  <r>
    <s v="2021-06-24"/>
    <s v="Vancouver"/>
    <s v="加拿大二店"/>
    <x v="4"/>
    <x v="9"/>
    <x v="107"/>
    <x v="0"/>
    <x v="111"/>
    <s v="拼锅"/>
    <n v="11.95"/>
    <s v="锅"/>
    <n v="4"/>
    <n v="47.8"/>
    <n v="0"/>
    <n v="0"/>
    <n v="0"/>
    <n v="0"/>
    <n v="0"/>
    <n v="0"/>
    <n v="0"/>
    <n v="0"/>
    <n v="2.39"/>
    <n v="0"/>
    <n v="4"/>
    <n v="47.68"/>
    <n v="2.27"/>
    <n v="45.41"/>
    <n v="2"/>
  </r>
  <r>
    <s v="2021-06-24"/>
    <s v="Vancouver"/>
    <s v="加拿大二店"/>
    <x v="4"/>
    <x v="10"/>
    <x v="107"/>
    <x v="0"/>
    <x v="111"/>
    <s v="四宫格"/>
    <n v="5.95"/>
    <s v="锅"/>
    <n v="1"/>
    <n v="5.95"/>
    <n v="0"/>
    <n v="0"/>
    <n v="0"/>
    <n v="0"/>
    <n v="0"/>
    <n v="0"/>
    <n v="0"/>
    <n v="0"/>
    <n v="0"/>
    <n v="0"/>
    <n v="1"/>
    <n v="6.24"/>
    <n v="0.29"/>
    <n v="5.95"/>
    <n v="1"/>
  </r>
  <r>
    <s v="2021-06-25"/>
    <s v="Vancouver"/>
    <s v="加拿大二店"/>
    <x v="1"/>
    <x v="1"/>
    <x v="1"/>
    <x v="1"/>
    <x v="1"/>
    <s v="整份"/>
    <n v="16.95"/>
    <s v="份"/>
    <n v="12"/>
    <n v="203.4"/>
    <n v="0"/>
    <n v="0"/>
    <n v="0"/>
    <n v="0"/>
    <n v="0"/>
    <n v="0"/>
    <n v="0"/>
    <n v="0"/>
    <n v="10.48"/>
    <n v="0"/>
    <n v="12"/>
    <n v="202.56"/>
    <n v="9.64"/>
    <n v="192.92"/>
    <n v="1"/>
  </r>
  <r>
    <s v="2021-06-25"/>
    <s v="Vancouver"/>
    <s v="加拿大二店"/>
    <x v="1"/>
    <x v="1"/>
    <x v="2"/>
    <x v="2"/>
    <x v="2"/>
    <s v="整份"/>
    <n v="25.95"/>
    <s v="份"/>
    <n v="21"/>
    <n v="544.95"/>
    <n v="0"/>
    <n v="0"/>
    <n v="0"/>
    <n v="0"/>
    <n v="0"/>
    <n v="0"/>
    <n v="0"/>
    <n v="0"/>
    <n v="23.83"/>
    <n v="0"/>
    <n v="21"/>
    <n v="547.17"/>
    <n v="26.05"/>
    <n v="521.12"/>
    <n v="1"/>
  </r>
  <r>
    <s v="2021-06-25"/>
    <s v="Vancouver"/>
    <s v="加拿大二店"/>
    <x v="2"/>
    <x v="2"/>
    <x v="129"/>
    <x v="123"/>
    <x v="134"/>
    <s v="扎"/>
    <n v="22.95"/>
    <s v="扎"/>
    <n v="1"/>
    <n v="22.95"/>
    <n v="0"/>
    <n v="0"/>
    <n v="0"/>
    <n v="0"/>
    <n v="0"/>
    <n v="0"/>
    <n v="0"/>
    <n v="0"/>
    <n v="0"/>
    <n v="0"/>
    <n v="1"/>
    <n v="26.39"/>
    <n v="3.44"/>
    <n v="22.95"/>
    <n v="1"/>
  </r>
  <r>
    <s v="2021-06-25"/>
    <s v="Vancouver"/>
    <s v="加拿大二店"/>
    <x v="2"/>
    <x v="2"/>
    <x v="4"/>
    <x v="4"/>
    <x v="4"/>
    <s v="壶"/>
    <n v="22.95"/>
    <s v="壶"/>
    <n v="3"/>
    <n v="68.85"/>
    <n v="0"/>
    <n v="0"/>
    <n v="0"/>
    <n v="0"/>
    <n v="0"/>
    <n v="0"/>
    <n v="0"/>
    <n v="-0.01"/>
    <n v="0"/>
    <n v="0"/>
    <n v="3"/>
    <n v="79.18"/>
    <n v="10.32"/>
    <n v="68.86"/>
    <n v="1"/>
  </r>
  <r>
    <s v="2021-06-25"/>
    <s v="Vancouver"/>
    <s v="加拿大二店"/>
    <x v="2"/>
    <x v="2"/>
    <x v="5"/>
    <x v="5"/>
    <x v="5"/>
    <s v="杯"/>
    <n v="6.95"/>
    <s v="杯"/>
    <n v="2"/>
    <n v="13.9"/>
    <n v="0"/>
    <n v="0"/>
    <n v="0"/>
    <n v="0"/>
    <n v="0"/>
    <n v="0"/>
    <n v="0"/>
    <n v="0"/>
    <n v="0"/>
    <n v="0"/>
    <n v="2"/>
    <n v="15.98"/>
    <n v="2.08"/>
    <n v="13.9"/>
    <n v="1"/>
  </r>
  <r>
    <s v="2021-06-25"/>
    <s v="Vancouver"/>
    <s v="加拿大二店"/>
    <x v="1"/>
    <x v="3"/>
    <x v="6"/>
    <x v="6"/>
    <x v="6"/>
    <s v="整份"/>
    <n v="7.95"/>
    <s v="份"/>
    <n v="5"/>
    <n v="39.75"/>
    <n v="0"/>
    <n v="0"/>
    <n v="0"/>
    <n v="0"/>
    <n v="0"/>
    <n v="0"/>
    <n v="0"/>
    <n v="0"/>
    <n v="3.18"/>
    <n v="0"/>
    <n v="5"/>
    <n v="38.39"/>
    <n v="1.82"/>
    <n v="36.57"/>
    <n v="1"/>
  </r>
  <r>
    <s v="2021-06-25"/>
    <s v="Vancouver"/>
    <s v="加拿大二店"/>
    <x v="0"/>
    <x v="0"/>
    <x v="124"/>
    <x v="0"/>
    <x v="128"/>
    <s v="套餐"/>
    <n v="59.95"/>
    <s v="套餐"/>
    <n v="2"/>
    <n v="119.9"/>
    <n v="1"/>
    <n v="59.95"/>
    <n v="0"/>
    <n v="0"/>
    <n v="0"/>
    <n v="0"/>
    <n v="0"/>
    <n v="0"/>
    <n v="10.02"/>
    <n v="0"/>
    <n v="1"/>
    <n v="52.92"/>
    <n v="2.99"/>
    <n v="49.93"/>
    <n v="1"/>
  </r>
  <r>
    <s v="2021-06-25"/>
    <s v="Vancouver"/>
    <s v="加拿大二店"/>
    <x v="9"/>
    <x v="23"/>
    <x v="139"/>
    <x v="133"/>
    <x v="144"/>
    <s v="冰镇"/>
    <n v="6.95"/>
    <s v="杯"/>
    <n v="5"/>
    <n v="34.75"/>
    <n v="0"/>
    <n v="0"/>
    <n v="0"/>
    <n v="0"/>
    <n v="0"/>
    <n v="0"/>
    <n v="0"/>
    <n v="0"/>
    <n v="0"/>
    <n v="0"/>
    <n v="5"/>
    <n v="36.83"/>
    <n v="2.08"/>
    <n v="34.75"/>
    <n v="1"/>
  </r>
  <r>
    <s v="2021-06-25"/>
    <s v="Vancouver"/>
    <s v="加拿大二店"/>
    <x v="2"/>
    <x v="19"/>
    <x v="108"/>
    <x v="102"/>
    <x v="112"/>
    <s v="小瓶"/>
    <n v="15.95"/>
    <s v="小瓶"/>
    <n v="1"/>
    <n v="15.95"/>
    <n v="0"/>
    <n v="0"/>
    <n v="0"/>
    <n v="0"/>
    <n v="0"/>
    <n v="0"/>
    <n v="0"/>
    <n v="-0.01"/>
    <n v="0"/>
    <n v="0"/>
    <n v="1"/>
    <n v="18.35"/>
    <n v="2.39"/>
    <n v="15.96"/>
    <n v="1"/>
  </r>
  <r>
    <s v="2021-06-25"/>
    <s v="Vancouver"/>
    <s v="加拿大二店"/>
    <x v="2"/>
    <x v="4"/>
    <x v="7"/>
    <x v="7"/>
    <x v="7"/>
    <s v="冰镇"/>
    <n v="2.45"/>
    <s v="罐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25"/>
    <s v="Vancouver"/>
    <s v="加拿大二店"/>
    <x v="3"/>
    <x v="5"/>
    <x v="8"/>
    <x v="8"/>
    <x v="8"/>
    <s v="整份"/>
    <n v="3.95"/>
    <s v="份"/>
    <n v="15"/>
    <n v="59.25"/>
    <n v="0"/>
    <n v="0"/>
    <n v="0"/>
    <n v="0"/>
    <n v="0"/>
    <n v="0"/>
    <n v="0"/>
    <n v="0"/>
    <n v="2.91"/>
    <n v="0"/>
    <n v="15"/>
    <n v="59.15"/>
    <n v="2.81"/>
    <n v="56.34"/>
    <n v="1"/>
  </r>
  <r>
    <s v="2021-06-25"/>
    <s v="Vancouver"/>
    <s v="加拿大二店"/>
    <x v="2"/>
    <x v="4"/>
    <x v="9"/>
    <x v="9"/>
    <x v="9"/>
    <s v="冰镇"/>
    <n v="2.95"/>
    <s v="位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25"/>
    <s v="Vancouver"/>
    <s v="加拿大二店"/>
    <x v="2"/>
    <x v="4"/>
    <x v="10"/>
    <x v="10"/>
    <x v="10"/>
    <s v="半份"/>
    <n v="6.95"/>
    <s v="扎"/>
    <n v="7"/>
    <n v="48.65"/>
    <n v="0"/>
    <n v="0"/>
    <n v="0"/>
    <n v="0"/>
    <n v="0"/>
    <n v="0"/>
    <n v="0"/>
    <n v="0"/>
    <n v="1.39"/>
    <n v="0"/>
    <n v="7"/>
    <n v="52.93"/>
    <n v="5.67"/>
    <n v="47.26"/>
    <n v="0.5"/>
  </r>
  <r>
    <s v="2021-06-25"/>
    <s v="Vancouver"/>
    <s v="加拿大二店"/>
    <x v="2"/>
    <x v="4"/>
    <x v="10"/>
    <x v="11"/>
    <x v="11"/>
    <s v="整份"/>
    <n v="9.95"/>
    <s v="扎"/>
    <n v="6"/>
    <n v="59.7"/>
    <n v="0"/>
    <n v="0"/>
    <n v="0"/>
    <n v="0"/>
    <n v="0"/>
    <n v="0"/>
    <n v="0"/>
    <n v="0"/>
    <n v="1.99"/>
    <n v="0"/>
    <n v="6"/>
    <n v="64.63"/>
    <n v="6.92"/>
    <n v="57.71"/>
    <n v="1"/>
  </r>
  <r>
    <s v="2021-06-25"/>
    <s v="Vancouver"/>
    <s v="加拿大二店"/>
    <x v="1"/>
    <x v="6"/>
    <x v="11"/>
    <x v="12"/>
    <x v="12"/>
    <s v="整份"/>
    <n v="8.95"/>
    <s v="份"/>
    <n v="7"/>
    <n v="62.65"/>
    <n v="0"/>
    <n v="0"/>
    <n v="0"/>
    <n v="0"/>
    <n v="0"/>
    <n v="0"/>
    <n v="0"/>
    <n v="0"/>
    <n v="3.02"/>
    <n v="0"/>
    <n v="7"/>
    <n v="62.61"/>
    <n v="2.98"/>
    <n v="59.63"/>
    <n v="1"/>
  </r>
  <r>
    <s v="2021-06-25"/>
    <s v="Vancouver"/>
    <s v="加拿大二店"/>
    <x v="1"/>
    <x v="6"/>
    <x v="12"/>
    <x v="13"/>
    <x v="13"/>
    <s v="整份"/>
    <n v="16.95"/>
    <s v="份"/>
    <n v="1"/>
    <n v="16.95"/>
    <n v="0"/>
    <n v="0"/>
    <n v="0"/>
    <n v="0"/>
    <n v="0"/>
    <n v="0"/>
    <n v="0"/>
    <n v="0"/>
    <n v="0"/>
    <n v="0"/>
    <n v="1"/>
    <n v="17.79"/>
    <n v="0.84"/>
    <n v="16.95"/>
    <n v="1"/>
  </r>
  <r>
    <s v="2021-06-25"/>
    <s v="Vancouver"/>
    <s v="加拿大二店"/>
    <x v="1"/>
    <x v="6"/>
    <x v="13"/>
    <x v="14"/>
    <x v="14"/>
    <s v="整份"/>
    <n v="21.95"/>
    <s v="份"/>
    <n v="6"/>
    <n v="131.7"/>
    <n v="0"/>
    <n v="0"/>
    <n v="0"/>
    <n v="0"/>
    <n v="0"/>
    <n v="0"/>
    <n v="0"/>
    <n v="0"/>
    <n v="4.79"/>
    <n v="0"/>
    <n v="6"/>
    <n v="133.25"/>
    <n v="6.34"/>
    <n v="126.91"/>
    <n v="1"/>
  </r>
  <r>
    <s v="2021-06-25"/>
    <s v="Vancouver"/>
    <s v="加拿大二店"/>
    <x v="1"/>
    <x v="6"/>
    <x v="14"/>
    <x v="15"/>
    <x v="15"/>
    <s v="整份"/>
    <n v="29.95"/>
    <s v="份"/>
    <n v="1"/>
    <n v="29.95"/>
    <n v="0"/>
    <n v="0"/>
    <n v="0"/>
    <n v="0"/>
    <n v="0"/>
    <n v="0"/>
    <n v="0"/>
    <n v="0"/>
    <n v="0"/>
    <n v="0"/>
    <n v="1"/>
    <n v="31.44"/>
    <n v="1.49"/>
    <n v="29.95"/>
    <n v="1"/>
  </r>
  <r>
    <s v="2021-06-25"/>
    <s v="Vancouver"/>
    <s v="加拿大二店"/>
    <x v="1"/>
    <x v="6"/>
    <x v="121"/>
    <x v="115"/>
    <x v="125"/>
    <s v="整份"/>
    <n v="12.95"/>
    <s v="份"/>
    <n v="1"/>
    <n v="12.95"/>
    <n v="0"/>
    <n v="0"/>
    <n v="0"/>
    <n v="0"/>
    <n v="0"/>
    <n v="0"/>
    <n v="0"/>
    <n v="0"/>
    <n v="0"/>
    <n v="0"/>
    <n v="1"/>
    <n v="13.59"/>
    <n v="0.64"/>
    <n v="12.95"/>
    <n v="1"/>
  </r>
  <r>
    <s v="2021-06-25"/>
    <s v="Vancouver"/>
    <s v="加拿大二店"/>
    <x v="1"/>
    <x v="6"/>
    <x v="15"/>
    <x v="16"/>
    <x v="16"/>
    <s v="整份"/>
    <n v="8.95"/>
    <s v="份"/>
    <n v="1"/>
    <n v="8.95"/>
    <n v="0"/>
    <n v="0"/>
    <n v="0"/>
    <n v="0"/>
    <n v="0"/>
    <n v="0"/>
    <n v="0"/>
    <n v="0"/>
    <n v="0"/>
    <n v="0"/>
    <n v="1"/>
    <n v="9.39"/>
    <n v="0.44"/>
    <n v="8.95"/>
    <n v="1"/>
  </r>
  <r>
    <s v="2021-06-25"/>
    <s v="Vancouver"/>
    <s v="加拿大二店"/>
    <x v="1"/>
    <x v="6"/>
    <x v="111"/>
    <x v="105"/>
    <x v="115"/>
    <s v="整份"/>
    <n v="8.95"/>
    <s v="份"/>
    <n v="5"/>
    <n v="44.75"/>
    <n v="0"/>
    <n v="0"/>
    <n v="0"/>
    <n v="0"/>
    <n v="0"/>
    <n v="0"/>
    <n v="0"/>
    <n v="0"/>
    <n v="3.02"/>
    <n v="0"/>
    <n v="5"/>
    <n v="43.81"/>
    <n v="2.08"/>
    <n v="41.73"/>
    <n v="1"/>
  </r>
  <r>
    <s v="2021-06-25"/>
    <s v="Vancouver"/>
    <s v="加拿大二店"/>
    <x v="3"/>
    <x v="7"/>
    <x v="16"/>
    <x v="17"/>
    <x v="17"/>
    <s v="整份"/>
    <n v="4.95"/>
    <s v="份"/>
    <n v="17"/>
    <n v="84.15"/>
    <n v="0"/>
    <n v="0"/>
    <n v="0"/>
    <n v="0"/>
    <n v="0"/>
    <n v="0"/>
    <n v="0"/>
    <n v="0"/>
    <n v="4.45"/>
    <n v="0"/>
    <n v="17"/>
    <n v="83.68"/>
    <n v="3.98"/>
    <n v="79.7"/>
    <n v="1"/>
  </r>
  <r>
    <s v="2021-06-25"/>
    <s v="Vancouver"/>
    <s v="加拿大二店"/>
    <x v="2"/>
    <x v="4"/>
    <x v="17"/>
    <x v="18"/>
    <x v="18"/>
    <s v="冰镇"/>
    <n v="2.95"/>
    <s v="瓶"/>
    <n v="3"/>
    <n v="8.85"/>
    <n v="0"/>
    <n v="0"/>
    <n v="0"/>
    <n v="0"/>
    <n v="0"/>
    <n v="0"/>
    <n v="0"/>
    <n v="0"/>
    <n v="0"/>
    <n v="0"/>
    <n v="3"/>
    <n v="9.91"/>
    <n v="1.06"/>
    <n v="8.85"/>
    <n v="1"/>
  </r>
  <r>
    <s v="2021-06-25"/>
    <s v="Vancouver"/>
    <s v="加拿大二店"/>
    <x v="2"/>
    <x v="4"/>
    <x v="18"/>
    <x v="19"/>
    <x v="19"/>
    <s v="冰镇"/>
    <n v="2.95"/>
    <s v="听"/>
    <n v="4"/>
    <n v="11.8"/>
    <n v="0"/>
    <n v="0"/>
    <n v="0"/>
    <n v="0"/>
    <n v="0"/>
    <n v="0"/>
    <n v="0"/>
    <n v="0"/>
    <n v="0.59"/>
    <n v="0"/>
    <n v="4"/>
    <n v="12.55"/>
    <n v="1.34"/>
    <n v="11.21"/>
    <n v="1"/>
  </r>
  <r>
    <s v="2021-06-25"/>
    <s v="Vancouver"/>
    <s v="加拿大二店"/>
    <x v="1"/>
    <x v="8"/>
    <x v="19"/>
    <x v="20"/>
    <x v="20"/>
    <s v="整份"/>
    <n v="5.95"/>
    <s v="份"/>
    <n v="19"/>
    <n v="113.05"/>
    <n v="0"/>
    <n v="0"/>
    <n v="0"/>
    <n v="0"/>
    <n v="0"/>
    <n v="0"/>
    <n v="0"/>
    <n v="0"/>
    <n v="5.09"/>
    <n v="0"/>
    <n v="19"/>
    <n v="113.35"/>
    <n v="5.39"/>
    <n v="107.96"/>
    <n v="1"/>
  </r>
  <r>
    <s v="2021-06-25"/>
    <s v="Vancouver"/>
    <s v="加拿大二店"/>
    <x v="1"/>
    <x v="8"/>
    <x v="20"/>
    <x v="21"/>
    <x v="21"/>
    <s v="整份"/>
    <n v="7.95"/>
    <s v="份"/>
    <n v="3"/>
    <n v="23.85"/>
    <n v="0"/>
    <n v="0"/>
    <n v="0"/>
    <n v="0"/>
    <n v="0"/>
    <n v="0"/>
    <n v="0"/>
    <n v="0"/>
    <n v="3.18"/>
    <n v="0"/>
    <n v="3"/>
    <n v="21.7"/>
    <n v="1.03"/>
    <n v="20.67"/>
    <n v="1"/>
  </r>
  <r>
    <s v="2021-06-25"/>
    <s v="Vancouver"/>
    <s v="加拿大二店"/>
    <x v="2"/>
    <x v="4"/>
    <x v="21"/>
    <x v="22"/>
    <x v="22"/>
    <s v="冰镇"/>
    <n v="2.45"/>
    <s v="听"/>
    <n v="4"/>
    <n v="9.8"/>
    <n v="0"/>
    <n v="0"/>
    <n v="0"/>
    <n v="0"/>
    <n v="0"/>
    <n v="0"/>
    <n v="0"/>
    <n v="0"/>
    <n v="0.49"/>
    <n v="0"/>
    <n v="4"/>
    <n v="10.42"/>
    <n v="1.11"/>
    <n v="9.31"/>
    <n v="1"/>
  </r>
  <r>
    <s v="2021-06-25"/>
    <s v="Vancouver"/>
    <s v="加拿大二店"/>
    <x v="4"/>
    <x v="9"/>
    <x v="22"/>
    <x v="0"/>
    <x v="23"/>
    <s v="拼锅"/>
    <n v="11.95"/>
    <s v="锅"/>
    <n v="2"/>
    <n v="23.9"/>
    <n v="0"/>
    <n v="0"/>
    <n v="0"/>
    <n v="0"/>
    <n v="0"/>
    <n v="0"/>
    <n v="0"/>
    <n v="-0.03"/>
    <n v="2.39"/>
    <n v="0"/>
    <n v="2"/>
    <n v="22.83"/>
    <n v="1.29"/>
    <n v="21.54"/>
    <n v="2"/>
  </r>
  <r>
    <s v="2021-06-25"/>
    <s v="Vancouver"/>
    <s v="加拿大二店"/>
    <x v="4"/>
    <x v="10"/>
    <x v="22"/>
    <x v="0"/>
    <x v="23"/>
    <s v="四宫格"/>
    <n v="5.95"/>
    <s v="锅"/>
    <n v="5"/>
    <n v="29.75"/>
    <n v="0"/>
    <n v="0"/>
    <n v="0"/>
    <n v="0"/>
    <n v="0"/>
    <n v="0"/>
    <n v="0"/>
    <n v="-0.05"/>
    <n v="1.19"/>
    <n v="0"/>
    <n v="5"/>
    <n v="30.32"/>
    <n v="1.71"/>
    <n v="28.61"/>
    <n v="1"/>
  </r>
  <r>
    <s v="2021-06-25"/>
    <s v="Vancouver"/>
    <s v="加拿大二店"/>
    <x v="3"/>
    <x v="7"/>
    <x v="23"/>
    <x v="23"/>
    <x v="24"/>
    <s v="整份"/>
    <n v="4.95"/>
    <s v="份"/>
    <n v="19"/>
    <n v="94.05"/>
    <n v="0"/>
    <n v="0"/>
    <n v="0"/>
    <n v="0"/>
    <n v="0"/>
    <n v="0"/>
    <n v="0"/>
    <n v="0"/>
    <n v="3.56"/>
    <n v="0"/>
    <n v="19"/>
    <n v="95.01"/>
    <n v="4.52"/>
    <n v="90.49"/>
    <n v="1"/>
  </r>
  <r>
    <s v="2021-06-25"/>
    <s v="Vancouver"/>
    <s v="加拿大二店"/>
    <x v="3"/>
    <x v="11"/>
    <x v="24"/>
    <x v="118"/>
    <x v="129"/>
    <s v="整份"/>
    <n v="5.95"/>
    <s v="份"/>
    <n v="4"/>
    <n v="23.8"/>
    <n v="0"/>
    <n v="0"/>
    <n v="0"/>
    <n v="0"/>
    <n v="0"/>
    <n v="0"/>
    <n v="0"/>
    <n v="0"/>
    <n v="1.19"/>
    <n v="0"/>
    <n v="4"/>
    <n v="23.74"/>
    <n v="1.13"/>
    <n v="22.61"/>
    <n v="1"/>
  </r>
  <r>
    <s v="2021-06-25"/>
    <s v="Vancouver"/>
    <s v="加拿大二店"/>
    <x v="3"/>
    <x v="11"/>
    <x v="24"/>
    <x v="24"/>
    <x v="25"/>
    <s v="半份"/>
    <n v="2.95"/>
    <s v="份"/>
    <n v="5"/>
    <n v="14.75"/>
    <n v="0"/>
    <n v="0"/>
    <n v="0"/>
    <n v="0"/>
    <n v="0"/>
    <n v="0"/>
    <n v="0"/>
    <n v="0"/>
    <n v="0.59"/>
    <n v="0"/>
    <n v="5"/>
    <n v="14.86"/>
    <n v="0.7"/>
    <n v="14.16"/>
    <n v="0.5"/>
  </r>
  <r>
    <s v="2021-06-25"/>
    <s v="Vancouver"/>
    <s v="加拿大二店"/>
    <x v="3"/>
    <x v="5"/>
    <x v="25"/>
    <x v="25"/>
    <x v="26"/>
    <s v="整份"/>
    <n v="3.95"/>
    <s v="份"/>
    <n v="13"/>
    <n v="51.35"/>
    <n v="0"/>
    <n v="0"/>
    <n v="0"/>
    <n v="0"/>
    <n v="0"/>
    <n v="0"/>
    <n v="0"/>
    <n v="0"/>
    <n v="5.67"/>
    <n v="0"/>
    <n v="13"/>
    <n v="47.96"/>
    <n v="2.28"/>
    <n v="45.68"/>
    <n v="1"/>
  </r>
  <r>
    <s v="2021-06-25"/>
    <s v="Vancouver"/>
    <s v="加拿大二店"/>
    <x v="3"/>
    <x v="11"/>
    <x v="26"/>
    <x v="26"/>
    <x v="27"/>
    <s v="整份"/>
    <n v="4.95"/>
    <s v="份"/>
    <n v="14"/>
    <n v="69.3"/>
    <n v="0"/>
    <n v="0"/>
    <n v="0"/>
    <n v="0"/>
    <n v="0"/>
    <n v="0"/>
    <n v="0"/>
    <n v="0"/>
    <n v="3.06"/>
    <n v="0"/>
    <n v="14"/>
    <n v="69.55"/>
    <n v="3.31"/>
    <n v="66.24"/>
    <n v="1"/>
  </r>
  <r>
    <s v="2021-06-25"/>
    <s v="Vancouver"/>
    <s v="加拿大二店"/>
    <x v="3"/>
    <x v="11"/>
    <x v="26"/>
    <x v="27"/>
    <x v="28"/>
    <s v="半份"/>
    <n v="2.45"/>
    <s v="份"/>
    <n v="14"/>
    <n v="34.3"/>
    <n v="0"/>
    <n v="0"/>
    <n v="0"/>
    <n v="0"/>
    <n v="0"/>
    <n v="0"/>
    <n v="0"/>
    <n v="0"/>
    <n v="1.47"/>
    <n v="0"/>
    <n v="14"/>
    <n v="34.47"/>
    <n v="1.64"/>
    <n v="32.83"/>
    <n v="0.5"/>
  </r>
  <r>
    <s v="2021-06-25"/>
    <s v="Vancouver"/>
    <s v="加拿大二店"/>
    <x v="5"/>
    <x v="12"/>
    <x v="27"/>
    <x v="28"/>
    <x v="29"/>
    <s v="整份"/>
    <n v="7.95"/>
    <s v="份"/>
    <n v="4"/>
    <n v="31.8"/>
    <n v="0"/>
    <n v="0"/>
    <n v="0"/>
    <n v="0"/>
    <n v="0"/>
    <n v="0"/>
    <n v="0"/>
    <n v="0"/>
    <n v="0"/>
    <n v="0"/>
    <n v="4"/>
    <n v="33.39"/>
    <n v="1.59"/>
    <n v="31.8"/>
    <n v="1"/>
  </r>
  <r>
    <s v="2021-06-25"/>
    <s v="Vancouver"/>
    <s v="加拿大二店"/>
    <x v="3"/>
    <x v="7"/>
    <x v="28"/>
    <x v="29"/>
    <x v="30"/>
    <s v="整份"/>
    <n v="4.95"/>
    <s v="份"/>
    <n v="19"/>
    <n v="94.05"/>
    <n v="0"/>
    <n v="0"/>
    <n v="0"/>
    <n v="0"/>
    <n v="0"/>
    <n v="0"/>
    <n v="0"/>
    <n v="0.01"/>
    <n v="6.6"/>
    <n v="0"/>
    <n v="19"/>
    <n v="91.81"/>
    <n v="4.37"/>
    <n v="87.44"/>
    <n v="1"/>
  </r>
  <r>
    <s v="2021-06-25"/>
    <s v="Vancouver"/>
    <s v="加拿大二店"/>
    <x v="2"/>
    <x v="4"/>
    <x v="112"/>
    <x v="106"/>
    <x v="116"/>
    <s v="常温"/>
    <n v="3.95"/>
    <s v="瓶"/>
    <n v="2"/>
    <n v="7.9"/>
    <n v="0"/>
    <n v="0"/>
    <n v="0"/>
    <n v="0"/>
    <n v="0"/>
    <n v="0"/>
    <n v="0"/>
    <n v="0"/>
    <n v="0"/>
    <n v="0"/>
    <n v="2"/>
    <n v="8.84"/>
    <n v="0.94"/>
    <n v="7.9"/>
    <n v="1"/>
  </r>
  <r>
    <s v="2021-06-25"/>
    <s v="Vancouver"/>
    <s v="加拿大二店"/>
    <x v="2"/>
    <x v="4"/>
    <x v="112"/>
    <x v="106"/>
    <x v="116"/>
    <s v="冰镇"/>
    <n v="3.95"/>
    <s v="瓶"/>
    <n v="1"/>
    <n v="3.95"/>
    <n v="0"/>
    <n v="0"/>
    <n v="0"/>
    <n v="0"/>
    <n v="0"/>
    <n v="0"/>
    <n v="0"/>
    <n v="0"/>
    <n v="0"/>
    <n v="0"/>
    <n v="1"/>
    <n v="4.42"/>
    <n v="0.47"/>
    <n v="3.95"/>
    <n v="1"/>
  </r>
  <r>
    <s v="2021-06-25"/>
    <s v="Vancouver"/>
    <s v="加拿大二店"/>
    <x v="3"/>
    <x v="5"/>
    <x v="29"/>
    <x v="30"/>
    <x v="31"/>
    <s v="整份"/>
    <n v="3.95"/>
    <s v="份"/>
    <n v="9"/>
    <n v="35.55"/>
    <n v="0"/>
    <n v="0"/>
    <n v="0"/>
    <n v="0"/>
    <n v="0"/>
    <n v="0"/>
    <n v="0"/>
    <n v="0"/>
    <n v="0.79"/>
    <n v="0"/>
    <n v="9"/>
    <n v="36.49"/>
    <n v="1.73"/>
    <n v="34.76"/>
    <n v="1"/>
  </r>
  <r>
    <s v="2021-06-25"/>
    <s v="Vancouver"/>
    <s v="加拿大二店"/>
    <x v="6"/>
    <x v="13"/>
    <x v="30"/>
    <x v="31"/>
    <x v="32"/>
    <s v="整份"/>
    <n v="4.95"/>
    <s v="份"/>
    <n v="7"/>
    <n v="34.65"/>
    <n v="0"/>
    <n v="0"/>
    <n v="0"/>
    <n v="0"/>
    <n v="0"/>
    <n v="0"/>
    <n v="0"/>
    <n v="0"/>
    <n v="0.99"/>
    <n v="0"/>
    <n v="7"/>
    <n v="35.34"/>
    <n v="1.68"/>
    <n v="33.66"/>
    <n v="1"/>
  </r>
  <r>
    <s v="2021-06-25"/>
    <s v="Vancouver"/>
    <s v="加拿大二店"/>
    <x v="6"/>
    <x v="13"/>
    <x v="31"/>
    <x v="32"/>
    <x v="33"/>
    <s v="整份"/>
    <n v="9.95"/>
    <s v="份"/>
    <n v="2"/>
    <n v="19.9"/>
    <n v="0"/>
    <n v="0"/>
    <n v="0"/>
    <n v="0"/>
    <n v="0"/>
    <n v="0"/>
    <n v="0"/>
    <n v="0"/>
    <n v="0"/>
    <n v="0"/>
    <n v="2"/>
    <n v="20.89"/>
    <n v="0.99"/>
    <n v="19.9"/>
    <n v="1"/>
  </r>
  <r>
    <s v="2021-06-25"/>
    <s v="Vancouver"/>
    <s v="加拿大二店"/>
    <x v="5"/>
    <x v="12"/>
    <x v="32"/>
    <x v="33"/>
    <x v="34"/>
    <s v="整份"/>
    <n v="17.85"/>
    <s v="份"/>
    <n v="4"/>
    <n v="71.4"/>
    <n v="0"/>
    <n v="0"/>
    <n v="0"/>
    <n v="0"/>
    <n v="0"/>
    <n v="0"/>
    <n v="0"/>
    <n v="0"/>
    <n v="3.57"/>
    <n v="0"/>
    <n v="4"/>
    <n v="71.22"/>
    <n v="3.39"/>
    <n v="67.83"/>
    <n v="1"/>
  </r>
  <r>
    <s v="2021-06-25"/>
    <s v="Vancouver"/>
    <s v="加拿大二店"/>
    <x v="1"/>
    <x v="3"/>
    <x v="33"/>
    <x v="34"/>
    <x v="35"/>
    <s v="整份"/>
    <n v="11.95"/>
    <s v="份"/>
    <n v="30"/>
    <n v="358.5"/>
    <n v="0"/>
    <n v="0"/>
    <n v="0"/>
    <n v="0"/>
    <n v="2"/>
    <n v="23.9"/>
    <n v="0"/>
    <n v="0"/>
    <n v="21.72"/>
    <n v="0"/>
    <n v="28"/>
    <n v="328.52"/>
    <n v="15.64"/>
    <n v="312.88"/>
    <n v="1"/>
  </r>
  <r>
    <s v="2021-06-25"/>
    <s v="Vancouver"/>
    <s v="加拿大二店"/>
    <x v="5"/>
    <x v="12"/>
    <x v="34"/>
    <x v="35"/>
    <x v="36"/>
    <s v="整份"/>
    <n v="11.95"/>
    <s v="份"/>
    <n v="9"/>
    <n v="107.55"/>
    <n v="0"/>
    <n v="0"/>
    <n v="0"/>
    <n v="0"/>
    <n v="0"/>
    <n v="0"/>
    <n v="0"/>
    <n v="0"/>
    <n v="3.58"/>
    <n v="0"/>
    <n v="9"/>
    <n v="109.16"/>
    <n v="5.19"/>
    <n v="103.97"/>
    <n v="1"/>
  </r>
  <r>
    <s v="2021-06-25"/>
    <s v="Vancouver"/>
    <s v="加拿大二店"/>
    <x v="5"/>
    <x v="12"/>
    <x v="35"/>
    <x v="36"/>
    <x v="37"/>
    <s v="条"/>
    <n v="4.95"/>
    <s v="条"/>
    <n v="28"/>
    <n v="138.6"/>
    <n v="0"/>
    <n v="0"/>
    <n v="0"/>
    <n v="0"/>
    <n v="1"/>
    <n v="4.95"/>
    <n v="0"/>
    <n v="0"/>
    <n v="3.45"/>
    <n v="0"/>
    <n v="27"/>
    <n v="136.71"/>
    <n v="6.51"/>
    <n v="130.2"/>
    <n v="1"/>
  </r>
  <r>
    <s v="2021-06-25"/>
    <s v="Vancouver"/>
    <s v="加拿大二店"/>
    <x v="5"/>
    <x v="12"/>
    <x v="36"/>
    <x v="37"/>
    <x v="38"/>
    <s v="整份"/>
    <n v="13.95"/>
    <s v="份"/>
    <n v="25"/>
    <n v="348.75"/>
    <n v="0"/>
    <n v="0"/>
    <n v="0"/>
    <n v="0"/>
    <n v="0"/>
    <n v="0"/>
    <n v="0"/>
    <n v="0"/>
    <n v="21.18"/>
    <n v="0"/>
    <n v="25"/>
    <n v="343.94"/>
    <n v="16.37"/>
    <n v="327.57"/>
    <n v="1"/>
  </r>
  <r>
    <s v="2021-06-25"/>
    <s v="Vancouver"/>
    <s v="加拿大二店"/>
    <x v="5"/>
    <x v="12"/>
    <x v="37"/>
    <x v="38"/>
    <x v="39"/>
    <s v="整份"/>
    <n v="9.95"/>
    <s v="份"/>
    <n v="21"/>
    <n v="208.95"/>
    <n v="0"/>
    <n v="0"/>
    <n v="0"/>
    <n v="0"/>
    <n v="1"/>
    <n v="9.95"/>
    <n v="0"/>
    <n v="0"/>
    <n v="15.1"/>
    <n v="0"/>
    <n v="20"/>
    <n v="193.09"/>
    <n v="9.19"/>
    <n v="183.9"/>
    <n v="1"/>
  </r>
  <r>
    <s v="2021-06-25"/>
    <s v="Vancouver"/>
    <s v="加拿大二店"/>
    <x v="5"/>
    <x v="12"/>
    <x v="38"/>
    <x v="39"/>
    <x v="40"/>
    <s v="整份"/>
    <n v="9.95"/>
    <s v="份"/>
    <n v="6"/>
    <n v="59.7"/>
    <n v="0"/>
    <n v="0"/>
    <n v="0"/>
    <n v="0"/>
    <n v="0"/>
    <n v="0"/>
    <n v="0"/>
    <n v="0"/>
    <n v="8.14"/>
    <n v="0"/>
    <n v="6"/>
    <n v="54.13"/>
    <n v="2.57"/>
    <n v="51.56"/>
    <n v="1"/>
  </r>
  <r>
    <s v="2021-06-25"/>
    <s v="Vancouver"/>
    <s v="加拿大二店"/>
    <x v="6"/>
    <x v="13"/>
    <x v="39"/>
    <x v="40"/>
    <x v="41"/>
    <s v="整份"/>
    <n v="8.95"/>
    <s v="份"/>
    <n v="24"/>
    <n v="214.8"/>
    <n v="0"/>
    <n v="0"/>
    <n v="0"/>
    <n v="0"/>
    <n v="0"/>
    <n v="0"/>
    <n v="0"/>
    <n v="0"/>
    <n v="5.23"/>
    <n v="0"/>
    <n v="24"/>
    <n v="220.04"/>
    <n v="10.47"/>
    <n v="209.57"/>
    <n v="1"/>
  </r>
  <r>
    <s v="2021-06-25"/>
    <s v="Vancouver"/>
    <s v="加拿大二店"/>
    <x v="5"/>
    <x v="12"/>
    <x v="40"/>
    <x v="41"/>
    <x v="42"/>
    <s v="整份"/>
    <n v="9.95"/>
    <s v="份"/>
    <n v="10"/>
    <n v="99.5"/>
    <n v="0"/>
    <n v="0"/>
    <n v="0"/>
    <n v="0"/>
    <n v="0"/>
    <n v="0"/>
    <n v="0"/>
    <n v="0"/>
    <n v="2.98"/>
    <n v="0"/>
    <n v="10"/>
    <n v="101.34"/>
    <n v="4.82"/>
    <n v="96.52"/>
    <n v="1"/>
  </r>
  <r>
    <s v="2021-06-25"/>
    <s v="Vancouver"/>
    <s v="加拿大二店"/>
    <x v="1"/>
    <x v="6"/>
    <x v="131"/>
    <x v="125"/>
    <x v="136"/>
    <s v="整份"/>
    <n v="28.95"/>
    <s v="份"/>
    <n v="4"/>
    <n v="115.8"/>
    <n v="0"/>
    <n v="0"/>
    <n v="0"/>
    <n v="0"/>
    <n v="0"/>
    <n v="0"/>
    <n v="0"/>
    <n v="0.01"/>
    <n v="0"/>
    <n v="0"/>
    <n v="4"/>
    <n v="122.73"/>
    <n v="6.94"/>
    <n v="115.79"/>
    <n v="1"/>
  </r>
  <r>
    <s v="2021-06-25"/>
    <s v="Vancouver"/>
    <s v="加拿大二店"/>
    <x v="5"/>
    <x v="12"/>
    <x v="41"/>
    <x v="42"/>
    <x v="43"/>
    <s v="整份"/>
    <n v="7.95"/>
    <s v="份"/>
    <n v="6"/>
    <n v="47.7"/>
    <n v="0"/>
    <n v="0"/>
    <n v="0"/>
    <n v="0"/>
    <n v="0"/>
    <n v="0"/>
    <n v="0"/>
    <n v="0"/>
    <n v="0"/>
    <n v="0"/>
    <n v="6"/>
    <n v="50.08"/>
    <n v="2.38"/>
    <n v="47.7"/>
    <n v="1"/>
  </r>
  <r>
    <s v="2021-06-25"/>
    <s v="Vancouver"/>
    <s v="加拿大二店"/>
    <x v="2"/>
    <x v="2"/>
    <x v="42"/>
    <x v="43"/>
    <x v="44"/>
    <s v="冰镇"/>
    <n v="5.95"/>
    <s v="瓶"/>
    <n v="5"/>
    <n v="29.75"/>
    <n v="0"/>
    <n v="0"/>
    <n v="0"/>
    <n v="0"/>
    <n v="0"/>
    <n v="0"/>
    <n v="0"/>
    <n v="0"/>
    <n v="0"/>
    <n v="0"/>
    <n v="5"/>
    <n v="34.21"/>
    <n v="4.46"/>
    <n v="29.75"/>
    <n v="1"/>
  </r>
  <r>
    <s v="2021-06-25"/>
    <s v="Vancouver"/>
    <s v="加拿大二店"/>
    <x v="3"/>
    <x v="5"/>
    <x v="43"/>
    <x v="44"/>
    <x v="45"/>
    <s v="整份"/>
    <n v="3.95"/>
    <s v="份"/>
    <n v="2"/>
    <n v="7.9"/>
    <n v="0"/>
    <n v="0"/>
    <n v="0"/>
    <n v="0"/>
    <n v="0"/>
    <n v="0"/>
    <n v="0"/>
    <n v="0"/>
    <n v="0"/>
    <n v="0"/>
    <n v="2"/>
    <n v="8.29"/>
    <n v="0.39"/>
    <n v="7.9"/>
    <n v="1"/>
  </r>
  <r>
    <s v="2021-06-25"/>
    <s v="Vancouver"/>
    <s v="加拿大二店"/>
    <x v="7"/>
    <x v="14"/>
    <x v="44"/>
    <x v="45"/>
    <x v="46"/>
    <s v="整份"/>
    <n v="0"/>
    <s v="份"/>
    <n v="15"/>
    <n v="0"/>
    <n v="0"/>
    <n v="0"/>
    <n v="0"/>
    <n v="0"/>
    <n v="0"/>
    <n v="0"/>
    <n v="0"/>
    <n v="0"/>
    <n v="0"/>
    <n v="0"/>
    <n v="15"/>
    <n v="0"/>
    <n v="0"/>
    <n v="0"/>
    <n v="1"/>
  </r>
  <r>
    <s v="2021-06-25"/>
    <s v="Vancouver"/>
    <s v="加拿大二店"/>
    <x v="7"/>
    <x v="14"/>
    <x v="45"/>
    <x v="46"/>
    <x v="47"/>
    <s v="整份"/>
    <n v="1.5"/>
    <s v="份"/>
    <n v="2"/>
    <n v="3"/>
    <n v="0"/>
    <n v="0"/>
    <n v="0"/>
    <n v="0"/>
    <n v="0"/>
    <n v="0"/>
    <n v="0"/>
    <n v="0"/>
    <n v="0"/>
    <n v="0"/>
    <n v="2"/>
    <n v="3.15"/>
    <n v="0.15"/>
    <n v="3"/>
    <n v="1"/>
  </r>
  <r>
    <s v="2021-06-25"/>
    <s v="Vancouver"/>
    <s v="加拿大二店"/>
    <x v="7"/>
    <x v="14"/>
    <x v="45"/>
    <x v="46"/>
    <x v="47"/>
    <s v="整份"/>
    <n v="3"/>
    <s v="份"/>
    <n v="1"/>
    <n v="3"/>
    <n v="0"/>
    <n v="0"/>
    <n v="0"/>
    <n v="0"/>
    <n v="0"/>
    <n v="0"/>
    <n v="0"/>
    <n v="0"/>
    <n v="0"/>
    <n v="0"/>
    <n v="1"/>
    <n v="3.15"/>
    <n v="0.15"/>
    <n v="3"/>
    <n v="1"/>
  </r>
  <r>
    <s v="2021-06-25"/>
    <s v="Vancouver"/>
    <s v="加拿大二店"/>
    <x v="7"/>
    <x v="14"/>
    <x v="45"/>
    <x v="46"/>
    <x v="47"/>
    <s v="整份"/>
    <n v="7.98"/>
    <s v="份"/>
    <n v="1"/>
    <n v="7.98"/>
    <n v="0"/>
    <n v="0"/>
    <n v="0"/>
    <n v="0"/>
    <n v="0"/>
    <n v="0"/>
    <n v="0"/>
    <n v="-0.02"/>
    <n v="0"/>
    <n v="0"/>
    <n v="1"/>
    <n v="8.4"/>
    <n v="0.4"/>
    <n v="8"/>
    <n v="1"/>
  </r>
  <r>
    <s v="2021-06-25"/>
    <s v="Vancouver"/>
    <s v="加拿大二店"/>
    <x v="7"/>
    <x v="14"/>
    <x v="45"/>
    <x v="46"/>
    <x v="47"/>
    <s v="整份"/>
    <n v="9.95"/>
    <s v="份"/>
    <n v="1"/>
    <n v="9.95"/>
    <n v="0"/>
    <n v="0"/>
    <n v="0"/>
    <n v="0"/>
    <n v="0"/>
    <n v="0"/>
    <n v="0"/>
    <n v="0.01"/>
    <n v="0"/>
    <n v="0"/>
    <n v="1"/>
    <n v="10.43"/>
    <n v="0.49"/>
    <n v="9.94"/>
    <n v="1"/>
  </r>
  <r>
    <s v="2021-06-25"/>
    <s v="Vancouver"/>
    <s v="加拿大二店"/>
    <x v="7"/>
    <x v="14"/>
    <x v="45"/>
    <x v="46"/>
    <x v="47"/>
    <s v="整份"/>
    <n v="9.99"/>
    <s v="份"/>
    <n v="1"/>
    <n v="9.99"/>
    <n v="0"/>
    <n v="0"/>
    <n v="0"/>
    <n v="0"/>
    <n v="0"/>
    <n v="0"/>
    <n v="0"/>
    <n v="-0.01"/>
    <n v="0"/>
    <n v="0"/>
    <n v="1"/>
    <n v="10.5"/>
    <n v="0.5"/>
    <n v="10"/>
    <n v="1"/>
  </r>
  <r>
    <s v="2021-06-25"/>
    <s v="Vancouver"/>
    <s v="加拿大二店"/>
    <x v="7"/>
    <x v="14"/>
    <x v="45"/>
    <x v="46"/>
    <x v="47"/>
    <s v="整份"/>
    <n v="12.99"/>
    <s v="份"/>
    <n v="3"/>
    <n v="38.97"/>
    <n v="1"/>
    <n v="12.99"/>
    <n v="0"/>
    <n v="0"/>
    <n v="0"/>
    <n v="0"/>
    <n v="0"/>
    <n v="-0.01"/>
    <n v="0.24"/>
    <n v="0"/>
    <n v="2"/>
    <n v="27.03"/>
    <n v="1.28"/>
    <n v="25.75"/>
    <n v="1"/>
  </r>
  <r>
    <s v="2021-06-25"/>
    <s v="Vancouver"/>
    <s v="加拿大二店"/>
    <x v="7"/>
    <x v="14"/>
    <x v="45"/>
    <x v="46"/>
    <x v="47"/>
    <s v="整份"/>
    <n v="28.95"/>
    <s v="份"/>
    <n v="1"/>
    <n v="28.95"/>
    <n v="0"/>
    <n v="0"/>
    <n v="0"/>
    <n v="0"/>
    <n v="0"/>
    <n v="0"/>
    <n v="0"/>
    <n v="0.01"/>
    <n v="0"/>
    <n v="0"/>
    <n v="1"/>
    <n v="30.38"/>
    <n v="1.44"/>
    <n v="28.94"/>
    <n v="1"/>
  </r>
  <r>
    <s v="2021-06-25"/>
    <s v="Vancouver"/>
    <s v="加拿大二店"/>
    <x v="7"/>
    <x v="14"/>
    <x v="45"/>
    <x v="46"/>
    <x v="47"/>
    <s v="整份"/>
    <n v="39.59"/>
    <s v="份"/>
    <n v="1"/>
    <n v="39.59"/>
    <n v="0"/>
    <n v="0"/>
    <n v="0"/>
    <n v="0"/>
    <n v="0"/>
    <n v="0"/>
    <n v="0"/>
    <n v="-0.01"/>
    <n v="0"/>
    <n v="0"/>
    <n v="1"/>
    <n v="41.58"/>
    <n v="1.98"/>
    <n v="39.6"/>
    <n v="1"/>
  </r>
  <r>
    <s v="2021-06-25"/>
    <s v="Vancouver"/>
    <s v="加拿大二店"/>
    <x v="7"/>
    <x v="14"/>
    <x v="45"/>
    <x v="46"/>
    <x v="47"/>
    <s v="整份"/>
    <n v="48.88"/>
    <s v="份"/>
    <n v="1"/>
    <n v="48.88"/>
    <n v="0"/>
    <n v="0"/>
    <n v="0"/>
    <n v="0"/>
    <n v="0"/>
    <n v="0"/>
    <n v="0"/>
    <n v="0"/>
    <n v="0"/>
    <n v="0"/>
    <n v="1"/>
    <n v="51.32"/>
    <n v="2.44"/>
    <n v="48.88"/>
    <n v="1"/>
  </r>
  <r>
    <s v="2021-06-25"/>
    <s v="Vancouver"/>
    <s v="加拿大二店"/>
    <x v="7"/>
    <x v="14"/>
    <x v="45"/>
    <x v="46"/>
    <x v="47"/>
    <s v="整份"/>
    <n v="49.95"/>
    <s v="份"/>
    <n v="1"/>
    <n v="49.95"/>
    <n v="0"/>
    <n v="0"/>
    <n v="0"/>
    <n v="0"/>
    <n v="0"/>
    <n v="0"/>
    <n v="0"/>
    <n v="0"/>
    <n v="0"/>
    <n v="0"/>
    <n v="1"/>
    <n v="52.44"/>
    <n v="2.49"/>
    <n v="49.95"/>
    <n v="1"/>
  </r>
  <r>
    <s v="2021-06-25"/>
    <s v="Vancouver"/>
    <s v="加拿大二店"/>
    <x v="7"/>
    <x v="14"/>
    <x v="45"/>
    <x v="46"/>
    <x v="47"/>
    <s v="整份"/>
    <n v="51.12"/>
    <s v="份"/>
    <n v="1"/>
    <n v="51.12"/>
    <n v="0"/>
    <n v="0"/>
    <n v="0"/>
    <n v="0"/>
    <n v="0"/>
    <n v="0"/>
    <n v="0"/>
    <n v="0.01"/>
    <n v="0"/>
    <n v="0"/>
    <n v="1"/>
    <n v="53.66"/>
    <n v="2.55"/>
    <n v="51.11"/>
    <n v="1"/>
  </r>
  <r>
    <s v="2021-06-25"/>
    <s v="Vancouver"/>
    <s v="加拿大二店"/>
    <x v="7"/>
    <x v="14"/>
    <x v="45"/>
    <x v="46"/>
    <x v="47"/>
    <s v="整份"/>
    <n v="72"/>
    <s v="份"/>
    <n v="1"/>
    <n v="72"/>
    <n v="0"/>
    <n v="0"/>
    <n v="0"/>
    <n v="0"/>
    <n v="0"/>
    <n v="0"/>
    <n v="0"/>
    <n v="0"/>
    <n v="5.65"/>
    <n v="0"/>
    <n v="1"/>
    <n v="69.66"/>
    <n v="3.31"/>
    <n v="66.35"/>
    <n v="1"/>
  </r>
  <r>
    <s v="2021-06-25"/>
    <s v="Vancouver"/>
    <s v="加拿大二店"/>
    <x v="2"/>
    <x v="4"/>
    <x v="46"/>
    <x v="47"/>
    <x v="48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25"/>
    <s v="Vancouver"/>
    <s v="加拿大二店"/>
    <x v="2"/>
    <x v="4"/>
    <x v="47"/>
    <x v="48"/>
    <x v="49"/>
    <s v="冰镇"/>
    <n v="2.95"/>
    <s v="听"/>
    <n v="7"/>
    <n v="20.65"/>
    <n v="0"/>
    <n v="0"/>
    <n v="0"/>
    <n v="0"/>
    <n v="0"/>
    <n v="0"/>
    <n v="0"/>
    <n v="0"/>
    <n v="0.59"/>
    <n v="0"/>
    <n v="7"/>
    <n v="22.46"/>
    <n v="2.4"/>
    <n v="20.06"/>
    <n v="1"/>
  </r>
  <r>
    <s v="2021-06-25"/>
    <s v="Vancouver"/>
    <s v="加拿大二店"/>
    <x v="6"/>
    <x v="13"/>
    <x v="48"/>
    <x v="49"/>
    <x v="50"/>
    <s v="整份"/>
    <n v="4.95"/>
    <s v="份"/>
    <n v="8"/>
    <n v="39.6"/>
    <n v="0"/>
    <n v="0"/>
    <n v="0"/>
    <n v="0"/>
    <n v="0"/>
    <n v="0"/>
    <n v="0"/>
    <n v="0"/>
    <n v="2.52"/>
    <n v="0"/>
    <n v="8"/>
    <n v="38.93"/>
    <n v="1.85"/>
    <n v="37.08"/>
    <n v="1"/>
  </r>
  <r>
    <s v="2021-06-25"/>
    <s v="Vancouver"/>
    <s v="加拿大二店"/>
    <x v="3"/>
    <x v="7"/>
    <x v="49"/>
    <x v="50"/>
    <x v="51"/>
    <s v="整份"/>
    <n v="4.95"/>
    <s v="份"/>
    <n v="5"/>
    <n v="24.75"/>
    <n v="0"/>
    <n v="0"/>
    <n v="0"/>
    <n v="0"/>
    <n v="0"/>
    <n v="0"/>
    <n v="0"/>
    <n v="0"/>
    <n v="0.99"/>
    <n v="0"/>
    <n v="5"/>
    <n v="24.94"/>
    <n v="1.18"/>
    <n v="23.76"/>
    <n v="1"/>
  </r>
  <r>
    <s v="2021-06-25"/>
    <s v="Vancouver"/>
    <s v="加拿大二店"/>
    <x v="6"/>
    <x v="15"/>
    <x v="50"/>
    <x v="51"/>
    <x v="52"/>
    <s v="份"/>
    <n v="8.95"/>
    <s v="份"/>
    <n v="4"/>
    <n v="35.8"/>
    <n v="0"/>
    <n v="0"/>
    <n v="0"/>
    <n v="0"/>
    <n v="0"/>
    <n v="0"/>
    <n v="0"/>
    <n v="-0.03"/>
    <n v="0"/>
    <n v="0"/>
    <n v="4"/>
    <n v="37.62"/>
    <n v="1.79"/>
    <n v="35.83"/>
    <n v="1"/>
  </r>
  <r>
    <s v="2021-06-25"/>
    <s v="Vancouver"/>
    <s v="加拿大二店"/>
    <x v="3"/>
    <x v="5"/>
    <x v="51"/>
    <x v="52"/>
    <x v="53"/>
    <s v="整份"/>
    <n v="3.95"/>
    <s v="份"/>
    <n v="8"/>
    <n v="31.6"/>
    <n v="0"/>
    <n v="0"/>
    <n v="0"/>
    <n v="0"/>
    <n v="0"/>
    <n v="0"/>
    <n v="0"/>
    <n v="0"/>
    <n v="4.41"/>
    <n v="0"/>
    <n v="8"/>
    <n v="28.54"/>
    <n v="1.35"/>
    <n v="27.19"/>
    <n v="1"/>
  </r>
  <r>
    <s v="2021-06-25"/>
    <s v="Vancouver"/>
    <s v="加拿大二店"/>
    <x v="3"/>
    <x v="5"/>
    <x v="52"/>
    <x v="53"/>
    <x v="54"/>
    <s v="整份"/>
    <n v="5.95"/>
    <s v="份"/>
    <n v="3"/>
    <n v="17.85"/>
    <n v="0"/>
    <n v="0"/>
    <n v="0"/>
    <n v="0"/>
    <n v="0"/>
    <n v="0"/>
    <n v="0"/>
    <n v="0.01"/>
    <n v="1.19"/>
    <n v="0"/>
    <n v="3"/>
    <n v="17.48"/>
    <n v="0.83"/>
    <n v="16.65"/>
    <n v="1"/>
  </r>
  <r>
    <s v="2021-06-25"/>
    <s v="Vancouver"/>
    <s v="加拿大二店"/>
    <x v="4"/>
    <x v="9"/>
    <x v="53"/>
    <x v="0"/>
    <x v="55"/>
    <s v="拼锅"/>
    <n v="0"/>
    <s v="锅"/>
    <n v="10"/>
    <n v="0"/>
    <n v="0"/>
    <n v="0"/>
    <n v="0"/>
    <n v="0"/>
    <n v="0"/>
    <n v="0"/>
    <n v="0"/>
    <n v="-0.03"/>
    <n v="0"/>
    <n v="0"/>
    <n v="10"/>
    <n v="0.03"/>
    <n v="0"/>
    <n v="0.03"/>
    <n v="2"/>
  </r>
  <r>
    <s v="2021-06-25"/>
    <s v="Vancouver"/>
    <s v="加拿大二店"/>
    <x v="4"/>
    <x v="10"/>
    <x v="53"/>
    <x v="0"/>
    <x v="55"/>
    <s v="四宫格"/>
    <n v="0"/>
    <s v="锅"/>
    <n v="12"/>
    <n v="0"/>
    <n v="0"/>
    <n v="0"/>
    <n v="0"/>
    <n v="0"/>
    <n v="0"/>
    <n v="0"/>
    <n v="0"/>
    <n v="0"/>
    <n v="0"/>
    <n v="0"/>
    <n v="12"/>
    <n v="0"/>
    <n v="0"/>
    <n v="0"/>
    <n v="1"/>
  </r>
  <r>
    <s v="2021-06-25"/>
    <s v="Vancouver"/>
    <s v="加拿大二店"/>
    <x v="6"/>
    <x v="13"/>
    <x v="54"/>
    <x v="54"/>
    <x v="56"/>
    <s v="个"/>
    <n v="1.95"/>
    <s v="个"/>
    <n v="7"/>
    <n v="13.65"/>
    <n v="0"/>
    <n v="0"/>
    <n v="0"/>
    <n v="0"/>
    <n v="0"/>
    <n v="0"/>
    <n v="0"/>
    <n v="0"/>
    <n v="0"/>
    <n v="0"/>
    <n v="7"/>
    <n v="14.33"/>
    <n v="0.68"/>
    <n v="13.65"/>
    <n v="1"/>
  </r>
  <r>
    <s v="2021-06-25"/>
    <s v="Vancouver"/>
    <s v="加拿大二店"/>
    <x v="7"/>
    <x v="24"/>
    <x v="140"/>
    <x v="134"/>
    <x v="145"/>
    <s v="盒"/>
    <n v="3.49"/>
    <s v="盒"/>
    <n v="1"/>
    <n v="3.49"/>
    <n v="0"/>
    <n v="0"/>
    <n v="0"/>
    <n v="0"/>
    <n v="0"/>
    <n v="0"/>
    <n v="0"/>
    <n v="-0.01"/>
    <n v="0"/>
    <n v="0"/>
    <n v="1"/>
    <n v="3.95"/>
    <n v="0.45"/>
    <n v="3.5"/>
    <n v="1"/>
  </r>
  <r>
    <s v="2021-06-25"/>
    <s v="Vancouver"/>
    <s v="加拿大二店"/>
    <x v="1"/>
    <x v="8"/>
    <x v="55"/>
    <x v="55"/>
    <x v="57"/>
    <s v="整份"/>
    <n v="9.95"/>
    <s v="份"/>
    <n v="8"/>
    <n v="79.6"/>
    <n v="0"/>
    <n v="0"/>
    <n v="0"/>
    <n v="0"/>
    <n v="0"/>
    <n v="0"/>
    <n v="0"/>
    <n v="0"/>
    <n v="1.99"/>
    <n v="0"/>
    <n v="8"/>
    <n v="81.49"/>
    <n v="3.88"/>
    <n v="77.61"/>
    <n v="1"/>
  </r>
  <r>
    <s v="2021-06-25"/>
    <s v="Vancouver"/>
    <s v="加拿大二店"/>
    <x v="1"/>
    <x v="1"/>
    <x v="56"/>
    <x v="56"/>
    <x v="58"/>
    <s v="整份"/>
    <n v="12.95"/>
    <s v="份"/>
    <n v="22"/>
    <n v="284.9"/>
    <n v="0"/>
    <n v="0"/>
    <n v="0"/>
    <n v="0"/>
    <n v="0"/>
    <n v="0"/>
    <n v="0"/>
    <n v="0.01"/>
    <n v="8.01"/>
    <n v="0"/>
    <n v="22"/>
    <n v="290.72"/>
    <n v="13.84"/>
    <n v="276.88"/>
    <n v="1"/>
  </r>
  <r>
    <s v="2021-06-25"/>
    <s v="Vancouver"/>
    <s v="加拿大二店"/>
    <x v="1"/>
    <x v="1"/>
    <x v="57"/>
    <x v="57"/>
    <x v="59"/>
    <s v="整份"/>
    <n v="11.95"/>
    <s v="份"/>
    <n v="58"/>
    <n v="693.1"/>
    <n v="0"/>
    <n v="0"/>
    <n v="0"/>
    <n v="0"/>
    <n v="0"/>
    <n v="0"/>
    <n v="0"/>
    <n v="0"/>
    <n v="30.32"/>
    <n v="0"/>
    <n v="58"/>
    <n v="695.91"/>
    <n v="33.13"/>
    <n v="662.78"/>
    <n v="1"/>
  </r>
  <r>
    <s v="2021-06-25"/>
    <s v="Vancouver"/>
    <s v="加拿大二店"/>
    <x v="4"/>
    <x v="9"/>
    <x v="58"/>
    <x v="0"/>
    <x v="60"/>
    <s v="拼锅"/>
    <n v="8.95"/>
    <s v="锅"/>
    <n v="23"/>
    <n v="205.85"/>
    <n v="0"/>
    <n v="0"/>
    <n v="0"/>
    <n v="0"/>
    <n v="0"/>
    <n v="0"/>
    <n v="0"/>
    <n v="0"/>
    <n v="5.23"/>
    <n v="0"/>
    <n v="23"/>
    <n v="210.65"/>
    <n v="10.03"/>
    <n v="200.62"/>
    <n v="2"/>
  </r>
  <r>
    <s v="2021-06-25"/>
    <s v="Vancouver"/>
    <s v="加拿大二店"/>
    <x v="4"/>
    <x v="10"/>
    <x v="58"/>
    <x v="0"/>
    <x v="60"/>
    <s v="四宫格"/>
    <n v="4.95"/>
    <s v="锅"/>
    <n v="8"/>
    <n v="39.6"/>
    <n v="0"/>
    <n v="0"/>
    <n v="0"/>
    <n v="0"/>
    <n v="0"/>
    <n v="0"/>
    <n v="0"/>
    <n v="0"/>
    <n v="0.99"/>
    <n v="0"/>
    <n v="8"/>
    <n v="40.54"/>
    <n v="1.93"/>
    <n v="38.61"/>
    <n v="1"/>
  </r>
  <r>
    <s v="2021-06-25"/>
    <s v="Vancouver"/>
    <s v="加拿大二店"/>
    <x v="3"/>
    <x v="5"/>
    <x v="59"/>
    <x v="58"/>
    <x v="61"/>
    <s v="整份"/>
    <n v="4.95"/>
    <s v="份"/>
    <n v="12"/>
    <n v="59.4"/>
    <n v="0"/>
    <n v="0"/>
    <n v="0"/>
    <n v="0"/>
    <n v="0"/>
    <n v="0"/>
    <n v="0"/>
    <n v="0"/>
    <n v="2.66"/>
    <n v="0"/>
    <n v="12"/>
    <n v="59.57"/>
    <n v="2.83"/>
    <n v="56.74"/>
    <n v="1"/>
  </r>
  <r>
    <s v="2021-06-25"/>
    <s v="Vancouver"/>
    <s v="加拿大二店"/>
    <x v="2"/>
    <x v="4"/>
    <x v="60"/>
    <x v="59"/>
    <x v="62"/>
    <s v="冰镇"/>
    <n v="6.95"/>
    <s v="扎"/>
    <n v="3"/>
    <n v="20.85"/>
    <n v="0"/>
    <n v="0"/>
    <n v="0"/>
    <n v="0"/>
    <n v="0"/>
    <n v="0"/>
    <n v="0"/>
    <n v="0"/>
    <n v="0"/>
    <n v="0"/>
    <n v="3"/>
    <n v="23.35"/>
    <n v="2.5"/>
    <n v="20.85"/>
    <n v="1"/>
  </r>
  <r>
    <s v="2021-06-25"/>
    <s v="Vancouver"/>
    <s v="加拿大二店"/>
    <x v="6"/>
    <x v="13"/>
    <x v="61"/>
    <x v="60"/>
    <x v="63"/>
    <s v="整份"/>
    <n v="3.95"/>
    <s v="包"/>
    <n v="8"/>
    <n v="31.6"/>
    <n v="0"/>
    <n v="0"/>
    <n v="0"/>
    <n v="0"/>
    <n v="0"/>
    <n v="0"/>
    <n v="0"/>
    <n v="0"/>
    <n v="0"/>
    <n v="0"/>
    <n v="8"/>
    <n v="33.18"/>
    <n v="1.58"/>
    <n v="31.6"/>
    <n v="1"/>
  </r>
  <r>
    <s v="2021-06-25"/>
    <s v="Vancouver"/>
    <s v="加拿大二店"/>
    <x v="1"/>
    <x v="8"/>
    <x v="116"/>
    <x v="110"/>
    <x v="120"/>
    <s v="个"/>
    <n v="0.95"/>
    <s v="个"/>
    <n v="7"/>
    <n v="6.65"/>
    <n v="0"/>
    <n v="0"/>
    <n v="0"/>
    <n v="0"/>
    <n v="0"/>
    <n v="0"/>
    <n v="0"/>
    <n v="0"/>
    <n v="0"/>
    <n v="0"/>
    <n v="7"/>
    <n v="6.98"/>
    <n v="0.33"/>
    <n v="6.65"/>
    <n v="1"/>
  </r>
  <r>
    <s v="2021-06-25"/>
    <s v="Vancouver"/>
    <s v="加拿大二店"/>
    <x v="4"/>
    <x v="16"/>
    <x v="62"/>
    <x v="0"/>
    <x v="64"/>
    <s v="单锅"/>
    <n v="16.95"/>
    <s v="锅"/>
    <n v="1"/>
    <n v="16.95"/>
    <n v="0"/>
    <n v="0"/>
    <n v="0"/>
    <n v="0"/>
    <n v="0"/>
    <n v="0"/>
    <n v="0"/>
    <n v="0"/>
    <n v="0"/>
    <n v="0"/>
    <n v="1"/>
    <n v="17.79"/>
    <n v="0.84"/>
    <n v="16.95"/>
    <n v="4"/>
  </r>
  <r>
    <s v="2021-06-25"/>
    <s v="Vancouver"/>
    <s v="加拿大二店"/>
    <x v="4"/>
    <x v="9"/>
    <x v="62"/>
    <x v="0"/>
    <x v="64"/>
    <s v="拼锅"/>
    <n v="8.95"/>
    <s v="锅"/>
    <n v="23"/>
    <n v="205.85"/>
    <n v="0"/>
    <n v="0"/>
    <n v="0"/>
    <n v="0"/>
    <n v="0"/>
    <n v="0"/>
    <n v="0"/>
    <n v="0"/>
    <n v="3.58"/>
    <n v="0"/>
    <n v="23"/>
    <n v="212.38"/>
    <n v="10.11"/>
    <n v="202.27"/>
    <n v="2"/>
  </r>
  <r>
    <s v="2021-06-25"/>
    <s v="Vancouver"/>
    <s v="加拿大二店"/>
    <x v="4"/>
    <x v="10"/>
    <x v="62"/>
    <x v="0"/>
    <x v="64"/>
    <s v="四宫格"/>
    <n v="4.95"/>
    <s v="锅"/>
    <n v="16"/>
    <n v="79.2"/>
    <n v="0"/>
    <n v="0"/>
    <n v="0"/>
    <n v="0"/>
    <n v="0"/>
    <n v="0"/>
    <n v="0"/>
    <n v="0"/>
    <n v="0.99"/>
    <n v="0"/>
    <n v="16"/>
    <n v="82.12"/>
    <n v="3.91"/>
    <n v="78.21"/>
    <n v="1"/>
  </r>
  <r>
    <s v="2021-06-25"/>
    <s v="Vancouver"/>
    <s v="加拿大二店"/>
    <x v="6"/>
    <x v="13"/>
    <x v="63"/>
    <x v="61"/>
    <x v="65"/>
    <s v="整份"/>
    <n v="1.5"/>
    <s v="碗"/>
    <n v="18"/>
    <n v="27"/>
    <n v="0"/>
    <n v="0"/>
    <n v="0"/>
    <n v="0"/>
    <n v="0"/>
    <n v="0"/>
    <n v="0"/>
    <n v="0"/>
    <n v="0.6"/>
    <n v="0"/>
    <n v="18"/>
    <n v="27.72"/>
    <n v="1.32"/>
    <n v="26.4"/>
    <n v="1"/>
  </r>
  <r>
    <s v="2021-06-25"/>
    <s v="Vancouver"/>
    <s v="加拿大二店"/>
    <x v="3"/>
    <x v="5"/>
    <x v="64"/>
    <x v="62"/>
    <x v="66"/>
    <s v="整份"/>
    <n v="3.95"/>
    <s v="份"/>
    <n v="6"/>
    <n v="23.7"/>
    <n v="0"/>
    <n v="0"/>
    <n v="0"/>
    <n v="0"/>
    <n v="0"/>
    <n v="0"/>
    <n v="0"/>
    <n v="0"/>
    <n v="0"/>
    <n v="0"/>
    <n v="6"/>
    <n v="24.88"/>
    <n v="1.18"/>
    <n v="23.7"/>
    <n v="1"/>
  </r>
  <r>
    <s v="2021-06-25"/>
    <s v="Vancouver"/>
    <s v="加拿大二店"/>
    <x v="2"/>
    <x v="4"/>
    <x v="65"/>
    <x v="63"/>
    <x v="67"/>
    <s v="扎"/>
    <n v="8.95"/>
    <s v="扎"/>
    <n v="3"/>
    <n v="26.85"/>
    <n v="0"/>
    <n v="0"/>
    <n v="0"/>
    <n v="0"/>
    <n v="0"/>
    <n v="0"/>
    <n v="0"/>
    <n v="-0.04"/>
    <n v="0"/>
    <n v="0"/>
    <n v="3"/>
    <n v="30.11"/>
    <n v="3.22"/>
    <n v="26.89"/>
    <n v="1"/>
  </r>
  <r>
    <s v="2021-06-25"/>
    <s v="Vancouver"/>
    <s v="加拿大二店"/>
    <x v="2"/>
    <x v="4"/>
    <x v="66"/>
    <x v="64"/>
    <x v="68"/>
    <s v="扎"/>
    <n v="11.95"/>
    <s v="扎"/>
    <n v="2"/>
    <n v="23.9"/>
    <n v="0"/>
    <n v="0"/>
    <n v="0"/>
    <n v="0"/>
    <n v="0"/>
    <n v="0"/>
    <n v="0"/>
    <n v="-0.02"/>
    <n v="0"/>
    <n v="0"/>
    <n v="2"/>
    <n v="26.79"/>
    <n v="2.87"/>
    <n v="23.92"/>
    <n v="1"/>
  </r>
  <r>
    <s v="2021-06-25"/>
    <s v="Vancouver"/>
    <s v="加拿大二店"/>
    <x v="3"/>
    <x v="5"/>
    <x v="134"/>
    <x v="128"/>
    <x v="139"/>
    <s v="整份"/>
    <n v="13.95"/>
    <s v="份"/>
    <n v="7"/>
    <n v="97.65"/>
    <n v="0"/>
    <n v="0"/>
    <n v="0"/>
    <n v="0"/>
    <n v="0"/>
    <n v="0"/>
    <n v="0"/>
    <n v="0.01"/>
    <n v="4.18"/>
    <n v="0"/>
    <n v="7"/>
    <n v="98.13"/>
    <n v="4.67"/>
    <n v="93.46"/>
    <n v="1"/>
  </r>
  <r>
    <s v="2021-06-25"/>
    <s v="Vancouver"/>
    <s v="加拿大二店"/>
    <x v="3"/>
    <x v="5"/>
    <x v="117"/>
    <x v="111"/>
    <x v="121"/>
    <s v="整份"/>
    <n v="4.95"/>
    <s v="份"/>
    <n v="13"/>
    <n v="64.35"/>
    <n v="0"/>
    <n v="0"/>
    <n v="0"/>
    <n v="0"/>
    <n v="0"/>
    <n v="0"/>
    <n v="0"/>
    <n v="0"/>
    <n v="2.07"/>
    <n v="0"/>
    <n v="13"/>
    <n v="65.39"/>
    <n v="3.11"/>
    <n v="62.28"/>
    <n v="1"/>
  </r>
  <r>
    <s v="2021-06-25"/>
    <s v="Vancouver"/>
    <s v="加拿大二店"/>
    <x v="1"/>
    <x v="1"/>
    <x v="68"/>
    <x v="66"/>
    <x v="70"/>
    <s v="整份"/>
    <n v="8.95"/>
    <s v="份"/>
    <n v="72"/>
    <n v="644.4"/>
    <n v="0"/>
    <n v="0"/>
    <n v="0"/>
    <n v="0"/>
    <n v="0"/>
    <n v="0"/>
    <n v="0"/>
    <n v="-0.01"/>
    <n v="23.02"/>
    <n v="0"/>
    <n v="72"/>
    <n v="652.45"/>
    <n v="31.06"/>
    <n v="621.39"/>
    <n v="1"/>
  </r>
  <r>
    <s v="2021-06-25"/>
    <s v="Vancouver"/>
    <s v="加拿大二店"/>
    <x v="1"/>
    <x v="1"/>
    <x v="69"/>
    <x v="67"/>
    <x v="71"/>
    <s v="整份"/>
    <n v="8.95"/>
    <s v="份"/>
    <n v="8"/>
    <n v="71.6"/>
    <n v="0"/>
    <n v="0"/>
    <n v="0"/>
    <n v="0"/>
    <n v="0"/>
    <n v="0"/>
    <n v="0"/>
    <n v="0"/>
    <n v="1.79"/>
    <n v="0"/>
    <n v="8"/>
    <n v="73.3"/>
    <n v="3.49"/>
    <n v="69.81"/>
    <n v="1"/>
  </r>
  <r>
    <s v="2021-06-25"/>
    <s v="Vancouver"/>
    <s v="加拿大二店"/>
    <x v="6"/>
    <x v="15"/>
    <x v="70"/>
    <x v="68"/>
    <x v="72"/>
    <s v="整份"/>
    <n v="1.5"/>
    <s v="份"/>
    <n v="5"/>
    <n v="7.5"/>
    <n v="0"/>
    <n v="0"/>
    <n v="0"/>
    <n v="0"/>
    <n v="0"/>
    <n v="0"/>
    <n v="0"/>
    <n v="-0.01"/>
    <n v="0.1"/>
    <n v="0"/>
    <n v="5"/>
    <n v="7.78"/>
    <n v="0.37"/>
    <n v="7.41"/>
    <n v="1"/>
  </r>
  <r>
    <s v="2021-06-25"/>
    <s v="Vancouver"/>
    <s v="加拿大二店"/>
    <x v="4"/>
    <x v="16"/>
    <x v="71"/>
    <x v="0"/>
    <x v="73"/>
    <s v="单锅"/>
    <n v="36.95"/>
    <s v="锅"/>
    <n v="1"/>
    <n v="36.95"/>
    <n v="0"/>
    <n v="0"/>
    <n v="0"/>
    <n v="0"/>
    <n v="0"/>
    <n v="0"/>
    <n v="0"/>
    <n v="-0.01"/>
    <n v="0"/>
    <n v="0"/>
    <n v="1"/>
    <n v="38.8"/>
    <n v="1.84"/>
    <n v="36.96"/>
    <n v="4"/>
  </r>
  <r>
    <s v="2021-06-25"/>
    <s v="Vancouver"/>
    <s v="加拿大二店"/>
    <x v="4"/>
    <x v="9"/>
    <x v="71"/>
    <x v="0"/>
    <x v="73"/>
    <s v="拼锅"/>
    <n v="18.95"/>
    <s v="锅"/>
    <n v="16"/>
    <n v="303.2"/>
    <n v="0"/>
    <n v="0"/>
    <n v="0"/>
    <n v="0"/>
    <n v="0"/>
    <n v="0"/>
    <n v="0"/>
    <n v="0.03"/>
    <n v="7.58"/>
    <n v="0"/>
    <n v="16"/>
    <n v="310.36"/>
    <n v="14.77"/>
    <n v="295.59"/>
    <n v="2"/>
  </r>
  <r>
    <s v="2021-06-25"/>
    <s v="Vancouver"/>
    <s v="加拿大二店"/>
    <x v="4"/>
    <x v="10"/>
    <x v="71"/>
    <x v="0"/>
    <x v="73"/>
    <s v="四宫格"/>
    <n v="9.95"/>
    <s v="锅"/>
    <n v="5"/>
    <n v="49.75"/>
    <n v="0"/>
    <n v="0"/>
    <n v="0"/>
    <n v="0"/>
    <n v="0"/>
    <n v="0"/>
    <n v="0"/>
    <n v="-0.01"/>
    <n v="0"/>
    <n v="0"/>
    <n v="5"/>
    <n v="52.24"/>
    <n v="2.48"/>
    <n v="49.76"/>
    <n v="1"/>
  </r>
  <r>
    <s v="2021-06-25"/>
    <s v="Vancouver"/>
    <s v="加拿大二店"/>
    <x v="1"/>
    <x v="8"/>
    <x v="72"/>
    <x v="69"/>
    <x v="74"/>
    <s v="个"/>
    <n v="7.95"/>
    <s v="份"/>
    <n v="5"/>
    <n v="39.75"/>
    <n v="0"/>
    <n v="0"/>
    <n v="0"/>
    <n v="0"/>
    <n v="0"/>
    <n v="0"/>
    <n v="0"/>
    <n v="0"/>
    <n v="6.39"/>
    <n v="0"/>
    <n v="5"/>
    <n v="35.02"/>
    <n v="1.66"/>
    <n v="33.36"/>
    <n v="1"/>
  </r>
  <r>
    <s v="2021-06-25"/>
    <s v="Vancouver"/>
    <s v="加拿大二店"/>
    <x v="6"/>
    <x v="13"/>
    <x v="73"/>
    <x v="70"/>
    <x v="75"/>
    <s v="份"/>
    <n v="6.95"/>
    <s v="份"/>
    <n v="2"/>
    <n v="13.9"/>
    <n v="0"/>
    <n v="0"/>
    <n v="0"/>
    <n v="0"/>
    <n v="0"/>
    <n v="0"/>
    <n v="0"/>
    <n v="-0.03"/>
    <n v="0"/>
    <n v="0"/>
    <n v="2"/>
    <n v="14.62"/>
    <n v="0.69"/>
    <n v="13.93"/>
    <n v="1"/>
  </r>
  <r>
    <s v="2021-06-25"/>
    <s v="Vancouver"/>
    <s v="加拿大二店"/>
    <x v="4"/>
    <x v="9"/>
    <x v="74"/>
    <x v="0"/>
    <x v="76"/>
    <s v="拼锅"/>
    <n v="18.95"/>
    <s v="锅"/>
    <n v="7"/>
    <n v="132.65"/>
    <n v="0"/>
    <n v="0"/>
    <n v="0"/>
    <n v="0"/>
    <n v="0"/>
    <n v="0"/>
    <n v="0"/>
    <n v="0"/>
    <n v="0"/>
    <n v="0"/>
    <n v="7"/>
    <n v="139.28"/>
    <n v="6.63"/>
    <n v="132.65"/>
    <n v="2"/>
  </r>
  <r>
    <s v="2021-06-25"/>
    <s v="Vancouver"/>
    <s v="加拿大二店"/>
    <x v="4"/>
    <x v="10"/>
    <x v="74"/>
    <x v="0"/>
    <x v="76"/>
    <s v="四宫格"/>
    <n v="9.95"/>
    <s v="锅"/>
    <n v="4"/>
    <n v="39.8"/>
    <n v="0"/>
    <n v="0"/>
    <n v="0"/>
    <n v="0"/>
    <n v="0"/>
    <n v="0"/>
    <n v="0"/>
    <n v="-0.01"/>
    <n v="0"/>
    <n v="0"/>
    <n v="4"/>
    <n v="41.8"/>
    <n v="1.99"/>
    <n v="39.81"/>
    <n v="1"/>
  </r>
  <r>
    <s v="2021-06-25"/>
    <s v="Vancouver"/>
    <s v="加拿大二店"/>
    <x v="1"/>
    <x v="6"/>
    <x v="118"/>
    <x v="112"/>
    <x v="122"/>
    <s v="整份"/>
    <n v="28.95"/>
    <s v="份"/>
    <n v="5"/>
    <n v="144.75"/>
    <n v="0"/>
    <n v="0"/>
    <n v="0"/>
    <n v="0"/>
    <n v="0"/>
    <n v="0"/>
    <n v="0"/>
    <n v="-0.01"/>
    <n v="0"/>
    <n v="0"/>
    <n v="5"/>
    <n v="151.99"/>
    <n v="7.23"/>
    <n v="144.76"/>
    <n v="1"/>
  </r>
  <r>
    <s v="2021-06-25"/>
    <s v="Vancouver"/>
    <s v="加拿大二店"/>
    <x v="8"/>
    <x v="17"/>
    <x v="75"/>
    <x v="71"/>
    <x v="77"/>
    <s v="整份"/>
    <n v="3.99"/>
    <s v="位"/>
    <n v="166"/>
    <n v="662.34"/>
    <n v="0"/>
    <n v="0"/>
    <n v="0"/>
    <n v="0"/>
    <n v="0"/>
    <n v="0"/>
    <n v="0"/>
    <n v="-0.01"/>
    <n v="4.61"/>
    <n v="0"/>
    <n v="166"/>
    <n v="690.62"/>
    <n v="32.88"/>
    <n v="657.74"/>
    <n v="1"/>
  </r>
  <r>
    <s v="2021-06-25"/>
    <s v="Vancouver"/>
    <s v="加拿大二店"/>
    <x v="3"/>
    <x v="5"/>
    <x v="76"/>
    <x v="72"/>
    <x v="78"/>
    <s v="整份"/>
    <n v="3.95"/>
    <s v="份"/>
    <n v="5"/>
    <n v="19.75"/>
    <n v="0"/>
    <n v="0"/>
    <n v="0"/>
    <n v="0"/>
    <n v="0"/>
    <n v="0"/>
    <n v="0"/>
    <n v="0"/>
    <n v="1.33"/>
    <n v="0"/>
    <n v="5"/>
    <n v="19.34"/>
    <n v="0.92"/>
    <n v="18.42"/>
    <n v="1"/>
  </r>
  <r>
    <s v="2021-06-25"/>
    <s v="Vancouver"/>
    <s v="加拿大二店"/>
    <x v="1"/>
    <x v="3"/>
    <x v="77"/>
    <x v="73"/>
    <x v="79"/>
    <s v="整份"/>
    <n v="5.95"/>
    <s v="份"/>
    <n v="10"/>
    <n v="59.5"/>
    <n v="0"/>
    <n v="0"/>
    <n v="0"/>
    <n v="0"/>
    <n v="0"/>
    <n v="0"/>
    <n v="0"/>
    <n v="0"/>
    <n v="2.97"/>
    <n v="0"/>
    <n v="10"/>
    <n v="59.35"/>
    <n v="2.82"/>
    <n v="56.53"/>
    <n v="1"/>
  </r>
  <r>
    <s v="2021-06-25"/>
    <s v="Vancouver"/>
    <s v="加拿大二店"/>
    <x v="3"/>
    <x v="11"/>
    <x v="78"/>
    <x v="74"/>
    <x v="80"/>
    <s v="整份"/>
    <n v="5.95"/>
    <s v="份"/>
    <n v="9"/>
    <n v="53.55"/>
    <n v="0"/>
    <n v="0"/>
    <n v="0"/>
    <n v="0"/>
    <n v="0"/>
    <n v="0"/>
    <n v="0"/>
    <n v="0"/>
    <n v="4.39"/>
    <n v="0"/>
    <n v="9"/>
    <n v="51.61"/>
    <n v="2.45"/>
    <n v="49.16"/>
    <n v="1"/>
  </r>
  <r>
    <s v="2021-06-25"/>
    <s v="Vancouver"/>
    <s v="加拿大二店"/>
    <x v="3"/>
    <x v="11"/>
    <x v="78"/>
    <x v="75"/>
    <x v="81"/>
    <s v="半份"/>
    <n v="2.95"/>
    <s v="份"/>
    <n v="6"/>
    <n v="17.7"/>
    <n v="0"/>
    <n v="0"/>
    <n v="0"/>
    <n v="0"/>
    <n v="0"/>
    <n v="0"/>
    <n v="0"/>
    <n v="0"/>
    <n v="0.88"/>
    <n v="0"/>
    <n v="6"/>
    <n v="17.66"/>
    <n v="0.84"/>
    <n v="16.82"/>
    <n v="0.5"/>
  </r>
  <r>
    <s v="2021-06-25"/>
    <s v="Vancouver"/>
    <s v="加拿大二店"/>
    <x v="3"/>
    <x v="5"/>
    <x v="79"/>
    <x v="76"/>
    <x v="82"/>
    <s v="整份"/>
    <n v="3.95"/>
    <s v="份"/>
    <n v="19"/>
    <n v="75.05"/>
    <n v="0"/>
    <n v="0"/>
    <n v="0"/>
    <n v="0"/>
    <n v="0"/>
    <n v="0"/>
    <n v="0"/>
    <n v="0"/>
    <n v="5.92"/>
    <n v="0"/>
    <n v="19"/>
    <n v="72.58"/>
    <n v="3.45"/>
    <n v="69.13"/>
    <n v="1"/>
  </r>
  <r>
    <s v="2021-06-25"/>
    <s v="Vancouver"/>
    <s v="加拿大二店"/>
    <x v="3"/>
    <x v="5"/>
    <x v="80"/>
    <x v="77"/>
    <x v="83"/>
    <s v="整份"/>
    <n v="5.95"/>
    <s v="份"/>
    <n v="13"/>
    <n v="77.35"/>
    <n v="0"/>
    <n v="0"/>
    <n v="0"/>
    <n v="0"/>
    <n v="0"/>
    <n v="0"/>
    <n v="0"/>
    <n v="0"/>
    <n v="9.84"/>
    <n v="0"/>
    <n v="13"/>
    <n v="70.88"/>
    <n v="3.37"/>
    <n v="67.51"/>
    <n v="1"/>
  </r>
  <r>
    <s v="2021-06-25"/>
    <s v="Vancouver"/>
    <s v="加拿大二店"/>
    <x v="4"/>
    <x v="9"/>
    <x v="81"/>
    <x v="0"/>
    <x v="84"/>
    <s v="拼锅"/>
    <n v="8.95"/>
    <s v="锅"/>
    <n v="8"/>
    <n v="71.6"/>
    <n v="0"/>
    <n v="0"/>
    <n v="0"/>
    <n v="0"/>
    <n v="0"/>
    <n v="0"/>
    <n v="0"/>
    <n v="0"/>
    <n v="0"/>
    <n v="0"/>
    <n v="8"/>
    <n v="75.18"/>
    <n v="3.58"/>
    <n v="71.6"/>
    <n v="2"/>
  </r>
  <r>
    <s v="2021-06-25"/>
    <s v="Vancouver"/>
    <s v="加拿大二店"/>
    <x v="4"/>
    <x v="10"/>
    <x v="81"/>
    <x v="0"/>
    <x v="84"/>
    <s v="四宫格"/>
    <n v="4.95"/>
    <s v="锅"/>
    <n v="5"/>
    <n v="24.75"/>
    <n v="0"/>
    <n v="0"/>
    <n v="0"/>
    <n v="0"/>
    <n v="0"/>
    <n v="0"/>
    <n v="0"/>
    <n v="0"/>
    <n v="0"/>
    <n v="0"/>
    <n v="5"/>
    <n v="25.98"/>
    <n v="1.23"/>
    <n v="24.75"/>
    <n v="1"/>
  </r>
  <r>
    <s v="2021-06-25"/>
    <s v="Vancouver"/>
    <s v="加拿大二店"/>
    <x v="3"/>
    <x v="5"/>
    <x v="82"/>
    <x v="78"/>
    <x v="85"/>
    <s v="整份"/>
    <n v="12.95"/>
    <s v="份"/>
    <n v="11"/>
    <n v="142.45"/>
    <n v="0"/>
    <n v="0"/>
    <n v="0"/>
    <n v="0"/>
    <n v="0"/>
    <n v="0"/>
    <n v="0"/>
    <n v="0"/>
    <n v="2.59"/>
    <n v="0"/>
    <n v="11"/>
    <n v="146.85"/>
    <n v="6.99"/>
    <n v="139.86"/>
    <n v="1"/>
  </r>
  <r>
    <s v="2021-06-25"/>
    <s v="Vancouver"/>
    <s v="加拿大二店"/>
    <x v="3"/>
    <x v="11"/>
    <x v="83"/>
    <x v="79"/>
    <x v="86"/>
    <s v="整份"/>
    <n v="5.95"/>
    <s v="份"/>
    <n v="9"/>
    <n v="53.55"/>
    <n v="0"/>
    <n v="0"/>
    <n v="0"/>
    <n v="0"/>
    <n v="0"/>
    <n v="0"/>
    <n v="0"/>
    <n v="0"/>
    <n v="1.3"/>
    <n v="0"/>
    <n v="9"/>
    <n v="54.86"/>
    <n v="2.61"/>
    <n v="52.25"/>
    <n v="1"/>
  </r>
  <r>
    <s v="2021-06-25"/>
    <s v="Vancouver"/>
    <s v="加拿大二店"/>
    <x v="3"/>
    <x v="11"/>
    <x v="83"/>
    <x v="80"/>
    <x v="87"/>
    <s v="半份"/>
    <n v="2.95"/>
    <s v="份"/>
    <n v="2"/>
    <n v="5.9"/>
    <n v="0"/>
    <n v="0"/>
    <n v="0"/>
    <n v="0"/>
    <n v="0"/>
    <n v="0"/>
    <n v="0"/>
    <n v="0"/>
    <n v="0.59"/>
    <n v="0"/>
    <n v="2"/>
    <n v="5.57"/>
    <n v="0.26"/>
    <n v="5.31"/>
    <n v="0.5"/>
  </r>
  <r>
    <s v="2021-06-25"/>
    <s v="Vancouver"/>
    <s v="加拿大二店"/>
    <x v="3"/>
    <x v="11"/>
    <x v="84"/>
    <x v="81"/>
    <x v="88"/>
    <s v="整份"/>
    <n v="11.95"/>
    <s v="份"/>
    <n v="9"/>
    <n v="107.55"/>
    <n v="0"/>
    <n v="0"/>
    <n v="0"/>
    <n v="0"/>
    <n v="0"/>
    <n v="0"/>
    <n v="0"/>
    <n v="0"/>
    <n v="2.39"/>
    <n v="0"/>
    <n v="9"/>
    <n v="110.41"/>
    <n v="5.25"/>
    <n v="105.16"/>
    <n v="1"/>
  </r>
  <r>
    <s v="2021-06-25"/>
    <s v="Vancouver"/>
    <s v="加拿大二店"/>
    <x v="1"/>
    <x v="3"/>
    <x v="85"/>
    <x v="82"/>
    <x v="89"/>
    <s v="整份"/>
    <n v="6.95"/>
    <s v="份"/>
    <n v="10"/>
    <n v="69.5"/>
    <n v="0"/>
    <n v="0"/>
    <n v="0"/>
    <n v="0"/>
    <n v="0"/>
    <n v="0"/>
    <n v="0"/>
    <n v="0"/>
    <n v="4.89"/>
    <n v="0"/>
    <n v="10"/>
    <n v="67.84"/>
    <n v="3.23"/>
    <n v="64.61"/>
    <n v="1"/>
  </r>
  <r>
    <s v="2021-06-25"/>
    <s v="Vancouver"/>
    <s v="加拿大二店"/>
    <x v="6"/>
    <x v="13"/>
    <x v="86"/>
    <x v="83"/>
    <x v="90"/>
    <s v="碗"/>
    <n v="2.95"/>
    <s v="碗"/>
    <n v="14"/>
    <n v="41.3"/>
    <n v="0"/>
    <n v="0"/>
    <n v="0"/>
    <n v="0"/>
    <n v="0"/>
    <n v="0"/>
    <n v="0"/>
    <n v="0"/>
    <n v="0"/>
    <n v="0"/>
    <n v="14"/>
    <n v="43.36"/>
    <n v="2.06"/>
    <n v="41.3"/>
    <n v="1"/>
  </r>
  <r>
    <s v="2021-06-25"/>
    <s v="Vancouver"/>
    <s v="加拿大二店"/>
    <x v="2"/>
    <x v="4"/>
    <x v="87"/>
    <x v="84"/>
    <x v="91"/>
    <s v="常温"/>
    <n v="2.95"/>
    <s v="扎"/>
    <n v="3"/>
    <n v="8.85"/>
    <n v="0"/>
    <n v="0"/>
    <n v="0"/>
    <n v="0"/>
    <n v="0"/>
    <n v="0"/>
    <n v="0"/>
    <n v="0"/>
    <n v="0"/>
    <n v="0"/>
    <n v="3"/>
    <n v="9.91"/>
    <n v="1.06"/>
    <n v="8.85"/>
    <n v="1"/>
  </r>
  <r>
    <s v="2021-06-25"/>
    <s v="Vancouver"/>
    <s v="加拿大二店"/>
    <x v="2"/>
    <x v="4"/>
    <x v="87"/>
    <x v="84"/>
    <x v="91"/>
    <s v="冰镇"/>
    <n v="2.95"/>
    <s v="扎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25"/>
    <s v="Vancouver"/>
    <s v="加拿大二店"/>
    <x v="1"/>
    <x v="8"/>
    <x v="88"/>
    <x v="85"/>
    <x v="92"/>
    <s v="整份"/>
    <n v="7.95"/>
    <s v="份"/>
    <n v="11"/>
    <n v="87.45"/>
    <n v="0"/>
    <n v="0"/>
    <n v="0"/>
    <n v="0"/>
    <n v="0"/>
    <n v="0"/>
    <n v="0"/>
    <n v="0"/>
    <n v="0"/>
    <n v="0"/>
    <n v="11"/>
    <n v="91.82"/>
    <n v="4.37"/>
    <n v="87.45"/>
    <n v="1"/>
  </r>
  <r>
    <s v="2021-06-25"/>
    <s v="Vancouver"/>
    <s v="加拿大二店"/>
    <x v="1"/>
    <x v="8"/>
    <x v="89"/>
    <x v="86"/>
    <x v="93"/>
    <s v="整份"/>
    <n v="4.95"/>
    <s v="份"/>
    <n v="25"/>
    <n v="123.75"/>
    <n v="0"/>
    <n v="0"/>
    <n v="0"/>
    <n v="0"/>
    <n v="0"/>
    <n v="0"/>
    <n v="0"/>
    <n v="0"/>
    <n v="8.18"/>
    <n v="0"/>
    <n v="25"/>
    <n v="121.34"/>
    <n v="5.77"/>
    <n v="115.57"/>
    <n v="1"/>
  </r>
  <r>
    <s v="2021-06-25"/>
    <s v="Vancouver"/>
    <s v="加拿大二店"/>
    <x v="2"/>
    <x v="4"/>
    <x v="138"/>
    <x v="132"/>
    <x v="143"/>
    <s v="扎"/>
    <n v="12.95"/>
    <s v="扎"/>
    <n v="4"/>
    <n v="51.8"/>
    <n v="0"/>
    <n v="0"/>
    <n v="0"/>
    <n v="0"/>
    <n v="0"/>
    <n v="0"/>
    <n v="0"/>
    <n v="0"/>
    <n v="0"/>
    <n v="0"/>
    <n v="4"/>
    <n v="58.01"/>
    <n v="6.21"/>
    <n v="51.8"/>
    <n v="1"/>
  </r>
  <r>
    <s v="2021-06-25"/>
    <s v="Vancouver"/>
    <s v="加拿大二店"/>
    <x v="3"/>
    <x v="7"/>
    <x v="90"/>
    <x v="87"/>
    <x v="94"/>
    <s v="整份"/>
    <n v="4.95"/>
    <s v="份"/>
    <n v="10"/>
    <n v="49.5"/>
    <n v="0"/>
    <n v="0"/>
    <n v="0"/>
    <n v="0"/>
    <n v="0"/>
    <n v="0"/>
    <n v="0"/>
    <n v="-0.02"/>
    <n v="6.43"/>
    <n v="0"/>
    <n v="10"/>
    <n v="45.24"/>
    <n v="2.15"/>
    <n v="43.09"/>
    <n v="1"/>
  </r>
  <r>
    <s v="2021-06-25"/>
    <s v="Vancouver"/>
    <s v="加拿大二店"/>
    <x v="1"/>
    <x v="6"/>
    <x v="119"/>
    <x v="113"/>
    <x v="123"/>
    <s v="整份"/>
    <n v="1.35"/>
    <s v="磅"/>
    <n v="1"/>
    <n v="1.35"/>
    <n v="0"/>
    <n v="0"/>
    <n v="0"/>
    <n v="0"/>
    <n v="1"/>
    <n v="1.35"/>
    <n v="0"/>
    <n v="0"/>
    <n v="0"/>
    <n v="0"/>
    <n v="0"/>
    <n v="0"/>
    <n v="0"/>
    <n v="0"/>
    <n v="1"/>
  </r>
  <r>
    <s v="2021-06-25"/>
    <s v="Vancouver"/>
    <s v="加拿大二店"/>
    <x v="1"/>
    <x v="6"/>
    <x v="119"/>
    <x v="113"/>
    <x v="123"/>
    <s v="整份"/>
    <n v="93.08"/>
    <s v="磅"/>
    <n v="1"/>
    <n v="93.08"/>
    <n v="0"/>
    <n v="0"/>
    <n v="0"/>
    <n v="0"/>
    <n v="0"/>
    <n v="0"/>
    <n v="0"/>
    <n v="0.01"/>
    <n v="0"/>
    <n v="0"/>
    <n v="1"/>
    <n v="97.72"/>
    <n v="4.65"/>
    <n v="93.07"/>
    <n v="1"/>
  </r>
  <r>
    <s v="2021-06-25"/>
    <s v="Vancouver"/>
    <s v="加拿大二店"/>
    <x v="6"/>
    <x v="18"/>
    <x v="91"/>
    <x v="88"/>
    <x v="95"/>
    <s v="整份"/>
    <n v="2.95"/>
    <s v="份"/>
    <n v="4"/>
    <n v="11.8"/>
    <n v="0"/>
    <n v="0"/>
    <n v="0"/>
    <n v="0"/>
    <n v="0"/>
    <n v="0"/>
    <n v="0"/>
    <n v="0"/>
    <n v="0.59"/>
    <n v="0"/>
    <n v="4"/>
    <n v="11.77"/>
    <n v="0.56"/>
    <n v="11.21"/>
    <n v="1"/>
  </r>
  <r>
    <s v="2021-06-25"/>
    <s v="Vancouver"/>
    <s v="加拿大二店"/>
    <x v="4"/>
    <x v="9"/>
    <x v="92"/>
    <x v="0"/>
    <x v="96"/>
    <s v="拼锅"/>
    <n v="8.95"/>
    <s v="锅"/>
    <n v="1"/>
    <n v="8.95"/>
    <n v="0"/>
    <n v="0"/>
    <n v="0"/>
    <n v="0"/>
    <n v="0"/>
    <n v="0"/>
    <n v="0"/>
    <n v="0"/>
    <n v="0"/>
    <n v="0"/>
    <n v="1"/>
    <n v="9.39"/>
    <n v="0.44"/>
    <n v="8.95"/>
    <n v="2"/>
  </r>
  <r>
    <s v="2021-06-25"/>
    <s v="Vancouver"/>
    <s v="加拿大二店"/>
    <x v="4"/>
    <x v="10"/>
    <x v="92"/>
    <x v="0"/>
    <x v="96"/>
    <s v="四宫格"/>
    <n v="4.95"/>
    <s v="锅"/>
    <n v="1"/>
    <n v="4.95"/>
    <n v="0"/>
    <n v="0"/>
    <n v="0"/>
    <n v="0"/>
    <n v="0"/>
    <n v="0"/>
    <n v="0"/>
    <n v="0"/>
    <n v="0"/>
    <n v="0"/>
    <n v="1"/>
    <n v="5.19"/>
    <n v="0.24"/>
    <n v="4.95"/>
    <n v="1"/>
  </r>
  <r>
    <s v="2021-06-25"/>
    <s v="Vancouver"/>
    <s v="加拿大二店"/>
    <x v="3"/>
    <x v="5"/>
    <x v="93"/>
    <x v="89"/>
    <x v="97"/>
    <s v="整份"/>
    <n v="5.95"/>
    <s v="份"/>
    <n v="27"/>
    <n v="160.65"/>
    <n v="0"/>
    <n v="0"/>
    <n v="0"/>
    <n v="0"/>
    <n v="0"/>
    <n v="0"/>
    <n v="0"/>
    <n v="0"/>
    <n v="4.87"/>
    <n v="0"/>
    <n v="27"/>
    <n v="163.56"/>
    <n v="7.78"/>
    <n v="155.78"/>
    <n v="1"/>
  </r>
  <r>
    <s v="2021-06-25"/>
    <s v="Vancouver"/>
    <s v="加拿大二店"/>
    <x v="6"/>
    <x v="13"/>
    <x v="94"/>
    <x v="90"/>
    <x v="98"/>
    <s v="整份"/>
    <n v="4.95"/>
    <s v="份"/>
    <n v="12"/>
    <n v="59.4"/>
    <n v="0"/>
    <n v="0"/>
    <n v="0"/>
    <n v="0"/>
    <n v="3"/>
    <n v="14.85"/>
    <n v="0"/>
    <n v="0"/>
    <n v="2.97"/>
    <n v="0"/>
    <n v="9"/>
    <n v="43.65"/>
    <n v="2.07"/>
    <n v="41.58"/>
    <n v="1"/>
  </r>
  <r>
    <s v="2021-06-25"/>
    <s v="Vancouver"/>
    <s v="加拿大二店"/>
    <x v="7"/>
    <x v="14"/>
    <x v="123"/>
    <x v="117"/>
    <x v="127"/>
    <s v="整份"/>
    <n v="0"/>
    <s v="份"/>
    <n v="3"/>
    <n v="0"/>
    <n v="0"/>
    <n v="0"/>
    <n v="0"/>
    <n v="0"/>
    <n v="0"/>
    <n v="0"/>
    <n v="0"/>
    <n v="0"/>
    <n v="0"/>
    <n v="0"/>
    <n v="3"/>
    <n v="0"/>
    <n v="0"/>
    <n v="0"/>
    <n v="1"/>
  </r>
  <r>
    <s v="2021-06-25"/>
    <s v="Vancouver"/>
    <s v="加拿大二店"/>
    <x v="2"/>
    <x v="4"/>
    <x v="95"/>
    <x v="91"/>
    <x v="99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25"/>
    <s v="Vancouver"/>
    <s v="加拿大二店"/>
    <x v="1"/>
    <x v="1"/>
    <x v="96"/>
    <x v="92"/>
    <x v="100"/>
    <s v="整份"/>
    <n v="49.95"/>
    <s v="份"/>
    <n v="7"/>
    <n v="349.65"/>
    <n v="0"/>
    <n v="0"/>
    <n v="0"/>
    <n v="0"/>
    <n v="1"/>
    <n v="49.95"/>
    <n v="0"/>
    <n v="0.01"/>
    <n v="20.9"/>
    <n v="0"/>
    <n v="6"/>
    <n v="292.72"/>
    <n v="13.93"/>
    <n v="278.79"/>
    <n v="1"/>
  </r>
  <r>
    <s v="2021-06-25"/>
    <s v="Vancouver"/>
    <s v="加拿大二店"/>
    <x v="2"/>
    <x v="2"/>
    <x v="97"/>
    <x v="93"/>
    <x v="101"/>
    <s v="冰镇"/>
    <n v="5.95"/>
    <s v="听"/>
    <n v="8"/>
    <n v="47.6"/>
    <n v="0"/>
    <n v="0"/>
    <n v="0"/>
    <n v="0"/>
    <n v="0"/>
    <n v="0"/>
    <n v="0"/>
    <n v="0"/>
    <n v="1.19"/>
    <n v="0"/>
    <n v="8"/>
    <n v="53.37"/>
    <n v="6.96"/>
    <n v="46.41"/>
    <n v="1"/>
  </r>
  <r>
    <s v="2021-06-25"/>
    <s v="Vancouver"/>
    <s v="加拿大二店"/>
    <x v="6"/>
    <x v="13"/>
    <x v="98"/>
    <x v="94"/>
    <x v="102"/>
    <s v="整份"/>
    <n v="3.95"/>
    <s v="份"/>
    <n v="3"/>
    <n v="11.85"/>
    <n v="0"/>
    <n v="0"/>
    <n v="0"/>
    <n v="0"/>
    <n v="0"/>
    <n v="0"/>
    <n v="0"/>
    <n v="0.01"/>
    <n v="1.97"/>
    <n v="0"/>
    <n v="3"/>
    <n v="10.36"/>
    <n v="0.49"/>
    <n v="9.87"/>
    <n v="1"/>
  </r>
  <r>
    <s v="2021-06-25"/>
    <s v="Vancouver"/>
    <s v="加拿大二店"/>
    <x v="1"/>
    <x v="3"/>
    <x v="99"/>
    <x v="95"/>
    <x v="103"/>
    <s v="整份"/>
    <n v="5.95"/>
    <s v="份"/>
    <n v="6"/>
    <n v="35.7"/>
    <n v="0"/>
    <n v="0"/>
    <n v="0"/>
    <n v="0"/>
    <n v="0"/>
    <n v="0"/>
    <n v="0"/>
    <n v="0"/>
    <n v="1.19"/>
    <n v="0"/>
    <n v="6"/>
    <n v="36.23"/>
    <n v="1.72"/>
    <n v="34.51"/>
    <n v="1"/>
  </r>
  <r>
    <s v="2021-06-25"/>
    <s v="Vancouver"/>
    <s v="加拿大二店"/>
    <x v="1"/>
    <x v="3"/>
    <x v="100"/>
    <x v="96"/>
    <x v="104"/>
    <s v="整份"/>
    <n v="7.95"/>
    <s v="份"/>
    <n v="4"/>
    <n v="31.8"/>
    <n v="0"/>
    <n v="0"/>
    <n v="0"/>
    <n v="0"/>
    <n v="0"/>
    <n v="0"/>
    <n v="0"/>
    <n v="0"/>
    <n v="3.18"/>
    <n v="0"/>
    <n v="4"/>
    <n v="30.05"/>
    <n v="1.43"/>
    <n v="28.62"/>
    <n v="1"/>
  </r>
  <r>
    <s v="2021-06-25"/>
    <s v="Vancouver"/>
    <s v="加拿大二店"/>
    <x v="1"/>
    <x v="8"/>
    <x v="101"/>
    <x v="97"/>
    <x v="105"/>
    <s v="整份"/>
    <n v="5.95"/>
    <s v="份"/>
    <n v="16"/>
    <n v="95.2"/>
    <n v="0"/>
    <n v="0"/>
    <n v="0"/>
    <n v="0"/>
    <n v="0"/>
    <n v="0"/>
    <n v="0"/>
    <n v="0"/>
    <n v="4.32"/>
    <n v="0"/>
    <n v="16"/>
    <n v="95.42"/>
    <n v="4.54"/>
    <n v="90.88"/>
    <n v="1"/>
  </r>
  <r>
    <s v="2021-06-25"/>
    <s v="Vancouver"/>
    <s v="加拿大二店"/>
    <x v="1"/>
    <x v="6"/>
    <x v="102"/>
    <x v="98"/>
    <x v="106"/>
    <s v="整份"/>
    <n v="8.95"/>
    <s v="份"/>
    <n v="3"/>
    <n v="26.85"/>
    <n v="0"/>
    <n v="0"/>
    <n v="0"/>
    <n v="0"/>
    <n v="0"/>
    <n v="0"/>
    <n v="0"/>
    <n v="-0.01"/>
    <n v="1.07"/>
    <n v="0"/>
    <n v="3"/>
    <n v="27.07"/>
    <n v="1.28"/>
    <n v="25.79"/>
    <n v="1"/>
  </r>
  <r>
    <s v="2021-06-25"/>
    <s v="Vancouver"/>
    <s v="加拿大二店"/>
    <x v="3"/>
    <x v="7"/>
    <x v="103"/>
    <x v="99"/>
    <x v="107"/>
    <s v="整份"/>
    <n v="5.95"/>
    <s v="份"/>
    <n v="17"/>
    <n v="101.15"/>
    <n v="0"/>
    <n v="0"/>
    <n v="0"/>
    <n v="0"/>
    <n v="0"/>
    <n v="0"/>
    <n v="0"/>
    <n v="0"/>
    <n v="2.97"/>
    <n v="0"/>
    <n v="17"/>
    <n v="103.08"/>
    <n v="4.9"/>
    <n v="98.18"/>
    <n v="1"/>
  </r>
  <r>
    <s v="2021-06-25"/>
    <s v="Vancouver"/>
    <s v="加拿大二店"/>
    <x v="3"/>
    <x v="7"/>
    <x v="104"/>
    <x v="100"/>
    <x v="108"/>
    <s v="整份"/>
    <n v="3.95"/>
    <s v="份"/>
    <n v="10"/>
    <n v="39.5"/>
    <n v="0"/>
    <n v="0"/>
    <n v="0"/>
    <n v="0"/>
    <n v="0"/>
    <n v="0"/>
    <n v="0"/>
    <n v="0"/>
    <n v="0.79"/>
    <n v="0"/>
    <n v="10"/>
    <n v="40.64"/>
    <n v="1.93"/>
    <n v="38.71"/>
    <n v="1"/>
  </r>
  <r>
    <s v="2021-06-25"/>
    <s v="Vancouver"/>
    <s v="加拿大二店"/>
    <x v="1"/>
    <x v="8"/>
    <x v="105"/>
    <x v="101"/>
    <x v="109"/>
    <s v="整份"/>
    <n v="4.95"/>
    <s v="份"/>
    <n v="24"/>
    <n v="118.8"/>
    <n v="0"/>
    <n v="0"/>
    <n v="0"/>
    <n v="0"/>
    <n v="0"/>
    <n v="0"/>
    <n v="0"/>
    <n v="0"/>
    <n v="9.7"/>
    <n v="0"/>
    <n v="24"/>
    <n v="114.55"/>
    <n v="5.45"/>
    <n v="109.1"/>
    <n v="1"/>
  </r>
  <r>
    <s v="2021-06-25"/>
    <s v="Vancouver"/>
    <s v="加拿大二店"/>
    <x v="4"/>
    <x v="9"/>
    <x v="106"/>
    <x v="0"/>
    <x v="110"/>
    <s v="拼锅"/>
    <n v="11.95"/>
    <s v="锅"/>
    <n v="9"/>
    <n v="107.55"/>
    <n v="0"/>
    <n v="0"/>
    <n v="0"/>
    <n v="0"/>
    <n v="0"/>
    <n v="0"/>
    <n v="0"/>
    <n v="0"/>
    <n v="4.61"/>
    <n v="0"/>
    <n v="9"/>
    <n v="108.08"/>
    <n v="5.14"/>
    <n v="102.94"/>
    <n v="2"/>
  </r>
  <r>
    <s v="2021-06-25"/>
    <s v="Vancouver"/>
    <s v="加拿大二店"/>
    <x v="4"/>
    <x v="10"/>
    <x v="106"/>
    <x v="0"/>
    <x v="110"/>
    <s v="四宫格"/>
    <n v="5.95"/>
    <s v="锅"/>
    <n v="5"/>
    <n v="29.75"/>
    <n v="0"/>
    <n v="0"/>
    <n v="0"/>
    <n v="0"/>
    <n v="0"/>
    <n v="0"/>
    <n v="0"/>
    <n v="0"/>
    <n v="1.19"/>
    <n v="0"/>
    <n v="5"/>
    <n v="29.98"/>
    <n v="1.42"/>
    <n v="28.56"/>
    <n v="1"/>
  </r>
  <r>
    <s v="2021-06-25"/>
    <s v="Vancouver"/>
    <s v="加拿大二店"/>
    <x v="4"/>
    <x v="9"/>
    <x v="107"/>
    <x v="0"/>
    <x v="111"/>
    <s v="拼锅"/>
    <n v="11.95"/>
    <s v="锅"/>
    <n v="13"/>
    <n v="155.35"/>
    <n v="0"/>
    <n v="0"/>
    <n v="0"/>
    <n v="0"/>
    <n v="0"/>
    <n v="0"/>
    <n v="0"/>
    <n v="0"/>
    <n v="4.78"/>
    <n v="0"/>
    <n v="13"/>
    <n v="158.09"/>
    <n v="7.52"/>
    <n v="150.57"/>
    <n v="2"/>
  </r>
  <r>
    <s v="2021-06-25"/>
    <s v="Vancouver"/>
    <s v="加拿大二店"/>
    <x v="4"/>
    <x v="10"/>
    <x v="107"/>
    <x v="0"/>
    <x v="111"/>
    <s v="四宫格"/>
    <n v="5.95"/>
    <s v="锅"/>
    <n v="3"/>
    <n v="17.85"/>
    <n v="0"/>
    <n v="0"/>
    <n v="0"/>
    <n v="0"/>
    <n v="0"/>
    <n v="0"/>
    <n v="0"/>
    <n v="0"/>
    <n v="0"/>
    <n v="0"/>
    <n v="3"/>
    <n v="18.74"/>
    <n v="0.89"/>
    <n v="17.85"/>
    <n v="1"/>
  </r>
  <r>
    <s v="2021-06-25"/>
    <s v="Vancouver"/>
    <s v="加拿大二店"/>
    <x v="1"/>
    <x v="8"/>
    <x v="141"/>
    <x v="135"/>
    <x v="146"/>
    <s v="半份"/>
    <n v="12.95"/>
    <s v="份"/>
    <n v="5"/>
    <n v="64.75"/>
    <n v="0"/>
    <n v="0"/>
    <n v="0"/>
    <n v="0"/>
    <n v="0"/>
    <n v="0"/>
    <n v="0"/>
    <n v="0"/>
    <n v="0"/>
    <n v="0"/>
    <n v="5"/>
    <n v="68.63"/>
    <n v="3.88"/>
    <n v="64.75"/>
    <n v="0.5"/>
  </r>
  <r>
    <s v="2021-06-26"/>
    <s v="Vancouver"/>
    <s v="加拿大二店"/>
    <x v="1"/>
    <x v="1"/>
    <x v="1"/>
    <x v="1"/>
    <x v="1"/>
    <s v="整份"/>
    <n v="16.95"/>
    <s v="份"/>
    <n v="19"/>
    <n v="322.05"/>
    <n v="0"/>
    <n v="0"/>
    <n v="0"/>
    <n v="0"/>
    <n v="0"/>
    <n v="0"/>
    <n v="0"/>
    <n v="0"/>
    <n v="4.8"/>
    <n v="0"/>
    <n v="19"/>
    <n v="333.11"/>
    <n v="15.86"/>
    <n v="317.25"/>
    <n v="1"/>
  </r>
  <r>
    <s v="2021-06-26"/>
    <s v="Vancouver"/>
    <s v="加拿大二店"/>
    <x v="1"/>
    <x v="1"/>
    <x v="2"/>
    <x v="2"/>
    <x v="2"/>
    <s v="整份"/>
    <n v="25.95"/>
    <s v="份"/>
    <n v="15"/>
    <n v="389.25"/>
    <n v="0"/>
    <n v="0"/>
    <n v="0"/>
    <n v="0"/>
    <n v="2"/>
    <n v="51.9"/>
    <n v="0"/>
    <n v="0"/>
    <n v="1.83"/>
    <n v="0"/>
    <n v="13"/>
    <n v="352.29"/>
    <n v="16.77"/>
    <n v="335.52"/>
    <n v="1"/>
  </r>
  <r>
    <s v="2021-06-26"/>
    <s v="Vancouver"/>
    <s v="加拿大二店"/>
    <x v="2"/>
    <x v="2"/>
    <x v="4"/>
    <x v="4"/>
    <x v="4"/>
    <s v="壶"/>
    <n v="22.95"/>
    <s v="壶"/>
    <n v="1"/>
    <n v="22.95"/>
    <n v="0"/>
    <n v="0"/>
    <n v="0"/>
    <n v="0"/>
    <n v="0"/>
    <n v="0"/>
    <n v="0"/>
    <n v="0"/>
    <n v="0"/>
    <n v="0"/>
    <n v="1"/>
    <n v="26.39"/>
    <n v="3.44"/>
    <n v="22.95"/>
    <n v="1"/>
  </r>
  <r>
    <s v="2021-06-26"/>
    <s v="Vancouver"/>
    <s v="加拿大二店"/>
    <x v="2"/>
    <x v="2"/>
    <x v="5"/>
    <x v="5"/>
    <x v="5"/>
    <s v="杯"/>
    <n v="6.95"/>
    <s v="杯"/>
    <n v="4"/>
    <n v="27.8"/>
    <n v="1"/>
    <n v="6.95"/>
    <n v="0"/>
    <n v="0"/>
    <n v="0"/>
    <n v="0"/>
    <n v="0"/>
    <n v="-0.02"/>
    <n v="0.49"/>
    <n v="0"/>
    <n v="3"/>
    <n v="23.43"/>
    <n v="3.05"/>
    <n v="20.38"/>
    <n v="1"/>
  </r>
  <r>
    <s v="2021-06-26"/>
    <s v="Vancouver"/>
    <s v="加拿大二店"/>
    <x v="1"/>
    <x v="3"/>
    <x v="6"/>
    <x v="6"/>
    <x v="6"/>
    <s v="整份"/>
    <n v="7.95"/>
    <s v="份"/>
    <n v="6"/>
    <n v="47.7"/>
    <n v="0"/>
    <n v="0"/>
    <n v="0"/>
    <n v="0"/>
    <n v="0"/>
    <n v="0"/>
    <n v="0"/>
    <n v="0"/>
    <n v="0"/>
    <n v="0"/>
    <n v="6"/>
    <n v="50.08"/>
    <n v="2.38"/>
    <n v="47.7"/>
    <n v="1"/>
  </r>
  <r>
    <s v="2021-06-26"/>
    <s v="Vancouver"/>
    <s v="加拿大二店"/>
    <x v="0"/>
    <x v="0"/>
    <x v="124"/>
    <x v="0"/>
    <x v="128"/>
    <s v="套餐"/>
    <n v="59.95"/>
    <s v="套餐"/>
    <n v="3"/>
    <n v="179.85"/>
    <n v="0"/>
    <n v="0"/>
    <n v="0"/>
    <n v="0"/>
    <n v="0"/>
    <n v="0"/>
    <n v="0"/>
    <n v="-0.02"/>
    <n v="0"/>
    <n v="0"/>
    <n v="3"/>
    <n v="190.66"/>
    <n v="10.79"/>
    <n v="179.87"/>
    <n v="1"/>
  </r>
  <r>
    <s v="2021-06-26"/>
    <s v="Vancouver"/>
    <s v="加拿大二店"/>
    <x v="9"/>
    <x v="23"/>
    <x v="139"/>
    <x v="133"/>
    <x v="144"/>
    <s v="冰镇"/>
    <n v="6.95"/>
    <s v="杯"/>
    <n v="11"/>
    <n v="76.45"/>
    <n v="0"/>
    <n v="0"/>
    <n v="0"/>
    <n v="0"/>
    <n v="0"/>
    <n v="0"/>
    <n v="0"/>
    <n v="-0.02"/>
    <n v="3.47"/>
    <n v="0"/>
    <n v="11"/>
    <n v="77.38"/>
    <n v="4.38"/>
    <n v="73"/>
    <n v="1"/>
  </r>
  <r>
    <s v="2021-06-26"/>
    <s v="Vancouver"/>
    <s v="加拿大二店"/>
    <x v="2"/>
    <x v="4"/>
    <x v="7"/>
    <x v="7"/>
    <x v="7"/>
    <s v="常温"/>
    <n v="2.45"/>
    <s v="罐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26"/>
    <s v="Vancouver"/>
    <s v="加拿大二店"/>
    <x v="2"/>
    <x v="4"/>
    <x v="7"/>
    <x v="7"/>
    <x v="7"/>
    <s v="冰镇"/>
    <n v="2.45"/>
    <s v="罐"/>
    <n v="4"/>
    <n v="9.8"/>
    <n v="0"/>
    <n v="0"/>
    <n v="0"/>
    <n v="0"/>
    <n v="0"/>
    <n v="0"/>
    <n v="0"/>
    <n v="0"/>
    <n v="0"/>
    <n v="0"/>
    <n v="4"/>
    <n v="10.97"/>
    <n v="1.17"/>
    <n v="9.8"/>
    <n v="1"/>
  </r>
  <r>
    <s v="2021-06-26"/>
    <s v="Vancouver"/>
    <s v="加拿大二店"/>
    <x v="0"/>
    <x v="20"/>
    <x v="109"/>
    <x v="103"/>
    <x v="113"/>
    <s v="整份"/>
    <n v="8.95"/>
    <s v="份"/>
    <n v="2"/>
    <n v="17.9"/>
    <n v="0"/>
    <n v="0"/>
    <n v="0"/>
    <n v="0"/>
    <n v="0"/>
    <n v="0"/>
    <n v="0"/>
    <n v="0"/>
    <n v="0"/>
    <n v="0"/>
    <n v="2"/>
    <n v="18.79"/>
    <n v="0.89"/>
    <n v="17.9"/>
    <n v="1"/>
  </r>
  <r>
    <s v="2021-06-26"/>
    <s v="Vancouver"/>
    <s v="加拿大二店"/>
    <x v="2"/>
    <x v="4"/>
    <x v="110"/>
    <x v="104"/>
    <x v="114"/>
    <s v="小瓶"/>
    <n v="3.95"/>
    <s v="瓶"/>
    <n v="9"/>
    <n v="35.55"/>
    <n v="0"/>
    <n v="0"/>
    <n v="0"/>
    <n v="0"/>
    <n v="0"/>
    <n v="0"/>
    <n v="0"/>
    <n v="0.02"/>
    <n v="0"/>
    <n v="0"/>
    <n v="9"/>
    <n v="39.79"/>
    <n v="4.26"/>
    <n v="35.53"/>
    <n v="1"/>
  </r>
  <r>
    <s v="2021-06-26"/>
    <s v="Vancouver"/>
    <s v="加拿大二店"/>
    <x v="3"/>
    <x v="5"/>
    <x v="8"/>
    <x v="8"/>
    <x v="8"/>
    <s v="整份"/>
    <n v="3.95"/>
    <s v="份"/>
    <n v="10"/>
    <n v="39.5"/>
    <n v="0"/>
    <n v="0"/>
    <n v="0"/>
    <n v="0"/>
    <n v="0"/>
    <n v="0"/>
    <n v="0"/>
    <n v="0"/>
    <n v="1.35"/>
    <n v="0"/>
    <n v="10"/>
    <n v="40.05"/>
    <n v="1.9"/>
    <n v="38.15"/>
    <n v="1"/>
  </r>
  <r>
    <s v="2021-06-26"/>
    <s v="Vancouver"/>
    <s v="加拿大二店"/>
    <x v="2"/>
    <x v="4"/>
    <x v="9"/>
    <x v="9"/>
    <x v="9"/>
    <s v="冰镇"/>
    <n v="2.95"/>
    <s v="位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26"/>
    <s v="Vancouver"/>
    <s v="加拿大二店"/>
    <x v="2"/>
    <x v="4"/>
    <x v="10"/>
    <x v="10"/>
    <x v="10"/>
    <s v="半份"/>
    <n v="6.95"/>
    <s v="扎"/>
    <n v="5"/>
    <n v="34.75"/>
    <n v="0"/>
    <n v="0"/>
    <n v="0"/>
    <n v="0"/>
    <n v="0"/>
    <n v="0"/>
    <n v="0"/>
    <n v="0"/>
    <n v="0"/>
    <n v="0"/>
    <n v="5"/>
    <n v="38.92"/>
    <n v="4.17"/>
    <n v="34.75"/>
    <n v="0.5"/>
  </r>
  <r>
    <s v="2021-06-26"/>
    <s v="Vancouver"/>
    <s v="加拿大二店"/>
    <x v="2"/>
    <x v="4"/>
    <x v="10"/>
    <x v="11"/>
    <x v="11"/>
    <s v="整份"/>
    <n v="9.95"/>
    <s v="扎"/>
    <n v="6"/>
    <n v="59.7"/>
    <n v="0"/>
    <n v="0"/>
    <n v="0"/>
    <n v="0"/>
    <n v="0"/>
    <n v="0"/>
    <n v="0"/>
    <n v="0"/>
    <n v="0"/>
    <n v="0"/>
    <n v="6"/>
    <n v="66.86"/>
    <n v="7.16"/>
    <n v="59.7"/>
    <n v="1"/>
  </r>
  <r>
    <s v="2021-06-26"/>
    <s v="Vancouver"/>
    <s v="加拿大二店"/>
    <x v="1"/>
    <x v="6"/>
    <x v="11"/>
    <x v="12"/>
    <x v="12"/>
    <s v="整份"/>
    <n v="8.95"/>
    <s v="份"/>
    <n v="7"/>
    <n v="62.65"/>
    <n v="0"/>
    <n v="0"/>
    <n v="0"/>
    <n v="0"/>
    <n v="0"/>
    <n v="0"/>
    <n v="0"/>
    <n v="0"/>
    <n v="0.63"/>
    <n v="0"/>
    <n v="7"/>
    <n v="65.12"/>
    <n v="3.1"/>
    <n v="62.02"/>
    <n v="1"/>
  </r>
  <r>
    <s v="2021-06-26"/>
    <s v="Vancouver"/>
    <s v="加拿大二店"/>
    <x v="1"/>
    <x v="6"/>
    <x v="12"/>
    <x v="13"/>
    <x v="13"/>
    <s v="整份"/>
    <n v="16.95"/>
    <s v="份"/>
    <n v="2"/>
    <n v="33.9"/>
    <n v="0"/>
    <n v="0"/>
    <n v="0"/>
    <n v="0"/>
    <n v="0"/>
    <n v="0"/>
    <n v="0"/>
    <n v="0"/>
    <n v="0"/>
    <n v="0"/>
    <n v="2"/>
    <n v="35.59"/>
    <n v="1.69"/>
    <n v="33.9"/>
    <n v="1"/>
  </r>
  <r>
    <s v="2021-06-26"/>
    <s v="Vancouver"/>
    <s v="加拿大二店"/>
    <x v="1"/>
    <x v="6"/>
    <x v="13"/>
    <x v="14"/>
    <x v="14"/>
    <s v="整份"/>
    <n v="21.95"/>
    <s v="份"/>
    <n v="5"/>
    <n v="109.75"/>
    <n v="0"/>
    <n v="0"/>
    <n v="0"/>
    <n v="0"/>
    <n v="0"/>
    <n v="0"/>
    <n v="0"/>
    <n v="0"/>
    <n v="1.55"/>
    <n v="0"/>
    <n v="5"/>
    <n v="113.61"/>
    <n v="5.41"/>
    <n v="108.2"/>
    <n v="1"/>
  </r>
  <r>
    <s v="2021-06-26"/>
    <s v="Vancouver"/>
    <s v="加拿大二店"/>
    <x v="1"/>
    <x v="6"/>
    <x v="14"/>
    <x v="15"/>
    <x v="15"/>
    <s v="整份"/>
    <n v="29.95"/>
    <s v="份"/>
    <n v="3"/>
    <n v="89.85"/>
    <n v="0"/>
    <n v="0"/>
    <n v="0"/>
    <n v="0"/>
    <n v="0"/>
    <n v="0"/>
    <n v="0"/>
    <n v="0"/>
    <n v="0"/>
    <n v="0"/>
    <n v="3"/>
    <n v="94.34"/>
    <n v="4.49"/>
    <n v="89.85"/>
    <n v="1"/>
  </r>
  <r>
    <s v="2021-06-26"/>
    <s v="Vancouver"/>
    <s v="加拿大二店"/>
    <x v="1"/>
    <x v="6"/>
    <x v="121"/>
    <x v="115"/>
    <x v="125"/>
    <s v="整份"/>
    <n v="12.95"/>
    <s v="份"/>
    <n v="3"/>
    <n v="38.85"/>
    <n v="0"/>
    <n v="0"/>
    <n v="0"/>
    <n v="0"/>
    <n v="0"/>
    <n v="0"/>
    <n v="0"/>
    <n v="0"/>
    <n v="0"/>
    <n v="0"/>
    <n v="3"/>
    <n v="40.79"/>
    <n v="1.94"/>
    <n v="38.85"/>
    <n v="1"/>
  </r>
  <r>
    <s v="2021-06-26"/>
    <s v="Vancouver"/>
    <s v="加拿大二店"/>
    <x v="1"/>
    <x v="6"/>
    <x v="15"/>
    <x v="16"/>
    <x v="16"/>
    <s v="整份"/>
    <n v="8.95"/>
    <s v="份"/>
    <n v="3"/>
    <n v="26.85"/>
    <n v="0"/>
    <n v="0"/>
    <n v="0"/>
    <n v="0"/>
    <n v="0"/>
    <n v="0"/>
    <n v="0"/>
    <n v="0"/>
    <n v="0"/>
    <n v="0"/>
    <n v="3"/>
    <n v="28.19"/>
    <n v="1.34"/>
    <n v="26.85"/>
    <n v="1"/>
  </r>
  <r>
    <s v="2021-06-26"/>
    <s v="Vancouver"/>
    <s v="加拿大二店"/>
    <x v="1"/>
    <x v="6"/>
    <x v="111"/>
    <x v="105"/>
    <x v="115"/>
    <s v="整份"/>
    <n v="8.95"/>
    <s v="份"/>
    <n v="1"/>
    <n v="8.95"/>
    <n v="0"/>
    <n v="0"/>
    <n v="0"/>
    <n v="0"/>
    <n v="0"/>
    <n v="0"/>
    <n v="0"/>
    <n v="0"/>
    <n v="0"/>
    <n v="0"/>
    <n v="1"/>
    <n v="9.39"/>
    <n v="0.44"/>
    <n v="8.95"/>
    <n v="1"/>
  </r>
  <r>
    <s v="2021-06-26"/>
    <s v="Vancouver"/>
    <s v="加拿大二店"/>
    <x v="3"/>
    <x v="7"/>
    <x v="16"/>
    <x v="17"/>
    <x v="17"/>
    <s v="整份"/>
    <n v="4.95"/>
    <s v="份"/>
    <n v="14"/>
    <n v="69.3"/>
    <n v="0"/>
    <n v="0"/>
    <n v="0"/>
    <n v="0"/>
    <n v="0"/>
    <n v="0"/>
    <n v="0"/>
    <n v="0"/>
    <n v="3.32"/>
    <n v="0"/>
    <n v="14"/>
    <n v="69.27"/>
    <n v="3.29"/>
    <n v="65.98"/>
    <n v="1"/>
  </r>
  <r>
    <s v="2021-06-26"/>
    <s v="Vancouver"/>
    <s v="加拿大二店"/>
    <x v="2"/>
    <x v="4"/>
    <x v="17"/>
    <x v="18"/>
    <x v="18"/>
    <s v="冰镇"/>
    <n v="2.95"/>
    <s v="瓶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26"/>
    <s v="Vancouver"/>
    <s v="加拿大二店"/>
    <x v="2"/>
    <x v="4"/>
    <x v="18"/>
    <x v="19"/>
    <x v="19"/>
    <s v="冰镇"/>
    <n v="2.95"/>
    <s v="听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26"/>
    <s v="Vancouver"/>
    <s v="加拿大二店"/>
    <x v="1"/>
    <x v="8"/>
    <x v="19"/>
    <x v="20"/>
    <x v="20"/>
    <s v="整份"/>
    <n v="5.95"/>
    <s v="份"/>
    <n v="10"/>
    <n v="59.5"/>
    <n v="0"/>
    <n v="0"/>
    <n v="0"/>
    <n v="0"/>
    <n v="1"/>
    <n v="5.95"/>
    <n v="0"/>
    <n v="0"/>
    <n v="0.25"/>
    <n v="0"/>
    <n v="9"/>
    <n v="55.96"/>
    <n v="2.66"/>
    <n v="53.3"/>
    <n v="1"/>
  </r>
  <r>
    <s v="2021-06-26"/>
    <s v="Vancouver"/>
    <s v="加拿大二店"/>
    <x v="1"/>
    <x v="8"/>
    <x v="20"/>
    <x v="21"/>
    <x v="21"/>
    <s v="整份"/>
    <n v="7.95"/>
    <s v="份"/>
    <n v="2"/>
    <n v="15.9"/>
    <n v="0"/>
    <n v="0"/>
    <n v="0"/>
    <n v="0"/>
    <n v="0"/>
    <n v="0"/>
    <n v="0"/>
    <n v="0"/>
    <n v="1.59"/>
    <n v="0"/>
    <n v="2"/>
    <n v="15.02"/>
    <n v="0.71"/>
    <n v="14.31"/>
    <n v="1"/>
  </r>
  <r>
    <s v="2021-06-26"/>
    <s v="Vancouver"/>
    <s v="加拿大二店"/>
    <x v="2"/>
    <x v="4"/>
    <x v="21"/>
    <x v="22"/>
    <x v="22"/>
    <s v="冰镇"/>
    <n v="2.45"/>
    <s v="听"/>
    <n v="5"/>
    <n v="12.25"/>
    <n v="0"/>
    <n v="0"/>
    <n v="0"/>
    <n v="0"/>
    <n v="0"/>
    <n v="0"/>
    <n v="0"/>
    <n v="0"/>
    <n v="0.35"/>
    <n v="0"/>
    <n v="5"/>
    <n v="13.32"/>
    <n v="1.42"/>
    <n v="11.9"/>
    <n v="1"/>
  </r>
  <r>
    <s v="2021-06-26"/>
    <s v="Vancouver"/>
    <s v="加拿大二店"/>
    <x v="4"/>
    <x v="9"/>
    <x v="22"/>
    <x v="0"/>
    <x v="23"/>
    <s v="拼锅"/>
    <n v="11.95"/>
    <s v="锅"/>
    <n v="2"/>
    <n v="23.9"/>
    <n v="0"/>
    <n v="0"/>
    <n v="0"/>
    <n v="0"/>
    <n v="0"/>
    <n v="0"/>
    <n v="0"/>
    <n v="0.01"/>
    <n v="0"/>
    <n v="0"/>
    <n v="2"/>
    <n v="25.32"/>
    <n v="1.43"/>
    <n v="23.89"/>
    <n v="2"/>
  </r>
  <r>
    <s v="2021-06-26"/>
    <s v="Vancouver"/>
    <s v="加拿大二店"/>
    <x v="4"/>
    <x v="10"/>
    <x v="22"/>
    <x v="0"/>
    <x v="23"/>
    <s v="四宫格"/>
    <n v="5.95"/>
    <s v="锅"/>
    <n v="4"/>
    <n v="23.8"/>
    <n v="2"/>
    <n v="11.9"/>
    <n v="0"/>
    <n v="0"/>
    <n v="0"/>
    <n v="0"/>
    <n v="0"/>
    <n v="0.02"/>
    <n v="0"/>
    <n v="0"/>
    <n v="2"/>
    <n v="12.59"/>
    <n v="0.71"/>
    <n v="11.88"/>
    <n v="1"/>
  </r>
  <r>
    <s v="2021-06-26"/>
    <s v="Vancouver"/>
    <s v="加拿大二店"/>
    <x v="3"/>
    <x v="7"/>
    <x v="23"/>
    <x v="23"/>
    <x v="24"/>
    <s v="整份"/>
    <n v="4.95"/>
    <s v="份"/>
    <n v="19"/>
    <n v="94.05"/>
    <n v="0"/>
    <n v="0"/>
    <n v="0"/>
    <n v="0"/>
    <n v="1"/>
    <n v="4.95"/>
    <n v="0"/>
    <n v="0"/>
    <n v="2.31"/>
    <n v="0"/>
    <n v="18"/>
    <n v="91.12"/>
    <n v="4.33"/>
    <n v="86.79"/>
    <n v="1"/>
  </r>
  <r>
    <s v="2021-06-26"/>
    <s v="Vancouver"/>
    <s v="加拿大二店"/>
    <x v="3"/>
    <x v="11"/>
    <x v="24"/>
    <x v="118"/>
    <x v="129"/>
    <s v="整份"/>
    <n v="5.95"/>
    <s v="份"/>
    <n v="2"/>
    <n v="11.9"/>
    <n v="0"/>
    <n v="0"/>
    <n v="0"/>
    <n v="0"/>
    <n v="0"/>
    <n v="0"/>
    <n v="0"/>
    <n v="0"/>
    <n v="0"/>
    <n v="0"/>
    <n v="2"/>
    <n v="12.49"/>
    <n v="0.59"/>
    <n v="11.9"/>
    <n v="1"/>
  </r>
  <r>
    <s v="2021-06-26"/>
    <s v="Vancouver"/>
    <s v="加拿大二店"/>
    <x v="3"/>
    <x v="11"/>
    <x v="24"/>
    <x v="24"/>
    <x v="25"/>
    <s v="半份"/>
    <n v="2.95"/>
    <s v="份"/>
    <n v="2"/>
    <n v="5.9"/>
    <n v="0"/>
    <n v="0"/>
    <n v="0"/>
    <n v="0"/>
    <n v="0"/>
    <n v="0"/>
    <n v="0"/>
    <n v="0"/>
    <n v="0.59"/>
    <n v="0"/>
    <n v="2"/>
    <n v="5.57"/>
    <n v="0.26"/>
    <n v="5.31"/>
    <n v="0.5"/>
  </r>
  <r>
    <s v="2021-06-26"/>
    <s v="Vancouver"/>
    <s v="加拿大二店"/>
    <x v="3"/>
    <x v="5"/>
    <x v="25"/>
    <x v="25"/>
    <x v="26"/>
    <s v="整份"/>
    <n v="3.95"/>
    <s v="份"/>
    <n v="8"/>
    <n v="31.6"/>
    <n v="0"/>
    <n v="0"/>
    <n v="0"/>
    <n v="0"/>
    <n v="0"/>
    <n v="0"/>
    <n v="0"/>
    <n v="0"/>
    <n v="0.79"/>
    <n v="0"/>
    <n v="8"/>
    <n v="32.35"/>
    <n v="1.54"/>
    <n v="30.81"/>
    <n v="1"/>
  </r>
  <r>
    <s v="2021-06-26"/>
    <s v="Vancouver"/>
    <s v="加拿大二店"/>
    <x v="3"/>
    <x v="11"/>
    <x v="26"/>
    <x v="26"/>
    <x v="27"/>
    <s v="整份"/>
    <n v="4.95"/>
    <s v="份"/>
    <n v="16"/>
    <n v="79.2"/>
    <n v="0"/>
    <n v="0"/>
    <n v="0"/>
    <n v="0"/>
    <n v="0"/>
    <n v="0"/>
    <n v="0"/>
    <n v="0"/>
    <n v="1.4"/>
    <n v="0"/>
    <n v="16"/>
    <n v="81.69"/>
    <n v="3.89"/>
    <n v="77.8"/>
    <n v="1"/>
  </r>
  <r>
    <s v="2021-06-26"/>
    <s v="Vancouver"/>
    <s v="加拿大二店"/>
    <x v="3"/>
    <x v="11"/>
    <x v="26"/>
    <x v="27"/>
    <x v="28"/>
    <s v="半份"/>
    <n v="2.45"/>
    <s v="份"/>
    <n v="15"/>
    <n v="36.75"/>
    <n v="0"/>
    <n v="0"/>
    <n v="0"/>
    <n v="0"/>
    <n v="0"/>
    <n v="0"/>
    <n v="0"/>
    <n v="0"/>
    <n v="0.95"/>
    <n v="0"/>
    <n v="15"/>
    <n v="37.59"/>
    <n v="1.79"/>
    <n v="35.8"/>
    <n v="0.5"/>
  </r>
  <r>
    <s v="2021-06-26"/>
    <s v="Vancouver"/>
    <s v="加拿大二店"/>
    <x v="5"/>
    <x v="12"/>
    <x v="27"/>
    <x v="28"/>
    <x v="29"/>
    <s v="整份"/>
    <n v="7.95"/>
    <s v="份"/>
    <n v="4"/>
    <n v="31.8"/>
    <n v="0"/>
    <n v="0"/>
    <n v="0"/>
    <n v="0"/>
    <n v="0"/>
    <n v="0"/>
    <n v="0"/>
    <n v="0"/>
    <n v="1.59"/>
    <n v="0"/>
    <n v="4"/>
    <n v="31.72"/>
    <n v="1.51"/>
    <n v="30.21"/>
    <n v="1"/>
  </r>
  <r>
    <s v="2021-06-26"/>
    <s v="Vancouver"/>
    <s v="加拿大二店"/>
    <x v="3"/>
    <x v="7"/>
    <x v="28"/>
    <x v="29"/>
    <x v="30"/>
    <s v="整份"/>
    <n v="4.95"/>
    <s v="份"/>
    <n v="23"/>
    <n v="113.85"/>
    <n v="0"/>
    <n v="0"/>
    <n v="0"/>
    <n v="0"/>
    <n v="0"/>
    <n v="0"/>
    <n v="0"/>
    <n v="0"/>
    <n v="2.04"/>
    <n v="0"/>
    <n v="23"/>
    <n v="117.4"/>
    <n v="5.59"/>
    <n v="111.81"/>
    <n v="1"/>
  </r>
  <r>
    <s v="2021-06-26"/>
    <s v="Vancouver"/>
    <s v="加拿大二店"/>
    <x v="2"/>
    <x v="4"/>
    <x v="112"/>
    <x v="106"/>
    <x v="116"/>
    <s v="常温"/>
    <n v="3.95"/>
    <s v="瓶"/>
    <n v="1"/>
    <n v="3.95"/>
    <n v="0"/>
    <n v="0"/>
    <n v="0"/>
    <n v="0"/>
    <n v="0"/>
    <n v="0"/>
    <n v="0"/>
    <n v="0"/>
    <n v="0"/>
    <n v="0"/>
    <n v="1"/>
    <n v="4.42"/>
    <n v="0.47"/>
    <n v="3.95"/>
    <n v="1"/>
  </r>
  <r>
    <s v="2021-06-26"/>
    <s v="Vancouver"/>
    <s v="加拿大二店"/>
    <x v="2"/>
    <x v="4"/>
    <x v="112"/>
    <x v="106"/>
    <x v="116"/>
    <s v="冰镇"/>
    <n v="3.95"/>
    <s v="瓶"/>
    <n v="2"/>
    <n v="7.9"/>
    <n v="0"/>
    <n v="0"/>
    <n v="0"/>
    <n v="0"/>
    <n v="0"/>
    <n v="0"/>
    <n v="0"/>
    <n v="0"/>
    <n v="0"/>
    <n v="0"/>
    <n v="2"/>
    <n v="8.84"/>
    <n v="0.94"/>
    <n v="7.9"/>
    <n v="1"/>
  </r>
  <r>
    <s v="2021-06-26"/>
    <s v="Vancouver"/>
    <s v="加拿大二店"/>
    <x v="3"/>
    <x v="5"/>
    <x v="29"/>
    <x v="30"/>
    <x v="31"/>
    <s v="整份"/>
    <n v="3.95"/>
    <s v="份"/>
    <n v="13"/>
    <n v="51.35"/>
    <n v="1"/>
    <n v="3.95"/>
    <n v="0"/>
    <n v="0"/>
    <n v="0"/>
    <n v="0"/>
    <n v="0"/>
    <n v="0"/>
    <n v="1.68"/>
    <n v="0"/>
    <n v="12"/>
    <n v="48"/>
    <n v="2.28"/>
    <n v="45.72"/>
    <n v="1"/>
  </r>
  <r>
    <s v="2021-06-26"/>
    <s v="Vancouver"/>
    <s v="加拿大二店"/>
    <x v="6"/>
    <x v="13"/>
    <x v="30"/>
    <x v="31"/>
    <x v="32"/>
    <s v="整份"/>
    <n v="4.95"/>
    <s v="份"/>
    <n v="11"/>
    <n v="54.45"/>
    <n v="0"/>
    <n v="0"/>
    <n v="0"/>
    <n v="0"/>
    <n v="0"/>
    <n v="0"/>
    <n v="0"/>
    <n v="0"/>
    <n v="0"/>
    <n v="0"/>
    <n v="11"/>
    <n v="57.17"/>
    <n v="2.72"/>
    <n v="54.45"/>
    <n v="1"/>
  </r>
  <r>
    <s v="2021-06-26"/>
    <s v="Vancouver"/>
    <s v="加拿大二店"/>
    <x v="6"/>
    <x v="13"/>
    <x v="31"/>
    <x v="32"/>
    <x v="33"/>
    <s v="整份"/>
    <n v="9.95"/>
    <s v="份"/>
    <n v="4"/>
    <n v="39.8"/>
    <n v="0"/>
    <n v="0"/>
    <n v="0"/>
    <n v="0"/>
    <n v="0"/>
    <n v="0"/>
    <n v="0"/>
    <n v="0"/>
    <n v="0"/>
    <n v="0"/>
    <n v="4"/>
    <n v="41.79"/>
    <n v="1.99"/>
    <n v="39.8"/>
    <n v="1"/>
  </r>
  <r>
    <s v="2021-06-26"/>
    <s v="Vancouver"/>
    <s v="加拿大二店"/>
    <x v="5"/>
    <x v="12"/>
    <x v="32"/>
    <x v="33"/>
    <x v="34"/>
    <s v="整份"/>
    <n v="17.85"/>
    <s v="份"/>
    <n v="3"/>
    <n v="53.55"/>
    <n v="0"/>
    <n v="0"/>
    <n v="0"/>
    <n v="0"/>
    <n v="0"/>
    <n v="0"/>
    <n v="0"/>
    <n v="0"/>
    <n v="0"/>
    <n v="0"/>
    <n v="3"/>
    <n v="56.22"/>
    <n v="2.67"/>
    <n v="53.55"/>
    <n v="1"/>
  </r>
  <r>
    <s v="2021-06-26"/>
    <s v="Vancouver"/>
    <s v="加拿大二店"/>
    <x v="1"/>
    <x v="3"/>
    <x v="33"/>
    <x v="34"/>
    <x v="35"/>
    <s v="整份"/>
    <n v="11.95"/>
    <s v="份"/>
    <n v="30"/>
    <n v="358.5"/>
    <n v="0"/>
    <n v="0"/>
    <n v="0"/>
    <n v="0"/>
    <n v="1"/>
    <n v="11.95"/>
    <n v="0"/>
    <n v="0"/>
    <n v="16.36"/>
    <n v="0"/>
    <n v="29"/>
    <n v="346.69"/>
    <n v="16.5"/>
    <n v="330.19"/>
    <n v="1"/>
  </r>
  <r>
    <s v="2021-06-26"/>
    <s v="Vancouver"/>
    <s v="加拿大二店"/>
    <x v="5"/>
    <x v="12"/>
    <x v="34"/>
    <x v="35"/>
    <x v="36"/>
    <s v="整份"/>
    <n v="11.95"/>
    <s v="份"/>
    <n v="6"/>
    <n v="71.7"/>
    <n v="0"/>
    <n v="0"/>
    <n v="0"/>
    <n v="0"/>
    <n v="0"/>
    <n v="0"/>
    <n v="0"/>
    <n v="0"/>
    <n v="0"/>
    <n v="0"/>
    <n v="6"/>
    <n v="75.28"/>
    <n v="3.58"/>
    <n v="71.7"/>
    <n v="1"/>
  </r>
  <r>
    <s v="2021-06-26"/>
    <s v="Vancouver"/>
    <s v="加拿大二店"/>
    <x v="5"/>
    <x v="12"/>
    <x v="35"/>
    <x v="36"/>
    <x v="37"/>
    <s v="条"/>
    <n v="4.95"/>
    <s v="条"/>
    <n v="20"/>
    <n v="99"/>
    <n v="3"/>
    <n v="14.85"/>
    <n v="0"/>
    <n v="0"/>
    <n v="1"/>
    <n v="4.95"/>
    <n v="0"/>
    <n v="0.02"/>
    <n v="0.78"/>
    <n v="0"/>
    <n v="16"/>
    <n v="82.32"/>
    <n v="3.92"/>
    <n v="78.4"/>
    <n v="1"/>
  </r>
  <r>
    <s v="2021-06-26"/>
    <s v="Vancouver"/>
    <s v="加拿大二店"/>
    <x v="5"/>
    <x v="12"/>
    <x v="36"/>
    <x v="37"/>
    <x v="38"/>
    <s v="整份"/>
    <n v="13.95"/>
    <s v="份"/>
    <n v="19"/>
    <n v="265.05"/>
    <n v="0"/>
    <n v="0"/>
    <n v="0"/>
    <n v="0"/>
    <n v="2"/>
    <n v="27.9"/>
    <n v="0"/>
    <n v="0"/>
    <n v="12.58"/>
    <n v="0"/>
    <n v="17"/>
    <n v="235.79"/>
    <n v="11.22"/>
    <n v="224.57"/>
    <n v="1"/>
  </r>
  <r>
    <s v="2021-06-26"/>
    <s v="Vancouver"/>
    <s v="加拿大二店"/>
    <x v="5"/>
    <x v="12"/>
    <x v="37"/>
    <x v="38"/>
    <x v="39"/>
    <s v="整份"/>
    <n v="9.95"/>
    <s v="份"/>
    <n v="24"/>
    <n v="238.8"/>
    <n v="0"/>
    <n v="0"/>
    <n v="0"/>
    <n v="0"/>
    <n v="1"/>
    <n v="9.95"/>
    <n v="0"/>
    <n v="0"/>
    <n v="13.94"/>
    <n v="0"/>
    <n v="23"/>
    <n v="225.65"/>
    <n v="10.74"/>
    <n v="214.91"/>
    <n v="1"/>
  </r>
  <r>
    <s v="2021-06-26"/>
    <s v="Vancouver"/>
    <s v="加拿大二店"/>
    <x v="5"/>
    <x v="12"/>
    <x v="38"/>
    <x v="39"/>
    <x v="40"/>
    <s v="整份"/>
    <n v="9.95"/>
    <s v="份"/>
    <n v="8"/>
    <n v="79.6"/>
    <n v="0"/>
    <n v="0"/>
    <n v="0"/>
    <n v="0"/>
    <n v="0"/>
    <n v="0"/>
    <n v="0"/>
    <n v="0"/>
    <n v="0"/>
    <n v="0"/>
    <n v="8"/>
    <n v="83.58"/>
    <n v="3.98"/>
    <n v="79.6"/>
    <n v="1"/>
  </r>
  <r>
    <s v="2021-06-26"/>
    <s v="Vancouver"/>
    <s v="加拿大二店"/>
    <x v="6"/>
    <x v="13"/>
    <x v="39"/>
    <x v="40"/>
    <x v="41"/>
    <s v="整份"/>
    <n v="8.95"/>
    <s v="份"/>
    <n v="14"/>
    <n v="125.3"/>
    <n v="0"/>
    <n v="0"/>
    <n v="0"/>
    <n v="0"/>
    <n v="1"/>
    <n v="8.95"/>
    <n v="0"/>
    <n v="0"/>
    <n v="0.74"/>
    <n v="0"/>
    <n v="13"/>
    <n v="121.39"/>
    <n v="5.78"/>
    <n v="115.61"/>
    <n v="1"/>
  </r>
  <r>
    <s v="2021-06-26"/>
    <s v="Vancouver"/>
    <s v="加拿大二店"/>
    <x v="5"/>
    <x v="12"/>
    <x v="40"/>
    <x v="41"/>
    <x v="42"/>
    <s v="整份"/>
    <n v="9.95"/>
    <s v="份"/>
    <n v="6"/>
    <n v="59.7"/>
    <n v="0"/>
    <n v="0"/>
    <n v="0"/>
    <n v="0"/>
    <n v="0"/>
    <n v="0"/>
    <n v="0"/>
    <n v="0"/>
    <n v="7.66"/>
    <n v="0"/>
    <n v="6"/>
    <n v="54.64"/>
    <n v="2.6"/>
    <n v="52.04"/>
    <n v="1"/>
  </r>
  <r>
    <s v="2021-06-26"/>
    <s v="Vancouver"/>
    <s v="加拿大二店"/>
    <x v="1"/>
    <x v="6"/>
    <x v="131"/>
    <x v="125"/>
    <x v="136"/>
    <s v="整份"/>
    <n v="28.95"/>
    <s v="份"/>
    <n v="3"/>
    <n v="86.85"/>
    <n v="0"/>
    <n v="0"/>
    <n v="0"/>
    <n v="0"/>
    <n v="0"/>
    <n v="0"/>
    <n v="0"/>
    <n v="0"/>
    <n v="0"/>
    <n v="0"/>
    <n v="3"/>
    <n v="92.06"/>
    <n v="5.21"/>
    <n v="86.85"/>
    <n v="1"/>
  </r>
  <r>
    <s v="2021-06-26"/>
    <s v="Vancouver"/>
    <s v="加拿大二店"/>
    <x v="5"/>
    <x v="12"/>
    <x v="41"/>
    <x v="42"/>
    <x v="43"/>
    <s v="整份"/>
    <n v="7.95"/>
    <s v="份"/>
    <n v="10"/>
    <n v="79.5"/>
    <n v="0"/>
    <n v="0"/>
    <n v="0"/>
    <n v="0"/>
    <n v="0"/>
    <n v="0"/>
    <n v="0"/>
    <n v="0"/>
    <n v="5.89"/>
    <n v="0"/>
    <n v="10"/>
    <n v="77.29"/>
    <n v="3.68"/>
    <n v="73.61"/>
    <n v="1"/>
  </r>
  <r>
    <s v="2021-06-26"/>
    <s v="Vancouver"/>
    <s v="加拿大二店"/>
    <x v="3"/>
    <x v="5"/>
    <x v="43"/>
    <x v="44"/>
    <x v="45"/>
    <s v="整份"/>
    <n v="3.95"/>
    <s v="份"/>
    <n v="4"/>
    <n v="15.8"/>
    <n v="0"/>
    <n v="0"/>
    <n v="0"/>
    <n v="0"/>
    <n v="0"/>
    <n v="0"/>
    <n v="0"/>
    <n v="0"/>
    <n v="0"/>
    <n v="0"/>
    <n v="4"/>
    <n v="16.59"/>
    <n v="0.79"/>
    <n v="15.8"/>
    <n v="1"/>
  </r>
  <r>
    <s v="2021-06-26"/>
    <s v="Vancouver"/>
    <s v="加拿大二店"/>
    <x v="7"/>
    <x v="14"/>
    <x v="44"/>
    <x v="45"/>
    <x v="46"/>
    <s v="整份"/>
    <n v="0"/>
    <s v="份"/>
    <n v="14"/>
    <n v="0"/>
    <n v="0"/>
    <n v="0"/>
    <n v="0"/>
    <n v="0"/>
    <n v="0"/>
    <n v="0"/>
    <n v="0"/>
    <n v="0"/>
    <n v="0"/>
    <n v="0"/>
    <n v="14"/>
    <n v="0"/>
    <n v="0"/>
    <n v="0"/>
    <n v="1"/>
  </r>
  <r>
    <s v="2021-06-26"/>
    <s v="Vancouver"/>
    <s v="加拿大二店"/>
    <x v="7"/>
    <x v="14"/>
    <x v="45"/>
    <x v="46"/>
    <x v="47"/>
    <s v="整份"/>
    <n v="4.98"/>
    <s v="份"/>
    <n v="1"/>
    <n v="4.98"/>
    <n v="0"/>
    <n v="0"/>
    <n v="0"/>
    <n v="0"/>
    <n v="0"/>
    <n v="0"/>
    <n v="0"/>
    <n v="0"/>
    <n v="2.55"/>
    <n v="0"/>
    <n v="1"/>
    <n v="2.55"/>
    <n v="0.12"/>
    <n v="2.43"/>
    <n v="1"/>
  </r>
  <r>
    <s v="2021-06-26"/>
    <s v="Vancouver"/>
    <s v="加拿大二店"/>
    <x v="7"/>
    <x v="14"/>
    <x v="45"/>
    <x v="46"/>
    <x v="47"/>
    <s v="整份"/>
    <n v="6"/>
    <s v="份"/>
    <n v="1"/>
    <n v="6"/>
    <n v="0"/>
    <n v="0"/>
    <n v="0"/>
    <n v="0"/>
    <n v="0"/>
    <n v="0"/>
    <n v="0"/>
    <n v="0"/>
    <n v="0"/>
    <n v="0"/>
    <n v="1"/>
    <n v="6.3"/>
    <n v="0.3"/>
    <n v="6"/>
    <n v="1"/>
  </r>
  <r>
    <s v="2021-06-26"/>
    <s v="Vancouver"/>
    <s v="加拿大二店"/>
    <x v="7"/>
    <x v="14"/>
    <x v="45"/>
    <x v="46"/>
    <x v="47"/>
    <s v="整份"/>
    <n v="9.99"/>
    <s v="份"/>
    <n v="2"/>
    <n v="19.98"/>
    <n v="0"/>
    <n v="0"/>
    <n v="0"/>
    <n v="0"/>
    <n v="0"/>
    <n v="0"/>
    <n v="0"/>
    <n v="-0.02"/>
    <n v="0"/>
    <n v="0"/>
    <n v="2"/>
    <n v="21"/>
    <n v="1"/>
    <n v="20"/>
    <n v="1"/>
  </r>
  <r>
    <s v="2021-06-26"/>
    <s v="Vancouver"/>
    <s v="加拿大二店"/>
    <x v="7"/>
    <x v="14"/>
    <x v="45"/>
    <x v="46"/>
    <x v="47"/>
    <s v="整份"/>
    <n v="12.99"/>
    <s v="份"/>
    <n v="1"/>
    <n v="12.99"/>
    <n v="0"/>
    <n v="0"/>
    <n v="0"/>
    <n v="0"/>
    <n v="0"/>
    <n v="0"/>
    <n v="0"/>
    <n v="-0.02"/>
    <n v="0"/>
    <n v="0"/>
    <n v="1"/>
    <n v="13.66"/>
    <n v="0.65"/>
    <n v="13.01"/>
    <n v="1"/>
  </r>
  <r>
    <s v="2021-06-26"/>
    <s v="Vancouver"/>
    <s v="加拿大二店"/>
    <x v="7"/>
    <x v="14"/>
    <x v="45"/>
    <x v="46"/>
    <x v="47"/>
    <s v="整份"/>
    <n v="14.96"/>
    <s v="份"/>
    <n v="1"/>
    <n v="14.96"/>
    <n v="0"/>
    <n v="0"/>
    <n v="0"/>
    <n v="0"/>
    <n v="0"/>
    <n v="0"/>
    <n v="0"/>
    <n v="0.01"/>
    <n v="0"/>
    <n v="0"/>
    <n v="1"/>
    <n v="15.69"/>
    <n v="0.74"/>
    <n v="14.95"/>
    <n v="1"/>
  </r>
  <r>
    <s v="2021-06-26"/>
    <s v="Vancouver"/>
    <s v="加拿大二店"/>
    <x v="7"/>
    <x v="14"/>
    <x v="45"/>
    <x v="46"/>
    <x v="47"/>
    <s v="整份"/>
    <n v="14.99"/>
    <s v="份"/>
    <n v="1"/>
    <n v="14.99"/>
    <n v="0"/>
    <n v="0"/>
    <n v="0"/>
    <n v="0"/>
    <n v="0"/>
    <n v="0"/>
    <n v="0"/>
    <n v="-0.01"/>
    <n v="0"/>
    <n v="0"/>
    <n v="1"/>
    <n v="15.75"/>
    <n v="0.75"/>
    <n v="15"/>
    <n v="1"/>
  </r>
  <r>
    <s v="2021-06-26"/>
    <s v="Vancouver"/>
    <s v="加拿大二店"/>
    <x v="7"/>
    <x v="14"/>
    <x v="45"/>
    <x v="46"/>
    <x v="47"/>
    <s v="整份"/>
    <n v="26.25"/>
    <s v="份"/>
    <n v="1"/>
    <n v="26.25"/>
    <n v="0"/>
    <n v="0"/>
    <n v="0"/>
    <n v="0"/>
    <n v="0"/>
    <n v="0"/>
    <n v="0"/>
    <n v="-0.02"/>
    <n v="0"/>
    <n v="0"/>
    <n v="1"/>
    <n v="27.58"/>
    <n v="1.31"/>
    <n v="26.27"/>
    <n v="1"/>
  </r>
  <r>
    <s v="2021-06-26"/>
    <s v="Vancouver"/>
    <s v="加拿大二店"/>
    <x v="7"/>
    <x v="14"/>
    <x v="45"/>
    <x v="46"/>
    <x v="47"/>
    <s v="整份"/>
    <n v="28.95"/>
    <s v="份"/>
    <n v="2"/>
    <n v="57.9"/>
    <n v="0"/>
    <n v="0"/>
    <n v="0"/>
    <n v="0"/>
    <n v="0"/>
    <n v="0"/>
    <n v="0"/>
    <n v="0.01"/>
    <n v="14.82"/>
    <n v="0"/>
    <n v="2"/>
    <n v="45.22"/>
    <n v="2.15"/>
    <n v="43.07"/>
    <n v="1"/>
  </r>
  <r>
    <s v="2021-06-26"/>
    <s v="Vancouver"/>
    <s v="加拿大二店"/>
    <x v="7"/>
    <x v="14"/>
    <x v="45"/>
    <x v="46"/>
    <x v="47"/>
    <s v="整份"/>
    <n v="29.2"/>
    <s v="份"/>
    <n v="1"/>
    <n v="29.2"/>
    <n v="0"/>
    <n v="0"/>
    <n v="0"/>
    <n v="0"/>
    <n v="0"/>
    <n v="0"/>
    <n v="0"/>
    <n v="0"/>
    <n v="0"/>
    <n v="0"/>
    <n v="1"/>
    <n v="30.66"/>
    <n v="1.46"/>
    <n v="29.2"/>
    <n v="1"/>
  </r>
  <r>
    <s v="2021-06-26"/>
    <s v="Vancouver"/>
    <s v="加拿大二店"/>
    <x v="7"/>
    <x v="14"/>
    <x v="45"/>
    <x v="46"/>
    <x v="47"/>
    <s v="整份"/>
    <n v="35.14"/>
    <s v="份"/>
    <n v="1"/>
    <n v="35.14"/>
    <n v="0"/>
    <n v="0"/>
    <n v="0"/>
    <n v="0"/>
    <n v="0"/>
    <n v="0"/>
    <n v="0"/>
    <n v="0.01"/>
    <n v="0"/>
    <n v="0"/>
    <n v="1"/>
    <n v="36.88"/>
    <n v="1.75"/>
    <n v="35.13"/>
    <n v="1"/>
  </r>
  <r>
    <s v="2021-06-26"/>
    <s v="Vancouver"/>
    <s v="加拿大二店"/>
    <x v="7"/>
    <x v="14"/>
    <x v="45"/>
    <x v="46"/>
    <x v="47"/>
    <s v="整份"/>
    <n v="35.6"/>
    <s v="份"/>
    <n v="1"/>
    <n v="35.6"/>
    <n v="0"/>
    <n v="0"/>
    <n v="0"/>
    <n v="0"/>
    <n v="0"/>
    <n v="0"/>
    <n v="0"/>
    <n v="0.01"/>
    <n v="0"/>
    <n v="0"/>
    <n v="1"/>
    <n v="37.36"/>
    <n v="1.77"/>
    <n v="35.59"/>
    <n v="1"/>
  </r>
  <r>
    <s v="2021-06-26"/>
    <s v="Vancouver"/>
    <s v="加拿大二店"/>
    <x v="7"/>
    <x v="14"/>
    <x v="45"/>
    <x v="46"/>
    <x v="47"/>
    <s v="整份"/>
    <n v="38.9"/>
    <s v="份"/>
    <n v="1"/>
    <n v="38.9"/>
    <n v="0"/>
    <n v="0"/>
    <n v="0"/>
    <n v="0"/>
    <n v="0"/>
    <n v="0"/>
    <n v="0"/>
    <n v="0.02"/>
    <n v="0"/>
    <n v="0"/>
    <n v="1"/>
    <n v="40.82"/>
    <n v="1.94"/>
    <n v="38.88"/>
    <n v="1"/>
  </r>
  <r>
    <s v="2021-06-26"/>
    <s v="Vancouver"/>
    <s v="加拿大二店"/>
    <x v="7"/>
    <x v="14"/>
    <x v="45"/>
    <x v="46"/>
    <x v="47"/>
    <s v="整份"/>
    <n v="59.8"/>
    <s v="份"/>
    <n v="1"/>
    <n v="59.8"/>
    <n v="0"/>
    <n v="0"/>
    <n v="0"/>
    <n v="0"/>
    <n v="0"/>
    <n v="0"/>
    <n v="0"/>
    <n v="0.02"/>
    <n v="0"/>
    <n v="0"/>
    <n v="1"/>
    <n v="62.76"/>
    <n v="2.98"/>
    <n v="59.78"/>
    <n v="1"/>
  </r>
  <r>
    <s v="2021-06-26"/>
    <s v="Vancouver"/>
    <s v="加拿大二店"/>
    <x v="7"/>
    <x v="14"/>
    <x v="45"/>
    <x v="46"/>
    <x v="47"/>
    <s v="整份"/>
    <n v="128.95"/>
    <s v="份"/>
    <n v="1"/>
    <n v="128.95"/>
    <n v="0"/>
    <n v="0"/>
    <n v="0"/>
    <n v="0"/>
    <n v="0"/>
    <n v="0"/>
    <n v="0"/>
    <n v="-0.02"/>
    <n v="0"/>
    <n v="0"/>
    <n v="1"/>
    <n v="135.41"/>
    <n v="6.44"/>
    <n v="128.97"/>
    <n v="1"/>
  </r>
  <r>
    <s v="2021-06-26"/>
    <s v="Vancouver"/>
    <s v="加拿大二店"/>
    <x v="7"/>
    <x v="14"/>
    <x v="45"/>
    <x v="46"/>
    <x v="47"/>
    <s v="整份"/>
    <n v="227.68"/>
    <s v="份"/>
    <n v="1"/>
    <n v="227.68"/>
    <n v="0"/>
    <n v="0"/>
    <n v="0"/>
    <n v="0"/>
    <n v="0"/>
    <n v="0"/>
    <n v="0"/>
    <n v="0.02"/>
    <n v="0"/>
    <n v="0"/>
    <n v="1"/>
    <n v="239.04"/>
    <n v="11.38"/>
    <n v="227.66"/>
    <n v="1"/>
  </r>
  <r>
    <s v="2021-06-26"/>
    <s v="Vancouver"/>
    <s v="加拿大二店"/>
    <x v="2"/>
    <x v="4"/>
    <x v="47"/>
    <x v="48"/>
    <x v="49"/>
    <s v="冰镇"/>
    <n v="2.95"/>
    <s v="听"/>
    <n v="5"/>
    <n v="14.75"/>
    <n v="0"/>
    <n v="0"/>
    <n v="0"/>
    <n v="0"/>
    <n v="0"/>
    <n v="0"/>
    <n v="0"/>
    <n v="0"/>
    <n v="0"/>
    <n v="0"/>
    <n v="5"/>
    <n v="16.52"/>
    <n v="1.77"/>
    <n v="14.75"/>
    <n v="1"/>
  </r>
  <r>
    <s v="2021-06-26"/>
    <s v="Vancouver"/>
    <s v="加拿大二店"/>
    <x v="6"/>
    <x v="13"/>
    <x v="48"/>
    <x v="49"/>
    <x v="50"/>
    <s v="整份"/>
    <n v="4.95"/>
    <s v="份"/>
    <n v="7"/>
    <n v="34.65"/>
    <n v="0"/>
    <n v="0"/>
    <n v="0"/>
    <n v="0"/>
    <n v="0"/>
    <n v="0"/>
    <n v="0"/>
    <n v="0"/>
    <n v="0"/>
    <n v="0"/>
    <n v="7"/>
    <n v="36.38"/>
    <n v="1.73"/>
    <n v="34.65"/>
    <n v="1"/>
  </r>
  <r>
    <s v="2021-06-26"/>
    <s v="Vancouver"/>
    <s v="加拿大二店"/>
    <x v="3"/>
    <x v="7"/>
    <x v="49"/>
    <x v="50"/>
    <x v="51"/>
    <s v="整份"/>
    <n v="4.95"/>
    <s v="份"/>
    <n v="5"/>
    <n v="24.75"/>
    <n v="0"/>
    <n v="0"/>
    <n v="0"/>
    <n v="0"/>
    <n v="0"/>
    <n v="0"/>
    <n v="0"/>
    <n v="0"/>
    <n v="0"/>
    <n v="0"/>
    <n v="5"/>
    <n v="25.98"/>
    <n v="1.23"/>
    <n v="24.75"/>
    <n v="1"/>
  </r>
  <r>
    <s v="2021-06-26"/>
    <s v="Vancouver"/>
    <s v="加拿大二店"/>
    <x v="6"/>
    <x v="15"/>
    <x v="50"/>
    <x v="51"/>
    <x v="52"/>
    <s v="份"/>
    <n v="8.95"/>
    <s v="份"/>
    <n v="2"/>
    <n v="17.9"/>
    <n v="0"/>
    <n v="0"/>
    <n v="0"/>
    <n v="0"/>
    <n v="0"/>
    <n v="0"/>
    <n v="0"/>
    <n v="0"/>
    <n v="0.63"/>
    <n v="0"/>
    <n v="2"/>
    <n v="18.13"/>
    <n v="0.86"/>
    <n v="17.27"/>
    <n v="1"/>
  </r>
  <r>
    <s v="2021-06-26"/>
    <s v="Vancouver"/>
    <s v="加拿大二店"/>
    <x v="3"/>
    <x v="5"/>
    <x v="51"/>
    <x v="52"/>
    <x v="53"/>
    <s v="整份"/>
    <n v="3.95"/>
    <s v="份"/>
    <n v="7"/>
    <n v="27.65"/>
    <n v="0"/>
    <n v="0"/>
    <n v="0"/>
    <n v="0"/>
    <n v="0"/>
    <n v="0"/>
    <n v="0"/>
    <n v="0"/>
    <n v="0.44"/>
    <n v="0"/>
    <n v="7"/>
    <n v="28.57"/>
    <n v="1.36"/>
    <n v="27.21"/>
    <n v="1"/>
  </r>
  <r>
    <s v="2021-06-26"/>
    <s v="Vancouver"/>
    <s v="加拿大二店"/>
    <x v="3"/>
    <x v="5"/>
    <x v="52"/>
    <x v="53"/>
    <x v="54"/>
    <s v="整份"/>
    <n v="5.95"/>
    <s v="份"/>
    <n v="7"/>
    <n v="41.65"/>
    <n v="0"/>
    <n v="0"/>
    <n v="0"/>
    <n v="0"/>
    <n v="1"/>
    <n v="5.95"/>
    <n v="0"/>
    <n v="0"/>
    <n v="0.85"/>
    <n v="0"/>
    <n v="6"/>
    <n v="36.59"/>
    <n v="1.74"/>
    <n v="34.85"/>
    <n v="1"/>
  </r>
  <r>
    <s v="2021-06-26"/>
    <s v="Vancouver"/>
    <s v="加拿大二店"/>
    <x v="4"/>
    <x v="9"/>
    <x v="53"/>
    <x v="0"/>
    <x v="55"/>
    <s v="拼锅"/>
    <n v="0"/>
    <s v="锅"/>
    <n v="7"/>
    <n v="0"/>
    <n v="0"/>
    <n v="0"/>
    <n v="0"/>
    <n v="0"/>
    <n v="0"/>
    <n v="0"/>
    <n v="0"/>
    <n v="-0.01"/>
    <n v="0"/>
    <n v="0"/>
    <n v="7"/>
    <n v="0.01"/>
    <n v="0"/>
    <n v="0.01"/>
    <n v="2"/>
  </r>
  <r>
    <s v="2021-06-26"/>
    <s v="Vancouver"/>
    <s v="加拿大二店"/>
    <x v="4"/>
    <x v="10"/>
    <x v="53"/>
    <x v="0"/>
    <x v="55"/>
    <s v="四宫格"/>
    <n v="0"/>
    <s v="锅"/>
    <n v="27"/>
    <n v="0"/>
    <n v="2"/>
    <n v="0"/>
    <n v="0"/>
    <n v="0"/>
    <n v="0"/>
    <n v="0"/>
    <n v="0"/>
    <n v="0.01"/>
    <n v="0"/>
    <n v="0"/>
    <n v="25"/>
    <n v="-0.01"/>
    <n v="-0.01"/>
    <n v="0"/>
    <n v="1"/>
  </r>
  <r>
    <s v="2021-06-26"/>
    <s v="Vancouver"/>
    <s v="加拿大二店"/>
    <x v="6"/>
    <x v="13"/>
    <x v="54"/>
    <x v="54"/>
    <x v="56"/>
    <s v="个"/>
    <n v="1.95"/>
    <s v="个"/>
    <n v="6"/>
    <n v="11.7"/>
    <n v="0"/>
    <n v="0"/>
    <n v="0"/>
    <n v="0"/>
    <n v="0"/>
    <n v="0"/>
    <n v="0"/>
    <n v="0"/>
    <n v="0"/>
    <n v="0"/>
    <n v="6"/>
    <n v="12.28"/>
    <n v="0.58"/>
    <n v="11.7"/>
    <n v="1"/>
  </r>
  <r>
    <s v="2021-06-26"/>
    <s v="Vancouver"/>
    <s v="加拿大二店"/>
    <x v="6"/>
    <x v="13"/>
    <x v="114"/>
    <x v="108"/>
    <x v="118"/>
    <s v="整份"/>
    <n v="7.95"/>
    <s v="份"/>
    <n v="4"/>
    <n v="31.8"/>
    <n v="1"/>
    <n v="7.95"/>
    <n v="0"/>
    <n v="0"/>
    <n v="0"/>
    <n v="0"/>
    <n v="0"/>
    <n v="0"/>
    <n v="0.56"/>
    <n v="0"/>
    <n v="3"/>
    <n v="24.45"/>
    <n v="1.16"/>
    <n v="23.29"/>
    <n v="1"/>
  </r>
  <r>
    <s v="2021-06-26"/>
    <s v="Vancouver"/>
    <s v="加拿大二店"/>
    <x v="2"/>
    <x v="21"/>
    <x v="136"/>
    <x v="130"/>
    <x v="141"/>
    <s v="小瓶"/>
    <n v="10.95"/>
    <s v="小瓶"/>
    <n v="1"/>
    <n v="10.95"/>
    <n v="0"/>
    <n v="0"/>
    <n v="0"/>
    <n v="0"/>
    <n v="0"/>
    <n v="0"/>
    <n v="0"/>
    <n v="0"/>
    <n v="0"/>
    <n v="0"/>
    <n v="1"/>
    <n v="12.59"/>
    <n v="1.64"/>
    <n v="10.95"/>
    <n v="1"/>
  </r>
  <r>
    <s v="2021-06-26"/>
    <s v="Vancouver"/>
    <s v="加拿大二店"/>
    <x v="1"/>
    <x v="8"/>
    <x v="55"/>
    <x v="55"/>
    <x v="57"/>
    <s v="整份"/>
    <n v="9.95"/>
    <s v="份"/>
    <n v="13"/>
    <n v="129.35"/>
    <n v="0"/>
    <n v="0"/>
    <n v="0"/>
    <n v="0"/>
    <n v="2"/>
    <n v="19.9"/>
    <n v="0"/>
    <n v="0"/>
    <n v="6.52"/>
    <n v="0"/>
    <n v="11"/>
    <n v="108.07"/>
    <n v="5.14"/>
    <n v="102.93"/>
    <n v="1"/>
  </r>
  <r>
    <s v="2021-06-26"/>
    <s v="Vancouver"/>
    <s v="加拿大二店"/>
    <x v="1"/>
    <x v="1"/>
    <x v="56"/>
    <x v="56"/>
    <x v="58"/>
    <s v="整份"/>
    <n v="12.95"/>
    <s v="份"/>
    <n v="21"/>
    <n v="271.95"/>
    <n v="0"/>
    <n v="0"/>
    <n v="0"/>
    <n v="0"/>
    <n v="0"/>
    <n v="0"/>
    <n v="0"/>
    <n v="0.01"/>
    <n v="4.79"/>
    <n v="0"/>
    <n v="21"/>
    <n v="280.5"/>
    <n v="13.35"/>
    <n v="267.15"/>
    <n v="1"/>
  </r>
  <r>
    <s v="2021-06-26"/>
    <s v="Vancouver"/>
    <s v="加拿大二店"/>
    <x v="1"/>
    <x v="1"/>
    <x v="57"/>
    <x v="57"/>
    <x v="59"/>
    <s v="整份"/>
    <n v="11.95"/>
    <s v="份"/>
    <n v="42"/>
    <n v="501.9"/>
    <n v="0"/>
    <n v="0"/>
    <n v="0"/>
    <n v="0"/>
    <n v="5"/>
    <n v="59.75"/>
    <n v="0"/>
    <n v="0"/>
    <n v="2.39"/>
    <n v="0"/>
    <n v="37"/>
    <n v="461.74"/>
    <n v="21.98"/>
    <n v="439.76"/>
    <n v="1"/>
  </r>
  <r>
    <s v="2021-06-26"/>
    <s v="Vancouver"/>
    <s v="加拿大二店"/>
    <x v="4"/>
    <x v="16"/>
    <x v="58"/>
    <x v="0"/>
    <x v="60"/>
    <s v="单锅"/>
    <n v="16.95"/>
    <s v="锅"/>
    <n v="6"/>
    <n v="101.7"/>
    <n v="0"/>
    <n v="0"/>
    <n v="0"/>
    <n v="0"/>
    <n v="0"/>
    <n v="0"/>
    <n v="0"/>
    <n v="-0.03"/>
    <n v="2"/>
    <n v="0"/>
    <n v="6"/>
    <n v="104.71"/>
    <n v="4.98"/>
    <n v="99.73"/>
    <n v="4"/>
  </r>
  <r>
    <s v="2021-06-26"/>
    <s v="Vancouver"/>
    <s v="加拿大二店"/>
    <x v="4"/>
    <x v="9"/>
    <x v="58"/>
    <x v="0"/>
    <x v="60"/>
    <s v="拼锅"/>
    <n v="8.95"/>
    <s v="锅"/>
    <n v="11"/>
    <n v="98.45"/>
    <n v="0"/>
    <n v="0"/>
    <n v="0"/>
    <n v="0"/>
    <n v="0"/>
    <n v="0"/>
    <n v="0"/>
    <n v="0.02"/>
    <n v="0"/>
    <n v="0"/>
    <n v="11"/>
    <n v="103.35"/>
    <n v="4.92"/>
    <n v="98.43"/>
    <n v="2"/>
  </r>
  <r>
    <s v="2021-06-26"/>
    <s v="Vancouver"/>
    <s v="加拿大二店"/>
    <x v="4"/>
    <x v="10"/>
    <x v="58"/>
    <x v="0"/>
    <x v="60"/>
    <s v="四宫格"/>
    <n v="4.95"/>
    <s v="锅"/>
    <n v="16"/>
    <n v="79.2"/>
    <n v="1"/>
    <n v="4.95"/>
    <n v="0"/>
    <n v="0"/>
    <n v="1"/>
    <n v="4.95"/>
    <n v="0"/>
    <n v="0"/>
    <n v="0.35"/>
    <n v="0"/>
    <n v="14"/>
    <n v="72.39"/>
    <n v="3.44"/>
    <n v="68.95"/>
    <n v="1"/>
  </r>
  <r>
    <s v="2021-06-26"/>
    <s v="Vancouver"/>
    <s v="加拿大二店"/>
    <x v="2"/>
    <x v="21"/>
    <x v="115"/>
    <x v="109"/>
    <x v="119"/>
    <s v="瓶"/>
    <n v="49.95"/>
    <s v="瓶"/>
    <n v="1"/>
    <n v="49.95"/>
    <n v="0"/>
    <n v="0"/>
    <n v="0"/>
    <n v="0"/>
    <n v="0"/>
    <n v="0"/>
    <n v="0"/>
    <n v="0"/>
    <n v="0"/>
    <n v="0"/>
    <n v="1"/>
    <n v="57.44"/>
    <n v="7.49"/>
    <n v="49.95"/>
    <n v="1"/>
  </r>
  <r>
    <s v="2021-06-26"/>
    <s v="Vancouver"/>
    <s v="加拿大二店"/>
    <x v="3"/>
    <x v="5"/>
    <x v="59"/>
    <x v="58"/>
    <x v="61"/>
    <s v="整份"/>
    <n v="4.95"/>
    <s v="份"/>
    <n v="3"/>
    <n v="14.85"/>
    <n v="0"/>
    <n v="0"/>
    <n v="0"/>
    <n v="0"/>
    <n v="0"/>
    <n v="0"/>
    <n v="0"/>
    <n v="0"/>
    <n v="0"/>
    <n v="0"/>
    <n v="3"/>
    <n v="15.59"/>
    <n v="0.74"/>
    <n v="14.85"/>
    <n v="1"/>
  </r>
  <r>
    <s v="2021-06-26"/>
    <s v="Vancouver"/>
    <s v="加拿大二店"/>
    <x v="2"/>
    <x v="4"/>
    <x v="60"/>
    <x v="59"/>
    <x v="62"/>
    <s v="冰镇"/>
    <n v="6.95"/>
    <s v="扎"/>
    <n v="2"/>
    <n v="13.9"/>
    <n v="0"/>
    <n v="0"/>
    <n v="0"/>
    <n v="0"/>
    <n v="0"/>
    <n v="0"/>
    <n v="0"/>
    <n v="0"/>
    <n v="0"/>
    <n v="0"/>
    <n v="2"/>
    <n v="15.56"/>
    <n v="1.66"/>
    <n v="13.9"/>
    <n v="1"/>
  </r>
  <r>
    <s v="2021-06-26"/>
    <s v="Vancouver"/>
    <s v="加拿大二店"/>
    <x v="6"/>
    <x v="13"/>
    <x v="61"/>
    <x v="60"/>
    <x v="63"/>
    <s v="整份"/>
    <n v="3.95"/>
    <s v="包"/>
    <n v="13"/>
    <n v="51.35"/>
    <n v="0"/>
    <n v="0"/>
    <n v="0"/>
    <n v="0"/>
    <n v="2"/>
    <n v="7.9"/>
    <n v="0"/>
    <n v="0"/>
    <n v="0"/>
    <n v="0"/>
    <n v="11"/>
    <n v="45.62"/>
    <n v="2.17"/>
    <n v="43.45"/>
    <n v="1"/>
  </r>
  <r>
    <s v="2021-06-26"/>
    <s v="Vancouver"/>
    <s v="加拿大二店"/>
    <x v="1"/>
    <x v="8"/>
    <x v="116"/>
    <x v="110"/>
    <x v="120"/>
    <s v="个"/>
    <n v="0.95"/>
    <s v="个"/>
    <n v="3"/>
    <n v="2.85"/>
    <n v="0"/>
    <n v="0"/>
    <n v="0"/>
    <n v="0"/>
    <n v="0"/>
    <n v="0"/>
    <n v="0"/>
    <n v="0"/>
    <n v="0.19"/>
    <n v="0"/>
    <n v="3"/>
    <n v="2.79"/>
    <n v="0.13"/>
    <n v="2.66"/>
    <n v="1"/>
  </r>
  <r>
    <s v="2021-06-26"/>
    <s v="Vancouver"/>
    <s v="加拿大二店"/>
    <x v="4"/>
    <x v="16"/>
    <x v="62"/>
    <x v="0"/>
    <x v="64"/>
    <s v="单锅"/>
    <n v="16.95"/>
    <s v="锅"/>
    <n v="1"/>
    <n v="16.95"/>
    <n v="0"/>
    <n v="0"/>
    <n v="0"/>
    <n v="0"/>
    <n v="0"/>
    <n v="0"/>
    <n v="0"/>
    <n v="-0.01"/>
    <n v="0"/>
    <n v="0"/>
    <n v="1"/>
    <n v="17.8"/>
    <n v="0.84"/>
    <n v="16.96"/>
    <n v="4"/>
  </r>
  <r>
    <s v="2021-06-26"/>
    <s v="Vancouver"/>
    <s v="加拿大二店"/>
    <x v="4"/>
    <x v="9"/>
    <x v="62"/>
    <x v="0"/>
    <x v="64"/>
    <s v="拼锅"/>
    <n v="8.95"/>
    <s v="锅"/>
    <n v="18"/>
    <n v="161.1"/>
    <n v="1"/>
    <n v="8.95"/>
    <n v="0"/>
    <n v="0"/>
    <n v="0"/>
    <n v="0"/>
    <n v="0"/>
    <n v="0.03"/>
    <n v="0"/>
    <n v="0"/>
    <n v="17"/>
    <n v="159.72"/>
    <n v="7.6"/>
    <n v="152.12"/>
    <n v="2"/>
  </r>
  <r>
    <s v="2021-06-26"/>
    <s v="Vancouver"/>
    <s v="加拿大二店"/>
    <x v="4"/>
    <x v="10"/>
    <x v="62"/>
    <x v="0"/>
    <x v="64"/>
    <s v="四宫格"/>
    <n v="4.95"/>
    <s v="锅"/>
    <n v="22"/>
    <n v="108.9"/>
    <n v="4"/>
    <n v="19.8"/>
    <n v="0"/>
    <n v="0"/>
    <n v="0"/>
    <n v="0"/>
    <n v="0"/>
    <n v="0"/>
    <n v="0.7"/>
    <n v="0"/>
    <n v="18"/>
    <n v="92.82"/>
    <n v="4.42"/>
    <n v="88.4"/>
    <n v="1"/>
  </r>
  <r>
    <s v="2021-06-26"/>
    <s v="Vancouver"/>
    <s v="加拿大二店"/>
    <x v="6"/>
    <x v="13"/>
    <x v="63"/>
    <x v="61"/>
    <x v="65"/>
    <s v="整份"/>
    <n v="1.5"/>
    <s v="碗"/>
    <n v="24"/>
    <n v="36"/>
    <n v="0"/>
    <n v="0"/>
    <n v="0"/>
    <n v="0"/>
    <n v="0"/>
    <n v="0"/>
    <n v="0"/>
    <n v="0"/>
    <n v="0"/>
    <n v="0"/>
    <n v="24"/>
    <n v="37.8"/>
    <n v="1.8"/>
    <n v="36"/>
    <n v="1"/>
  </r>
  <r>
    <s v="2021-06-26"/>
    <s v="Vancouver"/>
    <s v="加拿大二店"/>
    <x v="3"/>
    <x v="5"/>
    <x v="64"/>
    <x v="62"/>
    <x v="66"/>
    <s v="整份"/>
    <n v="3.95"/>
    <s v="份"/>
    <n v="6"/>
    <n v="23.7"/>
    <n v="0"/>
    <n v="0"/>
    <n v="0"/>
    <n v="0"/>
    <n v="0"/>
    <n v="0"/>
    <n v="0"/>
    <n v="0"/>
    <n v="0.74"/>
    <n v="0"/>
    <n v="6"/>
    <n v="24.1"/>
    <n v="1.14"/>
    <n v="22.96"/>
    <n v="1"/>
  </r>
  <r>
    <s v="2021-06-26"/>
    <s v="Vancouver"/>
    <s v="加拿大二店"/>
    <x v="2"/>
    <x v="19"/>
    <x v="126"/>
    <x v="120"/>
    <x v="131"/>
    <s v="小瓶"/>
    <n v="16.95"/>
    <s v="小瓶"/>
    <n v="1"/>
    <n v="16.95"/>
    <n v="0"/>
    <n v="0"/>
    <n v="0"/>
    <n v="0"/>
    <n v="0"/>
    <n v="0"/>
    <n v="0"/>
    <n v="0"/>
    <n v="0"/>
    <n v="0"/>
    <n v="1"/>
    <n v="19.49"/>
    <n v="2.54"/>
    <n v="16.95"/>
    <n v="1"/>
  </r>
  <r>
    <s v="2021-06-26"/>
    <s v="Vancouver"/>
    <s v="加拿大二店"/>
    <x v="2"/>
    <x v="4"/>
    <x v="65"/>
    <x v="63"/>
    <x v="67"/>
    <s v="扎"/>
    <n v="8.95"/>
    <s v="扎"/>
    <n v="2"/>
    <n v="17.9"/>
    <n v="0"/>
    <n v="0"/>
    <n v="0"/>
    <n v="0"/>
    <n v="0"/>
    <n v="0"/>
    <n v="0"/>
    <n v="-0.01"/>
    <n v="0"/>
    <n v="0"/>
    <n v="2"/>
    <n v="20.05"/>
    <n v="2.14"/>
    <n v="17.91"/>
    <n v="1"/>
  </r>
  <r>
    <s v="2021-06-26"/>
    <s v="Vancouver"/>
    <s v="加拿大二店"/>
    <x v="2"/>
    <x v="4"/>
    <x v="66"/>
    <x v="64"/>
    <x v="68"/>
    <s v="扎"/>
    <n v="11.95"/>
    <s v="扎"/>
    <n v="4"/>
    <n v="47.8"/>
    <n v="0"/>
    <n v="0"/>
    <n v="0"/>
    <n v="0"/>
    <n v="1"/>
    <n v="11.95"/>
    <n v="0"/>
    <n v="-0.01"/>
    <n v="0.84"/>
    <n v="0"/>
    <n v="3"/>
    <n v="39.22"/>
    <n v="4.2"/>
    <n v="35.02"/>
    <n v="1"/>
  </r>
  <r>
    <s v="2021-06-26"/>
    <s v="Vancouver"/>
    <s v="加拿大二店"/>
    <x v="3"/>
    <x v="5"/>
    <x v="134"/>
    <x v="128"/>
    <x v="139"/>
    <s v="整份"/>
    <n v="13.95"/>
    <s v="份"/>
    <n v="8"/>
    <n v="111.6"/>
    <n v="0"/>
    <n v="0"/>
    <n v="0"/>
    <n v="0"/>
    <n v="0"/>
    <n v="0"/>
    <n v="0"/>
    <n v="-0.01"/>
    <n v="3.79"/>
    <n v="0"/>
    <n v="8"/>
    <n v="113.21"/>
    <n v="5.39"/>
    <n v="107.82"/>
    <n v="1"/>
  </r>
  <r>
    <s v="2021-06-26"/>
    <s v="Vancouver"/>
    <s v="加拿大二店"/>
    <x v="3"/>
    <x v="5"/>
    <x v="117"/>
    <x v="111"/>
    <x v="121"/>
    <s v="整份"/>
    <n v="4.95"/>
    <s v="份"/>
    <n v="12"/>
    <n v="59.4"/>
    <n v="0"/>
    <n v="0"/>
    <n v="0"/>
    <n v="0"/>
    <n v="0"/>
    <n v="0"/>
    <n v="0"/>
    <n v="0"/>
    <n v="1.05"/>
    <n v="0"/>
    <n v="12"/>
    <n v="61.26"/>
    <n v="2.91"/>
    <n v="58.35"/>
    <n v="1"/>
  </r>
  <r>
    <s v="2021-06-26"/>
    <s v="Vancouver"/>
    <s v="加拿大二店"/>
    <x v="3"/>
    <x v="7"/>
    <x v="67"/>
    <x v="65"/>
    <x v="69"/>
    <s v="整份"/>
    <n v="3.95"/>
    <s v="份"/>
    <n v="1"/>
    <n v="3.95"/>
    <n v="0"/>
    <n v="0"/>
    <n v="0"/>
    <n v="0"/>
    <n v="1"/>
    <n v="3.95"/>
    <n v="0"/>
    <n v="0"/>
    <n v="0"/>
    <n v="0"/>
    <n v="0"/>
    <n v="0"/>
    <n v="0"/>
    <n v="0"/>
    <n v="1"/>
  </r>
  <r>
    <s v="2021-06-26"/>
    <s v="Vancouver"/>
    <s v="加拿大二店"/>
    <x v="1"/>
    <x v="1"/>
    <x v="68"/>
    <x v="66"/>
    <x v="70"/>
    <s v="整份"/>
    <n v="8.95"/>
    <s v="份"/>
    <n v="62"/>
    <n v="554.9"/>
    <n v="0"/>
    <n v="0"/>
    <n v="0"/>
    <n v="0"/>
    <n v="1"/>
    <n v="8.95"/>
    <n v="0"/>
    <n v="0"/>
    <n v="5.89"/>
    <n v="0"/>
    <n v="61"/>
    <n v="567.06"/>
    <n v="27"/>
    <n v="540.06"/>
    <n v="1"/>
  </r>
  <r>
    <s v="2021-06-26"/>
    <s v="Vancouver"/>
    <s v="加拿大二店"/>
    <x v="1"/>
    <x v="1"/>
    <x v="69"/>
    <x v="67"/>
    <x v="71"/>
    <s v="整份"/>
    <n v="8.95"/>
    <s v="份"/>
    <n v="5"/>
    <n v="44.75"/>
    <n v="0"/>
    <n v="0"/>
    <n v="0"/>
    <n v="0"/>
    <n v="0"/>
    <n v="0"/>
    <n v="0"/>
    <n v="0"/>
    <n v="0"/>
    <n v="0"/>
    <n v="5"/>
    <n v="46.98"/>
    <n v="2.23"/>
    <n v="44.75"/>
    <n v="1"/>
  </r>
  <r>
    <s v="2021-06-26"/>
    <s v="Vancouver"/>
    <s v="加拿大二店"/>
    <x v="6"/>
    <x v="15"/>
    <x v="70"/>
    <x v="68"/>
    <x v="72"/>
    <s v="整份"/>
    <n v="1.5"/>
    <s v="份"/>
    <n v="7"/>
    <n v="10.5"/>
    <n v="0"/>
    <n v="0"/>
    <n v="0"/>
    <n v="0"/>
    <n v="0"/>
    <n v="0"/>
    <n v="0"/>
    <n v="-0.03"/>
    <n v="0"/>
    <n v="0"/>
    <n v="7"/>
    <n v="11.05"/>
    <n v="0.52"/>
    <n v="10.53"/>
    <n v="1"/>
  </r>
  <r>
    <s v="2021-06-26"/>
    <s v="Vancouver"/>
    <s v="加拿大二店"/>
    <x v="4"/>
    <x v="9"/>
    <x v="71"/>
    <x v="0"/>
    <x v="73"/>
    <s v="拼锅"/>
    <n v="18.95"/>
    <s v="锅"/>
    <n v="6"/>
    <n v="113.7"/>
    <n v="0"/>
    <n v="0"/>
    <n v="0"/>
    <n v="0"/>
    <n v="0"/>
    <n v="0"/>
    <n v="0"/>
    <n v="-0.05"/>
    <n v="0"/>
    <n v="0"/>
    <n v="6"/>
    <n v="119.43"/>
    <n v="5.68"/>
    <n v="113.75"/>
    <n v="2"/>
  </r>
  <r>
    <s v="2021-06-26"/>
    <s v="Vancouver"/>
    <s v="加拿大二店"/>
    <x v="4"/>
    <x v="10"/>
    <x v="71"/>
    <x v="0"/>
    <x v="73"/>
    <s v="四宫格"/>
    <n v="9.95"/>
    <s v="锅"/>
    <n v="8"/>
    <n v="79.6"/>
    <n v="1"/>
    <n v="9.95"/>
    <n v="0"/>
    <n v="0"/>
    <n v="0"/>
    <n v="0"/>
    <n v="0"/>
    <n v="0"/>
    <n v="4.97"/>
    <n v="0"/>
    <n v="7"/>
    <n v="67.91"/>
    <n v="3.23"/>
    <n v="64.68"/>
    <n v="1"/>
  </r>
  <r>
    <s v="2021-06-26"/>
    <s v="Vancouver"/>
    <s v="加拿大二店"/>
    <x v="1"/>
    <x v="8"/>
    <x v="72"/>
    <x v="69"/>
    <x v="74"/>
    <s v="个"/>
    <n v="7.95"/>
    <s v="份"/>
    <n v="5"/>
    <n v="39.75"/>
    <n v="0"/>
    <n v="0"/>
    <n v="0"/>
    <n v="0"/>
    <n v="0"/>
    <n v="0"/>
    <n v="0"/>
    <n v="0"/>
    <n v="3.32"/>
    <n v="0"/>
    <n v="5"/>
    <n v="38.25"/>
    <n v="1.82"/>
    <n v="36.43"/>
    <n v="1"/>
  </r>
  <r>
    <s v="2021-06-26"/>
    <s v="Vancouver"/>
    <s v="加拿大二店"/>
    <x v="6"/>
    <x v="13"/>
    <x v="73"/>
    <x v="70"/>
    <x v="75"/>
    <s v="份"/>
    <n v="6.95"/>
    <s v="份"/>
    <n v="3"/>
    <n v="20.85"/>
    <n v="0"/>
    <n v="0"/>
    <n v="0"/>
    <n v="0"/>
    <n v="1"/>
    <n v="6.95"/>
    <n v="0"/>
    <n v="0"/>
    <n v="0"/>
    <n v="0"/>
    <n v="2"/>
    <n v="14.59"/>
    <n v="0.69"/>
    <n v="13.9"/>
    <n v="1"/>
  </r>
  <r>
    <s v="2021-06-26"/>
    <s v="Vancouver"/>
    <s v="加拿大二店"/>
    <x v="4"/>
    <x v="9"/>
    <x v="74"/>
    <x v="0"/>
    <x v="76"/>
    <s v="拼锅"/>
    <n v="18.95"/>
    <s v="锅"/>
    <n v="3"/>
    <n v="56.85"/>
    <n v="0"/>
    <n v="0"/>
    <n v="0"/>
    <n v="0"/>
    <n v="0"/>
    <n v="0"/>
    <n v="0"/>
    <n v="0.02"/>
    <n v="0"/>
    <n v="0"/>
    <n v="3"/>
    <n v="59.67"/>
    <n v="2.84"/>
    <n v="56.83"/>
    <n v="2"/>
  </r>
  <r>
    <s v="2021-06-26"/>
    <s v="Vancouver"/>
    <s v="加拿大二店"/>
    <x v="4"/>
    <x v="10"/>
    <x v="74"/>
    <x v="0"/>
    <x v="76"/>
    <s v="四宫格"/>
    <n v="9.95"/>
    <s v="锅"/>
    <n v="3"/>
    <n v="29.85"/>
    <n v="0"/>
    <n v="0"/>
    <n v="0"/>
    <n v="0"/>
    <n v="0"/>
    <n v="0"/>
    <n v="0"/>
    <n v="0"/>
    <n v="2.12"/>
    <n v="0"/>
    <n v="3"/>
    <n v="29.11"/>
    <n v="1.38"/>
    <n v="27.73"/>
    <n v="1"/>
  </r>
  <r>
    <s v="2021-06-26"/>
    <s v="Vancouver"/>
    <s v="加拿大二店"/>
    <x v="1"/>
    <x v="6"/>
    <x v="118"/>
    <x v="112"/>
    <x v="122"/>
    <s v="整份"/>
    <n v="28.95"/>
    <s v="份"/>
    <n v="2"/>
    <n v="57.9"/>
    <n v="0"/>
    <n v="0"/>
    <n v="0"/>
    <n v="0"/>
    <n v="0"/>
    <n v="0"/>
    <n v="0"/>
    <n v="0"/>
    <n v="0"/>
    <n v="0"/>
    <n v="2"/>
    <n v="60.79"/>
    <n v="2.89"/>
    <n v="57.9"/>
    <n v="1"/>
  </r>
  <r>
    <s v="2021-06-26"/>
    <s v="Vancouver"/>
    <s v="加拿大二店"/>
    <x v="8"/>
    <x v="17"/>
    <x v="75"/>
    <x v="71"/>
    <x v="77"/>
    <s v="整份"/>
    <n v="3.99"/>
    <s v="位"/>
    <n v="169"/>
    <n v="674.31"/>
    <n v="4"/>
    <n v="15.96"/>
    <n v="0"/>
    <n v="0"/>
    <n v="4"/>
    <n v="15.96"/>
    <n v="0"/>
    <n v="0"/>
    <n v="1.32"/>
    <n v="0"/>
    <n v="161"/>
    <n v="673.12"/>
    <n v="32.05"/>
    <n v="641.07"/>
    <n v="1"/>
  </r>
  <r>
    <s v="2021-06-26"/>
    <s v="Vancouver"/>
    <s v="加拿大二店"/>
    <x v="3"/>
    <x v="5"/>
    <x v="76"/>
    <x v="72"/>
    <x v="78"/>
    <s v="整份"/>
    <n v="3.95"/>
    <s v="份"/>
    <n v="7"/>
    <n v="27.65"/>
    <n v="0"/>
    <n v="0"/>
    <n v="0"/>
    <n v="0"/>
    <n v="0"/>
    <n v="0"/>
    <n v="0"/>
    <n v="0"/>
    <n v="1.21"/>
    <n v="0"/>
    <n v="7"/>
    <n v="27.76"/>
    <n v="1.32"/>
    <n v="26.44"/>
    <n v="1"/>
  </r>
  <r>
    <s v="2021-06-26"/>
    <s v="Vancouver"/>
    <s v="加拿大二店"/>
    <x v="1"/>
    <x v="3"/>
    <x v="77"/>
    <x v="73"/>
    <x v="79"/>
    <s v="整份"/>
    <n v="5.95"/>
    <s v="份"/>
    <n v="12"/>
    <n v="71.4"/>
    <n v="0"/>
    <n v="0"/>
    <n v="0"/>
    <n v="0"/>
    <n v="0"/>
    <n v="0"/>
    <n v="0"/>
    <n v="0"/>
    <n v="5.84"/>
    <n v="0"/>
    <n v="12"/>
    <n v="68.83"/>
    <n v="3.27"/>
    <n v="65.56"/>
    <n v="1"/>
  </r>
  <r>
    <s v="2021-06-26"/>
    <s v="Vancouver"/>
    <s v="加拿大二店"/>
    <x v="3"/>
    <x v="11"/>
    <x v="78"/>
    <x v="74"/>
    <x v="80"/>
    <s v="整份"/>
    <n v="5.95"/>
    <s v="份"/>
    <n v="7"/>
    <n v="41.65"/>
    <n v="0"/>
    <n v="0"/>
    <n v="0"/>
    <n v="0"/>
    <n v="0"/>
    <n v="0"/>
    <n v="0"/>
    <n v="0"/>
    <n v="1.19"/>
    <n v="0"/>
    <n v="7"/>
    <n v="42.48"/>
    <n v="2.02"/>
    <n v="40.46"/>
    <n v="1"/>
  </r>
  <r>
    <s v="2021-06-26"/>
    <s v="Vancouver"/>
    <s v="加拿大二店"/>
    <x v="3"/>
    <x v="11"/>
    <x v="78"/>
    <x v="75"/>
    <x v="81"/>
    <s v="半份"/>
    <n v="2.95"/>
    <s v="份"/>
    <n v="8"/>
    <n v="23.6"/>
    <n v="0"/>
    <n v="0"/>
    <n v="0"/>
    <n v="0"/>
    <n v="0"/>
    <n v="0"/>
    <n v="0"/>
    <n v="0"/>
    <n v="2.05"/>
    <n v="0"/>
    <n v="8"/>
    <n v="22.62"/>
    <n v="1.07"/>
    <n v="21.55"/>
    <n v="0.5"/>
  </r>
  <r>
    <s v="2021-06-26"/>
    <s v="Vancouver"/>
    <s v="加拿大二店"/>
    <x v="3"/>
    <x v="5"/>
    <x v="79"/>
    <x v="76"/>
    <x v="82"/>
    <s v="整份"/>
    <n v="3.95"/>
    <s v="份"/>
    <n v="17"/>
    <n v="67.15"/>
    <n v="0"/>
    <n v="0"/>
    <n v="0"/>
    <n v="0"/>
    <n v="0"/>
    <n v="0"/>
    <n v="0"/>
    <n v="0"/>
    <n v="1.23"/>
    <n v="0"/>
    <n v="17"/>
    <n v="69.21"/>
    <n v="3.29"/>
    <n v="65.92"/>
    <n v="1"/>
  </r>
  <r>
    <s v="2021-06-26"/>
    <s v="Vancouver"/>
    <s v="加拿大二店"/>
    <x v="3"/>
    <x v="5"/>
    <x v="80"/>
    <x v="77"/>
    <x v="83"/>
    <s v="整份"/>
    <n v="5.95"/>
    <s v="份"/>
    <n v="9"/>
    <n v="53.55"/>
    <n v="0"/>
    <n v="0"/>
    <n v="0"/>
    <n v="0"/>
    <n v="0"/>
    <n v="0"/>
    <n v="0"/>
    <n v="0"/>
    <n v="3.72"/>
    <n v="0"/>
    <n v="9"/>
    <n v="52.32"/>
    <n v="2.49"/>
    <n v="49.83"/>
    <n v="1"/>
  </r>
  <r>
    <s v="2021-06-26"/>
    <s v="Vancouver"/>
    <s v="加拿大二店"/>
    <x v="4"/>
    <x v="9"/>
    <x v="81"/>
    <x v="0"/>
    <x v="84"/>
    <s v="拼锅"/>
    <n v="8.95"/>
    <s v="锅"/>
    <n v="13"/>
    <n v="116.35"/>
    <n v="0"/>
    <n v="0"/>
    <n v="0"/>
    <n v="0"/>
    <n v="0"/>
    <n v="0"/>
    <n v="0"/>
    <n v="0.02"/>
    <n v="0"/>
    <n v="0"/>
    <n v="13"/>
    <n v="122.14"/>
    <n v="5.81"/>
    <n v="116.33"/>
    <n v="2"/>
  </r>
  <r>
    <s v="2021-06-26"/>
    <s v="Vancouver"/>
    <s v="加拿大二店"/>
    <x v="4"/>
    <x v="10"/>
    <x v="81"/>
    <x v="0"/>
    <x v="84"/>
    <s v="四宫格"/>
    <n v="4.95"/>
    <s v="锅"/>
    <n v="13"/>
    <n v="64.35"/>
    <n v="1"/>
    <n v="4.95"/>
    <n v="0"/>
    <n v="0"/>
    <n v="0"/>
    <n v="0"/>
    <n v="0"/>
    <n v="0"/>
    <n v="0.7"/>
    <n v="0"/>
    <n v="12"/>
    <n v="61.63"/>
    <n v="2.93"/>
    <n v="58.7"/>
    <n v="1"/>
  </r>
  <r>
    <s v="2021-06-26"/>
    <s v="Vancouver"/>
    <s v="加拿大二店"/>
    <x v="3"/>
    <x v="5"/>
    <x v="82"/>
    <x v="78"/>
    <x v="85"/>
    <s v="整份"/>
    <n v="12.95"/>
    <s v="份"/>
    <n v="7"/>
    <n v="90.65"/>
    <n v="1"/>
    <n v="12.95"/>
    <n v="0"/>
    <n v="0"/>
    <n v="0"/>
    <n v="0"/>
    <n v="0"/>
    <n v="0"/>
    <n v="0"/>
    <n v="0"/>
    <n v="6"/>
    <n v="81.58"/>
    <n v="3.88"/>
    <n v="77.7"/>
    <n v="1"/>
  </r>
  <r>
    <s v="2021-06-26"/>
    <s v="Vancouver"/>
    <s v="加拿大二店"/>
    <x v="3"/>
    <x v="11"/>
    <x v="83"/>
    <x v="79"/>
    <x v="86"/>
    <s v="整份"/>
    <n v="5.95"/>
    <s v="份"/>
    <n v="6"/>
    <n v="35.7"/>
    <n v="0"/>
    <n v="0"/>
    <n v="0"/>
    <n v="0"/>
    <n v="1"/>
    <n v="5.95"/>
    <n v="0"/>
    <n v="0"/>
    <n v="0.85"/>
    <n v="0"/>
    <n v="5"/>
    <n v="30.34"/>
    <n v="1.44"/>
    <n v="28.9"/>
    <n v="1"/>
  </r>
  <r>
    <s v="2021-06-26"/>
    <s v="Vancouver"/>
    <s v="加拿大二店"/>
    <x v="3"/>
    <x v="11"/>
    <x v="83"/>
    <x v="80"/>
    <x v="87"/>
    <s v="半份"/>
    <n v="2.95"/>
    <s v="份"/>
    <n v="6"/>
    <n v="17.7"/>
    <n v="0"/>
    <n v="0"/>
    <n v="0"/>
    <n v="0"/>
    <n v="0"/>
    <n v="0"/>
    <n v="0"/>
    <n v="0"/>
    <n v="0.59"/>
    <n v="0"/>
    <n v="6"/>
    <n v="17.96"/>
    <n v="0.85"/>
    <n v="17.11"/>
    <n v="0.5"/>
  </r>
  <r>
    <s v="2021-06-26"/>
    <s v="Vancouver"/>
    <s v="加拿大二店"/>
    <x v="3"/>
    <x v="11"/>
    <x v="84"/>
    <x v="81"/>
    <x v="88"/>
    <s v="整份"/>
    <n v="11.95"/>
    <s v="份"/>
    <n v="7"/>
    <n v="83.65"/>
    <n v="0"/>
    <n v="0"/>
    <n v="0"/>
    <n v="0"/>
    <n v="0"/>
    <n v="0"/>
    <n v="0"/>
    <n v="0"/>
    <n v="0"/>
    <n v="0"/>
    <n v="7"/>
    <n v="87.83"/>
    <n v="4.18"/>
    <n v="83.65"/>
    <n v="1"/>
  </r>
  <r>
    <s v="2021-06-26"/>
    <s v="Vancouver"/>
    <s v="加拿大二店"/>
    <x v="1"/>
    <x v="3"/>
    <x v="85"/>
    <x v="82"/>
    <x v="89"/>
    <s v="整份"/>
    <n v="6.95"/>
    <s v="份"/>
    <n v="8"/>
    <n v="55.6"/>
    <n v="0"/>
    <n v="0"/>
    <n v="0"/>
    <n v="0"/>
    <n v="0"/>
    <n v="0"/>
    <n v="0"/>
    <n v="0"/>
    <n v="0.29"/>
    <n v="0"/>
    <n v="8"/>
    <n v="58.07"/>
    <n v="2.76"/>
    <n v="55.31"/>
    <n v="1"/>
  </r>
  <r>
    <s v="2021-06-26"/>
    <s v="Vancouver"/>
    <s v="加拿大二店"/>
    <x v="6"/>
    <x v="13"/>
    <x v="86"/>
    <x v="83"/>
    <x v="90"/>
    <s v="碗"/>
    <n v="2.95"/>
    <s v="碗"/>
    <n v="10"/>
    <n v="29.5"/>
    <n v="0"/>
    <n v="0"/>
    <n v="0"/>
    <n v="0"/>
    <n v="0"/>
    <n v="0"/>
    <n v="0"/>
    <n v="0"/>
    <n v="0"/>
    <n v="0"/>
    <n v="10"/>
    <n v="30.97"/>
    <n v="1.47"/>
    <n v="29.5"/>
    <n v="1"/>
  </r>
  <r>
    <s v="2021-06-26"/>
    <s v="Vancouver"/>
    <s v="加拿大二店"/>
    <x v="2"/>
    <x v="4"/>
    <x v="87"/>
    <x v="84"/>
    <x v="91"/>
    <s v="常温"/>
    <n v="2.95"/>
    <s v="扎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26"/>
    <s v="Vancouver"/>
    <s v="加拿大二店"/>
    <x v="2"/>
    <x v="4"/>
    <x v="87"/>
    <x v="84"/>
    <x v="91"/>
    <s v="冰镇"/>
    <n v="2.95"/>
    <s v="扎"/>
    <n v="4"/>
    <n v="11.8"/>
    <n v="0"/>
    <n v="0"/>
    <n v="0"/>
    <n v="0"/>
    <n v="0"/>
    <n v="0"/>
    <n v="0"/>
    <n v="0"/>
    <n v="0"/>
    <n v="0"/>
    <n v="4"/>
    <n v="13.21"/>
    <n v="1.41"/>
    <n v="11.8"/>
    <n v="1"/>
  </r>
  <r>
    <s v="2021-06-26"/>
    <s v="Vancouver"/>
    <s v="加拿大二店"/>
    <x v="1"/>
    <x v="8"/>
    <x v="88"/>
    <x v="85"/>
    <x v="92"/>
    <s v="整份"/>
    <n v="7.95"/>
    <s v="份"/>
    <n v="9"/>
    <n v="71.55"/>
    <n v="0"/>
    <n v="0"/>
    <n v="0"/>
    <n v="0"/>
    <n v="0"/>
    <n v="0"/>
    <n v="0"/>
    <n v="0"/>
    <n v="4.76"/>
    <n v="0"/>
    <n v="9"/>
    <n v="70.12"/>
    <n v="3.33"/>
    <n v="66.79"/>
    <n v="1"/>
  </r>
  <r>
    <s v="2021-06-26"/>
    <s v="Vancouver"/>
    <s v="加拿大二店"/>
    <x v="1"/>
    <x v="8"/>
    <x v="89"/>
    <x v="86"/>
    <x v="93"/>
    <s v="整份"/>
    <n v="4.95"/>
    <s v="份"/>
    <n v="17"/>
    <n v="84.15"/>
    <n v="0"/>
    <n v="0"/>
    <n v="0"/>
    <n v="0"/>
    <n v="0"/>
    <n v="0"/>
    <n v="0"/>
    <n v="0"/>
    <n v="1.69"/>
    <n v="0"/>
    <n v="17"/>
    <n v="86.58"/>
    <n v="4.12"/>
    <n v="82.46"/>
    <n v="1"/>
  </r>
  <r>
    <s v="2021-06-26"/>
    <s v="Vancouver"/>
    <s v="加拿大二店"/>
    <x v="2"/>
    <x v="4"/>
    <x v="138"/>
    <x v="132"/>
    <x v="143"/>
    <s v="扎"/>
    <n v="12.95"/>
    <s v="扎"/>
    <n v="7"/>
    <n v="90.65"/>
    <n v="0"/>
    <n v="0"/>
    <n v="0"/>
    <n v="0"/>
    <n v="0"/>
    <n v="0"/>
    <n v="0"/>
    <n v="0.02"/>
    <n v="8.31"/>
    <n v="0"/>
    <n v="7"/>
    <n v="92.19"/>
    <n v="9.87"/>
    <n v="82.32"/>
    <n v="1"/>
  </r>
  <r>
    <s v="2021-06-26"/>
    <s v="Vancouver"/>
    <s v="加拿大二店"/>
    <x v="3"/>
    <x v="7"/>
    <x v="90"/>
    <x v="87"/>
    <x v="94"/>
    <s v="整份"/>
    <n v="4.95"/>
    <s v="份"/>
    <n v="9"/>
    <n v="44.55"/>
    <n v="0"/>
    <n v="0"/>
    <n v="0"/>
    <n v="0"/>
    <n v="0"/>
    <n v="0"/>
    <n v="0"/>
    <n v="0"/>
    <n v="0.99"/>
    <n v="0"/>
    <n v="9"/>
    <n v="45.73"/>
    <n v="2.17"/>
    <n v="43.56"/>
    <n v="1"/>
  </r>
  <r>
    <s v="2021-06-26"/>
    <s v="Vancouver"/>
    <s v="加拿大二店"/>
    <x v="6"/>
    <x v="18"/>
    <x v="91"/>
    <x v="88"/>
    <x v="95"/>
    <s v="整份"/>
    <n v="2.95"/>
    <s v="份"/>
    <n v="1"/>
    <n v="2.95"/>
    <n v="0"/>
    <n v="0"/>
    <n v="0"/>
    <n v="0"/>
    <n v="1"/>
    <n v="2.95"/>
    <n v="0"/>
    <n v="0"/>
    <n v="0"/>
    <n v="0"/>
    <n v="0"/>
    <n v="0"/>
    <n v="0"/>
    <n v="0"/>
    <n v="1"/>
  </r>
  <r>
    <s v="2021-06-26"/>
    <s v="Vancouver"/>
    <s v="加拿大二店"/>
    <x v="4"/>
    <x v="9"/>
    <x v="92"/>
    <x v="0"/>
    <x v="96"/>
    <s v="拼锅"/>
    <n v="8.95"/>
    <s v="锅"/>
    <n v="2"/>
    <n v="17.9"/>
    <n v="0"/>
    <n v="0"/>
    <n v="0"/>
    <n v="0"/>
    <n v="0"/>
    <n v="0"/>
    <n v="0"/>
    <n v="0"/>
    <n v="0"/>
    <n v="0"/>
    <n v="2"/>
    <n v="18.79"/>
    <n v="0.89"/>
    <n v="17.9"/>
    <n v="2"/>
  </r>
  <r>
    <s v="2021-06-26"/>
    <s v="Vancouver"/>
    <s v="加拿大二店"/>
    <x v="4"/>
    <x v="10"/>
    <x v="92"/>
    <x v="0"/>
    <x v="96"/>
    <s v="四宫格"/>
    <n v="4.95"/>
    <s v="锅"/>
    <n v="3"/>
    <n v="14.85"/>
    <n v="0"/>
    <n v="0"/>
    <n v="0"/>
    <n v="0"/>
    <n v="0"/>
    <n v="0"/>
    <n v="0"/>
    <n v="0.01"/>
    <n v="0"/>
    <n v="0"/>
    <n v="3"/>
    <n v="15.58"/>
    <n v="0.74"/>
    <n v="14.84"/>
    <n v="1"/>
  </r>
  <r>
    <s v="2021-06-26"/>
    <s v="Vancouver"/>
    <s v="加拿大二店"/>
    <x v="3"/>
    <x v="5"/>
    <x v="93"/>
    <x v="89"/>
    <x v="97"/>
    <s v="整份"/>
    <n v="5.95"/>
    <s v="份"/>
    <n v="13"/>
    <n v="77.35"/>
    <n v="0"/>
    <n v="0"/>
    <n v="0"/>
    <n v="0"/>
    <n v="0"/>
    <n v="0"/>
    <n v="0"/>
    <n v="0"/>
    <n v="0.85"/>
    <n v="0"/>
    <n v="13"/>
    <n v="80.32"/>
    <n v="3.82"/>
    <n v="76.5"/>
    <n v="1"/>
  </r>
  <r>
    <s v="2021-06-26"/>
    <s v="Vancouver"/>
    <s v="加拿大二店"/>
    <x v="6"/>
    <x v="13"/>
    <x v="94"/>
    <x v="90"/>
    <x v="98"/>
    <s v="整份"/>
    <n v="4.95"/>
    <s v="份"/>
    <n v="10"/>
    <n v="49.5"/>
    <n v="0"/>
    <n v="0"/>
    <n v="0"/>
    <n v="0"/>
    <n v="0"/>
    <n v="0"/>
    <n v="0"/>
    <n v="0"/>
    <n v="0"/>
    <n v="0"/>
    <n v="10"/>
    <n v="51.97"/>
    <n v="2.47"/>
    <n v="49.5"/>
    <n v="1"/>
  </r>
  <r>
    <s v="2021-06-26"/>
    <s v="Vancouver"/>
    <s v="加拿大二店"/>
    <x v="2"/>
    <x v="4"/>
    <x v="95"/>
    <x v="91"/>
    <x v="99"/>
    <s v="冰镇"/>
    <n v="2.45"/>
    <s v="听"/>
    <n v="2"/>
    <n v="4.9"/>
    <n v="0"/>
    <n v="0"/>
    <n v="0"/>
    <n v="0"/>
    <n v="0"/>
    <n v="0"/>
    <n v="0"/>
    <n v="0"/>
    <n v="0"/>
    <n v="0"/>
    <n v="2"/>
    <n v="5.48"/>
    <n v="0.58"/>
    <n v="4.9"/>
    <n v="1"/>
  </r>
  <r>
    <s v="2021-06-26"/>
    <s v="Vancouver"/>
    <s v="加拿大二店"/>
    <x v="1"/>
    <x v="1"/>
    <x v="96"/>
    <x v="92"/>
    <x v="100"/>
    <s v="整份"/>
    <n v="49.95"/>
    <s v="份"/>
    <n v="4"/>
    <n v="199.8"/>
    <n v="0"/>
    <n v="0"/>
    <n v="0"/>
    <n v="0"/>
    <n v="0"/>
    <n v="0"/>
    <n v="0"/>
    <n v="-0.02"/>
    <n v="3.53"/>
    <n v="0"/>
    <n v="4"/>
    <n v="206.1"/>
    <n v="9.81"/>
    <n v="196.29"/>
    <n v="1"/>
  </r>
  <r>
    <s v="2021-06-26"/>
    <s v="Vancouver"/>
    <s v="加拿大二店"/>
    <x v="2"/>
    <x v="2"/>
    <x v="97"/>
    <x v="93"/>
    <x v="101"/>
    <s v="冰镇"/>
    <n v="5.95"/>
    <s v="听"/>
    <n v="7"/>
    <n v="41.65"/>
    <n v="0"/>
    <n v="0"/>
    <n v="0"/>
    <n v="0"/>
    <n v="0"/>
    <n v="0"/>
    <n v="0"/>
    <n v="0"/>
    <n v="0"/>
    <n v="0"/>
    <n v="7"/>
    <n v="47.89"/>
    <n v="6.24"/>
    <n v="41.65"/>
    <n v="1"/>
  </r>
  <r>
    <s v="2021-06-26"/>
    <s v="Vancouver"/>
    <s v="加拿大二店"/>
    <x v="6"/>
    <x v="13"/>
    <x v="98"/>
    <x v="94"/>
    <x v="102"/>
    <s v="整份"/>
    <n v="3.95"/>
    <s v="份"/>
    <n v="8"/>
    <n v="31.6"/>
    <n v="0"/>
    <n v="0"/>
    <n v="0"/>
    <n v="0"/>
    <n v="0"/>
    <n v="0"/>
    <n v="0"/>
    <n v="0"/>
    <n v="0"/>
    <n v="0"/>
    <n v="8"/>
    <n v="33.18"/>
    <n v="1.58"/>
    <n v="31.6"/>
    <n v="1"/>
  </r>
  <r>
    <s v="2021-06-26"/>
    <s v="Vancouver"/>
    <s v="加拿大二店"/>
    <x v="1"/>
    <x v="3"/>
    <x v="99"/>
    <x v="95"/>
    <x v="103"/>
    <s v="整份"/>
    <n v="5.95"/>
    <s v="份"/>
    <n v="3"/>
    <n v="17.85"/>
    <n v="0"/>
    <n v="0"/>
    <n v="0"/>
    <n v="0"/>
    <n v="0"/>
    <n v="0"/>
    <n v="0"/>
    <n v="0"/>
    <n v="0"/>
    <n v="0"/>
    <n v="3"/>
    <n v="18.74"/>
    <n v="0.89"/>
    <n v="17.85"/>
    <n v="1"/>
  </r>
  <r>
    <s v="2021-06-26"/>
    <s v="Vancouver"/>
    <s v="加拿大二店"/>
    <x v="1"/>
    <x v="3"/>
    <x v="100"/>
    <x v="96"/>
    <x v="104"/>
    <s v="整份"/>
    <n v="7.95"/>
    <s v="份"/>
    <n v="6"/>
    <n v="47.7"/>
    <n v="0"/>
    <n v="0"/>
    <n v="0"/>
    <n v="0"/>
    <n v="0"/>
    <n v="0"/>
    <n v="0"/>
    <n v="0"/>
    <n v="1.59"/>
    <n v="0"/>
    <n v="6"/>
    <n v="48.41"/>
    <n v="2.3"/>
    <n v="46.11"/>
    <n v="1"/>
  </r>
  <r>
    <s v="2021-06-26"/>
    <s v="Vancouver"/>
    <s v="加拿大二店"/>
    <x v="1"/>
    <x v="8"/>
    <x v="101"/>
    <x v="97"/>
    <x v="105"/>
    <s v="整份"/>
    <n v="5.95"/>
    <s v="份"/>
    <n v="8"/>
    <n v="47.6"/>
    <n v="0"/>
    <n v="0"/>
    <n v="0"/>
    <n v="0"/>
    <n v="0"/>
    <n v="0"/>
    <n v="0"/>
    <n v="0"/>
    <n v="0"/>
    <n v="0"/>
    <n v="8"/>
    <n v="49.98"/>
    <n v="2.38"/>
    <n v="47.6"/>
    <n v="1"/>
  </r>
  <r>
    <s v="2021-06-26"/>
    <s v="Vancouver"/>
    <s v="加拿大二店"/>
    <x v="1"/>
    <x v="6"/>
    <x v="102"/>
    <x v="98"/>
    <x v="106"/>
    <s v="整份"/>
    <n v="8.95"/>
    <s v="份"/>
    <n v="1"/>
    <n v="8.95"/>
    <n v="0"/>
    <n v="0"/>
    <n v="0"/>
    <n v="0"/>
    <n v="0"/>
    <n v="0"/>
    <n v="0"/>
    <n v="0.02"/>
    <n v="1.79"/>
    <n v="0"/>
    <n v="1"/>
    <n v="7.49"/>
    <n v="0.35"/>
    <n v="7.14"/>
    <n v="1"/>
  </r>
  <r>
    <s v="2021-06-26"/>
    <s v="Vancouver"/>
    <s v="加拿大二店"/>
    <x v="3"/>
    <x v="7"/>
    <x v="103"/>
    <x v="99"/>
    <x v="107"/>
    <s v="整份"/>
    <n v="5.95"/>
    <s v="份"/>
    <n v="11"/>
    <n v="65.45"/>
    <n v="0"/>
    <n v="0"/>
    <n v="0"/>
    <n v="0"/>
    <n v="0"/>
    <n v="0"/>
    <n v="0"/>
    <n v="0"/>
    <n v="3.82"/>
    <n v="0"/>
    <n v="11"/>
    <n v="64.71"/>
    <n v="3.08"/>
    <n v="61.63"/>
    <n v="1"/>
  </r>
  <r>
    <s v="2021-06-26"/>
    <s v="Vancouver"/>
    <s v="加拿大二店"/>
    <x v="3"/>
    <x v="7"/>
    <x v="104"/>
    <x v="100"/>
    <x v="108"/>
    <s v="整份"/>
    <n v="3.95"/>
    <s v="份"/>
    <n v="10"/>
    <n v="39.5"/>
    <n v="0"/>
    <n v="0"/>
    <n v="0"/>
    <n v="0"/>
    <n v="0"/>
    <n v="0"/>
    <n v="0"/>
    <n v="0"/>
    <n v="0.28"/>
    <n v="0"/>
    <n v="10"/>
    <n v="41.18"/>
    <n v="1.96"/>
    <n v="39.22"/>
    <n v="1"/>
  </r>
  <r>
    <s v="2021-06-26"/>
    <s v="Vancouver"/>
    <s v="加拿大二店"/>
    <x v="1"/>
    <x v="8"/>
    <x v="105"/>
    <x v="101"/>
    <x v="109"/>
    <s v="整份"/>
    <n v="4.95"/>
    <s v="份"/>
    <n v="13"/>
    <n v="64.35"/>
    <n v="0"/>
    <n v="0"/>
    <n v="0"/>
    <n v="0"/>
    <n v="0"/>
    <n v="0"/>
    <n v="0"/>
    <n v="0"/>
    <n v="3.96"/>
    <n v="0"/>
    <n v="13"/>
    <n v="63.4"/>
    <n v="3.01"/>
    <n v="60.39"/>
    <n v="1"/>
  </r>
  <r>
    <s v="2021-06-26"/>
    <s v="Vancouver"/>
    <s v="加拿大二店"/>
    <x v="4"/>
    <x v="9"/>
    <x v="106"/>
    <x v="0"/>
    <x v="110"/>
    <s v="拼锅"/>
    <n v="11.95"/>
    <s v="锅"/>
    <n v="8"/>
    <n v="95.6"/>
    <n v="1"/>
    <n v="11.95"/>
    <n v="0"/>
    <n v="0"/>
    <n v="0"/>
    <n v="0"/>
    <n v="0"/>
    <n v="0.01"/>
    <n v="0"/>
    <n v="0"/>
    <n v="7"/>
    <n v="87.82"/>
    <n v="4.18"/>
    <n v="83.64"/>
    <n v="2"/>
  </r>
  <r>
    <s v="2021-06-26"/>
    <s v="Vancouver"/>
    <s v="加拿大二店"/>
    <x v="4"/>
    <x v="10"/>
    <x v="106"/>
    <x v="0"/>
    <x v="110"/>
    <s v="四宫格"/>
    <n v="5.95"/>
    <s v="锅"/>
    <n v="7"/>
    <n v="41.65"/>
    <n v="0"/>
    <n v="0"/>
    <n v="0"/>
    <n v="0"/>
    <n v="0"/>
    <n v="0"/>
    <n v="0"/>
    <n v="0"/>
    <n v="0.85"/>
    <n v="0"/>
    <n v="7"/>
    <n v="42.84"/>
    <n v="2.04"/>
    <n v="40.8"/>
    <n v="1"/>
  </r>
  <r>
    <s v="2021-06-26"/>
    <s v="Vancouver"/>
    <s v="加拿大二店"/>
    <x v="4"/>
    <x v="9"/>
    <x v="107"/>
    <x v="0"/>
    <x v="111"/>
    <s v="拼锅"/>
    <n v="11.95"/>
    <s v="锅"/>
    <n v="10"/>
    <n v="119.5"/>
    <n v="0"/>
    <n v="0"/>
    <n v="0"/>
    <n v="0"/>
    <n v="0"/>
    <n v="0"/>
    <n v="0"/>
    <n v="0"/>
    <n v="0"/>
    <n v="0"/>
    <n v="10"/>
    <n v="125.47"/>
    <n v="5.97"/>
    <n v="119.5"/>
    <n v="2"/>
  </r>
  <r>
    <s v="2021-06-26"/>
    <s v="Vancouver"/>
    <s v="加拿大二店"/>
    <x v="4"/>
    <x v="10"/>
    <x v="107"/>
    <x v="0"/>
    <x v="111"/>
    <s v="四宫格"/>
    <n v="5.95"/>
    <s v="锅"/>
    <n v="9"/>
    <n v="53.55"/>
    <n v="1"/>
    <n v="5.95"/>
    <n v="0"/>
    <n v="0"/>
    <n v="3"/>
    <n v="17.85"/>
    <n v="0"/>
    <n v="0"/>
    <n v="0"/>
    <n v="0"/>
    <n v="5"/>
    <n v="31.23"/>
    <n v="1.48"/>
    <n v="29.75"/>
    <n v="1"/>
  </r>
  <r>
    <s v="2021-06-26"/>
    <s v="Vancouver"/>
    <s v="加拿大二店"/>
    <x v="1"/>
    <x v="8"/>
    <x v="141"/>
    <x v="135"/>
    <x v="146"/>
    <s v="半份"/>
    <n v="12.95"/>
    <s v="份"/>
    <n v="6"/>
    <n v="77.7"/>
    <n v="0"/>
    <n v="0"/>
    <n v="0"/>
    <n v="0"/>
    <n v="0"/>
    <n v="0"/>
    <n v="0"/>
    <n v="0"/>
    <n v="6.47"/>
    <n v="0"/>
    <n v="6"/>
    <n v="75.5"/>
    <n v="4.27"/>
    <n v="71.23"/>
    <n v="0.5"/>
  </r>
  <r>
    <s v="2021-06-27"/>
    <s v="Vancouver"/>
    <s v="加拿大二店"/>
    <x v="2"/>
    <x v="21"/>
    <x v="142"/>
    <x v="136"/>
    <x v="147"/>
    <s v="整份"/>
    <n v="79.95"/>
    <s v="盎司"/>
    <n v="1"/>
    <n v="79.95"/>
    <n v="1"/>
    <n v="79.95"/>
    <n v="0"/>
    <n v="0"/>
    <n v="0"/>
    <n v="0"/>
    <n v="0"/>
    <n v="0"/>
    <n v="0"/>
    <n v="0"/>
    <n v="0"/>
    <n v="0"/>
    <n v="0"/>
    <n v="0"/>
    <n v="1"/>
  </r>
  <r>
    <s v="2021-06-27"/>
    <s v="Vancouver"/>
    <s v="加拿大二店"/>
    <x v="1"/>
    <x v="1"/>
    <x v="1"/>
    <x v="1"/>
    <x v="1"/>
    <s v="整份"/>
    <n v="16.95"/>
    <s v="份"/>
    <n v="10"/>
    <n v="169.5"/>
    <n v="0"/>
    <n v="0"/>
    <n v="0"/>
    <n v="0"/>
    <n v="0"/>
    <n v="0"/>
    <n v="0"/>
    <n v="0"/>
    <n v="3.39"/>
    <n v="0"/>
    <n v="10"/>
    <n v="174.41"/>
    <n v="8.3"/>
    <n v="166.11"/>
    <n v="1"/>
  </r>
  <r>
    <s v="2021-06-27"/>
    <s v="Vancouver"/>
    <s v="加拿大二店"/>
    <x v="2"/>
    <x v="19"/>
    <x v="132"/>
    <x v="126"/>
    <x v="137"/>
    <s v="瓶"/>
    <n v="15.95"/>
    <s v="瓶"/>
    <n v="1"/>
    <n v="15.95"/>
    <n v="0"/>
    <n v="0"/>
    <n v="0"/>
    <n v="0"/>
    <n v="0"/>
    <n v="0"/>
    <n v="0"/>
    <n v="0"/>
    <n v="0"/>
    <n v="0"/>
    <n v="1"/>
    <n v="18.34"/>
    <n v="2.39"/>
    <n v="15.95"/>
    <n v="1"/>
  </r>
  <r>
    <s v="2021-06-27"/>
    <s v="Vancouver"/>
    <s v="加拿大二店"/>
    <x v="2"/>
    <x v="22"/>
    <x v="128"/>
    <x v="122"/>
    <x v="133"/>
    <s v="杯"/>
    <n v="5.95"/>
    <s v="杯"/>
    <n v="2"/>
    <n v="11.9"/>
    <n v="0"/>
    <n v="0"/>
    <n v="0"/>
    <n v="0"/>
    <n v="0"/>
    <n v="0"/>
    <n v="0"/>
    <n v="0"/>
    <n v="0"/>
    <n v="0"/>
    <n v="2"/>
    <n v="13.68"/>
    <n v="1.78"/>
    <n v="11.9"/>
    <n v="1"/>
  </r>
  <r>
    <s v="2021-06-27"/>
    <s v="Vancouver"/>
    <s v="加拿大二店"/>
    <x v="1"/>
    <x v="1"/>
    <x v="2"/>
    <x v="2"/>
    <x v="2"/>
    <s v="整份"/>
    <n v="25.95"/>
    <s v="份"/>
    <n v="15"/>
    <n v="389.25"/>
    <n v="0"/>
    <n v="0"/>
    <n v="0"/>
    <n v="0"/>
    <n v="0"/>
    <n v="0"/>
    <n v="0"/>
    <n v="0.01"/>
    <n v="6.48"/>
    <n v="0"/>
    <n v="15"/>
    <n v="401.89"/>
    <n v="19.13"/>
    <n v="382.76"/>
    <n v="1"/>
  </r>
  <r>
    <s v="2021-06-27"/>
    <s v="Vancouver"/>
    <s v="加拿大二店"/>
    <x v="2"/>
    <x v="2"/>
    <x v="4"/>
    <x v="4"/>
    <x v="4"/>
    <s v="壶"/>
    <n v="22.95"/>
    <s v="壶"/>
    <n v="1"/>
    <n v="22.95"/>
    <n v="0"/>
    <n v="0"/>
    <n v="0"/>
    <n v="0"/>
    <n v="0"/>
    <n v="0"/>
    <n v="0"/>
    <n v="0"/>
    <n v="0"/>
    <n v="0"/>
    <n v="1"/>
    <n v="26.39"/>
    <n v="3.44"/>
    <n v="22.95"/>
    <n v="1"/>
  </r>
  <r>
    <s v="2021-06-27"/>
    <s v="Vancouver"/>
    <s v="加拿大二店"/>
    <x v="2"/>
    <x v="2"/>
    <x v="5"/>
    <x v="5"/>
    <x v="5"/>
    <s v="杯"/>
    <n v="6.95"/>
    <s v="杯"/>
    <n v="2"/>
    <n v="13.9"/>
    <n v="0"/>
    <n v="0"/>
    <n v="0"/>
    <n v="0"/>
    <n v="0"/>
    <n v="0"/>
    <n v="0"/>
    <n v="0"/>
    <n v="0"/>
    <n v="0"/>
    <n v="2"/>
    <n v="15.98"/>
    <n v="2.08"/>
    <n v="13.9"/>
    <n v="1"/>
  </r>
  <r>
    <s v="2021-06-27"/>
    <s v="Vancouver"/>
    <s v="加拿大二店"/>
    <x v="1"/>
    <x v="3"/>
    <x v="6"/>
    <x v="6"/>
    <x v="6"/>
    <s v="整份"/>
    <n v="7.95"/>
    <s v="份"/>
    <n v="1"/>
    <n v="7.95"/>
    <n v="0"/>
    <n v="0"/>
    <n v="0"/>
    <n v="0"/>
    <n v="0"/>
    <n v="0"/>
    <n v="0"/>
    <n v="0"/>
    <n v="0"/>
    <n v="0"/>
    <n v="1"/>
    <n v="8.34"/>
    <n v="0.39"/>
    <n v="7.95"/>
    <n v="1"/>
  </r>
  <r>
    <s v="2021-06-27"/>
    <s v="Vancouver"/>
    <s v="加拿大二店"/>
    <x v="0"/>
    <x v="0"/>
    <x v="124"/>
    <x v="0"/>
    <x v="128"/>
    <s v="套餐"/>
    <n v="59.95"/>
    <s v="套餐"/>
    <n v="2"/>
    <n v="119.9"/>
    <n v="0"/>
    <n v="0"/>
    <n v="0"/>
    <n v="0"/>
    <n v="0"/>
    <n v="0"/>
    <n v="0"/>
    <n v="0.01"/>
    <n v="0"/>
    <n v="0"/>
    <n v="2"/>
    <n v="127.08"/>
    <n v="7.19"/>
    <n v="119.89"/>
    <n v="1"/>
  </r>
  <r>
    <s v="2021-06-27"/>
    <s v="Vancouver"/>
    <s v="加拿大二店"/>
    <x v="2"/>
    <x v="4"/>
    <x v="7"/>
    <x v="7"/>
    <x v="7"/>
    <s v="冰镇"/>
    <n v="2.45"/>
    <s v="罐"/>
    <n v="5"/>
    <n v="12.25"/>
    <n v="0"/>
    <n v="0"/>
    <n v="0"/>
    <n v="0"/>
    <n v="0"/>
    <n v="0"/>
    <n v="0"/>
    <n v="0"/>
    <n v="0"/>
    <n v="0"/>
    <n v="5"/>
    <n v="13.72"/>
    <n v="1.47"/>
    <n v="12.25"/>
    <n v="1"/>
  </r>
  <r>
    <s v="2021-06-27"/>
    <s v="Vancouver"/>
    <s v="加拿大二店"/>
    <x v="0"/>
    <x v="20"/>
    <x v="109"/>
    <x v="103"/>
    <x v="113"/>
    <s v="整份"/>
    <n v="8.95"/>
    <s v="份"/>
    <n v="3"/>
    <n v="26.85"/>
    <n v="0"/>
    <n v="0"/>
    <n v="0"/>
    <n v="0"/>
    <n v="0"/>
    <n v="0"/>
    <n v="0"/>
    <n v="0"/>
    <n v="0"/>
    <n v="0"/>
    <n v="3"/>
    <n v="28.19"/>
    <n v="1.34"/>
    <n v="26.85"/>
    <n v="1"/>
  </r>
  <r>
    <s v="2021-06-27"/>
    <s v="Vancouver"/>
    <s v="加拿大二店"/>
    <x v="2"/>
    <x v="4"/>
    <x v="110"/>
    <x v="104"/>
    <x v="114"/>
    <s v="小瓶"/>
    <n v="3.95"/>
    <s v="瓶"/>
    <n v="3"/>
    <n v="11.85"/>
    <n v="0"/>
    <n v="0"/>
    <n v="0"/>
    <n v="0"/>
    <n v="0"/>
    <n v="0"/>
    <n v="0"/>
    <n v="-0.01"/>
    <n v="0"/>
    <n v="0"/>
    <n v="3"/>
    <n v="13.28"/>
    <n v="1.42"/>
    <n v="11.86"/>
    <n v="1"/>
  </r>
  <r>
    <s v="2021-06-27"/>
    <s v="Vancouver"/>
    <s v="加拿大二店"/>
    <x v="3"/>
    <x v="5"/>
    <x v="8"/>
    <x v="8"/>
    <x v="8"/>
    <s v="整份"/>
    <n v="3.95"/>
    <s v="份"/>
    <n v="8"/>
    <n v="31.6"/>
    <n v="0"/>
    <n v="0"/>
    <n v="0"/>
    <n v="0"/>
    <n v="0"/>
    <n v="0"/>
    <n v="0"/>
    <n v="0"/>
    <n v="1.41"/>
    <n v="0"/>
    <n v="8"/>
    <n v="31.69"/>
    <n v="1.5"/>
    <n v="30.19"/>
    <n v="1"/>
  </r>
  <r>
    <s v="2021-06-27"/>
    <s v="Vancouver"/>
    <s v="加拿大二店"/>
    <x v="2"/>
    <x v="4"/>
    <x v="9"/>
    <x v="9"/>
    <x v="9"/>
    <s v="常温"/>
    <n v="2.95"/>
    <s v="位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27"/>
    <s v="Vancouver"/>
    <s v="加拿大二店"/>
    <x v="2"/>
    <x v="4"/>
    <x v="9"/>
    <x v="9"/>
    <x v="9"/>
    <s v="冰镇"/>
    <n v="2.95"/>
    <s v="位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27"/>
    <s v="Vancouver"/>
    <s v="加拿大二店"/>
    <x v="2"/>
    <x v="4"/>
    <x v="10"/>
    <x v="10"/>
    <x v="10"/>
    <s v="半份"/>
    <n v="6.95"/>
    <s v="扎"/>
    <n v="7"/>
    <n v="48.65"/>
    <n v="0"/>
    <n v="0"/>
    <n v="0"/>
    <n v="0"/>
    <n v="0"/>
    <n v="0"/>
    <n v="0"/>
    <n v="0"/>
    <n v="0"/>
    <n v="0"/>
    <n v="7"/>
    <n v="54.48"/>
    <n v="5.83"/>
    <n v="48.65"/>
    <n v="0.5"/>
  </r>
  <r>
    <s v="2021-06-27"/>
    <s v="Vancouver"/>
    <s v="加拿大二店"/>
    <x v="2"/>
    <x v="4"/>
    <x v="10"/>
    <x v="11"/>
    <x v="11"/>
    <s v="整份"/>
    <n v="9.95"/>
    <s v="扎"/>
    <n v="5"/>
    <n v="49.75"/>
    <n v="0"/>
    <n v="0"/>
    <n v="0"/>
    <n v="0"/>
    <n v="0"/>
    <n v="0"/>
    <n v="0"/>
    <n v="0"/>
    <n v="0"/>
    <n v="0"/>
    <n v="5"/>
    <n v="55.72"/>
    <n v="5.97"/>
    <n v="49.75"/>
    <n v="1"/>
  </r>
  <r>
    <s v="2021-06-27"/>
    <s v="Vancouver"/>
    <s v="加拿大二店"/>
    <x v="1"/>
    <x v="6"/>
    <x v="11"/>
    <x v="12"/>
    <x v="12"/>
    <s v="整份"/>
    <n v="8.95"/>
    <s v="份"/>
    <n v="4"/>
    <n v="35.8"/>
    <n v="0"/>
    <n v="0"/>
    <n v="0"/>
    <n v="0"/>
    <n v="0"/>
    <n v="0"/>
    <n v="0"/>
    <n v="0"/>
    <n v="0"/>
    <n v="0"/>
    <n v="4"/>
    <n v="37.59"/>
    <n v="1.79"/>
    <n v="35.8"/>
    <n v="1"/>
  </r>
  <r>
    <s v="2021-06-27"/>
    <s v="Vancouver"/>
    <s v="加拿大二店"/>
    <x v="1"/>
    <x v="6"/>
    <x v="12"/>
    <x v="13"/>
    <x v="13"/>
    <s v="整份"/>
    <n v="16.95"/>
    <s v="份"/>
    <n v="2"/>
    <n v="33.9"/>
    <n v="0"/>
    <n v="0"/>
    <n v="0"/>
    <n v="0"/>
    <n v="0"/>
    <n v="0"/>
    <n v="0"/>
    <n v="0"/>
    <n v="0"/>
    <n v="0"/>
    <n v="2"/>
    <n v="35.59"/>
    <n v="1.69"/>
    <n v="33.9"/>
    <n v="1"/>
  </r>
  <r>
    <s v="2021-06-27"/>
    <s v="Vancouver"/>
    <s v="加拿大二店"/>
    <x v="1"/>
    <x v="6"/>
    <x v="13"/>
    <x v="14"/>
    <x v="14"/>
    <s v="整份"/>
    <n v="21.95"/>
    <s v="份"/>
    <n v="2"/>
    <n v="43.9"/>
    <n v="0"/>
    <n v="0"/>
    <n v="0"/>
    <n v="0"/>
    <n v="0"/>
    <n v="0"/>
    <n v="0"/>
    <n v="0.01"/>
    <n v="4.39"/>
    <n v="0"/>
    <n v="2"/>
    <n v="41.47"/>
    <n v="1.97"/>
    <n v="39.5"/>
    <n v="1"/>
  </r>
  <r>
    <s v="2021-06-27"/>
    <s v="Vancouver"/>
    <s v="加拿大二店"/>
    <x v="1"/>
    <x v="6"/>
    <x v="14"/>
    <x v="15"/>
    <x v="15"/>
    <s v="整份"/>
    <n v="29.95"/>
    <s v="份"/>
    <n v="1"/>
    <n v="29.95"/>
    <n v="0"/>
    <n v="0"/>
    <n v="0"/>
    <n v="0"/>
    <n v="0"/>
    <n v="0"/>
    <n v="0"/>
    <n v="0"/>
    <n v="5.99"/>
    <n v="0"/>
    <n v="1"/>
    <n v="25.15"/>
    <n v="1.19"/>
    <n v="23.96"/>
    <n v="1"/>
  </r>
  <r>
    <s v="2021-06-27"/>
    <s v="Vancouver"/>
    <s v="加拿大二店"/>
    <x v="1"/>
    <x v="6"/>
    <x v="15"/>
    <x v="16"/>
    <x v="16"/>
    <s v="整份"/>
    <n v="8.95"/>
    <s v="份"/>
    <n v="1"/>
    <n v="8.95"/>
    <n v="0"/>
    <n v="0"/>
    <n v="0"/>
    <n v="0"/>
    <n v="0"/>
    <n v="0"/>
    <n v="0"/>
    <n v="0"/>
    <n v="0"/>
    <n v="0"/>
    <n v="1"/>
    <n v="9.39"/>
    <n v="0.44"/>
    <n v="8.95"/>
    <n v="1"/>
  </r>
  <r>
    <s v="2021-06-27"/>
    <s v="Vancouver"/>
    <s v="加拿大二店"/>
    <x v="3"/>
    <x v="7"/>
    <x v="16"/>
    <x v="17"/>
    <x v="17"/>
    <s v="整份"/>
    <n v="4.95"/>
    <s v="份"/>
    <n v="20"/>
    <n v="99"/>
    <n v="0"/>
    <n v="0"/>
    <n v="0"/>
    <n v="0"/>
    <n v="0"/>
    <n v="0"/>
    <n v="0"/>
    <n v="0"/>
    <n v="0.41"/>
    <n v="0"/>
    <n v="20"/>
    <n v="103.51"/>
    <n v="4.92"/>
    <n v="98.59"/>
    <n v="1"/>
  </r>
  <r>
    <s v="2021-06-27"/>
    <s v="Vancouver"/>
    <s v="加拿大二店"/>
    <x v="2"/>
    <x v="4"/>
    <x v="17"/>
    <x v="18"/>
    <x v="18"/>
    <s v="冰镇"/>
    <n v="2.95"/>
    <s v="瓶"/>
    <n v="4"/>
    <n v="11.8"/>
    <n v="0"/>
    <n v="0"/>
    <n v="0"/>
    <n v="0"/>
    <n v="0"/>
    <n v="0"/>
    <n v="0"/>
    <n v="0"/>
    <n v="0"/>
    <n v="0"/>
    <n v="4"/>
    <n v="13.21"/>
    <n v="1.41"/>
    <n v="11.8"/>
    <n v="1"/>
  </r>
  <r>
    <s v="2021-06-27"/>
    <s v="Vancouver"/>
    <s v="加拿大二店"/>
    <x v="2"/>
    <x v="4"/>
    <x v="18"/>
    <x v="19"/>
    <x v="19"/>
    <s v="常温"/>
    <n v="2.95"/>
    <s v="听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27"/>
    <s v="Vancouver"/>
    <s v="加拿大二店"/>
    <x v="2"/>
    <x v="4"/>
    <x v="18"/>
    <x v="19"/>
    <x v="19"/>
    <s v="冰镇"/>
    <n v="2.95"/>
    <s v="听"/>
    <n v="5"/>
    <n v="14.75"/>
    <n v="0"/>
    <n v="0"/>
    <n v="0"/>
    <n v="0"/>
    <n v="0"/>
    <n v="0"/>
    <n v="0"/>
    <n v="0"/>
    <n v="0"/>
    <n v="0"/>
    <n v="5"/>
    <n v="16.52"/>
    <n v="1.77"/>
    <n v="14.75"/>
    <n v="1"/>
  </r>
  <r>
    <s v="2021-06-27"/>
    <s v="Vancouver"/>
    <s v="加拿大二店"/>
    <x v="1"/>
    <x v="8"/>
    <x v="19"/>
    <x v="20"/>
    <x v="20"/>
    <s v="整份"/>
    <n v="5.95"/>
    <s v="份"/>
    <n v="11"/>
    <n v="65.45"/>
    <n v="0"/>
    <n v="0"/>
    <n v="0"/>
    <n v="0"/>
    <n v="0"/>
    <n v="0"/>
    <n v="0"/>
    <n v="0"/>
    <n v="1.69"/>
    <n v="0"/>
    <n v="11"/>
    <n v="66.94"/>
    <n v="3.18"/>
    <n v="63.76"/>
    <n v="1"/>
  </r>
  <r>
    <s v="2021-06-27"/>
    <s v="Vancouver"/>
    <s v="加拿大二店"/>
    <x v="1"/>
    <x v="8"/>
    <x v="20"/>
    <x v="21"/>
    <x v="21"/>
    <s v="整份"/>
    <n v="7.95"/>
    <s v="份"/>
    <n v="4"/>
    <n v="31.8"/>
    <n v="0"/>
    <n v="0"/>
    <n v="0"/>
    <n v="0"/>
    <n v="0"/>
    <n v="0"/>
    <n v="0"/>
    <n v="0"/>
    <n v="2.25"/>
    <n v="0"/>
    <n v="4"/>
    <n v="31.02"/>
    <n v="1.47"/>
    <n v="29.55"/>
    <n v="1"/>
  </r>
  <r>
    <s v="2021-06-27"/>
    <s v="Vancouver"/>
    <s v="加拿大二店"/>
    <x v="2"/>
    <x v="4"/>
    <x v="21"/>
    <x v="22"/>
    <x v="22"/>
    <s v="冰镇"/>
    <n v="2.45"/>
    <s v="听"/>
    <n v="5"/>
    <n v="12.25"/>
    <n v="0"/>
    <n v="0"/>
    <n v="0"/>
    <n v="0"/>
    <n v="0"/>
    <n v="0"/>
    <n v="0"/>
    <n v="0"/>
    <n v="0"/>
    <n v="0"/>
    <n v="5"/>
    <n v="13.72"/>
    <n v="1.47"/>
    <n v="12.25"/>
    <n v="1"/>
  </r>
  <r>
    <s v="2021-06-27"/>
    <s v="Vancouver"/>
    <s v="加拿大二店"/>
    <x v="4"/>
    <x v="9"/>
    <x v="22"/>
    <x v="0"/>
    <x v="23"/>
    <s v="拼锅"/>
    <n v="11.95"/>
    <s v="锅"/>
    <n v="2"/>
    <n v="23.9"/>
    <n v="0"/>
    <n v="0"/>
    <n v="0"/>
    <n v="0"/>
    <n v="0"/>
    <n v="0"/>
    <n v="0"/>
    <n v="-0.03"/>
    <n v="1.18"/>
    <n v="0"/>
    <n v="2"/>
    <n v="24.11"/>
    <n v="1.36"/>
    <n v="22.75"/>
    <n v="2"/>
  </r>
  <r>
    <s v="2021-06-27"/>
    <s v="Vancouver"/>
    <s v="加拿大二店"/>
    <x v="4"/>
    <x v="10"/>
    <x v="22"/>
    <x v="0"/>
    <x v="23"/>
    <s v="四宫格"/>
    <n v="5.95"/>
    <s v="锅"/>
    <n v="1"/>
    <n v="5.95"/>
    <n v="0"/>
    <n v="0"/>
    <n v="0"/>
    <n v="0"/>
    <n v="0"/>
    <n v="0"/>
    <n v="0"/>
    <n v="0"/>
    <n v="0"/>
    <n v="0"/>
    <n v="1"/>
    <n v="6.3"/>
    <n v="0.35"/>
    <n v="5.95"/>
    <n v="1"/>
  </r>
  <r>
    <s v="2021-06-27"/>
    <s v="Vancouver"/>
    <s v="加拿大二店"/>
    <x v="3"/>
    <x v="7"/>
    <x v="23"/>
    <x v="23"/>
    <x v="24"/>
    <s v="整份"/>
    <n v="4.95"/>
    <s v="份"/>
    <n v="9"/>
    <n v="44.55"/>
    <n v="0"/>
    <n v="0"/>
    <n v="0"/>
    <n v="0"/>
    <n v="0"/>
    <n v="0"/>
    <n v="0"/>
    <n v="0"/>
    <n v="0.99"/>
    <n v="0"/>
    <n v="9"/>
    <n v="45.73"/>
    <n v="2.17"/>
    <n v="43.56"/>
    <n v="1"/>
  </r>
  <r>
    <s v="2021-06-27"/>
    <s v="Vancouver"/>
    <s v="加拿大二店"/>
    <x v="3"/>
    <x v="11"/>
    <x v="24"/>
    <x v="24"/>
    <x v="25"/>
    <s v="半份"/>
    <n v="2.95"/>
    <s v="份"/>
    <n v="2"/>
    <n v="5.9"/>
    <n v="0"/>
    <n v="0"/>
    <n v="0"/>
    <n v="0"/>
    <n v="0"/>
    <n v="0"/>
    <n v="0"/>
    <n v="0"/>
    <n v="0.25"/>
    <n v="0"/>
    <n v="2"/>
    <n v="5.93"/>
    <n v="0.28"/>
    <n v="5.65"/>
    <n v="0.5"/>
  </r>
  <r>
    <s v="2021-06-27"/>
    <s v="Vancouver"/>
    <s v="加拿大二店"/>
    <x v="3"/>
    <x v="5"/>
    <x v="25"/>
    <x v="25"/>
    <x v="26"/>
    <s v="整份"/>
    <n v="3.95"/>
    <s v="份"/>
    <n v="6"/>
    <n v="23.7"/>
    <n v="0"/>
    <n v="0"/>
    <n v="0"/>
    <n v="0"/>
    <n v="0"/>
    <n v="0"/>
    <n v="0"/>
    <n v="0"/>
    <n v="0.79"/>
    <n v="0"/>
    <n v="6"/>
    <n v="24.05"/>
    <n v="1.14"/>
    <n v="22.91"/>
    <n v="1"/>
  </r>
  <r>
    <s v="2021-06-27"/>
    <s v="Vancouver"/>
    <s v="加拿大二店"/>
    <x v="3"/>
    <x v="11"/>
    <x v="26"/>
    <x v="26"/>
    <x v="27"/>
    <s v="整份"/>
    <n v="4.95"/>
    <s v="份"/>
    <n v="14"/>
    <n v="69.3"/>
    <n v="1"/>
    <n v="4.95"/>
    <n v="0"/>
    <n v="0"/>
    <n v="0"/>
    <n v="0"/>
    <n v="0"/>
    <n v="0"/>
    <n v="0.99"/>
    <n v="0"/>
    <n v="13"/>
    <n v="66.52"/>
    <n v="3.16"/>
    <n v="63.36"/>
    <n v="1"/>
  </r>
  <r>
    <s v="2021-06-27"/>
    <s v="Vancouver"/>
    <s v="加拿大二店"/>
    <x v="3"/>
    <x v="11"/>
    <x v="26"/>
    <x v="27"/>
    <x v="28"/>
    <s v="半份"/>
    <n v="2.45"/>
    <s v="份"/>
    <n v="14"/>
    <n v="34.3"/>
    <n v="0"/>
    <n v="0"/>
    <n v="0"/>
    <n v="0"/>
    <n v="0"/>
    <n v="0"/>
    <n v="0"/>
    <n v="0"/>
    <n v="0.89"/>
    <n v="0"/>
    <n v="14"/>
    <n v="35.08"/>
    <n v="1.67"/>
    <n v="33.41"/>
    <n v="0.5"/>
  </r>
  <r>
    <s v="2021-06-27"/>
    <s v="Vancouver"/>
    <s v="加拿大二店"/>
    <x v="2"/>
    <x v="4"/>
    <x v="122"/>
    <x v="116"/>
    <x v="126"/>
    <s v="冰镇"/>
    <n v="2.45"/>
    <s v="听"/>
    <n v="1"/>
    <n v="2.45"/>
    <n v="0"/>
    <n v="0"/>
    <n v="0"/>
    <n v="0"/>
    <n v="0"/>
    <n v="0"/>
    <n v="0"/>
    <n v="0"/>
    <n v="0"/>
    <n v="0"/>
    <n v="1"/>
    <n v="2.74"/>
    <n v="0.29"/>
    <n v="2.45"/>
    <n v="1"/>
  </r>
  <r>
    <s v="2021-06-27"/>
    <s v="Vancouver"/>
    <s v="加拿大二店"/>
    <x v="5"/>
    <x v="12"/>
    <x v="27"/>
    <x v="28"/>
    <x v="29"/>
    <s v="整份"/>
    <n v="7.95"/>
    <s v="份"/>
    <n v="3"/>
    <n v="23.85"/>
    <n v="0"/>
    <n v="0"/>
    <n v="0"/>
    <n v="0"/>
    <n v="0"/>
    <n v="0"/>
    <n v="0"/>
    <n v="0"/>
    <n v="3.18"/>
    <n v="0"/>
    <n v="3"/>
    <n v="21.7"/>
    <n v="1.03"/>
    <n v="20.67"/>
    <n v="1"/>
  </r>
  <r>
    <s v="2021-06-27"/>
    <s v="Vancouver"/>
    <s v="加拿大二店"/>
    <x v="3"/>
    <x v="7"/>
    <x v="28"/>
    <x v="29"/>
    <x v="30"/>
    <s v="整份"/>
    <n v="4.95"/>
    <s v="份"/>
    <n v="16"/>
    <n v="79.2"/>
    <n v="0"/>
    <n v="0"/>
    <n v="0"/>
    <n v="0"/>
    <n v="0"/>
    <n v="0"/>
    <n v="0"/>
    <n v="0"/>
    <n v="1.89"/>
    <n v="0"/>
    <n v="16"/>
    <n v="81.17"/>
    <n v="3.86"/>
    <n v="77.31"/>
    <n v="1"/>
  </r>
  <r>
    <s v="2021-06-27"/>
    <s v="Vancouver"/>
    <s v="加拿大二店"/>
    <x v="2"/>
    <x v="4"/>
    <x v="112"/>
    <x v="106"/>
    <x v="116"/>
    <s v="常温"/>
    <n v="3.95"/>
    <s v="瓶"/>
    <n v="1"/>
    <n v="3.95"/>
    <n v="0"/>
    <n v="0"/>
    <n v="0"/>
    <n v="0"/>
    <n v="0"/>
    <n v="0"/>
    <n v="0"/>
    <n v="0"/>
    <n v="0"/>
    <n v="0"/>
    <n v="1"/>
    <n v="4.42"/>
    <n v="0.47"/>
    <n v="3.95"/>
    <n v="1"/>
  </r>
  <r>
    <s v="2021-06-27"/>
    <s v="Vancouver"/>
    <s v="加拿大二店"/>
    <x v="3"/>
    <x v="5"/>
    <x v="29"/>
    <x v="30"/>
    <x v="31"/>
    <s v="整份"/>
    <n v="3.95"/>
    <s v="份"/>
    <n v="7"/>
    <n v="27.65"/>
    <n v="0"/>
    <n v="0"/>
    <n v="0"/>
    <n v="0"/>
    <n v="0"/>
    <n v="0"/>
    <n v="0"/>
    <n v="0"/>
    <n v="1.87"/>
    <n v="0"/>
    <n v="7"/>
    <n v="27.06"/>
    <n v="1.28"/>
    <n v="25.78"/>
    <n v="1"/>
  </r>
  <r>
    <s v="2021-06-27"/>
    <s v="Vancouver"/>
    <s v="加拿大二店"/>
    <x v="6"/>
    <x v="13"/>
    <x v="30"/>
    <x v="31"/>
    <x v="32"/>
    <s v="整份"/>
    <n v="4.95"/>
    <s v="份"/>
    <n v="4"/>
    <n v="19.8"/>
    <n v="0"/>
    <n v="0"/>
    <n v="0"/>
    <n v="0"/>
    <n v="0"/>
    <n v="0"/>
    <n v="0"/>
    <n v="0"/>
    <n v="0"/>
    <n v="0"/>
    <n v="4"/>
    <n v="20.79"/>
    <n v="0.99"/>
    <n v="19.8"/>
    <n v="1"/>
  </r>
  <r>
    <s v="2021-06-27"/>
    <s v="Vancouver"/>
    <s v="加拿大二店"/>
    <x v="6"/>
    <x v="13"/>
    <x v="31"/>
    <x v="32"/>
    <x v="33"/>
    <s v="整份"/>
    <n v="9.95"/>
    <s v="份"/>
    <n v="2"/>
    <n v="19.9"/>
    <n v="0"/>
    <n v="0"/>
    <n v="0"/>
    <n v="0"/>
    <n v="0"/>
    <n v="0"/>
    <n v="0"/>
    <n v="0"/>
    <n v="0"/>
    <n v="0"/>
    <n v="2"/>
    <n v="20.89"/>
    <n v="0.99"/>
    <n v="19.9"/>
    <n v="1"/>
  </r>
  <r>
    <s v="2021-06-27"/>
    <s v="Vancouver"/>
    <s v="加拿大二店"/>
    <x v="5"/>
    <x v="12"/>
    <x v="32"/>
    <x v="33"/>
    <x v="34"/>
    <s v="整份"/>
    <n v="17.85"/>
    <s v="份"/>
    <n v="3"/>
    <n v="53.55"/>
    <n v="0"/>
    <n v="0"/>
    <n v="0"/>
    <n v="0"/>
    <n v="0"/>
    <n v="0"/>
    <n v="0"/>
    <n v="0"/>
    <n v="5.34"/>
    <n v="0"/>
    <n v="3"/>
    <n v="50.62"/>
    <n v="2.41"/>
    <n v="48.21"/>
    <n v="1"/>
  </r>
  <r>
    <s v="2021-06-27"/>
    <s v="Vancouver"/>
    <s v="加拿大二店"/>
    <x v="1"/>
    <x v="3"/>
    <x v="33"/>
    <x v="34"/>
    <x v="35"/>
    <s v="整份"/>
    <n v="11.95"/>
    <s v="份"/>
    <n v="25"/>
    <n v="298.75"/>
    <n v="3"/>
    <n v="35.85"/>
    <n v="0"/>
    <n v="0"/>
    <n v="0"/>
    <n v="0"/>
    <n v="0"/>
    <n v="0.01"/>
    <n v="11.95"/>
    <n v="0"/>
    <n v="22"/>
    <n v="263.48"/>
    <n v="12.54"/>
    <n v="250.94"/>
    <n v="1"/>
  </r>
  <r>
    <s v="2021-06-27"/>
    <s v="Vancouver"/>
    <s v="加拿大二店"/>
    <x v="5"/>
    <x v="12"/>
    <x v="34"/>
    <x v="35"/>
    <x v="36"/>
    <s v="整份"/>
    <n v="11.95"/>
    <s v="份"/>
    <n v="5"/>
    <n v="59.75"/>
    <n v="0"/>
    <n v="0"/>
    <n v="0"/>
    <n v="0"/>
    <n v="0"/>
    <n v="0"/>
    <n v="0"/>
    <n v="0"/>
    <n v="4.58"/>
    <n v="0"/>
    <n v="5"/>
    <n v="57.92"/>
    <n v="2.75"/>
    <n v="55.17"/>
    <n v="1"/>
  </r>
  <r>
    <s v="2021-06-27"/>
    <s v="Vancouver"/>
    <s v="加拿大二店"/>
    <x v="5"/>
    <x v="12"/>
    <x v="35"/>
    <x v="36"/>
    <x v="37"/>
    <s v="条"/>
    <n v="4.95"/>
    <s v="条"/>
    <n v="21"/>
    <n v="103.95"/>
    <n v="0"/>
    <n v="0"/>
    <n v="0"/>
    <n v="0"/>
    <n v="2"/>
    <n v="9.9"/>
    <n v="0"/>
    <n v="0"/>
    <n v="0"/>
    <n v="0"/>
    <n v="19"/>
    <n v="98.75"/>
    <n v="4.7"/>
    <n v="94.05"/>
    <n v="1"/>
  </r>
  <r>
    <s v="2021-06-27"/>
    <s v="Vancouver"/>
    <s v="加拿大二店"/>
    <x v="5"/>
    <x v="12"/>
    <x v="36"/>
    <x v="37"/>
    <x v="38"/>
    <s v="整份"/>
    <n v="13.95"/>
    <s v="份"/>
    <n v="15"/>
    <n v="209.25"/>
    <n v="0"/>
    <n v="0"/>
    <n v="0"/>
    <n v="0"/>
    <n v="0"/>
    <n v="0"/>
    <n v="0"/>
    <n v="0"/>
    <n v="3.95"/>
    <n v="0"/>
    <n v="15"/>
    <n v="215.56"/>
    <n v="10.26"/>
    <n v="205.3"/>
    <n v="1"/>
  </r>
  <r>
    <s v="2021-06-27"/>
    <s v="Vancouver"/>
    <s v="加拿大二店"/>
    <x v="5"/>
    <x v="12"/>
    <x v="37"/>
    <x v="38"/>
    <x v="39"/>
    <s v="整份"/>
    <n v="9.95"/>
    <s v="份"/>
    <n v="15"/>
    <n v="149.25"/>
    <n v="0"/>
    <n v="0"/>
    <n v="0"/>
    <n v="0"/>
    <n v="0"/>
    <n v="0"/>
    <n v="0"/>
    <n v="0"/>
    <n v="9.78"/>
    <n v="0"/>
    <n v="15"/>
    <n v="146.44"/>
    <n v="6.97"/>
    <n v="139.47"/>
    <n v="1"/>
  </r>
  <r>
    <s v="2021-06-27"/>
    <s v="Vancouver"/>
    <s v="加拿大二店"/>
    <x v="5"/>
    <x v="12"/>
    <x v="38"/>
    <x v="39"/>
    <x v="40"/>
    <s v="整份"/>
    <n v="9.95"/>
    <s v="份"/>
    <n v="9"/>
    <n v="89.55"/>
    <n v="0"/>
    <n v="0"/>
    <n v="0"/>
    <n v="0"/>
    <n v="0"/>
    <n v="0"/>
    <n v="0"/>
    <n v="0"/>
    <n v="7.54"/>
    <n v="0"/>
    <n v="9"/>
    <n v="86.11"/>
    <n v="4.1"/>
    <n v="82.01"/>
    <n v="1"/>
  </r>
  <r>
    <s v="2021-06-27"/>
    <s v="Vancouver"/>
    <s v="加拿大二店"/>
    <x v="6"/>
    <x v="13"/>
    <x v="39"/>
    <x v="40"/>
    <x v="41"/>
    <s v="整份"/>
    <n v="8.95"/>
    <s v="份"/>
    <n v="27"/>
    <n v="241.65"/>
    <n v="0"/>
    <n v="0"/>
    <n v="0"/>
    <n v="0"/>
    <n v="2"/>
    <n v="17.9"/>
    <n v="0"/>
    <n v="0"/>
    <n v="0.66"/>
    <n v="0"/>
    <n v="25"/>
    <n v="234.24"/>
    <n v="11.15"/>
    <n v="223.09"/>
    <n v="1"/>
  </r>
  <r>
    <s v="2021-06-27"/>
    <s v="Vancouver"/>
    <s v="加拿大二店"/>
    <x v="5"/>
    <x v="12"/>
    <x v="40"/>
    <x v="41"/>
    <x v="42"/>
    <s v="整份"/>
    <n v="9.95"/>
    <s v="份"/>
    <n v="7"/>
    <n v="69.65"/>
    <n v="0"/>
    <n v="0"/>
    <n v="0"/>
    <n v="0"/>
    <n v="0"/>
    <n v="0"/>
    <n v="0"/>
    <n v="0"/>
    <n v="3.98"/>
    <n v="0"/>
    <n v="7"/>
    <n v="68.95"/>
    <n v="3.28"/>
    <n v="65.67"/>
    <n v="1"/>
  </r>
  <r>
    <s v="2021-06-27"/>
    <s v="Vancouver"/>
    <s v="加拿大二店"/>
    <x v="1"/>
    <x v="6"/>
    <x v="131"/>
    <x v="125"/>
    <x v="136"/>
    <s v="整份"/>
    <n v="28.95"/>
    <s v="份"/>
    <n v="3"/>
    <n v="86.85"/>
    <n v="0"/>
    <n v="0"/>
    <n v="0"/>
    <n v="0"/>
    <n v="0"/>
    <n v="0"/>
    <n v="0"/>
    <n v="-0.04"/>
    <n v="0"/>
    <n v="0"/>
    <n v="3"/>
    <n v="92.1"/>
    <n v="5.21"/>
    <n v="86.89"/>
    <n v="1"/>
  </r>
  <r>
    <s v="2021-06-27"/>
    <s v="Vancouver"/>
    <s v="加拿大二店"/>
    <x v="5"/>
    <x v="12"/>
    <x v="41"/>
    <x v="42"/>
    <x v="43"/>
    <s v="整份"/>
    <n v="7.95"/>
    <s v="份"/>
    <n v="11"/>
    <n v="87.45"/>
    <n v="0"/>
    <n v="0"/>
    <n v="0"/>
    <n v="0"/>
    <n v="1"/>
    <n v="7.95"/>
    <n v="0"/>
    <n v="0"/>
    <n v="4.43"/>
    <n v="0"/>
    <n v="10"/>
    <n v="78.82"/>
    <n v="3.75"/>
    <n v="75.07"/>
    <n v="1"/>
  </r>
  <r>
    <s v="2021-06-27"/>
    <s v="Vancouver"/>
    <s v="加拿大二店"/>
    <x v="2"/>
    <x v="2"/>
    <x v="42"/>
    <x v="43"/>
    <x v="44"/>
    <s v="冰镇"/>
    <n v="5.95"/>
    <s v="瓶"/>
    <n v="7"/>
    <n v="41.65"/>
    <n v="0"/>
    <n v="0"/>
    <n v="0"/>
    <n v="0"/>
    <n v="0"/>
    <n v="0"/>
    <n v="0"/>
    <n v="0"/>
    <n v="0"/>
    <n v="0"/>
    <n v="7"/>
    <n v="47.89"/>
    <n v="6.24"/>
    <n v="41.65"/>
    <n v="1"/>
  </r>
  <r>
    <s v="2021-06-27"/>
    <s v="Vancouver"/>
    <s v="加拿大二店"/>
    <x v="3"/>
    <x v="5"/>
    <x v="43"/>
    <x v="44"/>
    <x v="45"/>
    <s v="整份"/>
    <n v="3.95"/>
    <s v="份"/>
    <n v="8"/>
    <n v="31.6"/>
    <n v="0"/>
    <n v="0"/>
    <n v="0"/>
    <n v="0"/>
    <n v="0"/>
    <n v="0"/>
    <n v="0"/>
    <n v="0"/>
    <n v="0"/>
    <n v="0"/>
    <n v="8"/>
    <n v="33.18"/>
    <n v="1.58"/>
    <n v="31.6"/>
    <n v="1"/>
  </r>
  <r>
    <s v="2021-06-27"/>
    <s v="Vancouver"/>
    <s v="加拿大二店"/>
    <x v="7"/>
    <x v="14"/>
    <x v="44"/>
    <x v="45"/>
    <x v="46"/>
    <s v="整份"/>
    <n v="0"/>
    <s v="份"/>
    <n v="13"/>
    <n v="0"/>
    <n v="0"/>
    <n v="0"/>
    <n v="0"/>
    <n v="0"/>
    <n v="0"/>
    <n v="0"/>
    <n v="0"/>
    <n v="0"/>
    <n v="0"/>
    <n v="0"/>
    <n v="13"/>
    <n v="0"/>
    <n v="0"/>
    <n v="0"/>
    <n v="1"/>
  </r>
  <r>
    <s v="2021-06-27"/>
    <s v="Vancouver"/>
    <s v="加拿大二店"/>
    <x v="7"/>
    <x v="14"/>
    <x v="45"/>
    <x v="46"/>
    <x v="47"/>
    <s v="整份"/>
    <n v="2.95"/>
    <s v="份"/>
    <n v="1"/>
    <n v="2.95"/>
    <n v="0"/>
    <n v="0"/>
    <n v="0"/>
    <n v="0"/>
    <n v="0"/>
    <n v="0"/>
    <n v="0"/>
    <n v="0"/>
    <n v="0"/>
    <n v="0"/>
    <n v="1"/>
    <n v="3.09"/>
    <n v="0.14"/>
    <n v="2.95"/>
    <n v="1"/>
  </r>
  <r>
    <s v="2021-06-27"/>
    <s v="Vancouver"/>
    <s v="加拿大二店"/>
    <x v="7"/>
    <x v="14"/>
    <x v="45"/>
    <x v="46"/>
    <x v="47"/>
    <s v="整份"/>
    <n v="4.99"/>
    <s v="份"/>
    <n v="3"/>
    <n v="14.97"/>
    <n v="0"/>
    <n v="0"/>
    <n v="0"/>
    <n v="0"/>
    <n v="0"/>
    <n v="0"/>
    <n v="0"/>
    <n v="-0.01"/>
    <n v="0"/>
    <n v="0"/>
    <n v="3"/>
    <n v="15.72"/>
    <n v="0.74"/>
    <n v="14.98"/>
    <n v="1"/>
  </r>
  <r>
    <s v="2021-06-27"/>
    <s v="Vancouver"/>
    <s v="加拿大二店"/>
    <x v="7"/>
    <x v="14"/>
    <x v="45"/>
    <x v="46"/>
    <x v="47"/>
    <s v="整份"/>
    <n v="9.99"/>
    <s v="份"/>
    <n v="2"/>
    <n v="19.98"/>
    <n v="0"/>
    <n v="0"/>
    <n v="0"/>
    <n v="0"/>
    <n v="0"/>
    <n v="0"/>
    <n v="0"/>
    <n v="-0.02"/>
    <n v="0"/>
    <n v="0"/>
    <n v="2"/>
    <n v="21"/>
    <n v="1"/>
    <n v="20"/>
    <n v="1"/>
  </r>
  <r>
    <s v="2021-06-27"/>
    <s v="Vancouver"/>
    <s v="加拿大二店"/>
    <x v="7"/>
    <x v="14"/>
    <x v="45"/>
    <x v="46"/>
    <x v="47"/>
    <s v="整份"/>
    <n v="12.99"/>
    <s v="份"/>
    <n v="5"/>
    <n v="64.95"/>
    <n v="0"/>
    <n v="0"/>
    <n v="0"/>
    <n v="0"/>
    <n v="0"/>
    <n v="0"/>
    <n v="0"/>
    <n v="-0.02"/>
    <n v="0"/>
    <n v="0"/>
    <n v="5"/>
    <n v="68.21"/>
    <n v="3.24"/>
    <n v="64.97"/>
    <n v="1"/>
  </r>
  <r>
    <s v="2021-06-27"/>
    <s v="Vancouver"/>
    <s v="加拿大二店"/>
    <x v="7"/>
    <x v="14"/>
    <x v="45"/>
    <x v="46"/>
    <x v="47"/>
    <s v="整份"/>
    <n v="14.95"/>
    <s v="份"/>
    <n v="1"/>
    <n v="14.95"/>
    <n v="0"/>
    <n v="0"/>
    <n v="0"/>
    <n v="0"/>
    <n v="0"/>
    <n v="0"/>
    <n v="0"/>
    <n v="0"/>
    <n v="0"/>
    <n v="0"/>
    <n v="1"/>
    <n v="15.69"/>
    <n v="0.74"/>
    <n v="14.95"/>
    <n v="1"/>
  </r>
  <r>
    <s v="2021-06-27"/>
    <s v="Vancouver"/>
    <s v="加拿大二店"/>
    <x v="7"/>
    <x v="14"/>
    <x v="45"/>
    <x v="46"/>
    <x v="47"/>
    <s v="整份"/>
    <n v="25.98"/>
    <s v="份"/>
    <n v="1"/>
    <n v="25.98"/>
    <n v="0"/>
    <n v="0"/>
    <n v="0"/>
    <n v="0"/>
    <n v="0"/>
    <n v="0"/>
    <n v="0"/>
    <n v="-0.01"/>
    <n v="0"/>
    <n v="0"/>
    <n v="1"/>
    <n v="27.28"/>
    <n v="1.29"/>
    <n v="25.99"/>
    <n v="1"/>
  </r>
  <r>
    <s v="2021-06-27"/>
    <s v="Vancouver"/>
    <s v="加拿大二店"/>
    <x v="7"/>
    <x v="14"/>
    <x v="45"/>
    <x v="46"/>
    <x v="47"/>
    <s v="整份"/>
    <n v="27.25"/>
    <s v="份"/>
    <n v="1"/>
    <n v="27.25"/>
    <n v="0"/>
    <n v="0"/>
    <n v="0"/>
    <n v="0"/>
    <n v="0"/>
    <n v="0"/>
    <n v="0"/>
    <n v="-0.01"/>
    <n v="0"/>
    <n v="0"/>
    <n v="1"/>
    <n v="28.62"/>
    <n v="1.36"/>
    <n v="27.26"/>
    <n v="1"/>
  </r>
  <r>
    <s v="2021-06-27"/>
    <s v="Vancouver"/>
    <s v="加拿大二店"/>
    <x v="7"/>
    <x v="14"/>
    <x v="45"/>
    <x v="46"/>
    <x v="47"/>
    <s v="整份"/>
    <n v="28.95"/>
    <s v="份"/>
    <n v="5"/>
    <n v="144.75"/>
    <n v="0"/>
    <n v="0"/>
    <n v="0"/>
    <n v="0"/>
    <n v="0"/>
    <n v="0"/>
    <n v="0"/>
    <n v="0.01"/>
    <n v="0"/>
    <n v="0"/>
    <n v="5"/>
    <n v="151.97"/>
    <n v="7.23"/>
    <n v="144.74"/>
    <n v="1"/>
  </r>
  <r>
    <s v="2021-06-27"/>
    <s v="Vancouver"/>
    <s v="加拿大二店"/>
    <x v="7"/>
    <x v="14"/>
    <x v="45"/>
    <x v="46"/>
    <x v="47"/>
    <s v="整份"/>
    <n v="29.9"/>
    <s v="份"/>
    <n v="1"/>
    <n v="29.9"/>
    <n v="0"/>
    <n v="0"/>
    <n v="0"/>
    <n v="0"/>
    <n v="0"/>
    <n v="0"/>
    <n v="0"/>
    <n v="0.01"/>
    <n v="0"/>
    <n v="0"/>
    <n v="1"/>
    <n v="31.38"/>
    <n v="1.49"/>
    <n v="29.89"/>
    <n v="1"/>
  </r>
  <r>
    <s v="2021-06-27"/>
    <s v="Vancouver"/>
    <s v="加拿大二店"/>
    <x v="7"/>
    <x v="14"/>
    <x v="45"/>
    <x v="46"/>
    <x v="47"/>
    <s v="整份"/>
    <n v="30.15"/>
    <s v="份"/>
    <n v="1"/>
    <n v="30.15"/>
    <n v="0"/>
    <n v="0"/>
    <n v="0"/>
    <n v="0"/>
    <n v="0"/>
    <n v="0"/>
    <n v="0"/>
    <n v="0.02"/>
    <n v="0"/>
    <n v="0"/>
    <n v="1"/>
    <n v="31.63"/>
    <n v="1.5"/>
    <n v="30.13"/>
    <n v="1"/>
  </r>
  <r>
    <s v="2021-06-27"/>
    <s v="Vancouver"/>
    <s v="加拿大二店"/>
    <x v="7"/>
    <x v="14"/>
    <x v="45"/>
    <x v="46"/>
    <x v="47"/>
    <s v="整份"/>
    <n v="44.94"/>
    <s v="份"/>
    <n v="1"/>
    <n v="44.94"/>
    <n v="0"/>
    <n v="0"/>
    <n v="0"/>
    <n v="0"/>
    <n v="0"/>
    <n v="0"/>
    <n v="0"/>
    <n v="0.01"/>
    <n v="0"/>
    <n v="0"/>
    <n v="1"/>
    <n v="47.17"/>
    <n v="2.24"/>
    <n v="44.93"/>
    <n v="1"/>
  </r>
  <r>
    <s v="2021-06-27"/>
    <s v="Vancouver"/>
    <s v="加拿大二店"/>
    <x v="7"/>
    <x v="14"/>
    <x v="45"/>
    <x v="46"/>
    <x v="47"/>
    <s v="整份"/>
    <n v="46.5"/>
    <s v="份"/>
    <n v="1"/>
    <n v="46.5"/>
    <n v="0"/>
    <n v="0"/>
    <n v="0"/>
    <n v="0"/>
    <n v="0"/>
    <n v="0"/>
    <n v="0"/>
    <n v="-0.01"/>
    <n v="0"/>
    <n v="0"/>
    <n v="1"/>
    <n v="48.83"/>
    <n v="2.32"/>
    <n v="46.51"/>
    <n v="1"/>
  </r>
  <r>
    <s v="2021-06-27"/>
    <s v="Vancouver"/>
    <s v="加拿大二店"/>
    <x v="7"/>
    <x v="14"/>
    <x v="45"/>
    <x v="46"/>
    <x v="47"/>
    <s v="整份"/>
    <n v="52.59"/>
    <s v="份"/>
    <n v="1"/>
    <n v="52.59"/>
    <n v="0"/>
    <n v="0"/>
    <n v="0"/>
    <n v="0"/>
    <n v="0"/>
    <n v="0"/>
    <n v="0"/>
    <n v="0"/>
    <n v="0"/>
    <n v="0"/>
    <n v="1"/>
    <n v="55.21"/>
    <n v="2.62"/>
    <n v="52.59"/>
    <n v="1"/>
  </r>
  <r>
    <s v="2021-06-27"/>
    <s v="Vancouver"/>
    <s v="加拿大二店"/>
    <x v="2"/>
    <x v="4"/>
    <x v="47"/>
    <x v="48"/>
    <x v="49"/>
    <s v="冰镇"/>
    <n v="2.95"/>
    <s v="听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27"/>
    <s v="Vancouver"/>
    <s v="加拿大二店"/>
    <x v="2"/>
    <x v="21"/>
    <x v="133"/>
    <x v="127"/>
    <x v="138"/>
    <s v="小瓶"/>
    <n v="9.95"/>
    <s v="小瓶"/>
    <n v="1"/>
    <n v="9.95"/>
    <n v="0"/>
    <n v="0"/>
    <n v="0"/>
    <n v="0"/>
    <n v="0"/>
    <n v="0"/>
    <n v="0"/>
    <n v="0"/>
    <n v="0"/>
    <n v="0"/>
    <n v="1"/>
    <n v="11.44"/>
    <n v="1.49"/>
    <n v="9.95"/>
    <n v="1"/>
  </r>
  <r>
    <s v="2021-06-27"/>
    <s v="Vancouver"/>
    <s v="加拿大二店"/>
    <x v="6"/>
    <x v="13"/>
    <x v="48"/>
    <x v="49"/>
    <x v="50"/>
    <s v="整份"/>
    <n v="4.95"/>
    <s v="份"/>
    <n v="10"/>
    <n v="49.5"/>
    <n v="0"/>
    <n v="0"/>
    <n v="0"/>
    <n v="0"/>
    <n v="0"/>
    <n v="0"/>
    <n v="0"/>
    <n v="0"/>
    <n v="1.4"/>
    <n v="0"/>
    <n v="10"/>
    <n v="50.5"/>
    <n v="2.4"/>
    <n v="48.1"/>
    <n v="1"/>
  </r>
  <r>
    <s v="2021-06-27"/>
    <s v="Vancouver"/>
    <s v="加拿大二店"/>
    <x v="3"/>
    <x v="7"/>
    <x v="49"/>
    <x v="50"/>
    <x v="51"/>
    <s v="整份"/>
    <n v="4.95"/>
    <s v="份"/>
    <n v="5"/>
    <n v="24.75"/>
    <n v="0"/>
    <n v="0"/>
    <n v="0"/>
    <n v="0"/>
    <n v="0"/>
    <n v="0"/>
    <n v="0"/>
    <n v="0"/>
    <n v="0"/>
    <n v="0"/>
    <n v="5"/>
    <n v="25.98"/>
    <n v="1.23"/>
    <n v="24.75"/>
    <n v="1"/>
  </r>
  <r>
    <s v="2021-06-27"/>
    <s v="Vancouver"/>
    <s v="加拿大二店"/>
    <x v="6"/>
    <x v="15"/>
    <x v="50"/>
    <x v="51"/>
    <x v="52"/>
    <s v="份"/>
    <n v="8.95"/>
    <s v="份"/>
    <n v="1"/>
    <n v="8.95"/>
    <n v="1"/>
    <n v="8.95"/>
    <n v="0"/>
    <n v="0"/>
    <n v="0"/>
    <n v="0"/>
    <n v="0"/>
    <n v="0"/>
    <n v="0"/>
    <n v="0"/>
    <n v="0"/>
    <n v="0"/>
    <n v="0"/>
    <n v="0"/>
    <n v="1"/>
  </r>
  <r>
    <s v="2021-06-27"/>
    <s v="Vancouver"/>
    <s v="加拿大二店"/>
    <x v="3"/>
    <x v="5"/>
    <x v="51"/>
    <x v="52"/>
    <x v="53"/>
    <s v="整份"/>
    <n v="3.95"/>
    <s v="份"/>
    <n v="4"/>
    <n v="15.8"/>
    <n v="0"/>
    <n v="0"/>
    <n v="0"/>
    <n v="0"/>
    <n v="0"/>
    <n v="0"/>
    <n v="0"/>
    <n v="0"/>
    <n v="0"/>
    <n v="0"/>
    <n v="4"/>
    <n v="16.59"/>
    <n v="0.79"/>
    <n v="15.8"/>
    <n v="1"/>
  </r>
  <r>
    <s v="2021-06-27"/>
    <s v="Vancouver"/>
    <s v="加拿大二店"/>
    <x v="3"/>
    <x v="5"/>
    <x v="52"/>
    <x v="53"/>
    <x v="54"/>
    <s v="整份"/>
    <n v="5.95"/>
    <s v="份"/>
    <n v="5"/>
    <n v="29.75"/>
    <n v="0"/>
    <n v="0"/>
    <n v="0"/>
    <n v="0"/>
    <n v="0"/>
    <n v="0"/>
    <n v="0"/>
    <n v="0.03"/>
    <n v="1.19"/>
    <n v="0"/>
    <n v="5"/>
    <n v="29.95"/>
    <n v="1.42"/>
    <n v="28.53"/>
    <n v="1"/>
  </r>
  <r>
    <s v="2021-06-27"/>
    <s v="Vancouver"/>
    <s v="加拿大二店"/>
    <x v="4"/>
    <x v="9"/>
    <x v="53"/>
    <x v="0"/>
    <x v="55"/>
    <s v="拼锅"/>
    <n v="0"/>
    <s v="锅"/>
    <n v="11"/>
    <n v="0"/>
    <n v="0"/>
    <n v="0"/>
    <n v="0"/>
    <n v="0"/>
    <n v="0"/>
    <n v="0"/>
    <n v="0"/>
    <n v="0.01"/>
    <n v="0.01"/>
    <n v="0"/>
    <n v="11"/>
    <n v="-0.02"/>
    <n v="-0.01"/>
    <n v="-0.01"/>
    <n v="2"/>
  </r>
  <r>
    <s v="2021-06-27"/>
    <s v="Vancouver"/>
    <s v="加拿大二店"/>
    <x v="4"/>
    <x v="10"/>
    <x v="53"/>
    <x v="0"/>
    <x v="55"/>
    <s v="四宫格"/>
    <n v="0"/>
    <s v="锅"/>
    <n v="25"/>
    <n v="0"/>
    <n v="0"/>
    <n v="0"/>
    <n v="0"/>
    <n v="0"/>
    <n v="0"/>
    <n v="0"/>
    <n v="0"/>
    <n v="0.03"/>
    <n v="0"/>
    <n v="0"/>
    <n v="25"/>
    <n v="-0.03"/>
    <n v="-0.01"/>
    <n v="-0.02"/>
    <n v="1"/>
  </r>
  <r>
    <s v="2021-06-27"/>
    <s v="Vancouver"/>
    <s v="加拿大二店"/>
    <x v="6"/>
    <x v="13"/>
    <x v="54"/>
    <x v="54"/>
    <x v="56"/>
    <s v="个"/>
    <n v="1.95"/>
    <s v="个"/>
    <n v="9"/>
    <n v="17.55"/>
    <n v="0"/>
    <n v="0"/>
    <n v="0"/>
    <n v="0"/>
    <n v="1"/>
    <n v="1.95"/>
    <n v="0"/>
    <n v="0"/>
    <n v="0"/>
    <n v="0"/>
    <n v="8"/>
    <n v="16.38"/>
    <n v="0.78"/>
    <n v="15.6"/>
    <n v="1"/>
  </r>
  <r>
    <s v="2021-06-27"/>
    <s v="Vancouver"/>
    <s v="加拿大二店"/>
    <x v="6"/>
    <x v="13"/>
    <x v="114"/>
    <x v="108"/>
    <x v="118"/>
    <s v="整份"/>
    <n v="7.95"/>
    <s v="份"/>
    <n v="2"/>
    <n v="15.9"/>
    <n v="0"/>
    <n v="0"/>
    <n v="0"/>
    <n v="0"/>
    <n v="0"/>
    <n v="0"/>
    <n v="0"/>
    <n v="0"/>
    <n v="0"/>
    <n v="0"/>
    <n v="2"/>
    <n v="16.69"/>
    <n v="0.79"/>
    <n v="15.9"/>
    <n v="1"/>
  </r>
  <r>
    <s v="2021-06-27"/>
    <s v="Vancouver"/>
    <s v="加拿大二店"/>
    <x v="1"/>
    <x v="8"/>
    <x v="55"/>
    <x v="55"/>
    <x v="57"/>
    <s v="整份"/>
    <n v="9.95"/>
    <s v="份"/>
    <n v="6"/>
    <n v="59.7"/>
    <n v="0"/>
    <n v="0"/>
    <n v="0"/>
    <n v="0"/>
    <n v="0"/>
    <n v="0"/>
    <n v="0"/>
    <n v="0"/>
    <n v="1.99"/>
    <n v="0"/>
    <n v="6"/>
    <n v="60.59"/>
    <n v="2.88"/>
    <n v="57.71"/>
    <n v="1"/>
  </r>
  <r>
    <s v="2021-06-27"/>
    <s v="Vancouver"/>
    <s v="加拿大二店"/>
    <x v="1"/>
    <x v="1"/>
    <x v="56"/>
    <x v="56"/>
    <x v="58"/>
    <s v="整份"/>
    <n v="12.95"/>
    <s v="份"/>
    <n v="14"/>
    <n v="181.3"/>
    <n v="0"/>
    <n v="0"/>
    <n v="0"/>
    <n v="0"/>
    <n v="0"/>
    <n v="0"/>
    <n v="0"/>
    <n v="0"/>
    <n v="4.75"/>
    <n v="0"/>
    <n v="14"/>
    <n v="185.37"/>
    <n v="8.82"/>
    <n v="176.55"/>
    <n v="1"/>
  </r>
  <r>
    <s v="2021-06-27"/>
    <s v="Vancouver"/>
    <s v="加拿大二店"/>
    <x v="1"/>
    <x v="1"/>
    <x v="57"/>
    <x v="57"/>
    <x v="59"/>
    <s v="整份"/>
    <n v="11.95"/>
    <s v="份"/>
    <n v="39"/>
    <n v="466.05"/>
    <n v="0"/>
    <n v="0"/>
    <n v="0"/>
    <n v="0"/>
    <n v="0"/>
    <n v="0"/>
    <n v="0"/>
    <n v="0"/>
    <n v="11.57"/>
    <n v="0"/>
    <n v="39"/>
    <n v="477.2"/>
    <n v="22.72"/>
    <n v="454.48"/>
    <n v="1"/>
  </r>
  <r>
    <s v="2021-06-27"/>
    <s v="Vancouver"/>
    <s v="加拿大二店"/>
    <x v="4"/>
    <x v="16"/>
    <x v="58"/>
    <x v="0"/>
    <x v="60"/>
    <s v="单锅"/>
    <n v="16.95"/>
    <s v="锅"/>
    <n v="1"/>
    <n v="16.95"/>
    <n v="0"/>
    <n v="0"/>
    <n v="0"/>
    <n v="0"/>
    <n v="0"/>
    <n v="0"/>
    <n v="0"/>
    <n v="0"/>
    <n v="0"/>
    <n v="0"/>
    <n v="1"/>
    <n v="17.79"/>
    <n v="0.84"/>
    <n v="16.95"/>
    <n v="4"/>
  </r>
  <r>
    <s v="2021-06-27"/>
    <s v="Vancouver"/>
    <s v="加拿大二店"/>
    <x v="4"/>
    <x v="9"/>
    <x v="58"/>
    <x v="0"/>
    <x v="60"/>
    <s v="拼锅"/>
    <n v="8.95"/>
    <s v="锅"/>
    <n v="18"/>
    <n v="161.1"/>
    <n v="0"/>
    <n v="0"/>
    <n v="0"/>
    <n v="0"/>
    <n v="1"/>
    <n v="8.95"/>
    <n v="0"/>
    <n v="-0.01"/>
    <n v="1.79"/>
    <n v="0"/>
    <n v="17"/>
    <n v="157.88"/>
    <n v="7.51"/>
    <n v="150.37"/>
    <n v="2"/>
  </r>
  <r>
    <s v="2021-06-27"/>
    <s v="Vancouver"/>
    <s v="加拿大二店"/>
    <x v="4"/>
    <x v="10"/>
    <x v="58"/>
    <x v="0"/>
    <x v="60"/>
    <s v="四宫格"/>
    <n v="4.95"/>
    <s v="锅"/>
    <n v="9"/>
    <n v="44.55"/>
    <n v="0"/>
    <n v="0"/>
    <n v="0"/>
    <n v="0"/>
    <n v="0"/>
    <n v="0"/>
    <n v="0"/>
    <n v="0"/>
    <n v="0"/>
    <n v="0"/>
    <n v="9"/>
    <n v="46.77"/>
    <n v="2.22"/>
    <n v="44.55"/>
    <n v="1"/>
  </r>
  <r>
    <s v="2021-06-27"/>
    <s v="Vancouver"/>
    <s v="加拿大二店"/>
    <x v="2"/>
    <x v="21"/>
    <x v="115"/>
    <x v="109"/>
    <x v="119"/>
    <s v="瓶"/>
    <n v="49.95"/>
    <s v="瓶"/>
    <n v="2"/>
    <n v="99.9"/>
    <n v="0"/>
    <n v="0"/>
    <n v="0"/>
    <n v="0"/>
    <n v="0"/>
    <n v="0"/>
    <n v="0"/>
    <n v="0"/>
    <n v="0"/>
    <n v="0"/>
    <n v="2"/>
    <n v="114.88"/>
    <n v="14.98"/>
    <n v="99.9"/>
    <n v="1"/>
  </r>
  <r>
    <s v="2021-06-27"/>
    <s v="Vancouver"/>
    <s v="加拿大二店"/>
    <x v="3"/>
    <x v="5"/>
    <x v="59"/>
    <x v="58"/>
    <x v="61"/>
    <s v="整份"/>
    <n v="4.95"/>
    <s v="份"/>
    <n v="4"/>
    <n v="19.8"/>
    <n v="0"/>
    <n v="0"/>
    <n v="0"/>
    <n v="0"/>
    <n v="0"/>
    <n v="0"/>
    <n v="0"/>
    <n v="0"/>
    <n v="1.4"/>
    <n v="0"/>
    <n v="4"/>
    <n v="19.32"/>
    <n v="0.92"/>
    <n v="18.4"/>
    <n v="1"/>
  </r>
  <r>
    <s v="2021-06-27"/>
    <s v="Vancouver"/>
    <s v="加拿大二店"/>
    <x v="2"/>
    <x v="4"/>
    <x v="60"/>
    <x v="59"/>
    <x v="62"/>
    <s v="冰镇"/>
    <n v="6.95"/>
    <s v="扎"/>
    <n v="2"/>
    <n v="13.9"/>
    <n v="0"/>
    <n v="0"/>
    <n v="0"/>
    <n v="0"/>
    <n v="0"/>
    <n v="0"/>
    <n v="0"/>
    <n v="0"/>
    <n v="0"/>
    <n v="0"/>
    <n v="2"/>
    <n v="15.56"/>
    <n v="1.66"/>
    <n v="13.9"/>
    <n v="1"/>
  </r>
  <r>
    <s v="2021-06-27"/>
    <s v="Vancouver"/>
    <s v="加拿大二店"/>
    <x v="6"/>
    <x v="13"/>
    <x v="61"/>
    <x v="60"/>
    <x v="63"/>
    <s v="整份"/>
    <n v="3.95"/>
    <s v="包"/>
    <n v="7"/>
    <n v="27.65"/>
    <n v="0"/>
    <n v="0"/>
    <n v="0"/>
    <n v="0"/>
    <n v="0"/>
    <n v="0"/>
    <n v="0"/>
    <n v="0.01"/>
    <n v="0.79"/>
    <n v="0"/>
    <n v="7"/>
    <n v="28.19"/>
    <n v="1.34"/>
    <n v="26.85"/>
    <n v="1"/>
  </r>
  <r>
    <s v="2021-06-27"/>
    <s v="Vancouver"/>
    <s v="加拿大二店"/>
    <x v="4"/>
    <x v="16"/>
    <x v="62"/>
    <x v="0"/>
    <x v="64"/>
    <s v="单锅"/>
    <n v="16.95"/>
    <s v="锅"/>
    <n v="1"/>
    <n v="16.95"/>
    <n v="0"/>
    <n v="0"/>
    <n v="0"/>
    <n v="0"/>
    <n v="0"/>
    <n v="0"/>
    <n v="0"/>
    <n v="0"/>
    <n v="0"/>
    <n v="0"/>
    <n v="1"/>
    <n v="17.79"/>
    <n v="0.84"/>
    <n v="16.95"/>
    <n v="4"/>
  </r>
  <r>
    <s v="2021-06-27"/>
    <s v="Vancouver"/>
    <s v="加拿大二店"/>
    <x v="4"/>
    <x v="9"/>
    <x v="62"/>
    <x v="0"/>
    <x v="64"/>
    <s v="拼锅"/>
    <n v="8.95"/>
    <s v="锅"/>
    <n v="18"/>
    <n v="161.1"/>
    <n v="0"/>
    <n v="0"/>
    <n v="0"/>
    <n v="0"/>
    <n v="1"/>
    <n v="8.95"/>
    <n v="0"/>
    <n v="-0.01"/>
    <n v="0.66"/>
    <n v="0"/>
    <n v="17"/>
    <n v="159.07"/>
    <n v="7.57"/>
    <n v="151.5"/>
    <n v="2"/>
  </r>
  <r>
    <s v="2021-06-27"/>
    <s v="Vancouver"/>
    <s v="加拿大二店"/>
    <x v="4"/>
    <x v="10"/>
    <x v="62"/>
    <x v="0"/>
    <x v="64"/>
    <s v="四宫格"/>
    <n v="4.95"/>
    <s v="锅"/>
    <n v="17"/>
    <n v="84.15"/>
    <n v="0"/>
    <n v="0"/>
    <n v="0"/>
    <n v="0"/>
    <n v="0"/>
    <n v="0"/>
    <n v="0"/>
    <n v="0"/>
    <n v="0"/>
    <n v="0"/>
    <n v="17"/>
    <n v="88.35"/>
    <n v="4.2"/>
    <n v="84.15"/>
    <n v="1"/>
  </r>
  <r>
    <s v="2021-06-27"/>
    <s v="Vancouver"/>
    <s v="加拿大二店"/>
    <x v="6"/>
    <x v="13"/>
    <x v="63"/>
    <x v="61"/>
    <x v="65"/>
    <s v="整份"/>
    <n v="1.5"/>
    <s v="碗"/>
    <n v="8"/>
    <n v="12"/>
    <n v="0"/>
    <n v="0"/>
    <n v="0"/>
    <n v="0"/>
    <n v="1"/>
    <n v="1.5"/>
    <n v="0"/>
    <n v="0"/>
    <n v="0"/>
    <n v="0"/>
    <n v="7"/>
    <n v="11.02"/>
    <n v="0.52"/>
    <n v="10.5"/>
    <n v="1"/>
  </r>
  <r>
    <s v="2021-06-27"/>
    <s v="Vancouver"/>
    <s v="加拿大二店"/>
    <x v="3"/>
    <x v="5"/>
    <x v="64"/>
    <x v="62"/>
    <x v="66"/>
    <s v="整份"/>
    <n v="3.95"/>
    <s v="份"/>
    <n v="9"/>
    <n v="35.55"/>
    <n v="0"/>
    <n v="0"/>
    <n v="0"/>
    <n v="0"/>
    <n v="1"/>
    <n v="3.95"/>
    <n v="0"/>
    <n v="0"/>
    <n v="0.79"/>
    <n v="0"/>
    <n v="8"/>
    <n v="32.35"/>
    <n v="1.54"/>
    <n v="30.81"/>
    <n v="1"/>
  </r>
  <r>
    <s v="2021-06-27"/>
    <s v="Vancouver"/>
    <s v="加拿大二店"/>
    <x v="2"/>
    <x v="4"/>
    <x v="65"/>
    <x v="63"/>
    <x v="67"/>
    <s v="扎"/>
    <n v="8.95"/>
    <s v="扎"/>
    <n v="3"/>
    <n v="26.85"/>
    <n v="0"/>
    <n v="0"/>
    <n v="0"/>
    <n v="0"/>
    <n v="1"/>
    <n v="8.95"/>
    <n v="0"/>
    <n v="-0.02"/>
    <n v="0"/>
    <n v="0"/>
    <n v="2"/>
    <n v="20.07"/>
    <n v="2.15"/>
    <n v="17.92"/>
    <n v="1"/>
  </r>
  <r>
    <s v="2021-06-27"/>
    <s v="Vancouver"/>
    <s v="加拿大二店"/>
    <x v="2"/>
    <x v="4"/>
    <x v="66"/>
    <x v="64"/>
    <x v="68"/>
    <s v="扎"/>
    <n v="11.95"/>
    <s v="扎"/>
    <n v="2"/>
    <n v="23.9"/>
    <n v="0"/>
    <n v="0"/>
    <n v="0"/>
    <n v="0"/>
    <n v="0"/>
    <n v="0"/>
    <n v="0"/>
    <n v="0"/>
    <n v="0"/>
    <n v="0"/>
    <n v="2"/>
    <n v="26.76"/>
    <n v="2.86"/>
    <n v="23.9"/>
    <n v="1"/>
  </r>
  <r>
    <s v="2021-06-27"/>
    <s v="Vancouver"/>
    <s v="加拿大二店"/>
    <x v="3"/>
    <x v="5"/>
    <x v="134"/>
    <x v="128"/>
    <x v="139"/>
    <s v="整份"/>
    <n v="13.95"/>
    <s v="份"/>
    <n v="7"/>
    <n v="97.65"/>
    <n v="0"/>
    <n v="0"/>
    <n v="0"/>
    <n v="0"/>
    <n v="0"/>
    <n v="0"/>
    <n v="0"/>
    <n v="-0.01"/>
    <n v="3.95"/>
    <n v="0"/>
    <n v="7"/>
    <n v="98.39"/>
    <n v="4.68"/>
    <n v="93.71"/>
    <n v="1"/>
  </r>
  <r>
    <s v="2021-06-27"/>
    <s v="Vancouver"/>
    <s v="加拿大二店"/>
    <x v="3"/>
    <x v="5"/>
    <x v="117"/>
    <x v="111"/>
    <x v="121"/>
    <s v="整份"/>
    <n v="4.95"/>
    <s v="份"/>
    <n v="7"/>
    <n v="34.65"/>
    <n v="0"/>
    <n v="0"/>
    <n v="0"/>
    <n v="0"/>
    <n v="0"/>
    <n v="0"/>
    <n v="0"/>
    <n v="0"/>
    <n v="0.99"/>
    <n v="0"/>
    <n v="7"/>
    <n v="35.34"/>
    <n v="1.68"/>
    <n v="33.66"/>
    <n v="1"/>
  </r>
  <r>
    <s v="2021-06-27"/>
    <s v="Vancouver"/>
    <s v="加拿大二店"/>
    <x v="3"/>
    <x v="7"/>
    <x v="67"/>
    <x v="65"/>
    <x v="69"/>
    <s v="整份"/>
    <n v="3.95"/>
    <s v="份"/>
    <n v="2"/>
    <n v="7.9"/>
    <n v="0"/>
    <n v="0"/>
    <n v="0"/>
    <n v="0"/>
    <n v="0"/>
    <n v="0"/>
    <n v="0"/>
    <n v="0"/>
    <n v="0"/>
    <n v="0"/>
    <n v="2"/>
    <n v="8.29"/>
    <n v="0.39"/>
    <n v="7.9"/>
    <n v="1"/>
  </r>
  <r>
    <s v="2021-06-27"/>
    <s v="Vancouver"/>
    <s v="加拿大二店"/>
    <x v="1"/>
    <x v="1"/>
    <x v="68"/>
    <x v="66"/>
    <x v="70"/>
    <s v="整份"/>
    <n v="8.95"/>
    <s v="份"/>
    <n v="53"/>
    <n v="474.35"/>
    <n v="0"/>
    <n v="0"/>
    <n v="0"/>
    <n v="0"/>
    <n v="0"/>
    <n v="0"/>
    <n v="0"/>
    <n v="0"/>
    <n v="7.53"/>
    <n v="0"/>
    <n v="53"/>
    <n v="490.16"/>
    <n v="23.34"/>
    <n v="466.82"/>
    <n v="1"/>
  </r>
  <r>
    <s v="2021-06-27"/>
    <s v="Vancouver"/>
    <s v="加拿大二店"/>
    <x v="1"/>
    <x v="1"/>
    <x v="69"/>
    <x v="67"/>
    <x v="71"/>
    <s v="整份"/>
    <n v="8.95"/>
    <s v="份"/>
    <n v="4"/>
    <n v="35.8"/>
    <n v="0"/>
    <n v="0"/>
    <n v="0"/>
    <n v="0"/>
    <n v="0"/>
    <n v="0"/>
    <n v="0"/>
    <n v="0"/>
    <n v="0"/>
    <n v="0"/>
    <n v="4"/>
    <n v="37.59"/>
    <n v="1.79"/>
    <n v="35.8"/>
    <n v="1"/>
  </r>
  <r>
    <s v="2021-06-27"/>
    <s v="Vancouver"/>
    <s v="加拿大二店"/>
    <x v="6"/>
    <x v="15"/>
    <x v="70"/>
    <x v="68"/>
    <x v="72"/>
    <s v="整份"/>
    <n v="1.5"/>
    <s v="份"/>
    <n v="4"/>
    <n v="6"/>
    <n v="0"/>
    <n v="0"/>
    <n v="0"/>
    <n v="0"/>
    <n v="0"/>
    <n v="0"/>
    <n v="0"/>
    <n v="0.01"/>
    <n v="0"/>
    <n v="0"/>
    <n v="4"/>
    <n v="6.28"/>
    <n v="0.29"/>
    <n v="5.99"/>
    <n v="1"/>
  </r>
  <r>
    <s v="2021-06-27"/>
    <s v="Vancouver"/>
    <s v="加拿大二店"/>
    <x v="4"/>
    <x v="9"/>
    <x v="71"/>
    <x v="0"/>
    <x v="73"/>
    <s v="拼锅"/>
    <n v="18.95"/>
    <s v="锅"/>
    <n v="12"/>
    <n v="227.4"/>
    <n v="0"/>
    <n v="0"/>
    <n v="0"/>
    <n v="0"/>
    <n v="0"/>
    <n v="0"/>
    <n v="0"/>
    <n v="0.06"/>
    <n v="3.79"/>
    <n v="0"/>
    <n v="12"/>
    <n v="234.72"/>
    <n v="11.17"/>
    <n v="223.55"/>
    <n v="2"/>
  </r>
  <r>
    <s v="2021-06-27"/>
    <s v="Vancouver"/>
    <s v="加拿大二店"/>
    <x v="4"/>
    <x v="10"/>
    <x v="71"/>
    <x v="0"/>
    <x v="73"/>
    <s v="四宫格"/>
    <n v="9.95"/>
    <s v="锅"/>
    <n v="7"/>
    <n v="69.65"/>
    <n v="0"/>
    <n v="0"/>
    <n v="0"/>
    <n v="0"/>
    <n v="0"/>
    <n v="0"/>
    <n v="0"/>
    <n v="0.03"/>
    <n v="0"/>
    <n v="0"/>
    <n v="7"/>
    <n v="73.1"/>
    <n v="3.48"/>
    <n v="69.62"/>
    <n v="1"/>
  </r>
  <r>
    <s v="2021-06-27"/>
    <s v="Vancouver"/>
    <s v="加拿大二店"/>
    <x v="1"/>
    <x v="8"/>
    <x v="72"/>
    <x v="69"/>
    <x v="74"/>
    <s v="个"/>
    <n v="7.95"/>
    <s v="份"/>
    <n v="3"/>
    <n v="23.85"/>
    <n v="0"/>
    <n v="0"/>
    <n v="0"/>
    <n v="0"/>
    <n v="0"/>
    <n v="0"/>
    <n v="0"/>
    <n v="0"/>
    <n v="0"/>
    <n v="0"/>
    <n v="3"/>
    <n v="25.04"/>
    <n v="1.19"/>
    <n v="23.85"/>
    <n v="1"/>
  </r>
  <r>
    <s v="2021-06-27"/>
    <s v="Vancouver"/>
    <s v="加拿大二店"/>
    <x v="6"/>
    <x v="13"/>
    <x v="73"/>
    <x v="70"/>
    <x v="75"/>
    <s v="份"/>
    <n v="6.95"/>
    <s v="份"/>
    <n v="4"/>
    <n v="27.8"/>
    <n v="0"/>
    <n v="0"/>
    <n v="0"/>
    <n v="0"/>
    <n v="0"/>
    <n v="0"/>
    <n v="0"/>
    <n v="0.02"/>
    <n v="0"/>
    <n v="0"/>
    <n v="4"/>
    <n v="29.16"/>
    <n v="1.38"/>
    <n v="27.78"/>
    <n v="1"/>
  </r>
  <r>
    <s v="2021-06-27"/>
    <s v="Vancouver"/>
    <s v="加拿大二店"/>
    <x v="4"/>
    <x v="9"/>
    <x v="74"/>
    <x v="0"/>
    <x v="76"/>
    <s v="拼锅"/>
    <n v="18.95"/>
    <s v="锅"/>
    <n v="1"/>
    <n v="18.95"/>
    <n v="0"/>
    <n v="0"/>
    <n v="0"/>
    <n v="0"/>
    <n v="0"/>
    <n v="0"/>
    <n v="0"/>
    <n v="0"/>
    <n v="0"/>
    <n v="0"/>
    <n v="1"/>
    <n v="19.89"/>
    <n v="0.94"/>
    <n v="18.95"/>
    <n v="2"/>
  </r>
  <r>
    <s v="2021-06-27"/>
    <s v="Vancouver"/>
    <s v="加拿大二店"/>
    <x v="4"/>
    <x v="10"/>
    <x v="74"/>
    <x v="0"/>
    <x v="76"/>
    <s v="四宫格"/>
    <n v="9.95"/>
    <s v="锅"/>
    <n v="4"/>
    <n v="39.8"/>
    <n v="0"/>
    <n v="0"/>
    <n v="0"/>
    <n v="0"/>
    <n v="0"/>
    <n v="0"/>
    <n v="0"/>
    <n v="0"/>
    <n v="0"/>
    <n v="0"/>
    <n v="4"/>
    <n v="41.79"/>
    <n v="1.99"/>
    <n v="39.8"/>
    <n v="1"/>
  </r>
  <r>
    <s v="2021-06-27"/>
    <s v="Vancouver"/>
    <s v="加拿大二店"/>
    <x v="1"/>
    <x v="6"/>
    <x v="118"/>
    <x v="112"/>
    <x v="122"/>
    <s v="整份"/>
    <n v="28.95"/>
    <s v="份"/>
    <n v="1"/>
    <n v="28.95"/>
    <n v="0"/>
    <n v="0"/>
    <n v="0"/>
    <n v="0"/>
    <n v="0"/>
    <n v="0"/>
    <n v="0"/>
    <n v="0"/>
    <n v="0"/>
    <n v="0"/>
    <n v="1"/>
    <n v="30.39"/>
    <n v="1.44"/>
    <n v="28.95"/>
    <n v="1"/>
  </r>
  <r>
    <s v="2021-06-27"/>
    <s v="Vancouver"/>
    <s v="加拿大二店"/>
    <x v="8"/>
    <x v="17"/>
    <x v="75"/>
    <x v="71"/>
    <x v="77"/>
    <s v="整份"/>
    <n v="3.99"/>
    <s v="位"/>
    <n v="126"/>
    <n v="502.74"/>
    <n v="0"/>
    <n v="0"/>
    <n v="0"/>
    <n v="0"/>
    <n v="0"/>
    <n v="0"/>
    <n v="0"/>
    <n v="-0.01"/>
    <n v="1.5"/>
    <n v="0"/>
    <n v="126"/>
    <n v="526.31"/>
    <n v="25.06"/>
    <n v="501.25"/>
    <n v="1"/>
  </r>
  <r>
    <s v="2021-06-27"/>
    <s v="Vancouver"/>
    <s v="加拿大二店"/>
    <x v="3"/>
    <x v="5"/>
    <x v="76"/>
    <x v="72"/>
    <x v="78"/>
    <s v="整份"/>
    <n v="3.95"/>
    <s v="份"/>
    <n v="6"/>
    <n v="23.7"/>
    <n v="0"/>
    <n v="0"/>
    <n v="0"/>
    <n v="0"/>
    <n v="0"/>
    <n v="0"/>
    <n v="0"/>
    <n v="0"/>
    <n v="1.58"/>
    <n v="0"/>
    <n v="6"/>
    <n v="23.22"/>
    <n v="1.1"/>
    <n v="22.12"/>
    <n v="1"/>
  </r>
  <r>
    <s v="2021-06-27"/>
    <s v="Vancouver"/>
    <s v="加拿大二店"/>
    <x v="1"/>
    <x v="3"/>
    <x v="77"/>
    <x v="73"/>
    <x v="79"/>
    <s v="整份"/>
    <n v="5.95"/>
    <s v="份"/>
    <n v="3"/>
    <n v="17.85"/>
    <n v="0"/>
    <n v="0"/>
    <n v="0"/>
    <n v="0"/>
    <n v="0"/>
    <n v="0"/>
    <n v="0"/>
    <n v="0"/>
    <n v="1.19"/>
    <n v="0"/>
    <n v="3"/>
    <n v="17.49"/>
    <n v="0.83"/>
    <n v="16.66"/>
    <n v="1"/>
  </r>
  <r>
    <s v="2021-06-27"/>
    <s v="Vancouver"/>
    <s v="加拿大二店"/>
    <x v="3"/>
    <x v="11"/>
    <x v="78"/>
    <x v="74"/>
    <x v="80"/>
    <s v="整份"/>
    <n v="5.95"/>
    <s v="份"/>
    <n v="5"/>
    <n v="29.75"/>
    <n v="0"/>
    <n v="0"/>
    <n v="0"/>
    <n v="0"/>
    <n v="0"/>
    <n v="0"/>
    <n v="0"/>
    <n v="0"/>
    <n v="1.19"/>
    <n v="0"/>
    <n v="5"/>
    <n v="29.98"/>
    <n v="1.42"/>
    <n v="28.56"/>
    <n v="1"/>
  </r>
  <r>
    <s v="2021-06-27"/>
    <s v="Vancouver"/>
    <s v="加拿大二店"/>
    <x v="3"/>
    <x v="11"/>
    <x v="78"/>
    <x v="75"/>
    <x v="81"/>
    <s v="半份"/>
    <n v="2.95"/>
    <s v="份"/>
    <n v="8"/>
    <n v="23.6"/>
    <n v="0"/>
    <n v="0"/>
    <n v="0"/>
    <n v="0"/>
    <n v="0"/>
    <n v="0"/>
    <n v="0"/>
    <n v="0"/>
    <n v="0"/>
    <n v="0"/>
    <n v="8"/>
    <n v="24.78"/>
    <n v="1.18"/>
    <n v="23.6"/>
    <n v="0.5"/>
  </r>
  <r>
    <s v="2021-06-27"/>
    <s v="Vancouver"/>
    <s v="加拿大二店"/>
    <x v="3"/>
    <x v="5"/>
    <x v="79"/>
    <x v="76"/>
    <x v="82"/>
    <s v="整份"/>
    <n v="3.95"/>
    <s v="份"/>
    <n v="11"/>
    <n v="43.45"/>
    <n v="0"/>
    <n v="0"/>
    <n v="0"/>
    <n v="0"/>
    <n v="0"/>
    <n v="0"/>
    <n v="0"/>
    <n v="0"/>
    <n v="2.76"/>
    <n v="0"/>
    <n v="11"/>
    <n v="42.72"/>
    <n v="2.03"/>
    <n v="40.69"/>
    <n v="1"/>
  </r>
  <r>
    <s v="2021-06-27"/>
    <s v="Vancouver"/>
    <s v="加拿大二店"/>
    <x v="3"/>
    <x v="5"/>
    <x v="80"/>
    <x v="77"/>
    <x v="83"/>
    <s v="整份"/>
    <n v="5.95"/>
    <s v="份"/>
    <n v="12"/>
    <n v="71.4"/>
    <n v="0"/>
    <n v="0"/>
    <n v="0"/>
    <n v="0"/>
    <n v="0"/>
    <n v="0"/>
    <n v="0"/>
    <n v="0"/>
    <n v="4.6"/>
    <n v="0"/>
    <n v="12"/>
    <n v="70.14"/>
    <n v="3.34"/>
    <n v="66.8"/>
    <n v="1"/>
  </r>
  <r>
    <s v="2021-06-27"/>
    <s v="Vancouver"/>
    <s v="加拿大二店"/>
    <x v="4"/>
    <x v="9"/>
    <x v="81"/>
    <x v="0"/>
    <x v="84"/>
    <s v="拼锅"/>
    <n v="8.95"/>
    <s v="锅"/>
    <n v="4"/>
    <n v="35.8"/>
    <n v="0"/>
    <n v="0"/>
    <n v="0"/>
    <n v="0"/>
    <n v="0"/>
    <n v="0"/>
    <n v="0"/>
    <n v="0.01"/>
    <n v="0"/>
    <n v="0"/>
    <n v="4"/>
    <n v="37.57"/>
    <n v="1.78"/>
    <n v="35.79"/>
    <n v="2"/>
  </r>
  <r>
    <s v="2021-06-27"/>
    <s v="Vancouver"/>
    <s v="加拿大二店"/>
    <x v="4"/>
    <x v="10"/>
    <x v="81"/>
    <x v="0"/>
    <x v="84"/>
    <s v="四宫格"/>
    <n v="4.95"/>
    <s v="锅"/>
    <n v="8"/>
    <n v="39.6"/>
    <n v="0"/>
    <n v="0"/>
    <n v="0"/>
    <n v="0"/>
    <n v="0"/>
    <n v="0"/>
    <n v="0"/>
    <n v="0.01"/>
    <n v="0"/>
    <n v="0"/>
    <n v="8"/>
    <n v="41.56"/>
    <n v="1.97"/>
    <n v="39.59"/>
    <n v="1"/>
  </r>
  <r>
    <s v="2021-06-27"/>
    <s v="Vancouver"/>
    <s v="加拿大二店"/>
    <x v="3"/>
    <x v="5"/>
    <x v="82"/>
    <x v="78"/>
    <x v="85"/>
    <s v="整份"/>
    <n v="12.95"/>
    <s v="份"/>
    <n v="8"/>
    <n v="103.6"/>
    <n v="0"/>
    <n v="0"/>
    <n v="0"/>
    <n v="0"/>
    <n v="0"/>
    <n v="0"/>
    <n v="0"/>
    <n v="0"/>
    <n v="0"/>
    <n v="0"/>
    <n v="8"/>
    <n v="108.78"/>
    <n v="5.18"/>
    <n v="103.6"/>
    <n v="1"/>
  </r>
  <r>
    <s v="2021-06-27"/>
    <s v="Vancouver"/>
    <s v="加拿大二店"/>
    <x v="3"/>
    <x v="11"/>
    <x v="83"/>
    <x v="79"/>
    <x v="86"/>
    <s v="整份"/>
    <n v="5.95"/>
    <s v="份"/>
    <n v="2"/>
    <n v="11.9"/>
    <n v="0"/>
    <n v="0"/>
    <n v="0"/>
    <n v="0"/>
    <n v="0"/>
    <n v="0"/>
    <n v="0"/>
    <n v="0"/>
    <n v="0"/>
    <n v="0"/>
    <n v="2"/>
    <n v="12.49"/>
    <n v="0.59"/>
    <n v="11.9"/>
    <n v="1"/>
  </r>
  <r>
    <s v="2021-06-27"/>
    <s v="Vancouver"/>
    <s v="加拿大二店"/>
    <x v="3"/>
    <x v="11"/>
    <x v="83"/>
    <x v="80"/>
    <x v="87"/>
    <s v="半份"/>
    <n v="2.95"/>
    <s v="份"/>
    <n v="6"/>
    <n v="17.7"/>
    <n v="0"/>
    <n v="0"/>
    <n v="0"/>
    <n v="0"/>
    <n v="0"/>
    <n v="0"/>
    <n v="0"/>
    <n v="0"/>
    <n v="0.81"/>
    <n v="0"/>
    <n v="6"/>
    <n v="17.73"/>
    <n v="0.84"/>
    <n v="16.89"/>
    <n v="0.5"/>
  </r>
  <r>
    <s v="2021-06-27"/>
    <s v="Vancouver"/>
    <s v="加拿大二店"/>
    <x v="3"/>
    <x v="11"/>
    <x v="84"/>
    <x v="81"/>
    <x v="88"/>
    <s v="整份"/>
    <n v="11.95"/>
    <s v="份"/>
    <n v="9"/>
    <n v="107.55"/>
    <n v="0"/>
    <n v="0"/>
    <n v="0"/>
    <n v="0"/>
    <n v="0"/>
    <n v="0"/>
    <n v="0"/>
    <n v="0"/>
    <n v="2.39"/>
    <n v="0"/>
    <n v="9"/>
    <n v="110.41"/>
    <n v="5.25"/>
    <n v="105.16"/>
    <n v="1"/>
  </r>
  <r>
    <s v="2021-06-27"/>
    <s v="Vancouver"/>
    <s v="加拿大二店"/>
    <x v="1"/>
    <x v="3"/>
    <x v="85"/>
    <x v="82"/>
    <x v="89"/>
    <s v="整份"/>
    <n v="6.95"/>
    <s v="份"/>
    <n v="5"/>
    <n v="34.75"/>
    <n v="0"/>
    <n v="0"/>
    <n v="0"/>
    <n v="0"/>
    <n v="0"/>
    <n v="0"/>
    <n v="0"/>
    <n v="0"/>
    <n v="0"/>
    <n v="0"/>
    <n v="5"/>
    <n v="36.48"/>
    <n v="1.73"/>
    <n v="34.75"/>
    <n v="1"/>
  </r>
  <r>
    <s v="2021-06-27"/>
    <s v="Vancouver"/>
    <s v="加拿大二店"/>
    <x v="6"/>
    <x v="13"/>
    <x v="86"/>
    <x v="83"/>
    <x v="90"/>
    <s v="碗"/>
    <n v="2.95"/>
    <s v="碗"/>
    <n v="6"/>
    <n v="17.7"/>
    <n v="0"/>
    <n v="0"/>
    <n v="0"/>
    <n v="0"/>
    <n v="0"/>
    <n v="0"/>
    <n v="0"/>
    <n v="0"/>
    <n v="0.22"/>
    <n v="0"/>
    <n v="6"/>
    <n v="18.35"/>
    <n v="0.87"/>
    <n v="17.48"/>
    <n v="1"/>
  </r>
  <r>
    <s v="2021-06-27"/>
    <s v="Vancouver"/>
    <s v="加拿大二店"/>
    <x v="2"/>
    <x v="4"/>
    <x v="87"/>
    <x v="84"/>
    <x v="91"/>
    <s v="冰镇"/>
    <n v="2.95"/>
    <s v="扎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27"/>
    <s v="Vancouver"/>
    <s v="加拿大二店"/>
    <x v="1"/>
    <x v="8"/>
    <x v="88"/>
    <x v="85"/>
    <x v="92"/>
    <s v="整份"/>
    <n v="7.95"/>
    <s v="份"/>
    <n v="5"/>
    <n v="39.75"/>
    <n v="0"/>
    <n v="0"/>
    <n v="0"/>
    <n v="0"/>
    <n v="0"/>
    <n v="0"/>
    <n v="0"/>
    <n v="0"/>
    <n v="5.43"/>
    <n v="0"/>
    <n v="5"/>
    <n v="36.03"/>
    <n v="1.71"/>
    <n v="34.32"/>
    <n v="1"/>
  </r>
  <r>
    <s v="2021-06-27"/>
    <s v="Vancouver"/>
    <s v="加拿大二店"/>
    <x v="1"/>
    <x v="8"/>
    <x v="89"/>
    <x v="86"/>
    <x v="93"/>
    <s v="整份"/>
    <n v="4.95"/>
    <s v="份"/>
    <n v="19"/>
    <n v="94.05"/>
    <n v="0"/>
    <n v="0"/>
    <n v="0"/>
    <n v="0"/>
    <n v="0"/>
    <n v="0"/>
    <n v="0"/>
    <n v="0"/>
    <n v="0.82"/>
    <n v="0"/>
    <n v="19"/>
    <n v="97.89"/>
    <n v="4.66"/>
    <n v="93.23"/>
    <n v="1"/>
  </r>
  <r>
    <s v="2021-06-27"/>
    <s v="Vancouver"/>
    <s v="加拿大二店"/>
    <x v="2"/>
    <x v="4"/>
    <x v="138"/>
    <x v="132"/>
    <x v="143"/>
    <s v="扎"/>
    <n v="12.95"/>
    <s v="扎"/>
    <n v="7"/>
    <n v="90.65"/>
    <n v="0"/>
    <n v="0"/>
    <n v="0"/>
    <n v="0"/>
    <n v="0"/>
    <n v="0"/>
    <n v="0"/>
    <n v="0"/>
    <n v="0"/>
    <n v="0"/>
    <n v="7"/>
    <n v="101.52"/>
    <n v="10.87"/>
    <n v="90.65"/>
    <n v="1"/>
  </r>
  <r>
    <s v="2021-06-27"/>
    <s v="Vancouver"/>
    <s v="加拿大二店"/>
    <x v="3"/>
    <x v="7"/>
    <x v="90"/>
    <x v="87"/>
    <x v="94"/>
    <s v="整份"/>
    <n v="4.95"/>
    <s v="份"/>
    <n v="15"/>
    <n v="74.25"/>
    <n v="0"/>
    <n v="0"/>
    <n v="0"/>
    <n v="0"/>
    <n v="0"/>
    <n v="0"/>
    <n v="0"/>
    <n v="0"/>
    <n v="2.35"/>
    <n v="0"/>
    <n v="15"/>
    <n v="75.49"/>
    <n v="3.59"/>
    <n v="71.9"/>
    <n v="1"/>
  </r>
  <r>
    <s v="2021-06-27"/>
    <s v="Vancouver"/>
    <s v="加拿大二店"/>
    <x v="6"/>
    <x v="18"/>
    <x v="91"/>
    <x v="88"/>
    <x v="95"/>
    <s v="整份"/>
    <n v="2.95"/>
    <s v="份"/>
    <n v="2"/>
    <n v="5.9"/>
    <n v="0"/>
    <n v="0"/>
    <n v="0"/>
    <n v="0"/>
    <n v="0"/>
    <n v="0"/>
    <n v="0"/>
    <n v="0"/>
    <n v="0"/>
    <n v="0"/>
    <n v="2"/>
    <n v="6.19"/>
    <n v="0.29"/>
    <n v="5.9"/>
    <n v="1"/>
  </r>
  <r>
    <s v="2021-06-27"/>
    <s v="Vancouver"/>
    <s v="加拿大二店"/>
    <x v="3"/>
    <x v="5"/>
    <x v="93"/>
    <x v="89"/>
    <x v="97"/>
    <s v="整份"/>
    <n v="5.95"/>
    <s v="份"/>
    <n v="16"/>
    <n v="95.2"/>
    <n v="0"/>
    <n v="0"/>
    <n v="0"/>
    <n v="0"/>
    <n v="0"/>
    <n v="0"/>
    <n v="0"/>
    <n v="0"/>
    <n v="2.38"/>
    <n v="0"/>
    <n v="16"/>
    <n v="97.46"/>
    <n v="4.64"/>
    <n v="92.82"/>
    <n v="1"/>
  </r>
  <r>
    <s v="2021-06-27"/>
    <s v="Vancouver"/>
    <s v="加拿大二店"/>
    <x v="6"/>
    <x v="13"/>
    <x v="94"/>
    <x v="90"/>
    <x v="98"/>
    <s v="整份"/>
    <n v="4.95"/>
    <s v="份"/>
    <n v="12"/>
    <n v="59.4"/>
    <n v="0"/>
    <n v="0"/>
    <n v="0"/>
    <n v="0"/>
    <n v="0"/>
    <n v="0"/>
    <n v="0"/>
    <n v="0"/>
    <n v="0"/>
    <n v="0"/>
    <n v="12"/>
    <n v="62.37"/>
    <n v="2.97"/>
    <n v="59.4"/>
    <n v="1"/>
  </r>
  <r>
    <s v="2021-06-27"/>
    <s v="Vancouver"/>
    <s v="加拿大二店"/>
    <x v="1"/>
    <x v="1"/>
    <x v="96"/>
    <x v="92"/>
    <x v="100"/>
    <s v="整份"/>
    <n v="49.95"/>
    <s v="份"/>
    <n v="4"/>
    <n v="199.8"/>
    <n v="0"/>
    <n v="0"/>
    <n v="0"/>
    <n v="0"/>
    <n v="0"/>
    <n v="0"/>
    <n v="0"/>
    <n v="0.01"/>
    <n v="0"/>
    <n v="0"/>
    <n v="4"/>
    <n v="209.77"/>
    <n v="9.98"/>
    <n v="199.79"/>
    <n v="1"/>
  </r>
  <r>
    <s v="2021-06-27"/>
    <s v="Vancouver"/>
    <s v="加拿大二店"/>
    <x v="2"/>
    <x v="2"/>
    <x v="97"/>
    <x v="93"/>
    <x v="101"/>
    <s v="冰镇"/>
    <n v="5.95"/>
    <s v="听"/>
    <n v="1"/>
    <n v="5.95"/>
    <n v="0"/>
    <n v="0"/>
    <n v="0"/>
    <n v="0"/>
    <n v="0"/>
    <n v="0"/>
    <n v="0"/>
    <n v="0"/>
    <n v="0"/>
    <n v="0"/>
    <n v="1"/>
    <n v="6.84"/>
    <n v="0.89"/>
    <n v="5.95"/>
    <n v="1"/>
  </r>
  <r>
    <s v="2021-06-27"/>
    <s v="Vancouver"/>
    <s v="加拿大二店"/>
    <x v="6"/>
    <x v="13"/>
    <x v="98"/>
    <x v="94"/>
    <x v="102"/>
    <s v="整份"/>
    <n v="3.95"/>
    <s v="份"/>
    <n v="5"/>
    <n v="19.75"/>
    <n v="0"/>
    <n v="0"/>
    <n v="0"/>
    <n v="0"/>
    <n v="0"/>
    <n v="0"/>
    <n v="0"/>
    <n v="0"/>
    <n v="0.79"/>
    <n v="0"/>
    <n v="5"/>
    <n v="19.9"/>
    <n v="0.94"/>
    <n v="18.96"/>
    <n v="1"/>
  </r>
  <r>
    <s v="2021-06-27"/>
    <s v="Vancouver"/>
    <s v="加拿大二店"/>
    <x v="1"/>
    <x v="3"/>
    <x v="99"/>
    <x v="95"/>
    <x v="103"/>
    <s v="整份"/>
    <n v="5.95"/>
    <s v="份"/>
    <n v="2"/>
    <n v="11.9"/>
    <n v="0"/>
    <n v="0"/>
    <n v="0"/>
    <n v="0"/>
    <n v="0"/>
    <n v="0"/>
    <n v="0"/>
    <n v="0"/>
    <n v="0"/>
    <n v="0"/>
    <n v="2"/>
    <n v="12.49"/>
    <n v="0.59"/>
    <n v="11.9"/>
    <n v="1"/>
  </r>
  <r>
    <s v="2021-06-27"/>
    <s v="Vancouver"/>
    <s v="加拿大二店"/>
    <x v="1"/>
    <x v="3"/>
    <x v="100"/>
    <x v="96"/>
    <x v="104"/>
    <s v="整份"/>
    <n v="7.95"/>
    <s v="份"/>
    <n v="10"/>
    <n v="79.5"/>
    <n v="0"/>
    <n v="0"/>
    <n v="0"/>
    <n v="0"/>
    <n v="0"/>
    <n v="0"/>
    <n v="0"/>
    <n v="0"/>
    <n v="2.25"/>
    <n v="0"/>
    <n v="10"/>
    <n v="81.11"/>
    <n v="3.86"/>
    <n v="77.25"/>
    <n v="1"/>
  </r>
  <r>
    <s v="2021-06-27"/>
    <s v="Vancouver"/>
    <s v="加拿大二店"/>
    <x v="1"/>
    <x v="8"/>
    <x v="101"/>
    <x v="97"/>
    <x v="105"/>
    <s v="整份"/>
    <n v="5.95"/>
    <s v="份"/>
    <n v="9"/>
    <n v="53.55"/>
    <n v="0"/>
    <n v="0"/>
    <n v="0"/>
    <n v="0"/>
    <n v="0"/>
    <n v="0"/>
    <n v="0"/>
    <n v="0"/>
    <n v="1.19"/>
    <n v="0"/>
    <n v="9"/>
    <n v="54.97"/>
    <n v="2.61"/>
    <n v="52.36"/>
    <n v="1"/>
  </r>
  <r>
    <s v="2021-06-27"/>
    <s v="Vancouver"/>
    <s v="加拿大二店"/>
    <x v="1"/>
    <x v="6"/>
    <x v="102"/>
    <x v="98"/>
    <x v="106"/>
    <s v="整份"/>
    <n v="8.95"/>
    <s v="份"/>
    <n v="4"/>
    <n v="35.8"/>
    <n v="0"/>
    <n v="0"/>
    <n v="0"/>
    <n v="0"/>
    <n v="0"/>
    <n v="0"/>
    <n v="0"/>
    <n v="-0.04"/>
    <n v="0"/>
    <n v="0"/>
    <n v="4"/>
    <n v="37.63"/>
    <n v="1.79"/>
    <n v="35.84"/>
    <n v="1"/>
  </r>
  <r>
    <s v="2021-06-27"/>
    <s v="Vancouver"/>
    <s v="加拿大二店"/>
    <x v="3"/>
    <x v="7"/>
    <x v="103"/>
    <x v="99"/>
    <x v="107"/>
    <s v="整份"/>
    <n v="5.95"/>
    <s v="份"/>
    <n v="16"/>
    <n v="95.2"/>
    <n v="0"/>
    <n v="0"/>
    <n v="0"/>
    <n v="0"/>
    <n v="0"/>
    <n v="0"/>
    <n v="0"/>
    <n v="0"/>
    <n v="1.19"/>
    <n v="0"/>
    <n v="16"/>
    <n v="98.71"/>
    <n v="4.7"/>
    <n v="94.01"/>
    <n v="1"/>
  </r>
  <r>
    <s v="2021-06-27"/>
    <s v="Vancouver"/>
    <s v="加拿大二店"/>
    <x v="3"/>
    <x v="7"/>
    <x v="104"/>
    <x v="100"/>
    <x v="108"/>
    <s v="整份"/>
    <n v="3.95"/>
    <s v="份"/>
    <n v="9"/>
    <n v="35.55"/>
    <n v="0"/>
    <n v="0"/>
    <n v="0"/>
    <n v="0"/>
    <n v="0"/>
    <n v="0"/>
    <n v="0"/>
    <n v="0"/>
    <n v="0.79"/>
    <n v="0"/>
    <n v="9"/>
    <n v="36.49"/>
    <n v="1.73"/>
    <n v="34.76"/>
    <n v="1"/>
  </r>
  <r>
    <s v="2021-06-27"/>
    <s v="Vancouver"/>
    <s v="加拿大二店"/>
    <x v="1"/>
    <x v="8"/>
    <x v="105"/>
    <x v="101"/>
    <x v="109"/>
    <s v="整份"/>
    <n v="4.95"/>
    <s v="份"/>
    <n v="13"/>
    <n v="64.35"/>
    <n v="0"/>
    <n v="0"/>
    <n v="0"/>
    <n v="0"/>
    <n v="0"/>
    <n v="0"/>
    <n v="0"/>
    <n v="0"/>
    <n v="0.99"/>
    <n v="0"/>
    <n v="13"/>
    <n v="66.52"/>
    <n v="3.16"/>
    <n v="63.36"/>
    <n v="1"/>
  </r>
  <r>
    <s v="2021-06-27"/>
    <s v="Vancouver"/>
    <s v="加拿大二店"/>
    <x v="4"/>
    <x v="16"/>
    <x v="106"/>
    <x v="0"/>
    <x v="110"/>
    <s v="单锅"/>
    <n v="22.95"/>
    <s v="锅"/>
    <n v="1"/>
    <n v="22.95"/>
    <n v="0"/>
    <n v="0"/>
    <n v="0"/>
    <n v="0"/>
    <n v="0"/>
    <n v="0"/>
    <n v="0"/>
    <n v="0"/>
    <n v="0"/>
    <n v="0"/>
    <n v="1"/>
    <n v="24.09"/>
    <n v="1.14"/>
    <n v="22.95"/>
    <n v="4"/>
  </r>
  <r>
    <s v="2021-06-27"/>
    <s v="Vancouver"/>
    <s v="加拿大二店"/>
    <x v="4"/>
    <x v="9"/>
    <x v="106"/>
    <x v="0"/>
    <x v="110"/>
    <s v="拼锅"/>
    <n v="11.95"/>
    <s v="锅"/>
    <n v="4"/>
    <n v="47.8"/>
    <n v="0"/>
    <n v="0"/>
    <n v="0"/>
    <n v="0"/>
    <n v="0"/>
    <n v="0"/>
    <n v="0"/>
    <n v="0.02"/>
    <n v="0"/>
    <n v="0"/>
    <n v="4"/>
    <n v="50.16"/>
    <n v="2.38"/>
    <n v="47.78"/>
    <n v="2"/>
  </r>
  <r>
    <s v="2021-06-27"/>
    <s v="Vancouver"/>
    <s v="加拿大二店"/>
    <x v="4"/>
    <x v="10"/>
    <x v="106"/>
    <x v="0"/>
    <x v="110"/>
    <s v="四宫格"/>
    <n v="5.95"/>
    <s v="锅"/>
    <n v="9"/>
    <n v="53.55"/>
    <n v="0"/>
    <n v="0"/>
    <n v="0"/>
    <n v="0"/>
    <n v="0"/>
    <n v="0"/>
    <n v="0"/>
    <n v="-0.01"/>
    <n v="0"/>
    <n v="0"/>
    <n v="9"/>
    <n v="56.23"/>
    <n v="2.67"/>
    <n v="53.56"/>
    <n v="1"/>
  </r>
  <r>
    <s v="2021-06-27"/>
    <s v="Vancouver"/>
    <s v="加拿大二店"/>
    <x v="4"/>
    <x v="9"/>
    <x v="107"/>
    <x v="0"/>
    <x v="111"/>
    <s v="拼锅"/>
    <n v="11.95"/>
    <s v="锅"/>
    <n v="10"/>
    <n v="119.5"/>
    <n v="0"/>
    <n v="0"/>
    <n v="0"/>
    <n v="0"/>
    <n v="0"/>
    <n v="0"/>
    <n v="0"/>
    <n v="0"/>
    <n v="0"/>
    <n v="0"/>
    <n v="10"/>
    <n v="125.47"/>
    <n v="5.97"/>
    <n v="119.5"/>
    <n v="2"/>
  </r>
  <r>
    <s v="2021-06-27"/>
    <s v="Vancouver"/>
    <s v="加拿大二店"/>
    <x v="4"/>
    <x v="10"/>
    <x v="107"/>
    <x v="0"/>
    <x v="111"/>
    <s v="四宫格"/>
    <n v="5.95"/>
    <s v="锅"/>
    <n v="4"/>
    <n v="23.8"/>
    <n v="0"/>
    <n v="0"/>
    <n v="0"/>
    <n v="0"/>
    <n v="0"/>
    <n v="0"/>
    <n v="0"/>
    <n v="0"/>
    <n v="0"/>
    <n v="0"/>
    <n v="4"/>
    <n v="24.99"/>
    <n v="1.19"/>
    <n v="23.8"/>
    <n v="1"/>
  </r>
  <r>
    <s v="2021-06-27"/>
    <s v="Vancouver"/>
    <s v="加拿大二店"/>
    <x v="1"/>
    <x v="1"/>
    <x v="141"/>
    <x v="135"/>
    <x v="146"/>
    <s v="整份"/>
    <n v="12.95"/>
    <s v="份"/>
    <n v="6"/>
    <n v="77.7"/>
    <n v="0"/>
    <n v="0"/>
    <n v="0"/>
    <n v="0"/>
    <n v="0"/>
    <n v="0"/>
    <n v="0"/>
    <n v="0"/>
    <n v="0"/>
    <n v="0"/>
    <n v="6"/>
    <n v="82.36"/>
    <n v="4.66"/>
    <n v="77.7"/>
    <n v="1"/>
  </r>
  <r>
    <s v="2021-06-28"/>
    <s v="Vancouver"/>
    <s v="加拿大二店"/>
    <x v="1"/>
    <x v="1"/>
    <x v="1"/>
    <x v="1"/>
    <x v="1"/>
    <s v="整份"/>
    <n v="16.95"/>
    <s v="份"/>
    <n v="8"/>
    <n v="135.6"/>
    <n v="0"/>
    <n v="0"/>
    <n v="0"/>
    <n v="0"/>
    <n v="3"/>
    <n v="50.85"/>
    <n v="0"/>
    <n v="0"/>
    <n v="0"/>
    <n v="0"/>
    <n v="5"/>
    <n v="88.98"/>
    <n v="4.23"/>
    <n v="84.75"/>
    <n v="1"/>
  </r>
  <r>
    <s v="2021-06-28"/>
    <s v="Vancouver"/>
    <s v="加拿大二店"/>
    <x v="1"/>
    <x v="1"/>
    <x v="2"/>
    <x v="2"/>
    <x v="2"/>
    <s v="整份"/>
    <n v="25.95"/>
    <s v="份"/>
    <n v="14"/>
    <n v="363.3"/>
    <n v="0"/>
    <n v="0"/>
    <n v="0"/>
    <n v="0"/>
    <n v="0"/>
    <n v="0"/>
    <n v="0"/>
    <n v="-0.01"/>
    <n v="5.19"/>
    <n v="0"/>
    <n v="14"/>
    <n v="376.02"/>
    <n v="17.9"/>
    <n v="358.12"/>
    <n v="1"/>
  </r>
  <r>
    <s v="2021-06-28"/>
    <s v="Vancouver"/>
    <s v="加拿大二店"/>
    <x v="2"/>
    <x v="2"/>
    <x v="4"/>
    <x v="4"/>
    <x v="4"/>
    <s v="壶"/>
    <n v="22.95"/>
    <s v="壶"/>
    <n v="1"/>
    <n v="22.95"/>
    <n v="0"/>
    <n v="0"/>
    <n v="0"/>
    <n v="0"/>
    <n v="0"/>
    <n v="0"/>
    <n v="0"/>
    <n v="-0.01"/>
    <n v="0"/>
    <n v="0"/>
    <n v="1"/>
    <n v="26.4"/>
    <n v="3.44"/>
    <n v="22.96"/>
    <n v="1"/>
  </r>
  <r>
    <s v="2021-06-28"/>
    <s v="Vancouver"/>
    <s v="加拿大二店"/>
    <x v="2"/>
    <x v="2"/>
    <x v="5"/>
    <x v="5"/>
    <x v="5"/>
    <s v="杯"/>
    <n v="6.95"/>
    <s v="杯"/>
    <n v="6"/>
    <n v="41.7"/>
    <n v="0"/>
    <n v="0"/>
    <n v="0"/>
    <n v="0"/>
    <n v="0"/>
    <n v="0"/>
    <n v="0"/>
    <n v="-0.02"/>
    <n v="2.78"/>
    <n v="0"/>
    <n v="6"/>
    <n v="44.78"/>
    <n v="5.84"/>
    <n v="38.94"/>
    <n v="1"/>
  </r>
  <r>
    <s v="2021-06-28"/>
    <s v="Vancouver"/>
    <s v="加拿大二店"/>
    <x v="1"/>
    <x v="3"/>
    <x v="6"/>
    <x v="6"/>
    <x v="6"/>
    <s v="整份"/>
    <n v="7.95"/>
    <s v="份"/>
    <n v="8"/>
    <n v="63.6"/>
    <n v="0"/>
    <n v="0"/>
    <n v="0"/>
    <n v="0"/>
    <n v="0"/>
    <n v="0"/>
    <n v="0"/>
    <n v="0"/>
    <n v="1.59"/>
    <n v="0"/>
    <n v="8"/>
    <n v="65.11"/>
    <n v="3.1"/>
    <n v="62.01"/>
    <n v="1"/>
  </r>
  <r>
    <s v="2021-06-28"/>
    <s v="Vancouver"/>
    <s v="加拿大二店"/>
    <x v="0"/>
    <x v="0"/>
    <x v="124"/>
    <x v="0"/>
    <x v="128"/>
    <s v="套餐"/>
    <n v="59.95"/>
    <s v="套餐"/>
    <n v="1"/>
    <n v="59.95"/>
    <n v="0"/>
    <n v="0"/>
    <n v="0"/>
    <n v="0"/>
    <n v="0"/>
    <n v="0"/>
    <n v="0"/>
    <n v="0.02"/>
    <n v="0"/>
    <n v="0"/>
    <n v="1"/>
    <n v="63.52"/>
    <n v="3.59"/>
    <n v="59.93"/>
    <n v="1"/>
  </r>
  <r>
    <s v="2021-06-28"/>
    <s v="Vancouver"/>
    <s v="加拿大二店"/>
    <x v="2"/>
    <x v="4"/>
    <x v="110"/>
    <x v="104"/>
    <x v="114"/>
    <s v="小瓶"/>
    <n v="3.95"/>
    <s v="瓶"/>
    <n v="1"/>
    <n v="3.95"/>
    <n v="0"/>
    <n v="0"/>
    <n v="0"/>
    <n v="0"/>
    <n v="0"/>
    <n v="0"/>
    <n v="0"/>
    <n v="0.02"/>
    <n v="0"/>
    <n v="0"/>
    <n v="1"/>
    <n v="4.4"/>
    <n v="0.47"/>
    <n v="3.93"/>
    <n v="1"/>
  </r>
  <r>
    <s v="2021-06-28"/>
    <s v="Vancouver"/>
    <s v="加拿大二店"/>
    <x v="3"/>
    <x v="5"/>
    <x v="8"/>
    <x v="8"/>
    <x v="8"/>
    <s v="整份"/>
    <n v="3.95"/>
    <s v="份"/>
    <n v="5"/>
    <n v="19.75"/>
    <n v="0"/>
    <n v="0"/>
    <n v="0"/>
    <n v="0"/>
    <n v="0"/>
    <n v="0"/>
    <n v="0"/>
    <n v="0"/>
    <n v="0"/>
    <n v="0"/>
    <n v="5"/>
    <n v="20.73"/>
    <n v="0.98"/>
    <n v="19.75"/>
    <n v="1"/>
  </r>
  <r>
    <s v="2021-06-28"/>
    <s v="Vancouver"/>
    <s v="加拿大二店"/>
    <x v="2"/>
    <x v="4"/>
    <x v="9"/>
    <x v="9"/>
    <x v="9"/>
    <s v="常温"/>
    <n v="2.95"/>
    <s v="位"/>
    <n v="1"/>
    <n v="2.95"/>
    <n v="0"/>
    <n v="0"/>
    <n v="0"/>
    <n v="0"/>
    <n v="0"/>
    <n v="0"/>
    <n v="0"/>
    <n v="0"/>
    <n v="0"/>
    <n v="0"/>
    <n v="1"/>
    <n v="3.3"/>
    <n v="0.35"/>
    <n v="2.95"/>
    <n v="1"/>
  </r>
  <r>
    <s v="2021-06-28"/>
    <s v="Vancouver"/>
    <s v="加拿大二店"/>
    <x v="2"/>
    <x v="4"/>
    <x v="9"/>
    <x v="9"/>
    <x v="9"/>
    <s v="冰镇"/>
    <n v="2.95"/>
    <s v="位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28"/>
    <s v="Vancouver"/>
    <s v="加拿大二店"/>
    <x v="2"/>
    <x v="4"/>
    <x v="10"/>
    <x v="10"/>
    <x v="10"/>
    <s v="半份"/>
    <n v="6.95"/>
    <s v="扎"/>
    <n v="2"/>
    <n v="13.9"/>
    <n v="0"/>
    <n v="0"/>
    <n v="0"/>
    <n v="0"/>
    <n v="1"/>
    <n v="6.95"/>
    <n v="0"/>
    <n v="0"/>
    <n v="0"/>
    <n v="0"/>
    <n v="1"/>
    <n v="7.78"/>
    <n v="0.83"/>
    <n v="6.95"/>
    <n v="0.5"/>
  </r>
  <r>
    <s v="2021-06-28"/>
    <s v="Vancouver"/>
    <s v="加拿大二店"/>
    <x v="2"/>
    <x v="4"/>
    <x v="10"/>
    <x v="11"/>
    <x v="11"/>
    <s v="整份"/>
    <n v="9.95"/>
    <s v="扎"/>
    <n v="5"/>
    <n v="49.75"/>
    <n v="0"/>
    <n v="0"/>
    <n v="0"/>
    <n v="0"/>
    <n v="2"/>
    <n v="19.9"/>
    <n v="0"/>
    <n v="0"/>
    <n v="3.18"/>
    <n v="0"/>
    <n v="3"/>
    <n v="29.87"/>
    <n v="3.2"/>
    <n v="26.67"/>
    <n v="1"/>
  </r>
  <r>
    <s v="2021-06-28"/>
    <s v="Vancouver"/>
    <s v="加拿大二店"/>
    <x v="1"/>
    <x v="6"/>
    <x v="11"/>
    <x v="12"/>
    <x v="12"/>
    <s v="整份"/>
    <n v="8.95"/>
    <s v="份"/>
    <n v="6"/>
    <n v="53.7"/>
    <n v="0"/>
    <n v="0"/>
    <n v="0"/>
    <n v="0"/>
    <n v="0"/>
    <n v="0"/>
    <n v="0"/>
    <n v="0"/>
    <n v="0"/>
    <n v="0"/>
    <n v="6"/>
    <n v="56.38"/>
    <n v="2.68"/>
    <n v="53.7"/>
    <n v="1"/>
  </r>
  <r>
    <s v="2021-06-28"/>
    <s v="Vancouver"/>
    <s v="加拿大二店"/>
    <x v="1"/>
    <x v="6"/>
    <x v="12"/>
    <x v="13"/>
    <x v="13"/>
    <s v="整份"/>
    <n v="16.95"/>
    <s v="份"/>
    <n v="3"/>
    <n v="50.85"/>
    <n v="0"/>
    <n v="0"/>
    <n v="0"/>
    <n v="0"/>
    <n v="0"/>
    <n v="0"/>
    <n v="0"/>
    <n v="0"/>
    <n v="0"/>
    <n v="0"/>
    <n v="3"/>
    <n v="53.39"/>
    <n v="2.54"/>
    <n v="50.85"/>
    <n v="1"/>
  </r>
  <r>
    <s v="2021-06-28"/>
    <s v="Vancouver"/>
    <s v="加拿大二店"/>
    <x v="1"/>
    <x v="6"/>
    <x v="14"/>
    <x v="15"/>
    <x v="15"/>
    <s v="整份"/>
    <n v="29.95"/>
    <s v="份"/>
    <n v="1"/>
    <n v="29.95"/>
    <n v="0"/>
    <n v="0"/>
    <n v="0"/>
    <n v="0"/>
    <n v="0"/>
    <n v="0"/>
    <n v="0"/>
    <n v="0"/>
    <n v="5.99"/>
    <n v="0"/>
    <n v="1"/>
    <n v="25.15"/>
    <n v="1.19"/>
    <n v="23.96"/>
    <n v="1"/>
  </r>
  <r>
    <s v="2021-06-28"/>
    <s v="Vancouver"/>
    <s v="加拿大二店"/>
    <x v="1"/>
    <x v="6"/>
    <x v="121"/>
    <x v="115"/>
    <x v="125"/>
    <s v="整份"/>
    <n v="12.95"/>
    <s v="份"/>
    <n v="2"/>
    <n v="25.9"/>
    <n v="0"/>
    <n v="0"/>
    <n v="0"/>
    <n v="0"/>
    <n v="0"/>
    <n v="0"/>
    <n v="0"/>
    <n v="0"/>
    <n v="0"/>
    <n v="0"/>
    <n v="2"/>
    <n v="27.19"/>
    <n v="1.29"/>
    <n v="25.9"/>
    <n v="1"/>
  </r>
  <r>
    <s v="2021-06-28"/>
    <s v="Vancouver"/>
    <s v="加拿大二店"/>
    <x v="1"/>
    <x v="6"/>
    <x v="15"/>
    <x v="16"/>
    <x v="16"/>
    <s v="整份"/>
    <n v="8.95"/>
    <s v="份"/>
    <n v="5"/>
    <n v="44.75"/>
    <n v="0"/>
    <n v="0"/>
    <n v="0"/>
    <n v="0"/>
    <n v="0"/>
    <n v="0"/>
    <n v="0"/>
    <n v="0"/>
    <n v="1.79"/>
    <n v="0"/>
    <n v="5"/>
    <n v="45.1"/>
    <n v="2.14"/>
    <n v="42.96"/>
    <n v="1"/>
  </r>
  <r>
    <s v="2021-06-28"/>
    <s v="Vancouver"/>
    <s v="加拿大二店"/>
    <x v="1"/>
    <x v="6"/>
    <x v="111"/>
    <x v="105"/>
    <x v="115"/>
    <s v="整份"/>
    <n v="8.95"/>
    <s v="份"/>
    <n v="2"/>
    <n v="17.9"/>
    <n v="0"/>
    <n v="0"/>
    <n v="0"/>
    <n v="0"/>
    <n v="0"/>
    <n v="0"/>
    <n v="0"/>
    <n v="0"/>
    <n v="0"/>
    <n v="0"/>
    <n v="2"/>
    <n v="18.79"/>
    <n v="0.89"/>
    <n v="17.9"/>
    <n v="1"/>
  </r>
  <r>
    <s v="2021-06-28"/>
    <s v="Vancouver"/>
    <s v="加拿大二店"/>
    <x v="3"/>
    <x v="7"/>
    <x v="16"/>
    <x v="17"/>
    <x v="17"/>
    <s v="整份"/>
    <n v="4.95"/>
    <s v="份"/>
    <n v="19"/>
    <n v="94.05"/>
    <n v="0"/>
    <n v="0"/>
    <n v="0"/>
    <n v="0"/>
    <n v="1"/>
    <n v="4.95"/>
    <n v="0"/>
    <n v="0"/>
    <n v="0.99"/>
    <n v="0"/>
    <n v="18"/>
    <n v="92.51"/>
    <n v="4.4"/>
    <n v="88.11"/>
    <n v="1"/>
  </r>
  <r>
    <s v="2021-06-28"/>
    <s v="Vancouver"/>
    <s v="加拿大二店"/>
    <x v="2"/>
    <x v="4"/>
    <x v="17"/>
    <x v="18"/>
    <x v="18"/>
    <s v="冰镇"/>
    <n v="2.95"/>
    <s v="瓶"/>
    <n v="7"/>
    <n v="20.65"/>
    <n v="0"/>
    <n v="0"/>
    <n v="0"/>
    <n v="0"/>
    <n v="0"/>
    <n v="0"/>
    <n v="0"/>
    <n v="0"/>
    <n v="0"/>
    <n v="0"/>
    <n v="7"/>
    <n v="23.12"/>
    <n v="2.47"/>
    <n v="20.65"/>
    <n v="1"/>
  </r>
  <r>
    <s v="2021-06-28"/>
    <s v="Vancouver"/>
    <s v="加拿大二店"/>
    <x v="2"/>
    <x v="2"/>
    <x v="127"/>
    <x v="121"/>
    <x v="132"/>
    <s v="冰镇"/>
    <n v="4.95"/>
    <s v="瓶"/>
    <n v="2"/>
    <n v="9.9"/>
    <n v="0"/>
    <n v="0"/>
    <n v="0"/>
    <n v="0"/>
    <n v="0"/>
    <n v="0"/>
    <n v="0"/>
    <n v="0"/>
    <n v="0"/>
    <n v="0"/>
    <n v="2"/>
    <n v="11.38"/>
    <n v="1.48"/>
    <n v="9.9"/>
    <n v="1"/>
  </r>
  <r>
    <s v="2021-06-28"/>
    <s v="Vancouver"/>
    <s v="加拿大二店"/>
    <x v="2"/>
    <x v="4"/>
    <x v="18"/>
    <x v="19"/>
    <x v="19"/>
    <s v="冰镇"/>
    <n v="2.95"/>
    <s v="听"/>
    <n v="3"/>
    <n v="8.85"/>
    <n v="0"/>
    <n v="0"/>
    <n v="0"/>
    <n v="0"/>
    <n v="0"/>
    <n v="0"/>
    <n v="0"/>
    <n v="0"/>
    <n v="0"/>
    <n v="0"/>
    <n v="3"/>
    <n v="9.91"/>
    <n v="1.06"/>
    <n v="8.85"/>
    <n v="1"/>
  </r>
  <r>
    <s v="2021-06-28"/>
    <s v="Vancouver"/>
    <s v="加拿大二店"/>
    <x v="1"/>
    <x v="8"/>
    <x v="19"/>
    <x v="20"/>
    <x v="20"/>
    <s v="整份"/>
    <n v="5.95"/>
    <s v="份"/>
    <n v="14"/>
    <n v="83.3"/>
    <n v="0"/>
    <n v="0"/>
    <n v="0"/>
    <n v="0"/>
    <n v="4"/>
    <n v="23.8"/>
    <n v="0"/>
    <n v="0"/>
    <n v="3.57"/>
    <n v="0"/>
    <n v="10"/>
    <n v="58.72"/>
    <n v="2.79"/>
    <n v="55.93"/>
    <n v="1"/>
  </r>
  <r>
    <s v="2021-06-28"/>
    <s v="Vancouver"/>
    <s v="加拿大二店"/>
    <x v="1"/>
    <x v="8"/>
    <x v="20"/>
    <x v="21"/>
    <x v="21"/>
    <s v="整份"/>
    <n v="7.95"/>
    <s v="份"/>
    <n v="2"/>
    <n v="15.9"/>
    <n v="0"/>
    <n v="0"/>
    <n v="0"/>
    <n v="0"/>
    <n v="0"/>
    <n v="0"/>
    <n v="0"/>
    <n v="0"/>
    <n v="0"/>
    <n v="0"/>
    <n v="2"/>
    <n v="16.69"/>
    <n v="0.79"/>
    <n v="15.9"/>
    <n v="1"/>
  </r>
  <r>
    <s v="2021-06-28"/>
    <s v="Vancouver"/>
    <s v="加拿大二店"/>
    <x v="2"/>
    <x v="4"/>
    <x v="21"/>
    <x v="22"/>
    <x v="22"/>
    <s v="冰镇"/>
    <n v="2.45"/>
    <s v="听"/>
    <n v="2"/>
    <n v="4.9"/>
    <n v="0"/>
    <n v="0"/>
    <n v="0"/>
    <n v="0"/>
    <n v="0"/>
    <n v="0"/>
    <n v="0"/>
    <n v="0"/>
    <n v="0"/>
    <n v="0"/>
    <n v="2"/>
    <n v="5.48"/>
    <n v="0.58"/>
    <n v="4.9"/>
    <n v="1"/>
  </r>
  <r>
    <s v="2021-06-28"/>
    <s v="Vancouver"/>
    <s v="加拿大二店"/>
    <x v="4"/>
    <x v="10"/>
    <x v="22"/>
    <x v="0"/>
    <x v="23"/>
    <s v="四宫格"/>
    <n v="5.95"/>
    <s v="锅"/>
    <n v="3"/>
    <n v="17.85"/>
    <n v="0"/>
    <n v="0"/>
    <n v="0"/>
    <n v="0"/>
    <n v="0"/>
    <n v="0"/>
    <n v="0"/>
    <n v="0"/>
    <n v="0"/>
    <n v="0"/>
    <n v="3"/>
    <n v="18.92"/>
    <n v="1.07"/>
    <n v="17.85"/>
    <n v="1"/>
  </r>
  <r>
    <s v="2021-06-28"/>
    <s v="Vancouver"/>
    <s v="加拿大二店"/>
    <x v="3"/>
    <x v="7"/>
    <x v="23"/>
    <x v="23"/>
    <x v="24"/>
    <s v="整份"/>
    <n v="4.95"/>
    <s v="份"/>
    <n v="7"/>
    <n v="34.65"/>
    <n v="0"/>
    <n v="0"/>
    <n v="0"/>
    <n v="0"/>
    <n v="0"/>
    <n v="0"/>
    <n v="0"/>
    <n v="0"/>
    <n v="0"/>
    <n v="0"/>
    <n v="7"/>
    <n v="36.38"/>
    <n v="1.73"/>
    <n v="34.65"/>
    <n v="1"/>
  </r>
  <r>
    <s v="2021-06-28"/>
    <s v="Vancouver"/>
    <s v="加拿大二店"/>
    <x v="3"/>
    <x v="11"/>
    <x v="24"/>
    <x v="24"/>
    <x v="25"/>
    <s v="半份"/>
    <n v="2.95"/>
    <s v="份"/>
    <n v="3"/>
    <n v="8.85"/>
    <n v="0"/>
    <n v="0"/>
    <n v="0"/>
    <n v="0"/>
    <n v="0"/>
    <n v="0"/>
    <n v="0"/>
    <n v="0"/>
    <n v="0.59"/>
    <n v="0"/>
    <n v="3"/>
    <n v="8.67"/>
    <n v="0.41"/>
    <n v="8.26"/>
    <n v="0.5"/>
  </r>
  <r>
    <s v="2021-06-28"/>
    <s v="Vancouver"/>
    <s v="加拿大二店"/>
    <x v="3"/>
    <x v="5"/>
    <x v="25"/>
    <x v="25"/>
    <x v="26"/>
    <s v="整份"/>
    <n v="3.95"/>
    <s v="份"/>
    <n v="12"/>
    <n v="47.4"/>
    <n v="0"/>
    <n v="0"/>
    <n v="0"/>
    <n v="0"/>
    <n v="3"/>
    <n v="11.85"/>
    <n v="0"/>
    <n v="0"/>
    <n v="1.58"/>
    <n v="0"/>
    <n v="9"/>
    <n v="35.66"/>
    <n v="1.69"/>
    <n v="33.97"/>
    <n v="1"/>
  </r>
  <r>
    <s v="2021-06-28"/>
    <s v="Vancouver"/>
    <s v="加拿大二店"/>
    <x v="3"/>
    <x v="11"/>
    <x v="26"/>
    <x v="26"/>
    <x v="27"/>
    <s v="整份"/>
    <n v="4.95"/>
    <s v="份"/>
    <n v="12"/>
    <n v="59.4"/>
    <n v="0"/>
    <n v="0"/>
    <n v="0"/>
    <n v="0"/>
    <n v="0"/>
    <n v="0"/>
    <n v="0"/>
    <n v="0"/>
    <n v="0.99"/>
    <n v="0"/>
    <n v="12"/>
    <n v="61.33"/>
    <n v="2.92"/>
    <n v="58.41"/>
    <n v="1"/>
  </r>
  <r>
    <s v="2021-06-28"/>
    <s v="Vancouver"/>
    <s v="加拿大二店"/>
    <x v="3"/>
    <x v="11"/>
    <x v="26"/>
    <x v="27"/>
    <x v="28"/>
    <s v="半份"/>
    <n v="2.45"/>
    <s v="份"/>
    <n v="16"/>
    <n v="39.2"/>
    <n v="1"/>
    <n v="2.45"/>
    <n v="0"/>
    <n v="0"/>
    <n v="4"/>
    <n v="9.8"/>
    <n v="0"/>
    <n v="0"/>
    <n v="0"/>
    <n v="0"/>
    <n v="11"/>
    <n v="28.29"/>
    <n v="1.34"/>
    <n v="26.95"/>
    <n v="0.5"/>
  </r>
  <r>
    <s v="2021-06-28"/>
    <s v="Vancouver"/>
    <s v="加拿大二店"/>
    <x v="5"/>
    <x v="12"/>
    <x v="27"/>
    <x v="28"/>
    <x v="29"/>
    <s v="整份"/>
    <n v="7.95"/>
    <s v="份"/>
    <n v="7"/>
    <n v="55.65"/>
    <n v="0"/>
    <n v="0"/>
    <n v="0"/>
    <n v="0"/>
    <n v="3"/>
    <n v="23.85"/>
    <n v="0"/>
    <n v="0"/>
    <n v="1.59"/>
    <n v="0"/>
    <n v="4"/>
    <n v="31.72"/>
    <n v="1.51"/>
    <n v="30.21"/>
    <n v="1"/>
  </r>
  <r>
    <s v="2021-06-28"/>
    <s v="Vancouver"/>
    <s v="加拿大二店"/>
    <x v="3"/>
    <x v="7"/>
    <x v="28"/>
    <x v="29"/>
    <x v="30"/>
    <s v="整份"/>
    <n v="4.95"/>
    <s v="份"/>
    <n v="14"/>
    <n v="69.3"/>
    <n v="0"/>
    <n v="0"/>
    <n v="0"/>
    <n v="0"/>
    <n v="1"/>
    <n v="4.95"/>
    <n v="0"/>
    <n v="0.01"/>
    <n v="1.98"/>
    <n v="0"/>
    <n v="13"/>
    <n v="65.47"/>
    <n v="3.11"/>
    <n v="62.36"/>
    <n v="1"/>
  </r>
  <r>
    <s v="2021-06-28"/>
    <s v="Vancouver"/>
    <s v="加拿大二店"/>
    <x v="3"/>
    <x v="5"/>
    <x v="29"/>
    <x v="30"/>
    <x v="31"/>
    <s v="整份"/>
    <n v="3.95"/>
    <s v="份"/>
    <n v="4"/>
    <n v="15.8"/>
    <n v="0"/>
    <n v="0"/>
    <n v="0"/>
    <n v="0"/>
    <n v="0"/>
    <n v="0"/>
    <n v="0"/>
    <n v="0"/>
    <n v="0.79"/>
    <n v="0"/>
    <n v="4"/>
    <n v="15.76"/>
    <n v="0.75"/>
    <n v="15.01"/>
    <n v="1"/>
  </r>
  <r>
    <s v="2021-06-28"/>
    <s v="Vancouver"/>
    <s v="加拿大二店"/>
    <x v="6"/>
    <x v="13"/>
    <x v="30"/>
    <x v="31"/>
    <x v="32"/>
    <s v="整份"/>
    <n v="4.95"/>
    <s v="份"/>
    <n v="8"/>
    <n v="39.6"/>
    <n v="0"/>
    <n v="0"/>
    <n v="0"/>
    <n v="0"/>
    <n v="1"/>
    <n v="4.95"/>
    <n v="0"/>
    <n v="0"/>
    <n v="0.99"/>
    <n v="0"/>
    <n v="7"/>
    <n v="35.34"/>
    <n v="1.68"/>
    <n v="33.66"/>
    <n v="1"/>
  </r>
  <r>
    <s v="2021-06-28"/>
    <s v="Vancouver"/>
    <s v="加拿大二店"/>
    <x v="6"/>
    <x v="13"/>
    <x v="31"/>
    <x v="32"/>
    <x v="33"/>
    <s v="整份"/>
    <n v="9.95"/>
    <s v="份"/>
    <n v="4"/>
    <n v="39.8"/>
    <n v="1"/>
    <n v="9.95"/>
    <n v="0"/>
    <n v="0"/>
    <n v="0"/>
    <n v="0"/>
    <n v="0"/>
    <n v="0"/>
    <n v="3.98"/>
    <n v="0"/>
    <n v="3"/>
    <n v="27.16"/>
    <n v="1.29"/>
    <n v="25.87"/>
    <n v="1"/>
  </r>
  <r>
    <s v="2021-06-28"/>
    <s v="Vancouver"/>
    <s v="加拿大二店"/>
    <x v="5"/>
    <x v="12"/>
    <x v="32"/>
    <x v="33"/>
    <x v="34"/>
    <s v="整份"/>
    <n v="17.85"/>
    <s v="份"/>
    <n v="1"/>
    <n v="17.85"/>
    <n v="0"/>
    <n v="0"/>
    <n v="0"/>
    <n v="0"/>
    <n v="0"/>
    <n v="0"/>
    <n v="0"/>
    <n v="0"/>
    <n v="0"/>
    <n v="0"/>
    <n v="1"/>
    <n v="18.74"/>
    <n v="0.89"/>
    <n v="17.85"/>
    <n v="1"/>
  </r>
  <r>
    <s v="2021-06-28"/>
    <s v="Vancouver"/>
    <s v="加拿大二店"/>
    <x v="1"/>
    <x v="3"/>
    <x v="33"/>
    <x v="34"/>
    <x v="35"/>
    <s v="整份"/>
    <n v="11.95"/>
    <s v="份"/>
    <n v="31"/>
    <n v="370.45"/>
    <n v="0"/>
    <n v="0"/>
    <n v="0"/>
    <n v="0"/>
    <n v="4"/>
    <n v="47.8"/>
    <n v="0"/>
    <n v="-0.01"/>
    <n v="16.72"/>
    <n v="0"/>
    <n v="27"/>
    <n v="321.23"/>
    <n v="15.29"/>
    <n v="305.94"/>
    <n v="1"/>
  </r>
  <r>
    <s v="2021-06-28"/>
    <s v="Vancouver"/>
    <s v="加拿大二店"/>
    <x v="5"/>
    <x v="12"/>
    <x v="34"/>
    <x v="35"/>
    <x v="36"/>
    <s v="整份"/>
    <n v="11.95"/>
    <s v="份"/>
    <n v="4"/>
    <n v="47.8"/>
    <n v="0"/>
    <n v="0"/>
    <n v="0"/>
    <n v="0"/>
    <n v="0"/>
    <n v="0"/>
    <n v="0"/>
    <n v="0"/>
    <n v="0"/>
    <n v="0"/>
    <n v="4"/>
    <n v="50.19"/>
    <n v="2.39"/>
    <n v="47.8"/>
    <n v="1"/>
  </r>
  <r>
    <s v="2021-06-28"/>
    <s v="Vancouver"/>
    <s v="加拿大二店"/>
    <x v="5"/>
    <x v="12"/>
    <x v="35"/>
    <x v="36"/>
    <x v="37"/>
    <s v="条"/>
    <n v="4.95"/>
    <s v="条"/>
    <n v="23"/>
    <n v="113.85"/>
    <n v="1"/>
    <n v="4.95"/>
    <n v="0"/>
    <n v="0"/>
    <n v="2"/>
    <n v="9.9"/>
    <n v="0"/>
    <n v="-0.02"/>
    <n v="0.99"/>
    <n v="0"/>
    <n v="20"/>
    <n v="102.93"/>
    <n v="4.9"/>
    <n v="98.03"/>
    <n v="1"/>
  </r>
  <r>
    <s v="2021-06-28"/>
    <s v="Vancouver"/>
    <s v="加拿大二店"/>
    <x v="5"/>
    <x v="12"/>
    <x v="36"/>
    <x v="37"/>
    <x v="38"/>
    <s v="整份"/>
    <n v="13.95"/>
    <s v="份"/>
    <n v="17"/>
    <n v="237.15"/>
    <n v="0"/>
    <n v="0"/>
    <n v="0"/>
    <n v="0"/>
    <n v="1"/>
    <n v="13.95"/>
    <n v="0"/>
    <n v="0"/>
    <n v="12.55"/>
    <n v="0"/>
    <n v="16"/>
    <n v="221.18"/>
    <n v="10.53"/>
    <n v="210.65"/>
    <n v="1"/>
  </r>
  <r>
    <s v="2021-06-28"/>
    <s v="Vancouver"/>
    <s v="加拿大二店"/>
    <x v="5"/>
    <x v="12"/>
    <x v="37"/>
    <x v="38"/>
    <x v="39"/>
    <s v="整份"/>
    <n v="9.95"/>
    <s v="份"/>
    <n v="19"/>
    <n v="189.05"/>
    <n v="0"/>
    <n v="0"/>
    <n v="0"/>
    <n v="0"/>
    <n v="0"/>
    <n v="0"/>
    <n v="0"/>
    <n v="0"/>
    <n v="8.97"/>
    <n v="0"/>
    <n v="19"/>
    <n v="189.08"/>
    <n v="9"/>
    <n v="180.08"/>
    <n v="1"/>
  </r>
  <r>
    <s v="2021-06-28"/>
    <s v="Vancouver"/>
    <s v="加拿大二店"/>
    <x v="5"/>
    <x v="12"/>
    <x v="38"/>
    <x v="39"/>
    <x v="40"/>
    <s v="整份"/>
    <n v="9.95"/>
    <s v="份"/>
    <n v="6"/>
    <n v="59.7"/>
    <n v="0"/>
    <n v="0"/>
    <n v="0"/>
    <n v="0"/>
    <n v="0"/>
    <n v="0"/>
    <n v="0"/>
    <n v="0"/>
    <n v="0"/>
    <n v="0"/>
    <n v="6"/>
    <n v="62.68"/>
    <n v="2.98"/>
    <n v="59.7"/>
    <n v="1"/>
  </r>
  <r>
    <s v="2021-06-28"/>
    <s v="Vancouver"/>
    <s v="加拿大二店"/>
    <x v="6"/>
    <x v="13"/>
    <x v="39"/>
    <x v="40"/>
    <x v="41"/>
    <s v="整份"/>
    <n v="8.95"/>
    <s v="份"/>
    <n v="12"/>
    <n v="107.4"/>
    <n v="0"/>
    <n v="0"/>
    <n v="0"/>
    <n v="0"/>
    <n v="1"/>
    <n v="8.95"/>
    <n v="0"/>
    <n v="0"/>
    <n v="0"/>
    <n v="0"/>
    <n v="11"/>
    <n v="103.37"/>
    <n v="4.92"/>
    <n v="98.45"/>
    <n v="1"/>
  </r>
  <r>
    <s v="2021-06-28"/>
    <s v="Vancouver"/>
    <s v="加拿大二店"/>
    <x v="5"/>
    <x v="12"/>
    <x v="40"/>
    <x v="41"/>
    <x v="42"/>
    <s v="整份"/>
    <n v="9.95"/>
    <s v="份"/>
    <n v="11"/>
    <n v="109.45"/>
    <n v="0"/>
    <n v="0"/>
    <n v="0"/>
    <n v="0"/>
    <n v="0"/>
    <n v="0"/>
    <n v="0"/>
    <n v="0"/>
    <n v="1.99"/>
    <n v="0"/>
    <n v="11"/>
    <n v="112.83"/>
    <n v="5.37"/>
    <n v="107.46"/>
    <n v="1"/>
  </r>
  <r>
    <s v="2021-06-28"/>
    <s v="Vancouver"/>
    <s v="加拿大二店"/>
    <x v="1"/>
    <x v="6"/>
    <x v="131"/>
    <x v="125"/>
    <x v="136"/>
    <s v="整份"/>
    <n v="28.95"/>
    <s v="份"/>
    <n v="1"/>
    <n v="28.95"/>
    <n v="0"/>
    <n v="0"/>
    <n v="0"/>
    <n v="0"/>
    <n v="0"/>
    <n v="0"/>
    <n v="0"/>
    <n v="0.01"/>
    <n v="0"/>
    <n v="0"/>
    <n v="1"/>
    <n v="30.67"/>
    <n v="1.73"/>
    <n v="28.94"/>
    <n v="1"/>
  </r>
  <r>
    <s v="2021-06-28"/>
    <s v="Vancouver"/>
    <s v="加拿大二店"/>
    <x v="5"/>
    <x v="12"/>
    <x v="41"/>
    <x v="42"/>
    <x v="43"/>
    <s v="整份"/>
    <n v="7.95"/>
    <s v="份"/>
    <n v="6"/>
    <n v="47.7"/>
    <n v="0"/>
    <n v="0"/>
    <n v="0"/>
    <n v="0"/>
    <n v="0"/>
    <n v="0"/>
    <n v="0"/>
    <n v="0"/>
    <n v="1.59"/>
    <n v="0"/>
    <n v="6"/>
    <n v="48.41"/>
    <n v="2.3"/>
    <n v="46.11"/>
    <n v="1"/>
  </r>
  <r>
    <s v="2021-06-28"/>
    <s v="Vancouver"/>
    <s v="加拿大二店"/>
    <x v="2"/>
    <x v="2"/>
    <x v="42"/>
    <x v="43"/>
    <x v="44"/>
    <s v="冰镇"/>
    <n v="5.95"/>
    <s v="瓶"/>
    <n v="1"/>
    <n v="5.95"/>
    <n v="0"/>
    <n v="0"/>
    <n v="0"/>
    <n v="0"/>
    <n v="0"/>
    <n v="0"/>
    <n v="0"/>
    <n v="0"/>
    <n v="1.19"/>
    <n v="0"/>
    <n v="1"/>
    <n v="5.47"/>
    <n v="0.71"/>
    <n v="4.76"/>
    <n v="1"/>
  </r>
  <r>
    <s v="2021-06-28"/>
    <s v="Vancouver"/>
    <s v="加拿大二店"/>
    <x v="3"/>
    <x v="5"/>
    <x v="43"/>
    <x v="44"/>
    <x v="45"/>
    <s v="整份"/>
    <n v="3.95"/>
    <s v="份"/>
    <n v="4"/>
    <n v="15.8"/>
    <n v="0"/>
    <n v="0"/>
    <n v="0"/>
    <n v="0"/>
    <n v="0"/>
    <n v="0"/>
    <n v="0"/>
    <n v="0"/>
    <n v="0.79"/>
    <n v="0"/>
    <n v="4"/>
    <n v="15.76"/>
    <n v="0.75"/>
    <n v="15.01"/>
    <n v="1"/>
  </r>
  <r>
    <s v="2021-06-28"/>
    <s v="Vancouver"/>
    <s v="加拿大二店"/>
    <x v="7"/>
    <x v="14"/>
    <x v="44"/>
    <x v="45"/>
    <x v="46"/>
    <s v="整份"/>
    <n v="0"/>
    <s v="份"/>
    <n v="9"/>
    <n v="0"/>
    <n v="1"/>
    <n v="0"/>
    <n v="0"/>
    <n v="0"/>
    <n v="0"/>
    <n v="0"/>
    <n v="0"/>
    <n v="0"/>
    <n v="0"/>
    <n v="0"/>
    <n v="8"/>
    <n v="0"/>
    <n v="0"/>
    <n v="0"/>
    <n v="1"/>
  </r>
  <r>
    <s v="2021-06-28"/>
    <s v="Vancouver"/>
    <s v="加拿大二店"/>
    <x v="7"/>
    <x v="14"/>
    <x v="45"/>
    <x v="46"/>
    <x v="47"/>
    <s v="整份"/>
    <n v="1.5"/>
    <s v="份"/>
    <n v="1"/>
    <n v="1.5"/>
    <n v="0"/>
    <n v="0"/>
    <n v="0"/>
    <n v="0"/>
    <n v="0"/>
    <n v="0"/>
    <n v="0"/>
    <n v="0"/>
    <n v="0"/>
    <n v="0"/>
    <n v="1"/>
    <n v="1.57"/>
    <n v="0.07"/>
    <n v="1.5"/>
    <n v="1"/>
  </r>
  <r>
    <s v="2021-06-28"/>
    <s v="Vancouver"/>
    <s v="加拿大二店"/>
    <x v="7"/>
    <x v="14"/>
    <x v="45"/>
    <x v="46"/>
    <x v="47"/>
    <s v="整份"/>
    <n v="12"/>
    <s v="份"/>
    <n v="1"/>
    <n v="12"/>
    <n v="0"/>
    <n v="0"/>
    <n v="0"/>
    <n v="0"/>
    <n v="0"/>
    <n v="0"/>
    <n v="0"/>
    <n v="0"/>
    <n v="0"/>
    <n v="0"/>
    <n v="1"/>
    <n v="12.6"/>
    <n v="0.6"/>
    <n v="12"/>
    <n v="1"/>
  </r>
  <r>
    <s v="2021-06-28"/>
    <s v="Vancouver"/>
    <s v="加拿大二店"/>
    <x v="7"/>
    <x v="14"/>
    <x v="45"/>
    <x v="46"/>
    <x v="47"/>
    <s v="整份"/>
    <n v="12.99"/>
    <s v="份"/>
    <n v="5"/>
    <n v="64.95"/>
    <n v="0"/>
    <n v="0"/>
    <n v="0"/>
    <n v="0"/>
    <n v="0"/>
    <n v="0"/>
    <n v="0"/>
    <n v="0.01"/>
    <n v="7"/>
    <n v="0"/>
    <n v="5"/>
    <n v="60.83"/>
    <n v="2.89"/>
    <n v="57.94"/>
    <n v="1"/>
  </r>
  <r>
    <s v="2021-06-28"/>
    <s v="Vancouver"/>
    <s v="加拿大二店"/>
    <x v="7"/>
    <x v="14"/>
    <x v="45"/>
    <x v="46"/>
    <x v="47"/>
    <s v="整份"/>
    <n v="14.95"/>
    <s v="份"/>
    <n v="2"/>
    <n v="29.9"/>
    <n v="0"/>
    <n v="0"/>
    <n v="0"/>
    <n v="0"/>
    <n v="0"/>
    <n v="0"/>
    <n v="0"/>
    <n v="0.01"/>
    <n v="0"/>
    <n v="0"/>
    <n v="2"/>
    <n v="31.38"/>
    <n v="1.49"/>
    <n v="29.89"/>
    <n v="1"/>
  </r>
  <r>
    <s v="2021-06-28"/>
    <s v="Vancouver"/>
    <s v="加拿大二店"/>
    <x v="7"/>
    <x v="14"/>
    <x v="45"/>
    <x v="46"/>
    <x v="47"/>
    <s v="整份"/>
    <n v="14.99"/>
    <s v="份"/>
    <n v="1"/>
    <n v="14.99"/>
    <n v="0"/>
    <n v="0"/>
    <n v="0"/>
    <n v="0"/>
    <n v="0"/>
    <n v="0"/>
    <n v="0"/>
    <n v="0"/>
    <n v="0"/>
    <n v="0"/>
    <n v="1"/>
    <n v="15.73"/>
    <n v="0.74"/>
    <n v="14.99"/>
    <n v="1"/>
  </r>
  <r>
    <s v="2021-06-28"/>
    <s v="Vancouver"/>
    <s v="加拿大二店"/>
    <x v="7"/>
    <x v="14"/>
    <x v="45"/>
    <x v="46"/>
    <x v="47"/>
    <s v="整份"/>
    <n v="23.8"/>
    <s v="份"/>
    <n v="1"/>
    <n v="23.8"/>
    <n v="0"/>
    <n v="0"/>
    <n v="0"/>
    <n v="0"/>
    <n v="0"/>
    <n v="0"/>
    <n v="0"/>
    <n v="-0.02"/>
    <n v="0"/>
    <n v="0"/>
    <n v="1"/>
    <n v="25.01"/>
    <n v="1.19"/>
    <n v="23.82"/>
    <n v="1"/>
  </r>
  <r>
    <s v="2021-06-28"/>
    <s v="Vancouver"/>
    <s v="加拿大二店"/>
    <x v="7"/>
    <x v="14"/>
    <x v="45"/>
    <x v="46"/>
    <x v="47"/>
    <s v="整份"/>
    <n v="28.95"/>
    <s v="份"/>
    <n v="2"/>
    <n v="57.9"/>
    <n v="0"/>
    <n v="0"/>
    <n v="0"/>
    <n v="0"/>
    <n v="0"/>
    <n v="0"/>
    <n v="0"/>
    <n v="0.02"/>
    <n v="0"/>
    <n v="0"/>
    <n v="2"/>
    <n v="60.77"/>
    <n v="2.89"/>
    <n v="57.88"/>
    <n v="1"/>
  </r>
  <r>
    <s v="2021-06-28"/>
    <s v="Vancouver"/>
    <s v="加拿大二店"/>
    <x v="7"/>
    <x v="14"/>
    <x v="45"/>
    <x v="46"/>
    <x v="47"/>
    <s v="整份"/>
    <n v="31.95"/>
    <s v="份"/>
    <n v="1"/>
    <n v="31.95"/>
    <n v="0"/>
    <n v="0"/>
    <n v="0"/>
    <n v="0"/>
    <n v="0"/>
    <n v="0"/>
    <n v="0"/>
    <n v="0.01"/>
    <n v="0"/>
    <n v="0"/>
    <n v="1"/>
    <n v="33.53"/>
    <n v="1.59"/>
    <n v="31.94"/>
    <n v="1"/>
  </r>
  <r>
    <s v="2021-06-28"/>
    <s v="Vancouver"/>
    <s v="加拿大二店"/>
    <x v="7"/>
    <x v="14"/>
    <x v="45"/>
    <x v="46"/>
    <x v="47"/>
    <s v="整份"/>
    <n v="40.5"/>
    <s v="份"/>
    <n v="1"/>
    <n v="40.5"/>
    <n v="0"/>
    <n v="0"/>
    <n v="0"/>
    <n v="0"/>
    <n v="0"/>
    <n v="0"/>
    <n v="0"/>
    <n v="0"/>
    <n v="0"/>
    <n v="0"/>
    <n v="1"/>
    <n v="42.52"/>
    <n v="2.02"/>
    <n v="40.5"/>
    <n v="1"/>
  </r>
  <r>
    <s v="2021-06-28"/>
    <s v="Vancouver"/>
    <s v="加拿大二店"/>
    <x v="7"/>
    <x v="14"/>
    <x v="45"/>
    <x v="46"/>
    <x v="47"/>
    <s v="整份"/>
    <n v="41"/>
    <s v="份"/>
    <n v="1"/>
    <n v="41"/>
    <n v="0"/>
    <n v="0"/>
    <n v="0"/>
    <n v="0"/>
    <n v="0"/>
    <n v="0"/>
    <n v="0"/>
    <n v="0.02"/>
    <n v="0"/>
    <n v="0"/>
    <n v="1"/>
    <n v="43.02"/>
    <n v="2.04"/>
    <n v="40.98"/>
    <n v="1"/>
  </r>
  <r>
    <s v="2021-06-28"/>
    <s v="Vancouver"/>
    <s v="加拿大二店"/>
    <x v="7"/>
    <x v="14"/>
    <x v="45"/>
    <x v="46"/>
    <x v="47"/>
    <s v="整份"/>
    <n v="45.4"/>
    <s v="份"/>
    <n v="1"/>
    <n v="45.4"/>
    <n v="0"/>
    <n v="0"/>
    <n v="0"/>
    <n v="0"/>
    <n v="0"/>
    <n v="0"/>
    <n v="0"/>
    <n v="0.01"/>
    <n v="0"/>
    <n v="0"/>
    <n v="1"/>
    <n v="47.65"/>
    <n v="2.26"/>
    <n v="45.39"/>
    <n v="1"/>
  </r>
  <r>
    <s v="2021-06-28"/>
    <s v="Vancouver"/>
    <s v="加拿大二店"/>
    <x v="7"/>
    <x v="14"/>
    <x v="45"/>
    <x v="46"/>
    <x v="47"/>
    <s v="整份"/>
    <n v="46.97"/>
    <s v="份"/>
    <n v="1"/>
    <n v="46.97"/>
    <n v="0"/>
    <n v="0"/>
    <n v="0"/>
    <n v="0"/>
    <n v="0"/>
    <n v="0"/>
    <n v="0"/>
    <n v="0"/>
    <n v="7"/>
    <n v="0"/>
    <n v="1"/>
    <n v="41.96"/>
    <n v="1.99"/>
    <n v="39.97"/>
    <n v="1"/>
  </r>
  <r>
    <s v="2021-06-28"/>
    <s v="Vancouver"/>
    <s v="加拿大二店"/>
    <x v="7"/>
    <x v="14"/>
    <x v="45"/>
    <x v="46"/>
    <x v="47"/>
    <s v="整份"/>
    <n v="54.85"/>
    <s v="份"/>
    <n v="1"/>
    <n v="54.85"/>
    <n v="0"/>
    <n v="0"/>
    <n v="0"/>
    <n v="0"/>
    <n v="0"/>
    <n v="0"/>
    <n v="0"/>
    <n v="-0.01"/>
    <n v="0"/>
    <n v="0"/>
    <n v="1"/>
    <n v="57.6"/>
    <n v="2.74"/>
    <n v="54.86"/>
    <n v="1"/>
  </r>
  <r>
    <s v="2021-06-28"/>
    <s v="Vancouver"/>
    <s v="加拿大二店"/>
    <x v="7"/>
    <x v="14"/>
    <x v="45"/>
    <x v="46"/>
    <x v="47"/>
    <s v="整份"/>
    <n v="59.95"/>
    <s v="份"/>
    <n v="4"/>
    <n v="239.8"/>
    <n v="0"/>
    <n v="0"/>
    <n v="0"/>
    <n v="0"/>
    <n v="0"/>
    <n v="0"/>
    <n v="0"/>
    <n v="-0.07"/>
    <n v="0"/>
    <n v="0"/>
    <n v="4"/>
    <n v="251.86"/>
    <n v="11.99"/>
    <n v="239.87"/>
    <n v="1"/>
  </r>
  <r>
    <s v="2021-06-28"/>
    <s v="Vancouver"/>
    <s v="加拿大二店"/>
    <x v="2"/>
    <x v="4"/>
    <x v="46"/>
    <x v="47"/>
    <x v="48"/>
    <s v="冰镇"/>
    <n v="2.45"/>
    <s v="听"/>
    <n v="3"/>
    <n v="7.35"/>
    <n v="0"/>
    <n v="0"/>
    <n v="0"/>
    <n v="0"/>
    <n v="0"/>
    <n v="0"/>
    <n v="0"/>
    <n v="0"/>
    <n v="0.49"/>
    <n v="0"/>
    <n v="3"/>
    <n v="7.68"/>
    <n v="0.82"/>
    <n v="6.86"/>
    <n v="1"/>
  </r>
  <r>
    <s v="2021-06-28"/>
    <s v="Vancouver"/>
    <s v="加拿大二店"/>
    <x v="2"/>
    <x v="4"/>
    <x v="47"/>
    <x v="48"/>
    <x v="49"/>
    <s v="常温"/>
    <n v="2.95"/>
    <s v="听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28"/>
    <s v="Vancouver"/>
    <s v="加拿大二店"/>
    <x v="2"/>
    <x v="4"/>
    <x v="47"/>
    <x v="48"/>
    <x v="49"/>
    <s v="冰镇"/>
    <n v="2.95"/>
    <s v="听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28"/>
    <s v="Vancouver"/>
    <s v="加拿大二店"/>
    <x v="6"/>
    <x v="13"/>
    <x v="48"/>
    <x v="49"/>
    <x v="50"/>
    <s v="整份"/>
    <n v="4.95"/>
    <s v="份"/>
    <n v="4"/>
    <n v="19.8"/>
    <n v="0"/>
    <n v="0"/>
    <n v="0"/>
    <n v="0"/>
    <n v="1"/>
    <n v="4.95"/>
    <n v="0"/>
    <n v="0"/>
    <n v="0"/>
    <n v="0"/>
    <n v="3"/>
    <n v="15.59"/>
    <n v="0.74"/>
    <n v="14.85"/>
    <n v="1"/>
  </r>
  <r>
    <s v="2021-06-28"/>
    <s v="Vancouver"/>
    <s v="加拿大二店"/>
    <x v="3"/>
    <x v="7"/>
    <x v="49"/>
    <x v="50"/>
    <x v="51"/>
    <s v="整份"/>
    <n v="4.95"/>
    <s v="份"/>
    <n v="7"/>
    <n v="34.65"/>
    <n v="0"/>
    <n v="0"/>
    <n v="0"/>
    <n v="0"/>
    <n v="0"/>
    <n v="0"/>
    <n v="0"/>
    <n v="0"/>
    <n v="0"/>
    <n v="0"/>
    <n v="7"/>
    <n v="36.38"/>
    <n v="1.73"/>
    <n v="34.65"/>
    <n v="1"/>
  </r>
  <r>
    <s v="2021-06-28"/>
    <s v="Vancouver"/>
    <s v="加拿大二店"/>
    <x v="6"/>
    <x v="15"/>
    <x v="50"/>
    <x v="51"/>
    <x v="52"/>
    <s v="份"/>
    <n v="8.95"/>
    <s v="份"/>
    <n v="6"/>
    <n v="53.7"/>
    <n v="0"/>
    <n v="0"/>
    <n v="0"/>
    <n v="0"/>
    <n v="0"/>
    <n v="0"/>
    <n v="0"/>
    <n v="0.02"/>
    <n v="0"/>
    <n v="0"/>
    <n v="6"/>
    <n v="56.36"/>
    <n v="2.68"/>
    <n v="53.68"/>
    <n v="1"/>
  </r>
  <r>
    <s v="2021-06-28"/>
    <s v="Vancouver"/>
    <s v="加拿大二店"/>
    <x v="3"/>
    <x v="5"/>
    <x v="51"/>
    <x v="52"/>
    <x v="53"/>
    <s v="整份"/>
    <n v="3.95"/>
    <s v="份"/>
    <n v="8"/>
    <n v="31.6"/>
    <n v="0"/>
    <n v="0"/>
    <n v="0"/>
    <n v="0"/>
    <n v="0"/>
    <n v="0"/>
    <n v="0"/>
    <n v="0"/>
    <n v="0"/>
    <n v="0"/>
    <n v="8"/>
    <n v="33.18"/>
    <n v="1.58"/>
    <n v="31.6"/>
    <n v="1"/>
  </r>
  <r>
    <s v="2021-06-28"/>
    <s v="Vancouver"/>
    <s v="加拿大二店"/>
    <x v="3"/>
    <x v="5"/>
    <x v="52"/>
    <x v="53"/>
    <x v="54"/>
    <s v="整份"/>
    <n v="5.95"/>
    <s v="份"/>
    <n v="3"/>
    <n v="17.85"/>
    <n v="0"/>
    <n v="0"/>
    <n v="0"/>
    <n v="0"/>
    <n v="0"/>
    <n v="0"/>
    <n v="0"/>
    <n v="0.01"/>
    <n v="1.19"/>
    <n v="0"/>
    <n v="3"/>
    <n v="17.48"/>
    <n v="0.83"/>
    <n v="16.65"/>
    <n v="1"/>
  </r>
  <r>
    <s v="2021-06-28"/>
    <s v="Vancouver"/>
    <s v="加拿大二店"/>
    <x v="4"/>
    <x v="9"/>
    <x v="53"/>
    <x v="0"/>
    <x v="55"/>
    <s v="拼锅"/>
    <n v="0"/>
    <s v="锅"/>
    <n v="7"/>
    <n v="0"/>
    <n v="0"/>
    <n v="0"/>
    <n v="0"/>
    <n v="0"/>
    <n v="1"/>
    <n v="0"/>
    <n v="0"/>
    <n v="0.01"/>
    <n v="0"/>
    <n v="0"/>
    <n v="6"/>
    <n v="-0.01"/>
    <n v="-0.01"/>
    <n v="0"/>
    <n v="2"/>
  </r>
  <r>
    <s v="2021-06-28"/>
    <s v="Vancouver"/>
    <s v="加拿大二店"/>
    <x v="4"/>
    <x v="10"/>
    <x v="53"/>
    <x v="0"/>
    <x v="55"/>
    <s v="四宫格"/>
    <n v="0"/>
    <s v="锅"/>
    <n v="26"/>
    <n v="0"/>
    <n v="0"/>
    <n v="0"/>
    <n v="0"/>
    <n v="0"/>
    <n v="0"/>
    <n v="0"/>
    <n v="0"/>
    <n v="0"/>
    <n v="0.02"/>
    <n v="0"/>
    <n v="26"/>
    <n v="-0.02"/>
    <n v="-0.01"/>
    <n v="-0.01"/>
    <n v="1"/>
  </r>
  <r>
    <s v="2021-06-28"/>
    <s v="Vancouver"/>
    <s v="加拿大二店"/>
    <x v="7"/>
    <x v="24"/>
    <x v="140"/>
    <x v="134"/>
    <x v="145"/>
    <s v="盒"/>
    <n v="3.49"/>
    <s v="盒"/>
    <n v="1"/>
    <n v="3.49"/>
    <n v="1"/>
    <n v="3.49"/>
    <n v="0"/>
    <n v="0"/>
    <n v="0"/>
    <n v="0"/>
    <n v="0"/>
    <n v="0"/>
    <n v="0"/>
    <n v="0"/>
    <n v="0"/>
    <n v="0"/>
    <n v="0"/>
    <n v="0"/>
    <n v="1"/>
  </r>
  <r>
    <s v="2021-06-28"/>
    <s v="Vancouver"/>
    <s v="加拿大二店"/>
    <x v="6"/>
    <x v="13"/>
    <x v="114"/>
    <x v="108"/>
    <x v="118"/>
    <s v="整份"/>
    <n v="7.95"/>
    <s v="份"/>
    <n v="3"/>
    <n v="23.85"/>
    <n v="0"/>
    <n v="0"/>
    <n v="0"/>
    <n v="0"/>
    <n v="0"/>
    <n v="0"/>
    <n v="0"/>
    <n v="0.02"/>
    <n v="0"/>
    <n v="0"/>
    <n v="3"/>
    <n v="25.02"/>
    <n v="1.19"/>
    <n v="23.83"/>
    <n v="1"/>
  </r>
  <r>
    <s v="2021-06-28"/>
    <s v="Vancouver"/>
    <s v="加拿大二店"/>
    <x v="1"/>
    <x v="8"/>
    <x v="55"/>
    <x v="55"/>
    <x v="57"/>
    <s v="整份"/>
    <n v="9.95"/>
    <s v="份"/>
    <n v="4"/>
    <n v="39.8"/>
    <n v="0"/>
    <n v="0"/>
    <n v="0"/>
    <n v="0"/>
    <n v="0"/>
    <n v="0"/>
    <n v="0"/>
    <n v="0"/>
    <n v="1.99"/>
    <n v="0"/>
    <n v="4"/>
    <n v="39.7"/>
    <n v="1.89"/>
    <n v="37.81"/>
    <n v="1"/>
  </r>
  <r>
    <s v="2021-06-28"/>
    <s v="Vancouver"/>
    <s v="加拿大二店"/>
    <x v="1"/>
    <x v="1"/>
    <x v="56"/>
    <x v="56"/>
    <x v="58"/>
    <s v="整份"/>
    <n v="12.95"/>
    <s v="份"/>
    <n v="14"/>
    <n v="181.3"/>
    <n v="0"/>
    <n v="0"/>
    <n v="0"/>
    <n v="0"/>
    <n v="0"/>
    <n v="0"/>
    <n v="0"/>
    <n v="0"/>
    <n v="7.77"/>
    <n v="0"/>
    <n v="14"/>
    <n v="182.2"/>
    <n v="8.67"/>
    <n v="173.53"/>
    <n v="1"/>
  </r>
  <r>
    <s v="2021-06-28"/>
    <s v="Vancouver"/>
    <s v="加拿大二店"/>
    <x v="1"/>
    <x v="1"/>
    <x v="57"/>
    <x v="57"/>
    <x v="59"/>
    <s v="整份"/>
    <n v="11.95"/>
    <s v="份"/>
    <n v="42"/>
    <n v="501.9"/>
    <n v="0"/>
    <n v="0"/>
    <n v="0"/>
    <n v="0"/>
    <n v="2"/>
    <n v="23.9"/>
    <n v="0"/>
    <n v="0"/>
    <n v="4.78"/>
    <n v="0"/>
    <n v="40"/>
    <n v="496.88"/>
    <n v="23.66"/>
    <n v="473.22"/>
    <n v="1"/>
  </r>
  <r>
    <s v="2021-06-28"/>
    <s v="Vancouver"/>
    <s v="加拿大二店"/>
    <x v="4"/>
    <x v="16"/>
    <x v="58"/>
    <x v="0"/>
    <x v="60"/>
    <s v="单锅"/>
    <n v="16.95"/>
    <s v="锅"/>
    <n v="1"/>
    <n v="16.95"/>
    <n v="0"/>
    <n v="0"/>
    <n v="0"/>
    <n v="0"/>
    <n v="0"/>
    <n v="0"/>
    <n v="0"/>
    <n v="0"/>
    <n v="3.39"/>
    <n v="0"/>
    <n v="1"/>
    <n v="14.23"/>
    <n v="0.67"/>
    <n v="13.56"/>
    <n v="4"/>
  </r>
  <r>
    <s v="2021-06-28"/>
    <s v="Vancouver"/>
    <s v="加拿大二店"/>
    <x v="4"/>
    <x v="9"/>
    <x v="58"/>
    <x v="0"/>
    <x v="60"/>
    <s v="拼锅"/>
    <n v="8.95"/>
    <s v="锅"/>
    <n v="13"/>
    <n v="116.35"/>
    <n v="0"/>
    <n v="0"/>
    <n v="0"/>
    <n v="0"/>
    <n v="1"/>
    <n v="8.95"/>
    <n v="0"/>
    <n v="0.01"/>
    <n v="3.58"/>
    <n v="0"/>
    <n v="12"/>
    <n v="109"/>
    <n v="5.19"/>
    <n v="103.81"/>
    <n v="2"/>
  </r>
  <r>
    <s v="2021-06-28"/>
    <s v="Vancouver"/>
    <s v="加拿大二店"/>
    <x v="4"/>
    <x v="10"/>
    <x v="58"/>
    <x v="0"/>
    <x v="60"/>
    <s v="四宫格"/>
    <n v="4.95"/>
    <s v="锅"/>
    <n v="10"/>
    <n v="49.5"/>
    <n v="0"/>
    <n v="0"/>
    <n v="0"/>
    <n v="0"/>
    <n v="0"/>
    <n v="0"/>
    <n v="0"/>
    <n v="0"/>
    <n v="3.46"/>
    <n v="0"/>
    <n v="10"/>
    <n v="48.34"/>
    <n v="2.3"/>
    <n v="46.04"/>
    <n v="1"/>
  </r>
  <r>
    <s v="2021-06-28"/>
    <s v="Vancouver"/>
    <s v="加拿大二店"/>
    <x v="3"/>
    <x v="5"/>
    <x v="59"/>
    <x v="58"/>
    <x v="61"/>
    <s v="整份"/>
    <n v="4.95"/>
    <s v="份"/>
    <n v="3"/>
    <n v="14.85"/>
    <n v="0"/>
    <n v="0"/>
    <n v="0"/>
    <n v="0"/>
    <n v="0"/>
    <n v="0"/>
    <n v="0"/>
    <n v="0"/>
    <n v="0"/>
    <n v="0"/>
    <n v="3"/>
    <n v="15.59"/>
    <n v="0.74"/>
    <n v="14.85"/>
    <n v="1"/>
  </r>
  <r>
    <s v="2021-06-28"/>
    <s v="Vancouver"/>
    <s v="加拿大二店"/>
    <x v="2"/>
    <x v="4"/>
    <x v="60"/>
    <x v="59"/>
    <x v="62"/>
    <s v="冰镇"/>
    <n v="6.95"/>
    <s v="扎"/>
    <n v="1"/>
    <n v="6.95"/>
    <n v="0"/>
    <n v="0"/>
    <n v="0"/>
    <n v="0"/>
    <n v="0"/>
    <n v="0"/>
    <n v="0"/>
    <n v="0"/>
    <n v="0"/>
    <n v="0"/>
    <n v="1"/>
    <n v="7.78"/>
    <n v="0.83"/>
    <n v="6.95"/>
    <n v="1"/>
  </r>
  <r>
    <s v="2021-06-28"/>
    <s v="Vancouver"/>
    <s v="加拿大二店"/>
    <x v="6"/>
    <x v="13"/>
    <x v="61"/>
    <x v="60"/>
    <x v="63"/>
    <s v="整份"/>
    <n v="3.95"/>
    <s v="包"/>
    <n v="8"/>
    <n v="31.6"/>
    <n v="0"/>
    <n v="0"/>
    <n v="0"/>
    <n v="0"/>
    <n v="1"/>
    <n v="3.95"/>
    <n v="0"/>
    <n v="0"/>
    <n v="0.79"/>
    <n v="0"/>
    <n v="7"/>
    <n v="28.2"/>
    <n v="1.34"/>
    <n v="26.86"/>
    <n v="1"/>
  </r>
  <r>
    <s v="2021-06-28"/>
    <s v="Vancouver"/>
    <s v="加拿大二店"/>
    <x v="4"/>
    <x v="16"/>
    <x v="62"/>
    <x v="0"/>
    <x v="64"/>
    <s v="单锅"/>
    <n v="16.95"/>
    <s v="锅"/>
    <n v="2"/>
    <n v="33.9"/>
    <n v="0"/>
    <n v="0"/>
    <n v="0"/>
    <n v="0"/>
    <n v="0"/>
    <n v="0"/>
    <n v="0"/>
    <n v="0.02"/>
    <n v="0"/>
    <n v="0"/>
    <n v="2"/>
    <n v="35.57"/>
    <n v="1.69"/>
    <n v="33.88"/>
    <n v="4"/>
  </r>
  <r>
    <s v="2021-06-28"/>
    <s v="Vancouver"/>
    <s v="加拿大二店"/>
    <x v="4"/>
    <x v="9"/>
    <x v="62"/>
    <x v="0"/>
    <x v="64"/>
    <s v="拼锅"/>
    <n v="8.95"/>
    <s v="锅"/>
    <n v="22"/>
    <n v="196.9"/>
    <n v="0"/>
    <n v="0"/>
    <n v="0"/>
    <n v="0"/>
    <n v="2"/>
    <n v="17.9"/>
    <n v="0"/>
    <n v="0"/>
    <n v="1.79"/>
    <n v="0"/>
    <n v="20"/>
    <n v="186.07"/>
    <n v="8.86"/>
    <n v="177.21"/>
    <n v="2"/>
  </r>
  <r>
    <s v="2021-06-28"/>
    <s v="Vancouver"/>
    <s v="加拿大二店"/>
    <x v="4"/>
    <x v="10"/>
    <x v="62"/>
    <x v="0"/>
    <x v="64"/>
    <s v="四宫格"/>
    <n v="4.95"/>
    <s v="锅"/>
    <n v="10"/>
    <n v="49.5"/>
    <n v="0"/>
    <n v="0"/>
    <n v="0"/>
    <n v="0"/>
    <n v="0"/>
    <n v="0"/>
    <n v="0"/>
    <n v="0"/>
    <n v="0"/>
    <n v="0"/>
    <n v="10"/>
    <n v="51.97"/>
    <n v="2.47"/>
    <n v="49.5"/>
    <n v="1"/>
  </r>
  <r>
    <s v="2021-06-28"/>
    <s v="Vancouver"/>
    <s v="加拿大二店"/>
    <x v="6"/>
    <x v="13"/>
    <x v="63"/>
    <x v="61"/>
    <x v="65"/>
    <s v="整份"/>
    <n v="1.5"/>
    <s v="碗"/>
    <n v="9"/>
    <n v="13.5"/>
    <n v="0"/>
    <n v="0"/>
    <n v="0"/>
    <n v="0"/>
    <n v="1"/>
    <n v="1.5"/>
    <n v="0"/>
    <n v="0"/>
    <n v="0"/>
    <n v="0"/>
    <n v="8"/>
    <n v="12.6"/>
    <n v="0.6"/>
    <n v="12"/>
    <n v="1"/>
  </r>
  <r>
    <s v="2021-06-28"/>
    <s v="Vancouver"/>
    <s v="加拿大二店"/>
    <x v="3"/>
    <x v="5"/>
    <x v="64"/>
    <x v="62"/>
    <x v="66"/>
    <s v="整份"/>
    <n v="3.95"/>
    <s v="份"/>
    <n v="9"/>
    <n v="35.55"/>
    <n v="0"/>
    <n v="0"/>
    <n v="0"/>
    <n v="0"/>
    <n v="1"/>
    <n v="3.95"/>
    <n v="0"/>
    <n v="0"/>
    <n v="0"/>
    <n v="0"/>
    <n v="8"/>
    <n v="33.18"/>
    <n v="1.58"/>
    <n v="31.6"/>
    <n v="1"/>
  </r>
  <r>
    <s v="2021-06-28"/>
    <s v="Vancouver"/>
    <s v="加拿大二店"/>
    <x v="2"/>
    <x v="4"/>
    <x v="65"/>
    <x v="63"/>
    <x v="67"/>
    <s v="扎"/>
    <n v="8.95"/>
    <s v="扎"/>
    <n v="9"/>
    <n v="80.55"/>
    <n v="0"/>
    <n v="0"/>
    <n v="0"/>
    <n v="0"/>
    <n v="3"/>
    <n v="26.85"/>
    <n v="0"/>
    <n v="-0.03"/>
    <n v="1.79"/>
    <n v="0"/>
    <n v="6"/>
    <n v="58.17"/>
    <n v="6.23"/>
    <n v="51.94"/>
    <n v="1"/>
  </r>
  <r>
    <s v="2021-06-28"/>
    <s v="Vancouver"/>
    <s v="加拿大二店"/>
    <x v="2"/>
    <x v="4"/>
    <x v="66"/>
    <x v="64"/>
    <x v="68"/>
    <s v="扎"/>
    <n v="11.95"/>
    <s v="扎"/>
    <n v="3"/>
    <n v="35.85"/>
    <n v="0"/>
    <n v="0"/>
    <n v="0"/>
    <n v="0"/>
    <n v="0"/>
    <n v="0"/>
    <n v="0"/>
    <n v="0.01"/>
    <n v="3.82"/>
    <n v="0"/>
    <n v="3"/>
    <n v="35.86"/>
    <n v="3.84"/>
    <n v="32.02"/>
    <n v="1"/>
  </r>
  <r>
    <s v="2021-06-28"/>
    <s v="Vancouver"/>
    <s v="加拿大二店"/>
    <x v="3"/>
    <x v="5"/>
    <x v="134"/>
    <x v="128"/>
    <x v="139"/>
    <s v="整份"/>
    <n v="13.95"/>
    <s v="份"/>
    <n v="1"/>
    <n v="13.95"/>
    <n v="0"/>
    <n v="0"/>
    <n v="0"/>
    <n v="0"/>
    <n v="0"/>
    <n v="0"/>
    <n v="0"/>
    <n v="0"/>
    <n v="0"/>
    <n v="0"/>
    <n v="1"/>
    <n v="14.64"/>
    <n v="0.69"/>
    <n v="13.95"/>
    <n v="1"/>
  </r>
  <r>
    <s v="2021-06-28"/>
    <s v="Vancouver"/>
    <s v="加拿大二店"/>
    <x v="3"/>
    <x v="5"/>
    <x v="117"/>
    <x v="111"/>
    <x v="121"/>
    <s v="整份"/>
    <n v="4.95"/>
    <s v="份"/>
    <n v="3"/>
    <n v="14.85"/>
    <n v="0"/>
    <n v="0"/>
    <n v="0"/>
    <n v="0"/>
    <n v="0"/>
    <n v="0"/>
    <n v="0"/>
    <n v="0"/>
    <n v="0"/>
    <n v="0"/>
    <n v="3"/>
    <n v="15.59"/>
    <n v="0.74"/>
    <n v="14.85"/>
    <n v="1"/>
  </r>
  <r>
    <s v="2021-06-28"/>
    <s v="Vancouver"/>
    <s v="加拿大二店"/>
    <x v="3"/>
    <x v="7"/>
    <x v="67"/>
    <x v="65"/>
    <x v="69"/>
    <s v="整份"/>
    <n v="3.95"/>
    <s v="份"/>
    <n v="8"/>
    <n v="31.6"/>
    <n v="0"/>
    <n v="0"/>
    <n v="0"/>
    <n v="0"/>
    <n v="0"/>
    <n v="0"/>
    <n v="0"/>
    <n v="0"/>
    <n v="2.76"/>
    <n v="0"/>
    <n v="8"/>
    <n v="30.28"/>
    <n v="1.44"/>
    <n v="28.84"/>
    <n v="1"/>
  </r>
  <r>
    <s v="2021-06-28"/>
    <s v="Vancouver"/>
    <s v="加拿大二店"/>
    <x v="1"/>
    <x v="1"/>
    <x v="68"/>
    <x v="66"/>
    <x v="70"/>
    <s v="整份"/>
    <n v="8.95"/>
    <s v="份"/>
    <n v="53"/>
    <n v="474.35"/>
    <n v="0"/>
    <n v="0"/>
    <n v="0"/>
    <n v="0"/>
    <n v="1"/>
    <n v="8.95"/>
    <n v="0"/>
    <n v="-0.01"/>
    <n v="8.05"/>
    <n v="0"/>
    <n v="52"/>
    <n v="480.22"/>
    <n v="22.86"/>
    <n v="457.36"/>
    <n v="1"/>
  </r>
  <r>
    <s v="2021-06-28"/>
    <s v="Vancouver"/>
    <s v="加拿大二店"/>
    <x v="1"/>
    <x v="1"/>
    <x v="69"/>
    <x v="67"/>
    <x v="71"/>
    <s v="整份"/>
    <n v="8.95"/>
    <s v="份"/>
    <n v="2"/>
    <n v="17.9"/>
    <n v="0"/>
    <n v="0"/>
    <n v="0"/>
    <n v="0"/>
    <n v="0"/>
    <n v="0"/>
    <n v="0"/>
    <n v="0"/>
    <n v="0"/>
    <n v="0"/>
    <n v="2"/>
    <n v="18.79"/>
    <n v="0.89"/>
    <n v="17.9"/>
    <n v="1"/>
  </r>
  <r>
    <s v="2021-06-28"/>
    <s v="Vancouver"/>
    <s v="加拿大二店"/>
    <x v="6"/>
    <x v="15"/>
    <x v="70"/>
    <x v="68"/>
    <x v="72"/>
    <s v="整份"/>
    <n v="1.5"/>
    <s v="份"/>
    <n v="6"/>
    <n v="9"/>
    <n v="0"/>
    <n v="0"/>
    <n v="0"/>
    <n v="0"/>
    <n v="0"/>
    <n v="0"/>
    <n v="0"/>
    <n v="-0.02"/>
    <n v="0.6"/>
    <n v="0"/>
    <n v="6"/>
    <n v="8.84"/>
    <n v="0.42"/>
    <n v="8.42"/>
    <n v="1"/>
  </r>
  <r>
    <s v="2021-06-28"/>
    <s v="Vancouver"/>
    <s v="加拿大二店"/>
    <x v="4"/>
    <x v="9"/>
    <x v="71"/>
    <x v="0"/>
    <x v="73"/>
    <s v="拼锅"/>
    <n v="18.95"/>
    <s v="锅"/>
    <n v="10"/>
    <n v="189.5"/>
    <n v="0"/>
    <n v="0"/>
    <n v="0"/>
    <n v="0"/>
    <n v="0"/>
    <n v="0"/>
    <n v="0"/>
    <n v="-0.03"/>
    <n v="3.79"/>
    <n v="0"/>
    <n v="10"/>
    <n v="195.02"/>
    <n v="9.28"/>
    <n v="185.74"/>
    <n v="2"/>
  </r>
  <r>
    <s v="2021-06-28"/>
    <s v="Vancouver"/>
    <s v="加拿大二店"/>
    <x v="4"/>
    <x v="10"/>
    <x v="71"/>
    <x v="0"/>
    <x v="73"/>
    <s v="四宫格"/>
    <n v="9.95"/>
    <s v="锅"/>
    <n v="7"/>
    <n v="69.65"/>
    <n v="0"/>
    <n v="0"/>
    <n v="0"/>
    <n v="0"/>
    <n v="0"/>
    <n v="0"/>
    <n v="0"/>
    <n v="0.03"/>
    <n v="4.97"/>
    <n v="0"/>
    <n v="7"/>
    <n v="67.88"/>
    <n v="3.23"/>
    <n v="64.65"/>
    <n v="1"/>
  </r>
  <r>
    <s v="2021-06-28"/>
    <s v="Vancouver"/>
    <s v="加拿大二店"/>
    <x v="1"/>
    <x v="8"/>
    <x v="72"/>
    <x v="69"/>
    <x v="74"/>
    <s v="个"/>
    <n v="7.95"/>
    <s v="份"/>
    <n v="3"/>
    <n v="23.85"/>
    <n v="0"/>
    <n v="0"/>
    <n v="0"/>
    <n v="0"/>
    <n v="0"/>
    <n v="0"/>
    <n v="0"/>
    <n v="0"/>
    <n v="1.59"/>
    <n v="0"/>
    <n v="3"/>
    <n v="23.37"/>
    <n v="1.11"/>
    <n v="22.26"/>
    <n v="1"/>
  </r>
  <r>
    <s v="2021-06-28"/>
    <s v="Vancouver"/>
    <s v="加拿大二店"/>
    <x v="6"/>
    <x v="13"/>
    <x v="73"/>
    <x v="70"/>
    <x v="75"/>
    <s v="份"/>
    <n v="6.95"/>
    <s v="份"/>
    <n v="7"/>
    <n v="48.65"/>
    <n v="0"/>
    <n v="0"/>
    <n v="0"/>
    <n v="0"/>
    <n v="3"/>
    <n v="20.85"/>
    <n v="0"/>
    <n v="0.01"/>
    <n v="0"/>
    <n v="0"/>
    <n v="4"/>
    <n v="29.17"/>
    <n v="1.38"/>
    <n v="27.79"/>
    <n v="1"/>
  </r>
  <r>
    <s v="2021-06-28"/>
    <s v="Vancouver"/>
    <s v="加拿大二店"/>
    <x v="4"/>
    <x v="9"/>
    <x v="74"/>
    <x v="0"/>
    <x v="76"/>
    <s v="拼锅"/>
    <n v="18.95"/>
    <s v="锅"/>
    <n v="2"/>
    <n v="37.9"/>
    <n v="0"/>
    <n v="0"/>
    <n v="0"/>
    <n v="0"/>
    <n v="0"/>
    <n v="0"/>
    <n v="0"/>
    <n v="0"/>
    <n v="0"/>
    <n v="0"/>
    <n v="2"/>
    <n v="39.79"/>
    <n v="1.89"/>
    <n v="37.9"/>
    <n v="2"/>
  </r>
  <r>
    <s v="2021-06-28"/>
    <s v="Vancouver"/>
    <s v="加拿大二店"/>
    <x v="4"/>
    <x v="10"/>
    <x v="74"/>
    <x v="0"/>
    <x v="76"/>
    <s v="四宫格"/>
    <n v="9.95"/>
    <s v="锅"/>
    <n v="4"/>
    <n v="39.8"/>
    <n v="0"/>
    <n v="0"/>
    <n v="0"/>
    <n v="0"/>
    <n v="0"/>
    <n v="0"/>
    <n v="0"/>
    <n v="0"/>
    <n v="1.99"/>
    <n v="0"/>
    <n v="4"/>
    <n v="39.7"/>
    <n v="1.89"/>
    <n v="37.81"/>
    <n v="1"/>
  </r>
  <r>
    <s v="2021-06-28"/>
    <s v="Vancouver"/>
    <s v="加拿大二店"/>
    <x v="1"/>
    <x v="6"/>
    <x v="118"/>
    <x v="112"/>
    <x v="122"/>
    <s v="整份"/>
    <n v="28.95"/>
    <s v="份"/>
    <n v="3"/>
    <n v="86.85"/>
    <n v="0"/>
    <n v="0"/>
    <n v="0"/>
    <n v="0"/>
    <n v="0"/>
    <n v="0"/>
    <n v="0"/>
    <n v="-0.04"/>
    <n v="0"/>
    <n v="0"/>
    <n v="3"/>
    <n v="91.23"/>
    <n v="4.34"/>
    <n v="86.89"/>
    <n v="1"/>
  </r>
  <r>
    <s v="2021-06-28"/>
    <s v="Vancouver"/>
    <s v="加拿大二店"/>
    <x v="8"/>
    <x v="17"/>
    <x v="75"/>
    <x v="71"/>
    <x v="77"/>
    <s v="整份"/>
    <n v="3.99"/>
    <s v="位"/>
    <n v="137"/>
    <n v="546.63"/>
    <n v="0"/>
    <n v="0"/>
    <n v="0"/>
    <n v="0"/>
    <n v="4"/>
    <n v="15.96"/>
    <n v="0"/>
    <n v="0"/>
    <n v="3.2"/>
    <n v="0"/>
    <n v="133"/>
    <n v="553.84"/>
    <n v="26.37"/>
    <n v="527.47"/>
    <n v="1"/>
  </r>
  <r>
    <s v="2021-06-28"/>
    <s v="Vancouver"/>
    <s v="加拿大二店"/>
    <x v="3"/>
    <x v="5"/>
    <x v="76"/>
    <x v="72"/>
    <x v="78"/>
    <s v="整份"/>
    <n v="3.95"/>
    <s v="份"/>
    <n v="4"/>
    <n v="15.8"/>
    <n v="0"/>
    <n v="0"/>
    <n v="0"/>
    <n v="0"/>
    <n v="0"/>
    <n v="0"/>
    <n v="0"/>
    <n v="0"/>
    <n v="0"/>
    <n v="0"/>
    <n v="4"/>
    <n v="16.59"/>
    <n v="0.79"/>
    <n v="15.8"/>
    <n v="1"/>
  </r>
  <r>
    <s v="2021-06-28"/>
    <s v="Vancouver"/>
    <s v="加拿大二店"/>
    <x v="1"/>
    <x v="3"/>
    <x v="77"/>
    <x v="73"/>
    <x v="79"/>
    <s v="整份"/>
    <n v="5.95"/>
    <s v="份"/>
    <n v="10"/>
    <n v="59.5"/>
    <n v="0"/>
    <n v="0"/>
    <n v="0"/>
    <n v="0"/>
    <n v="3"/>
    <n v="17.85"/>
    <n v="0"/>
    <n v="0"/>
    <n v="0"/>
    <n v="0"/>
    <n v="7"/>
    <n v="43.73"/>
    <n v="2.08"/>
    <n v="41.65"/>
    <n v="1"/>
  </r>
  <r>
    <s v="2021-06-28"/>
    <s v="Vancouver"/>
    <s v="加拿大二店"/>
    <x v="3"/>
    <x v="11"/>
    <x v="78"/>
    <x v="74"/>
    <x v="80"/>
    <s v="整份"/>
    <n v="5.95"/>
    <s v="份"/>
    <n v="11"/>
    <n v="65.45"/>
    <n v="0"/>
    <n v="0"/>
    <n v="0"/>
    <n v="0"/>
    <n v="0"/>
    <n v="0"/>
    <n v="0"/>
    <n v="0"/>
    <n v="2.38"/>
    <n v="0"/>
    <n v="11"/>
    <n v="66.22"/>
    <n v="3.15"/>
    <n v="63.07"/>
    <n v="1"/>
  </r>
  <r>
    <s v="2021-06-28"/>
    <s v="Vancouver"/>
    <s v="加拿大二店"/>
    <x v="3"/>
    <x v="11"/>
    <x v="78"/>
    <x v="75"/>
    <x v="81"/>
    <s v="半份"/>
    <n v="2.95"/>
    <s v="份"/>
    <n v="3"/>
    <n v="8.85"/>
    <n v="0"/>
    <n v="0"/>
    <n v="0"/>
    <n v="0"/>
    <n v="0"/>
    <n v="0"/>
    <n v="0"/>
    <n v="0"/>
    <n v="0"/>
    <n v="0"/>
    <n v="3"/>
    <n v="9.29"/>
    <n v="0.44"/>
    <n v="8.85"/>
    <n v="0.5"/>
  </r>
  <r>
    <s v="2021-06-28"/>
    <s v="Vancouver"/>
    <s v="加拿大二店"/>
    <x v="3"/>
    <x v="5"/>
    <x v="79"/>
    <x v="76"/>
    <x v="82"/>
    <s v="整份"/>
    <n v="3.95"/>
    <s v="份"/>
    <n v="8"/>
    <n v="31.6"/>
    <n v="0"/>
    <n v="0"/>
    <n v="0"/>
    <n v="0"/>
    <n v="0"/>
    <n v="0"/>
    <n v="0"/>
    <n v="0"/>
    <n v="1.97"/>
    <n v="0"/>
    <n v="8"/>
    <n v="31.11"/>
    <n v="1.48"/>
    <n v="29.63"/>
    <n v="1"/>
  </r>
  <r>
    <s v="2021-06-28"/>
    <s v="Vancouver"/>
    <s v="加拿大二店"/>
    <x v="3"/>
    <x v="5"/>
    <x v="80"/>
    <x v="77"/>
    <x v="83"/>
    <s v="整份"/>
    <n v="5.95"/>
    <s v="份"/>
    <n v="13"/>
    <n v="77.35"/>
    <n v="0"/>
    <n v="0"/>
    <n v="0"/>
    <n v="0"/>
    <n v="0"/>
    <n v="0"/>
    <n v="0"/>
    <n v="0"/>
    <n v="1.19"/>
    <n v="0"/>
    <n v="13"/>
    <n v="79.96"/>
    <n v="3.8"/>
    <n v="76.16"/>
    <n v="1"/>
  </r>
  <r>
    <s v="2021-06-28"/>
    <s v="Vancouver"/>
    <s v="加拿大二店"/>
    <x v="4"/>
    <x v="9"/>
    <x v="81"/>
    <x v="0"/>
    <x v="84"/>
    <s v="拼锅"/>
    <n v="8.95"/>
    <s v="锅"/>
    <n v="11"/>
    <n v="98.45"/>
    <n v="0"/>
    <n v="0"/>
    <n v="0"/>
    <n v="0"/>
    <n v="1"/>
    <n v="8.95"/>
    <n v="0"/>
    <n v="0"/>
    <n v="3.58"/>
    <n v="0"/>
    <n v="10"/>
    <n v="90.21"/>
    <n v="4.29"/>
    <n v="85.92"/>
    <n v="2"/>
  </r>
  <r>
    <s v="2021-06-28"/>
    <s v="Vancouver"/>
    <s v="加拿大二店"/>
    <x v="4"/>
    <x v="10"/>
    <x v="81"/>
    <x v="0"/>
    <x v="84"/>
    <s v="四宫格"/>
    <n v="4.95"/>
    <s v="锅"/>
    <n v="4"/>
    <n v="19.8"/>
    <n v="0"/>
    <n v="0"/>
    <n v="0"/>
    <n v="0"/>
    <n v="0"/>
    <n v="0"/>
    <n v="0"/>
    <n v="0"/>
    <n v="0"/>
    <n v="0"/>
    <n v="4"/>
    <n v="20.79"/>
    <n v="0.99"/>
    <n v="19.8"/>
    <n v="1"/>
  </r>
  <r>
    <s v="2021-06-28"/>
    <s v="Vancouver"/>
    <s v="加拿大二店"/>
    <x v="3"/>
    <x v="5"/>
    <x v="82"/>
    <x v="78"/>
    <x v="85"/>
    <s v="整份"/>
    <n v="12.95"/>
    <s v="份"/>
    <n v="9"/>
    <n v="116.55"/>
    <n v="0"/>
    <n v="0"/>
    <n v="0"/>
    <n v="0"/>
    <n v="0"/>
    <n v="0"/>
    <n v="0"/>
    <n v="0"/>
    <n v="7.77"/>
    <n v="0"/>
    <n v="9"/>
    <n v="114.21"/>
    <n v="5.43"/>
    <n v="108.78"/>
    <n v="1"/>
  </r>
  <r>
    <s v="2021-06-28"/>
    <s v="Vancouver"/>
    <s v="加拿大二店"/>
    <x v="3"/>
    <x v="11"/>
    <x v="83"/>
    <x v="79"/>
    <x v="86"/>
    <s v="整份"/>
    <n v="5.95"/>
    <s v="份"/>
    <n v="2"/>
    <n v="11.9"/>
    <n v="0"/>
    <n v="0"/>
    <n v="0"/>
    <n v="0"/>
    <n v="0"/>
    <n v="0"/>
    <n v="0"/>
    <n v="0"/>
    <n v="0"/>
    <n v="0"/>
    <n v="2"/>
    <n v="12.49"/>
    <n v="0.59"/>
    <n v="11.9"/>
    <n v="1"/>
  </r>
  <r>
    <s v="2021-06-28"/>
    <s v="Vancouver"/>
    <s v="加拿大二店"/>
    <x v="3"/>
    <x v="11"/>
    <x v="83"/>
    <x v="80"/>
    <x v="87"/>
    <s v="半份"/>
    <n v="2.95"/>
    <s v="份"/>
    <n v="1"/>
    <n v="2.95"/>
    <n v="0"/>
    <n v="0"/>
    <n v="0"/>
    <n v="0"/>
    <n v="0"/>
    <n v="0"/>
    <n v="0"/>
    <n v="0"/>
    <n v="0"/>
    <n v="0"/>
    <n v="1"/>
    <n v="3.09"/>
    <n v="0.14"/>
    <n v="2.95"/>
    <n v="0.5"/>
  </r>
  <r>
    <s v="2021-06-28"/>
    <s v="Vancouver"/>
    <s v="加拿大二店"/>
    <x v="3"/>
    <x v="11"/>
    <x v="84"/>
    <x v="81"/>
    <x v="88"/>
    <s v="整份"/>
    <n v="11.95"/>
    <s v="份"/>
    <n v="6"/>
    <n v="71.7"/>
    <n v="0"/>
    <n v="0"/>
    <n v="0"/>
    <n v="0"/>
    <n v="1"/>
    <n v="11.95"/>
    <n v="0"/>
    <n v="0"/>
    <n v="4.78"/>
    <n v="0"/>
    <n v="5"/>
    <n v="57.71"/>
    <n v="2.74"/>
    <n v="54.97"/>
    <n v="1"/>
  </r>
  <r>
    <s v="2021-06-28"/>
    <s v="Vancouver"/>
    <s v="加拿大二店"/>
    <x v="1"/>
    <x v="3"/>
    <x v="85"/>
    <x v="82"/>
    <x v="89"/>
    <s v="整份"/>
    <n v="6.95"/>
    <s v="份"/>
    <n v="2"/>
    <n v="13.9"/>
    <n v="0"/>
    <n v="0"/>
    <n v="0"/>
    <n v="0"/>
    <n v="0"/>
    <n v="0"/>
    <n v="0"/>
    <n v="0"/>
    <n v="1.39"/>
    <n v="0"/>
    <n v="2"/>
    <n v="13.13"/>
    <n v="0.62"/>
    <n v="12.51"/>
    <n v="1"/>
  </r>
  <r>
    <s v="2021-06-28"/>
    <s v="Vancouver"/>
    <s v="加拿大二店"/>
    <x v="6"/>
    <x v="13"/>
    <x v="86"/>
    <x v="83"/>
    <x v="90"/>
    <s v="碗"/>
    <n v="2.95"/>
    <s v="碗"/>
    <n v="6"/>
    <n v="17.7"/>
    <n v="0"/>
    <n v="0"/>
    <n v="0"/>
    <n v="0"/>
    <n v="0"/>
    <n v="0"/>
    <n v="0"/>
    <n v="0"/>
    <n v="0.59"/>
    <n v="0"/>
    <n v="6"/>
    <n v="17.96"/>
    <n v="0.85"/>
    <n v="17.11"/>
    <n v="1"/>
  </r>
  <r>
    <s v="2021-06-28"/>
    <s v="Vancouver"/>
    <s v="加拿大二店"/>
    <x v="1"/>
    <x v="8"/>
    <x v="88"/>
    <x v="85"/>
    <x v="92"/>
    <s v="整份"/>
    <n v="7.95"/>
    <s v="份"/>
    <n v="5"/>
    <n v="39.75"/>
    <n v="0"/>
    <n v="0"/>
    <n v="0"/>
    <n v="0"/>
    <n v="0"/>
    <n v="0"/>
    <n v="0"/>
    <n v="0"/>
    <n v="0"/>
    <n v="0"/>
    <n v="5"/>
    <n v="41.73"/>
    <n v="1.98"/>
    <n v="39.75"/>
    <n v="1"/>
  </r>
  <r>
    <s v="2021-06-28"/>
    <s v="Vancouver"/>
    <s v="加拿大二店"/>
    <x v="1"/>
    <x v="8"/>
    <x v="89"/>
    <x v="86"/>
    <x v="93"/>
    <s v="整份"/>
    <n v="4.95"/>
    <s v="份"/>
    <n v="19"/>
    <n v="94.05"/>
    <n v="0"/>
    <n v="0"/>
    <n v="0"/>
    <n v="0"/>
    <n v="1"/>
    <n v="4.95"/>
    <n v="0"/>
    <n v="0"/>
    <n v="0"/>
    <n v="0"/>
    <n v="18"/>
    <n v="93.55"/>
    <n v="4.45"/>
    <n v="89.1"/>
    <n v="1"/>
  </r>
  <r>
    <s v="2021-06-28"/>
    <s v="Vancouver"/>
    <s v="加拿大二店"/>
    <x v="2"/>
    <x v="4"/>
    <x v="138"/>
    <x v="132"/>
    <x v="143"/>
    <s v="扎"/>
    <n v="12.95"/>
    <s v="扎"/>
    <n v="12"/>
    <n v="155.4"/>
    <n v="1"/>
    <n v="12.95"/>
    <n v="0"/>
    <n v="0"/>
    <n v="0"/>
    <n v="0"/>
    <n v="0"/>
    <n v="0"/>
    <n v="0"/>
    <n v="0"/>
    <n v="11"/>
    <n v="159.54"/>
    <n v="17.09"/>
    <n v="142.45"/>
    <n v="1"/>
  </r>
  <r>
    <s v="2021-06-28"/>
    <s v="Vancouver"/>
    <s v="加拿大二店"/>
    <x v="3"/>
    <x v="7"/>
    <x v="90"/>
    <x v="87"/>
    <x v="94"/>
    <s v="整份"/>
    <n v="4.95"/>
    <s v="份"/>
    <n v="12"/>
    <n v="59.4"/>
    <n v="0"/>
    <n v="0"/>
    <n v="0"/>
    <n v="0"/>
    <n v="3"/>
    <n v="14.85"/>
    <n v="0"/>
    <n v="0"/>
    <n v="1.98"/>
    <n v="0"/>
    <n v="9"/>
    <n v="44.69"/>
    <n v="2.12"/>
    <n v="42.57"/>
    <n v="1"/>
  </r>
  <r>
    <s v="2021-06-28"/>
    <s v="Vancouver"/>
    <s v="加拿大二店"/>
    <x v="6"/>
    <x v="18"/>
    <x v="91"/>
    <x v="88"/>
    <x v="95"/>
    <s v="整份"/>
    <n v="2.95"/>
    <s v="份"/>
    <n v="7"/>
    <n v="20.65"/>
    <n v="0"/>
    <n v="0"/>
    <n v="0"/>
    <n v="0"/>
    <n v="0"/>
    <n v="0"/>
    <n v="0"/>
    <n v="0"/>
    <n v="0.59"/>
    <n v="0"/>
    <n v="7"/>
    <n v="21.06"/>
    <n v="1"/>
    <n v="20.06"/>
    <n v="1"/>
  </r>
  <r>
    <s v="2021-06-28"/>
    <s v="Vancouver"/>
    <s v="加拿大二店"/>
    <x v="3"/>
    <x v="5"/>
    <x v="93"/>
    <x v="89"/>
    <x v="97"/>
    <s v="整份"/>
    <n v="5.95"/>
    <s v="份"/>
    <n v="13"/>
    <n v="77.35"/>
    <n v="0"/>
    <n v="0"/>
    <n v="0"/>
    <n v="0"/>
    <n v="4"/>
    <n v="23.8"/>
    <n v="0"/>
    <n v="0"/>
    <n v="0"/>
    <n v="0"/>
    <n v="9"/>
    <n v="56.22"/>
    <n v="2.67"/>
    <n v="53.55"/>
    <n v="1"/>
  </r>
  <r>
    <s v="2021-06-28"/>
    <s v="Vancouver"/>
    <s v="加拿大二店"/>
    <x v="6"/>
    <x v="13"/>
    <x v="94"/>
    <x v="90"/>
    <x v="98"/>
    <s v="整份"/>
    <n v="4.95"/>
    <s v="份"/>
    <n v="11"/>
    <n v="54.45"/>
    <n v="1"/>
    <n v="4.95"/>
    <n v="0"/>
    <n v="0"/>
    <n v="2"/>
    <n v="9.9"/>
    <n v="0"/>
    <n v="0"/>
    <n v="0.99"/>
    <n v="0"/>
    <n v="8"/>
    <n v="40.54"/>
    <n v="1.93"/>
    <n v="38.61"/>
    <n v="1"/>
  </r>
  <r>
    <s v="2021-06-28"/>
    <s v="Vancouver"/>
    <s v="加拿大二店"/>
    <x v="7"/>
    <x v="14"/>
    <x v="123"/>
    <x v="117"/>
    <x v="127"/>
    <s v="整份"/>
    <n v="0"/>
    <s v="份"/>
    <n v="3"/>
    <n v="0"/>
    <n v="0"/>
    <n v="0"/>
    <n v="0"/>
    <n v="0"/>
    <n v="0"/>
    <n v="0"/>
    <n v="0"/>
    <n v="0"/>
    <n v="0"/>
    <n v="0"/>
    <n v="3"/>
    <n v="0"/>
    <n v="0"/>
    <n v="0"/>
    <n v="1"/>
  </r>
  <r>
    <s v="2021-06-28"/>
    <s v="Vancouver"/>
    <s v="加拿大二店"/>
    <x v="2"/>
    <x v="4"/>
    <x v="95"/>
    <x v="91"/>
    <x v="99"/>
    <s v="冰镇"/>
    <n v="2.45"/>
    <s v="听"/>
    <n v="2"/>
    <n v="4.9"/>
    <n v="0"/>
    <n v="0"/>
    <n v="0"/>
    <n v="0"/>
    <n v="0"/>
    <n v="0"/>
    <n v="0"/>
    <n v="0"/>
    <n v="0"/>
    <n v="0"/>
    <n v="2"/>
    <n v="5.48"/>
    <n v="0.58"/>
    <n v="4.9"/>
    <n v="1"/>
  </r>
  <r>
    <s v="2021-06-28"/>
    <s v="Vancouver"/>
    <s v="加拿大二店"/>
    <x v="2"/>
    <x v="2"/>
    <x v="97"/>
    <x v="93"/>
    <x v="101"/>
    <s v="常温"/>
    <n v="5.95"/>
    <s v="听"/>
    <n v="1"/>
    <n v="5.95"/>
    <n v="0"/>
    <n v="0"/>
    <n v="0"/>
    <n v="0"/>
    <n v="0"/>
    <n v="0"/>
    <n v="0"/>
    <n v="0"/>
    <n v="0"/>
    <n v="0"/>
    <n v="1"/>
    <n v="6.84"/>
    <n v="0.89"/>
    <n v="5.95"/>
    <n v="1"/>
  </r>
  <r>
    <s v="2021-06-28"/>
    <s v="Vancouver"/>
    <s v="加拿大二店"/>
    <x v="2"/>
    <x v="2"/>
    <x v="97"/>
    <x v="93"/>
    <x v="101"/>
    <s v="冰镇"/>
    <n v="5.95"/>
    <s v="听"/>
    <n v="9"/>
    <n v="53.55"/>
    <n v="0"/>
    <n v="0"/>
    <n v="0"/>
    <n v="0"/>
    <n v="0"/>
    <n v="0"/>
    <n v="0"/>
    <n v="0"/>
    <n v="1.19"/>
    <n v="0"/>
    <n v="9"/>
    <n v="60.21"/>
    <n v="7.85"/>
    <n v="52.36"/>
    <n v="1"/>
  </r>
  <r>
    <s v="2021-06-28"/>
    <s v="Vancouver"/>
    <s v="加拿大二店"/>
    <x v="6"/>
    <x v="13"/>
    <x v="98"/>
    <x v="94"/>
    <x v="102"/>
    <s v="整份"/>
    <n v="3.95"/>
    <s v="份"/>
    <n v="4"/>
    <n v="15.8"/>
    <n v="0"/>
    <n v="0"/>
    <n v="0"/>
    <n v="0"/>
    <n v="0"/>
    <n v="0"/>
    <n v="0"/>
    <n v="0"/>
    <n v="0.79"/>
    <n v="0"/>
    <n v="4"/>
    <n v="15.76"/>
    <n v="0.75"/>
    <n v="15.01"/>
    <n v="1"/>
  </r>
  <r>
    <s v="2021-06-28"/>
    <s v="Vancouver"/>
    <s v="加拿大二店"/>
    <x v="1"/>
    <x v="3"/>
    <x v="100"/>
    <x v="96"/>
    <x v="104"/>
    <s v="整份"/>
    <n v="7.95"/>
    <s v="份"/>
    <n v="8"/>
    <n v="63.6"/>
    <n v="0"/>
    <n v="0"/>
    <n v="0"/>
    <n v="0"/>
    <n v="0"/>
    <n v="0"/>
    <n v="0"/>
    <n v="0"/>
    <n v="0"/>
    <n v="0"/>
    <n v="8"/>
    <n v="66.78"/>
    <n v="3.18"/>
    <n v="63.6"/>
    <n v="1"/>
  </r>
  <r>
    <s v="2021-06-28"/>
    <s v="Vancouver"/>
    <s v="加拿大二店"/>
    <x v="1"/>
    <x v="8"/>
    <x v="101"/>
    <x v="97"/>
    <x v="105"/>
    <s v="整份"/>
    <n v="5.95"/>
    <s v="份"/>
    <n v="9"/>
    <n v="53.55"/>
    <n v="0"/>
    <n v="0"/>
    <n v="0"/>
    <n v="0"/>
    <n v="0"/>
    <n v="0"/>
    <n v="0"/>
    <n v="0"/>
    <n v="0"/>
    <n v="0"/>
    <n v="9"/>
    <n v="56.22"/>
    <n v="2.67"/>
    <n v="53.55"/>
    <n v="1"/>
  </r>
  <r>
    <s v="2021-06-28"/>
    <s v="Vancouver"/>
    <s v="加拿大二店"/>
    <x v="1"/>
    <x v="6"/>
    <x v="102"/>
    <x v="98"/>
    <x v="106"/>
    <s v="整份"/>
    <n v="8.95"/>
    <s v="份"/>
    <n v="2"/>
    <n v="17.9"/>
    <n v="0"/>
    <n v="0"/>
    <n v="0"/>
    <n v="0"/>
    <n v="0"/>
    <n v="0"/>
    <n v="0"/>
    <n v="-0.03"/>
    <n v="0"/>
    <n v="0"/>
    <n v="2"/>
    <n v="18.82"/>
    <n v="0.89"/>
    <n v="17.93"/>
    <n v="1"/>
  </r>
  <r>
    <s v="2021-06-28"/>
    <s v="Vancouver"/>
    <s v="加拿大二店"/>
    <x v="3"/>
    <x v="7"/>
    <x v="103"/>
    <x v="99"/>
    <x v="107"/>
    <s v="整份"/>
    <n v="5.95"/>
    <s v="份"/>
    <n v="9"/>
    <n v="53.55"/>
    <n v="0"/>
    <n v="0"/>
    <n v="0"/>
    <n v="0"/>
    <n v="0"/>
    <n v="0"/>
    <n v="0"/>
    <n v="0"/>
    <n v="2.38"/>
    <n v="0"/>
    <n v="9"/>
    <n v="53.72"/>
    <n v="2.55"/>
    <n v="51.17"/>
    <n v="1"/>
  </r>
  <r>
    <s v="2021-06-28"/>
    <s v="Vancouver"/>
    <s v="加拿大二店"/>
    <x v="3"/>
    <x v="7"/>
    <x v="104"/>
    <x v="100"/>
    <x v="108"/>
    <s v="整份"/>
    <n v="3.95"/>
    <s v="份"/>
    <n v="5"/>
    <n v="19.75"/>
    <n v="0"/>
    <n v="0"/>
    <n v="0"/>
    <n v="0"/>
    <n v="0"/>
    <n v="0"/>
    <n v="0"/>
    <n v="0"/>
    <n v="0"/>
    <n v="0"/>
    <n v="5"/>
    <n v="20.73"/>
    <n v="0.98"/>
    <n v="19.75"/>
    <n v="1"/>
  </r>
  <r>
    <s v="2021-06-28"/>
    <s v="Vancouver"/>
    <s v="加拿大二店"/>
    <x v="1"/>
    <x v="8"/>
    <x v="105"/>
    <x v="101"/>
    <x v="109"/>
    <s v="整份"/>
    <n v="4.95"/>
    <s v="份"/>
    <n v="8"/>
    <n v="39.6"/>
    <n v="0"/>
    <n v="0"/>
    <n v="0"/>
    <n v="0"/>
    <n v="0"/>
    <n v="0"/>
    <n v="0"/>
    <n v="0"/>
    <n v="2.97"/>
    <n v="0"/>
    <n v="8"/>
    <n v="38.46"/>
    <n v="1.83"/>
    <n v="36.63"/>
    <n v="1"/>
  </r>
  <r>
    <s v="2021-06-28"/>
    <s v="Vancouver"/>
    <s v="加拿大二店"/>
    <x v="4"/>
    <x v="9"/>
    <x v="106"/>
    <x v="0"/>
    <x v="110"/>
    <s v="拼锅"/>
    <n v="11.95"/>
    <s v="锅"/>
    <n v="5"/>
    <n v="59.75"/>
    <n v="0"/>
    <n v="0"/>
    <n v="0"/>
    <n v="0"/>
    <n v="0"/>
    <n v="0"/>
    <n v="0"/>
    <n v="-0.01"/>
    <n v="2.39"/>
    <n v="0"/>
    <n v="5"/>
    <n v="60.23"/>
    <n v="2.86"/>
    <n v="57.37"/>
    <n v="2"/>
  </r>
  <r>
    <s v="2021-06-28"/>
    <s v="Vancouver"/>
    <s v="加拿大二店"/>
    <x v="4"/>
    <x v="10"/>
    <x v="106"/>
    <x v="0"/>
    <x v="110"/>
    <s v="四宫格"/>
    <n v="5.95"/>
    <s v="锅"/>
    <n v="4"/>
    <n v="23.8"/>
    <n v="0"/>
    <n v="0"/>
    <n v="0"/>
    <n v="0"/>
    <n v="0"/>
    <n v="0"/>
    <n v="0"/>
    <n v="-0.01"/>
    <n v="0"/>
    <n v="0"/>
    <n v="4"/>
    <n v="25"/>
    <n v="1.19"/>
    <n v="23.81"/>
    <n v="1"/>
  </r>
  <r>
    <s v="2021-06-28"/>
    <s v="Vancouver"/>
    <s v="加拿大二店"/>
    <x v="4"/>
    <x v="16"/>
    <x v="107"/>
    <x v="0"/>
    <x v="111"/>
    <s v="单锅"/>
    <n v="22.95"/>
    <s v="锅"/>
    <n v="1"/>
    <n v="22.95"/>
    <n v="0"/>
    <n v="0"/>
    <n v="0"/>
    <n v="0"/>
    <n v="0"/>
    <n v="0"/>
    <n v="0"/>
    <n v="0"/>
    <n v="0"/>
    <n v="0"/>
    <n v="1"/>
    <n v="24.09"/>
    <n v="1.14"/>
    <n v="22.95"/>
    <n v="4"/>
  </r>
  <r>
    <s v="2021-06-28"/>
    <s v="Vancouver"/>
    <s v="加拿大二店"/>
    <x v="4"/>
    <x v="9"/>
    <x v="107"/>
    <x v="0"/>
    <x v="111"/>
    <s v="拼锅"/>
    <n v="11.95"/>
    <s v="锅"/>
    <n v="8"/>
    <n v="95.6"/>
    <n v="0"/>
    <n v="0"/>
    <n v="0"/>
    <n v="0"/>
    <n v="3"/>
    <n v="35.85"/>
    <n v="0"/>
    <n v="0"/>
    <n v="0"/>
    <n v="0"/>
    <n v="5"/>
    <n v="62.73"/>
    <n v="2.98"/>
    <n v="59.75"/>
    <n v="2"/>
  </r>
  <r>
    <s v="2021-06-28"/>
    <s v="Vancouver"/>
    <s v="加拿大二店"/>
    <x v="4"/>
    <x v="10"/>
    <x v="107"/>
    <x v="0"/>
    <x v="111"/>
    <s v="四宫格"/>
    <n v="5.95"/>
    <s v="锅"/>
    <n v="4"/>
    <n v="23.8"/>
    <n v="0"/>
    <n v="0"/>
    <n v="0"/>
    <n v="0"/>
    <n v="0"/>
    <n v="0"/>
    <n v="0"/>
    <n v="0"/>
    <n v="1.19"/>
    <n v="0"/>
    <n v="4"/>
    <n v="23.74"/>
    <n v="1.13"/>
    <n v="22.61"/>
    <n v="1"/>
  </r>
  <r>
    <s v="2021-06-28"/>
    <s v="Vancouver"/>
    <s v="加拿大二店"/>
    <x v="1"/>
    <x v="1"/>
    <x v="141"/>
    <x v="135"/>
    <x v="146"/>
    <s v="整份"/>
    <n v="12.95"/>
    <s v="份"/>
    <n v="8"/>
    <n v="103.6"/>
    <n v="0"/>
    <n v="0"/>
    <n v="0"/>
    <n v="0"/>
    <n v="0"/>
    <n v="0"/>
    <n v="0"/>
    <n v="0"/>
    <n v="2.58"/>
    <n v="0"/>
    <n v="8"/>
    <n v="107.08"/>
    <n v="6.06"/>
    <n v="101.02"/>
    <n v="1"/>
  </r>
  <r>
    <s v="2021-06-29"/>
    <s v="Vancouver"/>
    <s v="加拿大二店"/>
    <x v="0"/>
    <x v="0"/>
    <x v="0"/>
    <x v="0"/>
    <x v="0"/>
    <s v="套餐"/>
    <n v="139.95"/>
    <s v="套餐"/>
    <n v="2"/>
    <n v="279.9"/>
    <n v="0"/>
    <n v="0"/>
    <n v="0"/>
    <n v="0"/>
    <n v="0"/>
    <n v="0"/>
    <n v="0"/>
    <n v="0.02"/>
    <n v="0"/>
    <n v="0"/>
    <n v="2"/>
    <n v="296.67"/>
    <n v="16.79"/>
    <n v="279.88"/>
    <n v="1"/>
  </r>
  <r>
    <s v="2021-06-29"/>
    <s v="Vancouver"/>
    <s v="加拿大二店"/>
    <x v="1"/>
    <x v="1"/>
    <x v="1"/>
    <x v="1"/>
    <x v="1"/>
    <s v="整份"/>
    <n v="16.95"/>
    <s v="份"/>
    <n v="8"/>
    <n v="135.6"/>
    <n v="0"/>
    <n v="0"/>
    <n v="0"/>
    <n v="0"/>
    <n v="1"/>
    <n v="16.95"/>
    <n v="0"/>
    <n v="0"/>
    <n v="4.02"/>
    <n v="0"/>
    <n v="7"/>
    <n v="120.36"/>
    <n v="5.73"/>
    <n v="114.63"/>
    <n v="1"/>
  </r>
  <r>
    <s v="2021-06-29"/>
    <s v="Vancouver"/>
    <s v="加拿大二店"/>
    <x v="1"/>
    <x v="1"/>
    <x v="2"/>
    <x v="2"/>
    <x v="2"/>
    <s v="整份"/>
    <n v="25.95"/>
    <s v="份"/>
    <n v="18"/>
    <n v="467.1"/>
    <n v="1"/>
    <n v="25.95"/>
    <n v="0"/>
    <n v="0"/>
    <n v="2"/>
    <n v="51.9"/>
    <n v="0"/>
    <n v="0"/>
    <n v="8.3"/>
    <n v="0"/>
    <n v="15"/>
    <n v="399.99"/>
    <n v="19.04"/>
    <n v="380.95"/>
    <n v="1"/>
  </r>
  <r>
    <s v="2021-06-29"/>
    <s v="Vancouver"/>
    <s v="加拿大二店"/>
    <x v="2"/>
    <x v="2"/>
    <x v="3"/>
    <x v="3"/>
    <x v="3"/>
    <s v="杯"/>
    <n v="6.95"/>
    <s v="杯"/>
    <n v="5"/>
    <n v="34.75"/>
    <n v="0"/>
    <n v="0"/>
    <n v="0"/>
    <n v="0"/>
    <n v="0"/>
    <n v="0"/>
    <n v="0"/>
    <n v="0"/>
    <n v="2.78"/>
    <n v="0"/>
    <n v="5"/>
    <n v="36.76"/>
    <n v="4.79"/>
    <n v="31.97"/>
    <n v="1"/>
  </r>
  <r>
    <s v="2021-06-29"/>
    <s v="Vancouver"/>
    <s v="加拿大二店"/>
    <x v="2"/>
    <x v="2"/>
    <x v="5"/>
    <x v="5"/>
    <x v="5"/>
    <s v="杯"/>
    <n v="6.95"/>
    <s v="杯"/>
    <n v="4"/>
    <n v="27.8"/>
    <n v="0"/>
    <n v="0"/>
    <n v="0"/>
    <n v="0"/>
    <n v="0"/>
    <n v="0"/>
    <n v="0"/>
    <n v="-0.01"/>
    <n v="0"/>
    <n v="0"/>
    <n v="4"/>
    <n v="31.98"/>
    <n v="4.17"/>
    <n v="27.81"/>
    <n v="1"/>
  </r>
  <r>
    <s v="2021-06-29"/>
    <s v="Vancouver"/>
    <s v="加拿大二店"/>
    <x v="1"/>
    <x v="3"/>
    <x v="6"/>
    <x v="6"/>
    <x v="6"/>
    <s v="整份"/>
    <n v="7.95"/>
    <s v="份"/>
    <n v="4"/>
    <n v="31.8"/>
    <n v="0"/>
    <n v="0"/>
    <n v="0"/>
    <n v="0"/>
    <n v="0"/>
    <n v="0"/>
    <n v="0"/>
    <n v="0"/>
    <n v="1.59"/>
    <n v="0"/>
    <n v="4"/>
    <n v="31.72"/>
    <n v="1.51"/>
    <n v="30.21"/>
    <n v="1"/>
  </r>
  <r>
    <s v="2021-06-29"/>
    <s v="Vancouver"/>
    <s v="加拿大二店"/>
    <x v="0"/>
    <x v="0"/>
    <x v="124"/>
    <x v="0"/>
    <x v="128"/>
    <s v="套餐"/>
    <n v="59.95"/>
    <s v="套餐"/>
    <n v="3"/>
    <n v="179.85"/>
    <n v="1"/>
    <n v="59.95"/>
    <n v="0"/>
    <n v="0"/>
    <n v="0"/>
    <n v="0"/>
    <n v="0"/>
    <n v="0"/>
    <n v="0"/>
    <n v="0"/>
    <n v="2"/>
    <n v="127.09"/>
    <n v="7.19"/>
    <n v="119.9"/>
    <n v="1"/>
  </r>
  <r>
    <s v="2021-06-29"/>
    <s v="Vancouver"/>
    <s v="加拿大二店"/>
    <x v="2"/>
    <x v="4"/>
    <x v="7"/>
    <x v="7"/>
    <x v="7"/>
    <s v="常温"/>
    <n v="2.45"/>
    <s v="罐"/>
    <n v="1"/>
    <n v="2.45"/>
    <n v="0"/>
    <n v="0"/>
    <n v="0"/>
    <n v="0"/>
    <n v="0"/>
    <n v="0"/>
    <n v="0"/>
    <n v="0"/>
    <n v="0.49"/>
    <n v="0"/>
    <n v="1"/>
    <n v="2.19"/>
    <n v="0.23"/>
    <n v="1.96"/>
    <n v="1"/>
  </r>
  <r>
    <s v="2021-06-29"/>
    <s v="Vancouver"/>
    <s v="加拿大二店"/>
    <x v="2"/>
    <x v="4"/>
    <x v="7"/>
    <x v="7"/>
    <x v="7"/>
    <s v="冰镇"/>
    <n v="2.45"/>
    <s v="罐"/>
    <n v="4"/>
    <n v="9.8"/>
    <n v="0"/>
    <n v="0"/>
    <n v="0"/>
    <n v="0"/>
    <n v="0"/>
    <n v="0"/>
    <n v="0"/>
    <n v="0"/>
    <n v="0.49"/>
    <n v="0"/>
    <n v="4"/>
    <n v="10.42"/>
    <n v="1.11"/>
    <n v="9.31"/>
    <n v="1"/>
  </r>
  <r>
    <s v="2021-06-29"/>
    <s v="Vancouver"/>
    <s v="加拿大二店"/>
    <x v="0"/>
    <x v="20"/>
    <x v="109"/>
    <x v="103"/>
    <x v="113"/>
    <s v="整份"/>
    <n v="8.95"/>
    <s v="份"/>
    <n v="2"/>
    <n v="17.9"/>
    <n v="0"/>
    <n v="0"/>
    <n v="0"/>
    <n v="0"/>
    <n v="0"/>
    <n v="0"/>
    <n v="0"/>
    <n v="0"/>
    <n v="0"/>
    <n v="0"/>
    <n v="2"/>
    <n v="18.79"/>
    <n v="0.89"/>
    <n v="17.9"/>
    <n v="1"/>
  </r>
  <r>
    <s v="2021-06-29"/>
    <s v="Vancouver"/>
    <s v="加拿大二店"/>
    <x v="2"/>
    <x v="4"/>
    <x v="110"/>
    <x v="104"/>
    <x v="114"/>
    <s v="小瓶"/>
    <n v="3.95"/>
    <s v="瓶"/>
    <n v="7"/>
    <n v="27.65"/>
    <n v="0"/>
    <n v="0"/>
    <n v="0"/>
    <n v="0"/>
    <n v="0"/>
    <n v="0"/>
    <n v="0"/>
    <n v="0"/>
    <n v="1.97"/>
    <n v="0"/>
    <n v="7"/>
    <n v="28.76"/>
    <n v="3.08"/>
    <n v="25.68"/>
    <n v="1"/>
  </r>
  <r>
    <s v="2021-06-29"/>
    <s v="Vancouver"/>
    <s v="加拿大二店"/>
    <x v="3"/>
    <x v="5"/>
    <x v="8"/>
    <x v="8"/>
    <x v="8"/>
    <s v="整份"/>
    <n v="3.95"/>
    <s v="份"/>
    <n v="13"/>
    <n v="51.35"/>
    <n v="0"/>
    <n v="0"/>
    <n v="0"/>
    <n v="0"/>
    <n v="0"/>
    <n v="0"/>
    <n v="0"/>
    <n v="0"/>
    <n v="4.61"/>
    <n v="0"/>
    <n v="13"/>
    <n v="49.07"/>
    <n v="2.33"/>
    <n v="46.74"/>
    <n v="1"/>
  </r>
  <r>
    <s v="2021-06-29"/>
    <s v="Vancouver"/>
    <s v="加拿大二店"/>
    <x v="2"/>
    <x v="4"/>
    <x v="9"/>
    <x v="9"/>
    <x v="9"/>
    <s v="冰镇"/>
    <n v="2.95"/>
    <s v="位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29"/>
    <s v="Vancouver"/>
    <s v="加拿大二店"/>
    <x v="2"/>
    <x v="4"/>
    <x v="10"/>
    <x v="10"/>
    <x v="10"/>
    <s v="半份"/>
    <n v="6.95"/>
    <s v="扎"/>
    <n v="3"/>
    <n v="20.85"/>
    <n v="0"/>
    <n v="0"/>
    <n v="0"/>
    <n v="0"/>
    <n v="0"/>
    <n v="0"/>
    <n v="0"/>
    <n v="0"/>
    <n v="0"/>
    <n v="0"/>
    <n v="3"/>
    <n v="23.35"/>
    <n v="2.5"/>
    <n v="20.85"/>
    <n v="0.5"/>
  </r>
  <r>
    <s v="2021-06-29"/>
    <s v="Vancouver"/>
    <s v="加拿大二店"/>
    <x v="2"/>
    <x v="4"/>
    <x v="10"/>
    <x v="11"/>
    <x v="11"/>
    <s v="整份"/>
    <n v="9.95"/>
    <s v="扎"/>
    <n v="6"/>
    <n v="59.7"/>
    <n v="0"/>
    <n v="0"/>
    <n v="0"/>
    <n v="0"/>
    <n v="0"/>
    <n v="0"/>
    <n v="0"/>
    <n v="0"/>
    <n v="0.37"/>
    <n v="0"/>
    <n v="6"/>
    <n v="66.44"/>
    <n v="7.11"/>
    <n v="59.33"/>
    <n v="1"/>
  </r>
  <r>
    <s v="2021-06-29"/>
    <s v="Vancouver"/>
    <s v="加拿大二店"/>
    <x v="1"/>
    <x v="6"/>
    <x v="11"/>
    <x v="12"/>
    <x v="12"/>
    <s v="整份"/>
    <n v="8.95"/>
    <s v="份"/>
    <n v="3"/>
    <n v="26.85"/>
    <n v="0"/>
    <n v="0"/>
    <n v="0"/>
    <n v="0"/>
    <n v="1"/>
    <n v="8.95"/>
    <n v="0"/>
    <n v="0"/>
    <n v="1.07"/>
    <n v="0"/>
    <n v="2"/>
    <n v="17.67"/>
    <n v="0.84"/>
    <n v="16.83"/>
    <n v="1"/>
  </r>
  <r>
    <s v="2021-06-29"/>
    <s v="Vancouver"/>
    <s v="加拿大二店"/>
    <x v="1"/>
    <x v="6"/>
    <x v="13"/>
    <x v="14"/>
    <x v="14"/>
    <s v="整份"/>
    <n v="21.95"/>
    <s v="份"/>
    <n v="5"/>
    <n v="109.75"/>
    <n v="0"/>
    <n v="0"/>
    <n v="0"/>
    <n v="0"/>
    <n v="0"/>
    <n v="0"/>
    <n v="0"/>
    <n v="0"/>
    <n v="8.78"/>
    <n v="0"/>
    <n v="5"/>
    <n v="106.01"/>
    <n v="5.04"/>
    <n v="100.97"/>
    <n v="1"/>
  </r>
  <r>
    <s v="2021-06-29"/>
    <s v="Vancouver"/>
    <s v="加拿大二店"/>
    <x v="1"/>
    <x v="6"/>
    <x v="14"/>
    <x v="15"/>
    <x v="15"/>
    <s v="整份"/>
    <n v="29.95"/>
    <s v="份"/>
    <n v="3"/>
    <n v="89.85"/>
    <n v="0"/>
    <n v="0"/>
    <n v="0"/>
    <n v="0"/>
    <n v="0"/>
    <n v="0"/>
    <n v="0"/>
    <n v="0"/>
    <n v="1.12"/>
    <n v="0"/>
    <n v="3"/>
    <n v="93.16"/>
    <n v="4.43"/>
    <n v="88.73"/>
    <n v="1"/>
  </r>
  <r>
    <s v="2021-06-29"/>
    <s v="Vancouver"/>
    <s v="加拿大二店"/>
    <x v="1"/>
    <x v="6"/>
    <x v="15"/>
    <x v="16"/>
    <x v="16"/>
    <s v="整份"/>
    <n v="8.95"/>
    <s v="份"/>
    <n v="4"/>
    <n v="35.8"/>
    <n v="0"/>
    <n v="0"/>
    <n v="0"/>
    <n v="0"/>
    <n v="0"/>
    <n v="0"/>
    <n v="0"/>
    <n v="0"/>
    <n v="0"/>
    <n v="0"/>
    <n v="4"/>
    <n v="37.59"/>
    <n v="1.79"/>
    <n v="35.8"/>
    <n v="1"/>
  </r>
  <r>
    <s v="2021-06-29"/>
    <s v="Vancouver"/>
    <s v="加拿大二店"/>
    <x v="1"/>
    <x v="6"/>
    <x v="111"/>
    <x v="105"/>
    <x v="115"/>
    <s v="整份"/>
    <n v="8.95"/>
    <s v="份"/>
    <n v="2"/>
    <n v="17.9"/>
    <n v="0"/>
    <n v="0"/>
    <n v="0"/>
    <n v="0"/>
    <n v="0"/>
    <n v="0"/>
    <n v="0"/>
    <n v="0"/>
    <n v="1.07"/>
    <n v="0"/>
    <n v="2"/>
    <n v="17.67"/>
    <n v="0.84"/>
    <n v="16.83"/>
    <n v="1"/>
  </r>
  <r>
    <s v="2021-06-29"/>
    <s v="Vancouver"/>
    <s v="加拿大二店"/>
    <x v="3"/>
    <x v="7"/>
    <x v="16"/>
    <x v="17"/>
    <x v="17"/>
    <s v="整份"/>
    <n v="4.95"/>
    <s v="份"/>
    <n v="19"/>
    <n v="94.05"/>
    <n v="0"/>
    <n v="0"/>
    <n v="0"/>
    <n v="0"/>
    <n v="0"/>
    <n v="0"/>
    <n v="0"/>
    <n v="0"/>
    <n v="6.31"/>
    <n v="0"/>
    <n v="19"/>
    <n v="92.12"/>
    <n v="4.38"/>
    <n v="87.74"/>
    <n v="1"/>
  </r>
  <r>
    <s v="2021-06-29"/>
    <s v="Vancouver"/>
    <s v="加拿大二店"/>
    <x v="2"/>
    <x v="4"/>
    <x v="17"/>
    <x v="18"/>
    <x v="18"/>
    <s v="冰镇"/>
    <n v="2.95"/>
    <s v="瓶"/>
    <n v="7"/>
    <n v="20.65"/>
    <n v="0"/>
    <n v="0"/>
    <n v="0"/>
    <n v="0"/>
    <n v="0"/>
    <n v="0"/>
    <n v="0"/>
    <n v="0"/>
    <n v="0.59"/>
    <n v="0"/>
    <n v="7"/>
    <n v="22.46"/>
    <n v="2.4"/>
    <n v="20.06"/>
    <n v="1"/>
  </r>
  <r>
    <s v="2021-06-29"/>
    <s v="Vancouver"/>
    <s v="加拿大二店"/>
    <x v="2"/>
    <x v="4"/>
    <x v="18"/>
    <x v="19"/>
    <x v="19"/>
    <s v="冰镇"/>
    <n v="2.95"/>
    <s v="听"/>
    <n v="2"/>
    <n v="5.9"/>
    <n v="0"/>
    <n v="0"/>
    <n v="0"/>
    <n v="0"/>
    <n v="0"/>
    <n v="0"/>
    <n v="0"/>
    <n v="0"/>
    <n v="0"/>
    <n v="0"/>
    <n v="2"/>
    <n v="6.6"/>
    <n v="0.7"/>
    <n v="5.9"/>
    <n v="1"/>
  </r>
  <r>
    <s v="2021-06-29"/>
    <s v="Vancouver"/>
    <s v="加拿大二店"/>
    <x v="1"/>
    <x v="8"/>
    <x v="19"/>
    <x v="20"/>
    <x v="20"/>
    <s v="整份"/>
    <n v="5.95"/>
    <s v="份"/>
    <n v="12"/>
    <n v="71.4"/>
    <n v="1"/>
    <n v="5.95"/>
    <n v="0"/>
    <n v="0"/>
    <n v="1"/>
    <n v="5.95"/>
    <n v="0"/>
    <n v="0"/>
    <n v="0.93"/>
    <n v="0"/>
    <n v="10"/>
    <n v="61.49"/>
    <n v="2.92"/>
    <n v="58.57"/>
    <n v="1"/>
  </r>
  <r>
    <s v="2021-06-29"/>
    <s v="Vancouver"/>
    <s v="加拿大二店"/>
    <x v="1"/>
    <x v="8"/>
    <x v="20"/>
    <x v="21"/>
    <x v="21"/>
    <s v="整份"/>
    <n v="7.95"/>
    <s v="份"/>
    <n v="8"/>
    <n v="63.6"/>
    <n v="0"/>
    <n v="0"/>
    <n v="0"/>
    <n v="0"/>
    <n v="0"/>
    <n v="0"/>
    <n v="0"/>
    <n v="0"/>
    <n v="3.18"/>
    <n v="0"/>
    <n v="8"/>
    <n v="63.44"/>
    <n v="3.02"/>
    <n v="60.42"/>
    <n v="1"/>
  </r>
  <r>
    <s v="2021-06-29"/>
    <s v="Vancouver"/>
    <s v="加拿大二店"/>
    <x v="2"/>
    <x v="4"/>
    <x v="21"/>
    <x v="22"/>
    <x v="22"/>
    <s v="冰镇"/>
    <n v="2.45"/>
    <s v="听"/>
    <n v="10"/>
    <n v="24.5"/>
    <n v="0"/>
    <n v="0"/>
    <n v="0"/>
    <n v="0"/>
    <n v="0"/>
    <n v="0"/>
    <n v="0"/>
    <n v="0"/>
    <n v="0.98"/>
    <n v="0"/>
    <n v="10"/>
    <n v="26.34"/>
    <n v="2.82"/>
    <n v="23.52"/>
    <n v="1"/>
  </r>
  <r>
    <s v="2021-06-29"/>
    <s v="Vancouver"/>
    <s v="加拿大二店"/>
    <x v="4"/>
    <x v="9"/>
    <x v="22"/>
    <x v="0"/>
    <x v="23"/>
    <s v="拼锅"/>
    <n v="11.95"/>
    <s v="锅"/>
    <n v="2"/>
    <n v="23.9"/>
    <n v="0"/>
    <n v="0"/>
    <n v="0"/>
    <n v="0"/>
    <n v="0"/>
    <n v="0"/>
    <n v="0"/>
    <n v="0"/>
    <n v="2.39"/>
    <n v="0"/>
    <n v="2"/>
    <n v="22.8"/>
    <n v="1.29"/>
    <n v="21.51"/>
    <n v="2"/>
  </r>
  <r>
    <s v="2021-06-29"/>
    <s v="Vancouver"/>
    <s v="加拿大二店"/>
    <x v="4"/>
    <x v="10"/>
    <x v="22"/>
    <x v="0"/>
    <x v="23"/>
    <s v="四宫格"/>
    <n v="5.95"/>
    <s v="锅"/>
    <n v="2"/>
    <n v="11.9"/>
    <n v="0"/>
    <n v="0"/>
    <n v="0"/>
    <n v="0"/>
    <n v="0"/>
    <n v="0"/>
    <n v="0"/>
    <n v="0"/>
    <n v="1.19"/>
    <n v="0"/>
    <n v="2"/>
    <n v="11.35"/>
    <n v="0.64"/>
    <n v="10.71"/>
    <n v="1"/>
  </r>
  <r>
    <s v="2021-06-29"/>
    <s v="Vancouver"/>
    <s v="加拿大二店"/>
    <x v="3"/>
    <x v="7"/>
    <x v="23"/>
    <x v="23"/>
    <x v="24"/>
    <s v="整份"/>
    <n v="4.95"/>
    <s v="份"/>
    <n v="20"/>
    <n v="99"/>
    <n v="0"/>
    <n v="0"/>
    <n v="0"/>
    <n v="0"/>
    <n v="1"/>
    <n v="4.95"/>
    <n v="0"/>
    <n v="0"/>
    <n v="3.56"/>
    <n v="0"/>
    <n v="19"/>
    <n v="95.01"/>
    <n v="4.52"/>
    <n v="90.49"/>
    <n v="1"/>
  </r>
  <r>
    <s v="2021-06-29"/>
    <s v="Vancouver"/>
    <s v="加拿大二店"/>
    <x v="3"/>
    <x v="11"/>
    <x v="24"/>
    <x v="118"/>
    <x v="129"/>
    <s v="整份"/>
    <n v="5.95"/>
    <s v="份"/>
    <n v="6"/>
    <n v="35.7"/>
    <n v="0"/>
    <n v="0"/>
    <n v="0"/>
    <n v="0"/>
    <n v="0"/>
    <n v="0"/>
    <n v="0"/>
    <n v="0"/>
    <n v="4.98"/>
    <n v="0"/>
    <n v="6"/>
    <n v="32.25"/>
    <n v="1.53"/>
    <n v="30.72"/>
    <n v="1"/>
  </r>
  <r>
    <s v="2021-06-29"/>
    <s v="Vancouver"/>
    <s v="加拿大二店"/>
    <x v="3"/>
    <x v="11"/>
    <x v="24"/>
    <x v="24"/>
    <x v="25"/>
    <s v="半份"/>
    <n v="2.95"/>
    <s v="份"/>
    <n v="3"/>
    <n v="8.85"/>
    <n v="0"/>
    <n v="0"/>
    <n v="0"/>
    <n v="0"/>
    <n v="0"/>
    <n v="0"/>
    <n v="0"/>
    <n v="0"/>
    <n v="2.07"/>
    <n v="0"/>
    <n v="3"/>
    <n v="7.11"/>
    <n v="0.33"/>
    <n v="6.78"/>
    <n v="0.5"/>
  </r>
  <r>
    <s v="2021-06-29"/>
    <s v="Vancouver"/>
    <s v="加拿大二店"/>
    <x v="3"/>
    <x v="5"/>
    <x v="25"/>
    <x v="25"/>
    <x v="26"/>
    <s v="整份"/>
    <n v="3.95"/>
    <s v="份"/>
    <n v="7"/>
    <n v="27.65"/>
    <n v="0"/>
    <n v="0"/>
    <n v="0"/>
    <n v="0"/>
    <n v="1"/>
    <n v="3.95"/>
    <n v="0"/>
    <n v="0"/>
    <n v="1.18"/>
    <n v="0"/>
    <n v="6"/>
    <n v="23.64"/>
    <n v="1.12"/>
    <n v="22.52"/>
    <n v="1"/>
  </r>
  <r>
    <s v="2021-06-29"/>
    <s v="Vancouver"/>
    <s v="加拿大二店"/>
    <x v="3"/>
    <x v="11"/>
    <x v="26"/>
    <x v="26"/>
    <x v="27"/>
    <s v="整份"/>
    <n v="4.95"/>
    <s v="份"/>
    <n v="12"/>
    <n v="59.4"/>
    <n v="0"/>
    <n v="0"/>
    <n v="0"/>
    <n v="0"/>
    <n v="1"/>
    <n v="4.95"/>
    <n v="0"/>
    <n v="0"/>
    <n v="5.54"/>
    <n v="0"/>
    <n v="11"/>
    <n v="51.35"/>
    <n v="2.44"/>
    <n v="48.91"/>
    <n v="1"/>
  </r>
  <r>
    <s v="2021-06-29"/>
    <s v="Vancouver"/>
    <s v="加拿大二店"/>
    <x v="3"/>
    <x v="11"/>
    <x v="26"/>
    <x v="27"/>
    <x v="28"/>
    <s v="半份"/>
    <n v="2.45"/>
    <s v="份"/>
    <n v="12"/>
    <n v="29.4"/>
    <n v="0"/>
    <n v="0"/>
    <n v="0"/>
    <n v="0"/>
    <n v="0"/>
    <n v="0"/>
    <n v="0"/>
    <n v="0"/>
    <n v="2.25"/>
    <n v="0"/>
    <n v="12"/>
    <n v="28.5"/>
    <n v="1.35"/>
    <n v="27.15"/>
    <n v="0.5"/>
  </r>
  <r>
    <s v="2021-06-29"/>
    <s v="Vancouver"/>
    <s v="加拿大二店"/>
    <x v="5"/>
    <x v="12"/>
    <x v="27"/>
    <x v="28"/>
    <x v="29"/>
    <s v="整份"/>
    <n v="7.95"/>
    <s v="份"/>
    <n v="5"/>
    <n v="39.75"/>
    <n v="0"/>
    <n v="0"/>
    <n v="0"/>
    <n v="0"/>
    <n v="1"/>
    <n v="7.95"/>
    <n v="0"/>
    <n v="0"/>
    <n v="3.48"/>
    <n v="0"/>
    <n v="4"/>
    <n v="29.73"/>
    <n v="1.41"/>
    <n v="28.32"/>
    <n v="1"/>
  </r>
  <r>
    <s v="2021-06-29"/>
    <s v="Vancouver"/>
    <s v="加拿大二店"/>
    <x v="3"/>
    <x v="7"/>
    <x v="28"/>
    <x v="29"/>
    <x v="30"/>
    <s v="整份"/>
    <n v="4.95"/>
    <s v="份"/>
    <n v="8"/>
    <n v="39.6"/>
    <n v="0"/>
    <n v="0"/>
    <n v="0"/>
    <n v="0"/>
    <n v="0"/>
    <n v="0"/>
    <n v="0"/>
    <n v="0"/>
    <n v="2.75"/>
    <n v="0"/>
    <n v="8"/>
    <n v="38.69"/>
    <n v="1.84"/>
    <n v="36.85"/>
    <n v="1"/>
  </r>
  <r>
    <s v="2021-06-29"/>
    <s v="Vancouver"/>
    <s v="加拿大二店"/>
    <x v="2"/>
    <x v="4"/>
    <x v="112"/>
    <x v="106"/>
    <x v="116"/>
    <s v="常温"/>
    <n v="3.95"/>
    <s v="瓶"/>
    <n v="1"/>
    <n v="3.95"/>
    <n v="0"/>
    <n v="0"/>
    <n v="0"/>
    <n v="0"/>
    <n v="0"/>
    <n v="0"/>
    <n v="0"/>
    <n v="0"/>
    <n v="0"/>
    <n v="0"/>
    <n v="1"/>
    <n v="4.42"/>
    <n v="0.47"/>
    <n v="3.95"/>
    <n v="1"/>
  </r>
  <r>
    <s v="2021-06-29"/>
    <s v="Vancouver"/>
    <s v="加拿大二店"/>
    <x v="3"/>
    <x v="5"/>
    <x v="29"/>
    <x v="30"/>
    <x v="31"/>
    <s v="整份"/>
    <n v="3.95"/>
    <s v="份"/>
    <n v="5"/>
    <n v="19.75"/>
    <n v="0"/>
    <n v="0"/>
    <n v="0"/>
    <n v="0"/>
    <n v="0"/>
    <n v="0"/>
    <n v="0"/>
    <n v="0"/>
    <n v="0.79"/>
    <n v="0"/>
    <n v="5"/>
    <n v="19.9"/>
    <n v="0.94"/>
    <n v="18.96"/>
    <n v="1"/>
  </r>
  <r>
    <s v="2021-06-29"/>
    <s v="Vancouver"/>
    <s v="加拿大二店"/>
    <x v="6"/>
    <x v="13"/>
    <x v="30"/>
    <x v="31"/>
    <x v="32"/>
    <s v="整份"/>
    <n v="4.95"/>
    <s v="份"/>
    <n v="8"/>
    <n v="39.6"/>
    <n v="0"/>
    <n v="0"/>
    <n v="0"/>
    <n v="0"/>
    <n v="0"/>
    <n v="0"/>
    <n v="0"/>
    <n v="0"/>
    <n v="0"/>
    <n v="0"/>
    <n v="8"/>
    <n v="41.58"/>
    <n v="1.98"/>
    <n v="39.6"/>
    <n v="1"/>
  </r>
  <r>
    <s v="2021-06-29"/>
    <s v="Vancouver"/>
    <s v="加拿大二店"/>
    <x v="6"/>
    <x v="13"/>
    <x v="31"/>
    <x v="32"/>
    <x v="33"/>
    <s v="整份"/>
    <n v="9.95"/>
    <s v="份"/>
    <n v="5"/>
    <n v="49.75"/>
    <n v="0"/>
    <n v="0"/>
    <n v="0"/>
    <n v="0"/>
    <n v="0"/>
    <n v="0"/>
    <n v="0"/>
    <n v="0"/>
    <n v="2.93"/>
    <n v="0"/>
    <n v="5"/>
    <n v="49.16"/>
    <n v="2.34"/>
    <n v="46.82"/>
    <n v="1"/>
  </r>
  <r>
    <s v="2021-06-29"/>
    <s v="Vancouver"/>
    <s v="加拿大二店"/>
    <x v="5"/>
    <x v="12"/>
    <x v="32"/>
    <x v="33"/>
    <x v="34"/>
    <s v="整份"/>
    <n v="17.85"/>
    <s v="份"/>
    <n v="1"/>
    <n v="17.85"/>
    <n v="0"/>
    <n v="0"/>
    <n v="0"/>
    <n v="0"/>
    <n v="0"/>
    <n v="0"/>
    <n v="0"/>
    <n v="0"/>
    <n v="0"/>
    <n v="0"/>
    <n v="1"/>
    <n v="18.74"/>
    <n v="0.89"/>
    <n v="17.85"/>
    <n v="1"/>
  </r>
  <r>
    <s v="2021-06-29"/>
    <s v="Vancouver"/>
    <s v="加拿大二店"/>
    <x v="1"/>
    <x v="3"/>
    <x v="33"/>
    <x v="34"/>
    <x v="35"/>
    <s v="整份"/>
    <n v="11.95"/>
    <s v="份"/>
    <n v="37"/>
    <n v="442.15"/>
    <n v="0"/>
    <n v="0"/>
    <n v="0"/>
    <n v="0"/>
    <n v="2"/>
    <n v="23.9"/>
    <n v="0"/>
    <n v="0"/>
    <n v="26.35"/>
    <n v="0"/>
    <n v="35"/>
    <n v="411.49"/>
    <n v="19.59"/>
    <n v="391.9"/>
    <n v="1"/>
  </r>
  <r>
    <s v="2021-06-29"/>
    <s v="Vancouver"/>
    <s v="加拿大二店"/>
    <x v="5"/>
    <x v="12"/>
    <x v="34"/>
    <x v="35"/>
    <x v="36"/>
    <s v="整份"/>
    <n v="11.95"/>
    <s v="份"/>
    <n v="4"/>
    <n v="47.8"/>
    <n v="0"/>
    <n v="0"/>
    <n v="0"/>
    <n v="0"/>
    <n v="0"/>
    <n v="0"/>
    <n v="0"/>
    <n v="0"/>
    <n v="1.43"/>
    <n v="0"/>
    <n v="4"/>
    <n v="48.68"/>
    <n v="2.31"/>
    <n v="46.37"/>
    <n v="1"/>
  </r>
  <r>
    <s v="2021-06-29"/>
    <s v="Vancouver"/>
    <s v="加拿大二店"/>
    <x v="5"/>
    <x v="12"/>
    <x v="35"/>
    <x v="36"/>
    <x v="37"/>
    <s v="条"/>
    <n v="4.95"/>
    <s v="条"/>
    <n v="16"/>
    <n v="79.2"/>
    <n v="0"/>
    <n v="0"/>
    <n v="0"/>
    <n v="0"/>
    <n v="1"/>
    <n v="4.95"/>
    <n v="0"/>
    <n v="-0.02"/>
    <n v="3.95"/>
    <n v="0"/>
    <n v="15"/>
    <n v="73.83"/>
    <n v="3.51"/>
    <n v="70.32"/>
    <n v="1"/>
  </r>
  <r>
    <s v="2021-06-29"/>
    <s v="Vancouver"/>
    <s v="加拿大二店"/>
    <x v="5"/>
    <x v="12"/>
    <x v="36"/>
    <x v="37"/>
    <x v="38"/>
    <s v="整份"/>
    <n v="13.95"/>
    <s v="份"/>
    <n v="21"/>
    <n v="292.95"/>
    <n v="0"/>
    <n v="0"/>
    <n v="0"/>
    <n v="0"/>
    <n v="0"/>
    <n v="0"/>
    <n v="0"/>
    <n v="0"/>
    <n v="19.53"/>
    <n v="0"/>
    <n v="21"/>
    <n v="287.09"/>
    <n v="13.67"/>
    <n v="273.42"/>
    <n v="1"/>
  </r>
  <r>
    <s v="2021-06-29"/>
    <s v="Vancouver"/>
    <s v="加拿大二店"/>
    <x v="5"/>
    <x v="12"/>
    <x v="37"/>
    <x v="38"/>
    <x v="39"/>
    <s v="整份"/>
    <n v="9.95"/>
    <s v="份"/>
    <n v="17"/>
    <n v="169.15"/>
    <n v="0"/>
    <n v="0"/>
    <n v="0"/>
    <n v="0"/>
    <n v="3"/>
    <n v="29.85"/>
    <n v="0"/>
    <n v="0"/>
    <n v="3.55"/>
    <n v="0"/>
    <n v="14"/>
    <n v="142.53"/>
    <n v="6.78"/>
    <n v="135.75"/>
    <n v="1"/>
  </r>
  <r>
    <s v="2021-06-29"/>
    <s v="Vancouver"/>
    <s v="加拿大二店"/>
    <x v="5"/>
    <x v="12"/>
    <x v="38"/>
    <x v="39"/>
    <x v="40"/>
    <s v="整份"/>
    <n v="9.95"/>
    <s v="份"/>
    <n v="8"/>
    <n v="79.6"/>
    <n v="0"/>
    <n v="0"/>
    <n v="0"/>
    <n v="0"/>
    <n v="0"/>
    <n v="0"/>
    <n v="0"/>
    <n v="0"/>
    <n v="8.62"/>
    <n v="0"/>
    <n v="8"/>
    <n v="74.52"/>
    <n v="3.54"/>
    <n v="70.98"/>
    <n v="1"/>
  </r>
  <r>
    <s v="2021-06-29"/>
    <s v="Vancouver"/>
    <s v="加拿大二店"/>
    <x v="6"/>
    <x v="13"/>
    <x v="39"/>
    <x v="40"/>
    <x v="41"/>
    <s v="整份"/>
    <n v="8.95"/>
    <s v="份"/>
    <n v="18"/>
    <n v="161.1"/>
    <n v="0"/>
    <n v="0"/>
    <n v="0"/>
    <n v="0"/>
    <n v="0"/>
    <n v="0"/>
    <n v="0"/>
    <n v="0"/>
    <n v="1.79"/>
    <n v="0"/>
    <n v="18"/>
    <n v="167.27"/>
    <n v="7.96"/>
    <n v="159.31"/>
    <n v="1"/>
  </r>
  <r>
    <s v="2021-06-29"/>
    <s v="Vancouver"/>
    <s v="加拿大二店"/>
    <x v="5"/>
    <x v="12"/>
    <x v="40"/>
    <x v="41"/>
    <x v="42"/>
    <s v="整份"/>
    <n v="9.95"/>
    <s v="份"/>
    <n v="9"/>
    <n v="89.55"/>
    <n v="0"/>
    <n v="0"/>
    <n v="0"/>
    <n v="0"/>
    <n v="0"/>
    <n v="0"/>
    <n v="0"/>
    <n v="0"/>
    <n v="8.62"/>
    <n v="0"/>
    <n v="9"/>
    <n v="84.97"/>
    <n v="4.04"/>
    <n v="80.93"/>
    <n v="1"/>
  </r>
  <r>
    <s v="2021-06-29"/>
    <s v="Vancouver"/>
    <s v="加拿大二店"/>
    <x v="1"/>
    <x v="6"/>
    <x v="131"/>
    <x v="125"/>
    <x v="136"/>
    <s v="整份"/>
    <n v="28.95"/>
    <s v="份"/>
    <n v="2"/>
    <n v="57.9"/>
    <n v="0"/>
    <n v="0"/>
    <n v="0"/>
    <n v="0"/>
    <n v="0"/>
    <n v="0"/>
    <n v="0"/>
    <n v="0.02"/>
    <n v="5.79"/>
    <n v="0"/>
    <n v="2"/>
    <n v="55.21"/>
    <n v="3.12"/>
    <n v="52.09"/>
    <n v="1"/>
  </r>
  <r>
    <s v="2021-06-29"/>
    <s v="Vancouver"/>
    <s v="加拿大二店"/>
    <x v="5"/>
    <x v="12"/>
    <x v="41"/>
    <x v="42"/>
    <x v="43"/>
    <s v="整份"/>
    <n v="7.95"/>
    <s v="份"/>
    <n v="10"/>
    <n v="79.5"/>
    <n v="0"/>
    <n v="0"/>
    <n v="0"/>
    <n v="0"/>
    <n v="1"/>
    <n v="7.95"/>
    <n v="0"/>
    <n v="0"/>
    <n v="0"/>
    <n v="0"/>
    <n v="9"/>
    <n v="75.12"/>
    <n v="3.57"/>
    <n v="71.55"/>
    <n v="1"/>
  </r>
  <r>
    <s v="2021-06-29"/>
    <s v="Vancouver"/>
    <s v="加拿大二店"/>
    <x v="2"/>
    <x v="2"/>
    <x v="42"/>
    <x v="43"/>
    <x v="44"/>
    <s v="冰镇"/>
    <n v="5.95"/>
    <s v="瓶"/>
    <n v="12"/>
    <n v="71.4"/>
    <n v="0"/>
    <n v="0"/>
    <n v="0"/>
    <n v="0"/>
    <n v="0"/>
    <n v="0"/>
    <n v="0"/>
    <n v="0"/>
    <n v="0"/>
    <n v="0"/>
    <n v="12"/>
    <n v="82.11"/>
    <n v="10.71"/>
    <n v="71.4"/>
    <n v="1"/>
  </r>
  <r>
    <s v="2021-06-29"/>
    <s v="Vancouver"/>
    <s v="加拿大二店"/>
    <x v="3"/>
    <x v="5"/>
    <x v="43"/>
    <x v="44"/>
    <x v="45"/>
    <s v="整份"/>
    <n v="3.95"/>
    <s v="份"/>
    <n v="1"/>
    <n v="3.95"/>
    <n v="0"/>
    <n v="0"/>
    <n v="0"/>
    <n v="0"/>
    <n v="0"/>
    <n v="0"/>
    <n v="0"/>
    <n v="0"/>
    <n v="0"/>
    <n v="0"/>
    <n v="1"/>
    <n v="4.14"/>
    <n v="0.19"/>
    <n v="3.95"/>
    <n v="1"/>
  </r>
  <r>
    <s v="2021-06-29"/>
    <s v="Vancouver"/>
    <s v="加拿大二店"/>
    <x v="7"/>
    <x v="14"/>
    <x v="44"/>
    <x v="45"/>
    <x v="46"/>
    <s v="整份"/>
    <n v="0"/>
    <s v="份"/>
    <n v="6"/>
    <n v="0"/>
    <n v="0"/>
    <n v="0"/>
    <n v="0"/>
    <n v="0"/>
    <n v="0"/>
    <n v="0"/>
    <n v="0"/>
    <n v="0"/>
    <n v="0"/>
    <n v="0"/>
    <n v="6"/>
    <n v="0"/>
    <n v="0"/>
    <n v="0"/>
    <n v="1"/>
  </r>
  <r>
    <s v="2021-06-29"/>
    <s v="Vancouver"/>
    <s v="加拿大二店"/>
    <x v="7"/>
    <x v="14"/>
    <x v="45"/>
    <x v="46"/>
    <x v="47"/>
    <s v="整份"/>
    <n v="4.99"/>
    <s v="份"/>
    <n v="2"/>
    <n v="9.98"/>
    <n v="0"/>
    <n v="0"/>
    <n v="0"/>
    <n v="0"/>
    <n v="0"/>
    <n v="0"/>
    <n v="0"/>
    <n v="-0.01"/>
    <n v="0"/>
    <n v="0"/>
    <n v="2"/>
    <n v="10.48"/>
    <n v="0.49"/>
    <n v="9.99"/>
    <n v="1"/>
  </r>
  <r>
    <s v="2021-06-29"/>
    <s v="Vancouver"/>
    <s v="加拿大二店"/>
    <x v="7"/>
    <x v="14"/>
    <x v="45"/>
    <x v="46"/>
    <x v="47"/>
    <s v="整份"/>
    <n v="9.95"/>
    <s v="份"/>
    <n v="1"/>
    <n v="9.95"/>
    <n v="0"/>
    <n v="0"/>
    <n v="0"/>
    <n v="0"/>
    <n v="0"/>
    <n v="0"/>
    <n v="0"/>
    <n v="0"/>
    <n v="0"/>
    <n v="0"/>
    <n v="1"/>
    <n v="10.44"/>
    <n v="0.49"/>
    <n v="9.95"/>
    <n v="1"/>
  </r>
  <r>
    <s v="2021-06-29"/>
    <s v="Vancouver"/>
    <s v="加拿大二店"/>
    <x v="7"/>
    <x v="14"/>
    <x v="45"/>
    <x v="46"/>
    <x v="47"/>
    <s v="整份"/>
    <n v="9.99"/>
    <s v="份"/>
    <n v="1"/>
    <n v="9.99"/>
    <n v="0"/>
    <n v="0"/>
    <n v="0"/>
    <n v="0"/>
    <n v="0"/>
    <n v="0"/>
    <n v="0"/>
    <n v="-0.01"/>
    <n v="0"/>
    <n v="0"/>
    <n v="1"/>
    <n v="10.5"/>
    <n v="0.5"/>
    <n v="10"/>
    <n v="1"/>
  </r>
  <r>
    <s v="2021-06-29"/>
    <s v="Vancouver"/>
    <s v="加拿大二店"/>
    <x v="7"/>
    <x v="14"/>
    <x v="45"/>
    <x v="46"/>
    <x v="47"/>
    <s v="整份"/>
    <n v="12.99"/>
    <s v="份"/>
    <n v="8"/>
    <n v="103.92"/>
    <n v="0"/>
    <n v="0"/>
    <n v="0"/>
    <n v="0"/>
    <n v="0"/>
    <n v="0"/>
    <n v="0"/>
    <n v="-0.02"/>
    <n v="7"/>
    <n v="0"/>
    <n v="8"/>
    <n v="101.78"/>
    <n v="4.84"/>
    <n v="96.94"/>
    <n v="1"/>
  </r>
  <r>
    <s v="2021-06-29"/>
    <s v="Vancouver"/>
    <s v="加拿大二店"/>
    <x v="7"/>
    <x v="14"/>
    <x v="45"/>
    <x v="46"/>
    <x v="47"/>
    <s v="整份"/>
    <n v="28.95"/>
    <s v="份"/>
    <n v="1"/>
    <n v="28.95"/>
    <n v="0"/>
    <n v="0"/>
    <n v="0"/>
    <n v="0"/>
    <n v="0"/>
    <n v="0"/>
    <n v="0"/>
    <n v="-0.02"/>
    <n v="0"/>
    <n v="0"/>
    <n v="1"/>
    <n v="30.41"/>
    <n v="1.44"/>
    <n v="28.97"/>
    <n v="1"/>
  </r>
  <r>
    <s v="2021-06-29"/>
    <s v="Vancouver"/>
    <s v="加拿大二店"/>
    <x v="7"/>
    <x v="14"/>
    <x v="45"/>
    <x v="46"/>
    <x v="47"/>
    <s v="整份"/>
    <n v="29.2"/>
    <s v="份"/>
    <n v="1"/>
    <n v="29.2"/>
    <n v="0"/>
    <n v="0"/>
    <n v="0"/>
    <n v="0"/>
    <n v="0"/>
    <n v="0"/>
    <n v="0"/>
    <n v="0.01"/>
    <n v="0"/>
    <n v="0"/>
    <n v="1"/>
    <n v="30.64"/>
    <n v="1.45"/>
    <n v="29.19"/>
    <n v="1"/>
  </r>
  <r>
    <s v="2021-06-29"/>
    <s v="Vancouver"/>
    <s v="加拿大二店"/>
    <x v="7"/>
    <x v="14"/>
    <x v="45"/>
    <x v="46"/>
    <x v="47"/>
    <s v="整份"/>
    <n v="30.21"/>
    <s v="份"/>
    <n v="1"/>
    <n v="30.21"/>
    <n v="0"/>
    <n v="0"/>
    <n v="0"/>
    <n v="0"/>
    <n v="0"/>
    <n v="0"/>
    <n v="0"/>
    <n v="-0.01"/>
    <n v="0"/>
    <n v="0"/>
    <n v="1"/>
    <n v="31.73"/>
    <n v="1.51"/>
    <n v="30.22"/>
    <n v="1"/>
  </r>
  <r>
    <s v="2021-06-29"/>
    <s v="Vancouver"/>
    <s v="加拿大二店"/>
    <x v="7"/>
    <x v="14"/>
    <x v="45"/>
    <x v="46"/>
    <x v="47"/>
    <s v="整份"/>
    <n v="37.07"/>
    <s v="份"/>
    <n v="1"/>
    <n v="37.07"/>
    <n v="0"/>
    <n v="0"/>
    <n v="0"/>
    <n v="0"/>
    <n v="0"/>
    <n v="0"/>
    <n v="0"/>
    <n v="-0.01"/>
    <n v="0"/>
    <n v="0"/>
    <n v="1"/>
    <n v="38.93"/>
    <n v="1.85"/>
    <n v="37.08"/>
    <n v="1"/>
  </r>
  <r>
    <s v="2021-06-29"/>
    <s v="Vancouver"/>
    <s v="加拿大二店"/>
    <x v="7"/>
    <x v="14"/>
    <x v="45"/>
    <x v="46"/>
    <x v="47"/>
    <s v="整份"/>
    <n v="40"/>
    <s v="份"/>
    <n v="1"/>
    <n v="40"/>
    <n v="0"/>
    <n v="0"/>
    <n v="0"/>
    <n v="0"/>
    <n v="0"/>
    <n v="0"/>
    <n v="0"/>
    <n v="0.02"/>
    <n v="0"/>
    <n v="0"/>
    <n v="1"/>
    <n v="41.97"/>
    <n v="1.99"/>
    <n v="39.98"/>
    <n v="1"/>
  </r>
  <r>
    <s v="2021-06-29"/>
    <s v="Vancouver"/>
    <s v="加拿大二店"/>
    <x v="7"/>
    <x v="14"/>
    <x v="45"/>
    <x v="46"/>
    <x v="47"/>
    <s v="整份"/>
    <n v="59.95"/>
    <s v="份"/>
    <n v="1"/>
    <n v="59.95"/>
    <n v="0"/>
    <n v="0"/>
    <n v="0"/>
    <n v="0"/>
    <n v="0"/>
    <n v="0"/>
    <n v="0"/>
    <n v="-0.01"/>
    <n v="0"/>
    <n v="0"/>
    <n v="1"/>
    <n v="62.95"/>
    <n v="2.99"/>
    <n v="59.96"/>
    <n v="1"/>
  </r>
  <r>
    <s v="2021-06-29"/>
    <s v="Vancouver"/>
    <s v="加拿大二店"/>
    <x v="7"/>
    <x v="14"/>
    <x v="45"/>
    <x v="46"/>
    <x v="47"/>
    <s v="整份"/>
    <n v="128.95"/>
    <s v="份"/>
    <n v="1"/>
    <n v="128.95"/>
    <n v="0"/>
    <n v="0"/>
    <n v="0"/>
    <n v="0"/>
    <n v="0"/>
    <n v="0"/>
    <n v="0"/>
    <n v="-0.02"/>
    <n v="0"/>
    <n v="0"/>
    <n v="1"/>
    <n v="135.41"/>
    <n v="6.44"/>
    <n v="128.97"/>
    <n v="1"/>
  </r>
  <r>
    <s v="2021-06-29"/>
    <s v="Vancouver"/>
    <s v="加拿大二店"/>
    <x v="2"/>
    <x v="4"/>
    <x v="46"/>
    <x v="47"/>
    <x v="48"/>
    <s v="冰镇"/>
    <n v="2.45"/>
    <s v="听"/>
    <n v="2"/>
    <n v="4.9"/>
    <n v="0"/>
    <n v="0"/>
    <n v="0"/>
    <n v="0"/>
    <n v="0"/>
    <n v="0"/>
    <n v="0"/>
    <n v="0"/>
    <n v="0"/>
    <n v="0"/>
    <n v="2"/>
    <n v="5.48"/>
    <n v="0.58"/>
    <n v="4.9"/>
    <n v="1"/>
  </r>
  <r>
    <s v="2021-06-29"/>
    <s v="Vancouver"/>
    <s v="加拿大二店"/>
    <x v="6"/>
    <x v="13"/>
    <x v="48"/>
    <x v="49"/>
    <x v="50"/>
    <s v="整份"/>
    <n v="4.95"/>
    <s v="份"/>
    <n v="9"/>
    <n v="44.55"/>
    <n v="0"/>
    <n v="0"/>
    <n v="0"/>
    <n v="0"/>
    <n v="0"/>
    <n v="0"/>
    <n v="0"/>
    <n v="0"/>
    <n v="1.71"/>
    <n v="0"/>
    <n v="9"/>
    <n v="44.98"/>
    <n v="2.14"/>
    <n v="42.84"/>
    <n v="1"/>
  </r>
  <r>
    <s v="2021-06-29"/>
    <s v="Vancouver"/>
    <s v="加拿大二店"/>
    <x v="3"/>
    <x v="7"/>
    <x v="49"/>
    <x v="50"/>
    <x v="51"/>
    <s v="整份"/>
    <n v="4.95"/>
    <s v="份"/>
    <n v="4"/>
    <n v="19.8"/>
    <n v="0"/>
    <n v="0"/>
    <n v="0"/>
    <n v="0"/>
    <n v="0"/>
    <n v="0"/>
    <n v="0"/>
    <n v="0"/>
    <n v="0"/>
    <n v="0"/>
    <n v="4"/>
    <n v="20.79"/>
    <n v="0.99"/>
    <n v="19.8"/>
    <n v="1"/>
  </r>
  <r>
    <s v="2021-06-29"/>
    <s v="Vancouver"/>
    <s v="加拿大二店"/>
    <x v="6"/>
    <x v="15"/>
    <x v="50"/>
    <x v="51"/>
    <x v="52"/>
    <s v="份"/>
    <n v="8.95"/>
    <s v="份"/>
    <n v="2"/>
    <n v="17.9"/>
    <n v="1"/>
    <n v="8.95"/>
    <n v="0"/>
    <n v="0"/>
    <n v="0"/>
    <n v="0"/>
    <n v="0"/>
    <n v="0.02"/>
    <n v="0"/>
    <n v="0"/>
    <n v="1"/>
    <n v="9.37"/>
    <n v="0.44"/>
    <n v="8.93"/>
    <n v="1"/>
  </r>
  <r>
    <s v="2021-06-29"/>
    <s v="Vancouver"/>
    <s v="加拿大二店"/>
    <x v="1"/>
    <x v="6"/>
    <x v="113"/>
    <x v="107"/>
    <x v="117"/>
    <s v="整份"/>
    <n v="28.95"/>
    <s v="份"/>
    <n v="1"/>
    <n v="28.95"/>
    <n v="0"/>
    <n v="0"/>
    <n v="0"/>
    <n v="0"/>
    <n v="0"/>
    <n v="0"/>
    <n v="0"/>
    <n v="0"/>
    <n v="2.89"/>
    <n v="0"/>
    <n v="1"/>
    <n v="27.36"/>
    <n v="1.3"/>
    <n v="26.06"/>
    <n v="1"/>
  </r>
  <r>
    <s v="2021-06-29"/>
    <s v="Vancouver"/>
    <s v="加拿大二店"/>
    <x v="3"/>
    <x v="5"/>
    <x v="51"/>
    <x v="52"/>
    <x v="53"/>
    <s v="整份"/>
    <n v="3.95"/>
    <s v="份"/>
    <n v="10"/>
    <n v="39.5"/>
    <n v="0"/>
    <n v="0"/>
    <n v="0"/>
    <n v="0"/>
    <n v="1"/>
    <n v="3.95"/>
    <n v="0"/>
    <n v="0"/>
    <n v="1.34"/>
    <n v="0"/>
    <n v="9"/>
    <n v="35.92"/>
    <n v="1.71"/>
    <n v="34.21"/>
    <n v="1"/>
  </r>
  <r>
    <s v="2021-06-29"/>
    <s v="Vancouver"/>
    <s v="加拿大二店"/>
    <x v="3"/>
    <x v="5"/>
    <x v="52"/>
    <x v="53"/>
    <x v="54"/>
    <s v="整份"/>
    <n v="5.95"/>
    <s v="份"/>
    <n v="5"/>
    <n v="29.75"/>
    <n v="0"/>
    <n v="0"/>
    <n v="0"/>
    <n v="0"/>
    <n v="1"/>
    <n v="5.95"/>
    <n v="0"/>
    <n v="0.02"/>
    <n v="1.19"/>
    <n v="0"/>
    <n v="4"/>
    <n v="23.71"/>
    <n v="1.12"/>
    <n v="22.59"/>
    <n v="1"/>
  </r>
  <r>
    <s v="2021-06-29"/>
    <s v="Vancouver"/>
    <s v="加拿大二店"/>
    <x v="4"/>
    <x v="9"/>
    <x v="53"/>
    <x v="0"/>
    <x v="55"/>
    <s v="拼锅"/>
    <n v="0"/>
    <s v="锅"/>
    <n v="7"/>
    <n v="0"/>
    <n v="0"/>
    <n v="0"/>
    <n v="0"/>
    <n v="0"/>
    <n v="0"/>
    <n v="0"/>
    <n v="0"/>
    <n v="0.02"/>
    <n v="0"/>
    <n v="0"/>
    <n v="7"/>
    <n v="-0.02"/>
    <n v="-0.01"/>
    <n v="-0.01"/>
    <n v="2"/>
  </r>
  <r>
    <s v="2021-06-29"/>
    <s v="Vancouver"/>
    <s v="加拿大二店"/>
    <x v="4"/>
    <x v="10"/>
    <x v="53"/>
    <x v="0"/>
    <x v="55"/>
    <s v="四宫格"/>
    <n v="0"/>
    <s v="锅"/>
    <n v="15"/>
    <n v="0"/>
    <n v="0"/>
    <n v="0"/>
    <n v="0"/>
    <n v="0"/>
    <n v="2"/>
    <n v="0"/>
    <n v="0"/>
    <n v="0.01"/>
    <n v="0"/>
    <n v="0"/>
    <n v="13"/>
    <n v="-0.01"/>
    <n v="-0.01"/>
    <n v="0"/>
    <n v="1"/>
  </r>
  <r>
    <s v="2021-06-29"/>
    <s v="Vancouver"/>
    <s v="加拿大二店"/>
    <x v="6"/>
    <x v="13"/>
    <x v="54"/>
    <x v="54"/>
    <x v="56"/>
    <s v="个"/>
    <n v="1.95"/>
    <s v="个"/>
    <n v="8"/>
    <n v="15.6"/>
    <n v="0"/>
    <n v="0"/>
    <n v="0"/>
    <n v="0"/>
    <n v="2"/>
    <n v="3.9"/>
    <n v="0"/>
    <n v="0"/>
    <n v="0.29"/>
    <n v="0"/>
    <n v="6"/>
    <n v="11.98"/>
    <n v="0.57"/>
    <n v="11.41"/>
    <n v="1"/>
  </r>
  <r>
    <s v="2021-06-29"/>
    <s v="Vancouver"/>
    <s v="加拿大二店"/>
    <x v="6"/>
    <x v="13"/>
    <x v="114"/>
    <x v="108"/>
    <x v="118"/>
    <s v="整份"/>
    <n v="7.95"/>
    <s v="份"/>
    <n v="3"/>
    <n v="23.85"/>
    <n v="0"/>
    <n v="0"/>
    <n v="0"/>
    <n v="0"/>
    <n v="0"/>
    <n v="0"/>
    <n v="0"/>
    <n v="0"/>
    <n v="0"/>
    <n v="0"/>
    <n v="3"/>
    <n v="25.04"/>
    <n v="1.19"/>
    <n v="23.85"/>
    <n v="1"/>
  </r>
  <r>
    <s v="2021-06-29"/>
    <s v="Vancouver"/>
    <s v="加拿大二店"/>
    <x v="1"/>
    <x v="8"/>
    <x v="55"/>
    <x v="55"/>
    <x v="57"/>
    <s v="整份"/>
    <n v="9.95"/>
    <s v="份"/>
    <n v="5"/>
    <n v="49.75"/>
    <n v="0"/>
    <n v="0"/>
    <n v="0"/>
    <n v="0"/>
    <n v="1"/>
    <n v="9.95"/>
    <n v="0"/>
    <n v="0"/>
    <n v="1.99"/>
    <n v="0"/>
    <n v="4"/>
    <n v="39.7"/>
    <n v="1.89"/>
    <n v="37.81"/>
    <n v="1"/>
  </r>
  <r>
    <s v="2021-06-29"/>
    <s v="Vancouver"/>
    <s v="加拿大二店"/>
    <x v="1"/>
    <x v="1"/>
    <x v="56"/>
    <x v="56"/>
    <x v="58"/>
    <s v="整份"/>
    <n v="12.95"/>
    <s v="份"/>
    <n v="10"/>
    <n v="129.5"/>
    <n v="0"/>
    <n v="0"/>
    <n v="0"/>
    <n v="0"/>
    <n v="0"/>
    <n v="0"/>
    <n v="0"/>
    <n v="0"/>
    <n v="11.65"/>
    <n v="0"/>
    <n v="10"/>
    <n v="123.74"/>
    <n v="5.89"/>
    <n v="117.85"/>
    <n v="1"/>
  </r>
  <r>
    <s v="2021-06-29"/>
    <s v="Vancouver"/>
    <s v="加拿大二店"/>
    <x v="1"/>
    <x v="1"/>
    <x v="57"/>
    <x v="57"/>
    <x v="59"/>
    <s v="整份"/>
    <n v="11.95"/>
    <s v="份"/>
    <n v="37"/>
    <n v="442.15"/>
    <n v="0"/>
    <n v="0"/>
    <n v="0"/>
    <n v="0"/>
    <n v="2"/>
    <n v="23.9"/>
    <n v="0"/>
    <n v="0"/>
    <n v="22.45"/>
    <n v="0"/>
    <n v="35"/>
    <n v="415.59"/>
    <n v="19.79"/>
    <n v="395.8"/>
    <n v="1"/>
  </r>
  <r>
    <s v="2021-06-29"/>
    <s v="Vancouver"/>
    <s v="加拿大二店"/>
    <x v="4"/>
    <x v="16"/>
    <x v="58"/>
    <x v="0"/>
    <x v="60"/>
    <s v="单锅"/>
    <n v="16.95"/>
    <s v="锅"/>
    <n v="1"/>
    <n v="16.95"/>
    <n v="0"/>
    <n v="0"/>
    <n v="0"/>
    <n v="0"/>
    <n v="0"/>
    <n v="0"/>
    <n v="0"/>
    <n v="0"/>
    <n v="0"/>
    <n v="0"/>
    <n v="1"/>
    <n v="17.79"/>
    <n v="0.84"/>
    <n v="16.95"/>
    <n v="4"/>
  </r>
  <r>
    <s v="2021-06-29"/>
    <s v="Vancouver"/>
    <s v="加拿大二店"/>
    <x v="4"/>
    <x v="9"/>
    <x v="58"/>
    <x v="0"/>
    <x v="60"/>
    <s v="拼锅"/>
    <n v="8.95"/>
    <s v="锅"/>
    <n v="17"/>
    <n v="152.15"/>
    <n v="1"/>
    <n v="8.95"/>
    <n v="0"/>
    <n v="0"/>
    <n v="0"/>
    <n v="0"/>
    <n v="0"/>
    <n v="-0.01"/>
    <n v="3.91"/>
    <n v="0"/>
    <n v="16"/>
    <n v="146.26"/>
    <n v="6.96"/>
    <n v="139.3"/>
    <n v="2"/>
  </r>
  <r>
    <s v="2021-06-29"/>
    <s v="Vancouver"/>
    <s v="加拿大二店"/>
    <x v="4"/>
    <x v="10"/>
    <x v="58"/>
    <x v="0"/>
    <x v="60"/>
    <s v="四宫格"/>
    <n v="4.95"/>
    <s v="锅"/>
    <n v="17"/>
    <n v="84.15"/>
    <n v="0"/>
    <n v="0"/>
    <n v="0"/>
    <n v="0"/>
    <n v="1"/>
    <n v="4.95"/>
    <n v="0"/>
    <n v="0"/>
    <n v="3.96"/>
    <n v="0"/>
    <n v="16"/>
    <n v="79"/>
    <n v="3.76"/>
    <n v="75.24"/>
    <n v="1"/>
  </r>
  <r>
    <s v="2021-06-29"/>
    <s v="Vancouver"/>
    <s v="加拿大二店"/>
    <x v="3"/>
    <x v="5"/>
    <x v="59"/>
    <x v="58"/>
    <x v="61"/>
    <s v="整份"/>
    <n v="4.95"/>
    <s v="份"/>
    <n v="7"/>
    <n v="34.65"/>
    <n v="0"/>
    <n v="0"/>
    <n v="0"/>
    <n v="0"/>
    <n v="0"/>
    <n v="0"/>
    <n v="0"/>
    <n v="0"/>
    <n v="4.06"/>
    <n v="0"/>
    <n v="7"/>
    <n v="32.11"/>
    <n v="1.52"/>
    <n v="30.59"/>
    <n v="1"/>
  </r>
  <r>
    <s v="2021-06-29"/>
    <s v="Vancouver"/>
    <s v="加拿大二店"/>
    <x v="6"/>
    <x v="13"/>
    <x v="61"/>
    <x v="60"/>
    <x v="63"/>
    <s v="整份"/>
    <n v="3.95"/>
    <s v="包"/>
    <n v="11"/>
    <n v="43.45"/>
    <n v="0"/>
    <n v="0"/>
    <n v="0"/>
    <n v="0"/>
    <n v="0"/>
    <n v="0"/>
    <n v="0"/>
    <n v="0"/>
    <n v="1.58"/>
    <n v="0"/>
    <n v="11"/>
    <n v="43.96"/>
    <n v="2.09"/>
    <n v="41.87"/>
    <n v="1"/>
  </r>
  <r>
    <s v="2021-06-29"/>
    <s v="Vancouver"/>
    <s v="加拿大二店"/>
    <x v="1"/>
    <x v="8"/>
    <x v="116"/>
    <x v="110"/>
    <x v="120"/>
    <s v="个"/>
    <n v="0.95"/>
    <s v="个"/>
    <n v="1"/>
    <n v="0.95"/>
    <n v="0"/>
    <n v="0"/>
    <n v="0"/>
    <n v="0"/>
    <n v="0"/>
    <n v="0"/>
    <n v="0"/>
    <n v="0"/>
    <n v="0"/>
    <n v="0"/>
    <n v="1"/>
    <n v="0.99"/>
    <n v="0.04"/>
    <n v="0.95"/>
    <n v="1"/>
  </r>
  <r>
    <s v="2021-06-29"/>
    <s v="Vancouver"/>
    <s v="加拿大二店"/>
    <x v="4"/>
    <x v="16"/>
    <x v="62"/>
    <x v="0"/>
    <x v="64"/>
    <s v="单锅"/>
    <n v="16.95"/>
    <s v="锅"/>
    <n v="2"/>
    <n v="33.9"/>
    <n v="0"/>
    <n v="0"/>
    <n v="0"/>
    <n v="0"/>
    <n v="0"/>
    <n v="0"/>
    <n v="0"/>
    <n v="0"/>
    <n v="0"/>
    <n v="0"/>
    <n v="2"/>
    <n v="35.59"/>
    <n v="1.69"/>
    <n v="33.9"/>
    <n v="4"/>
  </r>
  <r>
    <s v="2021-06-29"/>
    <s v="Vancouver"/>
    <s v="加拿大二店"/>
    <x v="4"/>
    <x v="9"/>
    <x v="62"/>
    <x v="0"/>
    <x v="64"/>
    <s v="拼锅"/>
    <n v="8.95"/>
    <s v="锅"/>
    <n v="19"/>
    <n v="170.05"/>
    <n v="0"/>
    <n v="0"/>
    <n v="0"/>
    <n v="0"/>
    <n v="0"/>
    <n v="0"/>
    <n v="0"/>
    <n v="0"/>
    <n v="4.48"/>
    <n v="0"/>
    <n v="19"/>
    <n v="173.84"/>
    <n v="8.27"/>
    <n v="165.57"/>
    <n v="2"/>
  </r>
  <r>
    <s v="2021-06-29"/>
    <s v="Vancouver"/>
    <s v="加拿大二店"/>
    <x v="4"/>
    <x v="10"/>
    <x v="62"/>
    <x v="0"/>
    <x v="64"/>
    <s v="四宫格"/>
    <n v="4.95"/>
    <s v="锅"/>
    <n v="15"/>
    <n v="74.25"/>
    <n v="0"/>
    <n v="0"/>
    <n v="0"/>
    <n v="0"/>
    <n v="0"/>
    <n v="0"/>
    <n v="0"/>
    <n v="0"/>
    <n v="3.96"/>
    <n v="0"/>
    <n v="15"/>
    <n v="73.8"/>
    <n v="3.51"/>
    <n v="70.29"/>
    <n v="1"/>
  </r>
  <r>
    <s v="2021-06-29"/>
    <s v="Vancouver"/>
    <s v="加拿大二店"/>
    <x v="6"/>
    <x v="13"/>
    <x v="63"/>
    <x v="61"/>
    <x v="65"/>
    <s v="整份"/>
    <n v="1.5"/>
    <s v="碗"/>
    <n v="9"/>
    <n v="13.5"/>
    <n v="0"/>
    <n v="0"/>
    <n v="0"/>
    <n v="0"/>
    <n v="0"/>
    <n v="0"/>
    <n v="0"/>
    <n v="0"/>
    <n v="0.3"/>
    <n v="0"/>
    <n v="9"/>
    <n v="13.86"/>
    <n v="0.66"/>
    <n v="13.2"/>
    <n v="1"/>
  </r>
  <r>
    <s v="2021-06-29"/>
    <s v="Vancouver"/>
    <s v="加拿大二店"/>
    <x v="3"/>
    <x v="5"/>
    <x v="64"/>
    <x v="62"/>
    <x v="66"/>
    <s v="整份"/>
    <n v="3.95"/>
    <s v="份"/>
    <n v="9"/>
    <n v="35.55"/>
    <n v="0"/>
    <n v="0"/>
    <n v="0"/>
    <n v="0"/>
    <n v="0"/>
    <n v="0"/>
    <n v="0"/>
    <n v="0"/>
    <n v="1.73"/>
    <n v="0"/>
    <n v="9"/>
    <n v="35.51"/>
    <n v="1.69"/>
    <n v="33.82"/>
    <n v="1"/>
  </r>
  <r>
    <s v="2021-06-29"/>
    <s v="Vancouver"/>
    <s v="加拿大二店"/>
    <x v="2"/>
    <x v="19"/>
    <x v="125"/>
    <x v="119"/>
    <x v="130"/>
    <s v="瓶"/>
    <n v="16.95"/>
    <s v="瓶"/>
    <n v="1"/>
    <n v="16.95"/>
    <n v="0"/>
    <n v="0"/>
    <n v="0"/>
    <n v="0"/>
    <n v="0"/>
    <n v="0"/>
    <n v="0"/>
    <n v="-0.01"/>
    <n v="0"/>
    <n v="0"/>
    <n v="1"/>
    <n v="19.5"/>
    <n v="2.54"/>
    <n v="16.96"/>
    <n v="1"/>
  </r>
  <r>
    <s v="2021-06-29"/>
    <s v="Vancouver"/>
    <s v="加拿大二店"/>
    <x v="2"/>
    <x v="4"/>
    <x v="65"/>
    <x v="63"/>
    <x v="67"/>
    <s v="扎"/>
    <n v="8.95"/>
    <s v="扎"/>
    <n v="3"/>
    <n v="26.85"/>
    <n v="0"/>
    <n v="0"/>
    <n v="0"/>
    <n v="0"/>
    <n v="1"/>
    <n v="8.95"/>
    <n v="0"/>
    <n v="0.01"/>
    <n v="1.79"/>
    <n v="0"/>
    <n v="2"/>
    <n v="18.03"/>
    <n v="1.93"/>
    <n v="16.1"/>
    <n v="1"/>
  </r>
  <r>
    <s v="2021-06-29"/>
    <s v="Vancouver"/>
    <s v="加拿大二店"/>
    <x v="2"/>
    <x v="4"/>
    <x v="66"/>
    <x v="64"/>
    <x v="68"/>
    <s v="扎"/>
    <n v="11.95"/>
    <s v="扎"/>
    <n v="1"/>
    <n v="11.95"/>
    <n v="0"/>
    <n v="0"/>
    <n v="0"/>
    <n v="0"/>
    <n v="1"/>
    <n v="11.95"/>
    <n v="0"/>
    <n v="0"/>
    <n v="0"/>
    <n v="0"/>
    <n v="0"/>
    <n v="0"/>
    <n v="0"/>
    <n v="0"/>
    <n v="1"/>
  </r>
  <r>
    <s v="2021-06-29"/>
    <s v="Vancouver"/>
    <s v="加拿大二店"/>
    <x v="3"/>
    <x v="5"/>
    <x v="134"/>
    <x v="128"/>
    <x v="139"/>
    <s v="整份"/>
    <n v="13.95"/>
    <s v="份"/>
    <n v="8"/>
    <n v="111.6"/>
    <n v="0"/>
    <n v="0"/>
    <n v="0"/>
    <n v="0"/>
    <n v="0"/>
    <n v="0"/>
    <n v="0"/>
    <n v="-0.01"/>
    <n v="7.29"/>
    <n v="0"/>
    <n v="8"/>
    <n v="109.53"/>
    <n v="5.21"/>
    <n v="104.32"/>
    <n v="1"/>
  </r>
  <r>
    <s v="2021-06-29"/>
    <s v="Vancouver"/>
    <s v="加拿大二店"/>
    <x v="3"/>
    <x v="5"/>
    <x v="117"/>
    <x v="111"/>
    <x v="121"/>
    <s v="整份"/>
    <n v="4.95"/>
    <s v="份"/>
    <n v="11"/>
    <n v="54.45"/>
    <n v="0"/>
    <n v="0"/>
    <n v="0"/>
    <n v="0"/>
    <n v="1"/>
    <n v="4.95"/>
    <n v="0"/>
    <n v="0"/>
    <n v="3.56"/>
    <n v="0"/>
    <n v="10"/>
    <n v="48.23"/>
    <n v="2.29"/>
    <n v="45.94"/>
    <n v="1"/>
  </r>
  <r>
    <s v="2021-06-29"/>
    <s v="Vancouver"/>
    <s v="加拿大二店"/>
    <x v="3"/>
    <x v="7"/>
    <x v="67"/>
    <x v="65"/>
    <x v="69"/>
    <s v="整份"/>
    <n v="3.95"/>
    <s v="份"/>
    <n v="8"/>
    <n v="31.6"/>
    <n v="0"/>
    <n v="0"/>
    <n v="0"/>
    <n v="0"/>
    <n v="1"/>
    <n v="3.95"/>
    <n v="0"/>
    <n v="0"/>
    <n v="1.58"/>
    <n v="0"/>
    <n v="7"/>
    <n v="27.37"/>
    <n v="1.3"/>
    <n v="26.07"/>
    <n v="1"/>
  </r>
  <r>
    <s v="2021-06-29"/>
    <s v="Vancouver"/>
    <s v="加拿大二店"/>
    <x v="1"/>
    <x v="1"/>
    <x v="68"/>
    <x v="66"/>
    <x v="70"/>
    <s v="整份"/>
    <n v="8.95"/>
    <s v="份"/>
    <n v="69"/>
    <n v="617.55"/>
    <n v="0"/>
    <n v="0"/>
    <n v="0"/>
    <n v="0"/>
    <n v="4"/>
    <n v="35.8"/>
    <n v="0"/>
    <n v="0"/>
    <n v="23.06"/>
    <n v="0"/>
    <n v="65"/>
    <n v="586.62"/>
    <n v="27.93"/>
    <n v="558.69"/>
    <n v="1"/>
  </r>
  <r>
    <s v="2021-06-29"/>
    <s v="Vancouver"/>
    <s v="加拿大二店"/>
    <x v="1"/>
    <x v="1"/>
    <x v="69"/>
    <x v="67"/>
    <x v="71"/>
    <s v="整份"/>
    <n v="8.95"/>
    <s v="份"/>
    <n v="2"/>
    <n v="17.9"/>
    <n v="0"/>
    <n v="0"/>
    <n v="0"/>
    <n v="0"/>
    <n v="0"/>
    <n v="0"/>
    <n v="0"/>
    <n v="0"/>
    <n v="0"/>
    <n v="0"/>
    <n v="2"/>
    <n v="18.79"/>
    <n v="0.89"/>
    <n v="17.9"/>
    <n v="1"/>
  </r>
  <r>
    <s v="2021-06-29"/>
    <s v="Vancouver"/>
    <s v="加拿大二店"/>
    <x v="6"/>
    <x v="15"/>
    <x v="70"/>
    <x v="68"/>
    <x v="72"/>
    <s v="整份"/>
    <n v="1.5"/>
    <s v="份"/>
    <n v="9"/>
    <n v="13.5"/>
    <n v="0"/>
    <n v="0"/>
    <n v="0"/>
    <n v="0"/>
    <n v="0"/>
    <n v="0"/>
    <n v="0"/>
    <n v="0"/>
    <n v="0"/>
    <n v="0"/>
    <n v="9"/>
    <n v="14.17"/>
    <n v="0.67"/>
    <n v="13.5"/>
    <n v="1"/>
  </r>
  <r>
    <s v="2021-06-29"/>
    <s v="Vancouver"/>
    <s v="加拿大二店"/>
    <x v="4"/>
    <x v="9"/>
    <x v="71"/>
    <x v="0"/>
    <x v="73"/>
    <s v="拼锅"/>
    <n v="18.95"/>
    <s v="锅"/>
    <n v="13"/>
    <n v="246.35"/>
    <n v="0"/>
    <n v="0"/>
    <n v="0"/>
    <n v="0"/>
    <n v="0"/>
    <n v="0"/>
    <n v="0"/>
    <n v="0.03"/>
    <n v="10.19"/>
    <n v="0"/>
    <n v="13"/>
    <n v="247.93"/>
    <n v="11.8"/>
    <n v="236.13"/>
    <n v="2"/>
  </r>
  <r>
    <s v="2021-06-29"/>
    <s v="Vancouver"/>
    <s v="加拿大二店"/>
    <x v="4"/>
    <x v="10"/>
    <x v="71"/>
    <x v="0"/>
    <x v="73"/>
    <s v="四宫格"/>
    <n v="9.95"/>
    <s v="锅"/>
    <n v="5"/>
    <n v="49.75"/>
    <n v="0"/>
    <n v="0"/>
    <n v="0"/>
    <n v="0"/>
    <n v="0"/>
    <n v="0"/>
    <n v="0"/>
    <n v="0"/>
    <n v="1.99"/>
    <n v="0"/>
    <n v="5"/>
    <n v="50.14"/>
    <n v="2.38"/>
    <n v="47.76"/>
    <n v="1"/>
  </r>
  <r>
    <s v="2021-06-29"/>
    <s v="Vancouver"/>
    <s v="加拿大二店"/>
    <x v="1"/>
    <x v="8"/>
    <x v="72"/>
    <x v="69"/>
    <x v="74"/>
    <s v="个"/>
    <n v="7.95"/>
    <s v="份"/>
    <n v="5"/>
    <n v="39.75"/>
    <n v="0"/>
    <n v="0"/>
    <n v="0"/>
    <n v="0"/>
    <n v="0"/>
    <n v="0"/>
    <n v="0"/>
    <n v="0"/>
    <n v="2.39"/>
    <n v="0"/>
    <n v="5"/>
    <n v="39.22"/>
    <n v="1.86"/>
    <n v="37.36"/>
    <n v="1"/>
  </r>
  <r>
    <s v="2021-06-29"/>
    <s v="Vancouver"/>
    <s v="加拿大二店"/>
    <x v="6"/>
    <x v="13"/>
    <x v="73"/>
    <x v="70"/>
    <x v="75"/>
    <s v="份"/>
    <n v="6.95"/>
    <s v="份"/>
    <n v="9"/>
    <n v="62.55"/>
    <n v="0"/>
    <n v="0"/>
    <n v="0"/>
    <n v="0"/>
    <n v="2"/>
    <n v="13.9"/>
    <n v="0"/>
    <n v="0.02"/>
    <n v="1.65"/>
    <n v="0"/>
    <n v="7"/>
    <n v="49.32"/>
    <n v="2.34"/>
    <n v="46.98"/>
    <n v="1"/>
  </r>
  <r>
    <s v="2021-06-29"/>
    <s v="Vancouver"/>
    <s v="加拿大二店"/>
    <x v="4"/>
    <x v="9"/>
    <x v="74"/>
    <x v="0"/>
    <x v="76"/>
    <s v="拼锅"/>
    <n v="18.95"/>
    <s v="锅"/>
    <n v="6"/>
    <n v="113.7"/>
    <n v="0"/>
    <n v="0"/>
    <n v="0"/>
    <n v="0"/>
    <n v="0"/>
    <n v="0"/>
    <n v="0"/>
    <n v="0"/>
    <n v="3.79"/>
    <n v="0"/>
    <n v="6"/>
    <n v="115.4"/>
    <n v="5.49"/>
    <n v="109.91"/>
    <n v="2"/>
  </r>
  <r>
    <s v="2021-06-29"/>
    <s v="Vancouver"/>
    <s v="加拿大二店"/>
    <x v="4"/>
    <x v="10"/>
    <x v="74"/>
    <x v="0"/>
    <x v="76"/>
    <s v="四宫格"/>
    <n v="9.95"/>
    <s v="锅"/>
    <n v="3"/>
    <n v="29.85"/>
    <n v="0"/>
    <n v="0"/>
    <n v="0"/>
    <n v="0"/>
    <n v="0"/>
    <n v="0"/>
    <n v="0"/>
    <n v="-0.01"/>
    <n v="1.99"/>
    <n v="0"/>
    <n v="3"/>
    <n v="29.26"/>
    <n v="1.39"/>
    <n v="27.87"/>
    <n v="1"/>
  </r>
  <r>
    <s v="2021-06-29"/>
    <s v="Vancouver"/>
    <s v="加拿大二店"/>
    <x v="1"/>
    <x v="6"/>
    <x v="118"/>
    <x v="112"/>
    <x v="122"/>
    <s v="整份"/>
    <n v="28.95"/>
    <s v="份"/>
    <n v="5"/>
    <n v="144.75"/>
    <n v="0"/>
    <n v="0"/>
    <n v="0"/>
    <n v="0"/>
    <n v="0"/>
    <n v="0"/>
    <n v="0"/>
    <n v="-0.04"/>
    <n v="5.79"/>
    <n v="0"/>
    <n v="5"/>
    <n v="145.95"/>
    <n v="6.95"/>
    <n v="139"/>
    <n v="1"/>
  </r>
  <r>
    <s v="2021-06-29"/>
    <s v="Vancouver"/>
    <s v="加拿大二店"/>
    <x v="8"/>
    <x v="17"/>
    <x v="75"/>
    <x v="71"/>
    <x v="77"/>
    <s v="整份"/>
    <n v="3.99"/>
    <s v="位"/>
    <n v="150"/>
    <n v="598.5"/>
    <n v="1"/>
    <n v="3.99"/>
    <n v="0"/>
    <n v="0"/>
    <n v="0"/>
    <n v="0"/>
    <n v="0"/>
    <n v="-0.02"/>
    <n v="9.34"/>
    <n v="0"/>
    <n v="149"/>
    <n v="614.44"/>
    <n v="29.25"/>
    <n v="585.19"/>
    <n v="1"/>
  </r>
  <r>
    <s v="2021-06-29"/>
    <s v="Vancouver"/>
    <s v="加拿大二店"/>
    <x v="3"/>
    <x v="5"/>
    <x v="76"/>
    <x v="72"/>
    <x v="78"/>
    <s v="整份"/>
    <n v="3.95"/>
    <s v="份"/>
    <n v="4"/>
    <n v="15.8"/>
    <n v="0"/>
    <n v="0"/>
    <n v="0"/>
    <n v="0"/>
    <n v="0"/>
    <n v="0"/>
    <n v="0"/>
    <n v="0"/>
    <n v="1.58"/>
    <n v="0"/>
    <n v="4"/>
    <n v="14.93"/>
    <n v="0.71"/>
    <n v="14.22"/>
    <n v="1"/>
  </r>
  <r>
    <s v="2021-06-29"/>
    <s v="Vancouver"/>
    <s v="加拿大二店"/>
    <x v="1"/>
    <x v="3"/>
    <x v="77"/>
    <x v="73"/>
    <x v="79"/>
    <s v="整份"/>
    <n v="5.95"/>
    <s v="份"/>
    <n v="8"/>
    <n v="47.6"/>
    <n v="0"/>
    <n v="0"/>
    <n v="0"/>
    <n v="0"/>
    <n v="1"/>
    <n v="5.95"/>
    <n v="0"/>
    <n v="0"/>
    <n v="1.19"/>
    <n v="0"/>
    <n v="7"/>
    <n v="42.48"/>
    <n v="2.02"/>
    <n v="40.46"/>
    <n v="1"/>
  </r>
  <r>
    <s v="2021-06-29"/>
    <s v="Vancouver"/>
    <s v="加拿大二店"/>
    <x v="3"/>
    <x v="11"/>
    <x v="78"/>
    <x v="74"/>
    <x v="80"/>
    <s v="整份"/>
    <n v="5.95"/>
    <s v="份"/>
    <n v="9"/>
    <n v="53.55"/>
    <n v="0"/>
    <n v="0"/>
    <n v="0"/>
    <n v="0"/>
    <n v="0"/>
    <n v="0"/>
    <n v="0"/>
    <n v="0"/>
    <n v="1.19"/>
    <n v="0"/>
    <n v="9"/>
    <n v="54.97"/>
    <n v="2.61"/>
    <n v="52.36"/>
    <n v="1"/>
  </r>
  <r>
    <s v="2021-06-29"/>
    <s v="Vancouver"/>
    <s v="加拿大二店"/>
    <x v="3"/>
    <x v="11"/>
    <x v="78"/>
    <x v="75"/>
    <x v="81"/>
    <s v="半份"/>
    <n v="2.95"/>
    <s v="份"/>
    <n v="13"/>
    <n v="38.35"/>
    <n v="0"/>
    <n v="0"/>
    <n v="0"/>
    <n v="0"/>
    <n v="1"/>
    <n v="2.95"/>
    <n v="0"/>
    <n v="0"/>
    <n v="1.77"/>
    <n v="0"/>
    <n v="12"/>
    <n v="35.31"/>
    <n v="1.68"/>
    <n v="33.63"/>
    <n v="0.5"/>
  </r>
  <r>
    <s v="2021-06-29"/>
    <s v="Vancouver"/>
    <s v="加拿大二店"/>
    <x v="3"/>
    <x v="5"/>
    <x v="79"/>
    <x v="76"/>
    <x v="82"/>
    <s v="整份"/>
    <n v="3.95"/>
    <s v="份"/>
    <n v="7"/>
    <n v="27.65"/>
    <n v="0"/>
    <n v="0"/>
    <n v="0"/>
    <n v="0"/>
    <n v="0"/>
    <n v="0"/>
    <n v="0"/>
    <n v="0"/>
    <n v="0"/>
    <n v="0"/>
    <n v="7"/>
    <n v="29.03"/>
    <n v="1.38"/>
    <n v="27.65"/>
    <n v="1"/>
  </r>
  <r>
    <s v="2021-06-29"/>
    <s v="Vancouver"/>
    <s v="加拿大二店"/>
    <x v="3"/>
    <x v="5"/>
    <x v="80"/>
    <x v="77"/>
    <x v="83"/>
    <s v="整份"/>
    <n v="5.95"/>
    <s v="份"/>
    <n v="14"/>
    <n v="83.3"/>
    <n v="0"/>
    <n v="0"/>
    <n v="0"/>
    <n v="0"/>
    <n v="0"/>
    <n v="0"/>
    <n v="0"/>
    <n v="0"/>
    <n v="3.57"/>
    <n v="0"/>
    <n v="14"/>
    <n v="83.71"/>
    <n v="3.98"/>
    <n v="79.73"/>
    <n v="1"/>
  </r>
  <r>
    <s v="2021-06-29"/>
    <s v="Vancouver"/>
    <s v="加拿大二店"/>
    <x v="4"/>
    <x v="9"/>
    <x v="81"/>
    <x v="0"/>
    <x v="84"/>
    <s v="拼锅"/>
    <n v="8.95"/>
    <s v="锅"/>
    <n v="8"/>
    <n v="71.6"/>
    <n v="0"/>
    <n v="0"/>
    <n v="0"/>
    <n v="0"/>
    <n v="1"/>
    <n v="8.95"/>
    <n v="0"/>
    <n v="0"/>
    <n v="0"/>
    <n v="0"/>
    <n v="7"/>
    <n v="65.78"/>
    <n v="3.13"/>
    <n v="62.65"/>
    <n v="2"/>
  </r>
  <r>
    <s v="2021-06-29"/>
    <s v="Vancouver"/>
    <s v="加拿大二店"/>
    <x v="4"/>
    <x v="10"/>
    <x v="81"/>
    <x v="0"/>
    <x v="84"/>
    <s v="四宫格"/>
    <n v="4.95"/>
    <s v="锅"/>
    <n v="11"/>
    <n v="54.45"/>
    <n v="0"/>
    <n v="0"/>
    <n v="0"/>
    <n v="0"/>
    <n v="0"/>
    <n v="0"/>
    <n v="0"/>
    <n v="0.01"/>
    <n v="2.97"/>
    <n v="0"/>
    <n v="11"/>
    <n v="54.04"/>
    <n v="2.57"/>
    <n v="51.47"/>
    <n v="1"/>
  </r>
  <r>
    <s v="2021-06-29"/>
    <s v="Vancouver"/>
    <s v="加拿大二店"/>
    <x v="3"/>
    <x v="5"/>
    <x v="82"/>
    <x v="78"/>
    <x v="85"/>
    <s v="整份"/>
    <n v="12.95"/>
    <s v="份"/>
    <n v="11"/>
    <n v="142.45"/>
    <n v="0"/>
    <n v="0"/>
    <n v="0"/>
    <n v="0"/>
    <n v="0"/>
    <n v="0"/>
    <n v="0"/>
    <n v="0"/>
    <n v="4.14"/>
    <n v="0"/>
    <n v="11"/>
    <n v="145.22"/>
    <n v="6.91"/>
    <n v="138.31"/>
    <n v="1"/>
  </r>
  <r>
    <s v="2021-06-29"/>
    <s v="Vancouver"/>
    <s v="加拿大二店"/>
    <x v="3"/>
    <x v="11"/>
    <x v="83"/>
    <x v="79"/>
    <x v="86"/>
    <s v="整份"/>
    <n v="5.95"/>
    <s v="份"/>
    <n v="3"/>
    <n v="17.85"/>
    <n v="0"/>
    <n v="0"/>
    <n v="0"/>
    <n v="0"/>
    <n v="1"/>
    <n v="5.95"/>
    <n v="0"/>
    <n v="0"/>
    <n v="1.19"/>
    <n v="0"/>
    <n v="2"/>
    <n v="11.24"/>
    <n v="0.53"/>
    <n v="10.71"/>
    <n v="1"/>
  </r>
  <r>
    <s v="2021-06-29"/>
    <s v="Vancouver"/>
    <s v="加拿大二店"/>
    <x v="3"/>
    <x v="11"/>
    <x v="83"/>
    <x v="80"/>
    <x v="87"/>
    <s v="半份"/>
    <n v="2.95"/>
    <s v="份"/>
    <n v="6"/>
    <n v="17.7"/>
    <n v="0"/>
    <n v="0"/>
    <n v="0"/>
    <n v="0"/>
    <n v="0"/>
    <n v="0"/>
    <n v="0"/>
    <n v="0"/>
    <n v="0"/>
    <n v="0"/>
    <n v="6"/>
    <n v="18.58"/>
    <n v="0.88"/>
    <n v="17.7"/>
    <n v="0.5"/>
  </r>
  <r>
    <s v="2021-06-29"/>
    <s v="Vancouver"/>
    <s v="加拿大二店"/>
    <x v="3"/>
    <x v="11"/>
    <x v="84"/>
    <x v="81"/>
    <x v="88"/>
    <s v="整份"/>
    <n v="11.95"/>
    <s v="份"/>
    <n v="8"/>
    <n v="95.6"/>
    <n v="0"/>
    <n v="0"/>
    <n v="0"/>
    <n v="0"/>
    <n v="0"/>
    <n v="0"/>
    <n v="0"/>
    <n v="0"/>
    <n v="5.25"/>
    <n v="0"/>
    <n v="8"/>
    <n v="94.86"/>
    <n v="4.51"/>
    <n v="90.35"/>
    <n v="1"/>
  </r>
  <r>
    <s v="2021-06-29"/>
    <s v="Vancouver"/>
    <s v="加拿大二店"/>
    <x v="1"/>
    <x v="3"/>
    <x v="85"/>
    <x v="82"/>
    <x v="89"/>
    <s v="整份"/>
    <n v="6.95"/>
    <s v="份"/>
    <n v="7"/>
    <n v="48.65"/>
    <n v="0"/>
    <n v="0"/>
    <n v="0"/>
    <n v="0"/>
    <n v="0"/>
    <n v="0"/>
    <n v="0"/>
    <n v="0"/>
    <n v="0.83"/>
    <n v="0"/>
    <n v="7"/>
    <n v="50.21"/>
    <n v="2.39"/>
    <n v="47.82"/>
    <n v="1"/>
  </r>
  <r>
    <s v="2021-06-29"/>
    <s v="Vancouver"/>
    <s v="加拿大二店"/>
    <x v="6"/>
    <x v="13"/>
    <x v="86"/>
    <x v="83"/>
    <x v="90"/>
    <s v="碗"/>
    <n v="2.95"/>
    <s v="碗"/>
    <n v="10"/>
    <n v="29.5"/>
    <n v="0"/>
    <n v="0"/>
    <n v="0"/>
    <n v="0"/>
    <n v="1"/>
    <n v="2.95"/>
    <n v="0"/>
    <n v="0"/>
    <n v="0.59"/>
    <n v="0"/>
    <n v="9"/>
    <n v="27.25"/>
    <n v="1.29"/>
    <n v="25.96"/>
    <n v="1"/>
  </r>
  <r>
    <s v="2021-06-29"/>
    <s v="Vancouver"/>
    <s v="加拿大二店"/>
    <x v="1"/>
    <x v="8"/>
    <x v="88"/>
    <x v="85"/>
    <x v="92"/>
    <s v="整份"/>
    <n v="7.95"/>
    <s v="份"/>
    <n v="7"/>
    <n v="55.65"/>
    <n v="0"/>
    <n v="0"/>
    <n v="0"/>
    <n v="0"/>
    <n v="0"/>
    <n v="0"/>
    <n v="0"/>
    <n v="0"/>
    <n v="3.18"/>
    <n v="0"/>
    <n v="7"/>
    <n v="55.09"/>
    <n v="2.62"/>
    <n v="52.47"/>
    <n v="1"/>
  </r>
  <r>
    <s v="2021-06-29"/>
    <s v="Vancouver"/>
    <s v="加拿大二店"/>
    <x v="1"/>
    <x v="8"/>
    <x v="89"/>
    <x v="86"/>
    <x v="93"/>
    <s v="整份"/>
    <n v="4.95"/>
    <s v="份"/>
    <n v="17"/>
    <n v="84.15"/>
    <n v="0"/>
    <n v="0"/>
    <n v="0"/>
    <n v="0"/>
    <n v="0"/>
    <n v="0"/>
    <n v="0"/>
    <n v="0"/>
    <n v="5.04"/>
    <n v="0"/>
    <n v="17"/>
    <n v="83.06"/>
    <n v="3.95"/>
    <n v="79.11"/>
    <n v="1"/>
  </r>
  <r>
    <s v="2021-06-29"/>
    <s v="Vancouver"/>
    <s v="加拿大二店"/>
    <x v="2"/>
    <x v="4"/>
    <x v="138"/>
    <x v="132"/>
    <x v="143"/>
    <s v="扎"/>
    <n v="12.95"/>
    <s v="扎"/>
    <n v="13"/>
    <n v="168.35"/>
    <n v="0"/>
    <n v="0"/>
    <n v="0"/>
    <n v="0"/>
    <n v="0"/>
    <n v="0"/>
    <n v="0"/>
    <n v="0.02"/>
    <n v="0"/>
    <n v="0"/>
    <n v="13"/>
    <n v="188.52"/>
    <n v="20.19"/>
    <n v="168.33"/>
    <n v="1"/>
  </r>
  <r>
    <s v="2021-06-29"/>
    <s v="Vancouver"/>
    <s v="加拿大二店"/>
    <x v="3"/>
    <x v="7"/>
    <x v="90"/>
    <x v="87"/>
    <x v="94"/>
    <s v="整份"/>
    <n v="4.95"/>
    <s v="份"/>
    <n v="17"/>
    <n v="84.15"/>
    <n v="0"/>
    <n v="0"/>
    <n v="0"/>
    <n v="0"/>
    <n v="1"/>
    <n v="4.95"/>
    <n v="0"/>
    <n v="0"/>
    <n v="5.28"/>
    <n v="0"/>
    <n v="16"/>
    <n v="77.61"/>
    <n v="3.69"/>
    <n v="73.92"/>
    <n v="1"/>
  </r>
  <r>
    <s v="2021-06-29"/>
    <s v="Vancouver"/>
    <s v="加拿大二店"/>
    <x v="6"/>
    <x v="18"/>
    <x v="91"/>
    <x v="88"/>
    <x v="95"/>
    <s v="整份"/>
    <n v="2.95"/>
    <s v="份"/>
    <n v="3"/>
    <n v="8.85"/>
    <n v="0"/>
    <n v="0"/>
    <n v="0"/>
    <n v="0"/>
    <n v="0"/>
    <n v="0"/>
    <n v="0"/>
    <n v="0"/>
    <n v="0"/>
    <n v="0"/>
    <n v="3"/>
    <n v="9.29"/>
    <n v="0.44"/>
    <n v="8.85"/>
    <n v="1"/>
  </r>
  <r>
    <s v="2021-06-29"/>
    <s v="Vancouver"/>
    <s v="加拿大二店"/>
    <x v="3"/>
    <x v="5"/>
    <x v="93"/>
    <x v="89"/>
    <x v="97"/>
    <s v="整份"/>
    <n v="5.95"/>
    <s v="份"/>
    <n v="16"/>
    <n v="95.2"/>
    <n v="0"/>
    <n v="0"/>
    <n v="0"/>
    <n v="0"/>
    <n v="0"/>
    <n v="0"/>
    <n v="0"/>
    <n v="0"/>
    <n v="2.6"/>
    <n v="0"/>
    <n v="16"/>
    <n v="97.23"/>
    <n v="4.63"/>
    <n v="92.6"/>
    <n v="1"/>
  </r>
  <r>
    <s v="2021-06-29"/>
    <s v="Vancouver"/>
    <s v="加拿大二店"/>
    <x v="6"/>
    <x v="13"/>
    <x v="94"/>
    <x v="90"/>
    <x v="98"/>
    <s v="整份"/>
    <n v="4.95"/>
    <s v="份"/>
    <n v="10"/>
    <n v="49.5"/>
    <n v="0"/>
    <n v="0"/>
    <n v="0"/>
    <n v="0"/>
    <n v="1"/>
    <n v="4.95"/>
    <n v="0"/>
    <n v="0"/>
    <n v="1.72"/>
    <n v="0"/>
    <n v="9"/>
    <n v="44.97"/>
    <n v="2.14"/>
    <n v="42.83"/>
    <n v="1"/>
  </r>
  <r>
    <s v="2021-06-29"/>
    <s v="Vancouver"/>
    <s v="加拿大二店"/>
    <x v="7"/>
    <x v="14"/>
    <x v="123"/>
    <x v="117"/>
    <x v="127"/>
    <s v="整份"/>
    <n v="0"/>
    <s v="份"/>
    <n v="1"/>
    <n v="0"/>
    <n v="0"/>
    <n v="0"/>
    <n v="0"/>
    <n v="0"/>
    <n v="0"/>
    <n v="0"/>
    <n v="0"/>
    <n v="0"/>
    <n v="0"/>
    <n v="0"/>
    <n v="1"/>
    <n v="0"/>
    <n v="0"/>
    <n v="0"/>
    <n v="1"/>
  </r>
  <r>
    <s v="2021-06-29"/>
    <s v="Vancouver"/>
    <s v="加拿大二店"/>
    <x v="2"/>
    <x v="4"/>
    <x v="95"/>
    <x v="91"/>
    <x v="99"/>
    <s v="冰镇"/>
    <n v="2.45"/>
    <s v="听"/>
    <n v="3"/>
    <n v="7.35"/>
    <n v="0"/>
    <n v="0"/>
    <n v="0"/>
    <n v="0"/>
    <n v="0"/>
    <n v="0"/>
    <n v="0"/>
    <n v="0"/>
    <n v="0"/>
    <n v="0"/>
    <n v="3"/>
    <n v="8.23"/>
    <n v="0.88"/>
    <n v="7.35"/>
    <n v="1"/>
  </r>
  <r>
    <s v="2021-06-29"/>
    <s v="Vancouver"/>
    <s v="加拿大二店"/>
    <x v="1"/>
    <x v="1"/>
    <x v="96"/>
    <x v="92"/>
    <x v="100"/>
    <s v="整份"/>
    <n v="49.95"/>
    <s v="份"/>
    <n v="5"/>
    <n v="249.75"/>
    <n v="0"/>
    <n v="0"/>
    <n v="0"/>
    <n v="0"/>
    <n v="0"/>
    <n v="0"/>
    <n v="0"/>
    <n v="0.01"/>
    <n v="21.01"/>
    <n v="0"/>
    <n v="5"/>
    <n v="240.16"/>
    <n v="11.43"/>
    <n v="228.73"/>
    <n v="1"/>
  </r>
  <r>
    <s v="2021-06-29"/>
    <s v="Vancouver"/>
    <s v="加拿大二店"/>
    <x v="2"/>
    <x v="2"/>
    <x v="97"/>
    <x v="93"/>
    <x v="101"/>
    <s v="冰镇"/>
    <n v="5.95"/>
    <s v="听"/>
    <n v="2"/>
    <n v="11.9"/>
    <n v="0"/>
    <n v="0"/>
    <n v="0"/>
    <n v="0"/>
    <n v="0"/>
    <n v="0"/>
    <n v="0"/>
    <n v="0"/>
    <n v="0"/>
    <n v="0"/>
    <n v="2"/>
    <n v="13.68"/>
    <n v="1.78"/>
    <n v="11.9"/>
    <n v="1"/>
  </r>
  <r>
    <s v="2021-06-29"/>
    <s v="Vancouver"/>
    <s v="加拿大二店"/>
    <x v="6"/>
    <x v="13"/>
    <x v="98"/>
    <x v="94"/>
    <x v="102"/>
    <s v="整份"/>
    <n v="3.95"/>
    <s v="份"/>
    <n v="2"/>
    <n v="7.9"/>
    <n v="0"/>
    <n v="0"/>
    <n v="0"/>
    <n v="0"/>
    <n v="0"/>
    <n v="0"/>
    <n v="0"/>
    <n v="0"/>
    <n v="0"/>
    <n v="0"/>
    <n v="2"/>
    <n v="8.29"/>
    <n v="0.39"/>
    <n v="7.9"/>
    <n v="1"/>
  </r>
  <r>
    <s v="2021-06-29"/>
    <s v="Vancouver"/>
    <s v="加拿大二店"/>
    <x v="1"/>
    <x v="3"/>
    <x v="99"/>
    <x v="95"/>
    <x v="103"/>
    <s v="整份"/>
    <n v="5.95"/>
    <s v="份"/>
    <n v="6"/>
    <n v="35.7"/>
    <n v="0"/>
    <n v="0"/>
    <n v="0"/>
    <n v="0"/>
    <n v="0"/>
    <n v="0"/>
    <n v="0"/>
    <n v="0"/>
    <n v="2.38"/>
    <n v="0"/>
    <n v="6"/>
    <n v="34.98"/>
    <n v="1.66"/>
    <n v="33.32"/>
    <n v="1"/>
  </r>
  <r>
    <s v="2021-06-29"/>
    <s v="Vancouver"/>
    <s v="加拿大二店"/>
    <x v="1"/>
    <x v="3"/>
    <x v="100"/>
    <x v="96"/>
    <x v="104"/>
    <s v="整份"/>
    <n v="7.95"/>
    <s v="份"/>
    <n v="8"/>
    <n v="63.6"/>
    <n v="1"/>
    <n v="7.95"/>
    <n v="0"/>
    <n v="0"/>
    <n v="1"/>
    <n v="7.95"/>
    <n v="0"/>
    <n v="0"/>
    <n v="1.9"/>
    <n v="0"/>
    <n v="6"/>
    <n v="48.09"/>
    <n v="2.29"/>
    <n v="45.8"/>
    <n v="1"/>
  </r>
  <r>
    <s v="2021-06-29"/>
    <s v="Vancouver"/>
    <s v="加拿大二店"/>
    <x v="1"/>
    <x v="8"/>
    <x v="101"/>
    <x v="97"/>
    <x v="105"/>
    <s v="整份"/>
    <n v="5.95"/>
    <s v="份"/>
    <n v="13"/>
    <n v="77.35"/>
    <n v="1"/>
    <n v="5.95"/>
    <n v="0"/>
    <n v="0"/>
    <n v="0"/>
    <n v="0"/>
    <n v="0"/>
    <n v="0"/>
    <n v="6.17"/>
    <n v="0"/>
    <n v="12"/>
    <n v="68.49"/>
    <n v="3.26"/>
    <n v="65.23"/>
    <n v="1"/>
  </r>
  <r>
    <s v="2021-06-29"/>
    <s v="Vancouver"/>
    <s v="加拿大二店"/>
    <x v="1"/>
    <x v="6"/>
    <x v="102"/>
    <x v="98"/>
    <x v="106"/>
    <s v="整份"/>
    <n v="8.95"/>
    <s v="份"/>
    <n v="7"/>
    <n v="62.65"/>
    <n v="0"/>
    <n v="0"/>
    <n v="0"/>
    <n v="0"/>
    <n v="1"/>
    <n v="8.95"/>
    <n v="0"/>
    <n v="-0.06"/>
    <n v="3.21"/>
    <n v="0"/>
    <n v="6"/>
    <n v="53.07"/>
    <n v="2.52"/>
    <n v="50.55"/>
    <n v="1"/>
  </r>
  <r>
    <s v="2021-06-29"/>
    <s v="Vancouver"/>
    <s v="加拿大二店"/>
    <x v="3"/>
    <x v="7"/>
    <x v="103"/>
    <x v="99"/>
    <x v="107"/>
    <s v="整份"/>
    <n v="5.95"/>
    <s v="份"/>
    <n v="19"/>
    <n v="113.05"/>
    <n v="0"/>
    <n v="0"/>
    <n v="0"/>
    <n v="0"/>
    <n v="0"/>
    <n v="0"/>
    <n v="0"/>
    <n v="0"/>
    <n v="5.47"/>
    <n v="0"/>
    <n v="19"/>
    <n v="112.95"/>
    <n v="5.37"/>
    <n v="107.58"/>
    <n v="1"/>
  </r>
  <r>
    <s v="2021-06-29"/>
    <s v="Vancouver"/>
    <s v="加拿大二店"/>
    <x v="3"/>
    <x v="7"/>
    <x v="104"/>
    <x v="100"/>
    <x v="108"/>
    <s v="整份"/>
    <n v="3.95"/>
    <s v="份"/>
    <n v="8"/>
    <n v="31.6"/>
    <n v="0"/>
    <n v="0"/>
    <n v="0"/>
    <n v="0"/>
    <n v="0"/>
    <n v="0"/>
    <n v="0"/>
    <n v="0"/>
    <n v="1.26"/>
    <n v="0"/>
    <n v="8"/>
    <n v="31.85"/>
    <n v="1.51"/>
    <n v="30.34"/>
    <n v="1"/>
  </r>
  <r>
    <s v="2021-06-29"/>
    <s v="Vancouver"/>
    <s v="加拿大二店"/>
    <x v="1"/>
    <x v="8"/>
    <x v="105"/>
    <x v="101"/>
    <x v="109"/>
    <s v="整份"/>
    <n v="4.95"/>
    <s v="份"/>
    <n v="12"/>
    <n v="59.4"/>
    <n v="0"/>
    <n v="0"/>
    <n v="0"/>
    <n v="0"/>
    <n v="0"/>
    <n v="0"/>
    <n v="0"/>
    <n v="0"/>
    <n v="2.57"/>
    <n v="0"/>
    <n v="12"/>
    <n v="59.67"/>
    <n v="2.84"/>
    <n v="56.83"/>
    <n v="1"/>
  </r>
  <r>
    <s v="2021-06-29"/>
    <s v="Vancouver"/>
    <s v="加拿大二店"/>
    <x v="4"/>
    <x v="9"/>
    <x v="106"/>
    <x v="0"/>
    <x v="110"/>
    <s v="拼锅"/>
    <n v="11.95"/>
    <s v="锅"/>
    <n v="12"/>
    <n v="143.4"/>
    <n v="1"/>
    <n v="11.95"/>
    <n v="0"/>
    <n v="0"/>
    <n v="1"/>
    <n v="11.95"/>
    <n v="0"/>
    <n v="0.04"/>
    <n v="0"/>
    <n v="0"/>
    <n v="10"/>
    <n v="125.43"/>
    <n v="5.97"/>
    <n v="119.46"/>
    <n v="2"/>
  </r>
  <r>
    <s v="2021-06-29"/>
    <s v="Vancouver"/>
    <s v="加拿大二店"/>
    <x v="4"/>
    <x v="10"/>
    <x v="106"/>
    <x v="0"/>
    <x v="110"/>
    <s v="四宫格"/>
    <n v="5.95"/>
    <s v="锅"/>
    <n v="6"/>
    <n v="35.7"/>
    <n v="0"/>
    <n v="0"/>
    <n v="0"/>
    <n v="0"/>
    <n v="0"/>
    <n v="0"/>
    <n v="0"/>
    <n v="0.02"/>
    <n v="2.38"/>
    <n v="0"/>
    <n v="6"/>
    <n v="34.96"/>
    <n v="1.66"/>
    <n v="33.3"/>
    <n v="1"/>
  </r>
  <r>
    <s v="2021-06-29"/>
    <s v="Vancouver"/>
    <s v="加拿大二店"/>
    <x v="4"/>
    <x v="16"/>
    <x v="107"/>
    <x v="0"/>
    <x v="111"/>
    <s v="单锅"/>
    <n v="22.95"/>
    <s v="锅"/>
    <n v="1"/>
    <n v="22.95"/>
    <n v="0"/>
    <n v="0"/>
    <n v="0"/>
    <n v="0"/>
    <n v="0"/>
    <n v="0"/>
    <n v="0"/>
    <n v="-0.02"/>
    <n v="0"/>
    <n v="0"/>
    <n v="1"/>
    <n v="24.11"/>
    <n v="1.14"/>
    <n v="22.97"/>
    <n v="4"/>
  </r>
  <r>
    <s v="2021-06-29"/>
    <s v="Vancouver"/>
    <s v="加拿大二店"/>
    <x v="4"/>
    <x v="9"/>
    <x v="107"/>
    <x v="0"/>
    <x v="111"/>
    <s v="拼锅"/>
    <n v="11.95"/>
    <s v="锅"/>
    <n v="6"/>
    <n v="71.7"/>
    <n v="0"/>
    <n v="0"/>
    <n v="0"/>
    <n v="0"/>
    <n v="0"/>
    <n v="0"/>
    <n v="0"/>
    <n v="0"/>
    <n v="2.39"/>
    <n v="0"/>
    <n v="6"/>
    <n v="72.77"/>
    <n v="3.46"/>
    <n v="69.31"/>
    <n v="2"/>
  </r>
  <r>
    <s v="2021-06-29"/>
    <s v="Vancouver"/>
    <s v="加拿大二店"/>
    <x v="4"/>
    <x v="10"/>
    <x v="107"/>
    <x v="0"/>
    <x v="111"/>
    <s v="四宫格"/>
    <n v="5.95"/>
    <s v="锅"/>
    <n v="6"/>
    <n v="35.7"/>
    <n v="0"/>
    <n v="0"/>
    <n v="0"/>
    <n v="0"/>
    <n v="1"/>
    <n v="5.95"/>
    <n v="0"/>
    <n v="0"/>
    <n v="3.57"/>
    <n v="0"/>
    <n v="5"/>
    <n v="27.48"/>
    <n v="1.3"/>
    <n v="26.18"/>
    <n v="1"/>
  </r>
  <r>
    <s v="2021-06-29"/>
    <s v="Vancouver"/>
    <s v="加拿大二店"/>
    <x v="1"/>
    <x v="1"/>
    <x v="141"/>
    <x v="135"/>
    <x v="146"/>
    <s v="整份"/>
    <n v="12.95"/>
    <s v="份"/>
    <n v="7"/>
    <n v="90.65"/>
    <n v="0"/>
    <n v="0"/>
    <n v="0"/>
    <n v="0"/>
    <n v="0"/>
    <n v="0"/>
    <n v="0"/>
    <n v="0"/>
    <n v="4.17"/>
    <n v="0"/>
    <n v="7"/>
    <n v="91.66"/>
    <n v="5.18"/>
    <n v="86.48"/>
    <n v="1"/>
  </r>
  <r>
    <m/>
    <m/>
    <m/>
    <x v="10"/>
    <x v="25"/>
    <x v="143"/>
    <x v="137"/>
    <x v="148"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5">
  <r>
    <d v="2025-04-01T00:00:00"/>
    <d v="2025-04-30T00:00:00"/>
    <s v="CA07"/>
    <s v="加拿大七店"/>
    <x v="0"/>
    <s v="金标生抽（海天，4.9L*2桶/件）"/>
    <s v="L"/>
    <s v="升"/>
    <s v="成本类"/>
    <n v="2.35"/>
    <n v="205.8"/>
    <n v="483"/>
    <s v="Z05"/>
    <s v="成本-其他类"/>
  </r>
  <r>
    <d v="2025-04-01T00:00:00"/>
    <d v="2025-04-30T00:00:00"/>
    <s v="CA07"/>
    <s v="加拿大七店"/>
    <x v="1"/>
    <s v="辣椒酱（辣妹子，920G*12瓶/件）"/>
    <s v="KG"/>
    <s v="公斤"/>
    <s v="成本类"/>
    <n v="7.25"/>
    <n v="6.44"/>
    <n v="46.67"/>
    <s v="Z05"/>
    <s v="成本-其他类"/>
  </r>
  <r>
    <d v="2025-04-01T00:00:00"/>
    <d v="2025-04-30T00:00:00"/>
    <s v="CA07"/>
    <s v="加拿大七店"/>
    <x v="2"/>
    <s v="大块腐乳（王致和，340G*15瓶/件）"/>
    <s v="KG"/>
    <s v="公斤"/>
    <s v="成本类"/>
    <n v="7.31"/>
    <n v="54.06"/>
    <n v="395.12"/>
    <s v="Z05"/>
    <s v="成本-其他类"/>
  </r>
  <r>
    <d v="2025-04-01T00:00:00"/>
    <d v="2025-04-30T00:00:00"/>
    <s v="CA07"/>
    <s v="加拿大七店"/>
    <x v="3"/>
    <s v="沙茶酱（牛头，3KG*6瓶/件）"/>
    <s v="KG"/>
    <s v="公斤"/>
    <s v="成本类"/>
    <n v="8.5"/>
    <n v="117"/>
    <n v="994.5"/>
    <s v="Z05"/>
    <s v="成本-其他类"/>
  </r>
  <r>
    <d v="2025-04-01T00:00:00"/>
    <d v="2025-04-30T00:00:00"/>
    <s v="CA07"/>
    <s v="加拿大七店"/>
    <x v="4"/>
    <s v="卤水汁（李锦记，410ML*12瓶/件）"/>
    <s v="L"/>
    <s v="升"/>
    <s v="成本类"/>
    <n v="14.37"/>
    <n v="2.46"/>
    <n v="35.340000000000003"/>
    <s v="Z05"/>
    <s v="成本-其他类"/>
  </r>
  <r>
    <d v="2025-04-01T00:00:00"/>
    <d v="2025-04-30T00:00:00"/>
    <s v="CA07"/>
    <s v="加拿大七店"/>
    <x v="5"/>
    <s v="牛油（20KG/件）"/>
    <s v="KG"/>
    <s v="公斤"/>
    <s v="成本类"/>
    <n v="4.18"/>
    <n v="500"/>
    <n v="2092.4899999999998"/>
    <s v="Z02"/>
    <s v="成本-荤菜类"/>
  </r>
  <r>
    <d v="2025-04-01T00:00:00"/>
    <d v="2025-04-30T00:00:00"/>
    <s v="CA07"/>
    <s v="加拿大七店"/>
    <x v="6"/>
    <s v="虎牙脆（20G*230包/件）"/>
    <s v="Z07"/>
    <s v="包"/>
    <s v="成本类"/>
    <n v="0.12"/>
    <n v="13570"/>
    <n v="1611.11"/>
    <s v="Z10"/>
    <s v="服务费-其他类"/>
  </r>
  <r>
    <d v="2025-04-01T00:00:00"/>
    <d v="2025-04-30T00:00:00"/>
    <s v="CA07"/>
    <s v="加拿大七店"/>
    <x v="7"/>
    <s v="蚝油（李锦记，2.2KG*6桶/件）"/>
    <s v="KG"/>
    <s v="公斤"/>
    <s v="成本类"/>
    <n v="3.13"/>
    <n v="92.4"/>
    <n v="288.75"/>
    <s v="Z02"/>
    <s v="成本-荤菜类"/>
  </r>
  <r>
    <d v="2025-04-01T00:00:00"/>
    <d v="2025-04-30T00:00:00"/>
    <s v="CA07"/>
    <s v="加拿大七店"/>
    <x v="8"/>
    <s v="三鲜粉TLTF-20（10KG*2包/件）"/>
    <s v="KG"/>
    <s v="公斤"/>
    <s v="成本类"/>
    <n v="4.17"/>
    <n v="110"/>
    <n v="458.27"/>
    <s v="Z05"/>
    <s v="成本-其他类"/>
  </r>
  <r>
    <d v="2025-04-01T00:00:00"/>
    <d v="2025-04-30T00:00:00"/>
    <s v="CA07"/>
    <s v="加拿大七店"/>
    <x v="9"/>
    <s v="果糖（环泰，5KG*4桶/件）"/>
    <s v="KG"/>
    <s v="公斤"/>
    <s v="成本类"/>
    <n v="2.75"/>
    <n v="165"/>
    <n v="453.75"/>
    <s v="Z05"/>
    <s v="成本-其他类"/>
  </r>
  <r>
    <d v="2025-04-01T00:00:00"/>
    <d v="2025-04-30T00:00:00"/>
    <s v="CA07"/>
    <s v="加拿大七店"/>
    <x v="10"/>
    <s v="花椒油（川老汇，1.8L*6包/件）"/>
    <s v="Z07"/>
    <s v="包"/>
    <s v="成本类"/>
    <n v="17.5"/>
    <n v="6"/>
    <n v="105"/>
    <s v="Z05"/>
    <s v="成本-其他类"/>
  </r>
  <r>
    <d v="2025-04-01T00:00:00"/>
    <d v="2025-04-30T00:00:00"/>
    <s v="CA07"/>
    <s v="加拿大七店"/>
    <x v="11"/>
    <s v="牛腩肉（LB）"/>
    <s v="CL5"/>
    <s v="磅-美"/>
    <s v="费用类"/>
    <n v="4.6100000000000003"/>
    <n v="130"/>
    <n v="599.13"/>
    <s v="Z02"/>
    <s v="成本-荤菜类"/>
  </r>
  <r>
    <d v="2025-04-01T00:00:00"/>
    <d v="2025-04-30T00:00:00"/>
    <s v="CA07"/>
    <s v="加拿大七店"/>
    <x v="11"/>
    <s v="牛腩肉（LB）"/>
    <s v="CL5"/>
    <s v="磅-美"/>
    <s v="成本类"/>
    <n v="4.6100000000000003"/>
    <n v="5391.83"/>
    <n v="24858.94"/>
    <s v="Z02"/>
    <s v="成本-荤菜类"/>
  </r>
  <r>
    <d v="2025-04-01T00:00:00"/>
    <d v="2025-04-30T00:00:00"/>
    <s v="CA07"/>
    <s v="加拿大七店"/>
    <x v="12"/>
    <s v="牛霖肉（LB）"/>
    <s v="CL5"/>
    <s v="磅-美"/>
    <s v="成本类"/>
    <n v="6.25"/>
    <n v="822.38"/>
    <n v="5139.8900000000003"/>
    <s v="Z02"/>
    <s v="成本-荤菜类"/>
  </r>
  <r>
    <d v="2025-04-01T00:00:00"/>
    <d v="2025-04-30T00:00:00"/>
    <s v="CA07"/>
    <s v="加拿大七店"/>
    <x v="13"/>
    <s v="羊肉卷（LB）"/>
    <s v="CL5"/>
    <s v="磅-美"/>
    <s v="成本类"/>
    <n v="6.38"/>
    <n v="1754.63"/>
    <n v="11192.18"/>
    <s v="Z02"/>
    <s v="成本-荤菜类"/>
  </r>
  <r>
    <d v="2025-04-01T00:00:00"/>
    <d v="2025-04-30T00:00:00"/>
    <s v="CA07"/>
    <s v="加拿大七店"/>
    <x v="14"/>
    <s v="带皮去骨鸡腿肉（LB）"/>
    <s v="CL5"/>
    <s v="磅-美"/>
    <s v="费用类"/>
    <n v="3.79"/>
    <n v="154"/>
    <n v="583.29"/>
    <s v="Z02"/>
    <s v="成本-荤菜类"/>
  </r>
  <r>
    <d v="2025-04-01T00:00:00"/>
    <d v="2025-04-30T00:00:00"/>
    <s v="CA07"/>
    <s v="加拿大七店"/>
    <x v="14"/>
    <s v="带皮去骨鸡腿肉（LB）"/>
    <s v="CL5"/>
    <s v="磅-美"/>
    <s v="成本类"/>
    <n v="3.79"/>
    <n v="513.70000000000005"/>
    <n v="1946.28"/>
    <s v="Z02"/>
    <s v="成本-荤菜类"/>
  </r>
  <r>
    <d v="2025-04-01T00:00:00"/>
    <d v="2025-04-30T00:00:00"/>
    <s v="CA07"/>
    <s v="加拿大七店"/>
    <x v="15"/>
    <s v="去皮五花肉（LB）"/>
    <s v="CL5"/>
    <s v="磅-美"/>
    <s v="费用类"/>
    <n v="4.2"/>
    <n v="54"/>
    <n v="227.03"/>
    <s v="Z02"/>
    <s v="成本-荤菜类"/>
  </r>
  <r>
    <d v="2025-04-01T00:00:00"/>
    <d v="2025-04-30T00:00:00"/>
    <s v="CA07"/>
    <s v="加拿大七店"/>
    <x v="15"/>
    <s v="去皮五花肉（LB）"/>
    <s v="CL5"/>
    <s v="磅-美"/>
    <s v="成本类"/>
    <n v="4.2"/>
    <n v="468.24"/>
    <n v="1968.63"/>
    <s v="Z02"/>
    <s v="成本-荤菜类"/>
  </r>
  <r>
    <d v="2025-04-01T00:00:00"/>
    <d v="2025-04-30T00:00:00"/>
    <s v="CA07"/>
    <s v="加拿大七店"/>
    <x v="16"/>
    <s v="梅花猪肉（LB）"/>
    <s v="CL5"/>
    <s v="磅-美"/>
    <s v="费用类"/>
    <n v="3.02"/>
    <n v="22"/>
    <n v="66.36"/>
    <s v="Z02"/>
    <s v="成本-荤菜类"/>
  </r>
  <r>
    <d v="2025-04-01T00:00:00"/>
    <d v="2025-04-30T00:00:00"/>
    <s v="CA07"/>
    <s v="加拿大七店"/>
    <x v="16"/>
    <s v="梅花猪肉（LB）"/>
    <s v="CL5"/>
    <s v="磅-美"/>
    <s v="成本类"/>
    <n v="3.02"/>
    <n v="69.81"/>
    <n v="210.58"/>
    <s v="Z02"/>
    <s v="成本-荤菜类"/>
  </r>
  <r>
    <d v="2025-04-01T00:00:00"/>
    <d v="2025-04-30T00:00:00"/>
    <s v="CA07"/>
    <s v="加拿大七店"/>
    <x v="17"/>
    <s v="毛肚（LB）"/>
    <s v="CL5"/>
    <s v="磅-美"/>
    <s v="成本类"/>
    <n v="6.8"/>
    <n v="154.30000000000001"/>
    <n v="1049.24"/>
    <s v="Z02"/>
    <s v="成本-荤菜类"/>
  </r>
  <r>
    <d v="2025-04-01T00:00:00"/>
    <d v="2025-04-30T00:00:00"/>
    <s v="CA07"/>
    <s v="加拿大七店"/>
    <x v="18"/>
    <s v="牛黄喉（LB）"/>
    <s v="CL5"/>
    <s v="磅-美"/>
    <s v="成本类"/>
    <n v="6.99"/>
    <n v="232.5"/>
    <n v="1625.17"/>
    <s v="Z02"/>
    <s v="成本-荤菜类"/>
  </r>
  <r>
    <d v="2025-04-01T00:00:00"/>
    <d v="2025-04-30T00:00:00"/>
    <s v="CA07"/>
    <s v="加拿大七店"/>
    <x v="19"/>
    <s v="牛舌（LB）"/>
    <s v="CL5"/>
    <s v="磅-美"/>
    <s v="成本类"/>
    <n v="14.99"/>
    <n v="437.94"/>
    <n v="6564.73"/>
    <s v="Z02"/>
    <s v="成本-荤菜类"/>
  </r>
  <r>
    <d v="2025-04-01T00:00:00"/>
    <d v="2025-04-30T00:00:00"/>
    <s v="CA07"/>
    <s v="加拿大七店"/>
    <x v="20"/>
    <s v="猪棒骨（LB）"/>
    <s v="CL5"/>
    <s v="磅-美"/>
    <s v="成本类"/>
    <n v="1.08"/>
    <n v="1585.376"/>
    <n v="1716.99"/>
    <s v="Z02"/>
    <s v="成本-荤菜类"/>
  </r>
  <r>
    <d v="2025-04-01T00:00:00"/>
    <d v="2025-04-30T00:00:00"/>
    <s v="CA07"/>
    <s v="加拿大七店"/>
    <x v="21"/>
    <s v="带皮带骨鸡腿（冻）"/>
    <s v="KG"/>
    <s v="公斤"/>
    <s v="费用类"/>
    <n v="4.38"/>
    <n v="15"/>
    <n v="65.7"/>
    <s v="Z02"/>
    <s v="成本-荤菜类"/>
  </r>
  <r>
    <d v="2025-04-01T00:00:00"/>
    <d v="2025-04-30T00:00:00"/>
    <s v="CA07"/>
    <s v="加拿大七店"/>
    <x v="22"/>
    <s v="猪排骨（员工餐， LB）"/>
    <s v="CL5"/>
    <s v="磅-美"/>
    <s v="费用类"/>
    <n v="2.69"/>
    <n v="123"/>
    <n v="330.87"/>
    <s v="Z02"/>
    <s v="成本-荤菜类"/>
  </r>
  <r>
    <d v="2025-04-01T00:00:00"/>
    <d v="2025-04-30T00:00:00"/>
    <s v="CA07"/>
    <s v="加拿大七店"/>
    <x v="23"/>
    <s v="白虾仁（41-50，4LB*6包/箱 ）"/>
    <s v="CL5"/>
    <s v="磅-美"/>
    <s v="费用类"/>
    <n v="5.21"/>
    <n v="120"/>
    <n v="625"/>
    <s v="Z02"/>
    <s v="成本-荤菜类"/>
  </r>
  <r>
    <d v="2025-04-01T00:00:00"/>
    <d v="2025-04-30T00:00:00"/>
    <s v="CA07"/>
    <s v="加拿大七店"/>
    <x v="24"/>
    <s v="冷冻巴沙鱼（12-14 ，10KG/箱）"/>
    <s v="KG"/>
    <s v="公斤"/>
    <s v="费用类"/>
    <n v="3.65"/>
    <n v="40"/>
    <n v="146"/>
    <s v="Z02"/>
    <s v="成本-荤菜类"/>
  </r>
  <r>
    <d v="2025-04-01T00:00:00"/>
    <d v="2025-04-30T00:00:00"/>
    <s v="CA07"/>
    <s v="加拿大七店"/>
    <x v="24"/>
    <s v="冷冻巴沙鱼（12-14 ，10KG/箱）"/>
    <s v="KG"/>
    <s v="公斤"/>
    <s v="成本类"/>
    <n v="3.65"/>
    <n v="313.27"/>
    <n v="1143.44"/>
    <s v="Z02"/>
    <s v="成本-荤菜类"/>
  </r>
  <r>
    <d v="2025-04-01T00:00:00"/>
    <d v="2025-04-30T00:00:00"/>
    <s v="CA07"/>
    <s v="加拿大七店"/>
    <x v="25"/>
    <s v="带头南美白虾（30-40，4LB*6包/箱 ）"/>
    <s v="CL5"/>
    <s v="磅-美"/>
    <s v="成本类"/>
    <n v="4.33"/>
    <n v="344"/>
    <n v="1490.67"/>
    <s v="Z02"/>
    <s v="成本-荤菜类"/>
  </r>
  <r>
    <d v="2025-04-01T00:00:00"/>
    <d v="2025-04-30T00:00:00"/>
    <s v="CA07"/>
    <s v="加拿大七店"/>
    <x v="26"/>
    <s v="蟹肉棒（巴芬湾，500G*20包/箱）"/>
    <s v="Z07"/>
    <s v="包"/>
    <s v="成本类"/>
    <n v="4.09"/>
    <n v="224"/>
    <n v="915.77"/>
    <s v="Z02"/>
    <s v="成本-荤菜类"/>
  </r>
  <r>
    <d v="2025-04-01T00:00:00"/>
    <d v="2025-04-30T00:00:00"/>
    <s v="CA07"/>
    <s v="加拿大七店"/>
    <x v="27"/>
    <s v="榴莲球（1KG*10包/箱）"/>
    <s v="KG"/>
    <s v="公斤"/>
    <s v="成本类"/>
    <n v="15.23"/>
    <n v="19"/>
    <n v="289.33999999999997"/>
    <s v="Z02"/>
    <s v="成本-荤菜类"/>
  </r>
  <r>
    <d v="2025-04-01T00:00:00"/>
    <d v="2025-04-30T00:00:00"/>
    <s v="CA07"/>
    <s v="加拿大七店"/>
    <x v="28"/>
    <s v="年糕条（品坊，1KG*10包/箱）"/>
    <s v="KG"/>
    <s v="公斤"/>
    <s v="成本类"/>
    <n v="3.5"/>
    <n v="38"/>
    <n v="133"/>
    <s v="Z07"/>
    <s v="服务费-小吃类"/>
  </r>
  <r>
    <d v="2025-04-01T00:00:00"/>
    <d v="2025-04-30T00:00:00"/>
    <s v="CA07"/>
    <s v="加拿大七店"/>
    <x v="29"/>
    <s v="乌冬面（六福，200G*30包/箱）"/>
    <s v="Z07"/>
    <s v="包"/>
    <s v="费用类"/>
    <n v="0.6"/>
    <n v="30"/>
    <n v="18"/>
    <s v="Z07"/>
    <s v="服务费-小吃类"/>
  </r>
  <r>
    <d v="2025-04-01T00:00:00"/>
    <d v="2025-04-30T00:00:00"/>
    <s v="CA07"/>
    <s v="加拿大七店"/>
    <x v="29"/>
    <s v="乌冬面（六福，200G*30包/箱）"/>
    <s v="Z07"/>
    <s v="包"/>
    <s v="成本类"/>
    <n v="0.6"/>
    <n v="630"/>
    <n v="378"/>
    <s v="Z07"/>
    <s v="服务费-小吃类"/>
  </r>
  <r>
    <d v="2025-04-01T00:00:00"/>
    <d v="2025-04-30T00:00:00"/>
    <s v="CA07"/>
    <s v="加拿大七店"/>
    <x v="30"/>
    <s v="豆皮（丰业，KG）"/>
    <s v="KG"/>
    <s v="公斤"/>
    <s v="成本类"/>
    <n v="9"/>
    <n v="135"/>
    <n v="1215"/>
    <s v="Z03"/>
    <s v="成本-素菜类"/>
  </r>
  <r>
    <d v="2025-04-01T00:00:00"/>
    <d v="2025-04-30T00:00:00"/>
    <s v="CA07"/>
    <s v="加拿大七店"/>
    <x v="31"/>
    <s v="毛豆荚（六福，454G*20包/件）"/>
    <s v="Z07"/>
    <s v="包"/>
    <s v="成本类"/>
    <n v="1.3"/>
    <n v="60"/>
    <n v="78"/>
    <s v="Z21"/>
    <s v="员工餐"/>
  </r>
  <r>
    <d v="2025-04-01T00:00:00"/>
    <d v="2025-04-30T00:00:00"/>
    <s v="CA07"/>
    <s v="加拿大七店"/>
    <x v="32"/>
    <s v="鱼豆腐（华生，2.5KG*4包/箱）"/>
    <s v="KG"/>
    <s v="公斤"/>
    <s v="成本类"/>
    <n v="8"/>
    <n v="127.5"/>
    <n v="1020"/>
    <s v="Z02"/>
    <s v="成本-荤菜类"/>
  </r>
  <r>
    <d v="2025-04-01T00:00:00"/>
    <d v="2025-04-30T00:00:00"/>
    <s v="CA07"/>
    <s v="加拿大七店"/>
    <x v="33"/>
    <s v="韭菜鸡蛋水饺（思念，500G*20包/箱）"/>
    <s v="Z07"/>
    <s v="包"/>
    <s v="成本类"/>
    <n v="2.85"/>
    <n v="76"/>
    <n v="216.85"/>
    <s v="Z21"/>
    <s v="员工餐"/>
  </r>
  <r>
    <d v="2025-04-01T00:00:00"/>
    <d v="2025-04-30T00:00:00"/>
    <s v="CA07"/>
    <s v="加拿大七店"/>
    <x v="34"/>
    <s v="鲜腐竹（LB）"/>
    <s v="CL5"/>
    <s v="磅-美"/>
    <s v="成本类"/>
    <n v="9.8000000000000007"/>
    <n v="223.86"/>
    <n v="2193.83"/>
    <s v="Z03"/>
    <s v="成本-素菜类"/>
  </r>
  <r>
    <d v="2025-04-01T00:00:00"/>
    <d v="2025-04-30T00:00:00"/>
    <s v="CA07"/>
    <s v="加拿大七店"/>
    <x v="35"/>
    <s v="滑豆腐（700G*12盒/箱）"/>
    <s v="Z06"/>
    <s v="盒"/>
    <s v="费用类"/>
    <n v="2.29"/>
    <n v="40"/>
    <n v="91.75"/>
    <s v="Z03"/>
    <s v="成本-素菜类"/>
  </r>
  <r>
    <d v="2025-04-01T00:00:00"/>
    <d v="2025-04-30T00:00:00"/>
    <s v="CA07"/>
    <s v="加拿大七店"/>
    <x v="35"/>
    <s v="滑豆腐（700G*12盒/箱）"/>
    <s v="Z06"/>
    <s v="盒"/>
    <s v="成本类"/>
    <n v="2.29"/>
    <n v="185"/>
    <n v="424.24"/>
    <s v="Z03"/>
    <s v="成本-素菜类"/>
  </r>
  <r>
    <d v="2025-04-01T00:00:00"/>
    <d v="2025-04-30T00:00:00"/>
    <s v="CA07"/>
    <s v="加拿大七店"/>
    <x v="36"/>
    <s v="甜豆浆（3.95L*4桶/箱）"/>
    <s v="Z36"/>
    <s v="桶"/>
    <s v="费用类"/>
    <n v="6.13"/>
    <n v="6"/>
    <n v="36.75"/>
    <s v="Z04"/>
    <s v="成本-酒水类"/>
  </r>
  <r>
    <d v="2025-04-01T00:00:00"/>
    <d v="2025-04-30T00:00:00"/>
    <s v="CA07"/>
    <s v="加拿大七店"/>
    <x v="36"/>
    <s v="甜豆浆（3.95L*4桶/箱）"/>
    <s v="Z36"/>
    <s v="桶"/>
    <s v="成本类"/>
    <n v="6.13"/>
    <n v="50"/>
    <n v="306.25"/>
    <s v="Z04"/>
    <s v="成本-酒水类"/>
  </r>
  <r>
    <d v="2025-04-01T00:00:00"/>
    <d v="2025-04-30T00:00:00"/>
    <s v="CA07"/>
    <s v="加拿大七店"/>
    <x v="37"/>
    <s v="迷你菊（紫色，5支/把）"/>
    <s v="Z24"/>
    <s v="把"/>
    <s v="成本类"/>
    <n v="10"/>
    <n v="67"/>
    <n v="670"/>
    <s v="Z04"/>
    <s v="成本-酒水类"/>
  </r>
  <r>
    <d v="2025-04-01T00:00:00"/>
    <d v="2025-04-30T00:00:00"/>
    <s v="CA07"/>
    <s v="加拿大七店"/>
    <x v="38"/>
    <s v="汕尾叶（鲜， 10支/把）"/>
    <s v="Z24"/>
    <s v="把"/>
    <s v="成本类"/>
    <n v="15"/>
    <n v="3"/>
    <n v="45"/>
    <s v="Z15"/>
    <s v="物料消耗-其他类"/>
  </r>
  <r>
    <d v="2025-04-01T00:00:00"/>
    <d v="2025-04-30T00:00:00"/>
    <s v="CA07"/>
    <s v="加拿大七店"/>
    <x v="39"/>
    <s v="玫瑰花（20支/把）"/>
    <s v="Z24"/>
    <s v="把"/>
    <s v="成本类"/>
    <n v="22.99"/>
    <n v="12"/>
    <n v="275.88"/>
    <s v="Z15"/>
    <s v="物料消耗-其他类"/>
  </r>
  <r>
    <d v="2025-04-01T00:00:00"/>
    <d v="2025-04-30T00:00:00"/>
    <s v="CA07"/>
    <s v="加拿大七店"/>
    <x v="40"/>
    <s v="白萝卜（20KG/箱）"/>
    <s v="KG"/>
    <s v="公斤"/>
    <s v="成本类"/>
    <n v="1.86"/>
    <n v="150"/>
    <n v="279.31"/>
    <s v="Z03"/>
    <s v="成本-素菜类"/>
  </r>
  <r>
    <d v="2025-04-01T00:00:00"/>
    <d v="2025-04-30T00:00:00"/>
    <s v="CA07"/>
    <s v="加拿大七店"/>
    <x v="41"/>
    <s v="菠菜（24把/箱）"/>
    <s v="Z24"/>
    <s v="把"/>
    <s v="成本类"/>
    <n v="1.1599999999999999"/>
    <n v="1272"/>
    <n v="1480.93"/>
    <s v="Z03"/>
    <s v="成本-素菜类"/>
  </r>
  <r>
    <d v="2025-04-01T00:00:00"/>
    <d v="2025-04-30T00:00:00"/>
    <s v="CA07"/>
    <s v="加拿大七店"/>
    <x v="42"/>
    <s v="鲜冬菇（5LB/箱）"/>
    <s v="CL5"/>
    <s v="磅-美"/>
    <s v="成本类"/>
    <n v="8.41"/>
    <n v="65"/>
    <n v="546.41999999999996"/>
    <s v="Z03"/>
    <s v="成本-素菜类"/>
  </r>
  <r>
    <d v="2025-04-01T00:00:00"/>
    <d v="2025-04-30T00:00:00"/>
    <s v="CA07"/>
    <s v="加拿大七店"/>
    <x v="43"/>
    <s v="鲜冬菇（LB）"/>
    <s v="CL5"/>
    <s v="磅-美"/>
    <s v="费用类"/>
    <n v="2.95"/>
    <n v="5.4"/>
    <n v="15.93"/>
    <s v="Z03"/>
    <s v="成本-素菜类"/>
  </r>
  <r>
    <d v="2025-04-01T00:00:00"/>
    <d v="2025-04-30T00:00:00"/>
    <s v="CA07"/>
    <s v="加拿大七店"/>
    <x v="43"/>
    <s v="鲜冬菇（LB）"/>
    <s v="CL5"/>
    <s v="磅-美"/>
    <s v="成本类"/>
    <n v="4.4000000000000004"/>
    <n v="5"/>
    <n v="22"/>
    <s v="Z03"/>
    <s v="成本-素菜类"/>
  </r>
  <r>
    <d v="2025-04-01T00:00:00"/>
    <d v="2025-04-30T00:00:00"/>
    <s v="CA07"/>
    <s v="加拿大七店"/>
    <x v="44"/>
    <s v="杏鲍菇（300G*14包/箱）"/>
    <s v="Z07"/>
    <s v="包"/>
    <s v="成本类"/>
    <n v="2.09"/>
    <n v="336"/>
    <n v="701.76"/>
    <s v="Z03"/>
    <s v="成本-素菜类"/>
  </r>
  <r>
    <d v="2025-04-01T00:00:00"/>
    <d v="2025-04-30T00:00:00"/>
    <s v="CA07"/>
    <s v="加拿大七店"/>
    <x v="45"/>
    <s v="青葱（48把/箱）"/>
    <s v="Z24"/>
    <s v="把"/>
    <s v="成本类"/>
    <n v="0.42"/>
    <n v="2928"/>
    <n v="1224.8399999999999"/>
    <s v="Z05"/>
    <s v="成本-其他类"/>
  </r>
  <r>
    <d v="2025-04-01T00:00:00"/>
    <d v="2025-04-30T00:00:00"/>
    <s v="CA07"/>
    <s v="加拿大七店"/>
    <x v="46"/>
    <s v="甜玉米（44-48根/箱）"/>
    <s v="Z34"/>
    <s v="箱"/>
    <s v="成本类"/>
    <n v="47.22"/>
    <n v="54.5"/>
    <n v="2573.62"/>
    <s v="Z03"/>
    <s v="成本-素菜类"/>
  </r>
  <r>
    <d v="2025-04-01T00:00:00"/>
    <d v="2025-04-30T00:00:00"/>
    <s v="CA07"/>
    <s v="加拿大七店"/>
    <x v="47"/>
    <s v="蒿子秆（20LB/箱）"/>
    <s v="CL5"/>
    <s v="磅-美"/>
    <s v="成本类"/>
    <n v="1.9"/>
    <n v="600"/>
    <n v="1141.94"/>
    <s v="Z03"/>
    <s v="成本-素菜类"/>
  </r>
  <r>
    <d v="2025-04-01T00:00:00"/>
    <d v="2025-04-30T00:00:00"/>
    <s v="CA07"/>
    <s v="加拿大七店"/>
    <x v="48"/>
    <s v="生菜（24颗/箱）"/>
    <s v="Z32"/>
    <s v="颗"/>
    <s v="费用类"/>
    <n v="1.1599999999999999"/>
    <n v="48"/>
    <n v="55.6"/>
    <s v="Z03"/>
    <s v="成本-素菜类"/>
  </r>
  <r>
    <d v="2025-04-01T00:00:00"/>
    <d v="2025-04-30T00:00:00"/>
    <s v="CA07"/>
    <s v="加拿大七店"/>
    <x v="48"/>
    <s v="生菜（24颗/箱）"/>
    <s v="Z32"/>
    <s v="颗"/>
    <s v="成本类"/>
    <n v="1.1599999999999999"/>
    <n v="1200"/>
    <n v="1389.9"/>
    <s v="Z03"/>
    <s v="成本-素菜类"/>
  </r>
  <r>
    <d v="2025-04-01T00:00:00"/>
    <d v="2025-04-30T00:00:00"/>
    <s v="CA07"/>
    <s v="加拿大七店"/>
    <x v="49"/>
    <s v="芋头（38-40LB/箱）"/>
    <s v="Z34"/>
    <s v="箱"/>
    <s v="成本类"/>
    <n v="77.48"/>
    <n v="9.6999999999999993"/>
    <n v="751.54"/>
    <s v="Z03"/>
    <s v="成本-素菜类"/>
  </r>
  <r>
    <d v="2025-04-01T00:00:00"/>
    <d v="2025-04-30T00:00:00"/>
    <s v="CA07"/>
    <s v="加拿大七店"/>
    <x v="50"/>
    <s v="西芹（24颗/箱）"/>
    <s v="Z32"/>
    <s v="颗"/>
    <s v="成本类"/>
    <n v="1"/>
    <n v="240"/>
    <n v="239"/>
    <s v="Z05"/>
    <s v="成本-其他类"/>
  </r>
  <r>
    <d v="2025-04-01T00:00:00"/>
    <d v="2025-04-30T00:00:00"/>
    <s v="CA07"/>
    <s v="加拿大七店"/>
    <x v="51"/>
    <s v="圆白菜/高丽菜（LB）"/>
    <s v="CL5"/>
    <s v="磅-美"/>
    <s v="费用类"/>
    <n v="0.65"/>
    <n v="27.5"/>
    <n v="17.88"/>
    <s v="Z03"/>
    <s v="成本-素菜类"/>
  </r>
  <r>
    <d v="2025-04-01T00:00:00"/>
    <d v="2025-04-30T00:00:00"/>
    <s v="CA07"/>
    <s v="加拿大七店"/>
    <x v="52"/>
    <s v="白洋葱（50LB/箱）"/>
    <s v="CL5"/>
    <s v="磅-美"/>
    <s v="费用类"/>
    <n v="0.27"/>
    <n v="5"/>
    <n v="1.35"/>
    <s v="Z07"/>
    <s v="服务费-小吃类"/>
  </r>
  <r>
    <d v="2025-04-01T00:00:00"/>
    <d v="2025-04-30T00:00:00"/>
    <s v="CA07"/>
    <s v="加拿大七店"/>
    <x v="52"/>
    <s v="白洋葱（50LB/箱）"/>
    <s v="CL5"/>
    <s v="磅-美"/>
    <s v="成本类"/>
    <n v="0.27"/>
    <n v="325"/>
    <n v="86.81"/>
    <s v="Z07"/>
    <s v="服务费-小吃类"/>
  </r>
  <r>
    <d v="2025-04-01T00:00:00"/>
    <d v="2025-04-30T00:00:00"/>
    <s v="CA07"/>
    <s v="加拿大七店"/>
    <x v="53"/>
    <s v="老姜（30LB/箱）"/>
    <s v="CL5"/>
    <s v="磅-美"/>
    <s v="成本类"/>
    <n v="1.2"/>
    <n v="180"/>
    <n v="216.75"/>
    <s v="Z05"/>
    <s v="成本-其他类"/>
  </r>
  <r>
    <d v="2025-04-01T00:00:00"/>
    <d v="2025-04-30T00:00:00"/>
    <s v="CA07"/>
    <s v="加拿大七店"/>
    <x v="54"/>
    <s v="蕃茜（把）"/>
    <s v="Z24"/>
    <s v="把"/>
    <s v="成本类"/>
    <n v="0.6"/>
    <n v="145"/>
    <n v="87.1"/>
    <s v="Z03"/>
    <s v="成本-素菜类"/>
  </r>
  <r>
    <d v="2025-04-01T00:00:00"/>
    <d v="2025-04-30T00:00:00"/>
    <s v="CA07"/>
    <s v="加拿大七店"/>
    <x v="55"/>
    <s v="蒜肉（5LB*6包/箱）"/>
    <s v="CL5"/>
    <s v="磅-美"/>
    <s v="成本类"/>
    <n v="1.8"/>
    <n v="540"/>
    <n v="972.82"/>
    <s v="Z05"/>
    <s v="成本-其他类"/>
  </r>
  <r>
    <d v="2025-04-01T00:00:00"/>
    <d v="2025-04-30T00:00:00"/>
    <s v="CA07"/>
    <s v="加拿大七店"/>
    <x v="56"/>
    <s v="朝天椒（11LB/箱）"/>
    <s v="CL5"/>
    <s v="磅-美"/>
    <s v="成本类"/>
    <n v="7.6"/>
    <n v="187"/>
    <n v="1422"/>
    <s v="Z05"/>
    <s v="成本-其他类"/>
  </r>
  <r>
    <d v="2025-04-01T00:00:00"/>
    <d v="2025-04-30T00:00:00"/>
    <s v="CA07"/>
    <s v="加拿大七店"/>
    <x v="57"/>
    <s v="日本小黄瓜（20LB/箱）"/>
    <s v="CL5"/>
    <s v="磅-美"/>
    <s v="成本类"/>
    <n v="1.79"/>
    <n v="280"/>
    <n v="501.07"/>
    <s v="Z03"/>
    <s v="成本-素菜类"/>
  </r>
  <r>
    <d v="2025-04-01T00:00:00"/>
    <d v="2025-04-30T00:00:00"/>
    <s v="CA07"/>
    <s v="加拿大七店"/>
    <x v="58"/>
    <s v="橙子（40LB/箱）"/>
    <s v="CL5"/>
    <s v="磅-美"/>
    <s v="成本类"/>
    <n v="1.42"/>
    <n v="1830.8"/>
    <n v="2591.64"/>
    <s v="Z06"/>
    <s v="服务费-水果类"/>
  </r>
  <r>
    <d v="2025-04-01T00:00:00"/>
    <d v="2025-04-30T00:00:00"/>
    <s v="CA07"/>
    <s v="加拿大七店"/>
    <x v="59"/>
    <s v="柠檬（115-140个/箱）"/>
    <s v="Z34"/>
    <s v="箱"/>
    <s v="成本类"/>
    <n v="32.47"/>
    <n v="6.7"/>
    <n v="217.54"/>
    <s v="Z06"/>
    <s v="服务费-水果类"/>
  </r>
  <r>
    <d v="2025-04-01T00:00:00"/>
    <d v="2025-04-30T00:00:00"/>
    <s v="CA07"/>
    <s v="加拿大七店"/>
    <x v="60"/>
    <s v="苹果（40LB/箱）"/>
    <s v="CL5"/>
    <s v="磅-美"/>
    <s v="成本类"/>
    <n v="1.05"/>
    <n v="1440"/>
    <n v="1512.02"/>
    <s v="Z06"/>
    <s v="服务费-水果类"/>
  </r>
  <r>
    <d v="2025-04-01T00:00:00"/>
    <d v="2025-04-30T00:00:00"/>
    <s v="CA07"/>
    <s v="加拿大七店"/>
    <x v="61"/>
    <s v="咖色鸡蛋（30颗*6板/箱）"/>
    <s v="Z26"/>
    <s v="板"/>
    <s v="费用类"/>
    <n v="11.9"/>
    <n v="80"/>
    <n v="952.03"/>
    <s v="Z02"/>
    <s v="成本-荤菜类"/>
  </r>
  <r>
    <d v="2025-04-01T00:00:00"/>
    <d v="2025-04-30T00:00:00"/>
    <s v="CA07"/>
    <s v="加拿大七店"/>
    <x v="61"/>
    <s v="咖色鸡蛋（30颗*6板/箱）"/>
    <s v="Z26"/>
    <s v="板"/>
    <s v="成本类"/>
    <n v="11.9"/>
    <n v="112"/>
    <n v="1332.91"/>
    <s v="Z02"/>
    <s v="成本-荤菜类"/>
  </r>
  <r>
    <d v="2025-04-01T00:00:00"/>
    <d v="2025-04-30T00:00:00"/>
    <s v="CA07"/>
    <s v="加拿大七店"/>
    <x v="62"/>
    <s v="茄子（30LB/箱）"/>
    <s v="CL5"/>
    <s v="磅-美"/>
    <s v="费用类"/>
    <n v="1.8"/>
    <n v="29"/>
    <n v="52.2"/>
    <s v="Z21"/>
    <s v="员工餐"/>
  </r>
  <r>
    <d v="2025-04-01T00:00:00"/>
    <d v="2025-04-30T00:00:00"/>
    <s v="CA07"/>
    <s v="加拿大七店"/>
    <x v="63"/>
    <s v="西瓜（LB）"/>
    <s v="CL5"/>
    <s v="磅-美"/>
    <s v="成本类"/>
    <n v="0.9"/>
    <n v="25.3"/>
    <n v="22.77"/>
    <s v="Z06"/>
    <s v="服务费-水果类"/>
  </r>
  <r>
    <d v="2025-04-01T00:00:00"/>
    <d v="2025-04-30T00:00:00"/>
    <s v="CA07"/>
    <s v="加拿大七店"/>
    <x v="64"/>
    <s v="鲜淮山药（10KG/箱）"/>
    <s v="KG"/>
    <s v="公斤"/>
    <s v="成本类"/>
    <n v="6.41"/>
    <n v="55"/>
    <n v="352.48"/>
    <s v="Z03"/>
    <s v="成本-素菜类"/>
  </r>
  <r>
    <d v="2025-04-01T00:00:00"/>
    <d v="2025-04-30T00:00:00"/>
    <s v="CA07"/>
    <s v="加拿大七店"/>
    <x v="65"/>
    <s v="青瓜（箱）"/>
    <s v="Z34"/>
    <s v="箱"/>
    <s v="成本类"/>
    <n v="32"/>
    <n v="1"/>
    <n v="32"/>
    <s v="Z06"/>
    <s v="服务费-水果类"/>
  </r>
  <r>
    <d v="2025-04-01T00:00:00"/>
    <d v="2025-04-30T00:00:00"/>
    <s v="CA07"/>
    <s v="加拿大七店"/>
    <x v="66"/>
    <s v="葡萄干（1814G/盒）"/>
    <s v="Z06"/>
    <s v="盒"/>
    <s v="成本类"/>
    <n v="19.53"/>
    <n v="6"/>
    <n v="117.18"/>
    <s v="Z05"/>
    <s v="成本-其他类"/>
  </r>
  <r>
    <d v="2025-04-01T00:00:00"/>
    <d v="2025-04-30T00:00:00"/>
    <s v="CA07"/>
    <s v="加拿大七店"/>
    <x v="67"/>
    <s v="沙律酱（4L/桶）"/>
    <s v="Z36"/>
    <s v="桶"/>
    <s v="成本类"/>
    <n v="21.97"/>
    <n v="9"/>
    <n v="197.69"/>
    <s v="Z05"/>
    <s v="成本-其他类"/>
  </r>
  <r>
    <d v="2025-04-01T00:00:00"/>
    <d v="2025-04-30T00:00:00"/>
    <s v="CA07"/>
    <s v="加拿大七店"/>
    <x v="68"/>
    <s v="黄龙火锅宽粉（240G*50包/箱）"/>
    <s v="Z07"/>
    <s v="包"/>
    <s v="成本类"/>
    <n v="0.6"/>
    <n v="1090"/>
    <n v="657.84"/>
    <s v="Z07"/>
    <s v="服务费-小吃类"/>
  </r>
  <r>
    <d v="2025-04-01T00:00:00"/>
    <d v="2025-04-30T00:00:00"/>
    <s v="CA07"/>
    <s v="加拿大七店"/>
    <x v="69"/>
    <s v="香草冰激凌（115ML*24盒/箱）"/>
    <s v="Z06"/>
    <s v="盒"/>
    <s v="成本类"/>
    <n v="0.53"/>
    <n v="5400"/>
    <n v="2880"/>
    <s v="Z10"/>
    <s v="服务费-其他类"/>
  </r>
  <r>
    <d v="2025-04-01T00:00:00"/>
    <d v="2025-04-30T00:00:00"/>
    <s v="CA07"/>
    <s v="加拿大七店"/>
    <x v="70"/>
    <s v="草莓冰激凌（115ML*24盒/箱）"/>
    <s v="Z06"/>
    <s v="盒"/>
    <s v="成本类"/>
    <n v="0.53"/>
    <n v="4968"/>
    <n v="2618.5500000000002"/>
    <s v="Z10"/>
    <s v="服务费-其他类"/>
  </r>
  <r>
    <d v="2025-04-01T00:00:00"/>
    <d v="2025-04-30T00:00:00"/>
    <s v="CA07"/>
    <s v="加拿大七店"/>
    <x v="71"/>
    <s v="玉米粒罐头（2.84L*6桶/箱）"/>
    <s v="Z36"/>
    <s v="桶"/>
    <s v="成本类"/>
    <n v="11.29"/>
    <n v="59"/>
    <n v="666.33"/>
    <s v="Z05"/>
    <s v="成本-其他类"/>
  </r>
  <r>
    <d v="2025-04-01T00:00:00"/>
    <d v="2025-04-30T00:00:00"/>
    <s v="CA07"/>
    <s v="加拿大七店"/>
    <x v="72"/>
    <s v="面粉（20KG/包）"/>
    <s v="KG"/>
    <s v="公斤"/>
    <s v="成本类"/>
    <n v="1.52"/>
    <n v="100"/>
    <n v="151.75"/>
    <s v="Z07"/>
    <s v="服务费-小吃类"/>
  </r>
  <r>
    <d v="2025-04-01T00:00:00"/>
    <d v="2025-04-30T00:00:00"/>
    <s v="CA07"/>
    <s v="加拿大七店"/>
    <x v="73"/>
    <s v="黄豆（LB）"/>
    <s v="CL5"/>
    <s v="磅-美"/>
    <s v="成本类"/>
    <n v="0.95"/>
    <n v="25.91"/>
    <n v="24.61"/>
    <s v="Z05"/>
    <s v="成本-其他类"/>
  </r>
  <r>
    <d v="2025-04-01T00:00:00"/>
    <d v="2025-04-30T00:00:00"/>
    <s v="CA07"/>
    <s v="加拿大七店"/>
    <x v="74"/>
    <s v="食盐（加拿大，20 KG/包）"/>
    <s v="KG"/>
    <s v="公斤"/>
    <s v="成本类"/>
    <n v="0.45"/>
    <n v="65"/>
    <n v="29.5"/>
    <s v="Z05"/>
    <s v="成本-其他类"/>
  </r>
  <r>
    <d v="2025-04-01T00:00:00"/>
    <d v="2025-04-30T00:00:00"/>
    <s v="CA07"/>
    <s v="加拿大七店"/>
    <x v="75"/>
    <s v="白砂糖（20K/包）"/>
    <s v="KG"/>
    <s v="公斤"/>
    <s v="成本类"/>
    <n v="1.5"/>
    <n v="110"/>
    <n v="165.23"/>
    <s v="Z05"/>
    <s v="成本-其他类"/>
  </r>
  <r>
    <d v="2025-04-01T00:00:00"/>
    <d v="2025-04-30T00:00:00"/>
    <s v="CA07"/>
    <s v="加拿大七店"/>
    <x v="76"/>
    <s v="灵鹿红糖（400G*48包/箱）"/>
    <s v="Z07"/>
    <s v="包"/>
    <s v="成本类"/>
    <n v="1.35"/>
    <n v="192"/>
    <n v="260"/>
    <s v="Z05"/>
    <s v="成本-其他类"/>
  </r>
  <r>
    <d v="2025-04-01T00:00:00"/>
    <d v="2025-04-30T00:00:00"/>
    <s v="CA07"/>
    <s v="加拿大七店"/>
    <x v="77"/>
    <s v="地瓜淀粉（灵鹿 400G*40包/箱）"/>
    <s v="Z07"/>
    <s v="包"/>
    <s v="成本类"/>
    <n v="1.63"/>
    <n v="216"/>
    <n v="351"/>
    <s v="Z03"/>
    <s v="成本-素菜类"/>
  </r>
  <r>
    <d v="2025-04-01T00:00:00"/>
    <d v="2025-04-30T00:00:00"/>
    <s v="CA07"/>
    <s v="加拿大七店"/>
    <x v="78"/>
    <s v="色拉油（16L/桶）"/>
    <s v="L"/>
    <s v="升"/>
    <s v="成本类"/>
    <n v="2.06"/>
    <n v="1408"/>
    <n v="2904"/>
    <s v="Z05"/>
    <s v="成本-其他类"/>
  </r>
  <r>
    <d v="2025-04-01T00:00:00"/>
    <d v="2025-04-30T00:00:00"/>
    <s v="CA07"/>
    <s v="加拿大七店"/>
    <x v="79"/>
    <s v="桂皮（LB）"/>
    <s v="CL5"/>
    <s v="磅-美"/>
    <s v="成本类"/>
    <n v="7.5"/>
    <n v="4"/>
    <n v="30"/>
    <s v="Z05"/>
    <s v="成本-其他类"/>
  </r>
  <r>
    <d v="2025-04-01T00:00:00"/>
    <d v="2025-04-30T00:00:00"/>
    <s v="CA07"/>
    <s v="加拿大七店"/>
    <x v="80"/>
    <s v="木耳（5LB/包）"/>
    <s v="CL5"/>
    <s v="磅-美"/>
    <s v="成本类"/>
    <n v="10.75"/>
    <n v="14"/>
    <n v="150.55000000000001"/>
    <s v="Z03"/>
    <s v="成本-素菜类"/>
  </r>
  <r>
    <d v="2025-04-01T00:00:00"/>
    <d v="2025-04-30T00:00:00"/>
    <s v="CA07"/>
    <s v="加拿大七店"/>
    <x v="81"/>
    <s v="枸杞（LB）"/>
    <s v="CL5"/>
    <s v="磅-美"/>
    <s v="成本类"/>
    <n v="6.5"/>
    <n v="15"/>
    <n v="97.5"/>
    <s v="Z05"/>
    <s v="成本-其他类"/>
  </r>
  <r>
    <d v="2025-04-01T00:00:00"/>
    <d v="2025-04-30T00:00:00"/>
    <s v="CA07"/>
    <s v="加拿大七店"/>
    <x v="82"/>
    <s v="大枣（去核，LB）"/>
    <s v="CL5"/>
    <s v="磅-美"/>
    <s v="成本类"/>
    <n v="4"/>
    <n v="95"/>
    <n v="380"/>
    <s v="Z05"/>
    <s v="成本-其他类"/>
  </r>
  <r>
    <d v="2025-04-01T00:00:00"/>
    <d v="2025-04-30T00:00:00"/>
    <s v="CA07"/>
    <s v="加拿大七店"/>
    <x v="83"/>
    <s v="小茴香（LB）"/>
    <s v="CL5"/>
    <s v="磅-美"/>
    <s v="成本类"/>
    <n v="5.25"/>
    <n v="1"/>
    <n v="5.25"/>
    <s v="Z03"/>
    <s v="成本-素菜类"/>
  </r>
  <r>
    <d v="2025-04-01T00:00:00"/>
    <d v="2025-04-30T00:00:00"/>
    <s v="CA07"/>
    <s v="加拿大七店"/>
    <x v="84"/>
    <s v="草果（LB）"/>
    <s v="CL5"/>
    <s v="磅-美"/>
    <s v="成本类"/>
    <n v="12.5"/>
    <n v="6"/>
    <n v="75"/>
    <s v="Z05"/>
    <s v="成本-其他类"/>
  </r>
  <r>
    <d v="2025-04-01T00:00:00"/>
    <d v="2025-04-30T00:00:00"/>
    <s v="CA07"/>
    <s v="加拿大七店"/>
    <x v="85"/>
    <s v="白芷（LB）"/>
    <s v="CL5"/>
    <s v="磅-美"/>
    <s v="成本类"/>
    <n v="7.95"/>
    <n v="1"/>
    <n v="7.95"/>
    <s v="Z03"/>
    <s v="成本-素菜类"/>
  </r>
  <r>
    <d v="2025-04-01T00:00:00"/>
    <d v="2025-04-30T00:00:00"/>
    <s v="CA07"/>
    <s v="加拿大七店"/>
    <x v="86"/>
    <s v="香叶（LB）"/>
    <s v="CL5"/>
    <s v="磅-美"/>
    <s v="成本类"/>
    <n v="7.25"/>
    <n v="1"/>
    <n v="7.25"/>
    <s v="Z05"/>
    <s v="成本-其他类"/>
  </r>
  <r>
    <d v="2025-04-01T00:00:00"/>
    <d v="2025-04-30T00:00:00"/>
    <s v="CA07"/>
    <s v="加拿大七店"/>
    <x v="87"/>
    <s v="干青花椒（LB）"/>
    <s v="CL5"/>
    <s v="磅-美"/>
    <s v="成本类"/>
    <n v="12.5"/>
    <n v="1"/>
    <n v="12.5"/>
    <s v="Z05"/>
    <s v="成本-其他类"/>
  </r>
  <r>
    <d v="2025-04-01T00:00:00"/>
    <d v="2025-04-30T00:00:00"/>
    <s v="CA07"/>
    <s v="加拿大七店"/>
    <x v="88"/>
    <s v="干香菇（5LB/包）"/>
    <s v="CL5"/>
    <s v="磅-美"/>
    <s v="成本类"/>
    <n v="8.33"/>
    <n v="29.16"/>
    <n v="242.87"/>
    <s v="Z03"/>
    <s v="成本-素菜类"/>
  </r>
  <r>
    <d v="2025-04-01T00:00:00"/>
    <d v="2025-04-30T00:00:00"/>
    <s v="CA07"/>
    <s v="加拿大七店"/>
    <x v="89"/>
    <s v="八角（LB）"/>
    <s v="CL5"/>
    <s v="磅-美"/>
    <s v="成本类"/>
    <n v="9.5"/>
    <n v="7"/>
    <n v="66.5"/>
    <s v="Z05"/>
    <s v="成本-其他类"/>
  </r>
  <r>
    <d v="2025-04-01T00:00:00"/>
    <d v="2025-04-30T00:00:00"/>
    <s v="CA07"/>
    <s v="加拿大七店"/>
    <x v="90"/>
    <s v="白扣（LB）"/>
    <s v="CL5"/>
    <s v="磅-美"/>
    <s v="成本类"/>
    <n v="18.5"/>
    <n v="1"/>
    <n v="18.5"/>
    <s v="Z05"/>
    <s v="成本-其他类"/>
  </r>
  <r>
    <d v="2025-04-01T00:00:00"/>
    <d v="2025-04-30T00:00:00"/>
    <s v="CA07"/>
    <s v="加拿大七店"/>
    <x v="91"/>
    <s v="四川辣椒面（1LB/包）"/>
    <s v="CL5"/>
    <s v="磅-美"/>
    <s v="成本类"/>
    <n v="5.45"/>
    <n v="21"/>
    <n v="114.45"/>
    <s v="Z05"/>
    <s v="成本-其他类"/>
  </r>
  <r>
    <d v="2025-04-01T00:00:00"/>
    <d v="2025-04-30T00:00:00"/>
    <s v="CA07"/>
    <s v="加拿大七店"/>
    <x v="92"/>
    <s v="红花椒（LB）"/>
    <s v="CL5"/>
    <s v="磅-美"/>
    <s v="成本类"/>
    <n v="12.5"/>
    <n v="8"/>
    <n v="100"/>
    <s v="Z05"/>
    <s v="成本-其他类"/>
  </r>
  <r>
    <d v="2025-04-01T00:00:00"/>
    <d v="2025-04-30T00:00:00"/>
    <s v="CA07"/>
    <s v="加拿大七店"/>
    <x v="93"/>
    <s v="十三香（王守义，45G*10盒/包）"/>
    <s v="Z06"/>
    <s v="盒"/>
    <s v="成本类"/>
    <n v="0.9"/>
    <n v="10"/>
    <n v="9"/>
    <s v="Z05"/>
    <s v="成本-其他类"/>
  </r>
  <r>
    <d v="2025-04-01T00:00:00"/>
    <d v="2025-04-30T00:00:00"/>
    <s v="CA07"/>
    <s v="加拿大七店"/>
    <x v="94"/>
    <s v="孜然粉（454G/包）"/>
    <s v="Z07"/>
    <s v="包"/>
    <s v="成本类"/>
    <n v="6.85"/>
    <n v="4"/>
    <n v="27.4"/>
    <s v="Z05"/>
    <s v="成本-其他类"/>
  </r>
  <r>
    <d v="2025-04-01T00:00:00"/>
    <d v="2025-04-30T00:00:00"/>
    <s v="CA07"/>
    <s v="加拿大七店"/>
    <x v="95"/>
    <s v="白胡椒粉（LB）"/>
    <s v="CL5"/>
    <s v="磅-美"/>
    <s v="成本类"/>
    <n v="7.75"/>
    <n v="6"/>
    <n v="46.48"/>
    <s v="Z05"/>
    <s v="成本-其他类"/>
  </r>
  <r>
    <d v="2025-04-01T00:00:00"/>
    <d v="2025-04-30T00:00:00"/>
    <s v="CA07"/>
    <s v="加拿大七店"/>
    <x v="96"/>
    <s v="黑胡椒碎（细，5LB/包）"/>
    <s v="CL5"/>
    <s v="磅-美"/>
    <s v="成本类"/>
    <n v="9.6"/>
    <n v="1"/>
    <n v="9.6"/>
    <s v="Z05"/>
    <s v="成本-其他类"/>
  </r>
  <r>
    <d v="2025-04-01T00:00:00"/>
    <d v="2025-04-30T00:00:00"/>
    <s v="CA07"/>
    <s v="加拿大七店"/>
    <x v="97"/>
    <s v="脱皮熟芝麻（5LB/包）"/>
    <s v="CL5"/>
    <s v="磅-美"/>
    <s v="成本类"/>
    <n v="4.3"/>
    <n v="35"/>
    <n v="150.5"/>
    <s v="Z05"/>
    <s v="成本-其他类"/>
  </r>
  <r>
    <d v="2025-04-01T00:00:00"/>
    <d v="2025-04-30T00:00:00"/>
    <s v="CA07"/>
    <s v="加拿大七店"/>
    <x v="98"/>
    <s v="响铃卷（168G*15盒/箱）"/>
    <s v="Z06"/>
    <s v="盒"/>
    <s v="成本类"/>
    <n v="2.93"/>
    <n v="525"/>
    <n v="1540"/>
    <s v="Z03"/>
    <s v="成本-素菜类"/>
  </r>
  <r>
    <d v="2025-04-01T00:00:00"/>
    <d v="2025-04-30T00:00:00"/>
    <s v="CA07"/>
    <s v="加拿大七店"/>
    <x v="99"/>
    <s v="午餐肉（NONGSHIM， 340G*24盒/箱）"/>
    <s v="Z06"/>
    <s v="盒"/>
    <s v="费用类"/>
    <n v="3.04"/>
    <n v="8"/>
    <n v="24.32"/>
    <s v="Z02"/>
    <s v="成本-荤菜类"/>
  </r>
  <r>
    <d v="2025-04-01T00:00:00"/>
    <d v="2025-04-30T00:00:00"/>
    <s v="CA07"/>
    <s v="加拿大七店"/>
    <x v="99"/>
    <s v="午餐肉（NONGSHIM， 340G*24盒/箱）"/>
    <s v="Z06"/>
    <s v="盒"/>
    <s v="成本类"/>
    <n v="3.04"/>
    <n v="496"/>
    <n v="1508.68"/>
    <s v="Z02"/>
    <s v="成本-荤菜类"/>
  </r>
  <r>
    <d v="2025-04-01T00:00:00"/>
    <d v="2025-04-30T00:00:00"/>
    <s v="CA07"/>
    <s v="加拿大七店"/>
    <x v="100"/>
    <s v="鹌鹑蛋（850G*12桶/箱）"/>
    <s v="Z36"/>
    <s v="桶"/>
    <s v="成本类"/>
    <n v="3.5"/>
    <n v="588"/>
    <n v="2058"/>
    <s v="Z02"/>
    <s v="成本-荤菜类"/>
  </r>
  <r>
    <d v="2025-04-01T00:00:00"/>
    <d v="2025-04-30T00:00:00"/>
    <s v="CA07"/>
    <s v="加拿大七店"/>
    <x v="101"/>
    <s v="花生酱（10KG/桶）"/>
    <s v="KG"/>
    <s v="公斤"/>
    <s v="成本类"/>
    <n v="3.8"/>
    <n v="190"/>
    <n v="722"/>
    <s v="Z05"/>
    <s v="成本-其他类"/>
  </r>
  <r>
    <d v="2025-04-01T00:00:00"/>
    <d v="2025-04-30T00:00:00"/>
    <s v="CA07"/>
    <s v="加拿大七店"/>
    <x v="102"/>
    <s v="海鲜酱（李锦记，1.75L*6瓶/箱）"/>
    <s v="BOT"/>
    <s v="瓶"/>
    <s v="成本类"/>
    <n v="8.43"/>
    <n v="14"/>
    <n v="118.07"/>
    <s v="Z05"/>
    <s v="成本-其他类"/>
  </r>
  <r>
    <d v="2025-04-01T00:00:00"/>
    <d v="2025-04-30T00:00:00"/>
    <s v="CA07"/>
    <s v="加拿大七店"/>
    <x v="103"/>
    <s v="头抽（华美，15KG*2桶/箱）"/>
    <s v="KG"/>
    <s v="公斤"/>
    <s v="成本类"/>
    <n v="2.6"/>
    <n v="15"/>
    <n v="39"/>
    <s v="Z05"/>
    <s v="成本-其他类"/>
  </r>
  <r>
    <d v="2025-04-01T00:00:00"/>
    <d v="2025-04-30T00:00:00"/>
    <s v="CA07"/>
    <s v="加拿大七店"/>
    <x v="104"/>
    <s v="万字酱油（18.9L/桶）"/>
    <s v="Z36"/>
    <s v="桶"/>
    <s v="成本类"/>
    <n v="45.5"/>
    <n v="0.4"/>
    <n v="18.2"/>
    <s v="Z05"/>
    <s v="成本-其他类"/>
  </r>
  <r>
    <d v="2025-04-01T00:00:00"/>
    <d v="2025-04-30T00:00:00"/>
    <s v="CA07"/>
    <s v="加拿大七店"/>
    <x v="105"/>
    <s v="柠檬汁（945ML/瓶）"/>
    <s v="BOT"/>
    <s v="瓶"/>
    <s v="成本类"/>
    <n v="3.5"/>
    <n v="5"/>
    <n v="17.5"/>
    <s v="Z05"/>
    <s v="成本-其他类"/>
  </r>
  <r>
    <d v="2025-04-01T00:00:00"/>
    <d v="2025-04-30T00:00:00"/>
    <s v="CA07"/>
    <s v="加拿大七店"/>
    <x v="106"/>
    <s v="鱿鱼标（700ML*12瓶/箱）"/>
    <s v="BOT"/>
    <s v="瓶"/>
    <s v="成本类"/>
    <n v="2.67"/>
    <n v="6"/>
    <n v="16"/>
    <s v="Z02"/>
    <s v="成本-荤菜类"/>
  </r>
  <r>
    <d v="2025-04-01T00:00:00"/>
    <d v="2025-04-30T00:00:00"/>
    <s v="CA07"/>
    <s v="加拿大七店"/>
    <x v="107"/>
    <s v="韩国辣酱（红盒，2.8KG*4盒/箱）"/>
    <s v="Z06"/>
    <s v="盒"/>
    <s v="成本类"/>
    <n v="12.5"/>
    <n v="21"/>
    <n v="262.5"/>
    <s v="Z05"/>
    <s v="成本-其他类"/>
  </r>
  <r>
    <d v="2025-04-01T00:00:00"/>
    <d v="2025-04-30T00:00:00"/>
    <s v="CA07"/>
    <s v="加拿大七店"/>
    <x v="108"/>
    <s v="郫县红油豆瓣（鹃城牌，10KG/箱）"/>
    <s v="KG"/>
    <s v="公斤"/>
    <s v="成本类"/>
    <n v="4"/>
    <n v="30"/>
    <n v="120"/>
    <s v="Z21"/>
    <s v="员工餐"/>
  </r>
  <r>
    <d v="2025-04-01T00:00:00"/>
    <d v="2025-04-30T00:00:00"/>
    <s v="CA07"/>
    <s v="加拿大七店"/>
    <x v="109"/>
    <s v="甜面酱（葱伴侣，400G*24袋/箱）"/>
    <s v="Z27"/>
    <s v="袋"/>
    <s v="成本类"/>
    <n v="1.88"/>
    <n v="17"/>
    <n v="31.89"/>
    <s v="Z05"/>
    <s v="成本-其他类"/>
  </r>
  <r>
    <d v="2025-04-01T00:00:00"/>
    <d v="2025-04-30T00:00:00"/>
    <s v="CA07"/>
    <s v="加拿大七店"/>
    <x v="110"/>
    <s v="风味豆豉（老干妈，280G*24瓶/箱）"/>
    <s v="BOT"/>
    <s v="瓶"/>
    <s v="成本类"/>
    <n v="2.21"/>
    <n v="102"/>
    <n v="225.56"/>
    <s v="Z05"/>
    <s v="成本-其他类"/>
  </r>
  <r>
    <d v="2025-04-01T00:00:00"/>
    <d v="2025-04-30T00:00:00"/>
    <s v="CA07"/>
    <s v="加拿大七店"/>
    <x v="111"/>
    <s v="炼乳（寿星公，300ML*24瓶/箱）"/>
    <s v="BOT"/>
    <s v="瓶"/>
    <s v="成本类"/>
    <n v="3.25"/>
    <n v="285"/>
    <n v="926.25"/>
    <s v="Z04"/>
    <s v="成本-酒水类"/>
  </r>
  <r>
    <d v="2025-04-01T00:00:00"/>
    <d v="2025-04-30T00:00:00"/>
    <s v="CA07"/>
    <s v="加拿大七店"/>
    <x v="112"/>
    <s v="三花淡奶（354ML*48瓶/箱）"/>
    <s v="BOT"/>
    <s v="瓶"/>
    <s v="成本类"/>
    <n v="1.95"/>
    <n v="899"/>
    <n v="1752.49"/>
    <s v="Z04"/>
    <s v="成本-酒水类"/>
  </r>
  <r>
    <d v="2025-04-01T00:00:00"/>
    <d v="2025-04-30T00:00:00"/>
    <s v="CA07"/>
    <s v="加拿大七店"/>
    <x v="113"/>
    <s v="食用碱面（灵鹿， 200G*50包/箱）"/>
    <s v="Z07"/>
    <s v="包"/>
    <s v="成本类"/>
    <n v="1.02"/>
    <n v="49"/>
    <n v="50.2"/>
    <s v="Z07"/>
    <s v="服务费-小吃类"/>
  </r>
  <r>
    <d v="2025-04-01T00:00:00"/>
    <d v="2025-04-30T00:00:00"/>
    <s v="CA07"/>
    <s v="加拿大七店"/>
    <x v="114"/>
    <s v="松肉粉（BENSON ，5LB/盒）"/>
    <s v="CL5"/>
    <s v="磅-美"/>
    <s v="成本类"/>
    <n v="5.5"/>
    <n v="13"/>
    <n v="71.47"/>
    <s v="Z05"/>
    <s v="成本-其他类"/>
  </r>
  <r>
    <d v="2025-04-01T00:00:00"/>
    <d v="2025-04-30T00:00:00"/>
    <s v="CA07"/>
    <s v="加拿大七店"/>
    <x v="115"/>
    <s v="花雕酒（10L*2桶/箱）"/>
    <s v="Z36"/>
    <s v="桶"/>
    <s v="成本类"/>
    <n v="15"/>
    <n v="4"/>
    <n v="60"/>
    <s v="Z04"/>
    <s v="成本-酒水类"/>
  </r>
  <r>
    <d v="2025-04-01T00:00:00"/>
    <d v="2025-04-30T00:00:00"/>
    <s v="CA07"/>
    <s v="加拿大七店"/>
    <x v="116"/>
    <s v="竹笋（1KG*10包/箱）"/>
    <s v="KG"/>
    <s v="公斤"/>
    <s v="成本类"/>
    <n v="7.71"/>
    <n v="120"/>
    <n v="924.66"/>
    <s v="Z03"/>
    <s v="成本-素菜类"/>
  </r>
  <r>
    <d v="2025-04-01T00:00:00"/>
    <d v="2025-04-30T00:00:00"/>
    <s v="CA07"/>
    <s v="加拿大七店"/>
    <x v="117"/>
    <s v="乌梅汁（2.5KG*6桶/箱）"/>
    <s v="Z36"/>
    <s v="桶"/>
    <s v="成本类"/>
    <n v="11.33"/>
    <n v="13"/>
    <n v="147.33000000000001"/>
    <s v="Z04"/>
    <s v="成本-酒水类"/>
  </r>
  <r>
    <d v="2025-04-01T00:00:00"/>
    <d v="2025-04-30T00:00:00"/>
    <s v="CA07"/>
    <s v="加拿大七店"/>
    <x v="118"/>
    <s v="洛神汁/红梅汁（2.5KG*6桶/箱）"/>
    <s v="Z36"/>
    <s v="桶"/>
    <s v="成本类"/>
    <n v="12"/>
    <n v="80"/>
    <n v="960"/>
    <s v="Z04"/>
    <s v="成本-酒水类"/>
  </r>
  <r>
    <d v="2025-04-01T00:00:00"/>
    <d v="2025-04-30T00:00:00"/>
    <s v="CA07"/>
    <s v="加拿大七店"/>
    <x v="119"/>
    <s v="可口可乐（355ML*32听/箱）"/>
    <s v="Z01"/>
    <s v="听"/>
    <s v="成本类"/>
    <n v="0.51"/>
    <n v="679"/>
    <n v="344.44"/>
    <s v="Z04"/>
    <s v="成本-酒水类"/>
  </r>
  <r>
    <d v="2025-04-01T00:00:00"/>
    <d v="2025-04-30T00:00:00"/>
    <s v="CA07"/>
    <s v="加拿大七店"/>
    <x v="120"/>
    <s v="健怡可乐（355ML*32听/箱）"/>
    <s v="Z01"/>
    <s v="听"/>
    <s v="成本类"/>
    <n v="0.51"/>
    <n v="657"/>
    <n v="335.96"/>
    <s v="Z04"/>
    <s v="成本-酒水类"/>
  </r>
  <r>
    <d v="2025-04-01T00:00:00"/>
    <d v="2025-04-30T00:00:00"/>
    <s v="CA07"/>
    <s v="加拿大七店"/>
    <x v="121"/>
    <s v="雪碧（355ML*12听/箱）"/>
    <s v="Z01"/>
    <s v="听"/>
    <s v="成本类"/>
    <n v="0.62"/>
    <n v="64"/>
    <n v="39.520000000000003"/>
    <s v="Z04"/>
    <s v="成本-酒水类"/>
  </r>
  <r>
    <d v="2025-04-01T00:00:00"/>
    <d v="2025-04-30T00:00:00"/>
    <s v="CA07"/>
    <s v="加拿大七店"/>
    <x v="122"/>
    <s v="ASAKI啤酒（330ML*24瓶/箱）"/>
    <s v="BOT"/>
    <s v="瓶"/>
    <s v="成本类"/>
    <n v="2.16"/>
    <n v="116"/>
    <n v="249.98"/>
    <s v="Z04"/>
    <s v="成本-酒水类"/>
  </r>
  <r>
    <d v="2025-04-01T00:00:00"/>
    <d v="2025-04-30T00:00:00"/>
    <s v="CA07"/>
    <s v="加拿大七店"/>
    <x v="123"/>
    <s v="牛栏山二锅头（100ML/瓶）"/>
    <s v="BOT"/>
    <s v="瓶"/>
    <s v="成本类"/>
    <n v="4.38"/>
    <n v="33"/>
    <n v="144.54"/>
    <s v="Z04"/>
    <s v="成本-酒水类"/>
  </r>
  <r>
    <d v="2025-04-01T00:00:00"/>
    <d v="2025-04-30T00:00:00"/>
    <s v="CA07"/>
    <s v="加拿大七店"/>
    <x v="124"/>
    <s v="洗碗液（红色， 20L/桶）"/>
    <s v="Z36"/>
    <s v="桶"/>
    <s v="费用类"/>
    <n v="82.12"/>
    <n v="7"/>
    <n v="574.84"/>
    <s v="Z11"/>
    <s v="物料消耗-清洁类"/>
  </r>
  <r>
    <d v="2025-04-01T00:00:00"/>
    <d v="2025-04-30T00:00:00"/>
    <s v="CA07"/>
    <s v="加拿大七店"/>
    <x v="125"/>
    <s v="快干剂（蓝色， 20L/桶）"/>
    <s v="Z36"/>
    <s v="桶"/>
    <s v="费用类"/>
    <n v="127.7"/>
    <n v="4"/>
    <n v="510.8"/>
    <s v="Z11"/>
    <s v="物料消耗-清洁类"/>
  </r>
  <r>
    <d v="2025-04-01T00:00:00"/>
    <d v="2025-04-30T00:00:00"/>
    <s v="CA07"/>
    <s v="加拿大七店"/>
    <x v="126"/>
    <s v="洗杯红药水（4L*4桶/箱）"/>
    <s v="Z36"/>
    <s v="桶"/>
    <s v="费用类"/>
    <n v="18.600000000000001"/>
    <n v="1"/>
    <n v="18.600000000000001"/>
    <s v="Z15"/>
    <s v="物料消耗-其他类"/>
  </r>
  <r>
    <d v="2025-04-01T00:00:00"/>
    <d v="2025-04-30T00:00:00"/>
    <s v="CA07"/>
    <s v="加拿大七店"/>
    <x v="127"/>
    <s v="洗杯快干剂（4L*4桶/箱）"/>
    <s v="Z36"/>
    <s v="桶"/>
    <s v="费用类"/>
    <n v="28.33"/>
    <n v="1"/>
    <n v="28.33"/>
    <s v="Z11"/>
    <s v="物料消耗-清洁类"/>
  </r>
  <r>
    <d v="2025-04-01T00:00:00"/>
    <d v="2025-04-30T00:00:00"/>
    <s v="CA07"/>
    <s v="加拿大七店"/>
    <x v="128"/>
    <s v="洗地苏打（25KG/包）"/>
    <s v="KG"/>
    <s v="公斤"/>
    <s v="费用类"/>
    <n v="2.4"/>
    <n v="5"/>
    <n v="11.99"/>
    <s v="Z11"/>
    <s v="物料消耗-清洁类"/>
  </r>
  <r>
    <d v="2025-04-01T00:00:00"/>
    <d v="2025-04-30T00:00:00"/>
    <s v="CA07"/>
    <s v="加拿大七店"/>
    <x v="129"/>
    <s v="洗手液（4L*4桶/箱）"/>
    <s v="Z36"/>
    <s v="桶"/>
    <s v="费用类"/>
    <n v="8.25"/>
    <n v="1"/>
    <n v="8.25"/>
    <s v="Z11"/>
    <s v="物料消耗-清洁类"/>
  </r>
  <r>
    <d v="2025-04-01T00:00:00"/>
    <d v="2025-04-30T00:00:00"/>
    <s v="CA07"/>
    <s v="加拿大七店"/>
    <x v="130"/>
    <s v="咖色单张擦手纸（4000张/箱）"/>
    <s v="Z34"/>
    <s v="箱"/>
    <s v="费用类"/>
    <n v="33.5"/>
    <n v="8"/>
    <n v="268"/>
    <s v="Z13"/>
    <s v="物料消耗-纸巾类"/>
  </r>
  <r>
    <d v="2025-04-01T00:00:00"/>
    <d v="2025-04-30T00:00:00"/>
    <s v="CA07"/>
    <s v="加拿大七店"/>
    <x v="131"/>
    <s v="8.5&quot; 8MM 纸吸管（500根*2包/箱）"/>
    <s v="Z07"/>
    <s v="包"/>
    <s v="费用类"/>
    <n v="10"/>
    <n v="20"/>
    <n v="200"/>
    <s v="Z15"/>
    <s v="物料消耗-其他类"/>
  </r>
  <r>
    <d v="2025-04-01T00:00:00"/>
    <d v="2025-04-30T00:00:00"/>
    <s v="CA07"/>
    <s v="加拿大七店"/>
    <x v="132"/>
    <s v="卷袋（12MM*20MM， 4卷/箱）"/>
    <s v="Z08"/>
    <s v="卷"/>
    <s v="费用类"/>
    <n v="9.5299999999999994"/>
    <n v="26"/>
    <n v="247.66"/>
    <s v="Z15"/>
    <s v="物料消耗-其他类"/>
  </r>
  <r>
    <d v="2025-04-01T00:00:00"/>
    <d v="2025-04-30T00:00:00"/>
    <s v="CA07"/>
    <s v="加拿大七店"/>
    <x v="133"/>
    <s v="卷袋（8.5MM*12MM， 4卷/箱）"/>
    <s v="Z08"/>
    <s v="卷"/>
    <s v="费用类"/>
    <n v="9.5"/>
    <n v="14"/>
    <n v="133"/>
    <s v="Z15"/>
    <s v="物料消耗-其他类"/>
  </r>
  <r>
    <d v="2025-04-01T00:00:00"/>
    <d v="2025-04-30T00:00:00"/>
    <s v="CA07"/>
    <s v="加拿大七店"/>
    <x v="134"/>
    <s v="一次性叉（1000个/箱）"/>
    <s v="Z05"/>
    <s v="个"/>
    <s v="费用类"/>
    <n v="0.04"/>
    <n v="3000"/>
    <n v="118.5"/>
    <s v="Z15"/>
    <s v="物料消耗-其他类"/>
  </r>
  <r>
    <d v="2025-04-01T00:00:00"/>
    <d v="2025-04-30T00:00:00"/>
    <s v="CA07"/>
    <s v="加拿大七店"/>
    <x v="135"/>
    <s v="保鲜膜（762M*27.9CM/卷）"/>
    <s v="Z08"/>
    <s v="卷"/>
    <s v="费用类"/>
    <n v="18.43"/>
    <n v="21"/>
    <n v="386.98"/>
    <s v="Z15"/>
    <s v="物料消耗-其他类"/>
  </r>
  <r>
    <d v="2025-04-01T00:00:00"/>
    <d v="2025-04-30T00:00:00"/>
    <s v="CA07"/>
    <s v="加拿大七店"/>
    <x v="136"/>
    <s v="运输费用（批）"/>
    <s v="F01"/>
    <s v="批"/>
    <s v="成本类"/>
    <n v="17"/>
    <n v="12"/>
    <n v="204"/>
    <s v="Z15"/>
    <s v="物料消耗-其他类"/>
  </r>
  <r>
    <d v="2025-04-01T00:00:00"/>
    <d v="2025-04-30T00:00:00"/>
    <s v="CA07"/>
    <s v="加拿大七店"/>
    <x v="137"/>
    <s v="红彩椒（LB）"/>
    <s v="CL5"/>
    <s v="磅-美"/>
    <s v="费用类"/>
    <n v="2.04"/>
    <n v="33.200000000000003"/>
    <n v="67.89"/>
    <s v="Z05"/>
    <s v="成本-其他类"/>
  </r>
  <r>
    <d v="2025-04-01T00:00:00"/>
    <d v="2025-04-30T00:00:00"/>
    <s v="CA07"/>
    <s v="加拿大七店"/>
    <x v="138"/>
    <s v="青彩椒（LB）"/>
    <s v="CL5"/>
    <s v="磅-美"/>
    <s v="费用类"/>
    <n v="1.47"/>
    <n v="33.549999999999997"/>
    <n v="49.23"/>
    <s v="Z05"/>
    <s v="成本-其他类"/>
  </r>
  <r>
    <d v="2025-04-01T00:00:00"/>
    <d v="2025-04-30T00:00:00"/>
    <s v="CA07"/>
    <s v="加拿大七店"/>
    <x v="139"/>
    <s v="中葱（5KG/箱）"/>
    <s v="KG"/>
    <s v="公斤"/>
    <s v="成本类"/>
    <n v="4.37"/>
    <n v="45"/>
    <n v="196.61"/>
    <s v="Z05"/>
    <s v="成本-其他类"/>
  </r>
  <r>
    <d v="2025-04-01T00:00:00"/>
    <d v="2025-04-30T00:00:00"/>
    <s v="CA07"/>
    <s v="加拿大七店"/>
    <x v="140"/>
    <s v="藕/莲菜（44LB/箱）"/>
    <s v="CL5"/>
    <s v="磅-美"/>
    <s v="费用类"/>
    <n v="1.97"/>
    <n v="20"/>
    <n v="39.299999999999997"/>
    <s v="Z03"/>
    <s v="成本-素菜类"/>
  </r>
  <r>
    <d v="2025-04-01T00:00:00"/>
    <d v="2025-04-30T00:00:00"/>
    <s v="CA07"/>
    <s v="加拿大七店"/>
    <x v="140"/>
    <s v="藕/莲菜（44LB/箱）"/>
    <s v="CL5"/>
    <s v="磅-美"/>
    <s v="成本类"/>
    <n v="1.95"/>
    <n v="464"/>
    <n v="903.7"/>
    <s v="Z03"/>
    <s v="成本-素菜类"/>
  </r>
  <r>
    <d v="2025-04-01T00:00:00"/>
    <d v="2025-04-30T00:00:00"/>
    <s v="CA07"/>
    <s v="加拿大七店"/>
    <x v="141"/>
    <s v="羊腿肉（去骨，KG）"/>
    <s v="KG"/>
    <s v="公斤"/>
    <s v="成本类"/>
    <n v="17.559999999999999"/>
    <n v="77.034999999999997"/>
    <n v="1353.03"/>
    <s v="Z02"/>
    <s v="成本-荤菜类"/>
  </r>
  <r>
    <d v="2025-04-01T00:00:00"/>
    <d v="2025-04-30T00:00:00"/>
    <s v="CA07"/>
    <s v="加拿大七店"/>
    <x v="142"/>
    <s v="鸡汁（410G*12瓶/箱）"/>
    <s v="BOT"/>
    <s v="瓶"/>
    <s v="成本类"/>
    <n v="6.08"/>
    <n v="4"/>
    <n v="24.33"/>
    <s v="Z05"/>
    <s v="成本-其他类"/>
  </r>
  <r>
    <d v="2025-04-01T00:00:00"/>
    <d v="2025-04-30T00:00:00"/>
    <s v="CA07"/>
    <s v="加拿大七店"/>
    <x v="143"/>
    <s v="一次性汤勺（1000个/箱）"/>
    <s v="Z05"/>
    <s v="个"/>
    <s v="费用类"/>
    <n v="0.04"/>
    <n v="18000"/>
    <n v="698.4"/>
    <s v="Z15"/>
    <s v="物料消耗-其他类"/>
  </r>
  <r>
    <d v="2025-04-01T00:00:00"/>
    <d v="2025-04-30T00:00:00"/>
    <s v="CA07"/>
    <s v="加拿大七店"/>
    <x v="144"/>
    <s v="咖色外卖纸盒（26 OZ，450个/箱）"/>
    <s v="Z05"/>
    <s v="个"/>
    <s v="费用类"/>
    <n v="0.1"/>
    <n v="2700"/>
    <n v="258"/>
    <s v="Z15"/>
    <s v="物料消耗-其他类"/>
  </r>
  <r>
    <d v="2025-04-01T00:00:00"/>
    <d v="2025-04-30T00:00:00"/>
    <s v="CA07"/>
    <s v="加拿大七店"/>
    <x v="145"/>
    <s v="蘸料盖（1.5 OZ ，2500个/箱）"/>
    <s v="Z05"/>
    <s v="个"/>
    <s v="费用类"/>
    <n v="0.01"/>
    <n v="5000"/>
    <n v="50"/>
    <s v="Z15"/>
    <s v="物料消耗-其他类"/>
  </r>
  <r>
    <d v="2025-04-01T00:00:00"/>
    <d v="2025-04-30T00:00:00"/>
    <s v="CA07"/>
    <s v="加拿大七店"/>
    <x v="146"/>
    <s v="漂白剂（4L*4桶/箱）"/>
    <s v="Z36"/>
    <s v="桶"/>
    <s v="费用类"/>
    <n v="6.75"/>
    <n v="12"/>
    <n v="81"/>
    <s v="Z11"/>
    <s v="物料消耗-清洁类"/>
  </r>
  <r>
    <d v="2025-04-01T00:00:00"/>
    <d v="2025-04-30T00:00:00"/>
    <s v="CA07"/>
    <s v="加拿大七店"/>
    <x v="147"/>
    <s v="洗洁精（4L*4桶/箱）"/>
    <s v="Z36"/>
    <s v="桶"/>
    <s v="费用类"/>
    <n v="7.5"/>
    <n v="108"/>
    <n v="810"/>
    <s v="Z11"/>
    <s v="物料消耗-清洁类"/>
  </r>
  <r>
    <d v="2025-04-01T00:00:00"/>
    <d v="2025-04-30T00:00:00"/>
    <s v="CA07"/>
    <s v="加拿大七店"/>
    <x v="148"/>
    <s v="墨鱼仔（20-40，400G*20包/箱）"/>
    <s v="KG"/>
    <s v="公斤"/>
    <s v="成本类"/>
    <n v="11.25"/>
    <n v="65.2"/>
    <n v="733.5"/>
    <s v="Z02"/>
    <s v="成本-荤菜类"/>
  </r>
  <r>
    <d v="2025-04-01T00:00:00"/>
    <d v="2025-04-30T00:00:00"/>
    <s v="CA07"/>
    <s v="加拿大七店"/>
    <x v="149"/>
    <s v="美极鲜酱油（800ML*6瓶/箱）"/>
    <s v="BOT"/>
    <s v="瓶"/>
    <s v="成本类"/>
    <n v="8"/>
    <n v="30"/>
    <n v="240"/>
    <s v="Z05"/>
    <s v="成本-其他类"/>
  </r>
  <r>
    <d v="2025-04-01T00:00:00"/>
    <d v="2025-04-30T00:00:00"/>
    <s v="CA07"/>
    <s v="加拿大七店"/>
    <x v="150"/>
    <s v="老抽（裕益牌，12L/桶）"/>
    <s v="L"/>
    <s v="升"/>
    <s v="成本类"/>
    <n v="7.21"/>
    <n v="10"/>
    <n v="72.08"/>
    <s v="Z05"/>
    <s v="成本-其他类"/>
  </r>
  <r>
    <d v="2025-04-01T00:00:00"/>
    <d v="2025-04-30T00:00:00"/>
    <s v="CA07"/>
    <s v="加拿大七店"/>
    <x v="151"/>
    <s v="烧烤盘 （A9-668-3，30个/箱）"/>
    <s v="Z05"/>
    <s v="个"/>
    <s v="费用类"/>
    <n v="5.38"/>
    <n v="120"/>
    <n v="645.72"/>
    <s v="Z12"/>
    <s v="物料消耗-餐具类"/>
  </r>
  <r>
    <d v="2025-04-01T00:00:00"/>
    <d v="2025-04-30T00:00:00"/>
    <s v="CA07"/>
    <s v="加拿大七店"/>
    <x v="152"/>
    <s v="寿司米（平和，40LB/袋）"/>
    <s v="CL5"/>
    <s v="磅-美"/>
    <s v="成本类"/>
    <n v="0.9"/>
    <n v="80"/>
    <n v="72"/>
    <s v="Z07"/>
    <s v="服务费-小吃类"/>
  </r>
  <r>
    <d v="2025-04-01T00:00:00"/>
    <d v="2025-04-30T00:00:00"/>
    <s v="CA07"/>
    <s v="加拿大七店"/>
    <x v="153"/>
    <s v="鲜虾抄手（45个/包）"/>
    <s v="Z05"/>
    <s v="个"/>
    <s v="成本类"/>
    <n v="0.37"/>
    <n v="2205"/>
    <n v="808.5"/>
    <s v="Z21"/>
    <s v="员工餐"/>
  </r>
  <r>
    <d v="2025-04-01T00:00:00"/>
    <d v="2025-04-30T00:00:00"/>
    <s v="CA07"/>
    <s v="加拿大七店"/>
    <x v="154"/>
    <s v="单晶冰糖（400G*48包/箱）"/>
    <s v="Z07"/>
    <s v="包"/>
    <s v="成本类"/>
    <n v="1.38"/>
    <n v="144"/>
    <n v="198.75"/>
    <s v="Z05"/>
    <s v="成本-其他类"/>
  </r>
  <r>
    <d v="2025-04-01T00:00:00"/>
    <d v="2025-04-30T00:00:00"/>
    <s v="CA07"/>
    <s v="加拿大七店"/>
    <x v="155"/>
    <s v="牛板腱（LB）"/>
    <s v="CL5"/>
    <s v="磅-美"/>
    <s v="成本类"/>
    <n v="6.99"/>
    <n v="836.58"/>
    <n v="5848.18"/>
    <s v="Z02"/>
    <s v="成本-荤菜类"/>
  </r>
  <r>
    <d v="2025-04-01T00:00:00"/>
    <d v="2025-04-30T00:00:00"/>
    <s v="CA07"/>
    <s v="加拿大七店"/>
    <x v="156"/>
    <s v="四季豆（LB）"/>
    <s v="CL5"/>
    <s v="磅-美"/>
    <s v="费用类"/>
    <n v="3.3"/>
    <n v="16"/>
    <n v="52.8"/>
    <s v="Z05"/>
    <s v="成本-其他类"/>
  </r>
  <r>
    <d v="2025-04-01T00:00:00"/>
    <d v="2025-04-30T00:00:00"/>
    <s v="CA07"/>
    <s v="加拿大七店"/>
    <x v="157"/>
    <s v="消毒水（4L*4桶/箱）"/>
    <s v="Z36"/>
    <s v="桶"/>
    <s v="费用类"/>
    <n v="12.13"/>
    <n v="2"/>
    <n v="24.25"/>
    <s v="Z11"/>
    <s v="物料消耗-清洁类"/>
  </r>
  <r>
    <d v="2025-04-01T00:00:00"/>
    <d v="2025-04-30T00:00:00"/>
    <s v="CA07"/>
    <s v="加拿大七店"/>
    <x v="158"/>
    <s v="柚子茶（1KG*12瓶/箱）"/>
    <s v="KG"/>
    <s v="公斤"/>
    <s v="成本类"/>
    <n v="7"/>
    <n v="112"/>
    <n v="783.97"/>
    <s v="Z04"/>
    <s v="成本-酒水类"/>
  </r>
  <r>
    <d v="2025-04-01T00:00:00"/>
    <d v="2025-04-30T00:00:00"/>
    <s v="CA07"/>
    <s v="加拿大七店"/>
    <x v="159"/>
    <s v="薯条（4.5LB*6包/箱）"/>
    <s v="Z07"/>
    <s v="包"/>
    <s v="成本类"/>
    <n v="8.23"/>
    <n v="19"/>
    <n v="156.30000000000001"/>
    <s v="Z07"/>
    <s v="服务费-小吃类"/>
  </r>
  <r>
    <d v="2025-04-01T00:00:00"/>
    <d v="2025-04-30T00:00:00"/>
    <s v="CA07"/>
    <s v="加拿大七店"/>
    <x v="160"/>
    <s v="薯条蘸酱粉（403G*12包/箱）"/>
    <s v="Z07"/>
    <s v="包"/>
    <s v="成本类"/>
    <n v="3.24"/>
    <n v="20"/>
    <n v="64.87"/>
    <s v="Z05"/>
    <s v="成本-其他类"/>
  </r>
  <r>
    <d v="2025-04-01T00:00:00"/>
    <d v="2025-04-30T00:00:00"/>
    <s v="CA07"/>
    <s v="加拿大七店"/>
    <x v="161"/>
    <s v="BC肉蟹（LB）"/>
    <s v="CL5"/>
    <s v="磅-美"/>
    <s v="成本类"/>
    <n v="19.61"/>
    <n v="3.79"/>
    <n v="74.34"/>
    <s v="Z02"/>
    <s v="成本-荤菜类"/>
  </r>
  <r>
    <d v="2025-04-01T00:00:00"/>
    <d v="2025-04-30T00:00:00"/>
    <s v="CA07"/>
    <s v="加拿大七店"/>
    <x v="162"/>
    <s v="猪大肠 （KG）"/>
    <s v="KG"/>
    <s v="公斤"/>
    <s v="费用类"/>
    <n v="6.94"/>
    <n v="10"/>
    <n v="69.39"/>
    <s v="Z02"/>
    <s v="成本-荤菜类"/>
  </r>
  <r>
    <d v="2025-04-01T00:00:00"/>
    <d v="2025-04-30T00:00:00"/>
    <s v="CA07"/>
    <s v="加拿大七店"/>
    <x v="162"/>
    <s v="猪大肠 （KG）"/>
    <s v="KG"/>
    <s v="公斤"/>
    <s v="成本类"/>
    <n v="6.94"/>
    <n v="59.62"/>
    <n v="413.73"/>
    <s v="Z02"/>
    <s v="成本-荤菜类"/>
  </r>
  <r>
    <d v="2025-04-01T00:00:00"/>
    <d v="2025-04-30T00:00:00"/>
    <s v="CA07"/>
    <s v="加拿大七店"/>
    <x v="163"/>
    <s v="西冷牛肉（LB）"/>
    <s v="CL5"/>
    <s v="磅-美"/>
    <s v="成本类"/>
    <n v="12.5"/>
    <n v="416.62"/>
    <n v="5207.76"/>
    <s v="Z02"/>
    <s v="成本-荤菜类"/>
  </r>
  <r>
    <d v="2025-04-01T00:00:00"/>
    <d v="2025-04-30T00:00:00"/>
    <s v="CA07"/>
    <s v="加拿大七店"/>
    <x v="164"/>
    <s v="百香果汁加籽（5.5LB*6瓶/箱）"/>
    <s v="BOT"/>
    <s v="瓶"/>
    <s v="成本类"/>
    <n v="13.54"/>
    <n v="38"/>
    <n v="514.63"/>
    <s v="Z04"/>
    <s v="成本-酒水类"/>
  </r>
  <r>
    <d v="2025-04-01T00:00:00"/>
    <d v="2025-04-30T00:00:00"/>
    <s v="CA07"/>
    <s v="加拿大七店"/>
    <x v="165"/>
    <s v="鸡蛋清（500G*4盒/组）"/>
    <s v="KG"/>
    <s v="公斤"/>
    <s v="成本类"/>
    <n v="7.08"/>
    <n v="9.5"/>
    <n v="67.27"/>
    <s v="Z02"/>
    <s v="成本-荤菜类"/>
  </r>
  <r>
    <d v="2025-04-01T00:00:00"/>
    <d v="2025-04-30T00:00:00"/>
    <s v="CA07"/>
    <s v="加拿大七店"/>
    <x v="166"/>
    <s v="泉字酱油（5加仑/桶）"/>
    <s v="Z36"/>
    <s v="桶"/>
    <s v="成本类"/>
    <n v="45.5"/>
    <n v="1.4"/>
    <n v="63.7"/>
    <s v="Z05"/>
    <s v="成本-其他类"/>
  </r>
  <r>
    <d v="2025-04-01T00:00:00"/>
    <d v="2025-04-30T00:00:00"/>
    <s v="CA07"/>
    <s v="加拿大七店"/>
    <x v="167"/>
    <s v="粤香园头抽（50LB/桶）"/>
    <s v="CL5"/>
    <s v="磅-美"/>
    <s v="成本类"/>
    <n v="1.7"/>
    <n v="20"/>
    <n v="34"/>
    <s v="Z05"/>
    <s v="成本-其他类"/>
  </r>
  <r>
    <d v="2025-04-01T00:00:00"/>
    <d v="2025-04-30T00:00:00"/>
    <s v="CA07"/>
    <s v="加拿大七店"/>
    <x v="168"/>
    <s v="花菜（LB）"/>
    <s v="LB"/>
    <s v="磅（美国）"/>
    <s v="费用类"/>
    <n v="3.8"/>
    <n v="19.8"/>
    <n v="75.239999999999995"/>
    <s v="Z03"/>
    <s v="成本-素菜类"/>
  </r>
  <r>
    <d v="2025-04-01T00:00:00"/>
    <d v="2025-04-30T00:00:00"/>
    <s v="CA07"/>
    <s v="加拿大七店"/>
    <x v="169"/>
    <s v="猪血（20LB/桶）"/>
    <s v="LB"/>
    <s v="磅（美国）"/>
    <s v="费用类"/>
    <n v="3.25"/>
    <n v="10"/>
    <n v="32.5"/>
    <s v="Z02"/>
    <s v="成本-荤菜类"/>
  </r>
  <r>
    <d v="2025-04-01T00:00:00"/>
    <d v="2025-04-30T00:00:00"/>
    <s v="CA07"/>
    <s v="加拿大七店"/>
    <x v="169"/>
    <s v="猪血（20LB/桶）"/>
    <s v="LB"/>
    <s v="磅（美国）"/>
    <s v="成本类"/>
    <n v="3.25"/>
    <n v="671"/>
    <n v="2180.75"/>
    <s v="Z02"/>
    <s v="成本-荤菜类"/>
  </r>
  <r>
    <d v="2025-04-01T00:00:00"/>
    <d v="2025-04-30T00:00:00"/>
    <s v="CA07"/>
    <s v="加拿大七店"/>
    <x v="170"/>
    <s v="红薯（LB）"/>
    <s v="CL5"/>
    <s v="磅-美"/>
    <s v="费用类"/>
    <n v="1.2"/>
    <n v="40"/>
    <n v="48"/>
    <s v="Z03"/>
    <s v="成本-素菜类"/>
  </r>
  <r>
    <d v="2025-04-01T00:00:00"/>
    <d v="2025-04-30T00:00:00"/>
    <s v="CA07"/>
    <s v="加拿大七店"/>
    <x v="171"/>
    <s v="鲜虾福袋（1KG*10包/箱）"/>
    <s v="KG"/>
    <s v="公斤"/>
    <s v="成本类"/>
    <n v="16"/>
    <n v="23"/>
    <n v="368"/>
    <s v="Z02"/>
    <s v="成本-荤菜类"/>
  </r>
  <r>
    <d v="2025-04-01T00:00:00"/>
    <d v="2025-04-30T00:00:00"/>
    <s v="CA07"/>
    <s v="加拿大七店"/>
    <x v="172"/>
    <s v="脆皖鱼（250G/包）"/>
    <s v="KG"/>
    <s v="公斤"/>
    <s v="成本类"/>
    <n v="24.2"/>
    <n v="56.25"/>
    <n v="1361.25"/>
    <s v="Z02"/>
    <s v="成本-荤菜类"/>
  </r>
  <r>
    <d v="2025-04-01T00:00:00"/>
    <d v="2025-04-30T00:00:00"/>
    <s v="CA07"/>
    <s v="加拿大七店"/>
    <x v="173"/>
    <s v="猪肉白菜水饺（思念，454G*12包/箱）"/>
    <s v="Z07"/>
    <s v="包"/>
    <s v="费用类"/>
    <n v="4.29"/>
    <n v="78"/>
    <n v="334.75"/>
    <s v="Z21"/>
    <s v="员工餐"/>
  </r>
  <r>
    <d v="2025-04-01T00:00:00"/>
    <d v="2025-04-30T00:00:00"/>
    <s v="CA07"/>
    <s v="加拿大七店"/>
    <x v="174"/>
    <s v="日式味淋MIRIN（20L/箱）"/>
    <s v="L"/>
    <s v="升"/>
    <s v="成本类"/>
    <n v="3.85"/>
    <n v="202"/>
    <n v="777.69"/>
    <s v="Z05"/>
    <s v="成本-其他类"/>
  </r>
  <r>
    <d v="2025-04-01T00:00:00"/>
    <d v="2025-04-30T00:00:00"/>
    <s v="CA07"/>
    <s v="加拿大七店"/>
    <x v="175"/>
    <s v="牛角椒 （LB）"/>
    <s v="CL5"/>
    <s v="磅-美"/>
    <s v="费用类"/>
    <n v="3.2"/>
    <n v="25"/>
    <n v="80"/>
    <s v="Z03"/>
    <s v="成本-素菜类"/>
  </r>
  <r>
    <d v="2025-04-01T00:00:00"/>
    <d v="2025-04-30T00:00:00"/>
    <s v="CA07"/>
    <s v="加拿大七店"/>
    <x v="176"/>
    <s v="鱿鱼花（280G*12包/箱）"/>
    <s v="KG"/>
    <s v="公斤"/>
    <s v="成本类"/>
    <n v="9.8000000000000007"/>
    <n v="57.68"/>
    <n v="565.21"/>
    <s v="Z02"/>
    <s v="成本-荤菜类"/>
  </r>
  <r>
    <d v="2025-04-01T00:00:00"/>
    <d v="2025-04-30T00:00:00"/>
    <s v="CA07"/>
    <s v="加拿大七店"/>
    <x v="177"/>
    <s v="竹笙（1.125KG*4包/箱）"/>
    <s v="KG"/>
    <s v="公斤"/>
    <s v="成本类"/>
    <n v="91.11"/>
    <n v="10.125"/>
    <n v="922.5"/>
    <s v="Z03"/>
    <s v="成本-素菜类"/>
  </r>
  <r>
    <d v="2025-04-01T00:00:00"/>
    <d v="2025-04-30T00:00:00"/>
    <s v="CA07"/>
    <s v="加拿大七店"/>
    <x v="178"/>
    <s v="千味传统大油条（450G*10包/箱）"/>
    <s v="KG"/>
    <s v="公斤"/>
    <s v="费用类"/>
    <n v="4.8899999999999997"/>
    <n v="2.5"/>
    <n v="12.22"/>
    <s v="Z07"/>
    <s v="服务费-小吃类"/>
  </r>
  <r>
    <d v="2025-04-01T00:00:00"/>
    <d v="2025-04-30T00:00:00"/>
    <s v="CA07"/>
    <s v="加拿大七店"/>
    <x v="178"/>
    <s v="千味传统大油条（450G*10包/箱）"/>
    <s v="KG"/>
    <s v="公斤"/>
    <s v="成本类"/>
    <n v="4.8899999999999997"/>
    <n v="38.9"/>
    <n v="190.18"/>
    <s v="Z07"/>
    <s v="服务费-小吃类"/>
  </r>
  <r>
    <d v="2025-04-01T00:00:00"/>
    <d v="2025-04-30T00:00:00"/>
    <s v="CA07"/>
    <s v="加拿大七店"/>
    <x v="179"/>
    <s v="黑猪肉（LB）"/>
    <s v="LB"/>
    <s v="磅（美国）"/>
    <s v="成本类"/>
    <n v="12.99"/>
    <n v="405.2"/>
    <n v="5263.57"/>
    <s v="Z02"/>
    <s v="成本-荤菜类"/>
  </r>
  <r>
    <d v="2025-04-01T00:00:00"/>
    <d v="2025-04-30T00:00:00"/>
    <s v="CA07"/>
    <s v="加拿大七店"/>
    <x v="180"/>
    <s v="海带结（500G*20包/箱）"/>
    <s v="KG"/>
    <s v="公斤"/>
    <s v="成本类"/>
    <n v="7"/>
    <n v="22.5"/>
    <n v="157.5"/>
    <s v="Z03"/>
    <s v="成本-素菜类"/>
  </r>
  <r>
    <d v="2025-04-01T00:00:00"/>
    <d v="2025-04-30T00:00:00"/>
    <s v="CA07"/>
    <s v="加拿大七店"/>
    <x v="181"/>
    <s v="日本柴鱼酱油（1.89L*6瓶/箱）"/>
    <s v="BOT"/>
    <s v="瓶"/>
    <s v="成本类"/>
    <n v="19"/>
    <n v="84"/>
    <n v="1596"/>
    <s v="Z05"/>
    <s v="成本-其他类"/>
  </r>
  <r>
    <d v="2025-04-01T00:00:00"/>
    <d v="2025-04-30T00:00:00"/>
    <s v="CA07"/>
    <s v="加拿大七店"/>
    <x v="182"/>
    <s v="刀切小馒头（800G*10包/箱）"/>
    <s v="KG"/>
    <s v="公斤"/>
    <s v="成本类"/>
    <n v="5.63"/>
    <n v="88"/>
    <n v="495"/>
    <s v="Z07"/>
    <s v="服务费-小吃类"/>
  </r>
  <r>
    <d v="2025-04-01T00:00:00"/>
    <d v="2025-04-30T00:00:00"/>
    <s v="CA07"/>
    <s v="加拿大七店"/>
    <x v="183"/>
    <s v="蔬菜沙拉（5LB*4包/箱）"/>
    <s v="Z07"/>
    <s v="包"/>
    <s v="成本类"/>
    <n v="13.06"/>
    <n v="18"/>
    <n v="235.12"/>
    <s v="Z07"/>
    <s v="服务费-小吃类"/>
  </r>
  <r>
    <d v="2025-04-01T00:00:00"/>
    <d v="2025-04-30T00:00:00"/>
    <s v="CA07"/>
    <s v="加拿大七店"/>
    <x v="184"/>
    <s v="炸腐竹（170G*50包/箱）"/>
    <s v="Z07"/>
    <s v="包"/>
    <s v="成本类"/>
    <n v="2.73"/>
    <n v="218.03"/>
    <n v="594.61"/>
    <s v="Z03"/>
    <s v="成本-素菜类"/>
  </r>
  <r>
    <d v="2025-04-01T00:00:00"/>
    <d v="2025-04-30T00:00:00"/>
    <s v="CA07"/>
    <s v="加拿大七店"/>
    <x v="185"/>
    <s v="芝士块（2KG*5包/箱）"/>
    <s v="KG"/>
    <s v="公斤"/>
    <s v="成本类"/>
    <n v="18.07"/>
    <n v="4"/>
    <n v="72.290000000000006"/>
    <s v="Z05"/>
    <s v="成本-其他类"/>
  </r>
  <r>
    <d v="2025-04-01T00:00:00"/>
    <d v="2025-04-30T00:00:00"/>
    <s v="CA07"/>
    <s v="加拿大七店"/>
    <x v="186"/>
    <s v="桂花糖（食全食美，320G*24瓶/箱）"/>
    <s v="KG"/>
    <s v="公斤"/>
    <s v="成本类"/>
    <n v="10.130000000000001"/>
    <n v="0.08"/>
    <n v="0.81"/>
    <s v="Z05"/>
    <s v="成本-其他类"/>
  </r>
  <r>
    <d v="2025-04-01T00:00:00"/>
    <d v="2025-04-30T00:00:00"/>
    <s v="CA07"/>
    <s v="加拿大七店"/>
    <x v="187"/>
    <s v="清油底料（300G*40包/件）"/>
    <s v="KG"/>
    <s v="公斤"/>
    <s v="成本类"/>
    <n v="8.9"/>
    <n v="624"/>
    <n v="5553.03"/>
    <s v="Z01"/>
    <s v="成本-锅底类"/>
  </r>
  <r>
    <d v="2025-04-01T00:00:00"/>
    <d v="2025-04-30T00:00:00"/>
    <s v="CA07"/>
    <s v="加拿大七店"/>
    <x v="188"/>
    <s v="番茄火锅底料（300G*40包/件，加拿大内用）"/>
    <s v="KG"/>
    <s v="公斤"/>
    <s v="成本类"/>
    <n v="4.33"/>
    <n v="2220"/>
    <n v="9607.2199999999993"/>
    <s v="Z01"/>
    <s v="成本-锅底类"/>
  </r>
  <r>
    <d v="2025-04-01T00:00:00"/>
    <d v="2025-04-30T00:00:00"/>
    <s v="CA07"/>
    <s v="加拿大七店"/>
    <x v="189"/>
    <s v="无渣调味粉（28G*120包/件，加拿大内用）"/>
    <s v="KG"/>
    <s v="公斤"/>
    <s v="成本类"/>
    <n v="12"/>
    <n v="181.5"/>
    <n v="2177.12"/>
    <s v="Z01"/>
    <s v="成本-锅底类"/>
  </r>
  <r>
    <d v="2025-04-01T00:00:00"/>
    <d v="2025-04-30T00:00:00"/>
    <s v="CA07"/>
    <s v="加拿大七店"/>
    <x v="190"/>
    <s v="清油麻辣火锅底料（250G*30包/件）_加拿大版"/>
    <s v="KG"/>
    <s v="公斤"/>
    <s v="成本类"/>
    <n v="8.4700000000000006"/>
    <n v="742.5"/>
    <n v="6288.65"/>
    <s v="Z01"/>
    <s v="成本-锅底类"/>
  </r>
  <r>
    <d v="2025-04-01T00:00:00"/>
    <d v="2025-04-30T00:00:00"/>
    <s v="CA07"/>
    <s v="加拿大七店"/>
    <x v="191"/>
    <s v="火锅干料包（27G*60包/件，加拿大内销）"/>
    <s v="KG"/>
    <s v="公斤"/>
    <s v="成本类"/>
    <n v="16.66"/>
    <n v="82.62"/>
    <n v="1376.55"/>
    <s v="Z05"/>
    <s v="成本-其他类"/>
  </r>
  <r>
    <d v="2025-04-01T00:00:00"/>
    <d v="2025-04-30T00:00:00"/>
    <s v="CA07"/>
    <s v="加拿大七店"/>
    <x v="192"/>
    <s v="粉耗子_美国内销_250G*40包/件"/>
    <s v="KG"/>
    <s v="公斤"/>
    <s v="成本类"/>
    <n v="3.74"/>
    <n v="52.5"/>
    <n v="196.09"/>
    <s v="Z05"/>
    <s v="成本-其他类"/>
  </r>
  <r>
    <d v="2025-04-01T00:00:00"/>
    <d v="2025-04-30T00:00:00"/>
    <s v="CA07"/>
    <s v="加拿大七店"/>
    <x v="193"/>
    <s v="草莓芝士味雪人儿糕点_美国内销_45G*120个/件"/>
    <s v="EA"/>
    <s v="个"/>
    <s v="成本类"/>
    <n v="1.19"/>
    <n v="40"/>
    <n v="47.67"/>
    <s v="Z07"/>
    <s v="服务费-小吃类"/>
  </r>
  <r>
    <d v="2025-04-01T00:00:00"/>
    <d v="2025-04-30T00:00:00"/>
    <s v="CA07"/>
    <s v="加拿大七店"/>
    <x v="194"/>
    <s v="喷雾瓶（安利）"/>
    <s v="Z05"/>
    <s v="个"/>
    <s v="费用类"/>
    <n v="5.0599999999999996"/>
    <n v="10"/>
    <n v="50.55"/>
    <s v="Z15"/>
    <s v="物料消耗-其他类"/>
  </r>
  <r>
    <d v="2025-04-01T00:00:00"/>
    <d v="2025-04-30T00:00:00"/>
    <s v="CA07"/>
    <s v="加拿大七店"/>
    <x v="195"/>
    <s v="加多宝（310ML*24听/件）"/>
    <s v="Z01"/>
    <s v="听"/>
    <s v="成本类"/>
    <n v="0.79"/>
    <n v="211"/>
    <n v="167.04"/>
    <s v="Z04"/>
    <s v="成本-酒水类"/>
  </r>
  <r>
    <d v="2025-04-01T00:00:00"/>
    <d v="2025-04-30T00:00:00"/>
    <s v="CA07"/>
    <s v="加拿大七店"/>
    <x v="196"/>
    <s v="双层抽纸（清风，130抽*96包/件）"/>
    <s v="Z07"/>
    <s v="包"/>
    <s v="费用类"/>
    <n v="0.36"/>
    <n v="1536"/>
    <n v="560.20000000000005"/>
    <s v="Z13"/>
    <s v="物料消耗-纸巾类"/>
  </r>
  <r>
    <d v="2025-04-01T00:00:00"/>
    <d v="2025-04-30T00:00:00"/>
    <s v="CA07"/>
    <s v="加拿大七店"/>
    <x v="197"/>
    <s v="喷雾瓶喷头（安利）"/>
    <s v="Z05"/>
    <s v="个"/>
    <s v="费用类"/>
    <n v="3.61"/>
    <n v="10"/>
    <n v="36.11"/>
    <s v="Z15"/>
    <s v="物料消耗-其他类"/>
  </r>
  <r>
    <d v="2025-04-01T00:00:00"/>
    <d v="2025-04-30T00:00:00"/>
    <s v="CA07"/>
    <s v="加拿大七店"/>
    <x v="198"/>
    <s v="芥末（43G/盒）"/>
    <s v="KG"/>
    <s v="公斤"/>
    <s v="成本类"/>
    <n v="34.659999999999997"/>
    <n v="5.8000000000000003E-2"/>
    <n v="2.0099999999999998"/>
    <s v="Z05"/>
    <s v="成本-其他类"/>
  </r>
  <r>
    <d v="2025-04-01T00:00:00"/>
    <d v="2025-04-30T00:00:00"/>
    <s v="CA07"/>
    <s v="加拿大七店"/>
    <x v="199"/>
    <s v="青岛啤酒（330ML*24瓶/件）"/>
    <s v="BOT"/>
    <s v="瓶"/>
    <s v="成本类"/>
    <n v="1.9"/>
    <n v="207"/>
    <n v="394.2"/>
    <s v="Z04"/>
    <s v="成本-酒水类"/>
  </r>
  <r>
    <d v="2025-04-01T00:00:00"/>
    <d v="2025-04-30T00:00:00"/>
    <s v="CA07"/>
    <s v="加拿大七店"/>
    <x v="200"/>
    <s v="客人围裙（黑色红边，20条/捆）"/>
    <s v="Z19"/>
    <s v="条"/>
    <s v="费用类"/>
    <n v="2.17"/>
    <n v="200"/>
    <n v="433.29"/>
    <s v="Z15"/>
    <s v="物料消耗-其他类"/>
  </r>
  <r>
    <d v="2025-04-01T00:00:00"/>
    <d v="2025-04-30T00:00:00"/>
    <s v="CA07"/>
    <s v="加拿大七店"/>
    <x v="201"/>
    <s v="鸡粉调味料（李锦记，1KG*12桶/件）"/>
    <s v="KG"/>
    <s v="公斤"/>
    <s v="成本类"/>
    <n v="8.9700000000000006"/>
    <n v="9"/>
    <n v="80.7"/>
    <s v="Z05"/>
    <s v="成本-其他类"/>
  </r>
  <r>
    <d v="2025-04-01T00:00:00"/>
    <d v="2025-04-30T00:00:00"/>
    <s v="CA07"/>
    <s v="加拿大七店"/>
    <x v="202"/>
    <s v="香辣酱（美乐，1KG*12瓶/件）"/>
    <s v="KG"/>
    <s v="公斤"/>
    <s v="成本类"/>
    <n v="7.09"/>
    <n v="60"/>
    <n v="425.56"/>
    <s v="Z05"/>
    <s v="成本-其他类"/>
  </r>
  <r>
    <d v="2025-04-01T00:00:00"/>
    <d v="2025-04-30T00:00:00"/>
    <s v="CA07"/>
    <s v="加拿大七店"/>
    <x v="203"/>
    <s v="无粉丁腈手套（蓝色，L，100只*10盒/件）"/>
    <s v="Z21"/>
    <s v="只"/>
    <s v="费用类"/>
    <n v="0.03"/>
    <n v="4000"/>
    <n v="117.74"/>
    <s v="Z20"/>
    <s v="劳动保护费"/>
  </r>
  <r>
    <d v="2025-04-01T00:00:00"/>
    <d v="2025-04-30T00:00:00"/>
    <s v="CA07"/>
    <s v="加拿大七店"/>
    <x v="204"/>
    <s v="无粉丁腈手套（蓝色，M，100只*10盒/件）"/>
    <s v="Z21"/>
    <s v="只"/>
    <s v="费用类"/>
    <n v="0.03"/>
    <n v="5000"/>
    <n v="150.66999999999999"/>
    <s v="Z20"/>
    <s v="劳动保护费"/>
  </r>
  <r>
    <d v="2025-04-01T00:00:00"/>
    <d v="2025-04-30T00:00:00"/>
    <s v="CA07"/>
    <s v="加拿大七店"/>
    <x v="205"/>
    <s v="无粉丁腈手套（蓝色，S，100只*10盒/件）"/>
    <s v="Z21"/>
    <s v="只"/>
    <s v="费用类"/>
    <n v="0.03"/>
    <n v="4000"/>
    <n v="122"/>
    <s v="Z20"/>
    <s v="劳动保护费"/>
  </r>
  <r>
    <d v="2025-04-01T00:00:00"/>
    <d v="2025-04-30T00:00:00"/>
    <s v="CA07"/>
    <s v="加拿大七店"/>
    <x v="206"/>
    <s v="冰粉粉（康雅酷，40G*100包/件）"/>
    <s v="Z07"/>
    <s v="包"/>
    <s v="成本类"/>
    <n v="0.38"/>
    <n v="900"/>
    <n v="342.48"/>
    <s v="Z07"/>
    <s v="服务费-小吃类"/>
  </r>
  <r>
    <d v="2025-04-01T00:00:00"/>
    <d v="2025-04-30T00:00:00"/>
    <s v="CA07"/>
    <s v="加拿大七店"/>
    <x v="207"/>
    <s v="捞面面节（三全，2.5KG*4包/件）"/>
    <s v="KG"/>
    <s v="公斤"/>
    <s v="成本类"/>
    <n v="2.4"/>
    <n v="40"/>
    <n v="96"/>
    <s v="Z07"/>
    <s v="服务费-小吃类"/>
  </r>
  <r>
    <d v="2025-04-01T00:00:00"/>
    <d v="2025-04-30T00:00:00"/>
    <s v="CA07"/>
    <s v="加拿大七店"/>
    <x v="208"/>
    <s v="纯芝麻酱（富味乡，2KG*10袋/件）"/>
    <s v="KG"/>
    <s v="公斤"/>
    <s v="成本类"/>
    <n v="4.5"/>
    <n v="140"/>
    <n v="629.67999999999995"/>
    <s v="Z05"/>
    <s v="成本-其他类"/>
  </r>
  <r>
    <d v="2025-04-01T00:00:00"/>
    <d v="2025-04-30T00:00:00"/>
    <s v="CA07"/>
    <s v="加拿大七店"/>
    <x v="209"/>
    <s v="黑鱼片（1KG*10包/箱）"/>
    <s v="KG"/>
    <s v="公斤"/>
    <s v="成本类"/>
    <n v="10.5"/>
    <n v="94"/>
    <n v="986.97"/>
    <s v="Z02"/>
    <s v="成本-荤菜类"/>
  </r>
  <r>
    <d v="2025-04-01T00:00:00"/>
    <d v="2025-04-30T00:00:00"/>
    <s v="CA07"/>
    <s v="加拿大七店"/>
    <x v="210"/>
    <s v="正宗椰树牌椰汁（245ML*24盒/件）"/>
    <s v="Z06"/>
    <s v="盒"/>
    <s v="成本类"/>
    <n v="1.02"/>
    <n v="100"/>
    <n v="102.07"/>
    <s v="Z04"/>
    <s v="成本-酒水类"/>
  </r>
  <r>
    <d v="2025-04-01T00:00:00"/>
    <d v="2025-04-30T00:00:00"/>
    <s v="CA07"/>
    <s v="加拿大七店"/>
    <x v="211"/>
    <s v="奶酪鱼条（500G*20盒/件 ）"/>
    <s v="KG"/>
    <s v="公斤"/>
    <s v="成本类"/>
    <n v="8.33"/>
    <n v="70"/>
    <n v="583.41"/>
    <s v="Z02"/>
    <s v="成本-荤菜类"/>
  </r>
  <r>
    <d v="2025-04-01T00:00:00"/>
    <d v="2025-04-30T00:00:00"/>
    <s v="CA07"/>
    <s v="加拿大七店"/>
    <x v="212"/>
    <s v="速冻虾滑（越南，DL443厂，1.6KG*6包/件）"/>
    <s v="KG"/>
    <s v="公斤"/>
    <s v="成本类"/>
    <n v="17.11"/>
    <n v="393.6"/>
    <n v="6734.53"/>
    <s v="Z02"/>
    <s v="成本-荤菜类"/>
  </r>
  <r>
    <d v="2025-04-01T00:00:00"/>
    <d v="2025-04-30T00:00:00"/>
    <s v="CA07"/>
    <s v="加拿大七店"/>
    <x v="213"/>
    <s v="速冻黄金熔岩虾球（越南DL443，250G*20包/件）"/>
    <s v="KG"/>
    <s v="公斤"/>
    <s v="成本类"/>
    <n v="15.23"/>
    <n v="40"/>
    <n v="609.12"/>
    <s v="Z07"/>
    <s v="服务费-小吃类"/>
  </r>
  <r>
    <d v="2025-04-01T00:00:00"/>
    <d v="2025-04-30T00:00:00"/>
    <s v="CA07"/>
    <s v="加拿大七店"/>
    <x v="214"/>
    <s v="一次性纸杯（海底捞门店专用，50个*20提/件）"/>
    <s v="Z05"/>
    <s v="个"/>
    <s v="费用类"/>
    <n v="0.03"/>
    <n v="2000"/>
    <n v="53.21"/>
    <s v="Z12"/>
    <s v="物料消耗-餐具类"/>
  </r>
  <r>
    <d v="2025-04-01T00:00:00"/>
    <d v="2025-04-30T00:00:00"/>
    <s v="CA07"/>
    <s v="加拿大七店"/>
    <x v="215"/>
    <s v="达尔文百洁布（9*8CM，10卷/箱）"/>
    <s v="Z08"/>
    <s v="卷"/>
    <s v="费用类"/>
    <n v="12.02"/>
    <n v="8"/>
    <n v="96.14"/>
    <s v="Z11"/>
    <s v="物料消耗-清洁类"/>
  </r>
  <r>
    <d v="2025-04-01T00:00:00"/>
    <d v="2025-04-30T00:00:00"/>
    <s v="CA07"/>
    <s v="加拿大七店"/>
    <x v="216"/>
    <s v="双层卷纸（12卷/箱）"/>
    <s v="Z08"/>
    <s v="卷"/>
    <s v="费用类"/>
    <n v="0.46"/>
    <n v="551"/>
    <n v="252.88"/>
    <s v="Z11"/>
    <s v="物料消耗-清洁类"/>
  </r>
  <r>
    <d v="2025-04-01T00:00:00"/>
    <d v="2025-04-30T00:00:00"/>
    <s v="CA07"/>
    <s v="加拿大七店"/>
    <x v="217"/>
    <s v="升级版调料勺"/>
    <s v="Z05"/>
    <s v="个"/>
    <s v="费用类"/>
    <n v="1.72"/>
    <n v="20"/>
    <n v="34.450000000000003"/>
    <s v="Z15"/>
    <s v="物料消耗-其他类"/>
  </r>
  <r>
    <d v="2025-04-01T00:00:00"/>
    <d v="2025-04-30T00:00:00"/>
    <s v="CA07"/>
    <s v="加拿大七店"/>
    <x v="218"/>
    <s v="泡椒鱼皮（龙威，1KG*10包/件）"/>
    <s v="KG"/>
    <s v="公斤"/>
    <s v="成本类"/>
    <n v="4.7699999999999996"/>
    <n v="260"/>
    <n v="1240.54"/>
    <s v="Z09"/>
    <s v="服务费-凉菜类"/>
  </r>
  <r>
    <d v="2025-04-01T00:00:00"/>
    <d v="2025-04-30T00:00:00"/>
    <s v="CA07"/>
    <s v="加拿大七店"/>
    <x v="219"/>
    <s v="冻油豆皮（龙伟，1KG*10包/件）"/>
    <s v="KG"/>
    <s v="公斤"/>
    <s v="成本类"/>
    <n v="6.5"/>
    <n v="66.5"/>
    <n v="432.5"/>
    <s v="Z03"/>
    <s v="成本-素菜类"/>
  </r>
  <r>
    <d v="2025-04-01T00:00:00"/>
    <d v="2025-04-30T00:00:00"/>
    <s v="CA07"/>
    <s v="加拿大七店"/>
    <x v="220"/>
    <s v="圆形透亮钢化杯（48只/件）"/>
    <s v="Z21"/>
    <s v="只"/>
    <s v="费用类"/>
    <n v="0.7"/>
    <n v="192"/>
    <n v="134.28"/>
    <s v="Z15"/>
    <s v="物料消耗-其他类"/>
  </r>
  <r>
    <d v="2025-04-01T00:00:00"/>
    <d v="2025-04-30T00:00:00"/>
    <s v="CA07"/>
    <s v="加拿大七店"/>
    <x v="221"/>
    <s v="烤花生仁切碎（中粮，2.5KG*4包/件）"/>
    <s v="KG"/>
    <s v="公斤"/>
    <s v="成本类"/>
    <n v="6.73"/>
    <n v="100"/>
    <n v="672.73"/>
    <s v="Z05"/>
    <s v="成本-其他类"/>
  </r>
  <r>
    <d v="2025-04-01T00:00:00"/>
    <d v="2025-04-30T00:00:00"/>
    <s v="CA07"/>
    <s v="加拿大七店"/>
    <x v="222"/>
    <s v="醇然心动混合薄荷糖（海亿，2.28KG*4包/件）"/>
    <s v="KG"/>
    <s v="公斤"/>
    <s v="成本类"/>
    <n v="4.2699999999999996"/>
    <n v="136.80000000000001"/>
    <n v="583.95000000000005"/>
    <s v="Z10"/>
    <s v="服务费-其他类"/>
  </r>
  <r>
    <d v="2025-04-01T00:00:00"/>
    <d v="2025-04-30T00:00:00"/>
    <s v="CA07"/>
    <s v="加拿大七店"/>
    <x v="223"/>
    <s v="山楂碎（2.5KG*4袋/件）"/>
    <s v="KG"/>
    <s v="公斤"/>
    <s v="成本类"/>
    <n v="4"/>
    <n v="15"/>
    <n v="60"/>
    <s v="Z05"/>
    <s v="成本-其他类"/>
  </r>
  <r>
    <d v="2025-04-01T00:00:00"/>
    <d v="2025-04-30T00:00:00"/>
    <s v="CA07"/>
    <s v="加拿大七店"/>
    <x v="224"/>
    <s v="干辣椒节（2.5KG*4包/件）"/>
    <s v="KG"/>
    <s v="公斤"/>
    <s v="成本类"/>
    <n v="12.03"/>
    <n v="3"/>
    <n v="36.08"/>
    <s v="Z05"/>
    <s v="成本-其他类"/>
  </r>
  <r>
    <d v="2025-04-01T00:00:00"/>
    <d v="2025-04-30T00:00:00"/>
    <s v="CA07"/>
    <s v="加拿大七店"/>
    <x v="225"/>
    <s v="冷冻薯球（凯达，2KG*6袋/件）"/>
    <s v="KG"/>
    <s v="公斤"/>
    <s v="成本类"/>
    <n v="3.38"/>
    <n v="40"/>
    <n v="135.19999999999999"/>
    <s v="Z07"/>
    <s v="服务费-小吃类"/>
  </r>
  <r>
    <d v="2025-04-01T00:00:00"/>
    <d v="2025-04-30T00:00:00"/>
    <s v="CA07"/>
    <s v="加拿大七店"/>
    <x v="226"/>
    <s v="冷冻葡萄果酱（润宝，1KG*12瓶/件）"/>
    <s v="BOT"/>
    <s v="瓶"/>
    <s v="成本类"/>
    <n v="4.83"/>
    <n v="71"/>
    <n v="342.81"/>
    <s v="Z05"/>
    <s v="成本-其他类"/>
  </r>
  <r>
    <d v="2025-04-01T00:00:00"/>
    <d v="2025-04-30T00:00:00"/>
    <s v="CA07"/>
    <s v="加拿大七店"/>
    <x v="227"/>
    <s v="镇江香醋（恒顺，2L*6桶/件）"/>
    <s v="L"/>
    <s v="升"/>
    <s v="成本类"/>
    <n v="1.92"/>
    <n v="108"/>
    <n v="207"/>
    <s v="Z05"/>
    <s v="成本-其他类"/>
  </r>
  <r>
    <d v="2025-04-01T00:00:00"/>
    <d v="2025-04-30T00:00:00"/>
    <s v="CA07"/>
    <s v="加拿大七店"/>
    <x v="228"/>
    <s v="杀菌卫生湿巾（维达，80片*12包/件）"/>
    <s v="Z07"/>
    <s v="包"/>
    <s v="费用类"/>
    <n v="5.32"/>
    <n v="60"/>
    <n v="319.3"/>
    <s v="Z13"/>
    <s v="物料消耗-纸巾类"/>
  </r>
  <r>
    <d v="2025-04-01T00:00:00"/>
    <d v="2025-04-30T00:00:00"/>
    <s v="CA07"/>
    <s v="加拿大七店"/>
    <x v="229"/>
    <s v="美国和牛"/>
    <s v="KG"/>
    <s v="公斤"/>
    <s v="成本类"/>
    <n v="97.6"/>
    <n v="33.415999999999997"/>
    <n v="3261.32"/>
    <s v="Z02"/>
    <s v="成本-荤菜类"/>
  </r>
  <r>
    <d v="2025-04-01T00:00:00"/>
    <d v="2025-04-30T00:00:00"/>
    <s v="CA07"/>
    <s v="加拿大七店"/>
    <x v="230"/>
    <s v="青口贝（800G*12盒/件）"/>
    <s v="KG"/>
    <s v="公斤"/>
    <s v="成本类"/>
    <n v="14.06"/>
    <n v="21.6"/>
    <n v="303.75"/>
    <s v="Z02"/>
    <s v="成本-荤菜类"/>
  </r>
  <r>
    <d v="2025-04-01T00:00:00"/>
    <d v="2025-04-30T00:00:00"/>
    <s v="CA07"/>
    <s v="加拿大七店"/>
    <x v="231"/>
    <s v="小番茄（12盒/箱）"/>
    <s v="Z06"/>
    <s v="盒"/>
    <s v="成本类"/>
    <n v="2.33"/>
    <n v="720"/>
    <n v="1680"/>
    <s v="Z06"/>
    <s v="服务费-水果类"/>
  </r>
  <r>
    <d v="2025-04-01T00:00:00"/>
    <d v="2025-04-30T00:00:00"/>
    <s v="CA07"/>
    <s v="加拿大七店"/>
    <x v="232"/>
    <s v="香菇/鲜冬菇/花菇（L，11LB/箱）"/>
    <s v="CL5"/>
    <s v="磅-美"/>
    <s v="成本类"/>
    <n v="3.82"/>
    <n v="55"/>
    <n v="210"/>
    <s v="Z03"/>
    <s v="成本-素菜类"/>
  </r>
  <r>
    <d v="2025-04-01T00:00:00"/>
    <d v="2025-04-30T00:00:00"/>
    <s v="CA07"/>
    <s v="加拿大七店"/>
    <x v="233"/>
    <s v="香菜/芫茜（60把/箱）"/>
    <s v="Z24"/>
    <s v="把"/>
    <s v="成本类"/>
    <n v="0.37"/>
    <n v="1680"/>
    <n v="620"/>
    <s v="Z05"/>
    <s v="成本-其他类"/>
  </r>
  <r>
    <d v="2025-04-01T00:00:00"/>
    <d v="2025-04-30T00:00:00"/>
    <s v="CA07"/>
    <s v="加拿大七店"/>
    <x v="234"/>
    <s v="味精（50LB/包）"/>
    <s v="CL5"/>
    <s v="磅-美"/>
    <s v="成本类"/>
    <n v="1.2"/>
    <n v="30"/>
    <n v="36"/>
    <s v="Z05"/>
    <s v="成本-其他类"/>
  </r>
  <r>
    <d v="2025-04-01T00:00:00"/>
    <d v="2025-04-30T00:00:00"/>
    <s v="CA07"/>
    <s v="加拿大七店"/>
    <x v="235"/>
    <s v="去皮牛舌（LB）"/>
    <s v="CL5"/>
    <s v="磅-美"/>
    <s v="成本类"/>
    <n v="6.45"/>
    <n v="65.8"/>
    <n v="424.41"/>
    <s v="Z02"/>
    <s v="成本-荤菜类"/>
  </r>
  <r>
    <d v="2025-04-01T00:00:00"/>
    <d v="2025-04-30T00:00:00"/>
    <s v="CA07"/>
    <s v="加拿大七店"/>
    <x v="236"/>
    <s v="雪碧（355ML*24瓶/箱）"/>
    <s v="BOT"/>
    <s v="瓶"/>
    <s v="成本类"/>
    <n v="0.59"/>
    <n v="285"/>
    <n v="168.81"/>
    <s v="Z04"/>
    <s v="成本-酒水类"/>
  </r>
  <r>
    <d v="2025-04-01T00:00:00"/>
    <d v="2025-04-30T00:00:00"/>
    <s v="CA07"/>
    <s v="加拿大七店"/>
    <x v="237"/>
    <s v="九层塔（LB）"/>
    <s v="CL5"/>
    <s v="磅-美"/>
    <s v="成本类"/>
    <n v="7.5"/>
    <n v="11"/>
    <n v="82.5"/>
    <s v="Z03"/>
    <s v="成本-素菜类"/>
  </r>
  <r>
    <d v="2025-04-01T00:00:00"/>
    <d v="2025-04-30T00:00:00"/>
    <s v="CA07"/>
    <s v="加拿大七店"/>
    <x v="238"/>
    <s v="黑毛肚（LB）"/>
    <s v="CL5"/>
    <s v="磅-美"/>
    <s v="成本类"/>
    <n v="6.99"/>
    <n v="2105.076"/>
    <n v="14714.49"/>
    <s v="Z02"/>
    <s v="成本-荤菜类"/>
  </r>
  <r>
    <d v="2025-04-01T00:00:00"/>
    <d v="2025-04-30T00:00:00"/>
    <s v="CA07"/>
    <s v="加拿大七店"/>
    <x v="239"/>
    <s v="风车生粉（50LB/箱）"/>
    <s v="CL5"/>
    <s v="磅-美"/>
    <s v="成本类"/>
    <n v="1.32"/>
    <n v="55"/>
    <n v="72.599999999999994"/>
    <s v="Z05"/>
    <s v="成本-其他类"/>
  </r>
  <r>
    <d v="2025-04-01T00:00:00"/>
    <d v="2025-04-30T00:00:00"/>
    <s v="CA07"/>
    <s v="加拿大七店"/>
    <x v="240"/>
    <s v="番茄（25LB/箱）"/>
    <s v="CL5"/>
    <s v="磅-美"/>
    <s v="费用类"/>
    <n v="1.34"/>
    <n v="10"/>
    <n v="13.36"/>
    <s v="Z06"/>
    <s v="服务费-水果类"/>
  </r>
  <r>
    <d v="2025-04-01T00:00:00"/>
    <d v="2025-04-30T00:00:00"/>
    <s v="CA07"/>
    <s v="加拿大七店"/>
    <x v="240"/>
    <s v="番茄（25LB/箱）"/>
    <s v="CL5"/>
    <s v="磅-美"/>
    <s v="成本类"/>
    <n v="1.3"/>
    <n v="2056"/>
    <n v="2677.69"/>
    <s v="Z06"/>
    <s v="服务费-水果类"/>
  </r>
  <r>
    <d v="2025-04-01T00:00:00"/>
    <d v="2025-04-30T00:00:00"/>
    <s v="CA07"/>
    <s v="加拿大七店"/>
    <x v="241"/>
    <s v="草莓（1LB*8包/箱）"/>
    <s v="CL5"/>
    <s v="磅-美"/>
    <s v="成本类"/>
    <n v="5.24"/>
    <n v="120"/>
    <n v="629.39"/>
    <s v="Z06"/>
    <s v="服务费-水果类"/>
  </r>
  <r>
    <d v="2025-04-01T00:00:00"/>
    <d v="2025-04-30T00:00:00"/>
    <s v="CA07"/>
    <s v="加拿大七店"/>
    <x v="242"/>
    <s v="白菜/绍菜（50LB/箱）"/>
    <s v="CL5"/>
    <s v="磅-美"/>
    <s v="费用类"/>
    <n v="1.24"/>
    <n v="65"/>
    <n v="80.44"/>
    <s v="Z03"/>
    <s v="成本-素菜类"/>
  </r>
  <r>
    <d v="2025-04-01T00:00:00"/>
    <d v="2025-04-30T00:00:00"/>
    <s v="CA07"/>
    <s v="加拿大七店"/>
    <x v="242"/>
    <s v="白菜/绍菜（50LB/箱）"/>
    <s v="CL5"/>
    <s v="磅-美"/>
    <s v="成本类"/>
    <n v="1.24"/>
    <n v="1585"/>
    <n v="1963.62"/>
    <s v="Z03"/>
    <s v="成本-素菜类"/>
  </r>
  <r>
    <d v="2025-04-01T00:00:00"/>
    <d v="2025-04-30T00:00:00"/>
    <s v="CA07"/>
    <s v="加拿大七店"/>
    <x v="243"/>
    <s v="土豆（50LB/箱）"/>
    <s v="CL5"/>
    <s v="磅-美"/>
    <s v="费用类"/>
    <n v="0.43"/>
    <n v="10"/>
    <n v="4.32"/>
    <s v="Z03"/>
    <s v="成本-素菜类"/>
  </r>
  <r>
    <d v="2025-04-01T00:00:00"/>
    <d v="2025-04-30T00:00:00"/>
    <s v="CA07"/>
    <s v="加拿大七店"/>
    <x v="243"/>
    <s v="土豆（50LB/箱）"/>
    <s v="CL5"/>
    <s v="磅-美"/>
    <s v="成本类"/>
    <n v="0.43"/>
    <n v="430"/>
    <n v="185.98"/>
    <s v="Z03"/>
    <s v="成本-素菜类"/>
  </r>
  <r>
    <d v="2025-04-01T00:00:00"/>
    <d v="2025-04-30T00:00:00"/>
    <s v="CA07"/>
    <s v="加拿大七店"/>
    <x v="244"/>
    <s v="锅巴（旭源，20G*230包/件）"/>
    <s v="KG"/>
    <s v="公斤"/>
    <s v="成本类"/>
    <n v="5.93"/>
    <n v="179.4"/>
    <n v="1064.02"/>
    <s v="Z07"/>
    <s v="服务费-小吃类"/>
  </r>
  <r>
    <d v="2025-04-01T00:00:00"/>
    <d v="2025-04-30T00:00:00"/>
    <s v="CA07"/>
    <s v="加拿大七店"/>
    <x v="245"/>
    <s v="韩国辣椒粉（1LB/包）"/>
    <s v="CL5"/>
    <s v="磅-美"/>
    <s v="成本类"/>
    <n v="4.83"/>
    <n v="18"/>
    <n v="86.87"/>
    <s v="Z05"/>
    <s v="成本-其他类"/>
  </r>
  <r>
    <d v="2025-04-01T00:00:00"/>
    <d v="2025-04-30T00:00:00"/>
    <s v="CA07"/>
    <s v="加拿大七店"/>
    <x v="246"/>
    <s v="金针菇（200G*25包/箱）"/>
    <s v="KG"/>
    <s v="公斤"/>
    <s v="成本类"/>
    <n v="4.3600000000000003"/>
    <n v="315"/>
    <n v="1373.98"/>
    <s v="Z03"/>
    <s v="成本-素菜类"/>
  </r>
  <r>
    <d v="2025-04-01T00:00:00"/>
    <d v="2025-04-30T00:00:00"/>
    <s v="CA07"/>
    <s v="加拿大七店"/>
    <x v="247"/>
    <s v="海底捞德式小麦啤酒（500ML*12瓶/件）"/>
    <s v="BOT"/>
    <s v="瓶"/>
    <s v="成本类"/>
    <n v="3"/>
    <n v="121"/>
    <n v="363"/>
    <s v="Z04"/>
    <s v="成本-酒水类"/>
  </r>
  <r>
    <d v="2025-04-01T00:00:00"/>
    <d v="2025-04-30T00:00:00"/>
    <s v="CA07"/>
    <s v="加拿大七店"/>
    <x v="248"/>
    <s v="猪大肠 （LB）"/>
    <s v="CL5"/>
    <s v="磅-美"/>
    <s v="成本类"/>
    <n v="3.99"/>
    <n v="110.23"/>
    <n v="439.82"/>
    <s v="Z02"/>
    <s v="成本-荤菜类"/>
  </r>
  <r>
    <d v="2025-04-01T00:00:00"/>
    <d v="2025-04-30T00:00:00"/>
    <s v="CA07"/>
    <s v="加拿大七店"/>
    <x v="249"/>
    <s v="玉米淀粉（50LB/箱）"/>
    <s v="CL5"/>
    <s v="磅-美"/>
    <s v="成本类"/>
    <n v="1.1599999999999999"/>
    <n v="80"/>
    <n v="92.72"/>
    <s v="Z05"/>
    <s v="成本-其他类"/>
  </r>
  <r>
    <d v="2025-04-01T00:00:00"/>
    <d v="2025-04-30T00:00:00"/>
    <s v="CA07"/>
    <s v="加拿大七店"/>
    <x v="250"/>
    <s v="青柠檬（175颗/箱）"/>
    <s v="Z32"/>
    <s v="颗"/>
    <s v="成本类"/>
    <n v="0.45"/>
    <n v="175"/>
    <n v="79.5"/>
    <s v="Z04"/>
    <s v="成本-酒水类"/>
  </r>
  <r>
    <d v="2025-04-01T00:00:00"/>
    <d v="2025-04-30T00:00:00"/>
    <s v="CA07"/>
    <s v="加拿大七店"/>
    <x v="251"/>
    <s v="龙虾（LB）"/>
    <s v="CL5"/>
    <s v="磅-美"/>
    <s v="成本类"/>
    <n v="28.42"/>
    <n v="10.14"/>
    <n v="288.13"/>
    <s v="Z02"/>
    <s v="成本-荤菜类"/>
  </r>
  <r>
    <d v="2025-04-01T00:00:00"/>
    <d v="2025-04-30T00:00:00"/>
    <s v="CA07"/>
    <s v="加拿大七店"/>
    <x v="252"/>
    <s v="冬瓜（LB）"/>
    <s v="CL5"/>
    <s v="磅-美"/>
    <s v="成本类"/>
    <n v="1.1399999999999999"/>
    <n v="349.8"/>
    <n v="399.25"/>
    <s v="Z03"/>
    <s v="成本-素菜类"/>
  </r>
  <r>
    <d v="2025-04-01T00:00:00"/>
    <d v="2025-04-30T00:00:00"/>
    <s v="CA07"/>
    <s v="加拿大七店"/>
    <x v="253"/>
    <s v="江小白 40 度（50ML*36瓶/箱）"/>
    <s v="BOT"/>
    <s v="瓶"/>
    <s v="成本类"/>
    <n v="3.62"/>
    <n v="7"/>
    <n v="25.34"/>
    <s v="Z04"/>
    <s v="成本-酒水类"/>
  </r>
  <r>
    <d v="2025-04-01T00:00:00"/>
    <d v="2025-04-30T00:00:00"/>
    <s v="CA07"/>
    <s v="加拿大七店"/>
    <x v="254"/>
    <s v="猪肚（LB）"/>
    <s v="CL5"/>
    <s v="磅-美"/>
    <s v="成本类"/>
    <n v="3.6"/>
    <n v="264"/>
    <n v="950.4"/>
    <s v="Z02"/>
    <s v="成本-荤菜类"/>
  </r>
  <r>
    <d v="2025-04-01T00:00:00"/>
    <d v="2025-04-30T00:00:00"/>
    <s v="CA07"/>
    <s v="加拿大七店"/>
    <x v="255"/>
    <s v="象拔蚌（LB）"/>
    <s v="CL5"/>
    <s v="磅-美"/>
    <s v="成本类"/>
    <n v="42.1"/>
    <n v="18.7"/>
    <n v="787.27"/>
    <s v="Z02"/>
    <s v="成本-荤菜类"/>
  </r>
  <r>
    <d v="2025-04-01T00:00:00"/>
    <d v="2025-04-30T00:00:00"/>
    <s v="CA07"/>
    <s v="加拿大七店"/>
    <x v="256"/>
    <s v="青笋/莴笋（10KG/箱）"/>
    <s v="KG"/>
    <s v="公斤"/>
    <s v="成本类"/>
    <n v="3.93"/>
    <n v="230"/>
    <n v="904"/>
    <s v="Z03"/>
    <s v="成本-素菜类"/>
  </r>
  <r>
    <d v="2025-04-01T00:00:00"/>
    <d v="2025-04-30T00:00:00"/>
    <s v="CA07"/>
    <s v="加拿大七店"/>
    <x v="257"/>
    <s v="芽菜 （LB）"/>
    <s v="CL5"/>
    <s v="磅-美"/>
    <s v="费用类"/>
    <n v="1.05"/>
    <n v="170"/>
    <n v="178.52"/>
    <s v="Z05"/>
    <s v="成本-其他类"/>
  </r>
  <r>
    <d v="2025-04-01T00:00:00"/>
    <d v="2025-04-30T00:00:00"/>
    <s v="CA07"/>
    <s v="加拿大七店"/>
    <x v="258"/>
    <s v="猪里脊肉（LB）"/>
    <s v="CL5"/>
    <s v="磅-美"/>
    <s v="费用类"/>
    <n v="2.4900000000000002"/>
    <n v="42"/>
    <n v="104.58"/>
    <s v="Z21"/>
    <s v="员工餐"/>
  </r>
  <r>
    <d v="2025-04-01T00:00:00"/>
    <d v="2025-04-30T00:00:00"/>
    <s v="CA07"/>
    <s v="加拿大七店"/>
    <x v="259"/>
    <s v="鸡翅中（LB）"/>
    <s v="CL5"/>
    <s v="磅-美"/>
    <s v="费用类"/>
    <n v="4.09"/>
    <n v="40"/>
    <n v="163.6"/>
    <s v="Z02"/>
    <s v="成本-荤菜类"/>
  </r>
  <r>
    <d v="2025-04-01T00:00:00"/>
    <d v="2025-04-30T00:00:00"/>
    <s v="CA07"/>
    <s v="加拿大七店"/>
    <x v="259"/>
    <s v="鸡翅中（LB）"/>
    <s v="CL5"/>
    <s v="磅-美"/>
    <s v="成本类"/>
    <n v="4.09"/>
    <n v="286.32"/>
    <n v="1171.04"/>
    <s v="Z02"/>
    <s v="成本-荤菜类"/>
  </r>
  <r>
    <d v="2025-04-01T00:00:00"/>
    <d v="2025-04-30T00:00:00"/>
    <s v="CA07"/>
    <s v="加拿大七店"/>
    <x v="260"/>
    <s v="南瓜（40LB/箱）"/>
    <s v="CL5"/>
    <s v="磅-美"/>
    <s v="成本类"/>
    <n v="0.98"/>
    <n v="220"/>
    <n v="214.5"/>
    <s v="Z03"/>
    <s v="成本-素菜类"/>
  </r>
  <r>
    <d v="2025-04-01T00:00:00"/>
    <d v="2025-04-30T00:00:00"/>
    <s v="CA07"/>
    <s v="加拿大七店"/>
    <x v="261"/>
    <s v="冬阴功酱（PENTA，3KG*6包/件）"/>
    <s v="Z07"/>
    <s v="包"/>
    <s v="成本类"/>
    <n v="16.52"/>
    <n v="57"/>
    <n v="941.64"/>
    <s v="Z05"/>
    <s v="成本-其他类"/>
  </r>
  <r>
    <d v="2025-04-01T00:00:00"/>
    <d v="2025-04-30T00:00:00"/>
    <s v="CA07"/>
    <s v="加拿大七店"/>
    <x v="262"/>
    <s v="打包盒（1000个/箱）"/>
    <s v="Z05"/>
    <s v="个"/>
    <s v="费用类"/>
    <n v="0.05"/>
    <n v="3000"/>
    <n v="145.5"/>
    <s v="Z15"/>
    <s v="物料消耗-其他类"/>
  </r>
  <r>
    <d v="2025-04-01T00:00:00"/>
    <d v="2025-04-30T00:00:00"/>
    <s v="CA07"/>
    <s v="加拿大七店"/>
    <x v="263"/>
    <s v="打包盒盖子（1000个/箱）"/>
    <s v="Z05"/>
    <s v="个"/>
    <s v="费用类"/>
    <n v="0.03"/>
    <n v="3000"/>
    <n v="89.7"/>
    <s v="Z15"/>
    <s v="物料消耗-其他类"/>
  </r>
  <r>
    <d v="2025-04-01T00:00:00"/>
    <d v="2025-04-30T00:00:00"/>
    <s v="CA07"/>
    <s v="加拿大七店"/>
    <x v="264"/>
    <s v="猪脊骨（LB）"/>
    <s v="CL5"/>
    <s v="磅-美"/>
    <s v="成本类"/>
    <n v="1.7"/>
    <n v="392.66"/>
    <n v="667.52"/>
    <s v="Z21"/>
    <s v="员工餐"/>
  </r>
  <r>
    <d v="2025-04-01T00:00:00"/>
    <d v="2025-04-30T00:00:00"/>
    <s v="CA07"/>
    <s v="加拿大七店"/>
    <x v="265"/>
    <s v="打包盒（1.5L，300个/箱）"/>
    <s v="Z05"/>
    <s v="个"/>
    <s v="费用类"/>
    <n v="0.18"/>
    <n v="2400"/>
    <n v="439.09"/>
    <s v="Z15"/>
    <s v="物料消耗-其他类"/>
  </r>
  <r>
    <d v="2025-04-01T00:00:00"/>
    <d v="2025-04-30T00:00:00"/>
    <s v="CA07"/>
    <s v="加拿大七店"/>
    <x v="266"/>
    <s v="打包盒盖子（1.5L，300个/箱）"/>
    <s v="Z05"/>
    <s v="个"/>
    <s v="费用类"/>
    <n v="0.1"/>
    <n v="2400"/>
    <n v="240"/>
    <s v="Z15"/>
    <s v="物料消耗-其他类"/>
  </r>
  <r>
    <d v="2025-04-01T00:00:00"/>
    <d v="2025-04-30T00:00:00"/>
    <s v="CA07"/>
    <s v="加拿大七店"/>
    <x v="267"/>
    <s v="白醋（4L*6瓶/箱）"/>
    <s v="L"/>
    <s v="升"/>
    <s v="成本类"/>
    <n v="0.67"/>
    <n v="16"/>
    <n v="10.67"/>
    <s v="Z05"/>
    <s v="成本-其他类"/>
  </r>
  <r>
    <d v="2025-04-01T00:00:00"/>
    <d v="2025-04-30T00:00:00"/>
    <s v="CA07"/>
    <s v="加拿大七店"/>
    <x v="268"/>
    <s v="黄油（铁锚，454G/盒）"/>
    <s v="KG"/>
    <s v="公斤"/>
    <s v="成本类"/>
    <n v="17.600000000000001"/>
    <n v="0.45400000000000001"/>
    <n v="7.99"/>
    <s v="Z05"/>
    <s v="成本-其他类"/>
  </r>
  <r>
    <d v="2025-04-01T00:00:00"/>
    <d v="2025-04-30T00:00:00"/>
    <s v="CA07"/>
    <s v="加拿大七店"/>
    <x v="269"/>
    <s v="啤酒瓶子定金"/>
    <s v="BOT"/>
    <s v="瓶"/>
    <s v="成本类"/>
    <n v="0.1"/>
    <n v="140"/>
    <n v="14"/>
    <s v="Z15"/>
    <s v="物料消耗-其他类"/>
  </r>
  <r>
    <d v="2025-04-01T00:00:00"/>
    <d v="2025-04-30T00:00:00"/>
    <s v="CA07"/>
    <s v="加拿大七店"/>
    <x v="270"/>
    <s v="打包盒（32OZ， 240套/箱）"/>
    <s v="Z16"/>
    <s v="套"/>
    <s v="费用类"/>
    <n v="0.17"/>
    <n v="2400"/>
    <n v="410"/>
    <s v="Z15"/>
    <s v="物料消耗-其他类"/>
  </r>
  <r>
    <d v="2025-04-01T00:00:00"/>
    <d v="2025-04-30T00:00:00"/>
    <s v="CA07"/>
    <s v="加拿大七店"/>
    <x v="271"/>
    <s v="白色垃圾袋（大，35*50CM，100个/箱）"/>
    <s v="Z05"/>
    <s v="个"/>
    <s v="费用类"/>
    <n v="0.25"/>
    <n v="1100"/>
    <n v="275"/>
    <s v="Z11"/>
    <s v="物料消耗-清洁类"/>
  </r>
  <r>
    <d v="2025-04-01T00:00:00"/>
    <d v="2025-04-30T00:00:00"/>
    <s v="CA07"/>
    <s v="加拿大七店"/>
    <x v="272"/>
    <s v="韩国烧酒优酸乳味（CHUM CHURUM，360ML/瓶）"/>
    <s v="BOT"/>
    <s v="瓶"/>
    <s v="成本类"/>
    <n v="6.72"/>
    <n v="38"/>
    <n v="255.36"/>
    <s v="Z04"/>
    <s v="成本-酒水类"/>
  </r>
  <r>
    <d v="2025-04-01T00:00:00"/>
    <d v="2025-04-30T00:00:00"/>
    <s v="CA07"/>
    <s v="加拿大七店"/>
    <x v="273"/>
    <s v="巧克力冰激凌（115ML*24盒/箱）"/>
    <s v="Z06"/>
    <s v="盒"/>
    <s v="成本类"/>
    <n v="0.53"/>
    <n v="5560"/>
    <n v="2930.58"/>
    <s v="Z07"/>
    <s v="服务费-小吃类"/>
  </r>
  <r>
    <d v="2025-04-01T00:00:00"/>
    <d v="2025-04-30T00:00:00"/>
    <s v="CA07"/>
    <s v="加拿大七店"/>
    <x v="274"/>
    <s v="&quot;猪骨膏（SOMI，2.2LB*10包/箱）&quot;"/>
    <s v="LB"/>
    <s v="磅（美国）"/>
    <s v="成本类"/>
    <n v="9.59"/>
    <n v="160.6"/>
    <n v="1540.02"/>
    <s v="Z01"/>
    <s v="成本-锅底类"/>
  </r>
  <r>
    <d v="2025-04-01T00:00:00"/>
    <d v="2025-04-30T00:00:00"/>
    <s v="CA07"/>
    <s v="加拿大七店"/>
    <x v="275"/>
    <s v="羊肉卷（KG）"/>
    <s v="KG"/>
    <s v="公斤"/>
    <s v="成本类"/>
    <n v="12.94"/>
    <n v="434.01"/>
    <n v="5616.07"/>
    <s v="Z02"/>
    <s v="成本-荤菜类"/>
  </r>
  <r>
    <d v="2025-04-01T00:00:00"/>
    <d v="2025-04-30T00:00:00"/>
    <s v="CA07"/>
    <s v="加拿大七店"/>
    <x v="276"/>
    <s v="糖蒜（500G*24包/件）"/>
    <s v="KG"/>
    <s v="公斤"/>
    <s v="成本类"/>
    <n v="3.75"/>
    <n v="24"/>
    <n v="90"/>
    <s v="Z05"/>
    <s v="成本-其他类"/>
  </r>
  <r>
    <d v="2025-04-01T00:00:00"/>
    <d v="2025-04-30T00:00:00"/>
    <s v="CA07"/>
    <s v="加拿大七店"/>
    <x v="277"/>
    <s v="北极贝（L，1KG*10盒/箱）"/>
    <s v="KG"/>
    <s v="公斤"/>
    <s v="成本类"/>
    <n v="24"/>
    <n v="11"/>
    <n v="264"/>
    <s v="Z01"/>
    <s v="成本-锅底类"/>
  </r>
  <r>
    <d v="2025-04-01T00:00:00"/>
    <d v="2025-04-30T00:00:00"/>
    <s v="CA07"/>
    <s v="加拿大七店"/>
    <x v="278"/>
    <s v="脆皖鱼（3FISH，250G*20包/箱）"/>
    <s v="KG"/>
    <s v="公斤"/>
    <s v="成本类"/>
    <n v="27"/>
    <n v="21.5"/>
    <n v="580.5"/>
    <s v="Z02"/>
    <s v="成本-荤菜类"/>
  </r>
  <r>
    <d v="2025-04-01T00:00:00"/>
    <d v="2025-04-30T00:00:00"/>
    <s v="CA07"/>
    <s v="加拿大七店"/>
    <x v="279"/>
    <s v="卷形擦手纸（6卷/箱）"/>
    <s v="Z08"/>
    <s v="卷"/>
    <s v="费用类"/>
    <n v="9.3800000000000008"/>
    <n v="26"/>
    <n v="243.75"/>
    <s v="Z13"/>
    <s v="物料消耗-纸巾类"/>
  </r>
  <r>
    <d v="2025-04-01T00:00:00"/>
    <d v="2025-04-30T00:00:00"/>
    <s v="CA07"/>
    <s v="加拿大七店"/>
    <x v="280"/>
    <s v="玉米脆片（2LB*6袋/箱）"/>
    <s v="CL5"/>
    <s v="磅-美"/>
    <s v="成本类"/>
    <n v="6.02"/>
    <n v="174"/>
    <n v="1047.9100000000001"/>
    <s v="Z05"/>
    <s v="成本-其他类"/>
  </r>
  <r>
    <d v="2025-04-01T00:00:00"/>
    <d v="2025-04-30T00:00:00"/>
    <s v="CA07"/>
    <s v="加拿大七店"/>
    <x v="281"/>
    <s v="凯尔菜（24把/箱）"/>
    <s v="Z24"/>
    <s v="把"/>
    <s v="成本类"/>
    <n v="2.2000000000000002"/>
    <n v="50"/>
    <n v="110"/>
    <s v="Z03"/>
    <s v="成本-素菜类"/>
  </r>
  <r>
    <d v="2025-04-01T00:00:00"/>
    <d v="2025-04-30T00:00:00"/>
    <s v="CA07"/>
    <s v="加拿大七店"/>
    <x v="282"/>
    <s v="带头老虎虾（13-15，454G*10盒/箱）"/>
    <s v="Z06"/>
    <s v="盒"/>
    <s v="成本类"/>
    <n v="9.5"/>
    <n v="35"/>
    <n v="332.56"/>
    <s v="Z02"/>
    <s v="成本-荤菜类"/>
  </r>
  <r>
    <d v="2025-04-01T00:00:00"/>
    <d v="2025-04-30T00:00:00"/>
    <s v="CA07"/>
    <s v="加拿大七店"/>
    <x v="283"/>
    <s v="奶油（400G*12瓶/箱）"/>
    <s v="BOT"/>
    <s v="瓶"/>
    <s v="成本类"/>
    <n v="6.78"/>
    <n v="8"/>
    <n v="54.22"/>
    <s v="Z04"/>
    <s v="成本-酒水类"/>
  </r>
  <r>
    <d v="2025-04-01T00:00:00"/>
    <d v="2025-04-30T00:00:00"/>
    <s v="CA07"/>
    <s v="加拿大七店"/>
    <x v="284"/>
    <s v="粽叶（300G*30包/箱）"/>
    <s v="KG"/>
    <s v="公斤"/>
    <s v="成本类"/>
    <n v="8.82"/>
    <n v="7.5"/>
    <n v="66.13"/>
    <s v="Z05"/>
    <s v="成本-其他类"/>
  </r>
  <r>
    <d v="2025-04-01T00:00:00"/>
    <d v="2025-04-30T00:00:00"/>
    <s v="CA07"/>
    <s v="加拿大七店"/>
    <x v="285"/>
    <s v="方便面（辛拉面，600G*8包/箱）"/>
    <s v="KG"/>
    <s v="公斤"/>
    <s v="成本类"/>
    <n v="8.7799999999999994"/>
    <n v="120"/>
    <n v="1053.25"/>
    <s v="Z21"/>
    <s v="员工餐"/>
  </r>
  <r>
    <d v="2025-04-01T00:00:00"/>
    <d v="2025-04-30T00:00:00"/>
    <s v="CA07"/>
    <s v="加拿大七店"/>
    <x v="286"/>
    <s v="水磨小圆子（安井，250G*28包/箱）"/>
    <s v="KG"/>
    <s v="公斤"/>
    <s v="成本类"/>
    <n v="6"/>
    <n v="7.25"/>
    <n v="43.5"/>
    <s v="Z07"/>
    <s v="服务费-小吃类"/>
  </r>
  <r>
    <d v="2025-04-01T00:00:00"/>
    <d v="2025-04-30T00:00:00"/>
    <s v="CA07"/>
    <s v="加拿大七店"/>
    <x v="287"/>
    <s v="龙口粉丝（250G*60包/箱）"/>
    <s v="KG"/>
    <s v="公斤"/>
    <s v="费用类"/>
    <n v="4.8"/>
    <n v="2.75"/>
    <n v="13.2"/>
    <s v="Z03"/>
    <s v="成本-素菜类"/>
  </r>
  <r>
    <d v="2025-04-01T00:00:00"/>
    <d v="2025-04-30T00:00:00"/>
    <s v="CA07"/>
    <s v="加拿大七店"/>
    <x v="287"/>
    <s v="龙口粉丝（250G*60包/箱）"/>
    <s v="KG"/>
    <s v="公斤"/>
    <s v="成本类"/>
    <n v="4.8"/>
    <n v="63.45"/>
    <n v="304.56"/>
    <s v="Z03"/>
    <s v="成本-素菜类"/>
  </r>
  <r>
    <d v="2025-04-01T00:00:00"/>
    <d v="2025-04-30T00:00:00"/>
    <s v="CA07"/>
    <s v="加拿大七店"/>
    <x v="288"/>
    <s v="南瓜泥（796ML*12罐/箱）"/>
    <s v="CL9"/>
    <s v="罐"/>
    <s v="成本类"/>
    <n v="7.87"/>
    <n v="92"/>
    <n v="723.75"/>
    <s v="Z05"/>
    <s v="成本-其他类"/>
  </r>
  <r>
    <d v="2025-04-01T00:00:00"/>
    <d v="2025-04-30T00:00:00"/>
    <s v="CA07"/>
    <s v="加拿大七店"/>
    <x v="289"/>
    <s v="麻薯（2.5KG*4包/箱）"/>
    <s v="KG"/>
    <s v="公斤"/>
    <s v="成本类"/>
    <n v="8.5"/>
    <n v="10"/>
    <n v="85"/>
    <s v="Z10"/>
    <s v="服务费-其他类"/>
  </r>
  <r>
    <d v="2025-04-01T00:00:00"/>
    <d v="2025-04-30T00:00:00"/>
    <s v="CA07"/>
    <s v="加拿大七店"/>
    <x v="290"/>
    <s v="海鲜菇（250G*50包/箱）"/>
    <s v="Z07"/>
    <s v="包"/>
    <s v="成本类"/>
    <n v="0.66"/>
    <n v="878"/>
    <n v="578.71"/>
    <s v="Z05"/>
    <s v="成本-其他类"/>
  </r>
  <r>
    <d v="2025-04-01T00:00:00"/>
    <d v="2025-04-30T00:00:00"/>
    <s v="CA07"/>
    <s v="加拿大七店"/>
    <x v="291"/>
    <s v="百加利（20LB/箱）"/>
    <s v="CL5"/>
    <s v="磅-美"/>
    <s v="成本类"/>
    <n v="1.79"/>
    <n v="330"/>
    <n v="590.12"/>
    <s v="Z03"/>
    <s v="成本-素菜类"/>
  </r>
  <r>
    <d v="2025-04-01T00:00:00"/>
    <d v="2025-04-30T00:00:00"/>
    <s v="CA07"/>
    <s v="加拿大七店"/>
    <x v="292"/>
    <s v="泰式甜辣酱（4.5L*3瓶/箱）"/>
    <s v="BOT"/>
    <s v="瓶"/>
    <s v="成本类"/>
    <n v="17.170000000000002"/>
    <n v="3"/>
    <n v="51.5"/>
    <s v="Z05"/>
    <s v="成本-其他类"/>
  </r>
  <r>
    <d v="2025-04-01T00:00:00"/>
    <d v="2025-04-30T00:00:00"/>
    <s v="CA07"/>
    <s v="加拿大七店"/>
    <x v="293"/>
    <s v="无纺布打包袋（27.5*17*24CM）"/>
    <s v="Z05"/>
    <s v="个"/>
    <s v="费用类"/>
    <n v="0.36"/>
    <n v="3000"/>
    <n v="1066.96"/>
    <s v="Z15"/>
    <s v="物料消耗-其他类"/>
  </r>
  <r>
    <d v="2025-04-01T00:00:00"/>
    <d v="2025-04-30T00:00:00"/>
    <s v="CA07"/>
    <s v="加拿大七店"/>
    <x v="294"/>
    <s v="卫生巾（88片/盒）"/>
    <s v="Z25"/>
    <s v="片"/>
    <s v="费用类"/>
    <n v="0.2"/>
    <n v="88"/>
    <n v="17.489999999999998"/>
    <s v="Z15"/>
    <s v="物料消耗-其他类"/>
  </r>
  <r>
    <d v="2025-04-01T00:00:00"/>
    <d v="2025-04-30T00:00:00"/>
    <s v="CA07"/>
    <s v="加拿大七店"/>
    <x v="295"/>
    <s v="牛奶（4L/桶）"/>
    <s v="Z36"/>
    <s v="桶"/>
    <s v="成本类"/>
    <n v="6.01"/>
    <n v="106"/>
    <n v="636.74"/>
    <s v="Z04"/>
    <s v="成本-酒水类"/>
  </r>
  <r>
    <d v="2025-04-01T00:00:00"/>
    <d v="2025-04-30T00:00:00"/>
    <s v="CA07"/>
    <s v="加拿大七店"/>
    <x v="296"/>
    <s v="豆苗（LB）"/>
    <s v="CL5"/>
    <s v="磅-美"/>
    <s v="成本类"/>
    <n v="15"/>
    <n v="4"/>
    <n v="60"/>
    <s v="Z03"/>
    <s v="成本-素菜类"/>
  </r>
  <r>
    <d v="2025-04-01T00:00:00"/>
    <d v="2025-04-30T00:00:00"/>
    <s v="CA07"/>
    <s v="加拿大七店"/>
    <x v="297"/>
    <s v="菌汤火锅底料（105G*60袋/箱）"/>
    <s v="KG"/>
    <s v="公斤"/>
    <s v="成本类"/>
    <n v="10.14"/>
    <n v="226.8"/>
    <n v="2299.52"/>
    <s v="Z01"/>
    <s v="成本-锅底类"/>
  </r>
  <r>
    <d v="2025-04-01T00:00:00"/>
    <d v="2025-04-30T00:00:00"/>
    <s v="CA07"/>
    <s v="加拿大七店"/>
    <x v="298"/>
    <s v="SALSA辣酱（3.7L*2瓶/箱）"/>
    <s v="BOT"/>
    <s v="瓶"/>
    <s v="成本类"/>
    <n v="27.68"/>
    <n v="19"/>
    <n v="525.99"/>
    <s v="Z05"/>
    <s v="成本-其他类"/>
  </r>
  <r>
    <d v="2025-04-01T00:00:00"/>
    <d v="2025-04-30T00:00:00"/>
    <s v="CA07"/>
    <s v="加拿大七店"/>
    <x v="299"/>
    <s v="鱿鱼须（300G*30包/箱）"/>
    <s v="KG"/>
    <s v="公斤"/>
    <s v="成本类"/>
    <n v="14"/>
    <n v="15.8"/>
    <n v="221.2"/>
    <s v="Z02"/>
    <s v="成本-荤菜类"/>
  </r>
  <r>
    <d v="2025-04-01T00:00:00"/>
    <d v="2025-04-30T00:00:00"/>
    <s v="CA07"/>
    <s v="加拿大七店"/>
    <x v="300"/>
    <s v="去肥黄瓜条（LB）"/>
    <s v="CL5"/>
    <s v="磅-美"/>
    <s v="成本类"/>
    <n v="6.32"/>
    <n v="379.46"/>
    <n v="2397.15"/>
    <s v="Z02"/>
    <s v="成本-荤菜类"/>
  </r>
  <r>
    <d v="2025-04-01T00:00:00"/>
    <d v="2025-04-30T00:00:00"/>
    <s v="CA07"/>
    <s v="加拿大七店"/>
    <x v="301"/>
    <s v="豆腐泡（1.8KG*4包/箱）"/>
    <s v="KG"/>
    <s v="公斤"/>
    <s v="成本类"/>
    <n v="13.19"/>
    <n v="43.2"/>
    <n v="570"/>
    <s v="Z03"/>
    <s v="成本-素菜类"/>
  </r>
  <r>
    <d v="2025-04-01T00:00:00"/>
    <d v="2025-04-30T00:00:00"/>
    <s v="CA07"/>
    <s v="加拿大七店"/>
    <x v="302"/>
    <s v="扇贝（3LB*4包/箱）"/>
    <s v="CL5"/>
    <s v="磅-美"/>
    <s v="成本类"/>
    <n v="6.88"/>
    <n v="111"/>
    <n v="763.42"/>
    <s v="Z02"/>
    <s v="成本-荤菜类"/>
  </r>
  <r>
    <d v="2025-04-01T00:00:00"/>
    <d v="2025-04-30T00:00:00"/>
    <s v="CA07"/>
    <s v="加拿大七店"/>
    <x v="303"/>
    <s v="牛双筋（LB）"/>
    <s v="CL5"/>
    <s v="磅-美"/>
    <s v="成本类"/>
    <n v="6.05"/>
    <n v="108.54"/>
    <n v="656.72"/>
    <s v="Z02"/>
    <s v="成本-荤菜类"/>
  </r>
  <r>
    <d v="2025-04-01T00:00:00"/>
    <d v="2025-04-30T00:00:00"/>
    <s v="CA07"/>
    <s v="加拿大七店"/>
    <x v="304"/>
    <s v="碎猪肉（LB）"/>
    <s v="CL5"/>
    <s v="磅-美"/>
    <s v="费用类"/>
    <n v="2.79"/>
    <n v="62.38"/>
    <n v="174.05"/>
    <s v="Z02"/>
    <s v="成本-荤菜类"/>
  </r>
  <r>
    <d v="2025-04-01T00:00:00"/>
    <d v="2025-04-30T00:00:00"/>
    <s v="CA07"/>
    <s v="加拿大七店"/>
    <x v="305"/>
    <s v="黑松露橄榄油（250ML*12瓶/箱）"/>
    <s v="L"/>
    <s v="升"/>
    <s v="成本类"/>
    <n v="57.94"/>
    <n v="2.75"/>
    <n v="159.34"/>
    <s v="Z05"/>
    <s v="成本-其他类"/>
  </r>
  <r>
    <d v="2025-04-01T00:00:00"/>
    <d v="2025-04-30T00:00:00"/>
    <s v="CA07"/>
    <s v="加拿大七店"/>
    <x v="306"/>
    <s v="SOHO LYCHEE荔枝酒（750ML/瓶）"/>
    <s v="BOT"/>
    <s v="瓶"/>
    <s v="成本类"/>
    <n v="26.78"/>
    <n v="2"/>
    <n v="53.56"/>
    <s v="Z04"/>
    <s v="成本-酒水类"/>
  </r>
  <r>
    <d v="2025-04-01T00:00:00"/>
    <d v="2025-04-30T00:00:00"/>
    <s v="CA07"/>
    <s v="加拿大七店"/>
    <x v="307"/>
    <s v="魔芋丝（250G*20包/箱）"/>
    <s v="KG"/>
    <s v="公斤"/>
    <s v="成本类"/>
    <n v="4.4000000000000004"/>
    <n v="120"/>
    <n v="528"/>
    <s v="Z03"/>
    <s v="成本-素菜类"/>
  </r>
  <r>
    <d v="2025-04-01T00:00:00"/>
    <d v="2025-04-30T00:00:00"/>
    <s v="CA07"/>
    <s v="加拿大七店"/>
    <x v="308"/>
    <s v="纯胡椒粉（12盒/箱）"/>
    <s v="Z06"/>
    <s v="盒"/>
    <s v="成本类"/>
    <n v="38.75"/>
    <n v="6"/>
    <n v="232.49"/>
    <s v="Z05"/>
    <s v="成本-其他类"/>
  </r>
  <r>
    <d v="2025-04-01T00:00:00"/>
    <d v="2025-04-30T00:00:00"/>
    <s v="CA07"/>
    <s v="加拿大七店"/>
    <x v="309"/>
    <s v="贡菜（1KG*10包/箱）"/>
    <s v="KG"/>
    <s v="公斤"/>
    <s v="成本类"/>
    <n v="26"/>
    <n v="45"/>
    <n v="1170"/>
    <s v="Z03"/>
    <s v="成本-素菜类"/>
  </r>
  <r>
    <d v="2025-04-01T00:00:00"/>
    <d v="2025-04-30T00:00:00"/>
    <s v="CA07"/>
    <s v="加拿大七店"/>
    <x v="310"/>
    <s v="爆浆糍粑（300G*12包/箱）"/>
    <s v="KG"/>
    <s v="公斤"/>
    <s v="成本类"/>
    <n v="6.08"/>
    <n v="61.2"/>
    <n v="372.13"/>
    <s v="Z03"/>
    <s v="成本-素菜类"/>
  </r>
  <r>
    <d v="2025-04-01T00:00:00"/>
    <d v="2025-04-30T00:00:00"/>
    <s v="CA07"/>
    <s v="加拿大七店"/>
    <x v="311"/>
    <s v="黑色手套S号（100个*10盒/箱）"/>
    <s v="Z05"/>
    <s v="个"/>
    <s v="费用类"/>
    <n v="0.04"/>
    <n v="4000"/>
    <n v="160.96"/>
    <s v="Z15"/>
    <s v="物料消耗-其他类"/>
  </r>
  <r>
    <d v="2025-04-01T00:00:00"/>
    <d v="2025-04-30T00:00:00"/>
    <s v="CA07"/>
    <s v="加拿大七店"/>
    <x v="312"/>
    <s v="黑色手套M号（100个*10盒/箱）"/>
    <s v="Z05"/>
    <s v="个"/>
    <s v="费用类"/>
    <n v="0.04"/>
    <n v="2000"/>
    <n v="79.11"/>
    <s v="Z15"/>
    <s v="物料消耗-其他类"/>
  </r>
  <r>
    <d v="2025-04-01T00:00:00"/>
    <d v="2025-04-30T00:00:00"/>
    <s v="CA07"/>
    <s v="加拿大七店"/>
    <x v="313"/>
    <s v="蜂蜜（750G*3瓶/件）"/>
    <s v="BOT"/>
    <s v="瓶"/>
    <s v="成本类"/>
    <n v="6.33"/>
    <n v="4"/>
    <n v="25.32"/>
    <s v="Z04"/>
    <s v="成本-酒水类"/>
  </r>
  <r>
    <d v="2025-04-01T00:00:00"/>
    <d v="2025-04-30T00:00:00"/>
    <s v="CA07"/>
    <s v="加拿大七店"/>
    <x v="314"/>
    <s v="热敏纸（2.25*60MM，50卷/箱）"/>
    <s v="Z08"/>
    <s v="卷"/>
    <s v="费用类"/>
    <n v="0.35"/>
    <n v="500"/>
    <n v="176.57"/>
    <s v="Z22"/>
    <s v="办公用品"/>
  </r>
  <r>
    <d v="2025-04-01T00:00:00"/>
    <d v="2025-04-30T00:00:00"/>
    <s v="CA07"/>
    <s v="加拿大七店"/>
    <x v="315"/>
    <s v="甘蓝菜猪肉包（510G*14包/箱）"/>
    <s v="KG"/>
    <s v="公斤"/>
    <s v="费用类"/>
    <n v="8.1199999999999992"/>
    <n v="7.14"/>
    <n v="58"/>
    <s v="Z21"/>
    <s v="员工餐"/>
  </r>
  <r>
    <d v="2025-04-01T00:00:00"/>
    <d v="2025-04-30T00:00:00"/>
    <s v="CA07"/>
    <s v="加拿大七店"/>
    <x v="316"/>
    <s v="花椒粉（1LB*50包/箱）"/>
    <s v="CL5"/>
    <s v="磅-美"/>
    <s v="成本类"/>
    <n v="19.91"/>
    <n v="10"/>
    <n v="199.09"/>
    <s v="Z05"/>
    <s v="成本-其他类"/>
  </r>
  <r>
    <d v="2025-04-01T00:00:00"/>
    <d v="2025-04-30T00:00:00"/>
    <s v="CA07"/>
    <s v="加拿大七店"/>
    <x v="317"/>
    <s v="番茄汁（2.84L*6罐/箱）"/>
    <s v="L"/>
    <s v="升"/>
    <s v="费用类"/>
    <n v="4.66"/>
    <n v="45.44"/>
    <n v="211.87"/>
    <s v="Z05"/>
    <s v="成本-其他类"/>
  </r>
  <r>
    <d v="2025-04-01T00:00:00"/>
    <d v="2025-04-30T00:00:00"/>
    <s v="CA07"/>
    <s v="加拿大七店"/>
    <x v="318"/>
    <s v="澳洲青边鲍鱼（1KG/盒）"/>
    <s v="KG"/>
    <s v="公斤"/>
    <s v="成本类"/>
    <n v="35"/>
    <n v="20"/>
    <n v="700"/>
    <s v="Z02"/>
    <s v="成本-荤菜类"/>
  </r>
  <r>
    <d v="2025-04-01T00:00:00"/>
    <d v="2025-04-30T00:00:00"/>
    <s v="CA07"/>
    <s v="加拿大七店"/>
    <x v="319"/>
    <s v="猪颈肉（LB）"/>
    <s v="CL5"/>
    <s v="磅-美"/>
    <s v="成本类"/>
    <n v="8.7899999999999991"/>
    <n v="245.35"/>
    <n v="2157.71"/>
    <s v="Z02"/>
    <s v="成本-荤菜类"/>
  </r>
  <r>
    <d v="2025-04-01T00:00:00"/>
    <d v="2025-04-30T00:00:00"/>
    <s v="CA07"/>
    <s v="加拿大七店"/>
    <x v="320"/>
    <s v="哈密瓜（6-8个/箱）"/>
    <s v="Z34"/>
    <s v="箱"/>
    <s v="成本类"/>
    <n v="28.44"/>
    <n v="44"/>
    <n v="1251.3599999999999"/>
    <s v="Z06"/>
    <s v="服务费-水果类"/>
  </r>
  <r>
    <d v="2025-04-01T00:00:00"/>
    <d v="2025-04-30T00:00:00"/>
    <s v="CA07"/>
    <s v="加拿大七店"/>
    <x v="321"/>
    <s v="圆糯米（4LB*6包/箱）"/>
    <s v="CL5"/>
    <s v="磅-美"/>
    <s v="成本类"/>
    <n v="0.92"/>
    <n v="32"/>
    <n v="29.33"/>
    <s v="Z05"/>
    <s v="成本-其他类"/>
  </r>
  <r>
    <d v="2025-04-01T00:00:00"/>
    <d v="2025-04-30T00:00:00"/>
    <s v="CA07"/>
    <s v="加拿大七店"/>
    <x v="322"/>
    <s v="素毛肚（400G*24包/箱）"/>
    <s v="KG"/>
    <s v="公斤"/>
    <s v="成本类"/>
    <n v="2.65"/>
    <n v="124.8"/>
    <n v="331.23"/>
    <s v="Z02"/>
    <s v="成本-荤菜类"/>
  </r>
  <r>
    <d v="2025-04-01T00:00:00"/>
    <d v="2025-04-30T00:00:00"/>
    <s v="CA07"/>
    <s v="加拿大七店"/>
    <x v="323"/>
    <s v="蜀味脆皮肠（350G*30包/箱）"/>
    <s v="KG"/>
    <s v="公斤"/>
    <s v="成本类"/>
    <n v="22.86"/>
    <n v="56"/>
    <n v="1280"/>
    <s v="Z07"/>
    <s v="服务费-小吃类"/>
  </r>
  <r>
    <d v="2025-04-01T00:00:00"/>
    <d v="2025-04-30T00:00:00"/>
    <s v="CA07"/>
    <s v="加拿大七店"/>
    <x v="324"/>
    <s v="绍菜（10KG/箱）"/>
    <s v="KG"/>
    <s v="公斤"/>
    <s v="成本类"/>
    <n v="2.42"/>
    <n v="1010"/>
    <n v="2448"/>
    <s v="Z03"/>
    <s v="成本-素菜类"/>
  </r>
  <r>
    <d v="2025-04-01T00:00:00"/>
    <d v="2025-04-30T00:00:00"/>
    <s v="CA07"/>
    <s v="加拿大七店"/>
    <x v="325"/>
    <s v="金钱腱（LB）"/>
    <s v="CL5"/>
    <s v="磅-美"/>
    <s v="成本类"/>
    <n v="7.27"/>
    <n v="225.18"/>
    <n v="1636.01"/>
    <s v="Z02"/>
    <s v="成本-荤菜类"/>
  </r>
  <r>
    <d v="2025-04-01T00:00:00"/>
    <d v="2025-04-30T00:00:00"/>
    <s v="CA07"/>
    <s v="加拿大七店"/>
    <x v="326"/>
    <s v="KOOKSOONDANG（750ML*20瓶/箱）"/>
    <s v="BOT"/>
    <s v="瓶"/>
    <s v="成本类"/>
    <n v="5.38"/>
    <n v="34"/>
    <n v="182.92"/>
    <s v="Z04"/>
    <s v="成本-酒水类"/>
  </r>
  <r>
    <d v="2025-04-01T00:00:00"/>
    <d v="2025-04-30T00:00:00"/>
    <s v="CA07"/>
    <s v="加拿大七店"/>
    <x v="327"/>
    <s v="豌豆苗（120G*6盆/箱）"/>
    <s v="ZA3"/>
    <s v="盆"/>
    <s v="成本类"/>
    <n v="4.5"/>
    <n v="404"/>
    <n v="1818"/>
    <s v="Z03"/>
    <s v="成本-素菜类"/>
  </r>
  <r>
    <d v="2025-04-01T00:00:00"/>
    <d v="2025-04-30T00:00:00"/>
    <s v="CA07"/>
    <s v="加拿大七店"/>
    <x v="328"/>
    <s v="抹茶粉（250G*12包/箱）"/>
    <s v="Z07"/>
    <s v="包"/>
    <s v="成本类"/>
    <n v="12.75"/>
    <n v="10"/>
    <n v="127.47"/>
    <s v="Z04"/>
    <s v="成本-酒水类"/>
  </r>
  <r>
    <d v="2025-04-01T00:00:00"/>
    <d v="2025-04-30T00:00:00"/>
    <s v="CA07"/>
    <s v="加拿大七店"/>
    <x v="329"/>
    <s v="圣女果（684G*6盒/箱）"/>
    <s v="KG"/>
    <s v="公斤"/>
    <s v="成本类"/>
    <n v="6.89"/>
    <n v="112.83199999999999"/>
    <n v="777.78"/>
    <s v="Z06"/>
    <s v="服务费-水果类"/>
  </r>
  <r>
    <d v="2025-04-01T00:00:00"/>
    <d v="2025-04-30T00:00:00"/>
    <s v="CA07"/>
    <s v="加拿大七店"/>
    <x v="330"/>
    <s v="海带苗（10KG/箱）"/>
    <s v="KG"/>
    <s v="公斤"/>
    <s v="成本类"/>
    <n v="6.04"/>
    <n v="70"/>
    <n v="422.45"/>
    <s v="Z03"/>
    <s v="成本-素菜类"/>
  </r>
  <r>
    <d v="2025-04-01T00:00:00"/>
    <d v="2025-04-30T00:00:00"/>
    <s v="CA07"/>
    <s v="加拿大七店"/>
    <x v="331"/>
    <s v="厚椰乳（菲诺，1KG*12瓶/件）"/>
    <s v="BOT"/>
    <s v="瓶"/>
    <s v="成本类"/>
    <n v="3.1"/>
    <n v="431"/>
    <n v="1336.18"/>
    <s v="Z04"/>
    <s v="成本-酒水类"/>
  </r>
  <r>
    <d v="2025-04-01T00:00:00"/>
    <d v="2025-04-30T00:00:00"/>
    <s v="CA07"/>
    <s v="加拿大七店"/>
    <x v="332"/>
    <s v="KIRKLAND矿泉水（500ML*35瓶/箱）"/>
    <s v="BOT"/>
    <s v="瓶"/>
    <s v="成本类"/>
    <n v="0.21"/>
    <n v="175"/>
    <n v="37.03"/>
    <s v="Z04"/>
    <s v="成本-酒水类"/>
  </r>
  <r>
    <d v="2025-04-01T00:00:00"/>
    <d v="2025-04-30T00:00:00"/>
    <s v="CA07"/>
    <s v="加拿大七店"/>
    <x v="333"/>
    <s v="圣女果（20LB/箱）"/>
    <s v="CL5"/>
    <s v="磅-美"/>
    <s v="成本类"/>
    <n v="1.54"/>
    <n v="240"/>
    <n v="370.67"/>
    <s v="Z06"/>
    <s v="服务费-水果类"/>
  </r>
  <r>
    <d v="2025-04-01T00:00:00"/>
    <d v="2025-04-30T00:00:00"/>
    <s v="CA07"/>
    <s v="加拿大七店"/>
    <x v="334"/>
    <s v="奶油味爆米花（3.8KG/箱）"/>
    <s v="KG"/>
    <s v="公斤"/>
    <s v="成本类"/>
    <n v="11.02"/>
    <n v="26.6"/>
    <n v="293.19"/>
    <s v="Z10"/>
    <s v="服务费-其他类"/>
  </r>
  <r>
    <d v="2025-04-01T00:00:00"/>
    <d v="2025-04-30T00:00:00"/>
    <s v="CA07"/>
    <s v="加拿大七店"/>
    <x v="335"/>
    <s v="沙姜（LB）"/>
    <s v="CL5"/>
    <s v="磅-美"/>
    <s v="成本类"/>
    <n v="8.5"/>
    <n v="4"/>
    <n v="34"/>
    <s v="Z05"/>
    <s v="成本-其他类"/>
  </r>
  <r>
    <d v="2025-04-01T00:00:00"/>
    <d v="2025-04-30T00:00:00"/>
    <s v="CA07"/>
    <s v="加拿大七店"/>
    <x v="336"/>
    <s v="青柠檬（115颗/箱）"/>
    <s v="Z32"/>
    <s v="颗"/>
    <s v="成本类"/>
    <n v="0.65"/>
    <n v="690"/>
    <n v="446.32"/>
    <s v="Z04"/>
    <s v="成本-酒水类"/>
  </r>
  <r>
    <d v="2025-04-01T00:00:00"/>
    <d v="2025-04-30T00:00:00"/>
    <s v="CA07"/>
    <s v="加拿大七店"/>
    <x v="337"/>
    <s v="白桃果肉汁（380ML*24瓶/箱）"/>
    <s v="BOT"/>
    <s v="瓶"/>
    <s v="成本类"/>
    <n v="1.79"/>
    <n v="124"/>
    <n v="222.16"/>
    <s v="Z04"/>
    <s v="成本-酒水类"/>
  </r>
  <r>
    <d v="2025-04-01T00:00:00"/>
    <d v="2025-04-30T00:00:00"/>
    <s v="CA07"/>
    <s v="加拿大七店"/>
    <x v="338"/>
    <s v="草莓果酱（2.5KG*6瓶/箱）"/>
    <s v="BOT"/>
    <s v="瓶"/>
    <s v="成本类"/>
    <n v="14"/>
    <n v="5"/>
    <n v="70"/>
    <s v="Z05"/>
    <s v="成本-其他类"/>
  </r>
  <r>
    <d v="2025-04-01T00:00:00"/>
    <d v="2025-04-30T00:00:00"/>
    <s v="CA07"/>
    <s v="加拿大七店"/>
    <x v="339"/>
    <s v="海盐奶盖粉（1KG*20包/箱）"/>
    <s v="Z07"/>
    <s v="包"/>
    <s v="成本类"/>
    <n v="11.72"/>
    <n v="4"/>
    <n v="46.88"/>
    <s v="Z04"/>
    <s v="成本-酒水类"/>
  </r>
  <r>
    <d v="2025-04-01T00:00:00"/>
    <d v="2025-04-30T00:00:00"/>
    <s v="CA07"/>
    <s v="加拿大七店"/>
    <x v="340"/>
    <s v="淡奶油（946ML/盒）"/>
    <s v="Z06"/>
    <s v="盒"/>
    <s v="成本类"/>
    <n v="5.49"/>
    <n v="41"/>
    <n v="225.21"/>
    <s v="Z05"/>
    <s v="成本-其他类"/>
  </r>
  <r>
    <d v="2025-04-01T00:00:00"/>
    <d v="2025-04-30T00:00:00"/>
    <s v="CA07"/>
    <s v="加拿大七店"/>
    <x v="341"/>
    <s v="糯米鸡（201G*24包/箱）"/>
    <s v="KG"/>
    <s v="公斤"/>
    <s v="费用类"/>
    <n v="12.02"/>
    <n v="24.923999999999999"/>
    <n v="299.67"/>
    <s v="Z02"/>
    <s v="成本-荤菜类"/>
  </r>
  <r>
    <d v="2025-04-01T00:00:00"/>
    <d v="2025-04-30T00:00:00"/>
    <s v="CA07"/>
    <s v="加拿大七店"/>
    <x v="342"/>
    <s v="泡泡豆干（500G*20包/箱）"/>
    <s v="KG"/>
    <s v="公斤"/>
    <s v="费用类"/>
    <n v="4.2"/>
    <n v="8"/>
    <n v="33.619999999999997"/>
    <s v="Z03"/>
    <s v="成本-素菜类"/>
  </r>
  <r>
    <d v="2025-04-01T00:00:00"/>
    <d v="2025-04-30T00:00:00"/>
    <s v="CA07"/>
    <s v="加拿大七店"/>
    <x v="342"/>
    <s v="泡泡豆干（500G*20包/箱）"/>
    <s v="KG"/>
    <s v="公斤"/>
    <s v="成本类"/>
    <n v="4.2"/>
    <n v="10"/>
    <n v="42.01"/>
    <s v="Z03"/>
    <s v="成本-素菜类"/>
  </r>
  <r>
    <d v="2025-04-01T00:00:00"/>
    <d v="2025-04-30T00:00:00"/>
    <s v="CA07"/>
    <s v="加拿大七店"/>
    <x v="343"/>
    <s v="龙舌兰酒（750ML/瓶）"/>
    <s v="BOT"/>
    <s v="瓶"/>
    <s v="成本类"/>
    <n v="27.3"/>
    <n v="4.4000000000000004"/>
    <n v="120.14"/>
    <s v="Z04"/>
    <s v="成本-酒水类"/>
  </r>
  <r>
    <d v="2025-04-01T00:00:00"/>
    <d v="2025-04-30T00:00:00"/>
    <s v="CA07"/>
    <s v="加拿大七店"/>
    <x v="344"/>
    <s v="猪肚鸡火锅底料（500G*20包/箱）"/>
    <s v="KG"/>
    <s v="公斤"/>
    <s v="成本类"/>
    <n v="7.8"/>
    <n v="100"/>
    <n v="780"/>
    <s v="Z01"/>
    <s v="成本-锅底类"/>
  </r>
  <r>
    <d v="2025-04-01T00:00:00"/>
    <d v="2025-04-30T00:00:00"/>
    <s v="CA07"/>
    <s v="加拿大七店"/>
    <x v="345"/>
    <s v="肉蔻（400G/袋）"/>
    <s v="KG"/>
    <s v="公斤"/>
    <s v="成本类"/>
    <n v="47.38"/>
    <n v="1"/>
    <n v="47.38"/>
    <s v="Z05"/>
    <s v="成本-其他类"/>
  </r>
  <r>
    <d v="2025-04-01T00:00:00"/>
    <d v="2025-04-30T00:00:00"/>
    <s v="CA07"/>
    <s v="加拿大七店"/>
    <x v="346"/>
    <s v="CAESAR酱（3.78L*2瓶/箱）"/>
    <s v="L"/>
    <s v="升"/>
    <s v="成本类"/>
    <n v="9.8800000000000008"/>
    <n v="7.56"/>
    <n v="74.69"/>
    <s v="Z05"/>
    <s v="成本-其他类"/>
  </r>
  <r>
    <d v="2025-04-01T00:00:00"/>
    <d v="2025-04-30T00:00:00"/>
    <s v="CA07"/>
    <s v="加拿大七店"/>
    <x v="347"/>
    <s v="菠萝汁（浓缩型，1L*12盒/件）"/>
    <s v="Z06"/>
    <s v="盒"/>
    <s v="成本类"/>
    <n v="3.23"/>
    <n v="7"/>
    <n v="22.58"/>
    <s v="Z04"/>
    <s v="成本-酒水类"/>
  </r>
  <r>
    <d v="2025-04-01T00:00:00"/>
    <d v="2025-04-30T00:00:00"/>
    <s v="CA07"/>
    <s v="加拿大七店"/>
    <x v="348"/>
    <s v="红石榴糖浆（2.5KG/瓶）"/>
    <s v="KG"/>
    <s v="公斤"/>
    <s v="成本类"/>
    <n v="5.6"/>
    <n v="2.2000000000000002"/>
    <n v="12.32"/>
    <s v="Z04"/>
    <s v="成本-酒水类"/>
  </r>
  <r>
    <d v="2025-04-01T00:00:00"/>
    <d v="2025-04-30T00:00:00"/>
    <s v="CA07"/>
    <s v="加拿大七店"/>
    <x v="349"/>
    <s v="菠菜面（1KG*8袋/箱）"/>
    <s v="KG"/>
    <s v="公斤"/>
    <s v="成本类"/>
    <n v="3.38"/>
    <n v="56"/>
    <n v="189"/>
    <s v="Z07"/>
    <s v="服务费-小吃类"/>
  </r>
  <r>
    <d v="2025-04-01T00:00:00"/>
    <d v="2025-04-30T00:00:00"/>
    <s v="CA07"/>
    <s v="加拿大七店"/>
    <x v="350"/>
    <s v="南瓜面（1KG*8袋/箱）"/>
    <s v="KG"/>
    <s v="公斤"/>
    <s v="成本类"/>
    <n v="3.38"/>
    <n v="96"/>
    <n v="324"/>
    <s v="Z07"/>
    <s v="服务费-小吃类"/>
  </r>
  <r>
    <d v="2025-04-01T00:00:00"/>
    <d v="2025-04-30T00:00:00"/>
    <s v="CA07"/>
    <s v="加拿大七店"/>
    <x v="351"/>
    <s v="毛肚（7KG/箱）"/>
    <s v="KG"/>
    <s v="公斤"/>
    <s v="成本类"/>
    <n v="12.31"/>
    <n v="193.66"/>
    <n v="2383.31"/>
    <s v="Z02"/>
    <s v="成本-荤菜类"/>
  </r>
  <r>
    <d v="2025-04-01T00:00:00"/>
    <d v="2025-04-30T00:00:00"/>
    <s v="CA07"/>
    <s v="加拿大七店"/>
    <x v="352"/>
    <s v="寿司米（东北圆米，30KG/包）"/>
    <s v="KG"/>
    <s v="公斤"/>
    <s v="费用类"/>
    <n v="1.7"/>
    <n v="110"/>
    <n v="187"/>
    <s v="Z07"/>
    <s v="服务费-小吃类"/>
  </r>
  <r>
    <d v="2025-04-01T00:00:00"/>
    <d v="2025-04-30T00:00:00"/>
    <s v="CA07"/>
    <s v="加拿大七店"/>
    <x v="352"/>
    <s v="寿司米（东北圆米，30KG/包）"/>
    <s v="KG"/>
    <s v="公斤"/>
    <s v="成本类"/>
    <n v="1.7"/>
    <n v="416"/>
    <n v="707.2"/>
    <s v="Z07"/>
    <s v="服务费-小吃类"/>
  </r>
  <r>
    <d v="2025-04-01T00:00:00"/>
    <d v="2025-04-30T00:00:00"/>
    <s v="CA07"/>
    <s v="加拿大七店"/>
    <x v="353"/>
    <s v="鸡精（李锦记，2.5KG*4包/件）"/>
    <s v="KG"/>
    <s v="公斤"/>
    <s v="成本类"/>
    <n v="10"/>
    <n v="2.5"/>
    <n v="25"/>
    <s v="Z05"/>
    <s v="成本-其他类"/>
  </r>
  <r>
    <d v="2025-04-01T00:00:00"/>
    <d v="2025-04-30T00:00:00"/>
    <s v="CA07"/>
    <s v="加拿大七店"/>
    <x v="354"/>
    <s v="咸蛋黄鱼丸（1LB*20包/箱）"/>
    <s v="CL5"/>
    <s v="磅-美"/>
    <s v="成本类"/>
    <n v="7.25"/>
    <n v="113"/>
    <n v="819.25"/>
    <s v="Z02"/>
    <s v="成本-荤菜类"/>
  </r>
  <r>
    <d v="2025-04-01T00:00:00"/>
    <d v="2025-04-30T00:00:00"/>
    <s v="CA07"/>
    <s v="加拿大七店"/>
    <x v="355"/>
    <s v="去骨牛小排（LB）"/>
    <s v="CL5"/>
    <s v="磅-美"/>
    <s v="成本类"/>
    <n v="21.31"/>
    <n v="482.88"/>
    <n v="10291.879999999999"/>
    <s v="Z02"/>
    <s v="成本-荤菜类"/>
  </r>
  <r>
    <d v="2025-04-01T00:00:00"/>
    <d v="2025-04-30T00:00:00"/>
    <s v="CA07"/>
    <s v="加拿大七店"/>
    <x v="356"/>
    <s v="馒头（400G*7袋/箱）"/>
    <s v="KG"/>
    <s v="公斤"/>
    <s v="成本类"/>
    <n v="7.14"/>
    <n v="137.19999999999999"/>
    <n v="980"/>
    <s v="Z05"/>
    <s v="成本-其他类"/>
  </r>
  <r>
    <d v="2025-04-01T00:00:00"/>
    <d v="2025-04-30T00:00:00"/>
    <s v="CA07"/>
    <s v="加拿大七店"/>
    <x v="357"/>
    <s v="辣咸菜（三鹿，300G*36包/箱）"/>
    <s v="KG"/>
    <s v="公斤"/>
    <s v="成本类"/>
    <n v="3.98"/>
    <n v="22.1"/>
    <n v="87.99"/>
    <s v="Z05"/>
    <s v="成本-其他类"/>
  </r>
  <r>
    <d v="2025-04-01T00:00:00"/>
    <d v="2025-04-30T00:00:00"/>
    <s v="CA07"/>
    <s v="加拿大七店"/>
    <x v="358"/>
    <s v="泡椒笋丝（1KG*10包/箱）"/>
    <s v="KG"/>
    <s v="公斤"/>
    <s v="成本类"/>
    <n v="4.5199999999999996"/>
    <n v="30"/>
    <n v="135.55000000000001"/>
    <s v="Z05"/>
    <s v="成本-其他类"/>
  </r>
  <r>
    <d v="2025-04-01T00:00:00"/>
    <d v="2025-04-30T00:00:00"/>
    <s v="CA07"/>
    <s v="加拿大七店"/>
    <x v="359"/>
    <s v="桂花蚌（LB）"/>
    <s v="CL5"/>
    <s v="磅-美"/>
    <s v="成本类"/>
    <n v="35"/>
    <n v="96"/>
    <n v="3360"/>
    <s v="Z02"/>
    <s v="成本-荤菜类"/>
  </r>
  <r>
    <d v="2025-04-01T00:00:00"/>
    <d v="2025-04-30T00:00:00"/>
    <s v="CA07"/>
    <s v="加拿大七店"/>
    <x v="360"/>
    <s v="洗衣球（TIDE，76个/瓶）"/>
    <s v="BOT"/>
    <s v="瓶"/>
    <s v="费用类"/>
    <n v="29.68"/>
    <n v="2"/>
    <n v="59.36"/>
    <s v="Z11"/>
    <s v="物料消耗-清洁类"/>
  </r>
  <r>
    <d v="2025-04-01T00:00:00"/>
    <d v="2025-04-30T00:00:00"/>
    <s v="CA07"/>
    <s v="加拿大七店"/>
    <x v="361"/>
    <s v="包浆豆腐（380G*24袋/箱）"/>
    <s v="KG"/>
    <s v="公斤"/>
    <s v="成本类"/>
    <n v="6.08"/>
    <n v="50.16"/>
    <n v="304.74"/>
    <s v="Z03"/>
    <s v="成本-素菜类"/>
  </r>
  <r>
    <d v="2025-04-01T00:00:00"/>
    <d v="2025-04-30T00:00:00"/>
    <s v="CA07"/>
    <s v="加拿大七店"/>
    <x v="362"/>
    <s v="鸭屎香专用茶（300G/包）"/>
    <s v="KG"/>
    <s v="公斤"/>
    <s v="成本类"/>
    <n v="35"/>
    <n v="2.7"/>
    <n v="94.5"/>
    <s v="Z04"/>
    <s v="成本-酒水类"/>
  </r>
  <r>
    <d v="2025-04-01T00:00:00"/>
    <d v="2025-04-30T00:00:00"/>
    <s v="CA07"/>
    <s v="加拿大七店"/>
    <x v="363"/>
    <s v="荔枝肉（520ML/罐）"/>
    <s v="CL9"/>
    <s v="罐"/>
    <s v="成本类"/>
    <n v="4.3"/>
    <n v="49"/>
    <n v="210.69"/>
    <s v="Z06"/>
    <s v="服务费-水果类"/>
  </r>
  <r>
    <d v="2025-04-01T00:00:00"/>
    <d v="2025-04-30T00:00:00"/>
    <s v="CA07"/>
    <s v="加拿大七店"/>
    <x v="364"/>
    <s v="冷冻杨梅（500G/包）"/>
    <s v="KG"/>
    <s v="公斤"/>
    <s v="成本类"/>
    <n v="16.48"/>
    <n v="18.5"/>
    <n v="304.88"/>
    <s v="Z06"/>
    <s v="服务费-水果类"/>
  </r>
  <r>
    <d v="2025-04-01T00:00:00"/>
    <d v="2025-04-30T00:00:00"/>
    <s v="CA07"/>
    <s v="加拿大七店"/>
    <x v="365"/>
    <s v="薯条（盐焗味，5KG/件）"/>
    <s v="KG"/>
    <s v="公斤"/>
    <s v="成本类"/>
    <n v="7.34"/>
    <n v="70"/>
    <n v="513.64"/>
    <s v="Z10"/>
    <s v="服务费-其他类"/>
  </r>
  <r>
    <d v="2025-04-01T00:00:00"/>
    <d v="2025-04-30T00:00:00"/>
    <s v="CA07"/>
    <s v="加拿大七店"/>
    <x v="366"/>
    <s v="香茅碎（227G*30包/箱）"/>
    <s v="KG"/>
    <s v="公斤"/>
    <s v="成本类"/>
    <n v="7.34"/>
    <n v="22.7"/>
    <n v="166.67"/>
    <s v="Z05"/>
    <s v="成本-其他类"/>
  </r>
  <r>
    <d v="2025-04-01T00:00:00"/>
    <d v="2025-04-30T00:00:00"/>
    <s v="CA07"/>
    <s v="加拿大七店"/>
    <x v="367"/>
    <s v="鱼腐（LB）"/>
    <s v="CL5"/>
    <s v="磅-美"/>
    <s v="成本类"/>
    <n v="30"/>
    <n v="50"/>
    <n v="1500"/>
    <s v="Z02"/>
    <s v="成本-荤菜类"/>
  </r>
  <r>
    <d v="2025-04-01T00:00:00"/>
    <d v="2025-04-30T00:00:00"/>
    <s v="CA07"/>
    <s v="加拿大七店"/>
    <x v="368"/>
    <s v="香肠（台湾味，1.5KG*8包/箱）"/>
    <s v="KG"/>
    <s v="公斤"/>
    <s v="成本类"/>
    <n v="13.33"/>
    <n v="34.5"/>
    <n v="460"/>
    <s v="Z07"/>
    <s v="服务费-小吃类"/>
  </r>
  <r>
    <d v="2025-04-01T00:00:00"/>
    <d v="2025-04-30T00:00:00"/>
    <s v="CA07"/>
    <s v="加拿大七店"/>
    <x v="369"/>
    <s v="鸡肉丸（LB）"/>
    <s v="CL5"/>
    <s v="磅-美"/>
    <s v="成本类"/>
    <n v="4.4000000000000004"/>
    <n v="32"/>
    <n v="140.80000000000001"/>
    <s v="Z02"/>
    <s v="成本-荤菜类"/>
  </r>
  <r>
    <d v="2025-04-01T00:00:00"/>
    <d v="2025-04-30T00:00:00"/>
    <s v="CA07"/>
    <s v="加拿大七店"/>
    <x v="370"/>
    <s v="牛肉丸（LB）"/>
    <s v="CL5"/>
    <s v="磅-美"/>
    <s v="成本类"/>
    <n v="4.7"/>
    <n v="160"/>
    <n v="752"/>
    <s v="Z02"/>
    <s v="成本-荤菜类"/>
  </r>
  <r>
    <d v="2025-04-01T00:00:00"/>
    <d v="2025-04-30T00:00:00"/>
    <s v="CA07"/>
    <s v="加拿大七店"/>
    <x v="371"/>
    <s v="烧酒（荔枝味，360ML/瓶）"/>
    <s v="BOT"/>
    <s v="瓶"/>
    <s v="成本类"/>
    <n v="6.62"/>
    <n v="33"/>
    <n v="218.46"/>
    <s v="Z04"/>
    <s v="成本-酒水类"/>
  </r>
  <r>
    <d v="2025-04-01T00:00:00"/>
    <d v="2025-04-30T00:00:00"/>
    <s v="CA07"/>
    <s v="加拿大七店"/>
    <x v="372"/>
    <s v="烧酒（苹果味，360ML/瓶）"/>
    <s v="BOT"/>
    <s v="瓶"/>
    <s v="成本类"/>
    <n v="6.72"/>
    <n v="18"/>
    <n v="120.96"/>
    <s v="Z04"/>
    <s v="成本-酒水类"/>
  </r>
  <r>
    <d v="2025-04-01T00:00:00"/>
    <d v="2025-04-30T00:00:00"/>
    <s v="CA07"/>
    <s v="加拿大七店"/>
    <x v="373"/>
    <s v="烧酒（CHUMCHURUM，青提味，360ML/瓶）"/>
    <s v="BOT"/>
    <s v="瓶"/>
    <s v="成本类"/>
    <n v="6.69"/>
    <n v="16"/>
    <n v="107.04"/>
    <s v="Z04"/>
    <s v="成本-酒水类"/>
  </r>
  <r>
    <d v="2025-04-01T00:00:00"/>
    <d v="2025-04-30T00:00:00"/>
    <s v="CA07"/>
    <s v="加拿大七店"/>
    <x v="374"/>
    <s v="养乐多（EPOCA，62.1ML*50瓶/箱）"/>
    <s v="BOT"/>
    <s v="瓶"/>
    <s v="成本类"/>
    <n v="0.24"/>
    <n v="800"/>
    <n v="191.84"/>
    <s v="Z04"/>
    <s v="成本-酒水类"/>
  </r>
  <r>
    <d v="2025-04-01T00:00:00"/>
    <d v="2025-04-30T00:00:00"/>
    <s v="CA07"/>
    <s v="加拿大七店"/>
    <x v="375"/>
    <s v="胡萝卜（LB）"/>
    <s v="CL5"/>
    <s v="磅-美"/>
    <s v="费用类"/>
    <n v="1"/>
    <n v="10.8"/>
    <n v="10.8"/>
    <s v="Z05"/>
    <s v="成本-其他类"/>
  </r>
  <r>
    <d v="2025-04-01T00:00:00"/>
    <d v="2025-04-30T00:00:00"/>
    <s v="CA07"/>
    <s v="加拿大七店"/>
    <x v="376"/>
    <s v="黑色垃圾袋（大，35*50CM，100个/箱）"/>
    <s v="Z05"/>
    <s v="个"/>
    <s v="费用类"/>
    <n v="0.25"/>
    <n v="200"/>
    <n v="50"/>
    <s v="Z15"/>
    <s v="物料消耗-其他类"/>
  </r>
  <r>
    <d v="2025-04-01T00:00:00"/>
    <d v="2025-04-30T00:00:00"/>
    <s v="CA07"/>
    <s v="加拿大七店"/>
    <x v="377"/>
    <s v="麻薯（454G*20包/箱）"/>
    <s v="KG"/>
    <s v="公斤"/>
    <s v="成本类"/>
    <n v="9.2799999999999994"/>
    <n v="57.204000000000001"/>
    <n v="530.97"/>
    <s v="Z05"/>
    <s v="成本-其他类"/>
  </r>
  <r>
    <d v="2025-04-01T00:00:00"/>
    <d v="2025-04-30T00:00:00"/>
    <s v="CA07"/>
    <s v="加拿大七店"/>
    <x v="378"/>
    <s v="伏特加（1.14L/瓶）"/>
    <s v="BOT"/>
    <s v="瓶"/>
    <s v="成本类"/>
    <n v="28.81"/>
    <n v="1"/>
    <n v="28.81"/>
    <s v="Z04"/>
    <s v="成本-酒水类"/>
  </r>
  <r>
    <d v="2025-04-01T00:00:00"/>
    <d v="2025-04-30T00:00:00"/>
    <s v="CA07"/>
    <s v="加拿大七店"/>
    <x v="379"/>
    <s v="蓝橙利口酒（750ML/瓶）"/>
    <s v="BOT"/>
    <s v="瓶"/>
    <s v="成本类"/>
    <n v="17.309999999999999"/>
    <n v="2.2999999999999998"/>
    <n v="39.81"/>
    <s v="Z04"/>
    <s v="成本-酒水类"/>
  </r>
  <r>
    <d v="2025-04-01T00:00:00"/>
    <d v="2025-04-30T00:00:00"/>
    <s v="CA07"/>
    <s v="加拿大七店"/>
    <x v="380"/>
    <s v="红樱桃利口酒（750ML/瓶）"/>
    <s v="BOT"/>
    <s v="瓶"/>
    <s v="成本类"/>
    <n v="16.36"/>
    <n v="1.7"/>
    <n v="27.82"/>
    <s v="Z04"/>
    <s v="成本-酒水类"/>
  </r>
  <r>
    <d v="2025-04-01T00:00:00"/>
    <d v="2025-04-30T00:00:00"/>
    <s v="CA07"/>
    <s v="加拿大七店"/>
    <x v="381"/>
    <s v="朗姆酒（1.14L/瓶）"/>
    <s v="BOT"/>
    <s v="瓶"/>
    <s v="成本类"/>
    <n v="24.77"/>
    <n v="1"/>
    <n v="24.77"/>
    <s v="Z04"/>
    <s v="成本-酒水类"/>
  </r>
  <r>
    <d v="2025-04-01T00:00:00"/>
    <d v="2025-04-30T00:00:00"/>
    <s v="CA07"/>
    <s v="加拿大七店"/>
    <x v="382"/>
    <s v="橙汁（960ML*12瓶/箱）"/>
    <s v="BOT"/>
    <s v="瓶"/>
    <s v="成本类"/>
    <n v="3.23"/>
    <n v="3"/>
    <n v="9.6999999999999993"/>
    <s v="Z04"/>
    <s v="成本-酒水类"/>
  </r>
  <r>
    <d v="2025-04-01T00:00:00"/>
    <d v="2025-04-30T00:00:00"/>
    <s v="CA07"/>
    <s v="加拿大七店"/>
    <x v="383"/>
    <s v="火锅苕皮（加拿大，1.5KG*8包/件）"/>
    <s v="KG"/>
    <s v="公斤"/>
    <s v="成本类"/>
    <n v="3.68"/>
    <n v="48"/>
    <n v="176.57"/>
    <s v="Z03"/>
    <s v="成本-素菜类"/>
  </r>
  <r>
    <d v="2025-04-01T00:00:00"/>
    <d v="2025-04-30T00:00:00"/>
    <s v="CA07"/>
    <s v="加拿大七店"/>
    <x v="384"/>
    <s v="奶酪鱼条（千味，500G*12盒/箱）"/>
    <s v="KG"/>
    <s v="公斤"/>
    <s v="成本类"/>
    <n v="10.83"/>
    <n v="6.5"/>
    <n v="70.42"/>
    <s v="Z07"/>
    <s v="服务费-小吃类"/>
  </r>
  <r>
    <d v="2025-04-01T00:00:00"/>
    <d v="2025-04-30T00:00:00"/>
    <s v="CA07"/>
    <s v="加拿大七店"/>
    <x v="385"/>
    <s v="金酒（歌顿，1.14ML/瓶）"/>
    <s v="BOT"/>
    <s v="瓶"/>
    <s v="成本类"/>
    <n v="28.4"/>
    <n v="1"/>
    <n v="28.4"/>
    <s v="Z04"/>
    <s v="成本-酒水类"/>
  </r>
  <r>
    <d v="2025-04-01T00:00:00"/>
    <d v="2025-04-30T00:00:00"/>
    <s v="CA07"/>
    <s v="加拿大七店"/>
    <x v="386"/>
    <s v="朗姆酒（750ML/瓶）"/>
    <s v="BOT"/>
    <s v="瓶"/>
    <s v="成本类"/>
    <n v="18.97"/>
    <n v="1.2"/>
    <n v="22.76"/>
    <s v="Z04"/>
    <s v="成本-酒水类"/>
  </r>
  <r>
    <d v="2025-04-01T00:00:00"/>
    <d v="2025-04-30T00:00:00"/>
    <s v="CA07"/>
    <s v="加拿大七店"/>
    <x v="387"/>
    <s v="蓝带啤酒（355ML*24瓶/箱）"/>
    <s v="BOT"/>
    <s v="瓶"/>
    <s v="成本类"/>
    <n v="1.34"/>
    <n v="109"/>
    <n v="146.16999999999999"/>
    <s v="Z04"/>
    <s v="成本-酒水类"/>
  </r>
  <r>
    <d v="2025-04-01T00:00:00"/>
    <d v="2025-04-30T00:00:00"/>
    <s v="CA07"/>
    <s v="加拿大七店"/>
    <x v="388"/>
    <s v="砂糖桔（9KG/箱）"/>
    <s v="KG"/>
    <s v="公斤"/>
    <s v="成本类"/>
    <n v="3.33"/>
    <n v="855"/>
    <n v="2850"/>
    <s v="Z06"/>
    <s v="服务费-水果类"/>
  </r>
  <r>
    <d v="2025-04-01T00:00:00"/>
    <d v="2025-04-30T00:00:00"/>
    <s v="CA07"/>
    <s v="加拿大七店"/>
    <x v="389"/>
    <s v="柠檬茶（341ML*32听/箱）"/>
    <s v="Z01"/>
    <s v="听"/>
    <s v="成本类"/>
    <n v="0.52"/>
    <n v="149"/>
    <n v="76.97"/>
    <s v="Z04"/>
    <s v="成本-酒水类"/>
  </r>
  <r>
    <d v="2025-04-01T00:00:00"/>
    <d v="2025-04-30T00:00:00"/>
    <s v="CA07"/>
    <s v="加拿大七店"/>
    <x v="390"/>
    <s v="啤酒（SAPPORO，30L/桶）"/>
    <s v="Z36"/>
    <s v="桶"/>
    <s v="成本类"/>
    <n v="127.9"/>
    <n v="20.5"/>
    <n v="2621.97"/>
    <s v="Z04"/>
    <s v="成本-酒水类"/>
  </r>
  <r>
    <d v="2025-04-01T00:00:00"/>
    <d v="2025-04-30T00:00:00"/>
    <s v="CA07"/>
    <s v="加拿大七店"/>
    <x v="391"/>
    <s v="榛果巧克力醬（3KG/罐）"/>
    <s v="KG"/>
    <s v="公斤"/>
    <s v="成本类"/>
    <n v="11.33"/>
    <n v="10.5"/>
    <n v="118.96"/>
    <s v="Z05"/>
    <s v="成本-其他类"/>
  </r>
  <r>
    <d v="2025-04-01T00:00:00"/>
    <d v="2025-04-30T00:00:00"/>
    <s v="CA07"/>
    <s v="加拿大七店"/>
    <x v="392"/>
    <s v="苏打水（355ML*12瓶/箱）"/>
    <s v="BOT"/>
    <s v="瓶"/>
    <s v="成本类"/>
    <n v="0.66"/>
    <n v="140"/>
    <n v="91.88"/>
    <s v="Z04"/>
    <s v="成本-酒水类"/>
  </r>
  <r>
    <d v="2025-04-01T00:00:00"/>
    <d v="2025-04-30T00:00:00"/>
    <s v="CA07"/>
    <s v="加拿大七店"/>
    <x v="393"/>
    <s v="素春卷（品坊，100个*12盒/箱）"/>
    <s v="Z05"/>
    <s v="个"/>
    <s v="费用类"/>
    <n v="0.1"/>
    <n v="800"/>
    <n v="83.83"/>
    <s v="Z07"/>
    <s v="服务费-小吃类"/>
  </r>
  <r>
    <d v="2025-04-01T00:00:00"/>
    <d v="2025-04-30T00:00:00"/>
    <s v="CA07"/>
    <s v="加拿大七店"/>
    <x v="394"/>
    <s v="打包碗（LBK，400ML，白，600个/箱）"/>
    <s v="Z05"/>
    <s v="个"/>
    <s v="费用类"/>
    <n v="0.06"/>
    <n v="2400"/>
    <n v="150"/>
    <s v="Z15"/>
    <s v="物料消耗-其他类"/>
  </r>
  <r>
    <d v="2025-04-01T00:00:00"/>
    <d v="2025-04-30T00:00:00"/>
    <s v="CA07"/>
    <s v="加拿大七店"/>
    <x v="395"/>
    <s v="打包碗盖（LBK，400ML，白，600个/箱）"/>
    <s v="Z05"/>
    <s v="个"/>
    <s v="费用类"/>
    <n v="0.05"/>
    <n v="1200"/>
    <n v="55.8"/>
    <s v="Z15"/>
    <s v="物料消耗-其他类"/>
  </r>
  <r>
    <d v="2025-04-01T00:00:00"/>
    <d v="2025-04-30T00:00:00"/>
    <s v="CA07"/>
    <s v="加拿大七店"/>
    <x v="396"/>
    <s v="漂白水（餐具专用，4L*4桶/箱）"/>
    <s v="Z36"/>
    <s v="桶"/>
    <s v="费用类"/>
    <n v="9.25"/>
    <n v="37"/>
    <n v="342.25"/>
    <s v="Z11"/>
    <s v="物料消耗-清洁类"/>
  </r>
  <r>
    <d v="2025-04-01T00:00:00"/>
    <d v="2025-04-30T00:00:00"/>
    <s v="CA07"/>
    <s v="加拿大七店"/>
    <x v="397"/>
    <s v="喷射奶油（KIRKLAND，400G*2罐/袋）"/>
    <s v="CL9"/>
    <s v="罐"/>
    <s v="成本类"/>
    <n v="5"/>
    <n v="12"/>
    <n v="59.94"/>
    <s v="Z04"/>
    <s v="成本-酒水类"/>
  </r>
  <r>
    <d v="2025-04-01T00:00:00"/>
    <d v="2025-04-30T00:00:00"/>
    <s v="CA07"/>
    <s v="加拿大七店"/>
    <x v="398"/>
    <s v="带皮无骨鸡扒（LB）"/>
    <s v="CL5"/>
    <s v="磅-美"/>
    <s v="费用类"/>
    <n v="3.59"/>
    <n v="50"/>
    <n v="179.5"/>
    <s v="Z21"/>
    <s v="员工餐"/>
  </r>
  <r>
    <d v="2025-04-01T00:00:00"/>
    <d v="2025-04-30T00:00:00"/>
    <s v="CA07"/>
    <s v="加拿大七店"/>
    <x v="398"/>
    <s v="带皮无骨鸡扒（LB）"/>
    <s v="CL5"/>
    <s v="磅-美"/>
    <s v="成本类"/>
    <n v="3.59"/>
    <n v="10"/>
    <n v="35.9"/>
    <s v="Z21"/>
    <s v="员工餐"/>
  </r>
  <r>
    <d v="2025-04-01T00:00:00"/>
    <d v="2025-04-30T00:00:00"/>
    <s v="CA07"/>
    <s v="加拿大七店"/>
    <x v="399"/>
    <s v="提拉米苏（63个/箱）"/>
    <s v="Z05"/>
    <s v="个"/>
    <s v="成本类"/>
    <n v="0.52"/>
    <n v="819"/>
    <n v="428.61"/>
    <s v="Z07"/>
    <s v="服务费-小吃类"/>
  </r>
  <r>
    <d v="2025-04-01T00:00:00"/>
    <d v="2025-04-30T00:00:00"/>
    <s v="CA07"/>
    <s v="加拿大七店"/>
    <x v="400"/>
    <s v="春樱莓莓（草莓味糕点，35G*120个/箱）"/>
    <s v="Z05"/>
    <s v="个"/>
    <s v="成本类"/>
    <n v="0.64"/>
    <n v="130"/>
    <n v="83.19"/>
    <s v="Z05"/>
    <s v="成本-其他类"/>
  </r>
  <r>
    <d v="2025-04-01T00:00:00"/>
    <d v="2025-04-30T00:00:00"/>
    <s v="CA07"/>
    <s v="加拿大七店"/>
    <x v="401"/>
    <s v="乌冬面（230G*5片*8包/箱）"/>
    <s v="KG"/>
    <s v="公斤"/>
    <s v="成本类"/>
    <n v="3.1"/>
    <n v="18.399999999999999"/>
    <n v="57"/>
    <s v="Z03"/>
    <s v="成本-素菜类"/>
  </r>
  <r>
    <d v="2025-04-01T00:00:00"/>
    <d v="2025-04-30T00:00:00"/>
    <s v="CA07"/>
    <s v="加拿大七店"/>
    <x v="402"/>
    <s v="哈密瓜冰淇淋（75ML*36个/箱）"/>
    <s v="Z05"/>
    <s v="个"/>
    <s v="成本类"/>
    <n v="0.45"/>
    <n v="540"/>
    <n v="243"/>
    <s v="Z05"/>
    <s v="成本-其他类"/>
  </r>
  <r>
    <d v="2025-04-01T00:00:00"/>
    <d v="2025-04-30T00:00:00"/>
    <s v="CA07"/>
    <s v="加拿大七店"/>
    <x v="403"/>
    <s v="圣女果（LB）"/>
    <s v="CL5"/>
    <s v="磅-美"/>
    <s v="成本类"/>
    <n v="2.77"/>
    <n v="347.17"/>
    <n v="960.09"/>
    <s v="Z05"/>
    <s v="成本-其他类"/>
  </r>
  <r>
    <d v="2025-04-01T00:00:00"/>
    <d v="2025-04-30T00:00:00"/>
    <s v="CA07"/>
    <s v="加拿大七店"/>
    <x v="404"/>
    <s v="BUCKHEAD燃油费（批）"/>
    <s v="F01"/>
    <s v="批"/>
    <s v="成本类"/>
    <n v="11"/>
    <n v="10"/>
    <n v="110"/>
    <s v="Z10"/>
    <s v="服务费-其他类"/>
  </r>
  <r>
    <d v="2025-04-01T00:00:00"/>
    <d v="2025-04-30T00:00:00"/>
    <s v="CA07"/>
    <s v="加拿大七店"/>
    <x v="405"/>
    <s v="#2四方盒（100个/箱）"/>
    <s v="Z05"/>
    <s v="个"/>
    <s v="费用类"/>
    <n v="0.89"/>
    <n v="10"/>
    <n v="8.9"/>
    <s v="Z12"/>
    <s v="物料消耗-餐具类"/>
  </r>
  <r>
    <d v="2025-04-01T00:00:00"/>
    <d v="2025-04-30T00:00:00"/>
    <s v="CA07"/>
    <s v="加拿大七店"/>
    <x v="406"/>
    <s v="打包盒（1200ML，300个/箱）"/>
    <s v="Z05"/>
    <s v="个"/>
    <s v="费用类"/>
    <n v="0.14000000000000001"/>
    <n v="300"/>
    <n v="42.5"/>
    <s v="Z12"/>
    <s v="物料消耗-餐具类"/>
  </r>
  <r>
    <d v="2025-04-01T00:00:00"/>
    <d v="2025-04-30T00:00:00"/>
    <s v="CA07"/>
    <s v="加拿大七店"/>
    <x v="407"/>
    <s v="饮料瓶子押金（瓶）"/>
    <s v="BOT"/>
    <s v="瓶"/>
    <s v="成本类"/>
    <n v="0.1"/>
    <n v="626"/>
    <n v="63.04"/>
    <s v="Z20"/>
    <s v="劳动保护费"/>
  </r>
  <r>
    <d v="2025-04-01T00:00:00"/>
    <d v="2025-04-30T00:00:00"/>
    <s v="CA07"/>
    <s v="加拿大七店"/>
    <x v="408"/>
    <s v="饮料瓶子回收费（箱）"/>
    <s v="Z34"/>
    <s v="箱"/>
    <s v="成本类"/>
    <n v="1.45"/>
    <n v="24"/>
    <n v="34.799999999999997"/>
    <s v="Z20"/>
    <s v="劳动保护费"/>
  </r>
  <r>
    <d v="2025-04-01T00:00:00"/>
    <d v="2025-04-30T00:00:00"/>
    <s v="CA07"/>
    <s v="加拿大七店"/>
    <x v="409"/>
    <s v="北冰洋（24听/件）"/>
    <s v="Z01"/>
    <s v="听"/>
    <s v="成本类"/>
    <n v="1"/>
    <n v="162"/>
    <n v="162"/>
    <s v="Z04"/>
    <s v="成本-酒水类"/>
  </r>
  <r>
    <d v="2025-04-01T00:00:00"/>
    <d v="2025-04-30T00:00:00"/>
    <s v="CA07"/>
    <s v="加拿大七店"/>
    <x v="410"/>
    <s v="醪糟（米婆婆，900G*6瓶/件）"/>
    <s v="KG"/>
    <s v="公斤"/>
    <s v="成本类"/>
    <n v="3.11"/>
    <n v="15.3"/>
    <n v="47.6"/>
    <s v="Z05"/>
    <s v="成本-其他类"/>
  </r>
  <r>
    <d v="2025-04-01T00:00:00"/>
    <d v="2025-04-30T00:00:00"/>
    <s v="CA07"/>
    <s v="加拿大七店"/>
    <x v="411"/>
    <s v="红豆（25KG/袋）"/>
    <s v="KG"/>
    <s v="公斤"/>
    <s v="成本类"/>
    <n v="4.5999999999999996"/>
    <n v="65"/>
    <n v="299"/>
    <s v="Z05"/>
    <s v="成本-其他类"/>
  </r>
  <r>
    <d v="2025-04-01T00:00:00"/>
    <d v="2025-04-30T00:00:00"/>
    <s v="CA07"/>
    <s v="加拿大七店"/>
    <x v="412"/>
    <s v="韭花酱（王致和，320G*24瓶/件）"/>
    <s v="KG"/>
    <s v="公斤"/>
    <s v="成本类"/>
    <n v="4.58"/>
    <n v="37.76"/>
    <n v="172.79"/>
    <s v="Z05"/>
    <s v="成本-其他类"/>
  </r>
  <r>
    <d v="2025-04-01T00:00:00"/>
    <d v="2025-04-30T00:00:00"/>
    <s v="CA07"/>
    <s v="加拿大七店"/>
    <x v="413"/>
    <s v="老陈醋（龙眼井，420ML*15瓶/件）"/>
    <s v="L"/>
    <s v="升"/>
    <s v="成本类"/>
    <n v="6.27"/>
    <n v="0.84"/>
    <n v="5.27"/>
    <s v="Z05"/>
    <s v="成本-其他类"/>
  </r>
  <r>
    <d v="2025-04-01T00:00:00"/>
    <d v="2025-04-30T00:00:00"/>
    <s v="CA07"/>
    <s v="加拿大七店"/>
    <x v="414"/>
    <s v="鸡粉（家乐，1KG*12桶/件）"/>
    <s v="KG"/>
    <s v="公斤"/>
    <s v="成本类"/>
    <n v="10"/>
    <n v="6"/>
    <n v="60"/>
    <s v="Z05"/>
    <s v="成本-其他类"/>
  </r>
  <r>
    <d v="2025-04-01T00:00:00"/>
    <d v="2025-04-30T00:00:00"/>
    <s v="CA07"/>
    <s v="加拿大七店"/>
    <x v="415"/>
    <s v="金酒（歌顿，750ML/瓶）"/>
    <s v="L"/>
    <s v="升"/>
    <s v="成本类"/>
    <n v="26.79"/>
    <n v="0.53"/>
    <n v="14.2"/>
    <s v="Z04"/>
    <s v="成本-酒水类"/>
  </r>
  <r>
    <d v="2025-04-01T00:00:00"/>
    <d v="2025-04-30T00:00:00"/>
    <s v="CA07"/>
    <s v="加拿大七店"/>
    <x v="416"/>
    <s v="经典黑芝麻汤圆（思念，320G*18包/件）"/>
    <s v="KG"/>
    <s v="公斤"/>
    <s v="费用类"/>
    <n v="10.07"/>
    <n v="5.76"/>
    <n v="58"/>
    <s v="Z07"/>
    <s v="服务费-小吃类"/>
  </r>
  <r>
    <d v="2025-04-01T00:00:00"/>
    <d v="2025-04-30T00:00:00"/>
    <s v="CA07"/>
    <s v="加拿大七店"/>
    <x v="417"/>
    <s v="芝麻油（燕庄，5L*4桶/件）"/>
    <s v="L"/>
    <s v="升"/>
    <s v="成本类"/>
    <n v="4.58"/>
    <n v="140"/>
    <n v="640.73"/>
    <s v="Z05"/>
    <s v="成本-其他类"/>
  </r>
  <r>
    <d v="2025-04-01T00:00:00"/>
    <d v="2025-04-30T00:00:00"/>
    <s v="CA07"/>
    <s v="加拿大七店"/>
    <x v="418"/>
    <s v="榨菜（乌江，80G*100袋/件）"/>
    <s v="KG"/>
    <s v="公斤"/>
    <s v="成本类"/>
    <n v="5.72"/>
    <n v="30.4"/>
    <n v="174"/>
    <s v="Z05"/>
    <s v="成本-其他类"/>
  </r>
  <r>
    <d v="2025-04-01T00:00:00"/>
    <d v="2025-04-30T00:00:00"/>
    <s v="CA07"/>
    <s v="加拿大七店"/>
    <x v="419"/>
    <s v="满天星"/>
    <s v="Z24"/>
    <s v="把"/>
    <s v="成本类"/>
    <n v="22"/>
    <n v="20"/>
    <n v="440"/>
    <s v="Z15"/>
    <s v="物料消耗-其他类"/>
  </r>
  <r>
    <d v="2025-04-01T00:00:00"/>
    <d v="2025-04-30T00:00:00"/>
    <s v="CA07"/>
    <s v="加拿大七店"/>
    <x v="420"/>
    <s v="泡小米辣（泡坛，2KG*6包/件）"/>
    <s v="KG"/>
    <s v="公斤"/>
    <s v="成本类"/>
    <n v="2.42"/>
    <n v="36"/>
    <n v="87"/>
    <s v="Z05"/>
    <s v="成本-其他类"/>
  </r>
  <r>
    <d v="2025-04-01T00:00:00"/>
    <d v="2025-04-30T00:00:00"/>
    <s v="CA07"/>
    <s v="加拿大七店"/>
    <x v="421"/>
    <s v="海底捞啤酒（大麦拉格，500ML*12瓶/件）"/>
    <s v="BOT"/>
    <s v="瓶"/>
    <s v="成本类"/>
    <n v="3"/>
    <n v="95"/>
    <n v="284.68"/>
    <s v="Z04"/>
    <s v="成本-酒水类"/>
  </r>
  <r>
    <d v="2025-04-01T00:00:00"/>
    <d v="2025-04-30T00:00:00"/>
    <s v="CA07"/>
    <s v="加拿大七店"/>
    <x v="422"/>
    <s v="鱼豆腐（227G*40包/件）-BJZT"/>
    <s v="KG"/>
    <s v="公斤"/>
    <s v="成本类"/>
    <n v="8.81"/>
    <n v="9.7609999999999992"/>
    <n v="86"/>
    <s v="Z03"/>
    <s v="成本-素菜类"/>
  </r>
  <r>
    <d v="2025-04-01T00:00:00"/>
    <d v="2025-04-30T00:00:00"/>
    <s v="CA07"/>
    <s v="加拿大七店"/>
    <x v="423"/>
    <s v="海南黄灯笼椒酱（海风黄灯龙，700G*12瓶/件）"/>
    <s v="KG"/>
    <s v="公斤"/>
    <s v="成本类"/>
    <n v="10.71"/>
    <n v="18.2"/>
    <n v="195"/>
    <s v="Z05"/>
    <s v="成本-其他类"/>
  </r>
  <r>
    <d v="2025-04-01T00:00:00"/>
    <d v="2025-04-30T00:00:00"/>
    <s v="CA07"/>
    <s v="加拿大七店"/>
    <x v="424"/>
    <s v="香辣蘸料（翠宏，400G*25包/件）—BJXH"/>
    <s v="KG"/>
    <s v="公斤"/>
    <s v="成本类"/>
    <n v="7.09"/>
    <n v="40.799999999999997"/>
    <n v="289.20999999999998"/>
    <s v="Z05"/>
    <s v="成本-其他类"/>
  </r>
  <r>
    <d v="2025-04-01T00:00:00"/>
    <d v="2025-04-30T00:00:00"/>
    <s v="CA07"/>
    <s v="加拿大七店"/>
    <x v="425"/>
    <s v="康乃馨（多头，鲜）"/>
    <s v="Z24"/>
    <s v="把"/>
    <s v="成本类"/>
    <n v="25"/>
    <n v="11"/>
    <n v="275"/>
    <s v="Z15"/>
    <s v="物料消耗-其他类"/>
  </r>
  <r>
    <d v="2025-04-01T00:00:00"/>
    <d v="2025-04-30T00:00:00"/>
    <s v="CA07"/>
    <s v="加拿大七店"/>
    <x v="426"/>
    <s v="黑糖糖浆（欧本，2.5KG*6瓶/件）"/>
    <s v="BOT"/>
    <s v="瓶"/>
    <s v="成本类"/>
    <n v="17"/>
    <n v="3"/>
    <n v="51"/>
    <s v="Z05"/>
    <s v="成本-其他类"/>
  </r>
  <r>
    <d v="2025-04-01T00:00:00"/>
    <d v="2025-04-30T00:00:00"/>
    <s v="CA07"/>
    <s v="加拿大七店"/>
    <x v="427"/>
    <s v="冻豆腐（2.5KG*4包/件）"/>
    <s v="KG"/>
    <s v="公斤"/>
    <s v="成本类"/>
    <n v="2.91"/>
    <n v="132.5"/>
    <n v="386.21"/>
    <s v="Z03"/>
    <s v="成本-素菜类"/>
  </r>
  <r>
    <d v="2025-04-01T00:00:00"/>
    <d v="2025-04-30T00:00:00"/>
    <s v="CA07"/>
    <s v="加拿大七店"/>
    <x v="428"/>
    <s v="前堂男款围裙（蓝色）"/>
    <s v="Z19"/>
    <s v="条"/>
    <s v="费用类"/>
    <n v="3.59"/>
    <n v="10"/>
    <n v="35.880000000000003"/>
    <s v="Z15"/>
    <s v="物料消耗-其他类"/>
  </r>
  <r>
    <d v="2025-04-01T00:00:00"/>
    <d v="2025-04-30T00:00:00"/>
    <s v="CA07"/>
    <s v="加拿大七店"/>
    <x v="429"/>
    <s v="冬季前堂男上衣（蓝色，S号）"/>
    <s v="Z18"/>
    <s v="件"/>
    <s v="费用类"/>
    <n v="8.61"/>
    <n v="10"/>
    <n v="86.12"/>
    <s v="Z15"/>
    <s v="物料消耗-其他类"/>
  </r>
  <r>
    <d v="2025-04-01T00:00:00"/>
    <d v="2025-04-30T00:00:00"/>
    <s v="CA07"/>
    <s v="加拿大七店"/>
    <x v="430"/>
    <s v="冬季前堂男上衣（蓝色，M号）"/>
    <s v="Z18"/>
    <s v="件"/>
    <s v="费用类"/>
    <n v="8.61"/>
    <n v="10"/>
    <n v="86.12"/>
    <s v="Z20"/>
    <s v="劳动保护费"/>
  </r>
  <r>
    <d v="2025-04-01T00:00:00"/>
    <d v="2025-04-30T00:00:00"/>
    <s v="CA07"/>
    <s v="加拿大七店"/>
    <x v="431"/>
    <s v="冬季前堂男上衣（蓝色，L号）"/>
    <s v="Z18"/>
    <s v="件"/>
    <s v="费用类"/>
    <n v="8.61"/>
    <n v="10"/>
    <n v="86.12"/>
    <s v="Z20"/>
    <s v="劳动保护费"/>
  </r>
  <r>
    <d v="2025-04-01T00:00:00"/>
    <d v="2025-04-30T00:00:00"/>
    <s v="CA07"/>
    <s v="加拿大七店"/>
    <x v="432"/>
    <s v="冬季前堂男上衣（蓝色，XL号）"/>
    <s v="Z18"/>
    <s v="件"/>
    <s v="费用类"/>
    <n v="8.61"/>
    <n v="10"/>
    <n v="86.12"/>
    <s v="Z20"/>
    <s v="劳动保护费"/>
  </r>
  <r>
    <d v="2025-04-01T00:00:00"/>
    <d v="2025-04-30T00:00:00"/>
    <s v="CA07"/>
    <s v="加拿大七店"/>
    <x v="433"/>
    <s v="冬季前堂男上衣（蓝色，XXL号）"/>
    <s v="Z18"/>
    <s v="件"/>
    <s v="费用类"/>
    <n v="8.61"/>
    <n v="10"/>
    <n v="86.12"/>
    <s v="Z20"/>
    <s v="劳动保护费"/>
  </r>
  <r>
    <d v="2025-04-01T00:00:00"/>
    <d v="2025-04-30T00:00:00"/>
    <s v="CA07"/>
    <s v="加拿大七店"/>
    <x v="434"/>
    <s v="冬季前堂男上衣（蓝色，XXXL号）"/>
    <s v="Z18"/>
    <s v="件"/>
    <s v="费用类"/>
    <n v="8.61"/>
    <n v="10"/>
    <n v="86.12"/>
    <s v="Z20"/>
    <s v="劳动保护费"/>
  </r>
  <r>
    <d v="2025-04-01T00:00:00"/>
    <d v="2025-04-30T00:00:00"/>
    <s v="CA07"/>
    <s v="加拿大七店"/>
    <x v="435"/>
    <s v="冬季前堂男上衣（蓝色，XXXXL号）"/>
    <s v="Z18"/>
    <s v="件"/>
    <s v="费用类"/>
    <n v="8.61"/>
    <n v="10"/>
    <n v="86.12"/>
    <s v="Z20"/>
    <s v="劳动保护费"/>
  </r>
  <r>
    <d v="2025-04-01T00:00:00"/>
    <d v="2025-04-30T00:00:00"/>
    <s v="CA07"/>
    <s v="加拿大七店"/>
    <x v="436"/>
    <s v="智慧餐厅夏季黑色男T恤L号"/>
    <s v="Z18"/>
    <s v="件"/>
    <s v="费用类"/>
    <n v="7.18"/>
    <n v="5"/>
    <n v="35.880000000000003"/>
    <s v="Z15"/>
    <s v="物料消耗-其他类"/>
  </r>
  <r>
    <d v="2025-04-01T00:00:00"/>
    <d v="2025-04-30T00:00:00"/>
    <s v="CA07"/>
    <s v="加拿大七店"/>
    <x v="437"/>
    <s v="智慧餐厅夏季黑色男T恤M号"/>
    <s v="Z18"/>
    <s v="件"/>
    <s v="费用类"/>
    <n v="7.18"/>
    <n v="5"/>
    <n v="35.880000000000003"/>
    <s v="Z15"/>
    <s v="物料消耗-其他类"/>
  </r>
  <r>
    <d v="2025-04-01T00:00:00"/>
    <d v="2025-04-30T00:00:00"/>
    <s v="CA07"/>
    <s v="加拿大七店"/>
    <x v="438"/>
    <s v="智慧餐厅夏季黑色男T恤XL号"/>
    <s v="Z18"/>
    <s v="件"/>
    <s v="费用类"/>
    <n v="7.18"/>
    <n v="5"/>
    <n v="35.880000000000003"/>
    <s v="Z15"/>
    <s v="物料消耗-其他类"/>
  </r>
  <r>
    <d v="2025-04-01T00:00:00"/>
    <d v="2025-04-30T00:00:00"/>
    <s v="CA07"/>
    <s v="加拿大七店"/>
    <x v="439"/>
    <s v="智慧餐厅夏季黑色男T恤XXL号"/>
    <s v="Z18"/>
    <s v="件"/>
    <s v="费用类"/>
    <n v="7.18"/>
    <n v="10"/>
    <n v="71.77"/>
    <s v="Z20"/>
    <s v="劳动保护费"/>
  </r>
  <r>
    <d v="2025-04-01T00:00:00"/>
    <d v="2025-04-30T00:00:00"/>
    <s v="CA07"/>
    <s v="加拿大七店"/>
    <x v="440"/>
    <s v="智慧餐厅夏季黑色男T恤XXXL号"/>
    <s v="Z18"/>
    <s v="件"/>
    <s v="费用类"/>
    <n v="7.18"/>
    <n v="15"/>
    <n v="107.65"/>
    <s v="Z20"/>
    <s v="劳动保护费"/>
  </r>
  <r>
    <d v="2025-04-01T00:00:00"/>
    <d v="2025-04-30T00:00:00"/>
    <s v="CA07"/>
    <s v="加拿大七店"/>
    <x v="441"/>
    <s v="智慧餐厅夏季黑色男T恤XXXXL号"/>
    <s v="Z18"/>
    <s v="件"/>
    <s v="费用类"/>
    <n v="7.18"/>
    <n v="15"/>
    <n v="107.65"/>
    <s v="Z20"/>
    <s v="劳动保护费"/>
  </r>
  <r>
    <d v="2025-04-01T00:00:00"/>
    <d v="2025-04-30T00:00:00"/>
    <s v="CA07"/>
    <s v="加拿大七店"/>
    <x v="442"/>
    <s v="智慧餐厅冬季传菜组男T恤XL号（黑色）"/>
    <s v="Z18"/>
    <s v="件"/>
    <s v="费用类"/>
    <n v="7.18"/>
    <n v="5"/>
    <n v="35.89"/>
    <s v="Z15"/>
    <s v="物料消耗-其他类"/>
  </r>
  <r>
    <d v="2025-04-01T00:00:00"/>
    <d v="2025-04-30T00:00:00"/>
    <s v="CA07"/>
    <s v="加拿大七店"/>
    <x v="443"/>
    <s v="智慧餐厅冬季传菜组男T恤S号（黑色）"/>
    <s v="Z18"/>
    <s v="件"/>
    <s v="费用类"/>
    <n v="7.18"/>
    <n v="5"/>
    <n v="35.880000000000003"/>
    <s v="Z15"/>
    <s v="物料消耗-其他类"/>
  </r>
  <r>
    <d v="2025-04-01T00:00:00"/>
    <d v="2025-04-30T00:00:00"/>
    <s v="CA07"/>
    <s v="加拿大七店"/>
    <x v="444"/>
    <s v="智慧餐厅冬季传菜组男T恤XXXL号（黑色）"/>
    <s v="Z18"/>
    <s v="件"/>
    <s v="费用类"/>
    <n v="7.18"/>
    <n v="5"/>
    <n v="35.880000000000003"/>
    <s v="Z20"/>
    <s v="劳动保护费"/>
  </r>
  <r>
    <d v="2025-04-01T00:00:00"/>
    <d v="2025-04-30T00:00:00"/>
    <s v="CA07"/>
    <s v="加拿大七店"/>
    <x v="445"/>
    <s v="潜心碗小（华南，白瓷，4寸，96个/件）"/>
    <s v="Z05"/>
    <s v="个"/>
    <s v="费用类"/>
    <n v="0.75"/>
    <n v="960"/>
    <n v="717.7"/>
    <s v="Z12"/>
    <s v="物料消耗-餐具类"/>
  </r>
  <r>
    <d v="2025-04-01T00:00:00"/>
    <d v="2025-04-30T00:00:00"/>
    <s v="CA07"/>
    <s v="加拿大七店"/>
    <x v="446"/>
    <s v="一次性无纺布围裙（成人款，50条*20袋/箱）"/>
    <s v="Z19"/>
    <s v="条"/>
    <s v="费用类"/>
    <n v="0.19"/>
    <n v="10000"/>
    <n v="1929.76"/>
    <s v="Z20"/>
    <s v="劳动保护费"/>
  </r>
  <r>
    <d v="2025-04-01T00:00:00"/>
    <d v="2025-04-30T00:00:00"/>
    <s v="CA07"/>
    <s v="加拿大七店"/>
    <x v="447"/>
    <s v="易拉罐PET瓶（小口盖，100个/箱）"/>
    <s v="Z05"/>
    <s v="个"/>
    <s v="费用类"/>
    <n v="0.48"/>
    <n v="5400"/>
    <n v="2607.27"/>
    <s v="Z15"/>
    <s v="物料消耗-其他类"/>
  </r>
  <r>
    <d v="2025-04-01T00:00:00"/>
    <d v="2025-04-30T00:00:00"/>
    <s v="CA07"/>
    <s v="加拿大七店"/>
    <x v="448"/>
    <s v="发圈（黑色，200个/包）"/>
    <s v="Z05"/>
    <s v="个"/>
    <s v="费用类"/>
    <n v="0.02"/>
    <n v="2000"/>
    <n v="35.01"/>
    <s v="Z15"/>
    <s v="物料消耗-其他类"/>
  </r>
  <r>
    <d v="2025-04-01T00:00:00"/>
    <d v="2025-04-30T00:00:00"/>
    <s v="CA07"/>
    <s v="加拿大七店"/>
    <x v="449"/>
    <s v="无纺布打包袋（27.5*17*24CM）"/>
    <s v="Z05"/>
    <s v="个"/>
    <s v="费用类"/>
    <n v="0.25"/>
    <n v="1500"/>
    <n v="378.13"/>
    <s v="Z15"/>
    <s v="物料消耗-其他类"/>
  </r>
  <r>
    <d v="2025-04-01T00:00:00"/>
    <d v="2025-04-30T00:00:00"/>
    <s v="CA07"/>
    <s v="加拿大七店"/>
    <x v="450"/>
    <s v="59G热敏收银纸（80*60MM，120卷/箱）"/>
    <s v="Z08"/>
    <s v="卷"/>
    <s v="费用类"/>
    <n v="0.68"/>
    <n v="240"/>
    <n v="162.56"/>
    <s v="Z15"/>
    <s v="物料消耗-其他类"/>
  </r>
  <r>
    <d v="2025-04-01T00:00:00"/>
    <d v="2025-04-30T00:00:00"/>
    <s v="CA07"/>
    <s v="加拿大七店"/>
    <x v="451"/>
    <s v="擦手纸（清风，200张*20包/件）"/>
    <s v="Z03"/>
    <s v="张"/>
    <s v="费用类"/>
    <n v="0.01"/>
    <n v="4252"/>
    <n v="42.71"/>
    <s v="Z13"/>
    <s v="物料消耗-纸巾类"/>
  </r>
  <r>
    <d v="2025-04-01T00:00:00"/>
    <d v="2025-04-30T00:00:00"/>
    <s v="CA07"/>
    <s v="加拿大七店"/>
    <x v="452"/>
    <s v="牙签（独立包装，500包*20盒/件）"/>
    <s v="Z07"/>
    <s v="包"/>
    <s v="费用类"/>
    <n v="0.01"/>
    <n v="18000"/>
    <n v="102.59"/>
    <s v="Z15"/>
    <s v="物料消耗-其他类"/>
  </r>
  <r>
    <d v="2025-04-01T00:00:00"/>
    <d v="2025-04-30T00:00:00"/>
    <s v="CA07"/>
    <s v="加拿大七店"/>
    <x v="453"/>
    <s v="按摩棒（50个*2包/件）"/>
    <s v="Z05"/>
    <s v="个"/>
    <s v="费用类"/>
    <n v="0.55000000000000004"/>
    <n v="100"/>
    <n v="55.3"/>
    <s v="Z08"/>
    <s v="服务费-玩具类"/>
  </r>
  <r>
    <d v="2025-04-01T00:00:00"/>
    <d v="2025-04-30T00:00:00"/>
    <s v="CA07"/>
    <s v="加拿大七店"/>
    <x v="454"/>
    <s v="脸谱挂件（红色，100个/包）"/>
    <s v="Z05"/>
    <s v="个"/>
    <s v="费用类"/>
    <n v="0.34"/>
    <n v="400"/>
    <n v="134.81"/>
    <s v="Z15"/>
    <s v="物料消耗-其他类"/>
  </r>
  <r>
    <d v="2025-04-01T00:00:00"/>
    <d v="2025-04-30T00:00:00"/>
    <s v="CA07"/>
    <s v="加拿大七店"/>
    <x v="455"/>
    <s v="麻将（龙年礼品）"/>
    <s v="Z16"/>
    <s v="套"/>
    <s v="费用类"/>
    <n v="136.05000000000001"/>
    <n v="3"/>
    <n v="408.14"/>
    <s v="Z08"/>
    <s v="服务费-玩具类"/>
  </r>
  <r>
    <d v="2025-04-01T00:00:00"/>
    <d v="2025-04-30T00:00:00"/>
    <s v="CA07"/>
    <s v="加拿大七店"/>
    <x v="456"/>
    <s v="三针勺（10件起订，1200个/件）"/>
    <s v="Z05"/>
    <s v="个"/>
    <s v="费用类"/>
    <n v="0.08"/>
    <n v="1200"/>
    <n v="93.88"/>
    <s v="Z12"/>
    <s v="物料消耗-餐具类"/>
  </r>
  <r>
    <d v="2025-04-01T00:00:00"/>
    <d v="2025-04-30T00:00:00"/>
    <s v="CA07"/>
    <s v="加拿大七店"/>
    <x v="457"/>
    <s v="螺纹款发圈（100条/包，黑色）"/>
    <s v="Z19"/>
    <s v="条"/>
    <s v="费用类"/>
    <n v="0.04"/>
    <n v="48000"/>
    <n v="1733.16"/>
    <s v="Z15"/>
    <s v="物料消耗-其他类"/>
  </r>
  <r>
    <d v="2025-04-01T00:00:00"/>
    <d v="2025-04-30T00:00:00"/>
    <s v="CA07"/>
    <s v="加拿大七店"/>
    <x v="458"/>
    <s v="夏季担当男工服（XL码，黑色）"/>
    <s v="Z18"/>
    <s v="件"/>
    <s v="费用类"/>
    <n v="11.48"/>
    <n v="5"/>
    <n v="57.42"/>
    <s v="Z20"/>
    <s v="劳动保护费"/>
  </r>
  <r>
    <d v="2025-04-01T00:00:00"/>
    <d v="2025-04-30T00:00:00"/>
    <s v="CA07"/>
    <s v="加拿大七店"/>
    <x v="459"/>
    <s v="夏季担当男工服（2XL码，黑色）"/>
    <s v="Z18"/>
    <s v="件"/>
    <s v="费用类"/>
    <n v="11.48"/>
    <n v="5"/>
    <n v="57.42"/>
    <s v="Z20"/>
    <s v="劳动保护费"/>
  </r>
  <r>
    <d v="2025-04-01T00:00:00"/>
    <d v="2025-04-30T00:00:00"/>
    <s v="CA07"/>
    <s v="加拿大七店"/>
    <x v="460"/>
    <s v="夏季担当女工服（M码，黑色）"/>
    <s v="Z18"/>
    <s v="件"/>
    <s v="费用类"/>
    <n v="11.48"/>
    <n v="5"/>
    <n v="57.42"/>
    <s v="Z20"/>
    <s v="劳动保护费"/>
  </r>
  <r>
    <d v="2025-04-01T00:00:00"/>
    <d v="2025-04-30T00:00:00"/>
    <s v="CA07"/>
    <s v="加拿大七店"/>
    <x v="461"/>
    <s v="夏季担当女工服（L码，黑色）"/>
    <s v="Z18"/>
    <s v="件"/>
    <s v="费用类"/>
    <n v="11.48"/>
    <n v="5"/>
    <n v="57.42"/>
    <s v="Z20"/>
    <s v="劳动保护费"/>
  </r>
  <r>
    <d v="2025-04-01T00:00:00"/>
    <d v="2025-04-30T00:00:00"/>
    <s v="CA07"/>
    <s v="加拿大七店"/>
    <x v="462"/>
    <s v="拾盒垫纸（船盒，大号，50个*12包/箱）"/>
    <s v="Z05"/>
    <s v="个"/>
    <s v="费用类"/>
    <n v="0.02"/>
    <n v="1400"/>
    <n v="32.68"/>
    <s v="Z15"/>
    <s v="物料消耗-其他类"/>
  </r>
  <r>
    <d v="2025-04-01T00:00:00"/>
    <d v="2025-04-30T00:00:00"/>
    <s v="CA07"/>
    <s v="加拿大七店"/>
    <x v="463"/>
    <s v="拾盒垫纸（船盒，小号，50个*12包/箱）"/>
    <s v="Z05"/>
    <s v="个"/>
    <s v="费用类"/>
    <n v="0.02"/>
    <n v="2000"/>
    <n v="37.35"/>
    <s v="Z15"/>
    <s v="物料消耗-其他类"/>
  </r>
  <r>
    <d v="2025-04-01T00:00:00"/>
    <d v="2025-04-30T00:00:00"/>
    <s v="CA07"/>
    <s v="加拿大七店"/>
    <x v="464"/>
    <s v="华容道拼图玩具（加拿大，3岁及以上，两色混装，50个/件）"/>
    <s v="Z05"/>
    <s v="个"/>
    <s v="费用类"/>
    <n v="0.81"/>
    <n v="850"/>
    <n v="687.48"/>
    <s v="Z08"/>
    <s v="服务费-玩具类"/>
  </r>
  <r>
    <d v="2025-04-01T00:00:00"/>
    <d v="2025-04-30T00:00:00"/>
    <s v="CA07"/>
    <s v="加拿大七店"/>
    <x v="465"/>
    <s v="螺旋棒玩具（加拿大，3岁及以上，50个/箱）"/>
    <s v="Z05"/>
    <s v="个"/>
    <s v="费用类"/>
    <n v="0.81"/>
    <n v="2000"/>
    <n v="1617.61"/>
    <s v="Z08"/>
    <s v="服务费-玩具类"/>
  </r>
  <r>
    <d v="2025-04-01T00:00:00"/>
    <d v="2025-04-30T00:00:00"/>
    <s v="CA07"/>
    <s v="加拿大七店"/>
    <x v="466"/>
    <s v="魔法棒玩具（加拿大，3岁及以上，六芒星、贝壳两款混装，50个/箱）"/>
    <s v="Z05"/>
    <s v="个"/>
    <s v="费用类"/>
    <n v="0.81"/>
    <n v="1550"/>
    <n v="1253.6600000000001"/>
    <s v="Z08"/>
    <s v="服务费-玩具类"/>
  </r>
  <r>
    <d v="2025-04-01T00:00:00"/>
    <d v="2025-04-30T00:00:00"/>
    <s v="CA07"/>
    <s v="加拿大七店"/>
    <x v="467"/>
    <s v="320咖啡杯（30个/箱）"/>
    <s v="Z05"/>
    <s v="个"/>
    <s v="费用类"/>
    <n v="8.39"/>
    <n v="30"/>
    <n v="251.84"/>
    <s v="Z27"/>
    <s v="成本-新零售"/>
  </r>
  <r>
    <d v="2025-04-01T00:00:00"/>
    <d v="2025-04-30T00:00:00"/>
    <s v="CA07"/>
    <s v="加拿大七店"/>
    <x v="468"/>
    <s v="320折叠箱（5个/箱）"/>
    <s v="Z05"/>
    <s v="个"/>
    <s v="费用类"/>
    <n v="31.87"/>
    <n v="10"/>
    <n v="318.69"/>
    <s v="Z15"/>
    <s v="物料消耗-其他类"/>
  </r>
  <r>
    <d v="2025-04-01T00:00:00"/>
    <d v="2025-04-30T00:00:00"/>
    <s v="CA07"/>
    <s v="加拿大七店"/>
    <x v="469"/>
    <s v="320折叠椅（30个/箱）"/>
    <s v="Z05"/>
    <s v="个"/>
    <s v="费用类"/>
    <n v="12.56"/>
    <n v="10"/>
    <n v="125.55"/>
    <s v="Z08"/>
    <s v="服务费-玩具类"/>
  </r>
  <r>
    <d v="2025-04-01T00:00:00"/>
    <d v="2025-04-30T00:00:00"/>
    <s v="CA07"/>
    <s v="加拿大七店"/>
    <x v="470"/>
    <s v="320毛绒蛋糕（30个/箱）"/>
    <s v="Z05"/>
    <s v="个"/>
    <s v="费用类"/>
    <n v="9.66"/>
    <n v="30"/>
    <n v="289.72000000000003"/>
    <s v="Z07"/>
    <s v="服务费-小吃类"/>
  </r>
  <r>
    <d v="2025-04-01T00:00:00"/>
    <d v="2025-04-30T00:00:00"/>
    <s v="CA07"/>
    <s v="加拿大七店"/>
    <x v="471"/>
    <s v="320冰箱贴收纳摆件（10个/箱）"/>
    <s v="Z05"/>
    <s v="个"/>
    <s v="费用类"/>
    <n v="11.4"/>
    <n v="10"/>
    <n v="114.04"/>
    <s v="Z15"/>
    <s v="物料消耗-其他类"/>
  </r>
  <r>
    <d v="2025-04-01T00:00:00"/>
    <d v="2025-04-30T00:00:00"/>
    <s v="CA07"/>
    <s v="加拿大七店"/>
    <x v="472"/>
    <s v="一次性网帽（100个*20包/件）"/>
    <s v="Z05"/>
    <s v="个"/>
    <s v="费用类"/>
    <n v="0.04"/>
    <n v="2000"/>
    <n v="70.52"/>
    <s v="Z15"/>
    <s v="物料消耗-其他类"/>
  </r>
  <r>
    <d v="2025-04-01T00:00:00"/>
    <d v="2025-04-30T00:00:00"/>
    <s v="CA07"/>
    <s v="加拿大七店"/>
    <x v="473"/>
    <s v="小打包纸袋（牛皮纸，300个/件）"/>
    <s v="Z05"/>
    <s v="个"/>
    <s v="费用类"/>
    <n v="0.21"/>
    <n v="300"/>
    <n v="63.59"/>
    <s v="Z15"/>
    <s v="物料消耗-其他类"/>
  </r>
  <r>
    <d v="2025-04-01T00:00:00"/>
    <d v="2025-04-30T00:00:00"/>
    <s v="CA07"/>
    <s v="加拿大七店"/>
    <x v="474"/>
    <s v="零食打包袋（牛皮纸，1000个/件）"/>
    <s v="Z05"/>
    <s v="个"/>
    <s v="费用类"/>
    <n v="0.06"/>
    <n v="4000"/>
    <n v="258.95"/>
    <s v="Z15"/>
    <s v="物料消耗-其他类"/>
  </r>
  <r>
    <d v="2025-04-01T00:00:00"/>
    <d v="2025-04-30T00:00:00"/>
    <s v="CA07"/>
    <s v="加拿大七店"/>
    <x v="475"/>
    <s v="一次性擦镜湿纸（英文版，5*6CM，400片*9包/件）"/>
    <s v="Z07"/>
    <s v="包"/>
    <s v="费用类"/>
    <n v="5.51"/>
    <n v="9"/>
    <n v="49.56"/>
    <s v="Z13"/>
    <s v="物料消耗-纸巾类"/>
  </r>
  <r>
    <d v="2025-04-01T00:00:00"/>
    <d v="2025-04-30T00:00:00"/>
    <s v="CA07"/>
    <s v="加拿大七店"/>
    <x v="476"/>
    <s v="酒精湿巾（海底捞，独立包装，100片*14包/箱）"/>
    <s v="Z07"/>
    <s v="包"/>
    <s v="费用类"/>
    <n v="4.16"/>
    <n v="406"/>
    <n v="1687.01"/>
    <s v="Z13"/>
    <s v="物料消耗-纸巾类"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  <r>
    <m/>
    <m/>
    <m/>
    <m/>
    <x v="477"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0">
  <r>
    <x v="0"/>
    <s v="加拿大七店"/>
    <m/>
    <n v="9060013"/>
    <n v="43013"/>
    <s v="黑猪肉"/>
    <s v="整份"/>
    <n v="960"/>
    <n v="2"/>
    <n v="958"/>
  </r>
  <r>
    <x v="1"/>
    <s v="加拿大七店"/>
    <m/>
    <n v="11010262"/>
    <n v="1002693"/>
    <s v="白米饭(半）"/>
    <s v="半份"/>
    <n v="239"/>
    <n v="1"/>
    <n v="238"/>
  </r>
  <r>
    <x v="2"/>
    <s v="加拿大七店"/>
    <m/>
    <n v="11010262"/>
    <n v="50303"/>
    <s v="白米饭"/>
    <s v="整份"/>
    <n v="931"/>
    <n v="6"/>
    <n v="925"/>
  </r>
  <r>
    <x v="3"/>
    <s v="加拿大七店"/>
    <m/>
    <n v="10020138"/>
    <n v="41184"/>
    <s v="芋头(半)"/>
    <s v="半份"/>
    <n v="245"/>
    <n v="3"/>
    <n v="242"/>
  </r>
  <r>
    <x v="4"/>
    <s v="加拿大七店"/>
    <m/>
    <n v="10020138"/>
    <n v="41183"/>
    <s v="芋头"/>
    <s v="整份"/>
    <n v="84"/>
    <n v="1"/>
    <n v="83"/>
  </r>
  <r>
    <x v="5"/>
    <s v="加拿大七店"/>
    <s v="10020017整份"/>
    <n v="10020017"/>
    <n v="41017"/>
    <s v="菌类拼盘"/>
    <s v="整份"/>
    <n v="673"/>
    <n v="1"/>
    <n v="672"/>
  </r>
  <r>
    <x v="6"/>
    <s v="加拿大七店"/>
    <s v="13010041冰镇"/>
    <n v="13010041"/>
    <n v="70041"/>
    <s v="雪碧"/>
    <s v="冰镇"/>
    <n v="192"/>
    <n v="0"/>
    <n v="192"/>
  </r>
  <r>
    <x v="7"/>
    <s v="加拿大七店"/>
    <m/>
    <n v="70000407"/>
    <n v="7864"/>
    <s v="肉汁奶酪薯条"/>
    <s v="份"/>
    <n v="100"/>
    <n v="0"/>
    <n v="100"/>
  </r>
  <r>
    <x v="8"/>
    <s v="加拿大七店"/>
    <m/>
    <n v="90000413"/>
    <s v=""/>
    <s v="冬阴功锅底"/>
    <s v="拼锅"/>
    <n v="331"/>
    <n v="10"/>
    <n v="321"/>
  </r>
  <r>
    <x v="9"/>
    <s v="加拿大七店"/>
    <s v="90000413四宫格"/>
    <n v="90000413"/>
    <s v=""/>
    <s v="冬阴功锅底"/>
    <s v="四宫格"/>
    <n v="634"/>
    <n v="6"/>
    <n v="628"/>
  </r>
  <r>
    <x v="10"/>
    <s v="加拿大七店"/>
    <s v="70000769四宫格"/>
    <n v="70000769"/>
    <s v=""/>
    <s v="寿喜锅底"/>
    <s v="四宫格"/>
    <n v="701"/>
    <n v="11"/>
    <n v="690"/>
  </r>
  <r>
    <x v="11"/>
    <s v="加拿大七店"/>
    <s v="70000769拼锅"/>
    <n v="70000769"/>
    <s v=""/>
    <s v="寿喜锅底"/>
    <s v="拼锅"/>
    <n v="268"/>
    <n v="7"/>
    <n v="261"/>
  </r>
  <r>
    <x v="12"/>
    <s v="加拿大七店"/>
    <s v="70000648整份"/>
    <n v="70000648"/>
    <n v="77308"/>
    <s v="澳洲青边鲍"/>
    <s v="整份"/>
    <n v="40"/>
    <n v="1"/>
    <n v="39"/>
  </r>
  <r>
    <x v="13"/>
    <s v="加拿大七店"/>
    <s v="13010047冰镇"/>
    <n v="13010047"/>
    <n v="70047"/>
    <s v="椰汁"/>
    <s v="冰镇"/>
    <n v="88"/>
    <n v="9"/>
    <n v="79"/>
  </r>
  <r>
    <x v="14"/>
    <s v="加拿大七店"/>
    <s v="90001738整份"/>
    <n v="90001738"/>
    <n v="1003592"/>
    <s v="炸馒头【金砖】"/>
    <s v="整份"/>
    <n v="1689"/>
    <n v="6"/>
    <n v="1683"/>
  </r>
  <r>
    <x v="15"/>
    <s v="加拿大七店"/>
    <s v="70002428拼锅"/>
    <n v="70002428"/>
    <s v=""/>
    <s v="麻辣牛奶火锅"/>
    <s v="拼锅"/>
    <n v="306"/>
    <n v="11"/>
    <n v="295"/>
  </r>
  <r>
    <x v="16"/>
    <s v="加拿大七店"/>
    <m/>
    <n v="70002428"/>
    <s v=""/>
    <s v="麻辣牛奶火锅"/>
    <s v="四宫格"/>
    <n v="630"/>
    <n v="10"/>
    <n v="620"/>
  </r>
  <r>
    <x v="17"/>
    <s v="加拿大七店"/>
    <s v="9060090整份"/>
    <n v="9060090"/>
    <n v="43251"/>
    <s v="港式鱼腐"/>
    <s v="整份"/>
    <n v="118"/>
    <n v="0"/>
    <n v="118"/>
  </r>
  <r>
    <x v="18"/>
    <s v="加拿大七店"/>
    <s v="9060090半份"/>
    <n v="9060090"/>
    <n v="43252"/>
    <s v="港式鱼腐(半)"/>
    <s v="半份"/>
    <n v="273"/>
    <n v="1"/>
    <n v="272"/>
  </r>
  <r>
    <x v="19"/>
    <s v="加拿大七店"/>
    <s v="10010044整份"/>
    <n v="10010044"/>
    <n v="40051"/>
    <s v="油条"/>
    <s v="整份"/>
    <n v="415"/>
    <n v="5"/>
    <n v="410"/>
  </r>
  <r>
    <x v="20"/>
    <s v="加拿大七店"/>
    <s v="9040364整份"/>
    <n v="9040364"/>
    <n v="33429"/>
    <s v="芝士风味脆皮肠"/>
    <s v="整份"/>
    <n v="293"/>
    <n v="1"/>
    <n v="292"/>
  </r>
  <r>
    <x v="21"/>
    <s v="加拿大七店"/>
    <s v="11010379整份"/>
    <n v="11010379"/>
    <n v="50485"/>
    <s v="乌冬面"/>
    <s v="整份"/>
    <n v="1050"/>
    <n v="4"/>
    <n v="1046"/>
  </r>
  <r>
    <x v="22"/>
    <s v="加拿大七店"/>
    <m/>
    <n v="70001182"/>
    <n v="78433"/>
    <s v="Prime级去骨牛小排"/>
    <s v="整份"/>
    <n v="1315"/>
    <n v="9"/>
    <n v="1306"/>
  </r>
  <r>
    <x v="23"/>
    <s v="加拿大七店"/>
    <m/>
    <n v="10020025"/>
    <n v="41025"/>
    <s v="冬瓜"/>
    <s v="整份"/>
    <n v="390"/>
    <n v="1"/>
    <n v="389"/>
  </r>
  <r>
    <x v="24"/>
    <s v="加拿大七店"/>
    <m/>
    <n v="12010001"/>
    <n v="60001"/>
    <s v="自选小料/每位"/>
    <s v="整份"/>
    <n v="17793"/>
    <n v="74"/>
    <n v="17719"/>
  </r>
  <r>
    <x v="25"/>
    <s v="加拿大七店"/>
    <m/>
    <n v="11010030"/>
    <n v="50055"/>
    <s v="长寿面"/>
    <s v="整份"/>
    <n v="247"/>
    <n v="4"/>
    <n v="243"/>
  </r>
  <r>
    <x v="26"/>
    <s v="加拿大七店"/>
    <m/>
    <n v="10020027"/>
    <n v="71120"/>
    <s v="山药"/>
    <s v="份"/>
    <n v="140"/>
    <n v="0"/>
    <n v="140"/>
  </r>
  <r>
    <x v="27"/>
    <s v="加拿大七店"/>
    <m/>
    <n v="9010021"/>
    <n v="30022"/>
    <s v="捞派羊肉(半)"/>
    <s v="半份"/>
    <n v="239"/>
    <n v="1"/>
    <n v="238"/>
  </r>
  <r>
    <x v="28"/>
    <s v="加拿大七店"/>
    <m/>
    <n v="9010021"/>
    <n v="30021"/>
    <s v="捞派羊肉"/>
    <s v="整份"/>
    <n v="193"/>
    <n v="1"/>
    <n v="192"/>
  </r>
  <r>
    <x v="29"/>
    <s v="加拿大七店"/>
    <m/>
    <n v="9030330"/>
    <n v="32331"/>
    <s v="脆皖鱼"/>
    <s v="整份"/>
    <n v="179"/>
    <n v="1"/>
    <n v="178"/>
  </r>
  <r>
    <x v="30"/>
    <s v="加拿大七店"/>
    <m/>
    <n v="9030330"/>
    <n v="32332"/>
    <s v="脆皖鱼(半)"/>
    <s v="半份"/>
    <n v="308"/>
    <n v="3"/>
    <n v="305"/>
  </r>
  <r>
    <x v="31"/>
    <s v="加拿大七店"/>
    <m/>
    <n v="10020023"/>
    <n v="41023"/>
    <s v="茼蒿"/>
    <s v="整份"/>
    <n v="535"/>
    <n v="2"/>
    <n v="533"/>
  </r>
  <r>
    <x v="32"/>
    <s v="加拿大七店"/>
    <m/>
    <n v="10020023"/>
    <n v="41024"/>
    <s v="茼蒿(半)"/>
    <s v="半份"/>
    <n v="638"/>
    <n v="4"/>
    <n v="634"/>
  </r>
  <r>
    <x v="33"/>
    <s v="加拿大七店"/>
    <m/>
    <n v="12010002"/>
    <n v="60002"/>
    <s v="柠檬冰红茶 341ML"/>
    <s v="冰镇"/>
    <n v="134"/>
    <n v="1"/>
    <n v="133"/>
  </r>
  <r>
    <x v="34"/>
    <s v="加拿大七店"/>
    <m/>
    <n v="9030057"/>
    <n v="32058"/>
    <s v="扇贝(半)"/>
    <s v="半份"/>
    <n v="113"/>
    <n v="0"/>
    <n v="113"/>
  </r>
  <r>
    <x v="35"/>
    <s v="加拿大七店"/>
    <m/>
    <n v="9030057"/>
    <n v="32057"/>
    <s v="扇贝"/>
    <s v="整份"/>
    <n v="41"/>
    <n v="1"/>
    <n v="40"/>
  </r>
  <r>
    <x v="36"/>
    <s v="加拿大七店"/>
    <m/>
    <n v="10020029"/>
    <n v="41030"/>
    <s v="土豆片(半)"/>
    <s v="半份"/>
    <n v="262"/>
    <n v="1"/>
    <n v="261"/>
  </r>
  <r>
    <x v="37"/>
    <s v="加拿大七店"/>
    <m/>
    <n v="10020029"/>
    <n v="41029"/>
    <s v="土豆片"/>
    <s v="整份"/>
    <n v="124"/>
    <n v="0"/>
    <n v="124"/>
  </r>
  <r>
    <x v="38"/>
    <s v="加拿大七店"/>
    <m/>
    <n v="70001206"/>
    <n v="78510"/>
    <s v="8秒劲道油豆皮（半）"/>
    <s v="半份"/>
    <n v="294"/>
    <n v="0"/>
    <n v="294"/>
  </r>
  <r>
    <x v="39"/>
    <s v="加拿大七店"/>
    <s v="70001206整份"/>
    <n v="70001206"/>
    <n v="78509"/>
    <s v="8秒劲道油豆皮"/>
    <s v="整份"/>
    <n v="180"/>
    <n v="0"/>
    <n v="180"/>
  </r>
  <r>
    <x v="40"/>
    <s v="加拿大七店"/>
    <s v="12020042整份"/>
    <n v="12020042"/>
    <n v="61045"/>
    <s v="未使用小料"/>
    <s v="整份"/>
    <n v="4355"/>
    <n v="7"/>
    <n v="4348"/>
  </r>
  <r>
    <x v="41"/>
    <s v="加拿大七店"/>
    <s v="70001698半份"/>
    <n v="70001698"/>
    <n v="79583"/>
    <s v="手工现做牛筋丸（半）"/>
    <s v="半份"/>
    <n v="245"/>
    <n v="1"/>
    <n v="244"/>
  </r>
  <r>
    <x v="42"/>
    <s v="加拿大七店"/>
    <s v="70001698整份"/>
    <n v="70001698"/>
    <n v="79582"/>
    <s v="手工现做牛筋丸"/>
    <s v="整份"/>
    <n v="178"/>
    <n v="0"/>
    <n v="178"/>
  </r>
  <r>
    <x v="43"/>
    <s v="加拿大七店"/>
    <s v="10010312整份"/>
    <n v="10010312"/>
    <n v="40521"/>
    <s v="豆皮"/>
    <s v="整份"/>
    <n v="455"/>
    <n v="2"/>
    <n v="453"/>
  </r>
  <r>
    <x v="44"/>
    <s v="加拿大七店"/>
    <m/>
    <n v="90002814"/>
    <n v="1109399"/>
    <s v="草莓奶盖椰椰"/>
    <s v="瓶"/>
    <n v="490"/>
    <n v="2"/>
    <n v="488"/>
  </r>
  <r>
    <x v="45"/>
    <s v="加拿大七店"/>
    <m/>
    <n v="9020063"/>
    <n v="31063"/>
    <s v="捞派虾滑"/>
    <s v="整份"/>
    <n v="1661"/>
    <n v="6"/>
    <n v="1655"/>
  </r>
  <r>
    <x v="46"/>
    <s v="加拿大七店"/>
    <m/>
    <n v="13010040"/>
    <n v="70040"/>
    <s v="可口可乐"/>
    <s v="冰镇"/>
    <n v="554"/>
    <n v="3"/>
    <n v="551"/>
  </r>
  <r>
    <x v="47"/>
    <s v="加拿大七店"/>
    <m/>
    <n v="10020270"/>
    <n v="41280"/>
    <s v="宽粉(半)"/>
    <s v="半份"/>
    <n v="501"/>
    <n v="2"/>
    <n v="499"/>
  </r>
  <r>
    <x v="48"/>
    <s v="加拿大七店"/>
    <m/>
    <n v="10020270"/>
    <n v="41279"/>
    <s v="宽粉"/>
    <s v="整份"/>
    <n v="356"/>
    <n v="0"/>
    <n v="356"/>
  </r>
  <r>
    <x v="49"/>
    <s v="加拿大七店"/>
    <m/>
    <n v="1060062"/>
    <s v=""/>
    <s v="三鲜猪骨火锅"/>
    <s v="单锅"/>
    <n v="53"/>
    <n v="7"/>
    <n v="46"/>
  </r>
  <r>
    <x v="50"/>
    <s v="加拿大七店"/>
    <m/>
    <n v="1060062"/>
    <s v=""/>
    <s v="三鲜猪骨火锅"/>
    <s v="拼锅"/>
    <n v="1190"/>
    <n v="26"/>
    <n v="1164"/>
  </r>
  <r>
    <x v="51"/>
    <s v="加拿大七店"/>
    <m/>
    <n v="1060062"/>
    <s v=""/>
    <s v="三鲜猪骨火锅"/>
    <s v="四宫格"/>
    <n v="1381"/>
    <n v="27"/>
    <n v="1354"/>
  </r>
  <r>
    <x v="52"/>
    <s v="加拿大七店"/>
    <m/>
    <n v="3010023"/>
    <n v="20024"/>
    <s v="猪血(半)"/>
    <s v="半份"/>
    <n v="553"/>
    <n v="3"/>
    <n v="550"/>
  </r>
  <r>
    <x v="53"/>
    <s v="加拿大七店"/>
    <m/>
    <n v="3010023"/>
    <n v="20023"/>
    <s v="猪血"/>
    <s v="整份"/>
    <n v="191"/>
    <n v="1"/>
    <n v="190"/>
  </r>
  <r>
    <x v="54"/>
    <s v="加拿大七店"/>
    <m/>
    <n v="1060061"/>
    <s v=""/>
    <s v="清油麻辣火锅"/>
    <s v="拼锅"/>
    <n v="276"/>
    <n v="11"/>
    <n v="265"/>
  </r>
  <r>
    <x v="55"/>
    <s v="加拿大七店"/>
    <m/>
    <n v="1060061"/>
    <s v=""/>
    <s v="清油麻辣火锅"/>
    <s v="四宫格"/>
    <n v="494"/>
    <n v="5"/>
    <n v="489"/>
  </r>
  <r>
    <x v="56"/>
    <s v="加拿大七店"/>
    <m/>
    <n v="1060064"/>
    <s v=""/>
    <s v="经典麻辣火锅"/>
    <s v="拼锅"/>
    <n v="798"/>
    <n v="21"/>
    <n v="777"/>
  </r>
  <r>
    <x v="57"/>
    <s v="加拿大七店"/>
    <m/>
    <n v="1060064"/>
    <s v=""/>
    <s v="经典麻辣火锅"/>
    <s v="四宫格"/>
    <n v="1230"/>
    <n v="17"/>
    <n v="1213"/>
  </r>
  <r>
    <x v="58"/>
    <s v="加拿大七店"/>
    <s v="1060063拼锅"/>
    <n v="1060063"/>
    <s v=""/>
    <s v="菌汤火锅"/>
    <s v="拼锅"/>
    <n v="358"/>
    <n v="9"/>
    <n v="349"/>
  </r>
  <r>
    <x v="59"/>
    <s v="加拿大七店"/>
    <s v="1060063四宫格"/>
    <n v="1060063"/>
    <s v=""/>
    <s v="菌汤火锅"/>
    <s v="四宫格"/>
    <n v="708"/>
    <n v="11"/>
    <n v="697"/>
  </r>
  <r>
    <x v="60"/>
    <s v="加拿大七店"/>
    <s v="1060066拼锅"/>
    <n v="1060066"/>
    <s v=""/>
    <s v="番茄火锅"/>
    <s v="拼锅"/>
    <n v="1331"/>
    <n v="32"/>
    <n v="1299"/>
  </r>
  <r>
    <x v="61"/>
    <s v="加拿大七店"/>
    <s v="1060066四宫格"/>
    <n v="1060066"/>
    <s v=""/>
    <s v="番茄火锅"/>
    <s v="四宫格"/>
    <n v="2096"/>
    <n v="35"/>
    <n v="2061"/>
  </r>
  <r>
    <x v="62"/>
    <s v="加拿大七店"/>
    <s v="9010298整份"/>
    <n v="9010298"/>
    <n v="30355"/>
    <s v="和牛牛舌"/>
    <s v="整份"/>
    <n v="846"/>
    <n v="8"/>
    <n v="838"/>
  </r>
  <r>
    <x v="63"/>
    <s v="加拿大七店"/>
    <s v="90002533冰镇"/>
    <n v="90002533"/>
    <n v="1005372"/>
    <s v="白桃果肉汁"/>
    <s v="冰镇"/>
    <n v="12"/>
    <n v="7"/>
    <n v="5"/>
  </r>
  <r>
    <x v="64"/>
    <s v="加拿大七店"/>
    <s v="14010035整份"/>
    <n v="14010035"/>
    <n v="80005"/>
    <s v="蒸蛋"/>
    <s v="整份"/>
    <n v="441"/>
    <n v="5"/>
    <n v="436"/>
  </r>
  <r>
    <x v="65"/>
    <s v="加拿大七店"/>
    <s v="9010051整份"/>
    <n v="9010051"/>
    <n v="30053"/>
    <s v="雪花和牛"/>
    <s v="整份"/>
    <n v="272"/>
    <n v="2"/>
    <n v="270"/>
  </r>
  <r>
    <x v="66"/>
    <s v="加拿大七店"/>
    <s v="90001201瓶"/>
    <n v="90001201"/>
    <n v="1004228"/>
    <s v="浓浓抹茶生椰"/>
    <s v="瓶"/>
    <n v="284"/>
    <n v="2"/>
    <n v="282"/>
  </r>
  <r>
    <x v="67"/>
    <s v="加拿大七店"/>
    <s v="90001201扎"/>
    <n v="90001201"/>
    <n v="1004229"/>
    <s v="浓浓抹茶生椰"/>
    <s v="扎"/>
    <n v="70"/>
    <n v="3"/>
    <n v="67"/>
  </r>
  <r>
    <x v="68"/>
    <s v="加拿大七店"/>
    <s v="3010027条"/>
    <n v="3010027"/>
    <n v="20027"/>
    <s v="捞派捞面"/>
    <s v="条"/>
    <n v="1765"/>
    <n v="51"/>
    <n v="1714"/>
  </r>
  <r>
    <x v="69"/>
    <s v="加拿大七店"/>
    <s v="10010025整份"/>
    <n v="10010025"/>
    <n v="40025"/>
    <s v="鲜腐竹"/>
    <s v="整份"/>
    <n v="909"/>
    <n v="3"/>
    <n v="906"/>
  </r>
  <r>
    <x v="70"/>
    <s v="加拿大七店"/>
    <s v="10030236整份"/>
    <n v="10030236"/>
    <n v="42239"/>
    <s v="竹笙"/>
    <s v="整份"/>
    <n v="310"/>
    <n v="0"/>
    <n v="310"/>
  </r>
  <r>
    <x v="71"/>
    <s v="加拿大七店"/>
    <s v="11010119片"/>
    <n v="11010119"/>
    <n v="50137"/>
    <s v="辛拉面"/>
    <s v="片"/>
    <n v="764"/>
    <n v="1"/>
    <n v="763"/>
  </r>
  <r>
    <x v="72"/>
    <s v="加拿大七店"/>
    <s v="10020160整份"/>
    <n v="10020160"/>
    <n v="41167"/>
    <s v="贡菜"/>
    <s v="整份"/>
    <n v="641"/>
    <n v="5"/>
    <n v="636"/>
  </r>
  <r>
    <x v="73"/>
    <s v="加拿大七店"/>
    <s v="14040081整份"/>
    <n v="14040081"/>
    <n v="82081"/>
    <s v="果盘"/>
    <s v="整份"/>
    <n v="474"/>
    <n v="4"/>
    <n v="470"/>
  </r>
  <r>
    <x v="74"/>
    <s v="加拿大七店"/>
    <s v="9030029半份"/>
    <n v="9030029"/>
    <n v="32030"/>
    <s v="冰鲜墨鱼仔(半)"/>
    <s v="半份"/>
    <n v="144"/>
    <n v="3"/>
    <n v="141"/>
  </r>
  <r>
    <x v="75"/>
    <s v="加拿大七店"/>
    <s v="9030029整份"/>
    <n v="9030029"/>
    <n v="32029"/>
    <s v="冰鲜墨鱼仔"/>
    <s v="整份"/>
    <n v="51"/>
    <n v="0"/>
    <n v="51"/>
  </r>
  <r>
    <x v="76"/>
    <s v="加拿大七店"/>
    <s v="10020041整份"/>
    <n v="10020041"/>
    <n v="41041"/>
    <s v="高山青竹笋"/>
    <s v="整份"/>
    <n v="419"/>
    <n v="0"/>
    <n v="419"/>
  </r>
  <r>
    <x v="77"/>
    <s v="加拿大七店"/>
    <m/>
    <n v="9040065"/>
    <n v="33066"/>
    <s v="蟹味棒(半)"/>
    <s v="半份"/>
    <n v="350"/>
    <n v="1"/>
    <n v="349"/>
  </r>
  <r>
    <x v="78"/>
    <s v="加拿大七店"/>
    <m/>
    <n v="9040065"/>
    <n v="33065"/>
    <s v="蟹味棒"/>
    <s v="整份"/>
    <n v="121"/>
    <n v="0"/>
    <n v="121"/>
  </r>
  <r>
    <x v="79"/>
    <s v="加拿大七店"/>
    <m/>
    <n v="9040063"/>
    <n v="33063"/>
    <s v="鹌鹑蛋"/>
    <s v="整份"/>
    <n v="809"/>
    <n v="5"/>
    <n v="804"/>
  </r>
  <r>
    <x v="80"/>
    <s v="加拿大七店"/>
    <m/>
    <n v="10140009"/>
    <n v="69009"/>
    <s v="蔬菜拼盘"/>
    <s v="整份"/>
    <n v="1017"/>
    <n v="3"/>
    <n v="1014"/>
  </r>
  <r>
    <x v="81"/>
    <s v="加拿大七店"/>
    <m/>
    <n v="10020047"/>
    <n v="41047"/>
    <s v="魔芋丝"/>
    <s v="整份"/>
    <n v="547"/>
    <n v="0"/>
    <n v="547"/>
  </r>
  <r>
    <x v="82"/>
    <s v="加拿大七店"/>
    <m/>
    <n v="13010457"/>
    <n v="70457"/>
    <s v="北冰洋"/>
    <s v="冰镇"/>
    <n v="159"/>
    <n v="3"/>
    <n v="156"/>
  </r>
  <r>
    <x v="83"/>
    <s v="加拿大七店"/>
    <m/>
    <n v="10020043"/>
    <n v="41044"/>
    <s v="海带(半)"/>
    <s v="半份"/>
    <n v="214"/>
    <n v="0"/>
    <n v="214"/>
  </r>
  <r>
    <x v="84"/>
    <s v="加拿大七店"/>
    <m/>
    <n v="10020043"/>
    <n v="41043"/>
    <s v="海带"/>
    <s v="整份"/>
    <n v="84"/>
    <n v="0"/>
    <n v="84"/>
  </r>
  <r>
    <x v="85"/>
    <s v="加拿大七店"/>
    <m/>
    <n v="1060115"/>
    <s v=""/>
    <s v="胡椒猪肚鸡火锅"/>
    <s v="拼锅"/>
    <n v="281"/>
    <n v="3"/>
    <n v="278"/>
  </r>
  <r>
    <x v="86"/>
    <s v="加拿大七店"/>
    <m/>
    <n v="1060115"/>
    <s v=""/>
    <s v="胡椒猪肚鸡火锅"/>
    <s v="四宫格"/>
    <n v="682"/>
    <n v="12"/>
    <n v="670"/>
  </r>
  <r>
    <x v="87"/>
    <s v="加拿大七店"/>
    <m/>
    <n v="11020035"/>
    <n v="51035"/>
    <s v="糖蒜"/>
    <s v="整份"/>
    <n v="143"/>
    <n v="0"/>
    <n v="143"/>
  </r>
  <r>
    <x v="88"/>
    <s v="加拿大七店"/>
    <m/>
    <n v="13010455"/>
    <n v="70455"/>
    <s v="健怡可乐"/>
    <s v="冰镇"/>
    <n v="475"/>
    <n v="8"/>
    <n v="467"/>
  </r>
  <r>
    <x v="89"/>
    <s v="加拿大七店"/>
    <m/>
    <n v="10010017"/>
    <n v="40017"/>
    <s v="冻豆腐"/>
    <s v="整份"/>
    <n v="614"/>
    <n v="2"/>
    <n v="612"/>
  </r>
  <r>
    <x v="90"/>
    <s v="加拿大七店"/>
    <s v="11010407整份"/>
    <n v="11010407"/>
    <n v="50529"/>
    <s v="酒酿圆子（冰镇）"/>
    <s v="整份"/>
    <n v="222"/>
    <n v="3"/>
    <n v="219"/>
  </r>
  <r>
    <x v="91"/>
    <s v="加拿大七店"/>
    <s v="1010106拼锅"/>
    <n v="1010106"/>
    <s v=""/>
    <s v="清水火锅"/>
    <s v="拼锅"/>
    <n v="375"/>
    <n v="14"/>
    <n v="361"/>
  </r>
  <r>
    <x v="92"/>
    <s v="加拿大七店"/>
    <m/>
    <n v="1010106"/>
    <s v=""/>
    <s v="清水火锅"/>
    <s v="四宫格"/>
    <n v="4139"/>
    <n v="82"/>
    <n v="4057"/>
  </r>
  <r>
    <x v="93"/>
    <s v="加拿大七店"/>
    <m/>
    <n v="10010015"/>
    <n v="40015"/>
    <s v="鲜豆腐"/>
    <s v="整份"/>
    <n v="663"/>
    <n v="1"/>
    <n v="662"/>
  </r>
  <r>
    <x v="94"/>
    <s v="加拿大七店"/>
    <m/>
    <n v="70001476"/>
    <n v="79074"/>
    <s v="黑鱼片"/>
    <s v="整份"/>
    <n v="171"/>
    <n v="1"/>
    <n v="170"/>
  </r>
  <r>
    <x v="95"/>
    <s v="加拿大七店"/>
    <s v="70001476半份"/>
    <n v="70001476"/>
    <n v="79075"/>
    <s v="黑鱼片(半）"/>
    <s v="半份"/>
    <n v="312"/>
    <n v="4"/>
    <n v="308"/>
  </r>
  <r>
    <x v="96"/>
    <s v="加拿大七店"/>
    <s v="70000662整份"/>
    <n v="70000662"/>
    <n v="77330"/>
    <s v="豆腐泡"/>
    <s v="整份"/>
    <n v="542"/>
    <n v="1"/>
    <n v="541"/>
  </r>
  <r>
    <x v="97"/>
    <s v="加拿大七店"/>
    <s v="11010008整份"/>
    <n v="11010008"/>
    <n v="1002694"/>
    <s v="蛋炒饭"/>
    <s v="整份"/>
    <n v="742"/>
    <n v="15"/>
    <n v="727"/>
  </r>
  <r>
    <x v="98"/>
    <s v="加拿大七店"/>
    <s v="11010008半份"/>
    <n v="11010008"/>
    <n v="1002695"/>
    <s v="蛋炒饭(半）"/>
    <s v="半份"/>
    <n v="271"/>
    <n v="3"/>
    <n v="268"/>
  </r>
  <r>
    <x v="99"/>
    <s v="加拿大七店"/>
    <s v="10020051整份"/>
    <n v="10020051"/>
    <n v="41051"/>
    <s v="青笋"/>
    <s v="整份"/>
    <n v="419"/>
    <n v="3"/>
    <n v="416"/>
  </r>
  <r>
    <x v="100"/>
    <s v="加拿大七店"/>
    <s v="11010005整份"/>
    <n v="11010005"/>
    <n v="50009"/>
    <s v="金馒头"/>
    <s v="整份"/>
    <n v="573"/>
    <n v="5"/>
    <n v="568"/>
  </r>
  <r>
    <x v="101"/>
    <s v="加拿大七店"/>
    <s v="10020053半份"/>
    <n v="10020053"/>
    <n v="41054"/>
    <s v="白萝卜(半)"/>
    <s v="半份"/>
    <n v="192"/>
    <n v="1"/>
    <n v="191"/>
  </r>
  <r>
    <x v="102"/>
    <s v="加拿大七店"/>
    <s v="10020053整份"/>
    <n v="10020053"/>
    <n v="41053"/>
    <s v="白萝卜"/>
    <s v="整份"/>
    <n v="90"/>
    <n v="5"/>
    <n v="85"/>
  </r>
  <r>
    <x v="103"/>
    <s v="加拿大七店"/>
    <s v="11010483整份"/>
    <n v="11010483"/>
    <n v="50681"/>
    <s v="熔岩虾球"/>
    <s v="整份"/>
    <n v="293"/>
    <n v="0"/>
    <n v="293"/>
  </r>
  <r>
    <x v="104"/>
    <s v="加拿大七店"/>
    <m/>
    <n v="9010325"/>
    <n v="30395"/>
    <s v="精品牛板腱肉（偏瘦）"/>
    <s v="整份"/>
    <n v="2021"/>
    <n v="11"/>
    <n v="2010"/>
  </r>
  <r>
    <x v="105"/>
    <s v="加拿大七店"/>
    <m/>
    <n v="9010327"/>
    <n v="30399"/>
    <s v="金钱腱"/>
    <s v="整份"/>
    <n v="488"/>
    <n v="2"/>
    <n v="486"/>
  </r>
  <r>
    <x v="106"/>
    <s v="加拿大七店"/>
    <s v="14090098整份"/>
    <n v="14090098"/>
    <n v="84277"/>
    <s v="手工鲜虾云吞"/>
    <s v="整份"/>
    <n v="302"/>
    <n v="1"/>
    <n v="301"/>
  </r>
  <r>
    <x v="107"/>
    <s v="加拿大七店"/>
    <s v="9070024整份"/>
    <n v="9070024"/>
    <n v="47025"/>
    <s v="猪颈肉"/>
    <s v="整份"/>
    <n v="369"/>
    <n v="1"/>
    <n v="368"/>
  </r>
  <r>
    <x v="108"/>
    <s v="加拿大七店"/>
    <s v="10030017整份"/>
    <n v="10030017"/>
    <n v="42017"/>
    <s v="海鲜菇"/>
    <s v="整份"/>
    <n v="207"/>
    <n v="1"/>
    <n v="206"/>
  </r>
  <r>
    <x v="109"/>
    <s v="加拿大七店"/>
    <s v="9040041整份"/>
    <n v="9040041"/>
    <n v="33041"/>
    <s v="卤肥肠"/>
    <s v="整份"/>
    <n v="276"/>
    <n v="0"/>
    <n v="276"/>
  </r>
  <r>
    <x v="110"/>
    <s v="加拿大七店"/>
    <s v="9030407半份"/>
    <n v="9030407"/>
    <n v="32440"/>
    <s v="冰鲜桂花蚌(半)"/>
    <s v="半份"/>
    <n v="220"/>
    <n v="2"/>
    <n v="218"/>
  </r>
  <r>
    <x v="111"/>
    <s v="加拿大七店"/>
    <s v="9030407整份"/>
    <n v="9030407"/>
    <n v="32439"/>
    <s v="冰鲜桂花蚌"/>
    <s v="整份"/>
    <n v="59"/>
    <n v="0"/>
    <n v="59"/>
  </r>
  <r>
    <x v="112"/>
    <s v="加拿大七店"/>
    <s v="10020069整份"/>
    <n v="10020069"/>
    <n v="41069"/>
    <s v="菠菜"/>
    <s v="整份"/>
    <n v="303"/>
    <n v="2"/>
    <n v="301"/>
  </r>
  <r>
    <x v="113"/>
    <s v="加拿大七店"/>
    <s v="10020069半份"/>
    <n v="10020069"/>
    <n v="41070"/>
    <s v="菠菜(半)"/>
    <s v="半份"/>
    <n v="360"/>
    <n v="2"/>
    <n v="358"/>
  </r>
  <r>
    <x v="114"/>
    <s v="加拿大七店"/>
    <s v="3010013半份"/>
    <n v="3010013"/>
    <n v="20014"/>
    <s v="捞派滑牛肉(半)"/>
    <s v="半份"/>
    <n v="659"/>
    <n v="2"/>
    <n v="657"/>
  </r>
  <r>
    <x v="115"/>
    <s v="加拿大七店"/>
    <s v="3010013整份"/>
    <n v="3010013"/>
    <n v="20013"/>
    <s v="捞派滑牛肉"/>
    <s v="整份"/>
    <n v="487"/>
    <n v="3"/>
    <n v="484"/>
  </r>
  <r>
    <x v="116"/>
    <s v="加拿大七店"/>
    <s v="9030373整份"/>
    <n v="9030373"/>
    <n v="32391"/>
    <s v="大满足海陆拼盘"/>
    <s v="整份"/>
    <n v="181"/>
    <n v="3"/>
    <n v="178"/>
  </r>
  <r>
    <x v="117"/>
    <s v="加拿大七店"/>
    <s v="9040336整份"/>
    <n v="9040336"/>
    <n v="33395"/>
    <s v="鱼豆腐"/>
    <s v="整份"/>
    <n v="416"/>
    <n v="3"/>
    <n v="413"/>
  </r>
  <r>
    <x v="118"/>
    <s v="加拿大七店"/>
    <s v="10020065整份"/>
    <n v="10020065"/>
    <n v="41065"/>
    <s v="大白菜"/>
    <s v="整份"/>
    <n v="699"/>
    <n v="2"/>
    <n v="697"/>
  </r>
  <r>
    <x v="119"/>
    <s v="加拿大七店"/>
    <s v="10020065半份"/>
    <n v="10020065"/>
    <n v="41066"/>
    <s v="大白菜(半)"/>
    <s v="半份"/>
    <n v="766"/>
    <n v="1"/>
    <n v="765"/>
  </r>
  <r>
    <x v="120"/>
    <s v="加拿大七店"/>
    <s v="9010185整份"/>
    <n v="9010185"/>
    <n v="30219"/>
    <s v="AAA级西冷牛肉"/>
    <s v="整份"/>
    <n v="1194"/>
    <n v="4"/>
    <n v="1190"/>
  </r>
  <r>
    <x v="121"/>
    <s v="加拿大七店"/>
    <s v="9020305整份"/>
    <n v="9020305"/>
    <n v="31315"/>
    <s v="鱼籽福袋"/>
    <s v="整份"/>
    <n v="119"/>
    <n v="0"/>
    <n v="119"/>
  </r>
  <r>
    <x v="122"/>
    <s v="加拿大七店"/>
    <s v="9020305半份"/>
    <n v="9020305"/>
    <n v="31316"/>
    <s v="鱼籽福袋(半）"/>
    <s v="半份"/>
    <n v="261"/>
    <n v="1"/>
    <n v="260"/>
  </r>
  <r>
    <x v="123"/>
    <s v="加拿大七店"/>
    <s v="70000838整份"/>
    <n v="70000838"/>
    <n v="77743"/>
    <s v="爆浆红糖糍粑"/>
    <s v="整份"/>
    <n v="445"/>
    <n v="0"/>
    <n v="445"/>
  </r>
  <r>
    <x v="124"/>
    <s v="加拿大七店"/>
    <s v="3010019半份"/>
    <n v="3010019"/>
    <n v="20020"/>
    <s v="捞派黄喉(半)"/>
    <s v="半份"/>
    <n v="280"/>
    <n v="1"/>
    <n v="279"/>
  </r>
  <r>
    <x v="125"/>
    <s v="加拿大七店"/>
    <s v="3010019整份"/>
    <n v="3010019"/>
    <n v="20019"/>
    <s v="捞派黄喉"/>
    <s v="整份"/>
    <n v="87"/>
    <n v="1"/>
    <n v="86"/>
  </r>
  <r>
    <x v="126"/>
    <s v="加拿大七店"/>
    <s v="3010017半份"/>
    <n v="3010017"/>
    <n v="20018"/>
    <s v="捞派千层牛百叶(半)"/>
    <s v="半份"/>
    <n v="195"/>
    <n v="2"/>
    <n v="193"/>
  </r>
  <r>
    <x v="127"/>
    <s v="加拿大七店"/>
    <s v="3010017整份"/>
    <n v="3010017"/>
    <n v="20017"/>
    <s v="捞派千层牛百叶"/>
    <s v="整份"/>
    <n v="55"/>
    <n v="1"/>
    <n v="54"/>
  </r>
  <r>
    <x v="128"/>
    <s v="加拿大七店"/>
    <s v="3010015半份"/>
    <n v="3010015"/>
    <n v="20016"/>
    <s v="捞派鲜毛肚(半)"/>
    <s v="半份"/>
    <n v="401"/>
    <n v="6"/>
    <n v="395"/>
  </r>
  <r>
    <x v="129"/>
    <s v="加拿大七店"/>
    <s v="3010015整份"/>
    <n v="3010015"/>
    <n v="20015"/>
    <s v="捞派鲜毛肚"/>
    <s v="整份"/>
    <n v="116"/>
    <n v="1"/>
    <n v="115"/>
  </r>
  <r>
    <x v="130"/>
    <s v="加拿大七店"/>
    <s v="10020073整份"/>
    <n v="10020073"/>
    <n v="41073"/>
    <s v="唐生菜"/>
    <s v="整份"/>
    <n v="254"/>
    <n v="1"/>
    <n v="253"/>
  </r>
  <r>
    <x v="131"/>
    <s v="加拿大七店"/>
    <s v="10020073半份"/>
    <n v="10020073"/>
    <n v="41074"/>
    <s v="唐生菜(半)"/>
    <s v="半份"/>
    <n v="313"/>
    <n v="2"/>
    <n v="311"/>
  </r>
  <r>
    <x v="132"/>
    <s v="加拿大七店"/>
    <s v="9040055半份"/>
    <n v="9040055"/>
    <n v="33056"/>
    <s v="午餐肉(半)"/>
    <s v="半份"/>
    <n v="343"/>
    <n v="3"/>
    <n v="340"/>
  </r>
  <r>
    <x v="133"/>
    <s v="加拿大七店"/>
    <s v="9040055整份"/>
    <n v="9040055"/>
    <n v="33055"/>
    <s v="午餐肉"/>
    <s v="整份"/>
    <n v="128"/>
    <n v="1"/>
    <n v="127"/>
  </r>
  <r>
    <x v="134"/>
    <s v="加拿大七店"/>
    <s v="9030019半份"/>
    <n v="9030019"/>
    <n v="78645"/>
    <s v="冰鲜白虾(半）"/>
    <s v="半份"/>
    <n v="159"/>
    <n v="3"/>
    <n v="156"/>
  </r>
  <r>
    <x v="135"/>
    <s v="加拿大七店"/>
    <s v="9030019整份"/>
    <n v="9030019"/>
    <n v="32019"/>
    <s v="冰鲜白虾"/>
    <s v="整份"/>
    <n v="157"/>
    <n v="2"/>
    <n v="155"/>
  </r>
  <r>
    <x v="136"/>
    <s v="加拿大七店"/>
    <s v="11010221整份"/>
    <n v="11010221"/>
    <n v="50252"/>
    <s v="韭菜水饺（生）"/>
    <s v="整份"/>
    <n v="393"/>
    <n v="0"/>
    <n v="393"/>
  </r>
  <r>
    <x v="137"/>
    <s v="加拿大七店"/>
    <s v="10030307半份"/>
    <n v="10030307"/>
    <n v="42406"/>
    <s v="8秒海带苗（半）"/>
    <s v="半份"/>
    <n v="267"/>
    <n v="1"/>
    <n v="266"/>
  </r>
  <r>
    <x v="138"/>
    <s v="加拿大七店"/>
    <s v="10030307整份"/>
    <n v="10030307"/>
    <n v="42405"/>
    <s v="8秒海带苗"/>
    <s v="整份"/>
    <n v="178"/>
    <n v="0"/>
    <n v="178"/>
  </r>
  <r>
    <x v="139"/>
    <s v="加拿大七店"/>
    <s v="10020113半份"/>
    <n v="10020113"/>
    <n v="41114"/>
    <s v="粉丝(半)"/>
    <s v="半份"/>
    <n v="144"/>
    <n v="1"/>
    <n v="143"/>
  </r>
  <r>
    <x v="140"/>
    <s v="加拿大七店"/>
    <s v="10020113整份"/>
    <n v="10020113"/>
    <n v="41113"/>
    <s v="粉丝"/>
    <s v="整份"/>
    <n v="180"/>
    <n v="0"/>
    <n v="180"/>
  </r>
  <r>
    <x v="141"/>
    <s v="加拿大七店"/>
    <s v="3010184整份"/>
    <n v="3010184"/>
    <n v="20187"/>
    <s v="儿童套餐"/>
    <s v="整份"/>
    <n v="677"/>
    <n v="6"/>
    <n v="671"/>
  </r>
  <r>
    <x v="142"/>
    <s v="加拿大七店"/>
    <s v="70000509整份"/>
    <n v="70000509"/>
    <n v="57036"/>
    <s v="鱿鱼卷(花)"/>
    <s v="整份"/>
    <n v="182"/>
    <n v="0"/>
    <n v="182"/>
  </r>
  <r>
    <x v="143"/>
    <s v="加拿大七店"/>
    <s v="90001127半份"/>
    <n v="90001127"/>
    <n v="1001688"/>
    <s v="捞派魔芋素毛肚(半)"/>
    <s v="半份"/>
    <n v="95"/>
    <n v="0"/>
    <n v="95"/>
  </r>
  <r>
    <x v="144"/>
    <s v="加拿大七店"/>
    <s v="90001127整份"/>
    <n v="90001127"/>
    <n v="1001689"/>
    <s v="捞派魔芋素毛肚"/>
    <s v="整份"/>
    <n v="80"/>
    <n v="0"/>
    <n v="80"/>
  </r>
  <r>
    <x v="145"/>
    <s v="加拿大七店"/>
    <s v="90000429份"/>
    <n v="90000429"/>
    <n v="97732"/>
    <s v="糯米鱼豆腐"/>
    <s v="份"/>
    <n v="418"/>
    <n v="1"/>
    <n v="417"/>
  </r>
  <r>
    <x v="146"/>
    <s v="加拿大七店"/>
    <m/>
    <n v="14120001"/>
    <n v="84001"/>
    <s v="杂项代收"/>
    <s v="整份"/>
    <n v="4"/>
    <n v="0"/>
    <n v="4"/>
  </r>
  <r>
    <x v="146"/>
    <s v="加拿大七店"/>
    <m/>
    <n v="14120001"/>
    <n v="84001"/>
    <s v="杂项代收"/>
    <s v="整份"/>
    <n v="40"/>
    <n v="5"/>
    <n v="35"/>
  </r>
  <r>
    <x v="146"/>
    <s v="加拿大七店"/>
    <m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147"/>
    <s v="加拿大七店"/>
    <s v="10020084个"/>
    <n v="10020084"/>
    <n v="41084"/>
    <s v="生鸡蛋"/>
    <s v="个"/>
    <n v="254"/>
    <n v="2"/>
    <n v="252"/>
  </r>
  <r>
    <x v="148"/>
    <s v="加拿大七店"/>
    <s v="9010019整份"/>
    <n v="9010019"/>
    <n v="30019"/>
    <s v="精品肥牛（偏肥）"/>
    <s v="整份"/>
    <n v="4680"/>
    <n v="130"/>
    <n v="4550"/>
  </r>
  <r>
    <x v="149"/>
    <s v="加拿大七店"/>
    <s v="11010292整份"/>
    <n v="11010292"/>
    <n v="50363"/>
    <s v="捞派酥肉"/>
    <s v="整份"/>
    <n v="914"/>
    <n v="5"/>
    <n v="909"/>
  </r>
  <r>
    <x v="150"/>
    <s v="加拿大七店"/>
    <s v="10020005半份"/>
    <n v="10020005"/>
    <n v="41006"/>
    <s v="木耳(半)"/>
    <s v="半份"/>
    <n v="323"/>
    <n v="0"/>
    <n v="323"/>
  </r>
  <r>
    <x v="151"/>
    <s v="加拿大七店"/>
    <s v="10020005整份"/>
    <n v="10020005"/>
    <n v="41005"/>
    <s v="木耳"/>
    <s v="整份"/>
    <n v="159"/>
    <n v="0"/>
    <n v="159"/>
  </r>
  <r>
    <x v="152"/>
    <s v="加拿大七店"/>
    <s v="10020087整份"/>
    <n v="10020087"/>
    <n v="41087"/>
    <s v="甜玉米"/>
    <s v="整份"/>
    <n v="367"/>
    <n v="3"/>
    <n v="364"/>
  </r>
  <r>
    <x v="153"/>
    <s v="加拿大七店"/>
    <s v="10020007整份"/>
    <n v="10020007"/>
    <n v="41007"/>
    <s v="金针菇"/>
    <s v="整份"/>
    <n v="1354"/>
    <n v="2"/>
    <n v="1352"/>
  </r>
  <r>
    <x v="154"/>
    <s v="加拿大七店"/>
    <s v="70002887整份"/>
    <n v="70002887"/>
    <n v="88260"/>
    <s v="炸腐竹"/>
    <s v="整份"/>
    <n v="249"/>
    <n v="8"/>
    <n v="241"/>
  </r>
  <r>
    <x v="155"/>
    <s v="加拿大七店"/>
    <s v="10010213整份"/>
    <n v="10010213"/>
    <n v="40217"/>
    <s v="响铃卷"/>
    <s v="整份"/>
    <n v="1547"/>
    <n v="6"/>
    <n v="1541"/>
  </r>
  <r>
    <x v="156"/>
    <s v="加拿大七店"/>
    <s v="9030119半份"/>
    <n v="9030119"/>
    <n v="32120"/>
    <s v="捞派巴沙鱼片(半)"/>
    <s v="半份"/>
    <n v="511"/>
    <n v="1"/>
    <n v="510"/>
  </r>
  <r>
    <x v="157"/>
    <s v="加拿大七店"/>
    <m/>
    <n v="9030119"/>
    <n v="32119"/>
    <s v="捞派巴沙鱼片"/>
    <s v="整份"/>
    <n v="318"/>
    <n v="0"/>
    <n v="318"/>
  </r>
  <r>
    <x v="158"/>
    <s v="加拿大七店"/>
    <m/>
    <n v="9010009"/>
    <n v="30009"/>
    <s v="特选羊肉"/>
    <s v="整份"/>
    <n v="1996"/>
    <n v="57"/>
    <n v="1939"/>
  </r>
  <r>
    <x v="159"/>
    <s v="加拿大七店"/>
    <m/>
    <n v="12010003"/>
    <n v="71303"/>
    <s v="甜豆浆（1L）"/>
    <s v="冰镇"/>
    <n v="113"/>
    <n v="1"/>
    <n v="112"/>
  </r>
  <r>
    <x v="160"/>
    <s v="加拿大七店"/>
    <m/>
    <n v="70000798"/>
    <n v="77569"/>
    <s v="爆浆榴莲球"/>
    <s v="整份"/>
    <n v="128"/>
    <n v="0"/>
    <n v="128"/>
  </r>
  <r>
    <x v="161"/>
    <s v="加拿大七店"/>
    <m/>
    <n v="91003653"/>
    <n v="1107221"/>
    <s v="双色营养面"/>
    <s v="整份"/>
    <n v="758"/>
    <n v="1"/>
    <n v="757"/>
  </r>
  <r>
    <x v="162"/>
    <s v="加拿大七店"/>
    <m/>
    <n v="9020154"/>
    <n v="31157"/>
    <s v="丸类拼盘"/>
    <s v="整份"/>
    <n v="589"/>
    <n v="1"/>
    <n v="588"/>
  </r>
  <r>
    <x v="163"/>
    <s v="加拿大七店"/>
    <m/>
    <n v="9020082"/>
    <n v="1003255"/>
    <s v="虾丸"/>
    <s v="份"/>
    <n v="457"/>
    <n v="0"/>
    <n v="457"/>
  </r>
  <r>
    <x v="164"/>
    <s v="加拿大七店"/>
    <m/>
    <n v="9060064"/>
    <n v="78989"/>
    <s v="捞派嫩鸡肉片(半）"/>
    <s v="半份"/>
    <n v="243"/>
    <n v="1"/>
    <n v="242"/>
  </r>
  <r>
    <x v="165"/>
    <s v="加拿大七店"/>
    <m/>
    <n v="9060064"/>
    <n v="43081"/>
    <s v="捞派嫩鸡肉片"/>
    <s v="整份"/>
    <n v="209"/>
    <n v="2"/>
    <n v="207"/>
  </r>
  <r>
    <x v="166"/>
    <s v="加拿大七店"/>
    <m/>
    <n v="9020071"/>
    <n v="31071"/>
    <s v="香菇猪肉丸"/>
    <s v="整份"/>
    <n v="157"/>
    <n v="0"/>
    <n v="157"/>
  </r>
  <r>
    <x v="167"/>
    <s v="加拿大七店"/>
    <m/>
    <n v="1010249"/>
    <s v=""/>
    <s v="酸辣金汤火锅"/>
    <s v="拼锅"/>
    <n v="72"/>
    <n v="3"/>
    <n v="69"/>
  </r>
  <r>
    <x v="168"/>
    <s v="加拿大七店"/>
    <m/>
    <n v="1010249"/>
    <s v=""/>
    <s v="酸辣金汤火锅"/>
    <s v="四宫格"/>
    <n v="262"/>
    <n v="4"/>
    <n v="258"/>
  </r>
  <r>
    <x v="169"/>
    <s v="加拿大七店"/>
    <m/>
    <n v="90000344"/>
    <n v="71342"/>
    <s v="海鸭蛋虾丸"/>
    <s v="整份"/>
    <n v="333"/>
    <n v="0"/>
    <n v="333"/>
  </r>
  <r>
    <x v="170"/>
    <s v="加拿大七店"/>
    <m/>
    <n v="10020560"/>
    <n v="41601"/>
    <s v="有机豆苗"/>
    <s v="盒"/>
    <n v="295"/>
    <n v="3"/>
    <n v="292"/>
  </r>
  <r>
    <x v="171"/>
    <s v="加拿大七店"/>
    <m/>
    <n v="9030035"/>
    <n v="32036"/>
    <s v="深海鱿鱼须(半)"/>
    <s v="半份"/>
    <n v="183"/>
    <n v="1"/>
    <n v="182"/>
  </r>
  <r>
    <x v="172"/>
    <s v="加拿大七店"/>
    <m/>
    <n v="9030035"/>
    <n v="32035"/>
    <s v="深海鱿鱼须"/>
    <s v="整份"/>
    <n v="56"/>
    <n v="0"/>
    <n v="56"/>
  </r>
  <r>
    <x v="173"/>
    <s v="加拿大七店"/>
    <m/>
    <n v="9030015"/>
    <n v="32015"/>
    <s v="冰鲜海鲜拼盘"/>
    <s v="整份"/>
    <n v="232"/>
    <n v="2"/>
    <n v="230"/>
  </r>
  <r>
    <x v="174"/>
    <s v="加拿大七店"/>
    <m/>
    <n v="3010143"/>
    <n v="20146"/>
    <s v="捞派脆脆毛肚(半)"/>
    <s v="半份"/>
    <n v="788"/>
    <n v="8"/>
    <n v="780"/>
  </r>
  <r>
    <x v="175"/>
    <s v="加拿大七店"/>
    <s v="3010143整份"/>
    <n v="3010143"/>
    <n v="20145"/>
    <s v="捞派脆脆毛肚"/>
    <s v="整份"/>
    <n v="361"/>
    <n v="7"/>
    <n v="354"/>
  </r>
  <r>
    <x v="176"/>
    <s v="加拿大七店"/>
    <s v="90002161瓶"/>
    <n v="90002161"/>
    <n v="1109398"/>
    <s v="鸭屎香柠檬茶"/>
    <s v="瓶"/>
    <n v="423"/>
    <n v="0"/>
    <n v="423"/>
  </r>
  <r>
    <x v="177"/>
    <s v="加拿大七店"/>
    <s v="11010428份"/>
    <n v="11010428"/>
    <n v="1002539"/>
    <s v="奶酪鱼柳"/>
    <s v="份"/>
    <n v="346"/>
    <n v="7"/>
    <n v="339"/>
  </r>
  <r>
    <x v="178"/>
    <s v="加拿大七店"/>
    <m/>
    <n v="90001935"/>
    <n v="1006544"/>
    <s v="迷你包浆豆腐"/>
    <s v="份"/>
    <n v="295"/>
    <n v="1"/>
    <n v="294"/>
  </r>
  <r>
    <x v="179"/>
    <s v="加拿大七店"/>
    <m/>
    <n v="13020235"/>
    <n v="1108352"/>
    <s v="牛栏山二锅头56%vol 100ML"/>
    <s v="小瓶"/>
    <n v="24"/>
    <n v="0"/>
    <n v="24"/>
  </r>
  <r>
    <x v="180"/>
    <s v="加拿大七店"/>
    <s v="70000490小瓶"/>
    <n v="70000490"/>
    <n v="9991"/>
    <s v="韩国烧酒 360ML"/>
    <s v="小瓶"/>
    <n v="108"/>
    <n v="1"/>
    <n v="107"/>
  </r>
  <r>
    <x v="181"/>
    <s v="加拿大七店"/>
    <s v="13040264冰镇"/>
    <n v="13040264"/>
    <n v="1004398"/>
    <s v="朝日啤酒 330ml"/>
    <s v="冰镇"/>
    <n v="143"/>
    <n v="2"/>
    <n v="141"/>
  </r>
  <r>
    <x v="182"/>
    <s v="加拿大七店"/>
    <s v="13040162冰镇"/>
    <n v="13040162"/>
    <n v="73162"/>
    <s v="青岛啤酒330ml"/>
    <s v="冰镇"/>
    <n v="213"/>
    <n v="0"/>
    <n v="213"/>
  </r>
  <r>
    <x v="183"/>
    <s v="加拿大七店"/>
    <s v="13040274冰镇"/>
    <n v="13040274"/>
    <n v="73274"/>
    <s v="海底捞德式小麦啤酒500ml"/>
    <s v="冰镇"/>
    <n v="98"/>
    <n v="0"/>
    <n v="98"/>
  </r>
  <r>
    <x v="184"/>
    <s v="加拿大七店"/>
    <m/>
    <n v="9040029"/>
    <n v="33030"/>
    <s v="藤椒牛舌(半)"/>
    <s v="半份"/>
    <n v="233"/>
    <n v="1"/>
    <n v="232"/>
  </r>
  <r>
    <x v="185"/>
    <s v="加拿大七店"/>
    <s v="9040029整份"/>
    <n v="9040029"/>
    <n v="33029"/>
    <s v="藤椒牛舌"/>
    <s v="整份"/>
    <n v="58"/>
    <n v="0"/>
    <n v="58"/>
  </r>
  <r>
    <x v="186"/>
    <s v="加拿大七店"/>
    <s v="11010492整份"/>
    <n v="11010492"/>
    <n v="50699"/>
    <s v="东北大酱骨"/>
    <s v="整份"/>
    <n v="196"/>
    <n v="1"/>
    <n v="195"/>
  </r>
  <r>
    <x v="187"/>
    <s v="加拿大七店"/>
    <m/>
    <n v="91004480"/>
    <n v="1109400"/>
    <s v="杨梅荔枝饮"/>
    <s v="瓶"/>
    <n v="305"/>
    <n v="2"/>
    <n v="303"/>
  </r>
  <r>
    <x v="188"/>
    <s v="加拿大七店"/>
    <m/>
    <n v="14040009"/>
    <n v="82009"/>
    <s v="酸梅汤"/>
    <s v="冰镇"/>
    <n v="19"/>
    <n v="0"/>
    <n v="19"/>
  </r>
  <r>
    <x v="189"/>
    <s v="加拿大七店"/>
    <s v="90002067整份"/>
    <n v="90002067"/>
    <n v="1004336"/>
    <s v="精品肥牛（饭团）"/>
    <s v="整份"/>
    <n v="3658"/>
    <n v="34"/>
    <n v="3624"/>
  </r>
  <r>
    <x v="190"/>
    <s v="加拿大七店"/>
    <s v="70002652半份"/>
    <n v="70002652"/>
    <n v="87861"/>
    <s v="脆脆千层毛肚（半）"/>
    <s v="半份"/>
    <n v="114"/>
    <n v="3"/>
    <n v="111"/>
  </r>
  <r>
    <x v="191"/>
    <s v="加拿大七店"/>
    <m/>
    <n v="9020427"/>
    <n v="31687"/>
    <s v="Q弹牛肉丸"/>
    <s v="整份"/>
    <n v="335"/>
    <n v="2"/>
    <n v="333"/>
  </r>
  <r>
    <x v="192"/>
    <s v="加拿大七店"/>
    <m/>
    <n v="9020447"/>
    <n v="31727"/>
    <s v="鸡肉丸"/>
    <s v="整份"/>
    <n v="114"/>
    <n v="1"/>
    <n v="113"/>
  </r>
  <r>
    <x v="193"/>
    <s v="加拿大七店"/>
    <s v="10020035半份"/>
    <n v="10020035"/>
    <n v="41036"/>
    <s v="火锅苕皮(半)"/>
    <s v="半份"/>
    <n v="246"/>
    <n v="1"/>
    <n v="245"/>
  </r>
  <r>
    <x v="194"/>
    <s v="加拿大七店"/>
    <s v="10020035整份"/>
    <n v="10020035"/>
    <n v="41035"/>
    <s v="火锅苕皮"/>
    <s v="整份"/>
    <n v="206"/>
    <n v="1"/>
    <n v="205"/>
  </r>
  <r>
    <x v="195"/>
    <s v="加拿大七店"/>
    <s v="12010006位"/>
    <n v="12010006"/>
    <n v="97574"/>
    <s v="自选饮料"/>
    <s v="位"/>
    <n v="1309"/>
    <n v="41"/>
    <n v="1268"/>
  </r>
  <r>
    <x v="196"/>
    <s v="加拿大七店"/>
    <s v="90001551整份"/>
    <n v="90001551"/>
    <n v="1002840"/>
    <s v="冰糖葫芦"/>
    <s v="整份"/>
    <n v="348"/>
    <n v="26"/>
    <n v="322"/>
  </r>
  <r>
    <x v="197"/>
    <s v="加拿大七店"/>
    <s v="91003998根"/>
    <n v="91003998"/>
    <n v="1107708"/>
    <s v="台湾风味烤肠"/>
    <s v="根"/>
    <n v="318"/>
    <n v="0"/>
    <n v="318"/>
  </r>
  <r>
    <x v="198"/>
    <s v="加拿大七店"/>
    <s v="10020497整份"/>
    <n v="10020497"/>
    <n v="41533"/>
    <s v="绿豆芽"/>
    <s v="整份"/>
    <n v="274"/>
    <n v="1"/>
    <n v="273"/>
  </r>
  <r>
    <x v="199"/>
    <s v="加拿大七店"/>
    <s v="10020140整份"/>
    <n v="10020140"/>
    <n v="41161"/>
    <s v="西兰花"/>
    <s v="整份"/>
    <n v="243"/>
    <n v="1"/>
    <n v="242"/>
  </r>
  <r>
    <x v="200"/>
    <s v="加拿大七店"/>
    <s v="1010681拼锅"/>
    <n v="1010681"/>
    <s v=""/>
    <s v="韩式泡菜火锅"/>
    <s v="拼锅"/>
    <n v="121"/>
    <n v="3"/>
    <n v="118"/>
  </r>
  <r>
    <x v="201"/>
    <s v="加拿大七店"/>
    <s v="1010681四宫格"/>
    <n v="1010681"/>
    <s v=""/>
    <s v="韩式泡菜火锅"/>
    <s v="四宫格"/>
    <n v="227"/>
    <n v="0"/>
    <n v="227"/>
  </r>
  <r>
    <x v="202"/>
    <s v="加拿大七店"/>
    <m/>
    <n v="91005373"/>
    <n v="1110188"/>
    <s v="韩式辣鸡翅"/>
    <s v="份"/>
    <n v="292"/>
    <n v="1"/>
    <n v="291"/>
  </r>
  <r>
    <x v="203"/>
    <s v="加拿大七店"/>
    <m/>
    <n v="2601037008"/>
    <s v=""/>
    <s v="超值单人套餐"/>
    <s v="套餐"/>
    <n v="936"/>
    <n v="29"/>
    <n v="907"/>
  </r>
  <r>
    <x v="204"/>
    <s v="加拿大七店"/>
    <m/>
    <n v="10020033"/>
    <n v="41033"/>
    <s v="年糕"/>
    <s v="整份"/>
    <n v="392"/>
    <n v="1"/>
    <n v="391"/>
  </r>
  <r>
    <x v="205"/>
    <s v="加拿大七店"/>
    <m/>
    <n v="91004364"/>
    <n v="1108354"/>
    <s v="Sapporo扎啤 500ML"/>
    <s v="杯"/>
    <n v="332"/>
    <n v="4"/>
    <n v="328"/>
  </r>
  <r>
    <x v="206"/>
    <s v="加拿大七店"/>
    <m/>
    <n v="70001536"/>
    <n v="79183"/>
    <s v="Sapporo啤酒 1700ML"/>
    <s v="扎"/>
    <n v="289"/>
    <n v="5"/>
    <n v="284"/>
  </r>
  <r>
    <x v="207"/>
    <s v="加拿大七店"/>
    <m/>
    <n v="90001690"/>
    <n v="1003544"/>
    <s v="特选羊肉（赠送）"/>
    <s v="半份"/>
    <n v="2178"/>
    <n v="35"/>
    <n v="2143"/>
  </r>
  <r>
    <x v="208"/>
    <s v="加拿大七店"/>
    <m/>
    <n v="91005413"/>
    <n v="1110210"/>
    <s v="榛果巧克力牛奶"/>
    <s v="瓶"/>
    <n v="163"/>
    <n v="2"/>
    <n v="161"/>
  </r>
  <r>
    <x v="209"/>
    <s v="加拿大七店"/>
    <m/>
    <n v="91005412"/>
    <n v="1110209"/>
    <s v="柚子苏打水"/>
    <s v="杯"/>
    <n v="300"/>
    <n v="1"/>
    <n v="299"/>
  </r>
  <r>
    <x v="210"/>
    <s v="加拿大七店"/>
    <m/>
    <n v="91005702"/>
    <n v="1111116"/>
    <s v="薯球"/>
    <s v="份"/>
    <n v="237"/>
    <n v="1"/>
    <n v="236"/>
  </r>
  <r>
    <x v="211"/>
    <s v="加拿大七店"/>
    <m/>
    <n v="91005130"/>
    <n v="1109717"/>
    <s v="冰爽葡萄柠檬茶"/>
    <s v="杯"/>
    <n v="280"/>
    <n v="1"/>
    <n v="279"/>
  </r>
  <r>
    <x v="212"/>
    <s v="加拿大七店"/>
    <m/>
    <n v="91005119"/>
    <n v="1109704"/>
    <s v="黄油啤酒"/>
    <s v="杯"/>
    <n v="57"/>
    <n v="1"/>
    <n v="56"/>
  </r>
  <r>
    <x v="213"/>
    <s v="加拿大七店"/>
    <m/>
    <n v="91005731"/>
    <n v="1111185"/>
    <s v="桂花金酒"/>
    <s v="瓶"/>
    <n v="47"/>
    <n v="3"/>
    <n v="44"/>
  </r>
  <r>
    <x v="214"/>
    <s v="加拿大七店"/>
    <m/>
    <n v="91005729"/>
    <n v="1111183"/>
    <s v="夏天"/>
    <s v="瓶"/>
    <n v="47"/>
    <n v="1"/>
    <n v="46"/>
  </r>
  <r>
    <x v="215"/>
    <s v="加拿大七店"/>
    <m/>
    <n v="91005728"/>
    <n v="1111182"/>
    <s v="新加坡司令"/>
    <s v="瓶"/>
    <n v="35"/>
    <n v="0"/>
    <n v="35"/>
  </r>
  <r>
    <x v="216"/>
    <s v="加拿大七店"/>
    <m/>
    <n v="91005726"/>
    <n v="1111180"/>
    <s v="蓝色夏威夷"/>
    <s v="瓶"/>
    <n v="57"/>
    <n v="0"/>
    <n v="57"/>
  </r>
  <r>
    <x v="217"/>
    <s v="加拿大七店"/>
    <m/>
    <n v="10010328"/>
    <n v="1108120"/>
    <s v="粉耗子"/>
    <s v="份"/>
    <n v="153"/>
    <n v="0"/>
    <n v="153"/>
  </r>
  <r>
    <x v="218"/>
    <s v="加拿大七店"/>
    <m/>
    <n v="91005865"/>
    <n v="1111388"/>
    <s v="春樱莓莓"/>
    <s v="份"/>
    <n v="152"/>
    <n v="2"/>
    <n v="150"/>
  </r>
  <r>
    <x v="219"/>
    <s v="加拿大七店"/>
    <s v="91005716份"/>
    <n v="91005716"/>
    <n v="1111214"/>
    <s v="花开富贵"/>
    <s v="份"/>
    <n v="697"/>
    <n v="1"/>
    <n v="696"/>
  </r>
  <r>
    <x v="220"/>
    <s v="加拿大七店"/>
    <s v="91005950份"/>
    <n v="91005950"/>
    <n v="1111493"/>
    <s v="无肉不欢18.95"/>
    <s v="份"/>
    <n v="3369"/>
    <n v="66"/>
    <n v="3303"/>
  </r>
  <r>
    <x v="221"/>
    <s v="加拿大七店"/>
    <s v="91005732瓶"/>
    <n v="91005732"/>
    <n v="1111186"/>
    <s v="贵妃醉酒"/>
    <s v="瓶"/>
    <n v="67"/>
    <n v="8"/>
    <n v="59"/>
  </r>
  <r>
    <x v="222"/>
    <s v="加拿大七店"/>
    <m/>
    <n v="13010047"/>
    <n v="70047"/>
    <s v="椰汁"/>
    <s v="常温"/>
    <n v="16"/>
    <n v="0"/>
    <n v="16"/>
  </r>
  <r>
    <x v="223"/>
    <s v="加拿大七店"/>
    <m/>
    <n v="12010002"/>
    <n v="60002"/>
    <s v="柠檬冰红茶 341ML"/>
    <s v="常温"/>
    <n v="10"/>
    <n v="0"/>
    <n v="10"/>
  </r>
  <r>
    <x v="224"/>
    <s v="加拿大七店"/>
    <s v="10020031半份"/>
    <n v="10020031"/>
    <n v="41032"/>
    <s v="藕片(半)"/>
    <s v="半份"/>
    <n v="258"/>
    <n v="6"/>
    <n v="252"/>
  </r>
  <r>
    <x v="225"/>
    <s v="加拿大七店"/>
    <s v="10020031整份"/>
    <n v="10020031"/>
    <n v="41031"/>
    <s v="藕片"/>
    <s v="整份"/>
    <n v="99"/>
    <n v="4"/>
    <n v="95"/>
  </r>
  <r>
    <x v="226"/>
    <s v="加拿大七店"/>
    <s v="1060066单锅"/>
    <n v="1060066"/>
    <s v=""/>
    <s v="番茄火锅"/>
    <s v="单锅"/>
    <n v="48"/>
    <n v="7"/>
    <n v="41"/>
  </r>
  <r>
    <x v="227"/>
    <s v="加拿大七店"/>
    <s v="13010455常温"/>
    <n v="13010455"/>
    <n v="70455"/>
    <s v="健怡可乐"/>
    <s v="常温"/>
    <n v="9"/>
    <n v="0"/>
    <n v="9"/>
  </r>
  <r>
    <x v="146"/>
    <s v="加拿大七店"/>
    <s v="14120001整份"/>
    <n v="14120001"/>
    <n v="84001"/>
    <s v="杂项代收"/>
    <s v="整份"/>
    <n v="25"/>
    <n v="2"/>
    <n v="23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228"/>
    <s v="加拿大七店"/>
    <m/>
    <n v="13020423"/>
    <n v="1109396"/>
    <s v="江小白 50ml"/>
    <s v="小瓶"/>
    <n v="14"/>
    <n v="0"/>
    <n v="14"/>
  </r>
  <r>
    <x v="229"/>
    <s v="加拿大七店"/>
    <m/>
    <n v="13040284"/>
    <n v="73284"/>
    <s v="海底捞大麦拉格啤酒500ml"/>
    <s v="冰镇"/>
    <n v="107"/>
    <n v="0"/>
    <n v="107"/>
  </r>
  <r>
    <x v="230"/>
    <s v="加拿大七店"/>
    <m/>
    <n v="90001996"/>
    <n v="1004183"/>
    <s v="MAKGEOLLI 米酒750ML"/>
    <s v="瓶"/>
    <n v="15"/>
    <n v="0"/>
    <n v="15"/>
  </r>
  <r>
    <x v="231"/>
    <s v="加拿大七店"/>
    <m/>
    <n v="70002652"/>
    <n v="87860"/>
    <s v="脆脆千层毛肚"/>
    <s v="整份"/>
    <n v="23"/>
    <n v="2"/>
    <n v="21"/>
  </r>
  <r>
    <x v="232"/>
    <s v="加拿大七店"/>
    <s v="13010041常温"/>
    <n v="13010041"/>
    <n v="70041"/>
    <s v="雪碧"/>
    <s v="常温"/>
    <n v="9"/>
    <n v="0"/>
    <n v="9"/>
  </r>
  <r>
    <x v="233"/>
    <s v="加拿大七店"/>
    <m/>
    <n v="90000413"/>
    <s v=""/>
    <s v="冬阴功锅底"/>
    <s v="单锅"/>
    <n v="8"/>
    <n v="1"/>
    <n v="7"/>
  </r>
  <r>
    <x v="234"/>
    <s v="加拿大七店"/>
    <s v="13010040常温"/>
    <n v="13010040"/>
    <n v="70040"/>
    <s v="可口可乐"/>
    <s v="常温"/>
    <n v="21"/>
    <n v="0"/>
    <n v="21"/>
  </r>
  <r>
    <x v="235"/>
    <s v="加拿大七店"/>
    <s v="1060061单锅"/>
    <n v="1060061"/>
    <s v=""/>
    <s v="清油麻辣火锅"/>
    <s v="单锅"/>
    <n v="4"/>
    <n v="1"/>
    <n v="3"/>
  </r>
  <r>
    <x v="236"/>
    <s v="加拿大七店"/>
    <m/>
    <n v="1060063"/>
    <s v=""/>
    <s v="菌汤火锅"/>
    <s v="单锅"/>
    <n v="8"/>
    <n v="1"/>
    <n v="7"/>
  </r>
  <r>
    <x v="237"/>
    <s v="加拿大七店"/>
    <m/>
    <n v="90002533"/>
    <n v="1005371"/>
    <s v="白桃果肉汁"/>
    <s v="常温"/>
    <n v="3"/>
    <n v="2"/>
    <n v="1"/>
  </r>
  <r>
    <x v="238"/>
    <s v="加拿大七店"/>
    <m/>
    <n v="13010457"/>
    <n v="70457"/>
    <s v="北冰洋"/>
    <s v="常温"/>
    <n v="7"/>
    <n v="0"/>
    <n v="7"/>
  </r>
  <r>
    <x v="146"/>
    <s v="加拿大七店"/>
    <m/>
    <n v="14120001"/>
    <n v="84001"/>
    <s v="杂项代收"/>
    <s v="整份"/>
    <n v="2"/>
    <n v="0"/>
    <n v="2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239"/>
    <s v="加拿大七店"/>
    <s v="13040162常温"/>
    <n v="13040162"/>
    <n v="73162"/>
    <s v="青岛啤酒330ml"/>
    <s v="常温"/>
    <n v="8"/>
    <n v="0"/>
    <n v="8"/>
  </r>
  <r>
    <x v="240"/>
    <s v="加拿大七店"/>
    <m/>
    <n v="13010445"/>
    <n v="70445"/>
    <s v="加多宝"/>
    <s v="冰镇"/>
    <n v="157"/>
    <n v="1"/>
    <n v="156"/>
  </r>
  <r>
    <x v="241"/>
    <s v="加拿大七店"/>
    <m/>
    <n v="1060064"/>
    <s v=""/>
    <s v="经典麻辣火锅"/>
    <s v="单锅"/>
    <n v="9"/>
    <n v="1"/>
    <n v="8"/>
  </r>
  <r>
    <x v="146"/>
    <s v="加拿大七店"/>
    <s v="14120001整份"/>
    <n v="14120001"/>
    <n v="84001"/>
    <s v="杂项代收"/>
    <s v="整份"/>
    <n v="2"/>
    <n v="0"/>
    <n v="2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242"/>
    <s v="加拿大七店"/>
    <m/>
    <n v="10020580"/>
    <n v="41625"/>
    <s v="红薯片"/>
    <s v="整份"/>
    <n v="86"/>
    <n v="2"/>
    <n v="84"/>
  </r>
  <r>
    <x v="146"/>
    <s v="加拿大七店"/>
    <s v="14120001整份"/>
    <n v="14120001"/>
    <n v="84001"/>
    <s v="杂项代收"/>
    <s v="整份"/>
    <n v="34"/>
    <n v="0"/>
    <n v="34"/>
  </r>
  <r>
    <x v="146"/>
    <s v="加拿大七店"/>
    <m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243"/>
    <s v="加拿大七店"/>
    <s v="10030093整份"/>
    <n v="10030093"/>
    <n v="42093"/>
    <s v="绣球菌"/>
    <s v="整份"/>
    <n v="1"/>
    <n v="1"/>
    <n v="0"/>
  </r>
  <r>
    <x v="244"/>
    <s v="加拿大七店"/>
    <m/>
    <n v="13040264"/>
    <n v="1004399"/>
    <s v="朝日啤酒 330ml"/>
    <s v="常温"/>
    <n v="5"/>
    <n v="0"/>
    <n v="5"/>
  </r>
  <r>
    <x v="245"/>
    <s v="加拿大七店"/>
    <s v="13010445常温"/>
    <n v="13010445"/>
    <n v="70445"/>
    <s v="加多宝"/>
    <s v="常温"/>
    <n v="20"/>
    <n v="0"/>
    <n v="20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246"/>
    <s v="加拿大七店"/>
    <m/>
    <n v="14010085"/>
    <n v="80055"/>
    <s v="炸薯条（赠送）"/>
    <s v="整份"/>
    <n v="95"/>
    <n v="1"/>
    <n v="94"/>
  </r>
  <r>
    <x v="247"/>
    <s v="加拿大七店"/>
    <s v="70000769单锅"/>
    <n v="70000769"/>
    <s v=""/>
    <s v="寿喜锅底"/>
    <s v="单锅"/>
    <n v="9"/>
    <n v="1"/>
    <n v="8"/>
  </r>
  <r>
    <x v="248"/>
    <s v="加拿大七店"/>
    <m/>
    <n v="9030189"/>
    <n v="33253"/>
    <s v="象拔蚌(时价/每磅)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249"/>
    <s v="加拿大七店"/>
    <s v="13010304个"/>
    <n v="13010304"/>
    <n v="1000865"/>
    <s v="鲜椰子"/>
    <s v="个"/>
    <n v="1"/>
    <n v="1"/>
    <n v="0"/>
  </r>
  <r>
    <x v="250"/>
    <s v="加拿大七店"/>
    <s v="91005395份"/>
    <n v="91005395"/>
    <n v="1110187"/>
    <s v="虎虾腐皮卷"/>
    <s v="份"/>
    <n v="1"/>
    <n v="1"/>
    <n v="0"/>
  </r>
  <r>
    <x v="251"/>
    <s v="加拿大七店"/>
    <s v="9010147整份"/>
    <n v="9010147"/>
    <n v="30175"/>
    <s v="羊脑"/>
    <s v="整份"/>
    <n v="161"/>
    <n v="5"/>
    <n v="156"/>
  </r>
  <r>
    <x v="146"/>
    <s v="加拿大七店"/>
    <s v="14120001整份"/>
    <n v="14120001"/>
    <n v="84001"/>
    <s v="杂项代收"/>
    <s v="整份"/>
    <n v="2"/>
    <n v="0"/>
    <n v="2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252"/>
    <s v="加拿大七店"/>
    <m/>
    <n v="13040274"/>
    <n v="73274"/>
    <s v="海底捞德式小麦啤酒500ml"/>
    <s v="常温"/>
    <n v="3"/>
    <n v="0"/>
    <n v="3"/>
  </r>
  <r>
    <x v="253"/>
    <s v="加拿大七店"/>
    <m/>
    <n v="91005023"/>
    <n v="1109552"/>
    <s v="蟹柳可乐饼"/>
    <s v="份"/>
    <n v="95"/>
    <n v="2"/>
    <n v="93"/>
  </r>
  <r>
    <x v="68"/>
    <s v="加拿大七店"/>
    <m/>
    <n v="3010027"/>
    <n v="20027"/>
    <s v="捞派捞面"/>
    <s v="条"/>
    <n v="204"/>
    <n v="9"/>
    <n v="195"/>
  </r>
  <r>
    <x v="254"/>
    <s v="加拿大七店"/>
    <m/>
    <n v="1060115"/>
    <s v=""/>
    <s v="胡椒猪肚鸡火锅"/>
    <s v="单锅"/>
    <n v="5"/>
    <n v="0"/>
    <n v="5"/>
  </r>
  <r>
    <x v="146"/>
    <s v="加拿大七店"/>
    <m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255"/>
    <s v="加拿大七店"/>
    <m/>
    <n v="91004692"/>
    <n v="1108968"/>
    <s v="饭团精品肥牛"/>
    <s v="份"/>
    <n v="2"/>
    <n v="1"/>
    <n v="1"/>
  </r>
  <r>
    <x v="256"/>
    <s v="加拿大七店"/>
    <m/>
    <n v="1010681"/>
    <s v=""/>
    <s v="韩式泡菜火锅"/>
    <s v="单锅"/>
    <n v="2"/>
    <n v="1"/>
    <n v="1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1"/>
    <n v="0"/>
  </r>
  <r>
    <x v="146"/>
    <s v="加拿大七店"/>
    <m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248"/>
    <s v="加拿大七店"/>
    <s v="9030189整份"/>
    <n v="9030189"/>
    <n v="33253"/>
    <s v="象拔蚌(时价/每磅)"/>
    <s v="整份"/>
    <n v="1"/>
    <n v="0"/>
    <n v="1"/>
  </r>
  <r>
    <x v="146"/>
    <s v="加拿大七店"/>
    <s v="14120001整份"/>
    <n v="14120001"/>
    <n v="84001"/>
    <s v="杂项代收"/>
    <s v="整份"/>
    <n v="2"/>
    <n v="0"/>
    <n v="2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257"/>
    <s v="加拿大七店"/>
    <m/>
    <n v="9030399"/>
    <n v="32429"/>
    <s v="龙虾（时价/每磅）"/>
    <s v="只"/>
    <n v="1"/>
    <n v="0"/>
    <n v="1"/>
  </r>
  <r>
    <x v="258"/>
    <s v="加拿大七店"/>
    <m/>
    <n v="26010234"/>
    <n v="19234"/>
    <s v="套餐拼盘"/>
    <s v="整份"/>
    <n v="2"/>
    <n v="1"/>
    <n v="1"/>
  </r>
  <r>
    <x v="146"/>
    <s v="加拿大七店"/>
    <m/>
    <n v="14120001"/>
    <n v="84001"/>
    <s v="杂项代收"/>
    <s v="整份"/>
    <n v="2"/>
    <n v="0"/>
    <n v="2"/>
  </r>
  <r>
    <x v="146"/>
    <s v="加拿大七店"/>
    <m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1"/>
    <n v="0"/>
  </r>
  <r>
    <x v="146"/>
    <s v="加拿大七店"/>
    <m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248"/>
    <s v="加拿大七店"/>
    <m/>
    <n v="9030189"/>
    <n v="33253"/>
    <s v="象拔蚌(时价/每磅)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259"/>
    <s v="加拿大七店"/>
    <m/>
    <n v="1310005"/>
    <s v=""/>
    <s v="叻沙火锅"/>
    <s v="四宫格"/>
    <n v="336"/>
    <n v="8"/>
    <n v="328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s v="14120001整份"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260"/>
    <s v="加拿大七店"/>
    <m/>
    <n v="9020518"/>
    <n v="31869"/>
    <s v="温哥华蟹(时价/每磅)"/>
    <s v="磅"/>
    <n v="1"/>
    <n v="0"/>
    <n v="1"/>
  </r>
  <r>
    <x v="261"/>
    <s v="加拿大七店"/>
    <s v="70002428单锅"/>
    <n v="70002428"/>
    <s v=""/>
    <s v="麻辣牛奶火锅"/>
    <s v="单锅"/>
    <n v="3"/>
    <n v="0"/>
    <n v="3"/>
  </r>
  <r>
    <x v="146"/>
    <s v="加拿大七店"/>
    <m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146"/>
    <s v="加拿大七店"/>
    <m/>
    <n v="14120001"/>
    <n v="84001"/>
    <s v="杂项代收"/>
    <s v="整份"/>
    <n v="1"/>
    <n v="0"/>
    <n v="1"/>
  </r>
  <r>
    <x v="262"/>
    <m/>
    <m/>
    <n v="14120001"/>
    <n v="84001"/>
    <s v="杂项代收"/>
    <s v="整份"/>
    <n v="1"/>
    <n v="0"/>
    <n v="1"/>
  </r>
  <r>
    <x v="262"/>
    <m/>
    <m/>
    <n v="14120001"/>
    <n v="84001"/>
    <s v="杂项代收"/>
    <s v="整份"/>
    <n v="1"/>
    <n v="0"/>
    <n v="1"/>
  </r>
  <r>
    <x v="263"/>
    <m/>
    <m/>
    <n v="1310005"/>
    <s v=""/>
    <s v="叻沙火锅"/>
    <s v="拼锅"/>
    <n v="151"/>
    <n v="6"/>
    <n v="145"/>
  </r>
  <r>
    <x v="264"/>
    <m/>
    <m/>
    <n v="9030189"/>
    <n v="33253"/>
    <s v="象拔蚌(时价/每磅)"/>
    <s v="整份"/>
    <n v="1"/>
    <n v="0"/>
    <n v="1"/>
  </r>
  <r>
    <x v="264"/>
    <m/>
    <m/>
    <n v="9030189"/>
    <n v="33253"/>
    <s v="象拔蚌(时价/每磅)"/>
    <s v="整份"/>
    <n v="1"/>
    <n v="0"/>
    <n v="1"/>
  </r>
  <r>
    <x v="262"/>
    <m/>
    <m/>
    <n v="14120001"/>
    <n v="84001"/>
    <s v="杂项代收"/>
    <s v="整份"/>
    <n v="1"/>
    <n v="0"/>
    <n v="1"/>
  </r>
  <r>
    <x v="262"/>
    <m/>
    <m/>
    <n v="14120001"/>
    <n v="84001"/>
    <s v="杂项代收"/>
    <s v="整份"/>
    <n v="1"/>
    <n v="0"/>
    <n v="1"/>
  </r>
  <r>
    <x v="262"/>
    <m/>
    <m/>
    <n v="14120001"/>
    <n v="84001"/>
    <s v="杂项代收"/>
    <s v="整份"/>
    <n v="1"/>
    <n v="0"/>
    <n v="1"/>
  </r>
  <r>
    <x v="262"/>
    <m/>
    <m/>
    <n v="14120001"/>
    <n v="84001"/>
    <s v="杂项代收"/>
    <s v="整份"/>
    <n v="1"/>
    <n v="0"/>
    <n v="1"/>
  </r>
  <r>
    <x v="262"/>
    <m/>
    <m/>
    <n v="14120001"/>
    <n v="84001"/>
    <s v="杂项代收"/>
    <s v="整份"/>
    <n v="1"/>
    <n v="0"/>
    <n v="1"/>
  </r>
  <r>
    <x v="262"/>
    <m/>
    <m/>
    <n v="14120001"/>
    <n v="84001"/>
    <s v="杂项代收"/>
    <s v="整份"/>
    <n v="1"/>
    <n v="0"/>
    <n v="1"/>
  </r>
  <r>
    <x v="265"/>
    <m/>
    <m/>
    <n v="9030498"/>
    <n v="32583"/>
    <s v="斑点虾"/>
    <s v="整份"/>
    <n v="3"/>
    <n v="3"/>
    <n v="0"/>
  </r>
  <r>
    <x v="265"/>
    <m/>
    <m/>
    <n v="9030498"/>
    <n v="32583"/>
    <s v="斑点虾"/>
    <s v="整份"/>
    <n v="39"/>
    <n v="2"/>
    <n v="37"/>
  </r>
  <r>
    <x v="265"/>
    <m/>
    <m/>
    <n v="9030498"/>
    <n v="32583"/>
    <s v="斑点虾"/>
    <s v="整份"/>
    <n v="2"/>
    <n v="1"/>
    <n v="1"/>
  </r>
  <r>
    <x v="264"/>
    <m/>
    <m/>
    <n v="9030189"/>
    <n v="33253"/>
    <s v="象拔蚌(时价/每磅)"/>
    <s v="整份"/>
    <n v="1"/>
    <n v="0"/>
    <n v="1"/>
  </r>
  <r>
    <x v="262"/>
    <m/>
    <m/>
    <n v="14120001"/>
    <n v="84001"/>
    <s v="杂项代收"/>
    <s v="整份"/>
    <n v="1"/>
    <n v="0"/>
    <n v="1"/>
  </r>
  <r>
    <x v="262"/>
    <m/>
    <m/>
    <n v="14120001"/>
    <n v="84001"/>
    <s v="杂项代收"/>
    <s v="整份"/>
    <n v="1"/>
    <n v="0"/>
    <n v="1"/>
  </r>
  <r>
    <x v="262"/>
    <m/>
    <m/>
    <n v="14120001"/>
    <n v="84001"/>
    <s v="杂项代收"/>
    <s v="整份"/>
    <n v="1"/>
    <n v="0"/>
    <n v="1"/>
  </r>
  <r>
    <x v="262"/>
    <m/>
    <m/>
    <n v="14120001"/>
    <n v="84001"/>
    <s v="杂项代收"/>
    <s v="整份"/>
    <n v="1"/>
    <n v="0"/>
    <n v="1"/>
  </r>
  <r>
    <x v="262"/>
    <m/>
    <m/>
    <n v="14120001"/>
    <n v="84001"/>
    <s v="杂项代收"/>
    <s v="整份"/>
    <n v="1"/>
    <n v="0"/>
    <n v="1"/>
  </r>
  <r>
    <x v="266"/>
    <m/>
    <m/>
    <n v="9020518"/>
    <n v="31869"/>
    <s v="温哥华蟹(时价/每磅)"/>
    <s v="磅"/>
    <n v="1"/>
    <n v="0"/>
    <n v="1"/>
  </r>
  <r>
    <x v="262"/>
    <m/>
    <m/>
    <n v="14120001"/>
    <n v="84001"/>
    <s v="杂项代收"/>
    <s v="整份"/>
    <n v="1"/>
    <n v="0"/>
    <n v="1"/>
  </r>
  <r>
    <x v="262"/>
    <m/>
    <m/>
    <n v="14120001"/>
    <n v="84001"/>
    <s v="杂项代收"/>
    <s v="整份"/>
    <n v="1"/>
    <n v="0"/>
    <n v="1"/>
  </r>
  <r>
    <x v="262"/>
    <m/>
    <m/>
    <n v="14120001"/>
    <n v="84001"/>
    <s v="杂项代收"/>
    <s v="整份"/>
    <n v="1"/>
    <n v="0"/>
    <n v="1"/>
  </r>
  <r>
    <x v="262"/>
    <m/>
    <m/>
    <n v="14120001"/>
    <n v="84001"/>
    <s v="杂项代收"/>
    <s v="整份"/>
    <n v="1"/>
    <n v="0"/>
    <n v="1"/>
  </r>
  <r>
    <x v="262"/>
    <m/>
    <m/>
    <n v="14120001"/>
    <n v="84001"/>
    <s v="杂项代收"/>
    <s v="整份"/>
    <n v="1"/>
    <n v="0"/>
    <n v="1"/>
  </r>
  <r>
    <x v="262"/>
    <m/>
    <m/>
    <n v="14120001"/>
    <n v="84001"/>
    <s v="杂项代收"/>
    <s v="整份"/>
    <n v="1"/>
    <n v="0"/>
    <n v="1"/>
  </r>
  <r>
    <x v="262"/>
    <m/>
    <m/>
    <n v="14120001"/>
    <n v="84001"/>
    <s v="杂项代收"/>
    <s v="整份"/>
    <n v="1"/>
    <n v="0"/>
    <n v="1"/>
  </r>
  <r>
    <x v="262"/>
    <m/>
    <m/>
    <n v="14120001"/>
    <n v="84001"/>
    <s v="杂项代收"/>
    <s v="整份"/>
    <n v="1"/>
    <n v="0"/>
    <n v="1"/>
  </r>
  <r>
    <x v="265"/>
    <m/>
    <m/>
    <n v="9030498"/>
    <n v="32583"/>
    <s v="斑点虾"/>
    <s v="整份"/>
    <n v="8"/>
    <n v="0"/>
    <n v="8"/>
  </r>
  <r>
    <x v="267"/>
    <m/>
    <m/>
    <n v="13040284"/>
    <n v="73284"/>
    <s v="海底捞大麦拉格啤酒500ml"/>
    <s v="常温"/>
    <n v="3"/>
    <n v="0"/>
    <n v="3"/>
  </r>
  <r>
    <x v="264"/>
    <m/>
    <m/>
    <n v="9030189"/>
    <n v="33253"/>
    <s v="象拔蚌(时价/每磅)"/>
    <s v="整份"/>
    <n v="1"/>
    <n v="0"/>
    <n v="1"/>
  </r>
  <r>
    <x v="262"/>
    <m/>
    <m/>
    <n v="14120001"/>
    <n v="84001"/>
    <s v="杂项代收"/>
    <s v="整份"/>
    <n v="1"/>
    <n v="0"/>
    <n v="1"/>
  </r>
  <r>
    <x v="262"/>
    <m/>
    <m/>
    <n v="14120001"/>
    <n v="84001"/>
    <s v="杂项代收"/>
    <s v="整份"/>
    <n v="1"/>
    <n v="0"/>
    <n v="1"/>
  </r>
  <r>
    <x v="262"/>
    <m/>
    <m/>
    <n v="14120001"/>
    <n v="84001"/>
    <s v="杂项代收"/>
    <s v="整份"/>
    <n v="1"/>
    <n v="0"/>
    <n v="1"/>
  </r>
  <r>
    <x v="262"/>
    <m/>
    <m/>
    <n v="14120001"/>
    <n v="84001"/>
    <s v="杂项代收"/>
    <s v="整份"/>
    <n v="1"/>
    <n v="0"/>
    <n v="1"/>
  </r>
  <r>
    <x v="262"/>
    <m/>
    <m/>
    <n v="14120001"/>
    <n v="84001"/>
    <s v="杂项代收"/>
    <s v="整份"/>
    <n v="1"/>
    <n v="0"/>
    <n v="1"/>
  </r>
  <r>
    <x v="262"/>
    <m/>
    <m/>
    <n v="14120001"/>
    <n v="84001"/>
    <s v="杂项代收"/>
    <s v="整份"/>
    <n v="1"/>
    <n v="0"/>
    <n v="1"/>
  </r>
  <r>
    <x v="265"/>
    <m/>
    <m/>
    <n v="9030498"/>
    <n v="32583"/>
    <s v="斑点虾"/>
    <s v="整份"/>
    <n v="2"/>
    <n v="2"/>
    <n v="0"/>
  </r>
  <r>
    <x v="268"/>
    <m/>
    <m/>
    <n v="9030399"/>
    <n v="32429"/>
    <s v="龙虾（时价/每磅）"/>
    <s v="只"/>
    <n v="1"/>
    <n v="0"/>
    <n v="1"/>
  </r>
  <r>
    <x v="269"/>
    <m/>
    <m/>
    <n v="1000000303"/>
    <s v=""/>
    <s v="超值单人套餐（2人份）"/>
    <s v="套餐"/>
    <n v="174"/>
    <n v="3"/>
    <n v="171"/>
  </r>
  <r>
    <x v="270"/>
    <m/>
    <m/>
    <n v="1000000304"/>
    <s v=""/>
    <s v="超值单人套餐（3人份）"/>
    <s v="套餐"/>
    <n v="36"/>
    <n v="1"/>
    <n v="35"/>
  </r>
  <r>
    <x v="271"/>
    <m/>
    <m/>
    <n v="1000000305"/>
    <s v=""/>
    <s v="超值单人套餐（4人份）"/>
    <s v="套餐"/>
    <n v="27"/>
    <n v="2"/>
    <n v="25"/>
  </r>
  <r>
    <x v="262"/>
    <m/>
    <m/>
    <n v="14120001"/>
    <n v="84001"/>
    <s v="杂项代收"/>
    <s v="整份"/>
    <n v="2"/>
    <n v="0"/>
    <n v="2"/>
  </r>
  <r>
    <x v="262"/>
    <m/>
    <m/>
    <n v="14120001"/>
    <n v="84001"/>
    <s v="杂项代收"/>
    <s v="整份"/>
    <n v="1"/>
    <n v="0"/>
    <n v="1"/>
  </r>
  <r>
    <x v="262"/>
    <m/>
    <m/>
    <n v="14120001"/>
    <n v="84001"/>
    <s v="杂项代收"/>
    <s v="整份"/>
    <n v="1"/>
    <n v="0"/>
    <n v="1"/>
  </r>
  <r>
    <x v="262"/>
    <m/>
    <m/>
    <n v="14120001"/>
    <n v="84001"/>
    <s v="杂项代收"/>
    <s v="整份"/>
    <n v="1"/>
    <n v="0"/>
    <n v="1"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72"/>
    <m/>
    <m/>
    <n v="1310005"/>
    <s v=""/>
    <s v="叻沙火锅"/>
    <s v="单锅"/>
    <n v="3"/>
    <n v="1"/>
    <m/>
  </r>
  <r>
    <x v="273"/>
    <m/>
    <m/>
    <n v="91005974"/>
    <n v="1111526"/>
    <s v="西瓜荔枝气泡饮"/>
    <s v="瓶"/>
    <n v="263"/>
    <n v="5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74"/>
    <m/>
    <m/>
    <n v="90000205"/>
    <n v="1001819"/>
    <s v="抹茶红豆慕斯粽"/>
    <s v="个"/>
    <n v="55"/>
    <n v="6"/>
    <m/>
  </r>
  <r>
    <x v="262"/>
    <m/>
    <m/>
    <n v="14120001"/>
    <n v="84001"/>
    <s v="杂项代收"/>
    <s v="整份"/>
    <n v="2"/>
    <n v="0"/>
    <m/>
  </r>
  <r>
    <x v="262"/>
    <m/>
    <m/>
    <n v="14120001"/>
    <n v="84001"/>
    <s v="杂项代收"/>
    <s v="整份"/>
    <n v="2"/>
    <n v="0"/>
    <m/>
  </r>
  <r>
    <x v="262"/>
    <m/>
    <m/>
    <n v="14120001"/>
    <n v="84001"/>
    <s v="杂项代收"/>
    <s v="整份"/>
    <n v="3"/>
    <n v="1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5"/>
    <m/>
    <m/>
    <n v="9030498"/>
    <n v="32583"/>
    <s v="斑点虾"/>
    <s v="整份"/>
    <n v="2"/>
    <n v="0"/>
    <m/>
  </r>
  <r>
    <x v="264"/>
    <m/>
    <m/>
    <n v="9030189"/>
    <n v="33253"/>
    <s v="象拔蚌(时价/每磅)"/>
    <s v="整份"/>
    <n v="1"/>
    <n v="0"/>
    <m/>
  </r>
  <r>
    <x v="264"/>
    <m/>
    <m/>
    <n v="9030189"/>
    <n v="33253"/>
    <s v="象拔蚌(时价/每磅)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5"/>
    <m/>
    <m/>
    <n v="9030498"/>
    <n v="32583"/>
    <s v="斑点虾"/>
    <s v="整份"/>
    <n v="1"/>
    <n v="1"/>
    <m/>
  </r>
  <r>
    <x v="264"/>
    <m/>
    <m/>
    <n v="9030189"/>
    <n v="33253"/>
    <s v="象拔蚌(时价/每磅)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4"/>
    <m/>
    <m/>
    <n v="9030189"/>
    <n v="33253"/>
    <s v="象拔蚌(时价/每磅)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75"/>
    <m/>
    <m/>
    <n v="90002131"/>
    <n v="1004528"/>
    <s v="鳕鱼小酥肉"/>
    <s v="整份"/>
    <n v="19"/>
    <n v="2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76"/>
    <m/>
    <m/>
    <n v="13010147"/>
    <n v="1108213"/>
    <s v="西瓜汁1L"/>
    <s v="扎"/>
    <n v="6"/>
    <n v="2"/>
    <m/>
  </r>
  <r>
    <x v="277"/>
    <m/>
    <m/>
    <n v="91005909"/>
    <n v="1111487"/>
    <s v="金丝虾卷"/>
    <s v="份"/>
    <n v="30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78"/>
    <m/>
    <m/>
    <n v="70000693"/>
    <n v="77384"/>
    <s v="精品肥牛（每日特惠）"/>
    <s v="整份"/>
    <n v="13"/>
    <n v="7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5"/>
    <m/>
    <m/>
    <n v="9030498"/>
    <n v="32583"/>
    <s v="斑点虾"/>
    <s v="整份"/>
    <n v="1"/>
    <n v="1"/>
    <m/>
  </r>
  <r>
    <x v="279"/>
    <m/>
    <m/>
    <n v="91005018"/>
    <n v="1109547"/>
    <s v="爆浆金沙丸"/>
    <s v="份"/>
    <n v="1"/>
    <n v="1"/>
    <m/>
  </r>
  <r>
    <x v="264"/>
    <m/>
    <m/>
    <n v="9030189"/>
    <n v="33253"/>
    <s v="象拔蚌(时价/每磅)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62"/>
    <m/>
    <m/>
    <n v="14120001"/>
    <n v="84001"/>
    <s v="杂项代收"/>
    <s v="整份"/>
    <n v="1"/>
    <n v="0"/>
    <m/>
  </r>
  <r>
    <x v="280"/>
    <m/>
    <m/>
    <n v="9020268"/>
    <n v="31273"/>
    <s v="御膳香菜丸"/>
    <s v="整份"/>
    <n v="1"/>
    <n v="1"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  <r>
    <x v="281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数据透视表2" cacheId="1" autoFormatId="1" applyNumberFormats="0" applyBorderFormats="0" applyFontFormats="0" applyPatternFormats="0" applyAlignmentFormats="0" applyWidthHeightFormats="1" dataCaption="值" updatedVersion="8" minRefreshableVersion="3" createdVersion="7" useAutoFormatting="1" compact="0" indent="0" compactData="0" showDrill="1" multipleFieldFilters="0">
  <location ref="A3:C483" firstHeaderRow="1" firstDataRow="2" firstDataCol="1"/>
  <pivotFields count="16"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axis="axisRow" compact="0" defaultSubtotal="0" outline="0" showAll="0">
      <items count="2079">
        <item x="0"/>
        <item x="1"/>
        <item x="3"/>
        <item x="6"/>
        <item x="7"/>
        <item m="1" x="2070"/>
        <item x="8"/>
        <item x="10"/>
        <item m="1" x="560"/>
        <item m="1" x="561"/>
        <item x="11"/>
        <item x="12"/>
        <item x="13"/>
        <item x="14"/>
        <item x="15"/>
        <item x="16"/>
        <item x="17"/>
        <item x="18"/>
        <item x="19"/>
        <item x="20"/>
        <item m="1" x="562"/>
        <item x="22"/>
        <item x="23"/>
        <item x="24"/>
        <item x="25"/>
        <item x="26"/>
        <item m="1" x="570"/>
        <item m="1" x="571"/>
        <item m="1" x="572"/>
        <item x="27"/>
        <item m="1" x="575"/>
        <item m="1" x="579"/>
        <item m="1" x="580"/>
        <item m="1" x="581"/>
        <item m="1" x="582"/>
        <item x="30"/>
        <item m="1" x="586"/>
        <item m="1" x="587"/>
        <item m="1" x="588"/>
        <item x="32"/>
        <item x="33"/>
        <item m="1" x="591"/>
        <item x="34"/>
        <item x="35"/>
        <item x="36"/>
        <item x="37"/>
        <item x="40"/>
        <item m="1" x="596"/>
        <item x="41"/>
        <item m="1" x="600"/>
        <item x="42"/>
        <item x="44"/>
        <item x="45"/>
        <item x="46"/>
        <item m="1" x="605"/>
        <item x="47"/>
        <item m="1" x="60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m="1" x="619"/>
        <item x="64"/>
        <item x="65"/>
        <item m="1" x="621"/>
        <item m="1" x="622"/>
        <item x="68"/>
        <item m="1" x="628"/>
        <item m="1" x="630"/>
        <item x="69"/>
        <item x="70"/>
        <item x="71"/>
        <item m="1" x="632"/>
        <item x="72"/>
        <item x="73"/>
        <item x="75"/>
        <item x="76"/>
        <item x="77"/>
        <item x="78"/>
        <item m="1" x="639"/>
        <item x="79"/>
        <item x="80"/>
        <item x="81"/>
        <item x="82"/>
        <item m="1" x="644"/>
        <item x="89"/>
        <item x="91"/>
        <item x="92"/>
        <item x="97"/>
        <item m="1" x="649"/>
        <item m="1" x="653"/>
        <item m="1" x="657"/>
        <item x="99"/>
        <item x="100"/>
        <item x="101"/>
        <item m="1" x="659"/>
        <item x="103"/>
        <item x="105"/>
        <item x="106"/>
        <item m="1" x="666"/>
        <item m="1" x="667"/>
        <item x="109"/>
        <item x="110"/>
        <item x="111"/>
        <item x="112"/>
        <item x="114"/>
        <item m="1" x="668"/>
        <item m="1" x="670"/>
        <item m="1" x="671"/>
        <item x="115"/>
        <item m="1" x="672"/>
        <item x="116"/>
        <item m="1" x="673"/>
        <item x="117"/>
        <item x="118"/>
        <item m="1" x="676"/>
        <item m="1" x="677"/>
        <item m="1" x="678"/>
        <item x="119"/>
        <item x="120"/>
        <item m="1" x="679"/>
        <item m="1" x="680"/>
        <item m="1" x="683"/>
        <item m="1" x="684"/>
        <item x="122"/>
        <item m="1" x="687"/>
        <item m="1" x="688"/>
        <item x="124"/>
        <item m="1" x="698"/>
        <item m="1" x="702"/>
        <item m="1" x="709"/>
        <item x="133"/>
        <item x="134"/>
        <item x="136"/>
        <item x="138"/>
        <item x="139"/>
        <item x="140"/>
        <item x="141"/>
        <item x="143"/>
        <item x="144"/>
        <item m="1" x="741"/>
        <item x="145"/>
        <item x="146"/>
        <item x="147"/>
        <item m="1" x="746"/>
        <item m="1" x="747"/>
        <item m="1" x="748"/>
        <item x="149"/>
        <item m="1" x="765"/>
        <item x="152"/>
        <item m="1" x="774"/>
        <item m="1" x="776"/>
        <item x="153"/>
        <item m="1" x="781"/>
        <item m="1" x="782"/>
        <item m="1" x="786"/>
        <item x="154"/>
        <item m="1" x="807"/>
        <item m="1" x="809"/>
        <item m="1" x="810"/>
        <item m="1" x="812"/>
        <item x="158"/>
        <item m="1" x="819"/>
        <item x="159"/>
        <item m="1" x="821"/>
        <item x="160"/>
        <item m="1" x="895"/>
        <item m="1" x="897"/>
        <item m="1" x="898"/>
        <item x="164"/>
        <item m="1" x="900"/>
        <item m="1" x="901"/>
        <item m="1" x="905"/>
        <item m="1" x="924"/>
        <item m="1" x="937"/>
        <item m="1" x="938"/>
        <item x="172"/>
        <item x="174"/>
        <item x="188"/>
        <item x="189"/>
        <item m="1" x="2038"/>
        <item m="1" x="2039"/>
        <item x="190"/>
        <item m="1" x="1738"/>
        <item m="1" x="1746"/>
        <item m="1" x="1179"/>
        <item m="1" x="1749"/>
        <item m="1" x="1750"/>
        <item m="1" x="1756"/>
        <item m="1" x="1183"/>
        <item m="1" x="1184"/>
        <item m="1" x="1759"/>
        <item m="1" x="1770"/>
        <item x="195"/>
        <item m="1" x="1772"/>
        <item x="196"/>
        <item m="1" x="1210"/>
        <item m="1" x="1216"/>
        <item m="1" x="1217"/>
        <item m="1" x="1781"/>
        <item m="1" x="1219"/>
        <item m="1" x="1782"/>
        <item m="1" x="1335"/>
        <item x="199"/>
        <item m="1" x="1911"/>
        <item m="1" x="2020"/>
        <item m="1" x="2021"/>
        <item m="1" x="487"/>
        <item x="203"/>
        <item x="204"/>
        <item x="205"/>
        <item m="1" x="546"/>
        <item m="1" x="1422"/>
        <item m="1" x="608"/>
        <item m="1" x="1423"/>
        <item m="1" x="1424"/>
        <item m="1" x="612"/>
        <item m="1" x="1425"/>
        <item m="1" x="613"/>
        <item x="206"/>
        <item m="1" x="802"/>
        <item m="1" x="910"/>
        <item x="210"/>
        <item m="1" x="1036"/>
        <item m="1" x="1656"/>
        <item m="1" x="1704"/>
        <item m="1" x="1128"/>
        <item m="1" x="1705"/>
        <item x="229"/>
        <item m="1" x="1096"/>
        <item m="1" x="1843"/>
        <item x="233"/>
        <item x="234"/>
        <item m="1" x="912"/>
        <item x="239"/>
        <item x="240"/>
        <item x="242"/>
        <item x="243"/>
        <item x="244"/>
        <item m="1" x="1866"/>
        <item x="245"/>
        <item x="246"/>
        <item x="248"/>
        <item x="249"/>
        <item x="252"/>
        <item x="253"/>
        <item m="1" x="1919"/>
        <item x="254"/>
        <item x="255"/>
        <item x="256"/>
        <item m="1" x="1239"/>
        <item m="1" x="1265"/>
        <item m="1" x="1624"/>
        <item x="262"/>
        <item x="263"/>
        <item m="1" x="1266"/>
        <item m="1" x="1953"/>
        <item x="265"/>
        <item x="266"/>
        <item m="1" x="1284"/>
        <item x="267"/>
        <item m="1" x="1976"/>
        <item m="1" x="1057"/>
        <item m="1" x="1291"/>
        <item m="1" x="1980"/>
        <item m="1" x="1306"/>
        <item m="1" x="1679"/>
        <item m="1" x="1994"/>
        <item m="1" x="1075"/>
        <item m="1" x="1078"/>
        <item m="1" x="2004"/>
        <item m="1" x="1087"/>
        <item m="1" x="1326"/>
        <item x="272"/>
        <item m="1" x="2005"/>
        <item m="1" x="1338"/>
        <item x="273"/>
        <item m="1" x="1121"/>
        <item x="409"/>
        <item x="410"/>
        <item x="414"/>
        <item m="1" x="1655"/>
        <item m="1" x="1028"/>
        <item x="416"/>
        <item x="419"/>
        <item m="1" x="1815"/>
        <item m="1" x="1007"/>
        <item m="1" x="1351"/>
        <item m="1" x="1575"/>
        <item m="1" x="1905"/>
        <item m="1" x="1008"/>
        <item m="1" x="554"/>
        <item m="1" x="1198"/>
        <item x="477"/>
        <item m="1" x="2068"/>
        <item x="21"/>
        <item m="1" x="563"/>
        <item m="1" x="574"/>
        <item x="28"/>
        <item m="1" x="578"/>
        <item x="29"/>
        <item x="31"/>
        <item x="39"/>
        <item x="43"/>
        <item m="1" x="601"/>
        <item m="1" x="604"/>
        <item m="1" x="615"/>
        <item x="62"/>
        <item x="63"/>
        <item m="1" x="620"/>
        <item x="66"/>
        <item m="1" x="624"/>
        <item m="1" x="627"/>
        <item m="1" x="634"/>
        <item m="1" x="641"/>
        <item x="84"/>
        <item x="87"/>
        <item x="88"/>
        <item x="93"/>
        <item x="94"/>
        <item x="95"/>
        <item x="102"/>
        <item x="107"/>
        <item x="108"/>
        <item m="1" x="669"/>
        <item x="121"/>
        <item m="1" x="682"/>
        <item m="1" x="686"/>
        <item x="123"/>
        <item x="125"/>
        <item x="126"/>
        <item x="127"/>
        <item x="128"/>
        <item m="1" x="692"/>
        <item m="1" x="695"/>
        <item m="1" x="696"/>
        <item x="129"/>
        <item x="132"/>
        <item m="1" x="720"/>
        <item m="1" x="721"/>
        <item m="1" x="722"/>
        <item m="1" x="725"/>
        <item x="135"/>
        <item m="1" x="731"/>
        <item m="1" x="743"/>
        <item m="1" x="750"/>
        <item m="1" x="754"/>
        <item m="1" x="756"/>
        <item m="1" x="757"/>
        <item m="1" x="762"/>
        <item m="1" x="764"/>
        <item m="1" x="767"/>
        <item m="1" x="780"/>
        <item m="1" x="788"/>
        <item m="1" x="803"/>
        <item x="155"/>
        <item x="157"/>
        <item m="1" x="813"/>
        <item m="1" x="814"/>
        <item m="1" x="818"/>
        <item m="1" x="894"/>
        <item x="165"/>
        <item m="1" x="902"/>
        <item m="1" x="904"/>
        <item m="1" x="923"/>
        <item x="168"/>
        <item m="1" x="953"/>
        <item m="1" x="956"/>
        <item m="1" x="1190"/>
        <item m="1" x="1193"/>
        <item m="1" x="1214"/>
        <item x="198"/>
        <item m="1" x="1444"/>
        <item m="1" x="2014"/>
        <item m="1" x="1516"/>
        <item m="1" x="1519"/>
        <item m="1" x="1522"/>
        <item m="1" x="1463"/>
        <item m="1" x="791"/>
        <item m="1" x="911"/>
        <item m="1" x="1639"/>
        <item m="1" x="1050"/>
        <item m="1" x="1671"/>
        <item m="1" x="1399"/>
        <item m="1" x="1088"/>
        <item m="1" x="913"/>
        <item x="257"/>
        <item m="1" x="1244"/>
        <item m="1" x="1645"/>
        <item m="1" x="1663"/>
        <item m="1" x="1065"/>
        <item m="1" x="1106"/>
        <item m="1" x="2041"/>
        <item m="1" x="1114"/>
        <item m="1" x="1341"/>
        <item m="1" x="1709"/>
        <item m="1" x="1363"/>
        <item m="1" x="2072"/>
        <item m="1" x="497"/>
        <item m="1" x="1141"/>
        <item m="1" x="1375"/>
        <item m="1" x="498"/>
        <item x="407"/>
        <item m="1" x="1250"/>
        <item m="1" x="675"/>
        <item m="1" x="2043"/>
        <item m="1" x="565"/>
        <item m="1" x="576"/>
        <item m="1" x="583"/>
        <item m="1" x="602"/>
        <item m="1" x="611"/>
        <item x="74"/>
        <item x="83"/>
        <item x="86"/>
        <item m="1" x="648"/>
        <item x="104"/>
        <item x="113"/>
        <item m="1" x="674"/>
        <item m="1" x="719"/>
        <item m="1" x="806"/>
        <item m="1" x="808"/>
        <item m="1" x="948"/>
        <item x="173"/>
        <item x="175"/>
        <item m="1" x="960"/>
        <item x="177"/>
        <item x="179"/>
        <item m="1" x="502"/>
        <item m="1" x="1378"/>
        <item m="1" x="1175"/>
        <item m="1" x="1747"/>
        <item m="1" x="1177"/>
        <item m="1" x="1748"/>
        <item m="1" x="1180"/>
        <item m="1" x="1752"/>
        <item m="1" x="1181"/>
        <item m="1" x="1754"/>
        <item m="1" x="1182"/>
        <item m="1" x="1758"/>
        <item m="1" x="1186"/>
        <item m="1" x="1189"/>
        <item m="1" x="1795"/>
        <item m="1" x="1811"/>
        <item m="1" x="1263"/>
        <item m="1" x="1264"/>
        <item m="1" x="1331"/>
        <item m="1" x="1868"/>
        <item x="200"/>
        <item m="1" x="1938"/>
        <item m="1" x="1408"/>
        <item m="1" x="1990"/>
        <item m="1" x="2023"/>
        <item m="1" x="481"/>
        <item m="1" x="485"/>
        <item m="1" x="1514"/>
        <item m="1" x="492"/>
        <item m="1" x="1520"/>
        <item m="1" x="508"/>
        <item m="1" x="1542"/>
        <item m="1" x="510"/>
        <item m="1" x="1544"/>
        <item m="1" x="512"/>
        <item m="1" x="790"/>
        <item m="1" x="792"/>
        <item m="1" x="1465"/>
        <item m="1" x="794"/>
        <item m="1" x="1466"/>
        <item m="1" x="795"/>
        <item m="1" x="1467"/>
        <item m="1" x="796"/>
        <item m="1" x="1468"/>
        <item m="1" x="797"/>
        <item m="1" x="1469"/>
        <item m="1" x="798"/>
        <item m="1" x="1470"/>
        <item m="1" x="799"/>
        <item m="1" x="1471"/>
        <item m="1" x="1145"/>
        <item m="1" x="1983"/>
        <item m="1" x="2026"/>
        <item m="1" x="2027"/>
        <item m="1" x="1346"/>
        <item m="1" x="1143"/>
        <item m="1" x="1730"/>
        <item m="1" x="1159"/>
        <item m="1" x="1348"/>
        <item m="1" x="1876"/>
        <item m="1" x="778"/>
        <item x="178"/>
        <item m="1" x="1728"/>
        <item m="1" x="1769"/>
        <item x="269"/>
        <item m="1" x="1142"/>
        <item m="1" x="1150"/>
        <item m="1" x="1768"/>
        <item m="1" x="1577"/>
        <item m="1" x="1349"/>
        <item m="1" x="2058"/>
        <item m="1" x="1013"/>
        <item m="1" x="1092"/>
        <item x="4"/>
        <item m="1" x="568"/>
        <item m="1" x="569"/>
        <item m="1" x="610"/>
        <item m="1" x="618"/>
        <item m="1" x="625"/>
        <item m="1" x="635"/>
        <item m="1" x="658"/>
        <item m="1" x="660"/>
        <item m="1" x="710"/>
        <item m="1" x="716"/>
        <item m="1" x="726"/>
        <item m="1" x="733"/>
        <item m="1" x="734"/>
        <item m="1" x="740"/>
        <item m="1" x="752"/>
        <item m="1" x="758"/>
        <item m="1" x="769"/>
        <item m="1" x="816"/>
        <item m="1" x="824"/>
        <item m="1" x="825"/>
        <item m="1" x="826"/>
        <item m="1" x="827"/>
        <item m="1" x="828"/>
        <item m="1" x="830"/>
        <item m="1" x="831"/>
        <item m="1" x="832"/>
        <item m="1" x="834"/>
        <item m="1" x="836"/>
        <item m="1" x="837"/>
        <item m="1" x="838"/>
        <item m="1" x="839"/>
        <item m="1" x="841"/>
        <item m="1" x="842"/>
        <item m="1" x="843"/>
        <item m="1" x="849"/>
        <item m="1" x="856"/>
        <item m="1" x="858"/>
        <item m="1" x="859"/>
        <item m="1" x="862"/>
        <item m="1" x="864"/>
        <item m="1" x="865"/>
        <item m="1" x="868"/>
        <item m="1" x="873"/>
        <item m="1" x="875"/>
        <item m="1" x="877"/>
        <item m="1" x="879"/>
        <item m="1" x="880"/>
        <item m="1" x="881"/>
        <item x="162"/>
        <item m="1" x="884"/>
        <item m="1" x="885"/>
        <item m="1" x="887"/>
        <item m="1" x="889"/>
        <item m="1" x="891"/>
        <item x="163"/>
        <item m="1" x="903"/>
        <item x="167"/>
        <item m="1" x="906"/>
        <item m="1" x="922"/>
        <item m="1" x="939"/>
        <item x="169"/>
        <item m="1" x="940"/>
        <item x="171"/>
        <item m="1" x="945"/>
        <item m="1" x="946"/>
        <item m="1" x="951"/>
        <item m="1" x="957"/>
        <item x="176"/>
        <item m="1" x="1764"/>
        <item m="1" x="1196"/>
        <item m="1" x="1213"/>
        <item m="1" x="1386"/>
        <item m="1" x="1451"/>
        <item m="1" x="495"/>
        <item m="1" x="1455"/>
        <item m="1" x="1581"/>
        <item m="1" x="1095"/>
        <item m="1" x="1703"/>
        <item m="1" x="1129"/>
        <item m="1" x="1496"/>
        <item m="1" x="1857"/>
        <item m="1" x="916"/>
        <item m="1" x="1568"/>
        <item m="1" x="1033"/>
        <item m="1" x="1308"/>
        <item m="1" x="1665"/>
        <item m="1" x="1985"/>
        <item m="1" x="1066"/>
        <item m="1" x="1666"/>
        <item m="1" x="1067"/>
        <item m="1" x="1309"/>
        <item m="1" x="1310"/>
        <item m="1" x="1316"/>
        <item m="1" x="1328"/>
        <item m="1" x="2012"/>
        <item m="1" x="1690"/>
        <item m="1" x="1362"/>
        <item m="1" x="1711"/>
        <item m="1" x="1720"/>
        <item m="1" x="2074"/>
        <item m="1" x="1134"/>
        <item m="1" x="1376"/>
        <item m="1" x="1725"/>
        <item m="1" x="1380"/>
        <item m="1" x="1734"/>
        <item m="1" x="507"/>
        <item m="1" x="920"/>
        <item m="1" x="1824"/>
        <item m="1" x="547"/>
        <item m="1" x="566"/>
        <item m="1" x="584"/>
        <item m="1" x="598"/>
        <item m="1" x="599"/>
        <item m="1" x="642"/>
        <item m="1" x="651"/>
        <item m="1" x="664"/>
        <item m="1" x="704"/>
        <item m="1" x="705"/>
        <item m="1" x="706"/>
        <item x="131"/>
        <item m="1" x="753"/>
        <item m="1" x="770"/>
        <item m="1" x="829"/>
        <item m="1" x="846"/>
        <item m="1" x="847"/>
        <item m="1" x="857"/>
        <item m="1" x="866"/>
        <item m="1" x="867"/>
        <item m="1" x="886"/>
        <item m="1" x="949"/>
        <item m="1" x="954"/>
        <item m="1" x="1116"/>
        <item x="230"/>
        <item m="1" x="1054"/>
        <item m="1" x="1318"/>
        <item m="1" x="2049"/>
        <item m="1" x="650"/>
        <item m="1" x="701"/>
        <item m="1" x="712"/>
        <item m="1" x="784"/>
        <item m="1" x="822"/>
        <item m="1" x="835"/>
        <item m="1" x="840"/>
        <item m="1" x="845"/>
        <item m="1" x="848"/>
        <item m="1" x="962"/>
        <item m="1" x="964"/>
        <item m="1" x="1833"/>
        <item m="1" x="2003"/>
        <item m="1" x="1462"/>
        <item m="1" x="1683"/>
        <item x="270"/>
        <item m="1" x="1131"/>
        <item m="1" x="2018"/>
        <item m="1" x="1794"/>
        <item m="1" x="853"/>
        <item m="1" x="958"/>
        <item m="1" x="1166"/>
        <item m="1" x="1804"/>
        <item m="1" x="1894"/>
        <item m="1" x="1325"/>
        <item m="1" x="994"/>
        <item m="1" x="607"/>
        <item m="1" x="609"/>
        <item m="1" x="1512"/>
        <item m="1" x="1283"/>
        <item x="276"/>
        <item m="1" x="540"/>
        <item m="1" x="590"/>
        <item m="1" x="963"/>
        <item x="182"/>
        <item m="1" x="969"/>
        <item m="1" x="971"/>
        <item m="1" x="972"/>
        <item m="1" x="975"/>
        <item m="1" x="977"/>
        <item m="1" x="522"/>
        <item x="260"/>
        <item m="1" x="1393"/>
        <item m="1" x="552"/>
        <item m="1" x="532"/>
        <item m="1" x="564"/>
        <item x="85"/>
        <item m="1" x="645"/>
        <item x="90"/>
        <item x="96"/>
        <item m="1" x="663"/>
        <item m="1" x="777"/>
        <item m="1" x="833"/>
        <item m="1" x="863"/>
        <item m="1" x="870"/>
        <item m="1" x="872"/>
        <item m="1" x="874"/>
        <item m="1" x="1195"/>
        <item m="1" x="626"/>
        <item m="1" x="871"/>
        <item m="1" x="959"/>
        <item m="1" x="973"/>
        <item m="1" x="979"/>
        <item m="1" x="908"/>
        <item m="1" x="573"/>
        <item m="1" x="585"/>
        <item m="1" x="643"/>
        <item m="1" x="647"/>
        <item m="1" x="662"/>
        <item m="1" x="744"/>
        <item m="1" x="850"/>
        <item m="1" x="882"/>
        <item x="181"/>
        <item m="1" x="967"/>
        <item m="1" x="983"/>
        <item m="1" x="984"/>
        <item m="1" x="2067"/>
        <item m="1" x="1948"/>
        <item m="1" x="1441"/>
        <item m="1" x="1336"/>
        <item m="1" x="2042"/>
        <item m="1" x="1783"/>
        <item m="1" x="1220"/>
        <item m="1" x="2035"/>
        <item m="1" x="1372"/>
        <item m="1" x="1700"/>
        <item m="1" x="1124"/>
        <item m="1" x="1701"/>
        <item m="1" x="1108"/>
        <item m="1" x="2071"/>
        <item m="1" x="1242"/>
        <item m="1" x="1144"/>
        <item m="1" x="1531"/>
        <item m="1" x="1698"/>
        <item m="1" x="1870"/>
        <item m="1" x="2054"/>
        <item m="1" x="854"/>
        <item m="1" x="988"/>
        <item m="1" x="989"/>
        <item m="1" x="1102"/>
        <item m="1" x="1296"/>
        <item m="1" x="1221"/>
        <item m="1" x="1786"/>
        <item m="1" x="1226"/>
        <item m="1" x="869"/>
        <item m="1" x="1852"/>
        <item m="1" x="533"/>
        <item m="1" x="577"/>
        <item m="1" x="787"/>
        <item m="1" x="1411"/>
        <item m="1" x="614"/>
        <item m="1" x="1246"/>
        <item m="1" x="1436"/>
        <item m="1" x="633"/>
        <item x="420"/>
        <item m="1" x="681"/>
        <item m="1" x="768"/>
        <item m="1" x="860"/>
        <item m="1" x="986"/>
        <item m="1" x="992"/>
        <item m="1" x="1275"/>
        <item m="1" x="661"/>
        <item m="1" x="1675"/>
        <item m="1" x="482"/>
        <item m="1" x="1023"/>
        <item m="1" x="1103"/>
        <item m="1" x="1384"/>
        <item m="1" x="557"/>
        <item m="1" x="1412"/>
        <item m="1" x="1249"/>
        <item m="1" x="1443"/>
        <item m="1" x="1260"/>
        <item m="1" x="1807"/>
        <item m="1" x="656"/>
        <item m="1" x="1261"/>
        <item m="1" x="1446"/>
        <item m="1" x="1809"/>
        <item m="1" x="2078"/>
        <item x="161"/>
        <item m="1" x="974"/>
        <item m="1" x="985"/>
        <item x="184"/>
        <item m="1" x="995"/>
        <item m="1" x="996"/>
        <item m="1" x="997"/>
        <item m="1" x="998"/>
        <item x="186"/>
        <item m="1" x="1779"/>
        <item m="1" x="491"/>
        <item m="1" x="1548"/>
        <item m="1" x="1430"/>
        <item m="1" x="883"/>
        <item m="1" x="1118"/>
        <item m="1" x="2024"/>
        <item m="1" x="1454"/>
        <item m="1" x="1502"/>
        <item x="251"/>
        <item m="1" x="1204"/>
        <item m="1" x="1339"/>
        <item x="277"/>
        <item m="1" x="1785"/>
        <item m="1" x="1235"/>
        <item x="282"/>
        <item m="1" x="1447"/>
        <item m="1" x="689"/>
        <item m="1" x="1449"/>
        <item m="1" x="1859"/>
        <item m="1" x="1146"/>
        <item m="1" x="1878"/>
        <item m="1" x="931"/>
        <item m="1" x="1155"/>
        <item m="1" x="1356"/>
        <item m="1" x="1257"/>
        <item m="1" x="616"/>
        <item x="67"/>
        <item m="1" x="629"/>
        <item m="1" x="665"/>
        <item m="1" x="736"/>
        <item x="156"/>
        <item m="1" x="961"/>
        <item m="1" x="968"/>
        <item m="1" x="991"/>
        <item m="1" x="1000"/>
        <item m="1" x="1739"/>
        <item m="1" x="1775"/>
        <item m="1" x="1211"/>
        <item m="1" x="493"/>
        <item m="1" x="1540"/>
        <item m="1" x="1776"/>
        <item m="1" x="1937"/>
        <item m="1" x="1395"/>
        <item m="1" x="1418"/>
        <item m="1" x="1790"/>
        <item m="1" x="595"/>
        <item m="1" x="1236"/>
        <item m="1" x="1791"/>
        <item m="1" x="597"/>
        <item m="1" x="1237"/>
        <item m="1" x="1420"/>
        <item m="1" x="1247"/>
        <item m="1" x="631"/>
        <item m="1" x="1439"/>
        <item m="1" x="1448"/>
        <item x="284"/>
        <item m="1" x="690"/>
        <item m="1" x="1268"/>
        <item x="285"/>
        <item m="1" x="691"/>
        <item x="287"/>
        <item m="1" x="2061"/>
        <item x="425"/>
        <item m="1" x="617"/>
        <item m="1" x="623"/>
        <item m="1" x="708"/>
        <item m="1" x="785"/>
        <item m="1" x="1003"/>
        <item x="194"/>
        <item m="1" x="1981"/>
        <item m="1" x="479"/>
        <item m="1" x="489"/>
        <item m="1" x="1554"/>
        <item m="1" x="936"/>
        <item m="1" x="987"/>
        <item m="1" x="1743"/>
        <item m="1" x="1623"/>
        <item m="1" x="1654"/>
        <item m="1" x="1258"/>
        <item m="1" x="1259"/>
        <item x="150"/>
        <item m="1" x="763"/>
        <item m="1" x="516"/>
        <item m="1" x="1761"/>
        <item x="212"/>
        <item m="1" x="1673"/>
        <item x="213"/>
        <item m="1" x="1172"/>
        <item m="1" x="1984"/>
        <item x="241"/>
        <item m="1" x="1810"/>
        <item x="289"/>
        <item m="1" x="1474"/>
        <item x="292"/>
        <item m="1" x="1478"/>
        <item x="418"/>
        <item m="1" x="699"/>
        <item x="180"/>
        <item m="1" x="1207"/>
        <item m="1" x="793"/>
        <item m="1" x="1202"/>
        <item m="1" x="1409"/>
        <item m="1" x="1480"/>
        <item m="1" x="1045"/>
        <item m="1" x="1073"/>
        <item m="1" x="1726"/>
        <item x="280"/>
        <item m="1" x="1322"/>
        <item x="412"/>
        <item m="1" x="1366"/>
        <item m="1" x="2048"/>
        <item m="1" x="928"/>
        <item m="1" x="1875"/>
        <item m="1" x="2056"/>
        <item m="1" x="930"/>
        <item m="1" x="2060"/>
        <item m="1" x="1018"/>
        <item m="1" x="1164"/>
        <item m="1" x="1364"/>
        <item x="2"/>
        <item m="1" x="537"/>
        <item m="1" x="1945"/>
        <item m="1" x="1262"/>
        <item m="1" x="1419"/>
        <item m="1" x="1243"/>
        <item m="1" x="1803"/>
        <item m="1" x="1460"/>
        <item x="290"/>
        <item m="1" x="1320"/>
        <item m="1" x="1851"/>
        <item m="1" x="1327"/>
        <item x="424"/>
        <item m="1" x="1904"/>
        <item x="430"/>
        <item x="431"/>
        <item x="432"/>
        <item x="433"/>
        <item m="1" x="1360"/>
        <item m="1" x="1710"/>
        <item x="5"/>
        <item m="1" x="655"/>
        <item m="1" x="1188"/>
        <item m="1" x="1501"/>
        <item m="1" x="1931"/>
        <item x="271"/>
        <item m="1" x="1122"/>
        <item m="1" x="1476"/>
        <item x="298"/>
        <item m="1" x="1006"/>
        <item m="1" x="593"/>
        <item x="38"/>
        <item m="1" x="697"/>
        <item x="137"/>
        <item x="142"/>
        <item m="1" x="751"/>
        <item m="1" x="817"/>
        <item m="1" x="899"/>
        <item x="185"/>
        <item m="1" x="1004"/>
        <item m="1" x="1968"/>
        <item m="1" x="1507"/>
        <item m="1" x="1509"/>
        <item m="1" x="528"/>
        <item m="1" x="535"/>
        <item x="208"/>
        <item m="1" x="1605"/>
        <item m="1" x="1606"/>
        <item x="214"/>
        <item x="217"/>
        <item m="1" x="1841"/>
        <item x="231"/>
        <item x="236"/>
        <item m="1" x="1238"/>
        <item x="259"/>
        <item x="261"/>
        <item m="1" x="1149"/>
        <item m="1" x="1792"/>
        <item x="281"/>
        <item m="1" x="652"/>
        <item m="1" x="1812"/>
        <item m="1" x="1274"/>
        <item x="288"/>
        <item m="1" x="1297"/>
        <item x="291"/>
        <item m="1" x="1303"/>
        <item m="1" x="1483"/>
        <item m="1" x="1832"/>
        <item m="1" x="1313"/>
        <item m="1" x="1838"/>
        <item m="1" x="1491"/>
        <item m="1" x="876"/>
        <item m="1" x="1315"/>
        <item m="1" x="1317"/>
        <item x="294"/>
        <item m="1" x="1324"/>
        <item m="1" x="914"/>
        <item x="295"/>
        <item m="1" x="918"/>
        <item m="1" x="1503"/>
        <item m="1" x="1858"/>
        <item x="297"/>
        <item m="1" x="1549"/>
        <item m="1" x="1553"/>
        <item x="300"/>
        <item m="1" x="1896"/>
        <item x="304"/>
        <item m="1" x="1902"/>
        <item x="408"/>
        <item m="1" x="1314"/>
        <item m="1" x="685"/>
        <item m="1" x="1619"/>
        <item m="1" x="2033"/>
        <item m="1" x="1458"/>
        <item m="1" x="1112"/>
        <item m="1" x="1459"/>
        <item m="1" x="1816"/>
        <item m="1" x="2034"/>
        <item m="1" x="1823"/>
        <item x="98"/>
        <item m="1" x="718"/>
        <item m="1" x="1573"/>
        <item m="1" x="717"/>
        <item m="1" x="892"/>
        <item m="1" x="893"/>
        <item m="1" x="993"/>
        <item m="1" x="999"/>
        <item m="1" x="1426"/>
        <item m="1" x="496"/>
        <item m="1" x="1846"/>
        <item m="1" x="976"/>
        <item m="1" x="1913"/>
        <item m="1" x="1986"/>
        <item m="1" x="1068"/>
        <item m="1" x="1344"/>
        <item m="1" x="1694"/>
        <item m="1" x="1796"/>
        <item m="1" x="1814"/>
        <item m="1" x="1827"/>
        <item m="1" x="1481"/>
        <item m="1" x="1831"/>
        <item m="1" x="1839"/>
        <item m="1" x="1840"/>
        <item m="1" x="1497"/>
        <item m="1" x="1855"/>
        <item x="296"/>
        <item m="1" x="1329"/>
        <item m="1" x="1505"/>
        <item m="1" x="1524"/>
        <item m="1" x="925"/>
        <item m="1" x="1886"/>
        <item m="1" x="1633"/>
        <item m="1" x="2075"/>
        <item m="1" x="1909"/>
        <item m="1" x="1429"/>
        <item m="1" x="1805"/>
        <item m="1" x="965"/>
        <item m="1" x="1780"/>
        <item m="1" x="1972"/>
        <item m="1" x="1995"/>
        <item m="1" x="2055"/>
        <item m="1" x="1523"/>
        <item m="1" x="1706"/>
        <item m="1" x="1212"/>
        <item m="1" x="1808"/>
        <item m="1" x="1696"/>
        <item m="1" x="1285"/>
        <item m="1" x="1667"/>
        <item m="1" x="654"/>
        <item m="1" x="1276"/>
        <item m="1" x="805"/>
        <item m="1" x="878"/>
        <item m="1" x="1848"/>
        <item m="1" x="1504"/>
        <item m="1" x="1525"/>
        <item m="1" x="1016"/>
        <item m="1" x="1830"/>
        <item m="1" x="1998"/>
        <item m="1" x="1081"/>
        <item m="1" x="1431"/>
        <item m="1" x="1442"/>
        <item m="1" x="2011"/>
        <item m="1" x="1532"/>
        <item m="1" x="978"/>
        <item m="1" x="1555"/>
        <item m="1" x="1508"/>
        <item m="1" x="1682"/>
        <item m="1" x="1104"/>
        <item m="1" x="1098"/>
        <item m="1" x="1039"/>
        <item m="1" x="515"/>
        <item m="1" x="1414"/>
        <item m="1" x="1452"/>
        <item m="1" x="1311"/>
        <item m="1" x="1847"/>
        <item m="1" x="907"/>
        <item m="1" x="1319"/>
        <item m="1" x="1498"/>
        <item m="1" x="919"/>
        <item m="1" x="1330"/>
        <item m="1" x="1869"/>
        <item m="1" x="1880"/>
        <item m="1" x="932"/>
        <item m="1" x="541"/>
        <item m="1" x="1350"/>
        <item m="1" x="1799"/>
        <item m="1" x="1572"/>
        <item m="1" x="1017"/>
        <item m="1" x="811"/>
        <item m="1" x="1499"/>
        <item x="237"/>
        <item m="1" x="1787"/>
        <item m="1" x="947"/>
        <item x="301"/>
        <item m="1" x="952"/>
        <item x="305"/>
        <item m="1" x="1347"/>
        <item m="1" x="1011"/>
        <item x="307"/>
        <item m="1" x="732"/>
        <item m="1" x="1332"/>
        <item m="1" x="1766"/>
        <item m="1" x="1912"/>
        <item m="1" x="1358"/>
        <item m="1" x="1916"/>
        <item x="310"/>
        <item m="1" x="1585"/>
        <item m="1" x="1917"/>
        <item m="1" x="1020"/>
        <item m="1" x="1365"/>
        <item m="1" x="1587"/>
        <item x="202"/>
        <item x="309"/>
        <item m="1" x="1032"/>
        <item m="1" x="2050"/>
        <item m="1" x="501"/>
        <item x="302"/>
        <item m="1" x="1353"/>
        <item m="1" x="1579"/>
        <item m="1" x="1582"/>
        <item x="311"/>
        <item m="1" x="1586"/>
        <item m="1" x="1373"/>
        <item x="318"/>
        <item x="319"/>
        <item m="1" x="1599"/>
        <item x="320"/>
        <item m="1" x="1603"/>
        <item m="1" x="1381"/>
        <item m="1" x="1617"/>
        <item x="9"/>
        <item x="148"/>
        <item x="207"/>
        <item m="1" x="524"/>
        <item x="321"/>
        <item x="322"/>
        <item m="1" x="1620"/>
        <item m="1" x="1621"/>
        <item m="1" x="1947"/>
        <item m="1" x="1041"/>
        <item x="323"/>
        <item m="1" x="1954"/>
        <item m="1" x="538"/>
        <item m="1" x="815"/>
        <item m="1" x="852"/>
        <item m="1" x="855"/>
        <item m="1" x="890"/>
        <item m="1" x="1801"/>
        <item m="1" x="2053"/>
        <item x="278"/>
        <item m="1" x="694"/>
        <item m="1" x="1821"/>
        <item m="1" x="1299"/>
        <item m="1" x="934"/>
        <item m="1" x="1915"/>
        <item m="1" x="1030"/>
        <item m="1" x="1614"/>
        <item m="1" x="1383"/>
        <item m="1" x="1040"/>
        <item m="1" x="1630"/>
        <item m="1" x="888"/>
        <item m="1" x="1789"/>
        <item m="1" x="1241"/>
        <item m="1" x="1445"/>
        <item x="286"/>
        <item m="1" x="1826"/>
        <item m="1" x="1029"/>
        <item m="1" x="1049"/>
        <item m="1" x="1397"/>
        <item m="1" x="1643"/>
        <item m="1" x="861"/>
        <item m="1" x="693"/>
        <item m="1" x="713"/>
        <item m="1" x="714"/>
        <item m="1" x="844"/>
        <item m="1" x="944"/>
        <item m="1" x="1012"/>
        <item m="1" x="1206"/>
        <item m="1" x="2036"/>
        <item m="1" x="1479"/>
        <item m="1" x="1545"/>
        <item m="1" x="1546"/>
        <item m="1" x="1602"/>
        <item m="1" x="1774"/>
        <item x="223"/>
        <item m="1" x="915"/>
        <item m="1" x="982"/>
        <item m="1" x="1295"/>
        <item m="1" x="1312"/>
        <item m="1" x="1800"/>
        <item m="1" x="1337"/>
        <item m="1" x="1598"/>
        <item m="1" x="1038"/>
        <item m="1" x="1946"/>
        <item m="1" x="1385"/>
        <item m="1" x="1044"/>
        <item m="1" x="1047"/>
        <item m="1" x="1638"/>
        <item m="1" x="1966"/>
        <item m="1" x="1051"/>
        <item m="1" x="1967"/>
        <item x="325"/>
        <item m="1" x="1970"/>
        <item m="1" x="1971"/>
        <item m="1" x="1055"/>
        <item m="1" x="1059"/>
        <item m="1" x="1060"/>
        <item m="1" x="1404"/>
        <item m="1" x="1140"/>
        <item x="428"/>
        <item m="1" x="1712"/>
        <item m="1" x="1093"/>
        <item m="1" x="1111"/>
        <item m="1" x="1127"/>
        <item m="1" x="1218"/>
        <item m="1" x="559"/>
        <item x="219"/>
        <item m="1" x="523"/>
        <item m="1" x="1565"/>
        <item m="1" x="723"/>
        <item m="1" x="1707"/>
        <item m="1" x="1473"/>
        <item m="1" x="1475"/>
        <item m="1" x="1391"/>
        <item m="1" x="1113"/>
        <item m="1" x="1500"/>
        <item m="1" x="1526"/>
        <item m="1" x="1903"/>
        <item m="1" x="1589"/>
        <item m="1" x="1773"/>
        <item m="1" x="1286"/>
        <item m="1" x="1031"/>
        <item m="1" x="1034"/>
        <item m="1" x="1398"/>
        <item m="1" x="1058"/>
        <item m="1" x="1657"/>
        <item m="1" x="1402"/>
        <item m="1" x="1979"/>
        <item m="1" x="1661"/>
        <item x="331"/>
        <item m="1" x="1988"/>
        <item m="1" x="1413"/>
        <item m="1" x="1669"/>
        <item m="1" x="1071"/>
        <item m="1" x="1676"/>
        <item m="1" x="1416"/>
        <item x="335"/>
        <item m="1" x="1853"/>
        <item m="1" x="921"/>
        <item m="1" x="1486"/>
        <item m="1" x="981"/>
        <item m="1" x="1382"/>
        <item m="1" x="1421"/>
        <item m="1" x="745"/>
        <item m="1" x="1528"/>
        <item m="1" x="518"/>
        <item m="1" x="519"/>
        <item m="1" x="1763"/>
        <item m="1" x="1063"/>
        <item m="1" x="1854"/>
        <item m="1" x="1923"/>
        <item m="1" x="1925"/>
        <item m="1" x="1929"/>
        <item x="224"/>
        <item m="1" x="917"/>
        <item x="293"/>
        <item m="1" x="1002"/>
        <item x="308"/>
        <item m="1" x="1625"/>
        <item m="1" x="1952"/>
        <item m="1" x="1396"/>
        <item m="1" x="1644"/>
        <item m="1" x="1651"/>
        <item m="1" x="1978"/>
        <item m="1" x="1405"/>
        <item x="330"/>
        <item m="1" x="1664"/>
        <item m="1" x="1415"/>
        <item m="1" x="1072"/>
        <item m="1" x="1992"/>
        <item m="1" x="1074"/>
        <item m="1" x="1417"/>
        <item x="334"/>
        <item m="1" x="1993"/>
        <item m="1" x="1080"/>
        <item m="1" x="1083"/>
        <item m="1" x="1090"/>
        <item x="411"/>
        <item m="1" x="1687"/>
        <item m="1" x="1997"/>
        <item m="1" x="1434"/>
        <item m="1" x="1798"/>
        <item m="1" x="2000"/>
        <item m="1" x="1084"/>
        <item m="1" x="2001"/>
        <item m="1" x="1085"/>
        <item m="1" x="1435"/>
        <item m="1" x="2006"/>
        <item m="1" x="1089"/>
        <item m="1" x="1438"/>
        <item m="1" x="2010"/>
        <item m="1" x="2047"/>
        <item m="1" x="1828"/>
        <item m="1" x="1482"/>
        <item m="1" x="1829"/>
        <item m="1" x="1834"/>
        <item m="1" x="2057"/>
        <item m="1" x="1125"/>
        <item m="1" x="1485"/>
        <item m="1" x="1836"/>
        <item m="1" x="2059"/>
        <item m="1" x="1126"/>
        <item m="1" x="1837"/>
        <item m="1" x="1490"/>
        <item m="1" x="2062"/>
        <item m="1" x="1842"/>
        <item m="1" x="2064"/>
        <item m="1" x="1887"/>
        <item m="1" x="1025"/>
        <item m="1" x="1955"/>
        <item m="1" x="1616"/>
        <item m="1" x="1208"/>
        <item m="1" x="2040"/>
        <item x="220"/>
        <item m="1" x="950"/>
        <item m="1" x="1777"/>
        <item m="1" x="1588"/>
        <item m="1" x="1788"/>
        <item m="1" x="1158"/>
        <item m="1" x="1407"/>
        <item m="1" x="789"/>
        <item m="1" x="1379"/>
        <item m="1" x="1996"/>
        <item m="1" x="1427"/>
        <item m="1" x="1428"/>
        <item m="1" x="2002"/>
        <item m="1" x="1685"/>
        <item m="1" x="2013"/>
        <item m="1" x="2015"/>
        <item m="1" x="1450"/>
        <item m="1" x="1119"/>
        <item m="1" x="1618"/>
        <item m="1" x="2063"/>
        <item m="1" x="1130"/>
        <item m="1" x="2052"/>
        <item m="1" x="2066"/>
        <item x="151"/>
        <item m="1" x="1005"/>
        <item x="187"/>
        <item m="1" x="1510"/>
        <item m="1" x="1461"/>
        <item m="1" x="1215"/>
        <item m="1" x="775"/>
        <item m="1" x="1982"/>
        <item x="317"/>
        <item m="1" x="1052"/>
        <item x="337"/>
        <item m="1" x="2025"/>
        <item m="1" x="2028"/>
        <item m="1" x="1107"/>
        <item m="1" x="2029"/>
        <item x="339"/>
        <item m="1" x="2045"/>
        <item m="1" x="1115"/>
        <item x="340"/>
        <item m="1" x="1924"/>
        <item m="1" x="801"/>
        <item m="1" x="551"/>
        <item x="434"/>
        <item x="435"/>
        <item m="1" x="1914"/>
        <item m="1" x="1361"/>
        <item m="1" x="1082"/>
        <item m="1" x="1433"/>
        <item m="1" x="1797"/>
        <item m="1" x="1999"/>
        <item m="1" x="1802"/>
        <item m="1" x="2008"/>
        <item m="1" x="1091"/>
        <item m="1" x="1440"/>
        <item m="1" x="1132"/>
        <item m="1" x="1495"/>
        <item m="1" x="1844"/>
        <item m="1" x="2065"/>
        <item m="1" x="1133"/>
        <item m="1" x="1506"/>
        <item m="1" x="1713"/>
        <item m="1" x="1888"/>
        <item m="1" x="1024"/>
        <item m="1" x="1556"/>
        <item m="1" x="1718"/>
        <item m="1" x="700"/>
        <item m="1" x="1927"/>
        <item m="1" x="1225"/>
        <item m="1" x="1489"/>
        <item m="1" x="1629"/>
        <item m="1" x="1192"/>
        <item m="1" x="1922"/>
        <item m="1" x="1659"/>
        <item x="338"/>
        <item m="1" x="2046"/>
        <item m="1" x="1692"/>
        <item m="1" x="1120"/>
        <item m="1" x="1472"/>
        <item m="1" x="1477"/>
        <item m="1" x="1064"/>
        <item m="1" x="2007"/>
        <item x="446"/>
        <item m="1" x="1154"/>
        <item m="1" x="1369"/>
        <item m="1" x="1370"/>
        <item m="1" x="1558"/>
        <item m="1" x="1719"/>
        <item m="1" x="1898"/>
        <item m="1" x="2073"/>
        <item m="1" x="943"/>
        <item m="1" x="1027"/>
        <item m="1" x="1173"/>
        <item m="1" x="1371"/>
        <item m="1" x="1890"/>
        <item m="1" x="1892"/>
        <item m="1" x="1928"/>
        <item m="1" x="1300"/>
        <item m="1" x="1820"/>
        <item m="1" x="1527"/>
        <item m="1" x="1677"/>
        <item m="1" x="483"/>
        <item m="1" x="1094"/>
        <item m="1" x="2030"/>
        <item m="1" x="1109"/>
        <item m="1" x="1457"/>
        <item m="1" x="2051"/>
        <item m="1" x="1205"/>
        <item m="1" x="1767"/>
        <item m="1" x="1822"/>
        <item x="215"/>
        <item m="1" x="555"/>
        <item m="1" x="1222"/>
        <item m="1" x="1634"/>
        <item m="1" x="1298"/>
        <item x="328"/>
        <item m="1" x="2016"/>
        <item m="1" x="2022"/>
        <item m="1" x="1689"/>
        <item m="1" x="1702"/>
        <item m="1" x="1492"/>
        <item m="1" x="1714"/>
        <item m="1" x="1722"/>
        <item m="1" x="1724"/>
        <item m="1" x="1152"/>
        <item m="1" x="1731"/>
        <item m="1" x="1153"/>
        <item m="1" x="505"/>
        <item m="1" x="1156"/>
        <item m="1" x="1538"/>
        <item m="1" x="1732"/>
        <item m="1" x="506"/>
        <item m="1" x="1157"/>
        <item m="1" x="1539"/>
        <item m="1" x="1733"/>
        <item m="1" x="1541"/>
        <item m="1" x="1736"/>
        <item m="1" x="509"/>
        <item m="1" x="1543"/>
        <item m="1" x="1737"/>
        <item m="1" x="511"/>
        <item m="1" x="1160"/>
        <item m="1" x="1550"/>
        <item x="426"/>
        <item m="1" x="1604"/>
        <item m="1" x="1387"/>
        <item m="1" x="1751"/>
        <item m="1" x="1949"/>
        <item m="1" x="1042"/>
        <item m="1" x="1388"/>
        <item m="1" x="1753"/>
        <item m="1" x="1389"/>
        <item m="1" x="1755"/>
        <item m="1" x="1951"/>
        <item m="1" x="1043"/>
        <item m="1" x="1390"/>
        <item m="1" x="1511"/>
        <item m="1" x="1862"/>
        <item m="1" x="484"/>
        <item m="1" x="1136"/>
        <item m="1" x="1513"/>
        <item m="1" x="1863"/>
        <item m="1" x="486"/>
        <item m="1" x="1137"/>
        <item m="1" x="1515"/>
        <item m="1" x="1864"/>
        <item m="1" x="488"/>
        <item m="1" x="1138"/>
        <item m="1" x="1517"/>
        <item m="1" x="1865"/>
        <item m="1" x="490"/>
        <item m="1" x="1139"/>
        <item m="1" x="1518"/>
        <item m="1" x="1530"/>
        <item m="1" x="1874"/>
        <item m="1" x="1170"/>
        <item m="1" x="1014"/>
        <item m="1" x="1368"/>
        <item m="1" x="933"/>
        <item m="1" x="1010"/>
        <item m="1" x="1464"/>
        <item m="1" x="1228"/>
        <item m="1" x="542"/>
        <item x="235"/>
        <item m="1" x="1343"/>
        <item m="1" x="1392"/>
        <item m="1" x="1658"/>
        <item m="1" x="1410"/>
        <item m="1" x="1672"/>
        <item x="342"/>
        <item m="1" x="1708"/>
        <item m="1" x="1715"/>
        <item m="1" x="1735"/>
        <item x="348"/>
        <item m="1" x="1744"/>
        <item m="1" x="1178"/>
        <item m="1" x="1760"/>
        <item m="1" x="545"/>
        <item m="1" x="1070"/>
        <item m="1" x="1950"/>
        <item m="1" x="1757"/>
        <item m="1" x="517"/>
        <item m="1" x="941"/>
        <item m="1" x="2076"/>
        <item m="1" x="1765"/>
        <item m="1" x="1939"/>
        <item m="1" x="1224"/>
        <item m="1" x="1290"/>
        <item m="1" x="1818"/>
        <item m="1" x="1920"/>
        <item m="1" x="1056"/>
        <item m="1" x="1660"/>
        <item m="1" x="1991"/>
        <item m="1" x="2009"/>
        <item m="1" x="1521"/>
        <item m="1" x="1729"/>
        <item m="1" x="1740"/>
        <item x="351"/>
        <item m="1" x="1741"/>
        <item m="1" x="534"/>
        <item m="1" x="1567"/>
        <item m="1" x="1191"/>
        <item m="1" x="1580"/>
        <item m="1" x="1583"/>
        <item m="1" x="926"/>
        <item m="1" x="1576"/>
        <item m="1" x="1269"/>
        <item m="1" x="1100"/>
        <item m="1" x="478"/>
        <item m="1" x="1537"/>
        <item m="1" x="1015"/>
        <item m="1" x="724"/>
        <item m="1" x="766"/>
        <item m="1" x="823"/>
        <item x="221"/>
        <item m="1" x="1019"/>
        <item m="1" x="1076"/>
        <item m="1" x="1352"/>
        <item m="1" x="1406"/>
        <item m="1" x="1560"/>
        <item m="1" x="1377"/>
        <item m="1" x="1077"/>
        <item m="1" x="539"/>
        <item x="358"/>
        <item m="1" x="1227"/>
        <item m="1" x="594"/>
        <item m="1" x="513"/>
        <item m="1" x="480"/>
        <item m="1" x="927"/>
        <item m="1" x="1401"/>
        <item m="1" x="851"/>
        <item m="1" x="1570"/>
        <item x="247"/>
        <item m="1" x="1571"/>
        <item m="1" x="1762"/>
        <item m="1" x="1053"/>
        <item m="1" x="1400"/>
        <item m="1" x="1678"/>
        <item m="1" x="1488"/>
        <item m="1" x="1723"/>
        <item m="1" x="1165"/>
        <item m="1" x="1248"/>
        <item m="1" x="1607"/>
        <item x="421"/>
        <item m="1" x="1305"/>
        <item m="1" x="1861"/>
        <item m="1" x="1871"/>
        <item m="1" x="1534"/>
        <item m="1" x="1148"/>
        <item m="1" x="1535"/>
        <item m="1" x="1547"/>
        <item m="1" x="1884"/>
        <item m="1" x="520"/>
        <item m="1" x="1162"/>
        <item m="1" x="1885"/>
        <item m="1" x="521"/>
        <item m="1" x="1163"/>
        <item m="1" x="1167"/>
        <item x="455"/>
        <item m="1" x="1551"/>
        <item m="1" x="525"/>
        <item m="1" x="1168"/>
        <item m="1" x="1552"/>
        <item m="1" x="1891"/>
        <item m="1" x="526"/>
        <item m="1" x="1169"/>
        <item m="1" x="1893"/>
        <item m="1" x="530"/>
        <item m="1" x="1171"/>
        <item m="1" x="1557"/>
        <item m="1" x="1895"/>
        <item m="1" x="531"/>
        <item m="1" x="1185"/>
        <item m="1" x="749"/>
        <item m="1" x="1304"/>
        <item m="1" x="1745"/>
        <item m="1" x="1357"/>
        <item m="1" x="1944"/>
        <item m="1" x="1001"/>
        <item x="222"/>
        <item m="1" x="990"/>
        <item m="1" x="1374"/>
        <item m="1" x="1674"/>
        <item m="1" x="1484"/>
        <item x="361"/>
        <item m="1" x="1806"/>
        <item m="1" x="646"/>
        <item m="1" x="1615"/>
        <item x="427"/>
        <item m="1" x="1282"/>
        <item m="1" x="1670"/>
        <item m="1" x="1187"/>
        <item m="1" x="1564"/>
        <item m="1" x="739"/>
        <item m="1" x="1432"/>
        <item m="1" x="1079"/>
        <item m="1" x="1101"/>
        <item x="238"/>
        <item m="1" x="1921"/>
        <item m="1" x="1622"/>
        <item m="1" x="1245"/>
        <item m="1" x="783"/>
        <item m="1" x="1825"/>
        <item m="1" x="804"/>
        <item m="1" x="735"/>
        <item m="1" x="742"/>
        <item m="1" x="1793"/>
        <item m="1" x="1533"/>
        <item m="1" x="1147"/>
        <item m="1" x="1536"/>
        <item m="1" x="1161"/>
        <item m="1" x="527"/>
        <item m="1" x="1563"/>
        <item m="1" x="536"/>
        <item m="1" x="1901"/>
        <item m="1" x="1199"/>
        <item m="1" x="1574"/>
        <item m="1" x="1906"/>
        <item m="1" x="548"/>
        <item x="458"/>
        <item x="459"/>
        <item m="1" x="1907"/>
        <item m="1" x="549"/>
        <item x="460"/>
        <item x="461"/>
        <item m="1" x="1908"/>
        <item m="1" x="550"/>
        <item m="1" x="1200"/>
        <item m="1" x="1578"/>
        <item m="1" x="1201"/>
        <item m="1" x="1717"/>
        <item m="1" x="1021"/>
        <item m="1" x="1367"/>
        <item m="1" x="1037"/>
        <item m="1" x="1061"/>
        <item m="1" x="1662"/>
        <item m="1" x="1062"/>
        <item m="1" x="553"/>
        <item m="1" x="1668"/>
        <item m="1" x="1987"/>
        <item m="1" x="1117"/>
        <item m="1" x="1287"/>
        <item m="1" x="1647"/>
        <item m="1" x="1301"/>
        <item m="1" x="1302"/>
        <item m="1" x="820"/>
        <item m="1" x="1307"/>
        <item m="1" x="1849"/>
        <item m="1" x="909"/>
        <item m="1" x="1680"/>
        <item m="1" x="1321"/>
        <item m="1" x="1681"/>
        <item m="1" x="1256"/>
        <item m="1" x="1819"/>
        <item m="1" x="1123"/>
        <item m="1" x="1850"/>
        <item m="1" x="499"/>
        <item m="1" x="1873"/>
        <item m="1" x="500"/>
        <item m="1" x="504"/>
        <item x="451"/>
        <item m="1" x="529"/>
        <item m="1" x="1176"/>
        <item m="1" x="1900"/>
        <item m="1" x="543"/>
        <item m="1" x="544"/>
        <item m="1" x="1194"/>
        <item m="1" x="1569"/>
        <item m="1" x="1203"/>
        <item m="1" x="1590"/>
        <item m="1" x="1926"/>
        <item m="1" x="558"/>
        <item m="1" x="1223"/>
        <item m="1" x="1591"/>
        <item m="1" x="1231"/>
        <item m="1" x="1596"/>
        <item m="1" x="1933"/>
        <item m="1" x="1232"/>
        <item m="1" x="1934"/>
        <item m="1" x="589"/>
        <item m="1" x="1233"/>
        <item m="1" x="1597"/>
        <item m="1" x="1600"/>
        <item m="1" x="1935"/>
        <item m="1" x="1566"/>
        <item m="1" x="970"/>
        <item m="1" x="779"/>
        <item m="1" x="1817"/>
        <item x="227"/>
        <item x="274"/>
        <item x="383"/>
        <item m="1" x="2031"/>
        <item m="1" x="1110"/>
        <item m="1" x="603"/>
        <item m="1" x="1608"/>
        <item m="1" x="1940"/>
        <item m="1" x="636"/>
        <item m="1" x="1251"/>
        <item m="1" x="1609"/>
        <item m="1" x="637"/>
        <item m="1" x="1252"/>
        <item m="1" x="1610"/>
        <item m="1" x="1941"/>
        <item m="1" x="1253"/>
        <item m="1" x="1611"/>
        <item m="1" x="1942"/>
        <item m="1" x="638"/>
        <item m="1" x="1254"/>
        <item m="1" x="1943"/>
        <item m="1" x="1255"/>
        <item m="1" x="1613"/>
        <item m="1" x="1889"/>
        <item x="475"/>
        <item m="1" x="1069"/>
        <item x="201"/>
        <item m="1" x="1592"/>
        <item m="1" x="1046"/>
        <item m="1" x="1048"/>
        <item m="1" x="1403"/>
        <item m="1" x="1333"/>
        <item m="1" x="1334"/>
        <item m="1" x="1686"/>
        <item m="1" x="1879"/>
        <item m="1" x="1881"/>
        <item m="1" x="1453"/>
        <item m="1" x="1784"/>
        <item m="1" x="1960"/>
        <item m="1" x="2032"/>
        <item m="1" x="1229"/>
        <item m="1" x="1593"/>
        <item m="1" x="1230"/>
        <item m="1" x="1594"/>
        <item m="1" x="592"/>
        <item m="1" x="1612"/>
        <item m="1" x="640"/>
        <item m="1" x="1562"/>
        <item m="1" x="1721"/>
        <item m="1" x="966"/>
        <item m="1" x="1035"/>
        <item m="1" x="556"/>
        <item m="1" x="896"/>
        <item x="166"/>
        <item m="1" x="929"/>
        <item x="183"/>
        <item x="193"/>
        <item x="209"/>
        <item x="216"/>
        <item m="1" x="1026"/>
        <item x="228"/>
        <item x="258"/>
        <item m="1" x="1267"/>
        <item x="264"/>
        <item m="1" x="1105"/>
        <item x="275"/>
        <item x="279"/>
        <item m="1" x="1209"/>
        <item x="306"/>
        <item m="1" x="1359"/>
        <item x="312"/>
        <item x="314"/>
        <item x="315"/>
        <item x="316"/>
        <item x="326"/>
        <item x="327"/>
        <item x="329"/>
        <item x="332"/>
        <item m="1" x="1989"/>
        <item x="336"/>
        <item m="1" x="1086"/>
        <item m="1" x="1097"/>
        <item x="341"/>
        <item x="343"/>
        <item x="344"/>
        <item x="345"/>
        <item m="1" x="494"/>
        <item x="347"/>
        <item x="349"/>
        <item x="350"/>
        <item x="352"/>
        <item x="353"/>
        <item m="1" x="1742"/>
        <item x="354"/>
        <item x="355"/>
        <item x="356"/>
        <item m="1" x="1778"/>
        <item x="357"/>
        <item x="359"/>
        <item x="360"/>
        <item x="362"/>
        <item x="363"/>
        <item m="1" x="728"/>
        <item x="364"/>
        <item x="366"/>
        <item x="367"/>
        <item m="1" x="800"/>
        <item x="368"/>
        <item x="369"/>
        <item x="370"/>
        <item x="371"/>
        <item x="372"/>
        <item x="373"/>
        <item x="378"/>
        <item x="379"/>
        <item m="1" x="1323"/>
        <item x="380"/>
        <item x="381"/>
        <item x="382"/>
        <item m="1" x="1684"/>
        <item m="1" x="1867"/>
        <item x="384"/>
        <item m="1" x="1872"/>
        <item m="1" x="1877"/>
        <item m="1" x="1688"/>
        <item m="1" x="1340"/>
        <item m="1" x="1897"/>
        <item m="1" x="942"/>
        <item m="1" x="955"/>
        <item m="1" x="1899"/>
        <item x="386"/>
        <item m="1" x="1691"/>
        <item x="387"/>
        <item m="1" x="980"/>
        <item x="388"/>
        <item m="1" x="1699"/>
        <item m="1" x="1355"/>
        <item x="415"/>
        <item m="1" x="1345"/>
        <item x="417"/>
        <item m="1" x="1695"/>
        <item m="1" x="1456"/>
        <item m="1" x="2037"/>
        <item x="447"/>
        <item x="448"/>
        <item x="449"/>
        <item m="1" x="503"/>
        <item x="450"/>
        <item m="1" x="1151"/>
        <item m="1" x="1595"/>
        <item m="1" x="1601"/>
        <item m="1" x="1936"/>
        <item m="1" x="1234"/>
        <item m="1" x="707"/>
        <item m="1" x="1270"/>
        <item m="1" x="1631"/>
        <item m="1" x="1271"/>
        <item m="1" x="1956"/>
        <item m="1" x="1957"/>
        <item m="1" x="711"/>
        <item m="1" x="1272"/>
        <item m="1" x="1632"/>
        <item m="1" x="1958"/>
        <item m="1" x="715"/>
        <item m="1" x="1273"/>
        <item m="1" x="1959"/>
        <item m="1" x="727"/>
        <item m="1" x="1279"/>
        <item m="1" x="1716"/>
        <item m="1" x="2069"/>
        <item x="472"/>
        <item m="1" x="1561"/>
        <item x="474"/>
        <item x="476"/>
        <item m="1" x="567"/>
        <item x="191"/>
        <item m="1" x="1835"/>
        <item m="1" x="1771"/>
        <item m="1" x="1693"/>
        <item x="211"/>
        <item x="218"/>
        <item m="1" x="1487"/>
        <item x="250"/>
        <item m="1" x="1626"/>
        <item x="299"/>
        <item x="303"/>
        <item m="1" x="1584"/>
        <item x="313"/>
        <item x="374"/>
        <item x="385"/>
        <item m="1" x="1342"/>
        <item m="1" x="1910"/>
        <item m="1" x="1009"/>
        <item x="390"/>
        <item x="413"/>
        <item m="1" x="1627"/>
        <item m="1" x="1394"/>
        <item m="1" x="1135"/>
        <item m="1" x="1529"/>
        <item x="452"/>
        <item x="453"/>
        <item m="1" x="1882"/>
        <item m="1" x="514"/>
        <item m="1" x="1883"/>
        <item m="1" x="1174"/>
        <item m="1" x="1559"/>
        <item m="1" x="1635"/>
        <item m="1" x="1961"/>
        <item m="1" x="1277"/>
        <item m="1" x="1636"/>
        <item m="1" x="1962"/>
        <item m="1" x="729"/>
        <item m="1" x="1278"/>
        <item m="1" x="1637"/>
        <item m="1" x="1963"/>
        <item m="1" x="737"/>
        <item m="1" x="1280"/>
        <item m="1" x="1640"/>
        <item m="1" x="1964"/>
        <item m="1" x="1641"/>
        <item m="1" x="1965"/>
        <item m="1" x="738"/>
        <item m="1" x="1642"/>
        <item m="1" x="1354"/>
        <item m="1" x="2077"/>
        <item m="1" x="772"/>
        <item m="1" x="1437"/>
        <item x="283"/>
        <item m="1" x="1022"/>
        <item m="1" x="1628"/>
        <item m="1" x="2017"/>
        <item m="1" x="1494"/>
        <item m="1" x="1813"/>
        <item m="1" x="703"/>
        <item x="375"/>
        <item m="1" x="1845"/>
        <item m="1" x="1697"/>
        <item m="1" x="1918"/>
        <item m="1" x="1930"/>
        <item x="392"/>
        <item m="1" x="1932"/>
        <item m="1" x="1727"/>
        <item x="393"/>
        <item x="423"/>
        <item m="1" x="2044"/>
        <item m="1" x="1856"/>
        <item m="1" x="1860"/>
        <item m="1" x="1197"/>
        <item m="1" x="1240"/>
        <item m="1" x="730"/>
        <item m="1" x="1281"/>
        <item m="1" x="755"/>
        <item x="130"/>
        <item x="225"/>
        <item x="226"/>
        <item m="1" x="1493"/>
        <item x="377"/>
        <item m="1" x="935"/>
        <item x="389"/>
        <item x="391"/>
        <item x="394"/>
        <item x="395"/>
        <item x="396"/>
        <item x="397"/>
        <item x="399"/>
        <item x="422"/>
        <item m="1" x="2019"/>
        <item m="1" x="1099"/>
        <item x="462"/>
        <item x="463"/>
        <item x="464"/>
        <item m="1" x="1969"/>
        <item m="1" x="1973"/>
        <item m="1" x="1646"/>
        <item m="1" x="1974"/>
        <item m="1" x="759"/>
        <item m="1" x="1648"/>
        <item m="1" x="760"/>
        <item m="1" x="1288"/>
        <item m="1" x="1649"/>
        <item m="1" x="1975"/>
        <item m="1" x="761"/>
        <item m="1" x="1289"/>
        <item m="1" x="1650"/>
        <item m="1" x="1292"/>
        <item m="1" x="1652"/>
        <item x="467"/>
        <item m="1" x="771"/>
        <item x="468"/>
        <item x="470"/>
        <item x="471"/>
        <item m="1" x="1293"/>
        <item m="1" x="1653"/>
        <item m="1" x="1977"/>
        <item m="1" x="773"/>
        <item m="1" x="1294"/>
        <item x="170"/>
        <item x="192"/>
        <item x="197"/>
        <item x="232"/>
        <item x="268"/>
        <item x="324"/>
        <item x="333"/>
        <item x="346"/>
        <item x="365"/>
        <item x="376"/>
        <item x="398"/>
        <item x="400"/>
        <item x="401"/>
        <item x="402"/>
        <item x="403"/>
        <item x="404"/>
        <item x="405"/>
        <item x="406"/>
        <item x="429"/>
        <item x="436"/>
        <item x="437"/>
        <item x="438"/>
        <item x="439"/>
        <item x="440"/>
        <item x="441"/>
        <item x="442"/>
        <item x="443"/>
        <item x="444"/>
        <item x="445"/>
        <item x="454"/>
        <item x="456"/>
        <item x="457"/>
        <item x="465"/>
        <item x="466"/>
        <item x="469"/>
        <item x="473"/>
      </items>
    </pivotField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ubtotalTop="0" showAll="0"/>
    <pivotField compact="0" defaultSubtotal="0" outline="0" subtotalTop="0" showAll="0"/>
    <pivotField dataField="1" compact="0" defaultSubtotal="0" outline="0" subtotalTop="0" showAll="0"/>
    <pivotField compact="0" defaultSubtotal="0" outline="0" showAll="0"/>
    <pivotField compact="0" defaultSubtotal="0" outline="0" showAll="0"/>
    <pivotField dragToCol="0" dragToPage="0" dragToRow="0" compact="0" defaultSubtotal="0" outline="0" showAll="0"/>
    <pivotField dataField="1" dragToCol="0" dragToPage="0" dragToRow="0" compact="0" defaultSubtotal="0" outline="0" subtotalTop="0" showAll="0"/>
  </pivotFields>
  <rowFields count="1">
    <field x="4"/>
  </rowFields>
  <rowItems count="479">
    <i>
      <x/>
    </i>
    <i>
      <x v="1"/>
    </i>
    <i>
      <x v="2"/>
    </i>
    <i>
      <x v="3"/>
    </i>
    <i>
      <x v="4"/>
    </i>
    <i>
      <x v="6"/>
    </i>
    <i>
      <x v="7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4"/>
    </i>
    <i>
      <x v="25"/>
    </i>
    <i>
      <x v="29"/>
    </i>
    <i>
      <x v="35"/>
    </i>
    <i>
      <x v="39"/>
    </i>
    <i>
      <x v="40"/>
    </i>
    <i>
      <x v="42"/>
    </i>
    <i>
      <x v="43"/>
    </i>
    <i>
      <x v="44"/>
    </i>
    <i>
      <x v="45"/>
    </i>
    <i>
      <x v="46"/>
    </i>
    <i>
      <x v="48"/>
    </i>
    <i>
      <x v="50"/>
    </i>
    <i>
      <x v="51"/>
    </i>
    <i>
      <x v="52"/>
    </i>
    <i>
      <x v="53"/>
    </i>
    <i>
      <x v="55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2"/>
    </i>
    <i>
      <x v="73"/>
    </i>
    <i>
      <x v="76"/>
    </i>
    <i>
      <x v="79"/>
    </i>
    <i>
      <x v="80"/>
    </i>
    <i>
      <x v="81"/>
    </i>
    <i>
      <x v="83"/>
    </i>
    <i>
      <x v="84"/>
    </i>
    <i>
      <x v="85"/>
    </i>
    <i>
      <x v="86"/>
    </i>
    <i>
      <x v="87"/>
    </i>
    <i>
      <x v="88"/>
    </i>
    <i>
      <x v="90"/>
    </i>
    <i>
      <x v="91"/>
    </i>
    <i>
      <x v="92"/>
    </i>
    <i>
      <x v="93"/>
    </i>
    <i>
      <x v="95"/>
    </i>
    <i>
      <x v="96"/>
    </i>
    <i>
      <x v="97"/>
    </i>
    <i>
      <x v="98"/>
    </i>
    <i>
      <x v="102"/>
    </i>
    <i>
      <x v="103"/>
    </i>
    <i>
      <x v="104"/>
    </i>
    <i>
      <x v="106"/>
    </i>
    <i>
      <x v="107"/>
    </i>
    <i>
      <x v="108"/>
    </i>
    <i>
      <x v="111"/>
    </i>
    <i>
      <x v="112"/>
    </i>
    <i>
      <x v="113"/>
    </i>
    <i>
      <x v="114"/>
    </i>
    <i>
      <x v="115"/>
    </i>
    <i>
      <x v="119"/>
    </i>
    <i>
      <x v="121"/>
    </i>
    <i>
      <x v="123"/>
    </i>
    <i>
      <x v="124"/>
    </i>
    <i>
      <x v="128"/>
    </i>
    <i>
      <x v="129"/>
    </i>
    <i>
      <x v="134"/>
    </i>
    <i>
      <x v="137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1"/>
    </i>
    <i>
      <x v="152"/>
    </i>
    <i>
      <x v="153"/>
    </i>
    <i>
      <x v="157"/>
    </i>
    <i>
      <x v="159"/>
    </i>
    <i>
      <x v="162"/>
    </i>
    <i>
      <x v="166"/>
    </i>
    <i>
      <x v="171"/>
    </i>
    <i>
      <x v="173"/>
    </i>
    <i>
      <x v="175"/>
    </i>
    <i>
      <x v="179"/>
    </i>
    <i>
      <x v="186"/>
    </i>
    <i>
      <x v="187"/>
    </i>
    <i>
      <x v="188"/>
    </i>
    <i>
      <x v="189"/>
    </i>
    <i>
      <x v="192"/>
    </i>
    <i>
      <x v="203"/>
    </i>
    <i>
      <x v="205"/>
    </i>
    <i>
      <x v="213"/>
    </i>
    <i>
      <x v="218"/>
    </i>
    <i>
      <x v="219"/>
    </i>
    <i>
      <x v="220"/>
    </i>
    <i>
      <x v="229"/>
    </i>
    <i>
      <x v="232"/>
    </i>
    <i>
      <x v="238"/>
    </i>
    <i>
      <x v="241"/>
    </i>
    <i>
      <x v="242"/>
    </i>
    <i>
      <x v="244"/>
    </i>
    <i>
      <x v="245"/>
    </i>
    <i>
      <x v="246"/>
    </i>
    <i>
      <x v="247"/>
    </i>
    <i>
      <x v="248"/>
    </i>
    <i>
      <x v="250"/>
    </i>
    <i>
      <x v="251"/>
    </i>
    <i>
      <x v="252"/>
    </i>
    <i>
      <x v="253"/>
    </i>
    <i>
      <x v="254"/>
    </i>
    <i>
      <x v="255"/>
    </i>
    <i>
      <x v="257"/>
    </i>
    <i>
      <x v="258"/>
    </i>
    <i>
      <x v="259"/>
    </i>
    <i>
      <x v="263"/>
    </i>
    <i>
      <x v="264"/>
    </i>
    <i>
      <x v="267"/>
    </i>
    <i>
      <x v="268"/>
    </i>
    <i>
      <x v="270"/>
    </i>
    <i>
      <x v="283"/>
    </i>
    <i>
      <x v="286"/>
    </i>
    <i>
      <x v="288"/>
    </i>
    <i>
      <x v="289"/>
    </i>
    <i>
      <x v="290"/>
    </i>
    <i>
      <x v="293"/>
    </i>
    <i>
      <x v="294"/>
    </i>
    <i>
      <x v="303"/>
    </i>
    <i>
      <x v="305"/>
    </i>
    <i>
      <x v="308"/>
    </i>
    <i>
      <x v="310"/>
    </i>
    <i>
      <x v="311"/>
    </i>
    <i>
      <x v="312"/>
    </i>
    <i>
      <x v="313"/>
    </i>
    <i>
      <x v="317"/>
    </i>
    <i>
      <x v="318"/>
    </i>
    <i>
      <x v="320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5"/>
    </i>
    <i>
      <x v="338"/>
    </i>
    <i>
      <x v="339"/>
    </i>
    <i>
      <x v="340"/>
    </i>
    <i>
      <x v="341"/>
    </i>
    <i>
      <x v="342"/>
    </i>
    <i>
      <x v="346"/>
    </i>
    <i>
      <x v="347"/>
    </i>
    <i>
      <x v="352"/>
    </i>
    <i>
      <x v="365"/>
    </i>
    <i>
      <x v="366"/>
    </i>
    <i>
      <x v="371"/>
    </i>
    <i>
      <x v="375"/>
    </i>
    <i>
      <x v="381"/>
    </i>
    <i>
      <x v="396"/>
    </i>
    <i>
      <x v="412"/>
    </i>
    <i>
      <x v="421"/>
    </i>
    <i>
      <x v="422"/>
    </i>
    <i>
      <x v="423"/>
    </i>
    <i>
      <x v="425"/>
    </i>
    <i>
      <x v="426"/>
    </i>
    <i>
      <x v="432"/>
    </i>
    <i>
      <x v="433"/>
    </i>
    <i>
      <x v="435"/>
    </i>
    <i>
      <x v="436"/>
    </i>
    <i>
      <x v="457"/>
    </i>
    <i>
      <x v="498"/>
    </i>
    <i>
      <x v="501"/>
    </i>
    <i>
      <x v="510"/>
    </i>
    <i>
      <x v="559"/>
    </i>
    <i>
      <x v="565"/>
    </i>
    <i>
      <x v="567"/>
    </i>
    <i>
      <x v="571"/>
    </i>
    <i>
      <x v="573"/>
    </i>
    <i>
      <x v="578"/>
    </i>
    <i>
      <x v="630"/>
    </i>
    <i>
      <x v="643"/>
    </i>
    <i>
      <x v="662"/>
    </i>
    <i>
      <x v="677"/>
    </i>
    <i>
      <x v="681"/>
    </i>
    <i>
      <x v="688"/>
    </i>
    <i>
      <x v="693"/>
    </i>
    <i>
      <x v="695"/>
    </i>
    <i>
      <x v="696"/>
    </i>
    <i>
      <x v="719"/>
    </i>
    <i>
      <x v="761"/>
    </i>
    <i>
      <x v="785"/>
    </i>
    <i>
      <x v="788"/>
    </i>
    <i>
      <x v="793"/>
    </i>
    <i>
      <x v="803"/>
    </i>
    <i>
      <x v="806"/>
    </i>
    <i>
      <x v="809"/>
    </i>
    <i>
      <x v="821"/>
    </i>
    <i>
      <x v="825"/>
    </i>
    <i>
      <x v="850"/>
    </i>
    <i>
      <x v="853"/>
    </i>
    <i>
      <x v="855"/>
    </i>
    <i>
      <x v="857"/>
    </i>
    <i>
      <x v="863"/>
    </i>
    <i>
      <x v="875"/>
    </i>
    <i>
      <x v="879"/>
    </i>
    <i>
      <x v="881"/>
    </i>
    <i>
      <x v="884"/>
    </i>
    <i>
      <x v="886"/>
    </i>
    <i>
      <x v="888"/>
    </i>
    <i>
      <x v="890"/>
    </i>
    <i>
      <x v="892"/>
    </i>
    <i>
      <x v="901"/>
    </i>
    <i>
      <x v="903"/>
    </i>
    <i>
      <x v="914"/>
    </i>
    <i>
      <x v="922"/>
    </i>
    <i>
      <x v="926"/>
    </i>
    <i>
      <x v="928"/>
    </i>
    <i>
      <x v="929"/>
    </i>
    <i>
      <x v="930"/>
    </i>
    <i>
      <x v="931"/>
    </i>
    <i>
      <x v="934"/>
    </i>
    <i>
      <x v="939"/>
    </i>
    <i>
      <x v="942"/>
    </i>
    <i>
      <x v="945"/>
    </i>
    <i>
      <x v="947"/>
    </i>
    <i>
      <x v="948"/>
    </i>
    <i>
      <x v="952"/>
    </i>
    <i>
      <x v="959"/>
    </i>
    <i>
      <x v="962"/>
    </i>
    <i>
      <x v="963"/>
    </i>
    <i>
      <x v="965"/>
    </i>
    <i>
      <x v="966"/>
    </i>
    <i>
      <x v="968"/>
    </i>
    <i>
      <x v="969"/>
    </i>
    <i>
      <x v="972"/>
    </i>
    <i>
      <x v="976"/>
    </i>
    <i>
      <x v="978"/>
    </i>
    <i>
      <x v="988"/>
    </i>
    <i>
      <x v="991"/>
    </i>
    <i>
      <x v="995"/>
    </i>
    <i>
      <x v="998"/>
    </i>
    <i>
      <x v="1000"/>
    </i>
    <i>
      <x v="1002"/>
    </i>
    <i>
      <x v="1013"/>
    </i>
    <i>
      <x v="1039"/>
    </i>
    <i>
      <x v="1104"/>
    </i>
    <i>
      <x v="1107"/>
    </i>
    <i>
      <x v="1109"/>
    </i>
    <i>
      <x v="1112"/>
    </i>
    <i>
      <x v="1119"/>
    </i>
    <i>
      <x v="1125"/>
    </i>
    <i>
      <x v="1126"/>
    </i>
    <i>
      <x v="1130"/>
    </i>
    <i>
      <x v="1134"/>
    </i>
    <i>
      <x v="1137"/>
    </i>
    <i>
      <x v="1138"/>
    </i>
    <i>
      <x v="1140"/>
    </i>
    <i>
      <x v="1144"/>
    </i>
    <i>
      <x v="1145"/>
    </i>
    <i>
      <x v="1146"/>
    </i>
    <i>
      <x v="1148"/>
    </i>
    <i>
      <x v="1149"/>
    </i>
    <i>
      <x v="1154"/>
    </i>
    <i>
      <x v="1163"/>
    </i>
    <i>
      <x v="1178"/>
    </i>
    <i>
      <x v="1198"/>
    </i>
    <i>
      <x v="1215"/>
    </i>
    <i>
      <x v="1223"/>
    </i>
    <i>
      <x v="1230"/>
    </i>
    <i>
      <x v="1253"/>
    </i>
    <i>
      <x v="1260"/>
    </i>
    <i>
      <x v="1277"/>
    </i>
    <i>
      <x v="1279"/>
    </i>
    <i>
      <x v="1281"/>
    </i>
    <i>
      <x v="1289"/>
    </i>
    <i>
      <x v="1296"/>
    </i>
    <i>
      <x v="1301"/>
    </i>
    <i>
      <x v="1337"/>
    </i>
    <i>
      <x v="1360"/>
    </i>
    <i>
      <x v="1362"/>
    </i>
    <i>
      <x v="1368"/>
    </i>
    <i>
      <x v="1370"/>
    </i>
    <i>
      <x v="1375"/>
    </i>
    <i>
      <x v="1378"/>
    </i>
    <i>
      <x v="1382"/>
    </i>
    <i>
      <x v="1383"/>
    </i>
    <i>
      <x v="1413"/>
    </i>
    <i>
      <x v="1421"/>
    </i>
    <i>
      <x v="1449"/>
    </i>
    <i>
      <x v="1454"/>
    </i>
    <i>
      <x v="1482"/>
    </i>
    <i>
      <x v="1522"/>
    </i>
    <i>
      <x v="1528"/>
    </i>
    <i>
      <x v="1532"/>
    </i>
    <i>
      <x v="1556"/>
    </i>
    <i>
      <x v="1573"/>
    </i>
    <i>
      <x v="1582"/>
    </i>
    <i>
      <x v="1591"/>
    </i>
    <i>
      <x v="1602"/>
    </i>
    <i>
      <x v="1617"/>
    </i>
    <i>
      <x v="1638"/>
    </i>
    <i>
      <x v="1643"/>
    </i>
    <i>
      <x v="1647"/>
    </i>
    <i>
      <x v="1656"/>
    </i>
    <i>
      <x v="1678"/>
    </i>
    <i>
      <x v="1679"/>
    </i>
    <i>
      <x v="1682"/>
    </i>
    <i>
      <x v="1683"/>
    </i>
    <i>
      <x v="1719"/>
    </i>
    <i>
      <x v="1747"/>
    </i>
    <i>
      <x v="1748"/>
    </i>
    <i>
      <x v="1749"/>
    </i>
    <i>
      <x v="1771"/>
    </i>
    <i>
      <x v="1773"/>
    </i>
    <i>
      <x v="1800"/>
    </i>
    <i>
      <x v="1802"/>
    </i>
    <i>
      <x v="1803"/>
    </i>
    <i>
      <x v="1804"/>
    </i>
    <i>
      <x v="1805"/>
    </i>
    <i>
      <x v="1807"/>
    </i>
    <i>
      <x v="1808"/>
    </i>
    <i>
      <x v="1810"/>
    </i>
    <i>
      <x v="1812"/>
    </i>
    <i>
      <x v="1813"/>
    </i>
    <i>
      <x v="1815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6"/>
    </i>
    <i>
      <x v="1829"/>
    </i>
    <i>
      <x v="1830"/>
    </i>
    <i>
      <x v="1831"/>
    </i>
    <i>
      <x v="1832"/>
    </i>
    <i>
      <x v="1834"/>
    </i>
    <i>
      <x v="1835"/>
    </i>
    <i>
      <x v="1836"/>
    </i>
    <i>
      <x v="1837"/>
    </i>
    <i>
      <x v="1838"/>
    </i>
    <i>
      <x v="1840"/>
    </i>
    <i>
      <x v="1841"/>
    </i>
    <i>
      <x v="1842"/>
    </i>
    <i>
      <x v="1844"/>
    </i>
    <i>
      <x v="1845"/>
    </i>
    <i>
      <x v="1846"/>
    </i>
    <i>
      <x v="1847"/>
    </i>
    <i>
      <x v="1848"/>
    </i>
    <i>
      <x v="1850"/>
    </i>
    <i>
      <x v="1851"/>
    </i>
    <i>
      <x v="1852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3"/>
    </i>
    <i>
      <x v="1864"/>
    </i>
    <i>
      <x v="1865"/>
    </i>
    <i>
      <x v="1868"/>
    </i>
    <i>
      <x v="1877"/>
    </i>
    <i>
      <x v="1879"/>
    </i>
    <i>
      <x v="1881"/>
    </i>
    <i>
      <x v="1884"/>
    </i>
    <i>
      <x v="1886"/>
    </i>
    <i>
      <x v="1890"/>
    </i>
    <i>
      <x v="1891"/>
    </i>
    <i>
      <x v="1892"/>
    </i>
    <i>
      <x v="1894"/>
    </i>
    <i>
      <x v="1917"/>
    </i>
    <i>
      <x v="1919"/>
    </i>
    <i>
      <x v="1920"/>
    </i>
    <i>
      <x v="1922"/>
    </i>
    <i>
      <x v="1926"/>
    </i>
    <i>
      <x v="1927"/>
    </i>
    <i>
      <x v="1929"/>
    </i>
    <i>
      <x v="1931"/>
    </i>
    <i>
      <x v="1932"/>
    </i>
    <i>
      <x v="1934"/>
    </i>
    <i>
      <x v="1935"/>
    </i>
    <i>
      <x v="1936"/>
    </i>
    <i>
      <x v="1940"/>
    </i>
    <i>
      <x v="1941"/>
    </i>
    <i>
      <x v="1946"/>
    </i>
    <i>
      <x v="1947"/>
    </i>
    <i>
      <x v="1974"/>
    </i>
    <i>
      <x v="1981"/>
    </i>
    <i>
      <x v="1986"/>
    </i>
    <i>
      <x v="1989"/>
    </i>
    <i>
      <x v="1990"/>
    </i>
    <i>
      <x v="1999"/>
    </i>
    <i>
      <x v="2000"/>
    </i>
    <i>
      <x v="2001"/>
    </i>
    <i>
      <x v="2003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5"/>
    </i>
    <i>
      <x v="2016"/>
    </i>
    <i>
      <x v="2017"/>
    </i>
    <i>
      <x v="2033"/>
    </i>
    <i>
      <x v="2035"/>
    </i>
    <i>
      <x v="2036"/>
    </i>
    <i>
      <x v="2037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单价1" fld="15" baseField="0" baseItem="0"/>
    <dataField name="求和项:系统发出金额" fld="11" baseField="0" baseItem="0"/>
  </dataFields>
  <pivotTableStyleInfo name="PivotStyleMedium4" showRowHeaders="1" showColHeaders="1" showLastColumn="1"/>
</pivotTableDefinition>
</file>

<file path=xl/pivotTables/pivotTable2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7" minRefreshableVersion="3" createdVersion="7" useAutoFormatting="1" compact="0" indent="0" compactData="0" showDrill="1" multipleFieldFilters="0">
  <location ref="A3:C51" firstHeaderRow="1" firstDataRow="1" firstDataCol="2" rowPageCount="1" colPageCount="1"/>
  <pivotFields count="29">
    <pivotField compact="0" defaultSubtotal="0" outline="0" showAll="0"/>
    <pivotField compact="0" defaultSubtotal="0" outline="0" showAll="0"/>
    <pivotField compact="0" defaultSubtotal="0" outline="0" showAll="0"/>
    <pivotField axis="axisPage" compact="0" defaultSubtotal="0" outline="0" showAll="0">
      <items count="11">
        <item h="1" x="8"/>
        <item x="4"/>
        <item h="1" x="1"/>
        <item x="2"/>
        <item h="1" x="7"/>
        <item h="1" x="3"/>
        <item h="1" x="0"/>
        <item h="1" x="5"/>
        <item h="1" x="9"/>
        <item h="1" x="6"/>
        <item h="1" x="10"/>
      </items>
    </pivotField>
    <pivotField compact="0" defaultSubtotal="0" outline="0" showAll="0">
      <items count="26">
        <item x="21"/>
        <item x="16"/>
        <item x="24"/>
        <item x="7"/>
        <item x="5"/>
        <item x="22"/>
        <item x="8"/>
        <item x="15"/>
        <item x="1"/>
        <item x="2"/>
        <item x="9"/>
        <item x="19"/>
        <item x="6"/>
        <item x="10"/>
        <item x="0"/>
        <item x="20"/>
        <item x="12"/>
        <item x="18"/>
        <item x="3"/>
        <item x="13"/>
        <item x="11"/>
        <item x="4"/>
        <item x="23"/>
        <item x="14"/>
        <item x="17"/>
        <item x="25"/>
      </items>
    </pivotField>
    <pivotField axis="axisRow" compact="0" defaultSubtotal="0" outline="0" showAll="0">
      <items count="144">
        <item x="53"/>
        <item x="107"/>
        <item x="58"/>
        <item x="81"/>
        <item x="71"/>
        <item x="62"/>
        <item x="74"/>
        <item x="92"/>
        <item x="106"/>
        <item x="22"/>
        <item x="37"/>
        <item x="36"/>
        <item x="34"/>
        <item x="40"/>
        <item x="89"/>
        <item x="35"/>
        <item x="109"/>
        <item x="0"/>
        <item x="57"/>
        <item x="68"/>
        <item x="38"/>
        <item x="96"/>
        <item x="1"/>
        <item x="2"/>
        <item x="56"/>
        <item x="33"/>
        <item x="99"/>
        <item x="85"/>
        <item x="6"/>
        <item x="77"/>
        <item x="100"/>
        <item x="14"/>
        <item x="15"/>
        <item x="11"/>
        <item x="41"/>
        <item x="111"/>
        <item x="119"/>
        <item x="118"/>
        <item x="121"/>
        <item x="13"/>
        <item x="12"/>
        <item x="113"/>
        <item x="131"/>
        <item x="20"/>
        <item x="72"/>
        <item x="19"/>
        <item x="105"/>
        <item x="88"/>
        <item x="55"/>
        <item x="101"/>
        <item x="69"/>
        <item x="27"/>
        <item x="141"/>
        <item x="104"/>
        <item x="16"/>
        <item x="103"/>
        <item x="48"/>
        <item x="49"/>
        <item x="23"/>
        <item x="32"/>
        <item x="90"/>
        <item x="43"/>
        <item x="93"/>
        <item x="82"/>
        <item x="78"/>
        <item x="8"/>
        <item x="29"/>
        <item x="25"/>
        <item x="79"/>
        <item x="117"/>
        <item x="51"/>
        <item x="80"/>
        <item x="64"/>
        <item x="26"/>
        <item x="83"/>
        <item x="24"/>
        <item x="116"/>
        <item x="59"/>
        <item x="67"/>
        <item x="76"/>
        <item x="28"/>
        <item x="52"/>
        <item x="134"/>
        <item x="84"/>
        <item x="94"/>
        <item x="86"/>
        <item x="54"/>
        <item x="123"/>
        <item x="61"/>
        <item x="30"/>
        <item x="98"/>
        <item x="63"/>
        <item x="39"/>
        <item x="114"/>
        <item x="91"/>
        <item x="70"/>
        <item x="75"/>
        <item x="46"/>
        <item x="60"/>
        <item x="9"/>
        <item x="44"/>
        <item x="21"/>
        <item x="95"/>
        <item x="47"/>
        <item x="138"/>
        <item x="10"/>
        <item x="17"/>
        <item x="7"/>
        <item x="18"/>
        <item x="87"/>
        <item x="112"/>
        <item x="136"/>
        <item x="135"/>
        <item x="133"/>
        <item x="130"/>
        <item x="97"/>
        <item x="42"/>
        <item x="127"/>
        <item x="115"/>
        <item x="122"/>
        <item x="142"/>
        <item x="137"/>
        <item x="124"/>
        <item x="31"/>
        <item x="45"/>
        <item x="50"/>
        <item x="132"/>
        <item x="4"/>
        <item x="120"/>
        <item x="65"/>
        <item x="5"/>
        <item x="129"/>
        <item x="3"/>
        <item x="73"/>
        <item x="66"/>
        <item x="108"/>
        <item x="110"/>
        <item x="126"/>
        <item x="102"/>
        <item x="125"/>
        <item x="128"/>
        <item x="140"/>
        <item x="139"/>
        <item x="143"/>
      </items>
    </pivotField>
    <pivotField compact="0" defaultSubtotal="0" outline="0" showAll="0">
      <items count="138">
        <item x="0"/>
        <item x="51"/>
        <item x="126"/>
        <item x="4"/>
        <item x="114"/>
        <item x="63"/>
        <item x="5"/>
        <item x="123"/>
        <item x="3"/>
        <item x="70"/>
        <item x="64"/>
        <item x="102"/>
        <item x="104"/>
        <item x="38"/>
        <item x="37"/>
        <item x="35"/>
        <item x="41"/>
        <item x="86"/>
        <item x="36"/>
        <item x="103"/>
        <item x="57"/>
        <item x="66"/>
        <item x="39"/>
        <item x="92"/>
        <item x="1"/>
        <item x="2"/>
        <item x="56"/>
        <item x="34"/>
        <item x="95"/>
        <item x="82"/>
        <item x="6"/>
        <item x="73"/>
        <item x="96"/>
        <item x="15"/>
        <item x="16"/>
        <item x="12"/>
        <item x="42"/>
        <item x="105"/>
        <item x="112"/>
        <item x="115"/>
        <item x="14"/>
        <item x="13"/>
        <item x="107"/>
        <item x="125"/>
        <item x="21"/>
        <item x="69"/>
        <item x="20"/>
        <item x="101"/>
        <item x="85"/>
        <item x="55"/>
        <item x="113"/>
        <item x="97"/>
        <item x="67"/>
        <item x="28"/>
        <item x="100"/>
        <item x="17"/>
        <item x="99"/>
        <item x="49"/>
        <item x="50"/>
        <item x="23"/>
        <item x="33"/>
        <item x="87"/>
        <item x="44"/>
        <item x="89"/>
        <item x="78"/>
        <item x="74"/>
        <item x="75"/>
        <item x="8"/>
        <item x="30"/>
        <item x="25"/>
        <item x="76"/>
        <item x="111"/>
        <item x="52"/>
        <item x="77"/>
        <item x="62"/>
        <item x="26"/>
        <item x="27"/>
        <item x="79"/>
        <item x="80"/>
        <item x="118"/>
        <item x="24"/>
        <item x="110"/>
        <item x="58"/>
        <item x="65"/>
        <item x="72"/>
        <item x="29"/>
        <item x="53"/>
        <item x="128"/>
        <item x="135"/>
        <item x="90"/>
        <item x="83"/>
        <item x="54"/>
        <item x="117"/>
        <item x="60"/>
        <item x="31"/>
        <item x="94"/>
        <item x="61"/>
        <item x="40"/>
        <item x="108"/>
        <item x="88"/>
        <item x="68"/>
        <item x="136"/>
        <item x="120"/>
        <item x="98"/>
        <item x="119"/>
        <item x="122"/>
        <item x="71"/>
        <item x="47"/>
        <item x="59"/>
        <item x="9"/>
        <item x="45"/>
        <item x="81"/>
        <item x="22"/>
        <item x="91"/>
        <item x="48"/>
        <item x="132"/>
        <item x="10"/>
        <item x="11"/>
        <item x="18"/>
        <item x="7"/>
        <item x="19"/>
        <item x="84"/>
        <item x="106"/>
        <item x="130"/>
        <item x="129"/>
        <item x="127"/>
        <item x="124"/>
        <item x="93"/>
        <item x="43"/>
        <item x="121"/>
        <item x="109"/>
        <item x="116"/>
        <item x="134"/>
        <item x="133"/>
        <item x="131"/>
        <item x="46"/>
        <item x="32"/>
        <item x="137"/>
      </items>
    </pivotField>
    <pivotField axis="axisRow" compact="0" defaultSubtotal="0" outline="0" showAll="0">
      <items count="149">
        <item x="0"/>
        <item x="147"/>
        <item x="1"/>
        <item x="137"/>
        <item x="135"/>
        <item x="124"/>
        <item x="133"/>
        <item x="2"/>
        <item x="134"/>
        <item x="3"/>
        <item x="4"/>
        <item x="5"/>
        <item x="109"/>
        <item x="131"/>
        <item x="130"/>
        <item x="66"/>
        <item x="65"/>
        <item x="67"/>
        <item x="68"/>
        <item x="136"/>
        <item x="118"/>
        <item x="19"/>
        <item x="16"/>
        <item x="13"/>
        <item x="14"/>
        <item x="15"/>
        <item x="12"/>
        <item x="115"/>
        <item x="125"/>
        <item x="10"/>
        <item x="11"/>
        <item x="86"/>
        <item x="87"/>
        <item x="44"/>
        <item x="122"/>
        <item x="27"/>
        <item x="28"/>
        <item x="90"/>
        <item x="8"/>
        <item x="9"/>
        <item x="17"/>
        <item x="34"/>
        <item x="94"/>
        <item x="113"/>
        <item x="128"/>
        <item x="64"/>
        <item x="69"/>
        <item x="117"/>
        <item x="53"/>
        <item x="54"/>
        <item x="146"/>
        <item x="76"/>
        <item x="18"/>
        <item x="132"/>
        <item x="7"/>
        <item x="138"/>
        <item x="126"/>
        <item x="98"/>
        <item x="97"/>
        <item x="73"/>
        <item x="70"/>
        <item x="71"/>
        <item x="102"/>
        <item x="95"/>
        <item x="85"/>
        <item x="84"/>
        <item x="22"/>
        <item x="30"/>
        <item x="39"/>
        <item x="42"/>
        <item x="37"/>
        <item x="38"/>
        <item x="36"/>
        <item x="41"/>
        <item x="40"/>
        <item x="23"/>
        <item x="82"/>
        <item x="21"/>
        <item x="110"/>
        <item x="111"/>
        <item x="91"/>
        <item x="45"/>
        <item x="48"/>
        <item x="57"/>
        <item x="141"/>
        <item x="58"/>
        <item x="52"/>
        <item x="101"/>
        <item x="55"/>
        <item x="75"/>
        <item x="31"/>
        <item x="56"/>
        <item x="120"/>
        <item x="63"/>
        <item x="32"/>
        <item x="33"/>
        <item x="88"/>
        <item x="96"/>
        <item x="121"/>
        <item x="119"/>
        <item x="129"/>
        <item x="25"/>
        <item x="72"/>
        <item x="59"/>
        <item x="62"/>
        <item x="61"/>
        <item x="80"/>
        <item x="81"/>
        <item x="26"/>
        <item x="6"/>
        <item x="46"/>
        <item x="83"/>
        <item x="43"/>
        <item x="20"/>
        <item x="143"/>
        <item x="89"/>
        <item x="144"/>
        <item x="108"/>
        <item x="107"/>
        <item x="103"/>
        <item x="24"/>
        <item x="123"/>
        <item x="116"/>
        <item x="92"/>
        <item x="99"/>
        <item x="100"/>
        <item x="93"/>
        <item x="145"/>
        <item x="74"/>
        <item x="49"/>
        <item x="112"/>
        <item x="51"/>
        <item x="50"/>
        <item x="106"/>
        <item x="105"/>
        <item x="104"/>
        <item x="78"/>
        <item x="114"/>
        <item x="140"/>
        <item x="47"/>
        <item x="127"/>
        <item x="35"/>
        <item x="142"/>
        <item x="79"/>
        <item x="60"/>
        <item x="139"/>
        <item x="29"/>
        <item x="77"/>
        <item x="148"/>
      </items>
    </pivotField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ubtotalTop="0" showAll="0"/>
    <pivotField dataField="1" dragToCol="0" dragToPage="0" dragToRow="0" compact="0" defaultSubtotal="0" outline="0" subtotalTop="0" showAll="0"/>
  </pivotFields>
  <rowFields count="2">
    <field x="5"/>
    <field x="7"/>
  </rowFields>
  <rowItems count="48">
    <i>
      <x/>
      <x v="88"/>
    </i>
    <i>
      <x v="1"/>
      <x v="79"/>
    </i>
    <i>
      <x v="2"/>
      <x v="144"/>
    </i>
    <i>
      <x v="3"/>
      <x v="65"/>
    </i>
    <i>
      <x v="4"/>
      <x v="59"/>
    </i>
    <i>
      <x v="5"/>
      <x v="45"/>
    </i>
    <i>
      <x v="6"/>
      <x v="51"/>
    </i>
    <i>
      <x v="7"/>
      <x v="97"/>
    </i>
    <i>
      <x v="8"/>
      <x v="78"/>
    </i>
    <i>
      <x v="9"/>
      <x v="75"/>
    </i>
    <i>
      <x v="97"/>
      <x v="82"/>
    </i>
    <i>
      <x v="98"/>
      <x v="104"/>
    </i>
    <i>
      <x v="99"/>
      <x v="39"/>
    </i>
    <i>
      <x v="101"/>
      <x v="66"/>
    </i>
    <i>
      <x v="102"/>
      <x v="124"/>
    </i>
    <i>
      <x v="103"/>
      <x v="129"/>
    </i>
    <i>
      <x v="104"/>
      <x v="114"/>
    </i>
    <i>
      <x v="105"/>
      <x v="29"/>
    </i>
    <i r="1">
      <x v="30"/>
    </i>
    <i>
      <x v="106"/>
      <x v="52"/>
    </i>
    <i>
      <x v="107"/>
      <x v="54"/>
    </i>
    <i>
      <x v="108"/>
      <x v="21"/>
    </i>
    <i>
      <x v="109"/>
      <x v="80"/>
    </i>
    <i>
      <x v="110"/>
      <x v="122"/>
    </i>
    <i>
      <x v="111"/>
      <x v="84"/>
    </i>
    <i>
      <x v="112"/>
      <x v="138"/>
    </i>
    <i>
      <x v="113"/>
      <x v="55"/>
    </i>
    <i>
      <x v="114"/>
      <x v="4"/>
    </i>
    <i>
      <x v="115"/>
      <x v="87"/>
    </i>
    <i>
      <x v="116"/>
      <x v="33"/>
    </i>
    <i>
      <x v="117"/>
      <x v="53"/>
    </i>
    <i>
      <x v="118"/>
      <x v="99"/>
    </i>
    <i>
      <x v="119"/>
      <x v="56"/>
    </i>
    <i>
      <x v="120"/>
      <x v="1"/>
    </i>
    <i>
      <x v="126"/>
      <x v="3"/>
    </i>
    <i>
      <x v="127"/>
      <x v="10"/>
    </i>
    <i>
      <x v="128"/>
      <x v="5"/>
    </i>
    <i>
      <x v="129"/>
      <x v="17"/>
    </i>
    <i>
      <x v="130"/>
      <x v="11"/>
    </i>
    <i>
      <x v="131"/>
      <x v="8"/>
    </i>
    <i>
      <x v="132"/>
      <x v="9"/>
    </i>
    <i>
      <x v="134"/>
      <x v="18"/>
    </i>
    <i>
      <x v="135"/>
      <x v="130"/>
    </i>
    <i>
      <x v="136"/>
      <x v="137"/>
    </i>
    <i>
      <x v="137"/>
      <x v="13"/>
    </i>
    <i>
      <x v="139"/>
      <x v="14"/>
    </i>
    <i>
      <x v="140"/>
      <x v="6"/>
    </i>
    <i t="grand">
      <x/>
    </i>
  </rowItems>
  <colItems count="1">
    <i/>
  </colItems>
  <pageFields count="1">
    <pageField fld="3"/>
  </pageFields>
  <dataFields count="1">
    <dataField name="求和项:折算数量计算" fld="28" baseField="0" baseItem="0"/>
  </dataFields>
  <pivotTableStyleInfo name="PivotStyleMedium4" showRowHeaders="1" showColHeaders="1" showLastColumn="1"/>
</pivotTableDefinition>
</file>

<file path=xl/pivotTables/pivotTable3.xml><?xml version="1.0" encoding="utf-8"?>
<pivotTableDefinition xmlns="http://schemas.openxmlformats.org/spreadsheetml/2006/main" name="数据透视表1" cacheId="2" dataOnRows="1" autoFormatId="1" applyNumberFormats="0" applyBorderFormats="0" applyFontFormats="0" applyPatternFormats="0" applyAlignmentFormats="0" applyWidthHeightFormats="1" dataCaption="数据" updatedVersion="8" createdVersion="1" useAutoFormatting="1" indent="0" compactData="0" gridDropZones="1" showDrill="0">
  <location ref="A3:B287" firstHeaderRow="2" firstDataRow="2" firstDataCol="1"/>
  <pivotFields count="10">
    <pivotField axis="axisRow" compact="0" outline="0" showAll="0" includeNewItemsInFilter="1">
      <items count="1394">
        <item m="1" x="921"/>
        <item m="1" x="934"/>
        <item m="1" x="951"/>
        <item m="1" x="810"/>
        <item m="1" x="970"/>
        <item m="1" x="582"/>
        <item m="1" x="967"/>
        <item m="1" x="1216"/>
        <item m="1" x="976"/>
        <item m="1" x="1258"/>
        <item m="1" x="286"/>
        <item m="1" x="433"/>
        <item m="1" x="575"/>
        <item m="1" x="1051"/>
        <item m="1" x="527"/>
        <item m="1" x="798"/>
        <item m="1" x="684"/>
        <item m="1" x="940"/>
        <item m="1" x="530"/>
        <item m="1" x="978"/>
        <item m="1" x="819"/>
        <item m="1" x="1085"/>
        <item m="1" x="981"/>
        <item m="1" x="1232"/>
        <item m="1" x="1112"/>
        <item m="1" x="1252"/>
        <item m="1" x="1387"/>
        <item m="1" x="645"/>
        <item m="1" x="1114"/>
        <item m="1" x="1367"/>
        <item m="1" x="1255"/>
        <item m="1" x="1390"/>
        <item m="1" x="682"/>
        <item m="1" x="529"/>
        <item m="1" x="687"/>
        <item m="1" x="945"/>
        <item m="1" x="1107"/>
        <item m="1" x="1293"/>
        <item m="1" x="1110"/>
        <item m="1" x="1364"/>
        <item m="1" x="1386"/>
        <item m="1" x="643"/>
        <item m="1" x="1254"/>
        <item m="1" x="390"/>
        <item m="1" x="1275"/>
        <item m="1" x="681"/>
        <item m="1" x="495"/>
        <item m="1" x="986"/>
        <item m="1" x="1241"/>
        <item m="1" x="329"/>
        <item m="1" x="566"/>
        <item m="1" x="1049"/>
        <item m="1" x="486"/>
        <item m="1" x="870"/>
        <item m="1" x="989"/>
        <item m="1" x="906"/>
        <item m="1" x="715"/>
        <item m="1" x="979"/>
        <item m="1" x="396"/>
        <item m="1" x="483"/>
        <item m="1" x="802"/>
        <item m="1" x="907"/>
        <item m="1" x="814"/>
        <item m="1" x="806"/>
        <item m="1" x="1204"/>
        <item m="1" x="1305"/>
        <item m="1" x="972"/>
        <item m="1" x="1337"/>
        <item m="1" x="328"/>
        <item m="1" x="1101"/>
        <item m="1" x="364"/>
        <item m="1" x="466"/>
        <item m="1" x="1250"/>
        <item m="1" x="503"/>
        <item m="1" x="590"/>
        <item m="1" x="414"/>
        <item m="1" x="784"/>
        <item m="1" x="880"/>
        <item m="1" x="1345"/>
        <item m="1" x="584"/>
        <item m="1" x="714"/>
        <item m="1" x="502"/>
        <item m="1" x="741"/>
        <item m="1" x="764"/>
        <item m="1" x="1277"/>
        <item m="1" x="546"/>
        <item m="1" x="557"/>
        <item m="1" x="926"/>
        <item m="1" x="636"/>
        <item m="1" x="754"/>
        <item m="1" x="871"/>
        <item m="1" x="1019"/>
        <item m="1" x="644"/>
        <item m="1" x="1193"/>
        <item m="1" x="1227"/>
        <item m="1" x="1083"/>
        <item m="1" x="950"/>
        <item m="1" x="1353"/>
        <item m="1" x="1340"/>
        <item m="1" x="1307"/>
        <item m="1" x="1377"/>
        <item m="1" x="1315"/>
        <item m="1" x="1153"/>
        <item m="1" x="1219"/>
        <item m="1" x="720"/>
        <item m="1" x="1389"/>
        <item m="1" x="1207"/>
        <item m="1" x="1138"/>
        <item m="1" x="1274"/>
        <item m="1" x="1210"/>
        <item m="1" x="549"/>
        <item m="1" x="498"/>
        <item m="1" x="1073"/>
        <item m="1" x="320"/>
        <item m="1" x="1183"/>
        <item m="1" x="922"/>
        <item m="1" x="446"/>
        <item m="1" x="386"/>
        <item m="1" x="730"/>
        <item m="1" x="655"/>
        <item m="1" x="849"/>
        <item m="1" x="796"/>
        <item m="1" x="1069"/>
        <item m="1" x="1093"/>
        <item m="1" x="1031"/>
        <item m="1" x="514"/>
        <item m="1" x="1040"/>
        <item m="1" x="668"/>
        <item m="1" x="966"/>
        <item m="1" x="1291"/>
        <item m="1" x="770"/>
        <item m="1" x="662"/>
        <item m="1" x="646"/>
        <item m="1" x="453"/>
        <item m="1" x="522"/>
        <item m="1" x="593"/>
        <item m="1" x="811"/>
        <item m="1" x="585"/>
        <item m="1" x="1214"/>
        <item m="1" x="1281"/>
        <item m="1" x="1272"/>
        <item m="1" x="953"/>
        <item m="1" x="688"/>
        <item m="1" x="862"/>
        <item m="1" x="1385"/>
        <item m="1" x="393"/>
        <item m="1" x="1297"/>
        <item m="1" x="946"/>
        <item m="1" x="743"/>
        <item m="1" x="391"/>
        <item m="1" x="1296"/>
        <item m="1" x="944"/>
        <item m="1" x="763"/>
        <item m="1" x="667"/>
        <item m="1" x="467"/>
        <item m="1" x="294"/>
        <item m="1" x="850"/>
        <item m="1" x="1391"/>
        <item m="1" x="1190"/>
        <item m="1" x="771"/>
        <item m="1" x="1033"/>
        <item m="1" x="652"/>
        <item m="1" x="510"/>
        <item m="1" x="458"/>
        <item m="1" x="1263"/>
        <item m="1" x="864"/>
        <item m="1" x="387"/>
        <item m="1" x="1070"/>
        <item m="1" x="1007"/>
        <item m="1" x="1282"/>
        <item m="1" x="1347"/>
        <item m="1" x="314"/>
        <item m="1" x="778"/>
        <item m="1" x="648"/>
        <item m="1" x="1046"/>
        <item m="1" x="853"/>
        <item m="1" x="318"/>
        <item m="1" x="1024"/>
        <item m="1" x="994"/>
        <item m="1" x="914"/>
        <item m="1" x="747"/>
        <item m="1" x="863"/>
        <item m="1" x="1266"/>
        <item m="1" x="1361"/>
        <item m="1" x="1243"/>
        <item m="1" x="1100"/>
        <item m="1" x="375"/>
        <item m="1" x="399"/>
        <item m="1" x="728"/>
        <item m="1" x="312"/>
        <item m="1" x="531"/>
        <item m="1" x="1156"/>
        <item m="1" x="308"/>
        <item m="1" x="1224"/>
        <item m="1" x="1086"/>
        <item m="1" x="362"/>
        <item m="1" x="878"/>
        <item m="1" x="879"/>
        <item m="1" x="402"/>
        <item m="1" x="712"/>
        <item m="1" x="440"/>
        <item m="1" x="431"/>
        <item m="1" x="1229"/>
        <item m="1" x="450"/>
        <item m="1" x="752"/>
        <item m="1" x="600"/>
        <item m="1" x="1034"/>
        <item m="1" x="552"/>
        <item m="1" x="1202"/>
        <item m="1" x="1185"/>
        <item m="1" x="591"/>
        <item m="1" x="1163"/>
        <item m="1" x="1226"/>
        <item m="1" x="592"/>
        <item m="1" x="627"/>
        <item m="1" x="839"/>
        <item m="1" x="599"/>
        <item m="1" x="413"/>
        <item m="1" x="1037"/>
        <item m="1" x="1074"/>
        <item m="1" x="563"/>
        <item m="1" x="717"/>
        <item m="1" x="1237"/>
        <item m="1" x="515"/>
        <item m="1" x="725"/>
        <item m="1" x="1018"/>
        <item m="1" x="1301"/>
        <item m="1" x="1099"/>
        <item m="1" x="1324"/>
        <item m="1" x="779"/>
        <item m="1" x="482"/>
        <item m="1" x="1342"/>
        <item m="1" x="1078"/>
        <item m="1" x="1365"/>
        <item m="1" x="745"/>
        <item m="1" x="468"/>
        <item m="1" x="322"/>
        <item m="1" x="651"/>
        <item m="1" x="1154"/>
        <item m="1" x="1309"/>
        <item m="1" x="1003"/>
        <item m="1" x="791"/>
        <item m="1" x="936"/>
        <item m="1" x="935"/>
        <item m="1" x="1014"/>
        <item m="1" x="1240"/>
        <item m="1" x="1052"/>
        <item m="1" x="418"/>
        <item m="1" x="1331"/>
        <item m="1" x="952"/>
        <item m="1" x="767"/>
        <item m="1" x="608"/>
        <item m="1" x="1264"/>
        <item m="1" x="295"/>
        <item m="1" x="1200"/>
        <item m="1" x="1314"/>
        <item m="1" x="1265"/>
        <item m="1" x="1077"/>
        <item m="1" x="639"/>
        <item m="1" x="932"/>
        <item m="1" x="737"/>
        <item m="1" x="660"/>
        <item m="1" x="1238"/>
        <item m="1" x="1028"/>
        <item m="1" x="1235"/>
        <item m="1" x="408"/>
        <item m="1" x="1117"/>
        <item m="1" x="678"/>
        <item m="1" x="708"/>
        <item m="1" x="497"/>
        <item m="1" x="1165"/>
        <item m="1" x="902"/>
        <item m="1" x="985"/>
        <item m="1" x="769"/>
        <item m="1" x="1379"/>
        <item x="281"/>
        <item m="1" x="1167"/>
        <item m="1" x="1230"/>
        <item m="1" x="481"/>
        <item m="1" x="1323"/>
        <item m="1" x="384"/>
        <item m="1" x="785"/>
        <item m="1" x="1039"/>
        <item m="1" x="385"/>
        <item m="1" x="361"/>
        <item m="1" x="653"/>
        <item m="1" x="1343"/>
        <item m="1" x="311"/>
        <item m="1" x="892"/>
        <item m="1" x="1213"/>
        <item m="1" x="917"/>
        <item m="1" x="694"/>
        <item m="1" x="706"/>
        <item m="1" x="1321"/>
        <item m="1" x="1217"/>
        <item m="1" x="547"/>
        <item m="1" x="1058"/>
        <item m="1" x="899"/>
        <item m="1" x="775"/>
        <item m="1" x="937"/>
        <item m="1" x="1369"/>
        <item m="1" x="494"/>
        <item m="1" x="564"/>
        <item m="1" x="1339"/>
        <item m="1" x="302"/>
        <item m="1" x="1179"/>
        <item m="1" x="555"/>
        <item m="1" x="348"/>
        <item m="1" x="913"/>
        <item m="1" x="621"/>
        <item m="1" x="897"/>
        <item m="1" x="909"/>
        <item m="1" x="919"/>
        <item m="1" x="974"/>
        <item m="1" x="411"/>
        <item m="1" x="589"/>
        <item m="1" x="877"/>
        <item m="1" x="962"/>
        <item m="1" x="349"/>
        <item m="1" x="685"/>
        <item m="1" x="695"/>
        <item m="1" x="436"/>
        <item m="1" x="1316"/>
        <item m="1" x="400"/>
        <item m="1" x="1392"/>
        <item m="1" x="821"/>
        <item m="1" x="910"/>
        <item m="1" x="920"/>
        <item m="1" x="1260"/>
        <item m="1" x="610"/>
        <item m="1" x="1020"/>
        <item m="1" x="1006"/>
        <item m="1" x="1247"/>
        <item m="1" x="1332"/>
        <item m="1" x="429"/>
        <item m="1" x="1170"/>
        <item m="1" x="493"/>
        <item m="1" x="313"/>
        <item m="1" x="464"/>
        <item m="1" x="1173"/>
        <item m="1" x="419"/>
        <item m="1" x="772"/>
        <item m="1" x="310"/>
        <item m="1" x="1021"/>
        <item m="1" x="1192"/>
        <item m="1" x="1370"/>
        <item m="1" x="1002"/>
        <item m="1" x="282"/>
        <item m="1" x="766"/>
        <item m="1" x="842"/>
        <item m="1" x="963"/>
        <item m="1" x="696"/>
        <item m="1" x="506"/>
        <item m="1" x="1038"/>
        <item x="262"/>
        <item m="1" x="1308"/>
        <item m="1" x="828"/>
        <item m="1" x="293"/>
        <item m="1" x="617"/>
        <item m="1" x="1326"/>
        <item m="1" x="1091"/>
        <item m="1" x="511"/>
        <item m="1" x="1388"/>
        <item m="1" x="656"/>
        <item m="1" x="409"/>
        <item m="1" x="569"/>
        <item m="1" x="513"/>
        <item m="1" x="861"/>
        <item m="1" x="1194"/>
        <item m="1" x="346"/>
        <item m="1" x="1273"/>
        <item m="1" x="363"/>
        <item m="1" x="499"/>
        <item m="1" x="284"/>
        <item m="1" x="1246"/>
        <item m="1" x="1066"/>
        <item m="1" x="827"/>
        <item m="1" x="455"/>
        <item m="1" x="1350"/>
        <item m="1" x="579"/>
        <item m="1" x="526"/>
        <item m="1" x="339"/>
        <item m="1" x="1084"/>
        <item m="1" x="866"/>
        <item m="1" x="571"/>
        <item m="1" x="874"/>
        <item m="1" x="760"/>
        <item m="1" x="676"/>
        <item m="1" x="473"/>
        <item m="1" x="957"/>
        <item m="1" x="649"/>
        <item m="1" x="565"/>
        <item m="1" x="378"/>
        <item m="1" x="854"/>
        <item m="1" x="1068"/>
        <item m="1" x="1096"/>
        <item m="1" x="1354"/>
        <item m="1" x="554"/>
        <item m="1" x="733"/>
        <item m="1" x="595"/>
        <item m="1" x="368"/>
        <item m="1" x="692"/>
        <item m="1" x="1035"/>
        <item m="1" x="889"/>
        <item m="1" x="612"/>
        <item m="1" x="1220"/>
        <item m="1" x="924"/>
        <item m="1" x="1334"/>
        <item m="1" x="376"/>
        <item m="1" x="588"/>
        <item m="1" x="845"/>
        <item m="1" x="392"/>
        <item m="1" x="1005"/>
        <item m="1" x="973"/>
        <item m="1" x="625"/>
        <item m="1" x="683"/>
        <item m="1" x="1032"/>
        <item m="1" x="1105"/>
        <item m="1" x="1300"/>
        <item m="1" x="642"/>
        <item m="1" x="635"/>
        <item m="1" x="397"/>
        <item m="1" x="867"/>
        <item m="1" x="848"/>
        <item m="1" x="283"/>
        <item m="1" x="1161"/>
        <item m="1" x="388"/>
        <item m="1" x="558"/>
        <item m="1" x="1203"/>
        <item m="1" x="1157"/>
        <item m="1" x="472"/>
        <item m="1" x="996"/>
        <item m="1" x="1092"/>
        <item m="1" x="825"/>
        <item m="1" x="938"/>
        <item m="1" x="533"/>
        <item m="1" x="659"/>
        <item m="1" x="587"/>
        <item m="1" x="833"/>
        <item m="1" x="882"/>
        <item m="1" x="680"/>
        <item m="1" x="1015"/>
        <item m="1" x="1221"/>
        <item m="1" x="895"/>
        <item m="1" x="647"/>
        <item m="1" x="701"/>
        <item m="1" x="581"/>
        <item m="1" x="1267"/>
        <item m="1" x="809"/>
        <item m="1" x="373"/>
        <item m="1" x="851"/>
        <item m="1" x="528"/>
        <item m="1" x="724"/>
        <item m="1" x="756"/>
        <item m="1" x="1378"/>
        <item m="1" x="519"/>
        <item m="1" x="1328"/>
        <item m="1" x="755"/>
        <item m="1" x="315"/>
        <item m="1" x="1380"/>
        <item m="1" x="577"/>
        <item m="1" x="1164"/>
        <item m="1" x="615"/>
        <item m="1" x="379"/>
        <item m="1" x="327"/>
        <item m="1" x="307"/>
        <item m="1" x="578"/>
        <item m="1" x="834"/>
        <item m="1" x="887"/>
        <item m="1" x="628"/>
        <item m="1" x="1212"/>
        <item m="1" x="975"/>
        <item m="1" x="619"/>
        <item m="1" x="658"/>
        <item m="1" x="1372"/>
        <item m="1" x="1016"/>
        <item m="1" x="1222"/>
        <item m="1" x="532"/>
        <item m="1" x="1098"/>
        <item m="1" x="838"/>
        <item m="1" x="693"/>
        <item m="1" x="856"/>
        <item m="1" x="452"/>
        <item m="1" x="616"/>
        <item m="1" x="380"/>
        <item m="1" x="1029"/>
        <item m="1" x="459"/>
        <item m="1" x="1322"/>
        <item m="1" x="1063"/>
        <item m="1" x="675"/>
        <item m="1" x="762"/>
        <item m="1" x="505"/>
        <item m="1" x="629"/>
        <item m="1" x="1081"/>
        <item m="1" x="1141"/>
        <item m="1" x="959"/>
        <item m="1" x="929"/>
        <item m="1" x="424"/>
        <item m="1" x="876"/>
        <item m="1" x="423"/>
        <item m="1" x="1299"/>
        <item m="1" x="344"/>
        <item m="1" x="1030"/>
        <item m="1" x="888"/>
        <item m="1" x="1292"/>
        <item m="1" x="602"/>
        <item m="1" x="462"/>
        <item m="1" x="1009"/>
        <item m="1" x="1174"/>
        <item m="1" x="469"/>
        <item m="1" x="723"/>
        <item m="1" x="1175"/>
        <item m="1" x="1158"/>
        <item m="1" x="1145"/>
        <item m="1" x="586"/>
        <item m="1" x="995"/>
        <item m="1" x="992"/>
        <item m="1" x="1184"/>
        <item m="1" x="422"/>
        <item m="1" x="607"/>
        <item m="1" x="445"/>
        <item m="1" x="605"/>
        <item m="1" x="773"/>
        <item m="1" x="993"/>
        <item m="1" x="691"/>
        <item m="1" x="991"/>
        <item m="1" x="1182"/>
        <item m="1" x="1080"/>
        <item m="1" x="690"/>
        <item m="1" x="1294"/>
        <item m="1" x="1010"/>
        <item m="1" x="406"/>
        <item m="1" x="337"/>
        <item m="1" x="454"/>
        <item m="1" x="614"/>
        <item m="1" x="736"/>
        <item m="1" x="759"/>
        <item m="1" x="931"/>
        <item m="1" x="686"/>
        <item m="1" x="601"/>
        <item m="1" x="603"/>
        <item m="1" x="369"/>
        <item m="1" x="477"/>
        <item m="1" x="1349"/>
        <item m="1" x="622"/>
        <item m="1" x="490"/>
        <item m="1" x="774"/>
        <item m="1" x="544"/>
        <item m="1" x="1295"/>
        <item m="1" x="792"/>
        <item m="1" x="417"/>
        <item m="1" x="598"/>
        <item m="1" x="704"/>
        <item m="1" x="893"/>
        <item m="1" x="350"/>
        <item m="1" x="1271"/>
        <item m="1" x="353"/>
        <item m="1" x="347"/>
        <item m="1" x="1215"/>
        <item m="1" x="964"/>
        <item m="1" x="340"/>
        <item m="1" x="1061"/>
        <item m="1" x="606"/>
        <item m="1" x="372"/>
        <item m="1" x="1045"/>
        <item m="1" x="786"/>
        <item m="1" x="782"/>
        <item m="1" x="1381"/>
        <item m="1" x="1128"/>
        <item m="1" x="367"/>
        <item m="1" x="1351"/>
        <item m="1" x="638"/>
        <item m="1" x="891"/>
        <item m="1" x="916"/>
        <item m="1" x="1181"/>
        <item m="1" x="1060"/>
        <item m="1" x="338"/>
        <item m="1" x="781"/>
        <item m="1" x="1042"/>
        <item m="1" x="634"/>
        <item m="1" x="500"/>
        <item m="1" x="432"/>
        <item m="1" x="545"/>
        <item m="1" x="420"/>
        <item m="1" x="449"/>
        <item m="1" x="1306"/>
        <item m="1" x="884"/>
        <item m="1" x="332"/>
        <item m="1" x="299"/>
        <item m="1" x="1373"/>
        <item m="1" x="804"/>
        <item m="1" x="872"/>
        <item m="1" x="345"/>
        <item m="1" x="410"/>
        <item m="1" x="873"/>
        <item m="1" x="961"/>
        <item m="1" x="997"/>
        <item m="1" x="1057"/>
        <item m="1" x="1302"/>
        <item m="1" x="1371"/>
        <item m="1" x="427"/>
        <item m="1" x="523"/>
        <item m="1" x="1176"/>
        <item m="1" x="1251"/>
        <item m="1" x="768"/>
        <item m="1" x="1198"/>
        <item m="1" x="309"/>
        <item m="1" x="965"/>
        <item m="1" x="491"/>
        <item m="1" x="1205"/>
        <item m="1" x="1067"/>
        <item m="1" x="1064"/>
        <item m="1" x="735"/>
        <item m="1" x="1027"/>
        <item m="1" x="941"/>
        <item m="1" x="343"/>
        <item m="1" x="1087"/>
        <item m="1" x="1257"/>
        <item m="1" x="1298"/>
        <item m="1" x="355"/>
        <item m="1" x="1047"/>
        <item m="1" x="894"/>
        <item m="1" x="707"/>
        <item m="1" x="1132"/>
        <item m="1" x="304"/>
        <item m="1" x="1008"/>
        <item m="1" x="1012"/>
        <item m="1" x="835"/>
        <item m="1" x="358"/>
        <item m="1" x="618"/>
        <item m="1" x="1303"/>
        <item m="1" x="702"/>
        <item m="1" x="1147"/>
        <item m="1" x="520"/>
        <item m="1" x="1320"/>
        <item m="1" x="474"/>
        <item m="1" x="1218"/>
        <item m="1" x="744"/>
        <item m="1" x="918"/>
        <item m="1" x="703"/>
        <item m="1" x="925"/>
        <item m="1" x="550"/>
        <item m="1" x="1071"/>
        <item m="1" x="1125"/>
        <item m="1" x="750"/>
        <item m="1" x="901"/>
        <item m="1" x="334"/>
        <item m="1" x="640"/>
        <item m="1" x="509"/>
        <item m="1" x="1178"/>
        <item m="1" x="1249"/>
        <item m="1" x="761"/>
        <item m="1" x="789"/>
        <item m="1" x="857"/>
        <item m="1" x="1076"/>
        <item m="1" x="1090"/>
        <item m="1" x="1346"/>
        <item m="1" x="365"/>
        <item m="1" x="904"/>
        <item m="1" x="1124"/>
        <item m="1" x="903"/>
        <item m="1" x="846"/>
        <item m="1" x="1123"/>
        <item m="1" x="1000"/>
        <item m="1" x="442"/>
        <item m="1" x="287"/>
        <item m="1" x="1283"/>
        <item m="1" x="421"/>
        <item m="1" x="1144"/>
        <item m="1" x="292"/>
        <item m="1" x="438"/>
        <item m="1" x="817"/>
        <item m="1" x="631"/>
        <item m="1" x="1352"/>
        <item m="1" x="317"/>
        <item m="1" x="539"/>
        <item m="1" x="900"/>
        <item m="1" x="943"/>
        <item m="1" x="1330"/>
        <item m="1" x="1188"/>
        <item m="1" x="679"/>
        <item m="1" x="1043"/>
        <item m="1" x="439"/>
        <item m="1" x="818"/>
        <item m="1" x="518"/>
        <item m="1" x="496"/>
        <item m="1" x="758"/>
        <item m="1" x="1286"/>
        <item m="1" x="425"/>
        <item m="1" x="1284"/>
        <item m="1" x="841"/>
        <item m="1" x="727"/>
        <item m="1" x="444"/>
        <item m="1" x="570"/>
        <item m="1" x="826"/>
        <item m="1" x="1116"/>
        <item m="1" x="1180"/>
        <item m="1" x="726"/>
        <item m="1" x="883"/>
        <item m="1" x="1187"/>
        <item m="1" x="1122"/>
        <item m="1" x="939"/>
        <item m="1" x="542"/>
        <item m="1" x="357"/>
        <item m="1" x="540"/>
        <item m="1" x="354"/>
        <item m="1" x="1127"/>
        <item m="1" x="949"/>
        <item m="1" x="815"/>
        <item m="1" x="1115"/>
        <item m="1" x="896"/>
        <item m="1" x="296"/>
        <item m="1" x="1201"/>
        <item m="1" x="1279"/>
        <item m="1" x="1136"/>
        <item m="1" x="999"/>
        <item m="1" x="501"/>
        <item m="1" x="553"/>
        <item m="1" x="336"/>
        <item m="1" x="330"/>
        <item m="1" x="1359"/>
        <item m="1" x="1108"/>
        <item m="1" x="844"/>
        <item m="1" x="1121"/>
        <item m="1" x="1142"/>
        <item m="1" x="297"/>
        <item m="1" x="1236"/>
        <item m="1" x="326"/>
        <item m="1" x="663"/>
        <item m="1" x="383"/>
        <item m="1" x="560"/>
        <item m="1" x="456"/>
        <item m="1" x="359"/>
        <item m="1" x="1276"/>
        <item m="1" x="324"/>
        <item m="1" x="1261"/>
        <item m="1" x="829"/>
        <item m="1" x="831"/>
        <item m="1" x="630"/>
        <item m="1" x="776"/>
        <item m="1" x="1169"/>
        <item m="1" x="982"/>
        <item m="1" x="813"/>
        <item m="1" x="665"/>
        <item m="1" x="1054"/>
        <item m="1" x="1290"/>
        <item m="1" x="1149"/>
        <item m="1" x="298"/>
        <item m="1" x="1004"/>
        <item m="1" x="1234"/>
        <item m="1" x="1055"/>
        <item m="1" x="912"/>
        <item m="1" x="1313"/>
        <item m="1" x="1376"/>
        <item m="1" x="333"/>
        <item m="1" x="823"/>
        <item m="1" x="890"/>
        <item m="1" x="1384"/>
        <item m="1" x="335"/>
        <item m="1" x="435"/>
        <item m="1" x="1041"/>
        <item m="1" x="604"/>
        <item m="1" x="748"/>
        <item m="1" x="1348"/>
        <item m="1" x="289"/>
        <item m="1" x="661"/>
        <item m="1" x="382"/>
        <item m="1" x="534"/>
        <item m="1" x="977"/>
        <item m="1" x="1223"/>
        <item m="1" x="535"/>
        <item m="1" x="517"/>
        <item m="1" x="671"/>
        <item m="1" x="822"/>
        <item m="1" x="404"/>
        <item m="1" x="508"/>
        <item m="1" x="1102"/>
        <item m="1" x="426"/>
        <item m="1" x="1119"/>
        <item m="1" x="968"/>
        <item m="1" x="1082"/>
        <item m="1" x="1383"/>
        <item m="1" x="1152"/>
        <item m="1" x="1137"/>
        <item m="1" x="956"/>
        <item m="1" x="1209"/>
        <item m="1" x="1366"/>
        <item m="1" x="820"/>
        <item m="1" x="1374"/>
        <item m="1" x="460"/>
        <item m="1" x="470"/>
        <item m="1" x="732"/>
        <item m="1" x="1062"/>
        <item m="1" x="1233"/>
        <item m="1" x="457"/>
        <item m="1" x="1111"/>
        <item m="1" x="843"/>
        <item m="1" x="1189"/>
        <item m="1" x="412"/>
        <item m="1" x="290"/>
        <item m="1" x="1126"/>
        <item m="1" x="1044"/>
        <item m="1" x="573"/>
        <item m="1" x="321"/>
        <item m="1" x="1329"/>
        <item m="1" x="869"/>
        <item m="1" x="377"/>
        <item m="1" x="341"/>
        <item m="1" x="475"/>
        <item m="1" x="672"/>
        <item m="1" x="1140"/>
        <item m="1" x="1148"/>
        <item m="1" x="1171"/>
        <item m="1" x="1143"/>
        <item m="1" x="875"/>
        <item m="1" x="1268"/>
        <item m="1" x="1011"/>
        <item m="1" x="1375"/>
        <item m="1" x="1360"/>
        <item m="1" x="609"/>
        <item m="1" x="559"/>
        <item m="1" x="516"/>
        <item m="1" x="370"/>
        <item m="1" x="465"/>
        <item m="1" x="1333"/>
        <item m="1" x="325"/>
        <item m="1" x="1050"/>
        <item m="1" x="1162"/>
        <item m="1" x="1103"/>
        <item m="1" x="1344"/>
        <item m="1" x="285"/>
        <item m="1" x="1097"/>
        <item m="1" x="1262"/>
        <item m="1" x="1245"/>
        <item m="1" x="1256"/>
        <item m="1" x="757"/>
        <item m="1" x="980"/>
        <item m="1" x="1036"/>
        <item m="1" x="705"/>
        <item m="1" x="574"/>
        <item m="1" x="394"/>
        <item m="1" x="790"/>
        <item m="1" x="1129"/>
        <item m="1" x="859"/>
        <item m="1" x="805"/>
        <item m="1" x="780"/>
        <item m="1" x="954"/>
        <item m="1" x="288"/>
        <item m="1" x="1139"/>
        <item m="1" x="568"/>
        <item m="1" x="713"/>
        <item m="1" x="666"/>
        <item m="1" x="832"/>
        <item m="1" x="1118"/>
        <item m="1" x="1160"/>
        <item m="1" x="749"/>
        <item m="1" x="395"/>
        <item m="1" x="576"/>
        <item m="1" x="1048"/>
        <item m="1" x="471"/>
        <item m="1" x="1355"/>
        <item m="1" x="1195"/>
        <item m="1" x="1191"/>
        <item m="1" x="1368"/>
        <item m="1" x="947"/>
        <item m="1" x="1130"/>
        <item m="1" x="860"/>
        <item m="1" x="562"/>
        <item m="1" x="881"/>
        <item m="1" x="403"/>
        <item m="1" x="960"/>
        <item m="1" x="697"/>
        <item m="1" x="441"/>
        <item m="1" x="824"/>
        <item m="1" x="1168"/>
        <item m="1" x="1094"/>
        <item m="1" x="507"/>
        <item m="1" x="331"/>
        <item m="1" x="729"/>
        <item m="1" x="711"/>
        <item m="1" x="1104"/>
        <item m="1" x="855"/>
        <item m="1" x="905"/>
        <item m="1" x="323"/>
        <item m="1" x="990"/>
        <item m="1" x="1270"/>
        <item m="1" x="1382"/>
        <item m="1" x="536"/>
        <item m="1" x="673"/>
        <item m="1" x="405"/>
        <item m="1" x="525"/>
        <item m="1" x="1319"/>
        <item m="1" x="847"/>
        <item m="1" x="1134"/>
        <item m="1" x="381"/>
        <item m="1" x="319"/>
        <item m="1" x="567"/>
        <item m="1" x="1253"/>
        <item m="1" x="572"/>
        <item m="1" x="1206"/>
        <item m="1" x="787"/>
        <item m="1" x="1358"/>
        <item m="1" x="1065"/>
        <item m="1" x="777"/>
        <item m="1" x="371"/>
        <item m="1" x="1177"/>
        <item m="1" x="1285"/>
        <item m="1" x="641"/>
        <item m="1" x="488"/>
        <item m="1" x="1166"/>
        <item m="1" x="1199"/>
        <item m="1" x="1059"/>
        <item m="1" x="463"/>
        <item m="1" x="398"/>
        <item m="1" x="948"/>
        <item m="1" x="987"/>
        <item m="1" x="865"/>
        <item m="1" x="1248"/>
        <item m="1" x="611"/>
        <item m="1" x="674"/>
        <item m="1" x="1133"/>
        <item m="1" x="1146"/>
        <item m="1" x="305"/>
        <item m="1" x="633"/>
        <item m="1" x="1023"/>
        <item m="1" x="670"/>
        <item m="1" x="620"/>
        <item m="1" x="389"/>
        <item m="1" x="1025"/>
        <item m="1" x="1095"/>
        <item m="1" x="1172"/>
        <item m="1" x="556"/>
        <item x="240"/>
        <item x="0"/>
        <item x="1"/>
        <item x="2"/>
        <item x="3"/>
        <item x="4"/>
        <item x="5"/>
        <item x="6"/>
        <item x="7"/>
        <item m="1" x="480"/>
        <item m="1" x="1109"/>
        <item m="1" x="476"/>
        <item m="1" x="718"/>
        <item x="12"/>
        <item x="260"/>
        <item x="13"/>
        <item x="14"/>
        <item m="1" x="1001"/>
        <item m="1" x="360"/>
        <item m="1" x="352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m="1" x="858"/>
        <item x="29"/>
        <item x="30"/>
        <item x="31"/>
        <item x="32"/>
        <item x="223"/>
        <item x="33"/>
        <item x="34"/>
        <item x="35"/>
        <item m="1" x="430"/>
        <item m="1" x="401"/>
        <item x="36"/>
        <item x="37"/>
        <item x="38"/>
        <item x="39"/>
        <item x="40"/>
        <item x="41"/>
        <item x="42"/>
        <item x="43"/>
        <item x="44"/>
        <item x="45"/>
        <item x="234"/>
        <item x="46"/>
        <item x="47"/>
        <item x="48"/>
        <item x="224"/>
        <item x="225"/>
        <item m="1" x="816"/>
        <item m="1" x="1289"/>
        <item m="1" x="1269"/>
        <item x="52"/>
        <item x="53"/>
        <item m="1" x="1013"/>
        <item m="1" x="291"/>
        <item m="1" x="1155"/>
        <item m="1" x="731"/>
        <item m="1" x="548"/>
        <item m="1" x="447"/>
        <item m="1" x="1135"/>
        <item m="1" x="1113"/>
        <item m="1" x="1288"/>
        <item m="1" x="561"/>
        <item x="62"/>
        <item x="237"/>
        <item x="63"/>
        <item x="64"/>
        <item x="65"/>
        <item x="66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m="1" x="1131"/>
        <item m="1" x="689"/>
        <item m="1" x="998"/>
        <item x="87"/>
        <item x="227"/>
        <item x="88"/>
        <item m="1" x="543"/>
        <item m="1" x="803"/>
        <item x="89"/>
        <item x="90"/>
        <item m="1" x="1259"/>
        <item m="1" x="716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m="1" x="984"/>
        <item m="1" x="722"/>
        <item x="106"/>
        <item m="1" x="830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248"/>
        <item x="142"/>
        <item x="143"/>
        <item x="144"/>
        <item x="145"/>
        <item m="1" x="407"/>
        <item x="146"/>
        <item x="147"/>
        <item m="1" x="650"/>
        <item m="1" x="753"/>
        <item x="148"/>
        <item x="149"/>
        <item x="150"/>
        <item x="151"/>
        <item x="152"/>
        <item m="1" x="734"/>
        <item x="153"/>
        <item x="154"/>
        <item x="155"/>
        <item x="156"/>
        <item x="157"/>
        <item x="158"/>
        <item m="1" x="303"/>
        <item x="159"/>
        <item x="160"/>
        <item x="161"/>
        <item x="162"/>
        <item x="163"/>
        <item x="164"/>
        <item x="165"/>
        <item x="166"/>
        <item m="1" x="751"/>
        <item m="1" x="1318"/>
        <item x="169"/>
        <item m="1" x="541"/>
        <item x="170"/>
        <item m="1" x="742"/>
        <item x="243"/>
        <item x="173"/>
        <item x="174"/>
        <item x="175"/>
        <item x="176"/>
        <item x="177"/>
        <item x="178"/>
        <item x="179"/>
        <item x="180"/>
        <item x="244"/>
        <item x="181"/>
        <item x="239"/>
        <item x="182"/>
        <item x="252"/>
        <item x="183"/>
        <item m="1" x="669"/>
        <item x="229"/>
        <item x="249"/>
        <item x="230"/>
        <item x="184"/>
        <item x="185"/>
        <item x="186"/>
        <item x="187"/>
        <item m="1" x="700"/>
        <item x="188"/>
        <item x="189"/>
        <item x="190"/>
        <item x="231"/>
        <item m="1" x="1311"/>
        <item x="191"/>
        <item x="192"/>
        <item x="257"/>
        <item x="193"/>
        <item x="194"/>
        <item m="1" x="448"/>
        <item m="1" x="1317"/>
        <item x="195"/>
        <item x="253"/>
        <item m="1" x="1056"/>
        <item x="196"/>
        <item x="222"/>
        <item m="1" x="597"/>
        <item x="228"/>
        <item x="245"/>
        <item x="232"/>
        <item m="1" x="537"/>
        <item m="1" x="1197"/>
        <item m="1" x="301"/>
        <item m="1" x="300"/>
        <item x="197"/>
        <item m="1" x="983"/>
        <item m="1" x="836"/>
        <item x="255"/>
        <item m="1" x="971"/>
        <item m="1" x="306"/>
        <item x="238"/>
        <item m="1" x="1026"/>
        <item x="73"/>
        <item m="1" x="1357"/>
        <item m="1" x="613"/>
        <item m="1" x="783"/>
        <item x="171"/>
        <item x="172"/>
        <item x="198"/>
        <item x="199"/>
        <item m="1" x="710"/>
        <item m="1" x="1310"/>
        <item m="1" x="739"/>
        <item x="202"/>
        <item m="1" x="416"/>
        <item m="1" x="342"/>
        <item m="1" x="1280"/>
        <item m="1" x="434"/>
        <item m="1" x="451"/>
        <item x="258"/>
        <item m="1" x="437"/>
        <item x="250"/>
        <item m="1" x="1338"/>
        <item x="204"/>
        <item x="205"/>
        <item x="206"/>
        <item x="208"/>
        <item x="209"/>
        <item x="207"/>
        <item m="1" x="698"/>
        <item m="1" x="709"/>
        <item m="1" x="719"/>
        <item m="1" x="699"/>
        <item m="1" x="428"/>
        <item m="1" x="596"/>
        <item m="1" x="487"/>
        <item x="210"/>
        <item m="1" x="1244"/>
        <item m="1" x="521"/>
        <item m="1" x="793"/>
        <item m="1" x="807"/>
        <item m="1" x="1072"/>
        <item m="1" x="969"/>
        <item m="1" x="1341"/>
        <item m="1" x="812"/>
        <item m="1" x="1075"/>
        <item m="1" x="524"/>
        <item m="1" x="797"/>
        <item m="1" x="632"/>
        <item m="1" x="885"/>
        <item m="1" x="1239"/>
        <item m="1" x="484"/>
        <item m="1" x="1242"/>
        <item m="1" x="664"/>
        <item m="1" x="911"/>
        <item m="1" x="801"/>
        <item m="1" x="955"/>
        <item m="1" x="1208"/>
        <item m="1" x="740"/>
        <item m="1" x="351"/>
        <item m="1" x="1120"/>
        <item m="1" x="504"/>
        <item m="1" x="788"/>
        <item m="1" x="927"/>
        <item m="1" x="915"/>
        <item m="1" x="852"/>
        <item m="1" x="1362"/>
        <item m="1" x="489"/>
        <item m="1" x="1363"/>
        <item m="1" x="1106"/>
        <item m="1" x="677"/>
        <item m="1" x="930"/>
        <item m="1" x="316"/>
        <item m="1" x="538"/>
        <item m="1" x="1327"/>
        <item m="1" x="654"/>
        <item m="1" x="933"/>
        <item m="1" x="988"/>
        <item m="1" x="1225"/>
        <item m="1" x="478"/>
        <item m="1" x="1228"/>
        <item m="1" x="356"/>
        <item m="1" x="795"/>
        <item m="1" x="1053"/>
        <item m="1" x="1231"/>
        <item m="1" x="479"/>
        <item m="1" x="808"/>
        <item m="1" x="583"/>
        <item m="1" x="840"/>
        <item m="1" x="1088"/>
        <item m="1" x="1196"/>
        <item m="1" x="958"/>
        <item m="1" x="1336"/>
        <item m="1" x="626"/>
        <item m="1" x="908"/>
        <item m="1" x="366"/>
        <item m="1" x="1089"/>
        <item m="1" x="1151"/>
        <item m="1" x="492"/>
        <item m="1" x="624"/>
        <item m="1" x="485"/>
        <item m="1" x="868"/>
        <item m="1" x="837"/>
        <item x="212"/>
        <item x="213"/>
        <item x="214"/>
        <item x="215"/>
        <item x="216"/>
        <item x="211"/>
        <item m="1" x="800"/>
        <item m="1" x="443"/>
        <item m="1" x="1335"/>
        <item m="1" x="1304"/>
        <item m="1" x="374"/>
        <item m="1" x="794"/>
        <item m="1" x="1312"/>
        <item m="1" x="928"/>
        <item m="1" x="1211"/>
        <item m="1" x="461"/>
        <item m="1" x="942"/>
        <item m="1" x="1278"/>
        <item m="1" x="512"/>
        <item m="1" x="1017"/>
        <item m="1" x="898"/>
        <item m="1" x="580"/>
        <item m="1" x="1079"/>
        <item m="1" x="415"/>
        <item m="1" x="657"/>
        <item m="1" x="1150"/>
        <item m="1" x="551"/>
        <item m="1" x="799"/>
        <item m="1" x="1287"/>
        <item m="1" x="765"/>
        <item m="1" x="1356"/>
        <item m="1" x="746"/>
        <item x="233"/>
        <item x="8"/>
        <item x="9"/>
        <item x="10"/>
        <item x="11"/>
        <item x="15"/>
        <item x="16"/>
        <item x="49"/>
        <item x="50"/>
        <item x="51"/>
        <item x="235"/>
        <item x="54"/>
        <item x="55"/>
        <item x="56"/>
        <item x="57"/>
        <item x="58"/>
        <item x="59"/>
        <item x="60"/>
        <item x="61"/>
        <item x="254"/>
        <item x="85"/>
        <item x="86"/>
        <item x="91"/>
        <item x="92"/>
        <item x="167"/>
        <item x="168"/>
        <item x="200"/>
        <item x="201"/>
        <item m="1" x="721"/>
        <item x="247"/>
        <item x="261"/>
        <item x="236"/>
        <item x="226"/>
        <item x="241"/>
        <item m="1" x="1159"/>
        <item x="217"/>
        <item x="218"/>
        <item m="1" x="1022"/>
        <item m="1" x="886"/>
        <item x="268"/>
        <item m="1" x="623"/>
        <item m="1" x="637"/>
        <item x="264"/>
        <item m="1" x="1325"/>
        <item x="267"/>
        <item m="1" x="594"/>
        <item x="276"/>
        <item m="1" x="738"/>
        <item m="1" x="923"/>
        <item x="279"/>
        <item m="1" x="1186"/>
        <item x="203"/>
        <item x="219"/>
        <item x="220"/>
        <item x="221"/>
        <item x="242"/>
        <item x="246"/>
        <item x="251"/>
        <item x="256"/>
        <item x="259"/>
        <item x="263"/>
        <item x="265"/>
        <item x="266"/>
        <item x="269"/>
        <item x="270"/>
        <item x="271"/>
        <item x="272"/>
        <item x="273"/>
        <item x="274"/>
        <item x="275"/>
        <item x="277"/>
        <item x="278"/>
        <item x="28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defaultSubtotal="0" outline="0" subtotalTop="0" showAll="0" includeNewItemsInFilter="1"/>
  </pivotFields>
  <rowFields count="1">
    <field x="0"/>
  </rowFields>
  <rowItems count="283">
    <i>
      <x v="275"/>
    </i>
    <i>
      <x v="354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5"/>
    </i>
    <i>
      <x v="946"/>
    </i>
    <i>
      <x v="947"/>
    </i>
    <i>
      <x v="948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4"/>
    </i>
    <i>
      <x v="99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32"/>
    </i>
    <i>
      <x v="1033"/>
    </i>
    <i>
      <x v="1034"/>
    </i>
    <i>
      <x v="1037"/>
    </i>
    <i>
      <x v="1038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6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9"/>
    </i>
    <i>
      <x v="1100"/>
    </i>
    <i>
      <x v="1103"/>
    </i>
    <i>
      <x v="1104"/>
    </i>
    <i>
      <x v="1105"/>
    </i>
    <i>
      <x v="1106"/>
    </i>
    <i>
      <x v="1107"/>
    </i>
    <i>
      <x v="1109"/>
    </i>
    <i>
      <x v="1110"/>
    </i>
    <i>
      <x v="1111"/>
    </i>
    <i>
      <x v="1112"/>
    </i>
    <i>
      <x v="1113"/>
    </i>
    <i>
      <x v="1114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6"/>
    </i>
    <i>
      <x v="1128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4"/>
    </i>
    <i>
      <x v="1155"/>
    </i>
    <i>
      <x v="1156"/>
    </i>
    <i>
      <x v="1157"/>
    </i>
    <i>
      <x v="1159"/>
    </i>
    <i>
      <x v="1160"/>
    </i>
    <i>
      <x v="1161"/>
    </i>
    <i>
      <x v="1162"/>
    </i>
    <i>
      <x v="1163"/>
    </i>
    <i>
      <x v="1166"/>
    </i>
    <i>
      <x v="1167"/>
    </i>
    <i>
      <x v="1169"/>
    </i>
    <i>
      <x v="1170"/>
    </i>
    <i>
      <x v="1172"/>
    </i>
    <i>
      <x v="1173"/>
    </i>
    <i>
      <x v="1174"/>
    </i>
    <i>
      <x v="1179"/>
    </i>
    <i>
      <x v="1182"/>
    </i>
    <i>
      <x v="1185"/>
    </i>
    <i>
      <x v="1187"/>
    </i>
    <i>
      <x v="1191"/>
    </i>
    <i>
      <x v="1192"/>
    </i>
    <i>
      <x v="1193"/>
    </i>
    <i>
      <x v="1194"/>
    </i>
    <i>
      <x v="1198"/>
    </i>
    <i>
      <x v="1204"/>
    </i>
    <i>
      <x v="1206"/>
    </i>
    <i>
      <x v="1208"/>
    </i>
    <i>
      <x v="1209"/>
    </i>
    <i>
      <x v="1210"/>
    </i>
    <i>
      <x v="1211"/>
    </i>
    <i>
      <x v="1212"/>
    </i>
    <i>
      <x v="1213"/>
    </i>
    <i>
      <x v="1221"/>
    </i>
    <i>
      <x v="1288"/>
    </i>
    <i>
      <x v="1289"/>
    </i>
    <i>
      <x v="1290"/>
    </i>
    <i>
      <x v="1291"/>
    </i>
    <i>
      <x v="1292"/>
    </i>
    <i>
      <x v="1293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9"/>
    </i>
    <i>
      <x v="1350"/>
    </i>
    <i>
      <x v="1351"/>
    </i>
    <i>
      <x v="1352"/>
    </i>
    <i>
      <x v="1353"/>
    </i>
    <i>
      <x v="1355"/>
    </i>
    <i>
      <x v="1356"/>
    </i>
    <i>
      <x v="1359"/>
    </i>
    <i>
      <x v="1362"/>
    </i>
    <i>
      <x v="1364"/>
    </i>
    <i>
      <x v="1366"/>
    </i>
    <i>
      <x v="1369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 t="grand">
      <x/>
    </i>
  </rowItems>
  <colItems count="1">
    <i/>
  </colItems>
  <dataFields count="1">
    <dataField name="求和项:实际出品数据（出品数量-退菜数量）" fld="9" baseField="0" baseItem="0"/>
  </dataFields>
  <pivotTableStyleInfo showRowHeaders="1" showColHeaders="1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92D050"/>
  </sheetPr>
  <dimension ref="A1:P534"/>
  <sheetViews>
    <sheetView showZeros="0" tabSelected="1" topLeftCell="C1" workbookViewId="0">
      <pane ySplit="1" topLeftCell="A2" activePane="bottomLeft" state="frozen"/>
      <selection/>
      <selection pane="bottomLeft" activeCell="C547" sqref="C547"/>
    </sheetView>
  </sheetViews>
  <sheetFormatPr defaultColWidth="11" defaultRowHeight="15.75"/>
  <cols>
    <col min="1" max="1" width="6.5" customWidth="1"/>
    <col min="2" max="2" width="10.5"/>
    <col min="3" max="3" width="46" customWidth="1"/>
    <col min="4" max="5" width="11.1666666666667"/>
    <col min="6" max="6" width="11.5"/>
    <col min="7" max="7" width="8" customWidth="1"/>
    <col min="8" max="8" width="15" customWidth="1"/>
    <col min="9" max="9" width="12.5" style="114" customWidth="1"/>
    <col min="10" max="10" width="12.5" style="114"/>
    <col min="11" max="11" width="13" style="114" customWidth="1"/>
    <col min="12" max="12" width="15.3333333333333" style="73" customWidth="1"/>
    <col min="13" max="13" width="13.5" style="73"/>
    <col min="14" max="14" width="32.6666666666667"/>
    <col min="15" max="15" width="49.1666666666667" customWidth="1"/>
  </cols>
  <sheetData>
    <row r="1" s="41" customFormat="1" spans="1:16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115" t="s">
        <v>8</v>
      </c>
      <c r="J1" s="116" t="s">
        <v>9</v>
      </c>
      <c r="K1" s="117" t="s">
        <v>10</v>
      </c>
      <c r="L1" s="118" t="s">
        <v>11</v>
      </c>
      <c r="M1" s="118" t="s">
        <v>12</v>
      </c>
      <c r="N1" s="119" t="s">
        <v>13</v>
      </c>
      <c r="O1" s="120" t="s">
        <v>14</v>
      </c>
      <c r="P1" s="41" t="s">
        <v>15</v>
      </c>
    </row>
    <row r="2" hidden="1" spans="1:16">
      <c r="A2">
        <v>1</v>
      </c>
      <c r="B2">
        <v>4509073</v>
      </c>
      <c r="C2" t="s">
        <v>16</v>
      </c>
      <c r="D2">
        <v>737</v>
      </c>
      <c r="E2">
        <v>330</v>
      </c>
      <c r="F2" t="s">
        <v>17</v>
      </c>
      <c r="G2" t="s">
        <v>18</v>
      </c>
      <c r="H2" t="s">
        <v>17</v>
      </c>
      <c r="I2" s="73">
        <f t="shared" ref="I2:I65" si="0">D2-E2</f>
        <v>407</v>
      </c>
      <c r="J2" s="114">
        <f>VLOOKUP(B2,本月系统单价mb5b!$B:$P,15,0)</f>
        <v>9.6444776119403</v>
      </c>
      <c r="K2" s="114">
        <f t="shared" ref="K2:K65" si="1">I2*J2</f>
        <v>3925.3023880597</v>
      </c>
      <c r="L2" s="114">
        <f>IFERROR(VLOOKUP(B2,上月数量需更新!A:C,3,0),0)</f>
        <v>1540.02</v>
      </c>
      <c r="M2" s="121">
        <f t="shared" ref="M2:M65" si="2">K2-L2</f>
        <v>2385.2823880597</v>
      </c>
      <c r="P2" t="str">
        <f>VLOOKUP(B2,物料分类!B:F,5,0)</f>
        <v>成本-锅底类</v>
      </c>
    </row>
    <row r="3" hidden="1" spans="1:16">
      <c r="A3">
        <v>201</v>
      </c>
      <c r="B3">
        <v>8011286</v>
      </c>
      <c r="C3" t="s">
        <v>19</v>
      </c>
      <c r="D3">
        <v>6400</v>
      </c>
      <c r="E3">
        <v>1900</v>
      </c>
      <c r="F3" t="s">
        <v>20</v>
      </c>
      <c r="G3" t="s">
        <v>21</v>
      </c>
      <c r="H3" t="s">
        <v>20</v>
      </c>
      <c r="I3" s="73">
        <f t="shared" si="0"/>
        <v>4500</v>
      </c>
      <c r="J3" s="114">
        <f>VLOOKUP(B3,本月系统单价mb5b!$B:$P,15,0)</f>
        <v>0.542134375</v>
      </c>
      <c r="K3" s="114">
        <f t="shared" si="1"/>
        <v>2439.6046875</v>
      </c>
      <c r="L3" s="114">
        <f>IFERROR(VLOOKUP(B3,上月数量需更新!A:C,3,0),0)</f>
        <v>2607.27</v>
      </c>
      <c r="M3" s="121">
        <f t="shared" si="2"/>
        <v>-167.6653125</v>
      </c>
      <c r="P3" t="str">
        <f>VLOOKUP(B3,物料分类!B:F,5,0)</f>
        <v>物料消耗</v>
      </c>
    </row>
    <row r="4" hidden="1" spans="1:16">
      <c r="A4">
        <v>3</v>
      </c>
      <c r="B4">
        <v>8014686</v>
      </c>
      <c r="C4" t="s">
        <v>22</v>
      </c>
      <c r="D4">
        <v>30</v>
      </c>
      <c r="E4">
        <v>30</v>
      </c>
      <c r="F4" t="s">
        <v>20</v>
      </c>
      <c r="G4" t="s">
        <v>21</v>
      </c>
      <c r="H4" t="s">
        <v>20</v>
      </c>
      <c r="I4" s="73">
        <f t="shared" si="0"/>
        <v>0</v>
      </c>
      <c r="J4" s="114">
        <f>VLOOKUP(B4,本月系统单价mb5b!$B:$P,15,0)</f>
        <v>8.39466666666667</v>
      </c>
      <c r="K4" s="114">
        <f t="shared" si="1"/>
        <v>0</v>
      </c>
      <c r="L4" s="114">
        <f>IFERROR(VLOOKUP(B4,上月数量需更新!A:C,3,0),0)</f>
        <v>251.84</v>
      </c>
      <c r="M4" s="121">
        <f t="shared" si="2"/>
        <v>-251.84</v>
      </c>
      <c r="P4" t="str">
        <f>VLOOKUP(B4,物料分类!B:F,5,0)</f>
        <v>服务费</v>
      </c>
    </row>
    <row r="5" hidden="1" spans="1:16">
      <c r="A5">
        <v>4</v>
      </c>
      <c r="B5">
        <v>8014689</v>
      </c>
      <c r="C5" t="s">
        <v>23</v>
      </c>
      <c r="D5">
        <v>50</v>
      </c>
      <c r="E5">
        <v>50</v>
      </c>
      <c r="F5" t="s">
        <v>20</v>
      </c>
      <c r="G5" t="s">
        <v>21</v>
      </c>
      <c r="H5" t="s">
        <v>20</v>
      </c>
      <c r="I5" s="73">
        <f t="shared" si="0"/>
        <v>0</v>
      </c>
      <c r="J5" s="114">
        <f>VLOOKUP(B5,本月系统单价mb5b!$B:$P,15,0)</f>
        <v>12.5544</v>
      </c>
      <c r="K5" s="114">
        <f t="shared" si="1"/>
        <v>0</v>
      </c>
      <c r="L5" s="114">
        <f>IFERROR(VLOOKUP(B5,上月数量需更新!A:C,3,0),0)</f>
        <v>125.55</v>
      </c>
      <c r="M5" s="121">
        <f t="shared" si="2"/>
        <v>-125.55</v>
      </c>
      <c r="P5" t="str">
        <f>VLOOKUP(B5,物料分类!B:F,5,0)</f>
        <v>服务费</v>
      </c>
    </row>
    <row r="6" hidden="1" spans="1:16">
      <c r="A6">
        <v>5</v>
      </c>
      <c r="B6">
        <v>8014621</v>
      </c>
      <c r="C6" t="s">
        <v>24</v>
      </c>
      <c r="D6">
        <v>19</v>
      </c>
      <c r="E6">
        <v>19</v>
      </c>
      <c r="F6" t="s">
        <v>25</v>
      </c>
      <c r="G6" t="s">
        <v>26</v>
      </c>
      <c r="H6" t="s">
        <v>25</v>
      </c>
      <c r="I6" s="73">
        <f t="shared" si="0"/>
        <v>0</v>
      </c>
      <c r="J6" s="114">
        <f>VLOOKUP(B6,本月系统单价mb5b!$B:$P,15,0)</f>
        <v>62.2457894736842</v>
      </c>
      <c r="K6" s="114">
        <f t="shared" si="1"/>
        <v>0</v>
      </c>
      <c r="L6" s="114">
        <f>IFERROR(VLOOKUP(B6,上月数量需更新!A:C,3,0),0)</f>
        <v>0</v>
      </c>
      <c r="M6" s="121">
        <f t="shared" si="2"/>
        <v>0</v>
      </c>
      <c r="P6" t="str">
        <f>VLOOKUP(B6,物料分类!B:F,5,0)</f>
        <v>服务费</v>
      </c>
    </row>
    <row r="7" hidden="1" spans="1:16">
      <c r="A7">
        <v>197</v>
      </c>
      <c r="B7">
        <v>8011401</v>
      </c>
      <c r="C7" t="s">
        <v>27</v>
      </c>
      <c r="D7">
        <v>11000</v>
      </c>
      <c r="E7">
        <v>3000</v>
      </c>
      <c r="F7" t="s">
        <v>20</v>
      </c>
      <c r="G7" t="s">
        <v>21</v>
      </c>
      <c r="H7" t="s">
        <v>20</v>
      </c>
      <c r="I7" s="73">
        <f t="shared" si="0"/>
        <v>8000</v>
      </c>
      <c r="J7" s="114">
        <f>VLOOKUP(B7,本月系统单价mb5b!$B:$P,15,0)</f>
        <v>0.247412727272727</v>
      </c>
      <c r="K7" s="114">
        <f t="shared" si="1"/>
        <v>1979.30181818182</v>
      </c>
      <c r="L7" s="114">
        <f>IFERROR(VLOOKUP(B7,上月数量需更新!A:C,3,0),0)</f>
        <v>378.13</v>
      </c>
      <c r="M7" s="121">
        <f t="shared" si="2"/>
        <v>1601.17181818182</v>
      </c>
      <c r="P7" t="str">
        <f>VLOOKUP(B7,物料分类!B:F,5,0)</f>
        <v>物料消耗</v>
      </c>
    </row>
    <row r="8" hidden="1" spans="1:16">
      <c r="A8">
        <v>450</v>
      </c>
      <c r="B8">
        <v>8704096</v>
      </c>
      <c r="C8" t="s">
        <v>28</v>
      </c>
      <c r="D8">
        <v>490</v>
      </c>
      <c r="E8">
        <v>84</v>
      </c>
      <c r="F8" t="s">
        <v>29</v>
      </c>
      <c r="G8" t="s">
        <v>30</v>
      </c>
      <c r="H8" t="s">
        <v>29</v>
      </c>
      <c r="I8" s="73">
        <f t="shared" si="0"/>
        <v>406</v>
      </c>
      <c r="J8" s="114">
        <f>VLOOKUP(B8,本月系统单价mb5b!$B:$P,15,0)</f>
        <v>4.04383673469388</v>
      </c>
      <c r="K8" s="114">
        <f t="shared" si="1"/>
        <v>1641.79771428571</v>
      </c>
      <c r="L8" s="114">
        <f>IFERROR(VLOOKUP(B8,上月数量需更新!A:C,3,0),0)</f>
        <v>1687.01</v>
      </c>
      <c r="M8" s="121">
        <f t="shared" si="2"/>
        <v>-45.2122857142856</v>
      </c>
      <c r="P8" t="str">
        <f>VLOOKUP(B8,物料分类!B:F,5,0)</f>
        <v>物料消耗</v>
      </c>
    </row>
    <row r="9" spans="1:16">
      <c r="A9">
        <v>8</v>
      </c>
      <c r="B9">
        <v>1500911</v>
      </c>
      <c r="C9" t="s">
        <v>31</v>
      </c>
      <c r="D9">
        <v>3217</v>
      </c>
      <c r="E9">
        <v>3070</v>
      </c>
      <c r="F9" t="s">
        <v>32</v>
      </c>
      <c r="G9" t="s">
        <v>33</v>
      </c>
      <c r="H9" t="s">
        <v>32</v>
      </c>
      <c r="I9" s="73">
        <f t="shared" si="0"/>
        <v>147</v>
      </c>
      <c r="J9" s="114">
        <f>VLOOKUP(B9,本月系统单价mb5b!$B:$P,15,0)</f>
        <v>2.15498290332608</v>
      </c>
      <c r="K9" s="114">
        <f t="shared" si="1"/>
        <v>316.782486788934</v>
      </c>
      <c r="L9" s="114">
        <f>IFERROR(VLOOKUP(B9,上月数量需更新!A:C,3,0),0)</f>
        <v>249.98</v>
      </c>
      <c r="M9" s="121">
        <f t="shared" si="2"/>
        <v>66.8024867889338</v>
      </c>
      <c r="N9" t="str">
        <f>VLOOKUP(B9,计算!R:X,7,0)</f>
        <v>多使用1瓶</v>
      </c>
      <c r="O9" t="s">
        <v>34</v>
      </c>
      <c r="P9" t="str">
        <f>VLOOKUP(B9,物料分类!B:F,5,0)</f>
        <v>成本-酒水类</v>
      </c>
    </row>
    <row r="10" hidden="1" spans="1:16">
      <c r="A10">
        <v>9</v>
      </c>
      <c r="B10">
        <v>1501193</v>
      </c>
      <c r="C10" t="s">
        <v>35</v>
      </c>
      <c r="D10">
        <v>10.84</v>
      </c>
      <c r="E10">
        <v>2.288</v>
      </c>
      <c r="F10" t="s">
        <v>36</v>
      </c>
      <c r="G10" t="s">
        <v>37</v>
      </c>
      <c r="H10" t="s">
        <v>38</v>
      </c>
      <c r="I10" s="73">
        <f t="shared" si="0"/>
        <v>8.552</v>
      </c>
      <c r="J10" s="114">
        <f>VLOOKUP(B10,本月系统单价mb5b!$B:$P,15,0)</f>
        <v>19.6070110701107</v>
      </c>
      <c r="K10" s="114">
        <f t="shared" si="1"/>
        <v>167.679158671587</v>
      </c>
      <c r="L10" s="114">
        <f>IFERROR(VLOOKUP(B10,上月数量需更新!A:C,3,0),0)</f>
        <v>74.34</v>
      </c>
      <c r="M10" s="121">
        <f t="shared" si="2"/>
        <v>93.3391586715867</v>
      </c>
      <c r="P10" t="str">
        <f>VLOOKUP(B10,物料分类!B:F,5,0)</f>
        <v>成本-荤菜类</v>
      </c>
    </row>
    <row r="11" hidden="1" spans="1:16">
      <c r="A11">
        <v>26</v>
      </c>
      <c r="B11">
        <v>8011001</v>
      </c>
      <c r="C11" t="s">
        <v>39</v>
      </c>
      <c r="D11">
        <v>11000</v>
      </c>
      <c r="E11">
        <v>5000</v>
      </c>
      <c r="F11" t="s">
        <v>40</v>
      </c>
      <c r="G11" t="s">
        <v>41</v>
      </c>
      <c r="H11" t="s">
        <v>40</v>
      </c>
      <c r="I11" s="73">
        <f t="shared" si="0"/>
        <v>6000</v>
      </c>
      <c r="J11" s="114">
        <f>VLOOKUP(B11,本月系统单价mb5b!$B:$P,15,0)</f>
        <v>0.192975454545455</v>
      </c>
      <c r="K11" s="114">
        <f t="shared" si="1"/>
        <v>1157.85272727273</v>
      </c>
      <c r="L11" s="114">
        <f>IFERROR(VLOOKUP(B11,上月数量需更新!A:C,3,0),0)</f>
        <v>1929.76</v>
      </c>
      <c r="M11" s="121">
        <f t="shared" si="2"/>
        <v>-771.907272727273</v>
      </c>
      <c r="P11" t="str">
        <f>VLOOKUP(B11,物料分类!B:F,5,0)</f>
        <v>物料消耗</v>
      </c>
    </row>
    <row r="12" hidden="1" spans="1:16">
      <c r="A12">
        <v>49</v>
      </c>
      <c r="B12">
        <v>8703542</v>
      </c>
      <c r="C12" t="s">
        <v>42</v>
      </c>
      <c r="D12">
        <v>200</v>
      </c>
      <c r="E12">
        <v>100</v>
      </c>
      <c r="F12" t="s">
        <v>20</v>
      </c>
      <c r="G12" t="s">
        <v>21</v>
      </c>
      <c r="H12" t="s">
        <v>20</v>
      </c>
      <c r="I12" s="73">
        <f t="shared" si="0"/>
        <v>100</v>
      </c>
      <c r="J12" s="114">
        <f>VLOOKUP(B12,本月系统单价mb5b!$B:$P,15,0)</f>
        <v>9.12505</v>
      </c>
      <c r="K12" s="114">
        <f t="shared" si="1"/>
        <v>912.505</v>
      </c>
      <c r="L12" s="114">
        <f>IFERROR(VLOOKUP(B12,上月数量需更新!A:C,3,0),0)</f>
        <v>0</v>
      </c>
      <c r="M12" s="121">
        <f t="shared" si="2"/>
        <v>912.505</v>
      </c>
      <c r="P12" t="str">
        <f>VLOOKUP(B12,物料分类!B:F,5,0)</f>
        <v>物料消耗</v>
      </c>
    </row>
    <row r="13" hidden="1" spans="1:16">
      <c r="A13">
        <v>12</v>
      </c>
      <c r="B13">
        <v>4521260</v>
      </c>
      <c r="C13" t="s">
        <v>43</v>
      </c>
      <c r="D13">
        <v>22.68</v>
      </c>
      <c r="E13">
        <v>7.56</v>
      </c>
      <c r="F13" t="s">
        <v>44</v>
      </c>
      <c r="G13" t="s">
        <v>45</v>
      </c>
      <c r="H13" t="s">
        <v>46</v>
      </c>
      <c r="I13" s="73">
        <f t="shared" si="0"/>
        <v>15.12</v>
      </c>
      <c r="J13" s="114">
        <f>VLOOKUP(B13,本月系统单价mb5b!$B:$P,15,0)</f>
        <v>9.59523809523809</v>
      </c>
      <c r="K13" s="114">
        <f t="shared" si="1"/>
        <v>145.08</v>
      </c>
      <c r="L13" s="114">
        <f>IFERROR(VLOOKUP(B13,上月数量需更新!A:C,3,0),0)</f>
        <v>74.69</v>
      </c>
      <c r="M13" s="121">
        <f t="shared" si="2"/>
        <v>70.39</v>
      </c>
      <c r="P13" t="str">
        <f>VLOOKUP(B13,物料分类!B:F,5,0)</f>
        <v>成本-小料台类</v>
      </c>
    </row>
    <row r="14" hidden="1" spans="1:16">
      <c r="A14">
        <v>13</v>
      </c>
      <c r="B14">
        <v>4505451</v>
      </c>
      <c r="C14" t="s">
        <v>47</v>
      </c>
      <c r="D14">
        <v>1</v>
      </c>
      <c r="E14">
        <v>1</v>
      </c>
      <c r="F14" t="s">
        <v>32</v>
      </c>
      <c r="G14" t="s">
        <v>33</v>
      </c>
      <c r="H14" t="s">
        <v>32</v>
      </c>
      <c r="I14" s="73">
        <f t="shared" si="0"/>
        <v>0</v>
      </c>
      <c r="J14" s="114">
        <f>VLOOKUP(B14,本月系统单价mb5b!$B:$P,15,0)</f>
        <v>57.31</v>
      </c>
      <c r="K14" s="114">
        <f t="shared" si="1"/>
        <v>0</v>
      </c>
      <c r="L14" s="114">
        <f>IFERROR(VLOOKUP(B14,上月数量需更新!A:C,3,0),0)</f>
        <v>0</v>
      </c>
      <c r="M14" s="121">
        <f t="shared" si="2"/>
        <v>0</v>
      </c>
      <c r="P14" t="str">
        <f>VLOOKUP(B14,物料分类!B:F,5,0)</f>
        <v>成本-酒水类</v>
      </c>
    </row>
    <row r="15" hidden="1" spans="1:16">
      <c r="A15">
        <v>14</v>
      </c>
      <c r="B15">
        <v>4505448</v>
      </c>
      <c r="C15" t="s">
        <v>48</v>
      </c>
      <c r="D15">
        <v>1</v>
      </c>
      <c r="E15">
        <v>1</v>
      </c>
      <c r="F15" t="s">
        <v>32</v>
      </c>
      <c r="G15" t="s">
        <v>33</v>
      </c>
      <c r="H15" t="s">
        <v>32</v>
      </c>
      <c r="I15" s="73">
        <f t="shared" si="0"/>
        <v>0</v>
      </c>
      <c r="J15" s="114">
        <f>VLOOKUP(B15,本月系统单价mb5b!$B:$P,15,0)</f>
        <v>29.25</v>
      </c>
      <c r="K15" s="114">
        <f t="shared" si="1"/>
        <v>0</v>
      </c>
      <c r="L15" s="114">
        <f>IFERROR(VLOOKUP(B15,上月数量需更新!A:C,3,0),0)</f>
        <v>0</v>
      </c>
      <c r="M15" s="121">
        <f t="shared" si="2"/>
        <v>0</v>
      </c>
      <c r="P15" t="str">
        <f>VLOOKUP(B15,物料分类!B:F,5,0)</f>
        <v>成本-酒水类</v>
      </c>
    </row>
    <row r="16" hidden="1" spans="1:16">
      <c r="A16">
        <v>15</v>
      </c>
      <c r="B16">
        <v>4518902</v>
      </c>
      <c r="C16" t="s">
        <v>49</v>
      </c>
      <c r="D16">
        <v>35</v>
      </c>
      <c r="E16">
        <v>0</v>
      </c>
      <c r="F16" t="s">
        <v>32</v>
      </c>
      <c r="G16" t="s">
        <v>33</v>
      </c>
      <c r="H16" t="s">
        <v>32</v>
      </c>
      <c r="I16" s="73">
        <f t="shared" si="0"/>
        <v>35</v>
      </c>
      <c r="J16" s="114">
        <f>VLOOKUP(B16,本月系统单价mb5b!$B:$P,15,0)</f>
        <v>0.211714285714286</v>
      </c>
      <c r="K16" s="114">
        <f t="shared" si="1"/>
        <v>7.41</v>
      </c>
      <c r="L16" s="114">
        <f>IFERROR(VLOOKUP(B16,上月数量需更新!A:C,3,0),0)</f>
        <v>37.03</v>
      </c>
      <c r="M16" s="121">
        <f t="shared" si="2"/>
        <v>-29.62</v>
      </c>
      <c r="P16" t="str">
        <f>VLOOKUP(B16,物料分类!B:F,5,0)</f>
        <v>成本-酒水类</v>
      </c>
    </row>
    <row r="17" spans="1:16">
      <c r="A17">
        <v>16</v>
      </c>
      <c r="B17">
        <v>4518131</v>
      </c>
      <c r="C17" t="s">
        <v>50</v>
      </c>
      <c r="D17">
        <v>716</v>
      </c>
      <c r="E17">
        <v>675</v>
      </c>
      <c r="F17" t="s">
        <v>32</v>
      </c>
      <c r="G17" t="s">
        <v>33</v>
      </c>
      <c r="H17" t="s">
        <v>32</v>
      </c>
      <c r="I17" s="73">
        <f t="shared" si="0"/>
        <v>41</v>
      </c>
      <c r="J17" s="114">
        <f>VLOOKUP(B17,本月系统单价mb5b!$B:$P,15,0)</f>
        <v>5.38</v>
      </c>
      <c r="K17" s="114">
        <f t="shared" si="1"/>
        <v>220.58</v>
      </c>
      <c r="L17" s="114">
        <f>IFERROR(VLOOKUP(B17,上月数量需更新!A:C,3,0),0)</f>
        <v>182.92</v>
      </c>
      <c r="M17" s="121">
        <f t="shared" si="2"/>
        <v>37.66</v>
      </c>
      <c r="N17" t="str">
        <f>VLOOKUP(B17,计算!R:X,7,0)</f>
        <v>多使用26瓶</v>
      </c>
      <c r="O17" t="s">
        <v>51</v>
      </c>
      <c r="P17" t="str">
        <f>VLOOKUP(B17,物料分类!B:F,5,0)</f>
        <v>成本-酒水类</v>
      </c>
    </row>
    <row r="18" hidden="1" spans="1:16">
      <c r="A18">
        <v>17</v>
      </c>
      <c r="B18">
        <v>4528292</v>
      </c>
      <c r="C18" t="s">
        <v>52</v>
      </c>
      <c r="D18">
        <v>3</v>
      </c>
      <c r="E18">
        <v>3</v>
      </c>
      <c r="F18" t="s">
        <v>32</v>
      </c>
      <c r="G18" t="s">
        <v>33</v>
      </c>
      <c r="H18" t="s">
        <v>32</v>
      </c>
      <c r="I18" s="73">
        <f t="shared" si="0"/>
        <v>0</v>
      </c>
      <c r="J18" s="114">
        <f>VLOOKUP(B18,本月系统单价mb5b!$B:$P,15,0)</f>
        <v>19.97</v>
      </c>
      <c r="K18" s="114">
        <f t="shared" si="1"/>
        <v>0</v>
      </c>
      <c r="L18" s="114">
        <f>IFERROR(VLOOKUP(B18,上月数量需更新!A:C,3,0),0)</f>
        <v>0</v>
      </c>
      <c r="M18" s="121">
        <f t="shared" si="2"/>
        <v>0</v>
      </c>
      <c r="P18" t="str">
        <f>VLOOKUP(B18,物料分类!B:F,5,0)</f>
        <v>成本-酒水类</v>
      </c>
    </row>
    <row r="19" hidden="1" spans="1:16">
      <c r="A19">
        <v>18</v>
      </c>
      <c r="B19">
        <v>4528291</v>
      </c>
      <c r="C19" t="s">
        <v>53</v>
      </c>
      <c r="D19">
        <v>1</v>
      </c>
      <c r="E19">
        <v>0</v>
      </c>
      <c r="F19" t="s">
        <v>32</v>
      </c>
      <c r="G19" t="s">
        <v>33</v>
      </c>
      <c r="H19" t="s">
        <v>32</v>
      </c>
      <c r="I19" s="73">
        <f t="shared" si="0"/>
        <v>1</v>
      </c>
      <c r="J19" s="114">
        <f>VLOOKUP(B19,本月系统单价mb5b!$B:$P,15,0)</f>
        <v>24.43</v>
      </c>
      <c r="K19" s="114">
        <f t="shared" si="1"/>
        <v>24.43</v>
      </c>
      <c r="L19" s="114">
        <f>IFERROR(VLOOKUP(B19,上月数量需更新!A:C,3,0),0)</f>
        <v>0</v>
      </c>
      <c r="M19" s="121">
        <f t="shared" si="2"/>
        <v>24.43</v>
      </c>
      <c r="P19" t="str">
        <f>VLOOKUP(B19,物料分类!B:F,5,0)</f>
        <v>成本-酒水类</v>
      </c>
    </row>
    <row r="20" hidden="1" spans="1:16">
      <c r="A20">
        <v>264</v>
      </c>
      <c r="B20">
        <v>1500919</v>
      </c>
      <c r="C20" t="s">
        <v>54</v>
      </c>
      <c r="D20">
        <v>11</v>
      </c>
      <c r="E20">
        <v>0</v>
      </c>
      <c r="F20" t="s">
        <v>55</v>
      </c>
      <c r="G20" t="s">
        <v>56</v>
      </c>
      <c r="H20" t="s">
        <v>55</v>
      </c>
      <c r="I20" s="73">
        <f t="shared" si="0"/>
        <v>11</v>
      </c>
      <c r="J20" s="114">
        <f>VLOOKUP(B20,本月系统单价mb5b!$B:$P,15,0)</f>
        <v>82.12</v>
      </c>
      <c r="K20" s="114">
        <f t="shared" si="1"/>
        <v>903.32</v>
      </c>
      <c r="L20" s="114">
        <f>IFERROR(VLOOKUP(B20,上月数量需更新!A:C,3,0),0)</f>
        <v>574.84</v>
      </c>
      <c r="M20" s="121">
        <f t="shared" si="2"/>
        <v>328.48</v>
      </c>
      <c r="P20" t="str">
        <f>VLOOKUP(B20,物料分类!B:F,5,0)</f>
        <v>物料消耗</v>
      </c>
    </row>
    <row r="21" hidden="1" spans="1:16">
      <c r="A21">
        <v>20</v>
      </c>
      <c r="B21">
        <v>4514744</v>
      </c>
      <c r="C21" t="s">
        <v>57</v>
      </c>
      <c r="D21">
        <v>18</v>
      </c>
      <c r="E21">
        <v>11.1</v>
      </c>
      <c r="F21" t="s">
        <v>32</v>
      </c>
      <c r="G21" t="s">
        <v>33</v>
      </c>
      <c r="H21" t="s">
        <v>32</v>
      </c>
      <c r="I21" s="73">
        <f t="shared" si="0"/>
        <v>6.9</v>
      </c>
      <c r="J21" s="114">
        <f>VLOOKUP(B21,本月系统单价mb5b!$B:$P,15,0)</f>
        <v>27.6961111111111</v>
      </c>
      <c r="K21" s="114">
        <f t="shared" si="1"/>
        <v>191.103166666667</v>
      </c>
      <c r="L21" s="114">
        <f>IFERROR(VLOOKUP(B21,上月数量需更新!A:C,3,0),0)</f>
        <v>525.99</v>
      </c>
      <c r="M21" s="121">
        <f t="shared" si="2"/>
        <v>-334.886833333333</v>
      </c>
      <c r="P21" t="str">
        <f>VLOOKUP(B21,物料分类!B:F,5,0)</f>
        <v>成本-小料台类</v>
      </c>
    </row>
    <row r="22" hidden="1" spans="1:16">
      <c r="A22">
        <v>21</v>
      </c>
      <c r="B22">
        <v>4515975</v>
      </c>
      <c r="C22" t="s">
        <v>58</v>
      </c>
      <c r="D22">
        <v>8</v>
      </c>
      <c r="E22">
        <v>4</v>
      </c>
      <c r="F22" t="s">
        <v>32</v>
      </c>
      <c r="G22" t="s">
        <v>33</v>
      </c>
      <c r="H22" t="s">
        <v>32</v>
      </c>
      <c r="I22" s="73">
        <f t="shared" si="0"/>
        <v>4</v>
      </c>
      <c r="J22" s="114">
        <f>VLOOKUP(B22,本月系统单价mb5b!$B:$P,15,0)</f>
        <v>26.76</v>
      </c>
      <c r="K22" s="114">
        <f t="shared" si="1"/>
        <v>107.04</v>
      </c>
      <c r="L22" s="114">
        <f>IFERROR(VLOOKUP(B22,上月数量需更新!A:C,3,0),0)</f>
        <v>53.56</v>
      </c>
      <c r="M22" s="121">
        <f t="shared" si="2"/>
        <v>53.48</v>
      </c>
      <c r="P22" t="str">
        <f>VLOOKUP(B22,物料分类!B:F,5,0)</f>
        <v>成本-酒水类</v>
      </c>
    </row>
    <row r="23" hidden="1" spans="1:16">
      <c r="A23">
        <v>22</v>
      </c>
      <c r="B23">
        <v>4528183</v>
      </c>
      <c r="C23" t="s">
        <v>59</v>
      </c>
      <c r="D23">
        <v>1</v>
      </c>
      <c r="E23">
        <v>1</v>
      </c>
      <c r="F23" t="s">
        <v>32</v>
      </c>
      <c r="G23" t="s">
        <v>33</v>
      </c>
      <c r="H23" t="s">
        <v>32</v>
      </c>
      <c r="I23" s="73">
        <f t="shared" si="0"/>
        <v>0</v>
      </c>
      <c r="J23" s="114">
        <f>VLOOKUP(B23,本月系统单价mb5b!$B:$P,15,0)</f>
        <v>96.72</v>
      </c>
      <c r="K23" s="114">
        <f t="shared" si="1"/>
        <v>0</v>
      </c>
      <c r="L23" s="114">
        <f>IFERROR(VLOOKUP(B23,上月数量需更新!A:C,3,0),0)</f>
        <v>0</v>
      </c>
      <c r="M23" s="121">
        <f t="shared" si="2"/>
        <v>0</v>
      </c>
      <c r="P23" t="str">
        <f>VLOOKUP(B23,物料分类!B:F,5,0)</f>
        <v>成本-酒水类</v>
      </c>
    </row>
    <row r="24" hidden="1" spans="1:16">
      <c r="A24">
        <v>263</v>
      </c>
      <c r="B24">
        <v>1501010</v>
      </c>
      <c r="C24" t="s">
        <v>60</v>
      </c>
      <c r="D24">
        <v>148</v>
      </c>
      <c r="E24">
        <v>28</v>
      </c>
      <c r="F24" t="s">
        <v>55</v>
      </c>
      <c r="G24" t="s">
        <v>56</v>
      </c>
      <c r="H24" t="s">
        <v>55</v>
      </c>
      <c r="I24" s="73">
        <f t="shared" si="0"/>
        <v>120</v>
      </c>
      <c r="J24" s="114">
        <f>VLOOKUP(B24,本月系统单价mb5b!$B:$P,15,0)</f>
        <v>7.5</v>
      </c>
      <c r="K24" s="114">
        <f t="shared" si="1"/>
        <v>900</v>
      </c>
      <c r="L24" s="114">
        <f>IFERROR(VLOOKUP(B24,上月数量需更新!A:C,3,0),0)</f>
        <v>810</v>
      </c>
      <c r="M24" s="121">
        <f t="shared" si="2"/>
        <v>90</v>
      </c>
      <c r="P24" t="str">
        <f>VLOOKUP(B24,物料分类!B:F,5,0)</f>
        <v>物料消耗</v>
      </c>
    </row>
    <row r="25" hidden="1" spans="1:16">
      <c r="A25">
        <v>151</v>
      </c>
      <c r="B25">
        <v>4003246</v>
      </c>
      <c r="C25" t="s">
        <v>61</v>
      </c>
      <c r="D25">
        <v>400</v>
      </c>
      <c r="E25">
        <v>20</v>
      </c>
      <c r="F25" t="s">
        <v>40</v>
      </c>
      <c r="G25" t="s">
        <v>41</v>
      </c>
      <c r="H25" t="s">
        <v>40</v>
      </c>
      <c r="I25" s="73">
        <f t="shared" si="0"/>
        <v>380</v>
      </c>
      <c r="J25" s="114">
        <f>VLOOKUP(B25,本月系统单价mb5b!$B:$P,15,0)</f>
        <v>2.16645</v>
      </c>
      <c r="K25" s="114">
        <f t="shared" si="1"/>
        <v>823.251</v>
      </c>
      <c r="L25" s="114">
        <f>IFERROR(VLOOKUP(B25,上月数量需更新!A:C,3,0),0)</f>
        <v>433.29</v>
      </c>
      <c r="M25" s="121">
        <f t="shared" si="2"/>
        <v>389.961</v>
      </c>
      <c r="P25" t="str">
        <f>VLOOKUP(B25,物料分类!B:F,5,0)</f>
        <v>物料消耗</v>
      </c>
    </row>
    <row r="26" hidden="1" spans="1:16">
      <c r="A26">
        <v>282</v>
      </c>
      <c r="B26">
        <v>4529698</v>
      </c>
      <c r="C26" t="s">
        <v>62</v>
      </c>
      <c r="D26">
        <v>76</v>
      </c>
      <c r="E26">
        <v>16</v>
      </c>
      <c r="F26" t="s">
        <v>55</v>
      </c>
      <c r="G26" t="s">
        <v>56</v>
      </c>
      <c r="H26" t="s">
        <v>55</v>
      </c>
      <c r="I26" s="73">
        <f t="shared" si="0"/>
        <v>60</v>
      </c>
      <c r="J26" s="114">
        <f>VLOOKUP(B26,本月系统单价mb5b!$B:$P,15,0)</f>
        <v>9.25</v>
      </c>
      <c r="K26" s="114">
        <f t="shared" si="1"/>
        <v>555</v>
      </c>
      <c r="L26" s="114">
        <f>IFERROR(VLOOKUP(B26,上月数量需更新!A:C,3,0),0)</f>
        <v>342.25</v>
      </c>
      <c r="M26" s="121">
        <f t="shared" si="2"/>
        <v>212.75</v>
      </c>
      <c r="P26" t="str">
        <f>VLOOKUP(B26,物料分类!B:F,5,0)</f>
        <v>物料消耗</v>
      </c>
    </row>
    <row r="27" hidden="1" spans="1:16">
      <c r="A27">
        <v>104</v>
      </c>
      <c r="B27">
        <v>4000642</v>
      </c>
      <c r="C27" t="s">
        <v>63</v>
      </c>
      <c r="D27">
        <v>1728</v>
      </c>
      <c r="E27">
        <v>288</v>
      </c>
      <c r="F27" t="s">
        <v>29</v>
      </c>
      <c r="G27" t="s">
        <v>30</v>
      </c>
      <c r="H27" t="s">
        <v>29</v>
      </c>
      <c r="I27" s="73">
        <f t="shared" si="0"/>
        <v>1440</v>
      </c>
      <c r="J27" s="114">
        <f>VLOOKUP(B27,本月系统单价mb5b!$B:$P,15,0)</f>
        <v>0.364710648148148</v>
      </c>
      <c r="K27" s="114">
        <f t="shared" si="1"/>
        <v>525.183333333333</v>
      </c>
      <c r="L27" s="114">
        <f>IFERROR(VLOOKUP(B27,上月数量需更新!A:C,3,0),0)</f>
        <v>560.2</v>
      </c>
      <c r="M27" s="121">
        <f t="shared" si="2"/>
        <v>-35.0166666666667</v>
      </c>
      <c r="P27" t="str">
        <f>VLOOKUP(B27,物料分类!B:F,5,0)</f>
        <v>物料消耗</v>
      </c>
    </row>
    <row r="28" hidden="1" spans="1:16">
      <c r="A28">
        <v>27</v>
      </c>
      <c r="B28">
        <v>1501000</v>
      </c>
      <c r="C28" t="s">
        <v>64</v>
      </c>
      <c r="D28">
        <v>19000</v>
      </c>
      <c r="E28">
        <v>6000</v>
      </c>
      <c r="F28" t="s">
        <v>20</v>
      </c>
      <c r="G28" t="s">
        <v>21</v>
      </c>
      <c r="H28" t="s">
        <v>20</v>
      </c>
      <c r="I28" s="73">
        <f t="shared" si="0"/>
        <v>13000</v>
      </c>
      <c r="J28" s="114">
        <f>VLOOKUP(B28,本月系统单价mb5b!$B:$P,15,0)</f>
        <v>0.0392789473684211</v>
      </c>
      <c r="K28" s="114">
        <f t="shared" si="1"/>
        <v>510.626315789474</v>
      </c>
      <c r="L28" s="114">
        <f>IFERROR(VLOOKUP(B28,上月数量需更新!A:C,3,0),0)</f>
        <v>698.4</v>
      </c>
      <c r="M28" s="121">
        <f t="shared" si="2"/>
        <v>-187.773684210526</v>
      </c>
      <c r="P28" t="str">
        <f>VLOOKUP(B28,物料分类!B:F,5,0)</f>
        <v>物料消耗</v>
      </c>
    </row>
    <row r="29" hidden="1" spans="1:16">
      <c r="A29">
        <v>47</v>
      </c>
      <c r="B29">
        <v>1500979</v>
      </c>
      <c r="C29" t="s">
        <v>65</v>
      </c>
      <c r="D29">
        <v>39</v>
      </c>
      <c r="E29">
        <v>13</v>
      </c>
      <c r="F29" t="s">
        <v>66</v>
      </c>
      <c r="G29" t="s">
        <v>67</v>
      </c>
      <c r="H29" t="s">
        <v>66</v>
      </c>
      <c r="I29" s="73">
        <f t="shared" si="0"/>
        <v>26</v>
      </c>
      <c r="J29" s="114">
        <f>VLOOKUP(B29,本月系统单价mb5b!$B:$P,15,0)</f>
        <v>19.2766666666667</v>
      </c>
      <c r="K29" s="114">
        <f t="shared" si="1"/>
        <v>501.193333333333</v>
      </c>
      <c r="L29" s="114">
        <f>IFERROR(VLOOKUP(B29,上月数量需更新!A:C,3,0),0)</f>
        <v>386.98</v>
      </c>
      <c r="M29" s="121">
        <f t="shared" si="2"/>
        <v>114.213333333333</v>
      </c>
      <c r="P29" t="str">
        <f>VLOOKUP(B29,物料分类!B:F,5,0)</f>
        <v>物料消耗</v>
      </c>
    </row>
    <row r="30" hidden="1" spans="1:16">
      <c r="A30">
        <v>180</v>
      </c>
      <c r="B30">
        <v>4506555</v>
      </c>
      <c r="C30" t="s">
        <v>68</v>
      </c>
      <c r="D30">
        <v>3120</v>
      </c>
      <c r="E30">
        <v>720</v>
      </c>
      <c r="F30" t="s">
        <v>25</v>
      </c>
      <c r="G30" t="s">
        <v>26</v>
      </c>
      <c r="H30" t="s">
        <v>25</v>
      </c>
      <c r="I30" s="73">
        <f t="shared" si="0"/>
        <v>2400</v>
      </c>
      <c r="J30" s="114">
        <f>VLOOKUP(B30,本月系统单价mb5b!$B:$P,15,0)</f>
        <v>0.170833333333333</v>
      </c>
      <c r="K30" s="114">
        <f t="shared" si="1"/>
        <v>410</v>
      </c>
      <c r="L30" s="114">
        <f>IFERROR(VLOOKUP(B30,上月数量需更新!A:C,3,0),0)</f>
        <v>410</v>
      </c>
      <c r="M30" s="121">
        <f t="shared" si="2"/>
        <v>0</v>
      </c>
      <c r="P30" t="str">
        <f>VLOOKUP(B30,物料分类!B:F,5,0)</f>
        <v>物料消耗</v>
      </c>
    </row>
    <row r="31" hidden="1" spans="1:16">
      <c r="A31">
        <v>30</v>
      </c>
      <c r="B31">
        <v>1501161</v>
      </c>
      <c r="C31" t="s">
        <v>69</v>
      </c>
      <c r="D31">
        <v>1</v>
      </c>
      <c r="E31">
        <v>0</v>
      </c>
      <c r="F31" t="s">
        <v>36</v>
      </c>
      <c r="G31" t="s">
        <v>37</v>
      </c>
      <c r="H31" t="s">
        <v>38</v>
      </c>
      <c r="I31" s="73">
        <f t="shared" si="0"/>
        <v>1</v>
      </c>
      <c r="J31" s="114">
        <f>VLOOKUP(B31,本月系统单价mb5b!$B:$P,15,0)</f>
        <v>12.5</v>
      </c>
      <c r="K31" s="114">
        <f t="shared" si="1"/>
        <v>12.5</v>
      </c>
      <c r="L31" s="114">
        <f>IFERROR(VLOOKUP(B31,上月数量需更新!A:C,3,0),0)</f>
        <v>0</v>
      </c>
      <c r="M31" s="121">
        <f t="shared" si="2"/>
        <v>12.5</v>
      </c>
      <c r="P31" t="str">
        <f>VLOOKUP(B31,物料分类!B:F,5,0)</f>
        <v>成本-小料台类</v>
      </c>
    </row>
    <row r="32" hidden="1" spans="1:16">
      <c r="A32">
        <v>31</v>
      </c>
      <c r="B32">
        <v>1500882</v>
      </c>
      <c r="C32" t="s">
        <v>70</v>
      </c>
      <c r="D32">
        <v>1572</v>
      </c>
      <c r="E32">
        <v>598</v>
      </c>
      <c r="F32" t="s">
        <v>32</v>
      </c>
      <c r="G32" t="s">
        <v>33</v>
      </c>
      <c r="H32" t="s">
        <v>32</v>
      </c>
      <c r="I32" s="73">
        <f t="shared" si="0"/>
        <v>974</v>
      </c>
      <c r="J32" s="114">
        <f>VLOOKUP(B32,本月系统单价mb5b!$B:$P,15,0)</f>
        <v>1.95363867684478</v>
      </c>
      <c r="K32" s="114">
        <f t="shared" si="1"/>
        <v>1902.84407124682</v>
      </c>
      <c r="L32" s="114">
        <f>IFERROR(VLOOKUP(B32,上月数量需更新!A:C,3,0),0)</f>
        <v>1752.49</v>
      </c>
      <c r="M32" s="121">
        <f t="shared" si="2"/>
        <v>150.354071246819</v>
      </c>
      <c r="P32" t="str">
        <f>VLOOKUP(B32,物料分类!B:F,5,0)</f>
        <v>成本-锅底类</v>
      </c>
    </row>
    <row r="33" hidden="1" spans="1:16">
      <c r="A33">
        <v>170</v>
      </c>
      <c r="B33">
        <v>1500920</v>
      </c>
      <c r="C33" t="s">
        <v>71</v>
      </c>
      <c r="D33">
        <v>4</v>
      </c>
      <c r="E33">
        <v>1</v>
      </c>
      <c r="F33" t="s">
        <v>55</v>
      </c>
      <c r="G33" t="s">
        <v>56</v>
      </c>
      <c r="H33" t="s">
        <v>55</v>
      </c>
      <c r="I33" s="73">
        <f t="shared" si="0"/>
        <v>3</v>
      </c>
      <c r="J33" s="114">
        <f>VLOOKUP(B33,本月系统单价mb5b!$B:$P,15,0)</f>
        <v>127.7</v>
      </c>
      <c r="K33" s="114">
        <f t="shared" si="1"/>
        <v>383.1</v>
      </c>
      <c r="L33" s="114">
        <f>IFERROR(VLOOKUP(B33,上月数量需更新!A:C,3,0),0)</f>
        <v>510.8</v>
      </c>
      <c r="M33" s="121">
        <f t="shared" si="2"/>
        <v>-127.7</v>
      </c>
      <c r="P33" t="str">
        <f>VLOOKUP(B33,物料分类!B:F,5,0)</f>
        <v>物料消耗</v>
      </c>
    </row>
    <row r="34" hidden="1" spans="1:16">
      <c r="A34">
        <v>33</v>
      </c>
      <c r="B34">
        <v>1500059</v>
      </c>
      <c r="C34" t="s">
        <v>72</v>
      </c>
      <c r="D34">
        <v>160</v>
      </c>
      <c r="E34">
        <v>50</v>
      </c>
      <c r="F34" t="s">
        <v>73</v>
      </c>
      <c r="G34" t="s">
        <v>74</v>
      </c>
      <c r="H34" t="s">
        <v>73</v>
      </c>
      <c r="I34" s="73">
        <f t="shared" si="0"/>
        <v>110</v>
      </c>
      <c r="J34" s="114">
        <f>VLOOKUP(B34,本月系统单价mb5b!$B:$P,15,0)</f>
        <v>4.2179375</v>
      </c>
      <c r="K34" s="114">
        <f t="shared" si="1"/>
        <v>463.973125</v>
      </c>
      <c r="L34" s="114">
        <f>IFERROR(VLOOKUP(B34,上月数量需更新!A:C,3,0),0)</f>
        <v>458.27</v>
      </c>
      <c r="M34" s="121">
        <f t="shared" si="2"/>
        <v>5.703125</v>
      </c>
      <c r="P34" t="str">
        <f>VLOOKUP(B34,物料分类!B:F,5,0)</f>
        <v>成本-锅底类</v>
      </c>
    </row>
    <row r="35" hidden="1" spans="1:16">
      <c r="A35">
        <v>34</v>
      </c>
      <c r="B35">
        <v>1500984</v>
      </c>
      <c r="C35" t="s">
        <v>75</v>
      </c>
      <c r="D35">
        <v>50</v>
      </c>
      <c r="E35">
        <v>5</v>
      </c>
      <c r="F35" t="s">
        <v>73</v>
      </c>
      <c r="G35" t="s">
        <v>74</v>
      </c>
      <c r="H35" t="s">
        <v>73</v>
      </c>
      <c r="I35" s="73">
        <f t="shared" si="0"/>
        <v>45</v>
      </c>
      <c r="J35" s="114">
        <f>VLOOKUP(B35,本月系统单价mb5b!$B:$P,15,0)</f>
        <v>2.717</v>
      </c>
      <c r="K35" s="114">
        <f t="shared" si="1"/>
        <v>122.265</v>
      </c>
      <c r="L35" s="114">
        <f>IFERROR(VLOOKUP(B35,上月数量需更新!A:C,3,0),0)</f>
        <v>196.61</v>
      </c>
      <c r="M35" s="121">
        <f t="shared" si="2"/>
        <v>-74.345</v>
      </c>
      <c r="P35" t="str">
        <f>VLOOKUP(B35,物料分类!B:F,5,0)</f>
        <v>成本-小料台类</v>
      </c>
    </row>
    <row r="36" hidden="1" spans="1:16">
      <c r="A36">
        <v>35</v>
      </c>
      <c r="B36">
        <v>4530197</v>
      </c>
      <c r="C36" t="s">
        <v>76</v>
      </c>
      <c r="D36">
        <v>184</v>
      </c>
      <c r="E36">
        <v>18.4</v>
      </c>
      <c r="F36" t="s">
        <v>73</v>
      </c>
      <c r="G36" t="s">
        <v>74</v>
      </c>
      <c r="H36" t="s">
        <v>73</v>
      </c>
      <c r="I36" s="73">
        <f t="shared" si="0"/>
        <v>165.6</v>
      </c>
      <c r="J36" s="114">
        <f>VLOOKUP(B36,本月系统单价mb5b!$B:$P,15,0)</f>
        <v>3.09782608695652</v>
      </c>
      <c r="K36" s="114">
        <f t="shared" si="1"/>
        <v>513</v>
      </c>
      <c r="L36" s="114">
        <f>IFERROR(VLOOKUP(B36,上月数量需更新!A:C,3,0),0)</f>
        <v>57</v>
      </c>
      <c r="M36" s="121">
        <f t="shared" si="2"/>
        <v>456</v>
      </c>
      <c r="P36" t="str">
        <f>VLOOKUP(B36,物料分类!B:F,5,0)</f>
        <v>成本-小吃类</v>
      </c>
    </row>
    <row r="37" hidden="1" spans="1:16">
      <c r="A37">
        <v>36</v>
      </c>
      <c r="B37">
        <v>1500896</v>
      </c>
      <c r="C37" t="s">
        <v>77</v>
      </c>
      <c r="D37">
        <v>64</v>
      </c>
      <c r="E37">
        <v>32</v>
      </c>
      <c r="F37" t="s">
        <v>55</v>
      </c>
      <c r="G37" t="s">
        <v>56</v>
      </c>
      <c r="H37" t="s">
        <v>55</v>
      </c>
      <c r="I37" s="73">
        <f t="shared" si="0"/>
        <v>32</v>
      </c>
      <c r="J37" s="114">
        <f>VLOOKUP(B37,本月系统单价mb5b!$B:$P,15,0)</f>
        <v>11.3334375</v>
      </c>
      <c r="K37" s="114">
        <f t="shared" si="1"/>
        <v>362.67</v>
      </c>
      <c r="L37" s="114">
        <f>IFERROR(VLOOKUP(B37,上月数量需更新!A:C,3,0),0)</f>
        <v>147.33</v>
      </c>
      <c r="M37" s="121">
        <f t="shared" si="2"/>
        <v>215.34</v>
      </c>
      <c r="P37" t="str">
        <f>VLOOKUP(B37,物料分类!B:F,5,0)</f>
        <v>成本-酒水类</v>
      </c>
    </row>
    <row r="38" hidden="1" spans="1:16">
      <c r="A38">
        <v>37</v>
      </c>
      <c r="B38">
        <v>4502140</v>
      </c>
      <c r="C38" t="s">
        <v>78</v>
      </c>
      <c r="D38">
        <v>10</v>
      </c>
      <c r="E38">
        <v>0</v>
      </c>
      <c r="F38" t="s">
        <v>36</v>
      </c>
      <c r="G38" t="s">
        <v>37</v>
      </c>
      <c r="H38" t="s">
        <v>38</v>
      </c>
      <c r="I38" s="73">
        <f t="shared" si="0"/>
        <v>10</v>
      </c>
      <c r="J38" s="114">
        <f>VLOOKUP(B38,本月系统单价mb5b!$B:$P,15,0)</f>
        <v>7.5</v>
      </c>
      <c r="K38" s="114">
        <f t="shared" si="1"/>
        <v>75</v>
      </c>
      <c r="L38" s="114">
        <f>IFERROR(VLOOKUP(B38,上月数量需更新!A:C,3,0),0)</f>
        <v>82.5</v>
      </c>
      <c r="M38" s="121">
        <f t="shared" si="2"/>
        <v>-7.5</v>
      </c>
      <c r="P38" t="str">
        <f>VLOOKUP(B38,物料分类!B:F,5,0)</f>
        <v>成本-锅底类</v>
      </c>
    </row>
    <row r="39" hidden="1" spans="1:16">
      <c r="A39">
        <v>38</v>
      </c>
      <c r="B39">
        <v>4510694</v>
      </c>
      <c r="C39" t="s">
        <v>79</v>
      </c>
      <c r="D39">
        <v>5</v>
      </c>
      <c r="E39">
        <v>4</v>
      </c>
      <c r="F39" t="s">
        <v>73</v>
      </c>
      <c r="G39" t="s">
        <v>74</v>
      </c>
      <c r="H39" t="s">
        <v>73</v>
      </c>
      <c r="I39" s="73">
        <f t="shared" si="0"/>
        <v>1</v>
      </c>
      <c r="J39" s="114">
        <f>VLOOKUP(B39,本月系统单价mb5b!$B:$P,15,0)</f>
        <v>7.6</v>
      </c>
      <c r="K39" s="114">
        <f t="shared" si="1"/>
        <v>7.6</v>
      </c>
      <c r="L39" s="114">
        <f>IFERROR(VLOOKUP(B39,上月数量需更新!A:C,3,0),0)</f>
        <v>0</v>
      </c>
      <c r="M39" s="121">
        <f t="shared" si="2"/>
        <v>7.6</v>
      </c>
      <c r="P39" t="str">
        <f>VLOOKUP(B39,物料分类!B:F,5,0)</f>
        <v>成本-小料台类</v>
      </c>
    </row>
    <row r="40" hidden="1" spans="1:16">
      <c r="A40">
        <v>39</v>
      </c>
      <c r="B40">
        <v>8015100</v>
      </c>
      <c r="C40" t="s">
        <v>80</v>
      </c>
      <c r="D40">
        <v>5</v>
      </c>
      <c r="E40">
        <v>5</v>
      </c>
      <c r="F40" t="s">
        <v>20</v>
      </c>
      <c r="G40" t="s">
        <v>21</v>
      </c>
      <c r="H40" t="s">
        <v>20</v>
      </c>
      <c r="I40" s="73">
        <f t="shared" si="0"/>
        <v>0</v>
      </c>
      <c r="J40" s="114">
        <f>VLOOKUP(B40,本月系统单价mb5b!$B:$P,15,0)</f>
        <v>4.146</v>
      </c>
      <c r="K40" s="114">
        <f t="shared" si="1"/>
        <v>0</v>
      </c>
      <c r="L40" s="114">
        <f>IFERROR(VLOOKUP(B40,上月数量需更新!A:C,3,0),0)</f>
        <v>0</v>
      </c>
      <c r="M40" s="121">
        <f t="shared" si="2"/>
        <v>0</v>
      </c>
      <c r="P40" t="str">
        <f>VLOOKUP(B40,物料分类!B:F,5,0)</f>
        <v>服务费</v>
      </c>
    </row>
    <row r="41" hidden="1" spans="1:16">
      <c r="A41">
        <v>40</v>
      </c>
      <c r="B41">
        <v>8015096</v>
      </c>
      <c r="C41" t="s">
        <v>81</v>
      </c>
      <c r="D41">
        <v>500</v>
      </c>
      <c r="E41">
        <v>500</v>
      </c>
      <c r="F41" t="s">
        <v>20</v>
      </c>
      <c r="G41" t="s">
        <v>21</v>
      </c>
      <c r="H41" t="s">
        <v>20</v>
      </c>
      <c r="I41" s="73">
        <f t="shared" si="0"/>
        <v>0</v>
      </c>
      <c r="J41" s="114">
        <f>VLOOKUP(B41,本月系统单价mb5b!$B:$P,15,0)</f>
        <v>0.691</v>
      </c>
      <c r="K41" s="114">
        <f t="shared" si="1"/>
        <v>0</v>
      </c>
      <c r="L41" s="114">
        <f>IFERROR(VLOOKUP(B41,上月数量需更新!A:C,3,0),0)</f>
        <v>0</v>
      </c>
      <c r="M41" s="121">
        <f t="shared" si="2"/>
        <v>0</v>
      </c>
      <c r="P41" t="str">
        <f>VLOOKUP(B41,物料分类!B:F,5,0)</f>
        <v>服务费</v>
      </c>
    </row>
    <row r="42" hidden="1" spans="1:16">
      <c r="A42">
        <v>41</v>
      </c>
      <c r="B42">
        <v>8015093</v>
      </c>
      <c r="C42" t="s">
        <v>82</v>
      </c>
      <c r="D42">
        <v>100</v>
      </c>
      <c r="E42">
        <v>0</v>
      </c>
      <c r="F42" t="s">
        <v>20</v>
      </c>
      <c r="G42" t="s">
        <v>21</v>
      </c>
      <c r="H42" t="s">
        <v>20</v>
      </c>
      <c r="I42" s="73">
        <f t="shared" si="0"/>
        <v>100</v>
      </c>
      <c r="J42" s="114">
        <f>VLOOKUP(B42,本月系统单价mb5b!$B:$P,15,0)</f>
        <v>0.6357</v>
      </c>
      <c r="K42" s="114">
        <f t="shared" si="1"/>
        <v>63.57</v>
      </c>
      <c r="L42" s="114">
        <f>IFERROR(VLOOKUP(B42,上月数量需更新!A:C,3,0),0)</f>
        <v>0</v>
      </c>
      <c r="M42" s="121">
        <f t="shared" si="2"/>
        <v>63.57</v>
      </c>
      <c r="P42" t="str">
        <f>VLOOKUP(B42,物料分类!B:F,5,0)</f>
        <v>服务费</v>
      </c>
    </row>
    <row r="43" hidden="1" spans="1:16">
      <c r="A43">
        <v>42</v>
      </c>
      <c r="B43">
        <v>8015092</v>
      </c>
      <c r="C43" t="s">
        <v>83</v>
      </c>
      <c r="D43">
        <v>100</v>
      </c>
      <c r="E43">
        <v>0</v>
      </c>
      <c r="F43" t="s">
        <v>20</v>
      </c>
      <c r="G43" t="s">
        <v>21</v>
      </c>
      <c r="H43" t="s">
        <v>20</v>
      </c>
      <c r="I43" s="73">
        <f t="shared" si="0"/>
        <v>100</v>
      </c>
      <c r="J43" s="114">
        <f>VLOOKUP(B43,本月系统单价mb5b!$B:$P,15,0)</f>
        <v>0.6357</v>
      </c>
      <c r="K43" s="114">
        <f t="shared" si="1"/>
        <v>63.57</v>
      </c>
      <c r="L43" s="114">
        <f>IFERROR(VLOOKUP(B43,上月数量需更新!A:C,3,0),0)</f>
        <v>0</v>
      </c>
      <c r="M43" s="121">
        <f t="shared" si="2"/>
        <v>63.57</v>
      </c>
      <c r="P43" t="str">
        <f>VLOOKUP(B43,物料分类!B:F,5,0)</f>
        <v>服务费</v>
      </c>
    </row>
    <row r="44" hidden="1" spans="1:16">
      <c r="A44">
        <v>43</v>
      </c>
      <c r="B44">
        <v>8015094</v>
      </c>
      <c r="C44" t="s">
        <v>84</v>
      </c>
      <c r="D44">
        <v>10</v>
      </c>
      <c r="E44">
        <v>10</v>
      </c>
      <c r="F44" t="s">
        <v>20</v>
      </c>
      <c r="G44" t="s">
        <v>21</v>
      </c>
      <c r="H44" t="s">
        <v>20</v>
      </c>
      <c r="I44" s="73">
        <f t="shared" si="0"/>
        <v>0</v>
      </c>
      <c r="J44" s="114">
        <f>VLOOKUP(B44,本月系统单价mb5b!$B:$P,15,0)</f>
        <v>6.91</v>
      </c>
      <c r="K44" s="114">
        <f t="shared" si="1"/>
        <v>0</v>
      </c>
      <c r="L44" s="114">
        <f>IFERROR(VLOOKUP(B44,上月数量需更新!A:C,3,0),0)</f>
        <v>0</v>
      </c>
      <c r="M44" s="121">
        <f t="shared" si="2"/>
        <v>0</v>
      </c>
      <c r="P44" t="str">
        <f>VLOOKUP(B44,物料分类!B:F,5,0)</f>
        <v>服务费</v>
      </c>
    </row>
    <row r="45" hidden="1" spans="1:16">
      <c r="A45">
        <v>44</v>
      </c>
      <c r="B45">
        <v>8015097</v>
      </c>
      <c r="C45" t="s">
        <v>85</v>
      </c>
      <c r="D45">
        <v>10</v>
      </c>
      <c r="E45">
        <v>10</v>
      </c>
      <c r="F45" t="s">
        <v>20</v>
      </c>
      <c r="G45" t="s">
        <v>21</v>
      </c>
      <c r="H45" t="s">
        <v>20</v>
      </c>
      <c r="I45" s="73">
        <f t="shared" si="0"/>
        <v>0</v>
      </c>
      <c r="J45" s="114">
        <f>VLOOKUP(B45,本月系统单价mb5b!$B:$P,15,0)</f>
        <v>69.1</v>
      </c>
      <c r="K45" s="114">
        <f t="shared" si="1"/>
        <v>0</v>
      </c>
      <c r="L45" s="114">
        <f>IFERROR(VLOOKUP(B45,上月数量需更新!A:C,3,0),0)</f>
        <v>0</v>
      </c>
      <c r="M45" s="121">
        <f t="shared" si="2"/>
        <v>0</v>
      </c>
      <c r="P45" t="str">
        <f>VLOOKUP(B45,物料分类!B:F,5,0)</f>
        <v>服务费</v>
      </c>
    </row>
    <row r="46" hidden="1" spans="1:16">
      <c r="A46">
        <v>45</v>
      </c>
      <c r="B46">
        <v>4516242</v>
      </c>
      <c r="C46" t="s">
        <v>86</v>
      </c>
      <c r="D46">
        <v>3</v>
      </c>
      <c r="E46">
        <v>3</v>
      </c>
      <c r="F46" t="s">
        <v>32</v>
      </c>
      <c r="G46" t="s">
        <v>33</v>
      </c>
      <c r="H46" t="s">
        <v>32</v>
      </c>
      <c r="I46" s="73">
        <f t="shared" si="0"/>
        <v>0</v>
      </c>
      <c r="J46" s="114">
        <f>VLOOKUP(B46,本月系统单价mb5b!$B:$P,15,0)</f>
        <v>19.74</v>
      </c>
      <c r="K46" s="114">
        <f t="shared" si="1"/>
        <v>0</v>
      </c>
      <c r="L46" s="114">
        <f>IFERROR(VLOOKUP(B46,上月数量需更新!A:C,3,0),0)</f>
        <v>0</v>
      </c>
      <c r="M46" s="121">
        <f t="shared" si="2"/>
        <v>0</v>
      </c>
      <c r="P46" t="str">
        <f>VLOOKUP(B46,物料分类!B:F,5,0)</f>
        <v>成本-酒水类</v>
      </c>
    </row>
    <row r="47" hidden="1" spans="1:16">
      <c r="A47">
        <v>46</v>
      </c>
      <c r="B47">
        <v>8008722</v>
      </c>
      <c r="C47" t="s">
        <v>87</v>
      </c>
      <c r="D47">
        <v>50</v>
      </c>
      <c r="E47">
        <v>30</v>
      </c>
      <c r="F47" t="s">
        <v>88</v>
      </c>
      <c r="G47" t="s">
        <v>89</v>
      </c>
      <c r="H47" t="s">
        <v>88</v>
      </c>
      <c r="I47" s="73">
        <f t="shared" si="0"/>
        <v>20</v>
      </c>
      <c r="J47" s="114">
        <f>VLOOKUP(B47,本月系统单价mb5b!$B:$P,15,0)</f>
        <v>2.153</v>
      </c>
      <c r="K47" s="114">
        <f t="shared" si="1"/>
        <v>43.06</v>
      </c>
      <c r="L47" s="114">
        <f>IFERROR(VLOOKUP(B47,上月数量需更新!A:C,3,0),0)</f>
        <v>0</v>
      </c>
      <c r="M47" s="121">
        <f t="shared" si="2"/>
        <v>43.06</v>
      </c>
      <c r="P47" t="str">
        <f>VLOOKUP(B47,物料分类!B:F,5,0)</f>
        <v>服装费</v>
      </c>
    </row>
    <row r="48" hidden="1" spans="1:16">
      <c r="A48">
        <v>50</v>
      </c>
      <c r="B48">
        <v>8703543</v>
      </c>
      <c r="C48" t="s">
        <v>90</v>
      </c>
      <c r="D48">
        <v>240</v>
      </c>
      <c r="E48">
        <v>100</v>
      </c>
      <c r="F48" t="s">
        <v>20</v>
      </c>
      <c r="G48" t="s">
        <v>21</v>
      </c>
      <c r="H48" t="s">
        <v>20</v>
      </c>
      <c r="I48" s="73">
        <f t="shared" si="0"/>
        <v>140</v>
      </c>
      <c r="J48" s="114">
        <f>VLOOKUP(B48,本月系统单价mb5b!$B:$P,15,0)</f>
        <v>2.51504166666667</v>
      </c>
      <c r="K48" s="114">
        <f t="shared" si="1"/>
        <v>352.105833333333</v>
      </c>
      <c r="L48" s="114">
        <f>IFERROR(VLOOKUP(B48,上月数量需更新!A:C,3,0),0)</f>
        <v>0</v>
      </c>
      <c r="M48" s="121">
        <f t="shared" si="2"/>
        <v>352.105833333333</v>
      </c>
      <c r="P48" t="str">
        <f>VLOOKUP(B48,物料分类!B:F,5,0)</f>
        <v>物料消耗</v>
      </c>
    </row>
    <row r="49" hidden="1" spans="1:16">
      <c r="A49">
        <v>48</v>
      </c>
      <c r="B49">
        <v>1500903</v>
      </c>
      <c r="C49" t="s">
        <v>91</v>
      </c>
      <c r="D49">
        <v>961</v>
      </c>
      <c r="E49">
        <v>272</v>
      </c>
      <c r="F49" t="s">
        <v>92</v>
      </c>
      <c r="G49" t="s">
        <v>93</v>
      </c>
      <c r="H49" t="s">
        <v>92</v>
      </c>
      <c r="I49" s="73">
        <f t="shared" si="0"/>
        <v>689</v>
      </c>
      <c r="J49" s="114">
        <f>VLOOKUP(B49,本月系统单价mb5b!$B:$P,15,0)</f>
        <v>0.514817898022893</v>
      </c>
      <c r="K49" s="114">
        <f t="shared" si="1"/>
        <v>354.709531737773</v>
      </c>
      <c r="L49" s="114">
        <f>IFERROR(VLOOKUP(B49,上月数量需更新!A:C,3,0),0)</f>
        <v>335.96</v>
      </c>
      <c r="M49" s="121">
        <f t="shared" si="2"/>
        <v>18.7495317377732</v>
      </c>
      <c r="P49" t="str">
        <f>VLOOKUP(B49,物料分类!B:F,5,0)</f>
        <v>成本-酒水类</v>
      </c>
    </row>
    <row r="50" hidden="1" spans="1:16">
      <c r="A50">
        <v>343</v>
      </c>
      <c r="B50">
        <v>4506632</v>
      </c>
      <c r="C50" t="s">
        <v>94</v>
      </c>
      <c r="D50">
        <v>1700</v>
      </c>
      <c r="E50">
        <v>300</v>
      </c>
      <c r="F50" t="s">
        <v>20</v>
      </c>
      <c r="G50" t="s">
        <v>21</v>
      </c>
      <c r="H50" t="s">
        <v>20</v>
      </c>
      <c r="I50" s="73">
        <f t="shared" si="0"/>
        <v>1400</v>
      </c>
      <c r="J50" s="114">
        <f>VLOOKUP(B50,本月系统单价mb5b!$B:$P,15,0)</f>
        <v>0.25</v>
      </c>
      <c r="K50" s="114">
        <f t="shared" si="1"/>
        <v>350</v>
      </c>
      <c r="L50" s="114">
        <f>IFERROR(VLOOKUP(B50,上月数量需更新!A:C,3,0),0)</f>
        <v>275</v>
      </c>
      <c r="M50" s="121">
        <f t="shared" si="2"/>
        <v>75</v>
      </c>
      <c r="P50" t="str">
        <f>VLOOKUP(B50,物料分类!B:F,5,0)</f>
        <v>物料消耗</v>
      </c>
    </row>
    <row r="51" hidden="1" spans="1:16">
      <c r="A51">
        <v>190</v>
      </c>
      <c r="B51">
        <v>8011414</v>
      </c>
      <c r="C51" t="s">
        <v>95</v>
      </c>
      <c r="D51">
        <v>44000</v>
      </c>
      <c r="E51">
        <v>12000</v>
      </c>
      <c r="F51" t="s">
        <v>96</v>
      </c>
      <c r="G51" t="s">
        <v>97</v>
      </c>
      <c r="H51" t="s">
        <v>96</v>
      </c>
      <c r="I51" s="73">
        <f t="shared" si="0"/>
        <v>32000</v>
      </c>
      <c r="J51" s="114">
        <f>VLOOKUP(B51,本月系统单价mb5b!$B:$P,15,0)</f>
        <v>0.00987568181818182</v>
      </c>
      <c r="K51" s="114">
        <f t="shared" si="1"/>
        <v>316.021818181818</v>
      </c>
      <c r="L51" s="114">
        <f>IFERROR(VLOOKUP(B51,上月数量需更新!A:C,3,0),0)</f>
        <v>42.71</v>
      </c>
      <c r="M51" s="121">
        <f t="shared" si="2"/>
        <v>273.311818181818</v>
      </c>
      <c r="P51" t="str">
        <f>VLOOKUP(B51,物料分类!B:F,5,0)</f>
        <v>物料消耗</v>
      </c>
    </row>
    <row r="52" hidden="1" spans="1:16">
      <c r="A52">
        <v>51</v>
      </c>
      <c r="B52">
        <v>1500840</v>
      </c>
      <c r="C52" t="s">
        <v>98</v>
      </c>
      <c r="D52">
        <v>10</v>
      </c>
      <c r="E52">
        <v>2</v>
      </c>
      <c r="F52" t="s">
        <v>36</v>
      </c>
      <c r="G52" t="s">
        <v>37</v>
      </c>
      <c r="H52" t="s">
        <v>38</v>
      </c>
      <c r="I52" s="73">
        <f t="shared" si="0"/>
        <v>8</v>
      </c>
      <c r="J52" s="114">
        <f>VLOOKUP(B52,本月系统单价mb5b!$B:$P,15,0)</f>
        <v>9.5</v>
      </c>
      <c r="K52" s="114">
        <f t="shared" si="1"/>
        <v>76</v>
      </c>
      <c r="L52" s="114">
        <f>IFERROR(VLOOKUP(B52,上月数量需更新!A:C,3,0),0)</f>
        <v>66.5</v>
      </c>
      <c r="M52" s="121">
        <f t="shared" si="2"/>
        <v>9.5</v>
      </c>
      <c r="P52" t="str">
        <f>VLOOKUP(B52,物料分类!B:F,5,0)</f>
        <v>成本-小料台类</v>
      </c>
    </row>
    <row r="53" hidden="1" spans="1:16">
      <c r="A53">
        <v>52</v>
      </c>
      <c r="B53">
        <v>4526284</v>
      </c>
      <c r="C53" t="s">
        <v>99</v>
      </c>
      <c r="D53">
        <v>1100</v>
      </c>
      <c r="E53">
        <v>300</v>
      </c>
      <c r="F53" t="s">
        <v>32</v>
      </c>
      <c r="G53" t="s">
        <v>33</v>
      </c>
      <c r="H53" t="s">
        <v>32</v>
      </c>
      <c r="I53" s="73">
        <f t="shared" si="0"/>
        <v>800</v>
      </c>
      <c r="J53" s="114">
        <f>VLOOKUP(B53,本月系统单价mb5b!$B:$P,15,0)</f>
        <v>0.248890909090909</v>
      </c>
      <c r="K53" s="114">
        <f t="shared" si="1"/>
        <v>199.112727272727</v>
      </c>
      <c r="L53" s="114">
        <f>IFERROR(VLOOKUP(B53,上月数量需更新!A:C,3,0),0)</f>
        <v>191.84</v>
      </c>
      <c r="M53" s="121">
        <f t="shared" si="2"/>
        <v>7.27272727272725</v>
      </c>
      <c r="P53" t="str">
        <f>VLOOKUP(B53,物料分类!B:F,5,0)</f>
        <v>成本-酒水类</v>
      </c>
    </row>
    <row r="54" hidden="1" spans="1:16">
      <c r="A54">
        <v>53</v>
      </c>
      <c r="B54">
        <v>8005470</v>
      </c>
      <c r="C54" t="s">
        <v>100</v>
      </c>
      <c r="D54">
        <v>20</v>
      </c>
      <c r="E54">
        <v>20</v>
      </c>
      <c r="F54" t="s">
        <v>101</v>
      </c>
      <c r="G54" t="s">
        <v>102</v>
      </c>
      <c r="H54" t="s">
        <v>101</v>
      </c>
      <c r="I54" s="73">
        <f t="shared" si="0"/>
        <v>0</v>
      </c>
      <c r="J54" s="114">
        <f>VLOOKUP(B54,本月系统单价mb5b!$B:$P,15,0)</f>
        <v>8.6125</v>
      </c>
      <c r="K54" s="114">
        <f t="shared" si="1"/>
        <v>0</v>
      </c>
      <c r="L54" s="114">
        <f>IFERROR(VLOOKUP(B54,上月数量需更新!A:C,3,0),0)</f>
        <v>86.12</v>
      </c>
      <c r="M54" s="121">
        <f t="shared" si="2"/>
        <v>-86.12</v>
      </c>
      <c r="P54" t="str">
        <f>VLOOKUP(B54,物料分类!B:F,5,0)</f>
        <v>服装费</v>
      </c>
    </row>
    <row r="55" hidden="1" spans="1:16">
      <c r="A55">
        <v>54</v>
      </c>
      <c r="B55">
        <v>8005469</v>
      </c>
      <c r="C55" t="s">
        <v>103</v>
      </c>
      <c r="D55">
        <v>20</v>
      </c>
      <c r="E55">
        <v>20</v>
      </c>
      <c r="F55" t="s">
        <v>101</v>
      </c>
      <c r="G55" t="s">
        <v>102</v>
      </c>
      <c r="H55" t="s">
        <v>101</v>
      </c>
      <c r="I55" s="73">
        <f t="shared" si="0"/>
        <v>0</v>
      </c>
      <c r="J55" s="114">
        <f>VLOOKUP(B55,本月系统单价mb5b!$B:$P,15,0)</f>
        <v>8.6125</v>
      </c>
      <c r="K55" s="114">
        <f t="shared" si="1"/>
        <v>0</v>
      </c>
      <c r="L55" s="114">
        <f>IFERROR(VLOOKUP(B55,上月数量需更新!A:C,3,0),0)</f>
        <v>86.12</v>
      </c>
      <c r="M55" s="121">
        <f t="shared" si="2"/>
        <v>-86.12</v>
      </c>
      <c r="P55" t="str">
        <f>VLOOKUP(B55,物料分类!B:F,5,0)</f>
        <v>服装费</v>
      </c>
    </row>
    <row r="56" hidden="1" spans="1:16">
      <c r="A56">
        <v>55</v>
      </c>
      <c r="B56">
        <v>8005468</v>
      </c>
      <c r="C56" t="s">
        <v>104</v>
      </c>
      <c r="D56">
        <v>20</v>
      </c>
      <c r="E56">
        <v>20</v>
      </c>
      <c r="F56" t="s">
        <v>101</v>
      </c>
      <c r="G56" t="s">
        <v>102</v>
      </c>
      <c r="H56" t="s">
        <v>101</v>
      </c>
      <c r="I56" s="73">
        <f t="shared" si="0"/>
        <v>0</v>
      </c>
      <c r="J56" s="114">
        <f>VLOOKUP(B56,本月系统单价mb5b!$B:$P,15,0)</f>
        <v>8.6125</v>
      </c>
      <c r="K56" s="114">
        <f t="shared" si="1"/>
        <v>0</v>
      </c>
      <c r="L56" s="114">
        <f>IFERROR(VLOOKUP(B56,上月数量需更新!A:C,3,0),0)</f>
        <v>86.12</v>
      </c>
      <c r="M56" s="121">
        <f t="shared" si="2"/>
        <v>-86.12</v>
      </c>
      <c r="P56" t="str">
        <f>VLOOKUP(B56,物料分类!B:F,5,0)</f>
        <v>服装费</v>
      </c>
    </row>
    <row r="57" hidden="1" spans="1:16">
      <c r="A57">
        <v>56</v>
      </c>
      <c r="B57">
        <v>8005471</v>
      </c>
      <c r="C57" t="s">
        <v>105</v>
      </c>
      <c r="D57">
        <v>20</v>
      </c>
      <c r="E57">
        <v>20</v>
      </c>
      <c r="F57" t="s">
        <v>101</v>
      </c>
      <c r="G57" t="s">
        <v>102</v>
      </c>
      <c r="H57" t="s">
        <v>101</v>
      </c>
      <c r="I57" s="73">
        <f t="shared" si="0"/>
        <v>0</v>
      </c>
      <c r="J57" s="114">
        <f>VLOOKUP(B57,本月系统单价mb5b!$B:$P,15,0)</f>
        <v>8.6125</v>
      </c>
      <c r="K57" s="114">
        <f t="shared" si="1"/>
        <v>0</v>
      </c>
      <c r="L57" s="114">
        <f>IFERROR(VLOOKUP(B57,上月数量需更新!A:C,3,0),0)</f>
        <v>86.12</v>
      </c>
      <c r="M57" s="121">
        <f t="shared" si="2"/>
        <v>-86.12</v>
      </c>
      <c r="P57" t="str">
        <f>VLOOKUP(B57,物料分类!B:F,5,0)</f>
        <v>服装费</v>
      </c>
    </row>
    <row r="58" hidden="1" spans="1:16">
      <c r="A58">
        <v>57</v>
      </c>
      <c r="B58">
        <v>8005472</v>
      </c>
      <c r="C58" t="s">
        <v>106</v>
      </c>
      <c r="D58">
        <v>20</v>
      </c>
      <c r="E58">
        <v>20</v>
      </c>
      <c r="F58" t="s">
        <v>101</v>
      </c>
      <c r="G58" t="s">
        <v>102</v>
      </c>
      <c r="H58" t="s">
        <v>101</v>
      </c>
      <c r="I58" s="73">
        <f t="shared" si="0"/>
        <v>0</v>
      </c>
      <c r="J58" s="114">
        <f>VLOOKUP(B58,本月系统单价mb5b!$B:$P,15,0)</f>
        <v>8.6125</v>
      </c>
      <c r="K58" s="114">
        <f t="shared" si="1"/>
        <v>0</v>
      </c>
      <c r="L58" s="114">
        <f>IFERROR(VLOOKUP(B58,上月数量需更新!A:C,3,0),0)</f>
        <v>86.12</v>
      </c>
      <c r="M58" s="121">
        <f t="shared" si="2"/>
        <v>-86.12</v>
      </c>
      <c r="P58" t="str">
        <f>VLOOKUP(B58,物料分类!B:F,5,0)</f>
        <v>服装费</v>
      </c>
    </row>
    <row r="59" hidden="1" spans="1:16">
      <c r="A59">
        <v>58</v>
      </c>
      <c r="B59">
        <v>8005473</v>
      </c>
      <c r="C59" t="s">
        <v>107</v>
      </c>
      <c r="D59">
        <v>20</v>
      </c>
      <c r="E59">
        <v>20</v>
      </c>
      <c r="F59" t="s">
        <v>101</v>
      </c>
      <c r="G59" t="s">
        <v>102</v>
      </c>
      <c r="H59" t="s">
        <v>101</v>
      </c>
      <c r="I59" s="73">
        <f t="shared" si="0"/>
        <v>0</v>
      </c>
      <c r="J59" s="114">
        <f>VLOOKUP(B59,本月系统单价mb5b!$B:$P,15,0)</f>
        <v>8.6125</v>
      </c>
      <c r="K59" s="114">
        <f t="shared" si="1"/>
        <v>0</v>
      </c>
      <c r="L59" s="114">
        <f>IFERROR(VLOOKUP(B59,上月数量需更新!A:C,3,0),0)</f>
        <v>86.12</v>
      </c>
      <c r="M59" s="121">
        <f t="shared" si="2"/>
        <v>-86.12</v>
      </c>
      <c r="P59" t="str">
        <f>VLOOKUP(B59,物料分类!B:F,5,0)</f>
        <v>服装费</v>
      </c>
    </row>
    <row r="60" hidden="1" spans="1:16">
      <c r="A60">
        <v>59</v>
      </c>
      <c r="B60">
        <v>8005474</v>
      </c>
      <c r="C60" t="s">
        <v>108</v>
      </c>
      <c r="D60">
        <v>20</v>
      </c>
      <c r="E60">
        <v>10</v>
      </c>
      <c r="F60" t="s">
        <v>101</v>
      </c>
      <c r="G60" t="s">
        <v>102</v>
      </c>
      <c r="H60" t="s">
        <v>101</v>
      </c>
      <c r="I60" s="73">
        <f t="shared" si="0"/>
        <v>10</v>
      </c>
      <c r="J60" s="114">
        <f>VLOOKUP(B60,本月系统单价mb5b!$B:$P,15,0)</f>
        <v>8.6125</v>
      </c>
      <c r="K60" s="114">
        <f t="shared" si="1"/>
        <v>86.125</v>
      </c>
      <c r="L60" s="114">
        <f>IFERROR(VLOOKUP(B60,上月数量需更新!A:C,3,0),0)</f>
        <v>86.12</v>
      </c>
      <c r="M60" s="121">
        <f t="shared" si="2"/>
        <v>0.00499999999999545</v>
      </c>
      <c r="P60" t="str">
        <f>VLOOKUP(B60,物料分类!B:F,5,0)</f>
        <v>服装费</v>
      </c>
    </row>
    <row r="61" hidden="1" spans="1:16">
      <c r="A61">
        <v>60</v>
      </c>
      <c r="B61">
        <v>8006870</v>
      </c>
      <c r="C61" t="s">
        <v>109</v>
      </c>
      <c r="D61">
        <v>10</v>
      </c>
      <c r="E61">
        <v>10</v>
      </c>
      <c r="F61" t="s">
        <v>101</v>
      </c>
      <c r="G61" t="s">
        <v>102</v>
      </c>
      <c r="H61" t="s">
        <v>101</v>
      </c>
      <c r="I61" s="73">
        <f t="shared" si="0"/>
        <v>0</v>
      </c>
      <c r="J61" s="114">
        <f>VLOOKUP(B61,本月系统单价mb5b!$B:$P,15,0)</f>
        <v>8.29</v>
      </c>
      <c r="K61" s="114">
        <f t="shared" si="1"/>
        <v>0</v>
      </c>
      <c r="L61" s="114">
        <f>IFERROR(VLOOKUP(B61,上月数量需更新!A:C,3,0),0)</f>
        <v>0</v>
      </c>
      <c r="M61" s="121">
        <f t="shared" si="2"/>
        <v>0</v>
      </c>
      <c r="P61" t="str">
        <f>VLOOKUP(B61,物料分类!B:F,5,0)</f>
        <v>服装费</v>
      </c>
    </row>
    <row r="62" hidden="1" spans="1:16">
      <c r="A62">
        <v>61</v>
      </c>
      <c r="B62">
        <v>8006871</v>
      </c>
      <c r="C62" t="s">
        <v>110</v>
      </c>
      <c r="D62">
        <v>10</v>
      </c>
      <c r="E62">
        <v>10</v>
      </c>
      <c r="F62" t="s">
        <v>101</v>
      </c>
      <c r="G62" t="s">
        <v>102</v>
      </c>
      <c r="H62" t="s">
        <v>101</v>
      </c>
      <c r="I62" s="73">
        <f t="shared" si="0"/>
        <v>0</v>
      </c>
      <c r="J62" s="114">
        <f>VLOOKUP(B62,本月系统单价mb5b!$B:$P,15,0)</f>
        <v>8.29</v>
      </c>
      <c r="K62" s="114">
        <f t="shared" si="1"/>
        <v>0</v>
      </c>
      <c r="L62" s="114">
        <f>IFERROR(VLOOKUP(B62,上月数量需更新!A:C,3,0),0)</f>
        <v>0</v>
      </c>
      <c r="M62" s="121">
        <f t="shared" si="2"/>
        <v>0</v>
      </c>
      <c r="P62" t="str">
        <f>VLOOKUP(B62,物料分类!B:F,5,0)</f>
        <v>服装费</v>
      </c>
    </row>
    <row r="63" hidden="1" spans="1:16">
      <c r="A63">
        <v>62</v>
      </c>
      <c r="B63">
        <v>8006869</v>
      </c>
      <c r="C63" t="s">
        <v>111</v>
      </c>
      <c r="D63">
        <v>10</v>
      </c>
      <c r="E63">
        <v>10</v>
      </c>
      <c r="F63" t="s">
        <v>101</v>
      </c>
      <c r="G63" t="s">
        <v>102</v>
      </c>
      <c r="H63" t="s">
        <v>101</v>
      </c>
      <c r="I63" s="73">
        <f t="shared" si="0"/>
        <v>0</v>
      </c>
      <c r="J63" s="114">
        <f>VLOOKUP(B63,本月系统单价mb5b!$B:$P,15,0)</f>
        <v>8.292</v>
      </c>
      <c r="K63" s="114">
        <f t="shared" si="1"/>
        <v>0</v>
      </c>
      <c r="L63" s="114">
        <f>IFERROR(VLOOKUP(B63,上月数量需更新!A:C,3,0),0)</f>
        <v>0</v>
      </c>
      <c r="M63" s="121">
        <f t="shared" si="2"/>
        <v>0</v>
      </c>
      <c r="P63" t="str">
        <f>VLOOKUP(B63,物料分类!B:F,5,0)</f>
        <v>服装费</v>
      </c>
    </row>
    <row r="64" hidden="1" spans="1:16">
      <c r="A64">
        <v>63</v>
      </c>
      <c r="B64">
        <v>8006872</v>
      </c>
      <c r="C64" t="s">
        <v>112</v>
      </c>
      <c r="D64">
        <v>10</v>
      </c>
      <c r="E64">
        <v>10</v>
      </c>
      <c r="F64" t="s">
        <v>101</v>
      </c>
      <c r="G64" t="s">
        <v>102</v>
      </c>
      <c r="H64" t="s">
        <v>101</v>
      </c>
      <c r="I64" s="73">
        <f t="shared" si="0"/>
        <v>0</v>
      </c>
      <c r="J64" s="114">
        <f>VLOOKUP(B64,本月系统单价mb5b!$B:$P,15,0)</f>
        <v>8.29</v>
      </c>
      <c r="K64" s="114">
        <f t="shared" si="1"/>
        <v>0</v>
      </c>
      <c r="L64" s="114">
        <f>IFERROR(VLOOKUP(B64,上月数量需更新!A:C,3,0),0)</f>
        <v>0</v>
      </c>
      <c r="M64" s="121">
        <f t="shared" si="2"/>
        <v>0</v>
      </c>
      <c r="P64" t="str">
        <f>VLOOKUP(B64,物料分类!B:F,5,0)</f>
        <v>服装费</v>
      </c>
    </row>
    <row r="65" hidden="1" spans="1:16">
      <c r="A65">
        <v>64</v>
      </c>
      <c r="B65">
        <v>8006873</v>
      </c>
      <c r="C65" t="s">
        <v>113</v>
      </c>
      <c r="D65">
        <v>10</v>
      </c>
      <c r="E65">
        <v>10</v>
      </c>
      <c r="F65" t="s">
        <v>101</v>
      </c>
      <c r="G65" t="s">
        <v>102</v>
      </c>
      <c r="H65" t="s">
        <v>101</v>
      </c>
      <c r="I65" s="73">
        <f t="shared" si="0"/>
        <v>0</v>
      </c>
      <c r="J65" s="114">
        <f>VLOOKUP(B65,本月系统单价mb5b!$B:$P,15,0)</f>
        <v>8.292</v>
      </c>
      <c r="K65" s="114">
        <f t="shared" si="1"/>
        <v>0</v>
      </c>
      <c r="L65" s="114">
        <f>IFERROR(VLOOKUP(B65,上月数量需更新!A:C,3,0),0)</f>
        <v>0</v>
      </c>
      <c r="M65" s="121">
        <f t="shared" si="2"/>
        <v>0</v>
      </c>
      <c r="P65" t="str">
        <f>VLOOKUP(B65,物料分类!B:F,5,0)</f>
        <v>服装费</v>
      </c>
    </row>
    <row r="66" hidden="1" spans="1:16">
      <c r="A66">
        <v>65</v>
      </c>
      <c r="B66">
        <v>8006874</v>
      </c>
      <c r="C66" t="s">
        <v>114</v>
      </c>
      <c r="D66">
        <v>10</v>
      </c>
      <c r="E66">
        <v>10</v>
      </c>
      <c r="F66" t="s">
        <v>101</v>
      </c>
      <c r="G66" t="s">
        <v>102</v>
      </c>
      <c r="H66" t="s">
        <v>101</v>
      </c>
      <c r="I66" s="73">
        <f t="shared" ref="I66:I129" si="3">D66-E66</f>
        <v>0</v>
      </c>
      <c r="J66" s="114">
        <f>VLOOKUP(B66,本月系统单价mb5b!$B:$P,15,0)</f>
        <v>8.29</v>
      </c>
      <c r="K66" s="114">
        <f t="shared" ref="K66:K129" si="4">I66*J66</f>
        <v>0</v>
      </c>
      <c r="L66" s="114">
        <f>IFERROR(VLOOKUP(B66,上月数量需更新!A:C,3,0),0)</f>
        <v>0</v>
      </c>
      <c r="M66" s="121">
        <f t="shared" ref="M66:M129" si="5">K66-L66</f>
        <v>0</v>
      </c>
      <c r="P66" t="str">
        <f>VLOOKUP(B66,物料分类!B:F,5,0)</f>
        <v>服装费</v>
      </c>
    </row>
    <row r="67" hidden="1" spans="1:16">
      <c r="A67">
        <v>66</v>
      </c>
      <c r="B67">
        <v>8006875</v>
      </c>
      <c r="C67" t="s">
        <v>115</v>
      </c>
      <c r="D67">
        <v>10</v>
      </c>
      <c r="E67">
        <v>10</v>
      </c>
      <c r="F67" t="s">
        <v>101</v>
      </c>
      <c r="G67" t="s">
        <v>102</v>
      </c>
      <c r="H67" t="s">
        <v>101</v>
      </c>
      <c r="I67" s="73">
        <f t="shared" si="3"/>
        <v>0</v>
      </c>
      <c r="J67" s="114">
        <f>VLOOKUP(B67,本月系统单价mb5b!$B:$P,15,0)</f>
        <v>8.292</v>
      </c>
      <c r="K67" s="114">
        <f t="shared" si="4"/>
        <v>0</v>
      </c>
      <c r="L67" s="114">
        <f>IFERROR(VLOOKUP(B67,上月数量需更新!A:C,3,0),0)</f>
        <v>0</v>
      </c>
      <c r="M67" s="121">
        <f t="shared" si="5"/>
        <v>0</v>
      </c>
      <c r="P67" t="str">
        <f>VLOOKUP(B67,物料分类!B:F,5,0)</f>
        <v>服装费</v>
      </c>
    </row>
    <row r="68" hidden="1" spans="1:16">
      <c r="A68">
        <v>67</v>
      </c>
      <c r="B68">
        <v>4503604</v>
      </c>
      <c r="C68" t="s">
        <v>116</v>
      </c>
      <c r="D68">
        <v>373.3</v>
      </c>
      <c r="E68">
        <v>19</v>
      </c>
      <c r="F68" t="s">
        <v>36</v>
      </c>
      <c r="G68" t="s">
        <v>37</v>
      </c>
      <c r="H68" t="s">
        <v>38</v>
      </c>
      <c r="I68" s="73">
        <f t="shared" si="3"/>
        <v>354.3</v>
      </c>
      <c r="J68" s="114">
        <f>VLOOKUP(B68,本月系统单价mb5b!$B:$P,15,0)</f>
        <v>1.11944816501473</v>
      </c>
      <c r="K68" s="114">
        <f t="shared" si="4"/>
        <v>396.62048486472</v>
      </c>
      <c r="L68" s="114">
        <f>IFERROR(VLOOKUP(B68,上月数量需更新!A:C,3,0),0)</f>
        <v>399.25</v>
      </c>
      <c r="M68" s="121">
        <f t="shared" si="5"/>
        <v>-2.62951513527992</v>
      </c>
      <c r="P68" t="str">
        <f>VLOOKUP(B68,物料分类!B:F,5,0)</f>
        <v>成本-素菜类</v>
      </c>
    </row>
    <row r="69" hidden="1" spans="1:16">
      <c r="A69">
        <v>68</v>
      </c>
      <c r="B69">
        <v>4505163</v>
      </c>
      <c r="C69" t="s">
        <v>117</v>
      </c>
      <c r="D69">
        <v>93</v>
      </c>
      <c r="E69">
        <v>38</v>
      </c>
      <c r="F69" t="s">
        <v>29</v>
      </c>
      <c r="G69" t="s">
        <v>30</v>
      </c>
      <c r="H69" t="s">
        <v>29</v>
      </c>
      <c r="I69" s="73">
        <f t="shared" si="3"/>
        <v>55</v>
      </c>
      <c r="J69" s="114">
        <f>VLOOKUP(B69,本月系统单价mb5b!$B:$P,15,0)</f>
        <v>16.664623655914</v>
      </c>
      <c r="K69" s="114">
        <f t="shared" si="4"/>
        <v>916.554301075269</v>
      </c>
      <c r="L69" s="114">
        <f>IFERROR(VLOOKUP(B69,上月数量需更新!A:C,3,0),0)</f>
        <v>941.64</v>
      </c>
      <c r="M69" s="121">
        <f t="shared" si="5"/>
        <v>-25.0856989247312</v>
      </c>
      <c r="P69" t="str">
        <f>VLOOKUP(B69,物料分类!B:F,5,0)</f>
        <v>成本-锅底类</v>
      </c>
    </row>
    <row r="70" hidden="1" spans="1:16">
      <c r="A70">
        <v>69</v>
      </c>
      <c r="B70">
        <v>4017075</v>
      </c>
      <c r="C70" t="s">
        <v>118</v>
      </c>
      <c r="D70">
        <v>800</v>
      </c>
      <c r="E70">
        <v>700</v>
      </c>
      <c r="F70" t="s">
        <v>29</v>
      </c>
      <c r="G70" t="s">
        <v>30</v>
      </c>
      <c r="H70" t="s">
        <v>29</v>
      </c>
      <c r="I70" s="73">
        <f t="shared" si="3"/>
        <v>100</v>
      </c>
      <c r="J70" s="114">
        <f>VLOOKUP(B70,本月系统单价mb5b!$B:$P,15,0)</f>
        <v>0.380525</v>
      </c>
      <c r="K70" s="114">
        <f t="shared" si="4"/>
        <v>38.0525</v>
      </c>
      <c r="L70" s="114">
        <f>IFERROR(VLOOKUP(B70,上月数量需更新!A:C,3,0),0)</f>
        <v>342.48</v>
      </c>
      <c r="M70" s="121">
        <f t="shared" si="5"/>
        <v>-304.4275</v>
      </c>
      <c r="P70" t="str">
        <f>VLOOKUP(B70,物料分类!B:F,5,0)</f>
        <v>成本-小料台类</v>
      </c>
    </row>
    <row r="71" hidden="1" spans="1:16">
      <c r="A71">
        <v>70</v>
      </c>
      <c r="B71">
        <v>1500700</v>
      </c>
      <c r="C71" t="s">
        <v>119</v>
      </c>
      <c r="D71">
        <v>325.82</v>
      </c>
      <c r="E71">
        <v>0</v>
      </c>
      <c r="F71" t="s">
        <v>73</v>
      </c>
      <c r="G71" t="s">
        <v>74</v>
      </c>
      <c r="H71" t="s">
        <v>73</v>
      </c>
      <c r="I71" s="73">
        <f t="shared" si="3"/>
        <v>325.82</v>
      </c>
      <c r="J71" s="114">
        <f>VLOOKUP(B71,本月系统单价mb5b!$B:$P,15,0)</f>
        <v>3.6499907924621</v>
      </c>
      <c r="K71" s="114">
        <f t="shared" si="4"/>
        <v>1189.24</v>
      </c>
      <c r="L71" s="114">
        <f>IFERROR(VLOOKUP(B71,上月数量需更新!A:C,3,0),0)</f>
        <v>1289.44</v>
      </c>
      <c r="M71" s="121">
        <f t="shared" si="5"/>
        <v>-100.2</v>
      </c>
      <c r="P71" t="str">
        <f>VLOOKUP(B71,物料分类!B:F,5,0)</f>
        <v>成本-荤菜类</v>
      </c>
    </row>
    <row r="72" hidden="1" spans="1:16">
      <c r="A72">
        <v>71</v>
      </c>
      <c r="B72">
        <v>4525250</v>
      </c>
      <c r="C72" t="s">
        <v>120</v>
      </c>
      <c r="D72">
        <v>66</v>
      </c>
      <c r="E72">
        <v>40</v>
      </c>
      <c r="F72" t="s">
        <v>73</v>
      </c>
      <c r="G72" t="s">
        <v>74</v>
      </c>
      <c r="H72" t="s">
        <v>73</v>
      </c>
      <c r="I72" s="73">
        <f t="shared" si="3"/>
        <v>26</v>
      </c>
      <c r="J72" s="114">
        <f>VLOOKUP(B72,本月系统单价mb5b!$B:$P,15,0)</f>
        <v>16.5709090909091</v>
      </c>
      <c r="K72" s="114">
        <f t="shared" si="4"/>
        <v>430.843636363636</v>
      </c>
      <c r="L72" s="114">
        <f>IFERROR(VLOOKUP(B72,上月数量需更新!A:C,3,0),0)</f>
        <v>304.88</v>
      </c>
      <c r="M72" s="121">
        <f t="shared" si="5"/>
        <v>125.963636363636</v>
      </c>
      <c r="P72" t="str">
        <f>VLOOKUP(B72,物料分类!B:F,5,0)</f>
        <v>成本-酒水类</v>
      </c>
    </row>
    <row r="73" hidden="1" spans="1:16">
      <c r="A73">
        <v>72</v>
      </c>
      <c r="B73">
        <v>4048872</v>
      </c>
      <c r="C73" t="s">
        <v>121</v>
      </c>
      <c r="D73">
        <v>45</v>
      </c>
      <c r="E73">
        <v>11</v>
      </c>
      <c r="F73" t="s">
        <v>32</v>
      </c>
      <c r="G73" t="s">
        <v>33</v>
      </c>
      <c r="H73" t="s">
        <v>32</v>
      </c>
      <c r="I73" s="73">
        <f t="shared" si="3"/>
        <v>34</v>
      </c>
      <c r="J73" s="114">
        <f>VLOOKUP(B73,本月系统单价mb5b!$B:$P,15,0)</f>
        <v>4.82844444444444</v>
      </c>
      <c r="K73" s="114">
        <f t="shared" si="4"/>
        <v>164.167111111111</v>
      </c>
      <c r="L73" s="114">
        <f>IFERROR(VLOOKUP(B73,上月数量需更新!A:C,3,0),0)</f>
        <v>342.81</v>
      </c>
      <c r="M73" s="121">
        <f t="shared" si="5"/>
        <v>-178.642888888889</v>
      </c>
      <c r="P73" t="str">
        <f>VLOOKUP(B73,物料分类!B:F,5,0)</f>
        <v>成本-酒水类</v>
      </c>
    </row>
    <row r="74" hidden="1" spans="1:16">
      <c r="A74">
        <v>73</v>
      </c>
      <c r="B74">
        <v>4043713</v>
      </c>
      <c r="C74" t="s">
        <v>122</v>
      </c>
      <c r="D74">
        <v>46</v>
      </c>
      <c r="E74">
        <v>4</v>
      </c>
      <c r="F74" t="s">
        <v>73</v>
      </c>
      <c r="G74" t="s">
        <v>74</v>
      </c>
      <c r="H74" t="s">
        <v>73</v>
      </c>
      <c r="I74" s="73">
        <f t="shared" si="3"/>
        <v>42</v>
      </c>
      <c r="J74" s="114">
        <f>VLOOKUP(B74,本月系统单价mb5b!$B:$P,15,0)</f>
        <v>3.38</v>
      </c>
      <c r="K74" s="114">
        <f t="shared" si="4"/>
        <v>141.96</v>
      </c>
      <c r="L74" s="114">
        <f>IFERROR(VLOOKUP(B74,上月数量需更新!A:C,3,0),0)</f>
        <v>135.2</v>
      </c>
      <c r="M74" s="121">
        <f t="shared" si="5"/>
        <v>6.76000000000002</v>
      </c>
      <c r="P74" t="str">
        <f>VLOOKUP(B74,物料分类!B:F,5,0)</f>
        <v>成本-小吃类</v>
      </c>
    </row>
    <row r="75" hidden="1" spans="1:16">
      <c r="A75">
        <v>74</v>
      </c>
      <c r="B75">
        <v>4026797</v>
      </c>
      <c r="C75" t="s">
        <v>123</v>
      </c>
      <c r="D75">
        <v>68.5</v>
      </c>
      <c r="E75">
        <v>13.5</v>
      </c>
      <c r="F75" t="s">
        <v>73</v>
      </c>
      <c r="G75" t="s">
        <v>74</v>
      </c>
      <c r="H75" t="s">
        <v>73</v>
      </c>
      <c r="I75" s="73">
        <f t="shared" si="3"/>
        <v>55</v>
      </c>
      <c r="J75" s="114">
        <f>VLOOKUP(B75,本月系统单价mb5b!$B:$P,15,0)</f>
        <v>6.48846715328467</v>
      </c>
      <c r="K75" s="114">
        <f t="shared" si="4"/>
        <v>356.865693430657</v>
      </c>
      <c r="L75" s="114">
        <f>IFERROR(VLOOKUP(B75,上月数量需更新!A:C,3,0),0)</f>
        <v>432.5</v>
      </c>
      <c r="M75" s="121">
        <f t="shared" si="5"/>
        <v>-75.6343065693431</v>
      </c>
      <c r="P75" t="str">
        <f>VLOOKUP(B75,物料分类!B:F,5,0)</f>
        <v>成本-素菜类</v>
      </c>
    </row>
    <row r="76" hidden="1" spans="1:16">
      <c r="A76">
        <v>75</v>
      </c>
      <c r="B76">
        <v>4765891</v>
      </c>
      <c r="C76" t="s">
        <v>124</v>
      </c>
      <c r="D76">
        <v>160</v>
      </c>
      <c r="E76">
        <v>15</v>
      </c>
      <c r="F76" t="s">
        <v>73</v>
      </c>
      <c r="G76" t="s">
        <v>74</v>
      </c>
      <c r="H76" t="s">
        <v>73</v>
      </c>
      <c r="I76" s="73">
        <f t="shared" si="3"/>
        <v>145</v>
      </c>
      <c r="J76" s="114">
        <f>VLOOKUP(B76,本月系统单价mb5b!$B:$P,15,0)</f>
        <v>2.912875</v>
      </c>
      <c r="K76" s="114">
        <f t="shared" si="4"/>
        <v>422.366875</v>
      </c>
      <c r="L76" s="114">
        <f>IFERROR(VLOOKUP(B76,上月数量需更新!A:C,3,0),0)</f>
        <v>386.21</v>
      </c>
      <c r="M76" s="121">
        <f t="shared" si="5"/>
        <v>36.156875</v>
      </c>
      <c r="P76" t="str">
        <f>VLOOKUP(B76,物料分类!B:F,5,0)</f>
        <v>成本-素菜类</v>
      </c>
    </row>
    <row r="77" hidden="1" spans="1:16">
      <c r="A77">
        <v>76</v>
      </c>
      <c r="B77">
        <v>4527696</v>
      </c>
      <c r="C77" t="s">
        <v>125</v>
      </c>
      <c r="D77">
        <v>21</v>
      </c>
      <c r="E77">
        <v>20</v>
      </c>
      <c r="F77" t="s">
        <v>32</v>
      </c>
      <c r="G77" t="s">
        <v>33</v>
      </c>
      <c r="H77" t="s">
        <v>32</v>
      </c>
      <c r="I77" s="73">
        <f t="shared" si="3"/>
        <v>1</v>
      </c>
      <c r="J77" s="114">
        <f>VLOOKUP(B77,本月系统单价mb5b!$B:$P,15,0)</f>
        <v>12.25</v>
      </c>
      <c r="K77" s="114">
        <f t="shared" si="4"/>
        <v>12.25</v>
      </c>
      <c r="L77" s="114">
        <f>IFERROR(VLOOKUP(B77,上月数量需更新!A:C,3,0),0)</f>
        <v>0</v>
      </c>
      <c r="M77" s="121">
        <f t="shared" si="5"/>
        <v>12.25</v>
      </c>
      <c r="P77" t="str">
        <f>VLOOKUP(B77,物料分类!B:F,5,0)</f>
        <v>成本-酒水类</v>
      </c>
    </row>
    <row r="78" hidden="1" spans="1:16">
      <c r="A78">
        <v>77</v>
      </c>
      <c r="B78">
        <v>4512264</v>
      </c>
      <c r="C78" t="s">
        <v>126</v>
      </c>
      <c r="D78">
        <v>49</v>
      </c>
      <c r="E78">
        <v>10</v>
      </c>
      <c r="F78" t="s">
        <v>127</v>
      </c>
      <c r="G78" t="s">
        <v>128</v>
      </c>
      <c r="H78" t="s">
        <v>127</v>
      </c>
      <c r="I78" s="73">
        <f t="shared" si="3"/>
        <v>39</v>
      </c>
      <c r="J78" s="114">
        <f>VLOOKUP(B78,本月系统单价mb5b!$B:$P,15,0)</f>
        <v>2.2</v>
      </c>
      <c r="K78" s="114">
        <f t="shared" si="4"/>
        <v>85.8</v>
      </c>
      <c r="L78" s="114">
        <f>IFERROR(VLOOKUP(B78,上月数量需更新!A:C,3,0),0)</f>
        <v>110</v>
      </c>
      <c r="M78" s="121">
        <f t="shared" si="5"/>
        <v>-24.2</v>
      </c>
      <c r="P78" t="str">
        <f>VLOOKUP(B78,物料分类!B:F,5,0)</f>
        <v>成本-素菜类</v>
      </c>
    </row>
    <row r="79" hidden="1" spans="1:16">
      <c r="A79">
        <v>78</v>
      </c>
      <c r="B79">
        <v>8005467</v>
      </c>
      <c r="C79" t="s">
        <v>129</v>
      </c>
      <c r="D79">
        <v>40</v>
      </c>
      <c r="E79">
        <v>30</v>
      </c>
      <c r="F79" t="s">
        <v>40</v>
      </c>
      <c r="G79" t="s">
        <v>41</v>
      </c>
      <c r="H79" t="s">
        <v>40</v>
      </c>
      <c r="I79" s="73">
        <f t="shared" si="3"/>
        <v>10</v>
      </c>
      <c r="J79" s="114">
        <f>VLOOKUP(B79,本月系统单价mb5b!$B:$P,15,0)</f>
        <v>3.5885</v>
      </c>
      <c r="K79" s="114">
        <f t="shared" si="4"/>
        <v>35.885</v>
      </c>
      <c r="L79" s="114">
        <f>IFERROR(VLOOKUP(B79,上月数量需更新!A:C,3,0),0)</f>
        <v>35.88</v>
      </c>
      <c r="M79" s="121">
        <f t="shared" si="5"/>
        <v>0.00499999999999545</v>
      </c>
      <c r="P79" t="str">
        <f>VLOOKUP(B79,物料分类!B:F,5,0)</f>
        <v>服装费</v>
      </c>
    </row>
    <row r="80" hidden="1" spans="1:16">
      <c r="A80">
        <v>79</v>
      </c>
      <c r="B80">
        <v>4000635</v>
      </c>
      <c r="C80" t="s">
        <v>130</v>
      </c>
      <c r="D80">
        <v>216</v>
      </c>
      <c r="E80">
        <v>47</v>
      </c>
      <c r="F80" t="s">
        <v>92</v>
      </c>
      <c r="G80" t="s">
        <v>93</v>
      </c>
      <c r="H80" t="s">
        <v>92</v>
      </c>
      <c r="I80" s="73">
        <f t="shared" si="3"/>
        <v>169</v>
      </c>
      <c r="J80" s="114">
        <f>VLOOKUP(B80,本月系统单价mb5b!$B:$P,15,0)</f>
        <v>0.791666666666667</v>
      </c>
      <c r="K80" s="114">
        <f t="shared" si="4"/>
        <v>133.791666666667</v>
      </c>
      <c r="L80" s="114">
        <f>IFERROR(VLOOKUP(B80,上月数量需更新!A:C,3,0),0)</f>
        <v>167.04</v>
      </c>
      <c r="M80" s="121">
        <f t="shared" si="5"/>
        <v>-33.2483333333333</v>
      </c>
      <c r="P80" t="str">
        <f>VLOOKUP(B80,物料分类!B:F,5,0)</f>
        <v>成本-酒水类</v>
      </c>
    </row>
    <row r="81" hidden="1" spans="1:16">
      <c r="A81">
        <v>95</v>
      </c>
      <c r="B81">
        <v>4510760</v>
      </c>
      <c r="C81" t="s">
        <v>131</v>
      </c>
      <c r="D81">
        <v>42</v>
      </c>
      <c r="E81">
        <v>12</v>
      </c>
      <c r="F81" t="s">
        <v>66</v>
      </c>
      <c r="G81" t="s">
        <v>67</v>
      </c>
      <c r="H81" t="s">
        <v>66</v>
      </c>
      <c r="I81" s="73">
        <f t="shared" si="3"/>
        <v>30</v>
      </c>
      <c r="J81" s="114">
        <f>VLOOKUP(B81,本月系统单价mb5b!$B:$P,15,0)</f>
        <v>9.375</v>
      </c>
      <c r="K81" s="114">
        <f t="shared" si="4"/>
        <v>281.25</v>
      </c>
      <c r="L81" s="114">
        <f>IFERROR(VLOOKUP(B81,上月数量需更新!A:C,3,0),0)</f>
        <v>243.75</v>
      </c>
      <c r="M81" s="121">
        <f t="shared" si="5"/>
        <v>37.5</v>
      </c>
      <c r="P81" t="str">
        <f>VLOOKUP(B81,物料分类!B:F,5,0)</f>
        <v>物料消耗</v>
      </c>
    </row>
    <row r="82" hidden="1" spans="1:16">
      <c r="A82">
        <v>177</v>
      </c>
      <c r="B82">
        <v>4505864</v>
      </c>
      <c r="C82" t="s">
        <v>132</v>
      </c>
      <c r="D82">
        <v>2700</v>
      </c>
      <c r="E82">
        <v>1200</v>
      </c>
      <c r="F82" t="s">
        <v>20</v>
      </c>
      <c r="G82" t="s">
        <v>21</v>
      </c>
      <c r="H82" t="s">
        <v>20</v>
      </c>
      <c r="I82" s="73">
        <f t="shared" si="3"/>
        <v>1500</v>
      </c>
      <c r="J82" s="114">
        <f>VLOOKUP(B82,本月系统单价mb5b!$B:$P,15,0)</f>
        <v>0.183207407407407</v>
      </c>
      <c r="K82" s="114">
        <f t="shared" si="4"/>
        <v>274.811111111111</v>
      </c>
      <c r="L82" s="114">
        <f>IFERROR(VLOOKUP(B82,上月数量需更新!A:C,3,0),0)</f>
        <v>439.09</v>
      </c>
      <c r="M82" s="121">
        <f t="shared" si="5"/>
        <v>-164.278888888889</v>
      </c>
      <c r="P82" t="str">
        <f>VLOOKUP(B82,物料分类!B:F,5,0)</f>
        <v>物料消耗</v>
      </c>
    </row>
    <row r="83" hidden="1" spans="1:16">
      <c r="A83">
        <v>82</v>
      </c>
      <c r="B83">
        <v>4524613</v>
      </c>
      <c r="C83" t="s">
        <v>133</v>
      </c>
      <c r="D83">
        <v>36.1</v>
      </c>
      <c r="E83">
        <v>7.6</v>
      </c>
      <c r="F83" t="s">
        <v>73</v>
      </c>
      <c r="G83" t="s">
        <v>74</v>
      </c>
      <c r="H83" t="s">
        <v>73</v>
      </c>
      <c r="I83" s="73">
        <f t="shared" si="3"/>
        <v>28.5</v>
      </c>
      <c r="J83" s="114">
        <f>VLOOKUP(B83,本月系统单价mb5b!$B:$P,15,0)</f>
        <v>6.07368421052632</v>
      </c>
      <c r="K83" s="114">
        <f t="shared" si="4"/>
        <v>173.1</v>
      </c>
      <c r="L83" s="114">
        <f>IFERROR(VLOOKUP(B83,上月数量需更新!A:C,3,0),0)</f>
        <v>304.74</v>
      </c>
      <c r="M83" s="121">
        <f t="shared" si="5"/>
        <v>-131.64</v>
      </c>
      <c r="P83" t="str">
        <f>VLOOKUP(B83,物料分类!B:F,5,0)</f>
        <v>成本-素菜类</v>
      </c>
    </row>
    <row r="84" hidden="1" spans="1:16">
      <c r="A84">
        <v>83</v>
      </c>
      <c r="B84">
        <v>4701288</v>
      </c>
      <c r="C84" t="s">
        <v>134</v>
      </c>
      <c r="D84">
        <v>186</v>
      </c>
      <c r="E84">
        <v>20</v>
      </c>
      <c r="F84" t="s">
        <v>92</v>
      </c>
      <c r="G84" t="s">
        <v>93</v>
      </c>
      <c r="H84" t="s">
        <v>92</v>
      </c>
      <c r="I84" s="73">
        <f t="shared" si="3"/>
        <v>166</v>
      </c>
      <c r="J84" s="114">
        <f>VLOOKUP(B84,本月系统单价mb5b!$B:$P,15,0)</f>
        <v>1.12903225806452</v>
      </c>
      <c r="K84" s="114">
        <f t="shared" si="4"/>
        <v>187.41935483871</v>
      </c>
      <c r="L84" s="114">
        <f>IFERROR(VLOOKUP(B84,上月数量需更新!A:C,3,0),0)</f>
        <v>162</v>
      </c>
      <c r="M84" s="121">
        <f t="shared" si="5"/>
        <v>25.4193548387097</v>
      </c>
      <c r="P84" t="str">
        <f>VLOOKUP(B84,物料分类!B:F,5,0)</f>
        <v>成本-酒水类</v>
      </c>
    </row>
    <row r="85" hidden="1" spans="1:16">
      <c r="A85">
        <v>84</v>
      </c>
      <c r="B85">
        <v>4510491</v>
      </c>
      <c r="C85" t="s">
        <v>135</v>
      </c>
      <c r="D85">
        <v>13</v>
      </c>
      <c r="E85">
        <v>6</v>
      </c>
      <c r="F85" t="s">
        <v>73</v>
      </c>
      <c r="G85" t="s">
        <v>74</v>
      </c>
      <c r="H85" t="s">
        <v>73</v>
      </c>
      <c r="I85" s="73">
        <f t="shared" si="3"/>
        <v>7</v>
      </c>
      <c r="J85" s="114">
        <f>VLOOKUP(B85,本月系统单价mb5b!$B:$P,15,0)</f>
        <v>24</v>
      </c>
      <c r="K85" s="114">
        <f t="shared" si="4"/>
        <v>168</v>
      </c>
      <c r="L85" s="114">
        <f>IFERROR(VLOOKUP(B85,上月数量需更新!A:C,3,0),0)</f>
        <v>264</v>
      </c>
      <c r="M85" s="121">
        <f t="shared" si="5"/>
        <v>-96</v>
      </c>
      <c r="P85" t="str">
        <f>VLOOKUP(B85,物料分类!B:F,5,0)</f>
        <v>成本-荤菜类</v>
      </c>
    </row>
    <row r="86" hidden="1" spans="1:16">
      <c r="A86">
        <v>85</v>
      </c>
      <c r="B86">
        <v>1500844</v>
      </c>
      <c r="C86" t="s">
        <v>136</v>
      </c>
      <c r="D86">
        <v>110</v>
      </c>
      <c r="E86">
        <v>80</v>
      </c>
      <c r="F86" t="s">
        <v>137</v>
      </c>
      <c r="G86" t="s">
        <v>138</v>
      </c>
      <c r="H86" t="s">
        <v>137</v>
      </c>
      <c r="I86" s="73">
        <f t="shared" si="3"/>
        <v>30</v>
      </c>
      <c r="J86" s="114">
        <f>VLOOKUP(B86,本月系统单价mb5b!$B:$P,15,0)</f>
        <v>0.990909090909091</v>
      </c>
      <c r="K86" s="114">
        <f t="shared" si="4"/>
        <v>29.7272727272727</v>
      </c>
      <c r="L86" s="114">
        <f>IFERROR(VLOOKUP(B86,上月数量需更新!A:C,3,0),0)</f>
        <v>9</v>
      </c>
      <c r="M86" s="121">
        <f t="shared" si="5"/>
        <v>20.7272727272727</v>
      </c>
      <c r="P86" t="str">
        <f>VLOOKUP(B86,物料分类!B:F,5,0)</f>
        <v>成本-小料台类</v>
      </c>
    </row>
    <row r="87" hidden="1" spans="1:16">
      <c r="A87">
        <v>86</v>
      </c>
      <c r="B87">
        <v>1501634</v>
      </c>
      <c r="C87" t="s">
        <v>139</v>
      </c>
      <c r="D87">
        <v>47.7</v>
      </c>
      <c r="E87">
        <v>5.4</v>
      </c>
      <c r="F87" t="s">
        <v>73</v>
      </c>
      <c r="G87" t="s">
        <v>74</v>
      </c>
      <c r="H87" t="s">
        <v>73</v>
      </c>
      <c r="I87" s="73">
        <f t="shared" si="3"/>
        <v>42.3</v>
      </c>
      <c r="J87" s="114">
        <f>VLOOKUP(B87,本月系统单价mb5b!$B:$P,15,0)</f>
        <v>4.88888888888889</v>
      </c>
      <c r="K87" s="114">
        <f t="shared" si="4"/>
        <v>206.8</v>
      </c>
      <c r="L87" s="114">
        <f>IFERROR(VLOOKUP(B87,上月数量需更新!A:C,3,0),0)</f>
        <v>202.4</v>
      </c>
      <c r="M87" s="121">
        <f t="shared" si="5"/>
        <v>4.40000000000001</v>
      </c>
      <c r="P87" t="str">
        <f>VLOOKUP(B87,物料分类!B:F,5,0)</f>
        <v>成本-小吃类</v>
      </c>
    </row>
    <row r="88" hidden="1" spans="1:16">
      <c r="A88">
        <v>465</v>
      </c>
      <c r="B88">
        <v>8704093</v>
      </c>
      <c r="C88" t="s">
        <v>140</v>
      </c>
      <c r="D88">
        <v>8000</v>
      </c>
      <c r="E88">
        <v>4000</v>
      </c>
      <c r="F88" t="s">
        <v>20</v>
      </c>
      <c r="G88" t="s">
        <v>21</v>
      </c>
      <c r="H88" t="s">
        <v>20</v>
      </c>
      <c r="I88" s="73">
        <f t="shared" si="3"/>
        <v>4000</v>
      </c>
      <c r="J88" s="114">
        <f>VLOOKUP(B88,本月系统单价mb5b!$B:$P,15,0)</f>
        <v>0.064735</v>
      </c>
      <c r="K88" s="114">
        <f t="shared" si="4"/>
        <v>258.94</v>
      </c>
      <c r="L88" s="114">
        <f>IFERROR(VLOOKUP(B88,上月数量需更新!A:C,3,0),0)</f>
        <v>258.95</v>
      </c>
      <c r="M88" s="121">
        <f t="shared" si="5"/>
        <v>-0.00999999999999091</v>
      </c>
      <c r="P88" t="str">
        <f>VLOOKUP(B88,物料分类!B:F,5,0)</f>
        <v>物料消耗</v>
      </c>
    </row>
    <row r="89" hidden="1" spans="1:16">
      <c r="A89">
        <v>111</v>
      </c>
      <c r="B89">
        <v>1501001</v>
      </c>
      <c r="C89" t="s">
        <v>141</v>
      </c>
      <c r="D89">
        <v>3600</v>
      </c>
      <c r="E89">
        <v>900</v>
      </c>
      <c r="F89" t="s">
        <v>20</v>
      </c>
      <c r="G89" t="s">
        <v>21</v>
      </c>
      <c r="H89" t="s">
        <v>20</v>
      </c>
      <c r="I89" s="73">
        <f t="shared" si="3"/>
        <v>2700</v>
      </c>
      <c r="J89" s="114">
        <f>VLOOKUP(B89,本月系统单价mb5b!$B:$P,15,0)</f>
        <v>0.0955555555555556</v>
      </c>
      <c r="K89" s="114">
        <f t="shared" si="4"/>
        <v>258</v>
      </c>
      <c r="L89" s="114">
        <f>IFERROR(VLOOKUP(B89,上月数量需更新!A:C,3,0),0)</f>
        <v>258</v>
      </c>
      <c r="M89" s="121">
        <f t="shared" si="5"/>
        <v>0</v>
      </c>
      <c r="P89" t="str">
        <f>VLOOKUP(B89,物料分类!B:F,5,0)</f>
        <v>物料消耗</v>
      </c>
    </row>
    <row r="90" hidden="1" spans="1:16">
      <c r="A90">
        <v>89</v>
      </c>
      <c r="B90">
        <v>1500860</v>
      </c>
      <c r="C90" t="s">
        <v>142</v>
      </c>
      <c r="D90">
        <v>545</v>
      </c>
      <c r="E90">
        <v>216</v>
      </c>
      <c r="F90" t="s">
        <v>137</v>
      </c>
      <c r="G90" t="s">
        <v>138</v>
      </c>
      <c r="H90" t="s">
        <v>137</v>
      </c>
      <c r="I90" s="73">
        <f t="shared" si="3"/>
        <v>329</v>
      </c>
      <c r="J90" s="114">
        <f>VLOOKUP(B90,本月系统单价mb5b!$B:$P,15,0)</f>
        <v>3.04166972477064</v>
      </c>
      <c r="K90" s="114">
        <f t="shared" si="4"/>
        <v>1000.70933944954</v>
      </c>
      <c r="L90" s="114">
        <f>IFERROR(VLOOKUP(B90,上月数量需更新!A:C,3,0),0)</f>
        <v>1533</v>
      </c>
      <c r="M90" s="121">
        <f t="shared" si="5"/>
        <v>-532.290660550459</v>
      </c>
      <c r="P90" t="str">
        <f>VLOOKUP(B90,物料分类!B:F,5,0)</f>
        <v>成本-荤菜类</v>
      </c>
    </row>
    <row r="91" hidden="1" spans="1:16">
      <c r="A91">
        <v>90</v>
      </c>
      <c r="B91">
        <v>1501154</v>
      </c>
      <c r="C91" t="s">
        <v>143</v>
      </c>
      <c r="D91">
        <v>288</v>
      </c>
      <c r="E91">
        <v>144</v>
      </c>
      <c r="F91" t="s">
        <v>29</v>
      </c>
      <c r="G91" t="s">
        <v>30</v>
      </c>
      <c r="H91" t="s">
        <v>29</v>
      </c>
      <c r="I91" s="73">
        <f t="shared" si="3"/>
        <v>144</v>
      </c>
      <c r="J91" s="114">
        <f>VLOOKUP(B91,本月系统单价mb5b!$B:$P,15,0)</f>
        <v>1.3671875</v>
      </c>
      <c r="K91" s="114">
        <f t="shared" si="4"/>
        <v>196.875</v>
      </c>
      <c r="L91" s="114">
        <f>IFERROR(VLOOKUP(B91,上月数量需更新!A:C,3,0),0)</f>
        <v>198.75</v>
      </c>
      <c r="M91" s="121">
        <f t="shared" si="5"/>
        <v>-1.875</v>
      </c>
      <c r="P91" t="str">
        <f>VLOOKUP(B91,物料分类!B:F,5,0)</f>
        <v>成本-小料台类</v>
      </c>
    </row>
    <row r="92" hidden="1" spans="1:16">
      <c r="A92">
        <v>91</v>
      </c>
      <c r="B92">
        <v>4513019</v>
      </c>
      <c r="C92" t="s">
        <v>144</v>
      </c>
      <c r="D92">
        <v>114</v>
      </c>
      <c r="E92">
        <v>44</v>
      </c>
      <c r="F92" t="s">
        <v>145</v>
      </c>
      <c r="G92" t="s">
        <v>146</v>
      </c>
      <c r="H92" t="s">
        <v>145</v>
      </c>
      <c r="I92" s="73">
        <f t="shared" si="3"/>
        <v>70</v>
      </c>
      <c r="J92" s="114">
        <f>VLOOKUP(B92,本月系统单价mb5b!$B:$P,15,0)</f>
        <v>7.9290350877193</v>
      </c>
      <c r="K92" s="114">
        <f t="shared" si="4"/>
        <v>555.032456140351</v>
      </c>
      <c r="L92" s="114">
        <f>IFERROR(VLOOKUP(B92,上月数量需更新!A:C,3,0),0)</f>
        <v>723.75</v>
      </c>
      <c r="M92" s="121">
        <f t="shared" si="5"/>
        <v>-168.717543859649</v>
      </c>
      <c r="P92" t="str">
        <f>VLOOKUP(B92,物料分类!B:F,5,0)</f>
        <v>成本-小料台类</v>
      </c>
    </row>
    <row r="93" hidden="1" spans="1:16">
      <c r="A93">
        <v>92</v>
      </c>
      <c r="B93">
        <v>4522445</v>
      </c>
      <c r="C93" t="s">
        <v>147</v>
      </c>
      <c r="D93">
        <v>152</v>
      </c>
      <c r="E93">
        <v>16</v>
      </c>
      <c r="F93" t="s">
        <v>73</v>
      </c>
      <c r="G93" t="s">
        <v>74</v>
      </c>
      <c r="H93" t="s">
        <v>73</v>
      </c>
      <c r="I93" s="73">
        <f t="shared" si="3"/>
        <v>136</v>
      </c>
      <c r="J93" s="114">
        <f>VLOOKUP(B93,本月系统单价mb5b!$B:$P,15,0)</f>
        <v>3.375</v>
      </c>
      <c r="K93" s="114">
        <f t="shared" si="4"/>
        <v>459</v>
      </c>
      <c r="L93" s="114">
        <f>IFERROR(VLOOKUP(B93,上月数量需更新!A:C,3,0),0)</f>
        <v>324</v>
      </c>
      <c r="M93" s="121">
        <f t="shared" si="5"/>
        <v>135</v>
      </c>
      <c r="P93" t="str">
        <f>VLOOKUP(B93,物料分类!B:F,5,0)</f>
        <v>成本-小吃类</v>
      </c>
    </row>
    <row r="94" hidden="1" spans="1:16">
      <c r="A94">
        <v>93</v>
      </c>
      <c r="B94">
        <v>1001413</v>
      </c>
      <c r="C94" t="s">
        <v>148</v>
      </c>
      <c r="D94">
        <v>6.15</v>
      </c>
      <c r="E94">
        <v>4.92</v>
      </c>
      <c r="F94" t="s">
        <v>44</v>
      </c>
      <c r="G94" t="s">
        <v>45</v>
      </c>
      <c r="H94" t="s">
        <v>46</v>
      </c>
      <c r="I94" s="73">
        <f t="shared" si="3"/>
        <v>1.23</v>
      </c>
      <c r="J94" s="114">
        <f>VLOOKUP(B94,本月系统单价mb5b!$B:$P,15,0)</f>
        <v>14.3658536585366</v>
      </c>
      <c r="K94" s="114">
        <f t="shared" si="4"/>
        <v>17.67</v>
      </c>
      <c r="L94" s="114">
        <f>IFERROR(VLOOKUP(B94,上月数量需更新!A:C,3,0),0)</f>
        <v>35.34</v>
      </c>
      <c r="M94" s="121">
        <f t="shared" si="5"/>
        <v>-17.67</v>
      </c>
      <c r="P94" t="str">
        <f>VLOOKUP(B94,物料分类!B:F,5,0)</f>
        <v>成本-荤菜类</v>
      </c>
    </row>
    <row r="95" hidden="1" spans="1:16">
      <c r="A95">
        <v>94</v>
      </c>
      <c r="B95">
        <v>4514284</v>
      </c>
      <c r="C95" t="s">
        <v>149</v>
      </c>
      <c r="D95">
        <v>440</v>
      </c>
      <c r="E95">
        <v>220</v>
      </c>
      <c r="F95" t="s">
        <v>150</v>
      </c>
      <c r="G95" t="s">
        <v>151</v>
      </c>
      <c r="H95" t="s">
        <v>150</v>
      </c>
      <c r="I95" s="73">
        <f t="shared" si="3"/>
        <v>220</v>
      </c>
      <c r="J95" s="114">
        <f>VLOOKUP(B95,本月系统单价mb5b!$B:$P,15,0)</f>
        <v>0.19875</v>
      </c>
      <c r="K95" s="114">
        <f t="shared" si="4"/>
        <v>43.725</v>
      </c>
      <c r="L95" s="114">
        <f>IFERROR(VLOOKUP(B95,上月数量需更新!A:C,3,0),0)</f>
        <v>17.49</v>
      </c>
      <c r="M95" s="121">
        <f t="shared" si="5"/>
        <v>26.235</v>
      </c>
      <c r="P95" t="str">
        <f>VLOOKUP(B95,物料分类!B:F,5,0)</f>
        <v>服务费</v>
      </c>
    </row>
    <row r="96" hidden="1" spans="1:16">
      <c r="A96">
        <v>223</v>
      </c>
      <c r="B96">
        <v>4209333</v>
      </c>
      <c r="C96" t="s">
        <v>152</v>
      </c>
      <c r="D96">
        <v>84</v>
      </c>
      <c r="E96">
        <v>36</v>
      </c>
      <c r="F96" t="s">
        <v>29</v>
      </c>
      <c r="G96" t="s">
        <v>30</v>
      </c>
      <c r="H96" t="s">
        <v>29</v>
      </c>
      <c r="I96" s="73">
        <f t="shared" si="3"/>
        <v>48</v>
      </c>
      <c r="J96" s="114">
        <f>VLOOKUP(B96,本月系统单价mb5b!$B:$P,15,0)</f>
        <v>5.33</v>
      </c>
      <c r="K96" s="114">
        <f t="shared" si="4"/>
        <v>255.84</v>
      </c>
      <c r="L96" s="114">
        <f>IFERROR(VLOOKUP(B96,上月数量需更新!A:C,3,0),0)</f>
        <v>319.3</v>
      </c>
      <c r="M96" s="121">
        <f t="shared" si="5"/>
        <v>-63.46</v>
      </c>
      <c r="P96" t="str">
        <f>VLOOKUP(B96,物料分类!B:F,5,0)</f>
        <v>物料消耗</v>
      </c>
    </row>
    <row r="97" hidden="1" spans="1:16">
      <c r="A97">
        <v>482</v>
      </c>
      <c r="B97">
        <v>8014825</v>
      </c>
      <c r="C97" t="s">
        <v>153</v>
      </c>
      <c r="D97">
        <v>4000</v>
      </c>
      <c r="E97">
        <v>2500</v>
      </c>
      <c r="F97" t="s">
        <v>25</v>
      </c>
      <c r="G97" t="s">
        <v>26</v>
      </c>
      <c r="H97" t="s">
        <v>25</v>
      </c>
      <c r="I97" s="73">
        <f t="shared" si="3"/>
        <v>1500</v>
      </c>
      <c r="J97" s="114">
        <f>VLOOKUP(B97,本月系统单价mb5b!$B:$P,15,0)</f>
        <v>0.16584</v>
      </c>
      <c r="K97" s="114">
        <f t="shared" si="4"/>
        <v>248.76</v>
      </c>
      <c r="L97" s="114">
        <f>IFERROR(VLOOKUP(B97,上月数量需更新!A:C,3,0),0)</f>
        <v>0</v>
      </c>
      <c r="M97" s="121">
        <f t="shared" si="5"/>
        <v>248.76</v>
      </c>
      <c r="P97" t="str">
        <f>VLOOKUP(B97,物料分类!B:F,5,0)</f>
        <v>物料消耗</v>
      </c>
    </row>
    <row r="98" hidden="1" spans="1:16">
      <c r="A98">
        <v>178</v>
      </c>
      <c r="B98">
        <v>4505397</v>
      </c>
      <c r="C98" t="s">
        <v>154</v>
      </c>
      <c r="D98">
        <v>7000</v>
      </c>
      <c r="E98">
        <v>2000</v>
      </c>
      <c r="F98" t="s">
        <v>20</v>
      </c>
      <c r="G98" t="s">
        <v>21</v>
      </c>
      <c r="H98" t="s">
        <v>20</v>
      </c>
      <c r="I98" s="73">
        <f t="shared" si="3"/>
        <v>5000</v>
      </c>
      <c r="J98" s="114">
        <f>VLOOKUP(B98,本月系统单价mb5b!$B:$P,15,0)</f>
        <v>0.0485</v>
      </c>
      <c r="K98" s="114">
        <f t="shared" si="4"/>
        <v>242.5</v>
      </c>
      <c r="L98" s="114">
        <f>IFERROR(VLOOKUP(B98,上月数量需更新!A:C,3,0),0)</f>
        <v>145.5</v>
      </c>
      <c r="M98" s="121">
        <f t="shared" si="5"/>
        <v>97</v>
      </c>
      <c r="P98" t="str">
        <f>VLOOKUP(B98,物料分类!B:F,5,0)</f>
        <v>物料消耗</v>
      </c>
    </row>
    <row r="99" hidden="1" spans="1:16">
      <c r="A99">
        <v>98</v>
      </c>
      <c r="B99">
        <v>4518668</v>
      </c>
      <c r="C99" t="s">
        <v>155</v>
      </c>
      <c r="D99">
        <v>696</v>
      </c>
      <c r="E99">
        <v>272</v>
      </c>
      <c r="F99" t="s">
        <v>32</v>
      </c>
      <c r="G99" t="s">
        <v>33</v>
      </c>
      <c r="H99" t="s">
        <v>32</v>
      </c>
      <c r="I99" s="73">
        <f t="shared" si="3"/>
        <v>424</v>
      </c>
      <c r="J99" s="114">
        <f>VLOOKUP(B99,本月系统单价mb5b!$B:$P,15,0)</f>
        <v>3.02284482758621</v>
      </c>
      <c r="K99" s="114">
        <f t="shared" si="4"/>
        <v>1281.68620689655</v>
      </c>
      <c r="L99" s="114">
        <f>IFERROR(VLOOKUP(B99,上月数量需更新!A:C,3,0),0)</f>
        <v>1336.18</v>
      </c>
      <c r="M99" s="121">
        <f t="shared" si="5"/>
        <v>-54.4937931034483</v>
      </c>
      <c r="P99" t="str">
        <f>VLOOKUP(B99,物料分类!B:F,5,0)</f>
        <v>成本-酒水类</v>
      </c>
    </row>
    <row r="100" hidden="1" spans="1:16">
      <c r="A100">
        <v>99</v>
      </c>
      <c r="B100">
        <v>1500681</v>
      </c>
      <c r="C100" t="s">
        <v>156</v>
      </c>
      <c r="D100">
        <v>634.64</v>
      </c>
      <c r="E100">
        <v>110</v>
      </c>
      <c r="F100" t="s">
        <v>36</v>
      </c>
      <c r="G100" t="s">
        <v>37</v>
      </c>
      <c r="H100" t="s">
        <v>38</v>
      </c>
      <c r="I100" s="73">
        <f t="shared" si="3"/>
        <v>524.64</v>
      </c>
      <c r="J100" s="114">
        <f>VLOOKUP(B100,本月系统单价mb5b!$B:$P,15,0)</f>
        <v>4.53001701752174</v>
      </c>
      <c r="K100" s="114">
        <f t="shared" si="4"/>
        <v>2376.62812807261</v>
      </c>
      <c r="L100" s="114">
        <f>IFERROR(VLOOKUP(B100,上月数量需更新!A:C,3,0),0)</f>
        <v>2195.66</v>
      </c>
      <c r="M100" s="121">
        <f t="shared" si="5"/>
        <v>180.968128072607</v>
      </c>
      <c r="P100" t="str">
        <f>VLOOKUP(B100,物料分类!B:F,5,0)</f>
        <v>成本-小吃类</v>
      </c>
    </row>
    <row r="101" hidden="1" spans="1:16">
      <c r="A101">
        <v>100</v>
      </c>
      <c r="B101">
        <v>4502048</v>
      </c>
      <c r="C101" t="s">
        <v>157</v>
      </c>
      <c r="D101">
        <v>80.52</v>
      </c>
      <c r="E101">
        <v>0</v>
      </c>
      <c r="F101" t="s">
        <v>36</v>
      </c>
      <c r="G101" t="s">
        <v>37</v>
      </c>
      <c r="H101" t="s">
        <v>38</v>
      </c>
      <c r="I101" s="73">
        <f t="shared" si="3"/>
        <v>80.52</v>
      </c>
      <c r="J101" s="114">
        <f>VLOOKUP(B101,本月系统单价mb5b!$B:$P,15,0)</f>
        <v>6.45007451564829</v>
      </c>
      <c r="K101" s="114">
        <f t="shared" si="4"/>
        <v>519.36</v>
      </c>
      <c r="L101" s="114">
        <f>IFERROR(VLOOKUP(B101,上月数量需更新!A:C,3,0),0)</f>
        <v>424.41</v>
      </c>
      <c r="M101" s="121">
        <f t="shared" si="5"/>
        <v>94.95</v>
      </c>
      <c r="P101" t="str">
        <f>VLOOKUP(B101,物料分类!B:F,5,0)</f>
        <v>成本-荤菜类</v>
      </c>
    </row>
    <row r="102" hidden="1" spans="1:16">
      <c r="A102">
        <v>101</v>
      </c>
      <c r="B102">
        <v>4515419</v>
      </c>
      <c r="C102" t="s">
        <v>158</v>
      </c>
      <c r="D102">
        <v>414.42</v>
      </c>
      <c r="E102">
        <v>94.6</v>
      </c>
      <c r="F102" t="s">
        <v>36</v>
      </c>
      <c r="G102" t="s">
        <v>37</v>
      </c>
      <c r="H102" t="s">
        <v>38</v>
      </c>
      <c r="I102" s="73">
        <f t="shared" si="3"/>
        <v>319.82</v>
      </c>
      <c r="J102" s="114">
        <f>VLOOKUP(B102,本月系统单价mb5b!$B:$P,15,0)</f>
        <v>6.3235606389653</v>
      </c>
      <c r="K102" s="114">
        <f t="shared" si="4"/>
        <v>2022.40116355388</v>
      </c>
      <c r="L102" s="114">
        <f>IFERROR(VLOOKUP(B102,上月数量需更新!A:C,3,0),0)</f>
        <v>2397.15</v>
      </c>
      <c r="M102" s="121">
        <f t="shared" si="5"/>
        <v>-374.748836446117</v>
      </c>
      <c r="P102" t="str">
        <f>VLOOKUP(B102,物料分类!B:F,5,0)</f>
        <v>成本-荤菜类</v>
      </c>
    </row>
    <row r="103" spans="1:16">
      <c r="A103">
        <v>102</v>
      </c>
      <c r="B103">
        <v>4522918</v>
      </c>
      <c r="C103" t="s">
        <v>159</v>
      </c>
      <c r="D103">
        <v>714.41</v>
      </c>
      <c r="E103">
        <v>103.67</v>
      </c>
      <c r="F103" t="s">
        <v>36</v>
      </c>
      <c r="G103" t="s">
        <v>37</v>
      </c>
      <c r="H103" t="s">
        <v>38</v>
      </c>
      <c r="I103" s="73">
        <f t="shared" si="3"/>
        <v>610.74</v>
      </c>
      <c r="J103" s="114">
        <f>VLOOKUP(B103,本月系统单价mb5b!$B:$P,15,0)</f>
        <v>21.4140339580913</v>
      </c>
      <c r="K103" s="114">
        <f t="shared" si="4"/>
        <v>13078.4070995647</v>
      </c>
      <c r="L103" s="114">
        <f>IFERROR(VLOOKUP(B103,上月数量需更新!A:C,3,0),0)</f>
        <v>10291.88</v>
      </c>
      <c r="M103" s="121">
        <f t="shared" si="5"/>
        <v>2786.52709956468</v>
      </c>
      <c r="N103" t="str">
        <f>VLOOKUP(B103,计算!R:X,7,0)</f>
        <v>多使用105磅</v>
      </c>
      <c r="O103" t="s">
        <v>160</v>
      </c>
      <c r="P103" t="str">
        <f>VLOOKUP(B103,物料分类!B:F,5,0)</f>
        <v>成本-荤菜类</v>
      </c>
    </row>
    <row r="104" hidden="1" spans="1:16">
      <c r="A104">
        <v>6</v>
      </c>
      <c r="B104">
        <v>8011411</v>
      </c>
      <c r="C104" t="s">
        <v>161</v>
      </c>
      <c r="D104">
        <v>480</v>
      </c>
      <c r="E104">
        <v>120</v>
      </c>
      <c r="F104" t="s">
        <v>66</v>
      </c>
      <c r="G104" t="s">
        <v>67</v>
      </c>
      <c r="H104" t="s">
        <v>66</v>
      </c>
      <c r="I104" s="73">
        <f t="shared" si="3"/>
        <v>360</v>
      </c>
      <c r="J104" s="114">
        <f>VLOOKUP(B104,本月系统单价mb5b!$B:$P,15,0)</f>
        <v>0.647833333333333</v>
      </c>
      <c r="K104" s="114">
        <f t="shared" si="4"/>
        <v>233.22</v>
      </c>
      <c r="L104" s="114">
        <f>IFERROR(VLOOKUP(B104,上月数量需更新!A:C,3,0),0)</f>
        <v>162.56</v>
      </c>
      <c r="M104" s="121">
        <f t="shared" si="5"/>
        <v>70.66</v>
      </c>
      <c r="P104" t="str">
        <f>VLOOKUP(B104,物料分类!B:F,5,0)</f>
        <v>物料消耗</v>
      </c>
    </row>
    <row r="105" hidden="1" spans="1:16">
      <c r="A105">
        <v>28</v>
      </c>
      <c r="B105">
        <v>4021486</v>
      </c>
      <c r="C105" t="s">
        <v>162</v>
      </c>
      <c r="D105">
        <v>13000</v>
      </c>
      <c r="E105">
        <v>5000</v>
      </c>
      <c r="F105" t="s">
        <v>20</v>
      </c>
      <c r="G105" t="s">
        <v>21</v>
      </c>
      <c r="H105" t="s">
        <v>20</v>
      </c>
      <c r="I105" s="73">
        <f t="shared" si="3"/>
        <v>8000</v>
      </c>
      <c r="J105" s="114">
        <f>VLOOKUP(B105,本月系统单价mb5b!$B:$P,15,0)</f>
        <v>0.0266076923076923</v>
      </c>
      <c r="K105" s="114">
        <f t="shared" si="4"/>
        <v>212.861538461538</v>
      </c>
      <c r="L105" s="114">
        <f>IFERROR(VLOOKUP(B105,上月数量需更新!A:C,3,0),0)</f>
        <v>53.21</v>
      </c>
      <c r="M105" s="121">
        <f t="shared" si="5"/>
        <v>159.651538461538</v>
      </c>
      <c r="P105" t="str">
        <f>VLOOKUP(B105,物料分类!B:F,5,0)</f>
        <v>物料消耗</v>
      </c>
    </row>
    <row r="106" hidden="1" spans="1:16">
      <c r="A106">
        <v>105</v>
      </c>
      <c r="B106">
        <v>8014496</v>
      </c>
      <c r="C106" t="s">
        <v>163</v>
      </c>
      <c r="D106">
        <v>1000</v>
      </c>
      <c r="E106">
        <v>0</v>
      </c>
      <c r="F106" t="s">
        <v>20</v>
      </c>
      <c r="G106" t="s">
        <v>21</v>
      </c>
      <c r="H106" t="s">
        <v>20</v>
      </c>
      <c r="I106" s="73">
        <f t="shared" si="3"/>
        <v>1000</v>
      </c>
      <c r="J106" s="114">
        <f>VLOOKUP(B106,本月系统单价mb5b!$B:$P,15,0)</f>
        <v>0.80881</v>
      </c>
      <c r="K106" s="114">
        <f t="shared" si="4"/>
        <v>808.81</v>
      </c>
      <c r="L106" s="114">
        <f>IFERROR(VLOOKUP(B106,上月数量需更新!A:C,3,0),0)</f>
        <v>0</v>
      </c>
      <c r="M106" s="121">
        <f t="shared" si="5"/>
        <v>808.81</v>
      </c>
      <c r="P106" t="str">
        <f>VLOOKUP(B106,物料分类!B:F,5,0)</f>
        <v>服务费</v>
      </c>
    </row>
    <row r="107" hidden="1" spans="1:16">
      <c r="A107">
        <v>106</v>
      </c>
      <c r="B107">
        <v>1500902</v>
      </c>
      <c r="C107" t="s">
        <v>164</v>
      </c>
      <c r="D107">
        <v>1259</v>
      </c>
      <c r="E107">
        <v>323</v>
      </c>
      <c r="F107" t="s">
        <v>92</v>
      </c>
      <c r="G107" t="s">
        <v>93</v>
      </c>
      <c r="H107" t="s">
        <v>92</v>
      </c>
      <c r="I107" s="73">
        <f t="shared" si="3"/>
        <v>936</v>
      </c>
      <c r="J107" s="114">
        <f>VLOOKUP(B107,本月系统单价mb5b!$B:$P,15,0)</f>
        <v>0.509968228752979</v>
      </c>
      <c r="K107" s="114">
        <f t="shared" si="4"/>
        <v>477.330262112788</v>
      </c>
      <c r="L107" s="114">
        <f>IFERROR(VLOOKUP(B107,上月数量需更新!A:C,3,0),0)</f>
        <v>344.44</v>
      </c>
      <c r="M107" s="121">
        <f t="shared" si="5"/>
        <v>132.890262112788</v>
      </c>
      <c r="P107" t="str">
        <f>VLOOKUP(B107,物料分类!B:F,5,0)</f>
        <v>成本-酒水类</v>
      </c>
    </row>
    <row r="108" hidden="1" spans="1:16">
      <c r="A108">
        <v>175</v>
      </c>
      <c r="B108">
        <v>4505865</v>
      </c>
      <c r="C108" t="s">
        <v>165</v>
      </c>
      <c r="D108">
        <v>3000</v>
      </c>
      <c r="E108">
        <v>900</v>
      </c>
      <c r="F108" t="s">
        <v>20</v>
      </c>
      <c r="G108" t="s">
        <v>21</v>
      </c>
      <c r="H108" t="s">
        <v>20</v>
      </c>
      <c r="I108" s="73">
        <f t="shared" si="3"/>
        <v>2100</v>
      </c>
      <c r="J108" s="114">
        <f>VLOOKUP(B108,本月系统单价mb5b!$B:$P,15,0)</f>
        <v>0.1</v>
      </c>
      <c r="K108" s="114">
        <f t="shared" si="4"/>
        <v>210</v>
      </c>
      <c r="L108" s="114">
        <f>IFERROR(VLOOKUP(B108,上月数量需更新!A:C,3,0),0)</f>
        <v>240</v>
      </c>
      <c r="M108" s="121">
        <f t="shared" si="5"/>
        <v>-30</v>
      </c>
      <c r="P108" t="str">
        <f>VLOOKUP(B108,物料分类!B:F,5,0)</f>
        <v>物料消耗</v>
      </c>
    </row>
    <row r="109" hidden="1" spans="1:16">
      <c r="A109">
        <v>285</v>
      </c>
      <c r="B109">
        <v>8010886</v>
      </c>
      <c r="C109" t="s">
        <v>166</v>
      </c>
      <c r="D109">
        <v>200</v>
      </c>
      <c r="E109">
        <v>0</v>
      </c>
      <c r="F109" t="s">
        <v>20</v>
      </c>
      <c r="G109" t="s">
        <v>21</v>
      </c>
      <c r="H109" t="s">
        <v>20</v>
      </c>
      <c r="I109" s="73">
        <f t="shared" si="3"/>
        <v>200</v>
      </c>
      <c r="J109" s="114">
        <f>VLOOKUP(B109,本月系统单价mb5b!$B:$P,15,0)</f>
        <v>0.89215</v>
      </c>
      <c r="K109" s="114">
        <f t="shared" si="4"/>
        <v>178.43</v>
      </c>
      <c r="L109" s="114">
        <f>IFERROR(VLOOKUP(B109,上月数量需更新!A:C,3,0),0)</f>
        <v>0</v>
      </c>
      <c r="M109" s="121">
        <f t="shared" si="5"/>
        <v>178.43</v>
      </c>
      <c r="P109" t="str">
        <f>VLOOKUP(B109,物料分类!B:F,5,0)</f>
        <v>物料消耗</v>
      </c>
    </row>
    <row r="110" hidden="1" spans="1:16">
      <c r="A110">
        <v>109</v>
      </c>
      <c r="B110">
        <v>4526645</v>
      </c>
      <c r="C110" t="s">
        <v>167</v>
      </c>
      <c r="D110">
        <v>2</v>
      </c>
      <c r="E110">
        <v>2</v>
      </c>
      <c r="F110" t="s">
        <v>32</v>
      </c>
      <c r="G110" t="s">
        <v>33</v>
      </c>
      <c r="H110" t="s">
        <v>32</v>
      </c>
      <c r="I110" s="73">
        <f t="shared" si="3"/>
        <v>0</v>
      </c>
      <c r="J110" s="114">
        <f>VLOOKUP(B110,本月系统单价mb5b!$B:$P,15,0)</f>
        <v>33.85</v>
      </c>
      <c r="K110" s="114">
        <f t="shared" si="4"/>
        <v>0</v>
      </c>
      <c r="L110" s="114">
        <f>IFERROR(VLOOKUP(B110,上月数量需更新!A:C,3,0),0)</f>
        <v>0</v>
      </c>
      <c r="M110" s="121">
        <f t="shared" si="5"/>
        <v>0</v>
      </c>
      <c r="P110" t="str">
        <f>VLOOKUP(B110,物料分类!B:F,5,0)</f>
        <v>成本-酒水类</v>
      </c>
    </row>
    <row r="111" hidden="1" spans="1:16">
      <c r="A111">
        <v>110</v>
      </c>
      <c r="B111">
        <v>4501989</v>
      </c>
      <c r="C111" t="s">
        <v>168</v>
      </c>
      <c r="D111">
        <v>80</v>
      </c>
      <c r="E111">
        <v>45</v>
      </c>
      <c r="F111" t="s">
        <v>36</v>
      </c>
      <c r="G111" t="s">
        <v>37</v>
      </c>
      <c r="H111" t="s">
        <v>38</v>
      </c>
      <c r="I111" s="73">
        <f t="shared" si="3"/>
        <v>35</v>
      </c>
      <c r="J111" s="114">
        <f>VLOOKUP(B111,本月系统单价mb5b!$B:$P,15,0)</f>
        <v>1.2</v>
      </c>
      <c r="K111" s="114">
        <f t="shared" si="4"/>
        <v>42</v>
      </c>
      <c r="L111" s="114">
        <f>IFERROR(VLOOKUP(B111,上月数量需更新!A:C,3,0),0)</f>
        <v>36</v>
      </c>
      <c r="M111" s="121">
        <f t="shared" si="5"/>
        <v>6</v>
      </c>
      <c r="P111" t="str">
        <f>VLOOKUP(B111,物料分类!B:F,5,0)</f>
        <v>成本-小料台类</v>
      </c>
    </row>
    <row r="112" hidden="1" spans="1:16">
      <c r="A112">
        <v>527</v>
      </c>
      <c r="B112">
        <v>4516323</v>
      </c>
      <c r="C112" t="s">
        <v>169</v>
      </c>
      <c r="D112">
        <v>4000</v>
      </c>
      <c r="E112">
        <v>0</v>
      </c>
      <c r="F112" t="s">
        <v>20</v>
      </c>
      <c r="G112" t="s">
        <v>21</v>
      </c>
      <c r="H112" t="s">
        <v>20</v>
      </c>
      <c r="I112" s="73">
        <f t="shared" si="3"/>
        <v>4000</v>
      </c>
      <c r="J112" s="114">
        <f>VLOOKUP(B112,本月系统单价mb5b!$B:$P,15,0)</f>
        <v>0.0429875</v>
      </c>
      <c r="K112" s="114">
        <f t="shared" si="4"/>
        <v>171.95</v>
      </c>
      <c r="L112" s="114">
        <f>IFERROR(VLOOKUP(B112,上月数量需更新!A:C,3,0),0)</f>
        <v>0</v>
      </c>
      <c r="M112" s="121">
        <f t="shared" si="5"/>
        <v>171.95</v>
      </c>
      <c r="P112" t="str">
        <f>VLOOKUP(B112,物料分类!B:F,5,0)</f>
        <v>物料消耗</v>
      </c>
    </row>
    <row r="113" hidden="1" spans="1:16">
      <c r="A113">
        <v>112</v>
      </c>
      <c r="B113">
        <v>1500781</v>
      </c>
      <c r="C113" t="s">
        <v>170</v>
      </c>
      <c r="D113">
        <v>164</v>
      </c>
      <c r="E113">
        <v>22</v>
      </c>
      <c r="F113" t="s">
        <v>171</v>
      </c>
      <c r="G113" t="s">
        <v>172</v>
      </c>
      <c r="H113" t="s">
        <v>171</v>
      </c>
      <c r="I113" s="73">
        <f t="shared" si="3"/>
        <v>142</v>
      </c>
      <c r="J113" s="114">
        <f>VLOOKUP(B113,本月系统单价mb5b!$B:$P,15,0)</f>
        <v>11.915487804878</v>
      </c>
      <c r="K113" s="114">
        <f t="shared" si="4"/>
        <v>1691.99926829268</v>
      </c>
      <c r="L113" s="114">
        <f>IFERROR(VLOOKUP(B113,上月数量需更新!A:C,3,0),0)</f>
        <v>2284.94</v>
      </c>
      <c r="M113" s="121">
        <f t="shared" si="5"/>
        <v>-592.940731707317</v>
      </c>
      <c r="P113" t="str">
        <f>VLOOKUP(B113,物料分类!B:F,5,0)</f>
        <v>成本-荤菜类</v>
      </c>
    </row>
    <row r="114" hidden="1" spans="1:16">
      <c r="A114">
        <v>113</v>
      </c>
      <c r="B114">
        <v>4522916</v>
      </c>
      <c r="C114" t="s">
        <v>173</v>
      </c>
      <c r="D114">
        <v>116</v>
      </c>
      <c r="E114">
        <v>20</v>
      </c>
      <c r="F114" t="s">
        <v>36</v>
      </c>
      <c r="G114" t="s">
        <v>37</v>
      </c>
      <c r="H114" t="s">
        <v>38</v>
      </c>
      <c r="I114" s="73">
        <f t="shared" si="3"/>
        <v>96</v>
      </c>
      <c r="J114" s="114">
        <f>VLOOKUP(B114,本月系统单价mb5b!$B:$P,15,0)</f>
        <v>7.25</v>
      </c>
      <c r="K114" s="114">
        <f t="shared" si="4"/>
        <v>696</v>
      </c>
      <c r="L114" s="114">
        <f>IFERROR(VLOOKUP(B114,上月数量需更新!A:C,3,0),0)</f>
        <v>819.25</v>
      </c>
      <c r="M114" s="121">
        <f t="shared" si="5"/>
        <v>-123.25</v>
      </c>
      <c r="P114" t="str">
        <f>VLOOKUP(B114,物料分类!B:F,5,0)</f>
        <v>成本-荤菜类</v>
      </c>
    </row>
    <row r="115" hidden="1" spans="1:16">
      <c r="A115">
        <v>114</v>
      </c>
      <c r="B115">
        <v>4530204</v>
      </c>
      <c r="C115" t="s">
        <v>174</v>
      </c>
      <c r="D115">
        <v>5616</v>
      </c>
      <c r="E115">
        <v>432</v>
      </c>
      <c r="F115" t="s">
        <v>20</v>
      </c>
      <c r="G115" t="s">
        <v>21</v>
      </c>
      <c r="H115" t="s">
        <v>20</v>
      </c>
      <c r="I115" s="73">
        <f t="shared" si="3"/>
        <v>5184</v>
      </c>
      <c r="J115" s="114">
        <f>VLOOKUP(B115,本月系统单价mb5b!$B:$P,15,0)</f>
        <v>0.45</v>
      </c>
      <c r="K115" s="114">
        <f t="shared" si="4"/>
        <v>2332.8</v>
      </c>
      <c r="L115" s="114">
        <f>IFERROR(VLOOKUP(B115,上月数量需更新!A:C,3,0),0)</f>
        <v>243</v>
      </c>
      <c r="M115" s="121">
        <f t="shared" si="5"/>
        <v>2089.8</v>
      </c>
      <c r="P115" t="str">
        <f>VLOOKUP(B115,物料分类!B:F,5,0)</f>
        <v>成本-小料台类</v>
      </c>
    </row>
    <row r="116" hidden="1" spans="1:16">
      <c r="A116">
        <v>115</v>
      </c>
      <c r="B116">
        <v>4517055</v>
      </c>
      <c r="C116" t="s">
        <v>175</v>
      </c>
      <c r="D116">
        <v>148</v>
      </c>
      <c r="E116">
        <v>6</v>
      </c>
      <c r="F116" t="s">
        <v>176</v>
      </c>
      <c r="G116" t="s">
        <v>177</v>
      </c>
      <c r="H116" t="s">
        <v>176</v>
      </c>
      <c r="I116" s="73">
        <f t="shared" si="3"/>
        <v>142</v>
      </c>
      <c r="J116" s="114">
        <f>VLOOKUP(B116,本月系统单价mb5b!$B:$P,15,0)</f>
        <v>29.5178378378378</v>
      </c>
      <c r="K116" s="114">
        <f t="shared" si="4"/>
        <v>4191.53297297297</v>
      </c>
      <c r="L116" s="114">
        <f>IFERROR(VLOOKUP(B116,上月数量需更新!A:C,3,0),0)</f>
        <v>1251.36</v>
      </c>
      <c r="M116" s="121">
        <f t="shared" si="5"/>
        <v>2940.17297297297</v>
      </c>
      <c r="P116" t="str">
        <f>VLOOKUP(B116,物料分类!B:F,5,0)</f>
        <v>成本-小料台类</v>
      </c>
    </row>
    <row r="117" s="2" customFormat="1" hidden="1" spans="1:16">
      <c r="A117">
        <v>116</v>
      </c>
      <c r="B117">
        <v>1500856</v>
      </c>
      <c r="C117" t="s">
        <v>178</v>
      </c>
      <c r="D117">
        <v>510</v>
      </c>
      <c r="E117">
        <v>60</v>
      </c>
      <c r="F117" t="s">
        <v>137</v>
      </c>
      <c r="G117" t="s">
        <v>138</v>
      </c>
      <c r="H117" t="s">
        <v>137</v>
      </c>
      <c r="I117" s="73">
        <f t="shared" si="3"/>
        <v>450</v>
      </c>
      <c r="J117" s="114">
        <f>VLOOKUP(B117,本月系统单价mb5b!$B:$P,15,0)</f>
        <v>2.93333333333333</v>
      </c>
      <c r="K117" s="114">
        <f t="shared" si="4"/>
        <v>1320</v>
      </c>
      <c r="L117" s="114">
        <f>IFERROR(VLOOKUP(B117,上月数量需更新!A:C,3,0),0)</f>
        <v>1540</v>
      </c>
      <c r="M117" s="121">
        <f t="shared" si="5"/>
        <v>-220</v>
      </c>
      <c r="N117"/>
      <c r="O117"/>
      <c r="P117" t="str">
        <f>VLOOKUP(B117,物料分类!B:F,5,0)</f>
        <v>成本-素菜类</v>
      </c>
    </row>
    <row r="118" hidden="1" spans="1:16">
      <c r="A118">
        <v>117</v>
      </c>
      <c r="B118">
        <v>4505992</v>
      </c>
      <c r="C118" t="s">
        <v>179</v>
      </c>
      <c r="D118">
        <v>68</v>
      </c>
      <c r="E118">
        <v>0</v>
      </c>
      <c r="F118" t="s">
        <v>32</v>
      </c>
      <c r="G118" t="s">
        <v>33</v>
      </c>
      <c r="H118" t="s">
        <v>32</v>
      </c>
      <c r="I118" s="73">
        <f t="shared" si="3"/>
        <v>68</v>
      </c>
      <c r="J118" s="114">
        <f>VLOOKUP(B118,本月系统单价mb5b!$B:$P,15,0)</f>
        <v>0.1</v>
      </c>
      <c r="K118" s="114">
        <f t="shared" si="4"/>
        <v>6.8</v>
      </c>
      <c r="L118" s="114">
        <f>IFERROR(VLOOKUP(B118,上月数量需更新!A:C,3,0),0)</f>
        <v>14</v>
      </c>
      <c r="M118" s="121">
        <f t="shared" si="5"/>
        <v>-7.2</v>
      </c>
      <c r="P118" t="str">
        <f>VLOOKUP(B118,物料分类!B:F,5,0)</f>
        <v>成本-酒水类</v>
      </c>
    </row>
    <row r="119" spans="1:16">
      <c r="A119">
        <v>118</v>
      </c>
      <c r="B119">
        <v>4528801</v>
      </c>
      <c r="C119" t="s">
        <v>180</v>
      </c>
      <c r="D119">
        <v>25.5</v>
      </c>
      <c r="E119">
        <v>7</v>
      </c>
      <c r="F119" t="s">
        <v>55</v>
      </c>
      <c r="G119" t="s">
        <v>56</v>
      </c>
      <c r="H119" t="s">
        <v>55</v>
      </c>
      <c r="I119" s="73">
        <f t="shared" si="3"/>
        <v>18.5</v>
      </c>
      <c r="J119" s="114">
        <f>VLOOKUP(B119,本月系统单价mb5b!$B:$P,15,0)</f>
        <v>127.978431372549</v>
      </c>
      <c r="K119" s="114">
        <f t="shared" si="4"/>
        <v>2367.60098039216</v>
      </c>
      <c r="L119" s="114">
        <f>IFERROR(VLOOKUP(B119,上月数量需更新!A:C,3,0),0)</f>
        <v>2621.97</v>
      </c>
      <c r="M119" s="121">
        <f t="shared" si="5"/>
        <v>-254.369019607843</v>
      </c>
      <c r="N119" t="str">
        <f>VLOOKUP(B119,计算!R:X,7,0)</f>
        <v>少使用4桶</v>
      </c>
      <c r="O119" t="s">
        <v>181</v>
      </c>
      <c r="P119" t="str">
        <f>VLOOKUP(B119,物料分类!B:F,5,0)</f>
        <v>成本-酒水类</v>
      </c>
    </row>
    <row r="120" hidden="1" spans="1:16">
      <c r="A120">
        <v>119</v>
      </c>
      <c r="B120">
        <v>4529794</v>
      </c>
      <c r="C120" t="s">
        <v>182</v>
      </c>
      <c r="D120">
        <v>25</v>
      </c>
      <c r="E120">
        <v>7</v>
      </c>
      <c r="F120" t="s">
        <v>145</v>
      </c>
      <c r="G120" t="s">
        <v>146</v>
      </c>
      <c r="H120" t="s">
        <v>145</v>
      </c>
      <c r="I120" s="73">
        <f t="shared" si="3"/>
        <v>18</v>
      </c>
      <c r="J120" s="114">
        <f>VLOOKUP(B120,本月系统单价mb5b!$B:$P,15,0)</f>
        <v>4.9948</v>
      </c>
      <c r="K120" s="114">
        <f t="shared" si="4"/>
        <v>89.9064</v>
      </c>
      <c r="L120" s="114">
        <f>IFERROR(VLOOKUP(B120,上月数量需更新!A:C,3,0),0)</f>
        <v>59.94</v>
      </c>
      <c r="M120" s="121">
        <f t="shared" si="5"/>
        <v>29.9664</v>
      </c>
      <c r="P120" t="str">
        <f>VLOOKUP(B120,物料分类!B:F,5,0)</f>
        <v>成本-酒水类</v>
      </c>
    </row>
    <row r="121" hidden="1" spans="1:16">
      <c r="A121">
        <v>96</v>
      </c>
      <c r="B121">
        <v>1500960</v>
      </c>
      <c r="C121" t="s">
        <v>183</v>
      </c>
      <c r="D121">
        <v>30</v>
      </c>
      <c r="E121">
        <v>12</v>
      </c>
      <c r="F121" t="s">
        <v>66</v>
      </c>
      <c r="G121" t="s">
        <v>67</v>
      </c>
      <c r="H121" t="s">
        <v>66</v>
      </c>
      <c r="I121" s="73">
        <f t="shared" si="3"/>
        <v>18</v>
      </c>
      <c r="J121" s="114">
        <f>VLOOKUP(B121,本月系统单价mb5b!$B:$P,15,0)</f>
        <v>9.50866666666667</v>
      </c>
      <c r="K121" s="114">
        <f t="shared" si="4"/>
        <v>171.156</v>
      </c>
      <c r="L121" s="114">
        <f>IFERROR(VLOOKUP(B121,上月数量需更新!A:C,3,0),0)</f>
        <v>247.66</v>
      </c>
      <c r="M121" s="121">
        <f t="shared" si="5"/>
        <v>-76.504</v>
      </c>
      <c r="P121" t="str">
        <f>VLOOKUP(B121,物料分类!B:F,5,0)</f>
        <v>物料消耗</v>
      </c>
    </row>
    <row r="122" hidden="1" spans="1:16">
      <c r="A122">
        <v>121</v>
      </c>
      <c r="B122">
        <v>1501160</v>
      </c>
      <c r="C122" t="s">
        <v>184</v>
      </c>
      <c r="D122">
        <v>0</v>
      </c>
      <c r="E122">
        <v>0</v>
      </c>
      <c r="F122" t="s">
        <v>36</v>
      </c>
      <c r="G122" t="s">
        <v>37</v>
      </c>
      <c r="H122" t="s">
        <v>38</v>
      </c>
      <c r="I122" s="73">
        <f t="shared" si="3"/>
        <v>0</v>
      </c>
      <c r="J122" s="114" t="e">
        <f>VLOOKUP(B122,本月系统单价mb5b!$B:$P,15,0)</f>
        <v>#DIV/0!</v>
      </c>
      <c r="K122" s="114" t="e">
        <f t="shared" si="4"/>
        <v>#DIV/0!</v>
      </c>
      <c r="L122" s="114">
        <f>IFERROR(VLOOKUP(B122,上月数量需更新!A:C,3,0),0)</f>
        <v>52.8</v>
      </c>
      <c r="M122" s="121" t="e">
        <f t="shared" si="5"/>
        <v>#DIV/0!</v>
      </c>
      <c r="P122" t="str">
        <f>VLOOKUP(B122,物料分类!B:F,5,0)</f>
        <v>员工餐</v>
      </c>
    </row>
    <row r="123" hidden="1" spans="1:16">
      <c r="A123">
        <v>122</v>
      </c>
      <c r="B123">
        <v>1500842</v>
      </c>
      <c r="C123" t="s">
        <v>185</v>
      </c>
      <c r="D123">
        <v>28</v>
      </c>
      <c r="E123">
        <v>17</v>
      </c>
      <c r="F123" t="s">
        <v>36</v>
      </c>
      <c r="G123" t="s">
        <v>37</v>
      </c>
      <c r="H123" t="s">
        <v>38</v>
      </c>
      <c r="I123" s="73">
        <f t="shared" si="3"/>
        <v>11</v>
      </c>
      <c r="J123" s="114">
        <f>VLOOKUP(B123,本月系统单价mb5b!$B:$P,15,0)</f>
        <v>5.52357142857143</v>
      </c>
      <c r="K123" s="114">
        <f t="shared" si="4"/>
        <v>60.7592857142857</v>
      </c>
      <c r="L123" s="114">
        <f>IFERROR(VLOOKUP(B123,上月数量需更新!A:C,3,0),0)</f>
        <v>114.45</v>
      </c>
      <c r="M123" s="121">
        <f t="shared" si="5"/>
        <v>-53.6907142857143</v>
      </c>
      <c r="P123" t="str">
        <f>VLOOKUP(B123,物料分类!B:F,5,0)</f>
        <v>成本-小料台类</v>
      </c>
    </row>
    <row r="124" hidden="1" spans="1:16">
      <c r="A124">
        <v>123</v>
      </c>
      <c r="B124">
        <v>4517273</v>
      </c>
      <c r="C124" t="s">
        <v>186</v>
      </c>
      <c r="D124">
        <v>16</v>
      </c>
      <c r="E124">
        <v>12</v>
      </c>
      <c r="F124" t="s">
        <v>36</v>
      </c>
      <c r="G124" t="s">
        <v>37</v>
      </c>
      <c r="H124" t="s">
        <v>38</v>
      </c>
      <c r="I124" s="73">
        <f t="shared" si="3"/>
        <v>4</v>
      </c>
      <c r="J124" s="114">
        <f>VLOOKUP(B124,本月系统单价mb5b!$B:$P,15,0)</f>
        <v>0.916875</v>
      </c>
      <c r="K124" s="114">
        <f t="shared" si="4"/>
        <v>3.6675</v>
      </c>
      <c r="L124" s="114">
        <f>IFERROR(VLOOKUP(B124,上月数量需更新!A:C,3,0),0)</f>
        <v>29.33</v>
      </c>
      <c r="M124" s="121">
        <f t="shared" si="5"/>
        <v>-25.6625</v>
      </c>
      <c r="P124" t="str">
        <f>VLOOKUP(B124,物料分类!B:F,5,0)</f>
        <v>成本-小料台类</v>
      </c>
    </row>
    <row r="125" hidden="1" spans="1:16">
      <c r="A125">
        <v>124</v>
      </c>
      <c r="B125">
        <v>4502382</v>
      </c>
      <c r="C125" t="s">
        <v>187</v>
      </c>
      <c r="D125">
        <v>630</v>
      </c>
      <c r="E125">
        <v>50</v>
      </c>
      <c r="F125" t="s">
        <v>36</v>
      </c>
      <c r="G125" t="s">
        <v>37</v>
      </c>
      <c r="H125" t="s">
        <v>38</v>
      </c>
      <c r="I125" s="73">
        <f t="shared" si="3"/>
        <v>580</v>
      </c>
      <c r="J125" s="114">
        <f>VLOOKUP(B125,本月系统单价mb5b!$B:$P,15,0)</f>
        <v>0.449825396825397</v>
      </c>
      <c r="K125" s="114">
        <f t="shared" si="4"/>
        <v>260.89873015873</v>
      </c>
      <c r="L125" s="114">
        <f>IFERROR(VLOOKUP(B125,上月数量需更新!A:C,3,0),0)</f>
        <v>190.3</v>
      </c>
      <c r="M125" s="121">
        <f t="shared" si="5"/>
        <v>70.5987301587301</v>
      </c>
      <c r="P125" t="str">
        <f>VLOOKUP(B125,物料分类!B:F,5,0)</f>
        <v>成本-素菜类</v>
      </c>
    </row>
    <row r="126" hidden="1" spans="1:16">
      <c r="A126">
        <v>125</v>
      </c>
      <c r="B126">
        <v>4518904</v>
      </c>
      <c r="C126" t="s">
        <v>188</v>
      </c>
      <c r="D126">
        <v>340</v>
      </c>
      <c r="E126">
        <v>0</v>
      </c>
      <c r="F126" t="s">
        <v>36</v>
      </c>
      <c r="G126" t="s">
        <v>37</v>
      </c>
      <c r="H126" t="s">
        <v>38</v>
      </c>
      <c r="I126" s="73">
        <f t="shared" si="3"/>
        <v>340</v>
      </c>
      <c r="J126" s="114">
        <f>VLOOKUP(B126,本月系统单价mb5b!$B:$P,15,0)</f>
        <v>1.83920588235294</v>
      </c>
      <c r="K126" s="114">
        <f t="shared" si="4"/>
        <v>625.33</v>
      </c>
      <c r="L126" s="114">
        <f>IFERROR(VLOOKUP(B126,上月数量需更新!A:C,3,0),0)</f>
        <v>370.67</v>
      </c>
      <c r="M126" s="121">
        <f t="shared" si="5"/>
        <v>254.66</v>
      </c>
      <c r="P126" t="str">
        <f>VLOOKUP(B126,物料分类!B:F,5,0)</f>
        <v>成本-小料台类</v>
      </c>
    </row>
    <row r="127" hidden="1" spans="1:16">
      <c r="A127">
        <v>126</v>
      </c>
      <c r="B127">
        <v>1500821</v>
      </c>
      <c r="C127" t="s">
        <v>189</v>
      </c>
      <c r="D127">
        <v>64</v>
      </c>
      <c r="E127">
        <v>30</v>
      </c>
      <c r="F127" t="s">
        <v>29</v>
      </c>
      <c r="G127" t="s">
        <v>30</v>
      </c>
      <c r="H127" t="s">
        <v>29</v>
      </c>
      <c r="I127" s="73">
        <f t="shared" si="3"/>
        <v>34</v>
      </c>
      <c r="J127" s="114">
        <f>VLOOKUP(B127,本月系统单价mb5b!$B:$P,15,0)</f>
        <v>1.625</v>
      </c>
      <c r="K127" s="114">
        <f t="shared" si="4"/>
        <v>55.25</v>
      </c>
      <c r="L127" s="114">
        <f>IFERROR(VLOOKUP(B127,上月数量需更新!A:C,3,0),0)</f>
        <v>351</v>
      </c>
      <c r="M127" s="121">
        <f t="shared" si="5"/>
        <v>-295.75</v>
      </c>
      <c r="P127" t="str">
        <f>VLOOKUP(B127,物料分类!B:F,5,0)</f>
        <v>成本-小吃类</v>
      </c>
    </row>
    <row r="128" hidden="1" spans="1:16">
      <c r="A128">
        <v>127</v>
      </c>
      <c r="B128">
        <v>1501013</v>
      </c>
      <c r="C128" t="s">
        <v>190</v>
      </c>
      <c r="D128">
        <v>93.2</v>
      </c>
      <c r="E128">
        <v>12</v>
      </c>
      <c r="F128" t="s">
        <v>73</v>
      </c>
      <c r="G128" t="s">
        <v>74</v>
      </c>
      <c r="H128" t="s">
        <v>73</v>
      </c>
      <c r="I128" s="73">
        <f t="shared" si="3"/>
        <v>81.2</v>
      </c>
      <c r="J128" s="114">
        <f>VLOOKUP(B128,本月系统单价mb5b!$B:$P,15,0)</f>
        <v>11.25</v>
      </c>
      <c r="K128" s="114">
        <f t="shared" si="4"/>
        <v>913.5</v>
      </c>
      <c r="L128" s="114">
        <f>IFERROR(VLOOKUP(B128,上月数量需更新!A:C,3,0),0)</f>
        <v>733.5</v>
      </c>
      <c r="M128" s="121">
        <f t="shared" si="5"/>
        <v>180</v>
      </c>
      <c r="P128" t="str">
        <f>VLOOKUP(B128,物料分类!B:F,5,0)</f>
        <v>成本-荤菜类</v>
      </c>
    </row>
    <row r="129" hidden="1" spans="1:16">
      <c r="A129">
        <v>128</v>
      </c>
      <c r="B129">
        <v>4519171</v>
      </c>
      <c r="C129" t="s">
        <v>191</v>
      </c>
      <c r="D129">
        <v>13.6</v>
      </c>
      <c r="E129">
        <v>0</v>
      </c>
      <c r="F129" t="s">
        <v>73</v>
      </c>
      <c r="G129" t="s">
        <v>74</v>
      </c>
      <c r="H129" t="s">
        <v>73</v>
      </c>
      <c r="I129" s="73">
        <f t="shared" si="3"/>
        <v>13.6</v>
      </c>
      <c r="J129" s="114">
        <f>VLOOKUP(B129,本月系统单价mb5b!$B:$P,15,0)</f>
        <v>12.5</v>
      </c>
      <c r="K129" s="114">
        <f t="shared" si="4"/>
        <v>170</v>
      </c>
      <c r="L129" s="114">
        <f>IFERROR(VLOOKUP(B129,上月数量需更新!A:C,3,0),0)</f>
        <v>0</v>
      </c>
      <c r="M129" s="121">
        <f t="shared" si="5"/>
        <v>170</v>
      </c>
      <c r="P129" t="str">
        <f>VLOOKUP(B129,物料分类!B:F,5,0)</f>
        <v>成本-荤菜类</v>
      </c>
    </row>
    <row r="130" hidden="1" spans="1:16">
      <c r="A130">
        <v>129</v>
      </c>
      <c r="B130">
        <v>1500701</v>
      </c>
      <c r="C130" t="s">
        <v>192</v>
      </c>
      <c r="D130">
        <v>0</v>
      </c>
      <c r="E130">
        <v>0</v>
      </c>
      <c r="F130" t="s">
        <v>36</v>
      </c>
      <c r="G130" t="s">
        <v>37</v>
      </c>
      <c r="H130" t="s">
        <v>38</v>
      </c>
      <c r="I130" s="73">
        <f t="shared" ref="I130:I193" si="6">D130-E130</f>
        <v>0</v>
      </c>
      <c r="J130" s="114" t="e">
        <f>VLOOKUP(B130,本月系统单价mb5b!$B:$P,15,0)</f>
        <v>#DIV/0!</v>
      </c>
      <c r="K130" s="114" t="e">
        <f t="shared" ref="K130:K193" si="7">I130*J130</f>
        <v>#DIV/0!</v>
      </c>
      <c r="L130" s="114">
        <f>IFERROR(VLOOKUP(B130,上月数量需更新!A:C,3,0),0)</f>
        <v>0</v>
      </c>
      <c r="M130" s="121" t="e">
        <f t="shared" ref="M130:M193" si="8">K130-L130</f>
        <v>#DIV/0!</v>
      </c>
      <c r="P130" t="str">
        <f>VLOOKUP(B130,物料分类!B:F,5,0)</f>
        <v>成本-荤菜类</v>
      </c>
    </row>
    <row r="131" hidden="1" spans="1:16">
      <c r="A131">
        <v>130</v>
      </c>
      <c r="B131">
        <v>8012407</v>
      </c>
      <c r="C131" t="s">
        <v>193</v>
      </c>
      <c r="D131">
        <v>5</v>
      </c>
      <c r="E131">
        <v>5</v>
      </c>
      <c r="F131" t="s">
        <v>101</v>
      </c>
      <c r="G131" t="s">
        <v>102</v>
      </c>
      <c r="H131" t="s">
        <v>101</v>
      </c>
      <c r="I131" s="73">
        <f t="shared" si="6"/>
        <v>0</v>
      </c>
      <c r="J131" s="114">
        <f>VLOOKUP(B131,本月系统单价mb5b!$B:$P,15,0)</f>
        <v>11.482</v>
      </c>
      <c r="K131" s="114">
        <f t="shared" si="7"/>
        <v>0</v>
      </c>
      <c r="L131" s="114">
        <f>IFERROR(VLOOKUP(B131,上月数量需更新!A:C,3,0),0)</f>
        <v>0</v>
      </c>
      <c r="M131" s="121">
        <f t="shared" si="8"/>
        <v>0</v>
      </c>
      <c r="P131" t="str">
        <f>VLOOKUP(B131,物料分类!B:F,5,0)</f>
        <v>服装费</v>
      </c>
    </row>
    <row r="132" hidden="1" spans="1:16">
      <c r="A132">
        <v>131</v>
      </c>
      <c r="B132">
        <v>8012408</v>
      </c>
      <c r="C132" t="s">
        <v>194</v>
      </c>
      <c r="D132">
        <v>5</v>
      </c>
      <c r="E132">
        <v>5</v>
      </c>
      <c r="F132" t="s">
        <v>101</v>
      </c>
      <c r="G132" t="s">
        <v>102</v>
      </c>
      <c r="H132" t="s">
        <v>101</v>
      </c>
      <c r="I132" s="73">
        <f t="shared" si="6"/>
        <v>0</v>
      </c>
      <c r="J132" s="114">
        <f>VLOOKUP(B132,本月系统单价mb5b!$B:$P,15,0)</f>
        <v>11.482</v>
      </c>
      <c r="K132" s="114">
        <f t="shared" si="7"/>
        <v>0</v>
      </c>
      <c r="L132" s="114">
        <f>IFERROR(VLOOKUP(B132,上月数量需更新!A:C,3,0),0)</f>
        <v>0</v>
      </c>
      <c r="M132" s="121">
        <f t="shared" si="8"/>
        <v>0</v>
      </c>
      <c r="P132" t="str">
        <f>VLOOKUP(B132,物料分类!B:F,5,0)</f>
        <v>服装费</v>
      </c>
    </row>
    <row r="133" hidden="1" spans="1:16">
      <c r="A133">
        <v>132</v>
      </c>
      <c r="B133">
        <v>8012405</v>
      </c>
      <c r="C133" t="s">
        <v>195</v>
      </c>
      <c r="D133">
        <v>5</v>
      </c>
      <c r="E133">
        <v>5</v>
      </c>
      <c r="F133" t="s">
        <v>101</v>
      </c>
      <c r="G133" t="s">
        <v>102</v>
      </c>
      <c r="H133" t="s">
        <v>101</v>
      </c>
      <c r="I133" s="73">
        <f t="shared" si="6"/>
        <v>0</v>
      </c>
      <c r="J133" s="114">
        <f>VLOOKUP(B133,本月系统单价mb5b!$B:$P,15,0)</f>
        <v>11.482</v>
      </c>
      <c r="K133" s="114">
        <f t="shared" si="7"/>
        <v>0</v>
      </c>
      <c r="L133" s="114">
        <f>IFERROR(VLOOKUP(B133,上月数量需更新!A:C,3,0),0)</f>
        <v>57.42</v>
      </c>
      <c r="M133" s="121">
        <f t="shared" si="8"/>
        <v>-57.42</v>
      </c>
      <c r="P133" t="str">
        <f>VLOOKUP(B133,物料分类!B:F,5,0)</f>
        <v>服装费</v>
      </c>
    </row>
    <row r="134" hidden="1" spans="1:16">
      <c r="A134">
        <v>133</v>
      </c>
      <c r="B134">
        <v>8012404</v>
      </c>
      <c r="C134" t="s">
        <v>196</v>
      </c>
      <c r="D134">
        <v>5</v>
      </c>
      <c r="E134">
        <v>5</v>
      </c>
      <c r="F134" t="s">
        <v>101</v>
      </c>
      <c r="G134" t="s">
        <v>102</v>
      </c>
      <c r="H134" t="s">
        <v>101</v>
      </c>
      <c r="I134" s="73">
        <f t="shared" si="6"/>
        <v>0</v>
      </c>
      <c r="J134" s="114">
        <f>VLOOKUP(B134,本月系统单价mb5b!$B:$P,15,0)</f>
        <v>11.482</v>
      </c>
      <c r="K134" s="114">
        <f t="shared" si="7"/>
        <v>0</v>
      </c>
      <c r="L134" s="114">
        <f>IFERROR(VLOOKUP(B134,上月数量需更新!A:C,3,0),0)</f>
        <v>57.42</v>
      </c>
      <c r="M134" s="121">
        <f t="shared" si="8"/>
        <v>-57.42</v>
      </c>
      <c r="P134" t="str">
        <f>VLOOKUP(B134,物料分类!B:F,5,0)</f>
        <v>服装费</v>
      </c>
    </row>
    <row r="135" hidden="1" spans="1:16">
      <c r="A135">
        <v>134</v>
      </c>
      <c r="B135">
        <v>8012406</v>
      </c>
      <c r="C135" t="s">
        <v>197</v>
      </c>
      <c r="D135">
        <v>5</v>
      </c>
      <c r="E135">
        <v>5</v>
      </c>
      <c r="F135" t="s">
        <v>101</v>
      </c>
      <c r="G135" t="s">
        <v>102</v>
      </c>
      <c r="H135" t="s">
        <v>101</v>
      </c>
      <c r="I135" s="73">
        <f t="shared" si="6"/>
        <v>0</v>
      </c>
      <c r="J135" s="114">
        <f>VLOOKUP(B135,本月系统单价mb5b!$B:$P,15,0)</f>
        <v>11.482</v>
      </c>
      <c r="K135" s="114">
        <f t="shared" si="7"/>
        <v>0</v>
      </c>
      <c r="L135" s="114">
        <f>IFERROR(VLOOKUP(B135,上月数量需更新!A:C,3,0),0)</f>
        <v>0</v>
      </c>
      <c r="M135" s="121">
        <f t="shared" si="8"/>
        <v>0</v>
      </c>
      <c r="P135" t="str">
        <f>VLOOKUP(B135,物料分类!B:F,5,0)</f>
        <v>服装费</v>
      </c>
    </row>
    <row r="136" hidden="1" spans="1:16">
      <c r="A136">
        <v>135</v>
      </c>
      <c r="B136">
        <v>8012401</v>
      </c>
      <c r="C136" t="s">
        <v>198</v>
      </c>
      <c r="D136">
        <v>5</v>
      </c>
      <c r="E136">
        <v>5</v>
      </c>
      <c r="F136" t="s">
        <v>101</v>
      </c>
      <c r="G136" t="s">
        <v>102</v>
      </c>
      <c r="H136" t="s">
        <v>101</v>
      </c>
      <c r="I136" s="73">
        <f t="shared" si="6"/>
        <v>0</v>
      </c>
      <c r="J136" s="114">
        <f>VLOOKUP(B136,本月系统单价mb5b!$B:$P,15,0)</f>
        <v>11.482</v>
      </c>
      <c r="K136" s="114">
        <f t="shared" si="7"/>
        <v>0</v>
      </c>
      <c r="L136" s="114">
        <f>IFERROR(VLOOKUP(B136,上月数量需更新!A:C,3,0),0)</f>
        <v>57.42</v>
      </c>
      <c r="M136" s="121">
        <f t="shared" si="8"/>
        <v>-57.42</v>
      </c>
      <c r="P136" t="str">
        <f>VLOOKUP(B136,物料分类!B:F,5,0)</f>
        <v>服装费</v>
      </c>
    </row>
    <row r="137" hidden="1" spans="1:16">
      <c r="A137">
        <v>136</v>
      </c>
      <c r="B137">
        <v>8012402</v>
      </c>
      <c r="C137" t="s">
        <v>199</v>
      </c>
      <c r="D137">
        <v>5</v>
      </c>
      <c r="E137">
        <v>5</v>
      </c>
      <c r="F137" t="s">
        <v>101</v>
      </c>
      <c r="G137" t="s">
        <v>102</v>
      </c>
      <c r="H137" t="s">
        <v>101</v>
      </c>
      <c r="I137" s="73">
        <f t="shared" si="6"/>
        <v>0</v>
      </c>
      <c r="J137" s="114">
        <f>VLOOKUP(B137,本月系统单价mb5b!$B:$P,15,0)</f>
        <v>11.482</v>
      </c>
      <c r="K137" s="114">
        <f t="shared" si="7"/>
        <v>0</v>
      </c>
      <c r="L137" s="114">
        <f>IFERROR(VLOOKUP(B137,上月数量需更新!A:C,3,0),0)</f>
        <v>0</v>
      </c>
      <c r="M137" s="121">
        <f t="shared" si="8"/>
        <v>0</v>
      </c>
      <c r="P137" t="str">
        <f>VLOOKUP(B137,物料分类!B:F,5,0)</f>
        <v>服装费</v>
      </c>
    </row>
    <row r="138" hidden="1" spans="1:16">
      <c r="A138">
        <v>137</v>
      </c>
      <c r="B138">
        <v>8012403</v>
      </c>
      <c r="C138" t="s">
        <v>200</v>
      </c>
      <c r="D138">
        <v>5</v>
      </c>
      <c r="E138">
        <v>5</v>
      </c>
      <c r="F138" t="s">
        <v>101</v>
      </c>
      <c r="G138" t="s">
        <v>102</v>
      </c>
      <c r="H138" t="s">
        <v>101</v>
      </c>
      <c r="I138" s="73">
        <f t="shared" si="6"/>
        <v>0</v>
      </c>
      <c r="J138" s="114">
        <f>VLOOKUP(B138,本月系统单价mb5b!$B:$P,15,0)</f>
        <v>11.482</v>
      </c>
      <c r="K138" s="114">
        <f t="shared" si="7"/>
        <v>0</v>
      </c>
      <c r="L138" s="114">
        <f>IFERROR(VLOOKUP(B138,上月数量需更新!A:C,3,0),0)</f>
        <v>0</v>
      </c>
      <c r="M138" s="121">
        <f t="shared" si="8"/>
        <v>0</v>
      </c>
      <c r="P138" t="str">
        <f>VLOOKUP(B138,物料分类!B:F,5,0)</f>
        <v>服装费</v>
      </c>
    </row>
    <row r="139" hidden="1" spans="1:16">
      <c r="A139">
        <v>138</v>
      </c>
      <c r="B139">
        <v>8012399</v>
      </c>
      <c r="C139" t="s">
        <v>201</v>
      </c>
      <c r="D139">
        <v>5</v>
      </c>
      <c r="E139">
        <v>5</v>
      </c>
      <c r="F139" t="s">
        <v>101</v>
      </c>
      <c r="G139" t="s">
        <v>102</v>
      </c>
      <c r="H139" t="s">
        <v>101</v>
      </c>
      <c r="I139" s="73">
        <f t="shared" si="6"/>
        <v>0</v>
      </c>
      <c r="J139" s="114">
        <f>VLOOKUP(B139,本月系统单价mb5b!$B:$P,15,0)</f>
        <v>11.482</v>
      </c>
      <c r="K139" s="114">
        <f t="shared" si="7"/>
        <v>0</v>
      </c>
      <c r="L139" s="114">
        <f>IFERROR(VLOOKUP(B139,上月数量需更新!A:C,3,0),0)</f>
        <v>0</v>
      </c>
      <c r="M139" s="121">
        <f t="shared" si="8"/>
        <v>0</v>
      </c>
      <c r="P139" t="str">
        <f>VLOOKUP(B139,物料分类!B:F,5,0)</f>
        <v>服装费</v>
      </c>
    </row>
    <row r="140" hidden="1" spans="1:16">
      <c r="A140">
        <v>139</v>
      </c>
      <c r="B140">
        <v>8012400</v>
      </c>
      <c r="C140" t="s">
        <v>202</v>
      </c>
      <c r="D140">
        <v>5</v>
      </c>
      <c r="E140">
        <v>5</v>
      </c>
      <c r="F140" t="s">
        <v>101</v>
      </c>
      <c r="G140" t="s">
        <v>102</v>
      </c>
      <c r="H140" t="s">
        <v>101</v>
      </c>
      <c r="I140" s="73">
        <f t="shared" si="6"/>
        <v>0</v>
      </c>
      <c r="J140" s="114">
        <f>VLOOKUP(B140,本月系统单价mb5b!$B:$P,15,0)</f>
        <v>11.482</v>
      </c>
      <c r="K140" s="114">
        <f t="shared" si="7"/>
        <v>0</v>
      </c>
      <c r="L140" s="114">
        <f>IFERROR(VLOOKUP(B140,上月数量需更新!A:C,3,0),0)</f>
        <v>57.42</v>
      </c>
      <c r="M140" s="121">
        <f t="shared" si="8"/>
        <v>-57.42</v>
      </c>
      <c r="P140" t="str">
        <f>VLOOKUP(B140,物料分类!B:F,5,0)</f>
        <v>服装费</v>
      </c>
    </row>
    <row r="141" hidden="1" spans="1:16">
      <c r="A141">
        <v>140</v>
      </c>
      <c r="B141">
        <v>1501043</v>
      </c>
      <c r="C141" t="s">
        <v>203</v>
      </c>
      <c r="D141">
        <v>204</v>
      </c>
      <c r="E141">
        <v>114</v>
      </c>
      <c r="F141" t="s">
        <v>73</v>
      </c>
      <c r="G141" t="s">
        <v>74</v>
      </c>
      <c r="H141" t="s">
        <v>73</v>
      </c>
      <c r="I141" s="73">
        <f t="shared" si="6"/>
        <v>90</v>
      </c>
      <c r="J141" s="114">
        <f>VLOOKUP(B141,本月系统单价mb5b!$B:$P,15,0)</f>
        <v>14.921568627451</v>
      </c>
      <c r="K141" s="114">
        <f t="shared" si="7"/>
        <v>1342.94117647059</v>
      </c>
      <c r="L141" s="114">
        <f>IFERROR(VLOOKUP(B141,上月数量需更新!A:C,3,0),0)</f>
        <v>0</v>
      </c>
      <c r="M141" s="121">
        <f t="shared" si="8"/>
        <v>1342.94117647059</v>
      </c>
      <c r="P141" t="str">
        <f>VLOOKUP(B141,物料分类!B:F,5,0)</f>
        <v>成本-锅底类</v>
      </c>
    </row>
    <row r="142" hidden="1" spans="1:16">
      <c r="A142">
        <v>141</v>
      </c>
      <c r="B142">
        <v>4733120</v>
      </c>
      <c r="C142" t="s">
        <v>204</v>
      </c>
      <c r="D142">
        <v>70</v>
      </c>
      <c r="E142">
        <v>10</v>
      </c>
      <c r="F142" t="s">
        <v>73</v>
      </c>
      <c r="G142" t="s">
        <v>74</v>
      </c>
      <c r="H142" t="s">
        <v>73</v>
      </c>
      <c r="I142" s="73">
        <f t="shared" si="6"/>
        <v>60</v>
      </c>
      <c r="J142" s="114">
        <f>VLOOKUP(B142,本月系统单价mb5b!$B:$P,15,0)</f>
        <v>4.25</v>
      </c>
      <c r="K142" s="114">
        <f t="shared" si="7"/>
        <v>255</v>
      </c>
      <c r="L142" s="114">
        <f>IFERROR(VLOOKUP(B142,上月数量需更新!A:C,3,0),0)</f>
        <v>0</v>
      </c>
      <c r="M142" s="121">
        <f t="shared" si="8"/>
        <v>255</v>
      </c>
      <c r="P142" t="str">
        <f>VLOOKUP(B142,物料分类!B:F,5,0)</f>
        <v>成本-小料台类</v>
      </c>
    </row>
    <row r="143" hidden="1" spans="1:16">
      <c r="A143">
        <v>142</v>
      </c>
      <c r="B143">
        <v>1000103</v>
      </c>
      <c r="C143" t="s">
        <v>205</v>
      </c>
      <c r="D143">
        <v>15.3</v>
      </c>
      <c r="E143">
        <v>15.3</v>
      </c>
      <c r="F143" t="s">
        <v>73</v>
      </c>
      <c r="G143" t="s">
        <v>74</v>
      </c>
      <c r="H143" t="s">
        <v>73</v>
      </c>
      <c r="I143" s="73">
        <f t="shared" si="6"/>
        <v>0</v>
      </c>
      <c r="J143" s="114">
        <f>VLOOKUP(B143,本月系统单价mb5b!$B:$P,15,0)</f>
        <v>7.30915032679739</v>
      </c>
      <c r="K143" s="114">
        <f t="shared" si="7"/>
        <v>0</v>
      </c>
      <c r="L143" s="114">
        <f>IFERROR(VLOOKUP(B143,上月数量需更新!A:C,3,0),0)</f>
        <v>395.12</v>
      </c>
      <c r="M143" s="121">
        <f t="shared" si="8"/>
        <v>-395.12</v>
      </c>
      <c r="P143" t="str">
        <f>VLOOKUP(B143,物料分类!B:F,5,0)</f>
        <v>成本-小料台类</v>
      </c>
    </row>
    <row r="144" hidden="1" spans="1:16">
      <c r="A144">
        <v>7</v>
      </c>
      <c r="B144">
        <v>1500957</v>
      </c>
      <c r="C144" t="s">
        <v>206</v>
      </c>
      <c r="D144">
        <v>24</v>
      </c>
      <c r="E144">
        <v>8</v>
      </c>
      <c r="F144" t="s">
        <v>29</v>
      </c>
      <c r="G144" t="s">
        <v>30</v>
      </c>
      <c r="H144" t="s">
        <v>29</v>
      </c>
      <c r="I144" s="73">
        <f t="shared" si="6"/>
        <v>16</v>
      </c>
      <c r="J144" s="114">
        <f>VLOOKUP(B144,本月系统单价mb5b!$B:$P,15,0)</f>
        <v>10</v>
      </c>
      <c r="K144" s="114">
        <f t="shared" si="7"/>
        <v>160</v>
      </c>
      <c r="L144" s="114">
        <f>IFERROR(VLOOKUP(B144,上月数量需更新!A:C,3,0),0)</f>
        <v>200</v>
      </c>
      <c r="M144" s="121">
        <f t="shared" si="8"/>
        <v>-40</v>
      </c>
      <c r="P144" t="str">
        <f>VLOOKUP(B144,物料分类!B:F,5,0)</f>
        <v>物料消耗</v>
      </c>
    </row>
    <row r="145" hidden="1" spans="1:16">
      <c r="A145">
        <v>144</v>
      </c>
      <c r="B145">
        <v>1500828</v>
      </c>
      <c r="C145" t="s">
        <v>207</v>
      </c>
      <c r="D145">
        <v>95</v>
      </c>
      <c r="E145">
        <v>15</v>
      </c>
      <c r="F145" t="s">
        <v>36</v>
      </c>
      <c r="G145" t="s">
        <v>37</v>
      </c>
      <c r="H145" t="s">
        <v>38</v>
      </c>
      <c r="I145" s="73">
        <f t="shared" si="6"/>
        <v>80</v>
      </c>
      <c r="J145" s="114">
        <f>VLOOKUP(B145,本月系统单价mb5b!$B:$P,15,0)</f>
        <v>4</v>
      </c>
      <c r="K145" s="114">
        <f t="shared" si="7"/>
        <v>320</v>
      </c>
      <c r="L145" s="114">
        <f>IFERROR(VLOOKUP(B145,上月数量需更新!A:C,3,0),0)</f>
        <v>380</v>
      </c>
      <c r="M145" s="121">
        <f t="shared" si="8"/>
        <v>-60</v>
      </c>
      <c r="P145" t="str">
        <f>VLOOKUP(B145,物料分类!B:F,5,0)</f>
        <v>成本-锅底类</v>
      </c>
    </row>
    <row r="146" hidden="1" spans="1:16">
      <c r="A146">
        <v>145</v>
      </c>
      <c r="B146">
        <v>4727478</v>
      </c>
      <c r="C146" t="s">
        <v>208</v>
      </c>
      <c r="D146">
        <v>1.02</v>
      </c>
      <c r="E146">
        <v>1.02</v>
      </c>
      <c r="F146" t="s">
        <v>73</v>
      </c>
      <c r="G146" t="s">
        <v>74</v>
      </c>
      <c r="H146" t="s">
        <v>73</v>
      </c>
      <c r="I146" s="73">
        <f t="shared" si="6"/>
        <v>0</v>
      </c>
      <c r="J146" s="114">
        <f>VLOOKUP(B146,本月系统单价mb5b!$B:$P,15,0)</f>
        <v>21.5490196078431</v>
      </c>
      <c r="K146" s="114">
        <f t="shared" si="7"/>
        <v>0</v>
      </c>
      <c r="L146" s="114">
        <f>IFERROR(VLOOKUP(B146,上月数量需更新!A:C,3,0),0)</f>
        <v>0</v>
      </c>
      <c r="M146" s="121">
        <f t="shared" si="8"/>
        <v>0</v>
      </c>
      <c r="P146" t="str">
        <f>VLOOKUP(B146,物料分类!B:F,5,0)</f>
        <v>成本-荤菜类</v>
      </c>
    </row>
    <row r="147" hidden="1" spans="1:16">
      <c r="A147">
        <v>146</v>
      </c>
      <c r="B147">
        <v>4044998</v>
      </c>
      <c r="C147" t="s">
        <v>209</v>
      </c>
      <c r="D147">
        <v>1300</v>
      </c>
      <c r="E147">
        <v>0</v>
      </c>
      <c r="F147" t="s">
        <v>20</v>
      </c>
      <c r="G147" t="s">
        <v>21</v>
      </c>
      <c r="H147" t="s">
        <v>20</v>
      </c>
      <c r="I147" s="73">
        <f t="shared" si="6"/>
        <v>1300</v>
      </c>
      <c r="J147" s="114">
        <f>VLOOKUP(B147,本月系统单价mb5b!$B:$P,15,0)</f>
        <v>0.773923076923077</v>
      </c>
      <c r="K147" s="114">
        <f t="shared" si="7"/>
        <v>1006.1</v>
      </c>
      <c r="L147" s="114">
        <f>IFERROR(VLOOKUP(B147,上月数量需更新!A:C,3,0),0)</f>
        <v>0</v>
      </c>
      <c r="M147" s="121">
        <f t="shared" si="8"/>
        <v>1006.1</v>
      </c>
      <c r="P147" t="str">
        <f>VLOOKUP(B147,物料分类!B:F,5,0)</f>
        <v>服务费</v>
      </c>
    </row>
    <row r="148" hidden="1" spans="1:16">
      <c r="A148">
        <v>147</v>
      </c>
      <c r="B148">
        <v>1500867</v>
      </c>
      <c r="C148" t="s">
        <v>210</v>
      </c>
      <c r="D148">
        <v>105</v>
      </c>
      <c r="E148">
        <v>60</v>
      </c>
      <c r="F148" t="s">
        <v>73</v>
      </c>
      <c r="G148" t="s">
        <v>74</v>
      </c>
      <c r="H148" t="s">
        <v>73</v>
      </c>
      <c r="I148" s="73">
        <f t="shared" si="6"/>
        <v>45</v>
      </c>
      <c r="J148" s="114">
        <f>VLOOKUP(B148,本月系统单价mb5b!$B:$P,15,0)</f>
        <v>2.6</v>
      </c>
      <c r="K148" s="114">
        <f t="shared" si="7"/>
        <v>117</v>
      </c>
      <c r="L148" s="114">
        <f>IFERROR(VLOOKUP(B148,上月数量需更新!A:C,3,0),0)</f>
        <v>39</v>
      </c>
      <c r="M148" s="121">
        <f t="shared" si="8"/>
        <v>78</v>
      </c>
      <c r="P148" t="str">
        <f>VLOOKUP(B148,物料分类!B:F,5,0)</f>
        <v>成本-小料台类</v>
      </c>
    </row>
    <row r="149" hidden="1" spans="1:16">
      <c r="A149">
        <v>11</v>
      </c>
      <c r="B149">
        <v>4530206</v>
      </c>
      <c r="C149" t="s">
        <v>211</v>
      </c>
      <c r="D149">
        <v>14</v>
      </c>
      <c r="E149">
        <v>0</v>
      </c>
      <c r="F149" t="s">
        <v>212</v>
      </c>
      <c r="G149" t="s">
        <v>213</v>
      </c>
      <c r="H149" t="s">
        <v>212</v>
      </c>
      <c r="I149" s="73">
        <f t="shared" si="6"/>
        <v>14</v>
      </c>
      <c r="J149" s="114">
        <f>VLOOKUP(B149,本月系统单价mb5b!$B:$P,15,0)</f>
        <v>11</v>
      </c>
      <c r="K149" s="114">
        <f t="shared" si="7"/>
        <v>154</v>
      </c>
      <c r="L149" s="114">
        <f>IFERROR(VLOOKUP(B149,上月数量需更新!A:C,3,0),0)</f>
        <v>110</v>
      </c>
      <c r="M149" s="121">
        <f t="shared" si="8"/>
        <v>44</v>
      </c>
      <c r="P149" t="str">
        <f>VLOOKUP(B149,物料分类!B:F,5,0)</f>
        <v>物料消耗</v>
      </c>
    </row>
    <row r="150" hidden="1" spans="1:16">
      <c r="A150">
        <v>149</v>
      </c>
      <c r="B150">
        <v>4019343</v>
      </c>
      <c r="C150" t="s">
        <v>214</v>
      </c>
      <c r="D150">
        <v>90</v>
      </c>
      <c r="E150">
        <v>16.5</v>
      </c>
      <c r="F150" t="s">
        <v>73</v>
      </c>
      <c r="G150" t="s">
        <v>74</v>
      </c>
      <c r="H150" t="s">
        <v>73</v>
      </c>
      <c r="I150" s="73">
        <f t="shared" si="6"/>
        <v>73.5</v>
      </c>
      <c r="J150" s="114">
        <f>VLOOKUP(B150,本月系统单价mb5b!$B:$P,15,0)</f>
        <v>8.33411111111111</v>
      </c>
      <c r="K150" s="114">
        <f t="shared" si="7"/>
        <v>612.557166666667</v>
      </c>
      <c r="L150" s="114">
        <f>IFERROR(VLOOKUP(B150,上月数量需更新!A:C,3,0),0)</f>
        <v>583.41</v>
      </c>
      <c r="M150" s="121">
        <f t="shared" si="8"/>
        <v>29.1471666666667</v>
      </c>
      <c r="P150" t="str">
        <f>VLOOKUP(B150,物料分类!B:F,5,0)</f>
        <v>成本-小吃类</v>
      </c>
    </row>
    <row r="151" hidden="1" spans="1:16">
      <c r="A151">
        <v>150</v>
      </c>
      <c r="B151">
        <v>1500845</v>
      </c>
      <c r="C151" t="s">
        <v>215</v>
      </c>
      <c r="D151">
        <v>7</v>
      </c>
      <c r="E151">
        <v>4</v>
      </c>
      <c r="F151" t="s">
        <v>29</v>
      </c>
      <c r="G151" t="s">
        <v>30</v>
      </c>
      <c r="H151" t="s">
        <v>29</v>
      </c>
      <c r="I151" s="73">
        <f t="shared" si="6"/>
        <v>3</v>
      </c>
      <c r="J151" s="114">
        <f>VLOOKUP(B151,本月系统单价mb5b!$B:$P,15,0)</f>
        <v>6.85</v>
      </c>
      <c r="K151" s="114">
        <f t="shared" si="7"/>
        <v>20.55</v>
      </c>
      <c r="L151" s="114">
        <f>IFERROR(VLOOKUP(B151,上月数量需更新!A:C,3,0),0)</f>
        <v>27.4</v>
      </c>
      <c r="M151" s="121">
        <f t="shared" si="8"/>
        <v>-6.85</v>
      </c>
      <c r="P151" t="str">
        <f>VLOOKUP(B151,物料分类!B:F,5,0)</f>
        <v>成本-小料台类</v>
      </c>
    </row>
    <row r="152" hidden="1" spans="1:16">
      <c r="A152">
        <v>265</v>
      </c>
      <c r="B152">
        <v>4524484</v>
      </c>
      <c r="C152" t="s">
        <v>216</v>
      </c>
      <c r="D152">
        <v>8</v>
      </c>
      <c r="E152">
        <v>3</v>
      </c>
      <c r="F152" t="s">
        <v>32</v>
      </c>
      <c r="G152" t="s">
        <v>33</v>
      </c>
      <c r="H152" t="s">
        <v>32</v>
      </c>
      <c r="I152" s="73">
        <f t="shared" si="6"/>
        <v>5</v>
      </c>
      <c r="J152" s="114">
        <f>VLOOKUP(B152,本月系统单价mb5b!$B:$P,15,0)</f>
        <v>30.08375</v>
      </c>
      <c r="K152" s="114">
        <f t="shared" si="7"/>
        <v>150.41875</v>
      </c>
      <c r="L152" s="114">
        <f>IFERROR(VLOOKUP(B152,上月数量需更新!A:C,3,0),0)</f>
        <v>59.36</v>
      </c>
      <c r="M152" s="121">
        <f t="shared" si="8"/>
        <v>91.05875</v>
      </c>
      <c r="P152" t="str">
        <f>VLOOKUP(B152,物料分类!B:F,5,0)</f>
        <v>物料消耗</v>
      </c>
    </row>
    <row r="153" hidden="1" spans="1:16">
      <c r="A153">
        <v>176</v>
      </c>
      <c r="B153">
        <v>4505398</v>
      </c>
      <c r="C153" t="s">
        <v>217</v>
      </c>
      <c r="D153">
        <v>7000</v>
      </c>
      <c r="E153">
        <v>2000</v>
      </c>
      <c r="F153" t="s">
        <v>20</v>
      </c>
      <c r="G153" t="s">
        <v>21</v>
      </c>
      <c r="H153" t="s">
        <v>20</v>
      </c>
      <c r="I153" s="73">
        <f t="shared" si="6"/>
        <v>5000</v>
      </c>
      <c r="J153" s="114">
        <f>VLOOKUP(B153,本月系统单价mb5b!$B:$P,15,0)</f>
        <v>0.0299</v>
      </c>
      <c r="K153" s="114">
        <f t="shared" si="7"/>
        <v>149.5</v>
      </c>
      <c r="L153" s="114">
        <f>IFERROR(VLOOKUP(B153,上月数量需更新!A:C,3,0),0)</f>
        <v>89.7</v>
      </c>
      <c r="M153" s="121">
        <f t="shared" si="8"/>
        <v>59.8</v>
      </c>
      <c r="P153" t="str">
        <f>VLOOKUP(B153,物料分类!B:F,5,0)</f>
        <v>物料消耗</v>
      </c>
    </row>
    <row r="154" hidden="1" spans="1:16">
      <c r="A154">
        <v>153</v>
      </c>
      <c r="B154">
        <v>4522604</v>
      </c>
      <c r="C154" t="s">
        <v>218</v>
      </c>
      <c r="D154">
        <v>595</v>
      </c>
      <c r="E154">
        <v>60</v>
      </c>
      <c r="F154" t="s">
        <v>73</v>
      </c>
      <c r="G154" t="s">
        <v>74</v>
      </c>
      <c r="H154" t="s">
        <v>73</v>
      </c>
      <c r="I154" s="73">
        <f t="shared" si="6"/>
        <v>535</v>
      </c>
      <c r="J154" s="114">
        <f>VLOOKUP(B154,本月系统单价mb5b!$B:$P,15,0)</f>
        <v>1.69865546218487</v>
      </c>
      <c r="K154" s="114">
        <f t="shared" si="7"/>
        <v>908.780672268908</v>
      </c>
      <c r="L154" s="114">
        <f>IFERROR(VLOOKUP(B154,上月数量需更新!A:C,3,0),0)</f>
        <v>894.2</v>
      </c>
      <c r="M154" s="121">
        <f t="shared" si="8"/>
        <v>14.5806722689075</v>
      </c>
      <c r="P154" t="str">
        <f>VLOOKUP(B154,物料分类!B:F,5,0)</f>
        <v>成本-小吃类</v>
      </c>
    </row>
    <row r="155" hidden="1" spans="1:16">
      <c r="A155">
        <v>154</v>
      </c>
      <c r="B155">
        <v>4711978</v>
      </c>
      <c r="C155" t="s">
        <v>219</v>
      </c>
      <c r="D155">
        <v>8.64</v>
      </c>
      <c r="E155">
        <v>0</v>
      </c>
      <c r="F155" t="s">
        <v>73</v>
      </c>
      <c r="G155" t="s">
        <v>74</v>
      </c>
      <c r="H155" t="s">
        <v>73</v>
      </c>
      <c r="I155" s="73">
        <f t="shared" si="6"/>
        <v>8.64</v>
      </c>
      <c r="J155" s="114">
        <f>VLOOKUP(B155,本月系统单价mb5b!$B:$P,15,0)</f>
        <v>7.52314814814815</v>
      </c>
      <c r="K155" s="114">
        <f t="shared" si="7"/>
        <v>65</v>
      </c>
      <c r="L155" s="114">
        <f>IFERROR(VLOOKUP(B155,上月数量需更新!A:C,3,0),0)</f>
        <v>0</v>
      </c>
      <c r="M155" s="121">
        <f t="shared" si="8"/>
        <v>65</v>
      </c>
      <c r="P155" t="str">
        <f>VLOOKUP(B155,物料分类!B:F,5,0)</f>
        <v>成本-小吃类</v>
      </c>
    </row>
    <row r="156" hidden="1" spans="1:16">
      <c r="A156">
        <v>143</v>
      </c>
      <c r="B156">
        <v>8704091</v>
      </c>
      <c r="C156" t="s">
        <v>220</v>
      </c>
      <c r="D156">
        <v>1000</v>
      </c>
      <c r="E156">
        <v>600</v>
      </c>
      <c r="F156" t="s">
        <v>20</v>
      </c>
      <c r="G156" t="s">
        <v>21</v>
      </c>
      <c r="H156" t="s">
        <v>20</v>
      </c>
      <c r="I156" s="73">
        <f t="shared" si="6"/>
        <v>400</v>
      </c>
      <c r="J156" s="114">
        <f>VLOOKUP(B156,本月系统单价mb5b!$B:$P,15,0)</f>
        <v>0.35797</v>
      </c>
      <c r="K156" s="114">
        <f t="shared" si="7"/>
        <v>143.188</v>
      </c>
      <c r="L156" s="114">
        <f>IFERROR(VLOOKUP(B156,上月数量需更新!A:C,3,0),0)</f>
        <v>0</v>
      </c>
      <c r="M156" s="121">
        <f t="shared" si="8"/>
        <v>143.188</v>
      </c>
      <c r="P156" t="str">
        <f>VLOOKUP(B156,物料分类!B:F,5,0)</f>
        <v>物料消耗</v>
      </c>
    </row>
    <row r="157" hidden="1" spans="1:16">
      <c r="A157">
        <v>156</v>
      </c>
      <c r="B157">
        <v>4501947</v>
      </c>
      <c r="C157" t="s">
        <v>221</v>
      </c>
      <c r="D157">
        <v>1068</v>
      </c>
      <c r="E157">
        <v>60</v>
      </c>
      <c r="F157" t="s">
        <v>137</v>
      </c>
      <c r="G157" t="s">
        <v>138</v>
      </c>
      <c r="H157" t="s">
        <v>137</v>
      </c>
      <c r="I157" s="73">
        <f t="shared" si="6"/>
        <v>1008</v>
      </c>
      <c r="J157" s="114">
        <f>VLOOKUP(B157,本月系统单价mb5b!$B:$P,15,0)</f>
        <v>1.91573033707865</v>
      </c>
      <c r="K157" s="114">
        <f t="shared" si="7"/>
        <v>1931.05617977528</v>
      </c>
      <c r="L157" s="114">
        <f>IFERROR(VLOOKUP(B157,上月数量需更新!A:C,3,0),0)</f>
        <v>1680</v>
      </c>
      <c r="M157" s="121">
        <f t="shared" si="8"/>
        <v>251.056179775281</v>
      </c>
      <c r="P157" t="str">
        <f>VLOOKUP(B157,物料分类!B:F,5,0)</f>
        <v>成本-小料台类</v>
      </c>
    </row>
    <row r="158" hidden="1" spans="1:16">
      <c r="A158">
        <v>157</v>
      </c>
      <c r="B158">
        <v>1500829</v>
      </c>
      <c r="C158" t="s">
        <v>222</v>
      </c>
      <c r="D158">
        <v>4</v>
      </c>
      <c r="E158">
        <v>1</v>
      </c>
      <c r="F158" t="s">
        <v>36</v>
      </c>
      <c r="G158" t="s">
        <v>37</v>
      </c>
      <c r="H158" t="s">
        <v>38</v>
      </c>
      <c r="I158" s="73">
        <f t="shared" si="6"/>
        <v>3</v>
      </c>
      <c r="J158" s="114">
        <f>VLOOKUP(B158,本月系统单价mb5b!$B:$P,15,0)</f>
        <v>5.4375</v>
      </c>
      <c r="K158" s="114">
        <f t="shared" si="7"/>
        <v>16.3125</v>
      </c>
      <c r="L158" s="114">
        <f>IFERROR(VLOOKUP(B158,上月数量需更新!A:C,3,0),0)</f>
        <v>5.25</v>
      </c>
      <c r="M158" s="121">
        <f t="shared" si="8"/>
        <v>11.0625</v>
      </c>
      <c r="P158" t="str">
        <f>VLOOKUP(B158,物料分类!B:F,5,0)</f>
        <v>成本-小料台类</v>
      </c>
    </row>
    <row r="159" hidden="1" spans="1:16">
      <c r="A159">
        <v>158</v>
      </c>
      <c r="B159">
        <v>4034397</v>
      </c>
      <c r="C159" t="s">
        <v>223</v>
      </c>
      <c r="D159">
        <v>17.5</v>
      </c>
      <c r="E159">
        <v>2.5</v>
      </c>
      <c r="F159" t="s">
        <v>73</v>
      </c>
      <c r="G159" t="s">
        <v>74</v>
      </c>
      <c r="H159" t="s">
        <v>73</v>
      </c>
      <c r="I159" s="73">
        <f t="shared" si="6"/>
        <v>15</v>
      </c>
      <c r="J159" s="114">
        <f>VLOOKUP(B159,本月系统单价mb5b!$B:$P,15,0)</f>
        <v>4</v>
      </c>
      <c r="K159" s="114">
        <f t="shared" si="7"/>
        <v>60</v>
      </c>
      <c r="L159" s="114">
        <f>IFERROR(VLOOKUP(B159,上月数量需更新!A:C,3,0),0)</f>
        <v>60</v>
      </c>
      <c r="M159" s="121">
        <f t="shared" si="8"/>
        <v>0</v>
      </c>
      <c r="P159" t="str">
        <f>VLOOKUP(B159,物料分类!B:F,5,0)</f>
        <v>成本-小料台类</v>
      </c>
    </row>
    <row r="160" hidden="1" spans="1:16">
      <c r="A160">
        <v>159</v>
      </c>
      <c r="B160">
        <v>4508256</v>
      </c>
      <c r="C160" t="s">
        <v>224</v>
      </c>
      <c r="D160">
        <v>5928</v>
      </c>
      <c r="E160">
        <v>600</v>
      </c>
      <c r="F160" t="s">
        <v>137</v>
      </c>
      <c r="G160" t="s">
        <v>138</v>
      </c>
      <c r="H160" t="s">
        <v>137</v>
      </c>
      <c r="I160" s="73">
        <f t="shared" si="6"/>
        <v>5328</v>
      </c>
      <c r="J160" s="114">
        <f>VLOOKUP(B160,本月系统单价mb5b!$B:$P,15,0)</f>
        <v>0.527083333333333</v>
      </c>
      <c r="K160" s="114">
        <f t="shared" si="7"/>
        <v>2808.3</v>
      </c>
      <c r="L160" s="114">
        <f>IFERROR(VLOOKUP(B160,上月数量需更新!A:C,3,0),0)</f>
        <v>2930.58</v>
      </c>
      <c r="M160" s="121">
        <f t="shared" si="8"/>
        <v>-122.28</v>
      </c>
      <c r="P160" t="str">
        <f>VLOOKUP(B160,物料分类!B:F,5,0)</f>
        <v>成本-小料台类</v>
      </c>
    </row>
    <row r="161" hidden="1" spans="1:16">
      <c r="A161">
        <v>160</v>
      </c>
      <c r="B161">
        <v>4521238</v>
      </c>
      <c r="C161" t="s">
        <v>225</v>
      </c>
      <c r="D161">
        <v>18</v>
      </c>
      <c r="E161">
        <v>15</v>
      </c>
      <c r="F161" t="s">
        <v>44</v>
      </c>
      <c r="G161" t="s">
        <v>45</v>
      </c>
      <c r="H161" t="s">
        <v>46</v>
      </c>
      <c r="I161" s="73">
        <f t="shared" si="6"/>
        <v>3</v>
      </c>
      <c r="J161" s="114">
        <f>VLOOKUP(B161,本月系统单价mb5b!$B:$P,15,0)</f>
        <v>7.5</v>
      </c>
      <c r="K161" s="114">
        <f t="shared" si="7"/>
        <v>22.5</v>
      </c>
      <c r="L161" s="114">
        <f>IFERROR(VLOOKUP(B161,上月数量需更新!A:C,3,0),0)</f>
        <v>0</v>
      </c>
      <c r="M161" s="121">
        <f t="shared" si="8"/>
        <v>22.5</v>
      </c>
      <c r="P161" t="str">
        <f>VLOOKUP(B161,物料分类!B:F,5,0)</f>
        <v>成本-荤菜类</v>
      </c>
    </row>
    <row r="162" hidden="1" spans="1:16">
      <c r="A162">
        <v>161</v>
      </c>
      <c r="B162">
        <v>1500703</v>
      </c>
      <c r="C162" t="s">
        <v>226</v>
      </c>
      <c r="D162">
        <v>628</v>
      </c>
      <c r="E162">
        <v>40</v>
      </c>
      <c r="F162" t="s">
        <v>36</v>
      </c>
      <c r="G162" t="s">
        <v>37</v>
      </c>
      <c r="H162" t="s">
        <v>38</v>
      </c>
      <c r="I162" s="73">
        <f t="shared" si="6"/>
        <v>588</v>
      </c>
      <c r="J162" s="114">
        <f>VLOOKUP(B162,本月系统单价mb5b!$B:$P,15,0)</f>
        <v>4.33332802547771</v>
      </c>
      <c r="K162" s="114">
        <f t="shared" si="7"/>
        <v>2547.99687898089</v>
      </c>
      <c r="L162" s="114">
        <f>IFERROR(VLOOKUP(B162,上月数量需更新!A:C,3,0),0)</f>
        <v>1490.67</v>
      </c>
      <c r="M162" s="121">
        <f t="shared" si="8"/>
        <v>1057.32687898089</v>
      </c>
      <c r="P162" t="str">
        <f>VLOOKUP(B162,物料分类!B:F,5,0)</f>
        <v>成本-荤菜类</v>
      </c>
    </row>
    <row r="163" hidden="1" spans="1:16">
      <c r="A163">
        <v>162</v>
      </c>
      <c r="B163">
        <v>4512428</v>
      </c>
      <c r="C163" t="s">
        <v>227</v>
      </c>
      <c r="D163">
        <v>96</v>
      </c>
      <c r="E163">
        <v>25</v>
      </c>
      <c r="F163" t="s">
        <v>137</v>
      </c>
      <c r="G163" t="s">
        <v>138</v>
      </c>
      <c r="H163" t="s">
        <v>137</v>
      </c>
      <c r="I163" s="73">
        <f t="shared" si="6"/>
        <v>71</v>
      </c>
      <c r="J163" s="114">
        <f>VLOOKUP(B163,本月系统单价mb5b!$B:$P,15,0)</f>
        <v>9.50041666666667</v>
      </c>
      <c r="K163" s="114">
        <f t="shared" si="7"/>
        <v>674.529583333333</v>
      </c>
      <c r="L163" s="114">
        <f>IFERROR(VLOOKUP(B163,上月数量需更新!A:C,3,0),0)</f>
        <v>332.56</v>
      </c>
      <c r="M163" s="121">
        <f t="shared" si="8"/>
        <v>341.969583333333</v>
      </c>
      <c r="P163" t="str">
        <f>VLOOKUP(B163,物料分类!B:F,5,0)</f>
        <v>成本-荤菜类</v>
      </c>
    </row>
    <row r="164" hidden="1" spans="1:16">
      <c r="A164">
        <v>163</v>
      </c>
      <c r="B164">
        <v>1500680</v>
      </c>
      <c r="C164" t="s">
        <v>228</v>
      </c>
      <c r="D164">
        <v>1100.04</v>
      </c>
      <c r="E164">
        <v>22</v>
      </c>
      <c r="F164" t="s">
        <v>36</v>
      </c>
      <c r="G164" t="s">
        <v>37</v>
      </c>
      <c r="H164" t="s">
        <v>38</v>
      </c>
      <c r="I164" s="73">
        <f t="shared" si="6"/>
        <v>1078.04</v>
      </c>
      <c r="J164" s="114">
        <f>VLOOKUP(B164,本月系统单价mb5b!$B:$P,15,0)</f>
        <v>3.7991800298171</v>
      </c>
      <c r="K164" s="114">
        <f t="shared" si="7"/>
        <v>4095.66803934402</v>
      </c>
      <c r="L164" s="114">
        <f>IFERROR(VLOOKUP(B164,上月数量需更新!A:C,3,0),0)</f>
        <v>2529.57</v>
      </c>
      <c r="M164" s="121">
        <f t="shared" si="8"/>
        <v>1566.09803934402</v>
      </c>
      <c r="P164" t="str">
        <f>VLOOKUP(B164,物料分类!B:F,5,0)</f>
        <v>成本-荤菜类</v>
      </c>
    </row>
    <row r="165" hidden="1" spans="1:16">
      <c r="A165">
        <v>164</v>
      </c>
      <c r="B165">
        <v>4529863</v>
      </c>
      <c r="C165" t="s">
        <v>229</v>
      </c>
      <c r="D165">
        <v>25</v>
      </c>
      <c r="E165">
        <v>0</v>
      </c>
      <c r="F165" t="s">
        <v>36</v>
      </c>
      <c r="G165" t="s">
        <v>37</v>
      </c>
      <c r="H165" t="s">
        <v>38</v>
      </c>
      <c r="I165" s="73">
        <f t="shared" si="6"/>
        <v>25</v>
      </c>
      <c r="J165" s="114">
        <f>VLOOKUP(B165,本月系统单价mb5b!$B:$P,15,0)</f>
        <v>3.59</v>
      </c>
      <c r="K165" s="114">
        <f t="shared" si="7"/>
        <v>89.75</v>
      </c>
      <c r="L165" s="114">
        <f>IFERROR(VLOOKUP(B165,上月数量需更新!A:C,3,0),0)</f>
        <v>215.4</v>
      </c>
      <c r="M165" s="121">
        <f t="shared" si="8"/>
        <v>-125.65</v>
      </c>
      <c r="P165" t="str">
        <f>VLOOKUP(B165,物料分类!B:F,5,0)</f>
        <v>成本-荤菜类</v>
      </c>
    </row>
    <row r="166" hidden="1" spans="1:16">
      <c r="A166">
        <v>165</v>
      </c>
      <c r="B166">
        <v>4039739</v>
      </c>
      <c r="C166" t="s">
        <v>230</v>
      </c>
      <c r="D166">
        <v>40.9</v>
      </c>
      <c r="E166">
        <v>0</v>
      </c>
      <c r="F166" t="s">
        <v>73</v>
      </c>
      <c r="G166" t="s">
        <v>74</v>
      </c>
      <c r="H166" t="s">
        <v>73</v>
      </c>
      <c r="I166" s="73">
        <f t="shared" si="6"/>
        <v>40.9</v>
      </c>
      <c r="J166" s="114">
        <f>VLOOKUP(B166,本月系统单价mb5b!$B:$P,15,0)</f>
        <v>12.0281173594132</v>
      </c>
      <c r="K166" s="114">
        <f t="shared" si="7"/>
        <v>491.95</v>
      </c>
      <c r="L166" s="114">
        <f>IFERROR(VLOOKUP(B166,上月数量需更新!A:C,3,0),0)</f>
        <v>36.08</v>
      </c>
      <c r="M166" s="121">
        <f t="shared" si="8"/>
        <v>455.87</v>
      </c>
      <c r="P166" t="str">
        <f>VLOOKUP(B166,物料分类!B:F,5,0)</f>
        <v>成本-锅底类</v>
      </c>
    </row>
    <row r="167" hidden="1" spans="1:16">
      <c r="A167">
        <v>166</v>
      </c>
      <c r="B167">
        <v>1500837</v>
      </c>
      <c r="C167" t="s">
        <v>231</v>
      </c>
      <c r="D167">
        <v>3</v>
      </c>
      <c r="E167">
        <v>1</v>
      </c>
      <c r="F167" t="s">
        <v>36</v>
      </c>
      <c r="G167" t="s">
        <v>37</v>
      </c>
      <c r="H167" t="s">
        <v>38</v>
      </c>
      <c r="I167" s="73">
        <f t="shared" si="6"/>
        <v>2</v>
      </c>
      <c r="J167" s="114">
        <f>VLOOKUP(B167,本月系统单价mb5b!$B:$P,15,0)</f>
        <v>12.5</v>
      </c>
      <c r="K167" s="114">
        <f t="shared" si="7"/>
        <v>25</v>
      </c>
      <c r="L167" s="114">
        <f>IFERROR(VLOOKUP(B167,上月数量需更新!A:C,3,0),0)</f>
        <v>12.5</v>
      </c>
      <c r="M167" s="121">
        <f t="shared" si="8"/>
        <v>12.5</v>
      </c>
      <c r="P167" t="str">
        <f>VLOOKUP(B167,物料分类!B:F,5,0)</f>
        <v>成本-锅底类</v>
      </c>
    </row>
    <row r="168" hidden="1" spans="1:16">
      <c r="A168">
        <v>167</v>
      </c>
      <c r="B168">
        <v>1500838</v>
      </c>
      <c r="C168" t="s">
        <v>232</v>
      </c>
      <c r="D168">
        <v>64.16</v>
      </c>
      <c r="E168">
        <v>25</v>
      </c>
      <c r="F168" t="s">
        <v>36</v>
      </c>
      <c r="G168" t="s">
        <v>37</v>
      </c>
      <c r="H168" t="s">
        <v>38</v>
      </c>
      <c r="I168" s="73">
        <f t="shared" si="6"/>
        <v>39.16</v>
      </c>
      <c r="J168" s="114">
        <f>VLOOKUP(B168,本月系统单价mb5b!$B:$P,15,0)</f>
        <v>8.33120324189526</v>
      </c>
      <c r="K168" s="114">
        <f t="shared" si="7"/>
        <v>326.249918952618</v>
      </c>
      <c r="L168" s="114">
        <f>IFERROR(VLOOKUP(B168,上月数量需更新!A:C,3,0),0)</f>
        <v>242.87</v>
      </c>
      <c r="M168" s="121">
        <f t="shared" si="8"/>
        <v>83.3799189526184</v>
      </c>
      <c r="P168" t="str">
        <f>VLOOKUP(B168,物料分类!B:F,5,0)</f>
        <v>成本-小料台类</v>
      </c>
    </row>
    <row r="169" hidden="1" spans="1:16">
      <c r="A169">
        <v>168</v>
      </c>
      <c r="B169">
        <v>1500713</v>
      </c>
      <c r="C169" t="s">
        <v>233</v>
      </c>
      <c r="D169">
        <v>52</v>
      </c>
      <c r="E169">
        <v>5</v>
      </c>
      <c r="F169" t="s">
        <v>73</v>
      </c>
      <c r="G169" t="s">
        <v>74</v>
      </c>
      <c r="H169" t="s">
        <v>73</v>
      </c>
      <c r="I169" s="73">
        <f t="shared" si="6"/>
        <v>47</v>
      </c>
      <c r="J169" s="114">
        <f>VLOOKUP(B169,本月系统单价mb5b!$B:$P,15,0)</f>
        <v>3.5</v>
      </c>
      <c r="K169" s="114">
        <f t="shared" si="7"/>
        <v>164.5</v>
      </c>
      <c r="L169" s="114">
        <f>IFERROR(VLOOKUP(B169,上月数量需更新!A:C,3,0),0)</f>
        <v>133</v>
      </c>
      <c r="M169" s="121">
        <f t="shared" si="8"/>
        <v>31.5</v>
      </c>
      <c r="P169" t="str">
        <f>VLOOKUP(B169,物料分类!B:F,5,0)</f>
        <v>成本-素菜类</v>
      </c>
    </row>
    <row r="170" hidden="1" spans="1:16">
      <c r="A170">
        <v>169</v>
      </c>
      <c r="B170">
        <v>4740140</v>
      </c>
      <c r="C170" t="s">
        <v>234</v>
      </c>
      <c r="D170">
        <v>23</v>
      </c>
      <c r="E170">
        <v>1</v>
      </c>
      <c r="F170" t="s">
        <v>127</v>
      </c>
      <c r="G170" t="s">
        <v>128</v>
      </c>
      <c r="H170" t="s">
        <v>127</v>
      </c>
      <c r="I170" s="73">
        <f t="shared" si="6"/>
        <v>22</v>
      </c>
      <c r="J170" s="114">
        <f>VLOOKUP(B170,本月系统单价mb5b!$B:$P,15,0)</f>
        <v>29.3478260869565</v>
      </c>
      <c r="K170" s="114">
        <f t="shared" si="7"/>
        <v>645.652173913043</v>
      </c>
      <c r="L170" s="114">
        <f>IFERROR(VLOOKUP(B170,上月数量需更新!A:C,3,0),0)</f>
        <v>275</v>
      </c>
      <c r="M170" s="121">
        <f t="shared" si="8"/>
        <v>370.652173913043</v>
      </c>
      <c r="P170" t="str">
        <f>VLOOKUP(B170,物料分类!B:F,5,0)</f>
        <v>成本-荤菜类</v>
      </c>
    </row>
    <row r="171" hidden="1" spans="1:16">
      <c r="A171">
        <v>443</v>
      </c>
      <c r="B171">
        <v>4021537</v>
      </c>
      <c r="C171" t="s">
        <v>235</v>
      </c>
      <c r="D171">
        <v>20</v>
      </c>
      <c r="E171">
        <v>10</v>
      </c>
      <c r="F171" t="s">
        <v>66</v>
      </c>
      <c r="G171" t="s">
        <v>67</v>
      </c>
      <c r="H171" t="s">
        <v>66</v>
      </c>
      <c r="I171" s="73">
        <f t="shared" si="6"/>
        <v>10</v>
      </c>
      <c r="J171" s="114">
        <f>VLOOKUP(B171,本月系统单价mb5b!$B:$P,15,0)</f>
        <v>12.017</v>
      </c>
      <c r="K171" s="114">
        <f t="shared" si="7"/>
        <v>120.17</v>
      </c>
      <c r="L171" s="114">
        <f>IFERROR(VLOOKUP(B171,上月数量需更新!A:C,3,0),0)</f>
        <v>96.14</v>
      </c>
      <c r="M171" s="121">
        <f t="shared" si="8"/>
        <v>24.03</v>
      </c>
      <c r="P171" t="str">
        <f>VLOOKUP(B171,物料分类!B:F,5,0)</f>
        <v>物料消耗</v>
      </c>
    </row>
    <row r="172" hidden="1" spans="1:16">
      <c r="A172">
        <v>171</v>
      </c>
      <c r="B172">
        <v>4515468</v>
      </c>
      <c r="C172" t="s">
        <v>236</v>
      </c>
      <c r="D172">
        <v>186</v>
      </c>
      <c r="E172">
        <v>45</v>
      </c>
      <c r="F172" t="s">
        <v>36</v>
      </c>
      <c r="G172" t="s">
        <v>37</v>
      </c>
      <c r="H172" t="s">
        <v>38</v>
      </c>
      <c r="I172" s="73">
        <f t="shared" si="6"/>
        <v>141</v>
      </c>
      <c r="J172" s="114">
        <f>VLOOKUP(B172,本月系统单价mb5b!$B:$P,15,0)</f>
        <v>6.87543010752688</v>
      </c>
      <c r="K172" s="114">
        <f t="shared" si="7"/>
        <v>969.43564516129</v>
      </c>
      <c r="L172" s="114">
        <f>IFERROR(VLOOKUP(B172,上月数量需更新!A:C,3,0),0)</f>
        <v>763.42</v>
      </c>
      <c r="M172" s="121">
        <f t="shared" si="8"/>
        <v>206.01564516129</v>
      </c>
      <c r="P172" t="str">
        <f>VLOOKUP(B172,物料分类!B:F,5,0)</f>
        <v>成本-荤菜类</v>
      </c>
    </row>
    <row r="173" hidden="1" spans="1:16">
      <c r="A173">
        <v>172</v>
      </c>
      <c r="B173">
        <v>4518890</v>
      </c>
      <c r="C173" t="s">
        <v>237</v>
      </c>
      <c r="D173">
        <v>3</v>
      </c>
      <c r="E173">
        <v>3</v>
      </c>
      <c r="F173" t="s">
        <v>55</v>
      </c>
      <c r="G173" t="s">
        <v>56</v>
      </c>
      <c r="H173" t="s">
        <v>55</v>
      </c>
      <c r="I173" s="73">
        <f t="shared" si="6"/>
        <v>0</v>
      </c>
      <c r="J173" s="114">
        <f>VLOOKUP(B173,本月系统单价mb5b!$B:$P,15,0)</f>
        <v>30</v>
      </c>
      <c r="K173" s="114">
        <f t="shared" si="7"/>
        <v>0</v>
      </c>
      <c r="L173" s="114">
        <f>IFERROR(VLOOKUP(B173,上月数量需更新!A:C,3,0),0)</f>
        <v>0</v>
      </c>
      <c r="M173" s="121">
        <f t="shared" si="8"/>
        <v>0</v>
      </c>
      <c r="P173" t="str">
        <f>VLOOKUP(B173,物料分类!B:F,5,0)</f>
        <v>成本-酒水类</v>
      </c>
    </row>
    <row r="174" hidden="1" spans="1:16">
      <c r="A174">
        <v>23</v>
      </c>
      <c r="B174">
        <v>1500963</v>
      </c>
      <c r="C174" t="s">
        <v>238</v>
      </c>
      <c r="D174">
        <v>4000</v>
      </c>
      <c r="E174">
        <v>1000</v>
      </c>
      <c r="F174" t="s">
        <v>20</v>
      </c>
      <c r="G174" t="s">
        <v>21</v>
      </c>
      <c r="H174" t="s">
        <v>20</v>
      </c>
      <c r="I174" s="73">
        <f t="shared" si="6"/>
        <v>3000</v>
      </c>
      <c r="J174" s="114">
        <f>VLOOKUP(B174,本月系统单价mb5b!$B:$P,15,0)</f>
        <v>0.0395</v>
      </c>
      <c r="K174" s="114">
        <f t="shared" si="7"/>
        <v>118.5</v>
      </c>
      <c r="L174" s="114">
        <f>IFERROR(VLOOKUP(B174,上月数量需更新!A:C,3,0),0)</f>
        <v>118.5</v>
      </c>
      <c r="M174" s="121">
        <f t="shared" si="8"/>
        <v>0</v>
      </c>
      <c r="P174" t="str">
        <f>VLOOKUP(B174,物料分类!B:F,5,0)</f>
        <v>物料消耗</v>
      </c>
    </row>
    <row r="175" hidden="1" spans="1:16">
      <c r="A175">
        <v>182</v>
      </c>
      <c r="B175">
        <v>4529642</v>
      </c>
      <c r="C175" t="s">
        <v>239</v>
      </c>
      <c r="D175">
        <v>1800</v>
      </c>
      <c r="E175">
        <v>0</v>
      </c>
      <c r="F175" t="s">
        <v>20</v>
      </c>
      <c r="G175" t="s">
        <v>21</v>
      </c>
      <c r="H175" t="s">
        <v>20</v>
      </c>
      <c r="I175" s="73">
        <f t="shared" si="6"/>
        <v>1800</v>
      </c>
      <c r="J175" s="114">
        <f>VLOOKUP(B175,本月系统单价mb5b!$B:$P,15,0)</f>
        <v>0.0625</v>
      </c>
      <c r="K175" s="114">
        <f t="shared" si="7"/>
        <v>112.5</v>
      </c>
      <c r="L175" s="114">
        <f>IFERROR(VLOOKUP(B175,上月数量需更新!A:C,3,0),0)</f>
        <v>150</v>
      </c>
      <c r="M175" s="121">
        <f t="shared" si="8"/>
        <v>-37.5</v>
      </c>
      <c r="P175" t="str">
        <f>VLOOKUP(B175,物料分类!B:F,5,0)</f>
        <v>物料消耗</v>
      </c>
    </row>
    <row r="176" hidden="1" spans="1:16">
      <c r="A176">
        <v>25</v>
      </c>
      <c r="B176">
        <v>8704095</v>
      </c>
      <c r="C176" t="s">
        <v>240</v>
      </c>
      <c r="D176">
        <v>36</v>
      </c>
      <c r="E176">
        <v>18</v>
      </c>
      <c r="F176" t="s">
        <v>29</v>
      </c>
      <c r="G176" t="s">
        <v>30</v>
      </c>
      <c r="H176" t="s">
        <v>29</v>
      </c>
      <c r="I176" s="73">
        <f t="shared" si="6"/>
        <v>18</v>
      </c>
      <c r="J176" s="114">
        <f>VLOOKUP(B176,本月系统单价mb5b!$B:$P,15,0)</f>
        <v>5.50611111111111</v>
      </c>
      <c r="K176" s="114">
        <f t="shared" si="7"/>
        <v>99.11</v>
      </c>
      <c r="L176" s="114">
        <f>IFERROR(VLOOKUP(B176,上月数量需更新!A:C,3,0),0)</f>
        <v>49.56</v>
      </c>
      <c r="M176" s="121">
        <f t="shared" si="8"/>
        <v>49.55</v>
      </c>
      <c r="P176" t="str">
        <f>VLOOKUP(B176,物料分类!B:F,5,0)</f>
        <v>物料消耗</v>
      </c>
    </row>
    <row r="177" hidden="1" spans="1:16">
      <c r="A177">
        <v>19</v>
      </c>
      <c r="B177">
        <v>8005864</v>
      </c>
      <c r="C177" t="s">
        <v>241</v>
      </c>
      <c r="D177">
        <v>350</v>
      </c>
      <c r="E177">
        <v>300</v>
      </c>
      <c r="F177" t="s">
        <v>20</v>
      </c>
      <c r="G177" t="s">
        <v>21</v>
      </c>
      <c r="H177" t="s">
        <v>20</v>
      </c>
      <c r="I177" s="73">
        <f t="shared" si="6"/>
        <v>50</v>
      </c>
      <c r="J177" s="114">
        <f>VLOOKUP(B177,本月系统单价mb5b!$B:$P,15,0)</f>
        <v>1.9348</v>
      </c>
      <c r="K177" s="114">
        <f t="shared" si="7"/>
        <v>96.74</v>
      </c>
      <c r="L177" s="114">
        <f>IFERROR(VLOOKUP(B177,上月数量需更新!A:C,3,0),0)</f>
        <v>0</v>
      </c>
      <c r="M177" s="121">
        <f t="shared" si="8"/>
        <v>96.74</v>
      </c>
      <c r="P177" t="str">
        <f>VLOOKUP(B177,物料分类!B:F,5,0)</f>
        <v>物料消耗</v>
      </c>
    </row>
    <row r="178" hidden="1" spans="1:16">
      <c r="A178">
        <v>32</v>
      </c>
      <c r="B178">
        <v>8012346</v>
      </c>
      <c r="C178" t="s">
        <v>242</v>
      </c>
      <c r="D178">
        <v>1200</v>
      </c>
      <c r="E178">
        <v>0</v>
      </c>
      <c r="F178" t="s">
        <v>20</v>
      </c>
      <c r="G178" t="s">
        <v>21</v>
      </c>
      <c r="H178" t="s">
        <v>20</v>
      </c>
      <c r="I178" s="73">
        <f t="shared" si="6"/>
        <v>1200</v>
      </c>
      <c r="J178" s="114">
        <f>VLOOKUP(B178,本月系统单价mb5b!$B:$P,15,0)</f>
        <v>0.0782333333333333</v>
      </c>
      <c r="K178" s="114">
        <f t="shared" si="7"/>
        <v>93.88</v>
      </c>
      <c r="L178" s="114">
        <f>IFERROR(VLOOKUP(B178,上月数量需更新!A:C,3,0),0)</f>
        <v>93.88</v>
      </c>
      <c r="M178" s="121">
        <f t="shared" si="8"/>
        <v>0</v>
      </c>
      <c r="P178" t="str">
        <f>VLOOKUP(B178,物料分类!B:F,5,0)</f>
        <v>物料消耗</v>
      </c>
    </row>
    <row r="179" hidden="1" spans="1:16">
      <c r="A179">
        <v>103</v>
      </c>
      <c r="B179">
        <v>4023572</v>
      </c>
      <c r="C179" t="s">
        <v>243</v>
      </c>
      <c r="D179">
        <v>385</v>
      </c>
      <c r="E179">
        <v>192</v>
      </c>
      <c r="F179" t="s">
        <v>66</v>
      </c>
      <c r="G179" t="s">
        <v>67</v>
      </c>
      <c r="H179" t="s">
        <v>66</v>
      </c>
      <c r="I179" s="73">
        <f t="shared" si="6"/>
        <v>193</v>
      </c>
      <c r="J179" s="114">
        <f>VLOOKUP(B179,本月系统单价mb5b!$B:$P,15,0)</f>
        <v>0.458363636363636</v>
      </c>
      <c r="K179" s="114">
        <f t="shared" si="7"/>
        <v>88.4641818181818</v>
      </c>
      <c r="L179" s="114">
        <f>IFERROR(VLOOKUP(B179,上月数量需更新!A:C,3,0),0)</f>
        <v>252.88</v>
      </c>
      <c r="M179" s="121">
        <f t="shared" si="8"/>
        <v>-164.415818181818</v>
      </c>
      <c r="P179" t="str">
        <f>VLOOKUP(B179,物料分类!B:F,5,0)</f>
        <v>物料消耗</v>
      </c>
    </row>
    <row r="180" hidden="1" spans="1:16">
      <c r="A180">
        <v>179</v>
      </c>
      <c r="B180">
        <v>4530324</v>
      </c>
      <c r="C180" t="s">
        <v>244</v>
      </c>
      <c r="D180">
        <v>900</v>
      </c>
      <c r="E180">
        <v>300</v>
      </c>
      <c r="F180" t="s">
        <v>20</v>
      </c>
      <c r="G180" t="s">
        <v>21</v>
      </c>
      <c r="H180" t="s">
        <v>20</v>
      </c>
      <c r="I180" s="73">
        <f t="shared" si="6"/>
        <v>600</v>
      </c>
      <c r="J180" s="114">
        <f>VLOOKUP(B180,本月系统单价mb5b!$B:$P,15,0)</f>
        <v>0.141666666666667</v>
      </c>
      <c r="K180" s="114">
        <f t="shared" si="7"/>
        <v>85</v>
      </c>
      <c r="L180" s="114">
        <f>IFERROR(VLOOKUP(B180,上月数量需更新!A:C,3,0),0)</f>
        <v>42.5</v>
      </c>
      <c r="M180" s="121">
        <f t="shared" si="8"/>
        <v>42.5</v>
      </c>
      <c r="P180" t="str">
        <f>VLOOKUP(B180,物料分类!B:F,5,0)</f>
        <v>物料消耗</v>
      </c>
    </row>
    <row r="181" hidden="1" spans="1:16">
      <c r="A181">
        <v>529</v>
      </c>
      <c r="B181">
        <v>4516321</v>
      </c>
      <c r="C181" t="s">
        <v>245</v>
      </c>
      <c r="D181">
        <v>4000</v>
      </c>
      <c r="E181">
        <v>2000</v>
      </c>
      <c r="F181" t="s">
        <v>20</v>
      </c>
      <c r="G181" t="s">
        <v>21</v>
      </c>
      <c r="H181" t="s">
        <v>20</v>
      </c>
      <c r="I181" s="73">
        <f t="shared" si="6"/>
        <v>2000</v>
      </c>
      <c r="J181" s="114">
        <f>VLOOKUP(B181,本月系统单价mb5b!$B:$P,15,0)</f>
        <v>0.04223</v>
      </c>
      <c r="K181" s="114">
        <f t="shared" si="7"/>
        <v>84.46</v>
      </c>
      <c r="L181" s="114">
        <f>IFERROR(VLOOKUP(B181,上月数量需更新!A:C,3,0),0)</f>
        <v>160.96</v>
      </c>
      <c r="M181" s="121">
        <f t="shared" si="8"/>
        <v>-76.5</v>
      </c>
      <c r="P181" t="str">
        <f>VLOOKUP(B181,物料分类!B:F,5,0)</f>
        <v>物料消耗</v>
      </c>
    </row>
    <row r="182" hidden="1" spans="1:16">
      <c r="A182">
        <v>181</v>
      </c>
      <c r="B182">
        <v>4529643</v>
      </c>
      <c r="C182" t="s">
        <v>246</v>
      </c>
      <c r="D182">
        <v>1800</v>
      </c>
      <c r="E182">
        <v>0</v>
      </c>
      <c r="F182" t="s">
        <v>20</v>
      </c>
      <c r="G182" t="s">
        <v>21</v>
      </c>
      <c r="H182" t="s">
        <v>20</v>
      </c>
      <c r="I182" s="73">
        <f t="shared" si="6"/>
        <v>1800</v>
      </c>
      <c r="J182" s="114">
        <f>VLOOKUP(B182,本月系统单价mb5b!$B:$P,15,0)</f>
        <v>0.0465</v>
      </c>
      <c r="K182" s="114">
        <f t="shared" si="7"/>
        <v>83.7</v>
      </c>
      <c r="L182" s="114">
        <f>IFERROR(VLOOKUP(B182,上月数量需更新!A:C,3,0),0)</f>
        <v>55.8</v>
      </c>
      <c r="M182" s="121">
        <f t="shared" si="8"/>
        <v>27.9</v>
      </c>
      <c r="P182" t="str">
        <f>VLOOKUP(B182,物料分类!B:F,5,0)</f>
        <v>物料消耗</v>
      </c>
    </row>
    <row r="183" hidden="1" spans="1:16">
      <c r="A183">
        <v>528</v>
      </c>
      <c r="B183">
        <v>4516322</v>
      </c>
      <c r="C183" t="s">
        <v>247</v>
      </c>
      <c r="D183">
        <v>3000</v>
      </c>
      <c r="E183">
        <v>1000</v>
      </c>
      <c r="F183" t="s">
        <v>20</v>
      </c>
      <c r="G183" t="s">
        <v>21</v>
      </c>
      <c r="H183" t="s">
        <v>20</v>
      </c>
      <c r="I183" s="73">
        <f t="shared" si="6"/>
        <v>2000</v>
      </c>
      <c r="J183" s="114">
        <f>VLOOKUP(B183,本月系统单价mb5b!$B:$P,15,0)</f>
        <v>0.04011</v>
      </c>
      <c r="K183" s="114">
        <f t="shared" si="7"/>
        <v>80.22</v>
      </c>
      <c r="L183" s="114">
        <f>IFERROR(VLOOKUP(B183,上月数量需更新!A:C,3,0),0)</f>
        <v>79.11</v>
      </c>
      <c r="M183" s="121">
        <f t="shared" si="8"/>
        <v>1.11</v>
      </c>
      <c r="P183" t="str">
        <f>VLOOKUP(B183,物料分类!B:F,5,0)</f>
        <v>物料消耗</v>
      </c>
    </row>
    <row r="184" hidden="1" spans="1:16">
      <c r="A184">
        <v>183</v>
      </c>
      <c r="B184">
        <v>4518307</v>
      </c>
      <c r="C184" t="s">
        <v>248</v>
      </c>
      <c r="D184">
        <v>21</v>
      </c>
      <c r="E184">
        <v>8</v>
      </c>
      <c r="F184" t="s">
        <v>29</v>
      </c>
      <c r="G184" t="s">
        <v>30</v>
      </c>
      <c r="H184" t="s">
        <v>29</v>
      </c>
      <c r="I184" s="73">
        <f t="shared" si="6"/>
        <v>13</v>
      </c>
      <c r="J184" s="114">
        <f>VLOOKUP(B184,本月系统单价mb5b!$B:$P,15,0)</f>
        <v>12.982380952381</v>
      </c>
      <c r="K184" s="114">
        <f t="shared" si="7"/>
        <v>168.770952380952</v>
      </c>
      <c r="L184" s="114">
        <f>IFERROR(VLOOKUP(B184,上月数量需更新!A:C,3,0),0)</f>
        <v>127.47</v>
      </c>
      <c r="M184" s="121">
        <f t="shared" si="8"/>
        <v>41.3009523809524</v>
      </c>
      <c r="P184" t="str">
        <f>VLOOKUP(B184,物料分类!B:F,5,0)</f>
        <v>成本-酒水类</v>
      </c>
    </row>
    <row r="185" hidden="1" spans="1:16">
      <c r="A185">
        <v>184</v>
      </c>
      <c r="B185">
        <v>4046656</v>
      </c>
      <c r="C185" t="s">
        <v>249</v>
      </c>
      <c r="D185">
        <v>120</v>
      </c>
      <c r="E185">
        <v>60</v>
      </c>
      <c r="F185" t="s">
        <v>20</v>
      </c>
      <c r="G185" t="s">
        <v>21</v>
      </c>
      <c r="H185" t="s">
        <v>20</v>
      </c>
      <c r="I185" s="73">
        <f t="shared" si="6"/>
        <v>60</v>
      </c>
      <c r="J185" s="114">
        <f>VLOOKUP(B185,本月系统单价mb5b!$B:$P,15,0)</f>
        <v>0.639916666666667</v>
      </c>
      <c r="K185" s="114">
        <f t="shared" si="7"/>
        <v>38.395</v>
      </c>
      <c r="L185" s="114">
        <f>IFERROR(VLOOKUP(B185,上月数量需更新!A:C,3,0),0)</f>
        <v>0</v>
      </c>
      <c r="M185" s="121">
        <f t="shared" si="8"/>
        <v>38.395</v>
      </c>
      <c r="P185" t="str">
        <f>VLOOKUP(B185,物料分类!B:F,5,0)</f>
        <v>成本-小吃类</v>
      </c>
    </row>
    <row r="186" ht="58" hidden="1" customHeight="1" spans="1:16">
      <c r="A186">
        <v>262</v>
      </c>
      <c r="B186">
        <v>1500923</v>
      </c>
      <c r="C186" t="s">
        <v>250</v>
      </c>
      <c r="D186">
        <v>6</v>
      </c>
      <c r="E186">
        <v>2</v>
      </c>
      <c r="F186" t="s">
        <v>55</v>
      </c>
      <c r="G186" t="s">
        <v>56</v>
      </c>
      <c r="H186" t="s">
        <v>55</v>
      </c>
      <c r="I186" s="73">
        <f t="shared" si="6"/>
        <v>4</v>
      </c>
      <c r="J186" s="114">
        <f>VLOOKUP(B186,本月系统单价mb5b!$B:$P,15,0)</f>
        <v>18.6</v>
      </c>
      <c r="K186" s="114">
        <f t="shared" si="7"/>
        <v>74.4</v>
      </c>
      <c r="L186" s="114">
        <f>IFERROR(VLOOKUP(B186,上月数量需更新!A:C,3,0),0)</f>
        <v>18.6</v>
      </c>
      <c r="M186" s="121">
        <f t="shared" si="8"/>
        <v>55.8</v>
      </c>
      <c r="P186" t="str">
        <f>VLOOKUP(B186,物料分类!B:F,5,0)</f>
        <v>物料消耗</v>
      </c>
    </row>
    <row r="187" hidden="1" spans="1:16">
      <c r="A187">
        <v>29</v>
      </c>
      <c r="B187">
        <v>8703791</v>
      </c>
      <c r="C187" t="s">
        <v>251</v>
      </c>
      <c r="D187">
        <v>4000</v>
      </c>
      <c r="E187">
        <v>2000</v>
      </c>
      <c r="F187" t="s">
        <v>20</v>
      </c>
      <c r="G187" t="s">
        <v>21</v>
      </c>
      <c r="H187" t="s">
        <v>20</v>
      </c>
      <c r="I187" s="73">
        <f t="shared" si="6"/>
        <v>2000</v>
      </c>
      <c r="J187" s="114">
        <f>VLOOKUP(B187,本月系统单价mb5b!$B:$P,15,0)</f>
        <v>0.03526</v>
      </c>
      <c r="K187" s="114">
        <f t="shared" si="7"/>
        <v>70.52</v>
      </c>
      <c r="L187" s="114">
        <f>IFERROR(VLOOKUP(B187,上月数量需更新!A:C,3,0),0)</f>
        <v>70.52</v>
      </c>
      <c r="M187" s="121">
        <f t="shared" si="8"/>
        <v>0</v>
      </c>
      <c r="P187" t="str">
        <f>VLOOKUP(B187,物料分类!B:F,5,0)</f>
        <v>物料消耗</v>
      </c>
    </row>
    <row r="188" hidden="1" spans="1:16">
      <c r="A188">
        <v>187</v>
      </c>
      <c r="B188">
        <v>8011495</v>
      </c>
      <c r="C188" t="s">
        <v>252</v>
      </c>
      <c r="D188">
        <v>400</v>
      </c>
      <c r="E188">
        <v>100</v>
      </c>
      <c r="F188" t="s">
        <v>20</v>
      </c>
      <c r="G188" t="s">
        <v>21</v>
      </c>
      <c r="H188" t="s">
        <v>20</v>
      </c>
      <c r="I188" s="73">
        <f t="shared" si="6"/>
        <v>300</v>
      </c>
      <c r="J188" s="114">
        <f>VLOOKUP(B188,本月系统单价mb5b!$B:$P,15,0)</f>
        <v>0.55305</v>
      </c>
      <c r="K188" s="114">
        <f t="shared" si="7"/>
        <v>165.915</v>
      </c>
      <c r="L188" s="114">
        <f>IFERROR(VLOOKUP(B188,上月数量需更新!A:C,3,0),0)</f>
        <v>55.3</v>
      </c>
      <c r="M188" s="121">
        <f t="shared" si="8"/>
        <v>110.615</v>
      </c>
      <c r="P188" t="str">
        <f>VLOOKUP(B188,物料分类!B:F,5,0)</f>
        <v>服务费</v>
      </c>
    </row>
    <row r="189" hidden="1" spans="1:16">
      <c r="A189">
        <v>188</v>
      </c>
      <c r="B189">
        <v>4017892</v>
      </c>
      <c r="C189" t="s">
        <v>253</v>
      </c>
      <c r="D189">
        <v>190</v>
      </c>
      <c r="E189">
        <v>20</v>
      </c>
      <c r="F189" t="s">
        <v>73</v>
      </c>
      <c r="G189" t="s">
        <v>74</v>
      </c>
      <c r="H189" t="s">
        <v>73</v>
      </c>
      <c r="I189" s="73">
        <f t="shared" si="6"/>
        <v>170</v>
      </c>
      <c r="J189" s="114">
        <f>VLOOKUP(B189,本月系统单价mb5b!$B:$P,15,0)</f>
        <v>2.4</v>
      </c>
      <c r="K189" s="114">
        <f t="shared" si="7"/>
        <v>408</v>
      </c>
      <c r="L189" s="114">
        <f>IFERROR(VLOOKUP(B189,上月数量需更新!A:C,3,0),0)</f>
        <v>96</v>
      </c>
      <c r="M189" s="121">
        <f t="shared" si="8"/>
        <v>312</v>
      </c>
      <c r="P189" t="str">
        <f>VLOOKUP(B189,物料分类!B:F,5,0)</f>
        <v>成本-小吃类</v>
      </c>
    </row>
    <row r="190" hidden="1" spans="1:16">
      <c r="A190">
        <v>189</v>
      </c>
      <c r="B190">
        <v>4529926</v>
      </c>
      <c r="C190" t="s">
        <v>254</v>
      </c>
      <c r="D190">
        <v>1008</v>
      </c>
      <c r="E190">
        <v>189</v>
      </c>
      <c r="F190" t="s">
        <v>20</v>
      </c>
      <c r="G190" t="s">
        <v>21</v>
      </c>
      <c r="H190" t="s">
        <v>20</v>
      </c>
      <c r="I190" s="73">
        <f t="shared" si="6"/>
        <v>819</v>
      </c>
      <c r="J190" s="114">
        <f>VLOOKUP(B190,本月系统单价mb5b!$B:$P,15,0)</f>
        <v>0.523333333333333</v>
      </c>
      <c r="K190" s="114">
        <f t="shared" si="7"/>
        <v>428.61</v>
      </c>
      <c r="L190" s="114">
        <f>IFERROR(VLOOKUP(B190,上月数量需更新!A:C,3,0),0)</f>
        <v>428.61</v>
      </c>
      <c r="M190" s="121">
        <f t="shared" si="8"/>
        <v>0</v>
      </c>
      <c r="P190" t="str">
        <f>VLOOKUP(B190,物料分类!B:F,5,0)</f>
        <v>成本-小料台类</v>
      </c>
    </row>
    <row r="191" hidden="1" spans="1:16">
      <c r="A191">
        <v>24</v>
      </c>
      <c r="B191">
        <v>4020386</v>
      </c>
      <c r="C191" t="s">
        <v>255</v>
      </c>
      <c r="D191">
        <v>200</v>
      </c>
      <c r="E191">
        <v>0</v>
      </c>
      <c r="F191" t="s">
        <v>29</v>
      </c>
      <c r="G191" t="s">
        <v>30</v>
      </c>
      <c r="H191" t="s">
        <v>29</v>
      </c>
      <c r="I191" s="73">
        <f t="shared" si="6"/>
        <v>200</v>
      </c>
      <c r="J191" s="114">
        <f>VLOOKUP(B191,本月系统单价mb5b!$B:$P,15,0)</f>
        <v>0.33805</v>
      </c>
      <c r="K191" s="114">
        <f t="shared" si="7"/>
        <v>67.61</v>
      </c>
      <c r="L191" s="114">
        <f>IFERROR(VLOOKUP(B191,上月数量需更新!A:C,3,0),0)</f>
        <v>0</v>
      </c>
      <c r="M191" s="121">
        <f t="shared" si="8"/>
        <v>67.61</v>
      </c>
      <c r="P191" t="str">
        <f>VLOOKUP(B191,物料分类!B:F,5,0)</f>
        <v>物料消耗</v>
      </c>
    </row>
    <row r="192" hidden="1" spans="1:16">
      <c r="A192">
        <v>191</v>
      </c>
      <c r="B192">
        <v>1500712</v>
      </c>
      <c r="C192" t="s">
        <v>256</v>
      </c>
      <c r="D192">
        <v>37</v>
      </c>
      <c r="E192">
        <v>0</v>
      </c>
      <c r="F192" t="s">
        <v>36</v>
      </c>
      <c r="G192" t="s">
        <v>37</v>
      </c>
      <c r="H192" t="s">
        <v>38</v>
      </c>
      <c r="I192" s="73">
        <f t="shared" si="6"/>
        <v>37</v>
      </c>
      <c r="J192" s="114">
        <f>VLOOKUP(B192,本月系统单价mb5b!$B:$P,15,0)</f>
        <v>23.99</v>
      </c>
      <c r="K192" s="114">
        <f t="shared" si="7"/>
        <v>887.63</v>
      </c>
      <c r="L192" s="114">
        <f>IFERROR(VLOOKUP(B192,上月数量需更新!A:C,3,0),0)</f>
        <v>0</v>
      </c>
      <c r="M192" s="121">
        <f t="shared" si="8"/>
        <v>887.63</v>
      </c>
      <c r="P192" t="str">
        <f>VLOOKUP(B192,物料分类!B:F,5,0)</f>
        <v>成本-荤菜类</v>
      </c>
    </row>
    <row r="193" hidden="1" spans="1:16">
      <c r="A193">
        <v>192</v>
      </c>
      <c r="B193">
        <v>4512683</v>
      </c>
      <c r="C193" t="s">
        <v>257</v>
      </c>
      <c r="D193">
        <v>168</v>
      </c>
      <c r="E193">
        <v>62.4</v>
      </c>
      <c r="F193" t="s">
        <v>73</v>
      </c>
      <c r="G193" t="s">
        <v>74</v>
      </c>
      <c r="H193" t="s">
        <v>73</v>
      </c>
      <c r="I193" s="73">
        <f t="shared" si="6"/>
        <v>105.6</v>
      </c>
      <c r="J193" s="114">
        <f>VLOOKUP(B193,本月系统单价mb5b!$B:$P,15,0)</f>
        <v>8.77708333333333</v>
      </c>
      <c r="K193" s="114">
        <f t="shared" si="7"/>
        <v>926.86</v>
      </c>
      <c r="L193" s="114">
        <f>IFERROR(VLOOKUP(B193,上月数量需更新!A:C,3,0),0)</f>
        <v>1053.25</v>
      </c>
      <c r="M193" s="121">
        <f t="shared" si="8"/>
        <v>-126.39</v>
      </c>
      <c r="P193" t="str">
        <f>VLOOKUP(B193,物料分类!B:F,5,0)</f>
        <v>成本-小吃类</v>
      </c>
    </row>
    <row r="194" hidden="1" spans="1:16">
      <c r="A194">
        <v>193</v>
      </c>
      <c r="B194">
        <v>3002747</v>
      </c>
      <c r="C194" t="s">
        <v>258</v>
      </c>
      <c r="D194">
        <v>272.1</v>
      </c>
      <c r="E194">
        <v>100.8</v>
      </c>
      <c r="F194" t="s">
        <v>73</v>
      </c>
      <c r="G194" t="s">
        <v>74</v>
      </c>
      <c r="H194" t="s">
        <v>73</v>
      </c>
      <c r="I194" s="73">
        <f t="shared" ref="I194:I257" si="9">D194-E194</f>
        <v>171.3</v>
      </c>
      <c r="J194" s="114">
        <f>VLOOKUP(B194,本月系统单价mb5b!$B:$P,15,0)</f>
        <v>11.7881293642043</v>
      </c>
      <c r="K194" s="114">
        <f t="shared" ref="K194:K257" si="10">I194*J194</f>
        <v>2019.3065600882</v>
      </c>
      <c r="L194" s="114">
        <f>IFERROR(VLOOKUP(B194,上月数量需更新!A:C,3,0),0)</f>
        <v>2177.12</v>
      </c>
      <c r="M194" s="121">
        <f t="shared" ref="M194:M257" si="11">K194-L194</f>
        <v>-157.813439911797</v>
      </c>
      <c r="P194" t="str">
        <f>VLOOKUP(B194,物料分类!B:F,5,0)</f>
        <v>成本-锅底类</v>
      </c>
    </row>
    <row r="195" hidden="1" spans="1:16">
      <c r="A195">
        <v>194</v>
      </c>
      <c r="B195">
        <v>4006187</v>
      </c>
      <c r="C195" t="s">
        <v>259</v>
      </c>
      <c r="D195">
        <v>5000</v>
      </c>
      <c r="E195">
        <v>3000</v>
      </c>
      <c r="F195" t="s">
        <v>260</v>
      </c>
      <c r="G195" t="s">
        <v>261</v>
      </c>
      <c r="H195" t="s">
        <v>260</v>
      </c>
      <c r="I195" s="73">
        <f t="shared" si="9"/>
        <v>2000</v>
      </c>
      <c r="J195" s="114">
        <f>VLOOKUP(B195,本月系统单价mb5b!$B:$P,15,0)</f>
        <v>0.029454</v>
      </c>
      <c r="K195" s="114">
        <f t="shared" si="10"/>
        <v>58.908</v>
      </c>
      <c r="L195" s="114">
        <f>IFERROR(VLOOKUP(B195,上月数量需更新!A:C,3,0),0)</f>
        <v>117.74</v>
      </c>
      <c r="M195" s="121">
        <f t="shared" si="11"/>
        <v>-58.832</v>
      </c>
      <c r="P195" t="str">
        <f>VLOOKUP(B195,物料分类!B:F,5,0)</f>
        <v>物料消耗</v>
      </c>
    </row>
    <row r="196" hidden="1" spans="1:16">
      <c r="A196">
        <v>195</v>
      </c>
      <c r="B196">
        <v>4006188</v>
      </c>
      <c r="C196" t="s">
        <v>262</v>
      </c>
      <c r="D196">
        <v>7000</v>
      </c>
      <c r="E196">
        <v>2000</v>
      </c>
      <c r="F196" t="s">
        <v>260</v>
      </c>
      <c r="G196" t="s">
        <v>261</v>
      </c>
      <c r="H196" t="s">
        <v>260</v>
      </c>
      <c r="I196" s="73">
        <f t="shared" si="9"/>
        <v>5000</v>
      </c>
      <c r="J196" s="114">
        <f>VLOOKUP(B196,本月系统单价mb5b!$B:$P,15,0)</f>
        <v>0.0302457142857143</v>
      </c>
      <c r="K196" s="114">
        <f t="shared" si="10"/>
        <v>151.228571428571</v>
      </c>
      <c r="L196" s="114">
        <f>IFERROR(VLOOKUP(B196,上月数量需更新!A:C,3,0),0)</f>
        <v>150.67</v>
      </c>
      <c r="M196" s="121">
        <f t="shared" si="11"/>
        <v>0.55857142857144</v>
      </c>
      <c r="P196" t="str">
        <f>VLOOKUP(B196,物料分类!B:F,5,0)</f>
        <v>服装费</v>
      </c>
    </row>
    <row r="197" hidden="1" spans="1:16">
      <c r="A197">
        <v>196</v>
      </c>
      <c r="B197">
        <v>4006189</v>
      </c>
      <c r="C197" t="s">
        <v>263</v>
      </c>
      <c r="D197">
        <v>7000</v>
      </c>
      <c r="E197">
        <v>2000</v>
      </c>
      <c r="F197" t="s">
        <v>260</v>
      </c>
      <c r="G197" t="s">
        <v>261</v>
      </c>
      <c r="H197" t="s">
        <v>260</v>
      </c>
      <c r="I197" s="73">
        <f t="shared" si="9"/>
        <v>5000</v>
      </c>
      <c r="J197" s="114">
        <f>VLOOKUP(B197,本月系统单价mb5b!$B:$P,15,0)</f>
        <v>0.0305</v>
      </c>
      <c r="K197" s="114">
        <f t="shared" si="10"/>
        <v>152.5</v>
      </c>
      <c r="L197" s="114">
        <f>IFERROR(VLOOKUP(B197,上月数量需更新!A:C,3,0),0)</f>
        <v>122</v>
      </c>
      <c r="M197" s="121">
        <f t="shared" si="11"/>
        <v>30.5</v>
      </c>
      <c r="P197" t="str">
        <f>VLOOKUP(B197,物料分类!B:F,5,0)</f>
        <v>服装费</v>
      </c>
    </row>
    <row r="198" hidden="1" spans="1:16">
      <c r="A198">
        <v>2</v>
      </c>
      <c r="B198">
        <v>4530323</v>
      </c>
      <c r="C198" t="s">
        <v>264</v>
      </c>
      <c r="D198">
        <v>90</v>
      </c>
      <c r="E198">
        <v>30</v>
      </c>
      <c r="F198" t="s">
        <v>20</v>
      </c>
      <c r="G198" t="s">
        <v>21</v>
      </c>
      <c r="H198" t="s">
        <v>20</v>
      </c>
      <c r="I198" s="73">
        <f t="shared" si="9"/>
        <v>60</v>
      </c>
      <c r="J198" s="114">
        <f>VLOOKUP(B198,本月系统单价mb5b!$B:$P,15,0)</f>
        <v>0.89</v>
      </c>
      <c r="K198" s="114">
        <f t="shared" si="10"/>
        <v>53.4</v>
      </c>
      <c r="L198" s="114">
        <f>IFERROR(VLOOKUP(B198,上月数量需更新!A:C,3,0),0)</f>
        <v>8.9</v>
      </c>
      <c r="M198" s="121">
        <f t="shared" si="11"/>
        <v>44.5</v>
      </c>
      <c r="P198" t="str">
        <f>VLOOKUP(B198,物料分类!B:F,5,0)</f>
        <v>物料消耗</v>
      </c>
    </row>
    <row r="199" hidden="1" spans="1:16">
      <c r="A199">
        <v>198</v>
      </c>
      <c r="B199">
        <v>1501618</v>
      </c>
      <c r="C199" t="s">
        <v>265</v>
      </c>
      <c r="D199">
        <v>215</v>
      </c>
      <c r="E199">
        <v>30</v>
      </c>
      <c r="F199" t="s">
        <v>44</v>
      </c>
      <c r="G199" t="s">
        <v>45</v>
      </c>
      <c r="H199" t="s">
        <v>46</v>
      </c>
      <c r="I199" s="73">
        <f t="shared" si="9"/>
        <v>185</v>
      </c>
      <c r="J199" s="114">
        <f>VLOOKUP(B199,本月系统单价mb5b!$B:$P,15,0)</f>
        <v>3.85</v>
      </c>
      <c r="K199" s="114">
        <f t="shared" si="10"/>
        <v>712.25</v>
      </c>
      <c r="L199" s="114">
        <f>IFERROR(VLOOKUP(B199,上月数量需更新!A:C,3,0),0)</f>
        <v>777.69</v>
      </c>
      <c r="M199" s="121">
        <f t="shared" si="11"/>
        <v>-65.4400000000001</v>
      </c>
      <c r="P199" t="str">
        <f>VLOOKUP(B199,物料分类!B:F,5,0)</f>
        <v>成本-锅底类</v>
      </c>
    </row>
    <row r="200" hidden="1" spans="1:16">
      <c r="A200">
        <v>199</v>
      </c>
      <c r="B200">
        <v>1500775</v>
      </c>
      <c r="C200" t="s">
        <v>266</v>
      </c>
      <c r="D200">
        <v>111.14</v>
      </c>
      <c r="E200">
        <v>0</v>
      </c>
      <c r="F200" t="s">
        <v>36</v>
      </c>
      <c r="G200" t="s">
        <v>37</v>
      </c>
      <c r="H200" t="s">
        <v>38</v>
      </c>
      <c r="I200" s="73">
        <f t="shared" si="9"/>
        <v>111.14</v>
      </c>
      <c r="J200" s="114">
        <f>VLOOKUP(B200,本月系统单价mb5b!$B:$P,15,0)</f>
        <v>1.33615260032392</v>
      </c>
      <c r="K200" s="114">
        <f t="shared" si="10"/>
        <v>148.5</v>
      </c>
      <c r="L200" s="114">
        <f>IFERROR(VLOOKUP(B200,上月数量需更新!A:C,3,0),0)</f>
        <v>501.07</v>
      </c>
      <c r="M200" s="121">
        <f t="shared" si="11"/>
        <v>-352.57</v>
      </c>
      <c r="P200" t="str">
        <f>VLOOKUP(B200,物料分类!B:F,5,0)</f>
        <v>成本-小料台类</v>
      </c>
    </row>
    <row r="201" hidden="1" spans="1:16">
      <c r="A201">
        <v>200</v>
      </c>
      <c r="B201">
        <v>1501646</v>
      </c>
      <c r="C201" t="s">
        <v>267</v>
      </c>
      <c r="D201">
        <v>87</v>
      </c>
      <c r="E201">
        <v>6</v>
      </c>
      <c r="F201" t="s">
        <v>32</v>
      </c>
      <c r="G201" t="s">
        <v>33</v>
      </c>
      <c r="H201" t="s">
        <v>32</v>
      </c>
      <c r="I201" s="73">
        <f t="shared" si="9"/>
        <v>81</v>
      </c>
      <c r="J201" s="114">
        <f>VLOOKUP(B201,本月系统单价mb5b!$B:$P,15,0)</f>
        <v>19</v>
      </c>
      <c r="K201" s="114">
        <f t="shared" si="10"/>
        <v>1539</v>
      </c>
      <c r="L201" s="114">
        <f>IFERROR(VLOOKUP(B201,上月数量需更新!A:C,3,0),0)</f>
        <v>1596</v>
      </c>
      <c r="M201" s="121">
        <f t="shared" si="11"/>
        <v>-57</v>
      </c>
      <c r="P201" t="str">
        <f>VLOOKUP(B201,物料分类!B:F,5,0)</f>
        <v>成本-锅底类</v>
      </c>
    </row>
    <row r="202" hidden="1" spans="1:16">
      <c r="A202">
        <v>422</v>
      </c>
      <c r="B202">
        <v>1501007</v>
      </c>
      <c r="C202" t="s">
        <v>268</v>
      </c>
      <c r="D202">
        <v>7500</v>
      </c>
      <c r="E202">
        <v>2500</v>
      </c>
      <c r="F202" t="s">
        <v>20</v>
      </c>
      <c r="G202" t="s">
        <v>21</v>
      </c>
      <c r="H202" t="s">
        <v>20</v>
      </c>
      <c r="I202" s="73">
        <f t="shared" si="9"/>
        <v>5000</v>
      </c>
      <c r="J202" s="114">
        <f>VLOOKUP(B202,本月系统单价mb5b!$B:$P,15,0)</f>
        <v>0.01</v>
      </c>
      <c r="K202" s="114">
        <f t="shared" si="10"/>
        <v>50</v>
      </c>
      <c r="L202" s="114">
        <f>IFERROR(VLOOKUP(B202,上月数量需更新!A:C,3,0),0)</f>
        <v>0</v>
      </c>
      <c r="M202" s="121">
        <f t="shared" si="11"/>
        <v>50</v>
      </c>
      <c r="P202" t="str">
        <f>VLOOKUP(B202,物料分类!B:F,5,0)</f>
        <v>物料消耗</v>
      </c>
    </row>
    <row r="203" hidden="1" spans="1:16">
      <c r="A203">
        <v>202</v>
      </c>
      <c r="B203">
        <v>4530016</v>
      </c>
      <c r="C203" t="s">
        <v>269</v>
      </c>
      <c r="D203">
        <v>230</v>
      </c>
      <c r="E203">
        <v>60</v>
      </c>
      <c r="F203" t="s">
        <v>20</v>
      </c>
      <c r="G203" t="s">
        <v>21</v>
      </c>
      <c r="H203" t="s">
        <v>20</v>
      </c>
      <c r="I203" s="73">
        <f t="shared" si="9"/>
        <v>170</v>
      </c>
      <c r="J203" s="114">
        <f>VLOOKUP(B203,本月系统单价mb5b!$B:$P,15,0)</f>
        <v>0.639913043478261</v>
      </c>
      <c r="K203" s="114">
        <f t="shared" si="10"/>
        <v>108.785217391304</v>
      </c>
      <c r="L203" s="114">
        <f>IFERROR(VLOOKUP(B203,上月数量需更新!A:C,3,0),0)</f>
        <v>83.19</v>
      </c>
      <c r="M203" s="121">
        <f t="shared" si="11"/>
        <v>25.5952173913044</v>
      </c>
      <c r="P203" t="str">
        <f>VLOOKUP(B203,物料分类!B:F,5,0)</f>
        <v>成本-小吃类</v>
      </c>
    </row>
    <row r="204" hidden="1" spans="1:16">
      <c r="A204">
        <v>203</v>
      </c>
      <c r="B204">
        <v>4512434</v>
      </c>
      <c r="C204" t="s">
        <v>270</v>
      </c>
      <c r="D204">
        <v>1</v>
      </c>
      <c r="E204">
        <v>1</v>
      </c>
      <c r="F204" t="s">
        <v>32</v>
      </c>
      <c r="G204" t="s">
        <v>33</v>
      </c>
      <c r="H204" t="s">
        <v>32</v>
      </c>
      <c r="I204" s="73">
        <f t="shared" si="9"/>
        <v>0</v>
      </c>
      <c r="J204" s="114">
        <f>VLOOKUP(B204,本月系统单价mb5b!$B:$P,15,0)</f>
        <v>5.96</v>
      </c>
      <c r="K204" s="114">
        <f t="shared" si="10"/>
        <v>0</v>
      </c>
      <c r="L204" s="114">
        <f>IFERROR(VLOOKUP(B204,上月数量需更新!A:C,3,0),0)</f>
        <v>0</v>
      </c>
      <c r="M204" s="121">
        <f t="shared" si="11"/>
        <v>0</v>
      </c>
      <c r="P204" t="str">
        <f>VLOOKUP(B204,物料分类!B:F,5,0)</f>
        <v>成本-小料台类</v>
      </c>
    </row>
    <row r="205" hidden="1" spans="1:16">
      <c r="A205">
        <v>204</v>
      </c>
      <c r="B205">
        <v>8014498</v>
      </c>
      <c r="C205" t="s">
        <v>271</v>
      </c>
      <c r="D205">
        <v>1000</v>
      </c>
      <c r="E205">
        <v>650</v>
      </c>
      <c r="F205" t="s">
        <v>20</v>
      </c>
      <c r="G205" t="s">
        <v>21</v>
      </c>
      <c r="H205" t="s">
        <v>20</v>
      </c>
      <c r="I205" s="73">
        <f t="shared" si="9"/>
        <v>350</v>
      </c>
      <c r="J205" s="114">
        <f>VLOOKUP(B205,本月系统单价mb5b!$B:$P,15,0)</f>
        <v>0.80881</v>
      </c>
      <c r="K205" s="114">
        <f t="shared" si="10"/>
        <v>283.0835</v>
      </c>
      <c r="L205" s="114">
        <f>IFERROR(VLOOKUP(B205,上月数量需更新!A:C,3,0),0)</f>
        <v>0</v>
      </c>
      <c r="M205" s="121">
        <f t="shared" si="11"/>
        <v>283.0835</v>
      </c>
      <c r="P205" t="str">
        <f>VLOOKUP(B205,物料分类!B:F,5,0)</f>
        <v>服务费</v>
      </c>
    </row>
    <row r="206" hidden="1" spans="1:16">
      <c r="A206">
        <v>205</v>
      </c>
      <c r="B206">
        <v>8009670</v>
      </c>
      <c r="C206" t="s">
        <v>272</v>
      </c>
      <c r="D206">
        <v>20</v>
      </c>
      <c r="E206">
        <v>20</v>
      </c>
      <c r="F206" t="s">
        <v>101</v>
      </c>
      <c r="G206" t="s">
        <v>102</v>
      </c>
      <c r="H206" t="s">
        <v>101</v>
      </c>
      <c r="I206" s="73">
        <f t="shared" si="9"/>
        <v>0</v>
      </c>
      <c r="J206" s="114">
        <f>VLOOKUP(B206,本月系统单价mb5b!$B:$P,15,0)</f>
        <v>7.7345</v>
      </c>
      <c r="K206" s="114">
        <f t="shared" si="10"/>
        <v>0</v>
      </c>
      <c r="L206" s="114">
        <f>IFERROR(VLOOKUP(B206,上月数量需更新!A:C,3,0),0)</f>
        <v>0</v>
      </c>
      <c r="M206" s="121">
        <f t="shared" si="11"/>
        <v>0</v>
      </c>
      <c r="P206" t="str">
        <f>VLOOKUP(B206,物料分类!B:F,5,0)</f>
        <v>服装费</v>
      </c>
    </row>
    <row r="207" hidden="1" spans="1:16">
      <c r="A207">
        <v>206</v>
      </c>
      <c r="B207">
        <v>8009669</v>
      </c>
      <c r="C207" t="s">
        <v>273</v>
      </c>
      <c r="D207">
        <v>20</v>
      </c>
      <c r="E207">
        <v>20</v>
      </c>
      <c r="F207" t="s">
        <v>101</v>
      </c>
      <c r="G207" t="s">
        <v>102</v>
      </c>
      <c r="H207" t="s">
        <v>101</v>
      </c>
      <c r="I207" s="73">
        <f t="shared" si="9"/>
        <v>0</v>
      </c>
      <c r="J207" s="114">
        <f>VLOOKUP(B207,本月系统单价mb5b!$B:$P,15,0)</f>
        <v>7.7345</v>
      </c>
      <c r="K207" s="114">
        <f t="shared" si="10"/>
        <v>0</v>
      </c>
      <c r="L207" s="114">
        <f>IFERROR(VLOOKUP(B207,上月数量需更新!A:C,3,0),0)</f>
        <v>0</v>
      </c>
      <c r="M207" s="121">
        <f t="shared" si="11"/>
        <v>0</v>
      </c>
      <c r="P207" t="str">
        <f>VLOOKUP(B207,物料分类!B:F,5,0)</f>
        <v>服装费</v>
      </c>
    </row>
    <row r="208" hidden="1" spans="1:16">
      <c r="A208">
        <v>207</v>
      </c>
      <c r="B208">
        <v>8009668</v>
      </c>
      <c r="C208" t="s">
        <v>274</v>
      </c>
      <c r="D208">
        <v>15</v>
      </c>
      <c r="E208">
        <v>15</v>
      </c>
      <c r="F208" t="s">
        <v>101</v>
      </c>
      <c r="G208" t="s">
        <v>102</v>
      </c>
      <c r="H208" t="s">
        <v>101</v>
      </c>
      <c r="I208" s="73">
        <f t="shared" si="9"/>
        <v>0</v>
      </c>
      <c r="J208" s="114">
        <f>VLOOKUP(B208,本月系统单价mb5b!$B:$P,15,0)</f>
        <v>7.54866666666667</v>
      </c>
      <c r="K208" s="114">
        <f t="shared" si="10"/>
        <v>0</v>
      </c>
      <c r="L208" s="114">
        <f>IFERROR(VLOOKUP(B208,上月数量需更新!A:C,3,0),0)</f>
        <v>35.88</v>
      </c>
      <c r="M208" s="121">
        <f t="shared" si="11"/>
        <v>-35.88</v>
      </c>
      <c r="P208" t="str">
        <f>VLOOKUP(B208,物料分类!B:F,5,0)</f>
        <v>服装费</v>
      </c>
    </row>
    <row r="209" hidden="1" spans="1:16">
      <c r="A209">
        <v>208</v>
      </c>
      <c r="B209">
        <v>8009667</v>
      </c>
      <c r="C209" t="s">
        <v>275</v>
      </c>
      <c r="D209">
        <v>20</v>
      </c>
      <c r="E209">
        <v>20</v>
      </c>
      <c r="F209" t="s">
        <v>101</v>
      </c>
      <c r="G209" t="s">
        <v>102</v>
      </c>
      <c r="H209" t="s">
        <v>101</v>
      </c>
      <c r="I209" s="73">
        <f t="shared" si="9"/>
        <v>0</v>
      </c>
      <c r="J209" s="114">
        <f>VLOOKUP(B209,本月系统单价mb5b!$B:$P,15,0)</f>
        <v>7.7345</v>
      </c>
      <c r="K209" s="114">
        <f t="shared" si="10"/>
        <v>0</v>
      </c>
      <c r="L209" s="114">
        <f>IFERROR(VLOOKUP(B209,上月数量需更新!A:C,3,0),0)</f>
        <v>35.89</v>
      </c>
      <c r="M209" s="121">
        <f t="shared" si="11"/>
        <v>-35.89</v>
      </c>
      <c r="P209" t="str">
        <f>VLOOKUP(B209,物料分类!B:F,5,0)</f>
        <v>服装费</v>
      </c>
    </row>
    <row r="210" hidden="1" spans="1:16">
      <c r="A210">
        <v>209</v>
      </c>
      <c r="B210">
        <v>8009818</v>
      </c>
      <c r="C210" t="s">
        <v>276</v>
      </c>
      <c r="D210">
        <v>30</v>
      </c>
      <c r="E210">
        <v>30</v>
      </c>
      <c r="F210" t="s">
        <v>101</v>
      </c>
      <c r="G210" t="s">
        <v>102</v>
      </c>
      <c r="H210" t="s">
        <v>101</v>
      </c>
      <c r="I210" s="73">
        <f t="shared" si="9"/>
        <v>0</v>
      </c>
      <c r="J210" s="114">
        <f>VLOOKUP(B210,本月系统单价mb5b!$B:$P,15,0)</f>
        <v>7.92033333333333</v>
      </c>
      <c r="K210" s="114">
        <f t="shared" si="10"/>
        <v>0</v>
      </c>
      <c r="L210" s="114">
        <f>IFERROR(VLOOKUP(B210,上月数量需更新!A:C,3,0),0)</f>
        <v>0</v>
      </c>
      <c r="M210" s="121">
        <f t="shared" si="11"/>
        <v>0</v>
      </c>
      <c r="P210" t="str">
        <f>VLOOKUP(B210,物料分类!B:F,5,0)</f>
        <v>服装费</v>
      </c>
    </row>
    <row r="211" hidden="1" spans="1:16">
      <c r="A211">
        <v>210</v>
      </c>
      <c r="B211">
        <v>8009754</v>
      </c>
      <c r="C211" t="s">
        <v>277</v>
      </c>
      <c r="D211">
        <v>50</v>
      </c>
      <c r="E211">
        <v>50</v>
      </c>
      <c r="F211" t="s">
        <v>101</v>
      </c>
      <c r="G211" t="s">
        <v>102</v>
      </c>
      <c r="H211" t="s">
        <v>101</v>
      </c>
      <c r="I211" s="73">
        <f t="shared" si="9"/>
        <v>0</v>
      </c>
      <c r="J211" s="114">
        <f>VLOOKUP(B211,本月系统单价mb5b!$B:$P,15,0)</f>
        <v>8.292</v>
      </c>
      <c r="K211" s="114">
        <f t="shared" si="10"/>
        <v>0</v>
      </c>
      <c r="L211" s="114">
        <f>IFERROR(VLOOKUP(B211,上月数量需更新!A:C,3,0),0)</f>
        <v>35.88</v>
      </c>
      <c r="M211" s="121">
        <f t="shared" si="11"/>
        <v>-35.88</v>
      </c>
      <c r="P211" t="str">
        <f>VLOOKUP(B211,物料分类!B:F,5,0)</f>
        <v>服装费</v>
      </c>
    </row>
    <row r="212" hidden="1" spans="1:16">
      <c r="A212">
        <v>211</v>
      </c>
      <c r="B212">
        <v>8009817</v>
      </c>
      <c r="C212" t="s">
        <v>278</v>
      </c>
      <c r="D212">
        <v>50</v>
      </c>
      <c r="E212">
        <v>50</v>
      </c>
      <c r="F212" t="s">
        <v>101</v>
      </c>
      <c r="G212" t="s">
        <v>102</v>
      </c>
      <c r="H212" t="s">
        <v>101</v>
      </c>
      <c r="I212" s="73">
        <f t="shared" si="9"/>
        <v>0</v>
      </c>
      <c r="J212" s="114">
        <f>VLOOKUP(B212,本月系统单价mb5b!$B:$P,15,0)</f>
        <v>8.292</v>
      </c>
      <c r="K212" s="114">
        <f t="shared" si="10"/>
        <v>0</v>
      </c>
      <c r="L212" s="114">
        <f>IFERROR(VLOOKUP(B212,上月数量需更新!A:C,3,0),0)</f>
        <v>0</v>
      </c>
      <c r="M212" s="121">
        <f t="shared" si="11"/>
        <v>0</v>
      </c>
      <c r="P212" t="str">
        <f>VLOOKUP(B212,物料分类!B:F,5,0)</f>
        <v>服装费</v>
      </c>
    </row>
    <row r="213" hidden="1" spans="1:16">
      <c r="A213">
        <v>212</v>
      </c>
      <c r="B213">
        <v>8008962</v>
      </c>
      <c r="C213" t="s">
        <v>279</v>
      </c>
      <c r="D213">
        <v>20</v>
      </c>
      <c r="E213">
        <v>20</v>
      </c>
      <c r="F213" t="s">
        <v>101</v>
      </c>
      <c r="G213" t="s">
        <v>102</v>
      </c>
      <c r="H213" t="s">
        <v>101</v>
      </c>
      <c r="I213" s="73">
        <f t="shared" si="9"/>
        <v>0</v>
      </c>
      <c r="J213" s="114">
        <f>VLOOKUP(B213,本月系统单价mb5b!$B:$P,15,0)</f>
        <v>7.0435</v>
      </c>
      <c r="K213" s="114">
        <f t="shared" si="10"/>
        <v>0</v>
      </c>
      <c r="L213" s="114">
        <f>IFERROR(VLOOKUP(B213,上月数量需更新!A:C,3,0),0)</f>
        <v>35.88</v>
      </c>
      <c r="M213" s="121">
        <f t="shared" si="11"/>
        <v>-35.88</v>
      </c>
      <c r="P213" t="str">
        <f>VLOOKUP(B213,物料分类!B:F,5,0)</f>
        <v>服装费</v>
      </c>
    </row>
    <row r="214" hidden="1" spans="1:16">
      <c r="A214">
        <v>213</v>
      </c>
      <c r="B214">
        <v>8008963</v>
      </c>
      <c r="C214" t="s">
        <v>280</v>
      </c>
      <c r="D214">
        <v>20</v>
      </c>
      <c r="E214">
        <v>20</v>
      </c>
      <c r="F214" t="s">
        <v>101</v>
      </c>
      <c r="G214" t="s">
        <v>102</v>
      </c>
      <c r="H214" t="s">
        <v>101</v>
      </c>
      <c r="I214" s="73">
        <f t="shared" si="9"/>
        <v>0</v>
      </c>
      <c r="J214" s="114">
        <f>VLOOKUP(B214,本月系统单价mb5b!$B:$P,15,0)</f>
        <v>7.0435</v>
      </c>
      <c r="K214" s="114">
        <f t="shared" si="10"/>
        <v>0</v>
      </c>
      <c r="L214" s="114">
        <f>IFERROR(VLOOKUP(B214,上月数量需更新!A:C,3,0),0)</f>
        <v>35.88</v>
      </c>
      <c r="M214" s="121">
        <f t="shared" si="11"/>
        <v>-35.88</v>
      </c>
      <c r="P214" t="str">
        <f>VLOOKUP(B214,物料分类!B:F,5,0)</f>
        <v>服装费</v>
      </c>
    </row>
    <row r="215" hidden="1" spans="1:16">
      <c r="A215">
        <v>214</v>
      </c>
      <c r="B215">
        <v>8008964</v>
      </c>
      <c r="C215" t="s">
        <v>281</v>
      </c>
      <c r="D215">
        <v>10</v>
      </c>
      <c r="E215">
        <v>10</v>
      </c>
      <c r="F215" t="s">
        <v>101</v>
      </c>
      <c r="G215" t="s">
        <v>102</v>
      </c>
      <c r="H215" t="s">
        <v>101</v>
      </c>
      <c r="I215" s="73">
        <f t="shared" si="9"/>
        <v>0</v>
      </c>
      <c r="J215" s="114">
        <f>VLOOKUP(B215,本月系统单价mb5b!$B:$P,15,0)</f>
        <v>6.91</v>
      </c>
      <c r="K215" s="114">
        <f t="shared" si="10"/>
        <v>0</v>
      </c>
      <c r="L215" s="114">
        <f>IFERROR(VLOOKUP(B215,上月数量需更新!A:C,3,0),0)</f>
        <v>0</v>
      </c>
      <c r="M215" s="121">
        <f t="shared" si="11"/>
        <v>0</v>
      </c>
      <c r="P215" t="str">
        <f>VLOOKUP(B215,物料分类!B:F,5,0)</f>
        <v>服装费</v>
      </c>
    </row>
    <row r="216" hidden="1" spans="1:16">
      <c r="A216">
        <v>215</v>
      </c>
      <c r="B216">
        <v>8008965</v>
      </c>
      <c r="C216" t="s">
        <v>282</v>
      </c>
      <c r="D216">
        <v>40</v>
      </c>
      <c r="E216">
        <v>40</v>
      </c>
      <c r="F216" t="s">
        <v>101</v>
      </c>
      <c r="G216" t="s">
        <v>102</v>
      </c>
      <c r="H216" t="s">
        <v>101</v>
      </c>
      <c r="I216" s="73">
        <f t="shared" si="9"/>
        <v>0</v>
      </c>
      <c r="J216" s="114">
        <f>VLOOKUP(B216,本月系统单价mb5b!$B:$P,15,0)</f>
        <v>6.97675</v>
      </c>
      <c r="K216" s="114">
        <f t="shared" si="10"/>
        <v>0</v>
      </c>
      <c r="L216" s="114">
        <f>IFERROR(VLOOKUP(B216,上月数量需更新!A:C,3,0),0)</f>
        <v>35.88</v>
      </c>
      <c r="M216" s="121">
        <f t="shared" si="11"/>
        <v>-35.88</v>
      </c>
      <c r="P216" t="str">
        <f>VLOOKUP(B216,物料分类!B:F,5,0)</f>
        <v>服装费</v>
      </c>
    </row>
    <row r="217" hidden="1" spans="1:16">
      <c r="A217">
        <v>216</v>
      </c>
      <c r="B217">
        <v>8008966</v>
      </c>
      <c r="C217" t="s">
        <v>283</v>
      </c>
      <c r="D217">
        <v>50</v>
      </c>
      <c r="E217">
        <v>50</v>
      </c>
      <c r="F217" t="s">
        <v>101</v>
      </c>
      <c r="G217" t="s">
        <v>102</v>
      </c>
      <c r="H217" t="s">
        <v>101</v>
      </c>
      <c r="I217" s="73">
        <f t="shared" si="9"/>
        <v>0</v>
      </c>
      <c r="J217" s="114">
        <f>VLOOKUP(B217,本月系统单价mb5b!$B:$P,15,0)</f>
        <v>6.9634</v>
      </c>
      <c r="K217" s="114">
        <f t="shared" si="10"/>
        <v>0</v>
      </c>
      <c r="L217" s="114">
        <f>IFERROR(VLOOKUP(B217,上月数量需更新!A:C,3,0),0)</f>
        <v>71.77</v>
      </c>
      <c r="M217" s="121">
        <f t="shared" si="11"/>
        <v>-71.77</v>
      </c>
      <c r="P217" t="str">
        <f>VLOOKUP(B217,物料分类!B:F,5,0)</f>
        <v>服装费</v>
      </c>
    </row>
    <row r="218" hidden="1" spans="1:16">
      <c r="A218">
        <v>217</v>
      </c>
      <c r="B218">
        <v>8008967</v>
      </c>
      <c r="C218" t="s">
        <v>284</v>
      </c>
      <c r="D218">
        <v>60</v>
      </c>
      <c r="E218">
        <v>60</v>
      </c>
      <c r="F218" t="s">
        <v>101</v>
      </c>
      <c r="G218" t="s">
        <v>102</v>
      </c>
      <c r="H218" t="s">
        <v>101</v>
      </c>
      <c r="I218" s="73">
        <f t="shared" si="9"/>
        <v>0</v>
      </c>
      <c r="J218" s="114">
        <f>VLOOKUP(B218,本月系统单价mb5b!$B:$P,15,0)</f>
        <v>6.9545</v>
      </c>
      <c r="K218" s="114">
        <f t="shared" si="10"/>
        <v>0</v>
      </c>
      <c r="L218" s="114">
        <f>IFERROR(VLOOKUP(B218,上月数量需更新!A:C,3,0),0)</f>
        <v>107.65</v>
      </c>
      <c r="M218" s="121">
        <f t="shared" si="11"/>
        <v>-107.65</v>
      </c>
      <c r="P218" t="str">
        <f>VLOOKUP(B218,物料分类!B:F,5,0)</f>
        <v>服装费</v>
      </c>
    </row>
    <row r="219" hidden="1" spans="1:16">
      <c r="A219">
        <v>218</v>
      </c>
      <c r="B219">
        <v>8008968</v>
      </c>
      <c r="C219" t="s">
        <v>285</v>
      </c>
      <c r="D219">
        <v>60</v>
      </c>
      <c r="E219">
        <v>60</v>
      </c>
      <c r="F219" t="s">
        <v>101</v>
      </c>
      <c r="G219" t="s">
        <v>102</v>
      </c>
      <c r="H219" t="s">
        <v>101</v>
      </c>
      <c r="I219" s="73">
        <f t="shared" si="9"/>
        <v>0</v>
      </c>
      <c r="J219" s="114">
        <f>VLOOKUP(B219,本月系统单价mb5b!$B:$P,15,0)</f>
        <v>6.9545</v>
      </c>
      <c r="K219" s="114">
        <f t="shared" si="10"/>
        <v>0</v>
      </c>
      <c r="L219" s="114">
        <f>IFERROR(VLOOKUP(B219,上月数量需更新!A:C,3,0),0)</f>
        <v>107.65</v>
      </c>
      <c r="M219" s="121">
        <f t="shared" si="11"/>
        <v>-107.65</v>
      </c>
      <c r="P219" t="str">
        <f>VLOOKUP(B219,物料分类!B:F,5,0)</f>
        <v>服装费</v>
      </c>
    </row>
    <row r="220" hidden="1" spans="1:16">
      <c r="A220">
        <v>219</v>
      </c>
      <c r="B220">
        <v>4526647</v>
      </c>
      <c r="C220" t="s">
        <v>286</v>
      </c>
      <c r="D220">
        <v>4</v>
      </c>
      <c r="E220">
        <v>2</v>
      </c>
      <c r="F220" t="s">
        <v>32</v>
      </c>
      <c r="G220" t="s">
        <v>33</v>
      </c>
      <c r="H220" t="s">
        <v>32</v>
      </c>
      <c r="I220" s="73">
        <f t="shared" si="9"/>
        <v>2</v>
      </c>
      <c r="J220" s="114">
        <f>VLOOKUP(B220,本月系统单价mb5b!$B:$P,15,0)</f>
        <v>27.95</v>
      </c>
      <c r="K220" s="114">
        <f t="shared" si="10"/>
        <v>55.9</v>
      </c>
      <c r="L220" s="114">
        <f>IFERROR(VLOOKUP(B220,上月数量需更新!A:C,3,0),0)</f>
        <v>24.77</v>
      </c>
      <c r="M220" s="121">
        <f t="shared" si="11"/>
        <v>31.13</v>
      </c>
      <c r="P220" t="str">
        <f>VLOOKUP(B220,物料分类!B:F,5,0)</f>
        <v>成本-酒水类</v>
      </c>
    </row>
    <row r="221" hidden="1" spans="1:16">
      <c r="A221">
        <v>220</v>
      </c>
      <c r="B221">
        <v>4527764</v>
      </c>
      <c r="C221" t="s">
        <v>287</v>
      </c>
      <c r="D221">
        <v>1.3</v>
      </c>
      <c r="E221">
        <v>0.3</v>
      </c>
      <c r="F221" t="s">
        <v>32</v>
      </c>
      <c r="G221" t="s">
        <v>33</v>
      </c>
      <c r="H221" t="s">
        <v>32</v>
      </c>
      <c r="I221" s="73">
        <f t="shared" si="9"/>
        <v>1</v>
      </c>
      <c r="J221" s="114">
        <f>VLOOKUP(B221,本月系统单价mb5b!$B:$P,15,0)</f>
        <v>18.9692307692308</v>
      </c>
      <c r="K221" s="114">
        <f t="shared" si="10"/>
        <v>18.9692307692308</v>
      </c>
      <c r="L221" s="114">
        <f>IFERROR(VLOOKUP(B221,上月数量需更新!A:C,3,0),0)</f>
        <v>22.76</v>
      </c>
      <c r="M221" s="121">
        <f t="shared" si="11"/>
        <v>-3.79076923076923</v>
      </c>
      <c r="P221" t="str">
        <f>VLOOKUP(B221,物料分类!B:F,5,0)</f>
        <v>成本-酒水类</v>
      </c>
    </row>
    <row r="222" hidden="1" spans="1:16">
      <c r="A222">
        <v>221</v>
      </c>
      <c r="B222">
        <v>1500774</v>
      </c>
      <c r="C222" t="s">
        <v>288</v>
      </c>
      <c r="D222">
        <v>250.899</v>
      </c>
      <c r="E222">
        <v>22</v>
      </c>
      <c r="F222" t="s">
        <v>36</v>
      </c>
      <c r="G222" t="s">
        <v>37</v>
      </c>
      <c r="H222" t="s">
        <v>38</v>
      </c>
      <c r="I222" s="73">
        <f t="shared" si="9"/>
        <v>228.899</v>
      </c>
      <c r="J222" s="114">
        <f>VLOOKUP(B222,本月系统单价mb5b!$B:$P,15,0)</f>
        <v>9.3296904332022</v>
      </c>
      <c r="K222" s="114">
        <f t="shared" si="10"/>
        <v>2135.55681046955</v>
      </c>
      <c r="L222" s="114">
        <f>IFERROR(VLOOKUP(B222,上月数量需更新!A:C,3,0),0)</f>
        <v>1422</v>
      </c>
      <c r="M222" s="121">
        <f t="shared" si="11"/>
        <v>713.556810469551</v>
      </c>
      <c r="P222" t="str">
        <f>VLOOKUP(B222,物料分类!B:F,5,0)</f>
        <v>成本-小料台类</v>
      </c>
    </row>
    <row r="223" hidden="1" spans="1:16">
      <c r="A223">
        <v>222</v>
      </c>
      <c r="B223">
        <v>1500826</v>
      </c>
      <c r="C223" t="s">
        <v>289</v>
      </c>
      <c r="D223">
        <v>15</v>
      </c>
      <c r="E223">
        <v>5</v>
      </c>
      <c r="F223" t="s">
        <v>36</v>
      </c>
      <c r="G223" t="s">
        <v>37</v>
      </c>
      <c r="H223" t="s">
        <v>38</v>
      </c>
      <c r="I223" s="73">
        <f t="shared" si="9"/>
        <v>10</v>
      </c>
      <c r="J223" s="114">
        <f>VLOOKUP(B223,本月系统单价mb5b!$B:$P,15,0)</f>
        <v>10.7513333333333</v>
      </c>
      <c r="K223" s="114">
        <f t="shared" si="10"/>
        <v>107.513333333333</v>
      </c>
      <c r="L223" s="114">
        <f>IFERROR(VLOOKUP(B223,上月数量需更新!A:C,3,0),0)</f>
        <v>150.55</v>
      </c>
      <c r="M223" s="121">
        <f t="shared" si="11"/>
        <v>-43.0366666666667</v>
      </c>
      <c r="P223" t="str">
        <f>VLOOKUP(B223,物料分类!B:F,5,0)</f>
        <v>成本-素菜类</v>
      </c>
    </row>
    <row r="224" hidden="1" spans="1:16">
      <c r="A224">
        <v>259</v>
      </c>
      <c r="B224">
        <v>1500925</v>
      </c>
      <c r="C224" t="s">
        <v>290</v>
      </c>
      <c r="D224">
        <v>20</v>
      </c>
      <c r="E224">
        <v>0</v>
      </c>
      <c r="F224" t="s">
        <v>73</v>
      </c>
      <c r="G224" t="s">
        <v>74</v>
      </c>
      <c r="H224" t="s">
        <v>73</v>
      </c>
      <c r="I224" s="73">
        <f t="shared" si="9"/>
        <v>20</v>
      </c>
      <c r="J224" s="114">
        <f>VLOOKUP(B224,本月系统单价mb5b!$B:$P,15,0)</f>
        <v>2.398</v>
      </c>
      <c r="K224" s="114">
        <f t="shared" si="10"/>
        <v>47.96</v>
      </c>
      <c r="L224" s="114">
        <f>IFERROR(VLOOKUP(B224,上月数量需更新!A:C,3,0),0)</f>
        <v>11.99</v>
      </c>
      <c r="M224" s="121">
        <f t="shared" si="11"/>
        <v>35.97</v>
      </c>
      <c r="P224" t="str">
        <f>VLOOKUP(B224,物料分类!B:F,5,0)</f>
        <v>物料消耗</v>
      </c>
    </row>
    <row r="225" hidden="1" spans="1:16">
      <c r="A225">
        <v>224</v>
      </c>
      <c r="B225">
        <v>1500752</v>
      </c>
      <c r="C225" t="s">
        <v>291</v>
      </c>
      <c r="D225">
        <v>308</v>
      </c>
      <c r="E225">
        <v>28</v>
      </c>
      <c r="F225" t="s">
        <v>29</v>
      </c>
      <c r="G225" t="s">
        <v>30</v>
      </c>
      <c r="H225" t="s">
        <v>29</v>
      </c>
      <c r="I225" s="73">
        <f t="shared" si="9"/>
        <v>280</v>
      </c>
      <c r="J225" s="114">
        <f>VLOOKUP(B225,本月系统单价mb5b!$B:$P,15,0)</f>
        <v>1.86766233766234</v>
      </c>
      <c r="K225" s="114">
        <f t="shared" si="10"/>
        <v>522.945454545455</v>
      </c>
      <c r="L225" s="114">
        <f>IFERROR(VLOOKUP(B225,上月数量需更新!A:C,3,0),0)</f>
        <v>701.76</v>
      </c>
      <c r="M225" s="121">
        <f t="shared" si="11"/>
        <v>-178.814545454545</v>
      </c>
      <c r="P225" t="str">
        <f>VLOOKUP(B225,物料分类!B:F,5,0)</f>
        <v>成本-素菜类</v>
      </c>
    </row>
    <row r="226" hidden="1" spans="1:16">
      <c r="A226">
        <v>225</v>
      </c>
      <c r="B226">
        <v>1500884</v>
      </c>
      <c r="C226" t="s">
        <v>292</v>
      </c>
      <c r="D226">
        <v>27</v>
      </c>
      <c r="E226">
        <v>10</v>
      </c>
      <c r="F226" t="s">
        <v>36</v>
      </c>
      <c r="G226" t="s">
        <v>37</v>
      </c>
      <c r="H226" t="s">
        <v>38</v>
      </c>
      <c r="I226" s="73">
        <f t="shared" si="9"/>
        <v>17</v>
      </c>
      <c r="J226" s="114">
        <f>VLOOKUP(B226,本月系统单价mb5b!$B:$P,15,0)</f>
        <v>5.49888888888889</v>
      </c>
      <c r="K226" s="114">
        <f t="shared" si="10"/>
        <v>93.4811111111111</v>
      </c>
      <c r="L226" s="114">
        <f>IFERROR(VLOOKUP(B226,上月数量需更新!A:C,3,0),0)</f>
        <v>71.47</v>
      </c>
      <c r="M226" s="121">
        <f t="shared" si="11"/>
        <v>22.0111111111111</v>
      </c>
      <c r="P226" t="str">
        <f>VLOOKUP(B226,物料分类!B:F,5,0)</f>
        <v>成本-荤菜类</v>
      </c>
    </row>
    <row r="227" hidden="1" spans="1:16">
      <c r="A227">
        <v>226</v>
      </c>
      <c r="B227">
        <v>1500529</v>
      </c>
      <c r="C227" t="s">
        <v>293</v>
      </c>
      <c r="D227">
        <v>200</v>
      </c>
      <c r="E227">
        <v>70</v>
      </c>
      <c r="F227" t="s">
        <v>73</v>
      </c>
      <c r="G227" t="s">
        <v>74</v>
      </c>
      <c r="H227" t="s">
        <v>73</v>
      </c>
      <c r="I227" s="73">
        <f t="shared" si="9"/>
        <v>130</v>
      </c>
      <c r="J227" s="114">
        <f>VLOOKUP(B227,本月系统单价mb5b!$B:$P,15,0)</f>
        <v>2.75</v>
      </c>
      <c r="K227" s="114">
        <f t="shared" si="10"/>
        <v>357.5</v>
      </c>
      <c r="L227" s="114">
        <f>IFERROR(VLOOKUP(B227,上月数量需更新!A:C,3,0),0)</f>
        <v>453.75</v>
      </c>
      <c r="M227" s="121">
        <f t="shared" si="11"/>
        <v>-96.25</v>
      </c>
      <c r="P227" t="str">
        <f>VLOOKUP(B227,物料分类!B:F,5,0)</f>
        <v>成本-酒水类</v>
      </c>
    </row>
    <row r="228" hidden="1" spans="1:16">
      <c r="A228">
        <v>227</v>
      </c>
      <c r="B228">
        <v>1500827</v>
      </c>
      <c r="C228" t="s">
        <v>294</v>
      </c>
      <c r="D228">
        <v>24</v>
      </c>
      <c r="E228">
        <v>6</v>
      </c>
      <c r="F228" t="s">
        <v>36</v>
      </c>
      <c r="G228" t="s">
        <v>37</v>
      </c>
      <c r="H228" t="s">
        <v>38</v>
      </c>
      <c r="I228" s="73">
        <f t="shared" si="9"/>
        <v>18</v>
      </c>
      <c r="J228" s="114">
        <f>VLOOKUP(B228,本月系统单价mb5b!$B:$P,15,0)</f>
        <v>6.5</v>
      </c>
      <c r="K228" s="114">
        <f t="shared" si="10"/>
        <v>117</v>
      </c>
      <c r="L228" s="114">
        <f>IFERROR(VLOOKUP(B228,上月数量需更新!A:C,3,0),0)</f>
        <v>97.5</v>
      </c>
      <c r="M228" s="121">
        <f t="shared" si="11"/>
        <v>19.5</v>
      </c>
      <c r="P228" t="str">
        <f>VLOOKUP(B228,物料分类!B:F,5,0)</f>
        <v>成本-锅底类</v>
      </c>
    </row>
    <row r="229" hidden="1" spans="1:16">
      <c r="A229">
        <v>228</v>
      </c>
      <c r="B229">
        <v>1501178</v>
      </c>
      <c r="C229" t="s">
        <v>295</v>
      </c>
      <c r="D229">
        <v>159</v>
      </c>
      <c r="E229">
        <v>24</v>
      </c>
      <c r="F229" t="s">
        <v>73</v>
      </c>
      <c r="G229" t="s">
        <v>74</v>
      </c>
      <c r="H229" t="s">
        <v>73</v>
      </c>
      <c r="I229" s="73">
        <f t="shared" si="9"/>
        <v>135</v>
      </c>
      <c r="J229" s="114">
        <f>VLOOKUP(B229,本月系统单价mb5b!$B:$P,15,0)</f>
        <v>7</v>
      </c>
      <c r="K229" s="114">
        <f t="shared" si="10"/>
        <v>945</v>
      </c>
      <c r="L229" s="114">
        <f>IFERROR(VLOOKUP(B229,上月数量需更新!A:C,3,0),0)</f>
        <v>783.97</v>
      </c>
      <c r="M229" s="121">
        <f t="shared" si="11"/>
        <v>161.03</v>
      </c>
      <c r="P229" t="str">
        <f>VLOOKUP(B229,物料分类!B:F,5,0)</f>
        <v>成本-酒水类</v>
      </c>
    </row>
    <row r="230" hidden="1" spans="1:16">
      <c r="A230">
        <v>229</v>
      </c>
      <c r="B230">
        <v>4527570</v>
      </c>
      <c r="C230" t="s">
        <v>296</v>
      </c>
      <c r="D230">
        <v>20</v>
      </c>
      <c r="E230">
        <v>20</v>
      </c>
      <c r="F230" t="s">
        <v>145</v>
      </c>
      <c r="G230" t="s">
        <v>146</v>
      </c>
      <c r="H230" t="s">
        <v>145</v>
      </c>
      <c r="I230" s="73">
        <f t="shared" si="9"/>
        <v>0</v>
      </c>
      <c r="J230" s="114">
        <f>VLOOKUP(B230,本月系统单价mb5b!$B:$P,15,0)</f>
        <v>10.917</v>
      </c>
      <c r="K230" s="114">
        <f t="shared" si="10"/>
        <v>0</v>
      </c>
      <c r="L230" s="114">
        <f>IFERROR(VLOOKUP(B230,上月数量需更新!A:C,3,0),0)</f>
        <v>0</v>
      </c>
      <c r="M230" s="121">
        <f t="shared" si="11"/>
        <v>0</v>
      </c>
      <c r="P230" t="str">
        <f>VLOOKUP(B230,物料分类!B:F,5,0)</f>
        <v>成本-酒水类</v>
      </c>
    </row>
    <row r="231" hidden="1" spans="1:16">
      <c r="A231">
        <v>230</v>
      </c>
      <c r="B231">
        <v>1500872</v>
      </c>
      <c r="C231" t="s">
        <v>297</v>
      </c>
      <c r="D231">
        <v>12</v>
      </c>
      <c r="E231">
        <v>9</v>
      </c>
      <c r="F231" t="s">
        <v>32</v>
      </c>
      <c r="G231" t="s">
        <v>33</v>
      </c>
      <c r="H231" t="s">
        <v>32</v>
      </c>
      <c r="I231" s="73">
        <f t="shared" si="9"/>
        <v>3</v>
      </c>
      <c r="J231" s="114">
        <f>VLOOKUP(B231,本月系统单价mb5b!$B:$P,15,0)</f>
        <v>3.49916666666667</v>
      </c>
      <c r="K231" s="114">
        <f t="shared" si="10"/>
        <v>10.4975</v>
      </c>
      <c r="L231" s="114">
        <f>IFERROR(VLOOKUP(B231,上月数量需更新!A:C,3,0),0)</f>
        <v>17.5</v>
      </c>
      <c r="M231" s="121">
        <f t="shared" si="11"/>
        <v>-7.0025</v>
      </c>
      <c r="P231" t="str">
        <f>VLOOKUP(B231,物料分类!B:F,5,0)</f>
        <v>成本-小料台类</v>
      </c>
    </row>
    <row r="232" hidden="1" spans="1:16">
      <c r="A232">
        <v>231</v>
      </c>
      <c r="B232">
        <v>4528554</v>
      </c>
      <c r="C232" t="s">
        <v>298</v>
      </c>
      <c r="D232">
        <v>339</v>
      </c>
      <c r="E232">
        <v>187</v>
      </c>
      <c r="F232" t="s">
        <v>92</v>
      </c>
      <c r="G232" t="s">
        <v>93</v>
      </c>
      <c r="H232" t="s">
        <v>92</v>
      </c>
      <c r="I232" s="73">
        <f t="shared" si="9"/>
        <v>152</v>
      </c>
      <c r="J232" s="114">
        <f>VLOOKUP(B232,本月系统单价mb5b!$B:$P,15,0)</f>
        <v>0.516548672566372</v>
      </c>
      <c r="K232" s="114">
        <f t="shared" si="10"/>
        <v>78.5153982300885</v>
      </c>
      <c r="L232" s="114">
        <f>IFERROR(VLOOKUP(B232,上月数量需更新!A:C,3,0),0)</f>
        <v>76.97</v>
      </c>
      <c r="M232" s="121">
        <f t="shared" si="11"/>
        <v>1.54539823008849</v>
      </c>
      <c r="P232" t="str">
        <f>VLOOKUP(B232,物料分类!B:F,5,0)</f>
        <v>成本-酒水类</v>
      </c>
    </row>
    <row r="233" hidden="1" spans="1:16">
      <c r="A233">
        <v>232</v>
      </c>
      <c r="B233">
        <v>1500778</v>
      </c>
      <c r="C233" t="s">
        <v>299</v>
      </c>
      <c r="D233">
        <v>8</v>
      </c>
      <c r="E233">
        <v>1</v>
      </c>
      <c r="F233" t="s">
        <v>176</v>
      </c>
      <c r="G233" t="s">
        <v>177</v>
      </c>
      <c r="H233" t="s">
        <v>176</v>
      </c>
      <c r="I233" s="73">
        <f t="shared" si="9"/>
        <v>7</v>
      </c>
      <c r="J233" s="114">
        <f>VLOOKUP(B233,本月系统单价mb5b!$B:$P,15,0)</f>
        <v>35.80875</v>
      </c>
      <c r="K233" s="114">
        <f t="shared" si="10"/>
        <v>250.66125</v>
      </c>
      <c r="L233" s="114">
        <f>IFERROR(VLOOKUP(B233,上月数量需更新!A:C,3,0),0)</f>
        <v>217.54</v>
      </c>
      <c r="M233" s="121">
        <f t="shared" si="11"/>
        <v>33.12125</v>
      </c>
      <c r="P233" t="str">
        <f>VLOOKUP(B233,物料分类!B:F,5,0)</f>
        <v>成本-小料台类</v>
      </c>
    </row>
    <row r="234" hidden="1" spans="1:16">
      <c r="A234">
        <v>233</v>
      </c>
      <c r="B234">
        <v>1500825</v>
      </c>
      <c r="C234" t="s">
        <v>300</v>
      </c>
      <c r="D234">
        <v>5</v>
      </c>
      <c r="E234">
        <v>1</v>
      </c>
      <c r="F234" t="s">
        <v>36</v>
      </c>
      <c r="G234" t="s">
        <v>37</v>
      </c>
      <c r="H234" t="s">
        <v>38</v>
      </c>
      <c r="I234" s="73">
        <f t="shared" si="9"/>
        <v>4</v>
      </c>
      <c r="J234" s="114">
        <f>VLOOKUP(B234,本月系统单价mb5b!$B:$P,15,0)</f>
        <v>7.5</v>
      </c>
      <c r="K234" s="114">
        <f t="shared" si="10"/>
        <v>30</v>
      </c>
      <c r="L234" s="114">
        <f>IFERROR(VLOOKUP(B234,上月数量需更新!A:C,3,0),0)</f>
        <v>30</v>
      </c>
      <c r="M234" s="121">
        <f t="shared" si="11"/>
        <v>0</v>
      </c>
      <c r="P234" t="str">
        <f>VLOOKUP(B234,物料分类!B:F,5,0)</f>
        <v>成本-荤菜类</v>
      </c>
    </row>
    <row r="235" hidden="1" spans="1:16">
      <c r="A235">
        <v>234</v>
      </c>
      <c r="B235">
        <v>1501710</v>
      </c>
      <c r="C235" t="s">
        <v>301</v>
      </c>
      <c r="D235">
        <v>7.2</v>
      </c>
      <c r="E235">
        <v>5.44</v>
      </c>
      <c r="F235" t="s">
        <v>73</v>
      </c>
      <c r="G235" t="s">
        <v>74</v>
      </c>
      <c r="H235" t="s">
        <v>73</v>
      </c>
      <c r="I235" s="73">
        <f t="shared" si="9"/>
        <v>1.76</v>
      </c>
      <c r="J235" s="114">
        <f>VLOOKUP(B235,本月系统单价mb5b!$B:$P,15,0)</f>
        <v>10.1569444444444</v>
      </c>
      <c r="K235" s="114">
        <f t="shared" si="10"/>
        <v>17.8762222222222</v>
      </c>
      <c r="L235" s="114">
        <f>IFERROR(VLOOKUP(B235,上月数量需更新!A:C,3,0),0)</f>
        <v>0.81</v>
      </c>
      <c r="M235" s="121">
        <f t="shared" si="11"/>
        <v>17.0662222222222</v>
      </c>
      <c r="P235" t="str">
        <f>VLOOKUP(B235,物料分类!B:F,5,0)</f>
        <v>成本-小吃类</v>
      </c>
    </row>
    <row r="236" spans="1:16">
      <c r="A236">
        <v>235</v>
      </c>
      <c r="B236">
        <v>4523956</v>
      </c>
      <c r="C236" t="s">
        <v>302</v>
      </c>
      <c r="D236">
        <v>120</v>
      </c>
      <c r="E236">
        <v>24</v>
      </c>
      <c r="F236" t="s">
        <v>36</v>
      </c>
      <c r="G236" t="s">
        <v>37</v>
      </c>
      <c r="H236" t="s">
        <v>38</v>
      </c>
      <c r="I236" s="73">
        <f t="shared" si="9"/>
        <v>96</v>
      </c>
      <c r="J236" s="114">
        <f>VLOOKUP(B236,本月系统单价mb5b!$B:$P,15,0)</f>
        <v>35</v>
      </c>
      <c r="K236" s="114">
        <f t="shared" si="10"/>
        <v>3360</v>
      </c>
      <c r="L236" s="114">
        <f>IFERROR(VLOOKUP(B236,上月数量需更新!A:C,3,0),0)</f>
        <v>3360</v>
      </c>
      <c r="M236" s="121">
        <f t="shared" si="11"/>
        <v>0</v>
      </c>
      <c r="N236" t="str">
        <f>VLOOKUP(B236,计算!R:X,7,0)</f>
        <v>多使用22磅</v>
      </c>
      <c r="O236" t="s">
        <v>34</v>
      </c>
      <c r="P236" t="str">
        <f>VLOOKUP(B236,物料分类!B:F,5,0)</f>
        <v>成本-荤菜类</v>
      </c>
    </row>
    <row r="237" hidden="1" spans="1:16">
      <c r="A237">
        <v>236</v>
      </c>
      <c r="B237">
        <v>1500682</v>
      </c>
      <c r="C237" t="s">
        <v>303</v>
      </c>
      <c r="D237">
        <v>89.19</v>
      </c>
      <c r="E237">
        <v>4.5</v>
      </c>
      <c r="F237" t="s">
        <v>36</v>
      </c>
      <c r="G237" t="s">
        <v>37</v>
      </c>
      <c r="H237" t="s">
        <v>38</v>
      </c>
      <c r="I237" s="73">
        <f t="shared" si="9"/>
        <v>84.69</v>
      </c>
      <c r="J237" s="114">
        <f>VLOOKUP(B237,本月系统单价mb5b!$B:$P,15,0)</f>
        <v>3.02589976454759</v>
      </c>
      <c r="K237" s="114">
        <f t="shared" si="10"/>
        <v>256.263451059536</v>
      </c>
      <c r="L237" s="114">
        <f>IFERROR(VLOOKUP(B237,上月数量需更新!A:C,3,0),0)</f>
        <v>276.94</v>
      </c>
      <c r="M237" s="121">
        <f t="shared" si="11"/>
        <v>-20.6765489404642</v>
      </c>
      <c r="P237" t="str">
        <f>VLOOKUP(B237,物料分类!B:F,5,0)</f>
        <v>成本-荤菜类</v>
      </c>
    </row>
    <row r="238" hidden="1" spans="1:16">
      <c r="A238">
        <v>237</v>
      </c>
      <c r="B238">
        <v>4530906</v>
      </c>
      <c r="C238" t="s">
        <v>304</v>
      </c>
      <c r="D238">
        <v>96</v>
      </c>
      <c r="E238">
        <v>82</v>
      </c>
      <c r="F238" t="s">
        <v>145</v>
      </c>
      <c r="G238" t="s">
        <v>146</v>
      </c>
      <c r="H238" t="s">
        <v>145</v>
      </c>
      <c r="I238" s="73">
        <f t="shared" si="9"/>
        <v>14</v>
      </c>
      <c r="J238" s="114">
        <f>VLOOKUP(B238,本月系统单价mb5b!$B:$P,15,0)</f>
        <v>1.5</v>
      </c>
      <c r="K238" s="114">
        <f t="shared" si="10"/>
        <v>21</v>
      </c>
      <c r="L238" s="114">
        <f>IFERROR(VLOOKUP(B238,上月数量需更新!A:C,3,0),0)</f>
        <v>0</v>
      </c>
      <c r="M238" s="121">
        <f t="shared" si="11"/>
        <v>21</v>
      </c>
      <c r="P238" t="str">
        <f>VLOOKUP(B238,物料分类!B:F,5,0)</f>
        <v>成本-酒水类</v>
      </c>
    </row>
    <row r="239" hidden="1" spans="1:16">
      <c r="A239">
        <v>238</v>
      </c>
      <c r="B239">
        <v>4529103</v>
      </c>
      <c r="C239" t="s">
        <v>305</v>
      </c>
      <c r="D239">
        <v>24</v>
      </c>
      <c r="E239">
        <v>6</v>
      </c>
      <c r="F239" t="s">
        <v>73</v>
      </c>
      <c r="G239" t="s">
        <v>74</v>
      </c>
      <c r="H239" t="s">
        <v>73</v>
      </c>
      <c r="I239" s="73">
        <f t="shared" si="9"/>
        <v>18</v>
      </c>
      <c r="J239" s="114">
        <f>VLOOKUP(B239,本月系统单价mb5b!$B:$P,15,0)</f>
        <v>11.33</v>
      </c>
      <c r="K239" s="114">
        <f t="shared" si="10"/>
        <v>203.94</v>
      </c>
      <c r="L239" s="114">
        <f>IFERROR(VLOOKUP(B239,上月数量需更新!A:C,3,0),0)</f>
        <v>118.96</v>
      </c>
      <c r="M239" s="121">
        <f t="shared" si="11"/>
        <v>84.98</v>
      </c>
      <c r="P239" t="str">
        <f>VLOOKUP(B239,物料分类!B:F,5,0)</f>
        <v>成本-酒水类</v>
      </c>
    </row>
    <row r="240" hidden="1" spans="1:16">
      <c r="A240">
        <v>239</v>
      </c>
      <c r="B240">
        <v>4723811</v>
      </c>
      <c r="C240" t="s">
        <v>306</v>
      </c>
      <c r="D240">
        <v>38</v>
      </c>
      <c r="E240">
        <v>8</v>
      </c>
      <c r="F240" t="s">
        <v>73</v>
      </c>
      <c r="G240" t="s">
        <v>74</v>
      </c>
      <c r="H240" t="s">
        <v>73</v>
      </c>
      <c r="I240" s="73">
        <f t="shared" si="9"/>
        <v>30</v>
      </c>
      <c r="J240" s="114">
        <f>VLOOKUP(B240,本月系统单价mb5b!$B:$P,15,0)</f>
        <v>5.72368421052632</v>
      </c>
      <c r="K240" s="114">
        <f t="shared" si="10"/>
        <v>171.710526315789</v>
      </c>
      <c r="L240" s="114">
        <f>IFERROR(VLOOKUP(B240,上月数量需更新!A:C,3,0),0)</f>
        <v>174</v>
      </c>
      <c r="M240" s="121">
        <f t="shared" si="11"/>
        <v>-2.28947368421052</v>
      </c>
      <c r="P240" t="str">
        <f>VLOOKUP(B240,物料分类!B:F,5,0)</f>
        <v>成本-小料台类</v>
      </c>
    </row>
    <row r="241" hidden="1" spans="1:16">
      <c r="A241">
        <v>240</v>
      </c>
      <c r="B241">
        <v>1500710</v>
      </c>
      <c r="C241" t="s">
        <v>307</v>
      </c>
      <c r="D241">
        <v>30</v>
      </c>
      <c r="E241">
        <v>9</v>
      </c>
      <c r="F241" t="s">
        <v>73</v>
      </c>
      <c r="G241" t="s">
        <v>74</v>
      </c>
      <c r="H241" t="s">
        <v>73</v>
      </c>
      <c r="I241" s="73">
        <f t="shared" si="9"/>
        <v>21</v>
      </c>
      <c r="J241" s="114">
        <f>VLOOKUP(B241,本月系统单价mb5b!$B:$P,15,0)</f>
        <v>15.0763333333333</v>
      </c>
      <c r="K241" s="114">
        <f t="shared" si="10"/>
        <v>316.603</v>
      </c>
      <c r="L241" s="114">
        <f>IFERROR(VLOOKUP(B241,上月数量需更新!A:C,3,0),0)</f>
        <v>289.34</v>
      </c>
      <c r="M241" s="121">
        <f t="shared" si="11"/>
        <v>27.263</v>
      </c>
      <c r="P241" t="str">
        <f>VLOOKUP(B241,物料分类!B:F,5,0)</f>
        <v>成本-小吃类</v>
      </c>
    </row>
    <row r="242" hidden="1" spans="1:16">
      <c r="A242">
        <v>241</v>
      </c>
      <c r="B242">
        <v>1500776</v>
      </c>
      <c r="C242" t="s">
        <v>308</v>
      </c>
      <c r="D242">
        <v>4701.8</v>
      </c>
      <c r="E242">
        <v>120</v>
      </c>
      <c r="F242" t="s">
        <v>36</v>
      </c>
      <c r="G242" t="s">
        <v>37</v>
      </c>
      <c r="H242" t="s">
        <v>38</v>
      </c>
      <c r="I242" s="73">
        <f t="shared" si="9"/>
        <v>4581.8</v>
      </c>
      <c r="J242" s="114">
        <f>VLOOKUP(B242,本月系统单价mb5b!$B:$P,15,0)</f>
        <v>1.27094729677996</v>
      </c>
      <c r="K242" s="114">
        <f t="shared" si="10"/>
        <v>5823.2263243864</v>
      </c>
      <c r="L242" s="114">
        <f>IFERROR(VLOOKUP(B242,上月数量需更新!A:C,3,0),0)</f>
        <v>2591.64</v>
      </c>
      <c r="M242" s="121">
        <f t="shared" si="11"/>
        <v>3231.5863243864</v>
      </c>
      <c r="P242" t="str">
        <f>VLOOKUP(B242,物料分类!B:F,5,0)</f>
        <v>成本-小料台类</v>
      </c>
    </row>
    <row r="243" hidden="1" spans="1:16">
      <c r="A243">
        <v>242</v>
      </c>
      <c r="B243">
        <v>4526757</v>
      </c>
      <c r="C243" t="s">
        <v>309</v>
      </c>
      <c r="D243">
        <v>13</v>
      </c>
      <c r="E243">
        <v>9</v>
      </c>
      <c r="F243" t="s">
        <v>32</v>
      </c>
      <c r="G243" t="s">
        <v>33</v>
      </c>
      <c r="H243" t="s">
        <v>32</v>
      </c>
      <c r="I243" s="73">
        <f t="shared" si="9"/>
        <v>4</v>
      </c>
      <c r="J243" s="114">
        <f>VLOOKUP(B243,本月系统单价mb5b!$B:$P,15,0)</f>
        <v>3.65076923076923</v>
      </c>
      <c r="K243" s="114">
        <f t="shared" si="10"/>
        <v>14.6030769230769</v>
      </c>
      <c r="L243" s="114">
        <f>IFERROR(VLOOKUP(B243,上月数量需更新!A:C,3,0),0)</f>
        <v>9.7</v>
      </c>
      <c r="M243" s="121">
        <f t="shared" si="11"/>
        <v>4.90307692307692</v>
      </c>
      <c r="P243" t="str">
        <f>VLOOKUP(B243,物料分类!B:F,5,0)</f>
        <v>成本-酒水类</v>
      </c>
    </row>
    <row r="244" hidden="1" spans="1:16">
      <c r="A244">
        <v>243</v>
      </c>
      <c r="B244">
        <v>4019089</v>
      </c>
      <c r="C244" t="s">
        <v>310</v>
      </c>
      <c r="D244">
        <v>163</v>
      </c>
      <c r="E244">
        <v>69</v>
      </c>
      <c r="F244" t="s">
        <v>137</v>
      </c>
      <c r="G244" t="s">
        <v>138</v>
      </c>
      <c r="H244" t="s">
        <v>137</v>
      </c>
      <c r="I244" s="73">
        <f t="shared" si="9"/>
        <v>94</v>
      </c>
      <c r="J244" s="114">
        <f>VLOOKUP(B244,本月系统单价mb5b!$B:$P,15,0)</f>
        <v>1.02079754601227</v>
      </c>
      <c r="K244" s="114">
        <f t="shared" si="10"/>
        <v>95.9549693251534</v>
      </c>
      <c r="L244" s="114">
        <f>IFERROR(VLOOKUP(B244,上月数量需更新!A:C,3,0),0)</f>
        <v>102.07</v>
      </c>
      <c r="M244" s="121">
        <f t="shared" si="11"/>
        <v>-6.11503067484664</v>
      </c>
      <c r="P244" t="str">
        <f>VLOOKUP(B244,物料分类!B:F,5,0)</f>
        <v>成本-酒水类</v>
      </c>
    </row>
    <row r="245" hidden="1" spans="1:16">
      <c r="A245">
        <v>244</v>
      </c>
      <c r="B245">
        <v>4522462</v>
      </c>
      <c r="C245" t="s">
        <v>311</v>
      </c>
      <c r="D245">
        <v>90.19</v>
      </c>
      <c r="E245">
        <v>0</v>
      </c>
      <c r="F245" t="s">
        <v>73</v>
      </c>
      <c r="G245" t="s">
        <v>74</v>
      </c>
      <c r="H245" t="s">
        <v>73</v>
      </c>
      <c r="I245" s="73">
        <f t="shared" si="9"/>
        <v>90.19</v>
      </c>
      <c r="J245" s="114">
        <f>VLOOKUP(B245,本月系统单价mb5b!$B:$P,15,0)</f>
        <v>12.3065750083158</v>
      </c>
      <c r="K245" s="114">
        <f t="shared" si="10"/>
        <v>1109.93</v>
      </c>
      <c r="L245" s="114">
        <f>IFERROR(VLOOKUP(B245,上月数量需更新!A:C,3,0),0)</f>
        <v>2383.31</v>
      </c>
      <c r="M245" s="121">
        <f t="shared" si="11"/>
        <v>-1273.38</v>
      </c>
      <c r="P245" t="str">
        <f>VLOOKUP(B245,物料分类!B:F,5,0)</f>
        <v>成本-荤菜类</v>
      </c>
    </row>
    <row r="246" hidden="1" spans="1:16">
      <c r="A246">
        <v>245</v>
      </c>
      <c r="B246">
        <v>1500684</v>
      </c>
      <c r="C246" t="s">
        <v>312</v>
      </c>
      <c r="D246">
        <v>185.16</v>
      </c>
      <c r="E246">
        <v>0</v>
      </c>
      <c r="F246" t="s">
        <v>36</v>
      </c>
      <c r="G246" t="s">
        <v>37</v>
      </c>
      <c r="H246" t="s">
        <v>38</v>
      </c>
      <c r="I246" s="73">
        <f t="shared" si="9"/>
        <v>185.16</v>
      </c>
      <c r="J246" s="114">
        <f>VLOOKUP(B246,本月系统单价mb5b!$B:$P,15,0)</f>
        <v>6.800010801469</v>
      </c>
      <c r="K246" s="114">
        <f t="shared" si="10"/>
        <v>1259.09</v>
      </c>
      <c r="L246" s="114">
        <f>IFERROR(VLOOKUP(B246,上月数量需更新!A:C,3,0),0)</f>
        <v>1049.24</v>
      </c>
      <c r="M246" s="121">
        <f t="shared" si="11"/>
        <v>209.85</v>
      </c>
      <c r="P246" t="str">
        <f>VLOOKUP(B246,物料分类!B:F,5,0)</f>
        <v>成本-荤菜类</v>
      </c>
    </row>
    <row r="247" hidden="1" spans="1:16">
      <c r="A247">
        <v>246</v>
      </c>
      <c r="B247">
        <v>1500728</v>
      </c>
      <c r="C247" t="s">
        <v>313</v>
      </c>
      <c r="D247">
        <v>300</v>
      </c>
      <c r="E247">
        <v>0</v>
      </c>
      <c r="F247" t="s">
        <v>29</v>
      </c>
      <c r="G247" t="s">
        <v>30</v>
      </c>
      <c r="H247" t="s">
        <v>29</v>
      </c>
      <c r="I247" s="73">
        <f t="shared" si="9"/>
        <v>300</v>
      </c>
      <c r="J247" s="114">
        <f>VLOOKUP(B247,本月系统单价mb5b!$B:$P,15,0)</f>
        <v>1.3</v>
      </c>
      <c r="K247" s="114">
        <f t="shared" si="10"/>
        <v>390</v>
      </c>
      <c r="L247" s="114">
        <f>IFERROR(VLOOKUP(B247,上月数量需更新!A:C,3,0),0)</f>
        <v>78</v>
      </c>
      <c r="M247" s="121">
        <f t="shared" si="11"/>
        <v>312</v>
      </c>
      <c r="P247" t="str">
        <f>VLOOKUP(B247,物料分类!B:F,5,0)</f>
        <v>成本-小料台类</v>
      </c>
    </row>
    <row r="248" hidden="1" spans="1:16">
      <c r="A248">
        <v>247</v>
      </c>
      <c r="B248">
        <v>4512865</v>
      </c>
      <c r="C248" t="s">
        <v>314</v>
      </c>
      <c r="D248">
        <v>17.75</v>
      </c>
      <c r="E248">
        <v>5.5</v>
      </c>
      <c r="F248" t="s">
        <v>73</v>
      </c>
      <c r="G248" t="s">
        <v>74</v>
      </c>
      <c r="H248" t="s">
        <v>73</v>
      </c>
      <c r="I248" s="73">
        <f t="shared" si="9"/>
        <v>12.25</v>
      </c>
      <c r="J248" s="114">
        <f>VLOOKUP(B248,本月系统单价mb5b!$B:$P,15,0)</f>
        <v>6</v>
      </c>
      <c r="K248" s="114">
        <f t="shared" si="10"/>
        <v>73.5</v>
      </c>
      <c r="L248" s="114">
        <f>IFERROR(VLOOKUP(B248,上月数量需更新!A:C,3,0),0)</f>
        <v>43.5</v>
      </c>
      <c r="M248" s="121">
        <f t="shared" si="11"/>
        <v>30</v>
      </c>
      <c r="P248" t="str">
        <f>VLOOKUP(B248,物料分类!B:F,5,0)</f>
        <v>成本-小吃类</v>
      </c>
    </row>
    <row r="249" hidden="1" spans="1:16">
      <c r="A249">
        <v>248</v>
      </c>
      <c r="B249">
        <v>1500740</v>
      </c>
      <c r="C249" t="s">
        <v>315</v>
      </c>
      <c r="D249">
        <v>4</v>
      </c>
      <c r="E249">
        <v>0</v>
      </c>
      <c r="F249" t="s">
        <v>127</v>
      </c>
      <c r="G249" t="s">
        <v>128</v>
      </c>
      <c r="H249" t="s">
        <v>127</v>
      </c>
      <c r="I249" s="73">
        <f t="shared" si="9"/>
        <v>4</v>
      </c>
      <c r="J249" s="114">
        <f>VLOOKUP(B249,本月系统单价mb5b!$B:$P,15,0)</f>
        <v>15</v>
      </c>
      <c r="K249" s="114">
        <f t="shared" si="10"/>
        <v>60</v>
      </c>
      <c r="L249" s="114">
        <f>IFERROR(VLOOKUP(B249,上月数量需更新!A:C,3,0),0)</f>
        <v>45</v>
      </c>
      <c r="M249" s="121">
        <f t="shared" si="11"/>
        <v>15</v>
      </c>
      <c r="P249" t="str">
        <f>VLOOKUP(B249,物料分类!B:F,5,0)</f>
        <v>成本-荤菜类</v>
      </c>
    </row>
    <row r="250" spans="1:16">
      <c r="A250">
        <v>249</v>
      </c>
      <c r="B250">
        <v>4503951</v>
      </c>
      <c r="C250" t="s">
        <v>316</v>
      </c>
      <c r="D250">
        <v>107</v>
      </c>
      <c r="E250">
        <v>64</v>
      </c>
      <c r="F250" t="s">
        <v>32</v>
      </c>
      <c r="G250" t="s">
        <v>33</v>
      </c>
      <c r="H250" t="s">
        <v>32</v>
      </c>
      <c r="I250" s="73">
        <f t="shared" si="9"/>
        <v>43</v>
      </c>
      <c r="J250" s="114">
        <f>VLOOKUP(B250,本月系统单价mb5b!$B:$P,15,0)</f>
        <v>3.62</v>
      </c>
      <c r="K250" s="114">
        <f t="shared" si="10"/>
        <v>155.66</v>
      </c>
      <c r="L250" s="114">
        <f>IFERROR(VLOOKUP(B250,上月数量需更新!A:C,3,0),0)</f>
        <v>25.34</v>
      </c>
      <c r="M250" s="121">
        <f t="shared" si="11"/>
        <v>130.32</v>
      </c>
      <c r="N250" t="str">
        <f>VLOOKUP(B250,计算!R:X,7,0)</f>
        <v>多使用29瓶</v>
      </c>
      <c r="O250" t="s">
        <v>317</v>
      </c>
      <c r="P250" t="str">
        <f>VLOOKUP(B250,物料分类!B:F,5,0)</f>
        <v>成本-酒水类</v>
      </c>
    </row>
    <row r="251" hidden="1" spans="1:16">
      <c r="A251">
        <v>250</v>
      </c>
      <c r="B251">
        <v>4519224</v>
      </c>
      <c r="C251" t="s">
        <v>318</v>
      </c>
      <c r="D251">
        <v>4</v>
      </c>
      <c r="E251">
        <v>1</v>
      </c>
      <c r="F251" t="s">
        <v>36</v>
      </c>
      <c r="G251" t="s">
        <v>37</v>
      </c>
      <c r="H251" t="s">
        <v>38</v>
      </c>
      <c r="I251" s="73">
        <f t="shared" si="9"/>
        <v>3</v>
      </c>
      <c r="J251" s="114">
        <f>VLOOKUP(B251,本月系统单价mb5b!$B:$P,15,0)</f>
        <v>8.5</v>
      </c>
      <c r="K251" s="114">
        <f t="shared" si="10"/>
        <v>25.5</v>
      </c>
      <c r="L251" s="114">
        <f>IFERROR(VLOOKUP(B251,上月数量需更新!A:C,3,0),0)</f>
        <v>34</v>
      </c>
      <c r="M251" s="121">
        <f t="shared" si="11"/>
        <v>-8.5</v>
      </c>
      <c r="P251" t="str">
        <f>VLOOKUP(B251,物料分类!B:F,5,0)</f>
        <v>成本-锅底类</v>
      </c>
    </row>
    <row r="252" hidden="1" spans="1:16">
      <c r="A252">
        <v>251</v>
      </c>
      <c r="B252">
        <v>1500797</v>
      </c>
      <c r="C252" t="s">
        <v>319</v>
      </c>
      <c r="D252">
        <v>11</v>
      </c>
      <c r="E252">
        <v>6</v>
      </c>
      <c r="F252" t="s">
        <v>55</v>
      </c>
      <c r="G252" t="s">
        <v>56</v>
      </c>
      <c r="H252" t="s">
        <v>55</v>
      </c>
      <c r="I252" s="73">
        <f t="shared" si="9"/>
        <v>5</v>
      </c>
      <c r="J252" s="114">
        <f>VLOOKUP(B252,本月系统单价mb5b!$B:$P,15,0)</f>
        <v>21.0763636363636</v>
      </c>
      <c r="K252" s="114">
        <f t="shared" si="10"/>
        <v>105.381818181818</v>
      </c>
      <c r="L252" s="114">
        <f>IFERROR(VLOOKUP(B252,上月数量需更新!A:C,3,0),0)</f>
        <v>197.69</v>
      </c>
      <c r="M252" s="121">
        <f t="shared" si="11"/>
        <v>-92.3081818181818</v>
      </c>
      <c r="P252" t="str">
        <f>VLOOKUP(B252,物料分类!B:F,5,0)</f>
        <v>成本-小料台类</v>
      </c>
    </row>
    <row r="253" hidden="1" spans="1:16">
      <c r="A253">
        <v>252</v>
      </c>
      <c r="B253">
        <v>1000132</v>
      </c>
      <c r="C253" t="s">
        <v>320</v>
      </c>
      <c r="D253">
        <v>144</v>
      </c>
      <c r="E253">
        <v>27</v>
      </c>
      <c r="F253" t="s">
        <v>73</v>
      </c>
      <c r="G253" t="s">
        <v>74</v>
      </c>
      <c r="H253" t="s">
        <v>73</v>
      </c>
      <c r="I253" s="73">
        <f t="shared" si="9"/>
        <v>117</v>
      </c>
      <c r="J253" s="114">
        <f>VLOOKUP(B253,本月系统单价mb5b!$B:$P,15,0)</f>
        <v>8.5</v>
      </c>
      <c r="K253" s="114">
        <f t="shared" si="10"/>
        <v>994.5</v>
      </c>
      <c r="L253" s="114">
        <f>IFERROR(VLOOKUP(B253,上月数量需更新!A:C,3,0),0)</f>
        <v>994.5</v>
      </c>
      <c r="M253" s="121">
        <f t="shared" si="11"/>
        <v>0</v>
      </c>
      <c r="P253" t="str">
        <f>VLOOKUP(B253,物料分类!B:F,5,0)</f>
        <v>成本-小料台类</v>
      </c>
    </row>
    <row r="254" hidden="1" spans="1:16">
      <c r="A254">
        <v>253</v>
      </c>
      <c r="B254">
        <v>1501285</v>
      </c>
      <c r="C254" t="s">
        <v>321</v>
      </c>
      <c r="D254">
        <v>2</v>
      </c>
      <c r="E254">
        <v>0.8</v>
      </c>
      <c r="F254" t="s">
        <v>55</v>
      </c>
      <c r="G254" t="s">
        <v>56</v>
      </c>
      <c r="H254" t="s">
        <v>55</v>
      </c>
      <c r="I254" s="73">
        <f t="shared" si="9"/>
        <v>1.2</v>
      </c>
      <c r="J254" s="114">
        <f>VLOOKUP(B254,本月系统单价mb5b!$B:$P,15,0)</f>
        <v>45.5</v>
      </c>
      <c r="K254" s="114">
        <f t="shared" si="10"/>
        <v>54.6</v>
      </c>
      <c r="L254" s="114">
        <f>IFERROR(VLOOKUP(B254,上月数量需更新!A:C,3,0),0)</f>
        <v>63.7</v>
      </c>
      <c r="M254" s="121">
        <f t="shared" si="11"/>
        <v>-9.1</v>
      </c>
      <c r="P254" t="str">
        <f>VLOOKUP(B254,物料分类!B:F,5,0)</f>
        <v>成本-小料台类</v>
      </c>
    </row>
    <row r="255" hidden="1" spans="1:16">
      <c r="A255">
        <v>254</v>
      </c>
      <c r="B255">
        <v>4727592</v>
      </c>
      <c r="C255" t="s">
        <v>322</v>
      </c>
      <c r="D255">
        <v>24</v>
      </c>
      <c r="E255">
        <v>10</v>
      </c>
      <c r="F255" t="s">
        <v>73</v>
      </c>
      <c r="G255" t="s">
        <v>74</v>
      </c>
      <c r="H255" t="s">
        <v>73</v>
      </c>
      <c r="I255" s="73">
        <f t="shared" si="9"/>
        <v>14</v>
      </c>
      <c r="J255" s="114">
        <f>VLOOKUP(B255,本月系统单价mb5b!$B:$P,15,0)</f>
        <v>2.41666666666667</v>
      </c>
      <c r="K255" s="114">
        <f t="shared" si="10"/>
        <v>33.8333333333333</v>
      </c>
      <c r="L255" s="114">
        <f>IFERROR(VLOOKUP(B255,上月数量需更新!A:C,3,0),0)</f>
        <v>87</v>
      </c>
      <c r="M255" s="121">
        <f t="shared" si="11"/>
        <v>-53.1666666666667</v>
      </c>
      <c r="P255" t="str">
        <f>VLOOKUP(B255,物料分类!B:F,5,0)</f>
        <v>成本-小料台类</v>
      </c>
    </row>
    <row r="256" hidden="1" spans="1:16">
      <c r="A256">
        <v>255</v>
      </c>
      <c r="B256">
        <v>4523800</v>
      </c>
      <c r="C256" t="s">
        <v>323</v>
      </c>
      <c r="D256">
        <v>70</v>
      </c>
      <c r="E256">
        <v>70</v>
      </c>
      <c r="F256" t="s">
        <v>73</v>
      </c>
      <c r="G256" t="s">
        <v>74</v>
      </c>
      <c r="H256" t="s">
        <v>73</v>
      </c>
      <c r="I256" s="73">
        <f t="shared" si="9"/>
        <v>0</v>
      </c>
      <c r="J256" s="114">
        <f>VLOOKUP(B256,本月系统单价mb5b!$B:$P,15,0)</f>
        <v>4.51842857142857</v>
      </c>
      <c r="K256" s="114">
        <f t="shared" si="10"/>
        <v>0</v>
      </c>
      <c r="L256" s="114">
        <f>IFERROR(VLOOKUP(B256,上月数量需更新!A:C,3,0),0)</f>
        <v>135.55</v>
      </c>
      <c r="M256" s="121">
        <f t="shared" si="11"/>
        <v>-135.55</v>
      </c>
      <c r="P256" t="str">
        <f>VLOOKUP(B256,物料分类!B:F,5,0)</f>
        <v>成本-小料台类</v>
      </c>
    </row>
    <row r="257" hidden="1" spans="1:16">
      <c r="A257">
        <v>256</v>
      </c>
      <c r="B257">
        <v>4024474</v>
      </c>
      <c r="C257" t="s">
        <v>324</v>
      </c>
      <c r="D257">
        <v>140</v>
      </c>
      <c r="E257">
        <v>40</v>
      </c>
      <c r="F257" t="s">
        <v>73</v>
      </c>
      <c r="G257" t="s">
        <v>74</v>
      </c>
      <c r="H257" t="s">
        <v>73</v>
      </c>
      <c r="I257" s="73">
        <f t="shared" si="9"/>
        <v>100</v>
      </c>
      <c r="J257" s="114">
        <f>VLOOKUP(B257,本月系统单价mb5b!$B:$P,15,0)</f>
        <v>4.77135714285714</v>
      </c>
      <c r="K257" s="114">
        <f t="shared" si="10"/>
        <v>477.135714285714</v>
      </c>
      <c r="L257" s="114">
        <f>IFERROR(VLOOKUP(B257,上月数量需更新!A:C,3,0),0)</f>
        <v>1240.54</v>
      </c>
      <c r="M257" s="121">
        <f t="shared" si="11"/>
        <v>-763.404285714286</v>
      </c>
      <c r="P257" t="str">
        <f>VLOOKUP(B257,物料分类!B:F,5,0)</f>
        <v>成本-小料台类</v>
      </c>
    </row>
    <row r="258" hidden="1" spans="1:16">
      <c r="A258">
        <v>257</v>
      </c>
      <c r="B258">
        <v>4511130</v>
      </c>
      <c r="C258" t="s">
        <v>325</v>
      </c>
      <c r="D258">
        <v>214</v>
      </c>
      <c r="E258">
        <v>48</v>
      </c>
      <c r="F258" t="s">
        <v>137</v>
      </c>
      <c r="G258" t="s">
        <v>138</v>
      </c>
      <c r="H258" t="s">
        <v>137</v>
      </c>
      <c r="I258" s="73">
        <f t="shared" ref="I258:I321" si="12">D258-E258</f>
        <v>166</v>
      </c>
      <c r="J258" s="114">
        <f>VLOOKUP(B258,本月系统单价mb5b!$B:$P,15,0)</f>
        <v>1.91457943925234</v>
      </c>
      <c r="K258" s="114">
        <f t="shared" ref="K258:K321" si="13">I258*J258</f>
        <v>317.820186915888</v>
      </c>
      <c r="L258" s="114">
        <f>IFERROR(VLOOKUP(B258,上月数量需更新!A:C,3,0),0)</f>
        <v>0</v>
      </c>
      <c r="M258" s="121">
        <f t="shared" ref="M258:M321" si="14">K258-L258</f>
        <v>317.820186915888</v>
      </c>
      <c r="P258" t="str">
        <f>VLOOKUP(B258,物料分类!B:F,5,0)</f>
        <v>成本-锅底类</v>
      </c>
    </row>
    <row r="259" hidden="1" spans="1:16">
      <c r="A259">
        <v>258</v>
      </c>
      <c r="B259">
        <v>4513626</v>
      </c>
      <c r="C259" t="s">
        <v>326</v>
      </c>
      <c r="D259">
        <v>11</v>
      </c>
      <c r="E259">
        <v>3</v>
      </c>
      <c r="F259" t="s">
        <v>32</v>
      </c>
      <c r="G259" t="s">
        <v>33</v>
      </c>
      <c r="H259" t="s">
        <v>32</v>
      </c>
      <c r="I259" s="73">
        <f t="shared" si="12"/>
        <v>8</v>
      </c>
      <c r="J259" s="114">
        <f>VLOOKUP(B259,本月系统单价mb5b!$B:$P,15,0)</f>
        <v>17.4390909090909</v>
      </c>
      <c r="K259" s="114">
        <f t="shared" si="13"/>
        <v>139.512727272727</v>
      </c>
      <c r="L259" s="114">
        <f>IFERROR(VLOOKUP(B259,上月数量需更新!A:C,3,0),0)</f>
        <v>51.5</v>
      </c>
      <c r="M259" s="121">
        <f t="shared" si="14"/>
        <v>88.0127272727273</v>
      </c>
      <c r="P259" t="str">
        <f>VLOOKUP(B259,物料分类!B:F,5,0)</f>
        <v>成本-小吃类</v>
      </c>
    </row>
    <row r="260" hidden="1" spans="1:16">
      <c r="A260">
        <v>325</v>
      </c>
      <c r="B260">
        <v>4517994</v>
      </c>
      <c r="C260" t="s">
        <v>327</v>
      </c>
      <c r="D260">
        <v>24</v>
      </c>
      <c r="E260">
        <v>0</v>
      </c>
      <c r="F260" t="s">
        <v>20</v>
      </c>
      <c r="G260" t="s">
        <v>21</v>
      </c>
      <c r="H260" t="s">
        <v>20</v>
      </c>
      <c r="I260" s="73">
        <f t="shared" si="12"/>
        <v>24</v>
      </c>
      <c r="J260" s="114">
        <f>VLOOKUP(B260,本月系统单价mb5b!$B:$P,15,0)</f>
        <v>1.71375</v>
      </c>
      <c r="K260" s="114">
        <f t="shared" si="13"/>
        <v>41.13</v>
      </c>
      <c r="L260" s="114">
        <f>IFERROR(VLOOKUP(B260,上月数量需更新!A:C,3,0),0)</f>
        <v>0</v>
      </c>
      <c r="M260" s="121">
        <f t="shared" si="14"/>
        <v>41.13</v>
      </c>
      <c r="P260" t="str">
        <f>VLOOKUP(B260,物料分类!B:F,5,0)</f>
        <v>物料消耗</v>
      </c>
    </row>
    <row r="261" hidden="1" spans="1:16">
      <c r="A261">
        <v>261</v>
      </c>
      <c r="B261">
        <v>1500924</v>
      </c>
      <c r="C261" t="s">
        <v>328</v>
      </c>
      <c r="D261">
        <v>3</v>
      </c>
      <c r="E261">
        <v>2</v>
      </c>
      <c r="F261" t="s">
        <v>55</v>
      </c>
      <c r="G261" t="s">
        <v>56</v>
      </c>
      <c r="H261" t="s">
        <v>55</v>
      </c>
      <c r="I261" s="73">
        <f t="shared" si="12"/>
        <v>1</v>
      </c>
      <c r="J261" s="114">
        <f>VLOOKUP(B261,本月系统单价mb5b!$B:$P,15,0)</f>
        <v>28.3233333333333</v>
      </c>
      <c r="K261" s="114">
        <f t="shared" si="13"/>
        <v>28.3233333333333</v>
      </c>
      <c r="L261" s="114">
        <f>IFERROR(VLOOKUP(B261,上月数量需更新!A:C,3,0),0)</f>
        <v>28.33</v>
      </c>
      <c r="M261" s="121">
        <f t="shared" si="14"/>
        <v>-0.00666666666666416</v>
      </c>
      <c r="P261" t="str">
        <f>VLOOKUP(B261,物料分类!B:F,5,0)</f>
        <v>物料消耗</v>
      </c>
    </row>
    <row r="262" hidden="1" spans="1:16">
      <c r="A262">
        <v>369</v>
      </c>
      <c r="B262">
        <v>8010071</v>
      </c>
      <c r="C262" t="s">
        <v>329</v>
      </c>
      <c r="D262">
        <v>8</v>
      </c>
      <c r="E262">
        <v>6</v>
      </c>
      <c r="F262" t="s">
        <v>20</v>
      </c>
      <c r="G262" t="s">
        <v>21</v>
      </c>
      <c r="H262" t="s">
        <v>20</v>
      </c>
      <c r="I262" s="73">
        <f t="shared" si="12"/>
        <v>2</v>
      </c>
      <c r="J262" s="114">
        <f>VLOOKUP(B262,本月系统单价mb5b!$B:$P,15,0)</f>
        <v>13.82</v>
      </c>
      <c r="K262" s="114">
        <f t="shared" si="13"/>
        <v>27.64</v>
      </c>
      <c r="L262" s="114">
        <f>IFERROR(VLOOKUP(B262,上月数量需更新!A:C,3,0),0)</f>
        <v>0</v>
      </c>
      <c r="M262" s="121">
        <f t="shared" si="14"/>
        <v>27.64</v>
      </c>
      <c r="P262" t="str">
        <f>VLOOKUP(B262,物料分类!B:F,5,0)</f>
        <v>物料消耗</v>
      </c>
    </row>
    <row r="263" hidden="1" spans="1:16">
      <c r="A263">
        <v>120</v>
      </c>
      <c r="B263">
        <v>4000465</v>
      </c>
      <c r="C263" t="s">
        <v>330</v>
      </c>
      <c r="D263">
        <v>25</v>
      </c>
      <c r="E263">
        <v>20</v>
      </c>
      <c r="F263" t="s">
        <v>20</v>
      </c>
      <c r="G263" t="s">
        <v>21</v>
      </c>
      <c r="H263" t="s">
        <v>20</v>
      </c>
      <c r="I263" s="73">
        <f t="shared" si="12"/>
        <v>5</v>
      </c>
      <c r="J263" s="114">
        <f>VLOOKUP(B263,本月系统单价mb5b!$B:$P,15,0)</f>
        <v>5.0552</v>
      </c>
      <c r="K263" s="114">
        <f t="shared" si="13"/>
        <v>25.276</v>
      </c>
      <c r="L263" s="114">
        <f>IFERROR(VLOOKUP(B263,上月数量需更新!A:C,3,0),0)</f>
        <v>50.55</v>
      </c>
      <c r="M263" s="121">
        <f t="shared" si="14"/>
        <v>-25.274</v>
      </c>
      <c r="P263" t="str">
        <f>VLOOKUP(B263,物料分类!B:F,5,0)</f>
        <v>物料消耗</v>
      </c>
    </row>
    <row r="264" hidden="1" spans="1:16">
      <c r="A264">
        <v>148</v>
      </c>
      <c r="B264">
        <v>4514318</v>
      </c>
      <c r="C264" t="s">
        <v>331</v>
      </c>
      <c r="D264">
        <v>3000</v>
      </c>
      <c r="E264">
        <v>2800</v>
      </c>
      <c r="F264" t="s">
        <v>20</v>
      </c>
      <c r="G264" t="s">
        <v>21</v>
      </c>
      <c r="H264" t="s">
        <v>20</v>
      </c>
      <c r="I264" s="73">
        <f t="shared" si="12"/>
        <v>200</v>
      </c>
      <c r="J264" s="114">
        <f>VLOOKUP(B264,本月系统单价mb5b!$B:$P,15,0)</f>
        <v>0.126</v>
      </c>
      <c r="K264" s="114">
        <f t="shared" si="13"/>
        <v>25.2</v>
      </c>
      <c r="L264" s="114">
        <f>IFERROR(VLOOKUP(B264,上月数量需更新!A:C,3,0),0)</f>
        <v>0</v>
      </c>
      <c r="M264" s="121">
        <f t="shared" si="14"/>
        <v>25.2</v>
      </c>
      <c r="P264" t="str">
        <f>VLOOKUP(B264,物料分类!B:F,5,0)</f>
        <v>物料消耗</v>
      </c>
    </row>
    <row r="265" hidden="1" spans="1:16">
      <c r="A265">
        <v>97</v>
      </c>
      <c r="B265">
        <v>1500961</v>
      </c>
      <c r="C265" t="s">
        <v>332</v>
      </c>
      <c r="D265">
        <v>10</v>
      </c>
      <c r="E265">
        <v>8</v>
      </c>
      <c r="F265" t="s">
        <v>66</v>
      </c>
      <c r="G265" t="s">
        <v>67</v>
      </c>
      <c r="H265" t="s">
        <v>66</v>
      </c>
      <c r="I265" s="73">
        <f t="shared" si="12"/>
        <v>2</v>
      </c>
      <c r="J265" s="114">
        <f>VLOOKUP(B265,本月系统单价mb5b!$B:$P,15,0)</f>
        <v>9.5</v>
      </c>
      <c r="K265" s="114">
        <f t="shared" si="13"/>
        <v>19</v>
      </c>
      <c r="L265" s="114">
        <f>IFERROR(VLOOKUP(B265,上月数量需更新!A:C,3,0),0)</f>
        <v>133</v>
      </c>
      <c r="M265" s="121">
        <f t="shared" si="14"/>
        <v>-114</v>
      </c>
      <c r="P265" t="str">
        <f>VLOOKUP(B265,物料分类!B:F,5,0)</f>
        <v>物料消耗</v>
      </c>
    </row>
    <row r="266" hidden="1" spans="1:16">
      <c r="A266">
        <v>300</v>
      </c>
      <c r="B266">
        <v>4524272</v>
      </c>
      <c r="C266" t="s">
        <v>333</v>
      </c>
      <c r="D266">
        <v>3000</v>
      </c>
      <c r="E266">
        <v>2600</v>
      </c>
      <c r="F266" t="s">
        <v>20</v>
      </c>
      <c r="G266" t="s">
        <v>21</v>
      </c>
      <c r="H266" t="s">
        <v>20</v>
      </c>
      <c r="I266" s="73">
        <f t="shared" si="12"/>
        <v>400</v>
      </c>
      <c r="J266" s="114">
        <f>VLOOKUP(B266,本月系统单价mb5b!$B:$P,15,0)</f>
        <v>0.038</v>
      </c>
      <c r="K266" s="114">
        <f t="shared" si="13"/>
        <v>15.2</v>
      </c>
      <c r="L266" s="114">
        <f>IFERROR(VLOOKUP(B266,上月数量需更新!A:C,3,0),0)</f>
        <v>0</v>
      </c>
      <c r="M266" s="121">
        <f t="shared" si="14"/>
        <v>15.2</v>
      </c>
      <c r="P266" t="str">
        <f>VLOOKUP(B266,物料分类!B:F,5,0)</f>
        <v>物料消耗</v>
      </c>
    </row>
    <row r="267" hidden="1" spans="1:16">
      <c r="A267">
        <v>266</v>
      </c>
      <c r="B267">
        <v>1500897</v>
      </c>
      <c r="C267" t="s">
        <v>334</v>
      </c>
      <c r="D267">
        <v>103</v>
      </c>
      <c r="E267">
        <v>43</v>
      </c>
      <c r="F267" t="s">
        <v>55</v>
      </c>
      <c r="G267" t="s">
        <v>56</v>
      </c>
      <c r="H267" t="s">
        <v>55</v>
      </c>
      <c r="I267" s="73">
        <f t="shared" si="12"/>
        <v>60</v>
      </c>
      <c r="J267" s="114">
        <f>VLOOKUP(B267,本月系统单价mb5b!$B:$P,15,0)</f>
        <v>12</v>
      </c>
      <c r="K267" s="114">
        <f t="shared" si="13"/>
        <v>720</v>
      </c>
      <c r="L267" s="114">
        <f>IFERROR(VLOOKUP(B267,上月数量需更新!A:C,3,0),0)</f>
        <v>960</v>
      </c>
      <c r="M267" s="121">
        <f t="shared" si="14"/>
        <v>-240</v>
      </c>
      <c r="P267" t="str">
        <f>VLOOKUP(B267,物料分类!B:F,5,0)</f>
        <v>成本-酒水类</v>
      </c>
    </row>
    <row r="268" hidden="1" spans="1:16">
      <c r="A268">
        <v>267</v>
      </c>
      <c r="B268">
        <v>4735139</v>
      </c>
      <c r="C268" t="s">
        <v>335</v>
      </c>
      <c r="D268">
        <v>16.8</v>
      </c>
      <c r="E268">
        <v>16.8</v>
      </c>
      <c r="F268" t="s">
        <v>73</v>
      </c>
      <c r="G268" t="s">
        <v>74</v>
      </c>
      <c r="H268" t="s">
        <v>73</v>
      </c>
      <c r="I268" s="73">
        <f t="shared" si="12"/>
        <v>0</v>
      </c>
      <c r="J268" s="114">
        <f>VLOOKUP(B268,本月系统单价mb5b!$B:$P,15,0)</f>
        <v>10.7142857142857</v>
      </c>
      <c r="K268" s="114">
        <f t="shared" si="13"/>
        <v>0</v>
      </c>
      <c r="L268" s="114">
        <f>IFERROR(VLOOKUP(B268,上月数量需更新!A:C,3,0),0)</f>
        <v>195</v>
      </c>
      <c r="M268" s="121">
        <f t="shared" si="14"/>
        <v>-195</v>
      </c>
      <c r="P268" t="str">
        <f>VLOOKUP(B268,物料分类!B:F,5,0)</f>
        <v>成本-荤菜类</v>
      </c>
    </row>
    <row r="269" hidden="1" spans="1:16">
      <c r="A269">
        <v>268</v>
      </c>
      <c r="B269">
        <v>1501640</v>
      </c>
      <c r="C269" t="s">
        <v>336</v>
      </c>
      <c r="D269">
        <v>24.5</v>
      </c>
      <c r="E269">
        <v>3.5</v>
      </c>
      <c r="F269" t="s">
        <v>73</v>
      </c>
      <c r="G269" t="s">
        <v>74</v>
      </c>
      <c r="H269" t="s">
        <v>73</v>
      </c>
      <c r="I269" s="73">
        <f t="shared" si="12"/>
        <v>21</v>
      </c>
      <c r="J269" s="114">
        <f>VLOOKUP(B269,本月系统单价mb5b!$B:$P,15,0)</f>
        <v>7</v>
      </c>
      <c r="K269" s="114">
        <f t="shared" si="13"/>
        <v>147</v>
      </c>
      <c r="L269" s="114">
        <f>IFERROR(VLOOKUP(B269,上月数量需更新!A:C,3,0),0)</f>
        <v>157.5</v>
      </c>
      <c r="M269" s="121">
        <f t="shared" si="14"/>
        <v>-10.5</v>
      </c>
      <c r="P269" t="str">
        <f>VLOOKUP(B269,物料分类!B:F,5,0)</f>
        <v>成本-素菜类</v>
      </c>
    </row>
    <row r="270" hidden="1" spans="1:16">
      <c r="A270">
        <v>269</v>
      </c>
      <c r="B270">
        <v>4518488</v>
      </c>
      <c r="C270" t="s">
        <v>337</v>
      </c>
      <c r="D270">
        <v>70</v>
      </c>
      <c r="E270">
        <v>0</v>
      </c>
      <c r="F270" t="s">
        <v>73</v>
      </c>
      <c r="G270" t="s">
        <v>74</v>
      </c>
      <c r="H270" t="s">
        <v>73</v>
      </c>
      <c r="I270" s="73">
        <f t="shared" si="12"/>
        <v>70</v>
      </c>
      <c r="J270" s="114">
        <f>VLOOKUP(B270,本月系统单价mb5b!$B:$P,15,0)</f>
        <v>6.04228571428571</v>
      </c>
      <c r="K270" s="114">
        <f t="shared" si="13"/>
        <v>422.96</v>
      </c>
      <c r="L270" s="114">
        <f>IFERROR(VLOOKUP(B270,上月数量需更新!A:C,3,0),0)</f>
        <v>422.45</v>
      </c>
      <c r="M270" s="121">
        <f t="shared" si="14"/>
        <v>0.509999999999991</v>
      </c>
      <c r="P270" t="str">
        <f>VLOOKUP(B270,物料分类!B:F,5,0)</f>
        <v>成本-素菜类</v>
      </c>
    </row>
    <row r="271" hidden="1" spans="1:16">
      <c r="A271">
        <v>270</v>
      </c>
      <c r="B271">
        <v>4528206</v>
      </c>
      <c r="C271" t="s">
        <v>338</v>
      </c>
      <c r="D271">
        <v>10.5</v>
      </c>
      <c r="E271">
        <v>5.25</v>
      </c>
      <c r="F271" t="s">
        <v>73</v>
      </c>
      <c r="G271" t="s">
        <v>74</v>
      </c>
      <c r="H271" t="s">
        <v>73</v>
      </c>
      <c r="I271" s="73">
        <f t="shared" si="12"/>
        <v>5.25</v>
      </c>
      <c r="J271" s="114">
        <f>VLOOKUP(B271,本月系统单价mb5b!$B:$P,15,0)</f>
        <v>5.23809523809524</v>
      </c>
      <c r="K271" s="114">
        <f t="shared" si="13"/>
        <v>27.5</v>
      </c>
      <c r="L271" s="114">
        <f>IFERROR(VLOOKUP(B271,上月数量需更新!A:C,3,0),0)</f>
        <v>0</v>
      </c>
      <c r="M271" s="121">
        <f t="shared" si="14"/>
        <v>27.5</v>
      </c>
      <c r="P271" t="str">
        <f>VLOOKUP(B271,物料分类!B:F,5,0)</f>
        <v>成本-素菜类</v>
      </c>
    </row>
    <row r="272" spans="1:16">
      <c r="A272">
        <v>271</v>
      </c>
      <c r="B272">
        <v>4733325</v>
      </c>
      <c r="C272" t="s">
        <v>339</v>
      </c>
      <c r="D272">
        <v>339</v>
      </c>
      <c r="E272">
        <v>233</v>
      </c>
      <c r="F272" t="s">
        <v>32</v>
      </c>
      <c r="G272" t="s">
        <v>33</v>
      </c>
      <c r="H272" t="s">
        <v>32</v>
      </c>
      <c r="I272" s="73">
        <f t="shared" si="12"/>
        <v>106</v>
      </c>
      <c r="J272" s="114">
        <f>VLOOKUP(B272,本月系统单价mb5b!$B:$P,15,0)</f>
        <v>2.99666666666667</v>
      </c>
      <c r="K272" s="114">
        <f t="shared" si="13"/>
        <v>317.646666666667</v>
      </c>
      <c r="L272" s="114">
        <f>IFERROR(VLOOKUP(B272,上月数量需更新!A:C,3,0),0)</f>
        <v>284.68</v>
      </c>
      <c r="M272" s="121">
        <f t="shared" si="14"/>
        <v>32.9666666666666</v>
      </c>
      <c r="N272" t="str">
        <f>VLOOKUP(B272,计算!R:X,7,0)</f>
        <v>少使用1瓶</v>
      </c>
      <c r="O272" t="s">
        <v>34</v>
      </c>
      <c r="P272" t="str">
        <f>VLOOKUP(B272,物料分类!B:F,5,0)</f>
        <v>成本-酒水类</v>
      </c>
    </row>
    <row r="273" spans="1:16">
      <c r="A273">
        <v>272</v>
      </c>
      <c r="B273">
        <v>4502863</v>
      </c>
      <c r="C273" t="s">
        <v>340</v>
      </c>
      <c r="D273">
        <v>364</v>
      </c>
      <c r="E273">
        <v>303</v>
      </c>
      <c r="F273" t="s">
        <v>32</v>
      </c>
      <c r="G273" t="s">
        <v>33</v>
      </c>
      <c r="H273" t="s">
        <v>32</v>
      </c>
      <c r="I273" s="73">
        <f t="shared" si="12"/>
        <v>61</v>
      </c>
      <c r="J273" s="114">
        <f>VLOOKUP(B273,本月系统单价mb5b!$B:$P,15,0)</f>
        <v>3</v>
      </c>
      <c r="K273" s="114">
        <f t="shared" si="13"/>
        <v>183</v>
      </c>
      <c r="L273" s="114">
        <f>IFERROR(VLOOKUP(B273,上月数量需更新!A:C,3,0),0)</f>
        <v>363</v>
      </c>
      <c r="M273" s="121">
        <f t="shared" si="14"/>
        <v>-180</v>
      </c>
      <c r="N273" t="str">
        <f>VLOOKUP(B273,计算!R:X,7,0)</f>
        <v>少使用40瓶</v>
      </c>
      <c r="O273" t="s">
        <v>341</v>
      </c>
      <c r="P273" t="str">
        <f>VLOOKUP(B273,物料分类!B:F,5,0)</f>
        <v>成本-酒水类</v>
      </c>
    </row>
    <row r="274" hidden="1" spans="1:16">
      <c r="A274">
        <v>273</v>
      </c>
      <c r="B274">
        <v>4520458</v>
      </c>
      <c r="C274" t="s">
        <v>342</v>
      </c>
      <c r="D274">
        <v>16</v>
      </c>
      <c r="E274">
        <v>11</v>
      </c>
      <c r="F274" t="s">
        <v>29</v>
      </c>
      <c r="G274" t="s">
        <v>30</v>
      </c>
      <c r="H274" t="s">
        <v>29</v>
      </c>
      <c r="I274" s="73">
        <f t="shared" si="12"/>
        <v>5</v>
      </c>
      <c r="J274" s="114">
        <f>VLOOKUP(B274,本月系统单价mb5b!$B:$P,15,0)</f>
        <v>11.72125</v>
      </c>
      <c r="K274" s="114">
        <f t="shared" si="13"/>
        <v>58.60625</v>
      </c>
      <c r="L274" s="114">
        <f>IFERROR(VLOOKUP(B274,上月数量需更新!A:C,3,0),0)</f>
        <v>46.88</v>
      </c>
      <c r="M274" s="121">
        <f t="shared" si="14"/>
        <v>11.72625</v>
      </c>
      <c r="P274" t="str">
        <f>VLOOKUP(B274,物料分类!B:F,5,0)</f>
        <v>成本-酒水类</v>
      </c>
    </row>
    <row r="275" hidden="1" spans="1:16">
      <c r="A275">
        <v>274</v>
      </c>
      <c r="B275">
        <v>4513501</v>
      </c>
      <c r="C275" t="s">
        <v>343</v>
      </c>
      <c r="D275">
        <v>650</v>
      </c>
      <c r="E275">
        <v>35</v>
      </c>
      <c r="F275" t="s">
        <v>29</v>
      </c>
      <c r="G275" t="s">
        <v>30</v>
      </c>
      <c r="H275" t="s">
        <v>29</v>
      </c>
      <c r="I275" s="73">
        <f t="shared" si="12"/>
        <v>615</v>
      </c>
      <c r="J275" s="114">
        <f>VLOOKUP(B275,本月系统单价mb5b!$B:$P,15,0)</f>
        <v>0.52</v>
      </c>
      <c r="K275" s="114">
        <f t="shared" si="13"/>
        <v>319.8</v>
      </c>
      <c r="L275" s="114">
        <f>IFERROR(VLOOKUP(B275,上月数量需更新!A:C,3,0),0)</f>
        <v>578.71</v>
      </c>
      <c r="M275" s="121">
        <f t="shared" si="14"/>
        <v>-258.91</v>
      </c>
      <c r="P275" t="str">
        <f>VLOOKUP(B275,物料分类!B:F,5,0)</f>
        <v>成本-素菜类</v>
      </c>
    </row>
    <row r="276" hidden="1" spans="1:16">
      <c r="A276">
        <v>275</v>
      </c>
      <c r="B276">
        <v>1500865</v>
      </c>
      <c r="C276" t="s">
        <v>344</v>
      </c>
      <c r="D276">
        <v>23</v>
      </c>
      <c r="E276">
        <v>6</v>
      </c>
      <c r="F276" t="s">
        <v>32</v>
      </c>
      <c r="G276" t="s">
        <v>33</v>
      </c>
      <c r="H276" t="s">
        <v>32</v>
      </c>
      <c r="I276" s="73">
        <f t="shared" si="12"/>
        <v>17</v>
      </c>
      <c r="J276" s="114">
        <f>VLOOKUP(B276,本月系统单价mb5b!$B:$P,15,0)</f>
        <v>8.43304347826087</v>
      </c>
      <c r="K276" s="114">
        <f t="shared" si="13"/>
        <v>143.361739130435</v>
      </c>
      <c r="L276" s="114">
        <f>IFERROR(VLOOKUP(B276,上月数量需更新!A:C,3,0),0)</f>
        <v>118.07</v>
      </c>
      <c r="M276" s="121">
        <f t="shared" si="14"/>
        <v>25.2917391304348</v>
      </c>
      <c r="P276" t="str">
        <f>VLOOKUP(B276,物料分类!B:F,5,0)</f>
        <v>成本-小料台类</v>
      </c>
    </row>
    <row r="277" hidden="1" spans="1:16">
      <c r="A277">
        <v>186</v>
      </c>
      <c r="B277">
        <v>8013731</v>
      </c>
      <c r="C277" t="s">
        <v>345</v>
      </c>
      <c r="D277">
        <v>600</v>
      </c>
      <c r="E277">
        <v>0</v>
      </c>
      <c r="F277" t="s">
        <v>20</v>
      </c>
      <c r="G277" t="s">
        <v>21</v>
      </c>
      <c r="H277" t="s">
        <v>20</v>
      </c>
      <c r="I277" s="73">
        <f t="shared" si="12"/>
        <v>600</v>
      </c>
      <c r="J277" s="114">
        <f>VLOOKUP(B277,本月系统单价mb5b!$B:$P,15,0)</f>
        <v>0.0233333333333333</v>
      </c>
      <c r="K277" s="114">
        <f t="shared" si="13"/>
        <v>14</v>
      </c>
      <c r="L277" s="114">
        <f>IFERROR(VLOOKUP(B277,上月数量需更新!A:C,3,0),0)</f>
        <v>32.68</v>
      </c>
      <c r="M277" s="121">
        <f t="shared" si="14"/>
        <v>-18.68</v>
      </c>
      <c r="P277" t="str">
        <f>VLOOKUP(B277,物料分类!B:F,5,0)</f>
        <v>物料消耗</v>
      </c>
    </row>
    <row r="278" hidden="1" spans="1:16">
      <c r="A278">
        <v>277</v>
      </c>
      <c r="B278">
        <v>4520558</v>
      </c>
      <c r="C278" t="s">
        <v>346</v>
      </c>
      <c r="D278">
        <v>46</v>
      </c>
      <c r="E278">
        <v>7</v>
      </c>
      <c r="F278" t="s">
        <v>137</v>
      </c>
      <c r="G278" t="s">
        <v>138</v>
      </c>
      <c r="H278" t="s">
        <v>137</v>
      </c>
      <c r="I278" s="73">
        <f t="shared" si="12"/>
        <v>39</v>
      </c>
      <c r="J278" s="114">
        <f>VLOOKUP(B278,本月系统单价mb5b!$B:$P,15,0)</f>
        <v>5.49108695652174</v>
      </c>
      <c r="K278" s="114">
        <f t="shared" si="13"/>
        <v>214.152391304348</v>
      </c>
      <c r="L278" s="114">
        <f>IFERROR(VLOOKUP(B278,上月数量需更新!A:C,3,0),0)</f>
        <v>225.21</v>
      </c>
      <c r="M278" s="121">
        <f t="shared" si="14"/>
        <v>-11.0576086956522</v>
      </c>
      <c r="P278" t="str">
        <f>VLOOKUP(B278,物料分类!B:F,5,0)</f>
        <v>成本-酒水类</v>
      </c>
    </row>
    <row r="279" spans="1:16">
      <c r="A279">
        <v>278</v>
      </c>
      <c r="B279">
        <v>3000759</v>
      </c>
      <c r="C279" t="s">
        <v>347</v>
      </c>
      <c r="D279">
        <v>1140</v>
      </c>
      <c r="E279">
        <v>660</v>
      </c>
      <c r="F279" t="s">
        <v>73</v>
      </c>
      <c r="G279" t="s">
        <v>74</v>
      </c>
      <c r="H279" t="s">
        <v>73</v>
      </c>
      <c r="I279" s="73">
        <f t="shared" si="12"/>
        <v>480</v>
      </c>
      <c r="J279" s="114">
        <f>VLOOKUP(B279,本月系统单价mb5b!$B:$P,15,0)</f>
        <v>8.68239473684211</v>
      </c>
      <c r="K279" s="114">
        <f t="shared" si="13"/>
        <v>4167.54947368421</v>
      </c>
      <c r="L279" s="114">
        <f>IFERROR(VLOOKUP(B279,上月数量需更新!A:C,3,0),0)</f>
        <v>5553.03</v>
      </c>
      <c r="M279" s="121">
        <f t="shared" si="14"/>
        <v>-1385.48052631579</v>
      </c>
      <c r="N279" t="str">
        <f>VLOOKUP(B279,计算!R:X,7,0)</f>
        <v>少使用了97kg</v>
      </c>
      <c r="O279" t="s">
        <v>348</v>
      </c>
      <c r="P279" t="str">
        <f>VLOOKUP(B279,物料分类!B:F,5,0)</f>
        <v>成本-锅底类</v>
      </c>
    </row>
    <row r="280" hidden="1" spans="1:16">
      <c r="A280">
        <v>279</v>
      </c>
      <c r="B280">
        <v>3003393</v>
      </c>
      <c r="C280" t="s">
        <v>349</v>
      </c>
      <c r="D280">
        <v>967.5</v>
      </c>
      <c r="E280">
        <v>262.5</v>
      </c>
      <c r="F280" t="s">
        <v>73</v>
      </c>
      <c r="G280" t="s">
        <v>74</v>
      </c>
      <c r="H280" t="s">
        <v>73</v>
      </c>
      <c r="I280" s="73">
        <f t="shared" si="12"/>
        <v>705</v>
      </c>
      <c r="J280" s="114">
        <f>VLOOKUP(B280,本月系统单价mb5b!$B:$P,15,0)</f>
        <v>8.46934366925065</v>
      </c>
      <c r="K280" s="114">
        <f t="shared" si="13"/>
        <v>5970.88728682171</v>
      </c>
      <c r="L280" s="114">
        <f>IFERROR(VLOOKUP(B280,上月数量需更新!A:C,3,0),0)</f>
        <v>6288.65</v>
      </c>
      <c r="M280" s="121">
        <f t="shared" si="14"/>
        <v>-317.762713178294</v>
      </c>
      <c r="P280" t="str">
        <f>VLOOKUP(B280,物料分类!B:F,5,0)</f>
        <v>成本-锅底类</v>
      </c>
    </row>
    <row r="281" hidden="1" spans="1:16">
      <c r="A281">
        <v>280</v>
      </c>
      <c r="B281">
        <v>1500736</v>
      </c>
      <c r="C281" t="s">
        <v>350</v>
      </c>
      <c r="D281">
        <v>203</v>
      </c>
      <c r="E281">
        <v>16</v>
      </c>
      <c r="F281" t="s">
        <v>137</v>
      </c>
      <c r="G281" t="s">
        <v>138</v>
      </c>
      <c r="H281" t="s">
        <v>137</v>
      </c>
      <c r="I281" s="73">
        <f t="shared" si="12"/>
        <v>187</v>
      </c>
      <c r="J281" s="114">
        <f>VLOOKUP(B281,本月系统单价mb5b!$B:$P,15,0)</f>
        <v>2.29182266009852</v>
      </c>
      <c r="K281" s="114">
        <f t="shared" si="13"/>
        <v>428.570837438424</v>
      </c>
      <c r="L281" s="114">
        <f>IFERROR(VLOOKUP(B281,上月数量需更新!A:C,3,0),0)</f>
        <v>515.99</v>
      </c>
      <c r="M281" s="121">
        <f t="shared" si="14"/>
        <v>-87.4191625615763</v>
      </c>
      <c r="P281" t="str">
        <f>VLOOKUP(B281,物料分类!B:F,5,0)</f>
        <v>成本-素菜类</v>
      </c>
    </row>
    <row r="282" hidden="1" spans="1:16">
      <c r="A282">
        <v>281</v>
      </c>
      <c r="B282">
        <v>4726198</v>
      </c>
      <c r="C282" t="s">
        <v>351</v>
      </c>
      <c r="D282">
        <v>22</v>
      </c>
      <c r="E282">
        <v>2</v>
      </c>
      <c r="F282" t="s">
        <v>127</v>
      </c>
      <c r="G282" t="s">
        <v>128</v>
      </c>
      <c r="H282" t="s">
        <v>127</v>
      </c>
      <c r="I282" s="73">
        <f t="shared" si="12"/>
        <v>20</v>
      </c>
      <c r="J282" s="114">
        <f>VLOOKUP(B282,本月系统单价mb5b!$B:$P,15,0)</f>
        <v>22</v>
      </c>
      <c r="K282" s="114">
        <f t="shared" si="13"/>
        <v>440</v>
      </c>
      <c r="L282" s="114">
        <f>IFERROR(VLOOKUP(B282,上月数量需更新!A:C,3,0),0)</f>
        <v>440</v>
      </c>
      <c r="M282" s="121">
        <f t="shared" si="14"/>
        <v>0</v>
      </c>
      <c r="P282" t="str">
        <f>VLOOKUP(B282,物料分类!B:F,5,0)</f>
        <v>成本-荤菜类</v>
      </c>
    </row>
    <row r="283" hidden="1" spans="1:16">
      <c r="A283">
        <v>301</v>
      </c>
      <c r="B283">
        <v>8011445</v>
      </c>
      <c r="C283" t="s">
        <v>352</v>
      </c>
      <c r="D283">
        <v>2000</v>
      </c>
      <c r="E283">
        <v>0</v>
      </c>
      <c r="F283" t="s">
        <v>29</v>
      </c>
      <c r="G283" t="s">
        <v>30</v>
      </c>
      <c r="H283" t="s">
        <v>29</v>
      </c>
      <c r="I283" s="73">
        <f t="shared" si="12"/>
        <v>2000</v>
      </c>
      <c r="J283" s="114">
        <f>VLOOKUP(B283,本月系统单价mb5b!$B:$P,15,0)</f>
        <v>0.0057</v>
      </c>
      <c r="K283" s="114">
        <f t="shared" si="13"/>
        <v>11.4</v>
      </c>
      <c r="L283" s="114">
        <f>IFERROR(VLOOKUP(B283,上月数量需更新!A:C,3,0),0)</f>
        <v>102.59</v>
      </c>
      <c r="M283" s="121">
        <f t="shared" si="14"/>
        <v>-91.19</v>
      </c>
      <c r="P283" t="str">
        <f>VLOOKUP(B283,物料分类!B:F,5,0)</f>
        <v>物料消耗</v>
      </c>
    </row>
    <row r="284" hidden="1" spans="1:16">
      <c r="A284">
        <v>260</v>
      </c>
      <c r="B284">
        <v>1500938</v>
      </c>
      <c r="C284" t="s">
        <v>353</v>
      </c>
      <c r="D284">
        <v>4</v>
      </c>
      <c r="E284">
        <v>3</v>
      </c>
      <c r="F284" t="s">
        <v>55</v>
      </c>
      <c r="G284" t="s">
        <v>56</v>
      </c>
      <c r="H284" t="s">
        <v>55</v>
      </c>
      <c r="I284" s="73">
        <f t="shared" si="12"/>
        <v>1</v>
      </c>
      <c r="J284" s="114">
        <f>VLOOKUP(B284,本月系统单价mb5b!$B:$P,15,0)</f>
        <v>8.25</v>
      </c>
      <c r="K284" s="114">
        <f t="shared" si="13"/>
        <v>8.25</v>
      </c>
      <c r="L284" s="114">
        <f>IFERROR(VLOOKUP(B284,上月数量需更新!A:C,3,0),0)</f>
        <v>8.25</v>
      </c>
      <c r="M284" s="121">
        <f t="shared" si="14"/>
        <v>0</v>
      </c>
      <c r="P284" t="str">
        <f>VLOOKUP(B284,物料分类!B:F,5,0)</f>
        <v>物料消耗</v>
      </c>
    </row>
    <row r="285" hidden="1" spans="1:16">
      <c r="A285">
        <v>174</v>
      </c>
      <c r="B285">
        <v>4505395</v>
      </c>
      <c r="C285" t="s">
        <v>354</v>
      </c>
      <c r="D285">
        <v>2300</v>
      </c>
      <c r="E285">
        <v>2000</v>
      </c>
      <c r="F285" t="s">
        <v>20</v>
      </c>
      <c r="G285" t="s">
        <v>21</v>
      </c>
      <c r="H285" t="s">
        <v>20</v>
      </c>
      <c r="I285" s="73">
        <f t="shared" si="12"/>
        <v>300</v>
      </c>
      <c r="J285" s="114">
        <f>VLOOKUP(B285,本月系统单价mb5b!$B:$P,15,0)</f>
        <v>0.0170260869565217</v>
      </c>
      <c r="K285" s="114">
        <f t="shared" si="13"/>
        <v>5.10782608695652</v>
      </c>
      <c r="L285" s="114">
        <f>IFERROR(VLOOKUP(B285,上月数量需更新!A:C,3,0),0)</f>
        <v>0</v>
      </c>
      <c r="M285" s="121">
        <f t="shared" si="14"/>
        <v>5.10782608695652</v>
      </c>
      <c r="P285" t="str">
        <f>VLOOKUP(B285,物料分类!B:F,5,0)</f>
        <v>物料消耗</v>
      </c>
    </row>
    <row r="286" hidden="1" spans="1:16">
      <c r="A286">
        <v>173</v>
      </c>
      <c r="B286">
        <v>4505396</v>
      </c>
      <c r="C286" t="s">
        <v>355</v>
      </c>
      <c r="D286">
        <v>2300</v>
      </c>
      <c r="E286">
        <v>2000</v>
      </c>
      <c r="F286" t="s">
        <v>20</v>
      </c>
      <c r="G286" t="s">
        <v>21</v>
      </c>
      <c r="H286" t="s">
        <v>20</v>
      </c>
      <c r="I286" s="73">
        <f t="shared" si="12"/>
        <v>300</v>
      </c>
      <c r="J286" s="114">
        <f>VLOOKUP(B286,本月系统单价mb5b!$B:$P,15,0)</f>
        <v>0.0130391304347826</v>
      </c>
      <c r="K286" s="114">
        <f t="shared" si="13"/>
        <v>3.91173913043478</v>
      </c>
      <c r="L286" s="114">
        <f>IFERROR(VLOOKUP(B286,上月数量需更新!A:C,3,0),0)</f>
        <v>0</v>
      </c>
      <c r="M286" s="121">
        <f t="shared" si="14"/>
        <v>3.91173913043478</v>
      </c>
      <c r="P286" t="str">
        <f>VLOOKUP(B286,物料分类!B:F,5,0)</f>
        <v>物料消耗</v>
      </c>
    </row>
    <row r="287" hidden="1" spans="1:16">
      <c r="A287">
        <v>286</v>
      </c>
      <c r="B287">
        <v>4516992</v>
      </c>
      <c r="C287" t="s">
        <v>356</v>
      </c>
      <c r="D287">
        <v>41</v>
      </c>
      <c r="E287">
        <v>7</v>
      </c>
      <c r="F287" t="s">
        <v>73</v>
      </c>
      <c r="G287" t="s">
        <v>74</v>
      </c>
      <c r="H287" t="s">
        <v>73</v>
      </c>
      <c r="I287" s="73">
        <f t="shared" si="12"/>
        <v>34</v>
      </c>
      <c r="J287" s="114">
        <f>VLOOKUP(B287,本月系统单价mb5b!$B:$P,15,0)</f>
        <v>35</v>
      </c>
      <c r="K287" s="114">
        <f t="shared" si="13"/>
        <v>1190</v>
      </c>
      <c r="L287" s="114">
        <f>IFERROR(VLOOKUP(B287,上月数量需更新!A:C,3,0),0)</f>
        <v>700</v>
      </c>
      <c r="M287" s="121">
        <f t="shared" si="14"/>
        <v>490</v>
      </c>
      <c r="P287" t="str">
        <f>VLOOKUP(B287,物料分类!B:F,5,0)</f>
        <v>成本-荤菜类</v>
      </c>
    </row>
    <row r="288" hidden="1" spans="1:16">
      <c r="A288">
        <v>287</v>
      </c>
      <c r="B288">
        <v>4040829</v>
      </c>
      <c r="C288" t="s">
        <v>357</v>
      </c>
      <c r="D288">
        <v>500</v>
      </c>
      <c r="E288">
        <v>0</v>
      </c>
      <c r="F288" t="s">
        <v>20</v>
      </c>
      <c r="G288" t="s">
        <v>21</v>
      </c>
      <c r="H288" t="s">
        <v>20</v>
      </c>
      <c r="I288" s="73">
        <f t="shared" si="12"/>
        <v>500</v>
      </c>
      <c r="J288" s="114">
        <f>VLOOKUP(B288,本月系统单价mb5b!$B:$P,15,0)</f>
        <v>0.58406</v>
      </c>
      <c r="K288" s="114">
        <f t="shared" si="13"/>
        <v>292.03</v>
      </c>
      <c r="L288" s="114">
        <f>IFERROR(VLOOKUP(B288,上月数量需更新!A:C,3,0),0)</f>
        <v>0</v>
      </c>
      <c r="M288" s="121">
        <f t="shared" si="14"/>
        <v>292.03</v>
      </c>
      <c r="P288" t="str">
        <f>VLOOKUP(B288,物料分类!B:F,5,0)</f>
        <v>服务费</v>
      </c>
    </row>
    <row r="289" hidden="1" spans="1:16">
      <c r="A289">
        <v>288</v>
      </c>
      <c r="B289">
        <v>3007923</v>
      </c>
      <c r="C289" t="s">
        <v>358</v>
      </c>
      <c r="D289">
        <v>38.88</v>
      </c>
      <c r="E289">
        <v>19.44</v>
      </c>
      <c r="F289" t="s">
        <v>73</v>
      </c>
      <c r="G289" t="s">
        <v>74</v>
      </c>
      <c r="H289" t="s">
        <v>73</v>
      </c>
      <c r="I289" s="73">
        <f t="shared" si="12"/>
        <v>19.44</v>
      </c>
      <c r="J289" s="114">
        <f>VLOOKUP(B289,本月系统单价mb5b!$B:$P,15,0)</f>
        <v>16.5354938271605</v>
      </c>
      <c r="K289" s="114">
        <f t="shared" si="13"/>
        <v>321.45</v>
      </c>
      <c r="L289" s="114">
        <f>IFERROR(VLOOKUP(B289,上月数量需更新!A:C,3,0),0)</f>
        <v>1376.55</v>
      </c>
      <c r="M289" s="121">
        <f t="shared" si="14"/>
        <v>-1055.1</v>
      </c>
      <c r="P289" t="str">
        <f>VLOOKUP(B289,物料分类!B:F,5,0)</f>
        <v>成本-锅底类</v>
      </c>
    </row>
    <row r="290" hidden="1" spans="1:16">
      <c r="A290">
        <v>289</v>
      </c>
      <c r="B290">
        <v>4526759</v>
      </c>
      <c r="C290" t="s">
        <v>359</v>
      </c>
      <c r="D290">
        <v>216</v>
      </c>
      <c r="E290">
        <v>60</v>
      </c>
      <c r="F290" t="s">
        <v>73</v>
      </c>
      <c r="G290" t="s">
        <v>74</v>
      </c>
      <c r="H290" t="s">
        <v>73</v>
      </c>
      <c r="I290" s="73">
        <f t="shared" si="12"/>
        <v>156</v>
      </c>
      <c r="J290" s="114">
        <f>VLOOKUP(B290,本月系统单价mb5b!$B:$P,15,0)</f>
        <v>3.68532407407407</v>
      </c>
      <c r="K290" s="114">
        <f t="shared" si="13"/>
        <v>574.910555555556</v>
      </c>
      <c r="L290" s="114">
        <f>IFERROR(VLOOKUP(B290,上月数量需更新!A:C,3,0),0)</f>
        <v>176.57</v>
      </c>
      <c r="M290" s="121">
        <f t="shared" si="14"/>
        <v>398.340555555556</v>
      </c>
      <c r="P290" t="str">
        <f>VLOOKUP(B290,物料分类!B:F,5,0)</f>
        <v>成本-素菜类</v>
      </c>
    </row>
    <row r="291" hidden="1" spans="1:16">
      <c r="A291">
        <v>290</v>
      </c>
      <c r="B291">
        <v>1500820</v>
      </c>
      <c r="C291" t="s">
        <v>360</v>
      </c>
      <c r="D291">
        <v>240</v>
      </c>
      <c r="E291">
        <v>55</v>
      </c>
      <c r="F291" t="s">
        <v>29</v>
      </c>
      <c r="G291" t="s">
        <v>30</v>
      </c>
      <c r="H291" t="s">
        <v>29</v>
      </c>
      <c r="I291" s="73">
        <f t="shared" si="12"/>
        <v>185</v>
      </c>
      <c r="J291" s="114">
        <f>VLOOKUP(B291,本月系统单价mb5b!$B:$P,15,0)</f>
        <v>1.35416666666667</v>
      </c>
      <c r="K291" s="114">
        <f t="shared" si="13"/>
        <v>250.520833333333</v>
      </c>
      <c r="L291" s="114">
        <f>IFERROR(VLOOKUP(B291,上月数量需更新!A:C,3,0),0)</f>
        <v>260</v>
      </c>
      <c r="M291" s="121">
        <f t="shared" si="14"/>
        <v>-9.47916666666666</v>
      </c>
      <c r="P291" t="str">
        <f>VLOOKUP(B291,物料分类!B:F,5,0)</f>
        <v>成本-小吃类</v>
      </c>
    </row>
    <row r="292" hidden="1" spans="1:16">
      <c r="A292">
        <v>291</v>
      </c>
      <c r="B292">
        <v>1501696</v>
      </c>
      <c r="C292" t="s">
        <v>361</v>
      </c>
      <c r="D292">
        <v>556.97</v>
      </c>
      <c r="E292">
        <v>32</v>
      </c>
      <c r="F292" t="s">
        <v>29</v>
      </c>
      <c r="G292" t="s">
        <v>30</v>
      </c>
      <c r="H292" t="s">
        <v>29</v>
      </c>
      <c r="I292" s="73">
        <f t="shared" si="12"/>
        <v>524.97</v>
      </c>
      <c r="J292" s="114">
        <f>VLOOKUP(B292,本月系统单价mb5b!$B:$P,15,0)</f>
        <v>2.72722049661562</v>
      </c>
      <c r="K292" s="114">
        <f t="shared" si="13"/>
        <v>1431.7089441083</v>
      </c>
      <c r="L292" s="114">
        <f>IFERROR(VLOOKUP(B292,上月数量需更新!A:C,3,0),0)</f>
        <v>594.61</v>
      </c>
      <c r="M292" s="121">
        <f t="shared" si="14"/>
        <v>837.0989441083</v>
      </c>
      <c r="P292" t="str">
        <f>VLOOKUP(B292,物料分类!B:F,5,0)</f>
        <v>成本-素菜类</v>
      </c>
    </row>
    <row r="293" hidden="1" spans="1:16">
      <c r="A293">
        <v>292</v>
      </c>
      <c r="B293">
        <v>1500881</v>
      </c>
      <c r="C293" t="s">
        <v>362</v>
      </c>
      <c r="D293">
        <v>351</v>
      </c>
      <c r="E293">
        <v>64</v>
      </c>
      <c r="F293" t="s">
        <v>32</v>
      </c>
      <c r="G293" t="s">
        <v>33</v>
      </c>
      <c r="H293" t="s">
        <v>32</v>
      </c>
      <c r="I293" s="73">
        <f t="shared" si="12"/>
        <v>287</v>
      </c>
      <c r="J293" s="114">
        <f>VLOOKUP(B293,本月系统单价mb5b!$B:$P,15,0)</f>
        <v>3.25</v>
      </c>
      <c r="K293" s="114">
        <f t="shared" si="13"/>
        <v>932.75</v>
      </c>
      <c r="L293" s="114">
        <f>IFERROR(VLOOKUP(B293,上月数量需更新!A:C,3,0),0)</f>
        <v>926.25</v>
      </c>
      <c r="M293" s="121">
        <f t="shared" si="14"/>
        <v>6.5</v>
      </c>
      <c r="P293" t="str">
        <f>VLOOKUP(B293,物料分类!B:F,5,0)</f>
        <v>成本-小吃类</v>
      </c>
    </row>
    <row r="294" hidden="1" spans="1:16">
      <c r="A294">
        <v>10</v>
      </c>
      <c r="B294">
        <v>8015125</v>
      </c>
      <c r="C294" t="s">
        <v>363</v>
      </c>
      <c r="D294">
        <v>10</v>
      </c>
      <c r="E294">
        <v>10</v>
      </c>
      <c r="F294" t="s">
        <v>20</v>
      </c>
      <c r="G294" t="s">
        <v>21</v>
      </c>
      <c r="H294" t="s">
        <v>20</v>
      </c>
      <c r="I294" s="73">
        <f t="shared" si="12"/>
        <v>0</v>
      </c>
      <c r="J294" s="114">
        <f>VLOOKUP(B294,本月系统单价mb5b!$B:$P,15,0)</f>
        <v>5.528</v>
      </c>
      <c r="K294" s="114">
        <f t="shared" si="13"/>
        <v>0</v>
      </c>
      <c r="L294" s="114">
        <f>IFERROR(VLOOKUP(B294,上月数量需更新!A:C,3,0),0)</f>
        <v>0</v>
      </c>
      <c r="M294" s="121">
        <f t="shared" si="14"/>
        <v>0</v>
      </c>
      <c r="P294" t="str">
        <f>VLOOKUP(B294,物料分类!B:F,5,0)</f>
        <v>物料消耗</v>
      </c>
    </row>
    <row r="295" hidden="1" spans="1:16">
      <c r="A295">
        <v>294</v>
      </c>
      <c r="B295">
        <v>1500851</v>
      </c>
      <c r="C295" t="s">
        <v>364</v>
      </c>
      <c r="D295">
        <v>22.6</v>
      </c>
      <c r="E295">
        <v>22.6</v>
      </c>
      <c r="F295" t="s">
        <v>73</v>
      </c>
      <c r="G295" t="s">
        <v>74</v>
      </c>
      <c r="H295" t="s">
        <v>73</v>
      </c>
      <c r="I295" s="73">
        <f t="shared" si="12"/>
        <v>0</v>
      </c>
      <c r="J295" s="114">
        <f>VLOOKUP(B295,本月系统单价mb5b!$B:$P,15,0)</f>
        <v>9.38407079646018</v>
      </c>
      <c r="K295" s="114">
        <f t="shared" si="13"/>
        <v>0</v>
      </c>
      <c r="L295" s="114">
        <f>IFERROR(VLOOKUP(B295,上月数量需更新!A:C,3,0),0)</f>
        <v>0</v>
      </c>
      <c r="M295" s="121">
        <f t="shared" si="14"/>
        <v>0</v>
      </c>
      <c r="P295" t="str">
        <f>VLOOKUP(B295,物料分类!B:F,5,0)</f>
        <v>成本-小料台类</v>
      </c>
    </row>
    <row r="296" hidden="1" spans="1:16">
      <c r="A296">
        <v>295</v>
      </c>
      <c r="B296">
        <v>4028302</v>
      </c>
      <c r="C296" t="s">
        <v>365</v>
      </c>
      <c r="D296">
        <v>107.5</v>
      </c>
      <c r="E296">
        <v>50</v>
      </c>
      <c r="F296" t="s">
        <v>73</v>
      </c>
      <c r="G296" t="s">
        <v>74</v>
      </c>
      <c r="H296" t="s">
        <v>73</v>
      </c>
      <c r="I296" s="73">
        <f t="shared" si="12"/>
        <v>57.5</v>
      </c>
      <c r="J296" s="114">
        <f>VLOOKUP(B296,本月系统单价mb5b!$B:$P,15,0)</f>
        <v>6.7246511627907</v>
      </c>
      <c r="K296" s="114">
        <f t="shared" si="13"/>
        <v>386.667441860465</v>
      </c>
      <c r="L296" s="114">
        <f>IFERROR(VLOOKUP(B296,上月数量需更新!A:C,3,0),0)</f>
        <v>672.73</v>
      </c>
      <c r="M296" s="121">
        <f t="shared" si="14"/>
        <v>-286.062558139535</v>
      </c>
      <c r="P296" t="str">
        <f>VLOOKUP(B296,物料分类!B:F,5,0)</f>
        <v>成本-小料台类</v>
      </c>
    </row>
    <row r="297" hidden="1" spans="1:16">
      <c r="A297">
        <v>296</v>
      </c>
      <c r="B297">
        <v>4526260</v>
      </c>
      <c r="C297" t="s">
        <v>366</v>
      </c>
      <c r="D297">
        <v>148</v>
      </c>
      <c r="E297">
        <v>126</v>
      </c>
      <c r="F297" t="s">
        <v>32</v>
      </c>
      <c r="G297" t="s">
        <v>33</v>
      </c>
      <c r="H297" t="s">
        <v>32</v>
      </c>
      <c r="I297" s="73">
        <f t="shared" si="12"/>
        <v>22</v>
      </c>
      <c r="J297" s="114">
        <f>VLOOKUP(B297,本月系统单价mb5b!$B:$P,15,0)</f>
        <v>6.69</v>
      </c>
      <c r="K297" s="114">
        <f t="shared" si="13"/>
        <v>147.18</v>
      </c>
      <c r="L297" s="114">
        <f>IFERROR(VLOOKUP(B297,上月数量需更新!A:C,3,0),0)</f>
        <v>107.04</v>
      </c>
      <c r="M297" s="121">
        <f t="shared" si="14"/>
        <v>40.14</v>
      </c>
      <c r="P297" t="str">
        <f>VLOOKUP(B297,物料分类!B:F,5,0)</f>
        <v>成本-酒水类</v>
      </c>
    </row>
    <row r="298" hidden="1" spans="1:16">
      <c r="A298">
        <v>297</v>
      </c>
      <c r="B298">
        <v>4526259</v>
      </c>
      <c r="C298" t="s">
        <v>367</v>
      </c>
      <c r="D298">
        <v>121</v>
      </c>
      <c r="E298">
        <v>101</v>
      </c>
      <c r="F298" t="s">
        <v>32</v>
      </c>
      <c r="G298" t="s">
        <v>33</v>
      </c>
      <c r="H298" t="s">
        <v>32</v>
      </c>
      <c r="I298" s="73">
        <f t="shared" si="12"/>
        <v>20</v>
      </c>
      <c r="J298" s="114">
        <f>VLOOKUP(B298,本月系统单价mb5b!$B:$P,15,0)</f>
        <v>6.72</v>
      </c>
      <c r="K298" s="114">
        <f t="shared" si="13"/>
        <v>134.4</v>
      </c>
      <c r="L298" s="114">
        <f>IFERROR(VLOOKUP(B298,上月数量需更新!A:C,3,0),0)</f>
        <v>120.96</v>
      </c>
      <c r="M298" s="121">
        <f t="shared" si="14"/>
        <v>13.44</v>
      </c>
      <c r="P298" t="str">
        <f>VLOOKUP(B298,物料分类!B:F,5,0)</f>
        <v>成本-酒水类</v>
      </c>
    </row>
    <row r="299" hidden="1" spans="1:16">
      <c r="A299">
        <v>298</v>
      </c>
      <c r="B299">
        <v>4526258</v>
      </c>
      <c r="C299" t="s">
        <v>368</v>
      </c>
      <c r="D299">
        <v>71</v>
      </c>
      <c r="E299">
        <v>30</v>
      </c>
      <c r="F299" t="s">
        <v>32</v>
      </c>
      <c r="G299" t="s">
        <v>33</v>
      </c>
      <c r="H299" t="s">
        <v>32</v>
      </c>
      <c r="I299" s="73">
        <f t="shared" si="12"/>
        <v>41</v>
      </c>
      <c r="J299" s="114">
        <f>VLOOKUP(B299,本月系统单价mb5b!$B:$P,15,0)</f>
        <v>6.62</v>
      </c>
      <c r="K299" s="114">
        <f t="shared" si="13"/>
        <v>271.42</v>
      </c>
      <c r="L299" s="114">
        <f>IFERROR(VLOOKUP(B299,上月数量需更新!A:C,3,0),0)</f>
        <v>218.46</v>
      </c>
      <c r="M299" s="121">
        <f t="shared" si="14"/>
        <v>52.96</v>
      </c>
      <c r="P299" t="str">
        <f>VLOOKUP(B299,物料分类!B:F,5,0)</f>
        <v>成本-酒水类</v>
      </c>
    </row>
    <row r="300" hidden="1" spans="1:16">
      <c r="A300">
        <v>299</v>
      </c>
      <c r="B300">
        <v>4516301</v>
      </c>
      <c r="C300" t="s">
        <v>369</v>
      </c>
      <c r="D300">
        <v>86.4</v>
      </c>
      <c r="E300">
        <v>18</v>
      </c>
      <c r="F300" t="s">
        <v>73</v>
      </c>
      <c r="G300" t="s">
        <v>74</v>
      </c>
      <c r="H300" t="s">
        <v>73</v>
      </c>
      <c r="I300" s="73">
        <f t="shared" si="12"/>
        <v>68.4</v>
      </c>
      <c r="J300" s="114">
        <f>VLOOKUP(B300,本月系统单价mb5b!$B:$P,15,0)</f>
        <v>6.10219907407407</v>
      </c>
      <c r="K300" s="114">
        <f t="shared" si="13"/>
        <v>417.390416666667</v>
      </c>
      <c r="L300" s="114">
        <f>IFERROR(VLOOKUP(B300,上月数量需更新!A:C,3,0),0)</f>
        <v>372.13</v>
      </c>
      <c r="M300" s="121">
        <f t="shared" si="14"/>
        <v>45.2604166666667</v>
      </c>
      <c r="P300" t="str">
        <f>VLOOKUP(B300,物料分类!B:F,5,0)</f>
        <v>成本-小吃类</v>
      </c>
    </row>
    <row r="301" hidden="1" spans="1:16">
      <c r="A301">
        <v>80</v>
      </c>
      <c r="B301">
        <v>8009573</v>
      </c>
      <c r="C301" t="s">
        <v>370</v>
      </c>
      <c r="D301">
        <v>60</v>
      </c>
      <c r="E301">
        <v>60</v>
      </c>
      <c r="F301" t="s">
        <v>20</v>
      </c>
      <c r="G301" t="s">
        <v>21</v>
      </c>
      <c r="H301" t="s">
        <v>20</v>
      </c>
      <c r="I301" s="73">
        <f t="shared" si="12"/>
        <v>0</v>
      </c>
      <c r="J301" s="114">
        <f>VLOOKUP(B301,本月系统单价mb5b!$B:$P,15,0)</f>
        <v>1.57433333333333</v>
      </c>
      <c r="K301" s="114">
        <f t="shared" si="13"/>
        <v>0</v>
      </c>
      <c r="L301" s="114">
        <f>IFERROR(VLOOKUP(B301,上月数量需更新!A:C,3,0),0)</f>
        <v>0</v>
      </c>
      <c r="M301" s="121">
        <f t="shared" si="14"/>
        <v>0</v>
      </c>
      <c r="P301" t="str">
        <f>VLOOKUP(B301,物料分类!B:F,5,0)</f>
        <v>物料消耗</v>
      </c>
    </row>
    <row r="302" hidden="1" spans="1:16">
      <c r="A302">
        <v>81</v>
      </c>
      <c r="B302">
        <v>4005960</v>
      </c>
      <c r="C302" t="s">
        <v>371</v>
      </c>
      <c r="D302">
        <v>200</v>
      </c>
      <c r="E302">
        <v>200</v>
      </c>
      <c r="F302" t="s">
        <v>20</v>
      </c>
      <c r="G302" t="s">
        <v>21</v>
      </c>
      <c r="H302" t="s">
        <v>20</v>
      </c>
      <c r="I302" s="73">
        <f t="shared" si="12"/>
        <v>0</v>
      </c>
      <c r="J302" s="114">
        <f>VLOOKUP(B302,本月系统单价mb5b!$B:$P,15,0)</f>
        <v>1.7275</v>
      </c>
      <c r="K302" s="114">
        <f t="shared" si="13"/>
        <v>0</v>
      </c>
      <c r="L302" s="114">
        <f>IFERROR(VLOOKUP(B302,上月数量需更新!A:C,3,0),0)</f>
        <v>0</v>
      </c>
      <c r="M302" s="121">
        <f t="shared" si="14"/>
        <v>0</v>
      </c>
      <c r="P302" t="str">
        <f>VLOOKUP(B302,物料分类!B:F,5,0)</f>
        <v>物料消耗</v>
      </c>
    </row>
    <row r="303" hidden="1" spans="1:16">
      <c r="A303">
        <v>302</v>
      </c>
      <c r="B303">
        <v>4515861</v>
      </c>
      <c r="C303" t="s">
        <v>372</v>
      </c>
      <c r="D303">
        <v>85.54</v>
      </c>
      <c r="E303">
        <v>0</v>
      </c>
      <c r="F303" t="s">
        <v>36</v>
      </c>
      <c r="G303" t="s">
        <v>37</v>
      </c>
      <c r="H303" t="s">
        <v>38</v>
      </c>
      <c r="I303" s="73">
        <f t="shared" si="12"/>
        <v>85.54</v>
      </c>
      <c r="J303" s="114">
        <f>VLOOKUP(B303,本月系统单价mb5b!$B:$P,15,0)</f>
        <v>5.990063128361</v>
      </c>
      <c r="K303" s="114">
        <f t="shared" si="13"/>
        <v>512.39</v>
      </c>
      <c r="L303" s="114">
        <f>IFERROR(VLOOKUP(B303,上月数量需更新!A:C,3,0),0)</f>
        <v>656.72</v>
      </c>
      <c r="M303" s="121">
        <f t="shared" si="14"/>
        <v>-144.33</v>
      </c>
      <c r="P303" t="str">
        <f>VLOOKUP(B303,物料分类!B:F,5,0)</f>
        <v>成本-荤菜类</v>
      </c>
    </row>
    <row r="304" hidden="1" spans="1:16">
      <c r="A304">
        <v>303</v>
      </c>
      <c r="B304">
        <v>4514410</v>
      </c>
      <c r="C304" t="s">
        <v>373</v>
      </c>
      <c r="D304">
        <v>121</v>
      </c>
      <c r="E304">
        <v>15</v>
      </c>
      <c r="F304" t="s">
        <v>55</v>
      </c>
      <c r="G304" t="s">
        <v>56</v>
      </c>
      <c r="H304" t="s">
        <v>55</v>
      </c>
      <c r="I304" s="73">
        <f t="shared" si="12"/>
        <v>106</v>
      </c>
      <c r="J304" s="114">
        <f>VLOOKUP(B304,本月系统单价mb5b!$B:$P,15,0)</f>
        <v>5.96181818181818</v>
      </c>
      <c r="K304" s="114">
        <f t="shared" si="13"/>
        <v>631.952727272727</v>
      </c>
      <c r="L304" s="114">
        <f>IFERROR(VLOOKUP(B304,上月数量需更新!A:C,3,0),0)</f>
        <v>636.74</v>
      </c>
      <c r="M304" s="121">
        <f t="shared" si="14"/>
        <v>-4.78727272727269</v>
      </c>
      <c r="P304" t="str">
        <f>VLOOKUP(B304,物料分类!B:F,5,0)</f>
        <v>成本-锅底类</v>
      </c>
    </row>
    <row r="305" hidden="1" spans="1:16">
      <c r="A305">
        <v>304</v>
      </c>
      <c r="B305">
        <v>1501159</v>
      </c>
      <c r="C305" t="s">
        <v>374</v>
      </c>
      <c r="D305">
        <v>876.51</v>
      </c>
      <c r="E305">
        <v>107.15</v>
      </c>
      <c r="F305" t="s">
        <v>36</v>
      </c>
      <c r="G305" t="s">
        <v>37</v>
      </c>
      <c r="H305" t="s">
        <v>38</v>
      </c>
      <c r="I305" s="73">
        <f t="shared" si="12"/>
        <v>769.36</v>
      </c>
      <c r="J305" s="114">
        <f>VLOOKUP(B305,本月系统单价mb5b!$B:$P,15,0)</f>
        <v>7.23068761337577</v>
      </c>
      <c r="K305" s="114">
        <f t="shared" si="13"/>
        <v>5563.00182222679</v>
      </c>
      <c r="L305" s="114">
        <f>IFERROR(VLOOKUP(B305,上月数量需更新!A:C,3,0),0)</f>
        <v>5848.18</v>
      </c>
      <c r="M305" s="121">
        <f t="shared" si="14"/>
        <v>-285.178177773214</v>
      </c>
      <c r="P305" t="str">
        <f>VLOOKUP(B305,物料分类!B:F,5,0)</f>
        <v>成本-荤菜类</v>
      </c>
    </row>
    <row r="306" hidden="1" spans="1:16">
      <c r="A306">
        <v>305</v>
      </c>
      <c r="B306">
        <v>1500918</v>
      </c>
      <c r="C306" t="s">
        <v>375</v>
      </c>
      <c r="D306">
        <v>68</v>
      </c>
      <c r="E306">
        <v>44</v>
      </c>
      <c r="F306" t="s">
        <v>32</v>
      </c>
      <c r="G306" t="s">
        <v>33</v>
      </c>
      <c r="H306" t="s">
        <v>32</v>
      </c>
      <c r="I306" s="73">
        <f t="shared" si="12"/>
        <v>24</v>
      </c>
      <c r="J306" s="114">
        <f>VLOOKUP(B306,本月系统单价mb5b!$B:$P,15,0)</f>
        <v>4.38</v>
      </c>
      <c r="K306" s="114">
        <f t="shared" si="13"/>
        <v>105.12</v>
      </c>
      <c r="L306" s="114">
        <f>IFERROR(VLOOKUP(B306,上月数量需更新!A:C,3,0),0)</f>
        <v>144.54</v>
      </c>
      <c r="M306" s="121">
        <f t="shared" si="14"/>
        <v>-39.42</v>
      </c>
      <c r="P306" t="str">
        <f>VLOOKUP(B306,物料分类!B:F,5,0)</f>
        <v>成本-酒水类</v>
      </c>
    </row>
    <row r="307" hidden="1" spans="1:16">
      <c r="A307">
        <v>306</v>
      </c>
      <c r="B307">
        <v>1003028</v>
      </c>
      <c r="C307" t="s">
        <v>376</v>
      </c>
      <c r="D307">
        <v>520</v>
      </c>
      <c r="E307">
        <v>60</v>
      </c>
      <c r="F307" t="s">
        <v>73</v>
      </c>
      <c r="G307" t="s">
        <v>74</v>
      </c>
      <c r="H307" t="s">
        <v>73</v>
      </c>
      <c r="I307" s="73">
        <f t="shared" si="12"/>
        <v>460</v>
      </c>
      <c r="J307" s="114">
        <f>VLOOKUP(B307,本月系统单价mb5b!$B:$P,15,0)</f>
        <v>4.185</v>
      </c>
      <c r="K307" s="114">
        <f t="shared" si="13"/>
        <v>1925.1</v>
      </c>
      <c r="L307" s="114">
        <f>IFERROR(VLOOKUP(B307,上月数量需更新!A:C,3,0),0)</f>
        <v>2092.49</v>
      </c>
      <c r="M307" s="121">
        <f t="shared" si="14"/>
        <v>-167.39</v>
      </c>
      <c r="P307" t="str">
        <f>VLOOKUP(B307,物料分类!B:F,5,0)</f>
        <v>成本-锅底类</v>
      </c>
    </row>
    <row r="308" hidden="1" spans="1:16">
      <c r="A308">
        <v>307</v>
      </c>
      <c r="B308">
        <v>4526244</v>
      </c>
      <c r="C308" t="s">
        <v>377</v>
      </c>
      <c r="D308">
        <v>168</v>
      </c>
      <c r="E308">
        <v>40</v>
      </c>
      <c r="F308" t="s">
        <v>36</v>
      </c>
      <c r="G308" t="s">
        <v>37</v>
      </c>
      <c r="H308" t="s">
        <v>38</v>
      </c>
      <c r="I308" s="73">
        <f t="shared" si="12"/>
        <v>128</v>
      </c>
      <c r="J308" s="114">
        <f>VLOOKUP(B308,本月系统单价mb5b!$B:$P,15,0)</f>
        <v>4.7</v>
      </c>
      <c r="K308" s="114">
        <f t="shared" si="13"/>
        <v>601.6</v>
      </c>
      <c r="L308" s="114">
        <f>IFERROR(VLOOKUP(B308,上月数量需更新!A:C,3,0),0)</f>
        <v>752</v>
      </c>
      <c r="M308" s="121">
        <f t="shared" si="14"/>
        <v>-150.4</v>
      </c>
      <c r="P308" t="str">
        <f>VLOOKUP(B308,物料分类!B:F,5,0)</f>
        <v>成本-荤菜类</v>
      </c>
    </row>
    <row r="309" spans="1:16">
      <c r="A309">
        <v>308</v>
      </c>
      <c r="B309">
        <v>1500677</v>
      </c>
      <c r="C309" t="s">
        <v>378</v>
      </c>
      <c r="D309">
        <v>5993.03</v>
      </c>
      <c r="E309">
        <v>363.5</v>
      </c>
      <c r="F309" t="s">
        <v>36</v>
      </c>
      <c r="G309" t="s">
        <v>37</v>
      </c>
      <c r="H309" t="s">
        <v>38</v>
      </c>
      <c r="I309" s="73">
        <f t="shared" si="12"/>
        <v>5629.53</v>
      </c>
      <c r="J309" s="114">
        <f>VLOOKUP(B309,本月系统单价mb5b!$B:$P,15,0)</f>
        <v>4.60434871842791</v>
      </c>
      <c r="K309" s="114">
        <f t="shared" si="13"/>
        <v>25920.3192408515</v>
      </c>
      <c r="L309" s="114">
        <f>IFERROR(VLOOKUP(B309,上月数量需更新!A:C,3,0),0)</f>
        <v>25458.07</v>
      </c>
      <c r="M309" s="121">
        <f t="shared" si="14"/>
        <v>462.249240851455</v>
      </c>
      <c r="N309" t="str">
        <f>VLOOKUP(B309,计算!R:X,7,0)</f>
        <v>多使用2176磅</v>
      </c>
      <c r="O309" t="s">
        <v>379</v>
      </c>
      <c r="P309" t="str">
        <f>VLOOKUP(B309,物料分类!B:F,5,0)</f>
        <v>成本-荤菜类</v>
      </c>
    </row>
    <row r="310" spans="1:16">
      <c r="A310">
        <v>309</v>
      </c>
      <c r="B310">
        <v>1500686</v>
      </c>
      <c r="C310" t="s">
        <v>380</v>
      </c>
      <c r="D310">
        <v>495.19</v>
      </c>
      <c r="E310">
        <v>112.4</v>
      </c>
      <c r="F310" t="s">
        <v>36</v>
      </c>
      <c r="G310" t="s">
        <v>37</v>
      </c>
      <c r="H310" t="s">
        <v>38</v>
      </c>
      <c r="I310" s="73">
        <f t="shared" si="12"/>
        <v>382.79</v>
      </c>
      <c r="J310" s="114">
        <f>VLOOKUP(B310,本月系统单价mb5b!$B:$P,15,0)</f>
        <v>14.9899836426422</v>
      </c>
      <c r="K310" s="114">
        <f t="shared" si="13"/>
        <v>5738.01583856701</v>
      </c>
      <c r="L310" s="114">
        <f>IFERROR(VLOOKUP(B310,上月数量需更新!A:C,3,0),0)</f>
        <v>6564.73</v>
      </c>
      <c r="M310" s="121">
        <f t="shared" si="14"/>
        <v>-826.714161432985</v>
      </c>
      <c r="N310" t="str">
        <f>VLOOKUP(B310,计算!R:X,7,0)</f>
        <v>多使用128磅</v>
      </c>
      <c r="O310" t="s">
        <v>381</v>
      </c>
      <c r="P310" t="str">
        <f>VLOOKUP(B310,物料分类!B:F,5,0)</f>
        <v>成本-荤菜类</v>
      </c>
    </row>
    <row r="311" hidden="1" spans="1:16">
      <c r="A311">
        <v>310</v>
      </c>
      <c r="B311">
        <v>1500678</v>
      </c>
      <c r="C311" t="s">
        <v>382</v>
      </c>
      <c r="D311">
        <v>582.85</v>
      </c>
      <c r="E311">
        <v>0</v>
      </c>
      <c r="F311" t="s">
        <v>36</v>
      </c>
      <c r="G311" t="s">
        <v>37</v>
      </c>
      <c r="H311" t="s">
        <v>38</v>
      </c>
      <c r="I311" s="73">
        <f t="shared" si="12"/>
        <v>582.85</v>
      </c>
      <c r="J311" s="114">
        <f>VLOOKUP(B311,本月系统单价mb5b!$B:$P,15,0)</f>
        <v>6.25001286780475</v>
      </c>
      <c r="K311" s="114">
        <f t="shared" si="13"/>
        <v>3642.82</v>
      </c>
      <c r="L311" s="114">
        <f>IFERROR(VLOOKUP(B311,上月数量需更新!A:C,3,0),0)</f>
        <v>5139.89</v>
      </c>
      <c r="M311" s="121">
        <f t="shared" si="14"/>
        <v>-1497.07</v>
      </c>
      <c r="P311" t="str">
        <f>VLOOKUP(B311,物料分类!B:F,5,0)</f>
        <v>成本-小料台类</v>
      </c>
    </row>
    <row r="312" hidden="1" spans="1:16">
      <c r="A312">
        <v>311</v>
      </c>
      <c r="B312">
        <v>1500685</v>
      </c>
      <c r="C312" t="s">
        <v>383</v>
      </c>
      <c r="D312">
        <v>262.41</v>
      </c>
      <c r="E312">
        <v>0</v>
      </c>
      <c r="F312" t="s">
        <v>36</v>
      </c>
      <c r="G312" t="s">
        <v>37</v>
      </c>
      <c r="H312" t="s">
        <v>38</v>
      </c>
      <c r="I312" s="73">
        <f t="shared" si="12"/>
        <v>262.41</v>
      </c>
      <c r="J312" s="114">
        <f>VLOOKUP(B312,本月系统单价mb5b!$B:$P,15,0)</f>
        <v>6.99001562440456</v>
      </c>
      <c r="K312" s="114">
        <f t="shared" si="13"/>
        <v>1834.25</v>
      </c>
      <c r="L312" s="114">
        <f>IFERROR(VLOOKUP(B312,上月数量需更新!A:C,3,0),0)</f>
        <v>1625.17</v>
      </c>
      <c r="M312" s="121">
        <f t="shared" si="14"/>
        <v>209.08</v>
      </c>
      <c r="P312" t="str">
        <f>VLOOKUP(B312,物料分类!B:F,5,0)</f>
        <v>成本-荤菜类</v>
      </c>
    </row>
    <row r="313" hidden="1" spans="1:16">
      <c r="A313">
        <v>312</v>
      </c>
      <c r="B313">
        <v>4040830</v>
      </c>
      <c r="C313" t="s">
        <v>384</v>
      </c>
      <c r="D313">
        <v>2300</v>
      </c>
      <c r="E313">
        <v>2300</v>
      </c>
      <c r="F313" t="s">
        <v>20</v>
      </c>
      <c r="G313" t="s">
        <v>21</v>
      </c>
      <c r="H313" t="s">
        <v>20</v>
      </c>
      <c r="I313" s="73">
        <f t="shared" si="12"/>
        <v>0</v>
      </c>
      <c r="J313" s="114">
        <f>VLOOKUP(B313,本月系统单价mb5b!$B:$P,15,0)</f>
        <v>0.773921739130435</v>
      </c>
      <c r="K313" s="114">
        <f t="shared" si="13"/>
        <v>0</v>
      </c>
      <c r="L313" s="114">
        <f>IFERROR(VLOOKUP(B313,上月数量需更新!A:C,3,0),0)</f>
        <v>0</v>
      </c>
      <c r="M313" s="121">
        <f t="shared" si="14"/>
        <v>0</v>
      </c>
      <c r="P313" t="str">
        <f>VLOOKUP(B313,物料分类!B:F,5,0)</f>
        <v>服务费</v>
      </c>
    </row>
    <row r="314" hidden="1" spans="1:16">
      <c r="A314">
        <v>313</v>
      </c>
      <c r="B314">
        <v>1501253</v>
      </c>
      <c r="C314" t="s">
        <v>385</v>
      </c>
      <c r="D314">
        <v>75.37</v>
      </c>
      <c r="E314">
        <v>0</v>
      </c>
      <c r="F314" t="s">
        <v>73</v>
      </c>
      <c r="G314" t="s">
        <v>74</v>
      </c>
      <c r="H314" t="s">
        <v>73</v>
      </c>
      <c r="I314" s="73">
        <f t="shared" si="12"/>
        <v>75.37</v>
      </c>
      <c r="J314" s="114">
        <f>VLOOKUP(B314,本月系统单价mb5b!$B:$P,15,0)</f>
        <v>6.93936579540931</v>
      </c>
      <c r="K314" s="114">
        <f t="shared" si="13"/>
        <v>523.02</v>
      </c>
      <c r="L314" s="114">
        <f>IFERROR(VLOOKUP(B314,上月数量需更新!A:C,3,0),0)</f>
        <v>483.12</v>
      </c>
      <c r="M314" s="121">
        <f t="shared" si="14"/>
        <v>39.9</v>
      </c>
      <c r="P314" t="str">
        <f>VLOOKUP(B314,物料分类!B:F,5,0)</f>
        <v>成本-荤菜类</v>
      </c>
    </row>
    <row r="315" hidden="1" spans="1:16">
      <c r="A315">
        <v>314</v>
      </c>
      <c r="B315">
        <v>1500687</v>
      </c>
      <c r="C315" t="s">
        <v>386</v>
      </c>
      <c r="D315">
        <v>1894.012</v>
      </c>
      <c r="E315">
        <v>180</v>
      </c>
      <c r="F315" t="s">
        <v>36</v>
      </c>
      <c r="G315" t="s">
        <v>37</v>
      </c>
      <c r="H315" t="s">
        <v>38</v>
      </c>
      <c r="I315" s="73">
        <f t="shared" si="12"/>
        <v>1714.012</v>
      </c>
      <c r="J315" s="114">
        <f>VLOOKUP(B315,本月系统单价mb5b!$B:$P,15,0)</f>
        <v>1.04870507684217</v>
      </c>
      <c r="K315" s="114">
        <f t="shared" si="13"/>
        <v>1797.49308616841</v>
      </c>
      <c r="L315" s="114">
        <f>IFERROR(VLOOKUP(B315,上月数量需更新!A:C,3,0),0)</f>
        <v>1716.99</v>
      </c>
      <c r="M315" s="121">
        <f t="shared" si="14"/>
        <v>80.5030861684086</v>
      </c>
      <c r="P315" t="str">
        <f>VLOOKUP(B315,物料分类!B:F,5,0)</f>
        <v>成本-锅底类</v>
      </c>
    </row>
    <row r="316" hidden="1" spans="1:16">
      <c r="A316">
        <v>315</v>
      </c>
      <c r="B316">
        <v>1501617</v>
      </c>
      <c r="C316" t="s">
        <v>387</v>
      </c>
      <c r="D316">
        <v>8</v>
      </c>
      <c r="E316">
        <v>8</v>
      </c>
      <c r="F316" t="s">
        <v>29</v>
      </c>
      <c r="G316" t="s">
        <v>30</v>
      </c>
      <c r="H316" t="s">
        <v>29</v>
      </c>
      <c r="I316" s="73">
        <f t="shared" si="12"/>
        <v>0</v>
      </c>
      <c r="J316" s="114">
        <f>VLOOKUP(B316,本月系统单价mb5b!$B:$P,15,0)</f>
        <v>4.29125</v>
      </c>
      <c r="K316" s="114">
        <f t="shared" si="13"/>
        <v>0</v>
      </c>
      <c r="L316" s="114">
        <f>IFERROR(VLOOKUP(B316,上月数量需更新!A:C,3,0),0)</f>
        <v>334.75</v>
      </c>
      <c r="M316" s="121">
        <f t="shared" si="14"/>
        <v>-334.75</v>
      </c>
      <c r="P316" t="str">
        <f>VLOOKUP(B316,物料分类!B:F,5,0)</f>
        <v>员工餐</v>
      </c>
    </row>
    <row r="317" hidden="1" spans="1:16">
      <c r="A317">
        <v>316</v>
      </c>
      <c r="B317">
        <v>4520928</v>
      </c>
      <c r="C317" t="s">
        <v>388</v>
      </c>
      <c r="D317">
        <v>120</v>
      </c>
      <c r="E317">
        <v>25</v>
      </c>
      <c r="F317" t="s">
        <v>73</v>
      </c>
      <c r="G317" t="s">
        <v>74</v>
      </c>
      <c r="H317" t="s">
        <v>73</v>
      </c>
      <c r="I317" s="73">
        <f t="shared" si="12"/>
        <v>95</v>
      </c>
      <c r="J317" s="114">
        <f>VLOOKUP(B317,本月系统单价mb5b!$B:$P,15,0)</f>
        <v>7.8</v>
      </c>
      <c r="K317" s="114">
        <f t="shared" si="13"/>
        <v>741</v>
      </c>
      <c r="L317" s="114">
        <f>IFERROR(VLOOKUP(B317,上月数量需更新!A:C,3,0),0)</f>
        <v>780</v>
      </c>
      <c r="M317" s="121">
        <f t="shared" si="14"/>
        <v>-39</v>
      </c>
      <c r="P317" t="str">
        <f>VLOOKUP(B317,物料分类!B:F,5,0)</f>
        <v>成本-锅底类</v>
      </c>
    </row>
    <row r="318" hidden="1" spans="1:16">
      <c r="A318">
        <v>317</v>
      </c>
      <c r="B318">
        <v>4504167</v>
      </c>
      <c r="C318" t="s">
        <v>389</v>
      </c>
      <c r="D318">
        <v>308</v>
      </c>
      <c r="E318">
        <v>44</v>
      </c>
      <c r="F318" t="s">
        <v>36</v>
      </c>
      <c r="G318" t="s">
        <v>37</v>
      </c>
      <c r="H318" t="s">
        <v>38</v>
      </c>
      <c r="I318" s="73">
        <f t="shared" si="12"/>
        <v>264</v>
      </c>
      <c r="J318" s="114">
        <f>VLOOKUP(B318,本月系统单价mb5b!$B:$P,15,0)</f>
        <v>3.6</v>
      </c>
      <c r="K318" s="114">
        <f t="shared" si="13"/>
        <v>950.4</v>
      </c>
      <c r="L318" s="114">
        <f>IFERROR(VLOOKUP(B318,上月数量需更新!A:C,3,0),0)</f>
        <v>950.4</v>
      </c>
      <c r="M318" s="121">
        <f t="shared" si="14"/>
        <v>0</v>
      </c>
      <c r="P318" t="str">
        <f>VLOOKUP(B318,物料分类!B:F,5,0)</f>
        <v>成本-锅底类</v>
      </c>
    </row>
    <row r="319" hidden="1" spans="1:16">
      <c r="A319">
        <v>318</v>
      </c>
      <c r="B319">
        <v>4505756</v>
      </c>
      <c r="C319" t="s">
        <v>390</v>
      </c>
      <c r="D319">
        <v>391.45</v>
      </c>
      <c r="E319">
        <v>0</v>
      </c>
      <c r="F319" t="s">
        <v>36</v>
      </c>
      <c r="G319" t="s">
        <v>37</v>
      </c>
      <c r="H319" t="s">
        <v>38</v>
      </c>
      <c r="I319" s="73">
        <f t="shared" si="12"/>
        <v>391.45</v>
      </c>
      <c r="J319" s="114">
        <f>VLOOKUP(B319,本月系统单价mb5b!$B:$P,15,0)</f>
        <v>1.70001277302337</v>
      </c>
      <c r="K319" s="114">
        <f t="shared" si="13"/>
        <v>665.47</v>
      </c>
      <c r="L319" s="114">
        <f>IFERROR(VLOOKUP(B319,上月数量需更新!A:C,3,0),0)</f>
        <v>667.52</v>
      </c>
      <c r="M319" s="121">
        <f t="shared" si="14"/>
        <v>-2.04999999999995</v>
      </c>
      <c r="P319" t="str">
        <f>VLOOKUP(B319,物料分类!B:F,5,0)</f>
        <v>成本-小吃类</v>
      </c>
    </row>
    <row r="320" hidden="1" spans="1:16">
      <c r="A320">
        <v>319</v>
      </c>
      <c r="B320">
        <v>1501589</v>
      </c>
      <c r="C320" t="s">
        <v>391</v>
      </c>
      <c r="D320">
        <v>620</v>
      </c>
      <c r="E320">
        <v>40</v>
      </c>
      <c r="F320" t="s">
        <v>17</v>
      </c>
      <c r="G320" t="s">
        <v>18</v>
      </c>
      <c r="H320" t="s">
        <v>17</v>
      </c>
      <c r="I320" s="73">
        <f t="shared" si="12"/>
        <v>580</v>
      </c>
      <c r="J320" s="114">
        <f>VLOOKUP(B320,本月系统单价mb5b!$B:$P,15,0)</f>
        <v>3.25</v>
      </c>
      <c r="K320" s="114">
        <f t="shared" si="13"/>
        <v>1885</v>
      </c>
      <c r="L320" s="114">
        <f>IFERROR(VLOOKUP(B320,上月数量需更新!A:C,3,0),0)</f>
        <v>2213.25</v>
      </c>
      <c r="M320" s="121">
        <f t="shared" si="14"/>
        <v>-328.25</v>
      </c>
      <c r="P320" t="str">
        <f>VLOOKUP(B320,物料分类!B:F,5,0)</f>
        <v>成本-荤菜类</v>
      </c>
    </row>
    <row r="321" hidden="1" spans="1:16">
      <c r="A321">
        <v>320</v>
      </c>
      <c r="B321">
        <v>4516994</v>
      </c>
      <c r="C321" t="s">
        <v>392</v>
      </c>
      <c r="D321">
        <v>219.75</v>
      </c>
      <c r="E321">
        <v>126.26</v>
      </c>
      <c r="F321" t="s">
        <v>36</v>
      </c>
      <c r="G321" t="s">
        <v>37</v>
      </c>
      <c r="H321" t="s">
        <v>38</v>
      </c>
      <c r="I321" s="73">
        <f t="shared" si="12"/>
        <v>93.49</v>
      </c>
      <c r="J321" s="114">
        <f>VLOOKUP(B321,本月系统单价mb5b!$B:$P,15,0)</f>
        <v>8.90002275312855</v>
      </c>
      <c r="K321" s="114">
        <f t="shared" si="13"/>
        <v>832.063127189989</v>
      </c>
      <c r="L321" s="114">
        <f>IFERROR(VLOOKUP(B321,上月数量需更新!A:C,3,0),0)</f>
        <v>2157.71</v>
      </c>
      <c r="M321" s="121">
        <f t="shared" si="14"/>
        <v>-1325.64687281001</v>
      </c>
      <c r="P321" t="str">
        <f>VLOOKUP(B321,物料分类!B:F,5,0)</f>
        <v>成本-荤菜类</v>
      </c>
    </row>
    <row r="322" hidden="1" spans="1:16">
      <c r="A322">
        <v>321</v>
      </c>
      <c r="B322">
        <v>4503474</v>
      </c>
      <c r="C322" t="s">
        <v>393</v>
      </c>
      <c r="D322">
        <v>150</v>
      </c>
      <c r="E322">
        <v>55</v>
      </c>
      <c r="F322" t="s">
        <v>36</v>
      </c>
      <c r="G322" t="s">
        <v>37</v>
      </c>
      <c r="H322" t="s">
        <v>38</v>
      </c>
      <c r="I322" s="73">
        <f t="shared" ref="I322:I385" si="15">D322-E322</f>
        <v>95</v>
      </c>
      <c r="J322" s="114">
        <f>VLOOKUP(B322,本月系统单价mb5b!$B:$P,15,0)</f>
        <v>1.159</v>
      </c>
      <c r="K322" s="114">
        <f t="shared" ref="K322:K385" si="16">I322*J322</f>
        <v>110.105</v>
      </c>
      <c r="L322" s="114">
        <f>IFERROR(VLOOKUP(B322,上月数量需更新!A:C,3,0),0)</f>
        <v>92.72</v>
      </c>
      <c r="M322" s="121">
        <f t="shared" ref="M322:M385" si="17">K322-L322</f>
        <v>17.385</v>
      </c>
      <c r="P322" t="str">
        <f>VLOOKUP(B322,物料分类!B:F,5,0)</f>
        <v>成本-小吃类</v>
      </c>
    </row>
    <row r="323" hidden="1" spans="1:16">
      <c r="A323">
        <v>322</v>
      </c>
      <c r="B323">
        <v>1500812</v>
      </c>
      <c r="C323" t="s">
        <v>394</v>
      </c>
      <c r="D323">
        <v>70</v>
      </c>
      <c r="E323">
        <v>12</v>
      </c>
      <c r="F323" t="s">
        <v>55</v>
      </c>
      <c r="G323" t="s">
        <v>56</v>
      </c>
      <c r="H323" t="s">
        <v>55</v>
      </c>
      <c r="I323" s="73">
        <f t="shared" si="15"/>
        <v>58</v>
      </c>
      <c r="J323" s="114">
        <f>VLOOKUP(B323,本月系统单价mb5b!$B:$P,15,0)</f>
        <v>12.3525714285714</v>
      </c>
      <c r="K323" s="114">
        <f t="shared" si="16"/>
        <v>716.449142857143</v>
      </c>
      <c r="L323" s="114">
        <f>IFERROR(VLOOKUP(B323,上月数量需更新!A:C,3,0),0)</f>
        <v>666.33</v>
      </c>
      <c r="M323" s="121">
        <f t="shared" si="17"/>
        <v>50.1191428571428</v>
      </c>
      <c r="P323" t="str">
        <f>VLOOKUP(B323,物料分类!B:F,5,0)</f>
        <v>成本-小料台类</v>
      </c>
    </row>
    <row r="324" hidden="1" spans="1:16">
      <c r="A324">
        <v>323</v>
      </c>
      <c r="B324">
        <v>4512205</v>
      </c>
      <c r="C324" t="s">
        <v>395</v>
      </c>
      <c r="D324">
        <v>144</v>
      </c>
      <c r="E324">
        <v>12</v>
      </c>
      <c r="F324" t="s">
        <v>36</v>
      </c>
      <c r="G324" t="s">
        <v>37</v>
      </c>
      <c r="H324" t="s">
        <v>38</v>
      </c>
      <c r="I324" s="73">
        <f t="shared" si="15"/>
        <v>132</v>
      </c>
      <c r="J324" s="114">
        <f>VLOOKUP(B324,本月系统单价mb5b!$B:$P,15,0)</f>
        <v>6.036875</v>
      </c>
      <c r="K324" s="114">
        <f t="shared" si="16"/>
        <v>796.8675</v>
      </c>
      <c r="L324" s="114">
        <f>IFERROR(VLOOKUP(B324,上月数量需更新!A:C,3,0),0)</f>
        <v>1047.91</v>
      </c>
      <c r="M324" s="121">
        <f t="shared" si="17"/>
        <v>-251.0425</v>
      </c>
      <c r="P324" t="str">
        <f>VLOOKUP(B324,物料分类!B:F,5,0)</f>
        <v>成本-小料台类</v>
      </c>
    </row>
    <row r="325" hidden="1" spans="1:16">
      <c r="A325">
        <v>324</v>
      </c>
      <c r="B325">
        <v>1500741</v>
      </c>
      <c r="C325" t="s">
        <v>396</v>
      </c>
      <c r="D325">
        <v>8</v>
      </c>
      <c r="E325">
        <v>2</v>
      </c>
      <c r="F325" t="s">
        <v>127</v>
      </c>
      <c r="G325" t="s">
        <v>128</v>
      </c>
      <c r="H325" t="s">
        <v>127</v>
      </c>
      <c r="I325" s="73">
        <f t="shared" si="15"/>
        <v>6</v>
      </c>
      <c r="J325" s="114">
        <f>VLOOKUP(B325,本月系统单价mb5b!$B:$P,15,0)</f>
        <v>24.3175</v>
      </c>
      <c r="K325" s="114">
        <f t="shared" si="16"/>
        <v>145.905</v>
      </c>
      <c r="L325" s="114">
        <f>IFERROR(VLOOKUP(B325,上月数量需更新!A:C,3,0),0)</f>
        <v>275.88</v>
      </c>
      <c r="M325" s="121">
        <f t="shared" si="17"/>
        <v>-129.975</v>
      </c>
      <c r="P325" t="str">
        <f>VLOOKUP(B325,物料分类!B:F,5,0)</f>
        <v>成本-荤菜类</v>
      </c>
    </row>
    <row r="326" hidden="1" spans="1:16">
      <c r="A326">
        <v>87</v>
      </c>
      <c r="B326">
        <v>4024119</v>
      </c>
      <c r="C326" t="s">
        <v>397</v>
      </c>
      <c r="D326">
        <v>80</v>
      </c>
      <c r="E326">
        <v>80</v>
      </c>
      <c r="F326" t="s">
        <v>20</v>
      </c>
      <c r="G326" t="s">
        <v>21</v>
      </c>
      <c r="H326" t="s">
        <v>20</v>
      </c>
      <c r="I326" s="73">
        <f t="shared" si="15"/>
        <v>0</v>
      </c>
      <c r="J326" s="114">
        <f>VLOOKUP(B326,本月系统单价mb5b!$B:$P,15,0)</f>
        <v>1.7225</v>
      </c>
      <c r="K326" s="114">
        <f t="shared" si="16"/>
        <v>0</v>
      </c>
      <c r="L326" s="114">
        <f>IFERROR(VLOOKUP(B326,上月数量需更新!A:C,3,0),0)</f>
        <v>34.45</v>
      </c>
      <c r="M326" s="121">
        <f t="shared" si="17"/>
        <v>-34.45</v>
      </c>
      <c r="P326" t="str">
        <f>VLOOKUP(B326,物料分类!B:F,5,0)</f>
        <v>物料消耗</v>
      </c>
    </row>
    <row r="327" hidden="1" spans="1:16">
      <c r="A327">
        <v>326</v>
      </c>
      <c r="B327">
        <v>8012464</v>
      </c>
      <c r="C327" t="s">
        <v>398</v>
      </c>
      <c r="D327">
        <v>1</v>
      </c>
      <c r="E327">
        <v>1</v>
      </c>
      <c r="F327" t="s">
        <v>20</v>
      </c>
      <c r="G327" t="s">
        <v>21</v>
      </c>
      <c r="H327" t="s">
        <v>20</v>
      </c>
      <c r="I327" s="73">
        <f t="shared" si="15"/>
        <v>0</v>
      </c>
      <c r="J327" s="114">
        <f>VLOOKUP(B327,本月系统单价mb5b!$B:$P,15,0)</f>
        <v>1935.64</v>
      </c>
      <c r="K327" s="114">
        <f t="shared" si="16"/>
        <v>0</v>
      </c>
      <c r="L327" s="114">
        <f>IFERROR(VLOOKUP(B327,上月数量需更新!A:C,3,0),0)</f>
        <v>0</v>
      </c>
      <c r="M327" s="121">
        <f t="shared" si="17"/>
        <v>0</v>
      </c>
      <c r="P327" t="str">
        <f>VLOOKUP(B327,物料分类!B:F,5,0)</f>
        <v>服务费</v>
      </c>
    </row>
    <row r="328" hidden="1" spans="1:16">
      <c r="A328">
        <v>327</v>
      </c>
      <c r="B328">
        <v>1500755</v>
      </c>
      <c r="C328" t="s">
        <v>399</v>
      </c>
      <c r="D328">
        <v>77.5</v>
      </c>
      <c r="E328">
        <v>2</v>
      </c>
      <c r="F328" t="s">
        <v>176</v>
      </c>
      <c r="G328" t="s">
        <v>177</v>
      </c>
      <c r="H328" t="s">
        <v>176</v>
      </c>
      <c r="I328" s="73">
        <f t="shared" si="15"/>
        <v>75.5</v>
      </c>
      <c r="J328" s="114">
        <f>VLOOKUP(B328,本月系统单价mb5b!$B:$P,15,0)</f>
        <v>44.6171612903226</v>
      </c>
      <c r="K328" s="114">
        <f t="shared" si="16"/>
        <v>3368.59567741935</v>
      </c>
      <c r="L328" s="114">
        <f>IFERROR(VLOOKUP(B328,上月数量需更新!A:C,3,0),0)</f>
        <v>2573.62</v>
      </c>
      <c r="M328" s="121">
        <f t="shared" si="17"/>
        <v>794.975677419355</v>
      </c>
      <c r="P328" t="str">
        <f>VLOOKUP(B328,物料分类!B:F,5,0)</f>
        <v>成本-素菜类</v>
      </c>
    </row>
    <row r="329" hidden="1" spans="1:16">
      <c r="A329">
        <v>328</v>
      </c>
      <c r="B329">
        <v>1500737</v>
      </c>
      <c r="C329" t="s">
        <v>400</v>
      </c>
      <c r="D329">
        <v>34</v>
      </c>
      <c r="E329">
        <v>5</v>
      </c>
      <c r="F329" t="s">
        <v>55</v>
      </c>
      <c r="G329" t="s">
        <v>56</v>
      </c>
      <c r="H329" t="s">
        <v>55</v>
      </c>
      <c r="I329" s="73">
        <f t="shared" si="15"/>
        <v>29</v>
      </c>
      <c r="J329" s="114">
        <f>VLOOKUP(B329,本月系统单价mb5b!$B:$P,15,0)</f>
        <v>6.125</v>
      </c>
      <c r="K329" s="114">
        <f t="shared" si="16"/>
        <v>177.625</v>
      </c>
      <c r="L329" s="114">
        <f>IFERROR(VLOOKUP(B329,上月数量需更新!A:C,3,0),0)</f>
        <v>343</v>
      </c>
      <c r="M329" s="121">
        <f t="shared" si="17"/>
        <v>-165.375</v>
      </c>
      <c r="P329" t="str">
        <f>VLOOKUP(B329,物料分类!B:F,5,0)</f>
        <v>成本-酒水类</v>
      </c>
    </row>
    <row r="330" hidden="1" spans="1:16">
      <c r="A330">
        <v>329</v>
      </c>
      <c r="B330">
        <v>1500879</v>
      </c>
      <c r="C330" t="s">
        <v>401</v>
      </c>
      <c r="D330">
        <v>7</v>
      </c>
      <c r="E330">
        <v>0</v>
      </c>
      <c r="F330" t="s">
        <v>402</v>
      </c>
      <c r="G330" t="s">
        <v>403</v>
      </c>
      <c r="H330" t="s">
        <v>402</v>
      </c>
      <c r="I330" s="73">
        <f t="shared" si="15"/>
        <v>7</v>
      </c>
      <c r="J330" s="114">
        <f>VLOOKUP(B330,本月系统单价mb5b!$B:$P,15,0)</f>
        <v>1.87571428571429</v>
      </c>
      <c r="K330" s="114">
        <f t="shared" si="16"/>
        <v>13.13</v>
      </c>
      <c r="L330" s="114">
        <f>IFERROR(VLOOKUP(B330,上月数量需更新!A:C,3,0),0)</f>
        <v>31.89</v>
      </c>
      <c r="M330" s="121">
        <f t="shared" si="17"/>
        <v>-18.76</v>
      </c>
      <c r="P330" t="str">
        <f>VLOOKUP(B330,物料分类!B:F,5,0)</f>
        <v>成本-小料台类</v>
      </c>
    </row>
    <row r="331" hidden="1" spans="1:16">
      <c r="A331">
        <v>330</v>
      </c>
      <c r="B331">
        <v>4717150</v>
      </c>
      <c r="C331" t="s">
        <v>404</v>
      </c>
      <c r="D331">
        <v>36</v>
      </c>
      <c r="E331">
        <v>24</v>
      </c>
      <c r="F331" t="s">
        <v>73</v>
      </c>
      <c r="G331" t="s">
        <v>74</v>
      </c>
      <c r="H331" t="s">
        <v>73</v>
      </c>
      <c r="I331" s="73">
        <f t="shared" si="15"/>
        <v>12</v>
      </c>
      <c r="J331" s="114">
        <f>VLOOKUP(B331,本月系统单价mb5b!$B:$P,15,0)</f>
        <v>3.3575</v>
      </c>
      <c r="K331" s="114">
        <f t="shared" si="16"/>
        <v>40.29</v>
      </c>
      <c r="L331" s="114">
        <f>IFERROR(VLOOKUP(B331,上月数量需更新!A:C,3,0),0)</f>
        <v>0</v>
      </c>
      <c r="M331" s="121">
        <f t="shared" si="17"/>
        <v>40.29</v>
      </c>
      <c r="P331" t="str">
        <f>VLOOKUP(B331,物料分类!B:F,5,0)</f>
        <v>成本-小料台类</v>
      </c>
    </row>
    <row r="332" hidden="1" spans="1:16">
      <c r="A332">
        <v>331</v>
      </c>
      <c r="B332">
        <v>1501168</v>
      </c>
      <c r="C332" t="s">
        <v>405</v>
      </c>
      <c r="D332">
        <v>40</v>
      </c>
      <c r="E332">
        <v>0</v>
      </c>
      <c r="F332" t="s">
        <v>36</v>
      </c>
      <c r="G332" t="s">
        <v>37</v>
      </c>
      <c r="H332" t="s">
        <v>38</v>
      </c>
      <c r="I332" s="73">
        <f t="shared" si="15"/>
        <v>40</v>
      </c>
      <c r="J332" s="114">
        <f>VLOOKUP(B332,本月系统单价mb5b!$B:$P,15,0)</f>
        <v>2.15</v>
      </c>
      <c r="K332" s="114">
        <f t="shared" si="16"/>
        <v>86</v>
      </c>
      <c r="L332" s="114">
        <f>IFERROR(VLOOKUP(B332,上月数量需更新!A:C,3,0),0)</f>
        <v>0</v>
      </c>
      <c r="M332" s="121">
        <f t="shared" si="17"/>
        <v>86</v>
      </c>
      <c r="P332" t="str">
        <f>VLOOKUP(B332,物料分类!B:F,5,0)</f>
        <v>成本-小料台类</v>
      </c>
    </row>
    <row r="333" hidden="1" spans="1:16">
      <c r="A333">
        <v>332</v>
      </c>
      <c r="B333">
        <v>1500764</v>
      </c>
      <c r="C333" t="s">
        <v>406</v>
      </c>
      <c r="D333">
        <v>1438</v>
      </c>
      <c r="E333">
        <v>72</v>
      </c>
      <c r="F333" t="s">
        <v>407</v>
      </c>
      <c r="G333" t="s">
        <v>408</v>
      </c>
      <c r="H333" t="s">
        <v>407</v>
      </c>
      <c r="I333" s="73">
        <f t="shared" si="15"/>
        <v>1366</v>
      </c>
      <c r="J333" s="114">
        <f>VLOOKUP(B333,本月系统单价mb5b!$B:$P,15,0)</f>
        <v>1.11426981919332</v>
      </c>
      <c r="K333" s="114">
        <f t="shared" si="16"/>
        <v>1522.09257301808</v>
      </c>
      <c r="L333" s="114">
        <f>IFERROR(VLOOKUP(B333,上月数量需更新!A:C,3,0),0)</f>
        <v>1445.5</v>
      </c>
      <c r="M333" s="121">
        <f t="shared" si="17"/>
        <v>76.5925730180807</v>
      </c>
      <c r="P333" t="str">
        <f>VLOOKUP(B333,物料分类!B:F,5,0)</f>
        <v>成本-素菜类</v>
      </c>
    </row>
    <row r="334" hidden="1" spans="1:16">
      <c r="A334">
        <v>333</v>
      </c>
      <c r="B334">
        <v>4516830</v>
      </c>
      <c r="C334" t="s">
        <v>409</v>
      </c>
      <c r="D334">
        <v>73.84</v>
      </c>
      <c r="E334">
        <v>19.88</v>
      </c>
      <c r="F334" t="s">
        <v>44</v>
      </c>
      <c r="G334" t="s">
        <v>45</v>
      </c>
      <c r="H334" t="s">
        <v>46</v>
      </c>
      <c r="I334" s="73">
        <f t="shared" si="15"/>
        <v>53.96</v>
      </c>
      <c r="J334" s="114">
        <f>VLOOKUP(B334,本月系统单价mb5b!$B:$P,15,0)</f>
        <v>4.66522210184182</v>
      </c>
      <c r="K334" s="114">
        <f t="shared" si="16"/>
        <v>251.735384615385</v>
      </c>
      <c r="L334" s="114">
        <f>IFERROR(VLOOKUP(B334,上月数量需更新!A:C,3,0),0)</f>
        <v>211.87</v>
      </c>
      <c r="M334" s="121">
        <f t="shared" si="17"/>
        <v>39.8653846153846</v>
      </c>
      <c r="P334" t="str">
        <f>VLOOKUP(B334,物料分类!B:F,5,0)</f>
        <v>员工餐</v>
      </c>
    </row>
    <row r="335" spans="1:16">
      <c r="A335">
        <v>334</v>
      </c>
      <c r="B335">
        <v>3002745</v>
      </c>
      <c r="C335" t="s">
        <v>410</v>
      </c>
      <c r="D335">
        <v>2988</v>
      </c>
      <c r="E335">
        <v>720</v>
      </c>
      <c r="F335" t="s">
        <v>73</v>
      </c>
      <c r="G335" t="s">
        <v>74</v>
      </c>
      <c r="H335" t="s">
        <v>73</v>
      </c>
      <c r="I335" s="73">
        <f t="shared" si="15"/>
        <v>2268</v>
      </c>
      <c r="J335" s="114">
        <f>VLOOKUP(B335,本月系统单价mb5b!$B:$P,15,0)</f>
        <v>4.13270080321285</v>
      </c>
      <c r="K335" s="114">
        <f t="shared" si="16"/>
        <v>9372.96542168675</v>
      </c>
      <c r="L335" s="114">
        <f>IFERROR(VLOOKUP(B335,上月数量需更新!A:C,3,0),0)</f>
        <v>9607.22</v>
      </c>
      <c r="M335" s="121">
        <f t="shared" si="17"/>
        <v>-234.254578313252</v>
      </c>
      <c r="N335" t="str">
        <f>VLOOKUP(B335,计算!R:X,7,0)</f>
        <v>多使用677kg</v>
      </c>
      <c r="O335" t="s">
        <v>411</v>
      </c>
      <c r="P335" t="str">
        <f>VLOOKUP(B335,物料分类!B:F,5,0)</f>
        <v>成本-锅底类</v>
      </c>
    </row>
    <row r="336" hidden="1" spans="1:16">
      <c r="A336">
        <v>335</v>
      </c>
      <c r="B336">
        <v>4514539</v>
      </c>
      <c r="C336" t="s">
        <v>412</v>
      </c>
      <c r="D336">
        <v>1095</v>
      </c>
      <c r="E336">
        <v>0</v>
      </c>
      <c r="F336" t="s">
        <v>36</v>
      </c>
      <c r="G336" t="s">
        <v>37</v>
      </c>
      <c r="H336" t="s">
        <v>38</v>
      </c>
      <c r="I336" s="73">
        <f t="shared" si="15"/>
        <v>1095</v>
      </c>
      <c r="J336" s="114">
        <f>VLOOKUP(B336,本月系统单价mb5b!$B:$P,15,0)</f>
        <v>1.21838356164384</v>
      </c>
      <c r="K336" s="114">
        <f t="shared" si="16"/>
        <v>1334.13</v>
      </c>
      <c r="L336" s="114">
        <f>IFERROR(VLOOKUP(B336,上月数量需更新!A:C,3,0),0)</f>
        <v>0</v>
      </c>
      <c r="M336" s="121">
        <f t="shared" si="17"/>
        <v>1334.13</v>
      </c>
      <c r="P336" t="str">
        <f>VLOOKUP(B336,物料分类!B:F,5,0)</f>
        <v>成本-锅底类</v>
      </c>
    </row>
    <row r="337" hidden="1" spans="1:16">
      <c r="A337">
        <v>336</v>
      </c>
      <c r="B337">
        <v>4502234</v>
      </c>
      <c r="C337" t="s">
        <v>413</v>
      </c>
      <c r="D337">
        <v>885</v>
      </c>
      <c r="E337">
        <v>100</v>
      </c>
      <c r="F337" t="s">
        <v>36</v>
      </c>
      <c r="G337" t="s">
        <v>37</v>
      </c>
      <c r="H337" t="s">
        <v>38</v>
      </c>
      <c r="I337" s="73">
        <f t="shared" si="15"/>
        <v>785</v>
      </c>
      <c r="J337" s="114">
        <f>VLOOKUP(B337,本月系统单价mb5b!$B:$P,15,0)</f>
        <v>1.16691525423729</v>
      </c>
      <c r="K337" s="114">
        <f t="shared" si="16"/>
        <v>916.028474576271</v>
      </c>
      <c r="L337" s="114">
        <f>IFERROR(VLOOKUP(B337,上月数量需更新!A:C,3,0),0)</f>
        <v>2691.05</v>
      </c>
      <c r="M337" s="121">
        <f t="shared" si="17"/>
        <v>-1775.02152542373</v>
      </c>
      <c r="P337" t="str">
        <f>VLOOKUP(B337,物料分类!B:F,5,0)</f>
        <v>成本-锅底类</v>
      </c>
    </row>
    <row r="338" hidden="1" spans="1:16">
      <c r="A338">
        <v>337</v>
      </c>
      <c r="B338">
        <v>1500841</v>
      </c>
      <c r="C338" t="s">
        <v>414</v>
      </c>
      <c r="D338">
        <v>1</v>
      </c>
      <c r="E338">
        <v>0</v>
      </c>
      <c r="F338" t="s">
        <v>36</v>
      </c>
      <c r="G338" t="s">
        <v>37</v>
      </c>
      <c r="H338" t="s">
        <v>38</v>
      </c>
      <c r="I338" s="73">
        <f t="shared" si="15"/>
        <v>1</v>
      </c>
      <c r="J338" s="114">
        <f>VLOOKUP(B338,本月系统单价mb5b!$B:$P,15,0)</f>
        <v>18.5</v>
      </c>
      <c r="K338" s="114">
        <f t="shared" si="16"/>
        <v>18.5</v>
      </c>
      <c r="L338" s="114">
        <f>IFERROR(VLOOKUP(B338,上月数量需更新!A:C,3,0),0)</f>
        <v>18.5</v>
      </c>
      <c r="M338" s="121">
        <f t="shared" si="17"/>
        <v>0</v>
      </c>
      <c r="P338" t="str">
        <f>VLOOKUP(B338,物料分类!B:F,5,0)</f>
        <v>成本-小料台类</v>
      </c>
    </row>
    <row r="339" hidden="1" spans="1:16">
      <c r="A339">
        <v>338</v>
      </c>
      <c r="B339">
        <v>4520222</v>
      </c>
      <c r="C339" t="s">
        <v>415</v>
      </c>
      <c r="D339">
        <v>28</v>
      </c>
      <c r="E339">
        <v>0</v>
      </c>
      <c r="F339" t="s">
        <v>32</v>
      </c>
      <c r="G339" t="s">
        <v>33</v>
      </c>
      <c r="H339" t="s">
        <v>32</v>
      </c>
      <c r="I339" s="73">
        <f t="shared" si="15"/>
        <v>28</v>
      </c>
      <c r="J339" s="114">
        <f>VLOOKUP(B339,本月系统单价mb5b!$B:$P,15,0)</f>
        <v>1.79178571428571</v>
      </c>
      <c r="K339" s="114">
        <f t="shared" si="16"/>
        <v>50.17</v>
      </c>
      <c r="L339" s="114">
        <f>IFERROR(VLOOKUP(B339,上月数量需更新!A:C,3,0),0)</f>
        <v>222.16</v>
      </c>
      <c r="M339" s="121">
        <f t="shared" si="17"/>
        <v>-171.99</v>
      </c>
      <c r="P339" t="str">
        <f>VLOOKUP(B339,物料分类!B:F,5,0)</f>
        <v>成本-酒水类</v>
      </c>
    </row>
    <row r="340" hidden="1" spans="1:16">
      <c r="A340">
        <v>339</v>
      </c>
      <c r="B340">
        <v>1500769</v>
      </c>
      <c r="C340" t="s">
        <v>416</v>
      </c>
      <c r="D340">
        <v>430</v>
      </c>
      <c r="E340">
        <v>50</v>
      </c>
      <c r="F340" t="s">
        <v>36</v>
      </c>
      <c r="G340" t="s">
        <v>37</v>
      </c>
      <c r="H340" t="s">
        <v>38</v>
      </c>
      <c r="I340" s="73">
        <f t="shared" si="15"/>
        <v>380</v>
      </c>
      <c r="J340" s="114">
        <f>VLOOKUP(B340,本月系统单价mb5b!$B:$P,15,0)</f>
        <v>0.268627906976744</v>
      </c>
      <c r="K340" s="114">
        <f t="shared" si="16"/>
        <v>102.078604651163</v>
      </c>
      <c r="L340" s="114">
        <f>IFERROR(VLOOKUP(B340,上月数量需更新!A:C,3,0),0)</f>
        <v>88.16</v>
      </c>
      <c r="M340" s="121">
        <f t="shared" si="17"/>
        <v>13.9186046511628</v>
      </c>
      <c r="P340" t="str">
        <f>VLOOKUP(B340,物料分类!B:F,5,0)</f>
        <v>成本-锅底类</v>
      </c>
    </row>
    <row r="341" hidden="1" spans="1:16">
      <c r="A341">
        <v>340</v>
      </c>
      <c r="B341">
        <v>1500818</v>
      </c>
      <c r="C341" t="s">
        <v>417</v>
      </c>
      <c r="D341">
        <v>160</v>
      </c>
      <c r="E341">
        <v>60</v>
      </c>
      <c r="F341" t="s">
        <v>73</v>
      </c>
      <c r="G341" t="s">
        <v>74</v>
      </c>
      <c r="H341" t="s">
        <v>73</v>
      </c>
      <c r="I341" s="73">
        <f t="shared" si="15"/>
        <v>100</v>
      </c>
      <c r="J341" s="114">
        <f>VLOOKUP(B341,本月系统单价mb5b!$B:$P,15,0)</f>
        <v>1.5015625</v>
      </c>
      <c r="K341" s="114">
        <f t="shared" si="16"/>
        <v>150.15625</v>
      </c>
      <c r="L341" s="114">
        <f>IFERROR(VLOOKUP(B341,上月数量需更新!A:C,3,0),0)</f>
        <v>165.23</v>
      </c>
      <c r="M341" s="121">
        <f t="shared" si="17"/>
        <v>-15.07375</v>
      </c>
      <c r="P341" t="str">
        <f>VLOOKUP(B341,物料分类!B:F,5,0)</f>
        <v>成本-小吃类</v>
      </c>
    </row>
    <row r="342" hidden="1" spans="1:16">
      <c r="A342">
        <v>341</v>
      </c>
      <c r="B342">
        <v>1500846</v>
      </c>
      <c r="C342" t="s">
        <v>418</v>
      </c>
      <c r="D342">
        <v>8</v>
      </c>
      <c r="E342">
        <v>4</v>
      </c>
      <c r="F342" t="s">
        <v>36</v>
      </c>
      <c r="G342" t="s">
        <v>37</v>
      </c>
      <c r="H342" t="s">
        <v>38</v>
      </c>
      <c r="I342" s="73">
        <f t="shared" si="15"/>
        <v>4</v>
      </c>
      <c r="J342" s="114">
        <f>VLOOKUP(B342,本月系统单价mb5b!$B:$P,15,0)</f>
        <v>7.75</v>
      </c>
      <c r="K342" s="114">
        <f t="shared" si="16"/>
        <v>31</v>
      </c>
      <c r="L342" s="114">
        <f>IFERROR(VLOOKUP(B342,上月数量需更新!A:C,3,0),0)</f>
        <v>46.48</v>
      </c>
      <c r="M342" s="121">
        <f t="shared" si="17"/>
        <v>-15.48</v>
      </c>
      <c r="P342" t="str">
        <f>VLOOKUP(B342,物料分类!B:F,5,0)</f>
        <v>成本-荤菜类</v>
      </c>
    </row>
    <row r="343" hidden="1" spans="1:16">
      <c r="A343">
        <v>88</v>
      </c>
      <c r="B343">
        <v>4018968</v>
      </c>
      <c r="C343" t="s">
        <v>419</v>
      </c>
      <c r="D343">
        <v>17</v>
      </c>
      <c r="E343">
        <v>17</v>
      </c>
      <c r="F343" t="s">
        <v>150</v>
      </c>
      <c r="G343" t="s">
        <v>151</v>
      </c>
      <c r="H343" t="s">
        <v>150</v>
      </c>
      <c r="I343" s="73">
        <f t="shared" si="15"/>
        <v>0</v>
      </c>
      <c r="J343" s="114">
        <f>VLOOKUP(B343,本月系统单价mb5b!$B:$P,15,0)</f>
        <v>1.62647058823529</v>
      </c>
      <c r="K343" s="114">
        <f t="shared" si="16"/>
        <v>0</v>
      </c>
      <c r="L343" s="114">
        <f>IFERROR(VLOOKUP(B343,上月数量需更新!A:C,3,0),0)</f>
        <v>0</v>
      </c>
      <c r="M343" s="121">
        <f t="shared" si="17"/>
        <v>0</v>
      </c>
      <c r="P343" t="str">
        <f>VLOOKUP(B343,物料分类!B:F,5,0)</f>
        <v>物料消耗</v>
      </c>
    </row>
    <row r="344" hidden="1" spans="1:16">
      <c r="A344">
        <v>107</v>
      </c>
      <c r="B344">
        <v>4000157</v>
      </c>
      <c r="C344" t="s">
        <v>420</v>
      </c>
      <c r="D344">
        <v>100</v>
      </c>
      <c r="E344">
        <v>100</v>
      </c>
      <c r="F344" t="s">
        <v>20</v>
      </c>
      <c r="G344" t="s">
        <v>21</v>
      </c>
      <c r="H344" t="s">
        <v>20</v>
      </c>
      <c r="I344" s="73">
        <f t="shared" si="15"/>
        <v>0</v>
      </c>
      <c r="J344" s="114">
        <f>VLOOKUP(B344,本月系统单价mb5b!$B:$P,15,0)</f>
        <v>0.6567</v>
      </c>
      <c r="K344" s="114">
        <f t="shared" si="16"/>
        <v>0</v>
      </c>
      <c r="L344" s="114">
        <f>IFERROR(VLOOKUP(B344,上月数量需更新!A:C,3,0),0)</f>
        <v>0</v>
      </c>
      <c r="M344" s="121">
        <f t="shared" si="17"/>
        <v>0</v>
      </c>
      <c r="P344" t="str">
        <f>VLOOKUP(B344,物料分类!B:F,5,0)</f>
        <v>物料消耗</v>
      </c>
    </row>
    <row r="345" hidden="1" spans="1:16">
      <c r="A345">
        <v>344</v>
      </c>
      <c r="B345">
        <v>1500834</v>
      </c>
      <c r="C345" t="s">
        <v>421</v>
      </c>
      <c r="D345">
        <v>2</v>
      </c>
      <c r="E345">
        <v>1</v>
      </c>
      <c r="F345" t="s">
        <v>36</v>
      </c>
      <c r="G345" t="s">
        <v>37</v>
      </c>
      <c r="H345" t="s">
        <v>38</v>
      </c>
      <c r="I345" s="73">
        <f t="shared" si="15"/>
        <v>1</v>
      </c>
      <c r="J345" s="114">
        <f>VLOOKUP(B345,本月系统单价mb5b!$B:$P,15,0)</f>
        <v>7.95</v>
      </c>
      <c r="K345" s="114">
        <f t="shared" si="16"/>
        <v>7.95</v>
      </c>
      <c r="L345" s="114">
        <f>IFERROR(VLOOKUP(B345,上月数量需更新!A:C,3,0),0)</f>
        <v>7.95</v>
      </c>
      <c r="M345" s="121">
        <f t="shared" si="17"/>
        <v>0</v>
      </c>
      <c r="P345" t="str">
        <f>VLOOKUP(B345,物料分类!B:F,5,0)</f>
        <v>成本-小料台类</v>
      </c>
    </row>
    <row r="346" hidden="1" spans="1:16">
      <c r="A346">
        <v>345</v>
      </c>
      <c r="B346">
        <v>4502287</v>
      </c>
      <c r="C346" t="s">
        <v>422</v>
      </c>
      <c r="D346">
        <v>3730</v>
      </c>
      <c r="E346">
        <v>50</v>
      </c>
      <c r="F346" t="s">
        <v>36</v>
      </c>
      <c r="G346" t="s">
        <v>37</v>
      </c>
      <c r="H346" t="s">
        <v>38</v>
      </c>
      <c r="I346" s="73">
        <f t="shared" si="15"/>
        <v>3680</v>
      </c>
      <c r="J346" s="114">
        <f>VLOOKUP(B346,本月系统单价mb5b!$B:$P,15,0)</f>
        <v>1.09928954423592</v>
      </c>
      <c r="K346" s="114">
        <f t="shared" si="16"/>
        <v>4045.3855227882</v>
      </c>
      <c r="L346" s="114">
        <f>IFERROR(VLOOKUP(B346,上月数量需更新!A:C,3,0),0)</f>
        <v>2044.06</v>
      </c>
      <c r="M346" s="121">
        <f t="shared" si="17"/>
        <v>2001.3255227882</v>
      </c>
      <c r="P346" t="str">
        <f>VLOOKUP(B346,物料分类!B:F,5,0)</f>
        <v>成本-素菜类</v>
      </c>
    </row>
    <row r="347" hidden="1" spans="1:16">
      <c r="A347">
        <v>346</v>
      </c>
      <c r="B347">
        <v>1500743</v>
      </c>
      <c r="C347" t="s">
        <v>423</v>
      </c>
      <c r="D347">
        <v>180</v>
      </c>
      <c r="E347">
        <v>20</v>
      </c>
      <c r="F347" t="s">
        <v>73</v>
      </c>
      <c r="G347" t="s">
        <v>74</v>
      </c>
      <c r="H347" t="s">
        <v>73</v>
      </c>
      <c r="I347" s="73">
        <f t="shared" si="15"/>
        <v>160</v>
      </c>
      <c r="J347" s="114">
        <f>VLOOKUP(B347,本月系统单价mb5b!$B:$P,15,0)</f>
        <v>1.38888888888889</v>
      </c>
      <c r="K347" s="114">
        <f t="shared" si="16"/>
        <v>222.222222222222</v>
      </c>
      <c r="L347" s="114">
        <f>IFERROR(VLOOKUP(B347,上月数量需更新!A:C,3,0),0)</f>
        <v>279.31</v>
      </c>
      <c r="M347" s="121">
        <f t="shared" si="17"/>
        <v>-57.0877777777778</v>
      </c>
      <c r="P347" t="str">
        <f>VLOOKUP(B347,物料分类!B:F,5,0)</f>
        <v>成本-素菜类</v>
      </c>
    </row>
    <row r="348" hidden="1" spans="1:16">
      <c r="A348">
        <v>347</v>
      </c>
      <c r="B348">
        <v>1500695</v>
      </c>
      <c r="C348" t="s">
        <v>424</v>
      </c>
      <c r="D348">
        <v>84</v>
      </c>
      <c r="E348">
        <v>24</v>
      </c>
      <c r="F348" t="s">
        <v>36</v>
      </c>
      <c r="G348" t="s">
        <v>37</v>
      </c>
      <c r="H348" t="s">
        <v>38</v>
      </c>
      <c r="I348" s="73">
        <f t="shared" si="15"/>
        <v>60</v>
      </c>
      <c r="J348" s="114">
        <f>VLOOKUP(B348,本月系统单价mb5b!$B:$P,15,0)</f>
        <v>5.20833333333333</v>
      </c>
      <c r="K348" s="114">
        <f t="shared" si="16"/>
        <v>312.5</v>
      </c>
      <c r="L348" s="114">
        <f>IFERROR(VLOOKUP(B348,上月数量需更新!A:C,3,0),0)</f>
        <v>625</v>
      </c>
      <c r="M348" s="121">
        <f t="shared" si="17"/>
        <v>-312.5</v>
      </c>
      <c r="P348" t="str">
        <f>VLOOKUP(B348,物料分类!B:F,5,0)</f>
        <v>员工餐</v>
      </c>
    </row>
    <row r="349" hidden="1" spans="1:16">
      <c r="A349">
        <v>348</v>
      </c>
      <c r="B349">
        <v>4505920</v>
      </c>
      <c r="C349" t="s">
        <v>425</v>
      </c>
      <c r="D349">
        <v>20</v>
      </c>
      <c r="E349">
        <v>8</v>
      </c>
      <c r="F349" t="s">
        <v>44</v>
      </c>
      <c r="G349" t="s">
        <v>45</v>
      </c>
      <c r="H349" t="s">
        <v>46</v>
      </c>
      <c r="I349" s="73">
        <f t="shared" si="15"/>
        <v>12</v>
      </c>
      <c r="J349" s="114">
        <f>VLOOKUP(B349,本月系统单价mb5b!$B:$P,15,0)</f>
        <v>0.6665</v>
      </c>
      <c r="K349" s="114">
        <f t="shared" si="16"/>
        <v>7.998</v>
      </c>
      <c r="L349" s="114">
        <f>IFERROR(VLOOKUP(B349,上月数量需更新!A:C,3,0),0)</f>
        <v>10.67</v>
      </c>
      <c r="M349" s="121">
        <f t="shared" si="17"/>
        <v>-2.672</v>
      </c>
      <c r="P349" t="str">
        <f>VLOOKUP(B349,物料分类!B:F,5,0)</f>
        <v>成本-小料台类</v>
      </c>
    </row>
    <row r="350" hidden="1" spans="1:16">
      <c r="A350">
        <v>349</v>
      </c>
      <c r="B350">
        <v>4513503</v>
      </c>
      <c r="C350" t="s">
        <v>426</v>
      </c>
      <c r="D350">
        <v>580</v>
      </c>
      <c r="E350">
        <v>20</v>
      </c>
      <c r="F350" t="s">
        <v>36</v>
      </c>
      <c r="G350" t="s">
        <v>37</v>
      </c>
      <c r="H350" t="s">
        <v>38</v>
      </c>
      <c r="I350" s="73">
        <f t="shared" si="15"/>
        <v>560</v>
      </c>
      <c r="J350" s="114">
        <f>VLOOKUP(B350,本月系统单价mb5b!$B:$P,15,0)</f>
        <v>1.48063793103448</v>
      </c>
      <c r="K350" s="114">
        <f t="shared" si="16"/>
        <v>829.15724137931</v>
      </c>
      <c r="L350" s="114">
        <f>IFERROR(VLOOKUP(B350,上月数量需更新!A:C,3,0),0)</f>
        <v>590.12</v>
      </c>
      <c r="M350" s="121">
        <f t="shared" si="17"/>
        <v>239.03724137931</v>
      </c>
      <c r="P350" t="str">
        <f>VLOOKUP(B350,物料分类!B:F,5,0)</f>
        <v>员工餐</v>
      </c>
    </row>
    <row r="351" hidden="1" spans="1:16">
      <c r="A351">
        <v>350</v>
      </c>
      <c r="B351">
        <v>1501279</v>
      </c>
      <c r="C351" t="s">
        <v>427</v>
      </c>
      <c r="D351">
        <v>106</v>
      </c>
      <c r="E351">
        <v>30</v>
      </c>
      <c r="F351" t="s">
        <v>32</v>
      </c>
      <c r="G351" t="s">
        <v>33</v>
      </c>
      <c r="H351" t="s">
        <v>32</v>
      </c>
      <c r="I351" s="73">
        <f t="shared" si="15"/>
        <v>76</v>
      </c>
      <c r="J351" s="114">
        <f>VLOOKUP(B351,本月系统单价mb5b!$B:$P,15,0)</f>
        <v>13.62</v>
      </c>
      <c r="K351" s="114">
        <f t="shared" si="16"/>
        <v>1035.12</v>
      </c>
      <c r="L351" s="114">
        <f>IFERROR(VLOOKUP(B351,上月数量需更新!A:C,3,0),0)</f>
        <v>514.63</v>
      </c>
      <c r="M351" s="121">
        <f t="shared" si="17"/>
        <v>520.49</v>
      </c>
      <c r="P351" t="str">
        <f>VLOOKUP(B351,物料分类!B:F,5,0)</f>
        <v>成本-酒水类</v>
      </c>
    </row>
    <row r="352" hidden="1" spans="1:16">
      <c r="A352">
        <v>351</v>
      </c>
      <c r="B352">
        <v>1501155</v>
      </c>
      <c r="C352" t="s">
        <v>428</v>
      </c>
      <c r="D352">
        <v>96</v>
      </c>
      <c r="E352">
        <v>0</v>
      </c>
      <c r="F352" t="s">
        <v>29</v>
      </c>
      <c r="G352" t="s">
        <v>30</v>
      </c>
      <c r="H352" t="s">
        <v>29</v>
      </c>
      <c r="I352" s="73">
        <f t="shared" si="15"/>
        <v>96</v>
      </c>
      <c r="J352" s="114">
        <f>VLOOKUP(B352,本月系统单价mb5b!$B:$P,15,0)</f>
        <v>2.29166666666667</v>
      </c>
      <c r="K352" s="114">
        <f t="shared" si="16"/>
        <v>220</v>
      </c>
      <c r="L352" s="114">
        <f>IFERROR(VLOOKUP(B352,上月数量需更新!A:C,3,0),0)</f>
        <v>0</v>
      </c>
      <c r="M352" s="121">
        <f t="shared" si="17"/>
        <v>220</v>
      </c>
      <c r="P352" t="str">
        <f>VLOOKUP(B352,物料分类!B:F,5,0)</f>
        <v>成本-小料台类</v>
      </c>
    </row>
    <row r="353" hidden="1" spans="1:16">
      <c r="A353">
        <v>352</v>
      </c>
      <c r="B353">
        <v>1500833</v>
      </c>
      <c r="C353" t="s">
        <v>429</v>
      </c>
      <c r="D353">
        <v>2</v>
      </c>
      <c r="E353">
        <v>1</v>
      </c>
      <c r="F353" t="s">
        <v>36</v>
      </c>
      <c r="G353" t="s">
        <v>37</v>
      </c>
      <c r="H353" t="s">
        <v>38</v>
      </c>
      <c r="I353" s="73">
        <f t="shared" si="15"/>
        <v>1</v>
      </c>
      <c r="J353" s="114">
        <f>VLOOKUP(B353,本月系统单价mb5b!$B:$P,15,0)</f>
        <v>15.5</v>
      </c>
      <c r="K353" s="114">
        <f t="shared" si="16"/>
        <v>15.5</v>
      </c>
      <c r="L353" s="114">
        <f>IFERROR(VLOOKUP(B353,上月数量需更新!A:C,3,0),0)</f>
        <v>0</v>
      </c>
      <c r="M353" s="121">
        <f t="shared" si="17"/>
        <v>15.5</v>
      </c>
      <c r="P353" t="str">
        <f>VLOOKUP(B353,物料分类!B:F,5,0)</f>
        <v>成本-小料台类</v>
      </c>
    </row>
    <row r="354" hidden="1" spans="1:16">
      <c r="A354">
        <v>353</v>
      </c>
      <c r="B354">
        <v>4515862</v>
      </c>
      <c r="C354" t="s">
        <v>430</v>
      </c>
      <c r="D354">
        <v>0</v>
      </c>
      <c r="E354">
        <v>0</v>
      </c>
      <c r="F354" t="s">
        <v>36</v>
      </c>
      <c r="G354" t="s">
        <v>37</v>
      </c>
      <c r="H354" t="s">
        <v>38</v>
      </c>
      <c r="I354" s="73">
        <f t="shared" si="15"/>
        <v>0</v>
      </c>
      <c r="J354" s="114" t="e">
        <f>VLOOKUP(B354,本月系统单价mb5b!$B:$P,15,0)</f>
        <v>#DIV/0!</v>
      </c>
      <c r="K354" s="114" t="e">
        <f t="shared" si="16"/>
        <v>#DIV/0!</v>
      </c>
      <c r="L354" s="114">
        <f>IFERROR(VLOOKUP(B354,上月数量需更新!A:C,3,0),0)</f>
        <v>174.05</v>
      </c>
      <c r="M354" s="121" t="e">
        <f t="shared" si="17"/>
        <v>#DIV/0!</v>
      </c>
      <c r="P354" t="str">
        <f>VLOOKUP(B354,物料分类!B:F,5,0)</f>
        <v>员工餐</v>
      </c>
    </row>
    <row r="355" hidden="1" spans="1:16">
      <c r="A355">
        <v>108</v>
      </c>
      <c r="B355">
        <v>4004609</v>
      </c>
      <c r="C355" t="s">
        <v>431</v>
      </c>
      <c r="D355">
        <v>1</v>
      </c>
      <c r="E355">
        <v>1</v>
      </c>
      <c r="F355" t="s">
        <v>20</v>
      </c>
      <c r="G355" t="s">
        <v>21</v>
      </c>
      <c r="H355" t="s">
        <v>20</v>
      </c>
      <c r="I355" s="73">
        <f t="shared" si="15"/>
        <v>0</v>
      </c>
      <c r="J355" s="114">
        <f>VLOOKUP(B355,本月系统单价mb5b!$B:$P,15,0)</f>
        <v>88.73</v>
      </c>
      <c r="K355" s="114">
        <f t="shared" si="16"/>
        <v>0</v>
      </c>
      <c r="L355" s="114">
        <f>IFERROR(VLOOKUP(B355,上月数量需更新!A:C,3,0),0)</f>
        <v>0</v>
      </c>
      <c r="M355" s="121">
        <f t="shared" si="17"/>
        <v>0</v>
      </c>
      <c r="P355" t="str">
        <f>VLOOKUP(B355,物料分类!B:F,5,0)</f>
        <v>物料消耗</v>
      </c>
    </row>
    <row r="356" hidden="1" spans="1:16">
      <c r="A356">
        <v>355</v>
      </c>
      <c r="B356">
        <v>1500891</v>
      </c>
      <c r="C356" t="s">
        <v>432</v>
      </c>
      <c r="D356">
        <v>210</v>
      </c>
      <c r="E356">
        <v>130</v>
      </c>
      <c r="F356" t="s">
        <v>73</v>
      </c>
      <c r="G356" t="s">
        <v>74</v>
      </c>
      <c r="H356" t="s">
        <v>73</v>
      </c>
      <c r="I356" s="73">
        <f t="shared" si="15"/>
        <v>80</v>
      </c>
      <c r="J356" s="114">
        <f>VLOOKUP(B356,本月系统单价mb5b!$B:$P,15,0)</f>
        <v>7.60666666666667</v>
      </c>
      <c r="K356" s="114">
        <f t="shared" si="16"/>
        <v>608.533333333333</v>
      </c>
      <c r="L356" s="114">
        <f>IFERROR(VLOOKUP(B356,上月数量需更新!A:C,3,0),0)</f>
        <v>924.66</v>
      </c>
      <c r="M356" s="121">
        <f t="shared" si="17"/>
        <v>-316.126666666667</v>
      </c>
      <c r="P356" t="str">
        <f>VLOOKUP(B356,物料分类!B:F,5,0)</f>
        <v>成本-素菜类</v>
      </c>
    </row>
    <row r="357" hidden="1" spans="1:16">
      <c r="A357">
        <v>356</v>
      </c>
      <c r="B357">
        <v>1501633</v>
      </c>
      <c r="C357" t="s">
        <v>433</v>
      </c>
      <c r="D357">
        <v>28.125</v>
      </c>
      <c r="E357">
        <v>10.85</v>
      </c>
      <c r="F357" t="s">
        <v>73</v>
      </c>
      <c r="G357" t="s">
        <v>74</v>
      </c>
      <c r="H357" t="s">
        <v>73</v>
      </c>
      <c r="I357" s="73">
        <f t="shared" si="15"/>
        <v>17.275</v>
      </c>
      <c r="J357" s="114">
        <f>VLOOKUP(B357,本月系统单价mb5b!$B:$P,15,0)</f>
        <v>91.1111111111111</v>
      </c>
      <c r="K357" s="114">
        <f t="shared" si="16"/>
        <v>1573.94444444444</v>
      </c>
      <c r="L357" s="114">
        <f>IFERROR(VLOOKUP(B357,上月数量需更新!A:C,3,0),0)</f>
        <v>922.5</v>
      </c>
      <c r="M357" s="121">
        <f t="shared" si="17"/>
        <v>651.444444444444</v>
      </c>
      <c r="P357" t="str">
        <f>VLOOKUP(B357,物料分类!B:F,5,0)</f>
        <v>成本-素菜类</v>
      </c>
    </row>
    <row r="358" hidden="1" spans="1:16">
      <c r="A358">
        <v>357</v>
      </c>
      <c r="B358">
        <v>4510006</v>
      </c>
      <c r="C358" t="s">
        <v>434</v>
      </c>
      <c r="D358">
        <v>108</v>
      </c>
      <c r="E358">
        <v>0</v>
      </c>
      <c r="F358" t="s">
        <v>73</v>
      </c>
      <c r="G358" t="s">
        <v>74</v>
      </c>
      <c r="H358" t="s">
        <v>73</v>
      </c>
      <c r="I358" s="73">
        <f t="shared" si="15"/>
        <v>108</v>
      </c>
      <c r="J358" s="114">
        <f>VLOOKUP(B358,本月系统单价mb5b!$B:$P,15,0)</f>
        <v>32.5</v>
      </c>
      <c r="K358" s="114">
        <f t="shared" si="16"/>
        <v>3510</v>
      </c>
      <c r="L358" s="114">
        <f>IFERROR(VLOOKUP(B358,上月数量需更新!A:C,3,0),0)</f>
        <v>0</v>
      </c>
      <c r="M358" s="121">
        <f t="shared" si="17"/>
        <v>3510</v>
      </c>
      <c r="P358" t="str">
        <f>VLOOKUP(B358,物料分类!B:F,5,0)</f>
        <v>成本-锅底类</v>
      </c>
    </row>
    <row r="359" hidden="1" spans="1:16">
      <c r="A359">
        <v>358</v>
      </c>
      <c r="B359">
        <v>3010356</v>
      </c>
      <c r="C359" t="s">
        <v>435</v>
      </c>
      <c r="D359">
        <v>22.5</v>
      </c>
      <c r="E359">
        <v>0</v>
      </c>
      <c r="F359" t="s">
        <v>73</v>
      </c>
      <c r="G359" t="s">
        <v>74</v>
      </c>
      <c r="H359" t="s">
        <v>73</v>
      </c>
      <c r="I359" s="73">
        <f t="shared" si="15"/>
        <v>22.5</v>
      </c>
      <c r="J359" s="114">
        <f>VLOOKUP(B359,本月系统单价mb5b!$B:$P,15,0)</f>
        <v>3.73511111111111</v>
      </c>
      <c r="K359" s="114">
        <f t="shared" si="16"/>
        <v>84.04</v>
      </c>
      <c r="L359" s="114">
        <f>IFERROR(VLOOKUP(B359,上月数量需更新!A:C,3,0),0)</f>
        <v>196.09</v>
      </c>
      <c r="M359" s="121">
        <f t="shared" si="17"/>
        <v>-112.05</v>
      </c>
      <c r="P359" t="str">
        <f>VLOOKUP(B359,物料分类!B:F,5,0)</f>
        <v>成本-素菜类</v>
      </c>
    </row>
    <row r="360" hidden="1" spans="1:16">
      <c r="A360">
        <v>359</v>
      </c>
      <c r="B360">
        <v>4512680</v>
      </c>
      <c r="C360" t="s">
        <v>436</v>
      </c>
      <c r="D360">
        <v>16.5</v>
      </c>
      <c r="E360">
        <v>9</v>
      </c>
      <c r="F360" t="s">
        <v>73</v>
      </c>
      <c r="G360" t="s">
        <v>74</v>
      </c>
      <c r="H360" t="s">
        <v>73</v>
      </c>
      <c r="I360" s="73">
        <f t="shared" si="15"/>
        <v>7.5</v>
      </c>
      <c r="J360" s="114">
        <f>VLOOKUP(B360,本月系统单价mb5b!$B:$P,15,0)</f>
        <v>8.85575757575758</v>
      </c>
      <c r="K360" s="114">
        <f t="shared" si="16"/>
        <v>66.4181818181818</v>
      </c>
      <c r="L360" s="114">
        <f>IFERROR(VLOOKUP(B360,上月数量需更新!A:C,3,0),0)</f>
        <v>66.13</v>
      </c>
      <c r="M360" s="121">
        <f t="shared" si="17"/>
        <v>0.288181818181826</v>
      </c>
      <c r="P360" t="str">
        <f>VLOOKUP(B360,物料分类!B:F,5,0)</f>
        <v>成本-荤菜类</v>
      </c>
    </row>
    <row r="361" hidden="1" spans="1:16">
      <c r="A361">
        <v>360</v>
      </c>
      <c r="B361">
        <v>4510251</v>
      </c>
      <c r="C361" t="s">
        <v>437</v>
      </c>
      <c r="D361">
        <v>30</v>
      </c>
      <c r="E361">
        <v>8.5</v>
      </c>
      <c r="F361" t="s">
        <v>73</v>
      </c>
      <c r="G361" t="s">
        <v>74</v>
      </c>
      <c r="H361" t="s">
        <v>73</v>
      </c>
      <c r="I361" s="73">
        <f t="shared" si="15"/>
        <v>21.5</v>
      </c>
      <c r="J361" s="114">
        <f>VLOOKUP(B361,本月系统单价mb5b!$B:$P,15,0)</f>
        <v>3.75</v>
      </c>
      <c r="K361" s="114">
        <f t="shared" si="16"/>
        <v>80.625</v>
      </c>
      <c r="L361" s="114">
        <f>IFERROR(VLOOKUP(B361,上月数量需更新!A:C,3,0),0)</f>
        <v>90</v>
      </c>
      <c r="M361" s="121">
        <f t="shared" si="17"/>
        <v>-9.375</v>
      </c>
      <c r="P361" t="str">
        <f>VLOOKUP(B361,物料分类!B:F,5,0)</f>
        <v>成本-小吃类</v>
      </c>
    </row>
    <row r="362" hidden="1" spans="1:16">
      <c r="A362">
        <v>361</v>
      </c>
      <c r="B362">
        <v>4026781</v>
      </c>
      <c r="C362" t="s">
        <v>438</v>
      </c>
      <c r="D362">
        <v>405</v>
      </c>
      <c r="E362">
        <v>0</v>
      </c>
      <c r="F362" t="s">
        <v>73</v>
      </c>
      <c r="G362" t="s">
        <v>74</v>
      </c>
      <c r="H362" t="s">
        <v>73</v>
      </c>
      <c r="I362" s="73">
        <f t="shared" si="15"/>
        <v>405</v>
      </c>
      <c r="J362" s="114">
        <f>VLOOKUP(B362,本月系统单价mb5b!$B:$P,15,0)</f>
        <v>7.33777777777778</v>
      </c>
      <c r="K362" s="114">
        <f t="shared" si="16"/>
        <v>2971.8</v>
      </c>
      <c r="L362" s="114">
        <f>IFERROR(VLOOKUP(B362,上月数量需更新!A:C,3,0),0)</f>
        <v>0</v>
      </c>
      <c r="M362" s="121">
        <f t="shared" si="17"/>
        <v>2971.8</v>
      </c>
      <c r="P362" t="str">
        <f>VLOOKUP(B362,物料分类!B:F,5,0)</f>
        <v>成本-其他类</v>
      </c>
    </row>
    <row r="363" hidden="1" spans="1:16">
      <c r="A363">
        <v>362</v>
      </c>
      <c r="B363">
        <v>4529331</v>
      </c>
      <c r="C363" t="s">
        <v>439</v>
      </c>
      <c r="D363">
        <v>2900</v>
      </c>
      <c r="E363">
        <v>300</v>
      </c>
      <c r="F363" t="s">
        <v>20</v>
      </c>
      <c r="G363" t="s">
        <v>21</v>
      </c>
      <c r="H363" t="s">
        <v>20</v>
      </c>
      <c r="I363" s="73">
        <f t="shared" si="15"/>
        <v>2600</v>
      </c>
      <c r="J363" s="114">
        <f>VLOOKUP(B363,本月系统单价mb5b!$B:$P,15,0)</f>
        <v>0.11</v>
      </c>
      <c r="K363" s="114">
        <f t="shared" si="16"/>
        <v>286</v>
      </c>
      <c r="L363" s="114">
        <f>IFERROR(VLOOKUP(B363,上月数量需更新!A:C,3,0),0)</f>
        <v>83.83</v>
      </c>
      <c r="M363" s="121">
        <f t="shared" si="17"/>
        <v>202.17</v>
      </c>
      <c r="P363" t="str">
        <f>VLOOKUP(B363,物料分类!B:F,5,0)</f>
        <v>员工餐</v>
      </c>
    </row>
    <row r="364" hidden="1" spans="1:16">
      <c r="A364">
        <v>363</v>
      </c>
      <c r="B364">
        <v>4517520</v>
      </c>
      <c r="C364" t="s">
        <v>440</v>
      </c>
      <c r="D364">
        <v>475.2</v>
      </c>
      <c r="E364">
        <v>38.4</v>
      </c>
      <c r="F364" t="s">
        <v>73</v>
      </c>
      <c r="G364" t="s">
        <v>74</v>
      </c>
      <c r="H364" t="s">
        <v>73</v>
      </c>
      <c r="I364" s="73">
        <f t="shared" si="15"/>
        <v>436.8</v>
      </c>
      <c r="J364" s="114">
        <f>VLOOKUP(B364,本月系统单价mb5b!$B:$P,15,0)</f>
        <v>2.6401936026936</v>
      </c>
      <c r="K364" s="114">
        <f t="shared" si="16"/>
        <v>1153.23656565657</v>
      </c>
      <c r="L364" s="114">
        <f>IFERROR(VLOOKUP(B364,上月数量需更新!A:C,3,0),0)</f>
        <v>331.23</v>
      </c>
      <c r="M364" s="121">
        <f t="shared" si="17"/>
        <v>822.006565656566</v>
      </c>
      <c r="P364" t="str">
        <f>VLOOKUP(B364,物料分类!B:F,5,0)</f>
        <v>成本-素菜类</v>
      </c>
    </row>
    <row r="365" hidden="1" spans="1:16">
      <c r="A365">
        <v>364</v>
      </c>
      <c r="B365">
        <v>1500982</v>
      </c>
      <c r="C365" t="s">
        <v>441</v>
      </c>
      <c r="D365">
        <v>22.8</v>
      </c>
      <c r="E365">
        <v>0</v>
      </c>
      <c r="F365" t="s">
        <v>36</v>
      </c>
      <c r="G365" t="s">
        <v>37</v>
      </c>
      <c r="H365" t="s">
        <v>38</v>
      </c>
      <c r="I365" s="73">
        <f t="shared" si="15"/>
        <v>22.8</v>
      </c>
      <c r="J365" s="114">
        <f>VLOOKUP(B365,本月系统单价mb5b!$B:$P,15,0)</f>
        <v>1.78728070175439</v>
      </c>
      <c r="K365" s="114">
        <f t="shared" si="16"/>
        <v>40.75</v>
      </c>
      <c r="L365" s="114">
        <f>IFERROR(VLOOKUP(B365,上月数量需更新!A:C,3,0),0)</f>
        <v>67.89</v>
      </c>
      <c r="M365" s="121">
        <f t="shared" si="17"/>
        <v>-27.14</v>
      </c>
      <c r="P365" t="str">
        <f>VLOOKUP(B365,物料分类!B:F,5,0)</f>
        <v>员工餐</v>
      </c>
    </row>
    <row r="366" hidden="1" spans="1:16">
      <c r="A366">
        <v>365</v>
      </c>
      <c r="B366">
        <v>4526646</v>
      </c>
      <c r="C366" t="s">
        <v>442</v>
      </c>
      <c r="D366">
        <v>4.3</v>
      </c>
      <c r="E366">
        <v>4.2</v>
      </c>
      <c r="F366" t="s">
        <v>32</v>
      </c>
      <c r="G366" t="s">
        <v>33</v>
      </c>
      <c r="H366" t="s">
        <v>32</v>
      </c>
      <c r="I366" s="73">
        <f t="shared" si="15"/>
        <v>0.0999999999999996</v>
      </c>
      <c r="J366" s="114">
        <f>VLOOKUP(B366,本月系统单价mb5b!$B:$P,15,0)</f>
        <v>16.3627906976744</v>
      </c>
      <c r="K366" s="114">
        <f t="shared" si="16"/>
        <v>1.63627906976744</v>
      </c>
      <c r="L366" s="114">
        <f>IFERROR(VLOOKUP(B366,上月数量需更新!A:C,3,0),0)</f>
        <v>27.82</v>
      </c>
      <c r="M366" s="121">
        <f t="shared" si="17"/>
        <v>-26.1837209302326</v>
      </c>
      <c r="P366" t="str">
        <f>VLOOKUP(B366,物料分类!B:F,5,0)</f>
        <v>成本-酒水类</v>
      </c>
    </row>
    <row r="367" hidden="1" spans="1:16">
      <c r="A367">
        <v>366</v>
      </c>
      <c r="B367">
        <v>1500843</v>
      </c>
      <c r="C367" t="s">
        <v>443</v>
      </c>
      <c r="D367">
        <v>65</v>
      </c>
      <c r="E367">
        <v>4</v>
      </c>
      <c r="F367" t="s">
        <v>36</v>
      </c>
      <c r="G367" t="s">
        <v>37</v>
      </c>
      <c r="H367" t="s">
        <v>38</v>
      </c>
      <c r="I367" s="73">
        <f t="shared" si="15"/>
        <v>61</v>
      </c>
      <c r="J367" s="114">
        <f>VLOOKUP(B367,本月系统单价mb5b!$B:$P,15,0)</f>
        <v>12.5</v>
      </c>
      <c r="K367" s="114">
        <f t="shared" si="16"/>
        <v>762.5</v>
      </c>
      <c r="L367" s="114">
        <f>IFERROR(VLOOKUP(B367,上月数量需更新!A:C,3,0),0)</f>
        <v>100</v>
      </c>
      <c r="M367" s="121">
        <f t="shared" si="17"/>
        <v>662.5</v>
      </c>
      <c r="P367" t="str">
        <f>VLOOKUP(B367,物料分类!B:F,5,0)</f>
        <v>成本-锅底类</v>
      </c>
    </row>
    <row r="368" hidden="1" spans="1:16">
      <c r="A368">
        <v>367</v>
      </c>
      <c r="B368">
        <v>1501047</v>
      </c>
      <c r="C368" t="s">
        <v>444</v>
      </c>
      <c r="D368">
        <v>15</v>
      </c>
      <c r="E368">
        <v>0</v>
      </c>
      <c r="F368" t="s">
        <v>36</v>
      </c>
      <c r="G368" t="s">
        <v>37</v>
      </c>
      <c r="H368" t="s">
        <v>38</v>
      </c>
      <c r="I368" s="73">
        <f t="shared" si="15"/>
        <v>15</v>
      </c>
      <c r="J368" s="114">
        <f>VLOOKUP(B368,本月系统单价mb5b!$B:$P,15,0)</f>
        <v>4.00466666666667</v>
      </c>
      <c r="K368" s="114">
        <f t="shared" si="16"/>
        <v>60.07</v>
      </c>
      <c r="L368" s="114">
        <f>IFERROR(VLOOKUP(B368,上月数量需更新!A:C,3,0),0)</f>
        <v>0</v>
      </c>
      <c r="M368" s="121">
        <f t="shared" si="17"/>
        <v>60.07</v>
      </c>
      <c r="P368" t="str">
        <f>VLOOKUP(B368,物料分类!B:F,5,0)</f>
        <v>成本-小吃类</v>
      </c>
    </row>
    <row r="369" hidden="1" spans="1:16">
      <c r="A369">
        <v>368</v>
      </c>
      <c r="B369">
        <v>1501594</v>
      </c>
      <c r="C369" t="s">
        <v>445</v>
      </c>
      <c r="D369">
        <v>101.6</v>
      </c>
      <c r="E369">
        <v>0</v>
      </c>
      <c r="F369" t="s">
        <v>36</v>
      </c>
      <c r="G369" t="s">
        <v>37</v>
      </c>
      <c r="H369" t="s">
        <v>38</v>
      </c>
      <c r="I369" s="73">
        <f t="shared" si="15"/>
        <v>101.6</v>
      </c>
      <c r="J369" s="114">
        <f>VLOOKUP(B369,本月系统单价mb5b!$B:$P,15,0)</f>
        <v>1.28503937007874</v>
      </c>
      <c r="K369" s="114">
        <f t="shared" si="16"/>
        <v>130.56</v>
      </c>
      <c r="L369" s="114">
        <f>IFERROR(VLOOKUP(B369,上月数量需更新!A:C,3,0),0)</f>
        <v>48</v>
      </c>
      <c r="M369" s="121">
        <f t="shared" si="17"/>
        <v>82.56</v>
      </c>
      <c r="P369" t="str">
        <f>VLOOKUP(B369,物料分类!B:F,5,0)</f>
        <v>员工餐</v>
      </c>
    </row>
    <row r="370" hidden="1" spans="1:16">
      <c r="A370">
        <v>152</v>
      </c>
      <c r="B370">
        <v>8009581</v>
      </c>
      <c r="C370" t="s">
        <v>446</v>
      </c>
      <c r="D370">
        <v>12</v>
      </c>
      <c r="E370">
        <v>12</v>
      </c>
      <c r="F370" t="s">
        <v>20</v>
      </c>
      <c r="G370" t="s">
        <v>21</v>
      </c>
      <c r="H370" t="s">
        <v>20</v>
      </c>
      <c r="I370" s="73">
        <f t="shared" si="15"/>
        <v>0</v>
      </c>
      <c r="J370" s="114">
        <f>VLOOKUP(B370,本月系统单价mb5b!$B:$P,15,0)</f>
        <v>7.65666666666667</v>
      </c>
      <c r="K370" s="114">
        <f t="shared" si="16"/>
        <v>0</v>
      </c>
      <c r="L370" s="114">
        <f>IFERROR(VLOOKUP(B370,上月数量需更新!A:C,3,0),0)</f>
        <v>0</v>
      </c>
      <c r="M370" s="121">
        <f t="shared" si="17"/>
        <v>0</v>
      </c>
      <c r="P370" t="str">
        <f>VLOOKUP(B370,物料分类!B:F,5,0)</f>
        <v>物料消耗</v>
      </c>
    </row>
    <row r="371" hidden="1" spans="1:16">
      <c r="A371">
        <v>370</v>
      </c>
      <c r="B371">
        <v>4516090</v>
      </c>
      <c r="C371" t="s">
        <v>447</v>
      </c>
      <c r="D371">
        <v>15</v>
      </c>
      <c r="E371">
        <v>7</v>
      </c>
      <c r="F371" t="s">
        <v>137</v>
      </c>
      <c r="G371" t="s">
        <v>138</v>
      </c>
      <c r="H371" t="s">
        <v>137</v>
      </c>
      <c r="I371" s="73">
        <f t="shared" si="15"/>
        <v>8</v>
      </c>
      <c r="J371" s="114">
        <f>VLOOKUP(B371,本月系统单价mb5b!$B:$P,15,0)</f>
        <v>40.0813333333333</v>
      </c>
      <c r="K371" s="114">
        <f t="shared" si="16"/>
        <v>320.650666666667</v>
      </c>
      <c r="L371" s="114">
        <f>IFERROR(VLOOKUP(B371,上月数量需更新!A:C,3,0),0)</f>
        <v>232.49</v>
      </c>
      <c r="M371" s="121">
        <f t="shared" si="17"/>
        <v>88.1606666666667</v>
      </c>
      <c r="P371" t="str">
        <f>VLOOKUP(B371,物料分类!B:F,5,0)</f>
        <v>成本-锅底类</v>
      </c>
    </row>
    <row r="372" hidden="1" spans="1:16">
      <c r="A372">
        <v>371</v>
      </c>
      <c r="B372">
        <v>4018767</v>
      </c>
      <c r="C372" t="s">
        <v>448</v>
      </c>
      <c r="D372">
        <v>360</v>
      </c>
      <c r="E372">
        <v>200</v>
      </c>
      <c r="F372" t="s">
        <v>73</v>
      </c>
      <c r="G372" t="s">
        <v>74</v>
      </c>
      <c r="H372" t="s">
        <v>73</v>
      </c>
      <c r="I372" s="73">
        <f t="shared" si="15"/>
        <v>160</v>
      </c>
      <c r="J372" s="114">
        <f>VLOOKUP(B372,本月系统单价mb5b!$B:$P,15,0)</f>
        <v>4.49725</v>
      </c>
      <c r="K372" s="114">
        <f t="shared" si="16"/>
        <v>719.56</v>
      </c>
      <c r="L372" s="114">
        <f>IFERROR(VLOOKUP(B372,上月数量需更新!A:C,3,0),0)</f>
        <v>629.68</v>
      </c>
      <c r="M372" s="121">
        <f t="shared" si="17"/>
        <v>89.8800000000001</v>
      </c>
      <c r="P372" t="str">
        <f>VLOOKUP(B372,物料分类!B:F,5,0)</f>
        <v>成本-小料台类</v>
      </c>
    </row>
    <row r="373" hidden="1" spans="1:16">
      <c r="A373">
        <v>155</v>
      </c>
      <c r="B373">
        <v>8704092</v>
      </c>
      <c r="C373" t="s">
        <v>449</v>
      </c>
      <c r="D373">
        <v>900</v>
      </c>
      <c r="E373">
        <v>900</v>
      </c>
      <c r="F373" t="s">
        <v>20</v>
      </c>
      <c r="G373" t="s">
        <v>21</v>
      </c>
      <c r="H373" t="s">
        <v>20</v>
      </c>
      <c r="I373" s="73">
        <f t="shared" si="15"/>
        <v>0</v>
      </c>
      <c r="J373" s="114">
        <f>VLOOKUP(B373,本月系统单价mb5b!$B:$P,15,0)</f>
        <v>0.211944444444444</v>
      </c>
      <c r="K373" s="114">
        <f t="shared" si="16"/>
        <v>0</v>
      </c>
      <c r="L373" s="114">
        <f>IFERROR(VLOOKUP(B373,上月数量需更新!A:C,3,0),0)</f>
        <v>63.59</v>
      </c>
      <c r="M373" s="121">
        <f t="shared" si="17"/>
        <v>-63.59</v>
      </c>
      <c r="P373" t="str">
        <f>VLOOKUP(B373,物料分类!B:F,5,0)</f>
        <v>物料消耗</v>
      </c>
    </row>
    <row r="374" hidden="1" spans="1:16">
      <c r="A374">
        <v>373</v>
      </c>
      <c r="B374">
        <v>1501025</v>
      </c>
      <c r="C374" t="s">
        <v>450</v>
      </c>
      <c r="D374">
        <v>110</v>
      </c>
      <c r="E374">
        <v>30</v>
      </c>
      <c r="F374" t="s">
        <v>36</v>
      </c>
      <c r="G374" t="s">
        <v>37</v>
      </c>
      <c r="H374" t="s">
        <v>38</v>
      </c>
      <c r="I374" s="73">
        <f t="shared" si="15"/>
        <v>80</v>
      </c>
      <c r="J374" s="114">
        <f>VLOOKUP(B374,本月系统单价mb5b!$B:$P,15,0)</f>
        <v>1.55</v>
      </c>
      <c r="K374" s="114">
        <f t="shared" si="16"/>
        <v>124</v>
      </c>
      <c r="L374" s="114">
        <f>IFERROR(VLOOKUP(B374,上月数量需更新!A:C,3,0),0)</f>
        <v>0</v>
      </c>
      <c r="M374" s="121">
        <f t="shared" si="17"/>
        <v>124</v>
      </c>
      <c r="P374" t="str">
        <f>VLOOKUP(B374,物料分类!B:F,5,0)</f>
        <v>成本-小料台类</v>
      </c>
    </row>
    <row r="375" spans="1:16">
      <c r="A375">
        <v>374</v>
      </c>
      <c r="B375">
        <v>1500679</v>
      </c>
      <c r="C375" t="s">
        <v>451</v>
      </c>
      <c r="D375">
        <v>2657.48</v>
      </c>
      <c r="E375">
        <v>162.06</v>
      </c>
      <c r="F375" t="s">
        <v>36</v>
      </c>
      <c r="G375" t="s">
        <v>37</v>
      </c>
      <c r="H375" t="s">
        <v>38</v>
      </c>
      <c r="I375" s="73">
        <f t="shared" si="15"/>
        <v>2495.42</v>
      </c>
      <c r="J375" s="114">
        <f>VLOOKUP(B375,本月系统单价mb5b!$B:$P,15,0)</f>
        <v>6.43640591838885</v>
      </c>
      <c r="K375" s="114">
        <f t="shared" si="16"/>
        <v>16061.5360568659</v>
      </c>
      <c r="L375" s="114">
        <f>IFERROR(VLOOKUP(B375,上月数量需更新!A:C,3,0),0)</f>
        <v>11192.18</v>
      </c>
      <c r="M375" s="121">
        <f t="shared" si="17"/>
        <v>4869.3560568659</v>
      </c>
      <c r="N375" t="str">
        <f>VLOOKUP(B375,计算!R:X,7,0)</f>
        <v>多使用1013磅请核实原因</v>
      </c>
      <c r="O375" t="s">
        <v>452</v>
      </c>
      <c r="P375" t="str">
        <f>VLOOKUP(B375,物料分类!B:F,5,0)</f>
        <v>成本-荤菜类</v>
      </c>
    </row>
    <row r="376" hidden="1" spans="1:16">
      <c r="A376">
        <v>375</v>
      </c>
      <c r="B376">
        <v>4702852</v>
      </c>
      <c r="C376" t="s">
        <v>453</v>
      </c>
      <c r="D376">
        <v>26.37</v>
      </c>
      <c r="E376">
        <v>3.58</v>
      </c>
      <c r="F376" t="s">
        <v>73</v>
      </c>
      <c r="G376" t="s">
        <v>74</v>
      </c>
      <c r="H376" t="s">
        <v>73</v>
      </c>
      <c r="I376" s="73">
        <f t="shared" si="15"/>
        <v>22.79</v>
      </c>
      <c r="J376" s="114">
        <f>VLOOKUP(B376,本月系统单价mb5b!$B:$P,15,0)</f>
        <v>15.9230185817217</v>
      </c>
      <c r="K376" s="114">
        <f t="shared" si="16"/>
        <v>362.885593477436</v>
      </c>
      <c r="L376" s="114">
        <f>IFERROR(VLOOKUP(B376,上月数量需更新!A:C,3,0),0)</f>
        <v>0</v>
      </c>
      <c r="M376" s="121">
        <f t="shared" si="17"/>
        <v>362.885593477436</v>
      </c>
      <c r="P376" t="str">
        <f>VLOOKUP(B376,物料分类!B:F,5,0)</f>
        <v>成本-荤菜类</v>
      </c>
    </row>
    <row r="377" hidden="1" spans="1:16">
      <c r="A377">
        <v>376</v>
      </c>
      <c r="B377">
        <v>1500996</v>
      </c>
      <c r="C377" t="s">
        <v>454</v>
      </c>
      <c r="D377">
        <v>38.47</v>
      </c>
      <c r="E377">
        <v>0</v>
      </c>
      <c r="F377" t="s">
        <v>73</v>
      </c>
      <c r="G377" t="s">
        <v>74</v>
      </c>
      <c r="H377" t="s">
        <v>73</v>
      </c>
      <c r="I377" s="73">
        <f t="shared" si="15"/>
        <v>38.47</v>
      </c>
      <c r="J377" s="114">
        <f>VLOOKUP(B377,本月系统单价mb5b!$B:$P,15,0)</f>
        <v>16.7000259942813</v>
      </c>
      <c r="K377" s="114">
        <f t="shared" si="16"/>
        <v>642.45</v>
      </c>
      <c r="L377" s="114">
        <f>IFERROR(VLOOKUP(B377,上月数量需更新!A:C,3,0),0)</f>
        <v>1353.03</v>
      </c>
      <c r="M377" s="121">
        <f t="shared" si="17"/>
        <v>-710.58</v>
      </c>
      <c r="P377" t="str">
        <f>VLOOKUP(B377,物料分类!B:F,5,0)</f>
        <v>成本-荤菜类</v>
      </c>
    </row>
    <row r="378" hidden="1" spans="1:16">
      <c r="A378">
        <v>377</v>
      </c>
      <c r="B378">
        <v>4500067</v>
      </c>
      <c r="C378" t="s">
        <v>455</v>
      </c>
      <c r="D378">
        <v>85.355</v>
      </c>
      <c r="E378">
        <v>13.568</v>
      </c>
      <c r="F378" t="s">
        <v>73</v>
      </c>
      <c r="G378" t="s">
        <v>74</v>
      </c>
      <c r="H378" t="s">
        <v>73</v>
      </c>
      <c r="I378" s="73">
        <f t="shared" si="15"/>
        <v>71.787</v>
      </c>
      <c r="J378" s="114">
        <f>VLOOKUP(B378,本月系统单价mb5b!$B:$P,15,0)</f>
        <v>86.3798254349481</v>
      </c>
      <c r="K378" s="114">
        <f t="shared" si="16"/>
        <v>6200.94852849862</v>
      </c>
      <c r="L378" s="114">
        <f>IFERROR(VLOOKUP(B378,上月数量需更新!A:C,3,0),0)</f>
        <v>3261.32</v>
      </c>
      <c r="M378" s="121">
        <f t="shared" si="17"/>
        <v>2939.62852849862</v>
      </c>
      <c r="P378" t="str">
        <f>VLOOKUP(B378,物料分类!B:F,5,0)</f>
        <v>成本-荤菜类</v>
      </c>
    </row>
    <row r="379" hidden="1" spans="1:16">
      <c r="A379">
        <v>378</v>
      </c>
      <c r="B379">
        <v>1501029</v>
      </c>
      <c r="C379" t="s">
        <v>456</v>
      </c>
      <c r="D379">
        <v>39</v>
      </c>
      <c r="E379">
        <v>5</v>
      </c>
      <c r="F379" t="s">
        <v>32</v>
      </c>
      <c r="G379" t="s">
        <v>33</v>
      </c>
      <c r="H379" t="s">
        <v>32</v>
      </c>
      <c r="I379" s="73">
        <f t="shared" si="15"/>
        <v>34</v>
      </c>
      <c r="J379" s="114">
        <f>VLOOKUP(B379,本月系统单价mb5b!$B:$P,15,0)</f>
        <v>8</v>
      </c>
      <c r="K379" s="114">
        <f t="shared" si="16"/>
        <v>272</v>
      </c>
      <c r="L379" s="114">
        <f>IFERROR(VLOOKUP(B379,上月数量需更新!A:C,3,0),0)</f>
        <v>240</v>
      </c>
      <c r="M379" s="121">
        <f t="shared" si="17"/>
        <v>32</v>
      </c>
      <c r="P379" t="str">
        <f>VLOOKUP(B379,物料分类!B:F,5,0)</f>
        <v>成本-小料台类</v>
      </c>
    </row>
    <row r="380" hidden="1" spans="1:16">
      <c r="A380">
        <v>379</v>
      </c>
      <c r="B380">
        <v>1500770</v>
      </c>
      <c r="C380" t="s">
        <v>457</v>
      </c>
      <c r="D380">
        <v>240</v>
      </c>
      <c r="E380">
        <v>30</v>
      </c>
      <c r="F380" t="s">
        <v>36</v>
      </c>
      <c r="G380" t="s">
        <v>37</v>
      </c>
      <c r="H380" t="s">
        <v>38</v>
      </c>
      <c r="I380" s="73">
        <f t="shared" si="15"/>
        <v>210</v>
      </c>
      <c r="J380" s="114">
        <f>VLOOKUP(B380,本月系统单价mb5b!$B:$P,15,0)</f>
        <v>1.16145833333333</v>
      </c>
      <c r="K380" s="114">
        <f t="shared" si="16"/>
        <v>243.90625</v>
      </c>
      <c r="L380" s="114">
        <f>IFERROR(VLOOKUP(B380,上月数量需更新!A:C,3,0),0)</f>
        <v>216.75</v>
      </c>
      <c r="M380" s="121">
        <f t="shared" si="17"/>
        <v>27.15625</v>
      </c>
      <c r="P380" t="str">
        <f>VLOOKUP(B380,物料分类!B:F,5,0)</f>
        <v>成本-小料台类</v>
      </c>
    </row>
    <row r="381" hidden="1" spans="1:16">
      <c r="A381">
        <v>380</v>
      </c>
      <c r="B381">
        <v>1501032</v>
      </c>
      <c r="C381" t="s">
        <v>458</v>
      </c>
      <c r="D381">
        <v>24</v>
      </c>
      <c r="E381">
        <v>8</v>
      </c>
      <c r="F381" t="s">
        <v>44</v>
      </c>
      <c r="G381" t="s">
        <v>45</v>
      </c>
      <c r="H381" t="s">
        <v>46</v>
      </c>
      <c r="I381" s="73">
        <f t="shared" si="15"/>
        <v>16</v>
      </c>
      <c r="J381" s="114">
        <f>VLOOKUP(B381,本月系统单价mb5b!$B:$P,15,0)</f>
        <v>7.4375</v>
      </c>
      <c r="K381" s="114">
        <f t="shared" si="16"/>
        <v>119</v>
      </c>
      <c r="L381" s="114">
        <f>IFERROR(VLOOKUP(B381,上月数量需更新!A:C,3,0),0)</f>
        <v>72.08</v>
      </c>
      <c r="M381" s="121">
        <f t="shared" si="17"/>
        <v>46.92</v>
      </c>
      <c r="P381" t="str">
        <f>VLOOKUP(B381,物料分类!B:F,5,0)</f>
        <v>成本-小料台类</v>
      </c>
    </row>
    <row r="382" hidden="1" spans="1:16">
      <c r="A382">
        <v>381</v>
      </c>
      <c r="B382">
        <v>4712118</v>
      </c>
      <c r="C382" t="s">
        <v>459</v>
      </c>
      <c r="D382">
        <v>6.3</v>
      </c>
      <c r="E382">
        <v>6.3</v>
      </c>
      <c r="F382" t="s">
        <v>44</v>
      </c>
      <c r="G382" t="s">
        <v>45</v>
      </c>
      <c r="H382" t="s">
        <v>46</v>
      </c>
      <c r="I382" s="73">
        <f t="shared" si="15"/>
        <v>0</v>
      </c>
      <c r="J382" s="114">
        <f>VLOOKUP(B382,本月系统单价mb5b!$B:$P,15,0)</f>
        <v>6.26984126984127</v>
      </c>
      <c r="K382" s="114">
        <f t="shared" si="16"/>
        <v>0</v>
      </c>
      <c r="L382" s="114">
        <f>IFERROR(VLOOKUP(B382,上月数量需更新!A:C,3,0),0)</f>
        <v>5.27</v>
      </c>
      <c r="M382" s="121">
        <f t="shared" si="17"/>
        <v>-5.27</v>
      </c>
      <c r="P382" t="str">
        <f>VLOOKUP(B382,物料分类!B:F,5,0)</f>
        <v>成本-小料台类</v>
      </c>
    </row>
    <row r="383" hidden="1" spans="1:16">
      <c r="A383">
        <v>382</v>
      </c>
      <c r="B383">
        <v>4521246</v>
      </c>
      <c r="C383" t="s">
        <v>460</v>
      </c>
      <c r="D383">
        <v>1.8</v>
      </c>
      <c r="E383">
        <v>0.4</v>
      </c>
      <c r="F383" t="s">
        <v>73</v>
      </c>
      <c r="G383" t="s">
        <v>74</v>
      </c>
      <c r="H383" t="s">
        <v>73</v>
      </c>
      <c r="I383" s="73">
        <f t="shared" si="15"/>
        <v>1.4</v>
      </c>
      <c r="J383" s="114">
        <f>VLOOKUP(B383,本月系统单价mb5b!$B:$P,15,0)</f>
        <v>47.3722222222222</v>
      </c>
      <c r="K383" s="114">
        <f t="shared" si="16"/>
        <v>66.3211111111111</v>
      </c>
      <c r="L383" s="114">
        <f>IFERROR(VLOOKUP(B383,上月数量需更新!A:C,3,0),0)</f>
        <v>47.38</v>
      </c>
      <c r="M383" s="121">
        <f t="shared" si="17"/>
        <v>18.9411111111111</v>
      </c>
      <c r="P383" t="str">
        <f>VLOOKUP(B383,物料分类!B:F,5,0)</f>
        <v>成本-荤菜类</v>
      </c>
    </row>
    <row r="384" hidden="1" spans="1:16">
      <c r="A384">
        <v>383</v>
      </c>
      <c r="B384">
        <v>1501610</v>
      </c>
      <c r="C384" t="s">
        <v>461</v>
      </c>
      <c r="D384">
        <v>83.75</v>
      </c>
      <c r="E384">
        <v>10.75</v>
      </c>
      <c r="F384" t="s">
        <v>73</v>
      </c>
      <c r="G384" t="s">
        <v>74</v>
      </c>
      <c r="H384" t="s">
        <v>73</v>
      </c>
      <c r="I384" s="73">
        <f t="shared" si="15"/>
        <v>73</v>
      </c>
      <c r="J384" s="114">
        <f>VLOOKUP(B384,本月系统单价mb5b!$B:$P,15,0)</f>
        <v>24.2</v>
      </c>
      <c r="K384" s="114">
        <f t="shared" si="16"/>
        <v>1766.6</v>
      </c>
      <c r="L384" s="114">
        <f>IFERROR(VLOOKUP(B384,上月数量需更新!A:C,3,0),0)</f>
        <v>1361.25</v>
      </c>
      <c r="M384" s="121">
        <f t="shared" si="17"/>
        <v>405.35</v>
      </c>
      <c r="P384" t="str">
        <f>VLOOKUP(B384,物料分类!B:F,5,0)</f>
        <v>成本-荤菜类</v>
      </c>
    </row>
    <row r="385" hidden="1" spans="1:16">
      <c r="A385">
        <v>384</v>
      </c>
      <c r="B385">
        <v>1500849</v>
      </c>
      <c r="C385" t="s">
        <v>462</v>
      </c>
      <c r="D385">
        <v>45</v>
      </c>
      <c r="E385">
        <v>10</v>
      </c>
      <c r="F385" t="s">
        <v>36</v>
      </c>
      <c r="G385" t="s">
        <v>37</v>
      </c>
      <c r="H385" t="s">
        <v>38</v>
      </c>
      <c r="I385" s="73">
        <f t="shared" si="15"/>
        <v>35</v>
      </c>
      <c r="J385" s="114">
        <f>VLOOKUP(B385,本月系统单价mb5b!$B:$P,15,0)</f>
        <v>4.3</v>
      </c>
      <c r="K385" s="114">
        <f t="shared" si="16"/>
        <v>150.5</v>
      </c>
      <c r="L385" s="114">
        <f>IFERROR(VLOOKUP(B385,上月数量需更新!A:C,3,0),0)</f>
        <v>150.5</v>
      </c>
      <c r="M385" s="121">
        <f t="shared" si="17"/>
        <v>0</v>
      </c>
      <c r="P385" t="str">
        <f>VLOOKUP(B385,物料分类!B:F,5,0)</f>
        <v>成本-小料台类</v>
      </c>
    </row>
    <row r="386" hidden="1" spans="1:16">
      <c r="A386">
        <v>385</v>
      </c>
      <c r="B386">
        <v>8011496</v>
      </c>
      <c r="C386" t="s">
        <v>463</v>
      </c>
      <c r="D386">
        <v>4600</v>
      </c>
      <c r="E386">
        <v>4500</v>
      </c>
      <c r="F386" t="s">
        <v>20</v>
      </c>
      <c r="G386" t="s">
        <v>21</v>
      </c>
      <c r="H386" t="s">
        <v>20</v>
      </c>
      <c r="I386" s="73">
        <f t="shared" ref="I386:I449" si="18">D386-E386</f>
        <v>100</v>
      </c>
      <c r="J386" s="114">
        <f>VLOOKUP(B386,本月系统单价mb5b!$B:$P,15,0)</f>
        <v>0.337032608695652</v>
      </c>
      <c r="K386" s="114">
        <f t="shared" ref="K386:K449" si="19">I386*J386</f>
        <v>33.7032608695652</v>
      </c>
      <c r="L386" s="114">
        <f>IFERROR(VLOOKUP(B386,上月数量需更新!A:C,3,0),0)</f>
        <v>134.81</v>
      </c>
      <c r="M386" s="121">
        <f t="shared" ref="M386:M449" si="20">K386-L386</f>
        <v>-101.106739130435</v>
      </c>
      <c r="P386" t="str">
        <f>VLOOKUP(B386,物料分类!B:F,5,0)</f>
        <v>服务费</v>
      </c>
    </row>
    <row r="387" hidden="1" spans="1:16">
      <c r="A387">
        <v>386</v>
      </c>
      <c r="B387">
        <v>1500822</v>
      </c>
      <c r="C387" t="s">
        <v>464</v>
      </c>
      <c r="D387">
        <v>1558</v>
      </c>
      <c r="E387">
        <v>160</v>
      </c>
      <c r="F387" t="s">
        <v>44</v>
      </c>
      <c r="G387" t="s">
        <v>45</v>
      </c>
      <c r="H387" t="s">
        <v>46</v>
      </c>
      <c r="I387" s="73">
        <f t="shared" si="18"/>
        <v>1398</v>
      </c>
      <c r="J387" s="114">
        <f>VLOOKUP(B387,本月系统单价mb5b!$B:$P,15,0)</f>
        <v>2.06249679075738</v>
      </c>
      <c r="K387" s="114">
        <f t="shared" si="19"/>
        <v>2883.37051347882</v>
      </c>
      <c r="L387" s="114">
        <f>IFERROR(VLOOKUP(B387,上月数量需更新!A:C,3,0),0)</f>
        <v>2904</v>
      </c>
      <c r="M387" s="121">
        <f t="shared" si="20"/>
        <v>-20.6294865211812</v>
      </c>
      <c r="P387" t="str">
        <f>VLOOKUP(B387,物料分类!B:F,5,0)</f>
        <v>成本-小吃类</v>
      </c>
    </row>
    <row r="388" hidden="1" spans="1:16">
      <c r="A388">
        <v>387</v>
      </c>
      <c r="B388">
        <v>1500765</v>
      </c>
      <c r="C388" t="s">
        <v>465</v>
      </c>
      <c r="D388">
        <v>12.5</v>
      </c>
      <c r="E388">
        <v>1</v>
      </c>
      <c r="F388" t="s">
        <v>176</v>
      </c>
      <c r="G388" t="s">
        <v>177</v>
      </c>
      <c r="H388" t="s">
        <v>176</v>
      </c>
      <c r="I388" s="73">
        <f t="shared" si="18"/>
        <v>11.5</v>
      </c>
      <c r="J388" s="114">
        <f>VLOOKUP(B388,本月系统单价mb5b!$B:$P,15,0)</f>
        <v>113.0992</v>
      </c>
      <c r="K388" s="114">
        <f t="shared" si="19"/>
        <v>1300.6408</v>
      </c>
      <c r="L388" s="114">
        <f>IFERROR(VLOOKUP(B388,上月数量需更新!A:C,3,0),0)</f>
        <v>751.54</v>
      </c>
      <c r="M388" s="121">
        <f t="shared" si="20"/>
        <v>549.1008</v>
      </c>
      <c r="P388" t="str">
        <f>VLOOKUP(B388,物料分类!B:F,5,0)</f>
        <v>成本-素菜类</v>
      </c>
    </row>
    <row r="389" hidden="1" spans="1:16">
      <c r="A389">
        <v>388</v>
      </c>
      <c r="B389">
        <v>1501702</v>
      </c>
      <c r="C389" t="s">
        <v>466</v>
      </c>
      <c r="D389">
        <v>4</v>
      </c>
      <c r="E389">
        <v>2</v>
      </c>
      <c r="F389" t="s">
        <v>73</v>
      </c>
      <c r="G389" t="s">
        <v>74</v>
      </c>
      <c r="H389" t="s">
        <v>73</v>
      </c>
      <c r="I389" s="73">
        <f t="shared" si="18"/>
        <v>2</v>
      </c>
      <c r="J389" s="114">
        <f>VLOOKUP(B389,本月系统单价mb5b!$B:$P,15,0)</f>
        <v>18.0725</v>
      </c>
      <c r="K389" s="114">
        <f t="shared" si="19"/>
        <v>36.145</v>
      </c>
      <c r="L389" s="114">
        <f>IFERROR(VLOOKUP(B389,上月数量需更新!A:C,3,0),0)</f>
        <v>72.29</v>
      </c>
      <c r="M389" s="121">
        <f t="shared" si="20"/>
        <v>-36.145</v>
      </c>
      <c r="P389" t="str">
        <f>VLOOKUP(B389,物料分类!B:F,5,0)</f>
        <v>成本-小吃类</v>
      </c>
    </row>
    <row r="390" hidden="1" spans="1:16">
      <c r="A390">
        <v>389</v>
      </c>
      <c r="B390">
        <v>1501701</v>
      </c>
      <c r="C390" t="s">
        <v>467</v>
      </c>
      <c r="D390">
        <v>12</v>
      </c>
      <c r="E390">
        <v>10</v>
      </c>
      <c r="F390" t="s">
        <v>73</v>
      </c>
      <c r="G390" t="s">
        <v>74</v>
      </c>
      <c r="H390" t="s">
        <v>73</v>
      </c>
      <c r="I390" s="73">
        <f t="shared" si="18"/>
        <v>2</v>
      </c>
      <c r="J390" s="114">
        <f>VLOOKUP(B390,本月系统单价mb5b!$B:$P,15,0)</f>
        <v>8.25</v>
      </c>
      <c r="K390" s="114">
        <f t="shared" si="19"/>
        <v>16.5</v>
      </c>
      <c r="L390" s="114">
        <f>IFERROR(VLOOKUP(B390,上月数量需更新!A:C,3,0),0)</f>
        <v>0</v>
      </c>
      <c r="M390" s="121">
        <f t="shared" si="20"/>
        <v>16.5</v>
      </c>
      <c r="P390" t="str">
        <f>VLOOKUP(B390,物料分类!B:F,5,0)</f>
        <v>成本-荤菜类</v>
      </c>
    </row>
    <row r="391" hidden="1" spans="1:16">
      <c r="A391">
        <v>390</v>
      </c>
      <c r="B391">
        <v>4722288</v>
      </c>
      <c r="C391" t="s">
        <v>468</v>
      </c>
      <c r="D391">
        <v>320</v>
      </c>
      <c r="E391">
        <v>180</v>
      </c>
      <c r="F391" t="s">
        <v>44</v>
      </c>
      <c r="G391" t="s">
        <v>45</v>
      </c>
      <c r="H391" t="s">
        <v>46</v>
      </c>
      <c r="I391" s="73">
        <f t="shared" si="18"/>
        <v>140</v>
      </c>
      <c r="J391" s="114">
        <f>VLOOKUP(B391,本月系统单价mb5b!$B:$P,15,0)</f>
        <v>4.57696875</v>
      </c>
      <c r="K391" s="114">
        <f t="shared" si="19"/>
        <v>640.775625</v>
      </c>
      <c r="L391" s="114">
        <f>IFERROR(VLOOKUP(B391,上月数量需更新!A:C,3,0),0)</f>
        <v>640.73</v>
      </c>
      <c r="M391" s="121">
        <f t="shared" si="20"/>
        <v>0.0456250000000864</v>
      </c>
      <c r="P391" t="str">
        <f>VLOOKUP(B391,物料分类!B:F,5,0)</f>
        <v>成本-小料台类</v>
      </c>
    </row>
    <row r="392" hidden="1" spans="1:16">
      <c r="A392">
        <v>391</v>
      </c>
      <c r="B392">
        <v>4001969</v>
      </c>
      <c r="C392" t="s">
        <v>469</v>
      </c>
      <c r="D392">
        <v>0.802</v>
      </c>
      <c r="E392">
        <v>0.215</v>
      </c>
      <c r="F392" t="s">
        <v>73</v>
      </c>
      <c r="G392" t="s">
        <v>74</v>
      </c>
      <c r="H392" t="s">
        <v>73</v>
      </c>
      <c r="I392" s="73">
        <f t="shared" si="18"/>
        <v>0.587</v>
      </c>
      <c r="J392" s="114">
        <f>VLOOKUP(B392,本月系统单价mb5b!$B:$P,15,0)</f>
        <v>34.6508728179551</v>
      </c>
      <c r="K392" s="114">
        <f t="shared" si="19"/>
        <v>20.3400623441397</v>
      </c>
      <c r="L392" s="114">
        <f>IFERROR(VLOOKUP(B392,上月数量需更新!A:C,3,0),0)</f>
        <v>2.01</v>
      </c>
      <c r="M392" s="121">
        <f t="shared" si="20"/>
        <v>18.3300623441397</v>
      </c>
      <c r="P392" t="str">
        <f>VLOOKUP(B392,物料分类!B:F,5,0)</f>
        <v>成本-小料台类</v>
      </c>
    </row>
    <row r="393" hidden="1" spans="1:16">
      <c r="A393">
        <v>392</v>
      </c>
      <c r="B393">
        <v>1500612</v>
      </c>
      <c r="C393" t="s">
        <v>470</v>
      </c>
      <c r="D393">
        <v>11</v>
      </c>
      <c r="E393">
        <v>8</v>
      </c>
      <c r="F393" t="s">
        <v>29</v>
      </c>
      <c r="G393" t="s">
        <v>30</v>
      </c>
      <c r="H393" t="s">
        <v>29</v>
      </c>
      <c r="I393" s="73">
        <f t="shared" si="18"/>
        <v>3</v>
      </c>
      <c r="J393" s="114">
        <f>VLOOKUP(B393,本月系统单价mb5b!$B:$P,15,0)</f>
        <v>17.5</v>
      </c>
      <c r="K393" s="114">
        <f t="shared" si="19"/>
        <v>52.5</v>
      </c>
      <c r="L393" s="114">
        <f>IFERROR(VLOOKUP(B393,上月数量需更新!A:C,3,0),0)</f>
        <v>105</v>
      </c>
      <c r="M393" s="121">
        <f t="shared" si="20"/>
        <v>-52.5</v>
      </c>
      <c r="P393" t="str">
        <f>VLOOKUP(B393,物料分类!B:F,5,0)</f>
        <v>成本-小料台类</v>
      </c>
    </row>
    <row r="394" hidden="1" spans="1:16">
      <c r="A394">
        <v>393</v>
      </c>
      <c r="B394">
        <v>4516762</v>
      </c>
      <c r="C394" t="s">
        <v>471</v>
      </c>
      <c r="D394">
        <v>15</v>
      </c>
      <c r="E394">
        <v>6</v>
      </c>
      <c r="F394" t="s">
        <v>36</v>
      </c>
      <c r="G394" t="s">
        <v>37</v>
      </c>
      <c r="H394" t="s">
        <v>38</v>
      </c>
      <c r="I394" s="73">
        <f t="shared" si="18"/>
        <v>9</v>
      </c>
      <c r="J394" s="114">
        <f>VLOOKUP(B394,本月系统单价mb5b!$B:$P,15,0)</f>
        <v>19.9226666666667</v>
      </c>
      <c r="K394" s="114">
        <f t="shared" si="19"/>
        <v>179.304</v>
      </c>
      <c r="L394" s="114">
        <f>IFERROR(VLOOKUP(B394,上月数量需更新!A:C,3,0),0)</f>
        <v>199.09</v>
      </c>
      <c r="M394" s="121">
        <f t="shared" si="20"/>
        <v>-19.786</v>
      </c>
      <c r="P394" t="str">
        <f>VLOOKUP(B394,物料分类!B:F,5,0)</f>
        <v>成本-小料台类</v>
      </c>
    </row>
    <row r="395" hidden="1" spans="1:16">
      <c r="A395">
        <v>394</v>
      </c>
      <c r="B395">
        <v>1500862</v>
      </c>
      <c r="C395" t="s">
        <v>472</v>
      </c>
      <c r="D395">
        <v>360</v>
      </c>
      <c r="E395">
        <v>180</v>
      </c>
      <c r="F395" t="s">
        <v>73</v>
      </c>
      <c r="G395" t="s">
        <v>74</v>
      </c>
      <c r="H395" t="s">
        <v>73</v>
      </c>
      <c r="I395" s="73">
        <f t="shared" si="18"/>
        <v>180</v>
      </c>
      <c r="J395" s="114">
        <f>VLOOKUP(B395,本月系统单价mb5b!$B:$P,15,0)</f>
        <v>3.8</v>
      </c>
      <c r="K395" s="114">
        <f t="shared" si="19"/>
        <v>684</v>
      </c>
      <c r="L395" s="114">
        <f>IFERROR(VLOOKUP(B395,上月数量需更新!A:C,3,0),0)</f>
        <v>722</v>
      </c>
      <c r="M395" s="121">
        <f t="shared" si="20"/>
        <v>-38</v>
      </c>
      <c r="P395" t="str">
        <f>VLOOKUP(B395,物料分类!B:F,5,0)</f>
        <v>成本-小料台类</v>
      </c>
    </row>
    <row r="396" hidden="1" spans="1:16">
      <c r="A396">
        <v>395</v>
      </c>
      <c r="B396">
        <v>1500889</v>
      </c>
      <c r="C396" t="s">
        <v>473</v>
      </c>
      <c r="D396">
        <v>6</v>
      </c>
      <c r="E396">
        <v>1</v>
      </c>
      <c r="F396" t="s">
        <v>55</v>
      </c>
      <c r="G396" t="s">
        <v>56</v>
      </c>
      <c r="H396" t="s">
        <v>55</v>
      </c>
      <c r="I396" s="73">
        <f t="shared" si="18"/>
        <v>5</v>
      </c>
      <c r="J396" s="114">
        <f>VLOOKUP(B396,本月系统单价mb5b!$B:$P,15,0)</f>
        <v>15</v>
      </c>
      <c r="K396" s="114">
        <f t="shared" si="19"/>
        <v>75</v>
      </c>
      <c r="L396" s="114">
        <f>IFERROR(VLOOKUP(B396,上月数量需更新!A:C,3,0),0)</f>
        <v>60</v>
      </c>
      <c r="M396" s="121">
        <f t="shared" si="20"/>
        <v>15</v>
      </c>
      <c r="P396" t="str">
        <f>VLOOKUP(B396,物料分类!B:F,5,0)</f>
        <v>成本-小料台类</v>
      </c>
    </row>
    <row r="397" hidden="1" spans="1:16">
      <c r="A397">
        <v>396</v>
      </c>
      <c r="B397">
        <v>4504796</v>
      </c>
      <c r="C397" t="s">
        <v>474</v>
      </c>
      <c r="D397">
        <v>150</v>
      </c>
      <c r="E397">
        <v>10</v>
      </c>
      <c r="F397" t="s">
        <v>36</v>
      </c>
      <c r="G397" t="s">
        <v>37</v>
      </c>
      <c r="H397" t="s">
        <v>38</v>
      </c>
      <c r="I397" s="73">
        <f t="shared" si="18"/>
        <v>140</v>
      </c>
      <c r="J397" s="114">
        <f>VLOOKUP(B397,本月系统单价mb5b!$B:$P,15,0)</f>
        <v>1.05</v>
      </c>
      <c r="K397" s="114">
        <f t="shared" si="19"/>
        <v>147</v>
      </c>
      <c r="L397" s="114">
        <f>IFERROR(VLOOKUP(B397,上月数量需更新!A:C,3,0),0)</f>
        <v>178.52</v>
      </c>
      <c r="M397" s="121">
        <f t="shared" si="20"/>
        <v>-31.52</v>
      </c>
      <c r="P397" t="str">
        <f>VLOOKUP(B397,物料分类!B:F,5,0)</f>
        <v>员工餐</v>
      </c>
    </row>
    <row r="398" hidden="1" spans="1:16">
      <c r="A398">
        <v>397</v>
      </c>
      <c r="B398">
        <v>4529104</v>
      </c>
      <c r="C398" t="s">
        <v>475</v>
      </c>
      <c r="D398">
        <v>180</v>
      </c>
      <c r="E398">
        <v>16</v>
      </c>
      <c r="F398" t="s">
        <v>32</v>
      </c>
      <c r="G398" t="s">
        <v>33</v>
      </c>
      <c r="H398" t="s">
        <v>32</v>
      </c>
      <c r="I398" s="73">
        <f t="shared" si="18"/>
        <v>164</v>
      </c>
      <c r="J398" s="114">
        <f>VLOOKUP(B398,本月系统单价mb5b!$B:$P,15,0)</f>
        <v>0.654777777777778</v>
      </c>
      <c r="K398" s="114">
        <f t="shared" si="19"/>
        <v>107.383555555556</v>
      </c>
      <c r="L398" s="114">
        <f>IFERROR(VLOOKUP(B398,上月数量需更新!A:C,3,0),0)</f>
        <v>91.88</v>
      </c>
      <c r="M398" s="121">
        <f t="shared" si="20"/>
        <v>15.5035555555556</v>
      </c>
      <c r="P398" t="str">
        <f>VLOOKUP(B398,物料分类!B:F,5,0)</f>
        <v>成本-酒水类</v>
      </c>
    </row>
    <row r="399" hidden="1" spans="1:16">
      <c r="A399">
        <v>398</v>
      </c>
      <c r="B399">
        <v>4530630</v>
      </c>
      <c r="C399" t="s">
        <v>476</v>
      </c>
      <c r="D399">
        <v>100</v>
      </c>
      <c r="E399">
        <v>90</v>
      </c>
      <c r="F399" t="s">
        <v>477</v>
      </c>
      <c r="G399" t="s">
        <v>478</v>
      </c>
      <c r="H399" t="s">
        <v>477</v>
      </c>
      <c r="I399" s="73">
        <f t="shared" si="18"/>
        <v>10</v>
      </c>
      <c r="J399" s="114">
        <f>VLOOKUP(B399,本月系统单价mb5b!$B:$P,15,0)</f>
        <v>1.08</v>
      </c>
      <c r="K399" s="114">
        <f t="shared" si="19"/>
        <v>10.8</v>
      </c>
      <c r="L399" s="114">
        <f>IFERROR(VLOOKUP(B399,上月数量需更新!A:C,3,0),0)</f>
        <v>0</v>
      </c>
      <c r="M399" s="121">
        <f t="shared" si="20"/>
        <v>10.8</v>
      </c>
      <c r="P399" t="str">
        <f>VLOOKUP(B399,物料分类!B:F,5,0)</f>
        <v>成本-酒水类</v>
      </c>
    </row>
    <row r="400" hidden="1" spans="1:16">
      <c r="A400">
        <v>399</v>
      </c>
      <c r="B400">
        <v>4704409</v>
      </c>
      <c r="C400" t="s">
        <v>479</v>
      </c>
      <c r="D400">
        <v>30</v>
      </c>
      <c r="E400">
        <v>15</v>
      </c>
      <c r="F400" t="s">
        <v>32</v>
      </c>
      <c r="G400" t="s">
        <v>33</v>
      </c>
      <c r="H400" t="s">
        <v>32</v>
      </c>
      <c r="I400" s="73">
        <f t="shared" si="18"/>
        <v>15</v>
      </c>
      <c r="J400" s="114">
        <f>VLOOKUP(B400,本月系统单价mb5b!$B:$P,15,0)</f>
        <v>1.33333333333333</v>
      </c>
      <c r="K400" s="114">
        <f t="shared" si="19"/>
        <v>20</v>
      </c>
      <c r="L400" s="114">
        <f>IFERROR(VLOOKUP(B400,上月数量需更新!A:C,3,0),0)</f>
        <v>0</v>
      </c>
      <c r="M400" s="121">
        <f t="shared" si="20"/>
        <v>20</v>
      </c>
      <c r="P400" t="str">
        <f>VLOOKUP(B400,物料分类!B:F,5,0)</f>
        <v>成本-酒水类</v>
      </c>
    </row>
    <row r="401" hidden="1" spans="1:16">
      <c r="A401">
        <v>400</v>
      </c>
      <c r="B401">
        <v>1500831</v>
      </c>
      <c r="C401" t="s">
        <v>480</v>
      </c>
      <c r="D401">
        <v>6</v>
      </c>
      <c r="E401">
        <v>2</v>
      </c>
      <c r="F401" t="s">
        <v>36</v>
      </c>
      <c r="G401" t="s">
        <v>37</v>
      </c>
      <c r="H401" t="s">
        <v>38</v>
      </c>
      <c r="I401" s="73">
        <f t="shared" si="18"/>
        <v>4</v>
      </c>
      <c r="J401" s="114">
        <f>VLOOKUP(B401,本月系统单价mb5b!$B:$P,15,0)</f>
        <v>12.5</v>
      </c>
      <c r="K401" s="114">
        <f t="shared" si="19"/>
        <v>50</v>
      </c>
      <c r="L401" s="114">
        <f>IFERROR(VLOOKUP(B401,上月数量需更新!A:C,3,0),0)</f>
        <v>75</v>
      </c>
      <c r="M401" s="121">
        <f t="shared" si="20"/>
        <v>-25</v>
      </c>
      <c r="P401" t="str">
        <f>VLOOKUP(B401,物料分类!B:F,5,0)</f>
        <v>成本-小料台类</v>
      </c>
    </row>
    <row r="402" hidden="1" spans="1:16">
      <c r="A402">
        <v>401</v>
      </c>
      <c r="B402">
        <v>1500811</v>
      </c>
      <c r="C402" t="s">
        <v>481</v>
      </c>
      <c r="D402">
        <v>1128</v>
      </c>
      <c r="E402">
        <v>0</v>
      </c>
      <c r="F402" t="s">
        <v>137</v>
      </c>
      <c r="G402" t="s">
        <v>138</v>
      </c>
      <c r="H402" t="s">
        <v>137</v>
      </c>
      <c r="I402" s="73">
        <f t="shared" si="18"/>
        <v>1128</v>
      </c>
      <c r="J402" s="114">
        <f>VLOOKUP(B402,本月系统单价mb5b!$B:$P,15,0)</f>
        <v>0.527083333333333</v>
      </c>
      <c r="K402" s="114">
        <f t="shared" si="19"/>
        <v>594.55</v>
      </c>
      <c r="L402" s="114">
        <f>IFERROR(VLOOKUP(B402,上月数量需更新!A:C,3,0),0)</f>
        <v>2618.55</v>
      </c>
      <c r="M402" s="121">
        <f t="shared" si="20"/>
        <v>-2024</v>
      </c>
      <c r="P402" t="str">
        <f>VLOOKUP(B402,物料分类!B:F,5,0)</f>
        <v>成本-小料台类</v>
      </c>
    </row>
    <row r="403" hidden="1" spans="1:16">
      <c r="A403">
        <v>402</v>
      </c>
      <c r="B403">
        <v>4520457</v>
      </c>
      <c r="C403" t="s">
        <v>482</v>
      </c>
      <c r="D403">
        <v>18</v>
      </c>
      <c r="E403">
        <v>6</v>
      </c>
      <c r="F403" t="s">
        <v>32</v>
      </c>
      <c r="G403" t="s">
        <v>33</v>
      </c>
      <c r="H403" t="s">
        <v>32</v>
      </c>
      <c r="I403" s="73">
        <f t="shared" si="18"/>
        <v>12</v>
      </c>
      <c r="J403" s="114">
        <f>VLOOKUP(B403,本月系统单价mb5b!$B:$P,15,0)</f>
        <v>14</v>
      </c>
      <c r="K403" s="114">
        <f t="shared" si="19"/>
        <v>168</v>
      </c>
      <c r="L403" s="114">
        <f>IFERROR(VLOOKUP(B403,上月数量需更新!A:C,3,0),0)</f>
        <v>70</v>
      </c>
      <c r="M403" s="121">
        <f t="shared" si="20"/>
        <v>98</v>
      </c>
      <c r="P403" t="str">
        <f>VLOOKUP(B403,物料分类!B:F,5,0)</f>
        <v>成本-酒水类</v>
      </c>
    </row>
    <row r="404" hidden="1" spans="1:16">
      <c r="A404">
        <v>403</v>
      </c>
      <c r="B404">
        <v>4502257</v>
      </c>
      <c r="C404" t="s">
        <v>483</v>
      </c>
      <c r="D404">
        <v>160</v>
      </c>
      <c r="E404">
        <v>8</v>
      </c>
      <c r="F404" t="s">
        <v>36</v>
      </c>
      <c r="G404" t="s">
        <v>37</v>
      </c>
      <c r="H404" t="s">
        <v>38</v>
      </c>
      <c r="I404" s="73">
        <f t="shared" si="18"/>
        <v>152</v>
      </c>
      <c r="J404" s="114">
        <f>VLOOKUP(B404,本月系统单价mb5b!$B:$P,15,0)</f>
        <v>3.909125</v>
      </c>
      <c r="K404" s="114">
        <f t="shared" si="19"/>
        <v>594.187</v>
      </c>
      <c r="L404" s="114">
        <f>IFERROR(VLOOKUP(B404,上月数量需更新!A:C,3,0),0)</f>
        <v>629.39</v>
      </c>
      <c r="M404" s="121">
        <f t="shared" si="20"/>
        <v>-35.203</v>
      </c>
      <c r="P404" t="str">
        <f>VLOOKUP(B404,物料分类!B:F,5,0)</f>
        <v>成本-小料台类</v>
      </c>
    </row>
    <row r="405" hidden="1" spans="1:16">
      <c r="A405">
        <v>404</v>
      </c>
      <c r="B405">
        <v>4525187</v>
      </c>
      <c r="C405" t="s">
        <v>484</v>
      </c>
      <c r="D405">
        <v>91</v>
      </c>
      <c r="E405">
        <v>14</v>
      </c>
      <c r="F405" t="s">
        <v>145</v>
      </c>
      <c r="G405" t="s">
        <v>146</v>
      </c>
      <c r="H405" t="s">
        <v>145</v>
      </c>
      <c r="I405" s="73">
        <f t="shared" si="18"/>
        <v>77</v>
      </c>
      <c r="J405" s="114">
        <f>VLOOKUP(B405,本月系统单价mb5b!$B:$P,15,0)</f>
        <v>4.19703296703297</v>
      </c>
      <c r="K405" s="114">
        <f t="shared" si="19"/>
        <v>323.171538461538</v>
      </c>
      <c r="L405" s="114">
        <f>IFERROR(VLOOKUP(B405,上月数量需更新!A:C,3,0),0)</f>
        <v>210.69</v>
      </c>
      <c r="M405" s="121">
        <f t="shared" si="20"/>
        <v>112.481538461538</v>
      </c>
      <c r="P405" t="str">
        <f>VLOOKUP(B405,物料分类!B:F,5,0)</f>
        <v>成本-酒水类</v>
      </c>
    </row>
    <row r="406" hidden="1" spans="1:16">
      <c r="A406">
        <v>405</v>
      </c>
      <c r="B406">
        <v>4506356</v>
      </c>
      <c r="C406" t="s">
        <v>485</v>
      </c>
      <c r="D406">
        <v>60</v>
      </c>
      <c r="E406">
        <v>8</v>
      </c>
      <c r="F406" t="s">
        <v>73</v>
      </c>
      <c r="G406" t="s">
        <v>74</v>
      </c>
      <c r="H406" t="s">
        <v>73</v>
      </c>
      <c r="I406" s="73">
        <f t="shared" si="18"/>
        <v>52</v>
      </c>
      <c r="J406" s="114">
        <f>VLOOKUP(B406,本月系统单价mb5b!$B:$P,15,0)</f>
        <v>4</v>
      </c>
      <c r="K406" s="114">
        <f t="shared" si="19"/>
        <v>208</v>
      </c>
      <c r="L406" s="114">
        <f>IFERROR(VLOOKUP(B406,上月数量需更新!A:C,3,0),0)</f>
        <v>0</v>
      </c>
      <c r="M406" s="121">
        <f t="shared" si="20"/>
        <v>208</v>
      </c>
      <c r="P406" t="str">
        <f>VLOOKUP(B406,物料分类!B:F,5,0)</f>
        <v>成本-素菜类</v>
      </c>
    </row>
    <row r="407" spans="1:16">
      <c r="A407">
        <v>406</v>
      </c>
      <c r="B407">
        <v>4514602</v>
      </c>
      <c r="C407" t="s">
        <v>486</v>
      </c>
      <c r="D407">
        <v>233.1</v>
      </c>
      <c r="E407">
        <v>18.9</v>
      </c>
      <c r="F407" t="s">
        <v>73</v>
      </c>
      <c r="G407" t="s">
        <v>74</v>
      </c>
      <c r="H407" t="s">
        <v>73</v>
      </c>
      <c r="I407" s="73">
        <f t="shared" si="18"/>
        <v>214.2</v>
      </c>
      <c r="J407" s="114">
        <f>VLOOKUP(B407,本月系统单价mb5b!$B:$P,15,0)</f>
        <v>10.5966108966109</v>
      </c>
      <c r="K407" s="114">
        <f t="shared" si="19"/>
        <v>2269.79405405405</v>
      </c>
      <c r="L407" s="114">
        <f>IFERROR(VLOOKUP(B407,上月数量需更新!A:C,3,0),0)</f>
        <v>2299.52</v>
      </c>
      <c r="M407" s="121">
        <f t="shared" si="20"/>
        <v>-29.725945945946</v>
      </c>
      <c r="N407" t="str">
        <f>VLOOKUP(B407,计算!R:X,7,0)</f>
        <v>多使用41kg</v>
      </c>
      <c r="O407" t="s">
        <v>34</v>
      </c>
      <c r="P407" t="str">
        <f>VLOOKUP(B407,物料分类!B:F,5,0)</f>
        <v>成本-锅底类</v>
      </c>
    </row>
    <row r="408" hidden="1" spans="1:16">
      <c r="A408">
        <v>407</v>
      </c>
      <c r="B408">
        <v>4522444</v>
      </c>
      <c r="C408" t="s">
        <v>487</v>
      </c>
      <c r="D408">
        <v>104</v>
      </c>
      <c r="E408">
        <v>8</v>
      </c>
      <c r="F408" t="s">
        <v>73</v>
      </c>
      <c r="G408" t="s">
        <v>74</v>
      </c>
      <c r="H408" t="s">
        <v>73</v>
      </c>
      <c r="I408" s="73">
        <f t="shared" si="18"/>
        <v>96</v>
      </c>
      <c r="J408" s="114">
        <f>VLOOKUP(B408,本月系统单价mb5b!$B:$P,15,0)</f>
        <v>3.375</v>
      </c>
      <c r="K408" s="114">
        <f t="shared" si="19"/>
        <v>324</v>
      </c>
      <c r="L408" s="114">
        <f>IFERROR(VLOOKUP(B408,上月数量需更新!A:C,3,0),0)</f>
        <v>189</v>
      </c>
      <c r="M408" s="121">
        <f t="shared" si="20"/>
        <v>135</v>
      </c>
      <c r="P408" t="str">
        <f>VLOOKUP(B408,物料分类!B:F,5,0)</f>
        <v>成本-小吃类</v>
      </c>
    </row>
    <row r="409" hidden="1" spans="1:16">
      <c r="A409">
        <v>408</v>
      </c>
      <c r="B409">
        <v>1500745</v>
      </c>
      <c r="C409" t="s">
        <v>488</v>
      </c>
      <c r="D409">
        <v>1296</v>
      </c>
      <c r="E409">
        <v>0</v>
      </c>
      <c r="F409" t="s">
        <v>127</v>
      </c>
      <c r="G409" t="s">
        <v>128</v>
      </c>
      <c r="H409" t="s">
        <v>127</v>
      </c>
      <c r="I409" s="73">
        <f t="shared" si="18"/>
        <v>1296</v>
      </c>
      <c r="J409" s="114">
        <f>VLOOKUP(B409,本月系统单价mb5b!$B:$P,15,0)</f>
        <v>1.27957561728395</v>
      </c>
      <c r="K409" s="114">
        <f t="shared" si="19"/>
        <v>1658.33</v>
      </c>
      <c r="L409" s="114">
        <f>IFERROR(VLOOKUP(B409,上月数量需更新!A:C,3,0),0)</f>
        <v>1480.93</v>
      </c>
      <c r="M409" s="121">
        <f t="shared" si="20"/>
        <v>177.4</v>
      </c>
      <c r="P409" t="str">
        <f>VLOOKUP(B409,物料分类!B:F,5,0)</f>
        <v>成本-素菜类</v>
      </c>
    </row>
    <row r="410" hidden="1" spans="1:16">
      <c r="A410">
        <v>409</v>
      </c>
      <c r="B410">
        <v>4512261</v>
      </c>
      <c r="C410" t="s">
        <v>489</v>
      </c>
      <c r="D410">
        <v>24</v>
      </c>
      <c r="E410">
        <v>24</v>
      </c>
      <c r="F410" t="s">
        <v>145</v>
      </c>
      <c r="G410" t="s">
        <v>146</v>
      </c>
      <c r="H410" t="s">
        <v>145</v>
      </c>
      <c r="I410" s="73">
        <f t="shared" si="18"/>
        <v>0</v>
      </c>
      <c r="J410" s="114">
        <f>VLOOKUP(B410,本月系统单价mb5b!$B:$P,15,0)</f>
        <v>22.435</v>
      </c>
      <c r="K410" s="114">
        <f t="shared" si="19"/>
        <v>0</v>
      </c>
      <c r="L410" s="114">
        <f>IFERROR(VLOOKUP(B410,上月数量需更新!A:C,3,0),0)</f>
        <v>0</v>
      </c>
      <c r="M410" s="121">
        <f t="shared" si="20"/>
        <v>0</v>
      </c>
      <c r="P410" t="str">
        <f>VLOOKUP(B410,物料分类!B:F,5,0)</f>
        <v>成本-小料台类</v>
      </c>
    </row>
    <row r="411" hidden="1" spans="1:16">
      <c r="A411">
        <v>410</v>
      </c>
      <c r="B411">
        <v>4522226</v>
      </c>
      <c r="C411" t="s">
        <v>490</v>
      </c>
      <c r="D411">
        <v>22</v>
      </c>
      <c r="E411">
        <v>12</v>
      </c>
      <c r="F411" t="s">
        <v>137</v>
      </c>
      <c r="G411" t="s">
        <v>138</v>
      </c>
      <c r="H411" t="s">
        <v>137</v>
      </c>
      <c r="I411" s="73">
        <f t="shared" si="18"/>
        <v>10</v>
      </c>
      <c r="J411" s="114">
        <f>VLOOKUP(B411,本月系统单价mb5b!$B:$P,15,0)</f>
        <v>3.09681818181818</v>
      </c>
      <c r="K411" s="114">
        <f t="shared" si="19"/>
        <v>30.9681818181818</v>
      </c>
      <c r="L411" s="114">
        <f>IFERROR(VLOOKUP(B411,上月数量需更新!A:C,3,0),0)</f>
        <v>22.58</v>
      </c>
      <c r="M411" s="121">
        <f t="shared" si="20"/>
        <v>8.38818181818182</v>
      </c>
      <c r="P411" t="str">
        <f>VLOOKUP(B411,物料分类!B:F,5,0)</f>
        <v>成本-酒水类</v>
      </c>
    </row>
    <row r="412" hidden="1" spans="1:16">
      <c r="A412">
        <v>411</v>
      </c>
      <c r="B412">
        <v>1500795</v>
      </c>
      <c r="C412" t="s">
        <v>491</v>
      </c>
      <c r="D412">
        <v>12</v>
      </c>
      <c r="E412">
        <v>4</v>
      </c>
      <c r="F412" t="s">
        <v>137</v>
      </c>
      <c r="G412" t="s">
        <v>138</v>
      </c>
      <c r="H412" t="s">
        <v>137</v>
      </c>
      <c r="I412" s="73">
        <f t="shared" si="18"/>
        <v>8</v>
      </c>
      <c r="J412" s="114">
        <f>VLOOKUP(B412,本月系统单价mb5b!$B:$P,15,0)</f>
        <v>19.5133333333333</v>
      </c>
      <c r="K412" s="114">
        <f t="shared" si="19"/>
        <v>156.106666666667</v>
      </c>
      <c r="L412" s="114">
        <f>IFERROR(VLOOKUP(B412,上月数量需更新!A:C,3,0),0)</f>
        <v>117.18</v>
      </c>
      <c r="M412" s="121">
        <f t="shared" si="20"/>
        <v>38.9266666666666</v>
      </c>
      <c r="P412" t="str">
        <f>VLOOKUP(B412,物料分类!B:F,5,0)</f>
        <v>成本-小料台类</v>
      </c>
    </row>
    <row r="413" hidden="1" spans="1:16">
      <c r="A413">
        <v>412</v>
      </c>
      <c r="B413">
        <v>1500772</v>
      </c>
      <c r="C413" t="s">
        <v>492</v>
      </c>
      <c r="D413">
        <v>570</v>
      </c>
      <c r="E413">
        <v>40</v>
      </c>
      <c r="F413" t="s">
        <v>36</v>
      </c>
      <c r="G413" t="s">
        <v>37</v>
      </c>
      <c r="H413" t="s">
        <v>38</v>
      </c>
      <c r="I413" s="73">
        <f t="shared" si="18"/>
        <v>530</v>
      </c>
      <c r="J413" s="114">
        <f>VLOOKUP(B413,本月系统单价mb5b!$B:$P,15,0)</f>
        <v>1.83173684210526</v>
      </c>
      <c r="K413" s="114">
        <f t="shared" si="19"/>
        <v>970.820526315789</v>
      </c>
      <c r="L413" s="114">
        <f>IFERROR(VLOOKUP(B413,上月数量需更新!A:C,3,0),0)</f>
        <v>972.82</v>
      </c>
      <c r="M413" s="121">
        <f t="shared" si="20"/>
        <v>-1.99947368421056</v>
      </c>
      <c r="P413" t="str">
        <f>VLOOKUP(B413,物料分类!B:F,5,0)</f>
        <v>成本-小料台类</v>
      </c>
    </row>
    <row r="414" hidden="1" spans="1:16">
      <c r="A414">
        <v>413</v>
      </c>
      <c r="B414">
        <v>1500758</v>
      </c>
      <c r="C414" t="s">
        <v>493</v>
      </c>
      <c r="D414">
        <v>755</v>
      </c>
      <c r="E414">
        <v>20</v>
      </c>
      <c r="F414" t="s">
        <v>36</v>
      </c>
      <c r="G414" t="s">
        <v>37</v>
      </c>
      <c r="H414" t="s">
        <v>38</v>
      </c>
      <c r="I414" s="73">
        <f t="shared" si="18"/>
        <v>735</v>
      </c>
      <c r="J414" s="114">
        <f>VLOOKUP(B414,本月系统单价mb5b!$B:$P,15,0)</f>
        <v>2.11994701986755</v>
      </c>
      <c r="K414" s="114">
        <f t="shared" si="19"/>
        <v>1558.16105960265</v>
      </c>
      <c r="L414" s="114">
        <f>IFERROR(VLOOKUP(B414,上月数量需更新!A:C,3,0),0)</f>
        <v>1141.94</v>
      </c>
      <c r="M414" s="121">
        <f t="shared" si="20"/>
        <v>416.221059602649</v>
      </c>
      <c r="P414" t="str">
        <f>VLOOKUP(B414,物料分类!B:F,5,0)</f>
        <v>成本-素菜类</v>
      </c>
    </row>
    <row r="415" hidden="1" spans="1:16">
      <c r="A415">
        <v>414</v>
      </c>
      <c r="B415">
        <v>4527884</v>
      </c>
      <c r="C415" t="s">
        <v>494</v>
      </c>
      <c r="D415">
        <v>72</v>
      </c>
      <c r="E415">
        <v>43</v>
      </c>
      <c r="F415" t="s">
        <v>32</v>
      </c>
      <c r="G415" t="s">
        <v>33</v>
      </c>
      <c r="H415" t="s">
        <v>32</v>
      </c>
      <c r="I415" s="73">
        <f t="shared" si="18"/>
        <v>29</v>
      </c>
      <c r="J415" s="114">
        <f>VLOOKUP(B415,本月系统单价mb5b!$B:$P,15,0)</f>
        <v>1.28944444444444</v>
      </c>
      <c r="K415" s="114">
        <f t="shared" si="19"/>
        <v>37.3938888888889</v>
      </c>
      <c r="L415" s="114">
        <f>IFERROR(VLOOKUP(B415,上月数量需更新!A:C,3,0),0)</f>
        <v>146.17</v>
      </c>
      <c r="M415" s="121">
        <f t="shared" si="20"/>
        <v>-108.776111111111</v>
      </c>
      <c r="P415" t="str">
        <f>VLOOKUP(B415,物料分类!B:F,5,0)</f>
        <v>成本-酒水类</v>
      </c>
    </row>
    <row r="416" hidden="1" spans="1:16">
      <c r="A416">
        <v>415</v>
      </c>
      <c r="B416">
        <v>4526644</v>
      </c>
      <c r="C416" t="s">
        <v>495</v>
      </c>
      <c r="D416">
        <v>7.7</v>
      </c>
      <c r="E416">
        <v>4.6</v>
      </c>
      <c r="F416" t="s">
        <v>32</v>
      </c>
      <c r="G416" t="s">
        <v>33</v>
      </c>
      <c r="H416" t="s">
        <v>32</v>
      </c>
      <c r="I416" s="73">
        <f t="shared" si="18"/>
        <v>3.1</v>
      </c>
      <c r="J416" s="114">
        <f>VLOOKUP(B416,本月系统单价mb5b!$B:$P,15,0)</f>
        <v>16.9285714285714</v>
      </c>
      <c r="K416" s="114">
        <f t="shared" si="19"/>
        <v>52.4785714285714</v>
      </c>
      <c r="L416" s="114">
        <f>IFERROR(VLOOKUP(B416,上月数量需更新!A:C,3,0),0)</f>
        <v>39.81</v>
      </c>
      <c r="M416" s="121">
        <f t="shared" si="20"/>
        <v>12.6685714285714</v>
      </c>
      <c r="P416" t="str">
        <f>VLOOKUP(B416,物料分类!B:F,5,0)</f>
        <v>成本-酒水类</v>
      </c>
    </row>
    <row r="417" hidden="1" spans="1:16">
      <c r="A417">
        <v>416</v>
      </c>
      <c r="B417">
        <v>1501652</v>
      </c>
      <c r="C417" t="s">
        <v>496</v>
      </c>
      <c r="D417">
        <v>28</v>
      </c>
      <c r="E417">
        <v>8</v>
      </c>
      <c r="F417" t="s">
        <v>29</v>
      </c>
      <c r="G417" t="s">
        <v>30</v>
      </c>
      <c r="H417" t="s">
        <v>29</v>
      </c>
      <c r="I417" s="73">
        <f t="shared" si="18"/>
        <v>20</v>
      </c>
      <c r="J417" s="114">
        <f>VLOOKUP(B417,本月系统单价mb5b!$B:$P,15,0)</f>
        <v>13.0625</v>
      </c>
      <c r="K417" s="114">
        <f t="shared" si="19"/>
        <v>261.25</v>
      </c>
      <c r="L417" s="114">
        <f>IFERROR(VLOOKUP(B417,上月数量需更新!A:C,3,0),0)</f>
        <v>235.12</v>
      </c>
      <c r="M417" s="121">
        <f t="shared" si="20"/>
        <v>26.13</v>
      </c>
      <c r="P417" t="str">
        <f>VLOOKUP(B417,物料分类!B:F,5,0)</f>
        <v>成本-小料台类</v>
      </c>
    </row>
    <row r="418" hidden="1" spans="1:16">
      <c r="A418">
        <v>417</v>
      </c>
      <c r="B418">
        <v>1500771</v>
      </c>
      <c r="C418" t="s">
        <v>497</v>
      </c>
      <c r="D418">
        <v>195</v>
      </c>
      <c r="E418">
        <v>15</v>
      </c>
      <c r="F418" t="s">
        <v>127</v>
      </c>
      <c r="G418" t="s">
        <v>128</v>
      </c>
      <c r="H418" t="s">
        <v>127</v>
      </c>
      <c r="I418" s="73">
        <f t="shared" si="18"/>
        <v>180</v>
      </c>
      <c r="J418" s="114">
        <f>VLOOKUP(B418,本月系统单价mb5b!$B:$P,15,0)</f>
        <v>0.600051282051282</v>
      </c>
      <c r="K418" s="114">
        <f t="shared" si="19"/>
        <v>108.009230769231</v>
      </c>
      <c r="L418" s="114">
        <f>IFERROR(VLOOKUP(B418,上月数量需更新!A:C,3,0),0)</f>
        <v>87.1</v>
      </c>
      <c r="M418" s="121">
        <f t="shared" si="20"/>
        <v>20.9092307692308</v>
      </c>
      <c r="P418" t="str">
        <f>VLOOKUP(B418,物料分类!B:F,5,0)</f>
        <v>成本-小料台类</v>
      </c>
    </row>
    <row r="419" hidden="1" spans="1:16">
      <c r="A419">
        <v>418</v>
      </c>
      <c r="B419">
        <v>1501192</v>
      </c>
      <c r="C419" t="s">
        <v>498</v>
      </c>
      <c r="D419">
        <v>10</v>
      </c>
      <c r="E419">
        <v>10</v>
      </c>
      <c r="F419" t="s">
        <v>29</v>
      </c>
      <c r="G419" t="s">
        <v>30</v>
      </c>
      <c r="H419" t="s">
        <v>29</v>
      </c>
      <c r="I419" s="73">
        <f t="shared" si="18"/>
        <v>0</v>
      </c>
      <c r="J419" s="114">
        <f>VLOOKUP(B419,本月系统单价mb5b!$B:$P,15,0)</f>
        <v>3.243</v>
      </c>
      <c r="K419" s="114">
        <f t="shared" si="19"/>
        <v>0</v>
      </c>
      <c r="L419" s="114">
        <f>IFERROR(VLOOKUP(B419,上月数量需更新!A:C,3,0),0)</f>
        <v>64.87</v>
      </c>
      <c r="M419" s="121">
        <f t="shared" si="20"/>
        <v>-64.87</v>
      </c>
      <c r="P419" t="str">
        <f>VLOOKUP(B419,物料分类!B:F,5,0)</f>
        <v>成本-小吃类</v>
      </c>
    </row>
    <row r="420" hidden="1" spans="1:16">
      <c r="A420">
        <v>419</v>
      </c>
      <c r="B420">
        <v>1501190</v>
      </c>
      <c r="C420" t="s">
        <v>499</v>
      </c>
      <c r="D420">
        <v>26</v>
      </c>
      <c r="E420">
        <v>6</v>
      </c>
      <c r="F420" t="s">
        <v>29</v>
      </c>
      <c r="G420" t="s">
        <v>30</v>
      </c>
      <c r="H420" t="s">
        <v>29</v>
      </c>
      <c r="I420" s="73">
        <f t="shared" si="18"/>
        <v>20</v>
      </c>
      <c r="J420" s="114">
        <f>VLOOKUP(B420,本月系统单价mb5b!$B:$P,15,0)</f>
        <v>8.22653846153846</v>
      </c>
      <c r="K420" s="114">
        <f t="shared" si="19"/>
        <v>164.530769230769</v>
      </c>
      <c r="L420" s="114">
        <f>IFERROR(VLOOKUP(B420,上月数量需更新!A:C,3,0),0)</f>
        <v>156.3</v>
      </c>
      <c r="M420" s="121">
        <f t="shared" si="20"/>
        <v>8.2307692307692</v>
      </c>
      <c r="P420" t="str">
        <f>VLOOKUP(B420,物料分类!B:F,5,0)</f>
        <v>成本-小吃类</v>
      </c>
    </row>
    <row r="421" hidden="1" spans="1:16">
      <c r="A421">
        <v>420</v>
      </c>
      <c r="B421">
        <v>1500987</v>
      </c>
      <c r="C421" t="s">
        <v>500</v>
      </c>
      <c r="D421">
        <v>254</v>
      </c>
      <c r="E421">
        <v>0</v>
      </c>
      <c r="F421" t="s">
        <v>36</v>
      </c>
      <c r="G421" t="s">
        <v>37</v>
      </c>
      <c r="H421" t="s">
        <v>38</v>
      </c>
      <c r="I421" s="73">
        <f t="shared" si="18"/>
        <v>254</v>
      </c>
      <c r="J421" s="114">
        <f>VLOOKUP(B421,本月系统单价mb5b!$B:$P,15,0)</f>
        <v>2.87877952755906</v>
      </c>
      <c r="K421" s="114">
        <f t="shared" si="19"/>
        <v>731.21</v>
      </c>
      <c r="L421" s="114">
        <f>IFERROR(VLOOKUP(B421,上月数量需更新!A:C,3,0),0)</f>
        <v>943</v>
      </c>
      <c r="M421" s="121">
        <f t="shared" si="20"/>
        <v>-211.79</v>
      </c>
      <c r="P421" t="str">
        <f>VLOOKUP(B421,物料分类!B:F,5,0)</f>
        <v>成本-素菜类</v>
      </c>
    </row>
    <row r="422" hidden="1" spans="1:16">
      <c r="A422">
        <v>421</v>
      </c>
      <c r="B422">
        <v>4733029</v>
      </c>
      <c r="C422" t="s">
        <v>501</v>
      </c>
      <c r="D422">
        <v>12.6</v>
      </c>
      <c r="E422">
        <v>7.2</v>
      </c>
      <c r="F422" t="s">
        <v>44</v>
      </c>
      <c r="G422" t="s">
        <v>45</v>
      </c>
      <c r="H422" t="s">
        <v>46</v>
      </c>
      <c r="I422" s="73">
        <f t="shared" si="18"/>
        <v>5.4</v>
      </c>
      <c r="J422" s="114">
        <f>VLOOKUP(B422,本月系统单价mb5b!$B:$P,15,0)</f>
        <v>7.87063492063492</v>
      </c>
      <c r="K422" s="114">
        <f t="shared" si="19"/>
        <v>42.5014285714286</v>
      </c>
      <c r="L422" s="114">
        <f>IFERROR(VLOOKUP(B422,上月数量需更新!A:C,3,0),0)</f>
        <v>0</v>
      </c>
      <c r="M422" s="121">
        <f t="shared" si="20"/>
        <v>42.5014285714286</v>
      </c>
      <c r="P422" t="str">
        <f>VLOOKUP(B422,物料分类!B:F,5,0)</f>
        <v>成本--荤菜类</v>
      </c>
    </row>
    <row r="423" hidden="1" spans="1:16">
      <c r="A423">
        <v>185</v>
      </c>
      <c r="B423">
        <v>4005970</v>
      </c>
      <c r="C423" t="s">
        <v>502</v>
      </c>
      <c r="D423">
        <v>400</v>
      </c>
      <c r="E423">
        <v>400</v>
      </c>
      <c r="F423" t="s">
        <v>20</v>
      </c>
      <c r="G423" t="s">
        <v>21</v>
      </c>
      <c r="H423" t="s">
        <v>20</v>
      </c>
      <c r="I423" s="73">
        <f t="shared" si="18"/>
        <v>0</v>
      </c>
      <c r="J423" s="114">
        <f>VLOOKUP(B423,本月系统单价mb5b!$B:$P,15,0)</f>
        <v>1.7275</v>
      </c>
      <c r="K423" s="114">
        <f t="shared" si="19"/>
        <v>0</v>
      </c>
      <c r="L423" s="114">
        <f>IFERROR(VLOOKUP(B423,上月数量需更新!A:C,3,0),0)</f>
        <v>0</v>
      </c>
      <c r="M423" s="121">
        <f t="shared" si="20"/>
        <v>0</v>
      </c>
      <c r="P423" t="str">
        <f>VLOOKUP(B423,物料分类!B:F,5,0)</f>
        <v>物料消耗</v>
      </c>
    </row>
    <row r="424" hidden="1" spans="1:16">
      <c r="A424">
        <v>423</v>
      </c>
      <c r="B424">
        <v>1004576</v>
      </c>
      <c r="C424" t="s">
        <v>503</v>
      </c>
      <c r="D424">
        <v>10120</v>
      </c>
      <c r="E424">
        <v>6900</v>
      </c>
      <c r="F424" t="s">
        <v>29</v>
      </c>
      <c r="G424" t="s">
        <v>30</v>
      </c>
      <c r="H424" t="s">
        <v>29</v>
      </c>
      <c r="I424" s="73">
        <f t="shared" si="18"/>
        <v>3220</v>
      </c>
      <c r="J424" s="114">
        <f>VLOOKUP(B424,本月系统单价mb5b!$B:$P,15,0)</f>
        <v>0.105692687747036</v>
      </c>
      <c r="K424" s="114">
        <f t="shared" si="19"/>
        <v>340.330454545455</v>
      </c>
      <c r="L424" s="114">
        <f>IFERROR(VLOOKUP(B424,上月数量需更新!A:C,3,0),0)</f>
        <v>1611.11</v>
      </c>
      <c r="M424" s="121">
        <f t="shared" si="20"/>
        <v>-1270.77954545455</v>
      </c>
      <c r="P424" t="str">
        <f>VLOOKUP(B424,物料分类!B:F,5,0)</f>
        <v>成本-小料台类</v>
      </c>
    </row>
    <row r="425" hidden="1" spans="1:16">
      <c r="A425">
        <v>424</v>
      </c>
      <c r="B425">
        <v>1500009</v>
      </c>
      <c r="C425" t="s">
        <v>504</v>
      </c>
      <c r="D425">
        <v>121</v>
      </c>
      <c r="E425">
        <v>22</v>
      </c>
      <c r="F425" t="s">
        <v>73</v>
      </c>
      <c r="G425" t="s">
        <v>74</v>
      </c>
      <c r="H425" t="s">
        <v>73</v>
      </c>
      <c r="I425" s="73">
        <f t="shared" si="18"/>
        <v>99</v>
      </c>
      <c r="J425" s="114">
        <f>VLOOKUP(B425,本月系统单价mb5b!$B:$P,15,0)</f>
        <v>3.12495867768595</v>
      </c>
      <c r="K425" s="114">
        <f t="shared" si="19"/>
        <v>309.370909090909</v>
      </c>
      <c r="L425" s="114">
        <f>IFERROR(VLOOKUP(B425,上月数量需更新!A:C,3,0),0)</f>
        <v>288.75</v>
      </c>
      <c r="M425" s="121">
        <f t="shared" si="20"/>
        <v>20.6209090909091</v>
      </c>
      <c r="P425" t="str">
        <f>VLOOKUP(B425,物料分类!B:F,5,0)</f>
        <v>成本-小料台类</v>
      </c>
    </row>
    <row r="426" hidden="1" spans="1:16">
      <c r="A426">
        <v>425</v>
      </c>
      <c r="B426">
        <v>4517715</v>
      </c>
      <c r="C426" t="s">
        <v>505</v>
      </c>
      <c r="D426">
        <v>63</v>
      </c>
      <c r="E426">
        <v>15.75</v>
      </c>
      <c r="F426" t="s">
        <v>73</v>
      </c>
      <c r="G426" t="s">
        <v>74</v>
      </c>
      <c r="H426" t="s">
        <v>73</v>
      </c>
      <c r="I426" s="73">
        <f t="shared" si="18"/>
        <v>47.25</v>
      </c>
      <c r="J426" s="114">
        <f>VLOOKUP(B426,本月系统单价mb5b!$B:$P,15,0)</f>
        <v>22.8571428571429</v>
      </c>
      <c r="K426" s="114">
        <f t="shared" si="19"/>
        <v>1080</v>
      </c>
      <c r="L426" s="114">
        <f>IFERROR(VLOOKUP(B426,上月数量需更新!A:C,3,0),0)</f>
        <v>1280</v>
      </c>
      <c r="M426" s="121">
        <f t="shared" si="20"/>
        <v>-200</v>
      </c>
      <c r="P426" t="str">
        <f>VLOOKUP(B426,物料分类!B:F,5,0)</f>
        <v>成本-荤菜类</v>
      </c>
    </row>
    <row r="427" hidden="1" spans="1:16">
      <c r="A427">
        <v>426</v>
      </c>
      <c r="B427">
        <v>4516408</v>
      </c>
      <c r="C427" t="s">
        <v>506</v>
      </c>
      <c r="D427">
        <v>8</v>
      </c>
      <c r="E427">
        <v>7</v>
      </c>
      <c r="F427" t="s">
        <v>32</v>
      </c>
      <c r="G427" t="s">
        <v>33</v>
      </c>
      <c r="H427" t="s">
        <v>32</v>
      </c>
      <c r="I427" s="73">
        <f t="shared" si="18"/>
        <v>1</v>
      </c>
      <c r="J427" s="114">
        <f>VLOOKUP(B427,本月系统单价mb5b!$B:$P,15,0)</f>
        <v>6.33</v>
      </c>
      <c r="K427" s="114">
        <f t="shared" si="19"/>
        <v>6.33</v>
      </c>
      <c r="L427" s="114">
        <f>IFERROR(VLOOKUP(B427,上月数量需更新!A:C,3,0),0)</f>
        <v>25.32</v>
      </c>
      <c r="M427" s="121">
        <f t="shared" si="20"/>
        <v>-18.99</v>
      </c>
      <c r="P427" t="str">
        <f>VLOOKUP(B427,物料分类!B:F,5,0)</f>
        <v>成本-酒水类</v>
      </c>
    </row>
    <row r="428" hidden="1" spans="1:16">
      <c r="A428">
        <v>276</v>
      </c>
      <c r="B428">
        <v>4527139</v>
      </c>
      <c r="C428" t="s">
        <v>507</v>
      </c>
      <c r="D428">
        <v>1</v>
      </c>
      <c r="E428">
        <v>1</v>
      </c>
      <c r="F428" t="s">
        <v>55</v>
      </c>
      <c r="G428" t="s">
        <v>56</v>
      </c>
      <c r="H428" t="s">
        <v>55</v>
      </c>
      <c r="I428" s="73">
        <f t="shared" si="18"/>
        <v>0</v>
      </c>
      <c r="J428" s="114">
        <f>VLOOKUP(B428,本月系统单价mb5b!$B:$P,15,0)</f>
        <v>54.5</v>
      </c>
      <c r="K428" s="114">
        <f t="shared" si="19"/>
        <v>0</v>
      </c>
      <c r="L428" s="114">
        <f>IFERROR(VLOOKUP(B428,上月数量需更新!A:C,3,0),0)</f>
        <v>0</v>
      </c>
      <c r="M428" s="121">
        <f t="shared" si="20"/>
        <v>0</v>
      </c>
      <c r="P428" t="str">
        <f>VLOOKUP(B428,物料分类!B:F,5,0)</f>
        <v>物料消耗</v>
      </c>
    </row>
    <row r="429" hidden="1" spans="1:16">
      <c r="A429">
        <v>428</v>
      </c>
      <c r="B429">
        <v>4527669</v>
      </c>
      <c r="C429" t="s">
        <v>508</v>
      </c>
      <c r="D429">
        <v>16.2</v>
      </c>
      <c r="E429">
        <v>0</v>
      </c>
      <c r="F429" t="s">
        <v>73</v>
      </c>
      <c r="G429" t="s">
        <v>74</v>
      </c>
      <c r="H429" t="s">
        <v>73</v>
      </c>
      <c r="I429" s="73">
        <f t="shared" si="18"/>
        <v>16.2</v>
      </c>
      <c r="J429" s="114">
        <f>VLOOKUP(B429,本月系统单价mb5b!$B:$P,15,0)</f>
        <v>20.9876543209877</v>
      </c>
      <c r="K429" s="114">
        <f t="shared" si="19"/>
        <v>340</v>
      </c>
      <c r="L429" s="114">
        <f>IFERROR(VLOOKUP(B429,上月数量需更新!A:C,3,0),0)</f>
        <v>0</v>
      </c>
      <c r="M429" s="121">
        <f t="shared" si="20"/>
        <v>340</v>
      </c>
      <c r="P429" t="str">
        <f>VLOOKUP(B429,物料分类!B:F,5,0)</f>
        <v>成本-小吃类</v>
      </c>
    </row>
    <row r="430" hidden="1" spans="1:16">
      <c r="A430">
        <v>429</v>
      </c>
      <c r="B430">
        <v>1500704</v>
      </c>
      <c r="C430" t="s">
        <v>509</v>
      </c>
      <c r="D430">
        <v>460</v>
      </c>
      <c r="E430">
        <v>30</v>
      </c>
      <c r="F430" t="s">
        <v>29</v>
      </c>
      <c r="G430" t="s">
        <v>30</v>
      </c>
      <c r="H430" t="s">
        <v>29</v>
      </c>
      <c r="I430" s="73">
        <f t="shared" si="18"/>
        <v>430</v>
      </c>
      <c r="J430" s="114">
        <f>VLOOKUP(B430,本月系统单价mb5b!$B:$P,15,0)</f>
        <v>4.08984782608696</v>
      </c>
      <c r="K430" s="114">
        <f t="shared" si="19"/>
        <v>1758.63456521739</v>
      </c>
      <c r="L430" s="114">
        <f>IFERROR(VLOOKUP(B430,上月数量需更新!A:C,3,0),0)</f>
        <v>915.77</v>
      </c>
      <c r="M430" s="121">
        <f t="shared" si="20"/>
        <v>842.864565217391</v>
      </c>
      <c r="P430" t="str">
        <f>VLOOKUP(B430,物料分类!B:F,5,0)</f>
        <v>成本-荤菜类</v>
      </c>
    </row>
    <row r="431" hidden="1" spans="1:16">
      <c r="A431">
        <v>430</v>
      </c>
      <c r="B431">
        <v>1501275</v>
      </c>
      <c r="C431" t="s">
        <v>510</v>
      </c>
      <c r="D431">
        <v>524.75</v>
      </c>
      <c r="E431">
        <v>39.56</v>
      </c>
      <c r="F431" t="s">
        <v>36</v>
      </c>
      <c r="G431" t="s">
        <v>37</v>
      </c>
      <c r="H431" t="s">
        <v>38</v>
      </c>
      <c r="I431" s="73">
        <f t="shared" si="18"/>
        <v>485.19</v>
      </c>
      <c r="J431" s="114">
        <f>VLOOKUP(B431,本月系统单价mb5b!$B:$P,15,0)</f>
        <v>13.2436207717961</v>
      </c>
      <c r="K431" s="114">
        <f t="shared" si="19"/>
        <v>6425.67236226775</v>
      </c>
      <c r="L431" s="114">
        <f>IFERROR(VLOOKUP(B431,上月数量需更新!A:C,3,0),0)</f>
        <v>5207.76</v>
      </c>
      <c r="M431" s="121">
        <f t="shared" si="20"/>
        <v>1217.91236226775</v>
      </c>
      <c r="P431" t="str">
        <f>VLOOKUP(B431,物料分类!B:F,5,0)</f>
        <v>成本-荤菜类</v>
      </c>
    </row>
    <row r="432" hidden="1" spans="1:16">
      <c r="A432">
        <v>431</v>
      </c>
      <c r="B432">
        <v>1500784</v>
      </c>
      <c r="C432" t="s">
        <v>511</v>
      </c>
      <c r="D432">
        <v>339.8</v>
      </c>
      <c r="E432">
        <v>37.62</v>
      </c>
      <c r="F432" t="s">
        <v>36</v>
      </c>
      <c r="G432" t="s">
        <v>37</v>
      </c>
      <c r="H432" t="s">
        <v>38</v>
      </c>
      <c r="I432" s="73">
        <f t="shared" si="18"/>
        <v>302.18</v>
      </c>
      <c r="J432" s="114">
        <f>VLOOKUP(B432,本月系统单价mb5b!$B:$P,15,0)</f>
        <v>0.821130076515597</v>
      </c>
      <c r="K432" s="114">
        <f t="shared" si="19"/>
        <v>248.129086521483</v>
      </c>
      <c r="L432" s="114">
        <f>IFERROR(VLOOKUP(B432,上月数量需更新!A:C,3,0),0)</f>
        <v>22.77</v>
      </c>
      <c r="M432" s="121">
        <f t="shared" si="20"/>
        <v>225.359086521483</v>
      </c>
      <c r="P432" t="str">
        <f>VLOOKUP(B432,物料分类!B:F,5,0)</f>
        <v>成本-酒水类</v>
      </c>
    </row>
    <row r="433" hidden="1" spans="1:16">
      <c r="A433">
        <v>432</v>
      </c>
      <c r="B433">
        <v>1500766</v>
      </c>
      <c r="C433" t="s">
        <v>512</v>
      </c>
      <c r="D433">
        <v>288</v>
      </c>
      <c r="E433">
        <v>0</v>
      </c>
      <c r="F433" t="s">
        <v>407</v>
      </c>
      <c r="G433" t="s">
        <v>408</v>
      </c>
      <c r="H433" t="s">
        <v>407</v>
      </c>
      <c r="I433" s="73">
        <f t="shared" si="18"/>
        <v>288</v>
      </c>
      <c r="J433" s="114">
        <f>VLOOKUP(B433,本月系统单价mb5b!$B:$P,15,0)</f>
        <v>1.20486111111111</v>
      </c>
      <c r="K433" s="114">
        <f t="shared" si="19"/>
        <v>347</v>
      </c>
      <c r="L433" s="114">
        <f>IFERROR(VLOOKUP(B433,上月数量需更新!A:C,3,0),0)</f>
        <v>239</v>
      </c>
      <c r="M433" s="121">
        <f t="shared" si="20"/>
        <v>108</v>
      </c>
      <c r="P433" t="str">
        <f>VLOOKUP(B433,物料分类!B:F,5,0)</f>
        <v>成本-小料台类</v>
      </c>
    </row>
    <row r="434" hidden="1" spans="1:16">
      <c r="A434">
        <v>433</v>
      </c>
      <c r="B434">
        <v>4518124</v>
      </c>
      <c r="C434" t="s">
        <v>513</v>
      </c>
      <c r="D434">
        <v>192</v>
      </c>
      <c r="E434">
        <v>32</v>
      </c>
      <c r="F434" t="s">
        <v>402</v>
      </c>
      <c r="G434" t="s">
        <v>403</v>
      </c>
      <c r="H434" t="s">
        <v>402</v>
      </c>
      <c r="I434" s="73">
        <f t="shared" si="18"/>
        <v>160</v>
      </c>
      <c r="J434" s="114">
        <f>VLOOKUP(B434,本月系统单价mb5b!$B:$P,15,0)</f>
        <v>1.5625</v>
      </c>
      <c r="K434" s="114">
        <f t="shared" si="19"/>
        <v>250</v>
      </c>
      <c r="L434" s="114">
        <f>IFERROR(VLOOKUP(B434,上月数量需更新!A:C,3,0),0)</f>
        <v>0</v>
      </c>
      <c r="M434" s="121">
        <f t="shared" si="20"/>
        <v>250</v>
      </c>
      <c r="P434" t="str">
        <f>VLOOKUP(B434,物料分类!B:F,5,0)</f>
        <v>服务费</v>
      </c>
    </row>
    <row r="435" hidden="1" spans="1:16">
      <c r="A435">
        <v>434</v>
      </c>
      <c r="B435">
        <v>1500725</v>
      </c>
      <c r="C435" t="s">
        <v>514</v>
      </c>
      <c r="D435">
        <v>105</v>
      </c>
      <c r="E435">
        <v>10</v>
      </c>
      <c r="F435" t="s">
        <v>73</v>
      </c>
      <c r="G435" t="s">
        <v>74</v>
      </c>
      <c r="H435" t="s">
        <v>73</v>
      </c>
      <c r="I435" s="73">
        <f t="shared" si="18"/>
        <v>95</v>
      </c>
      <c r="J435" s="114">
        <f>VLOOKUP(B435,本月系统单价mb5b!$B:$P,15,0)</f>
        <v>9</v>
      </c>
      <c r="K435" s="114">
        <f t="shared" si="19"/>
        <v>855</v>
      </c>
      <c r="L435" s="114">
        <f>IFERROR(VLOOKUP(B435,上月数量需更新!A:C,3,0),0)</f>
        <v>1215</v>
      </c>
      <c r="M435" s="121">
        <f t="shared" si="20"/>
        <v>-360</v>
      </c>
      <c r="P435" t="str">
        <f>VLOOKUP(B435,物料分类!B:F,5,0)</f>
        <v>成本-素菜类</v>
      </c>
    </row>
    <row r="436" hidden="1" spans="1:16">
      <c r="A436">
        <v>435</v>
      </c>
      <c r="B436">
        <v>4515458</v>
      </c>
      <c r="C436" t="s">
        <v>515</v>
      </c>
      <c r="D436">
        <v>90.8</v>
      </c>
      <c r="E436">
        <v>12.6</v>
      </c>
      <c r="F436" t="s">
        <v>73</v>
      </c>
      <c r="G436" t="s">
        <v>74</v>
      </c>
      <c r="H436" t="s">
        <v>73</v>
      </c>
      <c r="I436" s="73">
        <f t="shared" si="18"/>
        <v>78.2</v>
      </c>
      <c r="J436" s="114">
        <f>VLOOKUP(B436,本月系统单价mb5b!$B:$P,15,0)</f>
        <v>13.1943832599119</v>
      </c>
      <c r="K436" s="114">
        <f t="shared" si="19"/>
        <v>1031.80077092511</v>
      </c>
      <c r="L436" s="114">
        <f>IFERROR(VLOOKUP(B436,上月数量需更新!A:C,3,0),0)</f>
        <v>570</v>
      </c>
      <c r="M436" s="121">
        <f t="shared" si="20"/>
        <v>461.80077092511</v>
      </c>
      <c r="P436" t="str">
        <f>VLOOKUP(B436,物料分类!B:F,5,0)</f>
        <v>成本-素菜类</v>
      </c>
    </row>
    <row r="437" hidden="1" spans="1:16">
      <c r="A437">
        <v>283</v>
      </c>
      <c r="B437">
        <v>1500969</v>
      </c>
      <c r="C437" t="s">
        <v>516</v>
      </c>
      <c r="D437">
        <v>24</v>
      </c>
      <c r="E437">
        <v>24</v>
      </c>
      <c r="F437" t="s">
        <v>32</v>
      </c>
      <c r="G437" t="s">
        <v>33</v>
      </c>
      <c r="H437" t="s">
        <v>32</v>
      </c>
      <c r="I437" s="73">
        <f t="shared" si="18"/>
        <v>0</v>
      </c>
      <c r="J437" s="114">
        <f>VLOOKUP(B437,本月系统单价mb5b!$B:$P,15,0)</f>
        <v>7.74541666666667</v>
      </c>
      <c r="K437" s="114">
        <f t="shared" si="19"/>
        <v>0</v>
      </c>
      <c r="L437" s="114">
        <f>IFERROR(VLOOKUP(B437,上月数量需更新!A:C,3,0),0)</f>
        <v>0</v>
      </c>
      <c r="M437" s="121">
        <f t="shared" si="20"/>
        <v>0</v>
      </c>
      <c r="P437" t="str">
        <f>VLOOKUP(B437,物料分类!B:F,5,0)</f>
        <v>物料消耗</v>
      </c>
    </row>
    <row r="438" hidden="1" spans="1:16">
      <c r="A438">
        <v>437</v>
      </c>
      <c r="B438">
        <v>4514538</v>
      </c>
      <c r="C438" t="s">
        <v>517</v>
      </c>
      <c r="D438">
        <v>19</v>
      </c>
      <c r="E438">
        <v>1</v>
      </c>
      <c r="F438" t="s">
        <v>36</v>
      </c>
      <c r="G438" t="s">
        <v>37</v>
      </c>
      <c r="H438" t="s">
        <v>38</v>
      </c>
      <c r="I438" s="73">
        <f t="shared" si="18"/>
        <v>18</v>
      </c>
      <c r="J438" s="114">
        <f>VLOOKUP(B438,本月系统单价mb5b!$B:$P,15,0)</f>
        <v>15</v>
      </c>
      <c r="K438" s="114">
        <f t="shared" si="19"/>
        <v>270</v>
      </c>
      <c r="L438" s="114">
        <f>IFERROR(VLOOKUP(B438,上月数量需更新!A:C,3,0),0)</f>
        <v>60</v>
      </c>
      <c r="M438" s="121">
        <f t="shared" si="20"/>
        <v>210</v>
      </c>
      <c r="P438" t="str">
        <f>VLOOKUP(B438,物料分类!B:F,5,0)</f>
        <v>成本-素菜类</v>
      </c>
    </row>
    <row r="439" hidden="1" spans="1:16">
      <c r="A439">
        <v>438</v>
      </c>
      <c r="B439">
        <v>4518288</v>
      </c>
      <c r="C439" t="s">
        <v>518</v>
      </c>
      <c r="D439">
        <v>280</v>
      </c>
      <c r="E439">
        <v>36</v>
      </c>
      <c r="F439" t="s">
        <v>519</v>
      </c>
      <c r="G439" t="s">
        <v>520</v>
      </c>
      <c r="H439" t="s">
        <v>519</v>
      </c>
      <c r="I439" s="73">
        <f t="shared" si="18"/>
        <v>244</v>
      </c>
      <c r="J439" s="114">
        <f>VLOOKUP(B439,本月系统单价mb5b!$B:$P,15,0)</f>
        <v>4.5</v>
      </c>
      <c r="K439" s="114">
        <f t="shared" si="19"/>
        <v>1098</v>
      </c>
      <c r="L439" s="114">
        <f>IFERROR(VLOOKUP(B439,上月数量需更新!A:C,3,0),0)</f>
        <v>1818</v>
      </c>
      <c r="M439" s="121">
        <f t="shared" si="20"/>
        <v>-720</v>
      </c>
      <c r="P439" t="str">
        <f>VLOOKUP(B439,物料分类!B:F,5,0)</f>
        <v>成本-素菜类</v>
      </c>
    </row>
    <row r="440" hidden="1" spans="1:16">
      <c r="A440">
        <v>439</v>
      </c>
      <c r="B440">
        <v>4504673</v>
      </c>
      <c r="C440" t="s">
        <v>521</v>
      </c>
      <c r="D440">
        <v>36.5</v>
      </c>
      <c r="E440">
        <v>10.47</v>
      </c>
      <c r="F440" t="s">
        <v>36</v>
      </c>
      <c r="G440" t="s">
        <v>37</v>
      </c>
      <c r="H440" t="s">
        <v>38</v>
      </c>
      <c r="I440" s="73">
        <f t="shared" si="18"/>
        <v>26.03</v>
      </c>
      <c r="J440" s="114">
        <f>VLOOKUP(B440,本月系统单价mb5b!$B:$P,15,0)</f>
        <v>42.1</v>
      </c>
      <c r="K440" s="114">
        <f t="shared" si="19"/>
        <v>1095.863</v>
      </c>
      <c r="L440" s="114">
        <f>IFERROR(VLOOKUP(B440,上月数量需更新!A:C,3,0),0)</f>
        <v>787.27</v>
      </c>
      <c r="M440" s="121">
        <f t="shared" si="20"/>
        <v>308.593</v>
      </c>
      <c r="P440" t="str">
        <f>VLOOKUP(B440,物料分类!B:F,5,0)</f>
        <v>成本-荤菜类</v>
      </c>
    </row>
    <row r="441" hidden="1" spans="1:16">
      <c r="A441">
        <v>440</v>
      </c>
      <c r="B441">
        <v>4516299</v>
      </c>
      <c r="C441" t="s">
        <v>522</v>
      </c>
      <c r="D441">
        <v>49</v>
      </c>
      <c r="E441">
        <v>6</v>
      </c>
      <c r="F441" t="s">
        <v>73</v>
      </c>
      <c r="G441" t="s">
        <v>74</v>
      </c>
      <c r="H441" t="s">
        <v>73</v>
      </c>
      <c r="I441" s="73">
        <f t="shared" si="18"/>
        <v>43</v>
      </c>
      <c r="J441" s="114">
        <f>VLOOKUP(B441,本月系统单价mb5b!$B:$P,15,0)</f>
        <v>26</v>
      </c>
      <c r="K441" s="114">
        <f t="shared" si="19"/>
        <v>1118</v>
      </c>
      <c r="L441" s="114">
        <f>IFERROR(VLOOKUP(B441,上月数量需更新!A:C,3,0),0)</f>
        <v>1170</v>
      </c>
      <c r="M441" s="121">
        <f t="shared" si="20"/>
        <v>-52</v>
      </c>
      <c r="P441" t="str">
        <f>VLOOKUP(B441,物料分类!B:F,5,0)</f>
        <v>成本-素菜类</v>
      </c>
    </row>
    <row r="442" hidden="1" spans="1:16">
      <c r="A442">
        <v>441</v>
      </c>
      <c r="B442">
        <v>4523572</v>
      </c>
      <c r="C442" t="s">
        <v>523</v>
      </c>
      <c r="D442">
        <v>86.7</v>
      </c>
      <c r="E442">
        <v>86</v>
      </c>
      <c r="F442" t="s">
        <v>73</v>
      </c>
      <c r="G442" t="s">
        <v>74</v>
      </c>
      <c r="H442" t="s">
        <v>73</v>
      </c>
      <c r="I442" s="73">
        <f t="shared" si="18"/>
        <v>0.700000000000003</v>
      </c>
      <c r="J442" s="114">
        <f>VLOOKUP(B442,本月系统单价mb5b!$B:$P,15,0)</f>
        <v>3.98143021914648</v>
      </c>
      <c r="K442" s="114">
        <f t="shared" si="19"/>
        <v>2.78700115340255</v>
      </c>
      <c r="L442" s="114">
        <f>IFERROR(VLOOKUP(B442,上月数量需更新!A:C,3,0),0)</f>
        <v>87.99</v>
      </c>
      <c r="M442" s="121">
        <f t="shared" si="20"/>
        <v>-85.2029988465975</v>
      </c>
      <c r="P442" t="str">
        <f>VLOOKUP(B442,物料分类!B:F,5,0)</f>
        <v>成本-锅底类</v>
      </c>
    </row>
    <row r="443" hidden="1" spans="1:16">
      <c r="A443">
        <v>442</v>
      </c>
      <c r="B443">
        <v>1000096</v>
      </c>
      <c r="C443" t="s">
        <v>524</v>
      </c>
      <c r="D443">
        <v>12.88</v>
      </c>
      <c r="E443">
        <v>4.6</v>
      </c>
      <c r="F443" t="s">
        <v>73</v>
      </c>
      <c r="G443" t="s">
        <v>74</v>
      </c>
      <c r="H443" t="s">
        <v>73</v>
      </c>
      <c r="I443" s="73">
        <f t="shared" si="18"/>
        <v>8.28</v>
      </c>
      <c r="J443" s="114">
        <f>VLOOKUP(B443,本月系统单价mb5b!$B:$P,15,0)</f>
        <v>7.24611801242236</v>
      </c>
      <c r="K443" s="114">
        <f t="shared" si="19"/>
        <v>59.9978571428571</v>
      </c>
      <c r="L443" s="114">
        <f>IFERROR(VLOOKUP(B443,上月数量需更新!A:C,3,0),0)</f>
        <v>46.67</v>
      </c>
      <c r="M443" s="121">
        <f t="shared" si="20"/>
        <v>13.3278571428571</v>
      </c>
      <c r="P443" t="str">
        <f>VLOOKUP(B443,物料分类!B:F,5,0)</f>
        <v>成本-小料台类</v>
      </c>
    </row>
    <row r="444" hidden="1" spans="1:16">
      <c r="A444">
        <v>284</v>
      </c>
      <c r="B444">
        <v>8010883</v>
      </c>
      <c r="C444" t="s">
        <v>525</v>
      </c>
      <c r="D444">
        <v>3072</v>
      </c>
      <c r="E444">
        <v>3072</v>
      </c>
      <c r="F444" t="s">
        <v>20</v>
      </c>
      <c r="G444" t="s">
        <v>21</v>
      </c>
      <c r="H444" t="s">
        <v>20</v>
      </c>
      <c r="I444" s="73">
        <f t="shared" si="18"/>
        <v>0</v>
      </c>
      <c r="J444" s="114">
        <f>VLOOKUP(B444,本月系统单价mb5b!$B:$P,15,0)</f>
        <v>0.747604166666667</v>
      </c>
      <c r="K444" s="114">
        <f t="shared" si="19"/>
        <v>0</v>
      </c>
      <c r="L444" s="114">
        <f>IFERROR(VLOOKUP(B444,上月数量需更新!A:C,3,0),0)</f>
        <v>717.7</v>
      </c>
      <c r="M444" s="121">
        <f t="shared" si="20"/>
        <v>-717.7</v>
      </c>
      <c r="P444" t="str">
        <f>VLOOKUP(B444,物料分类!B:F,5,0)</f>
        <v>物料消耗</v>
      </c>
    </row>
    <row r="445" hidden="1" spans="1:16">
      <c r="A445">
        <v>444</v>
      </c>
      <c r="B445">
        <v>1500980</v>
      </c>
      <c r="C445" t="s">
        <v>526</v>
      </c>
      <c r="D445">
        <v>14</v>
      </c>
      <c r="E445">
        <v>0</v>
      </c>
      <c r="F445" t="s">
        <v>212</v>
      </c>
      <c r="G445" t="s">
        <v>213</v>
      </c>
      <c r="H445" t="s">
        <v>212</v>
      </c>
      <c r="I445" s="73">
        <f t="shared" si="18"/>
        <v>14</v>
      </c>
      <c r="J445" s="114">
        <f>VLOOKUP(B445,本月系统单价mb5b!$B:$P,15,0)</f>
        <v>17</v>
      </c>
      <c r="K445" s="114">
        <f t="shared" si="19"/>
        <v>238</v>
      </c>
      <c r="L445" s="114">
        <f>IFERROR(VLOOKUP(B445,上月数量需更新!A:C,3,0),0)</f>
        <v>204</v>
      </c>
      <c r="M445" s="121">
        <f t="shared" si="20"/>
        <v>34</v>
      </c>
      <c r="P445" t="str">
        <f>VLOOKUP(B445,物料分类!B:F,5,0)</f>
        <v>成本-素菜类</v>
      </c>
    </row>
    <row r="446" hidden="1" spans="1:16">
      <c r="A446">
        <v>445</v>
      </c>
      <c r="B446">
        <v>4530199</v>
      </c>
      <c r="C446" t="s">
        <v>527</v>
      </c>
      <c r="D446">
        <v>24</v>
      </c>
      <c r="E446">
        <v>24</v>
      </c>
      <c r="F446" t="s">
        <v>137</v>
      </c>
      <c r="G446" t="s">
        <v>138</v>
      </c>
      <c r="H446" t="s">
        <v>137</v>
      </c>
      <c r="I446" s="73">
        <f t="shared" si="18"/>
        <v>0</v>
      </c>
      <c r="J446" s="114">
        <f>VLOOKUP(B446,本月系统单价mb5b!$B:$P,15,0)</f>
        <v>3.2</v>
      </c>
      <c r="K446" s="114">
        <f t="shared" si="19"/>
        <v>0</v>
      </c>
      <c r="L446" s="114">
        <f>IFERROR(VLOOKUP(B446,上月数量需更新!A:C,3,0),0)</f>
        <v>0</v>
      </c>
      <c r="M446" s="121">
        <f t="shared" si="20"/>
        <v>0</v>
      </c>
      <c r="P446" t="str">
        <f>VLOOKUP(B446,物料分类!B:F,5,0)</f>
        <v>成本-素菜类</v>
      </c>
    </row>
    <row r="447" hidden="1" spans="1:16">
      <c r="A447">
        <v>446</v>
      </c>
      <c r="B447">
        <v>1500738</v>
      </c>
      <c r="C447" t="s">
        <v>528</v>
      </c>
      <c r="D447">
        <v>101</v>
      </c>
      <c r="E447">
        <v>6</v>
      </c>
      <c r="F447" t="s">
        <v>127</v>
      </c>
      <c r="G447" t="s">
        <v>128</v>
      </c>
      <c r="H447" t="s">
        <v>127</v>
      </c>
      <c r="I447" s="73">
        <f t="shared" si="18"/>
        <v>95</v>
      </c>
      <c r="J447" s="114">
        <f>VLOOKUP(B447,本月系统单价mb5b!$B:$P,15,0)</f>
        <v>10</v>
      </c>
      <c r="K447" s="114">
        <f t="shared" si="19"/>
        <v>950</v>
      </c>
      <c r="L447" s="114">
        <f>IFERROR(VLOOKUP(B447,上月数量需更新!A:C,3,0),0)</f>
        <v>670</v>
      </c>
      <c r="M447" s="121">
        <f t="shared" si="20"/>
        <v>280</v>
      </c>
      <c r="P447" t="str">
        <f>VLOOKUP(B447,物料分类!B:F,5,0)</f>
        <v>成本-荤菜类</v>
      </c>
    </row>
    <row r="448" hidden="1" spans="1:16">
      <c r="A448">
        <v>447</v>
      </c>
      <c r="B448">
        <v>4020091</v>
      </c>
      <c r="C448" t="s">
        <v>529</v>
      </c>
      <c r="D448">
        <v>489.6</v>
      </c>
      <c r="E448">
        <v>76.8</v>
      </c>
      <c r="F448" t="s">
        <v>73</v>
      </c>
      <c r="G448" t="s">
        <v>74</v>
      </c>
      <c r="H448" t="s">
        <v>73</v>
      </c>
      <c r="I448" s="73">
        <f t="shared" si="18"/>
        <v>412.8</v>
      </c>
      <c r="J448" s="114">
        <f>VLOOKUP(B448,本月系统单价mb5b!$B:$P,15,0)</f>
        <v>16.6920547385621</v>
      </c>
      <c r="K448" s="114">
        <f t="shared" si="19"/>
        <v>6890.48019607843</v>
      </c>
      <c r="L448" s="114">
        <f>IFERROR(VLOOKUP(B448,上月数量需更新!A:C,3,0),0)</f>
        <v>6734.53</v>
      </c>
      <c r="M448" s="121">
        <f t="shared" si="20"/>
        <v>155.950196078432</v>
      </c>
      <c r="P448" t="str">
        <f>VLOOKUP(B448,物料分类!B:F,5,0)</f>
        <v>成本-荤菜类</v>
      </c>
    </row>
    <row r="449" hidden="1" spans="1:16">
      <c r="A449">
        <v>448</v>
      </c>
      <c r="B449">
        <v>4020719</v>
      </c>
      <c r="C449" t="s">
        <v>530</v>
      </c>
      <c r="D449">
        <v>45</v>
      </c>
      <c r="E449">
        <v>5</v>
      </c>
      <c r="F449" t="s">
        <v>73</v>
      </c>
      <c r="G449" t="s">
        <v>74</v>
      </c>
      <c r="H449" t="s">
        <v>73</v>
      </c>
      <c r="I449" s="73">
        <f t="shared" si="18"/>
        <v>40</v>
      </c>
      <c r="J449" s="114">
        <f>VLOOKUP(B449,本月系统单价mb5b!$B:$P,15,0)</f>
        <v>14.8813333333333</v>
      </c>
      <c r="K449" s="114">
        <f t="shared" si="19"/>
        <v>595.253333333333</v>
      </c>
      <c r="L449" s="114">
        <f>IFERROR(VLOOKUP(B449,上月数量需更新!A:C,3,0),0)</f>
        <v>609.12</v>
      </c>
      <c r="M449" s="121">
        <f t="shared" si="20"/>
        <v>-13.8666666666667</v>
      </c>
      <c r="P449" t="str">
        <f>VLOOKUP(B449,物料分类!B:F,5,0)</f>
        <v>成本-小吃类</v>
      </c>
    </row>
    <row r="450" hidden="1" spans="1:16">
      <c r="A450">
        <v>449</v>
      </c>
      <c r="B450">
        <v>1500878</v>
      </c>
      <c r="C450" t="s">
        <v>531</v>
      </c>
      <c r="D450">
        <v>50</v>
      </c>
      <c r="E450">
        <v>20</v>
      </c>
      <c r="F450" t="s">
        <v>73</v>
      </c>
      <c r="G450" t="s">
        <v>74</v>
      </c>
      <c r="H450" t="s">
        <v>73</v>
      </c>
      <c r="I450" s="73">
        <f t="shared" ref="I450:I513" si="21">D450-E450</f>
        <v>30</v>
      </c>
      <c r="J450" s="114">
        <f>VLOOKUP(B450,本月系统单价mb5b!$B:$P,15,0)</f>
        <v>4</v>
      </c>
      <c r="K450" s="114">
        <f t="shared" ref="K450:K513" si="22">I450*J450</f>
        <v>120</v>
      </c>
      <c r="L450" s="114">
        <f>IFERROR(VLOOKUP(B450,上月数量需更新!A:C,3,0),0)</f>
        <v>120</v>
      </c>
      <c r="M450" s="121">
        <f t="shared" ref="M450:M513" si="23">K450-L450</f>
        <v>0</v>
      </c>
      <c r="P450" t="str">
        <f>VLOOKUP(B450,物料分类!B:F,5,0)</f>
        <v>成本-小料台类</v>
      </c>
    </row>
    <row r="451" hidden="1" spans="1:16">
      <c r="A451">
        <v>293</v>
      </c>
      <c r="B451">
        <v>4528555</v>
      </c>
      <c r="C451" t="s">
        <v>532</v>
      </c>
      <c r="D451">
        <v>2</v>
      </c>
      <c r="E451">
        <v>2</v>
      </c>
      <c r="F451" t="s">
        <v>137</v>
      </c>
      <c r="G451" t="s">
        <v>138</v>
      </c>
      <c r="H451" t="s">
        <v>137</v>
      </c>
      <c r="I451" s="73">
        <f t="shared" si="21"/>
        <v>0</v>
      </c>
      <c r="J451" s="114">
        <f>VLOOKUP(B451,本月系统单价mb5b!$B:$P,15,0)</f>
        <v>13.99</v>
      </c>
      <c r="K451" s="114">
        <f t="shared" si="22"/>
        <v>0</v>
      </c>
      <c r="L451" s="114">
        <f>IFERROR(VLOOKUP(B451,上月数量需更新!A:C,3,0),0)</f>
        <v>0</v>
      </c>
      <c r="M451" s="121">
        <f t="shared" si="23"/>
        <v>0</v>
      </c>
      <c r="P451" t="str">
        <f>VLOOKUP(B451,物料分类!B:F,5,0)</f>
        <v>物料消耗</v>
      </c>
    </row>
    <row r="452" hidden="1" spans="1:16">
      <c r="A452">
        <v>451</v>
      </c>
      <c r="B452">
        <v>4028719</v>
      </c>
      <c r="C452" t="s">
        <v>533</v>
      </c>
      <c r="D452">
        <v>145.92</v>
      </c>
      <c r="E452">
        <v>36.48</v>
      </c>
      <c r="F452" t="s">
        <v>73</v>
      </c>
      <c r="G452" t="s">
        <v>74</v>
      </c>
      <c r="H452" t="s">
        <v>73</v>
      </c>
      <c r="I452" s="73">
        <f t="shared" si="21"/>
        <v>109.44</v>
      </c>
      <c r="J452" s="114">
        <f>VLOOKUP(B452,本月系统单价mb5b!$B:$P,15,0)</f>
        <v>4.26884594298246</v>
      </c>
      <c r="K452" s="114">
        <f t="shared" si="22"/>
        <v>467.1825</v>
      </c>
      <c r="L452" s="114">
        <f>IFERROR(VLOOKUP(B452,上月数量需更新!A:C,3,0),0)</f>
        <v>583.95</v>
      </c>
      <c r="M452" s="121">
        <f t="shared" si="23"/>
        <v>-116.7675</v>
      </c>
      <c r="P452" t="str">
        <f>VLOOKUP(B452,物料分类!B:F,5,0)</f>
        <v>成本-小料台类</v>
      </c>
    </row>
    <row r="453" hidden="1" spans="1:16">
      <c r="A453">
        <v>452</v>
      </c>
      <c r="B453">
        <v>4530732</v>
      </c>
      <c r="C453" t="s">
        <v>534</v>
      </c>
      <c r="D453">
        <v>4</v>
      </c>
      <c r="E453">
        <v>2</v>
      </c>
      <c r="F453" t="s">
        <v>73</v>
      </c>
      <c r="G453" t="s">
        <v>74</v>
      </c>
      <c r="H453" t="s">
        <v>73</v>
      </c>
      <c r="I453" s="73">
        <f t="shared" si="21"/>
        <v>2</v>
      </c>
      <c r="J453" s="114">
        <f>VLOOKUP(B453,本月系统单价mb5b!$B:$P,15,0)</f>
        <v>3.75</v>
      </c>
      <c r="K453" s="114">
        <f t="shared" si="22"/>
        <v>7.5</v>
      </c>
      <c r="L453" s="114">
        <f>IFERROR(VLOOKUP(B453,上月数量需更新!A:C,3,0),0)</f>
        <v>0</v>
      </c>
      <c r="M453" s="121">
        <f t="shared" si="23"/>
        <v>7.5</v>
      </c>
      <c r="P453" t="str">
        <f>VLOOKUP(B453,物料分类!B:F,5,0)</f>
        <v>成本-酒水类</v>
      </c>
    </row>
    <row r="454" hidden="1" spans="1:16">
      <c r="A454">
        <v>453</v>
      </c>
      <c r="B454">
        <v>4702451</v>
      </c>
      <c r="C454" t="s">
        <v>535</v>
      </c>
      <c r="D454">
        <v>11.7</v>
      </c>
      <c r="E454">
        <v>0.9</v>
      </c>
      <c r="F454" t="s">
        <v>73</v>
      </c>
      <c r="G454" t="s">
        <v>74</v>
      </c>
      <c r="H454" t="s">
        <v>73</v>
      </c>
      <c r="I454" s="73">
        <f t="shared" si="21"/>
        <v>10.8</v>
      </c>
      <c r="J454" s="114">
        <f>VLOOKUP(B454,本月系统单价mb5b!$B:$P,15,0)</f>
        <v>3.11111111111111</v>
      </c>
      <c r="K454" s="114">
        <f t="shared" si="22"/>
        <v>33.6</v>
      </c>
      <c r="L454" s="114">
        <f>IFERROR(VLOOKUP(B454,上月数量需更新!A:C,3,0),0)</f>
        <v>47.6</v>
      </c>
      <c r="M454" s="121">
        <f t="shared" si="23"/>
        <v>-14</v>
      </c>
      <c r="P454" t="str">
        <f>VLOOKUP(B454,物料分类!B:F,5,0)</f>
        <v>成本-小吃类</v>
      </c>
    </row>
    <row r="455" hidden="1" spans="1:16">
      <c r="A455">
        <v>454</v>
      </c>
      <c r="B455">
        <v>1000049</v>
      </c>
      <c r="C455" t="s">
        <v>536</v>
      </c>
      <c r="D455">
        <v>264.6</v>
      </c>
      <c r="E455">
        <v>24.5</v>
      </c>
      <c r="F455" t="s">
        <v>44</v>
      </c>
      <c r="G455" t="s">
        <v>45</v>
      </c>
      <c r="H455" t="s">
        <v>46</v>
      </c>
      <c r="I455" s="73">
        <f t="shared" si="21"/>
        <v>240.1</v>
      </c>
      <c r="J455" s="114">
        <f>VLOOKUP(B455,本月系统单价mb5b!$B:$P,15,0)</f>
        <v>2.3469387755102</v>
      </c>
      <c r="K455" s="114">
        <f t="shared" si="22"/>
        <v>563.5</v>
      </c>
      <c r="L455" s="114">
        <f>IFERROR(VLOOKUP(B455,上月数量需更新!A:C,3,0),0)</f>
        <v>483</v>
      </c>
      <c r="M455" s="121">
        <f t="shared" si="23"/>
        <v>80.5</v>
      </c>
      <c r="P455" t="str">
        <f>VLOOKUP(B455,物料分类!B:F,5,0)</f>
        <v>成本-小料台类</v>
      </c>
    </row>
    <row r="456" hidden="1" spans="1:16">
      <c r="A456">
        <v>455</v>
      </c>
      <c r="B456">
        <v>4530198</v>
      </c>
      <c r="C456" t="s">
        <v>537</v>
      </c>
      <c r="D456">
        <v>5</v>
      </c>
      <c r="E456">
        <v>0</v>
      </c>
      <c r="F456" t="s">
        <v>73</v>
      </c>
      <c r="G456" t="s">
        <v>74</v>
      </c>
      <c r="H456" t="s">
        <v>73</v>
      </c>
      <c r="I456" s="73">
        <f t="shared" si="21"/>
        <v>5</v>
      </c>
      <c r="J456" s="114">
        <f>VLOOKUP(B456,本月系统单价mb5b!$B:$P,15,0)</f>
        <v>23.2</v>
      </c>
      <c r="K456" s="114">
        <f t="shared" si="22"/>
        <v>116</v>
      </c>
      <c r="L456" s="114">
        <f>IFERROR(VLOOKUP(B456,上月数量需更新!A:C,3,0),0)</f>
        <v>0</v>
      </c>
      <c r="M456" s="121">
        <f t="shared" si="23"/>
        <v>116</v>
      </c>
      <c r="P456" t="str">
        <f>VLOOKUP(B456,物料分类!B:F,5,0)</f>
        <v>成本-小吃类</v>
      </c>
    </row>
    <row r="457" hidden="1" spans="1:16">
      <c r="A457">
        <v>456</v>
      </c>
      <c r="B457">
        <v>4716131</v>
      </c>
      <c r="C457" t="s">
        <v>538</v>
      </c>
      <c r="D457">
        <v>6.97</v>
      </c>
      <c r="E457">
        <v>5.2</v>
      </c>
      <c r="F457" t="s">
        <v>44</v>
      </c>
      <c r="G457" t="s">
        <v>45</v>
      </c>
      <c r="H457" t="s">
        <v>46</v>
      </c>
      <c r="I457" s="73">
        <f t="shared" si="21"/>
        <v>1.77</v>
      </c>
      <c r="J457" s="114">
        <f>VLOOKUP(B457,本月系统单价mb5b!$B:$P,15,0)</f>
        <v>26.7862266857963</v>
      </c>
      <c r="K457" s="114">
        <f t="shared" si="22"/>
        <v>47.4116212338594</v>
      </c>
      <c r="L457" s="114">
        <f>IFERROR(VLOOKUP(B457,上月数量需更新!A:C,3,0),0)</f>
        <v>14.2</v>
      </c>
      <c r="M457" s="121">
        <f t="shared" si="23"/>
        <v>33.2116212338594</v>
      </c>
      <c r="P457" t="str">
        <f>VLOOKUP(B457,物料分类!B:F,5,0)</f>
        <v>成本-酒水类</v>
      </c>
    </row>
    <row r="458" hidden="1" spans="1:16">
      <c r="A458">
        <v>457</v>
      </c>
      <c r="B458">
        <v>4502622</v>
      </c>
      <c r="C458" t="s">
        <v>539</v>
      </c>
      <c r="D458">
        <v>285</v>
      </c>
      <c r="E458">
        <v>5</v>
      </c>
      <c r="F458" t="s">
        <v>73</v>
      </c>
      <c r="G458" t="s">
        <v>74</v>
      </c>
      <c r="H458" t="s">
        <v>73</v>
      </c>
      <c r="I458" s="73">
        <f t="shared" si="21"/>
        <v>280</v>
      </c>
      <c r="J458" s="114">
        <f>VLOOKUP(B458,本月系统单价mb5b!$B:$P,15,0)</f>
        <v>4.398</v>
      </c>
      <c r="K458" s="114">
        <f t="shared" si="22"/>
        <v>1231.44</v>
      </c>
      <c r="L458" s="114">
        <f>IFERROR(VLOOKUP(B458,上月数量需更新!A:C,3,0),0)</f>
        <v>1373.98</v>
      </c>
      <c r="M458" s="121">
        <f t="shared" si="23"/>
        <v>-142.54</v>
      </c>
      <c r="P458" t="str">
        <f>VLOOKUP(B458,物料分类!B:F,5,0)</f>
        <v>成本-素菜类</v>
      </c>
    </row>
    <row r="459" hidden="1" spans="1:16">
      <c r="A459">
        <v>458</v>
      </c>
      <c r="B459">
        <v>4518106</v>
      </c>
      <c r="C459" t="s">
        <v>540</v>
      </c>
      <c r="D459">
        <v>217.62</v>
      </c>
      <c r="E459">
        <v>25.81</v>
      </c>
      <c r="F459" t="s">
        <v>36</v>
      </c>
      <c r="G459" t="s">
        <v>37</v>
      </c>
      <c r="H459" t="s">
        <v>38</v>
      </c>
      <c r="I459" s="73">
        <f t="shared" si="21"/>
        <v>191.81</v>
      </c>
      <c r="J459" s="114">
        <f>VLOOKUP(B459,本月系统单价mb5b!$B:$P,15,0)</f>
        <v>7.28535980148883</v>
      </c>
      <c r="K459" s="114">
        <f t="shared" si="22"/>
        <v>1397.40486352357</v>
      </c>
      <c r="L459" s="114">
        <f>IFERROR(VLOOKUP(B459,上月数量需更新!A:C,3,0),0)</f>
        <v>1636.01</v>
      </c>
      <c r="M459" s="121">
        <f t="shared" si="23"/>
        <v>-238.605136476427</v>
      </c>
      <c r="P459" t="str">
        <f>VLOOKUP(B459,物料分类!B:F,5,0)</f>
        <v>成本-荤菜类</v>
      </c>
    </row>
    <row r="460" hidden="1" spans="1:16">
      <c r="A460">
        <v>459</v>
      </c>
      <c r="B460">
        <v>1501058</v>
      </c>
      <c r="C460" t="s">
        <v>541</v>
      </c>
      <c r="D460">
        <v>11</v>
      </c>
      <c r="E460">
        <v>0</v>
      </c>
      <c r="F460" t="s">
        <v>36</v>
      </c>
      <c r="G460" t="s">
        <v>37</v>
      </c>
      <c r="H460" t="s">
        <v>38</v>
      </c>
      <c r="I460" s="73">
        <f t="shared" si="21"/>
        <v>11</v>
      </c>
      <c r="J460" s="114">
        <f>VLOOKUP(B460,本月系统单价mb5b!$B:$P,15,0)</f>
        <v>9.5</v>
      </c>
      <c r="K460" s="114">
        <f t="shared" si="22"/>
        <v>104.5</v>
      </c>
      <c r="L460" s="114">
        <f>IFERROR(VLOOKUP(B460,上月数量需更新!A:C,3,0),0)</f>
        <v>0</v>
      </c>
      <c r="M460" s="121">
        <f t="shared" si="23"/>
        <v>104.5</v>
      </c>
      <c r="P460" t="str">
        <f>VLOOKUP(B460,物料分类!B:F,5,0)</f>
        <v>成本-小料台类</v>
      </c>
    </row>
    <row r="461" hidden="1" spans="1:16">
      <c r="A461">
        <v>460</v>
      </c>
      <c r="B461">
        <v>4502395</v>
      </c>
      <c r="C461" t="s">
        <v>542</v>
      </c>
      <c r="D461">
        <v>64.4</v>
      </c>
      <c r="E461">
        <v>0</v>
      </c>
      <c r="F461" t="s">
        <v>73</v>
      </c>
      <c r="G461" t="s">
        <v>74</v>
      </c>
      <c r="H461" t="s">
        <v>73</v>
      </c>
      <c r="I461" s="73">
        <f t="shared" si="21"/>
        <v>64.4</v>
      </c>
      <c r="J461" s="114">
        <f>VLOOKUP(B461,本月系统单价mb5b!$B:$P,15,0)</f>
        <v>5.69906832298137</v>
      </c>
      <c r="K461" s="114">
        <f t="shared" si="22"/>
        <v>367.02</v>
      </c>
      <c r="L461" s="114">
        <f>IFERROR(VLOOKUP(B461,上月数量需更新!A:C,3,0),0)</f>
        <v>1064.02</v>
      </c>
      <c r="M461" s="121">
        <f t="shared" si="23"/>
        <v>-697</v>
      </c>
      <c r="P461" t="str">
        <f>VLOOKUP(B461,物料分类!B:F,5,0)</f>
        <v>成本-小料台类</v>
      </c>
    </row>
    <row r="462" hidden="1" spans="1:16">
      <c r="A462">
        <v>342</v>
      </c>
      <c r="B462">
        <v>8704080</v>
      </c>
      <c r="C462" t="s">
        <v>543</v>
      </c>
      <c r="D462">
        <v>10</v>
      </c>
      <c r="E462">
        <v>10</v>
      </c>
      <c r="F462" t="s">
        <v>20</v>
      </c>
      <c r="G462" t="s">
        <v>21</v>
      </c>
      <c r="H462" t="s">
        <v>20</v>
      </c>
      <c r="I462" s="73">
        <f t="shared" si="21"/>
        <v>0</v>
      </c>
      <c r="J462" s="114">
        <f>VLOOKUP(B462,本月系统单价mb5b!$B:$P,15,0)</f>
        <v>9.298</v>
      </c>
      <c r="K462" s="114">
        <f t="shared" si="22"/>
        <v>0</v>
      </c>
      <c r="L462" s="114">
        <f>IFERROR(VLOOKUP(B462,上月数量需更新!A:C,3,0),0)</f>
        <v>0</v>
      </c>
      <c r="M462" s="121">
        <f t="shared" si="23"/>
        <v>0</v>
      </c>
      <c r="P462" t="str">
        <f>VLOOKUP(B462,物料分类!B:F,5,0)</f>
        <v>物料消耗</v>
      </c>
    </row>
    <row r="463" hidden="1" spans="1:16">
      <c r="A463">
        <v>462</v>
      </c>
      <c r="B463">
        <v>4205721</v>
      </c>
      <c r="C463" t="s">
        <v>544</v>
      </c>
      <c r="D463">
        <v>120</v>
      </c>
      <c r="E463">
        <v>12</v>
      </c>
      <c r="F463" t="s">
        <v>44</v>
      </c>
      <c r="G463" t="s">
        <v>45</v>
      </c>
      <c r="H463" t="s">
        <v>46</v>
      </c>
      <c r="I463" s="73">
        <f t="shared" si="21"/>
        <v>108</v>
      </c>
      <c r="J463" s="114">
        <f>VLOOKUP(B463,本月系统单价mb5b!$B:$P,15,0)</f>
        <v>1.91666666666667</v>
      </c>
      <c r="K463" s="114">
        <f t="shared" si="22"/>
        <v>207</v>
      </c>
      <c r="L463" s="114">
        <f>IFERROR(VLOOKUP(B463,上月数量需更新!A:C,3,0),0)</f>
        <v>207</v>
      </c>
      <c r="M463" s="121">
        <f t="shared" si="23"/>
        <v>0</v>
      </c>
      <c r="P463" t="str">
        <f>VLOOKUP(B463,物料分类!B:F,5,0)</f>
        <v>成本-小料台类</v>
      </c>
    </row>
    <row r="464" hidden="1" spans="1:16">
      <c r="A464">
        <v>463</v>
      </c>
      <c r="B464">
        <v>1500904</v>
      </c>
      <c r="C464" t="s">
        <v>545</v>
      </c>
      <c r="D464">
        <v>224</v>
      </c>
      <c r="E464">
        <v>0</v>
      </c>
      <c r="F464" t="s">
        <v>92</v>
      </c>
      <c r="G464" t="s">
        <v>93</v>
      </c>
      <c r="H464" t="s">
        <v>92</v>
      </c>
      <c r="I464" s="73">
        <f t="shared" si="21"/>
        <v>224</v>
      </c>
      <c r="J464" s="114">
        <f>VLOOKUP(B464,本月系统单价mb5b!$B:$P,15,0)</f>
        <v>0.658214285714286</v>
      </c>
      <c r="K464" s="114">
        <f t="shared" si="22"/>
        <v>147.44</v>
      </c>
      <c r="L464" s="114">
        <f>IFERROR(VLOOKUP(B464,上月数量需更新!A:C,3,0),0)</f>
        <v>39.52</v>
      </c>
      <c r="M464" s="121">
        <f t="shared" si="23"/>
        <v>107.92</v>
      </c>
      <c r="P464" t="str">
        <f>VLOOKUP(B464,物料分类!B:F,5,0)</f>
        <v>成本-酒水类</v>
      </c>
    </row>
    <row r="465" hidden="1" spans="1:16">
      <c r="A465">
        <v>464</v>
      </c>
      <c r="B465">
        <v>4530675</v>
      </c>
      <c r="C465" t="s">
        <v>546</v>
      </c>
      <c r="D465">
        <v>240</v>
      </c>
      <c r="E465">
        <v>196</v>
      </c>
      <c r="F465" t="s">
        <v>92</v>
      </c>
      <c r="G465" t="s">
        <v>93</v>
      </c>
      <c r="H465" t="s">
        <v>92</v>
      </c>
      <c r="I465" s="73">
        <f t="shared" si="21"/>
        <v>44</v>
      </c>
      <c r="J465" s="114">
        <f>VLOOKUP(B465,本月系统单价mb5b!$B:$P,15,0)</f>
        <v>0.5195</v>
      </c>
      <c r="K465" s="114">
        <f t="shared" si="22"/>
        <v>22.858</v>
      </c>
      <c r="L465" s="114">
        <f>IFERROR(VLOOKUP(B465,上月数量需更新!A:C,3,0),0)</f>
        <v>0</v>
      </c>
      <c r="M465" s="121">
        <f t="shared" si="23"/>
        <v>22.858</v>
      </c>
      <c r="P465" t="str">
        <f>VLOOKUP(B465,物料分类!B:F,5,0)</f>
        <v>成本-酒水类</v>
      </c>
    </row>
    <row r="466" hidden="1" spans="1:16">
      <c r="A466">
        <v>354</v>
      </c>
      <c r="B466">
        <v>4027275</v>
      </c>
      <c r="C466" t="s">
        <v>547</v>
      </c>
      <c r="D466">
        <v>30</v>
      </c>
      <c r="E466">
        <v>30</v>
      </c>
      <c r="F466" t="s">
        <v>20</v>
      </c>
      <c r="G466" t="s">
        <v>21</v>
      </c>
      <c r="H466" t="s">
        <v>20</v>
      </c>
      <c r="I466" s="73">
        <f t="shared" si="21"/>
        <v>0</v>
      </c>
      <c r="J466" s="114">
        <f>VLOOKUP(B466,本月系统单价mb5b!$B:$P,15,0)</f>
        <v>2.99433333333333</v>
      </c>
      <c r="K466" s="114">
        <f t="shared" si="22"/>
        <v>0</v>
      </c>
      <c r="L466" s="114">
        <f>IFERROR(VLOOKUP(B466,上月数量需更新!A:C,3,0),0)</f>
        <v>0</v>
      </c>
      <c r="M466" s="121">
        <f t="shared" si="23"/>
        <v>0</v>
      </c>
      <c r="P466" t="str">
        <f>VLOOKUP(B466,物料分类!B:F,5,0)</f>
        <v>物料消耗</v>
      </c>
    </row>
    <row r="467" hidden="1" spans="1:16">
      <c r="A467">
        <v>466</v>
      </c>
      <c r="B467">
        <v>4501135</v>
      </c>
      <c r="C467" t="s">
        <v>548</v>
      </c>
      <c r="D467">
        <v>31.2</v>
      </c>
      <c r="E467">
        <v>4</v>
      </c>
      <c r="F467" t="s">
        <v>73</v>
      </c>
      <c r="G467" t="s">
        <v>74</v>
      </c>
      <c r="H467" t="s">
        <v>73</v>
      </c>
      <c r="I467" s="73">
        <f t="shared" si="21"/>
        <v>27.2</v>
      </c>
      <c r="J467" s="114">
        <f>VLOOKUP(B467,本月系统单价mb5b!$B:$P,15,0)</f>
        <v>14.0625</v>
      </c>
      <c r="K467" s="114">
        <f t="shared" si="22"/>
        <v>382.5</v>
      </c>
      <c r="L467" s="114">
        <f>IFERROR(VLOOKUP(B467,上月数量需更新!A:C,3,0),0)</f>
        <v>303.75</v>
      </c>
      <c r="M467" s="121">
        <f t="shared" si="23"/>
        <v>78.75</v>
      </c>
      <c r="P467" t="str">
        <f>VLOOKUP(B467,物料分类!B:F,5,0)</f>
        <v>成本-荤菜类</v>
      </c>
    </row>
    <row r="468" hidden="1" spans="1:16">
      <c r="A468">
        <v>467</v>
      </c>
      <c r="B468">
        <v>4003066</v>
      </c>
      <c r="C468" t="s">
        <v>549</v>
      </c>
      <c r="D468">
        <v>2663</v>
      </c>
      <c r="E468">
        <v>2437</v>
      </c>
      <c r="F468" t="s">
        <v>32</v>
      </c>
      <c r="G468" t="s">
        <v>33</v>
      </c>
      <c r="H468" t="s">
        <v>32</v>
      </c>
      <c r="I468" s="73">
        <f t="shared" si="21"/>
        <v>226</v>
      </c>
      <c r="J468" s="114">
        <f>VLOOKUP(B468,本月系统单价mb5b!$B:$P,15,0)</f>
        <v>1.9043297033421</v>
      </c>
      <c r="K468" s="114">
        <f t="shared" si="22"/>
        <v>430.378512955314</v>
      </c>
      <c r="L468" s="114">
        <f>IFERROR(VLOOKUP(B468,上月数量需更新!A:C,3,0),0)</f>
        <v>394.2</v>
      </c>
      <c r="M468" s="121">
        <f t="shared" si="23"/>
        <v>36.1785129553135</v>
      </c>
      <c r="P468" t="str">
        <f>VLOOKUP(B468,物料分类!B:F,5,0)</f>
        <v>成本-酒水类</v>
      </c>
    </row>
    <row r="469" hidden="1" spans="1:16">
      <c r="A469">
        <v>468</v>
      </c>
      <c r="B469">
        <v>1500983</v>
      </c>
      <c r="C469" t="s">
        <v>550</v>
      </c>
      <c r="D469">
        <v>15.6</v>
      </c>
      <c r="E469">
        <v>0</v>
      </c>
      <c r="F469" t="s">
        <v>36</v>
      </c>
      <c r="G469" t="s">
        <v>37</v>
      </c>
      <c r="H469" t="s">
        <v>38</v>
      </c>
      <c r="I469" s="73">
        <f t="shared" si="21"/>
        <v>15.6</v>
      </c>
      <c r="J469" s="114">
        <f>VLOOKUP(B469,本月系统单价mb5b!$B:$P,15,0)</f>
        <v>1.43333333333333</v>
      </c>
      <c r="K469" s="114">
        <f t="shared" si="22"/>
        <v>22.36</v>
      </c>
      <c r="L469" s="114">
        <f>IFERROR(VLOOKUP(B469,上月数量需更新!A:C,3,0),0)</f>
        <v>49.23</v>
      </c>
      <c r="M469" s="121">
        <f t="shared" si="23"/>
        <v>-26.87</v>
      </c>
      <c r="P469" t="str">
        <f>VLOOKUP(B469,物料分类!B:F,5,0)</f>
        <v>员工餐</v>
      </c>
    </row>
    <row r="470" hidden="1" spans="1:16">
      <c r="A470">
        <v>469</v>
      </c>
      <c r="B470">
        <v>4503486</v>
      </c>
      <c r="C470" t="s">
        <v>551</v>
      </c>
      <c r="D470">
        <v>1015</v>
      </c>
      <c r="E470">
        <v>80</v>
      </c>
      <c r="F470" t="s">
        <v>407</v>
      </c>
      <c r="G470" t="s">
        <v>408</v>
      </c>
      <c r="H470" t="s">
        <v>407</v>
      </c>
      <c r="I470" s="73">
        <f t="shared" si="21"/>
        <v>935</v>
      </c>
      <c r="J470" s="114">
        <f>VLOOKUP(B470,本月系统单价mb5b!$B:$P,15,0)</f>
        <v>0.532709359605911</v>
      </c>
      <c r="K470" s="114">
        <f t="shared" si="22"/>
        <v>498.083251231527</v>
      </c>
      <c r="L470" s="114">
        <f>IFERROR(VLOOKUP(B470,上月数量需更新!A:C,3,0),0)</f>
        <v>79.5</v>
      </c>
      <c r="M470" s="121">
        <f t="shared" si="23"/>
        <v>418.583251231527</v>
      </c>
      <c r="P470" t="str">
        <f>VLOOKUP(B470,物料分类!B:F,5,0)</f>
        <v>成本-酒水类</v>
      </c>
    </row>
    <row r="471" hidden="1" spans="1:16">
      <c r="A471">
        <v>470</v>
      </c>
      <c r="B471">
        <v>4504794</v>
      </c>
      <c r="C471" t="s">
        <v>552</v>
      </c>
      <c r="D471">
        <v>150</v>
      </c>
      <c r="E471">
        <v>0</v>
      </c>
      <c r="F471" t="s">
        <v>73</v>
      </c>
      <c r="G471" t="s">
        <v>74</v>
      </c>
      <c r="H471" t="s">
        <v>73</v>
      </c>
      <c r="I471" s="73">
        <f t="shared" si="21"/>
        <v>150</v>
      </c>
      <c r="J471" s="114">
        <f>VLOOKUP(B471,本月系统单价mb5b!$B:$P,15,0)</f>
        <v>2.89333333333333</v>
      </c>
      <c r="K471" s="114">
        <f t="shared" si="22"/>
        <v>434</v>
      </c>
      <c r="L471" s="114">
        <f>IFERROR(VLOOKUP(B471,上月数量需更新!A:C,3,0),0)</f>
        <v>904</v>
      </c>
      <c r="M471" s="121">
        <f t="shared" si="23"/>
        <v>-470</v>
      </c>
      <c r="P471" t="str">
        <f>VLOOKUP(B471,物料分类!B:F,5,0)</f>
        <v>成本-素菜类</v>
      </c>
    </row>
    <row r="472" hidden="1" spans="1:16">
      <c r="A472">
        <v>471</v>
      </c>
      <c r="B472">
        <v>1500754</v>
      </c>
      <c r="C472" t="s">
        <v>553</v>
      </c>
      <c r="D472">
        <v>2640</v>
      </c>
      <c r="E472">
        <v>96</v>
      </c>
      <c r="F472" t="s">
        <v>127</v>
      </c>
      <c r="G472" t="s">
        <v>128</v>
      </c>
      <c r="H472" t="s">
        <v>127</v>
      </c>
      <c r="I472" s="73">
        <f t="shared" si="21"/>
        <v>2544</v>
      </c>
      <c r="J472" s="114">
        <f>VLOOKUP(B472,本月系统单价mb5b!$B:$P,15,0)</f>
        <v>0.380742424242424</v>
      </c>
      <c r="K472" s="114">
        <f t="shared" si="22"/>
        <v>968.608727272727</v>
      </c>
      <c r="L472" s="114">
        <f>IFERROR(VLOOKUP(B472,上月数量需更新!A:C,3,0),0)</f>
        <v>1224.84</v>
      </c>
      <c r="M472" s="121">
        <f t="shared" si="23"/>
        <v>-256.231272727273</v>
      </c>
      <c r="P472" t="str">
        <f>VLOOKUP(B472,物料分类!B:F,5,0)</f>
        <v>成本-小料台类</v>
      </c>
    </row>
    <row r="473" spans="1:16">
      <c r="A473">
        <v>472</v>
      </c>
      <c r="B473">
        <v>4507216</v>
      </c>
      <c r="C473" t="s">
        <v>554</v>
      </c>
      <c r="D473">
        <v>240</v>
      </c>
      <c r="E473">
        <v>231</v>
      </c>
      <c r="F473" t="s">
        <v>32</v>
      </c>
      <c r="G473" t="s">
        <v>33</v>
      </c>
      <c r="H473" t="s">
        <v>32</v>
      </c>
      <c r="I473" s="73">
        <f t="shared" si="21"/>
        <v>9</v>
      </c>
      <c r="J473" s="114">
        <f>VLOOKUP(B473,本月系统单价mb5b!$B:$P,15,0)</f>
        <v>6.72</v>
      </c>
      <c r="K473" s="114">
        <f t="shared" si="22"/>
        <v>60.48</v>
      </c>
      <c r="L473" s="114">
        <f>IFERROR(VLOOKUP(B473,上月数量需更新!A:C,3,0),0)</f>
        <v>255.36</v>
      </c>
      <c r="M473" s="121">
        <f t="shared" si="23"/>
        <v>-194.88</v>
      </c>
      <c r="N473" t="str">
        <f>VLOOKUP(B473,计算!R:X,7,0)</f>
        <v>少使用15瓶</v>
      </c>
      <c r="O473" t="s">
        <v>555</v>
      </c>
      <c r="P473" t="str">
        <f>VLOOKUP(B473,物料分类!B:F,5,0)</f>
        <v>成本-酒水类</v>
      </c>
    </row>
    <row r="474" hidden="1" spans="1:16">
      <c r="A474">
        <v>473</v>
      </c>
      <c r="B474">
        <v>4502465</v>
      </c>
      <c r="C474" t="s">
        <v>556</v>
      </c>
      <c r="D474">
        <v>18</v>
      </c>
      <c r="E474">
        <v>6</v>
      </c>
      <c r="F474" t="s">
        <v>36</v>
      </c>
      <c r="G474" t="s">
        <v>37</v>
      </c>
      <c r="H474" t="s">
        <v>38</v>
      </c>
      <c r="I474" s="73">
        <f t="shared" si="21"/>
        <v>12</v>
      </c>
      <c r="J474" s="114">
        <f>VLOOKUP(B474,本月系统单价mb5b!$B:$P,15,0)</f>
        <v>4.94222222222222</v>
      </c>
      <c r="K474" s="114">
        <f t="shared" si="22"/>
        <v>59.3066666666667</v>
      </c>
      <c r="L474" s="114">
        <f>IFERROR(VLOOKUP(B474,上月数量需更新!A:C,3,0),0)</f>
        <v>86.87</v>
      </c>
      <c r="M474" s="121">
        <f t="shared" si="23"/>
        <v>-27.5633333333333</v>
      </c>
      <c r="P474" t="str">
        <f>VLOOKUP(B474,物料分类!B:F,5,0)</f>
        <v>成本-小料台类</v>
      </c>
    </row>
    <row r="475" hidden="1" spans="1:16">
      <c r="A475">
        <v>474</v>
      </c>
      <c r="B475">
        <v>1500877</v>
      </c>
      <c r="C475" t="s">
        <v>557</v>
      </c>
      <c r="D475">
        <v>26</v>
      </c>
      <c r="E475">
        <v>5</v>
      </c>
      <c r="F475" t="s">
        <v>137</v>
      </c>
      <c r="G475" t="s">
        <v>138</v>
      </c>
      <c r="H475" t="s">
        <v>137</v>
      </c>
      <c r="I475" s="73">
        <f t="shared" si="21"/>
        <v>21</v>
      </c>
      <c r="J475" s="114">
        <f>VLOOKUP(B475,本月系统单价mb5b!$B:$P,15,0)</f>
        <v>12.5</v>
      </c>
      <c r="K475" s="114">
        <f t="shared" si="22"/>
        <v>262.5</v>
      </c>
      <c r="L475" s="114">
        <f>IFERROR(VLOOKUP(B475,上月数量需更新!A:C,3,0),0)</f>
        <v>262.5</v>
      </c>
      <c r="M475" s="121">
        <f t="shared" si="23"/>
        <v>0</v>
      </c>
      <c r="P475" t="str">
        <f>VLOOKUP(B475,物料分类!B:F,5,0)</f>
        <v>成本-小料台类</v>
      </c>
    </row>
    <row r="476" hidden="1" spans="1:16">
      <c r="A476">
        <v>475</v>
      </c>
      <c r="B476">
        <v>4702771</v>
      </c>
      <c r="C476" t="s">
        <v>558</v>
      </c>
      <c r="D476">
        <v>7.04</v>
      </c>
      <c r="E476">
        <v>0</v>
      </c>
      <c r="F476" t="s">
        <v>73</v>
      </c>
      <c r="G476" t="s">
        <v>74</v>
      </c>
      <c r="H476" t="s">
        <v>73</v>
      </c>
      <c r="I476" s="73">
        <f t="shared" si="21"/>
        <v>7.04</v>
      </c>
      <c r="J476" s="114">
        <f>VLOOKUP(B476,本月系统单价mb5b!$B:$P,15,0)</f>
        <v>4.57528409090909</v>
      </c>
      <c r="K476" s="114">
        <f t="shared" si="22"/>
        <v>32.21</v>
      </c>
      <c r="L476" s="114">
        <f>IFERROR(VLOOKUP(B476,上月数量需更新!A:C,3,0),0)</f>
        <v>172.79</v>
      </c>
      <c r="M476" s="121">
        <f t="shared" si="23"/>
        <v>-140.58</v>
      </c>
      <c r="P476" t="str">
        <f>VLOOKUP(B476,物料分类!B:F,5,0)</f>
        <v>成本-小料台类</v>
      </c>
    </row>
    <row r="477" hidden="1" spans="1:16">
      <c r="A477">
        <v>476</v>
      </c>
      <c r="B477">
        <v>1500032</v>
      </c>
      <c r="C477" t="s">
        <v>559</v>
      </c>
      <c r="D477">
        <v>54</v>
      </c>
      <c r="E477">
        <v>21.3</v>
      </c>
      <c r="F477" t="s">
        <v>73</v>
      </c>
      <c r="G477" t="s">
        <v>74</v>
      </c>
      <c r="H477" t="s">
        <v>73</v>
      </c>
      <c r="I477" s="73">
        <f t="shared" si="21"/>
        <v>32.7</v>
      </c>
      <c r="J477" s="114">
        <f>VLOOKUP(B477,本月系统单价mb5b!$B:$P,15,0)</f>
        <v>4.13833333333333</v>
      </c>
      <c r="K477" s="114">
        <f t="shared" si="22"/>
        <v>135.3235</v>
      </c>
      <c r="L477" s="114">
        <f>IFERROR(VLOOKUP(B477,上月数量需更新!A:C,3,0),0)</f>
        <v>0</v>
      </c>
      <c r="M477" s="121">
        <f t="shared" si="23"/>
        <v>135.3235</v>
      </c>
      <c r="P477" t="str">
        <f>VLOOKUP(B477,物料分类!B:F,5,0)</f>
        <v>成本-小料台类</v>
      </c>
    </row>
    <row r="478" hidden="1" spans="1:16">
      <c r="A478">
        <v>477</v>
      </c>
      <c r="B478">
        <v>1500732</v>
      </c>
      <c r="C478" t="s">
        <v>560</v>
      </c>
      <c r="D478">
        <v>120</v>
      </c>
      <c r="E478">
        <v>20</v>
      </c>
      <c r="F478" t="s">
        <v>29</v>
      </c>
      <c r="G478" t="s">
        <v>30</v>
      </c>
      <c r="H478" t="s">
        <v>29</v>
      </c>
      <c r="I478" s="73">
        <f t="shared" si="21"/>
        <v>100</v>
      </c>
      <c r="J478" s="114">
        <f>VLOOKUP(B478,本月系统单价mb5b!$B:$P,15,0)</f>
        <v>2.8505</v>
      </c>
      <c r="K478" s="114">
        <f t="shared" si="22"/>
        <v>285.05</v>
      </c>
      <c r="L478" s="114">
        <f>IFERROR(VLOOKUP(B478,上月数量需更新!A:C,3,0),0)</f>
        <v>216.85</v>
      </c>
      <c r="M478" s="121">
        <f t="shared" si="23"/>
        <v>68.2</v>
      </c>
      <c r="P478" t="str">
        <f>VLOOKUP(B478,物料分类!B:F,5,0)</f>
        <v>成本-小吃类</v>
      </c>
    </row>
    <row r="479" hidden="1" spans="1:16">
      <c r="A479">
        <v>478</v>
      </c>
      <c r="B479">
        <v>1500880</v>
      </c>
      <c r="C479" t="s">
        <v>561</v>
      </c>
      <c r="D479">
        <v>429</v>
      </c>
      <c r="E479">
        <v>279</v>
      </c>
      <c r="F479" t="s">
        <v>32</v>
      </c>
      <c r="G479" t="s">
        <v>33</v>
      </c>
      <c r="H479" t="s">
        <v>32</v>
      </c>
      <c r="I479" s="73">
        <f t="shared" si="21"/>
        <v>150</v>
      </c>
      <c r="J479" s="114">
        <f>VLOOKUP(B479,本月系统单价mb5b!$B:$P,15,0)</f>
        <v>2.20948717948718</v>
      </c>
      <c r="K479" s="114">
        <f t="shared" si="22"/>
        <v>331.423076923077</v>
      </c>
      <c r="L479" s="114">
        <f>IFERROR(VLOOKUP(B479,上月数量需更新!A:C,3,0),0)</f>
        <v>225.56</v>
      </c>
      <c r="M479" s="121">
        <f t="shared" si="23"/>
        <v>105.863076923077</v>
      </c>
      <c r="P479" t="str">
        <f>VLOOKUP(B479,物料分类!B:F,5,0)</f>
        <v>成本-小料台类</v>
      </c>
    </row>
    <row r="480" hidden="1" spans="1:16">
      <c r="A480">
        <v>479</v>
      </c>
      <c r="B480">
        <v>4502226</v>
      </c>
      <c r="C480" t="s">
        <v>562</v>
      </c>
      <c r="D480">
        <v>95</v>
      </c>
      <c r="E480">
        <v>50</v>
      </c>
      <c r="F480" t="s">
        <v>36</v>
      </c>
      <c r="G480" t="s">
        <v>37</v>
      </c>
      <c r="H480" t="s">
        <v>38</v>
      </c>
      <c r="I480" s="73">
        <f t="shared" si="21"/>
        <v>45</v>
      </c>
      <c r="J480" s="114">
        <f>VLOOKUP(B480,本月系统单价mb5b!$B:$P,15,0)</f>
        <v>1.32</v>
      </c>
      <c r="K480" s="114">
        <f t="shared" si="22"/>
        <v>59.4</v>
      </c>
      <c r="L480" s="114">
        <f>IFERROR(VLOOKUP(B480,上月数量需更新!A:C,3,0),0)</f>
        <v>72.6</v>
      </c>
      <c r="M480" s="121">
        <f t="shared" si="23"/>
        <v>-13.2</v>
      </c>
      <c r="P480" t="str">
        <f>VLOOKUP(B480,物料分类!B:F,5,0)</f>
        <v>成本-荤菜类</v>
      </c>
    </row>
    <row r="481" hidden="1" spans="1:16">
      <c r="A481">
        <v>480</v>
      </c>
      <c r="B481">
        <v>1500883</v>
      </c>
      <c r="C481" t="s">
        <v>563</v>
      </c>
      <c r="D481">
        <v>117</v>
      </c>
      <c r="E481">
        <v>50</v>
      </c>
      <c r="F481" t="s">
        <v>29</v>
      </c>
      <c r="G481" t="s">
        <v>30</v>
      </c>
      <c r="H481" t="s">
        <v>29</v>
      </c>
      <c r="I481" s="73">
        <f t="shared" si="21"/>
        <v>67</v>
      </c>
      <c r="J481" s="114">
        <f>VLOOKUP(B481,本月系统单价mb5b!$B:$P,15,0)</f>
        <v>1.0491452991453</v>
      </c>
      <c r="K481" s="114">
        <f t="shared" si="22"/>
        <v>70.292735042735</v>
      </c>
      <c r="L481" s="114">
        <f>IFERROR(VLOOKUP(B481,上月数量需更新!A:C,3,0),0)</f>
        <v>50.2</v>
      </c>
      <c r="M481" s="121">
        <f t="shared" si="23"/>
        <v>20.092735042735</v>
      </c>
      <c r="P481" t="str">
        <f>VLOOKUP(B481,物料分类!B:F,5,0)</f>
        <v>成本-荤菜类</v>
      </c>
    </row>
    <row r="482" hidden="1" spans="1:16">
      <c r="A482">
        <v>481</v>
      </c>
      <c r="B482">
        <v>1500817</v>
      </c>
      <c r="C482" t="s">
        <v>564</v>
      </c>
      <c r="D482">
        <v>90</v>
      </c>
      <c r="E482">
        <v>30</v>
      </c>
      <c r="F482" t="s">
        <v>73</v>
      </c>
      <c r="G482" t="s">
        <v>74</v>
      </c>
      <c r="H482" t="s">
        <v>73</v>
      </c>
      <c r="I482" s="73">
        <f t="shared" si="21"/>
        <v>60</v>
      </c>
      <c r="J482" s="114">
        <f>VLOOKUP(B482,本月系统单价mb5b!$B:$P,15,0)</f>
        <v>0.450888888888889</v>
      </c>
      <c r="K482" s="114">
        <f t="shared" si="22"/>
        <v>27.0533333333333</v>
      </c>
      <c r="L482" s="114">
        <f>IFERROR(VLOOKUP(B482,上月数量需更新!A:C,3,0),0)</f>
        <v>29.5</v>
      </c>
      <c r="M482" s="121">
        <f t="shared" si="23"/>
        <v>-2.44666666666667</v>
      </c>
      <c r="P482" t="str">
        <f>VLOOKUP(B482,物料分类!B:F,5,0)</f>
        <v>成本-小料台类</v>
      </c>
    </row>
    <row r="483" hidden="1" spans="1:16">
      <c r="A483">
        <v>372</v>
      </c>
      <c r="B483">
        <v>4005972</v>
      </c>
      <c r="C483" t="s">
        <v>565</v>
      </c>
      <c r="D483">
        <v>144</v>
      </c>
      <c r="E483">
        <v>144</v>
      </c>
      <c r="F483" t="s">
        <v>20</v>
      </c>
      <c r="G483" t="s">
        <v>21</v>
      </c>
      <c r="H483" t="s">
        <v>20</v>
      </c>
      <c r="I483" s="73">
        <f t="shared" si="21"/>
        <v>0</v>
      </c>
      <c r="J483" s="114">
        <f>VLOOKUP(B483,本月系统单价mb5b!$B:$P,15,0)</f>
        <v>1.43958333333333</v>
      </c>
      <c r="K483" s="114">
        <f t="shared" si="22"/>
        <v>0</v>
      </c>
      <c r="L483" s="114">
        <f>IFERROR(VLOOKUP(B483,上月数量需更新!A:C,3,0),0)</f>
        <v>0</v>
      </c>
      <c r="M483" s="121">
        <f t="shared" si="23"/>
        <v>0</v>
      </c>
      <c r="P483" t="str">
        <f>VLOOKUP(B483,物料分类!B:F,5,0)</f>
        <v>物料消耗</v>
      </c>
    </row>
    <row r="484" hidden="1" spans="1:16">
      <c r="A484">
        <v>483</v>
      </c>
      <c r="B484">
        <v>4600065</v>
      </c>
      <c r="C484" t="s">
        <v>566</v>
      </c>
      <c r="D484">
        <v>8</v>
      </c>
      <c r="E484">
        <v>0</v>
      </c>
      <c r="F484" t="s">
        <v>176</v>
      </c>
      <c r="G484" t="s">
        <v>177</v>
      </c>
      <c r="H484" t="s">
        <v>176</v>
      </c>
      <c r="I484" s="73">
        <f t="shared" si="21"/>
        <v>8</v>
      </c>
      <c r="J484" s="114">
        <f>VLOOKUP(B484,本月系统单价mb5b!$B:$P,15,0)</f>
        <v>1.4475</v>
      </c>
      <c r="K484" s="114">
        <f t="shared" si="22"/>
        <v>11.58</v>
      </c>
      <c r="L484" s="114">
        <f>IFERROR(VLOOKUP(B484,上月数量需更新!A:C,3,0),0)</f>
        <v>34.8</v>
      </c>
      <c r="M484" s="121">
        <f t="shared" si="23"/>
        <v>-23.22</v>
      </c>
      <c r="P484" t="str">
        <f>VLOOKUP(B484,物料分类!B:F,5,0)</f>
        <v>成本-酒水类</v>
      </c>
    </row>
    <row r="485" s="21" customFormat="1" hidden="1" spans="1:16">
      <c r="A485">
        <v>484</v>
      </c>
      <c r="B485">
        <v>4600064</v>
      </c>
      <c r="C485" t="s">
        <v>567</v>
      </c>
      <c r="D485">
        <v>3327</v>
      </c>
      <c r="E485">
        <v>0</v>
      </c>
      <c r="F485" t="s">
        <v>32</v>
      </c>
      <c r="G485" t="s">
        <v>33</v>
      </c>
      <c r="H485" t="s">
        <v>32</v>
      </c>
      <c r="I485" s="73">
        <f t="shared" si="21"/>
        <v>3327</v>
      </c>
      <c r="J485" s="122">
        <f>VLOOKUP(B485,本月系统单价mb5b!$B:$P,15,0)</f>
        <v>0.1</v>
      </c>
      <c r="K485" s="122">
        <f t="shared" si="22"/>
        <v>332.7</v>
      </c>
      <c r="L485" s="122">
        <f>IFERROR(VLOOKUP(B485,上月数量需更新!A:C,3,0),0)</f>
        <v>63.04</v>
      </c>
      <c r="M485" s="123">
        <f t="shared" si="23"/>
        <v>269.66</v>
      </c>
      <c r="N485"/>
      <c r="O485" s="124"/>
      <c r="P485" t="str">
        <f>VLOOKUP(B485,物料分类!B:F,5,0)</f>
        <v>成本-酒水类</v>
      </c>
    </row>
    <row r="486" hidden="1" spans="1:16">
      <c r="A486">
        <v>485</v>
      </c>
      <c r="B486">
        <v>4523357</v>
      </c>
      <c r="C486" t="s">
        <v>568</v>
      </c>
      <c r="D486">
        <v>229.6</v>
      </c>
      <c r="E486">
        <v>28</v>
      </c>
      <c r="F486" t="s">
        <v>73</v>
      </c>
      <c r="G486" t="s">
        <v>74</v>
      </c>
      <c r="H486" t="s">
        <v>73</v>
      </c>
      <c r="I486" s="73">
        <f t="shared" si="21"/>
        <v>201.6</v>
      </c>
      <c r="J486" s="114">
        <f>VLOOKUP(B486,本月系统单价mb5b!$B:$P,15,0)</f>
        <v>7.14285714285714</v>
      </c>
      <c r="K486" s="114">
        <f t="shared" si="22"/>
        <v>1440</v>
      </c>
      <c r="L486" s="114">
        <f>IFERROR(VLOOKUP(B486,上月数量需更新!A:C,3,0),0)</f>
        <v>980</v>
      </c>
      <c r="M486" s="121">
        <f t="shared" si="23"/>
        <v>460</v>
      </c>
      <c r="P486" t="str">
        <f>VLOOKUP(B486,物料分类!B:F,5,0)</f>
        <v>成本-小吃类</v>
      </c>
    </row>
    <row r="487" hidden="1" spans="1:16">
      <c r="A487">
        <v>486</v>
      </c>
      <c r="B487">
        <v>1500835</v>
      </c>
      <c r="C487" t="s">
        <v>569</v>
      </c>
      <c r="D487">
        <v>1</v>
      </c>
      <c r="E487">
        <v>0</v>
      </c>
      <c r="F487" t="s">
        <v>36</v>
      </c>
      <c r="G487" t="s">
        <v>37</v>
      </c>
      <c r="H487" t="s">
        <v>38</v>
      </c>
      <c r="I487" s="73">
        <f t="shared" si="21"/>
        <v>1</v>
      </c>
      <c r="J487" s="114">
        <f>VLOOKUP(B487,本月系统单价mb5b!$B:$P,15,0)</f>
        <v>7.25</v>
      </c>
      <c r="K487" s="114">
        <f t="shared" si="22"/>
        <v>7.25</v>
      </c>
      <c r="L487" s="114">
        <f>IFERROR(VLOOKUP(B487,上月数量需更新!A:C,3,0),0)</f>
        <v>7.25</v>
      </c>
      <c r="M487" s="121">
        <f t="shared" si="23"/>
        <v>0</v>
      </c>
      <c r="P487" t="str">
        <f>VLOOKUP(B487,物料分类!B:F,5,0)</f>
        <v>成本-小料台类</v>
      </c>
    </row>
    <row r="488" hidden="1" spans="1:16">
      <c r="A488">
        <v>487</v>
      </c>
      <c r="B488">
        <v>4526242</v>
      </c>
      <c r="C488" t="s">
        <v>570</v>
      </c>
      <c r="D488">
        <v>48</v>
      </c>
      <c r="E488">
        <v>9</v>
      </c>
      <c r="F488" t="s">
        <v>73</v>
      </c>
      <c r="G488" t="s">
        <v>74</v>
      </c>
      <c r="H488" t="s">
        <v>73</v>
      </c>
      <c r="I488" s="73">
        <f t="shared" si="21"/>
        <v>39</v>
      </c>
      <c r="J488" s="114">
        <f>VLOOKUP(B488,本月系统单价mb5b!$B:$P,15,0)</f>
        <v>13.3333333333333</v>
      </c>
      <c r="K488" s="114">
        <f t="shared" si="22"/>
        <v>520</v>
      </c>
      <c r="L488" s="114">
        <f>IFERROR(VLOOKUP(B488,上月数量需更新!A:C,3,0),0)</f>
        <v>460</v>
      </c>
      <c r="M488" s="121">
        <f t="shared" si="23"/>
        <v>60</v>
      </c>
      <c r="P488" t="str">
        <f>VLOOKUP(B488,物料分类!B:F,5,0)</f>
        <v>成本-小吃类</v>
      </c>
    </row>
    <row r="489" hidden="1" spans="1:16">
      <c r="A489">
        <v>488</v>
      </c>
      <c r="B489">
        <v>4525314</v>
      </c>
      <c r="C489" t="s">
        <v>571</v>
      </c>
      <c r="D489">
        <v>31.78</v>
      </c>
      <c r="E489">
        <v>9.08</v>
      </c>
      <c r="F489" t="s">
        <v>73</v>
      </c>
      <c r="G489" t="s">
        <v>74</v>
      </c>
      <c r="H489" t="s">
        <v>73</v>
      </c>
      <c r="I489" s="73">
        <f t="shared" si="21"/>
        <v>22.7</v>
      </c>
      <c r="J489" s="114">
        <f>VLOOKUP(B489,本月系统单价mb5b!$B:$P,15,0)</f>
        <v>7.34203901825047</v>
      </c>
      <c r="K489" s="114">
        <f t="shared" si="22"/>
        <v>166.664285714286</v>
      </c>
      <c r="L489" s="114">
        <f>IFERROR(VLOOKUP(B489,上月数量需更新!A:C,3,0),0)</f>
        <v>166.67</v>
      </c>
      <c r="M489" s="121">
        <f t="shared" si="23"/>
        <v>-0.00571428571424804</v>
      </c>
      <c r="P489" t="str">
        <f>VLOOKUP(B489,物料分类!B:F,5,0)</f>
        <v>成本-锅底类</v>
      </c>
    </row>
    <row r="490" hidden="1" spans="1:16">
      <c r="A490">
        <v>489</v>
      </c>
      <c r="B490">
        <v>1500810</v>
      </c>
      <c r="C490" t="s">
        <v>572</v>
      </c>
      <c r="D490">
        <v>5928</v>
      </c>
      <c r="E490">
        <v>600</v>
      </c>
      <c r="F490" t="s">
        <v>137</v>
      </c>
      <c r="G490" t="s">
        <v>138</v>
      </c>
      <c r="H490" t="s">
        <v>137</v>
      </c>
      <c r="I490" s="73">
        <f t="shared" si="21"/>
        <v>5328</v>
      </c>
      <c r="J490" s="114">
        <f>VLOOKUP(B490,本月系统单价mb5b!$B:$P,15,0)</f>
        <v>0.533333333333333</v>
      </c>
      <c r="K490" s="114">
        <f t="shared" si="22"/>
        <v>2841.6</v>
      </c>
      <c r="L490" s="114">
        <f>IFERROR(VLOOKUP(B490,上月数量需更新!A:C,3,0),0)</f>
        <v>2880</v>
      </c>
      <c r="M490" s="121">
        <f t="shared" si="23"/>
        <v>-38.4000000000001</v>
      </c>
      <c r="P490" t="str">
        <f>VLOOKUP(B490,物料分类!B:F,5,0)</f>
        <v>成本-小料台类</v>
      </c>
    </row>
    <row r="491" hidden="1" spans="1:16">
      <c r="A491">
        <v>490</v>
      </c>
      <c r="B491">
        <v>4501959</v>
      </c>
      <c r="C491" t="s">
        <v>573</v>
      </c>
      <c r="D491">
        <v>242</v>
      </c>
      <c r="E491">
        <v>22</v>
      </c>
      <c r="F491" t="s">
        <v>36</v>
      </c>
      <c r="G491" t="s">
        <v>37</v>
      </c>
      <c r="H491" t="s">
        <v>38</v>
      </c>
      <c r="I491" s="73">
        <f t="shared" si="21"/>
        <v>220</v>
      </c>
      <c r="J491" s="114">
        <f>VLOOKUP(B491,本月系统单价mb5b!$B:$P,15,0)</f>
        <v>2.8595041322314</v>
      </c>
      <c r="K491" s="114">
        <f t="shared" si="22"/>
        <v>629.090909090909</v>
      </c>
      <c r="L491" s="114">
        <f>IFERROR(VLOOKUP(B491,上月数量需更新!A:C,3,0),0)</f>
        <v>210</v>
      </c>
      <c r="M491" s="121">
        <f t="shared" si="23"/>
        <v>419.090909090909</v>
      </c>
      <c r="P491" t="str">
        <f>VLOOKUP(B491,物料分类!B:F,5,0)</f>
        <v>成本-素菜类</v>
      </c>
    </row>
    <row r="492" hidden="1" spans="1:16">
      <c r="A492">
        <v>491</v>
      </c>
      <c r="B492">
        <v>1501027</v>
      </c>
      <c r="C492" t="s">
        <v>574</v>
      </c>
      <c r="D492">
        <v>0</v>
      </c>
      <c r="E492">
        <v>0</v>
      </c>
      <c r="F492" t="s">
        <v>29</v>
      </c>
      <c r="G492" t="s">
        <v>30</v>
      </c>
      <c r="H492" t="s">
        <v>29</v>
      </c>
      <c r="I492" s="73">
        <f t="shared" si="21"/>
        <v>0</v>
      </c>
      <c r="J492" s="114" t="e">
        <f>VLOOKUP(B492,本月系统单价mb5b!$B:$P,15,0)</f>
        <v>#DIV/0!</v>
      </c>
      <c r="K492" s="114" t="e">
        <f t="shared" si="22"/>
        <v>#DIV/0!</v>
      </c>
      <c r="L492" s="114">
        <f>IFERROR(VLOOKUP(B492,上月数量需更新!A:C,3,0),0)</f>
        <v>0</v>
      </c>
      <c r="M492" s="121" t="e">
        <f t="shared" si="23"/>
        <v>#DIV/0!</v>
      </c>
      <c r="P492" t="str">
        <f>VLOOKUP(B492,物料分类!B:F,5,0)</f>
        <v>员工餐</v>
      </c>
    </row>
    <row r="493" hidden="1" spans="1:16">
      <c r="A493">
        <v>492</v>
      </c>
      <c r="B493">
        <v>4501960</v>
      </c>
      <c r="C493" t="s">
        <v>575</v>
      </c>
      <c r="D493">
        <v>1440</v>
      </c>
      <c r="E493">
        <v>60</v>
      </c>
      <c r="F493" t="s">
        <v>127</v>
      </c>
      <c r="G493" t="s">
        <v>128</v>
      </c>
      <c r="H493" t="s">
        <v>127</v>
      </c>
      <c r="I493" s="73">
        <f t="shared" si="21"/>
        <v>1380</v>
      </c>
      <c r="J493" s="114">
        <f>VLOOKUP(B493,本月系统单价mb5b!$B:$P,15,0)</f>
        <v>0.359722222222222</v>
      </c>
      <c r="K493" s="114">
        <f t="shared" si="22"/>
        <v>496.416666666667</v>
      </c>
      <c r="L493" s="114">
        <f>IFERROR(VLOOKUP(B493,上月数量需更新!A:C,3,0),0)</f>
        <v>620</v>
      </c>
      <c r="M493" s="121">
        <f t="shared" si="23"/>
        <v>-123.583333333333</v>
      </c>
      <c r="P493" t="str">
        <f>VLOOKUP(B493,物料分类!B:F,5,0)</f>
        <v>成本-小料台类</v>
      </c>
    </row>
    <row r="494" hidden="1" spans="1:16">
      <c r="A494">
        <v>493</v>
      </c>
      <c r="B494">
        <v>4735156</v>
      </c>
      <c r="C494" t="s">
        <v>576</v>
      </c>
      <c r="D494">
        <v>140</v>
      </c>
      <c r="E494">
        <v>90</v>
      </c>
      <c r="F494" t="s">
        <v>73</v>
      </c>
      <c r="G494" t="s">
        <v>74</v>
      </c>
      <c r="H494" t="s">
        <v>73</v>
      </c>
      <c r="I494" s="73">
        <f t="shared" si="21"/>
        <v>50</v>
      </c>
      <c r="J494" s="114">
        <f>VLOOKUP(B494,本月系统单价mb5b!$B:$P,15,0)</f>
        <v>7.09507142857143</v>
      </c>
      <c r="K494" s="114">
        <f t="shared" si="22"/>
        <v>354.753571428571</v>
      </c>
      <c r="L494" s="114">
        <f>IFERROR(VLOOKUP(B494,上月数量需更新!A:C,3,0),0)</f>
        <v>289.21</v>
      </c>
      <c r="M494" s="121">
        <f t="shared" si="23"/>
        <v>65.5435714285714</v>
      </c>
      <c r="P494" t="str">
        <f>VLOOKUP(B494,物料分类!B:F,5,0)</f>
        <v>成本-小料台类</v>
      </c>
    </row>
    <row r="495" hidden="1" spans="1:16">
      <c r="A495">
        <v>494</v>
      </c>
      <c r="B495">
        <v>4005465</v>
      </c>
      <c r="C495" t="s">
        <v>577</v>
      </c>
      <c r="D495">
        <v>181</v>
      </c>
      <c r="E495">
        <v>121</v>
      </c>
      <c r="F495" t="s">
        <v>73</v>
      </c>
      <c r="G495" t="s">
        <v>74</v>
      </c>
      <c r="H495" t="s">
        <v>73</v>
      </c>
      <c r="I495" s="73">
        <f t="shared" si="21"/>
        <v>60</v>
      </c>
      <c r="J495" s="114">
        <f>VLOOKUP(B495,本月系统单价mb5b!$B:$P,15,0)</f>
        <v>7.0846408839779</v>
      </c>
      <c r="K495" s="114">
        <f t="shared" si="22"/>
        <v>425.078453038674</v>
      </c>
      <c r="L495" s="114">
        <f>IFERROR(VLOOKUP(B495,上月数量需更新!A:C,3,0),0)</f>
        <v>425.56</v>
      </c>
      <c r="M495" s="121">
        <f t="shared" si="23"/>
        <v>-0.481546961325989</v>
      </c>
      <c r="P495" t="str">
        <f>VLOOKUP(B495,物料分类!B:F,5,0)</f>
        <v>成本-小料台类</v>
      </c>
    </row>
    <row r="496" hidden="1" spans="1:16">
      <c r="A496">
        <v>495</v>
      </c>
      <c r="B496">
        <v>8014500</v>
      </c>
      <c r="C496" t="s">
        <v>578</v>
      </c>
      <c r="D496">
        <v>500</v>
      </c>
      <c r="E496">
        <v>500</v>
      </c>
      <c r="F496" t="s">
        <v>20</v>
      </c>
      <c r="G496" t="s">
        <v>21</v>
      </c>
      <c r="H496" t="s">
        <v>20</v>
      </c>
      <c r="I496" s="73">
        <f t="shared" si="21"/>
        <v>0</v>
      </c>
      <c r="J496" s="114">
        <f>VLOOKUP(B496,本月系统单价mb5b!$B:$P,15,0)</f>
        <v>0.8088</v>
      </c>
      <c r="K496" s="114">
        <f t="shared" si="22"/>
        <v>0</v>
      </c>
      <c r="L496" s="114">
        <f>IFERROR(VLOOKUP(B496,上月数量需更新!A:C,3,0),0)</f>
        <v>1253.66</v>
      </c>
      <c r="M496" s="121">
        <f t="shared" si="23"/>
        <v>-1253.66</v>
      </c>
      <c r="P496" t="str">
        <f>VLOOKUP(B496,物料分类!B:F,5,0)</f>
        <v>服务费</v>
      </c>
    </row>
    <row r="497" hidden="1" spans="1:16">
      <c r="A497">
        <v>496</v>
      </c>
      <c r="B497">
        <v>4516088</v>
      </c>
      <c r="C497" t="s">
        <v>579</v>
      </c>
      <c r="D497">
        <v>120</v>
      </c>
      <c r="E497">
        <v>20</v>
      </c>
      <c r="F497" t="s">
        <v>73</v>
      </c>
      <c r="G497" t="s">
        <v>74</v>
      </c>
      <c r="H497" t="s">
        <v>73</v>
      </c>
      <c r="I497" s="73">
        <f t="shared" si="21"/>
        <v>100</v>
      </c>
      <c r="J497" s="114">
        <f>VLOOKUP(B497,本月系统单价mb5b!$B:$P,15,0)</f>
        <v>4.4</v>
      </c>
      <c r="K497" s="114">
        <f t="shared" si="22"/>
        <v>440</v>
      </c>
      <c r="L497" s="114">
        <f>IFERROR(VLOOKUP(B497,上月数量需更新!A:C,3,0),0)</f>
        <v>528</v>
      </c>
      <c r="M497" s="121">
        <f t="shared" si="23"/>
        <v>-87.9999999999999</v>
      </c>
      <c r="P497" t="str">
        <f>VLOOKUP(B497,物料分类!B:F,5,0)</f>
        <v>成本-素菜类</v>
      </c>
    </row>
    <row r="498" hidden="1" spans="1:16">
      <c r="A498">
        <v>497</v>
      </c>
      <c r="B498">
        <v>4525419</v>
      </c>
      <c r="C498" t="s">
        <v>580</v>
      </c>
      <c r="D498">
        <v>56</v>
      </c>
      <c r="E498">
        <v>8</v>
      </c>
      <c r="F498" t="s">
        <v>36</v>
      </c>
      <c r="G498" t="s">
        <v>37</v>
      </c>
      <c r="H498" t="s">
        <v>38</v>
      </c>
      <c r="I498" s="73">
        <f t="shared" si="21"/>
        <v>48</v>
      </c>
      <c r="J498" s="114">
        <f>VLOOKUP(B498,本月系统单价mb5b!$B:$P,15,0)</f>
        <v>30</v>
      </c>
      <c r="K498" s="114">
        <f t="shared" si="22"/>
        <v>1440</v>
      </c>
      <c r="L498" s="114">
        <f>IFERROR(VLOOKUP(B498,上月数量需更新!A:C,3,0),0)</f>
        <v>1500</v>
      </c>
      <c r="M498" s="121">
        <f t="shared" si="23"/>
        <v>-60</v>
      </c>
      <c r="P498" t="str">
        <f>VLOOKUP(B498,物料分类!B:F,5,0)</f>
        <v>成本-荤菜类</v>
      </c>
    </row>
    <row r="499" hidden="1" spans="1:16">
      <c r="A499">
        <v>498</v>
      </c>
      <c r="B499">
        <v>4734146</v>
      </c>
      <c r="C499" t="s">
        <v>581</v>
      </c>
      <c r="D499">
        <v>72.64</v>
      </c>
      <c r="E499">
        <v>2.724</v>
      </c>
      <c r="F499" t="s">
        <v>73</v>
      </c>
      <c r="G499" t="s">
        <v>74</v>
      </c>
      <c r="H499" t="s">
        <v>73</v>
      </c>
      <c r="I499" s="73">
        <f t="shared" si="21"/>
        <v>69.916</v>
      </c>
      <c r="J499" s="114">
        <f>VLOOKUP(B499,本月系统单价mb5b!$B:$P,15,0)</f>
        <v>8.81057268722467</v>
      </c>
      <c r="K499" s="114">
        <f t="shared" si="22"/>
        <v>616</v>
      </c>
      <c r="L499" s="114">
        <f>IFERROR(VLOOKUP(B499,上月数量需更新!A:C,3,0),0)</f>
        <v>86</v>
      </c>
      <c r="M499" s="121">
        <f t="shared" si="23"/>
        <v>530</v>
      </c>
      <c r="P499" t="str">
        <f>VLOOKUP(B499,物料分类!B:F,5,0)</f>
        <v>成本-荤菜类</v>
      </c>
    </row>
    <row r="500" hidden="1" spans="1:16">
      <c r="A500">
        <v>499</v>
      </c>
      <c r="B500">
        <v>1500730</v>
      </c>
      <c r="C500" t="s">
        <v>582</v>
      </c>
      <c r="D500">
        <v>52.5</v>
      </c>
      <c r="E500">
        <v>7.5</v>
      </c>
      <c r="F500" t="s">
        <v>73</v>
      </c>
      <c r="G500" t="s">
        <v>74</v>
      </c>
      <c r="H500" t="s">
        <v>73</v>
      </c>
      <c r="I500" s="73">
        <f t="shared" si="21"/>
        <v>45</v>
      </c>
      <c r="J500" s="114">
        <f>VLOOKUP(B500,本月系统单价mb5b!$B:$P,15,0)</f>
        <v>8</v>
      </c>
      <c r="K500" s="114">
        <f t="shared" si="22"/>
        <v>360</v>
      </c>
      <c r="L500" s="114">
        <f>IFERROR(VLOOKUP(B500,上月数量需更新!A:C,3,0),0)</f>
        <v>1020</v>
      </c>
      <c r="M500" s="121">
        <f t="shared" si="23"/>
        <v>-660</v>
      </c>
      <c r="P500" t="str">
        <f>VLOOKUP(B500,物料分类!B:F,5,0)</f>
        <v>成本-荤菜类</v>
      </c>
    </row>
    <row r="501" hidden="1" spans="1:16">
      <c r="A501">
        <v>500</v>
      </c>
      <c r="B501">
        <v>1500873</v>
      </c>
      <c r="C501" t="s">
        <v>583</v>
      </c>
      <c r="D501">
        <v>10</v>
      </c>
      <c r="E501">
        <v>1</v>
      </c>
      <c r="F501" t="s">
        <v>32</v>
      </c>
      <c r="G501" t="s">
        <v>33</v>
      </c>
      <c r="H501" t="s">
        <v>32</v>
      </c>
      <c r="I501" s="73">
        <f t="shared" si="21"/>
        <v>9</v>
      </c>
      <c r="J501" s="114">
        <f>VLOOKUP(B501,本月系统单价mb5b!$B:$P,15,0)</f>
        <v>2.667</v>
      </c>
      <c r="K501" s="114">
        <f t="shared" si="22"/>
        <v>24.003</v>
      </c>
      <c r="L501" s="114">
        <f>IFERROR(VLOOKUP(B501,上月数量需更新!A:C,3,0),0)</f>
        <v>16</v>
      </c>
      <c r="M501" s="121">
        <f t="shared" si="23"/>
        <v>8.003</v>
      </c>
      <c r="P501" t="str">
        <f>VLOOKUP(B501,物料分类!B:F,5,0)</f>
        <v>成本-小料台类</v>
      </c>
    </row>
    <row r="502" hidden="1" spans="1:16">
      <c r="A502">
        <v>501</v>
      </c>
      <c r="B502">
        <v>1501628</v>
      </c>
      <c r="C502" t="s">
        <v>584</v>
      </c>
      <c r="D502">
        <v>56.84</v>
      </c>
      <c r="E502">
        <v>9.8</v>
      </c>
      <c r="F502" t="s">
        <v>73</v>
      </c>
      <c r="G502" t="s">
        <v>74</v>
      </c>
      <c r="H502" t="s">
        <v>73</v>
      </c>
      <c r="I502" s="73">
        <f t="shared" si="21"/>
        <v>47.04</v>
      </c>
      <c r="J502" s="114">
        <f>VLOOKUP(B502,本月系统单价mb5b!$B:$P,15,0)</f>
        <v>9.81896551724138</v>
      </c>
      <c r="K502" s="114">
        <f t="shared" si="22"/>
        <v>461.884137931035</v>
      </c>
      <c r="L502" s="114">
        <f>IFERROR(VLOOKUP(B502,上月数量需更新!A:C,3,0),0)</f>
        <v>565.21</v>
      </c>
      <c r="M502" s="121">
        <f t="shared" si="23"/>
        <v>-103.325862068966</v>
      </c>
      <c r="P502" t="str">
        <f>VLOOKUP(B502,物料分类!B:F,5,0)</f>
        <v>成本-荤菜类</v>
      </c>
    </row>
    <row r="503" hidden="1" spans="1:16">
      <c r="A503">
        <v>502</v>
      </c>
      <c r="B503">
        <v>4514924</v>
      </c>
      <c r="C503" t="s">
        <v>585</v>
      </c>
      <c r="D503">
        <v>47.2</v>
      </c>
      <c r="E503">
        <v>3.3</v>
      </c>
      <c r="F503" t="s">
        <v>73</v>
      </c>
      <c r="G503" t="s">
        <v>74</v>
      </c>
      <c r="H503" t="s">
        <v>73</v>
      </c>
      <c r="I503" s="73">
        <f t="shared" si="21"/>
        <v>43.9</v>
      </c>
      <c r="J503" s="114">
        <f>VLOOKUP(B503,本月系统单价mb5b!$B:$P,15,0)</f>
        <v>13.7775423728814</v>
      </c>
      <c r="K503" s="114">
        <f t="shared" si="22"/>
        <v>604.834110169492</v>
      </c>
      <c r="L503" s="114">
        <f>IFERROR(VLOOKUP(B503,上月数量需更新!A:C,3,0),0)</f>
        <v>221.2</v>
      </c>
      <c r="M503" s="121">
        <f t="shared" si="23"/>
        <v>383.634110169492</v>
      </c>
      <c r="P503" t="str">
        <f>VLOOKUP(B503,物料分类!B:F,5,0)</f>
        <v>成本-荤菜类</v>
      </c>
    </row>
    <row r="504" hidden="1" spans="1:16">
      <c r="A504">
        <v>503</v>
      </c>
      <c r="B504">
        <v>1500749</v>
      </c>
      <c r="C504" t="s">
        <v>586</v>
      </c>
      <c r="D504">
        <v>0</v>
      </c>
      <c r="E504">
        <v>0</v>
      </c>
      <c r="F504" t="s">
        <v>36</v>
      </c>
      <c r="G504" t="s">
        <v>37</v>
      </c>
      <c r="H504" t="s">
        <v>38</v>
      </c>
      <c r="I504" s="73">
        <f t="shared" si="21"/>
        <v>0</v>
      </c>
      <c r="J504" s="114" t="e">
        <f>VLOOKUP(B504,本月系统单价mb5b!$B:$P,15,0)</f>
        <v>#DIV/0!</v>
      </c>
      <c r="K504" s="114" t="e">
        <f t="shared" si="22"/>
        <v>#DIV/0!</v>
      </c>
      <c r="L504" s="114">
        <f>IFERROR(VLOOKUP(B504,上月数量需更新!A:C,3,0),0)</f>
        <v>546.42</v>
      </c>
      <c r="M504" s="121" t="e">
        <f t="shared" si="23"/>
        <v>#DIV/0!</v>
      </c>
      <c r="P504" t="str">
        <f>VLOOKUP(B504,物料分类!B:F,5,0)</f>
        <v>成本-素菜类</v>
      </c>
    </row>
    <row r="505" hidden="1" spans="1:16">
      <c r="A505">
        <v>504</v>
      </c>
      <c r="B505">
        <v>1500785</v>
      </c>
      <c r="C505" t="s">
        <v>587</v>
      </c>
      <c r="D505">
        <v>35</v>
      </c>
      <c r="E505">
        <v>10</v>
      </c>
      <c r="F505" t="s">
        <v>73</v>
      </c>
      <c r="G505" t="s">
        <v>74</v>
      </c>
      <c r="H505" t="s">
        <v>73</v>
      </c>
      <c r="I505" s="73">
        <f t="shared" si="21"/>
        <v>25</v>
      </c>
      <c r="J505" s="114">
        <f>VLOOKUP(B505,本月系统单价mb5b!$B:$P,15,0)</f>
        <v>6.05828571428571</v>
      </c>
      <c r="K505" s="114">
        <f t="shared" si="22"/>
        <v>151.457142857143</v>
      </c>
      <c r="L505" s="114">
        <f>IFERROR(VLOOKUP(B505,上月数量需更新!A:C,3,0),0)</f>
        <v>352.48</v>
      </c>
      <c r="M505" s="121">
        <f t="shared" si="23"/>
        <v>-201.022857142857</v>
      </c>
      <c r="P505" t="str">
        <f>VLOOKUP(B505,物料分类!B:F,5,0)</f>
        <v>成本-素菜类</v>
      </c>
    </row>
    <row r="506" hidden="1" spans="1:16">
      <c r="A506">
        <v>505</v>
      </c>
      <c r="B506">
        <v>1500734</v>
      </c>
      <c r="C506" t="s">
        <v>588</v>
      </c>
      <c r="D506">
        <v>255.2</v>
      </c>
      <c r="E506">
        <v>22</v>
      </c>
      <c r="F506" t="s">
        <v>36</v>
      </c>
      <c r="G506" t="s">
        <v>37</v>
      </c>
      <c r="H506" t="s">
        <v>38</v>
      </c>
      <c r="I506" s="73">
        <f t="shared" si="21"/>
        <v>233.2</v>
      </c>
      <c r="J506" s="114">
        <f>VLOOKUP(B506,本月系统单价mb5b!$B:$P,15,0)</f>
        <v>9.8</v>
      </c>
      <c r="K506" s="114">
        <f t="shared" si="22"/>
        <v>2285.36</v>
      </c>
      <c r="L506" s="114">
        <f>IFERROR(VLOOKUP(B506,上月数量需更新!A:C,3,0),0)</f>
        <v>2193.83</v>
      </c>
      <c r="M506" s="121">
        <f t="shared" si="23"/>
        <v>91.5300000000002</v>
      </c>
      <c r="P506" t="str">
        <f>VLOOKUP(B506,物料分类!B:F,5,0)</f>
        <v>成本-素菜类</v>
      </c>
    </row>
    <row r="507" hidden="1" spans="1:16">
      <c r="A507">
        <v>506</v>
      </c>
      <c r="B507">
        <v>1501055</v>
      </c>
      <c r="C507" t="s">
        <v>589</v>
      </c>
      <c r="D507">
        <v>2025</v>
      </c>
      <c r="E507">
        <v>90</v>
      </c>
      <c r="F507" t="s">
        <v>20</v>
      </c>
      <c r="G507" t="s">
        <v>21</v>
      </c>
      <c r="H507" t="s">
        <v>20</v>
      </c>
      <c r="I507" s="73">
        <f t="shared" si="21"/>
        <v>1935</v>
      </c>
      <c r="J507" s="114">
        <f>VLOOKUP(B507,本月系统单价mb5b!$B:$P,15,0)</f>
        <v>0.366666666666667</v>
      </c>
      <c r="K507" s="114">
        <f t="shared" si="22"/>
        <v>709.5</v>
      </c>
      <c r="L507" s="114">
        <f>IFERROR(VLOOKUP(B507,上月数量需更新!A:C,3,0),0)</f>
        <v>808.5</v>
      </c>
      <c r="M507" s="121">
        <f t="shared" si="23"/>
        <v>-99</v>
      </c>
      <c r="P507" t="str">
        <f>VLOOKUP(B507,物料分类!B:F,5,0)</f>
        <v>成本-小吃类</v>
      </c>
    </row>
    <row r="508" hidden="1" spans="1:16">
      <c r="A508">
        <v>507</v>
      </c>
      <c r="B508">
        <v>1501608</v>
      </c>
      <c r="C508" t="s">
        <v>590</v>
      </c>
      <c r="D508">
        <v>82</v>
      </c>
      <c r="E508">
        <v>13</v>
      </c>
      <c r="F508" t="s">
        <v>73</v>
      </c>
      <c r="G508" t="s">
        <v>74</v>
      </c>
      <c r="H508" t="s">
        <v>73</v>
      </c>
      <c r="I508" s="73">
        <f t="shared" si="21"/>
        <v>69</v>
      </c>
      <c r="J508" s="114">
        <f>VLOOKUP(B508,本月系统单价mb5b!$B:$P,15,0)</f>
        <v>16</v>
      </c>
      <c r="K508" s="114">
        <f t="shared" si="22"/>
        <v>1104</v>
      </c>
      <c r="L508" s="114">
        <f>IFERROR(VLOOKUP(B508,上月数量需更新!A:C,3,0),0)</f>
        <v>368</v>
      </c>
      <c r="M508" s="121">
        <f t="shared" si="23"/>
        <v>736</v>
      </c>
      <c r="P508" t="str">
        <f>VLOOKUP(B508,物料分类!B:F,5,0)</f>
        <v>成本-荤菜类</v>
      </c>
    </row>
    <row r="509" hidden="1" spans="1:16">
      <c r="A509">
        <v>508</v>
      </c>
      <c r="B509">
        <v>4530878</v>
      </c>
      <c r="C509" t="s">
        <v>591</v>
      </c>
      <c r="D509">
        <v>15.12</v>
      </c>
      <c r="E509">
        <v>10.08</v>
      </c>
      <c r="F509" t="s">
        <v>73</v>
      </c>
      <c r="G509" t="s">
        <v>74</v>
      </c>
      <c r="H509" t="s">
        <v>73</v>
      </c>
      <c r="I509" s="73">
        <f t="shared" si="21"/>
        <v>5.04</v>
      </c>
      <c r="J509" s="114">
        <f>VLOOKUP(B509,本月系统单价mb5b!$B:$P,15,0)</f>
        <v>14.2857142857143</v>
      </c>
      <c r="K509" s="114">
        <f t="shared" si="22"/>
        <v>72</v>
      </c>
      <c r="L509" s="114">
        <f>IFERROR(VLOOKUP(B509,上月数量需更新!A:C,3,0),0)</f>
        <v>0</v>
      </c>
      <c r="M509" s="121">
        <f t="shared" si="23"/>
        <v>72</v>
      </c>
      <c r="P509" t="str">
        <f>VLOOKUP(B509,物料分类!B:F,5,0)</f>
        <v>成本-小吃类</v>
      </c>
    </row>
    <row r="510" hidden="1" spans="1:16">
      <c r="A510">
        <v>509</v>
      </c>
      <c r="B510">
        <v>1500998</v>
      </c>
      <c r="C510" t="s">
        <v>592</v>
      </c>
      <c r="D510">
        <v>11</v>
      </c>
      <c r="E510">
        <v>5</v>
      </c>
      <c r="F510" t="s">
        <v>32</v>
      </c>
      <c r="G510" t="s">
        <v>33</v>
      </c>
      <c r="H510" t="s">
        <v>32</v>
      </c>
      <c r="I510" s="73">
        <f t="shared" si="21"/>
        <v>6</v>
      </c>
      <c r="J510" s="114">
        <f>VLOOKUP(B510,本月系统单价mb5b!$B:$P,15,0)</f>
        <v>6.08363636363636</v>
      </c>
      <c r="K510" s="114">
        <f t="shared" si="22"/>
        <v>36.5018181818182</v>
      </c>
      <c r="L510" s="114">
        <f>IFERROR(VLOOKUP(B510,上月数量需更新!A:C,3,0),0)</f>
        <v>24.33</v>
      </c>
      <c r="M510" s="121">
        <f t="shared" si="23"/>
        <v>12.1718181818182</v>
      </c>
      <c r="P510" t="str">
        <f>VLOOKUP(B510,物料分类!B:F,5,0)</f>
        <v>成本-小料台类</v>
      </c>
    </row>
    <row r="511" hidden="1" spans="1:16">
      <c r="A511">
        <v>510</v>
      </c>
      <c r="B511">
        <v>4004440</v>
      </c>
      <c r="C511" t="s">
        <v>593</v>
      </c>
      <c r="D511">
        <v>27</v>
      </c>
      <c r="E511">
        <v>11</v>
      </c>
      <c r="F511" t="s">
        <v>73</v>
      </c>
      <c r="G511" t="s">
        <v>74</v>
      </c>
      <c r="H511" t="s">
        <v>73</v>
      </c>
      <c r="I511" s="73">
        <f t="shared" si="21"/>
        <v>16</v>
      </c>
      <c r="J511" s="114">
        <f>VLOOKUP(B511,本月系统单价mb5b!$B:$P,15,0)</f>
        <v>8.96666666666667</v>
      </c>
      <c r="K511" s="114">
        <f t="shared" si="22"/>
        <v>143.466666666667</v>
      </c>
      <c r="L511" s="114">
        <f>IFERROR(VLOOKUP(B511,上月数量需更新!A:C,3,0),0)</f>
        <v>80.7</v>
      </c>
      <c r="M511" s="121">
        <f t="shared" si="23"/>
        <v>62.7666666666667</v>
      </c>
      <c r="P511" t="str">
        <f>VLOOKUP(B511,物料分类!B:F,5,0)</f>
        <v>成本-小料台类</v>
      </c>
    </row>
    <row r="512" hidden="1" spans="1:16">
      <c r="A512">
        <v>511</v>
      </c>
      <c r="B512">
        <v>4522606</v>
      </c>
      <c r="C512" t="s">
        <v>594</v>
      </c>
      <c r="D512">
        <v>7.5</v>
      </c>
      <c r="E512">
        <v>2.5</v>
      </c>
      <c r="F512" t="s">
        <v>73</v>
      </c>
      <c r="G512" t="s">
        <v>74</v>
      </c>
      <c r="H512" t="s">
        <v>73</v>
      </c>
      <c r="I512" s="73">
        <f t="shared" si="21"/>
        <v>5</v>
      </c>
      <c r="J512" s="114">
        <f>VLOOKUP(B512,本月系统单价mb5b!$B:$P,15,0)</f>
        <v>10</v>
      </c>
      <c r="K512" s="114">
        <f t="shared" si="22"/>
        <v>50</v>
      </c>
      <c r="L512" s="114">
        <f>IFERROR(VLOOKUP(B512,上月数量需更新!A:C,3,0),0)</f>
        <v>25</v>
      </c>
      <c r="M512" s="121">
        <f t="shared" si="23"/>
        <v>25</v>
      </c>
      <c r="P512" t="str">
        <f>VLOOKUP(B512,物料分类!B:F,5,0)</f>
        <v>成本-小料台类</v>
      </c>
    </row>
    <row r="513" hidden="1" spans="1:16">
      <c r="A513">
        <v>512</v>
      </c>
      <c r="B513">
        <v>4504846</v>
      </c>
      <c r="C513" t="s">
        <v>595</v>
      </c>
      <c r="D513">
        <v>318.12</v>
      </c>
      <c r="E513">
        <v>30.87</v>
      </c>
      <c r="F513" t="s">
        <v>36</v>
      </c>
      <c r="G513" t="s">
        <v>37</v>
      </c>
      <c r="H513" t="s">
        <v>38</v>
      </c>
      <c r="I513" s="73">
        <f t="shared" si="21"/>
        <v>287.25</v>
      </c>
      <c r="J513" s="114">
        <f>VLOOKUP(B513,本月系统单价mb5b!$B:$P,15,0)</f>
        <v>4.07431158053565</v>
      </c>
      <c r="K513" s="114">
        <f t="shared" si="22"/>
        <v>1170.34600150886</v>
      </c>
      <c r="L513" s="114">
        <f>IFERROR(VLOOKUP(B513,上月数量需更新!A:C,3,0),0)</f>
        <v>1334.64</v>
      </c>
      <c r="M513" s="121">
        <f t="shared" si="23"/>
        <v>-164.293998491135</v>
      </c>
      <c r="P513" t="str">
        <f>VLOOKUP(B513,物料分类!B:F,5,0)</f>
        <v>成本-小吃类</v>
      </c>
    </row>
    <row r="514" hidden="1" spans="1:16">
      <c r="A514">
        <v>513</v>
      </c>
      <c r="B514">
        <v>4526243</v>
      </c>
      <c r="C514" t="s">
        <v>596</v>
      </c>
      <c r="D514">
        <v>240</v>
      </c>
      <c r="E514">
        <v>28</v>
      </c>
      <c r="F514" t="s">
        <v>36</v>
      </c>
      <c r="G514" t="s">
        <v>37</v>
      </c>
      <c r="H514" t="s">
        <v>38</v>
      </c>
      <c r="I514" s="73">
        <f t="shared" ref="I514:I530" si="24">D514-E514</f>
        <v>212</v>
      </c>
      <c r="J514" s="114">
        <f>VLOOKUP(B514,本月系统单价mb5b!$B:$P,15,0)</f>
        <v>4.4</v>
      </c>
      <c r="K514" s="114">
        <f t="shared" ref="K514:K530" si="25">I514*J514</f>
        <v>932.8</v>
      </c>
      <c r="L514" s="114">
        <f>IFERROR(VLOOKUP(B514,上月数量需更新!A:C,3,0),0)</f>
        <v>140.8</v>
      </c>
      <c r="M514" s="121">
        <f t="shared" ref="M514:M530" si="26">K514-L514</f>
        <v>792</v>
      </c>
      <c r="P514" t="str">
        <f>VLOOKUP(B514,物料分类!B:F,5,0)</f>
        <v>成本-荤菜类</v>
      </c>
    </row>
    <row r="515" hidden="1" spans="1:16">
      <c r="A515">
        <v>514</v>
      </c>
      <c r="B515">
        <v>1501282</v>
      </c>
      <c r="C515" t="s">
        <v>597</v>
      </c>
      <c r="D515">
        <v>12</v>
      </c>
      <c r="E515">
        <v>5.5</v>
      </c>
      <c r="F515" t="s">
        <v>73</v>
      </c>
      <c r="G515" t="s">
        <v>74</v>
      </c>
      <c r="H515" t="s">
        <v>73</v>
      </c>
      <c r="I515" s="73">
        <f t="shared" si="24"/>
        <v>6.5</v>
      </c>
      <c r="J515" s="114">
        <f>VLOOKUP(B515,本月系统单价mb5b!$B:$P,15,0)</f>
        <v>7.3575</v>
      </c>
      <c r="K515" s="114">
        <f t="shared" si="25"/>
        <v>47.82375</v>
      </c>
      <c r="L515" s="114">
        <f>IFERROR(VLOOKUP(B515,上月数量需更新!A:C,3,0),0)</f>
        <v>67.27</v>
      </c>
      <c r="M515" s="121">
        <f t="shared" si="26"/>
        <v>-19.44625</v>
      </c>
      <c r="P515" t="str">
        <f>VLOOKUP(B515,物料分类!B:F,5,0)</f>
        <v>成本-荤菜类</v>
      </c>
    </row>
    <row r="516" hidden="1" spans="1:16">
      <c r="A516">
        <v>515</v>
      </c>
      <c r="B516">
        <v>4524933</v>
      </c>
      <c r="C516" t="s">
        <v>598</v>
      </c>
      <c r="D516">
        <v>3.3</v>
      </c>
      <c r="E516">
        <v>0.6</v>
      </c>
      <c r="F516" t="s">
        <v>73</v>
      </c>
      <c r="G516" t="s">
        <v>74</v>
      </c>
      <c r="H516" t="s">
        <v>73</v>
      </c>
      <c r="I516" s="73">
        <f t="shared" si="24"/>
        <v>2.7</v>
      </c>
      <c r="J516" s="114">
        <f>VLOOKUP(B516,本月系统单价mb5b!$B:$P,15,0)</f>
        <v>35</v>
      </c>
      <c r="K516" s="114">
        <f t="shared" si="25"/>
        <v>94.5</v>
      </c>
      <c r="L516" s="114">
        <f>IFERROR(VLOOKUP(B516,上月数量需更新!A:C,3,0),0)</f>
        <v>94.5</v>
      </c>
      <c r="M516" s="121">
        <f t="shared" si="26"/>
        <v>0</v>
      </c>
      <c r="P516" t="str">
        <f>VLOOKUP(B516,物料分类!B:F,5,0)</f>
        <v>成本-酒水类</v>
      </c>
    </row>
    <row r="517" hidden="1" spans="1:16">
      <c r="A517">
        <v>516</v>
      </c>
      <c r="B517">
        <v>1500861</v>
      </c>
      <c r="C517" t="s">
        <v>599</v>
      </c>
      <c r="D517">
        <v>816</v>
      </c>
      <c r="E517">
        <v>48</v>
      </c>
      <c r="F517" t="s">
        <v>55</v>
      </c>
      <c r="G517" t="s">
        <v>56</v>
      </c>
      <c r="H517" t="s">
        <v>55</v>
      </c>
      <c r="I517" s="73">
        <f t="shared" si="24"/>
        <v>768</v>
      </c>
      <c r="J517" s="114">
        <f>VLOOKUP(B517,本月系统单价mb5b!$B:$P,15,0)</f>
        <v>3.5</v>
      </c>
      <c r="K517" s="114">
        <f t="shared" si="25"/>
        <v>2688</v>
      </c>
      <c r="L517" s="114">
        <f>IFERROR(VLOOKUP(B517,上月数量需更新!A:C,3,0),0)</f>
        <v>2058</v>
      </c>
      <c r="M517" s="121">
        <f t="shared" si="26"/>
        <v>630</v>
      </c>
      <c r="P517" t="str">
        <f>VLOOKUP(B517,物料分类!B:F,5,0)</f>
        <v>成本-荤菜类</v>
      </c>
    </row>
    <row r="518" hidden="1" spans="1:16">
      <c r="A518">
        <v>517</v>
      </c>
      <c r="B518">
        <v>8011728</v>
      </c>
      <c r="C518" t="s">
        <v>600</v>
      </c>
      <c r="D518">
        <v>3</v>
      </c>
      <c r="E518">
        <v>3</v>
      </c>
      <c r="F518" t="s">
        <v>25</v>
      </c>
      <c r="G518" t="s">
        <v>26</v>
      </c>
      <c r="H518" t="s">
        <v>25</v>
      </c>
      <c r="I518" s="73">
        <f t="shared" si="24"/>
        <v>0</v>
      </c>
      <c r="J518" s="114">
        <f>VLOOKUP(B518,本月系统单价mb5b!$B:$P,15,0)</f>
        <v>136.046666666667</v>
      </c>
      <c r="K518" s="114">
        <f t="shared" si="25"/>
        <v>0</v>
      </c>
      <c r="L518" s="114">
        <f>IFERROR(VLOOKUP(B518,上月数量需更新!A:C,3,0),0)</f>
        <v>408.14</v>
      </c>
      <c r="M518" s="121">
        <f t="shared" si="26"/>
        <v>-408.14</v>
      </c>
      <c r="P518" t="str">
        <f>VLOOKUP(B518,物料分类!B:F,5,0)</f>
        <v>服务费</v>
      </c>
    </row>
    <row r="519" hidden="1" spans="1:16">
      <c r="A519">
        <v>518</v>
      </c>
      <c r="B519">
        <v>4513296</v>
      </c>
      <c r="C519" t="s">
        <v>601</v>
      </c>
      <c r="D519">
        <v>40</v>
      </c>
      <c r="E519">
        <v>7.5</v>
      </c>
      <c r="F519" t="s">
        <v>73</v>
      </c>
      <c r="G519" t="s">
        <v>74</v>
      </c>
      <c r="H519" t="s">
        <v>73</v>
      </c>
      <c r="I519" s="73">
        <f t="shared" si="24"/>
        <v>32.5</v>
      </c>
      <c r="J519" s="114">
        <f>VLOOKUP(B519,本月系统单价mb5b!$B:$P,15,0)</f>
        <v>8.5</v>
      </c>
      <c r="K519" s="114">
        <f t="shared" si="25"/>
        <v>276.25</v>
      </c>
      <c r="L519" s="114">
        <f>IFERROR(VLOOKUP(B519,上月数量需更新!A:C,3,0),0)</f>
        <v>85</v>
      </c>
      <c r="M519" s="121">
        <f t="shared" si="26"/>
        <v>191.25</v>
      </c>
      <c r="P519" t="str">
        <f>VLOOKUP(B519,物料分类!B:F,5,0)</f>
        <v>成本-荤菜类</v>
      </c>
    </row>
    <row r="520" hidden="1" spans="1:16">
      <c r="A520">
        <v>519</v>
      </c>
      <c r="B520">
        <v>4526639</v>
      </c>
      <c r="C520" t="s">
        <v>602</v>
      </c>
      <c r="D520">
        <v>24.062</v>
      </c>
      <c r="E520">
        <v>2.724</v>
      </c>
      <c r="F520" t="s">
        <v>73</v>
      </c>
      <c r="G520" t="s">
        <v>74</v>
      </c>
      <c r="H520" t="s">
        <v>73</v>
      </c>
      <c r="I520" s="73">
        <f t="shared" si="24"/>
        <v>21.338</v>
      </c>
      <c r="J520" s="114">
        <f>VLOOKUP(B520,本月系统单价mb5b!$B:$P,15,0)</f>
        <v>9.34170060676585</v>
      </c>
      <c r="K520" s="114">
        <f t="shared" si="25"/>
        <v>199.33320754717</v>
      </c>
      <c r="L520" s="114">
        <f>IFERROR(VLOOKUP(B520,上月数量需更新!A:C,3,0),0)</f>
        <v>530.97</v>
      </c>
      <c r="M520" s="121">
        <f t="shared" si="26"/>
        <v>-331.63679245283</v>
      </c>
      <c r="P520" t="str">
        <f>VLOOKUP(B520,物料分类!B:F,5,0)</f>
        <v>成本-荤菜类</v>
      </c>
    </row>
    <row r="521" hidden="1" spans="1:16">
      <c r="A521">
        <v>520</v>
      </c>
      <c r="B521">
        <v>4523571</v>
      </c>
      <c r="C521" t="s">
        <v>603</v>
      </c>
      <c r="D521">
        <v>24</v>
      </c>
      <c r="E521">
        <v>0</v>
      </c>
      <c r="F521" t="s">
        <v>73</v>
      </c>
      <c r="G521" t="s">
        <v>74</v>
      </c>
      <c r="H521" t="s">
        <v>73</v>
      </c>
      <c r="I521" s="73">
        <f t="shared" si="24"/>
        <v>24</v>
      </c>
      <c r="J521" s="114">
        <f>VLOOKUP(B521,本月系统单价mb5b!$B:$P,15,0)</f>
        <v>7.91666666666667</v>
      </c>
      <c r="K521" s="114">
        <f t="shared" si="25"/>
        <v>190</v>
      </c>
      <c r="L521" s="114">
        <f>IFERROR(VLOOKUP(B521,上月数量需更新!A:C,3,0),0)</f>
        <v>0</v>
      </c>
      <c r="M521" s="121">
        <f t="shared" si="26"/>
        <v>190</v>
      </c>
      <c r="P521" t="str">
        <f>VLOOKUP(B521,物料分类!B:F,5,0)</f>
        <v>成本-锅底类</v>
      </c>
    </row>
    <row r="522" hidden="1" spans="1:16">
      <c r="A522">
        <v>521</v>
      </c>
      <c r="B522">
        <v>1500816</v>
      </c>
      <c r="C522" t="s">
        <v>604</v>
      </c>
      <c r="D522">
        <v>58.98</v>
      </c>
      <c r="E522">
        <v>0</v>
      </c>
      <c r="F522" t="s">
        <v>36</v>
      </c>
      <c r="G522" t="s">
        <v>37</v>
      </c>
      <c r="H522" t="s">
        <v>38</v>
      </c>
      <c r="I522" s="73">
        <f t="shared" si="24"/>
        <v>58.98</v>
      </c>
      <c r="J522" s="114">
        <f>VLOOKUP(B522,本月系统单价mb5b!$B:$P,15,0)</f>
        <v>0.949983045100034</v>
      </c>
      <c r="K522" s="114">
        <f t="shared" si="25"/>
        <v>56.03</v>
      </c>
      <c r="L522" s="114">
        <f>IFERROR(VLOOKUP(B522,上月数量需更新!A:C,3,0),0)</f>
        <v>24.61</v>
      </c>
      <c r="M522" s="121">
        <f t="shared" si="26"/>
        <v>31.42</v>
      </c>
      <c r="P522" t="str">
        <f>VLOOKUP(B522,物料分类!B:F,5,0)</f>
        <v>成本-小料台类</v>
      </c>
    </row>
    <row r="523" hidden="1" spans="1:16">
      <c r="A523">
        <v>522</v>
      </c>
      <c r="B523">
        <v>1500802</v>
      </c>
      <c r="C523" t="s">
        <v>605</v>
      </c>
      <c r="D523">
        <v>1060</v>
      </c>
      <c r="E523">
        <v>600</v>
      </c>
      <c r="F523" t="s">
        <v>29</v>
      </c>
      <c r="G523" t="s">
        <v>30</v>
      </c>
      <c r="H523" t="s">
        <v>29</v>
      </c>
      <c r="I523" s="73">
        <f t="shared" si="24"/>
        <v>460</v>
      </c>
      <c r="J523" s="114">
        <f>VLOOKUP(B523,本月系统单价mb5b!$B:$P,15,0)</f>
        <v>0.602556603773585</v>
      </c>
      <c r="K523" s="114">
        <f t="shared" si="25"/>
        <v>277.176037735849</v>
      </c>
      <c r="L523" s="114">
        <f>IFERROR(VLOOKUP(B523,上月数量需更新!A:C,3,0),0)</f>
        <v>657.84</v>
      </c>
      <c r="M523" s="121">
        <f t="shared" si="26"/>
        <v>-380.663962264151</v>
      </c>
      <c r="P523" t="str">
        <f>VLOOKUP(B523,物料分类!B:F,5,0)</f>
        <v>成本-素菜类</v>
      </c>
    </row>
    <row r="524" hidden="1" spans="1:16">
      <c r="A524">
        <v>523</v>
      </c>
      <c r="B524">
        <v>4515863</v>
      </c>
      <c r="C524" t="s">
        <v>606</v>
      </c>
      <c r="D524">
        <v>18</v>
      </c>
      <c r="E524">
        <v>10.75</v>
      </c>
      <c r="F524" t="s">
        <v>44</v>
      </c>
      <c r="G524" t="s">
        <v>45</v>
      </c>
      <c r="H524" t="s">
        <v>46</v>
      </c>
      <c r="I524" s="73">
        <f t="shared" si="24"/>
        <v>7.25</v>
      </c>
      <c r="J524" s="114">
        <f>VLOOKUP(B524,本月系统单价mb5b!$B:$P,15,0)</f>
        <v>58.4511111111111</v>
      </c>
      <c r="K524" s="114">
        <f t="shared" si="25"/>
        <v>423.770555555556</v>
      </c>
      <c r="L524" s="114">
        <f>IFERROR(VLOOKUP(B524,上月数量需更新!A:C,3,0),0)</f>
        <v>159.34</v>
      </c>
      <c r="M524" s="121">
        <f t="shared" si="26"/>
        <v>264.430555555556</v>
      </c>
      <c r="P524" t="str">
        <f>VLOOKUP(B524,物料分类!B:F,5,0)</f>
        <v>成本-锅底类</v>
      </c>
    </row>
    <row r="525" hidden="1" spans="1:16">
      <c r="A525">
        <v>524</v>
      </c>
      <c r="B525">
        <v>4502187</v>
      </c>
      <c r="C525" t="s">
        <v>607</v>
      </c>
      <c r="D525">
        <v>3086.95</v>
      </c>
      <c r="E525">
        <v>0</v>
      </c>
      <c r="F525" t="s">
        <v>36</v>
      </c>
      <c r="G525" t="s">
        <v>37</v>
      </c>
      <c r="H525" t="s">
        <v>38</v>
      </c>
      <c r="I525" s="73">
        <f t="shared" si="24"/>
        <v>3086.95</v>
      </c>
      <c r="J525" s="114">
        <f>VLOOKUP(B525,本月系统单价mb5b!$B:$P,15,0)</f>
        <v>6.98999983802783</v>
      </c>
      <c r="K525" s="114">
        <f t="shared" si="25"/>
        <v>21577.78</v>
      </c>
      <c r="L525" s="114">
        <f>IFERROR(VLOOKUP(B525,上月数量需更新!A:C,3,0),0)</f>
        <v>14714.49</v>
      </c>
      <c r="M525" s="121">
        <f t="shared" si="26"/>
        <v>6863.29</v>
      </c>
      <c r="P525" t="str">
        <f>VLOOKUP(B525,物料分类!B:F,5,0)</f>
        <v>成本-荤菜类</v>
      </c>
    </row>
    <row r="526" hidden="1" spans="1:16">
      <c r="A526">
        <v>525</v>
      </c>
      <c r="B526">
        <v>1501635</v>
      </c>
      <c r="C526" t="s">
        <v>608</v>
      </c>
      <c r="D526">
        <v>484.46</v>
      </c>
      <c r="E526">
        <v>55.13</v>
      </c>
      <c r="F526" t="s">
        <v>17</v>
      </c>
      <c r="G526" t="s">
        <v>18</v>
      </c>
      <c r="H526" t="s">
        <v>17</v>
      </c>
      <c r="I526" s="73">
        <f t="shared" si="24"/>
        <v>429.33</v>
      </c>
      <c r="J526" s="114">
        <f>VLOOKUP(B526,本月系统单价mb5b!$B:$P,15,0)</f>
        <v>12.990009495108</v>
      </c>
      <c r="K526" s="114">
        <f t="shared" si="25"/>
        <v>5577.0007765347</v>
      </c>
      <c r="L526" s="114">
        <f>IFERROR(VLOOKUP(B526,上月数量需更新!A:C,3,0),0)</f>
        <v>5263.57</v>
      </c>
      <c r="M526" s="121">
        <f t="shared" si="26"/>
        <v>313.430776534699</v>
      </c>
      <c r="P526" t="str">
        <f>VLOOKUP(B526,物料分类!B:F,5,0)</f>
        <v>成本-荤菜类</v>
      </c>
    </row>
    <row r="527" hidden="1" spans="1:16">
      <c r="A527">
        <v>526</v>
      </c>
      <c r="B527">
        <v>1500847</v>
      </c>
      <c r="C527" t="s">
        <v>609</v>
      </c>
      <c r="D527">
        <v>3</v>
      </c>
      <c r="E527">
        <v>2</v>
      </c>
      <c r="F527" t="s">
        <v>36</v>
      </c>
      <c r="G527" t="s">
        <v>37</v>
      </c>
      <c r="H527" t="s">
        <v>38</v>
      </c>
      <c r="I527" s="73">
        <f t="shared" si="24"/>
        <v>1</v>
      </c>
      <c r="J527" s="114">
        <f>VLOOKUP(B527,本月系统单价mb5b!$B:$P,15,0)</f>
        <v>9.6</v>
      </c>
      <c r="K527" s="114">
        <f t="shared" si="25"/>
        <v>9.6</v>
      </c>
      <c r="L527" s="114">
        <f>IFERROR(VLOOKUP(B527,上月数量需更新!A:C,3,0),0)</f>
        <v>9.6</v>
      </c>
      <c r="M527" s="121">
        <f t="shared" si="26"/>
        <v>0</v>
      </c>
      <c r="P527" t="str">
        <f>VLOOKUP(B527,物料分类!B:F,5,0)</f>
        <v>成本-小料台类</v>
      </c>
    </row>
    <row r="528" hidden="1" spans="1:16">
      <c r="A528">
        <v>427</v>
      </c>
      <c r="B528">
        <v>8012354</v>
      </c>
      <c r="C528" t="s">
        <v>610</v>
      </c>
      <c r="D528">
        <v>2000</v>
      </c>
      <c r="E528">
        <v>2000</v>
      </c>
      <c r="F528" t="s">
        <v>40</v>
      </c>
      <c r="G528" t="s">
        <v>41</v>
      </c>
      <c r="H528" t="s">
        <v>40</v>
      </c>
      <c r="I528" s="73">
        <f t="shared" si="24"/>
        <v>0</v>
      </c>
      <c r="J528" s="114">
        <f>VLOOKUP(B528,本月系统单价mb5b!$B:$P,15,0)</f>
        <v>0.03611</v>
      </c>
      <c r="K528" s="114">
        <f t="shared" si="25"/>
        <v>0</v>
      </c>
      <c r="L528" s="114">
        <f>IFERROR(VLOOKUP(B528,上月数量需更新!A:C,3,0),0)</f>
        <v>1733.16</v>
      </c>
      <c r="M528" s="121">
        <f t="shared" si="26"/>
        <v>-1733.16</v>
      </c>
      <c r="P528" t="str">
        <f>VLOOKUP(B528,物料分类!B:F,5,0)</f>
        <v>物料消耗</v>
      </c>
    </row>
    <row r="529" hidden="1" spans="1:16">
      <c r="A529">
        <v>436</v>
      </c>
      <c r="B529">
        <v>8703110</v>
      </c>
      <c r="C529" t="s">
        <v>611</v>
      </c>
      <c r="D529">
        <v>5</v>
      </c>
      <c r="E529">
        <v>5</v>
      </c>
      <c r="F529" t="s">
        <v>20</v>
      </c>
      <c r="G529" t="s">
        <v>21</v>
      </c>
      <c r="H529" t="s">
        <v>20</v>
      </c>
      <c r="I529" s="73">
        <f t="shared" si="24"/>
        <v>0</v>
      </c>
      <c r="J529" s="114">
        <f>VLOOKUP(B529,本月系统单价mb5b!$B:$P,15,0)</f>
        <v>3</v>
      </c>
      <c r="K529" s="114">
        <f t="shared" si="25"/>
        <v>0</v>
      </c>
      <c r="L529" s="114">
        <f>IFERROR(VLOOKUP(B529,上月数量需更新!A:C,3,0),0)</f>
        <v>0</v>
      </c>
      <c r="M529" s="121">
        <f t="shared" si="26"/>
        <v>0</v>
      </c>
      <c r="P529" t="str">
        <f>VLOOKUP(B529,物料分类!B:F,5,0)</f>
        <v>物料消耗</v>
      </c>
    </row>
    <row r="530" hidden="1" spans="1:16">
      <c r="A530">
        <v>461</v>
      </c>
      <c r="B530">
        <v>4005966</v>
      </c>
      <c r="C530" t="s">
        <v>612</v>
      </c>
      <c r="D530">
        <v>80</v>
      </c>
      <c r="E530">
        <v>80</v>
      </c>
      <c r="F530" t="s">
        <v>20</v>
      </c>
      <c r="G530" t="s">
        <v>21</v>
      </c>
      <c r="H530" t="s">
        <v>20</v>
      </c>
      <c r="I530" s="73">
        <f t="shared" si="24"/>
        <v>0</v>
      </c>
      <c r="J530" s="114">
        <f>VLOOKUP(B530,本月系统单价mb5b!$B:$P,15,0)</f>
        <v>1.0365</v>
      </c>
      <c r="K530" s="114">
        <f t="shared" si="25"/>
        <v>0</v>
      </c>
      <c r="L530" s="114">
        <f>IFERROR(VLOOKUP(B530,上月数量需更新!A:C,3,0),0)</f>
        <v>0</v>
      </c>
      <c r="M530" s="121">
        <f t="shared" si="26"/>
        <v>0</v>
      </c>
      <c r="P530" t="str">
        <f>VLOOKUP(B530,物料分类!B:F,5,0)</f>
        <v>物料消耗</v>
      </c>
    </row>
    <row r="531" hidden="1" spans="1:16">
      <c r="A531">
        <v>530</v>
      </c>
      <c r="B531">
        <v>4018965</v>
      </c>
      <c r="C531" t="s">
        <v>613</v>
      </c>
      <c r="D531">
        <v>96</v>
      </c>
      <c r="E531">
        <v>22</v>
      </c>
      <c r="F531" t="s">
        <v>73</v>
      </c>
      <c r="G531" t="s">
        <v>74</v>
      </c>
      <c r="H531" t="s">
        <v>73</v>
      </c>
      <c r="I531" s="73">
        <f t="shared" ref="I514:I534" si="27">D531-E531</f>
        <v>74</v>
      </c>
      <c r="J531" s="114">
        <f>VLOOKUP(B531,本月系统单价mb5b!$B:$P,15,0)</f>
        <v>10.4998958333333</v>
      </c>
      <c r="K531" s="114">
        <f t="shared" ref="K518:K534" si="28">I531*J531</f>
        <v>776.992291666667</v>
      </c>
      <c r="L531" s="114">
        <f>IFERROR(VLOOKUP(B531,上月数量需更新!A:C,3,0),0)</f>
        <v>986.97</v>
      </c>
      <c r="M531" s="121">
        <f t="shared" ref="M518:M534" si="29">K531-L531</f>
        <v>-209.977708333333</v>
      </c>
      <c r="P531" t="str">
        <f>VLOOKUP(B531,物料分类!B:F,5,0)</f>
        <v>成本-荤菜类</v>
      </c>
    </row>
    <row r="532" hidden="1" spans="1:16">
      <c r="A532">
        <v>531</v>
      </c>
      <c r="B532">
        <v>4512888</v>
      </c>
      <c r="C532" t="s">
        <v>614</v>
      </c>
      <c r="D532">
        <v>122.5</v>
      </c>
      <c r="E532">
        <v>15</v>
      </c>
      <c r="F532" t="s">
        <v>73</v>
      </c>
      <c r="G532" t="s">
        <v>74</v>
      </c>
      <c r="H532" t="s">
        <v>73</v>
      </c>
      <c r="I532" s="73">
        <f t="shared" si="27"/>
        <v>107.5</v>
      </c>
      <c r="J532" s="114">
        <f>VLOOKUP(B532,本月系统单价mb5b!$B:$P,15,0)</f>
        <v>4.8</v>
      </c>
      <c r="K532" s="114">
        <f t="shared" si="28"/>
        <v>516</v>
      </c>
      <c r="L532" s="114">
        <f>IFERROR(VLOOKUP(B532,上月数量需更新!A:C,3,0),0)</f>
        <v>317.76</v>
      </c>
      <c r="M532" s="121">
        <f t="shared" si="29"/>
        <v>198.24</v>
      </c>
      <c r="P532" t="str">
        <f>VLOOKUP(B532,物料分类!B:F,5,0)</f>
        <v>成本-素菜类</v>
      </c>
    </row>
    <row r="533" hidden="1" spans="1:16">
      <c r="A533">
        <v>532</v>
      </c>
      <c r="B533">
        <v>4520920</v>
      </c>
      <c r="C533" t="s">
        <v>615</v>
      </c>
      <c r="D533">
        <v>5.6</v>
      </c>
      <c r="E533">
        <v>3.3</v>
      </c>
      <c r="F533" t="s">
        <v>32</v>
      </c>
      <c r="G533" t="s">
        <v>33</v>
      </c>
      <c r="H533" t="s">
        <v>32</v>
      </c>
      <c r="I533" s="73">
        <f t="shared" si="27"/>
        <v>2.3</v>
      </c>
      <c r="J533" s="114">
        <f>VLOOKUP(B533,本月系统单价mb5b!$B:$P,15,0)</f>
        <v>27.3035714285714</v>
      </c>
      <c r="K533" s="114">
        <f t="shared" si="28"/>
        <v>62.7982142857143</v>
      </c>
      <c r="L533" s="114">
        <f>IFERROR(VLOOKUP(B533,上月数量需更新!A:C,3,0),0)</f>
        <v>120.14</v>
      </c>
      <c r="M533" s="121">
        <f t="shared" si="29"/>
        <v>-57.3417857142857</v>
      </c>
      <c r="P533" t="str">
        <f>VLOOKUP(B533,物料分类!B:F,5,0)</f>
        <v>成本-酒水类</v>
      </c>
    </row>
    <row r="534" hidden="1" spans="1:16">
      <c r="A534">
        <v>533</v>
      </c>
      <c r="B534">
        <v>4503595</v>
      </c>
      <c r="C534" t="s">
        <v>616</v>
      </c>
      <c r="D534">
        <v>9.62</v>
      </c>
      <c r="E534">
        <v>2.508</v>
      </c>
      <c r="F534" t="s">
        <v>36</v>
      </c>
      <c r="G534" t="s">
        <v>37</v>
      </c>
      <c r="H534" t="s">
        <v>38</v>
      </c>
      <c r="I534" s="73">
        <f t="shared" si="27"/>
        <v>7.112</v>
      </c>
      <c r="J534" s="114">
        <f>VLOOKUP(B534,本月系统单价mb5b!$B:$P,15,0)</f>
        <v>26.5914760914761</v>
      </c>
      <c r="K534" s="114">
        <f t="shared" si="28"/>
        <v>189.118577962578</v>
      </c>
      <c r="L534" s="114">
        <f>IFERROR(VLOOKUP(B534,上月数量需更新!A:C,3,0),0)</f>
        <v>288.13</v>
      </c>
      <c r="M534" s="121">
        <f t="shared" si="29"/>
        <v>-99.0114220374221</v>
      </c>
      <c r="P534" t="str">
        <f>VLOOKUP(B534,物料分类!B:F,5,0)</f>
        <v>成本-荤菜类</v>
      </c>
    </row>
  </sheetData>
  <autoFilter xmlns:etc="http://www.wps.cn/officeDocument/2017/etCustomData" ref="A1:P534" etc:filterBottomFollowUsedRange="0">
    <filterColumn colId="13">
      <customFilters>
        <customFilter operator="notEqual" val=""/>
      </customFilters>
    </filterColumn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3:C483"/>
  <sheetViews>
    <sheetView topLeftCell="A56" workbookViewId="0">
      <selection activeCell="B5" sqref="B5"/>
    </sheetView>
  </sheetViews>
  <sheetFormatPr defaultColWidth="11" defaultRowHeight="15.75" outlineLevelCol="2"/>
  <cols>
    <col min="1" max="1" width="9" customWidth="1"/>
    <col min="2" max="2" width="14.1666666666667" customWidth="1"/>
    <col min="3" max="3" width="22" customWidth="1"/>
    <col min="4" max="4" width="21.3333333333333"/>
  </cols>
  <sheetData>
    <row r="3" spans="2:2">
      <c r="B3" t="s">
        <v>617</v>
      </c>
    </row>
    <row r="4" spans="1:3">
      <c r="A4" t="s">
        <v>618</v>
      </c>
      <c r="B4" t="s">
        <v>619</v>
      </c>
      <c r="C4" t="s">
        <v>620</v>
      </c>
    </row>
    <row r="5" spans="1:3">
      <c r="A5">
        <v>1000049</v>
      </c>
      <c r="B5">
        <v>2.3469387755102</v>
      </c>
      <c r="C5">
        <v>483</v>
      </c>
    </row>
    <row r="6" spans="1:3">
      <c r="A6">
        <v>1000096</v>
      </c>
      <c r="B6">
        <v>7.24689440993789</v>
      </c>
      <c r="C6">
        <v>46.67</v>
      </c>
    </row>
    <row r="7" spans="1:3">
      <c r="A7">
        <v>1000132</v>
      </c>
      <c r="B7">
        <v>8.5</v>
      </c>
      <c r="C7">
        <v>994.5</v>
      </c>
    </row>
    <row r="8" spans="1:3">
      <c r="A8">
        <v>1004576</v>
      </c>
      <c r="B8">
        <v>0.118725865880619</v>
      </c>
      <c r="C8">
        <v>1611.11</v>
      </c>
    </row>
    <row r="9" spans="1:3">
      <c r="A9">
        <v>1500009</v>
      </c>
      <c r="B9">
        <v>3.125</v>
      </c>
      <c r="C9">
        <v>288.75</v>
      </c>
    </row>
    <row r="10" spans="1:3">
      <c r="A10">
        <v>1500059</v>
      </c>
      <c r="B10">
        <v>4.16609090909091</v>
      </c>
      <c r="C10">
        <v>458.27</v>
      </c>
    </row>
    <row r="11" spans="1:3">
      <c r="A11">
        <v>1500612</v>
      </c>
      <c r="B11">
        <v>17.5</v>
      </c>
      <c r="C11">
        <v>105</v>
      </c>
    </row>
    <row r="12" spans="1:3">
      <c r="A12">
        <v>1500677</v>
      </c>
      <c r="B12">
        <v>4.61044074156575</v>
      </c>
      <c r="C12">
        <v>25458.07</v>
      </c>
    </row>
    <row r="13" spans="1:3">
      <c r="A13">
        <v>1500678</v>
      </c>
      <c r="B13">
        <v>6.25001823974319</v>
      </c>
      <c r="C13">
        <v>5139.89</v>
      </c>
    </row>
    <row r="14" spans="1:3">
      <c r="A14">
        <v>1500679</v>
      </c>
      <c r="B14">
        <v>6.37865532904373</v>
      </c>
      <c r="C14">
        <v>11192.18</v>
      </c>
    </row>
    <row r="15" spans="1:3">
      <c r="A15">
        <v>1500680</v>
      </c>
      <c r="B15">
        <v>3.78848285158005</v>
      </c>
      <c r="C15">
        <v>2529.57</v>
      </c>
    </row>
    <row r="16" spans="1:3">
      <c r="A16">
        <v>1500681</v>
      </c>
      <c r="B16">
        <v>4.20431219362745</v>
      </c>
      <c r="C16">
        <v>2195.66</v>
      </c>
    </row>
    <row r="17" spans="1:3">
      <c r="A17">
        <v>1500682</v>
      </c>
      <c r="B17">
        <v>3.01644701012962</v>
      </c>
      <c r="C17">
        <v>276.94</v>
      </c>
    </row>
    <row r="18" spans="1:3">
      <c r="A18">
        <v>1500684</v>
      </c>
      <c r="B18">
        <v>6.8</v>
      </c>
      <c r="C18">
        <v>1049.24</v>
      </c>
    </row>
    <row r="19" spans="1:3">
      <c r="A19">
        <v>1500685</v>
      </c>
      <c r="B19">
        <v>6.98997849462366</v>
      </c>
      <c r="C19">
        <v>1625.17</v>
      </c>
    </row>
    <row r="20" spans="1:3">
      <c r="A20">
        <v>1500686</v>
      </c>
      <c r="B20">
        <v>14.9900214641275</v>
      </c>
      <c r="C20">
        <v>6564.73</v>
      </c>
    </row>
    <row r="21" spans="1:3">
      <c r="A21">
        <v>1500687</v>
      </c>
      <c r="B21">
        <v>1.08301753022627</v>
      </c>
      <c r="C21">
        <v>1716.99</v>
      </c>
    </row>
    <row r="22" spans="1:3">
      <c r="A22">
        <v>1500694</v>
      </c>
      <c r="B22">
        <v>2.69</v>
      </c>
      <c r="C22">
        <v>330.87</v>
      </c>
    </row>
    <row r="23" spans="1:3">
      <c r="A23">
        <v>1500695</v>
      </c>
      <c r="B23">
        <v>5.20833333333333</v>
      </c>
      <c r="C23">
        <v>625</v>
      </c>
    </row>
    <row r="24" spans="1:3">
      <c r="A24">
        <v>1500700</v>
      </c>
      <c r="B24">
        <v>3.65001273813231</v>
      </c>
      <c r="C24">
        <v>1289.44</v>
      </c>
    </row>
    <row r="25" spans="1:3">
      <c r="A25">
        <v>1500703</v>
      </c>
      <c r="B25">
        <v>4.33334302325581</v>
      </c>
      <c r="C25">
        <v>1490.67</v>
      </c>
    </row>
    <row r="26" spans="1:3">
      <c r="A26">
        <v>1500704</v>
      </c>
      <c r="B26">
        <v>4.08825892857143</v>
      </c>
      <c r="C26">
        <v>915.77</v>
      </c>
    </row>
    <row r="27" spans="1:3">
      <c r="A27">
        <v>1500710</v>
      </c>
      <c r="B27">
        <v>15.2284210526316</v>
      </c>
      <c r="C27">
        <v>289.34</v>
      </c>
    </row>
    <row r="28" spans="1:3">
      <c r="A28">
        <v>1500725</v>
      </c>
      <c r="B28">
        <v>9</v>
      </c>
      <c r="C28">
        <v>1215</v>
      </c>
    </row>
    <row r="29" spans="1:3">
      <c r="A29">
        <v>1500730</v>
      </c>
      <c r="B29">
        <v>8</v>
      </c>
      <c r="C29">
        <v>1020</v>
      </c>
    </row>
    <row r="30" spans="1:3">
      <c r="A30">
        <v>1500732</v>
      </c>
      <c r="B30">
        <v>2.85328947368421</v>
      </c>
      <c r="C30">
        <v>216.85</v>
      </c>
    </row>
    <row r="31" spans="1:3">
      <c r="A31">
        <v>1500734</v>
      </c>
      <c r="B31">
        <v>9.80000893415527</v>
      </c>
      <c r="C31">
        <v>2193.83</v>
      </c>
    </row>
    <row r="32" spans="1:3">
      <c r="A32">
        <v>1500736</v>
      </c>
      <c r="B32">
        <v>2.29328888888889</v>
      </c>
      <c r="C32">
        <v>515.99</v>
      </c>
    </row>
    <row r="33" spans="1:3">
      <c r="A33">
        <v>1500737</v>
      </c>
      <c r="B33">
        <v>6.125</v>
      </c>
      <c r="C33">
        <v>343</v>
      </c>
    </row>
    <row r="34" spans="1:3">
      <c r="A34">
        <v>1500738</v>
      </c>
      <c r="B34">
        <v>10</v>
      </c>
      <c r="C34">
        <v>670</v>
      </c>
    </row>
    <row r="35" spans="1:3">
      <c r="A35">
        <v>1500743</v>
      </c>
      <c r="B35">
        <v>1.86206666666667</v>
      </c>
      <c r="C35">
        <v>279.31</v>
      </c>
    </row>
    <row r="36" spans="1:3">
      <c r="A36">
        <v>1500745</v>
      </c>
      <c r="B36">
        <v>1.16425314465409</v>
      </c>
      <c r="C36">
        <v>1480.93</v>
      </c>
    </row>
    <row r="37" spans="1:3">
      <c r="A37">
        <v>1500749</v>
      </c>
      <c r="B37">
        <v>8.40646153846154</v>
      </c>
      <c r="C37">
        <v>546.42</v>
      </c>
    </row>
    <row r="38" spans="1:3">
      <c r="A38">
        <v>1500752</v>
      </c>
      <c r="B38">
        <v>2.08857142857143</v>
      </c>
      <c r="C38">
        <v>701.76</v>
      </c>
    </row>
    <row r="39" spans="1:3">
      <c r="A39">
        <v>1500754</v>
      </c>
      <c r="B39">
        <v>0.418319672131148</v>
      </c>
      <c r="C39">
        <v>1224.84</v>
      </c>
    </row>
    <row r="40" spans="1:3">
      <c r="A40">
        <v>1500755</v>
      </c>
      <c r="B40">
        <v>47.2223853211009</v>
      </c>
      <c r="C40">
        <v>2573.62</v>
      </c>
    </row>
    <row r="41" spans="1:3">
      <c r="A41">
        <v>1500758</v>
      </c>
      <c r="B41">
        <v>1.90323333333333</v>
      </c>
      <c r="C41">
        <v>1141.94</v>
      </c>
    </row>
    <row r="42" spans="1:3">
      <c r="A42">
        <v>1500764</v>
      </c>
      <c r="B42">
        <v>1.15825320512821</v>
      </c>
      <c r="C42">
        <v>1445.5</v>
      </c>
    </row>
    <row r="43" spans="1:3">
      <c r="A43">
        <v>1500765</v>
      </c>
      <c r="B43">
        <v>77.4783505154639</v>
      </c>
      <c r="C43">
        <v>751.54</v>
      </c>
    </row>
    <row r="44" spans="1:3">
      <c r="A44">
        <v>1500766</v>
      </c>
      <c r="B44">
        <v>0.995833333333333</v>
      </c>
      <c r="C44">
        <v>239</v>
      </c>
    </row>
    <row r="45" spans="1:3">
      <c r="A45">
        <v>1500768</v>
      </c>
      <c r="B45">
        <v>0.650181818181818</v>
      </c>
      <c r="C45">
        <v>17.88</v>
      </c>
    </row>
    <row r="46" spans="1:3">
      <c r="A46">
        <v>1500769</v>
      </c>
      <c r="B46">
        <v>0.267151515151515</v>
      </c>
      <c r="C46">
        <v>88.16</v>
      </c>
    </row>
    <row r="47" spans="1:3">
      <c r="A47">
        <v>1500770</v>
      </c>
      <c r="B47">
        <v>1.20416666666667</v>
      </c>
      <c r="C47">
        <v>216.75</v>
      </c>
    </row>
    <row r="48" spans="1:3">
      <c r="A48">
        <v>1500771</v>
      </c>
      <c r="B48">
        <v>0.600689655172414</v>
      </c>
      <c r="C48">
        <v>87.1</v>
      </c>
    </row>
    <row r="49" spans="1:3">
      <c r="A49">
        <v>1500772</v>
      </c>
      <c r="B49">
        <v>1.80151851851852</v>
      </c>
      <c r="C49">
        <v>972.82</v>
      </c>
    </row>
    <row r="50" spans="1:3">
      <c r="A50">
        <v>1500774</v>
      </c>
      <c r="B50">
        <v>7.60427807486631</v>
      </c>
      <c r="C50">
        <v>1422</v>
      </c>
    </row>
    <row r="51" spans="1:3">
      <c r="A51">
        <v>1500775</v>
      </c>
      <c r="B51">
        <v>1.78953571428571</v>
      </c>
      <c r="C51">
        <v>501.07</v>
      </c>
    </row>
    <row r="52" spans="1:3">
      <c r="A52">
        <v>1500776</v>
      </c>
      <c r="B52">
        <v>1.41557788944724</v>
      </c>
      <c r="C52">
        <v>2591.64</v>
      </c>
    </row>
    <row r="53" spans="1:3">
      <c r="A53">
        <v>1500778</v>
      </c>
      <c r="B53">
        <v>32.4686567164179</v>
      </c>
      <c r="C53">
        <v>217.54</v>
      </c>
    </row>
    <row r="54" spans="1:3">
      <c r="A54">
        <v>1500780</v>
      </c>
      <c r="B54">
        <v>1.05001388888889</v>
      </c>
      <c r="C54">
        <v>1512.02</v>
      </c>
    </row>
    <row r="55" spans="1:3">
      <c r="A55">
        <v>1500781</v>
      </c>
      <c r="B55">
        <v>11.9007291666667</v>
      </c>
      <c r="C55">
        <v>2284.94</v>
      </c>
    </row>
    <row r="56" spans="1:3">
      <c r="A56">
        <v>1500785</v>
      </c>
      <c r="B56">
        <v>6.40872727272727</v>
      </c>
      <c r="C56">
        <v>352.48</v>
      </c>
    </row>
    <row r="57" spans="1:3">
      <c r="A57">
        <v>1500788</v>
      </c>
      <c r="B57">
        <v>32</v>
      </c>
      <c r="C57">
        <v>32</v>
      </c>
    </row>
    <row r="58" spans="1:3">
      <c r="A58">
        <v>1500802</v>
      </c>
      <c r="B58">
        <v>0.603522935779817</v>
      </c>
      <c r="C58">
        <v>657.84</v>
      </c>
    </row>
    <row r="59" spans="1:3">
      <c r="A59">
        <v>1500810</v>
      </c>
      <c r="B59">
        <v>0.533333333333333</v>
      </c>
      <c r="C59">
        <v>2880</v>
      </c>
    </row>
    <row r="60" spans="1:3">
      <c r="A60">
        <v>1500811</v>
      </c>
      <c r="B60">
        <v>0.527083333333333</v>
      </c>
      <c r="C60">
        <v>2618.55</v>
      </c>
    </row>
    <row r="61" spans="1:3">
      <c r="A61">
        <v>1500812</v>
      </c>
      <c r="B61">
        <v>11.2937288135593</v>
      </c>
      <c r="C61">
        <v>666.33</v>
      </c>
    </row>
    <row r="62" spans="1:3">
      <c r="A62">
        <v>1500815</v>
      </c>
      <c r="B62">
        <v>1.5175</v>
      </c>
      <c r="C62">
        <v>151.75</v>
      </c>
    </row>
    <row r="63" spans="1:3">
      <c r="A63">
        <v>1500816</v>
      </c>
      <c r="B63">
        <v>0.949826321883443</v>
      </c>
      <c r="C63">
        <v>24.61</v>
      </c>
    </row>
    <row r="64" spans="1:3">
      <c r="A64">
        <v>1500818</v>
      </c>
      <c r="B64">
        <v>1.50209090909091</v>
      </c>
      <c r="C64">
        <v>165.23</v>
      </c>
    </row>
    <row r="65" spans="1:3">
      <c r="A65">
        <v>1500820</v>
      </c>
      <c r="B65">
        <v>1.35416666666667</v>
      </c>
      <c r="C65">
        <v>260</v>
      </c>
    </row>
    <row r="66" spans="1:3">
      <c r="A66">
        <v>1500821</v>
      </c>
      <c r="B66">
        <v>1.625</v>
      </c>
      <c r="C66">
        <v>351</v>
      </c>
    </row>
    <row r="67" spans="1:3">
      <c r="A67">
        <v>1500822</v>
      </c>
      <c r="B67">
        <v>2.0625</v>
      </c>
      <c r="C67">
        <v>2904</v>
      </c>
    </row>
    <row r="68" spans="1:3">
      <c r="A68">
        <v>1500825</v>
      </c>
      <c r="B68">
        <v>7.5</v>
      </c>
      <c r="C68">
        <v>30</v>
      </c>
    </row>
    <row r="69" spans="1:3">
      <c r="A69">
        <v>1500826</v>
      </c>
      <c r="B69">
        <v>10.7535714285714</v>
      </c>
      <c r="C69">
        <v>150.55</v>
      </c>
    </row>
    <row r="70" spans="1:3">
      <c r="A70">
        <v>1500827</v>
      </c>
      <c r="B70">
        <v>6.5</v>
      </c>
      <c r="C70">
        <v>97.5</v>
      </c>
    </row>
    <row r="71" spans="1:3">
      <c r="A71">
        <v>1500828</v>
      </c>
      <c r="B71">
        <v>4</v>
      </c>
      <c r="C71">
        <v>380</v>
      </c>
    </row>
    <row r="72" spans="1:3">
      <c r="A72">
        <v>1500840</v>
      </c>
      <c r="B72">
        <v>9.5</v>
      </c>
      <c r="C72">
        <v>66.5</v>
      </c>
    </row>
    <row r="73" spans="1:3">
      <c r="A73">
        <v>1500842</v>
      </c>
      <c r="B73">
        <v>5.45</v>
      </c>
      <c r="C73">
        <v>114.45</v>
      </c>
    </row>
    <row r="74" spans="1:3">
      <c r="A74">
        <v>1500843</v>
      </c>
      <c r="B74">
        <v>12.5</v>
      </c>
      <c r="C74">
        <v>100</v>
      </c>
    </row>
    <row r="75" spans="1:3">
      <c r="A75">
        <v>1500849</v>
      </c>
      <c r="B75">
        <v>4.3</v>
      </c>
      <c r="C75">
        <v>150.5</v>
      </c>
    </row>
    <row r="76" spans="1:3">
      <c r="A76">
        <v>1500860</v>
      </c>
      <c r="B76">
        <v>3.04166666666667</v>
      </c>
      <c r="C76">
        <v>1533</v>
      </c>
    </row>
    <row r="77" spans="1:3">
      <c r="A77">
        <v>1500861</v>
      </c>
      <c r="B77">
        <v>3.5</v>
      </c>
      <c r="C77">
        <v>2058</v>
      </c>
    </row>
    <row r="78" spans="1:3">
      <c r="A78">
        <v>1500862</v>
      </c>
      <c r="B78">
        <v>3.8</v>
      </c>
      <c r="C78">
        <v>722</v>
      </c>
    </row>
    <row r="79" spans="1:3">
      <c r="A79">
        <v>1500867</v>
      </c>
      <c r="B79">
        <v>2.6</v>
      </c>
      <c r="C79">
        <v>39</v>
      </c>
    </row>
    <row r="80" spans="1:3">
      <c r="A80">
        <v>1500872</v>
      </c>
      <c r="B80">
        <v>3.5</v>
      </c>
      <c r="C80">
        <v>17.5</v>
      </c>
    </row>
    <row r="81" spans="1:3">
      <c r="A81">
        <v>1500873</v>
      </c>
      <c r="B81">
        <v>2.66666666666667</v>
      </c>
      <c r="C81">
        <v>16</v>
      </c>
    </row>
    <row r="82" spans="1:3">
      <c r="A82">
        <v>1500879</v>
      </c>
      <c r="B82">
        <v>1.87588235294118</v>
      </c>
      <c r="C82">
        <v>31.89</v>
      </c>
    </row>
    <row r="83" spans="1:3">
      <c r="A83">
        <v>1500880</v>
      </c>
      <c r="B83">
        <v>2.21137254901961</v>
      </c>
      <c r="C83">
        <v>225.56</v>
      </c>
    </row>
    <row r="84" spans="1:3">
      <c r="A84">
        <v>1500881</v>
      </c>
      <c r="B84">
        <v>3.25</v>
      </c>
      <c r="C84">
        <v>926.25</v>
      </c>
    </row>
    <row r="85" spans="1:3">
      <c r="A85">
        <v>1500882</v>
      </c>
      <c r="B85">
        <v>1.94937708565072</v>
      </c>
      <c r="C85">
        <v>1752.49</v>
      </c>
    </row>
    <row r="86" spans="1:3">
      <c r="A86">
        <v>1500884</v>
      </c>
      <c r="B86">
        <v>5.49769230769231</v>
      </c>
      <c r="C86">
        <v>71.47</v>
      </c>
    </row>
    <row r="87" spans="1:3">
      <c r="A87">
        <v>1500889</v>
      </c>
      <c r="B87">
        <v>15</v>
      </c>
      <c r="C87">
        <v>60</v>
      </c>
    </row>
    <row r="88" spans="1:3">
      <c r="A88">
        <v>1500891</v>
      </c>
      <c r="B88">
        <v>7.7055</v>
      </c>
      <c r="C88">
        <v>924.66</v>
      </c>
    </row>
    <row r="89" spans="1:3">
      <c r="A89">
        <v>1500896</v>
      </c>
      <c r="B89">
        <v>11.3330769230769</v>
      </c>
      <c r="C89">
        <v>147.33</v>
      </c>
    </row>
    <row r="90" spans="1:3">
      <c r="A90">
        <v>1500897</v>
      </c>
      <c r="B90">
        <v>12</v>
      </c>
      <c r="C90">
        <v>960</v>
      </c>
    </row>
    <row r="91" spans="1:3">
      <c r="A91">
        <v>1500902</v>
      </c>
      <c r="B91">
        <v>0.507275405007364</v>
      </c>
      <c r="C91">
        <v>344.44</v>
      </c>
    </row>
    <row r="92" spans="1:3">
      <c r="A92">
        <v>1500903</v>
      </c>
      <c r="B92">
        <v>0.511354642313546</v>
      </c>
      <c r="C92">
        <v>335.96</v>
      </c>
    </row>
    <row r="93" spans="1:3">
      <c r="A93">
        <v>1500911</v>
      </c>
      <c r="B93">
        <v>2.155</v>
      </c>
      <c r="C93">
        <v>249.98</v>
      </c>
    </row>
    <row r="94" spans="1:3">
      <c r="A94">
        <v>1500919</v>
      </c>
      <c r="B94">
        <v>82.12</v>
      </c>
      <c r="C94">
        <v>574.84</v>
      </c>
    </row>
    <row r="95" spans="1:3">
      <c r="A95">
        <v>1500961</v>
      </c>
      <c r="B95">
        <v>9.5</v>
      </c>
      <c r="C95">
        <v>133</v>
      </c>
    </row>
    <row r="96" spans="1:3">
      <c r="A96">
        <v>1500963</v>
      </c>
      <c r="B96">
        <v>0.0395</v>
      </c>
      <c r="C96">
        <v>118.5</v>
      </c>
    </row>
    <row r="97" spans="1:3">
      <c r="A97">
        <v>1500980</v>
      </c>
      <c r="B97">
        <v>17</v>
      </c>
      <c r="C97">
        <v>204</v>
      </c>
    </row>
    <row r="98" spans="1:3">
      <c r="A98">
        <v>1500983</v>
      </c>
      <c r="B98">
        <v>1.46736214605067</v>
      </c>
      <c r="C98">
        <v>49.23</v>
      </c>
    </row>
    <row r="99" spans="1:3">
      <c r="A99">
        <v>1500984</v>
      </c>
      <c r="B99">
        <v>4.36911111111111</v>
      </c>
      <c r="C99">
        <v>196.61</v>
      </c>
    </row>
    <row r="100" spans="1:3">
      <c r="A100">
        <v>1500987</v>
      </c>
      <c r="B100">
        <v>1.94834710743802</v>
      </c>
      <c r="C100">
        <v>943</v>
      </c>
    </row>
    <row r="101" spans="1:3">
      <c r="A101">
        <v>1500996</v>
      </c>
      <c r="B101">
        <v>17.563834620627</v>
      </c>
      <c r="C101">
        <v>1353.03</v>
      </c>
    </row>
    <row r="102" spans="1:3">
      <c r="A102">
        <v>1501000</v>
      </c>
      <c r="B102">
        <v>0.0388</v>
      </c>
      <c r="C102">
        <v>698.4</v>
      </c>
    </row>
    <row r="103" spans="1:3">
      <c r="A103">
        <v>1501001</v>
      </c>
      <c r="B103">
        <v>0.0955555555555556</v>
      </c>
      <c r="C103">
        <v>258</v>
      </c>
    </row>
    <row r="104" spans="1:3">
      <c r="A104">
        <v>1501008</v>
      </c>
      <c r="B104">
        <v>0.01</v>
      </c>
      <c r="C104">
        <v>50</v>
      </c>
    </row>
    <row r="105" spans="1:3">
      <c r="A105">
        <v>1501009</v>
      </c>
      <c r="B105">
        <v>6.75</v>
      </c>
      <c r="C105">
        <v>81</v>
      </c>
    </row>
    <row r="106" spans="1:3">
      <c r="A106">
        <v>1501010</v>
      </c>
      <c r="B106">
        <v>7.5</v>
      </c>
      <c r="C106">
        <v>810</v>
      </c>
    </row>
    <row r="107" spans="1:3">
      <c r="A107">
        <v>1501029</v>
      </c>
      <c r="B107">
        <v>8</v>
      </c>
      <c r="C107">
        <v>240</v>
      </c>
    </row>
    <row r="108" spans="1:3">
      <c r="A108">
        <v>1501045</v>
      </c>
      <c r="B108">
        <v>0.9</v>
      </c>
      <c r="C108">
        <v>72</v>
      </c>
    </row>
    <row r="109" spans="1:3">
      <c r="A109">
        <v>1501055</v>
      </c>
      <c r="B109">
        <v>0.366666666666667</v>
      </c>
      <c r="C109">
        <v>808.5</v>
      </c>
    </row>
    <row r="110" spans="1:3">
      <c r="A110">
        <v>1501154</v>
      </c>
      <c r="B110">
        <v>1.38020833333333</v>
      </c>
      <c r="C110">
        <v>198.75</v>
      </c>
    </row>
    <row r="111" spans="1:3">
      <c r="A111">
        <v>1501178</v>
      </c>
      <c r="B111">
        <v>6.99973214285714</v>
      </c>
      <c r="C111">
        <v>783.97</v>
      </c>
    </row>
    <row r="112" spans="1:3">
      <c r="A112">
        <v>1501190</v>
      </c>
      <c r="B112">
        <v>8.22631578947368</v>
      </c>
      <c r="C112">
        <v>156.3</v>
      </c>
    </row>
    <row r="113" spans="1:3">
      <c r="A113">
        <v>1501192</v>
      </c>
      <c r="B113">
        <v>3.2435</v>
      </c>
      <c r="C113">
        <v>64.87</v>
      </c>
    </row>
    <row r="114" spans="1:3">
      <c r="A114">
        <v>1501279</v>
      </c>
      <c r="B114">
        <v>13.5428947368421</v>
      </c>
      <c r="C114">
        <v>514.63</v>
      </c>
    </row>
    <row r="115" spans="1:3">
      <c r="A115">
        <v>1501610</v>
      </c>
      <c r="B115">
        <v>24.2</v>
      </c>
      <c r="C115">
        <v>1361.25</v>
      </c>
    </row>
    <row r="116" spans="1:3">
      <c r="A116">
        <v>1501618</v>
      </c>
      <c r="B116">
        <v>3.8499504950495</v>
      </c>
      <c r="C116">
        <v>777.69</v>
      </c>
    </row>
    <row r="117" spans="1:3">
      <c r="A117">
        <v>3002745</v>
      </c>
      <c r="B117">
        <v>4.32757657657658</v>
      </c>
      <c r="C117">
        <v>9607.22</v>
      </c>
    </row>
    <row r="118" spans="1:3">
      <c r="A118">
        <v>3002747</v>
      </c>
      <c r="B118">
        <v>11.9951515151515</v>
      </c>
      <c r="C118">
        <v>2177.12</v>
      </c>
    </row>
    <row r="119" spans="1:3">
      <c r="A119">
        <v>3003393</v>
      </c>
      <c r="B119">
        <v>8.46956228956229</v>
      </c>
      <c r="C119">
        <v>6288.65</v>
      </c>
    </row>
    <row r="120" spans="1:3">
      <c r="A120">
        <v>4000635</v>
      </c>
      <c r="B120">
        <v>0.791658767772512</v>
      </c>
      <c r="C120">
        <v>167.04</v>
      </c>
    </row>
    <row r="121" spans="1:3">
      <c r="A121">
        <v>4000642</v>
      </c>
      <c r="B121">
        <v>0.364713541666667</v>
      </c>
      <c r="C121">
        <v>560.2</v>
      </c>
    </row>
    <row r="122" spans="1:3">
      <c r="A122">
        <v>4003066</v>
      </c>
      <c r="B122">
        <v>1.90434782608696</v>
      </c>
      <c r="C122">
        <v>394.2</v>
      </c>
    </row>
    <row r="123" spans="1:3">
      <c r="A123">
        <v>4006187</v>
      </c>
      <c r="B123">
        <v>0.029435</v>
      </c>
      <c r="C123">
        <v>117.74</v>
      </c>
    </row>
    <row r="124" spans="1:3">
      <c r="A124">
        <v>4006188</v>
      </c>
      <c r="B124">
        <v>0.030134</v>
      </c>
      <c r="C124">
        <v>150.67</v>
      </c>
    </row>
    <row r="125" spans="1:3">
      <c r="A125">
        <v>4006189</v>
      </c>
      <c r="B125">
        <v>0.0305</v>
      </c>
      <c r="C125">
        <v>122</v>
      </c>
    </row>
    <row r="126" spans="1:3">
      <c r="A126">
        <v>4017075</v>
      </c>
      <c r="B126">
        <v>0.380533333333333</v>
      </c>
      <c r="C126">
        <v>342.48</v>
      </c>
    </row>
    <row r="127" spans="1:3">
      <c r="A127">
        <v>4019089</v>
      </c>
      <c r="B127">
        <v>1.0207</v>
      </c>
      <c r="C127">
        <v>102.07</v>
      </c>
    </row>
    <row r="128" spans="1:3">
      <c r="A128">
        <v>4500067</v>
      </c>
      <c r="B128">
        <v>97.5975580560211</v>
      </c>
      <c r="C128">
        <v>3261.32</v>
      </c>
    </row>
    <row r="129" spans="1:3">
      <c r="A129">
        <v>4501960</v>
      </c>
      <c r="B129">
        <v>0.369047619047619</v>
      </c>
      <c r="C129">
        <v>620</v>
      </c>
    </row>
    <row r="130" spans="1:3">
      <c r="A130">
        <v>4501989</v>
      </c>
      <c r="B130">
        <v>1.2</v>
      </c>
      <c r="C130">
        <v>36</v>
      </c>
    </row>
    <row r="131" spans="1:3">
      <c r="A131">
        <v>4502226</v>
      </c>
      <c r="B131">
        <v>1.32</v>
      </c>
      <c r="C131">
        <v>72.6</v>
      </c>
    </row>
    <row r="132" spans="1:3">
      <c r="A132">
        <v>4502234</v>
      </c>
      <c r="B132">
        <v>1.30254114230397</v>
      </c>
      <c r="C132">
        <v>2691.05</v>
      </c>
    </row>
    <row r="133" spans="1:3">
      <c r="A133">
        <v>4502287</v>
      </c>
      <c r="B133">
        <v>1.23882424242424</v>
      </c>
      <c r="C133">
        <v>2044.06</v>
      </c>
    </row>
    <row r="134" spans="1:3">
      <c r="A134">
        <v>4502382</v>
      </c>
      <c r="B134">
        <v>0.4325</v>
      </c>
      <c r="C134">
        <v>190.3</v>
      </c>
    </row>
    <row r="135" spans="1:3">
      <c r="A135">
        <v>4502395</v>
      </c>
      <c r="B135">
        <v>5.93099219620959</v>
      </c>
      <c r="C135">
        <v>1064.02</v>
      </c>
    </row>
    <row r="136" spans="1:3">
      <c r="A136">
        <v>4502465</v>
      </c>
      <c r="B136">
        <v>4.82611111111111</v>
      </c>
      <c r="C136">
        <v>86.87</v>
      </c>
    </row>
    <row r="137" spans="1:3">
      <c r="A137">
        <v>4502622</v>
      </c>
      <c r="B137">
        <v>4.36184126984127</v>
      </c>
      <c r="C137">
        <v>1373.98</v>
      </c>
    </row>
    <row r="138" spans="1:3">
      <c r="A138">
        <v>4503433</v>
      </c>
      <c r="B138">
        <v>3.99002086546312</v>
      </c>
      <c r="C138">
        <v>439.82</v>
      </c>
    </row>
    <row r="139" spans="1:3">
      <c r="A139">
        <v>4503474</v>
      </c>
      <c r="B139">
        <v>1.159</v>
      </c>
      <c r="C139">
        <v>92.72</v>
      </c>
    </row>
    <row r="140" spans="1:3">
      <c r="A140">
        <v>4503604</v>
      </c>
      <c r="B140">
        <v>1.14136649514008</v>
      </c>
      <c r="C140">
        <v>399.25</v>
      </c>
    </row>
    <row r="141" spans="1:3">
      <c r="A141">
        <v>4503951</v>
      </c>
      <c r="B141">
        <v>3.62</v>
      </c>
      <c r="C141">
        <v>25.34</v>
      </c>
    </row>
    <row r="142" spans="1:3">
      <c r="A142">
        <v>4504167</v>
      </c>
      <c r="B142">
        <v>3.6</v>
      </c>
      <c r="C142">
        <v>950.4</v>
      </c>
    </row>
    <row r="143" spans="1:3">
      <c r="A143">
        <v>4504673</v>
      </c>
      <c r="B143">
        <v>42.1</v>
      </c>
      <c r="C143">
        <v>787.27</v>
      </c>
    </row>
    <row r="144" spans="1:3">
      <c r="A144">
        <v>4504794</v>
      </c>
      <c r="B144">
        <v>3.9304347826087</v>
      </c>
      <c r="C144">
        <v>904</v>
      </c>
    </row>
    <row r="145" spans="1:3">
      <c r="A145">
        <v>4505397</v>
      </c>
      <c r="B145">
        <v>0.0485</v>
      </c>
      <c r="C145">
        <v>145.5</v>
      </c>
    </row>
    <row r="146" spans="1:3">
      <c r="A146">
        <v>4505398</v>
      </c>
      <c r="B146">
        <v>0.0299</v>
      </c>
      <c r="C146">
        <v>89.7</v>
      </c>
    </row>
    <row r="147" spans="1:3">
      <c r="A147">
        <v>4505864</v>
      </c>
      <c r="B147">
        <v>0.182954166666667</v>
      </c>
      <c r="C147">
        <v>439.09</v>
      </c>
    </row>
    <row r="148" spans="1:3">
      <c r="A148">
        <v>4505865</v>
      </c>
      <c r="B148">
        <v>0.1</v>
      </c>
      <c r="C148">
        <v>240</v>
      </c>
    </row>
    <row r="149" spans="1:3">
      <c r="A149">
        <v>4505920</v>
      </c>
      <c r="B149">
        <v>0.666875</v>
      </c>
      <c r="C149">
        <v>10.67</v>
      </c>
    </row>
    <row r="150" spans="1:3">
      <c r="A150">
        <v>4507216</v>
      </c>
      <c r="B150">
        <v>6.72</v>
      </c>
      <c r="C150">
        <v>255.36</v>
      </c>
    </row>
    <row r="151" spans="1:3">
      <c r="A151">
        <v>4508256</v>
      </c>
      <c r="B151">
        <v>0.52708273381295</v>
      </c>
      <c r="C151">
        <v>2930.58</v>
      </c>
    </row>
    <row r="152" spans="1:3">
      <c r="A152">
        <v>4701288</v>
      </c>
      <c r="B152">
        <v>1</v>
      </c>
      <c r="C152">
        <v>162</v>
      </c>
    </row>
    <row r="153" spans="1:3">
      <c r="A153">
        <v>4702451</v>
      </c>
      <c r="B153">
        <v>3.11111111111111</v>
      </c>
      <c r="C153">
        <v>47.6</v>
      </c>
    </row>
    <row r="154" spans="1:3">
      <c r="A154">
        <v>4712140</v>
      </c>
      <c r="B154">
        <v>10</v>
      </c>
      <c r="C154">
        <v>60</v>
      </c>
    </row>
    <row r="155" spans="1:3">
      <c r="A155">
        <v>4717533</v>
      </c>
      <c r="B155">
        <v>10.0694444444444</v>
      </c>
      <c r="C155">
        <v>58</v>
      </c>
    </row>
    <row r="156" spans="1:3">
      <c r="A156">
        <v>4726198</v>
      </c>
      <c r="B156">
        <v>22</v>
      </c>
      <c r="C156">
        <v>440</v>
      </c>
    </row>
    <row r="157" spans="1:2">
      <c r="A157" t="s">
        <v>621</v>
      </c>
      <c r="B157" t="e">
        <v>#DIV/0!</v>
      </c>
    </row>
    <row r="158" spans="1:3">
      <c r="A158">
        <v>1500688</v>
      </c>
      <c r="B158">
        <v>4.38</v>
      </c>
      <c r="C158">
        <v>65.7</v>
      </c>
    </row>
    <row r="159" spans="1:3">
      <c r="A159">
        <v>1500713</v>
      </c>
      <c r="B159">
        <v>3.5</v>
      </c>
      <c r="C159">
        <v>133</v>
      </c>
    </row>
    <row r="160" spans="1:3">
      <c r="A160">
        <v>1500721</v>
      </c>
      <c r="B160">
        <v>0.6</v>
      </c>
      <c r="C160">
        <v>396</v>
      </c>
    </row>
    <row r="161" spans="1:3">
      <c r="A161">
        <v>1500728</v>
      </c>
      <c r="B161">
        <v>1.3</v>
      </c>
      <c r="C161">
        <v>78</v>
      </c>
    </row>
    <row r="162" spans="1:3">
      <c r="A162">
        <v>1500741</v>
      </c>
      <c r="B162">
        <v>22.99</v>
      </c>
      <c r="C162">
        <v>275.88</v>
      </c>
    </row>
    <row r="163" spans="1:3">
      <c r="A163">
        <v>1500750</v>
      </c>
      <c r="B163">
        <v>3.64711538461538</v>
      </c>
      <c r="C163">
        <v>37.93</v>
      </c>
    </row>
    <row r="164" spans="1:3">
      <c r="A164">
        <v>1500783</v>
      </c>
      <c r="B164">
        <v>1.8</v>
      </c>
      <c r="C164">
        <v>52.2</v>
      </c>
    </row>
    <row r="165" spans="1:3">
      <c r="A165">
        <v>1500784</v>
      </c>
      <c r="B165">
        <v>0.9</v>
      </c>
      <c r="C165">
        <v>22.77</v>
      </c>
    </row>
    <row r="166" spans="1:3">
      <c r="A166">
        <v>1500795</v>
      </c>
      <c r="B166">
        <v>19.53</v>
      </c>
      <c r="C166">
        <v>117.18</v>
      </c>
    </row>
    <row r="167" spans="1:3">
      <c r="A167">
        <v>1500831</v>
      </c>
      <c r="B167">
        <v>12.5</v>
      </c>
      <c r="C167">
        <v>75</v>
      </c>
    </row>
    <row r="168" spans="1:3">
      <c r="A168">
        <v>1500837</v>
      </c>
      <c r="B168">
        <v>12.5</v>
      </c>
      <c r="C168">
        <v>12.5</v>
      </c>
    </row>
    <row r="169" spans="1:3">
      <c r="A169">
        <v>1500838</v>
      </c>
      <c r="B169">
        <v>8.32887517146776</v>
      </c>
      <c r="C169">
        <v>242.87</v>
      </c>
    </row>
    <row r="170" spans="1:3">
      <c r="A170">
        <v>1500844</v>
      </c>
      <c r="B170">
        <v>0.9</v>
      </c>
      <c r="C170">
        <v>9</v>
      </c>
    </row>
    <row r="171" spans="1:3">
      <c r="A171">
        <v>1500845</v>
      </c>
      <c r="B171">
        <v>6.85</v>
      </c>
      <c r="C171">
        <v>27.4</v>
      </c>
    </row>
    <row r="172" spans="1:3">
      <c r="A172">
        <v>1500846</v>
      </c>
      <c r="B172">
        <v>7.74666666666667</v>
      </c>
      <c r="C172">
        <v>46.48</v>
      </c>
    </row>
    <row r="173" spans="1:3">
      <c r="A173">
        <v>1500865</v>
      </c>
      <c r="B173">
        <v>8.43357142857143</v>
      </c>
      <c r="C173">
        <v>118.07</v>
      </c>
    </row>
    <row r="174" spans="1:3">
      <c r="A174">
        <v>1500877</v>
      </c>
      <c r="B174">
        <v>12.5</v>
      </c>
      <c r="C174">
        <v>262.5</v>
      </c>
    </row>
    <row r="175" spans="1:3">
      <c r="A175">
        <v>1500878</v>
      </c>
      <c r="B175">
        <v>4</v>
      </c>
      <c r="C175">
        <v>120</v>
      </c>
    </row>
    <row r="176" spans="1:3">
      <c r="A176">
        <v>1500904</v>
      </c>
      <c r="B176">
        <v>0.6175</v>
      </c>
      <c r="C176">
        <v>39.52</v>
      </c>
    </row>
    <row r="177" spans="1:3">
      <c r="A177">
        <v>1500918</v>
      </c>
      <c r="B177">
        <v>4.38</v>
      </c>
      <c r="C177">
        <v>144.54</v>
      </c>
    </row>
    <row r="178" spans="1:3">
      <c r="A178">
        <v>1500920</v>
      </c>
      <c r="B178">
        <v>127.7</v>
      </c>
      <c r="C178">
        <v>510.8</v>
      </c>
    </row>
    <row r="179" spans="1:3">
      <c r="A179">
        <v>1500923</v>
      </c>
      <c r="B179">
        <v>18.6</v>
      </c>
      <c r="C179">
        <v>18.6</v>
      </c>
    </row>
    <row r="180" spans="1:3">
      <c r="A180">
        <v>1500924</v>
      </c>
      <c r="B180">
        <v>28.33</v>
      </c>
      <c r="C180">
        <v>28.33</v>
      </c>
    </row>
    <row r="181" spans="1:3">
      <c r="A181">
        <v>1500925</v>
      </c>
      <c r="B181">
        <v>2.398</v>
      </c>
      <c r="C181">
        <v>11.99</v>
      </c>
    </row>
    <row r="182" spans="1:3">
      <c r="A182">
        <v>1500938</v>
      </c>
      <c r="B182">
        <v>8.25</v>
      </c>
      <c r="C182">
        <v>8.25</v>
      </c>
    </row>
    <row r="183" spans="1:3">
      <c r="A183">
        <v>1500960</v>
      </c>
      <c r="B183">
        <v>9.52538461538462</v>
      </c>
      <c r="C183">
        <v>247.66</v>
      </c>
    </row>
    <row r="184" spans="1:3">
      <c r="A184">
        <v>1500979</v>
      </c>
      <c r="B184">
        <v>18.4276190476191</v>
      </c>
      <c r="C184">
        <v>386.98</v>
      </c>
    </row>
    <row r="185" spans="1:3">
      <c r="A185">
        <v>1501159</v>
      </c>
      <c r="B185">
        <v>6.99058069760214</v>
      </c>
      <c r="C185">
        <v>5848.18</v>
      </c>
    </row>
    <row r="186" spans="1:3">
      <c r="A186">
        <v>1501165</v>
      </c>
      <c r="B186">
        <v>12.125</v>
      </c>
      <c r="C186">
        <v>24.25</v>
      </c>
    </row>
    <row r="187" spans="1:3">
      <c r="A187">
        <v>1501282</v>
      </c>
      <c r="B187">
        <v>7.08105263157895</v>
      </c>
      <c r="C187">
        <v>67.27</v>
      </c>
    </row>
    <row r="188" spans="1:3">
      <c r="A188">
        <v>1501411</v>
      </c>
      <c r="B188">
        <v>3.8</v>
      </c>
      <c r="C188">
        <v>75.24</v>
      </c>
    </row>
    <row r="189" spans="1:3">
      <c r="A189">
        <v>4001969</v>
      </c>
      <c r="B189">
        <v>34.6551724137931</v>
      </c>
      <c r="C189">
        <v>2.01</v>
      </c>
    </row>
    <row r="190" spans="1:3">
      <c r="A190">
        <v>4504796</v>
      </c>
      <c r="B190">
        <v>1.05011764705882</v>
      </c>
      <c r="C190">
        <v>178.52</v>
      </c>
    </row>
    <row r="191" spans="1:3">
      <c r="A191">
        <v>4600064</v>
      </c>
      <c r="B191">
        <v>0.100702875399361</v>
      </c>
      <c r="C191">
        <v>63.04</v>
      </c>
    </row>
    <row r="192" spans="1:3">
      <c r="A192">
        <v>1500817</v>
      </c>
      <c r="B192">
        <v>0.453846153846154</v>
      </c>
      <c r="C192">
        <v>29.5</v>
      </c>
    </row>
    <row r="193" spans="1:3">
      <c r="A193">
        <v>1500829</v>
      </c>
      <c r="B193">
        <v>5.25</v>
      </c>
      <c r="C193">
        <v>5.25</v>
      </c>
    </row>
    <row r="194" spans="1:3">
      <c r="A194">
        <v>1500835</v>
      </c>
      <c r="B194">
        <v>7.25</v>
      </c>
      <c r="C194">
        <v>7.25</v>
      </c>
    </row>
    <row r="195" spans="1:3">
      <c r="A195">
        <v>1500868</v>
      </c>
      <c r="B195">
        <v>45.5</v>
      </c>
      <c r="C195">
        <v>18.2</v>
      </c>
    </row>
    <row r="196" spans="1:3">
      <c r="A196">
        <v>1500883</v>
      </c>
      <c r="B196">
        <v>1.02448979591837</v>
      </c>
      <c r="C196">
        <v>50.2</v>
      </c>
    </row>
    <row r="197" spans="1:3">
      <c r="A197">
        <v>1501617</v>
      </c>
      <c r="B197">
        <v>4.29166666666667</v>
      </c>
      <c r="C197">
        <v>334.75</v>
      </c>
    </row>
    <row r="198" spans="1:3">
      <c r="A198">
        <v>1501626</v>
      </c>
      <c r="B198">
        <v>3.2</v>
      </c>
      <c r="C198">
        <v>80</v>
      </c>
    </row>
    <row r="199" spans="1:3">
      <c r="A199">
        <v>1501633</v>
      </c>
      <c r="B199">
        <v>91.1111111111111</v>
      </c>
      <c r="C199">
        <v>922.5</v>
      </c>
    </row>
    <row r="200" spans="1:3">
      <c r="A200">
        <v>1501635</v>
      </c>
      <c r="B200">
        <v>12.9900542941757</v>
      </c>
      <c r="C200">
        <v>5263.57</v>
      </c>
    </row>
    <row r="201" spans="1:3">
      <c r="A201">
        <v>4003246</v>
      </c>
      <c r="B201">
        <v>2.16645</v>
      </c>
      <c r="C201">
        <v>433.29</v>
      </c>
    </row>
    <row r="202" spans="1:3">
      <c r="A202">
        <v>1501634</v>
      </c>
      <c r="B202">
        <v>4.88888888888889</v>
      </c>
      <c r="C202">
        <v>202.4</v>
      </c>
    </row>
    <row r="203" spans="1:3">
      <c r="A203">
        <v>4505992</v>
      </c>
      <c r="B203">
        <v>0.1</v>
      </c>
      <c r="C203">
        <v>14</v>
      </c>
    </row>
    <row r="204" spans="1:3">
      <c r="A204">
        <v>1001413</v>
      </c>
      <c r="B204">
        <v>14.3658536585366</v>
      </c>
      <c r="C204">
        <v>35.34</v>
      </c>
    </row>
    <row r="205" spans="1:3">
      <c r="A205">
        <v>1501253</v>
      </c>
      <c r="B205">
        <v>6.93938523412812</v>
      </c>
      <c r="C205">
        <v>483.12</v>
      </c>
    </row>
    <row r="206" spans="1:3">
      <c r="A206">
        <v>1501275</v>
      </c>
      <c r="B206">
        <v>12.5000240026883</v>
      </c>
      <c r="C206">
        <v>5207.76</v>
      </c>
    </row>
    <row r="207" spans="1:3">
      <c r="A207">
        <v>1501288</v>
      </c>
      <c r="B207">
        <v>1.7</v>
      </c>
      <c r="C207">
        <v>34</v>
      </c>
    </row>
    <row r="208" spans="1:3">
      <c r="A208">
        <v>1501589</v>
      </c>
      <c r="B208">
        <v>3.25</v>
      </c>
      <c r="C208">
        <v>2213.25</v>
      </c>
    </row>
    <row r="209" spans="1:3">
      <c r="A209">
        <v>1501608</v>
      </c>
      <c r="B209">
        <v>16</v>
      </c>
      <c r="C209">
        <v>368</v>
      </c>
    </row>
    <row r="210" spans="1:3">
      <c r="A210">
        <v>1501628</v>
      </c>
      <c r="B210">
        <v>9.79906380027739</v>
      </c>
      <c r="C210">
        <v>565.21</v>
      </c>
    </row>
    <row r="211" spans="1:3">
      <c r="A211">
        <v>1500957</v>
      </c>
      <c r="B211">
        <v>10</v>
      </c>
      <c r="C211">
        <v>200</v>
      </c>
    </row>
    <row r="212" spans="1:3">
      <c r="A212">
        <v>4501135</v>
      </c>
      <c r="B212">
        <v>14.0625</v>
      </c>
      <c r="C212">
        <v>303.75</v>
      </c>
    </row>
    <row r="213" spans="1:3">
      <c r="A213">
        <v>4506555</v>
      </c>
      <c r="B213">
        <v>0.170833333333333</v>
      </c>
      <c r="C213">
        <v>410</v>
      </c>
    </row>
    <row r="214" spans="1:3">
      <c r="A214">
        <v>4510251</v>
      </c>
      <c r="B214">
        <v>3.75</v>
      </c>
      <c r="C214">
        <v>90</v>
      </c>
    </row>
    <row r="215" spans="1:3">
      <c r="A215">
        <v>1501651</v>
      </c>
      <c r="B215">
        <v>5.625</v>
      </c>
      <c r="C215">
        <v>495</v>
      </c>
    </row>
    <row r="216" spans="1:3">
      <c r="A216">
        <v>4504874</v>
      </c>
      <c r="B216">
        <v>0.975</v>
      </c>
      <c r="C216">
        <v>214.5</v>
      </c>
    </row>
    <row r="217" spans="1:3">
      <c r="A217">
        <v>1500834</v>
      </c>
      <c r="B217">
        <v>7.95</v>
      </c>
      <c r="C217">
        <v>7.95</v>
      </c>
    </row>
    <row r="218" spans="1:3">
      <c r="A218">
        <v>1500841</v>
      </c>
      <c r="B218">
        <v>18.5</v>
      </c>
      <c r="C218">
        <v>18.5</v>
      </c>
    </row>
    <row r="219" spans="1:3">
      <c r="A219">
        <v>1500847</v>
      </c>
      <c r="B219">
        <v>9.6</v>
      </c>
      <c r="C219">
        <v>9.6</v>
      </c>
    </row>
    <row r="220" spans="1:3">
      <c r="A220">
        <v>1501646</v>
      </c>
      <c r="B220">
        <v>19</v>
      </c>
      <c r="C220">
        <v>1596</v>
      </c>
    </row>
    <row r="221" spans="1:3">
      <c r="A221">
        <v>4727592</v>
      </c>
      <c r="B221">
        <v>2.41666666666667</v>
      </c>
      <c r="C221">
        <v>87</v>
      </c>
    </row>
    <row r="222" spans="1:3">
      <c r="A222">
        <v>1501193</v>
      </c>
      <c r="B222">
        <v>19.6147757255937</v>
      </c>
      <c r="C222">
        <v>74.34</v>
      </c>
    </row>
    <row r="223" spans="1:3">
      <c r="A223">
        <v>1501696</v>
      </c>
      <c r="B223">
        <v>2.7271935054809</v>
      </c>
      <c r="C223">
        <v>594.61</v>
      </c>
    </row>
    <row r="224" spans="1:3">
      <c r="A224">
        <v>1501710</v>
      </c>
      <c r="B224">
        <v>10.125</v>
      </c>
      <c r="C224">
        <v>0.81</v>
      </c>
    </row>
    <row r="225" spans="1:3">
      <c r="A225">
        <v>4503595</v>
      </c>
      <c r="B225">
        <v>28.4151873767258</v>
      </c>
      <c r="C225">
        <v>288.13</v>
      </c>
    </row>
    <row r="226" spans="1:3">
      <c r="A226">
        <v>4510491</v>
      </c>
      <c r="B226">
        <v>24</v>
      </c>
      <c r="C226">
        <v>264</v>
      </c>
    </row>
    <row r="227" spans="1:3">
      <c r="A227">
        <v>4512428</v>
      </c>
      <c r="B227">
        <v>9.50171428571429</v>
      </c>
      <c r="C227">
        <v>332.56</v>
      </c>
    </row>
    <row r="228" spans="1:3">
      <c r="A228">
        <v>1500797</v>
      </c>
      <c r="B228">
        <v>21.9655555555556</v>
      </c>
      <c r="C228">
        <v>197.69</v>
      </c>
    </row>
    <row r="229" spans="1:3">
      <c r="A229">
        <v>1501160</v>
      </c>
      <c r="B229">
        <v>3.3</v>
      </c>
      <c r="C229">
        <v>52.8</v>
      </c>
    </row>
    <row r="230" spans="1:3">
      <c r="A230">
        <v>4512680</v>
      </c>
      <c r="B230">
        <v>8.81733333333333</v>
      </c>
      <c r="C230">
        <v>66.13</v>
      </c>
    </row>
    <row r="231" spans="1:3">
      <c r="A231">
        <v>4512683</v>
      </c>
      <c r="B231">
        <v>8.77708333333333</v>
      </c>
      <c r="C231">
        <v>1053.25</v>
      </c>
    </row>
    <row r="232" spans="1:3">
      <c r="A232">
        <v>4512888</v>
      </c>
      <c r="B232">
        <v>4.8</v>
      </c>
      <c r="C232">
        <v>317.76</v>
      </c>
    </row>
    <row r="233" spans="1:3">
      <c r="A233">
        <v>4740140</v>
      </c>
      <c r="B233">
        <v>25</v>
      </c>
      <c r="C233">
        <v>275</v>
      </c>
    </row>
    <row r="234" spans="1:3">
      <c r="A234">
        <v>4000465</v>
      </c>
      <c r="B234">
        <v>5.055</v>
      </c>
      <c r="C234">
        <v>50.55</v>
      </c>
    </row>
    <row r="235" spans="1:3">
      <c r="A235">
        <v>1501032</v>
      </c>
      <c r="B235">
        <v>7.208</v>
      </c>
      <c r="C235">
        <v>72.08</v>
      </c>
    </row>
    <row r="236" spans="1:3">
      <c r="A236">
        <v>4020091</v>
      </c>
      <c r="B236">
        <v>17.1100863821138</v>
      </c>
      <c r="C236">
        <v>6734.53</v>
      </c>
    </row>
    <row r="237" spans="1:3">
      <c r="A237">
        <v>4020719</v>
      </c>
      <c r="B237">
        <v>15.228</v>
      </c>
      <c r="C237">
        <v>609.12</v>
      </c>
    </row>
    <row r="238" spans="1:3">
      <c r="A238">
        <v>4502257</v>
      </c>
      <c r="B238">
        <v>5.24491666666667</v>
      </c>
      <c r="C238">
        <v>629.39</v>
      </c>
    </row>
    <row r="239" spans="1:3">
      <c r="A239">
        <v>4513296</v>
      </c>
      <c r="B239">
        <v>8.5</v>
      </c>
      <c r="C239">
        <v>85</v>
      </c>
    </row>
    <row r="240" spans="1:3">
      <c r="A240">
        <v>4513626</v>
      </c>
      <c r="B240">
        <v>17.1666666666667</v>
      </c>
      <c r="C240">
        <v>51.5</v>
      </c>
    </row>
    <row r="241" spans="1:3">
      <c r="A241">
        <v>4723811</v>
      </c>
      <c r="B241">
        <v>5.72368421052632</v>
      </c>
      <c r="C241">
        <v>174</v>
      </c>
    </row>
    <row r="242" spans="1:3">
      <c r="A242">
        <v>1501640</v>
      </c>
      <c r="B242">
        <v>7</v>
      </c>
      <c r="C242">
        <v>157.5</v>
      </c>
    </row>
    <row r="243" spans="1:3">
      <c r="A243">
        <v>4512205</v>
      </c>
      <c r="B243">
        <v>6.02247126436782</v>
      </c>
      <c r="C243">
        <v>1047.91</v>
      </c>
    </row>
    <row r="244" spans="1:3">
      <c r="A244">
        <v>4702771</v>
      </c>
      <c r="B244">
        <v>4.5760063559322</v>
      </c>
      <c r="C244">
        <v>172.79</v>
      </c>
    </row>
    <row r="245" spans="1:3">
      <c r="A245">
        <v>1000103</v>
      </c>
      <c r="B245">
        <v>7.30891601923788</v>
      </c>
      <c r="C245">
        <v>395.12</v>
      </c>
    </row>
    <row r="246" spans="1:3">
      <c r="A246">
        <v>4513501</v>
      </c>
      <c r="B246">
        <v>0.659123006833713</v>
      </c>
      <c r="C246">
        <v>578.71</v>
      </c>
    </row>
    <row r="247" spans="1:3">
      <c r="A247">
        <v>4735156</v>
      </c>
      <c r="B247">
        <v>7.08848039215686</v>
      </c>
      <c r="C247">
        <v>289.21</v>
      </c>
    </row>
    <row r="248" spans="1:3">
      <c r="A248">
        <v>8005469</v>
      </c>
      <c r="B248">
        <v>8.612</v>
      </c>
      <c r="C248">
        <v>86.12</v>
      </c>
    </row>
    <row r="249" spans="1:3">
      <c r="A249">
        <v>8005470</v>
      </c>
      <c r="B249">
        <v>8.612</v>
      </c>
      <c r="C249">
        <v>86.12</v>
      </c>
    </row>
    <row r="250" spans="1:3">
      <c r="A250">
        <v>8005471</v>
      </c>
      <c r="B250">
        <v>8.612</v>
      </c>
      <c r="C250">
        <v>86.12</v>
      </c>
    </row>
    <row r="251" spans="1:3">
      <c r="A251">
        <v>8005472</v>
      </c>
      <c r="B251">
        <v>8.612</v>
      </c>
      <c r="C251">
        <v>86.12</v>
      </c>
    </row>
    <row r="252" spans="1:3">
      <c r="A252">
        <v>1003028</v>
      </c>
      <c r="B252">
        <v>4.18498</v>
      </c>
      <c r="C252">
        <v>2092.49</v>
      </c>
    </row>
    <row r="253" spans="1:3">
      <c r="A253">
        <v>4506632</v>
      </c>
      <c r="B253">
        <v>0.25</v>
      </c>
      <c r="C253">
        <v>275</v>
      </c>
    </row>
    <row r="254" spans="1:3">
      <c r="A254">
        <v>4514744</v>
      </c>
      <c r="B254">
        <v>27.6836842105263</v>
      </c>
      <c r="C254">
        <v>525.99</v>
      </c>
    </row>
    <row r="255" spans="1:3">
      <c r="A255">
        <v>1500740</v>
      </c>
      <c r="B255">
        <v>15</v>
      </c>
      <c r="C255">
        <v>45</v>
      </c>
    </row>
    <row r="256" spans="1:3">
      <c r="A256">
        <v>1500982</v>
      </c>
      <c r="B256">
        <v>2.04487951807229</v>
      </c>
      <c r="C256">
        <v>67.89</v>
      </c>
    </row>
    <row r="257" spans="1:3">
      <c r="A257">
        <v>1500998</v>
      </c>
      <c r="B257">
        <v>6.0825</v>
      </c>
      <c r="C257">
        <v>24.33</v>
      </c>
    </row>
    <row r="258" spans="1:3">
      <c r="A258">
        <v>1501702</v>
      </c>
      <c r="B258">
        <v>18.0725</v>
      </c>
      <c r="C258">
        <v>72.29</v>
      </c>
    </row>
    <row r="259" spans="1:3">
      <c r="A259">
        <v>4018767</v>
      </c>
      <c r="B259">
        <v>4.49771428571429</v>
      </c>
      <c r="C259">
        <v>629.68</v>
      </c>
    </row>
    <row r="260" spans="1:3">
      <c r="A260">
        <v>4021486</v>
      </c>
      <c r="B260">
        <v>0.026605</v>
      </c>
      <c r="C260">
        <v>53.21</v>
      </c>
    </row>
    <row r="261" spans="1:3">
      <c r="A261">
        <v>4024119</v>
      </c>
      <c r="B261">
        <v>1.7225</v>
      </c>
      <c r="C261">
        <v>34.45</v>
      </c>
    </row>
    <row r="262" spans="1:3">
      <c r="A262">
        <v>4501947</v>
      </c>
      <c r="B262">
        <v>2.33333333333333</v>
      </c>
      <c r="C262">
        <v>1680</v>
      </c>
    </row>
    <row r="263" spans="1:3">
      <c r="A263">
        <v>4502101</v>
      </c>
      <c r="B263">
        <v>0.592315789473684</v>
      </c>
      <c r="C263">
        <v>168.81</v>
      </c>
    </row>
    <row r="264" spans="1:3">
      <c r="A264">
        <v>4504846</v>
      </c>
      <c r="B264">
        <v>4.08997303260603</v>
      </c>
      <c r="C264">
        <v>1334.64</v>
      </c>
    </row>
    <row r="265" spans="1:3">
      <c r="A265">
        <v>4505163</v>
      </c>
      <c r="B265">
        <v>16.52</v>
      </c>
      <c r="C265">
        <v>941.64</v>
      </c>
    </row>
    <row r="266" spans="1:3">
      <c r="A266">
        <v>4512264</v>
      </c>
      <c r="B266">
        <v>2.2</v>
      </c>
      <c r="C266">
        <v>110</v>
      </c>
    </row>
    <row r="267" spans="1:3">
      <c r="A267">
        <v>4513019</v>
      </c>
      <c r="B267">
        <v>7.86684782608696</v>
      </c>
      <c r="C267">
        <v>723.75</v>
      </c>
    </row>
    <row r="268" spans="1:3">
      <c r="A268">
        <v>4513503</v>
      </c>
      <c r="B268">
        <v>1.78824242424242</v>
      </c>
      <c r="C268">
        <v>590.12</v>
      </c>
    </row>
    <row r="269" spans="1:3">
      <c r="A269">
        <v>4514284</v>
      </c>
      <c r="B269">
        <v>0.19875</v>
      </c>
      <c r="C269">
        <v>17.49</v>
      </c>
    </row>
    <row r="270" spans="1:3">
      <c r="A270">
        <v>4514410</v>
      </c>
      <c r="B270">
        <v>6.00698113207547</v>
      </c>
      <c r="C270">
        <v>636.74</v>
      </c>
    </row>
    <row r="271" spans="1:3">
      <c r="A271">
        <v>4514602</v>
      </c>
      <c r="B271">
        <v>10.1389770723104</v>
      </c>
      <c r="C271">
        <v>2299.52</v>
      </c>
    </row>
    <row r="272" spans="1:3">
      <c r="A272">
        <v>4515419</v>
      </c>
      <c r="B272">
        <v>6.31726664207031</v>
      </c>
      <c r="C272">
        <v>2397.15</v>
      </c>
    </row>
    <row r="273" spans="1:3">
      <c r="A273">
        <v>4515862</v>
      </c>
      <c r="B273">
        <v>2.79015710163514</v>
      </c>
      <c r="C273">
        <v>174.05</v>
      </c>
    </row>
    <row r="274" spans="1:3">
      <c r="A274">
        <v>4600065</v>
      </c>
      <c r="B274">
        <v>1.45</v>
      </c>
      <c r="C274">
        <v>34.8</v>
      </c>
    </row>
    <row r="275" spans="1:3">
      <c r="A275">
        <v>1500856</v>
      </c>
      <c r="B275">
        <v>2.93333333333333</v>
      </c>
      <c r="C275">
        <v>1540</v>
      </c>
    </row>
    <row r="276" spans="1:3">
      <c r="A276">
        <v>4514538</v>
      </c>
      <c r="B276">
        <v>15</v>
      </c>
      <c r="C276">
        <v>60</v>
      </c>
    </row>
    <row r="277" spans="1:3">
      <c r="A277">
        <v>4502140</v>
      </c>
      <c r="B277">
        <v>7.5</v>
      </c>
      <c r="C277">
        <v>82.5</v>
      </c>
    </row>
    <row r="278" spans="1:3">
      <c r="A278">
        <v>4515458</v>
      </c>
      <c r="B278">
        <v>13.1944444444444</v>
      </c>
      <c r="C278">
        <v>570</v>
      </c>
    </row>
    <row r="279" spans="1:3">
      <c r="A279">
        <v>4515863</v>
      </c>
      <c r="B279">
        <v>57.9418181818182</v>
      </c>
      <c r="C279">
        <v>159.34</v>
      </c>
    </row>
    <row r="280" spans="1:3">
      <c r="A280">
        <v>4516088</v>
      </c>
      <c r="B280">
        <v>4.4</v>
      </c>
      <c r="C280">
        <v>528</v>
      </c>
    </row>
    <row r="281" spans="1:3">
      <c r="A281">
        <v>4516301</v>
      </c>
      <c r="B281">
        <v>6.08055555555555</v>
      </c>
      <c r="C281">
        <v>372.13</v>
      </c>
    </row>
    <row r="282" spans="1:3">
      <c r="A282">
        <v>4005465</v>
      </c>
      <c r="B282">
        <v>7.09266666666667</v>
      </c>
      <c r="C282">
        <v>425.56</v>
      </c>
    </row>
    <row r="283" spans="1:3">
      <c r="A283">
        <v>4516299</v>
      </c>
      <c r="B283">
        <v>26</v>
      </c>
      <c r="C283">
        <v>1170</v>
      </c>
    </row>
    <row r="284" spans="1:3">
      <c r="A284">
        <v>4515468</v>
      </c>
      <c r="B284">
        <v>6.87765765765766</v>
      </c>
      <c r="C284">
        <v>763.42</v>
      </c>
    </row>
    <row r="285" spans="1:3">
      <c r="A285">
        <v>4516321</v>
      </c>
      <c r="B285">
        <v>0.04024</v>
      </c>
      <c r="C285">
        <v>160.96</v>
      </c>
    </row>
    <row r="286" spans="1:3">
      <c r="A286">
        <v>4516992</v>
      </c>
      <c r="B286">
        <v>35</v>
      </c>
      <c r="C286">
        <v>700</v>
      </c>
    </row>
    <row r="287" spans="1:3">
      <c r="A287">
        <v>4516994</v>
      </c>
      <c r="B287">
        <v>8.79441614020787</v>
      </c>
      <c r="C287">
        <v>2157.71</v>
      </c>
    </row>
    <row r="288" spans="1:3">
      <c r="A288">
        <v>4517055</v>
      </c>
      <c r="B288">
        <v>28.44</v>
      </c>
      <c r="C288">
        <v>1251.36</v>
      </c>
    </row>
    <row r="289" spans="1:3">
      <c r="A289">
        <v>1500529</v>
      </c>
      <c r="B289">
        <v>2.75</v>
      </c>
      <c r="C289">
        <v>453.75</v>
      </c>
    </row>
    <row r="290" spans="1:3">
      <c r="A290">
        <v>1501013</v>
      </c>
      <c r="B290">
        <v>11.25</v>
      </c>
      <c r="C290">
        <v>733.5</v>
      </c>
    </row>
    <row r="291" spans="1:3">
      <c r="A291">
        <v>4017892</v>
      </c>
      <c r="B291">
        <v>2.4</v>
      </c>
      <c r="C291">
        <v>96</v>
      </c>
    </row>
    <row r="292" spans="1:3">
      <c r="A292">
        <v>4517273</v>
      </c>
      <c r="B292">
        <v>0.9165625</v>
      </c>
      <c r="C292">
        <v>29.33</v>
      </c>
    </row>
    <row r="293" spans="1:3">
      <c r="A293">
        <v>4517520</v>
      </c>
      <c r="B293">
        <v>2.65408653846154</v>
      </c>
      <c r="C293">
        <v>331.23</v>
      </c>
    </row>
    <row r="294" spans="1:3">
      <c r="A294">
        <v>4517715</v>
      </c>
      <c r="B294">
        <v>22.8571428571429</v>
      </c>
      <c r="C294">
        <v>1280</v>
      </c>
    </row>
    <row r="295" spans="1:3">
      <c r="A295">
        <v>4510656</v>
      </c>
      <c r="B295">
        <v>27</v>
      </c>
      <c r="C295">
        <v>580.5</v>
      </c>
    </row>
    <row r="296" spans="1:3">
      <c r="A296">
        <v>4512865</v>
      </c>
      <c r="B296">
        <v>6</v>
      </c>
      <c r="C296">
        <v>43.5</v>
      </c>
    </row>
    <row r="297" spans="1:3">
      <c r="A297">
        <v>4034397</v>
      </c>
      <c r="B297">
        <v>4</v>
      </c>
      <c r="C297">
        <v>60</v>
      </c>
    </row>
    <row r="298" spans="1:3">
      <c r="A298">
        <v>4518106</v>
      </c>
      <c r="B298">
        <v>7.26534328093081</v>
      </c>
      <c r="C298">
        <v>1636.01</v>
      </c>
    </row>
    <row r="299" spans="1:3">
      <c r="A299">
        <v>8005467</v>
      </c>
      <c r="B299">
        <v>3.588</v>
      </c>
      <c r="C299">
        <v>35.88</v>
      </c>
    </row>
    <row r="300" spans="1:3">
      <c r="A300">
        <v>4026797</v>
      </c>
      <c r="B300">
        <v>6.50375939849624</v>
      </c>
      <c r="C300">
        <v>432.5</v>
      </c>
    </row>
    <row r="301" spans="1:3">
      <c r="A301">
        <v>4518668</v>
      </c>
      <c r="B301">
        <v>3.10018561484919</v>
      </c>
      <c r="C301">
        <v>1336.18</v>
      </c>
    </row>
    <row r="302" spans="1:3">
      <c r="A302">
        <v>4519224</v>
      </c>
      <c r="B302">
        <v>8.5</v>
      </c>
      <c r="C302">
        <v>34</v>
      </c>
    </row>
    <row r="303" spans="1:3">
      <c r="A303">
        <v>4039739</v>
      </c>
      <c r="B303">
        <v>12.0266666666667</v>
      </c>
      <c r="C303">
        <v>36.08</v>
      </c>
    </row>
    <row r="304" spans="1:3">
      <c r="A304">
        <v>4513639</v>
      </c>
      <c r="B304">
        <v>0.355653333333333</v>
      </c>
      <c r="C304">
        <v>1066.96</v>
      </c>
    </row>
    <row r="305" spans="1:3">
      <c r="A305">
        <v>4516090</v>
      </c>
      <c r="B305">
        <v>38.7483333333333</v>
      </c>
      <c r="C305">
        <v>232.49</v>
      </c>
    </row>
    <row r="306" spans="1:3">
      <c r="A306">
        <v>4518488</v>
      </c>
      <c r="B306">
        <v>6.035</v>
      </c>
      <c r="C306">
        <v>422.45</v>
      </c>
    </row>
    <row r="307" spans="1:3">
      <c r="A307">
        <v>4519183</v>
      </c>
      <c r="B307">
        <v>11.0221804511278</v>
      </c>
      <c r="C307">
        <v>293.19</v>
      </c>
    </row>
    <row r="308" spans="1:3">
      <c r="A308">
        <v>4702611</v>
      </c>
      <c r="B308">
        <v>4.6</v>
      </c>
      <c r="C308">
        <v>299</v>
      </c>
    </row>
    <row r="309" spans="1:3">
      <c r="A309">
        <v>4028096</v>
      </c>
      <c r="B309">
        <v>0.699375</v>
      </c>
      <c r="C309">
        <v>134.28</v>
      </c>
    </row>
    <row r="310" spans="1:3">
      <c r="A310">
        <v>1501034</v>
      </c>
      <c r="B310">
        <v>5.381</v>
      </c>
      <c r="C310">
        <v>645.72</v>
      </c>
    </row>
    <row r="311" spans="1:3">
      <c r="A311">
        <v>3000759</v>
      </c>
      <c r="B311">
        <v>8.89908653846154</v>
      </c>
      <c r="C311">
        <v>5553.03</v>
      </c>
    </row>
    <row r="312" spans="1:3">
      <c r="A312">
        <v>4516830</v>
      </c>
      <c r="B312">
        <v>4.66263204225352</v>
      </c>
      <c r="C312">
        <v>211.87</v>
      </c>
    </row>
    <row r="313" spans="1:3">
      <c r="A313">
        <v>4520222</v>
      </c>
      <c r="B313">
        <v>1.79161290322581</v>
      </c>
      <c r="C313">
        <v>222.16</v>
      </c>
    </row>
    <row r="314" spans="1:3">
      <c r="A314">
        <v>4520458</v>
      </c>
      <c r="B314">
        <v>11.72</v>
      </c>
      <c r="C314">
        <v>46.88</v>
      </c>
    </row>
    <row r="315" spans="1:3">
      <c r="A315">
        <v>4520558</v>
      </c>
      <c r="B315">
        <v>5.49292682926829</v>
      </c>
      <c r="C315">
        <v>225.21</v>
      </c>
    </row>
    <row r="316" spans="1:3">
      <c r="A316">
        <v>8005473</v>
      </c>
      <c r="B316">
        <v>8.612</v>
      </c>
      <c r="C316">
        <v>86.12</v>
      </c>
    </row>
    <row r="317" spans="1:3">
      <c r="A317">
        <v>8005474</v>
      </c>
      <c r="B317">
        <v>8.612</v>
      </c>
      <c r="C317">
        <v>86.12</v>
      </c>
    </row>
    <row r="318" spans="1:3">
      <c r="A318">
        <v>4520457</v>
      </c>
      <c r="B318">
        <v>14</v>
      </c>
      <c r="C318">
        <v>70</v>
      </c>
    </row>
    <row r="319" spans="1:3">
      <c r="A319">
        <v>8011001</v>
      </c>
      <c r="B319">
        <v>0.192976</v>
      </c>
      <c r="C319">
        <v>1929.76</v>
      </c>
    </row>
    <row r="320" spans="1:3">
      <c r="A320">
        <v>4021537</v>
      </c>
      <c r="B320">
        <v>12.0175</v>
      </c>
      <c r="C320">
        <v>96.14</v>
      </c>
    </row>
    <row r="321" spans="1:3">
      <c r="A321">
        <v>4518307</v>
      </c>
      <c r="B321">
        <v>12.747</v>
      </c>
      <c r="C321">
        <v>127.47</v>
      </c>
    </row>
    <row r="322" spans="1:3">
      <c r="A322">
        <v>4751479</v>
      </c>
      <c r="B322">
        <v>17</v>
      </c>
      <c r="C322">
        <v>51</v>
      </c>
    </row>
    <row r="323" spans="1:3">
      <c r="A323">
        <v>4502048</v>
      </c>
      <c r="B323">
        <v>6.45</v>
      </c>
      <c r="C323">
        <v>424.41</v>
      </c>
    </row>
    <row r="324" spans="1:3">
      <c r="A324">
        <v>4520893</v>
      </c>
      <c r="B324">
        <v>4.20166666666667</v>
      </c>
      <c r="C324">
        <v>75.63</v>
      </c>
    </row>
    <row r="325" spans="1:3">
      <c r="A325">
        <v>4522277</v>
      </c>
      <c r="B325">
        <v>5.6</v>
      </c>
      <c r="C325">
        <v>12.32</v>
      </c>
    </row>
    <row r="326" spans="1:3">
      <c r="A326">
        <v>4522462</v>
      </c>
      <c r="B326">
        <v>12.3066714861097</v>
      </c>
      <c r="C326">
        <v>2383.31</v>
      </c>
    </row>
    <row r="327" spans="1:3">
      <c r="A327">
        <v>4028302</v>
      </c>
      <c r="B327">
        <v>6.7273</v>
      </c>
      <c r="C327">
        <v>672.73</v>
      </c>
    </row>
    <row r="328" spans="1:3">
      <c r="A328">
        <v>4523800</v>
      </c>
      <c r="B328">
        <v>4.51833333333333</v>
      </c>
      <c r="C328">
        <v>135.55</v>
      </c>
    </row>
    <row r="329" spans="1:3">
      <c r="A329">
        <v>4502863</v>
      </c>
      <c r="B329">
        <v>3</v>
      </c>
      <c r="C329">
        <v>363</v>
      </c>
    </row>
    <row r="330" spans="1:3">
      <c r="A330">
        <v>4733325</v>
      </c>
      <c r="B330">
        <v>2.99663157894737</v>
      </c>
      <c r="C330">
        <v>284.68</v>
      </c>
    </row>
    <row r="331" spans="1:3">
      <c r="A331">
        <v>8011728</v>
      </c>
      <c r="B331">
        <v>136.046666666667</v>
      </c>
      <c r="C331">
        <v>408.14</v>
      </c>
    </row>
    <row r="332" spans="1:3">
      <c r="A332">
        <v>4028719</v>
      </c>
      <c r="B332">
        <v>4.26864035087719</v>
      </c>
      <c r="C332">
        <v>583.95</v>
      </c>
    </row>
    <row r="333" spans="1:3">
      <c r="A333">
        <v>4524613</v>
      </c>
      <c r="B333">
        <v>6.07535885167464</v>
      </c>
      <c r="C333">
        <v>304.74</v>
      </c>
    </row>
    <row r="334" spans="1:3">
      <c r="A334">
        <v>4765891</v>
      </c>
      <c r="B334">
        <v>2.91479245283019</v>
      </c>
      <c r="C334">
        <v>386.21</v>
      </c>
    </row>
    <row r="335" spans="1:3">
      <c r="A335">
        <v>4502187</v>
      </c>
      <c r="B335">
        <v>6.99000416136995</v>
      </c>
      <c r="C335">
        <v>14714.49</v>
      </c>
    </row>
    <row r="336" spans="1:3">
      <c r="A336">
        <v>8012400</v>
      </c>
      <c r="B336">
        <v>11.484</v>
      </c>
      <c r="C336">
        <v>57.42</v>
      </c>
    </row>
    <row r="337" spans="1:3">
      <c r="A337">
        <v>8012401</v>
      </c>
      <c r="B337">
        <v>11.484</v>
      </c>
      <c r="C337">
        <v>57.42</v>
      </c>
    </row>
    <row r="338" spans="1:3">
      <c r="A338">
        <v>8012404</v>
      </c>
      <c r="B338">
        <v>11.484</v>
      </c>
      <c r="C338">
        <v>57.42</v>
      </c>
    </row>
    <row r="339" spans="1:3">
      <c r="A339">
        <v>8012405</v>
      </c>
      <c r="B339">
        <v>11.484</v>
      </c>
      <c r="C339">
        <v>57.42</v>
      </c>
    </row>
    <row r="340" spans="1:3">
      <c r="A340">
        <v>8011414</v>
      </c>
      <c r="B340">
        <v>0.0100446848541863</v>
      </c>
      <c r="C340">
        <v>42.71</v>
      </c>
    </row>
    <row r="341" spans="1:3">
      <c r="A341">
        <v>4205721</v>
      </c>
      <c r="B341">
        <v>1.91666666666667</v>
      </c>
      <c r="C341">
        <v>207</v>
      </c>
    </row>
    <row r="342" spans="1:3">
      <c r="A342">
        <v>4509073</v>
      </c>
      <c r="B342">
        <v>9.58916562889166</v>
      </c>
      <c r="C342">
        <v>1540.02</v>
      </c>
    </row>
    <row r="343" spans="1:3">
      <c r="A343">
        <v>4526759</v>
      </c>
      <c r="B343">
        <v>3.67854166666667</v>
      </c>
      <c r="C343">
        <v>176.57</v>
      </c>
    </row>
    <row r="344" spans="1:3">
      <c r="A344">
        <v>8704095</v>
      </c>
      <c r="B344">
        <v>5.50666666666667</v>
      </c>
      <c r="C344">
        <v>49.56</v>
      </c>
    </row>
    <row r="345" spans="1:3">
      <c r="A345">
        <v>4004440</v>
      </c>
      <c r="B345">
        <v>8.96666666666667</v>
      </c>
      <c r="C345">
        <v>80.7</v>
      </c>
    </row>
    <row r="346" spans="1:3">
      <c r="A346">
        <v>1501285</v>
      </c>
      <c r="B346">
        <v>45.5</v>
      </c>
      <c r="C346">
        <v>63.7</v>
      </c>
    </row>
    <row r="347" spans="1:3">
      <c r="A347">
        <v>1501652</v>
      </c>
      <c r="B347">
        <v>13.0622222222222</v>
      </c>
      <c r="C347">
        <v>235.12</v>
      </c>
    </row>
    <row r="348" spans="1:3">
      <c r="A348">
        <v>3010923</v>
      </c>
      <c r="B348">
        <v>1.19175</v>
      </c>
      <c r="C348">
        <v>47.67</v>
      </c>
    </row>
    <row r="349" spans="1:3">
      <c r="A349">
        <v>4018965</v>
      </c>
      <c r="B349">
        <v>10.4996808510638</v>
      </c>
      <c r="C349">
        <v>986.97</v>
      </c>
    </row>
    <row r="350" spans="1:3">
      <c r="A350">
        <v>4023572</v>
      </c>
      <c r="B350">
        <v>0.458947368421053</v>
      </c>
      <c r="C350">
        <v>252.88</v>
      </c>
    </row>
    <row r="351" spans="1:3">
      <c r="A351">
        <v>4209333</v>
      </c>
      <c r="B351">
        <v>5.32166666666667</v>
      </c>
      <c r="C351">
        <v>319.3</v>
      </c>
    </row>
    <row r="352" spans="1:3">
      <c r="A352">
        <v>4504845</v>
      </c>
      <c r="B352">
        <v>2.49</v>
      </c>
      <c r="C352">
        <v>104.58</v>
      </c>
    </row>
    <row r="353" spans="1:3">
      <c r="A353">
        <v>4505756</v>
      </c>
      <c r="B353">
        <v>1.69999490653492</v>
      </c>
      <c r="C353">
        <v>667.52</v>
      </c>
    </row>
    <row r="354" spans="1:3">
      <c r="A354">
        <v>4509249</v>
      </c>
      <c r="B354">
        <v>12.9399553005691</v>
      </c>
      <c r="C354">
        <v>5616.07</v>
      </c>
    </row>
    <row r="355" spans="1:3">
      <c r="A355">
        <v>4510760</v>
      </c>
      <c r="B355">
        <v>9.375</v>
      </c>
      <c r="C355">
        <v>243.75</v>
      </c>
    </row>
    <row r="356" spans="1:3">
      <c r="A356">
        <v>4515975</v>
      </c>
      <c r="B356">
        <v>26.78</v>
      </c>
      <c r="C356">
        <v>53.56</v>
      </c>
    </row>
    <row r="357" spans="1:3">
      <c r="A357">
        <v>4516322</v>
      </c>
      <c r="B357">
        <v>0.039555</v>
      </c>
      <c r="C357">
        <v>79.11</v>
      </c>
    </row>
    <row r="358" spans="1:3">
      <c r="A358">
        <v>4516410</v>
      </c>
      <c r="B358">
        <v>0.35314</v>
      </c>
      <c r="C358">
        <v>176.57</v>
      </c>
    </row>
    <row r="359" spans="1:3">
      <c r="A359">
        <v>4516631</v>
      </c>
      <c r="B359">
        <v>8.12324929971989</v>
      </c>
      <c r="C359">
        <v>58</v>
      </c>
    </row>
    <row r="360" spans="1:3">
      <c r="A360">
        <v>4516762</v>
      </c>
      <c r="B360">
        <v>19.909</v>
      </c>
      <c r="C360">
        <v>199.09</v>
      </c>
    </row>
    <row r="361" spans="1:3">
      <c r="A361">
        <v>4518131</v>
      </c>
      <c r="B361">
        <v>5.38</v>
      </c>
      <c r="C361">
        <v>182.92</v>
      </c>
    </row>
    <row r="362" spans="1:3">
      <c r="A362">
        <v>4518288</v>
      </c>
      <c r="B362">
        <v>4.5</v>
      </c>
      <c r="C362">
        <v>1818</v>
      </c>
    </row>
    <row r="363" spans="1:3">
      <c r="A363">
        <v>4518372</v>
      </c>
      <c r="B363">
        <v>6.89325723199092</v>
      </c>
      <c r="C363">
        <v>777.78</v>
      </c>
    </row>
    <row r="364" spans="1:3">
      <c r="A364">
        <v>4518902</v>
      </c>
      <c r="B364">
        <v>0.2116</v>
      </c>
      <c r="C364">
        <v>37.03</v>
      </c>
    </row>
    <row r="365" spans="1:3">
      <c r="A365">
        <v>4519341</v>
      </c>
      <c r="B365">
        <v>0.646840579710145</v>
      </c>
      <c r="C365">
        <v>446.32</v>
      </c>
    </row>
    <row r="366" spans="1:3">
      <c r="A366">
        <v>4520559</v>
      </c>
      <c r="B366">
        <v>12.0233509870005</v>
      </c>
      <c r="C366">
        <v>299.67</v>
      </c>
    </row>
    <row r="367" spans="1:3">
      <c r="A367">
        <v>4520920</v>
      </c>
      <c r="B367">
        <v>27.3045454545455</v>
      </c>
      <c r="C367">
        <v>120.14</v>
      </c>
    </row>
    <row r="368" spans="1:3">
      <c r="A368">
        <v>4520928</v>
      </c>
      <c r="B368">
        <v>7.8</v>
      </c>
      <c r="C368">
        <v>780</v>
      </c>
    </row>
    <row r="369" spans="1:3">
      <c r="A369">
        <v>4521246</v>
      </c>
      <c r="B369">
        <v>47.38</v>
      </c>
      <c r="C369">
        <v>47.38</v>
      </c>
    </row>
    <row r="370" spans="1:3">
      <c r="A370">
        <v>4522226</v>
      </c>
      <c r="B370">
        <v>3.22571428571429</v>
      </c>
      <c r="C370">
        <v>22.58</v>
      </c>
    </row>
    <row r="371" spans="1:3">
      <c r="A371">
        <v>4522444</v>
      </c>
      <c r="B371">
        <v>3.375</v>
      </c>
      <c r="C371">
        <v>189</v>
      </c>
    </row>
    <row r="372" spans="1:3">
      <c r="A372">
        <v>4522445</v>
      </c>
      <c r="B372">
        <v>3.375</v>
      </c>
      <c r="C372">
        <v>324</v>
      </c>
    </row>
    <row r="373" spans="1:3">
      <c r="A373">
        <v>4522604</v>
      </c>
      <c r="B373">
        <v>1.7</v>
      </c>
      <c r="C373">
        <v>894.2</v>
      </c>
    </row>
    <row r="374" spans="1:3">
      <c r="A374">
        <v>4522606</v>
      </c>
      <c r="B374">
        <v>10</v>
      </c>
      <c r="C374">
        <v>25</v>
      </c>
    </row>
    <row r="375" spans="1:3">
      <c r="A375">
        <v>4522916</v>
      </c>
      <c r="B375">
        <v>7.25</v>
      </c>
      <c r="C375">
        <v>819.25</v>
      </c>
    </row>
    <row r="376" spans="1:3">
      <c r="A376">
        <v>4522918</v>
      </c>
      <c r="B376">
        <v>21.313535453943</v>
      </c>
      <c r="C376">
        <v>10291.88</v>
      </c>
    </row>
    <row r="377" spans="1:3">
      <c r="A377">
        <v>4523357</v>
      </c>
      <c r="B377">
        <v>7.14285714285714</v>
      </c>
      <c r="C377">
        <v>980</v>
      </c>
    </row>
    <row r="378" spans="1:3">
      <c r="A378">
        <v>4523572</v>
      </c>
      <c r="B378">
        <v>3.9814479638009</v>
      </c>
      <c r="C378">
        <v>87.99</v>
      </c>
    </row>
    <row r="379" spans="1:3">
      <c r="A379">
        <v>4523956</v>
      </c>
      <c r="B379">
        <v>35</v>
      </c>
      <c r="C379">
        <v>3360</v>
      </c>
    </row>
    <row r="380" spans="1:3">
      <c r="A380">
        <v>4524484</v>
      </c>
      <c r="B380">
        <v>29.68</v>
      </c>
      <c r="C380">
        <v>59.36</v>
      </c>
    </row>
    <row r="381" spans="1:3">
      <c r="A381">
        <v>4524933</v>
      </c>
      <c r="B381">
        <v>35</v>
      </c>
      <c r="C381">
        <v>94.5</v>
      </c>
    </row>
    <row r="382" spans="1:3">
      <c r="A382">
        <v>4525187</v>
      </c>
      <c r="B382">
        <v>4.29979591836735</v>
      </c>
      <c r="C382">
        <v>210.69</v>
      </c>
    </row>
    <row r="383" spans="1:3">
      <c r="A383">
        <v>4525250</v>
      </c>
      <c r="B383">
        <v>16.48</v>
      </c>
      <c r="C383">
        <v>304.88</v>
      </c>
    </row>
    <row r="384" spans="1:3">
      <c r="A384">
        <v>4525314</v>
      </c>
      <c r="B384">
        <v>7.34229074889868</v>
      </c>
      <c r="C384">
        <v>166.67</v>
      </c>
    </row>
    <row r="385" spans="1:3">
      <c r="A385">
        <v>4525419</v>
      </c>
      <c r="B385">
        <v>30</v>
      </c>
      <c r="C385">
        <v>1500</v>
      </c>
    </row>
    <row r="386" spans="1:3">
      <c r="A386">
        <v>4526242</v>
      </c>
      <c r="B386">
        <v>13.3333333333333</v>
      </c>
      <c r="C386">
        <v>460</v>
      </c>
    </row>
    <row r="387" spans="1:3">
      <c r="A387">
        <v>4526243</v>
      </c>
      <c r="B387">
        <v>4.4</v>
      </c>
      <c r="C387">
        <v>140.8</v>
      </c>
    </row>
    <row r="388" spans="1:3">
      <c r="A388">
        <v>4526244</v>
      </c>
      <c r="B388">
        <v>4.7</v>
      </c>
      <c r="C388">
        <v>752</v>
      </c>
    </row>
    <row r="389" spans="1:3">
      <c r="A389">
        <v>4526258</v>
      </c>
      <c r="B389">
        <v>6.62</v>
      </c>
      <c r="C389">
        <v>218.46</v>
      </c>
    </row>
    <row r="390" spans="1:3">
      <c r="A390">
        <v>4526259</v>
      </c>
      <c r="B390">
        <v>6.72</v>
      </c>
      <c r="C390">
        <v>120.96</v>
      </c>
    </row>
    <row r="391" spans="1:3">
      <c r="A391">
        <v>4526260</v>
      </c>
      <c r="B391">
        <v>6.69</v>
      </c>
      <c r="C391">
        <v>107.04</v>
      </c>
    </row>
    <row r="392" spans="1:3">
      <c r="A392">
        <v>4526643</v>
      </c>
      <c r="B392">
        <v>28.81</v>
      </c>
      <c r="C392">
        <v>28.81</v>
      </c>
    </row>
    <row r="393" spans="1:3">
      <c r="A393">
        <v>4526644</v>
      </c>
      <c r="B393">
        <v>17.3086956521739</v>
      </c>
      <c r="C393">
        <v>39.81</v>
      </c>
    </row>
    <row r="394" spans="1:3">
      <c r="A394">
        <v>4526646</v>
      </c>
      <c r="B394">
        <v>16.3647058823529</v>
      </c>
      <c r="C394">
        <v>27.82</v>
      </c>
    </row>
    <row r="395" spans="1:3">
      <c r="A395">
        <v>4526647</v>
      </c>
      <c r="B395">
        <v>24.77</v>
      </c>
      <c r="C395">
        <v>24.77</v>
      </c>
    </row>
    <row r="396" spans="1:3">
      <c r="A396">
        <v>4526757</v>
      </c>
      <c r="B396">
        <v>3.23333333333333</v>
      </c>
      <c r="C396">
        <v>9.7</v>
      </c>
    </row>
    <row r="397" spans="1:3">
      <c r="A397">
        <v>4527138</v>
      </c>
      <c r="B397">
        <v>10.8338461538462</v>
      </c>
      <c r="C397">
        <v>70.42</v>
      </c>
    </row>
    <row r="398" spans="1:3">
      <c r="A398">
        <v>4527764</v>
      </c>
      <c r="B398">
        <v>18.9666666666667</v>
      </c>
      <c r="C398">
        <v>22.76</v>
      </c>
    </row>
    <row r="399" spans="1:3">
      <c r="A399">
        <v>4527884</v>
      </c>
      <c r="B399">
        <v>1.34100917431193</v>
      </c>
      <c r="C399">
        <v>146.17</v>
      </c>
    </row>
    <row r="400" spans="1:3">
      <c r="A400">
        <v>4528086</v>
      </c>
      <c r="B400">
        <v>3.33333333333333</v>
      </c>
      <c r="C400">
        <v>2850</v>
      </c>
    </row>
    <row r="401" spans="1:3">
      <c r="A401">
        <v>4716131</v>
      </c>
      <c r="B401">
        <v>26.7924528301887</v>
      </c>
      <c r="C401">
        <v>14.2</v>
      </c>
    </row>
    <row r="402" spans="1:3">
      <c r="A402">
        <v>4722288</v>
      </c>
      <c r="B402">
        <v>4.57664285714286</v>
      </c>
      <c r="C402">
        <v>640.73</v>
      </c>
    </row>
    <row r="403" spans="1:3">
      <c r="A403">
        <v>8011286</v>
      </c>
      <c r="B403">
        <v>0.482827777777778</v>
      </c>
      <c r="C403">
        <v>2607.27</v>
      </c>
    </row>
    <row r="404" spans="1:3">
      <c r="A404">
        <v>8011398</v>
      </c>
      <c r="B404">
        <v>0.017505</v>
      </c>
      <c r="C404">
        <v>35.01</v>
      </c>
    </row>
    <row r="405" spans="1:3">
      <c r="A405">
        <v>8011401</v>
      </c>
      <c r="B405">
        <v>0.252086666666667</v>
      </c>
      <c r="C405">
        <v>378.13</v>
      </c>
    </row>
    <row r="406" spans="1:3">
      <c r="A406">
        <v>8011411</v>
      </c>
      <c r="B406">
        <v>0.677333333333333</v>
      </c>
      <c r="C406">
        <v>162.56</v>
      </c>
    </row>
    <row r="407" spans="1:3">
      <c r="A407">
        <v>8703791</v>
      </c>
      <c r="B407">
        <v>0.03526</v>
      </c>
      <c r="C407">
        <v>70.52</v>
      </c>
    </row>
    <row r="408" spans="1:3">
      <c r="A408">
        <v>8704093</v>
      </c>
      <c r="B408">
        <v>0.0647375</v>
      </c>
      <c r="C408">
        <v>258.95</v>
      </c>
    </row>
    <row r="409" spans="1:3">
      <c r="A409">
        <v>8704096</v>
      </c>
      <c r="B409">
        <v>4.15519704433498</v>
      </c>
      <c r="C409">
        <v>1687.01</v>
      </c>
    </row>
    <row r="410" spans="1:3">
      <c r="A410">
        <v>3007923</v>
      </c>
      <c r="B410">
        <v>16.661220043573</v>
      </c>
      <c r="C410">
        <v>1376.55</v>
      </c>
    </row>
    <row r="411" spans="1:3">
      <c r="A411">
        <v>4019343</v>
      </c>
      <c r="B411">
        <v>8.33442857142857</v>
      </c>
      <c r="C411">
        <v>583.41</v>
      </c>
    </row>
    <row r="412" spans="1:3">
      <c r="A412">
        <v>4024474</v>
      </c>
      <c r="B412">
        <v>4.77130769230769</v>
      </c>
      <c r="C412">
        <v>1240.54</v>
      </c>
    </row>
    <row r="413" spans="1:3">
      <c r="A413">
        <v>4503486</v>
      </c>
      <c r="B413">
        <v>0.454285714285714</v>
      </c>
      <c r="C413">
        <v>79.5</v>
      </c>
    </row>
    <row r="414" spans="1:3">
      <c r="A414">
        <v>4514924</v>
      </c>
      <c r="B414">
        <v>14</v>
      </c>
      <c r="C414">
        <v>221.2</v>
      </c>
    </row>
    <row r="415" spans="1:3">
      <c r="A415">
        <v>4515861</v>
      </c>
      <c r="B415">
        <v>6.05048829924452</v>
      </c>
      <c r="C415">
        <v>656.72</v>
      </c>
    </row>
    <row r="416" spans="1:3">
      <c r="A416">
        <v>4516408</v>
      </c>
      <c r="B416">
        <v>6.33</v>
      </c>
      <c r="C416">
        <v>25.32</v>
      </c>
    </row>
    <row r="417" spans="1:3">
      <c r="A417">
        <v>4526284</v>
      </c>
      <c r="B417">
        <v>0.2398</v>
      </c>
      <c r="C417">
        <v>191.84</v>
      </c>
    </row>
    <row r="418" spans="1:3">
      <c r="A418">
        <v>4527761</v>
      </c>
      <c r="B418">
        <v>28.4</v>
      </c>
      <c r="C418">
        <v>28.4</v>
      </c>
    </row>
    <row r="419" spans="1:3">
      <c r="A419">
        <v>4528801</v>
      </c>
      <c r="B419">
        <v>127.900975609756</v>
      </c>
      <c r="C419">
        <v>2621.97</v>
      </c>
    </row>
    <row r="420" spans="1:3">
      <c r="A420">
        <v>4712118</v>
      </c>
      <c r="B420">
        <v>6.27380952380952</v>
      </c>
      <c r="C420">
        <v>5.27</v>
      </c>
    </row>
    <row r="421" spans="1:3">
      <c r="A421">
        <v>8011445</v>
      </c>
      <c r="B421">
        <v>0.00569944444444444</v>
      </c>
      <c r="C421">
        <v>102.59</v>
      </c>
    </row>
    <row r="422" spans="1:3">
      <c r="A422">
        <v>8011495</v>
      </c>
      <c r="B422">
        <v>0.553</v>
      </c>
      <c r="C422">
        <v>55.3</v>
      </c>
    </row>
    <row r="423" spans="1:3">
      <c r="A423">
        <v>4512509</v>
      </c>
      <c r="B423">
        <v>6.7775</v>
      </c>
      <c r="C423">
        <v>54.22</v>
      </c>
    </row>
    <row r="424" spans="1:3">
      <c r="A424">
        <v>4526332</v>
      </c>
      <c r="B424">
        <v>1</v>
      </c>
      <c r="C424">
        <v>10.8</v>
      </c>
    </row>
    <row r="425" spans="1:3">
      <c r="A425">
        <v>4529104</v>
      </c>
      <c r="B425">
        <v>0.656285714285714</v>
      </c>
      <c r="C425">
        <v>91.88</v>
      </c>
    </row>
    <row r="426" spans="1:3">
      <c r="A426">
        <v>4529331</v>
      </c>
      <c r="B426">
        <v>0.1047875</v>
      </c>
      <c r="C426">
        <v>83.83</v>
      </c>
    </row>
    <row r="427" spans="1:3">
      <c r="A427">
        <v>4735139</v>
      </c>
      <c r="B427">
        <v>10.7142857142857</v>
      </c>
      <c r="C427">
        <v>195</v>
      </c>
    </row>
    <row r="428" spans="1:3">
      <c r="A428">
        <v>1500944</v>
      </c>
      <c r="B428">
        <v>33.5</v>
      </c>
      <c r="C428">
        <v>268</v>
      </c>
    </row>
    <row r="429" spans="1:3">
      <c r="A429">
        <v>4043713</v>
      </c>
      <c r="B429">
        <v>3.38</v>
      </c>
      <c r="C429">
        <v>135.2</v>
      </c>
    </row>
    <row r="430" spans="1:3">
      <c r="A430">
        <v>4048872</v>
      </c>
      <c r="B430">
        <v>4.82830985915493</v>
      </c>
      <c r="C430">
        <v>342.81</v>
      </c>
    </row>
    <row r="431" spans="1:3">
      <c r="A431">
        <v>4526639</v>
      </c>
      <c r="B431">
        <v>9.28204321376128</v>
      </c>
      <c r="C431">
        <v>530.97</v>
      </c>
    </row>
    <row r="432" spans="1:3">
      <c r="A432">
        <v>4528554</v>
      </c>
      <c r="B432">
        <v>0.516577181208054</v>
      </c>
      <c r="C432">
        <v>76.97</v>
      </c>
    </row>
    <row r="433" spans="1:3">
      <c r="A433">
        <v>4529103</v>
      </c>
      <c r="B433">
        <v>11.3295238095238</v>
      </c>
      <c r="C433">
        <v>118.96</v>
      </c>
    </row>
    <row r="434" spans="1:3">
      <c r="A434">
        <v>4529642</v>
      </c>
      <c r="B434">
        <v>0.0625</v>
      </c>
      <c r="C434">
        <v>150</v>
      </c>
    </row>
    <row r="435" spans="1:3">
      <c r="A435">
        <v>4529643</v>
      </c>
      <c r="B435">
        <v>0.0465</v>
      </c>
      <c r="C435">
        <v>55.8</v>
      </c>
    </row>
    <row r="436" spans="1:3">
      <c r="A436">
        <v>4529698</v>
      </c>
      <c r="B436">
        <v>9.25</v>
      </c>
      <c r="C436">
        <v>342.25</v>
      </c>
    </row>
    <row r="437" spans="1:3">
      <c r="A437">
        <v>4529794</v>
      </c>
      <c r="B437">
        <v>4.995</v>
      </c>
      <c r="C437">
        <v>59.94</v>
      </c>
    </row>
    <row r="438" spans="1:3">
      <c r="A438">
        <v>4529926</v>
      </c>
      <c r="B438">
        <v>0.523333333333333</v>
      </c>
      <c r="C438">
        <v>428.61</v>
      </c>
    </row>
    <row r="439" spans="1:3">
      <c r="A439">
        <v>4734146</v>
      </c>
      <c r="B439">
        <v>8.81057268722467</v>
      </c>
      <c r="C439">
        <v>86</v>
      </c>
    </row>
    <row r="440" spans="1:3">
      <c r="A440">
        <v>8013731</v>
      </c>
      <c r="B440">
        <v>0.0233428571428571</v>
      </c>
      <c r="C440">
        <v>32.68</v>
      </c>
    </row>
    <row r="441" spans="1:3">
      <c r="A441">
        <v>8013732</v>
      </c>
      <c r="B441">
        <v>0.018675</v>
      </c>
      <c r="C441">
        <v>37.35</v>
      </c>
    </row>
    <row r="442" spans="1:3">
      <c r="A442">
        <v>8014497</v>
      </c>
      <c r="B442">
        <v>0.8088</v>
      </c>
      <c r="C442">
        <v>687.48</v>
      </c>
    </row>
    <row r="443" spans="1:3">
      <c r="A443">
        <v>8014686</v>
      </c>
      <c r="B443">
        <v>8.39466666666667</v>
      </c>
      <c r="C443">
        <v>251.84</v>
      </c>
    </row>
    <row r="444" spans="1:3">
      <c r="A444">
        <v>8014688</v>
      </c>
      <c r="B444">
        <v>31.869</v>
      </c>
      <c r="C444">
        <v>318.69</v>
      </c>
    </row>
    <row r="445" spans="1:3">
      <c r="A445">
        <v>8014690</v>
      </c>
      <c r="B445">
        <v>9.65733333333333</v>
      </c>
      <c r="C445">
        <v>289.72</v>
      </c>
    </row>
    <row r="446" spans="1:3">
      <c r="A446">
        <v>8014691</v>
      </c>
      <c r="B446">
        <v>11.404</v>
      </c>
      <c r="C446">
        <v>114.04</v>
      </c>
    </row>
    <row r="447" spans="1:3">
      <c r="A447">
        <v>1501594</v>
      </c>
      <c r="B447">
        <v>1.2</v>
      </c>
      <c r="C447">
        <v>48</v>
      </c>
    </row>
    <row r="448" spans="1:3">
      <c r="A448">
        <v>3010356</v>
      </c>
      <c r="B448">
        <v>3.73504761904762</v>
      </c>
      <c r="C448">
        <v>196.09</v>
      </c>
    </row>
    <row r="449" spans="1:3">
      <c r="A449">
        <v>4001742</v>
      </c>
      <c r="B449">
        <v>3.611</v>
      </c>
      <c r="C449">
        <v>36.11</v>
      </c>
    </row>
    <row r="450" spans="1:3">
      <c r="A450">
        <v>4501959</v>
      </c>
      <c r="B450">
        <v>3.81818181818182</v>
      </c>
      <c r="C450">
        <v>210</v>
      </c>
    </row>
    <row r="451" spans="1:3">
      <c r="A451">
        <v>4505985</v>
      </c>
      <c r="B451">
        <v>17.5991189427313</v>
      </c>
      <c r="C451">
        <v>7.99</v>
      </c>
    </row>
    <row r="452" spans="1:3">
      <c r="A452">
        <v>4517800</v>
      </c>
      <c r="B452">
        <v>2.42376237623762</v>
      </c>
      <c r="C452">
        <v>2448</v>
      </c>
    </row>
    <row r="453" spans="1:3">
      <c r="A453">
        <v>4518904</v>
      </c>
      <c r="B453">
        <v>1.54445833333333</v>
      </c>
      <c r="C453">
        <v>370.67</v>
      </c>
    </row>
    <row r="454" spans="1:3">
      <c r="A454">
        <v>4521260</v>
      </c>
      <c r="B454">
        <v>9.87962962962963</v>
      </c>
      <c r="C454">
        <v>74.69</v>
      </c>
    </row>
    <row r="455" spans="1:3">
      <c r="A455">
        <v>4525313</v>
      </c>
      <c r="B455">
        <v>7.33771428571429</v>
      </c>
      <c r="C455">
        <v>513.64</v>
      </c>
    </row>
    <row r="456" spans="1:3">
      <c r="A456">
        <v>4526367</v>
      </c>
      <c r="B456">
        <v>0.25</v>
      </c>
      <c r="C456">
        <v>50</v>
      </c>
    </row>
    <row r="457" spans="1:3">
      <c r="A457">
        <v>4529863</v>
      </c>
      <c r="B457">
        <v>3.59</v>
      </c>
      <c r="C457">
        <v>215.4</v>
      </c>
    </row>
    <row r="458" spans="1:3">
      <c r="A458">
        <v>4530016</v>
      </c>
      <c r="B458">
        <v>0.639923076923077</v>
      </c>
      <c r="C458">
        <v>83.19</v>
      </c>
    </row>
    <row r="459" spans="1:3">
      <c r="A459">
        <v>4530197</v>
      </c>
      <c r="B459">
        <v>3.09782608695652</v>
      </c>
      <c r="C459">
        <v>57</v>
      </c>
    </row>
    <row r="460" spans="1:3">
      <c r="A460">
        <v>4530204</v>
      </c>
      <c r="B460">
        <v>0.45</v>
      </c>
      <c r="C460">
        <v>243</v>
      </c>
    </row>
    <row r="461" spans="1:3">
      <c r="A461">
        <v>4530205</v>
      </c>
      <c r="B461">
        <v>2.76547512745917</v>
      </c>
      <c r="C461">
        <v>960.09</v>
      </c>
    </row>
    <row r="462" spans="1:3">
      <c r="A462">
        <v>4530206</v>
      </c>
      <c r="B462">
        <v>11</v>
      </c>
      <c r="C462">
        <v>110</v>
      </c>
    </row>
    <row r="463" spans="1:3">
      <c r="A463">
        <v>4530323</v>
      </c>
      <c r="B463">
        <v>0.89</v>
      </c>
      <c r="C463">
        <v>8.9</v>
      </c>
    </row>
    <row r="464" spans="1:3">
      <c r="A464">
        <v>4530324</v>
      </c>
      <c r="B464">
        <v>0.141666666666667</v>
      </c>
      <c r="C464">
        <v>42.5</v>
      </c>
    </row>
    <row r="465" spans="1:3">
      <c r="A465">
        <v>8005468</v>
      </c>
      <c r="B465">
        <v>8.612</v>
      </c>
      <c r="C465">
        <v>86.12</v>
      </c>
    </row>
    <row r="466" spans="1:3">
      <c r="A466">
        <v>8008962</v>
      </c>
      <c r="B466">
        <v>7.176</v>
      </c>
      <c r="C466">
        <v>35.88</v>
      </c>
    </row>
    <row r="467" spans="1:3">
      <c r="A467">
        <v>8008963</v>
      </c>
      <c r="B467">
        <v>7.176</v>
      </c>
      <c r="C467">
        <v>35.88</v>
      </c>
    </row>
    <row r="468" spans="1:3">
      <c r="A468">
        <v>8008965</v>
      </c>
      <c r="B468">
        <v>7.176</v>
      </c>
      <c r="C468">
        <v>35.88</v>
      </c>
    </row>
    <row r="469" spans="1:3">
      <c r="A469">
        <v>8008966</v>
      </c>
      <c r="B469">
        <v>7.177</v>
      </c>
      <c r="C469">
        <v>71.77</v>
      </c>
    </row>
    <row r="470" spans="1:3">
      <c r="A470">
        <v>8008967</v>
      </c>
      <c r="B470">
        <v>7.17666666666667</v>
      </c>
      <c r="C470">
        <v>107.65</v>
      </c>
    </row>
    <row r="471" spans="1:3">
      <c r="A471">
        <v>8008968</v>
      </c>
      <c r="B471">
        <v>7.17666666666667</v>
      </c>
      <c r="C471">
        <v>107.65</v>
      </c>
    </row>
    <row r="472" spans="1:3">
      <c r="A472">
        <v>8009667</v>
      </c>
      <c r="B472">
        <v>7.178</v>
      </c>
      <c r="C472">
        <v>35.89</v>
      </c>
    </row>
    <row r="473" spans="1:3">
      <c r="A473">
        <v>8009668</v>
      </c>
      <c r="B473">
        <v>7.176</v>
      </c>
      <c r="C473">
        <v>35.88</v>
      </c>
    </row>
    <row r="474" spans="1:3">
      <c r="A474">
        <v>8009754</v>
      </c>
      <c r="B474">
        <v>7.176</v>
      </c>
      <c r="C474">
        <v>35.88</v>
      </c>
    </row>
    <row r="475" spans="1:3">
      <c r="A475">
        <v>8010883</v>
      </c>
      <c r="B475">
        <v>0.747604166666667</v>
      </c>
      <c r="C475">
        <v>717.7</v>
      </c>
    </row>
    <row r="476" spans="1:3">
      <c r="A476">
        <v>8011496</v>
      </c>
      <c r="B476">
        <v>0.337025</v>
      </c>
      <c r="C476">
        <v>134.81</v>
      </c>
    </row>
    <row r="477" spans="1:3">
      <c r="A477">
        <v>8012346</v>
      </c>
      <c r="B477">
        <v>0.0782333333333333</v>
      </c>
      <c r="C477">
        <v>93.88</v>
      </c>
    </row>
    <row r="478" spans="1:3">
      <c r="A478">
        <v>8012354</v>
      </c>
      <c r="B478">
        <v>0.0361075</v>
      </c>
      <c r="C478">
        <v>1733.16</v>
      </c>
    </row>
    <row r="479" spans="1:3">
      <c r="A479">
        <v>8014499</v>
      </c>
      <c r="B479">
        <v>0.808805</v>
      </c>
      <c r="C479">
        <v>1617.61</v>
      </c>
    </row>
    <row r="480" spans="1:3">
      <c r="A480">
        <v>8014500</v>
      </c>
      <c r="B480">
        <v>0.808812903225806</v>
      </c>
      <c r="C480">
        <v>1253.66</v>
      </c>
    </row>
    <row r="481" spans="1:3">
      <c r="A481">
        <v>8014689</v>
      </c>
      <c r="B481">
        <v>12.555</v>
      </c>
      <c r="C481">
        <v>125.55</v>
      </c>
    </row>
    <row r="482" spans="1:3">
      <c r="A482">
        <v>8704092</v>
      </c>
      <c r="B482">
        <v>0.211966666666667</v>
      </c>
      <c r="C482">
        <v>63.59</v>
      </c>
    </row>
    <row r="483" spans="1:3">
      <c r="A483" t="s">
        <v>622</v>
      </c>
      <c r="B483">
        <v>1.18571833493459</v>
      </c>
      <c r="C483">
        <v>345104.2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T615"/>
  <sheetViews>
    <sheetView workbookViewId="0">
      <pane xSplit="4" ySplit="1" topLeftCell="E481" activePane="bottomRight" state="frozen"/>
      <selection/>
      <selection pane="topRight"/>
      <selection pane="bottomLeft"/>
      <selection pane="bottomRight" activeCell="A2" sqref="A2:T503"/>
    </sheetView>
  </sheetViews>
  <sheetFormatPr defaultColWidth="11" defaultRowHeight="15.75"/>
  <cols>
    <col min="1" max="1" width="11.5" style="10"/>
    <col min="2" max="2" width="11.3333333333333" style="10"/>
    <col min="3" max="3" width="5.33333333333333" style="10"/>
    <col min="4" max="4" width="10.5" style="10"/>
    <col min="5" max="5" width="12.5" style="10" customWidth="1"/>
    <col min="6" max="6" width="47" style="10"/>
    <col min="7" max="7" width="4.5" style="10"/>
    <col min="8" max="8" width="10.5" style="10"/>
    <col min="9" max="9" width="8" style="10" customWidth="1"/>
    <col min="10" max="10" width="15.8333333333333" style="10"/>
    <col min="11" max="11" width="11.5" style="10"/>
    <col min="12" max="12" width="15.8333333333333" style="10"/>
    <col min="13" max="13" width="8.5" style="10"/>
    <col min="14" max="14" width="17.1666666666667" style="10"/>
    <col min="15" max="16384" width="11" style="10"/>
  </cols>
  <sheetData>
    <row r="1" customFormat="1" spans="1:14">
      <c r="A1" s="107" t="s">
        <v>623</v>
      </c>
      <c r="B1" s="107" t="s">
        <v>624</v>
      </c>
      <c r="C1" s="107" t="s">
        <v>625</v>
      </c>
      <c r="D1" s="107" t="s">
        <v>626</v>
      </c>
      <c r="E1" s="108" t="s">
        <v>618</v>
      </c>
      <c r="F1" s="107" t="s">
        <v>627</v>
      </c>
      <c r="G1" s="107" t="s">
        <v>628</v>
      </c>
      <c r="H1" s="107" t="s">
        <v>7</v>
      </c>
      <c r="I1" s="107" t="s">
        <v>629</v>
      </c>
      <c r="J1" s="107" t="s">
        <v>630</v>
      </c>
      <c r="K1" s="107" t="s">
        <v>631</v>
      </c>
      <c r="L1" s="107" t="s">
        <v>632</v>
      </c>
      <c r="M1" s="107" t="s">
        <v>633</v>
      </c>
      <c r="N1" s="107" t="s">
        <v>634</v>
      </c>
    </row>
    <row r="2" customFormat="1" spans="1:20">
      <c r="A2" s="109">
        <v>45748</v>
      </c>
      <c r="B2" s="109">
        <v>45777</v>
      </c>
      <c r="C2" s="13" t="s">
        <v>635</v>
      </c>
      <c r="D2" s="13" t="s">
        <v>636</v>
      </c>
      <c r="E2" s="13">
        <v>1000049</v>
      </c>
      <c r="F2" s="13" t="s">
        <v>536</v>
      </c>
      <c r="G2" s="13" t="s">
        <v>45</v>
      </c>
      <c r="H2" s="13" t="s">
        <v>44</v>
      </c>
      <c r="I2" s="13" t="s">
        <v>637</v>
      </c>
      <c r="J2" s="110">
        <v>2.35</v>
      </c>
      <c r="K2" s="111">
        <v>205.8</v>
      </c>
      <c r="L2" s="110">
        <v>483</v>
      </c>
      <c r="M2" s="13" t="s">
        <v>21</v>
      </c>
      <c r="N2" s="13" t="s">
        <v>638</v>
      </c>
      <c r="O2" s="13" t="s">
        <v>639</v>
      </c>
      <c r="P2" s="13" t="s">
        <v>637</v>
      </c>
      <c r="Q2" s="13" t="s">
        <v>640</v>
      </c>
      <c r="R2" s="13" t="s">
        <v>641</v>
      </c>
      <c r="S2" s="13" t="s">
        <v>641</v>
      </c>
      <c r="T2" s="13" t="s">
        <v>641</v>
      </c>
    </row>
    <row r="3" customFormat="1" spans="1:20">
      <c r="A3" s="109">
        <v>45748</v>
      </c>
      <c r="B3" s="109">
        <v>45777</v>
      </c>
      <c r="C3" s="13" t="s">
        <v>635</v>
      </c>
      <c r="D3" s="13" t="s">
        <v>636</v>
      </c>
      <c r="E3" s="13">
        <v>1000096</v>
      </c>
      <c r="F3" s="13" t="s">
        <v>524</v>
      </c>
      <c r="G3" s="13" t="s">
        <v>74</v>
      </c>
      <c r="H3" s="13" t="s">
        <v>73</v>
      </c>
      <c r="I3" s="13" t="s">
        <v>637</v>
      </c>
      <c r="J3" s="110">
        <v>7.25</v>
      </c>
      <c r="K3" s="111">
        <v>6.44</v>
      </c>
      <c r="L3" s="110">
        <v>46.67</v>
      </c>
      <c r="M3" s="13" t="s">
        <v>21</v>
      </c>
      <c r="N3" s="13" t="s">
        <v>638</v>
      </c>
      <c r="O3" s="13" t="s">
        <v>639</v>
      </c>
      <c r="P3" s="13" t="s">
        <v>637</v>
      </c>
      <c r="Q3" s="13" t="s">
        <v>640</v>
      </c>
      <c r="R3" s="13" t="s">
        <v>641</v>
      </c>
      <c r="S3" s="13" t="s">
        <v>641</v>
      </c>
      <c r="T3" s="13" t="s">
        <v>641</v>
      </c>
    </row>
    <row r="4" customFormat="1" spans="1:20">
      <c r="A4" s="109">
        <v>45748</v>
      </c>
      <c r="B4" s="109">
        <v>45777</v>
      </c>
      <c r="C4" s="13" t="s">
        <v>635</v>
      </c>
      <c r="D4" s="13" t="s">
        <v>636</v>
      </c>
      <c r="E4" s="13">
        <v>1000103</v>
      </c>
      <c r="F4" s="13" t="s">
        <v>205</v>
      </c>
      <c r="G4" s="13" t="s">
        <v>74</v>
      </c>
      <c r="H4" s="13" t="s">
        <v>73</v>
      </c>
      <c r="I4" s="13" t="s">
        <v>637</v>
      </c>
      <c r="J4" s="110">
        <v>7.31</v>
      </c>
      <c r="K4" s="111">
        <v>54.06</v>
      </c>
      <c r="L4" s="110">
        <v>395.12</v>
      </c>
      <c r="M4" s="13" t="s">
        <v>21</v>
      </c>
      <c r="N4" s="13" t="s">
        <v>638</v>
      </c>
      <c r="O4" s="13" t="s">
        <v>639</v>
      </c>
      <c r="P4" s="13" t="s">
        <v>637</v>
      </c>
      <c r="Q4" s="13" t="s">
        <v>640</v>
      </c>
      <c r="R4" s="13" t="s">
        <v>641</v>
      </c>
      <c r="S4" s="13" t="s">
        <v>641</v>
      </c>
      <c r="T4" s="13" t="s">
        <v>641</v>
      </c>
    </row>
    <row r="5" customFormat="1" spans="1:20">
      <c r="A5" s="109">
        <v>45748</v>
      </c>
      <c r="B5" s="109">
        <v>45777</v>
      </c>
      <c r="C5" s="13" t="s">
        <v>635</v>
      </c>
      <c r="D5" s="13" t="s">
        <v>636</v>
      </c>
      <c r="E5" s="13">
        <v>1000132</v>
      </c>
      <c r="F5" s="13" t="s">
        <v>320</v>
      </c>
      <c r="G5" s="13" t="s">
        <v>74</v>
      </c>
      <c r="H5" s="13" t="s">
        <v>73</v>
      </c>
      <c r="I5" s="13" t="s">
        <v>637</v>
      </c>
      <c r="J5" s="110">
        <v>8.5</v>
      </c>
      <c r="K5" s="111">
        <v>117</v>
      </c>
      <c r="L5" s="110">
        <v>994.5</v>
      </c>
      <c r="M5" s="13" t="s">
        <v>21</v>
      </c>
      <c r="N5" s="13" t="s">
        <v>638</v>
      </c>
      <c r="O5" s="13" t="s">
        <v>639</v>
      </c>
      <c r="P5" s="13" t="s">
        <v>637</v>
      </c>
      <c r="Q5" s="13" t="s">
        <v>640</v>
      </c>
      <c r="R5" s="13" t="s">
        <v>641</v>
      </c>
      <c r="S5" s="13" t="s">
        <v>641</v>
      </c>
      <c r="T5" s="13" t="s">
        <v>641</v>
      </c>
    </row>
    <row r="6" customFormat="1" spans="1:20">
      <c r="A6" s="109">
        <v>45748</v>
      </c>
      <c r="B6" s="109">
        <v>45777</v>
      </c>
      <c r="C6" s="13" t="s">
        <v>635</v>
      </c>
      <c r="D6" s="13" t="s">
        <v>636</v>
      </c>
      <c r="E6" s="13">
        <v>1001413</v>
      </c>
      <c r="F6" s="13" t="s">
        <v>148</v>
      </c>
      <c r="G6" s="13" t="s">
        <v>45</v>
      </c>
      <c r="H6" s="13" t="s">
        <v>44</v>
      </c>
      <c r="I6" s="13" t="s">
        <v>637</v>
      </c>
      <c r="J6" s="110">
        <v>14.37</v>
      </c>
      <c r="K6" s="111">
        <v>2.46</v>
      </c>
      <c r="L6" s="110">
        <v>35.34</v>
      </c>
      <c r="M6" s="13" t="s">
        <v>21</v>
      </c>
      <c r="N6" s="13" t="s">
        <v>638</v>
      </c>
      <c r="O6" s="13" t="s">
        <v>639</v>
      </c>
      <c r="P6" s="13" t="s">
        <v>637</v>
      </c>
      <c r="Q6" s="13" t="s">
        <v>642</v>
      </c>
      <c r="R6" s="13" t="s">
        <v>641</v>
      </c>
      <c r="S6" s="13" t="s">
        <v>641</v>
      </c>
      <c r="T6" s="13" t="s">
        <v>641</v>
      </c>
    </row>
    <row r="7" customFormat="1" spans="1:20">
      <c r="A7" s="109">
        <v>45748</v>
      </c>
      <c r="B7" s="109">
        <v>45777</v>
      </c>
      <c r="C7" s="13" t="s">
        <v>635</v>
      </c>
      <c r="D7" s="13" t="s">
        <v>636</v>
      </c>
      <c r="E7" s="13">
        <v>1003028</v>
      </c>
      <c r="F7" s="13" t="s">
        <v>376</v>
      </c>
      <c r="G7" s="13" t="s">
        <v>74</v>
      </c>
      <c r="H7" s="13" t="s">
        <v>73</v>
      </c>
      <c r="I7" s="13" t="s">
        <v>637</v>
      </c>
      <c r="J7" s="110">
        <v>4.18</v>
      </c>
      <c r="K7" s="111">
        <v>500</v>
      </c>
      <c r="L7" s="110">
        <v>2092.49</v>
      </c>
      <c r="M7" s="13" t="s">
        <v>643</v>
      </c>
      <c r="N7" s="13" t="s">
        <v>642</v>
      </c>
      <c r="O7" s="13" t="s">
        <v>639</v>
      </c>
      <c r="P7" s="13" t="s">
        <v>637</v>
      </c>
      <c r="Q7" s="13" t="s">
        <v>644</v>
      </c>
      <c r="R7" s="13" t="s">
        <v>641</v>
      </c>
      <c r="S7" s="13" t="s">
        <v>641</v>
      </c>
      <c r="T7" s="13" t="s">
        <v>641</v>
      </c>
    </row>
    <row r="8" customFormat="1" spans="1:20">
      <c r="A8" s="109">
        <v>45748</v>
      </c>
      <c r="B8" s="109">
        <v>45777</v>
      </c>
      <c r="C8" s="13" t="s">
        <v>635</v>
      </c>
      <c r="D8" s="13" t="s">
        <v>636</v>
      </c>
      <c r="E8" s="13">
        <v>1004576</v>
      </c>
      <c r="F8" s="13" t="s">
        <v>503</v>
      </c>
      <c r="G8" s="13" t="s">
        <v>30</v>
      </c>
      <c r="H8" s="13" t="s">
        <v>29</v>
      </c>
      <c r="I8" s="13" t="s">
        <v>637</v>
      </c>
      <c r="J8" s="110">
        <v>0.12</v>
      </c>
      <c r="K8" s="111">
        <v>13570</v>
      </c>
      <c r="L8" s="110">
        <v>1611.11</v>
      </c>
      <c r="M8" s="13" t="s">
        <v>478</v>
      </c>
      <c r="N8" s="13" t="s">
        <v>645</v>
      </c>
      <c r="O8" s="13" t="s">
        <v>639</v>
      </c>
      <c r="P8" s="13" t="s">
        <v>637</v>
      </c>
      <c r="Q8" s="13" t="s">
        <v>640</v>
      </c>
      <c r="R8" s="13" t="s">
        <v>641</v>
      </c>
      <c r="S8" s="13" t="s">
        <v>641</v>
      </c>
      <c r="T8" s="13" t="s">
        <v>641</v>
      </c>
    </row>
    <row r="9" customFormat="1" spans="1:20">
      <c r="A9" s="109">
        <v>45748</v>
      </c>
      <c r="B9" s="109">
        <v>45777</v>
      </c>
      <c r="C9" s="13" t="s">
        <v>635</v>
      </c>
      <c r="D9" s="13" t="s">
        <v>636</v>
      </c>
      <c r="E9" s="13">
        <v>1500009</v>
      </c>
      <c r="F9" s="13" t="s">
        <v>504</v>
      </c>
      <c r="G9" s="13" t="s">
        <v>74</v>
      </c>
      <c r="H9" s="13" t="s">
        <v>73</v>
      </c>
      <c r="I9" s="13" t="s">
        <v>637</v>
      </c>
      <c r="J9" s="110">
        <v>3.13</v>
      </c>
      <c r="K9" s="111">
        <v>92.4</v>
      </c>
      <c r="L9" s="110">
        <v>288.75</v>
      </c>
      <c r="M9" s="13" t="s">
        <v>643</v>
      </c>
      <c r="N9" s="13" t="s">
        <v>642</v>
      </c>
      <c r="O9" s="13" t="s">
        <v>639</v>
      </c>
      <c r="P9" s="13" t="s">
        <v>637</v>
      </c>
      <c r="Q9" s="13" t="s">
        <v>640</v>
      </c>
      <c r="R9" s="13" t="s">
        <v>641</v>
      </c>
      <c r="S9" s="13" t="s">
        <v>641</v>
      </c>
      <c r="T9" s="13" t="s">
        <v>641</v>
      </c>
    </row>
    <row r="10" customFormat="1" spans="1:20">
      <c r="A10" s="109">
        <v>45748</v>
      </c>
      <c r="B10" s="109">
        <v>45777</v>
      </c>
      <c r="C10" s="13" t="s">
        <v>635</v>
      </c>
      <c r="D10" s="13" t="s">
        <v>636</v>
      </c>
      <c r="E10" s="13">
        <v>1500059</v>
      </c>
      <c r="F10" s="13" t="s">
        <v>72</v>
      </c>
      <c r="G10" s="13" t="s">
        <v>74</v>
      </c>
      <c r="H10" s="13" t="s">
        <v>73</v>
      </c>
      <c r="I10" s="13" t="s">
        <v>637</v>
      </c>
      <c r="J10" s="110">
        <v>4.17</v>
      </c>
      <c r="K10" s="111">
        <v>110</v>
      </c>
      <c r="L10" s="110">
        <v>458.27</v>
      </c>
      <c r="M10" s="13" t="s">
        <v>21</v>
      </c>
      <c r="N10" s="13" t="s">
        <v>638</v>
      </c>
      <c r="O10" s="13" t="s">
        <v>639</v>
      </c>
      <c r="P10" s="13" t="s">
        <v>637</v>
      </c>
      <c r="Q10" s="13" t="s">
        <v>644</v>
      </c>
      <c r="R10" s="13" t="s">
        <v>641</v>
      </c>
      <c r="S10" s="13" t="s">
        <v>641</v>
      </c>
      <c r="T10" s="13" t="s">
        <v>641</v>
      </c>
    </row>
    <row r="11" customFormat="1" spans="1:20">
      <c r="A11" s="109">
        <v>45748</v>
      </c>
      <c r="B11" s="109">
        <v>45777</v>
      </c>
      <c r="C11" s="13" t="s">
        <v>635</v>
      </c>
      <c r="D11" s="13" t="s">
        <v>636</v>
      </c>
      <c r="E11" s="13">
        <v>1500529</v>
      </c>
      <c r="F11" s="13" t="s">
        <v>293</v>
      </c>
      <c r="G11" s="13" t="s">
        <v>74</v>
      </c>
      <c r="H11" s="13" t="s">
        <v>73</v>
      </c>
      <c r="I11" s="13" t="s">
        <v>637</v>
      </c>
      <c r="J11" s="110">
        <v>2.75</v>
      </c>
      <c r="K11" s="111">
        <v>165</v>
      </c>
      <c r="L11" s="110">
        <v>453.75</v>
      </c>
      <c r="M11" s="13" t="s">
        <v>21</v>
      </c>
      <c r="N11" s="13" t="s">
        <v>638</v>
      </c>
      <c r="O11" s="13" t="s">
        <v>639</v>
      </c>
      <c r="P11" s="13" t="s">
        <v>637</v>
      </c>
      <c r="Q11" s="13" t="s">
        <v>646</v>
      </c>
      <c r="R11" s="13" t="s">
        <v>641</v>
      </c>
      <c r="S11" s="13" t="s">
        <v>641</v>
      </c>
      <c r="T11" s="13" t="s">
        <v>641</v>
      </c>
    </row>
    <row r="12" customFormat="1" spans="1:20">
      <c r="A12" s="109">
        <v>45748</v>
      </c>
      <c r="B12" s="109">
        <v>45777</v>
      </c>
      <c r="C12" s="13" t="s">
        <v>635</v>
      </c>
      <c r="D12" s="13" t="s">
        <v>636</v>
      </c>
      <c r="E12" s="13">
        <v>1500612</v>
      </c>
      <c r="F12" s="13" t="s">
        <v>470</v>
      </c>
      <c r="G12" s="13" t="s">
        <v>30</v>
      </c>
      <c r="H12" s="13" t="s">
        <v>29</v>
      </c>
      <c r="I12" s="13" t="s">
        <v>637</v>
      </c>
      <c r="J12" s="110">
        <v>17.5</v>
      </c>
      <c r="K12" s="111">
        <v>6</v>
      </c>
      <c r="L12" s="110">
        <v>105</v>
      </c>
      <c r="M12" s="13" t="s">
        <v>21</v>
      </c>
      <c r="N12" s="13" t="s">
        <v>638</v>
      </c>
      <c r="O12" s="13" t="s">
        <v>639</v>
      </c>
      <c r="P12" s="13" t="s">
        <v>637</v>
      </c>
      <c r="Q12" s="13" t="s">
        <v>640</v>
      </c>
      <c r="R12" s="13" t="s">
        <v>641</v>
      </c>
      <c r="S12" s="13" t="s">
        <v>641</v>
      </c>
      <c r="T12" s="13" t="s">
        <v>641</v>
      </c>
    </row>
    <row r="13" customFormat="1" spans="1:20">
      <c r="A13" s="109">
        <v>45748</v>
      </c>
      <c r="B13" s="109">
        <v>45777</v>
      </c>
      <c r="C13" s="13" t="s">
        <v>635</v>
      </c>
      <c r="D13" s="13" t="s">
        <v>636</v>
      </c>
      <c r="E13" s="13">
        <v>1500677</v>
      </c>
      <c r="F13" s="13" t="s">
        <v>378</v>
      </c>
      <c r="G13" s="13" t="s">
        <v>37</v>
      </c>
      <c r="H13" s="13" t="s">
        <v>647</v>
      </c>
      <c r="I13" s="13" t="s">
        <v>648</v>
      </c>
      <c r="J13" s="110">
        <v>4.61</v>
      </c>
      <c r="K13" s="111">
        <v>130</v>
      </c>
      <c r="L13" s="110">
        <v>599.13</v>
      </c>
      <c r="M13" s="13" t="s">
        <v>643</v>
      </c>
      <c r="N13" s="13" t="s">
        <v>642</v>
      </c>
      <c r="O13" s="13" t="s">
        <v>639</v>
      </c>
      <c r="P13" s="13" t="s">
        <v>637</v>
      </c>
      <c r="Q13" s="13" t="s">
        <v>642</v>
      </c>
      <c r="R13" s="13" t="s">
        <v>641</v>
      </c>
      <c r="S13" s="13" t="s">
        <v>641</v>
      </c>
      <c r="T13" s="13" t="s">
        <v>641</v>
      </c>
    </row>
    <row r="14" customFormat="1" spans="1:20">
      <c r="A14" s="109">
        <v>45748</v>
      </c>
      <c r="B14" s="109">
        <v>45777</v>
      </c>
      <c r="C14" s="13" t="s">
        <v>635</v>
      </c>
      <c r="D14" s="13" t="s">
        <v>636</v>
      </c>
      <c r="E14" s="13">
        <v>1500677</v>
      </c>
      <c r="F14" s="13" t="s">
        <v>378</v>
      </c>
      <c r="G14" s="13" t="s">
        <v>37</v>
      </c>
      <c r="H14" s="13" t="s">
        <v>647</v>
      </c>
      <c r="I14" s="13" t="s">
        <v>637</v>
      </c>
      <c r="J14" s="110">
        <v>4.61</v>
      </c>
      <c r="K14" s="111">
        <v>5391.83</v>
      </c>
      <c r="L14" s="110">
        <v>24858.94</v>
      </c>
      <c r="M14" s="13" t="s">
        <v>643</v>
      </c>
      <c r="N14" s="13" t="s">
        <v>642</v>
      </c>
      <c r="O14" s="13" t="s">
        <v>639</v>
      </c>
      <c r="P14" s="13" t="s">
        <v>637</v>
      </c>
      <c r="Q14" s="13" t="s">
        <v>642</v>
      </c>
      <c r="R14" s="13" t="s">
        <v>641</v>
      </c>
      <c r="S14" s="13" t="s">
        <v>641</v>
      </c>
      <c r="T14" s="13" t="s">
        <v>641</v>
      </c>
    </row>
    <row r="15" customFormat="1" spans="1:20">
      <c r="A15" s="109">
        <v>45748</v>
      </c>
      <c r="B15" s="109">
        <v>45777</v>
      </c>
      <c r="C15" s="13" t="s">
        <v>635</v>
      </c>
      <c r="D15" s="13" t="s">
        <v>636</v>
      </c>
      <c r="E15" s="13">
        <v>1500678</v>
      </c>
      <c r="F15" s="13" t="s">
        <v>382</v>
      </c>
      <c r="G15" s="13" t="s">
        <v>37</v>
      </c>
      <c r="H15" s="13" t="s">
        <v>647</v>
      </c>
      <c r="I15" s="13" t="s">
        <v>637</v>
      </c>
      <c r="J15" s="110">
        <v>6.25</v>
      </c>
      <c r="K15" s="111">
        <v>822.38</v>
      </c>
      <c r="L15" s="110">
        <v>5139.89</v>
      </c>
      <c r="M15" s="13" t="s">
        <v>643</v>
      </c>
      <c r="N15" s="13" t="s">
        <v>642</v>
      </c>
      <c r="O15" s="13" t="s">
        <v>639</v>
      </c>
      <c r="P15" s="13" t="s">
        <v>637</v>
      </c>
      <c r="Q15" s="13" t="s">
        <v>640</v>
      </c>
      <c r="R15" s="13" t="s">
        <v>641</v>
      </c>
      <c r="S15" s="13" t="s">
        <v>641</v>
      </c>
      <c r="T15" s="13" t="s">
        <v>641</v>
      </c>
    </row>
    <row r="16" customFormat="1" spans="1:20">
      <c r="A16" s="109">
        <v>45748</v>
      </c>
      <c r="B16" s="109">
        <v>45777</v>
      </c>
      <c r="C16" s="13" t="s">
        <v>635</v>
      </c>
      <c r="D16" s="13" t="s">
        <v>636</v>
      </c>
      <c r="E16" s="13">
        <v>1500679</v>
      </c>
      <c r="F16" s="13" t="s">
        <v>451</v>
      </c>
      <c r="G16" s="13" t="s">
        <v>37</v>
      </c>
      <c r="H16" s="13" t="s">
        <v>647</v>
      </c>
      <c r="I16" s="13" t="s">
        <v>637</v>
      </c>
      <c r="J16" s="110">
        <v>6.38</v>
      </c>
      <c r="K16" s="111">
        <v>1754.63</v>
      </c>
      <c r="L16" s="110">
        <v>11192.18</v>
      </c>
      <c r="M16" s="13" t="s">
        <v>643</v>
      </c>
      <c r="N16" s="13" t="s">
        <v>642</v>
      </c>
      <c r="O16" s="13" t="s">
        <v>639</v>
      </c>
      <c r="P16" s="13" t="s">
        <v>637</v>
      </c>
      <c r="Q16" s="13" t="s">
        <v>642</v>
      </c>
      <c r="R16" s="13" t="s">
        <v>641</v>
      </c>
      <c r="S16" s="13" t="s">
        <v>641</v>
      </c>
      <c r="T16" s="13" t="s">
        <v>641</v>
      </c>
    </row>
    <row r="17" customFormat="1" spans="1:20">
      <c r="A17" s="109">
        <v>45748</v>
      </c>
      <c r="B17" s="109">
        <v>45777</v>
      </c>
      <c r="C17" s="13" t="s">
        <v>635</v>
      </c>
      <c r="D17" s="13" t="s">
        <v>636</v>
      </c>
      <c r="E17" s="13">
        <v>1500680</v>
      </c>
      <c r="F17" s="13" t="s">
        <v>228</v>
      </c>
      <c r="G17" s="13" t="s">
        <v>37</v>
      </c>
      <c r="H17" s="13" t="s">
        <v>647</v>
      </c>
      <c r="I17" s="13" t="s">
        <v>648</v>
      </c>
      <c r="J17" s="110">
        <v>3.79</v>
      </c>
      <c r="K17" s="111">
        <v>154</v>
      </c>
      <c r="L17" s="110">
        <v>583.29</v>
      </c>
      <c r="M17" s="13" t="s">
        <v>643</v>
      </c>
      <c r="N17" s="13" t="s">
        <v>642</v>
      </c>
      <c r="O17" s="13" t="s">
        <v>639</v>
      </c>
      <c r="P17" s="13" t="s">
        <v>637</v>
      </c>
      <c r="Q17" s="13" t="s">
        <v>642</v>
      </c>
      <c r="R17" s="13" t="s">
        <v>641</v>
      </c>
      <c r="S17" s="13" t="s">
        <v>641</v>
      </c>
      <c r="T17" s="13" t="s">
        <v>641</v>
      </c>
    </row>
    <row r="18" customFormat="1" spans="1:20">
      <c r="A18" s="109">
        <v>45748</v>
      </c>
      <c r="B18" s="109">
        <v>45777</v>
      </c>
      <c r="C18" s="13" t="s">
        <v>635</v>
      </c>
      <c r="D18" s="13" t="s">
        <v>636</v>
      </c>
      <c r="E18" s="13">
        <v>1500680</v>
      </c>
      <c r="F18" s="13" t="s">
        <v>228</v>
      </c>
      <c r="G18" s="13" t="s">
        <v>37</v>
      </c>
      <c r="H18" s="13" t="s">
        <v>647</v>
      </c>
      <c r="I18" s="13" t="s">
        <v>637</v>
      </c>
      <c r="J18" s="110">
        <v>3.79</v>
      </c>
      <c r="K18" s="111">
        <v>513.7</v>
      </c>
      <c r="L18" s="110">
        <v>1946.28</v>
      </c>
      <c r="M18" s="13" t="s">
        <v>643</v>
      </c>
      <c r="N18" s="13" t="s">
        <v>642</v>
      </c>
      <c r="O18" s="13" t="s">
        <v>639</v>
      </c>
      <c r="P18" s="13" t="s">
        <v>637</v>
      </c>
      <c r="Q18" s="13" t="s">
        <v>642</v>
      </c>
      <c r="R18" s="13" t="s">
        <v>641</v>
      </c>
      <c r="S18" s="13" t="s">
        <v>641</v>
      </c>
      <c r="T18" s="13" t="s">
        <v>641</v>
      </c>
    </row>
    <row r="19" customFormat="1" spans="1:20">
      <c r="A19" s="109">
        <v>45748</v>
      </c>
      <c r="B19" s="109">
        <v>45777</v>
      </c>
      <c r="C19" s="13" t="s">
        <v>635</v>
      </c>
      <c r="D19" s="13" t="s">
        <v>636</v>
      </c>
      <c r="E19" s="13">
        <v>1500681</v>
      </c>
      <c r="F19" s="13" t="s">
        <v>156</v>
      </c>
      <c r="G19" s="13" t="s">
        <v>37</v>
      </c>
      <c r="H19" s="13" t="s">
        <v>647</v>
      </c>
      <c r="I19" s="13" t="s">
        <v>648</v>
      </c>
      <c r="J19" s="110">
        <v>4.2</v>
      </c>
      <c r="K19" s="111">
        <v>54</v>
      </c>
      <c r="L19" s="110">
        <v>227.03</v>
      </c>
      <c r="M19" s="13" t="s">
        <v>643</v>
      </c>
      <c r="N19" s="13" t="s">
        <v>642</v>
      </c>
      <c r="O19" s="13" t="s">
        <v>639</v>
      </c>
      <c r="P19" s="13" t="s">
        <v>637</v>
      </c>
      <c r="Q19" s="13" t="s">
        <v>649</v>
      </c>
      <c r="R19" s="13" t="s">
        <v>641</v>
      </c>
      <c r="S19" s="13" t="s">
        <v>650</v>
      </c>
      <c r="T19" s="13" t="s">
        <v>641</v>
      </c>
    </row>
    <row r="20" customFormat="1" spans="1:20">
      <c r="A20" s="109">
        <v>45748</v>
      </c>
      <c r="B20" s="109">
        <v>45777</v>
      </c>
      <c r="C20" s="13" t="s">
        <v>635</v>
      </c>
      <c r="D20" s="13" t="s">
        <v>636</v>
      </c>
      <c r="E20" s="13">
        <v>1500681</v>
      </c>
      <c r="F20" s="13" t="s">
        <v>156</v>
      </c>
      <c r="G20" s="13" t="s">
        <v>37</v>
      </c>
      <c r="H20" s="13" t="s">
        <v>647</v>
      </c>
      <c r="I20" s="13" t="s">
        <v>637</v>
      </c>
      <c r="J20" s="110">
        <v>4.2</v>
      </c>
      <c r="K20" s="111">
        <v>468.24</v>
      </c>
      <c r="L20" s="110">
        <v>1968.63</v>
      </c>
      <c r="M20" s="13" t="s">
        <v>643</v>
      </c>
      <c r="N20" s="13" t="s">
        <v>642</v>
      </c>
      <c r="O20" s="13" t="s">
        <v>639</v>
      </c>
      <c r="P20" s="13" t="s">
        <v>637</v>
      </c>
      <c r="Q20" s="13" t="s">
        <v>649</v>
      </c>
      <c r="R20" s="13" t="s">
        <v>641</v>
      </c>
      <c r="S20" s="13" t="s">
        <v>650</v>
      </c>
      <c r="T20" s="13" t="s">
        <v>641</v>
      </c>
    </row>
    <row r="21" customFormat="1" spans="1:20">
      <c r="A21" s="109">
        <v>45748</v>
      </c>
      <c r="B21" s="109">
        <v>45777</v>
      </c>
      <c r="C21" s="13" t="s">
        <v>635</v>
      </c>
      <c r="D21" s="13" t="s">
        <v>636</v>
      </c>
      <c r="E21" s="13">
        <v>1500682</v>
      </c>
      <c r="F21" s="13" t="s">
        <v>303</v>
      </c>
      <c r="G21" s="13" t="s">
        <v>37</v>
      </c>
      <c r="H21" s="13" t="s">
        <v>647</v>
      </c>
      <c r="I21" s="13" t="s">
        <v>648</v>
      </c>
      <c r="J21" s="110">
        <v>3.02</v>
      </c>
      <c r="K21" s="111">
        <v>22</v>
      </c>
      <c r="L21" s="110">
        <v>66.36</v>
      </c>
      <c r="M21" s="13" t="s">
        <v>643</v>
      </c>
      <c r="N21" s="13" t="s">
        <v>642</v>
      </c>
      <c r="O21" s="13" t="s">
        <v>639</v>
      </c>
      <c r="P21" s="13" t="s">
        <v>637</v>
      </c>
      <c r="Q21" s="13" t="s">
        <v>642</v>
      </c>
      <c r="R21" s="13" t="s">
        <v>641</v>
      </c>
      <c r="S21" s="13" t="s">
        <v>641</v>
      </c>
      <c r="T21" s="13" t="s">
        <v>641</v>
      </c>
    </row>
    <row r="22" customFormat="1" spans="1:20">
      <c r="A22" s="109">
        <v>45748</v>
      </c>
      <c r="B22" s="109">
        <v>45777</v>
      </c>
      <c r="C22" s="13" t="s">
        <v>635</v>
      </c>
      <c r="D22" s="13" t="s">
        <v>636</v>
      </c>
      <c r="E22" s="13">
        <v>1500682</v>
      </c>
      <c r="F22" s="13" t="s">
        <v>303</v>
      </c>
      <c r="G22" s="13" t="s">
        <v>37</v>
      </c>
      <c r="H22" s="13" t="s">
        <v>647</v>
      </c>
      <c r="I22" s="13" t="s">
        <v>637</v>
      </c>
      <c r="J22" s="110">
        <v>3.02</v>
      </c>
      <c r="K22" s="111">
        <v>69.81</v>
      </c>
      <c r="L22" s="110">
        <v>210.58</v>
      </c>
      <c r="M22" s="13" t="s">
        <v>643</v>
      </c>
      <c r="N22" s="13" t="s">
        <v>642</v>
      </c>
      <c r="O22" s="13" t="s">
        <v>639</v>
      </c>
      <c r="P22" s="13" t="s">
        <v>637</v>
      </c>
      <c r="Q22" s="13" t="s">
        <v>642</v>
      </c>
      <c r="R22" s="13" t="s">
        <v>641</v>
      </c>
      <c r="S22" s="13" t="s">
        <v>641</v>
      </c>
      <c r="T22" s="13" t="s">
        <v>641</v>
      </c>
    </row>
    <row r="23" customFormat="1" spans="1:20">
      <c r="A23" s="109">
        <v>45748</v>
      </c>
      <c r="B23" s="109">
        <v>45777</v>
      </c>
      <c r="C23" s="13" t="s">
        <v>635</v>
      </c>
      <c r="D23" s="13" t="s">
        <v>636</v>
      </c>
      <c r="E23" s="13">
        <v>1500684</v>
      </c>
      <c r="F23" s="13" t="s">
        <v>312</v>
      </c>
      <c r="G23" s="13" t="s">
        <v>37</v>
      </c>
      <c r="H23" s="13" t="s">
        <v>647</v>
      </c>
      <c r="I23" s="13" t="s">
        <v>637</v>
      </c>
      <c r="J23" s="110">
        <v>6.8</v>
      </c>
      <c r="K23" s="111">
        <v>154.3</v>
      </c>
      <c r="L23" s="110">
        <v>1049.24</v>
      </c>
      <c r="M23" s="13" t="s">
        <v>643</v>
      </c>
      <c r="N23" s="13" t="s">
        <v>642</v>
      </c>
      <c r="O23" s="13" t="s">
        <v>639</v>
      </c>
      <c r="P23" s="13" t="s">
        <v>637</v>
      </c>
      <c r="Q23" s="13" t="s">
        <v>642</v>
      </c>
      <c r="R23" s="13" t="s">
        <v>641</v>
      </c>
      <c r="S23" s="13" t="s">
        <v>641</v>
      </c>
      <c r="T23" s="13" t="s">
        <v>641</v>
      </c>
    </row>
    <row r="24" customFormat="1" spans="1:20">
      <c r="A24" s="109">
        <v>45748</v>
      </c>
      <c r="B24" s="109">
        <v>45777</v>
      </c>
      <c r="C24" s="13" t="s">
        <v>635</v>
      </c>
      <c r="D24" s="13" t="s">
        <v>636</v>
      </c>
      <c r="E24" s="13">
        <v>1500685</v>
      </c>
      <c r="F24" s="13" t="s">
        <v>383</v>
      </c>
      <c r="G24" s="13" t="s">
        <v>37</v>
      </c>
      <c r="H24" s="13" t="s">
        <v>647</v>
      </c>
      <c r="I24" s="13" t="s">
        <v>637</v>
      </c>
      <c r="J24" s="110">
        <v>6.99</v>
      </c>
      <c r="K24" s="111">
        <v>232.5</v>
      </c>
      <c r="L24" s="110">
        <v>1625.17</v>
      </c>
      <c r="M24" s="13" t="s">
        <v>643</v>
      </c>
      <c r="N24" s="13" t="s">
        <v>642</v>
      </c>
      <c r="O24" s="13" t="s">
        <v>639</v>
      </c>
      <c r="P24" s="13" t="s">
        <v>637</v>
      </c>
      <c r="Q24" s="13" t="s">
        <v>642</v>
      </c>
      <c r="R24" s="13" t="s">
        <v>641</v>
      </c>
      <c r="S24" s="13" t="s">
        <v>641</v>
      </c>
      <c r="T24" s="13" t="s">
        <v>641</v>
      </c>
    </row>
    <row r="25" customFormat="1" spans="1:20">
      <c r="A25" s="109">
        <v>45748</v>
      </c>
      <c r="B25" s="109">
        <v>45777</v>
      </c>
      <c r="C25" s="13" t="s">
        <v>635</v>
      </c>
      <c r="D25" s="13" t="s">
        <v>636</v>
      </c>
      <c r="E25" s="13">
        <v>1500686</v>
      </c>
      <c r="F25" s="13" t="s">
        <v>380</v>
      </c>
      <c r="G25" s="13" t="s">
        <v>37</v>
      </c>
      <c r="H25" s="13" t="s">
        <v>647</v>
      </c>
      <c r="I25" s="13" t="s">
        <v>637</v>
      </c>
      <c r="J25" s="110">
        <v>14.99</v>
      </c>
      <c r="K25" s="111">
        <v>437.94</v>
      </c>
      <c r="L25" s="110">
        <v>6564.73</v>
      </c>
      <c r="M25" s="13" t="s">
        <v>643</v>
      </c>
      <c r="N25" s="13" t="s">
        <v>642</v>
      </c>
      <c r="O25" s="13" t="s">
        <v>639</v>
      </c>
      <c r="P25" s="13" t="s">
        <v>637</v>
      </c>
      <c r="Q25" s="13" t="s">
        <v>642</v>
      </c>
      <c r="R25" s="13" t="s">
        <v>641</v>
      </c>
      <c r="S25" s="13" t="s">
        <v>641</v>
      </c>
      <c r="T25" s="13" t="s">
        <v>641</v>
      </c>
    </row>
    <row r="26" customFormat="1" spans="1:20">
      <c r="A26" s="109">
        <v>45748</v>
      </c>
      <c r="B26" s="109">
        <v>45777</v>
      </c>
      <c r="C26" s="13" t="s">
        <v>635</v>
      </c>
      <c r="D26" s="13" t="s">
        <v>636</v>
      </c>
      <c r="E26" s="13">
        <v>1500687</v>
      </c>
      <c r="F26" s="13" t="s">
        <v>386</v>
      </c>
      <c r="G26" s="13" t="s">
        <v>37</v>
      </c>
      <c r="H26" s="13" t="s">
        <v>647</v>
      </c>
      <c r="I26" s="13" t="s">
        <v>637</v>
      </c>
      <c r="J26" s="110">
        <v>1.08</v>
      </c>
      <c r="K26" s="111">
        <v>1585.376</v>
      </c>
      <c r="L26" s="110">
        <v>1716.99</v>
      </c>
      <c r="M26" s="13" t="s">
        <v>643</v>
      </c>
      <c r="N26" s="13" t="s">
        <v>642</v>
      </c>
      <c r="O26" s="13" t="s">
        <v>639</v>
      </c>
      <c r="P26" s="13" t="s">
        <v>637</v>
      </c>
      <c r="Q26" s="13" t="s">
        <v>644</v>
      </c>
      <c r="R26" s="13" t="s">
        <v>641</v>
      </c>
      <c r="S26" s="13" t="s">
        <v>641</v>
      </c>
      <c r="T26" s="13" t="s">
        <v>641</v>
      </c>
    </row>
    <row r="27" customFormat="1" spans="1:20">
      <c r="A27" s="109">
        <v>45748</v>
      </c>
      <c r="B27" s="109">
        <v>45777</v>
      </c>
      <c r="C27" s="13" t="s">
        <v>635</v>
      </c>
      <c r="D27" s="13" t="s">
        <v>636</v>
      </c>
      <c r="E27" s="13">
        <v>1500688</v>
      </c>
      <c r="F27" s="13" t="s">
        <v>651</v>
      </c>
      <c r="G27" s="13" t="s">
        <v>74</v>
      </c>
      <c r="H27" s="13" t="s">
        <v>73</v>
      </c>
      <c r="I27" s="13" t="s">
        <v>648</v>
      </c>
      <c r="J27" s="110">
        <v>4.38</v>
      </c>
      <c r="K27" s="111">
        <v>15</v>
      </c>
      <c r="L27" s="110">
        <v>65.7</v>
      </c>
      <c r="M27" s="13" t="s">
        <v>643</v>
      </c>
      <c r="N27" s="13" t="s">
        <v>642</v>
      </c>
      <c r="O27" s="13" t="s">
        <v>639</v>
      </c>
      <c r="P27" s="13" t="s">
        <v>637</v>
      </c>
      <c r="Q27" s="13" t="s">
        <v>642</v>
      </c>
      <c r="R27" s="13" t="s">
        <v>641</v>
      </c>
      <c r="S27" s="13" t="s">
        <v>641</v>
      </c>
      <c r="T27" s="13" t="s">
        <v>641</v>
      </c>
    </row>
    <row r="28" customFormat="1" spans="1:20">
      <c r="A28" s="109">
        <v>45748</v>
      </c>
      <c r="B28" s="109">
        <v>45777</v>
      </c>
      <c r="C28" s="13" t="s">
        <v>635</v>
      </c>
      <c r="D28" s="13" t="s">
        <v>636</v>
      </c>
      <c r="E28" s="13">
        <v>1500694</v>
      </c>
      <c r="F28" s="13" t="s">
        <v>652</v>
      </c>
      <c r="G28" s="13" t="s">
        <v>37</v>
      </c>
      <c r="H28" s="13" t="s">
        <v>647</v>
      </c>
      <c r="I28" s="13" t="s">
        <v>648</v>
      </c>
      <c r="J28" s="110">
        <v>2.69</v>
      </c>
      <c r="K28" s="111">
        <v>123</v>
      </c>
      <c r="L28" s="110">
        <v>330.87</v>
      </c>
      <c r="M28" s="13" t="s">
        <v>643</v>
      </c>
      <c r="N28" s="13" t="s">
        <v>642</v>
      </c>
      <c r="O28" s="13" t="s">
        <v>653</v>
      </c>
      <c r="P28" s="13" t="s">
        <v>648</v>
      </c>
      <c r="Q28" s="13" t="s">
        <v>654</v>
      </c>
      <c r="R28" s="13" t="s">
        <v>641</v>
      </c>
      <c r="S28" s="13" t="s">
        <v>641</v>
      </c>
      <c r="T28" s="13" t="s">
        <v>641</v>
      </c>
    </row>
    <row r="29" customFormat="1" spans="1:20">
      <c r="A29" s="109">
        <v>45748</v>
      </c>
      <c r="B29" s="109">
        <v>45777</v>
      </c>
      <c r="C29" s="13" t="s">
        <v>635</v>
      </c>
      <c r="D29" s="13" t="s">
        <v>636</v>
      </c>
      <c r="E29" s="13">
        <v>1500695</v>
      </c>
      <c r="F29" s="13" t="s">
        <v>424</v>
      </c>
      <c r="G29" s="13" t="s">
        <v>37</v>
      </c>
      <c r="H29" s="13" t="s">
        <v>647</v>
      </c>
      <c r="I29" s="13" t="s">
        <v>648</v>
      </c>
      <c r="J29" s="110">
        <v>5.21</v>
      </c>
      <c r="K29" s="111">
        <v>120</v>
      </c>
      <c r="L29" s="110">
        <v>625</v>
      </c>
      <c r="M29" s="13" t="s">
        <v>643</v>
      </c>
      <c r="N29" s="13" t="s">
        <v>642</v>
      </c>
      <c r="O29" s="13" t="s">
        <v>653</v>
      </c>
      <c r="P29" s="13" t="s">
        <v>648</v>
      </c>
      <c r="Q29" s="13" t="s">
        <v>654</v>
      </c>
      <c r="R29" s="13" t="s">
        <v>641</v>
      </c>
      <c r="S29" s="13" t="s">
        <v>641</v>
      </c>
      <c r="T29" s="13" t="s">
        <v>641</v>
      </c>
    </row>
    <row r="30" customFormat="1" spans="1:20">
      <c r="A30" s="109">
        <v>45748</v>
      </c>
      <c r="B30" s="109">
        <v>45777</v>
      </c>
      <c r="C30" s="13" t="s">
        <v>635</v>
      </c>
      <c r="D30" s="13" t="s">
        <v>636</v>
      </c>
      <c r="E30" s="13">
        <v>1500700</v>
      </c>
      <c r="F30" s="13" t="s">
        <v>119</v>
      </c>
      <c r="G30" s="13" t="s">
        <v>74</v>
      </c>
      <c r="H30" s="13" t="s">
        <v>73</v>
      </c>
      <c r="I30" s="13" t="s">
        <v>648</v>
      </c>
      <c r="J30" s="110">
        <v>3.65</v>
      </c>
      <c r="K30" s="111">
        <v>40</v>
      </c>
      <c r="L30" s="110">
        <v>146</v>
      </c>
      <c r="M30" s="13" t="s">
        <v>643</v>
      </c>
      <c r="N30" s="13" t="s">
        <v>642</v>
      </c>
      <c r="O30" s="13" t="s">
        <v>639</v>
      </c>
      <c r="P30" s="13" t="s">
        <v>637</v>
      </c>
      <c r="Q30" s="13" t="s">
        <v>642</v>
      </c>
      <c r="R30" s="13" t="s">
        <v>641</v>
      </c>
      <c r="S30" s="13" t="s">
        <v>641</v>
      </c>
      <c r="T30" s="13" t="s">
        <v>641</v>
      </c>
    </row>
    <row r="31" customFormat="1" spans="1:20">
      <c r="A31" s="109">
        <v>45748</v>
      </c>
      <c r="B31" s="109">
        <v>45777</v>
      </c>
      <c r="C31" s="13" t="s">
        <v>635</v>
      </c>
      <c r="D31" s="13" t="s">
        <v>636</v>
      </c>
      <c r="E31" s="13">
        <v>1500700</v>
      </c>
      <c r="F31" s="13" t="s">
        <v>119</v>
      </c>
      <c r="G31" s="13" t="s">
        <v>74</v>
      </c>
      <c r="H31" s="13" t="s">
        <v>73</v>
      </c>
      <c r="I31" s="13" t="s">
        <v>637</v>
      </c>
      <c r="J31" s="110">
        <v>3.65</v>
      </c>
      <c r="K31" s="111">
        <v>313.27</v>
      </c>
      <c r="L31" s="110">
        <v>1143.44</v>
      </c>
      <c r="M31" s="13" t="s">
        <v>643</v>
      </c>
      <c r="N31" s="13" t="s">
        <v>642</v>
      </c>
      <c r="O31" s="13" t="s">
        <v>639</v>
      </c>
      <c r="P31" s="13" t="s">
        <v>637</v>
      </c>
      <c r="Q31" s="13" t="s">
        <v>642</v>
      </c>
      <c r="R31" s="13" t="s">
        <v>641</v>
      </c>
      <c r="S31" s="13" t="s">
        <v>641</v>
      </c>
      <c r="T31" s="13" t="s">
        <v>641</v>
      </c>
    </row>
    <row r="32" customFormat="1" spans="1:20">
      <c r="A32" s="109">
        <v>45748</v>
      </c>
      <c r="B32" s="109">
        <v>45777</v>
      </c>
      <c r="C32" s="13" t="s">
        <v>635</v>
      </c>
      <c r="D32" s="13" t="s">
        <v>636</v>
      </c>
      <c r="E32" s="13">
        <v>1500703</v>
      </c>
      <c r="F32" s="13" t="s">
        <v>226</v>
      </c>
      <c r="G32" s="13" t="s">
        <v>37</v>
      </c>
      <c r="H32" s="13" t="s">
        <v>647</v>
      </c>
      <c r="I32" s="13" t="s">
        <v>637</v>
      </c>
      <c r="J32" s="110">
        <v>4.33</v>
      </c>
      <c r="K32" s="111">
        <v>344</v>
      </c>
      <c r="L32" s="110">
        <v>1490.67</v>
      </c>
      <c r="M32" s="13" t="s">
        <v>643</v>
      </c>
      <c r="N32" s="13" t="s">
        <v>642</v>
      </c>
      <c r="O32" s="13" t="s">
        <v>639</v>
      </c>
      <c r="P32" s="13" t="s">
        <v>637</v>
      </c>
      <c r="Q32" s="13" t="s">
        <v>642</v>
      </c>
      <c r="R32" s="13" t="s">
        <v>641</v>
      </c>
      <c r="S32" s="13" t="s">
        <v>641</v>
      </c>
      <c r="T32" s="13" t="s">
        <v>641</v>
      </c>
    </row>
    <row r="33" customFormat="1" spans="1:20">
      <c r="A33" s="109">
        <v>45748</v>
      </c>
      <c r="B33" s="109">
        <v>45777</v>
      </c>
      <c r="C33" s="13" t="s">
        <v>635</v>
      </c>
      <c r="D33" s="13" t="s">
        <v>636</v>
      </c>
      <c r="E33" s="13">
        <v>1500704</v>
      </c>
      <c r="F33" s="13" t="s">
        <v>509</v>
      </c>
      <c r="G33" s="13" t="s">
        <v>30</v>
      </c>
      <c r="H33" s="13" t="s">
        <v>29</v>
      </c>
      <c r="I33" s="13" t="s">
        <v>637</v>
      </c>
      <c r="J33" s="110">
        <v>4.09</v>
      </c>
      <c r="K33" s="111">
        <v>224</v>
      </c>
      <c r="L33" s="110">
        <v>915.77</v>
      </c>
      <c r="M33" s="13" t="s">
        <v>643</v>
      </c>
      <c r="N33" s="13" t="s">
        <v>642</v>
      </c>
      <c r="O33" s="13" t="s">
        <v>639</v>
      </c>
      <c r="P33" s="13" t="s">
        <v>637</v>
      </c>
      <c r="Q33" s="13" t="s">
        <v>642</v>
      </c>
      <c r="R33" s="13" t="s">
        <v>641</v>
      </c>
      <c r="S33" s="13" t="s">
        <v>641</v>
      </c>
      <c r="T33" s="13" t="s">
        <v>641</v>
      </c>
    </row>
    <row r="34" customFormat="1" spans="1:20">
      <c r="A34" s="109">
        <v>45748</v>
      </c>
      <c r="B34" s="109">
        <v>45777</v>
      </c>
      <c r="C34" s="13" t="s">
        <v>635</v>
      </c>
      <c r="D34" s="13" t="s">
        <v>636</v>
      </c>
      <c r="E34" s="13">
        <v>1500710</v>
      </c>
      <c r="F34" s="13" t="s">
        <v>307</v>
      </c>
      <c r="G34" s="13" t="s">
        <v>74</v>
      </c>
      <c r="H34" s="13" t="s">
        <v>73</v>
      </c>
      <c r="I34" s="13" t="s">
        <v>637</v>
      </c>
      <c r="J34" s="110">
        <v>15.23</v>
      </c>
      <c r="K34" s="111">
        <v>19</v>
      </c>
      <c r="L34" s="110">
        <v>289.34</v>
      </c>
      <c r="M34" s="13" t="s">
        <v>643</v>
      </c>
      <c r="N34" s="13" t="s">
        <v>642</v>
      </c>
      <c r="O34" s="13" t="s">
        <v>639</v>
      </c>
      <c r="P34" s="13" t="s">
        <v>637</v>
      </c>
      <c r="Q34" s="13" t="s">
        <v>649</v>
      </c>
      <c r="R34" s="13" t="s">
        <v>641</v>
      </c>
      <c r="S34" s="13" t="s">
        <v>641</v>
      </c>
      <c r="T34" s="13" t="s">
        <v>641</v>
      </c>
    </row>
    <row r="35" customFormat="1" spans="1:20">
      <c r="A35" s="109">
        <v>45748</v>
      </c>
      <c r="B35" s="109">
        <v>45777</v>
      </c>
      <c r="C35" s="13" t="s">
        <v>635</v>
      </c>
      <c r="D35" s="13" t="s">
        <v>636</v>
      </c>
      <c r="E35" s="13">
        <v>1500713</v>
      </c>
      <c r="F35" s="13" t="s">
        <v>233</v>
      </c>
      <c r="G35" s="13" t="s">
        <v>74</v>
      </c>
      <c r="H35" s="13" t="s">
        <v>73</v>
      </c>
      <c r="I35" s="13" t="s">
        <v>637</v>
      </c>
      <c r="J35" s="110">
        <v>3.5</v>
      </c>
      <c r="K35" s="111">
        <v>38</v>
      </c>
      <c r="L35" s="110">
        <v>133</v>
      </c>
      <c r="M35" s="13" t="s">
        <v>30</v>
      </c>
      <c r="N35" s="13" t="s">
        <v>655</v>
      </c>
      <c r="O35" s="13" t="s">
        <v>639</v>
      </c>
      <c r="P35" s="13" t="s">
        <v>637</v>
      </c>
      <c r="Q35" s="13" t="s">
        <v>656</v>
      </c>
      <c r="R35" s="13" t="s">
        <v>641</v>
      </c>
      <c r="S35" s="13" t="s">
        <v>641</v>
      </c>
      <c r="T35" s="13" t="s">
        <v>641</v>
      </c>
    </row>
    <row r="36" customFormat="1" spans="1:20">
      <c r="A36" s="109">
        <v>45748</v>
      </c>
      <c r="B36" s="109">
        <v>45777</v>
      </c>
      <c r="C36" s="13" t="s">
        <v>635</v>
      </c>
      <c r="D36" s="13" t="s">
        <v>636</v>
      </c>
      <c r="E36" s="13">
        <v>1500721</v>
      </c>
      <c r="F36" s="13" t="s">
        <v>657</v>
      </c>
      <c r="G36" s="13" t="s">
        <v>30</v>
      </c>
      <c r="H36" s="13" t="s">
        <v>29</v>
      </c>
      <c r="I36" s="13" t="s">
        <v>648</v>
      </c>
      <c r="J36" s="110">
        <v>0.6</v>
      </c>
      <c r="K36" s="111">
        <v>30</v>
      </c>
      <c r="L36" s="110">
        <v>18</v>
      </c>
      <c r="M36" s="13" t="s">
        <v>30</v>
      </c>
      <c r="N36" s="13" t="s">
        <v>655</v>
      </c>
      <c r="O36" s="13" t="s">
        <v>639</v>
      </c>
      <c r="P36" s="13" t="s">
        <v>637</v>
      </c>
      <c r="Q36" s="13" t="s">
        <v>656</v>
      </c>
      <c r="R36" s="13" t="s">
        <v>641</v>
      </c>
      <c r="S36" s="13" t="s">
        <v>641</v>
      </c>
      <c r="T36" s="13" t="s">
        <v>641</v>
      </c>
    </row>
    <row r="37" customFormat="1" spans="1:20">
      <c r="A37" s="109">
        <v>45748</v>
      </c>
      <c r="B37" s="109">
        <v>45777</v>
      </c>
      <c r="C37" s="13" t="s">
        <v>635</v>
      </c>
      <c r="D37" s="13" t="s">
        <v>636</v>
      </c>
      <c r="E37" s="13">
        <v>1500721</v>
      </c>
      <c r="F37" s="13" t="s">
        <v>657</v>
      </c>
      <c r="G37" s="13" t="s">
        <v>30</v>
      </c>
      <c r="H37" s="13" t="s">
        <v>29</v>
      </c>
      <c r="I37" s="13" t="s">
        <v>637</v>
      </c>
      <c r="J37" s="110">
        <v>0.6</v>
      </c>
      <c r="K37" s="111">
        <v>630</v>
      </c>
      <c r="L37" s="110">
        <v>378</v>
      </c>
      <c r="M37" s="13" t="s">
        <v>30</v>
      </c>
      <c r="N37" s="13" t="s">
        <v>655</v>
      </c>
      <c r="O37" s="13" t="s">
        <v>639</v>
      </c>
      <c r="P37" s="13" t="s">
        <v>637</v>
      </c>
      <c r="Q37" s="13" t="s">
        <v>656</v>
      </c>
      <c r="R37" s="13" t="s">
        <v>641</v>
      </c>
      <c r="S37" s="13" t="s">
        <v>641</v>
      </c>
      <c r="T37" s="13" t="s">
        <v>641</v>
      </c>
    </row>
    <row r="38" customFormat="1" spans="1:20">
      <c r="A38" s="109">
        <v>45748</v>
      </c>
      <c r="B38" s="109">
        <v>45777</v>
      </c>
      <c r="C38" s="13" t="s">
        <v>635</v>
      </c>
      <c r="D38" s="13" t="s">
        <v>636</v>
      </c>
      <c r="E38" s="13">
        <v>1500725</v>
      </c>
      <c r="F38" s="13" t="s">
        <v>514</v>
      </c>
      <c r="G38" s="13" t="s">
        <v>74</v>
      </c>
      <c r="H38" s="13" t="s">
        <v>73</v>
      </c>
      <c r="I38" s="13" t="s">
        <v>637</v>
      </c>
      <c r="J38" s="110">
        <v>9</v>
      </c>
      <c r="K38" s="111">
        <v>135</v>
      </c>
      <c r="L38" s="110">
        <v>1215</v>
      </c>
      <c r="M38" s="13" t="s">
        <v>97</v>
      </c>
      <c r="N38" s="13" t="s">
        <v>656</v>
      </c>
      <c r="O38" s="13" t="s">
        <v>639</v>
      </c>
      <c r="P38" s="13" t="s">
        <v>637</v>
      </c>
      <c r="Q38" s="13" t="s">
        <v>656</v>
      </c>
      <c r="R38" s="13" t="s">
        <v>641</v>
      </c>
      <c r="S38" s="13" t="s">
        <v>641</v>
      </c>
      <c r="T38" s="13" t="s">
        <v>641</v>
      </c>
    </row>
    <row r="39" customFormat="1" spans="1:20">
      <c r="A39" s="109">
        <v>45748</v>
      </c>
      <c r="B39" s="109">
        <v>45777</v>
      </c>
      <c r="C39" s="13" t="s">
        <v>635</v>
      </c>
      <c r="D39" s="13" t="s">
        <v>636</v>
      </c>
      <c r="E39" s="13">
        <v>1500728</v>
      </c>
      <c r="F39" s="13" t="s">
        <v>313</v>
      </c>
      <c r="G39" s="13" t="s">
        <v>30</v>
      </c>
      <c r="H39" s="13" t="s">
        <v>29</v>
      </c>
      <c r="I39" s="13" t="s">
        <v>637</v>
      </c>
      <c r="J39" s="110">
        <v>1.3</v>
      </c>
      <c r="K39" s="111">
        <v>60</v>
      </c>
      <c r="L39" s="110">
        <v>78</v>
      </c>
      <c r="M39" s="13" t="s">
        <v>261</v>
      </c>
      <c r="N39" s="13" t="s">
        <v>654</v>
      </c>
      <c r="O39" s="13" t="s">
        <v>639</v>
      </c>
      <c r="P39" s="13" t="s">
        <v>637</v>
      </c>
      <c r="Q39" s="13" t="s">
        <v>640</v>
      </c>
      <c r="R39" s="13" t="s">
        <v>641</v>
      </c>
      <c r="S39" s="13" t="s">
        <v>641</v>
      </c>
      <c r="T39" s="13" t="s">
        <v>641</v>
      </c>
    </row>
    <row r="40" customFormat="1" spans="1:20">
      <c r="A40" s="109">
        <v>45748</v>
      </c>
      <c r="B40" s="109">
        <v>45777</v>
      </c>
      <c r="C40" s="13" t="s">
        <v>635</v>
      </c>
      <c r="D40" s="13" t="s">
        <v>636</v>
      </c>
      <c r="E40" s="13">
        <v>1500730</v>
      </c>
      <c r="F40" s="13" t="s">
        <v>582</v>
      </c>
      <c r="G40" s="13" t="s">
        <v>74</v>
      </c>
      <c r="H40" s="13" t="s">
        <v>73</v>
      </c>
      <c r="I40" s="13" t="s">
        <v>637</v>
      </c>
      <c r="J40" s="110">
        <v>8</v>
      </c>
      <c r="K40" s="111">
        <v>127.5</v>
      </c>
      <c r="L40" s="110">
        <v>1020</v>
      </c>
      <c r="M40" s="13" t="s">
        <v>643</v>
      </c>
      <c r="N40" s="13" t="s">
        <v>642</v>
      </c>
      <c r="O40" s="13" t="s">
        <v>639</v>
      </c>
      <c r="P40" s="13" t="s">
        <v>637</v>
      </c>
      <c r="Q40" s="13" t="s">
        <v>642</v>
      </c>
      <c r="R40" s="13" t="s">
        <v>641</v>
      </c>
      <c r="S40" s="13" t="s">
        <v>641</v>
      </c>
      <c r="T40" s="13" t="s">
        <v>641</v>
      </c>
    </row>
    <row r="41" customFormat="1" spans="1:20">
      <c r="A41" s="109">
        <v>45748</v>
      </c>
      <c r="B41" s="109">
        <v>45777</v>
      </c>
      <c r="C41" s="13" t="s">
        <v>635</v>
      </c>
      <c r="D41" s="13" t="s">
        <v>636</v>
      </c>
      <c r="E41" s="13">
        <v>1500732</v>
      </c>
      <c r="F41" s="13" t="s">
        <v>560</v>
      </c>
      <c r="G41" s="13" t="s">
        <v>30</v>
      </c>
      <c r="H41" s="13" t="s">
        <v>29</v>
      </c>
      <c r="I41" s="13" t="s">
        <v>637</v>
      </c>
      <c r="J41" s="110">
        <v>2.85</v>
      </c>
      <c r="K41" s="111">
        <v>76</v>
      </c>
      <c r="L41" s="110">
        <v>216.85</v>
      </c>
      <c r="M41" s="13" t="s">
        <v>261</v>
      </c>
      <c r="N41" s="13" t="s">
        <v>654</v>
      </c>
      <c r="O41" s="13" t="s">
        <v>639</v>
      </c>
      <c r="P41" s="13" t="s">
        <v>637</v>
      </c>
      <c r="Q41" s="13" t="s">
        <v>649</v>
      </c>
      <c r="R41" s="13" t="s">
        <v>641</v>
      </c>
      <c r="S41" s="13" t="s">
        <v>641</v>
      </c>
      <c r="T41" s="13" t="s">
        <v>641</v>
      </c>
    </row>
    <row r="42" customFormat="1" spans="1:20">
      <c r="A42" s="109">
        <v>45748</v>
      </c>
      <c r="B42" s="109">
        <v>45777</v>
      </c>
      <c r="C42" s="13" t="s">
        <v>635</v>
      </c>
      <c r="D42" s="13" t="s">
        <v>636</v>
      </c>
      <c r="E42" s="13">
        <v>1500734</v>
      </c>
      <c r="F42" s="13" t="s">
        <v>588</v>
      </c>
      <c r="G42" s="13" t="s">
        <v>37</v>
      </c>
      <c r="H42" s="13" t="s">
        <v>647</v>
      </c>
      <c r="I42" s="13" t="s">
        <v>637</v>
      </c>
      <c r="J42" s="110">
        <v>9.8</v>
      </c>
      <c r="K42" s="111">
        <v>223.86</v>
      </c>
      <c r="L42" s="110">
        <v>2193.83</v>
      </c>
      <c r="M42" s="13" t="s">
        <v>97</v>
      </c>
      <c r="N42" s="13" t="s">
        <v>656</v>
      </c>
      <c r="O42" s="13" t="s">
        <v>639</v>
      </c>
      <c r="P42" s="13" t="s">
        <v>637</v>
      </c>
      <c r="Q42" s="13" t="s">
        <v>656</v>
      </c>
      <c r="R42" s="13" t="s">
        <v>641</v>
      </c>
      <c r="S42" s="13" t="s">
        <v>641</v>
      </c>
      <c r="T42" s="13" t="s">
        <v>641</v>
      </c>
    </row>
    <row r="43" customFormat="1" spans="1:20">
      <c r="A43" s="109">
        <v>45748</v>
      </c>
      <c r="B43" s="109">
        <v>45777</v>
      </c>
      <c r="C43" s="13" t="s">
        <v>635</v>
      </c>
      <c r="D43" s="13" t="s">
        <v>636</v>
      </c>
      <c r="E43" s="13">
        <v>1500736</v>
      </c>
      <c r="F43" s="13" t="s">
        <v>350</v>
      </c>
      <c r="G43" s="13" t="s">
        <v>138</v>
      </c>
      <c r="H43" s="13" t="s">
        <v>137</v>
      </c>
      <c r="I43" s="13" t="s">
        <v>648</v>
      </c>
      <c r="J43" s="110">
        <v>2.29</v>
      </c>
      <c r="K43" s="111">
        <v>40</v>
      </c>
      <c r="L43" s="110">
        <v>91.75</v>
      </c>
      <c r="M43" s="13" t="s">
        <v>97</v>
      </c>
      <c r="N43" s="13" t="s">
        <v>656</v>
      </c>
      <c r="O43" s="13" t="s">
        <v>639</v>
      </c>
      <c r="P43" s="13" t="s">
        <v>637</v>
      </c>
      <c r="Q43" s="13" t="s">
        <v>656</v>
      </c>
      <c r="R43" s="13" t="s">
        <v>641</v>
      </c>
      <c r="S43" s="13" t="s">
        <v>641</v>
      </c>
      <c r="T43" s="13" t="s">
        <v>641</v>
      </c>
    </row>
    <row r="44" customFormat="1" spans="1:20">
      <c r="A44" s="109">
        <v>45748</v>
      </c>
      <c r="B44" s="109">
        <v>45777</v>
      </c>
      <c r="C44" s="13" t="s">
        <v>635</v>
      </c>
      <c r="D44" s="13" t="s">
        <v>636</v>
      </c>
      <c r="E44" s="13">
        <v>1500736</v>
      </c>
      <c r="F44" s="13" t="s">
        <v>350</v>
      </c>
      <c r="G44" s="13" t="s">
        <v>138</v>
      </c>
      <c r="H44" s="13" t="s">
        <v>137</v>
      </c>
      <c r="I44" s="13" t="s">
        <v>637</v>
      </c>
      <c r="J44" s="110">
        <v>2.29</v>
      </c>
      <c r="K44" s="111">
        <v>185</v>
      </c>
      <c r="L44" s="110">
        <v>424.24</v>
      </c>
      <c r="M44" s="13" t="s">
        <v>97</v>
      </c>
      <c r="N44" s="13" t="s">
        <v>656</v>
      </c>
      <c r="O44" s="13" t="s">
        <v>639</v>
      </c>
      <c r="P44" s="13" t="s">
        <v>637</v>
      </c>
      <c r="Q44" s="13" t="s">
        <v>656</v>
      </c>
      <c r="R44" s="13" t="s">
        <v>641</v>
      </c>
      <c r="S44" s="13" t="s">
        <v>641</v>
      </c>
      <c r="T44" s="13" t="s">
        <v>641</v>
      </c>
    </row>
    <row r="45" customFormat="1" spans="1:20">
      <c r="A45" s="109">
        <v>45748</v>
      </c>
      <c r="B45" s="109">
        <v>45777</v>
      </c>
      <c r="C45" s="13" t="s">
        <v>635</v>
      </c>
      <c r="D45" s="13" t="s">
        <v>636</v>
      </c>
      <c r="E45" s="13">
        <v>1500737</v>
      </c>
      <c r="F45" s="13" t="s">
        <v>400</v>
      </c>
      <c r="G45" s="13" t="s">
        <v>56</v>
      </c>
      <c r="H45" s="13" t="s">
        <v>55</v>
      </c>
      <c r="I45" s="13" t="s">
        <v>648</v>
      </c>
      <c r="J45" s="110">
        <v>6.13</v>
      </c>
      <c r="K45" s="111">
        <v>6</v>
      </c>
      <c r="L45" s="110">
        <v>36.75</v>
      </c>
      <c r="M45" s="13" t="s">
        <v>658</v>
      </c>
      <c r="N45" s="13" t="s">
        <v>646</v>
      </c>
      <c r="O45" s="13" t="s">
        <v>639</v>
      </c>
      <c r="P45" s="13" t="s">
        <v>637</v>
      </c>
      <c r="Q45" s="13" t="s">
        <v>646</v>
      </c>
      <c r="R45" s="13" t="s">
        <v>641</v>
      </c>
      <c r="S45" s="13" t="s">
        <v>641</v>
      </c>
      <c r="T45" s="13" t="s">
        <v>641</v>
      </c>
    </row>
    <row r="46" customFormat="1" spans="1:20">
      <c r="A46" s="109">
        <v>45748</v>
      </c>
      <c r="B46" s="109">
        <v>45777</v>
      </c>
      <c r="C46" s="13" t="s">
        <v>635</v>
      </c>
      <c r="D46" s="13" t="s">
        <v>636</v>
      </c>
      <c r="E46" s="13">
        <v>1500737</v>
      </c>
      <c r="F46" s="13" t="s">
        <v>400</v>
      </c>
      <c r="G46" s="13" t="s">
        <v>56</v>
      </c>
      <c r="H46" s="13" t="s">
        <v>55</v>
      </c>
      <c r="I46" s="13" t="s">
        <v>637</v>
      </c>
      <c r="J46" s="110">
        <v>6.13</v>
      </c>
      <c r="K46" s="111">
        <v>50</v>
      </c>
      <c r="L46" s="110">
        <v>306.25</v>
      </c>
      <c r="M46" s="13" t="s">
        <v>658</v>
      </c>
      <c r="N46" s="13" t="s">
        <v>646</v>
      </c>
      <c r="O46" s="13" t="s">
        <v>639</v>
      </c>
      <c r="P46" s="13" t="s">
        <v>637</v>
      </c>
      <c r="Q46" s="13" t="s">
        <v>646</v>
      </c>
      <c r="R46" s="13" t="s">
        <v>641</v>
      </c>
      <c r="S46" s="13" t="s">
        <v>641</v>
      </c>
      <c r="T46" s="13" t="s">
        <v>641</v>
      </c>
    </row>
    <row r="47" customFormat="1" spans="1:20">
      <c r="A47" s="109">
        <v>45748</v>
      </c>
      <c r="B47" s="109">
        <v>45777</v>
      </c>
      <c r="C47" s="13" t="s">
        <v>635</v>
      </c>
      <c r="D47" s="13" t="s">
        <v>636</v>
      </c>
      <c r="E47" s="13">
        <v>1500738</v>
      </c>
      <c r="F47" s="13" t="s">
        <v>528</v>
      </c>
      <c r="G47" s="13" t="s">
        <v>128</v>
      </c>
      <c r="H47" s="13" t="s">
        <v>127</v>
      </c>
      <c r="I47" s="13" t="s">
        <v>637</v>
      </c>
      <c r="J47" s="110">
        <v>10</v>
      </c>
      <c r="K47" s="111">
        <v>67</v>
      </c>
      <c r="L47" s="110">
        <v>670</v>
      </c>
      <c r="M47" s="13" t="s">
        <v>658</v>
      </c>
      <c r="N47" s="13" t="s">
        <v>646</v>
      </c>
      <c r="O47" s="13" t="s">
        <v>639</v>
      </c>
      <c r="P47" s="13" t="s">
        <v>637</v>
      </c>
      <c r="Q47" s="13" t="s">
        <v>642</v>
      </c>
      <c r="R47" s="13" t="s">
        <v>641</v>
      </c>
      <c r="S47" s="13" t="s">
        <v>641</v>
      </c>
      <c r="T47" s="13" t="s">
        <v>641</v>
      </c>
    </row>
    <row r="48" customFormat="1" spans="1:20">
      <c r="A48" s="109">
        <v>45748</v>
      </c>
      <c r="B48" s="109">
        <v>45777</v>
      </c>
      <c r="C48" s="13" t="s">
        <v>635</v>
      </c>
      <c r="D48" s="13" t="s">
        <v>636</v>
      </c>
      <c r="E48" s="13">
        <v>1500740</v>
      </c>
      <c r="F48" s="13" t="s">
        <v>315</v>
      </c>
      <c r="G48" s="13" t="s">
        <v>128</v>
      </c>
      <c r="H48" s="13" t="s">
        <v>127</v>
      </c>
      <c r="I48" s="13" t="s">
        <v>637</v>
      </c>
      <c r="J48" s="110">
        <v>15</v>
      </c>
      <c r="K48" s="111">
        <v>3</v>
      </c>
      <c r="L48" s="110">
        <v>45</v>
      </c>
      <c r="M48" s="13" t="s">
        <v>659</v>
      </c>
      <c r="N48" s="13" t="s">
        <v>660</v>
      </c>
      <c r="O48" s="13" t="s">
        <v>639</v>
      </c>
      <c r="P48" s="13" t="s">
        <v>637</v>
      </c>
      <c r="Q48" s="13" t="s">
        <v>642</v>
      </c>
      <c r="R48" s="13" t="s">
        <v>641</v>
      </c>
      <c r="S48" s="13" t="s">
        <v>641</v>
      </c>
      <c r="T48" s="13" t="s">
        <v>641</v>
      </c>
    </row>
    <row r="49" customFormat="1" spans="1:20">
      <c r="A49" s="109">
        <v>45748</v>
      </c>
      <c r="B49" s="109">
        <v>45777</v>
      </c>
      <c r="C49" s="13" t="s">
        <v>635</v>
      </c>
      <c r="D49" s="13" t="s">
        <v>636</v>
      </c>
      <c r="E49" s="13">
        <v>1500741</v>
      </c>
      <c r="F49" s="13" t="s">
        <v>396</v>
      </c>
      <c r="G49" s="13" t="s">
        <v>128</v>
      </c>
      <c r="H49" s="13" t="s">
        <v>127</v>
      </c>
      <c r="I49" s="13" t="s">
        <v>637</v>
      </c>
      <c r="J49" s="110">
        <v>22.99</v>
      </c>
      <c r="K49" s="111">
        <v>12</v>
      </c>
      <c r="L49" s="110">
        <v>275.88</v>
      </c>
      <c r="M49" s="13" t="s">
        <v>659</v>
      </c>
      <c r="N49" s="13" t="s">
        <v>660</v>
      </c>
      <c r="O49" s="13" t="s">
        <v>639</v>
      </c>
      <c r="P49" s="13" t="s">
        <v>637</v>
      </c>
      <c r="Q49" s="13" t="s">
        <v>642</v>
      </c>
      <c r="R49" s="13" t="s">
        <v>641</v>
      </c>
      <c r="S49" s="13" t="s">
        <v>641</v>
      </c>
      <c r="T49" s="13" t="s">
        <v>641</v>
      </c>
    </row>
    <row r="50" customFormat="1" spans="1:20">
      <c r="A50" s="109">
        <v>45748</v>
      </c>
      <c r="B50" s="109">
        <v>45777</v>
      </c>
      <c r="C50" s="13" t="s">
        <v>635</v>
      </c>
      <c r="D50" s="13" t="s">
        <v>636</v>
      </c>
      <c r="E50" s="13">
        <v>1500743</v>
      </c>
      <c r="F50" s="13" t="s">
        <v>423</v>
      </c>
      <c r="G50" s="13" t="s">
        <v>74</v>
      </c>
      <c r="H50" s="13" t="s">
        <v>73</v>
      </c>
      <c r="I50" s="13" t="s">
        <v>637</v>
      </c>
      <c r="J50" s="110">
        <v>1.86</v>
      </c>
      <c r="K50" s="111">
        <v>150</v>
      </c>
      <c r="L50" s="110">
        <v>279.31</v>
      </c>
      <c r="M50" s="13" t="s">
        <v>97</v>
      </c>
      <c r="N50" s="13" t="s">
        <v>656</v>
      </c>
      <c r="O50" s="13" t="s">
        <v>639</v>
      </c>
      <c r="P50" s="13" t="s">
        <v>637</v>
      </c>
      <c r="Q50" s="13" t="s">
        <v>656</v>
      </c>
      <c r="R50" s="13" t="s">
        <v>641</v>
      </c>
      <c r="S50" s="13" t="s">
        <v>641</v>
      </c>
      <c r="T50" s="13" t="s">
        <v>641</v>
      </c>
    </row>
    <row r="51" customFormat="1" spans="1:20">
      <c r="A51" s="109">
        <v>45748</v>
      </c>
      <c r="B51" s="109">
        <v>45777</v>
      </c>
      <c r="C51" s="13" t="s">
        <v>635</v>
      </c>
      <c r="D51" s="13" t="s">
        <v>636</v>
      </c>
      <c r="E51" s="13">
        <v>1500745</v>
      </c>
      <c r="F51" s="13" t="s">
        <v>488</v>
      </c>
      <c r="G51" s="13" t="s">
        <v>128</v>
      </c>
      <c r="H51" s="13" t="s">
        <v>127</v>
      </c>
      <c r="I51" s="13" t="s">
        <v>637</v>
      </c>
      <c r="J51" s="110">
        <v>1.16</v>
      </c>
      <c r="K51" s="111">
        <v>1272</v>
      </c>
      <c r="L51" s="110">
        <v>1480.93</v>
      </c>
      <c r="M51" s="13" t="s">
        <v>97</v>
      </c>
      <c r="N51" s="13" t="s">
        <v>656</v>
      </c>
      <c r="O51" s="13" t="s">
        <v>639</v>
      </c>
      <c r="P51" s="13" t="s">
        <v>637</v>
      </c>
      <c r="Q51" s="13" t="s">
        <v>656</v>
      </c>
      <c r="R51" s="13" t="s">
        <v>641</v>
      </c>
      <c r="S51" s="13" t="s">
        <v>641</v>
      </c>
      <c r="T51" s="13" t="s">
        <v>641</v>
      </c>
    </row>
    <row r="52" customFormat="1" spans="1:20">
      <c r="A52" s="109">
        <v>45748</v>
      </c>
      <c r="B52" s="109">
        <v>45777</v>
      </c>
      <c r="C52" s="13" t="s">
        <v>635</v>
      </c>
      <c r="D52" s="13" t="s">
        <v>636</v>
      </c>
      <c r="E52" s="13">
        <v>1500749</v>
      </c>
      <c r="F52" s="13" t="s">
        <v>586</v>
      </c>
      <c r="G52" s="13" t="s">
        <v>37</v>
      </c>
      <c r="H52" s="13" t="s">
        <v>647</v>
      </c>
      <c r="I52" s="13" t="s">
        <v>637</v>
      </c>
      <c r="J52" s="110">
        <v>8.41</v>
      </c>
      <c r="K52" s="111">
        <v>65</v>
      </c>
      <c r="L52" s="110">
        <v>546.42</v>
      </c>
      <c r="M52" s="13" t="s">
        <v>97</v>
      </c>
      <c r="N52" s="13" t="s">
        <v>656</v>
      </c>
      <c r="O52" s="13" t="s">
        <v>639</v>
      </c>
      <c r="P52" s="13" t="s">
        <v>637</v>
      </c>
      <c r="Q52" s="13" t="s">
        <v>656</v>
      </c>
      <c r="R52" s="13" t="s">
        <v>641</v>
      </c>
      <c r="S52" s="13" t="s">
        <v>641</v>
      </c>
      <c r="T52" s="13" t="s">
        <v>641</v>
      </c>
    </row>
    <row r="53" customFormat="1" spans="1:20">
      <c r="A53" s="109">
        <v>45748</v>
      </c>
      <c r="B53" s="109">
        <v>45777</v>
      </c>
      <c r="C53" s="13" t="s">
        <v>635</v>
      </c>
      <c r="D53" s="13" t="s">
        <v>636</v>
      </c>
      <c r="E53" s="13">
        <v>1500750</v>
      </c>
      <c r="F53" s="13" t="s">
        <v>661</v>
      </c>
      <c r="G53" s="13" t="s">
        <v>37</v>
      </c>
      <c r="H53" s="13" t="s">
        <v>647</v>
      </c>
      <c r="I53" s="13" t="s">
        <v>648</v>
      </c>
      <c r="J53" s="110">
        <v>2.95</v>
      </c>
      <c r="K53" s="111">
        <v>5.4</v>
      </c>
      <c r="L53" s="110">
        <v>15.93</v>
      </c>
      <c r="M53" s="13" t="s">
        <v>97</v>
      </c>
      <c r="N53" s="13" t="s">
        <v>656</v>
      </c>
      <c r="O53" s="13" t="s">
        <v>639</v>
      </c>
      <c r="P53" s="13" t="s">
        <v>637</v>
      </c>
      <c r="Q53" s="13" t="s">
        <v>656</v>
      </c>
      <c r="R53" s="13" t="s">
        <v>641</v>
      </c>
      <c r="S53" s="13" t="s">
        <v>641</v>
      </c>
      <c r="T53" s="13" t="s">
        <v>641</v>
      </c>
    </row>
    <row r="54" customFormat="1" spans="1:20">
      <c r="A54" s="109">
        <v>45748</v>
      </c>
      <c r="B54" s="109">
        <v>45777</v>
      </c>
      <c r="C54" s="13" t="s">
        <v>635</v>
      </c>
      <c r="D54" s="13" t="s">
        <v>636</v>
      </c>
      <c r="E54" s="13">
        <v>1500750</v>
      </c>
      <c r="F54" s="13" t="s">
        <v>661</v>
      </c>
      <c r="G54" s="13" t="s">
        <v>37</v>
      </c>
      <c r="H54" s="13" t="s">
        <v>647</v>
      </c>
      <c r="I54" s="13" t="s">
        <v>637</v>
      </c>
      <c r="J54" s="110">
        <v>4.4</v>
      </c>
      <c r="K54" s="111">
        <v>5</v>
      </c>
      <c r="L54" s="110">
        <v>22</v>
      </c>
      <c r="M54" s="13" t="s">
        <v>97</v>
      </c>
      <c r="N54" s="13" t="s">
        <v>656</v>
      </c>
      <c r="O54" s="13" t="s">
        <v>639</v>
      </c>
      <c r="P54" s="13" t="s">
        <v>637</v>
      </c>
      <c r="Q54" s="13" t="s">
        <v>656</v>
      </c>
      <c r="R54" s="13" t="s">
        <v>641</v>
      </c>
      <c r="S54" s="13" t="s">
        <v>641</v>
      </c>
      <c r="T54" s="13" t="s">
        <v>641</v>
      </c>
    </row>
    <row r="55" customFormat="1" spans="1:20">
      <c r="A55" s="109">
        <v>45748</v>
      </c>
      <c r="B55" s="109">
        <v>45777</v>
      </c>
      <c r="C55" s="13" t="s">
        <v>635</v>
      </c>
      <c r="D55" s="13" t="s">
        <v>636</v>
      </c>
      <c r="E55" s="13">
        <v>1500752</v>
      </c>
      <c r="F55" s="13" t="s">
        <v>291</v>
      </c>
      <c r="G55" s="13" t="s">
        <v>30</v>
      </c>
      <c r="H55" s="13" t="s">
        <v>29</v>
      </c>
      <c r="I55" s="13" t="s">
        <v>637</v>
      </c>
      <c r="J55" s="110">
        <v>2.09</v>
      </c>
      <c r="K55" s="111">
        <v>336</v>
      </c>
      <c r="L55" s="110">
        <v>701.76</v>
      </c>
      <c r="M55" s="13" t="s">
        <v>97</v>
      </c>
      <c r="N55" s="13" t="s">
        <v>656</v>
      </c>
      <c r="O55" s="13" t="s">
        <v>639</v>
      </c>
      <c r="P55" s="13" t="s">
        <v>637</v>
      </c>
      <c r="Q55" s="13" t="s">
        <v>656</v>
      </c>
      <c r="R55" s="13" t="s">
        <v>641</v>
      </c>
      <c r="S55" s="13" t="s">
        <v>641</v>
      </c>
      <c r="T55" s="13" t="s">
        <v>641</v>
      </c>
    </row>
    <row r="56" customFormat="1" spans="1:20">
      <c r="A56" s="109">
        <v>45748</v>
      </c>
      <c r="B56" s="109">
        <v>45777</v>
      </c>
      <c r="C56" s="13" t="s">
        <v>635</v>
      </c>
      <c r="D56" s="13" t="s">
        <v>636</v>
      </c>
      <c r="E56" s="13">
        <v>1500754</v>
      </c>
      <c r="F56" s="13" t="s">
        <v>553</v>
      </c>
      <c r="G56" s="13" t="s">
        <v>128</v>
      </c>
      <c r="H56" s="13" t="s">
        <v>127</v>
      </c>
      <c r="I56" s="13" t="s">
        <v>637</v>
      </c>
      <c r="J56" s="110">
        <v>0.42</v>
      </c>
      <c r="K56" s="111">
        <v>2928</v>
      </c>
      <c r="L56" s="110">
        <v>1224.84</v>
      </c>
      <c r="M56" s="13" t="s">
        <v>21</v>
      </c>
      <c r="N56" s="13" t="s">
        <v>638</v>
      </c>
      <c r="O56" s="13" t="s">
        <v>639</v>
      </c>
      <c r="P56" s="13" t="s">
        <v>637</v>
      </c>
      <c r="Q56" s="13" t="s">
        <v>640</v>
      </c>
      <c r="R56" s="13" t="s">
        <v>641</v>
      </c>
      <c r="S56" s="13" t="s">
        <v>641</v>
      </c>
      <c r="T56" s="13" t="s">
        <v>641</v>
      </c>
    </row>
    <row r="57" customFormat="1" spans="1:20">
      <c r="A57" s="109">
        <v>45748</v>
      </c>
      <c r="B57" s="109">
        <v>45777</v>
      </c>
      <c r="C57" s="13" t="s">
        <v>635</v>
      </c>
      <c r="D57" s="13" t="s">
        <v>636</v>
      </c>
      <c r="E57" s="13">
        <v>1500755</v>
      </c>
      <c r="F57" s="13" t="s">
        <v>399</v>
      </c>
      <c r="G57" s="13" t="s">
        <v>177</v>
      </c>
      <c r="H57" s="13" t="s">
        <v>176</v>
      </c>
      <c r="I57" s="13" t="s">
        <v>637</v>
      </c>
      <c r="J57" s="110">
        <v>47.22</v>
      </c>
      <c r="K57" s="111">
        <v>54.5</v>
      </c>
      <c r="L57" s="110">
        <v>2573.62</v>
      </c>
      <c r="M57" s="13" t="s">
        <v>97</v>
      </c>
      <c r="N57" s="13" t="s">
        <v>656</v>
      </c>
      <c r="O57" s="13" t="s">
        <v>639</v>
      </c>
      <c r="P57" s="13" t="s">
        <v>637</v>
      </c>
      <c r="Q57" s="13" t="s">
        <v>656</v>
      </c>
      <c r="R57" s="13" t="s">
        <v>641</v>
      </c>
      <c r="S57" s="13" t="s">
        <v>641</v>
      </c>
      <c r="T57" s="13" t="s">
        <v>641</v>
      </c>
    </row>
    <row r="58" customFormat="1" spans="1:20">
      <c r="A58" s="109">
        <v>45748</v>
      </c>
      <c r="B58" s="109">
        <v>45777</v>
      </c>
      <c r="C58" s="13" t="s">
        <v>635</v>
      </c>
      <c r="D58" s="13" t="s">
        <v>636</v>
      </c>
      <c r="E58" s="13">
        <v>1500758</v>
      </c>
      <c r="F58" s="13" t="s">
        <v>493</v>
      </c>
      <c r="G58" s="13" t="s">
        <v>37</v>
      </c>
      <c r="H58" s="13" t="s">
        <v>647</v>
      </c>
      <c r="I58" s="13" t="s">
        <v>637</v>
      </c>
      <c r="J58" s="110">
        <v>1.9</v>
      </c>
      <c r="K58" s="111">
        <v>600</v>
      </c>
      <c r="L58" s="110">
        <v>1141.94</v>
      </c>
      <c r="M58" s="13" t="s">
        <v>97</v>
      </c>
      <c r="N58" s="13" t="s">
        <v>656</v>
      </c>
      <c r="O58" s="13" t="s">
        <v>639</v>
      </c>
      <c r="P58" s="13" t="s">
        <v>637</v>
      </c>
      <c r="Q58" s="13" t="s">
        <v>656</v>
      </c>
      <c r="R58" s="13" t="s">
        <v>641</v>
      </c>
      <c r="S58" s="13" t="s">
        <v>641</v>
      </c>
      <c r="T58" s="13" t="s">
        <v>641</v>
      </c>
    </row>
    <row r="59" customFormat="1" spans="1:20">
      <c r="A59" s="109">
        <v>45748</v>
      </c>
      <c r="B59" s="109">
        <v>45777</v>
      </c>
      <c r="C59" s="13" t="s">
        <v>635</v>
      </c>
      <c r="D59" s="13" t="s">
        <v>636</v>
      </c>
      <c r="E59" s="13">
        <v>1500764</v>
      </c>
      <c r="F59" s="13" t="s">
        <v>406</v>
      </c>
      <c r="G59" s="13" t="s">
        <v>408</v>
      </c>
      <c r="H59" s="13" t="s">
        <v>407</v>
      </c>
      <c r="I59" s="13" t="s">
        <v>648</v>
      </c>
      <c r="J59" s="110">
        <v>1.16</v>
      </c>
      <c r="K59" s="111">
        <v>48</v>
      </c>
      <c r="L59" s="110">
        <v>55.6</v>
      </c>
      <c r="M59" s="13" t="s">
        <v>97</v>
      </c>
      <c r="N59" s="13" t="s">
        <v>656</v>
      </c>
      <c r="O59" s="13" t="s">
        <v>639</v>
      </c>
      <c r="P59" s="13" t="s">
        <v>637</v>
      </c>
      <c r="Q59" s="13" t="s">
        <v>656</v>
      </c>
      <c r="R59" s="13" t="s">
        <v>641</v>
      </c>
      <c r="S59" s="13" t="s">
        <v>641</v>
      </c>
      <c r="T59" s="13" t="s">
        <v>641</v>
      </c>
    </row>
    <row r="60" customFormat="1" spans="1:20">
      <c r="A60" s="109">
        <v>45748</v>
      </c>
      <c r="B60" s="109">
        <v>45777</v>
      </c>
      <c r="C60" s="13" t="s">
        <v>635</v>
      </c>
      <c r="D60" s="13" t="s">
        <v>636</v>
      </c>
      <c r="E60" s="13">
        <v>1500764</v>
      </c>
      <c r="F60" s="13" t="s">
        <v>406</v>
      </c>
      <c r="G60" s="13" t="s">
        <v>408</v>
      </c>
      <c r="H60" s="13" t="s">
        <v>407</v>
      </c>
      <c r="I60" s="13" t="s">
        <v>637</v>
      </c>
      <c r="J60" s="110">
        <v>1.16</v>
      </c>
      <c r="K60" s="111">
        <v>1200</v>
      </c>
      <c r="L60" s="110">
        <v>1389.9</v>
      </c>
      <c r="M60" s="13" t="s">
        <v>97</v>
      </c>
      <c r="N60" s="13" t="s">
        <v>656</v>
      </c>
      <c r="O60" s="13" t="s">
        <v>639</v>
      </c>
      <c r="P60" s="13" t="s">
        <v>637</v>
      </c>
      <c r="Q60" s="13" t="s">
        <v>656</v>
      </c>
      <c r="R60" s="13" t="s">
        <v>641</v>
      </c>
      <c r="S60" s="13" t="s">
        <v>641</v>
      </c>
      <c r="T60" s="13" t="s">
        <v>641</v>
      </c>
    </row>
    <row r="61" customFormat="1" spans="1:20">
      <c r="A61" s="109">
        <v>45748</v>
      </c>
      <c r="B61" s="109">
        <v>45777</v>
      </c>
      <c r="C61" s="13" t="s">
        <v>635</v>
      </c>
      <c r="D61" s="13" t="s">
        <v>636</v>
      </c>
      <c r="E61" s="13">
        <v>1500765</v>
      </c>
      <c r="F61" s="13" t="s">
        <v>465</v>
      </c>
      <c r="G61" s="13" t="s">
        <v>177</v>
      </c>
      <c r="H61" s="13" t="s">
        <v>176</v>
      </c>
      <c r="I61" s="13" t="s">
        <v>637</v>
      </c>
      <c r="J61" s="110">
        <v>77.48</v>
      </c>
      <c r="K61" s="111">
        <v>9.7</v>
      </c>
      <c r="L61" s="110">
        <v>751.54</v>
      </c>
      <c r="M61" s="13" t="s">
        <v>97</v>
      </c>
      <c r="N61" s="13" t="s">
        <v>656</v>
      </c>
      <c r="O61" s="13" t="s">
        <v>639</v>
      </c>
      <c r="P61" s="13" t="s">
        <v>637</v>
      </c>
      <c r="Q61" s="13" t="s">
        <v>656</v>
      </c>
      <c r="R61" s="13" t="s">
        <v>641</v>
      </c>
      <c r="S61" s="13" t="s">
        <v>641</v>
      </c>
      <c r="T61" s="13" t="s">
        <v>641</v>
      </c>
    </row>
    <row r="62" customFormat="1" spans="1:20">
      <c r="A62" s="109">
        <v>45748</v>
      </c>
      <c r="B62" s="109">
        <v>45777</v>
      </c>
      <c r="C62" s="13" t="s">
        <v>635</v>
      </c>
      <c r="D62" s="13" t="s">
        <v>636</v>
      </c>
      <c r="E62" s="13">
        <v>1500766</v>
      </c>
      <c r="F62" s="13" t="s">
        <v>512</v>
      </c>
      <c r="G62" s="13" t="s">
        <v>408</v>
      </c>
      <c r="H62" s="13" t="s">
        <v>407</v>
      </c>
      <c r="I62" s="13" t="s">
        <v>637</v>
      </c>
      <c r="J62" s="110">
        <v>1</v>
      </c>
      <c r="K62" s="111">
        <v>240</v>
      </c>
      <c r="L62" s="110">
        <v>239</v>
      </c>
      <c r="M62" s="13" t="s">
        <v>21</v>
      </c>
      <c r="N62" s="13" t="s">
        <v>638</v>
      </c>
      <c r="O62" s="13" t="s">
        <v>639</v>
      </c>
      <c r="P62" s="13" t="s">
        <v>637</v>
      </c>
      <c r="Q62" s="13" t="s">
        <v>640</v>
      </c>
      <c r="R62" s="13" t="s">
        <v>641</v>
      </c>
      <c r="S62" s="13" t="s">
        <v>641</v>
      </c>
      <c r="T62" s="13" t="s">
        <v>641</v>
      </c>
    </row>
    <row r="63" customFormat="1" spans="1:20">
      <c r="A63" s="109">
        <v>45748</v>
      </c>
      <c r="B63" s="109">
        <v>45777</v>
      </c>
      <c r="C63" s="13" t="s">
        <v>635</v>
      </c>
      <c r="D63" s="13" t="s">
        <v>636</v>
      </c>
      <c r="E63" s="13">
        <v>1500768</v>
      </c>
      <c r="F63" s="13" t="s">
        <v>662</v>
      </c>
      <c r="G63" s="13" t="s">
        <v>37</v>
      </c>
      <c r="H63" s="13" t="s">
        <v>647</v>
      </c>
      <c r="I63" s="13" t="s">
        <v>648</v>
      </c>
      <c r="J63" s="110">
        <v>0.65</v>
      </c>
      <c r="K63" s="111">
        <v>27.5</v>
      </c>
      <c r="L63" s="110">
        <v>17.88</v>
      </c>
      <c r="M63" s="13" t="s">
        <v>97</v>
      </c>
      <c r="N63" s="13" t="s">
        <v>656</v>
      </c>
      <c r="O63" s="13" t="s">
        <v>653</v>
      </c>
      <c r="P63" s="13" t="s">
        <v>648</v>
      </c>
      <c r="Q63" s="13" t="s">
        <v>654</v>
      </c>
      <c r="R63" s="13" t="s">
        <v>641</v>
      </c>
      <c r="S63" s="13" t="s">
        <v>641</v>
      </c>
      <c r="T63" s="13" t="s">
        <v>641</v>
      </c>
    </row>
    <row r="64" customFormat="1" spans="1:20">
      <c r="A64" s="109">
        <v>45748</v>
      </c>
      <c r="B64" s="109">
        <v>45777</v>
      </c>
      <c r="C64" s="13" t="s">
        <v>635</v>
      </c>
      <c r="D64" s="13" t="s">
        <v>636</v>
      </c>
      <c r="E64" s="13">
        <v>1500769</v>
      </c>
      <c r="F64" s="13" t="s">
        <v>416</v>
      </c>
      <c r="G64" s="13" t="s">
        <v>37</v>
      </c>
      <c r="H64" s="13" t="s">
        <v>647</v>
      </c>
      <c r="I64" s="13" t="s">
        <v>648</v>
      </c>
      <c r="J64" s="110">
        <v>0.27</v>
      </c>
      <c r="K64" s="111">
        <v>5</v>
      </c>
      <c r="L64" s="110">
        <v>1.35</v>
      </c>
      <c r="M64" s="13" t="s">
        <v>30</v>
      </c>
      <c r="N64" s="13" t="s">
        <v>655</v>
      </c>
      <c r="O64" s="13" t="s">
        <v>639</v>
      </c>
      <c r="P64" s="13" t="s">
        <v>637</v>
      </c>
      <c r="Q64" s="13" t="s">
        <v>644</v>
      </c>
      <c r="R64" s="13" t="s">
        <v>641</v>
      </c>
      <c r="S64" s="13" t="s">
        <v>641</v>
      </c>
      <c r="T64" s="13" t="s">
        <v>641</v>
      </c>
    </row>
    <row r="65" customFormat="1" spans="1:20">
      <c r="A65" s="109">
        <v>45748</v>
      </c>
      <c r="B65" s="109">
        <v>45777</v>
      </c>
      <c r="C65" s="13" t="s">
        <v>635</v>
      </c>
      <c r="D65" s="13" t="s">
        <v>636</v>
      </c>
      <c r="E65" s="13">
        <v>1500769</v>
      </c>
      <c r="F65" s="13" t="s">
        <v>416</v>
      </c>
      <c r="G65" s="13" t="s">
        <v>37</v>
      </c>
      <c r="H65" s="13" t="s">
        <v>647</v>
      </c>
      <c r="I65" s="13" t="s">
        <v>637</v>
      </c>
      <c r="J65" s="110">
        <v>0.27</v>
      </c>
      <c r="K65" s="111">
        <v>325</v>
      </c>
      <c r="L65" s="110">
        <v>86.81</v>
      </c>
      <c r="M65" s="13" t="s">
        <v>30</v>
      </c>
      <c r="N65" s="13" t="s">
        <v>655</v>
      </c>
      <c r="O65" s="13" t="s">
        <v>639</v>
      </c>
      <c r="P65" s="13" t="s">
        <v>637</v>
      </c>
      <c r="Q65" s="13" t="s">
        <v>644</v>
      </c>
      <c r="R65" s="13" t="s">
        <v>641</v>
      </c>
      <c r="S65" s="13" t="s">
        <v>641</v>
      </c>
      <c r="T65" s="13" t="s">
        <v>641</v>
      </c>
    </row>
    <row r="66" customFormat="1" spans="1:20">
      <c r="A66" s="109">
        <v>45748</v>
      </c>
      <c r="B66" s="109">
        <v>45777</v>
      </c>
      <c r="C66" s="13" t="s">
        <v>635</v>
      </c>
      <c r="D66" s="13" t="s">
        <v>636</v>
      </c>
      <c r="E66" s="13">
        <v>1500770</v>
      </c>
      <c r="F66" s="13" t="s">
        <v>457</v>
      </c>
      <c r="G66" s="13" t="s">
        <v>37</v>
      </c>
      <c r="H66" s="13" t="s">
        <v>647</v>
      </c>
      <c r="I66" s="13" t="s">
        <v>637</v>
      </c>
      <c r="J66" s="110">
        <v>1.2</v>
      </c>
      <c r="K66" s="111">
        <v>180</v>
      </c>
      <c r="L66" s="110">
        <v>216.75</v>
      </c>
      <c r="M66" s="13" t="s">
        <v>21</v>
      </c>
      <c r="N66" s="13" t="s">
        <v>638</v>
      </c>
      <c r="O66" s="13" t="s">
        <v>639</v>
      </c>
      <c r="P66" s="13" t="s">
        <v>637</v>
      </c>
      <c r="Q66" s="13" t="s">
        <v>640</v>
      </c>
      <c r="R66" s="13" t="s">
        <v>641</v>
      </c>
      <c r="S66" s="13" t="s">
        <v>641</v>
      </c>
      <c r="T66" s="13" t="s">
        <v>641</v>
      </c>
    </row>
    <row r="67" customFormat="1" spans="1:20">
      <c r="A67" s="109">
        <v>45748</v>
      </c>
      <c r="B67" s="109">
        <v>45777</v>
      </c>
      <c r="C67" s="13" t="s">
        <v>635</v>
      </c>
      <c r="D67" s="13" t="s">
        <v>636</v>
      </c>
      <c r="E67" s="13">
        <v>1500771</v>
      </c>
      <c r="F67" s="13" t="s">
        <v>497</v>
      </c>
      <c r="G67" s="13" t="s">
        <v>128</v>
      </c>
      <c r="H67" s="13" t="s">
        <v>127</v>
      </c>
      <c r="I67" s="13" t="s">
        <v>637</v>
      </c>
      <c r="J67" s="110">
        <v>0.6</v>
      </c>
      <c r="K67" s="111">
        <v>145</v>
      </c>
      <c r="L67" s="110">
        <v>87.1</v>
      </c>
      <c r="M67" s="13" t="s">
        <v>97</v>
      </c>
      <c r="N67" s="13" t="s">
        <v>656</v>
      </c>
      <c r="O67" s="13" t="s">
        <v>639</v>
      </c>
      <c r="P67" s="13" t="s">
        <v>637</v>
      </c>
      <c r="Q67" s="13" t="s">
        <v>640</v>
      </c>
      <c r="R67" s="13" t="s">
        <v>641</v>
      </c>
      <c r="S67" s="13" t="s">
        <v>641</v>
      </c>
      <c r="T67" s="13" t="s">
        <v>641</v>
      </c>
    </row>
    <row r="68" customFormat="1" spans="1:20">
      <c r="A68" s="109">
        <v>45748</v>
      </c>
      <c r="B68" s="109">
        <v>45777</v>
      </c>
      <c r="C68" s="13" t="s">
        <v>635</v>
      </c>
      <c r="D68" s="13" t="s">
        <v>636</v>
      </c>
      <c r="E68" s="13">
        <v>1500772</v>
      </c>
      <c r="F68" s="13" t="s">
        <v>492</v>
      </c>
      <c r="G68" s="13" t="s">
        <v>37</v>
      </c>
      <c r="H68" s="13" t="s">
        <v>647</v>
      </c>
      <c r="I68" s="13" t="s">
        <v>637</v>
      </c>
      <c r="J68" s="110">
        <v>1.8</v>
      </c>
      <c r="K68" s="111">
        <v>540</v>
      </c>
      <c r="L68" s="110">
        <v>972.82</v>
      </c>
      <c r="M68" s="13" t="s">
        <v>21</v>
      </c>
      <c r="N68" s="13" t="s">
        <v>638</v>
      </c>
      <c r="O68" s="13" t="s">
        <v>639</v>
      </c>
      <c r="P68" s="13" t="s">
        <v>637</v>
      </c>
      <c r="Q68" s="13" t="s">
        <v>640</v>
      </c>
      <c r="R68" s="13" t="s">
        <v>641</v>
      </c>
      <c r="S68" s="13" t="s">
        <v>641</v>
      </c>
      <c r="T68" s="13" t="s">
        <v>641</v>
      </c>
    </row>
    <row r="69" customFormat="1" spans="1:20">
      <c r="A69" s="109">
        <v>45748</v>
      </c>
      <c r="B69" s="109">
        <v>45777</v>
      </c>
      <c r="C69" s="13" t="s">
        <v>635</v>
      </c>
      <c r="D69" s="13" t="s">
        <v>636</v>
      </c>
      <c r="E69" s="13">
        <v>1500774</v>
      </c>
      <c r="F69" s="13" t="s">
        <v>288</v>
      </c>
      <c r="G69" s="13" t="s">
        <v>37</v>
      </c>
      <c r="H69" s="13" t="s">
        <v>647</v>
      </c>
      <c r="I69" s="13" t="s">
        <v>637</v>
      </c>
      <c r="J69" s="110">
        <v>7.6</v>
      </c>
      <c r="K69" s="111">
        <v>187</v>
      </c>
      <c r="L69" s="110">
        <v>1422</v>
      </c>
      <c r="M69" s="13" t="s">
        <v>21</v>
      </c>
      <c r="N69" s="13" t="s">
        <v>638</v>
      </c>
      <c r="O69" s="13" t="s">
        <v>639</v>
      </c>
      <c r="P69" s="13" t="s">
        <v>637</v>
      </c>
      <c r="Q69" s="13" t="s">
        <v>640</v>
      </c>
      <c r="R69" s="13" t="s">
        <v>641</v>
      </c>
      <c r="S69" s="13" t="s">
        <v>641</v>
      </c>
      <c r="T69" s="13" t="s">
        <v>641</v>
      </c>
    </row>
    <row r="70" customFormat="1" spans="1:20">
      <c r="A70" s="109">
        <v>45748</v>
      </c>
      <c r="B70" s="109">
        <v>45777</v>
      </c>
      <c r="C70" s="13" t="s">
        <v>635</v>
      </c>
      <c r="D70" s="13" t="s">
        <v>636</v>
      </c>
      <c r="E70" s="13">
        <v>1500775</v>
      </c>
      <c r="F70" s="13" t="s">
        <v>266</v>
      </c>
      <c r="G70" s="13" t="s">
        <v>37</v>
      </c>
      <c r="H70" s="13" t="s">
        <v>647</v>
      </c>
      <c r="I70" s="13" t="s">
        <v>637</v>
      </c>
      <c r="J70" s="110">
        <v>1.79</v>
      </c>
      <c r="K70" s="111">
        <v>280</v>
      </c>
      <c r="L70" s="110">
        <v>501.07</v>
      </c>
      <c r="M70" s="13" t="s">
        <v>97</v>
      </c>
      <c r="N70" s="13" t="s">
        <v>656</v>
      </c>
      <c r="O70" s="13" t="s">
        <v>639</v>
      </c>
      <c r="P70" s="13" t="s">
        <v>637</v>
      </c>
      <c r="Q70" s="13" t="s">
        <v>640</v>
      </c>
      <c r="R70" s="13" t="s">
        <v>641</v>
      </c>
      <c r="S70" s="13" t="s">
        <v>641</v>
      </c>
      <c r="T70" s="13" t="s">
        <v>641</v>
      </c>
    </row>
    <row r="71" customFormat="1" spans="1:20">
      <c r="A71" s="109">
        <v>45748</v>
      </c>
      <c r="B71" s="109">
        <v>45777</v>
      </c>
      <c r="C71" s="13" t="s">
        <v>635</v>
      </c>
      <c r="D71" s="13" t="s">
        <v>636</v>
      </c>
      <c r="E71" s="13">
        <v>1500776</v>
      </c>
      <c r="F71" s="13" t="s">
        <v>308</v>
      </c>
      <c r="G71" s="13" t="s">
        <v>37</v>
      </c>
      <c r="H71" s="13" t="s">
        <v>647</v>
      </c>
      <c r="I71" s="13" t="s">
        <v>637</v>
      </c>
      <c r="J71" s="110">
        <v>1.42</v>
      </c>
      <c r="K71" s="111">
        <v>1830.8</v>
      </c>
      <c r="L71" s="110">
        <v>2591.64</v>
      </c>
      <c r="M71" s="13" t="s">
        <v>138</v>
      </c>
      <c r="N71" s="13" t="s">
        <v>663</v>
      </c>
      <c r="O71" s="13" t="s">
        <v>639</v>
      </c>
      <c r="P71" s="13" t="s">
        <v>637</v>
      </c>
      <c r="Q71" s="13" t="s">
        <v>640</v>
      </c>
      <c r="R71" s="13" t="s">
        <v>641</v>
      </c>
      <c r="S71" s="13" t="s">
        <v>641</v>
      </c>
      <c r="T71" s="13" t="s">
        <v>641</v>
      </c>
    </row>
    <row r="72" customFormat="1" spans="1:20">
      <c r="A72" s="109">
        <v>45748</v>
      </c>
      <c r="B72" s="109">
        <v>45777</v>
      </c>
      <c r="C72" s="13" t="s">
        <v>635</v>
      </c>
      <c r="D72" s="13" t="s">
        <v>636</v>
      </c>
      <c r="E72" s="13">
        <v>1500778</v>
      </c>
      <c r="F72" s="13" t="s">
        <v>299</v>
      </c>
      <c r="G72" s="13" t="s">
        <v>177</v>
      </c>
      <c r="H72" s="13" t="s">
        <v>176</v>
      </c>
      <c r="I72" s="13" t="s">
        <v>637</v>
      </c>
      <c r="J72" s="110">
        <v>32.47</v>
      </c>
      <c r="K72" s="111">
        <v>6.7</v>
      </c>
      <c r="L72" s="110">
        <v>217.54</v>
      </c>
      <c r="M72" s="13" t="s">
        <v>138</v>
      </c>
      <c r="N72" s="13" t="s">
        <v>663</v>
      </c>
      <c r="O72" s="13" t="s">
        <v>639</v>
      </c>
      <c r="P72" s="13" t="s">
        <v>637</v>
      </c>
      <c r="Q72" s="13" t="s">
        <v>640</v>
      </c>
      <c r="R72" s="13" t="s">
        <v>641</v>
      </c>
      <c r="S72" s="13" t="s">
        <v>641</v>
      </c>
      <c r="T72" s="13" t="s">
        <v>641</v>
      </c>
    </row>
    <row r="73" customFormat="1" spans="1:20">
      <c r="A73" s="109">
        <v>45748</v>
      </c>
      <c r="B73" s="109">
        <v>45777</v>
      </c>
      <c r="C73" s="13" t="s">
        <v>635</v>
      </c>
      <c r="D73" s="13" t="s">
        <v>636</v>
      </c>
      <c r="E73" s="13">
        <v>1500780</v>
      </c>
      <c r="F73" s="13" t="s">
        <v>664</v>
      </c>
      <c r="G73" s="13" t="s">
        <v>37</v>
      </c>
      <c r="H73" s="13" t="s">
        <v>647</v>
      </c>
      <c r="I73" s="13" t="s">
        <v>637</v>
      </c>
      <c r="J73" s="110">
        <v>1.05</v>
      </c>
      <c r="K73" s="111">
        <v>1440</v>
      </c>
      <c r="L73" s="110">
        <v>1512.02</v>
      </c>
      <c r="M73" s="13" t="s">
        <v>138</v>
      </c>
      <c r="N73" s="13" t="s">
        <v>663</v>
      </c>
      <c r="O73" s="13" t="s">
        <v>639</v>
      </c>
      <c r="P73" s="13" t="s">
        <v>637</v>
      </c>
      <c r="Q73" s="13" t="s">
        <v>640</v>
      </c>
      <c r="R73" s="13" t="s">
        <v>641</v>
      </c>
      <c r="S73" s="13" t="s">
        <v>641</v>
      </c>
      <c r="T73" s="13" t="s">
        <v>641</v>
      </c>
    </row>
    <row r="74" customFormat="1" spans="1:20">
      <c r="A74" s="109">
        <v>45748</v>
      </c>
      <c r="B74" s="109">
        <v>45777</v>
      </c>
      <c r="C74" s="13" t="s">
        <v>635</v>
      </c>
      <c r="D74" s="13" t="s">
        <v>636</v>
      </c>
      <c r="E74" s="13">
        <v>1500781</v>
      </c>
      <c r="F74" s="13" t="s">
        <v>170</v>
      </c>
      <c r="G74" s="13" t="s">
        <v>172</v>
      </c>
      <c r="H74" s="13" t="s">
        <v>171</v>
      </c>
      <c r="I74" s="13" t="s">
        <v>648</v>
      </c>
      <c r="J74" s="110">
        <v>11.9</v>
      </c>
      <c r="K74" s="111">
        <v>80</v>
      </c>
      <c r="L74" s="110">
        <v>952.03</v>
      </c>
      <c r="M74" s="13" t="s">
        <v>643</v>
      </c>
      <c r="N74" s="13" t="s">
        <v>642</v>
      </c>
      <c r="O74" s="13" t="s">
        <v>639</v>
      </c>
      <c r="P74" s="13" t="s">
        <v>637</v>
      </c>
      <c r="Q74" s="13" t="s">
        <v>642</v>
      </c>
      <c r="R74" s="13" t="s">
        <v>641</v>
      </c>
      <c r="S74" s="13" t="s">
        <v>641</v>
      </c>
      <c r="T74" s="13" t="s">
        <v>641</v>
      </c>
    </row>
    <row r="75" customFormat="1" spans="1:20">
      <c r="A75" s="109">
        <v>45748</v>
      </c>
      <c r="B75" s="109">
        <v>45777</v>
      </c>
      <c r="C75" s="13" t="s">
        <v>635</v>
      </c>
      <c r="D75" s="13" t="s">
        <v>636</v>
      </c>
      <c r="E75" s="13">
        <v>1500781</v>
      </c>
      <c r="F75" s="13" t="s">
        <v>170</v>
      </c>
      <c r="G75" s="13" t="s">
        <v>172</v>
      </c>
      <c r="H75" s="13" t="s">
        <v>171</v>
      </c>
      <c r="I75" s="13" t="s">
        <v>637</v>
      </c>
      <c r="J75" s="110">
        <v>11.9</v>
      </c>
      <c r="K75" s="111">
        <v>112</v>
      </c>
      <c r="L75" s="110">
        <v>1332.91</v>
      </c>
      <c r="M75" s="13" t="s">
        <v>643</v>
      </c>
      <c r="N75" s="13" t="s">
        <v>642</v>
      </c>
      <c r="O75" s="13" t="s">
        <v>639</v>
      </c>
      <c r="P75" s="13" t="s">
        <v>637</v>
      </c>
      <c r="Q75" s="13" t="s">
        <v>642</v>
      </c>
      <c r="R75" s="13" t="s">
        <v>641</v>
      </c>
      <c r="S75" s="13" t="s">
        <v>641</v>
      </c>
      <c r="T75" s="13" t="s">
        <v>641</v>
      </c>
    </row>
    <row r="76" customFormat="1" spans="1:20">
      <c r="A76" s="109">
        <v>45748</v>
      </c>
      <c r="B76" s="109">
        <v>45777</v>
      </c>
      <c r="C76" s="13" t="s">
        <v>635</v>
      </c>
      <c r="D76" s="13" t="s">
        <v>636</v>
      </c>
      <c r="E76" s="13">
        <v>1500783</v>
      </c>
      <c r="F76" s="13" t="s">
        <v>665</v>
      </c>
      <c r="G76" s="13" t="s">
        <v>37</v>
      </c>
      <c r="H76" s="13" t="s">
        <v>647</v>
      </c>
      <c r="I76" s="13" t="s">
        <v>648</v>
      </c>
      <c r="J76" s="110">
        <v>1.8</v>
      </c>
      <c r="K76" s="111">
        <v>29</v>
      </c>
      <c r="L76" s="110">
        <v>52.2</v>
      </c>
      <c r="M76" s="13" t="s">
        <v>261</v>
      </c>
      <c r="N76" s="13" t="s">
        <v>654</v>
      </c>
      <c r="O76" s="13" t="s">
        <v>653</v>
      </c>
      <c r="P76" s="13" t="s">
        <v>648</v>
      </c>
      <c r="Q76" s="13" t="s">
        <v>654</v>
      </c>
      <c r="R76" s="13" t="s">
        <v>641</v>
      </c>
      <c r="S76" s="13" t="s">
        <v>641</v>
      </c>
      <c r="T76" s="13" t="s">
        <v>641</v>
      </c>
    </row>
    <row r="77" customFormat="1" spans="1:20">
      <c r="A77" s="109">
        <v>45748</v>
      </c>
      <c r="B77" s="109">
        <v>45777</v>
      </c>
      <c r="C77" s="13" t="s">
        <v>635</v>
      </c>
      <c r="D77" s="13" t="s">
        <v>636</v>
      </c>
      <c r="E77" s="13">
        <v>1500784</v>
      </c>
      <c r="F77" s="13" t="s">
        <v>511</v>
      </c>
      <c r="G77" s="13" t="s">
        <v>37</v>
      </c>
      <c r="H77" s="13" t="s">
        <v>647</v>
      </c>
      <c r="I77" s="13" t="s">
        <v>637</v>
      </c>
      <c r="J77" s="110">
        <v>0.9</v>
      </c>
      <c r="K77" s="111">
        <v>25.3</v>
      </c>
      <c r="L77" s="110">
        <v>22.77</v>
      </c>
      <c r="M77" s="13" t="s">
        <v>138</v>
      </c>
      <c r="N77" s="13" t="s">
        <v>663</v>
      </c>
      <c r="O77" s="13" t="s">
        <v>639</v>
      </c>
      <c r="P77" s="13" t="s">
        <v>637</v>
      </c>
      <c r="Q77" s="13" t="s">
        <v>646</v>
      </c>
      <c r="R77" s="13" t="s">
        <v>641</v>
      </c>
      <c r="S77" s="13" t="s">
        <v>641</v>
      </c>
      <c r="T77" s="13" t="s">
        <v>641</v>
      </c>
    </row>
    <row r="78" customFormat="1" spans="1:20">
      <c r="A78" s="109">
        <v>45748</v>
      </c>
      <c r="B78" s="109">
        <v>45777</v>
      </c>
      <c r="C78" s="13" t="s">
        <v>635</v>
      </c>
      <c r="D78" s="13" t="s">
        <v>636</v>
      </c>
      <c r="E78" s="13">
        <v>1500785</v>
      </c>
      <c r="F78" s="13" t="s">
        <v>587</v>
      </c>
      <c r="G78" s="13" t="s">
        <v>74</v>
      </c>
      <c r="H78" s="13" t="s">
        <v>73</v>
      </c>
      <c r="I78" s="13" t="s">
        <v>637</v>
      </c>
      <c r="J78" s="110">
        <v>6.41</v>
      </c>
      <c r="K78" s="111">
        <v>55</v>
      </c>
      <c r="L78" s="110">
        <v>352.48</v>
      </c>
      <c r="M78" s="13" t="s">
        <v>97</v>
      </c>
      <c r="N78" s="13" t="s">
        <v>656</v>
      </c>
      <c r="O78" s="13" t="s">
        <v>639</v>
      </c>
      <c r="P78" s="13" t="s">
        <v>637</v>
      </c>
      <c r="Q78" s="13" t="s">
        <v>656</v>
      </c>
      <c r="R78" s="13" t="s">
        <v>641</v>
      </c>
      <c r="S78" s="13" t="s">
        <v>641</v>
      </c>
      <c r="T78" s="13" t="s">
        <v>641</v>
      </c>
    </row>
    <row r="79" customFormat="1" spans="1:20">
      <c r="A79" s="109">
        <v>45748</v>
      </c>
      <c r="B79" s="109">
        <v>45777</v>
      </c>
      <c r="C79" s="13" t="s">
        <v>635</v>
      </c>
      <c r="D79" s="13" t="s">
        <v>636</v>
      </c>
      <c r="E79" s="13">
        <v>1500788</v>
      </c>
      <c r="F79" s="13" t="s">
        <v>666</v>
      </c>
      <c r="G79" s="13" t="s">
        <v>177</v>
      </c>
      <c r="H79" s="13" t="s">
        <v>176</v>
      </c>
      <c r="I79" s="13" t="s">
        <v>637</v>
      </c>
      <c r="J79" s="110">
        <v>32</v>
      </c>
      <c r="K79" s="111">
        <v>1</v>
      </c>
      <c r="L79" s="110">
        <v>32</v>
      </c>
      <c r="M79" s="13" t="s">
        <v>138</v>
      </c>
      <c r="N79" s="13" t="s">
        <v>663</v>
      </c>
      <c r="O79" s="13" t="s">
        <v>639</v>
      </c>
      <c r="P79" s="13" t="s">
        <v>637</v>
      </c>
      <c r="Q79" s="13" t="s">
        <v>640</v>
      </c>
      <c r="R79" s="13" t="s">
        <v>641</v>
      </c>
      <c r="S79" s="13" t="s">
        <v>641</v>
      </c>
      <c r="T79" s="13" t="s">
        <v>641</v>
      </c>
    </row>
    <row r="80" customFormat="1" spans="1:20">
      <c r="A80" s="109">
        <v>45748</v>
      </c>
      <c r="B80" s="109">
        <v>45777</v>
      </c>
      <c r="C80" s="13" t="s">
        <v>635</v>
      </c>
      <c r="D80" s="13" t="s">
        <v>636</v>
      </c>
      <c r="E80" s="13">
        <v>1500795</v>
      </c>
      <c r="F80" s="13" t="s">
        <v>491</v>
      </c>
      <c r="G80" s="13" t="s">
        <v>138</v>
      </c>
      <c r="H80" s="13" t="s">
        <v>137</v>
      </c>
      <c r="I80" s="13" t="s">
        <v>637</v>
      </c>
      <c r="J80" s="110">
        <v>19.53</v>
      </c>
      <c r="K80" s="111">
        <v>6</v>
      </c>
      <c r="L80" s="110">
        <v>117.18</v>
      </c>
      <c r="M80" s="13" t="s">
        <v>21</v>
      </c>
      <c r="N80" s="13" t="s">
        <v>638</v>
      </c>
      <c r="O80" s="13" t="s">
        <v>639</v>
      </c>
      <c r="P80" s="13" t="s">
        <v>637</v>
      </c>
      <c r="Q80" s="13" t="s">
        <v>640</v>
      </c>
      <c r="R80" s="13" t="s">
        <v>641</v>
      </c>
      <c r="S80" s="13" t="s">
        <v>641</v>
      </c>
      <c r="T80" s="13" t="s">
        <v>641</v>
      </c>
    </row>
    <row r="81" customFormat="1" spans="1:20">
      <c r="A81" s="109">
        <v>45748</v>
      </c>
      <c r="B81" s="109">
        <v>45777</v>
      </c>
      <c r="C81" s="13" t="s">
        <v>635</v>
      </c>
      <c r="D81" s="13" t="s">
        <v>636</v>
      </c>
      <c r="E81" s="13">
        <v>1500797</v>
      </c>
      <c r="F81" s="13" t="s">
        <v>319</v>
      </c>
      <c r="G81" s="13" t="s">
        <v>56</v>
      </c>
      <c r="H81" s="13" t="s">
        <v>55</v>
      </c>
      <c r="I81" s="13" t="s">
        <v>637</v>
      </c>
      <c r="J81" s="110">
        <v>21.97</v>
      </c>
      <c r="K81" s="111">
        <v>9</v>
      </c>
      <c r="L81" s="110">
        <v>197.69</v>
      </c>
      <c r="M81" s="13" t="s">
        <v>21</v>
      </c>
      <c r="N81" s="13" t="s">
        <v>638</v>
      </c>
      <c r="O81" s="13" t="s">
        <v>639</v>
      </c>
      <c r="P81" s="13" t="s">
        <v>637</v>
      </c>
      <c r="Q81" s="13" t="s">
        <v>640</v>
      </c>
      <c r="R81" s="13" t="s">
        <v>641</v>
      </c>
      <c r="S81" s="13" t="s">
        <v>641</v>
      </c>
      <c r="T81" s="13" t="s">
        <v>641</v>
      </c>
    </row>
    <row r="82" customFormat="1" spans="1:20">
      <c r="A82" s="109">
        <v>45748</v>
      </c>
      <c r="B82" s="109">
        <v>45777</v>
      </c>
      <c r="C82" s="13" t="s">
        <v>635</v>
      </c>
      <c r="D82" s="13" t="s">
        <v>636</v>
      </c>
      <c r="E82" s="13">
        <v>1500802</v>
      </c>
      <c r="F82" s="13" t="s">
        <v>605</v>
      </c>
      <c r="G82" s="13" t="s">
        <v>30</v>
      </c>
      <c r="H82" s="13" t="s">
        <v>29</v>
      </c>
      <c r="I82" s="13" t="s">
        <v>637</v>
      </c>
      <c r="J82" s="110">
        <v>0.6</v>
      </c>
      <c r="K82" s="111">
        <v>1090</v>
      </c>
      <c r="L82" s="110">
        <v>657.84</v>
      </c>
      <c r="M82" s="13" t="s">
        <v>30</v>
      </c>
      <c r="N82" s="13" t="s">
        <v>655</v>
      </c>
      <c r="O82" s="13" t="s">
        <v>639</v>
      </c>
      <c r="P82" s="13" t="s">
        <v>637</v>
      </c>
      <c r="Q82" s="13" t="s">
        <v>656</v>
      </c>
      <c r="R82" s="13" t="s">
        <v>641</v>
      </c>
      <c r="S82" s="13" t="s">
        <v>641</v>
      </c>
      <c r="T82" s="13" t="s">
        <v>641</v>
      </c>
    </row>
    <row r="83" customFormat="1" spans="1:20">
      <c r="A83" s="109">
        <v>45748</v>
      </c>
      <c r="B83" s="109">
        <v>45777</v>
      </c>
      <c r="C83" s="13" t="s">
        <v>635</v>
      </c>
      <c r="D83" s="13" t="s">
        <v>636</v>
      </c>
      <c r="E83" s="13">
        <v>1500810</v>
      </c>
      <c r="F83" s="13" t="s">
        <v>572</v>
      </c>
      <c r="G83" s="13" t="s">
        <v>138</v>
      </c>
      <c r="H83" s="13" t="s">
        <v>137</v>
      </c>
      <c r="I83" s="13" t="s">
        <v>637</v>
      </c>
      <c r="J83" s="110">
        <v>0.53</v>
      </c>
      <c r="K83" s="111">
        <v>5400</v>
      </c>
      <c r="L83" s="110">
        <v>2880</v>
      </c>
      <c r="M83" s="13" t="s">
        <v>478</v>
      </c>
      <c r="N83" s="13" t="s">
        <v>645</v>
      </c>
      <c r="O83" s="13" t="s">
        <v>639</v>
      </c>
      <c r="P83" s="13" t="s">
        <v>637</v>
      </c>
      <c r="Q83" s="13" t="s">
        <v>640</v>
      </c>
      <c r="R83" s="13" t="s">
        <v>641</v>
      </c>
      <c r="S83" s="13" t="s">
        <v>641</v>
      </c>
      <c r="T83" s="13" t="s">
        <v>641</v>
      </c>
    </row>
    <row r="84" customFormat="1" spans="1:20">
      <c r="A84" s="109">
        <v>45748</v>
      </c>
      <c r="B84" s="109">
        <v>45777</v>
      </c>
      <c r="C84" s="13" t="s">
        <v>635</v>
      </c>
      <c r="D84" s="13" t="s">
        <v>636</v>
      </c>
      <c r="E84" s="13">
        <v>1500811</v>
      </c>
      <c r="F84" s="13" t="s">
        <v>481</v>
      </c>
      <c r="G84" s="13" t="s">
        <v>138</v>
      </c>
      <c r="H84" s="13" t="s">
        <v>137</v>
      </c>
      <c r="I84" s="13" t="s">
        <v>637</v>
      </c>
      <c r="J84" s="110">
        <v>0.53</v>
      </c>
      <c r="K84" s="111">
        <v>4968</v>
      </c>
      <c r="L84" s="110">
        <v>2618.55</v>
      </c>
      <c r="M84" s="13" t="s">
        <v>478</v>
      </c>
      <c r="N84" s="13" t="s">
        <v>645</v>
      </c>
      <c r="O84" s="13" t="s">
        <v>639</v>
      </c>
      <c r="P84" s="13" t="s">
        <v>637</v>
      </c>
      <c r="Q84" s="13" t="s">
        <v>640</v>
      </c>
      <c r="R84" s="13" t="s">
        <v>641</v>
      </c>
      <c r="S84" s="13" t="s">
        <v>641</v>
      </c>
      <c r="T84" s="13" t="s">
        <v>641</v>
      </c>
    </row>
    <row r="85" customFormat="1" spans="1:20">
      <c r="A85" s="109">
        <v>45748</v>
      </c>
      <c r="B85" s="109">
        <v>45777</v>
      </c>
      <c r="C85" s="13" t="s">
        <v>635</v>
      </c>
      <c r="D85" s="13" t="s">
        <v>636</v>
      </c>
      <c r="E85" s="13">
        <v>1500812</v>
      </c>
      <c r="F85" s="13" t="s">
        <v>394</v>
      </c>
      <c r="G85" s="13" t="s">
        <v>56</v>
      </c>
      <c r="H85" s="13" t="s">
        <v>55</v>
      </c>
      <c r="I85" s="13" t="s">
        <v>637</v>
      </c>
      <c r="J85" s="110">
        <v>11.29</v>
      </c>
      <c r="K85" s="111">
        <v>59</v>
      </c>
      <c r="L85" s="110">
        <v>666.33</v>
      </c>
      <c r="M85" s="13" t="s">
        <v>21</v>
      </c>
      <c r="N85" s="13" t="s">
        <v>638</v>
      </c>
      <c r="O85" s="13" t="s">
        <v>639</v>
      </c>
      <c r="P85" s="13" t="s">
        <v>637</v>
      </c>
      <c r="Q85" s="13" t="s">
        <v>640</v>
      </c>
      <c r="R85" s="13" t="s">
        <v>641</v>
      </c>
      <c r="S85" s="13" t="s">
        <v>641</v>
      </c>
      <c r="T85" s="13" t="s">
        <v>641</v>
      </c>
    </row>
    <row r="86" customFormat="1" spans="1:20">
      <c r="A86" s="109">
        <v>45748</v>
      </c>
      <c r="B86" s="109">
        <v>45777</v>
      </c>
      <c r="C86" s="13" t="s">
        <v>635</v>
      </c>
      <c r="D86" s="13" t="s">
        <v>636</v>
      </c>
      <c r="E86" s="13">
        <v>1500815</v>
      </c>
      <c r="F86" s="13" t="s">
        <v>667</v>
      </c>
      <c r="G86" s="13" t="s">
        <v>74</v>
      </c>
      <c r="H86" s="13" t="s">
        <v>73</v>
      </c>
      <c r="I86" s="13" t="s">
        <v>637</v>
      </c>
      <c r="J86" s="110">
        <v>1.52</v>
      </c>
      <c r="K86" s="111">
        <v>100</v>
      </c>
      <c r="L86" s="110">
        <v>151.75</v>
      </c>
      <c r="M86" s="13" t="s">
        <v>30</v>
      </c>
      <c r="N86" s="13" t="s">
        <v>655</v>
      </c>
      <c r="O86" s="13" t="s">
        <v>639</v>
      </c>
      <c r="P86" s="13" t="s">
        <v>637</v>
      </c>
      <c r="Q86" s="13" t="s">
        <v>649</v>
      </c>
      <c r="R86" s="13" t="s">
        <v>641</v>
      </c>
      <c r="S86" s="13" t="s">
        <v>641</v>
      </c>
      <c r="T86" s="13" t="s">
        <v>641</v>
      </c>
    </row>
    <row r="87" customFormat="1" spans="1:20">
      <c r="A87" s="109">
        <v>45748</v>
      </c>
      <c r="B87" s="109">
        <v>45777</v>
      </c>
      <c r="C87" s="13" t="s">
        <v>635</v>
      </c>
      <c r="D87" s="13" t="s">
        <v>636</v>
      </c>
      <c r="E87" s="13">
        <v>1500816</v>
      </c>
      <c r="F87" s="13" t="s">
        <v>604</v>
      </c>
      <c r="G87" s="13" t="s">
        <v>37</v>
      </c>
      <c r="H87" s="13" t="s">
        <v>647</v>
      </c>
      <c r="I87" s="13" t="s">
        <v>637</v>
      </c>
      <c r="J87" s="110">
        <v>0.95</v>
      </c>
      <c r="K87" s="111">
        <v>25.91</v>
      </c>
      <c r="L87" s="110">
        <v>24.61</v>
      </c>
      <c r="M87" s="13" t="s">
        <v>21</v>
      </c>
      <c r="N87" s="13" t="s">
        <v>638</v>
      </c>
      <c r="O87" s="13" t="s">
        <v>639</v>
      </c>
      <c r="P87" s="13" t="s">
        <v>637</v>
      </c>
      <c r="Q87" s="13" t="s">
        <v>640</v>
      </c>
      <c r="R87" s="13" t="s">
        <v>641</v>
      </c>
      <c r="S87" s="13" t="s">
        <v>641</v>
      </c>
      <c r="T87" s="13" t="s">
        <v>641</v>
      </c>
    </row>
    <row r="88" customFormat="1" spans="1:20">
      <c r="A88" s="109">
        <v>45748</v>
      </c>
      <c r="B88" s="109">
        <v>45777</v>
      </c>
      <c r="C88" s="13" t="s">
        <v>635</v>
      </c>
      <c r="D88" s="13" t="s">
        <v>636</v>
      </c>
      <c r="E88" s="13">
        <v>1500817</v>
      </c>
      <c r="F88" s="13" t="s">
        <v>564</v>
      </c>
      <c r="G88" s="13" t="s">
        <v>74</v>
      </c>
      <c r="H88" s="13" t="s">
        <v>73</v>
      </c>
      <c r="I88" s="13" t="s">
        <v>637</v>
      </c>
      <c r="J88" s="110">
        <v>0.45</v>
      </c>
      <c r="K88" s="111">
        <v>65</v>
      </c>
      <c r="L88" s="110">
        <v>29.5</v>
      </c>
      <c r="M88" s="13" t="s">
        <v>21</v>
      </c>
      <c r="N88" s="13" t="s">
        <v>638</v>
      </c>
      <c r="O88" s="13" t="s">
        <v>639</v>
      </c>
      <c r="P88" s="13" t="s">
        <v>637</v>
      </c>
      <c r="Q88" s="13" t="s">
        <v>640</v>
      </c>
      <c r="R88" s="13" t="s">
        <v>641</v>
      </c>
      <c r="S88" s="13" t="s">
        <v>641</v>
      </c>
      <c r="T88" s="13" t="s">
        <v>641</v>
      </c>
    </row>
    <row r="89" customFormat="1" spans="1:20">
      <c r="A89" s="109">
        <v>45748</v>
      </c>
      <c r="B89" s="109">
        <v>45777</v>
      </c>
      <c r="C89" s="13" t="s">
        <v>635</v>
      </c>
      <c r="D89" s="13" t="s">
        <v>636</v>
      </c>
      <c r="E89" s="13">
        <v>1500818</v>
      </c>
      <c r="F89" s="13" t="s">
        <v>417</v>
      </c>
      <c r="G89" s="13" t="s">
        <v>74</v>
      </c>
      <c r="H89" s="13" t="s">
        <v>73</v>
      </c>
      <c r="I89" s="13" t="s">
        <v>637</v>
      </c>
      <c r="J89" s="110">
        <v>1.5</v>
      </c>
      <c r="K89" s="111">
        <v>110</v>
      </c>
      <c r="L89" s="110">
        <v>165.23</v>
      </c>
      <c r="M89" s="13" t="s">
        <v>21</v>
      </c>
      <c r="N89" s="13" t="s">
        <v>638</v>
      </c>
      <c r="O89" s="13" t="s">
        <v>639</v>
      </c>
      <c r="P89" s="13" t="s">
        <v>637</v>
      </c>
      <c r="Q89" s="13" t="s">
        <v>649</v>
      </c>
      <c r="R89" s="13" t="s">
        <v>641</v>
      </c>
      <c r="S89" s="13" t="s">
        <v>641</v>
      </c>
      <c r="T89" s="13" t="s">
        <v>641</v>
      </c>
    </row>
    <row r="90" customFormat="1" spans="1:20">
      <c r="A90" s="109">
        <v>45748</v>
      </c>
      <c r="B90" s="109">
        <v>45777</v>
      </c>
      <c r="C90" s="13" t="s">
        <v>635</v>
      </c>
      <c r="D90" s="13" t="s">
        <v>636</v>
      </c>
      <c r="E90" s="13">
        <v>1500820</v>
      </c>
      <c r="F90" s="13" t="s">
        <v>360</v>
      </c>
      <c r="G90" s="13" t="s">
        <v>30</v>
      </c>
      <c r="H90" s="13" t="s">
        <v>29</v>
      </c>
      <c r="I90" s="13" t="s">
        <v>637</v>
      </c>
      <c r="J90" s="110">
        <v>1.35</v>
      </c>
      <c r="K90" s="111">
        <v>192</v>
      </c>
      <c r="L90" s="110">
        <v>260</v>
      </c>
      <c r="M90" s="13" t="s">
        <v>21</v>
      </c>
      <c r="N90" s="13" t="s">
        <v>638</v>
      </c>
      <c r="O90" s="13" t="s">
        <v>639</v>
      </c>
      <c r="P90" s="13" t="s">
        <v>637</v>
      </c>
      <c r="Q90" s="13" t="s">
        <v>649</v>
      </c>
      <c r="R90" s="13" t="s">
        <v>641</v>
      </c>
      <c r="S90" s="13" t="s">
        <v>641</v>
      </c>
      <c r="T90" s="13" t="s">
        <v>641</v>
      </c>
    </row>
    <row r="91" customFormat="1" spans="1:20">
      <c r="A91" s="109">
        <v>45748</v>
      </c>
      <c r="B91" s="109">
        <v>45777</v>
      </c>
      <c r="C91" s="13" t="s">
        <v>635</v>
      </c>
      <c r="D91" s="13" t="s">
        <v>636</v>
      </c>
      <c r="E91" s="13">
        <v>1500821</v>
      </c>
      <c r="F91" s="13" t="s">
        <v>189</v>
      </c>
      <c r="G91" s="13" t="s">
        <v>30</v>
      </c>
      <c r="H91" s="13" t="s">
        <v>29</v>
      </c>
      <c r="I91" s="13" t="s">
        <v>637</v>
      </c>
      <c r="J91" s="110">
        <v>1.63</v>
      </c>
      <c r="K91" s="111">
        <v>216</v>
      </c>
      <c r="L91" s="110">
        <v>351</v>
      </c>
      <c r="M91" s="13" t="s">
        <v>97</v>
      </c>
      <c r="N91" s="13" t="s">
        <v>656</v>
      </c>
      <c r="O91" s="13" t="s">
        <v>639</v>
      </c>
      <c r="P91" s="13" t="s">
        <v>637</v>
      </c>
      <c r="Q91" s="13" t="s">
        <v>649</v>
      </c>
      <c r="R91" s="13" t="s">
        <v>641</v>
      </c>
      <c r="S91" s="13" t="s">
        <v>641</v>
      </c>
      <c r="T91" s="13" t="s">
        <v>641</v>
      </c>
    </row>
    <row r="92" customFormat="1" spans="1:20">
      <c r="A92" s="109">
        <v>45748</v>
      </c>
      <c r="B92" s="109">
        <v>45777</v>
      </c>
      <c r="C92" s="13" t="s">
        <v>635</v>
      </c>
      <c r="D92" s="13" t="s">
        <v>636</v>
      </c>
      <c r="E92" s="13">
        <v>1500822</v>
      </c>
      <c r="F92" s="13" t="s">
        <v>464</v>
      </c>
      <c r="G92" s="13" t="s">
        <v>45</v>
      </c>
      <c r="H92" s="13" t="s">
        <v>44</v>
      </c>
      <c r="I92" s="13" t="s">
        <v>637</v>
      </c>
      <c r="J92" s="110">
        <v>2.06</v>
      </c>
      <c r="K92" s="111">
        <v>1408</v>
      </c>
      <c r="L92" s="110">
        <v>2904</v>
      </c>
      <c r="M92" s="13" t="s">
        <v>21</v>
      </c>
      <c r="N92" s="13" t="s">
        <v>638</v>
      </c>
      <c r="O92" s="13" t="s">
        <v>639</v>
      </c>
      <c r="P92" s="13" t="s">
        <v>637</v>
      </c>
      <c r="Q92" s="13" t="s">
        <v>649</v>
      </c>
      <c r="R92" s="13" t="s">
        <v>641</v>
      </c>
      <c r="S92" s="13" t="s">
        <v>641</v>
      </c>
      <c r="T92" s="13" t="s">
        <v>641</v>
      </c>
    </row>
    <row r="93" customFormat="1" spans="1:20">
      <c r="A93" s="109">
        <v>45748</v>
      </c>
      <c r="B93" s="109">
        <v>45777</v>
      </c>
      <c r="C93" s="13" t="s">
        <v>635</v>
      </c>
      <c r="D93" s="13" t="s">
        <v>636</v>
      </c>
      <c r="E93" s="13">
        <v>1500825</v>
      </c>
      <c r="F93" s="13" t="s">
        <v>300</v>
      </c>
      <c r="G93" s="13" t="s">
        <v>37</v>
      </c>
      <c r="H93" s="13" t="s">
        <v>647</v>
      </c>
      <c r="I93" s="13" t="s">
        <v>637</v>
      </c>
      <c r="J93" s="110">
        <v>7.5</v>
      </c>
      <c r="K93" s="111">
        <v>4</v>
      </c>
      <c r="L93" s="110">
        <v>30</v>
      </c>
      <c r="M93" s="13" t="s">
        <v>21</v>
      </c>
      <c r="N93" s="13" t="s">
        <v>638</v>
      </c>
      <c r="O93" s="13" t="s">
        <v>639</v>
      </c>
      <c r="P93" s="13" t="s">
        <v>637</v>
      </c>
      <c r="Q93" s="13" t="s">
        <v>642</v>
      </c>
      <c r="R93" s="13" t="s">
        <v>641</v>
      </c>
      <c r="S93" s="13" t="s">
        <v>641</v>
      </c>
      <c r="T93" s="13" t="s">
        <v>641</v>
      </c>
    </row>
    <row r="94" customFormat="1" spans="1:20">
      <c r="A94" s="109">
        <v>45748</v>
      </c>
      <c r="B94" s="109">
        <v>45777</v>
      </c>
      <c r="C94" s="13" t="s">
        <v>635</v>
      </c>
      <c r="D94" s="13" t="s">
        <v>636</v>
      </c>
      <c r="E94" s="13">
        <v>1500826</v>
      </c>
      <c r="F94" s="13" t="s">
        <v>289</v>
      </c>
      <c r="G94" s="13" t="s">
        <v>37</v>
      </c>
      <c r="H94" s="13" t="s">
        <v>647</v>
      </c>
      <c r="I94" s="13" t="s">
        <v>637</v>
      </c>
      <c r="J94" s="110">
        <v>10.75</v>
      </c>
      <c r="K94" s="111">
        <v>14</v>
      </c>
      <c r="L94" s="110">
        <v>150.55</v>
      </c>
      <c r="M94" s="13" t="s">
        <v>97</v>
      </c>
      <c r="N94" s="13" t="s">
        <v>656</v>
      </c>
      <c r="O94" s="13" t="s">
        <v>639</v>
      </c>
      <c r="P94" s="13" t="s">
        <v>637</v>
      </c>
      <c r="Q94" s="13" t="s">
        <v>656</v>
      </c>
      <c r="R94" s="13" t="s">
        <v>641</v>
      </c>
      <c r="S94" s="13" t="s">
        <v>641</v>
      </c>
      <c r="T94" s="13" t="s">
        <v>641</v>
      </c>
    </row>
    <row r="95" customFormat="1" spans="1:20">
      <c r="A95" s="109">
        <v>45748</v>
      </c>
      <c r="B95" s="109">
        <v>45777</v>
      </c>
      <c r="C95" s="13" t="s">
        <v>635</v>
      </c>
      <c r="D95" s="13" t="s">
        <v>636</v>
      </c>
      <c r="E95" s="13">
        <v>1500827</v>
      </c>
      <c r="F95" s="13" t="s">
        <v>294</v>
      </c>
      <c r="G95" s="13" t="s">
        <v>37</v>
      </c>
      <c r="H95" s="13" t="s">
        <v>647</v>
      </c>
      <c r="I95" s="13" t="s">
        <v>637</v>
      </c>
      <c r="J95" s="110">
        <v>6.5</v>
      </c>
      <c r="K95" s="111">
        <v>15</v>
      </c>
      <c r="L95" s="110">
        <v>97.5</v>
      </c>
      <c r="M95" s="13" t="s">
        <v>21</v>
      </c>
      <c r="N95" s="13" t="s">
        <v>638</v>
      </c>
      <c r="O95" s="13" t="s">
        <v>639</v>
      </c>
      <c r="P95" s="13" t="s">
        <v>637</v>
      </c>
      <c r="Q95" s="13" t="s">
        <v>644</v>
      </c>
      <c r="R95" s="13" t="s">
        <v>641</v>
      </c>
      <c r="S95" s="13" t="s">
        <v>641</v>
      </c>
      <c r="T95" s="13" t="s">
        <v>641</v>
      </c>
    </row>
    <row r="96" customFormat="1" spans="1:20">
      <c r="A96" s="109">
        <v>45748</v>
      </c>
      <c r="B96" s="109">
        <v>45777</v>
      </c>
      <c r="C96" s="13" t="s">
        <v>635</v>
      </c>
      <c r="D96" s="13" t="s">
        <v>636</v>
      </c>
      <c r="E96" s="13">
        <v>1500828</v>
      </c>
      <c r="F96" s="13" t="s">
        <v>207</v>
      </c>
      <c r="G96" s="13" t="s">
        <v>37</v>
      </c>
      <c r="H96" s="13" t="s">
        <v>647</v>
      </c>
      <c r="I96" s="13" t="s">
        <v>637</v>
      </c>
      <c r="J96" s="110">
        <v>4</v>
      </c>
      <c r="K96" s="111">
        <v>95</v>
      </c>
      <c r="L96" s="110">
        <v>380</v>
      </c>
      <c r="M96" s="13" t="s">
        <v>21</v>
      </c>
      <c r="N96" s="13" t="s">
        <v>638</v>
      </c>
      <c r="O96" s="13" t="s">
        <v>639</v>
      </c>
      <c r="P96" s="13" t="s">
        <v>637</v>
      </c>
      <c r="Q96" s="13" t="s">
        <v>644</v>
      </c>
      <c r="R96" s="13" t="s">
        <v>641</v>
      </c>
      <c r="S96" s="13" t="s">
        <v>641</v>
      </c>
      <c r="T96" s="13" t="s">
        <v>641</v>
      </c>
    </row>
    <row r="97" customFormat="1" spans="1:20">
      <c r="A97" s="109">
        <v>45748</v>
      </c>
      <c r="B97" s="109">
        <v>45777</v>
      </c>
      <c r="C97" s="13" t="s">
        <v>635</v>
      </c>
      <c r="D97" s="13" t="s">
        <v>636</v>
      </c>
      <c r="E97" s="13">
        <v>1500829</v>
      </c>
      <c r="F97" s="13" t="s">
        <v>222</v>
      </c>
      <c r="G97" s="13" t="s">
        <v>37</v>
      </c>
      <c r="H97" s="13" t="s">
        <v>647</v>
      </c>
      <c r="I97" s="13" t="s">
        <v>637</v>
      </c>
      <c r="J97" s="110">
        <v>5.25</v>
      </c>
      <c r="K97" s="111">
        <v>1</v>
      </c>
      <c r="L97" s="110">
        <v>5.25</v>
      </c>
      <c r="M97" s="13" t="s">
        <v>97</v>
      </c>
      <c r="N97" s="13" t="s">
        <v>656</v>
      </c>
      <c r="O97" s="13" t="s">
        <v>639</v>
      </c>
      <c r="P97" s="13" t="s">
        <v>637</v>
      </c>
      <c r="Q97" s="13" t="s">
        <v>640</v>
      </c>
      <c r="R97" s="13" t="s">
        <v>641</v>
      </c>
      <c r="S97" s="13" t="s">
        <v>641</v>
      </c>
      <c r="T97" s="13" t="s">
        <v>641</v>
      </c>
    </row>
    <row r="98" customFormat="1" spans="1:20">
      <c r="A98" s="109">
        <v>45748</v>
      </c>
      <c r="B98" s="109">
        <v>45777</v>
      </c>
      <c r="C98" s="13" t="s">
        <v>635</v>
      </c>
      <c r="D98" s="13" t="s">
        <v>636</v>
      </c>
      <c r="E98" s="13">
        <v>1500831</v>
      </c>
      <c r="F98" s="13" t="s">
        <v>480</v>
      </c>
      <c r="G98" s="13" t="s">
        <v>37</v>
      </c>
      <c r="H98" s="13" t="s">
        <v>647</v>
      </c>
      <c r="I98" s="13" t="s">
        <v>637</v>
      </c>
      <c r="J98" s="110">
        <v>12.5</v>
      </c>
      <c r="K98" s="111">
        <v>6</v>
      </c>
      <c r="L98" s="110">
        <v>75</v>
      </c>
      <c r="M98" s="13" t="s">
        <v>21</v>
      </c>
      <c r="N98" s="13" t="s">
        <v>638</v>
      </c>
      <c r="O98" s="13" t="s">
        <v>639</v>
      </c>
      <c r="P98" s="13" t="s">
        <v>637</v>
      </c>
      <c r="Q98" s="13" t="s">
        <v>640</v>
      </c>
      <c r="R98" s="13" t="s">
        <v>641</v>
      </c>
      <c r="S98" s="13" t="s">
        <v>641</v>
      </c>
      <c r="T98" s="13" t="s">
        <v>641</v>
      </c>
    </row>
    <row r="99" customFormat="1" spans="1:20">
      <c r="A99" s="109">
        <v>45748</v>
      </c>
      <c r="B99" s="109">
        <v>45777</v>
      </c>
      <c r="C99" s="13" t="s">
        <v>635</v>
      </c>
      <c r="D99" s="13" t="s">
        <v>636</v>
      </c>
      <c r="E99" s="13">
        <v>1500834</v>
      </c>
      <c r="F99" s="13" t="s">
        <v>421</v>
      </c>
      <c r="G99" s="13" t="s">
        <v>37</v>
      </c>
      <c r="H99" s="13" t="s">
        <v>647</v>
      </c>
      <c r="I99" s="13" t="s">
        <v>637</v>
      </c>
      <c r="J99" s="110">
        <v>7.95</v>
      </c>
      <c r="K99" s="111">
        <v>1</v>
      </c>
      <c r="L99" s="110">
        <v>7.95</v>
      </c>
      <c r="M99" s="13" t="s">
        <v>97</v>
      </c>
      <c r="N99" s="13" t="s">
        <v>656</v>
      </c>
      <c r="O99" s="13" t="s">
        <v>639</v>
      </c>
      <c r="P99" s="13" t="s">
        <v>637</v>
      </c>
      <c r="Q99" s="13" t="s">
        <v>640</v>
      </c>
      <c r="R99" s="13" t="s">
        <v>641</v>
      </c>
      <c r="S99" s="13" t="s">
        <v>641</v>
      </c>
      <c r="T99" s="13" t="s">
        <v>641</v>
      </c>
    </row>
    <row r="100" customFormat="1" spans="1:20">
      <c r="A100" s="109">
        <v>45748</v>
      </c>
      <c r="B100" s="109">
        <v>45777</v>
      </c>
      <c r="C100" s="13" t="s">
        <v>635</v>
      </c>
      <c r="D100" s="13" t="s">
        <v>636</v>
      </c>
      <c r="E100" s="13">
        <v>1500835</v>
      </c>
      <c r="F100" s="13" t="s">
        <v>569</v>
      </c>
      <c r="G100" s="13" t="s">
        <v>37</v>
      </c>
      <c r="H100" s="13" t="s">
        <v>647</v>
      </c>
      <c r="I100" s="13" t="s">
        <v>637</v>
      </c>
      <c r="J100" s="110">
        <v>7.25</v>
      </c>
      <c r="K100" s="111">
        <v>1</v>
      </c>
      <c r="L100" s="110">
        <v>7.25</v>
      </c>
      <c r="M100" s="13" t="s">
        <v>21</v>
      </c>
      <c r="N100" s="13" t="s">
        <v>638</v>
      </c>
      <c r="O100" s="13" t="s">
        <v>639</v>
      </c>
      <c r="P100" s="13" t="s">
        <v>637</v>
      </c>
      <c r="Q100" s="13" t="s">
        <v>640</v>
      </c>
      <c r="R100" s="13" t="s">
        <v>641</v>
      </c>
      <c r="S100" s="13" t="s">
        <v>641</v>
      </c>
      <c r="T100" s="13" t="s">
        <v>641</v>
      </c>
    </row>
    <row r="101" customFormat="1" spans="1:20">
      <c r="A101" s="109">
        <v>45748</v>
      </c>
      <c r="B101" s="109">
        <v>45777</v>
      </c>
      <c r="C101" s="13" t="s">
        <v>635</v>
      </c>
      <c r="D101" s="13" t="s">
        <v>636</v>
      </c>
      <c r="E101" s="13">
        <v>1500837</v>
      </c>
      <c r="F101" s="13" t="s">
        <v>231</v>
      </c>
      <c r="G101" s="13" t="s">
        <v>37</v>
      </c>
      <c r="H101" s="13" t="s">
        <v>647</v>
      </c>
      <c r="I101" s="13" t="s">
        <v>637</v>
      </c>
      <c r="J101" s="110">
        <v>12.5</v>
      </c>
      <c r="K101" s="111">
        <v>1</v>
      </c>
      <c r="L101" s="110">
        <v>12.5</v>
      </c>
      <c r="M101" s="13" t="s">
        <v>21</v>
      </c>
      <c r="N101" s="13" t="s">
        <v>638</v>
      </c>
      <c r="O101" s="13" t="s">
        <v>639</v>
      </c>
      <c r="P101" s="13" t="s">
        <v>637</v>
      </c>
      <c r="Q101" s="13" t="s">
        <v>644</v>
      </c>
      <c r="R101" s="13" t="s">
        <v>641</v>
      </c>
      <c r="S101" s="13" t="s">
        <v>641</v>
      </c>
      <c r="T101" s="13" t="s">
        <v>641</v>
      </c>
    </row>
    <row r="102" customFormat="1" spans="1:20">
      <c r="A102" s="109">
        <v>45748</v>
      </c>
      <c r="B102" s="109">
        <v>45777</v>
      </c>
      <c r="C102" s="13" t="s">
        <v>635</v>
      </c>
      <c r="D102" s="13" t="s">
        <v>636</v>
      </c>
      <c r="E102" s="13">
        <v>1500838</v>
      </c>
      <c r="F102" s="13" t="s">
        <v>232</v>
      </c>
      <c r="G102" s="13" t="s">
        <v>37</v>
      </c>
      <c r="H102" s="13" t="s">
        <v>647</v>
      </c>
      <c r="I102" s="13" t="s">
        <v>637</v>
      </c>
      <c r="J102" s="110">
        <v>8.33</v>
      </c>
      <c r="K102" s="111">
        <v>29.16</v>
      </c>
      <c r="L102" s="110">
        <v>242.87</v>
      </c>
      <c r="M102" s="13" t="s">
        <v>97</v>
      </c>
      <c r="N102" s="13" t="s">
        <v>656</v>
      </c>
      <c r="O102" s="13" t="s">
        <v>639</v>
      </c>
      <c r="P102" s="13" t="s">
        <v>637</v>
      </c>
      <c r="Q102" s="13" t="s">
        <v>640</v>
      </c>
      <c r="R102" s="13" t="s">
        <v>641</v>
      </c>
      <c r="S102" s="13" t="s">
        <v>641</v>
      </c>
      <c r="T102" s="13" t="s">
        <v>641</v>
      </c>
    </row>
    <row r="103" customFormat="1" spans="1:20">
      <c r="A103" s="109">
        <v>45748</v>
      </c>
      <c r="B103" s="109">
        <v>45777</v>
      </c>
      <c r="C103" s="13" t="s">
        <v>635</v>
      </c>
      <c r="D103" s="13" t="s">
        <v>636</v>
      </c>
      <c r="E103" s="13">
        <v>1500840</v>
      </c>
      <c r="F103" s="13" t="s">
        <v>98</v>
      </c>
      <c r="G103" s="13" t="s">
        <v>37</v>
      </c>
      <c r="H103" s="13" t="s">
        <v>647</v>
      </c>
      <c r="I103" s="13" t="s">
        <v>637</v>
      </c>
      <c r="J103" s="110">
        <v>9.5</v>
      </c>
      <c r="K103" s="111">
        <v>7</v>
      </c>
      <c r="L103" s="110">
        <v>66.5</v>
      </c>
      <c r="M103" s="13" t="s">
        <v>21</v>
      </c>
      <c r="N103" s="13" t="s">
        <v>638</v>
      </c>
      <c r="O103" s="13" t="s">
        <v>639</v>
      </c>
      <c r="P103" s="13" t="s">
        <v>637</v>
      </c>
      <c r="Q103" s="13" t="s">
        <v>640</v>
      </c>
      <c r="R103" s="13" t="s">
        <v>641</v>
      </c>
      <c r="S103" s="13" t="s">
        <v>641</v>
      </c>
      <c r="T103" s="13" t="s">
        <v>641</v>
      </c>
    </row>
    <row r="104" customFormat="1" spans="1:20">
      <c r="A104" s="109">
        <v>45748</v>
      </c>
      <c r="B104" s="109">
        <v>45777</v>
      </c>
      <c r="C104" s="13" t="s">
        <v>635</v>
      </c>
      <c r="D104" s="13" t="s">
        <v>636</v>
      </c>
      <c r="E104" s="13">
        <v>1500841</v>
      </c>
      <c r="F104" s="13" t="s">
        <v>414</v>
      </c>
      <c r="G104" s="13" t="s">
        <v>37</v>
      </c>
      <c r="H104" s="13" t="s">
        <v>647</v>
      </c>
      <c r="I104" s="13" t="s">
        <v>637</v>
      </c>
      <c r="J104" s="110">
        <v>18.5</v>
      </c>
      <c r="K104" s="111">
        <v>1</v>
      </c>
      <c r="L104" s="110">
        <v>18.5</v>
      </c>
      <c r="M104" s="13" t="s">
        <v>21</v>
      </c>
      <c r="N104" s="13" t="s">
        <v>638</v>
      </c>
      <c r="O104" s="13" t="s">
        <v>639</v>
      </c>
      <c r="P104" s="13" t="s">
        <v>637</v>
      </c>
      <c r="Q104" s="13" t="s">
        <v>640</v>
      </c>
      <c r="R104" s="13" t="s">
        <v>641</v>
      </c>
      <c r="S104" s="13" t="s">
        <v>641</v>
      </c>
      <c r="T104" s="13" t="s">
        <v>641</v>
      </c>
    </row>
    <row r="105" customFormat="1" spans="1:20">
      <c r="A105" s="109">
        <v>45748</v>
      </c>
      <c r="B105" s="109">
        <v>45777</v>
      </c>
      <c r="C105" s="13" t="s">
        <v>635</v>
      </c>
      <c r="D105" s="13" t="s">
        <v>636</v>
      </c>
      <c r="E105" s="13">
        <v>1500842</v>
      </c>
      <c r="F105" s="13" t="s">
        <v>185</v>
      </c>
      <c r="G105" s="13" t="s">
        <v>37</v>
      </c>
      <c r="H105" s="13" t="s">
        <v>647</v>
      </c>
      <c r="I105" s="13" t="s">
        <v>637</v>
      </c>
      <c r="J105" s="110">
        <v>5.45</v>
      </c>
      <c r="K105" s="111">
        <v>21</v>
      </c>
      <c r="L105" s="110">
        <v>114.45</v>
      </c>
      <c r="M105" s="13" t="s">
        <v>21</v>
      </c>
      <c r="N105" s="13" t="s">
        <v>638</v>
      </c>
      <c r="O105" s="13" t="s">
        <v>639</v>
      </c>
      <c r="P105" s="13" t="s">
        <v>637</v>
      </c>
      <c r="Q105" s="13" t="s">
        <v>640</v>
      </c>
      <c r="R105" s="13" t="s">
        <v>641</v>
      </c>
      <c r="S105" s="13" t="s">
        <v>641</v>
      </c>
      <c r="T105" s="13" t="s">
        <v>641</v>
      </c>
    </row>
    <row r="106" customFormat="1" spans="1:20">
      <c r="A106" s="109">
        <v>45748</v>
      </c>
      <c r="B106" s="109">
        <v>45777</v>
      </c>
      <c r="C106" s="13" t="s">
        <v>635</v>
      </c>
      <c r="D106" s="13" t="s">
        <v>636</v>
      </c>
      <c r="E106" s="13">
        <v>1500843</v>
      </c>
      <c r="F106" s="13" t="s">
        <v>443</v>
      </c>
      <c r="G106" s="13" t="s">
        <v>37</v>
      </c>
      <c r="H106" s="13" t="s">
        <v>647</v>
      </c>
      <c r="I106" s="13" t="s">
        <v>637</v>
      </c>
      <c r="J106" s="110">
        <v>12.5</v>
      </c>
      <c r="K106" s="111">
        <v>8</v>
      </c>
      <c r="L106" s="110">
        <v>100</v>
      </c>
      <c r="M106" s="13" t="s">
        <v>21</v>
      </c>
      <c r="N106" s="13" t="s">
        <v>638</v>
      </c>
      <c r="O106" s="13" t="s">
        <v>639</v>
      </c>
      <c r="P106" s="13" t="s">
        <v>637</v>
      </c>
      <c r="Q106" s="13" t="s">
        <v>644</v>
      </c>
      <c r="R106" s="13" t="s">
        <v>641</v>
      </c>
      <c r="S106" s="13" t="s">
        <v>641</v>
      </c>
      <c r="T106" s="13" t="s">
        <v>641</v>
      </c>
    </row>
    <row r="107" customFormat="1" spans="1:20">
      <c r="A107" s="109">
        <v>45748</v>
      </c>
      <c r="B107" s="109">
        <v>45777</v>
      </c>
      <c r="C107" s="13" t="s">
        <v>635</v>
      </c>
      <c r="D107" s="13" t="s">
        <v>636</v>
      </c>
      <c r="E107" s="13">
        <v>1500844</v>
      </c>
      <c r="F107" s="13" t="s">
        <v>136</v>
      </c>
      <c r="G107" s="13" t="s">
        <v>138</v>
      </c>
      <c r="H107" s="13" t="s">
        <v>137</v>
      </c>
      <c r="I107" s="13" t="s">
        <v>637</v>
      </c>
      <c r="J107" s="110">
        <v>0.9</v>
      </c>
      <c r="K107" s="111">
        <v>10</v>
      </c>
      <c r="L107" s="110">
        <v>9</v>
      </c>
      <c r="M107" s="13" t="s">
        <v>21</v>
      </c>
      <c r="N107" s="13" t="s">
        <v>638</v>
      </c>
      <c r="O107" s="13" t="s">
        <v>639</v>
      </c>
      <c r="P107" s="13" t="s">
        <v>637</v>
      </c>
      <c r="Q107" s="13" t="s">
        <v>640</v>
      </c>
      <c r="R107" s="13" t="s">
        <v>641</v>
      </c>
      <c r="S107" s="13" t="s">
        <v>641</v>
      </c>
      <c r="T107" s="13" t="s">
        <v>641</v>
      </c>
    </row>
    <row r="108" customFormat="1" spans="1:20">
      <c r="A108" s="109">
        <v>45748</v>
      </c>
      <c r="B108" s="109">
        <v>45777</v>
      </c>
      <c r="C108" s="13" t="s">
        <v>635</v>
      </c>
      <c r="D108" s="13" t="s">
        <v>636</v>
      </c>
      <c r="E108" s="13">
        <v>1500845</v>
      </c>
      <c r="F108" s="13" t="s">
        <v>215</v>
      </c>
      <c r="G108" s="13" t="s">
        <v>30</v>
      </c>
      <c r="H108" s="13" t="s">
        <v>29</v>
      </c>
      <c r="I108" s="13" t="s">
        <v>637</v>
      </c>
      <c r="J108" s="110">
        <v>6.85</v>
      </c>
      <c r="K108" s="111">
        <v>4</v>
      </c>
      <c r="L108" s="110">
        <v>27.4</v>
      </c>
      <c r="M108" s="13" t="s">
        <v>21</v>
      </c>
      <c r="N108" s="13" t="s">
        <v>638</v>
      </c>
      <c r="O108" s="13" t="s">
        <v>639</v>
      </c>
      <c r="P108" s="13" t="s">
        <v>637</v>
      </c>
      <c r="Q108" s="13" t="s">
        <v>640</v>
      </c>
      <c r="R108" s="13" t="s">
        <v>641</v>
      </c>
      <c r="S108" s="13" t="s">
        <v>641</v>
      </c>
      <c r="T108" s="13" t="s">
        <v>641</v>
      </c>
    </row>
    <row r="109" customFormat="1" spans="1:20">
      <c r="A109" s="109">
        <v>45748</v>
      </c>
      <c r="B109" s="109">
        <v>45777</v>
      </c>
      <c r="C109" s="13" t="s">
        <v>635</v>
      </c>
      <c r="D109" s="13" t="s">
        <v>636</v>
      </c>
      <c r="E109" s="13">
        <v>1500846</v>
      </c>
      <c r="F109" s="13" t="s">
        <v>418</v>
      </c>
      <c r="G109" s="13" t="s">
        <v>37</v>
      </c>
      <c r="H109" s="13" t="s">
        <v>647</v>
      </c>
      <c r="I109" s="13" t="s">
        <v>637</v>
      </c>
      <c r="J109" s="110">
        <v>7.75</v>
      </c>
      <c r="K109" s="111">
        <v>6</v>
      </c>
      <c r="L109" s="110">
        <v>46.48</v>
      </c>
      <c r="M109" s="13" t="s">
        <v>21</v>
      </c>
      <c r="N109" s="13" t="s">
        <v>638</v>
      </c>
      <c r="O109" s="13" t="s">
        <v>639</v>
      </c>
      <c r="P109" s="13" t="s">
        <v>637</v>
      </c>
      <c r="Q109" s="13" t="s">
        <v>642</v>
      </c>
      <c r="R109" s="13" t="s">
        <v>641</v>
      </c>
      <c r="S109" s="13" t="s">
        <v>641</v>
      </c>
      <c r="T109" s="13" t="s">
        <v>641</v>
      </c>
    </row>
    <row r="110" customFormat="1" spans="1:20">
      <c r="A110" s="109">
        <v>45748</v>
      </c>
      <c r="B110" s="109">
        <v>45777</v>
      </c>
      <c r="C110" s="13" t="s">
        <v>635</v>
      </c>
      <c r="D110" s="13" t="s">
        <v>636</v>
      </c>
      <c r="E110" s="13">
        <v>1500847</v>
      </c>
      <c r="F110" s="13" t="s">
        <v>609</v>
      </c>
      <c r="G110" s="13" t="s">
        <v>37</v>
      </c>
      <c r="H110" s="13" t="s">
        <v>647</v>
      </c>
      <c r="I110" s="13" t="s">
        <v>637</v>
      </c>
      <c r="J110" s="110">
        <v>9.6</v>
      </c>
      <c r="K110" s="111">
        <v>1</v>
      </c>
      <c r="L110" s="110">
        <v>9.6</v>
      </c>
      <c r="M110" s="13" t="s">
        <v>21</v>
      </c>
      <c r="N110" s="13" t="s">
        <v>638</v>
      </c>
      <c r="O110" s="13" t="s">
        <v>639</v>
      </c>
      <c r="P110" s="13" t="s">
        <v>637</v>
      </c>
      <c r="Q110" s="13" t="s">
        <v>640</v>
      </c>
      <c r="R110" s="13" t="s">
        <v>641</v>
      </c>
      <c r="S110" s="13" t="s">
        <v>641</v>
      </c>
      <c r="T110" s="13" t="s">
        <v>641</v>
      </c>
    </row>
    <row r="111" customFormat="1" spans="1:20">
      <c r="A111" s="109">
        <v>45748</v>
      </c>
      <c r="B111" s="109">
        <v>45777</v>
      </c>
      <c r="C111" s="13" t="s">
        <v>635</v>
      </c>
      <c r="D111" s="13" t="s">
        <v>636</v>
      </c>
      <c r="E111" s="13">
        <v>1500849</v>
      </c>
      <c r="F111" s="13" t="s">
        <v>462</v>
      </c>
      <c r="G111" s="13" t="s">
        <v>37</v>
      </c>
      <c r="H111" s="13" t="s">
        <v>647</v>
      </c>
      <c r="I111" s="13" t="s">
        <v>637</v>
      </c>
      <c r="J111" s="110">
        <v>4.3</v>
      </c>
      <c r="K111" s="111">
        <v>35</v>
      </c>
      <c r="L111" s="110">
        <v>150.5</v>
      </c>
      <c r="M111" s="13" t="s">
        <v>21</v>
      </c>
      <c r="N111" s="13" t="s">
        <v>638</v>
      </c>
      <c r="O111" s="13" t="s">
        <v>639</v>
      </c>
      <c r="P111" s="13" t="s">
        <v>637</v>
      </c>
      <c r="Q111" s="13" t="s">
        <v>640</v>
      </c>
      <c r="R111" s="13" t="s">
        <v>641</v>
      </c>
      <c r="S111" s="13" t="s">
        <v>641</v>
      </c>
      <c r="T111" s="13" t="s">
        <v>641</v>
      </c>
    </row>
    <row r="112" customFormat="1" spans="1:20">
      <c r="A112" s="109">
        <v>45748</v>
      </c>
      <c r="B112" s="109">
        <v>45777</v>
      </c>
      <c r="C112" s="13" t="s">
        <v>635</v>
      </c>
      <c r="D112" s="13" t="s">
        <v>636</v>
      </c>
      <c r="E112" s="13">
        <v>1500856</v>
      </c>
      <c r="F112" s="13" t="s">
        <v>178</v>
      </c>
      <c r="G112" s="13" t="s">
        <v>138</v>
      </c>
      <c r="H112" s="13" t="s">
        <v>137</v>
      </c>
      <c r="I112" s="13" t="s">
        <v>637</v>
      </c>
      <c r="J112" s="110">
        <v>2.93</v>
      </c>
      <c r="K112" s="111">
        <v>525</v>
      </c>
      <c r="L112" s="110">
        <v>1540</v>
      </c>
      <c r="M112" s="13" t="s">
        <v>97</v>
      </c>
      <c r="N112" s="13" t="s">
        <v>656</v>
      </c>
      <c r="O112" s="13" t="s">
        <v>639</v>
      </c>
      <c r="P112" s="13" t="s">
        <v>637</v>
      </c>
      <c r="Q112" s="13" t="s">
        <v>656</v>
      </c>
      <c r="R112" s="13" t="s">
        <v>641</v>
      </c>
      <c r="S112" s="13" t="s">
        <v>641</v>
      </c>
      <c r="T112" s="13" t="s">
        <v>641</v>
      </c>
    </row>
    <row r="113" customFormat="1" spans="1:20">
      <c r="A113" s="109">
        <v>45748</v>
      </c>
      <c r="B113" s="109">
        <v>45777</v>
      </c>
      <c r="C113" s="13" t="s">
        <v>635</v>
      </c>
      <c r="D113" s="13" t="s">
        <v>636</v>
      </c>
      <c r="E113" s="13">
        <v>1500860</v>
      </c>
      <c r="F113" s="13" t="s">
        <v>142</v>
      </c>
      <c r="G113" s="13" t="s">
        <v>138</v>
      </c>
      <c r="H113" s="13" t="s">
        <v>137</v>
      </c>
      <c r="I113" s="13" t="s">
        <v>648</v>
      </c>
      <c r="J113" s="110">
        <v>3.04</v>
      </c>
      <c r="K113" s="111">
        <v>8</v>
      </c>
      <c r="L113" s="110">
        <v>24.32</v>
      </c>
      <c r="M113" s="13" t="s">
        <v>643</v>
      </c>
      <c r="N113" s="13" t="s">
        <v>642</v>
      </c>
      <c r="O113" s="13" t="s">
        <v>639</v>
      </c>
      <c r="P113" s="13" t="s">
        <v>637</v>
      </c>
      <c r="Q113" s="13" t="s">
        <v>642</v>
      </c>
      <c r="R113" s="13" t="s">
        <v>641</v>
      </c>
      <c r="S113" s="13" t="s">
        <v>641</v>
      </c>
      <c r="T113" s="13" t="s">
        <v>641</v>
      </c>
    </row>
    <row r="114" customFormat="1" spans="1:20">
      <c r="A114" s="109">
        <v>45748</v>
      </c>
      <c r="B114" s="109">
        <v>45777</v>
      </c>
      <c r="C114" s="13" t="s">
        <v>635</v>
      </c>
      <c r="D114" s="13" t="s">
        <v>636</v>
      </c>
      <c r="E114" s="13">
        <v>1500860</v>
      </c>
      <c r="F114" s="13" t="s">
        <v>142</v>
      </c>
      <c r="G114" s="13" t="s">
        <v>138</v>
      </c>
      <c r="H114" s="13" t="s">
        <v>137</v>
      </c>
      <c r="I114" s="13" t="s">
        <v>637</v>
      </c>
      <c r="J114" s="110">
        <v>3.04</v>
      </c>
      <c r="K114" s="111">
        <v>496</v>
      </c>
      <c r="L114" s="110">
        <v>1508.68</v>
      </c>
      <c r="M114" s="13" t="s">
        <v>643</v>
      </c>
      <c r="N114" s="13" t="s">
        <v>642</v>
      </c>
      <c r="O114" s="13" t="s">
        <v>639</v>
      </c>
      <c r="P114" s="13" t="s">
        <v>637</v>
      </c>
      <c r="Q114" s="13" t="s">
        <v>642</v>
      </c>
      <c r="R114" s="13" t="s">
        <v>641</v>
      </c>
      <c r="S114" s="13" t="s">
        <v>641</v>
      </c>
      <c r="T114" s="13" t="s">
        <v>641</v>
      </c>
    </row>
    <row r="115" customFormat="1" spans="1:20">
      <c r="A115" s="109">
        <v>45748</v>
      </c>
      <c r="B115" s="109">
        <v>45777</v>
      </c>
      <c r="C115" s="13" t="s">
        <v>635</v>
      </c>
      <c r="D115" s="13" t="s">
        <v>636</v>
      </c>
      <c r="E115" s="13">
        <v>1500861</v>
      </c>
      <c r="F115" s="13" t="s">
        <v>599</v>
      </c>
      <c r="G115" s="13" t="s">
        <v>56</v>
      </c>
      <c r="H115" s="13" t="s">
        <v>55</v>
      </c>
      <c r="I115" s="13" t="s">
        <v>637</v>
      </c>
      <c r="J115" s="110">
        <v>3.5</v>
      </c>
      <c r="K115" s="111">
        <v>588</v>
      </c>
      <c r="L115" s="110">
        <v>2058</v>
      </c>
      <c r="M115" s="13" t="s">
        <v>643</v>
      </c>
      <c r="N115" s="13" t="s">
        <v>642</v>
      </c>
      <c r="O115" s="13" t="s">
        <v>639</v>
      </c>
      <c r="P115" s="13" t="s">
        <v>637</v>
      </c>
      <c r="Q115" s="13" t="s">
        <v>642</v>
      </c>
      <c r="R115" s="13" t="s">
        <v>641</v>
      </c>
      <c r="S115" s="13" t="s">
        <v>641</v>
      </c>
      <c r="T115" s="13" t="s">
        <v>641</v>
      </c>
    </row>
    <row r="116" customFormat="1" spans="1:20">
      <c r="A116" s="109">
        <v>45748</v>
      </c>
      <c r="B116" s="109">
        <v>45777</v>
      </c>
      <c r="C116" s="13" t="s">
        <v>635</v>
      </c>
      <c r="D116" s="13" t="s">
        <v>636</v>
      </c>
      <c r="E116" s="13">
        <v>1500862</v>
      </c>
      <c r="F116" s="13" t="s">
        <v>472</v>
      </c>
      <c r="G116" s="13" t="s">
        <v>74</v>
      </c>
      <c r="H116" s="13" t="s">
        <v>73</v>
      </c>
      <c r="I116" s="13" t="s">
        <v>637</v>
      </c>
      <c r="J116" s="110">
        <v>3.8</v>
      </c>
      <c r="K116" s="111">
        <v>190</v>
      </c>
      <c r="L116" s="110">
        <v>722</v>
      </c>
      <c r="M116" s="13" t="s">
        <v>21</v>
      </c>
      <c r="N116" s="13" t="s">
        <v>638</v>
      </c>
      <c r="O116" s="13" t="s">
        <v>639</v>
      </c>
      <c r="P116" s="13" t="s">
        <v>637</v>
      </c>
      <c r="Q116" s="13" t="s">
        <v>640</v>
      </c>
      <c r="R116" s="13" t="s">
        <v>641</v>
      </c>
      <c r="S116" s="13" t="s">
        <v>641</v>
      </c>
      <c r="T116" s="13" t="s">
        <v>641</v>
      </c>
    </row>
    <row r="117" customFormat="1" spans="1:20">
      <c r="A117" s="109">
        <v>45748</v>
      </c>
      <c r="B117" s="109">
        <v>45777</v>
      </c>
      <c r="C117" s="13" t="s">
        <v>635</v>
      </c>
      <c r="D117" s="13" t="s">
        <v>636</v>
      </c>
      <c r="E117" s="13">
        <v>1500865</v>
      </c>
      <c r="F117" s="13" t="s">
        <v>344</v>
      </c>
      <c r="G117" s="13" t="s">
        <v>33</v>
      </c>
      <c r="H117" s="13" t="s">
        <v>32</v>
      </c>
      <c r="I117" s="13" t="s">
        <v>637</v>
      </c>
      <c r="J117" s="110">
        <v>8.43</v>
      </c>
      <c r="K117" s="111">
        <v>14</v>
      </c>
      <c r="L117" s="110">
        <v>118.07</v>
      </c>
      <c r="M117" s="13" t="s">
        <v>21</v>
      </c>
      <c r="N117" s="13" t="s">
        <v>638</v>
      </c>
      <c r="O117" s="13" t="s">
        <v>639</v>
      </c>
      <c r="P117" s="13" t="s">
        <v>637</v>
      </c>
      <c r="Q117" s="13" t="s">
        <v>640</v>
      </c>
      <c r="R117" s="13" t="s">
        <v>641</v>
      </c>
      <c r="S117" s="13" t="s">
        <v>641</v>
      </c>
      <c r="T117" s="13" t="s">
        <v>641</v>
      </c>
    </row>
    <row r="118" customFormat="1" spans="1:20">
      <c r="A118" s="109">
        <v>45748</v>
      </c>
      <c r="B118" s="109">
        <v>45777</v>
      </c>
      <c r="C118" s="13" t="s">
        <v>635</v>
      </c>
      <c r="D118" s="13" t="s">
        <v>636</v>
      </c>
      <c r="E118" s="13">
        <v>1500867</v>
      </c>
      <c r="F118" s="13" t="s">
        <v>210</v>
      </c>
      <c r="G118" s="13" t="s">
        <v>74</v>
      </c>
      <c r="H118" s="13" t="s">
        <v>73</v>
      </c>
      <c r="I118" s="13" t="s">
        <v>637</v>
      </c>
      <c r="J118" s="110">
        <v>2.6</v>
      </c>
      <c r="K118" s="111">
        <v>15</v>
      </c>
      <c r="L118" s="110">
        <v>39</v>
      </c>
      <c r="M118" s="13" t="s">
        <v>21</v>
      </c>
      <c r="N118" s="13" t="s">
        <v>638</v>
      </c>
      <c r="O118" s="13" t="s">
        <v>639</v>
      </c>
      <c r="P118" s="13" t="s">
        <v>637</v>
      </c>
      <c r="Q118" s="13" t="s">
        <v>640</v>
      </c>
      <c r="R118" s="13" t="s">
        <v>641</v>
      </c>
      <c r="S118" s="13" t="s">
        <v>641</v>
      </c>
      <c r="T118" s="13" t="s">
        <v>641</v>
      </c>
    </row>
    <row r="119" customFormat="1" spans="1:20">
      <c r="A119" s="109">
        <v>45748</v>
      </c>
      <c r="B119" s="109">
        <v>45777</v>
      </c>
      <c r="C119" s="13" t="s">
        <v>635</v>
      </c>
      <c r="D119" s="13" t="s">
        <v>636</v>
      </c>
      <c r="E119" s="13">
        <v>1500868</v>
      </c>
      <c r="F119" s="13" t="s">
        <v>668</v>
      </c>
      <c r="G119" s="13" t="s">
        <v>56</v>
      </c>
      <c r="H119" s="13" t="s">
        <v>55</v>
      </c>
      <c r="I119" s="13" t="s">
        <v>637</v>
      </c>
      <c r="J119" s="110">
        <v>45.5</v>
      </c>
      <c r="K119" s="111">
        <v>0.4</v>
      </c>
      <c r="L119" s="110">
        <v>18.2</v>
      </c>
      <c r="M119" s="13" t="s">
        <v>21</v>
      </c>
      <c r="N119" s="13" t="s">
        <v>638</v>
      </c>
      <c r="O119" s="13" t="s">
        <v>639</v>
      </c>
      <c r="P119" s="13" t="s">
        <v>637</v>
      </c>
      <c r="Q119" s="13" t="s">
        <v>640</v>
      </c>
      <c r="R119" s="13" t="s">
        <v>641</v>
      </c>
      <c r="S119" s="13" t="s">
        <v>641</v>
      </c>
      <c r="T119" s="13" t="s">
        <v>641</v>
      </c>
    </row>
    <row r="120" customFormat="1" spans="1:20">
      <c r="A120" s="109">
        <v>45748</v>
      </c>
      <c r="B120" s="109">
        <v>45777</v>
      </c>
      <c r="C120" s="13" t="s">
        <v>635</v>
      </c>
      <c r="D120" s="13" t="s">
        <v>636</v>
      </c>
      <c r="E120" s="13">
        <v>1500872</v>
      </c>
      <c r="F120" s="13" t="s">
        <v>297</v>
      </c>
      <c r="G120" s="13" t="s">
        <v>33</v>
      </c>
      <c r="H120" s="13" t="s">
        <v>32</v>
      </c>
      <c r="I120" s="13" t="s">
        <v>637</v>
      </c>
      <c r="J120" s="110">
        <v>3.5</v>
      </c>
      <c r="K120" s="111">
        <v>5</v>
      </c>
      <c r="L120" s="110">
        <v>17.5</v>
      </c>
      <c r="M120" s="13" t="s">
        <v>21</v>
      </c>
      <c r="N120" s="13" t="s">
        <v>638</v>
      </c>
      <c r="O120" s="13" t="s">
        <v>639</v>
      </c>
      <c r="P120" s="13" t="s">
        <v>637</v>
      </c>
      <c r="Q120" s="13" t="s">
        <v>640</v>
      </c>
      <c r="R120" s="13" t="s">
        <v>641</v>
      </c>
      <c r="S120" s="13" t="s">
        <v>641</v>
      </c>
      <c r="T120" s="13" t="s">
        <v>641</v>
      </c>
    </row>
    <row r="121" customFormat="1" spans="1:20">
      <c r="A121" s="109">
        <v>45748</v>
      </c>
      <c r="B121" s="109">
        <v>45777</v>
      </c>
      <c r="C121" s="13" t="s">
        <v>635</v>
      </c>
      <c r="D121" s="13" t="s">
        <v>636</v>
      </c>
      <c r="E121" s="13">
        <v>1500873</v>
      </c>
      <c r="F121" s="13" t="s">
        <v>583</v>
      </c>
      <c r="G121" s="13" t="s">
        <v>33</v>
      </c>
      <c r="H121" s="13" t="s">
        <v>32</v>
      </c>
      <c r="I121" s="13" t="s">
        <v>637</v>
      </c>
      <c r="J121" s="110">
        <v>2.67</v>
      </c>
      <c r="K121" s="111">
        <v>6</v>
      </c>
      <c r="L121" s="110">
        <v>16</v>
      </c>
      <c r="M121" s="13" t="s">
        <v>643</v>
      </c>
      <c r="N121" s="13" t="s">
        <v>642</v>
      </c>
      <c r="O121" s="13" t="s">
        <v>639</v>
      </c>
      <c r="P121" s="13" t="s">
        <v>637</v>
      </c>
      <c r="Q121" s="13" t="s">
        <v>640</v>
      </c>
      <c r="R121" s="13" t="s">
        <v>641</v>
      </c>
      <c r="S121" s="13" t="s">
        <v>641</v>
      </c>
      <c r="T121" s="13" t="s">
        <v>641</v>
      </c>
    </row>
    <row r="122" customFormat="1" spans="1:20">
      <c r="A122" s="109">
        <v>45748</v>
      </c>
      <c r="B122" s="109">
        <v>45777</v>
      </c>
      <c r="C122" s="13" t="s">
        <v>635</v>
      </c>
      <c r="D122" s="13" t="s">
        <v>636</v>
      </c>
      <c r="E122" s="13">
        <v>1500877</v>
      </c>
      <c r="F122" s="13" t="s">
        <v>557</v>
      </c>
      <c r="G122" s="13" t="s">
        <v>138</v>
      </c>
      <c r="H122" s="13" t="s">
        <v>137</v>
      </c>
      <c r="I122" s="13" t="s">
        <v>637</v>
      </c>
      <c r="J122" s="110">
        <v>12.5</v>
      </c>
      <c r="K122" s="111">
        <v>21</v>
      </c>
      <c r="L122" s="110">
        <v>262.5</v>
      </c>
      <c r="M122" s="13" t="s">
        <v>21</v>
      </c>
      <c r="N122" s="13" t="s">
        <v>638</v>
      </c>
      <c r="O122" s="13" t="s">
        <v>639</v>
      </c>
      <c r="P122" s="13" t="s">
        <v>637</v>
      </c>
      <c r="Q122" s="13" t="s">
        <v>640</v>
      </c>
      <c r="R122" s="13" t="s">
        <v>641</v>
      </c>
      <c r="S122" s="13" t="s">
        <v>641</v>
      </c>
      <c r="T122" s="13" t="s">
        <v>641</v>
      </c>
    </row>
    <row r="123" customFormat="1" spans="1:20">
      <c r="A123" s="109">
        <v>45748</v>
      </c>
      <c r="B123" s="109">
        <v>45777</v>
      </c>
      <c r="C123" s="13" t="s">
        <v>635</v>
      </c>
      <c r="D123" s="13" t="s">
        <v>636</v>
      </c>
      <c r="E123" s="13">
        <v>1500878</v>
      </c>
      <c r="F123" s="13" t="s">
        <v>531</v>
      </c>
      <c r="G123" s="13" t="s">
        <v>74</v>
      </c>
      <c r="H123" s="13" t="s">
        <v>73</v>
      </c>
      <c r="I123" s="13" t="s">
        <v>637</v>
      </c>
      <c r="J123" s="110">
        <v>4</v>
      </c>
      <c r="K123" s="111">
        <v>30</v>
      </c>
      <c r="L123" s="110">
        <v>120</v>
      </c>
      <c r="M123" s="13" t="s">
        <v>261</v>
      </c>
      <c r="N123" s="13" t="s">
        <v>654</v>
      </c>
      <c r="O123" s="13" t="s">
        <v>639</v>
      </c>
      <c r="P123" s="13" t="s">
        <v>637</v>
      </c>
      <c r="Q123" s="13" t="s">
        <v>640</v>
      </c>
      <c r="R123" s="13" t="s">
        <v>641</v>
      </c>
      <c r="S123" s="13" t="s">
        <v>641</v>
      </c>
      <c r="T123" s="13" t="s">
        <v>641</v>
      </c>
    </row>
    <row r="124" customFormat="1" spans="1:20">
      <c r="A124" s="109">
        <v>45748</v>
      </c>
      <c r="B124" s="109">
        <v>45777</v>
      </c>
      <c r="C124" s="13" t="s">
        <v>635</v>
      </c>
      <c r="D124" s="13" t="s">
        <v>636</v>
      </c>
      <c r="E124" s="13">
        <v>1500879</v>
      </c>
      <c r="F124" s="13" t="s">
        <v>401</v>
      </c>
      <c r="G124" s="13" t="s">
        <v>403</v>
      </c>
      <c r="H124" s="13" t="s">
        <v>402</v>
      </c>
      <c r="I124" s="13" t="s">
        <v>637</v>
      </c>
      <c r="J124" s="110">
        <v>1.88</v>
      </c>
      <c r="K124" s="111">
        <v>17</v>
      </c>
      <c r="L124" s="110">
        <v>31.89</v>
      </c>
      <c r="M124" s="13" t="s">
        <v>21</v>
      </c>
      <c r="N124" s="13" t="s">
        <v>638</v>
      </c>
      <c r="O124" s="13" t="s">
        <v>639</v>
      </c>
      <c r="P124" s="13" t="s">
        <v>637</v>
      </c>
      <c r="Q124" s="13" t="s">
        <v>640</v>
      </c>
      <c r="R124" s="13" t="s">
        <v>641</v>
      </c>
      <c r="S124" s="13" t="s">
        <v>641</v>
      </c>
      <c r="T124" s="13" t="s">
        <v>641</v>
      </c>
    </row>
    <row r="125" customFormat="1" spans="1:20">
      <c r="A125" s="109">
        <v>45748</v>
      </c>
      <c r="B125" s="109">
        <v>45777</v>
      </c>
      <c r="C125" s="13" t="s">
        <v>635</v>
      </c>
      <c r="D125" s="13" t="s">
        <v>636</v>
      </c>
      <c r="E125" s="13">
        <v>1500880</v>
      </c>
      <c r="F125" s="13" t="s">
        <v>561</v>
      </c>
      <c r="G125" s="13" t="s">
        <v>33</v>
      </c>
      <c r="H125" s="13" t="s">
        <v>32</v>
      </c>
      <c r="I125" s="13" t="s">
        <v>637</v>
      </c>
      <c r="J125" s="110">
        <v>2.21</v>
      </c>
      <c r="K125" s="111">
        <v>102</v>
      </c>
      <c r="L125" s="110">
        <v>225.56</v>
      </c>
      <c r="M125" s="13" t="s">
        <v>21</v>
      </c>
      <c r="N125" s="13" t="s">
        <v>638</v>
      </c>
      <c r="O125" s="13" t="s">
        <v>639</v>
      </c>
      <c r="P125" s="13" t="s">
        <v>637</v>
      </c>
      <c r="Q125" s="13" t="s">
        <v>640</v>
      </c>
      <c r="R125" s="13" t="s">
        <v>641</v>
      </c>
      <c r="S125" s="13" t="s">
        <v>641</v>
      </c>
      <c r="T125" s="13" t="s">
        <v>641</v>
      </c>
    </row>
    <row r="126" customFormat="1" spans="1:20">
      <c r="A126" s="109">
        <v>45748</v>
      </c>
      <c r="B126" s="109">
        <v>45777</v>
      </c>
      <c r="C126" s="13" t="s">
        <v>635</v>
      </c>
      <c r="D126" s="13" t="s">
        <v>636</v>
      </c>
      <c r="E126" s="13">
        <v>1500881</v>
      </c>
      <c r="F126" s="13" t="s">
        <v>362</v>
      </c>
      <c r="G126" s="13" t="s">
        <v>33</v>
      </c>
      <c r="H126" s="13" t="s">
        <v>32</v>
      </c>
      <c r="I126" s="13" t="s">
        <v>637</v>
      </c>
      <c r="J126" s="110">
        <v>3.25</v>
      </c>
      <c r="K126" s="111">
        <v>285</v>
      </c>
      <c r="L126" s="110">
        <v>926.25</v>
      </c>
      <c r="M126" s="13" t="s">
        <v>658</v>
      </c>
      <c r="N126" s="13" t="s">
        <v>646</v>
      </c>
      <c r="O126" s="13" t="s">
        <v>639</v>
      </c>
      <c r="P126" s="13" t="s">
        <v>637</v>
      </c>
      <c r="Q126" s="13" t="s">
        <v>649</v>
      </c>
      <c r="R126" s="13" t="s">
        <v>641</v>
      </c>
      <c r="S126" s="13" t="s">
        <v>641</v>
      </c>
      <c r="T126" s="13" t="s">
        <v>641</v>
      </c>
    </row>
    <row r="127" customFormat="1" spans="1:20">
      <c r="A127" s="109">
        <v>45748</v>
      </c>
      <c r="B127" s="109">
        <v>45777</v>
      </c>
      <c r="C127" s="13" t="s">
        <v>635</v>
      </c>
      <c r="D127" s="13" t="s">
        <v>636</v>
      </c>
      <c r="E127" s="13">
        <v>1500882</v>
      </c>
      <c r="F127" s="13" t="s">
        <v>70</v>
      </c>
      <c r="G127" s="13" t="s">
        <v>33</v>
      </c>
      <c r="H127" s="13" t="s">
        <v>32</v>
      </c>
      <c r="I127" s="13" t="s">
        <v>637</v>
      </c>
      <c r="J127" s="110">
        <v>1.95</v>
      </c>
      <c r="K127" s="111">
        <v>899</v>
      </c>
      <c r="L127" s="110">
        <v>1752.49</v>
      </c>
      <c r="M127" s="13" t="s">
        <v>658</v>
      </c>
      <c r="N127" s="13" t="s">
        <v>646</v>
      </c>
      <c r="O127" s="13" t="s">
        <v>639</v>
      </c>
      <c r="P127" s="13" t="s">
        <v>637</v>
      </c>
      <c r="Q127" s="13" t="s">
        <v>644</v>
      </c>
      <c r="R127" s="13" t="s">
        <v>641</v>
      </c>
      <c r="S127" s="13" t="s">
        <v>641</v>
      </c>
      <c r="T127" s="13" t="s">
        <v>641</v>
      </c>
    </row>
    <row r="128" customFormat="1" spans="1:20">
      <c r="A128" s="109">
        <v>45748</v>
      </c>
      <c r="B128" s="109">
        <v>45777</v>
      </c>
      <c r="C128" s="13" t="s">
        <v>635</v>
      </c>
      <c r="D128" s="13" t="s">
        <v>636</v>
      </c>
      <c r="E128" s="13">
        <v>1500883</v>
      </c>
      <c r="F128" s="13" t="s">
        <v>563</v>
      </c>
      <c r="G128" s="13" t="s">
        <v>30</v>
      </c>
      <c r="H128" s="13" t="s">
        <v>29</v>
      </c>
      <c r="I128" s="13" t="s">
        <v>637</v>
      </c>
      <c r="J128" s="110">
        <v>1.02</v>
      </c>
      <c r="K128" s="111">
        <v>49</v>
      </c>
      <c r="L128" s="110">
        <v>50.2</v>
      </c>
      <c r="M128" s="13" t="s">
        <v>30</v>
      </c>
      <c r="N128" s="13" t="s">
        <v>655</v>
      </c>
      <c r="O128" s="13" t="s">
        <v>639</v>
      </c>
      <c r="P128" s="13" t="s">
        <v>637</v>
      </c>
      <c r="Q128" s="13" t="s">
        <v>642</v>
      </c>
      <c r="R128" s="13" t="s">
        <v>641</v>
      </c>
      <c r="S128" s="13" t="s">
        <v>641</v>
      </c>
      <c r="T128" s="13" t="s">
        <v>641</v>
      </c>
    </row>
    <row r="129" customFormat="1" spans="1:20">
      <c r="A129" s="109">
        <v>45748</v>
      </c>
      <c r="B129" s="109">
        <v>45777</v>
      </c>
      <c r="C129" s="13" t="s">
        <v>635</v>
      </c>
      <c r="D129" s="13" t="s">
        <v>636</v>
      </c>
      <c r="E129" s="13">
        <v>1500884</v>
      </c>
      <c r="F129" s="13" t="s">
        <v>292</v>
      </c>
      <c r="G129" s="13" t="s">
        <v>37</v>
      </c>
      <c r="H129" s="13" t="s">
        <v>647</v>
      </c>
      <c r="I129" s="13" t="s">
        <v>637</v>
      </c>
      <c r="J129" s="110">
        <v>5.5</v>
      </c>
      <c r="K129" s="111">
        <v>13</v>
      </c>
      <c r="L129" s="110">
        <v>71.47</v>
      </c>
      <c r="M129" s="13" t="s">
        <v>21</v>
      </c>
      <c r="N129" s="13" t="s">
        <v>638</v>
      </c>
      <c r="O129" s="13" t="s">
        <v>639</v>
      </c>
      <c r="P129" s="13" t="s">
        <v>637</v>
      </c>
      <c r="Q129" s="13" t="s">
        <v>642</v>
      </c>
      <c r="R129" s="13" t="s">
        <v>641</v>
      </c>
      <c r="S129" s="13" t="s">
        <v>641</v>
      </c>
      <c r="T129" s="13" t="s">
        <v>641</v>
      </c>
    </row>
    <row r="130" customFormat="1" spans="1:20">
      <c r="A130" s="109">
        <v>45748</v>
      </c>
      <c r="B130" s="109">
        <v>45777</v>
      </c>
      <c r="C130" s="13" t="s">
        <v>635</v>
      </c>
      <c r="D130" s="13" t="s">
        <v>636</v>
      </c>
      <c r="E130" s="13">
        <v>1500889</v>
      </c>
      <c r="F130" s="13" t="s">
        <v>473</v>
      </c>
      <c r="G130" s="13" t="s">
        <v>56</v>
      </c>
      <c r="H130" s="13" t="s">
        <v>55</v>
      </c>
      <c r="I130" s="13" t="s">
        <v>637</v>
      </c>
      <c r="J130" s="110">
        <v>15</v>
      </c>
      <c r="K130" s="111">
        <v>4</v>
      </c>
      <c r="L130" s="110">
        <v>60</v>
      </c>
      <c r="M130" s="13" t="s">
        <v>658</v>
      </c>
      <c r="N130" s="13" t="s">
        <v>646</v>
      </c>
      <c r="O130" s="13" t="s">
        <v>639</v>
      </c>
      <c r="P130" s="13" t="s">
        <v>637</v>
      </c>
      <c r="Q130" s="13" t="s">
        <v>640</v>
      </c>
      <c r="R130" s="13" t="s">
        <v>641</v>
      </c>
      <c r="S130" s="13" t="s">
        <v>641</v>
      </c>
      <c r="T130" s="13" t="s">
        <v>641</v>
      </c>
    </row>
    <row r="131" customFormat="1" spans="1:20">
      <c r="A131" s="109">
        <v>45748</v>
      </c>
      <c r="B131" s="109">
        <v>45777</v>
      </c>
      <c r="C131" s="13" t="s">
        <v>635</v>
      </c>
      <c r="D131" s="13" t="s">
        <v>636</v>
      </c>
      <c r="E131" s="13">
        <v>1500891</v>
      </c>
      <c r="F131" s="13" t="s">
        <v>432</v>
      </c>
      <c r="G131" s="13" t="s">
        <v>74</v>
      </c>
      <c r="H131" s="13" t="s">
        <v>73</v>
      </c>
      <c r="I131" s="13" t="s">
        <v>637</v>
      </c>
      <c r="J131" s="110">
        <v>7.71</v>
      </c>
      <c r="K131" s="111">
        <v>120</v>
      </c>
      <c r="L131" s="110">
        <v>924.66</v>
      </c>
      <c r="M131" s="13" t="s">
        <v>97</v>
      </c>
      <c r="N131" s="13" t="s">
        <v>656</v>
      </c>
      <c r="O131" s="13" t="s">
        <v>639</v>
      </c>
      <c r="P131" s="13" t="s">
        <v>637</v>
      </c>
      <c r="Q131" s="13" t="s">
        <v>656</v>
      </c>
      <c r="R131" s="13" t="s">
        <v>641</v>
      </c>
      <c r="S131" s="13" t="s">
        <v>641</v>
      </c>
      <c r="T131" s="13" t="s">
        <v>641</v>
      </c>
    </row>
    <row r="132" customFormat="1" spans="1:20">
      <c r="A132" s="109">
        <v>45748</v>
      </c>
      <c r="B132" s="109">
        <v>45777</v>
      </c>
      <c r="C132" s="13" t="s">
        <v>635</v>
      </c>
      <c r="D132" s="13" t="s">
        <v>636</v>
      </c>
      <c r="E132" s="13">
        <v>1500896</v>
      </c>
      <c r="F132" s="13" t="s">
        <v>77</v>
      </c>
      <c r="G132" s="13" t="s">
        <v>56</v>
      </c>
      <c r="H132" s="13" t="s">
        <v>55</v>
      </c>
      <c r="I132" s="13" t="s">
        <v>637</v>
      </c>
      <c r="J132" s="110">
        <v>11.33</v>
      </c>
      <c r="K132" s="111">
        <v>13</v>
      </c>
      <c r="L132" s="110">
        <v>147.33</v>
      </c>
      <c r="M132" s="13" t="s">
        <v>658</v>
      </c>
      <c r="N132" s="13" t="s">
        <v>646</v>
      </c>
      <c r="O132" s="13" t="s">
        <v>639</v>
      </c>
      <c r="P132" s="13" t="s">
        <v>637</v>
      </c>
      <c r="Q132" s="13" t="s">
        <v>646</v>
      </c>
      <c r="R132" s="13" t="s">
        <v>641</v>
      </c>
      <c r="S132" s="13" t="s">
        <v>641</v>
      </c>
      <c r="T132" s="13" t="s">
        <v>641</v>
      </c>
    </row>
    <row r="133" customFormat="1" spans="1:20">
      <c r="A133" s="109">
        <v>45748</v>
      </c>
      <c r="B133" s="109">
        <v>45777</v>
      </c>
      <c r="C133" s="13" t="s">
        <v>635</v>
      </c>
      <c r="D133" s="13" t="s">
        <v>636</v>
      </c>
      <c r="E133" s="13">
        <v>1500897</v>
      </c>
      <c r="F133" s="13" t="s">
        <v>334</v>
      </c>
      <c r="G133" s="13" t="s">
        <v>56</v>
      </c>
      <c r="H133" s="13" t="s">
        <v>55</v>
      </c>
      <c r="I133" s="13" t="s">
        <v>637</v>
      </c>
      <c r="J133" s="110">
        <v>12</v>
      </c>
      <c r="K133" s="111">
        <v>80</v>
      </c>
      <c r="L133" s="110">
        <v>960</v>
      </c>
      <c r="M133" s="13" t="s">
        <v>658</v>
      </c>
      <c r="N133" s="13" t="s">
        <v>646</v>
      </c>
      <c r="O133" s="13" t="s">
        <v>639</v>
      </c>
      <c r="P133" s="13" t="s">
        <v>637</v>
      </c>
      <c r="Q133" s="13" t="s">
        <v>646</v>
      </c>
      <c r="R133" s="13" t="s">
        <v>641</v>
      </c>
      <c r="S133" s="13" t="s">
        <v>641</v>
      </c>
      <c r="T133" s="13" t="s">
        <v>641</v>
      </c>
    </row>
    <row r="134" customFormat="1" spans="1:20">
      <c r="A134" s="109">
        <v>45748</v>
      </c>
      <c r="B134" s="109">
        <v>45777</v>
      </c>
      <c r="C134" s="13" t="s">
        <v>635</v>
      </c>
      <c r="D134" s="13" t="s">
        <v>636</v>
      </c>
      <c r="E134" s="13">
        <v>1500902</v>
      </c>
      <c r="F134" s="13" t="s">
        <v>164</v>
      </c>
      <c r="G134" s="13" t="s">
        <v>93</v>
      </c>
      <c r="H134" s="13" t="s">
        <v>92</v>
      </c>
      <c r="I134" s="13" t="s">
        <v>637</v>
      </c>
      <c r="J134" s="110">
        <v>0.51</v>
      </c>
      <c r="K134" s="111">
        <v>679</v>
      </c>
      <c r="L134" s="110">
        <v>344.44</v>
      </c>
      <c r="M134" s="13" t="s">
        <v>658</v>
      </c>
      <c r="N134" s="13" t="s">
        <v>646</v>
      </c>
      <c r="O134" s="13" t="s">
        <v>639</v>
      </c>
      <c r="P134" s="13" t="s">
        <v>637</v>
      </c>
      <c r="Q134" s="13" t="s">
        <v>646</v>
      </c>
      <c r="R134" s="13" t="s">
        <v>641</v>
      </c>
      <c r="S134" s="13" t="s">
        <v>641</v>
      </c>
      <c r="T134" s="13" t="s">
        <v>641</v>
      </c>
    </row>
    <row r="135" customFormat="1" spans="1:20">
      <c r="A135" s="109">
        <v>45748</v>
      </c>
      <c r="B135" s="109">
        <v>45777</v>
      </c>
      <c r="C135" s="13" t="s">
        <v>635</v>
      </c>
      <c r="D135" s="13" t="s">
        <v>636</v>
      </c>
      <c r="E135" s="13">
        <v>1500903</v>
      </c>
      <c r="F135" s="13" t="s">
        <v>91</v>
      </c>
      <c r="G135" s="13" t="s">
        <v>93</v>
      </c>
      <c r="H135" s="13" t="s">
        <v>92</v>
      </c>
      <c r="I135" s="13" t="s">
        <v>637</v>
      </c>
      <c r="J135" s="110">
        <v>0.51</v>
      </c>
      <c r="K135" s="111">
        <v>657</v>
      </c>
      <c r="L135" s="110">
        <v>335.96</v>
      </c>
      <c r="M135" s="13" t="s">
        <v>658</v>
      </c>
      <c r="N135" s="13" t="s">
        <v>646</v>
      </c>
      <c r="O135" s="13" t="s">
        <v>639</v>
      </c>
      <c r="P135" s="13" t="s">
        <v>637</v>
      </c>
      <c r="Q135" s="13" t="s">
        <v>646</v>
      </c>
      <c r="R135" s="13" t="s">
        <v>641</v>
      </c>
      <c r="S135" s="13" t="s">
        <v>641</v>
      </c>
      <c r="T135" s="13" t="s">
        <v>641</v>
      </c>
    </row>
    <row r="136" customFormat="1" spans="1:20">
      <c r="A136" s="109">
        <v>45748</v>
      </c>
      <c r="B136" s="109">
        <v>45777</v>
      </c>
      <c r="C136" s="13" t="s">
        <v>635</v>
      </c>
      <c r="D136" s="13" t="s">
        <v>636</v>
      </c>
      <c r="E136" s="13">
        <v>1500904</v>
      </c>
      <c r="F136" s="13" t="s">
        <v>545</v>
      </c>
      <c r="G136" s="13" t="s">
        <v>93</v>
      </c>
      <c r="H136" s="13" t="s">
        <v>92</v>
      </c>
      <c r="I136" s="13" t="s">
        <v>637</v>
      </c>
      <c r="J136" s="110">
        <v>0.62</v>
      </c>
      <c r="K136" s="111">
        <v>64</v>
      </c>
      <c r="L136" s="110">
        <v>39.52</v>
      </c>
      <c r="M136" s="13" t="s">
        <v>658</v>
      </c>
      <c r="N136" s="13" t="s">
        <v>646</v>
      </c>
      <c r="O136" s="13" t="s">
        <v>639</v>
      </c>
      <c r="P136" s="13" t="s">
        <v>637</v>
      </c>
      <c r="Q136" s="13" t="s">
        <v>646</v>
      </c>
      <c r="R136" s="13" t="s">
        <v>641</v>
      </c>
      <c r="S136" s="13" t="s">
        <v>641</v>
      </c>
      <c r="T136" s="13" t="s">
        <v>641</v>
      </c>
    </row>
    <row r="137" customFormat="1" spans="1:20">
      <c r="A137" s="109">
        <v>45748</v>
      </c>
      <c r="B137" s="109">
        <v>45777</v>
      </c>
      <c r="C137" s="13" t="s">
        <v>635</v>
      </c>
      <c r="D137" s="13" t="s">
        <v>636</v>
      </c>
      <c r="E137" s="13">
        <v>1500911</v>
      </c>
      <c r="F137" s="13" t="s">
        <v>31</v>
      </c>
      <c r="G137" s="13" t="s">
        <v>33</v>
      </c>
      <c r="H137" s="13" t="s">
        <v>32</v>
      </c>
      <c r="I137" s="13" t="s">
        <v>637</v>
      </c>
      <c r="J137" s="110">
        <v>2.16</v>
      </c>
      <c r="K137" s="111">
        <v>116</v>
      </c>
      <c r="L137" s="110">
        <v>249.98</v>
      </c>
      <c r="M137" s="13" t="s">
        <v>658</v>
      </c>
      <c r="N137" s="13" t="s">
        <v>646</v>
      </c>
      <c r="O137" s="13" t="s">
        <v>639</v>
      </c>
      <c r="P137" s="13" t="s">
        <v>637</v>
      </c>
      <c r="Q137" s="13" t="s">
        <v>646</v>
      </c>
      <c r="R137" s="13" t="s">
        <v>641</v>
      </c>
      <c r="S137" s="13" t="s">
        <v>641</v>
      </c>
      <c r="T137" s="13" t="s">
        <v>641</v>
      </c>
    </row>
    <row r="138" customFormat="1" spans="1:20">
      <c r="A138" s="109">
        <v>45748</v>
      </c>
      <c r="B138" s="109">
        <v>45777</v>
      </c>
      <c r="C138" s="13" t="s">
        <v>635</v>
      </c>
      <c r="D138" s="13" t="s">
        <v>636</v>
      </c>
      <c r="E138" s="13">
        <v>1500918</v>
      </c>
      <c r="F138" s="13" t="s">
        <v>375</v>
      </c>
      <c r="G138" s="13" t="s">
        <v>33</v>
      </c>
      <c r="H138" s="13" t="s">
        <v>32</v>
      </c>
      <c r="I138" s="13" t="s">
        <v>637</v>
      </c>
      <c r="J138" s="110">
        <v>4.38</v>
      </c>
      <c r="K138" s="111">
        <v>33</v>
      </c>
      <c r="L138" s="110">
        <v>144.54</v>
      </c>
      <c r="M138" s="13" t="s">
        <v>658</v>
      </c>
      <c r="N138" s="13" t="s">
        <v>646</v>
      </c>
      <c r="O138" s="13" t="s">
        <v>639</v>
      </c>
      <c r="P138" s="13" t="s">
        <v>637</v>
      </c>
      <c r="Q138" s="13" t="s">
        <v>646</v>
      </c>
      <c r="R138" s="13" t="s">
        <v>641</v>
      </c>
      <c r="S138" s="13" t="s">
        <v>641</v>
      </c>
      <c r="T138" s="13" t="s">
        <v>641</v>
      </c>
    </row>
    <row r="139" customFormat="1" spans="1:20">
      <c r="A139" s="109">
        <v>45748</v>
      </c>
      <c r="B139" s="109">
        <v>45777</v>
      </c>
      <c r="C139" s="13" t="s">
        <v>635</v>
      </c>
      <c r="D139" s="13" t="s">
        <v>636</v>
      </c>
      <c r="E139" s="13">
        <v>1500919</v>
      </c>
      <c r="F139" s="13" t="s">
        <v>54</v>
      </c>
      <c r="G139" s="13" t="s">
        <v>56</v>
      </c>
      <c r="H139" s="13" t="s">
        <v>55</v>
      </c>
      <c r="I139" s="13" t="s">
        <v>648</v>
      </c>
      <c r="J139" s="110">
        <v>82.12</v>
      </c>
      <c r="K139" s="111">
        <v>7</v>
      </c>
      <c r="L139" s="110">
        <v>574.84</v>
      </c>
      <c r="M139" s="13" t="s">
        <v>669</v>
      </c>
      <c r="N139" s="13" t="s">
        <v>670</v>
      </c>
      <c r="O139" s="13" t="s">
        <v>653</v>
      </c>
      <c r="P139" s="13" t="s">
        <v>648</v>
      </c>
      <c r="Q139" s="13" t="s">
        <v>671</v>
      </c>
      <c r="R139" s="13" t="s">
        <v>672</v>
      </c>
      <c r="S139" s="13" t="s">
        <v>641</v>
      </c>
      <c r="T139" s="13" t="s">
        <v>641</v>
      </c>
    </row>
    <row r="140" customFormat="1" spans="1:20">
      <c r="A140" s="109">
        <v>45748</v>
      </c>
      <c r="B140" s="109">
        <v>45777</v>
      </c>
      <c r="C140" s="13" t="s">
        <v>635</v>
      </c>
      <c r="D140" s="13" t="s">
        <v>636</v>
      </c>
      <c r="E140" s="13">
        <v>1500920</v>
      </c>
      <c r="F140" s="13" t="s">
        <v>71</v>
      </c>
      <c r="G140" s="13" t="s">
        <v>56</v>
      </c>
      <c r="H140" s="13" t="s">
        <v>55</v>
      </c>
      <c r="I140" s="13" t="s">
        <v>648</v>
      </c>
      <c r="J140" s="110">
        <v>127.7</v>
      </c>
      <c r="K140" s="111">
        <v>4</v>
      </c>
      <c r="L140" s="110">
        <v>510.8</v>
      </c>
      <c r="M140" s="13" t="s">
        <v>669</v>
      </c>
      <c r="N140" s="13" t="s">
        <v>670</v>
      </c>
      <c r="O140" s="13" t="s">
        <v>653</v>
      </c>
      <c r="P140" s="13" t="s">
        <v>648</v>
      </c>
      <c r="Q140" s="13" t="s">
        <v>671</v>
      </c>
      <c r="R140" s="13" t="s">
        <v>672</v>
      </c>
      <c r="S140" s="13" t="s">
        <v>641</v>
      </c>
      <c r="T140" s="13" t="s">
        <v>641</v>
      </c>
    </row>
    <row r="141" customFormat="1" spans="1:20">
      <c r="A141" s="109">
        <v>45748</v>
      </c>
      <c r="B141" s="109">
        <v>45777</v>
      </c>
      <c r="C141" s="13" t="s">
        <v>635</v>
      </c>
      <c r="D141" s="13" t="s">
        <v>636</v>
      </c>
      <c r="E141" s="13">
        <v>1500923</v>
      </c>
      <c r="F141" s="13" t="s">
        <v>250</v>
      </c>
      <c r="G141" s="13" t="s">
        <v>56</v>
      </c>
      <c r="H141" s="13" t="s">
        <v>55</v>
      </c>
      <c r="I141" s="13" t="s">
        <v>648</v>
      </c>
      <c r="J141" s="110">
        <v>18.6</v>
      </c>
      <c r="K141" s="111">
        <v>1</v>
      </c>
      <c r="L141" s="110">
        <v>18.6</v>
      </c>
      <c r="M141" s="13" t="s">
        <v>659</v>
      </c>
      <c r="N141" s="13" t="s">
        <v>660</v>
      </c>
      <c r="O141" s="13" t="s">
        <v>653</v>
      </c>
      <c r="P141" s="13" t="s">
        <v>648</v>
      </c>
      <c r="Q141" s="13" t="s">
        <v>671</v>
      </c>
      <c r="R141" s="13" t="s">
        <v>672</v>
      </c>
      <c r="S141" s="13" t="s">
        <v>641</v>
      </c>
      <c r="T141" s="13" t="s">
        <v>641</v>
      </c>
    </row>
    <row r="142" customFormat="1" spans="1:20">
      <c r="A142" s="109">
        <v>45748</v>
      </c>
      <c r="B142" s="109">
        <v>45777</v>
      </c>
      <c r="C142" s="13" t="s">
        <v>635</v>
      </c>
      <c r="D142" s="13" t="s">
        <v>636</v>
      </c>
      <c r="E142" s="13">
        <v>1500924</v>
      </c>
      <c r="F142" s="13" t="s">
        <v>328</v>
      </c>
      <c r="G142" s="13" t="s">
        <v>56</v>
      </c>
      <c r="H142" s="13" t="s">
        <v>55</v>
      </c>
      <c r="I142" s="13" t="s">
        <v>648</v>
      </c>
      <c r="J142" s="110">
        <v>28.33</v>
      </c>
      <c r="K142" s="111">
        <v>1</v>
      </c>
      <c r="L142" s="110">
        <v>28.33</v>
      </c>
      <c r="M142" s="13" t="s">
        <v>669</v>
      </c>
      <c r="N142" s="13" t="s">
        <v>670</v>
      </c>
      <c r="O142" s="13" t="s">
        <v>653</v>
      </c>
      <c r="P142" s="13" t="s">
        <v>648</v>
      </c>
      <c r="Q142" s="13" t="s">
        <v>671</v>
      </c>
      <c r="R142" s="13" t="s">
        <v>641</v>
      </c>
      <c r="S142" s="13" t="s">
        <v>641</v>
      </c>
      <c r="T142" s="13" t="s">
        <v>641</v>
      </c>
    </row>
    <row r="143" customFormat="1" spans="1:20">
      <c r="A143" s="109">
        <v>45748</v>
      </c>
      <c r="B143" s="109">
        <v>45777</v>
      </c>
      <c r="C143" s="13" t="s">
        <v>635</v>
      </c>
      <c r="D143" s="13" t="s">
        <v>636</v>
      </c>
      <c r="E143" s="13">
        <v>1500925</v>
      </c>
      <c r="F143" s="13" t="s">
        <v>290</v>
      </c>
      <c r="G143" s="13" t="s">
        <v>74</v>
      </c>
      <c r="H143" s="13" t="s">
        <v>73</v>
      </c>
      <c r="I143" s="13" t="s">
        <v>648</v>
      </c>
      <c r="J143" s="110">
        <v>2.4</v>
      </c>
      <c r="K143" s="111">
        <v>5</v>
      </c>
      <c r="L143" s="110">
        <v>11.99</v>
      </c>
      <c r="M143" s="13" t="s">
        <v>669</v>
      </c>
      <c r="N143" s="13" t="s">
        <v>670</v>
      </c>
      <c r="O143" s="13" t="s">
        <v>653</v>
      </c>
      <c r="P143" s="13" t="s">
        <v>648</v>
      </c>
      <c r="Q143" s="13" t="s">
        <v>671</v>
      </c>
      <c r="R143" s="13" t="s">
        <v>672</v>
      </c>
      <c r="S143" s="13" t="s">
        <v>641</v>
      </c>
      <c r="T143" s="13" t="s">
        <v>641</v>
      </c>
    </row>
    <row r="144" customFormat="1" spans="1:20">
      <c r="A144" s="109">
        <v>45748</v>
      </c>
      <c r="B144" s="109">
        <v>45777</v>
      </c>
      <c r="C144" s="13" t="s">
        <v>635</v>
      </c>
      <c r="D144" s="13" t="s">
        <v>636</v>
      </c>
      <c r="E144" s="13">
        <v>1500938</v>
      </c>
      <c r="F144" s="13" t="s">
        <v>353</v>
      </c>
      <c r="G144" s="13" t="s">
        <v>56</v>
      </c>
      <c r="H144" s="13" t="s">
        <v>55</v>
      </c>
      <c r="I144" s="13" t="s">
        <v>648</v>
      </c>
      <c r="J144" s="110">
        <v>8.25</v>
      </c>
      <c r="K144" s="111">
        <v>1</v>
      </c>
      <c r="L144" s="110">
        <v>8.25</v>
      </c>
      <c r="M144" s="13" t="s">
        <v>669</v>
      </c>
      <c r="N144" s="13" t="s">
        <v>670</v>
      </c>
      <c r="O144" s="13" t="s">
        <v>653</v>
      </c>
      <c r="P144" s="13" t="s">
        <v>648</v>
      </c>
      <c r="Q144" s="13" t="s">
        <v>671</v>
      </c>
      <c r="R144" s="13" t="s">
        <v>672</v>
      </c>
      <c r="S144" s="13" t="s">
        <v>641</v>
      </c>
      <c r="T144" s="13" t="s">
        <v>641</v>
      </c>
    </row>
    <row r="145" customFormat="1" spans="1:20">
      <c r="A145" s="109">
        <v>45748</v>
      </c>
      <c r="B145" s="109">
        <v>45777</v>
      </c>
      <c r="C145" s="13" t="s">
        <v>635</v>
      </c>
      <c r="D145" s="13" t="s">
        <v>636</v>
      </c>
      <c r="E145" s="13">
        <v>1500944</v>
      </c>
      <c r="F145" s="13" t="s">
        <v>673</v>
      </c>
      <c r="G145" s="13" t="s">
        <v>177</v>
      </c>
      <c r="H145" s="13" t="s">
        <v>176</v>
      </c>
      <c r="I145" s="13" t="s">
        <v>648</v>
      </c>
      <c r="J145" s="110">
        <v>33.5</v>
      </c>
      <c r="K145" s="111">
        <v>8</v>
      </c>
      <c r="L145" s="110">
        <v>268</v>
      </c>
      <c r="M145" s="13" t="s">
        <v>674</v>
      </c>
      <c r="N145" s="13" t="s">
        <v>675</v>
      </c>
      <c r="O145" s="13" t="s">
        <v>653</v>
      </c>
      <c r="P145" s="13" t="s">
        <v>648</v>
      </c>
      <c r="Q145" s="13" t="s">
        <v>671</v>
      </c>
      <c r="R145" s="13" t="s">
        <v>676</v>
      </c>
      <c r="S145" s="13" t="s">
        <v>641</v>
      </c>
      <c r="T145" s="13" t="s">
        <v>641</v>
      </c>
    </row>
    <row r="146" customFormat="1" spans="1:20">
      <c r="A146" s="109">
        <v>45748</v>
      </c>
      <c r="B146" s="109">
        <v>45777</v>
      </c>
      <c r="C146" s="13" t="s">
        <v>635</v>
      </c>
      <c r="D146" s="13" t="s">
        <v>636</v>
      </c>
      <c r="E146" s="13">
        <v>1500957</v>
      </c>
      <c r="F146" s="13" t="s">
        <v>206</v>
      </c>
      <c r="G146" s="13" t="s">
        <v>30</v>
      </c>
      <c r="H146" s="13" t="s">
        <v>29</v>
      </c>
      <c r="I146" s="13" t="s">
        <v>648</v>
      </c>
      <c r="J146" s="110">
        <v>10</v>
      </c>
      <c r="K146" s="111">
        <v>20</v>
      </c>
      <c r="L146" s="110">
        <v>200</v>
      </c>
      <c r="M146" s="13" t="s">
        <v>659</v>
      </c>
      <c r="N146" s="13" t="s">
        <v>660</v>
      </c>
      <c r="O146" s="13" t="s">
        <v>653</v>
      </c>
      <c r="P146" s="13" t="s">
        <v>648</v>
      </c>
      <c r="Q146" s="13" t="s">
        <v>671</v>
      </c>
      <c r="R146" s="13" t="s">
        <v>677</v>
      </c>
      <c r="S146" s="13" t="s">
        <v>641</v>
      </c>
      <c r="T146" s="13" t="s">
        <v>641</v>
      </c>
    </row>
    <row r="147" customFormat="1" spans="1:20">
      <c r="A147" s="109">
        <v>45748</v>
      </c>
      <c r="B147" s="109">
        <v>45777</v>
      </c>
      <c r="C147" s="13" t="s">
        <v>635</v>
      </c>
      <c r="D147" s="13" t="s">
        <v>636</v>
      </c>
      <c r="E147" s="13">
        <v>1500960</v>
      </c>
      <c r="F147" s="13" t="s">
        <v>183</v>
      </c>
      <c r="G147" s="13" t="s">
        <v>67</v>
      </c>
      <c r="H147" s="13" t="s">
        <v>66</v>
      </c>
      <c r="I147" s="13" t="s">
        <v>648</v>
      </c>
      <c r="J147" s="110">
        <v>9.53</v>
      </c>
      <c r="K147" s="111">
        <v>26</v>
      </c>
      <c r="L147" s="110">
        <v>247.66</v>
      </c>
      <c r="M147" s="13" t="s">
        <v>659</v>
      </c>
      <c r="N147" s="13" t="s">
        <v>660</v>
      </c>
      <c r="O147" s="13" t="s">
        <v>653</v>
      </c>
      <c r="P147" s="13" t="s">
        <v>648</v>
      </c>
      <c r="Q147" s="13" t="s">
        <v>671</v>
      </c>
      <c r="R147" s="13" t="s">
        <v>678</v>
      </c>
      <c r="S147" s="13" t="s">
        <v>641</v>
      </c>
      <c r="T147" s="13" t="s">
        <v>641</v>
      </c>
    </row>
    <row r="148" customFormat="1" spans="1:20">
      <c r="A148" s="109">
        <v>45748</v>
      </c>
      <c r="B148" s="109">
        <v>45777</v>
      </c>
      <c r="C148" s="13" t="s">
        <v>635</v>
      </c>
      <c r="D148" s="13" t="s">
        <v>636</v>
      </c>
      <c r="E148" s="13">
        <v>1500961</v>
      </c>
      <c r="F148" s="13" t="s">
        <v>332</v>
      </c>
      <c r="G148" s="13" t="s">
        <v>67</v>
      </c>
      <c r="H148" s="13" t="s">
        <v>66</v>
      </c>
      <c r="I148" s="13" t="s">
        <v>648</v>
      </c>
      <c r="J148" s="110">
        <v>9.5</v>
      </c>
      <c r="K148" s="111">
        <v>14</v>
      </c>
      <c r="L148" s="110">
        <v>133</v>
      </c>
      <c r="M148" s="13" t="s">
        <v>659</v>
      </c>
      <c r="N148" s="13" t="s">
        <v>660</v>
      </c>
      <c r="O148" s="13" t="s">
        <v>653</v>
      </c>
      <c r="P148" s="13" t="s">
        <v>648</v>
      </c>
      <c r="Q148" s="13" t="s">
        <v>671</v>
      </c>
      <c r="R148" s="13" t="s">
        <v>678</v>
      </c>
      <c r="S148" s="13" t="s">
        <v>641</v>
      </c>
      <c r="T148" s="13" t="s">
        <v>641</v>
      </c>
    </row>
    <row r="149" customFormat="1" spans="1:20">
      <c r="A149" s="109">
        <v>45748</v>
      </c>
      <c r="B149" s="109">
        <v>45777</v>
      </c>
      <c r="C149" s="13" t="s">
        <v>635</v>
      </c>
      <c r="D149" s="13" t="s">
        <v>636</v>
      </c>
      <c r="E149" s="13">
        <v>1500963</v>
      </c>
      <c r="F149" s="13" t="s">
        <v>238</v>
      </c>
      <c r="G149" s="13" t="s">
        <v>21</v>
      </c>
      <c r="H149" s="13" t="s">
        <v>20</v>
      </c>
      <c r="I149" s="13" t="s">
        <v>648</v>
      </c>
      <c r="J149" s="110">
        <v>0.04</v>
      </c>
      <c r="K149" s="111">
        <v>3000</v>
      </c>
      <c r="L149" s="110">
        <v>118.5</v>
      </c>
      <c r="M149" s="13" t="s">
        <v>659</v>
      </c>
      <c r="N149" s="13" t="s">
        <v>660</v>
      </c>
      <c r="O149" s="13" t="s">
        <v>653</v>
      </c>
      <c r="P149" s="13" t="s">
        <v>648</v>
      </c>
      <c r="Q149" s="13" t="s">
        <v>671</v>
      </c>
      <c r="R149" s="13" t="s">
        <v>677</v>
      </c>
      <c r="S149" s="13" t="s">
        <v>641</v>
      </c>
      <c r="T149" s="13" t="s">
        <v>641</v>
      </c>
    </row>
    <row r="150" customFormat="1" spans="1:20">
      <c r="A150" s="109">
        <v>45748</v>
      </c>
      <c r="B150" s="109">
        <v>45777</v>
      </c>
      <c r="C150" s="13" t="s">
        <v>635</v>
      </c>
      <c r="D150" s="13" t="s">
        <v>636</v>
      </c>
      <c r="E150" s="13">
        <v>1500979</v>
      </c>
      <c r="F150" s="13" t="s">
        <v>65</v>
      </c>
      <c r="G150" s="13" t="s">
        <v>67</v>
      </c>
      <c r="H150" s="13" t="s">
        <v>66</v>
      </c>
      <c r="I150" s="13" t="s">
        <v>648</v>
      </c>
      <c r="J150" s="110">
        <v>18.43</v>
      </c>
      <c r="K150" s="111">
        <v>21</v>
      </c>
      <c r="L150" s="110">
        <v>386.98</v>
      </c>
      <c r="M150" s="13" t="s">
        <v>659</v>
      </c>
      <c r="N150" s="13" t="s">
        <v>660</v>
      </c>
      <c r="O150" s="13" t="s">
        <v>653</v>
      </c>
      <c r="P150" s="13" t="s">
        <v>648</v>
      </c>
      <c r="Q150" s="13" t="s">
        <v>671</v>
      </c>
      <c r="R150" s="13" t="s">
        <v>677</v>
      </c>
      <c r="S150" s="13" t="s">
        <v>641</v>
      </c>
      <c r="T150" s="13" t="s">
        <v>641</v>
      </c>
    </row>
    <row r="151" customFormat="1" spans="1:20">
      <c r="A151" s="109">
        <v>45748</v>
      </c>
      <c r="B151" s="109">
        <v>45777</v>
      </c>
      <c r="C151" s="13" t="s">
        <v>635</v>
      </c>
      <c r="D151" s="13" t="s">
        <v>636</v>
      </c>
      <c r="E151" s="13">
        <v>1500980</v>
      </c>
      <c r="F151" s="13" t="s">
        <v>526</v>
      </c>
      <c r="G151" s="13" t="s">
        <v>213</v>
      </c>
      <c r="H151" s="13" t="s">
        <v>212</v>
      </c>
      <c r="I151" s="13" t="s">
        <v>637</v>
      </c>
      <c r="J151" s="110">
        <v>17</v>
      </c>
      <c r="K151" s="111">
        <v>12</v>
      </c>
      <c r="L151" s="110">
        <v>204</v>
      </c>
      <c r="M151" s="13" t="s">
        <v>659</v>
      </c>
      <c r="N151" s="13" t="s">
        <v>660</v>
      </c>
      <c r="O151" s="13" t="s">
        <v>639</v>
      </c>
      <c r="P151" s="13" t="s">
        <v>637</v>
      </c>
      <c r="Q151" s="13" t="s">
        <v>656</v>
      </c>
      <c r="R151" s="13" t="s">
        <v>641</v>
      </c>
      <c r="S151" s="13" t="s">
        <v>641</v>
      </c>
      <c r="T151" s="13" t="s">
        <v>641</v>
      </c>
    </row>
    <row r="152" customFormat="1" spans="1:20">
      <c r="A152" s="109">
        <v>45748</v>
      </c>
      <c r="B152" s="109">
        <v>45777</v>
      </c>
      <c r="C152" s="13" t="s">
        <v>635</v>
      </c>
      <c r="D152" s="13" t="s">
        <v>636</v>
      </c>
      <c r="E152" s="13">
        <v>1500982</v>
      </c>
      <c r="F152" s="13" t="s">
        <v>441</v>
      </c>
      <c r="G152" s="13" t="s">
        <v>37</v>
      </c>
      <c r="H152" s="13" t="s">
        <v>647</v>
      </c>
      <c r="I152" s="13" t="s">
        <v>648</v>
      </c>
      <c r="J152" s="110">
        <v>2.04</v>
      </c>
      <c r="K152" s="111">
        <v>33.2</v>
      </c>
      <c r="L152" s="110">
        <v>67.89</v>
      </c>
      <c r="M152" s="13" t="s">
        <v>21</v>
      </c>
      <c r="N152" s="13" t="s">
        <v>638</v>
      </c>
      <c r="O152" s="13" t="s">
        <v>653</v>
      </c>
      <c r="P152" s="13" t="s">
        <v>648</v>
      </c>
      <c r="Q152" s="13" t="s">
        <v>654</v>
      </c>
      <c r="R152" s="13" t="s">
        <v>641</v>
      </c>
      <c r="S152" s="13" t="s">
        <v>641</v>
      </c>
      <c r="T152" s="13" t="s">
        <v>641</v>
      </c>
    </row>
    <row r="153" customFormat="1" spans="1:20">
      <c r="A153" s="109">
        <v>45748</v>
      </c>
      <c r="B153" s="109">
        <v>45777</v>
      </c>
      <c r="C153" s="13" t="s">
        <v>635</v>
      </c>
      <c r="D153" s="13" t="s">
        <v>636</v>
      </c>
      <c r="E153" s="13">
        <v>1500983</v>
      </c>
      <c r="F153" s="13" t="s">
        <v>550</v>
      </c>
      <c r="G153" s="13" t="s">
        <v>37</v>
      </c>
      <c r="H153" s="13" t="s">
        <v>647</v>
      </c>
      <c r="I153" s="13" t="s">
        <v>648</v>
      </c>
      <c r="J153" s="110">
        <v>1.47</v>
      </c>
      <c r="K153" s="111">
        <v>33.55</v>
      </c>
      <c r="L153" s="110">
        <v>49.23</v>
      </c>
      <c r="M153" s="13" t="s">
        <v>21</v>
      </c>
      <c r="N153" s="13" t="s">
        <v>638</v>
      </c>
      <c r="O153" s="13" t="s">
        <v>653</v>
      </c>
      <c r="P153" s="13" t="s">
        <v>648</v>
      </c>
      <c r="Q153" s="13" t="s">
        <v>654</v>
      </c>
      <c r="R153" s="13" t="s">
        <v>641</v>
      </c>
      <c r="S153" s="13" t="s">
        <v>641</v>
      </c>
      <c r="T153" s="13" t="s">
        <v>641</v>
      </c>
    </row>
    <row r="154" customFormat="1" spans="1:20">
      <c r="A154" s="109">
        <v>45748</v>
      </c>
      <c r="B154" s="109">
        <v>45777</v>
      </c>
      <c r="C154" s="13" t="s">
        <v>635</v>
      </c>
      <c r="D154" s="13" t="s">
        <v>636</v>
      </c>
      <c r="E154" s="13">
        <v>1500984</v>
      </c>
      <c r="F154" s="13" t="s">
        <v>75</v>
      </c>
      <c r="G154" s="13" t="s">
        <v>74</v>
      </c>
      <c r="H154" s="13" t="s">
        <v>73</v>
      </c>
      <c r="I154" s="13" t="s">
        <v>637</v>
      </c>
      <c r="J154" s="110">
        <v>4.37</v>
      </c>
      <c r="K154" s="111">
        <v>45</v>
      </c>
      <c r="L154" s="110">
        <v>196.61</v>
      </c>
      <c r="M154" s="13" t="s">
        <v>21</v>
      </c>
      <c r="N154" s="13" t="s">
        <v>638</v>
      </c>
      <c r="O154" s="13" t="s">
        <v>639</v>
      </c>
      <c r="P154" s="13" t="s">
        <v>637</v>
      </c>
      <c r="Q154" s="13" t="s">
        <v>640</v>
      </c>
      <c r="R154" s="13" t="s">
        <v>641</v>
      </c>
      <c r="S154" s="13" t="s">
        <v>641</v>
      </c>
      <c r="T154" s="13" t="s">
        <v>641</v>
      </c>
    </row>
    <row r="155" customFormat="1" spans="1:20">
      <c r="A155" s="109">
        <v>45748</v>
      </c>
      <c r="B155" s="109">
        <v>45777</v>
      </c>
      <c r="C155" s="13" t="s">
        <v>635</v>
      </c>
      <c r="D155" s="13" t="s">
        <v>636</v>
      </c>
      <c r="E155" s="13">
        <v>1500987</v>
      </c>
      <c r="F155" s="13" t="s">
        <v>500</v>
      </c>
      <c r="G155" s="13" t="s">
        <v>37</v>
      </c>
      <c r="H155" s="13" t="s">
        <v>647</v>
      </c>
      <c r="I155" s="13" t="s">
        <v>648</v>
      </c>
      <c r="J155" s="110">
        <v>1.97</v>
      </c>
      <c r="K155" s="111">
        <v>20</v>
      </c>
      <c r="L155" s="110">
        <v>39.3</v>
      </c>
      <c r="M155" s="13" t="s">
        <v>97</v>
      </c>
      <c r="N155" s="13" t="s">
        <v>656</v>
      </c>
      <c r="O155" s="13" t="s">
        <v>639</v>
      </c>
      <c r="P155" s="13" t="s">
        <v>637</v>
      </c>
      <c r="Q155" s="13" t="s">
        <v>656</v>
      </c>
      <c r="R155" s="13" t="s">
        <v>641</v>
      </c>
      <c r="S155" s="13" t="s">
        <v>641</v>
      </c>
      <c r="T155" s="13" t="s">
        <v>641</v>
      </c>
    </row>
    <row r="156" customFormat="1" spans="1:20">
      <c r="A156" s="109">
        <v>45748</v>
      </c>
      <c r="B156" s="109">
        <v>45777</v>
      </c>
      <c r="C156" s="13" t="s">
        <v>635</v>
      </c>
      <c r="D156" s="13" t="s">
        <v>636</v>
      </c>
      <c r="E156" s="13">
        <v>1500987</v>
      </c>
      <c r="F156" s="13" t="s">
        <v>500</v>
      </c>
      <c r="G156" s="13" t="s">
        <v>37</v>
      </c>
      <c r="H156" s="13" t="s">
        <v>647</v>
      </c>
      <c r="I156" s="13" t="s">
        <v>637</v>
      </c>
      <c r="J156" s="110">
        <v>1.95</v>
      </c>
      <c r="K156" s="111">
        <v>464</v>
      </c>
      <c r="L156" s="110">
        <v>903.7</v>
      </c>
      <c r="M156" s="13" t="s">
        <v>97</v>
      </c>
      <c r="N156" s="13" t="s">
        <v>656</v>
      </c>
      <c r="O156" s="13" t="s">
        <v>639</v>
      </c>
      <c r="P156" s="13" t="s">
        <v>637</v>
      </c>
      <c r="Q156" s="13" t="s">
        <v>656</v>
      </c>
      <c r="R156" s="13" t="s">
        <v>641</v>
      </c>
      <c r="S156" s="13" t="s">
        <v>641</v>
      </c>
      <c r="T156" s="13" t="s">
        <v>641</v>
      </c>
    </row>
    <row r="157" customFormat="1" spans="1:20">
      <c r="A157" s="109">
        <v>45748</v>
      </c>
      <c r="B157" s="109">
        <v>45777</v>
      </c>
      <c r="C157" s="13" t="s">
        <v>635</v>
      </c>
      <c r="D157" s="13" t="s">
        <v>636</v>
      </c>
      <c r="E157" s="13">
        <v>1500996</v>
      </c>
      <c r="F157" s="13" t="s">
        <v>454</v>
      </c>
      <c r="G157" s="13" t="s">
        <v>74</v>
      </c>
      <c r="H157" s="13" t="s">
        <v>73</v>
      </c>
      <c r="I157" s="13" t="s">
        <v>637</v>
      </c>
      <c r="J157" s="110">
        <v>17.56</v>
      </c>
      <c r="K157" s="111">
        <v>77.035</v>
      </c>
      <c r="L157" s="110">
        <v>1353.03</v>
      </c>
      <c r="M157" s="13" t="s">
        <v>643</v>
      </c>
      <c r="N157" s="13" t="s">
        <v>642</v>
      </c>
      <c r="O157" s="13" t="s">
        <v>639</v>
      </c>
      <c r="P157" s="13" t="s">
        <v>637</v>
      </c>
      <c r="Q157" s="13" t="s">
        <v>642</v>
      </c>
      <c r="R157" s="13" t="s">
        <v>641</v>
      </c>
      <c r="S157" s="13" t="s">
        <v>641</v>
      </c>
      <c r="T157" s="13" t="s">
        <v>641</v>
      </c>
    </row>
    <row r="158" customFormat="1" spans="1:20">
      <c r="A158" s="109">
        <v>45748</v>
      </c>
      <c r="B158" s="109">
        <v>45777</v>
      </c>
      <c r="C158" s="13" t="s">
        <v>635</v>
      </c>
      <c r="D158" s="13" t="s">
        <v>636</v>
      </c>
      <c r="E158" s="13">
        <v>1500998</v>
      </c>
      <c r="F158" s="13" t="s">
        <v>592</v>
      </c>
      <c r="G158" s="13" t="s">
        <v>33</v>
      </c>
      <c r="H158" s="13" t="s">
        <v>32</v>
      </c>
      <c r="I158" s="13" t="s">
        <v>637</v>
      </c>
      <c r="J158" s="110">
        <v>6.08</v>
      </c>
      <c r="K158" s="111">
        <v>4</v>
      </c>
      <c r="L158" s="110">
        <v>24.33</v>
      </c>
      <c r="M158" s="13" t="s">
        <v>21</v>
      </c>
      <c r="N158" s="13" t="s">
        <v>638</v>
      </c>
      <c r="O158" s="13" t="s">
        <v>639</v>
      </c>
      <c r="P158" s="13" t="s">
        <v>637</v>
      </c>
      <c r="Q158" s="13" t="s">
        <v>640</v>
      </c>
      <c r="R158" s="13" t="s">
        <v>641</v>
      </c>
      <c r="S158" s="13" t="s">
        <v>641</v>
      </c>
      <c r="T158" s="13" t="s">
        <v>641</v>
      </c>
    </row>
    <row r="159" customFormat="1" spans="1:20">
      <c r="A159" s="109">
        <v>45748</v>
      </c>
      <c r="B159" s="109">
        <v>45777</v>
      </c>
      <c r="C159" s="13" t="s">
        <v>635</v>
      </c>
      <c r="D159" s="13" t="s">
        <v>636</v>
      </c>
      <c r="E159" s="13">
        <v>1501000</v>
      </c>
      <c r="F159" s="13" t="s">
        <v>64</v>
      </c>
      <c r="G159" s="13" t="s">
        <v>21</v>
      </c>
      <c r="H159" s="13" t="s">
        <v>20</v>
      </c>
      <c r="I159" s="13" t="s">
        <v>648</v>
      </c>
      <c r="J159" s="110">
        <v>0.04</v>
      </c>
      <c r="K159" s="111">
        <v>18000</v>
      </c>
      <c r="L159" s="110">
        <v>698.4</v>
      </c>
      <c r="M159" s="13" t="s">
        <v>659</v>
      </c>
      <c r="N159" s="13" t="s">
        <v>660</v>
      </c>
      <c r="O159" s="13" t="s">
        <v>653</v>
      </c>
      <c r="P159" s="13" t="s">
        <v>648</v>
      </c>
      <c r="Q159" s="13" t="s">
        <v>671</v>
      </c>
      <c r="R159" s="13" t="s">
        <v>677</v>
      </c>
      <c r="S159" s="13" t="s">
        <v>641</v>
      </c>
      <c r="T159" s="13" t="s">
        <v>641</v>
      </c>
    </row>
    <row r="160" customFormat="1" spans="1:20">
      <c r="A160" s="109">
        <v>45748</v>
      </c>
      <c r="B160" s="109">
        <v>45777</v>
      </c>
      <c r="C160" s="13" t="s">
        <v>635</v>
      </c>
      <c r="D160" s="13" t="s">
        <v>636</v>
      </c>
      <c r="E160" s="13">
        <v>1501001</v>
      </c>
      <c r="F160" s="13" t="s">
        <v>141</v>
      </c>
      <c r="G160" s="13" t="s">
        <v>21</v>
      </c>
      <c r="H160" s="13" t="s">
        <v>20</v>
      </c>
      <c r="I160" s="13" t="s">
        <v>648</v>
      </c>
      <c r="J160" s="110">
        <v>0.1</v>
      </c>
      <c r="K160" s="111">
        <v>2700</v>
      </c>
      <c r="L160" s="110">
        <v>258</v>
      </c>
      <c r="M160" s="13" t="s">
        <v>659</v>
      </c>
      <c r="N160" s="13" t="s">
        <v>660</v>
      </c>
      <c r="O160" s="13" t="s">
        <v>653</v>
      </c>
      <c r="P160" s="13" t="s">
        <v>648</v>
      </c>
      <c r="Q160" s="13" t="s">
        <v>671</v>
      </c>
      <c r="R160" s="13" t="s">
        <v>677</v>
      </c>
      <c r="S160" s="13" t="s">
        <v>641</v>
      </c>
      <c r="T160" s="13" t="s">
        <v>641</v>
      </c>
    </row>
    <row r="161" customFormat="1" spans="1:20">
      <c r="A161" s="109">
        <v>45748</v>
      </c>
      <c r="B161" s="109">
        <v>45777</v>
      </c>
      <c r="C161" s="13" t="s">
        <v>635</v>
      </c>
      <c r="D161" s="13" t="s">
        <v>636</v>
      </c>
      <c r="E161" s="13">
        <v>1501008</v>
      </c>
      <c r="F161" s="13" t="s">
        <v>679</v>
      </c>
      <c r="G161" s="13" t="s">
        <v>21</v>
      </c>
      <c r="H161" s="13" t="s">
        <v>20</v>
      </c>
      <c r="I161" s="13" t="s">
        <v>648</v>
      </c>
      <c r="J161" s="110">
        <v>0.01</v>
      </c>
      <c r="K161" s="111">
        <v>5000</v>
      </c>
      <c r="L161" s="110">
        <v>50</v>
      </c>
      <c r="M161" s="13" t="s">
        <v>659</v>
      </c>
      <c r="N161" s="13" t="s">
        <v>660</v>
      </c>
      <c r="O161" s="13" t="s">
        <v>653</v>
      </c>
      <c r="P161" s="13" t="s">
        <v>648</v>
      </c>
      <c r="Q161" s="13" t="s">
        <v>671</v>
      </c>
      <c r="R161" s="13" t="s">
        <v>677</v>
      </c>
      <c r="S161" s="13" t="s">
        <v>641</v>
      </c>
      <c r="T161" s="13" t="s">
        <v>641</v>
      </c>
    </row>
    <row r="162" customFormat="1" spans="1:20">
      <c r="A162" s="109">
        <v>45748</v>
      </c>
      <c r="B162" s="109">
        <v>45777</v>
      </c>
      <c r="C162" s="13" t="s">
        <v>635</v>
      </c>
      <c r="D162" s="13" t="s">
        <v>636</v>
      </c>
      <c r="E162" s="13">
        <v>1501009</v>
      </c>
      <c r="F162" s="13" t="s">
        <v>680</v>
      </c>
      <c r="G162" s="13" t="s">
        <v>56</v>
      </c>
      <c r="H162" s="13" t="s">
        <v>55</v>
      </c>
      <c r="I162" s="13" t="s">
        <v>648</v>
      </c>
      <c r="J162" s="110">
        <v>6.75</v>
      </c>
      <c r="K162" s="111">
        <v>12</v>
      </c>
      <c r="L162" s="110">
        <v>81</v>
      </c>
      <c r="M162" s="13" t="s">
        <v>669</v>
      </c>
      <c r="N162" s="13" t="s">
        <v>670</v>
      </c>
      <c r="O162" s="13" t="s">
        <v>653</v>
      </c>
      <c r="P162" s="13" t="s">
        <v>648</v>
      </c>
      <c r="Q162" s="13" t="s">
        <v>671</v>
      </c>
      <c r="R162" s="13" t="s">
        <v>672</v>
      </c>
      <c r="S162" s="13" t="s">
        <v>641</v>
      </c>
      <c r="T162" s="13" t="s">
        <v>641</v>
      </c>
    </row>
    <row r="163" customFormat="1" spans="1:20">
      <c r="A163" s="109">
        <v>45748</v>
      </c>
      <c r="B163" s="109">
        <v>45777</v>
      </c>
      <c r="C163" s="13" t="s">
        <v>635</v>
      </c>
      <c r="D163" s="13" t="s">
        <v>636</v>
      </c>
      <c r="E163" s="13">
        <v>1501010</v>
      </c>
      <c r="F163" s="13" t="s">
        <v>60</v>
      </c>
      <c r="G163" s="13" t="s">
        <v>56</v>
      </c>
      <c r="H163" s="13" t="s">
        <v>55</v>
      </c>
      <c r="I163" s="13" t="s">
        <v>648</v>
      </c>
      <c r="J163" s="110">
        <v>7.5</v>
      </c>
      <c r="K163" s="111">
        <v>108</v>
      </c>
      <c r="L163" s="110">
        <v>810</v>
      </c>
      <c r="M163" s="13" t="s">
        <v>669</v>
      </c>
      <c r="N163" s="13" t="s">
        <v>670</v>
      </c>
      <c r="O163" s="13" t="s">
        <v>653</v>
      </c>
      <c r="P163" s="13" t="s">
        <v>648</v>
      </c>
      <c r="Q163" s="13" t="s">
        <v>671</v>
      </c>
      <c r="R163" s="13" t="s">
        <v>672</v>
      </c>
      <c r="S163" s="13" t="s">
        <v>641</v>
      </c>
      <c r="T163" s="13" t="s">
        <v>641</v>
      </c>
    </row>
    <row r="164" customFormat="1" spans="1:20">
      <c r="A164" s="109">
        <v>45748</v>
      </c>
      <c r="B164" s="109">
        <v>45777</v>
      </c>
      <c r="C164" s="13" t="s">
        <v>635</v>
      </c>
      <c r="D164" s="13" t="s">
        <v>636</v>
      </c>
      <c r="E164" s="13">
        <v>1501013</v>
      </c>
      <c r="F164" s="13" t="s">
        <v>190</v>
      </c>
      <c r="G164" s="13" t="s">
        <v>74</v>
      </c>
      <c r="H164" s="13" t="s">
        <v>73</v>
      </c>
      <c r="I164" s="13" t="s">
        <v>637</v>
      </c>
      <c r="J164" s="110">
        <v>11.25</v>
      </c>
      <c r="K164" s="111">
        <v>65.2</v>
      </c>
      <c r="L164" s="110">
        <v>733.5</v>
      </c>
      <c r="M164" s="13" t="s">
        <v>643</v>
      </c>
      <c r="N164" s="13" t="s">
        <v>642</v>
      </c>
      <c r="O164" s="13" t="s">
        <v>639</v>
      </c>
      <c r="P164" s="13" t="s">
        <v>637</v>
      </c>
      <c r="Q164" s="13" t="s">
        <v>642</v>
      </c>
      <c r="R164" s="13" t="s">
        <v>641</v>
      </c>
      <c r="S164" s="13" t="s">
        <v>641</v>
      </c>
      <c r="T164" s="13" t="s">
        <v>641</v>
      </c>
    </row>
    <row r="165" customFormat="1" spans="1:20">
      <c r="A165" s="109">
        <v>45748</v>
      </c>
      <c r="B165" s="109">
        <v>45777</v>
      </c>
      <c r="C165" s="13" t="s">
        <v>635</v>
      </c>
      <c r="D165" s="13" t="s">
        <v>636</v>
      </c>
      <c r="E165" s="13">
        <v>1501029</v>
      </c>
      <c r="F165" s="13" t="s">
        <v>456</v>
      </c>
      <c r="G165" s="13" t="s">
        <v>33</v>
      </c>
      <c r="H165" s="13" t="s">
        <v>32</v>
      </c>
      <c r="I165" s="13" t="s">
        <v>637</v>
      </c>
      <c r="J165" s="110">
        <v>8</v>
      </c>
      <c r="K165" s="111">
        <v>30</v>
      </c>
      <c r="L165" s="110">
        <v>240</v>
      </c>
      <c r="M165" s="13" t="s">
        <v>21</v>
      </c>
      <c r="N165" s="13" t="s">
        <v>638</v>
      </c>
      <c r="O165" s="13" t="s">
        <v>639</v>
      </c>
      <c r="P165" s="13" t="s">
        <v>637</v>
      </c>
      <c r="Q165" s="13" t="s">
        <v>640</v>
      </c>
      <c r="R165" s="13" t="s">
        <v>641</v>
      </c>
      <c r="S165" s="13" t="s">
        <v>641</v>
      </c>
      <c r="T165" s="13" t="s">
        <v>641</v>
      </c>
    </row>
    <row r="166" customFormat="1" spans="1:20">
      <c r="A166" s="109">
        <v>45748</v>
      </c>
      <c r="B166" s="109">
        <v>45777</v>
      </c>
      <c r="C166" s="13" t="s">
        <v>635</v>
      </c>
      <c r="D166" s="13" t="s">
        <v>636</v>
      </c>
      <c r="E166" s="13">
        <v>1501032</v>
      </c>
      <c r="F166" s="13" t="s">
        <v>458</v>
      </c>
      <c r="G166" s="13" t="s">
        <v>45</v>
      </c>
      <c r="H166" s="13" t="s">
        <v>44</v>
      </c>
      <c r="I166" s="13" t="s">
        <v>637</v>
      </c>
      <c r="J166" s="110">
        <v>7.21</v>
      </c>
      <c r="K166" s="111">
        <v>10</v>
      </c>
      <c r="L166" s="110">
        <v>72.08</v>
      </c>
      <c r="M166" s="13" t="s">
        <v>21</v>
      </c>
      <c r="N166" s="13" t="s">
        <v>638</v>
      </c>
      <c r="O166" s="13" t="s">
        <v>639</v>
      </c>
      <c r="P166" s="13" t="s">
        <v>637</v>
      </c>
      <c r="Q166" s="13" t="s">
        <v>640</v>
      </c>
      <c r="R166" s="13" t="s">
        <v>641</v>
      </c>
      <c r="S166" s="13" t="s">
        <v>641</v>
      </c>
      <c r="T166" s="13" t="s">
        <v>641</v>
      </c>
    </row>
    <row r="167" customFormat="1" spans="1:20">
      <c r="A167" s="109">
        <v>45748</v>
      </c>
      <c r="B167" s="109">
        <v>45777</v>
      </c>
      <c r="C167" s="13" t="s">
        <v>635</v>
      </c>
      <c r="D167" s="13" t="s">
        <v>636</v>
      </c>
      <c r="E167" s="13">
        <v>1501034</v>
      </c>
      <c r="F167" s="13" t="s">
        <v>681</v>
      </c>
      <c r="G167" s="13" t="s">
        <v>21</v>
      </c>
      <c r="H167" s="13" t="s">
        <v>20</v>
      </c>
      <c r="I167" s="13" t="s">
        <v>648</v>
      </c>
      <c r="J167" s="110">
        <v>5.38</v>
      </c>
      <c r="K167" s="111">
        <v>120</v>
      </c>
      <c r="L167" s="110">
        <v>645.72</v>
      </c>
      <c r="M167" s="13" t="s">
        <v>682</v>
      </c>
      <c r="N167" s="13" t="s">
        <v>683</v>
      </c>
      <c r="O167" s="13" t="s">
        <v>653</v>
      </c>
      <c r="P167" s="13" t="s">
        <v>648</v>
      </c>
      <c r="Q167" s="13" t="s">
        <v>671</v>
      </c>
      <c r="R167" s="13" t="s">
        <v>678</v>
      </c>
      <c r="S167" s="13" t="s">
        <v>684</v>
      </c>
      <c r="T167" s="13" t="s">
        <v>641</v>
      </c>
    </row>
    <row r="168" customFormat="1" spans="1:20">
      <c r="A168" s="109">
        <v>45748</v>
      </c>
      <c r="B168" s="109">
        <v>45777</v>
      </c>
      <c r="C168" s="13" t="s">
        <v>635</v>
      </c>
      <c r="D168" s="13" t="s">
        <v>636</v>
      </c>
      <c r="E168" s="13">
        <v>1501045</v>
      </c>
      <c r="F168" s="13" t="s">
        <v>685</v>
      </c>
      <c r="G168" s="13" t="s">
        <v>37</v>
      </c>
      <c r="H168" s="13" t="s">
        <v>647</v>
      </c>
      <c r="I168" s="13" t="s">
        <v>637</v>
      </c>
      <c r="J168" s="110">
        <v>0.9</v>
      </c>
      <c r="K168" s="111">
        <v>80</v>
      </c>
      <c r="L168" s="110">
        <v>72</v>
      </c>
      <c r="M168" s="13" t="s">
        <v>30</v>
      </c>
      <c r="N168" s="13" t="s">
        <v>655</v>
      </c>
      <c r="O168" s="13" t="s">
        <v>639</v>
      </c>
      <c r="P168" s="13" t="s">
        <v>637</v>
      </c>
      <c r="Q168" s="13" t="s">
        <v>649</v>
      </c>
      <c r="R168" s="13" t="s">
        <v>641</v>
      </c>
      <c r="S168" s="13" t="s">
        <v>641</v>
      </c>
      <c r="T168" s="13" t="s">
        <v>641</v>
      </c>
    </row>
    <row r="169" customFormat="1" spans="1:20">
      <c r="A169" s="109">
        <v>45748</v>
      </c>
      <c r="B169" s="109">
        <v>45777</v>
      </c>
      <c r="C169" s="13" t="s">
        <v>635</v>
      </c>
      <c r="D169" s="13" t="s">
        <v>636</v>
      </c>
      <c r="E169" s="13">
        <v>1501055</v>
      </c>
      <c r="F169" s="13" t="s">
        <v>589</v>
      </c>
      <c r="G169" s="13" t="s">
        <v>21</v>
      </c>
      <c r="H169" s="13" t="s">
        <v>20</v>
      </c>
      <c r="I169" s="13" t="s">
        <v>637</v>
      </c>
      <c r="J169" s="110">
        <v>0.37</v>
      </c>
      <c r="K169" s="111">
        <v>2205</v>
      </c>
      <c r="L169" s="110">
        <v>808.5</v>
      </c>
      <c r="M169" s="13" t="s">
        <v>261</v>
      </c>
      <c r="N169" s="13" t="s">
        <v>654</v>
      </c>
      <c r="O169" s="13" t="s">
        <v>639</v>
      </c>
      <c r="P169" s="13" t="s">
        <v>637</v>
      </c>
      <c r="Q169" s="13" t="s">
        <v>649</v>
      </c>
      <c r="R169" s="13" t="s">
        <v>641</v>
      </c>
      <c r="S169" s="13" t="s">
        <v>641</v>
      </c>
      <c r="T169" s="13" t="s">
        <v>641</v>
      </c>
    </row>
    <row r="170" customFormat="1" spans="1:20">
      <c r="A170" s="109">
        <v>45748</v>
      </c>
      <c r="B170" s="109">
        <v>45777</v>
      </c>
      <c r="C170" s="13" t="s">
        <v>635</v>
      </c>
      <c r="D170" s="13" t="s">
        <v>636</v>
      </c>
      <c r="E170" s="13">
        <v>1501154</v>
      </c>
      <c r="F170" s="13" t="s">
        <v>143</v>
      </c>
      <c r="G170" s="13" t="s">
        <v>30</v>
      </c>
      <c r="H170" s="13" t="s">
        <v>29</v>
      </c>
      <c r="I170" s="13" t="s">
        <v>637</v>
      </c>
      <c r="J170" s="110">
        <v>1.38</v>
      </c>
      <c r="K170" s="111">
        <v>144</v>
      </c>
      <c r="L170" s="110">
        <v>198.75</v>
      </c>
      <c r="M170" s="13" t="s">
        <v>21</v>
      </c>
      <c r="N170" s="13" t="s">
        <v>638</v>
      </c>
      <c r="O170" s="13" t="s">
        <v>639</v>
      </c>
      <c r="P170" s="13" t="s">
        <v>637</v>
      </c>
      <c r="Q170" s="13" t="s">
        <v>640</v>
      </c>
      <c r="R170" s="13" t="s">
        <v>641</v>
      </c>
      <c r="S170" s="13" t="s">
        <v>641</v>
      </c>
      <c r="T170" s="13" t="s">
        <v>641</v>
      </c>
    </row>
    <row r="171" customFormat="1" spans="1:20">
      <c r="A171" s="109">
        <v>45748</v>
      </c>
      <c r="B171" s="109">
        <v>45777</v>
      </c>
      <c r="C171" s="13" t="s">
        <v>635</v>
      </c>
      <c r="D171" s="13" t="s">
        <v>636</v>
      </c>
      <c r="E171" s="13">
        <v>1501159</v>
      </c>
      <c r="F171" s="13" t="s">
        <v>374</v>
      </c>
      <c r="G171" s="13" t="s">
        <v>37</v>
      </c>
      <c r="H171" s="13" t="s">
        <v>647</v>
      </c>
      <c r="I171" s="13" t="s">
        <v>637</v>
      </c>
      <c r="J171" s="110">
        <v>6.99</v>
      </c>
      <c r="K171" s="111">
        <v>836.58</v>
      </c>
      <c r="L171" s="110">
        <v>5848.18</v>
      </c>
      <c r="M171" s="13" t="s">
        <v>643</v>
      </c>
      <c r="N171" s="13" t="s">
        <v>642</v>
      </c>
      <c r="O171" s="13" t="s">
        <v>639</v>
      </c>
      <c r="P171" s="13" t="s">
        <v>637</v>
      </c>
      <c r="Q171" s="13" t="s">
        <v>642</v>
      </c>
      <c r="R171" s="13" t="s">
        <v>641</v>
      </c>
      <c r="S171" s="13" t="s">
        <v>641</v>
      </c>
      <c r="T171" s="13" t="s">
        <v>641</v>
      </c>
    </row>
    <row r="172" customFormat="1" spans="1:20">
      <c r="A172" s="109">
        <v>45748</v>
      </c>
      <c r="B172" s="109">
        <v>45777</v>
      </c>
      <c r="C172" s="13" t="s">
        <v>635</v>
      </c>
      <c r="D172" s="13" t="s">
        <v>636</v>
      </c>
      <c r="E172" s="13">
        <v>1501160</v>
      </c>
      <c r="F172" s="13" t="s">
        <v>184</v>
      </c>
      <c r="G172" s="13" t="s">
        <v>37</v>
      </c>
      <c r="H172" s="13" t="s">
        <v>647</v>
      </c>
      <c r="I172" s="13" t="s">
        <v>648</v>
      </c>
      <c r="J172" s="110">
        <v>3.3</v>
      </c>
      <c r="K172" s="111">
        <v>16</v>
      </c>
      <c r="L172" s="110">
        <v>52.8</v>
      </c>
      <c r="M172" s="13" t="s">
        <v>21</v>
      </c>
      <c r="N172" s="13" t="s">
        <v>638</v>
      </c>
      <c r="O172" s="13" t="s">
        <v>653</v>
      </c>
      <c r="P172" s="13" t="s">
        <v>648</v>
      </c>
      <c r="Q172" s="13" t="s">
        <v>654</v>
      </c>
      <c r="R172" s="13" t="s">
        <v>641</v>
      </c>
      <c r="S172" s="13" t="s">
        <v>641</v>
      </c>
      <c r="T172" s="13" t="s">
        <v>641</v>
      </c>
    </row>
    <row r="173" customFormat="1" spans="1:20">
      <c r="A173" s="109">
        <v>45748</v>
      </c>
      <c r="B173" s="109">
        <v>45777</v>
      </c>
      <c r="C173" s="13" t="s">
        <v>635</v>
      </c>
      <c r="D173" s="13" t="s">
        <v>636</v>
      </c>
      <c r="E173" s="13">
        <v>1501165</v>
      </c>
      <c r="F173" s="13" t="s">
        <v>686</v>
      </c>
      <c r="G173" s="13" t="s">
        <v>56</v>
      </c>
      <c r="H173" s="13" t="s">
        <v>55</v>
      </c>
      <c r="I173" s="13" t="s">
        <v>648</v>
      </c>
      <c r="J173" s="110">
        <v>12.13</v>
      </c>
      <c r="K173" s="111">
        <v>2</v>
      </c>
      <c r="L173" s="110">
        <v>24.25</v>
      </c>
      <c r="M173" s="13" t="s">
        <v>669</v>
      </c>
      <c r="N173" s="13" t="s">
        <v>670</v>
      </c>
      <c r="O173" s="13" t="s">
        <v>653</v>
      </c>
      <c r="P173" s="13" t="s">
        <v>648</v>
      </c>
      <c r="Q173" s="13" t="s">
        <v>671</v>
      </c>
      <c r="R173" s="13" t="s">
        <v>641</v>
      </c>
      <c r="S173" s="13" t="s">
        <v>641</v>
      </c>
      <c r="T173" s="13" t="s">
        <v>641</v>
      </c>
    </row>
    <row r="174" customFormat="1" spans="1:20">
      <c r="A174" s="109">
        <v>45748</v>
      </c>
      <c r="B174" s="109">
        <v>45777</v>
      </c>
      <c r="C174" s="13" t="s">
        <v>635</v>
      </c>
      <c r="D174" s="13" t="s">
        <v>636</v>
      </c>
      <c r="E174" s="13">
        <v>1501178</v>
      </c>
      <c r="F174" s="13" t="s">
        <v>295</v>
      </c>
      <c r="G174" s="13" t="s">
        <v>74</v>
      </c>
      <c r="H174" s="13" t="s">
        <v>73</v>
      </c>
      <c r="I174" s="13" t="s">
        <v>637</v>
      </c>
      <c r="J174" s="110">
        <v>7</v>
      </c>
      <c r="K174" s="111">
        <v>112</v>
      </c>
      <c r="L174" s="110">
        <v>783.97</v>
      </c>
      <c r="M174" s="13" t="s">
        <v>658</v>
      </c>
      <c r="N174" s="13" t="s">
        <v>646</v>
      </c>
      <c r="O174" s="13" t="s">
        <v>639</v>
      </c>
      <c r="P174" s="13" t="s">
        <v>637</v>
      </c>
      <c r="Q174" s="13" t="s">
        <v>646</v>
      </c>
      <c r="R174" s="13" t="s">
        <v>641</v>
      </c>
      <c r="S174" s="13" t="s">
        <v>641</v>
      </c>
      <c r="T174" s="13" t="s">
        <v>641</v>
      </c>
    </row>
    <row r="175" customFormat="1" spans="1:20">
      <c r="A175" s="109">
        <v>45748</v>
      </c>
      <c r="B175" s="109">
        <v>45777</v>
      </c>
      <c r="C175" s="13" t="s">
        <v>635</v>
      </c>
      <c r="D175" s="13" t="s">
        <v>636</v>
      </c>
      <c r="E175" s="13">
        <v>1501190</v>
      </c>
      <c r="F175" s="13" t="s">
        <v>499</v>
      </c>
      <c r="G175" s="13" t="s">
        <v>30</v>
      </c>
      <c r="H175" s="13" t="s">
        <v>29</v>
      </c>
      <c r="I175" s="13" t="s">
        <v>637</v>
      </c>
      <c r="J175" s="110">
        <v>8.23</v>
      </c>
      <c r="K175" s="111">
        <v>19</v>
      </c>
      <c r="L175" s="110">
        <v>156.3</v>
      </c>
      <c r="M175" s="13" t="s">
        <v>30</v>
      </c>
      <c r="N175" s="13" t="s">
        <v>655</v>
      </c>
      <c r="O175" s="13" t="s">
        <v>639</v>
      </c>
      <c r="P175" s="13" t="s">
        <v>637</v>
      </c>
      <c r="Q175" s="13" t="s">
        <v>649</v>
      </c>
      <c r="R175" s="13" t="s">
        <v>641</v>
      </c>
      <c r="S175" s="13" t="s">
        <v>641</v>
      </c>
      <c r="T175" s="13" t="s">
        <v>641</v>
      </c>
    </row>
    <row r="176" customFormat="1" spans="1:20">
      <c r="A176" s="109">
        <v>45748</v>
      </c>
      <c r="B176" s="109">
        <v>45777</v>
      </c>
      <c r="C176" s="13" t="s">
        <v>635</v>
      </c>
      <c r="D176" s="13" t="s">
        <v>636</v>
      </c>
      <c r="E176" s="13">
        <v>1501192</v>
      </c>
      <c r="F176" s="13" t="s">
        <v>498</v>
      </c>
      <c r="G176" s="13" t="s">
        <v>30</v>
      </c>
      <c r="H176" s="13" t="s">
        <v>29</v>
      </c>
      <c r="I176" s="13" t="s">
        <v>637</v>
      </c>
      <c r="J176" s="110">
        <v>3.24</v>
      </c>
      <c r="K176" s="111">
        <v>20</v>
      </c>
      <c r="L176" s="110">
        <v>64.87</v>
      </c>
      <c r="M176" s="13" t="s">
        <v>21</v>
      </c>
      <c r="N176" s="13" t="s">
        <v>638</v>
      </c>
      <c r="O176" s="13" t="s">
        <v>639</v>
      </c>
      <c r="P176" s="13" t="s">
        <v>637</v>
      </c>
      <c r="Q176" s="13" t="s">
        <v>649</v>
      </c>
      <c r="R176" s="13" t="s">
        <v>641</v>
      </c>
      <c r="S176" s="13" t="s">
        <v>641</v>
      </c>
      <c r="T176" s="13" t="s">
        <v>641</v>
      </c>
    </row>
    <row r="177" customFormat="1" spans="1:20">
      <c r="A177" s="109">
        <v>45748</v>
      </c>
      <c r="B177" s="109">
        <v>45777</v>
      </c>
      <c r="C177" s="13" t="s">
        <v>635</v>
      </c>
      <c r="D177" s="13" t="s">
        <v>636</v>
      </c>
      <c r="E177" s="13">
        <v>1501193</v>
      </c>
      <c r="F177" s="13" t="s">
        <v>35</v>
      </c>
      <c r="G177" s="13" t="s">
        <v>37</v>
      </c>
      <c r="H177" s="13" t="s">
        <v>647</v>
      </c>
      <c r="I177" s="13" t="s">
        <v>637</v>
      </c>
      <c r="J177" s="110">
        <v>19.61</v>
      </c>
      <c r="K177" s="111">
        <v>3.79</v>
      </c>
      <c r="L177" s="110">
        <v>74.34</v>
      </c>
      <c r="M177" s="13" t="s">
        <v>643</v>
      </c>
      <c r="N177" s="13" t="s">
        <v>642</v>
      </c>
      <c r="O177" s="13" t="s">
        <v>639</v>
      </c>
      <c r="P177" s="13" t="s">
        <v>637</v>
      </c>
      <c r="Q177" s="13" t="s">
        <v>642</v>
      </c>
      <c r="R177" s="13" t="s">
        <v>641</v>
      </c>
      <c r="S177" s="13" t="s">
        <v>641</v>
      </c>
      <c r="T177" s="13" t="s">
        <v>641</v>
      </c>
    </row>
    <row r="178" customFormat="1" spans="1:20">
      <c r="A178" s="109">
        <v>45748</v>
      </c>
      <c r="B178" s="109">
        <v>45777</v>
      </c>
      <c r="C178" s="13" t="s">
        <v>635</v>
      </c>
      <c r="D178" s="13" t="s">
        <v>636</v>
      </c>
      <c r="E178" s="13">
        <v>1501253</v>
      </c>
      <c r="F178" s="13" t="s">
        <v>385</v>
      </c>
      <c r="G178" s="13" t="s">
        <v>74</v>
      </c>
      <c r="H178" s="13" t="s">
        <v>73</v>
      </c>
      <c r="I178" s="13" t="s">
        <v>648</v>
      </c>
      <c r="J178" s="110">
        <v>6.94</v>
      </c>
      <c r="K178" s="111">
        <v>10</v>
      </c>
      <c r="L178" s="110">
        <v>69.39</v>
      </c>
      <c r="M178" s="13" t="s">
        <v>643</v>
      </c>
      <c r="N178" s="13" t="s">
        <v>642</v>
      </c>
      <c r="O178" s="13" t="s">
        <v>639</v>
      </c>
      <c r="P178" s="13" t="s">
        <v>637</v>
      </c>
      <c r="Q178" s="13" t="s">
        <v>642</v>
      </c>
      <c r="R178" s="13" t="s">
        <v>641</v>
      </c>
      <c r="S178" s="13" t="s">
        <v>641</v>
      </c>
      <c r="T178" s="13" t="s">
        <v>641</v>
      </c>
    </row>
    <row r="179" customFormat="1" spans="1:20">
      <c r="A179" s="109">
        <v>45748</v>
      </c>
      <c r="B179" s="109">
        <v>45777</v>
      </c>
      <c r="C179" s="13" t="s">
        <v>635</v>
      </c>
      <c r="D179" s="13" t="s">
        <v>636</v>
      </c>
      <c r="E179" s="13">
        <v>1501253</v>
      </c>
      <c r="F179" s="13" t="s">
        <v>385</v>
      </c>
      <c r="G179" s="13" t="s">
        <v>74</v>
      </c>
      <c r="H179" s="13" t="s">
        <v>73</v>
      </c>
      <c r="I179" s="13" t="s">
        <v>637</v>
      </c>
      <c r="J179" s="110">
        <v>6.94</v>
      </c>
      <c r="K179" s="111">
        <v>59.62</v>
      </c>
      <c r="L179" s="110">
        <v>413.73</v>
      </c>
      <c r="M179" s="13" t="s">
        <v>643</v>
      </c>
      <c r="N179" s="13" t="s">
        <v>642</v>
      </c>
      <c r="O179" s="13" t="s">
        <v>639</v>
      </c>
      <c r="P179" s="13" t="s">
        <v>637</v>
      </c>
      <c r="Q179" s="13" t="s">
        <v>642</v>
      </c>
      <c r="R179" s="13" t="s">
        <v>641</v>
      </c>
      <c r="S179" s="13" t="s">
        <v>641</v>
      </c>
      <c r="T179" s="13" t="s">
        <v>641</v>
      </c>
    </row>
    <row r="180" customFormat="1" spans="1:20">
      <c r="A180" s="109">
        <v>45748</v>
      </c>
      <c r="B180" s="109">
        <v>45777</v>
      </c>
      <c r="C180" s="13" t="s">
        <v>635</v>
      </c>
      <c r="D180" s="13" t="s">
        <v>636</v>
      </c>
      <c r="E180" s="13">
        <v>1501275</v>
      </c>
      <c r="F180" s="13" t="s">
        <v>510</v>
      </c>
      <c r="G180" s="13" t="s">
        <v>37</v>
      </c>
      <c r="H180" s="13" t="s">
        <v>647</v>
      </c>
      <c r="I180" s="13" t="s">
        <v>637</v>
      </c>
      <c r="J180" s="110">
        <v>12.5</v>
      </c>
      <c r="K180" s="111">
        <v>416.62</v>
      </c>
      <c r="L180" s="110">
        <v>5207.76</v>
      </c>
      <c r="M180" s="13" t="s">
        <v>643</v>
      </c>
      <c r="N180" s="13" t="s">
        <v>642</v>
      </c>
      <c r="O180" s="13" t="s">
        <v>639</v>
      </c>
      <c r="P180" s="13" t="s">
        <v>637</v>
      </c>
      <c r="Q180" s="13" t="s">
        <v>642</v>
      </c>
      <c r="R180" s="13" t="s">
        <v>641</v>
      </c>
      <c r="S180" s="13" t="s">
        <v>641</v>
      </c>
      <c r="T180" s="13" t="s">
        <v>641</v>
      </c>
    </row>
    <row r="181" customFormat="1" spans="1:20">
      <c r="A181" s="109">
        <v>45748</v>
      </c>
      <c r="B181" s="109">
        <v>45777</v>
      </c>
      <c r="C181" s="13" t="s">
        <v>635</v>
      </c>
      <c r="D181" s="13" t="s">
        <v>636</v>
      </c>
      <c r="E181" s="13">
        <v>1501279</v>
      </c>
      <c r="F181" s="13" t="s">
        <v>427</v>
      </c>
      <c r="G181" s="13" t="s">
        <v>33</v>
      </c>
      <c r="H181" s="13" t="s">
        <v>32</v>
      </c>
      <c r="I181" s="13" t="s">
        <v>637</v>
      </c>
      <c r="J181" s="110">
        <v>13.54</v>
      </c>
      <c r="K181" s="111">
        <v>38</v>
      </c>
      <c r="L181" s="110">
        <v>514.63</v>
      </c>
      <c r="M181" s="13" t="s">
        <v>658</v>
      </c>
      <c r="N181" s="13" t="s">
        <v>646</v>
      </c>
      <c r="O181" s="13" t="s">
        <v>639</v>
      </c>
      <c r="P181" s="13" t="s">
        <v>637</v>
      </c>
      <c r="Q181" s="13" t="s">
        <v>646</v>
      </c>
      <c r="R181" s="13" t="s">
        <v>641</v>
      </c>
      <c r="S181" s="13" t="s">
        <v>641</v>
      </c>
      <c r="T181" s="13" t="s">
        <v>641</v>
      </c>
    </row>
    <row r="182" customFormat="1" spans="1:20">
      <c r="A182" s="109">
        <v>45748</v>
      </c>
      <c r="B182" s="109">
        <v>45777</v>
      </c>
      <c r="C182" s="13" t="s">
        <v>635</v>
      </c>
      <c r="D182" s="13" t="s">
        <v>636</v>
      </c>
      <c r="E182" s="13">
        <v>1501282</v>
      </c>
      <c r="F182" s="13" t="s">
        <v>597</v>
      </c>
      <c r="G182" s="13" t="s">
        <v>74</v>
      </c>
      <c r="H182" s="13" t="s">
        <v>73</v>
      </c>
      <c r="I182" s="13" t="s">
        <v>637</v>
      </c>
      <c r="J182" s="110">
        <v>7.08</v>
      </c>
      <c r="K182" s="111">
        <v>9.5</v>
      </c>
      <c r="L182" s="110">
        <v>67.27</v>
      </c>
      <c r="M182" s="13" t="s">
        <v>643</v>
      </c>
      <c r="N182" s="13" t="s">
        <v>642</v>
      </c>
      <c r="O182" s="13" t="s">
        <v>639</v>
      </c>
      <c r="P182" s="13" t="s">
        <v>637</v>
      </c>
      <c r="Q182" s="13" t="s">
        <v>642</v>
      </c>
      <c r="R182" s="13" t="s">
        <v>641</v>
      </c>
      <c r="S182" s="13" t="s">
        <v>641</v>
      </c>
      <c r="T182" s="13" t="s">
        <v>641</v>
      </c>
    </row>
    <row r="183" customFormat="1" spans="1:20">
      <c r="A183" s="109">
        <v>45748</v>
      </c>
      <c r="B183" s="109">
        <v>45777</v>
      </c>
      <c r="C183" s="13" t="s">
        <v>635</v>
      </c>
      <c r="D183" s="13" t="s">
        <v>636</v>
      </c>
      <c r="E183" s="13">
        <v>1501285</v>
      </c>
      <c r="F183" s="13" t="s">
        <v>321</v>
      </c>
      <c r="G183" s="13" t="s">
        <v>56</v>
      </c>
      <c r="H183" s="13" t="s">
        <v>55</v>
      </c>
      <c r="I183" s="13" t="s">
        <v>637</v>
      </c>
      <c r="J183" s="110">
        <v>45.5</v>
      </c>
      <c r="K183" s="111">
        <v>1.4</v>
      </c>
      <c r="L183" s="110">
        <v>63.7</v>
      </c>
      <c r="M183" s="13" t="s">
        <v>21</v>
      </c>
      <c r="N183" s="13" t="s">
        <v>638</v>
      </c>
      <c r="O183" s="13" t="s">
        <v>639</v>
      </c>
      <c r="P183" s="13" t="s">
        <v>637</v>
      </c>
      <c r="Q183" s="13" t="s">
        <v>640</v>
      </c>
      <c r="R183" s="13" t="s">
        <v>641</v>
      </c>
      <c r="S183" s="13" t="s">
        <v>641</v>
      </c>
      <c r="T183" s="13" t="s">
        <v>641</v>
      </c>
    </row>
    <row r="184" customFormat="1" spans="1:20">
      <c r="A184" s="109">
        <v>45748</v>
      </c>
      <c r="B184" s="109">
        <v>45777</v>
      </c>
      <c r="C184" s="13" t="s">
        <v>635</v>
      </c>
      <c r="D184" s="13" t="s">
        <v>636</v>
      </c>
      <c r="E184" s="13">
        <v>1501288</v>
      </c>
      <c r="F184" s="13" t="s">
        <v>687</v>
      </c>
      <c r="G184" s="13" t="s">
        <v>37</v>
      </c>
      <c r="H184" s="13" t="s">
        <v>647</v>
      </c>
      <c r="I184" s="13" t="s">
        <v>637</v>
      </c>
      <c r="J184" s="110">
        <v>1.7</v>
      </c>
      <c r="K184" s="111">
        <v>20</v>
      </c>
      <c r="L184" s="110">
        <v>34</v>
      </c>
      <c r="M184" s="13" t="s">
        <v>21</v>
      </c>
      <c r="N184" s="13" t="s">
        <v>638</v>
      </c>
      <c r="O184" s="13" t="s">
        <v>639</v>
      </c>
      <c r="P184" s="13" t="s">
        <v>637</v>
      </c>
      <c r="Q184" s="13" t="s">
        <v>640</v>
      </c>
      <c r="R184" s="13" t="s">
        <v>641</v>
      </c>
      <c r="S184" s="13" t="s">
        <v>641</v>
      </c>
      <c r="T184" s="13" t="s">
        <v>641</v>
      </c>
    </row>
    <row r="185" customFormat="1" spans="1:20">
      <c r="A185" s="109">
        <v>45748</v>
      </c>
      <c r="B185" s="109">
        <v>45777</v>
      </c>
      <c r="C185" s="13" t="s">
        <v>635</v>
      </c>
      <c r="D185" s="13" t="s">
        <v>636</v>
      </c>
      <c r="E185" s="13">
        <v>1501411</v>
      </c>
      <c r="F185" s="13" t="s">
        <v>688</v>
      </c>
      <c r="G185" s="13" t="s">
        <v>18</v>
      </c>
      <c r="H185" s="13" t="s">
        <v>17</v>
      </c>
      <c r="I185" s="13" t="s">
        <v>648</v>
      </c>
      <c r="J185" s="110">
        <v>3.8</v>
      </c>
      <c r="K185" s="111">
        <v>19.8</v>
      </c>
      <c r="L185" s="110">
        <v>75.24</v>
      </c>
      <c r="M185" s="13" t="s">
        <v>97</v>
      </c>
      <c r="N185" s="13" t="s">
        <v>656</v>
      </c>
      <c r="O185" s="13" t="s">
        <v>653</v>
      </c>
      <c r="P185" s="13" t="s">
        <v>648</v>
      </c>
      <c r="Q185" s="13" t="s">
        <v>654</v>
      </c>
      <c r="R185" s="13" t="s">
        <v>641</v>
      </c>
      <c r="S185" s="13" t="s">
        <v>641</v>
      </c>
      <c r="T185" s="13" t="s">
        <v>641</v>
      </c>
    </row>
    <row r="186" customFormat="1" spans="1:20">
      <c r="A186" s="109">
        <v>45748</v>
      </c>
      <c r="B186" s="109">
        <v>45777</v>
      </c>
      <c r="C186" s="13" t="s">
        <v>635</v>
      </c>
      <c r="D186" s="13" t="s">
        <v>636</v>
      </c>
      <c r="E186" s="13">
        <v>1501589</v>
      </c>
      <c r="F186" s="13" t="s">
        <v>391</v>
      </c>
      <c r="G186" s="13" t="s">
        <v>18</v>
      </c>
      <c r="H186" s="13" t="s">
        <v>17</v>
      </c>
      <c r="I186" s="13" t="s">
        <v>648</v>
      </c>
      <c r="J186" s="110">
        <v>3.25</v>
      </c>
      <c r="K186" s="111">
        <v>10</v>
      </c>
      <c r="L186" s="110">
        <v>32.5</v>
      </c>
      <c r="M186" s="13" t="s">
        <v>643</v>
      </c>
      <c r="N186" s="13" t="s">
        <v>642</v>
      </c>
      <c r="O186" s="13" t="s">
        <v>639</v>
      </c>
      <c r="P186" s="13" t="s">
        <v>637</v>
      </c>
      <c r="Q186" s="13" t="s">
        <v>642</v>
      </c>
      <c r="R186" s="13" t="s">
        <v>641</v>
      </c>
      <c r="S186" s="13" t="s">
        <v>641</v>
      </c>
      <c r="T186" s="13" t="s">
        <v>641</v>
      </c>
    </row>
    <row r="187" customFormat="1" spans="1:20">
      <c r="A187" s="109">
        <v>45748</v>
      </c>
      <c r="B187" s="109">
        <v>45777</v>
      </c>
      <c r="C187" s="13" t="s">
        <v>635</v>
      </c>
      <c r="D187" s="13" t="s">
        <v>636</v>
      </c>
      <c r="E187" s="13">
        <v>1501589</v>
      </c>
      <c r="F187" s="13" t="s">
        <v>391</v>
      </c>
      <c r="G187" s="13" t="s">
        <v>18</v>
      </c>
      <c r="H187" s="13" t="s">
        <v>17</v>
      </c>
      <c r="I187" s="13" t="s">
        <v>637</v>
      </c>
      <c r="J187" s="110">
        <v>3.25</v>
      </c>
      <c r="K187" s="111">
        <v>671</v>
      </c>
      <c r="L187" s="110">
        <v>2180.75</v>
      </c>
      <c r="M187" s="13" t="s">
        <v>643</v>
      </c>
      <c r="N187" s="13" t="s">
        <v>642</v>
      </c>
      <c r="O187" s="13" t="s">
        <v>639</v>
      </c>
      <c r="P187" s="13" t="s">
        <v>637</v>
      </c>
      <c r="Q187" s="13" t="s">
        <v>642</v>
      </c>
      <c r="R187" s="13" t="s">
        <v>641</v>
      </c>
      <c r="S187" s="13" t="s">
        <v>641</v>
      </c>
      <c r="T187" s="13" t="s">
        <v>641</v>
      </c>
    </row>
    <row r="188" customFormat="1" spans="1:20">
      <c r="A188" s="109">
        <v>45748</v>
      </c>
      <c r="B188" s="109">
        <v>45777</v>
      </c>
      <c r="C188" s="13" t="s">
        <v>635</v>
      </c>
      <c r="D188" s="13" t="s">
        <v>636</v>
      </c>
      <c r="E188" s="13">
        <v>1501594</v>
      </c>
      <c r="F188" s="13" t="s">
        <v>445</v>
      </c>
      <c r="G188" s="13" t="s">
        <v>37</v>
      </c>
      <c r="H188" s="13" t="s">
        <v>647</v>
      </c>
      <c r="I188" s="13" t="s">
        <v>648</v>
      </c>
      <c r="J188" s="110">
        <v>1.2</v>
      </c>
      <c r="K188" s="111">
        <v>40</v>
      </c>
      <c r="L188" s="110">
        <v>48</v>
      </c>
      <c r="M188" s="13" t="s">
        <v>97</v>
      </c>
      <c r="N188" s="13" t="s">
        <v>656</v>
      </c>
      <c r="O188" s="13" t="s">
        <v>653</v>
      </c>
      <c r="P188" s="13" t="s">
        <v>648</v>
      </c>
      <c r="Q188" s="13" t="s">
        <v>654</v>
      </c>
      <c r="R188" s="13" t="s">
        <v>641</v>
      </c>
      <c r="S188" s="13" t="s">
        <v>641</v>
      </c>
      <c r="T188" s="13" t="s">
        <v>641</v>
      </c>
    </row>
    <row r="189" customFormat="1" spans="1:20">
      <c r="A189" s="109">
        <v>45748</v>
      </c>
      <c r="B189" s="109">
        <v>45777</v>
      </c>
      <c r="C189" s="13" t="s">
        <v>635</v>
      </c>
      <c r="D189" s="13" t="s">
        <v>636</v>
      </c>
      <c r="E189" s="13">
        <v>1501608</v>
      </c>
      <c r="F189" s="13" t="s">
        <v>590</v>
      </c>
      <c r="G189" s="13" t="s">
        <v>74</v>
      </c>
      <c r="H189" s="13" t="s">
        <v>73</v>
      </c>
      <c r="I189" s="13" t="s">
        <v>637</v>
      </c>
      <c r="J189" s="110">
        <v>16</v>
      </c>
      <c r="K189" s="111">
        <v>23</v>
      </c>
      <c r="L189" s="110">
        <v>368</v>
      </c>
      <c r="M189" s="13" t="s">
        <v>643</v>
      </c>
      <c r="N189" s="13" t="s">
        <v>642</v>
      </c>
      <c r="O189" s="13" t="s">
        <v>639</v>
      </c>
      <c r="P189" s="13" t="s">
        <v>637</v>
      </c>
      <c r="Q189" s="13" t="s">
        <v>642</v>
      </c>
      <c r="R189" s="13" t="s">
        <v>641</v>
      </c>
      <c r="S189" s="13" t="s">
        <v>641</v>
      </c>
      <c r="T189" s="13" t="s">
        <v>641</v>
      </c>
    </row>
    <row r="190" customFormat="1" spans="1:20">
      <c r="A190" s="109">
        <v>45748</v>
      </c>
      <c r="B190" s="109">
        <v>45777</v>
      </c>
      <c r="C190" s="13" t="s">
        <v>635</v>
      </c>
      <c r="D190" s="13" t="s">
        <v>636</v>
      </c>
      <c r="E190" s="13">
        <v>1501610</v>
      </c>
      <c r="F190" s="13" t="s">
        <v>461</v>
      </c>
      <c r="G190" s="13" t="s">
        <v>74</v>
      </c>
      <c r="H190" s="13" t="s">
        <v>73</v>
      </c>
      <c r="I190" s="13" t="s">
        <v>637</v>
      </c>
      <c r="J190" s="110">
        <v>24.2</v>
      </c>
      <c r="K190" s="111">
        <v>56.25</v>
      </c>
      <c r="L190" s="110">
        <v>1361.25</v>
      </c>
      <c r="M190" s="13" t="s">
        <v>643</v>
      </c>
      <c r="N190" s="13" t="s">
        <v>642</v>
      </c>
      <c r="O190" s="13" t="s">
        <v>639</v>
      </c>
      <c r="P190" s="13" t="s">
        <v>637</v>
      </c>
      <c r="Q190" s="13" t="s">
        <v>642</v>
      </c>
      <c r="R190" s="13" t="s">
        <v>641</v>
      </c>
      <c r="S190" s="13" t="s">
        <v>641</v>
      </c>
      <c r="T190" s="13" t="s">
        <v>641</v>
      </c>
    </row>
    <row r="191" customFormat="1" spans="1:20">
      <c r="A191" s="109">
        <v>45748</v>
      </c>
      <c r="B191" s="109">
        <v>45777</v>
      </c>
      <c r="C191" s="13" t="s">
        <v>635</v>
      </c>
      <c r="D191" s="13" t="s">
        <v>636</v>
      </c>
      <c r="E191" s="13">
        <v>1501617</v>
      </c>
      <c r="F191" s="13" t="s">
        <v>387</v>
      </c>
      <c r="G191" s="13" t="s">
        <v>30</v>
      </c>
      <c r="H191" s="13" t="s">
        <v>29</v>
      </c>
      <c r="I191" s="13" t="s">
        <v>648</v>
      </c>
      <c r="J191" s="110">
        <v>4.29</v>
      </c>
      <c r="K191" s="111">
        <v>78</v>
      </c>
      <c r="L191" s="110">
        <v>334.75</v>
      </c>
      <c r="M191" s="13" t="s">
        <v>261</v>
      </c>
      <c r="N191" s="13" t="s">
        <v>654</v>
      </c>
      <c r="O191" s="13" t="s">
        <v>653</v>
      </c>
      <c r="P191" s="13" t="s">
        <v>648</v>
      </c>
      <c r="Q191" s="13" t="s">
        <v>654</v>
      </c>
      <c r="R191" s="13" t="s">
        <v>641</v>
      </c>
      <c r="S191" s="13" t="s">
        <v>641</v>
      </c>
      <c r="T191" s="13" t="s">
        <v>641</v>
      </c>
    </row>
    <row r="192" customFormat="1" spans="1:20">
      <c r="A192" s="109">
        <v>45748</v>
      </c>
      <c r="B192" s="109">
        <v>45777</v>
      </c>
      <c r="C192" s="13" t="s">
        <v>635</v>
      </c>
      <c r="D192" s="13" t="s">
        <v>636</v>
      </c>
      <c r="E192" s="13">
        <v>1501618</v>
      </c>
      <c r="F192" s="13" t="s">
        <v>265</v>
      </c>
      <c r="G192" s="13" t="s">
        <v>45</v>
      </c>
      <c r="H192" s="13" t="s">
        <v>44</v>
      </c>
      <c r="I192" s="13" t="s">
        <v>637</v>
      </c>
      <c r="J192" s="110">
        <v>3.85</v>
      </c>
      <c r="K192" s="111">
        <v>202</v>
      </c>
      <c r="L192" s="110">
        <v>777.69</v>
      </c>
      <c r="M192" s="13" t="s">
        <v>21</v>
      </c>
      <c r="N192" s="13" t="s">
        <v>638</v>
      </c>
      <c r="O192" s="13" t="s">
        <v>639</v>
      </c>
      <c r="P192" s="13" t="s">
        <v>637</v>
      </c>
      <c r="Q192" s="13" t="s">
        <v>644</v>
      </c>
      <c r="R192" s="13" t="s">
        <v>641</v>
      </c>
      <c r="S192" s="13" t="s">
        <v>641</v>
      </c>
      <c r="T192" s="13" t="s">
        <v>641</v>
      </c>
    </row>
    <row r="193" customFormat="1" spans="1:20">
      <c r="A193" s="109">
        <v>45748</v>
      </c>
      <c r="B193" s="109">
        <v>45777</v>
      </c>
      <c r="C193" s="13" t="s">
        <v>635</v>
      </c>
      <c r="D193" s="13" t="s">
        <v>636</v>
      </c>
      <c r="E193" s="13">
        <v>1501626</v>
      </c>
      <c r="F193" s="13" t="s">
        <v>689</v>
      </c>
      <c r="G193" s="13" t="s">
        <v>37</v>
      </c>
      <c r="H193" s="13" t="s">
        <v>647</v>
      </c>
      <c r="I193" s="13" t="s">
        <v>648</v>
      </c>
      <c r="J193" s="110">
        <v>3.2</v>
      </c>
      <c r="K193" s="111">
        <v>25</v>
      </c>
      <c r="L193" s="110">
        <v>80</v>
      </c>
      <c r="M193" s="13" t="s">
        <v>97</v>
      </c>
      <c r="N193" s="13" t="s">
        <v>656</v>
      </c>
      <c r="O193" s="13" t="s">
        <v>653</v>
      </c>
      <c r="P193" s="13" t="s">
        <v>648</v>
      </c>
      <c r="Q193" s="13" t="s">
        <v>654</v>
      </c>
      <c r="R193" s="13" t="s">
        <v>641</v>
      </c>
      <c r="S193" s="13" t="s">
        <v>641</v>
      </c>
      <c r="T193" s="13" t="s">
        <v>641</v>
      </c>
    </row>
    <row r="194" customFormat="1" spans="1:20">
      <c r="A194" s="109">
        <v>45748</v>
      </c>
      <c r="B194" s="109">
        <v>45777</v>
      </c>
      <c r="C194" s="13" t="s">
        <v>635</v>
      </c>
      <c r="D194" s="13" t="s">
        <v>636</v>
      </c>
      <c r="E194" s="13">
        <v>1501628</v>
      </c>
      <c r="F194" s="13" t="s">
        <v>584</v>
      </c>
      <c r="G194" s="13" t="s">
        <v>74</v>
      </c>
      <c r="H194" s="13" t="s">
        <v>73</v>
      </c>
      <c r="I194" s="13" t="s">
        <v>637</v>
      </c>
      <c r="J194" s="110">
        <v>9.8</v>
      </c>
      <c r="K194" s="111">
        <v>57.68</v>
      </c>
      <c r="L194" s="110">
        <v>565.21</v>
      </c>
      <c r="M194" s="13" t="s">
        <v>643</v>
      </c>
      <c r="N194" s="13" t="s">
        <v>642</v>
      </c>
      <c r="O194" s="13" t="s">
        <v>639</v>
      </c>
      <c r="P194" s="13" t="s">
        <v>637</v>
      </c>
      <c r="Q194" s="13" t="s">
        <v>642</v>
      </c>
      <c r="R194" s="13" t="s">
        <v>641</v>
      </c>
      <c r="S194" s="13" t="s">
        <v>641</v>
      </c>
      <c r="T194" s="13" t="s">
        <v>641</v>
      </c>
    </row>
    <row r="195" customFormat="1" spans="1:20">
      <c r="A195" s="109">
        <v>45748</v>
      </c>
      <c r="B195" s="109">
        <v>45777</v>
      </c>
      <c r="C195" s="13" t="s">
        <v>635</v>
      </c>
      <c r="D195" s="13" t="s">
        <v>636</v>
      </c>
      <c r="E195" s="13">
        <v>1501633</v>
      </c>
      <c r="F195" s="13" t="s">
        <v>433</v>
      </c>
      <c r="G195" s="13" t="s">
        <v>74</v>
      </c>
      <c r="H195" s="13" t="s">
        <v>73</v>
      </c>
      <c r="I195" s="13" t="s">
        <v>637</v>
      </c>
      <c r="J195" s="110">
        <v>91.11</v>
      </c>
      <c r="K195" s="111">
        <v>10.125</v>
      </c>
      <c r="L195" s="110">
        <v>922.5</v>
      </c>
      <c r="M195" s="13" t="s">
        <v>97</v>
      </c>
      <c r="N195" s="13" t="s">
        <v>656</v>
      </c>
      <c r="O195" s="13" t="s">
        <v>639</v>
      </c>
      <c r="P195" s="13" t="s">
        <v>637</v>
      </c>
      <c r="Q195" s="13" t="s">
        <v>656</v>
      </c>
      <c r="R195" s="13" t="s">
        <v>641</v>
      </c>
      <c r="S195" s="13" t="s">
        <v>641</v>
      </c>
      <c r="T195" s="13" t="s">
        <v>641</v>
      </c>
    </row>
    <row r="196" customFormat="1" spans="1:20">
      <c r="A196" s="109">
        <v>45748</v>
      </c>
      <c r="B196" s="109">
        <v>45777</v>
      </c>
      <c r="C196" s="13" t="s">
        <v>635</v>
      </c>
      <c r="D196" s="13" t="s">
        <v>636</v>
      </c>
      <c r="E196" s="13">
        <v>1501634</v>
      </c>
      <c r="F196" s="13" t="s">
        <v>139</v>
      </c>
      <c r="G196" s="13" t="s">
        <v>74</v>
      </c>
      <c r="H196" s="13" t="s">
        <v>73</v>
      </c>
      <c r="I196" s="13" t="s">
        <v>648</v>
      </c>
      <c r="J196" s="110">
        <v>4.89</v>
      </c>
      <c r="K196" s="111">
        <v>2.5</v>
      </c>
      <c r="L196" s="110">
        <v>12.22</v>
      </c>
      <c r="M196" s="13" t="s">
        <v>30</v>
      </c>
      <c r="N196" s="13" t="s">
        <v>655</v>
      </c>
      <c r="O196" s="13" t="s">
        <v>639</v>
      </c>
      <c r="P196" s="13" t="s">
        <v>637</v>
      </c>
      <c r="Q196" s="13" t="s">
        <v>649</v>
      </c>
      <c r="R196" s="13" t="s">
        <v>641</v>
      </c>
      <c r="S196" s="13" t="s">
        <v>641</v>
      </c>
      <c r="T196" s="13" t="s">
        <v>641</v>
      </c>
    </row>
    <row r="197" customFormat="1" spans="1:20">
      <c r="A197" s="109">
        <v>45748</v>
      </c>
      <c r="B197" s="109">
        <v>45777</v>
      </c>
      <c r="C197" s="13" t="s">
        <v>635</v>
      </c>
      <c r="D197" s="13" t="s">
        <v>636</v>
      </c>
      <c r="E197" s="13">
        <v>1501634</v>
      </c>
      <c r="F197" s="13" t="s">
        <v>139</v>
      </c>
      <c r="G197" s="13" t="s">
        <v>74</v>
      </c>
      <c r="H197" s="13" t="s">
        <v>73</v>
      </c>
      <c r="I197" s="13" t="s">
        <v>637</v>
      </c>
      <c r="J197" s="110">
        <v>4.89</v>
      </c>
      <c r="K197" s="111">
        <v>38.9</v>
      </c>
      <c r="L197" s="110">
        <v>190.18</v>
      </c>
      <c r="M197" s="13" t="s">
        <v>30</v>
      </c>
      <c r="N197" s="13" t="s">
        <v>655</v>
      </c>
      <c r="O197" s="13" t="s">
        <v>639</v>
      </c>
      <c r="P197" s="13" t="s">
        <v>637</v>
      </c>
      <c r="Q197" s="13" t="s">
        <v>649</v>
      </c>
      <c r="R197" s="13" t="s">
        <v>641</v>
      </c>
      <c r="S197" s="13" t="s">
        <v>641</v>
      </c>
      <c r="T197" s="13" t="s">
        <v>641</v>
      </c>
    </row>
    <row r="198" customFormat="1" spans="1:20">
      <c r="A198" s="109">
        <v>45748</v>
      </c>
      <c r="B198" s="109">
        <v>45777</v>
      </c>
      <c r="C198" s="13" t="s">
        <v>635</v>
      </c>
      <c r="D198" s="13" t="s">
        <v>636</v>
      </c>
      <c r="E198" s="13">
        <v>1501635</v>
      </c>
      <c r="F198" s="13" t="s">
        <v>608</v>
      </c>
      <c r="G198" s="13" t="s">
        <v>18</v>
      </c>
      <c r="H198" s="13" t="s">
        <v>17</v>
      </c>
      <c r="I198" s="13" t="s">
        <v>637</v>
      </c>
      <c r="J198" s="110">
        <v>12.99</v>
      </c>
      <c r="K198" s="111">
        <v>405.2</v>
      </c>
      <c r="L198" s="110">
        <v>5263.57</v>
      </c>
      <c r="M198" s="13" t="s">
        <v>643</v>
      </c>
      <c r="N198" s="13" t="s">
        <v>642</v>
      </c>
      <c r="O198" s="13" t="s">
        <v>639</v>
      </c>
      <c r="P198" s="13" t="s">
        <v>637</v>
      </c>
      <c r="Q198" s="13" t="s">
        <v>642</v>
      </c>
      <c r="R198" s="13" t="s">
        <v>641</v>
      </c>
      <c r="S198" s="13" t="s">
        <v>641</v>
      </c>
      <c r="T198" s="13" t="s">
        <v>641</v>
      </c>
    </row>
    <row r="199" customFormat="1" spans="1:20">
      <c r="A199" s="109">
        <v>45748</v>
      </c>
      <c r="B199" s="109">
        <v>45777</v>
      </c>
      <c r="C199" s="13" t="s">
        <v>635</v>
      </c>
      <c r="D199" s="13" t="s">
        <v>636</v>
      </c>
      <c r="E199" s="13">
        <v>1501640</v>
      </c>
      <c r="F199" s="13" t="s">
        <v>336</v>
      </c>
      <c r="G199" s="13" t="s">
        <v>74</v>
      </c>
      <c r="H199" s="13" t="s">
        <v>73</v>
      </c>
      <c r="I199" s="13" t="s">
        <v>637</v>
      </c>
      <c r="J199" s="110">
        <v>7</v>
      </c>
      <c r="K199" s="111">
        <v>22.5</v>
      </c>
      <c r="L199" s="110">
        <v>157.5</v>
      </c>
      <c r="M199" s="13" t="s">
        <v>97</v>
      </c>
      <c r="N199" s="13" t="s">
        <v>656</v>
      </c>
      <c r="O199" s="13" t="s">
        <v>639</v>
      </c>
      <c r="P199" s="13" t="s">
        <v>637</v>
      </c>
      <c r="Q199" s="13" t="s">
        <v>656</v>
      </c>
      <c r="R199" s="13" t="s">
        <v>641</v>
      </c>
      <c r="S199" s="13" t="s">
        <v>641</v>
      </c>
      <c r="T199" s="13" t="s">
        <v>641</v>
      </c>
    </row>
    <row r="200" customFormat="1" spans="1:20">
      <c r="A200" s="109">
        <v>45748</v>
      </c>
      <c r="B200" s="109">
        <v>45777</v>
      </c>
      <c r="C200" s="13" t="s">
        <v>635</v>
      </c>
      <c r="D200" s="13" t="s">
        <v>636</v>
      </c>
      <c r="E200" s="13">
        <v>1501646</v>
      </c>
      <c r="F200" s="13" t="s">
        <v>267</v>
      </c>
      <c r="G200" s="13" t="s">
        <v>33</v>
      </c>
      <c r="H200" s="13" t="s">
        <v>32</v>
      </c>
      <c r="I200" s="13" t="s">
        <v>637</v>
      </c>
      <c r="J200" s="110">
        <v>19</v>
      </c>
      <c r="K200" s="111">
        <v>84</v>
      </c>
      <c r="L200" s="110">
        <v>1596</v>
      </c>
      <c r="M200" s="13" t="s">
        <v>21</v>
      </c>
      <c r="N200" s="13" t="s">
        <v>638</v>
      </c>
      <c r="O200" s="13" t="s">
        <v>639</v>
      </c>
      <c r="P200" s="13" t="s">
        <v>637</v>
      </c>
      <c r="Q200" s="13" t="s">
        <v>644</v>
      </c>
      <c r="R200" s="13" t="s">
        <v>641</v>
      </c>
      <c r="S200" s="13" t="s">
        <v>641</v>
      </c>
      <c r="T200" s="13" t="s">
        <v>641</v>
      </c>
    </row>
    <row r="201" customFormat="1" spans="1:20">
      <c r="A201" s="109">
        <v>45748</v>
      </c>
      <c r="B201" s="109">
        <v>45777</v>
      </c>
      <c r="C201" s="13" t="s">
        <v>635</v>
      </c>
      <c r="D201" s="13" t="s">
        <v>636</v>
      </c>
      <c r="E201" s="13">
        <v>1501651</v>
      </c>
      <c r="F201" s="13" t="s">
        <v>690</v>
      </c>
      <c r="G201" s="13" t="s">
        <v>74</v>
      </c>
      <c r="H201" s="13" t="s">
        <v>73</v>
      </c>
      <c r="I201" s="13" t="s">
        <v>637</v>
      </c>
      <c r="J201" s="110">
        <v>5.63</v>
      </c>
      <c r="K201" s="111">
        <v>88</v>
      </c>
      <c r="L201" s="110">
        <v>495</v>
      </c>
      <c r="M201" s="13" t="s">
        <v>30</v>
      </c>
      <c r="N201" s="13" t="s">
        <v>655</v>
      </c>
      <c r="O201" s="13" t="s">
        <v>639</v>
      </c>
      <c r="P201" s="13" t="s">
        <v>637</v>
      </c>
      <c r="Q201" s="13" t="s">
        <v>649</v>
      </c>
      <c r="R201" s="13" t="s">
        <v>641</v>
      </c>
      <c r="S201" s="13" t="s">
        <v>641</v>
      </c>
      <c r="T201" s="13" t="s">
        <v>641</v>
      </c>
    </row>
    <row r="202" customFormat="1" spans="1:20">
      <c r="A202" s="109">
        <v>45748</v>
      </c>
      <c r="B202" s="109">
        <v>45777</v>
      </c>
      <c r="C202" s="13" t="s">
        <v>635</v>
      </c>
      <c r="D202" s="13" t="s">
        <v>636</v>
      </c>
      <c r="E202" s="13">
        <v>1501652</v>
      </c>
      <c r="F202" s="13" t="s">
        <v>496</v>
      </c>
      <c r="G202" s="13" t="s">
        <v>30</v>
      </c>
      <c r="H202" s="13" t="s">
        <v>29</v>
      </c>
      <c r="I202" s="13" t="s">
        <v>637</v>
      </c>
      <c r="J202" s="110">
        <v>13.06</v>
      </c>
      <c r="K202" s="111">
        <v>18</v>
      </c>
      <c r="L202" s="110">
        <v>235.12</v>
      </c>
      <c r="M202" s="13" t="s">
        <v>30</v>
      </c>
      <c r="N202" s="13" t="s">
        <v>655</v>
      </c>
      <c r="O202" s="13" t="s">
        <v>639</v>
      </c>
      <c r="P202" s="13" t="s">
        <v>637</v>
      </c>
      <c r="Q202" s="13" t="s">
        <v>640</v>
      </c>
      <c r="R202" s="13" t="s">
        <v>641</v>
      </c>
      <c r="S202" s="13" t="s">
        <v>641</v>
      </c>
      <c r="T202" s="13" t="s">
        <v>641</v>
      </c>
    </row>
    <row r="203" customFormat="1" spans="1:20">
      <c r="A203" s="109">
        <v>45748</v>
      </c>
      <c r="B203" s="109">
        <v>45777</v>
      </c>
      <c r="C203" s="13" t="s">
        <v>635</v>
      </c>
      <c r="D203" s="13" t="s">
        <v>636</v>
      </c>
      <c r="E203" s="13">
        <v>1501696</v>
      </c>
      <c r="F203" s="13" t="s">
        <v>361</v>
      </c>
      <c r="G203" s="13" t="s">
        <v>30</v>
      </c>
      <c r="H203" s="13" t="s">
        <v>29</v>
      </c>
      <c r="I203" s="13" t="s">
        <v>637</v>
      </c>
      <c r="J203" s="110">
        <v>2.73</v>
      </c>
      <c r="K203" s="111">
        <v>218.03</v>
      </c>
      <c r="L203" s="110">
        <v>594.61</v>
      </c>
      <c r="M203" s="13" t="s">
        <v>97</v>
      </c>
      <c r="N203" s="13" t="s">
        <v>656</v>
      </c>
      <c r="O203" s="13" t="s">
        <v>639</v>
      </c>
      <c r="P203" s="13" t="s">
        <v>637</v>
      </c>
      <c r="Q203" s="13" t="s">
        <v>656</v>
      </c>
      <c r="R203" s="13" t="s">
        <v>641</v>
      </c>
      <c r="S203" s="13" t="s">
        <v>641</v>
      </c>
      <c r="T203" s="13" t="s">
        <v>641</v>
      </c>
    </row>
    <row r="204" customFormat="1" spans="1:20">
      <c r="A204" s="109">
        <v>45748</v>
      </c>
      <c r="B204" s="109">
        <v>45777</v>
      </c>
      <c r="C204" s="13" t="s">
        <v>635</v>
      </c>
      <c r="D204" s="13" t="s">
        <v>636</v>
      </c>
      <c r="E204" s="13">
        <v>1501702</v>
      </c>
      <c r="F204" s="13" t="s">
        <v>466</v>
      </c>
      <c r="G204" s="13" t="s">
        <v>74</v>
      </c>
      <c r="H204" s="13" t="s">
        <v>73</v>
      </c>
      <c r="I204" s="13" t="s">
        <v>637</v>
      </c>
      <c r="J204" s="110">
        <v>18.07</v>
      </c>
      <c r="K204" s="111">
        <v>4</v>
      </c>
      <c r="L204" s="110">
        <v>72.29</v>
      </c>
      <c r="M204" s="13" t="s">
        <v>21</v>
      </c>
      <c r="N204" s="13" t="s">
        <v>638</v>
      </c>
      <c r="O204" s="13" t="s">
        <v>639</v>
      </c>
      <c r="P204" s="13" t="s">
        <v>637</v>
      </c>
      <c r="Q204" s="13" t="s">
        <v>649</v>
      </c>
      <c r="R204" s="13" t="s">
        <v>641</v>
      </c>
      <c r="S204" s="13" t="s">
        <v>641</v>
      </c>
      <c r="T204" s="13" t="s">
        <v>641</v>
      </c>
    </row>
    <row r="205" customFormat="1" spans="1:20">
      <c r="A205" s="109">
        <v>45748</v>
      </c>
      <c r="B205" s="109">
        <v>45777</v>
      </c>
      <c r="C205" s="13" t="s">
        <v>635</v>
      </c>
      <c r="D205" s="13" t="s">
        <v>636</v>
      </c>
      <c r="E205" s="13">
        <v>1501710</v>
      </c>
      <c r="F205" s="13" t="s">
        <v>301</v>
      </c>
      <c r="G205" s="13" t="s">
        <v>74</v>
      </c>
      <c r="H205" s="13" t="s">
        <v>73</v>
      </c>
      <c r="I205" s="13" t="s">
        <v>637</v>
      </c>
      <c r="J205" s="110">
        <v>10.13</v>
      </c>
      <c r="K205" s="111">
        <v>0.08</v>
      </c>
      <c r="L205" s="110">
        <v>0.81</v>
      </c>
      <c r="M205" s="13" t="s">
        <v>21</v>
      </c>
      <c r="N205" s="13" t="s">
        <v>638</v>
      </c>
      <c r="O205" s="13" t="s">
        <v>639</v>
      </c>
      <c r="P205" s="13" t="s">
        <v>637</v>
      </c>
      <c r="Q205" s="13" t="s">
        <v>649</v>
      </c>
      <c r="R205" s="13" t="s">
        <v>641</v>
      </c>
      <c r="S205" s="13" t="s">
        <v>641</v>
      </c>
      <c r="T205" s="13" t="s">
        <v>641</v>
      </c>
    </row>
    <row r="206" customFormat="1" spans="1:20">
      <c r="A206" s="109">
        <v>45748</v>
      </c>
      <c r="B206" s="109">
        <v>45777</v>
      </c>
      <c r="C206" s="13" t="s">
        <v>635</v>
      </c>
      <c r="D206" s="13" t="s">
        <v>636</v>
      </c>
      <c r="E206" s="13">
        <v>3000759</v>
      </c>
      <c r="F206" s="13" t="s">
        <v>347</v>
      </c>
      <c r="G206" s="13" t="s">
        <v>74</v>
      </c>
      <c r="H206" s="13" t="s">
        <v>73</v>
      </c>
      <c r="I206" s="13" t="s">
        <v>637</v>
      </c>
      <c r="J206" s="110">
        <v>8.9</v>
      </c>
      <c r="K206" s="111">
        <v>624</v>
      </c>
      <c r="L206" s="110">
        <v>5553.03</v>
      </c>
      <c r="M206" s="13" t="s">
        <v>93</v>
      </c>
      <c r="N206" s="13" t="s">
        <v>644</v>
      </c>
      <c r="O206" s="13" t="s">
        <v>639</v>
      </c>
      <c r="P206" s="13" t="s">
        <v>637</v>
      </c>
      <c r="Q206" s="13" t="s">
        <v>644</v>
      </c>
      <c r="R206" s="13" t="s">
        <v>641</v>
      </c>
      <c r="S206" s="13" t="s">
        <v>641</v>
      </c>
      <c r="T206" s="13" t="s">
        <v>641</v>
      </c>
    </row>
    <row r="207" customFormat="1" spans="1:20">
      <c r="A207" s="109">
        <v>45748</v>
      </c>
      <c r="B207" s="109">
        <v>45777</v>
      </c>
      <c r="C207" s="13" t="s">
        <v>635</v>
      </c>
      <c r="D207" s="13" t="s">
        <v>636</v>
      </c>
      <c r="E207" s="13">
        <v>3002745</v>
      </c>
      <c r="F207" s="13" t="s">
        <v>410</v>
      </c>
      <c r="G207" s="13" t="s">
        <v>74</v>
      </c>
      <c r="H207" s="13" t="s">
        <v>73</v>
      </c>
      <c r="I207" s="13" t="s">
        <v>637</v>
      </c>
      <c r="J207" s="110">
        <v>4.33</v>
      </c>
      <c r="K207" s="111">
        <v>2220</v>
      </c>
      <c r="L207" s="110">
        <v>9607.22</v>
      </c>
      <c r="M207" s="13" t="s">
        <v>93</v>
      </c>
      <c r="N207" s="13" t="s">
        <v>644</v>
      </c>
      <c r="O207" s="13" t="s">
        <v>639</v>
      </c>
      <c r="P207" s="13" t="s">
        <v>637</v>
      </c>
      <c r="Q207" s="13" t="s">
        <v>644</v>
      </c>
      <c r="R207" s="13" t="s">
        <v>641</v>
      </c>
      <c r="S207" s="13" t="s">
        <v>641</v>
      </c>
      <c r="T207" s="13" t="s">
        <v>641</v>
      </c>
    </row>
    <row r="208" customFormat="1" spans="1:20">
      <c r="A208" s="109">
        <v>45748</v>
      </c>
      <c r="B208" s="109">
        <v>45777</v>
      </c>
      <c r="C208" s="13" t="s">
        <v>635</v>
      </c>
      <c r="D208" s="13" t="s">
        <v>636</v>
      </c>
      <c r="E208" s="13">
        <v>3002747</v>
      </c>
      <c r="F208" s="13" t="s">
        <v>258</v>
      </c>
      <c r="G208" s="13" t="s">
        <v>74</v>
      </c>
      <c r="H208" s="13" t="s">
        <v>73</v>
      </c>
      <c r="I208" s="13" t="s">
        <v>637</v>
      </c>
      <c r="J208" s="110">
        <v>12</v>
      </c>
      <c r="K208" s="111">
        <v>181.5</v>
      </c>
      <c r="L208" s="110">
        <v>2177.12</v>
      </c>
      <c r="M208" s="13" t="s">
        <v>93</v>
      </c>
      <c r="N208" s="13" t="s">
        <v>644</v>
      </c>
      <c r="O208" s="13" t="s">
        <v>639</v>
      </c>
      <c r="P208" s="13" t="s">
        <v>637</v>
      </c>
      <c r="Q208" s="13" t="s">
        <v>644</v>
      </c>
      <c r="R208" s="13" t="s">
        <v>641</v>
      </c>
      <c r="S208" s="13" t="s">
        <v>641</v>
      </c>
      <c r="T208" s="13" t="s">
        <v>641</v>
      </c>
    </row>
    <row r="209" customFormat="1" spans="1:20">
      <c r="A209" s="109">
        <v>45748</v>
      </c>
      <c r="B209" s="109">
        <v>45777</v>
      </c>
      <c r="C209" s="13" t="s">
        <v>635</v>
      </c>
      <c r="D209" s="13" t="s">
        <v>636</v>
      </c>
      <c r="E209" s="13">
        <v>3003393</v>
      </c>
      <c r="F209" s="13" t="s">
        <v>349</v>
      </c>
      <c r="G209" s="13" t="s">
        <v>74</v>
      </c>
      <c r="H209" s="13" t="s">
        <v>73</v>
      </c>
      <c r="I209" s="13" t="s">
        <v>637</v>
      </c>
      <c r="J209" s="110">
        <v>8.47</v>
      </c>
      <c r="K209" s="111">
        <v>742.5</v>
      </c>
      <c r="L209" s="110">
        <v>6288.65</v>
      </c>
      <c r="M209" s="13" t="s">
        <v>93</v>
      </c>
      <c r="N209" s="13" t="s">
        <v>644</v>
      </c>
      <c r="O209" s="13" t="s">
        <v>639</v>
      </c>
      <c r="P209" s="13" t="s">
        <v>637</v>
      </c>
      <c r="Q209" s="13" t="s">
        <v>644</v>
      </c>
      <c r="R209" s="13" t="s">
        <v>641</v>
      </c>
      <c r="S209" s="13" t="s">
        <v>641</v>
      </c>
      <c r="T209" s="13" t="s">
        <v>641</v>
      </c>
    </row>
    <row r="210" customFormat="1" spans="1:20">
      <c r="A210" s="109">
        <v>45748</v>
      </c>
      <c r="B210" s="109">
        <v>45777</v>
      </c>
      <c r="C210" s="13" t="s">
        <v>635</v>
      </c>
      <c r="D210" s="13" t="s">
        <v>636</v>
      </c>
      <c r="E210" s="13">
        <v>3007923</v>
      </c>
      <c r="F210" s="13" t="s">
        <v>358</v>
      </c>
      <c r="G210" s="13" t="s">
        <v>74</v>
      </c>
      <c r="H210" s="13" t="s">
        <v>73</v>
      </c>
      <c r="I210" s="13" t="s">
        <v>637</v>
      </c>
      <c r="J210" s="110">
        <v>16.66</v>
      </c>
      <c r="K210" s="111">
        <v>82.62</v>
      </c>
      <c r="L210" s="110">
        <v>1376.55</v>
      </c>
      <c r="M210" s="13" t="s">
        <v>21</v>
      </c>
      <c r="N210" s="13" t="s">
        <v>638</v>
      </c>
      <c r="O210" s="13" t="s">
        <v>639</v>
      </c>
      <c r="P210" s="13" t="s">
        <v>637</v>
      </c>
      <c r="Q210" s="13" t="s">
        <v>644</v>
      </c>
      <c r="R210" s="13" t="s">
        <v>641</v>
      </c>
      <c r="S210" s="13" t="s">
        <v>641</v>
      </c>
      <c r="T210" s="13" t="s">
        <v>641</v>
      </c>
    </row>
    <row r="211" customFormat="1" spans="1:20">
      <c r="A211" s="109">
        <v>45748</v>
      </c>
      <c r="B211" s="109">
        <v>45777</v>
      </c>
      <c r="C211" s="13" t="s">
        <v>635</v>
      </c>
      <c r="D211" s="13" t="s">
        <v>636</v>
      </c>
      <c r="E211" s="13">
        <v>3010356</v>
      </c>
      <c r="F211" s="13" t="s">
        <v>435</v>
      </c>
      <c r="G211" s="13" t="s">
        <v>74</v>
      </c>
      <c r="H211" s="13" t="s">
        <v>73</v>
      </c>
      <c r="I211" s="13" t="s">
        <v>637</v>
      </c>
      <c r="J211" s="110">
        <v>3.74</v>
      </c>
      <c r="K211" s="111">
        <v>52.5</v>
      </c>
      <c r="L211" s="110">
        <v>196.09</v>
      </c>
      <c r="M211" s="13" t="s">
        <v>21</v>
      </c>
      <c r="N211" s="13" t="s">
        <v>638</v>
      </c>
      <c r="O211" s="13" t="s">
        <v>639</v>
      </c>
      <c r="P211" s="13" t="s">
        <v>637</v>
      </c>
      <c r="Q211" s="13" t="s">
        <v>656</v>
      </c>
      <c r="R211" s="13" t="s">
        <v>641</v>
      </c>
      <c r="S211" s="13" t="s">
        <v>641</v>
      </c>
      <c r="T211" s="13" t="s">
        <v>641</v>
      </c>
    </row>
    <row r="212" customFormat="1" spans="1:20">
      <c r="A212" s="109">
        <v>45748</v>
      </c>
      <c r="B212" s="109">
        <v>45777</v>
      </c>
      <c r="C212" s="13" t="s">
        <v>635</v>
      </c>
      <c r="D212" s="13" t="s">
        <v>636</v>
      </c>
      <c r="E212" s="13">
        <v>3010923</v>
      </c>
      <c r="F212" s="13" t="s">
        <v>691</v>
      </c>
      <c r="G212" s="13" t="s">
        <v>692</v>
      </c>
      <c r="H212" s="13" t="s">
        <v>20</v>
      </c>
      <c r="I212" s="13" t="s">
        <v>637</v>
      </c>
      <c r="J212" s="110">
        <v>1.19</v>
      </c>
      <c r="K212" s="111">
        <v>40</v>
      </c>
      <c r="L212" s="110">
        <v>47.67</v>
      </c>
      <c r="M212" s="13" t="s">
        <v>30</v>
      </c>
      <c r="N212" s="13" t="s">
        <v>655</v>
      </c>
      <c r="O212" s="13" t="s">
        <v>639</v>
      </c>
      <c r="P212" s="13" t="s">
        <v>637</v>
      </c>
      <c r="Q212" s="13" t="s">
        <v>649</v>
      </c>
      <c r="R212" s="13" t="s">
        <v>641</v>
      </c>
      <c r="S212" s="13" t="s">
        <v>641</v>
      </c>
      <c r="T212" s="13" t="s">
        <v>641</v>
      </c>
    </row>
    <row r="213" customFormat="1" spans="1:20">
      <c r="A213" s="109">
        <v>45748</v>
      </c>
      <c r="B213" s="109">
        <v>45777</v>
      </c>
      <c r="C213" s="13" t="s">
        <v>635</v>
      </c>
      <c r="D213" s="13" t="s">
        <v>636</v>
      </c>
      <c r="E213" s="13">
        <v>4000465</v>
      </c>
      <c r="F213" s="13" t="s">
        <v>330</v>
      </c>
      <c r="G213" s="13" t="s">
        <v>21</v>
      </c>
      <c r="H213" s="13" t="s">
        <v>20</v>
      </c>
      <c r="I213" s="13" t="s">
        <v>648</v>
      </c>
      <c r="J213" s="110">
        <v>5.06</v>
      </c>
      <c r="K213" s="111">
        <v>10</v>
      </c>
      <c r="L213" s="110">
        <v>50.55</v>
      </c>
      <c r="M213" s="13" t="s">
        <v>659</v>
      </c>
      <c r="N213" s="13" t="s">
        <v>660</v>
      </c>
      <c r="O213" s="13" t="s">
        <v>653</v>
      </c>
      <c r="P213" s="13" t="s">
        <v>648</v>
      </c>
      <c r="Q213" s="13" t="s">
        <v>671</v>
      </c>
      <c r="R213" s="13" t="s">
        <v>672</v>
      </c>
      <c r="S213" s="13" t="s">
        <v>641</v>
      </c>
      <c r="T213" s="13" t="s">
        <v>641</v>
      </c>
    </row>
    <row r="214" customFormat="1" spans="1:20">
      <c r="A214" s="109">
        <v>45748</v>
      </c>
      <c r="B214" s="109">
        <v>45777</v>
      </c>
      <c r="C214" s="13" t="s">
        <v>635</v>
      </c>
      <c r="D214" s="13" t="s">
        <v>636</v>
      </c>
      <c r="E214" s="13">
        <v>4000635</v>
      </c>
      <c r="F214" s="13" t="s">
        <v>130</v>
      </c>
      <c r="G214" s="13" t="s">
        <v>93</v>
      </c>
      <c r="H214" s="13" t="s">
        <v>92</v>
      </c>
      <c r="I214" s="13" t="s">
        <v>637</v>
      </c>
      <c r="J214" s="110">
        <v>0.79</v>
      </c>
      <c r="K214" s="111">
        <v>211</v>
      </c>
      <c r="L214" s="110">
        <v>167.04</v>
      </c>
      <c r="M214" s="13" t="s">
        <v>658</v>
      </c>
      <c r="N214" s="13" t="s">
        <v>646</v>
      </c>
      <c r="O214" s="13" t="s">
        <v>639</v>
      </c>
      <c r="P214" s="13" t="s">
        <v>637</v>
      </c>
      <c r="Q214" s="13" t="s">
        <v>646</v>
      </c>
      <c r="R214" s="13" t="s">
        <v>641</v>
      </c>
      <c r="S214" s="13" t="s">
        <v>641</v>
      </c>
      <c r="T214" s="13" t="s">
        <v>641</v>
      </c>
    </row>
    <row r="215" customFormat="1" spans="1:20">
      <c r="A215" s="109">
        <v>45748</v>
      </c>
      <c r="B215" s="109">
        <v>45777</v>
      </c>
      <c r="C215" s="13" t="s">
        <v>635</v>
      </c>
      <c r="D215" s="13" t="s">
        <v>636</v>
      </c>
      <c r="E215" s="13">
        <v>4000642</v>
      </c>
      <c r="F215" s="13" t="s">
        <v>63</v>
      </c>
      <c r="G215" s="13" t="s">
        <v>30</v>
      </c>
      <c r="H215" s="13" t="s">
        <v>29</v>
      </c>
      <c r="I215" s="13" t="s">
        <v>648</v>
      </c>
      <c r="J215" s="110">
        <v>0.36</v>
      </c>
      <c r="K215" s="111">
        <v>1536</v>
      </c>
      <c r="L215" s="110">
        <v>560.2</v>
      </c>
      <c r="M215" s="13" t="s">
        <v>674</v>
      </c>
      <c r="N215" s="13" t="s">
        <v>675</v>
      </c>
      <c r="O215" s="13" t="s">
        <v>653</v>
      </c>
      <c r="P215" s="13" t="s">
        <v>648</v>
      </c>
      <c r="Q215" s="13" t="s">
        <v>671</v>
      </c>
      <c r="R215" s="13" t="s">
        <v>676</v>
      </c>
      <c r="S215" s="13" t="s">
        <v>641</v>
      </c>
      <c r="T215" s="13" t="s">
        <v>641</v>
      </c>
    </row>
    <row r="216" customFormat="1" spans="1:20">
      <c r="A216" s="109">
        <v>45748</v>
      </c>
      <c r="B216" s="109">
        <v>45777</v>
      </c>
      <c r="C216" s="13" t="s">
        <v>635</v>
      </c>
      <c r="D216" s="13" t="s">
        <v>636</v>
      </c>
      <c r="E216" s="13">
        <v>4001742</v>
      </c>
      <c r="F216" s="13" t="s">
        <v>693</v>
      </c>
      <c r="G216" s="13" t="s">
        <v>21</v>
      </c>
      <c r="H216" s="13" t="s">
        <v>20</v>
      </c>
      <c r="I216" s="13" t="s">
        <v>648</v>
      </c>
      <c r="J216" s="110">
        <v>3.61</v>
      </c>
      <c r="K216" s="111">
        <v>10</v>
      </c>
      <c r="L216" s="110">
        <v>36.11</v>
      </c>
      <c r="M216" s="13" t="s">
        <v>659</v>
      </c>
      <c r="N216" s="13" t="s">
        <v>660</v>
      </c>
      <c r="O216" s="13" t="s">
        <v>653</v>
      </c>
      <c r="P216" s="13" t="s">
        <v>648</v>
      </c>
      <c r="Q216" s="13" t="s">
        <v>671</v>
      </c>
      <c r="R216" s="13" t="s">
        <v>678</v>
      </c>
      <c r="S216" s="13" t="s">
        <v>641</v>
      </c>
      <c r="T216" s="13" t="s">
        <v>641</v>
      </c>
    </row>
    <row r="217" customFormat="1" spans="1:20">
      <c r="A217" s="109">
        <v>45748</v>
      </c>
      <c r="B217" s="109">
        <v>45777</v>
      </c>
      <c r="C217" s="13" t="s">
        <v>635</v>
      </c>
      <c r="D217" s="13" t="s">
        <v>636</v>
      </c>
      <c r="E217" s="13">
        <v>4001969</v>
      </c>
      <c r="F217" s="13" t="s">
        <v>469</v>
      </c>
      <c r="G217" s="13" t="s">
        <v>74</v>
      </c>
      <c r="H217" s="13" t="s">
        <v>73</v>
      </c>
      <c r="I217" s="13" t="s">
        <v>637</v>
      </c>
      <c r="J217" s="110">
        <v>34.66</v>
      </c>
      <c r="K217" s="111">
        <v>0.058</v>
      </c>
      <c r="L217" s="110">
        <v>2.01</v>
      </c>
      <c r="M217" s="13" t="s">
        <v>21</v>
      </c>
      <c r="N217" s="13" t="s">
        <v>638</v>
      </c>
      <c r="O217" s="13" t="s">
        <v>639</v>
      </c>
      <c r="P217" s="13" t="s">
        <v>637</v>
      </c>
      <c r="Q217" s="13" t="s">
        <v>640</v>
      </c>
      <c r="R217" s="13" t="s">
        <v>641</v>
      </c>
      <c r="S217" s="13" t="s">
        <v>641</v>
      </c>
      <c r="T217" s="13" t="s">
        <v>641</v>
      </c>
    </row>
    <row r="218" customFormat="1" spans="1:20">
      <c r="A218" s="109">
        <v>45748</v>
      </c>
      <c r="B218" s="109">
        <v>45777</v>
      </c>
      <c r="C218" s="13" t="s">
        <v>635</v>
      </c>
      <c r="D218" s="13" t="s">
        <v>636</v>
      </c>
      <c r="E218" s="13">
        <v>4003066</v>
      </c>
      <c r="F218" s="13" t="s">
        <v>549</v>
      </c>
      <c r="G218" s="13" t="s">
        <v>33</v>
      </c>
      <c r="H218" s="13" t="s">
        <v>32</v>
      </c>
      <c r="I218" s="13" t="s">
        <v>637</v>
      </c>
      <c r="J218" s="110">
        <v>1.9</v>
      </c>
      <c r="K218" s="111">
        <v>207</v>
      </c>
      <c r="L218" s="110">
        <v>394.2</v>
      </c>
      <c r="M218" s="13" t="s">
        <v>658</v>
      </c>
      <c r="N218" s="13" t="s">
        <v>646</v>
      </c>
      <c r="O218" s="13" t="s">
        <v>639</v>
      </c>
      <c r="P218" s="13" t="s">
        <v>637</v>
      </c>
      <c r="Q218" s="13" t="s">
        <v>646</v>
      </c>
      <c r="R218" s="13" t="s">
        <v>641</v>
      </c>
      <c r="S218" s="13" t="s">
        <v>641</v>
      </c>
      <c r="T218" s="13" t="s">
        <v>641</v>
      </c>
    </row>
    <row r="219" customFormat="1" spans="1:20">
      <c r="A219" s="109">
        <v>45748</v>
      </c>
      <c r="B219" s="109">
        <v>45777</v>
      </c>
      <c r="C219" s="13" t="s">
        <v>635</v>
      </c>
      <c r="D219" s="13" t="s">
        <v>636</v>
      </c>
      <c r="E219" s="13">
        <v>4003246</v>
      </c>
      <c r="F219" s="13" t="s">
        <v>61</v>
      </c>
      <c r="G219" s="13" t="s">
        <v>41</v>
      </c>
      <c r="H219" s="13" t="s">
        <v>40</v>
      </c>
      <c r="I219" s="13" t="s">
        <v>648</v>
      </c>
      <c r="J219" s="110">
        <v>2.17</v>
      </c>
      <c r="K219" s="111">
        <v>200</v>
      </c>
      <c r="L219" s="110">
        <v>433.29</v>
      </c>
      <c r="M219" s="13" t="s">
        <v>659</v>
      </c>
      <c r="N219" s="13" t="s">
        <v>660</v>
      </c>
      <c r="O219" s="13" t="s">
        <v>653</v>
      </c>
      <c r="P219" s="13" t="s">
        <v>648</v>
      </c>
      <c r="Q219" s="13" t="s">
        <v>671</v>
      </c>
      <c r="R219" s="13" t="s">
        <v>678</v>
      </c>
      <c r="S219" s="13" t="s">
        <v>641</v>
      </c>
      <c r="T219" s="13" t="s">
        <v>641</v>
      </c>
    </row>
    <row r="220" customFormat="1" spans="1:20">
      <c r="A220" s="109">
        <v>45748</v>
      </c>
      <c r="B220" s="109">
        <v>45777</v>
      </c>
      <c r="C220" s="13" t="s">
        <v>635</v>
      </c>
      <c r="D220" s="13" t="s">
        <v>636</v>
      </c>
      <c r="E220" s="13">
        <v>4004440</v>
      </c>
      <c r="F220" s="13" t="s">
        <v>593</v>
      </c>
      <c r="G220" s="13" t="s">
        <v>74</v>
      </c>
      <c r="H220" s="13" t="s">
        <v>73</v>
      </c>
      <c r="I220" s="13" t="s">
        <v>637</v>
      </c>
      <c r="J220" s="110">
        <v>8.97</v>
      </c>
      <c r="K220" s="111">
        <v>9</v>
      </c>
      <c r="L220" s="110">
        <v>80.7</v>
      </c>
      <c r="M220" s="13" t="s">
        <v>21</v>
      </c>
      <c r="N220" s="13" t="s">
        <v>638</v>
      </c>
      <c r="O220" s="13" t="s">
        <v>639</v>
      </c>
      <c r="P220" s="13" t="s">
        <v>637</v>
      </c>
      <c r="Q220" s="13" t="s">
        <v>640</v>
      </c>
      <c r="R220" s="13" t="s">
        <v>641</v>
      </c>
      <c r="S220" s="13" t="s">
        <v>641</v>
      </c>
      <c r="T220" s="13" t="s">
        <v>641</v>
      </c>
    </row>
    <row r="221" customFormat="1" spans="1:20">
      <c r="A221" s="109">
        <v>45748</v>
      </c>
      <c r="B221" s="109">
        <v>45777</v>
      </c>
      <c r="C221" s="13" t="s">
        <v>635</v>
      </c>
      <c r="D221" s="13" t="s">
        <v>636</v>
      </c>
      <c r="E221" s="13">
        <v>4005465</v>
      </c>
      <c r="F221" s="13" t="s">
        <v>577</v>
      </c>
      <c r="G221" s="13" t="s">
        <v>74</v>
      </c>
      <c r="H221" s="13" t="s">
        <v>73</v>
      </c>
      <c r="I221" s="13" t="s">
        <v>637</v>
      </c>
      <c r="J221" s="110">
        <v>7.09</v>
      </c>
      <c r="K221" s="111">
        <v>60</v>
      </c>
      <c r="L221" s="110">
        <v>425.56</v>
      </c>
      <c r="M221" s="13" t="s">
        <v>21</v>
      </c>
      <c r="N221" s="13" t="s">
        <v>638</v>
      </c>
      <c r="O221" s="13" t="s">
        <v>639</v>
      </c>
      <c r="P221" s="13" t="s">
        <v>637</v>
      </c>
      <c r="Q221" s="13" t="s">
        <v>640</v>
      </c>
      <c r="R221" s="13" t="s">
        <v>641</v>
      </c>
      <c r="S221" s="13" t="s">
        <v>641</v>
      </c>
      <c r="T221" s="13" t="s">
        <v>641</v>
      </c>
    </row>
    <row r="222" customFormat="1" spans="1:20">
      <c r="A222" s="109">
        <v>45748</v>
      </c>
      <c r="B222" s="109">
        <v>45777</v>
      </c>
      <c r="C222" s="13" t="s">
        <v>635</v>
      </c>
      <c r="D222" s="13" t="s">
        <v>636</v>
      </c>
      <c r="E222" s="13">
        <v>4006187</v>
      </c>
      <c r="F222" s="13" t="s">
        <v>259</v>
      </c>
      <c r="G222" s="13" t="s">
        <v>261</v>
      </c>
      <c r="H222" s="13" t="s">
        <v>260</v>
      </c>
      <c r="I222" s="13" t="s">
        <v>648</v>
      </c>
      <c r="J222" s="110">
        <v>0.03</v>
      </c>
      <c r="K222" s="111">
        <v>4000</v>
      </c>
      <c r="L222" s="110">
        <v>117.74</v>
      </c>
      <c r="M222" s="13" t="s">
        <v>694</v>
      </c>
      <c r="N222" s="13" t="s">
        <v>695</v>
      </c>
      <c r="O222" s="13" t="s">
        <v>653</v>
      </c>
      <c r="P222" s="13" t="s">
        <v>648</v>
      </c>
      <c r="Q222" s="13" t="s">
        <v>671</v>
      </c>
      <c r="R222" s="13" t="s">
        <v>641</v>
      </c>
      <c r="S222" s="13" t="s">
        <v>641</v>
      </c>
      <c r="T222" s="13" t="s">
        <v>641</v>
      </c>
    </row>
    <row r="223" customFormat="1" spans="1:20">
      <c r="A223" s="109">
        <v>45748</v>
      </c>
      <c r="B223" s="109">
        <v>45777</v>
      </c>
      <c r="C223" s="13" t="s">
        <v>635</v>
      </c>
      <c r="D223" s="13" t="s">
        <v>636</v>
      </c>
      <c r="E223" s="13">
        <v>4006188</v>
      </c>
      <c r="F223" s="13" t="s">
        <v>262</v>
      </c>
      <c r="G223" s="13" t="s">
        <v>261</v>
      </c>
      <c r="H223" s="13" t="s">
        <v>260</v>
      </c>
      <c r="I223" s="13" t="s">
        <v>648</v>
      </c>
      <c r="J223" s="110">
        <v>0.03</v>
      </c>
      <c r="K223" s="111">
        <v>5000</v>
      </c>
      <c r="L223" s="110">
        <v>150.67</v>
      </c>
      <c r="M223" s="13" t="s">
        <v>694</v>
      </c>
      <c r="N223" s="13" t="s">
        <v>695</v>
      </c>
      <c r="O223" s="13" t="s">
        <v>653</v>
      </c>
      <c r="P223" s="13" t="s">
        <v>648</v>
      </c>
      <c r="Q223" s="13" t="s">
        <v>696</v>
      </c>
      <c r="R223" s="13" t="s">
        <v>641</v>
      </c>
      <c r="S223" s="13" t="s">
        <v>641</v>
      </c>
      <c r="T223" s="13" t="s">
        <v>641</v>
      </c>
    </row>
    <row r="224" customFormat="1" spans="1:20">
      <c r="A224" s="109">
        <v>45748</v>
      </c>
      <c r="B224" s="109">
        <v>45777</v>
      </c>
      <c r="C224" s="13" t="s">
        <v>635</v>
      </c>
      <c r="D224" s="13" t="s">
        <v>636</v>
      </c>
      <c r="E224" s="13">
        <v>4006189</v>
      </c>
      <c r="F224" s="13" t="s">
        <v>263</v>
      </c>
      <c r="G224" s="13" t="s">
        <v>261</v>
      </c>
      <c r="H224" s="13" t="s">
        <v>260</v>
      </c>
      <c r="I224" s="13" t="s">
        <v>648</v>
      </c>
      <c r="J224" s="110">
        <v>0.03</v>
      </c>
      <c r="K224" s="111">
        <v>4000</v>
      </c>
      <c r="L224" s="110">
        <v>122</v>
      </c>
      <c r="M224" s="13" t="s">
        <v>694</v>
      </c>
      <c r="N224" s="13" t="s">
        <v>695</v>
      </c>
      <c r="O224" s="13" t="s">
        <v>653</v>
      </c>
      <c r="P224" s="13" t="s">
        <v>648</v>
      </c>
      <c r="Q224" s="13" t="s">
        <v>696</v>
      </c>
      <c r="R224" s="13" t="s">
        <v>641</v>
      </c>
      <c r="S224" s="13" t="s">
        <v>641</v>
      </c>
      <c r="T224" s="13" t="s">
        <v>641</v>
      </c>
    </row>
    <row r="225" customFormat="1" spans="1:20">
      <c r="A225" s="109">
        <v>45748</v>
      </c>
      <c r="B225" s="109">
        <v>45777</v>
      </c>
      <c r="C225" s="13" t="s">
        <v>635</v>
      </c>
      <c r="D225" s="13" t="s">
        <v>636</v>
      </c>
      <c r="E225" s="13">
        <v>4017075</v>
      </c>
      <c r="F225" s="13" t="s">
        <v>118</v>
      </c>
      <c r="G225" s="13" t="s">
        <v>30</v>
      </c>
      <c r="H225" s="13" t="s">
        <v>29</v>
      </c>
      <c r="I225" s="13" t="s">
        <v>637</v>
      </c>
      <c r="J225" s="110">
        <v>0.38</v>
      </c>
      <c r="K225" s="111">
        <v>900</v>
      </c>
      <c r="L225" s="110">
        <v>342.48</v>
      </c>
      <c r="M225" s="13" t="s">
        <v>30</v>
      </c>
      <c r="N225" s="13" t="s">
        <v>655</v>
      </c>
      <c r="O225" s="13" t="s">
        <v>639</v>
      </c>
      <c r="P225" s="13" t="s">
        <v>637</v>
      </c>
      <c r="Q225" s="13" t="s">
        <v>640</v>
      </c>
      <c r="R225" s="13" t="s">
        <v>641</v>
      </c>
      <c r="S225" s="13" t="s">
        <v>641</v>
      </c>
      <c r="T225" s="13" t="s">
        <v>641</v>
      </c>
    </row>
    <row r="226" customFormat="1" spans="1:20">
      <c r="A226" s="109">
        <v>45748</v>
      </c>
      <c r="B226" s="109">
        <v>45777</v>
      </c>
      <c r="C226" s="13" t="s">
        <v>635</v>
      </c>
      <c r="D226" s="13" t="s">
        <v>636</v>
      </c>
      <c r="E226" s="13">
        <v>4017892</v>
      </c>
      <c r="F226" s="13" t="s">
        <v>253</v>
      </c>
      <c r="G226" s="13" t="s">
        <v>74</v>
      </c>
      <c r="H226" s="13" t="s">
        <v>73</v>
      </c>
      <c r="I226" s="13" t="s">
        <v>637</v>
      </c>
      <c r="J226" s="110">
        <v>2.4</v>
      </c>
      <c r="K226" s="111">
        <v>40</v>
      </c>
      <c r="L226" s="110">
        <v>96</v>
      </c>
      <c r="M226" s="13" t="s">
        <v>30</v>
      </c>
      <c r="N226" s="13" t="s">
        <v>655</v>
      </c>
      <c r="O226" s="13" t="s">
        <v>639</v>
      </c>
      <c r="P226" s="13" t="s">
        <v>637</v>
      </c>
      <c r="Q226" s="13" t="s">
        <v>649</v>
      </c>
      <c r="R226" s="13" t="s">
        <v>641</v>
      </c>
      <c r="S226" s="13" t="s">
        <v>641</v>
      </c>
      <c r="T226" s="13" t="s">
        <v>641</v>
      </c>
    </row>
    <row r="227" customFormat="1" spans="1:20">
      <c r="A227" s="109">
        <v>45748</v>
      </c>
      <c r="B227" s="109">
        <v>45777</v>
      </c>
      <c r="C227" s="13" t="s">
        <v>635</v>
      </c>
      <c r="D227" s="13" t="s">
        <v>636</v>
      </c>
      <c r="E227" s="13">
        <v>4018767</v>
      </c>
      <c r="F227" s="13" t="s">
        <v>448</v>
      </c>
      <c r="G227" s="13" t="s">
        <v>74</v>
      </c>
      <c r="H227" s="13" t="s">
        <v>73</v>
      </c>
      <c r="I227" s="13" t="s">
        <v>637</v>
      </c>
      <c r="J227" s="110">
        <v>4.5</v>
      </c>
      <c r="K227" s="111">
        <v>140</v>
      </c>
      <c r="L227" s="110">
        <v>629.68</v>
      </c>
      <c r="M227" s="13" t="s">
        <v>21</v>
      </c>
      <c r="N227" s="13" t="s">
        <v>638</v>
      </c>
      <c r="O227" s="13" t="s">
        <v>639</v>
      </c>
      <c r="P227" s="13" t="s">
        <v>637</v>
      </c>
      <c r="Q227" s="13" t="s">
        <v>640</v>
      </c>
      <c r="R227" s="13" t="s">
        <v>641</v>
      </c>
      <c r="S227" s="13" t="s">
        <v>641</v>
      </c>
      <c r="T227" s="13" t="s">
        <v>641</v>
      </c>
    </row>
    <row r="228" customFormat="1" spans="1:20">
      <c r="A228" s="109">
        <v>45748</v>
      </c>
      <c r="B228" s="109">
        <v>45777</v>
      </c>
      <c r="C228" s="13" t="s">
        <v>635</v>
      </c>
      <c r="D228" s="13" t="s">
        <v>636</v>
      </c>
      <c r="E228" s="13">
        <v>4018965</v>
      </c>
      <c r="F228" s="13" t="s">
        <v>613</v>
      </c>
      <c r="G228" s="13" t="s">
        <v>74</v>
      </c>
      <c r="H228" s="13" t="s">
        <v>73</v>
      </c>
      <c r="I228" s="13" t="s">
        <v>637</v>
      </c>
      <c r="J228" s="110">
        <v>10.5</v>
      </c>
      <c r="K228" s="111">
        <v>94</v>
      </c>
      <c r="L228" s="110">
        <v>986.97</v>
      </c>
      <c r="M228" s="13" t="s">
        <v>643</v>
      </c>
      <c r="N228" s="13" t="s">
        <v>642</v>
      </c>
      <c r="O228" s="13" t="s">
        <v>639</v>
      </c>
      <c r="P228" s="13" t="s">
        <v>637</v>
      </c>
      <c r="Q228" s="13" t="s">
        <v>642</v>
      </c>
      <c r="R228" s="13" t="s">
        <v>641</v>
      </c>
      <c r="S228" s="13" t="s">
        <v>641</v>
      </c>
      <c r="T228" s="13" t="s">
        <v>641</v>
      </c>
    </row>
    <row r="229" customFormat="1" spans="1:20">
      <c r="A229" s="109">
        <v>45748</v>
      </c>
      <c r="B229" s="109">
        <v>45777</v>
      </c>
      <c r="C229" s="13" t="s">
        <v>635</v>
      </c>
      <c r="D229" s="13" t="s">
        <v>636</v>
      </c>
      <c r="E229" s="13">
        <v>4019089</v>
      </c>
      <c r="F229" s="13" t="s">
        <v>310</v>
      </c>
      <c r="G229" s="13" t="s">
        <v>138</v>
      </c>
      <c r="H229" s="13" t="s">
        <v>137</v>
      </c>
      <c r="I229" s="13" t="s">
        <v>637</v>
      </c>
      <c r="J229" s="110">
        <v>1.02</v>
      </c>
      <c r="K229" s="111">
        <v>100</v>
      </c>
      <c r="L229" s="110">
        <v>102.07</v>
      </c>
      <c r="M229" s="13" t="s">
        <v>658</v>
      </c>
      <c r="N229" s="13" t="s">
        <v>646</v>
      </c>
      <c r="O229" s="13" t="s">
        <v>639</v>
      </c>
      <c r="P229" s="13" t="s">
        <v>637</v>
      </c>
      <c r="Q229" s="13" t="s">
        <v>646</v>
      </c>
      <c r="R229" s="13" t="s">
        <v>641</v>
      </c>
      <c r="S229" s="13" t="s">
        <v>641</v>
      </c>
      <c r="T229" s="13" t="s">
        <v>641</v>
      </c>
    </row>
    <row r="230" customFormat="1" spans="1:20">
      <c r="A230" s="109">
        <v>45748</v>
      </c>
      <c r="B230" s="109">
        <v>45777</v>
      </c>
      <c r="C230" s="13" t="s">
        <v>635</v>
      </c>
      <c r="D230" s="13" t="s">
        <v>636</v>
      </c>
      <c r="E230" s="13">
        <v>4019343</v>
      </c>
      <c r="F230" s="13" t="s">
        <v>214</v>
      </c>
      <c r="G230" s="13" t="s">
        <v>74</v>
      </c>
      <c r="H230" s="13" t="s">
        <v>73</v>
      </c>
      <c r="I230" s="13" t="s">
        <v>637</v>
      </c>
      <c r="J230" s="110">
        <v>8.33</v>
      </c>
      <c r="K230" s="111">
        <v>70</v>
      </c>
      <c r="L230" s="110">
        <v>583.41</v>
      </c>
      <c r="M230" s="13" t="s">
        <v>643</v>
      </c>
      <c r="N230" s="13" t="s">
        <v>642</v>
      </c>
      <c r="O230" s="13" t="s">
        <v>639</v>
      </c>
      <c r="P230" s="13" t="s">
        <v>637</v>
      </c>
      <c r="Q230" s="13" t="s">
        <v>649</v>
      </c>
      <c r="R230" s="13" t="s">
        <v>641</v>
      </c>
      <c r="S230" s="13" t="s">
        <v>641</v>
      </c>
      <c r="T230" s="13" t="s">
        <v>641</v>
      </c>
    </row>
    <row r="231" customFormat="1" spans="1:20">
      <c r="A231" s="109">
        <v>45748</v>
      </c>
      <c r="B231" s="109">
        <v>45777</v>
      </c>
      <c r="C231" s="13" t="s">
        <v>635</v>
      </c>
      <c r="D231" s="13" t="s">
        <v>636</v>
      </c>
      <c r="E231" s="13">
        <v>4020091</v>
      </c>
      <c r="F231" s="13" t="s">
        <v>529</v>
      </c>
      <c r="G231" s="13" t="s">
        <v>74</v>
      </c>
      <c r="H231" s="13" t="s">
        <v>73</v>
      </c>
      <c r="I231" s="13" t="s">
        <v>637</v>
      </c>
      <c r="J231" s="110">
        <v>17.11</v>
      </c>
      <c r="K231" s="111">
        <v>393.6</v>
      </c>
      <c r="L231" s="110">
        <v>6734.53</v>
      </c>
      <c r="M231" s="13" t="s">
        <v>643</v>
      </c>
      <c r="N231" s="13" t="s">
        <v>642</v>
      </c>
      <c r="O231" s="13" t="s">
        <v>639</v>
      </c>
      <c r="P231" s="13" t="s">
        <v>637</v>
      </c>
      <c r="Q231" s="13" t="s">
        <v>642</v>
      </c>
      <c r="R231" s="13" t="s">
        <v>641</v>
      </c>
      <c r="S231" s="13" t="s">
        <v>641</v>
      </c>
      <c r="T231" s="13" t="s">
        <v>641</v>
      </c>
    </row>
    <row r="232" customFormat="1" spans="1:20">
      <c r="A232" s="109">
        <v>45748</v>
      </c>
      <c r="B232" s="109">
        <v>45777</v>
      </c>
      <c r="C232" s="13" t="s">
        <v>635</v>
      </c>
      <c r="D232" s="13" t="s">
        <v>636</v>
      </c>
      <c r="E232" s="13">
        <v>4020719</v>
      </c>
      <c r="F232" s="13" t="s">
        <v>530</v>
      </c>
      <c r="G232" s="13" t="s">
        <v>74</v>
      </c>
      <c r="H232" s="13" t="s">
        <v>73</v>
      </c>
      <c r="I232" s="13" t="s">
        <v>637</v>
      </c>
      <c r="J232" s="110">
        <v>15.23</v>
      </c>
      <c r="K232" s="111">
        <v>40</v>
      </c>
      <c r="L232" s="110">
        <v>609.12</v>
      </c>
      <c r="M232" s="13" t="s">
        <v>30</v>
      </c>
      <c r="N232" s="13" t="s">
        <v>655</v>
      </c>
      <c r="O232" s="13" t="s">
        <v>639</v>
      </c>
      <c r="P232" s="13" t="s">
        <v>637</v>
      </c>
      <c r="Q232" s="13" t="s">
        <v>649</v>
      </c>
      <c r="R232" s="13" t="s">
        <v>641</v>
      </c>
      <c r="S232" s="13" t="s">
        <v>641</v>
      </c>
      <c r="T232" s="13" t="s">
        <v>641</v>
      </c>
    </row>
    <row r="233" customFormat="1" spans="1:20">
      <c r="A233" s="109">
        <v>45748</v>
      </c>
      <c r="B233" s="109">
        <v>45777</v>
      </c>
      <c r="C233" s="13" t="s">
        <v>635</v>
      </c>
      <c r="D233" s="13" t="s">
        <v>636</v>
      </c>
      <c r="E233" s="13">
        <v>4021486</v>
      </c>
      <c r="F233" s="13" t="s">
        <v>162</v>
      </c>
      <c r="G233" s="13" t="s">
        <v>21</v>
      </c>
      <c r="H233" s="13" t="s">
        <v>20</v>
      </c>
      <c r="I233" s="13" t="s">
        <v>648</v>
      </c>
      <c r="J233" s="110">
        <v>0.03</v>
      </c>
      <c r="K233" s="111">
        <v>2000</v>
      </c>
      <c r="L233" s="110">
        <v>53.21</v>
      </c>
      <c r="M233" s="13" t="s">
        <v>682</v>
      </c>
      <c r="N233" s="13" t="s">
        <v>683</v>
      </c>
      <c r="O233" s="13" t="s">
        <v>653</v>
      </c>
      <c r="P233" s="13" t="s">
        <v>648</v>
      </c>
      <c r="Q233" s="13" t="s">
        <v>671</v>
      </c>
      <c r="R233" s="13" t="s">
        <v>677</v>
      </c>
      <c r="S233" s="13" t="s">
        <v>641</v>
      </c>
      <c r="T233" s="13" t="s">
        <v>641</v>
      </c>
    </row>
    <row r="234" customFormat="1" spans="1:20">
      <c r="A234" s="109">
        <v>45748</v>
      </c>
      <c r="B234" s="109">
        <v>45777</v>
      </c>
      <c r="C234" s="13" t="s">
        <v>635</v>
      </c>
      <c r="D234" s="13" t="s">
        <v>636</v>
      </c>
      <c r="E234" s="13">
        <v>4021537</v>
      </c>
      <c r="F234" s="13" t="s">
        <v>235</v>
      </c>
      <c r="G234" s="13" t="s">
        <v>67</v>
      </c>
      <c r="H234" s="13" t="s">
        <v>66</v>
      </c>
      <c r="I234" s="13" t="s">
        <v>648</v>
      </c>
      <c r="J234" s="110">
        <v>12.02</v>
      </c>
      <c r="K234" s="111">
        <v>8</v>
      </c>
      <c r="L234" s="110">
        <v>96.14</v>
      </c>
      <c r="M234" s="13" t="s">
        <v>669</v>
      </c>
      <c r="N234" s="13" t="s">
        <v>670</v>
      </c>
      <c r="O234" s="13" t="s">
        <v>653</v>
      </c>
      <c r="P234" s="13" t="s">
        <v>648</v>
      </c>
      <c r="Q234" s="13" t="s">
        <v>671</v>
      </c>
      <c r="R234" s="13" t="s">
        <v>641</v>
      </c>
      <c r="S234" s="13" t="s">
        <v>641</v>
      </c>
      <c r="T234" s="13" t="s">
        <v>641</v>
      </c>
    </row>
    <row r="235" customFormat="1" spans="1:20">
      <c r="A235" s="109">
        <v>45748</v>
      </c>
      <c r="B235" s="109">
        <v>45777</v>
      </c>
      <c r="C235" s="13" t="s">
        <v>635</v>
      </c>
      <c r="D235" s="13" t="s">
        <v>636</v>
      </c>
      <c r="E235" s="13">
        <v>4023572</v>
      </c>
      <c r="F235" s="13" t="s">
        <v>243</v>
      </c>
      <c r="G235" s="13" t="s">
        <v>67</v>
      </c>
      <c r="H235" s="13" t="s">
        <v>66</v>
      </c>
      <c r="I235" s="13" t="s">
        <v>648</v>
      </c>
      <c r="J235" s="110">
        <v>0.46</v>
      </c>
      <c r="K235" s="111">
        <v>551</v>
      </c>
      <c r="L235" s="110">
        <v>252.88</v>
      </c>
      <c r="M235" s="13" t="s">
        <v>669</v>
      </c>
      <c r="N235" s="13" t="s">
        <v>670</v>
      </c>
      <c r="O235" s="13" t="s">
        <v>653</v>
      </c>
      <c r="P235" s="13" t="s">
        <v>648</v>
      </c>
      <c r="Q235" s="13" t="s">
        <v>671</v>
      </c>
      <c r="R235" s="13" t="s">
        <v>641</v>
      </c>
      <c r="S235" s="13" t="s">
        <v>641</v>
      </c>
      <c r="T235" s="13" t="s">
        <v>641</v>
      </c>
    </row>
    <row r="236" customFormat="1" spans="1:20">
      <c r="A236" s="109">
        <v>45748</v>
      </c>
      <c r="B236" s="109">
        <v>45777</v>
      </c>
      <c r="C236" s="13" t="s">
        <v>635</v>
      </c>
      <c r="D236" s="13" t="s">
        <v>636</v>
      </c>
      <c r="E236" s="13">
        <v>4024119</v>
      </c>
      <c r="F236" s="13" t="s">
        <v>397</v>
      </c>
      <c r="G236" s="13" t="s">
        <v>21</v>
      </c>
      <c r="H236" s="13" t="s">
        <v>20</v>
      </c>
      <c r="I236" s="13" t="s">
        <v>648</v>
      </c>
      <c r="J236" s="110">
        <v>1.72</v>
      </c>
      <c r="K236" s="111">
        <v>20</v>
      </c>
      <c r="L236" s="110">
        <v>34.45</v>
      </c>
      <c r="M236" s="13" t="s">
        <v>659</v>
      </c>
      <c r="N236" s="13" t="s">
        <v>660</v>
      </c>
      <c r="O236" s="13" t="s">
        <v>653</v>
      </c>
      <c r="P236" s="13" t="s">
        <v>648</v>
      </c>
      <c r="Q236" s="13" t="s">
        <v>671</v>
      </c>
      <c r="R236" s="13" t="s">
        <v>677</v>
      </c>
      <c r="S236" s="13" t="s">
        <v>641</v>
      </c>
      <c r="T236" s="13" t="s">
        <v>641</v>
      </c>
    </row>
    <row r="237" customFormat="1" spans="1:20">
      <c r="A237" s="109">
        <v>45748</v>
      </c>
      <c r="B237" s="109">
        <v>45777</v>
      </c>
      <c r="C237" s="13" t="s">
        <v>635</v>
      </c>
      <c r="D237" s="13" t="s">
        <v>636</v>
      </c>
      <c r="E237" s="13">
        <v>4024474</v>
      </c>
      <c r="F237" s="13" t="s">
        <v>324</v>
      </c>
      <c r="G237" s="13" t="s">
        <v>74</v>
      </c>
      <c r="H237" s="13" t="s">
        <v>73</v>
      </c>
      <c r="I237" s="13" t="s">
        <v>637</v>
      </c>
      <c r="J237" s="110">
        <v>4.77</v>
      </c>
      <c r="K237" s="111">
        <v>260</v>
      </c>
      <c r="L237" s="110">
        <v>1240.54</v>
      </c>
      <c r="M237" s="13" t="s">
        <v>697</v>
      </c>
      <c r="N237" s="13" t="s">
        <v>698</v>
      </c>
      <c r="O237" s="13" t="s">
        <v>639</v>
      </c>
      <c r="P237" s="13" t="s">
        <v>637</v>
      </c>
      <c r="Q237" s="13" t="s">
        <v>640</v>
      </c>
      <c r="R237" s="13" t="s">
        <v>641</v>
      </c>
      <c r="S237" s="13" t="s">
        <v>641</v>
      </c>
      <c r="T237" s="13" t="s">
        <v>641</v>
      </c>
    </row>
    <row r="238" customFormat="1" spans="1:20">
      <c r="A238" s="109">
        <v>45748</v>
      </c>
      <c r="B238" s="109">
        <v>45777</v>
      </c>
      <c r="C238" s="13" t="s">
        <v>635</v>
      </c>
      <c r="D238" s="13" t="s">
        <v>636</v>
      </c>
      <c r="E238" s="13">
        <v>4026797</v>
      </c>
      <c r="F238" s="13" t="s">
        <v>123</v>
      </c>
      <c r="G238" s="13" t="s">
        <v>74</v>
      </c>
      <c r="H238" s="13" t="s">
        <v>73</v>
      </c>
      <c r="I238" s="13" t="s">
        <v>637</v>
      </c>
      <c r="J238" s="110">
        <v>6.5</v>
      </c>
      <c r="K238" s="111">
        <v>66.5</v>
      </c>
      <c r="L238" s="110">
        <v>432.5</v>
      </c>
      <c r="M238" s="13" t="s">
        <v>97</v>
      </c>
      <c r="N238" s="13" t="s">
        <v>656</v>
      </c>
      <c r="O238" s="13" t="s">
        <v>639</v>
      </c>
      <c r="P238" s="13" t="s">
        <v>637</v>
      </c>
      <c r="Q238" s="13" t="s">
        <v>656</v>
      </c>
      <c r="R238" s="13" t="s">
        <v>641</v>
      </c>
      <c r="S238" s="13" t="s">
        <v>641</v>
      </c>
      <c r="T238" s="13" t="s">
        <v>641</v>
      </c>
    </row>
    <row r="239" customFormat="1" spans="1:20">
      <c r="A239" s="109">
        <v>45748</v>
      </c>
      <c r="B239" s="109">
        <v>45777</v>
      </c>
      <c r="C239" s="13" t="s">
        <v>635</v>
      </c>
      <c r="D239" s="13" t="s">
        <v>636</v>
      </c>
      <c r="E239" s="13">
        <v>4028096</v>
      </c>
      <c r="F239" s="13" t="s">
        <v>699</v>
      </c>
      <c r="G239" s="13" t="s">
        <v>261</v>
      </c>
      <c r="H239" s="13" t="s">
        <v>260</v>
      </c>
      <c r="I239" s="13" t="s">
        <v>648</v>
      </c>
      <c r="J239" s="110">
        <v>0.7</v>
      </c>
      <c r="K239" s="111">
        <v>192</v>
      </c>
      <c r="L239" s="110">
        <v>134.28</v>
      </c>
      <c r="M239" s="13" t="s">
        <v>659</v>
      </c>
      <c r="N239" s="13" t="s">
        <v>660</v>
      </c>
      <c r="O239" s="13" t="s">
        <v>653</v>
      </c>
      <c r="P239" s="13" t="s">
        <v>648</v>
      </c>
      <c r="Q239" s="13" t="s">
        <v>671</v>
      </c>
      <c r="R239" s="13" t="s">
        <v>677</v>
      </c>
      <c r="S239" s="13" t="s">
        <v>700</v>
      </c>
      <c r="T239" s="13" t="s">
        <v>641</v>
      </c>
    </row>
    <row r="240" customFormat="1" spans="1:20">
      <c r="A240" s="109">
        <v>45748</v>
      </c>
      <c r="B240" s="109">
        <v>45777</v>
      </c>
      <c r="C240" s="13" t="s">
        <v>635</v>
      </c>
      <c r="D240" s="13" t="s">
        <v>636</v>
      </c>
      <c r="E240" s="13">
        <v>4028302</v>
      </c>
      <c r="F240" s="13" t="s">
        <v>365</v>
      </c>
      <c r="G240" s="13" t="s">
        <v>74</v>
      </c>
      <c r="H240" s="13" t="s">
        <v>73</v>
      </c>
      <c r="I240" s="13" t="s">
        <v>637</v>
      </c>
      <c r="J240" s="110">
        <v>6.73</v>
      </c>
      <c r="K240" s="111">
        <v>100</v>
      </c>
      <c r="L240" s="110">
        <v>672.73</v>
      </c>
      <c r="M240" s="13" t="s">
        <v>21</v>
      </c>
      <c r="N240" s="13" t="s">
        <v>638</v>
      </c>
      <c r="O240" s="13" t="s">
        <v>639</v>
      </c>
      <c r="P240" s="13" t="s">
        <v>637</v>
      </c>
      <c r="Q240" s="13" t="s">
        <v>640</v>
      </c>
      <c r="R240" s="13" t="s">
        <v>641</v>
      </c>
      <c r="S240" s="13" t="s">
        <v>641</v>
      </c>
      <c r="T240" s="13" t="s">
        <v>641</v>
      </c>
    </row>
    <row r="241" customFormat="1" spans="1:20">
      <c r="A241" s="109">
        <v>45748</v>
      </c>
      <c r="B241" s="109">
        <v>45777</v>
      </c>
      <c r="C241" s="13" t="s">
        <v>635</v>
      </c>
      <c r="D241" s="13" t="s">
        <v>636</v>
      </c>
      <c r="E241" s="13">
        <v>4028719</v>
      </c>
      <c r="F241" s="13" t="s">
        <v>533</v>
      </c>
      <c r="G241" s="13" t="s">
        <v>74</v>
      </c>
      <c r="H241" s="13" t="s">
        <v>73</v>
      </c>
      <c r="I241" s="13" t="s">
        <v>637</v>
      </c>
      <c r="J241" s="110">
        <v>4.27</v>
      </c>
      <c r="K241" s="111">
        <v>136.8</v>
      </c>
      <c r="L241" s="110">
        <v>583.95</v>
      </c>
      <c r="M241" s="13" t="s">
        <v>478</v>
      </c>
      <c r="N241" s="13" t="s">
        <v>645</v>
      </c>
      <c r="O241" s="13" t="s">
        <v>639</v>
      </c>
      <c r="P241" s="13" t="s">
        <v>637</v>
      </c>
      <c r="Q241" s="13" t="s">
        <v>640</v>
      </c>
      <c r="R241" s="13" t="s">
        <v>641</v>
      </c>
      <c r="S241" s="13" t="s">
        <v>641</v>
      </c>
      <c r="T241" s="13" t="s">
        <v>641</v>
      </c>
    </row>
    <row r="242" customFormat="1" spans="1:20">
      <c r="A242" s="109">
        <v>45748</v>
      </c>
      <c r="B242" s="109">
        <v>45777</v>
      </c>
      <c r="C242" s="13" t="s">
        <v>635</v>
      </c>
      <c r="D242" s="13" t="s">
        <v>636</v>
      </c>
      <c r="E242" s="13">
        <v>4034397</v>
      </c>
      <c r="F242" s="13" t="s">
        <v>223</v>
      </c>
      <c r="G242" s="13" t="s">
        <v>74</v>
      </c>
      <c r="H242" s="13" t="s">
        <v>73</v>
      </c>
      <c r="I242" s="13" t="s">
        <v>637</v>
      </c>
      <c r="J242" s="110">
        <v>4</v>
      </c>
      <c r="K242" s="111">
        <v>15</v>
      </c>
      <c r="L242" s="110">
        <v>60</v>
      </c>
      <c r="M242" s="13" t="s">
        <v>21</v>
      </c>
      <c r="N242" s="13" t="s">
        <v>638</v>
      </c>
      <c r="O242" s="13" t="s">
        <v>639</v>
      </c>
      <c r="P242" s="13" t="s">
        <v>637</v>
      </c>
      <c r="Q242" s="13" t="s">
        <v>640</v>
      </c>
      <c r="R242" s="13" t="s">
        <v>641</v>
      </c>
      <c r="S242" s="13" t="s">
        <v>641</v>
      </c>
      <c r="T242" s="13" t="s">
        <v>641</v>
      </c>
    </row>
    <row r="243" customFormat="1" spans="1:20">
      <c r="A243" s="109">
        <v>45748</v>
      </c>
      <c r="B243" s="109">
        <v>45777</v>
      </c>
      <c r="C243" s="13" t="s">
        <v>635</v>
      </c>
      <c r="D243" s="13" t="s">
        <v>636</v>
      </c>
      <c r="E243" s="13">
        <v>4039739</v>
      </c>
      <c r="F243" s="13" t="s">
        <v>230</v>
      </c>
      <c r="G243" s="13" t="s">
        <v>74</v>
      </c>
      <c r="H243" s="13" t="s">
        <v>73</v>
      </c>
      <c r="I243" s="13" t="s">
        <v>637</v>
      </c>
      <c r="J243" s="110">
        <v>12.03</v>
      </c>
      <c r="K243" s="111">
        <v>3</v>
      </c>
      <c r="L243" s="110">
        <v>36.08</v>
      </c>
      <c r="M243" s="13" t="s">
        <v>21</v>
      </c>
      <c r="N243" s="13" t="s">
        <v>638</v>
      </c>
      <c r="O243" s="13" t="s">
        <v>639</v>
      </c>
      <c r="P243" s="13" t="s">
        <v>637</v>
      </c>
      <c r="Q243" s="13" t="s">
        <v>644</v>
      </c>
      <c r="R243" s="13" t="s">
        <v>641</v>
      </c>
      <c r="S243" s="13" t="s">
        <v>641</v>
      </c>
      <c r="T243" s="13" t="s">
        <v>641</v>
      </c>
    </row>
    <row r="244" customFormat="1" spans="1:20">
      <c r="A244" s="109">
        <v>45748</v>
      </c>
      <c r="B244" s="109">
        <v>45777</v>
      </c>
      <c r="C244" s="13" t="s">
        <v>635</v>
      </c>
      <c r="D244" s="13" t="s">
        <v>636</v>
      </c>
      <c r="E244" s="13">
        <v>4043713</v>
      </c>
      <c r="F244" s="13" t="s">
        <v>122</v>
      </c>
      <c r="G244" s="13" t="s">
        <v>74</v>
      </c>
      <c r="H244" s="13" t="s">
        <v>73</v>
      </c>
      <c r="I244" s="13" t="s">
        <v>637</v>
      </c>
      <c r="J244" s="110">
        <v>3.38</v>
      </c>
      <c r="K244" s="111">
        <v>40</v>
      </c>
      <c r="L244" s="110">
        <v>135.2</v>
      </c>
      <c r="M244" s="13" t="s">
        <v>30</v>
      </c>
      <c r="N244" s="13" t="s">
        <v>655</v>
      </c>
      <c r="O244" s="13" t="s">
        <v>639</v>
      </c>
      <c r="P244" s="13" t="s">
        <v>637</v>
      </c>
      <c r="Q244" s="13" t="s">
        <v>649</v>
      </c>
      <c r="R244" s="13" t="s">
        <v>641</v>
      </c>
      <c r="S244" s="13" t="s">
        <v>641</v>
      </c>
      <c r="T244" s="13" t="s">
        <v>641</v>
      </c>
    </row>
    <row r="245" customFormat="1" spans="1:20">
      <c r="A245" s="109">
        <v>45748</v>
      </c>
      <c r="B245" s="109">
        <v>45777</v>
      </c>
      <c r="C245" s="13" t="s">
        <v>635</v>
      </c>
      <c r="D245" s="13" t="s">
        <v>636</v>
      </c>
      <c r="E245" s="13">
        <v>4048872</v>
      </c>
      <c r="F245" s="13" t="s">
        <v>121</v>
      </c>
      <c r="G245" s="13" t="s">
        <v>33</v>
      </c>
      <c r="H245" s="13" t="s">
        <v>32</v>
      </c>
      <c r="I245" s="13" t="s">
        <v>637</v>
      </c>
      <c r="J245" s="110">
        <v>4.83</v>
      </c>
      <c r="K245" s="111">
        <v>71</v>
      </c>
      <c r="L245" s="110">
        <v>342.81</v>
      </c>
      <c r="M245" s="13" t="s">
        <v>21</v>
      </c>
      <c r="N245" s="13" t="s">
        <v>638</v>
      </c>
      <c r="O245" s="13" t="s">
        <v>639</v>
      </c>
      <c r="P245" s="13" t="s">
        <v>637</v>
      </c>
      <c r="Q245" s="13" t="s">
        <v>646</v>
      </c>
      <c r="R245" s="13" t="s">
        <v>641</v>
      </c>
      <c r="S245" s="13" t="s">
        <v>641</v>
      </c>
      <c r="T245" s="13" t="s">
        <v>641</v>
      </c>
    </row>
    <row r="246" customFormat="1" spans="1:20">
      <c r="A246" s="109">
        <v>45748</v>
      </c>
      <c r="B246" s="109">
        <v>45777</v>
      </c>
      <c r="C246" s="13" t="s">
        <v>635</v>
      </c>
      <c r="D246" s="13" t="s">
        <v>636</v>
      </c>
      <c r="E246" s="13">
        <v>4205721</v>
      </c>
      <c r="F246" s="13" t="s">
        <v>544</v>
      </c>
      <c r="G246" s="13" t="s">
        <v>45</v>
      </c>
      <c r="H246" s="13" t="s">
        <v>44</v>
      </c>
      <c r="I246" s="13" t="s">
        <v>637</v>
      </c>
      <c r="J246" s="110">
        <v>1.92</v>
      </c>
      <c r="K246" s="111">
        <v>108</v>
      </c>
      <c r="L246" s="110">
        <v>207</v>
      </c>
      <c r="M246" s="13" t="s">
        <v>21</v>
      </c>
      <c r="N246" s="13" t="s">
        <v>638</v>
      </c>
      <c r="O246" s="13" t="s">
        <v>639</v>
      </c>
      <c r="P246" s="13" t="s">
        <v>637</v>
      </c>
      <c r="Q246" s="13" t="s">
        <v>640</v>
      </c>
      <c r="R246" s="13" t="s">
        <v>641</v>
      </c>
      <c r="S246" s="13" t="s">
        <v>641</v>
      </c>
      <c r="T246" s="13" t="s">
        <v>641</v>
      </c>
    </row>
    <row r="247" customFormat="1" spans="1:20">
      <c r="A247" s="109">
        <v>45748</v>
      </c>
      <c r="B247" s="109">
        <v>45777</v>
      </c>
      <c r="C247" s="13" t="s">
        <v>635</v>
      </c>
      <c r="D247" s="13" t="s">
        <v>636</v>
      </c>
      <c r="E247" s="13">
        <v>4209333</v>
      </c>
      <c r="F247" s="13" t="s">
        <v>152</v>
      </c>
      <c r="G247" s="13" t="s">
        <v>30</v>
      </c>
      <c r="H247" s="13" t="s">
        <v>29</v>
      </c>
      <c r="I247" s="13" t="s">
        <v>648</v>
      </c>
      <c r="J247" s="110">
        <v>5.32</v>
      </c>
      <c r="K247" s="111">
        <v>60</v>
      </c>
      <c r="L247" s="110">
        <v>319.3</v>
      </c>
      <c r="M247" s="13" t="s">
        <v>674</v>
      </c>
      <c r="N247" s="13" t="s">
        <v>675</v>
      </c>
      <c r="O247" s="13" t="s">
        <v>653</v>
      </c>
      <c r="P247" s="13" t="s">
        <v>648</v>
      </c>
      <c r="Q247" s="13" t="s">
        <v>671</v>
      </c>
      <c r="R247" s="13" t="s">
        <v>672</v>
      </c>
      <c r="S247" s="13" t="s">
        <v>641</v>
      </c>
      <c r="T247" s="13" t="s">
        <v>641</v>
      </c>
    </row>
    <row r="248" customFormat="1" spans="1:20">
      <c r="A248" s="109">
        <v>45748</v>
      </c>
      <c r="B248" s="109">
        <v>45777</v>
      </c>
      <c r="C248" s="13" t="s">
        <v>635</v>
      </c>
      <c r="D248" s="13" t="s">
        <v>636</v>
      </c>
      <c r="E248" s="13">
        <v>4500067</v>
      </c>
      <c r="F248" s="13" t="s">
        <v>455</v>
      </c>
      <c r="G248" s="13" t="s">
        <v>74</v>
      </c>
      <c r="H248" s="13" t="s">
        <v>73</v>
      </c>
      <c r="I248" s="13" t="s">
        <v>637</v>
      </c>
      <c r="J248" s="110">
        <v>97.6</v>
      </c>
      <c r="K248" s="111">
        <v>33.416</v>
      </c>
      <c r="L248" s="110">
        <v>3261.32</v>
      </c>
      <c r="M248" s="13" t="s">
        <v>643</v>
      </c>
      <c r="N248" s="13" t="s">
        <v>642</v>
      </c>
      <c r="O248" s="13" t="s">
        <v>639</v>
      </c>
      <c r="P248" s="13" t="s">
        <v>637</v>
      </c>
      <c r="Q248" s="13" t="s">
        <v>642</v>
      </c>
      <c r="R248" s="13" t="s">
        <v>641</v>
      </c>
      <c r="S248" s="13" t="s">
        <v>641</v>
      </c>
      <c r="T248" s="13" t="s">
        <v>641</v>
      </c>
    </row>
    <row r="249" customFormat="1" spans="1:20">
      <c r="A249" s="109">
        <v>45748</v>
      </c>
      <c r="B249" s="109">
        <v>45777</v>
      </c>
      <c r="C249" s="13" t="s">
        <v>635</v>
      </c>
      <c r="D249" s="13" t="s">
        <v>636</v>
      </c>
      <c r="E249" s="13">
        <v>4501135</v>
      </c>
      <c r="F249" s="13" t="s">
        <v>548</v>
      </c>
      <c r="G249" s="13" t="s">
        <v>74</v>
      </c>
      <c r="H249" s="13" t="s">
        <v>73</v>
      </c>
      <c r="I249" s="13" t="s">
        <v>637</v>
      </c>
      <c r="J249" s="110">
        <v>14.06</v>
      </c>
      <c r="K249" s="111">
        <v>21.6</v>
      </c>
      <c r="L249" s="110">
        <v>303.75</v>
      </c>
      <c r="M249" s="13" t="s">
        <v>643</v>
      </c>
      <c r="N249" s="13" t="s">
        <v>642</v>
      </c>
      <c r="O249" s="13" t="s">
        <v>639</v>
      </c>
      <c r="P249" s="13" t="s">
        <v>637</v>
      </c>
      <c r="Q249" s="13" t="s">
        <v>642</v>
      </c>
      <c r="R249" s="13" t="s">
        <v>641</v>
      </c>
      <c r="S249" s="13" t="s">
        <v>641</v>
      </c>
      <c r="T249" s="13" t="s">
        <v>641</v>
      </c>
    </row>
    <row r="250" customFormat="1" spans="1:20">
      <c r="A250" s="109">
        <v>45748</v>
      </c>
      <c r="B250" s="109">
        <v>45777</v>
      </c>
      <c r="C250" s="13" t="s">
        <v>635</v>
      </c>
      <c r="D250" s="13" t="s">
        <v>636</v>
      </c>
      <c r="E250" s="13">
        <v>4501947</v>
      </c>
      <c r="F250" s="13" t="s">
        <v>221</v>
      </c>
      <c r="G250" s="13" t="s">
        <v>138</v>
      </c>
      <c r="H250" s="13" t="s">
        <v>137</v>
      </c>
      <c r="I250" s="13" t="s">
        <v>637</v>
      </c>
      <c r="J250" s="110">
        <v>2.33</v>
      </c>
      <c r="K250" s="111">
        <v>720</v>
      </c>
      <c r="L250" s="110">
        <v>1680</v>
      </c>
      <c r="M250" s="13" t="s">
        <v>138</v>
      </c>
      <c r="N250" s="13" t="s">
        <v>663</v>
      </c>
      <c r="O250" s="13" t="s">
        <v>639</v>
      </c>
      <c r="P250" s="13" t="s">
        <v>637</v>
      </c>
      <c r="Q250" s="13" t="s">
        <v>640</v>
      </c>
      <c r="R250" s="13" t="s">
        <v>641</v>
      </c>
      <c r="S250" s="13" t="s">
        <v>641</v>
      </c>
      <c r="T250" s="13" t="s">
        <v>641</v>
      </c>
    </row>
    <row r="251" customFormat="1" spans="1:20">
      <c r="A251" s="109">
        <v>45748</v>
      </c>
      <c r="B251" s="109">
        <v>45777</v>
      </c>
      <c r="C251" s="13" t="s">
        <v>635</v>
      </c>
      <c r="D251" s="13" t="s">
        <v>636</v>
      </c>
      <c r="E251" s="13">
        <v>4501959</v>
      </c>
      <c r="F251" s="13" t="s">
        <v>573</v>
      </c>
      <c r="G251" s="13" t="s">
        <v>37</v>
      </c>
      <c r="H251" s="13" t="s">
        <v>647</v>
      </c>
      <c r="I251" s="13" t="s">
        <v>637</v>
      </c>
      <c r="J251" s="110">
        <v>3.82</v>
      </c>
      <c r="K251" s="111">
        <v>55</v>
      </c>
      <c r="L251" s="110">
        <v>210</v>
      </c>
      <c r="M251" s="13" t="s">
        <v>97</v>
      </c>
      <c r="N251" s="13" t="s">
        <v>656</v>
      </c>
      <c r="O251" s="13" t="s">
        <v>639</v>
      </c>
      <c r="P251" s="13" t="s">
        <v>637</v>
      </c>
      <c r="Q251" s="13" t="s">
        <v>656</v>
      </c>
      <c r="R251" s="13" t="s">
        <v>641</v>
      </c>
      <c r="S251" s="13" t="s">
        <v>641</v>
      </c>
      <c r="T251" s="13" t="s">
        <v>641</v>
      </c>
    </row>
    <row r="252" customFormat="1" spans="1:20">
      <c r="A252" s="109">
        <v>45748</v>
      </c>
      <c r="B252" s="109">
        <v>45777</v>
      </c>
      <c r="C252" s="13" t="s">
        <v>635</v>
      </c>
      <c r="D252" s="13" t="s">
        <v>636</v>
      </c>
      <c r="E252" s="13">
        <v>4501960</v>
      </c>
      <c r="F252" s="13" t="s">
        <v>575</v>
      </c>
      <c r="G252" s="13" t="s">
        <v>128</v>
      </c>
      <c r="H252" s="13" t="s">
        <v>127</v>
      </c>
      <c r="I252" s="13" t="s">
        <v>637</v>
      </c>
      <c r="J252" s="110">
        <v>0.37</v>
      </c>
      <c r="K252" s="111">
        <v>1680</v>
      </c>
      <c r="L252" s="110">
        <v>620</v>
      </c>
      <c r="M252" s="13" t="s">
        <v>21</v>
      </c>
      <c r="N252" s="13" t="s">
        <v>638</v>
      </c>
      <c r="O252" s="13" t="s">
        <v>639</v>
      </c>
      <c r="P252" s="13" t="s">
        <v>637</v>
      </c>
      <c r="Q252" s="13" t="s">
        <v>640</v>
      </c>
      <c r="R252" s="13" t="s">
        <v>641</v>
      </c>
      <c r="S252" s="13" t="s">
        <v>641</v>
      </c>
      <c r="T252" s="13" t="s">
        <v>641</v>
      </c>
    </row>
    <row r="253" customFormat="1" spans="1:20">
      <c r="A253" s="109">
        <v>45748</v>
      </c>
      <c r="B253" s="109">
        <v>45777</v>
      </c>
      <c r="C253" s="13" t="s">
        <v>635</v>
      </c>
      <c r="D253" s="13" t="s">
        <v>636</v>
      </c>
      <c r="E253" s="13">
        <v>4501989</v>
      </c>
      <c r="F253" s="13" t="s">
        <v>168</v>
      </c>
      <c r="G253" s="13" t="s">
        <v>37</v>
      </c>
      <c r="H253" s="13" t="s">
        <v>647</v>
      </c>
      <c r="I253" s="13" t="s">
        <v>637</v>
      </c>
      <c r="J253" s="110">
        <v>1.2</v>
      </c>
      <c r="K253" s="111">
        <v>30</v>
      </c>
      <c r="L253" s="110">
        <v>36</v>
      </c>
      <c r="M253" s="13" t="s">
        <v>21</v>
      </c>
      <c r="N253" s="13" t="s">
        <v>638</v>
      </c>
      <c r="O253" s="13" t="s">
        <v>639</v>
      </c>
      <c r="P253" s="13" t="s">
        <v>637</v>
      </c>
      <c r="Q253" s="13" t="s">
        <v>640</v>
      </c>
      <c r="R253" s="13" t="s">
        <v>641</v>
      </c>
      <c r="S253" s="13" t="s">
        <v>641</v>
      </c>
      <c r="T253" s="13" t="s">
        <v>641</v>
      </c>
    </row>
    <row r="254" customFormat="1" spans="1:20">
      <c r="A254" s="109">
        <v>45748</v>
      </c>
      <c r="B254" s="109">
        <v>45777</v>
      </c>
      <c r="C254" s="13" t="s">
        <v>635</v>
      </c>
      <c r="D254" s="13" t="s">
        <v>636</v>
      </c>
      <c r="E254" s="13">
        <v>4502048</v>
      </c>
      <c r="F254" s="13" t="s">
        <v>157</v>
      </c>
      <c r="G254" s="13" t="s">
        <v>37</v>
      </c>
      <c r="H254" s="13" t="s">
        <v>647</v>
      </c>
      <c r="I254" s="13" t="s">
        <v>637</v>
      </c>
      <c r="J254" s="110">
        <v>6.45</v>
      </c>
      <c r="K254" s="111">
        <v>65.8</v>
      </c>
      <c r="L254" s="110">
        <v>424.41</v>
      </c>
      <c r="M254" s="13" t="s">
        <v>643</v>
      </c>
      <c r="N254" s="13" t="s">
        <v>642</v>
      </c>
      <c r="O254" s="13" t="s">
        <v>639</v>
      </c>
      <c r="P254" s="13" t="s">
        <v>637</v>
      </c>
      <c r="Q254" s="13" t="s">
        <v>642</v>
      </c>
      <c r="R254" s="13" t="s">
        <v>641</v>
      </c>
      <c r="S254" s="13" t="s">
        <v>700</v>
      </c>
      <c r="T254" s="13" t="s">
        <v>641</v>
      </c>
    </row>
    <row r="255" customFormat="1" spans="1:20">
      <c r="A255" s="109">
        <v>45748</v>
      </c>
      <c r="B255" s="109">
        <v>45777</v>
      </c>
      <c r="C255" s="13" t="s">
        <v>635</v>
      </c>
      <c r="D255" s="13" t="s">
        <v>636</v>
      </c>
      <c r="E255" s="13">
        <v>4502101</v>
      </c>
      <c r="F255" s="13" t="s">
        <v>701</v>
      </c>
      <c r="G255" s="13" t="s">
        <v>33</v>
      </c>
      <c r="H255" s="13" t="s">
        <v>32</v>
      </c>
      <c r="I255" s="13" t="s">
        <v>637</v>
      </c>
      <c r="J255" s="110">
        <v>0.59</v>
      </c>
      <c r="K255" s="111">
        <v>285</v>
      </c>
      <c r="L255" s="110">
        <v>168.81</v>
      </c>
      <c r="M255" s="13" t="s">
        <v>658</v>
      </c>
      <c r="N255" s="13" t="s">
        <v>646</v>
      </c>
      <c r="O255" s="13" t="s">
        <v>639</v>
      </c>
      <c r="P255" s="13" t="s">
        <v>637</v>
      </c>
      <c r="Q255" s="13" t="s">
        <v>646</v>
      </c>
      <c r="R255" s="13" t="s">
        <v>641</v>
      </c>
      <c r="S255" s="13" t="s">
        <v>641</v>
      </c>
      <c r="T255" s="13" t="s">
        <v>641</v>
      </c>
    </row>
    <row r="256" customFormat="1" spans="1:20">
      <c r="A256" s="109">
        <v>45748</v>
      </c>
      <c r="B256" s="109">
        <v>45777</v>
      </c>
      <c r="C256" s="13" t="s">
        <v>635</v>
      </c>
      <c r="D256" s="13" t="s">
        <v>636</v>
      </c>
      <c r="E256" s="13">
        <v>4502140</v>
      </c>
      <c r="F256" s="13" t="s">
        <v>78</v>
      </c>
      <c r="G256" s="13" t="s">
        <v>37</v>
      </c>
      <c r="H256" s="13" t="s">
        <v>647</v>
      </c>
      <c r="I256" s="13" t="s">
        <v>637</v>
      </c>
      <c r="J256" s="110">
        <v>7.5</v>
      </c>
      <c r="K256" s="111">
        <v>11</v>
      </c>
      <c r="L256" s="110">
        <v>82.5</v>
      </c>
      <c r="M256" s="13" t="s">
        <v>97</v>
      </c>
      <c r="N256" s="13" t="s">
        <v>656</v>
      </c>
      <c r="O256" s="13" t="s">
        <v>639</v>
      </c>
      <c r="P256" s="13" t="s">
        <v>637</v>
      </c>
      <c r="Q256" s="13" t="s">
        <v>644</v>
      </c>
      <c r="R256" s="13" t="s">
        <v>641</v>
      </c>
      <c r="S256" s="13" t="s">
        <v>641</v>
      </c>
      <c r="T256" s="13" t="s">
        <v>641</v>
      </c>
    </row>
    <row r="257" customFormat="1" spans="1:20">
      <c r="A257" s="109">
        <v>45748</v>
      </c>
      <c r="B257" s="109">
        <v>45777</v>
      </c>
      <c r="C257" s="13" t="s">
        <v>635</v>
      </c>
      <c r="D257" s="13" t="s">
        <v>636</v>
      </c>
      <c r="E257" s="13">
        <v>4502187</v>
      </c>
      <c r="F257" s="13" t="s">
        <v>607</v>
      </c>
      <c r="G257" s="13" t="s">
        <v>37</v>
      </c>
      <c r="H257" s="13" t="s">
        <v>647</v>
      </c>
      <c r="I257" s="13" t="s">
        <v>637</v>
      </c>
      <c r="J257" s="110">
        <v>6.99</v>
      </c>
      <c r="K257" s="111">
        <v>2105.076</v>
      </c>
      <c r="L257" s="110">
        <v>14714.49</v>
      </c>
      <c r="M257" s="13" t="s">
        <v>643</v>
      </c>
      <c r="N257" s="13" t="s">
        <v>642</v>
      </c>
      <c r="O257" s="13" t="s">
        <v>639</v>
      </c>
      <c r="P257" s="13" t="s">
        <v>637</v>
      </c>
      <c r="Q257" s="13" t="s">
        <v>642</v>
      </c>
      <c r="R257" s="13" t="s">
        <v>641</v>
      </c>
      <c r="S257" s="13" t="s">
        <v>641</v>
      </c>
      <c r="T257" s="13" t="s">
        <v>641</v>
      </c>
    </row>
    <row r="258" customFormat="1" spans="1:20">
      <c r="A258" s="109">
        <v>45748</v>
      </c>
      <c r="B258" s="109">
        <v>45777</v>
      </c>
      <c r="C258" s="13" t="s">
        <v>635</v>
      </c>
      <c r="D258" s="13" t="s">
        <v>636</v>
      </c>
      <c r="E258" s="13">
        <v>4502226</v>
      </c>
      <c r="F258" s="13" t="s">
        <v>562</v>
      </c>
      <c r="G258" s="13" t="s">
        <v>37</v>
      </c>
      <c r="H258" s="13" t="s">
        <v>647</v>
      </c>
      <c r="I258" s="13" t="s">
        <v>637</v>
      </c>
      <c r="J258" s="110">
        <v>1.32</v>
      </c>
      <c r="K258" s="111">
        <v>55</v>
      </c>
      <c r="L258" s="110">
        <v>72.6</v>
      </c>
      <c r="M258" s="13" t="s">
        <v>21</v>
      </c>
      <c r="N258" s="13" t="s">
        <v>638</v>
      </c>
      <c r="O258" s="13" t="s">
        <v>639</v>
      </c>
      <c r="P258" s="13" t="s">
        <v>637</v>
      </c>
      <c r="Q258" s="13" t="s">
        <v>642</v>
      </c>
      <c r="R258" s="13" t="s">
        <v>641</v>
      </c>
      <c r="S258" s="13" t="s">
        <v>641</v>
      </c>
      <c r="T258" s="13" t="s">
        <v>641</v>
      </c>
    </row>
    <row r="259" customFormat="1" spans="1:20">
      <c r="A259" s="109">
        <v>45748</v>
      </c>
      <c r="B259" s="109">
        <v>45777</v>
      </c>
      <c r="C259" s="13" t="s">
        <v>635</v>
      </c>
      <c r="D259" s="13" t="s">
        <v>636</v>
      </c>
      <c r="E259" s="13">
        <v>4502234</v>
      </c>
      <c r="F259" s="13" t="s">
        <v>413</v>
      </c>
      <c r="G259" s="13" t="s">
        <v>37</v>
      </c>
      <c r="H259" s="13" t="s">
        <v>647</v>
      </c>
      <c r="I259" s="13" t="s">
        <v>648</v>
      </c>
      <c r="J259" s="110">
        <v>1.34</v>
      </c>
      <c r="K259" s="111">
        <v>10</v>
      </c>
      <c r="L259" s="110">
        <v>13.36</v>
      </c>
      <c r="M259" s="13" t="s">
        <v>138</v>
      </c>
      <c r="N259" s="13" t="s">
        <v>663</v>
      </c>
      <c r="O259" s="13" t="s">
        <v>639</v>
      </c>
      <c r="P259" s="13" t="s">
        <v>637</v>
      </c>
      <c r="Q259" s="13" t="s">
        <v>644</v>
      </c>
      <c r="R259" s="13" t="s">
        <v>641</v>
      </c>
      <c r="S259" s="13" t="s">
        <v>641</v>
      </c>
      <c r="T259" s="13" t="s">
        <v>641</v>
      </c>
    </row>
    <row r="260" customFormat="1" spans="1:20">
      <c r="A260" s="109">
        <v>45748</v>
      </c>
      <c r="B260" s="109">
        <v>45777</v>
      </c>
      <c r="C260" s="13" t="s">
        <v>635</v>
      </c>
      <c r="D260" s="13" t="s">
        <v>636</v>
      </c>
      <c r="E260" s="13">
        <v>4502234</v>
      </c>
      <c r="F260" s="13" t="s">
        <v>413</v>
      </c>
      <c r="G260" s="13" t="s">
        <v>37</v>
      </c>
      <c r="H260" s="13" t="s">
        <v>647</v>
      </c>
      <c r="I260" s="13" t="s">
        <v>637</v>
      </c>
      <c r="J260" s="110">
        <v>1.3</v>
      </c>
      <c r="K260" s="111">
        <v>2056</v>
      </c>
      <c r="L260" s="110">
        <v>2677.69</v>
      </c>
      <c r="M260" s="13" t="s">
        <v>138</v>
      </c>
      <c r="N260" s="13" t="s">
        <v>663</v>
      </c>
      <c r="O260" s="13" t="s">
        <v>639</v>
      </c>
      <c r="P260" s="13" t="s">
        <v>637</v>
      </c>
      <c r="Q260" s="13" t="s">
        <v>644</v>
      </c>
      <c r="R260" s="13" t="s">
        <v>641</v>
      </c>
      <c r="S260" s="13" t="s">
        <v>641</v>
      </c>
      <c r="T260" s="13" t="s">
        <v>641</v>
      </c>
    </row>
    <row r="261" customFormat="1" spans="1:20">
      <c r="A261" s="109">
        <v>45748</v>
      </c>
      <c r="B261" s="109">
        <v>45777</v>
      </c>
      <c r="C261" s="13" t="s">
        <v>635</v>
      </c>
      <c r="D261" s="13" t="s">
        <v>636</v>
      </c>
      <c r="E261" s="13">
        <v>4502257</v>
      </c>
      <c r="F261" s="13" t="s">
        <v>483</v>
      </c>
      <c r="G261" s="13" t="s">
        <v>37</v>
      </c>
      <c r="H261" s="13" t="s">
        <v>647</v>
      </c>
      <c r="I261" s="13" t="s">
        <v>637</v>
      </c>
      <c r="J261" s="110">
        <v>5.24</v>
      </c>
      <c r="K261" s="111">
        <v>120</v>
      </c>
      <c r="L261" s="110">
        <v>629.39</v>
      </c>
      <c r="M261" s="13" t="s">
        <v>138</v>
      </c>
      <c r="N261" s="13" t="s">
        <v>663</v>
      </c>
      <c r="O261" s="13" t="s">
        <v>639</v>
      </c>
      <c r="P261" s="13" t="s">
        <v>637</v>
      </c>
      <c r="Q261" s="13" t="s">
        <v>640</v>
      </c>
      <c r="R261" s="13" t="s">
        <v>641</v>
      </c>
      <c r="S261" s="13" t="s">
        <v>641</v>
      </c>
      <c r="T261" s="13" t="s">
        <v>641</v>
      </c>
    </row>
    <row r="262" customFormat="1" spans="1:20">
      <c r="A262" s="109">
        <v>45748</v>
      </c>
      <c r="B262" s="109">
        <v>45777</v>
      </c>
      <c r="C262" s="13" t="s">
        <v>635</v>
      </c>
      <c r="D262" s="13" t="s">
        <v>636</v>
      </c>
      <c r="E262" s="13">
        <v>4502287</v>
      </c>
      <c r="F262" s="13" t="s">
        <v>422</v>
      </c>
      <c r="G262" s="13" t="s">
        <v>37</v>
      </c>
      <c r="H262" s="13" t="s">
        <v>647</v>
      </c>
      <c r="I262" s="13" t="s">
        <v>648</v>
      </c>
      <c r="J262" s="110">
        <v>1.24</v>
      </c>
      <c r="K262" s="111">
        <v>65</v>
      </c>
      <c r="L262" s="110">
        <v>80.44</v>
      </c>
      <c r="M262" s="13" t="s">
        <v>97</v>
      </c>
      <c r="N262" s="13" t="s">
        <v>656</v>
      </c>
      <c r="O262" s="13" t="s">
        <v>639</v>
      </c>
      <c r="P262" s="13" t="s">
        <v>637</v>
      </c>
      <c r="Q262" s="13" t="s">
        <v>656</v>
      </c>
      <c r="R262" s="13" t="s">
        <v>641</v>
      </c>
      <c r="S262" s="13" t="s">
        <v>641</v>
      </c>
      <c r="T262" s="13" t="s">
        <v>641</v>
      </c>
    </row>
    <row r="263" customFormat="1" spans="1:20">
      <c r="A263" s="109">
        <v>45748</v>
      </c>
      <c r="B263" s="109">
        <v>45777</v>
      </c>
      <c r="C263" s="13" t="s">
        <v>635</v>
      </c>
      <c r="D263" s="13" t="s">
        <v>636</v>
      </c>
      <c r="E263" s="13">
        <v>4502287</v>
      </c>
      <c r="F263" s="13" t="s">
        <v>422</v>
      </c>
      <c r="G263" s="13" t="s">
        <v>37</v>
      </c>
      <c r="H263" s="13" t="s">
        <v>647</v>
      </c>
      <c r="I263" s="13" t="s">
        <v>637</v>
      </c>
      <c r="J263" s="110">
        <v>1.24</v>
      </c>
      <c r="K263" s="111">
        <v>1585</v>
      </c>
      <c r="L263" s="110">
        <v>1963.62</v>
      </c>
      <c r="M263" s="13" t="s">
        <v>97</v>
      </c>
      <c r="N263" s="13" t="s">
        <v>656</v>
      </c>
      <c r="O263" s="13" t="s">
        <v>639</v>
      </c>
      <c r="P263" s="13" t="s">
        <v>637</v>
      </c>
      <c r="Q263" s="13" t="s">
        <v>656</v>
      </c>
      <c r="R263" s="13" t="s">
        <v>641</v>
      </c>
      <c r="S263" s="13" t="s">
        <v>641</v>
      </c>
      <c r="T263" s="13" t="s">
        <v>641</v>
      </c>
    </row>
    <row r="264" customFormat="1" spans="1:20">
      <c r="A264" s="109">
        <v>45748</v>
      </c>
      <c r="B264" s="109">
        <v>45777</v>
      </c>
      <c r="C264" s="13" t="s">
        <v>635</v>
      </c>
      <c r="D264" s="13" t="s">
        <v>636</v>
      </c>
      <c r="E264" s="13">
        <v>4502382</v>
      </c>
      <c r="F264" s="13" t="s">
        <v>187</v>
      </c>
      <c r="G264" s="13" t="s">
        <v>37</v>
      </c>
      <c r="H264" s="13" t="s">
        <v>647</v>
      </c>
      <c r="I264" s="13" t="s">
        <v>648</v>
      </c>
      <c r="J264" s="110">
        <v>0.43</v>
      </c>
      <c r="K264" s="111">
        <v>10</v>
      </c>
      <c r="L264" s="110">
        <v>4.32</v>
      </c>
      <c r="M264" s="13" t="s">
        <v>97</v>
      </c>
      <c r="N264" s="13" t="s">
        <v>656</v>
      </c>
      <c r="O264" s="13" t="s">
        <v>639</v>
      </c>
      <c r="P264" s="13" t="s">
        <v>637</v>
      </c>
      <c r="Q264" s="13" t="s">
        <v>656</v>
      </c>
      <c r="R264" s="13" t="s">
        <v>641</v>
      </c>
      <c r="S264" s="13" t="s">
        <v>641</v>
      </c>
      <c r="T264" s="13" t="s">
        <v>641</v>
      </c>
    </row>
    <row r="265" customFormat="1" spans="1:20">
      <c r="A265" s="109">
        <v>45748</v>
      </c>
      <c r="B265" s="109">
        <v>45777</v>
      </c>
      <c r="C265" s="13" t="s">
        <v>635</v>
      </c>
      <c r="D265" s="13" t="s">
        <v>636</v>
      </c>
      <c r="E265" s="13">
        <v>4502382</v>
      </c>
      <c r="F265" s="13" t="s">
        <v>187</v>
      </c>
      <c r="G265" s="13" t="s">
        <v>37</v>
      </c>
      <c r="H265" s="13" t="s">
        <v>647</v>
      </c>
      <c r="I265" s="13" t="s">
        <v>637</v>
      </c>
      <c r="J265" s="110">
        <v>0.43</v>
      </c>
      <c r="K265" s="111">
        <v>430</v>
      </c>
      <c r="L265" s="110">
        <v>185.98</v>
      </c>
      <c r="M265" s="13" t="s">
        <v>97</v>
      </c>
      <c r="N265" s="13" t="s">
        <v>656</v>
      </c>
      <c r="O265" s="13" t="s">
        <v>639</v>
      </c>
      <c r="P265" s="13" t="s">
        <v>637</v>
      </c>
      <c r="Q265" s="13" t="s">
        <v>656</v>
      </c>
      <c r="R265" s="13" t="s">
        <v>641</v>
      </c>
      <c r="S265" s="13" t="s">
        <v>641</v>
      </c>
      <c r="T265" s="13" t="s">
        <v>641</v>
      </c>
    </row>
    <row r="266" customFormat="1" spans="1:20">
      <c r="A266" s="109">
        <v>45748</v>
      </c>
      <c r="B266" s="109">
        <v>45777</v>
      </c>
      <c r="C266" s="13" t="s">
        <v>635</v>
      </c>
      <c r="D266" s="13" t="s">
        <v>636</v>
      </c>
      <c r="E266" s="13">
        <v>4502395</v>
      </c>
      <c r="F266" s="13" t="s">
        <v>542</v>
      </c>
      <c r="G266" s="13" t="s">
        <v>74</v>
      </c>
      <c r="H266" s="13" t="s">
        <v>73</v>
      </c>
      <c r="I266" s="13" t="s">
        <v>637</v>
      </c>
      <c r="J266" s="110">
        <v>5.93</v>
      </c>
      <c r="K266" s="111">
        <v>179.4</v>
      </c>
      <c r="L266" s="110">
        <v>1064.02</v>
      </c>
      <c r="M266" s="13" t="s">
        <v>30</v>
      </c>
      <c r="N266" s="13" t="s">
        <v>655</v>
      </c>
      <c r="O266" s="13" t="s">
        <v>639</v>
      </c>
      <c r="P266" s="13" t="s">
        <v>637</v>
      </c>
      <c r="Q266" s="13" t="s">
        <v>640</v>
      </c>
      <c r="R266" s="13" t="s">
        <v>641</v>
      </c>
      <c r="S266" s="13" t="s">
        <v>641</v>
      </c>
      <c r="T266" s="13" t="s">
        <v>641</v>
      </c>
    </row>
    <row r="267" customFormat="1" spans="1:20">
      <c r="A267" s="109">
        <v>45748</v>
      </c>
      <c r="B267" s="109">
        <v>45777</v>
      </c>
      <c r="C267" s="13" t="s">
        <v>635</v>
      </c>
      <c r="D267" s="13" t="s">
        <v>636</v>
      </c>
      <c r="E267" s="13">
        <v>4502465</v>
      </c>
      <c r="F267" s="13" t="s">
        <v>556</v>
      </c>
      <c r="G267" s="13" t="s">
        <v>37</v>
      </c>
      <c r="H267" s="13" t="s">
        <v>647</v>
      </c>
      <c r="I267" s="13" t="s">
        <v>637</v>
      </c>
      <c r="J267" s="110">
        <v>4.83</v>
      </c>
      <c r="K267" s="111">
        <v>18</v>
      </c>
      <c r="L267" s="110">
        <v>86.87</v>
      </c>
      <c r="M267" s="13" t="s">
        <v>21</v>
      </c>
      <c r="N267" s="13" t="s">
        <v>638</v>
      </c>
      <c r="O267" s="13" t="s">
        <v>639</v>
      </c>
      <c r="P267" s="13" t="s">
        <v>637</v>
      </c>
      <c r="Q267" s="13" t="s">
        <v>640</v>
      </c>
      <c r="R267" s="13" t="s">
        <v>641</v>
      </c>
      <c r="S267" s="13" t="s">
        <v>641</v>
      </c>
      <c r="T267" s="13" t="s">
        <v>641</v>
      </c>
    </row>
    <row r="268" customFormat="1" spans="1:20">
      <c r="A268" s="109">
        <v>45748</v>
      </c>
      <c r="B268" s="109">
        <v>45777</v>
      </c>
      <c r="C268" s="13" t="s">
        <v>635</v>
      </c>
      <c r="D268" s="13" t="s">
        <v>636</v>
      </c>
      <c r="E268" s="13">
        <v>4502622</v>
      </c>
      <c r="F268" s="13" t="s">
        <v>539</v>
      </c>
      <c r="G268" s="13" t="s">
        <v>74</v>
      </c>
      <c r="H268" s="13" t="s">
        <v>73</v>
      </c>
      <c r="I268" s="13" t="s">
        <v>637</v>
      </c>
      <c r="J268" s="110">
        <v>4.36</v>
      </c>
      <c r="K268" s="111">
        <v>315</v>
      </c>
      <c r="L268" s="110">
        <v>1373.98</v>
      </c>
      <c r="M268" s="13" t="s">
        <v>97</v>
      </c>
      <c r="N268" s="13" t="s">
        <v>656</v>
      </c>
      <c r="O268" s="13" t="s">
        <v>639</v>
      </c>
      <c r="P268" s="13" t="s">
        <v>637</v>
      </c>
      <c r="Q268" s="13" t="s">
        <v>656</v>
      </c>
      <c r="R268" s="13" t="s">
        <v>641</v>
      </c>
      <c r="S268" s="13" t="s">
        <v>641</v>
      </c>
      <c r="T268" s="13" t="s">
        <v>641</v>
      </c>
    </row>
    <row r="269" customFormat="1" spans="1:20">
      <c r="A269" s="109">
        <v>45748</v>
      </c>
      <c r="B269" s="109">
        <v>45777</v>
      </c>
      <c r="C269" s="13" t="s">
        <v>635</v>
      </c>
      <c r="D269" s="13" t="s">
        <v>636</v>
      </c>
      <c r="E269" s="13">
        <v>4502863</v>
      </c>
      <c r="F269" s="13" t="s">
        <v>340</v>
      </c>
      <c r="G269" s="13" t="s">
        <v>33</v>
      </c>
      <c r="H269" s="13" t="s">
        <v>32</v>
      </c>
      <c r="I269" s="13" t="s">
        <v>637</v>
      </c>
      <c r="J269" s="110">
        <v>3</v>
      </c>
      <c r="K269" s="111">
        <v>121</v>
      </c>
      <c r="L269" s="110">
        <v>363</v>
      </c>
      <c r="M269" s="13" t="s">
        <v>658</v>
      </c>
      <c r="N269" s="13" t="s">
        <v>646</v>
      </c>
      <c r="O269" s="13" t="s">
        <v>639</v>
      </c>
      <c r="P269" s="13" t="s">
        <v>637</v>
      </c>
      <c r="Q269" s="13" t="s">
        <v>646</v>
      </c>
      <c r="R269" s="13" t="s">
        <v>641</v>
      </c>
      <c r="S269" s="13" t="s">
        <v>641</v>
      </c>
      <c r="T269" s="13" t="s">
        <v>641</v>
      </c>
    </row>
    <row r="270" customFormat="1" spans="1:20">
      <c r="A270" s="109">
        <v>45748</v>
      </c>
      <c r="B270" s="109">
        <v>45777</v>
      </c>
      <c r="C270" s="13" t="s">
        <v>635</v>
      </c>
      <c r="D270" s="13" t="s">
        <v>636</v>
      </c>
      <c r="E270" s="13">
        <v>4503433</v>
      </c>
      <c r="F270" s="13" t="s">
        <v>702</v>
      </c>
      <c r="G270" s="13" t="s">
        <v>37</v>
      </c>
      <c r="H270" s="13" t="s">
        <v>647</v>
      </c>
      <c r="I270" s="13" t="s">
        <v>637</v>
      </c>
      <c r="J270" s="110">
        <v>3.99</v>
      </c>
      <c r="K270" s="111">
        <v>110.23</v>
      </c>
      <c r="L270" s="110">
        <v>439.82</v>
      </c>
      <c r="M270" s="13" t="s">
        <v>643</v>
      </c>
      <c r="N270" s="13" t="s">
        <v>642</v>
      </c>
      <c r="O270" s="13" t="s">
        <v>639</v>
      </c>
      <c r="P270" s="13" t="s">
        <v>637</v>
      </c>
      <c r="Q270" s="13" t="s">
        <v>642</v>
      </c>
      <c r="R270" s="13" t="s">
        <v>641</v>
      </c>
      <c r="S270" s="13" t="s">
        <v>641</v>
      </c>
      <c r="T270" s="13" t="s">
        <v>641</v>
      </c>
    </row>
    <row r="271" customFormat="1" spans="1:20">
      <c r="A271" s="109">
        <v>45748</v>
      </c>
      <c r="B271" s="109">
        <v>45777</v>
      </c>
      <c r="C271" s="13" t="s">
        <v>635</v>
      </c>
      <c r="D271" s="13" t="s">
        <v>636</v>
      </c>
      <c r="E271" s="13">
        <v>4503474</v>
      </c>
      <c r="F271" s="13" t="s">
        <v>393</v>
      </c>
      <c r="G271" s="13" t="s">
        <v>37</v>
      </c>
      <c r="H271" s="13" t="s">
        <v>647</v>
      </c>
      <c r="I271" s="13" t="s">
        <v>637</v>
      </c>
      <c r="J271" s="110">
        <v>1.16</v>
      </c>
      <c r="K271" s="111">
        <v>80</v>
      </c>
      <c r="L271" s="110">
        <v>92.72</v>
      </c>
      <c r="M271" s="13" t="s">
        <v>21</v>
      </c>
      <c r="N271" s="13" t="s">
        <v>638</v>
      </c>
      <c r="O271" s="13" t="s">
        <v>639</v>
      </c>
      <c r="P271" s="13" t="s">
        <v>637</v>
      </c>
      <c r="Q271" s="13" t="s">
        <v>649</v>
      </c>
      <c r="R271" s="13" t="s">
        <v>641</v>
      </c>
      <c r="S271" s="13" t="s">
        <v>641</v>
      </c>
      <c r="T271" s="13" t="s">
        <v>641</v>
      </c>
    </row>
    <row r="272" customFormat="1" spans="1:20">
      <c r="A272" s="109">
        <v>45748</v>
      </c>
      <c r="B272" s="109">
        <v>45777</v>
      </c>
      <c r="C272" s="13" t="s">
        <v>635</v>
      </c>
      <c r="D272" s="13" t="s">
        <v>636</v>
      </c>
      <c r="E272" s="13">
        <v>4503486</v>
      </c>
      <c r="F272" s="13" t="s">
        <v>551</v>
      </c>
      <c r="G272" s="13" t="s">
        <v>408</v>
      </c>
      <c r="H272" s="13" t="s">
        <v>407</v>
      </c>
      <c r="I272" s="13" t="s">
        <v>637</v>
      </c>
      <c r="J272" s="110">
        <v>0.45</v>
      </c>
      <c r="K272" s="111">
        <v>175</v>
      </c>
      <c r="L272" s="110">
        <v>79.5</v>
      </c>
      <c r="M272" s="13" t="s">
        <v>658</v>
      </c>
      <c r="N272" s="13" t="s">
        <v>646</v>
      </c>
      <c r="O272" s="13" t="s">
        <v>639</v>
      </c>
      <c r="P272" s="13" t="s">
        <v>637</v>
      </c>
      <c r="Q272" s="13" t="s">
        <v>646</v>
      </c>
      <c r="R272" s="13" t="s">
        <v>641</v>
      </c>
      <c r="S272" s="13" t="s">
        <v>641</v>
      </c>
      <c r="T272" s="13" t="s">
        <v>641</v>
      </c>
    </row>
    <row r="273" customFormat="1" spans="1:20">
      <c r="A273" s="109">
        <v>45748</v>
      </c>
      <c r="B273" s="109">
        <v>45777</v>
      </c>
      <c r="C273" s="13" t="s">
        <v>635</v>
      </c>
      <c r="D273" s="13" t="s">
        <v>636</v>
      </c>
      <c r="E273" s="13">
        <v>4503595</v>
      </c>
      <c r="F273" s="13" t="s">
        <v>616</v>
      </c>
      <c r="G273" s="13" t="s">
        <v>37</v>
      </c>
      <c r="H273" s="13" t="s">
        <v>647</v>
      </c>
      <c r="I273" s="13" t="s">
        <v>637</v>
      </c>
      <c r="J273" s="110">
        <v>28.42</v>
      </c>
      <c r="K273" s="111">
        <v>10.14</v>
      </c>
      <c r="L273" s="110">
        <v>288.13</v>
      </c>
      <c r="M273" s="13" t="s">
        <v>643</v>
      </c>
      <c r="N273" s="13" t="s">
        <v>642</v>
      </c>
      <c r="O273" s="13" t="s">
        <v>639</v>
      </c>
      <c r="P273" s="13" t="s">
        <v>637</v>
      </c>
      <c r="Q273" s="13" t="s">
        <v>642</v>
      </c>
      <c r="R273" s="13" t="s">
        <v>641</v>
      </c>
      <c r="S273" s="13" t="s">
        <v>641</v>
      </c>
      <c r="T273" s="13" t="s">
        <v>641</v>
      </c>
    </row>
    <row r="274" customFormat="1" spans="1:20">
      <c r="A274" s="109">
        <v>45748</v>
      </c>
      <c r="B274" s="109">
        <v>45777</v>
      </c>
      <c r="C274" s="13" t="s">
        <v>635</v>
      </c>
      <c r="D274" s="13" t="s">
        <v>636</v>
      </c>
      <c r="E274" s="13">
        <v>4503604</v>
      </c>
      <c r="F274" s="13" t="s">
        <v>116</v>
      </c>
      <c r="G274" s="13" t="s">
        <v>37</v>
      </c>
      <c r="H274" s="13" t="s">
        <v>647</v>
      </c>
      <c r="I274" s="13" t="s">
        <v>637</v>
      </c>
      <c r="J274" s="110">
        <v>1.14</v>
      </c>
      <c r="K274" s="111">
        <v>349.8</v>
      </c>
      <c r="L274" s="110">
        <v>399.25</v>
      </c>
      <c r="M274" s="13" t="s">
        <v>97</v>
      </c>
      <c r="N274" s="13" t="s">
        <v>656</v>
      </c>
      <c r="O274" s="13" t="s">
        <v>639</v>
      </c>
      <c r="P274" s="13" t="s">
        <v>637</v>
      </c>
      <c r="Q274" s="13" t="s">
        <v>656</v>
      </c>
      <c r="R274" s="13" t="s">
        <v>641</v>
      </c>
      <c r="S274" s="13" t="s">
        <v>641</v>
      </c>
      <c r="T274" s="13" t="s">
        <v>641</v>
      </c>
    </row>
    <row r="275" customFormat="1" spans="1:20">
      <c r="A275" s="109">
        <v>45748</v>
      </c>
      <c r="B275" s="109">
        <v>45777</v>
      </c>
      <c r="C275" s="13" t="s">
        <v>635</v>
      </c>
      <c r="D275" s="13" t="s">
        <v>636</v>
      </c>
      <c r="E275" s="13">
        <v>4503951</v>
      </c>
      <c r="F275" s="13" t="s">
        <v>316</v>
      </c>
      <c r="G275" s="13" t="s">
        <v>33</v>
      </c>
      <c r="H275" s="13" t="s">
        <v>32</v>
      </c>
      <c r="I275" s="13" t="s">
        <v>637</v>
      </c>
      <c r="J275" s="110">
        <v>3.62</v>
      </c>
      <c r="K275" s="111">
        <v>7</v>
      </c>
      <c r="L275" s="110">
        <v>25.34</v>
      </c>
      <c r="M275" s="13" t="s">
        <v>658</v>
      </c>
      <c r="N275" s="13" t="s">
        <v>646</v>
      </c>
      <c r="O275" s="13" t="s">
        <v>639</v>
      </c>
      <c r="P275" s="13" t="s">
        <v>637</v>
      </c>
      <c r="Q275" s="13" t="s">
        <v>646</v>
      </c>
      <c r="R275" s="13" t="s">
        <v>641</v>
      </c>
      <c r="S275" s="13" t="s">
        <v>641</v>
      </c>
      <c r="T275" s="13" t="s">
        <v>641</v>
      </c>
    </row>
    <row r="276" customFormat="1" spans="1:20">
      <c r="A276" s="109">
        <v>45748</v>
      </c>
      <c r="B276" s="109">
        <v>45777</v>
      </c>
      <c r="C276" s="13" t="s">
        <v>635</v>
      </c>
      <c r="D276" s="13" t="s">
        <v>636</v>
      </c>
      <c r="E276" s="13">
        <v>4504167</v>
      </c>
      <c r="F276" s="13" t="s">
        <v>389</v>
      </c>
      <c r="G276" s="13" t="s">
        <v>37</v>
      </c>
      <c r="H276" s="13" t="s">
        <v>647</v>
      </c>
      <c r="I276" s="13" t="s">
        <v>637</v>
      </c>
      <c r="J276" s="110">
        <v>3.6</v>
      </c>
      <c r="K276" s="111">
        <v>264</v>
      </c>
      <c r="L276" s="110">
        <v>950.4</v>
      </c>
      <c r="M276" s="13" t="s">
        <v>643</v>
      </c>
      <c r="N276" s="13" t="s">
        <v>642</v>
      </c>
      <c r="O276" s="13" t="s">
        <v>639</v>
      </c>
      <c r="P276" s="13" t="s">
        <v>637</v>
      </c>
      <c r="Q276" s="13" t="s">
        <v>644</v>
      </c>
      <c r="R276" s="13" t="s">
        <v>641</v>
      </c>
      <c r="S276" s="13" t="s">
        <v>641</v>
      </c>
      <c r="T276" s="13" t="s">
        <v>641</v>
      </c>
    </row>
    <row r="277" customFormat="1" spans="1:20">
      <c r="A277" s="109">
        <v>45748</v>
      </c>
      <c r="B277" s="109">
        <v>45777</v>
      </c>
      <c r="C277" s="13" t="s">
        <v>635</v>
      </c>
      <c r="D277" s="13" t="s">
        <v>636</v>
      </c>
      <c r="E277" s="13">
        <v>4504673</v>
      </c>
      <c r="F277" s="13" t="s">
        <v>521</v>
      </c>
      <c r="G277" s="13" t="s">
        <v>37</v>
      </c>
      <c r="H277" s="13" t="s">
        <v>647</v>
      </c>
      <c r="I277" s="13" t="s">
        <v>637</v>
      </c>
      <c r="J277" s="110">
        <v>42.1</v>
      </c>
      <c r="K277" s="111">
        <v>18.7</v>
      </c>
      <c r="L277" s="110">
        <v>787.27</v>
      </c>
      <c r="M277" s="13" t="s">
        <v>643</v>
      </c>
      <c r="N277" s="13" t="s">
        <v>642</v>
      </c>
      <c r="O277" s="13" t="s">
        <v>639</v>
      </c>
      <c r="P277" s="13" t="s">
        <v>637</v>
      </c>
      <c r="Q277" s="13" t="s">
        <v>642</v>
      </c>
      <c r="R277" s="13" t="s">
        <v>641</v>
      </c>
      <c r="S277" s="13" t="s">
        <v>641</v>
      </c>
      <c r="T277" s="13" t="s">
        <v>641</v>
      </c>
    </row>
    <row r="278" customFormat="1" spans="1:20">
      <c r="A278" s="109">
        <v>45748</v>
      </c>
      <c r="B278" s="109">
        <v>45777</v>
      </c>
      <c r="C278" s="13" t="s">
        <v>635</v>
      </c>
      <c r="D278" s="13" t="s">
        <v>636</v>
      </c>
      <c r="E278" s="13">
        <v>4504794</v>
      </c>
      <c r="F278" s="13" t="s">
        <v>552</v>
      </c>
      <c r="G278" s="13" t="s">
        <v>74</v>
      </c>
      <c r="H278" s="13" t="s">
        <v>73</v>
      </c>
      <c r="I278" s="13" t="s">
        <v>637</v>
      </c>
      <c r="J278" s="110">
        <v>3.93</v>
      </c>
      <c r="K278" s="111">
        <v>230</v>
      </c>
      <c r="L278" s="110">
        <v>904</v>
      </c>
      <c r="M278" s="13" t="s">
        <v>97</v>
      </c>
      <c r="N278" s="13" t="s">
        <v>656</v>
      </c>
      <c r="O278" s="13" t="s">
        <v>639</v>
      </c>
      <c r="P278" s="13" t="s">
        <v>637</v>
      </c>
      <c r="Q278" s="13" t="s">
        <v>656</v>
      </c>
      <c r="R278" s="13" t="s">
        <v>641</v>
      </c>
      <c r="S278" s="13" t="s">
        <v>641</v>
      </c>
      <c r="T278" s="13" t="s">
        <v>641</v>
      </c>
    </row>
    <row r="279" customFormat="1" spans="1:20">
      <c r="A279" s="109">
        <v>45748</v>
      </c>
      <c r="B279" s="109">
        <v>45777</v>
      </c>
      <c r="C279" s="13" t="s">
        <v>635</v>
      </c>
      <c r="D279" s="13" t="s">
        <v>636</v>
      </c>
      <c r="E279" s="13">
        <v>4504796</v>
      </c>
      <c r="F279" s="13" t="s">
        <v>474</v>
      </c>
      <c r="G279" s="13" t="s">
        <v>37</v>
      </c>
      <c r="H279" s="13" t="s">
        <v>647</v>
      </c>
      <c r="I279" s="13" t="s">
        <v>648</v>
      </c>
      <c r="J279" s="110">
        <v>1.05</v>
      </c>
      <c r="K279" s="111">
        <v>170</v>
      </c>
      <c r="L279" s="110">
        <v>178.52</v>
      </c>
      <c r="M279" s="13" t="s">
        <v>21</v>
      </c>
      <c r="N279" s="13" t="s">
        <v>638</v>
      </c>
      <c r="O279" s="13" t="s">
        <v>653</v>
      </c>
      <c r="P279" s="13" t="s">
        <v>648</v>
      </c>
      <c r="Q279" s="13" t="s">
        <v>654</v>
      </c>
      <c r="R279" s="13" t="s">
        <v>641</v>
      </c>
      <c r="S279" s="13" t="s">
        <v>641</v>
      </c>
      <c r="T279" s="13" t="s">
        <v>641</v>
      </c>
    </row>
    <row r="280" customFormat="1" spans="1:20">
      <c r="A280" s="109">
        <v>45748</v>
      </c>
      <c r="B280" s="109">
        <v>45777</v>
      </c>
      <c r="C280" s="13" t="s">
        <v>635</v>
      </c>
      <c r="D280" s="13" t="s">
        <v>636</v>
      </c>
      <c r="E280" s="13">
        <v>4504845</v>
      </c>
      <c r="F280" s="13" t="s">
        <v>703</v>
      </c>
      <c r="G280" s="13" t="s">
        <v>37</v>
      </c>
      <c r="H280" s="13" t="s">
        <v>647</v>
      </c>
      <c r="I280" s="13" t="s">
        <v>648</v>
      </c>
      <c r="J280" s="110">
        <v>2.49</v>
      </c>
      <c r="K280" s="111">
        <v>42</v>
      </c>
      <c r="L280" s="110">
        <v>104.58</v>
      </c>
      <c r="M280" s="13" t="s">
        <v>261</v>
      </c>
      <c r="N280" s="13" t="s">
        <v>654</v>
      </c>
      <c r="O280" s="13" t="s">
        <v>653</v>
      </c>
      <c r="P280" s="13" t="s">
        <v>648</v>
      </c>
      <c r="Q280" s="13" t="s">
        <v>654</v>
      </c>
      <c r="R280" s="13" t="s">
        <v>641</v>
      </c>
      <c r="S280" s="13" t="s">
        <v>641</v>
      </c>
      <c r="T280" s="13" t="s">
        <v>641</v>
      </c>
    </row>
    <row r="281" customFormat="1" spans="1:20">
      <c r="A281" s="109">
        <v>45748</v>
      </c>
      <c r="B281" s="109">
        <v>45777</v>
      </c>
      <c r="C281" s="13" t="s">
        <v>635</v>
      </c>
      <c r="D281" s="13" t="s">
        <v>636</v>
      </c>
      <c r="E281" s="13">
        <v>4504846</v>
      </c>
      <c r="F281" s="13" t="s">
        <v>595</v>
      </c>
      <c r="G281" s="13" t="s">
        <v>37</v>
      </c>
      <c r="H281" s="13" t="s">
        <v>647</v>
      </c>
      <c r="I281" s="13" t="s">
        <v>648</v>
      </c>
      <c r="J281" s="110">
        <v>4.09</v>
      </c>
      <c r="K281" s="111">
        <v>40</v>
      </c>
      <c r="L281" s="110">
        <v>163.6</v>
      </c>
      <c r="M281" s="13" t="s">
        <v>643</v>
      </c>
      <c r="N281" s="13" t="s">
        <v>642</v>
      </c>
      <c r="O281" s="13" t="s">
        <v>639</v>
      </c>
      <c r="P281" s="13" t="s">
        <v>637</v>
      </c>
      <c r="Q281" s="13" t="s">
        <v>649</v>
      </c>
      <c r="R281" s="13" t="s">
        <v>641</v>
      </c>
      <c r="S281" s="13" t="s">
        <v>641</v>
      </c>
      <c r="T281" s="13" t="s">
        <v>641</v>
      </c>
    </row>
    <row r="282" customFormat="1" spans="1:20">
      <c r="A282" s="109">
        <v>45748</v>
      </c>
      <c r="B282" s="109">
        <v>45777</v>
      </c>
      <c r="C282" s="13" t="s">
        <v>635</v>
      </c>
      <c r="D282" s="13" t="s">
        <v>636</v>
      </c>
      <c r="E282" s="13">
        <v>4504846</v>
      </c>
      <c r="F282" s="13" t="s">
        <v>595</v>
      </c>
      <c r="G282" s="13" t="s">
        <v>37</v>
      </c>
      <c r="H282" s="13" t="s">
        <v>647</v>
      </c>
      <c r="I282" s="13" t="s">
        <v>637</v>
      </c>
      <c r="J282" s="110">
        <v>4.09</v>
      </c>
      <c r="K282" s="111">
        <v>286.32</v>
      </c>
      <c r="L282" s="110">
        <v>1171.04</v>
      </c>
      <c r="M282" s="13" t="s">
        <v>643</v>
      </c>
      <c r="N282" s="13" t="s">
        <v>642</v>
      </c>
      <c r="O282" s="13" t="s">
        <v>639</v>
      </c>
      <c r="P282" s="13" t="s">
        <v>637</v>
      </c>
      <c r="Q282" s="13" t="s">
        <v>649</v>
      </c>
      <c r="R282" s="13" t="s">
        <v>641</v>
      </c>
      <c r="S282" s="13" t="s">
        <v>641</v>
      </c>
      <c r="T282" s="13" t="s">
        <v>641</v>
      </c>
    </row>
    <row r="283" customFormat="1" spans="1:20">
      <c r="A283" s="109">
        <v>45748</v>
      </c>
      <c r="B283" s="109">
        <v>45777</v>
      </c>
      <c r="C283" s="13" t="s">
        <v>635</v>
      </c>
      <c r="D283" s="13" t="s">
        <v>636</v>
      </c>
      <c r="E283" s="13">
        <v>4504874</v>
      </c>
      <c r="F283" s="13" t="s">
        <v>704</v>
      </c>
      <c r="G283" s="13" t="s">
        <v>37</v>
      </c>
      <c r="H283" s="13" t="s">
        <v>647</v>
      </c>
      <c r="I283" s="13" t="s">
        <v>637</v>
      </c>
      <c r="J283" s="110">
        <v>0.98</v>
      </c>
      <c r="K283" s="111">
        <v>220</v>
      </c>
      <c r="L283" s="110">
        <v>214.5</v>
      </c>
      <c r="M283" s="13" t="s">
        <v>97</v>
      </c>
      <c r="N283" s="13" t="s">
        <v>656</v>
      </c>
      <c r="O283" s="13" t="s">
        <v>639</v>
      </c>
      <c r="P283" s="13" t="s">
        <v>637</v>
      </c>
      <c r="Q283" s="13" t="s">
        <v>640</v>
      </c>
      <c r="R283" s="13" t="s">
        <v>641</v>
      </c>
      <c r="S283" s="13" t="s">
        <v>641</v>
      </c>
      <c r="T283" s="13" t="s">
        <v>641</v>
      </c>
    </row>
    <row r="284" customFormat="1" spans="1:20">
      <c r="A284" s="109">
        <v>45748</v>
      </c>
      <c r="B284" s="109">
        <v>45777</v>
      </c>
      <c r="C284" s="13" t="s">
        <v>635</v>
      </c>
      <c r="D284" s="13" t="s">
        <v>636</v>
      </c>
      <c r="E284" s="13">
        <v>4505163</v>
      </c>
      <c r="F284" s="13" t="s">
        <v>117</v>
      </c>
      <c r="G284" s="13" t="s">
        <v>30</v>
      </c>
      <c r="H284" s="13" t="s">
        <v>29</v>
      </c>
      <c r="I284" s="13" t="s">
        <v>637</v>
      </c>
      <c r="J284" s="110">
        <v>16.52</v>
      </c>
      <c r="K284" s="111">
        <v>57</v>
      </c>
      <c r="L284" s="110">
        <v>941.64</v>
      </c>
      <c r="M284" s="13" t="s">
        <v>21</v>
      </c>
      <c r="N284" s="13" t="s">
        <v>638</v>
      </c>
      <c r="O284" s="13" t="s">
        <v>639</v>
      </c>
      <c r="P284" s="13" t="s">
        <v>637</v>
      </c>
      <c r="Q284" s="13" t="s">
        <v>644</v>
      </c>
      <c r="R284" s="13" t="s">
        <v>641</v>
      </c>
      <c r="S284" s="13" t="s">
        <v>641</v>
      </c>
      <c r="T284" s="13" t="s">
        <v>641</v>
      </c>
    </row>
    <row r="285" customFormat="1" spans="1:20">
      <c r="A285" s="109">
        <v>45748</v>
      </c>
      <c r="B285" s="109">
        <v>45777</v>
      </c>
      <c r="C285" s="13" t="s">
        <v>635</v>
      </c>
      <c r="D285" s="13" t="s">
        <v>636</v>
      </c>
      <c r="E285" s="13">
        <v>4505397</v>
      </c>
      <c r="F285" s="13" t="s">
        <v>154</v>
      </c>
      <c r="G285" s="13" t="s">
        <v>21</v>
      </c>
      <c r="H285" s="13" t="s">
        <v>20</v>
      </c>
      <c r="I285" s="13" t="s">
        <v>648</v>
      </c>
      <c r="J285" s="110">
        <v>0.05</v>
      </c>
      <c r="K285" s="111">
        <v>3000</v>
      </c>
      <c r="L285" s="110">
        <v>145.5</v>
      </c>
      <c r="M285" s="13" t="s">
        <v>659</v>
      </c>
      <c r="N285" s="13" t="s">
        <v>660</v>
      </c>
      <c r="O285" s="13" t="s">
        <v>653</v>
      </c>
      <c r="P285" s="13" t="s">
        <v>648</v>
      </c>
      <c r="Q285" s="13" t="s">
        <v>671</v>
      </c>
      <c r="R285" s="13" t="s">
        <v>677</v>
      </c>
      <c r="S285" s="13" t="s">
        <v>641</v>
      </c>
      <c r="T285" s="13" t="s">
        <v>641</v>
      </c>
    </row>
    <row r="286" customFormat="1" spans="1:20">
      <c r="A286" s="109">
        <v>45748</v>
      </c>
      <c r="B286" s="109">
        <v>45777</v>
      </c>
      <c r="C286" s="13" t="s">
        <v>635</v>
      </c>
      <c r="D286" s="13" t="s">
        <v>636</v>
      </c>
      <c r="E286" s="13">
        <v>4505398</v>
      </c>
      <c r="F286" s="13" t="s">
        <v>217</v>
      </c>
      <c r="G286" s="13" t="s">
        <v>21</v>
      </c>
      <c r="H286" s="13" t="s">
        <v>20</v>
      </c>
      <c r="I286" s="13" t="s">
        <v>648</v>
      </c>
      <c r="J286" s="110">
        <v>0.03</v>
      </c>
      <c r="K286" s="111">
        <v>3000</v>
      </c>
      <c r="L286" s="110">
        <v>89.7</v>
      </c>
      <c r="M286" s="13" t="s">
        <v>659</v>
      </c>
      <c r="N286" s="13" t="s">
        <v>660</v>
      </c>
      <c r="O286" s="13" t="s">
        <v>653</v>
      </c>
      <c r="P286" s="13" t="s">
        <v>648</v>
      </c>
      <c r="Q286" s="13" t="s">
        <v>671</v>
      </c>
      <c r="R286" s="13" t="s">
        <v>677</v>
      </c>
      <c r="S286" s="13" t="s">
        <v>641</v>
      </c>
      <c r="T286" s="13" t="s">
        <v>641</v>
      </c>
    </row>
    <row r="287" customFormat="1" spans="1:20">
      <c r="A287" s="109">
        <v>45748</v>
      </c>
      <c r="B287" s="109">
        <v>45777</v>
      </c>
      <c r="C287" s="13" t="s">
        <v>635</v>
      </c>
      <c r="D287" s="13" t="s">
        <v>636</v>
      </c>
      <c r="E287" s="13">
        <v>4505756</v>
      </c>
      <c r="F287" s="13" t="s">
        <v>390</v>
      </c>
      <c r="G287" s="13" t="s">
        <v>37</v>
      </c>
      <c r="H287" s="13" t="s">
        <v>647</v>
      </c>
      <c r="I287" s="13" t="s">
        <v>637</v>
      </c>
      <c r="J287" s="110">
        <v>1.7</v>
      </c>
      <c r="K287" s="111">
        <v>392.66</v>
      </c>
      <c r="L287" s="110">
        <v>667.52</v>
      </c>
      <c r="M287" s="13" t="s">
        <v>261</v>
      </c>
      <c r="N287" s="13" t="s">
        <v>654</v>
      </c>
      <c r="O287" s="13" t="s">
        <v>639</v>
      </c>
      <c r="P287" s="13" t="s">
        <v>637</v>
      </c>
      <c r="Q287" s="13" t="s">
        <v>649</v>
      </c>
      <c r="R287" s="13" t="s">
        <v>641</v>
      </c>
      <c r="S287" s="13" t="s">
        <v>641</v>
      </c>
      <c r="T287" s="13" t="s">
        <v>641</v>
      </c>
    </row>
    <row r="288" customFormat="1" spans="1:20">
      <c r="A288" s="109">
        <v>45748</v>
      </c>
      <c r="B288" s="109">
        <v>45777</v>
      </c>
      <c r="C288" s="13" t="s">
        <v>635</v>
      </c>
      <c r="D288" s="13" t="s">
        <v>636</v>
      </c>
      <c r="E288" s="13">
        <v>4505864</v>
      </c>
      <c r="F288" s="13" t="s">
        <v>132</v>
      </c>
      <c r="G288" s="13" t="s">
        <v>21</v>
      </c>
      <c r="H288" s="13" t="s">
        <v>20</v>
      </c>
      <c r="I288" s="13" t="s">
        <v>648</v>
      </c>
      <c r="J288" s="110">
        <v>0.18</v>
      </c>
      <c r="K288" s="111">
        <v>2400</v>
      </c>
      <c r="L288" s="110">
        <v>439.09</v>
      </c>
      <c r="M288" s="13" t="s">
        <v>659</v>
      </c>
      <c r="N288" s="13" t="s">
        <v>660</v>
      </c>
      <c r="O288" s="13" t="s">
        <v>653</v>
      </c>
      <c r="P288" s="13" t="s">
        <v>648</v>
      </c>
      <c r="Q288" s="13" t="s">
        <v>671</v>
      </c>
      <c r="R288" s="13" t="s">
        <v>677</v>
      </c>
      <c r="S288" s="13" t="s">
        <v>641</v>
      </c>
      <c r="T288" s="13" t="s">
        <v>641</v>
      </c>
    </row>
    <row r="289" customFormat="1" spans="1:20">
      <c r="A289" s="109">
        <v>45748</v>
      </c>
      <c r="B289" s="109">
        <v>45777</v>
      </c>
      <c r="C289" s="13" t="s">
        <v>635</v>
      </c>
      <c r="D289" s="13" t="s">
        <v>636</v>
      </c>
      <c r="E289" s="13">
        <v>4505865</v>
      </c>
      <c r="F289" s="13" t="s">
        <v>165</v>
      </c>
      <c r="G289" s="13" t="s">
        <v>21</v>
      </c>
      <c r="H289" s="13" t="s">
        <v>20</v>
      </c>
      <c r="I289" s="13" t="s">
        <v>648</v>
      </c>
      <c r="J289" s="110">
        <v>0.1</v>
      </c>
      <c r="K289" s="111">
        <v>2400</v>
      </c>
      <c r="L289" s="110">
        <v>240</v>
      </c>
      <c r="M289" s="13" t="s">
        <v>659</v>
      </c>
      <c r="N289" s="13" t="s">
        <v>660</v>
      </c>
      <c r="O289" s="13" t="s">
        <v>653</v>
      </c>
      <c r="P289" s="13" t="s">
        <v>648</v>
      </c>
      <c r="Q289" s="13" t="s">
        <v>671</v>
      </c>
      <c r="R289" s="13" t="s">
        <v>677</v>
      </c>
      <c r="S289" s="13" t="s">
        <v>641</v>
      </c>
      <c r="T289" s="13" t="s">
        <v>641</v>
      </c>
    </row>
    <row r="290" customFormat="1" spans="1:20">
      <c r="A290" s="109">
        <v>45748</v>
      </c>
      <c r="B290" s="109">
        <v>45777</v>
      </c>
      <c r="C290" s="13" t="s">
        <v>635</v>
      </c>
      <c r="D290" s="13" t="s">
        <v>636</v>
      </c>
      <c r="E290" s="13">
        <v>4505920</v>
      </c>
      <c r="F290" s="13" t="s">
        <v>425</v>
      </c>
      <c r="G290" s="13" t="s">
        <v>45</v>
      </c>
      <c r="H290" s="13" t="s">
        <v>44</v>
      </c>
      <c r="I290" s="13" t="s">
        <v>637</v>
      </c>
      <c r="J290" s="110">
        <v>0.67</v>
      </c>
      <c r="K290" s="111">
        <v>16</v>
      </c>
      <c r="L290" s="110">
        <v>10.67</v>
      </c>
      <c r="M290" s="13" t="s">
        <v>21</v>
      </c>
      <c r="N290" s="13" t="s">
        <v>638</v>
      </c>
      <c r="O290" s="13" t="s">
        <v>639</v>
      </c>
      <c r="P290" s="13" t="s">
        <v>637</v>
      </c>
      <c r="Q290" s="13" t="s">
        <v>640</v>
      </c>
      <c r="R290" s="13" t="s">
        <v>641</v>
      </c>
      <c r="S290" s="13" t="s">
        <v>641</v>
      </c>
      <c r="T290" s="13" t="s">
        <v>641</v>
      </c>
    </row>
    <row r="291" customFormat="1" spans="1:20">
      <c r="A291" s="109">
        <v>45748</v>
      </c>
      <c r="B291" s="109">
        <v>45777</v>
      </c>
      <c r="C291" s="13" t="s">
        <v>635</v>
      </c>
      <c r="D291" s="13" t="s">
        <v>636</v>
      </c>
      <c r="E291" s="13">
        <v>4505985</v>
      </c>
      <c r="F291" s="13" t="s">
        <v>705</v>
      </c>
      <c r="G291" s="13" t="s">
        <v>74</v>
      </c>
      <c r="H291" s="13" t="s">
        <v>73</v>
      </c>
      <c r="I291" s="13" t="s">
        <v>637</v>
      </c>
      <c r="J291" s="110">
        <v>17.6</v>
      </c>
      <c r="K291" s="111">
        <v>0.454</v>
      </c>
      <c r="L291" s="110">
        <v>7.99</v>
      </c>
      <c r="M291" s="13" t="s">
        <v>21</v>
      </c>
      <c r="N291" s="13" t="s">
        <v>638</v>
      </c>
      <c r="O291" s="13" t="s">
        <v>639</v>
      </c>
      <c r="P291" s="13" t="s">
        <v>637</v>
      </c>
      <c r="Q291" s="13" t="s">
        <v>646</v>
      </c>
      <c r="R291" s="13" t="s">
        <v>641</v>
      </c>
      <c r="S291" s="13" t="s">
        <v>641</v>
      </c>
      <c r="T291" s="13" t="s">
        <v>641</v>
      </c>
    </row>
    <row r="292" customFormat="1" spans="1:20">
      <c r="A292" s="109">
        <v>45748</v>
      </c>
      <c r="B292" s="109">
        <v>45777</v>
      </c>
      <c r="C292" s="13" t="s">
        <v>635</v>
      </c>
      <c r="D292" s="13" t="s">
        <v>636</v>
      </c>
      <c r="E292" s="13">
        <v>4505992</v>
      </c>
      <c r="F292" s="13" t="s">
        <v>179</v>
      </c>
      <c r="G292" s="13" t="s">
        <v>33</v>
      </c>
      <c r="H292" s="13" t="s">
        <v>32</v>
      </c>
      <c r="I292" s="13" t="s">
        <v>637</v>
      </c>
      <c r="J292" s="110">
        <v>0.1</v>
      </c>
      <c r="K292" s="111">
        <v>140</v>
      </c>
      <c r="L292" s="110">
        <v>14</v>
      </c>
      <c r="M292" s="13" t="s">
        <v>659</v>
      </c>
      <c r="N292" s="13" t="s">
        <v>660</v>
      </c>
      <c r="O292" s="13" t="s">
        <v>639</v>
      </c>
      <c r="P292" s="13" t="s">
        <v>637</v>
      </c>
      <c r="Q292" s="13" t="s">
        <v>646</v>
      </c>
      <c r="R292" s="13" t="s">
        <v>641</v>
      </c>
      <c r="S292" s="13" t="s">
        <v>641</v>
      </c>
      <c r="T292" s="13" t="s">
        <v>641</v>
      </c>
    </row>
    <row r="293" customFormat="1" spans="1:20">
      <c r="A293" s="109">
        <v>45748</v>
      </c>
      <c r="B293" s="109">
        <v>45777</v>
      </c>
      <c r="C293" s="13" t="s">
        <v>635</v>
      </c>
      <c r="D293" s="13" t="s">
        <v>636</v>
      </c>
      <c r="E293" s="13">
        <v>4506555</v>
      </c>
      <c r="F293" s="13" t="s">
        <v>68</v>
      </c>
      <c r="G293" s="13" t="s">
        <v>26</v>
      </c>
      <c r="H293" s="13" t="s">
        <v>25</v>
      </c>
      <c r="I293" s="13" t="s">
        <v>648</v>
      </c>
      <c r="J293" s="110">
        <v>0.17</v>
      </c>
      <c r="K293" s="111">
        <v>2400</v>
      </c>
      <c r="L293" s="110">
        <v>410</v>
      </c>
      <c r="M293" s="13" t="s">
        <v>659</v>
      </c>
      <c r="N293" s="13" t="s">
        <v>660</v>
      </c>
      <c r="O293" s="13" t="s">
        <v>653</v>
      </c>
      <c r="P293" s="13" t="s">
        <v>648</v>
      </c>
      <c r="Q293" s="13" t="s">
        <v>671</v>
      </c>
      <c r="R293" s="13" t="s">
        <v>677</v>
      </c>
      <c r="S293" s="13" t="s">
        <v>641</v>
      </c>
      <c r="T293" s="13" t="s">
        <v>641</v>
      </c>
    </row>
    <row r="294" customFormat="1" spans="1:20">
      <c r="A294" s="109">
        <v>45748</v>
      </c>
      <c r="B294" s="109">
        <v>45777</v>
      </c>
      <c r="C294" s="13" t="s">
        <v>635</v>
      </c>
      <c r="D294" s="13" t="s">
        <v>636</v>
      </c>
      <c r="E294" s="13">
        <v>4506632</v>
      </c>
      <c r="F294" s="13" t="s">
        <v>94</v>
      </c>
      <c r="G294" s="13" t="s">
        <v>21</v>
      </c>
      <c r="H294" s="13" t="s">
        <v>20</v>
      </c>
      <c r="I294" s="13" t="s">
        <v>648</v>
      </c>
      <c r="J294" s="110">
        <v>0.25</v>
      </c>
      <c r="K294" s="111">
        <v>1100</v>
      </c>
      <c r="L294" s="110">
        <v>275</v>
      </c>
      <c r="M294" s="13" t="s">
        <v>669</v>
      </c>
      <c r="N294" s="13" t="s">
        <v>670</v>
      </c>
      <c r="O294" s="13" t="s">
        <v>653</v>
      </c>
      <c r="P294" s="13" t="s">
        <v>648</v>
      </c>
      <c r="Q294" s="13" t="s">
        <v>671</v>
      </c>
      <c r="R294" s="13" t="s">
        <v>672</v>
      </c>
      <c r="S294" s="13" t="s">
        <v>641</v>
      </c>
      <c r="T294" s="13" t="s">
        <v>641</v>
      </c>
    </row>
    <row r="295" customFormat="1" spans="1:20">
      <c r="A295" s="109">
        <v>45748</v>
      </c>
      <c r="B295" s="109">
        <v>45777</v>
      </c>
      <c r="C295" s="13" t="s">
        <v>635</v>
      </c>
      <c r="D295" s="13" t="s">
        <v>636</v>
      </c>
      <c r="E295" s="13">
        <v>4507216</v>
      </c>
      <c r="F295" s="13" t="s">
        <v>554</v>
      </c>
      <c r="G295" s="13" t="s">
        <v>33</v>
      </c>
      <c r="H295" s="13" t="s">
        <v>32</v>
      </c>
      <c r="I295" s="13" t="s">
        <v>637</v>
      </c>
      <c r="J295" s="110">
        <v>6.72</v>
      </c>
      <c r="K295" s="111">
        <v>38</v>
      </c>
      <c r="L295" s="110">
        <v>255.36</v>
      </c>
      <c r="M295" s="13" t="s">
        <v>658</v>
      </c>
      <c r="N295" s="13" t="s">
        <v>646</v>
      </c>
      <c r="O295" s="13" t="s">
        <v>639</v>
      </c>
      <c r="P295" s="13" t="s">
        <v>637</v>
      </c>
      <c r="Q295" s="13" t="s">
        <v>646</v>
      </c>
      <c r="R295" s="13" t="s">
        <v>641</v>
      </c>
      <c r="S295" s="13" t="s">
        <v>641</v>
      </c>
      <c r="T295" s="13" t="s">
        <v>641</v>
      </c>
    </row>
    <row r="296" customFormat="1" spans="1:20">
      <c r="A296" s="109">
        <v>45748</v>
      </c>
      <c r="B296" s="109">
        <v>45777</v>
      </c>
      <c r="C296" s="13" t="s">
        <v>635</v>
      </c>
      <c r="D296" s="13" t="s">
        <v>636</v>
      </c>
      <c r="E296" s="13">
        <v>4508256</v>
      </c>
      <c r="F296" s="13" t="s">
        <v>224</v>
      </c>
      <c r="G296" s="13" t="s">
        <v>138</v>
      </c>
      <c r="H296" s="13" t="s">
        <v>137</v>
      </c>
      <c r="I296" s="13" t="s">
        <v>637</v>
      </c>
      <c r="J296" s="110">
        <v>0.53</v>
      </c>
      <c r="K296" s="111">
        <v>5560</v>
      </c>
      <c r="L296" s="110">
        <v>2930.58</v>
      </c>
      <c r="M296" s="13" t="s">
        <v>30</v>
      </c>
      <c r="N296" s="13" t="s">
        <v>655</v>
      </c>
      <c r="O296" s="13" t="s">
        <v>639</v>
      </c>
      <c r="P296" s="13" t="s">
        <v>637</v>
      </c>
      <c r="Q296" s="13" t="s">
        <v>640</v>
      </c>
      <c r="R296" s="13" t="s">
        <v>641</v>
      </c>
      <c r="S296" s="13" t="s">
        <v>641</v>
      </c>
      <c r="T296" s="13" t="s">
        <v>641</v>
      </c>
    </row>
    <row r="297" customFormat="1" spans="1:20">
      <c r="A297" s="109">
        <v>45748</v>
      </c>
      <c r="B297" s="109">
        <v>45777</v>
      </c>
      <c r="C297" s="13" t="s">
        <v>635</v>
      </c>
      <c r="D297" s="13" t="s">
        <v>636</v>
      </c>
      <c r="E297" s="13">
        <v>4509073</v>
      </c>
      <c r="F297" s="13" t="s">
        <v>16</v>
      </c>
      <c r="G297" s="13" t="s">
        <v>18</v>
      </c>
      <c r="H297" s="13" t="s">
        <v>17</v>
      </c>
      <c r="I297" s="13" t="s">
        <v>637</v>
      </c>
      <c r="J297" s="110">
        <v>9.59</v>
      </c>
      <c r="K297" s="111">
        <v>160.6</v>
      </c>
      <c r="L297" s="110">
        <v>1540.02</v>
      </c>
      <c r="M297" s="13" t="s">
        <v>93</v>
      </c>
      <c r="N297" s="13" t="s">
        <v>644</v>
      </c>
      <c r="O297" s="13" t="s">
        <v>639</v>
      </c>
      <c r="P297" s="13" t="s">
        <v>637</v>
      </c>
      <c r="Q297" s="13" t="s">
        <v>644</v>
      </c>
      <c r="R297" s="13" t="s">
        <v>641</v>
      </c>
      <c r="S297" s="13" t="s">
        <v>641</v>
      </c>
      <c r="T297" s="13" t="s">
        <v>641</v>
      </c>
    </row>
    <row r="298" customFormat="1" spans="1:20">
      <c r="A298" s="109">
        <v>45748</v>
      </c>
      <c r="B298" s="109">
        <v>45777</v>
      </c>
      <c r="C298" s="13" t="s">
        <v>635</v>
      </c>
      <c r="D298" s="13" t="s">
        <v>636</v>
      </c>
      <c r="E298" s="13">
        <v>4509249</v>
      </c>
      <c r="F298" s="13" t="s">
        <v>706</v>
      </c>
      <c r="G298" s="13" t="s">
        <v>74</v>
      </c>
      <c r="H298" s="13" t="s">
        <v>73</v>
      </c>
      <c r="I298" s="13" t="s">
        <v>637</v>
      </c>
      <c r="J298" s="110">
        <v>12.94</v>
      </c>
      <c r="K298" s="111">
        <v>434.01</v>
      </c>
      <c r="L298" s="110">
        <v>5616.07</v>
      </c>
      <c r="M298" s="13" t="s">
        <v>643</v>
      </c>
      <c r="N298" s="13" t="s">
        <v>642</v>
      </c>
      <c r="O298" s="13" t="s">
        <v>639</v>
      </c>
      <c r="P298" s="13" t="s">
        <v>637</v>
      </c>
      <c r="Q298" s="13" t="s">
        <v>642</v>
      </c>
      <c r="R298" s="13" t="s">
        <v>641</v>
      </c>
      <c r="S298" s="13" t="s">
        <v>641</v>
      </c>
      <c r="T298" s="13" t="s">
        <v>641</v>
      </c>
    </row>
    <row r="299" customFormat="1" spans="1:20">
      <c r="A299" s="109">
        <v>45748</v>
      </c>
      <c r="B299" s="109">
        <v>45777</v>
      </c>
      <c r="C299" s="13" t="s">
        <v>635</v>
      </c>
      <c r="D299" s="13" t="s">
        <v>636</v>
      </c>
      <c r="E299" s="13">
        <v>4510251</v>
      </c>
      <c r="F299" s="13" t="s">
        <v>437</v>
      </c>
      <c r="G299" s="13" t="s">
        <v>74</v>
      </c>
      <c r="H299" s="13" t="s">
        <v>73</v>
      </c>
      <c r="I299" s="13" t="s">
        <v>637</v>
      </c>
      <c r="J299" s="110">
        <v>3.75</v>
      </c>
      <c r="K299" s="111">
        <v>24</v>
      </c>
      <c r="L299" s="110">
        <v>90</v>
      </c>
      <c r="M299" s="13" t="s">
        <v>21</v>
      </c>
      <c r="N299" s="13" t="s">
        <v>638</v>
      </c>
      <c r="O299" s="13" t="s">
        <v>639</v>
      </c>
      <c r="P299" s="13" t="s">
        <v>637</v>
      </c>
      <c r="Q299" s="13" t="s">
        <v>649</v>
      </c>
      <c r="R299" s="13" t="s">
        <v>641</v>
      </c>
      <c r="S299" s="13" t="s">
        <v>641</v>
      </c>
      <c r="T299" s="13" t="s">
        <v>641</v>
      </c>
    </row>
    <row r="300" customFormat="1" spans="1:20">
      <c r="A300" s="109">
        <v>45748</v>
      </c>
      <c r="B300" s="109">
        <v>45777</v>
      </c>
      <c r="C300" s="13" t="s">
        <v>635</v>
      </c>
      <c r="D300" s="13" t="s">
        <v>636</v>
      </c>
      <c r="E300" s="13">
        <v>4510491</v>
      </c>
      <c r="F300" s="13" t="s">
        <v>135</v>
      </c>
      <c r="G300" s="13" t="s">
        <v>74</v>
      </c>
      <c r="H300" s="13" t="s">
        <v>73</v>
      </c>
      <c r="I300" s="13" t="s">
        <v>637</v>
      </c>
      <c r="J300" s="110">
        <v>24</v>
      </c>
      <c r="K300" s="111">
        <v>11</v>
      </c>
      <c r="L300" s="110">
        <v>264</v>
      </c>
      <c r="M300" s="13" t="s">
        <v>93</v>
      </c>
      <c r="N300" s="13" t="s">
        <v>644</v>
      </c>
      <c r="O300" s="13" t="s">
        <v>639</v>
      </c>
      <c r="P300" s="13" t="s">
        <v>637</v>
      </c>
      <c r="Q300" s="13" t="s">
        <v>642</v>
      </c>
      <c r="R300" s="13" t="s">
        <v>641</v>
      </c>
      <c r="S300" s="13" t="s">
        <v>641</v>
      </c>
      <c r="T300" s="13" t="s">
        <v>641</v>
      </c>
    </row>
    <row r="301" customFormat="1" spans="1:20">
      <c r="A301" s="109">
        <v>45748</v>
      </c>
      <c r="B301" s="109">
        <v>45777</v>
      </c>
      <c r="C301" s="13" t="s">
        <v>635</v>
      </c>
      <c r="D301" s="13" t="s">
        <v>636</v>
      </c>
      <c r="E301" s="13">
        <v>4510656</v>
      </c>
      <c r="F301" s="13" t="s">
        <v>707</v>
      </c>
      <c r="G301" s="13" t="s">
        <v>74</v>
      </c>
      <c r="H301" s="13" t="s">
        <v>73</v>
      </c>
      <c r="I301" s="13" t="s">
        <v>637</v>
      </c>
      <c r="J301" s="110">
        <v>27</v>
      </c>
      <c r="K301" s="111">
        <v>21.5</v>
      </c>
      <c r="L301" s="110">
        <v>580.5</v>
      </c>
      <c r="M301" s="13" t="s">
        <v>643</v>
      </c>
      <c r="N301" s="13" t="s">
        <v>642</v>
      </c>
      <c r="O301" s="13" t="s">
        <v>639</v>
      </c>
      <c r="P301" s="13" t="s">
        <v>637</v>
      </c>
      <c r="Q301" s="13" t="s">
        <v>642</v>
      </c>
      <c r="R301" s="13" t="s">
        <v>641</v>
      </c>
      <c r="S301" s="13" t="s">
        <v>641</v>
      </c>
      <c r="T301" s="13" t="s">
        <v>641</v>
      </c>
    </row>
    <row r="302" customFormat="1" spans="1:20">
      <c r="A302" s="109">
        <v>45748</v>
      </c>
      <c r="B302" s="109">
        <v>45777</v>
      </c>
      <c r="C302" s="13" t="s">
        <v>635</v>
      </c>
      <c r="D302" s="13" t="s">
        <v>636</v>
      </c>
      <c r="E302" s="13">
        <v>4510760</v>
      </c>
      <c r="F302" s="13" t="s">
        <v>131</v>
      </c>
      <c r="G302" s="13" t="s">
        <v>67</v>
      </c>
      <c r="H302" s="13" t="s">
        <v>66</v>
      </c>
      <c r="I302" s="13" t="s">
        <v>648</v>
      </c>
      <c r="J302" s="110">
        <v>9.38</v>
      </c>
      <c r="K302" s="111">
        <v>26</v>
      </c>
      <c r="L302" s="110">
        <v>243.75</v>
      </c>
      <c r="M302" s="13" t="s">
        <v>674</v>
      </c>
      <c r="N302" s="13" t="s">
        <v>675</v>
      </c>
      <c r="O302" s="13" t="s">
        <v>653</v>
      </c>
      <c r="P302" s="13" t="s">
        <v>648</v>
      </c>
      <c r="Q302" s="13" t="s">
        <v>671</v>
      </c>
      <c r="R302" s="13" t="s">
        <v>676</v>
      </c>
      <c r="S302" s="13" t="s">
        <v>641</v>
      </c>
      <c r="T302" s="13" t="s">
        <v>641</v>
      </c>
    </row>
    <row r="303" customFormat="1" spans="1:20">
      <c r="A303" s="109">
        <v>45748</v>
      </c>
      <c r="B303" s="109">
        <v>45777</v>
      </c>
      <c r="C303" s="13" t="s">
        <v>635</v>
      </c>
      <c r="D303" s="13" t="s">
        <v>636</v>
      </c>
      <c r="E303" s="13">
        <v>4512205</v>
      </c>
      <c r="F303" s="13" t="s">
        <v>395</v>
      </c>
      <c r="G303" s="13" t="s">
        <v>37</v>
      </c>
      <c r="H303" s="13" t="s">
        <v>647</v>
      </c>
      <c r="I303" s="13" t="s">
        <v>637</v>
      </c>
      <c r="J303" s="110">
        <v>6.02</v>
      </c>
      <c r="K303" s="111">
        <v>174</v>
      </c>
      <c r="L303" s="110">
        <v>1047.91</v>
      </c>
      <c r="M303" s="13" t="s">
        <v>21</v>
      </c>
      <c r="N303" s="13" t="s">
        <v>638</v>
      </c>
      <c r="O303" s="13" t="s">
        <v>639</v>
      </c>
      <c r="P303" s="13" t="s">
        <v>637</v>
      </c>
      <c r="Q303" s="13" t="s">
        <v>640</v>
      </c>
      <c r="R303" s="13" t="s">
        <v>641</v>
      </c>
      <c r="S303" s="13" t="s">
        <v>641</v>
      </c>
      <c r="T303" s="13" t="s">
        <v>641</v>
      </c>
    </row>
    <row r="304" customFormat="1" spans="1:20">
      <c r="A304" s="109">
        <v>45748</v>
      </c>
      <c r="B304" s="109">
        <v>45777</v>
      </c>
      <c r="C304" s="13" t="s">
        <v>635</v>
      </c>
      <c r="D304" s="13" t="s">
        <v>636</v>
      </c>
      <c r="E304" s="13">
        <v>4512264</v>
      </c>
      <c r="F304" s="13" t="s">
        <v>126</v>
      </c>
      <c r="G304" s="13" t="s">
        <v>128</v>
      </c>
      <c r="H304" s="13" t="s">
        <v>127</v>
      </c>
      <c r="I304" s="13" t="s">
        <v>637</v>
      </c>
      <c r="J304" s="110">
        <v>2.2</v>
      </c>
      <c r="K304" s="111">
        <v>50</v>
      </c>
      <c r="L304" s="110">
        <v>110</v>
      </c>
      <c r="M304" s="13" t="s">
        <v>97</v>
      </c>
      <c r="N304" s="13" t="s">
        <v>656</v>
      </c>
      <c r="O304" s="13" t="s">
        <v>639</v>
      </c>
      <c r="P304" s="13" t="s">
        <v>637</v>
      </c>
      <c r="Q304" s="13" t="s">
        <v>656</v>
      </c>
      <c r="R304" s="13" t="s">
        <v>641</v>
      </c>
      <c r="S304" s="13" t="s">
        <v>641</v>
      </c>
      <c r="T304" s="13" t="s">
        <v>641</v>
      </c>
    </row>
    <row r="305" customFormat="1" spans="1:20">
      <c r="A305" s="109">
        <v>45748</v>
      </c>
      <c r="B305" s="109">
        <v>45777</v>
      </c>
      <c r="C305" s="13" t="s">
        <v>635</v>
      </c>
      <c r="D305" s="13" t="s">
        <v>636</v>
      </c>
      <c r="E305" s="13">
        <v>4512428</v>
      </c>
      <c r="F305" s="13" t="s">
        <v>227</v>
      </c>
      <c r="G305" s="13" t="s">
        <v>138</v>
      </c>
      <c r="H305" s="13" t="s">
        <v>137</v>
      </c>
      <c r="I305" s="13" t="s">
        <v>637</v>
      </c>
      <c r="J305" s="110">
        <v>9.5</v>
      </c>
      <c r="K305" s="111">
        <v>35</v>
      </c>
      <c r="L305" s="110">
        <v>332.56</v>
      </c>
      <c r="M305" s="13" t="s">
        <v>643</v>
      </c>
      <c r="N305" s="13" t="s">
        <v>642</v>
      </c>
      <c r="O305" s="13" t="s">
        <v>639</v>
      </c>
      <c r="P305" s="13" t="s">
        <v>637</v>
      </c>
      <c r="Q305" s="13" t="s">
        <v>642</v>
      </c>
      <c r="R305" s="13" t="s">
        <v>641</v>
      </c>
      <c r="S305" s="13" t="s">
        <v>641</v>
      </c>
      <c r="T305" s="13" t="s">
        <v>641</v>
      </c>
    </row>
    <row r="306" customFormat="1" spans="1:20">
      <c r="A306" s="109">
        <v>45748</v>
      </c>
      <c r="B306" s="109">
        <v>45777</v>
      </c>
      <c r="C306" s="13" t="s">
        <v>635</v>
      </c>
      <c r="D306" s="13" t="s">
        <v>636</v>
      </c>
      <c r="E306" s="13">
        <v>4512509</v>
      </c>
      <c r="F306" s="13" t="s">
        <v>708</v>
      </c>
      <c r="G306" s="13" t="s">
        <v>33</v>
      </c>
      <c r="H306" s="13" t="s">
        <v>32</v>
      </c>
      <c r="I306" s="13" t="s">
        <v>637</v>
      </c>
      <c r="J306" s="110">
        <v>6.78</v>
      </c>
      <c r="K306" s="111">
        <v>8</v>
      </c>
      <c r="L306" s="110">
        <v>54.22</v>
      </c>
      <c r="M306" s="13" t="s">
        <v>658</v>
      </c>
      <c r="N306" s="13" t="s">
        <v>646</v>
      </c>
      <c r="O306" s="13" t="s">
        <v>639</v>
      </c>
      <c r="P306" s="13" t="s">
        <v>637</v>
      </c>
      <c r="Q306" s="13" t="s">
        <v>649</v>
      </c>
      <c r="R306" s="13" t="s">
        <v>641</v>
      </c>
      <c r="S306" s="13" t="s">
        <v>641</v>
      </c>
      <c r="T306" s="13" t="s">
        <v>641</v>
      </c>
    </row>
    <row r="307" customFormat="1" spans="1:20">
      <c r="A307" s="109">
        <v>45748</v>
      </c>
      <c r="B307" s="109">
        <v>45777</v>
      </c>
      <c r="C307" s="13" t="s">
        <v>635</v>
      </c>
      <c r="D307" s="13" t="s">
        <v>636</v>
      </c>
      <c r="E307" s="13">
        <v>4512680</v>
      </c>
      <c r="F307" s="13" t="s">
        <v>436</v>
      </c>
      <c r="G307" s="13" t="s">
        <v>74</v>
      </c>
      <c r="H307" s="13" t="s">
        <v>73</v>
      </c>
      <c r="I307" s="13" t="s">
        <v>637</v>
      </c>
      <c r="J307" s="110">
        <v>8.82</v>
      </c>
      <c r="K307" s="111">
        <v>7.5</v>
      </c>
      <c r="L307" s="110">
        <v>66.13</v>
      </c>
      <c r="M307" s="13" t="s">
        <v>21</v>
      </c>
      <c r="N307" s="13" t="s">
        <v>638</v>
      </c>
      <c r="O307" s="13" t="s">
        <v>639</v>
      </c>
      <c r="P307" s="13" t="s">
        <v>637</v>
      </c>
      <c r="Q307" s="13" t="s">
        <v>642</v>
      </c>
      <c r="R307" s="13" t="s">
        <v>641</v>
      </c>
      <c r="S307" s="13" t="s">
        <v>641</v>
      </c>
      <c r="T307" s="13" t="s">
        <v>641</v>
      </c>
    </row>
    <row r="308" customFormat="1" spans="1:20">
      <c r="A308" s="109">
        <v>45748</v>
      </c>
      <c r="B308" s="109">
        <v>45777</v>
      </c>
      <c r="C308" s="13" t="s">
        <v>635</v>
      </c>
      <c r="D308" s="13" t="s">
        <v>636</v>
      </c>
      <c r="E308" s="13">
        <v>4512683</v>
      </c>
      <c r="F308" s="13" t="s">
        <v>257</v>
      </c>
      <c r="G308" s="13" t="s">
        <v>74</v>
      </c>
      <c r="H308" s="13" t="s">
        <v>73</v>
      </c>
      <c r="I308" s="13" t="s">
        <v>637</v>
      </c>
      <c r="J308" s="110">
        <v>8.78</v>
      </c>
      <c r="K308" s="111">
        <v>120</v>
      </c>
      <c r="L308" s="110">
        <v>1053.25</v>
      </c>
      <c r="M308" s="13" t="s">
        <v>261</v>
      </c>
      <c r="N308" s="13" t="s">
        <v>654</v>
      </c>
      <c r="O308" s="13" t="s">
        <v>639</v>
      </c>
      <c r="P308" s="13" t="s">
        <v>637</v>
      </c>
      <c r="Q308" s="13" t="s">
        <v>649</v>
      </c>
      <c r="R308" s="13" t="s">
        <v>641</v>
      </c>
      <c r="S308" s="13" t="s">
        <v>641</v>
      </c>
      <c r="T308" s="13" t="s">
        <v>641</v>
      </c>
    </row>
    <row r="309" customFormat="1" spans="1:20">
      <c r="A309" s="109">
        <v>45748</v>
      </c>
      <c r="B309" s="109">
        <v>45777</v>
      </c>
      <c r="C309" s="13" t="s">
        <v>635</v>
      </c>
      <c r="D309" s="13" t="s">
        <v>636</v>
      </c>
      <c r="E309" s="13">
        <v>4512865</v>
      </c>
      <c r="F309" s="13" t="s">
        <v>314</v>
      </c>
      <c r="G309" s="13" t="s">
        <v>74</v>
      </c>
      <c r="H309" s="13" t="s">
        <v>73</v>
      </c>
      <c r="I309" s="13" t="s">
        <v>637</v>
      </c>
      <c r="J309" s="110">
        <v>6</v>
      </c>
      <c r="K309" s="111">
        <v>7.25</v>
      </c>
      <c r="L309" s="110">
        <v>43.5</v>
      </c>
      <c r="M309" s="13" t="s">
        <v>30</v>
      </c>
      <c r="N309" s="13" t="s">
        <v>655</v>
      </c>
      <c r="O309" s="13" t="s">
        <v>639</v>
      </c>
      <c r="P309" s="13" t="s">
        <v>637</v>
      </c>
      <c r="Q309" s="13" t="s">
        <v>649</v>
      </c>
      <c r="R309" s="13" t="s">
        <v>641</v>
      </c>
      <c r="S309" s="13" t="s">
        <v>641</v>
      </c>
      <c r="T309" s="13" t="s">
        <v>641</v>
      </c>
    </row>
    <row r="310" customFormat="1" spans="1:20">
      <c r="A310" s="109">
        <v>45748</v>
      </c>
      <c r="B310" s="109">
        <v>45777</v>
      </c>
      <c r="C310" s="13" t="s">
        <v>635</v>
      </c>
      <c r="D310" s="13" t="s">
        <v>636</v>
      </c>
      <c r="E310" s="13">
        <v>4512888</v>
      </c>
      <c r="F310" s="13" t="s">
        <v>614</v>
      </c>
      <c r="G310" s="13" t="s">
        <v>74</v>
      </c>
      <c r="H310" s="13" t="s">
        <v>73</v>
      </c>
      <c r="I310" s="13" t="s">
        <v>648</v>
      </c>
      <c r="J310" s="110">
        <v>4.8</v>
      </c>
      <c r="K310" s="111">
        <v>2.75</v>
      </c>
      <c r="L310" s="110">
        <v>13.2</v>
      </c>
      <c r="M310" s="13" t="s">
        <v>97</v>
      </c>
      <c r="N310" s="13" t="s">
        <v>656</v>
      </c>
      <c r="O310" s="13" t="s">
        <v>639</v>
      </c>
      <c r="P310" s="13" t="s">
        <v>637</v>
      </c>
      <c r="Q310" s="13" t="s">
        <v>656</v>
      </c>
      <c r="R310" s="13" t="s">
        <v>641</v>
      </c>
      <c r="S310" s="13" t="s">
        <v>641</v>
      </c>
      <c r="T310" s="13" t="s">
        <v>641</v>
      </c>
    </row>
    <row r="311" customFormat="1" spans="1:20">
      <c r="A311" s="109">
        <v>45748</v>
      </c>
      <c r="B311" s="109">
        <v>45777</v>
      </c>
      <c r="C311" s="13" t="s">
        <v>635</v>
      </c>
      <c r="D311" s="13" t="s">
        <v>636</v>
      </c>
      <c r="E311" s="13">
        <v>4512888</v>
      </c>
      <c r="F311" s="13" t="s">
        <v>614</v>
      </c>
      <c r="G311" s="13" t="s">
        <v>74</v>
      </c>
      <c r="H311" s="13" t="s">
        <v>73</v>
      </c>
      <c r="I311" s="13" t="s">
        <v>637</v>
      </c>
      <c r="J311" s="110">
        <v>4.8</v>
      </c>
      <c r="K311" s="111">
        <v>63.45</v>
      </c>
      <c r="L311" s="110">
        <v>304.56</v>
      </c>
      <c r="M311" s="13" t="s">
        <v>97</v>
      </c>
      <c r="N311" s="13" t="s">
        <v>656</v>
      </c>
      <c r="O311" s="13" t="s">
        <v>639</v>
      </c>
      <c r="P311" s="13" t="s">
        <v>637</v>
      </c>
      <c r="Q311" s="13" t="s">
        <v>656</v>
      </c>
      <c r="R311" s="13" t="s">
        <v>641</v>
      </c>
      <c r="S311" s="13" t="s">
        <v>641</v>
      </c>
      <c r="T311" s="13" t="s">
        <v>641</v>
      </c>
    </row>
    <row r="312" customFormat="1" spans="1:20">
      <c r="A312" s="109">
        <v>45748</v>
      </c>
      <c r="B312" s="109">
        <v>45777</v>
      </c>
      <c r="C312" s="13" t="s">
        <v>635</v>
      </c>
      <c r="D312" s="13" t="s">
        <v>636</v>
      </c>
      <c r="E312" s="13">
        <v>4513019</v>
      </c>
      <c r="F312" s="13" t="s">
        <v>144</v>
      </c>
      <c r="G312" s="13" t="s">
        <v>146</v>
      </c>
      <c r="H312" s="13" t="s">
        <v>145</v>
      </c>
      <c r="I312" s="13" t="s">
        <v>637</v>
      </c>
      <c r="J312" s="110">
        <v>7.87</v>
      </c>
      <c r="K312" s="111">
        <v>92</v>
      </c>
      <c r="L312" s="110">
        <v>723.75</v>
      </c>
      <c r="M312" s="13" t="s">
        <v>21</v>
      </c>
      <c r="N312" s="13" t="s">
        <v>638</v>
      </c>
      <c r="O312" s="13" t="s">
        <v>639</v>
      </c>
      <c r="P312" s="13" t="s">
        <v>637</v>
      </c>
      <c r="Q312" s="13" t="s">
        <v>640</v>
      </c>
      <c r="R312" s="13" t="s">
        <v>641</v>
      </c>
      <c r="S312" s="13" t="s">
        <v>641</v>
      </c>
      <c r="T312" s="13" t="s">
        <v>641</v>
      </c>
    </row>
    <row r="313" customFormat="1" spans="1:20">
      <c r="A313" s="109">
        <v>45748</v>
      </c>
      <c r="B313" s="109">
        <v>45777</v>
      </c>
      <c r="C313" s="13" t="s">
        <v>635</v>
      </c>
      <c r="D313" s="13" t="s">
        <v>636</v>
      </c>
      <c r="E313" s="13">
        <v>4513296</v>
      </c>
      <c r="F313" s="13" t="s">
        <v>601</v>
      </c>
      <c r="G313" s="13" t="s">
        <v>74</v>
      </c>
      <c r="H313" s="13" t="s">
        <v>73</v>
      </c>
      <c r="I313" s="13" t="s">
        <v>637</v>
      </c>
      <c r="J313" s="110">
        <v>8.5</v>
      </c>
      <c r="K313" s="111">
        <v>10</v>
      </c>
      <c r="L313" s="110">
        <v>85</v>
      </c>
      <c r="M313" s="13" t="s">
        <v>478</v>
      </c>
      <c r="N313" s="13" t="s">
        <v>645</v>
      </c>
      <c r="O313" s="13" t="s">
        <v>639</v>
      </c>
      <c r="P313" s="13" t="s">
        <v>637</v>
      </c>
      <c r="Q313" s="13" t="s">
        <v>642</v>
      </c>
      <c r="R313" s="13" t="s">
        <v>641</v>
      </c>
      <c r="S313" s="13" t="s">
        <v>641</v>
      </c>
      <c r="T313" s="13" t="s">
        <v>641</v>
      </c>
    </row>
    <row r="314" customFormat="1" spans="1:20">
      <c r="A314" s="109">
        <v>45748</v>
      </c>
      <c r="B314" s="109">
        <v>45777</v>
      </c>
      <c r="C314" s="13" t="s">
        <v>635</v>
      </c>
      <c r="D314" s="13" t="s">
        <v>636</v>
      </c>
      <c r="E314" s="13">
        <v>4513501</v>
      </c>
      <c r="F314" s="13" t="s">
        <v>343</v>
      </c>
      <c r="G314" s="13" t="s">
        <v>30</v>
      </c>
      <c r="H314" s="13" t="s">
        <v>29</v>
      </c>
      <c r="I314" s="13" t="s">
        <v>637</v>
      </c>
      <c r="J314" s="110">
        <v>0.66</v>
      </c>
      <c r="K314" s="111">
        <v>878</v>
      </c>
      <c r="L314" s="110">
        <v>578.71</v>
      </c>
      <c r="M314" s="13" t="s">
        <v>21</v>
      </c>
      <c r="N314" s="13" t="s">
        <v>638</v>
      </c>
      <c r="O314" s="13" t="s">
        <v>639</v>
      </c>
      <c r="P314" s="13" t="s">
        <v>637</v>
      </c>
      <c r="Q314" s="13" t="s">
        <v>656</v>
      </c>
      <c r="R314" s="13" t="s">
        <v>641</v>
      </c>
      <c r="S314" s="13" t="s">
        <v>641</v>
      </c>
      <c r="T314" s="13" t="s">
        <v>641</v>
      </c>
    </row>
    <row r="315" customFormat="1" spans="1:20">
      <c r="A315" s="109">
        <v>45748</v>
      </c>
      <c r="B315" s="109">
        <v>45777</v>
      </c>
      <c r="C315" s="13" t="s">
        <v>635</v>
      </c>
      <c r="D315" s="13" t="s">
        <v>636</v>
      </c>
      <c r="E315" s="13">
        <v>4513503</v>
      </c>
      <c r="F315" s="13" t="s">
        <v>426</v>
      </c>
      <c r="G315" s="13" t="s">
        <v>37</v>
      </c>
      <c r="H315" s="13" t="s">
        <v>647</v>
      </c>
      <c r="I315" s="13" t="s">
        <v>637</v>
      </c>
      <c r="J315" s="110">
        <v>1.79</v>
      </c>
      <c r="K315" s="111">
        <v>330</v>
      </c>
      <c r="L315" s="110">
        <v>590.12</v>
      </c>
      <c r="M315" s="13" t="s">
        <v>97</v>
      </c>
      <c r="N315" s="13" t="s">
        <v>656</v>
      </c>
      <c r="O315" s="13" t="s">
        <v>639</v>
      </c>
      <c r="P315" s="13" t="s">
        <v>637</v>
      </c>
      <c r="Q315" s="13" t="s">
        <v>656</v>
      </c>
      <c r="R315" s="13" t="s">
        <v>641</v>
      </c>
      <c r="S315" s="13" t="s">
        <v>641</v>
      </c>
      <c r="T315" s="13" t="s">
        <v>641</v>
      </c>
    </row>
    <row r="316" customFormat="1" spans="1:20">
      <c r="A316" s="109">
        <v>45748</v>
      </c>
      <c r="B316" s="109">
        <v>45777</v>
      </c>
      <c r="C316" s="13" t="s">
        <v>635</v>
      </c>
      <c r="D316" s="13" t="s">
        <v>636</v>
      </c>
      <c r="E316" s="13">
        <v>4513626</v>
      </c>
      <c r="F316" s="13" t="s">
        <v>326</v>
      </c>
      <c r="G316" s="13" t="s">
        <v>33</v>
      </c>
      <c r="H316" s="13" t="s">
        <v>32</v>
      </c>
      <c r="I316" s="13" t="s">
        <v>637</v>
      </c>
      <c r="J316" s="110">
        <v>17.17</v>
      </c>
      <c r="K316" s="111">
        <v>3</v>
      </c>
      <c r="L316" s="110">
        <v>51.5</v>
      </c>
      <c r="M316" s="13" t="s">
        <v>21</v>
      </c>
      <c r="N316" s="13" t="s">
        <v>638</v>
      </c>
      <c r="O316" s="13" t="s">
        <v>639</v>
      </c>
      <c r="P316" s="13" t="s">
        <v>637</v>
      </c>
      <c r="Q316" s="13" t="s">
        <v>649</v>
      </c>
      <c r="R316" s="13" t="s">
        <v>641</v>
      </c>
      <c r="S316" s="13" t="s">
        <v>641</v>
      </c>
      <c r="T316" s="13" t="s">
        <v>641</v>
      </c>
    </row>
    <row r="317" customFormat="1" spans="1:20">
      <c r="A317" s="109">
        <v>45748</v>
      </c>
      <c r="B317" s="109">
        <v>45777</v>
      </c>
      <c r="C317" s="13" t="s">
        <v>635</v>
      </c>
      <c r="D317" s="13" t="s">
        <v>636</v>
      </c>
      <c r="E317" s="13">
        <v>4513639</v>
      </c>
      <c r="F317" s="13" t="s">
        <v>27</v>
      </c>
      <c r="G317" s="13" t="s">
        <v>21</v>
      </c>
      <c r="H317" s="13" t="s">
        <v>20</v>
      </c>
      <c r="I317" s="13" t="s">
        <v>648</v>
      </c>
      <c r="J317" s="110">
        <v>0.36</v>
      </c>
      <c r="K317" s="111">
        <v>3000</v>
      </c>
      <c r="L317" s="110">
        <v>1066.96</v>
      </c>
      <c r="M317" s="13" t="s">
        <v>659</v>
      </c>
      <c r="N317" s="13" t="s">
        <v>660</v>
      </c>
      <c r="O317" s="13" t="s">
        <v>653</v>
      </c>
      <c r="P317" s="13" t="s">
        <v>648</v>
      </c>
      <c r="Q317" s="13" t="s">
        <v>671</v>
      </c>
      <c r="R317" s="13" t="s">
        <v>677</v>
      </c>
      <c r="S317" s="13" t="s">
        <v>641</v>
      </c>
      <c r="T317" s="13" t="s">
        <v>641</v>
      </c>
    </row>
    <row r="318" customFormat="1" spans="1:20">
      <c r="A318" s="109">
        <v>45748</v>
      </c>
      <c r="B318" s="109">
        <v>45777</v>
      </c>
      <c r="C318" s="13" t="s">
        <v>635</v>
      </c>
      <c r="D318" s="13" t="s">
        <v>636</v>
      </c>
      <c r="E318" s="13">
        <v>4514284</v>
      </c>
      <c r="F318" s="13" t="s">
        <v>149</v>
      </c>
      <c r="G318" s="13" t="s">
        <v>151</v>
      </c>
      <c r="H318" s="13" t="s">
        <v>150</v>
      </c>
      <c r="I318" s="13" t="s">
        <v>648</v>
      </c>
      <c r="J318" s="110">
        <v>0.2</v>
      </c>
      <c r="K318" s="111">
        <v>88</v>
      </c>
      <c r="L318" s="110">
        <v>17.49</v>
      </c>
      <c r="M318" s="13" t="s">
        <v>659</v>
      </c>
      <c r="N318" s="13" t="s">
        <v>660</v>
      </c>
      <c r="O318" s="13" t="s">
        <v>653</v>
      </c>
      <c r="P318" s="13" t="s">
        <v>648</v>
      </c>
      <c r="Q318" s="13" t="s">
        <v>709</v>
      </c>
      <c r="R318" s="13" t="s">
        <v>641</v>
      </c>
      <c r="S318" s="13" t="s">
        <v>641</v>
      </c>
      <c r="T318" s="13" t="s">
        <v>641</v>
      </c>
    </row>
    <row r="319" customFormat="1" spans="1:20">
      <c r="A319" s="109">
        <v>45748</v>
      </c>
      <c r="B319" s="109">
        <v>45777</v>
      </c>
      <c r="C319" s="13" t="s">
        <v>635</v>
      </c>
      <c r="D319" s="13" t="s">
        <v>636</v>
      </c>
      <c r="E319" s="13">
        <v>4514410</v>
      </c>
      <c r="F319" s="13" t="s">
        <v>373</v>
      </c>
      <c r="G319" s="13" t="s">
        <v>56</v>
      </c>
      <c r="H319" s="13" t="s">
        <v>55</v>
      </c>
      <c r="I319" s="13" t="s">
        <v>637</v>
      </c>
      <c r="J319" s="110">
        <v>6.01</v>
      </c>
      <c r="K319" s="111">
        <v>106</v>
      </c>
      <c r="L319" s="110">
        <v>636.74</v>
      </c>
      <c r="M319" s="13" t="s">
        <v>658</v>
      </c>
      <c r="N319" s="13" t="s">
        <v>646</v>
      </c>
      <c r="O319" s="13" t="s">
        <v>639</v>
      </c>
      <c r="P319" s="13" t="s">
        <v>637</v>
      </c>
      <c r="Q319" s="13" t="s">
        <v>644</v>
      </c>
      <c r="R319" s="13" t="s">
        <v>641</v>
      </c>
      <c r="S319" s="13" t="s">
        <v>641</v>
      </c>
      <c r="T319" s="13" t="s">
        <v>641</v>
      </c>
    </row>
    <row r="320" customFormat="1" spans="1:20">
      <c r="A320" s="109">
        <v>45748</v>
      </c>
      <c r="B320" s="109">
        <v>45777</v>
      </c>
      <c r="C320" s="13" t="s">
        <v>635</v>
      </c>
      <c r="D320" s="13" t="s">
        <v>636</v>
      </c>
      <c r="E320" s="13">
        <v>4514538</v>
      </c>
      <c r="F320" s="13" t="s">
        <v>517</v>
      </c>
      <c r="G320" s="13" t="s">
        <v>37</v>
      </c>
      <c r="H320" s="13" t="s">
        <v>647</v>
      </c>
      <c r="I320" s="13" t="s">
        <v>637</v>
      </c>
      <c r="J320" s="110">
        <v>15</v>
      </c>
      <c r="K320" s="111">
        <v>4</v>
      </c>
      <c r="L320" s="110">
        <v>60</v>
      </c>
      <c r="M320" s="13" t="s">
        <v>97</v>
      </c>
      <c r="N320" s="13" t="s">
        <v>656</v>
      </c>
      <c r="O320" s="13" t="s">
        <v>639</v>
      </c>
      <c r="P320" s="13" t="s">
        <v>637</v>
      </c>
      <c r="Q320" s="13" t="s">
        <v>656</v>
      </c>
      <c r="R320" s="13" t="s">
        <v>641</v>
      </c>
      <c r="S320" s="13" t="s">
        <v>641</v>
      </c>
      <c r="T320" s="13" t="s">
        <v>641</v>
      </c>
    </row>
    <row r="321" customFormat="1" spans="1:20">
      <c r="A321" s="109">
        <v>45748</v>
      </c>
      <c r="B321" s="109">
        <v>45777</v>
      </c>
      <c r="C321" s="13" t="s">
        <v>635</v>
      </c>
      <c r="D321" s="13" t="s">
        <v>636</v>
      </c>
      <c r="E321" s="13">
        <v>4514602</v>
      </c>
      <c r="F321" s="13" t="s">
        <v>486</v>
      </c>
      <c r="G321" s="13" t="s">
        <v>74</v>
      </c>
      <c r="H321" s="13" t="s">
        <v>73</v>
      </c>
      <c r="I321" s="13" t="s">
        <v>637</v>
      </c>
      <c r="J321" s="110">
        <v>10.14</v>
      </c>
      <c r="K321" s="111">
        <v>226.8</v>
      </c>
      <c r="L321" s="110">
        <v>2299.52</v>
      </c>
      <c r="M321" s="13" t="s">
        <v>93</v>
      </c>
      <c r="N321" s="13" t="s">
        <v>644</v>
      </c>
      <c r="O321" s="13" t="s">
        <v>639</v>
      </c>
      <c r="P321" s="13" t="s">
        <v>637</v>
      </c>
      <c r="Q321" s="13" t="s">
        <v>644</v>
      </c>
      <c r="R321" s="13" t="s">
        <v>641</v>
      </c>
      <c r="S321" s="13" t="s">
        <v>641</v>
      </c>
      <c r="T321" s="13" t="s">
        <v>641</v>
      </c>
    </row>
    <row r="322" customFormat="1" spans="1:20">
      <c r="A322" s="109">
        <v>45748</v>
      </c>
      <c r="B322" s="109">
        <v>45777</v>
      </c>
      <c r="C322" s="13" t="s">
        <v>635</v>
      </c>
      <c r="D322" s="13" t="s">
        <v>636</v>
      </c>
      <c r="E322" s="13">
        <v>4514744</v>
      </c>
      <c r="F322" s="13" t="s">
        <v>57</v>
      </c>
      <c r="G322" s="13" t="s">
        <v>33</v>
      </c>
      <c r="H322" s="13" t="s">
        <v>32</v>
      </c>
      <c r="I322" s="13" t="s">
        <v>637</v>
      </c>
      <c r="J322" s="110">
        <v>27.68</v>
      </c>
      <c r="K322" s="111">
        <v>19</v>
      </c>
      <c r="L322" s="110">
        <v>525.99</v>
      </c>
      <c r="M322" s="13" t="s">
        <v>21</v>
      </c>
      <c r="N322" s="13" t="s">
        <v>638</v>
      </c>
      <c r="O322" s="13" t="s">
        <v>639</v>
      </c>
      <c r="P322" s="13" t="s">
        <v>637</v>
      </c>
      <c r="Q322" s="13" t="s">
        <v>640</v>
      </c>
      <c r="R322" s="13" t="s">
        <v>641</v>
      </c>
      <c r="S322" s="13" t="s">
        <v>641</v>
      </c>
      <c r="T322" s="13" t="s">
        <v>641</v>
      </c>
    </row>
    <row r="323" customFormat="1" spans="1:20">
      <c r="A323" s="109">
        <v>45748</v>
      </c>
      <c r="B323" s="109">
        <v>45777</v>
      </c>
      <c r="C323" s="13" t="s">
        <v>635</v>
      </c>
      <c r="D323" s="13" t="s">
        <v>636</v>
      </c>
      <c r="E323" s="13">
        <v>4514924</v>
      </c>
      <c r="F323" s="13" t="s">
        <v>585</v>
      </c>
      <c r="G323" s="13" t="s">
        <v>74</v>
      </c>
      <c r="H323" s="13" t="s">
        <v>73</v>
      </c>
      <c r="I323" s="13" t="s">
        <v>637</v>
      </c>
      <c r="J323" s="110">
        <v>14</v>
      </c>
      <c r="K323" s="111">
        <v>15.8</v>
      </c>
      <c r="L323" s="110">
        <v>221.2</v>
      </c>
      <c r="M323" s="13" t="s">
        <v>643</v>
      </c>
      <c r="N323" s="13" t="s">
        <v>642</v>
      </c>
      <c r="O323" s="13" t="s">
        <v>639</v>
      </c>
      <c r="P323" s="13" t="s">
        <v>637</v>
      </c>
      <c r="Q323" s="13" t="s">
        <v>642</v>
      </c>
      <c r="R323" s="13" t="s">
        <v>641</v>
      </c>
      <c r="S323" s="13" t="s">
        <v>641</v>
      </c>
      <c r="T323" s="13" t="s">
        <v>641</v>
      </c>
    </row>
    <row r="324" customFormat="1" spans="1:20">
      <c r="A324" s="109">
        <v>45748</v>
      </c>
      <c r="B324" s="109">
        <v>45777</v>
      </c>
      <c r="C324" s="13" t="s">
        <v>635</v>
      </c>
      <c r="D324" s="13" t="s">
        <v>636</v>
      </c>
      <c r="E324" s="13">
        <v>4515419</v>
      </c>
      <c r="F324" s="13" t="s">
        <v>158</v>
      </c>
      <c r="G324" s="13" t="s">
        <v>37</v>
      </c>
      <c r="H324" s="13" t="s">
        <v>647</v>
      </c>
      <c r="I324" s="13" t="s">
        <v>637</v>
      </c>
      <c r="J324" s="110">
        <v>6.32</v>
      </c>
      <c r="K324" s="111">
        <v>379.46</v>
      </c>
      <c r="L324" s="110">
        <v>2397.15</v>
      </c>
      <c r="M324" s="13" t="s">
        <v>643</v>
      </c>
      <c r="N324" s="13" t="s">
        <v>642</v>
      </c>
      <c r="O324" s="13" t="s">
        <v>639</v>
      </c>
      <c r="P324" s="13" t="s">
        <v>637</v>
      </c>
      <c r="Q324" s="13" t="s">
        <v>642</v>
      </c>
      <c r="R324" s="13" t="s">
        <v>641</v>
      </c>
      <c r="S324" s="13" t="s">
        <v>641</v>
      </c>
      <c r="T324" s="13" t="s">
        <v>641</v>
      </c>
    </row>
    <row r="325" customFormat="1" spans="1:20">
      <c r="A325" s="109">
        <v>45748</v>
      </c>
      <c r="B325" s="109">
        <v>45777</v>
      </c>
      <c r="C325" s="13" t="s">
        <v>635</v>
      </c>
      <c r="D325" s="13" t="s">
        <v>636</v>
      </c>
      <c r="E325" s="13">
        <v>4515458</v>
      </c>
      <c r="F325" s="13" t="s">
        <v>515</v>
      </c>
      <c r="G325" s="13" t="s">
        <v>74</v>
      </c>
      <c r="H325" s="13" t="s">
        <v>73</v>
      </c>
      <c r="I325" s="13" t="s">
        <v>637</v>
      </c>
      <c r="J325" s="110">
        <v>13.19</v>
      </c>
      <c r="K325" s="111">
        <v>43.2</v>
      </c>
      <c r="L325" s="110">
        <v>570</v>
      </c>
      <c r="M325" s="13" t="s">
        <v>97</v>
      </c>
      <c r="N325" s="13" t="s">
        <v>656</v>
      </c>
      <c r="O325" s="13" t="s">
        <v>639</v>
      </c>
      <c r="P325" s="13" t="s">
        <v>637</v>
      </c>
      <c r="Q325" s="13" t="s">
        <v>656</v>
      </c>
      <c r="R325" s="13" t="s">
        <v>641</v>
      </c>
      <c r="S325" s="13" t="s">
        <v>641</v>
      </c>
      <c r="T325" s="13" t="s">
        <v>641</v>
      </c>
    </row>
    <row r="326" customFormat="1" spans="1:20">
      <c r="A326" s="109">
        <v>45748</v>
      </c>
      <c r="B326" s="109">
        <v>45777</v>
      </c>
      <c r="C326" s="13" t="s">
        <v>635</v>
      </c>
      <c r="D326" s="13" t="s">
        <v>636</v>
      </c>
      <c r="E326" s="13">
        <v>4515468</v>
      </c>
      <c r="F326" s="13" t="s">
        <v>236</v>
      </c>
      <c r="G326" s="13" t="s">
        <v>37</v>
      </c>
      <c r="H326" s="13" t="s">
        <v>647</v>
      </c>
      <c r="I326" s="13" t="s">
        <v>637</v>
      </c>
      <c r="J326" s="110">
        <v>6.88</v>
      </c>
      <c r="K326" s="111">
        <v>111</v>
      </c>
      <c r="L326" s="110">
        <v>763.42</v>
      </c>
      <c r="M326" s="13" t="s">
        <v>643</v>
      </c>
      <c r="N326" s="13" t="s">
        <v>642</v>
      </c>
      <c r="O326" s="13" t="s">
        <v>639</v>
      </c>
      <c r="P326" s="13" t="s">
        <v>637</v>
      </c>
      <c r="Q326" s="13" t="s">
        <v>642</v>
      </c>
      <c r="R326" s="13" t="s">
        <v>641</v>
      </c>
      <c r="S326" s="13" t="s">
        <v>641</v>
      </c>
      <c r="T326" s="13" t="s">
        <v>641</v>
      </c>
    </row>
    <row r="327" customFormat="1" spans="1:20">
      <c r="A327" s="109">
        <v>45748</v>
      </c>
      <c r="B327" s="109">
        <v>45777</v>
      </c>
      <c r="C327" s="13" t="s">
        <v>635</v>
      </c>
      <c r="D327" s="13" t="s">
        <v>636</v>
      </c>
      <c r="E327" s="13">
        <v>4515861</v>
      </c>
      <c r="F327" s="13" t="s">
        <v>372</v>
      </c>
      <c r="G327" s="13" t="s">
        <v>37</v>
      </c>
      <c r="H327" s="13" t="s">
        <v>647</v>
      </c>
      <c r="I327" s="13" t="s">
        <v>637</v>
      </c>
      <c r="J327" s="110">
        <v>6.05</v>
      </c>
      <c r="K327" s="111">
        <v>108.54</v>
      </c>
      <c r="L327" s="110">
        <v>656.72</v>
      </c>
      <c r="M327" s="13" t="s">
        <v>643</v>
      </c>
      <c r="N327" s="13" t="s">
        <v>642</v>
      </c>
      <c r="O327" s="13" t="s">
        <v>639</v>
      </c>
      <c r="P327" s="13" t="s">
        <v>637</v>
      </c>
      <c r="Q327" s="13" t="s">
        <v>642</v>
      </c>
      <c r="R327" s="13" t="s">
        <v>641</v>
      </c>
      <c r="S327" s="13" t="s">
        <v>641</v>
      </c>
      <c r="T327" s="13" t="s">
        <v>641</v>
      </c>
    </row>
    <row r="328" customFormat="1" spans="1:20">
      <c r="A328" s="109">
        <v>45748</v>
      </c>
      <c r="B328" s="109">
        <v>45777</v>
      </c>
      <c r="C328" s="13" t="s">
        <v>635</v>
      </c>
      <c r="D328" s="13" t="s">
        <v>636</v>
      </c>
      <c r="E328" s="13">
        <v>4515862</v>
      </c>
      <c r="F328" s="13" t="s">
        <v>430</v>
      </c>
      <c r="G328" s="13" t="s">
        <v>37</v>
      </c>
      <c r="H328" s="13" t="s">
        <v>647</v>
      </c>
      <c r="I328" s="13" t="s">
        <v>648</v>
      </c>
      <c r="J328" s="110">
        <v>2.79</v>
      </c>
      <c r="K328" s="111">
        <v>62.38</v>
      </c>
      <c r="L328" s="110">
        <v>174.05</v>
      </c>
      <c r="M328" s="13" t="s">
        <v>643</v>
      </c>
      <c r="N328" s="13" t="s">
        <v>642</v>
      </c>
      <c r="O328" s="13" t="s">
        <v>653</v>
      </c>
      <c r="P328" s="13" t="s">
        <v>648</v>
      </c>
      <c r="Q328" s="13" t="s">
        <v>654</v>
      </c>
      <c r="R328" s="13" t="s">
        <v>641</v>
      </c>
      <c r="S328" s="13" t="s">
        <v>641</v>
      </c>
      <c r="T328" s="13" t="s">
        <v>641</v>
      </c>
    </row>
    <row r="329" customFormat="1" spans="1:20">
      <c r="A329" s="109">
        <v>45748</v>
      </c>
      <c r="B329" s="109">
        <v>45777</v>
      </c>
      <c r="C329" s="13" t="s">
        <v>635</v>
      </c>
      <c r="D329" s="13" t="s">
        <v>636</v>
      </c>
      <c r="E329" s="13">
        <v>4515863</v>
      </c>
      <c r="F329" s="13" t="s">
        <v>606</v>
      </c>
      <c r="G329" s="13" t="s">
        <v>45</v>
      </c>
      <c r="H329" s="13" t="s">
        <v>44</v>
      </c>
      <c r="I329" s="13" t="s">
        <v>637</v>
      </c>
      <c r="J329" s="110">
        <v>57.94</v>
      </c>
      <c r="K329" s="111">
        <v>2.75</v>
      </c>
      <c r="L329" s="110">
        <v>159.34</v>
      </c>
      <c r="M329" s="13" t="s">
        <v>21</v>
      </c>
      <c r="N329" s="13" t="s">
        <v>638</v>
      </c>
      <c r="O329" s="13" t="s">
        <v>639</v>
      </c>
      <c r="P329" s="13" t="s">
        <v>637</v>
      </c>
      <c r="Q329" s="13" t="s">
        <v>644</v>
      </c>
      <c r="R329" s="13" t="s">
        <v>641</v>
      </c>
      <c r="S329" s="13" t="s">
        <v>641</v>
      </c>
      <c r="T329" s="13" t="s">
        <v>641</v>
      </c>
    </row>
    <row r="330" customFormat="1" spans="1:20">
      <c r="A330" s="109">
        <v>45748</v>
      </c>
      <c r="B330" s="109">
        <v>45777</v>
      </c>
      <c r="C330" s="13" t="s">
        <v>635</v>
      </c>
      <c r="D330" s="13" t="s">
        <v>636</v>
      </c>
      <c r="E330" s="13">
        <v>4515975</v>
      </c>
      <c r="F330" s="13" t="s">
        <v>58</v>
      </c>
      <c r="G330" s="13" t="s">
        <v>33</v>
      </c>
      <c r="H330" s="13" t="s">
        <v>32</v>
      </c>
      <c r="I330" s="13" t="s">
        <v>637</v>
      </c>
      <c r="J330" s="110">
        <v>26.78</v>
      </c>
      <c r="K330" s="111">
        <v>2</v>
      </c>
      <c r="L330" s="110">
        <v>53.56</v>
      </c>
      <c r="M330" s="13" t="s">
        <v>658</v>
      </c>
      <c r="N330" s="13" t="s">
        <v>646</v>
      </c>
      <c r="O330" s="13" t="s">
        <v>639</v>
      </c>
      <c r="P330" s="13" t="s">
        <v>637</v>
      </c>
      <c r="Q330" s="13" t="s">
        <v>646</v>
      </c>
      <c r="R330" s="13" t="s">
        <v>641</v>
      </c>
      <c r="S330" s="13" t="s">
        <v>641</v>
      </c>
      <c r="T330" s="13" t="s">
        <v>641</v>
      </c>
    </row>
    <row r="331" customFormat="1" spans="1:20">
      <c r="A331" s="109">
        <v>45748</v>
      </c>
      <c r="B331" s="109">
        <v>45777</v>
      </c>
      <c r="C331" s="13" t="s">
        <v>635</v>
      </c>
      <c r="D331" s="13" t="s">
        <v>636</v>
      </c>
      <c r="E331" s="13">
        <v>4516088</v>
      </c>
      <c r="F331" s="13" t="s">
        <v>579</v>
      </c>
      <c r="G331" s="13" t="s">
        <v>74</v>
      </c>
      <c r="H331" s="13" t="s">
        <v>73</v>
      </c>
      <c r="I331" s="13" t="s">
        <v>637</v>
      </c>
      <c r="J331" s="110">
        <v>4.4</v>
      </c>
      <c r="K331" s="111">
        <v>120</v>
      </c>
      <c r="L331" s="110">
        <v>528</v>
      </c>
      <c r="M331" s="13" t="s">
        <v>97</v>
      </c>
      <c r="N331" s="13" t="s">
        <v>656</v>
      </c>
      <c r="O331" s="13" t="s">
        <v>639</v>
      </c>
      <c r="P331" s="13" t="s">
        <v>637</v>
      </c>
      <c r="Q331" s="13" t="s">
        <v>656</v>
      </c>
      <c r="R331" s="13" t="s">
        <v>641</v>
      </c>
      <c r="S331" s="13" t="s">
        <v>641</v>
      </c>
      <c r="T331" s="13" t="s">
        <v>641</v>
      </c>
    </row>
    <row r="332" customFormat="1" spans="1:20">
      <c r="A332" s="109">
        <v>45748</v>
      </c>
      <c r="B332" s="109">
        <v>45777</v>
      </c>
      <c r="C332" s="13" t="s">
        <v>635</v>
      </c>
      <c r="D332" s="13" t="s">
        <v>636</v>
      </c>
      <c r="E332" s="13">
        <v>4516090</v>
      </c>
      <c r="F332" s="13" t="s">
        <v>447</v>
      </c>
      <c r="G332" s="13" t="s">
        <v>138</v>
      </c>
      <c r="H332" s="13" t="s">
        <v>137</v>
      </c>
      <c r="I332" s="13" t="s">
        <v>637</v>
      </c>
      <c r="J332" s="110">
        <v>38.75</v>
      </c>
      <c r="K332" s="111">
        <v>6</v>
      </c>
      <c r="L332" s="110">
        <v>232.49</v>
      </c>
      <c r="M332" s="13" t="s">
        <v>21</v>
      </c>
      <c r="N332" s="13" t="s">
        <v>638</v>
      </c>
      <c r="O332" s="13" t="s">
        <v>639</v>
      </c>
      <c r="P332" s="13" t="s">
        <v>637</v>
      </c>
      <c r="Q332" s="13" t="s">
        <v>644</v>
      </c>
      <c r="R332" s="13" t="s">
        <v>641</v>
      </c>
      <c r="S332" s="13" t="s">
        <v>641</v>
      </c>
      <c r="T332" s="13" t="s">
        <v>641</v>
      </c>
    </row>
    <row r="333" customFormat="1" spans="1:20">
      <c r="A333" s="109">
        <v>45748</v>
      </c>
      <c r="B333" s="109">
        <v>45777</v>
      </c>
      <c r="C333" s="13" t="s">
        <v>635</v>
      </c>
      <c r="D333" s="13" t="s">
        <v>636</v>
      </c>
      <c r="E333" s="13">
        <v>4516299</v>
      </c>
      <c r="F333" s="13" t="s">
        <v>522</v>
      </c>
      <c r="G333" s="13" t="s">
        <v>74</v>
      </c>
      <c r="H333" s="13" t="s">
        <v>73</v>
      </c>
      <c r="I333" s="13" t="s">
        <v>637</v>
      </c>
      <c r="J333" s="110">
        <v>26</v>
      </c>
      <c r="K333" s="111">
        <v>45</v>
      </c>
      <c r="L333" s="110">
        <v>1170</v>
      </c>
      <c r="M333" s="13" t="s">
        <v>97</v>
      </c>
      <c r="N333" s="13" t="s">
        <v>656</v>
      </c>
      <c r="O333" s="13" t="s">
        <v>639</v>
      </c>
      <c r="P333" s="13" t="s">
        <v>637</v>
      </c>
      <c r="Q333" s="13" t="s">
        <v>656</v>
      </c>
      <c r="R333" s="13" t="s">
        <v>641</v>
      </c>
      <c r="S333" s="13" t="s">
        <v>641</v>
      </c>
      <c r="T333" s="13" t="s">
        <v>641</v>
      </c>
    </row>
    <row r="334" customFormat="1" spans="1:20">
      <c r="A334" s="109">
        <v>45748</v>
      </c>
      <c r="B334" s="109">
        <v>45777</v>
      </c>
      <c r="C334" s="13" t="s">
        <v>635</v>
      </c>
      <c r="D334" s="13" t="s">
        <v>636</v>
      </c>
      <c r="E334" s="13">
        <v>4516301</v>
      </c>
      <c r="F334" s="13" t="s">
        <v>369</v>
      </c>
      <c r="G334" s="13" t="s">
        <v>74</v>
      </c>
      <c r="H334" s="13" t="s">
        <v>73</v>
      </c>
      <c r="I334" s="13" t="s">
        <v>637</v>
      </c>
      <c r="J334" s="110">
        <v>6.08</v>
      </c>
      <c r="K334" s="111">
        <v>61.2</v>
      </c>
      <c r="L334" s="110">
        <v>372.13</v>
      </c>
      <c r="M334" s="13" t="s">
        <v>97</v>
      </c>
      <c r="N334" s="13" t="s">
        <v>656</v>
      </c>
      <c r="O334" s="13" t="s">
        <v>639</v>
      </c>
      <c r="P334" s="13" t="s">
        <v>637</v>
      </c>
      <c r="Q334" s="13" t="s">
        <v>649</v>
      </c>
      <c r="R334" s="13" t="s">
        <v>641</v>
      </c>
      <c r="S334" s="13" t="s">
        <v>641</v>
      </c>
      <c r="T334" s="13" t="s">
        <v>641</v>
      </c>
    </row>
    <row r="335" customFormat="1" spans="1:20">
      <c r="A335" s="109">
        <v>45748</v>
      </c>
      <c r="B335" s="109">
        <v>45777</v>
      </c>
      <c r="C335" s="13" t="s">
        <v>635</v>
      </c>
      <c r="D335" s="13" t="s">
        <v>636</v>
      </c>
      <c r="E335" s="13">
        <v>4516321</v>
      </c>
      <c r="F335" s="13" t="s">
        <v>245</v>
      </c>
      <c r="G335" s="13" t="s">
        <v>21</v>
      </c>
      <c r="H335" s="13" t="s">
        <v>20</v>
      </c>
      <c r="I335" s="13" t="s">
        <v>648</v>
      </c>
      <c r="J335" s="110">
        <v>0.04</v>
      </c>
      <c r="K335" s="111">
        <v>4000</v>
      </c>
      <c r="L335" s="110">
        <v>160.96</v>
      </c>
      <c r="M335" s="13" t="s">
        <v>659</v>
      </c>
      <c r="N335" s="13" t="s">
        <v>660</v>
      </c>
      <c r="O335" s="13" t="s">
        <v>653</v>
      </c>
      <c r="P335" s="13" t="s">
        <v>648</v>
      </c>
      <c r="Q335" s="13" t="s">
        <v>671</v>
      </c>
      <c r="R335" s="13" t="s">
        <v>678</v>
      </c>
      <c r="S335" s="13" t="s">
        <v>684</v>
      </c>
      <c r="T335" s="13" t="s">
        <v>641</v>
      </c>
    </row>
    <row r="336" customFormat="1" spans="1:20">
      <c r="A336" s="109">
        <v>45748</v>
      </c>
      <c r="B336" s="109">
        <v>45777</v>
      </c>
      <c r="C336" s="13" t="s">
        <v>635</v>
      </c>
      <c r="D336" s="13" t="s">
        <v>636</v>
      </c>
      <c r="E336" s="13">
        <v>4516322</v>
      </c>
      <c r="F336" s="13" t="s">
        <v>247</v>
      </c>
      <c r="G336" s="13" t="s">
        <v>21</v>
      </c>
      <c r="H336" s="13" t="s">
        <v>20</v>
      </c>
      <c r="I336" s="13" t="s">
        <v>648</v>
      </c>
      <c r="J336" s="110">
        <v>0.04</v>
      </c>
      <c r="K336" s="111">
        <v>2000</v>
      </c>
      <c r="L336" s="110">
        <v>79.11</v>
      </c>
      <c r="M336" s="13" t="s">
        <v>659</v>
      </c>
      <c r="N336" s="13" t="s">
        <v>660</v>
      </c>
      <c r="O336" s="13" t="s">
        <v>653</v>
      </c>
      <c r="P336" s="13" t="s">
        <v>648</v>
      </c>
      <c r="Q336" s="13" t="s">
        <v>671</v>
      </c>
      <c r="R336" s="13" t="s">
        <v>678</v>
      </c>
      <c r="S336" s="13" t="s">
        <v>684</v>
      </c>
      <c r="T336" s="13" t="s">
        <v>641</v>
      </c>
    </row>
    <row r="337" customFormat="1" spans="1:20">
      <c r="A337" s="109">
        <v>45748</v>
      </c>
      <c r="B337" s="109">
        <v>45777</v>
      </c>
      <c r="C337" s="13" t="s">
        <v>635</v>
      </c>
      <c r="D337" s="13" t="s">
        <v>636</v>
      </c>
      <c r="E337" s="13">
        <v>4516408</v>
      </c>
      <c r="F337" s="13" t="s">
        <v>506</v>
      </c>
      <c r="G337" s="13" t="s">
        <v>33</v>
      </c>
      <c r="H337" s="13" t="s">
        <v>32</v>
      </c>
      <c r="I337" s="13" t="s">
        <v>637</v>
      </c>
      <c r="J337" s="110">
        <v>6.33</v>
      </c>
      <c r="K337" s="111">
        <v>4</v>
      </c>
      <c r="L337" s="110">
        <v>25.32</v>
      </c>
      <c r="M337" s="13" t="s">
        <v>658</v>
      </c>
      <c r="N337" s="13" t="s">
        <v>646</v>
      </c>
      <c r="O337" s="13" t="s">
        <v>639</v>
      </c>
      <c r="P337" s="13" t="s">
        <v>637</v>
      </c>
      <c r="Q337" s="13" t="s">
        <v>646</v>
      </c>
      <c r="R337" s="13" t="s">
        <v>641</v>
      </c>
      <c r="S337" s="13" t="s">
        <v>641</v>
      </c>
      <c r="T337" s="13" t="s">
        <v>641</v>
      </c>
    </row>
    <row r="338" customFormat="1" spans="1:20">
      <c r="A338" s="109">
        <v>45748</v>
      </c>
      <c r="B338" s="109">
        <v>45777</v>
      </c>
      <c r="C338" s="13" t="s">
        <v>635</v>
      </c>
      <c r="D338" s="13" t="s">
        <v>636</v>
      </c>
      <c r="E338" s="13">
        <v>4516410</v>
      </c>
      <c r="F338" s="13" t="s">
        <v>710</v>
      </c>
      <c r="G338" s="13" t="s">
        <v>67</v>
      </c>
      <c r="H338" s="13" t="s">
        <v>66</v>
      </c>
      <c r="I338" s="13" t="s">
        <v>648</v>
      </c>
      <c r="J338" s="110">
        <v>0.35</v>
      </c>
      <c r="K338" s="111">
        <v>500</v>
      </c>
      <c r="L338" s="110">
        <v>176.57</v>
      </c>
      <c r="M338" s="13" t="s">
        <v>711</v>
      </c>
      <c r="N338" s="13" t="s">
        <v>712</v>
      </c>
      <c r="O338" s="13" t="s">
        <v>653</v>
      </c>
      <c r="P338" s="13" t="s">
        <v>648</v>
      </c>
      <c r="Q338" s="13" t="s">
        <v>671</v>
      </c>
      <c r="R338" s="13" t="s">
        <v>678</v>
      </c>
      <c r="S338" s="13" t="s">
        <v>684</v>
      </c>
      <c r="T338" s="13" t="s">
        <v>641</v>
      </c>
    </row>
    <row r="339" customFormat="1" spans="1:20">
      <c r="A339" s="109">
        <v>45748</v>
      </c>
      <c r="B339" s="109">
        <v>45777</v>
      </c>
      <c r="C339" s="13" t="s">
        <v>635</v>
      </c>
      <c r="D339" s="13" t="s">
        <v>636</v>
      </c>
      <c r="E339" s="13">
        <v>4516631</v>
      </c>
      <c r="F339" s="13" t="s">
        <v>713</v>
      </c>
      <c r="G339" s="13" t="s">
        <v>74</v>
      </c>
      <c r="H339" s="13" t="s">
        <v>73</v>
      </c>
      <c r="I339" s="13" t="s">
        <v>648</v>
      </c>
      <c r="J339" s="110">
        <v>8.12</v>
      </c>
      <c r="K339" s="111">
        <v>7.14</v>
      </c>
      <c r="L339" s="110">
        <v>58</v>
      </c>
      <c r="M339" s="13" t="s">
        <v>261</v>
      </c>
      <c r="N339" s="13" t="s">
        <v>654</v>
      </c>
      <c r="O339" s="13" t="s">
        <v>653</v>
      </c>
      <c r="P339" s="13" t="s">
        <v>648</v>
      </c>
      <c r="Q339" s="13" t="s">
        <v>654</v>
      </c>
      <c r="R339" s="13" t="s">
        <v>641</v>
      </c>
      <c r="S339" s="13" t="s">
        <v>641</v>
      </c>
      <c r="T339" s="13" t="s">
        <v>641</v>
      </c>
    </row>
    <row r="340" customFormat="1" spans="1:20">
      <c r="A340" s="109">
        <v>45748</v>
      </c>
      <c r="B340" s="109">
        <v>45777</v>
      </c>
      <c r="C340" s="13" t="s">
        <v>635</v>
      </c>
      <c r="D340" s="13" t="s">
        <v>636</v>
      </c>
      <c r="E340" s="13">
        <v>4516762</v>
      </c>
      <c r="F340" s="13" t="s">
        <v>471</v>
      </c>
      <c r="G340" s="13" t="s">
        <v>37</v>
      </c>
      <c r="H340" s="13" t="s">
        <v>647</v>
      </c>
      <c r="I340" s="13" t="s">
        <v>637</v>
      </c>
      <c r="J340" s="110">
        <v>19.91</v>
      </c>
      <c r="K340" s="111">
        <v>10</v>
      </c>
      <c r="L340" s="110">
        <v>199.09</v>
      </c>
      <c r="M340" s="13" t="s">
        <v>21</v>
      </c>
      <c r="N340" s="13" t="s">
        <v>638</v>
      </c>
      <c r="O340" s="13" t="s">
        <v>639</v>
      </c>
      <c r="P340" s="13" t="s">
        <v>637</v>
      </c>
      <c r="Q340" s="13" t="s">
        <v>640</v>
      </c>
      <c r="R340" s="13" t="s">
        <v>641</v>
      </c>
      <c r="S340" s="13" t="s">
        <v>641</v>
      </c>
      <c r="T340" s="13" t="s">
        <v>641</v>
      </c>
    </row>
    <row r="341" customFormat="1" spans="1:20">
      <c r="A341" s="109">
        <v>45748</v>
      </c>
      <c r="B341" s="109">
        <v>45777</v>
      </c>
      <c r="C341" s="13" t="s">
        <v>635</v>
      </c>
      <c r="D341" s="13" t="s">
        <v>636</v>
      </c>
      <c r="E341" s="13">
        <v>4516830</v>
      </c>
      <c r="F341" s="13" t="s">
        <v>409</v>
      </c>
      <c r="G341" s="13" t="s">
        <v>45</v>
      </c>
      <c r="H341" s="13" t="s">
        <v>44</v>
      </c>
      <c r="I341" s="13" t="s">
        <v>648</v>
      </c>
      <c r="J341" s="110">
        <v>4.66</v>
      </c>
      <c r="K341" s="111">
        <v>45.44</v>
      </c>
      <c r="L341" s="110">
        <v>211.87</v>
      </c>
      <c r="M341" s="13" t="s">
        <v>21</v>
      </c>
      <c r="N341" s="13" t="s">
        <v>638</v>
      </c>
      <c r="O341" s="13" t="s">
        <v>653</v>
      </c>
      <c r="P341" s="13" t="s">
        <v>648</v>
      </c>
      <c r="Q341" s="13" t="s">
        <v>654</v>
      </c>
      <c r="R341" s="13" t="s">
        <v>641</v>
      </c>
      <c r="S341" s="13" t="s">
        <v>641</v>
      </c>
      <c r="T341" s="13" t="s">
        <v>641</v>
      </c>
    </row>
    <row r="342" customFormat="1" spans="1:20">
      <c r="A342" s="109">
        <v>45748</v>
      </c>
      <c r="B342" s="109">
        <v>45777</v>
      </c>
      <c r="C342" s="13" t="s">
        <v>635</v>
      </c>
      <c r="D342" s="13" t="s">
        <v>636</v>
      </c>
      <c r="E342" s="13">
        <v>4516992</v>
      </c>
      <c r="F342" s="13" t="s">
        <v>356</v>
      </c>
      <c r="G342" s="13" t="s">
        <v>74</v>
      </c>
      <c r="H342" s="13" t="s">
        <v>73</v>
      </c>
      <c r="I342" s="13" t="s">
        <v>637</v>
      </c>
      <c r="J342" s="110">
        <v>35</v>
      </c>
      <c r="K342" s="111">
        <v>20</v>
      </c>
      <c r="L342" s="110">
        <v>700</v>
      </c>
      <c r="M342" s="13" t="s">
        <v>643</v>
      </c>
      <c r="N342" s="13" t="s">
        <v>642</v>
      </c>
      <c r="O342" s="13" t="s">
        <v>639</v>
      </c>
      <c r="P342" s="13" t="s">
        <v>637</v>
      </c>
      <c r="Q342" s="13" t="s">
        <v>642</v>
      </c>
      <c r="R342" s="13" t="s">
        <v>641</v>
      </c>
      <c r="S342" s="13" t="s">
        <v>641</v>
      </c>
      <c r="T342" s="13" t="s">
        <v>641</v>
      </c>
    </row>
    <row r="343" customFormat="1" spans="1:20">
      <c r="A343" s="109">
        <v>45748</v>
      </c>
      <c r="B343" s="109">
        <v>45777</v>
      </c>
      <c r="C343" s="13" t="s">
        <v>635</v>
      </c>
      <c r="D343" s="13" t="s">
        <v>636</v>
      </c>
      <c r="E343" s="13">
        <v>4516994</v>
      </c>
      <c r="F343" s="13" t="s">
        <v>392</v>
      </c>
      <c r="G343" s="13" t="s">
        <v>37</v>
      </c>
      <c r="H343" s="13" t="s">
        <v>647</v>
      </c>
      <c r="I343" s="13" t="s">
        <v>637</v>
      </c>
      <c r="J343" s="110">
        <v>8.79</v>
      </c>
      <c r="K343" s="111">
        <v>245.35</v>
      </c>
      <c r="L343" s="110">
        <v>2157.71</v>
      </c>
      <c r="M343" s="13" t="s">
        <v>643</v>
      </c>
      <c r="N343" s="13" t="s">
        <v>642</v>
      </c>
      <c r="O343" s="13" t="s">
        <v>639</v>
      </c>
      <c r="P343" s="13" t="s">
        <v>637</v>
      </c>
      <c r="Q343" s="13" t="s">
        <v>642</v>
      </c>
      <c r="R343" s="13" t="s">
        <v>641</v>
      </c>
      <c r="S343" s="13" t="s">
        <v>641</v>
      </c>
      <c r="T343" s="13" t="s">
        <v>641</v>
      </c>
    </row>
    <row r="344" customFormat="1" spans="1:20">
      <c r="A344" s="109">
        <v>45748</v>
      </c>
      <c r="B344" s="109">
        <v>45777</v>
      </c>
      <c r="C344" s="13" t="s">
        <v>635</v>
      </c>
      <c r="D344" s="13" t="s">
        <v>636</v>
      </c>
      <c r="E344" s="13">
        <v>4517055</v>
      </c>
      <c r="F344" s="13" t="s">
        <v>175</v>
      </c>
      <c r="G344" s="13" t="s">
        <v>177</v>
      </c>
      <c r="H344" s="13" t="s">
        <v>176</v>
      </c>
      <c r="I344" s="13" t="s">
        <v>637</v>
      </c>
      <c r="J344" s="110">
        <v>28.44</v>
      </c>
      <c r="K344" s="111">
        <v>44</v>
      </c>
      <c r="L344" s="110">
        <v>1251.36</v>
      </c>
      <c r="M344" s="13" t="s">
        <v>138</v>
      </c>
      <c r="N344" s="13" t="s">
        <v>663</v>
      </c>
      <c r="O344" s="13" t="s">
        <v>639</v>
      </c>
      <c r="P344" s="13" t="s">
        <v>637</v>
      </c>
      <c r="Q344" s="13" t="s">
        <v>640</v>
      </c>
      <c r="R344" s="13" t="s">
        <v>641</v>
      </c>
      <c r="S344" s="13" t="s">
        <v>641</v>
      </c>
      <c r="T344" s="13" t="s">
        <v>641</v>
      </c>
    </row>
    <row r="345" customFormat="1" spans="1:20">
      <c r="A345" s="109">
        <v>45748</v>
      </c>
      <c r="B345" s="109">
        <v>45777</v>
      </c>
      <c r="C345" s="13" t="s">
        <v>635</v>
      </c>
      <c r="D345" s="13" t="s">
        <v>636</v>
      </c>
      <c r="E345" s="13">
        <v>4517273</v>
      </c>
      <c r="F345" s="13" t="s">
        <v>186</v>
      </c>
      <c r="G345" s="13" t="s">
        <v>37</v>
      </c>
      <c r="H345" s="13" t="s">
        <v>647</v>
      </c>
      <c r="I345" s="13" t="s">
        <v>637</v>
      </c>
      <c r="J345" s="110">
        <v>0.92</v>
      </c>
      <c r="K345" s="111">
        <v>32</v>
      </c>
      <c r="L345" s="110">
        <v>29.33</v>
      </c>
      <c r="M345" s="13" t="s">
        <v>21</v>
      </c>
      <c r="N345" s="13" t="s">
        <v>638</v>
      </c>
      <c r="O345" s="13" t="s">
        <v>639</v>
      </c>
      <c r="P345" s="13" t="s">
        <v>637</v>
      </c>
      <c r="Q345" s="13" t="s">
        <v>640</v>
      </c>
      <c r="R345" s="13" t="s">
        <v>641</v>
      </c>
      <c r="S345" s="13" t="s">
        <v>641</v>
      </c>
      <c r="T345" s="13" t="s">
        <v>641</v>
      </c>
    </row>
    <row r="346" customFormat="1" spans="1:20">
      <c r="A346" s="109">
        <v>45748</v>
      </c>
      <c r="B346" s="109">
        <v>45777</v>
      </c>
      <c r="C346" s="13" t="s">
        <v>635</v>
      </c>
      <c r="D346" s="13" t="s">
        <v>636</v>
      </c>
      <c r="E346" s="13">
        <v>4517520</v>
      </c>
      <c r="F346" s="13" t="s">
        <v>440</v>
      </c>
      <c r="G346" s="13" t="s">
        <v>74</v>
      </c>
      <c r="H346" s="13" t="s">
        <v>73</v>
      </c>
      <c r="I346" s="13" t="s">
        <v>637</v>
      </c>
      <c r="J346" s="110">
        <v>2.65</v>
      </c>
      <c r="K346" s="111">
        <v>124.8</v>
      </c>
      <c r="L346" s="110">
        <v>331.23</v>
      </c>
      <c r="M346" s="13" t="s">
        <v>643</v>
      </c>
      <c r="N346" s="13" t="s">
        <v>642</v>
      </c>
      <c r="O346" s="13" t="s">
        <v>639</v>
      </c>
      <c r="P346" s="13" t="s">
        <v>637</v>
      </c>
      <c r="Q346" s="13" t="s">
        <v>656</v>
      </c>
      <c r="R346" s="13" t="s">
        <v>641</v>
      </c>
      <c r="S346" s="13" t="s">
        <v>641</v>
      </c>
      <c r="T346" s="13" t="s">
        <v>641</v>
      </c>
    </row>
    <row r="347" customFormat="1" spans="1:20">
      <c r="A347" s="109">
        <v>45748</v>
      </c>
      <c r="B347" s="109">
        <v>45777</v>
      </c>
      <c r="C347" s="13" t="s">
        <v>635</v>
      </c>
      <c r="D347" s="13" t="s">
        <v>636</v>
      </c>
      <c r="E347" s="13">
        <v>4517715</v>
      </c>
      <c r="F347" s="13" t="s">
        <v>505</v>
      </c>
      <c r="G347" s="13" t="s">
        <v>74</v>
      </c>
      <c r="H347" s="13" t="s">
        <v>73</v>
      </c>
      <c r="I347" s="13" t="s">
        <v>637</v>
      </c>
      <c r="J347" s="110">
        <v>22.86</v>
      </c>
      <c r="K347" s="111">
        <v>56</v>
      </c>
      <c r="L347" s="110">
        <v>1280</v>
      </c>
      <c r="M347" s="13" t="s">
        <v>30</v>
      </c>
      <c r="N347" s="13" t="s">
        <v>655</v>
      </c>
      <c r="O347" s="13" t="s">
        <v>639</v>
      </c>
      <c r="P347" s="13" t="s">
        <v>637</v>
      </c>
      <c r="Q347" s="13" t="s">
        <v>642</v>
      </c>
      <c r="R347" s="13" t="s">
        <v>641</v>
      </c>
      <c r="S347" s="13" t="s">
        <v>641</v>
      </c>
      <c r="T347" s="13" t="s">
        <v>641</v>
      </c>
    </row>
    <row r="348" customFormat="1" spans="1:20">
      <c r="A348" s="109">
        <v>45748</v>
      </c>
      <c r="B348" s="109">
        <v>45777</v>
      </c>
      <c r="C348" s="13" t="s">
        <v>635</v>
      </c>
      <c r="D348" s="13" t="s">
        <v>636</v>
      </c>
      <c r="E348" s="13">
        <v>4517800</v>
      </c>
      <c r="F348" s="13" t="s">
        <v>714</v>
      </c>
      <c r="G348" s="13" t="s">
        <v>74</v>
      </c>
      <c r="H348" s="13" t="s">
        <v>73</v>
      </c>
      <c r="I348" s="13" t="s">
        <v>637</v>
      </c>
      <c r="J348" s="110">
        <v>2.42</v>
      </c>
      <c r="K348" s="111">
        <v>1010</v>
      </c>
      <c r="L348" s="110">
        <v>2448</v>
      </c>
      <c r="M348" s="13" t="s">
        <v>97</v>
      </c>
      <c r="N348" s="13" t="s">
        <v>656</v>
      </c>
      <c r="O348" s="13" t="s">
        <v>639</v>
      </c>
      <c r="P348" s="13" t="s">
        <v>637</v>
      </c>
      <c r="Q348" s="13" t="s">
        <v>656</v>
      </c>
      <c r="R348" s="13" t="s">
        <v>641</v>
      </c>
      <c r="S348" s="13" t="s">
        <v>641</v>
      </c>
      <c r="T348" s="13" t="s">
        <v>641</v>
      </c>
    </row>
    <row r="349" customFormat="1" spans="1:20">
      <c r="A349" s="109">
        <v>45748</v>
      </c>
      <c r="B349" s="109">
        <v>45777</v>
      </c>
      <c r="C349" s="13" t="s">
        <v>635</v>
      </c>
      <c r="D349" s="13" t="s">
        <v>636</v>
      </c>
      <c r="E349" s="13">
        <v>4518106</v>
      </c>
      <c r="F349" s="13" t="s">
        <v>540</v>
      </c>
      <c r="G349" s="13" t="s">
        <v>37</v>
      </c>
      <c r="H349" s="13" t="s">
        <v>647</v>
      </c>
      <c r="I349" s="13" t="s">
        <v>637</v>
      </c>
      <c r="J349" s="110">
        <v>7.27</v>
      </c>
      <c r="K349" s="111">
        <v>225.18</v>
      </c>
      <c r="L349" s="110">
        <v>1636.01</v>
      </c>
      <c r="M349" s="13" t="s">
        <v>643</v>
      </c>
      <c r="N349" s="13" t="s">
        <v>642</v>
      </c>
      <c r="O349" s="13" t="s">
        <v>639</v>
      </c>
      <c r="P349" s="13" t="s">
        <v>637</v>
      </c>
      <c r="Q349" s="13" t="s">
        <v>642</v>
      </c>
      <c r="R349" s="13" t="s">
        <v>641</v>
      </c>
      <c r="S349" s="13" t="s">
        <v>641</v>
      </c>
      <c r="T349" s="13" t="s">
        <v>641</v>
      </c>
    </row>
    <row r="350" customFormat="1" spans="1:20">
      <c r="A350" s="109">
        <v>45748</v>
      </c>
      <c r="B350" s="109">
        <v>45777</v>
      </c>
      <c r="C350" s="13" t="s">
        <v>635</v>
      </c>
      <c r="D350" s="13" t="s">
        <v>636</v>
      </c>
      <c r="E350" s="13">
        <v>4518131</v>
      </c>
      <c r="F350" s="13" t="s">
        <v>50</v>
      </c>
      <c r="G350" s="13" t="s">
        <v>33</v>
      </c>
      <c r="H350" s="13" t="s">
        <v>32</v>
      </c>
      <c r="I350" s="13" t="s">
        <v>637</v>
      </c>
      <c r="J350" s="110">
        <v>5.38</v>
      </c>
      <c r="K350" s="111">
        <v>34</v>
      </c>
      <c r="L350" s="110">
        <v>182.92</v>
      </c>
      <c r="M350" s="13" t="s">
        <v>658</v>
      </c>
      <c r="N350" s="13" t="s">
        <v>646</v>
      </c>
      <c r="O350" s="13" t="s">
        <v>639</v>
      </c>
      <c r="P350" s="13" t="s">
        <v>637</v>
      </c>
      <c r="Q350" s="13" t="s">
        <v>646</v>
      </c>
      <c r="R350" s="13" t="s">
        <v>641</v>
      </c>
      <c r="S350" s="13" t="s">
        <v>700</v>
      </c>
      <c r="T350" s="13" t="s">
        <v>641</v>
      </c>
    </row>
    <row r="351" customFormat="1" spans="1:20">
      <c r="A351" s="109">
        <v>45748</v>
      </c>
      <c r="B351" s="109">
        <v>45777</v>
      </c>
      <c r="C351" s="13" t="s">
        <v>635</v>
      </c>
      <c r="D351" s="13" t="s">
        <v>636</v>
      </c>
      <c r="E351" s="13">
        <v>4518288</v>
      </c>
      <c r="F351" s="13" t="s">
        <v>518</v>
      </c>
      <c r="G351" s="13" t="s">
        <v>520</v>
      </c>
      <c r="H351" s="13" t="s">
        <v>519</v>
      </c>
      <c r="I351" s="13" t="s">
        <v>637</v>
      </c>
      <c r="J351" s="110">
        <v>4.5</v>
      </c>
      <c r="K351" s="111">
        <v>404</v>
      </c>
      <c r="L351" s="110">
        <v>1818</v>
      </c>
      <c r="M351" s="13" t="s">
        <v>97</v>
      </c>
      <c r="N351" s="13" t="s">
        <v>656</v>
      </c>
      <c r="O351" s="13" t="s">
        <v>639</v>
      </c>
      <c r="P351" s="13" t="s">
        <v>637</v>
      </c>
      <c r="Q351" s="13" t="s">
        <v>656</v>
      </c>
      <c r="R351" s="13" t="s">
        <v>641</v>
      </c>
      <c r="S351" s="13" t="s">
        <v>641</v>
      </c>
      <c r="T351" s="13" t="s">
        <v>641</v>
      </c>
    </row>
    <row r="352" customFormat="1" spans="1:20">
      <c r="A352" s="109">
        <v>45748</v>
      </c>
      <c r="B352" s="109">
        <v>45777</v>
      </c>
      <c r="C352" s="13" t="s">
        <v>635</v>
      </c>
      <c r="D352" s="13" t="s">
        <v>636</v>
      </c>
      <c r="E352" s="13">
        <v>4518307</v>
      </c>
      <c r="F352" s="13" t="s">
        <v>248</v>
      </c>
      <c r="G352" s="13" t="s">
        <v>30</v>
      </c>
      <c r="H352" s="13" t="s">
        <v>29</v>
      </c>
      <c r="I352" s="13" t="s">
        <v>637</v>
      </c>
      <c r="J352" s="110">
        <v>12.75</v>
      </c>
      <c r="K352" s="111">
        <v>10</v>
      </c>
      <c r="L352" s="110">
        <v>127.47</v>
      </c>
      <c r="M352" s="13" t="s">
        <v>658</v>
      </c>
      <c r="N352" s="13" t="s">
        <v>646</v>
      </c>
      <c r="O352" s="13" t="s">
        <v>639</v>
      </c>
      <c r="P352" s="13" t="s">
        <v>637</v>
      </c>
      <c r="Q352" s="13" t="s">
        <v>646</v>
      </c>
      <c r="R352" s="13" t="s">
        <v>641</v>
      </c>
      <c r="S352" s="13" t="s">
        <v>641</v>
      </c>
      <c r="T352" s="13" t="s">
        <v>641</v>
      </c>
    </row>
    <row r="353" customFormat="1" spans="1:20">
      <c r="A353" s="109">
        <v>45748</v>
      </c>
      <c r="B353" s="109">
        <v>45777</v>
      </c>
      <c r="C353" s="13" t="s">
        <v>635</v>
      </c>
      <c r="D353" s="13" t="s">
        <v>636</v>
      </c>
      <c r="E353" s="13">
        <v>4518372</v>
      </c>
      <c r="F353" s="13" t="s">
        <v>715</v>
      </c>
      <c r="G353" s="13" t="s">
        <v>74</v>
      </c>
      <c r="H353" s="13" t="s">
        <v>73</v>
      </c>
      <c r="I353" s="13" t="s">
        <v>637</v>
      </c>
      <c r="J353" s="110">
        <v>6.89</v>
      </c>
      <c r="K353" s="111">
        <v>112.832</v>
      </c>
      <c r="L353" s="110">
        <v>777.78</v>
      </c>
      <c r="M353" s="13" t="s">
        <v>138</v>
      </c>
      <c r="N353" s="13" t="s">
        <v>663</v>
      </c>
      <c r="O353" s="13" t="s">
        <v>639</v>
      </c>
      <c r="P353" s="13" t="s">
        <v>637</v>
      </c>
      <c r="Q353" s="13" t="s">
        <v>640</v>
      </c>
      <c r="R353" s="13" t="s">
        <v>641</v>
      </c>
      <c r="S353" s="13" t="s">
        <v>641</v>
      </c>
      <c r="T353" s="13" t="s">
        <v>641</v>
      </c>
    </row>
    <row r="354" customFormat="1" spans="1:20">
      <c r="A354" s="109">
        <v>45748</v>
      </c>
      <c r="B354" s="109">
        <v>45777</v>
      </c>
      <c r="C354" s="13" t="s">
        <v>635</v>
      </c>
      <c r="D354" s="13" t="s">
        <v>636</v>
      </c>
      <c r="E354" s="13">
        <v>4518488</v>
      </c>
      <c r="F354" s="13" t="s">
        <v>337</v>
      </c>
      <c r="G354" s="13" t="s">
        <v>74</v>
      </c>
      <c r="H354" s="13" t="s">
        <v>73</v>
      </c>
      <c r="I354" s="13" t="s">
        <v>637</v>
      </c>
      <c r="J354" s="110">
        <v>6.04</v>
      </c>
      <c r="K354" s="111">
        <v>70</v>
      </c>
      <c r="L354" s="110">
        <v>422.45</v>
      </c>
      <c r="M354" s="13" t="s">
        <v>97</v>
      </c>
      <c r="N354" s="13" t="s">
        <v>656</v>
      </c>
      <c r="O354" s="13" t="s">
        <v>639</v>
      </c>
      <c r="P354" s="13" t="s">
        <v>637</v>
      </c>
      <c r="Q354" s="13" t="s">
        <v>656</v>
      </c>
      <c r="R354" s="13" t="s">
        <v>641</v>
      </c>
      <c r="S354" s="13" t="s">
        <v>641</v>
      </c>
      <c r="T354" s="13" t="s">
        <v>641</v>
      </c>
    </row>
    <row r="355" customFormat="1" spans="1:20">
      <c r="A355" s="109">
        <v>45748</v>
      </c>
      <c r="B355" s="109">
        <v>45777</v>
      </c>
      <c r="C355" s="13" t="s">
        <v>635</v>
      </c>
      <c r="D355" s="13" t="s">
        <v>636</v>
      </c>
      <c r="E355" s="13">
        <v>4518668</v>
      </c>
      <c r="F355" s="13" t="s">
        <v>155</v>
      </c>
      <c r="G355" s="13" t="s">
        <v>33</v>
      </c>
      <c r="H355" s="13" t="s">
        <v>32</v>
      </c>
      <c r="I355" s="13" t="s">
        <v>637</v>
      </c>
      <c r="J355" s="110">
        <v>3.1</v>
      </c>
      <c r="K355" s="111">
        <v>431</v>
      </c>
      <c r="L355" s="110">
        <v>1336.18</v>
      </c>
      <c r="M355" s="13" t="s">
        <v>658</v>
      </c>
      <c r="N355" s="13" t="s">
        <v>646</v>
      </c>
      <c r="O355" s="13" t="s">
        <v>639</v>
      </c>
      <c r="P355" s="13" t="s">
        <v>637</v>
      </c>
      <c r="Q355" s="13" t="s">
        <v>646</v>
      </c>
      <c r="R355" s="13" t="s">
        <v>641</v>
      </c>
      <c r="S355" s="13" t="s">
        <v>641</v>
      </c>
      <c r="T355" s="13" t="s">
        <v>641</v>
      </c>
    </row>
    <row r="356" customFormat="1" spans="1:20">
      <c r="A356" s="109">
        <v>45748</v>
      </c>
      <c r="B356" s="109">
        <v>45777</v>
      </c>
      <c r="C356" s="13" t="s">
        <v>635</v>
      </c>
      <c r="D356" s="13" t="s">
        <v>636</v>
      </c>
      <c r="E356" s="13">
        <v>4518902</v>
      </c>
      <c r="F356" s="13" t="s">
        <v>49</v>
      </c>
      <c r="G356" s="13" t="s">
        <v>33</v>
      </c>
      <c r="H356" s="13" t="s">
        <v>32</v>
      </c>
      <c r="I356" s="13" t="s">
        <v>637</v>
      </c>
      <c r="J356" s="110">
        <v>0.21</v>
      </c>
      <c r="K356" s="111">
        <v>175</v>
      </c>
      <c r="L356" s="110">
        <v>37.03</v>
      </c>
      <c r="M356" s="13" t="s">
        <v>658</v>
      </c>
      <c r="N356" s="13" t="s">
        <v>646</v>
      </c>
      <c r="O356" s="13" t="s">
        <v>639</v>
      </c>
      <c r="P356" s="13" t="s">
        <v>637</v>
      </c>
      <c r="Q356" s="13" t="s">
        <v>646</v>
      </c>
      <c r="R356" s="13" t="s">
        <v>641</v>
      </c>
      <c r="S356" s="13" t="s">
        <v>641</v>
      </c>
      <c r="T356" s="13" t="s">
        <v>641</v>
      </c>
    </row>
    <row r="357" customFormat="1" spans="1:20">
      <c r="A357" s="109">
        <v>45748</v>
      </c>
      <c r="B357" s="109">
        <v>45777</v>
      </c>
      <c r="C357" s="13" t="s">
        <v>635</v>
      </c>
      <c r="D357" s="13" t="s">
        <v>636</v>
      </c>
      <c r="E357" s="13">
        <v>4518904</v>
      </c>
      <c r="F357" s="13" t="s">
        <v>188</v>
      </c>
      <c r="G357" s="13" t="s">
        <v>37</v>
      </c>
      <c r="H357" s="13" t="s">
        <v>647</v>
      </c>
      <c r="I357" s="13" t="s">
        <v>637</v>
      </c>
      <c r="J357" s="110">
        <v>1.54</v>
      </c>
      <c r="K357" s="111">
        <v>240</v>
      </c>
      <c r="L357" s="110">
        <v>370.67</v>
      </c>
      <c r="M357" s="13" t="s">
        <v>138</v>
      </c>
      <c r="N357" s="13" t="s">
        <v>663</v>
      </c>
      <c r="O357" s="13" t="s">
        <v>639</v>
      </c>
      <c r="P357" s="13" t="s">
        <v>637</v>
      </c>
      <c r="Q357" s="13" t="s">
        <v>640</v>
      </c>
      <c r="R357" s="13" t="s">
        <v>641</v>
      </c>
      <c r="S357" s="13" t="s">
        <v>641</v>
      </c>
      <c r="T357" s="13" t="s">
        <v>641</v>
      </c>
    </row>
    <row r="358" customFormat="1" spans="1:20">
      <c r="A358" s="109">
        <v>45748</v>
      </c>
      <c r="B358" s="109">
        <v>45777</v>
      </c>
      <c r="C358" s="13" t="s">
        <v>635</v>
      </c>
      <c r="D358" s="13" t="s">
        <v>636</v>
      </c>
      <c r="E358" s="13">
        <v>4519183</v>
      </c>
      <c r="F358" s="13" t="s">
        <v>716</v>
      </c>
      <c r="G358" s="13" t="s">
        <v>74</v>
      </c>
      <c r="H358" s="13" t="s">
        <v>73</v>
      </c>
      <c r="I358" s="13" t="s">
        <v>637</v>
      </c>
      <c r="J358" s="110">
        <v>11.02</v>
      </c>
      <c r="K358" s="111">
        <v>26.6</v>
      </c>
      <c r="L358" s="110">
        <v>293.19</v>
      </c>
      <c r="M358" s="13" t="s">
        <v>478</v>
      </c>
      <c r="N358" s="13" t="s">
        <v>645</v>
      </c>
      <c r="O358" s="13" t="s">
        <v>639</v>
      </c>
      <c r="P358" s="13" t="s">
        <v>637</v>
      </c>
      <c r="Q358" s="13" t="s">
        <v>640</v>
      </c>
      <c r="R358" s="13" t="s">
        <v>641</v>
      </c>
      <c r="S358" s="13" t="s">
        <v>641</v>
      </c>
      <c r="T358" s="13" t="s">
        <v>641</v>
      </c>
    </row>
    <row r="359" customFormat="1" spans="1:20">
      <c r="A359" s="109">
        <v>45748</v>
      </c>
      <c r="B359" s="109">
        <v>45777</v>
      </c>
      <c r="C359" s="13" t="s">
        <v>635</v>
      </c>
      <c r="D359" s="13" t="s">
        <v>636</v>
      </c>
      <c r="E359" s="13">
        <v>4519224</v>
      </c>
      <c r="F359" s="13" t="s">
        <v>318</v>
      </c>
      <c r="G359" s="13" t="s">
        <v>37</v>
      </c>
      <c r="H359" s="13" t="s">
        <v>647</v>
      </c>
      <c r="I359" s="13" t="s">
        <v>637</v>
      </c>
      <c r="J359" s="110">
        <v>8.5</v>
      </c>
      <c r="K359" s="111">
        <v>4</v>
      </c>
      <c r="L359" s="110">
        <v>34</v>
      </c>
      <c r="M359" s="13" t="s">
        <v>21</v>
      </c>
      <c r="N359" s="13" t="s">
        <v>638</v>
      </c>
      <c r="O359" s="13" t="s">
        <v>639</v>
      </c>
      <c r="P359" s="13" t="s">
        <v>637</v>
      </c>
      <c r="Q359" s="13" t="s">
        <v>644</v>
      </c>
      <c r="R359" s="13" t="s">
        <v>641</v>
      </c>
      <c r="S359" s="13" t="s">
        <v>641</v>
      </c>
      <c r="T359" s="13" t="s">
        <v>641</v>
      </c>
    </row>
    <row r="360" customFormat="1" spans="1:20">
      <c r="A360" s="109">
        <v>45748</v>
      </c>
      <c r="B360" s="109">
        <v>45777</v>
      </c>
      <c r="C360" s="13" t="s">
        <v>635</v>
      </c>
      <c r="D360" s="13" t="s">
        <v>636</v>
      </c>
      <c r="E360" s="13">
        <v>4519341</v>
      </c>
      <c r="F360" s="13" t="s">
        <v>717</v>
      </c>
      <c r="G360" s="13" t="s">
        <v>408</v>
      </c>
      <c r="H360" s="13" t="s">
        <v>407</v>
      </c>
      <c r="I360" s="13" t="s">
        <v>637</v>
      </c>
      <c r="J360" s="110">
        <v>0.65</v>
      </c>
      <c r="K360" s="111">
        <v>690</v>
      </c>
      <c r="L360" s="110">
        <v>446.32</v>
      </c>
      <c r="M360" s="13" t="s">
        <v>658</v>
      </c>
      <c r="N360" s="13" t="s">
        <v>646</v>
      </c>
      <c r="O360" s="13" t="s">
        <v>639</v>
      </c>
      <c r="P360" s="13" t="s">
        <v>637</v>
      </c>
      <c r="Q360" s="13" t="s">
        <v>640</v>
      </c>
      <c r="R360" s="13" t="s">
        <v>641</v>
      </c>
      <c r="S360" s="13" t="s">
        <v>641</v>
      </c>
      <c r="T360" s="13" t="s">
        <v>641</v>
      </c>
    </row>
    <row r="361" customFormat="1" spans="1:20">
      <c r="A361" s="109">
        <v>45748</v>
      </c>
      <c r="B361" s="109">
        <v>45777</v>
      </c>
      <c r="C361" s="13" t="s">
        <v>635</v>
      </c>
      <c r="D361" s="13" t="s">
        <v>636</v>
      </c>
      <c r="E361" s="13">
        <v>4520222</v>
      </c>
      <c r="F361" s="13" t="s">
        <v>415</v>
      </c>
      <c r="G361" s="13" t="s">
        <v>33</v>
      </c>
      <c r="H361" s="13" t="s">
        <v>32</v>
      </c>
      <c r="I361" s="13" t="s">
        <v>637</v>
      </c>
      <c r="J361" s="110">
        <v>1.79</v>
      </c>
      <c r="K361" s="111">
        <v>124</v>
      </c>
      <c r="L361" s="110">
        <v>222.16</v>
      </c>
      <c r="M361" s="13" t="s">
        <v>658</v>
      </c>
      <c r="N361" s="13" t="s">
        <v>646</v>
      </c>
      <c r="O361" s="13" t="s">
        <v>639</v>
      </c>
      <c r="P361" s="13" t="s">
        <v>637</v>
      </c>
      <c r="Q361" s="13" t="s">
        <v>646</v>
      </c>
      <c r="R361" s="13" t="s">
        <v>641</v>
      </c>
      <c r="S361" s="13" t="s">
        <v>641</v>
      </c>
      <c r="T361" s="13" t="s">
        <v>641</v>
      </c>
    </row>
    <row r="362" customFormat="1" spans="1:20">
      <c r="A362" s="109">
        <v>45748</v>
      </c>
      <c r="B362" s="109">
        <v>45777</v>
      </c>
      <c r="C362" s="13" t="s">
        <v>635</v>
      </c>
      <c r="D362" s="13" t="s">
        <v>636</v>
      </c>
      <c r="E362" s="13">
        <v>4520457</v>
      </c>
      <c r="F362" s="13" t="s">
        <v>482</v>
      </c>
      <c r="G362" s="13" t="s">
        <v>33</v>
      </c>
      <c r="H362" s="13" t="s">
        <v>32</v>
      </c>
      <c r="I362" s="13" t="s">
        <v>637</v>
      </c>
      <c r="J362" s="110">
        <v>14</v>
      </c>
      <c r="K362" s="111">
        <v>5</v>
      </c>
      <c r="L362" s="110">
        <v>70</v>
      </c>
      <c r="M362" s="13" t="s">
        <v>21</v>
      </c>
      <c r="N362" s="13" t="s">
        <v>638</v>
      </c>
      <c r="O362" s="13" t="s">
        <v>639</v>
      </c>
      <c r="P362" s="13" t="s">
        <v>637</v>
      </c>
      <c r="Q362" s="13" t="s">
        <v>646</v>
      </c>
      <c r="R362" s="13" t="s">
        <v>641</v>
      </c>
      <c r="S362" s="13" t="s">
        <v>641</v>
      </c>
      <c r="T362" s="13" t="s">
        <v>641</v>
      </c>
    </row>
    <row r="363" customFormat="1" spans="1:20">
      <c r="A363" s="109">
        <v>45748</v>
      </c>
      <c r="B363" s="109">
        <v>45777</v>
      </c>
      <c r="C363" s="13" t="s">
        <v>635</v>
      </c>
      <c r="D363" s="13" t="s">
        <v>636</v>
      </c>
      <c r="E363" s="13">
        <v>4520458</v>
      </c>
      <c r="F363" s="13" t="s">
        <v>342</v>
      </c>
      <c r="G363" s="13" t="s">
        <v>30</v>
      </c>
      <c r="H363" s="13" t="s">
        <v>29</v>
      </c>
      <c r="I363" s="13" t="s">
        <v>637</v>
      </c>
      <c r="J363" s="110">
        <v>11.72</v>
      </c>
      <c r="K363" s="111">
        <v>4</v>
      </c>
      <c r="L363" s="110">
        <v>46.88</v>
      </c>
      <c r="M363" s="13" t="s">
        <v>658</v>
      </c>
      <c r="N363" s="13" t="s">
        <v>646</v>
      </c>
      <c r="O363" s="13" t="s">
        <v>639</v>
      </c>
      <c r="P363" s="13" t="s">
        <v>637</v>
      </c>
      <c r="Q363" s="13" t="s">
        <v>646</v>
      </c>
      <c r="R363" s="13" t="s">
        <v>641</v>
      </c>
      <c r="S363" s="13" t="s">
        <v>641</v>
      </c>
      <c r="T363" s="13" t="s">
        <v>641</v>
      </c>
    </row>
    <row r="364" customFormat="1" spans="1:20">
      <c r="A364" s="109">
        <v>45748</v>
      </c>
      <c r="B364" s="109">
        <v>45777</v>
      </c>
      <c r="C364" s="13" t="s">
        <v>635</v>
      </c>
      <c r="D364" s="13" t="s">
        <v>636</v>
      </c>
      <c r="E364" s="13">
        <v>4520558</v>
      </c>
      <c r="F364" s="13" t="s">
        <v>346</v>
      </c>
      <c r="G364" s="13" t="s">
        <v>138</v>
      </c>
      <c r="H364" s="13" t="s">
        <v>137</v>
      </c>
      <c r="I364" s="13" t="s">
        <v>637</v>
      </c>
      <c r="J364" s="110">
        <v>5.49</v>
      </c>
      <c r="K364" s="111">
        <v>41</v>
      </c>
      <c r="L364" s="110">
        <v>225.21</v>
      </c>
      <c r="M364" s="13" t="s">
        <v>21</v>
      </c>
      <c r="N364" s="13" t="s">
        <v>638</v>
      </c>
      <c r="O364" s="13" t="s">
        <v>639</v>
      </c>
      <c r="P364" s="13" t="s">
        <v>637</v>
      </c>
      <c r="Q364" s="13" t="s">
        <v>646</v>
      </c>
      <c r="R364" s="13" t="s">
        <v>641</v>
      </c>
      <c r="S364" s="13" t="s">
        <v>641</v>
      </c>
      <c r="T364" s="13" t="s">
        <v>641</v>
      </c>
    </row>
    <row r="365" customFormat="1" spans="1:20">
      <c r="A365" s="109">
        <v>45748</v>
      </c>
      <c r="B365" s="109">
        <v>45777</v>
      </c>
      <c r="C365" s="13" t="s">
        <v>635</v>
      </c>
      <c r="D365" s="13" t="s">
        <v>636</v>
      </c>
      <c r="E365" s="13">
        <v>4520559</v>
      </c>
      <c r="F365" s="13" t="s">
        <v>718</v>
      </c>
      <c r="G365" s="13" t="s">
        <v>74</v>
      </c>
      <c r="H365" s="13" t="s">
        <v>73</v>
      </c>
      <c r="I365" s="13" t="s">
        <v>648</v>
      </c>
      <c r="J365" s="110">
        <v>12.02</v>
      </c>
      <c r="K365" s="111">
        <v>24.924</v>
      </c>
      <c r="L365" s="110">
        <v>299.67</v>
      </c>
      <c r="M365" s="13" t="s">
        <v>643</v>
      </c>
      <c r="N365" s="13" t="s">
        <v>642</v>
      </c>
      <c r="O365" s="13" t="s">
        <v>653</v>
      </c>
      <c r="P365" s="13" t="s">
        <v>648</v>
      </c>
      <c r="Q365" s="13" t="s">
        <v>654</v>
      </c>
      <c r="R365" s="13" t="s">
        <v>641</v>
      </c>
      <c r="S365" s="13" t="s">
        <v>719</v>
      </c>
      <c r="T365" s="13" t="s">
        <v>641</v>
      </c>
    </row>
    <row r="366" customFormat="1" spans="1:20">
      <c r="A366" s="109">
        <v>45748</v>
      </c>
      <c r="B366" s="109">
        <v>45777</v>
      </c>
      <c r="C366" s="13" t="s">
        <v>635</v>
      </c>
      <c r="D366" s="13" t="s">
        <v>636</v>
      </c>
      <c r="E366" s="13">
        <v>4520893</v>
      </c>
      <c r="F366" s="13" t="s">
        <v>720</v>
      </c>
      <c r="G366" s="13" t="s">
        <v>74</v>
      </c>
      <c r="H366" s="13" t="s">
        <v>73</v>
      </c>
      <c r="I366" s="13" t="s">
        <v>648</v>
      </c>
      <c r="J366" s="110">
        <v>4.2</v>
      </c>
      <c r="K366" s="111">
        <v>8</v>
      </c>
      <c r="L366" s="110">
        <v>33.62</v>
      </c>
      <c r="M366" s="13" t="s">
        <v>97</v>
      </c>
      <c r="N366" s="13" t="s">
        <v>656</v>
      </c>
      <c r="O366" s="13" t="s">
        <v>639</v>
      </c>
      <c r="P366" s="13" t="s">
        <v>637</v>
      </c>
      <c r="Q366" s="13" t="s">
        <v>656</v>
      </c>
      <c r="R366" s="13" t="s">
        <v>641</v>
      </c>
      <c r="S366" s="13" t="s">
        <v>641</v>
      </c>
      <c r="T366" s="13" t="s">
        <v>641</v>
      </c>
    </row>
    <row r="367" customFormat="1" spans="1:20">
      <c r="A367" s="109">
        <v>45748</v>
      </c>
      <c r="B367" s="109">
        <v>45777</v>
      </c>
      <c r="C367" s="13" t="s">
        <v>635</v>
      </c>
      <c r="D367" s="13" t="s">
        <v>636</v>
      </c>
      <c r="E367" s="13">
        <v>4520893</v>
      </c>
      <c r="F367" s="13" t="s">
        <v>720</v>
      </c>
      <c r="G367" s="13" t="s">
        <v>74</v>
      </c>
      <c r="H367" s="13" t="s">
        <v>73</v>
      </c>
      <c r="I367" s="13" t="s">
        <v>637</v>
      </c>
      <c r="J367" s="110">
        <v>4.2</v>
      </c>
      <c r="K367" s="111">
        <v>10</v>
      </c>
      <c r="L367" s="110">
        <v>42.01</v>
      </c>
      <c r="M367" s="13" t="s">
        <v>97</v>
      </c>
      <c r="N367" s="13" t="s">
        <v>656</v>
      </c>
      <c r="O367" s="13" t="s">
        <v>639</v>
      </c>
      <c r="P367" s="13" t="s">
        <v>637</v>
      </c>
      <c r="Q367" s="13" t="s">
        <v>656</v>
      </c>
      <c r="R367" s="13" t="s">
        <v>641</v>
      </c>
      <c r="S367" s="13" t="s">
        <v>641</v>
      </c>
      <c r="T367" s="13" t="s">
        <v>641</v>
      </c>
    </row>
    <row r="368" customFormat="1" spans="1:20">
      <c r="A368" s="109">
        <v>45748</v>
      </c>
      <c r="B368" s="109">
        <v>45777</v>
      </c>
      <c r="C368" s="13" t="s">
        <v>635</v>
      </c>
      <c r="D368" s="13" t="s">
        <v>636</v>
      </c>
      <c r="E368" s="13">
        <v>4520920</v>
      </c>
      <c r="F368" s="13" t="s">
        <v>615</v>
      </c>
      <c r="G368" s="13" t="s">
        <v>33</v>
      </c>
      <c r="H368" s="13" t="s">
        <v>32</v>
      </c>
      <c r="I368" s="13" t="s">
        <v>637</v>
      </c>
      <c r="J368" s="110">
        <v>27.3</v>
      </c>
      <c r="K368" s="111">
        <v>4.4</v>
      </c>
      <c r="L368" s="110">
        <v>120.14</v>
      </c>
      <c r="M368" s="13" t="s">
        <v>658</v>
      </c>
      <c r="N368" s="13" t="s">
        <v>646</v>
      </c>
      <c r="O368" s="13" t="s">
        <v>639</v>
      </c>
      <c r="P368" s="13" t="s">
        <v>637</v>
      </c>
      <c r="Q368" s="13" t="s">
        <v>646</v>
      </c>
      <c r="R368" s="13" t="s">
        <v>641</v>
      </c>
      <c r="S368" s="13" t="s">
        <v>641</v>
      </c>
      <c r="T368" s="13" t="s">
        <v>641</v>
      </c>
    </row>
    <row r="369" customFormat="1" spans="1:20">
      <c r="A369" s="109">
        <v>45748</v>
      </c>
      <c r="B369" s="109">
        <v>45777</v>
      </c>
      <c r="C369" s="13" t="s">
        <v>635</v>
      </c>
      <c r="D369" s="13" t="s">
        <v>636</v>
      </c>
      <c r="E369" s="13">
        <v>4520928</v>
      </c>
      <c r="F369" s="13" t="s">
        <v>388</v>
      </c>
      <c r="G369" s="13" t="s">
        <v>74</v>
      </c>
      <c r="H369" s="13" t="s">
        <v>73</v>
      </c>
      <c r="I369" s="13" t="s">
        <v>637</v>
      </c>
      <c r="J369" s="110">
        <v>7.8</v>
      </c>
      <c r="K369" s="111">
        <v>100</v>
      </c>
      <c r="L369" s="110">
        <v>780</v>
      </c>
      <c r="M369" s="13" t="s">
        <v>93</v>
      </c>
      <c r="N369" s="13" t="s">
        <v>644</v>
      </c>
      <c r="O369" s="13" t="s">
        <v>639</v>
      </c>
      <c r="P369" s="13" t="s">
        <v>637</v>
      </c>
      <c r="Q369" s="13" t="s">
        <v>644</v>
      </c>
      <c r="R369" s="13" t="s">
        <v>641</v>
      </c>
      <c r="S369" s="13" t="s">
        <v>641</v>
      </c>
      <c r="T369" s="13" t="s">
        <v>641</v>
      </c>
    </row>
    <row r="370" customFormat="1" spans="1:20">
      <c r="A370" s="109">
        <v>45748</v>
      </c>
      <c r="B370" s="109">
        <v>45777</v>
      </c>
      <c r="C370" s="13" t="s">
        <v>635</v>
      </c>
      <c r="D370" s="13" t="s">
        <v>636</v>
      </c>
      <c r="E370" s="13">
        <v>4521246</v>
      </c>
      <c r="F370" s="13" t="s">
        <v>460</v>
      </c>
      <c r="G370" s="13" t="s">
        <v>74</v>
      </c>
      <c r="H370" s="13" t="s">
        <v>73</v>
      </c>
      <c r="I370" s="13" t="s">
        <v>637</v>
      </c>
      <c r="J370" s="110">
        <v>47.38</v>
      </c>
      <c r="K370" s="111">
        <v>1</v>
      </c>
      <c r="L370" s="110">
        <v>47.38</v>
      </c>
      <c r="M370" s="13" t="s">
        <v>21</v>
      </c>
      <c r="N370" s="13" t="s">
        <v>638</v>
      </c>
      <c r="O370" s="13" t="s">
        <v>639</v>
      </c>
      <c r="P370" s="13" t="s">
        <v>637</v>
      </c>
      <c r="Q370" s="13" t="s">
        <v>642</v>
      </c>
      <c r="R370" s="13" t="s">
        <v>641</v>
      </c>
      <c r="S370" s="13" t="s">
        <v>641</v>
      </c>
      <c r="T370" s="13" t="s">
        <v>641</v>
      </c>
    </row>
    <row r="371" customFormat="1" spans="1:20">
      <c r="A371" s="109">
        <v>45748</v>
      </c>
      <c r="B371" s="109">
        <v>45777</v>
      </c>
      <c r="C371" s="13" t="s">
        <v>635</v>
      </c>
      <c r="D371" s="13" t="s">
        <v>636</v>
      </c>
      <c r="E371" s="13">
        <v>4521260</v>
      </c>
      <c r="F371" s="13" t="s">
        <v>43</v>
      </c>
      <c r="G371" s="13" t="s">
        <v>45</v>
      </c>
      <c r="H371" s="13" t="s">
        <v>44</v>
      </c>
      <c r="I371" s="13" t="s">
        <v>637</v>
      </c>
      <c r="J371" s="110">
        <v>9.88</v>
      </c>
      <c r="K371" s="111">
        <v>7.56</v>
      </c>
      <c r="L371" s="110">
        <v>74.69</v>
      </c>
      <c r="M371" s="13" t="s">
        <v>21</v>
      </c>
      <c r="N371" s="13" t="s">
        <v>638</v>
      </c>
      <c r="O371" s="13" t="s">
        <v>639</v>
      </c>
      <c r="P371" s="13" t="s">
        <v>637</v>
      </c>
      <c r="Q371" s="13" t="s">
        <v>640</v>
      </c>
      <c r="R371" s="13" t="s">
        <v>641</v>
      </c>
      <c r="S371" s="13" t="s">
        <v>721</v>
      </c>
      <c r="T371" s="13" t="s">
        <v>641</v>
      </c>
    </row>
    <row r="372" customFormat="1" spans="1:20">
      <c r="A372" s="109">
        <v>45748</v>
      </c>
      <c r="B372" s="109">
        <v>45777</v>
      </c>
      <c r="C372" s="13" t="s">
        <v>635</v>
      </c>
      <c r="D372" s="13" t="s">
        <v>636</v>
      </c>
      <c r="E372" s="13">
        <v>4522226</v>
      </c>
      <c r="F372" s="13" t="s">
        <v>490</v>
      </c>
      <c r="G372" s="13" t="s">
        <v>138</v>
      </c>
      <c r="H372" s="13" t="s">
        <v>137</v>
      </c>
      <c r="I372" s="13" t="s">
        <v>637</v>
      </c>
      <c r="J372" s="110">
        <v>3.23</v>
      </c>
      <c r="K372" s="111">
        <v>7</v>
      </c>
      <c r="L372" s="110">
        <v>22.58</v>
      </c>
      <c r="M372" s="13" t="s">
        <v>658</v>
      </c>
      <c r="N372" s="13" t="s">
        <v>646</v>
      </c>
      <c r="O372" s="13" t="s">
        <v>639</v>
      </c>
      <c r="P372" s="13" t="s">
        <v>637</v>
      </c>
      <c r="Q372" s="13" t="s">
        <v>646</v>
      </c>
      <c r="R372" s="13" t="s">
        <v>641</v>
      </c>
      <c r="S372" s="13" t="s">
        <v>641</v>
      </c>
      <c r="T372" s="13" t="s">
        <v>641</v>
      </c>
    </row>
    <row r="373" customFormat="1" spans="1:20">
      <c r="A373" s="109">
        <v>45748</v>
      </c>
      <c r="B373" s="109">
        <v>45777</v>
      </c>
      <c r="C373" s="13" t="s">
        <v>635</v>
      </c>
      <c r="D373" s="13" t="s">
        <v>636</v>
      </c>
      <c r="E373" s="13">
        <v>4522277</v>
      </c>
      <c r="F373" s="13" t="s">
        <v>722</v>
      </c>
      <c r="G373" s="13" t="s">
        <v>74</v>
      </c>
      <c r="H373" s="13" t="s">
        <v>73</v>
      </c>
      <c r="I373" s="13" t="s">
        <v>637</v>
      </c>
      <c r="J373" s="110">
        <v>5.6</v>
      </c>
      <c r="K373" s="111">
        <v>2.2</v>
      </c>
      <c r="L373" s="110">
        <v>12.32</v>
      </c>
      <c r="M373" s="13" t="s">
        <v>658</v>
      </c>
      <c r="N373" s="13" t="s">
        <v>646</v>
      </c>
      <c r="O373" s="13" t="s">
        <v>639</v>
      </c>
      <c r="P373" s="13" t="s">
        <v>637</v>
      </c>
      <c r="Q373" s="13" t="s">
        <v>640</v>
      </c>
      <c r="R373" s="13" t="s">
        <v>641</v>
      </c>
      <c r="S373" s="13" t="s">
        <v>723</v>
      </c>
      <c r="T373" s="13" t="s">
        <v>641</v>
      </c>
    </row>
    <row r="374" customFormat="1" spans="1:20">
      <c r="A374" s="109">
        <v>45748</v>
      </c>
      <c r="B374" s="109">
        <v>45777</v>
      </c>
      <c r="C374" s="13" t="s">
        <v>635</v>
      </c>
      <c r="D374" s="13" t="s">
        <v>636</v>
      </c>
      <c r="E374" s="13">
        <v>4522444</v>
      </c>
      <c r="F374" s="13" t="s">
        <v>487</v>
      </c>
      <c r="G374" s="13" t="s">
        <v>74</v>
      </c>
      <c r="H374" s="13" t="s">
        <v>73</v>
      </c>
      <c r="I374" s="13" t="s">
        <v>637</v>
      </c>
      <c r="J374" s="110">
        <v>3.38</v>
      </c>
      <c r="K374" s="111">
        <v>56</v>
      </c>
      <c r="L374" s="110">
        <v>189</v>
      </c>
      <c r="M374" s="13" t="s">
        <v>30</v>
      </c>
      <c r="N374" s="13" t="s">
        <v>655</v>
      </c>
      <c r="O374" s="13" t="s">
        <v>639</v>
      </c>
      <c r="P374" s="13" t="s">
        <v>637</v>
      </c>
      <c r="Q374" s="13" t="s">
        <v>649</v>
      </c>
      <c r="R374" s="13" t="s">
        <v>641</v>
      </c>
      <c r="S374" s="13" t="s">
        <v>641</v>
      </c>
      <c r="T374" s="13" t="s">
        <v>641</v>
      </c>
    </row>
    <row r="375" customFormat="1" spans="1:20">
      <c r="A375" s="109">
        <v>45748</v>
      </c>
      <c r="B375" s="109">
        <v>45777</v>
      </c>
      <c r="C375" s="13" t="s">
        <v>635</v>
      </c>
      <c r="D375" s="13" t="s">
        <v>636</v>
      </c>
      <c r="E375" s="13">
        <v>4522445</v>
      </c>
      <c r="F375" s="13" t="s">
        <v>147</v>
      </c>
      <c r="G375" s="13" t="s">
        <v>74</v>
      </c>
      <c r="H375" s="13" t="s">
        <v>73</v>
      </c>
      <c r="I375" s="13" t="s">
        <v>637</v>
      </c>
      <c r="J375" s="110">
        <v>3.38</v>
      </c>
      <c r="K375" s="111">
        <v>96</v>
      </c>
      <c r="L375" s="110">
        <v>324</v>
      </c>
      <c r="M375" s="13" t="s">
        <v>30</v>
      </c>
      <c r="N375" s="13" t="s">
        <v>655</v>
      </c>
      <c r="O375" s="13" t="s">
        <v>639</v>
      </c>
      <c r="P375" s="13" t="s">
        <v>637</v>
      </c>
      <c r="Q375" s="13" t="s">
        <v>649</v>
      </c>
      <c r="R375" s="13" t="s">
        <v>641</v>
      </c>
      <c r="S375" s="13" t="s">
        <v>641</v>
      </c>
      <c r="T375" s="13" t="s">
        <v>641</v>
      </c>
    </row>
    <row r="376" customFormat="1" spans="1:20">
      <c r="A376" s="109">
        <v>45748</v>
      </c>
      <c r="B376" s="109">
        <v>45777</v>
      </c>
      <c r="C376" s="13" t="s">
        <v>635</v>
      </c>
      <c r="D376" s="13" t="s">
        <v>636</v>
      </c>
      <c r="E376" s="13">
        <v>4522462</v>
      </c>
      <c r="F376" s="13" t="s">
        <v>311</v>
      </c>
      <c r="G376" s="13" t="s">
        <v>74</v>
      </c>
      <c r="H376" s="13" t="s">
        <v>73</v>
      </c>
      <c r="I376" s="13" t="s">
        <v>637</v>
      </c>
      <c r="J376" s="110">
        <v>12.31</v>
      </c>
      <c r="K376" s="111">
        <v>193.66</v>
      </c>
      <c r="L376" s="110">
        <v>2383.31</v>
      </c>
      <c r="M376" s="13" t="s">
        <v>643</v>
      </c>
      <c r="N376" s="13" t="s">
        <v>642</v>
      </c>
      <c r="O376" s="13" t="s">
        <v>639</v>
      </c>
      <c r="P376" s="13" t="s">
        <v>637</v>
      </c>
      <c r="Q376" s="13" t="s">
        <v>642</v>
      </c>
      <c r="R376" s="13" t="s">
        <v>641</v>
      </c>
      <c r="S376" s="13" t="s">
        <v>641</v>
      </c>
      <c r="T376" s="13" t="s">
        <v>641</v>
      </c>
    </row>
    <row r="377" customFormat="1" spans="1:20">
      <c r="A377" s="109">
        <v>45748</v>
      </c>
      <c r="B377" s="109">
        <v>45777</v>
      </c>
      <c r="C377" s="13" t="s">
        <v>635</v>
      </c>
      <c r="D377" s="13" t="s">
        <v>636</v>
      </c>
      <c r="E377" s="13">
        <v>4522604</v>
      </c>
      <c r="F377" s="13" t="s">
        <v>218</v>
      </c>
      <c r="G377" s="13" t="s">
        <v>74</v>
      </c>
      <c r="H377" s="13" t="s">
        <v>73</v>
      </c>
      <c r="I377" s="13" t="s">
        <v>648</v>
      </c>
      <c r="J377" s="110">
        <v>1.7</v>
      </c>
      <c r="K377" s="111">
        <v>110</v>
      </c>
      <c r="L377" s="110">
        <v>187</v>
      </c>
      <c r="M377" s="13" t="s">
        <v>30</v>
      </c>
      <c r="N377" s="13" t="s">
        <v>655</v>
      </c>
      <c r="O377" s="13" t="s">
        <v>639</v>
      </c>
      <c r="P377" s="13" t="s">
        <v>637</v>
      </c>
      <c r="Q377" s="13" t="s">
        <v>649</v>
      </c>
      <c r="R377" s="13" t="s">
        <v>641</v>
      </c>
      <c r="S377" s="13" t="s">
        <v>641</v>
      </c>
      <c r="T377" s="13" t="s">
        <v>641</v>
      </c>
    </row>
    <row r="378" customFormat="1" spans="1:20">
      <c r="A378" s="109">
        <v>45748</v>
      </c>
      <c r="B378" s="109">
        <v>45777</v>
      </c>
      <c r="C378" s="13" t="s">
        <v>635</v>
      </c>
      <c r="D378" s="13" t="s">
        <v>636</v>
      </c>
      <c r="E378" s="13">
        <v>4522604</v>
      </c>
      <c r="F378" s="13" t="s">
        <v>218</v>
      </c>
      <c r="G378" s="13" t="s">
        <v>74</v>
      </c>
      <c r="H378" s="13" t="s">
        <v>73</v>
      </c>
      <c r="I378" s="13" t="s">
        <v>637</v>
      </c>
      <c r="J378" s="110">
        <v>1.7</v>
      </c>
      <c r="K378" s="111">
        <v>416</v>
      </c>
      <c r="L378" s="110">
        <v>707.2</v>
      </c>
      <c r="M378" s="13" t="s">
        <v>30</v>
      </c>
      <c r="N378" s="13" t="s">
        <v>655</v>
      </c>
      <c r="O378" s="13" t="s">
        <v>639</v>
      </c>
      <c r="P378" s="13" t="s">
        <v>637</v>
      </c>
      <c r="Q378" s="13" t="s">
        <v>649</v>
      </c>
      <c r="R378" s="13" t="s">
        <v>641</v>
      </c>
      <c r="S378" s="13" t="s">
        <v>641</v>
      </c>
      <c r="T378" s="13" t="s">
        <v>641</v>
      </c>
    </row>
    <row r="379" customFormat="1" spans="1:20">
      <c r="A379" s="109">
        <v>45748</v>
      </c>
      <c r="B379" s="109">
        <v>45777</v>
      </c>
      <c r="C379" s="13" t="s">
        <v>635</v>
      </c>
      <c r="D379" s="13" t="s">
        <v>636</v>
      </c>
      <c r="E379" s="13">
        <v>4522606</v>
      </c>
      <c r="F379" s="13" t="s">
        <v>594</v>
      </c>
      <c r="G379" s="13" t="s">
        <v>74</v>
      </c>
      <c r="H379" s="13" t="s">
        <v>73</v>
      </c>
      <c r="I379" s="13" t="s">
        <v>637</v>
      </c>
      <c r="J379" s="110">
        <v>10</v>
      </c>
      <c r="K379" s="111">
        <v>2.5</v>
      </c>
      <c r="L379" s="110">
        <v>25</v>
      </c>
      <c r="M379" s="13" t="s">
        <v>21</v>
      </c>
      <c r="N379" s="13" t="s">
        <v>638</v>
      </c>
      <c r="O379" s="13" t="s">
        <v>639</v>
      </c>
      <c r="P379" s="13" t="s">
        <v>637</v>
      </c>
      <c r="Q379" s="13" t="s">
        <v>640</v>
      </c>
      <c r="R379" s="13" t="s">
        <v>641</v>
      </c>
      <c r="S379" s="13" t="s">
        <v>641</v>
      </c>
      <c r="T379" s="13" t="s">
        <v>641</v>
      </c>
    </row>
    <row r="380" customFormat="1" spans="1:20">
      <c r="A380" s="109">
        <v>45748</v>
      </c>
      <c r="B380" s="109">
        <v>45777</v>
      </c>
      <c r="C380" s="13" t="s">
        <v>635</v>
      </c>
      <c r="D380" s="13" t="s">
        <v>636</v>
      </c>
      <c r="E380" s="13">
        <v>4522916</v>
      </c>
      <c r="F380" s="13" t="s">
        <v>173</v>
      </c>
      <c r="G380" s="13" t="s">
        <v>37</v>
      </c>
      <c r="H380" s="13" t="s">
        <v>647</v>
      </c>
      <c r="I380" s="13" t="s">
        <v>637</v>
      </c>
      <c r="J380" s="110">
        <v>7.25</v>
      </c>
      <c r="K380" s="111">
        <v>113</v>
      </c>
      <c r="L380" s="110">
        <v>819.25</v>
      </c>
      <c r="M380" s="13" t="s">
        <v>643</v>
      </c>
      <c r="N380" s="13" t="s">
        <v>642</v>
      </c>
      <c r="O380" s="13" t="s">
        <v>639</v>
      </c>
      <c r="P380" s="13" t="s">
        <v>637</v>
      </c>
      <c r="Q380" s="13" t="s">
        <v>642</v>
      </c>
      <c r="R380" s="13" t="s">
        <v>641</v>
      </c>
      <c r="S380" s="13" t="s">
        <v>641</v>
      </c>
      <c r="T380" s="13" t="s">
        <v>641</v>
      </c>
    </row>
    <row r="381" customFormat="1" spans="1:20">
      <c r="A381" s="109">
        <v>45748</v>
      </c>
      <c r="B381" s="109">
        <v>45777</v>
      </c>
      <c r="C381" s="13" t="s">
        <v>635</v>
      </c>
      <c r="D381" s="13" t="s">
        <v>636</v>
      </c>
      <c r="E381" s="13">
        <v>4522918</v>
      </c>
      <c r="F381" s="13" t="s">
        <v>159</v>
      </c>
      <c r="G381" s="13" t="s">
        <v>37</v>
      </c>
      <c r="H381" s="13" t="s">
        <v>647</v>
      </c>
      <c r="I381" s="13" t="s">
        <v>637</v>
      </c>
      <c r="J381" s="110">
        <v>21.31</v>
      </c>
      <c r="K381" s="111">
        <v>482.88</v>
      </c>
      <c r="L381" s="110">
        <v>10291.88</v>
      </c>
      <c r="M381" s="13" t="s">
        <v>643</v>
      </c>
      <c r="N381" s="13" t="s">
        <v>642</v>
      </c>
      <c r="O381" s="13" t="s">
        <v>639</v>
      </c>
      <c r="P381" s="13" t="s">
        <v>637</v>
      </c>
      <c r="Q381" s="13" t="s">
        <v>642</v>
      </c>
      <c r="R381" s="13" t="s">
        <v>641</v>
      </c>
      <c r="S381" s="13" t="s">
        <v>724</v>
      </c>
      <c r="T381" s="13" t="s">
        <v>641</v>
      </c>
    </row>
    <row r="382" customFormat="1" spans="1:20">
      <c r="A382" s="109">
        <v>45748</v>
      </c>
      <c r="B382" s="109">
        <v>45777</v>
      </c>
      <c r="C382" s="13" t="s">
        <v>635</v>
      </c>
      <c r="D382" s="13" t="s">
        <v>636</v>
      </c>
      <c r="E382" s="13">
        <v>4523357</v>
      </c>
      <c r="F382" s="13" t="s">
        <v>568</v>
      </c>
      <c r="G382" s="13" t="s">
        <v>74</v>
      </c>
      <c r="H382" s="13" t="s">
        <v>73</v>
      </c>
      <c r="I382" s="13" t="s">
        <v>637</v>
      </c>
      <c r="J382" s="110">
        <v>7.14</v>
      </c>
      <c r="K382" s="111">
        <v>137.2</v>
      </c>
      <c r="L382" s="110">
        <v>980</v>
      </c>
      <c r="M382" s="13" t="s">
        <v>21</v>
      </c>
      <c r="N382" s="13" t="s">
        <v>638</v>
      </c>
      <c r="O382" s="13" t="s">
        <v>639</v>
      </c>
      <c r="P382" s="13" t="s">
        <v>637</v>
      </c>
      <c r="Q382" s="13" t="s">
        <v>649</v>
      </c>
      <c r="R382" s="13" t="s">
        <v>641</v>
      </c>
      <c r="S382" s="13" t="s">
        <v>641</v>
      </c>
      <c r="T382" s="13" t="s">
        <v>641</v>
      </c>
    </row>
    <row r="383" customFormat="1" spans="1:20">
      <c r="A383" s="109">
        <v>45748</v>
      </c>
      <c r="B383" s="109">
        <v>45777</v>
      </c>
      <c r="C383" s="13" t="s">
        <v>635</v>
      </c>
      <c r="D383" s="13" t="s">
        <v>636</v>
      </c>
      <c r="E383" s="13">
        <v>4523572</v>
      </c>
      <c r="F383" s="13" t="s">
        <v>523</v>
      </c>
      <c r="G383" s="13" t="s">
        <v>74</v>
      </c>
      <c r="H383" s="13" t="s">
        <v>73</v>
      </c>
      <c r="I383" s="13" t="s">
        <v>637</v>
      </c>
      <c r="J383" s="110">
        <v>3.98</v>
      </c>
      <c r="K383" s="111">
        <v>22.1</v>
      </c>
      <c r="L383" s="110">
        <v>87.99</v>
      </c>
      <c r="M383" s="13" t="s">
        <v>21</v>
      </c>
      <c r="N383" s="13" t="s">
        <v>638</v>
      </c>
      <c r="O383" s="13" t="s">
        <v>639</v>
      </c>
      <c r="P383" s="13" t="s">
        <v>637</v>
      </c>
      <c r="Q383" s="13" t="s">
        <v>644</v>
      </c>
      <c r="R383" s="13" t="s">
        <v>641</v>
      </c>
      <c r="S383" s="13" t="s">
        <v>641</v>
      </c>
      <c r="T383" s="13" t="s">
        <v>641</v>
      </c>
    </row>
    <row r="384" customFormat="1" spans="1:20">
      <c r="A384" s="109">
        <v>45748</v>
      </c>
      <c r="B384" s="109">
        <v>45777</v>
      </c>
      <c r="C384" s="13" t="s">
        <v>635</v>
      </c>
      <c r="D384" s="13" t="s">
        <v>636</v>
      </c>
      <c r="E384" s="13">
        <v>4523800</v>
      </c>
      <c r="F384" s="13" t="s">
        <v>323</v>
      </c>
      <c r="G384" s="13" t="s">
        <v>74</v>
      </c>
      <c r="H384" s="13" t="s">
        <v>73</v>
      </c>
      <c r="I384" s="13" t="s">
        <v>637</v>
      </c>
      <c r="J384" s="110">
        <v>4.52</v>
      </c>
      <c r="K384" s="111">
        <v>30</v>
      </c>
      <c r="L384" s="110">
        <v>135.55</v>
      </c>
      <c r="M384" s="13" t="s">
        <v>21</v>
      </c>
      <c r="N384" s="13" t="s">
        <v>638</v>
      </c>
      <c r="O384" s="13" t="s">
        <v>639</v>
      </c>
      <c r="P384" s="13" t="s">
        <v>637</v>
      </c>
      <c r="Q384" s="13" t="s">
        <v>640</v>
      </c>
      <c r="R384" s="13" t="s">
        <v>641</v>
      </c>
      <c r="S384" s="13" t="s">
        <v>641</v>
      </c>
      <c r="T384" s="13" t="s">
        <v>641</v>
      </c>
    </row>
    <row r="385" customFormat="1" spans="1:20">
      <c r="A385" s="109">
        <v>45748</v>
      </c>
      <c r="B385" s="109">
        <v>45777</v>
      </c>
      <c r="C385" s="13" t="s">
        <v>635</v>
      </c>
      <c r="D385" s="13" t="s">
        <v>636</v>
      </c>
      <c r="E385" s="13">
        <v>4523956</v>
      </c>
      <c r="F385" s="13" t="s">
        <v>302</v>
      </c>
      <c r="G385" s="13" t="s">
        <v>37</v>
      </c>
      <c r="H385" s="13" t="s">
        <v>647</v>
      </c>
      <c r="I385" s="13" t="s">
        <v>637</v>
      </c>
      <c r="J385" s="110">
        <v>35</v>
      </c>
      <c r="K385" s="111">
        <v>96</v>
      </c>
      <c r="L385" s="110">
        <v>3360</v>
      </c>
      <c r="M385" s="13" t="s">
        <v>643</v>
      </c>
      <c r="N385" s="13" t="s">
        <v>642</v>
      </c>
      <c r="O385" s="13" t="s">
        <v>639</v>
      </c>
      <c r="P385" s="13" t="s">
        <v>637</v>
      </c>
      <c r="Q385" s="13" t="s">
        <v>642</v>
      </c>
      <c r="R385" s="13" t="s">
        <v>641</v>
      </c>
      <c r="S385" s="13" t="s">
        <v>724</v>
      </c>
      <c r="T385" s="13" t="s">
        <v>641</v>
      </c>
    </row>
    <row r="386" customFormat="1" spans="1:20">
      <c r="A386" s="109">
        <v>45748</v>
      </c>
      <c r="B386" s="109">
        <v>45777</v>
      </c>
      <c r="C386" s="13" t="s">
        <v>635</v>
      </c>
      <c r="D386" s="13" t="s">
        <v>636</v>
      </c>
      <c r="E386" s="13">
        <v>4524484</v>
      </c>
      <c r="F386" s="13" t="s">
        <v>216</v>
      </c>
      <c r="G386" s="13" t="s">
        <v>33</v>
      </c>
      <c r="H386" s="13" t="s">
        <v>32</v>
      </c>
      <c r="I386" s="13" t="s">
        <v>648</v>
      </c>
      <c r="J386" s="110">
        <v>29.68</v>
      </c>
      <c r="K386" s="111">
        <v>2</v>
      </c>
      <c r="L386" s="110">
        <v>59.36</v>
      </c>
      <c r="M386" s="13" t="s">
        <v>669</v>
      </c>
      <c r="N386" s="13" t="s">
        <v>670</v>
      </c>
      <c r="O386" s="13" t="s">
        <v>653</v>
      </c>
      <c r="P386" s="13" t="s">
        <v>648</v>
      </c>
      <c r="Q386" s="13" t="s">
        <v>671</v>
      </c>
      <c r="R386" s="13" t="s">
        <v>641</v>
      </c>
      <c r="S386" s="13" t="s">
        <v>641</v>
      </c>
      <c r="T386" s="13" t="s">
        <v>641</v>
      </c>
    </row>
    <row r="387" customFormat="1" spans="1:20">
      <c r="A387" s="109">
        <v>45748</v>
      </c>
      <c r="B387" s="109">
        <v>45777</v>
      </c>
      <c r="C387" s="13" t="s">
        <v>635</v>
      </c>
      <c r="D387" s="13" t="s">
        <v>636</v>
      </c>
      <c r="E387" s="13">
        <v>4524613</v>
      </c>
      <c r="F387" s="13" t="s">
        <v>133</v>
      </c>
      <c r="G387" s="13" t="s">
        <v>74</v>
      </c>
      <c r="H387" s="13" t="s">
        <v>73</v>
      </c>
      <c r="I387" s="13" t="s">
        <v>637</v>
      </c>
      <c r="J387" s="110">
        <v>6.08</v>
      </c>
      <c r="K387" s="111">
        <v>50.16</v>
      </c>
      <c r="L387" s="110">
        <v>304.74</v>
      </c>
      <c r="M387" s="13" t="s">
        <v>97</v>
      </c>
      <c r="N387" s="13" t="s">
        <v>656</v>
      </c>
      <c r="O387" s="13" t="s">
        <v>639</v>
      </c>
      <c r="P387" s="13" t="s">
        <v>637</v>
      </c>
      <c r="Q387" s="13" t="s">
        <v>656</v>
      </c>
      <c r="R387" s="13" t="s">
        <v>641</v>
      </c>
      <c r="S387" s="13" t="s">
        <v>641</v>
      </c>
      <c r="T387" s="13" t="s">
        <v>641</v>
      </c>
    </row>
    <row r="388" customFormat="1" spans="1:20">
      <c r="A388" s="109">
        <v>45748</v>
      </c>
      <c r="B388" s="109">
        <v>45777</v>
      </c>
      <c r="C388" s="13" t="s">
        <v>635</v>
      </c>
      <c r="D388" s="13" t="s">
        <v>636</v>
      </c>
      <c r="E388" s="13">
        <v>4524933</v>
      </c>
      <c r="F388" s="13" t="s">
        <v>598</v>
      </c>
      <c r="G388" s="13" t="s">
        <v>74</v>
      </c>
      <c r="H388" s="13" t="s">
        <v>73</v>
      </c>
      <c r="I388" s="13" t="s">
        <v>637</v>
      </c>
      <c r="J388" s="110">
        <v>35</v>
      </c>
      <c r="K388" s="111">
        <v>2.7</v>
      </c>
      <c r="L388" s="110">
        <v>94.5</v>
      </c>
      <c r="M388" s="13" t="s">
        <v>658</v>
      </c>
      <c r="N388" s="13" t="s">
        <v>646</v>
      </c>
      <c r="O388" s="13" t="s">
        <v>639</v>
      </c>
      <c r="P388" s="13" t="s">
        <v>637</v>
      </c>
      <c r="Q388" s="13" t="s">
        <v>646</v>
      </c>
      <c r="R388" s="13" t="s">
        <v>641</v>
      </c>
      <c r="S388" s="13" t="s">
        <v>641</v>
      </c>
      <c r="T388" s="13" t="s">
        <v>641</v>
      </c>
    </row>
    <row r="389" customFormat="1" spans="1:20">
      <c r="A389" s="109">
        <v>45748</v>
      </c>
      <c r="B389" s="109">
        <v>45777</v>
      </c>
      <c r="C389" s="13" t="s">
        <v>635</v>
      </c>
      <c r="D389" s="13" t="s">
        <v>636</v>
      </c>
      <c r="E389" s="13">
        <v>4525187</v>
      </c>
      <c r="F389" s="13" t="s">
        <v>484</v>
      </c>
      <c r="G389" s="13" t="s">
        <v>146</v>
      </c>
      <c r="H389" s="13" t="s">
        <v>145</v>
      </c>
      <c r="I389" s="13" t="s">
        <v>637</v>
      </c>
      <c r="J389" s="110">
        <v>4.3</v>
      </c>
      <c r="K389" s="111">
        <v>49</v>
      </c>
      <c r="L389" s="110">
        <v>210.69</v>
      </c>
      <c r="M389" s="13" t="s">
        <v>138</v>
      </c>
      <c r="N389" s="13" t="s">
        <v>663</v>
      </c>
      <c r="O389" s="13" t="s">
        <v>639</v>
      </c>
      <c r="P389" s="13" t="s">
        <v>637</v>
      </c>
      <c r="Q389" s="13" t="s">
        <v>646</v>
      </c>
      <c r="R389" s="13" t="s">
        <v>641</v>
      </c>
      <c r="S389" s="13" t="s">
        <v>641</v>
      </c>
      <c r="T389" s="13" t="s">
        <v>641</v>
      </c>
    </row>
    <row r="390" customFormat="1" spans="1:20">
      <c r="A390" s="109">
        <v>45748</v>
      </c>
      <c r="B390" s="109">
        <v>45777</v>
      </c>
      <c r="C390" s="13" t="s">
        <v>635</v>
      </c>
      <c r="D390" s="13" t="s">
        <v>636</v>
      </c>
      <c r="E390" s="13">
        <v>4525250</v>
      </c>
      <c r="F390" s="13" t="s">
        <v>120</v>
      </c>
      <c r="G390" s="13" t="s">
        <v>74</v>
      </c>
      <c r="H390" s="13" t="s">
        <v>73</v>
      </c>
      <c r="I390" s="13" t="s">
        <v>637</v>
      </c>
      <c r="J390" s="110">
        <v>16.48</v>
      </c>
      <c r="K390" s="111">
        <v>18.5</v>
      </c>
      <c r="L390" s="110">
        <v>304.88</v>
      </c>
      <c r="M390" s="13" t="s">
        <v>138</v>
      </c>
      <c r="N390" s="13" t="s">
        <v>663</v>
      </c>
      <c r="O390" s="13" t="s">
        <v>639</v>
      </c>
      <c r="P390" s="13" t="s">
        <v>637</v>
      </c>
      <c r="Q390" s="13" t="s">
        <v>646</v>
      </c>
      <c r="R390" s="13" t="s">
        <v>641</v>
      </c>
      <c r="S390" s="13" t="s">
        <v>641</v>
      </c>
      <c r="T390" s="13" t="s">
        <v>641</v>
      </c>
    </row>
    <row r="391" customFormat="1" spans="1:20">
      <c r="A391" s="109">
        <v>45748</v>
      </c>
      <c r="B391" s="109">
        <v>45777</v>
      </c>
      <c r="C391" s="13" t="s">
        <v>635</v>
      </c>
      <c r="D391" s="13" t="s">
        <v>636</v>
      </c>
      <c r="E391" s="13">
        <v>4525313</v>
      </c>
      <c r="F391" s="13" t="s">
        <v>725</v>
      </c>
      <c r="G391" s="13" t="s">
        <v>74</v>
      </c>
      <c r="H391" s="13" t="s">
        <v>73</v>
      </c>
      <c r="I391" s="13" t="s">
        <v>637</v>
      </c>
      <c r="J391" s="110">
        <v>7.34</v>
      </c>
      <c r="K391" s="111">
        <v>70</v>
      </c>
      <c r="L391" s="110">
        <v>513.64</v>
      </c>
      <c r="M391" s="13" t="s">
        <v>478</v>
      </c>
      <c r="N391" s="13" t="s">
        <v>645</v>
      </c>
      <c r="O391" s="13" t="s">
        <v>639</v>
      </c>
      <c r="P391" s="13" t="s">
        <v>637</v>
      </c>
      <c r="Q391" s="13" t="s">
        <v>638</v>
      </c>
      <c r="R391" s="13" t="s">
        <v>641</v>
      </c>
      <c r="S391" s="13" t="s">
        <v>726</v>
      </c>
      <c r="T391" s="13" t="s">
        <v>641</v>
      </c>
    </row>
    <row r="392" customFormat="1" spans="1:20">
      <c r="A392" s="109">
        <v>45748</v>
      </c>
      <c r="B392" s="109">
        <v>45777</v>
      </c>
      <c r="C392" s="13" t="s">
        <v>635</v>
      </c>
      <c r="D392" s="13" t="s">
        <v>636</v>
      </c>
      <c r="E392" s="13">
        <v>4525314</v>
      </c>
      <c r="F392" s="13" t="s">
        <v>571</v>
      </c>
      <c r="G392" s="13" t="s">
        <v>74</v>
      </c>
      <c r="H392" s="13" t="s">
        <v>73</v>
      </c>
      <c r="I392" s="13" t="s">
        <v>637</v>
      </c>
      <c r="J392" s="110">
        <v>7.34</v>
      </c>
      <c r="K392" s="111">
        <v>22.7</v>
      </c>
      <c r="L392" s="110">
        <v>166.67</v>
      </c>
      <c r="M392" s="13" t="s">
        <v>21</v>
      </c>
      <c r="N392" s="13" t="s">
        <v>638</v>
      </c>
      <c r="O392" s="13" t="s">
        <v>639</v>
      </c>
      <c r="P392" s="13" t="s">
        <v>637</v>
      </c>
      <c r="Q392" s="13" t="s">
        <v>644</v>
      </c>
      <c r="R392" s="13" t="s">
        <v>641</v>
      </c>
      <c r="S392" s="13" t="s">
        <v>726</v>
      </c>
      <c r="T392" s="13" t="s">
        <v>641</v>
      </c>
    </row>
    <row r="393" customFormat="1" spans="1:20">
      <c r="A393" s="109">
        <v>45748</v>
      </c>
      <c r="B393" s="109">
        <v>45777</v>
      </c>
      <c r="C393" s="13" t="s">
        <v>635</v>
      </c>
      <c r="D393" s="13" t="s">
        <v>636</v>
      </c>
      <c r="E393" s="13">
        <v>4525419</v>
      </c>
      <c r="F393" s="13" t="s">
        <v>580</v>
      </c>
      <c r="G393" s="13" t="s">
        <v>37</v>
      </c>
      <c r="H393" s="13" t="s">
        <v>647</v>
      </c>
      <c r="I393" s="13" t="s">
        <v>637</v>
      </c>
      <c r="J393" s="110">
        <v>30</v>
      </c>
      <c r="K393" s="111">
        <v>50</v>
      </c>
      <c r="L393" s="110">
        <v>1500</v>
      </c>
      <c r="M393" s="13" t="s">
        <v>643</v>
      </c>
      <c r="N393" s="13" t="s">
        <v>642</v>
      </c>
      <c r="O393" s="13" t="s">
        <v>639</v>
      </c>
      <c r="P393" s="13" t="s">
        <v>637</v>
      </c>
      <c r="Q393" s="13" t="s">
        <v>642</v>
      </c>
      <c r="R393" s="13" t="s">
        <v>641</v>
      </c>
      <c r="S393" s="13" t="s">
        <v>641</v>
      </c>
      <c r="T393" s="13" t="s">
        <v>641</v>
      </c>
    </row>
    <row r="394" customFormat="1" spans="1:20">
      <c r="A394" s="109">
        <v>45748</v>
      </c>
      <c r="B394" s="109">
        <v>45777</v>
      </c>
      <c r="C394" s="13" t="s">
        <v>635</v>
      </c>
      <c r="D394" s="13" t="s">
        <v>636</v>
      </c>
      <c r="E394" s="13">
        <v>4526242</v>
      </c>
      <c r="F394" s="13" t="s">
        <v>570</v>
      </c>
      <c r="G394" s="13" t="s">
        <v>74</v>
      </c>
      <c r="H394" s="13" t="s">
        <v>73</v>
      </c>
      <c r="I394" s="13" t="s">
        <v>637</v>
      </c>
      <c r="J394" s="110">
        <v>13.33</v>
      </c>
      <c r="K394" s="111">
        <v>34.5</v>
      </c>
      <c r="L394" s="110">
        <v>460</v>
      </c>
      <c r="M394" s="13" t="s">
        <v>30</v>
      </c>
      <c r="N394" s="13" t="s">
        <v>655</v>
      </c>
      <c r="O394" s="13" t="s">
        <v>639</v>
      </c>
      <c r="P394" s="13" t="s">
        <v>637</v>
      </c>
      <c r="Q394" s="13" t="s">
        <v>649</v>
      </c>
      <c r="R394" s="13" t="s">
        <v>641</v>
      </c>
      <c r="S394" s="13" t="s">
        <v>641</v>
      </c>
      <c r="T394" s="13" t="s">
        <v>641</v>
      </c>
    </row>
    <row r="395" customFormat="1" spans="1:20">
      <c r="A395" s="109">
        <v>45748</v>
      </c>
      <c r="B395" s="109">
        <v>45777</v>
      </c>
      <c r="C395" s="13" t="s">
        <v>635</v>
      </c>
      <c r="D395" s="13" t="s">
        <v>636</v>
      </c>
      <c r="E395" s="13">
        <v>4526243</v>
      </c>
      <c r="F395" s="13" t="s">
        <v>596</v>
      </c>
      <c r="G395" s="13" t="s">
        <v>37</v>
      </c>
      <c r="H395" s="13" t="s">
        <v>647</v>
      </c>
      <c r="I395" s="13" t="s">
        <v>637</v>
      </c>
      <c r="J395" s="110">
        <v>4.4</v>
      </c>
      <c r="K395" s="111">
        <v>32</v>
      </c>
      <c r="L395" s="110">
        <v>140.8</v>
      </c>
      <c r="M395" s="13" t="s">
        <v>643</v>
      </c>
      <c r="N395" s="13" t="s">
        <v>642</v>
      </c>
      <c r="O395" s="13" t="s">
        <v>639</v>
      </c>
      <c r="P395" s="13" t="s">
        <v>637</v>
      </c>
      <c r="Q395" s="13" t="s">
        <v>642</v>
      </c>
      <c r="R395" s="13" t="s">
        <v>641</v>
      </c>
      <c r="S395" s="13" t="s">
        <v>641</v>
      </c>
      <c r="T395" s="13" t="s">
        <v>641</v>
      </c>
    </row>
    <row r="396" customFormat="1" spans="1:20">
      <c r="A396" s="109">
        <v>45748</v>
      </c>
      <c r="B396" s="109">
        <v>45777</v>
      </c>
      <c r="C396" s="13" t="s">
        <v>635</v>
      </c>
      <c r="D396" s="13" t="s">
        <v>636</v>
      </c>
      <c r="E396" s="13">
        <v>4526244</v>
      </c>
      <c r="F396" s="13" t="s">
        <v>377</v>
      </c>
      <c r="G396" s="13" t="s">
        <v>37</v>
      </c>
      <c r="H396" s="13" t="s">
        <v>647</v>
      </c>
      <c r="I396" s="13" t="s">
        <v>637</v>
      </c>
      <c r="J396" s="110">
        <v>4.7</v>
      </c>
      <c r="K396" s="111">
        <v>160</v>
      </c>
      <c r="L396" s="110">
        <v>752</v>
      </c>
      <c r="M396" s="13" t="s">
        <v>643</v>
      </c>
      <c r="N396" s="13" t="s">
        <v>642</v>
      </c>
      <c r="O396" s="13" t="s">
        <v>639</v>
      </c>
      <c r="P396" s="13" t="s">
        <v>637</v>
      </c>
      <c r="Q396" s="13" t="s">
        <v>642</v>
      </c>
      <c r="R396" s="13" t="s">
        <v>641</v>
      </c>
      <c r="S396" s="13" t="s">
        <v>641</v>
      </c>
      <c r="T396" s="13" t="s">
        <v>641</v>
      </c>
    </row>
    <row r="397" customFormat="1" spans="1:20">
      <c r="A397" s="109">
        <v>45748</v>
      </c>
      <c r="B397" s="109">
        <v>45777</v>
      </c>
      <c r="C397" s="13" t="s">
        <v>635</v>
      </c>
      <c r="D397" s="13" t="s">
        <v>636</v>
      </c>
      <c r="E397" s="13">
        <v>4526258</v>
      </c>
      <c r="F397" s="13" t="s">
        <v>368</v>
      </c>
      <c r="G397" s="13" t="s">
        <v>33</v>
      </c>
      <c r="H397" s="13" t="s">
        <v>32</v>
      </c>
      <c r="I397" s="13" t="s">
        <v>637</v>
      </c>
      <c r="J397" s="110">
        <v>6.62</v>
      </c>
      <c r="K397" s="111">
        <v>33</v>
      </c>
      <c r="L397" s="110">
        <v>218.46</v>
      </c>
      <c r="M397" s="13" t="s">
        <v>658</v>
      </c>
      <c r="N397" s="13" t="s">
        <v>646</v>
      </c>
      <c r="O397" s="13" t="s">
        <v>639</v>
      </c>
      <c r="P397" s="13" t="s">
        <v>637</v>
      </c>
      <c r="Q397" s="13" t="s">
        <v>646</v>
      </c>
      <c r="R397" s="13" t="s">
        <v>641</v>
      </c>
      <c r="S397" s="13" t="s">
        <v>641</v>
      </c>
      <c r="T397" s="13" t="s">
        <v>641</v>
      </c>
    </row>
    <row r="398" customFormat="1" spans="1:20">
      <c r="A398" s="109">
        <v>45748</v>
      </c>
      <c r="B398" s="109">
        <v>45777</v>
      </c>
      <c r="C398" s="13" t="s">
        <v>635</v>
      </c>
      <c r="D398" s="13" t="s">
        <v>636</v>
      </c>
      <c r="E398" s="13">
        <v>4526259</v>
      </c>
      <c r="F398" s="13" t="s">
        <v>367</v>
      </c>
      <c r="G398" s="13" t="s">
        <v>33</v>
      </c>
      <c r="H398" s="13" t="s">
        <v>32</v>
      </c>
      <c r="I398" s="13" t="s">
        <v>637</v>
      </c>
      <c r="J398" s="110">
        <v>6.72</v>
      </c>
      <c r="K398" s="111">
        <v>18</v>
      </c>
      <c r="L398" s="110">
        <v>120.96</v>
      </c>
      <c r="M398" s="13" t="s">
        <v>658</v>
      </c>
      <c r="N398" s="13" t="s">
        <v>646</v>
      </c>
      <c r="O398" s="13" t="s">
        <v>639</v>
      </c>
      <c r="P398" s="13" t="s">
        <v>637</v>
      </c>
      <c r="Q398" s="13" t="s">
        <v>646</v>
      </c>
      <c r="R398" s="13" t="s">
        <v>641</v>
      </c>
      <c r="S398" s="13" t="s">
        <v>641</v>
      </c>
      <c r="T398" s="13" t="s">
        <v>641</v>
      </c>
    </row>
    <row r="399" customFormat="1" spans="1:20">
      <c r="A399" s="109">
        <v>45748</v>
      </c>
      <c r="B399" s="109">
        <v>45777</v>
      </c>
      <c r="C399" s="13" t="s">
        <v>635</v>
      </c>
      <c r="D399" s="13" t="s">
        <v>636</v>
      </c>
      <c r="E399" s="13">
        <v>4526260</v>
      </c>
      <c r="F399" s="13" t="s">
        <v>366</v>
      </c>
      <c r="G399" s="13" t="s">
        <v>33</v>
      </c>
      <c r="H399" s="13" t="s">
        <v>32</v>
      </c>
      <c r="I399" s="13" t="s">
        <v>637</v>
      </c>
      <c r="J399" s="110">
        <v>6.69</v>
      </c>
      <c r="K399" s="111">
        <v>16</v>
      </c>
      <c r="L399" s="110">
        <v>107.04</v>
      </c>
      <c r="M399" s="13" t="s">
        <v>658</v>
      </c>
      <c r="N399" s="13" t="s">
        <v>646</v>
      </c>
      <c r="O399" s="13" t="s">
        <v>639</v>
      </c>
      <c r="P399" s="13" t="s">
        <v>637</v>
      </c>
      <c r="Q399" s="13" t="s">
        <v>646</v>
      </c>
      <c r="R399" s="13" t="s">
        <v>641</v>
      </c>
      <c r="S399" s="13" t="s">
        <v>641</v>
      </c>
      <c r="T399" s="13" t="s">
        <v>641</v>
      </c>
    </row>
    <row r="400" customFormat="1" spans="1:20">
      <c r="A400" s="109">
        <v>45748</v>
      </c>
      <c r="B400" s="109">
        <v>45777</v>
      </c>
      <c r="C400" s="13" t="s">
        <v>635</v>
      </c>
      <c r="D400" s="13" t="s">
        <v>636</v>
      </c>
      <c r="E400" s="13">
        <v>4526284</v>
      </c>
      <c r="F400" s="13" t="s">
        <v>99</v>
      </c>
      <c r="G400" s="13" t="s">
        <v>33</v>
      </c>
      <c r="H400" s="13" t="s">
        <v>32</v>
      </c>
      <c r="I400" s="13" t="s">
        <v>637</v>
      </c>
      <c r="J400" s="110">
        <v>0.24</v>
      </c>
      <c r="K400" s="111">
        <v>800</v>
      </c>
      <c r="L400" s="110">
        <v>191.84</v>
      </c>
      <c r="M400" s="13" t="s">
        <v>658</v>
      </c>
      <c r="N400" s="13" t="s">
        <v>646</v>
      </c>
      <c r="O400" s="13" t="s">
        <v>639</v>
      </c>
      <c r="P400" s="13" t="s">
        <v>637</v>
      </c>
      <c r="Q400" s="13" t="s">
        <v>646</v>
      </c>
      <c r="R400" s="13" t="s">
        <v>641</v>
      </c>
      <c r="S400" s="13" t="s">
        <v>641</v>
      </c>
      <c r="T400" s="13" t="s">
        <v>641</v>
      </c>
    </row>
    <row r="401" customFormat="1" spans="1:20">
      <c r="A401" s="109">
        <v>45748</v>
      </c>
      <c r="B401" s="109">
        <v>45777</v>
      </c>
      <c r="C401" s="13" t="s">
        <v>635</v>
      </c>
      <c r="D401" s="13" t="s">
        <v>636</v>
      </c>
      <c r="E401" s="13">
        <v>4526332</v>
      </c>
      <c r="F401" s="13" t="s">
        <v>727</v>
      </c>
      <c r="G401" s="13" t="s">
        <v>37</v>
      </c>
      <c r="H401" s="13" t="s">
        <v>647</v>
      </c>
      <c r="I401" s="13" t="s">
        <v>648</v>
      </c>
      <c r="J401" s="110">
        <v>1</v>
      </c>
      <c r="K401" s="111">
        <v>10.8</v>
      </c>
      <c r="L401" s="110">
        <v>10.8</v>
      </c>
      <c r="M401" s="13" t="s">
        <v>21</v>
      </c>
      <c r="N401" s="13" t="s">
        <v>638</v>
      </c>
      <c r="O401" s="13" t="s">
        <v>653</v>
      </c>
      <c r="P401" s="13" t="s">
        <v>648</v>
      </c>
      <c r="Q401" s="13" t="s">
        <v>654</v>
      </c>
      <c r="R401" s="13" t="s">
        <v>641</v>
      </c>
      <c r="S401" s="13" t="s">
        <v>641</v>
      </c>
      <c r="T401" s="13" t="s">
        <v>641</v>
      </c>
    </row>
    <row r="402" customFormat="1" spans="1:20">
      <c r="A402" s="109">
        <v>45748</v>
      </c>
      <c r="B402" s="109">
        <v>45777</v>
      </c>
      <c r="C402" s="13" t="s">
        <v>635</v>
      </c>
      <c r="D402" s="13" t="s">
        <v>636</v>
      </c>
      <c r="E402" s="13">
        <v>4526367</v>
      </c>
      <c r="F402" s="13" t="s">
        <v>728</v>
      </c>
      <c r="G402" s="13" t="s">
        <v>21</v>
      </c>
      <c r="H402" s="13" t="s">
        <v>20</v>
      </c>
      <c r="I402" s="13" t="s">
        <v>648</v>
      </c>
      <c r="J402" s="110">
        <v>0.25</v>
      </c>
      <c r="K402" s="111">
        <v>200</v>
      </c>
      <c r="L402" s="110">
        <v>50</v>
      </c>
      <c r="M402" s="13" t="s">
        <v>659</v>
      </c>
      <c r="N402" s="13" t="s">
        <v>660</v>
      </c>
      <c r="O402" s="13" t="s">
        <v>653</v>
      </c>
      <c r="P402" s="13" t="s">
        <v>648</v>
      </c>
      <c r="Q402" s="13" t="s">
        <v>671</v>
      </c>
      <c r="R402" s="13" t="s">
        <v>641</v>
      </c>
      <c r="S402" s="13" t="s">
        <v>641</v>
      </c>
      <c r="T402" s="13" t="s">
        <v>641</v>
      </c>
    </row>
    <row r="403" customFormat="1" spans="1:20">
      <c r="A403" s="109">
        <v>45748</v>
      </c>
      <c r="B403" s="109">
        <v>45777</v>
      </c>
      <c r="C403" s="13" t="s">
        <v>635</v>
      </c>
      <c r="D403" s="13" t="s">
        <v>636</v>
      </c>
      <c r="E403" s="13">
        <v>4526639</v>
      </c>
      <c r="F403" s="13" t="s">
        <v>602</v>
      </c>
      <c r="G403" s="13" t="s">
        <v>74</v>
      </c>
      <c r="H403" s="13" t="s">
        <v>73</v>
      </c>
      <c r="I403" s="13" t="s">
        <v>637</v>
      </c>
      <c r="J403" s="110">
        <v>9.28</v>
      </c>
      <c r="K403" s="111">
        <v>57.204</v>
      </c>
      <c r="L403" s="110">
        <v>530.97</v>
      </c>
      <c r="M403" s="13" t="s">
        <v>21</v>
      </c>
      <c r="N403" s="13" t="s">
        <v>638</v>
      </c>
      <c r="O403" s="13" t="s">
        <v>639</v>
      </c>
      <c r="P403" s="13" t="s">
        <v>637</v>
      </c>
      <c r="Q403" s="13" t="s">
        <v>642</v>
      </c>
      <c r="R403" s="13" t="s">
        <v>641</v>
      </c>
      <c r="S403" s="13" t="s">
        <v>641</v>
      </c>
      <c r="T403" s="13" t="s">
        <v>641</v>
      </c>
    </row>
    <row r="404" customFormat="1" spans="1:20">
      <c r="A404" s="109">
        <v>45748</v>
      </c>
      <c r="B404" s="109">
        <v>45777</v>
      </c>
      <c r="C404" s="13" t="s">
        <v>635</v>
      </c>
      <c r="D404" s="13" t="s">
        <v>636</v>
      </c>
      <c r="E404" s="13">
        <v>4526643</v>
      </c>
      <c r="F404" s="13" t="s">
        <v>729</v>
      </c>
      <c r="G404" s="13" t="s">
        <v>33</v>
      </c>
      <c r="H404" s="13" t="s">
        <v>32</v>
      </c>
      <c r="I404" s="13" t="s">
        <v>637</v>
      </c>
      <c r="J404" s="110">
        <v>28.81</v>
      </c>
      <c r="K404" s="111">
        <v>1</v>
      </c>
      <c r="L404" s="110">
        <v>28.81</v>
      </c>
      <c r="M404" s="13" t="s">
        <v>658</v>
      </c>
      <c r="N404" s="13" t="s">
        <v>646</v>
      </c>
      <c r="O404" s="13" t="s">
        <v>639</v>
      </c>
      <c r="P404" s="13" t="s">
        <v>637</v>
      </c>
      <c r="Q404" s="13" t="s">
        <v>646</v>
      </c>
      <c r="R404" s="13" t="s">
        <v>641</v>
      </c>
      <c r="S404" s="13" t="s">
        <v>641</v>
      </c>
      <c r="T404" s="13" t="s">
        <v>641</v>
      </c>
    </row>
    <row r="405" customFormat="1" spans="1:20">
      <c r="A405" s="109">
        <v>45748</v>
      </c>
      <c r="B405" s="109">
        <v>45777</v>
      </c>
      <c r="C405" s="13" t="s">
        <v>635</v>
      </c>
      <c r="D405" s="13" t="s">
        <v>636</v>
      </c>
      <c r="E405" s="13">
        <v>4526644</v>
      </c>
      <c r="F405" s="13" t="s">
        <v>495</v>
      </c>
      <c r="G405" s="13" t="s">
        <v>33</v>
      </c>
      <c r="H405" s="13" t="s">
        <v>32</v>
      </c>
      <c r="I405" s="13" t="s">
        <v>637</v>
      </c>
      <c r="J405" s="110">
        <v>17.31</v>
      </c>
      <c r="K405" s="111">
        <v>2.3</v>
      </c>
      <c r="L405" s="110">
        <v>39.81</v>
      </c>
      <c r="M405" s="13" t="s">
        <v>658</v>
      </c>
      <c r="N405" s="13" t="s">
        <v>646</v>
      </c>
      <c r="O405" s="13" t="s">
        <v>639</v>
      </c>
      <c r="P405" s="13" t="s">
        <v>637</v>
      </c>
      <c r="Q405" s="13" t="s">
        <v>646</v>
      </c>
      <c r="R405" s="13" t="s">
        <v>641</v>
      </c>
      <c r="S405" s="13" t="s">
        <v>641</v>
      </c>
      <c r="T405" s="13" t="s">
        <v>641</v>
      </c>
    </row>
    <row r="406" customFormat="1" spans="1:20">
      <c r="A406" s="109">
        <v>45748</v>
      </c>
      <c r="B406" s="109">
        <v>45777</v>
      </c>
      <c r="C406" s="13" t="s">
        <v>635</v>
      </c>
      <c r="D406" s="13" t="s">
        <v>636</v>
      </c>
      <c r="E406" s="13">
        <v>4526646</v>
      </c>
      <c r="F406" s="13" t="s">
        <v>442</v>
      </c>
      <c r="G406" s="13" t="s">
        <v>33</v>
      </c>
      <c r="H406" s="13" t="s">
        <v>32</v>
      </c>
      <c r="I406" s="13" t="s">
        <v>637</v>
      </c>
      <c r="J406" s="110">
        <v>16.36</v>
      </c>
      <c r="K406" s="111">
        <v>1.7</v>
      </c>
      <c r="L406" s="110">
        <v>27.82</v>
      </c>
      <c r="M406" s="13" t="s">
        <v>658</v>
      </c>
      <c r="N406" s="13" t="s">
        <v>646</v>
      </c>
      <c r="O406" s="13" t="s">
        <v>639</v>
      </c>
      <c r="P406" s="13" t="s">
        <v>637</v>
      </c>
      <c r="Q406" s="13" t="s">
        <v>646</v>
      </c>
      <c r="R406" s="13" t="s">
        <v>641</v>
      </c>
      <c r="S406" s="13" t="s">
        <v>641</v>
      </c>
      <c r="T406" s="13" t="s">
        <v>641</v>
      </c>
    </row>
    <row r="407" customFormat="1" spans="1:20">
      <c r="A407" s="109">
        <v>45748</v>
      </c>
      <c r="B407" s="109">
        <v>45777</v>
      </c>
      <c r="C407" s="13" t="s">
        <v>635</v>
      </c>
      <c r="D407" s="13" t="s">
        <v>636</v>
      </c>
      <c r="E407" s="13">
        <v>4526647</v>
      </c>
      <c r="F407" s="13" t="s">
        <v>286</v>
      </c>
      <c r="G407" s="13" t="s">
        <v>33</v>
      </c>
      <c r="H407" s="13" t="s">
        <v>32</v>
      </c>
      <c r="I407" s="13" t="s">
        <v>637</v>
      </c>
      <c r="J407" s="110">
        <v>24.77</v>
      </c>
      <c r="K407" s="111">
        <v>1</v>
      </c>
      <c r="L407" s="110">
        <v>24.77</v>
      </c>
      <c r="M407" s="13" t="s">
        <v>658</v>
      </c>
      <c r="N407" s="13" t="s">
        <v>646</v>
      </c>
      <c r="O407" s="13" t="s">
        <v>639</v>
      </c>
      <c r="P407" s="13" t="s">
        <v>637</v>
      </c>
      <c r="Q407" s="13" t="s">
        <v>646</v>
      </c>
      <c r="R407" s="13" t="s">
        <v>641</v>
      </c>
      <c r="S407" s="13" t="s">
        <v>641</v>
      </c>
      <c r="T407" s="13" t="s">
        <v>641</v>
      </c>
    </row>
    <row r="408" customFormat="1" spans="1:20">
      <c r="A408" s="109">
        <v>45748</v>
      </c>
      <c r="B408" s="109">
        <v>45777</v>
      </c>
      <c r="C408" s="13" t="s">
        <v>635</v>
      </c>
      <c r="D408" s="13" t="s">
        <v>636</v>
      </c>
      <c r="E408" s="13">
        <v>4526757</v>
      </c>
      <c r="F408" s="13" t="s">
        <v>309</v>
      </c>
      <c r="G408" s="13" t="s">
        <v>33</v>
      </c>
      <c r="H408" s="13" t="s">
        <v>32</v>
      </c>
      <c r="I408" s="13" t="s">
        <v>637</v>
      </c>
      <c r="J408" s="110">
        <v>3.23</v>
      </c>
      <c r="K408" s="111">
        <v>3</v>
      </c>
      <c r="L408" s="110">
        <v>9.7</v>
      </c>
      <c r="M408" s="13" t="s">
        <v>658</v>
      </c>
      <c r="N408" s="13" t="s">
        <v>646</v>
      </c>
      <c r="O408" s="13" t="s">
        <v>639</v>
      </c>
      <c r="P408" s="13" t="s">
        <v>637</v>
      </c>
      <c r="Q408" s="13" t="s">
        <v>646</v>
      </c>
      <c r="R408" s="13" t="s">
        <v>641</v>
      </c>
      <c r="S408" s="13" t="s">
        <v>641</v>
      </c>
      <c r="T408" s="13" t="s">
        <v>641</v>
      </c>
    </row>
    <row r="409" customFormat="1" spans="1:20">
      <c r="A409" s="109">
        <v>45748</v>
      </c>
      <c r="B409" s="109">
        <v>45777</v>
      </c>
      <c r="C409" s="13" t="s">
        <v>635</v>
      </c>
      <c r="D409" s="13" t="s">
        <v>636</v>
      </c>
      <c r="E409" s="13">
        <v>4526759</v>
      </c>
      <c r="F409" s="13" t="s">
        <v>359</v>
      </c>
      <c r="G409" s="13" t="s">
        <v>74</v>
      </c>
      <c r="H409" s="13" t="s">
        <v>73</v>
      </c>
      <c r="I409" s="13" t="s">
        <v>637</v>
      </c>
      <c r="J409" s="110">
        <v>3.68</v>
      </c>
      <c r="K409" s="111">
        <v>48</v>
      </c>
      <c r="L409" s="110">
        <v>176.57</v>
      </c>
      <c r="M409" s="13" t="s">
        <v>97</v>
      </c>
      <c r="N409" s="13" t="s">
        <v>656</v>
      </c>
      <c r="O409" s="13" t="s">
        <v>639</v>
      </c>
      <c r="P409" s="13" t="s">
        <v>637</v>
      </c>
      <c r="Q409" s="13" t="s">
        <v>656</v>
      </c>
      <c r="R409" s="13" t="s">
        <v>641</v>
      </c>
      <c r="S409" s="13" t="s">
        <v>641</v>
      </c>
      <c r="T409" s="13" t="s">
        <v>641</v>
      </c>
    </row>
    <row r="410" customFormat="1" spans="1:20">
      <c r="A410" s="109">
        <v>45748</v>
      </c>
      <c r="B410" s="109">
        <v>45777</v>
      </c>
      <c r="C410" s="13" t="s">
        <v>635</v>
      </c>
      <c r="D410" s="13" t="s">
        <v>636</v>
      </c>
      <c r="E410" s="13">
        <v>4527138</v>
      </c>
      <c r="F410" s="13" t="s">
        <v>730</v>
      </c>
      <c r="G410" s="13" t="s">
        <v>74</v>
      </c>
      <c r="H410" s="13" t="s">
        <v>73</v>
      </c>
      <c r="I410" s="13" t="s">
        <v>637</v>
      </c>
      <c r="J410" s="110">
        <v>10.83</v>
      </c>
      <c r="K410" s="111">
        <v>6.5</v>
      </c>
      <c r="L410" s="110">
        <v>70.42</v>
      </c>
      <c r="M410" s="13" t="s">
        <v>30</v>
      </c>
      <c r="N410" s="13" t="s">
        <v>655</v>
      </c>
      <c r="O410" s="13" t="s">
        <v>639</v>
      </c>
      <c r="P410" s="13" t="s">
        <v>637</v>
      </c>
      <c r="Q410" s="13" t="s">
        <v>649</v>
      </c>
      <c r="R410" s="13" t="s">
        <v>641</v>
      </c>
      <c r="S410" s="13" t="s">
        <v>641</v>
      </c>
      <c r="T410" s="13" t="s">
        <v>641</v>
      </c>
    </row>
    <row r="411" customFormat="1" spans="1:20">
      <c r="A411" s="109">
        <v>45748</v>
      </c>
      <c r="B411" s="109">
        <v>45777</v>
      </c>
      <c r="C411" s="13" t="s">
        <v>635</v>
      </c>
      <c r="D411" s="13" t="s">
        <v>636</v>
      </c>
      <c r="E411" s="13">
        <v>4527761</v>
      </c>
      <c r="F411" s="13" t="s">
        <v>731</v>
      </c>
      <c r="G411" s="13" t="s">
        <v>33</v>
      </c>
      <c r="H411" s="13" t="s">
        <v>32</v>
      </c>
      <c r="I411" s="13" t="s">
        <v>637</v>
      </c>
      <c r="J411" s="110">
        <v>28.4</v>
      </c>
      <c r="K411" s="111">
        <v>1</v>
      </c>
      <c r="L411" s="110">
        <v>28.4</v>
      </c>
      <c r="M411" s="13" t="s">
        <v>658</v>
      </c>
      <c r="N411" s="13" t="s">
        <v>646</v>
      </c>
      <c r="O411" s="13" t="s">
        <v>639</v>
      </c>
      <c r="P411" s="13" t="s">
        <v>637</v>
      </c>
      <c r="Q411" s="13" t="s">
        <v>646</v>
      </c>
      <c r="R411" s="13" t="s">
        <v>641</v>
      </c>
      <c r="S411" s="13" t="s">
        <v>641</v>
      </c>
      <c r="T411" s="13" t="s">
        <v>641</v>
      </c>
    </row>
    <row r="412" customFormat="1" spans="1:20">
      <c r="A412" s="109">
        <v>45748</v>
      </c>
      <c r="B412" s="109">
        <v>45777</v>
      </c>
      <c r="C412" s="13" t="s">
        <v>635</v>
      </c>
      <c r="D412" s="13" t="s">
        <v>636</v>
      </c>
      <c r="E412" s="13">
        <v>4527764</v>
      </c>
      <c r="F412" s="13" t="s">
        <v>287</v>
      </c>
      <c r="G412" s="13" t="s">
        <v>33</v>
      </c>
      <c r="H412" s="13" t="s">
        <v>32</v>
      </c>
      <c r="I412" s="13" t="s">
        <v>637</v>
      </c>
      <c r="J412" s="110">
        <v>18.97</v>
      </c>
      <c r="K412" s="111">
        <v>1.2</v>
      </c>
      <c r="L412" s="110">
        <v>22.76</v>
      </c>
      <c r="M412" s="13" t="s">
        <v>658</v>
      </c>
      <c r="N412" s="13" t="s">
        <v>646</v>
      </c>
      <c r="O412" s="13" t="s">
        <v>639</v>
      </c>
      <c r="P412" s="13" t="s">
        <v>637</v>
      </c>
      <c r="Q412" s="13" t="s">
        <v>646</v>
      </c>
      <c r="R412" s="13" t="s">
        <v>641</v>
      </c>
      <c r="S412" s="13" t="s">
        <v>641</v>
      </c>
      <c r="T412" s="13" t="s">
        <v>641</v>
      </c>
    </row>
    <row r="413" customFormat="1" spans="1:20">
      <c r="A413" s="109">
        <v>45748</v>
      </c>
      <c r="B413" s="109">
        <v>45777</v>
      </c>
      <c r="C413" s="13" t="s">
        <v>635</v>
      </c>
      <c r="D413" s="13" t="s">
        <v>636</v>
      </c>
      <c r="E413" s="13">
        <v>4527884</v>
      </c>
      <c r="F413" s="13" t="s">
        <v>494</v>
      </c>
      <c r="G413" s="13" t="s">
        <v>33</v>
      </c>
      <c r="H413" s="13" t="s">
        <v>32</v>
      </c>
      <c r="I413" s="13" t="s">
        <v>637</v>
      </c>
      <c r="J413" s="110">
        <v>1.34</v>
      </c>
      <c r="K413" s="111">
        <v>109</v>
      </c>
      <c r="L413" s="110">
        <v>146.17</v>
      </c>
      <c r="M413" s="13" t="s">
        <v>658</v>
      </c>
      <c r="N413" s="13" t="s">
        <v>646</v>
      </c>
      <c r="O413" s="13" t="s">
        <v>639</v>
      </c>
      <c r="P413" s="13" t="s">
        <v>637</v>
      </c>
      <c r="Q413" s="13" t="s">
        <v>646</v>
      </c>
      <c r="R413" s="13" t="s">
        <v>641</v>
      </c>
      <c r="S413" s="13" t="s">
        <v>641</v>
      </c>
      <c r="T413" s="13" t="s">
        <v>641</v>
      </c>
    </row>
    <row r="414" customFormat="1" spans="1:20">
      <c r="A414" s="109">
        <v>45748</v>
      </c>
      <c r="B414" s="109">
        <v>45777</v>
      </c>
      <c r="C414" s="13" t="s">
        <v>635</v>
      </c>
      <c r="D414" s="13" t="s">
        <v>636</v>
      </c>
      <c r="E414" s="13">
        <v>4528086</v>
      </c>
      <c r="F414" s="13" t="s">
        <v>732</v>
      </c>
      <c r="G414" s="13" t="s">
        <v>74</v>
      </c>
      <c r="H414" s="13" t="s">
        <v>73</v>
      </c>
      <c r="I414" s="13" t="s">
        <v>637</v>
      </c>
      <c r="J414" s="110">
        <v>3.33</v>
      </c>
      <c r="K414" s="111">
        <v>855</v>
      </c>
      <c r="L414" s="110">
        <v>2850</v>
      </c>
      <c r="M414" s="13" t="s">
        <v>138</v>
      </c>
      <c r="N414" s="13" t="s">
        <v>663</v>
      </c>
      <c r="O414" s="13" t="s">
        <v>639</v>
      </c>
      <c r="P414" s="13" t="s">
        <v>637</v>
      </c>
      <c r="Q414" s="13" t="s">
        <v>640</v>
      </c>
      <c r="R414" s="13" t="s">
        <v>641</v>
      </c>
      <c r="S414" s="13" t="s">
        <v>641</v>
      </c>
      <c r="T414" s="13" t="s">
        <v>641</v>
      </c>
    </row>
    <row r="415" customFormat="1" spans="1:20">
      <c r="A415" s="109">
        <v>45748</v>
      </c>
      <c r="B415" s="109">
        <v>45777</v>
      </c>
      <c r="C415" s="13" t="s">
        <v>635</v>
      </c>
      <c r="D415" s="13" t="s">
        <v>636</v>
      </c>
      <c r="E415" s="13">
        <v>4528554</v>
      </c>
      <c r="F415" s="13" t="s">
        <v>298</v>
      </c>
      <c r="G415" s="13" t="s">
        <v>93</v>
      </c>
      <c r="H415" s="13" t="s">
        <v>92</v>
      </c>
      <c r="I415" s="13" t="s">
        <v>637</v>
      </c>
      <c r="J415" s="110">
        <v>0.52</v>
      </c>
      <c r="K415" s="111">
        <v>149</v>
      </c>
      <c r="L415" s="110">
        <v>76.97</v>
      </c>
      <c r="M415" s="13" t="s">
        <v>658</v>
      </c>
      <c r="N415" s="13" t="s">
        <v>646</v>
      </c>
      <c r="O415" s="13" t="s">
        <v>639</v>
      </c>
      <c r="P415" s="13" t="s">
        <v>637</v>
      </c>
      <c r="Q415" s="13" t="s">
        <v>646</v>
      </c>
      <c r="R415" s="13" t="s">
        <v>641</v>
      </c>
      <c r="S415" s="13" t="s">
        <v>641</v>
      </c>
      <c r="T415" s="13" t="s">
        <v>641</v>
      </c>
    </row>
    <row r="416" customFormat="1" spans="1:20">
      <c r="A416" s="109">
        <v>45748</v>
      </c>
      <c r="B416" s="109">
        <v>45777</v>
      </c>
      <c r="C416" s="13" t="s">
        <v>635</v>
      </c>
      <c r="D416" s="13" t="s">
        <v>636</v>
      </c>
      <c r="E416" s="13">
        <v>4528801</v>
      </c>
      <c r="F416" s="13" t="s">
        <v>180</v>
      </c>
      <c r="G416" s="13" t="s">
        <v>56</v>
      </c>
      <c r="H416" s="13" t="s">
        <v>55</v>
      </c>
      <c r="I416" s="13" t="s">
        <v>637</v>
      </c>
      <c r="J416" s="110">
        <v>127.9</v>
      </c>
      <c r="K416" s="111">
        <v>20.5</v>
      </c>
      <c r="L416" s="110">
        <v>2621.97</v>
      </c>
      <c r="M416" s="13" t="s">
        <v>658</v>
      </c>
      <c r="N416" s="13" t="s">
        <v>646</v>
      </c>
      <c r="O416" s="13" t="s">
        <v>639</v>
      </c>
      <c r="P416" s="13" t="s">
        <v>637</v>
      </c>
      <c r="Q416" s="13" t="s">
        <v>646</v>
      </c>
      <c r="R416" s="13" t="s">
        <v>641</v>
      </c>
      <c r="S416" s="13" t="s">
        <v>641</v>
      </c>
      <c r="T416" s="13" t="s">
        <v>641</v>
      </c>
    </row>
    <row r="417" customFormat="1" spans="1:20">
      <c r="A417" s="109">
        <v>45748</v>
      </c>
      <c r="B417" s="109">
        <v>45777</v>
      </c>
      <c r="C417" s="13" t="s">
        <v>635</v>
      </c>
      <c r="D417" s="13" t="s">
        <v>636</v>
      </c>
      <c r="E417" s="13">
        <v>4529103</v>
      </c>
      <c r="F417" s="13" t="s">
        <v>305</v>
      </c>
      <c r="G417" s="13" t="s">
        <v>74</v>
      </c>
      <c r="H417" s="13" t="s">
        <v>73</v>
      </c>
      <c r="I417" s="13" t="s">
        <v>637</v>
      </c>
      <c r="J417" s="110">
        <v>11.33</v>
      </c>
      <c r="K417" s="111">
        <v>10.5</v>
      </c>
      <c r="L417" s="110">
        <v>118.96</v>
      </c>
      <c r="M417" s="13" t="s">
        <v>21</v>
      </c>
      <c r="N417" s="13" t="s">
        <v>638</v>
      </c>
      <c r="O417" s="13" t="s">
        <v>639</v>
      </c>
      <c r="P417" s="13" t="s">
        <v>637</v>
      </c>
      <c r="Q417" s="13" t="s">
        <v>646</v>
      </c>
      <c r="R417" s="13" t="s">
        <v>641</v>
      </c>
      <c r="S417" s="13" t="s">
        <v>641</v>
      </c>
      <c r="T417" s="13" t="s">
        <v>641</v>
      </c>
    </row>
    <row r="418" customFormat="1" spans="1:20">
      <c r="A418" s="109">
        <v>45748</v>
      </c>
      <c r="B418" s="109">
        <v>45777</v>
      </c>
      <c r="C418" s="13" t="s">
        <v>635</v>
      </c>
      <c r="D418" s="13" t="s">
        <v>636</v>
      </c>
      <c r="E418" s="13">
        <v>4529104</v>
      </c>
      <c r="F418" s="13" t="s">
        <v>475</v>
      </c>
      <c r="G418" s="13" t="s">
        <v>33</v>
      </c>
      <c r="H418" s="13" t="s">
        <v>32</v>
      </c>
      <c r="I418" s="13" t="s">
        <v>637</v>
      </c>
      <c r="J418" s="110">
        <v>0.66</v>
      </c>
      <c r="K418" s="111">
        <v>140</v>
      </c>
      <c r="L418" s="110">
        <v>91.88</v>
      </c>
      <c r="M418" s="13" t="s">
        <v>658</v>
      </c>
      <c r="N418" s="13" t="s">
        <v>646</v>
      </c>
      <c r="O418" s="13" t="s">
        <v>639</v>
      </c>
      <c r="P418" s="13" t="s">
        <v>637</v>
      </c>
      <c r="Q418" s="13" t="s">
        <v>646</v>
      </c>
      <c r="R418" s="13" t="s">
        <v>641</v>
      </c>
      <c r="S418" s="13" t="s">
        <v>641</v>
      </c>
      <c r="T418" s="13" t="s">
        <v>641</v>
      </c>
    </row>
    <row r="419" customFormat="1" spans="1:20">
      <c r="A419" s="109">
        <v>45748</v>
      </c>
      <c r="B419" s="109">
        <v>45777</v>
      </c>
      <c r="C419" s="13" t="s">
        <v>635</v>
      </c>
      <c r="D419" s="13" t="s">
        <v>636</v>
      </c>
      <c r="E419" s="13">
        <v>4529331</v>
      </c>
      <c r="F419" s="13" t="s">
        <v>439</v>
      </c>
      <c r="G419" s="13" t="s">
        <v>21</v>
      </c>
      <c r="H419" s="13" t="s">
        <v>20</v>
      </c>
      <c r="I419" s="13" t="s">
        <v>648</v>
      </c>
      <c r="J419" s="110">
        <v>0.1</v>
      </c>
      <c r="K419" s="111">
        <v>800</v>
      </c>
      <c r="L419" s="110">
        <v>83.83</v>
      </c>
      <c r="M419" s="13" t="s">
        <v>30</v>
      </c>
      <c r="N419" s="13" t="s">
        <v>655</v>
      </c>
      <c r="O419" s="13" t="s">
        <v>653</v>
      </c>
      <c r="P419" s="13" t="s">
        <v>648</v>
      </c>
      <c r="Q419" s="13" t="s">
        <v>654</v>
      </c>
      <c r="R419" s="13" t="s">
        <v>641</v>
      </c>
      <c r="S419" s="13" t="s">
        <v>641</v>
      </c>
      <c r="T419" s="13" t="s">
        <v>641</v>
      </c>
    </row>
    <row r="420" customFormat="1" spans="1:20">
      <c r="A420" s="109">
        <v>45748</v>
      </c>
      <c r="B420" s="109">
        <v>45777</v>
      </c>
      <c r="C420" s="13" t="s">
        <v>635</v>
      </c>
      <c r="D420" s="13" t="s">
        <v>636</v>
      </c>
      <c r="E420" s="13">
        <v>4529642</v>
      </c>
      <c r="F420" s="13" t="s">
        <v>239</v>
      </c>
      <c r="G420" s="13" t="s">
        <v>21</v>
      </c>
      <c r="H420" s="13" t="s">
        <v>20</v>
      </c>
      <c r="I420" s="13" t="s">
        <v>648</v>
      </c>
      <c r="J420" s="110">
        <v>0.06</v>
      </c>
      <c r="K420" s="111">
        <v>2400</v>
      </c>
      <c r="L420" s="110">
        <v>150</v>
      </c>
      <c r="M420" s="13" t="s">
        <v>659</v>
      </c>
      <c r="N420" s="13" t="s">
        <v>660</v>
      </c>
      <c r="O420" s="13" t="s">
        <v>653</v>
      </c>
      <c r="P420" s="13" t="s">
        <v>648</v>
      </c>
      <c r="Q420" s="13" t="s">
        <v>671</v>
      </c>
      <c r="R420" s="13" t="s">
        <v>641</v>
      </c>
      <c r="S420" s="13" t="s">
        <v>641</v>
      </c>
      <c r="T420" s="13" t="s">
        <v>641</v>
      </c>
    </row>
    <row r="421" customFormat="1" spans="1:20">
      <c r="A421" s="109">
        <v>45748</v>
      </c>
      <c r="B421" s="109">
        <v>45777</v>
      </c>
      <c r="C421" s="13" t="s">
        <v>635</v>
      </c>
      <c r="D421" s="13" t="s">
        <v>636</v>
      </c>
      <c r="E421" s="13">
        <v>4529643</v>
      </c>
      <c r="F421" s="13" t="s">
        <v>246</v>
      </c>
      <c r="G421" s="13" t="s">
        <v>21</v>
      </c>
      <c r="H421" s="13" t="s">
        <v>20</v>
      </c>
      <c r="I421" s="13" t="s">
        <v>648</v>
      </c>
      <c r="J421" s="110">
        <v>0.05</v>
      </c>
      <c r="K421" s="111">
        <v>1200</v>
      </c>
      <c r="L421" s="110">
        <v>55.8</v>
      </c>
      <c r="M421" s="13" t="s">
        <v>659</v>
      </c>
      <c r="N421" s="13" t="s">
        <v>660</v>
      </c>
      <c r="O421" s="13" t="s">
        <v>653</v>
      </c>
      <c r="P421" s="13" t="s">
        <v>648</v>
      </c>
      <c r="Q421" s="13" t="s">
        <v>671</v>
      </c>
      <c r="R421" s="13" t="s">
        <v>641</v>
      </c>
      <c r="S421" s="13" t="s">
        <v>641</v>
      </c>
      <c r="T421" s="13" t="s">
        <v>641</v>
      </c>
    </row>
    <row r="422" customFormat="1" spans="1:20">
      <c r="A422" s="109">
        <v>45748</v>
      </c>
      <c r="B422" s="109">
        <v>45777</v>
      </c>
      <c r="C422" s="13" t="s">
        <v>635</v>
      </c>
      <c r="D422" s="13" t="s">
        <v>636</v>
      </c>
      <c r="E422" s="13">
        <v>4529698</v>
      </c>
      <c r="F422" s="13" t="s">
        <v>62</v>
      </c>
      <c r="G422" s="13" t="s">
        <v>56</v>
      </c>
      <c r="H422" s="13" t="s">
        <v>55</v>
      </c>
      <c r="I422" s="13" t="s">
        <v>648</v>
      </c>
      <c r="J422" s="110">
        <v>9.25</v>
      </c>
      <c r="K422" s="111">
        <v>37</v>
      </c>
      <c r="L422" s="110">
        <v>342.25</v>
      </c>
      <c r="M422" s="13" t="s">
        <v>669</v>
      </c>
      <c r="N422" s="13" t="s">
        <v>670</v>
      </c>
      <c r="O422" s="13" t="s">
        <v>653</v>
      </c>
      <c r="P422" s="13" t="s">
        <v>648</v>
      </c>
      <c r="Q422" s="13" t="s">
        <v>671</v>
      </c>
      <c r="R422" s="13" t="s">
        <v>641</v>
      </c>
      <c r="S422" s="13" t="s">
        <v>641</v>
      </c>
      <c r="T422" s="13" t="s">
        <v>641</v>
      </c>
    </row>
    <row r="423" customFormat="1" spans="1:20">
      <c r="A423" s="109">
        <v>45748</v>
      </c>
      <c r="B423" s="109">
        <v>45777</v>
      </c>
      <c r="C423" s="13" t="s">
        <v>635</v>
      </c>
      <c r="D423" s="13" t="s">
        <v>636</v>
      </c>
      <c r="E423" s="13">
        <v>4529794</v>
      </c>
      <c r="F423" s="13" t="s">
        <v>182</v>
      </c>
      <c r="G423" s="13" t="s">
        <v>146</v>
      </c>
      <c r="H423" s="13" t="s">
        <v>145</v>
      </c>
      <c r="I423" s="13" t="s">
        <v>637</v>
      </c>
      <c r="J423" s="110">
        <v>5</v>
      </c>
      <c r="K423" s="111">
        <v>12</v>
      </c>
      <c r="L423" s="110">
        <v>59.94</v>
      </c>
      <c r="M423" s="13" t="s">
        <v>658</v>
      </c>
      <c r="N423" s="13" t="s">
        <v>646</v>
      </c>
      <c r="O423" s="13" t="s">
        <v>639</v>
      </c>
      <c r="P423" s="13" t="s">
        <v>637</v>
      </c>
      <c r="Q423" s="13" t="s">
        <v>646</v>
      </c>
      <c r="R423" s="13" t="s">
        <v>641</v>
      </c>
      <c r="S423" s="13" t="s">
        <v>641</v>
      </c>
      <c r="T423" s="13" t="s">
        <v>641</v>
      </c>
    </row>
    <row r="424" customFormat="1" spans="1:20">
      <c r="A424" s="109">
        <v>45748</v>
      </c>
      <c r="B424" s="109">
        <v>45777</v>
      </c>
      <c r="C424" s="13" t="s">
        <v>635</v>
      </c>
      <c r="D424" s="13" t="s">
        <v>636</v>
      </c>
      <c r="E424" s="13">
        <v>4529863</v>
      </c>
      <c r="F424" s="13" t="s">
        <v>229</v>
      </c>
      <c r="G424" s="13" t="s">
        <v>37</v>
      </c>
      <c r="H424" s="13" t="s">
        <v>647</v>
      </c>
      <c r="I424" s="13" t="s">
        <v>648</v>
      </c>
      <c r="J424" s="110">
        <v>3.59</v>
      </c>
      <c r="K424" s="111">
        <v>50</v>
      </c>
      <c r="L424" s="110">
        <v>179.5</v>
      </c>
      <c r="M424" s="13" t="s">
        <v>261</v>
      </c>
      <c r="N424" s="13" t="s">
        <v>654</v>
      </c>
      <c r="O424" s="13" t="s">
        <v>639</v>
      </c>
      <c r="P424" s="13" t="s">
        <v>637</v>
      </c>
      <c r="Q424" s="13" t="s">
        <v>656</v>
      </c>
      <c r="R424" s="13" t="s">
        <v>641</v>
      </c>
      <c r="S424" s="13" t="s">
        <v>641</v>
      </c>
      <c r="T424" s="13" t="s">
        <v>641</v>
      </c>
    </row>
    <row r="425" customFormat="1" spans="1:20">
      <c r="A425" s="109">
        <v>45748</v>
      </c>
      <c r="B425" s="109">
        <v>45777</v>
      </c>
      <c r="C425" s="13" t="s">
        <v>635</v>
      </c>
      <c r="D425" s="13" t="s">
        <v>636</v>
      </c>
      <c r="E425" s="13">
        <v>4529863</v>
      </c>
      <c r="F425" s="13" t="s">
        <v>229</v>
      </c>
      <c r="G425" s="13" t="s">
        <v>37</v>
      </c>
      <c r="H425" s="13" t="s">
        <v>647</v>
      </c>
      <c r="I425" s="13" t="s">
        <v>637</v>
      </c>
      <c r="J425" s="110">
        <v>3.59</v>
      </c>
      <c r="K425" s="111">
        <v>10</v>
      </c>
      <c r="L425" s="110">
        <v>35.9</v>
      </c>
      <c r="M425" s="13" t="s">
        <v>261</v>
      </c>
      <c r="N425" s="13" t="s">
        <v>654</v>
      </c>
      <c r="O425" s="13" t="s">
        <v>639</v>
      </c>
      <c r="P425" s="13" t="s">
        <v>637</v>
      </c>
      <c r="Q425" s="13" t="s">
        <v>656</v>
      </c>
      <c r="R425" s="13" t="s">
        <v>641</v>
      </c>
      <c r="S425" s="13" t="s">
        <v>641</v>
      </c>
      <c r="T425" s="13" t="s">
        <v>641</v>
      </c>
    </row>
    <row r="426" customFormat="1" spans="1:20">
      <c r="A426" s="109">
        <v>45748</v>
      </c>
      <c r="B426" s="109">
        <v>45777</v>
      </c>
      <c r="C426" s="13" t="s">
        <v>635</v>
      </c>
      <c r="D426" s="13" t="s">
        <v>636</v>
      </c>
      <c r="E426" s="13">
        <v>4529926</v>
      </c>
      <c r="F426" s="13" t="s">
        <v>254</v>
      </c>
      <c r="G426" s="13" t="s">
        <v>21</v>
      </c>
      <c r="H426" s="13" t="s">
        <v>20</v>
      </c>
      <c r="I426" s="13" t="s">
        <v>637</v>
      </c>
      <c r="J426" s="110">
        <v>0.52</v>
      </c>
      <c r="K426" s="111">
        <v>819</v>
      </c>
      <c r="L426" s="110">
        <v>428.61</v>
      </c>
      <c r="M426" s="13" t="s">
        <v>30</v>
      </c>
      <c r="N426" s="13" t="s">
        <v>655</v>
      </c>
      <c r="O426" s="13" t="s">
        <v>639</v>
      </c>
      <c r="P426" s="13" t="s">
        <v>637</v>
      </c>
      <c r="Q426" s="13" t="s">
        <v>640</v>
      </c>
      <c r="R426" s="13" t="s">
        <v>641</v>
      </c>
      <c r="S426" s="13" t="s">
        <v>641</v>
      </c>
      <c r="T426" s="13" t="s">
        <v>641</v>
      </c>
    </row>
    <row r="427" customFormat="1" spans="1:20">
      <c r="A427" s="109">
        <v>45748</v>
      </c>
      <c r="B427" s="109">
        <v>45777</v>
      </c>
      <c r="C427" s="13" t="s">
        <v>635</v>
      </c>
      <c r="D427" s="13" t="s">
        <v>636</v>
      </c>
      <c r="E427" s="13">
        <v>4530016</v>
      </c>
      <c r="F427" s="13" t="s">
        <v>269</v>
      </c>
      <c r="G427" s="13" t="s">
        <v>21</v>
      </c>
      <c r="H427" s="13" t="s">
        <v>20</v>
      </c>
      <c r="I427" s="13" t="s">
        <v>637</v>
      </c>
      <c r="J427" s="110">
        <v>0.64</v>
      </c>
      <c r="K427" s="111">
        <v>130</v>
      </c>
      <c r="L427" s="110">
        <v>83.19</v>
      </c>
      <c r="M427" s="13" t="s">
        <v>21</v>
      </c>
      <c r="N427" s="13" t="s">
        <v>638</v>
      </c>
      <c r="O427" s="13" t="s">
        <v>639</v>
      </c>
      <c r="P427" s="13" t="s">
        <v>637</v>
      </c>
      <c r="Q427" s="13" t="s">
        <v>649</v>
      </c>
      <c r="R427" s="13" t="s">
        <v>641</v>
      </c>
      <c r="S427" s="13" t="s">
        <v>641</v>
      </c>
      <c r="T427" s="13" t="s">
        <v>641</v>
      </c>
    </row>
    <row r="428" customFormat="1" spans="1:20">
      <c r="A428" s="109">
        <v>45748</v>
      </c>
      <c r="B428" s="109">
        <v>45777</v>
      </c>
      <c r="C428" s="13" t="s">
        <v>635</v>
      </c>
      <c r="D428" s="13" t="s">
        <v>636</v>
      </c>
      <c r="E428" s="13">
        <v>4530197</v>
      </c>
      <c r="F428" s="13" t="s">
        <v>76</v>
      </c>
      <c r="G428" s="13" t="s">
        <v>74</v>
      </c>
      <c r="H428" s="13" t="s">
        <v>73</v>
      </c>
      <c r="I428" s="13" t="s">
        <v>637</v>
      </c>
      <c r="J428" s="110">
        <v>3.1</v>
      </c>
      <c r="K428" s="111">
        <v>18.4</v>
      </c>
      <c r="L428" s="110">
        <v>57</v>
      </c>
      <c r="M428" s="13" t="s">
        <v>97</v>
      </c>
      <c r="N428" s="13" t="s">
        <v>656</v>
      </c>
      <c r="O428" s="13" t="s">
        <v>639</v>
      </c>
      <c r="P428" s="13" t="s">
        <v>637</v>
      </c>
      <c r="Q428" s="13" t="s">
        <v>656</v>
      </c>
      <c r="R428" s="13" t="s">
        <v>641</v>
      </c>
      <c r="S428" s="13" t="s">
        <v>641</v>
      </c>
      <c r="T428" s="13" t="s">
        <v>641</v>
      </c>
    </row>
    <row r="429" customFormat="1" spans="1:20">
      <c r="A429" s="109">
        <v>45748</v>
      </c>
      <c r="B429" s="109">
        <v>45777</v>
      </c>
      <c r="C429" s="13" t="s">
        <v>635</v>
      </c>
      <c r="D429" s="13" t="s">
        <v>636</v>
      </c>
      <c r="E429" s="13">
        <v>4530204</v>
      </c>
      <c r="F429" s="13" t="s">
        <v>174</v>
      </c>
      <c r="G429" s="13" t="s">
        <v>21</v>
      </c>
      <c r="H429" s="13" t="s">
        <v>20</v>
      </c>
      <c r="I429" s="13" t="s">
        <v>637</v>
      </c>
      <c r="J429" s="110">
        <v>0.45</v>
      </c>
      <c r="K429" s="111">
        <v>540</v>
      </c>
      <c r="L429" s="110">
        <v>243</v>
      </c>
      <c r="M429" s="13" t="s">
        <v>21</v>
      </c>
      <c r="N429" s="13" t="s">
        <v>638</v>
      </c>
      <c r="O429" s="13" t="s">
        <v>639</v>
      </c>
      <c r="P429" s="13" t="s">
        <v>637</v>
      </c>
      <c r="Q429" s="13" t="s">
        <v>640</v>
      </c>
      <c r="R429" s="13" t="s">
        <v>641</v>
      </c>
      <c r="S429" s="13" t="s">
        <v>641</v>
      </c>
      <c r="T429" s="13" t="s">
        <v>641</v>
      </c>
    </row>
    <row r="430" customFormat="1" spans="1:20">
      <c r="A430" s="109">
        <v>45748</v>
      </c>
      <c r="B430" s="109">
        <v>45777</v>
      </c>
      <c r="C430" s="13" t="s">
        <v>635</v>
      </c>
      <c r="D430" s="13" t="s">
        <v>636</v>
      </c>
      <c r="E430" s="13">
        <v>4530205</v>
      </c>
      <c r="F430" s="13" t="s">
        <v>733</v>
      </c>
      <c r="G430" s="13" t="s">
        <v>37</v>
      </c>
      <c r="H430" s="13" t="s">
        <v>647</v>
      </c>
      <c r="I430" s="13" t="s">
        <v>637</v>
      </c>
      <c r="J430" s="110">
        <v>2.77</v>
      </c>
      <c r="K430" s="111">
        <v>347.17</v>
      </c>
      <c r="L430" s="110">
        <v>960.09</v>
      </c>
      <c r="M430" s="13" t="s">
        <v>21</v>
      </c>
      <c r="N430" s="13" t="s">
        <v>638</v>
      </c>
      <c r="O430" s="13" t="s">
        <v>639</v>
      </c>
      <c r="P430" s="13" t="s">
        <v>637</v>
      </c>
      <c r="Q430" s="13" t="s">
        <v>640</v>
      </c>
      <c r="R430" s="13" t="s">
        <v>641</v>
      </c>
      <c r="S430" s="13" t="s">
        <v>641</v>
      </c>
      <c r="T430" s="13" t="s">
        <v>641</v>
      </c>
    </row>
    <row r="431" customFormat="1" spans="1:20">
      <c r="A431" s="109">
        <v>45748</v>
      </c>
      <c r="B431" s="109">
        <v>45777</v>
      </c>
      <c r="C431" s="13" t="s">
        <v>635</v>
      </c>
      <c r="D431" s="13" t="s">
        <v>636</v>
      </c>
      <c r="E431" s="13">
        <v>4530206</v>
      </c>
      <c r="F431" s="13" t="s">
        <v>211</v>
      </c>
      <c r="G431" s="13" t="s">
        <v>213</v>
      </c>
      <c r="H431" s="13" t="s">
        <v>212</v>
      </c>
      <c r="I431" s="13" t="s">
        <v>637</v>
      </c>
      <c r="J431" s="110">
        <v>11</v>
      </c>
      <c r="K431" s="111">
        <v>10</v>
      </c>
      <c r="L431" s="110">
        <v>110</v>
      </c>
      <c r="M431" s="13" t="s">
        <v>478</v>
      </c>
      <c r="N431" s="13" t="s">
        <v>645</v>
      </c>
      <c r="O431" s="13" t="s">
        <v>639</v>
      </c>
      <c r="P431" s="13" t="s">
        <v>637</v>
      </c>
      <c r="Q431" s="13" t="s">
        <v>638</v>
      </c>
      <c r="R431" s="13" t="s">
        <v>641</v>
      </c>
      <c r="S431" s="13" t="s">
        <v>641</v>
      </c>
      <c r="T431" s="13" t="s">
        <v>641</v>
      </c>
    </row>
    <row r="432" customFormat="1" spans="1:20">
      <c r="A432" s="109">
        <v>45748</v>
      </c>
      <c r="B432" s="109">
        <v>45777</v>
      </c>
      <c r="C432" s="13" t="s">
        <v>635</v>
      </c>
      <c r="D432" s="13" t="s">
        <v>636</v>
      </c>
      <c r="E432" s="13">
        <v>4530323</v>
      </c>
      <c r="F432" s="13" t="s">
        <v>264</v>
      </c>
      <c r="G432" s="13" t="s">
        <v>21</v>
      </c>
      <c r="H432" s="13" t="s">
        <v>20</v>
      </c>
      <c r="I432" s="13" t="s">
        <v>648</v>
      </c>
      <c r="J432" s="110">
        <v>0.89</v>
      </c>
      <c r="K432" s="111">
        <v>10</v>
      </c>
      <c r="L432" s="110">
        <v>8.9</v>
      </c>
      <c r="M432" s="13" t="s">
        <v>682</v>
      </c>
      <c r="N432" s="13" t="s">
        <v>683</v>
      </c>
      <c r="O432" s="13" t="s">
        <v>653</v>
      </c>
      <c r="P432" s="13" t="s">
        <v>648</v>
      </c>
      <c r="Q432" s="13" t="s">
        <v>671</v>
      </c>
      <c r="R432" s="13" t="s">
        <v>641</v>
      </c>
      <c r="S432" s="13" t="s">
        <v>641</v>
      </c>
      <c r="T432" s="13" t="s">
        <v>641</v>
      </c>
    </row>
    <row r="433" customFormat="1" spans="1:20">
      <c r="A433" s="109">
        <v>45748</v>
      </c>
      <c r="B433" s="109">
        <v>45777</v>
      </c>
      <c r="C433" s="13" t="s">
        <v>635</v>
      </c>
      <c r="D433" s="13" t="s">
        <v>636</v>
      </c>
      <c r="E433" s="13">
        <v>4530324</v>
      </c>
      <c r="F433" s="13" t="s">
        <v>244</v>
      </c>
      <c r="G433" s="13" t="s">
        <v>21</v>
      </c>
      <c r="H433" s="13" t="s">
        <v>20</v>
      </c>
      <c r="I433" s="13" t="s">
        <v>648</v>
      </c>
      <c r="J433" s="110">
        <v>0.14</v>
      </c>
      <c r="K433" s="111">
        <v>300</v>
      </c>
      <c r="L433" s="110">
        <v>42.5</v>
      </c>
      <c r="M433" s="13" t="s">
        <v>682</v>
      </c>
      <c r="N433" s="13" t="s">
        <v>683</v>
      </c>
      <c r="O433" s="13" t="s">
        <v>653</v>
      </c>
      <c r="P433" s="13" t="s">
        <v>648</v>
      </c>
      <c r="Q433" s="13" t="s">
        <v>671</v>
      </c>
      <c r="R433" s="13" t="s">
        <v>641</v>
      </c>
      <c r="S433" s="13" t="s">
        <v>641</v>
      </c>
      <c r="T433" s="13" t="s">
        <v>641</v>
      </c>
    </row>
    <row r="434" customFormat="1" spans="1:20">
      <c r="A434" s="109">
        <v>45748</v>
      </c>
      <c r="B434" s="109">
        <v>45777</v>
      </c>
      <c r="C434" s="13" t="s">
        <v>635</v>
      </c>
      <c r="D434" s="13" t="s">
        <v>636</v>
      </c>
      <c r="E434" s="13">
        <v>4600064</v>
      </c>
      <c r="F434" s="13" t="s">
        <v>567</v>
      </c>
      <c r="G434" s="13" t="s">
        <v>33</v>
      </c>
      <c r="H434" s="13" t="s">
        <v>32</v>
      </c>
      <c r="I434" s="13" t="s">
        <v>637</v>
      </c>
      <c r="J434" s="110">
        <v>0.1</v>
      </c>
      <c r="K434" s="111">
        <v>626</v>
      </c>
      <c r="L434" s="110">
        <v>63.04</v>
      </c>
      <c r="M434" s="13" t="s">
        <v>694</v>
      </c>
      <c r="N434" s="13" t="s">
        <v>695</v>
      </c>
      <c r="O434" s="13" t="s">
        <v>639</v>
      </c>
      <c r="P434" s="13" t="s">
        <v>637</v>
      </c>
      <c r="Q434" s="13" t="s">
        <v>646</v>
      </c>
      <c r="R434" s="13" t="s">
        <v>641</v>
      </c>
      <c r="S434" s="13" t="s">
        <v>641</v>
      </c>
      <c r="T434" s="13" t="s">
        <v>641</v>
      </c>
    </row>
    <row r="435" customFormat="1" spans="1:20">
      <c r="A435" s="109">
        <v>45748</v>
      </c>
      <c r="B435" s="109">
        <v>45777</v>
      </c>
      <c r="C435" s="13" t="s">
        <v>635</v>
      </c>
      <c r="D435" s="13" t="s">
        <v>636</v>
      </c>
      <c r="E435" s="13">
        <v>4600065</v>
      </c>
      <c r="F435" s="13" t="s">
        <v>566</v>
      </c>
      <c r="G435" s="13" t="s">
        <v>177</v>
      </c>
      <c r="H435" s="13" t="s">
        <v>176</v>
      </c>
      <c r="I435" s="13" t="s">
        <v>637</v>
      </c>
      <c r="J435" s="110">
        <v>1.45</v>
      </c>
      <c r="K435" s="111">
        <v>24</v>
      </c>
      <c r="L435" s="110">
        <v>34.8</v>
      </c>
      <c r="M435" s="13" t="s">
        <v>694</v>
      </c>
      <c r="N435" s="13" t="s">
        <v>695</v>
      </c>
      <c r="O435" s="13" t="s">
        <v>639</v>
      </c>
      <c r="P435" s="13" t="s">
        <v>637</v>
      </c>
      <c r="Q435" s="13" t="s">
        <v>646</v>
      </c>
      <c r="R435" s="13" t="s">
        <v>641</v>
      </c>
      <c r="S435" s="13" t="s">
        <v>641</v>
      </c>
      <c r="T435" s="13" t="s">
        <v>641</v>
      </c>
    </row>
    <row r="436" customFormat="1" spans="1:20">
      <c r="A436" s="109">
        <v>45748</v>
      </c>
      <c r="B436" s="109">
        <v>45777</v>
      </c>
      <c r="C436" s="13" t="s">
        <v>635</v>
      </c>
      <c r="D436" s="13" t="s">
        <v>636</v>
      </c>
      <c r="E436" s="13">
        <v>4701288</v>
      </c>
      <c r="F436" s="13" t="s">
        <v>134</v>
      </c>
      <c r="G436" s="13" t="s">
        <v>93</v>
      </c>
      <c r="H436" s="13" t="s">
        <v>92</v>
      </c>
      <c r="I436" s="13" t="s">
        <v>637</v>
      </c>
      <c r="J436" s="110">
        <v>1</v>
      </c>
      <c r="K436" s="111">
        <v>162</v>
      </c>
      <c r="L436" s="110">
        <v>162</v>
      </c>
      <c r="M436" s="13" t="s">
        <v>658</v>
      </c>
      <c r="N436" s="13" t="s">
        <v>646</v>
      </c>
      <c r="O436" s="13" t="s">
        <v>639</v>
      </c>
      <c r="P436" s="13" t="s">
        <v>637</v>
      </c>
      <c r="Q436" s="13" t="s">
        <v>646</v>
      </c>
      <c r="R436" s="13" t="s">
        <v>641</v>
      </c>
      <c r="S436" s="13" t="s">
        <v>641</v>
      </c>
      <c r="T436" s="13" t="s">
        <v>641</v>
      </c>
    </row>
    <row r="437" customFormat="1" spans="1:20">
      <c r="A437" s="109">
        <v>45748</v>
      </c>
      <c r="B437" s="109">
        <v>45777</v>
      </c>
      <c r="C437" s="13" t="s">
        <v>635</v>
      </c>
      <c r="D437" s="13" t="s">
        <v>636</v>
      </c>
      <c r="E437" s="13">
        <v>4702451</v>
      </c>
      <c r="F437" s="13" t="s">
        <v>535</v>
      </c>
      <c r="G437" s="13" t="s">
        <v>74</v>
      </c>
      <c r="H437" s="13" t="s">
        <v>73</v>
      </c>
      <c r="I437" s="13" t="s">
        <v>637</v>
      </c>
      <c r="J437" s="110">
        <v>3.11</v>
      </c>
      <c r="K437" s="111">
        <v>15.3</v>
      </c>
      <c r="L437" s="110">
        <v>47.6</v>
      </c>
      <c r="M437" s="13" t="s">
        <v>21</v>
      </c>
      <c r="N437" s="13" t="s">
        <v>638</v>
      </c>
      <c r="O437" s="13" t="s">
        <v>639</v>
      </c>
      <c r="P437" s="13" t="s">
        <v>637</v>
      </c>
      <c r="Q437" s="13" t="s">
        <v>649</v>
      </c>
      <c r="R437" s="13" t="s">
        <v>641</v>
      </c>
      <c r="S437" s="13" t="s">
        <v>641</v>
      </c>
      <c r="T437" s="13" t="s">
        <v>641</v>
      </c>
    </row>
    <row r="438" customFormat="1" spans="1:20">
      <c r="A438" s="109">
        <v>45748</v>
      </c>
      <c r="B438" s="109">
        <v>45777</v>
      </c>
      <c r="C438" s="13" t="s">
        <v>635</v>
      </c>
      <c r="D438" s="13" t="s">
        <v>636</v>
      </c>
      <c r="E438" s="13">
        <v>4702611</v>
      </c>
      <c r="F438" s="13" t="s">
        <v>734</v>
      </c>
      <c r="G438" s="13" t="s">
        <v>74</v>
      </c>
      <c r="H438" s="13" t="s">
        <v>73</v>
      </c>
      <c r="I438" s="13" t="s">
        <v>637</v>
      </c>
      <c r="J438" s="110">
        <v>4.6</v>
      </c>
      <c r="K438" s="111">
        <v>65</v>
      </c>
      <c r="L438" s="110">
        <v>299</v>
      </c>
      <c r="M438" s="13" t="s">
        <v>21</v>
      </c>
      <c r="N438" s="13" t="s">
        <v>638</v>
      </c>
      <c r="O438" s="13" t="s">
        <v>639</v>
      </c>
      <c r="P438" s="13" t="s">
        <v>637</v>
      </c>
      <c r="Q438" s="13" t="s">
        <v>640</v>
      </c>
      <c r="R438" s="13" t="s">
        <v>641</v>
      </c>
      <c r="S438" s="13" t="s">
        <v>735</v>
      </c>
      <c r="T438" s="13" t="s">
        <v>641</v>
      </c>
    </row>
    <row r="439" customFormat="1" spans="1:20">
      <c r="A439" s="109">
        <v>45748</v>
      </c>
      <c r="B439" s="109">
        <v>45777</v>
      </c>
      <c r="C439" s="13" t="s">
        <v>635</v>
      </c>
      <c r="D439" s="13" t="s">
        <v>636</v>
      </c>
      <c r="E439" s="13">
        <v>4702771</v>
      </c>
      <c r="F439" s="13" t="s">
        <v>558</v>
      </c>
      <c r="G439" s="13" t="s">
        <v>74</v>
      </c>
      <c r="H439" s="13" t="s">
        <v>73</v>
      </c>
      <c r="I439" s="13" t="s">
        <v>637</v>
      </c>
      <c r="J439" s="110">
        <v>4.58</v>
      </c>
      <c r="K439" s="111">
        <v>37.76</v>
      </c>
      <c r="L439" s="110">
        <v>172.79</v>
      </c>
      <c r="M439" s="13" t="s">
        <v>21</v>
      </c>
      <c r="N439" s="13" t="s">
        <v>638</v>
      </c>
      <c r="O439" s="13" t="s">
        <v>639</v>
      </c>
      <c r="P439" s="13" t="s">
        <v>637</v>
      </c>
      <c r="Q439" s="13" t="s">
        <v>640</v>
      </c>
      <c r="R439" s="13" t="s">
        <v>641</v>
      </c>
      <c r="S439" s="13" t="s">
        <v>641</v>
      </c>
      <c r="T439" s="13" t="s">
        <v>641</v>
      </c>
    </row>
    <row r="440" customFormat="1" spans="1:20">
      <c r="A440" s="109">
        <v>45748</v>
      </c>
      <c r="B440" s="109">
        <v>45777</v>
      </c>
      <c r="C440" s="13" t="s">
        <v>635</v>
      </c>
      <c r="D440" s="13" t="s">
        <v>636</v>
      </c>
      <c r="E440" s="13">
        <v>4712118</v>
      </c>
      <c r="F440" s="13" t="s">
        <v>459</v>
      </c>
      <c r="G440" s="13" t="s">
        <v>45</v>
      </c>
      <c r="H440" s="13" t="s">
        <v>44</v>
      </c>
      <c r="I440" s="13" t="s">
        <v>637</v>
      </c>
      <c r="J440" s="110">
        <v>6.27</v>
      </c>
      <c r="K440" s="111">
        <v>0.84</v>
      </c>
      <c r="L440" s="110">
        <v>5.27</v>
      </c>
      <c r="M440" s="13" t="s">
        <v>21</v>
      </c>
      <c r="N440" s="13" t="s">
        <v>638</v>
      </c>
      <c r="O440" s="13" t="s">
        <v>639</v>
      </c>
      <c r="P440" s="13" t="s">
        <v>637</v>
      </c>
      <c r="Q440" s="13" t="s">
        <v>640</v>
      </c>
      <c r="R440" s="13" t="s">
        <v>641</v>
      </c>
      <c r="S440" s="13" t="s">
        <v>641</v>
      </c>
      <c r="T440" s="13" t="s">
        <v>641</v>
      </c>
    </row>
    <row r="441" customFormat="1" spans="1:20">
      <c r="A441" s="109">
        <v>45748</v>
      </c>
      <c r="B441" s="109">
        <v>45777</v>
      </c>
      <c r="C441" s="13" t="s">
        <v>635</v>
      </c>
      <c r="D441" s="13" t="s">
        <v>636</v>
      </c>
      <c r="E441" s="13">
        <v>4712140</v>
      </c>
      <c r="F441" s="13" t="s">
        <v>736</v>
      </c>
      <c r="G441" s="13" t="s">
        <v>74</v>
      </c>
      <c r="H441" s="13" t="s">
        <v>73</v>
      </c>
      <c r="I441" s="13" t="s">
        <v>637</v>
      </c>
      <c r="J441" s="110">
        <v>10</v>
      </c>
      <c r="K441" s="111">
        <v>6</v>
      </c>
      <c r="L441" s="110">
        <v>60</v>
      </c>
      <c r="M441" s="13" t="s">
        <v>21</v>
      </c>
      <c r="N441" s="13" t="s">
        <v>638</v>
      </c>
      <c r="O441" s="13" t="s">
        <v>639</v>
      </c>
      <c r="P441" s="13" t="s">
        <v>637</v>
      </c>
      <c r="Q441" s="13" t="s">
        <v>640</v>
      </c>
      <c r="R441" s="13" t="s">
        <v>641</v>
      </c>
      <c r="S441" s="13" t="s">
        <v>641</v>
      </c>
      <c r="T441" s="13" t="s">
        <v>641</v>
      </c>
    </row>
    <row r="442" customFormat="1" spans="1:20">
      <c r="A442" s="109">
        <v>45748</v>
      </c>
      <c r="B442" s="109">
        <v>45777</v>
      </c>
      <c r="C442" s="13" t="s">
        <v>635</v>
      </c>
      <c r="D442" s="13" t="s">
        <v>636</v>
      </c>
      <c r="E442" s="13">
        <v>4716131</v>
      </c>
      <c r="F442" s="13" t="s">
        <v>538</v>
      </c>
      <c r="G442" s="13" t="s">
        <v>45</v>
      </c>
      <c r="H442" s="13" t="s">
        <v>44</v>
      </c>
      <c r="I442" s="13" t="s">
        <v>637</v>
      </c>
      <c r="J442" s="110">
        <v>26.79</v>
      </c>
      <c r="K442" s="111">
        <v>0.53</v>
      </c>
      <c r="L442" s="110">
        <v>14.2</v>
      </c>
      <c r="M442" s="13" t="s">
        <v>658</v>
      </c>
      <c r="N442" s="13" t="s">
        <v>646</v>
      </c>
      <c r="O442" s="13" t="s">
        <v>639</v>
      </c>
      <c r="P442" s="13" t="s">
        <v>637</v>
      </c>
      <c r="Q442" s="13" t="s">
        <v>646</v>
      </c>
      <c r="R442" s="13" t="s">
        <v>641</v>
      </c>
      <c r="S442" s="13" t="s">
        <v>641</v>
      </c>
      <c r="T442" s="13" t="s">
        <v>641</v>
      </c>
    </row>
    <row r="443" customFormat="1" spans="1:20">
      <c r="A443" s="109">
        <v>45748</v>
      </c>
      <c r="B443" s="109">
        <v>45777</v>
      </c>
      <c r="C443" s="13" t="s">
        <v>635</v>
      </c>
      <c r="D443" s="13" t="s">
        <v>636</v>
      </c>
      <c r="E443" s="13">
        <v>4717533</v>
      </c>
      <c r="F443" s="13" t="s">
        <v>737</v>
      </c>
      <c r="G443" s="13" t="s">
        <v>74</v>
      </c>
      <c r="H443" s="13" t="s">
        <v>73</v>
      </c>
      <c r="I443" s="13" t="s">
        <v>648</v>
      </c>
      <c r="J443" s="110">
        <v>10.07</v>
      </c>
      <c r="K443" s="111">
        <v>5.76</v>
      </c>
      <c r="L443" s="110">
        <v>58</v>
      </c>
      <c r="M443" s="13" t="s">
        <v>30</v>
      </c>
      <c r="N443" s="13" t="s">
        <v>655</v>
      </c>
      <c r="O443" s="13" t="s">
        <v>653</v>
      </c>
      <c r="P443" s="13" t="s">
        <v>648</v>
      </c>
      <c r="Q443" s="13" t="s">
        <v>654</v>
      </c>
      <c r="R443" s="13" t="s">
        <v>641</v>
      </c>
      <c r="S443" s="13" t="s">
        <v>641</v>
      </c>
      <c r="T443" s="13" t="s">
        <v>641</v>
      </c>
    </row>
    <row r="444" customFormat="1" spans="1:20">
      <c r="A444" s="109">
        <v>45748</v>
      </c>
      <c r="B444" s="109">
        <v>45777</v>
      </c>
      <c r="C444" s="13" t="s">
        <v>635</v>
      </c>
      <c r="D444" s="13" t="s">
        <v>636</v>
      </c>
      <c r="E444" s="13">
        <v>4722288</v>
      </c>
      <c r="F444" s="13" t="s">
        <v>468</v>
      </c>
      <c r="G444" s="13" t="s">
        <v>45</v>
      </c>
      <c r="H444" s="13" t="s">
        <v>44</v>
      </c>
      <c r="I444" s="13" t="s">
        <v>637</v>
      </c>
      <c r="J444" s="110">
        <v>4.58</v>
      </c>
      <c r="K444" s="111">
        <v>140</v>
      </c>
      <c r="L444" s="110">
        <v>640.73</v>
      </c>
      <c r="M444" s="13" t="s">
        <v>21</v>
      </c>
      <c r="N444" s="13" t="s">
        <v>638</v>
      </c>
      <c r="O444" s="13" t="s">
        <v>639</v>
      </c>
      <c r="P444" s="13" t="s">
        <v>637</v>
      </c>
      <c r="Q444" s="13" t="s">
        <v>640</v>
      </c>
      <c r="R444" s="13" t="s">
        <v>641</v>
      </c>
      <c r="S444" s="13" t="s">
        <v>641</v>
      </c>
      <c r="T444" s="13" t="s">
        <v>641</v>
      </c>
    </row>
    <row r="445" customFormat="1" spans="1:20">
      <c r="A445" s="109">
        <v>45748</v>
      </c>
      <c r="B445" s="109">
        <v>45777</v>
      </c>
      <c r="C445" s="13" t="s">
        <v>635</v>
      </c>
      <c r="D445" s="13" t="s">
        <v>636</v>
      </c>
      <c r="E445" s="13">
        <v>4723811</v>
      </c>
      <c r="F445" s="13" t="s">
        <v>306</v>
      </c>
      <c r="G445" s="13" t="s">
        <v>74</v>
      </c>
      <c r="H445" s="13" t="s">
        <v>73</v>
      </c>
      <c r="I445" s="13" t="s">
        <v>637</v>
      </c>
      <c r="J445" s="110">
        <v>5.72</v>
      </c>
      <c r="K445" s="111">
        <v>30.4</v>
      </c>
      <c r="L445" s="110">
        <v>174</v>
      </c>
      <c r="M445" s="13" t="s">
        <v>21</v>
      </c>
      <c r="N445" s="13" t="s">
        <v>638</v>
      </c>
      <c r="O445" s="13" t="s">
        <v>639</v>
      </c>
      <c r="P445" s="13" t="s">
        <v>637</v>
      </c>
      <c r="Q445" s="13" t="s">
        <v>640</v>
      </c>
      <c r="R445" s="13" t="s">
        <v>641</v>
      </c>
      <c r="S445" s="13" t="s">
        <v>641</v>
      </c>
      <c r="T445" s="13" t="s">
        <v>641</v>
      </c>
    </row>
    <row r="446" customFormat="1" spans="1:20">
      <c r="A446" s="109">
        <v>45748</v>
      </c>
      <c r="B446" s="109">
        <v>45777</v>
      </c>
      <c r="C446" s="13" t="s">
        <v>635</v>
      </c>
      <c r="D446" s="13" t="s">
        <v>636</v>
      </c>
      <c r="E446" s="13">
        <v>4726198</v>
      </c>
      <c r="F446" s="13" t="s">
        <v>351</v>
      </c>
      <c r="G446" s="13" t="s">
        <v>128</v>
      </c>
      <c r="H446" s="13" t="s">
        <v>127</v>
      </c>
      <c r="I446" s="13" t="s">
        <v>637</v>
      </c>
      <c r="J446" s="110">
        <v>22</v>
      </c>
      <c r="K446" s="111">
        <v>20</v>
      </c>
      <c r="L446" s="110">
        <v>440</v>
      </c>
      <c r="M446" s="13" t="s">
        <v>659</v>
      </c>
      <c r="N446" s="13" t="s">
        <v>660</v>
      </c>
      <c r="O446" s="13" t="s">
        <v>639</v>
      </c>
      <c r="P446" s="13" t="s">
        <v>637</v>
      </c>
      <c r="Q446" s="13" t="s">
        <v>642</v>
      </c>
      <c r="R446" s="13" t="s">
        <v>641</v>
      </c>
      <c r="S446" s="13" t="s">
        <v>641</v>
      </c>
      <c r="T446" s="13" t="s">
        <v>641</v>
      </c>
    </row>
    <row r="447" customFormat="1" spans="1:20">
      <c r="A447" s="109">
        <v>45748</v>
      </c>
      <c r="B447" s="109">
        <v>45777</v>
      </c>
      <c r="C447" s="13" t="s">
        <v>635</v>
      </c>
      <c r="D447" s="13" t="s">
        <v>636</v>
      </c>
      <c r="E447" s="13">
        <v>4727592</v>
      </c>
      <c r="F447" s="13" t="s">
        <v>322</v>
      </c>
      <c r="G447" s="13" t="s">
        <v>74</v>
      </c>
      <c r="H447" s="13" t="s">
        <v>73</v>
      </c>
      <c r="I447" s="13" t="s">
        <v>637</v>
      </c>
      <c r="J447" s="110">
        <v>2.42</v>
      </c>
      <c r="K447" s="111">
        <v>36</v>
      </c>
      <c r="L447" s="110">
        <v>87</v>
      </c>
      <c r="M447" s="13" t="s">
        <v>21</v>
      </c>
      <c r="N447" s="13" t="s">
        <v>638</v>
      </c>
      <c r="O447" s="13" t="s">
        <v>639</v>
      </c>
      <c r="P447" s="13" t="s">
        <v>637</v>
      </c>
      <c r="Q447" s="13" t="s">
        <v>640</v>
      </c>
      <c r="R447" s="13" t="s">
        <v>641</v>
      </c>
      <c r="S447" s="13" t="s">
        <v>641</v>
      </c>
      <c r="T447" s="13" t="s">
        <v>641</v>
      </c>
    </row>
    <row r="448" customFormat="1" spans="1:20">
      <c r="A448" s="109">
        <v>45748</v>
      </c>
      <c r="B448" s="109">
        <v>45777</v>
      </c>
      <c r="C448" s="13" t="s">
        <v>635</v>
      </c>
      <c r="D448" s="13" t="s">
        <v>636</v>
      </c>
      <c r="E448" s="13">
        <v>4733325</v>
      </c>
      <c r="F448" s="13" t="s">
        <v>339</v>
      </c>
      <c r="G448" s="13" t="s">
        <v>33</v>
      </c>
      <c r="H448" s="13" t="s">
        <v>32</v>
      </c>
      <c r="I448" s="13" t="s">
        <v>637</v>
      </c>
      <c r="J448" s="110">
        <v>3</v>
      </c>
      <c r="K448" s="111">
        <v>95</v>
      </c>
      <c r="L448" s="110">
        <v>284.68</v>
      </c>
      <c r="M448" s="13" t="s">
        <v>658</v>
      </c>
      <c r="N448" s="13" t="s">
        <v>646</v>
      </c>
      <c r="O448" s="13" t="s">
        <v>639</v>
      </c>
      <c r="P448" s="13" t="s">
        <v>637</v>
      </c>
      <c r="Q448" s="13" t="s">
        <v>646</v>
      </c>
      <c r="R448" s="13" t="s">
        <v>641</v>
      </c>
      <c r="S448" s="13" t="s">
        <v>641</v>
      </c>
      <c r="T448" s="13" t="s">
        <v>641</v>
      </c>
    </row>
    <row r="449" customFormat="1" spans="1:20">
      <c r="A449" s="109">
        <v>45748</v>
      </c>
      <c r="B449" s="109">
        <v>45777</v>
      </c>
      <c r="C449" s="13" t="s">
        <v>635</v>
      </c>
      <c r="D449" s="13" t="s">
        <v>636</v>
      </c>
      <c r="E449" s="13">
        <v>4734146</v>
      </c>
      <c r="F449" s="13" t="s">
        <v>581</v>
      </c>
      <c r="G449" s="13" t="s">
        <v>74</v>
      </c>
      <c r="H449" s="13" t="s">
        <v>73</v>
      </c>
      <c r="I449" s="13" t="s">
        <v>637</v>
      </c>
      <c r="J449" s="110">
        <v>8.81</v>
      </c>
      <c r="K449" s="111">
        <v>9.761</v>
      </c>
      <c r="L449" s="110">
        <v>86</v>
      </c>
      <c r="M449" s="13" t="s">
        <v>97</v>
      </c>
      <c r="N449" s="13" t="s">
        <v>656</v>
      </c>
      <c r="O449" s="13" t="s">
        <v>639</v>
      </c>
      <c r="P449" s="13" t="s">
        <v>637</v>
      </c>
      <c r="Q449" s="13" t="s">
        <v>642</v>
      </c>
      <c r="R449" s="13" t="s">
        <v>641</v>
      </c>
      <c r="S449" s="13" t="s">
        <v>641</v>
      </c>
      <c r="T449" s="13" t="s">
        <v>641</v>
      </c>
    </row>
    <row r="450" customFormat="1" spans="1:20">
      <c r="A450" s="109">
        <v>45748</v>
      </c>
      <c r="B450" s="109">
        <v>45777</v>
      </c>
      <c r="C450" s="13" t="s">
        <v>635</v>
      </c>
      <c r="D450" s="13" t="s">
        <v>636</v>
      </c>
      <c r="E450" s="13">
        <v>4735139</v>
      </c>
      <c r="F450" s="13" t="s">
        <v>335</v>
      </c>
      <c r="G450" s="13" t="s">
        <v>74</v>
      </c>
      <c r="H450" s="13" t="s">
        <v>73</v>
      </c>
      <c r="I450" s="13" t="s">
        <v>637</v>
      </c>
      <c r="J450" s="110">
        <v>10.71</v>
      </c>
      <c r="K450" s="111">
        <v>18.2</v>
      </c>
      <c r="L450" s="110">
        <v>195</v>
      </c>
      <c r="M450" s="13" t="s">
        <v>21</v>
      </c>
      <c r="N450" s="13" t="s">
        <v>638</v>
      </c>
      <c r="O450" s="13" t="s">
        <v>639</v>
      </c>
      <c r="P450" s="13" t="s">
        <v>637</v>
      </c>
      <c r="Q450" s="13" t="s">
        <v>642</v>
      </c>
      <c r="R450" s="13" t="s">
        <v>641</v>
      </c>
      <c r="S450" s="13" t="s">
        <v>641</v>
      </c>
      <c r="T450" s="13" t="s">
        <v>641</v>
      </c>
    </row>
    <row r="451" customFormat="1" spans="1:20">
      <c r="A451" s="109">
        <v>45748</v>
      </c>
      <c r="B451" s="109">
        <v>45777</v>
      </c>
      <c r="C451" s="13" t="s">
        <v>635</v>
      </c>
      <c r="D451" s="13" t="s">
        <v>636</v>
      </c>
      <c r="E451" s="13">
        <v>4735156</v>
      </c>
      <c r="F451" s="13" t="s">
        <v>576</v>
      </c>
      <c r="G451" s="13" t="s">
        <v>74</v>
      </c>
      <c r="H451" s="13" t="s">
        <v>73</v>
      </c>
      <c r="I451" s="13" t="s">
        <v>637</v>
      </c>
      <c r="J451" s="110">
        <v>7.09</v>
      </c>
      <c r="K451" s="111">
        <v>40.8</v>
      </c>
      <c r="L451" s="110">
        <v>289.21</v>
      </c>
      <c r="M451" s="13" t="s">
        <v>21</v>
      </c>
      <c r="N451" s="13" t="s">
        <v>638</v>
      </c>
      <c r="O451" s="13" t="s">
        <v>639</v>
      </c>
      <c r="P451" s="13" t="s">
        <v>637</v>
      </c>
      <c r="Q451" s="13" t="s">
        <v>640</v>
      </c>
      <c r="R451" s="13" t="s">
        <v>641</v>
      </c>
      <c r="S451" s="13" t="s">
        <v>641</v>
      </c>
      <c r="T451" s="13" t="s">
        <v>641</v>
      </c>
    </row>
    <row r="452" customFormat="1" spans="1:20">
      <c r="A452" s="109">
        <v>45748</v>
      </c>
      <c r="B452" s="109">
        <v>45777</v>
      </c>
      <c r="C452" s="13" t="s">
        <v>635</v>
      </c>
      <c r="D452" s="13" t="s">
        <v>636</v>
      </c>
      <c r="E452" s="13">
        <v>4740140</v>
      </c>
      <c r="F452" s="13" t="s">
        <v>234</v>
      </c>
      <c r="G452" s="13" t="s">
        <v>128</v>
      </c>
      <c r="H452" s="13" t="s">
        <v>127</v>
      </c>
      <c r="I452" s="13" t="s">
        <v>637</v>
      </c>
      <c r="J452" s="110">
        <v>25</v>
      </c>
      <c r="K452" s="111">
        <v>11</v>
      </c>
      <c r="L452" s="110">
        <v>275</v>
      </c>
      <c r="M452" s="13" t="s">
        <v>659</v>
      </c>
      <c r="N452" s="13" t="s">
        <v>660</v>
      </c>
      <c r="O452" s="13" t="s">
        <v>639</v>
      </c>
      <c r="P452" s="13" t="s">
        <v>637</v>
      </c>
      <c r="Q452" s="13" t="s">
        <v>642</v>
      </c>
      <c r="R452" s="13" t="s">
        <v>641</v>
      </c>
      <c r="S452" s="13" t="s">
        <v>641</v>
      </c>
      <c r="T452" s="13" t="s">
        <v>641</v>
      </c>
    </row>
    <row r="453" customFormat="1" spans="1:20">
      <c r="A453" s="109">
        <v>45748</v>
      </c>
      <c r="B453" s="109">
        <v>45777</v>
      </c>
      <c r="C453" s="13" t="s">
        <v>635</v>
      </c>
      <c r="D453" s="13" t="s">
        <v>636</v>
      </c>
      <c r="E453" s="13">
        <v>4751479</v>
      </c>
      <c r="F453" s="13" t="s">
        <v>738</v>
      </c>
      <c r="G453" s="13" t="s">
        <v>33</v>
      </c>
      <c r="H453" s="13" t="s">
        <v>32</v>
      </c>
      <c r="I453" s="13" t="s">
        <v>637</v>
      </c>
      <c r="J453" s="110">
        <v>17</v>
      </c>
      <c r="K453" s="111">
        <v>3</v>
      </c>
      <c r="L453" s="110">
        <v>51</v>
      </c>
      <c r="M453" s="13" t="s">
        <v>21</v>
      </c>
      <c r="N453" s="13" t="s">
        <v>638</v>
      </c>
      <c r="O453" s="13" t="s">
        <v>639</v>
      </c>
      <c r="P453" s="13" t="s">
        <v>637</v>
      </c>
      <c r="Q453" s="13" t="s">
        <v>640</v>
      </c>
      <c r="R453" s="13" t="s">
        <v>641</v>
      </c>
      <c r="S453" s="13" t="s">
        <v>721</v>
      </c>
      <c r="T453" s="13" t="s">
        <v>641</v>
      </c>
    </row>
    <row r="454" customFormat="1" spans="1:20">
      <c r="A454" s="109">
        <v>45748</v>
      </c>
      <c r="B454" s="109">
        <v>45777</v>
      </c>
      <c r="C454" s="13" t="s">
        <v>635</v>
      </c>
      <c r="D454" s="13" t="s">
        <v>636</v>
      </c>
      <c r="E454" s="13">
        <v>4765891</v>
      </c>
      <c r="F454" s="13" t="s">
        <v>124</v>
      </c>
      <c r="G454" s="13" t="s">
        <v>74</v>
      </c>
      <c r="H454" s="13" t="s">
        <v>73</v>
      </c>
      <c r="I454" s="13" t="s">
        <v>637</v>
      </c>
      <c r="J454" s="110">
        <v>2.91</v>
      </c>
      <c r="K454" s="111">
        <v>132.5</v>
      </c>
      <c r="L454" s="110">
        <v>386.21</v>
      </c>
      <c r="M454" s="13" t="s">
        <v>97</v>
      </c>
      <c r="N454" s="13" t="s">
        <v>656</v>
      </c>
      <c r="O454" s="13" t="s">
        <v>639</v>
      </c>
      <c r="P454" s="13" t="s">
        <v>637</v>
      </c>
      <c r="Q454" s="13" t="s">
        <v>656</v>
      </c>
      <c r="R454" s="13" t="s">
        <v>641</v>
      </c>
      <c r="S454" s="13" t="s">
        <v>641</v>
      </c>
      <c r="T454" s="13" t="s">
        <v>641</v>
      </c>
    </row>
    <row r="455" customFormat="1" spans="1:20">
      <c r="A455" s="109">
        <v>45748</v>
      </c>
      <c r="B455" s="109">
        <v>45777</v>
      </c>
      <c r="C455" s="13" t="s">
        <v>635</v>
      </c>
      <c r="D455" s="13" t="s">
        <v>636</v>
      </c>
      <c r="E455" s="13">
        <v>8005467</v>
      </c>
      <c r="F455" s="13" t="s">
        <v>129</v>
      </c>
      <c r="G455" s="13" t="s">
        <v>41</v>
      </c>
      <c r="H455" s="13" t="s">
        <v>40</v>
      </c>
      <c r="I455" s="13" t="s">
        <v>648</v>
      </c>
      <c r="J455" s="110">
        <v>3.59</v>
      </c>
      <c r="K455" s="111">
        <v>10</v>
      </c>
      <c r="L455" s="110">
        <v>35.88</v>
      </c>
      <c r="M455" s="13" t="s">
        <v>659</v>
      </c>
      <c r="N455" s="13" t="s">
        <v>660</v>
      </c>
      <c r="O455" s="13" t="s">
        <v>653</v>
      </c>
      <c r="P455" s="13" t="s">
        <v>648</v>
      </c>
      <c r="Q455" s="13" t="s">
        <v>696</v>
      </c>
      <c r="R455" s="13" t="s">
        <v>641</v>
      </c>
      <c r="S455" s="13" t="s">
        <v>641</v>
      </c>
      <c r="T455" s="13" t="s">
        <v>641</v>
      </c>
    </row>
    <row r="456" customFormat="1" spans="1:20">
      <c r="A456" s="109">
        <v>45748</v>
      </c>
      <c r="B456" s="109">
        <v>45777</v>
      </c>
      <c r="C456" s="13" t="s">
        <v>635</v>
      </c>
      <c r="D456" s="13" t="s">
        <v>636</v>
      </c>
      <c r="E456" s="13">
        <v>8005468</v>
      </c>
      <c r="F456" s="13" t="s">
        <v>104</v>
      </c>
      <c r="G456" s="13" t="s">
        <v>102</v>
      </c>
      <c r="H456" s="13" t="s">
        <v>101</v>
      </c>
      <c r="I456" s="13" t="s">
        <v>648</v>
      </c>
      <c r="J456" s="110">
        <v>8.61</v>
      </c>
      <c r="K456" s="111">
        <v>10</v>
      </c>
      <c r="L456" s="110">
        <v>86.12</v>
      </c>
      <c r="M456" s="13" t="s">
        <v>659</v>
      </c>
      <c r="N456" s="13" t="s">
        <v>660</v>
      </c>
      <c r="O456" s="13" t="s">
        <v>653</v>
      </c>
      <c r="P456" s="13" t="s">
        <v>648</v>
      </c>
      <c r="Q456" s="13" t="s">
        <v>696</v>
      </c>
      <c r="R456" s="13" t="s">
        <v>641</v>
      </c>
      <c r="S456" s="13" t="s">
        <v>641</v>
      </c>
      <c r="T456" s="13" t="s">
        <v>641</v>
      </c>
    </row>
    <row r="457" customFormat="1" spans="1:20">
      <c r="A457" s="109">
        <v>45748</v>
      </c>
      <c r="B457" s="109">
        <v>45777</v>
      </c>
      <c r="C457" s="13" t="s">
        <v>635</v>
      </c>
      <c r="D457" s="13" t="s">
        <v>636</v>
      </c>
      <c r="E457" s="13">
        <v>8005469</v>
      </c>
      <c r="F457" s="13" t="s">
        <v>103</v>
      </c>
      <c r="G457" s="13" t="s">
        <v>102</v>
      </c>
      <c r="H457" s="13" t="s">
        <v>101</v>
      </c>
      <c r="I457" s="13" t="s">
        <v>648</v>
      </c>
      <c r="J457" s="110">
        <v>8.61</v>
      </c>
      <c r="K457" s="111">
        <v>10</v>
      </c>
      <c r="L457" s="110">
        <v>86.12</v>
      </c>
      <c r="M457" s="13" t="s">
        <v>694</v>
      </c>
      <c r="N457" s="13" t="s">
        <v>695</v>
      </c>
      <c r="O457" s="13" t="s">
        <v>653</v>
      </c>
      <c r="P457" s="13" t="s">
        <v>648</v>
      </c>
      <c r="Q457" s="13" t="s">
        <v>696</v>
      </c>
      <c r="R457" s="13" t="s">
        <v>641</v>
      </c>
      <c r="S457" s="13" t="s">
        <v>641</v>
      </c>
      <c r="T457" s="13" t="s">
        <v>641</v>
      </c>
    </row>
    <row r="458" customFormat="1" spans="1:20">
      <c r="A458" s="109">
        <v>45748</v>
      </c>
      <c r="B458" s="109">
        <v>45777</v>
      </c>
      <c r="C458" s="13" t="s">
        <v>635</v>
      </c>
      <c r="D458" s="13" t="s">
        <v>636</v>
      </c>
      <c r="E458" s="13">
        <v>8005470</v>
      </c>
      <c r="F458" s="13" t="s">
        <v>100</v>
      </c>
      <c r="G458" s="13" t="s">
        <v>102</v>
      </c>
      <c r="H458" s="13" t="s">
        <v>101</v>
      </c>
      <c r="I458" s="13" t="s">
        <v>648</v>
      </c>
      <c r="J458" s="110">
        <v>8.61</v>
      </c>
      <c r="K458" s="111">
        <v>10</v>
      </c>
      <c r="L458" s="110">
        <v>86.12</v>
      </c>
      <c r="M458" s="13" t="s">
        <v>694</v>
      </c>
      <c r="N458" s="13" t="s">
        <v>695</v>
      </c>
      <c r="O458" s="13" t="s">
        <v>653</v>
      </c>
      <c r="P458" s="13" t="s">
        <v>648</v>
      </c>
      <c r="Q458" s="13" t="s">
        <v>696</v>
      </c>
      <c r="R458" s="13" t="s">
        <v>641</v>
      </c>
      <c r="S458" s="13" t="s">
        <v>641</v>
      </c>
      <c r="T458" s="13" t="s">
        <v>641</v>
      </c>
    </row>
    <row r="459" customFormat="1" spans="1:20">
      <c r="A459" s="109">
        <v>45748</v>
      </c>
      <c r="B459" s="109">
        <v>45777</v>
      </c>
      <c r="C459" s="13" t="s">
        <v>635</v>
      </c>
      <c r="D459" s="13" t="s">
        <v>636</v>
      </c>
      <c r="E459" s="13">
        <v>8005471</v>
      </c>
      <c r="F459" s="13" t="s">
        <v>105</v>
      </c>
      <c r="G459" s="13" t="s">
        <v>102</v>
      </c>
      <c r="H459" s="13" t="s">
        <v>101</v>
      </c>
      <c r="I459" s="13" t="s">
        <v>648</v>
      </c>
      <c r="J459" s="110">
        <v>8.61</v>
      </c>
      <c r="K459" s="111">
        <v>10</v>
      </c>
      <c r="L459" s="110">
        <v>86.12</v>
      </c>
      <c r="M459" s="13" t="s">
        <v>694</v>
      </c>
      <c r="N459" s="13" t="s">
        <v>695</v>
      </c>
      <c r="O459" s="13" t="s">
        <v>653</v>
      </c>
      <c r="P459" s="13" t="s">
        <v>648</v>
      </c>
      <c r="Q459" s="13" t="s">
        <v>696</v>
      </c>
      <c r="R459" s="13" t="s">
        <v>641</v>
      </c>
      <c r="S459" s="13" t="s">
        <v>641</v>
      </c>
      <c r="T459" s="13" t="s">
        <v>641</v>
      </c>
    </row>
    <row r="460" customFormat="1" spans="1:20">
      <c r="A460" s="109">
        <v>45748</v>
      </c>
      <c r="B460" s="109">
        <v>45777</v>
      </c>
      <c r="C460" s="13" t="s">
        <v>635</v>
      </c>
      <c r="D460" s="13" t="s">
        <v>636</v>
      </c>
      <c r="E460" s="13">
        <v>8005472</v>
      </c>
      <c r="F460" s="13" t="s">
        <v>106</v>
      </c>
      <c r="G460" s="13" t="s">
        <v>102</v>
      </c>
      <c r="H460" s="13" t="s">
        <v>101</v>
      </c>
      <c r="I460" s="13" t="s">
        <v>648</v>
      </c>
      <c r="J460" s="110">
        <v>8.61</v>
      </c>
      <c r="K460" s="111">
        <v>10</v>
      </c>
      <c r="L460" s="110">
        <v>86.12</v>
      </c>
      <c r="M460" s="13" t="s">
        <v>694</v>
      </c>
      <c r="N460" s="13" t="s">
        <v>695</v>
      </c>
      <c r="O460" s="13" t="s">
        <v>653</v>
      </c>
      <c r="P460" s="13" t="s">
        <v>648</v>
      </c>
      <c r="Q460" s="13" t="s">
        <v>696</v>
      </c>
      <c r="R460" s="13" t="s">
        <v>641</v>
      </c>
      <c r="S460" s="13" t="s">
        <v>641</v>
      </c>
      <c r="T460" s="13" t="s">
        <v>641</v>
      </c>
    </row>
    <row r="461" customFormat="1" spans="1:20">
      <c r="A461" s="109">
        <v>45748</v>
      </c>
      <c r="B461" s="109">
        <v>45777</v>
      </c>
      <c r="C461" s="13" t="s">
        <v>635</v>
      </c>
      <c r="D461" s="13" t="s">
        <v>636</v>
      </c>
      <c r="E461" s="13">
        <v>8005473</v>
      </c>
      <c r="F461" s="13" t="s">
        <v>107</v>
      </c>
      <c r="G461" s="13" t="s">
        <v>102</v>
      </c>
      <c r="H461" s="13" t="s">
        <v>101</v>
      </c>
      <c r="I461" s="13" t="s">
        <v>648</v>
      </c>
      <c r="J461" s="110">
        <v>8.61</v>
      </c>
      <c r="K461" s="111">
        <v>10</v>
      </c>
      <c r="L461" s="110">
        <v>86.12</v>
      </c>
      <c r="M461" s="13" t="s">
        <v>694</v>
      </c>
      <c r="N461" s="13" t="s">
        <v>695</v>
      </c>
      <c r="O461" s="13" t="s">
        <v>653</v>
      </c>
      <c r="P461" s="13" t="s">
        <v>648</v>
      </c>
      <c r="Q461" s="13" t="s">
        <v>696</v>
      </c>
      <c r="R461" s="13" t="s">
        <v>641</v>
      </c>
      <c r="S461" s="13" t="s">
        <v>641</v>
      </c>
      <c r="T461" s="13" t="s">
        <v>641</v>
      </c>
    </row>
    <row r="462" customFormat="1" spans="1:20">
      <c r="A462" s="109">
        <v>45748</v>
      </c>
      <c r="B462" s="109">
        <v>45777</v>
      </c>
      <c r="C462" s="13" t="s">
        <v>635</v>
      </c>
      <c r="D462" s="13" t="s">
        <v>636</v>
      </c>
      <c r="E462" s="13">
        <v>8005474</v>
      </c>
      <c r="F462" s="13" t="s">
        <v>108</v>
      </c>
      <c r="G462" s="13" t="s">
        <v>102</v>
      </c>
      <c r="H462" s="13" t="s">
        <v>101</v>
      </c>
      <c r="I462" s="13" t="s">
        <v>648</v>
      </c>
      <c r="J462" s="110">
        <v>8.61</v>
      </c>
      <c r="K462" s="111">
        <v>10</v>
      </c>
      <c r="L462" s="110">
        <v>86.12</v>
      </c>
      <c r="M462" s="13" t="s">
        <v>694</v>
      </c>
      <c r="N462" s="13" t="s">
        <v>695</v>
      </c>
      <c r="O462" s="13" t="s">
        <v>653</v>
      </c>
      <c r="P462" s="13" t="s">
        <v>648</v>
      </c>
      <c r="Q462" s="13" t="s">
        <v>696</v>
      </c>
      <c r="R462" s="13" t="s">
        <v>641</v>
      </c>
      <c r="S462" s="13" t="s">
        <v>641</v>
      </c>
      <c r="T462" s="13" t="s">
        <v>641</v>
      </c>
    </row>
    <row r="463" customFormat="1" spans="1:20">
      <c r="A463" s="109">
        <v>45748</v>
      </c>
      <c r="B463" s="109">
        <v>45777</v>
      </c>
      <c r="C463" s="13" t="s">
        <v>635</v>
      </c>
      <c r="D463" s="13" t="s">
        <v>636</v>
      </c>
      <c r="E463" s="13">
        <v>8008962</v>
      </c>
      <c r="F463" s="13" t="s">
        <v>279</v>
      </c>
      <c r="G463" s="13" t="s">
        <v>102</v>
      </c>
      <c r="H463" s="13" t="s">
        <v>101</v>
      </c>
      <c r="I463" s="13" t="s">
        <v>648</v>
      </c>
      <c r="J463" s="110">
        <v>7.18</v>
      </c>
      <c r="K463" s="111">
        <v>5</v>
      </c>
      <c r="L463" s="110">
        <v>35.88</v>
      </c>
      <c r="M463" s="13" t="s">
        <v>659</v>
      </c>
      <c r="N463" s="13" t="s">
        <v>660</v>
      </c>
      <c r="O463" s="13" t="s">
        <v>653</v>
      </c>
      <c r="P463" s="13" t="s">
        <v>648</v>
      </c>
      <c r="Q463" s="13" t="s">
        <v>696</v>
      </c>
      <c r="R463" s="13" t="s">
        <v>641</v>
      </c>
      <c r="S463" s="13" t="s">
        <v>641</v>
      </c>
      <c r="T463" s="13" t="s">
        <v>641</v>
      </c>
    </row>
    <row r="464" customFormat="1" spans="1:20">
      <c r="A464" s="109">
        <v>45748</v>
      </c>
      <c r="B464" s="109">
        <v>45777</v>
      </c>
      <c r="C464" s="13" t="s">
        <v>635</v>
      </c>
      <c r="D464" s="13" t="s">
        <v>636</v>
      </c>
      <c r="E464" s="13">
        <v>8008963</v>
      </c>
      <c r="F464" s="13" t="s">
        <v>280</v>
      </c>
      <c r="G464" s="13" t="s">
        <v>102</v>
      </c>
      <c r="H464" s="13" t="s">
        <v>101</v>
      </c>
      <c r="I464" s="13" t="s">
        <v>648</v>
      </c>
      <c r="J464" s="110">
        <v>7.18</v>
      </c>
      <c r="K464" s="111">
        <v>5</v>
      </c>
      <c r="L464" s="110">
        <v>35.88</v>
      </c>
      <c r="M464" s="13" t="s">
        <v>659</v>
      </c>
      <c r="N464" s="13" t="s">
        <v>660</v>
      </c>
      <c r="O464" s="13" t="s">
        <v>653</v>
      </c>
      <c r="P464" s="13" t="s">
        <v>648</v>
      </c>
      <c r="Q464" s="13" t="s">
        <v>696</v>
      </c>
      <c r="R464" s="13" t="s">
        <v>641</v>
      </c>
      <c r="S464" s="13" t="s">
        <v>641</v>
      </c>
      <c r="T464" s="13" t="s">
        <v>641</v>
      </c>
    </row>
    <row r="465" customFormat="1" spans="1:20">
      <c r="A465" s="109">
        <v>45748</v>
      </c>
      <c r="B465" s="109">
        <v>45777</v>
      </c>
      <c r="C465" s="13" t="s">
        <v>635</v>
      </c>
      <c r="D465" s="13" t="s">
        <v>636</v>
      </c>
      <c r="E465" s="13">
        <v>8008965</v>
      </c>
      <c r="F465" s="13" t="s">
        <v>282</v>
      </c>
      <c r="G465" s="13" t="s">
        <v>102</v>
      </c>
      <c r="H465" s="13" t="s">
        <v>101</v>
      </c>
      <c r="I465" s="13" t="s">
        <v>648</v>
      </c>
      <c r="J465" s="110">
        <v>7.18</v>
      </c>
      <c r="K465" s="111">
        <v>5</v>
      </c>
      <c r="L465" s="110">
        <v>35.88</v>
      </c>
      <c r="M465" s="13" t="s">
        <v>659</v>
      </c>
      <c r="N465" s="13" t="s">
        <v>660</v>
      </c>
      <c r="O465" s="13" t="s">
        <v>653</v>
      </c>
      <c r="P465" s="13" t="s">
        <v>648</v>
      </c>
      <c r="Q465" s="13" t="s">
        <v>696</v>
      </c>
      <c r="R465" s="13" t="s">
        <v>641</v>
      </c>
      <c r="S465" s="13" t="s">
        <v>641</v>
      </c>
      <c r="T465" s="13" t="s">
        <v>641</v>
      </c>
    </row>
    <row r="466" customFormat="1" spans="1:20">
      <c r="A466" s="109">
        <v>45748</v>
      </c>
      <c r="B466" s="109">
        <v>45777</v>
      </c>
      <c r="C466" s="13" t="s">
        <v>635</v>
      </c>
      <c r="D466" s="13" t="s">
        <v>636</v>
      </c>
      <c r="E466" s="13">
        <v>8008966</v>
      </c>
      <c r="F466" s="13" t="s">
        <v>283</v>
      </c>
      <c r="G466" s="13" t="s">
        <v>102</v>
      </c>
      <c r="H466" s="13" t="s">
        <v>101</v>
      </c>
      <c r="I466" s="13" t="s">
        <v>648</v>
      </c>
      <c r="J466" s="110">
        <v>7.18</v>
      </c>
      <c r="K466" s="111">
        <v>10</v>
      </c>
      <c r="L466" s="110">
        <v>71.77</v>
      </c>
      <c r="M466" s="13" t="s">
        <v>694</v>
      </c>
      <c r="N466" s="13" t="s">
        <v>695</v>
      </c>
      <c r="O466" s="13" t="s">
        <v>653</v>
      </c>
      <c r="P466" s="13" t="s">
        <v>648</v>
      </c>
      <c r="Q466" s="13" t="s">
        <v>696</v>
      </c>
      <c r="R466" s="13" t="s">
        <v>641</v>
      </c>
      <c r="S466" s="13" t="s">
        <v>726</v>
      </c>
      <c r="T466" s="13" t="s">
        <v>641</v>
      </c>
    </row>
    <row r="467" customFormat="1" spans="1:20">
      <c r="A467" s="109">
        <v>45748</v>
      </c>
      <c r="B467" s="109">
        <v>45777</v>
      </c>
      <c r="C467" s="13" t="s">
        <v>635</v>
      </c>
      <c r="D467" s="13" t="s">
        <v>636</v>
      </c>
      <c r="E467" s="13">
        <v>8008967</v>
      </c>
      <c r="F467" s="13" t="s">
        <v>284</v>
      </c>
      <c r="G467" s="13" t="s">
        <v>102</v>
      </c>
      <c r="H467" s="13" t="s">
        <v>101</v>
      </c>
      <c r="I467" s="13" t="s">
        <v>648</v>
      </c>
      <c r="J467" s="110">
        <v>7.18</v>
      </c>
      <c r="K467" s="111">
        <v>15</v>
      </c>
      <c r="L467" s="110">
        <v>107.65</v>
      </c>
      <c r="M467" s="13" t="s">
        <v>694</v>
      </c>
      <c r="N467" s="13" t="s">
        <v>695</v>
      </c>
      <c r="O467" s="13" t="s">
        <v>653</v>
      </c>
      <c r="P467" s="13" t="s">
        <v>648</v>
      </c>
      <c r="Q467" s="13" t="s">
        <v>696</v>
      </c>
      <c r="R467" s="13" t="s">
        <v>641</v>
      </c>
      <c r="S467" s="13" t="s">
        <v>726</v>
      </c>
      <c r="T467" s="13" t="s">
        <v>641</v>
      </c>
    </row>
    <row r="468" customFormat="1" spans="1:20">
      <c r="A468" s="109">
        <v>45748</v>
      </c>
      <c r="B468" s="109">
        <v>45777</v>
      </c>
      <c r="C468" s="13" t="s">
        <v>635</v>
      </c>
      <c r="D468" s="13" t="s">
        <v>636</v>
      </c>
      <c r="E468" s="13">
        <v>8008968</v>
      </c>
      <c r="F468" s="13" t="s">
        <v>285</v>
      </c>
      <c r="G468" s="13" t="s">
        <v>102</v>
      </c>
      <c r="H468" s="13" t="s">
        <v>101</v>
      </c>
      <c r="I468" s="13" t="s">
        <v>648</v>
      </c>
      <c r="J468" s="110">
        <v>7.18</v>
      </c>
      <c r="K468" s="111">
        <v>15</v>
      </c>
      <c r="L468" s="110">
        <v>107.65</v>
      </c>
      <c r="M468" s="13" t="s">
        <v>694</v>
      </c>
      <c r="N468" s="13" t="s">
        <v>695</v>
      </c>
      <c r="O468" s="13" t="s">
        <v>653</v>
      </c>
      <c r="P468" s="13" t="s">
        <v>648</v>
      </c>
      <c r="Q468" s="13" t="s">
        <v>696</v>
      </c>
      <c r="R468" s="13" t="s">
        <v>641</v>
      </c>
      <c r="S468" s="13" t="s">
        <v>726</v>
      </c>
      <c r="T468" s="13" t="s">
        <v>641</v>
      </c>
    </row>
    <row r="469" customFormat="1" spans="1:20">
      <c r="A469" s="109">
        <v>45748</v>
      </c>
      <c r="B469" s="109">
        <v>45777</v>
      </c>
      <c r="C469" s="13" t="s">
        <v>635</v>
      </c>
      <c r="D469" s="13" t="s">
        <v>636</v>
      </c>
      <c r="E469" s="13">
        <v>8009667</v>
      </c>
      <c r="F469" s="13" t="s">
        <v>275</v>
      </c>
      <c r="G469" s="13" t="s">
        <v>102</v>
      </c>
      <c r="H469" s="13" t="s">
        <v>101</v>
      </c>
      <c r="I469" s="13" t="s">
        <v>648</v>
      </c>
      <c r="J469" s="110">
        <v>7.18</v>
      </c>
      <c r="K469" s="111">
        <v>5</v>
      </c>
      <c r="L469" s="110">
        <v>35.89</v>
      </c>
      <c r="M469" s="13" t="s">
        <v>659</v>
      </c>
      <c r="N469" s="13" t="s">
        <v>660</v>
      </c>
      <c r="O469" s="13" t="s">
        <v>653</v>
      </c>
      <c r="P469" s="13" t="s">
        <v>648</v>
      </c>
      <c r="Q469" s="13" t="s">
        <v>696</v>
      </c>
      <c r="R469" s="13" t="s">
        <v>641</v>
      </c>
      <c r="S469" s="13" t="s">
        <v>641</v>
      </c>
      <c r="T469" s="13" t="s">
        <v>641</v>
      </c>
    </row>
    <row r="470" customFormat="1" spans="1:20">
      <c r="A470" s="109">
        <v>45748</v>
      </c>
      <c r="B470" s="109">
        <v>45777</v>
      </c>
      <c r="C470" s="13" t="s">
        <v>635</v>
      </c>
      <c r="D470" s="13" t="s">
        <v>636</v>
      </c>
      <c r="E470" s="13">
        <v>8009668</v>
      </c>
      <c r="F470" s="13" t="s">
        <v>274</v>
      </c>
      <c r="G470" s="13" t="s">
        <v>102</v>
      </c>
      <c r="H470" s="13" t="s">
        <v>101</v>
      </c>
      <c r="I470" s="13" t="s">
        <v>648</v>
      </c>
      <c r="J470" s="110">
        <v>7.18</v>
      </c>
      <c r="K470" s="111">
        <v>5</v>
      </c>
      <c r="L470" s="110">
        <v>35.88</v>
      </c>
      <c r="M470" s="13" t="s">
        <v>659</v>
      </c>
      <c r="N470" s="13" t="s">
        <v>660</v>
      </c>
      <c r="O470" s="13" t="s">
        <v>653</v>
      </c>
      <c r="P470" s="13" t="s">
        <v>648</v>
      </c>
      <c r="Q470" s="13" t="s">
        <v>696</v>
      </c>
      <c r="R470" s="13" t="s">
        <v>641</v>
      </c>
      <c r="S470" s="13" t="s">
        <v>641</v>
      </c>
      <c r="T470" s="13" t="s">
        <v>641</v>
      </c>
    </row>
    <row r="471" customFormat="1" spans="1:20">
      <c r="A471" s="109">
        <v>45748</v>
      </c>
      <c r="B471" s="109">
        <v>45777</v>
      </c>
      <c r="C471" s="13" t="s">
        <v>635</v>
      </c>
      <c r="D471" s="13" t="s">
        <v>636</v>
      </c>
      <c r="E471" s="13">
        <v>8009754</v>
      </c>
      <c r="F471" s="13" t="s">
        <v>277</v>
      </c>
      <c r="G471" s="13" t="s">
        <v>102</v>
      </c>
      <c r="H471" s="13" t="s">
        <v>101</v>
      </c>
      <c r="I471" s="13" t="s">
        <v>648</v>
      </c>
      <c r="J471" s="110">
        <v>7.18</v>
      </c>
      <c r="K471" s="111">
        <v>5</v>
      </c>
      <c r="L471" s="110">
        <v>35.88</v>
      </c>
      <c r="M471" s="13" t="s">
        <v>694</v>
      </c>
      <c r="N471" s="13" t="s">
        <v>695</v>
      </c>
      <c r="O471" s="13" t="s">
        <v>653</v>
      </c>
      <c r="P471" s="13" t="s">
        <v>648</v>
      </c>
      <c r="Q471" s="13" t="s">
        <v>696</v>
      </c>
      <c r="R471" s="13" t="s">
        <v>641</v>
      </c>
      <c r="S471" s="13" t="s">
        <v>641</v>
      </c>
      <c r="T471" s="13" t="s">
        <v>641</v>
      </c>
    </row>
    <row r="472" customFormat="1" spans="1:20">
      <c r="A472" s="109">
        <v>45748</v>
      </c>
      <c r="B472" s="109">
        <v>45777</v>
      </c>
      <c r="C472" s="13" t="s">
        <v>635</v>
      </c>
      <c r="D472" s="13" t="s">
        <v>636</v>
      </c>
      <c r="E472" s="13">
        <v>8010883</v>
      </c>
      <c r="F472" s="13" t="s">
        <v>525</v>
      </c>
      <c r="G472" s="13" t="s">
        <v>21</v>
      </c>
      <c r="H472" s="13" t="s">
        <v>20</v>
      </c>
      <c r="I472" s="13" t="s">
        <v>648</v>
      </c>
      <c r="J472" s="110">
        <v>0.75</v>
      </c>
      <c r="K472" s="111">
        <v>960</v>
      </c>
      <c r="L472" s="110">
        <v>717.7</v>
      </c>
      <c r="M472" s="13" t="s">
        <v>682</v>
      </c>
      <c r="N472" s="13" t="s">
        <v>683</v>
      </c>
      <c r="O472" s="13" t="s">
        <v>653</v>
      </c>
      <c r="P472" s="13" t="s">
        <v>648</v>
      </c>
      <c r="Q472" s="13" t="s">
        <v>671</v>
      </c>
      <c r="R472" s="13" t="s">
        <v>641</v>
      </c>
      <c r="S472" s="13" t="s">
        <v>641</v>
      </c>
      <c r="T472" s="13" t="s">
        <v>641</v>
      </c>
    </row>
    <row r="473" customFormat="1" spans="1:20">
      <c r="A473" s="109">
        <v>45748</v>
      </c>
      <c r="B473" s="109">
        <v>45777</v>
      </c>
      <c r="C473" s="13" t="s">
        <v>635</v>
      </c>
      <c r="D473" s="13" t="s">
        <v>636</v>
      </c>
      <c r="E473" s="13">
        <v>8011001</v>
      </c>
      <c r="F473" s="13" t="s">
        <v>39</v>
      </c>
      <c r="G473" s="13" t="s">
        <v>41</v>
      </c>
      <c r="H473" s="13" t="s">
        <v>40</v>
      </c>
      <c r="I473" s="13" t="s">
        <v>648</v>
      </c>
      <c r="J473" s="110">
        <v>0.19</v>
      </c>
      <c r="K473" s="111">
        <v>10000</v>
      </c>
      <c r="L473" s="110">
        <v>1929.76</v>
      </c>
      <c r="M473" s="13" t="s">
        <v>694</v>
      </c>
      <c r="N473" s="13" t="s">
        <v>695</v>
      </c>
      <c r="O473" s="13" t="s">
        <v>653</v>
      </c>
      <c r="P473" s="13" t="s">
        <v>648</v>
      </c>
      <c r="Q473" s="13" t="s">
        <v>671</v>
      </c>
      <c r="R473" s="13" t="s">
        <v>641</v>
      </c>
      <c r="S473" s="13" t="s">
        <v>641</v>
      </c>
      <c r="T473" s="13" t="s">
        <v>641</v>
      </c>
    </row>
    <row r="474" customFormat="1" spans="1:20">
      <c r="A474" s="109">
        <v>45748</v>
      </c>
      <c r="B474" s="109">
        <v>45777</v>
      </c>
      <c r="C474" s="13" t="s">
        <v>635</v>
      </c>
      <c r="D474" s="13" t="s">
        <v>636</v>
      </c>
      <c r="E474" s="13">
        <v>8011286</v>
      </c>
      <c r="F474" s="13" t="s">
        <v>19</v>
      </c>
      <c r="G474" s="13" t="s">
        <v>21</v>
      </c>
      <c r="H474" s="13" t="s">
        <v>20</v>
      </c>
      <c r="I474" s="13" t="s">
        <v>648</v>
      </c>
      <c r="J474" s="110">
        <v>0.48</v>
      </c>
      <c r="K474" s="111">
        <v>5400</v>
      </c>
      <c r="L474" s="110">
        <v>2607.27</v>
      </c>
      <c r="M474" s="13" t="s">
        <v>659</v>
      </c>
      <c r="N474" s="13" t="s">
        <v>660</v>
      </c>
      <c r="O474" s="13" t="s">
        <v>653</v>
      </c>
      <c r="P474" s="13" t="s">
        <v>648</v>
      </c>
      <c r="Q474" s="13" t="s">
        <v>671</v>
      </c>
      <c r="R474" s="13" t="s">
        <v>641</v>
      </c>
      <c r="S474" s="13" t="s">
        <v>641</v>
      </c>
      <c r="T474" s="13" t="s">
        <v>641</v>
      </c>
    </row>
    <row r="475" customFormat="1" spans="1:20">
      <c r="A475" s="109">
        <v>45748</v>
      </c>
      <c r="B475" s="109">
        <v>45777</v>
      </c>
      <c r="C475" s="13" t="s">
        <v>635</v>
      </c>
      <c r="D475" s="13" t="s">
        <v>636</v>
      </c>
      <c r="E475" s="13">
        <v>8011398</v>
      </c>
      <c r="F475" s="13" t="s">
        <v>739</v>
      </c>
      <c r="G475" s="13" t="s">
        <v>21</v>
      </c>
      <c r="H475" s="13" t="s">
        <v>20</v>
      </c>
      <c r="I475" s="13" t="s">
        <v>648</v>
      </c>
      <c r="J475" s="110">
        <v>0.02</v>
      </c>
      <c r="K475" s="111">
        <v>2000</v>
      </c>
      <c r="L475" s="110">
        <v>35.01</v>
      </c>
      <c r="M475" s="13" t="s">
        <v>659</v>
      </c>
      <c r="N475" s="13" t="s">
        <v>660</v>
      </c>
      <c r="O475" s="13" t="s">
        <v>653</v>
      </c>
      <c r="P475" s="13" t="s">
        <v>648</v>
      </c>
      <c r="Q475" s="13" t="s">
        <v>671</v>
      </c>
      <c r="R475" s="13" t="s">
        <v>641</v>
      </c>
      <c r="S475" s="13" t="s">
        <v>641</v>
      </c>
      <c r="T475" s="13" t="s">
        <v>641</v>
      </c>
    </row>
    <row r="476" customFormat="1" spans="1:20">
      <c r="A476" s="109">
        <v>45748</v>
      </c>
      <c r="B476" s="109">
        <v>45777</v>
      </c>
      <c r="C476" s="13" t="s">
        <v>635</v>
      </c>
      <c r="D476" s="13" t="s">
        <v>636</v>
      </c>
      <c r="E476" s="13">
        <v>8011401</v>
      </c>
      <c r="F476" s="13" t="s">
        <v>27</v>
      </c>
      <c r="G476" s="13" t="s">
        <v>21</v>
      </c>
      <c r="H476" s="13" t="s">
        <v>20</v>
      </c>
      <c r="I476" s="13" t="s">
        <v>648</v>
      </c>
      <c r="J476" s="110">
        <v>0.25</v>
      </c>
      <c r="K476" s="111">
        <v>1500</v>
      </c>
      <c r="L476" s="110">
        <v>378.13</v>
      </c>
      <c r="M476" s="13" t="s">
        <v>659</v>
      </c>
      <c r="N476" s="13" t="s">
        <v>660</v>
      </c>
      <c r="O476" s="13" t="s">
        <v>653</v>
      </c>
      <c r="P476" s="13" t="s">
        <v>648</v>
      </c>
      <c r="Q476" s="13" t="s">
        <v>671</v>
      </c>
      <c r="R476" s="13" t="s">
        <v>641</v>
      </c>
      <c r="S476" s="13" t="s">
        <v>641</v>
      </c>
      <c r="T476" s="13" t="s">
        <v>641</v>
      </c>
    </row>
    <row r="477" customFormat="1" spans="1:20">
      <c r="A477" s="109">
        <v>45748</v>
      </c>
      <c r="B477" s="109">
        <v>45777</v>
      </c>
      <c r="C477" s="13" t="s">
        <v>635</v>
      </c>
      <c r="D477" s="13" t="s">
        <v>636</v>
      </c>
      <c r="E477" s="13">
        <v>8011411</v>
      </c>
      <c r="F477" s="13" t="s">
        <v>161</v>
      </c>
      <c r="G477" s="13" t="s">
        <v>67</v>
      </c>
      <c r="H477" s="13" t="s">
        <v>66</v>
      </c>
      <c r="I477" s="13" t="s">
        <v>648</v>
      </c>
      <c r="J477" s="110">
        <v>0.68</v>
      </c>
      <c r="K477" s="111">
        <v>240</v>
      </c>
      <c r="L477" s="110">
        <v>162.56</v>
      </c>
      <c r="M477" s="13" t="s">
        <v>659</v>
      </c>
      <c r="N477" s="13" t="s">
        <v>660</v>
      </c>
      <c r="O477" s="13" t="s">
        <v>653</v>
      </c>
      <c r="P477" s="13" t="s">
        <v>648</v>
      </c>
      <c r="Q477" s="13" t="s">
        <v>671</v>
      </c>
      <c r="R477" s="13" t="s">
        <v>641</v>
      </c>
      <c r="S477" s="13" t="s">
        <v>641</v>
      </c>
      <c r="T477" s="13" t="s">
        <v>641</v>
      </c>
    </row>
    <row r="478" customFormat="1" spans="1:20">
      <c r="A478" s="109">
        <v>45748</v>
      </c>
      <c r="B478" s="109">
        <v>45777</v>
      </c>
      <c r="C478" s="13" t="s">
        <v>635</v>
      </c>
      <c r="D478" s="13" t="s">
        <v>636</v>
      </c>
      <c r="E478" s="13">
        <v>8011414</v>
      </c>
      <c r="F478" s="13" t="s">
        <v>95</v>
      </c>
      <c r="G478" s="13" t="s">
        <v>97</v>
      </c>
      <c r="H478" s="13" t="s">
        <v>96</v>
      </c>
      <c r="I478" s="13" t="s">
        <v>648</v>
      </c>
      <c r="J478" s="110">
        <v>0.01</v>
      </c>
      <c r="K478" s="111">
        <v>4252</v>
      </c>
      <c r="L478" s="110">
        <v>42.71</v>
      </c>
      <c r="M478" s="13" t="s">
        <v>674</v>
      </c>
      <c r="N478" s="13" t="s">
        <v>675</v>
      </c>
      <c r="O478" s="13" t="s">
        <v>653</v>
      </c>
      <c r="P478" s="13" t="s">
        <v>648</v>
      </c>
      <c r="Q478" s="13" t="s">
        <v>671</v>
      </c>
      <c r="R478" s="13" t="s">
        <v>641</v>
      </c>
      <c r="S478" s="13" t="s">
        <v>641</v>
      </c>
      <c r="T478" s="13" t="s">
        <v>641</v>
      </c>
    </row>
    <row r="479" customFormat="1" spans="1:20">
      <c r="A479" s="109">
        <v>45748</v>
      </c>
      <c r="B479" s="109">
        <v>45777</v>
      </c>
      <c r="C479" s="13" t="s">
        <v>635</v>
      </c>
      <c r="D479" s="13" t="s">
        <v>636</v>
      </c>
      <c r="E479" s="13">
        <v>8011445</v>
      </c>
      <c r="F479" s="13" t="s">
        <v>352</v>
      </c>
      <c r="G479" s="13" t="s">
        <v>30</v>
      </c>
      <c r="H479" s="13" t="s">
        <v>29</v>
      </c>
      <c r="I479" s="13" t="s">
        <v>648</v>
      </c>
      <c r="J479" s="110">
        <v>0.01</v>
      </c>
      <c r="K479" s="111">
        <v>18000</v>
      </c>
      <c r="L479" s="110">
        <v>102.59</v>
      </c>
      <c r="M479" s="13" t="s">
        <v>659</v>
      </c>
      <c r="N479" s="13" t="s">
        <v>660</v>
      </c>
      <c r="O479" s="13" t="s">
        <v>653</v>
      </c>
      <c r="P479" s="13" t="s">
        <v>648</v>
      </c>
      <c r="Q479" s="13" t="s">
        <v>671</v>
      </c>
      <c r="R479" s="13" t="s">
        <v>641</v>
      </c>
      <c r="S479" s="13" t="s">
        <v>641</v>
      </c>
      <c r="T479" s="13" t="s">
        <v>641</v>
      </c>
    </row>
    <row r="480" customFormat="1" spans="1:20">
      <c r="A480" s="109">
        <v>45748</v>
      </c>
      <c r="B480" s="109">
        <v>45777</v>
      </c>
      <c r="C480" s="13" t="s">
        <v>635</v>
      </c>
      <c r="D480" s="13" t="s">
        <v>636</v>
      </c>
      <c r="E480" s="13">
        <v>8011495</v>
      </c>
      <c r="F480" s="13" t="s">
        <v>252</v>
      </c>
      <c r="G480" s="13" t="s">
        <v>21</v>
      </c>
      <c r="H480" s="13" t="s">
        <v>20</v>
      </c>
      <c r="I480" s="13" t="s">
        <v>648</v>
      </c>
      <c r="J480" s="110">
        <v>0.55</v>
      </c>
      <c r="K480" s="111">
        <v>100</v>
      </c>
      <c r="L480" s="110">
        <v>55.3</v>
      </c>
      <c r="M480" s="13" t="s">
        <v>67</v>
      </c>
      <c r="N480" s="13" t="s">
        <v>740</v>
      </c>
      <c r="O480" s="13" t="s">
        <v>653</v>
      </c>
      <c r="P480" s="13" t="s">
        <v>648</v>
      </c>
      <c r="Q480" s="13" t="s">
        <v>709</v>
      </c>
      <c r="R480" s="13" t="s">
        <v>641</v>
      </c>
      <c r="S480" s="13" t="s">
        <v>726</v>
      </c>
      <c r="T480" s="13" t="s">
        <v>641</v>
      </c>
    </row>
    <row r="481" customFormat="1" spans="1:20">
      <c r="A481" s="109">
        <v>45748</v>
      </c>
      <c r="B481" s="109">
        <v>45777</v>
      </c>
      <c r="C481" s="13" t="s">
        <v>635</v>
      </c>
      <c r="D481" s="13" t="s">
        <v>636</v>
      </c>
      <c r="E481" s="13">
        <v>8011496</v>
      </c>
      <c r="F481" s="13" t="s">
        <v>463</v>
      </c>
      <c r="G481" s="13" t="s">
        <v>21</v>
      </c>
      <c r="H481" s="13" t="s">
        <v>20</v>
      </c>
      <c r="I481" s="13" t="s">
        <v>648</v>
      </c>
      <c r="J481" s="110">
        <v>0.34</v>
      </c>
      <c r="K481" s="111">
        <v>400</v>
      </c>
      <c r="L481" s="110">
        <v>134.81</v>
      </c>
      <c r="M481" s="13" t="s">
        <v>659</v>
      </c>
      <c r="N481" s="13" t="s">
        <v>660</v>
      </c>
      <c r="O481" s="13" t="s">
        <v>653</v>
      </c>
      <c r="P481" s="13" t="s">
        <v>648</v>
      </c>
      <c r="Q481" s="13" t="s">
        <v>709</v>
      </c>
      <c r="R481" s="13" t="s">
        <v>641</v>
      </c>
      <c r="S481" s="13" t="s">
        <v>641</v>
      </c>
      <c r="T481" s="13" t="s">
        <v>641</v>
      </c>
    </row>
    <row r="482" customFormat="1" spans="1:20">
      <c r="A482" s="109">
        <v>45748</v>
      </c>
      <c r="B482" s="109">
        <v>45777</v>
      </c>
      <c r="C482" s="13" t="s">
        <v>635</v>
      </c>
      <c r="D482" s="13" t="s">
        <v>636</v>
      </c>
      <c r="E482" s="13">
        <v>8011728</v>
      </c>
      <c r="F482" s="13" t="s">
        <v>600</v>
      </c>
      <c r="G482" s="13" t="s">
        <v>26</v>
      </c>
      <c r="H482" s="13" t="s">
        <v>25</v>
      </c>
      <c r="I482" s="13" t="s">
        <v>648</v>
      </c>
      <c r="J482" s="110">
        <v>136.05</v>
      </c>
      <c r="K482" s="111">
        <v>3</v>
      </c>
      <c r="L482" s="110">
        <v>408.14</v>
      </c>
      <c r="M482" s="13" t="s">
        <v>67</v>
      </c>
      <c r="N482" s="13" t="s">
        <v>740</v>
      </c>
      <c r="O482" s="13" t="s">
        <v>653</v>
      </c>
      <c r="P482" s="13" t="s">
        <v>648</v>
      </c>
      <c r="Q482" s="13" t="s">
        <v>709</v>
      </c>
      <c r="R482" s="13" t="s">
        <v>641</v>
      </c>
      <c r="S482" s="13" t="s">
        <v>724</v>
      </c>
      <c r="T482" s="13" t="s">
        <v>641</v>
      </c>
    </row>
    <row r="483" customFormat="1" spans="1:20">
      <c r="A483" s="109">
        <v>45748</v>
      </c>
      <c r="B483" s="109">
        <v>45777</v>
      </c>
      <c r="C483" s="13" t="s">
        <v>635</v>
      </c>
      <c r="D483" s="13" t="s">
        <v>636</v>
      </c>
      <c r="E483" s="13">
        <v>8012346</v>
      </c>
      <c r="F483" s="13" t="s">
        <v>242</v>
      </c>
      <c r="G483" s="13" t="s">
        <v>21</v>
      </c>
      <c r="H483" s="13" t="s">
        <v>20</v>
      </c>
      <c r="I483" s="13" t="s">
        <v>648</v>
      </c>
      <c r="J483" s="110">
        <v>0.08</v>
      </c>
      <c r="K483" s="111">
        <v>1200</v>
      </c>
      <c r="L483" s="110">
        <v>93.88</v>
      </c>
      <c r="M483" s="13" t="s">
        <v>682</v>
      </c>
      <c r="N483" s="13" t="s">
        <v>683</v>
      </c>
      <c r="O483" s="13" t="s">
        <v>653</v>
      </c>
      <c r="P483" s="13" t="s">
        <v>648</v>
      </c>
      <c r="Q483" s="13" t="s">
        <v>671</v>
      </c>
      <c r="R483" s="13" t="s">
        <v>641</v>
      </c>
      <c r="S483" s="13" t="s">
        <v>641</v>
      </c>
      <c r="T483" s="13" t="s">
        <v>641</v>
      </c>
    </row>
    <row r="484" customFormat="1" spans="1:20">
      <c r="A484" s="109">
        <v>45748</v>
      </c>
      <c r="B484" s="109">
        <v>45777</v>
      </c>
      <c r="C484" s="13" t="s">
        <v>635</v>
      </c>
      <c r="D484" s="13" t="s">
        <v>636</v>
      </c>
      <c r="E484" s="13">
        <v>8012354</v>
      </c>
      <c r="F484" s="13" t="s">
        <v>610</v>
      </c>
      <c r="G484" s="13" t="s">
        <v>41</v>
      </c>
      <c r="H484" s="13" t="s">
        <v>40</v>
      </c>
      <c r="I484" s="13" t="s">
        <v>648</v>
      </c>
      <c r="J484" s="110">
        <v>0.04</v>
      </c>
      <c r="K484" s="111">
        <v>48000</v>
      </c>
      <c r="L484" s="110">
        <v>1733.16</v>
      </c>
      <c r="M484" s="13" t="s">
        <v>659</v>
      </c>
      <c r="N484" s="13" t="s">
        <v>660</v>
      </c>
      <c r="O484" s="13" t="s">
        <v>653</v>
      </c>
      <c r="P484" s="13" t="s">
        <v>648</v>
      </c>
      <c r="Q484" s="13" t="s">
        <v>671</v>
      </c>
      <c r="R484" s="13" t="s">
        <v>641</v>
      </c>
      <c r="S484" s="13" t="s">
        <v>641</v>
      </c>
      <c r="T484" s="13" t="s">
        <v>641</v>
      </c>
    </row>
    <row r="485" customFormat="1" spans="1:20">
      <c r="A485" s="109">
        <v>45748</v>
      </c>
      <c r="B485" s="109">
        <v>45777</v>
      </c>
      <c r="C485" s="13" t="s">
        <v>635</v>
      </c>
      <c r="D485" s="13" t="s">
        <v>636</v>
      </c>
      <c r="E485" s="13">
        <v>8012400</v>
      </c>
      <c r="F485" s="13" t="s">
        <v>202</v>
      </c>
      <c r="G485" s="13" t="s">
        <v>102</v>
      </c>
      <c r="H485" s="13" t="s">
        <v>101</v>
      </c>
      <c r="I485" s="13" t="s">
        <v>648</v>
      </c>
      <c r="J485" s="110">
        <v>11.48</v>
      </c>
      <c r="K485" s="111">
        <v>5</v>
      </c>
      <c r="L485" s="110">
        <v>57.42</v>
      </c>
      <c r="M485" s="13" t="s">
        <v>694</v>
      </c>
      <c r="N485" s="13" t="s">
        <v>695</v>
      </c>
      <c r="O485" s="13" t="s">
        <v>653</v>
      </c>
      <c r="P485" s="13" t="s">
        <v>648</v>
      </c>
      <c r="Q485" s="13" t="s">
        <v>696</v>
      </c>
      <c r="R485" s="13" t="s">
        <v>641</v>
      </c>
      <c r="S485" s="13" t="s">
        <v>726</v>
      </c>
      <c r="T485" s="13" t="s">
        <v>641</v>
      </c>
    </row>
    <row r="486" customFormat="1" spans="1:20">
      <c r="A486" s="109">
        <v>45748</v>
      </c>
      <c r="B486" s="109">
        <v>45777</v>
      </c>
      <c r="C486" s="13" t="s">
        <v>635</v>
      </c>
      <c r="D486" s="13" t="s">
        <v>636</v>
      </c>
      <c r="E486" s="13">
        <v>8012401</v>
      </c>
      <c r="F486" s="13" t="s">
        <v>198</v>
      </c>
      <c r="G486" s="13" t="s">
        <v>102</v>
      </c>
      <c r="H486" s="13" t="s">
        <v>101</v>
      </c>
      <c r="I486" s="13" t="s">
        <v>648</v>
      </c>
      <c r="J486" s="110">
        <v>11.48</v>
      </c>
      <c r="K486" s="111">
        <v>5</v>
      </c>
      <c r="L486" s="110">
        <v>57.42</v>
      </c>
      <c r="M486" s="13" t="s">
        <v>694</v>
      </c>
      <c r="N486" s="13" t="s">
        <v>695</v>
      </c>
      <c r="O486" s="13" t="s">
        <v>653</v>
      </c>
      <c r="P486" s="13" t="s">
        <v>648</v>
      </c>
      <c r="Q486" s="13" t="s">
        <v>696</v>
      </c>
      <c r="R486" s="13" t="s">
        <v>641</v>
      </c>
      <c r="S486" s="13" t="s">
        <v>726</v>
      </c>
      <c r="T486" s="13" t="s">
        <v>641</v>
      </c>
    </row>
    <row r="487" customFormat="1" spans="1:20">
      <c r="A487" s="109">
        <v>45748</v>
      </c>
      <c r="B487" s="109">
        <v>45777</v>
      </c>
      <c r="C487" s="13" t="s">
        <v>635</v>
      </c>
      <c r="D487" s="13" t="s">
        <v>636</v>
      </c>
      <c r="E487" s="13">
        <v>8012404</v>
      </c>
      <c r="F487" s="13" t="s">
        <v>196</v>
      </c>
      <c r="G487" s="13" t="s">
        <v>102</v>
      </c>
      <c r="H487" s="13" t="s">
        <v>101</v>
      </c>
      <c r="I487" s="13" t="s">
        <v>648</v>
      </c>
      <c r="J487" s="110">
        <v>11.48</v>
      </c>
      <c r="K487" s="111">
        <v>5</v>
      </c>
      <c r="L487" s="110">
        <v>57.42</v>
      </c>
      <c r="M487" s="13" t="s">
        <v>694</v>
      </c>
      <c r="N487" s="13" t="s">
        <v>695</v>
      </c>
      <c r="O487" s="13" t="s">
        <v>653</v>
      </c>
      <c r="P487" s="13" t="s">
        <v>648</v>
      </c>
      <c r="Q487" s="13" t="s">
        <v>696</v>
      </c>
      <c r="R487" s="13" t="s">
        <v>641</v>
      </c>
      <c r="S487" s="13" t="s">
        <v>726</v>
      </c>
      <c r="T487" s="13" t="s">
        <v>641</v>
      </c>
    </row>
    <row r="488" customFormat="1" spans="1:20">
      <c r="A488" s="109">
        <v>45748</v>
      </c>
      <c r="B488" s="109">
        <v>45777</v>
      </c>
      <c r="C488" s="13" t="s">
        <v>635</v>
      </c>
      <c r="D488" s="13" t="s">
        <v>636</v>
      </c>
      <c r="E488" s="13">
        <v>8012405</v>
      </c>
      <c r="F488" s="13" t="s">
        <v>195</v>
      </c>
      <c r="G488" s="13" t="s">
        <v>102</v>
      </c>
      <c r="H488" s="13" t="s">
        <v>101</v>
      </c>
      <c r="I488" s="13" t="s">
        <v>648</v>
      </c>
      <c r="J488" s="110">
        <v>11.48</v>
      </c>
      <c r="K488" s="111">
        <v>5</v>
      </c>
      <c r="L488" s="110">
        <v>57.42</v>
      </c>
      <c r="M488" s="13" t="s">
        <v>694</v>
      </c>
      <c r="N488" s="13" t="s">
        <v>695</v>
      </c>
      <c r="O488" s="13" t="s">
        <v>653</v>
      </c>
      <c r="P488" s="13" t="s">
        <v>648</v>
      </c>
      <c r="Q488" s="13" t="s">
        <v>696</v>
      </c>
      <c r="R488" s="13" t="s">
        <v>641</v>
      </c>
      <c r="S488" s="13" t="s">
        <v>726</v>
      </c>
      <c r="T488" s="13" t="s">
        <v>641</v>
      </c>
    </row>
    <row r="489" customFormat="1" spans="1:20">
      <c r="A489" s="109">
        <v>45748</v>
      </c>
      <c r="B489" s="109">
        <v>45777</v>
      </c>
      <c r="C489" s="13" t="s">
        <v>635</v>
      </c>
      <c r="D489" s="13" t="s">
        <v>636</v>
      </c>
      <c r="E489" s="13">
        <v>8013731</v>
      </c>
      <c r="F489" s="13" t="s">
        <v>345</v>
      </c>
      <c r="G489" s="13" t="s">
        <v>21</v>
      </c>
      <c r="H489" s="13" t="s">
        <v>20</v>
      </c>
      <c r="I489" s="13" t="s">
        <v>648</v>
      </c>
      <c r="J489" s="110">
        <v>0.02</v>
      </c>
      <c r="K489" s="111">
        <v>1400</v>
      </c>
      <c r="L489" s="110">
        <v>32.68</v>
      </c>
      <c r="M489" s="13" t="s">
        <v>659</v>
      </c>
      <c r="N489" s="13" t="s">
        <v>660</v>
      </c>
      <c r="O489" s="13" t="s">
        <v>653</v>
      </c>
      <c r="P489" s="13" t="s">
        <v>648</v>
      </c>
      <c r="Q489" s="13" t="s">
        <v>671</v>
      </c>
      <c r="R489" s="13" t="s">
        <v>641</v>
      </c>
      <c r="S489" s="13" t="s">
        <v>641</v>
      </c>
      <c r="T489" s="13" t="s">
        <v>641</v>
      </c>
    </row>
    <row r="490" customFormat="1" spans="1:20">
      <c r="A490" s="109">
        <v>45748</v>
      </c>
      <c r="B490" s="109">
        <v>45777</v>
      </c>
      <c r="C490" s="13" t="s">
        <v>635</v>
      </c>
      <c r="D490" s="13" t="s">
        <v>636</v>
      </c>
      <c r="E490" s="13">
        <v>8013732</v>
      </c>
      <c r="F490" s="13" t="s">
        <v>741</v>
      </c>
      <c r="G490" s="13" t="s">
        <v>21</v>
      </c>
      <c r="H490" s="13" t="s">
        <v>20</v>
      </c>
      <c r="I490" s="13" t="s">
        <v>648</v>
      </c>
      <c r="J490" s="110">
        <v>0.02</v>
      </c>
      <c r="K490" s="111">
        <v>2000</v>
      </c>
      <c r="L490" s="110">
        <v>37.35</v>
      </c>
      <c r="M490" s="13" t="s">
        <v>659</v>
      </c>
      <c r="N490" s="13" t="s">
        <v>660</v>
      </c>
      <c r="O490" s="13" t="s">
        <v>653</v>
      </c>
      <c r="P490" s="13" t="s">
        <v>648</v>
      </c>
      <c r="Q490" s="13" t="s">
        <v>671</v>
      </c>
      <c r="R490" s="13" t="s">
        <v>641</v>
      </c>
      <c r="S490" s="13" t="s">
        <v>641</v>
      </c>
      <c r="T490" s="13" t="s">
        <v>641</v>
      </c>
    </row>
    <row r="491" customFormat="1" spans="1:20">
      <c r="A491" s="109">
        <v>45748</v>
      </c>
      <c r="B491" s="109">
        <v>45777</v>
      </c>
      <c r="C491" s="13" t="s">
        <v>635</v>
      </c>
      <c r="D491" s="13" t="s">
        <v>636</v>
      </c>
      <c r="E491" s="13">
        <v>8014497</v>
      </c>
      <c r="F491" s="13" t="s">
        <v>742</v>
      </c>
      <c r="G491" s="13" t="s">
        <v>21</v>
      </c>
      <c r="H491" s="13" t="s">
        <v>20</v>
      </c>
      <c r="I491" s="13" t="s">
        <v>648</v>
      </c>
      <c r="J491" s="110">
        <v>0.81</v>
      </c>
      <c r="K491" s="111">
        <v>850</v>
      </c>
      <c r="L491" s="110">
        <v>687.48</v>
      </c>
      <c r="M491" s="13" t="s">
        <v>67</v>
      </c>
      <c r="N491" s="13" t="s">
        <v>740</v>
      </c>
      <c r="O491" s="13" t="s">
        <v>653</v>
      </c>
      <c r="P491" s="13" t="s">
        <v>648</v>
      </c>
      <c r="Q491" s="13" t="s">
        <v>709</v>
      </c>
      <c r="R491" s="13" t="s">
        <v>641</v>
      </c>
      <c r="S491" s="13" t="s">
        <v>641</v>
      </c>
      <c r="T491" s="13" t="s">
        <v>641</v>
      </c>
    </row>
    <row r="492" customFormat="1" spans="1:20">
      <c r="A492" s="109">
        <v>45748</v>
      </c>
      <c r="B492" s="109">
        <v>45777</v>
      </c>
      <c r="C492" s="13" t="s">
        <v>635</v>
      </c>
      <c r="D492" s="13" t="s">
        <v>636</v>
      </c>
      <c r="E492" s="13">
        <v>8014499</v>
      </c>
      <c r="F492" s="13" t="s">
        <v>743</v>
      </c>
      <c r="G492" s="13" t="s">
        <v>21</v>
      </c>
      <c r="H492" s="13" t="s">
        <v>20</v>
      </c>
      <c r="I492" s="13" t="s">
        <v>648</v>
      </c>
      <c r="J492" s="110">
        <v>0.81</v>
      </c>
      <c r="K492" s="111">
        <v>2000</v>
      </c>
      <c r="L492" s="110">
        <v>1617.61</v>
      </c>
      <c r="M492" s="13" t="s">
        <v>67</v>
      </c>
      <c r="N492" s="13" t="s">
        <v>740</v>
      </c>
      <c r="O492" s="13" t="s">
        <v>653</v>
      </c>
      <c r="P492" s="13" t="s">
        <v>648</v>
      </c>
      <c r="Q492" s="13" t="s">
        <v>709</v>
      </c>
      <c r="R492" s="13" t="s">
        <v>641</v>
      </c>
      <c r="S492" s="13" t="s">
        <v>641</v>
      </c>
      <c r="T492" s="13" t="s">
        <v>641</v>
      </c>
    </row>
    <row r="493" customFormat="1" spans="1:20">
      <c r="A493" s="109">
        <v>45748</v>
      </c>
      <c r="B493" s="109">
        <v>45777</v>
      </c>
      <c r="C493" s="13" t="s">
        <v>635</v>
      </c>
      <c r="D493" s="13" t="s">
        <v>636</v>
      </c>
      <c r="E493" s="13">
        <v>8014500</v>
      </c>
      <c r="F493" s="13" t="s">
        <v>578</v>
      </c>
      <c r="G493" s="13" t="s">
        <v>21</v>
      </c>
      <c r="H493" s="13" t="s">
        <v>20</v>
      </c>
      <c r="I493" s="13" t="s">
        <v>648</v>
      </c>
      <c r="J493" s="110">
        <v>0.81</v>
      </c>
      <c r="K493" s="111">
        <v>1550</v>
      </c>
      <c r="L493" s="110">
        <v>1253.66</v>
      </c>
      <c r="M493" s="13" t="s">
        <v>67</v>
      </c>
      <c r="N493" s="13" t="s">
        <v>740</v>
      </c>
      <c r="O493" s="13" t="s">
        <v>653</v>
      </c>
      <c r="P493" s="13" t="s">
        <v>648</v>
      </c>
      <c r="Q493" s="13" t="s">
        <v>709</v>
      </c>
      <c r="R493" s="13" t="s">
        <v>641</v>
      </c>
      <c r="S493" s="13" t="s">
        <v>641</v>
      </c>
      <c r="T493" s="13" t="s">
        <v>641</v>
      </c>
    </row>
    <row r="494" customFormat="1" spans="1:20">
      <c r="A494" s="109">
        <v>45748</v>
      </c>
      <c r="B494" s="109">
        <v>45777</v>
      </c>
      <c r="C494" s="13" t="s">
        <v>635</v>
      </c>
      <c r="D494" s="13" t="s">
        <v>636</v>
      </c>
      <c r="E494" s="13">
        <v>8014686</v>
      </c>
      <c r="F494" s="13" t="s">
        <v>22</v>
      </c>
      <c r="G494" s="13" t="s">
        <v>21</v>
      </c>
      <c r="H494" s="13" t="s">
        <v>20</v>
      </c>
      <c r="I494" s="13" t="s">
        <v>648</v>
      </c>
      <c r="J494" s="110">
        <v>8.39</v>
      </c>
      <c r="K494" s="111">
        <v>30</v>
      </c>
      <c r="L494" s="110">
        <v>251.84</v>
      </c>
      <c r="M494" s="13" t="s">
        <v>403</v>
      </c>
      <c r="N494" s="13" t="s">
        <v>744</v>
      </c>
      <c r="O494" s="13" t="s">
        <v>653</v>
      </c>
      <c r="P494" s="13" t="s">
        <v>648</v>
      </c>
      <c r="Q494" s="13" t="s">
        <v>709</v>
      </c>
      <c r="R494" s="13" t="s">
        <v>641</v>
      </c>
      <c r="S494" s="13" t="s">
        <v>641</v>
      </c>
      <c r="T494" s="13" t="s">
        <v>641</v>
      </c>
    </row>
    <row r="495" customFormat="1" spans="1:20">
      <c r="A495" s="109">
        <v>45748</v>
      </c>
      <c r="B495" s="109">
        <v>45777</v>
      </c>
      <c r="C495" s="13" t="s">
        <v>635</v>
      </c>
      <c r="D495" s="13" t="s">
        <v>636</v>
      </c>
      <c r="E495" s="13">
        <v>8014688</v>
      </c>
      <c r="F495" s="13" t="s">
        <v>745</v>
      </c>
      <c r="G495" s="13" t="s">
        <v>21</v>
      </c>
      <c r="H495" s="13" t="s">
        <v>20</v>
      </c>
      <c r="I495" s="13" t="s">
        <v>648</v>
      </c>
      <c r="J495" s="110">
        <v>31.87</v>
      </c>
      <c r="K495" s="111">
        <v>10</v>
      </c>
      <c r="L495" s="110">
        <v>318.69</v>
      </c>
      <c r="M495" s="13" t="s">
        <v>659</v>
      </c>
      <c r="N495" s="13" t="s">
        <v>660</v>
      </c>
      <c r="O495" s="13" t="s">
        <v>653</v>
      </c>
      <c r="P495" s="13" t="s">
        <v>648</v>
      </c>
      <c r="Q495" s="13" t="s">
        <v>709</v>
      </c>
      <c r="R495" s="13" t="s">
        <v>641</v>
      </c>
      <c r="S495" s="13" t="s">
        <v>641</v>
      </c>
      <c r="T495" s="13" t="s">
        <v>641</v>
      </c>
    </row>
    <row r="496" customFormat="1" spans="1:20">
      <c r="A496" s="109">
        <v>45748</v>
      </c>
      <c r="B496" s="109">
        <v>45777</v>
      </c>
      <c r="C496" s="13" t="s">
        <v>635</v>
      </c>
      <c r="D496" s="13" t="s">
        <v>636</v>
      </c>
      <c r="E496" s="13">
        <v>8014689</v>
      </c>
      <c r="F496" s="13" t="s">
        <v>23</v>
      </c>
      <c r="G496" s="13" t="s">
        <v>21</v>
      </c>
      <c r="H496" s="13" t="s">
        <v>20</v>
      </c>
      <c r="I496" s="13" t="s">
        <v>648</v>
      </c>
      <c r="J496" s="110">
        <v>12.56</v>
      </c>
      <c r="K496" s="111">
        <v>10</v>
      </c>
      <c r="L496" s="110">
        <v>125.55</v>
      </c>
      <c r="M496" s="13" t="s">
        <v>67</v>
      </c>
      <c r="N496" s="13" t="s">
        <v>740</v>
      </c>
      <c r="O496" s="13" t="s">
        <v>653</v>
      </c>
      <c r="P496" s="13" t="s">
        <v>648</v>
      </c>
      <c r="Q496" s="13" t="s">
        <v>709</v>
      </c>
      <c r="R496" s="13" t="s">
        <v>641</v>
      </c>
      <c r="S496" s="13" t="s">
        <v>641</v>
      </c>
      <c r="T496" s="13" t="s">
        <v>641</v>
      </c>
    </row>
    <row r="497" customFormat="1" spans="1:20">
      <c r="A497" s="109">
        <v>45748</v>
      </c>
      <c r="B497" s="109">
        <v>45777</v>
      </c>
      <c r="C497" s="13" t="s">
        <v>635</v>
      </c>
      <c r="D497" s="13" t="s">
        <v>636</v>
      </c>
      <c r="E497" s="13">
        <v>8014690</v>
      </c>
      <c r="F497" s="13" t="s">
        <v>746</v>
      </c>
      <c r="G497" s="13" t="s">
        <v>21</v>
      </c>
      <c r="H497" s="13" t="s">
        <v>20</v>
      </c>
      <c r="I497" s="13" t="s">
        <v>648</v>
      </c>
      <c r="J497" s="110">
        <v>9.66</v>
      </c>
      <c r="K497" s="111">
        <v>30</v>
      </c>
      <c r="L497" s="110">
        <v>289.72</v>
      </c>
      <c r="M497" s="13" t="s">
        <v>30</v>
      </c>
      <c r="N497" s="13" t="s">
        <v>655</v>
      </c>
      <c r="O497" s="13" t="s">
        <v>653</v>
      </c>
      <c r="P497" s="13" t="s">
        <v>648</v>
      </c>
      <c r="Q497" s="13" t="s">
        <v>709</v>
      </c>
      <c r="R497" s="13" t="s">
        <v>641</v>
      </c>
      <c r="S497" s="13" t="s">
        <v>641</v>
      </c>
      <c r="T497" s="13" t="s">
        <v>641</v>
      </c>
    </row>
    <row r="498" customFormat="1" spans="1:20">
      <c r="A498" s="109">
        <v>45748</v>
      </c>
      <c r="B498" s="109">
        <v>45777</v>
      </c>
      <c r="C498" s="13" t="s">
        <v>635</v>
      </c>
      <c r="D498" s="13" t="s">
        <v>636</v>
      </c>
      <c r="E498" s="13">
        <v>8014691</v>
      </c>
      <c r="F498" s="13" t="s">
        <v>747</v>
      </c>
      <c r="G498" s="13" t="s">
        <v>21</v>
      </c>
      <c r="H498" s="13" t="s">
        <v>20</v>
      </c>
      <c r="I498" s="13" t="s">
        <v>648</v>
      </c>
      <c r="J498" s="110">
        <v>11.4</v>
      </c>
      <c r="K498" s="111">
        <v>10</v>
      </c>
      <c r="L498" s="110">
        <v>114.04</v>
      </c>
      <c r="M498" s="13" t="s">
        <v>659</v>
      </c>
      <c r="N498" s="13" t="s">
        <v>660</v>
      </c>
      <c r="O498" s="13" t="s">
        <v>653</v>
      </c>
      <c r="P498" s="13" t="s">
        <v>648</v>
      </c>
      <c r="Q498" s="13" t="s">
        <v>709</v>
      </c>
      <c r="R498" s="13" t="s">
        <v>641</v>
      </c>
      <c r="S498" s="13" t="s">
        <v>641</v>
      </c>
      <c r="T498" s="13" t="s">
        <v>641</v>
      </c>
    </row>
    <row r="499" customFormat="1" spans="1:20">
      <c r="A499" s="109">
        <v>45748</v>
      </c>
      <c r="B499" s="109">
        <v>45777</v>
      </c>
      <c r="C499" s="13" t="s">
        <v>635</v>
      </c>
      <c r="D499" s="13" t="s">
        <v>636</v>
      </c>
      <c r="E499" s="13">
        <v>8703791</v>
      </c>
      <c r="F499" s="13" t="s">
        <v>251</v>
      </c>
      <c r="G499" s="13" t="s">
        <v>21</v>
      </c>
      <c r="H499" s="13" t="s">
        <v>20</v>
      </c>
      <c r="I499" s="13" t="s">
        <v>648</v>
      </c>
      <c r="J499" s="110">
        <v>0.04</v>
      </c>
      <c r="K499" s="111">
        <v>2000</v>
      </c>
      <c r="L499" s="110">
        <v>70.52</v>
      </c>
      <c r="M499" s="13" t="s">
        <v>659</v>
      </c>
      <c r="N499" s="13" t="s">
        <v>660</v>
      </c>
      <c r="O499" s="13" t="s">
        <v>653</v>
      </c>
      <c r="P499" s="13" t="s">
        <v>648</v>
      </c>
      <c r="Q499" s="13" t="s">
        <v>671</v>
      </c>
      <c r="R499" s="13" t="s">
        <v>641</v>
      </c>
      <c r="S499" s="13" t="s">
        <v>641</v>
      </c>
      <c r="T499" s="13" t="s">
        <v>641</v>
      </c>
    </row>
    <row r="500" customFormat="1" spans="1:20">
      <c r="A500" s="109">
        <v>45748</v>
      </c>
      <c r="B500" s="109">
        <v>45777</v>
      </c>
      <c r="C500" s="13" t="s">
        <v>635</v>
      </c>
      <c r="D500" s="13" t="s">
        <v>636</v>
      </c>
      <c r="E500" s="13">
        <v>8704092</v>
      </c>
      <c r="F500" s="13" t="s">
        <v>449</v>
      </c>
      <c r="G500" s="13" t="s">
        <v>21</v>
      </c>
      <c r="H500" s="13" t="s">
        <v>20</v>
      </c>
      <c r="I500" s="13" t="s">
        <v>648</v>
      </c>
      <c r="J500" s="110">
        <v>0.21</v>
      </c>
      <c r="K500" s="111">
        <v>300</v>
      </c>
      <c r="L500" s="110">
        <v>63.59</v>
      </c>
      <c r="M500" s="13" t="s">
        <v>659</v>
      </c>
      <c r="N500" s="13" t="s">
        <v>660</v>
      </c>
      <c r="O500" s="13" t="s">
        <v>653</v>
      </c>
      <c r="P500" s="13" t="s">
        <v>648</v>
      </c>
      <c r="Q500" s="13" t="s">
        <v>671</v>
      </c>
      <c r="R500" s="13" t="s">
        <v>641</v>
      </c>
      <c r="S500" s="13" t="s">
        <v>641</v>
      </c>
      <c r="T500" s="13" t="s">
        <v>641</v>
      </c>
    </row>
    <row r="501" customFormat="1" spans="1:20">
      <c r="A501" s="109">
        <v>45748</v>
      </c>
      <c r="B501" s="109">
        <v>45777</v>
      </c>
      <c r="C501" s="13" t="s">
        <v>635</v>
      </c>
      <c r="D501" s="13" t="s">
        <v>636</v>
      </c>
      <c r="E501" s="13">
        <v>8704093</v>
      </c>
      <c r="F501" s="13" t="s">
        <v>140</v>
      </c>
      <c r="G501" s="13" t="s">
        <v>21</v>
      </c>
      <c r="H501" s="13" t="s">
        <v>20</v>
      </c>
      <c r="I501" s="13" t="s">
        <v>648</v>
      </c>
      <c r="J501" s="110">
        <v>0.06</v>
      </c>
      <c r="K501" s="111">
        <v>4000</v>
      </c>
      <c r="L501" s="110">
        <v>258.95</v>
      </c>
      <c r="M501" s="13" t="s">
        <v>659</v>
      </c>
      <c r="N501" s="13" t="s">
        <v>660</v>
      </c>
      <c r="O501" s="13" t="s">
        <v>653</v>
      </c>
      <c r="P501" s="13" t="s">
        <v>648</v>
      </c>
      <c r="Q501" s="13" t="s">
        <v>671</v>
      </c>
      <c r="R501" s="13" t="s">
        <v>641</v>
      </c>
      <c r="S501" s="13" t="s">
        <v>641</v>
      </c>
      <c r="T501" s="13" t="s">
        <v>641</v>
      </c>
    </row>
    <row r="502" customFormat="1" spans="1:20">
      <c r="A502" s="109">
        <v>45748</v>
      </c>
      <c r="B502" s="109">
        <v>45777</v>
      </c>
      <c r="C502" s="13" t="s">
        <v>635</v>
      </c>
      <c r="D502" s="13" t="s">
        <v>636</v>
      </c>
      <c r="E502" s="13">
        <v>8704095</v>
      </c>
      <c r="F502" s="13" t="s">
        <v>240</v>
      </c>
      <c r="G502" s="13" t="s">
        <v>30</v>
      </c>
      <c r="H502" s="13" t="s">
        <v>29</v>
      </c>
      <c r="I502" s="13" t="s">
        <v>648</v>
      </c>
      <c r="J502" s="110">
        <v>5.51</v>
      </c>
      <c r="K502" s="111">
        <v>9</v>
      </c>
      <c r="L502" s="110">
        <v>49.56</v>
      </c>
      <c r="M502" s="13" t="s">
        <v>674</v>
      </c>
      <c r="N502" s="13" t="s">
        <v>675</v>
      </c>
      <c r="O502" s="13" t="s">
        <v>653</v>
      </c>
      <c r="P502" s="13" t="s">
        <v>648</v>
      </c>
      <c r="Q502" s="13" t="s">
        <v>671</v>
      </c>
      <c r="R502" s="13" t="s">
        <v>641</v>
      </c>
      <c r="S502" s="13" t="s">
        <v>641</v>
      </c>
      <c r="T502" s="13" t="s">
        <v>641</v>
      </c>
    </row>
    <row r="503" customFormat="1" spans="1:20">
      <c r="A503" s="109">
        <v>45748</v>
      </c>
      <c r="B503" s="109">
        <v>45777</v>
      </c>
      <c r="C503" s="13" t="s">
        <v>635</v>
      </c>
      <c r="D503" s="13" t="s">
        <v>636</v>
      </c>
      <c r="E503" s="13">
        <v>8704096</v>
      </c>
      <c r="F503" s="13" t="s">
        <v>28</v>
      </c>
      <c r="G503" s="13" t="s">
        <v>30</v>
      </c>
      <c r="H503" s="13" t="s">
        <v>29</v>
      </c>
      <c r="I503" s="13" t="s">
        <v>648</v>
      </c>
      <c r="J503" s="110">
        <v>4.16</v>
      </c>
      <c r="K503" s="111">
        <v>406</v>
      </c>
      <c r="L503" s="110">
        <v>1687.01</v>
      </c>
      <c r="M503" s="13" t="s">
        <v>674</v>
      </c>
      <c r="N503" s="13" t="s">
        <v>675</v>
      </c>
      <c r="O503" s="13" t="s">
        <v>653</v>
      </c>
      <c r="P503" s="13" t="s">
        <v>648</v>
      </c>
      <c r="Q503" s="13" t="s">
        <v>671</v>
      </c>
      <c r="R503" s="13" t="s">
        <v>641</v>
      </c>
      <c r="S503" s="13" t="s">
        <v>641</v>
      </c>
      <c r="T503" s="13" t="s">
        <v>641</v>
      </c>
    </row>
    <row r="504" customFormat="1" spans="1:14">
      <c r="A504" s="112"/>
      <c r="B504" s="112"/>
      <c r="C504" s="10"/>
      <c r="D504" s="10"/>
      <c r="E504" s="10"/>
      <c r="F504" s="10"/>
      <c r="G504" s="10"/>
      <c r="H504" s="10"/>
      <c r="I504" s="10"/>
      <c r="J504" s="103"/>
      <c r="K504" s="113"/>
      <c r="L504" s="103"/>
      <c r="M504" s="10"/>
      <c r="N504" s="10"/>
    </row>
    <row r="505" customFormat="1" spans="1:14">
      <c r="A505" s="112"/>
      <c r="B505" s="112"/>
      <c r="C505" s="10"/>
      <c r="D505" s="10"/>
      <c r="E505" s="10"/>
      <c r="F505" s="10"/>
      <c r="G505" s="10"/>
      <c r="H505" s="10"/>
      <c r="I505" s="10"/>
      <c r="J505" s="103"/>
      <c r="K505" s="113"/>
      <c r="L505" s="103"/>
      <c r="M505" s="10"/>
      <c r="N505" s="10"/>
    </row>
    <row r="506" customFormat="1" spans="1:14">
      <c r="A506" s="112"/>
      <c r="B506" s="112"/>
      <c r="C506" s="10"/>
      <c r="D506" s="10"/>
      <c r="E506" s="10"/>
      <c r="F506" s="10"/>
      <c r="G506" s="10"/>
      <c r="H506" s="10"/>
      <c r="I506" s="10"/>
      <c r="J506" s="103"/>
      <c r="K506" s="113"/>
      <c r="L506" s="103"/>
      <c r="M506" s="10"/>
      <c r="N506" s="10"/>
    </row>
    <row r="507" customFormat="1" spans="1:14">
      <c r="A507" s="112"/>
      <c r="B507" s="112"/>
      <c r="C507" s="10"/>
      <c r="D507" s="10"/>
      <c r="E507" s="10"/>
      <c r="F507" s="10"/>
      <c r="G507" s="10"/>
      <c r="H507" s="10"/>
      <c r="I507" s="10"/>
      <c r="J507" s="103"/>
      <c r="K507" s="113"/>
      <c r="L507" s="103"/>
      <c r="M507" s="10"/>
      <c r="N507" s="10"/>
    </row>
    <row r="508" customFormat="1" spans="1:14">
      <c r="A508" s="112"/>
      <c r="B508" s="112"/>
      <c r="C508" s="10"/>
      <c r="D508" s="10"/>
      <c r="E508" s="10"/>
      <c r="F508" s="10"/>
      <c r="G508" s="10"/>
      <c r="H508" s="10"/>
      <c r="I508" s="10"/>
      <c r="J508" s="103"/>
      <c r="K508" s="113"/>
      <c r="L508" s="103"/>
      <c r="M508" s="10"/>
      <c r="N508" s="10"/>
    </row>
    <row r="509" customFormat="1" spans="1:14">
      <c r="A509" s="112"/>
      <c r="B509" s="112"/>
      <c r="C509" s="10"/>
      <c r="D509" s="10"/>
      <c r="E509" s="10"/>
      <c r="F509" s="10"/>
      <c r="G509" s="10"/>
      <c r="H509" s="10"/>
      <c r="I509" s="10"/>
      <c r="J509" s="103"/>
      <c r="K509" s="113"/>
      <c r="L509" s="103"/>
      <c r="M509" s="10"/>
      <c r="N509" s="10"/>
    </row>
    <row r="510" customFormat="1" spans="1:14">
      <c r="A510" s="112"/>
      <c r="B510" s="112"/>
      <c r="C510" s="10"/>
      <c r="D510" s="10"/>
      <c r="E510" s="10"/>
      <c r="F510" s="10"/>
      <c r="G510" s="10"/>
      <c r="H510" s="10"/>
      <c r="I510" s="10"/>
      <c r="J510" s="103"/>
      <c r="K510" s="113"/>
      <c r="L510" s="103"/>
      <c r="M510" s="10"/>
      <c r="N510" s="10"/>
    </row>
    <row r="511" customFormat="1" spans="1:14">
      <c r="A511" s="112"/>
      <c r="B511" s="112"/>
      <c r="C511" s="10"/>
      <c r="D511" s="10"/>
      <c r="E511" s="10"/>
      <c r="F511" s="10"/>
      <c r="G511" s="10"/>
      <c r="H511" s="10"/>
      <c r="I511" s="10"/>
      <c r="J511" s="103"/>
      <c r="K511" s="113"/>
      <c r="L511" s="103"/>
      <c r="M511" s="10"/>
      <c r="N511" s="10"/>
    </row>
    <row r="512" customFormat="1" spans="1:14">
      <c r="A512" s="112"/>
      <c r="B512" s="112"/>
      <c r="C512" s="10"/>
      <c r="D512" s="10"/>
      <c r="E512" s="10"/>
      <c r="F512" s="10"/>
      <c r="G512" s="10"/>
      <c r="H512" s="10"/>
      <c r="I512" s="10"/>
      <c r="J512" s="103"/>
      <c r="K512" s="113"/>
      <c r="L512" s="103"/>
      <c r="M512" s="10"/>
      <c r="N512" s="10"/>
    </row>
    <row r="513" customFormat="1" spans="1:14">
      <c r="A513" s="112"/>
      <c r="B513" s="112"/>
      <c r="C513" s="10"/>
      <c r="D513" s="10"/>
      <c r="E513" s="10"/>
      <c r="F513" s="10"/>
      <c r="G513" s="10"/>
      <c r="H513" s="10"/>
      <c r="I513" s="10"/>
      <c r="J513" s="103"/>
      <c r="K513" s="113"/>
      <c r="L513" s="103"/>
      <c r="M513" s="10"/>
      <c r="N513" s="10"/>
    </row>
    <row r="514" customFormat="1" spans="1:14">
      <c r="A514" s="112"/>
      <c r="B514" s="112"/>
      <c r="C514" s="10"/>
      <c r="D514" s="10"/>
      <c r="E514" s="10"/>
      <c r="F514" s="10"/>
      <c r="G514" s="10"/>
      <c r="H514" s="10"/>
      <c r="I514" s="10"/>
      <c r="J514" s="103"/>
      <c r="K514" s="113"/>
      <c r="L514" s="103"/>
      <c r="M514" s="10"/>
      <c r="N514" s="10"/>
    </row>
    <row r="515" customFormat="1" spans="1:14">
      <c r="A515" s="112"/>
      <c r="B515" s="112"/>
      <c r="C515" s="10"/>
      <c r="D515" s="10"/>
      <c r="E515" s="10"/>
      <c r="F515" s="10"/>
      <c r="G515" s="10"/>
      <c r="H515" s="10"/>
      <c r="I515" s="10"/>
      <c r="J515" s="103"/>
      <c r="K515" s="113"/>
      <c r="L515" s="103"/>
      <c r="M515" s="10"/>
      <c r="N515" s="10"/>
    </row>
    <row r="516" customFormat="1" spans="1:14">
      <c r="A516" s="112"/>
      <c r="B516" s="112"/>
      <c r="C516" s="10"/>
      <c r="D516" s="10"/>
      <c r="E516" s="10"/>
      <c r="F516" s="10"/>
      <c r="G516" s="10"/>
      <c r="H516" s="10"/>
      <c r="I516" s="10"/>
      <c r="J516" s="103"/>
      <c r="K516" s="113"/>
      <c r="L516" s="103"/>
      <c r="M516" s="10"/>
      <c r="N516" s="10"/>
    </row>
    <row r="517" customFormat="1" spans="1:14">
      <c r="A517" s="112"/>
      <c r="B517" s="112"/>
      <c r="C517" s="10"/>
      <c r="D517" s="10"/>
      <c r="E517" s="10"/>
      <c r="F517" s="10"/>
      <c r="G517" s="10"/>
      <c r="H517" s="10"/>
      <c r="I517" s="10"/>
      <c r="J517" s="103"/>
      <c r="K517" s="113"/>
      <c r="L517" s="103"/>
      <c r="M517" s="10"/>
      <c r="N517" s="10"/>
    </row>
    <row r="518" customFormat="1" spans="1:14">
      <c r="A518" s="112"/>
      <c r="B518" s="112"/>
      <c r="C518" s="10"/>
      <c r="D518" s="10"/>
      <c r="E518" s="10"/>
      <c r="F518" s="10"/>
      <c r="G518" s="10"/>
      <c r="H518" s="10"/>
      <c r="I518" s="10"/>
      <c r="J518" s="103"/>
      <c r="K518" s="113"/>
      <c r="L518" s="103"/>
      <c r="M518" s="10"/>
      <c r="N518" s="10"/>
    </row>
    <row r="519" customFormat="1" spans="1:14">
      <c r="A519" s="112"/>
      <c r="B519" s="112"/>
      <c r="C519" s="10"/>
      <c r="D519" s="10"/>
      <c r="E519" s="10"/>
      <c r="F519" s="10"/>
      <c r="G519" s="10"/>
      <c r="H519" s="10"/>
      <c r="I519" s="10"/>
      <c r="J519" s="103"/>
      <c r="K519" s="113"/>
      <c r="L519" s="103"/>
      <c r="M519" s="10"/>
      <c r="N519" s="10"/>
    </row>
    <row r="520" customFormat="1" spans="1:14">
      <c r="A520" s="112"/>
      <c r="B520" s="112"/>
      <c r="C520" s="10"/>
      <c r="D520" s="10"/>
      <c r="E520" s="10"/>
      <c r="F520" s="10"/>
      <c r="G520" s="10"/>
      <c r="H520" s="10"/>
      <c r="I520" s="10"/>
      <c r="J520" s="103"/>
      <c r="K520" s="113"/>
      <c r="L520" s="103"/>
      <c r="M520" s="10"/>
      <c r="N520" s="10"/>
    </row>
    <row r="521" customFormat="1" spans="1:14">
      <c r="A521" s="112"/>
      <c r="B521" s="112"/>
      <c r="C521" s="10"/>
      <c r="D521" s="10"/>
      <c r="E521" s="10"/>
      <c r="F521" s="10"/>
      <c r="G521" s="10"/>
      <c r="H521" s="10"/>
      <c r="I521" s="10"/>
      <c r="J521" s="103"/>
      <c r="K521" s="113"/>
      <c r="L521" s="103"/>
      <c r="M521" s="10"/>
      <c r="N521" s="10"/>
    </row>
    <row r="522" customFormat="1" spans="1:14">
      <c r="A522" s="112"/>
      <c r="B522" s="112"/>
      <c r="C522" s="10"/>
      <c r="D522" s="10"/>
      <c r="E522" s="10"/>
      <c r="F522" s="10"/>
      <c r="G522" s="10"/>
      <c r="H522" s="10"/>
      <c r="I522" s="10"/>
      <c r="J522" s="103"/>
      <c r="K522" s="113"/>
      <c r="L522" s="103"/>
      <c r="M522" s="10"/>
      <c r="N522" s="10"/>
    </row>
    <row r="523" customFormat="1" spans="1:14">
      <c r="A523" s="112"/>
      <c r="B523" s="112"/>
      <c r="C523" s="10"/>
      <c r="D523" s="10"/>
      <c r="E523" s="10"/>
      <c r="F523" s="10"/>
      <c r="G523" s="10"/>
      <c r="H523" s="10"/>
      <c r="I523" s="10"/>
      <c r="J523" s="103"/>
      <c r="K523" s="113"/>
      <c r="L523" s="103"/>
      <c r="M523" s="10"/>
      <c r="N523" s="10"/>
    </row>
    <row r="524" customFormat="1" spans="1:14">
      <c r="A524" s="112"/>
      <c r="B524" s="112"/>
      <c r="C524" s="10"/>
      <c r="D524" s="10"/>
      <c r="E524" s="10"/>
      <c r="F524" s="10"/>
      <c r="G524" s="10"/>
      <c r="H524" s="10"/>
      <c r="I524" s="10"/>
      <c r="J524" s="103"/>
      <c r="K524" s="113"/>
      <c r="L524" s="103"/>
      <c r="M524" s="10"/>
      <c r="N524" s="10"/>
    </row>
    <row r="525" customFormat="1" spans="1:14">
      <c r="A525" s="112"/>
      <c r="B525" s="112"/>
      <c r="C525" s="10"/>
      <c r="D525" s="10"/>
      <c r="E525" s="10"/>
      <c r="F525" s="10"/>
      <c r="G525" s="10"/>
      <c r="H525" s="10"/>
      <c r="I525" s="10"/>
      <c r="J525" s="103"/>
      <c r="K525" s="113"/>
      <c r="L525" s="103"/>
      <c r="M525" s="10"/>
      <c r="N525" s="10"/>
    </row>
    <row r="526" customFormat="1" spans="1:14">
      <c r="A526" s="112"/>
      <c r="B526" s="112"/>
      <c r="C526" s="10"/>
      <c r="D526" s="10"/>
      <c r="E526" s="10"/>
      <c r="F526" s="10"/>
      <c r="G526" s="10"/>
      <c r="H526" s="10"/>
      <c r="I526" s="10"/>
      <c r="J526" s="103"/>
      <c r="K526" s="113"/>
      <c r="L526" s="103"/>
      <c r="M526" s="10"/>
      <c r="N526" s="10"/>
    </row>
    <row r="527" customFormat="1" spans="1:14">
      <c r="A527" s="112"/>
      <c r="B527" s="112"/>
      <c r="C527" s="10"/>
      <c r="D527" s="10"/>
      <c r="E527" s="10"/>
      <c r="F527" s="10"/>
      <c r="G527" s="10"/>
      <c r="H527" s="10"/>
      <c r="I527" s="10"/>
      <c r="J527" s="103"/>
      <c r="K527" s="113"/>
      <c r="L527" s="103"/>
      <c r="M527" s="10"/>
      <c r="N527" s="10"/>
    </row>
    <row r="528" customFormat="1" spans="1:14">
      <c r="A528" s="112"/>
      <c r="B528" s="112"/>
      <c r="C528" s="10"/>
      <c r="D528" s="10"/>
      <c r="E528" s="10"/>
      <c r="F528" s="10"/>
      <c r="G528" s="10"/>
      <c r="H528" s="10"/>
      <c r="I528" s="10"/>
      <c r="J528" s="103"/>
      <c r="K528" s="113"/>
      <c r="L528" s="103"/>
      <c r="M528" s="10"/>
      <c r="N528" s="10"/>
    </row>
    <row r="529" customFormat="1" spans="1:14">
      <c r="A529" s="112"/>
      <c r="B529" s="112"/>
      <c r="C529" s="10"/>
      <c r="D529" s="10"/>
      <c r="E529" s="10"/>
      <c r="F529" s="10"/>
      <c r="G529" s="10"/>
      <c r="H529" s="10"/>
      <c r="I529" s="10"/>
      <c r="J529" s="103"/>
      <c r="K529" s="113"/>
      <c r="L529" s="103"/>
      <c r="M529" s="10"/>
      <c r="N529" s="10"/>
    </row>
    <row r="530" customFormat="1" spans="1:14">
      <c r="A530" s="112"/>
      <c r="B530" s="112"/>
      <c r="C530" s="10"/>
      <c r="D530" s="10"/>
      <c r="E530" s="10"/>
      <c r="F530" s="10"/>
      <c r="G530" s="10"/>
      <c r="H530" s="10"/>
      <c r="I530" s="10"/>
      <c r="J530" s="103"/>
      <c r="K530" s="113"/>
      <c r="L530" s="103"/>
      <c r="M530" s="10"/>
      <c r="N530" s="10"/>
    </row>
    <row r="531" customFormat="1" spans="1:14">
      <c r="A531" s="112"/>
      <c r="B531" s="112"/>
      <c r="C531" s="10"/>
      <c r="D531" s="10"/>
      <c r="E531" s="10"/>
      <c r="F531" s="10"/>
      <c r="G531" s="10"/>
      <c r="H531" s="10"/>
      <c r="I531" s="10"/>
      <c r="J531" s="103"/>
      <c r="K531" s="113"/>
      <c r="L531" s="103"/>
      <c r="M531" s="10"/>
      <c r="N531" s="10"/>
    </row>
    <row r="532" customFormat="1" spans="1:14">
      <c r="A532" s="112"/>
      <c r="B532" s="112"/>
      <c r="C532" s="10"/>
      <c r="D532" s="10"/>
      <c r="E532" s="10"/>
      <c r="F532" s="10"/>
      <c r="G532" s="10"/>
      <c r="H532" s="10"/>
      <c r="I532" s="10"/>
      <c r="J532" s="103"/>
      <c r="K532" s="113"/>
      <c r="L532" s="103"/>
      <c r="M532" s="10"/>
      <c r="N532" s="10"/>
    </row>
    <row r="533" customFormat="1" spans="1:14">
      <c r="A533" s="112"/>
      <c r="B533" s="112"/>
      <c r="C533" s="10"/>
      <c r="D533" s="10"/>
      <c r="E533" s="10"/>
      <c r="F533" s="10"/>
      <c r="G533" s="10"/>
      <c r="H533" s="10"/>
      <c r="I533" s="10"/>
      <c r="J533" s="103"/>
      <c r="K533" s="113"/>
      <c r="L533" s="103"/>
      <c r="M533" s="10"/>
      <c r="N533" s="10"/>
    </row>
    <row r="534" customFormat="1" spans="1:14">
      <c r="A534" s="112"/>
      <c r="B534" s="112"/>
      <c r="C534" s="10"/>
      <c r="D534" s="10"/>
      <c r="E534" s="10"/>
      <c r="F534" s="10"/>
      <c r="G534" s="10"/>
      <c r="H534" s="10"/>
      <c r="I534" s="10"/>
      <c r="J534" s="103"/>
      <c r="K534" s="113"/>
      <c r="L534" s="103"/>
      <c r="M534" s="10"/>
      <c r="N534" s="10"/>
    </row>
    <row r="535" customFormat="1" spans="1:14">
      <c r="A535" s="112"/>
      <c r="B535" s="112"/>
      <c r="C535" s="10"/>
      <c r="D535" s="10"/>
      <c r="E535" s="10"/>
      <c r="F535" s="10"/>
      <c r="G535" s="10"/>
      <c r="H535" s="10"/>
      <c r="I535" s="10"/>
      <c r="J535" s="103"/>
      <c r="K535" s="113"/>
      <c r="L535" s="103"/>
      <c r="M535" s="10"/>
      <c r="N535" s="10"/>
    </row>
    <row r="536" customFormat="1" spans="1:14">
      <c r="A536" s="112"/>
      <c r="B536" s="112"/>
      <c r="C536" s="10"/>
      <c r="D536" s="10"/>
      <c r="E536" s="10"/>
      <c r="F536" s="10"/>
      <c r="G536" s="10"/>
      <c r="H536" s="10"/>
      <c r="I536" s="10"/>
      <c r="J536" s="103"/>
      <c r="K536" s="113"/>
      <c r="L536" s="103"/>
      <c r="M536" s="10"/>
      <c r="N536" s="10"/>
    </row>
    <row r="537" customFormat="1" spans="1:14">
      <c r="A537" s="112"/>
      <c r="B537" s="112"/>
      <c r="C537" s="10"/>
      <c r="D537" s="10"/>
      <c r="E537" s="10"/>
      <c r="F537" s="10"/>
      <c r="G537" s="10"/>
      <c r="H537" s="10"/>
      <c r="I537" s="10"/>
      <c r="J537" s="103"/>
      <c r="K537" s="113"/>
      <c r="L537" s="103"/>
      <c r="M537" s="10"/>
      <c r="N537" s="10"/>
    </row>
    <row r="538" customFormat="1" spans="1:14">
      <c r="A538" s="112"/>
      <c r="B538" s="112"/>
      <c r="C538" s="10"/>
      <c r="D538" s="10"/>
      <c r="E538" s="10"/>
      <c r="F538" s="10"/>
      <c r="G538" s="10"/>
      <c r="H538" s="10"/>
      <c r="I538" s="10"/>
      <c r="J538" s="103"/>
      <c r="K538" s="113"/>
      <c r="L538" s="103"/>
      <c r="M538" s="10"/>
      <c r="N538" s="10"/>
    </row>
    <row r="539" customFormat="1" spans="1:14">
      <c r="A539" s="112"/>
      <c r="B539" s="112"/>
      <c r="C539" s="10"/>
      <c r="D539" s="10"/>
      <c r="E539" s="10"/>
      <c r="F539" s="10"/>
      <c r="G539" s="10"/>
      <c r="H539" s="10"/>
      <c r="I539" s="10"/>
      <c r="J539" s="103"/>
      <c r="K539" s="113"/>
      <c r="L539" s="103"/>
      <c r="M539" s="10"/>
      <c r="N539" s="10"/>
    </row>
    <row r="540" customFormat="1" spans="1:14">
      <c r="A540" s="112"/>
      <c r="B540" s="112"/>
      <c r="C540" s="10"/>
      <c r="D540" s="10"/>
      <c r="E540" s="10"/>
      <c r="F540" s="10"/>
      <c r="G540" s="10"/>
      <c r="H540" s="10"/>
      <c r="I540" s="10"/>
      <c r="J540" s="103"/>
      <c r="K540" s="113"/>
      <c r="L540" s="103"/>
      <c r="M540" s="10"/>
      <c r="N540" s="10"/>
    </row>
    <row r="541" customFormat="1" spans="1:14">
      <c r="A541" s="112"/>
      <c r="B541" s="112"/>
      <c r="C541" s="10"/>
      <c r="D541" s="10"/>
      <c r="E541" s="10"/>
      <c r="F541" s="10"/>
      <c r="G541" s="10"/>
      <c r="H541" s="10"/>
      <c r="I541" s="10"/>
      <c r="J541" s="103"/>
      <c r="K541" s="113"/>
      <c r="L541" s="103"/>
      <c r="M541" s="10"/>
      <c r="N541" s="10"/>
    </row>
    <row r="542" customFormat="1" spans="1:14">
      <c r="A542" s="112"/>
      <c r="B542" s="112"/>
      <c r="C542" s="10"/>
      <c r="D542" s="10"/>
      <c r="E542" s="10"/>
      <c r="F542" s="10"/>
      <c r="G542" s="10"/>
      <c r="H542" s="10"/>
      <c r="I542" s="10"/>
      <c r="J542" s="103"/>
      <c r="K542" s="113"/>
      <c r="L542" s="103"/>
      <c r="M542" s="10"/>
      <c r="N542" s="10"/>
    </row>
    <row r="543" customFormat="1" spans="1:14">
      <c r="A543" s="112"/>
      <c r="B543" s="112"/>
      <c r="C543" s="10"/>
      <c r="D543" s="10"/>
      <c r="E543" s="10"/>
      <c r="F543" s="10"/>
      <c r="G543" s="10"/>
      <c r="H543" s="10"/>
      <c r="I543" s="10"/>
      <c r="J543" s="103"/>
      <c r="K543" s="113"/>
      <c r="L543" s="103"/>
      <c r="M543" s="10"/>
      <c r="N543" s="10"/>
    </row>
    <row r="544" customFormat="1" spans="1:14">
      <c r="A544" s="112"/>
      <c r="B544" s="112"/>
      <c r="C544" s="10"/>
      <c r="D544" s="10"/>
      <c r="E544" s="10"/>
      <c r="F544" s="10"/>
      <c r="G544" s="10"/>
      <c r="H544" s="10"/>
      <c r="I544" s="10"/>
      <c r="J544" s="103"/>
      <c r="K544" s="113"/>
      <c r="L544" s="103"/>
      <c r="M544" s="10"/>
      <c r="N544" s="10"/>
    </row>
    <row r="545" customFormat="1" spans="1:14">
      <c r="A545" s="112"/>
      <c r="B545" s="112"/>
      <c r="C545" s="10"/>
      <c r="D545" s="10"/>
      <c r="E545" s="10"/>
      <c r="F545" s="10"/>
      <c r="G545" s="10"/>
      <c r="H545" s="10"/>
      <c r="I545" s="10"/>
      <c r="J545" s="103"/>
      <c r="K545" s="113"/>
      <c r="L545" s="103"/>
      <c r="M545" s="10"/>
      <c r="N545" s="10"/>
    </row>
    <row r="546" customFormat="1" spans="1:14">
      <c r="A546" s="112"/>
      <c r="B546" s="112"/>
      <c r="C546" s="10"/>
      <c r="D546" s="10"/>
      <c r="E546" s="10"/>
      <c r="F546" s="10"/>
      <c r="G546" s="10"/>
      <c r="H546" s="10"/>
      <c r="I546" s="10"/>
      <c r="J546" s="103"/>
      <c r="K546" s="113"/>
      <c r="L546" s="103"/>
      <c r="M546" s="10"/>
      <c r="N546" s="10"/>
    </row>
    <row r="547" customFormat="1" spans="1:14">
      <c r="A547" s="112"/>
      <c r="B547" s="112"/>
      <c r="C547" s="10"/>
      <c r="D547" s="10"/>
      <c r="E547" s="10"/>
      <c r="F547" s="10"/>
      <c r="G547" s="10"/>
      <c r="H547" s="10"/>
      <c r="I547" s="10"/>
      <c r="J547" s="103"/>
      <c r="K547" s="113"/>
      <c r="L547" s="103"/>
      <c r="M547" s="10"/>
      <c r="N547" s="10"/>
    </row>
    <row r="548" customFormat="1" spans="1:14">
      <c r="A548" s="112"/>
      <c r="B548" s="112"/>
      <c r="C548" s="10"/>
      <c r="D548" s="10"/>
      <c r="E548" s="10"/>
      <c r="F548" s="10"/>
      <c r="G548" s="10"/>
      <c r="H548" s="10"/>
      <c r="I548" s="10"/>
      <c r="J548" s="103"/>
      <c r="K548" s="113"/>
      <c r="L548" s="103"/>
      <c r="M548" s="10"/>
      <c r="N548" s="10"/>
    </row>
    <row r="549" customFormat="1" spans="1:14">
      <c r="A549" s="112"/>
      <c r="B549" s="112"/>
      <c r="C549" s="10"/>
      <c r="D549" s="10"/>
      <c r="E549" s="10"/>
      <c r="F549" s="10"/>
      <c r="G549" s="10"/>
      <c r="H549" s="10"/>
      <c r="I549" s="10"/>
      <c r="J549" s="103"/>
      <c r="K549" s="113"/>
      <c r="L549" s="103"/>
      <c r="M549" s="10"/>
      <c r="N549" s="10"/>
    </row>
    <row r="550" customFormat="1" spans="1:14">
      <c r="A550" s="112"/>
      <c r="B550" s="112"/>
      <c r="C550" s="10"/>
      <c r="D550" s="10"/>
      <c r="E550" s="10"/>
      <c r="F550" s="10"/>
      <c r="G550" s="10"/>
      <c r="H550" s="10"/>
      <c r="I550" s="10"/>
      <c r="J550" s="103"/>
      <c r="K550" s="113"/>
      <c r="L550" s="103"/>
      <c r="M550" s="10"/>
      <c r="N550" s="10"/>
    </row>
    <row r="551" customFormat="1" spans="1:14">
      <c r="A551" s="112"/>
      <c r="B551" s="112"/>
      <c r="C551" s="10"/>
      <c r="D551" s="10"/>
      <c r="E551" s="10"/>
      <c r="F551" s="10"/>
      <c r="G551" s="10"/>
      <c r="H551" s="10"/>
      <c r="I551" s="10"/>
      <c r="J551" s="103"/>
      <c r="K551" s="113"/>
      <c r="L551" s="103"/>
      <c r="M551" s="10"/>
      <c r="N551" s="10"/>
    </row>
    <row r="552" customFormat="1" spans="1:14">
      <c r="A552" s="112"/>
      <c r="B552" s="112"/>
      <c r="C552" s="10"/>
      <c r="D552" s="10"/>
      <c r="E552" s="10"/>
      <c r="F552" s="10"/>
      <c r="G552" s="10"/>
      <c r="H552" s="10"/>
      <c r="I552" s="10"/>
      <c r="J552" s="103"/>
      <c r="K552" s="113"/>
      <c r="L552" s="103"/>
      <c r="M552" s="10"/>
      <c r="N552" s="10"/>
    </row>
    <row r="553" customFormat="1" spans="1:14">
      <c r="A553" s="112"/>
      <c r="B553" s="112"/>
      <c r="C553" s="10"/>
      <c r="D553" s="10"/>
      <c r="E553" s="10"/>
      <c r="F553" s="10"/>
      <c r="G553" s="10"/>
      <c r="H553" s="10"/>
      <c r="I553" s="10"/>
      <c r="J553" s="103"/>
      <c r="K553" s="113"/>
      <c r="L553" s="103"/>
      <c r="M553" s="10"/>
      <c r="N553" s="10"/>
    </row>
    <row r="554" customFormat="1" spans="1:14">
      <c r="A554" s="112"/>
      <c r="B554" s="112"/>
      <c r="C554" s="10"/>
      <c r="D554" s="10"/>
      <c r="E554" s="10"/>
      <c r="F554" s="10"/>
      <c r="G554" s="10"/>
      <c r="H554" s="10"/>
      <c r="I554" s="10"/>
      <c r="J554" s="103"/>
      <c r="K554" s="113"/>
      <c r="L554" s="103"/>
      <c r="M554" s="10"/>
      <c r="N554" s="10"/>
    </row>
    <row r="555" customFormat="1" spans="1:14">
      <c r="A555" s="112"/>
      <c r="B555" s="112"/>
      <c r="C555" s="10"/>
      <c r="D555" s="10"/>
      <c r="E555" s="10"/>
      <c r="F555" s="10"/>
      <c r="G555" s="10"/>
      <c r="H555" s="10"/>
      <c r="I555" s="10"/>
      <c r="J555" s="103"/>
      <c r="K555" s="113"/>
      <c r="L555" s="103"/>
      <c r="M555" s="10"/>
      <c r="N555" s="10"/>
    </row>
    <row r="556" customFormat="1" spans="1:14">
      <c r="A556" s="112"/>
      <c r="B556" s="112"/>
      <c r="C556" s="10"/>
      <c r="D556" s="10"/>
      <c r="E556" s="10"/>
      <c r="F556" s="10"/>
      <c r="G556" s="10"/>
      <c r="H556" s="10"/>
      <c r="I556" s="10"/>
      <c r="J556" s="103"/>
      <c r="K556" s="113"/>
      <c r="L556" s="103"/>
      <c r="M556" s="10"/>
      <c r="N556" s="10"/>
    </row>
    <row r="557" customFormat="1" spans="1:14">
      <c r="A557" s="112"/>
      <c r="B557" s="112"/>
      <c r="C557" s="10"/>
      <c r="D557" s="10"/>
      <c r="E557" s="10"/>
      <c r="F557" s="10"/>
      <c r="G557" s="10"/>
      <c r="H557" s="10"/>
      <c r="I557" s="10"/>
      <c r="J557" s="103"/>
      <c r="K557" s="113"/>
      <c r="L557" s="103"/>
      <c r="M557" s="10"/>
      <c r="N557" s="10"/>
    </row>
    <row r="558" customFormat="1" spans="1:14">
      <c r="A558" s="112"/>
      <c r="B558" s="112"/>
      <c r="C558" s="10"/>
      <c r="D558" s="10"/>
      <c r="E558" s="10"/>
      <c r="F558" s="10"/>
      <c r="G558" s="10"/>
      <c r="H558" s="10"/>
      <c r="I558" s="10"/>
      <c r="J558" s="103"/>
      <c r="K558" s="113"/>
      <c r="L558" s="103"/>
      <c r="M558" s="10"/>
      <c r="N558" s="10"/>
    </row>
    <row r="559" customFormat="1" spans="1:14">
      <c r="A559" s="112"/>
      <c r="B559" s="112"/>
      <c r="C559" s="10"/>
      <c r="D559" s="10"/>
      <c r="E559" s="10"/>
      <c r="F559" s="10"/>
      <c r="G559" s="10"/>
      <c r="H559" s="10"/>
      <c r="I559" s="10"/>
      <c r="J559" s="103"/>
      <c r="K559" s="113"/>
      <c r="L559" s="103"/>
      <c r="M559" s="10"/>
      <c r="N559" s="10"/>
    </row>
    <row r="560" customFormat="1" spans="1:14">
      <c r="A560" s="112"/>
      <c r="B560" s="112"/>
      <c r="C560" s="10"/>
      <c r="D560" s="10"/>
      <c r="E560" s="10"/>
      <c r="F560" s="10"/>
      <c r="G560" s="10"/>
      <c r="H560" s="10"/>
      <c r="I560" s="10"/>
      <c r="J560" s="103"/>
      <c r="K560" s="113"/>
      <c r="L560" s="103"/>
      <c r="M560" s="10"/>
      <c r="N560" s="10"/>
    </row>
    <row r="561" customFormat="1" spans="1:14">
      <c r="A561" s="112"/>
      <c r="B561" s="112"/>
      <c r="C561" s="10"/>
      <c r="D561" s="10"/>
      <c r="E561" s="10"/>
      <c r="F561" s="10"/>
      <c r="G561" s="10"/>
      <c r="H561" s="10"/>
      <c r="I561" s="10"/>
      <c r="J561" s="103"/>
      <c r="K561" s="113"/>
      <c r="L561" s="103"/>
      <c r="M561" s="10"/>
      <c r="N561" s="10"/>
    </row>
    <row r="562" customFormat="1" spans="1:14">
      <c r="A562" s="112"/>
      <c r="B562" s="112"/>
      <c r="C562" s="10"/>
      <c r="D562" s="10"/>
      <c r="E562" s="10"/>
      <c r="F562" s="10"/>
      <c r="G562" s="10"/>
      <c r="H562" s="10"/>
      <c r="I562" s="10"/>
      <c r="J562" s="103"/>
      <c r="K562" s="113"/>
      <c r="L562" s="103"/>
      <c r="M562" s="10"/>
      <c r="N562" s="10"/>
    </row>
    <row r="563" customFormat="1" spans="1:14">
      <c r="A563" s="112"/>
      <c r="B563" s="112"/>
      <c r="C563" s="10"/>
      <c r="D563" s="10"/>
      <c r="E563" s="10"/>
      <c r="F563" s="10"/>
      <c r="G563" s="10"/>
      <c r="H563" s="10"/>
      <c r="I563" s="10"/>
      <c r="J563" s="103"/>
      <c r="K563" s="113"/>
      <c r="L563" s="103"/>
      <c r="M563" s="10"/>
      <c r="N563" s="10"/>
    </row>
    <row r="564" customFormat="1" spans="1:14">
      <c r="A564" s="112"/>
      <c r="B564" s="112"/>
      <c r="C564" s="10"/>
      <c r="D564" s="10"/>
      <c r="E564" s="10"/>
      <c r="F564" s="10"/>
      <c r="G564" s="10"/>
      <c r="H564" s="10"/>
      <c r="I564" s="10"/>
      <c r="J564" s="103"/>
      <c r="K564" s="113"/>
      <c r="L564" s="103"/>
      <c r="M564" s="10"/>
      <c r="N564" s="10"/>
    </row>
    <row r="565" customFormat="1" spans="1:14">
      <c r="A565" s="112"/>
      <c r="B565" s="112"/>
      <c r="C565" s="10"/>
      <c r="D565" s="10"/>
      <c r="E565" s="10"/>
      <c r="F565" s="10"/>
      <c r="G565" s="10"/>
      <c r="H565" s="10"/>
      <c r="I565" s="10"/>
      <c r="J565" s="103"/>
      <c r="K565" s="113"/>
      <c r="L565" s="103"/>
      <c r="M565" s="10"/>
      <c r="N565" s="10"/>
    </row>
    <row r="566" customFormat="1" spans="1:14">
      <c r="A566" s="112"/>
      <c r="B566" s="112"/>
      <c r="C566" s="10"/>
      <c r="D566" s="10"/>
      <c r="E566" s="10"/>
      <c r="F566" s="10"/>
      <c r="G566" s="10"/>
      <c r="H566" s="10"/>
      <c r="I566" s="10"/>
      <c r="J566" s="103"/>
      <c r="K566" s="113"/>
      <c r="L566" s="103"/>
      <c r="M566" s="10"/>
      <c r="N566" s="10"/>
    </row>
    <row r="567" customFormat="1" spans="1:14">
      <c r="A567" s="112"/>
      <c r="B567" s="112"/>
      <c r="C567" s="10"/>
      <c r="D567" s="10"/>
      <c r="E567" s="10"/>
      <c r="F567" s="10"/>
      <c r="G567" s="10"/>
      <c r="H567" s="10"/>
      <c r="I567" s="10"/>
      <c r="J567" s="103"/>
      <c r="K567" s="113"/>
      <c r="L567" s="103"/>
      <c r="M567" s="10"/>
      <c r="N567" s="10"/>
    </row>
    <row r="568" customFormat="1" spans="1:14">
      <c r="A568" s="112"/>
      <c r="B568" s="112"/>
      <c r="C568" s="10"/>
      <c r="D568" s="10"/>
      <c r="E568" s="10"/>
      <c r="F568" s="10"/>
      <c r="G568" s="10"/>
      <c r="H568" s="10"/>
      <c r="I568" s="10"/>
      <c r="J568" s="103"/>
      <c r="K568" s="113"/>
      <c r="L568" s="103"/>
      <c r="M568" s="10"/>
      <c r="N568" s="10"/>
    </row>
    <row r="569" customFormat="1" spans="1:14">
      <c r="A569" s="112"/>
      <c r="B569" s="112"/>
      <c r="C569" s="10"/>
      <c r="D569" s="10"/>
      <c r="E569" s="10"/>
      <c r="F569" s="10"/>
      <c r="G569" s="10"/>
      <c r="H569" s="10"/>
      <c r="I569" s="10"/>
      <c r="J569" s="103"/>
      <c r="K569" s="113"/>
      <c r="L569" s="103"/>
      <c r="M569" s="10"/>
      <c r="N569" s="10"/>
    </row>
    <row r="570" customFormat="1" spans="1:14">
      <c r="A570" s="112"/>
      <c r="B570" s="112"/>
      <c r="C570" s="10"/>
      <c r="D570" s="10"/>
      <c r="E570" s="10"/>
      <c r="F570" s="10"/>
      <c r="G570" s="10"/>
      <c r="H570" s="10"/>
      <c r="I570" s="10"/>
      <c r="J570" s="103"/>
      <c r="K570" s="113"/>
      <c r="L570" s="103"/>
      <c r="M570" s="10"/>
      <c r="N570" s="10"/>
    </row>
    <row r="571" customFormat="1" spans="1:14">
      <c r="A571" s="112"/>
      <c r="B571" s="112"/>
      <c r="C571" s="10"/>
      <c r="D571" s="10"/>
      <c r="E571" s="10"/>
      <c r="F571" s="10"/>
      <c r="G571" s="10"/>
      <c r="H571" s="10"/>
      <c r="I571" s="10"/>
      <c r="J571" s="103"/>
      <c r="K571" s="113"/>
      <c r="L571" s="103"/>
      <c r="M571" s="10"/>
      <c r="N571" s="10"/>
    </row>
    <row r="572" customFormat="1" spans="1:14">
      <c r="A572" s="112"/>
      <c r="B572" s="112"/>
      <c r="C572" s="10"/>
      <c r="D572" s="10"/>
      <c r="E572" s="10"/>
      <c r="F572" s="10"/>
      <c r="G572" s="10"/>
      <c r="H572" s="10"/>
      <c r="I572" s="10"/>
      <c r="J572" s="103"/>
      <c r="K572" s="113"/>
      <c r="L572" s="103"/>
      <c r="M572" s="10"/>
      <c r="N572" s="10"/>
    </row>
    <row r="573" customFormat="1" spans="1:14">
      <c r="A573" s="112"/>
      <c r="B573" s="112"/>
      <c r="C573" s="10"/>
      <c r="D573" s="10"/>
      <c r="E573" s="10"/>
      <c r="F573" s="10"/>
      <c r="G573" s="10"/>
      <c r="H573" s="10"/>
      <c r="I573" s="10"/>
      <c r="J573" s="103"/>
      <c r="K573" s="113"/>
      <c r="L573" s="103"/>
      <c r="M573" s="10"/>
      <c r="N573" s="10"/>
    </row>
    <row r="574" customFormat="1" spans="1:14">
      <c r="A574" s="112"/>
      <c r="B574" s="112"/>
      <c r="C574" s="10"/>
      <c r="D574" s="10"/>
      <c r="E574" s="10"/>
      <c r="F574" s="10"/>
      <c r="G574" s="10"/>
      <c r="H574" s="10"/>
      <c r="I574" s="10"/>
      <c r="J574" s="103"/>
      <c r="K574" s="113"/>
      <c r="L574" s="103"/>
      <c r="M574" s="10"/>
      <c r="N574" s="10"/>
    </row>
    <row r="575" customFormat="1" spans="1:14">
      <c r="A575" s="112"/>
      <c r="B575" s="112"/>
      <c r="C575" s="10"/>
      <c r="D575" s="10"/>
      <c r="E575" s="10"/>
      <c r="F575" s="10"/>
      <c r="G575" s="10"/>
      <c r="H575" s="10"/>
      <c r="I575" s="10"/>
      <c r="J575" s="103"/>
      <c r="K575" s="113"/>
      <c r="L575" s="103"/>
      <c r="M575" s="10"/>
      <c r="N575" s="10"/>
    </row>
    <row r="576" customFormat="1" spans="1:14">
      <c r="A576" s="112"/>
      <c r="B576" s="112"/>
      <c r="C576" s="10"/>
      <c r="D576" s="10"/>
      <c r="E576" s="10"/>
      <c r="F576" s="10"/>
      <c r="G576" s="10"/>
      <c r="H576" s="10"/>
      <c r="I576" s="10"/>
      <c r="J576" s="103"/>
      <c r="K576" s="113"/>
      <c r="L576" s="103"/>
      <c r="M576" s="10"/>
      <c r="N576" s="10"/>
    </row>
    <row r="577" customFormat="1" spans="1:14">
      <c r="A577" s="112"/>
      <c r="B577" s="112"/>
      <c r="C577" s="10"/>
      <c r="D577" s="10"/>
      <c r="E577" s="10"/>
      <c r="F577" s="10"/>
      <c r="G577" s="10"/>
      <c r="H577" s="10"/>
      <c r="I577" s="10"/>
      <c r="J577" s="103"/>
      <c r="K577" s="113"/>
      <c r="L577" s="103"/>
      <c r="M577" s="10"/>
      <c r="N577" s="10"/>
    </row>
    <row r="578" customFormat="1" spans="1:14">
      <c r="A578" s="112"/>
      <c r="B578" s="112"/>
      <c r="C578" s="10"/>
      <c r="D578" s="10"/>
      <c r="E578" s="10"/>
      <c r="F578" s="10"/>
      <c r="G578" s="10"/>
      <c r="H578" s="10"/>
      <c r="I578" s="10"/>
      <c r="J578" s="103"/>
      <c r="K578" s="113"/>
      <c r="L578" s="103"/>
      <c r="M578" s="10"/>
      <c r="N578" s="10"/>
    </row>
    <row r="579" customFormat="1" spans="1:14">
      <c r="A579" s="112"/>
      <c r="B579" s="112"/>
      <c r="C579" s="10"/>
      <c r="D579" s="10"/>
      <c r="E579" s="10"/>
      <c r="F579" s="10"/>
      <c r="G579" s="10"/>
      <c r="H579" s="10"/>
      <c r="I579" s="10"/>
      <c r="J579" s="103"/>
      <c r="K579" s="113"/>
      <c r="L579" s="103"/>
      <c r="M579" s="10"/>
      <c r="N579" s="10"/>
    </row>
    <row r="580" customFormat="1" spans="1:14">
      <c r="A580" s="112"/>
      <c r="B580" s="112"/>
      <c r="C580" s="10"/>
      <c r="D580" s="10"/>
      <c r="E580" s="10"/>
      <c r="F580" s="10"/>
      <c r="G580" s="10"/>
      <c r="H580" s="10"/>
      <c r="I580" s="10"/>
      <c r="J580" s="103"/>
      <c r="K580" s="113"/>
      <c r="L580" s="103"/>
      <c r="M580" s="10"/>
      <c r="N580" s="10"/>
    </row>
    <row r="581" customFormat="1" spans="1:14">
      <c r="A581" s="112"/>
      <c r="B581" s="112"/>
      <c r="C581" s="10"/>
      <c r="D581" s="10"/>
      <c r="E581" s="10"/>
      <c r="F581" s="10"/>
      <c r="G581" s="10"/>
      <c r="H581" s="10"/>
      <c r="I581" s="10"/>
      <c r="J581" s="103"/>
      <c r="K581" s="113"/>
      <c r="L581" s="103"/>
      <c r="M581" s="10"/>
      <c r="N581" s="10"/>
    </row>
    <row r="582" customFormat="1" spans="1:14">
      <c r="A582" s="112"/>
      <c r="B582" s="112"/>
      <c r="C582" s="10"/>
      <c r="D582" s="10"/>
      <c r="E582" s="10"/>
      <c r="F582" s="10"/>
      <c r="G582" s="10"/>
      <c r="H582" s="10"/>
      <c r="I582" s="10"/>
      <c r="J582" s="103"/>
      <c r="K582" s="113"/>
      <c r="L582" s="103"/>
      <c r="M582" s="10"/>
      <c r="N582" s="10"/>
    </row>
    <row r="583" customFormat="1" spans="1:14">
      <c r="A583" s="112"/>
      <c r="B583" s="112"/>
      <c r="C583" s="10"/>
      <c r="D583" s="10"/>
      <c r="E583" s="10"/>
      <c r="F583" s="10"/>
      <c r="G583" s="10"/>
      <c r="H583" s="10"/>
      <c r="I583" s="10"/>
      <c r="J583" s="103"/>
      <c r="K583" s="113"/>
      <c r="L583" s="103"/>
      <c r="M583" s="10"/>
      <c r="N583" s="10"/>
    </row>
    <row r="584" customFormat="1" spans="1:14">
      <c r="A584" s="112"/>
      <c r="B584" s="112"/>
      <c r="C584" s="10"/>
      <c r="D584" s="10"/>
      <c r="E584" s="10"/>
      <c r="F584" s="10"/>
      <c r="G584" s="10"/>
      <c r="H584" s="10"/>
      <c r="I584" s="10"/>
      <c r="J584" s="103"/>
      <c r="K584" s="113"/>
      <c r="L584" s="103"/>
      <c r="M584" s="10"/>
      <c r="N584" s="10"/>
    </row>
    <row r="585" customFormat="1" spans="1:14">
      <c r="A585" s="112"/>
      <c r="B585" s="112"/>
      <c r="C585" s="10"/>
      <c r="D585" s="10"/>
      <c r="E585" s="10"/>
      <c r="F585" s="10"/>
      <c r="G585" s="10"/>
      <c r="H585" s="10"/>
      <c r="I585" s="10"/>
      <c r="J585" s="103"/>
      <c r="K585" s="113"/>
      <c r="L585" s="103"/>
      <c r="M585" s="10"/>
      <c r="N585" s="10"/>
    </row>
    <row r="586" customFormat="1" spans="1:14">
      <c r="A586" s="112"/>
      <c r="B586" s="112"/>
      <c r="C586" s="10"/>
      <c r="D586" s="10"/>
      <c r="E586" s="10"/>
      <c r="F586" s="10"/>
      <c r="G586" s="10"/>
      <c r="H586" s="10"/>
      <c r="I586" s="10"/>
      <c r="J586" s="103"/>
      <c r="K586" s="113"/>
      <c r="L586" s="103"/>
      <c r="M586" s="10"/>
      <c r="N586" s="10"/>
    </row>
    <row r="587" customFormat="1" spans="1:14">
      <c r="A587" s="112"/>
      <c r="B587" s="112"/>
      <c r="C587" s="10"/>
      <c r="D587" s="10"/>
      <c r="E587" s="10"/>
      <c r="F587" s="10"/>
      <c r="G587" s="10"/>
      <c r="H587" s="10"/>
      <c r="I587" s="10"/>
      <c r="J587" s="103"/>
      <c r="K587" s="113"/>
      <c r="L587" s="103"/>
      <c r="M587" s="10"/>
      <c r="N587" s="10"/>
    </row>
    <row r="588" customFormat="1" spans="1:14">
      <c r="A588" s="112"/>
      <c r="B588" s="112"/>
      <c r="C588" s="10"/>
      <c r="D588" s="10"/>
      <c r="E588" s="10"/>
      <c r="F588" s="10"/>
      <c r="G588" s="10"/>
      <c r="H588" s="10"/>
      <c r="I588" s="10"/>
      <c r="J588" s="103"/>
      <c r="K588" s="113"/>
      <c r="L588" s="103"/>
      <c r="M588" s="10"/>
      <c r="N588" s="10"/>
    </row>
    <row r="589" customFormat="1" spans="1:14">
      <c r="A589" s="112"/>
      <c r="B589" s="112"/>
      <c r="C589" s="10"/>
      <c r="D589" s="10"/>
      <c r="E589" s="10"/>
      <c r="F589" s="10"/>
      <c r="G589" s="10"/>
      <c r="H589" s="10"/>
      <c r="I589" s="10"/>
      <c r="J589" s="103"/>
      <c r="K589" s="113"/>
      <c r="L589" s="103"/>
      <c r="M589" s="10"/>
      <c r="N589" s="10"/>
    </row>
    <row r="590" customFormat="1" spans="1:14">
      <c r="A590" s="112"/>
      <c r="B590" s="112"/>
      <c r="C590" s="10"/>
      <c r="D590" s="10"/>
      <c r="E590" s="10"/>
      <c r="F590" s="10"/>
      <c r="G590" s="10"/>
      <c r="H590" s="10"/>
      <c r="I590" s="10"/>
      <c r="J590" s="103"/>
      <c r="K590" s="113"/>
      <c r="L590" s="103"/>
      <c r="M590" s="10"/>
      <c r="N590" s="10"/>
    </row>
    <row r="591" customFormat="1" spans="1:14">
      <c r="A591" s="112"/>
      <c r="B591" s="112"/>
      <c r="C591" s="10"/>
      <c r="D591" s="10"/>
      <c r="E591" s="10"/>
      <c r="F591" s="10"/>
      <c r="G591" s="10"/>
      <c r="H591" s="10"/>
      <c r="I591" s="10"/>
      <c r="J591" s="103"/>
      <c r="K591" s="113"/>
      <c r="L591" s="103"/>
      <c r="M591" s="10"/>
      <c r="N591" s="10"/>
    </row>
    <row r="592" customFormat="1" spans="1:14">
      <c r="A592" s="112"/>
      <c r="B592" s="112"/>
      <c r="C592" s="10"/>
      <c r="D592" s="10"/>
      <c r="E592" s="10"/>
      <c r="F592" s="10"/>
      <c r="G592" s="10"/>
      <c r="H592" s="10"/>
      <c r="I592" s="10"/>
      <c r="J592" s="103"/>
      <c r="K592" s="113"/>
      <c r="L592" s="103"/>
      <c r="M592" s="10"/>
      <c r="N592" s="10"/>
    </row>
    <row r="593" customFormat="1" spans="1:14">
      <c r="A593" s="112"/>
      <c r="B593" s="112"/>
      <c r="C593" s="10"/>
      <c r="D593" s="10"/>
      <c r="E593" s="10"/>
      <c r="F593" s="10"/>
      <c r="G593" s="10"/>
      <c r="H593" s="10"/>
      <c r="I593" s="10"/>
      <c r="J593" s="103"/>
      <c r="K593" s="113"/>
      <c r="L593" s="103"/>
      <c r="M593" s="10"/>
      <c r="N593" s="10"/>
    </row>
    <row r="594" customFormat="1" spans="1:14">
      <c r="A594" s="112"/>
      <c r="B594" s="112"/>
      <c r="C594" s="10"/>
      <c r="D594" s="10"/>
      <c r="E594" s="10"/>
      <c r="F594" s="10"/>
      <c r="G594" s="10"/>
      <c r="H594" s="10"/>
      <c r="I594" s="10"/>
      <c r="J594" s="103"/>
      <c r="K594" s="113"/>
      <c r="L594" s="103"/>
      <c r="M594" s="10"/>
      <c r="N594" s="10"/>
    </row>
    <row r="595" customFormat="1" spans="1:14">
      <c r="A595" s="112"/>
      <c r="B595" s="112"/>
      <c r="C595" s="10"/>
      <c r="D595" s="10"/>
      <c r="E595" s="10"/>
      <c r="F595" s="10"/>
      <c r="G595" s="10"/>
      <c r="H595" s="10"/>
      <c r="I595" s="10"/>
      <c r="J595" s="103"/>
      <c r="K595" s="113"/>
      <c r="L595" s="103"/>
      <c r="M595" s="10"/>
      <c r="N595" s="10"/>
    </row>
    <row r="596" customFormat="1" spans="1:14">
      <c r="A596" s="112"/>
      <c r="B596" s="112"/>
      <c r="C596" s="10"/>
      <c r="D596" s="10"/>
      <c r="E596" s="10"/>
      <c r="F596" s="10"/>
      <c r="G596" s="10"/>
      <c r="H596" s="10"/>
      <c r="I596" s="10"/>
      <c r="J596" s="103"/>
      <c r="K596" s="113"/>
      <c r="L596" s="103"/>
      <c r="M596" s="10"/>
      <c r="N596" s="10"/>
    </row>
    <row r="597" customFormat="1" spans="1:14">
      <c r="A597" s="112"/>
      <c r="B597" s="112"/>
      <c r="C597" s="10"/>
      <c r="D597" s="10"/>
      <c r="E597" s="10"/>
      <c r="F597" s="10"/>
      <c r="G597" s="10"/>
      <c r="H597" s="10"/>
      <c r="I597" s="10"/>
      <c r="J597" s="103"/>
      <c r="K597" s="113"/>
      <c r="L597" s="103"/>
      <c r="M597" s="10"/>
      <c r="N597" s="10"/>
    </row>
    <row r="598" customFormat="1" spans="1:14">
      <c r="A598" s="112"/>
      <c r="B598" s="112"/>
      <c r="C598" s="10"/>
      <c r="D598" s="10"/>
      <c r="E598" s="10"/>
      <c r="F598" s="10"/>
      <c r="G598" s="10"/>
      <c r="H598" s="10"/>
      <c r="I598" s="10"/>
      <c r="J598" s="103"/>
      <c r="K598" s="113"/>
      <c r="L598" s="103"/>
      <c r="M598" s="10"/>
      <c r="N598" s="10"/>
    </row>
    <row r="599" customFormat="1" spans="1:14">
      <c r="A599" s="112"/>
      <c r="B599" s="112"/>
      <c r="C599" s="10"/>
      <c r="D599" s="10"/>
      <c r="E599" s="10"/>
      <c r="F599" s="10"/>
      <c r="G599" s="10"/>
      <c r="H599" s="10"/>
      <c r="I599" s="10"/>
      <c r="J599" s="103"/>
      <c r="K599" s="113"/>
      <c r="L599" s="103"/>
      <c r="M599" s="10"/>
      <c r="N599" s="10"/>
    </row>
    <row r="600" customFormat="1" spans="1:14">
      <c r="A600" s="112"/>
      <c r="B600" s="112"/>
      <c r="C600" s="10"/>
      <c r="D600" s="10"/>
      <c r="E600" s="10"/>
      <c r="F600" s="10"/>
      <c r="G600" s="10"/>
      <c r="H600" s="10"/>
      <c r="I600" s="10"/>
      <c r="J600" s="103"/>
      <c r="K600" s="113"/>
      <c r="L600" s="103"/>
      <c r="M600" s="10"/>
      <c r="N600" s="10"/>
    </row>
    <row r="601" customFormat="1" spans="1:14">
      <c r="A601" s="112"/>
      <c r="B601" s="112"/>
      <c r="C601" s="10"/>
      <c r="D601" s="10"/>
      <c r="E601" s="10"/>
      <c r="F601" s="10"/>
      <c r="G601" s="10"/>
      <c r="H601" s="10"/>
      <c r="I601" s="10"/>
      <c r="J601" s="103"/>
      <c r="K601" s="113"/>
      <c r="L601" s="103"/>
      <c r="M601" s="10"/>
      <c r="N601" s="10"/>
    </row>
    <row r="602" customFormat="1" spans="1:14">
      <c r="A602" s="112"/>
      <c r="B602" s="112"/>
      <c r="C602" s="10"/>
      <c r="D602" s="10"/>
      <c r="E602" s="10"/>
      <c r="F602" s="10"/>
      <c r="G602" s="10"/>
      <c r="H602" s="10"/>
      <c r="I602" s="10"/>
      <c r="J602" s="103"/>
      <c r="K602" s="113"/>
      <c r="L602" s="103"/>
      <c r="M602" s="10"/>
      <c r="N602" s="10"/>
    </row>
    <row r="603" customFormat="1" spans="1:14">
      <c r="A603" s="112"/>
      <c r="B603" s="112"/>
      <c r="C603" s="10"/>
      <c r="D603" s="10"/>
      <c r="E603" s="10"/>
      <c r="F603" s="10"/>
      <c r="G603" s="10"/>
      <c r="H603" s="10"/>
      <c r="I603" s="10"/>
      <c r="J603" s="103"/>
      <c r="K603" s="113"/>
      <c r="L603" s="103"/>
      <c r="M603" s="10"/>
      <c r="N603" s="10"/>
    </row>
    <row r="604" customFormat="1" spans="1:14">
      <c r="A604" s="112"/>
      <c r="B604" s="112"/>
      <c r="C604" s="10"/>
      <c r="D604" s="10"/>
      <c r="E604" s="10"/>
      <c r="F604" s="10"/>
      <c r="G604" s="10"/>
      <c r="H604" s="10"/>
      <c r="I604" s="10"/>
      <c r="J604" s="103"/>
      <c r="K604" s="113"/>
      <c r="L604" s="103"/>
      <c r="M604" s="10"/>
      <c r="N604" s="10"/>
    </row>
    <row r="605" customFormat="1" spans="1:14">
      <c r="A605" s="112"/>
      <c r="B605" s="112"/>
      <c r="C605" s="10"/>
      <c r="D605" s="10"/>
      <c r="E605" s="10"/>
      <c r="F605" s="10"/>
      <c r="G605" s="10"/>
      <c r="H605" s="10"/>
      <c r="I605" s="10"/>
      <c r="J605" s="103"/>
      <c r="K605" s="113"/>
      <c r="L605" s="103"/>
      <c r="M605" s="10"/>
      <c r="N605" s="10"/>
    </row>
    <row r="606" customFormat="1" spans="1:14">
      <c r="A606" s="112"/>
      <c r="B606" s="112"/>
      <c r="C606" s="10"/>
      <c r="D606" s="10"/>
      <c r="E606" s="10"/>
      <c r="F606" s="10"/>
      <c r="G606" s="10"/>
      <c r="H606" s="10"/>
      <c r="I606" s="10"/>
      <c r="J606" s="103"/>
      <c r="K606" s="113"/>
      <c r="L606" s="103"/>
      <c r="M606" s="10"/>
      <c r="N606" s="10"/>
    </row>
    <row r="607" customFormat="1" spans="1:14">
      <c r="A607" s="112"/>
      <c r="B607" s="112"/>
      <c r="C607" s="10"/>
      <c r="D607" s="10"/>
      <c r="E607" s="10"/>
      <c r="F607" s="10"/>
      <c r="G607" s="10"/>
      <c r="H607" s="10"/>
      <c r="I607" s="10"/>
      <c r="J607" s="103"/>
      <c r="K607" s="113"/>
      <c r="L607" s="103"/>
      <c r="M607" s="10"/>
      <c r="N607" s="10"/>
    </row>
    <row r="608" customFormat="1" spans="1:14">
      <c r="A608" s="112"/>
      <c r="B608" s="112"/>
      <c r="C608" s="10"/>
      <c r="D608" s="10"/>
      <c r="E608" s="10"/>
      <c r="F608" s="10"/>
      <c r="G608" s="10"/>
      <c r="H608" s="10"/>
      <c r="I608" s="10"/>
      <c r="J608" s="103"/>
      <c r="K608" s="113"/>
      <c r="L608" s="103"/>
      <c r="M608" s="10"/>
      <c r="N608" s="10"/>
    </row>
    <row r="609" customFormat="1" spans="1:14">
      <c r="A609" s="112"/>
      <c r="B609" s="112"/>
      <c r="C609" s="10"/>
      <c r="D609" s="10"/>
      <c r="E609" s="10"/>
      <c r="F609" s="10"/>
      <c r="G609" s="10"/>
      <c r="H609" s="10"/>
      <c r="I609" s="10"/>
      <c r="J609" s="103"/>
      <c r="K609" s="113"/>
      <c r="L609" s="103"/>
      <c r="M609" s="10"/>
      <c r="N609" s="10"/>
    </row>
    <row r="610" customFormat="1" spans="1:14">
      <c r="A610" s="112"/>
      <c r="B610" s="112"/>
      <c r="C610" s="10"/>
      <c r="D610" s="10"/>
      <c r="E610" s="10"/>
      <c r="F610" s="10"/>
      <c r="G610" s="10"/>
      <c r="H610" s="10"/>
      <c r="I610" s="10"/>
      <c r="J610" s="103"/>
      <c r="K610" s="113"/>
      <c r="L610" s="103"/>
      <c r="M610" s="10"/>
      <c r="N610" s="10"/>
    </row>
    <row r="611" customFormat="1" spans="1:14">
      <c r="A611" s="112"/>
      <c r="B611" s="112"/>
      <c r="C611" s="10"/>
      <c r="D611" s="10"/>
      <c r="E611" s="10"/>
      <c r="F611" s="10"/>
      <c r="G611" s="10"/>
      <c r="H611" s="10"/>
      <c r="I611" s="10"/>
      <c r="J611" s="103"/>
      <c r="K611" s="113"/>
      <c r="L611" s="103"/>
      <c r="M611" s="10"/>
      <c r="N611" s="10"/>
    </row>
    <row r="612" customFormat="1" spans="1:14">
      <c r="A612" s="112"/>
      <c r="B612" s="112"/>
      <c r="C612" s="10"/>
      <c r="D612" s="10"/>
      <c r="E612" s="10"/>
      <c r="F612" s="10"/>
      <c r="G612" s="10"/>
      <c r="H612" s="10"/>
      <c r="I612" s="10"/>
      <c r="J612" s="103"/>
      <c r="K612" s="113"/>
      <c r="L612" s="103"/>
      <c r="M612" s="10"/>
      <c r="N612" s="10"/>
    </row>
    <row r="613" customFormat="1" spans="1:14">
      <c r="A613" s="112"/>
      <c r="B613" s="112"/>
      <c r="C613" s="10"/>
      <c r="D613" s="10"/>
      <c r="E613" s="10"/>
      <c r="F613" s="10"/>
      <c r="G613" s="10"/>
      <c r="H613" s="10"/>
      <c r="I613" s="10"/>
      <c r="J613" s="103"/>
      <c r="K613" s="113"/>
      <c r="L613" s="103"/>
      <c r="M613" s="10"/>
      <c r="N613" s="10"/>
    </row>
    <row r="614" customFormat="1" spans="1:14">
      <c r="A614" s="112"/>
      <c r="B614" s="112"/>
      <c r="C614" s="10"/>
      <c r="D614" s="10"/>
      <c r="E614" s="10"/>
      <c r="F614" s="10"/>
      <c r="G614" s="10"/>
      <c r="H614" s="10"/>
      <c r="I614" s="10"/>
      <c r="J614" s="103"/>
      <c r="K614" s="113"/>
      <c r="L614" s="103"/>
      <c r="M614" s="10"/>
      <c r="N614" s="10"/>
    </row>
    <row r="615" customFormat="1" spans="1:14">
      <c r="A615" s="112"/>
      <c r="B615" s="112"/>
      <c r="C615" s="10"/>
      <c r="D615" s="10"/>
      <c r="E615" s="10"/>
      <c r="F615" s="10"/>
      <c r="G615" s="10"/>
      <c r="H615" s="10"/>
      <c r="I615" s="10"/>
      <c r="J615" s="103"/>
      <c r="K615" s="113"/>
      <c r="L615" s="103"/>
      <c r="M615" s="10"/>
      <c r="N615" s="10"/>
    </row>
  </sheetData>
  <autoFilter xmlns:etc="http://www.wps.cn/officeDocument/2017/etCustomData" ref="A1:N523" etc:filterBottomFollowUsedRange="0">
    <extLst/>
  </autoFilter>
  <pageMargins left="0.7" right="0.7" top="0.75" bottom="0.75" header="0.3" footer="0.3"/>
  <pageSetup paperSize="1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P2646"/>
  <sheetViews>
    <sheetView workbookViewId="0">
      <pane xSplit="4" ySplit="1" topLeftCell="E2219" activePane="bottomRight" state="frozen"/>
      <selection/>
      <selection pane="topRight"/>
      <selection pane="bottomLeft"/>
      <selection pane="bottomRight" activeCell="A2" sqref="A2:O2243"/>
    </sheetView>
  </sheetViews>
  <sheetFormatPr defaultColWidth="11" defaultRowHeight="15.75"/>
  <cols>
    <col min="1" max="1" width="5.66666666666667" style="10"/>
    <col min="2" max="2" width="8.16666666666667" style="10"/>
    <col min="3" max="4" width="11.1666666666667" style="10"/>
    <col min="5" max="5" width="9.66666666666667" style="10"/>
    <col min="6" max="7" width="11.8333333333333" style="10"/>
    <col min="8" max="8" width="9.66666666666667" style="10"/>
    <col min="9" max="9" width="4.16666666666667" style="10"/>
    <col min="10" max="10" width="9.66666666666667" style="10"/>
    <col min="11" max="12" width="11.8333333333333" style="10"/>
    <col min="13" max="13" width="9.66666666666667" style="10"/>
    <col min="14" max="14" width="5.5" style="10"/>
    <col min="15" max="15" width="63.8333333333333" style="102"/>
    <col min="16" max="16" width="9.16666666666667" style="58"/>
    <col min="17" max="16384" width="11" style="10"/>
  </cols>
  <sheetData>
    <row r="1" s="94" customFormat="1" spans="1:16">
      <c r="A1" s="96" t="s">
        <v>748</v>
      </c>
      <c r="B1" s="96" t="s">
        <v>618</v>
      </c>
      <c r="C1" s="96" t="s">
        <v>623</v>
      </c>
      <c r="D1" s="96" t="s">
        <v>624</v>
      </c>
      <c r="E1" s="96" t="s">
        <v>749</v>
      </c>
      <c r="F1" s="96" t="s">
        <v>750</v>
      </c>
      <c r="G1" s="96" t="s">
        <v>751</v>
      </c>
      <c r="H1" s="96" t="s">
        <v>752</v>
      </c>
      <c r="I1" s="96" t="s">
        <v>753</v>
      </c>
      <c r="J1" s="96" t="s">
        <v>754</v>
      </c>
      <c r="K1" s="96" t="s">
        <v>755</v>
      </c>
      <c r="L1" s="96" t="s">
        <v>756</v>
      </c>
      <c r="M1" s="96" t="s">
        <v>757</v>
      </c>
      <c r="N1" s="96" t="s">
        <v>758</v>
      </c>
      <c r="O1" s="96" t="s">
        <v>627</v>
      </c>
      <c r="P1" s="104" t="s">
        <v>9</v>
      </c>
    </row>
    <row r="2" spans="1:16">
      <c r="A2" s="10" t="s">
        <v>635</v>
      </c>
      <c r="B2" s="10">
        <v>1000049</v>
      </c>
      <c r="C2" s="10" t="s">
        <v>759</v>
      </c>
      <c r="D2" s="10" t="s">
        <v>760</v>
      </c>
      <c r="E2" s="10">
        <v>49</v>
      </c>
      <c r="F2" s="10">
        <v>215.6</v>
      </c>
      <c r="G2" s="10">
        <v>0</v>
      </c>
      <c r="H2" s="10">
        <v>264.6</v>
      </c>
      <c r="I2" s="10" t="s">
        <v>45</v>
      </c>
      <c r="J2" s="10">
        <v>115</v>
      </c>
      <c r="K2" s="10">
        <v>506</v>
      </c>
      <c r="L2" s="10">
        <v>0</v>
      </c>
      <c r="M2" s="10">
        <v>621</v>
      </c>
      <c r="N2" s="10" t="s">
        <v>761</v>
      </c>
      <c r="O2" s="10" t="s">
        <v>536</v>
      </c>
      <c r="P2" s="105">
        <f>M2/H2</f>
        <v>2.3469387755102</v>
      </c>
    </row>
    <row r="3" spans="1:16">
      <c r="A3" s="10" t="s">
        <v>635</v>
      </c>
      <c r="B3" s="10">
        <v>1000096</v>
      </c>
      <c r="C3" s="10" t="s">
        <v>759</v>
      </c>
      <c r="D3" s="10" t="s">
        <v>760</v>
      </c>
      <c r="E3" s="10">
        <v>12.88</v>
      </c>
      <c r="F3" s="10">
        <v>0</v>
      </c>
      <c r="G3" s="10">
        <v>0</v>
      </c>
      <c r="H3" s="10">
        <v>12.88</v>
      </c>
      <c r="I3" s="10" t="s">
        <v>74</v>
      </c>
      <c r="J3" s="10">
        <v>93.33</v>
      </c>
      <c r="K3" s="10">
        <v>0</v>
      </c>
      <c r="L3" s="10">
        <v>0</v>
      </c>
      <c r="M3" s="10">
        <v>93.33</v>
      </c>
      <c r="N3" s="10" t="s">
        <v>761</v>
      </c>
      <c r="O3" s="10" t="s">
        <v>524</v>
      </c>
      <c r="P3" s="105">
        <f t="shared" ref="P3:P66" si="0">M3/H3</f>
        <v>7.24611801242236</v>
      </c>
    </row>
    <row r="4" spans="1:16">
      <c r="A4" s="10" t="s">
        <v>635</v>
      </c>
      <c r="B4" s="10">
        <v>1000103</v>
      </c>
      <c r="C4" s="10" t="s">
        <v>759</v>
      </c>
      <c r="D4" s="10" t="s">
        <v>760</v>
      </c>
      <c r="E4" s="10">
        <v>15.3</v>
      </c>
      <c r="F4" s="10">
        <v>0</v>
      </c>
      <c r="G4" s="10">
        <v>0</v>
      </c>
      <c r="H4" s="10">
        <v>15.3</v>
      </c>
      <c r="I4" s="10" t="s">
        <v>74</v>
      </c>
      <c r="J4" s="10">
        <v>111.83</v>
      </c>
      <c r="K4" s="10">
        <v>0</v>
      </c>
      <c r="L4" s="10">
        <v>0</v>
      </c>
      <c r="M4" s="10">
        <v>111.83</v>
      </c>
      <c r="N4" s="10" t="s">
        <v>761</v>
      </c>
      <c r="O4" s="10" t="s">
        <v>205</v>
      </c>
      <c r="P4" s="105">
        <f t="shared" si="0"/>
        <v>7.30915032679739</v>
      </c>
    </row>
    <row r="5" spans="1:16">
      <c r="A5" s="10" t="s">
        <v>635</v>
      </c>
      <c r="B5" s="10">
        <v>1000132</v>
      </c>
      <c r="C5" s="10" t="s">
        <v>759</v>
      </c>
      <c r="D5" s="10" t="s">
        <v>760</v>
      </c>
      <c r="E5" s="10">
        <v>36</v>
      </c>
      <c r="F5" s="10">
        <v>108</v>
      </c>
      <c r="G5" s="10">
        <v>0</v>
      </c>
      <c r="H5" s="10">
        <v>144</v>
      </c>
      <c r="I5" s="10" t="s">
        <v>74</v>
      </c>
      <c r="J5" s="10">
        <v>306</v>
      </c>
      <c r="K5" s="10">
        <v>918</v>
      </c>
      <c r="L5" s="10">
        <v>0</v>
      </c>
      <c r="M5" s="103">
        <v>1224</v>
      </c>
      <c r="N5" s="10" t="s">
        <v>761</v>
      </c>
      <c r="O5" s="10" t="s">
        <v>320</v>
      </c>
      <c r="P5" s="105">
        <f t="shared" si="0"/>
        <v>8.5</v>
      </c>
    </row>
    <row r="6" spans="1:16">
      <c r="A6" s="10" t="s">
        <v>635</v>
      </c>
      <c r="B6" s="10">
        <v>1000233</v>
      </c>
      <c r="C6" s="10" t="s">
        <v>759</v>
      </c>
      <c r="D6" s="10" t="s">
        <v>760</v>
      </c>
      <c r="E6" s="10">
        <v>0</v>
      </c>
      <c r="F6" s="10">
        <v>0</v>
      </c>
      <c r="G6" s="10">
        <v>0</v>
      </c>
      <c r="H6" s="10">
        <v>0</v>
      </c>
      <c r="I6" s="10" t="s">
        <v>74</v>
      </c>
      <c r="J6" s="10">
        <v>0</v>
      </c>
      <c r="K6" s="10">
        <v>0</v>
      </c>
      <c r="L6" s="10">
        <v>0</v>
      </c>
      <c r="M6" s="10">
        <v>0</v>
      </c>
      <c r="N6" s="10" t="s">
        <v>761</v>
      </c>
      <c r="O6" s="10" t="s">
        <v>762</v>
      </c>
      <c r="P6" s="105" t="e">
        <f t="shared" si="0"/>
        <v>#DIV/0!</v>
      </c>
    </row>
    <row r="7" spans="1:16">
      <c r="A7" s="10" t="s">
        <v>635</v>
      </c>
      <c r="B7" s="10">
        <v>1000266</v>
      </c>
      <c r="C7" s="10" t="s">
        <v>759</v>
      </c>
      <c r="D7" s="10" t="s">
        <v>760</v>
      </c>
      <c r="E7" s="10">
        <v>0</v>
      </c>
      <c r="F7" s="10">
        <v>0</v>
      </c>
      <c r="G7" s="10">
        <v>0</v>
      </c>
      <c r="H7" s="10">
        <v>0</v>
      </c>
      <c r="I7" s="10" t="s">
        <v>45</v>
      </c>
      <c r="J7" s="10">
        <v>0</v>
      </c>
      <c r="K7" s="10">
        <v>0</v>
      </c>
      <c r="L7" s="10">
        <v>0</v>
      </c>
      <c r="M7" s="10">
        <v>0</v>
      </c>
      <c r="N7" s="10" t="s">
        <v>761</v>
      </c>
      <c r="O7" s="10" t="s">
        <v>763</v>
      </c>
      <c r="P7" s="105" t="e">
        <f t="shared" si="0"/>
        <v>#DIV/0!</v>
      </c>
    </row>
    <row r="8" spans="1:16">
      <c r="A8" s="10" t="s">
        <v>635</v>
      </c>
      <c r="B8" s="10">
        <v>1001170</v>
      </c>
      <c r="C8" s="10" t="s">
        <v>759</v>
      </c>
      <c r="D8" s="10" t="s">
        <v>760</v>
      </c>
      <c r="E8" s="10">
        <v>0</v>
      </c>
      <c r="F8" s="10">
        <v>0</v>
      </c>
      <c r="G8" s="10">
        <v>0</v>
      </c>
      <c r="H8" s="10">
        <v>0</v>
      </c>
      <c r="I8" s="10" t="s">
        <v>74</v>
      </c>
      <c r="J8" s="10">
        <v>0</v>
      </c>
      <c r="K8" s="10">
        <v>0</v>
      </c>
      <c r="L8" s="10">
        <v>0</v>
      </c>
      <c r="M8" s="10">
        <v>0</v>
      </c>
      <c r="N8" s="10" t="s">
        <v>761</v>
      </c>
      <c r="O8" s="10" t="s">
        <v>764</v>
      </c>
      <c r="P8" s="105" t="e">
        <f t="shared" si="0"/>
        <v>#DIV/0!</v>
      </c>
    </row>
    <row r="9" spans="1:16">
      <c r="A9" s="10" t="s">
        <v>635</v>
      </c>
      <c r="B9" s="10">
        <v>1001268</v>
      </c>
      <c r="C9" s="10" t="s">
        <v>759</v>
      </c>
      <c r="D9" s="10" t="s">
        <v>760</v>
      </c>
      <c r="E9" s="10">
        <v>0</v>
      </c>
      <c r="F9" s="10">
        <v>0</v>
      </c>
      <c r="G9" s="10">
        <v>0</v>
      </c>
      <c r="H9" s="10">
        <v>0</v>
      </c>
      <c r="I9" s="10" t="s">
        <v>74</v>
      </c>
      <c r="J9" s="10">
        <v>0</v>
      </c>
      <c r="K9" s="10">
        <v>0</v>
      </c>
      <c r="L9" s="10">
        <v>0</v>
      </c>
      <c r="M9" s="10">
        <v>0</v>
      </c>
      <c r="N9" s="10" t="s">
        <v>761</v>
      </c>
      <c r="O9" s="10" t="s">
        <v>765</v>
      </c>
      <c r="P9" s="105" t="e">
        <f t="shared" si="0"/>
        <v>#DIV/0!</v>
      </c>
    </row>
    <row r="10" spans="1:16">
      <c r="A10" s="10" t="s">
        <v>635</v>
      </c>
      <c r="B10" s="10">
        <v>1001413</v>
      </c>
      <c r="C10" s="10" t="s">
        <v>759</v>
      </c>
      <c r="D10" s="10" t="s">
        <v>760</v>
      </c>
      <c r="E10" s="10">
        <v>1.23</v>
      </c>
      <c r="F10" s="10">
        <v>4.92</v>
      </c>
      <c r="G10" s="10">
        <v>0</v>
      </c>
      <c r="H10" s="10">
        <v>6.15</v>
      </c>
      <c r="I10" s="10" t="s">
        <v>45</v>
      </c>
      <c r="J10" s="10">
        <v>17.67</v>
      </c>
      <c r="K10" s="10">
        <v>70.68</v>
      </c>
      <c r="L10" s="10">
        <v>0</v>
      </c>
      <c r="M10" s="10">
        <v>88.35</v>
      </c>
      <c r="N10" s="10" t="s">
        <v>761</v>
      </c>
      <c r="O10" s="10" t="s">
        <v>148</v>
      </c>
      <c r="P10" s="105">
        <f t="shared" si="0"/>
        <v>14.3658536585366</v>
      </c>
    </row>
    <row r="11" spans="1:16">
      <c r="A11" s="10" t="s">
        <v>635</v>
      </c>
      <c r="B11" s="10">
        <v>1003028</v>
      </c>
      <c r="C11" s="10" t="s">
        <v>759</v>
      </c>
      <c r="D11" s="10" t="s">
        <v>760</v>
      </c>
      <c r="E11" s="10">
        <v>20</v>
      </c>
      <c r="F11" s="10">
        <v>500</v>
      </c>
      <c r="G11" s="10">
        <v>0</v>
      </c>
      <c r="H11" s="10">
        <v>520</v>
      </c>
      <c r="I11" s="10" t="s">
        <v>74</v>
      </c>
      <c r="J11" s="10">
        <v>83.7</v>
      </c>
      <c r="K11" s="103">
        <v>2092.5</v>
      </c>
      <c r="L11" s="10">
        <v>0</v>
      </c>
      <c r="M11" s="103">
        <v>2176.2</v>
      </c>
      <c r="N11" s="10" t="s">
        <v>761</v>
      </c>
      <c r="O11" s="10" t="s">
        <v>376</v>
      </c>
      <c r="P11" s="105">
        <f t="shared" si="0"/>
        <v>4.185</v>
      </c>
    </row>
    <row r="12" spans="1:16">
      <c r="A12" s="10" t="s">
        <v>635</v>
      </c>
      <c r="B12" s="10">
        <v>1004576</v>
      </c>
      <c r="C12" s="10" t="s">
        <v>759</v>
      </c>
      <c r="D12" s="10" t="s">
        <v>760</v>
      </c>
      <c r="E12" s="10">
        <v>0</v>
      </c>
      <c r="F12" s="103">
        <v>10120</v>
      </c>
      <c r="G12" s="10">
        <v>0</v>
      </c>
      <c r="H12" s="103">
        <v>10120</v>
      </c>
      <c r="I12" s="10" t="s">
        <v>30</v>
      </c>
      <c r="J12" s="10">
        <v>0</v>
      </c>
      <c r="K12" s="103">
        <v>1069.61</v>
      </c>
      <c r="L12" s="10">
        <v>0</v>
      </c>
      <c r="M12" s="103">
        <v>1069.61</v>
      </c>
      <c r="N12" s="10" t="s">
        <v>761</v>
      </c>
      <c r="O12" s="10" t="s">
        <v>503</v>
      </c>
      <c r="P12" s="105">
        <f t="shared" si="0"/>
        <v>0.105692687747036</v>
      </c>
    </row>
    <row r="13" spans="1:16">
      <c r="A13" s="10" t="s">
        <v>635</v>
      </c>
      <c r="B13" s="10">
        <v>1500009</v>
      </c>
      <c r="C13" s="10" t="s">
        <v>759</v>
      </c>
      <c r="D13" s="10" t="s">
        <v>760</v>
      </c>
      <c r="E13" s="10">
        <v>15.4</v>
      </c>
      <c r="F13" s="10">
        <v>105.6</v>
      </c>
      <c r="G13" s="10">
        <v>0</v>
      </c>
      <c r="H13" s="10">
        <v>121</v>
      </c>
      <c r="I13" s="10" t="s">
        <v>74</v>
      </c>
      <c r="J13" s="10">
        <v>48.12</v>
      </c>
      <c r="K13" s="10">
        <v>330</v>
      </c>
      <c r="L13" s="10">
        <v>0</v>
      </c>
      <c r="M13" s="10">
        <v>378.12</v>
      </c>
      <c r="N13" s="10" t="s">
        <v>761</v>
      </c>
      <c r="O13" s="10" t="s">
        <v>504</v>
      </c>
      <c r="P13" s="105">
        <f t="shared" si="0"/>
        <v>3.12495867768595</v>
      </c>
    </row>
    <row r="14" spans="1:16">
      <c r="A14" s="10" t="s">
        <v>635</v>
      </c>
      <c r="B14" s="10">
        <v>1500032</v>
      </c>
      <c r="C14" s="10" t="s">
        <v>759</v>
      </c>
      <c r="D14" s="10" t="s">
        <v>760</v>
      </c>
      <c r="E14" s="10">
        <v>48</v>
      </c>
      <c r="F14" s="10">
        <v>6</v>
      </c>
      <c r="G14" s="10">
        <v>0</v>
      </c>
      <c r="H14" s="10">
        <v>54</v>
      </c>
      <c r="I14" s="10" t="s">
        <v>74</v>
      </c>
      <c r="J14" s="10">
        <v>198.47</v>
      </c>
      <c r="K14" s="10">
        <v>25</v>
      </c>
      <c r="L14" s="10">
        <v>0</v>
      </c>
      <c r="M14" s="10">
        <v>223.47</v>
      </c>
      <c r="N14" s="10" t="s">
        <v>761</v>
      </c>
      <c r="O14" s="10" t="s">
        <v>559</v>
      </c>
      <c r="P14" s="105">
        <f t="shared" si="0"/>
        <v>4.13833333333333</v>
      </c>
    </row>
    <row r="15" spans="1:16">
      <c r="A15" s="10" t="s">
        <v>635</v>
      </c>
      <c r="B15" s="10">
        <v>1500058</v>
      </c>
      <c r="C15" s="10" t="s">
        <v>759</v>
      </c>
      <c r="D15" s="10" t="s">
        <v>760</v>
      </c>
      <c r="E15" s="10">
        <v>0</v>
      </c>
      <c r="F15" s="10">
        <v>0</v>
      </c>
      <c r="G15" s="10">
        <v>0</v>
      </c>
      <c r="H15" s="10">
        <v>0</v>
      </c>
      <c r="I15" s="10" t="s">
        <v>74</v>
      </c>
      <c r="J15" s="10">
        <v>0</v>
      </c>
      <c r="K15" s="10">
        <v>0</v>
      </c>
      <c r="L15" s="10">
        <v>0</v>
      </c>
      <c r="M15" s="10">
        <v>0</v>
      </c>
      <c r="N15" s="10" t="s">
        <v>761</v>
      </c>
      <c r="O15" s="10" t="s">
        <v>766</v>
      </c>
      <c r="P15" s="105" t="e">
        <f t="shared" si="0"/>
        <v>#DIV/0!</v>
      </c>
    </row>
    <row r="16" spans="1:16">
      <c r="A16" s="10" t="s">
        <v>635</v>
      </c>
      <c r="B16" s="10">
        <v>1500059</v>
      </c>
      <c r="C16" s="10" t="s">
        <v>759</v>
      </c>
      <c r="D16" s="10" t="s">
        <v>760</v>
      </c>
      <c r="E16" s="10">
        <v>60</v>
      </c>
      <c r="F16" s="10">
        <v>100</v>
      </c>
      <c r="G16" s="10">
        <v>0</v>
      </c>
      <c r="H16" s="10">
        <v>160</v>
      </c>
      <c r="I16" s="10" t="s">
        <v>74</v>
      </c>
      <c r="J16" s="10">
        <v>249.96</v>
      </c>
      <c r="K16" s="10">
        <v>424.91</v>
      </c>
      <c r="L16" s="10">
        <v>0</v>
      </c>
      <c r="M16" s="10">
        <v>674.87</v>
      </c>
      <c r="N16" s="10" t="s">
        <v>761</v>
      </c>
      <c r="O16" s="10" t="s">
        <v>72</v>
      </c>
      <c r="P16" s="105">
        <f t="shared" si="0"/>
        <v>4.2179375</v>
      </c>
    </row>
    <row r="17" spans="1:16">
      <c r="A17" s="10" t="s">
        <v>635</v>
      </c>
      <c r="B17" s="10">
        <v>1500091</v>
      </c>
      <c r="C17" s="10" t="s">
        <v>759</v>
      </c>
      <c r="D17" s="10" t="s">
        <v>760</v>
      </c>
      <c r="E17" s="10">
        <v>0</v>
      </c>
      <c r="F17" s="10">
        <v>0</v>
      </c>
      <c r="G17" s="10">
        <v>0</v>
      </c>
      <c r="H17" s="10">
        <v>0</v>
      </c>
      <c r="I17" s="10" t="s">
        <v>74</v>
      </c>
      <c r="J17" s="10">
        <v>0</v>
      </c>
      <c r="K17" s="10">
        <v>0</v>
      </c>
      <c r="L17" s="10">
        <v>0</v>
      </c>
      <c r="M17" s="10">
        <v>0</v>
      </c>
      <c r="N17" s="10" t="s">
        <v>761</v>
      </c>
      <c r="O17" s="10" t="s">
        <v>767</v>
      </c>
      <c r="P17" s="105" t="e">
        <f t="shared" si="0"/>
        <v>#DIV/0!</v>
      </c>
    </row>
    <row r="18" spans="1:16">
      <c r="A18" s="10" t="s">
        <v>635</v>
      </c>
      <c r="B18" s="10">
        <v>1500253</v>
      </c>
      <c r="C18" s="10" t="s">
        <v>759</v>
      </c>
      <c r="D18" s="10" t="s">
        <v>760</v>
      </c>
      <c r="E18" s="10">
        <v>0</v>
      </c>
      <c r="F18" s="10">
        <v>0</v>
      </c>
      <c r="G18" s="10">
        <v>0</v>
      </c>
      <c r="H18" s="10">
        <v>0</v>
      </c>
      <c r="I18" s="10" t="s">
        <v>74</v>
      </c>
      <c r="J18" s="10">
        <v>0</v>
      </c>
      <c r="K18" s="10">
        <v>0</v>
      </c>
      <c r="L18" s="10">
        <v>0</v>
      </c>
      <c r="M18" s="10">
        <v>0</v>
      </c>
      <c r="N18" s="10" t="s">
        <v>761</v>
      </c>
      <c r="O18" s="10" t="s">
        <v>768</v>
      </c>
      <c r="P18" s="105" t="e">
        <f t="shared" si="0"/>
        <v>#DIV/0!</v>
      </c>
    </row>
    <row r="19" spans="1:16">
      <c r="A19" s="10" t="s">
        <v>635</v>
      </c>
      <c r="B19" s="10">
        <v>1500352</v>
      </c>
      <c r="C19" s="10" t="s">
        <v>759</v>
      </c>
      <c r="D19" s="10" t="s">
        <v>760</v>
      </c>
      <c r="E19" s="10">
        <v>0</v>
      </c>
      <c r="F19" s="10">
        <v>0</v>
      </c>
      <c r="G19" s="10">
        <v>0</v>
      </c>
      <c r="H19" s="10">
        <v>0</v>
      </c>
      <c r="I19" s="10" t="s">
        <v>45</v>
      </c>
      <c r="J19" s="10">
        <v>0</v>
      </c>
      <c r="K19" s="10">
        <v>0</v>
      </c>
      <c r="L19" s="10">
        <v>0</v>
      </c>
      <c r="M19" s="10">
        <v>0</v>
      </c>
      <c r="N19" s="10" t="s">
        <v>761</v>
      </c>
      <c r="O19" s="10" t="s">
        <v>769</v>
      </c>
      <c r="P19" s="105" t="e">
        <f t="shared" si="0"/>
        <v>#DIV/0!</v>
      </c>
    </row>
    <row r="20" spans="1:16">
      <c r="A20" s="10" t="s">
        <v>635</v>
      </c>
      <c r="B20" s="10">
        <v>1500381</v>
      </c>
      <c r="C20" s="10" t="s">
        <v>759</v>
      </c>
      <c r="D20" s="10" t="s">
        <v>760</v>
      </c>
      <c r="E20" s="10">
        <v>0</v>
      </c>
      <c r="F20" s="10">
        <v>0</v>
      </c>
      <c r="G20" s="10">
        <v>0</v>
      </c>
      <c r="H20" s="10">
        <v>0</v>
      </c>
      <c r="I20" s="10" t="s">
        <v>74</v>
      </c>
      <c r="J20" s="10">
        <v>0</v>
      </c>
      <c r="K20" s="10">
        <v>0</v>
      </c>
      <c r="L20" s="10">
        <v>0</v>
      </c>
      <c r="M20" s="10">
        <v>0</v>
      </c>
      <c r="N20" s="10" t="s">
        <v>761</v>
      </c>
      <c r="O20" s="10" t="s">
        <v>770</v>
      </c>
      <c r="P20" s="105" t="e">
        <f t="shared" si="0"/>
        <v>#DIV/0!</v>
      </c>
    </row>
    <row r="21" spans="1:16">
      <c r="A21" s="10" t="s">
        <v>635</v>
      </c>
      <c r="B21" s="10">
        <v>1500523</v>
      </c>
      <c r="C21" s="10" t="s">
        <v>759</v>
      </c>
      <c r="D21" s="10" t="s">
        <v>760</v>
      </c>
      <c r="E21" s="10">
        <v>0</v>
      </c>
      <c r="F21" s="10">
        <v>0</v>
      </c>
      <c r="G21" s="10">
        <v>0</v>
      </c>
      <c r="H21" s="10">
        <v>0</v>
      </c>
      <c r="I21" s="10" t="s">
        <v>74</v>
      </c>
      <c r="J21" s="10">
        <v>0</v>
      </c>
      <c r="K21" s="10">
        <v>0</v>
      </c>
      <c r="L21" s="10">
        <v>0</v>
      </c>
      <c r="M21" s="10">
        <v>0</v>
      </c>
      <c r="N21" s="10" t="s">
        <v>761</v>
      </c>
      <c r="O21" s="10" t="s">
        <v>771</v>
      </c>
      <c r="P21" s="105" t="e">
        <f t="shared" si="0"/>
        <v>#DIV/0!</v>
      </c>
    </row>
    <row r="22" spans="1:16">
      <c r="A22" s="10" t="s">
        <v>635</v>
      </c>
      <c r="B22" s="10">
        <v>1500529</v>
      </c>
      <c r="C22" s="10" t="s">
        <v>759</v>
      </c>
      <c r="D22" s="10" t="s">
        <v>760</v>
      </c>
      <c r="E22" s="10">
        <v>20</v>
      </c>
      <c r="F22" s="10">
        <v>180</v>
      </c>
      <c r="G22" s="10">
        <v>0</v>
      </c>
      <c r="H22" s="10">
        <v>200</v>
      </c>
      <c r="I22" s="10" t="s">
        <v>74</v>
      </c>
      <c r="J22" s="10">
        <v>55</v>
      </c>
      <c r="K22" s="10">
        <v>495</v>
      </c>
      <c r="L22" s="10">
        <v>0</v>
      </c>
      <c r="M22" s="10">
        <v>550</v>
      </c>
      <c r="N22" s="10" t="s">
        <v>761</v>
      </c>
      <c r="O22" s="10" t="s">
        <v>293</v>
      </c>
      <c r="P22" s="105">
        <f t="shared" si="0"/>
        <v>2.75</v>
      </c>
    </row>
    <row r="23" spans="1:16">
      <c r="A23" s="10" t="s">
        <v>635</v>
      </c>
      <c r="B23" s="10">
        <v>1500612</v>
      </c>
      <c r="C23" s="10" t="s">
        <v>759</v>
      </c>
      <c r="D23" s="10" t="s">
        <v>760</v>
      </c>
      <c r="E23" s="10">
        <v>5</v>
      </c>
      <c r="F23" s="10">
        <v>6</v>
      </c>
      <c r="G23" s="10">
        <v>0</v>
      </c>
      <c r="H23" s="10">
        <v>11</v>
      </c>
      <c r="I23" s="10" t="s">
        <v>30</v>
      </c>
      <c r="J23" s="10">
        <v>87.5</v>
      </c>
      <c r="K23" s="10">
        <v>105</v>
      </c>
      <c r="L23" s="10">
        <v>0</v>
      </c>
      <c r="M23" s="10">
        <v>192.5</v>
      </c>
      <c r="N23" s="10" t="s">
        <v>761</v>
      </c>
      <c r="O23" s="10" t="s">
        <v>470</v>
      </c>
      <c r="P23" s="105">
        <f t="shared" si="0"/>
        <v>17.5</v>
      </c>
    </row>
    <row r="24" spans="1:16">
      <c r="A24" s="10" t="s">
        <v>635</v>
      </c>
      <c r="B24" s="10">
        <v>1500648</v>
      </c>
      <c r="C24" s="10" t="s">
        <v>759</v>
      </c>
      <c r="D24" s="10" t="s">
        <v>760</v>
      </c>
      <c r="E24" s="10">
        <v>0</v>
      </c>
      <c r="F24" s="10">
        <v>0</v>
      </c>
      <c r="G24" s="10">
        <v>0</v>
      </c>
      <c r="H24" s="10">
        <v>0</v>
      </c>
      <c r="I24" s="10" t="s">
        <v>33</v>
      </c>
      <c r="J24" s="10">
        <v>0</v>
      </c>
      <c r="K24" s="10">
        <v>0</v>
      </c>
      <c r="L24" s="10">
        <v>0</v>
      </c>
      <c r="M24" s="10">
        <v>0</v>
      </c>
      <c r="N24" s="10" t="s">
        <v>761</v>
      </c>
      <c r="O24" s="10" t="s">
        <v>772</v>
      </c>
      <c r="P24" s="105" t="e">
        <f t="shared" si="0"/>
        <v>#DIV/0!</v>
      </c>
    </row>
    <row r="25" spans="1:16">
      <c r="A25" s="10" t="s">
        <v>635</v>
      </c>
      <c r="B25" s="10">
        <v>1500675</v>
      </c>
      <c r="C25" s="10" t="s">
        <v>759</v>
      </c>
      <c r="D25" s="10" t="s">
        <v>760</v>
      </c>
      <c r="E25" s="10">
        <v>0</v>
      </c>
      <c r="F25" s="10">
        <v>0</v>
      </c>
      <c r="G25" s="10">
        <v>0</v>
      </c>
      <c r="H25" s="10">
        <v>0</v>
      </c>
      <c r="I25" s="10" t="s">
        <v>74</v>
      </c>
      <c r="J25" s="10">
        <v>0</v>
      </c>
      <c r="K25" s="10">
        <v>0</v>
      </c>
      <c r="L25" s="10">
        <v>0</v>
      </c>
      <c r="M25" s="10">
        <v>0</v>
      </c>
      <c r="N25" s="10" t="s">
        <v>761</v>
      </c>
      <c r="O25" s="10" t="s">
        <v>773</v>
      </c>
      <c r="P25" s="105" t="e">
        <f t="shared" si="0"/>
        <v>#DIV/0!</v>
      </c>
    </row>
    <row r="26" spans="1:16">
      <c r="A26" s="10" t="s">
        <v>635</v>
      </c>
      <c r="B26" s="10">
        <v>1500676</v>
      </c>
      <c r="C26" s="10" t="s">
        <v>759</v>
      </c>
      <c r="D26" s="10" t="s">
        <v>760</v>
      </c>
      <c r="E26" s="10">
        <v>0</v>
      </c>
      <c r="F26" s="10">
        <v>0</v>
      </c>
      <c r="G26" s="10">
        <v>0</v>
      </c>
      <c r="H26" s="10">
        <v>0</v>
      </c>
      <c r="I26" s="10" t="s">
        <v>74</v>
      </c>
      <c r="J26" s="10">
        <v>0</v>
      </c>
      <c r="K26" s="10">
        <v>0</v>
      </c>
      <c r="L26" s="10">
        <v>0</v>
      </c>
      <c r="M26" s="10">
        <v>0</v>
      </c>
      <c r="N26" s="10" t="s">
        <v>761</v>
      </c>
      <c r="O26" s="10" t="s">
        <v>774</v>
      </c>
      <c r="P26" s="105" t="e">
        <f t="shared" si="0"/>
        <v>#DIV/0!</v>
      </c>
    </row>
    <row r="27" spans="1:16">
      <c r="A27" s="10" t="s">
        <v>635</v>
      </c>
      <c r="B27" s="10">
        <v>1500677</v>
      </c>
      <c r="C27" s="10" t="s">
        <v>759</v>
      </c>
      <c r="D27" s="10" t="s">
        <v>760</v>
      </c>
      <c r="E27" s="10">
        <v>377.38</v>
      </c>
      <c r="F27" s="103">
        <v>5805.65</v>
      </c>
      <c r="G27" s="10">
        <v>-190</v>
      </c>
      <c r="H27" s="103">
        <v>5993.03</v>
      </c>
      <c r="I27" s="10" t="s">
        <v>37</v>
      </c>
      <c r="J27" s="103">
        <v>1739.9</v>
      </c>
      <c r="K27" s="103">
        <v>26728.99</v>
      </c>
      <c r="L27" s="10">
        <v>-874.89</v>
      </c>
      <c r="M27" s="103">
        <v>27594</v>
      </c>
      <c r="N27" s="10" t="s">
        <v>761</v>
      </c>
      <c r="O27" s="10" t="s">
        <v>378</v>
      </c>
      <c r="P27" s="105">
        <f t="shared" si="0"/>
        <v>4.60434871842791</v>
      </c>
    </row>
    <row r="28" spans="1:16">
      <c r="A28" s="10" t="s">
        <v>635</v>
      </c>
      <c r="B28" s="10">
        <v>1500678</v>
      </c>
      <c r="C28" s="10" t="s">
        <v>759</v>
      </c>
      <c r="D28" s="10" t="s">
        <v>760</v>
      </c>
      <c r="E28" s="10">
        <v>0</v>
      </c>
      <c r="F28" s="10">
        <v>885.83</v>
      </c>
      <c r="G28" s="10">
        <v>-302.98</v>
      </c>
      <c r="H28" s="10">
        <v>582.85</v>
      </c>
      <c r="I28" s="10" t="s">
        <v>37</v>
      </c>
      <c r="J28" s="10">
        <v>0</v>
      </c>
      <c r="K28" s="103">
        <v>5536.45</v>
      </c>
      <c r="L28" s="103">
        <v>-1893.63</v>
      </c>
      <c r="M28" s="103">
        <v>3642.82</v>
      </c>
      <c r="N28" s="10" t="s">
        <v>761</v>
      </c>
      <c r="O28" s="10" t="s">
        <v>382</v>
      </c>
      <c r="P28" s="105">
        <f t="shared" si="0"/>
        <v>6.25001286780475</v>
      </c>
    </row>
    <row r="29" spans="1:16">
      <c r="A29" s="10" t="s">
        <v>635</v>
      </c>
      <c r="B29" s="10">
        <v>1500679</v>
      </c>
      <c r="C29" s="10" t="s">
        <v>759</v>
      </c>
      <c r="D29" s="10" t="s">
        <v>760</v>
      </c>
      <c r="E29" s="10">
        <v>128.57</v>
      </c>
      <c r="F29" s="103">
        <v>2528.91</v>
      </c>
      <c r="G29" s="10">
        <v>0</v>
      </c>
      <c r="H29" s="103">
        <v>2657.48</v>
      </c>
      <c r="I29" s="10" t="s">
        <v>37</v>
      </c>
      <c r="J29" s="10">
        <v>820.1</v>
      </c>
      <c r="K29" s="103">
        <v>16284.52</v>
      </c>
      <c r="L29" s="10">
        <v>0</v>
      </c>
      <c r="M29" s="103">
        <v>17104.62</v>
      </c>
      <c r="N29" s="10" t="s">
        <v>761</v>
      </c>
      <c r="O29" s="10" t="s">
        <v>451</v>
      </c>
      <c r="P29" s="105">
        <f t="shared" si="0"/>
        <v>6.43640591838885</v>
      </c>
    </row>
    <row r="30" spans="1:16">
      <c r="A30" s="10" t="s">
        <v>635</v>
      </c>
      <c r="B30" s="10">
        <v>1500680</v>
      </c>
      <c r="C30" s="10" t="s">
        <v>759</v>
      </c>
      <c r="D30" s="10" t="s">
        <v>760</v>
      </c>
      <c r="E30" s="10">
        <v>88</v>
      </c>
      <c r="F30" s="103">
        <v>1120.94</v>
      </c>
      <c r="G30" s="10">
        <v>-108.9</v>
      </c>
      <c r="H30" s="103">
        <v>1100.04</v>
      </c>
      <c r="I30" s="10" t="s">
        <v>37</v>
      </c>
      <c r="J30" s="10">
        <v>333.41</v>
      </c>
      <c r="K30" s="103">
        <v>4259.57</v>
      </c>
      <c r="L30" s="10">
        <v>-413.73</v>
      </c>
      <c r="M30" s="103">
        <v>4179.25</v>
      </c>
      <c r="N30" s="10" t="s">
        <v>761</v>
      </c>
      <c r="O30" s="10" t="s">
        <v>228</v>
      </c>
      <c r="P30" s="105">
        <f t="shared" si="0"/>
        <v>3.7991800298171</v>
      </c>
    </row>
    <row r="31" spans="1:16">
      <c r="A31" s="10" t="s">
        <v>635</v>
      </c>
      <c r="B31" s="10">
        <v>1500681</v>
      </c>
      <c r="C31" s="10" t="s">
        <v>759</v>
      </c>
      <c r="D31" s="10" t="s">
        <v>760</v>
      </c>
      <c r="E31" s="10">
        <v>0</v>
      </c>
      <c r="F31" s="10">
        <v>830.92</v>
      </c>
      <c r="G31" s="10">
        <v>-196.28</v>
      </c>
      <c r="H31" s="10">
        <v>634.64</v>
      </c>
      <c r="I31" s="10" t="s">
        <v>37</v>
      </c>
      <c r="J31" s="10">
        <v>0</v>
      </c>
      <c r="K31" s="103">
        <v>3764.62</v>
      </c>
      <c r="L31" s="10">
        <v>-889.69</v>
      </c>
      <c r="M31" s="103">
        <v>2874.93</v>
      </c>
      <c r="N31" s="10" t="s">
        <v>761</v>
      </c>
      <c r="O31" s="10" t="s">
        <v>156</v>
      </c>
      <c r="P31" s="105">
        <f t="shared" si="0"/>
        <v>4.53001701752174</v>
      </c>
    </row>
    <row r="32" spans="1:16">
      <c r="A32" s="10" t="s">
        <v>635</v>
      </c>
      <c r="B32" s="10">
        <v>1500682</v>
      </c>
      <c r="C32" s="10" t="s">
        <v>759</v>
      </c>
      <c r="D32" s="10" t="s">
        <v>760</v>
      </c>
      <c r="E32" s="10">
        <v>0</v>
      </c>
      <c r="F32" s="10">
        <v>137.59</v>
      </c>
      <c r="G32" s="10">
        <v>-48.4</v>
      </c>
      <c r="H32" s="10">
        <v>89.19</v>
      </c>
      <c r="I32" s="10" t="s">
        <v>37</v>
      </c>
      <c r="J32" s="10">
        <v>0</v>
      </c>
      <c r="K32" s="10">
        <v>416.34</v>
      </c>
      <c r="L32" s="10">
        <v>-146.46</v>
      </c>
      <c r="M32" s="10">
        <v>269.88</v>
      </c>
      <c r="N32" s="10" t="s">
        <v>761</v>
      </c>
      <c r="O32" s="10" t="s">
        <v>303</v>
      </c>
      <c r="P32" s="105">
        <f t="shared" si="0"/>
        <v>3.02589976454759</v>
      </c>
    </row>
    <row r="33" spans="1:16">
      <c r="A33" s="10" t="s">
        <v>635</v>
      </c>
      <c r="B33" s="10">
        <v>1500684</v>
      </c>
      <c r="C33" s="10" t="s">
        <v>759</v>
      </c>
      <c r="D33" s="10" t="s">
        <v>760</v>
      </c>
      <c r="E33" s="10">
        <v>0</v>
      </c>
      <c r="F33" s="10">
        <v>185.16</v>
      </c>
      <c r="G33" s="10">
        <v>0</v>
      </c>
      <c r="H33" s="10">
        <v>185.16</v>
      </c>
      <c r="I33" s="10" t="s">
        <v>37</v>
      </c>
      <c r="J33" s="10">
        <v>0</v>
      </c>
      <c r="K33" s="103">
        <v>1259.09</v>
      </c>
      <c r="L33" s="10">
        <v>0</v>
      </c>
      <c r="M33" s="103">
        <v>1259.09</v>
      </c>
      <c r="N33" s="10" t="s">
        <v>761</v>
      </c>
      <c r="O33" s="10" t="s">
        <v>312</v>
      </c>
      <c r="P33" s="105">
        <f t="shared" si="0"/>
        <v>6.800010801469</v>
      </c>
    </row>
    <row r="34" spans="1:16">
      <c r="A34" s="10" t="s">
        <v>635</v>
      </c>
      <c r="B34" s="10">
        <v>1500685</v>
      </c>
      <c r="C34" s="10" t="s">
        <v>759</v>
      </c>
      <c r="D34" s="10" t="s">
        <v>760</v>
      </c>
      <c r="E34" s="10">
        <v>0</v>
      </c>
      <c r="F34" s="10">
        <v>400</v>
      </c>
      <c r="G34" s="10">
        <v>-137.59</v>
      </c>
      <c r="H34" s="10">
        <v>262.41</v>
      </c>
      <c r="I34" s="10" t="s">
        <v>37</v>
      </c>
      <c r="J34" s="10">
        <v>0</v>
      </c>
      <c r="K34" s="103">
        <v>2796</v>
      </c>
      <c r="L34" s="10">
        <v>-961.75</v>
      </c>
      <c r="M34" s="103">
        <v>1834.25</v>
      </c>
      <c r="N34" s="10" t="s">
        <v>761</v>
      </c>
      <c r="O34" s="10" t="s">
        <v>383</v>
      </c>
      <c r="P34" s="105">
        <f t="shared" si="0"/>
        <v>6.99001562440456</v>
      </c>
    </row>
    <row r="35" spans="1:16">
      <c r="A35" s="10" t="s">
        <v>635</v>
      </c>
      <c r="B35" s="10">
        <v>1500686</v>
      </c>
      <c r="C35" s="10" t="s">
        <v>759</v>
      </c>
      <c r="D35" s="10" t="s">
        <v>760</v>
      </c>
      <c r="E35" s="10">
        <v>100.79</v>
      </c>
      <c r="F35" s="10">
        <v>394.4</v>
      </c>
      <c r="G35" s="10">
        <v>0</v>
      </c>
      <c r="H35" s="10">
        <v>495.19</v>
      </c>
      <c r="I35" s="10" t="s">
        <v>37</v>
      </c>
      <c r="J35" s="103">
        <v>1510.84</v>
      </c>
      <c r="K35" s="103">
        <v>5912.05</v>
      </c>
      <c r="L35" s="10">
        <v>0</v>
      </c>
      <c r="M35" s="103">
        <v>7422.89</v>
      </c>
      <c r="N35" s="10" t="s">
        <v>761</v>
      </c>
      <c r="O35" s="10" t="s">
        <v>380</v>
      </c>
      <c r="P35" s="105">
        <f t="shared" si="0"/>
        <v>14.9899836426422</v>
      </c>
    </row>
    <row r="36" spans="1:16">
      <c r="A36" s="10" t="s">
        <v>635</v>
      </c>
      <c r="B36" s="10">
        <v>1500687</v>
      </c>
      <c r="C36" s="10" t="s">
        <v>759</v>
      </c>
      <c r="D36" s="10" t="s">
        <v>760</v>
      </c>
      <c r="E36" s="10">
        <v>220</v>
      </c>
      <c r="F36" s="103">
        <v>1674.012</v>
      </c>
      <c r="G36" s="10">
        <v>0</v>
      </c>
      <c r="H36" s="103">
        <v>1894.012</v>
      </c>
      <c r="I36" s="10" t="s">
        <v>37</v>
      </c>
      <c r="J36" s="10">
        <v>238.26</v>
      </c>
      <c r="K36" s="103">
        <v>1748</v>
      </c>
      <c r="L36" s="10">
        <v>0</v>
      </c>
      <c r="M36" s="103">
        <v>1986.26</v>
      </c>
      <c r="N36" s="10" t="s">
        <v>761</v>
      </c>
      <c r="O36" s="10" t="s">
        <v>386</v>
      </c>
      <c r="P36" s="105">
        <f t="shared" si="0"/>
        <v>1.04870507684217</v>
      </c>
    </row>
    <row r="37" spans="1:16">
      <c r="A37" s="10" t="s">
        <v>635</v>
      </c>
      <c r="B37" s="10">
        <v>1500688</v>
      </c>
      <c r="C37" s="10" t="s">
        <v>759</v>
      </c>
      <c r="D37" s="10" t="s">
        <v>760</v>
      </c>
      <c r="E37" s="10">
        <v>0</v>
      </c>
      <c r="F37" s="10">
        <v>20.8</v>
      </c>
      <c r="G37" s="10">
        <v>-20.8</v>
      </c>
      <c r="H37" s="10">
        <v>0</v>
      </c>
      <c r="I37" s="10" t="s">
        <v>74</v>
      </c>
      <c r="J37" s="10">
        <v>0</v>
      </c>
      <c r="K37" s="10">
        <v>109.41</v>
      </c>
      <c r="L37" s="10">
        <v>-109.41</v>
      </c>
      <c r="M37" s="10">
        <v>0</v>
      </c>
      <c r="N37" s="10" t="s">
        <v>761</v>
      </c>
      <c r="O37" s="10" t="s">
        <v>651</v>
      </c>
      <c r="P37" s="105" t="e">
        <f t="shared" si="0"/>
        <v>#DIV/0!</v>
      </c>
    </row>
    <row r="38" spans="1:16">
      <c r="A38" s="10" t="s">
        <v>635</v>
      </c>
      <c r="B38" s="10">
        <v>1500689</v>
      </c>
      <c r="C38" s="10" t="s">
        <v>759</v>
      </c>
      <c r="D38" s="10" t="s">
        <v>760</v>
      </c>
      <c r="E38" s="10">
        <v>0</v>
      </c>
      <c r="F38" s="10">
        <v>0</v>
      </c>
      <c r="G38" s="10">
        <v>0</v>
      </c>
      <c r="H38" s="10">
        <v>0</v>
      </c>
      <c r="I38" s="10" t="s">
        <v>74</v>
      </c>
      <c r="J38" s="10">
        <v>0</v>
      </c>
      <c r="K38" s="10">
        <v>0</v>
      </c>
      <c r="L38" s="10">
        <v>0</v>
      </c>
      <c r="M38" s="10">
        <v>0</v>
      </c>
      <c r="N38" s="10" t="s">
        <v>761</v>
      </c>
      <c r="O38" s="10" t="s">
        <v>775</v>
      </c>
      <c r="P38" s="105" t="e">
        <f t="shared" si="0"/>
        <v>#DIV/0!</v>
      </c>
    </row>
    <row r="39" spans="1:16">
      <c r="A39" s="10" t="s">
        <v>635</v>
      </c>
      <c r="B39" s="10">
        <v>1500690</v>
      </c>
      <c r="C39" s="10" t="s">
        <v>759</v>
      </c>
      <c r="D39" s="10" t="s">
        <v>760</v>
      </c>
      <c r="E39" s="10">
        <v>0</v>
      </c>
      <c r="F39" s="10">
        <v>0</v>
      </c>
      <c r="G39" s="10">
        <v>0</v>
      </c>
      <c r="H39" s="10">
        <v>0</v>
      </c>
      <c r="I39" s="10" t="s">
        <v>74</v>
      </c>
      <c r="J39" s="10">
        <v>0</v>
      </c>
      <c r="K39" s="10">
        <v>0</v>
      </c>
      <c r="L39" s="10">
        <v>0</v>
      </c>
      <c r="M39" s="10">
        <v>0</v>
      </c>
      <c r="N39" s="10" t="s">
        <v>761</v>
      </c>
      <c r="O39" s="10" t="s">
        <v>776</v>
      </c>
      <c r="P39" s="105" t="e">
        <f t="shared" si="0"/>
        <v>#DIV/0!</v>
      </c>
    </row>
    <row r="40" spans="1:16">
      <c r="A40" s="10" t="s">
        <v>635</v>
      </c>
      <c r="B40" s="10">
        <v>1500691</v>
      </c>
      <c r="C40" s="10" t="s">
        <v>759</v>
      </c>
      <c r="D40" s="10" t="s">
        <v>760</v>
      </c>
      <c r="E40" s="10">
        <v>0</v>
      </c>
      <c r="F40" s="10">
        <v>0</v>
      </c>
      <c r="G40" s="10">
        <v>0</v>
      </c>
      <c r="H40" s="10">
        <v>0</v>
      </c>
      <c r="I40" s="10" t="s">
        <v>138</v>
      </c>
      <c r="J40" s="10">
        <v>0</v>
      </c>
      <c r="K40" s="10">
        <v>0</v>
      </c>
      <c r="L40" s="10">
        <v>0</v>
      </c>
      <c r="M40" s="10">
        <v>0</v>
      </c>
      <c r="N40" s="10" t="s">
        <v>761</v>
      </c>
      <c r="O40" s="10" t="s">
        <v>777</v>
      </c>
      <c r="P40" s="105" t="e">
        <f t="shared" si="0"/>
        <v>#DIV/0!</v>
      </c>
    </row>
    <row r="41" spans="1:16">
      <c r="A41" s="10" t="s">
        <v>635</v>
      </c>
      <c r="B41" s="10">
        <v>1500692</v>
      </c>
      <c r="C41" s="10" t="s">
        <v>759</v>
      </c>
      <c r="D41" s="10" t="s">
        <v>760</v>
      </c>
      <c r="E41" s="10">
        <v>0</v>
      </c>
      <c r="F41" s="10">
        <v>0</v>
      </c>
      <c r="G41" s="10">
        <v>0</v>
      </c>
      <c r="H41" s="10">
        <v>0</v>
      </c>
      <c r="I41" s="10" t="s">
        <v>138</v>
      </c>
      <c r="J41" s="10">
        <v>0</v>
      </c>
      <c r="K41" s="10">
        <v>0</v>
      </c>
      <c r="L41" s="10">
        <v>0</v>
      </c>
      <c r="M41" s="10">
        <v>0</v>
      </c>
      <c r="N41" s="10" t="s">
        <v>761</v>
      </c>
      <c r="O41" s="10" t="s">
        <v>778</v>
      </c>
      <c r="P41" s="105" t="e">
        <f t="shared" si="0"/>
        <v>#DIV/0!</v>
      </c>
    </row>
    <row r="42" spans="1:16">
      <c r="A42" s="10" t="s">
        <v>635</v>
      </c>
      <c r="B42" s="10">
        <v>1500693</v>
      </c>
      <c r="C42" s="10" t="s">
        <v>759</v>
      </c>
      <c r="D42" s="10" t="s">
        <v>760</v>
      </c>
      <c r="E42" s="10">
        <v>0</v>
      </c>
      <c r="F42" s="10">
        <v>0</v>
      </c>
      <c r="G42" s="10">
        <v>0</v>
      </c>
      <c r="H42" s="10">
        <v>0</v>
      </c>
      <c r="I42" s="10" t="s">
        <v>74</v>
      </c>
      <c r="J42" s="10">
        <v>0</v>
      </c>
      <c r="K42" s="10">
        <v>0</v>
      </c>
      <c r="L42" s="10">
        <v>0</v>
      </c>
      <c r="M42" s="10">
        <v>0</v>
      </c>
      <c r="N42" s="10" t="s">
        <v>761</v>
      </c>
      <c r="O42" s="10" t="s">
        <v>779</v>
      </c>
      <c r="P42" s="105" t="e">
        <f t="shared" si="0"/>
        <v>#DIV/0!</v>
      </c>
    </row>
    <row r="43" spans="1:16">
      <c r="A43" s="10" t="s">
        <v>635</v>
      </c>
      <c r="B43" s="10">
        <v>1500694</v>
      </c>
      <c r="C43" s="10" t="s">
        <v>759</v>
      </c>
      <c r="D43" s="10" t="s">
        <v>760</v>
      </c>
      <c r="E43" s="10">
        <v>0</v>
      </c>
      <c r="F43" s="10">
        <v>125.91</v>
      </c>
      <c r="G43" s="10">
        <v>-125.91</v>
      </c>
      <c r="H43" s="10">
        <v>0</v>
      </c>
      <c r="I43" s="10" t="s">
        <v>37</v>
      </c>
      <c r="J43" s="10">
        <v>0</v>
      </c>
      <c r="K43" s="10">
        <v>338.7</v>
      </c>
      <c r="L43" s="10">
        <v>-338.7</v>
      </c>
      <c r="M43" s="10">
        <v>0</v>
      </c>
      <c r="N43" s="10" t="s">
        <v>761</v>
      </c>
      <c r="O43" s="10" t="s">
        <v>652</v>
      </c>
      <c r="P43" s="105" t="e">
        <f t="shared" si="0"/>
        <v>#DIV/0!</v>
      </c>
    </row>
    <row r="44" spans="1:16">
      <c r="A44" s="10" t="s">
        <v>635</v>
      </c>
      <c r="B44" s="10">
        <v>1500695</v>
      </c>
      <c r="C44" s="10" t="s">
        <v>759</v>
      </c>
      <c r="D44" s="10" t="s">
        <v>760</v>
      </c>
      <c r="E44" s="10">
        <v>24</v>
      </c>
      <c r="F44" s="10">
        <v>72</v>
      </c>
      <c r="G44" s="10">
        <v>-12</v>
      </c>
      <c r="H44" s="10">
        <v>84</v>
      </c>
      <c r="I44" s="10" t="s">
        <v>37</v>
      </c>
      <c r="J44" s="10">
        <v>125</v>
      </c>
      <c r="K44" s="10">
        <v>375</v>
      </c>
      <c r="L44" s="10">
        <v>-62.5</v>
      </c>
      <c r="M44" s="10">
        <v>437.5</v>
      </c>
      <c r="N44" s="10" t="s">
        <v>761</v>
      </c>
      <c r="O44" s="10" t="s">
        <v>424</v>
      </c>
      <c r="P44" s="105">
        <f t="shared" si="0"/>
        <v>5.20833333333333</v>
      </c>
    </row>
    <row r="45" spans="1:16">
      <c r="A45" s="10" t="s">
        <v>635</v>
      </c>
      <c r="B45" s="10">
        <v>1500696</v>
      </c>
      <c r="C45" s="10" t="s">
        <v>759</v>
      </c>
      <c r="D45" s="10" t="s">
        <v>760</v>
      </c>
      <c r="E45" s="10">
        <v>0</v>
      </c>
      <c r="F45" s="10">
        <v>0</v>
      </c>
      <c r="G45" s="10">
        <v>0</v>
      </c>
      <c r="H45" s="10">
        <v>0</v>
      </c>
      <c r="I45" s="10" t="s">
        <v>37</v>
      </c>
      <c r="J45" s="10">
        <v>0</v>
      </c>
      <c r="K45" s="10">
        <v>0</v>
      </c>
      <c r="L45" s="10">
        <v>0</v>
      </c>
      <c r="M45" s="10">
        <v>0</v>
      </c>
      <c r="N45" s="10" t="s">
        <v>761</v>
      </c>
      <c r="O45" s="10" t="s">
        <v>780</v>
      </c>
      <c r="P45" s="105" t="e">
        <f t="shared" si="0"/>
        <v>#DIV/0!</v>
      </c>
    </row>
    <row r="46" spans="1:16">
      <c r="A46" s="10" t="s">
        <v>635</v>
      </c>
      <c r="B46" s="10">
        <v>1500697</v>
      </c>
      <c r="C46" s="10" t="s">
        <v>759</v>
      </c>
      <c r="D46" s="10" t="s">
        <v>760</v>
      </c>
      <c r="E46" s="10">
        <v>0</v>
      </c>
      <c r="F46" s="10">
        <v>0</v>
      </c>
      <c r="G46" s="10">
        <v>0</v>
      </c>
      <c r="H46" s="10">
        <v>0</v>
      </c>
      <c r="I46" s="10" t="s">
        <v>37</v>
      </c>
      <c r="J46" s="10">
        <v>0</v>
      </c>
      <c r="K46" s="10">
        <v>0</v>
      </c>
      <c r="L46" s="10">
        <v>0</v>
      </c>
      <c r="M46" s="10">
        <v>0</v>
      </c>
      <c r="N46" s="10" t="s">
        <v>761</v>
      </c>
      <c r="O46" s="10" t="s">
        <v>781</v>
      </c>
      <c r="P46" s="105" t="e">
        <f t="shared" si="0"/>
        <v>#DIV/0!</v>
      </c>
    </row>
    <row r="47" spans="1:16">
      <c r="A47" s="10" t="s">
        <v>635</v>
      </c>
      <c r="B47" s="10">
        <v>1500698</v>
      </c>
      <c r="C47" s="10" t="s">
        <v>759</v>
      </c>
      <c r="D47" s="10" t="s">
        <v>760</v>
      </c>
      <c r="E47" s="10">
        <v>0</v>
      </c>
      <c r="F47" s="10">
        <v>0</v>
      </c>
      <c r="G47" s="10">
        <v>0</v>
      </c>
      <c r="H47" s="10">
        <v>0</v>
      </c>
      <c r="I47" s="10" t="s">
        <v>37</v>
      </c>
      <c r="J47" s="10">
        <v>0</v>
      </c>
      <c r="K47" s="10">
        <v>0</v>
      </c>
      <c r="L47" s="10">
        <v>0</v>
      </c>
      <c r="M47" s="10">
        <v>0</v>
      </c>
      <c r="N47" s="10" t="s">
        <v>761</v>
      </c>
      <c r="O47" s="10" t="s">
        <v>782</v>
      </c>
      <c r="P47" s="105" t="e">
        <f t="shared" si="0"/>
        <v>#DIV/0!</v>
      </c>
    </row>
    <row r="48" spans="1:16">
      <c r="A48" s="10" t="s">
        <v>635</v>
      </c>
      <c r="B48" s="10">
        <v>1500699</v>
      </c>
      <c r="C48" s="10" t="s">
        <v>759</v>
      </c>
      <c r="D48" s="10" t="s">
        <v>760</v>
      </c>
      <c r="E48" s="10">
        <v>0</v>
      </c>
      <c r="F48" s="10">
        <v>0</v>
      </c>
      <c r="G48" s="10">
        <v>0</v>
      </c>
      <c r="H48" s="10">
        <v>0</v>
      </c>
      <c r="I48" s="10" t="s">
        <v>74</v>
      </c>
      <c r="J48" s="10">
        <v>0</v>
      </c>
      <c r="K48" s="10">
        <v>0</v>
      </c>
      <c r="L48" s="10">
        <v>0</v>
      </c>
      <c r="M48" s="10">
        <v>0</v>
      </c>
      <c r="N48" s="10" t="s">
        <v>761</v>
      </c>
      <c r="O48" s="10" t="s">
        <v>783</v>
      </c>
      <c r="P48" s="105" t="e">
        <f t="shared" si="0"/>
        <v>#DIV/0!</v>
      </c>
    </row>
    <row r="49" spans="1:16">
      <c r="A49" s="10" t="s">
        <v>635</v>
      </c>
      <c r="B49" s="10">
        <v>1500700</v>
      </c>
      <c r="C49" s="10" t="s">
        <v>759</v>
      </c>
      <c r="D49" s="10" t="s">
        <v>760</v>
      </c>
      <c r="E49" s="10">
        <v>70</v>
      </c>
      <c r="F49" s="10">
        <v>460</v>
      </c>
      <c r="G49" s="10">
        <v>-204.18</v>
      </c>
      <c r="H49" s="10">
        <v>325.82</v>
      </c>
      <c r="I49" s="10" t="s">
        <v>74</v>
      </c>
      <c r="J49" s="10">
        <v>255.5</v>
      </c>
      <c r="K49" s="103">
        <v>1679</v>
      </c>
      <c r="L49" s="10">
        <v>-745.26</v>
      </c>
      <c r="M49" s="103">
        <v>1189.24</v>
      </c>
      <c r="N49" s="10" t="s">
        <v>761</v>
      </c>
      <c r="O49" s="10" t="s">
        <v>119</v>
      </c>
      <c r="P49" s="105">
        <f t="shared" si="0"/>
        <v>3.6499907924621</v>
      </c>
    </row>
    <row r="50" spans="1:16">
      <c r="A50" s="10" t="s">
        <v>635</v>
      </c>
      <c r="B50" s="10">
        <v>1500701</v>
      </c>
      <c r="C50" s="10" t="s">
        <v>759</v>
      </c>
      <c r="D50" s="10" t="s">
        <v>760</v>
      </c>
      <c r="E50" s="10">
        <v>0</v>
      </c>
      <c r="F50" s="10">
        <v>88</v>
      </c>
      <c r="G50" s="10">
        <v>-88</v>
      </c>
      <c r="H50" s="10">
        <v>0</v>
      </c>
      <c r="I50" s="10" t="s">
        <v>37</v>
      </c>
      <c r="J50" s="10">
        <v>0</v>
      </c>
      <c r="K50" s="10">
        <v>320.98</v>
      </c>
      <c r="L50" s="10">
        <v>-320.98</v>
      </c>
      <c r="M50" s="10">
        <v>0</v>
      </c>
      <c r="N50" s="10" t="s">
        <v>761</v>
      </c>
      <c r="O50" s="10" t="s">
        <v>192</v>
      </c>
      <c r="P50" s="105" t="e">
        <f t="shared" si="0"/>
        <v>#DIV/0!</v>
      </c>
    </row>
    <row r="51" spans="1:16">
      <c r="A51" s="10" t="s">
        <v>635</v>
      </c>
      <c r="B51" s="10">
        <v>1500702</v>
      </c>
      <c r="C51" s="10" t="s">
        <v>759</v>
      </c>
      <c r="D51" s="10" t="s">
        <v>760</v>
      </c>
      <c r="E51" s="10">
        <v>0</v>
      </c>
      <c r="F51" s="10">
        <v>0</v>
      </c>
      <c r="G51" s="10">
        <v>0</v>
      </c>
      <c r="H51" s="10">
        <v>0</v>
      </c>
      <c r="I51" s="10" t="s">
        <v>37</v>
      </c>
      <c r="J51" s="10">
        <v>0</v>
      </c>
      <c r="K51" s="10">
        <v>0</v>
      </c>
      <c r="L51" s="10">
        <v>0</v>
      </c>
      <c r="M51" s="10">
        <v>0</v>
      </c>
      <c r="N51" s="10" t="s">
        <v>761</v>
      </c>
      <c r="O51" s="10" t="s">
        <v>784</v>
      </c>
      <c r="P51" s="105" t="e">
        <f t="shared" si="0"/>
        <v>#DIV/0!</v>
      </c>
    </row>
    <row r="52" spans="1:16">
      <c r="A52" s="10" t="s">
        <v>635</v>
      </c>
      <c r="B52" s="10">
        <v>1500703</v>
      </c>
      <c r="C52" s="10" t="s">
        <v>759</v>
      </c>
      <c r="D52" s="10" t="s">
        <v>760</v>
      </c>
      <c r="E52" s="10">
        <v>76</v>
      </c>
      <c r="F52" s="10">
        <v>552</v>
      </c>
      <c r="G52" s="10">
        <v>0</v>
      </c>
      <c r="H52" s="10">
        <v>628</v>
      </c>
      <c r="I52" s="10" t="s">
        <v>37</v>
      </c>
      <c r="J52" s="10">
        <v>329.33</v>
      </c>
      <c r="K52" s="103">
        <v>2392</v>
      </c>
      <c r="L52" s="10">
        <v>0</v>
      </c>
      <c r="M52" s="103">
        <v>2721.33</v>
      </c>
      <c r="N52" s="10" t="s">
        <v>761</v>
      </c>
      <c r="O52" s="10" t="s">
        <v>226</v>
      </c>
      <c r="P52" s="105">
        <f t="shared" si="0"/>
        <v>4.33332802547771</v>
      </c>
    </row>
    <row r="53" spans="1:16">
      <c r="A53" s="10" t="s">
        <v>635</v>
      </c>
      <c r="B53" s="10">
        <v>1500704</v>
      </c>
      <c r="C53" s="10" t="s">
        <v>759</v>
      </c>
      <c r="D53" s="10" t="s">
        <v>760</v>
      </c>
      <c r="E53" s="10">
        <v>40</v>
      </c>
      <c r="F53" s="10">
        <v>420</v>
      </c>
      <c r="G53" s="10">
        <v>0</v>
      </c>
      <c r="H53" s="10">
        <v>460</v>
      </c>
      <c r="I53" s="10" t="s">
        <v>30</v>
      </c>
      <c r="J53" s="10">
        <v>163.53</v>
      </c>
      <c r="K53" s="103">
        <v>1717.8</v>
      </c>
      <c r="L53" s="10">
        <v>0</v>
      </c>
      <c r="M53" s="103">
        <v>1881.33</v>
      </c>
      <c r="N53" s="10" t="s">
        <v>761</v>
      </c>
      <c r="O53" s="10" t="s">
        <v>509</v>
      </c>
      <c r="P53" s="105">
        <f t="shared" si="0"/>
        <v>4.08984782608696</v>
      </c>
    </row>
    <row r="54" spans="1:16">
      <c r="A54" s="10" t="s">
        <v>635</v>
      </c>
      <c r="B54" s="10">
        <v>1500705</v>
      </c>
      <c r="C54" s="10" t="s">
        <v>759</v>
      </c>
      <c r="D54" s="10" t="s">
        <v>760</v>
      </c>
      <c r="E54" s="10">
        <v>0</v>
      </c>
      <c r="F54" s="10">
        <v>0</v>
      </c>
      <c r="G54" s="10">
        <v>0</v>
      </c>
      <c r="H54" s="10">
        <v>0</v>
      </c>
      <c r="I54" s="10" t="s">
        <v>37</v>
      </c>
      <c r="J54" s="10">
        <v>0</v>
      </c>
      <c r="K54" s="10">
        <v>0</v>
      </c>
      <c r="L54" s="10">
        <v>0</v>
      </c>
      <c r="M54" s="10">
        <v>0</v>
      </c>
      <c r="N54" s="10" t="s">
        <v>761</v>
      </c>
      <c r="O54" s="10" t="s">
        <v>785</v>
      </c>
      <c r="P54" s="105" t="e">
        <f t="shared" si="0"/>
        <v>#DIV/0!</v>
      </c>
    </row>
    <row r="55" spans="1:16">
      <c r="A55" s="10" t="s">
        <v>635</v>
      </c>
      <c r="B55" s="10">
        <v>1500706</v>
      </c>
      <c r="C55" s="10" t="s">
        <v>759</v>
      </c>
      <c r="D55" s="10" t="s">
        <v>760</v>
      </c>
      <c r="E55" s="10">
        <v>0</v>
      </c>
      <c r="F55" s="10">
        <v>0</v>
      </c>
      <c r="G55" s="10">
        <v>0</v>
      </c>
      <c r="H55" s="10">
        <v>0</v>
      </c>
      <c r="I55" s="10" t="s">
        <v>37</v>
      </c>
      <c r="J55" s="10">
        <v>0</v>
      </c>
      <c r="K55" s="10">
        <v>0</v>
      </c>
      <c r="L55" s="10">
        <v>0</v>
      </c>
      <c r="M55" s="10">
        <v>0</v>
      </c>
      <c r="N55" s="10" t="s">
        <v>761</v>
      </c>
      <c r="O55" s="10" t="s">
        <v>786</v>
      </c>
      <c r="P55" s="105" t="e">
        <f t="shared" si="0"/>
        <v>#DIV/0!</v>
      </c>
    </row>
    <row r="56" spans="1:16">
      <c r="A56" s="10" t="s">
        <v>635</v>
      </c>
      <c r="B56" s="10">
        <v>1500707</v>
      </c>
      <c r="C56" s="10" t="s">
        <v>759</v>
      </c>
      <c r="D56" s="10" t="s">
        <v>760</v>
      </c>
      <c r="E56" s="10">
        <v>0</v>
      </c>
      <c r="F56" s="10">
        <v>0</v>
      </c>
      <c r="G56" s="10">
        <v>0</v>
      </c>
      <c r="H56" s="10">
        <v>0</v>
      </c>
      <c r="I56" s="10" t="s">
        <v>30</v>
      </c>
      <c r="J56" s="10">
        <v>0</v>
      </c>
      <c r="K56" s="10">
        <v>0</v>
      </c>
      <c r="L56" s="10">
        <v>0</v>
      </c>
      <c r="M56" s="10">
        <v>0</v>
      </c>
      <c r="N56" s="10" t="s">
        <v>761</v>
      </c>
      <c r="O56" s="10" t="s">
        <v>787</v>
      </c>
      <c r="P56" s="105" t="e">
        <f t="shared" si="0"/>
        <v>#DIV/0!</v>
      </c>
    </row>
    <row r="57" spans="1:16">
      <c r="A57" s="10" t="s">
        <v>635</v>
      </c>
      <c r="B57" s="10">
        <v>1500709</v>
      </c>
      <c r="C57" s="10" t="s">
        <v>759</v>
      </c>
      <c r="D57" s="10" t="s">
        <v>760</v>
      </c>
      <c r="E57" s="10">
        <v>0</v>
      </c>
      <c r="F57" s="10">
        <v>0</v>
      </c>
      <c r="G57" s="10">
        <v>0</v>
      </c>
      <c r="H57" s="10">
        <v>0</v>
      </c>
      <c r="I57" s="10" t="s">
        <v>30</v>
      </c>
      <c r="J57" s="10">
        <v>0</v>
      </c>
      <c r="K57" s="10">
        <v>0</v>
      </c>
      <c r="L57" s="10">
        <v>0</v>
      </c>
      <c r="M57" s="10">
        <v>0</v>
      </c>
      <c r="N57" s="10" t="s">
        <v>761</v>
      </c>
      <c r="O57" s="10" t="s">
        <v>788</v>
      </c>
      <c r="P57" s="105" t="e">
        <f t="shared" si="0"/>
        <v>#DIV/0!</v>
      </c>
    </row>
    <row r="58" spans="1:16">
      <c r="A58" s="10" t="s">
        <v>635</v>
      </c>
      <c r="B58" s="10">
        <v>1500710</v>
      </c>
      <c r="C58" s="10" t="s">
        <v>759</v>
      </c>
      <c r="D58" s="10" t="s">
        <v>760</v>
      </c>
      <c r="E58" s="10">
        <v>10</v>
      </c>
      <c r="F58" s="10">
        <v>20</v>
      </c>
      <c r="G58" s="10">
        <v>0</v>
      </c>
      <c r="H58" s="10">
        <v>30</v>
      </c>
      <c r="I58" s="10" t="s">
        <v>74</v>
      </c>
      <c r="J58" s="10">
        <v>152.29</v>
      </c>
      <c r="K58" s="10">
        <v>300</v>
      </c>
      <c r="L58" s="10">
        <v>0</v>
      </c>
      <c r="M58" s="10">
        <v>452.29</v>
      </c>
      <c r="N58" s="10" t="s">
        <v>761</v>
      </c>
      <c r="O58" s="10" t="s">
        <v>307</v>
      </c>
      <c r="P58" s="105">
        <f t="shared" si="0"/>
        <v>15.0763333333333</v>
      </c>
    </row>
    <row r="59" spans="1:16">
      <c r="A59" s="10" t="s">
        <v>635</v>
      </c>
      <c r="B59" s="10">
        <v>1500711</v>
      </c>
      <c r="C59" s="10" t="s">
        <v>759</v>
      </c>
      <c r="D59" s="10" t="s">
        <v>760</v>
      </c>
      <c r="E59" s="10">
        <v>0</v>
      </c>
      <c r="F59" s="10">
        <v>0</v>
      </c>
      <c r="G59" s="10">
        <v>0</v>
      </c>
      <c r="H59" s="10">
        <v>0</v>
      </c>
      <c r="I59" s="10" t="s">
        <v>74</v>
      </c>
      <c r="J59" s="10">
        <v>0</v>
      </c>
      <c r="K59" s="10">
        <v>0</v>
      </c>
      <c r="L59" s="10">
        <v>0</v>
      </c>
      <c r="M59" s="10">
        <v>0</v>
      </c>
      <c r="N59" s="10" t="s">
        <v>761</v>
      </c>
      <c r="O59" s="10" t="s">
        <v>789</v>
      </c>
      <c r="P59" s="105" t="e">
        <f t="shared" si="0"/>
        <v>#DIV/0!</v>
      </c>
    </row>
    <row r="60" spans="1:16">
      <c r="A60" s="10" t="s">
        <v>635</v>
      </c>
      <c r="B60" s="10">
        <v>1500712</v>
      </c>
      <c r="C60" s="10" t="s">
        <v>759</v>
      </c>
      <c r="D60" s="10" t="s">
        <v>760</v>
      </c>
      <c r="E60" s="10">
        <v>0</v>
      </c>
      <c r="F60" s="10">
        <v>37</v>
      </c>
      <c r="G60" s="10">
        <v>0</v>
      </c>
      <c r="H60" s="10">
        <v>37</v>
      </c>
      <c r="I60" s="10" t="s">
        <v>37</v>
      </c>
      <c r="J60" s="10">
        <v>0</v>
      </c>
      <c r="K60" s="10">
        <v>887.63</v>
      </c>
      <c r="L60" s="10">
        <v>0</v>
      </c>
      <c r="M60" s="10">
        <v>887.63</v>
      </c>
      <c r="N60" s="10" t="s">
        <v>761</v>
      </c>
      <c r="O60" s="10" t="s">
        <v>256</v>
      </c>
      <c r="P60" s="105">
        <f t="shared" si="0"/>
        <v>23.99</v>
      </c>
    </row>
    <row r="61" spans="1:16">
      <c r="A61" s="10" t="s">
        <v>635</v>
      </c>
      <c r="B61" s="10">
        <v>1500713</v>
      </c>
      <c r="C61" s="10" t="s">
        <v>759</v>
      </c>
      <c r="D61" s="10" t="s">
        <v>760</v>
      </c>
      <c r="E61" s="10">
        <v>12</v>
      </c>
      <c r="F61" s="10">
        <v>40</v>
      </c>
      <c r="G61" s="10">
        <v>0</v>
      </c>
      <c r="H61" s="10">
        <v>52</v>
      </c>
      <c r="I61" s="10" t="s">
        <v>74</v>
      </c>
      <c r="J61" s="10">
        <v>42</v>
      </c>
      <c r="K61" s="10">
        <v>140</v>
      </c>
      <c r="L61" s="10">
        <v>0</v>
      </c>
      <c r="M61" s="10">
        <v>182</v>
      </c>
      <c r="N61" s="10" t="s">
        <v>761</v>
      </c>
      <c r="O61" s="10" t="s">
        <v>233</v>
      </c>
      <c r="P61" s="105">
        <f t="shared" si="0"/>
        <v>3.5</v>
      </c>
    </row>
    <row r="62" spans="1:16">
      <c r="A62" s="10" t="s">
        <v>635</v>
      </c>
      <c r="B62" s="10">
        <v>1500714</v>
      </c>
      <c r="C62" s="10" t="s">
        <v>759</v>
      </c>
      <c r="D62" s="10" t="s">
        <v>760</v>
      </c>
      <c r="E62" s="10">
        <v>0</v>
      </c>
      <c r="F62" s="10">
        <v>0</v>
      </c>
      <c r="G62" s="10">
        <v>0</v>
      </c>
      <c r="H62" s="10">
        <v>0</v>
      </c>
      <c r="I62" s="10" t="s">
        <v>30</v>
      </c>
      <c r="J62" s="10">
        <v>0</v>
      </c>
      <c r="K62" s="10">
        <v>0</v>
      </c>
      <c r="L62" s="10">
        <v>0</v>
      </c>
      <c r="M62" s="10">
        <v>0</v>
      </c>
      <c r="N62" s="10" t="s">
        <v>761</v>
      </c>
      <c r="O62" s="10" t="s">
        <v>790</v>
      </c>
      <c r="P62" s="105" t="e">
        <f t="shared" si="0"/>
        <v>#DIV/0!</v>
      </c>
    </row>
    <row r="63" spans="1:16">
      <c r="A63" s="10" t="s">
        <v>635</v>
      </c>
      <c r="B63" s="10">
        <v>1500715</v>
      </c>
      <c r="C63" s="10" t="s">
        <v>759</v>
      </c>
      <c r="D63" s="10" t="s">
        <v>760</v>
      </c>
      <c r="E63" s="10">
        <v>0</v>
      </c>
      <c r="F63" s="10">
        <v>0</v>
      </c>
      <c r="G63" s="10">
        <v>0</v>
      </c>
      <c r="H63" s="10">
        <v>0</v>
      </c>
      <c r="I63" s="10" t="s">
        <v>30</v>
      </c>
      <c r="J63" s="10">
        <v>0</v>
      </c>
      <c r="K63" s="10">
        <v>0</v>
      </c>
      <c r="L63" s="10">
        <v>0</v>
      </c>
      <c r="M63" s="10">
        <v>0</v>
      </c>
      <c r="N63" s="10" t="s">
        <v>761</v>
      </c>
      <c r="O63" s="10" t="s">
        <v>791</v>
      </c>
      <c r="P63" s="105" t="e">
        <f t="shared" si="0"/>
        <v>#DIV/0!</v>
      </c>
    </row>
    <row r="64" spans="1:16">
      <c r="A64" s="10" t="s">
        <v>635</v>
      </c>
      <c r="B64" s="10">
        <v>1500716</v>
      </c>
      <c r="C64" s="10" t="s">
        <v>759</v>
      </c>
      <c r="D64" s="10" t="s">
        <v>760</v>
      </c>
      <c r="E64" s="10">
        <v>0</v>
      </c>
      <c r="F64" s="10">
        <v>0</v>
      </c>
      <c r="G64" s="10">
        <v>0</v>
      </c>
      <c r="H64" s="10">
        <v>0</v>
      </c>
      <c r="I64" s="10" t="s">
        <v>30</v>
      </c>
      <c r="J64" s="10">
        <v>0</v>
      </c>
      <c r="K64" s="10">
        <v>0</v>
      </c>
      <c r="L64" s="10">
        <v>0</v>
      </c>
      <c r="M64" s="10">
        <v>0</v>
      </c>
      <c r="N64" s="10" t="s">
        <v>761</v>
      </c>
      <c r="O64" s="10" t="s">
        <v>792</v>
      </c>
      <c r="P64" s="105" t="e">
        <f t="shared" si="0"/>
        <v>#DIV/0!</v>
      </c>
    </row>
    <row r="65" spans="1:16">
      <c r="A65" s="10" t="s">
        <v>635</v>
      </c>
      <c r="B65" s="10">
        <v>1500717</v>
      </c>
      <c r="C65" s="10" t="s">
        <v>759</v>
      </c>
      <c r="D65" s="10" t="s">
        <v>760</v>
      </c>
      <c r="E65" s="10">
        <v>0</v>
      </c>
      <c r="F65" s="10">
        <v>0</v>
      </c>
      <c r="G65" s="10">
        <v>0</v>
      </c>
      <c r="H65" s="10">
        <v>0</v>
      </c>
      <c r="I65" s="10" t="s">
        <v>30</v>
      </c>
      <c r="J65" s="10">
        <v>0</v>
      </c>
      <c r="K65" s="10">
        <v>0</v>
      </c>
      <c r="L65" s="10">
        <v>0</v>
      </c>
      <c r="M65" s="10">
        <v>0</v>
      </c>
      <c r="N65" s="10" t="s">
        <v>761</v>
      </c>
      <c r="O65" s="10" t="s">
        <v>793</v>
      </c>
      <c r="P65" s="105" t="e">
        <f t="shared" si="0"/>
        <v>#DIV/0!</v>
      </c>
    </row>
    <row r="66" spans="1:16">
      <c r="A66" s="10" t="s">
        <v>635</v>
      </c>
      <c r="B66" s="10">
        <v>1500718</v>
      </c>
      <c r="C66" s="10" t="s">
        <v>759</v>
      </c>
      <c r="D66" s="10" t="s">
        <v>760</v>
      </c>
      <c r="E66" s="10">
        <v>0</v>
      </c>
      <c r="F66" s="10">
        <v>0</v>
      </c>
      <c r="G66" s="10">
        <v>0</v>
      </c>
      <c r="H66" s="10">
        <v>0</v>
      </c>
      <c r="I66" s="10" t="s">
        <v>37</v>
      </c>
      <c r="J66" s="10">
        <v>0</v>
      </c>
      <c r="K66" s="10">
        <v>0</v>
      </c>
      <c r="L66" s="10">
        <v>0</v>
      </c>
      <c r="M66" s="10">
        <v>0</v>
      </c>
      <c r="N66" s="10" t="s">
        <v>761</v>
      </c>
      <c r="O66" s="10" t="s">
        <v>794</v>
      </c>
      <c r="P66" s="105" t="e">
        <f t="shared" si="0"/>
        <v>#DIV/0!</v>
      </c>
    </row>
    <row r="67" spans="1:16">
      <c r="A67" s="10" t="s">
        <v>635</v>
      </c>
      <c r="B67" s="10">
        <v>1500719</v>
      </c>
      <c r="C67" s="10" t="s">
        <v>759</v>
      </c>
      <c r="D67" s="10" t="s">
        <v>760</v>
      </c>
      <c r="E67" s="10">
        <v>0</v>
      </c>
      <c r="F67" s="10">
        <v>0</v>
      </c>
      <c r="G67" s="10">
        <v>0</v>
      </c>
      <c r="H67" s="10">
        <v>0</v>
      </c>
      <c r="I67" s="10" t="s">
        <v>30</v>
      </c>
      <c r="J67" s="10">
        <v>0</v>
      </c>
      <c r="K67" s="10">
        <v>0</v>
      </c>
      <c r="L67" s="10">
        <v>0</v>
      </c>
      <c r="M67" s="10">
        <v>0</v>
      </c>
      <c r="N67" s="10" t="s">
        <v>761</v>
      </c>
      <c r="O67" s="10" t="s">
        <v>795</v>
      </c>
      <c r="P67" s="105" t="e">
        <f t="shared" ref="P67:P130" si="1">M67/H67</f>
        <v>#DIV/0!</v>
      </c>
    </row>
    <row r="68" spans="1:16">
      <c r="A68" s="10" t="s">
        <v>635</v>
      </c>
      <c r="B68" s="10">
        <v>1500720</v>
      </c>
      <c r="C68" s="10" t="s">
        <v>759</v>
      </c>
      <c r="D68" s="10" t="s">
        <v>760</v>
      </c>
      <c r="E68" s="10">
        <v>0</v>
      </c>
      <c r="F68" s="10">
        <v>0</v>
      </c>
      <c r="G68" s="10">
        <v>0</v>
      </c>
      <c r="H68" s="10">
        <v>0</v>
      </c>
      <c r="I68" s="10" t="s">
        <v>30</v>
      </c>
      <c r="J68" s="10">
        <v>0</v>
      </c>
      <c r="K68" s="10">
        <v>0</v>
      </c>
      <c r="L68" s="10">
        <v>0</v>
      </c>
      <c r="M68" s="10">
        <v>0</v>
      </c>
      <c r="N68" s="10" t="s">
        <v>761</v>
      </c>
      <c r="O68" s="10" t="s">
        <v>796</v>
      </c>
      <c r="P68" s="105" t="e">
        <f t="shared" si="1"/>
        <v>#DIV/0!</v>
      </c>
    </row>
    <row r="69" spans="1:16">
      <c r="A69" s="10" t="s">
        <v>635</v>
      </c>
      <c r="B69" s="10">
        <v>1500721</v>
      </c>
      <c r="C69" s="10" t="s">
        <v>759</v>
      </c>
      <c r="D69" s="10" t="s">
        <v>760</v>
      </c>
      <c r="E69" s="10">
        <v>0</v>
      </c>
      <c r="F69" s="10">
        <v>0</v>
      </c>
      <c r="G69" s="10">
        <v>0</v>
      </c>
      <c r="H69" s="10">
        <v>0</v>
      </c>
      <c r="I69" s="10" t="s">
        <v>30</v>
      </c>
      <c r="J69" s="10">
        <v>0</v>
      </c>
      <c r="K69" s="10">
        <v>0</v>
      </c>
      <c r="L69" s="10">
        <v>0</v>
      </c>
      <c r="M69" s="10">
        <v>0</v>
      </c>
      <c r="N69" s="10" t="s">
        <v>761</v>
      </c>
      <c r="O69" s="10" t="s">
        <v>657</v>
      </c>
      <c r="P69" s="105" t="e">
        <f t="shared" si="1"/>
        <v>#DIV/0!</v>
      </c>
    </row>
    <row r="70" spans="1:16">
      <c r="A70" s="10" t="s">
        <v>635</v>
      </c>
      <c r="B70" s="10">
        <v>1500722</v>
      </c>
      <c r="C70" s="10" t="s">
        <v>759</v>
      </c>
      <c r="D70" s="10" t="s">
        <v>760</v>
      </c>
      <c r="E70" s="10">
        <v>0</v>
      </c>
      <c r="F70" s="10">
        <v>0</v>
      </c>
      <c r="G70" s="10">
        <v>0</v>
      </c>
      <c r="H70" s="10">
        <v>0</v>
      </c>
      <c r="I70" s="10" t="s">
        <v>30</v>
      </c>
      <c r="J70" s="10">
        <v>0</v>
      </c>
      <c r="K70" s="10">
        <v>0</v>
      </c>
      <c r="L70" s="10">
        <v>0</v>
      </c>
      <c r="M70" s="10">
        <v>0</v>
      </c>
      <c r="N70" s="10" t="s">
        <v>761</v>
      </c>
      <c r="O70" s="10" t="s">
        <v>797</v>
      </c>
      <c r="P70" s="105" t="e">
        <f t="shared" si="1"/>
        <v>#DIV/0!</v>
      </c>
    </row>
    <row r="71" spans="1:16">
      <c r="A71" s="10" t="s">
        <v>635</v>
      </c>
      <c r="B71" s="10">
        <v>1500725</v>
      </c>
      <c r="C71" s="10" t="s">
        <v>759</v>
      </c>
      <c r="D71" s="10" t="s">
        <v>760</v>
      </c>
      <c r="E71" s="10">
        <v>25</v>
      </c>
      <c r="F71" s="10">
        <v>80</v>
      </c>
      <c r="G71" s="10">
        <v>0</v>
      </c>
      <c r="H71" s="10">
        <v>105</v>
      </c>
      <c r="I71" s="10" t="s">
        <v>74</v>
      </c>
      <c r="J71" s="10">
        <v>225</v>
      </c>
      <c r="K71" s="10">
        <v>720</v>
      </c>
      <c r="L71" s="10">
        <v>0</v>
      </c>
      <c r="M71" s="10">
        <v>945</v>
      </c>
      <c r="N71" s="10" t="s">
        <v>761</v>
      </c>
      <c r="O71" s="10" t="s">
        <v>514</v>
      </c>
      <c r="P71" s="105">
        <f t="shared" si="1"/>
        <v>9</v>
      </c>
    </row>
    <row r="72" spans="1:16">
      <c r="A72" s="10" t="s">
        <v>635</v>
      </c>
      <c r="B72" s="10">
        <v>1500726</v>
      </c>
      <c r="C72" s="10" t="s">
        <v>759</v>
      </c>
      <c r="D72" s="10" t="s">
        <v>760</v>
      </c>
      <c r="E72" s="10">
        <v>0</v>
      </c>
      <c r="F72" s="10">
        <v>0</v>
      </c>
      <c r="G72" s="10">
        <v>0</v>
      </c>
      <c r="H72" s="10">
        <v>0</v>
      </c>
      <c r="I72" s="10" t="s">
        <v>74</v>
      </c>
      <c r="J72" s="10">
        <v>0</v>
      </c>
      <c r="K72" s="10">
        <v>0</v>
      </c>
      <c r="L72" s="10">
        <v>0</v>
      </c>
      <c r="M72" s="10">
        <v>0</v>
      </c>
      <c r="N72" s="10" t="s">
        <v>761</v>
      </c>
      <c r="O72" s="10" t="s">
        <v>798</v>
      </c>
      <c r="P72" s="105" t="e">
        <f t="shared" si="1"/>
        <v>#DIV/0!</v>
      </c>
    </row>
    <row r="73" spans="1:16">
      <c r="A73" s="10" t="s">
        <v>635</v>
      </c>
      <c r="B73" s="10">
        <v>1500727</v>
      </c>
      <c r="C73" s="10" t="s">
        <v>759</v>
      </c>
      <c r="D73" s="10" t="s">
        <v>760</v>
      </c>
      <c r="E73" s="10">
        <v>0</v>
      </c>
      <c r="F73" s="10">
        <v>0</v>
      </c>
      <c r="G73" s="10">
        <v>0</v>
      </c>
      <c r="H73" s="10">
        <v>0</v>
      </c>
      <c r="I73" s="10" t="s">
        <v>30</v>
      </c>
      <c r="J73" s="10">
        <v>0</v>
      </c>
      <c r="K73" s="10">
        <v>0</v>
      </c>
      <c r="L73" s="10">
        <v>0</v>
      </c>
      <c r="M73" s="10">
        <v>0</v>
      </c>
      <c r="N73" s="10" t="s">
        <v>761</v>
      </c>
      <c r="O73" s="10" t="s">
        <v>799</v>
      </c>
      <c r="P73" s="105" t="e">
        <f t="shared" si="1"/>
        <v>#DIV/0!</v>
      </c>
    </row>
    <row r="74" spans="1:16">
      <c r="A74" s="10" t="s">
        <v>635</v>
      </c>
      <c r="B74" s="10">
        <v>1500728</v>
      </c>
      <c r="C74" s="10" t="s">
        <v>759</v>
      </c>
      <c r="D74" s="10" t="s">
        <v>760</v>
      </c>
      <c r="E74" s="10">
        <v>100</v>
      </c>
      <c r="F74" s="10">
        <v>200</v>
      </c>
      <c r="G74" s="10">
        <v>0</v>
      </c>
      <c r="H74" s="10">
        <v>300</v>
      </c>
      <c r="I74" s="10" t="s">
        <v>30</v>
      </c>
      <c r="J74" s="10">
        <v>130</v>
      </c>
      <c r="K74" s="10">
        <v>260</v>
      </c>
      <c r="L74" s="10">
        <v>0</v>
      </c>
      <c r="M74" s="10">
        <v>390</v>
      </c>
      <c r="N74" s="10" t="s">
        <v>761</v>
      </c>
      <c r="O74" s="10" t="s">
        <v>313</v>
      </c>
      <c r="P74" s="105">
        <f t="shared" si="1"/>
        <v>1.3</v>
      </c>
    </row>
    <row r="75" spans="1:16">
      <c r="A75" s="10" t="s">
        <v>635</v>
      </c>
      <c r="B75" s="10">
        <v>1500729</v>
      </c>
      <c r="C75" s="10" t="s">
        <v>759</v>
      </c>
      <c r="D75" s="10" t="s">
        <v>760</v>
      </c>
      <c r="E75" s="10">
        <v>0</v>
      </c>
      <c r="F75" s="10">
        <v>0</v>
      </c>
      <c r="G75" s="10">
        <v>0</v>
      </c>
      <c r="H75" s="10">
        <v>0</v>
      </c>
      <c r="I75" s="10" t="s">
        <v>30</v>
      </c>
      <c r="J75" s="10">
        <v>0</v>
      </c>
      <c r="K75" s="10">
        <v>0</v>
      </c>
      <c r="L75" s="10">
        <v>0</v>
      </c>
      <c r="M75" s="10">
        <v>0</v>
      </c>
      <c r="N75" s="10" t="s">
        <v>761</v>
      </c>
      <c r="O75" s="10" t="s">
        <v>800</v>
      </c>
      <c r="P75" s="105" t="e">
        <f t="shared" si="1"/>
        <v>#DIV/0!</v>
      </c>
    </row>
    <row r="76" spans="1:16">
      <c r="A76" s="10" t="s">
        <v>635</v>
      </c>
      <c r="B76" s="10">
        <v>1500730</v>
      </c>
      <c r="C76" s="10" t="s">
        <v>759</v>
      </c>
      <c r="D76" s="10" t="s">
        <v>760</v>
      </c>
      <c r="E76" s="10">
        <v>12.5</v>
      </c>
      <c r="F76" s="10">
        <v>40</v>
      </c>
      <c r="G76" s="10">
        <v>0</v>
      </c>
      <c r="H76" s="10">
        <v>52.5</v>
      </c>
      <c r="I76" s="10" t="s">
        <v>74</v>
      </c>
      <c r="J76" s="10">
        <v>100</v>
      </c>
      <c r="K76" s="10">
        <v>320</v>
      </c>
      <c r="L76" s="10">
        <v>0</v>
      </c>
      <c r="M76" s="10">
        <v>420</v>
      </c>
      <c r="N76" s="10" t="s">
        <v>761</v>
      </c>
      <c r="O76" s="10" t="s">
        <v>582</v>
      </c>
      <c r="P76" s="105">
        <f t="shared" si="1"/>
        <v>8</v>
      </c>
    </row>
    <row r="77" spans="1:16">
      <c r="A77" s="10" t="s">
        <v>635</v>
      </c>
      <c r="B77" s="10">
        <v>1500731</v>
      </c>
      <c r="C77" s="10" t="s">
        <v>759</v>
      </c>
      <c r="D77" s="10" t="s">
        <v>760</v>
      </c>
      <c r="E77" s="10">
        <v>0</v>
      </c>
      <c r="F77" s="10">
        <v>0</v>
      </c>
      <c r="G77" s="10">
        <v>0</v>
      </c>
      <c r="H77" s="10">
        <v>0</v>
      </c>
      <c r="I77" s="10" t="s">
        <v>74</v>
      </c>
      <c r="J77" s="10">
        <v>0</v>
      </c>
      <c r="K77" s="10">
        <v>0</v>
      </c>
      <c r="L77" s="10">
        <v>0</v>
      </c>
      <c r="M77" s="10">
        <v>0</v>
      </c>
      <c r="N77" s="10" t="s">
        <v>761</v>
      </c>
      <c r="O77" s="10" t="s">
        <v>801</v>
      </c>
      <c r="P77" s="105" t="e">
        <f t="shared" si="1"/>
        <v>#DIV/0!</v>
      </c>
    </row>
    <row r="78" spans="1:16">
      <c r="A78" s="10" t="s">
        <v>635</v>
      </c>
      <c r="B78" s="10">
        <v>1500732</v>
      </c>
      <c r="C78" s="10" t="s">
        <v>759</v>
      </c>
      <c r="D78" s="10" t="s">
        <v>760</v>
      </c>
      <c r="E78" s="10">
        <v>20</v>
      </c>
      <c r="F78" s="10">
        <v>100</v>
      </c>
      <c r="G78" s="10">
        <v>0</v>
      </c>
      <c r="H78" s="10">
        <v>120</v>
      </c>
      <c r="I78" s="10" t="s">
        <v>30</v>
      </c>
      <c r="J78" s="10">
        <v>57.06</v>
      </c>
      <c r="K78" s="10">
        <v>285</v>
      </c>
      <c r="L78" s="10">
        <v>0</v>
      </c>
      <c r="M78" s="10">
        <v>342.06</v>
      </c>
      <c r="N78" s="10" t="s">
        <v>761</v>
      </c>
      <c r="O78" s="10" t="s">
        <v>560</v>
      </c>
      <c r="P78" s="105">
        <f t="shared" si="1"/>
        <v>2.8505</v>
      </c>
    </row>
    <row r="79" spans="1:16">
      <c r="A79" s="10" t="s">
        <v>635</v>
      </c>
      <c r="B79" s="10">
        <v>1500733</v>
      </c>
      <c r="C79" s="10" t="s">
        <v>759</v>
      </c>
      <c r="D79" s="10" t="s">
        <v>760</v>
      </c>
      <c r="E79" s="10">
        <v>0</v>
      </c>
      <c r="F79" s="10">
        <v>0</v>
      </c>
      <c r="G79" s="10">
        <v>0</v>
      </c>
      <c r="H79" s="10">
        <v>0</v>
      </c>
      <c r="I79" s="10" t="s">
        <v>802</v>
      </c>
      <c r="J79" s="10">
        <v>0</v>
      </c>
      <c r="K79" s="10">
        <v>0</v>
      </c>
      <c r="L79" s="10">
        <v>0</v>
      </c>
      <c r="M79" s="10">
        <v>0</v>
      </c>
      <c r="N79" s="10" t="s">
        <v>761</v>
      </c>
      <c r="O79" s="10" t="s">
        <v>803</v>
      </c>
      <c r="P79" s="105" t="e">
        <f t="shared" si="1"/>
        <v>#DIV/0!</v>
      </c>
    </row>
    <row r="80" spans="1:16">
      <c r="A80" s="10" t="s">
        <v>635</v>
      </c>
      <c r="B80" s="10">
        <v>1500734</v>
      </c>
      <c r="C80" s="10" t="s">
        <v>759</v>
      </c>
      <c r="D80" s="10" t="s">
        <v>760</v>
      </c>
      <c r="E80" s="10">
        <v>0</v>
      </c>
      <c r="F80" s="10">
        <v>255.2</v>
      </c>
      <c r="G80" s="10">
        <v>0</v>
      </c>
      <c r="H80" s="10">
        <v>255.2</v>
      </c>
      <c r="I80" s="10" t="s">
        <v>37</v>
      </c>
      <c r="J80" s="10">
        <v>0</v>
      </c>
      <c r="K80" s="103">
        <v>2500.96</v>
      </c>
      <c r="L80" s="10">
        <v>0</v>
      </c>
      <c r="M80" s="103">
        <v>2500.96</v>
      </c>
      <c r="N80" s="10" t="s">
        <v>761</v>
      </c>
      <c r="O80" s="10" t="s">
        <v>588</v>
      </c>
      <c r="P80" s="105">
        <f t="shared" si="1"/>
        <v>9.8</v>
      </c>
    </row>
    <row r="81" spans="1:16">
      <c r="A81" s="10" t="s">
        <v>635</v>
      </c>
      <c r="B81" s="10">
        <v>1500735</v>
      </c>
      <c r="C81" s="10" t="s">
        <v>759</v>
      </c>
      <c r="D81" s="10" t="s">
        <v>760</v>
      </c>
      <c r="E81" s="10">
        <v>0</v>
      </c>
      <c r="F81" s="10">
        <v>0</v>
      </c>
      <c r="G81" s="10">
        <v>0</v>
      </c>
      <c r="H81" s="10">
        <v>0</v>
      </c>
      <c r="I81" s="10" t="s">
        <v>37</v>
      </c>
      <c r="J81" s="10">
        <v>0</v>
      </c>
      <c r="K81" s="10">
        <v>0</v>
      </c>
      <c r="L81" s="10">
        <v>0</v>
      </c>
      <c r="M81" s="10">
        <v>0</v>
      </c>
      <c r="N81" s="10" t="s">
        <v>761</v>
      </c>
      <c r="O81" s="10" t="s">
        <v>804</v>
      </c>
      <c r="P81" s="105" t="e">
        <f t="shared" si="1"/>
        <v>#DIV/0!</v>
      </c>
    </row>
    <row r="82" spans="1:16">
      <c r="A82" s="10" t="s">
        <v>635</v>
      </c>
      <c r="B82" s="10">
        <v>1500736</v>
      </c>
      <c r="C82" s="10" t="s">
        <v>759</v>
      </c>
      <c r="D82" s="10" t="s">
        <v>760</v>
      </c>
      <c r="E82" s="10">
        <v>18</v>
      </c>
      <c r="F82" s="10">
        <v>192</v>
      </c>
      <c r="G82" s="10">
        <v>-7</v>
      </c>
      <c r="H82" s="10">
        <v>203</v>
      </c>
      <c r="I82" s="10" t="s">
        <v>138</v>
      </c>
      <c r="J82" s="10">
        <v>41.28</v>
      </c>
      <c r="K82" s="10">
        <v>440</v>
      </c>
      <c r="L82" s="10">
        <v>-16.04</v>
      </c>
      <c r="M82" s="10">
        <v>465.24</v>
      </c>
      <c r="N82" s="10" t="s">
        <v>761</v>
      </c>
      <c r="O82" s="10" t="s">
        <v>350</v>
      </c>
      <c r="P82" s="105">
        <f t="shared" si="1"/>
        <v>2.29182266009852</v>
      </c>
    </row>
    <row r="83" spans="1:16">
      <c r="A83" s="10" t="s">
        <v>635</v>
      </c>
      <c r="B83" s="10">
        <v>1500737</v>
      </c>
      <c r="C83" s="10" t="s">
        <v>759</v>
      </c>
      <c r="D83" s="10" t="s">
        <v>760</v>
      </c>
      <c r="E83" s="10">
        <v>4</v>
      </c>
      <c r="F83" s="10">
        <v>38</v>
      </c>
      <c r="G83" s="10">
        <v>-8</v>
      </c>
      <c r="H83" s="10">
        <v>34</v>
      </c>
      <c r="I83" s="10" t="s">
        <v>56</v>
      </c>
      <c r="J83" s="10">
        <v>24.5</v>
      </c>
      <c r="K83" s="10">
        <v>232.76</v>
      </c>
      <c r="L83" s="10">
        <v>-49.01</v>
      </c>
      <c r="M83" s="10">
        <v>208.25</v>
      </c>
      <c r="N83" s="10" t="s">
        <v>761</v>
      </c>
      <c r="O83" s="10" t="s">
        <v>400</v>
      </c>
      <c r="P83" s="105">
        <f t="shared" si="1"/>
        <v>6.125</v>
      </c>
    </row>
    <row r="84" spans="1:16">
      <c r="A84" s="10" t="s">
        <v>635</v>
      </c>
      <c r="B84" s="10">
        <v>1500738</v>
      </c>
      <c r="C84" s="10" t="s">
        <v>759</v>
      </c>
      <c r="D84" s="10" t="s">
        <v>760</v>
      </c>
      <c r="E84" s="10">
        <v>5</v>
      </c>
      <c r="F84" s="10">
        <v>96</v>
      </c>
      <c r="G84" s="10">
        <v>0</v>
      </c>
      <c r="H84" s="10">
        <v>101</v>
      </c>
      <c r="I84" s="10" t="s">
        <v>128</v>
      </c>
      <c r="J84" s="10">
        <v>50</v>
      </c>
      <c r="K84" s="10">
        <v>960</v>
      </c>
      <c r="L84" s="10">
        <v>0</v>
      </c>
      <c r="M84" s="103">
        <v>1010</v>
      </c>
      <c r="N84" s="10" t="s">
        <v>761</v>
      </c>
      <c r="O84" s="10" t="s">
        <v>528</v>
      </c>
      <c r="P84" s="105">
        <f t="shared" si="1"/>
        <v>10</v>
      </c>
    </row>
    <row r="85" spans="1:16">
      <c r="A85" s="10" t="s">
        <v>635</v>
      </c>
      <c r="B85" s="10">
        <v>1500739</v>
      </c>
      <c r="C85" s="10" t="s">
        <v>759</v>
      </c>
      <c r="D85" s="10" t="s">
        <v>760</v>
      </c>
      <c r="E85" s="10">
        <v>0</v>
      </c>
      <c r="F85" s="10">
        <v>0</v>
      </c>
      <c r="G85" s="10">
        <v>0</v>
      </c>
      <c r="H85" s="10">
        <v>0</v>
      </c>
      <c r="I85" s="10" t="s">
        <v>128</v>
      </c>
      <c r="J85" s="10">
        <v>0</v>
      </c>
      <c r="K85" s="10">
        <v>0</v>
      </c>
      <c r="L85" s="10">
        <v>0</v>
      </c>
      <c r="M85" s="10">
        <v>0</v>
      </c>
      <c r="N85" s="10" t="s">
        <v>761</v>
      </c>
      <c r="O85" s="10" t="s">
        <v>805</v>
      </c>
      <c r="P85" s="105" t="e">
        <f t="shared" si="1"/>
        <v>#DIV/0!</v>
      </c>
    </row>
    <row r="86" spans="1:16">
      <c r="A86" s="10" t="s">
        <v>635</v>
      </c>
      <c r="B86" s="10">
        <v>1500740</v>
      </c>
      <c r="C86" s="10" t="s">
        <v>759</v>
      </c>
      <c r="D86" s="10" t="s">
        <v>760</v>
      </c>
      <c r="E86" s="10">
        <v>0</v>
      </c>
      <c r="F86" s="10">
        <v>4</v>
      </c>
      <c r="G86" s="10">
        <v>0</v>
      </c>
      <c r="H86" s="10">
        <v>4</v>
      </c>
      <c r="I86" s="10" t="s">
        <v>128</v>
      </c>
      <c r="J86" s="10">
        <v>0</v>
      </c>
      <c r="K86" s="10">
        <v>60</v>
      </c>
      <c r="L86" s="10">
        <v>0</v>
      </c>
      <c r="M86" s="10">
        <v>60</v>
      </c>
      <c r="N86" s="10" t="s">
        <v>761</v>
      </c>
      <c r="O86" s="10" t="s">
        <v>315</v>
      </c>
      <c r="P86" s="105">
        <f t="shared" si="1"/>
        <v>15</v>
      </c>
    </row>
    <row r="87" spans="1:16">
      <c r="A87" s="10" t="s">
        <v>635</v>
      </c>
      <c r="B87" s="10">
        <v>1500741</v>
      </c>
      <c r="C87" s="10" t="s">
        <v>759</v>
      </c>
      <c r="D87" s="10" t="s">
        <v>760</v>
      </c>
      <c r="E87" s="10">
        <v>2</v>
      </c>
      <c r="F87" s="10">
        <v>6</v>
      </c>
      <c r="G87" s="10">
        <v>0</v>
      </c>
      <c r="H87" s="10">
        <v>8</v>
      </c>
      <c r="I87" s="10" t="s">
        <v>128</v>
      </c>
      <c r="J87" s="10">
        <v>45.98</v>
      </c>
      <c r="K87" s="10">
        <v>148.56</v>
      </c>
      <c r="L87" s="10">
        <v>0</v>
      </c>
      <c r="M87" s="10">
        <v>194.54</v>
      </c>
      <c r="N87" s="10" t="s">
        <v>761</v>
      </c>
      <c r="O87" s="10" t="s">
        <v>396</v>
      </c>
      <c r="P87" s="105">
        <f t="shared" si="1"/>
        <v>24.3175</v>
      </c>
    </row>
    <row r="88" spans="1:16">
      <c r="A88" s="10" t="s">
        <v>635</v>
      </c>
      <c r="B88" s="10">
        <v>1500742</v>
      </c>
      <c r="C88" s="10" t="s">
        <v>759</v>
      </c>
      <c r="D88" s="10" t="s">
        <v>760</v>
      </c>
      <c r="E88" s="10">
        <v>0</v>
      </c>
      <c r="F88" s="10">
        <v>0</v>
      </c>
      <c r="G88" s="10">
        <v>0</v>
      </c>
      <c r="H88" s="10">
        <v>0</v>
      </c>
      <c r="I88" s="10" t="s">
        <v>30</v>
      </c>
      <c r="J88" s="10">
        <v>0</v>
      </c>
      <c r="K88" s="10">
        <v>0</v>
      </c>
      <c r="L88" s="10">
        <v>0</v>
      </c>
      <c r="M88" s="10">
        <v>0</v>
      </c>
      <c r="N88" s="10" t="s">
        <v>761</v>
      </c>
      <c r="O88" s="10" t="s">
        <v>806</v>
      </c>
      <c r="P88" s="105" t="e">
        <f t="shared" si="1"/>
        <v>#DIV/0!</v>
      </c>
    </row>
    <row r="89" spans="1:16">
      <c r="A89" s="10" t="s">
        <v>635</v>
      </c>
      <c r="B89" s="10">
        <v>1500743</v>
      </c>
      <c r="C89" s="10" t="s">
        <v>759</v>
      </c>
      <c r="D89" s="10" t="s">
        <v>760</v>
      </c>
      <c r="E89" s="10">
        <v>0</v>
      </c>
      <c r="F89" s="10">
        <v>180</v>
      </c>
      <c r="G89" s="10">
        <v>0</v>
      </c>
      <c r="H89" s="10">
        <v>180</v>
      </c>
      <c r="I89" s="10" t="s">
        <v>74</v>
      </c>
      <c r="J89" s="10">
        <v>0</v>
      </c>
      <c r="K89" s="10">
        <v>250</v>
      </c>
      <c r="L89" s="10">
        <v>0</v>
      </c>
      <c r="M89" s="10">
        <v>250</v>
      </c>
      <c r="N89" s="10" t="s">
        <v>761</v>
      </c>
      <c r="O89" s="10" t="s">
        <v>423</v>
      </c>
      <c r="P89" s="105">
        <f t="shared" si="1"/>
        <v>1.38888888888889</v>
      </c>
    </row>
    <row r="90" spans="1:16">
      <c r="A90" s="10" t="s">
        <v>635</v>
      </c>
      <c r="B90" s="10">
        <v>1500744</v>
      </c>
      <c r="C90" s="10" t="s">
        <v>759</v>
      </c>
      <c r="D90" s="10" t="s">
        <v>760</v>
      </c>
      <c r="E90" s="10">
        <v>0</v>
      </c>
      <c r="F90" s="10">
        <v>0</v>
      </c>
      <c r="G90" s="10">
        <v>0</v>
      </c>
      <c r="H90" s="10">
        <v>0</v>
      </c>
      <c r="I90" s="10" t="s">
        <v>74</v>
      </c>
      <c r="J90" s="10">
        <v>0</v>
      </c>
      <c r="K90" s="10">
        <v>0</v>
      </c>
      <c r="L90" s="10">
        <v>0</v>
      </c>
      <c r="M90" s="10">
        <v>0</v>
      </c>
      <c r="N90" s="10" t="s">
        <v>761</v>
      </c>
      <c r="O90" s="10" t="s">
        <v>807</v>
      </c>
      <c r="P90" s="105" t="e">
        <f t="shared" si="1"/>
        <v>#DIV/0!</v>
      </c>
    </row>
    <row r="91" spans="1:16">
      <c r="A91" s="10" t="s">
        <v>635</v>
      </c>
      <c r="B91" s="10">
        <v>1500745</v>
      </c>
      <c r="C91" s="10" t="s">
        <v>759</v>
      </c>
      <c r="D91" s="10" t="s">
        <v>760</v>
      </c>
      <c r="E91" s="10">
        <v>72</v>
      </c>
      <c r="F91" s="103">
        <v>1224</v>
      </c>
      <c r="G91" s="10">
        <v>0</v>
      </c>
      <c r="H91" s="103">
        <v>1296</v>
      </c>
      <c r="I91" s="10" t="s">
        <v>128</v>
      </c>
      <c r="J91" s="10">
        <v>83.83</v>
      </c>
      <c r="K91" s="103">
        <v>1574.5</v>
      </c>
      <c r="L91" s="10">
        <v>0</v>
      </c>
      <c r="M91" s="103">
        <v>1658.33</v>
      </c>
      <c r="N91" s="10" t="s">
        <v>761</v>
      </c>
      <c r="O91" s="10" t="s">
        <v>488</v>
      </c>
      <c r="P91" s="105">
        <f t="shared" si="1"/>
        <v>1.27957561728395</v>
      </c>
    </row>
    <row r="92" spans="1:16">
      <c r="A92" s="10" t="s">
        <v>635</v>
      </c>
      <c r="B92" s="10">
        <v>1500746</v>
      </c>
      <c r="C92" s="10" t="s">
        <v>759</v>
      </c>
      <c r="D92" s="10" t="s">
        <v>760</v>
      </c>
      <c r="E92" s="10">
        <v>0</v>
      </c>
      <c r="F92" s="10">
        <v>0</v>
      </c>
      <c r="G92" s="10">
        <v>0</v>
      </c>
      <c r="H92" s="10">
        <v>0</v>
      </c>
      <c r="I92" s="10" t="s">
        <v>37</v>
      </c>
      <c r="J92" s="10">
        <v>0</v>
      </c>
      <c r="K92" s="10">
        <v>0</v>
      </c>
      <c r="L92" s="10">
        <v>0</v>
      </c>
      <c r="M92" s="10">
        <v>0</v>
      </c>
      <c r="N92" s="10" t="s">
        <v>761</v>
      </c>
      <c r="O92" s="10" t="s">
        <v>808</v>
      </c>
      <c r="P92" s="105" t="e">
        <f t="shared" si="1"/>
        <v>#DIV/0!</v>
      </c>
    </row>
    <row r="93" spans="1:16">
      <c r="A93" s="10" t="s">
        <v>635</v>
      </c>
      <c r="B93" s="10">
        <v>1500747</v>
      </c>
      <c r="C93" s="10" t="s">
        <v>759</v>
      </c>
      <c r="D93" s="10" t="s">
        <v>760</v>
      </c>
      <c r="E93" s="10">
        <v>0</v>
      </c>
      <c r="F93" s="10">
        <v>0</v>
      </c>
      <c r="G93" s="10">
        <v>0</v>
      </c>
      <c r="H93" s="10">
        <v>0</v>
      </c>
      <c r="I93" s="10" t="s">
        <v>37</v>
      </c>
      <c r="J93" s="10">
        <v>0</v>
      </c>
      <c r="K93" s="10">
        <v>0</v>
      </c>
      <c r="L93" s="10">
        <v>0</v>
      </c>
      <c r="M93" s="10">
        <v>0</v>
      </c>
      <c r="N93" s="10" t="s">
        <v>761</v>
      </c>
      <c r="O93" s="10" t="s">
        <v>809</v>
      </c>
      <c r="P93" s="105" t="e">
        <f t="shared" si="1"/>
        <v>#DIV/0!</v>
      </c>
    </row>
    <row r="94" spans="1:16">
      <c r="A94" s="10" t="s">
        <v>635</v>
      </c>
      <c r="B94" s="10">
        <v>1500748</v>
      </c>
      <c r="C94" s="10" t="s">
        <v>759</v>
      </c>
      <c r="D94" s="10" t="s">
        <v>760</v>
      </c>
      <c r="E94" s="10">
        <v>0</v>
      </c>
      <c r="F94" s="10">
        <v>0</v>
      </c>
      <c r="G94" s="10">
        <v>0</v>
      </c>
      <c r="H94" s="10">
        <v>0</v>
      </c>
      <c r="I94" s="10" t="s">
        <v>37</v>
      </c>
      <c r="J94" s="10">
        <v>0</v>
      </c>
      <c r="K94" s="10">
        <v>0</v>
      </c>
      <c r="L94" s="10">
        <v>0</v>
      </c>
      <c r="M94" s="10">
        <v>0</v>
      </c>
      <c r="N94" s="10" t="s">
        <v>761</v>
      </c>
      <c r="O94" s="10" t="s">
        <v>810</v>
      </c>
      <c r="P94" s="105" t="e">
        <f t="shared" si="1"/>
        <v>#DIV/0!</v>
      </c>
    </row>
    <row r="95" spans="1:16">
      <c r="A95" s="10" t="s">
        <v>635</v>
      </c>
      <c r="B95" s="10">
        <v>1500749</v>
      </c>
      <c r="C95" s="10" t="s">
        <v>759</v>
      </c>
      <c r="D95" s="10" t="s">
        <v>760</v>
      </c>
      <c r="E95" s="10">
        <v>0</v>
      </c>
      <c r="F95" s="10">
        <v>20</v>
      </c>
      <c r="G95" s="10">
        <v>-20</v>
      </c>
      <c r="H95" s="10">
        <v>0</v>
      </c>
      <c r="I95" s="10" t="s">
        <v>37</v>
      </c>
      <c r="J95" s="10">
        <v>0</v>
      </c>
      <c r="K95" s="10">
        <v>88</v>
      </c>
      <c r="L95" s="10">
        <v>-88</v>
      </c>
      <c r="M95" s="10">
        <v>0</v>
      </c>
      <c r="N95" s="10" t="s">
        <v>761</v>
      </c>
      <c r="O95" s="10" t="s">
        <v>586</v>
      </c>
      <c r="P95" s="105" t="e">
        <f t="shared" si="1"/>
        <v>#DIV/0!</v>
      </c>
    </row>
    <row r="96" spans="1:16">
      <c r="A96" s="10" t="s">
        <v>635</v>
      </c>
      <c r="B96" s="10">
        <v>1500750</v>
      </c>
      <c r="C96" s="10" t="s">
        <v>759</v>
      </c>
      <c r="D96" s="10" t="s">
        <v>760</v>
      </c>
      <c r="E96" s="10">
        <v>0</v>
      </c>
      <c r="F96" s="10">
        <v>0</v>
      </c>
      <c r="G96" s="10">
        <v>0</v>
      </c>
      <c r="H96" s="10">
        <v>0</v>
      </c>
      <c r="I96" s="10" t="s">
        <v>37</v>
      </c>
      <c r="J96" s="10">
        <v>0</v>
      </c>
      <c r="K96" s="10">
        <v>0</v>
      </c>
      <c r="L96" s="10">
        <v>0</v>
      </c>
      <c r="M96" s="10">
        <v>0</v>
      </c>
      <c r="N96" s="10" t="s">
        <v>761</v>
      </c>
      <c r="O96" s="10" t="s">
        <v>661</v>
      </c>
      <c r="P96" s="105" t="e">
        <f t="shared" si="1"/>
        <v>#DIV/0!</v>
      </c>
    </row>
    <row r="97" spans="1:16">
      <c r="A97" s="10" t="s">
        <v>635</v>
      </c>
      <c r="B97" s="10">
        <v>1500751</v>
      </c>
      <c r="C97" s="10" t="s">
        <v>759</v>
      </c>
      <c r="D97" s="10" t="s">
        <v>760</v>
      </c>
      <c r="E97" s="10">
        <v>0</v>
      </c>
      <c r="F97" s="10">
        <v>0</v>
      </c>
      <c r="G97" s="10">
        <v>0</v>
      </c>
      <c r="H97" s="10">
        <v>0</v>
      </c>
      <c r="I97" s="10" t="s">
        <v>37</v>
      </c>
      <c r="J97" s="10">
        <v>0</v>
      </c>
      <c r="K97" s="10">
        <v>0</v>
      </c>
      <c r="L97" s="10">
        <v>0</v>
      </c>
      <c r="M97" s="10">
        <v>0</v>
      </c>
      <c r="N97" s="10" t="s">
        <v>761</v>
      </c>
      <c r="O97" s="10" t="s">
        <v>811</v>
      </c>
      <c r="P97" s="105" t="e">
        <f t="shared" si="1"/>
        <v>#DIV/0!</v>
      </c>
    </row>
    <row r="98" spans="1:16">
      <c r="A98" s="10" t="s">
        <v>635</v>
      </c>
      <c r="B98" s="10">
        <v>1500752</v>
      </c>
      <c r="C98" s="10" t="s">
        <v>759</v>
      </c>
      <c r="D98" s="10" t="s">
        <v>760</v>
      </c>
      <c r="E98" s="10">
        <v>14</v>
      </c>
      <c r="F98" s="10">
        <v>294</v>
      </c>
      <c r="G98" s="10">
        <v>0</v>
      </c>
      <c r="H98" s="10">
        <v>308</v>
      </c>
      <c r="I98" s="10" t="s">
        <v>30</v>
      </c>
      <c r="J98" s="10">
        <v>29.24</v>
      </c>
      <c r="K98" s="10">
        <v>546</v>
      </c>
      <c r="L98" s="10">
        <v>0</v>
      </c>
      <c r="M98" s="10">
        <v>575.24</v>
      </c>
      <c r="N98" s="10" t="s">
        <v>761</v>
      </c>
      <c r="O98" s="10" t="s">
        <v>291</v>
      </c>
      <c r="P98" s="105">
        <f t="shared" si="1"/>
        <v>1.86766233766234</v>
      </c>
    </row>
    <row r="99" spans="1:16">
      <c r="A99" s="10" t="s">
        <v>635</v>
      </c>
      <c r="B99" s="10">
        <v>1500753</v>
      </c>
      <c r="C99" s="10" t="s">
        <v>759</v>
      </c>
      <c r="D99" s="10" t="s">
        <v>760</v>
      </c>
      <c r="E99" s="10">
        <v>0</v>
      </c>
      <c r="F99" s="10">
        <v>0</v>
      </c>
      <c r="G99" s="10">
        <v>0</v>
      </c>
      <c r="H99" s="10">
        <v>0</v>
      </c>
      <c r="I99" s="10" t="s">
        <v>74</v>
      </c>
      <c r="J99" s="10">
        <v>0</v>
      </c>
      <c r="K99" s="10">
        <v>0</v>
      </c>
      <c r="L99" s="10">
        <v>0</v>
      </c>
      <c r="M99" s="10">
        <v>0</v>
      </c>
      <c r="N99" s="10" t="s">
        <v>761</v>
      </c>
      <c r="O99" s="10" t="s">
        <v>75</v>
      </c>
      <c r="P99" s="105" t="e">
        <f t="shared" si="1"/>
        <v>#DIV/0!</v>
      </c>
    </row>
    <row r="100" spans="1:16">
      <c r="A100" s="10" t="s">
        <v>635</v>
      </c>
      <c r="B100" s="10">
        <v>1500754</v>
      </c>
      <c r="C100" s="10" t="s">
        <v>759</v>
      </c>
      <c r="D100" s="10" t="s">
        <v>760</v>
      </c>
      <c r="E100" s="10">
        <v>96</v>
      </c>
      <c r="F100" s="103">
        <v>2544</v>
      </c>
      <c r="G100" s="10">
        <v>0</v>
      </c>
      <c r="H100" s="103">
        <v>2640</v>
      </c>
      <c r="I100" s="10" t="s">
        <v>128</v>
      </c>
      <c r="J100" s="10">
        <v>40.16</v>
      </c>
      <c r="K100" s="10">
        <v>965</v>
      </c>
      <c r="L100" s="10">
        <v>0</v>
      </c>
      <c r="M100" s="103">
        <v>1005.16</v>
      </c>
      <c r="N100" s="10" t="s">
        <v>761</v>
      </c>
      <c r="O100" s="10" t="s">
        <v>553</v>
      </c>
      <c r="P100" s="105">
        <f t="shared" si="1"/>
        <v>0.380742424242424</v>
      </c>
    </row>
    <row r="101" spans="1:16">
      <c r="A101" s="10" t="s">
        <v>635</v>
      </c>
      <c r="B101" s="10">
        <v>1500755</v>
      </c>
      <c r="C101" s="10" t="s">
        <v>759</v>
      </c>
      <c r="D101" s="10" t="s">
        <v>760</v>
      </c>
      <c r="E101" s="10">
        <v>1.5</v>
      </c>
      <c r="F101" s="10">
        <v>76</v>
      </c>
      <c r="G101" s="10">
        <v>0</v>
      </c>
      <c r="H101" s="10">
        <v>77.5</v>
      </c>
      <c r="I101" s="10" t="s">
        <v>177</v>
      </c>
      <c r="J101" s="10">
        <v>70.83</v>
      </c>
      <c r="K101" s="103">
        <v>3387</v>
      </c>
      <c r="L101" s="10">
        <v>0</v>
      </c>
      <c r="M101" s="103">
        <v>3457.83</v>
      </c>
      <c r="N101" s="10" t="s">
        <v>761</v>
      </c>
      <c r="O101" s="10" t="s">
        <v>399</v>
      </c>
      <c r="P101" s="105">
        <f t="shared" si="1"/>
        <v>44.6171612903226</v>
      </c>
    </row>
    <row r="102" spans="1:16">
      <c r="A102" s="10" t="s">
        <v>635</v>
      </c>
      <c r="B102" s="10">
        <v>1500756</v>
      </c>
      <c r="C102" s="10" t="s">
        <v>759</v>
      </c>
      <c r="D102" s="10" t="s">
        <v>760</v>
      </c>
      <c r="E102" s="10">
        <v>0</v>
      </c>
      <c r="F102" s="10">
        <v>0</v>
      </c>
      <c r="G102" s="10">
        <v>0</v>
      </c>
      <c r="H102" s="10">
        <v>0</v>
      </c>
      <c r="I102" s="10" t="s">
        <v>74</v>
      </c>
      <c r="J102" s="10">
        <v>0</v>
      </c>
      <c r="K102" s="10">
        <v>0</v>
      </c>
      <c r="L102" s="10">
        <v>0</v>
      </c>
      <c r="M102" s="10">
        <v>0</v>
      </c>
      <c r="N102" s="10" t="s">
        <v>761</v>
      </c>
      <c r="O102" s="10" t="s">
        <v>812</v>
      </c>
      <c r="P102" s="105" t="e">
        <f t="shared" si="1"/>
        <v>#DIV/0!</v>
      </c>
    </row>
    <row r="103" spans="1:16">
      <c r="A103" s="10" t="s">
        <v>635</v>
      </c>
      <c r="B103" s="10">
        <v>1500757</v>
      </c>
      <c r="C103" s="10" t="s">
        <v>759</v>
      </c>
      <c r="D103" s="10" t="s">
        <v>760</v>
      </c>
      <c r="E103" s="10">
        <v>0</v>
      </c>
      <c r="F103" s="10">
        <v>0</v>
      </c>
      <c r="G103" s="10">
        <v>0</v>
      </c>
      <c r="H103" s="10">
        <v>0</v>
      </c>
      <c r="I103" s="10" t="s">
        <v>37</v>
      </c>
      <c r="J103" s="10">
        <v>0</v>
      </c>
      <c r="K103" s="10">
        <v>0</v>
      </c>
      <c r="L103" s="10">
        <v>0</v>
      </c>
      <c r="M103" s="10">
        <v>0</v>
      </c>
      <c r="N103" s="10" t="s">
        <v>761</v>
      </c>
      <c r="O103" s="10" t="s">
        <v>813</v>
      </c>
      <c r="P103" s="105" t="e">
        <f t="shared" si="1"/>
        <v>#DIV/0!</v>
      </c>
    </row>
    <row r="104" spans="1:16">
      <c r="A104" s="10" t="s">
        <v>635</v>
      </c>
      <c r="B104" s="10">
        <v>1500758</v>
      </c>
      <c r="C104" s="10" t="s">
        <v>759</v>
      </c>
      <c r="D104" s="10" t="s">
        <v>760</v>
      </c>
      <c r="E104" s="10">
        <v>20</v>
      </c>
      <c r="F104" s="10">
        <v>735</v>
      </c>
      <c r="G104" s="10">
        <v>0</v>
      </c>
      <c r="H104" s="10">
        <v>755</v>
      </c>
      <c r="I104" s="10" t="s">
        <v>37</v>
      </c>
      <c r="J104" s="10">
        <v>38.06</v>
      </c>
      <c r="K104" s="103">
        <v>1562.5</v>
      </c>
      <c r="L104" s="10">
        <v>0</v>
      </c>
      <c r="M104" s="103">
        <v>1600.56</v>
      </c>
      <c r="N104" s="10" t="s">
        <v>761</v>
      </c>
      <c r="O104" s="10" t="s">
        <v>493</v>
      </c>
      <c r="P104" s="105">
        <f t="shared" si="1"/>
        <v>2.11994701986755</v>
      </c>
    </row>
    <row r="105" spans="1:16">
      <c r="A105" s="10" t="s">
        <v>635</v>
      </c>
      <c r="B105" s="10">
        <v>1500759</v>
      </c>
      <c r="C105" s="10" t="s">
        <v>759</v>
      </c>
      <c r="D105" s="10" t="s">
        <v>760</v>
      </c>
      <c r="E105" s="10">
        <v>0</v>
      </c>
      <c r="F105" s="10">
        <v>0</v>
      </c>
      <c r="G105" s="10">
        <v>0</v>
      </c>
      <c r="H105" s="10">
        <v>0</v>
      </c>
      <c r="I105" s="10" t="s">
        <v>37</v>
      </c>
      <c r="J105" s="10">
        <v>0</v>
      </c>
      <c r="K105" s="10">
        <v>0</v>
      </c>
      <c r="L105" s="10">
        <v>0</v>
      </c>
      <c r="M105" s="10">
        <v>0</v>
      </c>
      <c r="N105" s="10" t="s">
        <v>761</v>
      </c>
      <c r="O105" s="10" t="s">
        <v>814</v>
      </c>
      <c r="P105" s="105" t="e">
        <f t="shared" si="1"/>
        <v>#DIV/0!</v>
      </c>
    </row>
    <row r="106" spans="1:16">
      <c r="A106" s="10" t="s">
        <v>635</v>
      </c>
      <c r="B106" s="10">
        <v>1500760</v>
      </c>
      <c r="C106" s="10" t="s">
        <v>759</v>
      </c>
      <c r="D106" s="10" t="s">
        <v>760</v>
      </c>
      <c r="E106" s="10">
        <v>0</v>
      </c>
      <c r="F106" s="10">
        <v>0</v>
      </c>
      <c r="G106" s="10">
        <v>0</v>
      </c>
      <c r="H106" s="10">
        <v>0</v>
      </c>
      <c r="I106" s="10" t="s">
        <v>37</v>
      </c>
      <c r="J106" s="10">
        <v>0</v>
      </c>
      <c r="K106" s="10">
        <v>0</v>
      </c>
      <c r="L106" s="10">
        <v>0</v>
      </c>
      <c r="M106" s="10">
        <v>0</v>
      </c>
      <c r="N106" s="10" t="s">
        <v>761</v>
      </c>
      <c r="O106" s="10" t="s">
        <v>815</v>
      </c>
      <c r="P106" s="105" t="e">
        <f t="shared" si="1"/>
        <v>#DIV/0!</v>
      </c>
    </row>
    <row r="107" spans="1:16">
      <c r="A107" s="10" t="s">
        <v>635</v>
      </c>
      <c r="B107" s="10">
        <v>1500761</v>
      </c>
      <c r="C107" s="10" t="s">
        <v>759</v>
      </c>
      <c r="D107" s="10" t="s">
        <v>760</v>
      </c>
      <c r="E107" s="10">
        <v>0</v>
      </c>
      <c r="F107" s="10">
        <v>0</v>
      </c>
      <c r="G107" s="10">
        <v>0</v>
      </c>
      <c r="H107" s="10">
        <v>0</v>
      </c>
      <c r="I107" s="10" t="s">
        <v>408</v>
      </c>
      <c r="J107" s="10">
        <v>0</v>
      </c>
      <c r="K107" s="10">
        <v>0</v>
      </c>
      <c r="L107" s="10">
        <v>0</v>
      </c>
      <c r="M107" s="10">
        <v>0</v>
      </c>
      <c r="N107" s="10" t="s">
        <v>761</v>
      </c>
      <c r="O107" s="10" t="s">
        <v>816</v>
      </c>
      <c r="P107" s="105" t="e">
        <f t="shared" si="1"/>
        <v>#DIV/0!</v>
      </c>
    </row>
    <row r="108" spans="1:16">
      <c r="A108" s="10" t="s">
        <v>635</v>
      </c>
      <c r="B108" s="10">
        <v>1500762</v>
      </c>
      <c r="C108" s="10" t="s">
        <v>759</v>
      </c>
      <c r="D108" s="10" t="s">
        <v>760</v>
      </c>
      <c r="E108" s="10">
        <v>0</v>
      </c>
      <c r="F108" s="10">
        <v>0</v>
      </c>
      <c r="G108" s="10">
        <v>0</v>
      </c>
      <c r="H108" s="10">
        <v>0</v>
      </c>
      <c r="I108" s="10" t="s">
        <v>37</v>
      </c>
      <c r="J108" s="10">
        <v>0</v>
      </c>
      <c r="K108" s="10">
        <v>0</v>
      </c>
      <c r="L108" s="10">
        <v>0</v>
      </c>
      <c r="M108" s="10">
        <v>0</v>
      </c>
      <c r="N108" s="10" t="s">
        <v>761</v>
      </c>
      <c r="O108" s="10" t="s">
        <v>817</v>
      </c>
      <c r="P108" s="105" t="e">
        <f t="shared" si="1"/>
        <v>#DIV/0!</v>
      </c>
    </row>
    <row r="109" spans="1:16">
      <c r="A109" s="10" t="s">
        <v>635</v>
      </c>
      <c r="B109" s="10">
        <v>1500763</v>
      </c>
      <c r="C109" s="10" t="s">
        <v>759</v>
      </c>
      <c r="D109" s="10" t="s">
        <v>760</v>
      </c>
      <c r="E109" s="10">
        <v>0</v>
      </c>
      <c r="F109" s="10">
        <v>0</v>
      </c>
      <c r="G109" s="10">
        <v>0</v>
      </c>
      <c r="H109" s="10">
        <v>0</v>
      </c>
      <c r="I109" s="10" t="s">
        <v>37</v>
      </c>
      <c r="J109" s="10">
        <v>0</v>
      </c>
      <c r="K109" s="10">
        <v>0</v>
      </c>
      <c r="L109" s="10">
        <v>0</v>
      </c>
      <c r="M109" s="10">
        <v>0</v>
      </c>
      <c r="N109" s="10" t="s">
        <v>761</v>
      </c>
      <c r="O109" s="10" t="s">
        <v>818</v>
      </c>
      <c r="P109" s="105" t="e">
        <f t="shared" si="1"/>
        <v>#DIV/0!</v>
      </c>
    </row>
    <row r="110" spans="1:16">
      <c r="A110" s="10" t="s">
        <v>635</v>
      </c>
      <c r="B110" s="10">
        <v>1500764</v>
      </c>
      <c r="C110" s="10" t="s">
        <v>759</v>
      </c>
      <c r="D110" s="10" t="s">
        <v>760</v>
      </c>
      <c r="E110" s="10">
        <v>72</v>
      </c>
      <c r="F110" s="103">
        <v>1416</v>
      </c>
      <c r="G110" s="10">
        <v>-50</v>
      </c>
      <c r="H110" s="103">
        <v>1438</v>
      </c>
      <c r="I110" s="10" t="s">
        <v>408</v>
      </c>
      <c r="J110" s="10">
        <v>83.39</v>
      </c>
      <c r="K110" s="103">
        <v>1574.5</v>
      </c>
      <c r="L110" s="10">
        <v>-55.57</v>
      </c>
      <c r="M110" s="103">
        <v>1602.32</v>
      </c>
      <c r="N110" s="10" t="s">
        <v>761</v>
      </c>
      <c r="O110" s="10" t="s">
        <v>406</v>
      </c>
      <c r="P110" s="105">
        <f t="shared" si="1"/>
        <v>1.11426981919332</v>
      </c>
    </row>
    <row r="111" spans="1:16">
      <c r="A111" s="10" t="s">
        <v>635</v>
      </c>
      <c r="B111" s="10">
        <v>1500765</v>
      </c>
      <c r="C111" s="10" t="s">
        <v>759</v>
      </c>
      <c r="D111" s="10" t="s">
        <v>760</v>
      </c>
      <c r="E111" s="10">
        <v>0.5</v>
      </c>
      <c r="F111" s="10">
        <v>12</v>
      </c>
      <c r="G111" s="10">
        <v>0</v>
      </c>
      <c r="H111" s="10">
        <v>12.5</v>
      </c>
      <c r="I111" s="10" t="s">
        <v>177</v>
      </c>
      <c r="J111" s="10">
        <v>38.74</v>
      </c>
      <c r="K111" s="103">
        <v>1375</v>
      </c>
      <c r="L111" s="10">
        <v>0</v>
      </c>
      <c r="M111" s="103">
        <v>1413.74</v>
      </c>
      <c r="N111" s="10" t="s">
        <v>761</v>
      </c>
      <c r="O111" s="10" t="s">
        <v>465</v>
      </c>
      <c r="P111" s="105">
        <f t="shared" si="1"/>
        <v>113.0992</v>
      </c>
    </row>
    <row r="112" spans="1:16">
      <c r="A112" s="10" t="s">
        <v>635</v>
      </c>
      <c r="B112" s="10">
        <v>1500766</v>
      </c>
      <c r="C112" s="10" t="s">
        <v>759</v>
      </c>
      <c r="D112" s="10" t="s">
        <v>760</v>
      </c>
      <c r="E112" s="10">
        <v>0</v>
      </c>
      <c r="F112" s="10">
        <v>288</v>
      </c>
      <c r="G112" s="10">
        <v>0</v>
      </c>
      <c r="H112" s="10">
        <v>288</v>
      </c>
      <c r="I112" s="10" t="s">
        <v>408</v>
      </c>
      <c r="J112" s="10">
        <v>0</v>
      </c>
      <c r="K112" s="10">
        <v>347</v>
      </c>
      <c r="L112" s="10">
        <v>0</v>
      </c>
      <c r="M112" s="10">
        <v>347</v>
      </c>
      <c r="N112" s="10" t="s">
        <v>761</v>
      </c>
      <c r="O112" s="10" t="s">
        <v>512</v>
      </c>
      <c r="P112" s="105">
        <f t="shared" si="1"/>
        <v>1.20486111111111</v>
      </c>
    </row>
    <row r="113" spans="1:16">
      <c r="A113" s="10" t="s">
        <v>635</v>
      </c>
      <c r="B113" s="10">
        <v>1500767</v>
      </c>
      <c r="C113" s="10" t="s">
        <v>759</v>
      </c>
      <c r="D113" s="10" t="s">
        <v>760</v>
      </c>
      <c r="E113" s="10">
        <v>0</v>
      </c>
      <c r="F113" s="10">
        <v>0</v>
      </c>
      <c r="G113" s="10">
        <v>0</v>
      </c>
      <c r="H113" s="10">
        <v>0</v>
      </c>
      <c r="I113" s="10" t="s">
        <v>74</v>
      </c>
      <c r="J113" s="10">
        <v>0</v>
      </c>
      <c r="K113" s="10">
        <v>0</v>
      </c>
      <c r="L113" s="10">
        <v>0</v>
      </c>
      <c r="M113" s="10">
        <v>0</v>
      </c>
      <c r="N113" s="10" t="s">
        <v>761</v>
      </c>
      <c r="O113" s="10" t="s">
        <v>819</v>
      </c>
      <c r="P113" s="105" t="e">
        <f t="shared" si="1"/>
        <v>#DIV/0!</v>
      </c>
    </row>
    <row r="114" spans="1:16">
      <c r="A114" s="10" t="s">
        <v>635</v>
      </c>
      <c r="B114" s="10">
        <v>1500768</v>
      </c>
      <c r="C114" s="10" t="s">
        <v>759</v>
      </c>
      <c r="D114" s="10" t="s">
        <v>760</v>
      </c>
      <c r="E114" s="10">
        <v>0</v>
      </c>
      <c r="F114" s="10">
        <v>24.4</v>
      </c>
      <c r="G114" s="10">
        <v>-24.4</v>
      </c>
      <c r="H114" s="10">
        <v>0</v>
      </c>
      <c r="I114" s="10" t="s">
        <v>37</v>
      </c>
      <c r="J114" s="10">
        <v>0</v>
      </c>
      <c r="K114" s="10">
        <v>23.92</v>
      </c>
      <c r="L114" s="10">
        <v>-23.92</v>
      </c>
      <c r="M114" s="10">
        <v>0</v>
      </c>
      <c r="N114" s="10" t="s">
        <v>761</v>
      </c>
      <c r="O114" s="10" t="s">
        <v>662</v>
      </c>
      <c r="P114" s="105" t="e">
        <f t="shared" si="1"/>
        <v>#DIV/0!</v>
      </c>
    </row>
    <row r="115" spans="1:16">
      <c r="A115" s="10" t="s">
        <v>635</v>
      </c>
      <c r="B115" s="10">
        <v>1500769</v>
      </c>
      <c r="C115" s="10" t="s">
        <v>759</v>
      </c>
      <c r="D115" s="10" t="s">
        <v>760</v>
      </c>
      <c r="E115" s="10">
        <v>30</v>
      </c>
      <c r="F115" s="10">
        <v>400</v>
      </c>
      <c r="G115" s="10">
        <v>0</v>
      </c>
      <c r="H115" s="10">
        <v>430</v>
      </c>
      <c r="I115" s="10" t="s">
        <v>37</v>
      </c>
      <c r="J115" s="10">
        <v>8.01</v>
      </c>
      <c r="K115" s="10">
        <v>107.5</v>
      </c>
      <c r="L115" s="10">
        <v>0</v>
      </c>
      <c r="M115" s="10">
        <v>115.51</v>
      </c>
      <c r="N115" s="10" t="s">
        <v>761</v>
      </c>
      <c r="O115" s="10" t="s">
        <v>416</v>
      </c>
      <c r="P115" s="105">
        <f t="shared" si="1"/>
        <v>0.268627906976744</v>
      </c>
    </row>
    <row r="116" spans="1:16">
      <c r="A116" s="10" t="s">
        <v>635</v>
      </c>
      <c r="B116" s="10">
        <v>1500770</v>
      </c>
      <c r="C116" s="10" t="s">
        <v>759</v>
      </c>
      <c r="D116" s="10" t="s">
        <v>760</v>
      </c>
      <c r="E116" s="10">
        <v>60</v>
      </c>
      <c r="F116" s="10">
        <v>210</v>
      </c>
      <c r="G116" s="10">
        <v>-30</v>
      </c>
      <c r="H116" s="10">
        <v>240</v>
      </c>
      <c r="I116" s="10" t="s">
        <v>37</v>
      </c>
      <c r="J116" s="10">
        <v>72.25</v>
      </c>
      <c r="K116" s="10">
        <v>240</v>
      </c>
      <c r="L116" s="10">
        <v>-33.5</v>
      </c>
      <c r="M116" s="10">
        <v>278.75</v>
      </c>
      <c r="N116" s="10" t="s">
        <v>761</v>
      </c>
      <c r="O116" s="10" t="s">
        <v>457</v>
      </c>
      <c r="P116" s="105">
        <f t="shared" si="1"/>
        <v>1.16145833333333</v>
      </c>
    </row>
    <row r="117" spans="1:16">
      <c r="A117" s="10" t="s">
        <v>635</v>
      </c>
      <c r="B117" s="10">
        <v>1500771</v>
      </c>
      <c r="C117" s="10" t="s">
        <v>759</v>
      </c>
      <c r="D117" s="10" t="s">
        <v>760</v>
      </c>
      <c r="E117" s="10">
        <v>10</v>
      </c>
      <c r="F117" s="10">
        <v>185</v>
      </c>
      <c r="G117" s="10">
        <v>0</v>
      </c>
      <c r="H117" s="10">
        <v>195</v>
      </c>
      <c r="I117" s="10" t="s">
        <v>128</v>
      </c>
      <c r="J117" s="10">
        <v>6.01</v>
      </c>
      <c r="K117" s="10">
        <v>111</v>
      </c>
      <c r="L117" s="10">
        <v>0</v>
      </c>
      <c r="M117" s="10">
        <v>117.01</v>
      </c>
      <c r="N117" s="10" t="s">
        <v>761</v>
      </c>
      <c r="O117" s="10" t="s">
        <v>497</v>
      </c>
      <c r="P117" s="105">
        <f t="shared" si="1"/>
        <v>0.600051282051282</v>
      </c>
    </row>
    <row r="118" spans="1:16">
      <c r="A118" s="10" t="s">
        <v>635</v>
      </c>
      <c r="B118" s="10">
        <v>1500772</v>
      </c>
      <c r="C118" s="10" t="s">
        <v>759</v>
      </c>
      <c r="D118" s="10" t="s">
        <v>760</v>
      </c>
      <c r="E118" s="10">
        <v>60</v>
      </c>
      <c r="F118" s="10">
        <v>510</v>
      </c>
      <c r="G118" s="10">
        <v>0</v>
      </c>
      <c r="H118" s="10">
        <v>570</v>
      </c>
      <c r="I118" s="10" t="s">
        <v>37</v>
      </c>
      <c r="J118" s="10">
        <v>108.09</v>
      </c>
      <c r="K118" s="10">
        <v>936</v>
      </c>
      <c r="L118" s="10">
        <v>0</v>
      </c>
      <c r="M118" s="103">
        <v>1044.09</v>
      </c>
      <c r="N118" s="10" t="s">
        <v>761</v>
      </c>
      <c r="O118" s="10" t="s">
        <v>492</v>
      </c>
      <c r="P118" s="105">
        <f t="shared" si="1"/>
        <v>1.83173684210526</v>
      </c>
    </row>
    <row r="119" spans="1:16">
      <c r="A119" s="10" t="s">
        <v>635</v>
      </c>
      <c r="B119" s="10">
        <v>1500773</v>
      </c>
      <c r="C119" s="10" t="s">
        <v>759</v>
      </c>
      <c r="D119" s="10" t="s">
        <v>760</v>
      </c>
      <c r="E119" s="10">
        <v>0</v>
      </c>
      <c r="F119" s="10">
        <v>0</v>
      </c>
      <c r="G119" s="10">
        <v>0</v>
      </c>
      <c r="H119" s="10">
        <v>0</v>
      </c>
      <c r="I119" s="10" t="s">
        <v>74</v>
      </c>
      <c r="J119" s="10">
        <v>0</v>
      </c>
      <c r="K119" s="10">
        <v>0</v>
      </c>
      <c r="L119" s="10">
        <v>0</v>
      </c>
      <c r="M119" s="10">
        <v>0</v>
      </c>
      <c r="N119" s="10" t="s">
        <v>761</v>
      </c>
      <c r="O119" s="10" t="s">
        <v>820</v>
      </c>
      <c r="P119" s="105" t="e">
        <f t="shared" si="1"/>
        <v>#DIV/0!</v>
      </c>
    </row>
    <row r="120" spans="1:16">
      <c r="A120" s="10" t="s">
        <v>635</v>
      </c>
      <c r="B120" s="10">
        <v>1500774</v>
      </c>
      <c r="C120" s="10" t="s">
        <v>759</v>
      </c>
      <c r="D120" s="10" t="s">
        <v>760</v>
      </c>
      <c r="E120" s="10">
        <v>0</v>
      </c>
      <c r="F120" s="10">
        <v>250.899</v>
      </c>
      <c r="G120" s="10">
        <v>0</v>
      </c>
      <c r="H120" s="10">
        <v>250.899</v>
      </c>
      <c r="I120" s="10" t="s">
        <v>37</v>
      </c>
      <c r="J120" s="10">
        <v>0</v>
      </c>
      <c r="K120" s="103">
        <v>2340.81</v>
      </c>
      <c r="L120" s="10">
        <v>0</v>
      </c>
      <c r="M120" s="103">
        <v>2340.81</v>
      </c>
      <c r="N120" s="10" t="s">
        <v>761</v>
      </c>
      <c r="O120" s="10" t="s">
        <v>288</v>
      </c>
      <c r="P120" s="105">
        <f t="shared" si="1"/>
        <v>9.3296904332022</v>
      </c>
    </row>
    <row r="121" spans="1:16">
      <c r="A121" s="10" t="s">
        <v>635</v>
      </c>
      <c r="B121" s="10">
        <v>1500775</v>
      </c>
      <c r="C121" s="10" t="s">
        <v>759</v>
      </c>
      <c r="D121" s="10" t="s">
        <v>760</v>
      </c>
      <c r="E121" s="10">
        <v>0</v>
      </c>
      <c r="F121" s="10">
        <v>111.14</v>
      </c>
      <c r="G121" s="10">
        <v>0</v>
      </c>
      <c r="H121" s="10">
        <v>111.14</v>
      </c>
      <c r="I121" s="10" t="s">
        <v>37</v>
      </c>
      <c r="J121" s="10">
        <v>0</v>
      </c>
      <c r="K121" s="10">
        <v>148.5</v>
      </c>
      <c r="L121" s="10">
        <v>0</v>
      </c>
      <c r="M121" s="10">
        <v>148.5</v>
      </c>
      <c r="N121" s="10" t="s">
        <v>761</v>
      </c>
      <c r="O121" s="10" t="s">
        <v>266</v>
      </c>
      <c r="P121" s="105">
        <f t="shared" si="1"/>
        <v>1.33615260032392</v>
      </c>
    </row>
    <row r="122" spans="1:16">
      <c r="A122" s="10" t="s">
        <v>635</v>
      </c>
      <c r="B122" s="10">
        <v>1500776</v>
      </c>
      <c r="C122" s="10" t="s">
        <v>759</v>
      </c>
      <c r="D122" s="10" t="s">
        <v>760</v>
      </c>
      <c r="E122" s="10">
        <v>160</v>
      </c>
      <c r="F122" s="103">
        <v>4541.8</v>
      </c>
      <c r="G122" s="10">
        <v>0</v>
      </c>
      <c r="H122" s="103">
        <v>4701.8</v>
      </c>
      <c r="I122" s="10" t="s">
        <v>37</v>
      </c>
      <c r="J122" s="10">
        <v>226.49</v>
      </c>
      <c r="K122" s="103">
        <v>5749.25</v>
      </c>
      <c r="L122" s="10">
        <v>0</v>
      </c>
      <c r="M122" s="103">
        <v>5975.74</v>
      </c>
      <c r="N122" s="10" t="s">
        <v>761</v>
      </c>
      <c r="O122" s="10" t="s">
        <v>308</v>
      </c>
      <c r="P122" s="105">
        <f t="shared" si="1"/>
        <v>1.27094729677996</v>
      </c>
    </row>
    <row r="123" spans="1:16">
      <c r="A123" s="10" t="s">
        <v>635</v>
      </c>
      <c r="B123" s="10">
        <v>1500777</v>
      </c>
      <c r="C123" s="10" t="s">
        <v>759</v>
      </c>
      <c r="D123" s="10" t="s">
        <v>760</v>
      </c>
      <c r="E123" s="10">
        <v>0</v>
      </c>
      <c r="F123" s="10">
        <v>0</v>
      </c>
      <c r="G123" s="10">
        <v>0</v>
      </c>
      <c r="H123" s="10">
        <v>0</v>
      </c>
      <c r="I123" s="10" t="s">
        <v>21</v>
      </c>
      <c r="J123" s="10">
        <v>0</v>
      </c>
      <c r="K123" s="10">
        <v>0</v>
      </c>
      <c r="L123" s="10">
        <v>0</v>
      </c>
      <c r="M123" s="10">
        <v>0</v>
      </c>
      <c r="N123" s="10" t="s">
        <v>761</v>
      </c>
      <c r="O123" s="10" t="s">
        <v>821</v>
      </c>
      <c r="P123" s="105" t="e">
        <f t="shared" si="1"/>
        <v>#DIV/0!</v>
      </c>
    </row>
    <row r="124" spans="1:16">
      <c r="A124" s="10" t="s">
        <v>635</v>
      </c>
      <c r="B124" s="10">
        <v>1500778</v>
      </c>
      <c r="C124" s="10" t="s">
        <v>759</v>
      </c>
      <c r="D124" s="10" t="s">
        <v>760</v>
      </c>
      <c r="E124" s="10">
        <v>1</v>
      </c>
      <c r="F124" s="10">
        <v>7</v>
      </c>
      <c r="G124" s="10">
        <v>0</v>
      </c>
      <c r="H124" s="10">
        <v>8</v>
      </c>
      <c r="I124" s="10" t="s">
        <v>177</v>
      </c>
      <c r="J124" s="10">
        <v>32.47</v>
      </c>
      <c r="K124" s="10">
        <v>254</v>
      </c>
      <c r="L124" s="10">
        <v>0</v>
      </c>
      <c r="M124" s="10">
        <v>286.47</v>
      </c>
      <c r="N124" s="10" t="s">
        <v>761</v>
      </c>
      <c r="O124" s="10" t="s">
        <v>299</v>
      </c>
      <c r="P124" s="105">
        <f t="shared" si="1"/>
        <v>35.80875</v>
      </c>
    </row>
    <row r="125" spans="1:16">
      <c r="A125" s="10" t="s">
        <v>635</v>
      </c>
      <c r="B125" s="10">
        <v>1500779</v>
      </c>
      <c r="C125" s="10" t="s">
        <v>759</v>
      </c>
      <c r="D125" s="10" t="s">
        <v>760</v>
      </c>
      <c r="E125" s="10">
        <v>0</v>
      </c>
      <c r="F125" s="10">
        <v>0</v>
      </c>
      <c r="G125" s="10">
        <v>0</v>
      </c>
      <c r="H125" s="10">
        <v>0</v>
      </c>
      <c r="I125" s="10" t="s">
        <v>37</v>
      </c>
      <c r="J125" s="10">
        <v>0</v>
      </c>
      <c r="K125" s="10">
        <v>0</v>
      </c>
      <c r="L125" s="10">
        <v>0</v>
      </c>
      <c r="M125" s="10">
        <v>0</v>
      </c>
      <c r="N125" s="10" t="s">
        <v>761</v>
      </c>
      <c r="O125" s="10" t="s">
        <v>822</v>
      </c>
      <c r="P125" s="105" t="e">
        <f t="shared" si="1"/>
        <v>#DIV/0!</v>
      </c>
    </row>
    <row r="126" spans="1:16">
      <c r="A126" s="10" t="s">
        <v>635</v>
      </c>
      <c r="B126" s="10">
        <v>1500780</v>
      </c>
      <c r="C126" s="10" t="s">
        <v>759</v>
      </c>
      <c r="D126" s="10" t="s">
        <v>760</v>
      </c>
      <c r="E126" s="10">
        <v>0</v>
      </c>
      <c r="F126" s="10">
        <v>0</v>
      </c>
      <c r="G126" s="10">
        <v>0</v>
      </c>
      <c r="H126" s="10">
        <v>0</v>
      </c>
      <c r="I126" s="10" t="s">
        <v>37</v>
      </c>
      <c r="J126" s="10">
        <v>0</v>
      </c>
      <c r="K126" s="10">
        <v>0</v>
      </c>
      <c r="L126" s="10">
        <v>0</v>
      </c>
      <c r="M126" s="10">
        <v>0</v>
      </c>
      <c r="N126" s="10" t="s">
        <v>761</v>
      </c>
      <c r="O126" s="10" t="s">
        <v>664</v>
      </c>
      <c r="P126" s="105" t="e">
        <f t="shared" si="1"/>
        <v>#DIV/0!</v>
      </c>
    </row>
    <row r="127" spans="1:16">
      <c r="A127" s="10" t="s">
        <v>635</v>
      </c>
      <c r="B127" s="10">
        <v>1500781</v>
      </c>
      <c r="C127" s="10" t="s">
        <v>759</v>
      </c>
      <c r="D127" s="10" t="s">
        <v>760</v>
      </c>
      <c r="E127" s="10">
        <v>18</v>
      </c>
      <c r="F127" s="10">
        <v>204</v>
      </c>
      <c r="G127" s="10">
        <v>-58</v>
      </c>
      <c r="H127" s="10">
        <v>164</v>
      </c>
      <c r="I127" s="10" t="s">
        <v>172</v>
      </c>
      <c r="J127" s="10">
        <v>214.22</v>
      </c>
      <c r="K127" s="103">
        <v>2431</v>
      </c>
      <c r="L127" s="10">
        <v>-691.08</v>
      </c>
      <c r="M127" s="103">
        <v>1954.14</v>
      </c>
      <c r="N127" s="10" t="s">
        <v>761</v>
      </c>
      <c r="O127" s="10" t="s">
        <v>170</v>
      </c>
      <c r="P127" s="105">
        <f t="shared" si="1"/>
        <v>11.915487804878</v>
      </c>
    </row>
    <row r="128" spans="1:16">
      <c r="A128" s="10" t="s">
        <v>635</v>
      </c>
      <c r="B128" s="10">
        <v>1500782</v>
      </c>
      <c r="C128" s="10" t="s">
        <v>759</v>
      </c>
      <c r="D128" s="10" t="s">
        <v>760</v>
      </c>
      <c r="E128" s="10">
        <v>0</v>
      </c>
      <c r="F128" s="10">
        <v>0</v>
      </c>
      <c r="G128" s="10">
        <v>0</v>
      </c>
      <c r="H128" s="10">
        <v>0</v>
      </c>
      <c r="I128" s="10" t="s">
        <v>172</v>
      </c>
      <c r="J128" s="10">
        <v>0</v>
      </c>
      <c r="K128" s="10">
        <v>0</v>
      </c>
      <c r="L128" s="10">
        <v>0</v>
      </c>
      <c r="M128" s="10">
        <v>0</v>
      </c>
      <c r="N128" s="10" t="s">
        <v>761</v>
      </c>
      <c r="O128" s="10" t="s">
        <v>823</v>
      </c>
      <c r="P128" s="105" t="e">
        <f t="shared" si="1"/>
        <v>#DIV/0!</v>
      </c>
    </row>
    <row r="129" spans="1:16">
      <c r="A129" s="10" t="s">
        <v>635</v>
      </c>
      <c r="B129" s="10">
        <v>1500783</v>
      </c>
      <c r="C129" s="10" t="s">
        <v>759</v>
      </c>
      <c r="D129" s="10" t="s">
        <v>760</v>
      </c>
      <c r="E129" s="10">
        <v>0</v>
      </c>
      <c r="F129" s="10">
        <v>114.2</v>
      </c>
      <c r="G129" s="10">
        <v>-114.2</v>
      </c>
      <c r="H129" s="10">
        <v>0</v>
      </c>
      <c r="I129" s="10" t="s">
        <v>37</v>
      </c>
      <c r="J129" s="10">
        <v>0</v>
      </c>
      <c r="K129" s="10">
        <v>227.74</v>
      </c>
      <c r="L129" s="10">
        <v>-227.74</v>
      </c>
      <c r="M129" s="10">
        <v>0</v>
      </c>
      <c r="N129" s="10" t="s">
        <v>761</v>
      </c>
      <c r="O129" s="10" t="s">
        <v>665</v>
      </c>
      <c r="P129" s="105" t="e">
        <f t="shared" si="1"/>
        <v>#DIV/0!</v>
      </c>
    </row>
    <row r="130" spans="1:16">
      <c r="A130" s="10" t="s">
        <v>635</v>
      </c>
      <c r="B130" s="10">
        <v>1500784</v>
      </c>
      <c r="C130" s="10" t="s">
        <v>759</v>
      </c>
      <c r="D130" s="10" t="s">
        <v>760</v>
      </c>
      <c r="E130" s="10">
        <v>0</v>
      </c>
      <c r="F130" s="10">
        <v>339.8</v>
      </c>
      <c r="G130" s="10">
        <v>0</v>
      </c>
      <c r="H130" s="10">
        <v>339.8</v>
      </c>
      <c r="I130" s="10" t="s">
        <v>37</v>
      </c>
      <c r="J130" s="10">
        <v>0</v>
      </c>
      <c r="K130" s="10">
        <v>279.02</v>
      </c>
      <c r="L130" s="10">
        <v>0</v>
      </c>
      <c r="M130" s="10">
        <v>279.02</v>
      </c>
      <c r="N130" s="10" t="s">
        <v>761</v>
      </c>
      <c r="O130" s="10" t="s">
        <v>511</v>
      </c>
      <c r="P130" s="105">
        <f t="shared" si="1"/>
        <v>0.821130076515597</v>
      </c>
    </row>
    <row r="131" spans="1:16">
      <c r="A131" s="10" t="s">
        <v>635</v>
      </c>
      <c r="B131" s="10">
        <v>1500785</v>
      </c>
      <c r="C131" s="10" t="s">
        <v>759</v>
      </c>
      <c r="D131" s="10" t="s">
        <v>760</v>
      </c>
      <c r="E131" s="10">
        <v>5</v>
      </c>
      <c r="F131" s="10">
        <v>30</v>
      </c>
      <c r="G131" s="10">
        <v>0</v>
      </c>
      <c r="H131" s="10">
        <v>35</v>
      </c>
      <c r="I131" s="10" t="s">
        <v>74</v>
      </c>
      <c r="J131" s="10">
        <v>32.04</v>
      </c>
      <c r="K131" s="10">
        <v>180</v>
      </c>
      <c r="L131" s="10">
        <v>0</v>
      </c>
      <c r="M131" s="10">
        <v>212.04</v>
      </c>
      <c r="N131" s="10" t="s">
        <v>761</v>
      </c>
      <c r="O131" s="10" t="s">
        <v>587</v>
      </c>
      <c r="P131" s="105">
        <f t="shared" ref="P131:P194" si="2">M131/H131</f>
        <v>6.05828571428571</v>
      </c>
    </row>
    <row r="132" spans="1:16">
      <c r="A132" s="10" t="s">
        <v>635</v>
      </c>
      <c r="B132" s="10">
        <v>1500786</v>
      </c>
      <c r="C132" s="10" t="s">
        <v>759</v>
      </c>
      <c r="D132" s="10" t="s">
        <v>760</v>
      </c>
      <c r="E132" s="10">
        <v>0</v>
      </c>
      <c r="F132" s="10">
        <v>0</v>
      </c>
      <c r="G132" s="10">
        <v>0</v>
      </c>
      <c r="H132" s="10">
        <v>0</v>
      </c>
      <c r="I132" s="10" t="s">
        <v>37</v>
      </c>
      <c r="J132" s="10">
        <v>0</v>
      </c>
      <c r="K132" s="10">
        <v>0</v>
      </c>
      <c r="L132" s="10">
        <v>0</v>
      </c>
      <c r="M132" s="10">
        <v>0</v>
      </c>
      <c r="N132" s="10" t="s">
        <v>761</v>
      </c>
      <c r="O132" s="10" t="s">
        <v>824</v>
      </c>
      <c r="P132" s="105" t="e">
        <f t="shared" si="2"/>
        <v>#DIV/0!</v>
      </c>
    </row>
    <row r="133" spans="1:16">
      <c r="A133" s="10" t="s">
        <v>635</v>
      </c>
      <c r="B133" s="10">
        <v>1500787</v>
      </c>
      <c r="C133" s="10" t="s">
        <v>759</v>
      </c>
      <c r="D133" s="10" t="s">
        <v>760</v>
      </c>
      <c r="E133" s="10">
        <v>0</v>
      </c>
      <c r="F133" s="10">
        <v>0</v>
      </c>
      <c r="G133" s="10">
        <v>0</v>
      </c>
      <c r="H133" s="10">
        <v>0</v>
      </c>
      <c r="I133" s="10" t="s">
        <v>177</v>
      </c>
      <c r="J133" s="10">
        <v>0</v>
      </c>
      <c r="K133" s="10">
        <v>0</v>
      </c>
      <c r="L133" s="10">
        <v>0</v>
      </c>
      <c r="M133" s="10">
        <v>0</v>
      </c>
      <c r="N133" s="10" t="s">
        <v>761</v>
      </c>
      <c r="O133" s="10" t="s">
        <v>825</v>
      </c>
      <c r="P133" s="105" t="e">
        <f t="shared" si="2"/>
        <v>#DIV/0!</v>
      </c>
    </row>
    <row r="134" spans="1:16">
      <c r="A134" s="10" t="s">
        <v>635</v>
      </c>
      <c r="B134" s="10">
        <v>1500788</v>
      </c>
      <c r="C134" s="10" t="s">
        <v>759</v>
      </c>
      <c r="D134" s="10" t="s">
        <v>760</v>
      </c>
      <c r="E134" s="10">
        <v>0</v>
      </c>
      <c r="F134" s="10">
        <v>0</v>
      </c>
      <c r="G134" s="10">
        <v>0</v>
      </c>
      <c r="H134" s="10">
        <v>0</v>
      </c>
      <c r="I134" s="10" t="s">
        <v>177</v>
      </c>
      <c r="J134" s="10">
        <v>0</v>
      </c>
      <c r="K134" s="10">
        <v>0</v>
      </c>
      <c r="L134" s="10">
        <v>0</v>
      </c>
      <c r="M134" s="10">
        <v>0</v>
      </c>
      <c r="N134" s="10" t="s">
        <v>761</v>
      </c>
      <c r="O134" s="10" t="s">
        <v>666</v>
      </c>
      <c r="P134" s="105" t="e">
        <f t="shared" si="2"/>
        <v>#DIV/0!</v>
      </c>
    </row>
    <row r="135" spans="1:16">
      <c r="A135" s="10" t="s">
        <v>635</v>
      </c>
      <c r="B135" s="10">
        <v>1500789</v>
      </c>
      <c r="C135" s="10" t="s">
        <v>759</v>
      </c>
      <c r="D135" s="10" t="s">
        <v>760</v>
      </c>
      <c r="E135" s="10">
        <v>0</v>
      </c>
      <c r="F135" s="10">
        <v>0</v>
      </c>
      <c r="G135" s="10">
        <v>0</v>
      </c>
      <c r="H135" s="10">
        <v>0</v>
      </c>
      <c r="I135" s="10" t="s">
        <v>37</v>
      </c>
      <c r="J135" s="10">
        <v>0</v>
      </c>
      <c r="K135" s="10">
        <v>0</v>
      </c>
      <c r="L135" s="10">
        <v>0</v>
      </c>
      <c r="M135" s="10">
        <v>0</v>
      </c>
      <c r="N135" s="10" t="s">
        <v>761</v>
      </c>
      <c r="O135" s="10" t="s">
        <v>826</v>
      </c>
      <c r="P135" s="105" t="e">
        <f t="shared" si="2"/>
        <v>#DIV/0!</v>
      </c>
    </row>
    <row r="136" spans="1:16">
      <c r="A136" s="10" t="s">
        <v>635</v>
      </c>
      <c r="B136" s="10">
        <v>1500790</v>
      </c>
      <c r="C136" s="10" t="s">
        <v>759</v>
      </c>
      <c r="D136" s="10" t="s">
        <v>760</v>
      </c>
      <c r="E136" s="10">
        <v>0</v>
      </c>
      <c r="F136" s="10">
        <v>0</v>
      </c>
      <c r="G136" s="10">
        <v>0</v>
      </c>
      <c r="H136" s="10">
        <v>0</v>
      </c>
      <c r="I136" s="10" t="s">
        <v>74</v>
      </c>
      <c r="J136" s="10">
        <v>0</v>
      </c>
      <c r="K136" s="10">
        <v>0</v>
      </c>
      <c r="L136" s="10">
        <v>0</v>
      </c>
      <c r="M136" s="10">
        <v>0</v>
      </c>
      <c r="N136" s="10" t="s">
        <v>761</v>
      </c>
      <c r="O136" s="10" t="s">
        <v>827</v>
      </c>
      <c r="P136" s="105" t="e">
        <f t="shared" si="2"/>
        <v>#DIV/0!</v>
      </c>
    </row>
    <row r="137" spans="1:16">
      <c r="A137" s="10" t="s">
        <v>635</v>
      </c>
      <c r="B137" s="10">
        <v>1500791</v>
      </c>
      <c r="C137" s="10" t="s">
        <v>759</v>
      </c>
      <c r="D137" s="10" t="s">
        <v>760</v>
      </c>
      <c r="E137" s="10">
        <v>0</v>
      </c>
      <c r="F137" s="10">
        <v>0</v>
      </c>
      <c r="G137" s="10">
        <v>0</v>
      </c>
      <c r="H137" s="10">
        <v>0</v>
      </c>
      <c r="I137" s="10" t="s">
        <v>74</v>
      </c>
      <c r="J137" s="10">
        <v>0</v>
      </c>
      <c r="K137" s="10">
        <v>0</v>
      </c>
      <c r="L137" s="10">
        <v>0</v>
      </c>
      <c r="M137" s="10">
        <v>0</v>
      </c>
      <c r="N137" s="10" t="s">
        <v>761</v>
      </c>
      <c r="O137" s="10" t="s">
        <v>828</v>
      </c>
      <c r="P137" s="105" t="e">
        <f t="shared" si="2"/>
        <v>#DIV/0!</v>
      </c>
    </row>
    <row r="138" spans="1:16">
      <c r="A138" s="10" t="s">
        <v>635</v>
      </c>
      <c r="B138" s="10">
        <v>1500793</v>
      </c>
      <c r="C138" s="10" t="s">
        <v>759</v>
      </c>
      <c r="D138" s="10" t="s">
        <v>760</v>
      </c>
      <c r="E138" s="10">
        <v>0</v>
      </c>
      <c r="F138" s="10">
        <v>0</v>
      </c>
      <c r="G138" s="10">
        <v>0</v>
      </c>
      <c r="H138" s="10">
        <v>0</v>
      </c>
      <c r="I138" s="10" t="s">
        <v>30</v>
      </c>
      <c r="J138" s="10">
        <v>0</v>
      </c>
      <c r="K138" s="10">
        <v>0</v>
      </c>
      <c r="L138" s="10">
        <v>0</v>
      </c>
      <c r="M138" s="10">
        <v>0</v>
      </c>
      <c r="N138" s="10" t="s">
        <v>761</v>
      </c>
      <c r="O138" s="10" t="s">
        <v>829</v>
      </c>
      <c r="P138" s="105" t="e">
        <f t="shared" si="2"/>
        <v>#DIV/0!</v>
      </c>
    </row>
    <row r="139" spans="1:16">
      <c r="A139" s="10" t="s">
        <v>635</v>
      </c>
      <c r="B139" s="10">
        <v>1500794</v>
      </c>
      <c r="C139" s="10" t="s">
        <v>759</v>
      </c>
      <c r="D139" s="10" t="s">
        <v>760</v>
      </c>
      <c r="E139" s="10">
        <v>0</v>
      </c>
      <c r="F139" s="10">
        <v>0</v>
      </c>
      <c r="G139" s="10">
        <v>0</v>
      </c>
      <c r="H139" s="10">
        <v>0</v>
      </c>
      <c r="I139" s="10" t="s">
        <v>74</v>
      </c>
      <c r="J139" s="10">
        <v>0</v>
      </c>
      <c r="K139" s="10">
        <v>0</v>
      </c>
      <c r="L139" s="10">
        <v>0</v>
      </c>
      <c r="M139" s="10">
        <v>0</v>
      </c>
      <c r="N139" s="10" t="s">
        <v>761</v>
      </c>
      <c r="O139" s="10" t="s">
        <v>830</v>
      </c>
      <c r="P139" s="105" t="e">
        <f t="shared" si="2"/>
        <v>#DIV/0!</v>
      </c>
    </row>
    <row r="140" spans="1:16">
      <c r="A140" s="10" t="s">
        <v>635</v>
      </c>
      <c r="B140" s="10">
        <v>1500795</v>
      </c>
      <c r="C140" s="10" t="s">
        <v>759</v>
      </c>
      <c r="D140" s="10" t="s">
        <v>760</v>
      </c>
      <c r="E140" s="10">
        <v>7</v>
      </c>
      <c r="F140" s="10">
        <v>5</v>
      </c>
      <c r="G140" s="10">
        <v>0</v>
      </c>
      <c r="H140" s="10">
        <v>12</v>
      </c>
      <c r="I140" s="10" t="s">
        <v>138</v>
      </c>
      <c r="J140" s="10">
        <v>136.71</v>
      </c>
      <c r="K140" s="10">
        <v>97.45</v>
      </c>
      <c r="L140" s="10">
        <v>0</v>
      </c>
      <c r="M140" s="10">
        <v>234.16</v>
      </c>
      <c r="N140" s="10" t="s">
        <v>761</v>
      </c>
      <c r="O140" s="10" t="s">
        <v>491</v>
      </c>
      <c r="P140" s="105">
        <f t="shared" si="2"/>
        <v>19.5133333333333</v>
      </c>
    </row>
    <row r="141" spans="1:16">
      <c r="A141" s="10" t="s">
        <v>635</v>
      </c>
      <c r="B141" s="10">
        <v>1500796</v>
      </c>
      <c r="C141" s="10" t="s">
        <v>759</v>
      </c>
      <c r="D141" s="10" t="s">
        <v>760</v>
      </c>
      <c r="E141" s="10">
        <v>0</v>
      </c>
      <c r="F141" s="10">
        <v>0</v>
      </c>
      <c r="G141" s="10">
        <v>0</v>
      </c>
      <c r="H141" s="10">
        <v>0</v>
      </c>
      <c r="I141" s="10" t="s">
        <v>138</v>
      </c>
      <c r="J141" s="10">
        <v>0</v>
      </c>
      <c r="K141" s="10">
        <v>0</v>
      </c>
      <c r="L141" s="10">
        <v>0</v>
      </c>
      <c r="M141" s="10">
        <v>0</v>
      </c>
      <c r="N141" s="10" t="s">
        <v>761</v>
      </c>
      <c r="O141" s="10" t="s">
        <v>831</v>
      </c>
      <c r="P141" s="105" t="e">
        <f t="shared" si="2"/>
        <v>#DIV/0!</v>
      </c>
    </row>
    <row r="142" spans="1:16">
      <c r="A142" s="10" t="s">
        <v>635</v>
      </c>
      <c r="B142" s="10">
        <v>1500797</v>
      </c>
      <c r="C142" s="10" t="s">
        <v>759</v>
      </c>
      <c r="D142" s="10" t="s">
        <v>760</v>
      </c>
      <c r="E142" s="10">
        <v>2</v>
      </c>
      <c r="F142" s="10">
        <v>9</v>
      </c>
      <c r="G142" s="10">
        <v>0</v>
      </c>
      <c r="H142" s="10">
        <v>11</v>
      </c>
      <c r="I142" s="10" t="s">
        <v>56</v>
      </c>
      <c r="J142" s="10">
        <v>43.93</v>
      </c>
      <c r="K142" s="10">
        <v>187.91</v>
      </c>
      <c r="L142" s="10">
        <v>0</v>
      </c>
      <c r="M142" s="10">
        <v>231.84</v>
      </c>
      <c r="N142" s="10" t="s">
        <v>761</v>
      </c>
      <c r="O142" s="10" t="s">
        <v>319</v>
      </c>
      <c r="P142" s="105">
        <f t="shared" si="2"/>
        <v>21.0763636363636</v>
      </c>
    </row>
    <row r="143" spans="1:16">
      <c r="A143" s="10" t="s">
        <v>635</v>
      </c>
      <c r="B143" s="10">
        <v>1500798</v>
      </c>
      <c r="C143" s="10" t="s">
        <v>759</v>
      </c>
      <c r="D143" s="10" t="s">
        <v>760</v>
      </c>
      <c r="E143" s="10">
        <v>0</v>
      </c>
      <c r="F143" s="10">
        <v>0</v>
      </c>
      <c r="G143" s="10">
        <v>0</v>
      </c>
      <c r="H143" s="10">
        <v>0</v>
      </c>
      <c r="I143" s="10" t="s">
        <v>30</v>
      </c>
      <c r="J143" s="10">
        <v>0</v>
      </c>
      <c r="K143" s="10">
        <v>0</v>
      </c>
      <c r="L143" s="10">
        <v>0</v>
      </c>
      <c r="M143" s="10">
        <v>0</v>
      </c>
      <c r="N143" s="10" t="s">
        <v>761</v>
      </c>
      <c r="O143" s="10" t="s">
        <v>832</v>
      </c>
      <c r="P143" s="105" t="e">
        <f t="shared" si="2"/>
        <v>#DIV/0!</v>
      </c>
    </row>
    <row r="144" spans="1:16">
      <c r="A144" s="10" t="s">
        <v>635</v>
      </c>
      <c r="B144" s="10">
        <v>1500799</v>
      </c>
      <c r="C144" s="10" t="s">
        <v>759</v>
      </c>
      <c r="D144" s="10" t="s">
        <v>760</v>
      </c>
      <c r="E144" s="10">
        <v>0</v>
      </c>
      <c r="F144" s="10">
        <v>0</v>
      </c>
      <c r="G144" s="10">
        <v>0</v>
      </c>
      <c r="H144" s="10">
        <v>0</v>
      </c>
      <c r="I144" s="10" t="s">
        <v>138</v>
      </c>
      <c r="J144" s="10">
        <v>0</v>
      </c>
      <c r="K144" s="10">
        <v>0</v>
      </c>
      <c r="L144" s="10">
        <v>0</v>
      </c>
      <c r="M144" s="10">
        <v>0</v>
      </c>
      <c r="N144" s="10" t="s">
        <v>761</v>
      </c>
      <c r="O144" s="10" t="s">
        <v>833</v>
      </c>
      <c r="P144" s="105" t="e">
        <f t="shared" si="2"/>
        <v>#DIV/0!</v>
      </c>
    </row>
    <row r="145" spans="1:16">
      <c r="A145" s="10" t="s">
        <v>635</v>
      </c>
      <c r="B145" s="10">
        <v>1500800</v>
      </c>
      <c r="C145" s="10" t="s">
        <v>759</v>
      </c>
      <c r="D145" s="10" t="s">
        <v>760</v>
      </c>
      <c r="E145" s="10">
        <v>0</v>
      </c>
      <c r="F145" s="10">
        <v>0</v>
      </c>
      <c r="G145" s="10">
        <v>0</v>
      </c>
      <c r="H145" s="10">
        <v>0</v>
      </c>
      <c r="I145" s="10" t="s">
        <v>45</v>
      </c>
      <c r="J145" s="10">
        <v>0</v>
      </c>
      <c r="K145" s="10">
        <v>0</v>
      </c>
      <c r="L145" s="10">
        <v>0</v>
      </c>
      <c r="M145" s="10">
        <v>0</v>
      </c>
      <c r="N145" s="10" t="s">
        <v>761</v>
      </c>
      <c r="O145" s="10" t="s">
        <v>834</v>
      </c>
      <c r="P145" s="105" t="e">
        <f t="shared" si="2"/>
        <v>#DIV/0!</v>
      </c>
    </row>
    <row r="146" spans="1:16">
      <c r="A146" s="10" t="s">
        <v>635</v>
      </c>
      <c r="B146" s="10">
        <v>1500801</v>
      </c>
      <c r="C146" s="10" t="s">
        <v>759</v>
      </c>
      <c r="D146" s="10" t="s">
        <v>760</v>
      </c>
      <c r="E146" s="10">
        <v>0</v>
      </c>
      <c r="F146" s="10">
        <v>0</v>
      </c>
      <c r="G146" s="10">
        <v>0</v>
      </c>
      <c r="H146" s="10">
        <v>0</v>
      </c>
      <c r="I146" s="10" t="s">
        <v>403</v>
      </c>
      <c r="J146" s="10">
        <v>0</v>
      </c>
      <c r="K146" s="10">
        <v>0</v>
      </c>
      <c r="L146" s="10">
        <v>0</v>
      </c>
      <c r="M146" s="10">
        <v>0</v>
      </c>
      <c r="N146" s="10" t="s">
        <v>761</v>
      </c>
      <c r="O146" s="10" t="s">
        <v>835</v>
      </c>
      <c r="P146" s="105" t="e">
        <f t="shared" si="2"/>
        <v>#DIV/0!</v>
      </c>
    </row>
    <row r="147" spans="1:16">
      <c r="A147" s="10" t="s">
        <v>635</v>
      </c>
      <c r="B147" s="10">
        <v>1500802</v>
      </c>
      <c r="C147" s="10" t="s">
        <v>759</v>
      </c>
      <c r="D147" s="10" t="s">
        <v>760</v>
      </c>
      <c r="E147" s="10">
        <v>60</v>
      </c>
      <c r="F147" s="103">
        <v>1000</v>
      </c>
      <c r="G147" s="10">
        <v>0</v>
      </c>
      <c r="H147" s="103">
        <v>1060</v>
      </c>
      <c r="I147" s="10" t="s">
        <v>30</v>
      </c>
      <c r="J147" s="10">
        <v>36.21</v>
      </c>
      <c r="K147" s="10">
        <v>602.5</v>
      </c>
      <c r="L147" s="10">
        <v>0</v>
      </c>
      <c r="M147" s="10">
        <v>638.71</v>
      </c>
      <c r="N147" s="10" t="s">
        <v>761</v>
      </c>
      <c r="O147" s="10" t="s">
        <v>605</v>
      </c>
      <c r="P147" s="105">
        <f t="shared" si="2"/>
        <v>0.602556603773585</v>
      </c>
    </row>
    <row r="148" spans="1:16">
      <c r="A148" s="10" t="s">
        <v>635</v>
      </c>
      <c r="B148" s="10">
        <v>1500803</v>
      </c>
      <c r="C148" s="10" t="s">
        <v>759</v>
      </c>
      <c r="D148" s="10" t="s">
        <v>760</v>
      </c>
      <c r="E148" s="10">
        <v>0</v>
      </c>
      <c r="F148" s="10">
        <v>0</v>
      </c>
      <c r="G148" s="10">
        <v>0</v>
      </c>
      <c r="H148" s="10">
        <v>0</v>
      </c>
      <c r="I148" s="10" t="s">
        <v>30</v>
      </c>
      <c r="J148" s="10">
        <v>0</v>
      </c>
      <c r="K148" s="10">
        <v>0</v>
      </c>
      <c r="L148" s="10">
        <v>0</v>
      </c>
      <c r="M148" s="10">
        <v>0</v>
      </c>
      <c r="N148" s="10" t="s">
        <v>761</v>
      </c>
      <c r="O148" s="10" t="s">
        <v>836</v>
      </c>
      <c r="P148" s="105" t="e">
        <f t="shared" si="2"/>
        <v>#DIV/0!</v>
      </c>
    </row>
    <row r="149" spans="1:16">
      <c r="A149" s="10" t="s">
        <v>635</v>
      </c>
      <c r="B149" s="10">
        <v>1500804</v>
      </c>
      <c r="C149" s="10" t="s">
        <v>759</v>
      </c>
      <c r="D149" s="10" t="s">
        <v>760</v>
      </c>
      <c r="E149" s="10">
        <v>0</v>
      </c>
      <c r="F149" s="10">
        <v>0</v>
      </c>
      <c r="G149" s="10">
        <v>0</v>
      </c>
      <c r="H149" s="10">
        <v>0</v>
      </c>
      <c r="I149" s="10" t="s">
        <v>30</v>
      </c>
      <c r="J149" s="10">
        <v>0</v>
      </c>
      <c r="K149" s="10">
        <v>0</v>
      </c>
      <c r="L149" s="10">
        <v>0</v>
      </c>
      <c r="M149" s="10">
        <v>0</v>
      </c>
      <c r="N149" s="10" t="s">
        <v>761</v>
      </c>
      <c r="O149" s="10" t="s">
        <v>837</v>
      </c>
      <c r="P149" s="105" t="e">
        <f t="shared" si="2"/>
        <v>#DIV/0!</v>
      </c>
    </row>
    <row r="150" spans="1:16">
      <c r="A150" s="10" t="s">
        <v>635</v>
      </c>
      <c r="B150" s="10">
        <v>1500807</v>
      </c>
      <c r="C150" s="10" t="s">
        <v>759</v>
      </c>
      <c r="D150" s="10" t="s">
        <v>760</v>
      </c>
      <c r="E150" s="10">
        <v>0</v>
      </c>
      <c r="F150" s="10">
        <v>0</v>
      </c>
      <c r="G150" s="10">
        <v>0</v>
      </c>
      <c r="H150" s="10">
        <v>0</v>
      </c>
      <c r="I150" s="10" t="s">
        <v>30</v>
      </c>
      <c r="J150" s="10">
        <v>0</v>
      </c>
      <c r="K150" s="10">
        <v>0</v>
      </c>
      <c r="L150" s="10">
        <v>0</v>
      </c>
      <c r="M150" s="10">
        <v>0</v>
      </c>
      <c r="N150" s="10" t="s">
        <v>761</v>
      </c>
      <c r="O150" s="10" t="s">
        <v>838</v>
      </c>
      <c r="P150" s="105" t="e">
        <f t="shared" si="2"/>
        <v>#DIV/0!</v>
      </c>
    </row>
    <row r="151" spans="1:16">
      <c r="A151" s="10" t="s">
        <v>635</v>
      </c>
      <c r="B151" s="10">
        <v>1500808</v>
      </c>
      <c r="C151" s="10" t="s">
        <v>759</v>
      </c>
      <c r="D151" s="10" t="s">
        <v>760</v>
      </c>
      <c r="E151" s="10">
        <v>0</v>
      </c>
      <c r="F151" s="10">
        <v>0</v>
      </c>
      <c r="G151" s="10">
        <v>0</v>
      </c>
      <c r="H151" s="10">
        <v>0</v>
      </c>
      <c r="I151" s="10" t="s">
        <v>30</v>
      </c>
      <c r="J151" s="10">
        <v>0</v>
      </c>
      <c r="K151" s="10">
        <v>0</v>
      </c>
      <c r="L151" s="10">
        <v>0</v>
      </c>
      <c r="M151" s="10">
        <v>0</v>
      </c>
      <c r="N151" s="10" t="s">
        <v>761</v>
      </c>
      <c r="O151" s="10" t="s">
        <v>839</v>
      </c>
      <c r="P151" s="105" t="e">
        <f t="shared" si="2"/>
        <v>#DIV/0!</v>
      </c>
    </row>
    <row r="152" spans="1:16">
      <c r="A152" s="10" t="s">
        <v>635</v>
      </c>
      <c r="B152" s="10">
        <v>1500809</v>
      </c>
      <c r="C152" s="10" t="s">
        <v>759</v>
      </c>
      <c r="D152" s="10" t="s">
        <v>760</v>
      </c>
      <c r="E152" s="10">
        <v>0</v>
      </c>
      <c r="F152" s="10">
        <v>0</v>
      </c>
      <c r="G152" s="10">
        <v>0</v>
      </c>
      <c r="H152" s="10">
        <v>0</v>
      </c>
      <c r="I152" s="10" t="s">
        <v>30</v>
      </c>
      <c r="J152" s="10">
        <v>0</v>
      </c>
      <c r="K152" s="10">
        <v>0</v>
      </c>
      <c r="L152" s="10">
        <v>0</v>
      </c>
      <c r="M152" s="10">
        <v>0</v>
      </c>
      <c r="N152" s="10" t="s">
        <v>761</v>
      </c>
      <c r="O152" s="10" t="s">
        <v>840</v>
      </c>
      <c r="P152" s="105" t="e">
        <f t="shared" si="2"/>
        <v>#DIV/0!</v>
      </c>
    </row>
    <row r="153" spans="1:16">
      <c r="A153" s="10" t="s">
        <v>635</v>
      </c>
      <c r="B153" s="10">
        <v>1500810</v>
      </c>
      <c r="C153" s="10" t="s">
        <v>759</v>
      </c>
      <c r="D153" s="10" t="s">
        <v>760</v>
      </c>
      <c r="E153" s="10">
        <v>480</v>
      </c>
      <c r="F153" s="103">
        <v>5448</v>
      </c>
      <c r="G153" s="10">
        <v>0</v>
      </c>
      <c r="H153" s="103">
        <v>5928</v>
      </c>
      <c r="I153" s="10" t="s">
        <v>138</v>
      </c>
      <c r="J153" s="10">
        <v>256</v>
      </c>
      <c r="K153" s="103">
        <v>2905.6</v>
      </c>
      <c r="L153" s="10">
        <v>0</v>
      </c>
      <c r="M153" s="103">
        <v>3161.6</v>
      </c>
      <c r="N153" s="10" t="s">
        <v>761</v>
      </c>
      <c r="O153" s="10" t="s">
        <v>572</v>
      </c>
      <c r="P153" s="105">
        <f t="shared" si="2"/>
        <v>0.533333333333333</v>
      </c>
    </row>
    <row r="154" spans="1:16">
      <c r="A154" s="10" t="s">
        <v>635</v>
      </c>
      <c r="B154" s="10">
        <v>1500811</v>
      </c>
      <c r="C154" s="10" t="s">
        <v>759</v>
      </c>
      <c r="D154" s="10" t="s">
        <v>760</v>
      </c>
      <c r="E154" s="10">
        <v>480</v>
      </c>
      <c r="F154" s="10">
        <v>648</v>
      </c>
      <c r="G154" s="10">
        <v>0</v>
      </c>
      <c r="H154" s="103">
        <v>1128</v>
      </c>
      <c r="I154" s="10" t="s">
        <v>138</v>
      </c>
      <c r="J154" s="10">
        <v>253</v>
      </c>
      <c r="K154" s="10">
        <v>341.55</v>
      </c>
      <c r="L154" s="10">
        <v>0</v>
      </c>
      <c r="M154" s="10">
        <v>594.55</v>
      </c>
      <c r="N154" s="10" t="s">
        <v>761</v>
      </c>
      <c r="O154" s="10" t="s">
        <v>481</v>
      </c>
      <c r="P154" s="105">
        <f t="shared" si="2"/>
        <v>0.527083333333333</v>
      </c>
    </row>
    <row r="155" spans="1:16">
      <c r="A155" s="10" t="s">
        <v>635</v>
      </c>
      <c r="B155" s="10">
        <v>1500812</v>
      </c>
      <c r="C155" s="10" t="s">
        <v>759</v>
      </c>
      <c r="D155" s="10" t="s">
        <v>760</v>
      </c>
      <c r="E155" s="10">
        <v>4</v>
      </c>
      <c r="F155" s="10">
        <v>66</v>
      </c>
      <c r="G155" s="10">
        <v>0</v>
      </c>
      <c r="H155" s="10">
        <v>70</v>
      </c>
      <c r="I155" s="10" t="s">
        <v>56</v>
      </c>
      <c r="J155" s="10">
        <v>45.18</v>
      </c>
      <c r="K155" s="10">
        <v>819.5</v>
      </c>
      <c r="L155" s="10">
        <v>0</v>
      </c>
      <c r="M155" s="10">
        <v>864.68</v>
      </c>
      <c r="N155" s="10" t="s">
        <v>761</v>
      </c>
      <c r="O155" s="10" t="s">
        <v>394</v>
      </c>
      <c r="P155" s="105">
        <f t="shared" si="2"/>
        <v>12.3525714285714</v>
      </c>
    </row>
    <row r="156" spans="1:16">
      <c r="A156" s="10" t="s">
        <v>635</v>
      </c>
      <c r="B156" s="10">
        <v>1500813</v>
      </c>
      <c r="C156" s="10" t="s">
        <v>759</v>
      </c>
      <c r="D156" s="10" t="s">
        <v>760</v>
      </c>
      <c r="E156" s="10">
        <v>0</v>
      </c>
      <c r="F156" s="10">
        <v>0</v>
      </c>
      <c r="G156" s="10">
        <v>0</v>
      </c>
      <c r="H156" s="10">
        <v>0</v>
      </c>
      <c r="I156" s="10" t="s">
        <v>37</v>
      </c>
      <c r="J156" s="10">
        <v>0</v>
      </c>
      <c r="K156" s="10">
        <v>0</v>
      </c>
      <c r="L156" s="10">
        <v>0</v>
      </c>
      <c r="M156" s="10">
        <v>0</v>
      </c>
      <c r="N156" s="10" t="s">
        <v>761</v>
      </c>
      <c r="O156" s="10" t="s">
        <v>841</v>
      </c>
      <c r="P156" s="105" t="e">
        <f t="shared" si="2"/>
        <v>#DIV/0!</v>
      </c>
    </row>
    <row r="157" spans="1:16">
      <c r="A157" s="10" t="s">
        <v>635</v>
      </c>
      <c r="B157" s="10">
        <v>1500814</v>
      </c>
      <c r="C157" s="10" t="s">
        <v>759</v>
      </c>
      <c r="D157" s="10" t="s">
        <v>760</v>
      </c>
      <c r="E157" s="10">
        <v>0</v>
      </c>
      <c r="F157" s="10">
        <v>0</v>
      </c>
      <c r="G157" s="10">
        <v>0</v>
      </c>
      <c r="H157" s="10">
        <v>0</v>
      </c>
      <c r="I157" s="10" t="s">
        <v>37</v>
      </c>
      <c r="J157" s="10">
        <v>0</v>
      </c>
      <c r="K157" s="10">
        <v>0</v>
      </c>
      <c r="L157" s="10">
        <v>0</v>
      </c>
      <c r="M157" s="10">
        <v>0</v>
      </c>
      <c r="N157" s="10" t="s">
        <v>761</v>
      </c>
      <c r="O157" s="10" t="s">
        <v>842</v>
      </c>
      <c r="P157" s="105" t="e">
        <f t="shared" si="2"/>
        <v>#DIV/0!</v>
      </c>
    </row>
    <row r="158" spans="1:16">
      <c r="A158" s="10" t="s">
        <v>635</v>
      </c>
      <c r="B158" s="10">
        <v>1500815</v>
      </c>
      <c r="C158" s="10" t="s">
        <v>759</v>
      </c>
      <c r="D158" s="10" t="s">
        <v>760</v>
      </c>
      <c r="E158" s="10">
        <v>0</v>
      </c>
      <c r="F158" s="10">
        <v>0</v>
      </c>
      <c r="G158" s="10">
        <v>0</v>
      </c>
      <c r="H158" s="10">
        <v>0</v>
      </c>
      <c r="I158" s="10" t="s">
        <v>74</v>
      </c>
      <c r="J158" s="10">
        <v>0</v>
      </c>
      <c r="K158" s="10">
        <v>0</v>
      </c>
      <c r="L158" s="10">
        <v>0</v>
      </c>
      <c r="M158" s="10">
        <v>0</v>
      </c>
      <c r="N158" s="10" t="s">
        <v>761</v>
      </c>
      <c r="O158" s="10" t="s">
        <v>667</v>
      </c>
      <c r="P158" s="105" t="e">
        <f t="shared" si="2"/>
        <v>#DIV/0!</v>
      </c>
    </row>
    <row r="159" spans="1:16">
      <c r="A159" s="10" t="s">
        <v>635</v>
      </c>
      <c r="B159" s="10">
        <v>1500816</v>
      </c>
      <c r="C159" s="10" t="s">
        <v>759</v>
      </c>
      <c r="D159" s="10" t="s">
        <v>760</v>
      </c>
      <c r="E159" s="10">
        <v>0</v>
      </c>
      <c r="F159" s="10">
        <v>90</v>
      </c>
      <c r="G159" s="10">
        <v>-31.02</v>
      </c>
      <c r="H159" s="10">
        <v>58.98</v>
      </c>
      <c r="I159" s="10" t="s">
        <v>37</v>
      </c>
      <c r="J159" s="10">
        <v>0</v>
      </c>
      <c r="K159" s="10">
        <v>85.5</v>
      </c>
      <c r="L159" s="10">
        <v>-29.47</v>
      </c>
      <c r="M159" s="10">
        <v>56.03</v>
      </c>
      <c r="N159" s="10" t="s">
        <v>761</v>
      </c>
      <c r="O159" s="10" t="s">
        <v>604</v>
      </c>
      <c r="P159" s="105">
        <f t="shared" si="2"/>
        <v>0.949983045100034</v>
      </c>
    </row>
    <row r="160" spans="1:16">
      <c r="A160" s="10" t="s">
        <v>635</v>
      </c>
      <c r="B160" s="10">
        <v>1500817</v>
      </c>
      <c r="C160" s="10" t="s">
        <v>759</v>
      </c>
      <c r="D160" s="10" t="s">
        <v>760</v>
      </c>
      <c r="E160" s="10">
        <v>30</v>
      </c>
      <c r="F160" s="10">
        <v>60</v>
      </c>
      <c r="G160" s="10">
        <v>0</v>
      </c>
      <c r="H160" s="10">
        <v>90</v>
      </c>
      <c r="I160" s="10" t="s">
        <v>74</v>
      </c>
      <c r="J160" s="10">
        <v>13.61</v>
      </c>
      <c r="K160" s="10">
        <v>26.97</v>
      </c>
      <c r="L160" s="10">
        <v>0</v>
      </c>
      <c r="M160" s="10">
        <v>40.58</v>
      </c>
      <c r="N160" s="10" t="s">
        <v>761</v>
      </c>
      <c r="O160" s="10" t="s">
        <v>564</v>
      </c>
      <c r="P160" s="105">
        <f t="shared" si="2"/>
        <v>0.450888888888889</v>
      </c>
    </row>
    <row r="161" spans="1:16">
      <c r="A161" s="10" t="s">
        <v>635</v>
      </c>
      <c r="B161" s="10">
        <v>1500818</v>
      </c>
      <c r="C161" s="10" t="s">
        <v>759</v>
      </c>
      <c r="D161" s="10" t="s">
        <v>760</v>
      </c>
      <c r="E161" s="10">
        <v>40</v>
      </c>
      <c r="F161" s="10">
        <v>120</v>
      </c>
      <c r="G161" s="10">
        <v>0</v>
      </c>
      <c r="H161" s="10">
        <v>160</v>
      </c>
      <c r="I161" s="10" t="s">
        <v>74</v>
      </c>
      <c r="J161" s="10">
        <v>60.09</v>
      </c>
      <c r="K161" s="10">
        <v>180.16</v>
      </c>
      <c r="L161" s="10">
        <v>0</v>
      </c>
      <c r="M161" s="10">
        <v>240.25</v>
      </c>
      <c r="N161" s="10" t="s">
        <v>761</v>
      </c>
      <c r="O161" s="10" t="s">
        <v>417</v>
      </c>
      <c r="P161" s="105">
        <f t="shared" si="2"/>
        <v>1.5015625</v>
      </c>
    </row>
    <row r="162" spans="1:16">
      <c r="A162" s="10" t="s">
        <v>635</v>
      </c>
      <c r="B162" s="10">
        <v>1500819</v>
      </c>
      <c r="C162" s="10" t="s">
        <v>759</v>
      </c>
      <c r="D162" s="10" t="s">
        <v>760</v>
      </c>
      <c r="E162" s="10">
        <v>0</v>
      </c>
      <c r="F162" s="10">
        <v>0</v>
      </c>
      <c r="G162" s="10">
        <v>0</v>
      </c>
      <c r="H162" s="10">
        <v>0</v>
      </c>
      <c r="I162" s="10" t="s">
        <v>74</v>
      </c>
      <c r="J162" s="10">
        <v>0</v>
      </c>
      <c r="K162" s="10">
        <v>0</v>
      </c>
      <c r="L162" s="10">
        <v>0</v>
      </c>
      <c r="M162" s="10">
        <v>0</v>
      </c>
      <c r="N162" s="10" t="s">
        <v>761</v>
      </c>
      <c r="O162" s="10" t="s">
        <v>843</v>
      </c>
      <c r="P162" s="105" t="e">
        <f t="shared" si="2"/>
        <v>#DIV/0!</v>
      </c>
    </row>
    <row r="163" spans="1:16">
      <c r="A163" s="10" t="s">
        <v>635</v>
      </c>
      <c r="B163" s="10">
        <v>1500820</v>
      </c>
      <c r="C163" s="10" t="s">
        <v>759</v>
      </c>
      <c r="D163" s="10" t="s">
        <v>760</v>
      </c>
      <c r="E163" s="10">
        <v>144</v>
      </c>
      <c r="F163" s="10">
        <v>96</v>
      </c>
      <c r="G163" s="10">
        <v>0</v>
      </c>
      <c r="H163" s="10">
        <v>240</v>
      </c>
      <c r="I163" s="10" t="s">
        <v>30</v>
      </c>
      <c r="J163" s="10">
        <v>195</v>
      </c>
      <c r="K163" s="10">
        <v>130</v>
      </c>
      <c r="L163" s="10">
        <v>0</v>
      </c>
      <c r="M163" s="10">
        <v>325</v>
      </c>
      <c r="N163" s="10" t="s">
        <v>761</v>
      </c>
      <c r="O163" s="10" t="s">
        <v>360</v>
      </c>
      <c r="P163" s="105">
        <f t="shared" si="2"/>
        <v>1.35416666666667</v>
      </c>
    </row>
    <row r="164" spans="1:16">
      <c r="A164" s="10" t="s">
        <v>635</v>
      </c>
      <c r="B164" s="10">
        <v>1500821</v>
      </c>
      <c r="C164" s="10" t="s">
        <v>759</v>
      </c>
      <c r="D164" s="10" t="s">
        <v>760</v>
      </c>
      <c r="E164" s="10">
        <v>64</v>
      </c>
      <c r="F164" s="10">
        <v>0</v>
      </c>
      <c r="G164" s="10">
        <v>0</v>
      </c>
      <c r="H164" s="10">
        <v>64</v>
      </c>
      <c r="I164" s="10" t="s">
        <v>30</v>
      </c>
      <c r="J164" s="10">
        <v>104</v>
      </c>
      <c r="K164" s="10">
        <v>0</v>
      </c>
      <c r="L164" s="10">
        <v>0</v>
      </c>
      <c r="M164" s="10">
        <v>104</v>
      </c>
      <c r="N164" s="10" t="s">
        <v>761</v>
      </c>
      <c r="O164" s="10" t="s">
        <v>189</v>
      </c>
      <c r="P164" s="105">
        <f t="shared" si="2"/>
        <v>1.625</v>
      </c>
    </row>
    <row r="165" spans="1:16">
      <c r="A165" s="10" t="s">
        <v>635</v>
      </c>
      <c r="B165" s="10">
        <v>1500822</v>
      </c>
      <c r="C165" s="10" t="s">
        <v>759</v>
      </c>
      <c r="D165" s="10" t="s">
        <v>760</v>
      </c>
      <c r="E165" s="10">
        <v>144</v>
      </c>
      <c r="F165" s="106">
        <v>1552</v>
      </c>
      <c r="G165" s="10">
        <v>-138</v>
      </c>
      <c r="H165" s="106">
        <v>1558</v>
      </c>
      <c r="I165" s="10" t="s">
        <v>45</v>
      </c>
      <c r="J165" s="10">
        <v>297</v>
      </c>
      <c r="K165" s="103">
        <v>3201</v>
      </c>
      <c r="L165" s="10">
        <v>-284.63</v>
      </c>
      <c r="M165" s="103">
        <v>3213.37</v>
      </c>
      <c r="N165" s="10" t="s">
        <v>761</v>
      </c>
      <c r="O165" s="10" t="s">
        <v>464</v>
      </c>
      <c r="P165" s="105">
        <f t="shared" si="2"/>
        <v>2.06249679075738</v>
      </c>
    </row>
    <row r="166" spans="1:16">
      <c r="A166" s="10" t="s">
        <v>635</v>
      </c>
      <c r="B166" s="10">
        <v>1500823</v>
      </c>
      <c r="C166" s="10" t="s">
        <v>759</v>
      </c>
      <c r="D166" s="10" t="s">
        <v>760</v>
      </c>
      <c r="E166" s="10">
        <v>0</v>
      </c>
      <c r="F166" s="10">
        <v>0</v>
      </c>
      <c r="G166" s="10">
        <v>0</v>
      </c>
      <c r="H166" s="10">
        <v>0</v>
      </c>
      <c r="I166" s="10" t="s">
        <v>74</v>
      </c>
      <c r="J166" s="10">
        <v>0</v>
      </c>
      <c r="K166" s="10">
        <v>0</v>
      </c>
      <c r="L166" s="10">
        <v>0</v>
      </c>
      <c r="M166" s="10">
        <v>0</v>
      </c>
      <c r="N166" s="10" t="s">
        <v>761</v>
      </c>
      <c r="O166" s="10" t="s">
        <v>844</v>
      </c>
      <c r="P166" s="105" t="e">
        <f t="shared" si="2"/>
        <v>#DIV/0!</v>
      </c>
    </row>
    <row r="167" spans="1:16">
      <c r="A167" s="10" t="s">
        <v>635</v>
      </c>
      <c r="B167" s="10">
        <v>1500825</v>
      </c>
      <c r="C167" s="10" t="s">
        <v>759</v>
      </c>
      <c r="D167" s="10" t="s">
        <v>760</v>
      </c>
      <c r="E167" s="10">
        <v>2</v>
      </c>
      <c r="F167" s="10">
        <v>3</v>
      </c>
      <c r="G167" s="10">
        <v>0</v>
      </c>
      <c r="H167" s="10">
        <v>5</v>
      </c>
      <c r="I167" s="10" t="s">
        <v>37</v>
      </c>
      <c r="J167" s="10">
        <v>15</v>
      </c>
      <c r="K167" s="10">
        <v>22.5</v>
      </c>
      <c r="L167" s="10">
        <v>0</v>
      </c>
      <c r="M167" s="10">
        <v>37.5</v>
      </c>
      <c r="N167" s="10" t="s">
        <v>761</v>
      </c>
      <c r="O167" s="10" t="s">
        <v>300</v>
      </c>
      <c r="P167" s="105">
        <f t="shared" si="2"/>
        <v>7.5</v>
      </c>
    </row>
    <row r="168" spans="1:16">
      <c r="A168" s="10" t="s">
        <v>635</v>
      </c>
      <c r="B168" s="10">
        <v>1500826</v>
      </c>
      <c r="C168" s="10" t="s">
        <v>759</v>
      </c>
      <c r="D168" s="10" t="s">
        <v>760</v>
      </c>
      <c r="E168" s="10">
        <v>5</v>
      </c>
      <c r="F168" s="10">
        <v>10</v>
      </c>
      <c r="G168" s="10">
        <v>0</v>
      </c>
      <c r="H168" s="10">
        <v>15</v>
      </c>
      <c r="I168" s="10" t="s">
        <v>37</v>
      </c>
      <c r="J168" s="10">
        <v>53.77</v>
      </c>
      <c r="K168" s="10">
        <v>107.5</v>
      </c>
      <c r="L168" s="10">
        <v>0</v>
      </c>
      <c r="M168" s="10">
        <v>161.27</v>
      </c>
      <c r="N168" s="10" t="s">
        <v>761</v>
      </c>
      <c r="O168" s="10" t="s">
        <v>289</v>
      </c>
      <c r="P168" s="105">
        <f t="shared" si="2"/>
        <v>10.7513333333333</v>
      </c>
    </row>
    <row r="169" spans="1:16">
      <c r="A169" s="10" t="s">
        <v>635</v>
      </c>
      <c r="B169" s="10">
        <v>1500827</v>
      </c>
      <c r="C169" s="10" t="s">
        <v>759</v>
      </c>
      <c r="D169" s="10" t="s">
        <v>760</v>
      </c>
      <c r="E169" s="10">
        <v>8</v>
      </c>
      <c r="F169" s="10">
        <v>16</v>
      </c>
      <c r="G169" s="10">
        <v>0</v>
      </c>
      <c r="H169" s="10">
        <v>24</v>
      </c>
      <c r="I169" s="10" t="s">
        <v>37</v>
      </c>
      <c r="J169" s="10">
        <v>52</v>
      </c>
      <c r="K169" s="10">
        <v>104</v>
      </c>
      <c r="L169" s="10">
        <v>0</v>
      </c>
      <c r="M169" s="10">
        <v>156</v>
      </c>
      <c r="N169" s="10" t="s">
        <v>761</v>
      </c>
      <c r="O169" s="10" t="s">
        <v>294</v>
      </c>
      <c r="P169" s="105">
        <f t="shared" si="2"/>
        <v>6.5</v>
      </c>
    </row>
    <row r="170" spans="1:16">
      <c r="A170" s="10" t="s">
        <v>635</v>
      </c>
      <c r="B170" s="10">
        <v>1500828</v>
      </c>
      <c r="C170" s="10" t="s">
        <v>759</v>
      </c>
      <c r="D170" s="10" t="s">
        <v>760</v>
      </c>
      <c r="E170" s="10">
        <v>20</v>
      </c>
      <c r="F170" s="10">
        <v>75</v>
      </c>
      <c r="G170" s="10">
        <v>0</v>
      </c>
      <c r="H170" s="10">
        <v>95</v>
      </c>
      <c r="I170" s="10" t="s">
        <v>37</v>
      </c>
      <c r="J170" s="10">
        <v>80</v>
      </c>
      <c r="K170" s="10">
        <v>300</v>
      </c>
      <c r="L170" s="10">
        <v>0</v>
      </c>
      <c r="M170" s="10">
        <v>380</v>
      </c>
      <c r="N170" s="10" t="s">
        <v>761</v>
      </c>
      <c r="O170" s="10" t="s">
        <v>207</v>
      </c>
      <c r="P170" s="105">
        <f t="shared" si="2"/>
        <v>4</v>
      </c>
    </row>
    <row r="171" spans="1:16">
      <c r="A171" s="10" t="s">
        <v>635</v>
      </c>
      <c r="B171" s="10">
        <v>1500829</v>
      </c>
      <c r="C171" s="10" t="s">
        <v>759</v>
      </c>
      <c r="D171" s="10" t="s">
        <v>760</v>
      </c>
      <c r="E171" s="10">
        <v>1</v>
      </c>
      <c r="F171" s="10">
        <v>3</v>
      </c>
      <c r="G171" s="10">
        <v>0</v>
      </c>
      <c r="H171" s="10">
        <v>4</v>
      </c>
      <c r="I171" s="10" t="s">
        <v>37</v>
      </c>
      <c r="J171" s="10">
        <v>5.25</v>
      </c>
      <c r="K171" s="10">
        <v>16.5</v>
      </c>
      <c r="L171" s="10">
        <v>0</v>
      </c>
      <c r="M171" s="10">
        <v>21.75</v>
      </c>
      <c r="N171" s="10" t="s">
        <v>761</v>
      </c>
      <c r="O171" s="10" t="s">
        <v>222</v>
      </c>
      <c r="P171" s="105">
        <f t="shared" si="2"/>
        <v>5.4375</v>
      </c>
    </row>
    <row r="172" spans="1:16">
      <c r="A172" s="10" t="s">
        <v>635</v>
      </c>
      <c r="B172" s="10">
        <v>1500830</v>
      </c>
      <c r="C172" s="10" t="s">
        <v>759</v>
      </c>
      <c r="D172" s="10" t="s">
        <v>760</v>
      </c>
      <c r="E172" s="10">
        <v>0</v>
      </c>
      <c r="F172" s="10">
        <v>0</v>
      </c>
      <c r="G172" s="10">
        <v>0</v>
      </c>
      <c r="H172" s="10">
        <v>0</v>
      </c>
      <c r="I172" s="10" t="s">
        <v>37</v>
      </c>
      <c r="J172" s="10">
        <v>0</v>
      </c>
      <c r="K172" s="10">
        <v>0</v>
      </c>
      <c r="L172" s="10">
        <v>0</v>
      </c>
      <c r="M172" s="10">
        <v>0</v>
      </c>
      <c r="N172" s="10" t="s">
        <v>761</v>
      </c>
      <c r="O172" s="10" t="s">
        <v>845</v>
      </c>
      <c r="P172" s="105" t="e">
        <f t="shared" si="2"/>
        <v>#DIV/0!</v>
      </c>
    </row>
    <row r="173" spans="1:16">
      <c r="A173" s="10" t="s">
        <v>635</v>
      </c>
      <c r="B173" s="10">
        <v>1500831</v>
      </c>
      <c r="C173" s="10" t="s">
        <v>759</v>
      </c>
      <c r="D173" s="10" t="s">
        <v>760</v>
      </c>
      <c r="E173" s="10">
        <v>2</v>
      </c>
      <c r="F173" s="10">
        <v>4</v>
      </c>
      <c r="G173" s="10">
        <v>0</v>
      </c>
      <c r="H173" s="10">
        <v>6</v>
      </c>
      <c r="I173" s="10" t="s">
        <v>37</v>
      </c>
      <c r="J173" s="10">
        <v>25</v>
      </c>
      <c r="K173" s="10">
        <v>50</v>
      </c>
      <c r="L173" s="10">
        <v>0</v>
      </c>
      <c r="M173" s="10">
        <v>75</v>
      </c>
      <c r="N173" s="10" t="s">
        <v>761</v>
      </c>
      <c r="O173" s="10" t="s">
        <v>480</v>
      </c>
      <c r="P173" s="105">
        <f t="shared" si="2"/>
        <v>12.5</v>
      </c>
    </row>
    <row r="174" spans="1:16">
      <c r="A174" s="10" t="s">
        <v>635</v>
      </c>
      <c r="B174" s="10">
        <v>1500832</v>
      </c>
      <c r="C174" s="10" t="s">
        <v>759</v>
      </c>
      <c r="D174" s="10" t="s">
        <v>760</v>
      </c>
      <c r="E174" s="10">
        <v>0</v>
      </c>
      <c r="F174" s="10">
        <v>0</v>
      </c>
      <c r="G174" s="10">
        <v>0</v>
      </c>
      <c r="H174" s="10">
        <v>0</v>
      </c>
      <c r="I174" s="10" t="s">
        <v>37</v>
      </c>
      <c r="J174" s="10">
        <v>0</v>
      </c>
      <c r="K174" s="10">
        <v>0</v>
      </c>
      <c r="L174" s="10">
        <v>0</v>
      </c>
      <c r="M174" s="10">
        <v>0</v>
      </c>
      <c r="N174" s="10" t="s">
        <v>761</v>
      </c>
      <c r="O174" s="10" t="s">
        <v>846</v>
      </c>
      <c r="P174" s="105" t="e">
        <f t="shared" si="2"/>
        <v>#DIV/0!</v>
      </c>
    </row>
    <row r="175" spans="1:16">
      <c r="A175" s="10" t="s">
        <v>635</v>
      </c>
      <c r="B175" s="10">
        <v>1500833</v>
      </c>
      <c r="C175" s="10" t="s">
        <v>759</v>
      </c>
      <c r="D175" s="10" t="s">
        <v>760</v>
      </c>
      <c r="E175" s="10">
        <v>1</v>
      </c>
      <c r="F175" s="10">
        <v>1</v>
      </c>
      <c r="G175" s="10">
        <v>0</v>
      </c>
      <c r="H175" s="10">
        <v>2</v>
      </c>
      <c r="I175" s="10" t="s">
        <v>37</v>
      </c>
      <c r="J175" s="10">
        <v>15.5</v>
      </c>
      <c r="K175" s="10">
        <v>15.5</v>
      </c>
      <c r="L175" s="10">
        <v>0</v>
      </c>
      <c r="M175" s="10">
        <v>31</v>
      </c>
      <c r="N175" s="10" t="s">
        <v>761</v>
      </c>
      <c r="O175" s="10" t="s">
        <v>429</v>
      </c>
      <c r="P175" s="105">
        <f t="shared" si="2"/>
        <v>15.5</v>
      </c>
    </row>
    <row r="176" spans="1:16">
      <c r="A176" s="10" t="s">
        <v>635</v>
      </c>
      <c r="B176" s="10">
        <v>1500834</v>
      </c>
      <c r="C176" s="10" t="s">
        <v>759</v>
      </c>
      <c r="D176" s="10" t="s">
        <v>760</v>
      </c>
      <c r="E176" s="10">
        <v>1</v>
      </c>
      <c r="F176" s="10">
        <v>1</v>
      </c>
      <c r="G176" s="10">
        <v>0</v>
      </c>
      <c r="H176" s="10">
        <v>2</v>
      </c>
      <c r="I176" s="10" t="s">
        <v>37</v>
      </c>
      <c r="J176" s="10">
        <v>7.95</v>
      </c>
      <c r="K176" s="10">
        <v>7.95</v>
      </c>
      <c r="L176" s="10">
        <v>0</v>
      </c>
      <c r="M176" s="10">
        <v>15.9</v>
      </c>
      <c r="N176" s="10" t="s">
        <v>761</v>
      </c>
      <c r="O176" s="10" t="s">
        <v>421</v>
      </c>
      <c r="P176" s="105">
        <f t="shared" si="2"/>
        <v>7.95</v>
      </c>
    </row>
    <row r="177" spans="1:16">
      <c r="A177" s="10" t="s">
        <v>635</v>
      </c>
      <c r="B177" s="10">
        <v>1500835</v>
      </c>
      <c r="C177" s="10" t="s">
        <v>759</v>
      </c>
      <c r="D177" s="10" t="s">
        <v>760</v>
      </c>
      <c r="E177" s="10">
        <v>1</v>
      </c>
      <c r="F177" s="10">
        <v>0</v>
      </c>
      <c r="G177" s="10">
        <v>0</v>
      </c>
      <c r="H177" s="10">
        <v>1</v>
      </c>
      <c r="I177" s="10" t="s">
        <v>37</v>
      </c>
      <c r="J177" s="10">
        <v>7.25</v>
      </c>
      <c r="K177" s="10">
        <v>0</v>
      </c>
      <c r="L177" s="10">
        <v>0</v>
      </c>
      <c r="M177" s="10">
        <v>7.25</v>
      </c>
      <c r="N177" s="10" t="s">
        <v>761</v>
      </c>
      <c r="O177" s="10" t="s">
        <v>569</v>
      </c>
      <c r="P177" s="105">
        <f t="shared" si="2"/>
        <v>7.25</v>
      </c>
    </row>
    <row r="178" spans="1:16">
      <c r="A178" s="10" t="s">
        <v>635</v>
      </c>
      <c r="B178" s="10">
        <v>1500836</v>
      </c>
      <c r="C178" s="10" t="s">
        <v>759</v>
      </c>
      <c r="D178" s="10" t="s">
        <v>760</v>
      </c>
      <c r="E178" s="10">
        <v>0</v>
      </c>
      <c r="F178" s="10">
        <v>0</v>
      </c>
      <c r="G178" s="10">
        <v>0</v>
      </c>
      <c r="H178" s="10">
        <v>0</v>
      </c>
      <c r="I178" s="10" t="s">
        <v>74</v>
      </c>
      <c r="J178" s="10">
        <v>0</v>
      </c>
      <c r="K178" s="10">
        <v>0</v>
      </c>
      <c r="L178" s="10">
        <v>0</v>
      </c>
      <c r="M178" s="10">
        <v>0</v>
      </c>
      <c r="N178" s="10" t="s">
        <v>761</v>
      </c>
      <c r="O178" s="10" t="s">
        <v>847</v>
      </c>
      <c r="P178" s="105" t="e">
        <f t="shared" si="2"/>
        <v>#DIV/0!</v>
      </c>
    </row>
    <row r="179" spans="1:16">
      <c r="A179" s="10" t="s">
        <v>635</v>
      </c>
      <c r="B179" s="10">
        <v>1500837</v>
      </c>
      <c r="C179" s="10" t="s">
        <v>759</v>
      </c>
      <c r="D179" s="10" t="s">
        <v>760</v>
      </c>
      <c r="E179" s="10">
        <v>1</v>
      </c>
      <c r="F179" s="10">
        <v>2</v>
      </c>
      <c r="G179" s="10">
        <v>0</v>
      </c>
      <c r="H179" s="10">
        <v>3</v>
      </c>
      <c r="I179" s="10" t="s">
        <v>37</v>
      </c>
      <c r="J179" s="10">
        <v>12.5</v>
      </c>
      <c r="K179" s="10">
        <v>25</v>
      </c>
      <c r="L179" s="10">
        <v>0</v>
      </c>
      <c r="M179" s="10">
        <v>37.5</v>
      </c>
      <c r="N179" s="10" t="s">
        <v>761</v>
      </c>
      <c r="O179" s="10" t="s">
        <v>231</v>
      </c>
      <c r="P179" s="105">
        <f t="shared" si="2"/>
        <v>12.5</v>
      </c>
    </row>
    <row r="180" spans="1:16">
      <c r="A180" s="10" t="s">
        <v>635</v>
      </c>
      <c r="B180" s="10">
        <v>1500838</v>
      </c>
      <c r="C180" s="10" t="s">
        <v>759</v>
      </c>
      <c r="D180" s="10" t="s">
        <v>760</v>
      </c>
      <c r="E180" s="10">
        <v>20</v>
      </c>
      <c r="F180" s="10">
        <v>60</v>
      </c>
      <c r="G180" s="10">
        <v>-15.84</v>
      </c>
      <c r="H180" s="10">
        <v>64.16</v>
      </c>
      <c r="I180" s="10" t="s">
        <v>37</v>
      </c>
      <c r="J180" s="10">
        <v>166.58</v>
      </c>
      <c r="K180" s="10">
        <v>499.92</v>
      </c>
      <c r="L180" s="10">
        <v>-131.97</v>
      </c>
      <c r="M180" s="10">
        <v>534.53</v>
      </c>
      <c r="N180" s="10" t="s">
        <v>761</v>
      </c>
      <c r="O180" s="10" t="s">
        <v>232</v>
      </c>
      <c r="P180" s="105">
        <f t="shared" si="2"/>
        <v>8.33120324189526</v>
      </c>
    </row>
    <row r="181" spans="1:16">
      <c r="A181" s="10" t="s">
        <v>635</v>
      </c>
      <c r="B181" s="10">
        <v>1500839</v>
      </c>
      <c r="C181" s="10" t="s">
        <v>759</v>
      </c>
      <c r="D181" s="10" t="s">
        <v>760</v>
      </c>
      <c r="E181" s="10">
        <v>0</v>
      </c>
      <c r="F181" s="10">
        <v>0</v>
      </c>
      <c r="G181" s="10">
        <v>0</v>
      </c>
      <c r="H181" s="10">
        <v>0</v>
      </c>
      <c r="I181" s="10" t="s">
        <v>37</v>
      </c>
      <c r="J181" s="10">
        <v>0</v>
      </c>
      <c r="K181" s="10">
        <v>0</v>
      </c>
      <c r="L181" s="10">
        <v>0</v>
      </c>
      <c r="M181" s="10">
        <v>0</v>
      </c>
      <c r="N181" s="10" t="s">
        <v>761</v>
      </c>
      <c r="O181" s="10" t="s">
        <v>848</v>
      </c>
      <c r="P181" s="105" t="e">
        <f t="shared" si="2"/>
        <v>#DIV/0!</v>
      </c>
    </row>
    <row r="182" spans="1:16">
      <c r="A182" s="10" t="s">
        <v>635</v>
      </c>
      <c r="B182" s="10">
        <v>1500840</v>
      </c>
      <c r="C182" s="10" t="s">
        <v>759</v>
      </c>
      <c r="D182" s="10" t="s">
        <v>760</v>
      </c>
      <c r="E182" s="10">
        <v>3</v>
      </c>
      <c r="F182" s="10">
        <v>7</v>
      </c>
      <c r="G182" s="10">
        <v>0</v>
      </c>
      <c r="H182" s="10">
        <v>10</v>
      </c>
      <c r="I182" s="10" t="s">
        <v>37</v>
      </c>
      <c r="J182" s="10">
        <v>28.5</v>
      </c>
      <c r="K182" s="10">
        <v>66.5</v>
      </c>
      <c r="L182" s="10">
        <v>0</v>
      </c>
      <c r="M182" s="10">
        <v>95</v>
      </c>
      <c r="N182" s="10" t="s">
        <v>761</v>
      </c>
      <c r="O182" s="10" t="s">
        <v>98</v>
      </c>
      <c r="P182" s="105">
        <f t="shared" si="2"/>
        <v>9.5</v>
      </c>
    </row>
    <row r="183" spans="1:16">
      <c r="A183" s="10" t="s">
        <v>635</v>
      </c>
      <c r="B183" s="10">
        <v>1500841</v>
      </c>
      <c r="C183" s="10" t="s">
        <v>759</v>
      </c>
      <c r="D183" s="10" t="s">
        <v>760</v>
      </c>
      <c r="E183" s="10">
        <v>0</v>
      </c>
      <c r="F183" s="10">
        <v>1</v>
      </c>
      <c r="G183" s="10">
        <v>0</v>
      </c>
      <c r="H183" s="10">
        <v>1</v>
      </c>
      <c r="I183" s="10" t="s">
        <v>37</v>
      </c>
      <c r="J183" s="10">
        <v>0</v>
      </c>
      <c r="K183" s="10">
        <v>18.5</v>
      </c>
      <c r="L183" s="10">
        <v>0</v>
      </c>
      <c r="M183" s="10">
        <v>18.5</v>
      </c>
      <c r="N183" s="10" t="s">
        <v>761</v>
      </c>
      <c r="O183" s="10" t="s">
        <v>414</v>
      </c>
      <c r="P183" s="105">
        <f t="shared" si="2"/>
        <v>18.5</v>
      </c>
    </row>
    <row r="184" spans="1:16">
      <c r="A184" s="10" t="s">
        <v>635</v>
      </c>
      <c r="B184" s="10">
        <v>1500842</v>
      </c>
      <c r="C184" s="10" t="s">
        <v>759</v>
      </c>
      <c r="D184" s="10" t="s">
        <v>760</v>
      </c>
      <c r="E184" s="10">
        <v>10</v>
      </c>
      <c r="F184" s="10">
        <v>28</v>
      </c>
      <c r="G184" s="10">
        <v>-10</v>
      </c>
      <c r="H184" s="10">
        <v>28</v>
      </c>
      <c r="I184" s="10" t="s">
        <v>37</v>
      </c>
      <c r="J184" s="10">
        <v>54.5</v>
      </c>
      <c r="K184" s="10">
        <v>155.4</v>
      </c>
      <c r="L184" s="10">
        <v>-55.24</v>
      </c>
      <c r="M184" s="10">
        <v>154.66</v>
      </c>
      <c r="N184" s="10" t="s">
        <v>761</v>
      </c>
      <c r="O184" s="10" t="s">
        <v>185</v>
      </c>
      <c r="P184" s="105">
        <f t="shared" si="2"/>
        <v>5.52357142857143</v>
      </c>
    </row>
    <row r="185" spans="1:16">
      <c r="A185" s="10" t="s">
        <v>635</v>
      </c>
      <c r="B185" s="10">
        <v>1500843</v>
      </c>
      <c r="C185" s="10" t="s">
        <v>759</v>
      </c>
      <c r="D185" s="10" t="s">
        <v>760</v>
      </c>
      <c r="E185" s="10">
        <v>2</v>
      </c>
      <c r="F185" s="10">
        <v>63</v>
      </c>
      <c r="G185" s="10">
        <v>0</v>
      </c>
      <c r="H185" s="10">
        <v>65</v>
      </c>
      <c r="I185" s="10" t="s">
        <v>37</v>
      </c>
      <c r="J185" s="10">
        <v>25</v>
      </c>
      <c r="K185" s="10">
        <v>787.5</v>
      </c>
      <c r="L185" s="10">
        <v>0</v>
      </c>
      <c r="M185" s="10">
        <v>812.5</v>
      </c>
      <c r="N185" s="10" t="s">
        <v>761</v>
      </c>
      <c r="O185" s="10" t="s">
        <v>443</v>
      </c>
      <c r="P185" s="105">
        <f t="shared" si="2"/>
        <v>12.5</v>
      </c>
    </row>
    <row r="186" spans="1:16">
      <c r="A186" s="10" t="s">
        <v>635</v>
      </c>
      <c r="B186" s="10">
        <v>1500844</v>
      </c>
      <c r="C186" s="10" t="s">
        <v>759</v>
      </c>
      <c r="D186" s="10" t="s">
        <v>760</v>
      </c>
      <c r="E186" s="10">
        <v>10</v>
      </c>
      <c r="F186" s="10">
        <v>100</v>
      </c>
      <c r="G186" s="10">
        <v>0</v>
      </c>
      <c r="H186" s="10">
        <v>110</v>
      </c>
      <c r="I186" s="10" t="s">
        <v>138</v>
      </c>
      <c r="J186" s="10">
        <v>9</v>
      </c>
      <c r="K186" s="10">
        <v>100</v>
      </c>
      <c r="L186" s="10">
        <v>0</v>
      </c>
      <c r="M186" s="10">
        <v>109</v>
      </c>
      <c r="N186" s="10" t="s">
        <v>761</v>
      </c>
      <c r="O186" s="10" t="s">
        <v>136</v>
      </c>
      <c r="P186" s="105">
        <f t="shared" si="2"/>
        <v>0.990909090909091</v>
      </c>
    </row>
    <row r="187" spans="1:16">
      <c r="A187" s="10" t="s">
        <v>635</v>
      </c>
      <c r="B187" s="10">
        <v>1500845</v>
      </c>
      <c r="C187" s="10" t="s">
        <v>759</v>
      </c>
      <c r="D187" s="10" t="s">
        <v>760</v>
      </c>
      <c r="E187" s="10">
        <v>7</v>
      </c>
      <c r="F187" s="10">
        <v>0</v>
      </c>
      <c r="G187" s="10">
        <v>0</v>
      </c>
      <c r="H187" s="10">
        <v>7</v>
      </c>
      <c r="I187" s="10" t="s">
        <v>30</v>
      </c>
      <c r="J187" s="10">
        <v>47.95</v>
      </c>
      <c r="K187" s="10">
        <v>0</v>
      </c>
      <c r="L187" s="10">
        <v>0</v>
      </c>
      <c r="M187" s="10">
        <v>47.95</v>
      </c>
      <c r="N187" s="10" t="s">
        <v>761</v>
      </c>
      <c r="O187" s="10" t="s">
        <v>215</v>
      </c>
      <c r="P187" s="105">
        <f t="shared" si="2"/>
        <v>6.85</v>
      </c>
    </row>
    <row r="188" spans="1:16">
      <c r="A188" s="10" t="s">
        <v>635</v>
      </c>
      <c r="B188" s="10">
        <v>1500846</v>
      </c>
      <c r="C188" s="10" t="s">
        <v>759</v>
      </c>
      <c r="D188" s="10" t="s">
        <v>760</v>
      </c>
      <c r="E188" s="10">
        <v>0</v>
      </c>
      <c r="F188" s="10">
        <v>8</v>
      </c>
      <c r="G188" s="10">
        <v>0</v>
      </c>
      <c r="H188" s="10">
        <v>8</v>
      </c>
      <c r="I188" s="10" t="s">
        <v>37</v>
      </c>
      <c r="J188" s="10">
        <v>0</v>
      </c>
      <c r="K188" s="10">
        <v>62</v>
      </c>
      <c r="L188" s="10">
        <v>0</v>
      </c>
      <c r="M188" s="10">
        <v>62</v>
      </c>
      <c r="N188" s="10" t="s">
        <v>761</v>
      </c>
      <c r="O188" s="10" t="s">
        <v>418</v>
      </c>
      <c r="P188" s="105">
        <f t="shared" si="2"/>
        <v>7.75</v>
      </c>
    </row>
    <row r="189" spans="1:16">
      <c r="A189" s="10" t="s">
        <v>635</v>
      </c>
      <c r="B189" s="10">
        <v>1500847</v>
      </c>
      <c r="C189" s="10" t="s">
        <v>759</v>
      </c>
      <c r="D189" s="10" t="s">
        <v>760</v>
      </c>
      <c r="E189" s="10">
        <v>3</v>
      </c>
      <c r="F189" s="10">
        <v>0</v>
      </c>
      <c r="G189" s="10">
        <v>0</v>
      </c>
      <c r="H189" s="10">
        <v>3</v>
      </c>
      <c r="I189" s="10" t="s">
        <v>37</v>
      </c>
      <c r="J189" s="10">
        <v>28.8</v>
      </c>
      <c r="K189" s="10">
        <v>0</v>
      </c>
      <c r="L189" s="10">
        <v>0</v>
      </c>
      <c r="M189" s="10">
        <v>28.8</v>
      </c>
      <c r="N189" s="10" t="s">
        <v>761</v>
      </c>
      <c r="O189" s="10" t="s">
        <v>609</v>
      </c>
      <c r="P189" s="105">
        <f t="shared" si="2"/>
        <v>9.6</v>
      </c>
    </row>
    <row r="190" spans="1:16">
      <c r="A190" s="10" t="s">
        <v>635</v>
      </c>
      <c r="B190" s="10">
        <v>1500848</v>
      </c>
      <c r="C190" s="10" t="s">
        <v>759</v>
      </c>
      <c r="D190" s="10" t="s">
        <v>760</v>
      </c>
      <c r="E190" s="10">
        <v>0</v>
      </c>
      <c r="F190" s="10">
        <v>0</v>
      </c>
      <c r="G190" s="10">
        <v>0</v>
      </c>
      <c r="H190" s="10">
        <v>0</v>
      </c>
      <c r="I190" s="10" t="s">
        <v>37</v>
      </c>
      <c r="J190" s="10">
        <v>0</v>
      </c>
      <c r="K190" s="10">
        <v>0</v>
      </c>
      <c r="L190" s="10">
        <v>0</v>
      </c>
      <c r="M190" s="10">
        <v>0</v>
      </c>
      <c r="N190" s="10" t="s">
        <v>761</v>
      </c>
      <c r="O190" s="10" t="s">
        <v>849</v>
      </c>
      <c r="P190" s="105" t="e">
        <f t="shared" si="2"/>
        <v>#DIV/0!</v>
      </c>
    </row>
    <row r="191" spans="1:16">
      <c r="A191" s="10" t="s">
        <v>635</v>
      </c>
      <c r="B191" s="10">
        <v>1500849</v>
      </c>
      <c r="C191" s="10" t="s">
        <v>759</v>
      </c>
      <c r="D191" s="10" t="s">
        <v>760</v>
      </c>
      <c r="E191" s="10">
        <v>15</v>
      </c>
      <c r="F191" s="10">
        <v>30</v>
      </c>
      <c r="G191" s="10">
        <v>0</v>
      </c>
      <c r="H191" s="10">
        <v>45</v>
      </c>
      <c r="I191" s="10" t="s">
        <v>37</v>
      </c>
      <c r="J191" s="10">
        <v>64.5</v>
      </c>
      <c r="K191" s="10">
        <v>129</v>
      </c>
      <c r="L191" s="10">
        <v>0</v>
      </c>
      <c r="M191" s="10">
        <v>193.5</v>
      </c>
      <c r="N191" s="10" t="s">
        <v>761</v>
      </c>
      <c r="O191" s="10" t="s">
        <v>462</v>
      </c>
      <c r="P191" s="105">
        <f t="shared" si="2"/>
        <v>4.3</v>
      </c>
    </row>
    <row r="192" spans="1:16">
      <c r="A192" s="10" t="s">
        <v>635</v>
      </c>
      <c r="B192" s="10">
        <v>1500850</v>
      </c>
      <c r="C192" s="10" t="s">
        <v>759</v>
      </c>
      <c r="D192" s="10" t="s">
        <v>760</v>
      </c>
      <c r="E192" s="10">
        <v>0</v>
      </c>
      <c r="F192" s="10">
        <v>0</v>
      </c>
      <c r="G192" s="10">
        <v>0</v>
      </c>
      <c r="H192" s="10">
        <v>0</v>
      </c>
      <c r="I192" s="10" t="s">
        <v>37</v>
      </c>
      <c r="J192" s="10">
        <v>0</v>
      </c>
      <c r="K192" s="10">
        <v>0</v>
      </c>
      <c r="L192" s="10">
        <v>0</v>
      </c>
      <c r="M192" s="10">
        <v>0</v>
      </c>
      <c r="N192" s="10" t="s">
        <v>761</v>
      </c>
      <c r="O192" s="10" t="s">
        <v>850</v>
      </c>
      <c r="P192" s="105" t="e">
        <f t="shared" si="2"/>
        <v>#DIV/0!</v>
      </c>
    </row>
    <row r="193" spans="1:16">
      <c r="A193" s="10" t="s">
        <v>635</v>
      </c>
      <c r="B193" s="10">
        <v>1500851</v>
      </c>
      <c r="C193" s="10" t="s">
        <v>759</v>
      </c>
      <c r="D193" s="10" t="s">
        <v>760</v>
      </c>
      <c r="E193" s="10">
        <v>22.6</v>
      </c>
      <c r="F193" s="10">
        <v>0</v>
      </c>
      <c r="G193" s="10">
        <v>0</v>
      </c>
      <c r="H193" s="10">
        <v>22.6</v>
      </c>
      <c r="I193" s="10" t="s">
        <v>74</v>
      </c>
      <c r="J193" s="10">
        <v>212.08</v>
      </c>
      <c r="K193" s="10">
        <v>0</v>
      </c>
      <c r="L193" s="10">
        <v>0</v>
      </c>
      <c r="M193" s="10">
        <v>212.08</v>
      </c>
      <c r="N193" s="10" t="s">
        <v>761</v>
      </c>
      <c r="O193" s="10" t="s">
        <v>364</v>
      </c>
      <c r="P193" s="105">
        <f t="shared" si="2"/>
        <v>9.38407079646018</v>
      </c>
    </row>
    <row r="194" spans="1:16">
      <c r="A194" s="10" t="s">
        <v>635</v>
      </c>
      <c r="B194" s="10">
        <v>1500852</v>
      </c>
      <c r="C194" s="10" t="s">
        <v>759</v>
      </c>
      <c r="D194" s="10" t="s">
        <v>760</v>
      </c>
      <c r="E194" s="10">
        <v>0</v>
      </c>
      <c r="F194" s="10">
        <v>0</v>
      </c>
      <c r="G194" s="10">
        <v>0</v>
      </c>
      <c r="H194" s="10">
        <v>0</v>
      </c>
      <c r="I194" s="10" t="s">
        <v>30</v>
      </c>
      <c r="J194" s="10">
        <v>0</v>
      </c>
      <c r="K194" s="10">
        <v>0</v>
      </c>
      <c r="L194" s="10">
        <v>0</v>
      </c>
      <c r="M194" s="10">
        <v>0</v>
      </c>
      <c r="N194" s="10" t="s">
        <v>761</v>
      </c>
      <c r="O194" s="10" t="s">
        <v>851</v>
      </c>
      <c r="P194" s="105" t="e">
        <f t="shared" si="2"/>
        <v>#DIV/0!</v>
      </c>
    </row>
    <row r="195" spans="1:16">
      <c r="A195" s="10" t="s">
        <v>635</v>
      </c>
      <c r="B195" s="10">
        <v>1500854</v>
      </c>
      <c r="C195" s="10" t="s">
        <v>759</v>
      </c>
      <c r="D195" s="10" t="s">
        <v>760</v>
      </c>
      <c r="E195" s="10">
        <v>0</v>
      </c>
      <c r="F195" s="10">
        <v>0</v>
      </c>
      <c r="G195" s="10">
        <v>0</v>
      </c>
      <c r="H195" s="10">
        <v>0</v>
      </c>
      <c r="I195" s="10" t="s">
        <v>30</v>
      </c>
      <c r="J195" s="10">
        <v>0</v>
      </c>
      <c r="K195" s="10">
        <v>0</v>
      </c>
      <c r="L195" s="10">
        <v>0</v>
      </c>
      <c r="M195" s="10">
        <v>0</v>
      </c>
      <c r="N195" s="10" t="s">
        <v>761</v>
      </c>
      <c r="O195" s="10" t="s">
        <v>852</v>
      </c>
      <c r="P195" s="105" t="e">
        <f t="shared" ref="P195:P258" si="3">M195/H195</f>
        <v>#DIV/0!</v>
      </c>
    </row>
    <row r="196" spans="1:16">
      <c r="A196" s="10" t="s">
        <v>635</v>
      </c>
      <c r="B196" s="10">
        <v>1500855</v>
      </c>
      <c r="C196" s="10" t="s">
        <v>759</v>
      </c>
      <c r="D196" s="10" t="s">
        <v>760</v>
      </c>
      <c r="E196" s="10">
        <v>0</v>
      </c>
      <c r="F196" s="10">
        <v>0</v>
      </c>
      <c r="G196" s="10">
        <v>0</v>
      </c>
      <c r="H196" s="10">
        <v>0</v>
      </c>
      <c r="I196" s="10" t="s">
        <v>138</v>
      </c>
      <c r="J196" s="10">
        <v>0</v>
      </c>
      <c r="K196" s="10">
        <v>0</v>
      </c>
      <c r="L196" s="10">
        <v>0</v>
      </c>
      <c r="M196" s="10">
        <v>0</v>
      </c>
      <c r="N196" s="10" t="s">
        <v>761</v>
      </c>
      <c r="O196" s="10" t="s">
        <v>853</v>
      </c>
      <c r="P196" s="105" t="e">
        <f t="shared" si="3"/>
        <v>#DIV/0!</v>
      </c>
    </row>
    <row r="197" spans="1:16">
      <c r="A197" s="10" t="s">
        <v>635</v>
      </c>
      <c r="B197" s="10">
        <v>1500856</v>
      </c>
      <c r="C197" s="10" t="s">
        <v>759</v>
      </c>
      <c r="D197" s="10" t="s">
        <v>760</v>
      </c>
      <c r="E197" s="10">
        <v>60</v>
      </c>
      <c r="F197" s="10">
        <v>450</v>
      </c>
      <c r="G197" s="10">
        <v>0</v>
      </c>
      <c r="H197" s="10">
        <v>510</v>
      </c>
      <c r="I197" s="10" t="s">
        <v>138</v>
      </c>
      <c r="J197" s="10">
        <v>176</v>
      </c>
      <c r="K197" s="103">
        <v>1320</v>
      </c>
      <c r="L197" s="10">
        <v>0</v>
      </c>
      <c r="M197" s="103">
        <v>1496</v>
      </c>
      <c r="N197" s="10" t="s">
        <v>761</v>
      </c>
      <c r="O197" s="10" t="s">
        <v>178</v>
      </c>
      <c r="P197" s="105">
        <f t="shared" si="3"/>
        <v>2.93333333333333</v>
      </c>
    </row>
    <row r="198" spans="1:16">
      <c r="A198" s="10" t="s">
        <v>635</v>
      </c>
      <c r="B198" s="10">
        <v>1500857</v>
      </c>
      <c r="C198" s="10" t="s">
        <v>759</v>
      </c>
      <c r="D198" s="10" t="s">
        <v>760</v>
      </c>
      <c r="E198" s="10">
        <v>0</v>
      </c>
      <c r="F198" s="10">
        <v>0</v>
      </c>
      <c r="G198" s="10">
        <v>0</v>
      </c>
      <c r="H198" s="10">
        <v>0</v>
      </c>
      <c r="I198" s="10" t="s">
        <v>138</v>
      </c>
      <c r="J198" s="10">
        <v>0</v>
      </c>
      <c r="K198" s="10">
        <v>0</v>
      </c>
      <c r="L198" s="10">
        <v>0</v>
      </c>
      <c r="M198" s="10">
        <v>0</v>
      </c>
      <c r="N198" s="10" t="s">
        <v>761</v>
      </c>
      <c r="O198" s="10" t="s">
        <v>854</v>
      </c>
      <c r="P198" s="105" t="e">
        <f t="shared" si="3"/>
        <v>#DIV/0!</v>
      </c>
    </row>
    <row r="199" spans="1:16">
      <c r="A199" s="10" t="s">
        <v>635</v>
      </c>
      <c r="B199" s="10">
        <v>1500859</v>
      </c>
      <c r="C199" s="10" t="s">
        <v>759</v>
      </c>
      <c r="D199" s="10" t="s">
        <v>760</v>
      </c>
      <c r="E199" s="10">
        <v>0</v>
      </c>
      <c r="F199" s="10">
        <v>0</v>
      </c>
      <c r="G199" s="10">
        <v>0</v>
      </c>
      <c r="H199" s="10">
        <v>0</v>
      </c>
      <c r="I199" s="10" t="s">
        <v>30</v>
      </c>
      <c r="J199" s="10">
        <v>0</v>
      </c>
      <c r="K199" s="10">
        <v>0</v>
      </c>
      <c r="L199" s="10">
        <v>0</v>
      </c>
      <c r="M199" s="10">
        <v>0</v>
      </c>
      <c r="N199" s="10" t="s">
        <v>761</v>
      </c>
      <c r="O199" s="10" t="s">
        <v>855</v>
      </c>
      <c r="P199" s="105" t="e">
        <f t="shared" si="3"/>
        <v>#DIV/0!</v>
      </c>
    </row>
    <row r="200" spans="1:16">
      <c r="A200" s="10" t="s">
        <v>635</v>
      </c>
      <c r="B200" s="10">
        <v>1500860</v>
      </c>
      <c r="C200" s="10" t="s">
        <v>759</v>
      </c>
      <c r="D200" s="10" t="s">
        <v>760</v>
      </c>
      <c r="E200" s="10">
        <v>264</v>
      </c>
      <c r="F200" s="10">
        <v>288</v>
      </c>
      <c r="G200" s="10">
        <v>-7</v>
      </c>
      <c r="H200" s="10">
        <v>545</v>
      </c>
      <c r="I200" s="10" t="s">
        <v>138</v>
      </c>
      <c r="J200" s="10">
        <v>803</v>
      </c>
      <c r="K200" s="10">
        <v>876</v>
      </c>
      <c r="L200" s="10">
        <v>-21.29</v>
      </c>
      <c r="M200" s="103">
        <v>1657.71</v>
      </c>
      <c r="N200" s="10" t="s">
        <v>761</v>
      </c>
      <c r="O200" s="10" t="s">
        <v>142</v>
      </c>
      <c r="P200" s="105">
        <f t="shared" si="3"/>
        <v>3.04166972477064</v>
      </c>
    </row>
    <row r="201" spans="1:16">
      <c r="A201" s="10" t="s">
        <v>635</v>
      </c>
      <c r="B201" s="10">
        <v>1500861</v>
      </c>
      <c r="C201" s="10" t="s">
        <v>759</v>
      </c>
      <c r="D201" s="10" t="s">
        <v>760</v>
      </c>
      <c r="E201" s="10">
        <v>60</v>
      </c>
      <c r="F201" s="10">
        <v>756</v>
      </c>
      <c r="G201" s="10">
        <v>0</v>
      </c>
      <c r="H201" s="10">
        <v>816</v>
      </c>
      <c r="I201" s="10" t="s">
        <v>56</v>
      </c>
      <c r="J201" s="10">
        <v>210</v>
      </c>
      <c r="K201" s="103">
        <v>2646</v>
      </c>
      <c r="L201" s="10">
        <v>0</v>
      </c>
      <c r="M201" s="103">
        <v>2856</v>
      </c>
      <c r="N201" s="10" t="s">
        <v>761</v>
      </c>
      <c r="O201" s="10" t="s">
        <v>599</v>
      </c>
      <c r="P201" s="105">
        <f t="shared" si="3"/>
        <v>3.5</v>
      </c>
    </row>
    <row r="202" spans="1:16">
      <c r="A202" s="10" t="s">
        <v>635</v>
      </c>
      <c r="B202" s="10">
        <v>1500862</v>
      </c>
      <c r="C202" s="10" t="s">
        <v>759</v>
      </c>
      <c r="D202" s="10" t="s">
        <v>760</v>
      </c>
      <c r="E202" s="10">
        <v>160</v>
      </c>
      <c r="F202" s="10">
        <v>200</v>
      </c>
      <c r="G202" s="10">
        <v>0</v>
      </c>
      <c r="H202" s="10">
        <v>360</v>
      </c>
      <c r="I202" s="10" t="s">
        <v>74</v>
      </c>
      <c r="J202" s="10">
        <v>608</v>
      </c>
      <c r="K202" s="10">
        <v>760</v>
      </c>
      <c r="L202" s="10">
        <v>0</v>
      </c>
      <c r="M202" s="103">
        <v>1368</v>
      </c>
      <c r="N202" s="10" t="s">
        <v>761</v>
      </c>
      <c r="O202" s="10" t="s">
        <v>472</v>
      </c>
      <c r="P202" s="105">
        <f t="shared" si="3"/>
        <v>3.8</v>
      </c>
    </row>
    <row r="203" spans="1:16">
      <c r="A203" s="10" t="s">
        <v>635</v>
      </c>
      <c r="B203" s="10">
        <v>1500863</v>
      </c>
      <c r="C203" s="10" t="s">
        <v>759</v>
      </c>
      <c r="D203" s="10" t="s">
        <v>760</v>
      </c>
      <c r="E203" s="10">
        <v>0</v>
      </c>
      <c r="F203" s="10">
        <v>0</v>
      </c>
      <c r="G203" s="10">
        <v>0</v>
      </c>
      <c r="H203" s="10">
        <v>0</v>
      </c>
      <c r="I203" s="10" t="s">
        <v>74</v>
      </c>
      <c r="J203" s="10">
        <v>0</v>
      </c>
      <c r="K203" s="10">
        <v>0</v>
      </c>
      <c r="L203" s="10">
        <v>0</v>
      </c>
      <c r="M203" s="10">
        <v>0</v>
      </c>
      <c r="N203" s="10" t="s">
        <v>761</v>
      </c>
      <c r="O203" s="10" t="s">
        <v>856</v>
      </c>
      <c r="P203" s="105" t="e">
        <f t="shared" si="3"/>
        <v>#DIV/0!</v>
      </c>
    </row>
    <row r="204" spans="1:16">
      <c r="A204" s="10" t="s">
        <v>635</v>
      </c>
      <c r="B204" s="10">
        <v>1500864</v>
      </c>
      <c r="C204" s="10" t="s">
        <v>759</v>
      </c>
      <c r="D204" s="10" t="s">
        <v>760</v>
      </c>
      <c r="E204" s="10">
        <v>0</v>
      </c>
      <c r="F204" s="10">
        <v>0</v>
      </c>
      <c r="G204" s="10">
        <v>0</v>
      </c>
      <c r="H204" s="10">
        <v>0</v>
      </c>
      <c r="I204" s="10" t="s">
        <v>33</v>
      </c>
      <c r="J204" s="10">
        <v>0</v>
      </c>
      <c r="K204" s="10">
        <v>0</v>
      </c>
      <c r="L204" s="10">
        <v>0</v>
      </c>
      <c r="M204" s="10">
        <v>0</v>
      </c>
      <c r="N204" s="10" t="s">
        <v>761</v>
      </c>
      <c r="O204" s="10" t="s">
        <v>857</v>
      </c>
      <c r="P204" s="105" t="e">
        <f t="shared" si="3"/>
        <v>#DIV/0!</v>
      </c>
    </row>
    <row r="205" spans="1:16">
      <c r="A205" s="10" t="s">
        <v>635</v>
      </c>
      <c r="B205" s="10">
        <v>1500865</v>
      </c>
      <c r="C205" s="10" t="s">
        <v>759</v>
      </c>
      <c r="D205" s="10" t="s">
        <v>760</v>
      </c>
      <c r="E205" s="10">
        <v>10</v>
      </c>
      <c r="F205" s="10">
        <v>18</v>
      </c>
      <c r="G205" s="10">
        <v>-5</v>
      </c>
      <c r="H205" s="10">
        <v>23</v>
      </c>
      <c r="I205" s="10" t="s">
        <v>33</v>
      </c>
      <c r="J205" s="10">
        <v>84.33</v>
      </c>
      <c r="K205" s="10">
        <v>151.8</v>
      </c>
      <c r="L205" s="10">
        <v>-42.17</v>
      </c>
      <c r="M205" s="10">
        <v>193.96</v>
      </c>
      <c r="N205" s="10" t="s">
        <v>761</v>
      </c>
      <c r="O205" s="10" t="s">
        <v>344</v>
      </c>
      <c r="P205" s="105">
        <f t="shared" si="3"/>
        <v>8.43304347826087</v>
      </c>
    </row>
    <row r="206" spans="1:16">
      <c r="A206" s="10" t="s">
        <v>635</v>
      </c>
      <c r="B206" s="10">
        <v>1500867</v>
      </c>
      <c r="C206" s="10" t="s">
        <v>759</v>
      </c>
      <c r="D206" s="10" t="s">
        <v>760</v>
      </c>
      <c r="E206" s="10">
        <v>105</v>
      </c>
      <c r="F206" s="10">
        <v>0</v>
      </c>
      <c r="G206" s="10">
        <v>0</v>
      </c>
      <c r="H206" s="10">
        <v>105</v>
      </c>
      <c r="I206" s="10" t="s">
        <v>74</v>
      </c>
      <c r="J206" s="10">
        <v>273</v>
      </c>
      <c r="K206" s="10">
        <v>0</v>
      </c>
      <c r="L206" s="10">
        <v>0</v>
      </c>
      <c r="M206" s="10">
        <v>273</v>
      </c>
      <c r="N206" s="10" t="s">
        <v>761</v>
      </c>
      <c r="O206" s="10" t="s">
        <v>210</v>
      </c>
      <c r="P206" s="105">
        <f t="shared" si="3"/>
        <v>2.6</v>
      </c>
    </row>
    <row r="207" spans="1:16">
      <c r="A207" s="10" t="s">
        <v>635</v>
      </c>
      <c r="B207" s="10">
        <v>1500868</v>
      </c>
      <c r="C207" s="10" t="s">
        <v>759</v>
      </c>
      <c r="D207" s="10" t="s">
        <v>760</v>
      </c>
      <c r="E207" s="10">
        <v>0</v>
      </c>
      <c r="F207" s="10">
        <v>0</v>
      </c>
      <c r="G207" s="10">
        <v>0</v>
      </c>
      <c r="H207" s="10">
        <v>0</v>
      </c>
      <c r="I207" s="10" t="s">
        <v>56</v>
      </c>
      <c r="J207" s="10">
        <v>0</v>
      </c>
      <c r="K207" s="10">
        <v>0</v>
      </c>
      <c r="L207" s="10">
        <v>0</v>
      </c>
      <c r="M207" s="10">
        <v>0</v>
      </c>
      <c r="N207" s="10" t="s">
        <v>761</v>
      </c>
      <c r="O207" s="10" t="s">
        <v>668</v>
      </c>
      <c r="P207" s="105" t="e">
        <f t="shared" si="3"/>
        <v>#DIV/0!</v>
      </c>
    </row>
    <row r="208" spans="1:16">
      <c r="A208" s="10" t="s">
        <v>635</v>
      </c>
      <c r="B208" s="10">
        <v>1500869</v>
      </c>
      <c r="C208" s="10" t="s">
        <v>759</v>
      </c>
      <c r="D208" s="10" t="s">
        <v>760</v>
      </c>
      <c r="E208" s="10">
        <v>0</v>
      </c>
      <c r="F208" s="10">
        <v>0</v>
      </c>
      <c r="G208" s="10">
        <v>0</v>
      </c>
      <c r="H208" s="10">
        <v>0</v>
      </c>
      <c r="I208" s="10" t="s">
        <v>33</v>
      </c>
      <c r="J208" s="10">
        <v>0</v>
      </c>
      <c r="K208" s="10">
        <v>0</v>
      </c>
      <c r="L208" s="10">
        <v>0</v>
      </c>
      <c r="M208" s="10">
        <v>0</v>
      </c>
      <c r="N208" s="10" t="s">
        <v>761</v>
      </c>
      <c r="O208" s="10" t="s">
        <v>858</v>
      </c>
      <c r="P208" s="105" t="e">
        <f t="shared" si="3"/>
        <v>#DIV/0!</v>
      </c>
    </row>
    <row r="209" spans="1:16">
      <c r="A209" s="10" t="s">
        <v>635</v>
      </c>
      <c r="B209" s="10">
        <v>1500870</v>
      </c>
      <c r="C209" s="10" t="s">
        <v>759</v>
      </c>
      <c r="D209" s="10" t="s">
        <v>760</v>
      </c>
      <c r="E209" s="10">
        <v>0</v>
      </c>
      <c r="F209" s="10">
        <v>0</v>
      </c>
      <c r="G209" s="10">
        <v>0</v>
      </c>
      <c r="H209" s="10">
        <v>0</v>
      </c>
      <c r="I209" s="10" t="s">
        <v>33</v>
      </c>
      <c r="J209" s="10">
        <v>0</v>
      </c>
      <c r="K209" s="10">
        <v>0</v>
      </c>
      <c r="L209" s="10">
        <v>0</v>
      </c>
      <c r="M209" s="10">
        <v>0</v>
      </c>
      <c r="N209" s="10" t="s">
        <v>761</v>
      </c>
      <c r="O209" s="10" t="s">
        <v>859</v>
      </c>
      <c r="P209" s="105" t="e">
        <f t="shared" si="3"/>
        <v>#DIV/0!</v>
      </c>
    </row>
    <row r="210" spans="1:16">
      <c r="A210" s="10" t="s">
        <v>635</v>
      </c>
      <c r="B210" s="10">
        <v>1500871</v>
      </c>
      <c r="C210" s="10" t="s">
        <v>759</v>
      </c>
      <c r="D210" s="10" t="s">
        <v>760</v>
      </c>
      <c r="E210" s="10">
        <v>0</v>
      </c>
      <c r="F210" s="10">
        <v>0</v>
      </c>
      <c r="G210" s="10">
        <v>0</v>
      </c>
      <c r="H210" s="10">
        <v>0</v>
      </c>
      <c r="I210" s="10" t="s">
        <v>56</v>
      </c>
      <c r="J210" s="10">
        <v>0</v>
      </c>
      <c r="K210" s="10">
        <v>0</v>
      </c>
      <c r="L210" s="10">
        <v>0</v>
      </c>
      <c r="M210" s="10">
        <v>0</v>
      </c>
      <c r="N210" s="10" t="s">
        <v>761</v>
      </c>
      <c r="O210" s="10" t="s">
        <v>860</v>
      </c>
      <c r="P210" s="105" t="e">
        <f t="shared" si="3"/>
        <v>#DIV/0!</v>
      </c>
    </row>
    <row r="211" spans="1:16">
      <c r="A211" s="10" t="s">
        <v>635</v>
      </c>
      <c r="B211" s="10">
        <v>1500872</v>
      </c>
      <c r="C211" s="10" t="s">
        <v>759</v>
      </c>
      <c r="D211" s="10" t="s">
        <v>760</v>
      </c>
      <c r="E211" s="10">
        <v>6</v>
      </c>
      <c r="F211" s="10">
        <v>6</v>
      </c>
      <c r="G211" s="10">
        <v>0</v>
      </c>
      <c r="H211" s="10">
        <v>12</v>
      </c>
      <c r="I211" s="10" t="s">
        <v>33</v>
      </c>
      <c r="J211" s="10">
        <v>20.99</v>
      </c>
      <c r="K211" s="10">
        <v>21</v>
      </c>
      <c r="L211" s="10">
        <v>0</v>
      </c>
      <c r="M211" s="10">
        <v>41.99</v>
      </c>
      <c r="N211" s="10" t="s">
        <v>761</v>
      </c>
      <c r="O211" s="10" t="s">
        <v>297</v>
      </c>
      <c r="P211" s="105">
        <f t="shared" si="3"/>
        <v>3.49916666666667</v>
      </c>
    </row>
    <row r="212" spans="1:16">
      <c r="A212" s="10" t="s">
        <v>635</v>
      </c>
      <c r="B212" s="10">
        <v>1500873</v>
      </c>
      <c r="C212" s="10" t="s">
        <v>759</v>
      </c>
      <c r="D212" s="10" t="s">
        <v>760</v>
      </c>
      <c r="E212" s="10">
        <v>10</v>
      </c>
      <c r="F212" s="10">
        <v>0</v>
      </c>
      <c r="G212" s="10">
        <v>0</v>
      </c>
      <c r="H212" s="10">
        <v>10</v>
      </c>
      <c r="I212" s="10" t="s">
        <v>33</v>
      </c>
      <c r="J212" s="10">
        <v>26.67</v>
      </c>
      <c r="K212" s="10">
        <v>0</v>
      </c>
      <c r="L212" s="10">
        <v>0</v>
      </c>
      <c r="M212" s="10">
        <v>26.67</v>
      </c>
      <c r="N212" s="10" t="s">
        <v>761</v>
      </c>
      <c r="O212" s="10" t="s">
        <v>583</v>
      </c>
      <c r="P212" s="105">
        <f t="shared" si="3"/>
        <v>2.667</v>
      </c>
    </row>
    <row r="213" spans="1:16">
      <c r="A213" s="10" t="s">
        <v>635</v>
      </c>
      <c r="B213" s="10">
        <v>1500874</v>
      </c>
      <c r="C213" s="10" t="s">
        <v>759</v>
      </c>
      <c r="D213" s="10" t="s">
        <v>760</v>
      </c>
      <c r="E213" s="10">
        <v>0</v>
      </c>
      <c r="F213" s="10">
        <v>0</v>
      </c>
      <c r="G213" s="10">
        <v>0</v>
      </c>
      <c r="H213" s="10">
        <v>0</v>
      </c>
      <c r="I213" s="10" t="s">
        <v>30</v>
      </c>
      <c r="J213" s="10">
        <v>0</v>
      </c>
      <c r="K213" s="10">
        <v>0</v>
      </c>
      <c r="L213" s="10">
        <v>0</v>
      </c>
      <c r="M213" s="10">
        <v>0</v>
      </c>
      <c r="N213" s="10" t="s">
        <v>761</v>
      </c>
      <c r="O213" s="10" t="s">
        <v>861</v>
      </c>
      <c r="P213" s="105" t="e">
        <f t="shared" si="3"/>
        <v>#DIV/0!</v>
      </c>
    </row>
    <row r="214" spans="1:16">
      <c r="A214" s="10" t="s">
        <v>635</v>
      </c>
      <c r="B214" s="10">
        <v>1500875</v>
      </c>
      <c r="C214" s="10" t="s">
        <v>759</v>
      </c>
      <c r="D214" s="10" t="s">
        <v>760</v>
      </c>
      <c r="E214" s="10">
        <v>0</v>
      </c>
      <c r="F214" s="10">
        <v>0</v>
      </c>
      <c r="G214" s="10">
        <v>0</v>
      </c>
      <c r="H214" s="10">
        <v>0</v>
      </c>
      <c r="I214" s="10" t="s">
        <v>33</v>
      </c>
      <c r="J214" s="10">
        <v>0</v>
      </c>
      <c r="K214" s="10">
        <v>0</v>
      </c>
      <c r="L214" s="10">
        <v>0</v>
      </c>
      <c r="M214" s="10">
        <v>0</v>
      </c>
      <c r="N214" s="10" t="s">
        <v>761</v>
      </c>
      <c r="O214" s="10" t="s">
        <v>862</v>
      </c>
      <c r="P214" s="105" t="e">
        <f t="shared" si="3"/>
        <v>#DIV/0!</v>
      </c>
    </row>
    <row r="215" spans="1:16">
      <c r="A215" s="10" t="s">
        <v>635</v>
      </c>
      <c r="B215" s="10">
        <v>1500876</v>
      </c>
      <c r="C215" s="10" t="s">
        <v>759</v>
      </c>
      <c r="D215" s="10" t="s">
        <v>760</v>
      </c>
      <c r="E215" s="10">
        <v>0</v>
      </c>
      <c r="F215" s="10">
        <v>0</v>
      </c>
      <c r="G215" s="10">
        <v>0</v>
      </c>
      <c r="H215" s="10">
        <v>0</v>
      </c>
      <c r="I215" s="10" t="s">
        <v>56</v>
      </c>
      <c r="J215" s="10">
        <v>0</v>
      </c>
      <c r="K215" s="10">
        <v>0</v>
      </c>
      <c r="L215" s="10">
        <v>0</v>
      </c>
      <c r="M215" s="10">
        <v>0</v>
      </c>
      <c r="N215" s="10" t="s">
        <v>761</v>
      </c>
      <c r="O215" s="10" t="s">
        <v>863</v>
      </c>
      <c r="P215" s="105" t="e">
        <f t="shared" si="3"/>
        <v>#DIV/0!</v>
      </c>
    </row>
    <row r="216" spans="1:16">
      <c r="A216" s="10" t="s">
        <v>635</v>
      </c>
      <c r="B216" s="10">
        <v>1500877</v>
      </c>
      <c r="C216" s="10" t="s">
        <v>759</v>
      </c>
      <c r="D216" s="10" t="s">
        <v>760</v>
      </c>
      <c r="E216" s="10">
        <v>6</v>
      </c>
      <c r="F216" s="10">
        <v>20</v>
      </c>
      <c r="G216" s="10">
        <v>0</v>
      </c>
      <c r="H216" s="10">
        <v>26</v>
      </c>
      <c r="I216" s="10" t="s">
        <v>138</v>
      </c>
      <c r="J216" s="10">
        <v>75</v>
      </c>
      <c r="K216" s="10">
        <v>250</v>
      </c>
      <c r="L216" s="10">
        <v>0</v>
      </c>
      <c r="M216" s="10">
        <v>325</v>
      </c>
      <c r="N216" s="10" t="s">
        <v>761</v>
      </c>
      <c r="O216" s="10" t="s">
        <v>557</v>
      </c>
      <c r="P216" s="105">
        <f t="shared" si="3"/>
        <v>12.5</v>
      </c>
    </row>
    <row r="217" spans="1:16">
      <c r="A217" s="10" t="s">
        <v>635</v>
      </c>
      <c r="B217" s="10">
        <v>1500878</v>
      </c>
      <c r="C217" s="10" t="s">
        <v>759</v>
      </c>
      <c r="D217" s="10" t="s">
        <v>760</v>
      </c>
      <c r="E217" s="10">
        <v>20</v>
      </c>
      <c r="F217" s="10">
        <v>30</v>
      </c>
      <c r="G217" s="10">
        <v>0</v>
      </c>
      <c r="H217" s="10">
        <v>50</v>
      </c>
      <c r="I217" s="10" t="s">
        <v>74</v>
      </c>
      <c r="J217" s="10">
        <v>80</v>
      </c>
      <c r="K217" s="10">
        <v>120</v>
      </c>
      <c r="L217" s="10">
        <v>0</v>
      </c>
      <c r="M217" s="10">
        <v>200</v>
      </c>
      <c r="N217" s="10" t="s">
        <v>761</v>
      </c>
      <c r="O217" s="10" t="s">
        <v>531</v>
      </c>
      <c r="P217" s="105">
        <f t="shared" si="3"/>
        <v>4</v>
      </c>
    </row>
    <row r="218" spans="1:16">
      <c r="A218" s="10" t="s">
        <v>635</v>
      </c>
      <c r="B218" s="10">
        <v>1500879</v>
      </c>
      <c r="C218" s="10" t="s">
        <v>759</v>
      </c>
      <c r="D218" s="10" t="s">
        <v>760</v>
      </c>
      <c r="E218" s="10">
        <v>7</v>
      </c>
      <c r="F218" s="10">
        <v>0</v>
      </c>
      <c r="G218" s="10">
        <v>0</v>
      </c>
      <c r="H218" s="10">
        <v>7</v>
      </c>
      <c r="I218" s="10" t="s">
        <v>403</v>
      </c>
      <c r="J218" s="10">
        <v>13.13</v>
      </c>
      <c r="K218" s="10">
        <v>0</v>
      </c>
      <c r="L218" s="10">
        <v>0</v>
      </c>
      <c r="M218" s="10">
        <v>13.13</v>
      </c>
      <c r="N218" s="10" t="s">
        <v>761</v>
      </c>
      <c r="O218" s="10" t="s">
        <v>401</v>
      </c>
      <c r="P218" s="105">
        <f t="shared" si="3"/>
        <v>1.87571428571429</v>
      </c>
    </row>
    <row r="219" spans="1:16">
      <c r="A219" s="10" t="s">
        <v>635</v>
      </c>
      <c r="B219" s="10">
        <v>1500880</v>
      </c>
      <c r="C219" s="10" t="s">
        <v>759</v>
      </c>
      <c r="D219" s="10" t="s">
        <v>760</v>
      </c>
      <c r="E219" s="10">
        <v>165</v>
      </c>
      <c r="F219" s="10">
        <v>264</v>
      </c>
      <c r="G219" s="10">
        <v>0</v>
      </c>
      <c r="H219" s="10">
        <v>429</v>
      </c>
      <c r="I219" s="10" t="s">
        <v>33</v>
      </c>
      <c r="J219" s="10">
        <v>364.87</v>
      </c>
      <c r="K219" s="10">
        <v>583</v>
      </c>
      <c r="L219" s="10">
        <v>0</v>
      </c>
      <c r="M219" s="10">
        <v>947.87</v>
      </c>
      <c r="N219" s="10" t="s">
        <v>761</v>
      </c>
      <c r="O219" s="10" t="s">
        <v>561</v>
      </c>
      <c r="P219" s="105">
        <f t="shared" si="3"/>
        <v>2.20948717948718</v>
      </c>
    </row>
    <row r="220" spans="1:16">
      <c r="A220" s="10" t="s">
        <v>635</v>
      </c>
      <c r="B220" s="10">
        <v>1500881</v>
      </c>
      <c r="C220" s="10" t="s">
        <v>759</v>
      </c>
      <c r="D220" s="10" t="s">
        <v>760</v>
      </c>
      <c r="E220" s="10">
        <v>87</v>
      </c>
      <c r="F220" s="10">
        <v>264</v>
      </c>
      <c r="G220" s="10">
        <v>0</v>
      </c>
      <c r="H220" s="10">
        <v>351</v>
      </c>
      <c r="I220" s="10" t="s">
        <v>33</v>
      </c>
      <c r="J220" s="10">
        <v>282.75</v>
      </c>
      <c r="K220" s="10">
        <v>858</v>
      </c>
      <c r="L220" s="10">
        <v>0</v>
      </c>
      <c r="M220" s="103">
        <v>1140.75</v>
      </c>
      <c r="N220" s="10" t="s">
        <v>761</v>
      </c>
      <c r="O220" s="10" t="s">
        <v>362</v>
      </c>
      <c r="P220" s="105">
        <f t="shared" si="3"/>
        <v>3.25</v>
      </c>
    </row>
    <row r="221" spans="1:16">
      <c r="A221" s="10" t="s">
        <v>635</v>
      </c>
      <c r="B221" s="10">
        <v>1500882</v>
      </c>
      <c r="C221" s="10" t="s">
        <v>759</v>
      </c>
      <c r="D221" s="10" t="s">
        <v>760</v>
      </c>
      <c r="E221" s="10">
        <v>372</v>
      </c>
      <c r="F221" s="106">
        <v>1200</v>
      </c>
      <c r="G221" s="10">
        <v>0</v>
      </c>
      <c r="H221" s="106">
        <v>1572</v>
      </c>
      <c r="I221" s="10" t="s">
        <v>33</v>
      </c>
      <c r="J221" s="10">
        <v>725.17</v>
      </c>
      <c r="K221" s="103">
        <v>2345.95</v>
      </c>
      <c r="L221" s="10">
        <v>0</v>
      </c>
      <c r="M221" s="103">
        <v>3071.12</v>
      </c>
      <c r="N221" s="10" t="s">
        <v>761</v>
      </c>
      <c r="O221" s="10" t="s">
        <v>70</v>
      </c>
      <c r="P221" s="105">
        <f t="shared" si="3"/>
        <v>1.95363867684478</v>
      </c>
    </row>
    <row r="222" spans="1:16">
      <c r="A222" s="10" t="s">
        <v>635</v>
      </c>
      <c r="B222" s="10">
        <v>1500883</v>
      </c>
      <c r="C222" s="10" t="s">
        <v>759</v>
      </c>
      <c r="D222" s="10" t="s">
        <v>760</v>
      </c>
      <c r="E222" s="10">
        <v>0</v>
      </c>
      <c r="F222" s="10">
        <v>117</v>
      </c>
      <c r="G222" s="10">
        <v>0</v>
      </c>
      <c r="H222" s="10">
        <v>117</v>
      </c>
      <c r="I222" s="10" t="s">
        <v>30</v>
      </c>
      <c r="J222" s="10">
        <v>0</v>
      </c>
      <c r="K222" s="10">
        <v>122.75</v>
      </c>
      <c r="L222" s="10">
        <v>0</v>
      </c>
      <c r="M222" s="10">
        <v>122.75</v>
      </c>
      <c r="N222" s="10" t="s">
        <v>761</v>
      </c>
      <c r="O222" s="10" t="s">
        <v>563</v>
      </c>
      <c r="P222" s="105">
        <f t="shared" si="3"/>
        <v>1.0491452991453</v>
      </c>
    </row>
    <row r="223" spans="1:16">
      <c r="A223" s="10" t="s">
        <v>635</v>
      </c>
      <c r="B223" s="10">
        <v>1500884</v>
      </c>
      <c r="C223" s="10" t="s">
        <v>759</v>
      </c>
      <c r="D223" s="10" t="s">
        <v>760</v>
      </c>
      <c r="E223" s="10">
        <v>17</v>
      </c>
      <c r="F223" s="10">
        <v>10</v>
      </c>
      <c r="G223" s="10">
        <v>0</v>
      </c>
      <c r="H223" s="10">
        <v>27</v>
      </c>
      <c r="I223" s="10" t="s">
        <v>37</v>
      </c>
      <c r="J223" s="10">
        <v>93.47</v>
      </c>
      <c r="K223" s="10">
        <v>55</v>
      </c>
      <c r="L223" s="10">
        <v>0</v>
      </c>
      <c r="M223" s="10">
        <v>148.47</v>
      </c>
      <c r="N223" s="10" t="s">
        <v>761</v>
      </c>
      <c r="O223" s="10" t="s">
        <v>292</v>
      </c>
      <c r="P223" s="105">
        <f t="shared" si="3"/>
        <v>5.49888888888889</v>
      </c>
    </row>
    <row r="224" spans="1:16">
      <c r="A224" s="10" t="s">
        <v>635</v>
      </c>
      <c r="B224" s="10">
        <v>1500885</v>
      </c>
      <c r="C224" s="10" t="s">
        <v>759</v>
      </c>
      <c r="D224" s="10" t="s">
        <v>760</v>
      </c>
      <c r="E224" s="10">
        <v>0</v>
      </c>
      <c r="F224" s="10">
        <v>0</v>
      </c>
      <c r="G224" s="10">
        <v>0</v>
      </c>
      <c r="H224" s="10">
        <v>0</v>
      </c>
      <c r="I224" s="10" t="s">
        <v>146</v>
      </c>
      <c r="J224" s="10">
        <v>0</v>
      </c>
      <c r="K224" s="10">
        <v>0</v>
      </c>
      <c r="L224" s="10">
        <v>0</v>
      </c>
      <c r="M224" s="10">
        <v>0</v>
      </c>
      <c r="N224" s="10" t="s">
        <v>761</v>
      </c>
      <c r="O224" s="10" t="s">
        <v>864</v>
      </c>
      <c r="P224" s="105" t="e">
        <f t="shared" si="3"/>
        <v>#DIV/0!</v>
      </c>
    </row>
    <row r="225" spans="1:16">
      <c r="A225" s="10" t="s">
        <v>635</v>
      </c>
      <c r="B225" s="10">
        <v>1500886</v>
      </c>
      <c r="C225" s="10" t="s">
        <v>759</v>
      </c>
      <c r="D225" s="10" t="s">
        <v>760</v>
      </c>
      <c r="E225" s="10">
        <v>0</v>
      </c>
      <c r="F225" s="10">
        <v>0</v>
      </c>
      <c r="G225" s="10">
        <v>0</v>
      </c>
      <c r="H225" s="10">
        <v>0</v>
      </c>
      <c r="I225" s="10" t="s">
        <v>56</v>
      </c>
      <c r="J225" s="10">
        <v>0</v>
      </c>
      <c r="K225" s="10">
        <v>0</v>
      </c>
      <c r="L225" s="10">
        <v>0</v>
      </c>
      <c r="M225" s="10">
        <v>0</v>
      </c>
      <c r="N225" s="10" t="s">
        <v>761</v>
      </c>
      <c r="O225" s="10" t="s">
        <v>865</v>
      </c>
      <c r="P225" s="105" t="e">
        <f t="shared" si="3"/>
        <v>#DIV/0!</v>
      </c>
    </row>
    <row r="226" spans="1:16">
      <c r="A226" s="10" t="s">
        <v>635</v>
      </c>
      <c r="B226" s="10">
        <v>1500887</v>
      </c>
      <c r="C226" s="10" t="s">
        <v>759</v>
      </c>
      <c r="D226" s="10" t="s">
        <v>760</v>
      </c>
      <c r="E226" s="10">
        <v>0</v>
      </c>
      <c r="F226" s="10">
        <v>0</v>
      </c>
      <c r="G226" s="10">
        <v>0</v>
      </c>
      <c r="H226" s="10">
        <v>0</v>
      </c>
      <c r="I226" s="10" t="s">
        <v>74</v>
      </c>
      <c r="J226" s="10">
        <v>0</v>
      </c>
      <c r="K226" s="10">
        <v>0</v>
      </c>
      <c r="L226" s="10">
        <v>0</v>
      </c>
      <c r="M226" s="10">
        <v>0</v>
      </c>
      <c r="N226" s="10" t="s">
        <v>761</v>
      </c>
      <c r="O226" s="10" t="s">
        <v>866</v>
      </c>
      <c r="P226" s="105" t="e">
        <f t="shared" si="3"/>
        <v>#DIV/0!</v>
      </c>
    </row>
    <row r="227" spans="1:16">
      <c r="A227" s="10" t="s">
        <v>635</v>
      </c>
      <c r="B227" s="10">
        <v>1500888</v>
      </c>
      <c r="C227" s="10" t="s">
        <v>759</v>
      </c>
      <c r="D227" s="10" t="s">
        <v>760</v>
      </c>
      <c r="E227" s="10">
        <v>0</v>
      </c>
      <c r="F227" s="10">
        <v>0</v>
      </c>
      <c r="G227" s="10">
        <v>0</v>
      </c>
      <c r="H227" s="10">
        <v>0</v>
      </c>
      <c r="I227" s="10" t="s">
        <v>74</v>
      </c>
      <c r="J227" s="10">
        <v>0</v>
      </c>
      <c r="K227" s="10">
        <v>0</v>
      </c>
      <c r="L227" s="10">
        <v>0</v>
      </c>
      <c r="M227" s="10">
        <v>0</v>
      </c>
      <c r="N227" s="10" t="s">
        <v>761</v>
      </c>
      <c r="O227" s="10" t="s">
        <v>867</v>
      </c>
      <c r="P227" s="105" t="e">
        <f t="shared" si="3"/>
        <v>#DIV/0!</v>
      </c>
    </row>
    <row r="228" spans="1:16">
      <c r="A228" s="10" t="s">
        <v>635</v>
      </c>
      <c r="B228" s="10">
        <v>1500889</v>
      </c>
      <c r="C228" s="10" t="s">
        <v>759</v>
      </c>
      <c r="D228" s="10" t="s">
        <v>760</v>
      </c>
      <c r="E228" s="10">
        <v>0</v>
      </c>
      <c r="F228" s="10">
        <v>6</v>
      </c>
      <c r="G228" s="10">
        <v>0</v>
      </c>
      <c r="H228" s="10">
        <v>6</v>
      </c>
      <c r="I228" s="10" t="s">
        <v>56</v>
      </c>
      <c r="J228" s="10">
        <v>0</v>
      </c>
      <c r="K228" s="10">
        <v>90</v>
      </c>
      <c r="L228" s="10">
        <v>0</v>
      </c>
      <c r="M228" s="10">
        <v>90</v>
      </c>
      <c r="N228" s="10" t="s">
        <v>761</v>
      </c>
      <c r="O228" s="10" t="s">
        <v>473</v>
      </c>
      <c r="P228" s="105">
        <f t="shared" si="3"/>
        <v>15</v>
      </c>
    </row>
    <row r="229" spans="1:16">
      <c r="A229" s="10" t="s">
        <v>635</v>
      </c>
      <c r="B229" s="10">
        <v>1500890</v>
      </c>
      <c r="C229" s="10" t="s">
        <v>759</v>
      </c>
      <c r="D229" s="10" t="s">
        <v>760</v>
      </c>
      <c r="E229" s="10">
        <v>0</v>
      </c>
      <c r="F229" s="10">
        <v>0</v>
      </c>
      <c r="G229" s="10">
        <v>0</v>
      </c>
      <c r="H229" s="10">
        <v>0</v>
      </c>
      <c r="I229" s="10" t="s">
        <v>146</v>
      </c>
      <c r="J229" s="10">
        <v>0</v>
      </c>
      <c r="K229" s="10">
        <v>0</v>
      </c>
      <c r="L229" s="10">
        <v>0</v>
      </c>
      <c r="M229" s="10">
        <v>0</v>
      </c>
      <c r="N229" s="10" t="s">
        <v>761</v>
      </c>
      <c r="O229" s="10" t="s">
        <v>868</v>
      </c>
      <c r="P229" s="105" t="e">
        <f t="shared" si="3"/>
        <v>#DIV/0!</v>
      </c>
    </row>
    <row r="230" spans="1:16">
      <c r="A230" s="10" t="s">
        <v>635</v>
      </c>
      <c r="B230" s="10">
        <v>1500891</v>
      </c>
      <c r="C230" s="10" t="s">
        <v>759</v>
      </c>
      <c r="D230" s="10" t="s">
        <v>760</v>
      </c>
      <c r="E230" s="10">
        <v>10</v>
      </c>
      <c r="F230" s="10">
        <v>200</v>
      </c>
      <c r="G230" s="10">
        <v>0</v>
      </c>
      <c r="H230" s="10">
        <v>210</v>
      </c>
      <c r="I230" s="10" t="s">
        <v>74</v>
      </c>
      <c r="J230" s="10">
        <v>77.05</v>
      </c>
      <c r="K230" s="103">
        <v>1520.35</v>
      </c>
      <c r="L230" s="10">
        <v>0</v>
      </c>
      <c r="M230" s="103">
        <v>1597.4</v>
      </c>
      <c r="N230" s="10" t="s">
        <v>761</v>
      </c>
      <c r="O230" s="10" t="s">
        <v>432</v>
      </c>
      <c r="P230" s="105">
        <f t="shared" si="3"/>
        <v>7.60666666666667</v>
      </c>
    </row>
    <row r="231" spans="1:16">
      <c r="A231" s="10" t="s">
        <v>635</v>
      </c>
      <c r="B231" s="10">
        <v>1500892</v>
      </c>
      <c r="C231" s="10" t="s">
        <v>759</v>
      </c>
      <c r="D231" s="10" t="s">
        <v>760</v>
      </c>
      <c r="E231" s="10">
        <v>0</v>
      </c>
      <c r="F231" s="10">
        <v>0</v>
      </c>
      <c r="G231" s="10">
        <v>0</v>
      </c>
      <c r="H231" s="10">
        <v>0</v>
      </c>
      <c r="I231" s="10" t="s">
        <v>30</v>
      </c>
      <c r="J231" s="10">
        <v>0</v>
      </c>
      <c r="K231" s="10">
        <v>0</v>
      </c>
      <c r="L231" s="10">
        <v>0</v>
      </c>
      <c r="M231" s="10">
        <v>0</v>
      </c>
      <c r="N231" s="10" t="s">
        <v>761</v>
      </c>
      <c r="O231" s="10" t="s">
        <v>869</v>
      </c>
      <c r="P231" s="105" t="e">
        <f t="shared" si="3"/>
        <v>#DIV/0!</v>
      </c>
    </row>
    <row r="232" spans="1:16">
      <c r="A232" s="10" t="s">
        <v>635</v>
      </c>
      <c r="B232" s="10">
        <v>1500894</v>
      </c>
      <c r="C232" s="10" t="s">
        <v>759</v>
      </c>
      <c r="D232" s="10" t="s">
        <v>760</v>
      </c>
      <c r="E232" s="10">
        <v>0</v>
      </c>
      <c r="F232" s="10">
        <v>0</v>
      </c>
      <c r="G232" s="10">
        <v>0</v>
      </c>
      <c r="H232" s="10">
        <v>0</v>
      </c>
      <c r="I232" s="10" t="s">
        <v>30</v>
      </c>
      <c r="J232" s="10">
        <v>0</v>
      </c>
      <c r="K232" s="10">
        <v>0</v>
      </c>
      <c r="L232" s="10">
        <v>0</v>
      </c>
      <c r="M232" s="10">
        <v>0</v>
      </c>
      <c r="N232" s="10" t="s">
        <v>761</v>
      </c>
      <c r="O232" s="10" t="s">
        <v>870</v>
      </c>
      <c r="P232" s="105" t="e">
        <f t="shared" si="3"/>
        <v>#DIV/0!</v>
      </c>
    </row>
    <row r="233" spans="1:16">
      <c r="A233" s="10" t="s">
        <v>635</v>
      </c>
      <c r="B233" s="10">
        <v>1500895</v>
      </c>
      <c r="C233" s="10" t="s">
        <v>759</v>
      </c>
      <c r="D233" s="10" t="s">
        <v>760</v>
      </c>
      <c r="E233" s="10">
        <v>0</v>
      </c>
      <c r="F233" s="10">
        <v>0</v>
      </c>
      <c r="G233" s="10">
        <v>0</v>
      </c>
      <c r="H233" s="10">
        <v>0</v>
      </c>
      <c r="I233" s="10" t="s">
        <v>56</v>
      </c>
      <c r="J233" s="10">
        <v>0</v>
      </c>
      <c r="K233" s="10">
        <v>0</v>
      </c>
      <c r="L233" s="10">
        <v>0</v>
      </c>
      <c r="M233" s="10">
        <v>0</v>
      </c>
      <c r="N233" s="10" t="s">
        <v>761</v>
      </c>
      <c r="O233" s="10" t="s">
        <v>871</v>
      </c>
      <c r="P233" s="105" t="e">
        <f t="shared" si="3"/>
        <v>#DIV/0!</v>
      </c>
    </row>
    <row r="234" spans="1:16">
      <c r="A234" s="10" t="s">
        <v>635</v>
      </c>
      <c r="B234" s="10">
        <v>1500896</v>
      </c>
      <c r="C234" s="10" t="s">
        <v>759</v>
      </c>
      <c r="D234" s="10" t="s">
        <v>760</v>
      </c>
      <c r="E234" s="10">
        <v>34</v>
      </c>
      <c r="F234" s="10">
        <v>30</v>
      </c>
      <c r="G234" s="10">
        <v>0</v>
      </c>
      <c r="H234" s="10">
        <v>64</v>
      </c>
      <c r="I234" s="10" t="s">
        <v>56</v>
      </c>
      <c r="J234" s="10">
        <v>385.34</v>
      </c>
      <c r="K234" s="10">
        <v>340</v>
      </c>
      <c r="L234" s="10">
        <v>0</v>
      </c>
      <c r="M234" s="10">
        <v>725.34</v>
      </c>
      <c r="N234" s="10" t="s">
        <v>761</v>
      </c>
      <c r="O234" s="10" t="s">
        <v>77</v>
      </c>
      <c r="P234" s="105">
        <f t="shared" si="3"/>
        <v>11.3334375</v>
      </c>
    </row>
    <row r="235" spans="1:16">
      <c r="A235" s="10" t="s">
        <v>635</v>
      </c>
      <c r="B235" s="10">
        <v>1500897</v>
      </c>
      <c r="C235" s="10" t="s">
        <v>759</v>
      </c>
      <c r="D235" s="10" t="s">
        <v>760</v>
      </c>
      <c r="E235" s="10">
        <v>19</v>
      </c>
      <c r="F235" s="10">
        <v>84</v>
      </c>
      <c r="G235" s="10">
        <v>0</v>
      </c>
      <c r="H235" s="10">
        <v>103</v>
      </c>
      <c r="I235" s="10" t="s">
        <v>56</v>
      </c>
      <c r="J235" s="10">
        <v>228</v>
      </c>
      <c r="K235" s="103">
        <v>1008</v>
      </c>
      <c r="L235" s="10">
        <v>0</v>
      </c>
      <c r="M235" s="103">
        <v>1236</v>
      </c>
      <c r="N235" s="10" t="s">
        <v>761</v>
      </c>
      <c r="O235" s="10" t="s">
        <v>334</v>
      </c>
      <c r="P235" s="105">
        <f t="shared" si="3"/>
        <v>12</v>
      </c>
    </row>
    <row r="236" spans="1:16">
      <c r="A236" s="10" t="s">
        <v>635</v>
      </c>
      <c r="B236" s="10">
        <v>1500898</v>
      </c>
      <c r="C236" s="10" t="s">
        <v>759</v>
      </c>
      <c r="D236" s="10" t="s">
        <v>760</v>
      </c>
      <c r="E236" s="10">
        <v>0</v>
      </c>
      <c r="F236" s="10">
        <v>0</v>
      </c>
      <c r="G236" s="10">
        <v>0</v>
      </c>
      <c r="H236" s="10">
        <v>0</v>
      </c>
      <c r="I236" s="10" t="s">
        <v>74</v>
      </c>
      <c r="J236" s="10">
        <v>0</v>
      </c>
      <c r="K236" s="10">
        <v>0</v>
      </c>
      <c r="L236" s="10">
        <v>0</v>
      </c>
      <c r="M236" s="10">
        <v>0</v>
      </c>
      <c r="N236" s="10" t="s">
        <v>761</v>
      </c>
      <c r="O236" s="10" t="s">
        <v>872</v>
      </c>
      <c r="P236" s="105" t="e">
        <f t="shared" si="3"/>
        <v>#DIV/0!</v>
      </c>
    </row>
    <row r="237" spans="1:16">
      <c r="A237" s="10" t="s">
        <v>635</v>
      </c>
      <c r="B237" s="10">
        <v>1500899</v>
      </c>
      <c r="C237" s="10" t="s">
        <v>759</v>
      </c>
      <c r="D237" s="10" t="s">
        <v>760</v>
      </c>
      <c r="E237" s="10">
        <v>0</v>
      </c>
      <c r="F237" s="10">
        <v>0</v>
      </c>
      <c r="G237" s="10">
        <v>0</v>
      </c>
      <c r="H237" s="10">
        <v>0</v>
      </c>
      <c r="I237" s="10" t="s">
        <v>33</v>
      </c>
      <c r="J237" s="10">
        <v>0</v>
      </c>
      <c r="K237" s="10">
        <v>0</v>
      </c>
      <c r="L237" s="10">
        <v>0</v>
      </c>
      <c r="M237" s="10">
        <v>0</v>
      </c>
      <c r="N237" s="10" t="s">
        <v>761</v>
      </c>
      <c r="O237" s="10" t="s">
        <v>873</v>
      </c>
      <c r="P237" s="105" t="e">
        <f t="shared" si="3"/>
        <v>#DIV/0!</v>
      </c>
    </row>
    <row r="238" spans="1:16">
      <c r="A238" s="10" t="s">
        <v>635</v>
      </c>
      <c r="B238" s="10">
        <v>1500900</v>
      </c>
      <c r="C238" s="10" t="s">
        <v>759</v>
      </c>
      <c r="D238" s="10" t="s">
        <v>760</v>
      </c>
      <c r="E238" s="10">
        <v>0</v>
      </c>
      <c r="F238" s="10">
        <v>0</v>
      </c>
      <c r="G238" s="10">
        <v>0</v>
      </c>
      <c r="H238" s="10">
        <v>0</v>
      </c>
      <c r="I238" s="10" t="s">
        <v>33</v>
      </c>
      <c r="J238" s="10">
        <v>0</v>
      </c>
      <c r="K238" s="10">
        <v>0</v>
      </c>
      <c r="L238" s="10">
        <v>0</v>
      </c>
      <c r="M238" s="10">
        <v>0</v>
      </c>
      <c r="N238" s="10" t="s">
        <v>761</v>
      </c>
      <c r="O238" s="10" t="s">
        <v>874</v>
      </c>
      <c r="P238" s="105" t="e">
        <f t="shared" si="3"/>
        <v>#DIV/0!</v>
      </c>
    </row>
    <row r="239" spans="1:16">
      <c r="A239" s="10" t="s">
        <v>635</v>
      </c>
      <c r="B239" s="10">
        <v>1500901</v>
      </c>
      <c r="C239" s="10" t="s">
        <v>759</v>
      </c>
      <c r="D239" s="10" t="s">
        <v>760</v>
      </c>
      <c r="E239" s="10">
        <v>0</v>
      </c>
      <c r="F239" s="10">
        <v>0</v>
      </c>
      <c r="G239" s="10">
        <v>0</v>
      </c>
      <c r="H239" s="10">
        <v>0</v>
      </c>
      <c r="I239" s="10" t="s">
        <v>33</v>
      </c>
      <c r="J239" s="10">
        <v>0</v>
      </c>
      <c r="K239" s="10">
        <v>0</v>
      </c>
      <c r="L239" s="10">
        <v>0</v>
      </c>
      <c r="M239" s="10">
        <v>0</v>
      </c>
      <c r="N239" s="10" t="s">
        <v>761</v>
      </c>
      <c r="O239" s="10" t="s">
        <v>875</v>
      </c>
      <c r="P239" s="105" t="e">
        <f t="shared" si="3"/>
        <v>#DIV/0!</v>
      </c>
    </row>
    <row r="240" spans="1:16">
      <c r="A240" s="10" t="s">
        <v>635</v>
      </c>
      <c r="B240" s="10">
        <v>1500902</v>
      </c>
      <c r="C240" s="10" t="s">
        <v>759</v>
      </c>
      <c r="D240" s="10" t="s">
        <v>760</v>
      </c>
      <c r="E240" s="10">
        <v>395</v>
      </c>
      <c r="F240" s="10">
        <v>864</v>
      </c>
      <c r="G240" s="10">
        <v>0</v>
      </c>
      <c r="H240" s="103">
        <v>1259</v>
      </c>
      <c r="I240" s="10" t="s">
        <v>93</v>
      </c>
      <c r="J240" s="10">
        <v>200.37</v>
      </c>
      <c r="K240" s="10">
        <v>441.68</v>
      </c>
      <c r="L240" s="10">
        <v>0</v>
      </c>
      <c r="M240" s="10">
        <v>642.05</v>
      </c>
      <c r="N240" s="10" t="s">
        <v>761</v>
      </c>
      <c r="O240" s="10" t="s">
        <v>164</v>
      </c>
      <c r="P240" s="105">
        <f t="shared" si="3"/>
        <v>0.509968228752979</v>
      </c>
    </row>
    <row r="241" spans="1:16">
      <c r="A241" s="10" t="s">
        <v>635</v>
      </c>
      <c r="B241" s="10">
        <v>1500903</v>
      </c>
      <c r="C241" s="10" t="s">
        <v>759</v>
      </c>
      <c r="D241" s="10" t="s">
        <v>760</v>
      </c>
      <c r="E241" s="10">
        <v>321</v>
      </c>
      <c r="F241" s="10">
        <v>640</v>
      </c>
      <c r="G241" s="10">
        <v>0</v>
      </c>
      <c r="H241" s="10">
        <v>961</v>
      </c>
      <c r="I241" s="10" t="s">
        <v>93</v>
      </c>
      <c r="J241" s="10">
        <v>164.14</v>
      </c>
      <c r="K241" s="10">
        <v>330.6</v>
      </c>
      <c r="L241" s="10">
        <v>0</v>
      </c>
      <c r="M241" s="10">
        <v>494.74</v>
      </c>
      <c r="N241" s="10" t="s">
        <v>761</v>
      </c>
      <c r="O241" s="10" t="s">
        <v>91</v>
      </c>
      <c r="P241" s="105">
        <f t="shared" si="3"/>
        <v>0.514817898022893</v>
      </c>
    </row>
    <row r="242" spans="1:16">
      <c r="A242" s="10" t="s">
        <v>635</v>
      </c>
      <c r="B242" s="10">
        <v>1500904</v>
      </c>
      <c r="C242" s="10" t="s">
        <v>759</v>
      </c>
      <c r="D242" s="10" t="s">
        <v>760</v>
      </c>
      <c r="E242" s="10">
        <v>80</v>
      </c>
      <c r="F242" s="10">
        <v>144</v>
      </c>
      <c r="G242" s="10">
        <v>0</v>
      </c>
      <c r="H242" s="10">
        <v>224</v>
      </c>
      <c r="I242" s="10" t="s">
        <v>93</v>
      </c>
      <c r="J242" s="10">
        <v>49.4</v>
      </c>
      <c r="K242" s="10">
        <v>98.04</v>
      </c>
      <c r="L242" s="10">
        <v>0</v>
      </c>
      <c r="M242" s="10">
        <v>147.44</v>
      </c>
      <c r="N242" s="10" t="s">
        <v>761</v>
      </c>
      <c r="O242" s="10" t="s">
        <v>545</v>
      </c>
      <c r="P242" s="105">
        <f t="shared" si="3"/>
        <v>0.658214285714286</v>
      </c>
    </row>
    <row r="243" spans="1:16">
      <c r="A243" s="10" t="s">
        <v>635</v>
      </c>
      <c r="B243" s="10">
        <v>1500905</v>
      </c>
      <c r="C243" s="10" t="s">
        <v>759</v>
      </c>
      <c r="D243" s="10" t="s">
        <v>760</v>
      </c>
      <c r="E243" s="10">
        <v>0</v>
      </c>
      <c r="F243" s="10">
        <v>0</v>
      </c>
      <c r="G243" s="10">
        <v>0</v>
      </c>
      <c r="H243" s="10">
        <v>0</v>
      </c>
      <c r="I243" s="10" t="s">
        <v>93</v>
      </c>
      <c r="J243" s="10">
        <v>0</v>
      </c>
      <c r="K243" s="10">
        <v>0</v>
      </c>
      <c r="L243" s="10">
        <v>0</v>
      </c>
      <c r="M243" s="10">
        <v>0</v>
      </c>
      <c r="N243" s="10" t="s">
        <v>761</v>
      </c>
      <c r="O243" s="10" t="s">
        <v>876</v>
      </c>
      <c r="P243" s="105" t="e">
        <f t="shared" si="3"/>
        <v>#DIV/0!</v>
      </c>
    </row>
    <row r="244" spans="1:16">
      <c r="A244" s="10" t="s">
        <v>635</v>
      </c>
      <c r="B244" s="10">
        <v>1500906</v>
      </c>
      <c r="C244" s="10" t="s">
        <v>759</v>
      </c>
      <c r="D244" s="10" t="s">
        <v>760</v>
      </c>
      <c r="E244" s="10">
        <v>0</v>
      </c>
      <c r="F244" s="10">
        <v>0</v>
      </c>
      <c r="G244" s="10">
        <v>0</v>
      </c>
      <c r="H244" s="10">
        <v>0</v>
      </c>
      <c r="I244" s="10" t="s">
        <v>93</v>
      </c>
      <c r="J244" s="10">
        <v>0</v>
      </c>
      <c r="K244" s="10">
        <v>0</v>
      </c>
      <c r="L244" s="10">
        <v>0</v>
      </c>
      <c r="M244" s="10">
        <v>0</v>
      </c>
      <c r="N244" s="10" t="s">
        <v>761</v>
      </c>
      <c r="O244" s="10" t="s">
        <v>877</v>
      </c>
      <c r="P244" s="105" t="e">
        <f t="shared" si="3"/>
        <v>#DIV/0!</v>
      </c>
    </row>
    <row r="245" spans="1:16">
      <c r="A245" s="10" t="s">
        <v>635</v>
      </c>
      <c r="B245" s="10">
        <v>1500908</v>
      </c>
      <c r="C245" s="10" t="s">
        <v>759</v>
      </c>
      <c r="D245" s="10" t="s">
        <v>760</v>
      </c>
      <c r="E245" s="10">
        <v>0</v>
      </c>
      <c r="F245" s="10">
        <v>0</v>
      </c>
      <c r="G245" s="10">
        <v>0</v>
      </c>
      <c r="H245" s="10">
        <v>0</v>
      </c>
      <c r="I245" s="10" t="s">
        <v>33</v>
      </c>
      <c r="J245" s="10">
        <v>0</v>
      </c>
      <c r="K245" s="10">
        <v>0</v>
      </c>
      <c r="L245" s="10">
        <v>0</v>
      </c>
      <c r="M245" s="10">
        <v>0</v>
      </c>
      <c r="N245" s="10" t="s">
        <v>761</v>
      </c>
      <c r="O245" s="10" t="s">
        <v>878</v>
      </c>
      <c r="P245" s="105" t="e">
        <f t="shared" si="3"/>
        <v>#DIV/0!</v>
      </c>
    </row>
    <row r="246" spans="1:16">
      <c r="A246" s="10" t="s">
        <v>635</v>
      </c>
      <c r="B246" s="10">
        <v>1500909</v>
      </c>
      <c r="C246" s="10" t="s">
        <v>759</v>
      </c>
      <c r="D246" s="10" t="s">
        <v>760</v>
      </c>
      <c r="E246" s="10">
        <v>0</v>
      </c>
      <c r="F246" s="10">
        <v>0</v>
      </c>
      <c r="G246" s="10">
        <v>0</v>
      </c>
      <c r="H246" s="10">
        <v>0</v>
      </c>
      <c r="I246" s="10" t="s">
        <v>33</v>
      </c>
      <c r="J246" s="10">
        <v>0</v>
      </c>
      <c r="K246" s="10">
        <v>0</v>
      </c>
      <c r="L246" s="10">
        <v>0</v>
      </c>
      <c r="M246" s="10">
        <v>0</v>
      </c>
      <c r="N246" s="10" t="s">
        <v>761</v>
      </c>
      <c r="O246" s="10" t="s">
        <v>879</v>
      </c>
      <c r="P246" s="105" t="e">
        <f t="shared" si="3"/>
        <v>#DIV/0!</v>
      </c>
    </row>
    <row r="247" spans="1:16">
      <c r="A247" s="10" t="s">
        <v>635</v>
      </c>
      <c r="B247" s="10">
        <v>1500910</v>
      </c>
      <c r="C247" s="10" t="s">
        <v>759</v>
      </c>
      <c r="D247" s="10" t="s">
        <v>760</v>
      </c>
      <c r="E247" s="10">
        <v>0</v>
      </c>
      <c r="F247" s="10">
        <v>0</v>
      </c>
      <c r="G247" s="10">
        <v>0</v>
      </c>
      <c r="H247" s="10">
        <v>0</v>
      </c>
      <c r="I247" s="10" t="s">
        <v>33</v>
      </c>
      <c r="J247" s="10">
        <v>0</v>
      </c>
      <c r="K247" s="10">
        <v>0</v>
      </c>
      <c r="L247" s="10">
        <v>0</v>
      </c>
      <c r="M247" s="10">
        <v>0</v>
      </c>
      <c r="N247" s="10" t="s">
        <v>761</v>
      </c>
      <c r="O247" s="10" t="s">
        <v>880</v>
      </c>
      <c r="P247" s="105" t="e">
        <f t="shared" si="3"/>
        <v>#DIV/0!</v>
      </c>
    </row>
    <row r="248" spans="1:16">
      <c r="A248" s="10" t="s">
        <v>635</v>
      </c>
      <c r="B248" s="10">
        <v>1500911</v>
      </c>
      <c r="C248" s="10" t="s">
        <v>759</v>
      </c>
      <c r="D248" s="10" t="s">
        <v>760</v>
      </c>
      <c r="E248" s="106">
        <v>3217</v>
      </c>
      <c r="F248" s="10">
        <v>0</v>
      </c>
      <c r="G248" s="10">
        <v>0</v>
      </c>
      <c r="H248" s="106">
        <v>3217</v>
      </c>
      <c r="I248" s="10" t="s">
        <v>33</v>
      </c>
      <c r="J248" s="103">
        <v>6932.58</v>
      </c>
      <c r="K248" s="10">
        <v>0</v>
      </c>
      <c r="L248" s="10">
        <v>0</v>
      </c>
      <c r="M248" s="103">
        <v>6932.58</v>
      </c>
      <c r="N248" s="10" t="s">
        <v>761</v>
      </c>
      <c r="O248" s="10" t="s">
        <v>31</v>
      </c>
      <c r="P248" s="105">
        <f t="shared" si="3"/>
        <v>2.15498290332608</v>
      </c>
    </row>
    <row r="249" spans="1:16">
      <c r="A249" s="10" t="s">
        <v>635</v>
      </c>
      <c r="B249" s="10">
        <v>1500913</v>
      </c>
      <c r="C249" s="10" t="s">
        <v>759</v>
      </c>
      <c r="D249" s="10" t="s">
        <v>760</v>
      </c>
      <c r="E249" s="10">
        <v>0</v>
      </c>
      <c r="F249" s="10">
        <v>0</v>
      </c>
      <c r="G249" s="10">
        <v>0</v>
      </c>
      <c r="H249" s="10">
        <v>0</v>
      </c>
      <c r="I249" s="10" t="s">
        <v>56</v>
      </c>
      <c r="J249" s="10">
        <v>0</v>
      </c>
      <c r="K249" s="10">
        <v>0</v>
      </c>
      <c r="L249" s="10">
        <v>0</v>
      </c>
      <c r="M249" s="10">
        <v>0</v>
      </c>
      <c r="N249" s="10" t="s">
        <v>761</v>
      </c>
      <c r="O249" s="10" t="s">
        <v>881</v>
      </c>
      <c r="P249" s="105" t="e">
        <f t="shared" si="3"/>
        <v>#DIV/0!</v>
      </c>
    </row>
    <row r="250" spans="1:16">
      <c r="A250" s="10" t="s">
        <v>635</v>
      </c>
      <c r="B250" s="10">
        <v>1500915</v>
      </c>
      <c r="C250" s="10" t="s">
        <v>759</v>
      </c>
      <c r="D250" s="10" t="s">
        <v>760</v>
      </c>
      <c r="E250" s="10">
        <v>0</v>
      </c>
      <c r="F250" s="10">
        <v>0</v>
      </c>
      <c r="G250" s="10">
        <v>0</v>
      </c>
      <c r="H250" s="10">
        <v>0</v>
      </c>
      <c r="I250" s="10" t="s">
        <v>33</v>
      </c>
      <c r="J250" s="10">
        <v>0</v>
      </c>
      <c r="K250" s="10">
        <v>0</v>
      </c>
      <c r="L250" s="10">
        <v>0</v>
      </c>
      <c r="M250" s="10">
        <v>0</v>
      </c>
      <c r="N250" s="10" t="s">
        <v>761</v>
      </c>
      <c r="O250" s="10" t="s">
        <v>882</v>
      </c>
      <c r="P250" s="105" t="e">
        <f t="shared" si="3"/>
        <v>#DIV/0!</v>
      </c>
    </row>
    <row r="251" spans="1:16">
      <c r="A251" s="10" t="s">
        <v>635</v>
      </c>
      <c r="B251" s="10">
        <v>1500916</v>
      </c>
      <c r="C251" s="10" t="s">
        <v>759</v>
      </c>
      <c r="D251" s="10" t="s">
        <v>760</v>
      </c>
      <c r="E251" s="10">
        <v>0</v>
      </c>
      <c r="F251" s="10">
        <v>0</v>
      </c>
      <c r="G251" s="10">
        <v>0</v>
      </c>
      <c r="H251" s="10">
        <v>0</v>
      </c>
      <c r="I251" s="10" t="s">
        <v>33</v>
      </c>
      <c r="J251" s="10">
        <v>0</v>
      </c>
      <c r="K251" s="10">
        <v>0</v>
      </c>
      <c r="L251" s="10">
        <v>0</v>
      </c>
      <c r="M251" s="10">
        <v>0</v>
      </c>
      <c r="N251" s="10" t="s">
        <v>761</v>
      </c>
      <c r="O251" s="10" t="s">
        <v>883</v>
      </c>
      <c r="P251" s="105" t="e">
        <f t="shared" si="3"/>
        <v>#DIV/0!</v>
      </c>
    </row>
    <row r="252" spans="1:16">
      <c r="A252" s="10" t="s">
        <v>635</v>
      </c>
      <c r="B252" s="10">
        <v>1500918</v>
      </c>
      <c r="C252" s="10" t="s">
        <v>759</v>
      </c>
      <c r="D252" s="10" t="s">
        <v>760</v>
      </c>
      <c r="E252" s="10">
        <v>68</v>
      </c>
      <c r="F252" s="10">
        <v>0</v>
      </c>
      <c r="G252" s="10">
        <v>0</v>
      </c>
      <c r="H252" s="10">
        <v>68</v>
      </c>
      <c r="I252" s="10" t="s">
        <v>33</v>
      </c>
      <c r="J252" s="10">
        <v>297.84</v>
      </c>
      <c r="K252" s="10">
        <v>0</v>
      </c>
      <c r="L252" s="10">
        <v>0</v>
      </c>
      <c r="M252" s="10">
        <v>297.84</v>
      </c>
      <c r="N252" s="10" t="s">
        <v>761</v>
      </c>
      <c r="O252" s="10" t="s">
        <v>375</v>
      </c>
      <c r="P252" s="105">
        <f t="shared" si="3"/>
        <v>4.38</v>
      </c>
    </row>
    <row r="253" spans="1:16">
      <c r="A253" s="10" t="s">
        <v>635</v>
      </c>
      <c r="B253" s="10">
        <v>1500919</v>
      </c>
      <c r="C253" s="10" t="s">
        <v>759</v>
      </c>
      <c r="D253" s="10" t="s">
        <v>760</v>
      </c>
      <c r="E253" s="10">
        <v>1</v>
      </c>
      <c r="F253" s="10">
        <v>10</v>
      </c>
      <c r="G253" s="10">
        <v>0</v>
      </c>
      <c r="H253" s="10">
        <v>11</v>
      </c>
      <c r="I253" s="10" t="s">
        <v>56</v>
      </c>
      <c r="J253" s="10">
        <v>82.12</v>
      </c>
      <c r="K253" s="10">
        <v>821.2</v>
      </c>
      <c r="L253" s="10">
        <v>0</v>
      </c>
      <c r="M253" s="10">
        <v>903.32</v>
      </c>
      <c r="N253" s="10" t="s">
        <v>761</v>
      </c>
      <c r="O253" s="10" t="s">
        <v>54</v>
      </c>
      <c r="P253" s="105">
        <f t="shared" si="3"/>
        <v>82.12</v>
      </c>
    </row>
    <row r="254" spans="1:16">
      <c r="A254" s="10" t="s">
        <v>635</v>
      </c>
      <c r="B254" s="10">
        <v>1500920</v>
      </c>
      <c r="C254" s="10" t="s">
        <v>759</v>
      </c>
      <c r="D254" s="10" t="s">
        <v>760</v>
      </c>
      <c r="E254" s="10">
        <v>0</v>
      </c>
      <c r="F254" s="10">
        <v>4</v>
      </c>
      <c r="G254" s="10">
        <v>0</v>
      </c>
      <c r="H254" s="10">
        <v>4</v>
      </c>
      <c r="I254" s="10" t="s">
        <v>56</v>
      </c>
      <c r="J254" s="10">
        <v>0</v>
      </c>
      <c r="K254" s="10">
        <v>510.8</v>
      </c>
      <c r="L254" s="10">
        <v>0</v>
      </c>
      <c r="M254" s="10">
        <v>510.8</v>
      </c>
      <c r="N254" s="10" t="s">
        <v>761</v>
      </c>
      <c r="O254" s="10" t="s">
        <v>71</v>
      </c>
      <c r="P254" s="105">
        <f t="shared" si="3"/>
        <v>127.7</v>
      </c>
    </row>
    <row r="255" spans="1:16">
      <c r="A255" s="10" t="s">
        <v>635</v>
      </c>
      <c r="B255" s="10">
        <v>1500922</v>
      </c>
      <c r="C255" s="10" t="s">
        <v>759</v>
      </c>
      <c r="D255" s="10" t="s">
        <v>760</v>
      </c>
      <c r="E255" s="10">
        <v>0</v>
      </c>
      <c r="F255" s="10">
        <v>0</v>
      </c>
      <c r="G255" s="10">
        <v>0</v>
      </c>
      <c r="H255" s="10">
        <v>0</v>
      </c>
      <c r="I255" s="10" t="s">
        <v>56</v>
      </c>
      <c r="J255" s="10">
        <v>0</v>
      </c>
      <c r="K255" s="10">
        <v>0</v>
      </c>
      <c r="L255" s="10">
        <v>0</v>
      </c>
      <c r="M255" s="10">
        <v>0</v>
      </c>
      <c r="N255" s="10" t="s">
        <v>761</v>
      </c>
      <c r="O255" s="10" t="s">
        <v>884</v>
      </c>
      <c r="P255" s="105" t="e">
        <f t="shared" si="3"/>
        <v>#DIV/0!</v>
      </c>
    </row>
    <row r="256" spans="1:16">
      <c r="A256" s="10" t="s">
        <v>635</v>
      </c>
      <c r="B256" s="10">
        <v>1500923</v>
      </c>
      <c r="C256" s="10" t="s">
        <v>759</v>
      </c>
      <c r="D256" s="10" t="s">
        <v>760</v>
      </c>
      <c r="E256" s="10">
        <v>2</v>
      </c>
      <c r="F256" s="10">
        <v>4</v>
      </c>
      <c r="G256" s="10">
        <v>0</v>
      </c>
      <c r="H256" s="10">
        <v>6</v>
      </c>
      <c r="I256" s="10" t="s">
        <v>56</v>
      </c>
      <c r="J256" s="10">
        <v>37.2</v>
      </c>
      <c r="K256" s="10">
        <v>74.4</v>
      </c>
      <c r="L256" s="10">
        <v>0</v>
      </c>
      <c r="M256" s="10">
        <v>111.6</v>
      </c>
      <c r="N256" s="10" t="s">
        <v>761</v>
      </c>
      <c r="O256" s="10" t="s">
        <v>250</v>
      </c>
      <c r="P256" s="105">
        <f t="shared" si="3"/>
        <v>18.6</v>
      </c>
    </row>
    <row r="257" spans="1:16">
      <c r="A257" s="10" t="s">
        <v>635</v>
      </c>
      <c r="B257" s="10">
        <v>1500924</v>
      </c>
      <c r="C257" s="10" t="s">
        <v>759</v>
      </c>
      <c r="D257" s="10" t="s">
        <v>760</v>
      </c>
      <c r="E257" s="10">
        <v>3</v>
      </c>
      <c r="F257" s="10">
        <v>0</v>
      </c>
      <c r="G257" s="10">
        <v>0</v>
      </c>
      <c r="H257" s="10">
        <v>3</v>
      </c>
      <c r="I257" s="10" t="s">
        <v>56</v>
      </c>
      <c r="J257" s="10">
        <v>84.97</v>
      </c>
      <c r="K257" s="10">
        <v>0</v>
      </c>
      <c r="L257" s="10">
        <v>0</v>
      </c>
      <c r="M257" s="10">
        <v>84.97</v>
      </c>
      <c r="N257" s="10" t="s">
        <v>761</v>
      </c>
      <c r="O257" s="10" t="s">
        <v>328</v>
      </c>
      <c r="P257" s="105">
        <f t="shared" si="3"/>
        <v>28.3233333333333</v>
      </c>
    </row>
    <row r="258" spans="1:16">
      <c r="A258" s="10" t="s">
        <v>635</v>
      </c>
      <c r="B258" s="10">
        <v>1500925</v>
      </c>
      <c r="C258" s="10" t="s">
        <v>759</v>
      </c>
      <c r="D258" s="10" t="s">
        <v>760</v>
      </c>
      <c r="E258" s="10">
        <v>20</v>
      </c>
      <c r="F258" s="10">
        <v>0</v>
      </c>
      <c r="G258" s="10">
        <v>0</v>
      </c>
      <c r="H258" s="10">
        <v>20</v>
      </c>
      <c r="I258" s="10" t="s">
        <v>74</v>
      </c>
      <c r="J258" s="10">
        <v>47.96</v>
      </c>
      <c r="K258" s="10">
        <v>0</v>
      </c>
      <c r="L258" s="10">
        <v>0</v>
      </c>
      <c r="M258" s="10">
        <v>47.96</v>
      </c>
      <c r="N258" s="10" t="s">
        <v>761</v>
      </c>
      <c r="O258" s="10" t="s">
        <v>290</v>
      </c>
      <c r="P258" s="105">
        <f t="shared" si="3"/>
        <v>2.398</v>
      </c>
    </row>
    <row r="259" spans="1:16">
      <c r="A259" s="10" t="s">
        <v>635</v>
      </c>
      <c r="B259" s="10">
        <v>1500927</v>
      </c>
      <c r="C259" s="10" t="s">
        <v>759</v>
      </c>
      <c r="D259" s="10" t="s">
        <v>760</v>
      </c>
      <c r="E259" s="10">
        <v>0</v>
      </c>
      <c r="F259" s="10">
        <v>0</v>
      </c>
      <c r="G259" s="10">
        <v>0</v>
      </c>
      <c r="H259" s="10">
        <v>0</v>
      </c>
      <c r="I259" s="10" t="s">
        <v>21</v>
      </c>
      <c r="J259" s="10">
        <v>0</v>
      </c>
      <c r="K259" s="10">
        <v>0</v>
      </c>
      <c r="L259" s="10">
        <v>0</v>
      </c>
      <c r="M259" s="10">
        <v>0</v>
      </c>
      <c r="N259" s="10" t="s">
        <v>761</v>
      </c>
      <c r="O259" s="10" t="s">
        <v>885</v>
      </c>
      <c r="P259" s="105" t="e">
        <f t="shared" ref="P259:P322" si="4">M259/H259</f>
        <v>#DIV/0!</v>
      </c>
    </row>
    <row r="260" spans="1:16">
      <c r="A260" s="10" t="s">
        <v>635</v>
      </c>
      <c r="B260" s="10">
        <v>1500928</v>
      </c>
      <c r="C260" s="10" t="s">
        <v>759</v>
      </c>
      <c r="D260" s="10" t="s">
        <v>760</v>
      </c>
      <c r="E260" s="10">
        <v>0</v>
      </c>
      <c r="F260" s="10">
        <v>0</v>
      </c>
      <c r="G260" s="10">
        <v>0</v>
      </c>
      <c r="H260" s="10">
        <v>0</v>
      </c>
      <c r="I260" s="10" t="s">
        <v>21</v>
      </c>
      <c r="J260" s="10">
        <v>0</v>
      </c>
      <c r="K260" s="10">
        <v>0</v>
      </c>
      <c r="L260" s="10">
        <v>0</v>
      </c>
      <c r="M260" s="10">
        <v>0</v>
      </c>
      <c r="N260" s="10" t="s">
        <v>761</v>
      </c>
      <c r="O260" s="10" t="s">
        <v>886</v>
      </c>
      <c r="P260" s="105" t="e">
        <f t="shared" si="4"/>
        <v>#DIV/0!</v>
      </c>
    </row>
    <row r="261" spans="1:16">
      <c r="A261" s="10" t="s">
        <v>635</v>
      </c>
      <c r="B261" s="10">
        <v>1500931</v>
      </c>
      <c r="C261" s="10" t="s">
        <v>759</v>
      </c>
      <c r="D261" s="10" t="s">
        <v>760</v>
      </c>
      <c r="E261" s="10">
        <v>0</v>
      </c>
      <c r="F261" s="10">
        <v>0</v>
      </c>
      <c r="G261" s="10">
        <v>0</v>
      </c>
      <c r="H261" s="10">
        <v>0</v>
      </c>
      <c r="I261" s="10" t="s">
        <v>261</v>
      </c>
      <c r="J261" s="10">
        <v>0</v>
      </c>
      <c r="K261" s="10">
        <v>0</v>
      </c>
      <c r="L261" s="10">
        <v>0</v>
      </c>
      <c r="M261" s="10">
        <v>0</v>
      </c>
      <c r="N261" s="10" t="s">
        <v>761</v>
      </c>
      <c r="O261" s="10" t="s">
        <v>887</v>
      </c>
      <c r="P261" s="105" t="e">
        <f t="shared" si="4"/>
        <v>#DIV/0!</v>
      </c>
    </row>
    <row r="262" spans="1:16">
      <c r="A262" s="10" t="s">
        <v>635</v>
      </c>
      <c r="B262" s="10">
        <v>1500932</v>
      </c>
      <c r="C262" s="10" t="s">
        <v>759</v>
      </c>
      <c r="D262" s="10" t="s">
        <v>760</v>
      </c>
      <c r="E262" s="10">
        <v>0</v>
      </c>
      <c r="F262" s="10">
        <v>0</v>
      </c>
      <c r="G262" s="10">
        <v>0</v>
      </c>
      <c r="H262" s="10">
        <v>0</v>
      </c>
      <c r="I262" s="10" t="s">
        <v>261</v>
      </c>
      <c r="J262" s="10">
        <v>0</v>
      </c>
      <c r="K262" s="10">
        <v>0</v>
      </c>
      <c r="L262" s="10">
        <v>0</v>
      </c>
      <c r="M262" s="10">
        <v>0</v>
      </c>
      <c r="N262" s="10" t="s">
        <v>761</v>
      </c>
      <c r="O262" s="10" t="s">
        <v>888</v>
      </c>
      <c r="P262" s="105" t="e">
        <f t="shared" si="4"/>
        <v>#DIV/0!</v>
      </c>
    </row>
    <row r="263" spans="1:16">
      <c r="A263" s="10" t="s">
        <v>635</v>
      </c>
      <c r="B263" s="10">
        <v>1500935</v>
      </c>
      <c r="C263" s="10" t="s">
        <v>759</v>
      </c>
      <c r="D263" s="10" t="s">
        <v>760</v>
      </c>
      <c r="E263" s="10">
        <v>0</v>
      </c>
      <c r="F263" s="10">
        <v>0</v>
      </c>
      <c r="G263" s="10">
        <v>0</v>
      </c>
      <c r="H263" s="10">
        <v>0</v>
      </c>
      <c r="I263" s="10" t="s">
        <v>37</v>
      </c>
      <c r="J263" s="10">
        <v>0</v>
      </c>
      <c r="K263" s="10">
        <v>0</v>
      </c>
      <c r="L263" s="10">
        <v>0</v>
      </c>
      <c r="M263" s="10">
        <v>0</v>
      </c>
      <c r="N263" s="10" t="s">
        <v>761</v>
      </c>
      <c r="O263" s="10" t="s">
        <v>889</v>
      </c>
      <c r="P263" s="105" t="e">
        <f t="shared" si="4"/>
        <v>#DIV/0!</v>
      </c>
    </row>
    <row r="264" spans="1:16">
      <c r="A264" s="10" t="s">
        <v>635</v>
      </c>
      <c r="B264" s="10">
        <v>1500936</v>
      </c>
      <c r="C264" s="10" t="s">
        <v>759</v>
      </c>
      <c r="D264" s="10" t="s">
        <v>760</v>
      </c>
      <c r="E264" s="10">
        <v>0</v>
      </c>
      <c r="F264" s="10">
        <v>0</v>
      </c>
      <c r="G264" s="10">
        <v>0</v>
      </c>
      <c r="H264" s="10">
        <v>0</v>
      </c>
      <c r="I264" s="10" t="s">
        <v>30</v>
      </c>
      <c r="J264" s="10">
        <v>0</v>
      </c>
      <c r="K264" s="10">
        <v>0</v>
      </c>
      <c r="L264" s="10">
        <v>0</v>
      </c>
      <c r="M264" s="10">
        <v>0</v>
      </c>
      <c r="N264" s="10" t="s">
        <v>761</v>
      </c>
      <c r="O264" s="10" t="s">
        <v>890</v>
      </c>
      <c r="P264" s="105" t="e">
        <f t="shared" si="4"/>
        <v>#DIV/0!</v>
      </c>
    </row>
    <row r="265" spans="1:16">
      <c r="A265" s="10" t="s">
        <v>635</v>
      </c>
      <c r="B265" s="10">
        <v>1500937</v>
      </c>
      <c r="C265" s="10" t="s">
        <v>759</v>
      </c>
      <c r="D265" s="10" t="s">
        <v>760</v>
      </c>
      <c r="E265" s="10">
        <v>0</v>
      </c>
      <c r="F265" s="10">
        <v>0</v>
      </c>
      <c r="G265" s="10">
        <v>0</v>
      </c>
      <c r="H265" s="10">
        <v>0</v>
      </c>
      <c r="I265" s="10" t="s">
        <v>138</v>
      </c>
      <c r="J265" s="10">
        <v>0</v>
      </c>
      <c r="K265" s="10">
        <v>0</v>
      </c>
      <c r="L265" s="10">
        <v>0</v>
      </c>
      <c r="M265" s="10">
        <v>0</v>
      </c>
      <c r="N265" s="10" t="s">
        <v>761</v>
      </c>
      <c r="O265" s="10" t="s">
        <v>891</v>
      </c>
      <c r="P265" s="105" t="e">
        <f t="shared" si="4"/>
        <v>#DIV/0!</v>
      </c>
    </row>
    <row r="266" spans="1:16">
      <c r="A266" s="10" t="s">
        <v>635</v>
      </c>
      <c r="B266" s="10">
        <v>1500938</v>
      </c>
      <c r="C266" s="10" t="s">
        <v>759</v>
      </c>
      <c r="D266" s="10" t="s">
        <v>760</v>
      </c>
      <c r="E266" s="10">
        <v>4</v>
      </c>
      <c r="F266" s="10">
        <v>0</v>
      </c>
      <c r="G266" s="10">
        <v>0</v>
      </c>
      <c r="H266" s="10">
        <v>4</v>
      </c>
      <c r="I266" s="10" t="s">
        <v>56</v>
      </c>
      <c r="J266" s="10">
        <v>33</v>
      </c>
      <c r="K266" s="10">
        <v>0</v>
      </c>
      <c r="L266" s="10">
        <v>0</v>
      </c>
      <c r="M266" s="10">
        <v>33</v>
      </c>
      <c r="N266" s="10" t="s">
        <v>761</v>
      </c>
      <c r="O266" s="10" t="s">
        <v>353</v>
      </c>
      <c r="P266" s="105">
        <f t="shared" si="4"/>
        <v>8.25</v>
      </c>
    </row>
    <row r="267" spans="1:16">
      <c r="A267" s="10" t="s">
        <v>635</v>
      </c>
      <c r="B267" s="10">
        <v>1500939</v>
      </c>
      <c r="C267" s="10" t="s">
        <v>759</v>
      </c>
      <c r="D267" s="10" t="s">
        <v>760</v>
      </c>
      <c r="E267" s="10">
        <v>0</v>
      </c>
      <c r="F267" s="10">
        <v>0</v>
      </c>
      <c r="G267" s="10">
        <v>0</v>
      </c>
      <c r="H267" s="10">
        <v>0</v>
      </c>
      <c r="I267" s="10" t="s">
        <v>67</v>
      </c>
      <c r="J267" s="10">
        <v>0</v>
      </c>
      <c r="K267" s="10">
        <v>0</v>
      </c>
      <c r="L267" s="10">
        <v>0</v>
      </c>
      <c r="M267" s="10">
        <v>0</v>
      </c>
      <c r="N267" s="10" t="s">
        <v>761</v>
      </c>
      <c r="O267" s="10" t="s">
        <v>892</v>
      </c>
      <c r="P267" s="105" t="e">
        <f t="shared" si="4"/>
        <v>#DIV/0!</v>
      </c>
    </row>
    <row r="268" spans="1:16">
      <c r="A268" s="10" t="s">
        <v>635</v>
      </c>
      <c r="B268" s="10">
        <v>1500940</v>
      </c>
      <c r="C268" s="10" t="s">
        <v>759</v>
      </c>
      <c r="D268" s="10" t="s">
        <v>760</v>
      </c>
      <c r="E268" s="10">
        <v>0</v>
      </c>
      <c r="F268" s="10">
        <v>0</v>
      </c>
      <c r="G268" s="10">
        <v>0</v>
      </c>
      <c r="H268" s="10">
        <v>0</v>
      </c>
      <c r="I268" s="10" t="s">
        <v>67</v>
      </c>
      <c r="J268" s="10">
        <v>0</v>
      </c>
      <c r="K268" s="10">
        <v>0</v>
      </c>
      <c r="L268" s="10">
        <v>0</v>
      </c>
      <c r="M268" s="10">
        <v>0</v>
      </c>
      <c r="N268" s="10" t="s">
        <v>761</v>
      </c>
      <c r="O268" s="10" t="s">
        <v>893</v>
      </c>
      <c r="P268" s="105" t="e">
        <f t="shared" si="4"/>
        <v>#DIV/0!</v>
      </c>
    </row>
    <row r="269" spans="1:16">
      <c r="A269" s="10" t="s">
        <v>635</v>
      </c>
      <c r="B269" s="10">
        <v>1500943</v>
      </c>
      <c r="C269" s="10" t="s">
        <v>759</v>
      </c>
      <c r="D269" s="10" t="s">
        <v>760</v>
      </c>
      <c r="E269" s="10">
        <v>0</v>
      </c>
      <c r="F269" s="10">
        <v>0</v>
      </c>
      <c r="G269" s="10">
        <v>0</v>
      </c>
      <c r="H269" s="10">
        <v>0</v>
      </c>
      <c r="I269" s="10" t="s">
        <v>177</v>
      </c>
      <c r="J269" s="10">
        <v>0</v>
      </c>
      <c r="K269" s="10">
        <v>0</v>
      </c>
      <c r="L269" s="10">
        <v>0</v>
      </c>
      <c r="M269" s="10">
        <v>0</v>
      </c>
      <c r="N269" s="10" t="s">
        <v>761</v>
      </c>
      <c r="O269" s="10" t="s">
        <v>894</v>
      </c>
      <c r="P269" s="105" t="e">
        <f t="shared" si="4"/>
        <v>#DIV/0!</v>
      </c>
    </row>
    <row r="270" spans="1:16">
      <c r="A270" s="10" t="s">
        <v>635</v>
      </c>
      <c r="B270" s="10">
        <v>1500944</v>
      </c>
      <c r="C270" s="10" t="s">
        <v>759</v>
      </c>
      <c r="D270" s="10" t="s">
        <v>760</v>
      </c>
      <c r="E270" s="10">
        <v>0</v>
      </c>
      <c r="F270" s="10">
        <v>0</v>
      </c>
      <c r="G270" s="10">
        <v>0</v>
      </c>
      <c r="H270" s="10">
        <v>0</v>
      </c>
      <c r="I270" s="10" t="s">
        <v>177</v>
      </c>
      <c r="J270" s="10">
        <v>0</v>
      </c>
      <c r="K270" s="10">
        <v>0</v>
      </c>
      <c r="L270" s="10">
        <v>0</v>
      </c>
      <c r="M270" s="10">
        <v>0</v>
      </c>
      <c r="N270" s="10" t="s">
        <v>761</v>
      </c>
      <c r="O270" s="10" t="s">
        <v>673</v>
      </c>
      <c r="P270" s="105" t="e">
        <f t="shared" si="4"/>
        <v>#DIV/0!</v>
      </c>
    </row>
    <row r="271" spans="1:16">
      <c r="A271" s="10" t="s">
        <v>635</v>
      </c>
      <c r="B271" s="10">
        <v>1500945</v>
      </c>
      <c r="C271" s="10" t="s">
        <v>759</v>
      </c>
      <c r="D271" s="10" t="s">
        <v>760</v>
      </c>
      <c r="E271" s="10">
        <v>0</v>
      </c>
      <c r="F271" s="10">
        <v>0</v>
      </c>
      <c r="G271" s="10">
        <v>0</v>
      </c>
      <c r="H271" s="10">
        <v>0</v>
      </c>
      <c r="I271" s="10" t="s">
        <v>30</v>
      </c>
      <c r="J271" s="10">
        <v>0</v>
      </c>
      <c r="K271" s="10">
        <v>0</v>
      </c>
      <c r="L271" s="10">
        <v>0</v>
      </c>
      <c r="M271" s="10">
        <v>0</v>
      </c>
      <c r="N271" s="10" t="s">
        <v>761</v>
      </c>
      <c r="O271" s="10" t="s">
        <v>895</v>
      </c>
      <c r="P271" s="105" t="e">
        <f t="shared" si="4"/>
        <v>#DIV/0!</v>
      </c>
    </row>
    <row r="272" spans="1:16">
      <c r="A272" s="10" t="s">
        <v>635</v>
      </c>
      <c r="B272" s="10">
        <v>1500948</v>
      </c>
      <c r="C272" s="10" t="s">
        <v>759</v>
      </c>
      <c r="D272" s="10" t="s">
        <v>760</v>
      </c>
      <c r="E272" s="10">
        <v>0</v>
      </c>
      <c r="F272" s="10">
        <v>0</v>
      </c>
      <c r="G272" s="10">
        <v>0</v>
      </c>
      <c r="H272" s="10">
        <v>0</v>
      </c>
      <c r="I272" s="10" t="s">
        <v>21</v>
      </c>
      <c r="J272" s="10">
        <v>0</v>
      </c>
      <c r="K272" s="10">
        <v>0</v>
      </c>
      <c r="L272" s="10">
        <v>0</v>
      </c>
      <c r="M272" s="10">
        <v>0</v>
      </c>
      <c r="N272" s="10" t="s">
        <v>761</v>
      </c>
      <c r="O272" s="10" t="s">
        <v>896</v>
      </c>
      <c r="P272" s="105" t="e">
        <f t="shared" si="4"/>
        <v>#DIV/0!</v>
      </c>
    </row>
    <row r="273" spans="1:16">
      <c r="A273" s="10" t="s">
        <v>635</v>
      </c>
      <c r="B273" s="10">
        <v>1500949</v>
      </c>
      <c r="C273" s="10" t="s">
        <v>759</v>
      </c>
      <c r="D273" s="10" t="s">
        <v>760</v>
      </c>
      <c r="E273" s="10">
        <v>0</v>
      </c>
      <c r="F273" s="10">
        <v>0</v>
      </c>
      <c r="G273" s="10">
        <v>0</v>
      </c>
      <c r="H273" s="10">
        <v>0</v>
      </c>
      <c r="I273" s="10" t="s">
        <v>21</v>
      </c>
      <c r="J273" s="10">
        <v>0</v>
      </c>
      <c r="K273" s="10">
        <v>0</v>
      </c>
      <c r="L273" s="10">
        <v>0</v>
      </c>
      <c r="M273" s="10">
        <v>0</v>
      </c>
      <c r="N273" s="10" t="s">
        <v>761</v>
      </c>
      <c r="O273" s="10" t="s">
        <v>897</v>
      </c>
      <c r="P273" s="105" t="e">
        <f t="shared" si="4"/>
        <v>#DIV/0!</v>
      </c>
    </row>
    <row r="274" spans="1:16">
      <c r="A274" s="10" t="s">
        <v>635</v>
      </c>
      <c r="B274" s="10">
        <v>1500950</v>
      </c>
      <c r="C274" s="10" t="s">
        <v>759</v>
      </c>
      <c r="D274" s="10" t="s">
        <v>760</v>
      </c>
      <c r="E274" s="10">
        <v>0</v>
      </c>
      <c r="F274" s="10">
        <v>0</v>
      </c>
      <c r="G274" s="10">
        <v>0</v>
      </c>
      <c r="H274" s="10">
        <v>0</v>
      </c>
      <c r="I274" s="10" t="s">
        <v>21</v>
      </c>
      <c r="J274" s="10">
        <v>0</v>
      </c>
      <c r="K274" s="10">
        <v>0</v>
      </c>
      <c r="L274" s="10">
        <v>0</v>
      </c>
      <c r="M274" s="10">
        <v>0</v>
      </c>
      <c r="N274" s="10" t="s">
        <v>761</v>
      </c>
      <c r="O274" s="10" t="s">
        <v>898</v>
      </c>
      <c r="P274" s="105" t="e">
        <f t="shared" si="4"/>
        <v>#DIV/0!</v>
      </c>
    </row>
    <row r="275" spans="1:16">
      <c r="A275" s="10" t="s">
        <v>635</v>
      </c>
      <c r="B275" s="10">
        <v>1500951</v>
      </c>
      <c r="C275" s="10" t="s">
        <v>759</v>
      </c>
      <c r="D275" s="10" t="s">
        <v>760</v>
      </c>
      <c r="E275" s="10">
        <v>0</v>
      </c>
      <c r="F275" s="10">
        <v>0</v>
      </c>
      <c r="G275" s="10">
        <v>0</v>
      </c>
      <c r="H275" s="10">
        <v>0</v>
      </c>
      <c r="I275" s="10" t="s">
        <v>21</v>
      </c>
      <c r="J275" s="10">
        <v>0</v>
      </c>
      <c r="K275" s="10">
        <v>0</v>
      </c>
      <c r="L275" s="10">
        <v>0</v>
      </c>
      <c r="M275" s="10">
        <v>0</v>
      </c>
      <c r="N275" s="10" t="s">
        <v>761</v>
      </c>
      <c r="O275" s="10" t="s">
        <v>899</v>
      </c>
      <c r="P275" s="105" t="e">
        <f t="shared" si="4"/>
        <v>#DIV/0!</v>
      </c>
    </row>
    <row r="276" spans="1:16">
      <c r="A276" s="10" t="s">
        <v>635</v>
      </c>
      <c r="B276" s="10">
        <v>1500952</v>
      </c>
      <c r="C276" s="10" t="s">
        <v>759</v>
      </c>
      <c r="D276" s="10" t="s">
        <v>760</v>
      </c>
      <c r="E276" s="10">
        <v>0</v>
      </c>
      <c r="F276" s="10">
        <v>0</v>
      </c>
      <c r="G276" s="10">
        <v>0</v>
      </c>
      <c r="H276" s="10">
        <v>0</v>
      </c>
      <c r="I276" s="10" t="s">
        <v>21</v>
      </c>
      <c r="J276" s="10">
        <v>0</v>
      </c>
      <c r="K276" s="10">
        <v>0</v>
      </c>
      <c r="L276" s="10">
        <v>0</v>
      </c>
      <c r="M276" s="10">
        <v>0</v>
      </c>
      <c r="N276" s="10" t="s">
        <v>761</v>
      </c>
      <c r="O276" s="10" t="s">
        <v>900</v>
      </c>
      <c r="P276" s="105" t="e">
        <f t="shared" si="4"/>
        <v>#DIV/0!</v>
      </c>
    </row>
    <row r="277" spans="1:16">
      <c r="A277" s="10" t="s">
        <v>635</v>
      </c>
      <c r="B277" s="10">
        <v>1500953</v>
      </c>
      <c r="C277" s="10" t="s">
        <v>759</v>
      </c>
      <c r="D277" s="10" t="s">
        <v>760</v>
      </c>
      <c r="E277" s="10">
        <v>0</v>
      </c>
      <c r="F277" s="10">
        <v>0</v>
      </c>
      <c r="G277" s="10">
        <v>0</v>
      </c>
      <c r="H277" s="10">
        <v>0</v>
      </c>
      <c r="I277" s="10" t="s">
        <v>26</v>
      </c>
      <c r="J277" s="10">
        <v>0</v>
      </c>
      <c r="K277" s="10">
        <v>0</v>
      </c>
      <c r="L277" s="10">
        <v>0</v>
      </c>
      <c r="M277" s="10">
        <v>0</v>
      </c>
      <c r="N277" s="10" t="s">
        <v>761</v>
      </c>
      <c r="O277" s="10" t="s">
        <v>901</v>
      </c>
      <c r="P277" s="105" t="e">
        <f t="shared" si="4"/>
        <v>#DIV/0!</v>
      </c>
    </row>
    <row r="278" spans="1:16">
      <c r="A278" s="10" t="s">
        <v>635</v>
      </c>
      <c r="B278" s="10">
        <v>1500954</v>
      </c>
      <c r="C278" s="10" t="s">
        <v>759</v>
      </c>
      <c r="D278" s="10" t="s">
        <v>760</v>
      </c>
      <c r="E278" s="10">
        <v>0</v>
      </c>
      <c r="F278" s="10">
        <v>0</v>
      </c>
      <c r="G278" s="10">
        <v>0</v>
      </c>
      <c r="H278" s="10">
        <v>0</v>
      </c>
      <c r="I278" s="10" t="s">
        <v>21</v>
      </c>
      <c r="J278" s="10">
        <v>0</v>
      </c>
      <c r="K278" s="10">
        <v>0</v>
      </c>
      <c r="L278" s="10">
        <v>0</v>
      </c>
      <c r="M278" s="10">
        <v>0</v>
      </c>
      <c r="N278" s="10" t="s">
        <v>761</v>
      </c>
      <c r="O278" s="10" t="s">
        <v>902</v>
      </c>
      <c r="P278" s="105" t="e">
        <f t="shared" si="4"/>
        <v>#DIV/0!</v>
      </c>
    </row>
    <row r="279" spans="1:16">
      <c r="A279" s="10" t="s">
        <v>635</v>
      </c>
      <c r="B279" s="10">
        <v>1500955</v>
      </c>
      <c r="C279" s="10" t="s">
        <v>759</v>
      </c>
      <c r="D279" s="10" t="s">
        <v>760</v>
      </c>
      <c r="E279" s="10">
        <v>0</v>
      </c>
      <c r="F279" s="10">
        <v>0</v>
      </c>
      <c r="G279" s="10">
        <v>0</v>
      </c>
      <c r="H279" s="10">
        <v>0</v>
      </c>
      <c r="I279" s="10" t="s">
        <v>21</v>
      </c>
      <c r="J279" s="10">
        <v>0</v>
      </c>
      <c r="K279" s="10">
        <v>0</v>
      </c>
      <c r="L279" s="10">
        <v>0</v>
      </c>
      <c r="M279" s="10">
        <v>0</v>
      </c>
      <c r="N279" s="10" t="s">
        <v>761</v>
      </c>
      <c r="O279" s="10" t="s">
        <v>903</v>
      </c>
      <c r="P279" s="105" t="e">
        <f t="shared" si="4"/>
        <v>#DIV/0!</v>
      </c>
    </row>
    <row r="280" spans="1:16">
      <c r="A280" s="10" t="s">
        <v>635</v>
      </c>
      <c r="B280" s="10">
        <v>1500957</v>
      </c>
      <c r="C280" s="10" t="s">
        <v>759</v>
      </c>
      <c r="D280" s="10" t="s">
        <v>760</v>
      </c>
      <c r="E280" s="10">
        <v>8</v>
      </c>
      <c r="F280" s="10">
        <v>16</v>
      </c>
      <c r="G280" s="10">
        <v>0</v>
      </c>
      <c r="H280" s="10">
        <v>24</v>
      </c>
      <c r="I280" s="10" t="s">
        <v>30</v>
      </c>
      <c r="J280" s="10">
        <v>80</v>
      </c>
      <c r="K280" s="10">
        <v>160</v>
      </c>
      <c r="L280" s="10">
        <v>0</v>
      </c>
      <c r="M280" s="10">
        <v>240</v>
      </c>
      <c r="N280" s="10" t="s">
        <v>761</v>
      </c>
      <c r="O280" s="10" t="s">
        <v>206</v>
      </c>
      <c r="P280" s="105">
        <f t="shared" si="4"/>
        <v>10</v>
      </c>
    </row>
    <row r="281" spans="1:16">
      <c r="A281" s="10" t="s">
        <v>635</v>
      </c>
      <c r="B281" s="10">
        <v>1500959</v>
      </c>
      <c r="C281" s="10" t="s">
        <v>759</v>
      </c>
      <c r="D281" s="10" t="s">
        <v>760</v>
      </c>
      <c r="E281" s="10">
        <v>0</v>
      </c>
      <c r="F281" s="10">
        <v>0</v>
      </c>
      <c r="G281" s="10">
        <v>0</v>
      </c>
      <c r="H281" s="10">
        <v>0</v>
      </c>
      <c r="I281" s="10" t="s">
        <v>67</v>
      </c>
      <c r="J281" s="10">
        <v>0</v>
      </c>
      <c r="K281" s="10">
        <v>0</v>
      </c>
      <c r="L281" s="10">
        <v>0</v>
      </c>
      <c r="M281" s="10">
        <v>0</v>
      </c>
      <c r="N281" s="10" t="s">
        <v>761</v>
      </c>
      <c r="O281" s="10" t="s">
        <v>904</v>
      </c>
      <c r="P281" s="105" t="e">
        <f t="shared" si="4"/>
        <v>#DIV/0!</v>
      </c>
    </row>
    <row r="282" spans="1:16">
      <c r="A282" s="10" t="s">
        <v>635</v>
      </c>
      <c r="B282" s="10">
        <v>1500960</v>
      </c>
      <c r="C282" s="10" t="s">
        <v>759</v>
      </c>
      <c r="D282" s="10" t="s">
        <v>760</v>
      </c>
      <c r="E282" s="10">
        <v>10</v>
      </c>
      <c r="F282" s="10">
        <v>20</v>
      </c>
      <c r="G282" s="10">
        <v>0</v>
      </c>
      <c r="H282" s="10">
        <v>30</v>
      </c>
      <c r="I282" s="10" t="s">
        <v>67</v>
      </c>
      <c r="J282" s="10">
        <v>95.26</v>
      </c>
      <c r="K282" s="10">
        <v>190</v>
      </c>
      <c r="L282" s="10">
        <v>0</v>
      </c>
      <c r="M282" s="10">
        <v>285.26</v>
      </c>
      <c r="N282" s="10" t="s">
        <v>761</v>
      </c>
      <c r="O282" s="10" t="s">
        <v>183</v>
      </c>
      <c r="P282" s="105">
        <f t="shared" si="4"/>
        <v>9.50866666666667</v>
      </c>
    </row>
    <row r="283" spans="1:16">
      <c r="A283" s="10" t="s">
        <v>635</v>
      </c>
      <c r="B283" s="10">
        <v>1500961</v>
      </c>
      <c r="C283" s="10" t="s">
        <v>759</v>
      </c>
      <c r="D283" s="10" t="s">
        <v>760</v>
      </c>
      <c r="E283" s="10">
        <v>10</v>
      </c>
      <c r="F283" s="10">
        <v>0</v>
      </c>
      <c r="G283" s="10">
        <v>0</v>
      </c>
      <c r="H283" s="10">
        <v>10</v>
      </c>
      <c r="I283" s="10" t="s">
        <v>67</v>
      </c>
      <c r="J283" s="10">
        <v>95</v>
      </c>
      <c r="K283" s="10">
        <v>0</v>
      </c>
      <c r="L283" s="10">
        <v>0</v>
      </c>
      <c r="M283" s="10">
        <v>95</v>
      </c>
      <c r="N283" s="10" t="s">
        <v>761</v>
      </c>
      <c r="O283" s="10" t="s">
        <v>332</v>
      </c>
      <c r="P283" s="105">
        <f t="shared" si="4"/>
        <v>9.5</v>
      </c>
    </row>
    <row r="284" spans="1:16">
      <c r="A284" s="10" t="s">
        <v>635</v>
      </c>
      <c r="B284" s="10">
        <v>1500963</v>
      </c>
      <c r="C284" s="10" t="s">
        <v>759</v>
      </c>
      <c r="D284" s="10" t="s">
        <v>760</v>
      </c>
      <c r="E284" s="103">
        <v>2000</v>
      </c>
      <c r="F284" s="103">
        <v>2000</v>
      </c>
      <c r="G284" s="10">
        <v>0</v>
      </c>
      <c r="H284" s="103">
        <v>4000</v>
      </c>
      <c r="I284" s="10" t="s">
        <v>21</v>
      </c>
      <c r="J284" s="10">
        <v>79</v>
      </c>
      <c r="K284" s="10">
        <v>79</v>
      </c>
      <c r="L284" s="10">
        <v>0</v>
      </c>
      <c r="M284" s="10">
        <v>158</v>
      </c>
      <c r="N284" s="10" t="s">
        <v>761</v>
      </c>
      <c r="O284" s="10" t="s">
        <v>238</v>
      </c>
      <c r="P284" s="105">
        <f t="shared" si="4"/>
        <v>0.0395</v>
      </c>
    </row>
    <row r="285" spans="1:16">
      <c r="A285" s="10" t="s">
        <v>635</v>
      </c>
      <c r="B285" s="10">
        <v>1500964</v>
      </c>
      <c r="C285" s="10" t="s">
        <v>759</v>
      </c>
      <c r="D285" s="10" t="s">
        <v>760</v>
      </c>
      <c r="E285" s="10">
        <v>0</v>
      </c>
      <c r="F285" s="10">
        <v>0</v>
      </c>
      <c r="G285" s="10">
        <v>0</v>
      </c>
      <c r="H285" s="10">
        <v>0</v>
      </c>
      <c r="I285" s="10" t="s">
        <v>21</v>
      </c>
      <c r="J285" s="10">
        <v>0</v>
      </c>
      <c r="K285" s="10">
        <v>0</v>
      </c>
      <c r="L285" s="10">
        <v>0</v>
      </c>
      <c r="M285" s="10">
        <v>0</v>
      </c>
      <c r="N285" s="10" t="s">
        <v>761</v>
      </c>
      <c r="O285" s="10" t="s">
        <v>905</v>
      </c>
      <c r="P285" s="105" t="e">
        <f t="shared" si="4"/>
        <v>#DIV/0!</v>
      </c>
    </row>
    <row r="286" spans="1:16">
      <c r="A286" s="10" t="s">
        <v>635</v>
      </c>
      <c r="B286" s="10">
        <v>1500965</v>
      </c>
      <c r="C286" s="10" t="s">
        <v>759</v>
      </c>
      <c r="D286" s="10" t="s">
        <v>760</v>
      </c>
      <c r="E286" s="10">
        <v>0</v>
      </c>
      <c r="F286" s="10">
        <v>0</v>
      </c>
      <c r="G286" s="10">
        <v>0</v>
      </c>
      <c r="H286" s="10">
        <v>0</v>
      </c>
      <c r="I286" s="10" t="s">
        <v>21</v>
      </c>
      <c r="J286" s="10">
        <v>0</v>
      </c>
      <c r="K286" s="10">
        <v>0</v>
      </c>
      <c r="L286" s="10">
        <v>0</v>
      </c>
      <c r="M286" s="10">
        <v>0</v>
      </c>
      <c r="N286" s="10" t="s">
        <v>761</v>
      </c>
      <c r="O286" s="10" t="s">
        <v>906</v>
      </c>
      <c r="P286" s="105" t="e">
        <f t="shared" si="4"/>
        <v>#DIV/0!</v>
      </c>
    </row>
    <row r="287" spans="1:16">
      <c r="A287" s="10" t="s">
        <v>635</v>
      </c>
      <c r="B287" s="10">
        <v>1500968</v>
      </c>
      <c r="C287" s="10" t="s">
        <v>759</v>
      </c>
      <c r="D287" s="10" t="s">
        <v>760</v>
      </c>
      <c r="E287" s="10">
        <v>0</v>
      </c>
      <c r="F287" s="10">
        <v>0</v>
      </c>
      <c r="G287" s="10">
        <v>0</v>
      </c>
      <c r="H287" s="10">
        <v>0</v>
      </c>
      <c r="I287" s="10" t="s">
        <v>33</v>
      </c>
      <c r="J287" s="10">
        <v>0</v>
      </c>
      <c r="K287" s="10">
        <v>0</v>
      </c>
      <c r="L287" s="10">
        <v>0</v>
      </c>
      <c r="M287" s="10">
        <v>0</v>
      </c>
      <c r="N287" s="10" t="s">
        <v>761</v>
      </c>
      <c r="O287" s="10" t="s">
        <v>907</v>
      </c>
      <c r="P287" s="105" t="e">
        <f t="shared" si="4"/>
        <v>#DIV/0!</v>
      </c>
    </row>
    <row r="288" spans="1:16">
      <c r="A288" s="10" t="s">
        <v>635</v>
      </c>
      <c r="B288" s="10">
        <v>1500969</v>
      </c>
      <c r="C288" s="10" t="s">
        <v>759</v>
      </c>
      <c r="D288" s="10" t="s">
        <v>760</v>
      </c>
      <c r="E288" s="10">
        <v>24</v>
      </c>
      <c r="F288" s="10">
        <v>0</v>
      </c>
      <c r="G288" s="10">
        <v>0</v>
      </c>
      <c r="H288" s="10">
        <v>24</v>
      </c>
      <c r="I288" s="10" t="s">
        <v>33</v>
      </c>
      <c r="J288" s="10">
        <v>185.89</v>
      </c>
      <c r="K288" s="10">
        <v>0</v>
      </c>
      <c r="L288" s="10">
        <v>0</v>
      </c>
      <c r="M288" s="10">
        <v>185.89</v>
      </c>
      <c r="N288" s="10" t="s">
        <v>761</v>
      </c>
      <c r="O288" s="10" t="s">
        <v>516</v>
      </c>
      <c r="P288" s="105">
        <f t="shared" si="4"/>
        <v>7.74541666666667</v>
      </c>
    </row>
    <row r="289" spans="1:16">
      <c r="A289" s="10" t="s">
        <v>635</v>
      </c>
      <c r="B289" s="10">
        <v>1500970</v>
      </c>
      <c r="C289" s="10" t="s">
        <v>759</v>
      </c>
      <c r="D289" s="10" t="s">
        <v>760</v>
      </c>
      <c r="E289" s="10">
        <v>0</v>
      </c>
      <c r="F289" s="10">
        <v>0</v>
      </c>
      <c r="G289" s="10">
        <v>0</v>
      </c>
      <c r="H289" s="10">
        <v>0</v>
      </c>
      <c r="I289" s="10" t="s">
        <v>21</v>
      </c>
      <c r="J289" s="10">
        <v>0</v>
      </c>
      <c r="K289" s="10">
        <v>0</v>
      </c>
      <c r="L289" s="10">
        <v>0</v>
      </c>
      <c r="M289" s="10">
        <v>0</v>
      </c>
      <c r="N289" s="10" t="s">
        <v>761</v>
      </c>
      <c r="O289" s="10" t="s">
        <v>908</v>
      </c>
      <c r="P289" s="105" t="e">
        <f t="shared" si="4"/>
        <v>#DIV/0!</v>
      </c>
    </row>
    <row r="290" spans="1:16">
      <c r="A290" s="10" t="s">
        <v>635</v>
      </c>
      <c r="B290" s="10">
        <v>1500972</v>
      </c>
      <c r="C290" s="10" t="s">
        <v>759</v>
      </c>
      <c r="D290" s="10" t="s">
        <v>760</v>
      </c>
      <c r="E290" s="10">
        <v>0</v>
      </c>
      <c r="F290" s="10">
        <v>0</v>
      </c>
      <c r="G290" s="10">
        <v>0</v>
      </c>
      <c r="H290" s="10">
        <v>0</v>
      </c>
      <c r="I290" s="10" t="s">
        <v>21</v>
      </c>
      <c r="J290" s="10">
        <v>0</v>
      </c>
      <c r="K290" s="10">
        <v>0</v>
      </c>
      <c r="L290" s="10">
        <v>0</v>
      </c>
      <c r="M290" s="10">
        <v>0</v>
      </c>
      <c r="N290" s="10" t="s">
        <v>761</v>
      </c>
      <c r="O290" s="10" t="s">
        <v>909</v>
      </c>
      <c r="P290" s="105" t="e">
        <f t="shared" si="4"/>
        <v>#DIV/0!</v>
      </c>
    </row>
    <row r="291" spans="1:16">
      <c r="A291" s="10" t="s">
        <v>635</v>
      </c>
      <c r="B291" s="10">
        <v>1500975</v>
      </c>
      <c r="C291" s="10" t="s">
        <v>759</v>
      </c>
      <c r="D291" s="10" t="s">
        <v>760</v>
      </c>
      <c r="E291" s="10">
        <v>0</v>
      </c>
      <c r="F291" s="10">
        <v>0</v>
      </c>
      <c r="G291" s="10">
        <v>0</v>
      </c>
      <c r="H291" s="10">
        <v>0</v>
      </c>
      <c r="I291" s="10" t="s">
        <v>30</v>
      </c>
      <c r="J291" s="10">
        <v>0</v>
      </c>
      <c r="K291" s="10">
        <v>0</v>
      </c>
      <c r="L291" s="10">
        <v>0</v>
      </c>
      <c r="M291" s="10">
        <v>0</v>
      </c>
      <c r="N291" s="10" t="s">
        <v>761</v>
      </c>
      <c r="O291" s="10" t="s">
        <v>910</v>
      </c>
      <c r="P291" s="105" t="e">
        <f t="shared" si="4"/>
        <v>#DIV/0!</v>
      </c>
    </row>
    <row r="292" spans="1:16">
      <c r="A292" s="10" t="s">
        <v>635</v>
      </c>
      <c r="B292" s="10">
        <v>1500976</v>
      </c>
      <c r="C292" s="10" t="s">
        <v>759</v>
      </c>
      <c r="D292" s="10" t="s">
        <v>760</v>
      </c>
      <c r="E292" s="10">
        <v>0</v>
      </c>
      <c r="F292" s="10">
        <v>0</v>
      </c>
      <c r="G292" s="10">
        <v>0</v>
      </c>
      <c r="H292" s="10">
        <v>0</v>
      </c>
      <c r="I292" s="10" t="s">
        <v>30</v>
      </c>
      <c r="J292" s="10">
        <v>0</v>
      </c>
      <c r="K292" s="10">
        <v>0</v>
      </c>
      <c r="L292" s="10">
        <v>0</v>
      </c>
      <c r="M292" s="10">
        <v>0</v>
      </c>
      <c r="N292" s="10" t="s">
        <v>761</v>
      </c>
      <c r="O292" s="10" t="s">
        <v>911</v>
      </c>
      <c r="P292" s="105" t="e">
        <f t="shared" si="4"/>
        <v>#DIV/0!</v>
      </c>
    </row>
    <row r="293" spans="1:16">
      <c r="A293" s="10" t="s">
        <v>635</v>
      </c>
      <c r="B293" s="10">
        <v>1500977</v>
      </c>
      <c r="C293" s="10" t="s">
        <v>759</v>
      </c>
      <c r="D293" s="10" t="s">
        <v>760</v>
      </c>
      <c r="E293" s="10">
        <v>0</v>
      </c>
      <c r="F293" s="10">
        <v>0</v>
      </c>
      <c r="G293" s="10">
        <v>0</v>
      </c>
      <c r="H293" s="10">
        <v>0</v>
      </c>
      <c r="I293" s="10" t="s">
        <v>37</v>
      </c>
      <c r="J293" s="10">
        <v>0</v>
      </c>
      <c r="K293" s="10">
        <v>0</v>
      </c>
      <c r="L293" s="10">
        <v>0</v>
      </c>
      <c r="M293" s="10">
        <v>0</v>
      </c>
      <c r="N293" s="10" t="s">
        <v>761</v>
      </c>
      <c r="O293" s="10" t="s">
        <v>912</v>
      </c>
      <c r="P293" s="105" t="e">
        <f t="shared" si="4"/>
        <v>#DIV/0!</v>
      </c>
    </row>
    <row r="294" spans="1:16">
      <c r="A294" s="10" t="s">
        <v>635</v>
      </c>
      <c r="B294" s="10">
        <v>1500978</v>
      </c>
      <c r="C294" s="10" t="s">
        <v>759</v>
      </c>
      <c r="D294" s="10" t="s">
        <v>760</v>
      </c>
      <c r="E294" s="10">
        <v>0</v>
      </c>
      <c r="F294" s="10">
        <v>0</v>
      </c>
      <c r="G294" s="10">
        <v>0</v>
      </c>
      <c r="H294" s="10">
        <v>0</v>
      </c>
      <c r="I294" s="10" t="s">
        <v>67</v>
      </c>
      <c r="J294" s="10">
        <v>0</v>
      </c>
      <c r="K294" s="10">
        <v>0</v>
      </c>
      <c r="L294" s="10">
        <v>0</v>
      </c>
      <c r="M294" s="10">
        <v>0</v>
      </c>
      <c r="N294" s="10" t="s">
        <v>761</v>
      </c>
      <c r="O294" s="10" t="s">
        <v>913</v>
      </c>
      <c r="P294" s="105" t="e">
        <f t="shared" si="4"/>
        <v>#DIV/0!</v>
      </c>
    </row>
    <row r="295" spans="1:16">
      <c r="A295" s="10" t="s">
        <v>635</v>
      </c>
      <c r="B295" s="10">
        <v>1500979</v>
      </c>
      <c r="C295" s="10" t="s">
        <v>759</v>
      </c>
      <c r="D295" s="10" t="s">
        <v>760</v>
      </c>
      <c r="E295" s="10">
        <v>6</v>
      </c>
      <c r="F295" s="10">
        <v>33</v>
      </c>
      <c r="G295" s="10">
        <v>0</v>
      </c>
      <c r="H295" s="10">
        <v>39</v>
      </c>
      <c r="I295" s="10" t="s">
        <v>67</v>
      </c>
      <c r="J295" s="10">
        <v>110.57</v>
      </c>
      <c r="K295" s="10">
        <v>641.22</v>
      </c>
      <c r="L295" s="10">
        <v>0</v>
      </c>
      <c r="M295" s="10">
        <v>751.79</v>
      </c>
      <c r="N295" s="10" t="s">
        <v>761</v>
      </c>
      <c r="O295" s="10" t="s">
        <v>65</v>
      </c>
      <c r="P295" s="105">
        <f t="shared" si="4"/>
        <v>19.2766666666667</v>
      </c>
    </row>
    <row r="296" spans="1:16">
      <c r="A296" s="10" t="s">
        <v>635</v>
      </c>
      <c r="B296" s="10">
        <v>1500980</v>
      </c>
      <c r="C296" s="10" t="s">
        <v>759</v>
      </c>
      <c r="D296" s="10" t="s">
        <v>760</v>
      </c>
      <c r="E296" s="10">
        <v>0</v>
      </c>
      <c r="F296" s="10">
        <v>14</v>
      </c>
      <c r="G296" s="10">
        <v>0</v>
      </c>
      <c r="H296" s="10">
        <v>14</v>
      </c>
      <c r="I296" s="10" t="s">
        <v>213</v>
      </c>
      <c r="J296" s="10">
        <v>0</v>
      </c>
      <c r="K296" s="10">
        <v>238</v>
      </c>
      <c r="L296" s="10">
        <v>0</v>
      </c>
      <c r="M296" s="10">
        <v>238</v>
      </c>
      <c r="N296" s="10" t="s">
        <v>761</v>
      </c>
      <c r="O296" s="10" t="s">
        <v>526</v>
      </c>
      <c r="P296" s="105">
        <f t="shared" si="4"/>
        <v>17</v>
      </c>
    </row>
    <row r="297" spans="1:16">
      <c r="A297" s="10" t="s">
        <v>635</v>
      </c>
      <c r="B297" s="10">
        <v>1500981</v>
      </c>
      <c r="C297" s="10" t="s">
        <v>759</v>
      </c>
      <c r="D297" s="10" t="s">
        <v>760</v>
      </c>
      <c r="E297" s="10">
        <v>0</v>
      </c>
      <c r="F297" s="10">
        <v>0</v>
      </c>
      <c r="G297" s="10">
        <v>0</v>
      </c>
      <c r="H297" s="10">
        <v>0</v>
      </c>
      <c r="I297" s="10" t="s">
        <v>37</v>
      </c>
      <c r="J297" s="10">
        <v>0</v>
      </c>
      <c r="K297" s="10">
        <v>0</v>
      </c>
      <c r="L297" s="10">
        <v>0</v>
      </c>
      <c r="M297" s="10">
        <v>0</v>
      </c>
      <c r="N297" s="10" t="s">
        <v>761</v>
      </c>
      <c r="O297" s="10" t="s">
        <v>914</v>
      </c>
      <c r="P297" s="105" t="e">
        <f t="shared" si="4"/>
        <v>#DIV/0!</v>
      </c>
    </row>
    <row r="298" spans="1:16">
      <c r="A298" s="10" t="s">
        <v>635</v>
      </c>
      <c r="B298" s="10">
        <v>1500982</v>
      </c>
      <c r="C298" s="10" t="s">
        <v>759</v>
      </c>
      <c r="D298" s="10" t="s">
        <v>760</v>
      </c>
      <c r="E298" s="10">
        <v>0</v>
      </c>
      <c r="F298" s="10">
        <v>22.8</v>
      </c>
      <c r="G298" s="10">
        <v>0</v>
      </c>
      <c r="H298" s="10">
        <v>22.8</v>
      </c>
      <c r="I298" s="10" t="s">
        <v>37</v>
      </c>
      <c r="J298" s="10">
        <v>0</v>
      </c>
      <c r="K298" s="10">
        <v>40.75</v>
      </c>
      <c r="L298" s="10">
        <v>0</v>
      </c>
      <c r="M298" s="10">
        <v>40.75</v>
      </c>
      <c r="N298" s="10" t="s">
        <v>761</v>
      </c>
      <c r="O298" s="10" t="s">
        <v>441</v>
      </c>
      <c r="P298" s="105">
        <f t="shared" si="4"/>
        <v>1.78728070175439</v>
      </c>
    </row>
    <row r="299" spans="1:16">
      <c r="A299" s="10" t="s">
        <v>635</v>
      </c>
      <c r="B299" s="10">
        <v>1500983</v>
      </c>
      <c r="C299" s="10" t="s">
        <v>759</v>
      </c>
      <c r="D299" s="10" t="s">
        <v>760</v>
      </c>
      <c r="E299" s="10">
        <v>0</v>
      </c>
      <c r="F299" s="10">
        <v>15.6</v>
      </c>
      <c r="G299" s="10">
        <v>0</v>
      </c>
      <c r="H299" s="10">
        <v>15.6</v>
      </c>
      <c r="I299" s="10" t="s">
        <v>37</v>
      </c>
      <c r="J299" s="10">
        <v>0</v>
      </c>
      <c r="K299" s="10">
        <v>22.36</v>
      </c>
      <c r="L299" s="10">
        <v>0</v>
      </c>
      <c r="M299" s="10">
        <v>22.36</v>
      </c>
      <c r="N299" s="10" t="s">
        <v>761</v>
      </c>
      <c r="O299" s="10" t="s">
        <v>550</v>
      </c>
      <c r="P299" s="105">
        <f t="shared" si="4"/>
        <v>1.43333333333333</v>
      </c>
    </row>
    <row r="300" spans="1:16">
      <c r="A300" s="10" t="s">
        <v>635</v>
      </c>
      <c r="B300" s="10">
        <v>1500984</v>
      </c>
      <c r="C300" s="10" t="s">
        <v>759</v>
      </c>
      <c r="D300" s="10" t="s">
        <v>760</v>
      </c>
      <c r="E300" s="10">
        <v>5</v>
      </c>
      <c r="F300" s="10">
        <v>45</v>
      </c>
      <c r="G300" s="10">
        <v>0</v>
      </c>
      <c r="H300" s="10">
        <v>50</v>
      </c>
      <c r="I300" s="10" t="s">
        <v>74</v>
      </c>
      <c r="J300" s="10">
        <v>21.85</v>
      </c>
      <c r="K300" s="10">
        <v>114</v>
      </c>
      <c r="L300" s="10">
        <v>0</v>
      </c>
      <c r="M300" s="10">
        <v>135.85</v>
      </c>
      <c r="N300" s="10" t="s">
        <v>761</v>
      </c>
      <c r="O300" s="10" t="s">
        <v>75</v>
      </c>
      <c r="P300" s="105">
        <f t="shared" si="4"/>
        <v>2.717</v>
      </c>
    </row>
    <row r="301" spans="1:16">
      <c r="A301" s="10" t="s">
        <v>635</v>
      </c>
      <c r="B301" s="10">
        <v>1500986</v>
      </c>
      <c r="C301" s="10" t="s">
        <v>759</v>
      </c>
      <c r="D301" s="10" t="s">
        <v>760</v>
      </c>
      <c r="E301" s="10">
        <v>0</v>
      </c>
      <c r="F301" s="10">
        <v>0</v>
      </c>
      <c r="G301" s="10">
        <v>0</v>
      </c>
      <c r="H301" s="10">
        <v>0</v>
      </c>
      <c r="I301" s="10" t="s">
        <v>21</v>
      </c>
      <c r="J301" s="10">
        <v>0</v>
      </c>
      <c r="K301" s="10">
        <v>0</v>
      </c>
      <c r="L301" s="10">
        <v>0</v>
      </c>
      <c r="M301" s="10">
        <v>0</v>
      </c>
      <c r="N301" s="10" t="s">
        <v>761</v>
      </c>
      <c r="O301" s="10" t="s">
        <v>915</v>
      </c>
      <c r="P301" s="105" t="e">
        <f t="shared" si="4"/>
        <v>#DIV/0!</v>
      </c>
    </row>
    <row r="302" spans="1:16">
      <c r="A302" s="10" t="s">
        <v>635</v>
      </c>
      <c r="B302" s="10">
        <v>1500987</v>
      </c>
      <c r="C302" s="10" t="s">
        <v>759</v>
      </c>
      <c r="D302" s="10" t="s">
        <v>760</v>
      </c>
      <c r="E302" s="10">
        <v>0</v>
      </c>
      <c r="F302" s="10">
        <v>308</v>
      </c>
      <c r="G302" s="10">
        <v>-54</v>
      </c>
      <c r="H302" s="10">
        <v>254</v>
      </c>
      <c r="I302" s="10" t="s">
        <v>37</v>
      </c>
      <c r="J302" s="10">
        <v>0</v>
      </c>
      <c r="K302" s="10">
        <v>895</v>
      </c>
      <c r="L302" s="10">
        <v>-163.79</v>
      </c>
      <c r="M302" s="10">
        <v>731.21</v>
      </c>
      <c r="N302" s="10" t="s">
        <v>761</v>
      </c>
      <c r="O302" s="10" t="s">
        <v>500</v>
      </c>
      <c r="P302" s="105">
        <f t="shared" si="4"/>
        <v>2.87877952755906</v>
      </c>
    </row>
    <row r="303" spans="1:16">
      <c r="A303" s="10" t="s">
        <v>635</v>
      </c>
      <c r="B303" s="10">
        <v>1500988</v>
      </c>
      <c r="C303" s="10" t="s">
        <v>759</v>
      </c>
      <c r="D303" s="10" t="s">
        <v>760</v>
      </c>
      <c r="E303" s="10">
        <v>0</v>
      </c>
      <c r="F303" s="10">
        <v>0</v>
      </c>
      <c r="G303" s="10">
        <v>0</v>
      </c>
      <c r="H303" s="10">
        <v>0</v>
      </c>
      <c r="I303" s="10" t="s">
        <v>37</v>
      </c>
      <c r="J303" s="10">
        <v>0</v>
      </c>
      <c r="K303" s="10">
        <v>0</v>
      </c>
      <c r="L303" s="10">
        <v>0</v>
      </c>
      <c r="M303" s="10">
        <v>0</v>
      </c>
      <c r="N303" s="10" t="s">
        <v>761</v>
      </c>
      <c r="O303" s="10" t="s">
        <v>916</v>
      </c>
      <c r="P303" s="105" t="e">
        <f t="shared" si="4"/>
        <v>#DIV/0!</v>
      </c>
    </row>
    <row r="304" spans="1:16">
      <c r="A304" s="10" t="s">
        <v>635</v>
      </c>
      <c r="B304" s="10">
        <v>1500989</v>
      </c>
      <c r="C304" s="10" t="s">
        <v>759</v>
      </c>
      <c r="D304" s="10" t="s">
        <v>760</v>
      </c>
      <c r="E304" s="10">
        <v>0</v>
      </c>
      <c r="F304" s="10">
        <v>0</v>
      </c>
      <c r="G304" s="10">
        <v>0</v>
      </c>
      <c r="H304" s="10">
        <v>0</v>
      </c>
      <c r="I304" s="10" t="s">
        <v>37</v>
      </c>
      <c r="J304" s="10">
        <v>0</v>
      </c>
      <c r="K304" s="10">
        <v>0</v>
      </c>
      <c r="L304" s="10">
        <v>0</v>
      </c>
      <c r="M304" s="10">
        <v>0</v>
      </c>
      <c r="N304" s="10" t="s">
        <v>761</v>
      </c>
      <c r="O304" s="10" t="s">
        <v>917</v>
      </c>
      <c r="P304" s="105" t="e">
        <f t="shared" si="4"/>
        <v>#DIV/0!</v>
      </c>
    </row>
    <row r="305" spans="1:16">
      <c r="A305" s="10" t="s">
        <v>635</v>
      </c>
      <c r="B305" s="10">
        <v>1500990</v>
      </c>
      <c r="C305" s="10" t="s">
        <v>759</v>
      </c>
      <c r="D305" s="10" t="s">
        <v>760</v>
      </c>
      <c r="E305" s="10">
        <v>0</v>
      </c>
      <c r="F305" s="10">
        <v>0</v>
      </c>
      <c r="G305" s="10">
        <v>0</v>
      </c>
      <c r="H305" s="10">
        <v>0</v>
      </c>
      <c r="I305" s="10" t="s">
        <v>37</v>
      </c>
      <c r="J305" s="10">
        <v>0</v>
      </c>
      <c r="K305" s="10">
        <v>0</v>
      </c>
      <c r="L305" s="10">
        <v>0</v>
      </c>
      <c r="M305" s="10">
        <v>0</v>
      </c>
      <c r="N305" s="10" t="s">
        <v>761</v>
      </c>
      <c r="O305" s="10" t="s">
        <v>918</v>
      </c>
      <c r="P305" s="105" t="e">
        <f t="shared" si="4"/>
        <v>#DIV/0!</v>
      </c>
    </row>
    <row r="306" spans="1:16">
      <c r="A306" s="10" t="s">
        <v>635</v>
      </c>
      <c r="B306" s="10">
        <v>1500995</v>
      </c>
      <c r="C306" s="10" t="s">
        <v>759</v>
      </c>
      <c r="D306" s="10" t="s">
        <v>760</v>
      </c>
      <c r="E306" s="10">
        <v>0</v>
      </c>
      <c r="F306" s="10">
        <v>0</v>
      </c>
      <c r="G306" s="10">
        <v>0</v>
      </c>
      <c r="H306" s="10">
        <v>0</v>
      </c>
      <c r="I306" s="10" t="s">
        <v>37</v>
      </c>
      <c r="J306" s="10">
        <v>0</v>
      </c>
      <c r="K306" s="10">
        <v>0</v>
      </c>
      <c r="L306" s="10">
        <v>0</v>
      </c>
      <c r="M306" s="10">
        <v>0</v>
      </c>
      <c r="N306" s="10" t="s">
        <v>761</v>
      </c>
      <c r="O306" s="10" t="s">
        <v>919</v>
      </c>
      <c r="P306" s="105" t="e">
        <f t="shared" si="4"/>
        <v>#DIV/0!</v>
      </c>
    </row>
    <row r="307" spans="1:16">
      <c r="A307" s="10" t="s">
        <v>635</v>
      </c>
      <c r="B307" s="10">
        <v>1500996</v>
      </c>
      <c r="C307" s="10" t="s">
        <v>759</v>
      </c>
      <c r="D307" s="10" t="s">
        <v>760</v>
      </c>
      <c r="E307" s="10">
        <v>0</v>
      </c>
      <c r="F307" s="10">
        <v>98.52</v>
      </c>
      <c r="G307" s="10">
        <v>-60.05</v>
      </c>
      <c r="H307" s="10">
        <v>38.47</v>
      </c>
      <c r="I307" s="10" t="s">
        <v>74</v>
      </c>
      <c r="J307" s="10">
        <v>0</v>
      </c>
      <c r="K307" s="103">
        <v>1645.29</v>
      </c>
      <c r="L307" s="103">
        <v>-1002.84</v>
      </c>
      <c r="M307" s="10">
        <v>642.45</v>
      </c>
      <c r="N307" s="10" t="s">
        <v>761</v>
      </c>
      <c r="O307" s="10" t="s">
        <v>454</v>
      </c>
      <c r="P307" s="105">
        <f t="shared" si="4"/>
        <v>16.7000259942813</v>
      </c>
    </row>
    <row r="308" spans="1:16">
      <c r="A308" s="10" t="s">
        <v>635</v>
      </c>
      <c r="B308" s="10">
        <v>1500997</v>
      </c>
      <c r="C308" s="10" t="s">
        <v>759</v>
      </c>
      <c r="D308" s="10" t="s">
        <v>760</v>
      </c>
      <c r="E308" s="10">
        <v>0</v>
      </c>
      <c r="F308" s="10">
        <v>0</v>
      </c>
      <c r="G308" s="10">
        <v>0</v>
      </c>
      <c r="H308" s="10">
        <v>0</v>
      </c>
      <c r="I308" s="10" t="s">
        <v>37</v>
      </c>
      <c r="J308" s="10">
        <v>0</v>
      </c>
      <c r="K308" s="10">
        <v>0</v>
      </c>
      <c r="L308" s="10">
        <v>0</v>
      </c>
      <c r="M308" s="10">
        <v>0</v>
      </c>
      <c r="N308" s="10" t="s">
        <v>761</v>
      </c>
      <c r="O308" s="10" t="s">
        <v>920</v>
      </c>
      <c r="P308" s="105" t="e">
        <f t="shared" si="4"/>
        <v>#DIV/0!</v>
      </c>
    </row>
    <row r="309" spans="1:16">
      <c r="A309" s="10" t="s">
        <v>635</v>
      </c>
      <c r="B309" s="10">
        <v>1500998</v>
      </c>
      <c r="C309" s="10" t="s">
        <v>759</v>
      </c>
      <c r="D309" s="10" t="s">
        <v>760</v>
      </c>
      <c r="E309" s="10">
        <v>11</v>
      </c>
      <c r="F309" s="10">
        <v>0</v>
      </c>
      <c r="G309" s="10">
        <v>0</v>
      </c>
      <c r="H309" s="10">
        <v>11</v>
      </c>
      <c r="I309" s="10" t="s">
        <v>33</v>
      </c>
      <c r="J309" s="10">
        <v>66.92</v>
      </c>
      <c r="K309" s="10">
        <v>0</v>
      </c>
      <c r="L309" s="10">
        <v>0</v>
      </c>
      <c r="M309" s="10">
        <v>66.92</v>
      </c>
      <c r="N309" s="10" t="s">
        <v>761</v>
      </c>
      <c r="O309" s="10" t="s">
        <v>592</v>
      </c>
      <c r="P309" s="105">
        <f t="shared" si="4"/>
        <v>6.08363636363636</v>
      </c>
    </row>
    <row r="310" spans="1:16">
      <c r="A310" s="10" t="s">
        <v>635</v>
      </c>
      <c r="B310" s="10">
        <v>1500999</v>
      </c>
      <c r="C310" s="10" t="s">
        <v>759</v>
      </c>
      <c r="D310" s="10" t="s">
        <v>760</v>
      </c>
      <c r="E310" s="10">
        <v>0</v>
      </c>
      <c r="F310" s="10">
        <v>0</v>
      </c>
      <c r="G310" s="10">
        <v>0</v>
      </c>
      <c r="H310" s="10">
        <v>0</v>
      </c>
      <c r="I310" s="10" t="s">
        <v>56</v>
      </c>
      <c r="J310" s="10">
        <v>0</v>
      </c>
      <c r="K310" s="10">
        <v>0</v>
      </c>
      <c r="L310" s="10">
        <v>0</v>
      </c>
      <c r="M310" s="10">
        <v>0</v>
      </c>
      <c r="N310" s="10" t="s">
        <v>761</v>
      </c>
      <c r="O310" s="10" t="s">
        <v>921</v>
      </c>
      <c r="P310" s="105" t="e">
        <f t="shared" si="4"/>
        <v>#DIV/0!</v>
      </c>
    </row>
    <row r="311" spans="1:16">
      <c r="A311" s="10" t="s">
        <v>635</v>
      </c>
      <c r="B311" s="10">
        <v>1501000</v>
      </c>
      <c r="C311" s="10" t="s">
        <v>759</v>
      </c>
      <c r="D311" s="10" t="s">
        <v>760</v>
      </c>
      <c r="E311" s="103">
        <v>6000</v>
      </c>
      <c r="F311" s="103">
        <v>13000</v>
      </c>
      <c r="G311" s="10">
        <v>0</v>
      </c>
      <c r="H311" s="103">
        <v>19000</v>
      </c>
      <c r="I311" s="10" t="s">
        <v>21</v>
      </c>
      <c r="J311" s="10">
        <v>232.8</v>
      </c>
      <c r="K311" s="10">
        <v>513.5</v>
      </c>
      <c r="L311" s="10">
        <v>0</v>
      </c>
      <c r="M311" s="10">
        <v>746.3</v>
      </c>
      <c r="N311" s="10" t="s">
        <v>761</v>
      </c>
      <c r="O311" s="10" t="s">
        <v>64</v>
      </c>
      <c r="P311" s="105">
        <f t="shared" si="4"/>
        <v>0.0392789473684211</v>
      </c>
    </row>
    <row r="312" spans="1:16">
      <c r="A312" s="10" t="s">
        <v>635</v>
      </c>
      <c r="B312" s="10">
        <v>1501001</v>
      </c>
      <c r="C312" s="10" t="s">
        <v>759</v>
      </c>
      <c r="D312" s="10" t="s">
        <v>760</v>
      </c>
      <c r="E312" s="10">
        <v>900</v>
      </c>
      <c r="F312" s="103">
        <v>2700</v>
      </c>
      <c r="G312" s="10">
        <v>0</v>
      </c>
      <c r="H312" s="103">
        <v>3600</v>
      </c>
      <c r="I312" s="10" t="s">
        <v>21</v>
      </c>
      <c r="J312" s="10">
        <v>86</v>
      </c>
      <c r="K312" s="10">
        <v>258</v>
      </c>
      <c r="L312" s="10">
        <v>0</v>
      </c>
      <c r="M312" s="10">
        <v>344</v>
      </c>
      <c r="N312" s="10" t="s">
        <v>761</v>
      </c>
      <c r="O312" s="10" t="s">
        <v>141</v>
      </c>
      <c r="P312" s="105">
        <f t="shared" si="4"/>
        <v>0.0955555555555556</v>
      </c>
    </row>
    <row r="313" spans="1:16">
      <c r="A313" s="10" t="s">
        <v>635</v>
      </c>
      <c r="B313" s="10">
        <v>1501002</v>
      </c>
      <c r="C313" s="10" t="s">
        <v>759</v>
      </c>
      <c r="D313" s="10" t="s">
        <v>760</v>
      </c>
      <c r="E313" s="10">
        <v>0</v>
      </c>
      <c r="F313" s="10">
        <v>0</v>
      </c>
      <c r="G313" s="10">
        <v>0</v>
      </c>
      <c r="H313" s="10">
        <v>0</v>
      </c>
      <c r="I313" s="10" t="s">
        <v>21</v>
      </c>
      <c r="J313" s="10">
        <v>0</v>
      </c>
      <c r="K313" s="10">
        <v>0</v>
      </c>
      <c r="L313" s="10">
        <v>0</v>
      </c>
      <c r="M313" s="10">
        <v>0</v>
      </c>
      <c r="N313" s="10" t="s">
        <v>761</v>
      </c>
      <c r="O313" s="10" t="s">
        <v>922</v>
      </c>
      <c r="P313" s="105" t="e">
        <f t="shared" si="4"/>
        <v>#DIV/0!</v>
      </c>
    </row>
    <row r="314" spans="1:16">
      <c r="A314" s="10" t="s">
        <v>635</v>
      </c>
      <c r="B314" s="10">
        <v>1501003</v>
      </c>
      <c r="C314" s="10" t="s">
        <v>759</v>
      </c>
      <c r="D314" s="10" t="s">
        <v>760</v>
      </c>
      <c r="E314" s="10">
        <v>0</v>
      </c>
      <c r="F314" s="10">
        <v>0</v>
      </c>
      <c r="G314" s="10">
        <v>0</v>
      </c>
      <c r="H314" s="10">
        <v>0</v>
      </c>
      <c r="I314" s="10" t="s">
        <v>21</v>
      </c>
      <c r="J314" s="10">
        <v>0</v>
      </c>
      <c r="K314" s="10">
        <v>0</v>
      </c>
      <c r="L314" s="10">
        <v>0</v>
      </c>
      <c r="M314" s="10">
        <v>0</v>
      </c>
      <c r="N314" s="10" t="s">
        <v>761</v>
      </c>
      <c r="O314" s="10" t="s">
        <v>923</v>
      </c>
      <c r="P314" s="105" t="e">
        <f t="shared" si="4"/>
        <v>#DIV/0!</v>
      </c>
    </row>
    <row r="315" spans="1:16">
      <c r="A315" s="10" t="s">
        <v>635</v>
      </c>
      <c r="B315" s="10">
        <v>1501007</v>
      </c>
      <c r="C315" s="10" t="s">
        <v>759</v>
      </c>
      <c r="D315" s="10" t="s">
        <v>760</v>
      </c>
      <c r="E315" s="103">
        <v>7500</v>
      </c>
      <c r="F315" s="10">
        <v>0</v>
      </c>
      <c r="G315" s="10">
        <v>0</v>
      </c>
      <c r="H315" s="103">
        <v>7500</v>
      </c>
      <c r="I315" s="10" t="s">
        <v>21</v>
      </c>
      <c r="J315" s="10">
        <v>75</v>
      </c>
      <c r="K315" s="10">
        <v>0</v>
      </c>
      <c r="L315" s="10">
        <v>0</v>
      </c>
      <c r="M315" s="10">
        <v>75</v>
      </c>
      <c r="N315" s="10" t="s">
        <v>761</v>
      </c>
      <c r="O315" s="10" t="s">
        <v>268</v>
      </c>
      <c r="P315" s="105">
        <f t="shared" si="4"/>
        <v>0.01</v>
      </c>
    </row>
    <row r="316" spans="1:16">
      <c r="A316" s="10" t="s">
        <v>635</v>
      </c>
      <c r="B316" s="10">
        <v>1501008</v>
      </c>
      <c r="C316" s="10" t="s">
        <v>759</v>
      </c>
      <c r="D316" s="10" t="s">
        <v>760</v>
      </c>
      <c r="E316" s="10">
        <v>0</v>
      </c>
      <c r="F316" s="10">
        <v>0</v>
      </c>
      <c r="G316" s="10">
        <v>0</v>
      </c>
      <c r="H316" s="10">
        <v>0</v>
      </c>
      <c r="I316" s="10" t="s">
        <v>21</v>
      </c>
      <c r="J316" s="10">
        <v>0</v>
      </c>
      <c r="K316" s="10">
        <v>0</v>
      </c>
      <c r="L316" s="10">
        <v>0</v>
      </c>
      <c r="M316" s="10">
        <v>0</v>
      </c>
      <c r="N316" s="10" t="s">
        <v>761</v>
      </c>
      <c r="O316" s="10" t="s">
        <v>679</v>
      </c>
      <c r="P316" s="105" t="e">
        <f t="shared" si="4"/>
        <v>#DIV/0!</v>
      </c>
    </row>
    <row r="317" spans="1:16">
      <c r="A317" s="10" t="s">
        <v>635</v>
      </c>
      <c r="B317" s="10">
        <v>1501009</v>
      </c>
      <c r="C317" s="10" t="s">
        <v>759</v>
      </c>
      <c r="D317" s="10" t="s">
        <v>760</v>
      </c>
      <c r="E317" s="10">
        <v>0</v>
      </c>
      <c r="F317" s="10">
        <v>0</v>
      </c>
      <c r="G317" s="10">
        <v>0</v>
      </c>
      <c r="H317" s="10">
        <v>0</v>
      </c>
      <c r="I317" s="10" t="s">
        <v>56</v>
      </c>
      <c r="J317" s="10">
        <v>0</v>
      </c>
      <c r="K317" s="10">
        <v>0</v>
      </c>
      <c r="L317" s="10">
        <v>0</v>
      </c>
      <c r="M317" s="10">
        <v>0</v>
      </c>
      <c r="N317" s="10" t="s">
        <v>761</v>
      </c>
      <c r="O317" s="10" t="s">
        <v>680</v>
      </c>
      <c r="P317" s="105" t="e">
        <f t="shared" si="4"/>
        <v>#DIV/0!</v>
      </c>
    </row>
    <row r="318" spans="1:16">
      <c r="A318" s="10" t="s">
        <v>635</v>
      </c>
      <c r="B318" s="10">
        <v>1501010</v>
      </c>
      <c r="C318" s="10" t="s">
        <v>759</v>
      </c>
      <c r="D318" s="10" t="s">
        <v>760</v>
      </c>
      <c r="E318" s="10">
        <v>48</v>
      </c>
      <c r="F318" s="10">
        <v>100</v>
      </c>
      <c r="G318" s="10">
        <v>0</v>
      </c>
      <c r="H318" s="10">
        <v>148</v>
      </c>
      <c r="I318" s="10" t="s">
        <v>56</v>
      </c>
      <c r="J318" s="10">
        <v>360</v>
      </c>
      <c r="K318" s="10">
        <v>750</v>
      </c>
      <c r="L318" s="10">
        <v>0</v>
      </c>
      <c r="M318" s="103">
        <v>1110</v>
      </c>
      <c r="N318" s="10" t="s">
        <v>761</v>
      </c>
      <c r="O318" s="10" t="s">
        <v>60</v>
      </c>
      <c r="P318" s="105">
        <f t="shared" si="4"/>
        <v>7.5</v>
      </c>
    </row>
    <row r="319" spans="1:16">
      <c r="A319" s="10" t="s">
        <v>635</v>
      </c>
      <c r="B319" s="10">
        <v>1501011</v>
      </c>
      <c r="C319" s="10" t="s">
        <v>759</v>
      </c>
      <c r="D319" s="10" t="s">
        <v>760</v>
      </c>
      <c r="E319" s="10">
        <v>0</v>
      </c>
      <c r="F319" s="10">
        <v>0</v>
      </c>
      <c r="G319" s="10">
        <v>0</v>
      </c>
      <c r="H319" s="10">
        <v>0</v>
      </c>
      <c r="I319" s="10" t="s">
        <v>74</v>
      </c>
      <c r="J319" s="10">
        <v>0</v>
      </c>
      <c r="K319" s="10">
        <v>0</v>
      </c>
      <c r="L319" s="10">
        <v>0</v>
      </c>
      <c r="M319" s="10">
        <v>0</v>
      </c>
      <c r="N319" s="10" t="s">
        <v>761</v>
      </c>
      <c r="O319" s="10" t="s">
        <v>924</v>
      </c>
      <c r="P319" s="105" t="e">
        <f t="shared" si="4"/>
        <v>#DIV/0!</v>
      </c>
    </row>
    <row r="320" spans="1:16">
      <c r="A320" s="10" t="s">
        <v>635</v>
      </c>
      <c r="B320" s="10">
        <v>1501012</v>
      </c>
      <c r="C320" s="10" t="s">
        <v>759</v>
      </c>
      <c r="D320" s="10" t="s">
        <v>760</v>
      </c>
      <c r="E320" s="10">
        <v>0</v>
      </c>
      <c r="F320" s="10">
        <v>0</v>
      </c>
      <c r="G320" s="10">
        <v>0</v>
      </c>
      <c r="H320" s="10">
        <v>0</v>
      </c>
      <c r="I320" s="10" t="s">
        <v>74</v>
      </c>
      <c r="J320" s="10">
        <v>0</v>
      </c>
      <c r="K320" s="10">
        <v>0</v>
      </c>
      <c r="L320" s="10">
        <v>0</v>
      </c>
      <c r="M320" s="10">
        <v>0</v>
      </c>
      <c r="N320" s="10" t="s">
        <v>761</v>
      </c>
      <c r="O320" s="10" t="s">
        <v>925</v>
      </c>
      <c r="P320" s="105" t="e">
        <f t="shared" si="4"/>
        <v>#DIV/0!</v>
      </c>
    </row>
    <row r="321" spans="1:16">
      <c r="A321" s="10" t="s">
        <v>635</v>
      </c>
      <c r="B321" s="10">
        <v>1501013</v>
      </c>
      <c r="C321" s="10" t="s">
        <v>759</v>
      </c>
      <c r="D321" s="10" t="s">
        <v>760</v>
      </c>
      <c r="E321" s="10">
        <v>13.2</v>
      </c>
      <c r="F321" s="10">
        <v>80</v>
      </c>
      <c r="G321" s="10">
        <v>0</v>
      </c>
      <c r="H321" s="10">
        <v>93.2</v>
      </c>
      <c r="I321" s="10" t="s">
        <v>74</v>
      </c>
      <c r="J321" s="10">
        <v>148.5</v>
      </c>
      <c r="K321" s="10">
        <v>900</v>
      </c>
      <c r="L321" s="10">
        <v>0</v>
      </c>
      <c r="M321" s="103">
        <v>1048.5</v>
      </c>
      <c r="N321" s="10" t="s">
        <v>761</v>
      </c>
      <c r="O321" s="10" t="s">
        <v>190</v>
      </c>
      <c r="P321" s="105">
        <f t="shared" si="4"/>
        <v>11.25</v>
      </c>
    </row>
    <row r="322" spans="1:16">
      <c r="A322" s="10" t="s">
        <v>635</v>
      </c>
      <c r="B322" s="10">
        <v>1501014</v>
      </c>
      <c r="C322" s="10" t="s">
        <v>759</v>
      </c>
      <c r="D322" s="10" t="s">
        <v>760</v>
      </c>
      <c r="E322" s="10">
        <v>0</v>
      </c>
      <c r="F322" s="10">
        <v>0</v>
      </c>
      <c r="G322" s="10">
        <v>0</v>
      </c>
      <c r="H322" s="10">
        <v>0</v>
      </c>
      <c r="I322" s="10" t="s">
        <v>33</v>
      </c>
      <c r="J322" s="10">
        <v>0</v>
      </c>
      <c r="K322" s="10">
        <v>0</v>
      </c>
      <c r="L322" s="10">
        <v>0</v>
      </c>
      <c r="M322" s="10">
        <v>0</v>
      </c>
      <c r="N322" s="10" t="s">
        <v>761</v>
      </c>
      <c r="O322" s="10" t="s">
        <v>926</v>
      </c>
      <c r="P322" s="105" t="e">
        <f t="shared" si="4"/>
        <v>#DIV/0!</v>
      </c>
    </row>
    <row r="323" spans="1:16">
      <c r="A323" s="10" t="s">
        <v>635</v>
      </c>
      <c r="B323" s="10">
        <v>1501015</v>
      </c>
      <c r="C323" s="10" t="s">
        <v>759</v>
      </c>
      <c r="D323" s="10" t="s">
        <v>760</v>
      </c>
      <c r="E323" s="10">
        <v>0</v>
      </c>
      <c r="F323" s="10">
        <v>0</v>
      </c>
      <c r="G323" s="10">
        <v>0</v>
      </c>
      <c r="H323" s="10">
        <v>0</v>
      </c>
      <c r="I323" s="10" t="s">
        <v>74</v>
      </c>
      <c r="J323" s="10">
        <v>0</v>
      </c>
      <c r="K323" s="10">
        <v>0</v>
      </c>
      <c r="L323" s="10">
        <v>0</v>
      </c>
      <c r="M323" s="10">
        <v>0</v>
      </c>
      <c r="N323" s="10" t="s">
        <v>761</v>
      </c>
      <c r="O323" s="10" t="s">
        <v>927</v>
      </c>
      <c r="P323" s="105" t="e">
        <f t="shared" ref="P323:P386" si="5">M323/H323</f>
        <v>#DIV/0!</v>
      </c>
    </row>
    <row r="324" spans="1:16">
      <c r="A324" s="10" t="s">
        <v>635</v>
      </c>
      <c r="B324" s="10">
        <v>1501016</v>
      </c>
      <c r="C324" s="10" t="s">
        <v>759</v>
      </c>
      <c r="D324" s="10" t="s">
        <v>760</v>
      </c>
      <c r="E324" s="10">
        <v>0</v>
      </c>
      <c r="F324" s="10">
        <v>0</v>
      </c>
      <c r="G324" s="10">
        <v>0</v>
      </c>
      <c r="H324" s="10">
        <v>0</v>
      </c>
      <c r="I324" s="10" t="s">
        <v>33</v>
      </c>
      <c r="J324" s="10">
        <v>0</v>
      </c>
      <c r="K324" s="10">
        <v>0</v>
      </c>
      <c r="L324" s="10">
        <v>0</v>
      </c>
      <c r="M324" s="10">
        <v>0</v>
      </c>
      <c r="N324" s="10" t="s">
        <v>761</v>
      </c>
      <c r="O324" s="10" t="s">
        <v>928</v>
      </c>
      <c r="P324" s="105" t="e">
        <f t="shared" si="5"/>
        <v>#DIV/0!</v>
      </c>
    </row>
    <row r="325" spans="1:16">
      <c r="A325" s="10" t="s">
        <v>635</v>
      </c>
      <c r="B325" s="10">
        <v>1501020</v>
      </c>
      <c r="C325" s="10" t="s">
        <v>759</v>
      </c>
      <c r="D325" s="10" t="s">
        <v>760</v>
      </c>
      <c r="E325" s="10">
        <v>0</v>
      </c>
      <c r="F325" s="10">
        <v>0</v>
      </c>
      <c r="G325" s="10">
        <v>0</v>
      </c>
      <c r="H325" s="10">
        <v>0</v>
      </c>
      <c r="I325" s="10" t="s">
        <v>74</v>
      </c>
      <c r="J325" s="10">
        <v>0</v>
      </c>
      <c r="K325" s="10">
        <v>0</v>
      </c>
      <c r="L325" s="10">
        <v>0</v>
      </c>
      <c r="M325" s="10">
        <v>0</v>
      </c>
      <c r="N325" s="10" t="s">
        <v>761</v>
      </c>
      <c r="O325" s="10" t="s">
        <v>929</v>
      </c>
      <c r="P325" s="105" t="e">
        <f t="shared" si="5"/>
        <v>#DIV/0!</v>
      </c>
    </row>
    <row r="326" spans="1:16">
      <c r="A326" s="10" t="s">
        <v>635</v>
      </c>
      <c r="B326" s="10">
        <v>1501021</v>
      </c>
      <c r="C326" s="10" t="s">
        <v>759</v>
      </c>
      <c r="D326" s="10" t="s">
        <v>760</v>
      </c>
      <c r="E326" s="10">
        <v>0</v>
      </c>
      <c r="F326" s="10">
        <v>0</v>
      </c>
      <c r="G326" s="10">
        <v>0</v>
      </c>
      <c r="H326" s="10">
        <v>0</v>
      </c>
      <c r="I326" s="10" t="s">
        <v>30</v>
      </c>
      <c r="J326" s="10">
        <v>0</v>
      </c>
      <c r="K326" s="10">
        <v>0</v>
      </c>
      <c r="L326" s="10">
        <v>0</v>
      </c>
      <c r="M326" s="10">
        <v>0</v>
      </c>
      <c r="N326" s="10" t="s">
        <v>761</v>
      </c>
      <c r="O326" s="10" t="s">
        <v>930</v>
      </c>
      <c r="P326" s="105" t="e">
        <f t="shared" si="5"/>
        <v>#DIV/0!</v>
      </c>
    </row>
    <row r="327" spans="1:16">
      <c r="A327" s="10" t="s">
        <v>635</v>
      </c>
      <c r="B327" s="10">
        <v>1501023</v>
      </c>
      <c r="C327" s="10" t="s">
        <v>759</v>
      </c>
      <c r="D327" s="10" t="s">
        <v>760</v>
      </c>
      <c r="E327" s="10">
        <v>0</v>
      </c>
      <c r="F327" s="10">
        <v>0</v>
      </c>
      <c r="G327" s="10">
        <v>0</v>
      </c>
      <c r="H327" s="10">
        <v>0</v>
      </c>
      <c r="I327" s="10" t="s">
        <v>37</v>
      </c>
      <c r="J327" s="10">
        <v>0</v>
      </c>
      <c r="K327" s="10">
        <v>0</v>
      </c>
      <c r="L327" s="10">
        <v>0</v>
      </c>
      <c r="M327" s="10">
        <v>0</v>
      </c>
      <c r="N327" s="10" t="s">
        <v>761</v>
      </c>
      <c r="O327" s="10" t="s">
        <v>931</v>
      </c>
      <c r="P327" s="105" t="e">
        <f t="shared" si="5"/>
        <v>#DIV/0!</v>
      </c>
    </row>
    <row r="328" spans="1:16">
      <c r="A328" s="10" t="s">
        <v>635</v>
      </c>
      <c r="B328" s="10">
        <v>1501024</v>
      </c>
      <c r="C328" s="10" t="s">
        <v>759</v>
      </c>
      <c r="D328" s="10" t="s">
        <v>760</v>
      </c>
      <c r="E328" s="10">
        <v>0</v>
      </c>
      <c r="F328" s="10">
        <v>0</v>
      </c>
      <c r="G328" s="10">
        <v>0</v>
      </c>
      <c r="H328" s="10">
        <v>0</v>
      </c>
      <c r="I328" s="10" t="s">
        <v>30</v>
      </c>
      <c r="J328" s="10">
        <v>0</v>
      </c>
      <c r="K328" s="10">
        <v>0</v>
      </c>
      <c r="L328" s="10">
        <v>0</v>
      </c>
      <c r="M328" s="10">
        <v>0</v>
      </c>
      <c r="N328" s="10" t="s">
        <v>761</v>
      </c>
      <c r="O328" s="10" t="s">
        <v>932</v>
      </c>
      <c r="P328" s="105" t="e">
        <f t="shared" si="5"/>
        <v>#DIV/0!</v>
      </c>
    </row>
    <row r="329" spans="1:16">
      <c r="A329" s="10" t="s">
        <v>635</v>
      </c>
      <c r="B329" s="10">
        <v>1501025</v>
      </c>
      <c r="C329" s="10" t="s">
        <v>759</v>
      </c>
      <c r="D329" s="10" t="s">
        <v>760</v>
      </c>
      <c r="E329" s="10">
        <v>0</v>
      </c>
      <c r="F329" s="10">
        <v>110</v>
      </c>
      <c r="G329" s="10">
        <v>0</v>
      </c>
      <c r="H329" s="10">
        <v>110</v>
      </c>
      <c r="I329" s="10" t="s">
        <v>37</v>
      </c>
      <c r="J329" s="10">
        <v>0</v>
      </c>
      <c r="K329" s="10">
        <v>170.5</v>
      </c>
      <c r="L329" s="10">
        <v>0</v>
      </c>
      <c r="M329" s="10">
        <v>170.5</v>
      </c>
      <c r="N329" s="10" t="s">
        <v>761</v>
      </c>
      <c r="O329" s="10" t="s">
        <v>450</v>
      </c>
      <c r="P329" s="105">
        <f t="shared" si="5"/>
        <v>1.55</v>
      </c>
    </row>
    <row r="330" spans="1:16">
      <c r="A330" s="10" t="s">
        <v>635</v>
      </c>
      <c r="B330" s="10">
        <v>1501026</v>
      </c>
      <c r="C330" s="10" t="s">
        <v>759</v>
      </c>
      <c r="D330" s="10" t="s">
        <v>760</v>
      </c>
      <c r="E330" s="10">
        <v>0</v>
      </c>
      <c r="F330" s="10">
        <v>0</v>
      </c>
      <c r="G330" s="10">
        <v>0</v>
      </c>
      <c r="H330" s="10">
        <v>0</v>
      </c>
      <c r="I330" s="10" t="s">
        <v>30</v>
      </c>
      <c r="J330" s="10">
        <v>0</v>
      </c>
      <c r="K330" s="10">
        <v>0</v>
      </c>
      <c r="L330" s="10">
        <v>0</v>
      </c>
      <c r="M330" s="10">
        <v>0</v>
      </c>
      <c r="N330" s="10" t="s">
        <v>761</v>
      </c>
      <c r="O330" s="10" t="s">
        <v>933</v>
      </c>
      <c r="P330" s="105" t="e">
        <f t="shared" si="5"/>
        <v>#DIV/0!</v>
      </c>
    </row>
    <row r="331" spans="1:16">
      <c r="A331" s="10" t="s">
        <v>635</v>
      </c>
      <c r="B331" s="10">
        <v>1501027</v>
      </c>
      <c r="C331" s="10" t="s">
        <v>759</v>
      </c>
      <c r="D331" s="10" t="s">
        <v>760</v>
      </c>
      <c r="E331" s="10">
        <v>24</v>
      </c>
      <c r="F331" s="10">
        <v>48</v>
      </c>
      <c r="G331" s="10">
        <v>-72</v>
      </c>
      <c r="H331" s="10">
        <v>0</v>
      </c>
      <c r="I331" s="10" t="s">
        <v>30</v>
      </c>
      <c r="J331" s="10">
        <v>66.5</v>
      </c>
      <c r="K331" s="10">
        <v>133</v>
      </c>
      <c r="L331" s="10">
        <v>-199.5</v>
      </c>
      <c r="M331" s="10">
        <v>0</v>
      </c>
      <c r="N331" s="10" t="s">
        <v>761</v>
      </c>
      <c r="O331" s="10" t="s">
        <v>574</v>
      </c>
      <c r="P331" s="105" t="e">
        <f t="shared" si="5"/>
        <v>#DIV/0!</v>
      </c>
    </row>
    <row r="332" spans="1:16">
      <c r="A332" s="10" t="s">
        <v>635</v>
      </c>
      <c r="B332" s="10">
        <v>1501028</v>
      </c>
      <c r="C332" s="10" t="s">
        <v>759</v>
      </c>
      <c r="D332" s="10" t="s">
        <v>760</v>
      </c>
      <c r="E332" s="10">
        <v>0</v>
      </c>
      <c r="F332" s="10">
        <v>0</v>
      </c>
      <c r="G332" s="10">
        <v>0</v>
      </c>
      <c r="H332" s="10">
        <v>0</v>
      </c>
      <c r="I332" s="10" t="s">
        <v>30</v>
      </c>
      <c r="J332" s="10">
        <v>0</v>
      </c>
      <c r="K332" s="10">
        <v>0</v>
      </c>
      <c r="L332" s="10">
        <v>0</v>
      </c>
      <c r="M332" s="10">
        <v>0</v>
      </c>
      <c r="N332" s="10" t="s">
        <v>761</v>
      </c>
      <c r="O332" s="10" t="s">
        <v>934</v>
      </c>
      <c r="P332" s="105" t="e">
        <f t="shared" si="5"/>
        <v>#DIV/0!</v>
      </c>
    </row>
    <row r="333" spans="1:16">
      <c r="A333" s="10" t="s">
        <v>635</v>
      </c>
      <c r="B333" s="10">
        <v>1501029</v>
      </c>
      <c r="C333" s="10" t="s">
        <v>759</v>
      </c>
      <c r="D333" s="10" t="s">
        <v>760</v>
      </c>
      <c r="E333" s="10">
        <v>9</v>
      </c>
      <c r="F333" s="10">
        <v>30</v>
      </c>
      <c r="G333" s="10">
        <v>0</v>
      </c>
      <c r="H333" s="10">
        <v>39</v>
      </c>
      <c r="I333" s="10" t="s">
        <v>33</v>
      </c>
      <c r="J333" s="10">
        <v>72</v>
      </c>
      <c r="K333" s="10">
        <v>240</v>
      </c>
      <c r="L333" s="10">
        <v>0</v>
      </c>
      <c r="M333" s="10">
        <v>312</v>
      </c>
      <c r="N333" s="10" t="s">
        <v>761</v>
      </c>
      <c r="O333" s="10" t="s">
        <v>456</v>
      </c>
      <c r="P333" s="105">
        <f t="shared" si="5"/>
        <v>8</v>
      </c>
    </row>
    <row r="334" spans="1:16">
      <c r="A334" s="10" t="s">
        <v>635</v>
      </c>
      <c r="B334" s="10">
        <v>1501030</v>
      </c>
      <c r="C334" s="10" t="s">
        <v>759</v>
      </c>
      <c r="D334" s="10" t="s">
        <v>760</v>
      </c>
      <c r="E334" s="10">
        <v>0</v>
      </c>
      <c r="F334" s="10">
        <v>0</v>
      </c>
      <c r="G334" s="10">
        <v>0</v>
      </c>
      <c r="H334" s="10">
        <v>0</v>
      </c>
      <c r="I334" s="10" t="s">
        <v>37</v>
      </c>
      <c r="J334" s="10">
        <v>0</v>
      </c>
      <c r="K334" s="10">
        <v>0</v>
      </c>
      <c r="L334" s="10">
        <v>0</v>
      </c>
      <c r="M334" s="10">
        <v>0</v>
      </c>
      <c r="N334" s="10" t="s">
        <v>761</v>
      </c>
      <c r="O334" s="10" t="s">
        <v>935</v>
      </c>
      <c r="P334" s="105" t="e">
        <f t="shared" si="5"/>
        <v>#DIV/0!</v>
      </c>
    </row>
    <row r="335" spans="1:16">
      <c r="A335" s="10" t="s">
        <v>635</v>
      </c>
      <c r="B335" s="10">
        <v>1501031</v>
      </c>
      <c r="C335" s="10" t="s">
        <v>759</v>
      </c>
      <c r="D335" s="10" t="s">
        <v>760</v>
      </c>
      <c r="E335" s="10">
        <v>0</v>
      </c>
      <c r="F335" s="10">
        <v>0</v>
      </c>
      <c r="G335" s="10">
        <v>0</v>
      </c>
      <c r="H335" s="10">
        <v>0</v>
      </c>
      <c r="I335" s="10" t="s">
        <v>30</v>
      </c>
      <c r="J335" s="10">
        <v>0</v>
      </c>
      <c r="K335" s="10">
        <v>0</v>
      </c>
      <c r="L335" s="10">
        <v>0</v>
      </c>
      <c r="M335" s="10">
        <v>0</v>
      </c>
      <c r="N335" s="10" t="s">
        <v>761</v>
      </c>
      <c r="O335" s="10" t="s">
        <v>936</v>
      </c>
      <c r="P335" s="105" t="e">
        <f t="shared" si="5"/>
        <v>#DIV/0!</v>
      </c>
    </row>
    <row r="336" spans="1:16">
      <c r="A336" s="10" t="s">
        <v>635</v>
      </c>
      <c r="B336" s="10">
        <v>1501032</v>
      </c>
      <c r="C336" s="10" t="s">
        <v>759</v>
      </c>
      <c r="D336" s="10" t="s">
        <v>760</v>
      </c>
      <c r="E336" s="10">
        <v>12</v>
      </c>
      <c r="F336" s="10">
        <v>12</v>
      </c>
      <c r="G336" s="10">
        <v>0</v>
      </c>
      <c r="H336" s="10">
        <v>24</v>
      </c>
      <c r="I336" s="10" t="s">
        <v>45</v>
      </c>
      <c r="J336" s="10">
        <v>86.5</v>
      </c>
      <c r="K336" s="10">
        <v>92</v>
      </c>
      <c r="L336" s="10">
        <v>0</v>
      </c>
      <c r="M336" s="10">
        <v>178.5</v>
      </c>
      <c r="N336" s="10" t="s">
        <v>761</v>
      </c>
      <c r="O336" s="10" t="s">
        <v>458</v>
      </c>
      <c r="P336" s="105">
        <f t="shared" si="5"/>
        <v>7.4375</v>
      </c>
    </row>
    <row r="337" spans="1:16">
      <c r="A337" s="10" t="s">
        <v>635</v>
      </c>
      <c r="B337" s="10">
        <v>1501034</v>
      </c>
      <c r="C337" s="10" t="s">
        <v>759</v>
      </c>
      <c r="D337" s="10" t="s">
        <v>760</v>
      </c>
      <c r="E337" s="10">
        <v>0</v>
      </c>
      <c r="F337" s="10">
        <v>0</v>
      </c>
      <c r="G337" s="10">
        <v>0</v>
      </c>
      <c r="H337" s="10">
        <v>0</v>
      </c>
      <c r="I337" s="10" t="s">
        <v>21</v>
      </c>
      <c r="J337" s="10">
        <v>0</v>
      </c>
      <c r="K337" s="10">
        <v>0</v>
      </c>
      <c r="L337" s="10">
        <v>0</v>
      </c>
      <c r="M337" s="10">
        <v>0</v>
      </c>
      <c r="N337" s="10" t="s">
        <v>761</v>
      </c>
      <c r="O337" s="10" t="s">
        <v>681</v>
      </c>
      <c r="P337" s="105" t="e">
        <f t="shared" si="5"/>
        <v>#DIV/0!</v>
      </c>
    </row>
    <row r="338" spans="1:16">
      <c r="A338" s="10" t="s">
        <v>635</v>
      </c>
      <c r="B338" s="10">
        <v>1501037</v>
      </c>
      <c r="C338" s="10" t="s">
        <v>759</v>
      </c>
      <c r="D338" s="10" t="s">
        <v>760</v>
      </c>
      <c r="E338" s="10">
        <v>0</v>
      </c>
      <c r="F338" s="10">
        <v>0</v>
      </c>
      <c r="G338" s="10">
        <v>0</v>
      </c>
      <c r="H338" s="10">
        <v>0</v>
      </c>
      <c r="I338" s="10" t="s">
        <v>697</v>
      </c>
      <c r="J338" s="10">
        <v>0</v>
      </c>
      <c r="K338" s="10">
        <v>0</v>
      </c>
      <c r="L338" s="10">
        <v>0</v>
      </c>
      <c r="M338" s="10">
        <v>0</v>
      </c>
      <c r="N338" s="10" t="s">
        <v>761</v>
      </c>
      <c r="O338" s="10" t="s">
        <v>937</v>
      </c>
      <c r="P338" s="105" t="e">
        <f t="shared" si="5"/>
        <v>#DIV/0!</v>
      </c>
    </row>
    <row r="339" spans="1:16">
      <c r="A339" s="10" t="s">
        <v>635</v>
      </c>
      <c r="B339" s="10">
        <v>1501038</v>
      </c>
      <c r="C339" s="10" t="s">
        <v>759</v>
      </c>
      <c r="D339" s="10" t="s">
        <v>760</v>
      </c>
      <c r="E339" s="10">
        <v>0</v>
      </c>
      <c r="F339" s="10">
        <v>0</v>
      </c>
      <c r="G339" s="10">
        <v>0</v>
      </c>
      <c r="H339" s="10">
        <v>0</v>
      </c>
      <c r="I339" s="10" t="s">
        <v>21</v>
      </c>
      <c r="J339" s="10">
        <v>0</v>
      </c>
      <c r="K339" s="10">
        <v>0</v>
      </c>
      <c r="L339" s="10">
        <v>0</v>
      </c>
      <c r="M339" s="10">
        <v>0</v>
      </c>
      <c r="N339" s="10" t="s">
        <v>761</v>
      </c>
      <c r="O339" s="10" t="s">
        <v>938</v>
      </c>
      <c r="P339" s="105" t="e">
        <f t="shared" si="5"/>
        <v>#DIV/0!</v>
      </c>
    </row>
    <row r="340" spans="1:16">
      <c r="A340" s="10" t="s">
        <v>635</v>
      </c>
      <c r="B340" s="10">
        <v>1501039</v>
      </c>
      <c r="C340" s="10" t="s">
        <v>759</v>
      </c>
      <c r="D340" s="10" t="s">
        <v>760</v>
      </c>
      <c r="E340" s="10">
        <v>0</v>
      </c>
      <c r="F340" s="10">
        <v>0</v>
      </c>
      <c r="G340" s="10">
        <v>0</v>
      </c>
      <c r="H340" s="10">
        <v>0</v>
      </c>
      <c r="I340" s="10" t="s">
        <v>21</v>
      </c>
      <c r="J340" s="10">
        <v>0</v>
      </c>
      <c r="K340" s="10">
        <v>0</v>
      </c>
      <c r="L340" s="10">
        <v>0</v>
      </c>
      <c r="M340" s="10">
        <v>0</v>
      </c>
      <c r="N340" s="10" t="s">
        <v>761</v>
      </c>
      <c r="O340" s="10" t="s">
        <v>939</v>
      </c>
      <c r="P340" s="105" t="e">
        <f t="shared" si="5"/>
        <v>#DIV/0!</v>
      </c>
    </row>
    <row r="341" spans="1:16">
      <c r="A341" s="10" t="s">
        <v>635</v>
      </c>
      <c r="B341" s="10">
        <v>1501040</v>
      </c>
      <c r="C341" s="10" t="s">
        <v>759</v>
      </c>
      <c r="D341" s="10" t="s">
        <v>760</v>
      </c>
      <c r="E341" s="10">
        <v>0</v>
      </c>
      <c r="F341" s="10">
        <v>0</v>
      </c>
      <c r="G341" s="10">
        <v>0</v>
      </c>
      <c r="H341" s="10">
        <v>0</v>
      </c>
      <c r="I341" s="10" t="s">
        <v>21</v>
      </c>
      <c r="J341" s="10">
        <v>0</v>
      </c>
      <c r="K341" s="10">
        <v>0</v>
      </c>
      <c r="L341" s="10">
        <v>0</v>
      </c>
      <c r="M341" s="10">
        <v>0</v>
      </c>
      <c r="N341" s="10" t="s">
        <v>761</v>
      </c>
      <c r="O341" s="10" t="s">
        <v>940</v>
      </c>
      <c r="P341" s="105" t="e">
        <f t="shared" si="5"/>
        <v>#DIV/0!</v>
      </c>
    </row>
    <row r="342" spans="1:16">
      <c r="A342" s="10" t="s">
        <v>635</v>
      </c>
      <c r="B342" s="10">
        <v>1501041</v>
      </c>
      <c r="C342" s="10" t="s">
        <v>759</v>
      </c>
      <c r="D342" s="10" t="s">
        <v>760</v>
      </c>
      <c r="E342" s="10">
        <v>0</v>
      </c>
      <c r="F342" s="10">
        <v>0</v>
      </c>
      <c r="G342" s="10">
        <v>0</v>
      </c>
      <c r="H342" s="10">
        <v>0</v>
      </c>
      <c r="I342" s="10" t="s">
        <v>37</v>
      </c>
      <c r="J342" s="10">
        <v>0</v>
      </c>
      <c r="K342" s="10">
        <v>0</v>
      </c>
      <c r="L342" s="10">
        <v>0</v>
      </c>
      <c r="M342" s="10">
        <v>0</v>
      </c>
      <c r="N342" s="10" t="s">
        <v>761</v>
      </c>
      <c r="O342" s="10" t="s">
        <v>941</v>
      </c>
      <c r="P342" s="105" t="e">
        <f t="shared" si="5"/>
        <v>#DIV/0!</v>
      </c>
    </row>
    <row r="343" spans="1:16">
      <c r="A343" s="10" t="s">
        <v>635</v>
      </c>
      <c r="B343" s="10">
        <v>1501042</v>
      </c>
      <c r="C343" s="10" t="s">
        <v>759</v>
      </c>
      <c r="D343" s="10" t="s">
        <v>760</v>
      </c>
      <c r="E343" s="10">
        <v>0</v>
      </c>
      <c r="F343" s="10">
        <v>0</v>
      </c>
      <c r="G343" s="10">
        <v>0</v>
      </c>
      <c r="H343" s="10">
        <v>0</v>
      </c>
      <c r="I343" s="10" t="s">
        <v>37</v>
      </c>
      <c r="J343" s="10">
        <v>0</v>
      </c>
      <c r="K343" s="10">
        <v>0</v>
      </c>
      <c r="L343" s="10">
        <v>0</v>
      </c>
      <c r="M343" s="10">
        <v>0</v>
      </c>
      <c r="N343" s="10" t="s">
        <v>761</v>
      </c>
      <c r="O343" s="10" t="s">
        <v>942</v>
      </c>
      <c r="P343" s="105" t="e">
        <f t="shared" si="5"/>
        <v>#DIV/0!</v>
      </c>
    </row>
    <row r="344" spans="1:16">
      <c r="A344" s="10" t="s">
        <v>635</v>
      </c>
      <c r="B344" s="10">
        <v>1501043</v>
      </c>
      <c r="C344" s="10" t="s">
        <v>759</v>
      </c>
      <c r="D344" s="10" t="s">
        <v>760</v>
      </c>
      <c r="E344" s="10">
        <v>0</v>
      </c>
      <c r="F344" s="10">
        <v>204</v>
      </c>
      <c r="G344" s="10">
        <v>0</v>
      </c>
      <c r="H344" s="10">
        <v>204</v>
      </c>
      <c r="I344" s="10" t="s">
        <v>74</v>
      </c>
      <c r="J344" s="10">
        <v>0</v>
      </c>
      <c r="K344" s="103">
        <v>3044</v>
      </c>
      <c r="L344" s="10">
        <v>0</v>
      </c>
      <c r="M344" s="103">
        <v>3044</v>
      </c>
      <c r="N344" s="10" t="s">
        <v>761</v>
      </c>
      <c r="O344" s="10" t="s">
        <v>203</v>
      </c>
      <c r="P344" s="105">
        <f t="shared" si="5"/>
        <v>14.921568627451</v>
      </c>
    </row>
    <row r="345" spans="1:16">
      <c r="A345" s="10" t="s">
        <v>635</v>
      </c>
      <c r="B345" s="10">
        <v>1501044</v>
      </c>
      <c r="C345" s="10" t="s">
        <v>759</v>
      </c>
      <c r="D345" s="10" t="s">
        <v>760</v>
      </c>
      <c r="E345" s="10">
        <v>0</v>
      </c>
      <c r="F345" s="10">
        <v>0</v>
      </c>
      <c r="G345" s="10">
        <v>0</v>
      </c>
      <c r="H345" s="10">
        <v>0</v>
      </c>
      <c r="I345" s="10" t="s">
        <v>33</v>
      </c>
      <c r="J345" s="10">
        <v>0</v>
      </c>
      <c r="K345" s="10">
        <v>0</v>
      </c>
      <c r="L345" s="10">
        <v>0</v>
      </c>
      <c r="M345" s="10">
        <v>0</v>
      </c>
      <c r="N345" s="10" t="s">
        <v>761</v>
      </c>
      <c r="O345" s="10" t="s">
        <v>943</v>
      </c>
      <c r="P345" s="105" t="e">
        <f t="shared" si="5"/>
        <v>#DIV/0!</v>
      </c>
    </row>
    <row r="346" spans="1:16">
      <c r="A346" s="10" t="s">
        <v>635</v>
      </c>
      <c r="B346" s="10">
        <v>1501045</v>
      </c>
      <c r="C346" s="10" t="s">
        <v>759</v>
      </c>
      <c r="D346" s="10" t="s">
        <v>760</v>
      </c>
      <c r="E346" s="10">
        <v>0</v>
      </c>
      <c r="F346" s="10">
        <v>0</v>
      </c>
      <c r="G346" s="10">
        <v>0</v>
      </c>
      <c r="H346" s="10">
        <v>0</v>
      </c>
      <c r="I346" s="10" t="s">
        <v>37</v>
      </c>
      <c r="J346" s="10">
        <v>0</v>
      </c>
      <c r="K346" s="10">
        <v>0</v>
      </c>
      <c r="L346" s="10">
        <v>0</v>
      </c>
      <c r="M346" s="10">
        <v>0</v>
      </c>
      <c r="N346" s="10" t="s">
        <v>761</v>
      </c>
      <c r="O346" s="10" t="s">
        <v>685</v>
      </c>
      <c r="P346" s="105" t="e">
        <f t="shared" si="5"/>
        <v>#DIV/0!</v>
      </c>
    </row>
    <row r="347" spans="1:16">
      <c r="A347" s="10" t="s">
        <v>635</v>
      </c>
      <c r="B347" s="10">
        <v>1501046</v>
      </c>
      <c r="C347" s="10" t="s">
        <v>759</v>
      </c>
      <c r="D347" s="10" t="s">
        <v>760</v>
      </c>
      <c r="E347" s="10">
        <v>0</v>
      </c>
      <c r="F347" s="10">
        <v>0</v>
      </c>
      <c r="G347" s="10">
        <v>0</v>
      </c>
      <c r="H347" s="10">
        <v>0</v>
      </c>
      <c r="I347" s="10" t="s">
        <v>21</v>
      </c>
      <c r="J347" s="10">
        <v>0</v>
      </c>
      <c r="K347" s="10">
        <v>0</v>
      </c>
      <c r="L347" s="10">
        <v>0</v>
      </c>
      <c r="M347" s="10">
        <v>0</v>
      </c>
      <c r="N347" s="10" t="s">
        <v>761</v>
      </c>
      <c r="O347" s="10" t="s">
        <v>944</v>
      </c>
      <c r="P347" s="105" t="e">
        <f t="shared" si="5"/>
        <v>#DIV/0!</v>
      </c>
    </row>
    <row r="348" spans="1:16">
      <c r="A348" s="10" t="s">
        <v>635</v>
      </c>
      <c r="B348" s="10">
        <v>1501047</v>
      </c>
      <c r="C348" s="10" t="s">
        <v>759</v>
      </c>
      <c r="D348" s="10" t="s">
        <v>760</v>
      </c>
      <c r="E348" s="10">
        <v>0</v>
      </c>
      <c r="F348" s="10">
        <v>15</v>
      </c>
      <c r="G348" s="10">
        <v>0</v>
      </c>
      <c r="H348" s="10">
        <v>15</v>
      </c>
      <c r="I348" s="10" t="s">
        <v>37</v>
      </c>
      <c r="J348" s="10">
        <v>0</v>
      </c>
      <c r="K348" s="10">
        <v>60.07</v>
      </c>
      <c r="L348" s="10">
        <v>0</v>
      </c>
      <c r="M348" s="10">
        <v>60.07</v>
      </c>
      <c r="N348" s="10" t="s">
        <v>761</v>
      </c>
      <c r="O348" s="10" t="s">
        <v>444</v>
      </c>
      <c r="P348" s="105">
        <f t="shared" si="5"/>
        <v>4.00466666666667</v>
      </c>
    </row>
    <row r="349" spans="1:16">
      <c r="A349" s="10" t="s">
        <v>635</v>
      </c>
      <c r="B349" s="10">
        <v>1501048</v>
      </c>
      <c r="C349" s="10" t="s">
        <v>759</v>
      </c>
      <c r="D349" s="10" t="s">
        <v>760</v>
      </c>
      <c r="E349" s="10">
        <v>0</v>
      </c>
      <c r="F349" s="10">
        <v>0</v>
      </c>
      <c r="G349" s="10">
        <v>0</v>
      </c>
      <c r="H349" s="10">
        <v>0</v>
      </c>
      <c r="I349" s="10" t="s">
        <v>37</v>
      </c>
      <c r="J349" s="10">
        <v>0</v>
      </c>
      <c r="K349" s="10">
        <v>0</v>
      </c>
      <c r="L349" s="10">
        <v>0</v>
      </c>
      <c r="M349" s="10">
        <v>0</v>
      </c>
      <c r="N349" s="10" t="s">
        <v>761</v>
      </c>
      <c r="O349" s="10" t="s">
        <v>945</v>
      </c>
      <c r="P349" s="105" t="e">
        <f t="shared" si="5"/>
        <v>#DIV/0!</v>
      </c>
    </row>
    <row r="350" spans="1:16">
      <c r="A350" s="10" t="s">
        <v>635</v>
      </c>
      <c r="B350" s="10">
        <v>1501049</v>
      </c>
      <c r="C350" s="10" t="s">
        <v>759</v>
      </c>
      <c r="D350" s="10" t="s">
        <v>760</v>
      </c>
      <c r="E350" s="10">
        <v>0</v>
      </c>
      <c r="F350" s="10">
        <v>0</v>
      </c>
      <c r="G350" s="10">
        <v>0</v>
      </c>
      <c r="H350" s="10">
        <v>0</v>
      </c>
      <c r="I350" s="10" t="s">
        <v>37</v>
      </c>
      <c r="J350" s="10">
        <v>0</v>
      </c>
      <c r="K350" s="10">
        <v>0</v>
      </c>
      <c r="L350" s="10">
        <v>0</v>
      </c>
      <c r="M350" s="10">
        <v>0</v>
      </c>
      <c r="N350" s="10" t="s">
        <v>761</v>
      </c>
      <c r="O350" s="10" t="s">
        <v>946</v>
      </c>
      <c r="P350" s="105" t="e">
        <f t="shared" si="5"/>
        <v>#DIV/0!</v>
      </c>
    </row>
    <row r="351" spans="1:16">
      <c r="A351" s="10" t="s">
        <v>635</v>
      </c>
      <c r="B351" s="10">
        <v>1501050</v>
      </c>
      <c r="C351" s="10" t="s">
        <v>759</v>
      </c>
      <c r="D351" s="10" t="s">
        <v>760</v>
      </c>
      <c r="E351" s="10">
        <v>0</v>
      </c>
      <c r="F351" s="10">
        <v>0</v>
      </c>
      <c r="G351" s="10">
        <v>0</v>
      </c>
      <c r="H351" s="10">
        <v>0</v>
      </c>
      <c r="I351" s="10" t="s">
        <v>74</v>
      </c>
      <c r="J351" s="10">
        <v>0</v>
      </c>
      <c r="K351" s="10">
        <v>0</v>
      </c>
      <c r="L351" s="10">
        <v>0</v>
      </c>
      <c r="M351" s="10">
        <v>0</v>
      </c>
      <c r="N351" s="10" t="s">
        <v>761</v>
      </c>
      <c r="O351" s="10" t="s">
        <v>947</v>
      </c>
      <c r="P351" s="105" t="e">
        <f t="shared" si="5"/>
        <v>#DIV/0!</v>
      </c>
    </row>
    <row r="352" spans="1:16">
      <c r="A352" s="10" t="s">
        <v>635</v>
      </c>
      <c r="B352" s="10">
        <v>1501051</v>
      </c>
      <c r="C352" s="10" t="s">
        <v>759</v>
      </c>
      <c r="D352" s="10" t="s">
        <v>760</v>
      </c>
      <c r="E352" s="10">
        <v>0</v>
      </c>
      <c r="F352" s="10">
        <v>0</v>
      </c>
      <c r="G352" s="10">
        <v>0</v>
      </c>
      <c r="H352" s="10">
        <v>0</v>
      </c>
      <c r="I352" s="10" t="s">
        <v>74</v>
      </c>
      <c r="J352" s="10">
        <v>0</v>
      </c>
      <c r="K352" s="10">
        <v>0</v>
      </c>
      <c r="L352" s="10">
        <v>0</v>
      </c>
      <c r="M352" s="10">
        <v>0</v>
      </c>
      <c r="N352" s="10" t="s">
        <v>761</v>
      </c>
      <c r="O352" s="10" t="s">
        <v>948</v>
      </c>
      <c r="P352" s="105" t="e">
        <f t="shared" si="5"/>
        <v>#DIV/0!</v>
      </c>
    </row>
    <row r="353" spans="1:16">
      <c r="A353" s="10" t="s">
        <v>635</v>
      </c>
      <c r="B353" s="10">
        <v>1501052</v>
      </c>
      <c r="C353" s="10" t="s">
        <v>759</v>
      </c>
      <c r="D353" s="10" t="s">
        <v>760</v>
      </c>
      <c r="E353" s="10">
        <v>0</v>
      </c>
      <c r="F353" s="10">
        <v>0</v>
      </c>
      <c r="G353" s="10">
        <v>0</v>
      </c>
      <c r="H353" s="10">
        <v>0</v>
      </c>
      <c r="I353" s="10" t="s">
        <v>74</v>
      </c>
      <c r="J353" s="10">
        <v>0</v>
      </c>
      <c r="K353" s="10">
        <v>0</v>
      </c>
      <c r="L353" s="10">
        <v>0</v>
      </c>
      <c r="M353" s="10">
        <v>0</v>
      </c>
      <c r="N353" s="10" t="s">
        <v>761</v>
      </c>
      <c r="O353" s="10" t="s">
        <v>949</v>
      </c>
      <c r="P353" s="105" t="e">
        <f t="shared" si="5"/>
        <v>#DIV/0!</v>
      </c>
    </row>
    <row r="354" spans="1:16">
      <c r="A354" s="10" t="s">
        <v>635</v>
      </c>
      <c r="B354" s="10">
        <v>1501053</v>
      </c>
      <c r="C354" s="10" t="s">
        <v>759</v>
      </c>
      <c r="D354" s="10" t="s">
        <v>760</v>
      </c>
      <c r="E354" s="10">
        <v>0</v>
      </c>
      <c r="F354" s="10">
        <v>0</v>
      </c>
      <c r="G354" s="10">
        <v>0</v>
      </c>
      <c r="H354" s="10">
        <v>0</v>
      </c>
      <c r="I354" s="10" t="s">
        <v>74</v>
      </c>
      <c r="J354" s="10">
        <v>0</v>
      </c>
      <c r="K354" s="10">
        <v>0</v>
      </c>
      <c r="L354" s="10">
        <v>0</v>
      </c>
      <c r="M354" s="10">
        <v>0</v>
      </c>
      <c r="N354" s="10" t="s">
        <v>761</v>
      </c>
      <c r="O354" s="10" t="s">
        <v>950</v>
      </c>
      <c r="P354" s="105" t="e">
        <f t="shared" si="5"/>
        <v>#DIV/0!</v>
      </c>
    </row>
    <row r="355" spans="1:16">
      <c r="A355" s="10" t="s">
        <v>635</v>
      </c>
      <c r="B355" s="10">
        <v>1501054</v>
      </c>
      <c r="C355" s="10" t="s">
        <v>759</v>
      </c>
      <c r="D355" s="10" t="s">
        <v>760</v>
      </c>
      <c r="E355" s="10">
        <v>0</v>
      </c>
      <c r="F355" s="10">
        <v>0</v>
      </c>
      <c r="G355" s="10">
        <v>0</v>
      </c>
      <c r="H355" s="10">
        <v>0</v>
      </c>
      <c r="I355" s="10" t="s">
        <v>74</v>
      </c>
      <c r="J355" s="10">
        <v>0</v>
      </c>
      <c r="K355" s="10">
        <v>0</v>
      </c>
      <c r="L355" s="10">
        <v>0</v>
      </c>
      <c r="M355" s="10">
        <v>0</v>
      </c>
      <c r="N355" s="10" t="s">
        <v>761</v>
      </c>
      <c r="O355" s="10" t="s">
        <v>951</v>
      </c>
      <c r="P355" s="105" t="e">
        <f t="shared" si="5"/>
        <v>#DIV/0!</v>
      </c>
    </row>
    <row r="356" spans="1:16">
      <c r="A356" s="10" t="s">
        <v>635</v>
      </c>
      <c r="B356" s="10">
        <v>1501055</v>
      </c>
      <c r="C356" s="10" t="s">
        <v>759</v>
      </c>
      <c r="D356" s="10" t="s">
        <v>760</v>
      </c>
      <c r="E356" s="10">
        <v>225</v>
      </c>
      <c r="F356" s="103">
        <v>1800</v>
      </c>
      <c r="G356" s="10">
        <v>0</v>
      </c>
      <c r="H356" s="103">
        <v>2025</v>
      </c>
      <c r="I356" s="10" t="s">
        <v>21</v>
      </c>
      <c r="J356" s="10">
        <v>82.5</v>
      </c>
      <c r="K356" s="10">
        <v>660</v>
      </c>
      <c r="L356" s="10">
        <v>0</v>
      </c>
      <c r="M356" s="10">
        <v>742.5</v>
      </c>
      <c r="N356" s="10" t="s">
        <v>761</v>
      </c>
      <c r="O356" s="10" t="s">
        <v>589</v>
      </c>
      <c r="P356" s="105">
        <f t="shared" si="5"/>
        <v>0.366666666666667</v>
      </c>
    </row>
    <row r="357" spans="1:16">
      <c r="A357" s="10" t="s">
        <v>635</v>
      </c>
      <c r="B357" s="10">
        <v>1501056</v>
      </c>
      <c r="C357" s="10" t="s">
        <v>759</v>
      </c>
      <c r="D357" s="10" t="s">
        <v>760</v>
      </c>
      <c r="E357" s="10">
        <v>0</v>
      </c>
      <c r="F357" s="10">
        <v>0</v>
      </c>
      <c r="G357" s="10">
        <v>0</v>
      </c>
      <c r="H357" s="10">
        <v>0</v>
      </c>
      <c r="I357" s="10" t="s">
        <v>37</v>
      </c>
      <c r="J357" s="10">
        <v>0</v>
      </c>
      <c r="K357" s="10">
        <v>0</v>
      </c>
      <c r="L357" s="10">
        <v>0</v>
      </c>
      <c r="M357" s="10">
        <v>0</v>
      </c>
      <c r="N357" s="10" t="s">
        <v>761</v>
      </c>
      <c r="O357" s="10" t="s">
        <v>952</v>
      </c>
      <c r="P357" s="105" t="e">
        <f t="shared" si="5"/>
        <v>#DIV/0!</v>
      </c>
    </row>
    <row r="358" spans="1:16">
      <c r="A358" s="10" t="s">
        <v>635</v>
      </c>
      <c r="B358" s="10">
        <v>1501057</v>
      </c>
      <c r="C358" s="10" t="s">
        <v>759</v>
      </c>
      <c r="D358" s="10" t="s">
        <v>760</v>
      </c>
      <c r="E358" s="10">
        <v>0</v>
      </c>
      <c r="F358" s="10">
        <v>0</v>
      </c>
      <c r="G358" s="10">
        <v>0</v>
      </c>
      <c r="H358" s="10">
        <v>0</v>
      </c>
      <c r="I358" s="10" t="s">
        <v>37</v>
      </c>
      <c r="J358" s="10">
        <v>0</v>
      </c>
      <c r="K358" s="10">
        <v>0</v>
      </c>
      <c r="L358" s="10">
        <v>0</v>
      </c>
      <c r="M358" s="10">
        <v>0</v>
      </c>
      <c r="N358" s="10" t="s">
        <v>761</v>
      </c>
      <c r="O358" s="10" t="s">
        <v>953</v>
      </c>
      <c r="P358" s="105" t="e">
        <f t="shared" si="5"/>
        <v>#DIV/0!</v>
      </c>
    </row>
    <row r="359" spans="1:16">
      <c r="A359" s="10" t="s">
        <v>635</v>
      </c>
      <c r="B359" s="10">
        <v>1501058</v>
      </c>
      <c r="C359" s="10" t="s">
        <v>759</v>
      </c>
      <c r="D359" s="10" t="s">
        <v>760</v>
      </c>
      <c r="E359" s="10">
        <v>0</v>
      </c>
      <c r="F359" s="10">
        <v>11</v>
      </c>
      <c r="G359" s="10">
        <v>0</v>
      </c>
      <c r="H359" s="10">
        <v>11</v>
      </c>
      <c r="I359" s="10" t="s">
        <v>37</v>
      </c>
      <c r="J359" s="10">
        <v>0</v>
      </c>
      <c r="K359" s="10">
        <v>104.5</v>
      </c>
      <c r="L359" s="10">
        <v>0</v>
      </c>
      <c r="M359" s="10">
        <v>104.5</v>
      </c>
      <c r="N359" s="10" t="s">
        <v>761</v>
      </c>
      <c r="O359" s="10" t="s">
        <v>541</v>
      </c>
      <c r="P359" s="105">
        <f t="shared" si="5"/>
        <v>9.5</v>
      </c>
    </row>
    <row r="360" spans="1:16">
      <c r="A360" s="10" t="s">
        <v>635</v>
      </c>
      <c r="B360" s="10">
        <v>1501059</v>
      </c>
      <c r="C360" s="10" t="s">
        <v>759</v>
      </c>
      <c r="D360" s="10" t="s">
        <v>760</v>
      </c>
      <c r="E360" s="10">
        <v>0</v>
      </c>
      <c r="F360" s="10">
        <v>0</v>
      </c>
      <c r="G360" s="10">
        <v>0</v>
      </c>
      <c r="H360" s="10">
        <v>0</v>
      </c>
      <c r="I360" s="10" t="s">
        <v>37</v>
      </c>
      <c r="J360" s="10">
        <v>0</v>
      </c>
      <c r="K360" s="10">
        <v>0</v>
      </c>
      <c r="L360" s="10">
        <v>0</v>
      </c>
      <c r="M360" s="10">
        <v>0</v>
      </c>
      <c r="N360" s="10" t="s">
        <v>761</v>
      </c>
      <c r="O360" s="10" t="s">
        <v>954</v>
      </c>
      <c r="P360" s="105" t="e">
        <f t="shared" si="5"/>
        <v>#DIV/0!</v>
      </c>
    </row>
    <row r="361" spans="1:16">
      <c r="A361" s="10" t="s">
        <v>635</v>
      </c>
      <c r="B361" s="10">
        <v>1501060</v>
      </c>
      <c r="C361" s="10" t="s">
        <v>759</v>
      </c>
      <c r="D361" s="10" t="s">
        <v>760</v>
      </c>
      <c r="E361" s="10">
        <v>0</v>
      </c>
      <c r="F361" s="10">
        <v>0</v>
      </c>
      <c r="G361" s="10">
        <v>0</v>
      </c>
      <c r="H361" s="10">
        <v>0</v>
      </c>
      <c r="I361" s="10" t="s">
        <v>37</v>
      </c>
      <c r="J361" s="10">
        <v>0</v>
      </c>
      <c r="K361" s="10">
        <v>0</v>
      </c>
      <c r="L361" s="10">
        <v>0</v>
      </c>
      <c r="M361" s="10">
        <v>0</v>
      </c>
      <c r="N361" s="10" t="s">
        <v>761</v>
      </c>
      <c r="O361" s="10" t="s">
        <v>955</v>
      </c>
      <c r="P361" s="105" t="e">
        <f t="shared" si="5"/>
        <v>#DIV/0!</v>
      </c>
    </row>
    <row r="362" spans="1:16">
      <c r="A362" s="10" t="s">
        <v>635</v>
      </c>
      <c r="B362" s="10">
        <v>1501063</v>
      </c>
      <c r="C362" s="10" t="s">
        <v>759</v>
      </c>
      <c r="D362" s="10" t="s">
        <v>760</v>
      </c>
      <c r="E362" s="10">
        <v>0</v>
      </c>
      <c r="F362" s="10">
        <v>0</v>
      </c>
      <c r="G362" s="10">
        <v>0</v>
      </c>
      <c r="H362" s="10">
        <v>0</v>
      </c>
      <c r="I362" s="10" t="s">
        <v>74</v>
      </c>
      <c r="J362" s="10">
        <v>0</v>
      </c>
      <c r="K362" s="10">
        <v>0</v>
      </c>
      <c r="L362" s="10">
        <v>0</v>
      </c>
      <c r="M362" s="10">
        <v>0</v>
      </c>
      <c r="N362" s="10" t="s">
        <v>761</v>
      </c>
      <c r="O362" s="10" t="s">
        <v>956</v>
      </c>
      <c r="P362" s="105" t="e">
        <f t="shared" si="5"/>
        <v>#DIV/0!</v>
      </c>
    </row>
    <row r="363" spans="1:16">
      <c r="A363" s="10" t="s">
        <v>635</v>
      </c>
      <c r="B363" s="10">
        <v>1501064</v>
      </c>
      <c r="C363" s="10" t="s">
        <v>759</v>
      </c>
      <c r="D363" s="10" t="s">
        <v>760</v>
      </c>
      <c r="E363" s="10">
        <v>0</v>
      </c>
      <c r="F363" s="10">
        <v>0</v>
      </c>
      <c r="G363" s="10">
        <v>0</v>
      </c>
      <c r="H363" s="10">
        <v>0</v>
      </c>
      <c r="I363" s="10" t="s">
        <v>74</v>
      </c>
      <c r="J363" s="10">
        <v>0</v>
      </c>
      <c r="K363" s="10">
        <v>0</v>
      </c>
      <c r="L363" s="10">
        <v>0</v>
      </c>
      <c r="M363" s="10">
        <v>0</v>
      </c>
      <c r="N363" s="10" t="s">
        <v>761</v>
      </c>
      <c r="O363" s="10" t="s">
        <v>957</v>
      </c>
      <c r="P363" s="105" t="e">
        <f t="shared" si="5"/>
        <v>#DIV/0!</v>
      </c>
    </row>
    <row r="364" spans="1:16">
      <c r="A364" s="10" t="s">
        <v>635</v>
      </c>
      <c r="B364" s="10">
        <v>1501065</v>
      </c>
      <c r="C364" s="10" t="s">
        <v>759</v>
      </c>
      <c r="D364" s="10" t="s">
        <v>760</v>
      </c>
      <c r="E364" s="10">
        <v>0</v>
      </c>
      <c r="F364" s="10">
        <v>0</v>
      </c>
      <c r="G364" s="10">
        <v>0</v>
      </c>
      <c r="H364" s="10">
        <v>0</v>
      </c>
      <c r="I364" s="10" t="s">
        <v>45</v>
      </c>
      <c r="J364" s="10">
        <v>0</v>
      </c>
      <c r="K364" s="10">
        <v>0</v>
      </c>
      <c r="L364" s="10">
        <v>0</v>
      </c>
      <c r="M364" s="10">
        <v>0</v>
      </c>
      <c r="N364" s="10" t="s">
        <v>761</v>
      </c>
      <c r="O364" s="10" t="s">
        <v>958</v>
      </c>
      <c r="P364" s="105" t="e">
        <f t="shared" si="5"/>
        <v>#DIV/0!</v>
      </c>
    </row>
    <row r="365" spans="1:16">
      <c r="A365" s="10" t="s">
        <v>635</v>
      </c>
      <c r="B365" s="10">
        <v>1501066</v>
      </c>
      <c r="C365" s="10" t="s">
        <v>759</v>
      </c>
      <c r="D365" s="10" t="s">
        <v>760</v>
      </c>
      <c r="E365" s="10">
        <v>0</v>
      </c>
      <c r="F365" s="10">
        <v>0</v>
      </c>
      <c r="G365" s="10">
        <v>0</v>
      </c>
      <c r="H365" s="10">
        <v>0</v>
      </c>
      <c r="I365" s="10" t="s">
        <v>37</v>
      </c>
      <c r="J365" s="10">
        <v>0</v>
      </c>
      <c r="K365" s="10">
        <v>0</v>
      </c>
      <c r="L365" s="10">
        <v>0</v>
      </c>
      <c r="M365" s="10">
        <v>0</v>
      </c>
      <c r="N365" s="10" t="s">
        <v>761</v>
      </c>
      <c r="O365" s="10" t="s">
        <v>959</v>
      </c>
      <c r="P365" s="105" t="e">
        <f t="shared" si="5"/>
        <v>#DIV/0!</v>
      </c>
    </row>
    <row r="366" spans="1:16">
      <c r="A366" s="10" t="s">
        <v>635</v>
      </c>
      <c r="B366" s="10">
        <v>1501067</v>
      </c>
      <c r="C366" s="10" t="s">
        <v>759</v>
      </c>
      <c r="D366" s="10" t="s">
        <v>760</v>
      </c>
      <c r="E366" s="10">
        <v>0</v>
      </c>
      <c r="F366" s="10">
        <v>0</v>
      </c>
      <c r="G366" s="10">
        <v>0</v>
      </c>
      <c r="H366" s="10">
        <v>0</v>
      </c>
      <c r="I366" s="10" t="s">
        <v>37</v>
      </c>
      <c r="J366" s="10">
        <v>0</v>
      </c>
      <c r="K366" s="10">
        <v>0</v>
      </c>
      <c r="L366" s="10">
        <v>0</v>
      </c>
      <c r="M366" s="10">
        <v>0</v>
      </c>
      <c r="N366" s="10" t="s">
        <v>761</v>
      </c>
      <c r="O366" s="10" t="s">
        <v>960</v>
      </c>
      <c r="P366" s="105" t="e">
        <f t="shared" si="5"/>
        <v>#DIV/0!</v>
      </c>
    </row>
    <row r="367" spans="1:16">
      <c r="A367" s="10" t="s">
        <v>635</v>
      </c>
      <c r="B367" s="10">
        <v>1501068</v>
      </c>
      <c r="C367" s="10" t="s">
        <v>759</v>
      </c>
      <c r="D367" s="10" t="s">
        <v>760</v>
      </c>
      <c r="E367" s="10">
        <v>0</v>
      </c>
      <c r="F367" s="10">
        <v>0</v>
      </c>
      <c r="G367" s="10">
        <v>0</v>
      </c>
      <c r="H367" s="10">
        <v>0</v>
      </c>
      <c r="I367" s="10" t="s">
        <v>30</v>
      </c>
      <c r="J367" s="10">
        <v>0</v>
      </c>
      <c r="K367" s="10">
        <v>0</v>
      </c>
      <c r="L367" s="10">
        <v>0</v>
      </c>
      <c r="M367" s="10">
        <v>0</v>
      </c>
      <c r="N367" s="10" t="s">
        <v>761</v>
      </c>
      <c r="O367" s="10" t="s">
        <v>961</v>
      </c>
      <c r="P367" s="105" t="e">
        <f t="shared" si="5"/>
        <v>#DIV/0!</v>
      </c>
    </row>
    <row r="368" spans="1:16">
      <c r="A368" s="10" t="s">
        <v>635</v>
      </c>
      <c r="B368" s="10">
        <v>1501069</v>
      </c>
      <c r="C368" s="10" t="s">
        <v>759</v>
      </c>
      <c r="D368" s="10" t="s">
        <v>760</v>
      </c>
      <c r="E368" s="10">
        <v>0</v>
      </c>
      <c r="F368" s="10">
        <v>0</v>
      </c>
      <c r="G368" s="10">
        <v>0</v>
      </c>
      <c r="H368" s="10">
        <v>0</v>
      </c>
      <c r="I368" s="10" t="s">
        <v>37</v>
      </c>
      <c r="J368" s="10">
        <v>0</v>
      </c>
      <c r="K368" s="10">
        <v>0</v>
      </c>
      <c r="L368" s="10">
        <v>0</v>
      </c>
      <c r="M368" s="10">
        <v>0</v>
      </c>
      <c r="N368" s="10" t="s">
        <v>761</v>
      </c>
      <c r="O368" s="10" t="s">
        <v>962</v>
      </c>
      <c r="P368" s="105" t="e">
        <f t="shared" si="5"/>
        <v>#DIV/0!</v>
      </c>
    </row>
    <row r="369" spans="1:16">
      <c r="A369" s="10" t="s">
        <v>635</v>
      </c>
      <c r="B369" s="10">
        <v>1501070</v>
      </c>
      <c r="C369" s="10" t="s">
        <v>759</v>
      </c>
      <c r="D369" s="10" t="s">
        <v>760</v>
      </c>
      <c r="E369" s="10">
        <v>0</v>
      </c>
      <c r="F369" s="10">
        <v>0</v>
      </c>
      <c r="G369" s="10">
        <v>0</v>
      </c>
      <c r="H369" s="10">
        <v>0</v>
      </c>
      <c r="I369" s="10" t="s">
        <v>74</v>
      </c>
      <c r="J369" s="10">
        <v>0</v>
      </c>
      <c r="K369" s="10">
        <v>0</v>
      </c>
      <c r="L369" s="10">
        <v>0</v>
      </c>
      <c r="M369" s="10">
        <v>0</v>
      </c>
      <c r="N369" s="10" t="s">
        <v>761</v>
      </c>
      <c r="O369" s="10" t="s">
        <v>963</v>
      </c>
      <c r="P369" s="105" t="e">
        <f t="shared" si="5"/>
        <v>#DIV/0!</v>
      </c>
    </row>
    <row r="370" spans="1:16">
      <c r="A370" s="10" t="s">
        <v>635</v>
      </c>
      <c r="B370" s="10">
        <v>1501151</v>
      </c>
      <c r="C370" s="10" t="s">
        <v>759</v>
      </c>
      <c r="D370" s="10" t="s">
        <v>760</v>
      </c>
      <c r="E370" s="10">
        <v>0</v>
      </c>
      <c r="F370" s="10">
        <v>0</v>
      </c>
      <c r="G370" s="10">
        <v>0</v>
      </c>
      <c r="H370" s="10">
        <v>0</v>
      </c>
      <c r="I370" s="10" t="s">
        <v>37</v>
      </c>
      <c r="J370" s="10">
        <v>0</v>
      </c>
      <c r="K370" s="10">
        <v>0</v>
      </c>
      <c r="L370" s="10">
        <v>0</v>
      </c>
      <c r="M370" s="10">
        <v>0</v>
      </c>
      <c r="N370" s="10" t="s">
        <v>761</v>
      </c>
      <c r="O370" s="10" t="s">
        <v>964</v>
      </c>
      <c r="P370" s="105" t="e">
        <f t="shared" si="5"/>
        <v>#DIV/0!</v>
      </c>
    </row>
    <row r="371" spans="1:16">
      <c r="A371" s="10" t="s">
        <v>635</v>
      </c>
      <c r="B371" s="10">
        <v>1501154</v>
      </c>
      <c r="C371" s="10" t="s">
        <v>759</v>
      </c>
      <c r="D371" s="10" t="s">
        <v>760</v>
      </c>
      <c r="E371" s="10">
        <v>144</v>
      </c>
      <c r="F371" s="10">
        <v>144</v>
      </c>
      <c r="G371" s="10">
        <v>0</v>
      </c>
      <c r="H371" s="10">
        <v>288</v>
      </c>
      <c r="I371" s="10" t="s">
        <v>30</v>
      </c>
      <c r="J371" s="10">
        <v>198.75</v>
      </c>
      <c r="K371" s="10">
        <v>195</v>
      </c>
      <c r="L371" s="10">
        <v>0</v>
      </c>
      <c r="M371" s="10">
        <v>393.75</v>
      </c>
      <c r="N371" s="10" t="s">
        <v>761</v>
      </c>
      <c r="O371" s="10" t="s">
        <v>143</v>
      </c>
      <c r="P371" s="105">
        <f t="shared" si="5"/>
        <v>1.3671875</v>
      </c>
    </row>
    <row r="372" spans="1:16">
      <c r="A372" s="10" t="s">
        <v>635</v>
      </c>
      <c r="B372" s="10">
        <v>1501155</v>
      </c>
      <c r="C372" s="10" t="s">
        <v>759</v>
      </c>
      <c r="D372" s="10" t="s">
        <v>760</v>
      </c>
      <c r="E372" s="10">
        <v>0</v>
      </c>
      <c r="F372" s="10">
        <v>96</v>
      </c>
      <c r="G372" s="10">
        <v>0</v>
      </c>
      <c r="H372" s="10">
        <v>96</v>
      </c>
      <c r="I372" s="10" t="s">
        <v>30</v>
      </c>
      <c r="J372" s="10">
        <v>0</v>
      </c>
      <c r="K372" s="10">
        <v>220</v>
      </c>
      <c r="L372" s="10">
        <v>0</v>
      </c>
      <c r="M372" s="10">
        <v>220</v>
      </c>
      <c r="N372" s="10" t="s">
        <v>761</v>
      </c>
      <c r="O372" s="10" t="s">
        <v>428</v>
      </c>
      <c r="P372" s="105">
        <f t="shared" si="5"/>
        <v>2.29166666666667</v>
      </c>
    </row>
    <row r="373" spans="1:16">
      <c r="A373" s="10" t="s">
        <v>635</v>
      </c>
      <c r="B373" s="10">
        <v>1501158</v>
      </c>
      <c r="C373" s="10" t="s">
        <v>759</v>
      </c>
      <c r="D373" s="10" t="s">
        <v>760</v>
      </c>
      <c r="E373" s="10">
        <v>0</v>
      </c>
      <c r="F373" s="10">
        <v>0</v>
      </c>
      <c r="G373" s="10">
        <v>0</v>
      </c>
      <c r="H373" s="10">
        <v>0</v>
      </c>
      <c r="I373" s="10" t="s">
        <v>74</v>
      </c>
      <c r="J373" s="10">
        <v>0</v>
      </c>
      <c r="K373" s="10">
        <v>0</v>
      </c>
      <c r="L373" s="10">
        <v>0</v>
      </c>
      <c r="M373" s="10">
        <v>0</v>
      </c>
      <c r="N373" s="10" t="s">
        <v>761</v>
      </c>
      <c r="O373" s="10" t="s">
        <v>965</v>
      </c>
      <c r="P373" s="105" t="e">
        <f t="shared" si="5"/>
        <v>#DIV/0!</v>
      </c>
    </row>
    <row r="374" spans="1:16">
      <c r="A374" s="10" t="s">
        <v>635</v>
      </c>
      <c r="B374" s="10">
        <v>1501159</v>
      </c>
      <c r="C374" s="10" t="s">
        <v>759</v>
      </c>
      <c r="D374" s="10" t="s">
        <v>760</v>
      </c>
      <c r="E374" s="10">
        <v>154.2</v>
      </c>
      <c r="F374" s="10">
        <v>722.31</v>
      </c>
      <c r="G374" s="10">
        <v>0</v>
      </c>
      <c r="H374" s="10">
        <v>876.51</v>
      </c>
      <c r="I374" s="10" t="s">
        <v>37</v>
      </c>
      <c r="J374" s="103">
        <v>1077.95</v>
      </c>
      <c r="K374" s="103">
        <v>5259.82</v>
      </c>
      <c r="L374" s="10">
        <v>0</v>
      </c>
      <c r="M374" s="103">
        <v>6337.77</v>
      </c>
      <c r="N374" s="10" t="s">
        <v>761</v>
      </c>
      <c r="O374" s="10" t="s">
        <v>374</v>
      </c>
      <c r="P374" s="105">
        <f t="shared" si="5"/>
        <v>7.23068761337577</v>
      </c>
    </row>
    <row r="375" spans="1:16">
      <c r="A375" s="10" t="s">
        <v>635</v>
      </c>
      <c r="B375" s="10">
        <v>1501160</v>
      </c>
      <c r="C375" s="10" t="s">
        <v>759</v>
      </c>
      <c r="D375" s="10" t="s">
        <v>760</v>
      </c>
      <c r="E375" s="10">
        <v>0</v>
      </c>
      <c r="F375" s="10">
        <v>45.4</v>
      </c>
      <c r="G375" s="10">
        <v>-45.4</v>
      </c>
      <c r="H375" s="10">
        <v>0</v>
      </c>
      <c r="I375" s="10" t="s">
        <v>37</v>
      </c>
      <c r="J375" s="10">
        <v>0</v>
      </c>
      <c r="K375" s="10">
        <v>160.28</v>
      </c>
      <c r="L375" s="10">
        <v>-160.28</v>
      </c>
      <c r="M375" s="10">
        <v>0</v>
      </c>
      <c r="N375" s="10" t="s">
        <v>761</v>
      </c>
      <c r="O375" s="10" t="s">
        <v>184</v>
      </c>
      <c r="P375" s="105" t="e">
        <f t="shared" si="5"/>
        <v>#DIV/0!</v>
      </c>
    </row>
    <row r="376" spans="1:16">
      <c r="A376" s="10" t="s">
        <v>635</v>
      </c>
      <c r="B376" s="10">
        <v>1501161</v>
      </c>
      <c r="C376" s="10" t="s">
        <v>759</v>
      </c>
      <c r="D376" s="10" t="s">
        <v>760</v>
      </c>
      <c r="E376" s="10">
        <v>1</v>
      </c>
      <c r="F376" s="10">
        <v>0</v>
      </c>
      <c r="G376" s="10">
        <v>0</v>
      </c>
      <c r="H376" s="10">
        <v>1</v>
      </c>
      <c r="I376" s="10" t="s">
        <v>37</v>
      </c>
      <c r="J376" s="10">
        <v>12.5</v>
      </c>
      <c r="K376" s="10">
        <v>0</v>
      </c>
      <c r="L376" s="10">
        <v>0</v>
      </c>
      <c r="M376" s="10">
        <v>12.5</v>
      </c>
      <c r="N376" s="10" t="s">
        <v>761</v>
      </c>
      <c r="O376" s="10" t="s">
        <v>69</v>
      </c>
      <c r="P376" s="105">
        <f t="shared" si="5"/>
        <v>12.5</v>
      </c>
    </row>
    <row r="377" spans="1:16">
      <c r="A377" s="10" t="s">
        <v>635</v>
      </c>
      <c r="B377" s="10">
        <v>1501165</v>
      </c>
      <c r="C377" s="10" t="s">
        <v>759</v>
      </c>
      <c r="D377" s="10" t="s">
        <v>760</v>
      </c>
      <c r="E377" s="10">
        <v>0</v>
      </c>
      <c r="F377" s="10">
        <v>0</v>
      </c>
      <c r="G377" s="10">
        <v>0</v>
      </c>
      <c r="H377" s="10">
        <v>0</v>
      </c>
      <c r="I377" s="10" t="s">
        <v>56</v>
      </c>
      <c r="J377" s="10">
        <v>0</v>
      </c>
      <c r="K377" s="10">
        <v>0</v>
      </c>
      <c r="L377" s="10">
        <v>0</v>
      </c>
      <c r="M377" s="10">
        <v>0</v>
      </c>
      <c r="N377" s="10" t="s">
        <v>761</v>
      </c>
      <c r="O377" s="10" t="s">
        <v>686</v>
      </c>
      <c r="P377" s="105" t="e">
        <f t="shared" si="5"/>
        <v>#DIV/0!</v>
      </c>
    </row>
    <row r="378" spans="1:16">
      <c r="A378" s="10" t="s">
        <v>635</v>
      </c>
      <c r="B378" s="10">
        <v>1501166</v>
      </c>
      <c r="C378" s="10" t="s">
        <v>759</v>
      </c>
      <c r="D378" s="10" t="s">
        <v>760</v>
      </c>
      <c r="E378" s="10">
        <v>0</v>
      </c>
      <c r="F378" s="10">
        <v>0</v>
      </c>
      <c r="G378" s="10">
        <v>0</v>
      </c>
      <c r="H378" s="10">
        <v>0</v>
      </c>
      <c r="I378" s="10" t="s">
        <v>74</v>
      </c>
      <c r="J378" s="10">
        <v>0</v>
      </c>
      <c r="K378" s="10">
        <v>0</v>
      </c>
      <c r="L378" s="10">
        <v>0</v>
      </c>
      <c r="M378" s="10">
        <v>0</v>
      </c>
      <c r="N378" s="10" t="s">
        <v>761</v>
      </c>
      <c r="O378" s="10" t="s">
        <v>966</v>
      </c>
      <c r="P378" s="105" t="e">
        <f t="shared" si="5"/>
        <v>#DIV/0!</v>
      </c>
    </row>
    <row r="379" spans="1:16">
      <c r="A379" s="10" t="s">
        <v>635</v>
      </c>
      <c r="B379" s="10">
        <v>1501167</v>
      </c>
      <c r="C379" s="10" t="s">
        <v>759</v>
      </c>
      <c r="D379" s="10" t="s">
        <v>760</v>
      </c>
      <c r="E379" s="10">
        <v>0</v>
      </c>
      <c r="F379" s="10">
        <v>0</v>
      </c>
      <c r="G379" s="10">
        <v>0</v>
      </c>
      <c r="H379" s="10">
        <v>0</v>
      </c>
      <c r="I379" s="10" t="s">
        <v>30</v>
      </c>
      <c r="J379" s="10">
        <v>0</v>
      </c>
      <c r="K379" s="10">
        <v>0</v>
      </c>
      <c r="L379" s="10">
        <v>0</v>
      </c>
      <c r="M379" s="10">
        <v>0</v>
      </c>
      <c r="N379" s="10" t="s">
        <v>761</v>
      </c>
      <c r="O379" s="10" t="s">
        <v>967</v>
      </c>
      <c r="P379" s="105" t="e">
        <f t="shared" si="5"/>
        <v>#DIV/0!</v>
      </c>
    </row>
    <row r="380" spans="1:16">
      <c r="A380" s="10" t="s">
        <v>635</v>
      </c>
      <c r="B380" s="10">
        <v>1501168</v>
      </c>
      <c r="C380" s="10" t="s">
        <v>759</v>
      </c>
      <c r="D380" s="10" t="s">
        <v>760</v>
      </c>
      <c r="E380" s="10">
        <v>10</v>
      </c>
      <c r="F380" s="10">
        <v>30</v>
      </c>
      <c r="G380" s="10">
        <v>0</v>
      </c>
      <c r="H380" s="10">
        <v>40</v>
      </c>
      <c r="I380" s="10" t="s">
        <v>37</v>
      </c>
      <c r="J380" s="10">
        <v>21.5</v>
      </c>
      <c r="K380" s="10">
        <v>64.5</v>
      </c>
      <c r="L380" s="10">
        <v>0</v>
      </c>
      <c r="M380" s="10">
        <v>86</v>
      </c>
      <c r="N380" s="10" t="s">
        <v>761</v>
      </c>
      <c r="O380" s="10" t="s">
        <v>405</v>
      </c>
      <c r="P380" s="105">
        <f t="shared" si="5"/>
        <v>2.15</v>
      </c>
    </row>
    <row r="381" spans="1:16">
      <c r="A381" s="10" t="s">
        <v>635</v>
      </c>
      <c r="B381" s="10">
        <v>1501169</v>
      </c>
      <c r="C381" s="10" t="s">
        <v>759</v>
      </c>
      <c r="D381" s="10" t="s">
        <v>760</v>
      </c>
      <c r="E381" s="10">
        <v>0</v>
      </c>
      <c r="F381" s="10">
        <v>0</v>
      </c>
      <c r="G381" s="10">
        <v>0</v>
      </c>
      <c r="H381" s="10">
        <v>0</v>
      </c>
      <c r="I381" s="10" t="s">
        <v>37</v>
      </c>
      <c r="J381" s="10">
        <v>0</v>
      </c>
      <c r="K381" s="10">
        <v>0</v>
      </c>
      <c r="L381" s="10">
        <v>0</v>
      </c>
      <c r="M381" s="10">
        <v>0</v>
      </c>
      <c r="N381" s="10" t="s">
        <v>761</v>
      </c>
      <c r="O381" s="10" t="s">
        <v>968</v>
      </c>
      <c r="P381" s="105" t="e">
        <f t="shared" si="5"/>
        <v>#DIV/0!</v>
      </c>
    </row>
    <row r="382" spans="1:16">
      <c r="A382" s="10" t="s">
        <v>635</v>
      </c>
      <c r="B382" s="10">
        <v>1501170</v>
      </c>
      <c r="C382" s="10" t="s">
        <v>759</v>
      </c>
      <c r="D382" s="10" t="s">
        <v>760</v>
      </c>
      <c r="E382" s="10">
        <v>0</v>
      </c>
      <c r="F382" s="10">
        <v>0</v>
      </c>
      <c r="G382" s="10">
        <v>0</v>
      </c>
      <c r="H382" s="10">
        <v>0</v>
      </c>
      <c r="I382" s="10" t="s">
        <v>37</v>
      </c>
      <c r="J382" s="10">
        <v>0</v>
      </c>
      <c r="K382" s="10">
        <v>0</v>
      </c>
      <c r="L382" s="10">
        <v>0</v>
      </c>
      <c r="M382" s="10">
        <v>0</v>
      </c>
      <c r="N382" s="10" t="s">
        <v>761</v>
      </c>
      <c r="O382" s="10" t="s">
        <v>969</v>
      </c>
      <c r="P382" s="105" t="e">
        <f t="shared" si="5"/>
        <v>#DIV/0!</v>
      </c>
    </row>
    <row r="383" spans="1:16">
      <c r="A383" s="10" t="s">
        <v>635</v>
      </c>
      <c r="B383" s="10">
        <v>1501171</v>
      </c>
      <c r="C383" s="10" t="s">
        <v>759</v>
      </c>
      <c r="D383" s="10" t="s">
        <v>760</v>
      </c>
      <c r="E383" s="10">
        <v>0</v>
      </c>
      <c r="F383" s="10">
        <v>0</v>
      </c>
      <c r="G383" s="10">
        <v>0</v>
      </c>
      <c r="H383" s="10">
        <v>0</v>
      </c>
      <c r="I383" s="10" t="s">
        <v>37</v>
      </c>
      <c r="J383" s="10">
        <v>0</v>
      </c>
      <c r="K383" s="10">
        <v>0</v>
      </c>
      <c r="L383" s="10">
        <v>0</v>
      </c>
      <c r="M383" s="10">
        <v>0</v>
      </c>
      <c r="N383" s="10" t="s">
        <v>761</v>
      </c>
      <c r="O383" s="10" t="s">
        <v>970</v>
      </c>
      <c r="P383" s="105" t="e">
        <f t="shared" si="5"/>
        <v>#DIV/0!</v>
      </c>
    </row>
    <row r="384" spans="1:16">
      <c r="A384" s="10" t="s">
        <v>635</v>
      </c>
      <c r="B384" s="10">
        <v>1501172</v>
      </c>
      <c r="C384" s="10" t="s">
        <v>759</v>
      </c>
      <c r="D384" s="10" t="s">
        <v>760</v>
      </c>
      <c r="E384" s="10">
        <v>0</v>
      </c>
      <c r="F384" s="10">
        <v>0</v>
      </c>
      <c r="G384" s="10">
        <v>0</v>
      </c>
      <c r="H384" s="10">
        <v>0</v>
      </c>
      <c r="I384" s="10" t="s">
        <v>74</v>
      </c>
      <c r="J384" s="10">
        <v>0</v>
      </c>
      <c r="K384" s="10">
        <v>0</v>
      </c>
      <c r="L384" s="10">
        <v>0</v>
      </c>
      <c r="M384" s="10">
        <v>0</v>
      </c>
      <c r="N384" s="10" t="s">
        <v>761</v>
      </c>
      <c r="O384" s="10" t="s">
        <v>971</v>
      </c>
      <c r="P384" s="105" t="e">
        <f t="shared" si="5"/>
        <v>#DIV/0!</v>
      </c>
    </row>
    <row r="385" spans="1:16">
      <c r="A385" s="10" t="s">
        <v>635</v>
      </c>
      <c r="B385" s="10">
        <v>1501174</v>
      </c>
      <c r="C385" s="10" t="s">
        <v>759</v>
      </c>
      <c r="D385" s="10" t="s">
        <v>760</v>
      </c>
      <c r="E385" s="10">
        <v>0</v>
      </c>
      <c r="F385" s="10">
        <v>0</v>
      </c>
      <c r="G385" s="10">
        <v>0</v>
      </c>
      <c r="H385" s="10">
        <v>0</v>
      </c>
      <c r="I385" s="10" t="s">
        <v>37</v>
      </c>
      <c r="J385" s="10">
        <v>0</v>
      </c>
      <c r="K385" s="10">
        <v>0</v>
      </c>
      <c r="L385" s="10">
        <v>0</v>
      </c>
      <c r="M385" s="10">
        <v>0</v>
      </c>
      <c r="N385" s="10" t="s">
        <v>761</v>
      </c>
      <c r="O385" s="10" t="s">
        <v>972</v>
      </c>
      <c r="P385" s="105" t="e">
        <f t="shared" si="5"/>
        <v>#DIV/0!</v>
      </c>
    </row>
    <row r="386" spans="1:16">
      <c r="A386" s="10" t="s">
        <v>635</v>
      </c>
      <c r="B386" s="10">
        <v>1501175</v>
      </c>
      <c r="C386" s="10" t="s">
        <v>759</v>
      </c>
      <c r="D386" s="10" t="s">
        <v>760</v>
      </c>
      <c r="E386" s="10">
        <v>0</v>
      </c>
      <c r="F386" s="10">
        <v>0</v>
      </c>
      <c r="G386" s="10">
        <v>0</v>
      </c>
      <c r="H386" s="10">
        <v>0</v>
      </c>
      <c r="I386" s="10" t="s">
        <v>37</v>
      </c>
      <c r="J386" s="10">
        <v>0</v>
      </c>
      <c r="K386" s="10">
        <v>0</v>
      </c>
      <c r="L386" s="10">
        <v>0</v>
      </c>
      <c r="M386" s="10">
        <v>0</v>
      </c>
      <c r="N386" s="10" t="s">
        <v>761</v>
      </c>
      <c r="O386" s="10" t="s">
        <v>973</v>
      </c>
      <c r="P386" s="105" t="e">
        <f t="shared" si="5"/>
        <v>#DIV/0!</v>
      </c>
    </row>
    <row r="387" spans="1:16">
      <c r="A387" s="10" t="s">
        <v>635</v>
      </c>
      <c r="B387" s="10">
        <v>1501178</v>
      </c>
      <c r="C387" s="10" t="s">
        <v>759</v>
      </c>
      <c r="D387" s="10" t="s">
        <v>760</v>
      </c>
      <c r="E387" s="10">
        <v>13</v>
      </c>
      <c r="F387" s="10">
        <v>290</v>
      </c>
      <c r="G387" s="10">
        <v>-144</v>
      </c>
      <c r="H387" s="10">
        <v>159</v>
      </c>
      <c r="I387" s="10" t="s">
        <v>74</v>
      </c>
      <c r="J387" s="10">
        <v>91</v>
      </c>
      <c r="K387" s="103">
        <v>2030</v>
      </c>
      <c r="L387" s="103">
        <v>-1008</v>
      </c>
      <c r="M387" s="103">
        <v>1113</v>
      </c>
      <c r="N387" s="10" t="s">
        <v>761</v>
      </c>
      <c r="O387" s="10" t="s">
        <v>295</v>
      </c>
      <c r="P387" s="105">
        <f t="shared" ref="P387:P450" si="6">M387/H387</f>
        <v>7</v>
      </c>
    </row>
    <row r="388" spans="1:16">
      <c r="A388" s="10" t="s">
        <v>635</v>
      </c>
      <c r="B388" s="10">
        <v>1501179</v>
      </c>
      <c r="C388" s="10" t="s">
        <v>759</v>
      </c>
      <c r="D388" s="10" t="s">
        <v>760</v>
      </c>
      <c r="E388" s="10">
        <v>0</v>
      </c>
      <c r="F388" s="10">
        <v>0</v>
      </c>
      <c r="G388" s="10">
        <v>0</v>
      </c>
      <c r="H388" s="10">
        <v>0</v>
      </c>
      <c r="I388" s="10" t="s">
        <v>37</v>
      </c>
      <c r="J388" s="10">
        <v>0</v>
      </c>
      <c r="K388" s="10">
        <v>0</v>
      </c>
      <c r="L388" s="10">
        <v>0</v>
      </c>
      <c r="M388" s="10">
        <v>0</v>
      </c>
      <c r="N388" s="10" t="s">
        <v>761</v>
      </c>
      <c r="O388" s="10" t="s">
        <v>974</v>
      </c>
      <c r="P388" s="105" t="e">
        <f t="shared" si="6"/>
        <v>#DIV/0!</v>
      </c>
    </row>
    <row r="389" spans="1:16">
      <c r="A389" s="10" t="s">
        <v>635</v>
      </c>
      <c r="B389" s="10">
        <v>1501180</v>
      </c>
      <c r="C389" s="10" t="s">
        <v>759</v>
      </c>
      <c r="D389" s="10" t="s">
        <v>760</v>
      </c>
      <c r="E389" s="10">
        <v>0</v>
      </c>
      <c r="F389" s="10">
        <v>0</v>
      </c>
      <c r="G389" s="10">
        <v>0</v>
      </c>
      <c r="H389" s="10">
        <v>0</v>
      </c>
      <c r="I389" s="10" t="s">
        <v>37</v>
      </c>
      <c r="J389" s="10">
        <v>0</v>
      </c>
      <c r="K389" s="10">
        <v>0</v>
      </c>
      <c r="L389" s="10">
        <v>0</v>
      </c>
      <c r="M389" s="10">
        <v>0</v>
      </c>
      <c r="N389" s="10" t="s">
        <v>761</v>
      </c>
      <c r="O389" s="10" t="s">
        <v>975</v>
      </c>
      <c r="P389" s="105" t="e">
        <f t="shared" si="6"/>
        <v>#DIV/0!</v>
      </c>
    </row>
    <row r="390" spans="1:16">
      <c r="A390" s="10" t="s">
        <v>635</v>
      </c>
      <c r="B390" s="10">
        <v>1501181</v>
      </c>
      <c r="C390" s="10" t="s">
        <v>759</v>
      </c>
      <c r="D390" s="10" t="s">
        <v>760</v>
      </c>
      <c r="E390" s="10">
        <v>0</v>
      </c>
      <c r="F390" s="10">
        <v>0</v>
      </c>
      <c r="G390" s="10">
        <v>0</v>
      </c>
      <c r="H390" s="10">
        <v>0</v>
      </c>
      <c r="I390" s="10" t="s">
        <v>74</v>
      </c>
      <c r="J390" s="10">
        <v>0</v>
      </c>
      <c r="K390" s="10">
        <v>0</v>
      </c>
      <c r="L390" s="10">
        <v>0</v>
      </c>
      <c r="M390" s="10">
        <v>0</v>
      </c>
      <c r="N390" s="10" t="s">
        <v>761</v>
      </c>
      <c r="O390" s="10" t="s">
        <v>976</v>
      </c>
      <c r="P390" s="105" t="e">
        <f t="shared" si="6"/>
        <v>#DIV/0!</v>
      </c>
    </row>
    <row r="391" spans="1:16">
      <c r="A391" s="10" t="s">
        <v>635</v>
      </c>
      <c r="B391" s="10">
        <v>1501190</v>
      </c>
      <c r="C391" s="10" t="s">
        <v>759</v>
      </c>
      <c r="D391" s="10" t="s">
        <v>760</v>
      </c>
      <c r="E391" s="10">
        <v>1</v>
      </c>
      <c r="F391" s="10">
        <v>25</v>
      </c>
      <c r="G391" s="10">
        <v>0</v>
      </c>
      <c r="H391" s="10">
        <v>26</v>
      </c>
      <c r="I391" s="10" t="s">
        <v>30</v>
      </c>
      <c r="J391" s="10">
        <v>8.23</v>
      </c>
      <c r="K391" s="10">
        <v>205.66</v>
      </c>
      <c r="L391" s="10">
        <v>0</v>
      </c>
      <c r="M391" s="10">
        <v>213.89</v>
      </c>
      <c r="N391" s="10" t="s">
        <v>761</v>
      </c>
      <c r="O391" s="10" t="s">
        <v>499</v>
      </c>
      <c r="P391" s="105">
        <f t="shared" si="6"/>
        <v>8.22653846153846</v>
      </c>
    </row>
    <row r="392" spans="1:16">
      <c r="A392" s="10" t="s">
        <v>635</v>
      </c>
      <c r="B392" s="10">
        <v>1501191</v>
      </c>
      <c r="C392" s="10" t="s">
        <v>759</v>
      </c>
      <c r="D392" s="10" t="s">
        <v>760</v>
      </c>
      <c r="E392" s="10">
        <v>0</v>
      </c>
      <c r="F392" s="10">
        <v>0</v>
      </c>
      <c r="G392" s="10">
        <v>0</v>
      </c>
      <c r="H392" s="10">
        <v>0</v>
      </c>
      <c r="I392" s="10" t="s">
        <v>30</v>
      </c>
      <c r="J392" s="10">
        <v>0</v>
      </c>
      <c r="K392" s="10">
        <v>0</v>
      </c>
      <c r="L392" s="10">
        <v>0</v>
      </c>
      <c r="M392" s="10">
        <v>0</v>
      </c>
      <c r="N392" s="10" t="s">
        <v>761</v>
      </c>
      <c r="O392" s="10" t="s">
        <v>977</v>
      </c>
      <c r="P392" s="105" t="e">
        <f t="shared" si="6"/>
        <v>#DIV/0!</v>
      </c>
    </row>
    <row r="393" spans="1:16">
      <c r="A393" s="10" t="s">
        <v>635</v>
      </c>
      <c r="B393" s="10">
        <v>1501192</v>
      </c>
      <c r="C393" s="10" t="s">
        <v>759</v>
      </c>
      <c r="D393" s="10" t="s">
        <v>760</v>
      </c>
      <c r="E393" s="10">
        <v>10</v>
      </c>
      <c r="F393" s="10">
        <v>0</v>
      </c>
      <c r="G393" s="10">
        <v>0</v>
      </c>
      <c r="H393" s="10">
        <v>10</v>
      </c>
      <c r="I393" s="10" t="s">
        <v>30</v>
      </c>
      <c r="J393" s="10">
        <v>32.43</v>
      </c>
      <c r="K393" s="10">
        <v>0</v>
      </c>
      <c r="L393" s="10">
        <v>0</v>
      </c>
      <c r="M393" s="10">
        <v>32.43</v>
      </c>
      <c r="N393" s="10" t="s">
        <v>761</v>
      </c>
      <c r="O393" s="10" t="s">
        <v>498</v>
      </c>
      <c r="P393" s="105">
        <f t="shared" si="6"/>
        <v>3.243</v>
      </c>
    </row>
    <row r="394" spans="1:16">
      <c r="A394" s="10" t="s">
        <v>635</v>
      </c>
      <c r="B394" s="10">
        <v>1501193</v>
      </c>
      <c r="C394" s="10" t="s">
        <v>759</v>
      </c>
      <c r="D394" s="10" t="s">
        <v>760</v>
      </c>
      <c r="E394" s="10">
        <v>5.94</v>
      </c>
      <c r="F394" s="10">
        <v>4.9</v>
      </c>
      <c r="G394" s="10">
        <v>0</v>
      </c>
      <c r="H394" s="10">
        <v>10.84</v>
      </c>
      <c r="I394" s="10" t="s">
        <v>37</v>
      </c>
      <c r="J394" s="10">
        <v>116.5</v>
      </c>
      <c r="K394" s="10">
        <v>96.04</v>
      </c>
      <c r="L394" s="10">
        <v>0</v>
      </c>
      <c r="M394" s="10">
        <v>212.54</v>
      </c>
      <c r="N394" s="10" t="s">
        <v>761</v>
      </c>
      <c r="O394" s="10" t="s">
        <v>35</v>
      </c>
      <c r="P394" s="105">
        <f t="shared" si="6"/>
        <v>19.6070110701107</v>
      </c>
    </row>
    <row r="395" spans="1:16">
      <c r="A395" s="10" t="s">
        <v>635</v>
      </c>
      <c r="B395" s="10">
        <v>1501207</v>
      </c>
      <c r="C395" s="10" t="s">
        <v>759</v>
      </c>
      <c r="D395" s="10" t="s">
        <v>760</v>
      </c>
      <c r="E395" s="10">
        <v>0</v>
      </c>
      <c r="F395" s="10">
        <v>0</v>
      </c>
      <c r="G395" s="10">
        <v>0</v>
      </c>
      <c r="H395" s="10">
        <v>0</v>
      </c>
      <c r="I395" s="10" t="s">
        <v>37</v>
      </c>
      <c r="J395" s="10">
        <v>0</v>
      </c>
      <c r="K395" s="10">
        <v>0</v>
      </c>
      <c r="L395" s="10">
        <v>0</v>
      </c>
      <c r="M395" s="10">
        <v>0</v>
      </c>
      <c r="N395" s="10" t="s">
        <v>761</v>
      </c>
      <c r="O395" s="10" t="s">
        <v>978</v>
      </c>
      <c r="P395" s="105" t="e">
        <f t="shared" si="6"/>
        <v>#DIV/0!</v>
      </c>
    </row>
    <row r="396" spans="1:16">
      <c r="A396" s="10" t="s">
        <v>635</v>
      </c>
      <c r="B396" s="10">
        <v>1501214</v>
      </c>
      <c r="C396" s="10" t="s">
        <v>759</v>
      </c>
      <c r="D396" s="10" t="s">
        <v>760</v>
      </c>
      <c r="E396" s="10">
        <v>0</v>
      </c>
      <c r="F396" s="10">
        <v>0</v>
      </c>
      <c r="G396" s="10">
        <v>0</v>
      </c>
      <c r="H396" s="10">
        <v>0</v>
      </c>
      <c r="I396" s="10" t="s">
        <v>37</v>
      </c>
      <c r="J396" s="10">
        <v>0</v>
      </c>
      <c r="K396" s="10">
        <v>0</v>
      </c>
      <c r="L396" s="10">
        <v>0</v>
      </c>
      <c r="M396" s="10">
        <v>0</v>
      </c>
      <c r="N396" s="10" t="s">
        <v>761</v>
      </c>
      <c r="O396" s="10" t="s">
        <v>979</v>
      </c>
      <c r="P396" s="105" t="e">
        <f t="shared" si="6"/>
        <v>#DIV/0!</v>
      </c>
    </row>
    <row r="397" spans="1:16">
      <c r="A397" s="10" t="s">
        <v>635</v>
      </c>
      <c r="B397" s="10">
        <v>1501218</v>
      </c>
      <c r="C397" s="10" t="s">
        <v>759</v>
      </c>
      <c r="D397" s="10" t="s">
        <v>760</v>
      </c>
      <c r="E397" s="10">
        <v>0</v>
      </c>
      <c r="F397" s="10">
        <v>0</v>
      </c>
      <c r="G397" s="10">
        <v>0</v>
      </c>
      <c r="H397" s="10">
        <v>0</v>
      </c>
      <c r="I397" s="10" t="s">
        <v>37</v>
      </c>
      <c r="J397" s="10">
        <v>0</v>
      </c>
      <c r="K397" s="10">
        <v>0</v>
      </c>
      <c r="L397" s="10">
        <v>0</v>
      </c>
      <c r="M397" s="10">
        <v>0</v>
      </c>
      <c r="N397" s="10" t="s">
        <v>761</v>
      </c>
      <c r="O397" s="10" t="s">
        <v>980</v>
      </c>
      <c r="P397" s="105" t="e">
        <f t="shared" si="6"/>
        <v>#DIV/0!</v>
      </c>
    </row>
    <row r="398" spans="1:16">
      <c r="A398" s="10" t="s">
        <v>635</v>
      </c>
      <c r="B398" s="10">
        <v>1501223</v>
      </c>
      <c r="C398" s="10" t="s">
        <v>759</v>
      </c>
      <c r="D398" s="10" t="s">
        <v>760</v>
      </c>
      <c r="E398" s="10">
        <v>0</v>
      </c>
      <c r="F398" s="10">
        <v>0</v>
      </c>
      <c r="G398" s="10">
        <v>0</v>
      </c>
      <c r="H398" s="10">
        <v>0</v>
      </c>
      <c r="I398" s="10" t="s">
        <v>74</v>
      </c>
      <c r="J398" s="10">
        <v>0</v>
      </c>
      <c r="K398" s="10">
        <v>0</v>
      </c>
      <c r="L398" s="10">
        <v>0</v>
      </c>
      <c r="M398" s="10">
        <v>0</v>
      </c>
      <c r="N398" s="10" t="s">
        <v>761</v>
      </c>
      <c r="O398" s="10" t="s">
        <v>981</v>
      </c>
      <c r="P398" s="105" t="e">
        <f t="shared" si="6"/>
        <v>#DIV/0!</v>
      </c>
    </row>
    <row r="399" spans="1:16">
      <c r="A399" s="10" t="s">
        <v>635</v>
      </c>
      <c r="B399" s="10">
        <v>1501225</v>
      </c>
      <c r="C399" s="10" t="s">
        <v>759</v>
      </c>
      <c r="D399" s="10" t="s">
        <v>760</v>
      </c>
      <c r="E399" s="10">
        <v>0</v>
      </c>
      <c r="F399" s="10">
        <v>0</v>
      </c>
      <c r="G399" s="10">
        <v>0</v>
      </c>
      <c r="H399" s="10">
        <v>0</v>
      </c>
      <c r="I399" s="10" t="s">
        <v>138</v>
      </c>
      <c r="J399" s="10">
        <v>0</v>
      </c>
      <c r="K399" s="10">
        <v>0</v>
      </c>
      <c r="L399" s="10">
        <v>0</v>
      </c>
      <c r="M399" s="10">
        <v>0</v>
      </c>
      <c r="N399" s="10" t="s">
        <v>761</v>
      </c>
      <c r="O399" s="10" t="s">
        <v>982</v>
      </c>
      <c r="P399" s="105" t="e">
        <f t="shared" si="6"/>
        <v>#DIV/0!</v>
      </c>
    </row>
    <row r="400" spans="1:16">
      <c r="A400" s="10" t="s">
        <v>635</v>
      </c>
      <c r="B400" s="10">
        <v>1501227</v>
      </c>
      <c r="C400" s="10" t="s">
        <v>759</v>
      </c>
      <c r="D400" s="10" t="s">
        <v>760</v>
      </c>
      <c r="E400" s="10">
        <v>0</v>
      </c>
      <c r="F400" s="10">
        <v>0</v>
      </c>
      <c r="G400" s="10">
        <v>0</v>
      </c>
      <c r="H400" s="10">
        <v>0</v>
      </c>
      <c r="I400" s="10" t="s">
        <v>33</v>
      </c>
      <c r="J400" s="10">
        <v>0</v>
      </c>
      <c r="K400" s="10">
        <v>0</v>
      </c>
      <c r="L400" s="10">
        <v>0</v>
      </c>
      <c r="M400" s="10">
        <v>0</v>
      </c>
      <c r="N400" s="10" t="s">
        <v>761</v>
      </c>
      <c r="O400" s="10" t="s">
        <v>983</v>
      </c>
      <c r="P400" s="105" t="e">
        <f t="shared" si="6"/>
        <v>#DIV/0!</v>
      </c>
    </row>
    <row r="401" spans="1:16">
      <c r="A401" s="10" t="s">
        <v>635</v>
      </c>
      <c r="B401" s="10">
        <v>1501235</v>
      </c>
      <c r="C401" s="10" t="s">
        <v>759</v>
      </c>
      <c r="D401" s="10" t="s">
        <v>760</v>
      </c>
      <c r="E401" s="10">
        <v>0</v>
      </c>
      <c r="F401" s="10">
        <v>0</v>
      </c>
      <c r="G401" s="10">
        <v>0</v>
      </c>
      <c r="H401" s="10">
        <v>0</v>
      </c>
      <c r="I401" s="10" t="s">
        <v>56</v>
      </c>
      <c r="J401" s="10">
        <v>0</v>
      </c>
      <c r="K401" s="10">
        <v>0</v>
      </c>
      <c r="L401" s="10">
        <v>0</v>
      </c>
      <c r="M401" s="10">
        <v>0</v>
      </c>
      <c r="N401" s="10" t="s">
        <v>761</v>
      </c>
      <c r="O401" s="10" t="s">
        <v>984</v>
      </c>
      <c r="P401" s="105" t="e">
        <f t="shared" si="6"/>
        <v>#DIV/0!</v>
      </c>
    </row>
    <row r="402" spans="1:16">
      <c r="A402" s="10" t="s">
        <v>635</v>
      </c>
      <c r="B402" s="10">
        <v>1501236</v>
      </c>
      <c r="C402" s="10" t="s">
        <v>759</v>
      </c>
      <c r="D402" s="10" t="s">
        <v>760</v>
      </c>
      <c r="E402" s="10">
        <v>0</v>
      </c>
      <c r="F402" s="10">
        <v>0</v>
      </c>
      <c r="G402" s="10">
        <v>0</v>
      </c>
      <c r="H402" s="10">
        <v>0</v>
      </c>
      <c r="I402" s="10" t="s">
        <v>30</v>
      </c>
      <c r="J402" s="10">
        <v>0</v>
      </c>
      <c r="K402" s="10">
        <v>0</v>
      </c>
      <c r="L402" s="10">
        <v>0</v>
      </c>
      <c r="M402" s="10">
        <v>0</v>
      </c>
      <c r="N402" s="10" t="s">
        <v>761</v>
      </c>
      <c r="O402" s="10" t="s">
        <v>985</v>
      </c>
      <c r="P402" s="105" t="e">
        <f t="shared" si="6"/>
        <v>#DIV/0!</v>
      </c>
    </row>
    <row r="403" spans="1:16">
      <c r="A403" s="10" t="s">
        <v>635</v>
      </c>
      <c r="B403" s="10">
        <v>1501243</v>
      </c>
      <c r="C403" s="10" t="s">
        <v>759</v>
      </c>
      <c r="D403" s="10" t="s">
        <v>760</v>
      </c>
      <c r="E403" s="10">
        <v>0</v>
      </c>
      <c r="F403" s="10">
        <v>0</v>
      </c>
      <c r="G403" s="10">
        <v>0</v>
      </c>
      <c r="H403" s="10">
        <v>0</v>
      </c>
      <c r="I403" s="10" t="s">
        <v>74</v>
      </c>
      <c r="J403" s="10">
        <v>0</v>
      </c>
      <c r="K403" s="10">
        <v>0</v>
      </c>
      <c r="L403" s="10">
        <v>0</v>
      </c>
      <c r="M403" s="10">
        <v>0</v>
      </c>
      <c r="N403" s="10" t="s">
        <v>761</v>
      </c>
      <c r="O403" s="10" t="s">
        <v>986</v>
      </c>
      <c r="P403" s="105" t="e">
        <f t="shared" si="6"/>
        <v>#DIV/0!</v>
      </c>
    </row>
    <row r="404" spans="1:16">
      <c r="A404" s="10" t="s">
        <v>635</v>
      </c>
      <c r="B404" s="10">
        <v>1501246</v>
      </c>
      <c r="C404" s="10" t="s">
        <v>759</v>
      </c>
      <c r="D404" s="10" t="s">
        <v>760</v>
      </c>
      <c r="E404" s="10">
        <v>0</v>
      </c>
      <c r="F404" s="10">
        <v>0</v>
      </c>
      <c r="G404" s="10">
        <v>0</v>
      </c>
      <c r="H404" s="10">
        <v>0</v>
      </c>
      <c r="I404" s="10" t="s">
        <v>30</v>
      </c>
      <c r="J404" s="10">
        <v>0</v>
      </c>
      <c r="K404" s="10">
        <v>0</v>
      </c>
      <c r="L404" s="10">
        <v>0</v>
      </c>
      <c r="M404" s="10">
        <v>0</v>
      </c>
      <c r="N404" s="10" t="s">
        <v>761</v>
      </c>
      <c r="O404" s="10" t="s">
        <v>987</v>
      </c>
      <c r="P404" s="105" t="e">
        <f t="shared" si="6"/>
        <v>#DIV/0!</v>
      </c>
    </row>
    <row r="405" spans="1:16">
      <c r="A405" s="10" t="s">
        <v>635</v>
      </c>
      <c r="B405" s="10">
        <v>1501251</v>
      </c>
      <c r="C405" s="10" t="s">
        <v>759</v>
      </c>
      <c r="D405" s="10" t="s">
        <v>760</v>
      </c>
      <c r="E405" s="10">
        <v>0</v>
      </c>
      <c r="F405" s="10">
        <v>0</v>
      </c>
      <c r="G405" s="10">
        <v>0</v>
      </c>
      <c r="H405" s="10">
        <v>0</v>
      </c>
      <c r="I405" s="10" t="s">
        <v>74</v>
      </c>
      <c r="J405" s="10">
        <v>0</v>
      </c>
      <c r="K405" s="10">
        <v>0</v>
      </c>
      <c r="L405" s="10">
        <v>0</v>
      </c>
      <c r="M405" s="10">
        <v>0</v>
      </c>
      <c r="N405" s="10" t="s">
        <v>761</v>
      </c>
      <c r="O405" s="10" t="s">
        <v>988</v>
      </c>
      <c r="P405" s="105" t="e">
        <f t="shared" si="6"/>
        <v>#DIV/0!</v>
      </c>
    </row>
    <row r="406" spans="1:16">
      <c r="A406" s="10" t="s">
        <v>635</v>
      </c>
      <c r="B406" s="10">
        <v>1501253</v>
      </c>
      <c r="C406" s="10" t="s">
        <v>759</v>
      </c>
      <c r="D406" s="10" t="s">
        <v>760</v>
      </c>
      <c r="E406" s="10">
        <v>0</v>
      </c>
      <c r="F406" s="10">
        <v>100</v>
      </c>
      <c r="G406" s="10">
        <v>-24.63</v>
      </c>
      <c r="H406" s="10">
        <v>75.37</v>
      </c>
      <c r="I406" s="10" t="s">
        <v>74</v>
      </c>
      <c r="J406" s="10">
        <v>0</v>
      </c>
      <c r="K406" s="10">
        <v>693.93</v>
      </c>
      <c r="L406" s="10">
        <v>-170.91</v>
      </c>
      <c r="M406" s="10">
        <v>523.02</v>
      </c>
      <c r="N406" s="10" t="s">
        <v>761</v>
      </c>
      <c r="O406" s="10" t="s">
        <v>385</v>
      </c>
      <c r="P406" s="105">
        <f t="shared" si="6"/>
        <v>6.93936579540931</v>
      </c>
    </row>
    <row r="407" spans="1:16">
      <c r="A407" s="10" t="s">
        <v>635</v>
      </c>
      <c r="B407" s="10">
        <v>1501255</v>
      </c>
      <c r="C407" s="10" t="s">
        <v>759</v>
      </c>
      <c r="D407" s="10" t="s">
        <v>760</v>
      </c>
      <c r="E407" s="10">
        <v>0</v>
      </c>
      <c r="F407" s="10">
        <v>0</v>
      </c>
      <c r="G407" s="10">
        <v>0</v>
      </c>
      <c r="H407" s="10">
        <v>0</v>
      </c>
      <c r="I407" s="10" t="s">
        <v>74</v>
      </c>
      <c r="J407" s="10">
        <v>0</v>
      </c>
      <c r="K407" s="10">
        <v>0</v>
      </c>
      <c r="L407" s="10">
        <v>0</v>
      </c>
      <c r="M407" s="10">
        <v>0</v>
      </c>
      <c r="N407" s="10" t="s">
        <v>761</v>
      </c>
      <c r="O407" s="10" t="s">
        <v>989</v>
      </c>
      <c r="P407" s="105" t="e">
        <f t="shared" si="6"/>
        <v>#DIV/0!</v>
      </c>
    </row>
    <row r="408" spans="1:16">
      <c r="A408" s="10" t="s">
        <v>635</v>
      </c>
      <c r="B408" s="10">
        <v>1501269</v>
      </c>
      <c r="C408" s="10" t="s">
        <v>759</v>
      </c>
      <c r="D408" s="10" t="s">
        <v>760</v>
      </c>
      <c r="E408" s="10">
        <v>0</v>
      </c>
      <c r="F408" s="10">
        <v>0</v>
      </c>
      <c r="G408" s="10">
        <v>0</v>
      </c>
      <c r="H408" s="10">
        <v>0</v>
      </c>
      <c r="I408" s="10" t="s">
        <v>30</v>
      </c>
      <c r="J408" s="10">
        <v>0</v>
      </c>
      <c r="K408" s="10">
        <v>0</v>
      </c>
      <c r="L408" s="10">
        <v>0</v>
      </c>
      <c r="M408" s="10">
        <v>0</v>
      </c>
      <c r="N408" s="10" t="s">
        <v>761</v>
      </c>
      <c r="O408" s="10" t="s">
        <v>990</v>
      </c>
      <c r="P408" s="105" t="e">
        <f t="shared" si="6"/>
        <v>#DIV/0!</v>
      </c>
    </row>
    <row r="409" spans="1:16">
      <c r="A409" s="10" t="s">
        <v>635</v>
      </c>
      <c r="B409" s="10">
        <v>1501270</v>
      </c>
      <c r="C409" s="10" t="s">
        <v>759</v>
      </c>
      <c r="D409" s="10" t="s">
        <v>760</v>
      </c>
      <c r="E409" s="10">
        <v>0</v>
      </c>
      <c r="F409" s="10">
        <v>0</v>
      </c>
      <c r="G409" s="10">
        <v>0</v>
      </c>
      <c r="H409" s="10">
        <v>0</v>
      </c>
      <c r="I409" s="10" t="s">
        <v>37</v>
      </c>
      <c r="J409" s="10">
        <v>0</v>
      </c>
      <c r="K409" s="10">
        <v>0</v>
      </c>
      <c r="L409" s="10">
        <v>0</v>
      </c>
      <c r="M409" s="10">
        <v>0</v>
      </c>
      <c r="N409" s="10" t="s">
        <v>761</v>
      </c>
      <c r="O409" s="10" t="s">
        <v>991</v>
      </c>
      <c r="P409" s="105" t="e">
        <f t="shared" si="6"/>
        <v>#DIV/0!</v>
      </c>
    </row>
    <row r="410" spans="1:16">
      <c r="A410" s="10" t="s">
        <v>635</v>
      </c>
      <c r="B410" s="10">
        <v>1501271</v>
      </c>
      <c r="C410" s="10" t="s">
        <v>759</v>
      </c>
      <c r="D410" s="10" t="s">
        <v>760</v>
      </c>
      <c r="E410" s="10">
        <v>0</v>
      </c>
      <c r="F410" s="10">
        <v>0</v>
      </c>
      <c r="G410" s="10">
        <v>0</v>
      </c>
      <c r="H410" s="10">
        <v>0</v>
      </c>
      <c r="I410" s="10" t="s">
        <v>37</v>
      </c>
      <c r="J410" s="10">
        <v>0</v>
      </c>
      <c r="K410" s="10">
        <v>0</v>
      </c>
      <c r="L410" s="10">
        <v>0</v>
      </c>
      <c r="M410" s="10">
        <v>0</v>
      </c>
      <c r="N410" s="10" t="s">
        <v>761</v>
      </c>
      <c r="O410" s="10" t="s">
        <v>992</v>
      </c>
      <c r="P410" s="105" t="e">
        <f t="shared" si="6"/>
        <v>#DIV/0!</v>
      </c>
    </row>
    <row r="411" spans="1:16">
      <c r="A411" s="10" t="s">
        <v>635</v>
      </c>
      <c r="B411" s="10">
        <v>1501273</v>
      </c>
      <c r="C411" s="10" t="s">
        <v>759</v>
      </c>
      <c r="D411" s="10" t="s">
        <v>760</v>
      </c>
      <c r="E411" s="10">
        <v>0</v>
      </c>
      <c r="F411" s="10">
        <v>0</v>
      </c>
      <c r="G411" s="10">
        <v>0</v>
      </c>
      <c r="H411" s="10">
        <v>0</v>
      </c>
      <c r="I411" s="10" t="s">
        <v>74</v>
      </c>
      <c r="J411" s="10">
        <v>0</v>
      </c>
      <c r="K411" s="10">
        <v>0</v>
      </c>
      <c r="L411" s="10">
        <v>0</v>
      </c>
      <c r="M411" s="10">
        <v>0</v>
      </c>
      <c r="N411" s="10" t="s">
        <v>761</v>
      </c>
      <c r="O411" s="10" t="s">
        <v>993</v>
      </c>
      <c r="P411" s="105" t="e">
        <f t="shared" si="6"/>
        <v>#DIV/0!</v>
      </c>
    </row>
    <row r="412" spans="1:16">
      <c r="A412" s="10" t="s">
        <v>635</v>
      </c>
      <c r="B412" s="10">
        <v>1501275</v>
      </c>
      <c r="C412" s="10" t="s">
        <v>759</v>
      </c>
      <c r="D412" s="10" t="s">
        <v>760</v>
      </c>
      <c r="E412" s="10">
        <v>44.15</v>
      </c>
      <c r="F412" s="10">
        <v>480.6</v>
      </c>
      <c r="G412" s="10">
        <v>0</v>
      </c>
      <c r="H412" s="10">
        <v>524.75</v>
      </c>
      <c r="I412" s="10" t="s">
        <v>37</v>
      </c>
      <c r="J412" s="10">
        <v>551.88</v>
      </c>
      <c r="K412" s="103">
        <v>6397.71</v>
      </c>
      <c r="L412" s="10">
        <v>0</v>
      </c>
      <c r="M412" s="103">
        <v>6949.59</v>
      </c>
      <c r="N412" s="10" t="s">
        <v>761</v>
      </c>
      <c r="O412" s="10" t="s">
        <v>510</v>
      </c>
      <c r="P412" s="105">
        <f t="shared" si="6"/>
        <v>13.2436207717961</v>
      </c>
    </row>
    <row r="413" spans="1:16">
      <c r="A413" s="10" t="s">
        <v>635</v>
      </c>
      <c r="B413" s="10">
        <v>1501276</v>
      </c>
      <c r="C413" s="10" t="s">
        <v>759</v>
      </c>
      <c r="D413" s="10" t="s">
        <v>760</v>
      </c>
      <c r="E413" s="10">
        <v>0</v>
      </c>
      <c r="F413" s="10">
        <v>0</v>
      </c>
      <c r="G413" s="10">
        <v>0</v>
      </c>
      <c r="H413" s="10">
        <v>0</v>
      </c>
      <c r="I413" s="10" t="s">
        <v>37</v>
      </c>
      <c r="J413" s="10">
        <v>0</v>
      </c>
      <c r="K413" s="10">
        <v>0</v>
      </c>
      <c r="L413" s="10">
        <v>0</v>
      </c>
      <c r="M413" s="10">
        <v>0</v>
      </c>
      <c r="N413" s="10" t="s">
        <v>761</v>
      </c>
      <c r="O413" s="10" t="s">
        <v>994</v>
      </c>
      <c r="P413" s="105" t="e">
        <f t="shared" si="6"/>
        <v>#DIV/0!</v>
      </c>
    </row>
    <row r="414" spans="1:16">
      <c r="A414" s="10" t="s">
        <v>635</v>
      </c>
      <c r="B414" s="10">
        <v>1501277</v>
      </c>
      <c r="C414" s="10" t="s">
        <v>759</v>
      </c>
      <c r="D414" s="10" t="s">
        <v>760</v>
      </c>
      <c r="E414" s="10">
        <v>0</v>
      </c>
      <c r="F414" s="10">
        <v>0</v>
      </c>
      <c r="G414" s="10">
        <v>0</v>
      </c>
      <c r="H414" s="10">
        <v>0</v>
      </c>
      <c r="I414" s="10" t="s">
        <v>33</v>
      </c>
      <c r="J414" s="10">
        <v>0</v>
      </c>
      <c r="K414" s="10">
        <v>0</v>
      </c>
      <c r="L414" s="10">
        <v>0</v>
      </c>
      <c r="M414" s="10">
        <v>0</v>
      </c>
      <c r="N414" s="10" t="s">
        <v>761</v>
      </c>
      <c r="O414" s="10" t="s">
        <v>995</v>
      </c>
      <c r="P414" s="105" t="e">
        <f t="shared" si="6"/>
        <v>#DIV/0!</v>
      </c>
    </row>
    <row r="415" spans="1:16">
      <c r="A415" s="10" t="s">
        <v>635</v>
      </c>
      <c r="B415" s="10">
        <v>1501279</v>
      </c>
      <c r="C415" s="10" t="s">
        <v>759</v>
      </c>
      <c r="D415" s="10" t="s">
        <v>760</v>
      </c>
      <c r="E415" s="10">
        <v>40</v>
      </c>
      <c r="F415" s="10">
        <v>66</v>
      </c>
      <c r="G415" s="10">
        <v>0</v>
      </c>
      <c r="H415" s="10">
        <v>106</v>
      </c>
      <c r="I415" s="10" t="s">
        <v>33</v>
      </c>
      <c r="J415" s="10">
        <v>541.72</v>
      </c>
      <c r="K415" s="10">
        <v>902</v>
      </c>
      <c r="L415" s="10">
        <v>0</v>
      </c>
      <c r="M415" s="103">
        <v>1443.72</v>
      </c>
      <c r="N415" s="10" t="s">
        <v>761</v>
      </c>
      <c r="O415" s="10" t="s">
        <v>427</v>
      </c>
      <c r="P415" s="105">
        <f t="shared" si="6"/>
        <v>13.62</v>
      </c>
    </row>
    <row r="416" spans="1:16">
      <c r="A416" s="10" t="s">
        <v>635</v>
      </c>
      <c r="B416" s="10">
        <v>1501280</v>
      </c>
      <c r="C416" s="10" t="s">
        <v>759</v>
      </c>
      <c r="D416" s="10" t="s">
        <v>760</v>
      </c>
      <c r="E416" s="10">
        <v>0</v>
      </c>
      <c r="F416" s="10">
        <v>0</v>
      </c>
      <c r="G416" s="10">
        <v>0</v>
      </c>
      <c r="H416" s="10">
        <v>0</v>
      </c>
      <c r="I416" s="10" t="s">
        <v>74</v>
      </c>
      <c r="J416" s="10">
        <v>0</v>
      </c>
      <c r="K416" s="10">
        <v>0</v>
      </c>
      <c r="L416" s="10">
        <v>0</v>
      </c>
      <c r="M416" s="10">
        <v>0</v>
      </c>
      <c r="N416" s="10" t="s">
        <v>761</v>
      </c>
      <c r="O416" s="10" t="s">
        <v>996</v>
      </c>
      <c r="P416" s="105" t="e">
        <f t="shared" si="6"/>
        <v>#DIV/0!</v>
      </c>
    </row>
    <row r="417" spans="1:16">
      <c r="A417" s="10" t="s">
        <v>635</v>
      </c>
      <c r="B417" s="10">
        <v>1501281</v>
      </c>
      <c r="C417" s="10" t="s">
        <v>759</v>
      </c>
      <c r="D417" s="10" t="s">
        <v>760</v>
      </c>
      <c r="E417" s="10">
        <v>0</v>
      </c>
      <c r="F417" s="10">
        <v>0</v>
      </c>
      <c r="G417" s="10">
        <v>0</v>
      </c>
      <c r="H417" s="10">
        <v>0</v>
      </c>
      <c r="I417" s="10" t="s">
        <v>37</v>
      </c>
      <c r="J417" s="10">
        <v>0</v>
      </c>
      <c r="K417" s="10">
        <v>0</v>
      </c>
      <c r="L417" s="10">
        <v>0</v>
      </c>
      <c r="M417" s="10">
        <v>0</v>
      </c>
      <c r="N417" s="10" t="s">
        <v>761</v>
      </c>
      <c r="O417" s="10" t="s">
        <v>997</v>
      </c>
      <c r="P417" s="105" t="e">
        <f t="shared" si="6"/>
        <v>#DIV/0!</v>
      </c>
    </row>
    <row r="418" spans="1:16">
      <c r="A418" s="10" t="s">
        <v>635</v>
      </c>
      <c r="B418" s="10">
        <v>1501282</v>
      </c>
      <c r="C418" s="10" t="s">
        <v>759</v>
      </c>
      <c r="D418" s="10" t="s">
        <v>760</v>
      </c>
      <c r="E418" s="10">
        <v>4</v>
      </c>
      <c r="F418" s="10">
        <v>8</v>
      </c>
      <c r="G418" s="10">
        <v>0</v>
      </c>
      <c r="H418" s="10">
        <v>12</v>
      </c>
      <c r="I418" s="10" t="s">
        <v>74</v>
      </c>
      <c r="J418" s="10">
        <v>28.33</v>
      </c>
      <c r="K418" s="10">
        <v>59.96</v>
      </c>
      <c r="L418" s="10">
        <v>0</v>
      </c>
      <c r="M418" s="10">
        <v>88.29</v>
      </c>
      <c r="N418" s="10" t="s">
        <v>761</v>
      </c>
      <c r="O418" s="10" t="s">
        <v>597</v>
      </c>
      <c r="P418" s="105">
        <f t="shared" si="6"/>
        <v>7.3575</v>
      </c>
    </row>
    <row r="419" spans="1:16">
      <c r="A419" s="10" t="s">
        <v>635</v>
      </c>
      <c r="B419" s="10">
        <v>1501283</v>
      </c>
      <c r="C419" s="10" t="s">
        <v>759</v>
      </c>
      <c r="D419" s="10" t="s">
        <v>760</v>
      </c>
      <c r="E419" s="10">
        <v>0</v>
      </c>
      <c r="F419" s="10">
        <v>0</v>
      </c>
      <c r="G419" s="10">
        <v>0</v>
      </c>
      <c r="H419" s="10">
        <v>0</v>
      </c>
      <c r="I419" s="10" t="s">
        <v>74</v>
      </c>
      <c r="J419" s="10">
        <v>0</v>
      </c>
      <c r="K419" s="10">
        <v>0</v>
      </c>
      <c r="L419" s="10">
        <v>0</v>
      </c>
      <c r="M419" s="10">
        <v>0</v>
      </c>
      <c r="N419" s="10" t="s">
        <v>761</v>
      </c>
      <c r="O419" s="10" t="s">
        <v>998</v>
      </c>
      <c r="P419" s="105" t="e">
        <f t="shared" si="6"/>
        <v>#DIV/0!</v>
      </c>
    </row>
    <row r="420" spans="1:16">
      <c r="A420" s="10" t="s">
        <v>635</v>
      </c>
      <c r="B420" s="10">
        <v>1501285</v>
      </c>
      <c r="C420" s="10" t="s">
        <v>759</v>
      </c>
      <c r="D420" s="10" t="s">
        <v>760</v>
      </c>
      <c r="E420" s="10">
        <v>1</v>
      </c>
      <c r="F420" s="10">
        <v>1</v>
      </c>
      <c r="G420" s="10">
        <v>0</v>
      </c>
      <c r="H420" s="10">
        <v>2</v>
      </c>
      <c r="I420" s="10" t="s">
        <v>56</v>
      </c>
      <c r="J420" s="10">
        <v>45.5</v>
      </c>
      <c r="K420" s="10">
        <v>45.5</v>
      </c>
      <c r="L420" s="10">
        <v>0</v>
      </c>
      <c r="M420" s="10">
        <v>91</v>
      </c>
      <c r="N420" s="10" t="s">
        <v>761</v>
      </c>
      <c r="O420" s="10" t="s">
        <v>321</v>
      </c>
      <c r="P420" s="105">
        <f t="shared" si="6"/>
        <v>45.5</v>
      </c>
    </row>
    <row r="421" spans="1:16">
      <c r="A421" s="10" t="s">
        <v>635</v>
      </c>
      <c r="B421" s="10">
        <v>1501286</v>
      </c>
      <c r="C421" s="10" t="s">
        <v>759</v>
      </c>
      <c r="D421" s="10" t="s">
        <v>760</v>
      </c>
      <c r="E421" s="10">
        <v>0</v>
      </c>
      <c r="F421" s="10">
        <v>0</v>
      </c>
      <c r="G421" s="10">
        <v>0</v>
      </c>
      <c r="H421" s="10">
        <v>0</v>
      </c>
      <c r="I421" s="10" t="s">
        <v>74</v>
      </c>
      <c r="J421" s="10">
        <v>0</v>
      </c>
      <c r="K421" s="10">
        <v>0</v>
      </c>
      <c r="L421" s="10">
        <v>0</v>
      </c>
      <c r="M421" s="10">
        <v>0</v>
      </c>
      <c r="N421" s="10" t="s">
        <v>761</v>
      </c>
      <c r="O421" s="10" t="s">
        <v>999</v>
      </c>
      <c r="P421" s="105" t="e">
        <f t="shared" si="6"/>
        <v>#DIV/0!</v>
      </c>
    </row>
    <row r="422" spans="1:16">
      <c r="A422" s="10" t="s">
        <v>635</v>
      </c>
      <c r="B422" s="10">
        <v>1501287</v>
      </c>
      <c r="C422" s="10" t="s">
        <v>759</v>
      </c>
      <c r="D422" s="10" t="s">
        <v>760</v>
      </c>
      <c r="E422" s="10">
        <v>0</v>
      </c>
      <c r="F422" s="10">
        <v>0</v>
      </c>
      <c r="G422" s="10">
        <v>0</v>
      </c>
      <c r="H422" s="10">
        <v>0</v>
      </c>
      <c r="I422" s="10" t="s">
        <v>30</v>
      </c>
      <c r="J422" s="10">
        <v>0</v>
      </c>
      <c r="K422" s="10">
        <v>0</v>
      </c>
      <c r="L422" s="10">
        <v>0</v>
      </c>
      <c r="M422" s="10">
        <v>0</v>
      </c>
      <c r="N422" s="10" t="s">
        <v>761</v>
      </c>
      <c r="O422" s="10" t="s">
        <v>1000</v>
      </c>
      <c r="P422" s="105" t="e">
        <f t="shared" si="6"/>
        <v>#DIV/0!</v>
      </c>
    </row>
    <row r="423" spans="1:16">
      <c r="A423" s="10" t="s">
        <v>635</v>
      </c>
      <c r="B423" s="10">
        <v>1501288</v>
      </c>
      <c r="C423" s="10" t="s">
        <v>759</v>
      </c>
      <c r="D423" s="10" t="s">
        <v>760</v>
      </c>
      <c r="E423" s="10">
        <v>0</v>
      </c>
      <c r="F423" s="10">
        <v>0</v>
      </c>
      <c r="G423" s="10">
        <v>0</v>
      </c>
      <c r="H423" s="10">
        <v>0</v>
      </c>
      <c r="I423" s="10" t="s">
        <v>37</v>
      </c>
      <c r="J423" s="10">
        <v>0</v>
      </c>
      <c r="K423" s="10">
        <v>0</v>
      </c>
      <c r="L423" s="10">
        <v>0</v>
      </c>
      <c r="M423" s="10">
        <v>0</v>
      </c>
      <c r="N423" s="10" t="s">
        <v>761</v>
      </c>
      <c r="O423" s="10" t="s">
        <v>687</v>
      </c>
      <c r="P423" s="105" t="e">
        <f t="shared" si="6"/>
        <v>#DIV/0!</v>
      </c>
    </row>
    <row r="424" spans="1:16">
      <c r="A424" s="10" t="s">
        <v>635</v>
      </c>
      <c r="B424" s="10">
        <v>1501289</v>
      </c>
      <c r="C424" s="10" t="s">
        <v>759</v>
      </c>
      <c r="D424" s="10" t="s">
        <v>760</v>
      </c>
      <c r="E424" s="10">
        <v>0</v>
      </c>
      <c r="F424" s="10">
        <v>0</v>
      </c>
      <c r="G424" s="10">
        <v>0</v>
      </c>
      <c r="H424" s="10">
        <v>0</v>
      </c>
      <c r="I424" s="10" t="s">
        <v>74</v>
      </c>
      <c r="J424" s="10">
        <v>0</v>
      </c>
      <c r="K424" s="10">
        <v>0</v>
      </c>
      <c r="L424" s="10">
        <v>0</v>
      </c>
      <c r="M424" s="10">
        <v>0</v>
      </c>
      <c r="N424" s="10" t="s">
        <v>761</v>
      </c>
      <c r="O424" s="10" t="s">
        <v>1001</v>
      </c>
      <c r="P424" s="105" t="e">
        <f t="shared" si="6"/>
        <v>#DIV/0!</v>
      </c>
    </row>
    <row r="425" spans="1:16">
      <c r="A425" s="10" t="s">
        <v>635</v>
      </c>
      <c r="B425" s="10">
        <v>1501410</v>
      </c>
      <c r="C425" s="10" t="s">
        <v>759</v>
      </c>
      <c r="D425" s="10" t="s">
        <v>760</v>
      </c>
      <c r="E425" s="10">
        <v>0</v>
      </c>
      <c r="F425" s="10">
        <v>0</v>
      </c>
      <c r="G425" s="10">
        <v>0</v>
      </c>
      <c r="H425" s="10">
        <v>0</v>
      </c>
      <c r="I425" s="10" t="s">
        <v>18</v>
      </c>
      <c r="J425" s="10">
        <v>0</v>
      </c>
      <c r="K425" s="10">
        <v>0</v>
      </c>
      <c r="L425" s="10">
        <v>0</v>
      </c>
      <c r="M425" s="10">
        <v>0</v>
      </c>
      <c r="N425" s="10" t="s">
        <v>761</v>
      </c>
      <c r="O425" s="10" t="s">
        <v>1002</v>
      </c>
      <c r="P425" s="105" t="e">
        <f t="shared" si="6"/>
        <v>#DIV/0!</v>
      </c>
    </row>
    <row r="426" spans="1:16">
      <c r="A426" s="10" t="s">
        <v>635</v>
      </c>
      <c r="B426" s="10">
        <v>1501411</v>
      </c>
      <c r="C426" s="10" t="s">
        <v>759</v>
      </c>
      <c r="D426" s="10" t="s">
        <v>760</v>
      </c>
      <c r="E426" s="10">
        <v>0</v>
      </c>
      <c r="F426" s="10">
        <v>33.6</v>
      </c>
      <c r="G426" s="10">
        <v>-33.6</v>
      </c>
      <c r="H426" s="10">
        <v>0</v>
      </c>
      <c r="I426" s="10" t="s">
        <v>18</v>
      </c>
      <c r="J426" s="10">
        <v>0</v>
      </c>
      <c r="K426" s="10">
        <v>87.84</v>
      </c>
      <c r="L426" s="10">
        <v>-87.84</v>
      </c>
      <c r="M426" s="10">
        <v>0</v>
      </c>
      <c r="N426" s="10" t="s">
        <v>761</v>
      </c>
      <c r="O426" s="10" t="s">
        <v>688</v>
      </c>
      <c r="P426" s="105" t="e">
        <f t="shared" si="6"/>
        <v>#DIV/0!</v>
      </c>
    </row>
    <row r="427" spans="1:16">
      <c r="A427" s="10" t="s">
        <v>635</v>
      </c>
      <c r="B427" s="10">
        <v>1501413</v>
      </c>
      <c r="C427" s="10" t="s">
        <v>759</v>
      </c>
      <c r="D427" s="10" t="s">
        <v>760</v>
      </c>
      <c r="E427" s="10">
        <v>0</v>
      </c>
      <c r="F427" s="10">
        <v>0</v>
      </c>
      <c r="G427" s="10">
        <v>0</v>
      </c>
      <c r="H427" s="10">
        <v>0</v>
      </c>
      <c r="I427" s="10" t="s">
        <v>74</v>
      </c>
      <c r="J427" s="10">
        <v>0</v>
      </c>
      <c r="K427" s="10">
        <v>0</v>
      </c>
      <c r="L427" s="10">
        <v>0</v>
      </c>
      <c r="M427" s="10">
        <v>0</v>
      </c>
      <c r="N427" s="10" t="s">
        <v>761</v>
      </c>
      <c r="O427" s="10" t="s">
        <v>1003</v>
      </c>
      <c r="P427" s="105" t="e">
        <f t="shared" si="6"/>
        <v>#DIV/0!</v>
      </c>
    </row>
    <row r="428" spans="1:16">
      <c r="A428" s="10" t="s">
        <v>635</v>
      </c>
      <c r="B428" s="10">
        <v>1501477</v>
      </c>
      <c r="C428" s="10" t="s">
        <v>759</v>
      </c>
      <c r="D428" s="10" t="s">
        <v>760</v>
      </c>
      <c r="E428" s="10">
        <v>0</v>
      </c>
      <c r="F428" s="10">
        <v>0</v>
      </c>
      <c r="G428" s="10">
        <v>0</v>
      </c>
      <c r="H428" s="10">
        <v>0</v>
      </c>
      <c r="I428" s="10" t="s">
        <v>128</v>
      </c>
      <c r="J428" s="10">
        <v>0</v>
      </c>
      <c r="K428" s="10">
        <v>0</v>
      </c>
      <c r="L428" s="10">
        <v>0</v>
      </c>
      <c r="M428" s="10">
        <v>0</v>
      </c>
      <c r="N428" s="10" t="s">
        <v>761</v>
      </c>
      <c r="O428" s="10" t="s">
        <v>1004</v>
      </c>
      <c r="P428" s="105" t="e">
        <f t="shared" si="6"/>
        <v>#DIV/0!</v>
      </c>
    </row>
    <row r="429" spans="1:16">
      <c r="A429" s="10" t="s">
        <v>635</v>
      </c>
      <c r="B429" s="10">
        <v>1501540</v>
      </c>
      <c r="C429" s="10" t="s">
        <v>759</v>
      </c>
      <c r="D429" s="10" t="s">
        <v>760</v>
      </c>
      <c r="E429" s="10">
        <v>0</v>
      </c>
      <c r="F429" s="10">
        <v>0</v>
      </c>
      <c r="G429" s="10">
        <v>0</v>
      </c>
      <c r="H429" s="10">
        <v>0</v>
      </c>
      <c r="I429" s="10" t="s">
        <v>74</v>
      </c>
      <c r="J429" s="10">
        <v>0</v>
      </c>
      <c r="K429" s="10">
        <v>0</v>
      </c>
      <c r="L429" s="10">
        <v>0</v>
      </c>
      <c r="M429" s="10">
        <v>0</v>
      </c>
      <c r="N429" s="10" t="s">
        <v>761</v>
      </c>
      <c r="O429" s="10" t="s">
        <v>1005</v>
      </c>
      <c r="P429" s="105" t="e">
        <f t="shared" si="6"/>
        <v>#DIV/0!</v>
      </c>
    </row>
    <row r="430" spans="1:16">
      <c r="A430" s="10" t="s">
        <v>635</v>
      </c>
      <c r="B430" s="10">
        <v>1501586</v>
      </c>
      <c r="C430" s="10" t="s">
        <v>759</v>
      </c>
      <c r="D430" s="10" t="s">
        <v>760</v>
      </c>
      <c r="E430" s="10">
        <v>0</v>
      </c>
      <c r="F430" s="10">
        <v>0</v>
      </c>
      <c r="G430" s="10">
        <v>0</v>
      </c>
      <c r="H430" s="10">
        <v>0</v>
      </c>
      <c r="I430" s="10" t="s">
        <v>18</v>
      </c>
      <c r="J430" s="10">
        <v>0</v>
      </c>
      <c r="K430" s="10">
        <v>0</v>
      </c>
      <c r="L430" s="10">
        <v>0</v>
      </c>
      <c r="M430" s="10">
        <v>0</v>
      </c>
      <c r="N430" s="10" t="s">
        <v>761</v>
      </c>
      <c r="O430" s="10" t="s">
        <v>1006</v>
      </c>
      <c r="P430" s="105" t="e">
        <f t="shared" si="6"/>
        <v>#DIV/0!</v>
      </c>
    </row>
    <row r="431" spans="1:16">
      <c r="A431" s="10" t="s">
        <v>635</v>
      </c>
      <c r="B431" s="10">
        <v>1501587</v>
      </c>
      <c r="C431" s="10" t="s">
        <v>759</v>
      </c>
      <c r="D431" s="10" t="s">
        <v>760</v>
      </c>
      <c r="E431" s="10">
        <v>0</v>
      </c>
      <c r="F431" s="10">
        <v>0</v>
      </c>
      <c r="G431" s="10">
        <v>0</v>
      </c>
      <c r="H431" s="10">
        <v>0</v>
      </c>
      <c r="I431" s="10" t="s">
        <v>74</v>
      </c>
      <c r="J431" s="10">
        <v>0</v>
      </c>
      <c r="K431" s="10">
        <v>0</v>
      </c>
      <c r="L431" s="10">
        <v>0</v>
      </c>
      <c r="M431" s="10">
        <v>0</v>
      </c>
      <c r="N431" s="10" t="s">
        <v>761</v>
      </c>
      <c r="O431" s="10" t="s">
        <v>1007</v>
      </c>
      <c r="P431" s="105" t="e">
        <f t="shared" si="6"/>
        <v>#DIV/0!</v>
      </c>
    </row>
    <row r="432" spans="1:16">
      <c r="A432" s="10" t="s">
        <v>635</v>
      </c>
      <c r="B432" s="10">
        <v>1501588</v>
      </c>
      <c r="C432" s="10" t="s">
        <v>759</v>
      </c>
      <c r="D432" s="10" t="s">
        <v>760</v>
      </c>
      <c r="E432" s="10">
        <v>0</v>
      </c>
      <c r="F432" s="10">
        <v>0</v>
      </c>
      <c r="G432" s="10">
        <v>0</v>
      </c>
      <c r="H432" s="10">
        <v>0</v>
      </c>
      <c r="I432" s="10" t="s">
        <v>18</v>
      </c>
      <c r="J432" s="10">
        <v>0</v>
      </c>
      <c r="K432" s="10">
        <v>0</v>
      </c>
      <c r="L432" s="10">
        <v>0</v>
      </c>
      <c r="M432" s="10">
        <v>0</v>
      </c>
      <c r="N432" s="10" t="s">
        <v>761</v>
      </c>
      <c r="O432" s="10" t="s">
        <v>1008</v>
      </c>
      <c r="P432" s="105" t="e">
        <f t="shared" si="6"/>
        <v>#DIV/0!</v>
      </c>
    </row>
    <row r="433" spans="1:16">
      <c r="A433" s="10" t="s">
        <v>635</v>
      </c>
      <c r="B433" s="10">
        <v>1501589</v>
      </c>
      <c r="C433" s="10" t="s">
        <v>759</v>
      </c>
      <c r="D433" s="10" t="s">
        <v>760</v>
      </c>
      <c r="E433" s="10">
        <v>20</v>
      </c>
      <c r="F433" s="10">
        <v>620</v>
      </c>
      <c r="G433" s="10">
        <v>-20</v>
      </c>
      <c r="H433" s="10">
        <v>620</v>
      </c>
      <c r="I433" s="10" t="s">
        <v>18</v>
      </c>
      <c r="J433" s="10">
        <v>65</v>
      </c>
      <c r="K433" s="103">
        <v>2015</v>
      </c>
      <c r="L433" s="10">
        <v>-65</v>
      </c>
      <c r="M433" s="103">
        <v>2015</v>
      </c>
      <c r="N433" s="10" t="s">
        <v>761</v>
      </c>
      <c r="O433" s="10" t="s">
        <v>391</v>
      </c>
      <c r="P433" s="105">
        <f t="shared" si="6"/>
        <v>3.25</v>
      </c>
    </row>
    <row r="434" spans="1:16">
      <c r="A434" s="10" t="s">
        <v>635</v>
      </c>
      <c r="B434" s="10">
        <v>1501593</v>
      </c>
      <c r="C434" s="10" t="s">
        <v>759</v>
      </c>
      <c r="D434" s="10" t="s">
        <v>760</v>
      </c>
      <c r="E434" s="10">
        <v>0</v>
      </c>
      <c r="F434" s="10">
        <v>0</v>
      </c>
      <c r="G434" s="10">
        <v>0</v>
      </c>
      <c r="H434" s="10">
        <v>0</v>
      </c>
      <c r="I434" s="10" t="s">
        <v>30</v>
      </c>
      <c r="J434" s="10">
        <v>0</v>
      </c>
      <c r="K434" s="10">
        <v>0</v>
      </c>
      <c r="L434" s="10">
        <v>0</v>
      </c>
      <c r="M434" s="10">
        <v>0</v>
      </c>
      <c r="N434" s="10" t="s">
        <v>761</v>
      </c>
      <c r="O434" s="10" t="s">
        <v>1009</v>
      </c>
      <c r="P434" s="105" t="e">
        <f t="shared" si="6"/>
        <v>#DIV/0!</v>
      </c>
    </row>
    <row r="435" spans="1:16">
      <c r="A435" s="10" t="s">
        <v>635</v>
      </c>
      <c r="B435" s="10">
        <v>1501594</v>
      </c>
      <c r="C435" s="10" t="s">
        <v>759</v>
      </c>
      <c r="D435" s="10" t="s">
        <v>760</v>
      </c>
      <c r="E435" s="10">
        <v>0</v>
      </c>
      <c r="F435" s="10">
        <v>101.6</v>
      </c>
      <c r="G435" s="10">
        <v>0</v>
      </c>
      <c r="H435" s="10">
        <v>101.6</v>
      </c>
      <c r="I435" s="10" t="s">
        <v>37</v>
      </c>
      <c r="J435" s="10">
        <v>0</v>
      </c>
      <c r="K435" s="10">
        <v>130.56</v>
      </c>
      <c r="L435" s="10">
        <v>0</v>
      </c>
      <c r="M435" s="10">
        <v>130.56</v>
      </c>
      <c r="N435" s="10" t="s">
        <v>761</v>
      </c>
      <c r="O435" s="10" t="s">
        <v>445</v>
      </c>
      <c r="P435" s="105">
        <f t="shared" si="6"/>
        <v>1.28503937007874</v>
      </c>
    </row>
    <row r="436" spans="1:16">
      <c r="A436" s="10" t="s">
        <v>635</v>
      </c>
      <c r="B436" s="10">
        <v>1501595</v>
      </c>
      <c r="C436" s="10" t="s">
        <v>759</v>
      </c>
      <c r="D436" s="10" t="s">
        <v>760</v>
      </c>
      <c r="E436" s="10">
        <v>0</v>
      </c>
      <c r="F436" s="10">
        <v>0</v>
      </c>
      <c r="G436" s="10">
        <v>0</v>
      </c>
      <c r="H436" s="10">
        <v>0</v>
      </c>
      <c r="I436" s="10" t="s">
        <v>21</v>
      </c>
      <c r="J436" s="10">
        <v>0</v>
      </c>
      <c r="K436" s="10">
        <v>0</v>
      </c>
      <c r="L436" s="10">
        <v>0</v>
      </c>
      <c r="M436" s="10">
        <v>0</v>
      </c>
      <c r="N436" s="10" t="s">
        <v>761</v>
      </c>
      <c r="O436" s="10" t="s">
        <v>1010</v>
      </c>
      <c r="P436" s="105" t="e">
        <f t="shared" si="6"/>
        <v>#DIV/0!</v>
      </c>
    </row>
    <row r="437" spans="1:16">
      <c r="A437" s="10" t="s">
        <v>635</v>
      </c>
      <c r="B437" s="10">
        <v>1501596</v>
      </c>
      <c r="C437" s="10" t="s">
        <v>759</v>
      </c>
      <c r="D437" s="10" t="s">
        <v>760</v>
      </c>
      <c r="E437" s="10">
        <v>0</v>
      </c>
      <c r="F437" s="10">
        <v>0</v>
      </c>
      <c r="G437" s="10">
        <v>0</v>
      </c>
      <c r="H437" s="10">
        <v>0</v>
      </c>
      <c r="I437" s="10" t="s">
        <v>74</v>
      </c>
      <c r="J437" s="10">
        <v>0</v>
      </c>
      <c r="K437" s="10">
        <v>0</v>
      </c>
      <c r="L437" s="10">
        <v>0</v>
      </c>
      <c r="M437" s="10">
        <v>0</v>
      </c>
      <c r="N437" s="10" t="s">
        <v>761</v>
      </c>
      <c r="O437" s="10" t="s">
        <v>1011</v>
      </c>
      <c r="P437" s="105" t="e">
        <f t="shared" si="6"/>
        <v>#DIV/0!</v>
      </c>
    </row>
    <row r="438" spans="1:16">
      <c r="A438" s="10" t="s">
        <v>635</v>
      </c>
      <c r="B438" s="10">
        <v>1501608</v>
      </c>
      <c r="C438" s="10" t="s">
        <v>759</v>
      </c>
      <c r="D438" s="10" t="s">
        <v>760</v>
      </c>
      <c r="E438" s="10">
        <v>43</v>
      </c>
      <c r="F438" s="10">
        <v>40</v>
      </c>
      <c r="G438" s="10">
        <v>-1</v>
      </c>
      <c r="H438" s="10">
        <v>82</v>
      </c>
      <c r="I438" s="10" t="s">
        <v>74</v>
      </c>
      <c r="J438" s="10">
        <v>688</v>
      </c>
      <c r="K438" s="10">
        <v>640</v>
      </c>
      <c r="L438" s="10">
        <v>-16</v>
      </c>
      <c r="M438" s="103">
        <v>1312</v>
      </c>
      <c r="N438" s="10" t="s">
        <v>761</v>
      </c>
      <c r="O438" s="10" t="s">
        <v>590</v>
      </c>
      <c r="P438" s="105">
        <f t="shared" si="6"/>
        <v>16</v>
      </c>
    </row>
    <row r="439" spans="1:16">
      <c r="A439" s="10" t="s">
        <v>635</v>
      </c>
      <c r="B439" s="10">
        <v>1501610</v>
      </c>
      <c r="C439" s="10" t="s">
        <v>759</v>
      </c>
      <c r="D439" s="10" t="s">
        <v>760</v>
      </c>
      <c r="E439" s="10">
        <v>13.75</v>
      </c>
      <c r="F439" s="10">
        <v>70</v>
      </c>
      <c r="G439" s="10">
        <v>0</v>
      </c>
      <c r="H439" s="10">
        <v>83.75</v>
      </c>
      <c r="I439" s="10" t="s">
        <v>74</v>
      </c>
      <c r="J439" s="10">
        <v>332.75</v>
      </c>
      <c r="K439" s="103">
        <v>1694</v>
      </c>
      <c r="L439" s="10">
        <v>0</v>
      </c>
      <c r="M439" s="103">
        <v>2026.75</v>
      </c>
      <c r="N439" s="10" t="s">
        <v>761</v>
      </c>
      <c r="O439" s="10" t="s">
        <v>461</v>
      </c>
      <c r="P439" s="105">
        <f t="shared" si="6"/>
        <v>24.2</v>
      </c>
    </row>
    <row r="440" spans="1:16">
      <c r="A440" s="10" t="s">
        <v>635</v>
      </c>
      <c r="B440" s="10">
        <v>1501611</v>
      </c>
      <c r="C440" s="10" t="s">
        <v>759</v>
      </c>
      <c r="D440" s="10" t="s">
        <v>760</v>
      </c>
      <c r="E440" s="10">
        <v>0</v>
      </c>
      <c r="F440" s="10">
        <v>0</v>
      </c>
      <c r="G440" s="10">
        <v>0</v>
      </c>
      <c r="H440" s="10">
        <v>0</v>
      </c>
      <c r="I440" s="10" t="s">
        <v>74</v>
      </c>
      <c r="J440" s="10">
        <v>0</v>
      </c>
      <c r="K440" s="10">
        <v>0</v>
      </c>
      <c r="L440" s="10">
        <v>0</v>
      </c>
      <c r="M440" s="10">
        <v>0</v>
      </c>
      <c r="N440" s="10" t="s">
        <v>761</v>
      </c>
      <c r="O440" s="10" t="s">
        <v>1012</v>
      </c>
      <c r="P440" s="105" t="e">
        <f t="shared" si="6"/>
        <v>#DIV/0!</v>
      </c>
    </row>
    <row r="441" spans="1:16">
      <c r="A441" s="10" t="s">
        <v>635</v>
      </c>
      <c r="B441" s="10">
        <v>1501612</v>
      </c>
      <c r="C441" s="10" t="s">
        <v>759</v>
      </c>
      <c r="D441" s="10" t="s">
        <v>760</v>
      </c>
      <c r="E441" s="10">
        <v>0</v>
      </c>
      <c r="F441" s="10">
        <v>0</v>
      </c>
      <c r="G441" s="10">
        <v>0</v>
      </c>
      <c r="H441" s="10">
        <v>0</v>
      </c>
      <c r="I441" s="10" t="s">
        <v>18</v>
      </c>
      <c r="J441" s="10">
        <v>0</v>
      </c>
      <c r="K441" s="10">
        <v>0</v>
      </c>
      <c r="L441" s="10">
        <v>0</v>
      </c>
      <c r="M441" s="10">
        <v>0</v>
      </c>
      <c r="N441" s="10" t="s">
        <v>761</v>
      </c>
      <c r="O441" s="10" t="s">
        <v>1013</v>
      </c>
      <c r="P441" s="105" t="e">
        <f t="shared" si="6"/>
        <v>#DIV/0!</v>
      </c>
    </row>
    <row r="442" spans="1:16">
      <c r="A442" s="10" t="s">
        <v>635</v>
      </c>
      <c r="B442" s="10">
        <v>1501617</v>
      </c>
      <c r="C442" s="10" t="s">
        <v>759</v>
      </c>
      <c r="D442" s="10" t="s">
        <v>760</v>
      </c>
      <c r="E442" s="10">
        <v>8</v>
      </c>
      <c r="F442" s="10">
        <v>48</v>
      </c>
      <c r="G442" s="10">
        <v>-48</v>
      </c>
      <c r="H442" s="10">
        <v>8</v>
      </c>
      <c r="I442" s="10" t="s">
        <v>30</v>
      </c>
      <c r="J442" s="10">
        <v>34.33</v>
      </c>
      <c r="K442" s="10">
        <v>206</v>
      </c>
      <c r="L442" s="10">
        <v>-206</v>
      </c>
      <c r="M442" s="10">
        <v>34.33</v>
      </c>
      <c r="N442" s="10" t="s">
        <v>761</v>
      </c>
      <c r="O442" s="10" t="s">
        <v>387</v>
      </c>
      <c r="P442" s="105">
        <f t="shared" si="6"/>
        <v>4.29125</v>
      </c>
    </row>
    <row r="443" spans="1:16">
      <c r="A443" s="10" t="s">
        <v>635</v>
      </c>
      <c r="B443" s="10">
        <v>1501618</v>
      </c>
      <c r="C443" s="10" t="s">
        <v>759</v>
      </c>
      <c r="D443" s="10" t="s">
        <v>760</v>
      </c>
      <c r="E443" s="10">
        <v>35</v>
      </c>
      <c r="F443" s="10">
        <v>180</v>
      </c>
      <c r="G443" s="10">
        <v>0</v>
      </c>
      <c r="H443" s="10">
        <v>215</v>
      </c>
      <c r="I443" s="10" t="s">
        <v>45</v>
      </c>
      <c r="J443" s="10">
        <v>134.75</v>
      </c>
      <c r="K443" s="10">
        <v>693</v>
      </c>
      <c r="L443" s="10">
        <v>0</v>
      </c>
      <c r="M443" s="10">
        <v>827.75</v>
      </c>
      <c r="N443" s="10" t="s">
        <v>761</v>
      </c>
      <c r="O443" s="10" t="s">
        <v>265</v>
      </c>
      <c r="P443" s="105">
        <f t="shared" si="6"/>
        <v>3.85</v>
      </c>
    </row>
    <row r="444" spans="1:16">
      <c r="A444" s="10" t="s">
        <v>635</v>
      </c>
      <c r="B444" s="10">
        <v>1501619</v>
      </c>
      <c r="C444" s="10" t="s">
        <v>759</v>
      </c>
      <c r="D444" s="10" t="s">
        <v>760</v>
      </c>
      <c r="E444" s="10">
        <v>0</v>
      </c>
      <c r="F444" s="10">
        <v>0</v>
      </c>
      <c r="G444" s="10">
        <v>0</v>
      </c>
      <c r="H444" s="10">
        <v>0</v>
      </c>
      <c r="I444" s="10" t="s">
        <v>18</v>
      </c>
      <c r="J444" s="10">
        <v>0</v>
      </c>
      <c r="K444" s="10">
        <v>0</v>
      </c>
      <c r="L444" s="10">
        <v>0</v>
      </c>
      <c r="M444" s="10">
        <v>0</v>
      </c>
      <c r="N444" s="10" t="s">
        <v>761</v>
      </c>
      <c r="O444" s="10" t="s">
        <v>1014</v>
      </c>
      <c r="P444" s="105" t="e">
        <f t="shared" si="6"/>
        <v>#DIV/0!</v>
      </c>
    </row>
    <row r="445" spans="1:16">
      <c r="A445" s="10" t="s">
        <v>635</v>
      </c>
      <c r="B445" s="10">
        <v>1501623</v>
      </c>
      <c r="C445" s="10" t="s">
        <v>759</v>
      </c>
      <c r="D445" s="10" t="s">
        <v>760</v>
      </c>
      <c r="E445" s="10">
        <v>0</v>
      </c>
      <c r="F445" s="10">
        <v>0</v>
      </c>
      <c r="G445" s="10">
        <v>0</v>
      </c>
      <c r="H445" s="10">
        <v>0</v>
      </c>
      <c r="I445" s="10" t="s">
        <v>37</v>
      </c>
      <c r="J445" s="10">
        <v>0</v>
      </c>
      <c r="K445" s="10">
        <v>0</v>
      </c>
      <c r="L445" s="10">
        <v>0</v>
      </c>
      <c r="M445" s="10">
        <v>0</v>
      </c>
      <c r="N445" s="10" t="s">
        <v>761</v>
      </c>
      <c r="O445" s="10" t="s">
        <v>1015</v>
      </c>
      <c r="P445" s="105" t="e">
        <f t="shared" si="6"/>
        <v>#DIV/0!</v>
      </c>
    </row>
    <row r="446" spans="1:16">
      <c r="A446" s="10" t="s">
        <v>635</v>
      </c>
      <c r="B446" s="10">
        <v>1501626</v>
      </c>
      <c r="C446" s="10" t="s">
        <v>759</v>
      </c>
      <c r="D446" s="10" t="s">
        <v>760</v>
      </c>
      <c r="E446" s="10">
        <v>0</v>
      </c>
      <c r="F446" s="10">
        <v>42</v>
      </c>
      <c r="G446" s="10">
        <v>-42</v>
      </c>
      <c r="H446" s="10">
        <v>0</v>
      </c>
      <c r="I446" s="10" t="s">
        <v>37</v>
      </c>
      <c r="J446" s="10">
        <v>0</v>
      </c>
      <c r="K446" s="10">
        <v>117.5</v>
      </c>
      <c r="L446" s="10">
        <v>-117.5</v>
      </c>
      <c r="M446" s="10">
        <v>0</v>
      </c>
      <c r="N446" s="10" t="s">
        <v>761</v>
      </c>
      <c r="O446" s="10" t="s">
        <v>689</v>
      </c>
      <c r="P446" s="105" t="e">
        <f t="shared" si="6"/>
        <v>#DIV/0!</v>
      </c>
    </row>
    <row r="447" spans="1:16">
      <c r="A447" s="10" t="s">
        <v>635</v>
      </c>
      <c r="B447" s="10">
        <v>1501627</v>
      </c>
      <c r="C447" s="10" t="s">
        <v>759</v>
      </c>
      <c r="D447" s="10" t="s">
        <v>760</v>
      </c>
      <c r="E447" s="10">
        <v>0</v>
      </c>
      <c r="F447" s="10">
        <v>0</v>
      </c>
      <c r="G447" s="10">
        <v>0</v>
      </c>
      <c r="H447" s="10">
        <v>0</v>
      </c>
      <c r="I447" s="10" t="s">
        <v>41</v>
      </c>
      <c r="J447" s="10">
        <v>0</v>
      </c>
      <c r="K447" s="10">
        <v>0</v>
      </c>
      <c r="L447" s="10">
        <v>0</v>
      </c>
      <c r="M447" s="10">
        <v>0</v>
      </c>
      <c r="N447" s="10" t="s">
        <v>761</v>
      </c>
      <c r="O447" s="10" t="s">
        <v>1016</v>
      </c>
      <c r="P447" s="105" t="e">
        <f t="shared" si="6"/>
        <v>#DIV/0!</v>
      </c>
    </row>
    <row r="448" spans="1:16">
      <c r="A448" s="10" t="s">
        <v>635</v>
      </c>
      <c r="B448" s="10">
        <v>1501628</v>
      </c>
      <c r="C448" s="10" t="s">
        <v>759</v>
      </c>
      <c r="D448" s="10" t="s">
        <v>760</v>
      </c>
      <c r="E448" s="10">
        <v>6.44</v>
      </c>
      <c r="F448" s="10">
        <v>50.4</v>
      </c>
      <c r="G448" s="10">
        <v>0</v>
      </c>
      <c r="H448" s="10">
        <v>56.84</v>
      </c>
      <c r="I448" s="10" t="s">
        <v>74</v>
      </c>
      <c r="J448" s="10">
        <v>63.11</v>
      </c>
      <c r="K448" s="10">
        <v>495</v>
      </c>
      <c r="L448" s="10">
        <v>0</v>
      </c>
      <c r="M448" s="10">
        <v>558.11</v>
      </c>
      <c r="N448" s="10" t="s">
        <v>761</v>
      </c>
      <c r="O448" s="10" t="s">
        <v>584</v>
      </c>
      <c r="P448" s="105">
        <f t="shared" si="6"/>
        <v>9.81896551724138</v>
      </c>
    </row>
    <row r="449" spans="1:16">
      <c r="A449" s="10" t="s">
        <v>635</v>
      </c>
      <c r="B449" s="10">
        <v>1501631</v>
      </c>
      <c r="C449" s="10" t="s">
        <v>759</v>
      </c>
      <c r="D449" s="10" t="s">
        <v>760</v>
      </c>
      <c r="E449" s="10">
        <v>0</v>
      </c>
      <c r="F449" s="10">
        <v>0</v>
      </c>
      <c r="G449" s="10">
        <v>0</v>
      </c>
      <c r="H449" s="10">
        <v>0</v>
      </c>
      <c r="I449" s="10" t="s">
        <v>18</v>
      </c>
      <c r="J449" s="10">
        <v>0</v>
      </c>
      <c r="K449" s="10">
        <v>0</v>
      </c>
      <c r="L449" s="10">
        <v>0</v>
      </c>
      <c r="M449" s="10">
        <v>0</v>
      </c>
      <c r="N449" s="10" t="s">
        <v>761</v>
      </c>
      <c r="O449" s="10" t="s">
        <v>1017</v>
      </c>
      <c r="P449" s="105" t="e">
        <f t="shared" si="6"/>
        <v>#DIV/0!</v>
      </c>
    </row>
    <row r="450" spans="1:16">
      <c r="A450" s="10" t="s">
        <v>635</v>
      </c>
      <c r="B450" s="10">
        <v>1501632</v>
      </c>
      <c r="C450" s="10" t="s">
        <v>759</v>
      </c>
      <c r="D450" s="10" t="s">
        <v>760</v>
      </c>
      <c r="E450" s="10">
        <v>0</v>
      </c>
      <c r="F450" s="10">
        <v>0</v>
      </c>
      <c r="G450" s="10">
        <v>0</v>
      </c>
      <c r="H450" s="10">
        <v>0</v>
      </c>
      <c r="I450" s="10" t="s">
        <v>18</v>
      </c>
      <c r="J450" s="10">
        <v>0</v>
      </c>
      <c r="K450" s="10">
        <v>0</v>
      </c>
      <c r="L450" s="10">
        <v>0</v>
      </c>
      <c r="M450" s="10">
        <v>0</v>
      </c>
      <c r="N450" s="10" t="s">
        <v>761</v>
      </c>
      <c r="O450" s="10" t="s">
        <v>1018</v>
      </c>
      <c r="P450" s="105" t="e">
        <f t="shared" si="6"/>
        <v>#DIV/0!</v>
      </c>
    </row>
    <row r="451" spans="1:16">
      <c r="A451" s="10" t="s">
        <v>635</v>
      </c>
      <c r="B451" s="10">
        <v>1501633</v>
      </c>
      <c r="C451" s="10" t="s">
        <v>759</v>
      </c>
      <c r="D451" s="10" t="s">
        <v>760</v>
      </c>
      <c r="E451" s="10">
        <v>5.625</v>
      </c>
      <c r="F451" s="10">
        <v>22.5</v>
      </c>
      <c r="G451" s="10">
        <v>0</v>
      </c>
      <c r="H451" s="10">
        <v>28.125</v>
      </c>
      <c r="I451" s="10" t="s">
        <v>74</v>
      </c>
      <c r="J451" s="10">
        <v>512.5</v>
      </c>
      <c r="K451" s="103">
        <v>2050</v>
      </c>
      <c r="L451" s="10">
        <v>0</v>
      </c>
      <c r="M451" s="103">
        <v>2562.5</v>
      </c>
      <c r="N451" s="10" t="s">
        <v>761</v>
      </c>
      <c r="O451" s="10" t="s">
        <v>433</v>
      </c>
      <c r="P451" s="105">
        <f t="shared" ref="P451:P514" si="7">M451/H451</f>
        <v>91.1111111111111</v>
      </c>
    </row>
    <row r="452" spans="1:16">
      <c r="A452" s="10" t="s">
        <v>635</v>
      </c>
      <c r="B452" s="10">
        <v>1501634</v>
      </c>
      <c r="C452" s="10" t="s">
        <v>759</v>
      </c>
      <c r="D452" s="10" t="s">
        <v>760</v>
      </c>
      <c r="E452" s="10">
        <v>4.05</v>
      </c>
      <c r="F452" s="10">
        <v>45</v>
      </c>
      <c r="G452" s="10">
        <v>-1.35</v>
      </c>
      <c r="H452" s="10">
        <v>47.7</v>
      </c>
      <c r="I452" s="10" t="s">
        <v>74</v>
      </c>
      <c r="J452" s="10">
        <v>19.8</v>
      </c>
      <c r="K452" s="10">
        <v>220</v>
      </c>
      <c r="L452" s="10">
        <v>-6.6</v>
      </c>
      <c r="M452" s="10">
        <v>233.2</v>
      </c>
      <c r="N452" s="10" t="s">
        <v>761</v>
      </c>
      <c r="O452" s="10" t="s">
        <v>139</v>
      </c>
      <c r="P452" s="105">
        <f t="shared" si="7"/>
        <v>4.88888888888889</v>
      </c>
    </row>
    <row r="453" spans="1:16">
      <c r="A453" s="10" t="s">
        <v>635</v>
      </c>
      <c r="B453" s="10">
        <v>1501635</v>
      </c>
      <c r="C453" s="10" t="s">
        <v>759</v>
      </c>
      <c r="D453" s="10" t="s">
        <v>760</v>
      </c>
      <c r="E453" s="10">
        <v>89.96</v>
      </c>
      <c r="F453" s="10">
        <v>394.5</v>
      </c>
      <c r="G453" s="10">
        <v>0</v>
      </c>
      <c r="H453" s="10">
        <v>484.46</v>
      </c>
      <c r="I453" s="10" t="s">
        <v>18</v>
      </c>
      <c r="J453" s="103">
        <v>1168.58</v>
      </c>
      <c r="K453" s="103">
        <v>5124.56</v>
      </c>
      <c r="L453" s="10">
        <v>0</v>
      </c>
      <c r="M453" s="103">
        <v>6293.14</v>
      </c>
      <c r="N453" s="10" t="s">
        <v>761</v>
      </c>
      <c r="O453" s="10" t="s">
        <v>608</v>
      </c>
      <c r="P453" s="105">
        <f t="shared" si="7"/>
        <v>12.990009495108</v>
      </c>
    </row>
    <row r="454" spans="1:16">
      <c r="A454" s="10" t="s">
        <v>635</v>
      </c>
      <c r="B454" s="10">
        <v>1501637</v>
      </c>
      <c r="C454" s="10" t="s">
        <v>759</v>
      </c>
      <c r="D454" s="10" t="s">
        <v>760</v>
      </c>
      <c r="E454" s="10">
        <v>0</v>
      </c>
      <c r="F454" s="10">
        <v>0</v>
      </c>
      <c r="G454" s="10">
        <v>0</v>
      </c>
      <c r="H454" s="10">
        <v>0</v>
      </c>
      <c r="I454" s="10" t="s">
        <v>74</v>
      </c>
      <c r="J454" s="10">
        <v>0</v>
      </c>
      <c r="K454" s="10">
        <v>0</v>
      </c>
      <c r="L454" s="10">
        <v>0</v>
      </c>
      <c r="M454" s="10">
        <v>0</v>
      </c>
      <c r="N454" s="10" t="s">
        <v>761</v>
      </c>
      <c r="O454" s="10" t="s">
        <v>1019</v>
      </c>
      <c r="P454" s="105" t="e">
        <f t="shared" si="7"/>
        <v>#DIV/0!</v>
      </c>
    </row>
    <row r="455" spans="1:16">
      <c r="A455" s="10" t="s">
        <v>635</v>
      </c>
      <c r="B455" s="10">
        <v>1501638</v>
      </c>
      <c r="C455" s="10" t="s">
        <v>759</v>
      </c>
      <c r="D455" s="10" t="s">
        <v>760</v>
      </c>
      <c r="E455" s="10">
        <v>0</v>
      </c>
      <c r="F455" s="10">
        <v>0</v>
      </c>
      <c r="G455" s="10">
        <v>0</v>
      </c>
      <c r="H455" s="10">
        <v>0</v>
      </c>
      <c r="I455" s="10" t="s">
        <v>74</v>
      </c>
      <c r="J455" s="10">
        <v>0</v>
      </c>
      <c r="K455" s="10">
        <v>0</v>
      </c>
      <c r="L455" s="10">
        <v>0</v>
      </c>
      <c r="M455" s="10">
        <v>0</v>
      </c>
      <c r="N455" s="10" t="s">
        <v>761</v>
      </c>
      <c r="O455" s="10" t="s">
        <v>1020</v>
      </c>
      <c r="P455" s="105" t="e">
        <f t="shared" si="7"/>
        <v>#DIV/0!</v>
      </c>
    </row>
    <row r="456" spans="1:16">
      <c r="A456" s="10" t="s">
        <v>635</v>
      </c>
      <c r="B456" s="10">
        <v>1501640</v>
      </c>
      <c r="C456" s="10" t="s">
        <v>759</v>
      </c>
      <c r="D456" s="10" t="s">
        <v>760</v>
      </c>
      <c r="E456" s="10">
        <v>14.5</v>
      </c>
      <c r="F456" s="10">
        <v>10</v>
      </c>
      <c r="G456" s="10">
        <v>0</v>
      </c>
      <c r="H456" s="10">
        <v>24.5</v>
      </c>
      <c r="I456" s="10" t="s">
        <v>74</v>
      </c>
      <c r="J456" s="10">
        <v>101.5</v>
      </c>
      <c r="K456" s="10">
        <v>70</v>
      </c>
      <c r="L456" s="10">
        <v>0</v>
      </c>
      <c r="M456" s="10">
        <v>171.5</v>
      </c>
      <c r="N456" s="10" t="s">
        <v>761</v>
      </c>
      <c r="O456" s="10" t="s">
        <v>336</v>
      </c>
      <c r="P456" s="105">
        <f t="shared" si="7"/>
        <v>7</v>
      </c>
    </row>
    <row r="457" spans="1:16">
      <c r="A457" s="10" t="s">
        <v>635</v>
      </c>
      <c r="B457" s="10">
        <v>1501641</v>
      </c>
      <c r="C457" s="10" t="s">
        <v>759</v>
      </c>
      <c r="D457" s="10" t="s">
        <v>760</v>
      </c>
      <c r="E457" s="10">
        <v>0</v>
      </c>
      <c r="F457" s="10">
        <v>0</v>
      </c>
      <c r="G457" s="10">
        <v>0</v>
      </c>
      <c r="H457" s="10">
        <v>0</v>
      </c>
      <c r="I457" s="10" t="s">
        <v>74</v>
      </c>
      <c r="J457" s="10">
        <v>0</v>
      </c>
      <c r="K457" s="10">
        <v>0</v>
      </c>
      <c r="L457" s="10">
        <v>0</v>
      </c>
      <c r="M457" s="10">
        <v>0</v>
      </c>
      <c r="N457" s="10" t="s">
        <v>761</v>
      </c>
      <c r="O457" s="10" t="s">
        <v>1021</v>
      </c>
      <c r="P457" s="105" t="e">
        <f t="shared" si="7"/>
        <v>#DIV/0!</v>
      </c>
    </row>
    <row r="458" spans="1:16">
      <c r="A458" s="10" t="s">
        <v>635</v>
      </c>
      <c r="B458" s="10">
        <v>1501646</v>
      </c>
      <c r="C458" s="10" t="s">
        <v>759</v>
      </c>
      <c r="D458" s="10" t="s">
        <v>760</v>
      </c>
      <c r="E458" s="10">
        <v>9</v>
      </c>
      <c r="F458" s="10">
        <v>78</v>
      </c>
      <c r="G458" s="10">
        <v>0</v>
      </c>
      <c r="H458" s="10">
        <v>87</v>
      </c>
      <c r="I458" s="10" t="s">
        <v>33</v>
      </c>
      <c r="J458" s="10">
        <v>171</v>
      </c>
      <c r="K458" s="103">
        <v>1482</v>
      </c>
      <c r="L458" s="10">
        <v>0</v>
      </c>
      <c r="M458" s="103">
        <v>1653</v>
      </c>
      <c r="N458" s="10" t="s">
        <v>761</v>
      </c>
      <c r="O458" s="10" t="s">
        <v>267</v>
      </c>
      <c r="P458" s="105">
        <f t="shared" si="7"/>
        <v>19</v>
      </c>
    </row>
    <row r="459" spans="1:16">
      <c r="A459" s="10" t="s">
        <v>635</v>
      </c>
      <c r="B459" s="10">
        <v>1501647</v>
      </c>
      <c r="C459" s="10" t="s">
        <v>759</v>
      </c>
      <c r="D459" s="10" t="s">
        <v>760</v>
      </c>
      <c r="E459" s="10">
        <v>0</v>
      </c>
      <c r="F459" s="10">
        <v>0</v>
      </c>
      <c r="G459" s="10">
        <v>0</v>
      </c>
      <c r="H459" s="10">
        <v>0</v>
      </c>
      <c r="I459" s="10" t="s">
        <v>18</v>
      </c>
      <c r="J459" s="10">
        <v>0</v>
      </c>
      <c r="K459" s="10">
        <v>0</v>
      </c>
      <c r="L459" s="10">
        <v>0</v>
      </c>
      <c r="M459" s="10">
        <v>0</v>
      </c>
      <c r="N459" s="10" t="s">
        <v>761</v>
      </c>
      <c r="O459" s="10" t="s">
        <v>1022</v>
      </c>
      <c r="P459" s="105" t="e">
        <f t="shared" si="7"/>
        <v>#DIV/0!</v>
      </c>
    </row>
    <row r="460" spans="1:16">
      <c r="A460" s="10" t="s">
        <v>635</v>
      </c>
      <c r="B460" s="10">
        <v>1501651</v>
      </c>
      <c r="C460" s="10" t="s">
        <v>759</v>
      </c>
      <c r="D460" s="10" t="s">
        <v>760</v>
      </c>
      <c r="E460" s="10">
        <v>0</v>
      </c>
      <c r="F460" s="10">
        <v>0</v>
      </c>
      <c r="G460" s="10">
        <v>0</v>
      </c>
      <c r="H460" s="10">
        <v>0</v>
      </c>
      <c r="I460" s="10" t="s">
        <v>74</v>
      </c>
      <c r="J460" s="10">
        <v>0</v>
      </c>
      <c r="K460" s="10">
        <v>0</v>
      </c>
      <c r="L460" s="10">
        <v>0</v>
      </c>
      <c r="M460" s="10">
        <v>0</v>
      </c>
      <c r="N460" s="10" t="s">
        <v>761</v>
      </c>
      <c r="O460" s="10" t="s">
        <v>690</v>
      </c>
      <c r="P460" s="105" t="e">
        <f t="shared" si="7"/>
        <v>#DIV/0!</v>
      </c>
    </row>
    <row r="461" spans="1:16">
      <c r="A461" s="10" t="s">
        <v>635</v>
      </c>
      <c r="B461" s="10">
        <v>1501652</v>
      </c>
      <c r="C461" s="10" t="s">
        <v>759</v>
      </c>
      <c r="D461" s="10" t="s">
        <v>760</v>
      </c>
      <c r="E461" s="10">
        <v>12</v>
      </c>
      <c r="F461" s="10">
        <v>16</v>
      </c>
      <c r="G461" s="10">
        <v>0</v>
      </c>
      <c r="H461" s="10">
        <v>28</v>
      </c>
      <c r="I461" s="10" t="s">
        <v>30</v>
      </c>
      <c r="J461" s="10">
        <v>156.75</v>
      </c>
      <c r="K461" s="10">
        <v>209</v>
      </c>
      <c r="L461" s="10">
        <v>0</v>
      </c>
      <c r="M461" s="10">
        <v>365.75</v>
      </c>
      <c r="N461" s="10" t="s">
        <v>761</v>
      </c>
      <c r="O461" s="10" t="s">
        <v>496</v>
      </c>
      <c r="P461" s="105">
        <f t="shared" si="7"/>
        <v>13.0625</v>
      </c>
    </row>
    <row r="462" spans="1:16">
      <c r="A462" s="10" t="s">
        <v>635</v>
      </c>
      <c r="B462" s="10">
        <v>1501653</v>
      </c>
      <c r="C462" s="10" t="s">
        <v>759</v>
      </c>
      <c r="D462" s="10" t="s">
        <v>760</v>
      </c>
      <c r="E462" s="10">
        <v>0</v>
      </c>
      <c r="F462" s="10">
        <v>0</v>
      </c>
      <c r="G462" s="10">
        <v>0</v>
      </c>
      <c r="H462" s="10">
        <v>0</v>
      </c>
      <c r="I462" s="10" t="s">
        <v>74</v>
      </c>
      <c r="J462" s="10">
        <v>0</v>
      </c>
      <c r="K462" s="10">
        <v>0</v>
      </c>
      <c r="L462" s="10">
        <v>0</v>
      </c>
      <c r="M462" s="10">
        <v>0</v>
      </c>
      <c r="N462" s="10" t="s">
        <v>761</v>
      </c>
      <c r="O462" s="10" t="s">
        <v>1023</v>
      </c>
      <c r="P462" s="105" t="e">
        <f t="shared" si="7"/>
        <v>#DIV/0!</v>
      </c>
    </row>
    <row r="463" spans="1:16">
      <c r="A463" s="10" t="s">
        <v>635</v>
      </c>
      <c r="B463" s="10">
        <v>1501654</v>
      </c>
      <c r="C463" s="10" t="s">
        <v>759</v>
      </c>
      <c r="D463" s="10" t="s">
        <v>760</v>
      </c>
      <c r="E463" s="10">
        <v>0</v>
      </c>
      <c r="F463" s="10">
        <v>0</v>
      </c>
      <c r="G463" s="10">
        <v>0</v>
      </c>
      <c r="H463" s="10">
        <v>0</v>
      </c>
      <c r="I463" s="10" t="s">
        <v>74</v>
      </c>
      <c r="J463" s="10">
        <v>0</v>
      </c>
      <c r="K463" s="10">
        <v>0</v>
      </c>
      <c r="L463" s="10">
        <v>0</v>
      </c>
      <c r="M463" s="10">
        <v>0</v>
      </c>
      <c r="N463" s="10" t="s">
        <v>761</v>
      </c>
      <c r="O463" s="10" t="s">
        <v>1024</v>
      </c>
      <c r="P463" s="105" t="e">
        <f t="shared" si="7"/>
        <v>#DIV/0!</v>
      </c>
    </row>
    <row r="464" spans="1:16">
      <c r="A464" s="10" t="s">
        <v>635</v>
      </c>
      <c r="B464" s="10">
        <v>1501655</v>
      </c>
      <c r="C464" s="10" t="s">
        <v>759</v>
      </c>
      <c r="D464" s="10" t="s">
        <v>760</v>
      </c>
      <c r="E464" s="10">
        <v>0</v>
      </c>
      <c r="F464" s="10">
        <v>0</v>
      </c>
      <c r="G464" s="10">
        <v>0</v>
      </c>
      <c r="H464" s="10">
        <v>0</v>
      </c>
      <c r="I464" s="10" t="s">
        <v>74</v>
      </c>
      <c r="J464" s="10">
        <v>0</v>
      </c>
      <c r="K464" s="10">
        <v>0</v>
      </c>
      <c r="L464" s="10">
        <v>0</v>
      </c>
      <c r="M464" s="10">
        <v>0</v>
      </c>
      <c r="N464" s="10" t="s">
        <v>761</v>
      </c>
      <c r="O464" s="10" t="s">
        <v>1025</v>
      </c>
      <c r="P464" s="105" t="e">
        <f t="shared" si="7"/>
        <v>#DIV/0!</v>
      </c>
    </row>
    <row r="465" spans="1:16">
      <c r="A465" s="10" t="s">
        <v>635</v>
      </c>
      <c r="B465" s="10">
        <v>1501666</v>
      </c>
      <c r="C465" s="10" t="s">
        <v>759</v>
      </c>
      <c r="D465" s="10" t="s">
        <v>760</v>
      </c>
      <c r="E465" s="10">
        <v>0</v>
      </c>
      <c r="F465" s="10">
        <v>0</v>
      </c>
      <c r="G465" s="10">
        <v>0</v>
      </c>
      <c r="H465" s="10">
        <v>0</v>
      </c>
      <c r="I465" s="10" t="s">
        <v>18</v>
      </c>
      <c r="J465" s="10">
        <v>0</v>
      </c>
      <c r="K465" s="10">
        <v>0</v>
      </c>
      <c r="L465" s="10">
        <v>0</v>
      </c>
      <c r="M465" s="10">
        <v>0</v>
      </c>
      <c r="N465" s="10" t="s">
        <v>761</v>
      </c>
      <c r="O465" s="10" t="s">
        <v>1026</v>
      </c>
      <c r="P465" s="105" t="e">
        <f t="shared" si="7"/>
        <v>#DIV/0!</v>
      </c>
    </row>
    <row r="466" spans="1:16">
      <c r="A466" s="10" t="s">
        <v>635</v>
      </c>
      <c r="B466" s="10">
        <v>1501672</v>
      </c>
      <c r="C466" s="10" t="s">
        <v>759</v>
      </c>
      <c r="D466" s="10" t="s">
        <v>760</v>
      </c>
      <c r="E466" s="10">
        <v>0</v>
      </c>
      <c r="F466" s="10">
        <v>0</v>
      </c>
      <c r="G466" s="10">
        <v>0</v>
      </c>
      <c r="H466" s="10">
        <v>0</v>
      </c>
      <c r="I466" s="10" t="s">
        <v>37</v>
      </c>
      <c r="J466" s="10">
        <v>0</v>
      </c>
      <c r="K466" s="10">
        <v>0</v>
      </c>
      <c r="L466" s="10">
        <v>0</v>
      </c>
      <c r="M466" s="10">
        <v>0</v>
      </c>
      <c r="N466" s="10" t="s">
        <v>761</v>
      </c>
      <c r="O466" s="10" t="s">
        <v>1027</v>
      </c>
      <c r="P466" s="105" t="e">
        <f t="shared" si="7"/>
        <v>#DIV/0!</v>
      </c>
    </row>
    <row r="467" spans="1:16">
      <c r="A467" s="10" t="s">
        <v>635</v>
      </c>
      <c r="B467" s="10">
        <v>1501688</v>
      </c>
      <c r="C467" s="10" t="s">
        <v>759</v>
      </c>
      <c r="D467" s="10" t="s">
        <v>760</v>
      </c>
      <c r="E467" s="10">
        <v>0</v>
      </c>
      <c r="F467" s="10">
        <v>0</v>
      </c>
      <c r="G467" s="10">
        <v>0</v>
      </c>
      <c r="H467" s="10">
        <v>0</v>
      </c>
      <c r="I467" s="10" t="s">
        <v>146</v>
      </c>
      <c r="J467" s="10">
        <v>0</v>
      </c>
      <c r="K467" s="10">
        <v>0</v>
      </c>
      <c r="L467" s="10">
        <v>0</v>
      </c>
      <c r="M467" s="10">
        <v>0</v>
      </c>
      <c r="N467" s="10" t="s">
        <v>761</v>
      </c>
      <c r="O467" s="10" t="s">
        <v>1028</v>
      </c>
      <c r="P467" s="105" t="e">
        <f t="shared" si="7"/>
        <v>#DIV/0!</v>
      </c>
    </row>
    <row r="468" spans="1:16">
      <c r="A468" s="10" t="s">
        <v>635</v>
      </c>
      <c r="B468" s="10">
        <v>1501695</v>
      </c>
      <c r="C468" s="10" t="s">
        <v>759</v>
      </c>
      <c r="D468" s="10" t="s">
        <v>760</v>
      </c>
      <c r="E468" s="10">
        <v>0</v>
      </c>
      <c r="F468" s="10">
        <v>0</v>
      </c>
      <c r="G468" s="10">
        <v>0</v>
      </c>
      <c r="H468" s="10">
        <v>0</v>
      </c>
      <c r="I468" s="10" t="s">
        <v>37</v>
      </c>
      <c r="J468" s="10">
        <v>0</v>
      </c>
      <c r="K468" s="10">
        <v>0</v>
      </c>
      <c r="L468" s="10">
        <v>0</v>
      </c>
      <c r="M468" s="10">
        <v>0</v>
      </c>
      <c r="N468" s="10" t="s">
        <v>761</v>
      </c>
      <c r="O468" s="10" t="s">
        <v>1029</v>
      </c>
      <c r="P468" s="105" t="e">
        <f t="shared" si="7"/>
        <v>#DIV/0!</v>
      </c>
    </row>
    <row r="469" spans="1:16">
      <c r="A469" s="10" t="s">
        <v>635</v>
      </c>
      <c r="B469" s="10">
        <v>1501696</v>
      </c>
      <c r="C469" s="10" t="s">
        <v>759</v>
      </c>
      <c r="D469" s="10" t="s">
        <v>760</v>
      </c>
      <c r="E469" s="10">
        <v>6.97</v>
      </c>
      <c r="F469" s="10">
        <v>560</v>
      </c>
      <c r="G469" s="10">
        <v>-10</v>
      </c>
      <c r="H469" s="10">
        <v>556.97</v>
      </c>
      <c r="I469" s="10" t="s">
        <v>30</v>
      </c>
      <c r="J469" s="10">
        <v>19.01</v>
      </c>
      <c r="K469" s="103">
        <v>1527.24</v>
      </c>
      <c r="L469" s="10">
        <v>-27.27</v>
      </c>
      <c r="M469" s="103">
        <v>1518.98</v>
      </c>
      <c r="N469" s="10" t="s">
        <v>761</v>
      </c>
      <c r="O469" s="10" t="s">
        <v>361</v>
      </c>
      <c r="P469" s="105">
        <f t="shared" si="7"/>
        <v>2.72722049661562</v>
      </c>
    </row>
    <row r="470" spans="1:16">
      <c r="A470" s="10" t="s">
        <v>635</v>
      </c>
      <c r="B470" s="10">
        <v>1501697</v>
      </c>
      <c r="C470" s="10" t="s">
        <v>759</v>
      </c>
      <c r="D470" s="10" t="s">
        <v>760</v>
      </c>
      <c r="E470" s="10">
        <v>0</v>
      </c>
      <c r="F470" s="10">
        <v>0</v>
      </c>
      <c r="G470" s="10">
        <v>0</v>
      </c>
      <c r="H470" s="10">
        <v>0</v>
      </c>
      <c r="I470" s="10" t="s">
        <v>74</v>
      </c>
      <c r="J470" s="10">
        <v>0</v>
      </c>
      <c r="K470" s="10">
        <v>0</v>
      </c>
      <c r="L470" s="10">
        <v>0</v>
      </c>
      <c r="M470" s="10">
        <v>0</v>
      </c>
      <c r="N470" s="10" t="s">
        <v>761</v>
      </c>
      <c r="O470" s="10" t="s">
        <v>1030</v>
      </c>
      <c r="P470" s="105" t="e">
        <f t="shared" si="7"/>
        <v>#DIV/0!</v>
      </c>
    </row>
    <row r="471" spans="1:16">
      <c r="A471" s="10" t="s">
        <v>635</v>
      </c>
      <c r="B471" s="10">
        <v>1501699</v>
      </c>
      <c r="C471" s="10" t="s">
        <v>759</v>
      </c>
      <c r="D471" s="10" t="s">
        <v>760</v>
      </c>
      <c r="E471" s="10">
        <v>0</v>
      </c>
      <c r="F471" s="10">
        <v>0</v>
      </c>
      <c r="G471" s="10">
        <v>0</v>
      </c>
      <c r="H471" s="10">
        <v>0</v>
      </c>
      <c r="I471" s="10" t="s">
        <v>74</v>
      </c>
      <c r="J471" s="10">
        <v>0</v>
      </c>
      <c r="K471" s="10">
        <v>0</v>
      </c>
      <c r="L471" s="10">
        <v>0</v>
      </c>
      <c r="M471" s="10">
        <v>0</v>
      </c>
      <c r="N471" s="10" t="s">
        <v>761</v>
      </c>
      <c r="O471" s="10" t="s">
        <v>1031</v>
      </c>
      <c r="P471" s="105" t="e">
        <f t="shared" si="7"/>
        <v>#DIV/0!</v>
      </c>
    </row>
    <row r="472" spans="1:16">
      <c r="A472" s="10" t="s">
        <v>635</v>
      </c>
      <c r="B472" s="10">
        <v>1501701</v>
      </c>
      <c r="C472" s="10" t="s">
        <v>759</v>
      </c>
      <c r="D472" s="10" t="s">
        <v>760</v>
      </c>
      <c r="E472" s="10">
        <v>12</v>
      </c>
      <c r="F472" s="10">
        <v>0</v>
      </c>
      <c r="G472" s="10">
        <v>0</v>
      </c>
      <c r="H472" s="10">
        <v>12</v>
      </c>
      <c r="I472" s="10" t="s">
        <v>74</v>
      </c>
      <c r="J472" s="10">
        <v>99</v>
      </c>
      <c r="K472" s="10">
        <v>0</v>
      </c>
      <c r="L472" s="10">
        <v>0</v>
      </c>
      <c r="M472" s="10">
        <v>99</v>
      </c>
      <c r="N472" s="10" t="s">
        <v>761</v>
      </c>
      <c r="O472" s="10" t="s">
        <v>467</v>
      </c>
      <c r="P472" s="105">
        <f t="shared" si="7"/>
        <v>8.25</v>
      </c>
    </row>
    <row r="473" spans="1:16">
      <c r="A473" s="10" t="s">
        <v>635</v>
      </c>
      <c r="B473" s="10">
        <v>1501702</v>
      </c>
      <c r="C473" s="10" t="s">
        <v>759</v>
      </c>
      <c r="D473" s="10" t="s">
        <v>760</v>
      </c>
      <c r="E473" s="10">
        <v>4</v>
      </c>
      <c r="F473" s="10">
        <v>0</v>
      </c>
      <c r="G473" s="10">
        <v>0</v>
      </c>
      <c r="H473" s="10">
        <v>4</v>
      </c>
      <c r="I473" s="10" t="s">
        <v>74</v>
      </c>
      <c r="J473" s="10">
        <v>72.29</v>
      </c>
      <c r="K473" s="10">
        <v>0</v>
      </c>
      <c r="L473" s="10">
        <v>0</v>
      </c>
      <c r="M473" s="10">
        <v>72.29</v>
      </c>
      <c r="N473" s="10" t="s">
        <v>761</v>
      </c>
      <c r="O473" s="10" t="s">
        <v>466</v>
      </c>
      <c r="P473" s="105">
        <f t="shared" si="7"/>
        <v>18.0725</v>
      </c>
    </row>
    <row r="474" spans="1:16">
      <c r="A474" s="10" t="s">
        <v>635</v>
      </c>
      <c r="B474" s="10">
        <v>1501703</v>
      </c>
      <c r="C474" s="10" t="s">
        <v>759</v>
      </c>
      <c r="D474" s="10" t="s">
        <v>760</v>
      </c>
      <c r="E474" s="10">
        <v>0</v>
      </c>
      <c r="F474" s="10">
        <v>0</v>
      </c>
      <c r="G474" s="10">
        <v>0</v>
      </c>
      <c r="H474" s="10">
        <v>0</v>
      </c>
      <c r="I474" s="10" t="s">
        <v>74</v>
      </c>
      <c r="J474" s="10">
        <v>0</v>
      </c>
      <c r="K474" s="10">
        <v>0</v>
      </c>
      <c r="L474" s="10">
        <v>0</v>
      </c>
      <c r="M474" s="10">
        <v>0</v>
      </c>
      <c r="N474" s="10" t="s">
        <v>761</v>
      </c>
      <c r="O474" s="10" t="s">
        <v>1032</v>
      </c>
      <c r="P474" s="105" t="e">
        <f t="shared" si="7"/>
        <v>#DIV/0!</v>
      </c>
    </row>
    <row r="475" spans="1:16">
      <c r="A475" s="10" t="s">
        <v>635</v>
      </c>
      <c r="B475" s="10">
        <v>1501706</v>
      </c>
      <c r="C475" s="10" t="s">
        <v>759</v>
      </c>
      <c r="D475" s="10" t="s">
        <v>760</v>
      </c>
      <c r="E475" s="10">
        <v>0</v>
      </c>
      <c r="F475" s="10">
        <v>0</v>
      </c>
      <c r="G475" s="10">
        <v>0</v>
      </c>
      <c r="H475" s="10">
        <v>0</v>
      </c>
      <c r="I475" s="10" t="s">
        <v>74</v>
      </c>
      <c r="J475" s="10">
        <v>0</v>
      </c>
      <c r="K475" s="10">
        <v>0</v>
      </c>
      <c r="L475" s="10">
        <v>0</v>
      </c>
      <c r="M475" s="10">
        <v>0</v>
      </c>
      <c r="N475" s="10" t="s">
        <v>761</v>
      </c>
      <c r="O475" s="10" t="s">
        <v>1033</v>
      </c>
      <c r="P475" s="105" t="e">
        <f t="shared" si="7"/>
        <v>#DIV/0!</v>
      </c>
    </row>
    <row r="476" spans="1:16">
      <c r="A476" s="10" t="s">
        <v>635</v>
      </c>
      <c r="B476" s="10">
        <v>1501707</v>
      </c>
      <c r="C476" s="10" t="s">
        <v>759</v>
      </c>
      <c r="D476" s="10" t="s">
        <v>760</v>
      </c>
      <c r="E476" s="10">
        <v>0</v>
      </c>
      <c r="F476" s="10">
        <v>0</v>
      </c>
      <c r="G476" s="10">
        <v>0</v>
      </c>
      <c r="H476" s="10">
        <v>0</v>
      </c>
      <c r="I476" s="10" t="s">
        <v>74</v>
      </c>
      <c r="J476" s="10">
        <v>0</v>
      </c>
      <c r="K476" s="10">
        <v>0</v>
      </c>
      <c r="L476" s="10">
        <v>0</v>
      </c>
      <c r="M476" s="10">
        <v>0</v>
      </c>
      <c r="N476" s="10" t="s">
        <v>761</v>
      </c>
      <c r="O476" s="10" t="s">
        <v>1034</v>
      </c>
      <c r="P476" s="105" t="e">
        <f t="shared" si="7"/>
        <v>#DIV/0!</v>
      </c>
    </row>
    <row r="477" spans="1:16">
      <c r="A477" s="10" t="s">
        <v>635</v>
      </c>
      <c r="B477" s="10">
        <v>1501708</v>
      </c>
      <c r="C477" s="10" t="s">
        <v>759</v>
      </c>
      <c r="D477" s="10" t="s">
        <v>760</v>
      </c>
      <c r="E477" s="10">
        <v>0</v>
      </c>
      <c r="F477" s="10">
        <v>0</v>
      </c>
      <c r="G477" s="10">
        <v>0</v>
      </c>
      <c r="H477" s="10">
        <v>0</v>
      </c>
      <c r="I477" s="10" t="s">
        <v>74</v>
      </c>
      <c r="J477" s="10">
        <v>0</v>
      </c>
      <c r="K477" s="10">
        <v>0</v>
      </c>
      <c r="L477" s="10">
        <v>0</v>
      </c>
      <c r="M477" s="10">
        <v>0</v>
      </c>
      <c r="N477" s="10" t="s">
        <v>761</v>
      </c>
      <c r="O477" s="10" t="s">
        <v>1035</v>
      </c>
      <c r="P477" s="105" t="e">
        <f t="shared" si="7"/>
        <v>#DIV/0!</v>
      </c>
    </row>
    <row r="478" spans="1:16">
      <c r="A478" s="10" t="s">
        <v>635</v>
      </c>
      <c r="B478" s="10">
        <v>1501710</v>
      </c>
      <c r="C478" s="10" t="s">
        <v>759</v>
      </c>
      <c r="D478" s="10" t="s">
        <v>760</v>
      </c>
      <c r="E478" s="10">
        <v>7.2</v>
      </c>
      <c r="F478" s="10">
        <v>0</v>
      </c>
      <c r="G478" s="10">
        <v>0</v>
      </c>
      <c r="H478" s="10">
        <v>7.2</v>
      </c>
      <c r="I478" s="10" t="s">
        <v>74</v>
      </c>
      <c r="J478" s="10">
        <v>73.13</v>
      </c>
      <c r="K478" s="10">
        <v>0</v>
      </c>
      <c r="L478" s="10">
        <v>0</v>
      </c>
      <c r="M478" s="10">
        <v>73.13</v>
      </c>
      <c r="N478" s="10" t="s">
        <v>761</v>
      </c>
      <c r="O478" s="10" t="s">
        <v>301</v>
      </c>
      <c r="P478" s="105">
        <f t="shared" si="7"/>
        <v>10.1569444444444</v>
      </c>
    </row>
    <row r="479" spans="1:16">
      <c r="A479" s="10" t="s">
        <v>635</v>
      </c>
      <c r="B479" s="10">
        <v>1501711</v>
      </c>
      <c r="C479" s="10" t="s">
        <v>759</v>
      </c>
      <c r="D479" s="10" t="s">
        <v>760</v>
      </c>
      <c r="E479" s="10">
        <v>0</v>
      </c>
      <c r="F479" s="10">
        <v>0</v>
      </c>
      <c r="G479" s="10">
        <v>0</v>
      </c>
      <c r="H479" s="10">
        <v>0</v>
      </c>
      <c r="I479" s="10" t="s">
        <v>74</v>
      </c>
      <c r="J479" s="10">
        <v>0</v>
      </c>
      <c r="K479" s="10">
        <v>0</v>
      </c>
      <c r="L479" s="10">
        <v>0</v>
      </c>
      <c r="M479" s="10">
        <v>0</v>
      </c>
      <c r="N479" s="10" t="s">
        <v>761</v>
      </c>
      <c r="O479" s="10" t="s">
        <v>1036</v>
      </c>
      <c r="P479" s="105" t="e">
        <f t="shared" si="7"/>
        <v>#DIV/0!</v>
      </c>
    </row>
    <row r="480" spans="1:16">
      <c r="A480" s="10" t="s">
        <v>635</v>
      </c>
      <c r="B480" s="10">
        <v>1501712</v>
      </c>
      <c r="C480" s="10" t="s">
        <v>759</v>
      </c>
      <c r="D480" s="10" t="s">
        <v>760</v>
      </c>
      <c r="E480" s="10">
        <v>0</v>
      </c>
      <c r="F480" s="10">
        <v>0</v>
      </c>
      <c r="G480" s="10">
        <v>0</v>
      </c>
      <c r="H480" s="10">
        <v>0</v>
      </c>
      <c r="I480" s="10" t="s">
        <v>74</v>
      </c>
      <c r="J480" s="10">
        <v>0</v>
      </c>
      <c r="K480" s="10">
        <v>0</v>
      </c>
      <c r="L480" s="10">
        <v>0</v>
      </c>
      <c r="M480" s="10">
        <v>0</v>
      </c>
      <c r="N480" s="10" t="s">
        <v>761</v>
      </c>
      <c r="O480" s="10" t="s">
        <v>1037</v>
      </c>
      <c r="P480" s="105" t="e">
        <f t="shared" si="7"/>
        <v>#DIV/0!</v>
      </c>
    </row>
    <row r="481" spans="1:16">
      <c r="A481" s="10" t="s">
        <v>635</v>
      </c>
      <c r="B481" s="10">
        <v>1501713</v>
      </c>
      <c r="C481" s="10" t="s">
        <v>759</v>
      </c>
      <c r="D481" s="10" t="s">
        <v>760</v>
      </c>
      <c r="E481" s="10">
        <v>0</v>
      </c>
      <c r="F481" s="10">
        <v>0</v>
      </c>
      <c r="G481" s="10">
        <v>0</v>
      </c>
      <c r="H481" s="10">
        <v>0</v>
      </c>
      <c r="I481" s="10" t="s">
        <v>37</v>
      </c>
      <c r="J481" s="10">
        <v>0</v>
      </c>
      <c r="K481" s="10">
        <v>0</v>
      </c>
      <c r="L481" s="10">
        <v>0</v>
      </c>
      <c r="M481" s="10">
        <v>0</v>
      </c>
      <c r="N481" s="10" t="s">
        <v>761</v>
      </c>
      <c r="O481" s="10" t="s">
        <v>1038</v>
      </c>
      <c r="P481" s="105" t="e">
        <f t="shared" si="7"/>
        <v>#DIV/0!</v>
      </c>
    </row>
    <row r="482" spans="1:16">
      <c r="A482" s="10" t="s">
        <v>635</v>
      </c>
      <c r="B482" s="10">
        <v>1501714</v>
      </c>
      <c r="C482" s="10" t="s">
        <v>759</v>
      </c>
      <c r="D482" s="10" t="s">
        <v>760</v>
      </c>
      <c r="E482" s="10">
        <v>0</v>
      </c>
      <c r="F482" s="10">
        <v>0</v>
      </c>
      <c r="G482" s="10">
        <v>0</v>
      </c>
      <c r="H482" s="10">
        <v>0</v>
      </c>
      <c r="I482" s="10" t="s">
        <v>37</v>
      </c>
      <c r="J482" s="10">
        <v>0</v>
      </c>
      <c r="K482" s="10">
        <v>0</v>
      </c>
      <c r="L482" s="10">
        <v>0</v>
      </c>
      <c r="M482" s="10">
        <v>0</v>
      </c>
      <c r="N482" s="10" t="s">
        <v>761</v>
      </c>
      <c r="O482" s="10" t="s">
        <v>1039</v>
      </c>
      <c r="P482" s="105" t="e">
        <f t="shared" si="7"/>
        <v>#DIV/0!</v>
      </c>
    </row>
    <row r="483" spans="1:16">
      <c r="A483" s="10" t="s">
        <v>635</v>
      </c>
      <c r="B483" s="10">
        <v>1501715</v>
      </c>
      <c r="C483" s="10" t="s">
        <v>759</v>
      </c>
      <c r="D483" s="10" t="s">
        <v>760</v>
      </c>
      <c r="E483" s="10">
        <v>0</v>
      </c>
      <c r="F483" s="10">
        <v>0</v>
      </c>
      <c r="G483" s="10">
        <v>0</v>
      </c>
      <c r="H483" s="10">
        <v>0</v>
      </c>
      <c r="I483" s="10" t="s">
        <v>37</v>
      </c>
      <c r="J483" s="10">
        <v>0</v>
      </c>
      <c r="K483" s="10">
        <v>0</v>
      </c>
      <c r="L483" s="10">
        <v>0</v>
      </c>
      <c r="M483" s="10">
        <v>0</v>
      </c>
      <c r="N483" s="10" t="s">
        <v>761</v>
      </c>
      <c r="O483" s="10" t="s">
        <v>1040</v>
      </c>
      <c r="P483" s="105" t="e">
        <f t="shared" si="7"/>
        <v>#DIV/0!</v>
      </c>
    </row>
    <row r="484" spans="1:16">
      <c r="A484" s="10" t="s">
        <v>635</v>
      </c>
      <c r="B484" s="10">
        <v>3000759</v>
      </c>
      <c r="C484" s="10" t="s">
        <v>759</v>
      </c>
      <c r="D484" s="10" t="s">
        <v>760</v>
      </c>
      <c r="E484" s="10">
        <v>276</v>
      </c>
      <c r="F484" s="10">
        <v>864</v>
      </c>
      <c r="G484" s="10">
        <v>0</v>
      </c>
      <c r="H484" s="103">
        <v>1140</v>
      </c>
      <c r="I484" s="10" t="s">
        <v>74</v>
      </c>
      <c r="J484" s="103">
        <v>2456.15</v>
      </c>
      <c r="K484" s="103">
        <v>7441.78</v>
      </c>
      <c r="L484" s="10">
        <v>0</v>
      </c>
      <c r="M484" s="103">
        <v>9897.93</v>
      </c>
      <c r="N484" s="10" t="s">
        <v>761</v>
      </c>
      <c r="O484" s="10" t="s">
        <v>347</v>
      </c>
      <c r="P484" s="105">
        <f t="shared" si="7"/>
        <v>8.68239473684211</v>
      </c>
    </row>
    <row r="485" spans="1:16">
      <c r="A485" s="10" t="s">
        <v>635</v>
      </c>
      <c r="B485" s="10">
        <v>3001426</v>
      </c>
      <c r="C485" s="10" t="s">
        <v>759</v>
      </c>
      <c r="D485" s="10" t="s">
        <v>760</v>
      </c>
      <c r="E485" s="10">
        <v>0</v>
      </c>
      <c r="F485" s="10">
        <v>0</v>
      </c>
      <c r="G485" s="10">
        <v>0</v>
      </c>
      <c r="H485" s="10">
        <v>0</v>
      </c>
      <c r="I485" s="10" t="s">
        <v>74</v>
      </c>
      <c r="J485" s="10">
        <v>0</v>
      </c>
      <c r="K485" s="10">
        <v>0</v>
      </c>
      <c r="L485" s="10">
        <v>0</v>
      </c>
      <c r="M485" s="10">
        <v>0</v>
      </c>
      <c r="N485" s="10" t="s">
        <v>761</v>
      </c>
      <c r="O485" s="10" t="s">
        <v>1041</v>
      </c>
      <c r="P485" s="105" t="e">
        <f t="shared" si="7"/>
        <v>#DIV/0!</v>
      </c>
    </row>
    <row r="486" spans="1:16">
      <c r="A486" s="10" t="s">
        <v>635</v>
      </c>
      <c r="B486" s="10">
        <v>3001866</v>
      </c>
      <c r="C486" s="10" t="s">
        <v>759</v>
      </c>
      <c r="D486" s="10" t="s">
        <v>760</v>
      </c>
      <c r="E486" s="10">
        <v>0</v>
      </c>
      <c r="F486" s="10">
        <v>0</v>
      </c>
      <c r="G486" s="10">
        <v>0</v>
      </c>
      <c r="H486" s="10">
        <v>0</v>
      </c>
      <c r="I486" s="10" t="s">
        <v>74</v>
      </c>
      <c r="J486" s="10">
        <v>0</v>
      </c>
      <c r="K486" s="10">
        <v>0</v>
      </c>
      <c r="L486" s="10">
        <v>0</v>
      </c>
      <c r="M486" s="10">
        <v>0</v>
      </c>
      <c r="N486" s="10" t="s">
        <v>761</v>
      </c>
      <c r="O486" s="10" t="s">
        <v>1042</v>
      </c>
      <c r="P486" s="105" t="e">
        <f t="shared" si="7"/>
        <v>#DIV/0!</v>
      </c>
    </row>
    <row r="487" spans="1:16">
      <c r="A487" s="10" t="s">
        <v>635</v>
      </c>
      <c r="B487" s="10">
        <v>3002745</v>
      </c>
      <c r="C487" s="10" t="s">
        <v>759</v>
      </c>
      <c r="D487" s="10" t="s">
        <v>760</v>
      </c>
      <c r="E487" s="10">
        <v>108</v>
      </c>
      <c r="F487" s="103">
        <v>2880</v>
      </c>
      <c r="G487" s="10">
        <v>0</v>
      </c>
      <c r="H487" s="103">
        <v>2988</v>
      </c>
      <c r="I487" s="10" t="s">
        <v>74</v>
      </c>
      <c r="J487" s="10">
        <v>467.38</v>
      </c>
      <c r="K487" s="103">
        <v>11881.13</v>
      </c>
      <c r="L487" s="10">
        <v>0</v>
      </c>
      <c r="M487" s="103">
        <v>12348.51</v>
      </c>
      <c r="N487" s="10" t="s">
        <v>761</v>
      </c>
      <c r="O487" s="10" t="s">
        <v>410</v>
      </c>
      <c r="P487" s="105">
        <f t="shared" si="7"/>
        <v>4.13270080321285</v>
      </c>
    </row>
    <row r="488" spans="1:16">
      <c r="A488" s="10" t="s">
        <v>635</v>
      </c>
      <c r="B488" s="10">
        <v>3002747</v>
      </c>
      <c r="C488" s="10" t="s">
        <v>759</v>
      </c>
      <c r="D488" s="10" t="s">
        <v>760</v>
      </c>
      <c r="E488" s="10">
        <v>70.5</v>
      </c>
      <c r="F488" s="10">
        <v>201.6</v>
      </c>
      <c r="G488" s="10">
        <v>0</v>
      </c>
      <c r="H488" s="10">
        <v>272.1</v>
      </c>
      <c r="I488" s="10" t="s">
        <v>74</v>
      </c>
      <c r="J488" s="10">
        <v>845.66</v>
      </c>
      <c r="K488" s="103">
        <v>2361.89</v>
      </c>
      <c r="L488" s="10">
        <v>0</v>
      </c>
      <c r="M488" s="103">
        <v>3207.55</v>
      </c>
      <c r="N488" s="10" t="s">
        <v>761</v>
      </c>
      <c r="O488" s="10" t="s">
        <v>258</v>
      </c>
      <c r="P488" s="105">
        <f t="shared" si="7"/>
        <v>11.7881293642043</v>
      </c>
    </row>
    <row r="489" spans="1:16">
      <c r="A489" s="10" t="s">
        <v>635</v>
      </c>
      <c r="B489" s="10">
        <v>3002753</v>
      </c>
      <c r="C489" s="10" t="s">
        <v>759</v>
      </c>
      <c r="D489" s="10" t="s">
        <v>760</v>
      </c>
      <c r="E489" s="10">
        <v>0</v>
      </c>
      <c r="F489" s="10">
        <v>0</v>
      </c>
      <c r="G489" s="10">
        <v>0</v>
      </c>
      <c r="H489" s="10">
        <v>0</v>
      </c>
      <c r="I489" s="10" t="s">
        <v>74</v>
      </c>
      <c r="J489" s="10">
        <v>0</v>
      </c>
      <c r="K489" s="10">
        <v>0</v>
      </c>
      <c r="L489" s="10">
        <v>0</v>
      </c>
      <c r="M489" s="10">
        <v>0</v>
      </c>
      <c r="N489" s="10" t="s">
        <v>761</v>
      </c>
      <c r="O489" s="10" t="s">
        <v>1043</v>
      </c>
      <c r="P489" s="105" t="e">
        <f t="shared" si="7"/>
        <v>#DIV/0!</v>
      </c>
    </row>
    <row r="490" spans="1:16">
      <c r="A490" s="10" t="s">
        <v>635</v>
      </c>
      <c r="B490" s="10">
        <v>3002757</v>
      </c>
      <c r="C490" s="10" t="s">
        <v>759</v>
      </c>
      <c r="D490" s="10" t="s">
        <v>760</v>
      </c>
      <c r="E490" s="10">
        <v>0</v>
      </c>
      <c r="F490" s="10">
        <v>0</v>
      </c>
      <c r="G490" s="10">
        <v>0</v>
      </c>
      <c r="H490" s="10">
        <v>0</v>
      </c>
      <c r="I490" s="10" t="s">
        <v>74</v>
      </c>
      <c r="J490" s="10">
        <v>0</v>
      </c>
      <c r="K490" s="10">
        <v>0</v>
      </c>
      <c r="L490" s="10">
        <v>0</v>
      </c>
      <c r="M490" s="10">
        <v>0</v>
      </c>
      <c r="N490" s="10" t="s">
        <v>761</v>
      </c>
      <c r="O490" s="10" t="s">
        <v>1044</v>
      </c>
      <c r="P490" s="105" t="e">
        <f t="shared" si="7"/>
        <v>#DIV/0!</v>
      </c>
    </row>
    <row r="491" spans="1:16">
      <c r="A491" s="10" t="s">
        <v>635</v>
      </c>
      <c r="B491" s="10">
        <v>3002759</v>
      </c>
      <c r="C491" s="10" t="s">
        <v>759</v>
      </c>
      <c r="D491" s="10" t="s">
        <v>760</v>
      </c>
      <c r="E491" s="10">
        <v>0</v>
      </c>
      <c r="F491" s="10">
        <v>0</v>
      </c>
      <c r="G491" s="10">
        <v>0</v>
      </c>
      <c r="H491" s="10">
        <v>0</v>
      </c>
      <c r="I491" s="10" t="s">
        <v>74</v>
      </c>
      <c r="J491" s="10">
        <v>0</v>
      </c>
      <c r="K491" s="10">
        <v>0</v>
      </c>
      <c r="L491" s="10">
        <v>0</v>
      </c>
      <c r="M491" s="10">
        <v>0</v>
      </c>
      <c r="N491" s="10" t="s">
        <v>761</v>
      </c>
      <c r="O491" s="10" t="s">
        <v>1045</v>
      </c>
      <c r="P491" s="105" t="e">
        <f t="shared" si="7"/>
        <v>#DIV/0!</v>
      </c>
    </row>
    <row r="492" spans="1:16">
      <c r="A492" s="10" t="s">
        <v>635</v>
      </c>
      <c r="B492" s="10">
        <v>3002761</v>
      </c>
      <c r="C492" s="10" t="s">
        <v>759</v>
      </c>
      <c r="D492" s="10" t="s">
        <v>760</v>
      </c>
      <c r="E492" s="10">
        <v>0</v>
      </c>
      <c r="F492" s="10">
        <v>0</v>
      </c>
      <c r="G492" s="10">
        <v>0</v>
      </c>
      <c r="H492" s="10">
        <v>0</v>
      </c>
      <c r="I492" s="10" t="s">
        <v>74</v>
      </c>
      <c r="J492" s="10">
        <v>0</v>
      </c>
      <c r="K492" s="10">
        <v>0</v>
      </c>
      <c r="L492" s="10">
        <v>0</v>
      </c>
      <c r="M492" s="10">
        <v>0</v>
      </c>
      <c r="N492" s="10" t="s">
        <v>761</v>
      </c>
      <c r="O492" s="10" t="s">
        <v>1046</v>
      </c>
      <c r="P492" s="105" t="e">
        <f t="shared" si="7"/>
        <v>#DIV/0!</v>
      </c>
    </row>
    <row r="493" spans="1:16">
      <c r="A493" s="10" t="s">
        <v>635</v>
      </c>
      <c r="B493" s="10">
        <v>3003393</v>
      </c>
      <c r="C493" s="10" t="s">
        <v>759</v>
      </c>
      <c r="D493" s="10" t="s">
        <v>760</v>
      </c>
      <c r="E493" s="10">
        <v>427.5</v>
      </c>
      <c r="F493" s="10">
        <v>540</v>
      </c>
      <c r="G493" s="10">
        <v>0</v>
      </c>
      <c r="H493" s="10">
        <v>967.5</v>
      </c>
      <c r="I493" s="10" t="s">
        <v>74</v>
      </c>
      <c r="J493" s="103">
        <v>3620.73</v>
      </c>
      <c r="K493" s="103">
        <v>4573.36</v>
      </c>
      <c r="L493" s="10">
        <v>0</v>
      </c>
      <c r="M493" s="103">
        <v>8194.09</v>
      </c>
      <c r="N493" s="10" t="s">
        <v>761</v>
      </c>
      <c r="O493" s="10" t="s">
        <v>349</v>
      </c>
      <c r="P493" s="105">
        <f t="shared" si="7"/>
        <v>8.46934366925065</v>
      </c>
    </row>
    <row r="494" spans="1:16">
      <c r="A494" s="10" t="s">
        <v>635</v>
      </c>
      <c r="B494" s="10">
        <v>3003607</v>
      </c>
      <c r="C494" s="10" t="s">
        <v>759</v>
      </c>
      <c r="D494" s="10" t="s">
        <v>760</v>
      </c>
      <c r="E494" s="10">
        <v>0</v>
      </c>
      <c r="F494" s="10">
        <v>0</v>
      </c>
      <c r="G494" s="10">
        <v>0</v>
      </c>
      <c r="H494" s="10">
        <v>0</v>
      </c>
      <c r="I494" s="10" t="s">
        <v>138</v>
      </c>
      <c r="J494" s="10">
        <v>0</v>
      </c>
      <c r="K494" s="10">
        <v>0</v>
      </c>
      <c r="L494" s="10">
        <v>0</v>
      </c>
      <c r="M494" s="10">
        <v>0</v>
      </c>
      <c r="N494" s="10" t="s">
        <v>761</v>
      </c>
      <c r="O494" s="10" t="s">
        <v>1047</v>
      </c>
      <c r="P494" s="105" t="e">
        <f t="shared" si="7"/>
        <v>#DIV/0!</v>
      </c>
    </row>
    <row r="495" spans="1:16">
      <c r="A495" s="10" t="s">
        <v>635</v>
      </c>
      <c r="B495" s="10">
        <v>3003610</v>
      </c>
      <c r="C495" s="10" t="s">
        <v>759</v>
      </c>
      <c r="D495" s="10" t="s">
        <v>760</v>
      </c>
      <c r="E495" s="10">
        <v>0</v>
      </c>
      <c r="F495" s="10">
        <v>0</v>
      </c>
      <c r="G495" s="10">
        <v>0</v>
      </c>
      <c r="H495" s="10">
        <v>0</v>
      </c>
      <c r="I495" s="10" t="s">
        <v>138</v>
      </c>
      <c r="J495" s="10">
        <v>0</v>
      </c>
      <c r="K495" s="10">
        <v>0</v>
      </c>
      <c r="L495" s="10">
        <v>0</v>
      </c>
      <c r="M495" s="10">
        <v>0</v>
      </c>
      <c r="N495" s="10" t="s">
        <v>761</v>
      </c>
      <c r="O495" s="10" t="s">
        <v>1048</v>
      </c>
      <c r="P495" s="105" t="e">
        <f t="shared" si="7"/>
        <v>#DIV/0!</v>
      </c>
    </row>
    <row r="496" spans="1:16">
      <c r="A496" s="10" t="s">
        <v>635</v>
      </c>
      <c r="B496" s="10">
        <v>3003683</v>
      </c>
      <c r="C496" s="10" t="s">
        <v>759</v>
      </c>
      <c r="D496" s="10" t="s">
        <v>760</v>
      </c>
      <c r="E496" s="10">
        <v>0</v>
      </c>
      <c r="F496" s="10">
        <v>0</v>
      </c>
      <c r="G496" s="10">
        <v>0</v>
      </c>
      <c r="H496" s="10">
        <v>0</v>
      </c>
      <c r="I496" s="10" t="s">
        <v>74</v>
      </c>
      <c r="J496" s="10">
        <v>0</v>
      </c>
      <c r="K496" s="10">
        <v>0</v>
      </c>
      <c r="L496" s="10">
        <v>0</v>
      </c>
      <c r="M496" s="10">
        <v>0</v>
      </c>
      <c r="N496" s="10" t="s">
        <v>761</v>
      </c>
      <c r="O496" s="10" t="s">
        <v>1049</v>
      </c>
      <c r="P496" s="105" t="e">
        <f t="shared" si="7"/>
        <v>#DIV/0!</v>
      </c>
    </row>
    <row r="497" spans="1:16">
      <c r="A497" s="10" t="s">
        <v>635</v>
      </c>
      <c r="B497" s="10">
        <v>3007923</v>
      </c>
      <c r="C497" s="10" t="s">
        <v>759</v>
      </c>
      <c r="D497" s="10" t="s">
        <v>760</v>
      </c>
      <c r="E497" s="10">
        <v>25.92</v>
      </c>
      <c r="F497" s="10">
        <v>12.96</v>
      </c>
      <c r="G497" s="10">
        <v>0</v>
      </c>
      <c r="H497" s="10">
        <v>38.88</v>
      </c>
      <c r="I497" s="10" t="s">
        <v>74</v>
      </c>
      <c r="J497" s="10">
        <v>431.86</v>
      </c>
      <c r="K497" s="10">
        <v>211.04</v>
      </c>
      <c r="L497" s="10">
        <v>0</v>
      </c>
      <c r="M497" s="10">
        <v>642.9</v>
      </c>
      <c r="N497" s="10" t="s">
        <v>761</v>
      </c>
      <c r="O497" s="10" t="s">
        <v>358</v>
      </c>
      <c r="P497" s="105">
        <f t="shared" si="7"/>
        <v>16.5354938271605</v>
      </c>
    </row>
    <row r="498" spans="1:16">
      <c r="A498" s="10" t="s">
        <v>635</v>
      </c>
      <c r="B498" s="10">
        <v>3008087</v>
      </c>
      <c r="C498" s="10" t="s">
        <v>759</v>
      </c>
      <c r="D498" s="10" t="s">
        <v>760</v>
      </c>
      <c r="E498" s="10">
        <v>0</v>
      </c>
      <c r="F498" s="10">
        <v>0</v>
      </c>
      <c r="G498" s="10">
        <v>0</v>
      </c>
      <c r="H498" s="10">
        <v>0</v>
      </c>
      <c r="I498" s="10" t="s">
        <v>74</v>
      </c>
      <c r="J498" s="10">
        <v>0</v>
      </c>
      <c r="K498" s="10">
        <v>0</v>
      </c>
      <c r="L498" s="10">
        <v>0</v>
      </c>
      <c r="M498" s="10">
        <v>0</v>
      </c>
      <c r="N498" s="10" t="s">
        <v>761</v>
      </c>
      <c r="O498" s="10" t="s">
        <v>1050</v>
      </c>
      <c r="P498" s="105" t="e">
        <f t="shared" si="7"/>
        <v>#DIV/0!</v>
      </c>
    </row>
    <row r="499" spans="1:16">
      <c r="A499" s="10" t="s">
        <v>635</v>
      </c>
      <c r="B499" s="10">
        <v>3010356</v>
      </c>
      <c r="C499" s="10" t="s">
        <v>759</v>
      </c>
      <c r="D499" s="10" t="s">
        <v>760</v>
      </c>
      <c r="E499" s="10">
        <v>12.5</v>
      </c>
      <c r="F499" s="10">
        <v>10</v>
      </c>
      <c r="G499" s="10">
        <v>0</v>
      </c>
      <c r="H499" s="10">
        <v>22.5</v>
      </c>
      <c r="I499" s="10" t="s">
        <v>74</v>
      </c>
      <c r="J499" s="10">
        <v>46.69</v>
      </c>
      <c r="K499" s="10">
        <v>37.35</v>
      </c>
      <c r="L499" s="10">
        <v>0</v>
      </c>
      <c r="M499" s="10">
        <v>84.04</v>
      </c>
      <c r="N499" s="10" t="s">
        <v>761</v>
      </c>
      <c r="O499" s="10" t="s">
        <v>435</v>
      </c>
      <c r="P499" s="105">
        <f t="shared" si="7"/>
        <v>3.73511111111111</v>
      </c>
    </row>
    <row r="500" spans="1:16">
      <c r="A500" s="10" t="s">
        <v>635</v>
      </c>
      <c r="B500" s="10">
        <v>3010923</v>
      </c>
      <c r="C500" s="10" t="s">
        <v>759</v>
      </c>
      <c r="D500" s="10" t="s">
        <v>760</v>
      </c>
      <c r="E500" s="10">
        <v>0</v>
      </c>
      <c r="F500" s="10">
        <v>0</v>
      </c>
      <c r="G500" s="10">
        <v>0</v>
      </c>
      <c r="H500" s="10">
        <v>0</v>
      </c>
      <c r="I500" s="10" t="s">
        <v>692</v>
      </c>
      <c r="J500" s="10">
        <v>0</v>
      </c>
      <c r="K500" s="10">
        <v>0</v>
      </c>
      <c r="L500" s="10">
        <v>0</v>
      </c>
      <c r="M500" s="10">
        <v>0</v>
      </c>
      <c r="N500" s="10" t="s">
        <v>761</v>
      </c>
      <c r="O500" s="10" t="s">
        <v>691</v>
      </c>
      <c r="P500" s="105" t="e">
        <f t="shared" si="7"/>
        <v>#DIV/0!</v>
      </c>
    </row>
    <row r="501" spans="1:16">
      <c r="A501" s="10" t="s">
        <v>635</v>
      </c>
      <c r="B501" s="10">
        <v>3011716</v>
      </c>
      <c r="C501" s="10" t="s">
        <v>759</v>
      </c>
      <c r="D501" s="10" t="s">
        <v>760</v>
      </c>
      <c r="E501" s="10">
        <v>0</v>
      </c>
      <c r="F501" s="10">
        <v>0</v>
      </c>
      <c r="G501" s="10">
        <v>0</v>
      </c>
      <c r="H501" s="10">
        <v>0</v>
      </c>
      <c r="I501" s="10" t="s">
        <v>692</v>
      </c>
      <c r="J501" s="10">
        <v>0</v>
      </c>
      <c r="K501" s="10">
        <v>0</v>
      </c>
      <c r="L501" s="10">
        <v>0</v>
      </c>
      <c r="M501" s="10">
        <v>0</v>
      </c>
      <c r="N501" s="10" t="s">
        <v>761</v>
      </c>
      <c r="O501" s="10" t="s">
        <v>1051</v>
      </c>
      <c r="P501" s="105" t="e">
        <f t="shared" si="7"/>
        <v>#DIV/0!</v>
      </c>
    </row>
    <row r="502" spans="1:16">
      <c r="A502" s="10" t="s">
        <v>635</v>
      </c>
      <c r="B502" s="10">
        <v>3500145</v>
      </c>
      <c r="C502" s="10" t="s">
        <v>759</v>
      </c>
      <c r="D502" s="10" t="s">
        <v>760</v>
      </c>
      <c r="E502" s="10">
        <v>0</v>
      </c>
      <c r="F502" s="10">
        <v>0</v>
      </c>
      <c r="G502" s="10">
        <v>0</v>
      </c>
      <c r="H502" s="10">
        <v>0</v>
      </c>
      <c r="I502" s="10" t="s">
        <v>74</v>
      </c>
      <c r="J502" s="10">
        <v>0</v>
      </c>
      <c r="K502" s="10">
        <v>0</v>
      </c>
      <c r="L502" s="10">
        <v>0</v>
      </c>
      <c r="M502" s="10">
        <v>0</v>
      </c>
      <c r="N502" s="10" t="s">
        <v>761</v>
      </c>
      <c r="O502" s="10" t="s">
        <v>1052</v>
      </c>
      <c r="P502" s="105" t="e">
        <f t="shared" si="7"/>
        <v>#DIV/0!</v>
      </c>
    </row>
    <row r="503" spans="1:16">
      <c r="A503" s="10" t="s">
        <v>635</v>
      </c>
      <c r="B503" s="10">
        <v>3500205</v>
      </c>
      <c r="C503" s="10" t="s">
        <v>759</v>
      </c>
      <c r="D503" s="10" t="s">
        <v>760</v>
      </c>
      <c r="E503" s="10">
        <v>0</v>
      </c>
      <c r="F503" s="10">
        <v>0</v>
      </c>
      <c r="G503" s="10">
        <v>0</v>
      </c>
      <c r="H503" s="10">
        <v>0</v>
      </c>
      <c r="I503" s="10" t="s">
        <v>74</v>
      </c>
      <c r="J503" s="10">
        <v>0</v>
      </c>
      <c r="K503" s="10">
        <v>0</v>
      </c>
      <c r="L503" s="10">
        <v>0</v>
      </c>
      <c r="M503" s="10">
        <v>0</v>
      </c>
      <c r="N503" s="10" t="s">
        <v>761</v>
      </c>
      <c r="O503" s="10" t="s">
        <v>1053</v>
      </c>
      <c r="P503" s="105" t="e">
        <f t="shared" si="7"/>
        <v>#DIV/0!</v>
      </c>
    </row>
    <row r="504" spans="1:16">
      <c r="A504" s="10" t="s">
        <v>635</v>
      </c>
      <c r="B504" s="10">
        <v>3500304</v>
      </c>
      <c r="C504" s="10" t="s">
        <v>759</v>
      </c>
      <c r="D504" s="10" t="s">
        <v>760</v>
      </c>
      <c r="E504" s="10">
        <v>0</v>
      </c>
      <c r="F504" s="10">
        <v>0</v>
      </c>
      <c r="G504" s="10">
        <v>0</v>
      </c>
      <c r="H504" s="10">
        <v>0</v>
      </c>
      <c r="I504" s="10" t="s">
        <v>74</v>
      </c>
      <c r="J504" s="10">
        <v>0</v>
      </c>
      <c r="K504" s="10">
        <v>0</v>
      </c>
      <c r="L504" s="10">
        <v>0</v>
      </c>
      <c r="M504" s="10">
        <v>0</v>
      </c>
      <c r="N504" s="10" t="s">
        <v>761</v>
      </c>
      <c r="O504" s="10" t="s">
        <v>1054</v>
      </c>
      <c r="P504" s="105" t="e">
        <f t="shared" si="7"/>
        <v>#DIV/0!</v>
      </c>
    </row>
    <row r="505" spans="1:16">
      <c r="A505" s="10" t="s">
        <v>635</v>
      </c>
      <c r="B505" s="10">
        <v>3704390</v>
      </c>
      <c r="C505" s="10" t="s">
        <v>759</v>
      </c>
      <c r="D505" s="10" t="s">
        <v>760</v>
      </c>
      <c r="E505" s="10">
        <v>0</v>
      </c>
      <c r="F505" s="10">
        <v>0</v>
      </c>
      <c r="G505" s="10">
        <v>0</v>
      </c>
      <c r="H505" s="10">
        <v>0</v>
      </c>
      <c r="I505" s="10" t="s">
        <v>74</v>
      </c>
      <c r="J505" s="10">
        <v>0</v>
      </c>
      <c r="K505" s="10">
        <v>0</v>
      </c>
      <c r="L505" s="10">
        <v>0</v>
      </c>
      <c r="M505" s="10">
        <v>0</v>
      </c>
      <c r="N505" s="10" t="s">
        <v>761</v>
      </c>
      <c r="O505" s="10" t="s">
        <v>1055</v>
      </c>
      <c r="P505" s="105" t="e">
        <f t="shared" si="7"/>
        <v>#DIV/0!</v>
      </c>
    </row>
    <row r="506" spans="1:16">
      <c r="A506" s="10" t="s">
        <v>635</v>
      </c>
      <c r="B506" s="10">
        <v>4000004</v>
      </c>
      <c r="C506" s="10" t="s">
        <v>759</v>
      </c>
      <c r="D506" s="10" t="s">
        <v>760</v>
      </c>
      <c r="E506" s="10">
        <v>0</v>
      </c>
      <c r="F506" s="10">
        <v>0</v>
      </c>
      <c r="G506" s="10">
        <v>0</v>
      </c>
      <c r="H506" s="10">
        <v>0</v>
      </c>
      <c r="I506" s="10" t="s">
        <v>21</v>
      </c>
      <c r="J506" s="10">
        <v>0</v>
      </c>
      <c r="K506" s="10">
        <v>0</v>
      </c>
      <c r="L506" s="10">
        <v>0</v>
      </c>
      <c r="M506" s="10">
        <v>0</v>
      </c>
      <c r="N506" s="10" t="s">
        <v>761</v>
      </c>
      <c r="O506" s="10" t="s">
        <v>252</v>
      </c>
      <c r="P506" s="105" t="e">
        <f t="shared" si="7"/>
        <v>#DIV/0!</v>
      </c>
    </row>
    <row r="507" spans="1:16">
      <c r="A507" s="10" t="s">
        <v>635</v>
      </c>
      <c r="B507" s="10">
        <v>4000022</v>
      </c>
      <c r="C507" s="10" t="s">
        <v>759</v>
      </c>
      <c r="D507" s="10" t="s">
        <v>760</v>
      </c>
      <c r="E507" s="10">
        <v>0</v>
      </c>
      <c r="F507" s="10">
        <v>0</v>
      </c>
      <c r="G507" s="10">
        <v>0</v>
      </c>
      <c r="H507" s="10">
        <v>0</v>
      </c>
      <c r="I507" s="10" t="s">
        <v>97</v>
      </c>
      <c r="J507" s="10">
        <v>0</v>
      </c>
      <c r="K507" s="10">
        <v>0</v>
      </c>
      <c r="L507" s="10">
        <v>0</v>
      </c>
      <c r="M507" s="10">
        <v>0</v>
      </c>
      <c r="N507" s="10" t="s">
        <v>761</v>
      </c>
      <c r="O507" s="10" t="s">
        <v>1056</v>
      </c>
      <c r="P507" s="105" t="e">
        <f t="shared" si="7"/>
        <v>#DIV/0!</v>
      </c>
    </row>
    <row r="508" spans="1:16">
      <c r="A508" s="10" t="s">
        <v>635</v>
      </c>
      <c r="B508" s="10">
        <v>4000058</v>
      </c>
      <c r="C508" s="10" t="s">
        <v>759</v>
      </c>
      <c r="D508" s="10" t="s">
        <v>760</v>
      </c>
      <c r="E508" s="10">
        <v>0</v>
      </c>
      <c r="F508" s="10">
        <v>0</v>
      </c>
      <c r="G508" s="10">
        <v>0</v>
      </c>
      <c r="H508" s="10">
        <v>0</v>
      </c>
      <c r="I508" s="10" t="s">
        <v>21</v>
      </c>
      <c r="J508" s="10">
        <v>0</v>
      </c>
      <c r="K508" s="10">
        <v>0</v>
      </c>
      <c r="L508" s="10">
        <v>0</v>
      </c>
      <c r="M508" s="10">
        <v>0</v>
      </c>
      <c r="N508" s="10" t="s">
        <v>761</v>
      </c>
      <c r="O508" s="10" t="s">
        <v>1057</v>
      </c>
      <c r="P508" s="105" t="e">
        <f t="shared" si="7"/>
        <v>#DIV/0!</v>
      </c>
    </row>
    <row r="509" spans="1:16">
      <c r="A509" s="10" t="s">
        <v>635</v>
      </c>
      <c r="B509" s="10">
        <v>4000065</v>
      </c>
      <c r="C509" s="10" t="s">
        <v>759</v>
      </c>
      <c r="D509" s="10" t="s">
        <v>760</v>
      </c>
      <c r="E509" s="10">
        <v>0</v>
      </c>
      <c r="F509" s="10">
        <v>0</v>
      </c>
      <c r="G509" s="10">
        <v>0</v>
      </c>
      <c r="H509" s="10">
        <v>0</v>
      </c>
      <c r="I509" s="10" t="s">
        <v>21</v>
      </c>
      <c r="J509" s="10">
        <v>0</v>
      </c>
      <c r="K509" s="10">
        <v>0</v>
      </c>
      <c r="L509" s="10">
        <v>0</v>
      </c>
      <c r="M509" s="10">
        <v>0</v>
      </c>
      <c r="N509" s="10" t="s">
        <v>761</v>
      </c>
      <c r="O509" s="10" t="s">
        <v>1058</v>
      </c>
      <c r="P509" s="105" t="e">
        <f t="shared" si="7"/>
        <v>#DIV/0!</v>
      </c>
    </row>
    <row r="510" spans="1:16">
      <c r="A510" s="10" t="s">
        <v>635</v>
      </c>
      <c r="B510" s="10">
        <v>4000068</v>
      </c>
      <c r="C510" s="10" t="s">
        <v>759</v>
      </c>
      <c r="D510" s="10" t="s">
        <v>760</v>
      </c>
      <c r="E510" s="10">
        <v>0</v>
      </c>
      <c r="F510" s="10">
        <v>0</v>
      </c>
      <c r="G510" s="10">
        <v>0</v>
      </c>
      <c r="H510" s="10">
        <v>0</v>
      </c>
      <c r="I510" s="10" t="s">
        <v>802</v>
      </c>
      <c r="J510" s="10">
        <v>0</v>
      </c>
      <c r="K510" s="10">
        <v>0</v>
      </c>
      <c r="L510" s="10">
        <v>0</v>
      </c>
      <c r="M510" s="10">
        <v>0</v>
      </c>
      <c r="N510" s="10" t="s">
        <v>761</v>
      </c>
      <c r="O510" s="10" t="s">
        <v>1059</v>
      </c>
      <c r="P510" s="105" t="e">
        <f t="shared" si="7"/>
        <v>#DIV/0!</v>
      </c>
    </row>
    <row r="511" spans="1:16">
      <c r="A511" s="10" t="s">
        <v>635</v>
      </c>
      <c r="B511" s="10">
        <v>4000097</v>
      </c>
      <c r="C511" s="10" t="s">
        <v>759</v>
      </c>
      <c r="D511" s="10" t="s">
        <v>760</v>
      </c>
      <c r="E511" s="10">
        <v>0</v>
      </c>
      <c r="F511" s="10">
        <v>0</v>
      </c>
      <c r="G511" s="10">
        <v>0</v>
      </c>
      <c r="H511" s="10">
        <v>0</v>
      </c>
      <c r="I511" s="10" t="s">
        <v>89</v>
      </c>
      <c r="J511" s="10">
        <v>0</v>
      </c>
      <c r="K511" s="10">
        <v>0</v>
      </c>
      <c r="L511" s="10">
        <v>0</v>
      </c>
      <c r="M511" s="10">
        <v>0</v>
      </c>
      <c r="N511" s="10" t="s">
        <v>761</v>
      </c>
      <c r="O511" s="10" t="s">
        <v>1060</v>
      </c>
      <c r="P511" s="105" t="e">
        <f t="shared" si="7"/>
        <v>#DIV/0!</v>
      </c>
    </row>
    <row r="512" spans="1:16">
      <c r="A512" s="10" t="s">
        <v>635</v>
      </c>
      <c r="B512" s="10">
        <v>4000116</v>
      </c>
      <c r="C512" s="10" t="s">
        <v>759</v>
      </c>
      <c r="D512" s="10" t="s">
        <v>760</v>
      </c>
      <c r="E512" s="10">
        <v>0</v>
      </c>
      <c r="F512" s="10">
        <v>0</v>
      </c>
      <c r="G512" s="10">
        <v>0</v>
      </c>
      <c r="H512" s="10">
        <v>0</v>
      </c>
      <c r="I512" s="10" t="s">
        <v>697</v>
      </c>
      <c r="J512" s="10">
        <v>0</v>
      </c>
      <c r="K512" s="10">
        <v>0</v>
      </c>
      <c r="L512" s="10">
        <v>0</v>
      </c>
      <c r="M512" s="10">
        <v>0</v>
      </c>
      <c r="N512" s="10" t="s">
        <v>761</v>
      </c>
      <c r="O512" s="10" t="s">
        <v>1061</v>
      </c>
      <c r="P512" s="105" t="e">
        <f t="shared" si="7"/>
        <v>#DIV/0!</v>
      </c>
    </row>
    <row r="513" spans="1:16">
      <c r="A513" s="10" t="s">
        <v>635</v>
      </c>
      <c r="B513" s="10">
        <v>4000128</v>
      </c>
      <c r="C513" s="10" t="s">
        <v>759</v>
      </c>
      <c r="D513" s="10" t="s">
        <v>760</v>
      </c>
      <c r="E513" s="10">
        <v>0</v>
      </c>
      <c r="F513" s="10">
        <v>0</v>
      </c>
      <c r="G513" s="10">
        <v>0</v>
      </c>
      <c r="H513" s="10">
        <v>0</v>
      </c>
      <c r="I513" s="10" t="s">
        <v>21</v>
      </c>
      <c r="J513" s="10">
        <v>0</v>
      </c>
      <c r="K513" s="10">
        <v>0</v>
      </c>
      <c r="L513" s="10">
        <v>0</v>
      </c>
      <c r="M513" s="10">
        <v>0</v>
      </c>
      <c r="N513" s="10" t="s">
        <v>761</v>
      </c>
      <c r="O513" s="10" t="s">
        <v>1062</v>
      </c>
      <c r="P513" s="105" t="e">
        <f t="shared" si="7"/>
        <v>#DIV/0!</v>
      </c>
    </row>
    <row r="514" spans="1:16">
      <c r="A514" s="10" t="s">
        <v>635</v>
      </c>
      <c r="B514" s="10">
        <v>4000157</v>
      </c>
      <c r="C514" s="10" t="s">
        <v>759</v>
      </c>
      <c r="D514" s="10" t="s">
        <v>760</v>
      </c>
      <c r="E514" s="10">
        <v>0</v>
      </c>
      <c r="F514" s="10">
        <v>100</v>
      </c>
      <c r="G514" s="10">
        <v>0</v>
      </c>
      <c r="H514" s="10">
        <v>100</v>
      </c>
      <c r="I514" s="10" t="s">
        <v>21</v>
      </c>
      <c r="J514" s="10">
        <v>0</v>
      </c>
      <c r="K514" s="10">
        <v>65.67</v>
      </c>
      <c r="L514" s="10">
        <v>0</v>
      </c>
      <c r="M514" s="10">
        <v>65.67</v>
      </c>
      <c r="N514" s="10" t="s">
        <v>761</v>
      </c>
      <c r="O514" s="10" t="s">
        <v>420</v>
      </c>
      <c r="P514" s="105">
        <f t="shared" si="7"/>
        <v>0.6567</v>
      </c>
    </row>
    <row r="515" spans="1:16">
      <c r="A515" s="10" t="s">
        <v>635</v>
      </c>
      <c r="B515" s="10">
        <v>4000246</v>
      </c>
      <c r="C515" s="10" t="s">
        <v>759</v>
      </c>
      <c r="D515" s="10" t="s">
        <v>760</v>
      </c>
      <c r="E515" s="10">
        <v>0</v>
      </c>
      <c r="F515" s="10">
        <v>0</v>
      </c>
      <c r="G515" s="10">
        <v>0</v>
      </c>
      <c r="H515" s="10">
        <v>0</v>
      </c>
      <c r="I515" s="10" t="s">
        <v>21</v>
      </c>
      <c r="J515" s="10">
        <v>0</v>
      </c>
      <c r="K515" s="10">
        <v>0</v>
      </c>
      <c r="L515" s="10">
        <v>0</v>
      </c>
      <c r="M515" s="10">
        <v>0</v>
      </c>
      <c r="N515" s="10" t="s">
        <v>761</v>
      </c>
      <c r="O515" s="10" t="s">
        <v>1063</v>
      </c>
      <c r="P515" s="105" t="e">
        <f t="shared" ref="P515:P578" si="8">M515/H515</f>
        <v>#DIV/0!</v>
      </c>
    </row>
    <row r="516" spans="1:16">
      <c r="A516" s="10" t="s">
        <v>635</v>
      </c>
      <c r="B516" s="10">
        <v>4000254</v>
      </c>
      <c r="C516" s="10" t="s">
        <v>759</v>
      </c>
      <c r="D516" s="10" t="s">
        <v>760</v>
      </c>
      <c r="E516" s="10">
        <v>0</v>
      </c>
      <c r="F516" s="10">
        <v>0</v>
      </c>
      <c r="G516" s="10">
        <v>0</v>
      </c>
      <c r="H516" s="10">
        <v>0</v>
      </c>
      <c r="I516" s="10" t="s">
        <v>21</v>
      </c>
      <c r="J516" s="10">
        <v>0</v>
      </c>
      <c r="K516" s="10">
        <v>0</v>
      </c>
      <c r="L516" s="10">
        <v>0</v>
      </c>
      <c r="M516" s="10">
        <v>0</v>
      </c>
      <c r="N516" s="10" t="s">
        <v>761</v>
      </c>
      <c r="O516" s="10" t="s">
        <v>1064</v>
      </c>
      <c r="P516" s="105" t="e">
        <f t="shared" si="8"/>
        <v>#DIV/0!</v>
      </c>
    </row>
    <row r="517" spans="1:16">
      <c r="A517" s="10" t="s">
        <v>635</v>
      </c>
      <c r="B517" s="10">
        <v>4000267</v>
      </c>
      <c r="C517" s="10" t="s">
        <v>759</v>
      </c>
      <c r="D517" s="10" t="s">
        <v>760</v>
      </c>
      <c r="E517" s="10">
        <v>0</v>
      </c>
      <c r="F517" s="10">
        <v>0</v>
      </c>
      <c r="G517" s="10">
        <v>0</v>
      </c>
      <c r="H517" s="10">
        <v>0</v>
      </c>
      <c r="I517" s="10" t="s">
        <v>102</v>
      </c>
      <c r="J517" s="10">
        <v>0</v>
      </c>
      <c r="K517" s="10">
        <v>0</v>
      </c>
      <c r="L517" s="10">
        <v>0</v>
      </c>
      <c r="M517" s="10">
        <v>0</v>
      </c>
      <c r="N517" s="10" t="s">
        <v>761</v>
      </c>
      <c r="O517" s="10" t="s">
        <v>1065</v>
      </c>
      <c r="P517" s="105" t="e">
        <f t="shared" si="8"/>
        <v>#DIV/0!</v>
      </c>
    </row>
    <row r="518" spans="1:16">
      <c r="A518" s="10" t="s">
        <v>635</v>
      </c>
      <c r="B518" s="10">
        <v>4000268</v>
      </c>
      <c r="C518" s="10" t="s">
        <v>759</v>
      </c>
      <c r="D518" s="10" t="s">
        <v>760</v>
      </c>
      <c r="E518" s="10">
        <v>0</v>
      </c>
      <c r="F518" s="10">
        <v>0</v>
      </c>
      <c r="G518" s="10">
        <v>0</v>
      </c>
      <c r="H518" s="10">
        <v>0</v>
      </c>
      <c r="I518" s="10" t="s">
        <v>102</v>
      </c>
      <c r="J518" s="10">
        <v>0</v>
      </c>
      <c r="K518" s="10">
        <v>0</v>
      </c>
      <c r="L518" s="10">
        <v>0</v>
      </c>
      <c r="M518" s="10">
        <v>0</v>
      </c>
      <c r="N518" s="10" t="s">
        <v>761</v>
      </c>
      <c r="O518" s="10" t="s">
        <v>1066</v>
      </c>
      <c r="P518" s="105" t="e">
        <f t="shared" si="8"/>
        <v>#DIV/0!</v>
      </c>
    </row>
    <row r="519" spans="1:16">
      <c r="A519" s="10" t="s">
        <v>635</v>
      </c>
      <c r="B519" s="10">
        <v>4000269</v>
      </c>
      <c r="C519" s="10" t="s">
        <v>759</v>
      </c>
      <c r="D519" s="10" t="s">
        <v>760</v>
      </c>
      <c r="E519" s="10">
        <v>0</v>
      </c>
      <c r="F519" s="10">
        <v>0</v>
      </c>
      <c r="G519" s="10">
        <v>0</v>
      </c>
      <c r="H519" s="10">
        <v>0</v>
      </c>
      <c r="I519" s="10" t="s">
        <v>102</v>
      </c>
      <c r="J519" s="10">
        <v>0</v>
      </c>
      <c r="K519" s="10">
        <v>0</v>
      </c>
      <c r="L519" s="10">
        <v>0</v>
      </c>
      <c r="M519" s="10">
        <v>0</v>
      </c>
      <c r="N519" s="10" t="s">
        <v>761</v>
      </c>
      <c r="O519" s="10" t="s">
        <v>1067</v>
      </c>
      <c r="P519" s="105" t="e">
        <f t="shared" si="8"/>
        <v>#DIV/0!</v>
      </c>
    </row>
    <row r="520" spans="1:16">
      <c r="A520" s="10" t="s">
        <v>635</v>
      </c>
      <c r="B520" s="10">
        <v>4000270</v>
      </c>
      <c r="C520" s="10" t="s">
        <v>759</v>
      </c>
      <c r="D520" s="10" t="s">
        <v>760</v>
      </c>
      <c r="E520" s="10">
        <v>0</v>
      </c>
      <c r="F520" s="10">
        <v>0</v>
      </c>
      <c r="G520" s="10">
        <v>0</v>
      </c>
      <c r="H520" s="10">
        <v>0</v>
      </c>
      <c r="I520" s="10" t="s">
        <v>102</v>
      </c>
      <c r="J520" s="10">
        <v>0</v>
      </c>
      <c r="K520" s="10">
        <v>0</v>
      </c>
      <c r="L520" s="10">
        <v>0</v>
      </c>
      <c r="M520" s="10">
        <v>0</v>
      </c>
      <c r="N520" s="10" t="s">
        <v>761</v>
      </c>
      <c r="O520" s="10" t="s">
        <v>1068</v>
      </c>
      <c r="P520" s="105" t="e">
        <f t="shared" si="8"/>
        <v>#DIV/0!</v>
      </c>
    </row>
    <row r="521" spans="1:16">
      <c r="A521" s="10" t="s">
        <v>635</v>
      </c>
      <c r="B521" s="10">
        <v>4000271</v>
      </c>
      <c r="C521" s="10" t="s">
        <v>759</v>
      </c>
      <c r="D521" s="10" t="s">
        <v>760</v>
      </c>
      <c r="E521" s="10">
        <v>0</v>
      </c>
      <c r="F521" s="10">
        <v>0</v>
      </c>
      <c r="G521" s="10">
        <v>0</v>
      </c>
      <c r="H521" s="10">
        <v>0</v>
      </c>
      <c r="I521" s="10" t="s">
        <v>102</v>
      </c>
      <c r="J521" s="10">
        <v>0</v>
      </c>
      <c r="K521" s="10">
        <v>0</v>
      </c>
      <c r="L521" s="10">
        <v>0</v>
      </c>
      <c r="M521" s="10">
        <v>0</v>
      </c>
      <c r="N521" s="10" t="s">
        <v>761</v>
      </c>
      <c r="O521" s="10" t="s">
        <v>1069</v>
      </c>
      <c r="P521" s="105" t="e">
        <f t="shared" si="8"/>
        <v>#DIV/0!</v>
      </c>
    </row>
    <row r="522" spans="1:16">
      <c r="A522" s="10" t="s">
        <v>635</v>
      </c>
      <c r="B522" s="10">
        <v>4000272</v>
      </c>
      <c r="C522" s="10" t="s">
        <v>759</v>
      </c>
      <c r="D522" s="10" t="s">
        <v>760</v>
      </c>
      <c r="E522" s="10">
        <v>0</v>
      </c>
      <c r="F522" s="10">
        <v>0</v>
      </c>
      <c r="G522" s="10">
        <v>0</v>
      </c>
      <c r="H522" s="10">
        <v>0</v>
      </c>
      <c r="I522" s="10" t="s">
        <v>102</v>
      </c>
      <c r="J522" s="10">
        <v>0</v>
      </c>
      <c r="K522" s="10">
        <v>0</v>
      </c>
      <c r="L522" s="10">
        <v>0</v>
      </c>
      <c r="M522" s="10">
        <v>0</v>
      </c>
      <c r="N522" s="10" t="s">
        <v>761</v>
      </c>
      <c r="O522" s="10" t="s">
        <v>1070</v>
      </c>
      <c r="P522" s="105" t="e">
        <f t="shared" si="8"/>
        <v>#DIV/0!</v>
      </c>
    </row>
    <row r="523" spans="1:16">
      <c r="A523" s="10" t="s">
        <v>635</v>
      </c>
      <c r="B523" s="10">
        <v>4000274</v>
      </c>
      <c r="C523" s="10" t="s">
        <v>759</v>
      </c>
      <c r="D523" s="10" t="s">
        <v>760</v>
      </c>
      <c r="E523" s="10">
        <v>0</v>
      </c>
      <c r="F523" s="10">
        <v>0</v>
      </c>
      <c r="G523" s="10">
        <v>0</v>
      </c>
      <c r="H523" s="10">
        <v>0</v>
      </c>
      <c r="I523" s="10" t="s">
        <v>102</v>
      </c>
      <c r="J523" s="10">
        <v>0</v>
      </c>
      <c r="K523" s="10">
        <v>0</v>
      </c>
      <c r="L523" s="10">
        <v>0</v>
      </c>
      <c r="M523" s="10">
        <v>0</v>
      </c>
      <c r="N523" s="10" t="s">
        <v>761</v>
      </c>
      <c r="O523" s="10" t="s">
        <v>1071</v>
      </c>
      <c r="P523" s="105" t="e">
        <f t="shared" si="8"/>
        <v>#DIV/0!</v>
      </c>
    </row>
    <row r="524" spans="1:16">
      <c r="A524" s="10" t="s">
        <v>635</v>
      </c>
      <c r="B524" s="10">
        <v>4000275</v>
      </c>
      <c r="C524" s="10" t="s">
        <v>759</v>
      </c>
      <c r="D524" s="10" t="s">
        <v>760</v>
      </c>
      <c r="E524" s="10">
        <v>0</v>
      </c>
      <c r="F524" s="10">
        <v>0</v>
      </c>
      <c r="G524" s="10">
        <v>0</v>
      </c>
      <c r="H524" s="10">
        <v>0</v>
      </c>
      <c r="I524" s="10" t="s">
        <v>102</v>
      </c>
      <c r="J524" s="10">
        <v>0</v>
      </c>
      <c r="K524" s="10">
        <v>0</v>
      </c>
      <c r="L524" s="10">
        <v>0</v>
      </c>
      <c r="M524" s="10">
        <v>0</v>
      </c>
      <c r="N524" s="10" t="s">
        <v>761</v>
      </c>
      <c r="O524" s="10" t="s">
        <v>1072</v>
      </c>
      <c r="P524" s="105" t="e">
        <f t="shared" si="8"/>
        <v>#DIV/0!</v>
      </c>
    </row>
    <row r="525" spans="1:16">
      <c r="A525" s="10" t="s">
        <v>635</v>
      </c>
      <c r="B525" s="10">
        <v>4000276</v>
      </c>
      <c r="C525" s="10" t="s">
        <v>759</v>
      </c>
      <c r="D525" s="10" t="s">
        <v>760</v>
      </c>
      <c r="E525" s="10">
        <v>0</v>
      </c>
      <c r="F525" s="10">
        <v>0</v>
      </c>
      <c r="G525" s="10">
        <v>0</v>
      </c>
      <c r="H525" s="10">
        <v>0</v>
      </c>
      <c r="I525" s="10" t="s">
        <v>102</v>
      </c>
      <c r="J525" s="10">
        <v>0</v>
      </c>
      <c r="K525" s="10">
        <v>0</v>
      </c>
      <c r="L525" s="10">
        <v>0</v>
      </c>
      <c r="M525" s="10">
        <v>0</v>
      </c>
      <c r="N525" s="10" t="s">
        <v>761</v>
      </c>
      <c r="O525" s="10" t="s">
        <v>1073</v>
      </c>
      <c r="P525" s="105" t="e">
        <f t="shared" si="8"/>
        <v>#DIV/0!</v>
      </c>
    </row>
    <row r="526" spans="1:16">
      <c r="A526" s="10" t="s">
        <v>635</v>
      </c>
      <c r="B526" s="10">
        <v>4000277</v>
      </c>
      <c r="C526" s="10" t="s">
        <v>759</v>
      </c>
      <c r="D526" s="10" t="s">
        <v>760</v>
      </c>
      <c r="E526" s="10">
        <v>0</v>
      </c>
      <c r="F526" s="10">
        <v>0</v>
      </c>
      <c r="G526" s="10">
        <v>0</v>
      </c>
      <c r="H526" s="10">
        <v>0</v>
      </c>
      <c r="I526" s="10" t="s">
        <v>102</v>
      </c>
      <c r="J526" s="10">
        <v>0</v>
      </c>
      <c r="K526" s="10">
        <v>0</v>
      </c>
      <c r="L526" s="10">
        <v>0</v>
      </c>
      <c r="M526" s="10">
        <v>0</v>
      </c>
      <c r="N526" s="10" t="s">
        <v>761</v>
      </c>
      <c r="O526" s="10" t="s">
        <v>1074</v>
      </c>
      <c r="P526" s="105" t="e">
        <f t="shared" si="8"/>
        <v>#DIV/0!</v>
      </c>
    </row>
    <row r="527" spans="1:16">
      <c r="A527" s="10" t="s">
        <v>635</v>
      </c>
      <c r="B527" s="10">
        <v>4000278</v>
      </c>
      <c r="C527" s="10" t="s">
        <v>759</v>
      </c>
      <c r="D527" s="10" t="s">
        <v>760</v>
      </c>
      <c r="E527" s="10">
        <v>0</v>
      </c>
      <c r="F527" s="10">
        <v>0</v>
      </c>
      <c r="G527" s="10">
        <v>0</v>
      </c>
      <c r="H527" s="10">
        <v>0</v>
      </c>
      <c r="I527" s="10" t="s">
        <v>102</v>
      </c>
      <c r="J527" s="10">
        <v>0</v>
      </c>
      <c r="K527" s="10">
        <v>0</v>
      </c>
      <c r="L527" s="10">
        <v>0</v>
      </c>
      <c r="M527" s="10">
        <v>0</v>
      </c>
      <c r="N527" s="10" t="s">
        <v>761</v>
      </c>
      <c r="O527" s="10" t="s">
        <v>1075</v>
      </c>
      <c r="P527" s="105" t="e">
        <f t="shared" si="8"/>
        <v>#DIV/0!</v>
      </c>
    </row>
    <row r="528" spans="1:16">
      <c r="A528" s="10" t="s">
        <v>635</v>
      </c>
      <c r="B528" s="10">
        <v>4000279</v>
      </c>
      <c r="C528" s="10" t="s">
        <v>759</v>
      </c>
      <c r="D528" s="10" t="s">
        <v>760</v>
      </c>
      <c r="E528" s="10">
        <v>0</v>
      </c>
      <c r="F528" s="10">
        <v>0</v>
      </c>
      <c r="G528" s="10">
        <v>0</v>
      </c>
      <c r="H528" s="10">
        <v>0</v>
      </c>
      <c r="I528" s="10" t="s">
        <v>102</v>
      </c>
      <c r="J528" s="10">
        <v>0</v>
      </c>
      <c r="K528" s="10">
        <v>0</v>
      </c>
      <c r="L528" s="10">
        <v>0</v>
      </c>
      <c r="M528" s="10">
        <v>0</v>
      </c>
      <c r="N528" s="10" t="s">
        <v>761</v>
      </c>
      <c r="O528" s="10" t="s">
        <v>1076</v>
      </c>
      <c r="P528" s="105" t="e">
        <f t="shared" si="8"/>
        <v>#DIV/0!</v>
      </c>
    </row>
    <row r="529" spans="1:16">
      <c r="A529" s="10" t="s">
        <v>635</v>
      </c>
      <c r="B529" s="10">
        <v>4000280</v>
      </c>
      <c r="C529" s="10" t="s">
        <v>759</v>
      </c>
      <c r="D529" s="10" t="s">
        <v>760</v>
      </c>
      <c r="E529" s="10">
        <v>0</v>
      </c>
      <c r="F529" s="10">
        <v>0</v>
      </c>
      <c r="G529" s="10">
        <v>0</v>
      </c>
      <c r="H529" s="10">
        <v>0</v>
      </c>
      <c r="I529" s="10" t="s">
        <v>102</v>
      </c>
      <c r="J529" s="10">
        <v>0</v>
      </c>
      <c r="K529" s="10">
        <v>0</v>
      </c>
      <c r="L529" s="10">
        <v>0</v>
      </c>
      <c r="M529" s="10">
        <v>0</v>
      </c>
      <c r="N529" s="10" t="s">
        <v>761</v>
      </c>
      <c r="O529" s="10" t="s">
        <v>1077</v>
      </c>
      <c r="P529" s="105" t="e">
        <f t="shared" si="8"/>
        <v>#DIV/0!</v>
      </c>
    </row>
    <row r="530" spans="1:16">
      <c r="A530" s="10" t="s">
        <v>635</v>
      </c>
      <c r="B530" s="10">
        <v>4000281</v>
      </c>
      <c r="C530" s="10" t="s">
        <v>759</v>
      </c>
      <c r="D530" s="10" t="s">
        <v>760</v>
      </c>
      <c r="E530" s="10">
        <v>0</v>
      </c>
      <c r="F530" s="10">
        <v>0</v>
      </c>
      <c r="G530" s="10">
        <v>0</v>
      </c>
      <c r="H530" s="10">
        <v>0</v>
      </c>
      <c r="I530" s="10" t="s">
        <v>102</v>
      </c>
      <c r="J530" s="10">
        <v>0</v>
      </c>
      <c r="K530" s="10">
        <v>0</v>
      </c>
      <c r="L530" s="10">
        <v>0</v>
      </c>
      <c r="M530" s="10">
        <v>0</v>
      </c>
      <c r="N530" s="10" t="s">
        <v>761</v>
      </c>
      <c r="O530" s="10" t="s">
        <v>1078</v>
      </c>
      <c r="P530" s="105" t="e">
        <f t="shared" si="8"/>
        <v>#DIV/0!</v>
      </c>
    </row>
    <row r="531" spans="1:16">
      <c r="A531" s="10" t="s">
        <v>635</v>
      </c>
      <c r="B531" s="10">
        <v>4000282</v>
      </c>
      <c r="C531" s="10" t="s">
        <v>759</v>
      </c>
      <c r="D531" s="10" t="s">
        <v>760</v>
      </c>
      <c r="E531" s="10">
        <v>0</v>
      </c>
      <c r="F531" s="10">
        <v>0</v>
      </c>
      <c r="G531" s="10">
        <v>0</v>
      </c>
      <c r="H531" s="10">
        <v>0</v>
      </c>
      <c r="I531" s="10" t="s">
        <v>102</v>
      </c>
      <c r="J531" s="10">
        <v>0</v>
      </c>
      <c r="K531" s="10">
        <v>0</v>
      </c>
      <c r="L531" s="10">
        <v>0</v>
      </c>
      <c r="M531" s="10">
        <v>0</v>
      </c>
      <c r="N531" s="10" t="s">
        <v>761</v>
      </c>
      <c r="O531" s="10" t="s">
        <v>1079</v>
      </c>
      <c r="P531" s="105" t="e">
        <f t="shared" si="8"/>
        <v>#DIV/0!</v>
      </c>
    </row>
    <row r="532" spans="1:16">
      <c r="A532" s="10" t="s">
        <v>635</v>
      </c>
      <c r="B532" s="10">
        <v>4000283</v>
      </c>
      <c r="C532" s="10" t="s">
        <v>759</v>
      </c>
      <c r="D532" s="10" t="s">
        <v>760</v>
      </c>
      <c r="E532" s="10">
        <v>0</v>
      </c>
      <c r="F532" s="10">
        <v>0</v>
      </c>
      <c r="G532" s="10">
        <v>0</v>
      </c>
      <c r="H532" s="10">
        <v>0</v>
      </c>
      <c r="I532" s="10" t="s">
        <v>102</v>
      </c>
      <c r="J532" s="10">
        <v>0</v>
      </c>
      <c r="K532" s="10">
        <v>0</v>
      </c>
      <c r="L532" s="10">
        <v>0</v>
      </c>
      <c r="M532" s="10">
        <v>0</v>
      </c>
      <c r="N532" s="10" t="s">
        <v>761</v>
      </c>
      <c r="O532" s="10" t="s">
        <v>1080</v>
      </c>
      <c r="P532" s="105" t="e">
        <f t="shared" si="8"/>
        <v>#DIV/0!</v>
      </c>
    </row>
    <row r="533" spans="1:16">
      <c r="A533" s="10" t="s">
        <v>635</v>
      </c>
      <c r="B533" s="10">
        <v>4000284</v>
      </c>
      <c r="C533" s="10" t="s">
        <v>759</v>
      </c>
      <c r="D533" s="10" t="s">
        <v>760</v>
      </c>
      <c r="E533" s="10">
        <v>0</v>
      </c>
      <c r="F533" s="10">
        <v>0</v>
      </c>
      <c r="G533" s="10">
        <v>0</v>
      </c>
      <c r="H533" s="10">
        <v>0</v>
      </c>
      <c r="I533" s="10" t="s">
        <v>102</v>
      </c>
      <c r="J533" s="10">
        <v>0</v>
      </c>
      <c r="K533" s="10">
        <v>0</v>
      </c>
      <c r="L533" s="10">
        <v>0</v>
      </c>
      <c r="M533" s="10">
        <v>0</v>
      </c>
      <c r="N533" s="10" t="s">
        <v>761</v>
      </c>
      <c r="O533" s="10" t="s">
        <v>1081</v>
      </c>
      <c r="P533" s="105" t="e">
        <f t="shared" si="8"/>
        <v>#DIV/0!</v>
      </c>
    </row>
    <row r="534" spans="1:16">
      <c r="A534" s="10" t="s">
        <v>635</v>
      </c>
      <c r="B534" s="10">
        <v>4000291</v>
      </c>
      <c r="C534" s="10" t="s">
        <v>759</v>
      </c>
      <c r="D534" s="10" t="s">
        <v>760</v>
      </c>
      <c r="E534" s="10">
        <v>0</v>
      </c>
      <c r="F534" s="10">
        <v>0</v>
      </c>
      <c r="G534" s="10">
        <v>0</v>
      </c>
      <c r="H534" s="10">
        <v>0</v>
      </c>
      <c r="I534" s="10" t="s">
        <v>41</v>
      </c>
      <c r="J534" s="10">
        <v>0</v>
      </c>
      <c r="K534" s="10">
        <v>0</v>
      </c>
      <c r="L534" s="10">
        <v>0</v>
      </c>
      <c r="M534" s="10">
        <v>0</v>
      </c>
      <c r="N534" s="10" t="s">
        <v>761</v>
      </c>
      <c r="O534" s="10" t="s">
        <v>1082</v>
      </c>
      <c r="P534" s="105" t="e">
        <f t="shared" si="8"/>
        <v>#DIV/0!</v>
      </c>
    </row>
    <row r="535" spans="1:16">
      <c r="A535" s="10" t="s">
        <v>635</v>
      </c>
      <c r="B535" s="10">
        <v>4000323</v>
      </c>
      <c r="C535" s="10" t="s">
        <v>759</v>
      </c>
      <c r="D535" s="10" t="s">
        <v>760</v>
      </c>
      <c r="E535" s="10">
        <v>0</v>
      </c>
      <c r="F535" s="10">
        <v>0</v>
      </c>
      <c r="G535" s="10">
        <v>0</v>
      </c>
      <c r="H535" s="10">
        <v>0</v>
      </c>
      <c r="I535" s="10" t="s">
        <v>128</v>
      </c>
      <c r="J535" s="10">
        <v>0</v>
      </c>
      <c r="K535" s="10">
        <v>0</v>
      </c>
      <c r="L535" s="10">
        <v>0</v>
      </c>
      <c r="M535" s="10">
        <v>0</v>
      </c>
      <c r="N535" s="10" t="s">
        <v>761</v>
      </c>
      <c r="O535" s="10" t="s">
        <v>1083</v>
      </c>
      <c r="P535" s="105" t="e">
        <f t="shared" si="8"/>
        <v>#DIV/0!</v>
      </c>
    </row>
    <row r="536" spans="1:16">
      <c r="A536" s="10" t="s">
        <v>635</v>
      </c>
      <c r="B536" s="10">
        <v>4000324</v>
      </c>
      <c r="C536" s="10" t="s">
        <v>759</v>
      </c>
      <c r="D536" s="10" t="s">
        <v>760</v>
      </c>
      <c r="E536" s="10">
        <v>0</v>
      </c>
      <c r="F536" s="10">
        <v>0</v>
      </c>
      <c r="G536" s="10">
        <v>0</v>
      </c>
      <c r="H536" s="10">
        <v>0</v>
      </c>
      <c r="I536" s="10" t="s">
        <v>41</v>
      </c>
      <c r="J536" s="10">
        <v>0</v>
      </c>
      <c r="K536" s="10">
        <v>0</v>
      </c>
      <c r="L536" s="10">
        <v>0</v>
      </c>
      <c r="M536" s="10">
        <v>0</v>
      </c>
      <c r="N536" s="10" t="s">
        <v>761</v>
      </c>
      <c r="O536" s="10" t="s">
        <v>1084</v>
      </c>
      <c r="P536" s="105" t="e">
        <f t="shared" si="8"/>
        <v>#DIV/0!</v>
      </c>
    </row>
    <row r="537" spans="1:16">
      <c r="A537" s="10" t="s">
        <v>635</v>
      </c>
      <c r="B537" s="10">
        <v>4000325</v>
      </c>
      <c r="C537" s="10" t="s">
        <v>759</v>
      </c>
      <c r="D537" s="10" t="s">
        <v>760</v>
      </c>
      <c r="E537" s="10">
        <v>0</v>
      </c>
      <c r="F537" s="10">
        <v>0</v>
      </c>
      <c r="G537" s="10">
        <v>0</v>
      </c>
      <c r="H537" s="10">
        <v>0</v>
      </c>
      <c r="I537" s="10" t="s">
        <v>21</v>
      </c>
      <c r="J537" s="10">
        <v>0</v>
      </c>
      <c r="K537" s="10">
        <v>0</v>
      </c>
      <c r="L537" s="10">
        <v>0</v>
      </c>
      <c r="M537" s="10">
        <v>0</v>
      </c>
      <c r="N537" s="10" t="s">
        <v>761</v>
      </c>
      <c r="O537" s="10" t="s">
        <v>1085</v>
      </c>
      <c r="P537" s="105" t="e">
        <f t="shared" si="8"/>
        <v>#DIV/0!</v>
      </c>
    </row>
    <row r="538" spans="1:16">
      <c r="A538" s="10" t="s">
        <v>635</v>
      </c>
      <c r="B538" s="10">
        <v>4000349</v>
      </c>
      <c r="C538" s="10" t="s">
        <v>759</v>
      </c>
      <c r="D538" s="10" t="s">
        <v>760</v>
      </c>
      <c r="E538" s="10">
        <v>0</v>
      </c>
      <c r="F538" s="10">
        <v>0</v>
      </c>
      <c r="G538" s="10">
        <v>0</v>
      </c>
      <c r="H538" s="10">
        <v>0</v>
      </c>
      <c r="I538" s="10" t="s">
        <v>21</v>
      </c>
      <c r="J538" s="10">
        <v>0</v>
      </c>
      <c r="K538" s="10">
        <v>0</v>
      </c>
      <c r="L538" s="10">
        <v>0</v>
      </c>
      <c r="M538" s="10">
        <v>0</v>
      </c>
      <c r="N538" s="10" t="s">
        <v>761</v>
      </c>
      <c r="O538" s="10" t="s">
        <v>1086</v>
      </c>
      <c r="P538" s="105" t="e">
        <f t="shared" si="8"/>
        <v>#DIV/0!</v>
      </c>
    </row>
    <row r="539" spans="1:16">
      <c r="A539" s="10" t="s">
        <v>635</v>
      </c>
      <c r="B539" s="10">
        <v>4000360</v>
      </c>
      <c r="C539" s="10" t="s">
        <v>759</v>
      </c>
      <c r="D539" s="10" t="s">
        <v>760</v>
      </c>
      <c r="E539" s="10">
        <v>0</v>
      </c>
      <c r="F539" s="10">
        <v>0</v>
      </c>
      <c r="G539" s="10">
        <v>0</v>
      </c>
      <c r="H539" s="10">
        <v>0</v>
      </c>
      <c r="I539" s="10" t="s">
        <v>21</v>
      </c>
      <c r="J539" s="10">
        <v>0</v>
      </c>
      <c r="K539" s="10">
        <v>0</v>
      </c>
      <c r="L539" s="10">
        <v>0</v>
      </c>
      <c r="M539" s="10">
        <v>0</v>
      </c>
      <c r="N539" s="10" t="s">
        <v>761</v>
      </c>
      <c r="O539" s="10" t="s">
        <v>1087</v>
      </c>
      <c r="P539" s="105" t="e">
        <f t="shared" si="8"/>
        <v>#DIV/0!</v>
      </c>
    </row>
    <row r="540" spans="1:16">
      <c r="A540" s="10" t="s">
        <v>635</v>
      </c>
      <c r="B540" s="10">
        <v>4000361</v>
      </c>
      <c r="C540" s="10" t="s">
        <v>759</v>
      </c>
      <c r="D540" s="10" t="s">
        <v>760</v>
      </c>
      <c r="E540" s="10">
        <v>0</v>
      </c>
      <c r="F540" s="10">
        <v>0</v>
      </c>
      <c r="G540" s="10">
        <v>0</v>
      </c>
      <c r="H540" s="10">
        <v>0</v>
      </c>
      <c r="I540" s="10" t="s">
        <v>697</v>
      </c>
      <c r="J540" s="10">
        <v>0</v>
      </c>
      <c r="K540" s="10">
        <v>0</v>
      </c>
      <c r="L540" s="10">
        <v>0</v>
      </c>
      <c r="M540" s="10">
        <v>0</v>
      </c>
      <c r="N540" s="10" t="s">
        <v>761</v>
      </c>
      <c r="O540" s="10" t="s">
        <v>1088</v>
      </c>
      <c r="P540" s="105" t="e">
        <f t="shared" si="8"/>
        <v>#DIV/0!</v>
      </c>
    </row>
    <row r="541" spans="1:16">
      <c r="A541" s="10" t="s">
        <v>635</v>
      </c>
      <c r="B541" s="10">
        <v>4000365</v>
      </c>
      <c r="C541" s="10" t="s">
        <v>759</v>
      </c>
      <c r="D541" s="10" t="s">
        <v>760</v>
      </c>
      <c r="E541" s="10">
        <v>0</v>
      </c>
      <c r="F541" s="10">
        <v>0</v>
      </c>
      <c r="G541" s="10">
        <v>0</v>
      </c>
      <c r="H541" s="10">
        <v>0</v>
      </c>
      <c r="I541" s="10" t="s">
        <v>697</v>
      </c>
      <c r="J541" s="10">
        <v>0</v>
      </c>
      <c r="K541" s="10">
        <v>0</v>
      </c>
      <c r="L541" s="10">
        <v>0</v>
      </c>
      <c r="M541" s="10">
        <v>0</v>
      </c>
      <c r="N541" s="10" t="s">
        <v>761</v>
      </c>
      <c r="O541" s="10" t="s">
        <v>1089</v>
      </c>
      <c r="P541" s="105" t="e">
        <f t="shared" si="8"/>
        <v>#DIV/0!</v>
      </c>
    </row>
    <row r="542" spans="1:16">
      <c r="A542" s="10" t="s">
        <v>635</v>
      </c>
      <c r="B542" s="10">
        <v>4000375</v>
      </c>
      <c r="C542" s="10" t="s">
        <v>759</v>
      </c>
      <c r="D542" s="10" t="s">
        <v>760</v>
      </c>
      <c r="E542" s="10">
        <v>0</v>
      </c>
      <c r="F542" s="10">
        <v>0</v>
      </c>
      <c r="G542" s="10">
        <v>0</v>
      </c>
      <c r="H542" s="10">
        <v>0</v>
      </c>
      <c r="I542" s="10" t="s">
        <v>26</v>
      </c>
      <c r="J542" s="10">
        <v>0</v>
      </c>
      <c r="K542" s="10">
        <v>0</v>
      </c>
      <c r="L542" s="10">
        <v>0</v>
      </c>
      <c r="M542" s="10">
        <v>0</v>
      </c>
      <c r="N542" s="10" t="s">
        <v>761</v>
      </c>
      <c r="O542" s="10" t="s">
        <v>1090</v>
      </c>
      <c r="P542" s="105" t="e">
        <f t="shared" si="8"/>
        <v>#DIV/0!</v>
      </c>
    </row>
    <row r="543" spans="1:16">
      <c r="A543" s="10" t="s">
        <v>635</v>
      </c>
      <c r="B543" s="10">
        <v>4000376</v>
      </c>
      <c r="C543" s="10" t="s">
        <v>759</v>
      </c>
      <c r="D543" s="10" t="s">
        <v>760</v>
      </c>
      <c r="E543" s="10">
        <v>0</v>
      </c>
      <c r="F543" s="10">
        <v>0</v>
      </c>
      <c r="G543" s="10">
        <v>0</v>
      </c>
      <c r="H543" s="10">
        <v>0</v>
      </c>
      <c r="I543" s="10" t="s">
        <v>26</v>
      </c>
      <c r="J543" s="10">
        <v>0</v>
      </c>
      <c r="K543" s="10">
        <v>0</v>
      </c>
      <c r="L543" s="10">
        <v>0</v>
      </c>
      <c r="M543" s="10">
        <v>0</v>
      </c>
      <c r="N543" s="10" t="s">
        <v>761</v>
      </c>
      <c r="O543" s="10" t="s">
        <v>1091</v>
      </c>
      <c r="P543" s="105" t="e">
        <f t="shared" si="8"/>
        <v>#DIV/0!</v>
      </c>
    </row>
    <row r="544" spans="1:16">
      <c r="A544" s="10" t="s">
        <v>635</v>
      </c>
      <c r="B544" s="10">
        <v>4000381</v>
      </c>
      <c r="C544" s="10" t="s">
        <v>759</v>
      </c>
      <c r="D544" s="10" t="s">
        <v>760</v>
      </c>
      <c r="E544" s="10">
        <v>0</v>
      </c>
      <c r="F544" s="10">
        <v>0</v>
      </c>
      <c r="G544" s="10">
        <v>0</v>
      </c>
      <c r="H544" s="10">
        <v>0</v>
      </c>
      <c r="I544" s="10" t="s">
        <v>21</v>
      </c>
      <c r="J544" s="10">
        <v>0</v>
      </c>
      <c r="K544" s="10">
        <v>0</v>
      </c>
      <c r="L544" s="10">
        <v>0</v>
      </c>
      <c r="M544" s="10">
        <v>0</v>
      </c>
      <c r="N544" s="10" t="s">
        <v>761</v>
      </c>
      <c r="O544" s="10" t="s">
        <v>1092</v>
      </c>
      <c r="P544" s="105" t="e">
        <f t="shared" si="8"/>
        <v>#DIV/0!</v>
      </c>
    </row>
    <row r="545" spans="1:16">
      <c r="A545" s="10" t="s">
        <v>635</v>
      </c>
      <c r="B545" s="10">
        <v>4000383</v>
      </c>
      <c r="C545" s="10" t="s">
        <v>759</v>
      </c>
      <c r="D545" s="10" t="s">
        <v>760</v>
      </c>
      <c r="E545" s="10">
        <v>0</v>
      </c>
      <c r="F545" s="10">
        <v>0</v>
      </c>
      <c r="G545" s="10">
        <v>0</v>
      </c>
      <c r="H545" s="10">
        <v>0</v>
      </c>
      <c r="I545" s="10" t="s">
        <v>21</v>
      </c>
      <c r="J545" s="10">
        <v>0</v>
      </c>
      <c r="K545" s="10">
        <v>0</v>
      </c>
      <c r="L545" s="10">
        <v>0</v>
      </c>
      <c r="M545" s="10">
        <v>0</v>
      </c>
      <c r="N545" s="10" t="s">
        <v>761</v>
      </c>
      <c r="O545" s="10" t="s">
        <v>1093</v>
      </c>
      <c r="P545" s="105" t="e">
        <f t="shared" si="8"/>
        <v>#DIV/0!</v>
      </c>
    </row>
    <row r="546" spans="1:16">
      <c r="A546" s="10" t="s">
        <v>635</v>
      </c>
      <c r="B546" s="10">
        <v>4000400</v>
      </c>
      <c r="C546" s="10" t="s">
        <v>759</v>
      </c>
      <c r="D546" s="10" t="s">
        <v>760</v>
      </c>
      <c r="E546" s="10">
        <v>0</v>
      </c>
      <c r="F546" s="10">
        <v>0</v>
      </c>
      <c r="G546" s="10">
        <v>0</v>
      </c>
      <c r="H546" s="10">
        <v>0</v>
      </c>
      <c r="I546" s="10" t="s">
        <v>21</v>
      </c>
      <c r="J546" s="10">
        <v>0</v>
      </c>
      <c r="K546" s="10">
        <v>0</v>
      </c>
      <c r="L546" s="10">
        <v>0</v>
      </c>
      <c r="M546" s="10">
        <v>0</v>
      </c>
      <c r="N546" s="10" t="s">
        <v>761</v>
      </c>
      <c r="O546" s="10" t="s">
        <v>1094</v>
      </c>
      <c r="P546" s="105" t="e">
        <f t="shared" si="8"/>
        <v>#DIV/0!</v>
      </c>
    </row>
    <row r="547" spans="1:16">
      <c r="A547" s="10" t="s">
        <v>635</v>
      </c>
      <c r="B547" s="10">
        <v>4000411</v>
      </c>
      <c r="C547" s="10" t="s">
        <v>759</v>
      </c>
      <c r="D547" s="10" t="s">
        <v>760</v>
      </c>
      <c r="E547" s="10">
        <v>0</v>
      </c>
      <c r="F547" s="10">
        <v>0</v>
      </c>
      <c r="G547" s="10">
        <v>0</v>
      </c>
      <c r="H547" s="10">
        <v>0</v>
      </c>
      <c r="I547" s="10" t="s">
        <v>41</v>
      </c>
      <c r="J547" s="10">
        <v>0</v>
      </c>
      <c r="K547" s="10">
        <v>0</v>
      </c>
      <c r="L547" s="10">
        <v>0</v>
      </c>
      <c r="M547" s="10">
        <v>0</v>
      </c>
      <c r="N547" s="10" t="s">
        <v>761</v>
      </c>
      <c r="O547" s="10" t="s">
        <v>1095</v>
      </c>
      <c r="P547" s="105" t="e">
        <f t="shared" si="8"/>
        <v>#DIV/0!</v>
      </c>
    </row>
    <row r="548" spans="1:16">
      <c r="A548" s="10" t="s">
        <v>635</v>
      </c>
      <c r="B548" s="10">
        <v>4000437</v>
      </c>
      <c r="C548" s="10" t="s">
        <v>759</v>
      </c>
      <c r="D548" s="10" t="s">
        <v>760</v>
      </c>
      <c r="E548" s="10">
        <v>0</v>
      </c>
      <c r="F548" s="10">
        <v>0</v>
      </c>
      <c r="G548" s="10">
        <v>0</v>
      </c>
      <c r="H548" s="10">
        <v>0</v>
      </c>
      <c r="I548" s="10" t="s">
        <v>802</v>
      </c>
      <c r="J548" s="10">
        <v>0</v>
      </c>
      <c r="K548" s="10">
        <v>0</v>
      </c>
      <c r="L548" s="10">
        <v>0</v>
      </c>
      <c r="M548" s="10">
        <v>0</v>
      </c>
      <c r="N548" s="10" t="s">
        <v>761</v>
      </c>
      <c r="O548" s="10" t="s">
        <v>1096</v>
      </c>
      <c r="P548" s="105" t="e">
        <f t="shared" si="8"/>
        <v>#DIV/0!</v>
      </c>
    </row>
    <row r="549" spans="1:16">
      <c r="A549" s="10" t="s">
        <v>635</v>
      </c>
      <c r="B549" s="10">
        <v>4000448</v>
      </c>
      <c r="C549" s="10" t="s">
        <v>759</v>
      </c>
      <c r="D549" s="10" t="s">
        <v>760</v>
      </c>
      <c r="E549" s="10">
        <v>0</v>
      </c>
      <c r="F549" s="10">
        <v>0</v>
      </c>
      <c r="G549" s="10">
        <v>0</v>
      </c>
      <c r="H549" s="10">
        <v>0</v>
      </c>
      <c r="I549" s="10" t="s">
        <v>21</v>
      </c>
      <c r="J549" s="10">
        <v>0</v>
      </c>
      <c r="K549" s="10">
        <v>0</v>
      </c>
      <c r="L549" s="10">
        <v>0</v>
      </c>
      <c r="M549" s="10">
        <v>0</v>
      </c>
      <c r="N549" s="10" t="s">
        <v>761</v>
      </c>
      <c r="O549" s="10" t="s">
        <v>1097</v>
      </c>
      <c r="P549" s="105" t="e">
        <f t="shared" si="8"/>
        <v>#DIV/0!</v>
      </c>
    </row>
    <row r="550" spans="1:16">
      <c r="A550" s="10" t="s">
        <v>635</v>
      </c>
      <c r="B550" s="10">
        <v>4000465</v>
      </c>
      <c r="C550" s="10" t="s">
        <v>759</v>
      </c>
      <c r="D550" s="10" t="s">
        <v>760</v>
      </c>
      <c r="E550" s="10">
        <v>0</v>
      </c>
      <c r="F550" s="10">
        <v>25</v>
      </c>
      <c r="G550" s="10">
        <v>0</v>
      </c>
      <c r="H550" s="10">
        <v>25</v>
      </c>
      <c r="I550" s="10" t="s">
        <v>21</v>
      </c>
      <c r="J550" s="10">
        <v>0</v>
      </c>
      <c r="K550" s="10">
        <v>126.38</v>
      </c>
      <c r="L550" s="10">
        <v>0</v>
      </c>
      <c r="M550" s="10">
        <v>126.38</v>
      </c>
      <c r="N550" s="10" t="s">
        <v>761</v>
      </c>
      <c r="O550" s="10" t="s">
        <v>330</v>
      </c>
      <c r="P550" s="105">
        <f t="shared" si="8"/>
        <v>5.0552</v>
      </c>
    </row>
    <row r="551" spans="1:16">
      <c r="A551" s="10" t="s">
        <v>635</v>
      </c>
      <c r="B551" s="10">
        <v>4000534</v>
      </c>
      <c r="C551" s="10" t="s">
        <v>759</v>
      </c>
      <c r="D551" s="10" t="s">
        <v>760</v>
      </c>
      <c r="E551" s="10">
        <v>0</v>
      </c>
      <c r="F551" s="10">
        <v>0</v>
      </c>
      <c r="G551" s="10">
        <v>0</v>
      </c>
      <c r="H551" s="10">
        <v>0</v>
      </c>
      <c r="I551" s="10" t="s">
        <v>21</v>
      </c>
      <c r="J551" s="10">
        <v>0</v>
      </c>
      <c r="K551" s="10">
        <v>0</v>
      </c>
      <c r="L551" s="10">
        <v>0</v>
      </c>
      <c r="M551" s="10">
        <v>0</v>
      </c>
      <c r="N551" s="10" t="s">
        <v>761</v>
      </c>
      <c r="O551" s="10" t="s">
        <v>1098</v>
      </c>
      <c r="P551" s="105" t="e">
        <f t="shared" si="8"/>
        <v>#DIV/0!</v>
      </c>
    </row>
    <row r="552" spans="1:16">
      <c r="A552" s="10" t="s">
        <v>635</v>
      </c>
      <c r="B552" s="10">
        <v>4000560</v>
      </c>
      <c r="C552" s="10" t="s">
        <v>759</v>
      </c>
      <c r="D552" s="10" t="s">
        <v>760</v>
      </c>
      <c r="E552" s="10">
        <v>0</v>
      </c>
      <c r="F552" s="10">
        <v>0</v>
      </c>
      <c r="G552" s="10">
        <v>0</v>
      </c>
      <c r="H552" s="10">
        <v>0</v>
      </c>
      <c r="I552" s="10" t="s">
        <v>669</v>
      </c>
      <c r="J552" s="10">
        <v>0</v>
      </c>
      <c r="K552" s="10">
        <v>0</v>
      </c>
      <c r="L552" s="10">
        <v>0</v>
      </c>
      <c r="M552" s="10">
        <v>0</v>
      </c>
      <c r="N552" s="10" t="s">
        <v>761</v>
      </c>
      <c r="O552" s="10" t="s">
        <v>1099</v>
      </c>
      <c r="P552" s="105" t="e">
        <f t="shared" si="8"/>
        <v>#DIV/0!</v>
      </c>
    </row>
    <row r="553" spans="1:16">
      <c r="A553" s="10" t="s">
        <v>635</v>
      </c>
      <c r="B553" s="10">
        <v>4000607</v>
      </c>
      <c r="C553" s="10" t="s">
        <v>759</v>
      </c>
      <c r="D553" s="10" t="s">
        <v>760</v>
      </c>
      <c r="E553" s="10">
        <v>0</v>
      </c>
      <c r="F553" s="10">
        <v>0</v>
      </c>
      <c r="G553" s="10">
        <v>0</v>
      </c>
      <c r="H553" s="10">
        <v>0</v>
      </c>
      <c r="I553" s="10" t="s">
        <v>21</v>
      </c>
      <c r="J553" s="10">
        <v>0</v>
      </c>
      <c r="K553" s="10">
        <v>0</v>
      </c>
      <c r="L553" s="10">
        <v>0</v>
      </c>
      <c r="M553" s="10">
        <v>0</v>
      </c>
      <c r="N553" s="10" t="s">
        <v>761</v>
      </c>
      <c r="O553" s="10" t="s">
        <v>1100</v>
      </c>
      <c r="P553" s="105" t="e">
        <f t="shared" si="8"/>
        <v>#DIV/0!</v>
      </c>
    </row>
    <row r="554" spans="1:16">
      <c r="A554" s="10" t="s">
        <v>635</v>
      </c>
      <c r="B554" s="10">
        <v>4000608</v>
      </c>
      <c r="C554" s="10" t="s">
        <v>759</v>
      </c>
      <c r="D554" s="10" t="s">
        <v>760</v>
      </c>
      <c r="E554" s="10">
        <v>0</v>
      </c>
      <c r="F554" s="10">
        <v>0</v>
      </c>
      <c r="G554" s="10">
        <v>0</v>
      </c>
      <c r="H554" s="10">
        <v>0</v>
      </c>
      <c r="I554" s="10" t="s">
        <v>21</v>
      </c>
      <c r="J554" s="10">
        <v>0</v>
      </c>
      <c r="K554" s="10">
        <v>0</v>
      </c>
      <c r="L554" s="10">
        <v>0</v>
      </c>
      <c r="M554" s="10">
        <v>0</v>
      </c>
      <c r="N554" s="10" t="s">
        <v>761</v>
      </c>
      <c r="O554" s="10" t="s">
        <v>1101</v>
      </c>
      <c r="P554" s="105" t="e">
        <f t="shared" si="8"/>
        <v>#DIV/0!</v>
      </c>
    </row>
    <row r="555" spans="1:16">
      <c r="A555" s="10" t="s">
        <v>635</v>
      </c>
      <c r="B555" s="10">
        <v>4000617</v>
      </c>
      <c r="C555" s="10" t="s">
        <v>759</v>
      </c>
      <c r="D555" s="10" t="s">
        <v>760</v>
      </c>
      <c r="E555" s="10">
        <v>0</v>
      </c>
      <c r="F555" s="10">
        <v>0</v>
      </c>
      <c r="G555" s="10">
        <v>0</v>
      </c>
      <c r="H555" s="10">
        <v>0</v>
      </c>
      <c r="I555" s="10" t="s">
        <v>21</v>
      </c>
      <c r="J555" s="10">
        <v>0</v>
      </c>
      <c r="K555" s="10">
        <v>0</v>
      </c>
      <c r="L555" s="10">
        <v>0</v>
      </c>
      <c r="M555" s="10">
        <v>0</v>
      </c>
      <c r="N555" s="10" t="s">
        <v>761</v>
      </c>
      <c r="O555" s="10" t="s">
        <v>1102</v>
      </c>
      <c r="P555" s="105" t="e">
        <f t="shared" si="8"/>
        <v>#DIV/0!</v>
      </c>
    </row>
    <row r="556" spans="1:16">
      <c r="A556" s="10" t="s">
        <v>635</v>
      </c>
      <c r="B556" s="10">
        <v>4000635</v>
      </c>
      <c r="C556" s="10" t="s">
        <v>759</v>
      </c>
      <c r="D556" s="10" t="s">
        <v>760</v>
      </c>
      <c r="E556" s="10">
        <v>0</v>
      </c>
      <c r="F556" s="10">
        <v>216</v>
      </c>
      <c r="G556" s="10">
        <v>0</v>
      </c>
      <c r="H556" s="10">
        <v>216</v>
      </c>
      <c r="I556" s="10" t="s">
        <v>93</v>
      </c>
      <c r="J556" s="10">
        <v>0</v>
      </c>
      <c r="K556" s="10">
        <v>171</v>
      </c>
      <c r="L556" s="10">
        <v>0</v>
      </c>
      <c r="M556" s="10">
        <v>171</v>
      </c>
      <c r="N556" s="10" t="s">
        <v>761</v>
      </c>
      <c r="O556" s="10" t="s">
        <v>130</v>
      </c>
      <c r="P556" s="105">
        <f t="shared" si="8"/>
        <v>0.791666666666667</v>
      </c>
    </row>
    <row r="557" spans="1:16">
      <c r="A557" s="10" t="s">
        <v>635</v>
      </c>
      <c r="B557" s="10">
        <v>4000640</v>
      </c>
      <c r="C557" s="10" t="s">
        <v>759</v>
      </c>
      <c r="D557" s="10" t="s">
        <v>760</v>
      </c>
      <c r="E557" s="10">
        <v>0</v>
      </c>
      <c r="F557" s="10">
        <v>0</v>
      </c>
      <c r="G557" s="10">
        <v>0</v>
      </c>
      <c r="H557" s="10">
        <v>0</v>
      </c>
      <c r="I557" s="10" t="s">
        <v>30</v>
      </c>
      <c r="J557" s="10">
        <v>0</v>
      </c>
      <c r="K557" s="10">
        <v>0</v>
      </c>
      <c r="L557" s="10">
        <v>0</v>
      </c>
      <c r="M557" s="10">
        <v>0</v>
      </c>
      <c r="N557" s="10" t="s">
        <v>761</v>
      </c>
      <c r="O557" s="10" t="s">
        <v>95</v>
      </c>
      <c r="P557" s="105" t="e">
        <f t="shared" si="8"/>
        <v>#DIV/0!</v>
      </c>
    </row>
    <row r="558" spans="1:16">
      <c r="A558" s="10" t="s">
        <v>635</v>
      </c>
      <c r="B558" s="10">
        <v>4000642</v>
      </c>
      <c r="C558" s="10" t="s">
        <v>759</v>
      </c>
      <c r="D558" s="10" t="s">
        <v>760</v>
      </c>
      <c r="E558" s="10">
        <v>480</v>
      </c>
      <c r="F558" s="103">
        <v>1248</v>
      </c>
      <c r="G558" s="10">
        <v>0</v>
      </c>
      <c r="H558" s="103">
        <v>1728</v>
      </c>
      <c r="I558" s="10" t="s">
        <v>30</v>
      </c>
      <c r="J558" s="10">
        <v>175.06</v>
      </c>
      <c r="K558" s="10">
        <v>455.16</v>
      </c>
      <c r="L558" s="10">
        <v>0</v>
      </c>
      <c r="M558" s="10">
        <v>630.22</v>
      </c>
      <c r="N558" s="10" t="s">
        <v>761</v>
      </c>
      <c r="O558" s="10" t="s">
        <v>63</v>
      </c>
      <c r="P558" s="105">
        <f t="shared" si="8"/>
        <v>0.364710648148148</v>
      </c>
    </row>
    <row r="559" spans="1:16">
      <c r="A559" s="10" t="s">
        <v>635</v>
      </c>
      <c r="B559" s="10">
        <v>4000643</v>
      </c>
      <c r="C559" s="10" t="s">
        <v>759</v>
      </c>
      <c r="D559" s="10" t="s">
        <v>760</v>
      </c>
      <c r="E559" s="10">
        <v>0</v>
      </c>
      <c r="F559" s="10">
        <v>0</v>
      </c>
      <c r="G559" s="10">
        <v>0</v>
      </c>
      <c r="H559" s="10">
        <v>0</v>
      </c>
      <c r="I559" s="10" t="s">
        <v>67</v>
      </c>
      <c r="J559" s="10">
        <v>0</v>
      </c>
      <c r="K559" s="10">
        <v>0</v>
      </c>
      <c r="L559" s="10">
        <v>0</v>
      </c>
      <c r="M559" s="10">
        <v>0</v>
      </c>
      <c r="N559" s="10" t="s">
        <v>761</v>
      </c>
      <c r="O559" s="10" t="s">
        <v>1103</v>
      </c>
      <c r="P559" s="105" t="e">
        <f t="shared" si="8"/>
        <v>#DIV/0!</v>
      </c>
    </row>
    <row r="560" spans="1:16">
      <c r="A560" s="10" t="s">
        <v>635</v>
      </c>
      <c r="B560" s="10">
        <v>4000654</v>
      </c>
      <c r="C560" s="10" t="s">
        <v>759</v>
      </c>
      <c r="D560" s="10" t="s">
        <v>760</v>
      </c>
      <c r="E560" s="10">
        <v>0</v>
      </c>
      <c r="F560" s="10">
        <v>0</v>
      </c>
      <c r="G560" s="10">
        <v>0</v>
      </c>
      <c r="H560" s="10">
        <v>0</v>
      </c>
      <c r="I560" s="10" t="s">
        <v>128</v>
      </c>
      <c r="J560" s="10">
        <v>0</v>
      </c>
      <c r="K560" s="10">
        <v>0</v>
      </c>
      <c r="L560" s="10">
        <v>0</v>
      </c>
      <c r="M560" s="10">
        <v>0</v>
      </c>
      <c r="N560" s="10" t="s">
        <v>761</v>
      </c>
      <c r="O560" s="10" t="s">
        <v>1104</v>
      </c>
      <c r="P560" s="105" t="e">
        <f t="shared" si="8"/>
        <v>#DIV/0!</v>
      </c>
    </row>
    <row r="561" spans="1:16">
      <c r="A561" s="10" t="s">
        <v>635</v>
      </c>
      <c r="B561" s="10">
        <v>4000655</v>
      </c>
      <c r="C561" s="10" t="s">
        <v>759</v>
      </c>
      <c r="D561" s="10" t="s">
        <v>760</v>
      </c>
      <c r="E561" s="10">
        <v>0</v>
      </c>
      <c r="F561" s="10">
        <v>0</v>
      </c>
      <c r="G561" s="10">
        <v>0</v>
      </c>
      <c r="H561" s="10">
        <v>0</v>
      </c>
      <c r="I561" s="10" t="s">
        <v>128</v>
      </c>
      <c r="J561" s="10">
        <v>0</v>
      </c>
      <c r="K561" s="10">
        <v>0</v>
      </c>
      <c r="L561" s="10">
        <v>0</v>
      </c>
      <c r="M561" s="10">
        <v>0</v>
      </c>
      <c r="N561" s="10" t="s">
        <v>761</v>
      </c>
      <c r="O561" s="10" t="s">
        <v>1105</v>
      </c>
      <c r="P561" s="105" t="e">
        <f t="shared" si="8"/>
        <v>#DIV/0!</v>
      </c>
    </row>
    <row r="562" spans="1:16">
      <c r="A562" s="10" t="s">
        <v>635</v>
      </c>
      <c r="B562" s="10">
        <v>4000678</v>
      </c>
      <c r="C562" s="10" t="s">
        <v>759</v>
      </c>
      <c r="D562" s="10" t="s">
        <v>760</v>
      </c>
      <c r="E562" s="10">
        <v>0</v>
      </c>
      <c r="F562" s="10">
        <v>0</v>
      </c>
      <c r="G562" s="10">
        <v>0</v>
      </c>
      <c r="H562" s="10">
        <v>0</v>
      </c>
      <c r="I562" s="10" t="s">
        <v>669</v>
      </c>
      <c r="J562" s="10">
        <v>0</v>
      </c>
      <c r="K562" s="10">
        <v>0</v>
      </c>
      <c r="L562" s="10">
        <v>0</v>
      </c>
      <c r="M562" s="10">
        <v>0</v>
      </c>
      <c r="N562" s="10" t="s">
        <v>761</v>
      </c>
      <c r="O562" s="10" t="s">
        <v>1106</v>
      </c>
      <c r="P562" s="105" t="e">
        <f t="shared" si="8"/>
        <v>#DIV/0!</v>
      </c>
    </row>
    <row r="563" spans="1:16">
      <c r="A563" s="10" t="s">
        <v>635</v>
      </c>
      <c r="B563" s="10">
        <v>4000691</v>
      </c>
      <c r="C563" s="10" t="s">
        <v>759</v>
      </c>
      <c r="D563" s="10" t="s">
        <v>760</v>
      </c>
      <c r="E563" s="10">
        <v>0</v>
      </c>
      <c r="F563" s="10">
        <v>0</v>
      </c>
      <c r="G563" s="10">
        <v>0</v>
      </c>
      <c r="H563" s="10">
        <v>0</v>
      </c>
      <c r="I563" s="10" t="s">
        <v>697</v>
      </c>
      <c r="J563" s="10">
        <v>0</v>
      </c>
      <c r="K563" s="10">
        <v>0</v>
      </c>
      <c r="L563" s="10">
        <v>0</v>
      </c>
      <c r="M563" s="10">
        <v>0</v>
      </c>
      <c r="N563" s="10" t="s">
        <v>761</v>
      </c>
      <c r="O563" s="10" t="s">
        <v>1107</v>
      </c>
      <c r="P563" s="105" t="e">
        <f t="shared" si="8"/>
        <v>#DIV/0!</v>
      </c>
    </row>
    <row r="564" spans="1:16">
      <c r="A564" s="10" t="s">
        <v>635</v>
      </c>
      <c r="B564" s="10">
        <v>4000707</v>
      </c>
      <c r="C564" s="10" t="s">
        <v>759</v>
      </c>
      <c r="D564" s="10" t="s">
        <v>760</v>
      </c>
      <c r="E564" s="10">
        <v>0</v>
      </c>
      <c r="F564" s="10">
        <v>0</v>
      </c>
      <c r="G564" s="10">
        <v>0</v>
      </c>
      <c r="H564" s="10">
        <v>0</v>
      </c>
      <c r="I564" s="10" t="s">
        <v>669</v>
      </c>
      <c r="J564" s="10">
        <v>0</v>
      </c>
      <c r="K564" s="10">
        <v>0</v>
      </c>
      <c r="L564" s="10">
        <v>0</v>
      </c>
      <c r="M564" s="10">
        <v>0</v>
      </c>
      <c r="N564" s="10" t="s">
        <v>761</v>
      </c>
      <c r="O564" s="10" t="s">
        <v>1108</v>
      </c>
      <c r="P564" s="105" t="e">
        <f t="shared" si="8"/>
        <v>#DIV/0!</v>
      </c>
    </row>
    <row r="565" spans="1:16">
      <c r="A565" s="10" t="s">
        <v>635</v>
      </c>
      <c r="B565" s="10">
        <v>4000724</v>
      </c>
      <c r="C565" s="10" t="s">
        <v>759</v>
      </c>
      <c r="D565" s="10" t="s">
        <v>760</v>
      </c>
      <c r="E565" s="10">
        <v>0</v>
      </c>
      <c r="F565" s="10">
        <v>0</v>
      </c>
      <c r="G565" s="10">
        <v>0</v>
      </c>
      <c r="H565" s="10">
        <v>0</v>
      </c>
      <c r="I565" s="10" t="s">
        <v>261</v>
      </c>
      <c r="J565" s="10">
        <v>0</v>
      </c>
      <c r="K565" s="10">
        <v>0</v>
      </c>
      <c r="L565" s="10">
        <v>0</v>
      </c>
      <c r="M565" s="10">
        <v>0</v>
      </c>
      <c r="N565" s="10" t="s">
        <v>761</v>
      </c>
      <c r="O565" s="10" t="s">
        <v>1109</v>
      </c>
      <c r="P565" s="105" t="e">
        <f t="shared" si="8"/>
        <v>#DIV/0!</v>
      </c>
    </row>
    <row r="566" spans="1:16">
      <c r="A566" s="10" t="s">
        <v>635</v>
      </c>
      <c r="B566" s="10">
        <v>4000749</v>
      </c>
      <c r="C566" s="10" t="s">
        <v>759</v>
      </c>
      <c r="D566" s="10" t="s">
        <v>760</v>
      </c>
      <c r="E566" s="10">
        <v>0</v>
      </c>
      <c r="F566" s="10">
        <v>0</v>
      </c>
      <c r="G566" s="10">
        <v>0</v>
      </c>
      <c r="H566" s="10">
        <v>0</v>
      </c>
      <c r="I566" s="10" t="s">
        <v>30</v>
      </c>
      <c r="J566" s="10">
        <v>0</v>
      </c>
      <c r="K566" s="10">
        <v>0</v>
      </c>
      <c r="L566" s="10">
        <v>0</v>
      </c>
      <c r="M566" s="10">
        <v>0</v>
      </c>
      <c r="N566" s="10" t="s">
        <v>761</v>
      </c>
      <c r="O566" s="10" t="s">
        <v>1110</v>
      </c>
      <c r="P566" s="105" t="e">
        <f t="shared" si="8"/>
        <v>#DIV/0!</v>
      </c>
    </row>
    <row r="567" spans="1:16">
      <c r="A567" s="10" t="s">
        <v>635</v>
      </c>
      <c r="B567" s="10">
        <v>4000756</v>
      </c>
      <c r="C567" s="10" t="s">
        <v>759</v>
      </c>
      <c r="D567" s="10" t="s">
        <v>760</v>
      </c>
      <c r="E567" s="10">
        <v>0</v>
      </c>
      <c r="F567" s="10">
        <v>0</v>
      </c>
      <c r="G567" s="10">
        <v>0</v>
      </c>
      <c r="H567" s="10">
        <v>0</v>
      </c>
      <c r="I567" s="10" t="s">
        <v>102</v>
      </c>
      <c r="J567" s="10">
        <v>0</v>
      </c>
      <c r="K567" s="10">
        <v>0</v>
      </c>
      <c r="L567" s="10">
        <v>0</v>
      </c>
      <c r="M567" s="10">
        <v>0</v>
      </c>
      <c r="N567" s="10" t="s">
        <v>761</v>
      </c>
      <c r="O567" s="10" t="s">
        <v>1111</v>
      </c>
      <c r="P567" s="105" t="e">
        <f t="shared" si="8"/>
        <v>#DIV/0!</v>
      </c>
    </row>
    <row r="568" spans="1:16">
      <c r="A568" s="10" t="s">
        <v>635</v>
      </c>
      <c r="B568" s="10">
        <v>4000757</v>
      </c>
      <c r="C568" s="10" t="s">
        <v>759</v>
      </c>
      <c r="D568" s="10" t="s">
        <v>760</v>
      </c>
      <c r="E568" s="10">
        <v>0</v>
      </c>
      <c r="F568" s="10">
        <v>0</v>
      </c>
      <c r="G568" s="10">
        <v>0</v>
      </c>
      <c r="H568" s="10">
        <v>0</v>
      </c>
      <c r="I568" s="10" t="s">
        <v>21</v>
      </c>
      <c r="J568" s="10">
        <v>0</v>
      </c>
      <c r="K568" s="10">
        <v>0</v>
      </c>
      <c r="L568" s="10">
        <v>0</v>
      </c>
      <c r="M568" s="10">
        <v>0</v>
      </c>
      <c r="N568" s="10" t="s">
        <v>761</v>
      </c>
      <c r="O568" s="10" t="s">
        <v>1112</v>
      </c>
      <c r="P568" s="105" t="e">
        <f t="shared" si="8"/>
        <v>#DIV/0!</v>
      </c>
    </row>
    <row r="569" spans="1:16">
      <c r="A569" s="10" t="s">
        <v>635</v>
      </c>
      <c r="B569" s="10">
        <v>4000770</v>
      </c>
      <c r="C569" s="10" t="s">
        <v>759</v>
      </c>
      <c r="D569" s="10" t="s">
        <v>760</v>
      </c>
      <c r="E569" s="10">
        <v>0</v>
      </c>
      <c r="F569" s="10">
        <v>0</v>
      </c>
      <c r="G569" s="10">
        <v>0</v>
      </c>
      <c r="H569" s="10">
        <v>0</v>
      </c>
      <c r="I569" s="10" t="s">
        <v>21</v>
      </c>
      <c r="J569" s="10">
        <v>0</v>
      </c>
      <c r="K569" s="10">
        <v>0</v>
      </c>
      <c r="L569" s="10">
        <v>0</v>
      </c>
      <c r="M569" s="10">
        <v>0</v>
      </c>
      <c r="N569" s="10" t="s">
        <v>761</v>
      </c>
      <c r="O569" s="10" t="s">
        <v>1113</v>
      </c>
      <c r="P569" s="105" t="e">
        <f t="shared" si="8"/>
        <v>#DIV/0!</v>
      </c>
    </row>
    <row r="570" spans="1:16">
      <c r="A570" s="10" t="s">
        <v>635</v>
      </c>
      <c r="B570" s="10">
        <v>4000805</v>
      </c>
      <c r="C570" s="10" t="s">
        <v>759</v>
      </c>
      <c r="D570" s="10" t="s">
        <v>760</v>
      </c>
      <c r="E570" s="10">
        <v>0</v>
      </c>
      <c r="F570" s="10">
        <v>0</v>
      </c>
      <c r="G570" s="10">
        <v>0</v>
      </c>
      <c r="H570" s="10">
        <v>0</v>
      </c>
      <c r="I570" s="10" t="s">
        <v>697</v>
      </c>
      <c r="J570" s="10">
        <v>0</v>
      </c>
      <c r="K570" s="10">
        <v>0</v>
      </c>
      <c r="L570" s="10">
        <v>0</v>
      </c>
      <c r="M570" s="10">
        <v>0</v>
      </c>
      <c r="N570" s="10" t="s">
        <v>761</v>
      </c>
      <c r="O570" s="10" t="s">
        <v>1114</v>
      </c>
      <c r="P570" s="105" t="e">
        <f t="shared" si="8"/>
        <v>#DIV/0!</v>
      </c>
    </row>
    <row r="571" spans="1:16">
      <c r="A571" s="10" t="s">
        <v>635</v>
      </c>
      <c r="B571" s="10">
        <v>4000830</v>
      </c>
      <c r="C571" s="10" t="s">
        <v>759</v>
      </c>
      <c r="D571" s="10" t="s">
        <v>760</v>
      </c>
      <c r="E571" s="10">
        <v>0</v>
      </c>
      <c r="F571" s="10">
        <v>0</v>
      </c>
      <c r="G571" s="10">
        <v>0</v>
      </c>
      <c r="H571" s="10">
        <v>0</v>
      </c>
      <c r="I571" s="10" t="s">
        <v>21</v>
      </c>
      <c r="J571" s="10">
        <v>0</v>
      </c>
      <c r="K571" s="10">
        <v>0</v>
      </c>
      <c r="L571" s="10">
        <v>0</v>
      </c>
      <c r="M571" s="10">
        <v>0</v>
      </c>
      <c r="N571" s="10" t="s">
        <v>761</v>
      </c>
      <c r="O571" s="10" t="s">
        <v>1115</v>
      </c>
      <c r="P571" s="105" t="e">
        <f t="shared" si="8"/>
        <v>#DIV/0!</v>
      </c>
    </row>
    <row r="572" spans="1:16">
      <c r="A572" s="10" t="s">
        <v>635</v>
      </c>
      <c r="B572" s="10">
        <v>4001146</v>
      </c>
      <c r="C572" s="10" t="s">
        <v>759</v>
      </c>
      <c r="D572" s="10" t="s">
        <v>760</v>
      </c>
      <c r="E572" s="10">
        <v>0</v>
      </c>
      <c r="F572" s="10">
        <v>0</v>
      </c>
      <c r="G572" s="10">
        <v>0</v>
      </c>
      <c r="H572" s="10">
        <v>0</v>
      </c>
      <c r="I572" s="10" t="s">
        <v>74</v>
      </c>
      <c r="J572" s="10">
        <v>0</v>
      </c>
      <c r="K572" s="10">
        <v>0</v>
      </c>
      <c r="L572" s="10">
        <v>0</v>
      </c>
      <c r="M572" s="10">
        <v>0</v>
      </c>
      <c r="N572" s="10" t="s">
        <v>761</v>
      </c>
      <c r="O572" s="10" t="s">
        <v>1116</v>
      </c>
      <c r="P572" s="105" t="e">
        <f t="shared" si="8"/>
        <v>#DIV/0!</v>
      </c>
    </row>
    <row r="573" spans="1:16">
      <c r="A573" s="10" t="s">
        <v>635</v>
      </c>
      <c r="B573" s="10">
        <v>4001212</v>
      </c>
      <c r="C573" s="10" t="s">
        <v>759</v>
      </c>
      <c r="D573" s="10" t="s">
        <v>760</v>
      </c>
      <c r="E573" s="10">
        <v>0</v>
      </c>
      <c r="F573" s="10">
        <v>0</v>
      </c>
      <c r="G573" s="10">
        <v>0</v>
      </c>
      <c r="H573" s="10">
        <v>0</v>
      </c>
      <c r="I573" s="10" t="s">
        <v>21</v>
      </c>
      <c r="J573" s="10">
        <v>0</v>
      </c>
      <c r="K573" s="10">
        <v>0</v>
      </c>
      <c r="L573" s="10">
        <v>0</v>
      </c>
      <c r="M573" s="10">
        <v>0</v>
      </c>
      <c r="N573" s="10" t="s">
        <v>761</v>
      </c>
      <c r="O573" s="10" t="s">
        <v>1117</v>
      </c>
      <c r="P573" s="105" t="e">
        <f t="shared" si="8"/>
        <v>#DIV/0!</v>
      </c>
    </row>
    <row r="574" spans="1:16">
      <c r="A574" s="10" t="s">
        <v>635</v>
      </c>
      <c r="B574" s="10">
        <v>4001348</v>
      </c>
      <c r="C574" s="10" t="s">
        <v>759</v>
      </c>
      <c r="D574" s="10" t="s">
        <v>760</v>
      </c>
      <c r="E574" s="10">
        <v>0</v>
      </c>
      <c r="F574" s="10">
        <v>0</v>
      </c>
      <c r="G574" s="10">
        <v>0</v>
      </c>
      <c r="H574" s="10">
        <v>0</v>
      </c>
      <c r="I574" s="10" t="s">
        <v>102</v>
      </c>
      <c r="J574" s="10">
        <v>0</v>
      </c>
      <c r="K574" s="10">
        <v>0</v>
      </c>
      <c r="L574" s="10">
        <v>0</v>
      </c>
      <c r="M574" s="10">
        <v>0</v>
      </c>
      <c r="N574" s="10" t="s">
        <v>761</v>
      </c>
      <c r="O574" s="10" t="s">
        <v>1118</v>
      </c>
      <c r="P574" s="105" t="e">
        <f t="shared" si="8"/>
        <v>#DIV/0!</v>
      </c>
    </row>
    <row r="575" spans="1:16">
      <c r="A575" s="10" t="s">
        <v>635</v>
      </c>
      <c r="B575" s="10">
        <v>4001349</v>
      </c>
      <c r="C575" s="10" t="s">
        <v>759</v>
      </c>
      <c r="D575" s="10" t="s">
        <v>760</v>
      </c>
      <c r="E575" s="10">
        <v>0</v>
      </c>
      <c r="F575" s="10">
        <v>0</v>
      </c>
      <c r="G575" s="10">
        <v>0</v>
      </c>
      <c r="H575" s="10">
        <v>0</v>
      </c>
      <c r="I575" s="10" t="s">
        <v>102</v>
      </c>
      <c r="J575" s="10">
        <v>0</v>
      </c>
      <c r="K575" s="10">
        <v>0</v>
      </c>
      <c r="L575" s="10">
        <v>0</v>
      </c>
      <c r="M575" s="10">
        <v>0</v>
      </c>
      <c r="N575" s="10" t="s">
        <v>761</v>
      </c>
      <c r="O575" s="10" t="s">
        <v>1119</v>
      </c>
      <c r="P575" s="105" t="e">
        <f t="shared" si="8"/>
        <v>#DIV/0!</v>
      </c>
    </row>
    <row r="576" spans="1:16">
      <c r="A576" s="10" t="s">
        <v>635</v>
      </c>
      <c r="B576" s="10">
        <v>4001351</v>
      </c>
      <c r="C576" s="10" t="s">
        <v>759</v>
      </c>
      <c r="D576" s="10" t="s">
        <v>760</v>
      </c>
      <c r="E576" s="10">
        <v>0</v>
      </c>
      <c r="F576" s="10">
        <v>0</v>
      </c>
      <c r="G576" s="10">
        <v>0</v>
      </c>
      <c r="H576" s="10">
        <v>0</v>
      </c>
      <c r="I576" s="10" t="s">
        <v>102</v>
      </c>
      <c r="J576" s="10">
        <v>0</v>
      </c>
      <c r="K576" s="10">
        <v>0</v>
      </c>
      <c r="L576" s="10">
        <v>0</v>
      </c>
      <c r="M576" s="10">
        <v>0</v>
      </c>
      <c r="N576" s="10" t="s">
        <v>761</v>
      </c>
      <c r="O576" s="10" t="s">
        <v>1120</v>
      </c>
      <c r="P576" s="105" t="e">
        <f t="shared" si="8"/>
        <v>#DIV/0!</v>
      </c>
    </row>
    <row r="577" spans="1:16">
      <c r="A577" s="10" t="s">
        <v>635</v>
      </c>
      <c r="B577" s="10">
        <v>4001386</v>
      </c>
      <c r="C577" s="10" t="s">
        <v>759</v>
      </c>
      <c r="D577" s="10" t="s">
        <v>760</v>
      </c>
      <c r="E577" s="10">
        <v>0</v>
      </c>
      <c r="F577" s="10">
        <v>0</v>
      </c>
      <c r="G577" s="10">
        <v>0</v>
      </c>
      <c r="H577" s="10">
        <v>0</v>
      </c>
      <c r="I577" s="10" t="s">
        <v>26</v>
      </c>
      <c r="J577" s="10">
        <v>0</v>
      </c>
      <c r="K577" s="10">
        <v>0</v>
      </c>
      <c r="L577" s="10">
        <v>0</v>
      </c>
      <c r="M577" s="10">
        <v>0</v>
      </c>
      <c r="N577" s="10" t="s">
        <v>761</v>
      </c>
      <c r="O577" s="10" t="s">
        <v>1121</v>
      </c>
      <c r="P577" s="105" t="e">
        <f t="shared" si="8"/>
        <v>#DIV/0!</v>
      </c>
    </row>
    <row r="578" spans="1:16">
      <c r="A578" s="10" t="s">
        <v>635</v>
      </c>
      <c r="B578" s="10">
        <v>4001387</v>
      </c>
      <c r="C578" s="10" t="s">
        <v>759</v>
      </c>
      <c r="D578" s="10" t="s">
        <v>760</v>
      </c>
      <c r="E578" s="10">
        <v>0</v>
      </c>
      <c r="F578" s="10">
        <v>0</v>
      </c>
      <c r="G578" s="10">
        <v>0</v>
      </c>
      <c r="H578" s="10">
        <v>0</v>
      </c>
      <c r="I578" s="10" t="s">
        <v>26</v>
      </c>
      <c r="J578" s="10">
        <v>0</v>
      </c>
      <c r="K578" s="10">
        <v>0</v>
      </c>
      <c r="L578" s="10">
        <v>0</v>
      </c>
      <c r="M578" s="10">
        <v>0</v>
      </c>
      <c r="N578" s="10" t="s">
        <v>761</v>
      </c>
      <c r="O578" s="10" t="s">
        <v>1122</v>
      </c>
      <c r="P578" s="105" t="e">
        <f t="shared" si="8"/>
        <v>#DIV/0!</v>
      </c>
    </row>
    <row r="579" spans="1:16">
      <c r="A579" s="10" t="s">
        <v>635</v>
      </c>
      <c r="B579" s="10">
        <v>4001388</v>
      </c>
      <c r="C579" s="10" t="s">
        <v>759</v>
      </c>
      <c r="D579" s="10" t="s">
        <v>760</v>
      </c>
      <c r="E579" s="10">
        <v>0</v>
      </c>
      <c r="F579" s="10">
        <v>0</v>
      </c>
      <c r="G579" s="10">
        <v>0</v>
      </c>
      <c r="H579" s="10">
        <v>0</v>
      </c>
      <c r="I579" s="10" t="s">
        <v>26</v>
      </c>
      <c r="J579" s="10">
        <v>0</v>
      </c>
      <c r="K579" s="10">
        <v>0</v>
      </c>
      <c r="L579" s="10">
        <v>0</v>
      </c>
      <c r="M579" s="10">
        <v>0</v>
      </c>
      <c r="N579" s="10" t="s">
        <v>761</v>
      </c>
      <c r="O579" s="10" t="s">
        <v>1123</v>
      </c>
      <c r="P579" s="105" t="e">
        <f t="shared" ref="P579:P642" si="9">M579/H579</f>
        <v>#DIV/0!</v>
      </c>
    </row>
    <row r="580" spans="1:16">
      <c r="A580" s="10" t="s">
        <v>635</v>
      </c>
      <c r="B580" s="10">
        <v>4001389</v>
      </c>
      <c r="C580" s="10" t="s">
        <v>759</v>
      </c>
      <c r="D580" s="10" t="s">
        <v>760</v>
      </c>
      <c r="E580" s="10">
        <v>0</v>
      </c>
      <c r="F580" s="10">
        <v>0</v>
      </c>
      <c r="G580" s="10">
        <v>0</v>
      </c>
      <c r="H580" s="10">
        <v>0</v>
      </c>
      <c r="I580" s="10" t="s">
        <v>26</v>
      </c>
      <c r="J580" s="10">
        <v>0</v>
      </c>
      <c r="K580" s="10">
        <v>0</v>
      </c>
      <c r="L580" s="10">
        <v>0</v>
      </c>
      <c r="M580" s="10">
        <v>0</v>
      </c>
      <c r="N580" s="10" t="s">
        <v>761</v>
      </c>
      <c r="O580" s="10" t="s">
        <v>1124</v>
      </c>
      <c r="P580" s="105" t="e">
        <f t="shared" si="9"/>
        <v>#DIV/0!</v>
      </c>
    </row>
    <row r="581" spans="1:16">
      <c r="A581" s="10" t="s">
        <v>635</v>
      </c>
      <c r="B581" s="10">
        <v>4001390</v>
      </c>
      <c r="C581" s="10" t="s">
        <v>759</v>
      </c>
      <c r="D581" s="10" t="s">
        <v>760</v>
      </c>
      <c r="E581" s="10">
        <v>0</v>
      </c>
      <c r="F581" s="10">
        <v>0</v>
      </c>
      <c r="G581" s="10">
        <v>0</v>
      </c>
      <c r="H581" s="10">
        <v>0</v>
      </c>
      <c r="I581" s="10" t="s">
        <v>26</v>
      </c>
      <c r="J581" s="10">
        <v>0</v>
      </c>
      <c r="K581" s="10">
        <v>0</v>
      </c>
      <c r="L581" s="10">
        <v>0</v>
      </c>
      <c r="M581" s="10">
        <v>0</v>
      </c>
      <c r="N581" s="10" t="s">
        <v>761</v>
      </c>
      <c r="O581" s="10" t="s">
        <v>1125</v>
      </c>
      <c r="P581" s="105" t="e">
        <f t="shared" si="9"/>
        <v>#DIV/0!</v>
      </c>
    </row>
    <row r="582" spans="1:16">
      <c r="A582" s="10" t="s">
        <v>635</v>
      </c>
      <c r="B582" s="10">
        <v>4001725</v>
      </c>
      <c r="C582" s="10" t="s">
        <v>759</v>
      </c>
      <c r="D582" s="10" t="s">
        <v>760</v>
      </c>
      <c r="E582" s="10">
        <v>0</v>
      </c>
      <c r="F582" s="10">
        <v>0</v>
      </c>
      <c r="G582" s="10">
        <v>0</v>
      </c>
      <c r="H582" s="10">
        <v>0</v>
      </c>
      <c r="I582" s="10" t="s">
        <v>21</v>
      </c>
      <c r="J582" s="10">
        <v>0</v>
      </c>
      <c r="K582" s="10">
        <v>0</v>
      </c>
      <c r="L582" s="10">
        <v>0</v>
      </c>
      <c r="M582" s="10">
        <v>0</v>
      </c>
      <c r="N582" s="10" t="s">
        <v>761</v>
      </c>
      <c r="O582" s="10" t="s">
        <v>1126</v>
      </c>
      <c r="P582" s="105" t="e">
        <f t="shared" si="9"/>
        <v>#DIV/0!</v>
      </c>
    </row>
    <row r="583" spans="1:16">
      <c r="A583" s="10" t="s">
        <v>635</v>
      </c>
      <c r="B583" s="10">
        <v>4001742</v>
      </c>
      <c r="C583" s="10" t="s">
        <v>759</v>
      </c>
      <c r="D583" s="10" t="s">
        <v>760</v>
      </c>
      <c r="E583" s="10">
        <v>0</v>
      </c>
      <c r="F583" s="10">
        <v>0</v>
      </c>
      <c r="G583" s="10">
        <v>0</v>
      </c>
      <c r="H583" s="10">
        <v>0</v>
      </c>
      <c r="I583" s="10" t="s">
        <v>21</v>
      </c>
      <c r="J583" s="10">
        <v>0</v>
      </c>
      <c r="K583" s="10">
        <v>0</v>
      </c>
      <c r="L583" s="10">
        <v>0</v>
      </c>
      <c r="M583" s="10">
        <v>0</v>
      </c>
      <c r="N583" s="10" t="s">
        <v>761</v>
      </c>
      <c r="O583" s="10" t="s">
        <v>693</v>
      </c>
      <c r="P583" s="105" t="e">
        <f t="shared" si="9"/>
        <v>#DIV/0!</v>
      </c>
    </row>
    <row r="584" spans="1:16">
      <c r="A584" s="10" t="s">
        <v>635</v>
      </c>
      <c r="B584" s="10">
        <v>4001778</v>
      </c>
      <c r="C584" s="10" t="s">
        <v>759</v>
      </c>
      <c r="D584" s="10" t="s">
        <v>760</v>
      </c>
      <c r="E584" s="10">
        <v>0</v>
      </c>
      <c r="F584" s="10">
        <v>0</v>
      </c>
      <c r="G584" s="10">
        <v>0</v>
      </c>
      <c r="H584" s="10">
        <v>0</v>
      </c>
      <c r="I584" s="10" t="s">
        <v>89</v>
      </c>
      <c r="J584" s="10">
        <v>0</v>
      </c>
      <c r="K584" s="10">
        <v>0</v>
      </c>
      <c r="L584" s="10">
        <v>0</v>
      </c>
      <c r="M584" s="10">
        <v>0</v>
      </c>
      <c r="N584" s="10" t="s">
        <v>761</v>
      </c>
      <c r="O584" s="10" t="s">
        <v>1127</v>
      </c>
      <c r="P584" s="105" t="e">
        <f t="shared" si="9"/>
        <v>#DIV/0!</v>
      </c>
    </row>
    <row r="585" spans="1:16">
      <c r="A585" s="10" t="s">
        <v>635</v>
      </c>
      <c r="B585" s="10">
        <v>4001969</v>
      </c>
      <c r="C585" s="10" t="s">
        <v>759</v>
      </c>
      <c r="D585" s="10" t="s">
        <v>760</v>
      </c>
      <c r="E585" s="10">
        <v>0.2</v>
      </c>
      <c r="F585" s="10">
        <v>0.602</v>
      </c>
      <c r="G585" s="10">
        <v>0</v>
      </c>
      <c r="H585" s="10">
        <v>0.802</v>
      </c>
      <c r="I585" s="10" t="s">
        <v>74</v>
      </c>
      <c r="J585" s="10">
        <v>6.93</v>
      </c>
      <c r="K585" s="10">
        <v>20.86</v>
      </c>
      <c r="L585" s="10">
        <v>0</v>
      </c>
      <c r="M585" s="10">
        <v>27.79</v>
      </c>
      <c r="N585" s="10" t="s">
        <v>761</v>
      </c>
      <c r="O585" s="10" t="s">
        <v>469</v>
      </c>
      <c r="P585" s="105">
        <f t="shared" si="9"/>
        <v>34.6508728179551</v>
      </c>
    </row>
    <row r="586" spans="1:16">
      <c r="A586" s="10" t="s">
        <v>635</v>
      </c>
      <c r="B586" s="10">
        <v>4001980</v>
      </c>
      <c r="C586" s="10" t="s">
        <v>759</v>
      </c>
      <c r="D586" s="10" t="s">
        <v>760</v>
      </c>
      <c r="E586" s="10">
        <v>0</v>
      </c>
      <c r="F586" s="10">
        <v>0</v>
      </c>
      <c r="G586" s="10">
        <v>0</v>
      </c>
      <c r="H586" s="10">
        <v>0</v>
      </c>
      <c r="I586" s="10" t="s">
        <v>21</v>
      </c>
      <c r="J586" s="10">
        <v>0</v>
      </c>
      <c r="K586" s="10">
        <v>0</v>
      </c>
      <c r="L586" s="10">
        <v>0</v>
      </c>
      <c r="M586" s="10">
        <v>0</v>
      </c>
      <c r="N586" s="10" t="s">
        <v>761</v>
      </c>
      <c r="O586" s="10" t="s">
        <v>1128</v>
      </c>
      <c r="P586" s="105" t="e">
        <f t="shared" si="9"/>
        <v>#DIV/0!</v>
      </c>
    </row>
    <row r="587" spans="1:16">
      <c r="A587" s="10" t="s">
        <v>635</v>
      </c>
      <c r="B587" s="10">
        <v>4002362</v>
      </c>
      <c r="C587" s="10" t="s">
        <v>759</v>
      </c>
      <c r="D587" s="10" t="s">
        <v>760</v>
      </c>
      <c r="E587" s="10">
        <v>0</v>
      </c>
      <c r="F587" s="10">
        <v>0</v>
      </c>
      <c r="G587" s="10">
        <v>0</v>
      </c>
      <c r="H587" s="10">
        <v>0</v>
      </c>
      <c r="I587" s="10" t="s">
        <v>21</v>
      </c>
      <c r="J587" s="10">
        <v>0</v>
      </c>
      <c r="K587" s="10">
        <v>0</v>
      </c>
      <c r="L587" s="10">
        <v>0</v>
      </c>
      <c r="M587" s="10">
        <v>0</v>
      </c>
      <c r="N587" s="10" t="s">
        <v>761</v>
      </c>
      <c r="O587" s="10" t="s">
        <v>1129</v>
      </c>
      <c r="P587" s="105" t="e">
        <f t="shared" si="9"/>
        <v>#DIV/0!</v>
      </c>
    </row>
    <row r="588" spans="1:16">
      <c r="A588" s="10" t="s">
        <v>635</v>
      </c>
      <c r="B588" s="10">
        <v>4002409</v>
      </c>
      <c r="C588" s="10" t="s">
        <v>759</v>
      </c>
      <c r="D588" s="10" t="s">
        <v>760</v>
      </c>
      <c r="E588" s="10">
        <v>0</v>
      </c>
      <c r="F588" s="10">
        <v>0</v>
      </c>
      <c r="G588" s="10">
        <v>0</v>
      </c>
      <c r="H588" s="10">
        <v>0</v>
      </c>
      <c r="I588" s="10" t="s">
        <v>102</v>
      </c>
      <c r="J588" s="10">
        <v>0</v>
      </c>
      <c r="K588" s="10">
        <v>0</v>
      </c>
      <c r="L588" s="10">
        <v>0</v>
      </c>
      <c r="M588" s="10">
        <v>0</v>
      </c>
      <c r="N588" s="10" t="s">
        <v>761</v>
      </c>
      <c r="O588" s="10" t="s">
        <v>1130</v>
      </c>
      <c r="P588" s="105" t="e">
        <f t="shared" si="9"/>
        <v>#DIV/0!</v>
      </c>
    </row>
    <row r="589" spans="1:16">
      <c r="A589" s="10" t="s">
        <v>635</v>
      </c>
      <c r="B589" s="10">
        <v>4002410</v>
      </c>
      <c r="C589" s="10" t="s">
        <v>759</v>
      </c>
      <c r="D589" s="10" t="s">
        <v>760</v>
      </c>
      <c r="E589" s="10">
        <v>0</v>
      </c>
      <c r="F589" s="10">
        <v>0</v>
      </c>
      <c r="G589" s="10">
        <v>0</v>
      </c>
      <c r="H589" s="10">
        <v>0</v>
      </c>
      <c r="I589" s="10" t="s">
        <v>102</v>
      </c>
      <c r="J589" s="10">
        <v>0</v>
      </c>
      <c r="K589" s="10">
        <v>0</v>
      </c>
      <c r="L589" s="10">
        <v>0</v>
      </c>
      <c r="M589" s="10">
        <v>0</v>
      </c>
      <c r="N589" s="10" t="s">
        <v>761</v>
      </c>
      <c r="O589" s="10" t="s">
        <v>1131</v>
      </c>
      <c r="P589" s="105" t="e">
        <f t="shared" si="9"/>
        <v>#DIV/0!</v>
      </c>
    </row>
    <row r="590" spans="1:16">
      <c r="A590" s="10" t="s">
        <v>635</v>
      </c>
      <c r="B590" s="10">
        <v>4002481</v>
      </c>
      <c r="C590" s="10" t="s">
        <v>759</v>
      </c>
      <c r="D590" s="10" t="s">
        <v>760</v>
      </c>
      <c r="E590" s="10">
        <v>0</v>
      </c>
      <c r="F590" s="10">
        <v>0</v>
      </c>
      <c r="G590" s="10">
        <v>0</v>
      </c>
      <c r="H590" s="10">
        <v>0</v>
      </c>
      <c r="I590" s="10" t="s">
        <v>74</v>
      </c>
      <c r="J590" s="10">
        <v>0</v>
      </c>
      <c r="K590" s="10">
        <v>0</v>
      </c>
      <c r="L590" s="10">
        <v>0</v>
      </c>
      <c r="M590" s="10">
        <v>0</v>
      </c>
      <c r="N590" s="10" t="s">
        <v>761</v>
      </c>
      <c r="O590" s="10" t="s">
        <v>1132</v>
      </c>
      <c r="P590" s="105" t="e">
        <f t="shared" si="9"/>
        <v>#DIV/0!</v>
      </c>
    </row>
    <row r="591" spans="1:16">
      <c r="A591" s="10" t="s">
        <v>635</v>
      </c>
      <c r="B591" s="10">
        <v>4002573</v>
      </c>
      <c r="C591" s="10" t="s">
        <v>759</v>
      </c>
      <c r="D591" s="10" t="s">
        <v>760</v>
      </c>
      <c r="E591" s="10">
        <v>0</v>
      </c>
      <c r="F591" s="10">
        <v>0</v>
      </c>
      <c r="G591" s="10">
        <v>0</v>
      </c>
      <c r="H591" s="10">
        <v>0</v>
      </c>
      <c r="I591" s="10" t="s">
        <v>21</v>
      </c>
      <c r="J591" s="10">
        <v>0</v>
      </c>
      <c r="K591" s="10">
        <v>0</v>
      </c>
      <c r="L591" s="10">
        <v>0</v>
      </c>
      <c r="M591" s="10">
        <v>0</v>
      </c>
      <c r="N591" s="10" t="s">
        <v>761</v>
      </c>
      <c r="O591" s="10" t="s">
        <v>1133</v>
      </c>
      <c r="P591" s="105" t="e">
        <f t="shared" si="9"/>
        <v>#DIV/0!</v>
      </c>
    </row>
    <row r="592" spans="1:16">
      <c r="A592" s="10" t="s">
        <v>635</v>
      </c>
      <c r="B592" s="10">
        <v>4002705</v>
      </c>
      <c r="C592" s="10" t="s">
        <v>759</v>
      </c>
      <c r="D592" s="10" t="s">
        <v>760</v>
      </c>
      <c r="E592" s="10">
        <v>0</v>
      </c>
      <c r="F592" s="10">
        <v>0</v>
      </c>
      <c r="G592" s="10">
        <v>0</v>
      </c>
      <c r="H592" s="10">
        <v>0</v>
      </c>
      <c r="I592" s="10" t="s">
        <v>21</v>
      </c>
      <c r="J592" s="10">
        <v>0</v>
      </c>
      <c r="K592" s="10">
        <v>0</v>
      </c>
      <c r="L592" s="10">
        <v>0</v>
      </c>
      <c r="M592" s="10">
        <v>0</v>
      </c>
      <c r="N592" s="10" t="s">
        <v>761</v>
      </c>
      <c r="O592" s="10" t="s">
        <v>1134</v>
      </c>
      <c r="P592" s="105" t="e">
        <f t="shared" si="9"/>
        <v>#DIV/0!</v>
      </c>
    </row>
    <row r="593" spans="1:16">
      <c r="A593" s="10" t="s">
        <v>635</v>
      </c>
      <c r="B593" s="10">
        <v>4002706</v>
      </c>
      <c r="C593" s="10" t="s">
        <v>759</v>
      </c>
      <c r="D593" s="10" t="s">
        <v>760</v>
      </c>
      <c r="E593" s="10">
        <v>0</v>
      </c>
      <c r="F593" s="10">
        <v>0</v>
      </c>
      <c r="G593" s="10">
        <v>0</v>
      </c>
      <c r="H593" s="10">
        <v>0</v>
      </c>
      <c r="I593" s="10" t="s">
        <v>21</v>
      </c>
      <c r="J593" s="10">
        <v>0</v>
      </c>
      <c r="K593" s="10">
        <v>0</v>
      </c>
      <c r="L593" s="10">
        <v>0</v>
      </c>
      <c r="M593" s="10">
        <v>0</v>
      </c>
      <c r="N593" s="10" t="s">
        <v>761</v>
      </c>
      <c r="O593" s="10" t="s">
        <v>1135</v>
      </c>
      <c r="P593" s="105" t="e">
        <f t="shared" si="9"/>
        <v>#DIV/0!</v>
      </c>
    </row>
    <row r="594" spans="1:16">
      <c r="A594" s="10" t="s">
        <v>635</v>
      </c>
      <c r="B594" s="10">
        <v>4002707</v>
      </c>
      <c r="C594" s="10" t="s">
        <v>759</v>
      </c>
      <c r="D594" s="10" t="s">
        <v>760</v>
      </c>
      <c r="E594" s="10">
        <v>0</v>
      </c>
      <c r="F594" s="10">
        <v>0</v>
      </c>
      <c r="G594" s="10">
        <v>0</v>
      </c>
      <c r="H594" s="10">
        <v>0</v>
      </c>
      <c r="I594" s="10" t="s">
        <v>21</v>
      </c>
      <c r="J594" s="10">
        <v>0</v>
      </c>
      <c r="K594" s="10">
        <v>0</v>
      </c>
      <c r="L594" s="10">
        <v>0</v>
      </c>
      <c r="M594" s="10">
        <v>0</v>
      </c>
      <c r="N594" s="10" t="s">
        <v>761</v>
      </c>
      <c r="O594" s="10" t="s">
        <v>1136</v>
      </c>
      <c r="P594" s="105" t="e">
        <f t="shared" si="9"/>
        <v>#DIV/0!</v>
      </c>
    </row>
    <row r="595" spans="1:16">
      <c r="A595" s="10" t="s">
        <v>635</v>
      </c>
      <c r="B595" s="10">
        <v>4002708</v>
      </c>
      <c r="C595" s="10" t="s">
        <v>759</v>
      </c>
      <c r="D595" s="10" t="s">
        <v>760</v>
      </c>
      <c r="E595" s="10">
        <v>0</v>
      </c>
      <c r="F595" s="10">
        <v>0</v>
      </c>
      <c r="G595" s="10">
        <v>0</v>
      </c>
      <c r="H595" s="10">
        <v>0</v>
      </c>
      <c r="I595" s="10" t="s">
        <v>21</v>
      </c>
      <c r="J595" s="10">
        <v>0</v>
      </c>
      <c r="K595" s="10">
        <v>0</v>
      </c>
      <c r="L595" s="10">
        <v>0</v>
      </c>
      <c r="M595" s="10">
        <v>0</v>
      </c>
      <c r="N595" s="10" t="s">
        <v>761</v>
      </c>
      <c r="O595" s="10" t="s">
        <v>1137</v>
      </c>
      <c r="P595" s="105" t="e">
        <f t="shared" si="9"/>
        <v>#DIV/0!</v>
      </c>
    </row>
    <row r="596" spans="1:16">
      <c r="A596" s="10" t="s">
        <v>635</v>
      </c>
      <c r="B596" s="10">
        <v>4002797</v>
      </c>
      <c r="C596" s="10" t="s">
        <v>759</v>
      </c>
      <c r="D596" s="10" t="s">
        <v>760</v>
      </c>
      <c r="E596" s="10">
        <v>0</v>
      </c>
      <c r="F596" s="10">
        <v>0</v>
      </c>
      <c r="G596" s="10">
        <v>0</v>
      </c>
      <c r="H596" s="10">
        <v>0</v>
      </c>
      <c r="I596" s="10" t="s">
        <v>21</v>
      </c>
      <c r="J596" s="10">
        <v>0</v>
      </c>
      <c r="K596" s="10">
        <v>0</v>
      </c>
      <c r="L596" s="10">
        <v>0</v>
      </c>
      <c r="M596" s="10">
        <v>0</v>
      </c>
      <c r="N596" s="10" t="s">
        <v>761</v>
      </c>
      <c r="O596" s="10" t="s">
        <v>1138</v>
      </c>
      <c r="P596" s="105" t="e">
        <f t="shared" si="9"/>
        <v>#DIV/0!</v>
      </c>
    </row>
    <row r="597" spans="1:16">
      <c r="A597" s="10" t="s">
        <v>635</v>
      </c>
      <c r="B597" s="10">
        <v>4003066</v>
      </c>
      <c r="C597" s="10" t="s">
        <v>759</v>
      </c>
      <c r="D597" s="10" t="s">
        <v>760</v>
      </c>
      <c r="E597" s="106">
        <v>2663</v>
      </c>
      <c r="F597" s="10">
        <v>0</v>
      </c>
      <c r="G597" s="10">
        <v>0</v>
      </c>
      <c r="H597" s="106">
        <v>2663</v>
      </c>
      <c r="I597" s="10" t="s">
        <v>33</v>
      </c>
      <c r="J597" s="103">
        <v>5071.23</v>
      </c>
      <c r="K597" s="10">
        <v>0</v>
      </c>
      <c r="L597" s="10">
        <v>0</v>
      </c>
      <c r="M597" s="103">
        <v>5071.23</v>
      </c>
      <c r="N597" s="10" t="s">
        <v>761</v>
      </c>
      <c r="O597" s="10" t="s">
        <v>549</v>
      </c>
      <c r="P597" s="105">
        <f t="shared" si="9"/>
        <v>1.9043297033421</v>
      </c>
    </row>
    <row r="598" spans="1:16">
      <c r="A598" s="10" t="s">
        <v>635</v>
      </c>
      <c r="B598" s="10">
        <v>4003088</v>
      </c>
      <c r="C598" s="10" t="s">
        <v>759</v>
      </c>
      <c r="D598" s="10" t="s">
        <v>760</v>
      </c>
      <c r="E598" s="10">
        <v>0</v>
      </c>
      <c r="F598" s="10">
        <v>0</v>
      </c>
      <c r="G598" s="10">
        <v>0</v>
      </c>
      <c r="H598" s="10">
        <v>0</v>
      </c>
      <c r="I598" s="10" t="s">
        <v>697</v>
      </c>
      <c r="J598" s="10">
        <v>0</v>
      </c>
      <c r="K598" s="10">
        <v>0</v>
      </c>
      <c r="L598" s="10">
        <v>0</v>
      </c>
      <c r="M598" s="10">
        <v>0</v>
      </c>
      <c r="N598" s="10" t="s">
        <v>761</v>
      </c>
      <c r="O598" s="10" t="s">
        <v>1139</v>
      </c>
      <c r="P598" s="105" t="e">
        <f t="shared" si="9"/>
        <v>#DIV/0!</v>
      </c>
    </row>
    <row r="599" spans="1:16">
      <c r="A599" s="10" t="s">
        <v>635</v>
      </c>
      <c r="B599" s="10">
        <v>4003137</v>
      </c>
      <c r="C599" s="10" t="s">
        <v>759</v>
      </c>
      <c r="D599" s="10" t="s">
        <v>760</v>
      </c>
      <c r="E599" s="10">
        <v>0</v>
      </c>
      <c r="F599" s="10">
        <v>0</v>
      </c>
      <c r="G599" s="10">
        <v>0</v>
      </c>
      <c r="H599" s="10">
        <v>0</v>
      </c>
      <c r="I599" s="10" t="s">
        <v>21</v>
      </c>
      <c r="J599" s="10">
        <v>0</v>
      </c>
      <c r="K599" s="10">
        <v>0</v>
      </c>
      <c r="L599" s="10">
        <v>0</v>
      </c>
      <c r="M599" s="10">
        <v>0</v>
      </c>
      <c r="N599" s="10" t="s">
        <v>761</v>
      </c>
      <c r="O599" s="10" t="s">
        <v>1140</v>
      </c>
      <c r="P599" s="105" t="e">
        <f t="shared" si="9"/>
        <v>#DIV/0!</v>
      </c>
    </row>
    <row r="600" spans="1:16">
      <c r="A600" s="10" t="s">
        <v>635</v>
      </c>
      <c r="B600" s="10">
        <v>4003246</v>
      </c>
      <c r="C600" s="10" t="s">
        <v>759</v>
      </c>
      <c r="D600" s="10" t="s">
        <v>760</v>
      </c>
      <c r="E600" s="10">
        <v>0</v>
      </c>
      <c r="F600" s="10">
        <v>400</v>
      </c>
      <c r="G600" s="10">
        <v>0</v>
      </c>
      <c r="H600" s="10">
        <v>400</v>
      </c>
      <c r="I600" s="10" t="s">
        <v>41</v>
      </c>
      <c r="J600" s="10">
        <v>0</v>
      </c>
      <c r="K600" s="10">
        <v>866.58</v>
      </c>
      <c r="L600" s="10">
        <v>0</v>
      </c>
      <c r="M600" s="10">
        <v>866.58</v>
      </c>
      <c r="N600" s="10" t="s">
        <v>761</v>
      </c>
      <c r="O600" s="10" t="s">
        <v>61</v>
      </c>
      <c r="P600" s="105">
        <f t="shared" si="9"/>
        <v>2.16645</v>
      </c>
    </row>
    <row r="601" spans="1:16">
      <c r="A601" s="10" t="s">
        <v>635</v>
      </c>
      <c r="B601" s="10">
        <v>4003365</v>
      </c>
      <c r="C601" s="10" t="s">
        <v>759</v>
      </c>
      <c r="D601" s="10" t="s">
        <v>760</v>
      </c>
      <c r="E601" s="10">
        <v>0</v>
      </c>
      <c r="F601" s="10">
        <v>0</v>
      </c>
      <c r="G601" s="10">
        <v>0</v>
      </c>
      <c r="H601" s="10">
        <v>0</v>
      </c>
      <c r="I601" s="10" t="s">
        <v>151</v>
      </c>
      <c r="J601" s="10">
        <v>0</v>
      </c>
      <c r="K601" s="10">
        <v>0</v>
      </c>
      <c r="L601" s="10">
        <v>0</v>
      </c>
      <c r="M601" s="10">
        <v>0</v>
      </c>
      <c r="N601" s="10" t="s">
        <v>761</v>
      </c>
      <c r="O601" s="10" t="s">
        <v>1141</v>
      </c>
      <c r="P601" s="105" t="e">
        <f t="shared" si="9"/>
        <v>#DIV/0!</v>
      </c>
    </row>
    <row r="602" spans="1:16">
      <c r="A602" s="10" t="s">
        <v>635</v>
      </c>
      <c r="B602" s="10">
        <v>4003455</v>
      </c>
      <c r="C602" s="10" t="s">
        <v>759</v>
      </c>
      <c r="D602" s="10" t="s">
        <v>760</v>
      </c>
      <c r="E602" s="10">
        <v>0</v>
      </c>
      <c r="F602" s="10">
        <v>0</v>
      </c>
      <c r="G602" s="10">
        <v>0</v>
      </c>
      <c r="H602" s="10">
        <v>0</v>
      </c>
      <c r="I602" s="10" t="s">
        <v>102</v>
      </c>
      <c r="J602" s="10">
        <v>0</v>
      </c>
      <c r="K602" s="10">
        <v>0</v>
      </c>
      <c r="L602" s="10">
        <v>0</v>
      </c>
      <c r="M602" s="10">
        <v>0</v>
      </c>
      <c r="N602" s="10" t="s">
        <v>761</v>
      </c>
      <c r="O602" s="10" t="s">
        <v>1142</v>
      </c>
      <c r="P602" s="105" t="e">
        <f t="shared" si="9"/>
        <v>#DIV/0!</v>
      </c>
    </row>
    <row r="603" spans="1:16">
      <c r="A603" s="10" t="s">
        <v>635</v>
      </c>
      <c r="B603" s="10">
        <v>4003456</v>
      </c>
      <c r="C603" s="10" t="s">
        <v>759</v>
      </c>
      <c r="D603" s="10" t="s">
        <v>760</v>
      </c>
      <c r="E603" s="10">
        <v>0</v>
      </c>
      <c r="F603" s="10">
        <v>0</v>
      </c>
      <c r="G603" s="10">
        <v>0</v>
      </c>
      <c r="H603" s="10">
        <v>0</v>
      </c>
      <c r="I603" s="10" t="s">
        <v>102</v>
      </c>
      <c r="J603" s="10">
        <v>0</v>
      </c>
      <c r="K603" s="10">
        <v>0</v>
      </c>
      <c r="L603" s="10">
        <v>0</v>
      </c>
      <c r="M603" s="10">
        <v>0</v>
      </c>
      <c r="N603" s="10" t="s">
        <v>761</v>
      </c>
      <c r="O603" s="10" t="s">
        <v>1143</v>
      </c>
      <c r="P603" s="105" t="e">
        <f t="shared" si="9"/>
        <v>#DIV/0!</v>
      </c>
    </row>
    <row r="604" spans="1:16">
      <c r="A604" s="10" t="s">
        <v>635</v>
      </c>
      <c r="B604" s="10">
        <v>4003457</v>
      </c>
      <c r="C604" s="10" t="s">
        <v>759</v>
      </c>
      <c r="D604" s="10" t="s">
        <v>760</v>
      </c>
      <c r="E604" s="10">
        <v>0</v>
      </c>
      <c r="F604" s="10">
        <v>0</v>
      </c>
      <c r="G604" s="10">
        <v>0</v>
      </c>
      <c r="H604" s="10">
        <v>0</v>
      </c>
      <c r="I604" s="10" t="s">
        <v>102</v>
      </c>
      <c r="J604" s="10">
        <v>0</v>
      </c>
      <c r="K604" s="10">
        <v>0</v>
      </c>
      <c r="L604" s="10">
        <v>0</v>
      </c>
      <c r="M604" s="10">
        <v>0</v>
      </c>
      <c r="N604" s="10" t="s">
        <v>761</v>
      </c>
      <c r="O604" s="10" t="s">
        <v>1144</v>
      </c>
      <c r="P604" s="105" t="e">
        <f t="shared" si="9"/>
        <v>#DIV/0!</v>
      </c>
    </row>
    <row r="605" spans="1:16">
      <c r="A605" s="10" t="s">
        <v>635</v>
      </c>
      <c r="B605" s="10">
        <v>4003461</v>
      </c>
      <c r="C605" s="10" t="s">
        <v>759</v>
      </c>
      <c r="D605" s="10" t="s">
        <v>760</v>
      </c>
      <c r="E605" s="10">
        <v>0</v>
      </c>
      <c r="F605" s="10">
        <v>0</v>
      </c>
      <c r="G605" s="10">
        <v>0</v>
      </c>
      <c r="H605" s="10">
        <v>0</v>
      </c>
      <c r="I605" s="10" t="s">
        <v>21</v>
      </c>
      <c r="J605" s="10">
        <v>0</v>
      </c>
      <c r="K605" s="10">
        <v>0</v>
      </c>
      <c r="L605" s="10">
        <v>0</v>
      </c>
      <c r="M605" s="10">
        <v>0</v>
      </c>
      <c r="N605" s="10" t="s">
        <v>761</v>
      </c>
      <c r="O605" s="10" t="s">
        <v>1145</v>
      </c>
      <c r="P605" s="105" t="e">
        <f t="shared" si="9"/>
        <v>#DIV/0!</v>
      </c>
    </row>
    <row r="606" spans="1:16">
      <c r="A606" s="10" t="s">
        <v>635</v>
      </c>
      <c r="B606" s="10">
        <v>4003626</v>
      </c>
      <c r="C606" s="10" t="s">
        <v>759</v>
      </c>
      <c r="D606" s="10" t="s">
        <v>760</v>
      </c>
      <c r="E606" s="10">
        <v>0</v>
      </c>
      <c r="F606" s="10">
        <v>0</v>
      </c>
      <c r="G606" s="10">
        <v>0</v>
      </c>
      <c r="H606" s="10">
        <v>0</v>
      </c>
      <c r="I606" s="10" t="s">
        <v>102</v>
      </c>
      <c r="J606" s="10">
        <v>0</v>
      </c>
      <c r="K606" s="10">
        <v>0</v>
      </c>
      <c r="L606" s="10">
        <v>0</v>
      </c>
      <c r="M606" s="10">
        <v>0</v>
      </c>
      <c r="N606" s="10" t="s">
        <v>761</v>
      </c>
      <c r="O606" s="10" t="s">
        <v>1146</v>
      </c>
      <c r="P606" s="105" t="e">
        <f t="shared" si="9"/>
        <v>#DIV/0!</v>
      </c>
    </row>
    <row r="607" spans="1:16">
      <c r="A607" s="10" t="s">
        <v>635</v>
      </c>
      <c r="B607" s="10">
        <v>4003826</v>
      </c>
      <c r="C607" s="10" t="s">
        <v>759</v>
      </c>
      <c r="D607" s="10" t="s">
        <v>760</v>
      </c>
      <c r="E607" s="10">
        <v>0</v>
      </c>
      <c r="F607" s="10">
        <v>0</v>
      </c>
      <c r="G607" s="10">
        <v>0</v>
      </c>
      <c r="H607" s="10">
        <v>0</v>
      </c>
      <c r="I607" s="10" t="s">
        <v>21</v>
      </c>
      <c r="J607" s="10">
        <v>0</v>
      </c>
      <c r="K607" s="10">
        <v>0</v>
      </c>
      <c r="L607" s="10">
        <v>0</v>
      </c>
      <c r="M607" s="10">
        <v>0</v>
      </c>
      <c r="N607" s="10" t="s">
        <v>761</v>
      </c>
      <c r="O607" s="10" t="s">
        <v>1147</v>
      </c>
      <c r="P607" s="105" t="e">
        <f t="shared" si="9"/>
        <v>#DIV/0!</v>
      </c>
    </row>
    <row r="608" spans="1:16">
      <c r="A608" s="10" t="s">
        <v>635</v>
      </c>
      <c r="B608" s="10">
        <v>4003828</v>
      </c>
      <c r="C608" s="10" t="s">
        <v>759</v>
      </c>
      <c r="D608" s="10" t="s">
        <v>760</v>
      </c>
      <c r="E608" s="10">
        <v>0</v>
      </c>
      <c r="F608" s="10">
        <v>0</v>
      </c>
      <c r="G608" s="10">
        <v>0</v>
      </c>
      <c r="H608" s="10">
        <v>0</v>
      </c>
      <c r="I608" s="10" t="s">
        <v>41</v>
      </c>
      <c r="J608" s="10">
        <v>0</v>
      </c>
      <c r="K608" s="10">
        <v>0</v>
      </c>
      <c r="L608" s="10">
        <v>0</v>
      </c>
      <c r="M608" s="10">
        <v>0</v>
      </c>
      <c r="N608" s="10" t="s">
        <v>761</v>
      </c>
      <c r="O608" s="10" t="s">
        <v>1148</v>
      </c>
      <c r="P608" s="105" t="e">
        <f t="shared" si="9"/>
        <v>#DIV/0!</v>
      </c>
    </row>
    <row r="609" spans="1:16">
      <c r="A609" s="10" t="s">
        <v>635</v>
      </c>
      <c r="B609" s="10">
        <v>4003873</v>
      </c>
      <c r="C609" s="10" t="s">
        <v>759</v>
      </c>
      <c r="D609" s="10" t="s">
        <v>760</v>
      </c>
      <c r="E609" s="10">
        <v>0</v>
      </c>
      <c r="F609" s="10">
        <v>0</v>
      </c>
      <c r="G609" s="10">
        <v>0</v>
      </c>
      <c r="H609" s="10">
        <v>0</v>
      </c>
      <c r="I609" s="10" t="s">
        <v>21</v>
      </c>
      <c r="J609" s="10">
        <v>0</v>
      </c>
      <c r="K609" s="10">
        <v>0</v>
      </c>
      <c r="L609" s="10">
        <v>0</v>
      </c>
      <c r="M609" s="10">
        <v>0</v>
      </c>
      <c r="N609" s="10" t="s">
        <v>761</v>
      </c>
      <c r="O609" s="10" t="s">
        <v>1149</v>
      </c>
      <c r="P609" s="105" t="e">
        <f t="shared" si="9"/>
        <v>#DIV/0!</v>
      </c>
    </row>
    <row r="610" spans="1:16">
      <c r="A610" s="10" t="s">
        <v>635</v>
      </c>
      <c r="B610" s="10">
        <v>4003874</v>
      </c>
      <c r="C610" s="10" t="s">
        <v>759</v>
      </c>
      <c r="D610" s="10" t="s">
        <v>760</v>
      </c>
      <c r="E610" s="10">
        <v>0</v>
      </c>
      <c r="F610" s="10">
        <v>0</v>
      </c>
      <c r="G610" s="10">
        <v>0</v>
      </c>
      <c r="H610" s="10">
        <v>0</v>
      </c>
      <c r="I610" s="10" t="s">
        <v>711</v>
      </c>
      <c r="J610" s="10">
        <v>0</v>
      </c>
      <c r="K610" s="10">
        <v>0</v>
      </c>
      <c r="L610" s="10">
        <v>0</v>
      </c>
      <c r="M610" s="10">
        <v>0</v>
      </c>
      <c r="N610" s="10" t="s">
        <v>761</v>
      </c>
      <c r="O610" s="10" t="s">
        <v>1150</v>
      </c>
      <c r="P610" s="105" t="e">
        <f t="shared" si="9"/>
        <v>#DIV/0!</v>
      </c>
    </row>
    <row r="611" spans="1:16">
      <c r="A611" s="10" t="s">
        <v>635</v>
      </c>
      <c r="B611" s="10">
        <v>4003898</v>
      </c>
      <c r="C611" s="10" t="s">
        <v>759</v>
      </c>
      <c r="D611" s="10" t="s">
        <v>760</v>
      </c>
      <c r="E611" s="10">
        <v>0</v>
      </c>
      <c r="F611" s="10">
        <v>0</v>
      </c>
      <c r="G611" s="10">
        <v>0</v>
      </c>
      <c r="H611" s="10">
        <v>0</v>
      </c>
      <c r="I611" s="10" t="s">
        <v>102</v>
      </c>
      <c r="J611" s="10">
        <v>0</v>
      </c>
      <c r="K611" s="10">
        <v>0</v>
      </c>
      <c r="L611" s="10">
        <v>0</v>
      </c>
      <c r="M611" s="10">
        <v>0</v>
      </c>
      <c r="N611" s="10" t="s">
        <v>761</v>
      </c>
      <c r="O611" s="10" t="s">
        <v>1151</v>
      </c>
      <c r="P611" s="105" t="e">
        <f t="shared" si="9"/>
        <v>#DIV/0!</v>
      </c>
    </row>
    <row r="612" spans="1:16">
      <c r="A612" s="10" t="s">
        <v>635</v>
      </c>
      <c r="B612" s="10">
        <v>4003899</v>
      </c>
      <c r="C612" s="10" t="s">
        <v>759</v>
      </c>
      <c r="D612" s="10" t="s">
        <v>760</v>
      </c>
      <c r="E612" s="10">
        <v>0</v>
      </c>
      <c r="F612" s="10">
        <v>0</v>
      </c>
      <c r="G612" s="10">
        <v>0</v>
      </c>
      <c r="H612" s="10">
        <v>0</v>
      </c>
      <c r="I612" s="10" t="s">
        <v>102</v>
      </c>
      <c r="J612" s="10">
        <v>0</v>
      </c>
      <c r="K612" s="10">
        <v>0</v>
      </c>
      <c r="L612" s="10">
        <v>0</v>
      </c>
      <c r="M612" s="10">
        <v>0</v>
      </c>
      <c r="N612" s="10" t="s">
        <v>761</v>
      </c>
      <c r="O612" s="10" t="s">
        <v>1152</v>
      </c>
      <c r="P612" s="105" t="e">
        <f t="shared" si="9"/>
        <v>#DIV/0!</v>
      </c>
    </row>
    <row r="613" spans="1:16">
      <c r="A613" s="10" t="s">
        <v>635</v>
      </c>
      <c r="B613" s="10">
        <v>4003900</v>
      </c>
      <c r="C613" s="10" t="s">
        <v>759</v>
      </c>
      <c r="D613" s="10" t="s">
        <v>760</v>
      </c>
      <c r="E613" s="10">
        <v>0</v>
      </c>
      <c r="F613" s="10">
        <v>0</v>
      </c>
      <c r="G613" s="10">
        <v>0</v>
      </c>
      <c r="H613" s="10">
        <v>0</v>
      </c>
      <c r="I613" s="10" t="s">
        <v>102</v>
      </c>
      <c r="J613" s="10">
        <v>0</v>
      </c>
      <c r="K613" s="10">
        <v>0</v>
      </c>
      <c r="L613" s="10">
        <v>0</v>
      </c>
      <c r="M613" s="10">
        <v>0</v>
      </c>
      <c r="N613" s="10" t="s">
        <v>761</v>
      </c>
      <c r="O613" s="10" t="s">
        <v>1153</v>
      </c>
      <c r="P613" s="105" t="e">
        <f t="shared" si="9"/>
        <v>#DIV/0!</v>
      </c>
    </row>
    <row r="614" spans="1:16">
      <c r="A614" s="10" t="s">
        <v>635</v>
      </c>
      <c r="B614" s="10">
        <v>4003929</v>
      </c>
      <c r="C614" s="10" t="s">
        <v>759</v>
      </c>
      <c r="D614" s="10" t="s">
        <v>760</v>
      </c>
      <c r="E614" s="10">
        <v>0</v>
      </c>
      <c r="F614" s="10">
        <v>0</v>
      </c>
      <c r="G614" s="10">
        <v>0</v>
      </c>
      <c r="H614" s="10">
        <v>0</v>
      </c>
      <c r="I614" s="10" t="s">
        <v>21</v>
      </c>
      <c r="J614" s="10">
        <v>0</v>
      </c>
      <c r="K614" s="10">
        <v>0</v>
      </c>
      <c r="L614" s="10">
        <v>0</v>
      </c>
      <c r="M614" s="10">
        <v>0</v>
      </c>
      <c r="N614" s="10" t="s">
        <v>761</v>
      </c>
      <c r="O614" s="10" t="s">
        <v>1154</v>
      </c>
      <c r="P614" s="105" t="e">
        <f t="shared" si="9"/>
        <v>#DIV/0!</v>
      </c>
    </row>
    <row r="615" spans="1:16">
      <c r="A615" s="10" t="s">
        <v>635</v>
      </c>
      <c r="B615" s="10">
        <v>4003930</v>
      </c>
      <c r="C615" s="10" t="s">
        <v>759</v>
      </c>
      <c r="D615" s="10" t="s">
        <v>760</v>
      </c>
      <c r="E615" s="10">
        <v>0</v>
      </c>
      <c r="F615" s="10">
        <v>0</v>
      </c>
      <c r="G615" s="10">
        <v>0</v>
      </c>
      <c r="H615" s="10">
        <v>0</v>
      </c>
      <c r="I615" s="10" t="s">
        <v>21</v>
      </c>
      <c r="J615" s="10">
        <v>0</v>
      </c>
      <c r="K615" s="10">
        <v>0</v>
      </c>
      <c r="L615" s="10">
        <v>0</v>
      </c>
      <c r="M615" s="10">
        <v>0</v>
      </c>
      <c r="N615" s="10" t="s">
        <v>761</v>
      </c>
      <c r="O615" s="10" t="s">
        <v>1155</v>
      </c>
      <c r="P615" s="105" t="e">
        <f t="shared" si="9"/>
        <v>#DIV/0!</v>
      </c>
    </row>
    <row r="616" spans="1:16">
      <c r="A616" s="10" t="s">
        <v>635</v>
      </c>
      <c r="B616" s="10">
        <v>4003958</v>
      </c>
      <c r="C616" s="10" t="s">
        <v>759</v>
      </c>
      <c r="D616" s="10" t="s">
        <v>760</v>
      </c>
      <c r="E616" s="10">
        <v>0</v>
      </c>
      <c r="F616" s="10">
        <v>0</v>
      </c>
      <c r="G616" s="10">
        <v>0</v>
      </c>
      <c r="H616" s="10">
        <v>0</v>
      </c>
      <c r="I616" s="10" t="s">
        <v>21</v>
      </c>
      <c r="J616" s="10">
        <v>0</v>
      </c>
      <c r="K616" s="10">
        <v>0</v>
      </c>
      <c r="L616" s="10">
        <v>0</v>
      </c>
      <c r="M616" s="10">
        <v>0</v>
      </c>
      <c r="N616" s="10" t="s">
        <v>761</v>
      </c>
      <c r="O616" s="10" t="s">
        <v>1156</v>
      </c>
      <c r="P616" s="105" t="e">
        <f t="shared" si="9"/>
        <v>#DIV/0!</v>
      </c>
    </row>
    <row r="617" spans="1:16">
      <c r="A617" s="10" t="s">
        <v>635</v>
      </c>
      <c r="B617" s="10">
        <v>4003988</v>
      </c>
      <c r="C617" s="10" t="s">
        <v>759</v>
      </c>
      <c r="D617" s="10" t="s">
        <v>760</v>
      </c>
      <c r="E617" s="10">
        <v>0</v>
      </c>
      <c r="F617" s="10">
        <v>0</v>
      </c>
      <c r="G617" s="10">
        <v>0</v>
      </c>
      <c r="H617" s="10">
        <v>0</v>
      </c>
      <c r="I617" s="10" t="s">
        <v>41</v>
      </c>
      <c r="J617" s="10">
        <v>0</v>
      </c>
      <c r="K617" s="10">
        <v>0</v>
      </c>
      <c r="L617" s="10">
        <v>0</v>
      </c>
      <c r="M617" s="10">
        <v>0</v>
      </c>
      <c r="N617" s="10" t="s">
        <v>761</v>
      </c>
      <c r="O617" s="10" t="s">
        <v>1157</v>
      </c>
      <c r="P617" s="105" t="e">
        <f t="shared" si="9"/>
        <v>#DIV/0!</v>
      </c>
    </row>
    <row r="618" spans="1:16">
      <c r="A618" s="10" t="s">
        <v>635</v>
      </c>
      <c r="B618" s="10">
        <v>4004082</v>
      </c>
      <c r="C618" s="10" t="s">
        <v>759</v>
      </c>
      <c r="D618" s="10" t="s">
        <v>760</v>
      </c>
      <c r="E618" s="10">
        <v>0</v>
      </c>
      <c r="F618" s="10">
        <v>0</v>
      </c>
      <c r="G618" s="10">
        <v>0</v>
      </c>
      <c r="H618" s="10">
        <v>0</v>
      </c>
      <c r="I618" s="10" t="s">
        <v>478</v>
      </c>
      <c r="J618" s="10">
        <v>0</v>
      </c>
      <c r="K618" s="10">
        <v>0</v>
      </c>
      <c r="L618" s="10">
        <v>0</v>
      </c>
      <c r="M618" s="10">
        <v>0</v>
      </c>
      <c r="N618" s="10" t="s">
        <v>761</v>
      </c>
      <c r="O618" s="10" t="s">
        <v>1158</v>
      </c>
      <c r="P618" s="105" t="e">
        <f t="shared" si="9"/>
        <v>#DIV/0!</v>
      </c>
    </row>
    <row r="619" spans="1:16">
      <c r="A619" s="10" t="s">
        <v>635</v>
      </c>
      <c r="B619" s="10">
        <v>4004369</v>
      </c>
      <c r="C619" s="10" t="s">
        <v>759</v>
      </c>
      <c r="D619" s="10" t="s">
        <v>760</v>
      </c>
      <c r="E619" s="10">
        <v>0</v>
      </c>
      <c r="F619" s="10">
        <v>0</v>
      </c>
      <c r="G619" s="10">
        <v>0</v>
      </c>
      <c r="H619" s="10">
        <v>0</v>
      </c>
      <c r="I619" s="10" t="s">
        <v>21</v>
      </c>
      <c r="J619" s="10">
        <v>0</v>
      </c>
      <c r="K619" s="10">
        <v>0</v>
      </c>
      <c r="L619" s="10">
        <v>0</v>
      </c>
      <c r="M619" s="10">
        <v>0</v>
      </c>
      <c r="N619" s="10" t="s">
        <v>761</v>
      </c>
      <c r="O619" s="10" t="s">
        <v>1159</v>
      </c>
      <c r="P619" s="105" t="e">
        <f t="shared" si="9"/>
        <v>#DIV/0!</v>
      </c>
    </row>
    <row r="620" spans="1:16">
      <c r="A620" s="10" t="s">
        <v>635</v>
      </c>
      <c r="B620" s="10">
        <v>4004379</v>
      </c>
      <c r="C620" s="10" t="s">
        <v>759</v>
      </c>
      <c r="D620" s="10" t="s">
        <v>760</v>
      </c>
      <c r="E620" s="10">
        <v>0</v>
      </c>
      <c r="F620" s="10">
        <v>0</v>
      </c>
      <c r="G620" s="10">
        <v>0</v>
      </c>
      <c r="H620" s="10">
        <v>0</v>
      </c>
      <c r="I620" s="10" t="s">
        <v>21</v>
      </c>
      <c r="J620" s="10">
        <v>0</v>
      </c>
      <c r="K620" s="10">
        <v>0</v>
      </c>
      <c r="L620" s="10">
        <v>0</v>
      </c>
      <c r="M620" s="10">
        <v>0</v>
      </c>
      <c r="N620" s="10" t="s">
        <v>761</v>
      </c>
      <c r="O620" s="10" t="s">
        <v>1160</v>
      </c>
      <c r="P620" s="105" t="e">
        <f t="shared" si="9"/>
        <v>#DIV/0!</v>
      </c>
    </row>
    <row r="621" spans="1:16">
      <c r="A621" s="10" t="s">
        <v>635</v>
      </c>
      <c r="B621" s="10">
        <v>4004382</v>
      </c>
      <c r="C621" s="10" t="s">
        <v>759</v>
      </c>
      <c r="D621" s="10" t="s">
        <v>760</v>
      </c>
      <c r="E621" s="10">
        <v>0</v>
      </c>
      <c r="F621" s="10">
        <v>0</v>
      </c>
      <c r="G621" s="10">
        <v>0</v>
      </c>
      <c r="H621" s="10">
        <v>0</v>
      </c>
      <c r="I621" s="10" t="s">
        <v>21</v>
      </c>
      <c r="J621" s="10">
        <v>0</v>
      </c>
      <c r="K621" s="10">
        <v>0</v>
      </c>
      <c r="L621" s="10">
        <v>0</v>
      </c>
      <c r="M621" s="10">
        <v>0</v>
      </c>
      <c r="N621" s="10" t="s">
        <v>761</v>
      </c>
      <c r="O621" s="10" t="s">
        <v>1161</v>
      </c>
      <c r="P621" s="105" t="e">
        <f t="shared" si="9"/>
        <v>#DIV/0!</v>
      </c>
    </row>
    <row r="622" spans="1:16">
      <c r="A622" s="10" t="s">
        <v>635</v>
      </c>
      <c r="B622" s="10">
        <v>4004392</v>
      </c>
      <c r="C622" s="10" t="s">
        <v>759</v>
      </c>
      <c r="D622" s="10" t="s">
        <v>760</v>
      </c>
      <c r="E622" s="10">
        <v>0</v>
      </c>
      <c r="F622" s="10">
        <v>0</v>
      </c>
      <c r="G622" s="10">
        <v>0</v>
      </c>
      <c r="H622" s="10">
        <v>0</v>
      </c>
      <c r="I622" s="10" t="s">
        <v>21</v>
      </c>
      <c r="J622" s="10">
        <v>0</v>
      </c>
      <c r="K622" s="10">
        <v>0</v>
      </c>
      <c r="L622" s="10">
        <v>0</v>
      </c>
      <c r="M622" s="10">
        <v>0</v>
      </c>
      <c r="N622" s="10" t="s">
        <v>761</v>
      </c>
      <c r="O622" s="10" t="s">
        <v>1162</v>
      </c>
      <c r="P622" s="105" t="e">
        <f t="shared" si="9"/>
        <v>#DIV/0!</v>
      </c>
    </row>
    <row r="623" spans="1:16">
      <c r="A623" s="10" t="s">
        <v>635</v>
      </c>
      <c r="B623" s="10">
        <v>4004399</v>
      </c>
      <c r="C623" s="10" t="s">
        <v>759</v>
      </c>
      <c r="D623" s="10" t="s">
        <v>760</v>
      </c>
      <c r="E623" s="10">
        <v>0</v>
      </c>
      <c r="F623" s="10">
        <v>0</v>
      </c>
      <c r="G623" s="10">
        <v>0</v>
      </c>
      <c r="H623" s="10">
        <v>0</v>
      </c>
      <c r="I623" s="10" t="s">
        <v>21</v>
      </c>
      <c r="J623" s="10">
        <v>0</v>
      </c>
      <c r="K623" s="10">
        <v>0</v>
      </c>
      <c r="L623" s="10">
        <v>0</v>
      </c>
      <c r="M623" s="10">
        <v>0</v>
      </c>
      <c r="N623" s="10" t="s">
        <v>761</v>
      </c>
      <c r="O623" s="10" t="s">
        <v>1163</v>
      </c>
      <c r="P623" s="105" t="e">
        <f t="shared" si="9"/>
        <v>#DIV/0!</v>
      </c>
    </row>
    <row r="624" spans="1:16">
      <c r="A624" s="10" t="s">
        <v>635</v>
      </c>
      <c r="B624" s="10">
        <v>4004409</v>
      </c>
      <c r="C624" s="10" t="s">
        <v>759</v>
      </c>
      <c r="D624" s="10" t="s">
        <v>760</v>
      </c>
      <c r="E624" s="10">
        <v>0</v>
      </c>
      <c r="F624" s="10">
        <v>0</v>
      </c>
      <c r="G624" s="10">
        <v>0</v>
      </c>
      <c r="H624" s="10">
        <v>0</v>
      </c>
      <c r="I624" s="10" t="s">
        <v>21</v>
      </c>
      <c r="J624" s="10">
        <v>0</v>
      </c>
      <c r="K624" s="10">
        <v>0</v>
      </c>
      <c r="L624" s="10">
        <v>0</v>
      </c>
      <c r="M624" s="10">
        <v>0</v>
      </c>
      <c r="N624" s="10" t="s">
        <v>761</v>
      </c>
      <c r="O624" s="10" t="s">
        <v>1164</v>
      </c>
      <c r="P624" s="105" t="e">
        <f t="shared" si="9"/>
        <v>#DIV/0!</v>
      </c>
    </row>
    <row r="625" spans="1:16">
      <c r="A625" s="10" t="s">
        <v>635</v>
      </c>
      <c r="B625" s="10">
        <v>4004419</v>
      </c>
      <c r="C625" s="10" t="s">
        <v>759</v>
      </c>
      <c r="D625" s="10" t="s">
        <v>760</v>
      </c>
      <c r="E625" s="10">
        <v>0</v>
      </c>
      <c r="F625" s="10">
        <v>0</v>
      </c>
      <c r="G625" s="10">
        <v>0</v>
      </c>
      <c r="H625" s="10">
        <v>0</v>
      </c>
      <c r="I625" s="10" t="s">
        <v>102</v>
      </c>
      <c r="J625" s="10">
        <v>0</v>
      </c>
      <c r="K625" s="10">
        <v>0</v>
      </c>
      <c r="L625" s="10">
        <v>0</v>
      </c>
      <c r="M625" s="10">
        <v>0</v>
      </c>
      <c r="N625" s="10" t="s">
        <v>761</v>
      </c>
      <c r="O625" s="10" t="s">
        <v>1165</v>
      </c>
      <c r="P625" s="105" t="e">
        <f t="shared" si="9"/>
        <v>#DIV/0!</v>
      </c>
    </row>
    <row r="626" spans="1:16">
      <c r="A626" s="10" t="s">
        <v>635</v>
      </c>
      <c r="B626" s="10">
        <v>4004440</v>
      </c>
      <c r="C626" s="10" t="s">
        <v>759</v>
      </c>
      <c r="D626" s="10" t="s">
        <v>760</v>
      </c>
      <c r="E626" s="10">
        <v>27</v>
      </c>
      <c r="F626" s="10">
        <v>0</v>
      </c>
      <c r="G626" s="10">
        <v>0</v>
      </c>
      <c r="H626" s="10">
        <v>27</v>
      </c>
      <c r="I626" s="10" t="s">
        <v>74</v>
      </c>
      <c r="J626" s="10">
        <v>242.1</v>
      </c>
      <c r="K626" s="10">
        <v>0</v>
      </c>
      <c r="L626" s="10">
        <v>0</v>
      </c>
      <c r="M626" s="10">
        <v>242.1</v>
      </c>
      <c r="N626" s="10" t="s">
        <v>761</v>
      </c>
      <c r="O626" s="10" t="s">
        <v>593</v>
      </c>
      <c r="P626" s="105">
        <f t="shared" si="9"/>
        <v>8.96666666666667</v>
      </c>
    </row>
    <row r="627" spans="1:16">
      <c r="A627" s="10" t="s">
        <v>635</v>
      </c>
      <c r="B627" s="10">
        <v>4004507</v>
      </c>
      <c r="C627" s="10" t="s">
        <v>759</v>
      </c>
      <c r="D627" s="10" t="s">
        <v>760</v>
      </c>
      <c r="E627" s="10">
        <v>0</v>
      </c>
      <c r="F627" s="10">
        <v>0</v>
      </c>
      <c r="G627" s="10">
        <v>0</v>
      </c>
      <c r="H627" s="10">
        <v>0</v>
      </c>
      <c r="I627" s="10" t="s">
        <v>74</v>
      </c>
      <c r="J627" s="10">
        <v>0</v>
      </c>
      <c r="K627" s="10">
        <v>0</v>
      </c>
      <c r="L627" s="10">
        <v>0</v>
      </c>
      <c r="M627" s="10">
        <v>0</v>
      </c>
      <c r="N627" s="10" t="s">
        <v>761</v>
      </c>
      <c r="O627" s="10" t="s">
        <v>1166</v>
      </c>
      <c r="P627" s="105" t="e">
        <f t="shared" si="9"/>
        <v>#DIV/0!</v>
      </c>
    </row>
    <row r="628" spans="1:16">
      <c r="A628" s="10" t="s">
        <v>635</v>
      </c>
      <c r="B628" s="10">
        <v>4004540</v>
      </c>
      <c r="C628" s="10" t="s">
        <v>759</v>
      </c>
      <c r="D628" s="10" t="s">
        <v>760</v>
      </c>
      <c r="E628" s="10">
        <v>0</v>
      </c>
      <c r="F628" s="10">
        <v>0</v>
      </c>
      <c r="G628" s="10">
        <v>0</v>
      </c>
      <c r="H628" s="10">
        <v>0</v>
      </c>
      <c r="I628" s="10" t="s">
        <v>33</v>
      </c>
      <c r="J628" s="10">
        <v>0</v>
      </c>
      <c r="K628" s="10">
        <v>0</v>
      </c>
      <c r="L628" s="10">
        <v>0</v>
      </c>
      <c r="M628" s="10">
        <v>0</v>
      </c>
      <c r="N628" s="10" t="s">
        <v>761</v>
      </c>
      <c r="O628" s="10" t="s">
        <v>1167</v>
      </c>
      <c r="P628" s="105" t="e">
        <f t="shared" si="9"/>
        <v>#DIV/0!</v>
      </c>
    </row>
    <row r="629" spans="1:16">
      <c r="A629" s="10" t="s">
        <v>635</v>
      </c>
      <c r="B629" s="10">
        <v>4004609</v>
      </c>
      <c r="C629" s="10" t="s">
        <v>759</v>
      </c>
      <c r="D629" s="10" t="s">
        <v>760</v>
      </c>
      <c r="E629" s="10">
        <v>0</v>
      </c>
      <c r="F629" s="10">
        <v>1</v>
      </c>
      <c r="G629" s="10">
        <v>0</v>
      </c>
      <c r="H629" s="10">
        <v>1</v>
      </c>
      <c r="I629" s="10" t="s">
        <v>21</v>
      </c>
      <c r="J629" s="10">
        <v>0</v>
      </c>
      <c r="K629" s="10">
        <v>88.73</v>
      </c>
      <c r="L629" s="10">
        <v>0</v>
      </c>
      <c r="M629" s="10">
        <v>88.73</v>
      </c>
      <c r="N629" s="10" t="s">
        <v>761</v>
      </c>
      <c r="O629" s="10" t="s">
        <v>431</v>
      </c>
      <c r="P629" s="105">
        <f t="shared" si="9"/>
        <v>88.73</v>
      </c>
    </row>
    <row r="630" spans="1:16">
      <c r="A630" s="10" t="s">
        <v>635</v>
      </c>
      <c r="B630" s="10">
        <v>4004757</v>
      </c>
      <c r="C630" s="10" t="s">
        <v>759</v>
      </c>
      <c r="D630" s="10" t="s">
        <v>760</v>
      </c>
      <c r="E630" s="10">
        <v>0</v>
      </c>
      <c r="F630" s="10">
        <v>0</v>
      </c>
      <c r="G630" s="10">
        <v>0</v>
      </c>
      <c r="H630" s="10">
        <v>0</v>
      </c>
      <c r="I630" s="10" t="s">
        <v>74</v>
      </c>
      <c r="J630" s="10">
        <v>0</v>
      </c>
      <c r="K630" s="10">
        <v>0</v>
      </c>
      <c r="L630" s="10">
        <v>0</v>
      </c>
      <c r="M630" s="10">
        <v>0</v>
      </c>
      <c r="N630" s="10" t="s">
        <v>761</v>
      </c>
      <c r="O630" s="10" t="s">
        <v>1168</v>
      </c>
      <c r="P630" s="105" t="e">
        <f t="shared" si="9"/>
        <v>#DIV/0!</v>
      </c>
    </row>
    <row r="631" spans="1:16">
      <c r="A631" s="10" t="s">
        <v>635</v>
      </c>
      <c r="B631" s="10">
        <v>4004835</v>
      </c>
      <c r="C631" s="10" t="s">
        <v>759</v>
      </c>
      <c r="D631" s="10" t="s">
        <v>760</v>
      </c>
      <c r="E631" s="10">
        <v>0</v>
      </c>
      <c r="F631" s="10">
        <v>0</v>
      </c>
      <c r="G631" s="10">
        <v>0</v>
      </c>
      <c r="H631" s="10">
        <v>0</v>
      </c>
      <c r="I631" s="10" t="s">
        <v>21</v>
      </c>
      <c r="J631" s="10">
        <v>0</v>
      </c>
      <c r="K631" s="10">
        <v>0</v>
      </c>
      <c r="L631" s="10">
        <v>0</v>
      </c>
      <c r="M631" s="10">
        <v>0</v>
      </c>
      <c r="N631" s="10" t="s">
        <v>761</v>
      </c>
      <c r="O631" s="10" t="s">
        <v>1169</v>
      </c>
      <c r="P631" s="105" t="e">
        <f t="shared" si="9"/>
        <v>#DIV/0!</v>
      </c>
    </row>
    <row r="632" spans="1:16">
      <c r="A632" s="10" t="s">
        <v>635</v>
      </c>
      <c r="B632" s="10">
        <v>4004881</v>
      </c>
      <c r="C632" s="10" t="s">
        <v>759</v>
      </c>
      <c r="D632" s="10" t="s">
        <v>760</v>
      </c>
      <c r="E632" s="10">
        <v>0</v>
      </c>
      <c r="F632" s="10">
        <v>0</v>
      </c>
      <c r="G632" s="10">
        <v>0</v>
      </c>
      <c r="H632" s="10">
        <v>0</v>
      </c>
      <c r="I632" s="10" t="s">
        <v>67</v>
      </c>
      <c r="J632" s="10">
        <v>0</v>
      </c>
      <c r="K632" s="10">
        <v>0</v>
      </c>
      <c r="L632" s="10">
        <v>0</v>
      </c>
      <c r="M632" s="10">
        <v>0</v>
      </c>
      <c r="N632" s="10" t="s">
        <v>761</v>
      </c>
      <c r="O632" s="10" t="s">
        <v>1170</v>
      </c>
      <c r="P632" s="105" t="e">
        <f t="shared" si="9"/>
        <v>#DIV/0!</v>
      </c>
    </row>
    <row r="633" spans="1:16">
      <c r="A633" s="10" t="s">
        <v>635</v>
      </c>
      <c r="B633" s="10">
        <v>4004966</v>
      </c>
      <c r="C633" s="10" t="s">
        <v>759</v>
      </c>
      <c r="D633" s="10" t="s">
        <v>760</v>
      </c>
      <c r="E633" s="10">
        <v>0</v>
      </c>
      <c r="F633" s="10">
        <v>0</v>
      </c>
      <c r="G633" s="10">
        <v>0</v>
      </c>
      <c r="H633" s="10">
        <v>0</v>
      </c>
      <c r="I633" s="10" t="s">
        <v>30</v>
      </c>
      <c r="J633" s="10">
        <v>0</v>
      </c>
      <c r="K633" s="10">
        <v>0</v>
      </c>
      <c r="L633" s="10">
        <v>0</v>
      </c>
      <c r="M633" s="10">
        <v>0</v>
      </c>
      <c r="N633" s="10" t="s">
        <v>761</v>
      </c>
      <c r="O633" s="10" t="s">
        <v>352</v>
      </c>
      <c r="P633" s="105" t="e">
        <f t="shared" si="9"/>
        <v>#DIV/0!</v>
      </c>
    </row>
    <row r="634" spans="1:16">
      <c r="A634" s="10" t="s">
        <v>635</v>
      </c>
      <c r="B634" s="10">
        <v>4005047</v>
      </c>
      <c r="C634" s="10" t="s">
        <v>759</v>
      </c>
      <c r="D634" s="10" t="s">
        <v>760</v>
      </c>
      <c r="E634" s="10">
        <v>0</v>
      </c>
      <c r="F634" s="10">
        <v>0</v>
      </c>
      <c r="G634" s="10">
        <v>0</v>
      </c>
      <c r="H634" s="10">
        <v>0</v>
      </c>
      <c r="I634" s="10" t="s">
        <v>659</v>
      </c>
      <c r="J634" s="10">
        <v>0</v>
      </c>
      <c r="K634" s="10">
        <v>0</v>
      </c>
      <c r="L634" s="10">
        <v>0</v>
      </c>
      <c r="M634" s="10">
        <v>0</v>
      </c>
      <c r="N634" s="10" t="s">
        <v>761</v>
      </c>
      <c r="O634" s="10" t="s">
        <v>1171</v>
      </c>
      <c r="P634" s="105" t="e">
        <f t="shared" si="9"/>
        <v>#DIV/0!</v>
      </c>
    </row>
    <row r="635" spans="1:16">
      <c r="A635" s="10" t="s">
        <v>635</v>
      </c>
      <c r="B635" s="10">
        <v>4005063</v>
      </c>
      <c r="C635" s="10" t="s">
        <v>759</v>
      </c>
      <c r="D635" s="10" t="s">
        <v>760</v>
      </c>
      <c r="E635" s="10">
        <v>0</v>
      </c>
      <c r="F635" s="10">
        <v>0</v>
      </c>
      <c r="G635" s="10">
        <v>0</v>
      </c>
      <c r="H635" s="10">
        <v>0</v>
      </c>
      <c r="I635" s="10" t="s">
        <v>26</v>
      </c>
      <c r="J635" s="10">
        <v>0</v>
      </c>
      <c r="K635" s="10">
        <v>0</v>
      </c>
      <c r="L635" s="10">
        <v>0</v>
      </c>
      <c r="M635" s="10">
        <v>0</v>
      </c>
      <c r="N635" s="10" t="s">
        <v>761</v>
      </c>
      <c r="O635" s="10" t="s">
        <v>1172</v>
      </c>
      <c r="P635" s="105" t="e">
        <f t="shared" si="9"/>
        <v>#DIV/0!</v>
      </c>
    </row>
    <row r="636" spans="1:16">
      <c r="A636" s="10" t="s">
        <v>635</v>
      </c>
      <c r="B636" s="10">
        <v>4005110</v>
      </c>
      <c r="C636" s="10" t="s">
        <v>759</v>
      </c>
      <c r="D636" s="10" t="s">
        <v>760</v>
      </c>
      <c r="E636" s="10">
        <v>0</v>
      </c>
      <c r="F636" s="10">
        <v>0</v>
      </c>
      <c r="G636" s="10">
        <v>0</v>
      </c>
      <c r="H636" s="10">
        <v>0</v>
      </c>
      <c r="I636" s="10" t="s">
        <v>711</v>
      </c>
      <c r="J636" s="10">
        <v>0</v>
      </c>
      <c r="K636" s="10">
        <v>0</v>
      </c>
      <c r="L636" s="10">
        <v>0</v>
      </c>
      <c r="M636" s="10">
        <v>0</v>
      </c>
      <c r="N636" s="10" t="s">
        <v>761</v>
      </c>
      <c r="O636" s="10" t="s">
        <v>1173</v>
      </c>
      <c r="P636" s="105" t="e">
        <f t="shared" si="9"/>
        <v>#DIV/0!</v>
      </c>
    </row>
    <row r="637" spans="1:16">
      <c r="A637" s="10" t="s">
        <v>635</v>
      </c>
      <c r="B637" s="10">
        <v>4005112</v>
      </c>
      <c r="C637" s="10" t="s">
        <v>759</v>
      </c>
      <c r="D637" s="10" t="s">
        <v>760</v>
      </c>
      <c r="E637" s="10">
        <v>0</v>
      </c>
      <c r="F637" s="10">
        <v>0</v>
      </c>
      <c r="G637" s="10">
        <v>0</v>
      </c>
      <c r="H637" s="10">
        <v>0</v>
      </c>
      <c r="I637" s="10" t="s">
        <v>711</v>
      </c>
      <c r="J637" s="10">
        <v>0</v>
      </c>
      <c r="K637" s="10">
        <v>0</v>
      </c>
      <c r="L637" s="10">
        <v>0</v>
      </c>
      <c r="M637" s="10">
        <v>0</v>
      </c>
      <c r="N637" s="10" t="s">
        <v>761</v>
      </c>
      <c r="O637" s="10" t="s">
        <v>1174</v>
      </c>
      <c r="P637" s="105" t="e">
        <f t="shared" si="9"/>
        <v>#DIV/0!</v>
      </c>
    </row>
    <row r="638" spans="1:16">
      <c r="A638" s="10" t="s">
        <v>635</v>
      </c>
      <c r="B638" s="10">
        <v>4005146</v>
      </c>
      <c r="C638" s="10" t="s">
        <v>759</v>
      </c>
      <c r="D638" s="10" t="s">
        <v>760</v>
      </c>
      <c r="E638" s="10">
        <v>0</v>
      </c>
      <c r="F638" s="10">
        <v>0</v>
      </c>
      <c r="G638" s="10">
        <v>0</v>
      </c>
      <c r="H638" s="10">
        <v>0</v>
      </c>
      <c r="I638" s="10" t="s">
        <v>151</v>
      </c>
      <c r="J638" s="10">
        <v>0</v>
      </c>
      <c r="K638" s="10">
        <v>0</v>
      </c>
      <c r="L638" s="10">
        <v>0</v>
      </c>
      <c r="M638" s="10">
        <v>0</v>
      </c>
      <c r="N638" s="10" t="s">
        <v>761</v>
      </c>
      <c r="O638" s="10" t="s">
        <v>1175</v>
      </c>
      <c r="P638" s="105" t="e">
        <f t="shared" si="9"/>
        <v>#DIV/0!</v>
      </c>
    </row>
    <row r="639" spans="1:16">
      <c r="A639" s="10" t="s">
        <v>635</v>
      </c>
      <c r="B639" s="10">
        <v>4005400</v>
      </c>
      <c r="C639" s="10" t="s">
        <v>759</v>
      </c>
      <c r="D639" s="10" t="s">
        <v>760</v>
      </c>
      <c r="E639" s="10">
        <v>0</v>
      </c>
      <c r="F639" s="10">
        <v>0</v>
      </c>
      <c r="G639" s="10">
        <v>0</v>
      </c>
      <c r="H639" s="10">
        <v>0</v>
      </c>
      <c r="I639" s="10" t="s">
        <v>21</v>
      </c>
      <c r="J639" s="10">
        <v>0</v>
      </c>
      <c r="K639" s="10">
        <v>0</v>
      </c>
      <c r="L639" s="10">
        <v>0</v>
      </c>
      <c r="M639" s="10">
        <v>0</v>
      </c>
      <c r="N639" s="10" t="s">
        <v>761</v>
      </c>
      <c r="O639" s="10" t="s">
        <v>1176</v>
      </c>
      <c r="P639" s="105" t="e">
        <f t="shared" si="9"/>
        <v>#DIV/0!</v>
      </c>
    </row>
    <row r="640" spans="1:16">
      <c r="A640" s="10" t="s">
        <v>635</v>
      </c>
      <c r="B640" s="10">
        <v>4005402</v>
      </c>
      <c r="C640" s="10" t="s">
        <v>759</v>
      </c>
      <c r="D640" s="10" t="s">
        <v>760</v>
      </c>
      <c r="E640" s="10">
        <v>0</v>
      </c>
      <c r="F640" s="10">
        <v>0</v>
      </c>
      <c r="G640" s="10">
        <v>0</v>
      </c>
      <c r="H640" s="10">
        <v>0</v>
      </c>
      <c r="I640" s="10" t="s">
        <v>21</v>
      </c>
      <c r="J640" s="10">
        <v>0</v>
      </c>
      <c r="K640" s="10">
        <v>0</v>
      </c>
      <c r="L640" s="10">
        <v>0</v>
      </c>
      <c r="M640" s="10">
        <v>0</v>
      </c>
      <c r="N640" s="10" t="s">
        <v>761</v>
      </c>
      <c r="O640" s="10" t="s">
        <v>1177</v>
      </c>
      <c r="P640" s="105" t="e">
        <f t="shared" si="9"/>
        <v>#DIV/0!</v>
      </c>
    </row>
    <row r="641" spans="1:16">
      <c r="A641" s="10" t="s">
        <v>635</v>
      </c>
      <c r="B641" s="10">
        <v>4005403</v>
      </c>
      <c r="C641" s="10" t="s">
        <v>759</v>
      </c>
      <c r="D641" s="10" t="s">
        <v>760</v>
      </c>
      <c r="E641" s="10">
        <v>0</v>
      </c>
      <c r="F641" s="10">
        <v>0</v>
      </c>
      <c r="G641" s="10">
        <v>0</v>
      </c>
      <c r="H641" s="10">
        <v>0</v>
      </c>
      <c r="I641" s="10" t="s">
        <v>21</v>
      </c>
      <c r="J641" s="10">
        <v>0</v>
      </c>
      <c r="K641" s="10">
        <v>0</v>
      </c>
      <c r="L641" s="10">
        <v>0</v>
      </c>
      <c r="M641" s="10">
        <v>0</v>
      </c>
      <c r="N641" s="10" t="s">
        <v>761</v>
      </c>
      <c r="O641" s="10" t="s">
        <v>1178</v>
      </c>
      <c r="P641" s="105" t="e">
        <f t="shared" si="9"/>
        <v>#DIV/0!</v>
      </c>
    </row>
    <row r="642" spans="1:16">
      <c r="A642" s="10" t="s">
        <v>635</v>
      </c>
      <c r="B642" s="10">
        <v>4005404</v>
      </c>
      <c r="C642" s="10" t="s">
        <v>759</v>
      </c>
      <c r="D642" s="10" t="s">
        <v>760</v>
      </c>
      <c r="E642" s="10">
        <v>0</v>
      </c>
      <c r="F642" s="10">
        <v>0</v>
      </c>
      <c r="G642" s="10">
        <v>0</v>
      </c>
      <c r="H642" s="10">
        <v>0</v>
      </c>
      <c r="I642" s="10" t="s">
        <v>21</v>
      </c>
      <c r="J642" s="10">
        <v>0</v>
      </c>
      <c r="K642" s="10">
        <v>0</v>
      </c>
      <c r="L642" s="10">
        <v>0</v>
      </c>
      <c r="M642" s="10">
        <v>0</v>
      </c>
      <c r="N642" s="10" t="s">
        <v>761</v>
      </c>
      <c r="O642" s="10" t="s">
        <v>1179</v>
      </c>
      <c r="P642" s="105" t="e">
        <f t="shared" si="9"/>
        <v>#DIV/0!</v>
      </c>
    </row>
    <row r="643" spans="1:16">
      <c r="A643" s="10" t="s">
        <v>635</v>
      </c>
      <c r="B643" s="10">
        <v>4005465</v>
      </c>
      <c r="C643" s="10" t="s">
        <v>759</v>
      </c>
      <c r="D643" s="10" t="s">
        <v>760</v>
      </c>
      <c r="E643" s="10">
        <v>27</v>
      </c>
      <c r="F643" s="10">
        <v>168</v>
      </c>
      <c r="G643" s="10">
        <v>-14</v>
      </c>
      <c r="H643" s="10">
        <v>181</v>
      </c>
      <c r="I643" s="10" t="s">
        <v>74</v>
      </c>
      <c r="J643" s="10">
        <v>191.5</v>
      </c>
      <c r="K643" s="103">
        <v>1190</v>
      </c>
      <c r="L643" s="10">
        <v>-99.18</v>
      </c>
      <c r="M643" s="103">
        <v>1282.32</v>
      </c>
      <c r="N643" s="10" t="s">
        <v>761</v>
      </c>
      <c r="O643" s="10" t="s">
        <v>577</v>
      </c>
      <c r="P643" s="105">
        <f t="shared" ref="P643:P706" si="10">M643/H643</f>
        <v>7.0846408839779</v>
      </c>
    </row>
    <row r="644" spans="1:16">
      <c r="A644" s="10" t="s">
        <v>635</v>
      </c>
      <c r="B644" s="10">
        <v>4005469</v>
      </c>
      <c r="C644" s="10" t="s">
        <v>759</v>
      </c>
      <c r="D644" s="10" t="s">
        <v>760</v>
      </c>
      <c r="E644" s="10">
        <v>0</v>
      </c>
      <c r="F644" s="10">
        <v>0</v>
      </c>
      <c r="G644" s="10">
        <v>0</v>
      </c>
      <c r="H644" s="10">
        <v>0</v>
      </c>
      <c r="I644" s="10" t="s">
        <v>74</v>
      </c>
      <c r="J644" s="10">
        <v>0</v>
      </c>
      <c r="K644" s="10">
        <v>0</v>
      </c>
      <c r="L644" s="10">
        <v>0</v>
      </c>
      <c r="M644" s="10">
        <v>0</v>
      </c>
      <c r="N644" s="10" t="s">
        <v>761</v>
      </c>
      <c r="O644" s="10" t="s">
        <v>1180</v>
      </c>
      <c r="P644" s="105" t="e">
        <f t="shared" si="10"/>
        <v>#DIV/0!</v>
      </c>
    </row>
    <row r="645" spans="1:16">
      <c r="A645" s="10" t="s">
        <v>635</v>
      </c>
      <c r="B645" s="10">
        <v>4005512</v>
      </c>
      <c r="C645" s="10" t="s">
        <v>759</v>
      </c>
      <c r="D645" s="10" t="s">
        <v>760</v>
      </c>
      <c r="E645" s="10">
        <v>0</v>
      </c>
      <c r="F645" s="10">
        <v>0</v>
      </c>
      <c r="G645" s="10">
        <v>0</v>
      </c>
      <c r="H645" s="10">
        <v>0</v>
      </c>
      <c r="I645" s="10" t="s">
        <v>74</v>
      </c>
      <c r="J645" s="10">
        <v>0</v>
      </c>
      <c r="K645" s="10">
        <v>0</v>
      </c>
      <c r="L645" s="10">
        <v>0</v>
      </c>
      <c r="M645" s="10">
        <v>0</v>
      </c>
      <c r="N645" s="10" t="s">
        <v>761</v>
      </c>
      <c r="O645" s="10" t="s">
        <v>1181</v>
      </c>
      <c r="P645" s="105" t="e">
        <f t="shared" si="10"/>
        <v>#DIV/0!</v>
      </c>
    </row>
    <row r="646" spans="1:16">
      <c r="A646" s="10" t="s">
        <v>635</v>
      </c>
      <c r="B646" s="10">
        <v>4005552</v>
      </c>
      <c r="C646" s="10" t="s">
        <v>759</v>
      </c>
      <c r="D646" s="10" t="s">
        <v>760</v>
      </c>
      <c r="E646" s="10">
        <v>0</v>
      </c>
      <c r="F646" s="10">
        <v>0</v>
      </c>
      <c r="G646" s="10">
        <v>0</v>
      </c>
      <c r="H646" s="10">
        <v>0</v>
      </c>
      <c r="I646" s="10" t="s">
        <v>21</v>
      </c>
      <c r="J646" s="10">
        <v>0</v>
      </c>
      <c r="K646" s="10">
        <v>0</v>
      </c>
      <c r="L646" s="10">
        <v>0</v>
      </c>
      <c r="M646" s="10">
        <v>0</v>
      </c>
      <c r="N646" s="10" t="s">
        <v>761</v>
      </c>
      <c r="O646" s="10" t="s">
        <v>1182</v>
      </c>
      <c r="P646" s="105" t="e">
        <f t="shared" si="10"/>
        <v>#DIV/0!</v>
      </c>
    </row>
    <row r="647" spans="1:16">
      <c r="A647" s="10" t="s">
        <v>635</v>
      </c>
      <c r="B647" s="10">
        <v>4005742</v>
      </c>
      <c r="C647" s="10" t="s">
        <v>759</v>
      </c>
      <c r="D647" s="10" t="s">
        <v>760</v>
      </c>
      <c r="E647" s="10">
        <v>0</v>
      </c>
      <c r="F647" s="10">
        <v>0</v>
      </c>
      <c r="G647" s="10">
        <v>0</v>
      </c>
      <c r="H647" s="10">
        <v>0</v>
      </c>
      <c r="I647" s="10" t="s">
        <v>74</v>
      </c>
      <c r="J647" s="10">
        <v>0</v>
      </c>
      <c r="K647" s="10">
        <v>0</v>
      </c>
      <c r="L647" s="10">
        <v>0</v>
      </c>
      <c r="M647" s="10">
        <v>0</v>
      </c>
      <c r="N647" s="10" t="s">
        <v>761</v>
      </c>
      <c r="O647" s="10" t="s">
        <v>1183</v>
      </c>
      <c r="P647" s="105" t="e">
        <f t="shared" si="10"/>
        <v>#DIV/0!</v>
      </c>
    </row>
    <row r="648" spans="1:16">
      <c r="A648" s="10" t="s">
        <v>635</v>
      </c>
      <c r="B648" s="10">
        <v>4005893</v>
      </c>
      <c r="C648" s="10" t="s">
        <v>759</v>
      </c>
      <c r="D648" s="10" t="s">
        <v>760</v>
      </c>
      <c r="E648" s="10">
        <v>0</v>
      </c>
      <c r="F648" s="10">
        <v>0</v>
      </c>
      <c r="G648" s="10">
        <v>0</v>
      </c>
      <c r="H648" s="10">
        <v>0</v>
      </c>
      <c r="I648" s="10" t="s">
        <v>138</v>
      </c>
      <c r="J648" s="10">
        <v>0</v>
      </c>
      <c r="K648" s="10">
        <v>0</v>
      </c>
      <c r="L648" s="10">
        <v>0</v>
      </c>
      <c r="M648" s="10">
        <v>0</v>
      </c>
      <c r="N648" s="10" t="s">
        <v>761</v>
      </c>
      <c r="O648" s="10" t="s">
        <v>1184</v>
      </c>
      <c r="P648" s="105" t="e">
        <f t="shared" si="10"/>
        <v>#DIV/0!</v>
      </c>
    </row>
    <row r="649" spans="1:16">
      <c r="A649" s="10" t="s">
        <v>635</v>
      </c>
      <c r="B649" s="10">
        <v>4005959</v>
      </c>
      <c r="C649" s="10" t="s">
        <v>759</v>
      </c>
      <c r="D649" s="10" t="s">
        <v>760</v>
      </c>
      <c r="E649" s="10">
        <v>0</v>
      </c>
      <c r="F649" s="10">
        <v>0</v>
      </c>
      <c r="G649" s="10">
        <v>0</v>
      </c>
      <c r="H649" s="10">
        <v>0</v>
      </c>
      <c r="I649" s="10" t="s">
        <v>21</v>
      </c>
      <c r="J649" s="10">
        <v>0</v>
      </c>
      <c r="K649" s="10">
        <v>0</v>
      </c>
      <c r="L649" s="10">
        <v>0</v>
      </c>
      <c r="M649" s="10">
        <v>0</v>
      </c>
      <c r="N649" s="10" t="s">
        <v>761</v>
      </c>
      <c r="O649" s="10" t="s">
        <v>1185</v>
      </c>
      <c r="P649" s="105" t="e">
        <f t="shared" si="10"/>
        <v>#DIV/0!</v>
      </c>
    </row>
    <row r="650" spans="1:16">
      <c r="A650" s="10" t="s">
        <v>635</v>
      </c>
      <c r="B650" s="10">
        <v>4005960</v>
      </c>
      <c r="C650" s="10" t="s">
        <v>759</v>
      </c>
      <c r="D650" s="10" t="s">
        <v>760</v>
      </c>
      <c r="E650" s="10">
        <v>0</v>
      </c>
      <c r="F650" s="10">
        <v>200</v>
      </c>
      <c r="G650" s="10">
        <v>0</v>
      </c>
      <c r="H650" s="10">
        <v>200</v>
      </c>
      <c r="I650" s="10" t="s">
        <v>21</v>
      </c>
      <c r="J650" s="10">
        <v>0</v>
      </c>
      <c r="K650" s="10">
        <v>345.5</v>
      </c>
      <c r="L650" s="10">
        <v>0</v>
      </c>
      <c r="M650" s="10">
        <v>345.5</v>
      </c>
      <c r="N650" s="10" t="s">
        <v>761</v>
      </c>
      <c r="O650" s="10" t="s">
        <v>371</v>
      </c>
      <c r="P650" s="105">
        <f t="shared" si="10"/>
        <v>1.7275</v>
      </c>
    </row>
    <row r="651" spans="1:16">
      <c r="A651" s="10" t="s">
        <v>635</v>
      </c>
      <c r="B651" s="10">
        <v>4005961</v>
      </c>
      <c r="C651" s="10" t="s">
        <v>759</v>
      </c>
      <c r="D651" s="10" t="s">
        <v>760</v>
      </c>
      <c r="E651" s="10">
        <v>0</v>
      </c>
      <c r="F651" s="10">
        <v>0</v>
      </c>
      <c r="G651" s="10">
        <v>0</v>
      </c>
      <c r="H651" s="10">
        <v>0</v>
      </c>
      <c r="I651" s="10" t="s">
        <v>21</v>
      </c>
      <c r="J651" s="10">
        <v>0</v>
      </c>
      <c r="K651" s="10">
        <v>0</v>
      </c>
      <c r="L651" s="10">
        <v>0</v>
      </c>
      <c r="M651" s="10">
        <v>0</v>
      </c>
      <c r="N651" s="10" t="s">
        <v>761</v>
      </c>
      <c r="O651" s="10" t="s">
        <v>370</v>
      </c>
      <c r="P651" s="105" t="e">
        <f t="shared" si="10"/>
        <v>#DIV/0!</v>
      </c>
    </row>
    <row r="652" spans="1:16">
      <c r="A652" s="10" t="s">
        <v>635</v>
      </c>
      <c r="B652" s="10">
        <v>4005962</v>
      </c>
      <c r="C652" s="10" t="s">
        <v>759</v>
      </c>
      <c r="D652" s="10" t="s">
        <v>760</v>
      </c>
      <c r="E652" s="10">
        <v>0</v>
      </c>
      <c r="F652" s="10">
        <v>0</v>
      </c>
      <c r="G652" s="10">
        <v>0</v>
      </c>
      <c r="H652" s="10">
        <v>0</v>
      </c>
      <c r="I652" s="10" t="s">
        <v>21</v>
      </c>
      <c r="J652" s="10">
        <v>0</v>
      </c>
      <c r="K652" s="10">
        <v>0</v>
      </c>
      <c r="L652" s="10">
        <v>0</v>
      </c>
      <c r="M652" s="10">
        <v>0</v>
      </c>
      <c r="N652" s="10" t="s">
        <v>761</v>
      </c>
      <c r="O652" s="10" t="s">
        <v>1186</v>
      </c>
      <c r="P652" s="105" t="e">
        <f t="shared" si="10"/>
        <v>#DIV/0!</v>
      </c>
    </row>
    <row r="653" spans="1:16">
      <c r="A653" s="10" t="s">
        <v>635</v>
      </c>
      <c r="B653" s="10">
        <v>4005963</v>
      </c>
      <c r="C653" s="10" t="s">
        <v>759</v>
      </c>
      <c r="D653" s="10" t="s">
        <v>760</v>
      </c>
      <c r="E653" s="10">
        <v>0</v>
      </c>
      <c r="F653" s="10">
        <v>0</v>
      </c>
      <c r="G653" s="10">
        <v>0</v>
      </c>
      <c r="H653" s="10">
        <v>0</v>
      </c>
      <c r="I653" s="10" t="s">
        <v>21</v>
      </c>
      <c r="J653" s="10">
        <v>0</v>
      </c>
      <c r="K653" s="10">
        <v>0</v>
      </c>
      <c r="L653" s="10">
        <v>0</v>
      </c>
      <c r="M653" s="10">
        <v>0</v>
      </c>
      <c r="N653" s="10" t="s">
        <v>761</v>
      </c>
      <c r="O653" s="10" t="s">
        <v>1187</v>
      </c>
      <c r="P653" s="105" t="e">
        <f t="shared" si="10"/>
        <v>#DIV/0!</v>
      </c>
    </row>
    <row r="654" spans="1:16">
      <c r="A654" s="10" t="s">
        <v>635</v>
      </c>
      <c r="B654" s="10">
        <v>4005964</v>
      </c>
      <c r="C654" s="10" t="s">
        <v>759</v>
      </c>
      <c r="D654" s="10" t="s">
        <v>760</v>
      </c>
      <c r="E654" s="10">
        <v>0</v>
      </c>
      <c r="F654" s="10">
        <v>0</v>
      </c>
      <c r="G654" s="10">
        <v>0</v>
      </c>
      <c r="H654" s="10">
        <v>0</v>
      </c>
      <c r="I654" s="10" t="s">
        <v>21</v>
      </c>
      <c r="J654" s="10">
        <v>0</v>
      </c>
      <c r="K654" s="10">
        <v>0</v>
      </c>
      <c r="L654" s="10">
        <v>0</v>
      </c>
      <c r="M654" s="10">
        <v>0</v>
      </c>
      <c r="N654" s="10" t="s">
        <v>761</v>
      </c>
      <c r="O654" s="10" t="s">
        <v>1188</v>
      </c>
      <c r="P654" s="105" t="e">
        <f t="shared" si="10"/>
        <v>#DIV/0!</v>
      </c>
    </row>
    <row r="655" spans="1:16">
      <c r="A655" s="10" t="s">
        <v>635</v>
      </c>
      <c r="B655" s="10">
        <v>4005966</v>
      </c>
      <c r="C655" s="10" t="s">
        <v>759</v>
      </c>
      <c r="D655" s="10" t="s">
        <v>760</v>
      </c>
      <c r="E655" s="10">
        <v>0</v>
      </c>
      <c r="F655" s="10">
        <v>80</v>
      </c>
      <c r="G655" s="10">
        <v>0</v>
      </c>
      <c r="H655" s="10">
        <v>80</v>
      </c>
      <c r="I655" s="10" t="s">
        <v>21</v>
      </c>
      <c r="J655" s="10">
        <v>0</v>
      </c>
      <c r="K655" s="10">
        <v>82.92</v>
      </c>
      <c r="L655" s="10">
        <v>0</v>
      </c>
      <c r="M655" s="10">
        <v>82.92</v>
      </c>
      <c r="N655" s="10" t="s">
        <v>761</v>
      </c>
      <c r="O655" s="10" t="s">
        <v>612</v>
      </c>
      <c r="P655" s="105">
        <f t="shared" si="10"/>
        <v>1.0365</v>
      </c>
    </row>
    <row r="656" spans="1:16">
      <c r="A656" s="10" t="s">
        <v>635</v>
      </c>
      <c r="B656" s="10">
        <v>4005968</v>
      </c>
      <c r="C656" s="10" t="s">
        <v>759</v>
      </c>
      <c r="D656" s="10" t="s">
        <v>760</v>
      </c>
      <c r="E656" s="10">
        <v>0</v>
      </c>
      <c r="F656" s="10">
        <v>0</v>
      </c>
      <c r="G656" s="10">
        <v>0</v>
      </c>
      <c r="H656" s="10">
        <v>0</v>
      </c>
      <c r="I656" s="10" t="s">
        <v>21</v>
      </c>
      <c r="J656" s="10">
        <v>0</v>
      </c>
      <c r="K656" s="10">
        <v>0</v>
      </c>
      <c r="L656" s="10">
        <v>0</v>
      </c>
      <c r="M656" s="10">
        <v>0</v>
      </c>
      <c r="N656" s="10" t="s">
        <v>761</v>
      </c>
      <c r="O656" s="10" t="s">
        <v>1189</v>
      </c>
      <c r="P656" s="105" t="e">
        <f t="shared" si="10"/>
        <v>#DIV/0!</v>
      </c>
    </row>
    <row r="657" spans="1:16">
      <c r="A657" s="10" t="s">
        <v>635</v>
      </c>
      <c r="B657" s="10">
        <v>4005969</v>
      </c>
      <c r="C657" s="10" t="s">
        <v>759</v>
      </c>
      <c r="D657" s="10" t="s">
        <v>760</v>
      </c>
      <c r="E657" s="10">
        <v>0</v>
      </c>
      <c r="F657" s="10">
        <v>0</v>
      </c>
      <c r="G657" s="10">
        <v>0</v>
      </c>
      <c r="H657" s="10">
        <v>0</v>
      </c>
      <c r="I657" s="10" t="s">
        <v>21</v>
      </c>
      <c r="J657" s="10">
        <v>0</v>
      </c>
      <c r="K657" s="10">
        <v>0</v>
      </c>
      <c r="L657" s="10">
        <v>0</v>
      </c>
      <c r="M657" s="10">
        <v>0</v>
      </c>
      <c r="N657" s="10" t="s">
        <v>761</v>
      </c>
      <c r="O657" s="10" t="s">
        <v>1190</v>
      </c>
      <c r="P657" s="105" t="e">
        <f t="shared" si="10"/>
        <v>#DIV/0!</v>
      </c>
    </row>
    <row r="658" spans="1:16">
      <c r="A658" s="10" t="s">
        <v>635</v>
      </c>
      <c r="B658" s="10">
        <v>4005970</v>
      </c>
      <c r="C658" s="10" t="s">
        <v>759</v>
      </c>
      <c r="D658" s="10" t="s">
        <v>760</v>
      </c>
      <c r="E658" s="10">
        <v>0</v>
      </c>
      <c r="F658" s="10">
        <v>400</v>
      </c>
      <c r="G658" s="10">
        <v>0</v>
      </c>
      <c r="H658" s="10">
        <v>400</v>
      </c>
      <c r="I658" s="10" t="s">
        <v>21</v>
      </c>
      <c r="J658" s="10">
        <v>0</v>
      </c>
      <c r="K658" s="10">
        <v>691</v>
      </c>
      <c r="L658" s="10">
        <v>0</v>
      </c>
      <c r="M658" s="10">
        <v>691</v>
      </c>
      <c r="N658" s="10" t="s">
        <v>761</v>
      </c>
      <c r="O658" s="10" t="s">
        <v>502</v>
      </c>
      <c r="P658" s="105">
        <f t="shared" si="10"/>
        <v>1.7275</v>
      </c>
    </row>
    <row r="659" spans="1:16">
      <c r="A659" s="10" t="s">
        <v>635</v>
      </c>
      <c r="B659" s="10">
        <v>4005971</v>
      </c>
      <c r="C659" s="10" t="s">
        <v>759</v>
      </c>
      <c r="D659" s="10" t="s">
        <v>760</v>
      </c>
      <c r="E659" s="10">
        <v>0</v>
      </c>
      <c r="F659" s="10">
        <v>0</v>
      </c>
      <c r="G659" s="10">
        <v>0</v>
      </c>
      <c r="H659" s="10">
        <v>0</v>
      </c>
      <c r="I659" s="10" t="s">
        <v>21</v>
      </c>
      <c r="J659" s="10">
        <v>0</v>
      </c>
      <c r="K659" s="10">
        <v>0</v>
      </c>
      <c r="L659" s="10">
        <v>0</v>
      </c>
      <c r="M659" s="10">
        <v>0</v>
      </c>
      <c r="N659" s="10" t="s">
        <v>761</v>
      </c>
      <c r="O659" s="10" t="s">
        <v>1191</v>
      </c>
      <c r="P659" s="105" t="e">
        <f t="shared" si="10"/>
        <v>#DIV/0!</v>
      </c>
    </row>
    <row r="660" spans="1:16">
      <c r="A660" s="10" t="s">
        <v>635</v>
      </c>
      <c r="B660" s="10">
        <v>4005972</v>
      </c>
      <c r="C660" s="10" t="s">
        <v>759</v>
      </c>
      <c r="D660" s="10" t="s">
        <v>760</v>
      </c>
      <c r="E660" s="10">
        <v>0</v>
      </c>
      <c r="F660" s="10">
        <v>144</v>
      </c>
      <c r="G660" s="10">
        <v>0</v>
      </c>
      <c r="H660" s="10">
        <v>144</v>
      </c>
      <c r="I660" s="10" t="s">
        <v>21</v>
      </c>
      <c r="J660" s="10">
        <v>0</v>
      </c>
      <c r="K660" s="10">
        <v>207.3</v>
      </c>
      <c r="L660" s="10">
        <v>0</v>
      </c>
      <c r="M660" s="10">
        <v>207.3</v>
      </c>
      <c r="N660" s="10" t="s">
        <v>761</v>
      </c>
      <c r="O660" s="10" t="s">
        <v>565</v>
      </c>
      <c r="P660" s="105">
        <f t="shared" si="10"/>
        <v>1.43958333333333</v>
      </c>
    </row>
    <row r="661" spans="1:16">
      <c r="A661" s="10" t="s">
        <v>635</v>
      </c>
      <c r="B661" s="10">
        <v>4005973</v>
      </c>
      <c r="C661" s="10" t="s">
        <v>759</v>
      </c>
      <c r="D661" s="10" t="s">
        <v>760</v>
      </c>
      <c r="E661" s="10">
        <v>0</v>
      </c>
      <c r="F661" s="10">
        <v>0</v>
      </c>
      <c r="G661" s="10">
        <v>0</v>
      </c>
      <c r="H661" s="10">
        <v>0</v>
      </c>
      <c r="I661" s="10" t="s">
        <v>21</v>
      </c>
      <c r="J661" s="10">
        <v>0</v>
      </c>
      <c r="K661" s="10">
        <v>0</v>
      </c>
      <c r="L661" s="10">
        <v>0</v>
      </c>
      <c r="M661" s="10">
        <v>0</v>
      </c>
      <c r="N661" s="10" t="s">
        <v>761</v>
      </c>
      <c r="O661" s="10" t="s">
        <v>1192</v>
      </c>
      <c r="P661" s="105" t="e">
        <f t="shared" si="10"/>
        <v>#DIV/0!</v>
      </c>
    </row>
    <row r="662" spans="1:16">
      <c r="A662" s="10" t="s">
        <v>635</v>
      </c>
      <c r="B662" s="10">
        <v>4005996</v>
      </c>
      <c r="C662" s="10" t="s">
        <v>759</v>
      </c>
      <c r="D662" s="10" t="s">
        <v>760</v>
      </c>
      <c r="E662" s="10">
        <v>0</v>
      </c>
      <c r="F662" s="10">
        <v>0</v>
      </c>
      <c r="G662" s="10">
        <v>0</v>
      </c>
      <c r="H662" s="10">
        <v>0</v>
      </c>
      <c r="I662" s="10" t="s">
        <v>21</v>
      </c>
      <c r="J662" s="10">
        <v>0</v>
      </c>
      <c r="K662" s="10">
        <v>0</v>
      </c>
      <c r="L662" s="10">
        <v>0</v>
      </c>
      <c r="M662" s="10">
        <v>0</v>
      </c>
      <c r="N662" s="10" t="s">
        <v>761</v>
      </c>
      <c r="O662" s="10" t="s">
        <v>1193</v>
      </c>
      <c r="P662" s="105" t="e">
        <f t="shared" si="10"/>
        <v>#DIV/0!</v>
      </c>
    </row>
    <row r="663" spans="1:16">
      <c r="A663" s="10" t="s">
        <v>635</v>
      </c>
      <c r="B663" s="10">
        <v>4005997</v>
      </c>
      <c r="C663" s="10" t="s">
        <v>759</v>
      </c>
      <c r="D663" s="10" t="s">
        <v>760</v>
      </c>
      <c r="E663" s="10">
        <v>0</v>
      </c>
      <c r="F663" s="10">
        <v>0</v>
      </c>
      <c r="G663" s="10">
        <v>0</v>
      </c>
      <c r="H663" s="10">
        <v>0</v>
      </c>
      <c r="I663" s="10" t="s">
        <v>21</v>
      </c>
      <c r="J663" s="10">
        <v>0</v>
      </c>
      <c r="K663" s="10">
        <v>0</v>
      </c>
      <c r="L663" s="10">
        <v>0</v>
      </c>
      <c r="M663" s="10">
        <v>0</v>
      </c>
      <c r="N663" s="10" t="s">
        <v>761</v>
      </c>
      <c r="O663" s="10" t="s">
        <v>1194</v>
      </c>
      <c r="P663" s="105" t="e">
        <f t="shared" si="10"/>
        <v>#DIV/0!</v>
      </c>
    </row>
    <row r="664" spans="1:16">
      <c r="A664" s="10" t="s">
        <v>635</v>
      </c>
      <c r="B664" s="10">
        <v>4005999</v>
      </c>
      <c r="C664" s="10" t="s">
        <v>759</v>
      </c>
      <c r="D664" s="10" t="s">
        <v>760</v>
      </c>
      <c r="E664" s="10">
        <v>0</v>
      </c>
      <c r="F664" s="10">
        <v>0</v>
      </c>
      <c r="G664" s="10">
        <v>0</v>
      </c>
      <c r="H664" s="10">
        <v>0</v>
      </c>
      <c r="I664" s="10" t="s">
        <v>21</v>
      </c>
      <c r="J664" s="10">
        <v>0</v>
      </c>
      <c r="K664" s="10">
        <v>0</v>
      </c>
      <c r="L664" s="10">
        <v>0</v>
      </c>
      <c r="M664" s="10">
        <v>0</v>
      </c>
      <c r="N664" s="10" t="s">
        <v>761</v>
      </c>
      <c r="O664" s="10" t="s">
        <v>1195</v>
      </c>
      <c r="P664" s="105" t="e">
        <f t="shared" si="10"/>
        <v>#DIV/0!</v>
      </c>
    </row>
    <row r="665" spans="1:16">
      <c r="A665" s="10" t="s">
        <v>635</v>
      </c>
      <c r="B665" s="10">
        <v>4006002</v>
      </c>
      <c r="C665" s="10" t="s">
        <v>759</v>
      </c>
      <c r="D665" s="10" t="s">
        <v>760</v>
      </c>
      <c r="E665" s="10">
        <v>0</v>
      </c>
      <c r="F665" s="10">
        <v>0</v>
      </c>
      <c r="G665" s="10">
        <v>0</v>
      </c>
      <c r="H665" s="10">
        <v>0</v>
      </c>
      <c r="I665" s="10" t="s">
        <v>21</v>
      </c>
      <c r="J665" s="10">
        <v>0</v>
      </c>
      <c r="K665" s="10">
        <v>0</v>
      </c>
      <c r="L665" s="10">
        <v>0</v>
      </c>
      <c r="M665" s="10">
        <v>0</v>
      </c>
      <c r="N665" s="10" t="s">
        <v>761</v>
      </c>
      <c r="O665" s="10" t="s">
        <v>1196</v>
      </c>
      <c r="P665" s="105" t="e">
        <f t="shared" si="10"/>
        <v>#DIV/0!</v>
      </c>
    </row>
    <row r="666" spans="1:16">
      <c r="A666" s="10" t="s">
        <v>635</v>
      </c>
      <c r="B666" s="10">
        <v>4006015</v>
      </c>
      <c r="C666" s="10" t="s">
        <v>759</v>
      </c>
      <c r="D666" s="10" t="s">
        <v>760</v>
      </c>
      <c r="E666" s="10">
        <v>0</v>
      </c>
      <c r="F666" s="10">
        <v>0</v>
      </c>
      <c r="G666" s="10">
        <v>0</v>
      </c>
      <c r="H666" s="10">
        <v>0</v>
      </c>
      <c r="I666" s="10" t="s">
        <v>21</v>
      </c>
      <c r="J666" s="10">
        <v>0</v>
      </c>
      <c r="K666" s="10">
        <v>0</v>
      </c>
      <c r="L666" s="10">
        <v>0</v>
      </c>
      <c r="M666" s="10">
        <v>0</v>
      </c>
      <c r="N666" s="10" t="s">
        <v>761</v>
      </c>
      <c r="O666" s="10" t="s">
        <v>1197</v>
      </c>
      <c r="P666" s="105" t="e">
        <f t="shared" si="10"/>
        <v>#DIV/0!</v>
      </c>
    </row>
    <row r="667" spans="1:16">
      <c r="A667" s="10" t="s">
        <v>635</v>
      </c>
      <c r="B667" s="10">
        <v>4006187</v>
      </c>
      <c r="C667" s="10" t="s">
        <v>759</v>
      </c>
      <c r="D667" s="10" t="s">
        <v>760</v>
      </c>
      <c r="E667" s="103">
        <v>3000</v>
      </c>
      <c r="F667" s="103">
        <v>2000</v>
      </c>
      <c r="G667" s="10">
        <v>0</v>
      </c>
      <c r="H667" s="103">
        <v>5000</v>
      </c>
      <c r="I667" s="10" t="s">
        <v>261</v>
      </c>
      <c r="J667" s="10">
        <v>88.31</v>
      </c>
      <c r="K667" s="10">
        <v>58.96</v>
      </c>
      <c r="L667" s="10">
        <v>0</v>
      </c>
      <c r="M667" s="10">
        <v>147.27</v>
      </c>
      <c r="N667" s="10" t="s">
        <v>761</v>
      </c>
      <c r="O667" s="10" t="s">
        <v>259</v>
      </c>
      <c r="P667" s="105">
        <f t="shared" si="10"/>
        <v>0.029454</v>
      </c>
    </row>
    <row r="668" spans="1:16">
      <c r="A668" s="10" t="s">
        <v>635</v>
      </c>
      <c r="B668" s="10">
        <v>4006188</v>
      </c>
      <c r="C668" s="10" t="s">
        <v>759</v>
      </c>
      <c r="D668" s="10" t="s">
        <v>760</v>
      </c>
      <c r="E668" s="103">
        <v>3000</v>
      </c>
      <c r="F668" s="103">
        <v>4000</v>
      </c>
      <c r="G668" s="10">
        <v>0</v>
      </c>
      <c r="H668" s="103">
        <v>7000</v>
      </c>
      <c r="I668" s="10" t="s">
        <v>261</v>
      </c>
      <c r="J668" s="10">
        <v>90.4</v>
      </c>
      <c r="K668" s="10">
        <v>121.32</v>
      </c>
      <c r="L668" s="10">
        <v>0</v>
      </c>
      <c r="M668" s="10">
        <v>211.72</v>
      </c>
      <c r="N668" s="10" t="s">
        <v>761</v>
      </c>
      <c r="O668" s="10" t="s">
        <v>262</v>
      </c>
      <c r="P668" s="105">
        <f t="shared" si="10"/>
        <v>0.0302457142857143</v>
      </c>
    </row>
    <row r="669" spans="1:16">
      <c r="A669" s="10" t="s">
        <v>635</v>
      </c>
      <c r="B669" s="10">
        <v>4006189</v>
      </c>
      <c r="C669" s="10" t="s">
        <v>759</v>
      </c>
      <c r="D669" s="10" t="s">
        <v>760</v>
      </c>
      <c r="E669" s="103">
        <v>3000</v>
      </c>
      <c r="F669" s="103">
        <v>4000</v>
      </c>
      <c r="G669" s="10">
        <v>0</v>
      </c>
      <c r="H669" s="103">
        <v>7000</v>
      </c>
      <c r="I669" s="10" t="s">
        <v>261</v>
      </c>
      <c r="J669" s="10">
        <v>91.5</v>
      </c>
      <c r="K669" s="10">
        <v>122</v>
      </c>
      <c r="L669" s="10">
        <v>0</v>
      </c>
      <c r="M669" s="10">
        <v>213.5</v>
      </c>
      <c r="N669" s="10" t="s">
        <v>761</v>
      </c>
      <c r="O669" s="10" t="s">
        <v>263</v>
      </c>
      <c r="P669" s="105">
        <f t="shared" si="10"/>
        <v>0.0305</v>
      </c>
    </row>
    <row r="670" spans="1:16">
      <c r="A670" s="10" t="s">
        <v>635</v>
      </c>
      <c r="B670" s="10">
        <v>4006190</v>
      </c>
      <c r="C670" s="10" t="s">
        <v>759</v>
      </c>
      <c r="D670" s="10" t="s">
        <v>760</v>
      </c>
      <c r="E670" s="10">
        <v>0</v>
      </c>
      <c r="F670" s="10">
        <v>0</v>
      </c>
      <c r="G670" s="10">
        <v>0</v>
      </c>
      <c r="H670" s="10">
        <v>0</v>
      </c>
      <c r="I670" s="10" t="s">
        <v>261</v>
      </c>
      <c r="J670" s="10">
        <v>0</v>
      </c>
      <c r="K670" s="10">
        <v>0</v>
      </c>
      <c r="L670" s="10">
        <v>0</v>
      </c>
      <c r="M670" s="10">
        <v>0</v>
      </c>
      <c r="N670" s="10" t="s">
        <v>761</v>
      </c>
      <c r="O670" s="10" t="s">
        <v>1198</v>
      </c>
      <c r="P670" s="105" t="e">
        <f t="shared" si="10"/>
        <v>#DIV/0!</v>
      </c>
    </row>
    <row r="671" spans="1:16">
      <c r="A671" s="10" t="s">
        <v>635</v>
      </c>
      <c r="B671" s="10">
        <v>4006191</v>
      </c>
      <c r="C671" s="10" t="s">
        <v>759</v>
      </c>
      <c r="D671" s="10" t="s">
        <v>760</v>
      </c>
      <c r="E671" s="10">
        <v>0</v>
      </c>
      <c r="F671" s="10">
        <v>0</v>
      </c>
      <c r="G671" s="10">
        <v>0</v>
      </c>
      <c r="H671" s="10">
        <v>0</v>
      </c>
      <c r="I671" s="10" t="s">
        <v>261</v>
      </c>
      <c r="J671" s="10">
        <v>0</v>
      </c>
      <c r="K671" s="10">
        <v>0</v>
      </c>
      <c r="L671" s="10">
        <v>0</v>
      </c>
      <c r="M671" s="10">
        <v>0</v>
      </c>
      <c r="N671" s="10" t="s">
        <v>761</v>
      </c>
      <c r="O671" s="10" t="s">
        <v>1199</v>
      </c>
      <c r="P671" s="105" t="e">
        <f t="shared" si="10"/>
        <v>#DIV/0!</v>
      </c>
    </row>
    <row r="672" spans="1:16">
      <c r="A672" s="10" t="s">
        <v>635</v>
      </c>
      <c r="B672" s="10">
        <v>4006192</v>
      </c>
      <c r="C672" s="10" t="s">
        <v>759</v>
      </c>
      <c r="D672" s="10" t="s">
        <v>760</v>
      </c>
      <c r="E672" s="10">
        <v>0</v>
      </c>
      <c r="F672" s="10">
        <v>0</v>
      </c>
      <c r="G672" s="10">
        <v>0</v>
      </c>
      <c r="H672" s="10">
        <v>0</v>
      </c>
      <c r="I672" s="10" t="s">
        <v>261</v>
      </c>
      <c r="J672" s="10">
        <v>0</v>
      </c>
      <c r="K672" s="10">
        <v>0</v>
      </c>
      <c r="L672" s="10">
        <v>0</v>
      </c>
      <c r="M672" s="10">
        <v>0</v>
      </c>
      <c r="N672" s="10" t="s">
        <v>761</v>
      </c>
      <c r="O672" s="10" t="s">
        <v>1200</v>
      </c>
      <c r="P672" s="105" t="e">
        <f t="shared" si="10"/>
        <v>#DIV/0!</v>
      </c>
    </row>
    <row r="673" spans="1:16">
      <c r="A673" s="10" t="s">
        <v>635</v>
      </c>
      <c r="B673" s="10">
        <v>4006194</v>
      </c>
      <c r="C673" s="10" t="s">
        <v>759</v>
      </c>
      <c r="D673" s="10" t="s">
        <v>760</v>
      </c>
      <c r="E673" s="10">
        <v>0</v>
      </c>
      <c r="F673" s="10">
        <v>0</v>
      </c>
      <c r="G673" s="10">
        <v>0</v>
      </c>
      <c r="H673" s="10">
        <v>0</v>
      </c>
      <c r="I673" s="10" t="s">
        <v>41</v>
      </c>
      <c r="J673" s="10">
        <v>0</v>
      </c>
      <c r="K673" s="10">
        <v>0</v>
      </c>
      <c r="L673" s="10">
        <v>0</v>
      </c>
      <c r="M673" s="10">
        <v>0</v>
      </c>
      <c r="N673" s="10" t="s">
        <v>761</v>
      </c>
      <c r="O673" s="10" t="s">
        <v>1201</v>
      </c>
      <c r="P673" s="105" t="e">
        <f t="shared" si="10"/>
        <v>#DIV/0!</v>
      </c>
    </row>
    <row r="674" spans="1:16">
      <c r="A674" s="10" t="s">
        <v>635</v>
      </c>
      <c r="B674" s="10">
        <v>4006195</v>
      </c>
      <c r="C674" s="10" t="s">
        <v>759</v>
      </c>
      <c r="D674" s="10" t="s">
        <v>760</v>
      </c>
      <c r="E674" s="10">
        <v>0</v>
      </c>
      <c r="F674" s="10">
        <v>0</v>
      </c>
      <c r="G674" s="10">
        <v>0</v>
      </c>
      <c r="H674" s="10">
        <v>0</v>
      </c>
      <c r="I674" s="10" t="s">
        <v>41</v>
      </c>
      <c r="J674" s="10">
        <v>0</v>
      </c>
      <c r="K674" s="10">
        <v>0</v>
      </c>
      <c r="L674" s="10">
        <v>0</v>
      </c>
      <c r="M674" s="10">
        <v>0</v>
      </c>
      <c r="N674" s="10" t="s">
        <v>761</v>
      </c>
      <c r="O674" s="10" t="s">
        <v>1202</v>
      </c>
      <c r="P674" s="105" t="e">
        <f t="shared" si="10"/>
        <v>#DIV/0!</v>
      </c>
    </row>
    <row r="675" spans="1:16">
      <c r="A675" s="10" t="s">
        <v>635</v>
      </c>
      <c r="B675" s="10">
        <v>4006196</v>
      </c>
      <c r="C675" s="10" t="s">
        <v>759</v>
      </c>
      <c r="D675" s="10" t="s">
        <v>760</v>
      </c>
      <c r="E675" s="10">
        <v>0</v>
      </c>
      <c r="F675" s="10">
        <v>0</v>
      </c>
      <c r="G675" s="10">
        <v>0</v>
      </c>
      <c r="H675" s="10">
        <v>0</v>
      </c>
      <c r="I675" s="10" t="s">
        <v>41</v>
      </c>
      <c r="J675" s="10">
        <v>0</v>
      </c>
      <c r="K675" s="10">
        <v>0</v>
      </c>
      <c r="L675" s="10">
        <v>0</v>
      </c>
      <c r="M675" s="10">
        <v>0</v>
      </c>
      <c r="N675" s="10" t="s">
        <v>761</v>
      </c>
      <c r="O675" s="10" t="s">
        <v>1203</v>
      </c>
      <c r="P675" s="105" t="e">
        <f t="shared" si="10"/>
        <v>#DIV/0!</v>
      </c>
    </row>
    <row r="676" spans="1:16">
      <c r="A676" s="10" t="s">
        <v>635</v>
      </c>
      <c r="B676" s="10">
        <v>4006197</v>
      </c>
      <c r="C676" s="10" t="s">
        <v>759</v>
      </c>
      <c r="D676" s="10" t="s">
        <v>760</v>
      </c>
      <c r="E676" s="10">
        <v>0</v>
      </c>
      <c r="F676" s="10">
        <v>0</v>
      </c>
      <c r="G676" s="10">
        <v>0</v>
      </c>
      <c r="H676" s="10">
        <v>0</v>
      </c>
      <c r="I676" s="10" t="s">
        <v>41</v>
      </c>
      <c r="J676" s="10">
        <v>0</v>
      </c>
      <c r="K676" s="10">
        <v>0</v>
      </c>
      <c r="L676" s="10">
        <v>0</v>
      </c>
      <c r="M676" s="10">
        <v>0</v>
      </c>
      <c r="N676" s="10" t="s">
        <v>761</v>
      </c>
      <c r="O676" s="10" t="s">
        <v>1204</v>
      </c>
      <c r="P676" s="105" t="e">
        <f t="shared" si="10"/>
        <v>#DIV/0!</v>
      </c>
    </row>
    <row r="677" spans="1:16">
      <c r="A677" s="10" t="s">
        <v>635</v>
      </c>
      <c r="B677" s="10">
        <v>4006198</v>
      </c>
      <c r="C677" s="10" t="s">
        <v>759</v>
      </c>
      <c r="D677" s="10" t="s">
        <v>760</v>
      </c>
      <c r="E677" s="10">
        <v>0</v>
      </c>
      <c r="F677" s="10">
        <v>0</v>
      </c>
      <c r="G677" s="10">
        <v>0</v>
      </c>
      <c r="H677" s="10">
        <v>0</v>
      </c>
      <c r="I677" s="10" t="s">
        <v>41</v>
      </c>
      <c r="J677" s="10">
        <v>0</v>
      </c>
      <c r="K677" s="10">
        <v>0</v>
      </c>
      <c r="L677" s="10">
        <v>0</v>
      </c>
      <c r="M677" s="10">
        <v>0</v>
      </c>
      <c r="N677" s="10" t="s">
        <v>761</v>
      </c>
      <c r="O677" s="10" t="s">
        <v>1205</v>
      </c>
      <c r="P677" s="105" t="e">
        <f t="shared" si="10"/>
        <v>#DIV/0!</v>
      </c>
    </row>
    <row r="678" spans="1:16">
      <c r="A678" s="10" t="s">
        <v>635</v>
      </c>
      <c r="B678" s="10">
        <v>4006279</v>
      </c>
      <c r="C678" s="10" t="s">
        <v>759</v>
      </c>
      <c r="D678" s="10" t="s">
        <v>760</v>
      </c>
      <c r="E678" s="10">
        <v>0</v>
      </c>
      <c r="F678" s="10">
        <v>0</v>
      </c>
      <c r="G678" s="10">
        <v>0</v>
      </c>
      <c r="H678" s="10">
        <v>0</v>
      </c>
      <c r="I678" s="10" t="s">
        <v>102</v>
      </c>
      <c r="J678" s="10">
        <v>0</v>
      </c>
      <c r="K678" s="10">
        <v>0</v>
      </c>
      <c r="L678" s="10">
        <v>0</v>
      </c>
      <c r="M678" s="10">
        <v>0</v>
      </c>
      <c r="N678" s="10" t="s">
        <v>761</v>
      </c>
      <c r="O678" s="10" t="s">
        <v>1206</v>
      </c>
      <c r="P678" s="105" t="e">
        <f t="shared" si="10"/>
        <v>#DIV/0!</v>
      </c>
    </row>
    <row r="679" spans="1:16">
      <c r="A679" s="10" t="s">
        <v>635</v>
      </c>
      <c r="B679" s="10">
        <v>4006326</v>
      </c>
      <c r="C679" s="10" t="s">
        <v>759</v>
      </c>
      <c r="D679" s="10" t="s">
        <v>760</v>
      </c>
      <c r="E679" s="10">
        <v>0</v>
      </c>
      <c r="F679" s="10">
        <v>0</v>
      </c>
      <c r="G679" s="10">
        <v>0</v>
      </c>
      <c r="H679" s="10">
        <v>0</v>
      </c>
      <c r="I679" s="10" t="s">
        <v>21</v>
      </c>
      <c r="J679" s="10">
        <v>0</v>
      </c>
      <c r="K679" s="10">
        <v>0</v>
      </c>
      <c r="L679" s="10">
        <v>0</v>
      </c>
      <c r="M679" s="10">
        <v>0</v>
      </c>
      <c r="N679" s="10" t="s">
        <v>761</v>
      </c>
      <c r="O679" s="10" t="s">
        <v>1207</v>
      </c>
      <c r="P679" s="105" t="e">
        <f t="shared" si="10"/>
        <v>#DIV/0!</v>
      </c>
    </row>
    <row r="680" spans="1:16">
      <c r="A680" s="10" t="s">
        <v>635</v>
      </c>
      <c r="B680" s="10">
        <v>4006356</v>
      </c>
      <c r="C680" s="10" t="s">
        <v>759</v>
      </c>
      <c r="D680" s="10" t="s">
        <v>760</v>
      </c>
      <c r="E680" s="10">
        <v>0</v>
      </c>
      <c r="F680" s="10">
        <v>0</v>
      </c>
      <c r="G680" s="10">
        <v>0</v>
      </c>
      <c r="H680" s="10">
        <v>0</v>
      </c>
      <c r="I680" s="10" t="s">
        <v>21</v>
      </c>
      <c r="J680" s="10">
        <v>0</v>
      </c>
      <c r="K680" s="10">
        <v>0</v>
      </c>
      <c r="L680" s="10">
        <v>0</v>
      </c>
      <c r="M680" s="10">
        <v>0</v>
      </c>
      <c r="N680" s="10" t="s">
        <v>761</v>
      </c>
      <c r="O680" s="10" t="s">
        <v>1208</v>
      </c>
      <c r="P680" s="105" t="e">
        <f t="shared" si="10"/>
        <v>#DIV/0!</v>
      </c>
    </row>
    <row r="681" spans="1:16">
      <c r="A681" s="10" t="s">
        <v>635</v>
      </c>
      <c r="B681" s="10">
        <v>4006406</v>
      </c>
      <c r="C681" s="10" t="s">
        <v>759</v>
      </c>
      <c r="D681" s="10" t="s">
        <v>760</v>
      </c>
      <c r="E681" s="10">
        <v>0</v>
      </c>
      <c r="F681" s="10">
        <v>0</v>
      </c>
      <c r="G681" s="10">
        <v>0</v>
      </c>
      <c r="H681" s="10">
        <v>0</v>
      </c>
      <c r="I681" s="10" t="s">
        <v>21</v>
      </c>
      <c r="J681" s="10">
        <v>0</v>
      </c>
      <c r="K681" s="10">
        <v>0</v>
      </c>
      <c r="L681" s="10">
        <v>0</v>
      </c>
      <c r="M681" s="10">
        <v>0</v>
      </c>
      <c r="N681" s="10" t="s">
        <v>761</v>
      </c>
      <c r="O681" s="10" t="s">
        <v>1209</v>
      </c>
      <c r="P681" s="105" t="e">
        <f t="shared" si="10"/>
        <v>#DIV/0!</v>
      </c>
    </row>
    <row r="682" spans="1:16">
      <c r="A682" s="10" t="s">
        <v>635</v>
      </c>
      <c r="B682" s="10">
        <v>4006524</v>
      </c>
      <c r="C682" s="10" t="s">
        <v>759</v>
      </c>
      <c r="D682" s="10" t="s">
        <v>760</v>
      </c>
      <c r="E682" s="10">
        <v>0</v>
      </c>
      <c r="F682" s="10">
        <v>0</v>
      </c>
      <c r="G682" s="10">
        <v>0</v>
      </c>
      <c r="H682" s="10">
        <v>0</v>
      </c>
      <c r="I682" s="10" t="s">
        <v>261</v>
      </c>
      <c r="J682" s="10">
        <v>0</v>
      </c>
      <c r="K682" s="10">
        <v>0</v>
      </c>
      <c r="L682" s="10">
        <v>0</v>
      </c>
      <c r="M682" s="10">
        <v>0</v>
      </c>
      <c r="N682" s="10" t="s">
        <v>761</v>
      </c>
      <c r="O682" s="10" t="s">
        <v>1210</v>
      </c>
      <c r="P682" s="105" t="e">
        <f t="shared" si="10"/>
        <v>#DIV/0!</v>
      </c>
    </row>
    <row r="683" spans="1:16">
      <c r="A683" s="10" t="s">
        <v>635</v>
      </c>
      <c r="B683" s="10">
        <v>4006600</v>
      </c>
      <c r="C683" s="10" t="s">
        <v>759</v>
      </c>
      <c r="D683" s="10" t="s">
        <v>760</v>
      </c>
      <c r="E683" s="10">
        <v>0</v>
      </c>
      <c r="F683" s="10">
        <v>0</v>
      </c>
      <c r="G683" s="10">
        <v>0</v>
      </c>
      <c r="H683" s="10">
        <v>0</v>
      </c>
      <c r="I683" s="10" t="s">
        <v>33</v>
      </c>
      <c r="J683" s="10">
        <v>0</v>
      </c>
      <c r="K683" s="10">
        <v>0</v>
      </c>
      <c r="L683" s="10">
        <v>0</v>
      </c>
      <c r="M683" s="10">
        <v>0</v>
      </c>
      <c r="N683" s="10" t="s">
        <v>761</v>
      </c>
      <c r="O683" s="10" t="s">
        <v>1211</v>
      </c>
      <c r="P683" s="105" t="e">
        <f t="shared" si="10"/>
        <v>#DIV/0!</v>
      </c>
    </row>
    <row r="684" spans="1:16">
      <c r="A684" s="10" t="s">
        <v>635</v>
      </c>
      <c r="B684" s="10">
        <v>4006602</v>
      </c>
      <c r="C684" s="10" t="s">
        <v>759</v>
      </c>
      <c r="D684" s="10" t="s">
        <v>760</v>
      </c>
      <c r="E684" s="10">
        <v>0</v>
      </c>
      <c r="F684" s="10">
        <v>0</v>
      </c>
      <c r="G684" s="10">
        <v>0</v>
      </c>
      <c r="H684" s="10">
        <v>0</v>
      </c>
      <c r="I684" s="10" t="s">
        <v>33</v>
      </c>
      <c r="J684" s="10">
        <v>0</v>
      </c>
      <c r="K684" s="10">
        <v>0</v>
      </c>
      <c r="L684" s="10">
        <v>0</v>
      </c>
      <c r="M684" s="10">
        <v>0</v>
      </c>
      <c r="N684" s="10" t="s">
        <v>761</v>
      </c>
      <c r="O684" s="10" t="s">
        <v>1212</v>
      </c>
      <c r="P684" s="105" t="e">
        <f t="shared" si="10"/>
        <v>#DIV/0!</v>
      </c>
    </row>
    <row r="685" spans="1:16">
      <c r="A685" s="10" t="s">
        <v>635</v>
      </c>
      <c r="B685" s="10">
        <v>4008995</v>
      </c>
      <c r="C685" s="10" t="s">
        <v>759</v>
      </c>
      <c r="D685" s="10" t="s">
        <v>760</v>
      </c>
      <c r="E685" s="10">
        <v>0</v>
      </c>
      <c r="F685" s="10">
        <v>0</v>
      </c>
      <c r="G685" s="10">
        <v>0</v>
      </c>
      <c r="H685" s="10">
        <v>0</v>
      </c>
      <c r="I685" s="10" t="s">
        <v>74</v>
      </c>
      <c r="J685" s="10">
        <v>0</v>
      </c>
      <c r="K685" s="10">
        <v>0</v>
      </c>
      <c r="L685" s="10">
        <v>0</v>
      </c>
      <c r="M685" s="10">
        <v>0</v>
      </c>
      <c r="N685" s="10" t="s">
        <v>761</v>
      </c>
      <c r="O685" s="10" t="s">
        <v>1213</v>
      </c>
      <c r="P685" s="105" t="e">
        <f t="shared" si="10"/>
        <v>#DIV/0!</v>
      </c>
    </row>
    <row r="686" spans="1:16">
      <c r="A686" s="10" t="s">
        <v>635</v>
      </c>
      <c r="B686" s="10">
        <v>4016814</v>
      </c>
      <c r="C686" s="10" t="s">
        <v>759</v>
      </c>
      <c r="D686" s="10" t="s">
        <v>760</v>
      </c>
      <c r="E686" s="10">
        <v>0</v>
      </c>
      <c r="F686" s="10">
        <v>0</v>
      </c>
      <c r="G686" s="10">
        <v>0</v>
      </c>
      <c r="H686" s="10">
        <v>0</v>
      </c>
      <c r="I686" s="10" t="s">
        <v>21</v>
      </c>
      <c r="J686" s="10">
        <v>0</v>
      </c>
      <c r="K686" s="10">
        <v>0</v>
      </c>
      <c r="L686" s="10">
        <v>0</v>
      </c>
      <c r="M686" s="10">
        <v>0</v>
      </c>
      <c r="N686" s="10" t="s">
        <v>761</v>
      </c>
      <c r="O686" s="10" t="s">
        <v>1214</v>
      </c>
      <c r="P686" s="105" t="e">
        <f t="shared" si="10"/>
        <v>#DIV/0!</v>
      </c>
    </row>
    <row r="687" spans="1:16">
      <c r="A687" s="10" t="s">
        <v>635</v>
      </c>
      <c r="B687" s="10">
        <v>4016956</v>
      </c>
      <c r="C687" s="10" t="s">
        <v>759</v>
      </c>
      <c r="D687" s="10" t="s">
        <v>760</v>
      </c>
      <c r="E687" s="10">
        <v>0</v>
      </c>
      <c r="F687" s="10">
        <v>0</v>
      </c>
      <c r="G687" s="10">
        <v>0</v>
      </c>
      <c r="H687" s="10">
        <v>0</v>
      </c>
      <c r="I687" s="10" t="s">
        <v>102</v>
      </c>
      <c r="J687" s="10">
        <v>0</v>
      </c>
      <c r="K687" s="10">
        <v>0</v>
      </c>
      <c r="L687" s="10">
        <v>0</v>
      </c>
      <c r="M687" s="10">
        <v>0</v>
      </c>
      <c r="N687" s="10" t="s">
        <v>761</v>
      </c>
      <c r="O687" s="10" t="s">
        <v>1215</v>
      </c>
      <c r="P687" s="105" t="e">
        <f t="shared" si="10"/>
        <v>#DIV/0!</v>
      </c>
    </row>
    <row r="688" spans="1:16">
      <c r="A688" s="10" t="s">
        <v>635</v>
      </c>
      <c r="B688" s="10">
        <v>4016957</v>
      </c>
      <c r="C688" s="10" t="s">
        <v>759</v>
      </c>
      <c r="D688" s="10" t="s">
        <v>760</v>
      </c>
      <c r="E688" s="10">
        <v>0</v>
      </c>
      <c r="F688" s="10">
        <v>0</v>
      </c>
      <c r="G688" s="10">
        <v>0</v>
      </c>
      <c r="H688" s="10">
        <v>0</v>
      </c>
      <c r="I688" s="10" t="s">
        <v>102</v>
      </c>
      <c r="J688" s="10">
        <v>0</v>
      </c>
      <c r="K688" s="10">
        <v>0</v>
      </c>
      <c r="L688" s="10">
        <v>0</v>
      </c>
      <c r="M688" s="10">
        <v>0</v>
      </c>
      <c r="N688" s="10" t="s">
        <v>761</v>
      </c>
      <c r="O688" s="10" t="s">
        <v>1216</v>
      </c>
      <c r="P688" s="105" t="e">
        <f t="shared" si="10"/>
        <v>#DIV/0!</v>
      </c>
    </row>
    <row r="689" spans="1:16">
      <c r="A689" s="10" t="s">
        <v>635</v>
      </c>
      <c r="B689" s="10">
        <v>4016958</v>
      </c>
      <c r="C689" s="10" t="s">
        <v>759</v>
      </c>
      <c r="D689" s="10" t="s">
        <v>760</v>
      </c>
      <c r="E689" s="10">
        <v>0</v>
      </c>
      <c r="F689" s="10">
        <v>0</v>
      </c>
      <c r="G689" s="10">
        <v>0</v>
      </c>
      <c r="H689" s="10">
        <v>0</v>
      </c>
      <c r="I689" s="10" t="s">
        <v>102</v>
      </c>
      <c r="J689" s="10">
        <v>0</v>
      </c>
      <c r="K689" s="10">
        <v>0</v>
      </c>
      <c r="L689" s="10">
        <v>0</v>
      </c>
      <c r="M689" s="10">
        <v>0</v>
      </c>
      <c r="N689" s="10" t="s">
        <v>761</v>
      </c>
      <c r="O689" s="10" t="s">
        <v>1217</v>
      </c>
      <c r="P689" s="105" t="e">
        <f t="shared" si="10"/>
        <v>#DIV/0!</v>
      </c>
    </row>
    <row r="690" spans="1:16">
      <c r="A690" s="10" t="s">
        <v>635</v>
      </c>
      <c r="B690" s="10">
        <v>4016959</v>
      </c>
      <c r="C690" s="10" t="s">
        <v>759</v>
      </c>
      <c r="D690" s="10" t="s">
        <v>760</v>
      </c>
      <c r="E690" s="10">
        <v>0</v>
      </c>
      <c r="F690" s="10">
        <v>0</v>
      </c>
      <c r="G690" s="10">
        <v>0</v>
      </c>
      <c r="H690" s="10">
        <v>0</v>
      </c>
      <c r="I690" s="10" t="s">
        <v>102</v>
      </c>
      <c r="J690" s="10">
        <v>0</v>
      </c>
      <c r="K690" s="10">
        <v>0</v>
      </c>
      <c r="L690" s="10">
        <v>0</v>
      </c>
      <c r="M690" s="10">
        <v>0</v>
      </c>
      <c r="N690" s="10" t="s">
        <v>761</v>
      </c>
      <c r="O690" s="10" t="s">
        <v>1218</v>
      </c>
      <c r="P690" s="105" t="e">
        <f t="shared" si="10"/>
        <v>#DIV/0!</v>
      </c>
    </row>
    <row r="691" spans="1:16">
      <c r="A691" s="10" t="s">
        <v>635</v>
      </c>
      <c r="B691" s="10">
        <v>4016960</v>
      </c>
      <c r="C691" s="10" t="s">
        <v>759</v>
      </c>
      <c r="D691" s="10" t="s">
        <v>760</v>
      </c>
      <c r="E691" s="10">
        <v>0</v>
      </c>
      <c r="F691" s="10">
        <v>0</v>
      </c>
      <c r="G691" s="10">
        <v>0</v>
      </c>
      <c r="H691" s="10">
        <v>0</v>
      </c>
      <c r="I691" s="10" t="s">
        <v>102</v>
      </c>
      <c r="J691" s="10">
        <v>0</v>
      </c>
      <c r="K691" s="10">
        <v>0</v>
      </c>
      <c r="L691" s="10">
        <v>0</v>
      </c>
      <c r="M691" s="10">
        <v>0</v>
      </c>
      <c r="N691" s="10" t="s">
        <v>761</v>
      </c>
      <c r="O691" s="10" t="s">
        <v>1219</v>
      </c>
      <c r="P691" s="105" t="e">
        <f t="shared" si="10"/>
        <v>#DIV/0!</v>
      </c>
    </row>
    <row r="692" spans="1:16">
      <c r="A692" s="10" t="s">
        <v>635</v>
      </c>
      <c r="B692" s="10">
        <v>4016961</v>
      </c>
      <c r="C692" s="10" t="s">
        <v>759</v>
      </c>
      <c r="D692" s="10" t="s">
        <v>760</v>
      </c>
      <c r="E692" s="10">
        <v>0</v>
      </c>
      <c r="F692" s="10">
        <v>0</v>
      </c>
      <c r="G692" s="10">
        <v>0</v>
      </c>
      <c r="H692" s="10">
        <v>0</v>
      </c>
      <c r="I692" s="10" t="s">
        <v>102</v>
      </c>
      <c r="J692" s="10">
        <v>0</v>
      </c>
      <c r="K692" s="10">
        <v>0</v>
      </c>
      <c r="L692" s="10">
        <v>0</v>
      </c>
      <c r="M692" s="10">
        <v>0</v>
      </c>
      <c r="N692" s="10" t="s">
        <v>761</v>
      </c>
      <c r="O692" s="10" t="s">
        <v>1220</v>
      </c>
      <c r="P692" s="105" t="e">
        <f t="shared" si="10"/>
        <v>#DIV/0!</v>
      </c>
    </row>
    <row r="693" spans="1:16">
      <c r="A693" s="10" t="s">
        <v>635</v>
      </c>
      <c r="B693" s="10">
        <v>4016962</v>
      </c>
      <c r="C693" s="10" t="s">
        <v>759</v>
      </c>
      <c r="D693" s="10" t="s">
        <v>760</v>
      </c>
      <c r="E693" s="10">
        <v>0</v>
      </c>
      <c r="F693" s="10">
        <v>0</v>
      </c>
      <c r="G693" s="10">
        <v>0</v>
      </c>
      <c r="H693" s="10">
        <v>0</v>
      </c>
      <c r="I693" s="10" t="s">
        <v>102</v>
      </c>
      <c r="J693" s="10">
        <v>0</v>
      </c>
      <c r="K693" s="10">
        <v>0</v>
      </c>
      <c r="L693" s="10">
        <v>0</v>
      </c>
      <c r="M693" s="10">
        <v>0</v>
      </c>
      <c r="N693" s="10" t="s">
        <v>761</v>
      </c>
      <c r="O693" s="10" t="s">
        <v>1221</v>
      </c>
      <c r="P693" s="105" t="e">
        <f t="shared" si="10"/>
        <v>#DIV/0!</v>
      </c>
    </row>
    <row r="694" spans="1:16">
      <c r="A694" s="10" t="s">
        <v>635</v>
      </c>
      <c r="B694" s="10">
        <v>4016963</v>
      </c>
      <c r="C694" s="10" t="s">
        <v>759</v>
      </c>
      <c r="D694" s="10" t="s">
        <v>760</v>
      </c>
      <c r="E694" s="10">
        <v>0</v>
      </c>
      <c r="F694" s="10">
        <v>0</v>
      </c>
      <c r="G694" s="10">
        <v>0</v>
      </c>
      <c r="H694" s="10">
        <v>0</v>
      </c>
      <c r="I694" s="10" t="s">
        <v>102</v>
      </c>
      <c r="J694" s="10">
        <v>0</v>
      </c>
      <c r="K694" s="10">
        <v>0</v>
      </c>
      <c r="L694" s="10">
        <v>0</v>
      </c>
      <c r="M694" s="10">
        <v>0</v>
      </c>
      <c r="N694" s="10" t="s">
        <v>761</v>
      </c>
      <c r="O694" s="10" t="s">
        <v>1222</v>
      </c>
      <c r="P694" s="105" t="e">
        <f t="shared" si="10"/>
        <v>#DIV/0!</v>
      </c>
    </row>
    <row r="695" spans="1:16">
      <c r="A695" s="10" t="s">
        <v>635</v>
      </c>
      <c r="B695" s="10">
        <v>4016964</v>
      </c>
      <c r="C695" s="10" t="s">
        <v>759</v>
      </c>
      <c r="D695" s="10" t="s">
        <v>760</v>
      </c>
      <c r="E695" s="10">
        <v>0</v>
      </c>
      <c r="F695" s="10">
        <v>0</v>
      </c>
      <c r="G695" s="10">
        <v>0</v>
      </c>
      <c r="H695" s="10">
        <v>0</v>
      </c>
      <c r="I695" s="10" t="s">
        <v>102</v>
      </c>
      <c r="J695" s="10">
        <v>0</v>
      </c>
      <c r="K695" s="10">
        <v>0</v>
      </c>
      <c r="L695" s="10">
        <v>0</v>
      </c>
      <c r="M695" s="10">
        <v>0</v>
      </c>
      <c r="N695" s="10" t="s">
        <v>761</v>
      </c>
      <c r="O695" s="10" t="s">
        <v>1223</v>
      </c>
      <c r="P695" s="105" t="e">
        <f t="shared" si="10"/>
        <v>#DIV/0!</v>
      </c>
    </row>
    <row r="696" spans="1:16">
      <c r="A696" s="10" t="s">
        <v>635</v>
      </c>
      <c r="B696" s="10">
        <v>4016965</v>
      </c>
      <c r="C696" s="10" t="s">
        <v>759</v>
      </c>
      <c r="D696" s="10" t="s">
        <v>760</v>
      </c>
      <c r="E696" s="10">
        <v>0</v>
      </c>
      <c r="F696" s="10">
        <v>0</v>
      </c>
      <c r="G696" s="10">
        <v>0</v>
      </c>
      <c r="H696" s="10">
        <v>0</v>
      </c>
      <c r="I696" s="10" t="s">
        <v>102</v>
      </c>
      <c r="J696" s="10">
        <v>0</v>
      </c>
      <c r="K696" s="10">
        <v>0</v>
      </c>
      <c r="L696" s="10">
        <v>0</v>
      </c>
      <c r="M696" s="10">
        <v>0</v>
      </c>
      <c r="N696" s="10" t="s">
        <v>761</v>
      </c>
      <c r="O696" s="10" t="s">
        <v>1224</v>
      </c>
      <c r="P696" s="105" t="e">
        <f t="shared" si="10"/>
        <v>#DIV/0!</v>
      </c>
    </row>
    <row r="697" spans="1:16">
      <c r="A697" s="10" t="s">
        <v>635</v>
      </c>
      <c r="B697" s="10">
        <v>4016966</v>
      </c>
      <c r="C697" s="10" t="s">
        <v>759</v>
      </c>
      <c r="D697" s="10" t="s">
        <v>760</v>
      </c>
      <c r="E697" s="10">
        <v>0</v>
      </c>
      <c r="F697" s="10">
        <v>0</v>
      </c>
      <c r="G697" s="10">
        <v>0</v>
      </c>
      <c r="H697" s="10">
        <v>0</v>
      </c>
      <c r="I697" s="10" t="s">
        <v>102</v>
      </c>
      <c r="J697" s="10">
        <v>0</v>
      </c>
      <c r="K697" s="10">
        <v>0</v>
      </c>
      <c r="L697" s="10">
        <v>0</v>
      </c>
      <c r="M697" s="10">
        <v>0</v>
      </c>
      <c r="N697" s="10" t="s">
        <v>761</v>
      </c>
      <c r="O697" s="10" t="s">
        <v>1225</v>
      </c>
      <c r="P697" s="105" t="e">
        <f t="shared" si="10"/>
        <v>#DIV/0!</v>
      </c>
    </row>
    <row r="698" spans="1:16">
      <c r="A698" s="10" t="s">
        <v>635</v>
      </c>
      <c r="B698" s="10">
        <v>4016967</v>
      </c>
      <c r="C698" s="10" t="s">
        <v>759</v>
      </c>
      <c r="D698" s="10" t="s">
        <v>760</v>
      </c>
      <c r="E698" s="10">
        <v>0</v>
      </c>
      <c r="F698" s="10">
        <v>0</v>
      </c>
      <c r="G698" s="10">
        <v>0</v>
      </c>
      <c r="H698" s="10">
        <v>0</v>
      </c>
      <c r="I698" s="10" t="s">
        <v>102</v>
      </c>
      <c r="J698" s="10">
        <v>0</v>
      </c>
      <c r="K698" s="10">
        <v>0</v>
      </c>
      <c r="L698" s="10">
        <v>0</v>
      </c>
      <c r="M698" s="10">
        <v>0</v>
      </c>
      <c r="N698" s="10" t="s">
        <v>761</v>
      </c>
      <c r="O698" s="10" t="s">
        <v>1226</v>
      </c>
      <c r="P698" s="105" t="e">
        <f t="shared" si="10"/>
        <v>#DIV/0!</v>
      </c>
    </row>
    <row r="699" spans="1:16">
      <c r="A699" s="10" t="s">
        <v>635</v>
      </c>
      <c r="B699" s="10">
        <v>4016969</v>
      </c>
      <c r="C699" s="10" t="s">
        <v>759</v>
      </c>
      <c r="D699" s="10" t="s">
        <v>760</v>
      </c>
      <c r="E699" s="10">
        <v>0</v>
      </c>
      <c r="F699" s="10">
        <v>0</v>
      </c>
      <c r="G699" s="10">
        <v>0</v>
      </c>
      <c r="H699" s="10">
        <v>0</v>
      </c>
      <c r="I699" s="10" t="s">
        <v>41</v>
      </c>
      <c r="J699" s="10">
        <v>0</v>
      </c>
      <c r="K699" s="10">
        <v>0</v>
      </c>
      <c r="L699" s="10">
        <v>0</v>
      </c>
      <c r="M699" s="10">
        <v>0</v>
      </c>
      <c r="N699" s="10" t="s">
        <v>761</v>
      </c>
      <c r="O699" s="10" t="s">
        <v>1227</v>
      </c>
      <c r="P699" s="105" t="e">
        <f t="shared" si="10"/>
        <v>#DIV/0!</v>
      </c>
    </row>
    <row r="700" spans="1:16">
      <c r="A700" s="10" t="s">
        <v>635</v>
      </c>
      <c r="B700" s="10">
        <v>4017075</v>
      </c>
      <c r="C700" s="10" t="s">
        <v>759</v>
      </c>
      <c r="D700" s="10" t="s">
        <v>760</v>
      </c>
      <c r="E700" s="10">
        <v>800</v>
      </c>
      <c r="F700" s="10">
        <v>0</v>
      </c>
      <c r="G700" s="10">
        <v>0</v>
      </c>
      <c r="H700" s="10">
        <v>800</v>
      </c>
      <c r="I700" s="10" t="s">
        <v>30</v>
      </c>
      <c r="J700" s="10">
        <v>304.42</v>
      </c>
      <c r="K700" s="10">
        <v>0</v>
      </c>
      <c r="L700" s="10">
        <v>0</v>
      </c>
      <c r="M700" s="10">
        <v>304.42</v>
      </c>
      <c r="N700" s="10" t="s">
        <v>761</v>
      </c>
      <c r="O700" s="10" t="s">
        <v>118</v>
      </c>
      <c r="P700" s="105">
        <f t="shared" si="10"/>
        <v>0.380525</v>
      </c>
    </row>
    <row r="701" spans="1:16">
      <c r="A701" s="10" t="s">
        <v>635</v>
      </c>
      <c r="B701" s="10">
        <v>4017401</v>
      </c>
      <c r="C701" s="10" t="s">
        <v>759</v>
      </c>
      <c r="D701" s="10" t="s">
        <v>760</v>
      </c>
      <c r="E701" s="10">
        <v>0</v>
      </c>
      <c r="F701" s="10">
        <v>0</v>
      </c>
      <c r="G701" s="10">
        <v>0</v>
      </c>
      <c r="H701" s="10">
        <v>0</v>
      </c>
      <c r="I701" s="10" t="s">
        <v>26</v>
      </c>
      <c r="J701" s="10">
        <v>0</v>
      </c>
      <c r="K701" s="10">
        <v>0</v>
      </c>
      <c r="L701" s="10">
        <v>0</v>
      </c>
      <c r="M701" s="10">
        <v>0</v>
      </c>
      <c r="N701" s="10" t="s">
        <v>761</v>
      </c>
      <c r="O701" s="10" t="s">
        <v>1228</v>
      </c>
      <c r="P701" s="105" t="e">
        <f t="shared" si="10"/>
        <v>#DIV/0!</v>
      </c>
    </row>
    <row r="702" spans="1:16">
      <c r="A702" s="10" t="s">
        <v>635</v>
      </c>
      <c r="B702" s="10">
        <v>4017402</v>
      </c>
      <c r="C702" s="10" t="s">
        <v>759</v>
      </c>
      <c r="D702" s="10" t="s">
        <v>760</v>
      </c>
      <c r="E702" s="10">
        <v>0</v>
      </c>
      <c r="F702" s="10">
        <v>0</v>
      </c>
      <c r="G702" s="10">
        <v>0</v>
      </c>
      <c r="H702" s="10">
        <v>0</v>
      </c>
      <c r="I702" s="10" t="s">
        <v>26</v>
      </c>
      <c r="J702" s="10">
        <v>0</v>
      </c>
      <c r="K702" s="10">
        <v>0</v>
      </c>
      <c r="L702" s="10">
        <v>0</v>
      </c>
      <c r="M702" s="10">
        <v>0</v>
      </c>
      <c r="N702" s="10" t="s">
        <v>761</v>
      </c>
      <c r="O702" s="10" t="s">
        <v>1229</v>
      </c>
      <c r="P702" s="105" t="e">
        <f t="shared" si="10"/>
        <v>#DIV/0!</v>
      </c>
    </row>
    <row r="703" spans="1:16">
      <c r="A703" s="10" t="s">
        <v>635</v>
      </c>
      <c r="B703" s="10">
        <v>4017430</v>
      </c>
      <c r="C703" s="10" t="s">
        <v>759</v>
      </c>
      <c r="D703" s="10" t="s">
        <v>760</v>
      </c>
      <c r="E703" s="10">
        <v>0</v>
      </c>
      <c r="F703" s="10">
        <v>0</v>
      </c>
      <c r="G703" s="10">
        <v>0</v>
      </c>
      <c r="H703" s="10">
        <v>0</v>
      </c>
      <c r="I703" s="10" t="s">
        <v>21</v>
      </c>
      <c r="J703" s="10">
        <v>0</v>
      </c>
      <c r="K703" s="10">
        <v>0</v>
      </c>
      <c r="L703" s="10">
        <v>0</v>
      </c>
      <c r="M703" s="10">
        <v>0</v>
      </c>
      <c r="N703" s="10" t="s">
        <v>761</v>
      </c>
      <c r="O703" s="10" t="s">
        <v>1230</v>
      </c>
      <c r="P703" s="105" t="e">
        <f t="shared" si="10"/>
        <v>#DIV/0!</v>
      </c>
    </row>
    <row r="704" spans="1:16">
      <c r="A704" s="10" t="s">
        <v>635</v>
      </c>
      <c r="B704" s="10">
        <v>4017478</v>
      </c>
      <c r="C704" s="10" t="s">
        <v>759</v>
      </c>
      <c r="D704" s="10" t="s">
        <v>760</v>
      </c>
      <c r="E704" s="10">
        <v>0</v>
      </c>
      <c r="F704" s="10">
        <v>0</v>
      </c>
      <c r="G704" s="10">
        <v>0</v>
      </c>
      <c r="H704" s="10">
        <v>0</v>
      </c>
      <c r="I704" s="10" t="s">
        <v>138</v>
      </c>
      <c r="J704" s="10">
        <v>0</v>
      </c>
      <c r="K704" s="10">
        <v>0</v>
      </c>
      <c r="L704" s="10">
        <v>0</v>
      </c>
      <c r="M704" s="10">
        <v>0</v>
      </c>
      <c r="N704" s="10" t="s">
        <v>761</v>
      </c>
      <c r="O704" s="10" t="s">
        <v>1231</v>
      </c>
      <c r="P704" s="105" t="e">
        <f t="shared" si="10"/>
        <v>#DIV/0!</v>
      </c>
    </row>
    <row r="705" spans="1:16">
      <c r="A705" s="10" t="s">
        <v>635</v>
      </c>
      <c r="B705" s="10">
        <v>4017685</v>
      </c>
      <c r="C705" s="10" t="s">
        <v>759</v>
      </c>
      <c r="D705" s="10" t="s">
        <v>760</v>
      </c>
      <c r="E705" s="10">
        <v>0</v>
      </c>
      <c r="F705" s="10">
        <v>0</v>
      </c>
      <c r="G705" s="10">
        <v>0</v>
      </c>
      <c r="H705" s="10">
        <v>0</v>
      </c>
      <c r="I705" s="10" t="s">
        <v>21</v>
      </c>
      <c r="J705" s="10">
        <v>0</v>
      </c>
      <c r="K705" s="10">
        <v>0</v>
      </c>
      <c r="L705" s="10">
        <v>0</v>
      </c>
      <c r="M705" s="10">
        <v>0</v>
      </c>
      <c r="N705" s="10" t="s">
        <v>761</v>
      </c>
      <c r="O705" s="10" t="s">
        <v>1232</v>
      </c>
      <c r="P705" s="105" t="e">
        <f t="shared" si="10"/>
        <v>#DIV/0!</v>
      </c>
    </row>
    <row r="706" spans="1:16">
      <c r="A706" s="10" t="s">
        <v>635</v>
      </c>
      <c r="B706" s="10">
        <v>4017686</v>
      </c>
      <c r="C706" s="10" t="s">
        <v>759</v>
      </c>
      <c r="D706" s="10" t="s">
        <v>760</v>
      </c>
      <c r="E706" s="10">
        <v>0</v>
      </c>
      <c r="F706" s="10">
        <v>0</v>
      </c>
      <c r="G706" s="10">
        <v>0</v>
      </c>
      <c r="H706" s="10">
        <v>0</v>
      </c>
      <c r="I706" s="10" t="s">
        <v>21</v>
      </c>
      <c r="J706" s="10">
        <v>0</v>
      </c>
      <c r="K706" s="10">
        <v>0</v>
      </c>
      <c r="L706" s="10">
        <v>0</v>
      </c>
      <c r="M706" s="10">
        <v>0</v>
      </c>
      <c r="N706" s="10" t="s">
        <v>761</v>
      </c>
      <c r="O706" s="10" t="s">
        <v>1233</v>
      </c>
      <c r="P706" s="105" t="e">
        <f t="shared" si="10"/>
        <v>#DIV/0!</v>
      </c>
    </row>
    <row r="707" spans="1:16">
      <c r="A707" s="10" t="s">
        <v>635</v>
      </c>
      <c r="B707" s="10">
        <v>4017687</v>
      </c>
      <c r="C707" s="10" t="s">
        <v>759</v>
      </c>
      <c r="D707" s="10" t="s">
        <v>760</v>
      </c>
      <c r="E707" s="10">
        <v>0</v>
      </c>
      <c r="F707" s="10">
        <v>0</v>
      </c>
      <c r="G707" s="10">
        <v>0</v>
      </c>
      <c r="H707" s="10">
        <v>0</v>
      </c>
      <c r="I707" s="10" t="s">
        <v>21</v>
      </c>
      <c r="J707" s="10">
        <v>0</v>
      </c>
      <c r="K707" s="10">
        <v>0</v>
      </c>
      <c r="L707" s="10">
        <v>0</v>
      </c>
      <c r="M707" s="10">
        <v>0</v>
      </c>
      <c r="N707" s="10" t="s">
        <v>761</v>
      </c>
      <c r="O707" s="10" t="s">
        <v>1234</v>
      </c>
      <c r="P707" s="105" t="e">
        <f t="shared" ref="P707:P770" si="11">M707/H707</f>
        <v>#DIV/0!</v>
      </c>
    </row>
    <row r="708" spans="1:16">
      <c r="A708" s="10" t="s">
        <v>635</v>
      </c>
      <c r="B708" s="10">
        <v>4017689</v>
      </c>
      <c r="C708" s="10" t="s">
        <v>759</v>
      </c>
      <c r="D708" s="10" t="s">
        <v>760</v>
      </c>
      <c r="E708" s="10">
        <v>0</v>
      </c>
      <c r="F708" s="10">
        <v>0</v>
      </c>
      <c r="G708" s="10">
        <v>0</v>
      </c>
      <c r="H708" s="10">
        <v>0</v>
      </c>
      <c r="I708" s="10" t="s">
        <v>21</v>
      </c>
      <c r="J708" s="10">
        <v>0</v>
      </c>
      <c r="K708" s="10">
        <v>0</v>
      </c>
      <c r="L708" s="10">
        <v>0</v>
      </c>
      <c r="M708" s="10">
        <v>0</v>
      </c>
      <c r="N708" s="10" t="s">
        <v>761</v>
      </c>
      <c r="O708" s="10" t="s">
        <v>1235</v>
      </c>
      <c r="P708" s="105" t="e">
        <f t="shared" si="11"/>
        <v>#DIV/0!</v>
      </c>
    </row>
    <row r="709" spans="1:16">
      <c r="A709" s="10" t="s">
        <v>635</v>
      </c>
      <c r="B709" s="10">
        <v>4017690</v>
      </c>
      <c r="C709" s="10" t="s">
        <v>759</v>
      </c>
      <c r="D709" s="10" t="s">
        <v>760</v>
      </c>
      <c r="E709" s="10">
        <v>0</v>
      </c>
      <c r="F709" s="10">
        <v>0</v>
      </c>
      <c r="G709" s="10">
        <v>0</v>
      </c>
      <c r="H709" s="10">
        <v>0</v>
      </c>
      <c r="I709" s="10" t="s">
        <v>21</v>
      </c>
      <c r="J709" s="10">
        <v>0</v>
      </c>
      <c r="K709" s="10">
        <v>0</v>
      </c>
      <c r="L709" s="10">
        <v>0</v>
      </c>
      <c r="M709" s="10">
        <v>0</v>
      </c>
      <c r="N709" s="10" t="s">
        <v>761</v>
      </c>
      <c r="O709" s="10" t="s">
        <v>1236</v>
      </c>
      <c r="P709" s="105" t="e">
        <f t="shared" si="11"/>
        <v>#DIV/0!</v>
      </c>
    </row>
    <row r="710" spans="1:16">
      <c r="A710" s="10" t="s">
        <v>635</v>
      </c>
      <c r="B710" s="10">
        <v>4017699</v>
      </c>
      <c r="C710" s="10" t="s">
        <v>759</v>
      </c>
      <c r="D710" s="10" t="s">
        <v>760</v>
      </c>
      <c r="E710" s="10">
        <v>0</v>
      </c>
      <c r="F710" s="10">
        <v>0</v>
      </c>
      <c r="G710" s="10">
        <v>0</v>
      </c>
      <c r="H710" s="10">
        <v>0</v>
      </c>
      <c r="I710" s="10" t="s">
        <v>21</v>
      </c>
      <c r="J710" s="10">
        <v>0</v>
      </c>
      <c r="K710" s="10">
        <v>0</v>
      </c>
      <c r="L710" s="10">
        <v>0</v>
      </c>
      <c r="M710" s="10">
        <v>0</v>
      </c>
      <c r="N710" s="10" t="s">
        <v>761</v>
      </c>
      <c r="O710" s="10" t="s">
        <v>1237</v>
      </c>
      <c r="P710" s="105" t="e">
        <f t="shared" si="11"/>
        <v>#DIV/0!</v>
      </c>
    </row>
    <row r="711" spans="1:16">
      <c r="A711" s="10" t="s">
        <v>635</v>
      </c>
      <c r="B711" s="10">
        <v>4017700</v>
      </c>
      <c r="C711" s="10" t="s">
        <v>759</v>
      </c>
      <c r="D711" s="10" t="s">
        <v>760</v>
      </c>
      <c r="E711" s="10">
        <v>0</v>
      </c>
      <c r="F711" s="10">
        <v>0</v>
      </c>
      <c r="G711" s="10">
        <v>0</v>
      </c>
      <c r="H711" s="10">
        <v>0</v>
      </c>
      <c r="I711" s="10" t="s">
        <v>21</v>
      </c>
      <c r="J711" s="10">
        <v>0</v>
      </c>
      <c r="K711" s="10">
        <v>0</v>
      </c>
      <c r="L711" s="10">
        <v>0</v>
      </c>
      <c r="M711" s="10">
        <v>0</v>
      </c>
      <c r="N711" s="10" t="s">
        <v>761</v>
      </c>
      <c r="O711" s="10" t="s">
        <v>1238</v>
      </c>
      <c r="P711" s="105" t="e">
        <f t="shared" si="11"/>
        <v>#DIV/0!</v>
      </c>
    </row>
    <row r="712" spans="1:16">
      <c r="A712" s="10" t="s">
        <v>635</v>
      </c>
      <c r="B712" s="10">
        <v>4017701</v>
      </c>
      <c r="C712" s="10" t="s">
        <v>759</v>
      </c>
      <c r="D712" s="10" t="s">
        <v>760</v>
      </c>
      <c r="E712" s="10">
        <v>0</v>
      </c>
      <c r="F712" s="10">
        <v>0</v>
      </c>
      <c r="G712" s="10">
        <v>0</v>
      </c>
      <c r="H712" s="10">
        <v>0</v>
      </c>
      <c r="I712" s="10" t="s">
        <v>102</v>
      </c>
      <c r="J712" s="10">
        <v>0</v>
      </c>
      <c r="K712" s="10">
        <v>0</v>
      </c>
      <c r="L712" s="10">
        <v>0</v>
      </c>
      <c r="M712" s="10">
        <v>0</v>
      </c>
      <c r="N712" s="10" t="s">
        <v>761</v>
      </c>
      <c r="O712" s="10" t="s">
        <v>1239</v>
      </c>
      <c r="P712" s="105" t="e">
        <f t="shared" si="11"/>
        <v>#DIV/0!</v>
      </c>
    </row>
    <row r="713" spans="1:16">
      <c r="A713" s="10" t="s">
        <v>635</v>
      </c>
      <c r="B713" s="10">
        <v>4017702</v>
      </c>
      <c r="C713" s="10" t="s">
        <v>759</v>
      </c>
      <c r="D713" s="10" t="s">
        <v>760</v>
      </c>
      <c r="E713" s="10">
        <v>0</v>
      </c>
      <c r="F713" s="10">
        <v>0</v>
      </c>
      <c r="G713" s="10">
        <v>0</v>
      </c>
      <c r="H713" s="10">
        <v>0</v>
      </c>
      <c r="I713" s="10" t="s">
        <v>102</v>
      </c>
      <c r="J713" s="10">
        <v>0</v>
      </c>
      <c r="K713" s="10">
        <v>0</v>
      </c>
      <c r="L713" s="10">
        <v>0</v>
      </c>
      <c r="M713" s="10">
        <v>0</v>
      </c>
      <c r="N713" s="10" t="s">
        <v>761</v>
      </c>
      <c r="O713" s="10" t="s">
        <v>1240</v>
      </c>
      <c r="P713" s="105" t="e">
        <f t="shared" si="11"/>
        <v>#DIV/0!</v>
      </c>
    </row>
    <row r="714" spans="1:16">
      <c r="A714" s="10" t="s">
        <v>635</v>
      </c>
      <c r="B714" s="10">
        <v>4017703</v>
      </c>
      <c r="C714" s="10" t="s">
        <v>759</v>
      </c>
      <c r="D714" s="10" t="s">
        <v>760</v>
      </c>
      <c r="E714" s="10">
        <v>0</v>
      </c>
      <c r="F714" s="10">
        <v>0</v>
      </c>
      <c r="G714" s="10">
        <v>0</v>
      </c>
      <c r="H714" s="10">
        <v>0</v>
      </c>
      <c r="I714" s="10" t="s">
        <v>102</v>
      </c>
      <c r="J714" s="10">
        <v>0</v>
      </c>
      <c r="K714" s="10">
        <v>0</v>
      </c>
      <c r="L714" s="10">
        <v>0</v>
      </c>
      <c r="M714" s="10">
        <v>0</v>
      </c>
      <c r="N714" s="10" t="s">
        <v>761</v>
      </c>
      <c r="O714" s="10" t="s">
        <v>1241</v>
      </c>
      <c r="P714" s="105" t="e">
        <f t="shared" si="11"/>
        <v>#DIV/0!</v>
      </c>
    </row>
    <row r="715" spans="1:16">
      <c r="A715" s="10" t="s">
        <v>635</v>
      </c>
      <c r="B715" s="10">
        <v>4017704</v>
      </c>
      <c r="C715" s="10" t="s">
        <v>759</v>
      </c>
      <c r="D715" s="10" t="s">
        <v>760</v>
      </c>
      <c r="E715" s="10">
        <v>0</v>
      </c>
      <c r="F715" s="10">
        <v>0</v>
      </c>
      <c r="G715" s="10">
        <v>0</v>
      </c>
      <c r="H715" s="10">
        <v>0</v>
      </c>
      <c r="I715" s="10" t="s">
        <v>102</v>
      </c>
      <c r="J715" s="10">
        <v>0</v>
      </c>
      <c r="K715" s="10">
        <v>0</v>
      </c>
      <c r="L715" s="10">
        <v>0</v>
      </c>
      <c r="M715" s="10">
        <v>0</v>
      </c>
      <c r="N715" s="10" t="s">
        <v>761</v>
      </c>
      <c r="O715" s="10" t="s">
        <v>1242</v>
      </c>
      <c r="P715" s="105" t="e">
        <f t="shared" si="11"/>
        <v>#DIV/0!</v>
      </c>
    </row>
    <row r="716" spans="1:16">
      <c r="A716" s="10" t="s">
        <v>635</v>
      </c>
      <c r="B716" s="10">
        <v>4017705</v>
      </c>
      <c r="C716" s="10" t="s">
        <v>759</v>
      </c>
      <c r="D716" s="10" t="s">
        <v>760</v>
      </c>
      <c r="E716" s="10">
        <v>0</v>
      </c>
      <c r="F716" s="10">
        <v>0</v>
      </c>
      <c r="G716" s="10">
        <v>0</v>
      </c>
      <c r="H716" s="10">
        <v>0</v>
      </c>
      <c r="I716" s="10" t="s">
        <v>102</v>
      </c>
      <c r="J716" s="10">
        <v>0</v>
      </c>
      <c r="K716" s="10">
        <v>0</v>
      </c>
      <c r="L716" s="10">
        <v>0</v>
      </c>
      <c r="M716" s="10">
        <v>0</v>
      </c>
      <c r="N716" s="10" t="s">
        <v>761</v>
      </c>
      <c r="O716" s="10" t="s">
        <v>1243</v>
      </c>
      <c r="P716" s="105" t="e">
        <f t="shared" si="11"/>
        <v>#DIV/0!</v>
      </c>
    </row>
    <row r="717" spans="1:16">
      <c r="A717" s="10" t="s">
        <v>635</v>
      </c>
      <c r="B717" s="10">
        <v>4017706</v>
      </c>
      <c r="C717" s="10" t="s">
        <v>759</v>
      </c>
      <c r="D717" s="10" t="s">
        <v>760</v>
      </c>
      <c r="E717" s="10">
        <v>0</v>
      </c>
      <c r="F717" s="10">
        <v>0</v>
      </c>
      <c r="G717" s="10">
        <v>0</v>
      </c>
      <c r="H717" s="10">
        <v>0</v>
      </c>
      <c r="I717" s="10" t="s">
        <v>102</v>
      </c>
      <c r="J717" s="10">
        <v>0</v>
      </c>
      <c r="K717" s="10">
        <v>0</v>
      </c>
      <c r="L717" s="10">
        <v>0</v>
      </c>
      <c r="M717" s="10">
        <v>0</v>
      </c>
      <c r="N717" s="10" t="s">
        <v>761</v>
      </c>
      <c r="O717" s="10" t="s">
        <v>1244</v>
      </c>
      <c r="P717" s="105" t="e">
        <f t="shared" si="11"/>
        <v>#DIV/0!</v>
      </c>
    </row>
    <row r="718" spans="1:16">
      <c r="A718" s="10" t="s">
        <v>635</v>
      </c>
      <c r="B718" s="10">
        <v>4017707</v>
      </c>
      <c r="C718" s="10" t="s">
        <v>759</v>
      </c>
      <c r="D718" s="10" t="s">
        <v>760</v>
      </c>
      <c r="E718" s="10">
        <v>0</v>
      </c>
      <c r="F718" s="10">
        <v>0</v>
      </c>
      <c r="G718" s="10">
        <v>0</v>
      </c>
      <c r="H718" s="10">
        <v>0</v>
      </c>
      <c r="I718" s="10" t="s">
        <v>102</v>
      </c>
      <c r="J718" s="10">
        <v>0</v>
      </c>
      <c r="K718" s="10">
        <v>0</v>
      </c>
      <c r="L718" s="10">
        <v>0</v>
      </c>
      <c r="M718" s="10">
        <v>0</v>
      </c>
      <c r="N718" s="10" t="s">
        <v>761</v>
      </c>
      <c r="O718" s="10" t="s">
        <v>1245</v>
      </c>
      <c r="P718" s="105" t="e">
        <f t="shared" si="11"/>
        <v>#DIV/0!</v>
      </c>
    </row>
    <row r="719" spans="1:16">
      <c r="A719" s="10" t="s">
        <v>635</v>
      </c>
      <c r="B719" s="10">
        <v>4017708</v>
      </c>
      <c r="C719" s="10" t="s">
        <v>759</v>
      </c>
      <c r="D719" s="10" t="s">
        <v>760</v>
      </c>
      <c r="E719" s="10">
        <v>0</v>
      </c>
      <c r="F719" s="10">
        <v>0</v>
      </c>
      <c r="G719" s="10">
        <v>0</v>
      </c>
      <c r="H719" s="10">
        <v>0</v>
      </c>
      <c r="I719" s="10" t="s">
        <v>102</v>
      </c>
      <c r="J719" s="10">
        <v>0</v>
      </c>
      <c r="K719" s="10">
        <v>0</v>
      </c>
      <c r="L719" s="10">
        <v>0</v>
      </c>
      <c r="M719" s="10">
        <v>0</v>
      </c>
      <c r="N719" s="10" t="s">
        <v>761</v>
      </c>
      <c r="O719" s="10" t="s">
        <v>1246</v>
      </c>
      <c r="P719" s="105" t="e">
        <f t="shared" si="11"/>
        <v>#DIV/0!</v>
      </c>
    </row>
    <row r="720" spans="1:16">
      <c r="A720" s="10" t="s">
        <v>635</v>
      </c>
      <c r="B720" s="10">
        <v>4017709</v>
      </c>
      <c r="C720" s="10" t="s">
        <v>759</v>
      </c>
      <c r="D720" s="10" t="s">
        <v>760</v>
      </c>
      <c r="E720" s="10">
        <v>0</v>
      </c>
      <c r="F720" s="10">
        <v>0</v>
      </c>
      <c r="G720" s="10">
        <v>0</v>
      </c>
      <c r="H720" s="10">
        <v>0</v>
      </c>
      <c r="I720" s="10" t="s">
        <v>102</v>
      </c>
      <c r="J720" s="10">
        <v>0</v>
      </c>
      <c r="K720" s="10">
        <v>0</v>
      </c>
      <c r="L720" s="10">
        <v>0</v>
      </c>
      <c r="M720" s="10">
        <v>0</v>
      </c>
      <c r="N720" s="10" t="s">
        <v>761</v>
      </c>
      <c r="O720" s="10" t="s">
        <v>1247</v>
      </c>
      <c r="P720" s="105" t="e">
        <f t="shared" si="11"/>
        <v>#DIV/0!</v>
      </c>
    </row>
    <row r="721" spans="1:16">
      <c r="A721" s="10" t="s">
        <v>635</v>
      </c>
      <c r="B721" s="10">
        <v>4017710</v>
      </c>
      <c r="C721" s="10" t="s">
        <v>759</v>
      </c>
      <c r="D721" s="10" t="s">
        <v>760</v>
      </c>
      <c r="E721" s="10">
        <v>0</v>
      </c>
      <c r="F721" s="10">
        <v>0</v>
      </c>
      <c r="G721" s="10">
        <v>0</v>
      </c>
      <c r="H721" s="10">
        <v>0</v>
      </c>
      <c r="I721" s="10" t="s">
        <v>102</v>
      </c>
      <c r="J721" s="10">
        <v>0</v>
      </c>
      <c r="K721" s="10">
        <v>0</v>
      </c>
      <c r="L721" s="10">
        <v>0</v>
      </c>
      <c r="M721" s="10">
        <v>0</v>
      </c>
      <c r="N721" s="10" t="s">
        <v>761</v>
      </c>
      <c r="O721" s="10" t="s">
        <v>1248</v>
      </c>
      <c r="P721" s="105" t="e">
        <f t="shared" si="11"/>
        <v>#DIV/0!</v>
      </c>
    </row>
    <row r="722" spans="1:16">
      <c r="A722" s="10" t="s">
        <v>635</v>
      </c>
      <c r="B722" s="10">
        <v>4017711</v>
      </c>
      <c r="C722" s="10" t="s">
        <v>759</v>
      </c>
      <c r="D722" s="10" t="s">
        <v>760</v>
      </c>
      <c r="E722" s="10">
        <v>0</v>
      </c>
      <c r="F722" s="10">
        <v>0</v>
      </c>
      <c r="G722" s="10">
        <v>0</v>
      </c>
      <c r="H722" s="10">
        <v>0</v>
      </c>
      <c r="I722" s="10" t="s">
        <v>102</v>
      </c>
      <c r="J722" s="10">
        <v>0</v>
      </c>
      <c r="K722" s="10">
        <v>0</v>
      </c>
      <c r="L722" s="10">
        <v>0</v>
      </c>
      <c r="M722" s="10">
        <v>0</v>
      </c>
      <c r="N722" s="10" t="s">
        <v>761</v>
      </c>
      <c r="O722" s="10" t="s">
        <v>1249</v>
      </c>
      <c r="P722" s="105" t="e">
        <f t="shared" si="11"/>
        <v>#DIV/0!</v>
      </c>
    </row>
    <row r="723" spans="1:16">
      <c r="A723" s="10" t="s">
        <v>635</v>
      </c>
      <c r="B723" s="10">
        <v>4017712</v>
      </c>
      <c r="C723" s="10" t="s">
        <v>759</v>
      </c>
      <c r="D723" s="10" t="s">
        <v>760</v>
      </c>
      <c r="E723" s="10">
        <v>0</v>
      </c>
      <c r="F723" s="10">
        <v>0</v>
      </c>
      <c r="G723" s="10">
        <v>0</v>
      </c>
      <c r="H723" s="10">
        <v>0</v>
      </c>
      <c r="I723" s="10" t="s">
        <v>102</v>
      </c>
      <c r="J723" s="10">
        <v>0</v>
      </c>
      <c r="K723" s="10">
        <v>0</v>
      </c>
      <c r="L723" s="10">
        <v>0</v>
      </c>
      <c r="M723" s="10">
        <v>0</v>
      </c>
      <c r="N723" s="10" t="s">
        <v>761</v>
      </c>
      <c r="O723" s="10" t="s">
        <v>1250</v>
      </c>
      <c r="P723" s="105" t="e">
        <f t="shared" si="11"/>
        <v>#DIV/0!</v>
      </c>
    </row>
    <row r="724" spans="1:16">
      <c r="A724" s="10" t="s">
        <v>635</v>
      </c>
      <c r="B724" s="10">
        <v>4017713</v>
      </c>
      <c r="C724" s="10" t="s">
        <v>759</v>
      </c>
      <c r="D724" s="10" t="s">
        <v>760</v>
      </c>
      <c r="E724" s="10">
        <v>0</v>
      </c>
      <c r="F724" s="10">
        <v>0</v>
      </c>
      <c r="G724" s="10">
        <v>0</v>
      </c>
      <c r="H724" s="10">
        <v>0</v>
      </c>
      <c r="I724" s="10" t="s">
        <v>102</v>
      </c>
      <c r="J724" s="10">
        <v>0</v>
      </c>
      <c r="K724" s="10">
        <v>0</v>
      </c>
      <c r="L724" s="10">
        <v>0</v>
      </c>
      <c r="M724" s="10">
        <v>0</v>
      </c>
      <c r="N724" s="10" t="s">
        <v>761</v>
      </c>
      <c r="O724" s="10" t="s">
        <v>1251</v>
      </c>
      <c r="P724" s="105" t="e">
        <f t="shared" si="11"/>
        <v>#DIV/0!</v>
      </c>
    </row>
    <row r="725" spans="1:16">
      <c r="A725" s="10" t="s">
        <v>635</v>
      </c>
      <c r="B725" s="10">
        <v>4017714</v>
      </c>
      <c r="C725" s="10" t="s">
        <v>759</v>
      </c>
      <c r="D725" s="10" t="s">
        <v>760</v>
      </c>
      <c r="E725" s="10">
        <v>0</v>
      </c>
      <c r="F725" s="10">
        <v>0</v>
      </c>
      <c r="G725" s="10">
        <v>0</v>
      </c>
      <c r="H725" s="10">
        <v>0</v>
      </c>
      <c r="I725" s="10" t="s">
        <v>102</v>
      </c>
      <c r="J725" s="10">
        <v>0</v>
      </c>
      <c r="K725" s="10">
        <v>0</v>
      </c>
      <c r="L725" s="10">
        <v>0</v>
      </c>
      <c r="M725" s="10">
        <v>0</v>
      </c>
      <c r="N725" s="10" t="s">
        <v>761</v>
      </c>
      <c r="O725" s="10" t="s">
        <v>1252</v>
      </c>
      <c r="P725" s="105" t="e">
        <f t="shared" si="11"/>
        <v>#DIV/0!</v>
      </c>
    </row>
    <row r="726" spans="1:16">
      <c r="A726" s="10" t="s">
        <v>635</v>
      </c>
      <c r="B726" s="10">
        <v>4017737</v>
      </c>
      <c r="C726" s="10" t="s">
        <v>759</v>
      </c>
      <c r="D726" s="10" t="s">
        <v>760</v>
      </c>
      <c r="E726" s="10">
        <v>0</v>
      </c>
      <c r="F726" s="10">
        <v>0</v>
      </c>
      <c r="G726" s="10">
        <v>0</v>
      </c>
      <c r="H726" s="10">
        <v>0</v>
      </c>
      <c r="I726" s="10" t="s">
        <v>21</v>
      </c>
      <c r="J726" s="10">
        <v>0</v>
      </c>
      <c r="K726" s="10">
        <v>0</v>
      </c>
      <c r="L726" s="10">
        <v>0</v>
      </c>
      <c r="M726" s="10">
        <v>0</v>
      </c>
      <c r="N726" s="10" t="s">
        <v>761</v>
      </c>
      <c r="O726" s="10" t="s">
        <v>1253</v>
      </c>
      <c r="P726" s="105" t="e">
        <f t="shared" si="11"/>
        <v>#DIV/0!</v>
      </c>
    </row>
    <row r="727" spans="1:16">
      <c r="A727" s="10" t="s">
        <v>635</v>
      </c>
      <c r="B727" s="10">
        <v>4017892</v>
      </c>
      <c r="C727" s="10" t="s">
        <v>759</v>
      </c>
      <c r="D727" s="10" t="s">
        <v>760</v>
      </c>
      <c r="E727" s="10">
        <v>50</v>
      </c>
      <c r="F727" s="10">
        <v>140</v>
      </c>
      <c r="G727" s="10">
        <v>0</v>
      </c>
      <c r="H727" s="10">
        <v>190</v>
      </c>
      <c r="I727" s="10" t="s">
        <v>74</v>
      </c>
      <c r="J727" s="10">
        <v>120</v>
      </c>
      <c r="K727" s="10">
        <v>336</v>
      </c>
      <c r="L727" s="10">
        <v>0</v>
      </c>
      <c r="M727" s="10">
        <v>456</v>
      </c>
      <c r="N727" s="10" t="s">
        <v>761</v>
      </c>
      <c r="O727" s="10" t="s">
        <v>253</v>
      </c>
      <c r="P727" s="105">
        <f t="shared" si="11"/>
        <v>2.4</v>
      </c>
    </row>
    <row r="728" spans="1:16">
      <c r="A728" s="10" t="s">
        <v>635</v>
      </c>
      <c r="B728" s="10">
        <v>4017941</v>
      </c>
      <c r="C728" s="10" t="s">
        <v>759</v>
      </c>
      <c r="D728" s="10" t="s">
        <v>760</v>
      </c>
      <c r="E728" s="10">
        <v>0</v>
      </c>
      <c r="F728" s="10">
        <v>0</v>
      </c>
      <c r="G728" s="10">
        <v>0</v>
      </c>
      <c r="H728" s="10">
        <v>0</v>
      </c>
      <c r="I728" s="10" t="s">
        <v>21</v>
      </c>
      <c r="J728" s="10">
        <v>0</v>
      </c>
      <c r="K728" s="10">
        <v>0</v>
      </c>
      <c r="L728" s="10">
        <v>0</v>
      </c>
      <c r="M728" s="10">
        <v>0</v>
      </c>
      <c r="N728" s="10" t="s">
        <v>761</v>
      </c>
      <c r="O728" s="10" t="s">
        <v>1254</v>
      </c>
      <c r="P728" s="105" t="e">
        <f t="shared" si="11"/>
        <v>#DIV/0!</v>
      </c>
    </row>
    <row r="729" spans="1:16">
      <c r="A729" s="10" t="s">
        <v>635</v>
      </c>
      <c r="B729" s="10">
        <v>4017948</v>
      </c>
      <c r="C729" s="10" t="s">
        <v>759</v>
      </c>
      <c r="D729" s="10" t="s">
        <v>760</v>
      </c>
      <c r="E729" s="10">
        <v>0</v>
      </c>
      <c r="F729" s="10">
        <v>0</v>
      </c>
      <c r="G729" s="10">
        <v>0</v>
      </c>
      <c r="H729" s="10">
        <v>0</v>
      </c>
      <c r="I729" s="10" t="s">
        <v>21</v>
      </c>
      <c r="J729" s="10">
        <v>0</v>
      </c>
      <c r="K729" s="10">
        <v>0</v>
      </c>
      <c r="L729" s="10">
        <v>0</v>
      </c>
      <c r="M729" s="10">
        <v>0</v>
      </c>
      <c r="N729" s="10" t="s">
        <v>761</v>
      </c>
      <c r="O729" s="10" t="s">
        <v>1255</v>
      </c>
      <c r="P729" s="105" t="e">
        <f t="shared" si="11"/>
        <v>#DIV/0!</v>
      </c>
    </row>
    <row r="730" spans="1:16">
      <c r="A730" s="10" t="s">
        <v>635</v>
      </c>
      <c r="B730" s="10">
        <v>4018053</v>
      </c>
      <c r="C730" s="10" t="s">
        <v>759</v>
      </c>
      <c r="D730" s="10" t="s">
        <v>760</v>
      </c>
      <c r="E730" s="10">
        <v>0</v>
      </c>
      <c r="F730" s="10">
        <v>0</v>
      </c>
      <c r="G730" s="10">
        <v>0</v>
      </c>
      <c r="H730" s="10">
        <v>0</v>
      </c>
      <c r="I730" s="10" t="s">
        <v>21</v>
      </c>
      <c r="J730" s="10">
        <v>0</v>
      </c>
      <c r="K730" s="10">
        <v>0</v>
      </c>
      <c r="L730" s="10">
        <v>0</v>
      </c>
      <c r="M730" s="10">
        <v>0</v>
      </c>
      <c r="N730" s="10" t="s">
        <v>761</v>
      </c>
      <c r="O730" s="10" t="s">
        <v>1256</v>
      </c>
      <c r="P730" s="105" t="e">
        <f t="shared" si="11"/>
        <v>#DIV/0!</v>
      </c>
    </row>
    <row r="731" spans="1:16">
      <c r="A731" s="10" t="s">
        <v>635</v>
      </c>
      <c r="B731" s="10">
        <v>4018055</v>
      </c>
      <c r="C731" s="10" t="s">
        <v>759</v>
      </c>
      <c r="D731" s="10" t="s">
        <v>760</v>
      </c>
      <c r="E731" s="10">
        <v>0</v>
      </c>
      <c r="F731" s="10">
        <v>0</v>
      </c>
      <c r="G731" s="10">
        <v>0</v>
      </c>
      <c r="H731" s="10">
        <v>0</v>
      </c>
      <c r="I731" s="10" t="s">
        <v>21</v>
      </c>
      <c r="J731" s="10">
        <v>0</v>
      </c>
      <c r="K731" s="10">
        <v>0</v>
      </c>
      <c r="L731" s="10">
        <v>0</v>
      </c>
      <c r="M731" s="10">
        <v>0</v>
      </c>
      <c r="N731" s="10" t="s">
        <v>761</v>
      </c>
      <c r="O731" s="10" t="s">
        <v>1257</v>
      </c>
      <c r="P731" s="105" t="e">
        <f t="shared" si="11"/>
        <v>#DIV/0!</v>
      </c>
    </row>
    <row r="732" spans="1:16">
      <c r="A732" s="10" t="s">
        <v>635</v>
      </c>
      <c r="B732" s="10">
        <v>4018284</v>
      </c>
      <c r="C732" s="10" t="s">
        <v>759</v>
      </c>
      <c r="D732" s="10" t="s">
        <v>760</v>
      </c>
      <c r="E732" s="10">
        <v>0</v>
      </c>
      <c r="F732" s="10">
        <v>0</v>
      </c>
      <c r="G732" s="10">
        <v>0</v>
      </c>
      <c r="H732" s="10">
        <v>0</v>
      </c>
      <c r="I732" s="10" t="s">
        <v>21</v>
      </c>
      <c r="J732" s="10">
        <v>0</v>
      </c>
      <c r="K732" s="10">
        <v>0</v>
      </c>
      <c r="L732" s="10">
        <v>0</v>
      </c>
      <c r="M732" s="10">
        <v>0</v>
      </c>
      <c r="N732" s="10" t="s">
        <v>761</v>
      </c>
      <c r="O732" s="10" t="s">
        <v>1258</v>
      </c>
      <c r="P732" s="105" t="e">
        <f t="shared" si="11"/>
        <v>#DIV/0!</v>
      </c>
    </row>
    <row r="733" spans="1:16">
      <c r="A733" s="10" t="s">
        <v>635</v>
      </c>
      <c r="B733" s="10">
        <v>4018353</v>
      </c>
      <c r="C733" s="10" t="s">
        <v>759</v>
      </c>
      <c r="D733" s="10" t="s">
        <v>760</v>
      </c>
      <c r="E733" s="10">
        <v>0</v>
      </c>
      <c r="F733" s="10">
        <v>0</v>
      </c>
      <c r="G733" s="10">
        <v>0</v>
      </c>
      <c r="H733" s="10">
        <v>0</v>
      </c>
      <c r="I733" s="10" t="s">
        <v>74</v>
      </c>
      <c r="J733" s="10">
        <v>0</v>
      </c>
      <c r="K733" s="10">
        <v>0</v>
      </c>
      <c r="L733" s="10">
        <v>0</v>
      </c>
      <c r="M733" s="10">
        <v>0</v>
      </c>
      <c r="N733" s="10" t="s">
        <v>761</v>
      </c>
      <c r="O733" s="10" t="s">
        <v>1259</v>
      </c>
      <c r="P733" s="105" t="e">
        <f t="shared" si="11"/>
        <v>#DIV/0!</v>
      </c>
    </row>
    <row r="734" spans="1:16">
      <c r="A734" s="10" t="s">
        <v>635</v>
      </c>
      <c r="B734" s="10">
        <v>4018379</v>
      </c>
      <c r="C734" s="10" t="s">
        <v>759</v>
      </c>
      <c r="D734" s="10" t="s">
        <v>760</v>
      </c>
      <c r="E734" s="10">
        <v>0</v>
      </c>
      <c r="F734" s="10">
        <v>0</v>
      </c>
      <c r="G734" s="10">
        <v>0</v>
      </c>
      <c r="H734" s="10">
        <v>0</v>
      </c>
      <c r="I734" s="10" t="s">
        <v>21</v>
      </c>
      <c r="J734" s="10">
        <v>0</v>
      </c>
      <c r="K734" s="10">
        <v>0</v>
      </c>
      <c r="L734" s="10">
        <v>0</v>
      </c>
      <c r="M734" s="10">
        <v>0</v>
      </c>
      <c r="N734" s="10" t="s">
        <v>761</v>
      </c>
      <c r="O734" s="10" t="s">
        <v>543</v>
      </c>
      <c r="P734" s="105" t="e">
        <f t="shared" si="11"/>
        <v>#DIV/0!</v>
      </c>
    </row>
    <row r="735" spans="1:16">
      <c r="A735" s="10" t="s">
        <v>635</v>
      </c>
      <c r="B735" s="10">
        <v>4018585</v>
      </c>
      <c r="C735" s="10" t="s">
        <v>759</v>
      </c>
      <c r="D735" s="10" t="s">
        <v>760</v>
      </c>
      <c r="E735" s="10">
        <v>0</v>
      </c>
      <c r="F735" s="10">
        <v>0</v>
      </c>
      <c r="G735" s="10">
        <v>0</v>
      </c>
      <c r="H735" s="10">
        <v>0</v>
      </c>
      <c r="I735" s="10" t="s">
        <v>802</v>
      </c>
      <c r="J735" s="10">
        <v>0</v>
      </c>
      <c r="K735" s="10">
        <v>0</v>
      </c>
      <c r="L735" s="10">
        <v>0</v>
      </c>
      <c r="M735" s="10">
        <v>0</v>
      </c>
      <c r="N735" s="10" t="s">
        <v>761</v>
      </c>
      <c r="O735" s="10" t="s">
        <v>1260</v>
      </c>
      <c r="P735" s="105" t="e">
        <f t="shared" si="11"/>
        <v>#DIV/0!</v>
      </c>
    </row>
    <row r="736" spans="1:16">
      <c r="A736" s="10" t="s">
        <v>635</v>
      </c>
      <c r="B736" s="10">
        <v>4018586</v>
      </c>
      <c r="C736" s="10" t="s">
        <v>759</v>
      </c>
      <c r="D736" s="10" t="s">
        <v>760</v>
      </c>
      <c r="E736" s="10">
        <v>0</v>
      </c>
      <c r="F736" s="10">
        <v>0</v>
      </c>
      <c r="G736" s="10">
        <v>0</v>
      </c>
      <c r="H736" s="10">
        <v>0</v>
      </c>
      <c r="I736" s="10" t="s">
        <v>802</v>
      </c>
      <c r="J736" s="10">
        <v>0</v>
      </c>
      <c r="K736" s="10">
        <v>0</v>
      </c>
      <c r="L736" s="10">
        <v>0</v>
      </c>
      <c r="M736" s="10">
        <v>0</v>
      </c>
      <c r="N736" s="10" t="s">
        <v>761</v>
      </c>
      <c r="O736" s="10" t="s">
        <v>1261</v>
      </c>
      <c r="P736" s="105" t="e">
        <f t="shared" si="11"/>
        <v>#DIV/0!</v>
      </c>
    </row>
    <row r="737" spans="1:16">
      <c r="A737" s="10" t="s">
        <v>635</v>
      </c>
      <c r="B737" s="10">
        <v>4018587</v>
      </c>
      <c r="C737" s="10" t="s">
        <v>759</v>
      </c>
      <c r="D737" s="10" t="s">
        <v>760</v>
      </c>
      <c r="E737" s="10">
        <v>0</v>
      </c>
      <c r="F737" s="10">
        <v>0</v>
      </c>
      <c r="G737" s="10">
        <v>0</v>
      </c>
      <c r="H737" s="10">
        <v>0</v>
      </c>
      <c r="I737" s="10" t="s">
        <v>802</v>
      </c>
      <c r="J737" s="10">
        <v>0</v>
      </c>
      <c r="K737" s="10">
        <v>0</v>
      </c>
      <c r="L737" s="10">
        <v>0</v>
      </c>
      <c r="M737" s="10">
        <v>0</v>
      </c>
      <c r="N737" s="10" t="s">
        <v>761</v>
      </c>
      <c r="O737" s="10" t="s">
        <v>1262</v>
      </c>
      <c r="P737" s="105" t="e">
        <f t="shared" si="11"/>
        <v>#DIV/0!</v>
      </c>
    </row>
    <row r="738" spans="1:16">
      <c r="A738" s="10" t="s">
        <v>635</v>
      </c>
      <c r="B738" s="10">
        <v>4018767</v>
      </c>
      <c r="C738" s="10" t="s">
        <v>759</v>
      </c>
      <c r="D738" s="10" t="s">
        <v>760</v>
      </c>
      <c r="E738" s="10">
        <v>140</v>
      </c>
      <c r="F738" s="10">
        <v>220</v>
      </c>
      <c r="G738" s="10">
        <v>0</v>
      </c>
      <c r="H738" s="10">
        <v>360</v>
      </c>
      <c r="I738" s="10" t="s">
        <v>74</v>
      </c>
      <c r="J738" s="10">
        <v>629.67</v>
      </c>
      <c r="K738" s="10">
        <v>989.34</v>
      </c>
      <c r="L738" s="10">
        <v>0</v>
      </c>
      <c r="M738" s="103">
        <v>1619.01</v>
      </c>
      <c r="N738" s="10" t="s">
        <v>761</v>
      </c>
      <c r="O738" s="10" t="s">
        <v>448</v>
      </c>
      <c r="P738" s="105">
        <f t="shared" si="11"/>
        <v>4.49725</v>
      </c>
    </row>
    <row r="739" spans="1:16">
      <c r="A739" s="10" t="s">
        <v>635</v>
      </c>
      <c r="B739" s="10">
        <v>4018807</v>
      </c>
      <c r="C739" s="10" t="s">
        <v>759</v>
      </c>
      <c r="D739" s="10" t="s">
        <v>760</v>
      </c>
      <c r="E739" s="10">
        <v>0</v>
      </c>
      <c r="F739" s="10">
        <v>0</v>
      </c>
      <c r="G739" s="10">
        <v>0</v>
      </c>
      <c r="H739" s="10">
        <v>0</v>
      </c>
      <c r="I739" s="10" t="s">
        <v>21</v>
      </c>
      <c r="J739" s="10">
        <v>0</v>
      </c>
      <c r="K739" s="10">
        <v>0</v>
      </c>
      <c r="L739" s="10">
        <v>0</v>
      </c>
      <c r="M739" s="10">
        <v>0</v>
      </c>
      <c r="N739" s="10" t="s">
        <v>761</v>
      </c>
      <c r="O739" s="10" t="s">
        <v>1263</v>
      </c>
      <c r="P739" s="105" t="e">
        <f t="shared" si="11"/>
        <v>#DIV/0!</v>
      </c>
    </row>
    <row r="740" spans="1:16">
      <c r="A740" s="10" t="s">
        <v>635</v>
      </c>
      <c r="B740" s="10">
        <v>4018811</v>
      </c>
      <c r="C740" s="10" t="s">
        <v>759</v>
      </c>
      <c r="D740" s="10" t="s">
        <v>760</v>
      </c>
      <c r="E740" s="10">
        <v>0</v>
      </c>
      <c r="F740" s="10">
        <v>0</v>
      </c>
      <c r="G740" s="10">
        <v>0</v>
      </c>
      <c r="H740" s="10">
        <v>0</v>
      </c>
      <c r="I740" s="10" t="s">
        <v>21</v>
      </c>
      <c r="J740" s="10">
        <v>0</v>
      </c>
      <c r="K740" s="10">
        <v>0</v>
      </c>
      <c r="L740" s="10">
        <v>0</v>
      </c>
      <c r="M740" s="10">
        <v>0</v>
      </c>
      <c r="N740" s="10" t="s">
        <v>761</v>
      </c>
      <c r="O740" s="10" t="s">
        <v>1264</v>
      </c>
      <c r="P740" s="105" t="e">
        <f t="shared" si="11"/>
        <v>#DIV/0!</v>
      </c>
    </row>
    <row r="741" spans="1:16">
      <c r="A741" s="10" t="s">
        <v>635</v>
      </c>
      <c r="B741" s="10">
        <v>4018861</v>
      </c>
      <c r="C741" s="10" t="s">
        <v>759</v>
      </c>
      <c r="D741" s="10" t="s">
        <v>760</v>
      </c>
      <c r="E741" s="10">
        <v>0</v>
      </c>
      <c r="F741" s="10">
        <v>0</v>
      </c>
      <c r="G741" s="10">
        <v>0</v>
      </c>
      <c r="H741" s="10">
        <v>0</v>
      </c>
      <c r="I741" s="10" t="s">
        <v>102</v>
      </c>
      <c r="J741" s="10">
        <v>0</v>
      </c>
      <c r="K741" s="10">
        <v>0</v>
      </c>
      <c r="L741" s="10">
        <v>0</v>
      </c>
      <c r="M741" s="10">
        <v>0</v>
      </c>
      <c r="N741" s="10" t="s">
        <v>761</v>
      </c>
      <c r="O741" s="10" t="s">
        <v>1265</v>
      </c>
      <c r="P741" s="105" t="e">
        <f t="shared" si="11"/>
        <v>#DIV/0!</v>
      </c>
    </row>
    <row r="742" spans="1:16">
      <c r="A742" s="10" t="s">
        <v>635</v>
      </c>
      <c r="B742" s="10">
        <v>4018965</v>
      </c>
      <c r="C742" s="10" t="s">
        <v>759</v>
      </c>
      <c r="D742" s="10" t="s">
        <v>760</v>
      </c>
      <c r="E742" s="10">
        <v>16</v>
      </c>
      <c r="F742" s="10">
        <v>80</v>
      </c>
      <c r="G742" s="10">
        <v>0</v>
      </c>
      <c r="H742" s="10">
        <v>96</v>
      </c>
      <c r="I742" s="10" t="s">
        <v>74</v>
      </c>
      <c r="J742" s="10">
        <v>167.99</v>
      </c>
      <c r="K742" s="10">
        <v>840</v>
      </c>
      <c r="L742" s="10">
        <v>0</v>
      </c>
      <c r="M742" s="103">
        <v>1007.99</v>
      </c>
      <c r="N742" s="10" t="s">
        <v>761</v>
      </c>
      <c r="O742" s="10" t="s">
        <v>613</v>
      </c>
      <c r="P742" s="105">
        <f t="shared" si="11"/>
        <v>10.4998958333333</v>
      </c>
    </row>
    <row r="743" spans="1:16">
      <c r="A743" s="10" t="s">
        <v>635</v>
      </c>
      <c r="B743" s="10">
        <v>4018968</v>
      </c>
      <c r="C743" s="10" t="s">
        <v>759</v>
      </c>
      <c r="D743" s="10" t="s">
        <v>760</v>
      </c>
      <c r="E743" s="10">
        <v>0</v>
      </c>
      <c r="F743" s="10">
        <v>17</v>
      </c>
      <c r="G743" s="10">
        <v>0</v>
      </c>
      <c r="H743" s="10">
        <v>17</v>
      </c>
      <c r="I743" s="10" t="s">
        <v>151</v>
      </c>
      <c r="J743" s="10">
        <v>0</v>
      </c>
      <c r="K743" s="10">
        <v>27.65</v>
      </c>
      <c r="L743" s="10">
        <v>0</v>
      </c>
      <c r="M743" s="10">
        <v>27.65</v>
      </c>
      <c r="N743" s="10" t="s">
        <v>761</v>
      </c>
      <c r="O743" s="10" t="s">
        <v>419</v>
      </c>
      <c r="P743" s="105">
        <f t="shared" si="11"/>
        <v>1.62647058823529</v>
      </c>
    </row>
    <row r="744" spans="1:16">
      <c r="A744" s="10" t="s">
        <v>635</v>
      </c>
      <c r="B744" s="10">
        <v>4019089</v>
      </c>
      <c r="C744" s="10" t="s">
        <v>759</v>
      </c>
      <c r="D744" s="10" t="s">
        <v>760</v>
      </c>
      <c r="E744" s="10">
        <v>43</v>
      </c>
      <c r="F744" s="10">
        <v>120</v>
      </c>
      <c r="G744" s="10">
        <v>0</v>
      </c>
      <c r="H744" s="10">
        <v>163</v>
      </c>
      <c r="I744" s="10" t="s">
        <v>138</v>
      </c>
      <c r="J744" s="10">
        <v>43.89</v>
      </c>
      <c r="K744" s="10">
        <v>122.5</v>
      </c>
      <c r="L744" s="10">
        <v>0</v>
      </c>
      <c r="M744" s="10">
        <v>166.39</v>
      </c>
      <c r="N744" s="10" t="s">
        <v>761</v>
      </c>
      <c r="O744" s="10" t="s">
        <v>310</v>
      </c>
      <c r="P744" s="105">
        <f t="shared" si="11"/>
        <v>1.02079754601227</v>
      </c>
    </row>
    <row r="745" spans="1:16">
      <c r="A745" s="10" t="s">
        <v>635</v>
      </c>
      <c r="B745" s="10">
        <v>4019274</v>
      </c>
      <c r="C745" s="10" t="s">
        <v>759</v>
      </c>
      <c r="D745" s="10" t="s">
        <v>760</v>
      </c>
      <c r="E745" s="10">
        <v>0</v>
      </c>
      <c r="F745" s="10">
        <v>0</v>
      </c>
      <c r="G745" s="10">
        <v>0</v>
      </c>
      <c r="H745" s="10">
        <v>0</v>
      </c>
      <c r="I745" s="10" t="s">
        <v>21</v>
      </c>
      <c r="J745" s="10">
        <v>0</v>
      </c>
      <c r="K745" s="10">
        <v>0</v>
      </c>
      <c r="L745" s="10">
        <v>0</v>
      </c>
      <c r="M745" s="10">
        <v>0</v>
      </c>
      <c r="N745" s="10" t="s">
        <v>761</v>
      </c>
      <c r="O745" s="10" t="s">
        <v>1266</v>
      </c>
      <c r="P745" s="105" t="e">
        <f t="shared" si="11"/>
        <v>#DIV/0!</v>
      </c>
    </row>
    <row r="746" spans="1:16">
      <c r="A746" s="10" t="s">
        <v>635</v>
      </c>
      <c r="B746" s="10">
        <v>4019343</v>
      </c>
      <c r="C746" s="10" t="s">
        <v>759</v>
      </c>
      <c r="D746" s="10" t="s">
        <v>760</v>
      </c>
      <c r="E746" s="10">
        <v>20</v>
      </c>
      <c r="F746" s="10">
        <v>70</v>
      </c>
      <c r="G746" s="10">
        <v>0</v>
      </c>
      <c r="H746" s="10">
        <v>90</v>
      </c>
      <c r="I746" s="10" t="s">
        <v>74</v>
      </c>
      <c r="J746" s="10">
        <v>166.69</v>
      </c>
      <c r="K746" s="10">
        <v>583.38</v>
      </c>
      <c r="L746" s="10">
        <v>0</v>
      </c>
      <c r="M746" s="10">
        <v>750.07</v>
      </c>
      <c r="N746" s="10" t="s">
        <v>761</v>
      </c>
      <c r="O746" s="10" t="s">
        <v>214</v>
      </c>
      <c r="P746" s="105">
        <f t="shared" si="11"/>
        <v>8.33411111111111</v>
      </c>
    </row>
    <row r="747" spans="1:16">
      <c r="A747" s="10" t="s">
        <v>635</v>
      </c>
      <c r="B747" s="10">
        <v>4019536</v>
      </c>
      <c r="C747" s="10" t="s">
        <v>759</v>
      </c>
      <c r="D747" s="10" t="s">
        <v>760</v>
      </c>
      <c r="E747" s="10">
        <v>0</v>
      </c>
      <c r="F747" s="10">
        <v>0</v>
      </c>
      <c r="G747" s="10">
        <v>0</v>
      </c>
      <c r="H747" s="10">
        <v>0</v>
      </c>
      <c r="I747" s="10" t="s">
        <v>261</v>
      </c>
      <c r="J747" s="10">
        <v>0</v>
      </c>
      <c r="K747" s="10">
        <v>0</v>
      </c>
      <c r="L747" s="10">
        <v>0</v>
      </c>
      <c r="M747" s="10">
        <v>0</v>
      </c>
      <c r="N747" s="10" t="s">
        <v>761</v>
      </c>
      <c r="O747" s="10" t="s">
        <v>1267</v>
      </c>
      <c r="P747" s="105" t="e">
        <f t="shared" si="11"/>
        <v>#DIV/0!</v>
      </c>
    </row>
    <row r="748" spans="1:16">
      <c r="A748" s="10" t="s">
        <v>635</v>
      </c>
      <c r="B748" s="10">
        <v>4019548</v>
      </c>
      <c r="C748" s="10" t="s">
        <v>759</v>
      </c>
      <c r="D748" s="10" t="s">
        <v>760</v>
      </c>
      <c r="E748" s="10">
        <v>0</v>
      </c>
      <c r="F748" s="10">
        <v>0</v>
      </c>
      <c r="G748" s="10">
        <v>0</v>
      </c>
      <c r="H748" s="10">
        <v>0</v>
      </c>
      <c r="I748" s="10" t="s">
        <v>21</v>
      </c>
      <c r="J748" s="10">
        <v>0</v>
      </c>
      <c r="K748" s="10">
        <v>0</v>
      </c>
      <c r="L748" s="10">
        <v>0</v>
      </c>
      <c r="M748" s="10">
        <v>0</v>
      </c>
      <c r="N748" s="10" t="s">
        <v>761</v>
      </c>
      <c r="O748" s="10" t="s">
        <v>1268</v>
      </c>
      <c r="P748" s="105" t="e">
        <f t="shared" si="11"/>
        <v>#DIV/0!</v>
      </c>
    </row>
    <row r="749" spans="1:16">
      <c r="A749" s="10" t="s">
        <v>635</v>
      </c>
      <c r="B749" s="10">
        <v>4019659</v>
      </c>
      <c r="C749" s="10" t="s">
        <v>759</v>
      </c>
      <c r="D749" s="10" t="s">
        <v>760</v>
      </c>
      <c r="E749" s="10">
        <v>0</v>
      </c>
      <c r="F749" s="10">
        <v>0</v>
      </c>
      <c r="G749" s="10">
        <v>0</v>
      </c>
      <c r="H749" s="10">
        <v>0</v>
      </c>
      <c r="I749" s="10" t="s">
        <v>67</v>
      </c>
      <c r="J749" s="10">
        <v>0</v>
      </c>
      <c r="K749" s="10">
        <v>0</v>
      </c>
      <c r="L749" s="10">
        <v>0</v>
      </c>
      <c r="M749" s="10">
        <v>0</v>
      </c>
      <c r="N749" s="10" t="s">
        <v>761</v>
      </c>
      <c r="O749" s="10" t="s">
        <v>1269</v>
      </c>
      <c r="P749" s="105" t="e">
        <f t="shared" si="11"/>
        <v>#DIV/0!</v>
      </c>
    </row>
    <row r="750" spans="1:16">
      <c r="A750" s="10" t="s">
        <v>635</v>
      </c>
      <c r="B750" s="10">
        <v>4019681</v>
      </c>
      <c r="C750" s="10" t="s">
        <v>759</v>
      </c>
      <c r="D750" s="10" t="s">
        <v>760</v>
      </c>
      <c r="E750" s="10">
        <v>0</v>
      </c>
      <c r="F750" s="10">
        <v>0</v>
      </c>
      <c r="G750" s="10">
        <v>0</v>
      </c>
      <c r="H750" s="10">
        <v>0</v>
      </c>
      <c r="I750" s="10" t="s">
        <v>21</v>
      </c>
      <c r="J750" s="10">
        <v>0</v>
      </c>
      <c r="K750" s="10">
        <v>0</v>
      </c>
      <c r="L750" s="10">
        <v>0</v>
      </c>
      <c r="M750" s="10">
        <v>0</v>
      </c>
      <c r="N750" s="10" t="s">
        <v>761</v>
      </c>
      <c r="O750" s="10" t="s">
        <v>1270</v>
      </c>
      <c r="P750" s="105" t="e">
        <f t="shared" si="11"/>
        <v>#DIV/0!</v>
      </c>
    </row>
    <row r="751" spans="1:16">
      <c r="A751" s="10" t="s">
        <v>635</v>
      </c>
      <c r="B751" s="10">
        <v>4019686</v>
      </c>
      <c r="C751" s="10" t="s">
        <v>759</v>
      </c>
      <c r="D751" s="10" t="s">
        <v>760</v>
      </c>
      <c r="E751" s="10">
        <v>0</v>
      </c>
      <c r="F751" s="10">
        <v>0</v>
      </c>
      <c r="G751" s="10">
        <v>0</v>
      </c>
      <c r="H751" s="10">
        <v>0</v>
      </c>
      <c r="I751" s="10" t="s">
        <v>21</v>
      </c>
      <c r="J751" s="10">
        <v>0</v>
      </c>
      <c r="K751" s="10">
        <v>0</v>
      </c>
      <c r="L751" s="10">
        <v>0</v>
      </c>
      <c r="M751" s="10">
        <v>0</v>
      </c>
      <c r="N751" s="10" t="s">
        <v>761</v>
      </c>
      <c r="O751" s="10" t="s">
        <v>1271</v>
      </c>
      <c r="P751" s="105" t="e">
        <f t="shared" si="11"/>
        <v>#DIV/0!</v>
      </c>
    </row>
    <row r="752" spans="1:16">
      <c r="A752" s="10" t="s">
        <v>635</v>
      </c>
      <c r="B752" s="10">
        <v>4019738</v>
      </c>
      <c r="C752" s="10" t="s">
        <v>759</v>
      </c>
      <c r="D752" s="10" t="s">
        <v>760</v>
      </c>
      <c r="E752" s="10">
        <v>0</v>
      </c>
      <c r="F752" s="10">
        <v>0</v>
      </c>
      <c r="G752" s="10">
        <v>0</v>
      </c>
      <c r="H752" s="10">
        <v>0</v>
      </c>
      <c r="I752" s="10" t="s">
        <v>643</v>
      </c>
      <c r="J752" s="10">
        <v>0</v>
      </c>
      <c r="K752" s="10">
        <v>0</v>
      </c>
      <c r="L752" s="10">
        <v>0</v>
      </c>
      <c r="M752" s="10">
        <v>0</v>
      </c>
      <c r="N752" s="10" t="s">
        <v>761</v>
      </c>
      <c r="O752" s="10" t="s">
        <v>1272</v>
      </c>
      <c r="P752" s="105" t="e">
        <f t="shared" si="11"/>
        <v>#DIV/0!</v>
      </c>
    </row>
    <row r="753" spans="1:16">
      <c r="A753" s="10" t="s">
        <v>635</v>
      </c>
      <c r="B753" s="10">
        <v>4019934</v>
      </c>
      <c r="C753" s="10" t="s">
        <v>759</v>
      </c>
      <c r="D753" s="10" t="s">
        <v>760</v>
      </c>
      <c r="E753" s="10">
        <v>0</v>
      </c>
      <c r="F753" s="10">
        <v>0</v>
      </c>
      <c r="G753" s="10">
        <v>0</v>
      </c>
      <c r="H753" s="10">
        <v>0</v>
      </c>
      <c r="I753" s="10" t="s">
        <v>21</v>
      </c>
      <c r="J753" s="10">
        <v>0</v>
      </c>
      <c r="K753" s="10">
        <v>0</v>
      </c>
      <c r="L753" s="10">
        <v>0</v>
      </c>
      <c r="M753" s="10">
        <v>0</v>
      </c>
      <c r="N753" s="10" t="s">
        <v>761</v>
      </c>
      <c r="O753" s="10" t="s">
        <v>1273</v>
      </c>
      <c r="P753" s="105" t="e">
        <f t="shared" si="11"/>
        <v>#DIV/0!</v>
      </c>
    </row>
    <row r="754" spans="1:16">
      <c r="A754" s="10" t="s">
        <v>635</v>
      </c>
      <c r="B754" s="10">
        <v>4019935</v>
      </c>
      <c r="C754" s="10" t="s">
        <v>759</v>
      </c>
      <c r="D754" s="10" t="s">
        <v>760</v>
      </c>
      <c r="E754" s="10">
        <v>0</v>
      </c>
      <c r="F754" s="10">
        <v>0</v>
      </c>
      <c r="G754" s="10">
        <v>0</v>
      </c>
      <c r="H754" s="10">
        <v>0</v>
      </c>
      <c r="I754" s="10" t="s">
        <v>21</v>
      </c>
      <c r="J754" s="10">
        <v>0</v>
      </c>
      <c r="K754" s="10">
        <v>0</v>
      </c>
      <c r="L754" s="10">
        <v>0</v>
      </c>
      <c r="M754" s="10">
        <v>0</v>
      </c>
      <c r="N754" s="10" t="s">
        <v>761</v>
      </c>
      <c r="O754" s="10" t="s">
        <v>449</v>
      </c>
      <c r="P754" s="105" t="e">
        <f t="shared" si="11"/>
        <v>#DIV/0!</v>
      </c>
    </row>
    <row r="755" spans="1:16">
      <c r="A755" s="10" t="s">
        <v>635</v>
      </c>
      <c r="B755" s="10">
        <v>4020091</v>
      </c>
      <c r="C755" s="10" t="s">
        <v>759</v>
      </c>
      <c r="D755" s="10" t="s">
        <v>760</v>
      </c>
      <c r="E755" s="10">
        <v>76.8</v>
      </c>
      <c r="F755" s="10">
        <v>412.8</v>
      </c>
      <c r="G755" s="10">
        <v>0</v>
      </c>
      <c r="H755" s="10">
        <v>489.6</v>
      </c>
      <c r="I755" s="10" t="s">
        <v>74</v>
      </c>
      <c r="J755" s="103">
        <v>1314.05</v>
      </c>
      <c r="K755" s="103">
        <v>6858.38</v>
      </c>
      <c r="L755" s="10">
        <v>0</v>
      </c>
      <c r="M755" s="103">
        <v>8172.43</v>
      </c>
      <c r="N755" s="10" t="s">
        <v>761</v>
      </c>
      <c r="O755" s="10" t="s">
        <v>529</v>
      </c>
      <c r="P755" s="105">
        <f t="shared" si="11"/>
        <v>16.6920547385621</v>
      </c>
    </row>
    <row r="756" spans="1:16">
      <c r="A756" s="10" t="s">
        <v>635</v>
      </c>
      <c r="B756" s="10">
        <v>4020092</v>
      </c>
      <c r="C756" s="10" t="s">
        <v>759</v>
      </c>
      <c r="D756" s="10" t="s">
        <v>760</v>
      </c>
      <c r="E756" s="10">
        <v>0</v>
      </c>
      <c r="F756" s="10">
        <v>0</v>
      </c>
      <c r="G756" s="10">
        <v>0</v>
      </c>
      <c r="H756" s="10">
        <v>0</v>
      </c>
      <c r="I756" s="10" t="s">
        <v>21</v>
      </c>
      <c r="J756" s="10">
        <v>0</v>
      </c>
      <c r="K756" s="10">
        <v>0</v>
      </c>
      <c r="L756" s="10">
        <v>0</v>
      </c>
      <c r="M756" s="10">
        <v>0</v>
      </c>
      <c r="N756" s="10" t="s">
        <v>761</v>
      </c>
      <c r="O756" s="10" t="s">
        <v>220</v>
      </c>
      <c r="P756" s="105" t="e">
        <f t="shared" si="11"/>
        <v>#DIV/0!</v>
      </c>
    </row>
    <row r="757" spans="1:16">
      <c r="A757" s="10" t="s">
        <v>635</v>
      </c>
      <c r="B757" s="10">
        <v>4020151</v>
      </c>
      <c r="C757" s="10" t="s">
        <v>759</v>
      </c>
      <c r="D757" s="10" t="s">
        <v>760</v>
      </c>
      <c r="E757" s="10">
        <v>0</v>
      </c>
      <c r="F757" s="10">
        <v>0</v>
      </c>
      <c r="G757" s="10">
        <v>0</v>
      </c>
      <c r="H757" s="10">
        <v>0</v>
      </c>
      <c r="I757" s="10" t="s">
        <v>802</v>
      </c>
      <c r="J757" s="10">
        <v>0</v>
      </c>
      <c r="K757" s="10">
        <v>0</v>
      </c>
      <c r="L757" s="10">
        <v>0</v>
      </c>
      <c r="M757" s="10">
        <v>0</v>
      </c>
      <c r="N757" s="10" t="s">
        <v>761</v>
      </c>
      <c r="O757" s="10" t="s">
        <v>1274</v>
      </c>
      <c r="P757" s="105" t="e">
        <f t="shared" si="11"/>
        <v>#DIV/0!</v>
      </c>
    </row>
    <row r="758" spans="1:16">
      <c r="A758" s="10" t="s">
        <v>635</v>
      </c>
      <c r="B758" s="10">
        <v>4020152</v>
      </c>
      <c r="C758" s="10" t="s">
        <v>759</v>
      </c>
      <c r="D758" s="10" t="s">
        <v>760</v>
      </c>
      <c r="E758" s="10">
        <v>0</v>
      </c>
      <c r="F758" s="10">
        <v>0</v>
      </c>
      <c r="G758" s="10">
        <v>0</v>
      </c>
      <c r="H758" s="10">
        <v>0</v>
      </c>
      <c r="I758" s="10" t="s">
        <v>802</v>
      </c>
      <c r="J758" s="10">
        <v>0</v>
      </c>
      <c r="K758" s="10">
        <v>0</v>
      </c>
      <c r="L758" s="10">
        <v>0</v>
      </c>
      <c r="M758" s="10">
        <v>0</v>
      </c>
      <c r="N758" s="10" t="s">
        <v>761</v>
      </c>
      <c r="O758" s="10" t="s">
        <v>1275</v>
      </c>
      <c r="P758" s="105" t="e">
        <f t="shared" si="11"/>
        <v>#DIV/0!</v>
      </c>
    </row>
    <row r="759" spans="1:16">
      <c r="A759" s="10" t="s">
        <v>635</v>
      </c>
      <c r="B759" s="10">
        <v>4020153</v>
      </c>
      <c r="C759" s="10" t="s">
        <v>759</v>
      </c>
      <c r="D759" s="10" t="s">
        <v>760</v>
      </c>
      <c r="E759" s="10">
        <v>0</v>
      </c>
      <c r="F759" s="10">
        <v>0</v>
      </c>
      <c r="G759" s="10">
        <v>0</v>
      </c>
      <c r="H759" s="10">
        <v>0</v>
      </c>
      <c r="I759" s="10" t="s">
        <v>802</v>
      </c>
      <c r="J759" s="10">
        <v>0</v>
      </c>
      <c r="K759" s="10">
        <v>0</v>
      </c>
      <c r="L759" s="10">
        <v>0</v>
      </c>
      <c r="M759" s="10">
        <v>0</v>
      </c>
      <c r="N759" s="10" t="s">
        <v>761</v>
      </c>
      <c r="O759" s="10" t="s">
        <v>1276</v>
      </c>
      <c r="P759" s="105" t="e">
        <f t="shared" si="11"/>
        <v>#DIV/0!</v>
      </c>
    </row>
    <row r="760" spans="1:16">
      <c r="A760" s="10" t="s">
        <v>635</v>
      </c>
      <c r="B760" s="10">
        <v>4020386</v>
      </c>
      <c r="C760" s="10" t="s">
        <v>759</v>
      </c>
      <c r="D760" s="10" t="s">
        <v>760</v>
      </c>
      <c r="E760" s="10">
        <v>0</v>
      </c>
      <c r="F760" s="10">
        <v>200</v>
      </c>
      <c r="G760" s="10">
        <v>0</v>
      </c>
      <c r="H760" s="10">
        <v>200</v>
      </c>
      <c r="I760" s="10" t="s">
        <v>30</v>
      </c>
      <c r="J760" s="10">
        <v>0</v>
      </c>
      <c r="K760" s="10">
        <v>67.61</v>
      </c>
      <c r="L760" s="10">
        <v>0</v>
      </c>
      <c r="M760" s="10">
        <v>67.61</v>
      </c>
      <c r="N760" s="10" t="s">
        <v>761</v>
      </c>
      <c r="O760" s="10" t="s">
        <v>255</v>
      </c>
      <c r="P760" s="105">
        <f t="shared" si="11"/>
        <v>0.33805</v>
      </c>
    </row>
    <row r="761" spans="1:16">
      <c r="A761" s="10" t="s">
        <v>635</v>
      </c>
      <c r="B761" s="10">
        <v>4020394</v>
      </c>
      <c r="C761" s="10" t="s">
        <v>759</v>
      </c>
      <c r="D761" s="10" t="s">
        <v>760</v>
      </c>
      <c r="E761" s="10">
        <v>0</v>
      </c>
      <c r="F761" s="10">
        <v>0</v>
      </c>
      <c r="G761" s="10">
        <v>0</v>
      </c>
      <c r="H761" s="10">
        <v>0</v>
      </c>
      <c r="I761" s="10" t="s">
        <v>74</v>
      </c>
      <c r="J761" s="10">
        <v>0</v>
      </c>
      <c r="K761" s="10">
        <v>0</v>
      </c>
      <c r="L761" s="10">
        <v>0</v>
      </c>
      <c r="M761" s="10">
        <v>0</v>
      </c>
      <c r="N761" s="10" t="s">
        <v>761</v>
      </c>
      <c r="O761" s="10" t="s">
        <v>1277</v>
      </c>
      <c r="P761" s="105" t="e">
        <f t="shared" si="11"/>
        <v>#DIV/0!</v>
      </c>
    </row>
    <row r="762" spans="1:16">
      <c r="A762" s="10" t="s">
        <v>635</v>
      </c>
      <c r="B762" s="10">
        <v>4020602</v>
      </c>
      <c r="C762" s="10" t="s">
        <v>759</v>
      </c>
      <c r="D762" s="10" t="s">
        <v>760</v>
      </c>
      <c r="E762" s="10">
        <v>0</v>
      </c>
      <c r="F762" s="10">
        <v>0</v>
      </c>
      <c r="G762" s="10">
        <v>0</v>
      </c>
      <c r="H762" s="10">
        <v>0</v>
      </c>
      <c r="I762" s="10" t="s">
        <v>89</v>
      </c>
      <c r="J762" s="10">
        <v>0</v>
      </c>
      <c r="K762" s="10">
        <v>0</v>
      </c>
      <c r="L762" s="10">
        <v>0</v>
      </c>
      <c r="M762" s="10">
        <v>0</v>
      </c>
      <c r="N762" s="10" t="s">
        <v>761</v>
      </c>
      <c r="O762" s="10" t="s">
        <v>87</v>
      </c>
      <c r="P762" s="105" t="e">
        <f t="shared" si="11"/>
        <v>#DIV/0!</v>
      </c>
    </row>
    <row r="763" spans="1:16">
      <c r="A763" s="10" t="s">
        <v>635</v>
      </c>
      <c r="B763" s="10">
        <v>4020610</v>
      </c>
      <c r="C763" s="10" t="s">
        <v>759</v>
      </c>
      <c r="D763" s="10" t="s">
        <v>760</v>
      </c>
      <c r="E763" s="10">
        <v>0</v>
      </c>
      <c r="F763" s="10">
        <v>0</v>
      </c>
      <c r="G763" s="10">
        <v>0</v>
      </c>
      <c r="H763" s="10">
        <v>0</v>
      </c>
      <c r="I763" s="10" t="s">
        <v>102</v>
      </c>
      <c r="J763" s="10">
        <v>0</v>
      </c>
      <c r="K763" s="10">
        <v>0</v>
      </c>
      <c r="L763" s="10">
        <v>0</v>
      </c>
      <c r="M763" s="10">
        <v>0</v>
      </c>
      <c r="N763" s="10" t="s">
        <v>761</v>
      </c>
      <c r="O763" s="10" t="s">
        <v>1278</v>
      </c>
      <c r="P763" s="105" t="e">
        <f t="shared" si="11"/>
        <v>#DIV/0!</v>
      </c>
    </row>
    <row r="764" spans="1:16">
      <c r="A764" s="10" t="s">
        <v>635</v>
      </c>
      <c r="B764" s="10">
        <v>4020611</v>
      </c>
      <c r="C764" s="10" t="s">
        <v>759</v>
      </c>
      <c r="D764" s="10" t="s">
        <v>760</v>
      </c>
      <c r="E764" s="10">
        <v>0</v>
      </c>
      <c r="F764" s="10">
        <v>0</v>
      </c>
      <c r="G764" s="10">
        <v>0</v>
      </c>
      <c r="H764" s="10">
        <v>0</v>
      </c>
      <c r="I764" s="10" t="s">
        <v>102</v>
      </c>
      <c r="J764" s="10">
        <v>0</v>
      </c>
      <c r="K764" s="10">
        <v>0</v>
      </c>
      <c r="L764" s="10">
        <v>0</v>
      </c>
      <c r="M764" s="10">
        <v>0</v>
      </c>
      <c r="N764" s="10" t="s">
        <v>761</v>
      </c>
      <c r="O764" s="10" t="s">
        <v>1279</v>
      </c>
      <c r="P764" s="105" t="e">
        <f t="shared" si="11"/>
        <v>#DIV/0!</v>
      </c>
    </row>
    <row r="765" spans="1:16">
      <c r="A765" s="10" t="s">
        <v>635</v>
      </c>
      <c r="B765" s="10">
        <v>4020612</v>
      </c>
      <c r="C765" s="10" t="s">
        <v>759</v>
      </c>
      <c r="D765" s="10" t="s">
        <v>760</v>
      </c>
      <c r="E765" s="10">
        <v>0</v>
      </c>
      <c r="F765" s="10">
        <v>0</v>
      </c>
      <c r="G765" s="10">
        <v>0</v>
      </c>
      <c r="H765" s="10">
        <v>0</v>
      </c>
      <c r="I765" s="10" t="s">
        <v>102</v>
      </c>
      <c r="J765" s="10">
        <v>0</v>
      </c>
      <c r="K765" s="10">
        <v>0</v>
      </c>
      <c r="L765" s="10">
        <v>0</v>
      </c>
      <c r="M765" s="10">
        <v>0</v>
      </c>
      <c r="N765" s="10" t="s">
        <v>761</v>
      </c>
      <c r="O765" s="10" t="s">
        <v>1280</v>
      </c>
      <c r="P765" s="105" t="e">
        <f t="shared" si="11"/>
        <v>#DIV/0!</v>
      </c>
    </row>
    <row r="766" spans="1:16">
      <c r="A766" s="10" t="s">
        <v>635</v>
      </c>
      <c r="B766" s="10">
        <v>4020615</v>
      </c>
      <c r="C766" s="10" t="s">
        <v>759</v>
      </c>
      <c r="D766" s="10" t="s">
        <v>760</v>
      </c>
      <c r="E766" s="10">
        <v>0</v>
      </c>
      <c r="F766" s="10">
        <v>0</v>
      </c>
      <c r="G766" s="10">
        <v>0</v>
      </c>
      <c r="H766" s="10">
        <v>0</v>
      </c>
      <c r="I766" s="10" t="s">
        <v>102</v>
      </c>
      <c r="J766" s="10">
        <v>0</v>
      </c>
      <c r="K766" s="10">
        <v>0</v>
      </c>
      <c r="L766" s="10">
        <v>0</v>
      </c>
      <c r="M766" s="10">
        <v>0</v>
      </c>
      <c r="N766" s="10" t="s">
        <v>761</v>
      </c>
      <c r="O766" s="10" t="s">
        <v>1281</v>
      </c>
      <c r="P766" s="105" t="e">
        <f t="shared" si="11"/>
        <v>#DIV/0!</v>
      </c>
    </row>
    <row r="767" spans="1:16">
      <c r="A767" s="10" t="s">
        <v>635</v>
      </c>
      <c r="B767" s="10">
        <v>4020616</v>
      </c>
      <c r="C767" s="10" t="s">
        <v>759</v>
      </c>
      <c r="D767" s="10" t="s">
        <v>760</v>
      </c>
      <c r="E767" s="10">
        <v>0</v>
      </c>
      <c r="F767" s="10">
        <v>0</v>
      </c>
      <c r="G767" s="10">
        <v>0</v>
      </c>
      <c r="H767" s="10">
        <v>0</v>
      </c>
      <c r="I767" s="10" t="s">
        <v>102</v>
      </c>
      <c r="J767" s="10">
        <v>0</v>
      </c>
      <c r="K767" s="10">
        <v>0</v>
      </c>
      <c r="L767" s="10">
        <v>0</v>
      </c>
      <c r="M767" s="10">
        <v>0</v>
      </c>
      <c r="N767" s="10" t="s">
        <v>761</v>
      </c>
      <c r="O767" s="10" t="s">
        <v>1282</v>
      </c>
      <c r="P767" s="105" t="e">
        <f t="shared" si="11"/>
        <v>#DIV/0!</v>
      </c>
    </row>
    <row r="768" spans="1:16">
      <c r="A768" s="10" t="s">
        <v>635</v>
      </c>
      <c r="B768" s="10">
        <v>4020617</v>
      </c>
      <c r="C768" s="10" t="s">
        <v>759</v>
      </c>
      <c r="D768" s="10" t="s">
        <v>760</v>
      </c>
      <c r="E768" s="10">
        <v>0</v>
      </c>
      <c r="F768" s="10">
        <v>0</v>
      </c>
      <c r="G768" s="10">
        <v>0</v>
      </c>
      <c r="H768" s="10">
        <v>0</v>
      </c>
      <c r="I768" s="10" t="s">
        <v>102</v>
      </c>
      <c r="J768" s="10">
        <v>0</v>
      </c>
      <c r="K768" s="10">
        <v>0</v>
      </c>
      <c r="L768" s="10">
        <v>0</v>
      </c>
      <c r="M768" s="10">
        <v>0</v>
      </c>
      <c r="N768" s="10" t="s">
        <v>761</v>
      </c>
      <c r="O768" s="10" t="s">
        <v>1283</v>
      </c>
      <c r="P768" s="105" t="e">
        <f t="shared" si="11"/>
        <v>#DIV/0!</v>
      </c>
    </row>
    <row r="769" spans="1:16">
      <c r="A769" s="10" t="s">
        <v>635</v>
      </c>
      <c r="B769" s="10">
        <v>4020625</v>
      </c>
      <c r="C769" s="10" t="s">
        <v>759</v>
      </c>
      <c r="D769" s="10" t="s">
        <v>760</v>
      </c>
      <c r="E769" s="10">
        <v>0</v>
      </c>
      <c r="F769" s="10">
        <v>0</v>
      </c>
      <c r="G769" s="10">
        <v>0</v>
      </c>
      <c r="H769" s="10">
        <v>0</v>
      </c>
      <c r="I769" s="10" t="s">
        <v>102</v>
      </c>
      <c r="J769" s="10">
        <v>0</v>
      </c>
      <c r="K769" s="10">
        <v>0</v>
      </c>
      <c r="L769" s="10">
        <v>0</v>
      </c>
      <c r="M769" s="10">
        <v>0</v>
      </c>
      <c r="N769" s="10" t="s">
        <v>761</v>
      </c>
      <c r="O769" s="10" t="s">
        <v>1284</v>
      </c>
      <c r="P769" s="105" t="e">
        <f t="shared" si="11"/>
        <v>#DIV/0!</v>
      </c>
    </row>
    <row r="770" spans="1:16">
      <c r="A770" s="10" t="s">
        <v>635</v>
      </c>
      <c r="B770" s="10">
        <v>4020626</v>
      </c>
      <c r="C770" s="10" t="s">
        <v>759</v>
      </c>
      <c r="D770" s="10" t="s">
        <v>760</v>
      </c>
      <c r="E770" s="10">
        <v>0</v>
      </c>
      <c r="F770" s="10">
        <v>0</v>
      </c>
      <c r="G770" s="10">
        <v>0</v>
      </c>
      <c r="H770" s="10">
        <v>0</v>
      </c>
      <c r="I770" s="10" t="s">
        <v>102</v>
      </c>
      <c r="J770" s="10">
        <v>0</v>
      </c>
      <c r="K770" s="10">
        <v>0</v>
      </c>
      <c r="L770" s="10">
        <v>0</v>
      </c>
      <c r="M770" s="10">
        <v>0</v>
      </c>
      <c r="N770" s="10" t="s">
        <v>761</v>
      </c>
      <c r="O770" s="10" t="s">
        <v>1285</v>
      </c>
      <c r="P770" s="105" t="e">
        <f t="shared" si="11"/>
        <v>#DIV/0!</v>
      </c>
    </row>
    <row r="771" spans="1:16">
      <c r="A771" s="10" t="s">
        <v>635</v>
      </c>
      <c r="B771" s="10">
        <v>4020656</v>
      </c>
      <c r="C771" s="10" t="s">
        <v>759</v>
      </c>
      <c r="D771" s="10" t="s">
        <v>760</v>
      </c>
      <c r="E771" s="10">
        <v>0</v>
      </c>
      <c r="F771" s="10">
        <v>0</v>
      </c>
      <c r="G771" s="10">
        <v>0</v>
      </c>
      <c r="H771" s="10">
        <v>0</v>
      </c>
      <c r="I771" s="10" t="s">
        <v>21</v>
      </c>
      <c r="J771" s="10">
        <v>0</v>
      </c>
      <c r="K771" s="10">
        <v>0</v>
      </c>
      <c r="L771" s="10">
        <v>0</v>
      </c>
      <c r="M771" s="10">
        <v>0</v>
      </c>
      <c r="N771" s="10" t="s">
        <v>761</v>
      </c>
      <c r="O771" s="10" t="s">
        <v>1286</v>
      </c>
      <c r="P771" s="105" t="e">
        <f t="shared" ref="P771:P834" si="12">M771/H771</f>
        <v>#DIV/0!</v>
      </c>
    </row>
    <row r="772" spans="1:16">
      <c r="A772" s="10" t="s">
        <v>635</v>
      </c>
      <c r="B772" s="10">
        <v>4020663</v>
      </c>
      <c r="C772" s="10" t="s">
        <v>759</v>
      </c>
      <c r="D772" s="10" t="s">
        <v>760</v>
      </c>
      <c r="E772" s="10">
        <v>0</v>
      </c>
      <c r="F772" s="10">
        <v>0</v>
      </c>
      <c r="G772" s="10">
        <v>0</v>
      </c>
      <c r="H772" s="10">
        <v>0</v>
      </c>
      <c r="I772" s="10" t="s">
        <v>21</v>
      </c>
      <c r="J772" s="10">
        <v>0</v>
      </c>
      <c r="K772" s="10">
        <v>0</v>
      </c>
      <c r="L772" s="10">
        <v>0</v>
      </c>
      <c r="M772" s="10">
        <v>0</v>
      </c>
      <c r="N772" s="10" t="s">
        <v>761</v>
      </c>
      <c r="O772" s="10" t="s">
        <v>1287</v>
      </c>
      <c r="P772" s="105" t="e">
        <f t="shared" si="12"/>
        <v>#DIV/0!</v>
      </c>
    </row>
    <row r="773" spans="1:16">
      <c r="A773" s="10" t="s">
        <v>635</v>
      </c>
      <c r="B773" s="10">
        <v>4020719</v>
      </c>
      <c r="C773" s="10" t="s">
        <v>759</v>
      </c>
      <c r="D773" s="10" t="s">
        <v>760</v>
      </c>
      <c r="E773" s="10">
        <v>10</v>
      </c>
      <c r="F773" s="10">
        <v>35</v>
      </c>
      <c r="G773" s="10">
        <v>0</v>
      </c>
      <c r="H773" s="10">
        <v>45</v>
      </c>
      <c r="I773" s="10" t="s">
        <v>74</v>
      </c>
      <c r="J773" s="10">
        <v>152.28</v>
      </c>
      <c r="K773" s="10">
        <v>517.38</v>
      </c>
      <c r="L773" s="10">
        <v>0</v>
      </c>
      <c r="M773" s="10">
        <v>669.66</v>
      </c>
      <c r="N773" s="10" t="s">
        <v>761</v>
      </c>
      <c r="O773" s="10" t="s">
        <v>530</v>
      </c>
      <c r="P773" s="105">
        <f t="shared" si="12"/>
        <v>14.8813333333333</v>
      </c>
    </row>
    <row r="774" spans="1:16">
      <c r="A774" s="10" t="s">
        <v>635</v>
      </c>
      <c r="B774" s="10">
        <v>4020737</v>
      </c>
      <c r="C774" s="10" t="s">
        <v>759</v>
      </c>
      <c r="D774" s="10" t="s">
        <v>760</v>
      </c>
      <c r="E774" s="10">
        <v>0</v>
      </c>
      <c r="F774" s="10">
        <v>0</v>
      </c>
      <c r="G774" s="10">
        <v>0</v>
      </c>
      <c r="H774" s="10">
        <v>0</v>
      </c>
      <c r="I774" s="10" t="s">
        <v>21</v>
      </c>
      <c r="J774" s="10">
        <v>0</v>
      </c>
      <c r="K774" s="10">
        <v>0</v>
      </c>
      <c r="L774" s="10">
        <v>0</v>
      </c>
      <c r="M774" s="10">
        <v>0</v>
      </c>
      <c r="N774" s="10" t="s">
        <v>761</v>
      </c>
      <c r="O774" s="10" t="s">
        <v>739</v>
      </c>
      <c r="P774" s="105" t="e">
        <f t="shared" si="12"/>
        <v>#DIV/0!</v>
      </c>
    </row>
    <row r="775" spans="1:16">
      <c r="A775" s="10" t="s">
        <v>635</v>
      </c>
      <c r="B775" s="10">
        <v>4020783</v>
      </c>
      <c r="C775" s="10" t="s">
        <v>759</v>
      </c>
      <c r="D775" s="10" t="s">
        <v>760</v>
      </c>
      <c r="E775" s="10">
        <v>0</v>
      </c>
      <c r="F775" s="10">
        <v>0</v>
      </c>
      <c r="G775" s="10">
        <v>0</v>
      </c>
      <c r="H775" s="10">
        <v>0</v>
      </c>
      <c r="I775" s="10" t="s">
        <v>21</v>
      </c>
      <c r="J775" s="10">
        <v>0</v>
      </c>
      <c r="K775" s="10">
        <v>0</v>
      </c>
      <c r="L775" s="10">
        <v>0</v>
      </c>
      <c r="M775" s="10">
        <v>0</v>
      </c>
      <c r="N775" s="10" t="s">
        <v>761</v>
      </c>
      <c r="O775" s="10" t="s">
        <v>1288</v>
      </c>
      <c r="P775" s="105" t="e">
        <f t="shared" si="12"/>
        <v>#DIV/0!</v>
      </c>
    </row>
    <row r="776" spans="1:16">
      <c r="A776" s="10" t="s">
        <v>635</v>
      </c>
      <c r="B776" s="10">
        <v>4021325</v>
      </c>
      <c r="C776" s="10" t="s">
        <v>759</v>
      </c>
      <c r="D776" s="10" t="s">
        <v>760</v>
      </c>
      <c r="E776" s="10">
        <v>0</v>
      </c>
      <c r="F776" s="10">
        <v>0</v>
      </c>
      <c r="G776" s="10">
        <v>0</v>
      </c>
      <c r="H776" s="10">
        <v>0</v>
      </c>
      <c r="I776" s="10" t="s">
        <v>21</v>
      </c>
      <c r="J776" s="10">
        <v>0</v>
      </c>
      <c r="K776" s="10">
        <v>0</v>
      </c>
      <c r="L776" s="10">
        <v>0</v>
      </c>
      <c r="M776" s="10">
        <v>0</v>
      </c>
      <c r="N776" s="10" t="s">
        <v>761</v>
      </c>
      <c r="O776" s="10" t="s">
        <v>140</v>
      </c>
      <c r="P776" s="105" t="e">
        <f t="shared" si="12"/>
        <v>#DIV/0!</v>
      </c>
    </row>
    <row r="777" spans="1:16">
      <c r="A777" s="10" t="s">
        <v>635</v>
      </c>
      <c r="B777" s="10">
        <v>4021460</v>
      </c>
      <c r="C777" s="10" t="s">
        <v>759</v>
      </c>
      <c r="D777" s="10" t="s">
        <v>760</v>
      </c>
      <c r="E777" s="10">
        <v>0</v>
      </c>
      <c r="F777" s="10">
        <v>0</v>
      </c>
      <c r="G777" s="10">
        <v>0</v>
      </c>
      <c r="H777" s="10">
        <v>0</v>
      </c>
      <c r="I777" s="10" t="s">
        <v>21</v>
      </c>
      <c r="J777" s="10">
        <v>0</v>
      </c>
      <c r="K777" s="10">
        <v>0</v>
      </c>
      <c r="L777" s="10">
        <v>0</v>
      </c>
      <c r="M777" s="10">
        <v>0</v>
      </c>
      <c r="N777" s="10" t="s">
        <v>761</v>
      </c>
      <c r="O777" s="10" t="s">
        <v>1289</v>
      </c>
      <c r="P777" s="105" t="e">
        <f t="shared" si="12"/>
        <v>#DIV/0!</v>
      </c>
    </row>
    <row r="778" spans="1:16">
      <c r="A778" s="10" t="s">
        <v>635</v>
      </c>
      <c r="B778" s="10">
        <v>4021461</v>
      </c>
      <c r="C778" s="10" t="s">
        <v>759</v>
      </c>
      <c r="D778" s="10" t="s">
        <v>760</v>
      </c>
      <c r="E778" s="10">
        <v>0</v>
      </c>
      <c r="F778" s="10">
        <v>0</v>
      </c>
      <c r="G778" s="10">
        <v>0</v>
      </c>
      <c r="H778" s="10">
        <v>0</v>
      </c>
      <c r="I778" s="10" t="s">
        <v>21</v>
      </c>
      <c r="J778" s="10">
        <v>0</v>
      </c>
      <c r="K778" s="10">
        <v>0</v>
      </c>
      <c r="L778" s="10">
        <v>0</v>
      </c>
      <c r="M778" s="10">
        <v>0</v>
      </c>
      <c r="N778" s="10" t="s">
        <v>761</v>
      </c>
      <c r="O778" s="10" t="s">
        <v>1290</v>
      </c>
      <c r="P778" s="105" t="e">
        <f t="shared" si="12"/>
        <v>#DIV/0!</v>
      </c>
    </row>
    <row r="779" spans="1:16">
      <c r="A779" s="10" t="s">
        <v>635</v>
      </c>
      <c r="B779" s="10">
        <v>4021462</v>
      </c>
      <c r="C779" s="10" t="s">
        <v>759</v>
      </c>
      <c r="D779" s="10" t="s">
        <v>760</v>
      </c>
      <c r="E779" s="10">
        <v>0</v>
      </c>
      <c r="F779" s="10">
        <v>0</v>
      </c>
      <c r="G779" s="10">
        <v>0</v>
      </c>
      <c r="H779" s="10">
        <v>0</v>
      </c>
      <c r="I779" s="10" t="s">
        <v>21</v>
      </c>
      <c r="J779" s="10">
        <v>0</v>
      </c>
      <c r="K779" s="10">
        <v>0</v>
      </c>
      <c r="L779" s="10">
        <v>0</v>
      </c>
      <c r="M779" s="10">
        <v>0</v>
      </c>
      <c r="N779" s="10" t="s">
        <v>761</v>
      </c>
      <c r="O779" s="10" t="s">
        <v>1291</v>
      </c>
      <c r="P779" s="105" t="e">
        <f t="shared" si="12"/>
        <v>#DIV/0!</v>
      </c>
    </row>
    <row r="780" spans="1:16">
      <c r="A780" s="10" t="s">
        <v>635</v>
      </c>
      <c r="B780" s="10">
        <v>4021486</v>
      </c>
      <c r="C780" s="10" t="s">
        <v>759</v>
      </c>
      <c r="D780" s="10" t="s">
        <v>760</v>
      </c>
      <c r="E780" s="103">
        <v>13000</v>
      </c>
      <c r="F780" s="10">
        <v>0</v>
      </c>
      <c r="G780" s="10">
        <v>0</v>
      </c>
      <c r="H780" s="103">
        <v>13000</v>
      </c>
      <c r="I780" s="10" t="s">
        <v>21</v>
      </c>
      <c r="J780" s="10">
        <v>345.9</v>
      </c>
      <c r="K780" s="10">
        <v>0</v>
      </c>
      <c r="L780" s="10">
        <v>0</v>
      </c>
      <c r="M780" s="10">
        <v>345.9</v>
      </c>
      <c r="N780" s="10" t="s">
        <v>761</v>
      </c>
      <c r="O780" s="10" t="s">
        <v>162</v>
      </c>
      <c r="P780" s="105">
        <f t="shared" si="12"/>
        <v>0.0266076923076923</v>
      </c>
    </row>
    <row r="781" spans="1:16">
      <c r="A781" s="10" t="s">
        <v>635</v>
      </c>
      <c r="B781" s="10">
        <v>4021512</v>
      </c>
      <c r="C781" s="10" t="s">
        <v>759</v>
      </c>
      <c r="D781" s="10" t="s">
        <v>760</v>
      </c>
      <c r="E781" s="10">
        <v>0</v>
      </c>
      <c r="F781" s="10">
        <v>0</v>
      </c>
      <c r="G781" s="10">
        <v>0</v>
      </c>
      <c r="H781" s="10">
        <v>0</v>
      </c>
      <c r="I781" s="10" t="s">
        <v>30</v>
      </c>
      <c r="J781" s="10">
        <v>0</v>
      </c>
      <c r="K781" s="10">
        <v>0</v>
      </c>
      <c r="L781" s="10">
        <v>0</v>
      </c>
      <c r="M781" s="10">
        <v>0</v>
      </c>
      <c r="N781" s="10" t="s">
        <v>761</v>
      </c>
      <c r="O781" s="10" t="s">
        <v>1292</v>
      </c>
      <c r="P781" s="105" t="e">
        <f t="shared" si="12"/>
        <v>#DIV/0!</v>
      </c>
    </row>
    <row r="782" spans="1:16">
      <c r="A782" s="10" t="s">
        <v>635</v>
      </c>
      <c r="B782" s="10">
        <v>4021513</v>
      </c>
      <c r="C782" s="10" t="s">
        <v>759</v>
      </c>
      <c r="D782" s="10" t="s">
        <v>760</v>
      </c>
      <c r="E782" s="10">
        <v>0</v>
      </c>
      <c r="F782" s="10">
        <v>0</v>
      </c>
      <c r="G782" s="10">
        <v>0</v>
      </c>
      <c r="H782" s="10">
        <v>0</v>
      </c>
      <c r="I782" s="10" t="s">
        <v>30</v>
      </c>
      <c r="J782" s="10">
        <v>0</v>
      </c>
      <c r="K782" s="10">
        <v>0</v>
      </c>
      <c r="L782" s="10">
        <v>0</v>
      </c>
      <c r="M782" s="10">
        <v>0</v>
      </c>
      <c r="N782" s="10" t="s">
        <v>761</v>
      </c>
      <c r="O782" s="10" t="s">
        <v>1293</v>
      </c>
      <c r="P782" s="105" t="e">
        <f t="shared" si="12"/>
        <v>#DIV/0!</v>
      </c>
    </row>
    <row r="783" spans="1:16">
      <c r="A783" s="10" t="s">
        <v>635</v>
      </c>
      <c r="B783" s="10">
        <v>4021514</v>
      </c>
      <c r="C783" s="10" t="s">
        <v>759</v>
      </c>
      <c r="D783" s="10" t="s">
        <v>760</v>
      </c>
      <c r="E783" s="10">
        <v>0</v>
      </c>
      <c r="F783" s="10">
        <v>0</v>
      </c>
      <c r="G783" s="10">
        <v>0</v>
      </c>
      <c r="H783" s="10">
        <v>0</v>
      </c>
      <c r="I783" s="10" t="s">
        <v>30</v>
      </c>
      <c r="J783" s="10">
        <v>0</v>
      </c>
      <c r="K783" s="10">
        <v>0</v>
      </c>
      <c r="L783" s="10">
        <v>0</v>
      </c>
      <c r="M783" s="10">
        <v>0</v>
      </c>
      <c r="N783" s="10" t="s">
        <v>761</v>
      </c>
      <c r="O783" s="10" t="s">
        <v>1294</v>
      </c>
      <c r="P783" s="105" t="e">
        <f t="shared" si="12"/>
        <v>#DIV/0!</v>
      </c>
    </row>
    <row r="784" spans="1:16">
      <c r="A784" s="10" t="s">
        <v>635</v>
      </c>
      <c r="B784" s="10">
        <v>4021515</v>
      </c>
      <c r="C784" s="10" t="s">
        <v>759</v>
      </c>
      <c r="D784" s="10" t="s">
        <v>760</v>
      </c>
      <c r="E784" s="10">
        <v>0</v>
      </c>
      <c r="F784" s="10">
        <v>0</v>
      </c>
      <c r="G784" s="10">
        <v>0</v>
      </c>
      <c r="H784" s="10">
        <v>0</v>
      </c>
      <c r="I784" s="10" t="s">
        <v>33</v>
      </c>
      <c r="J784" s="10">
        <v>0</v>
      </c>
      <c r="K784" s="10">
        <v>0</v>
      </c>
      <c r="L784" s="10">
        <v>0</v>
      </c>
      <c r="M784" s="10">
        <v>0</v>
      </c>
      <c r="N784" s="10" t="s">
        <v>761</v>
      </c>
      <c r="O784" s="10" t="s">
        <v>1295</v>
      </c>
      <c r="P784" s="105" t="e">
        <f t="shared" si="12"/>
        <v>#DIV/0!</v>
      </c>
    </row>
    <row r="785" spans="1:16">
      <c r="A785" s="10" t="s">
        <v>635</v>
      </c>
      <c r="B785" s="10">
        <v>4021516</v>
      </c>
      <c r="C785" s="10" t="s">
        <v>759</v>
      </c>
      <c r="D785" s="10" t="s">
        <v>760</v>
      </c>
      <c r="E785" s="10">
        <v>0</v>
      </c>
      <c r="F785" s="10">
        <v>0</v>
      </c>
      <c r="G785" s="10">
        <v>0</v>
      </c>
      <c r="H785" s="10">
        <v>0</v>
      </c>
      <c r="I785" s="10" t="s">
        <v>30</v>
      </c>
      <c r="J785" s="10">
        <v>0</v>
      </c>
      <c r="K785" s="10">
        <v>0</v>
      </c>
      <c r="L785" s="10">
        <v>0</v>
      </c>
      <c r="M785" s="10">
        <v>0</v>
      </c>
      <c r="N785" s="10" t="s">
        <v>761</v>
      </c>
      <c r="O785" s="10" t="s">
        <v>1296</v>
      </c>
      <c r="P785" s="105" t="e">
        <f t="shared" si="12"/>
        <v>#DIV/0!</v>
      </c>
    </row>
    <row r="786" spans="1:16">
      <c r="A786" s="10" t="s">
        <v>635</v>
      </c>
      <c r="B786" s="10">
        <v>4021517</v>
      </c>
      <c r="C786" s="10" t="s">
        <v>759</v>
      </c>
      <c r="D786" s="10" t="s">
        <v>760</v>
      </c>
      <c r="E786" s="10">
        <v>0</v>
      </c>
      <c r="F786" s="10">
        <v>0</v>
      </c>
      <c r="G786" s="10">
        <v>0</v>
      </c>
      <c r="H786" s="10">
        <v>0</v>
      </c>
      <c r="I786" s="10" t="s">
        <v>30</v>
      </c>
      <c r="J786" s="10">
        <v>0</v>
      </c>
      <c r="K786" s="10">
        <v>0</v>
      </c>
      <c r="L786" s="10">
        <v>0</v>
      </c>
      <c r="M786" s="10">
        <v>0</v>
      </c>
      <c r="N786" s="10" t="s">
        <v>761</v>
      </c>
      <c r="O786" s="10" t="s">
        <v>1297</v>
      </c>
      <c r="P786" s="105" t="e">
        <f t="shared" si="12"/>
        <v>#DIV/0!</v>
      </c>
    </row>
    <row r="787" spans="1:16">
      <c r="A787" s="10" t="s">
        <v>635</v>
      </c>
      <c r="B787" s="10">
        <v>4021518</v>
      </c>
      <c r="C787" s="10" t="s">
        <v>759</v>
      </c>
      <c r="D787" s="10" t="s">
        <v>760</v>
      </c>
      <c r="E787" s="10">
        <v>0</v>
      </c>
      <c r="F787" s="10">
        <v>0</v>
      </c>
      <c r="G787" s="10">
        <v>0</v>
      </c>
      <c r="H787" s="10">
        <v>0</v>
      </c>
      <c r="I787" s="10" t="s">
        <v>30</v>
      </c>
      <c r="J787" s="10">
        <v>0</v>
      </c>
      <c r="K787" s="10">
        <v>0</v>
      </c>
      <c r="L787" s="10">
        <v>0</v>
      </c>
      <c r="M787" s="10">
        <v>0</v>
      </c>
      <c r="N787" s="10" t="s">
        <v>761</v>
      </c>
      <c r="O787" s="10" t="s">
        <v>1298</v>
      </c>
      <c r="P787" s="105" t="e">
        <f t="shared" si="12"/>
        <v>#DIV/0!</v>
      </c>
    </row>
    <row r="788" spans="1:16">
      <c r="A788" s="10" t="s">
        <v>635</v>
      </c>
      <c r="B788" s="10">
        <v>4021525</v>
      </c>
      <c r="C788" s="10" t="s">
        <v>759</v>
      </c>
      <c r="D788" s="10" t="s">
        <v>760</v>
      </c>
      <c r="E788" s="10">
        <v>0</v>
      </c>
      <c r="F788" s="10">
        <v>0</v>
      </c>
      <c r="G788" s="10">
        <v>0</v>
      </c>
      <c r="H788" s="10">
        <v>0</v>
      </c>
      <c r="I788" s="10" t="s">
        <v>21</v>
      </c>
      <c r="J788" s="10">
        <v>0</v>
      </c>
      <c r="K788" s="10">
        <v>0</v>
      </c>
      <c r="L788" s="10">
        <v>0</v>
      </c>
      <c r="M788" s="10">
        <v>0</v>
      </c>
      <c r="N788" s="10" t="s">
        <v>761</v>
      </c>
      <c r="O788" s="10" t="s">
        <v>1299</v>
      </c>
      <c r="P788" s="105" t="e">
        <f t="shared" si="12"/>
        <v>#DIV/0!</v>
      </c>
    </row>
    <row r="789" spans="1:16">
      <c r="A789" s="10" t="s">
        <v>635</v>
      </c>
      <c r="B789" s="10">
        <v>4021526</v>
      </c>
      <c r="C789" s="10" t="s">
        <v>759</v>
      </c>
      <c r="D789" s="10" t="s">
        <v>760</v>
      </c>
      <c r="E789" s="10">
        <v>0</v>
      </c>
      <c r="F789" s="10">
        <v>0</v>
      </c>
      <c r="G789" s="10">
        <v>0</v>
      </c>
      <c r="H789" s="10">
        <v>0</v>
      </c>
      <c r="I789" s="10" t="s">
        <v>21</v>
      </c>
      <c r="J789" s="10">
        <v>0</v>
      </c>
      <c r="K789" s="10">
        <v>0</v>
      </c>
      <c r="L789" s="10">
        <v>0</v>
      </c>
      <c r="M789" s="10">
        <v>0</v>
      </c>
      <c r="N789" s="10" t="s">
        <v>761</v>
      </c>
      <c r="O789" s="10" t="s">
        <v>463</v>
      </c>
      <c r="P789" s="105" t="e">
        <f t="shared" si="12"/>
        <v>#DIV/0!</v>
      </c>
    </row>
    <row r="790" spans="1:16">
      <c r="A790" s="10" t="s">
        <v>635</v>
      </c>
      <c r="B790" s="10">
        <v>4021537</v>
      </c>
      <c r="C790" s="10" t="s">
        <v>759</v>
      </c>
      <c r="D790" s="10" t="s">
        <v>760</v>
      </c>
      <c r="E790" s="10">
        <v>10</v>
      </c>
      <c r="F790" s="10">
        <v>10</v>
      </c>
      <c r="G790" s="10">
        <v>0</v>
      </c>
      <c r="H790" s="10">
        <v>20</v>
      </c>
      <c r="I790" s="10" t="s">
        <v>67</v>
      </c>
      <c r="J790" s="10">
        <v>120.17</v>
      </c>
      <c r="K790" s="10">
        <v>120.17</v>
      </c>
      <c r="L790" s="10">
        <v>0</v>
      </c>
      <c r="M790" s="10">
        <v>240.34</v>
      </c>
      <c r="N790" s="10" t="s">
        <v>761</v>
      </c>
      <c r="O790" s="10" t="s">
        <v>235</v>
      </c>
      <c r="P790" s="105">
        <f t="shared" si="12"/>
        <v>12.017</v>
      </c>
    </row>
    <row r="791" spans="1:16">
      <c r="A791" s="10" t="s">
        <v>635</v>
      </c>
      <c r="B791" s="10">
        <v>4021625</v>
      </c>
      <c r="C791" s="10" t="s">
        <v>759</v>
      </c>
      <c r="D791" s="10" t="s">
        <v>760</v>
      </c>
      <c r="E791" s="10">
        <v>0</v>
      </c>
      <c r="F791" s="10">
        <v>0</v>
      </c>
      <c r="G791" s="10">
        <v>0</v>
      </c>
      <c r="H791" s="10">
        <v>0</v>
      </c>
      <c r="I791" s="10" t="s">
        <v>711</v>
      </c>
      <c r="J791" s="10">
        <v>0</v>
      </c>
      <c r="K791" s="10">
        <v>0</v>
      </c>
      <c r="L791" s="10">
        <v>0</v>
      </c>
      <c r="M791" s="10">
        <v>0</v>
      </c>
      <c r="N791" s="10" t="s">
        <v>761</v>
      </c>
      <c r="O791" s="10" t="s">
        <v>1300</v>
      </c>
      <c r="P791" s="105" t="e">
        <f t="shared" si="12"/>
        <v>#DIV/0!</v>
      </c>
    </row>
    <row r="792" spans="1:16">
      <c r="A792" s="10" t="s">
        <v>635</v>
      </c>
      <c r="B792" s="10">
        <v>4021686</v>
      </c>
      <c r="C792" s="10" t="s">
        <v>759</v>
      </c>
      <c r="D792" s="10" t="s">
        <v>760</v>
      </c>
      <c r="E792" s="10">
        <v>0</v>
      </c>
      <c r="F792" s="10">
        <v>0</v>
      </c>
      <c r="G792" s="10">
        <v>0</v>
      </c>
      <c r="H792" s="10">
        <v>0</v>
      </c>
      <c r="I792" s="10" t="s">
        <v>711</v>
      </c>
      <c r="J792" s="10">
        <v>0</v>
      </c>
      <c r="K792" s="10">
        <v>0</v>
      </c>
      <c r="L792" s="10">
        <v>0</v>
      </c>
      <c r="M792" s="10">
        <v>0</v>
      </c>
      <c r="N792" s="10" t="s">
        <v>761</v>
      </c>
      <c r="O792" s="10" t="s">
        <v>1301</v>
      </c>
      <c r="P792" s="105" t="e">
        <f t="shared" si="12"/>
        <v>#DIV/0!</v>
      </c>
    </row>
    <row r="793" spans="1:16">
      <c r="A793" s="10" t="s">
        <v>635</v>
      </c>
      <c r="B793" s="10">
        <v>4021961</v>
      </c>
      <c r="C793" s="10" t="s">
        <v>759</v>
      </c>
      <c r="D793" s="10" t="s">
        <v>760</v>
      </c>
      <c r="E793" s="10">
        <v>0</v>
      </c>
      <c r="F793" s="10">
        <v>0</v>
      </c>
      <c r="G793" s="10">
        <v>0</v>
      </c>
      <c r="H793" s="10">
        <v>0</v>
      </c>
      <c r="I793" s="10" t="s">
        <v>89</v>
      </c>
      <c r="J793" s="10">
        <v>0</v>
      </c>
      <c r="K793" s="10">
        <v>0</v>
      </c>
      <c r="L793" s="10">
        <v>0</v>
      </c>
      <c r="M793" s="10">
        <v>0</v>
      </c>
      <c r="N793" s="10" t="s">
        <v>761</v>
      </c>
      <c r="O793" s="10" t="s">
        <v>1302</v>
      </c>
      <c r="P793" s="105" t="e">
        <f t="shared" si="12"/>
        <v>#DIV/0!</v>
      </c>
    </row>
    <row r="794" spans="1:16">
      <c r="A794" s="10" t="s">
        <v>635</v>
      </c>
      <c r="B794" s="10">
        <v>4022118</v>
      </c>
      <c r="C794" s="10" t="s">
        <v>759</v>
      </c>
      <c r="D794" s="10" t="s">
        <v>760</v>
      </c>
      <c r="E794" s="10">
        <v>0</v>
      </c>
      <c r="F794" s="10">
        <v>0</v>
      </c>
      <c r="G794" s="10">
        <v>0</v>
      </c>
      <c r="H794" s="10">
        <v>0</v>
      </c>
      <c r="I794" s="10" t="s">
        <v>21</v>
      </c>
      <c r="J794" s="10">
        <v>0</v>
      </c>
      <c r="K794" s="10">
        <v>0</v>
      </c>
      <c r="L794" s="10">
        <v>0</v>
      </c>
      <c r="M794" s="10">
        <v>0</v>
      </c>
      <c r="N794" s="10" t="s">
        <v>761</v>
      </c>
      <c r="O794" s="10" t="s">
        <v>1303</v>
      </c>
      <c r="P794" s="105" t="e">
        <f t="shared" si="12"/>
        <v>#DIV/0!</v>
      </c>
    </row>
    <row r="795" spans="1:16">
      <c r="A795" s="10" t="s">
        <v>635</v>
      </c>
      <c r="B795" s="10">
        <v>4022151</v>
      </c>
      <c r="C795" s="10" t="s">
        <v>759</v>
      </c>
      <c r="D795" s="10" t="s">
        <v>760</v>
      </c>
      <c r="E795" s="10">
        <v>0</v>
      </c>
      <c r="F795" s="10">
        <v>0</v>
      </c>
      <c r="G795" s="10">
        <v>0</v>
      </c>
      <c r="H795" s="10">
        <v>0</v>
      </c>
      <c r="I795" s="10" t="s">
        <v>21</v>
      </c>
      <c r="J795" s="10">
        <v>0</v>
      </c>
      <c r="K795" s="10">
        <v>0</v>
      </c>
      <c r="L795" s="10">
        <v>0</v>
      </c>
      <c r="M795" s="10">
        <v>0</v>
      </c>
      <c r="N795" s="10" t="s">
        <v>761</v>
      </c>
      <c r="O795" s="10" t="s">
        <v>1304</v>
      </c>
      <c r="P795" s="105" t="e">
        <f t="shared" si="12"/>
        <v>#DIV/0!</v>
      </c>
    </row>
    <row r="796" spans="1:16">
      <c r="A796" s="10" t="s">
        <v>635</v>
      </c>
      <c r="B796" s="10">
        <v>4022234</v>
      </c>
      <c r="C796" s="10" t="s">
        <v>759</v>
      </c>
      <c r="D796" s="10" t="s">
        <v>760</v>
      </c>
      <c r="E796" s="10">
        <v>0</v>
      </c>
      <c r="F796" s="10">
        <v>0</v>
      </c>
      <c r="G796" s="10">
        <v>0</v>
      </c>
      <c r="H796" s="10">
        <v>0</v>
      </c>
      <c r="I796" s="10" t="s">
        <v>659</v>
      </c>
      <c r="J796" s="10">
        <v>0</v>
      </c>
      <c r="K796" s="10">
        <v>0</v>
      </c>
      <c r="L796" s="10">
        <v>0</v>
      </c>
      <c r="M796" s="10">
        <v>0</v>
      </c>
      <c r="N796" s="10" t="s">
        <v>761</v>
      </c>
      <c r="O796" s="10" t="s">
        <v>1305</v>
      </c>
      <c r="P796" s="105" t="e">
        <f t="shared" si="12"/>
        <v>#DIV/0!</v>
      </c>
    </row>
    <row r="797" spans="1:16">
      <c r="A797" s="10" t="s">
        <v>635</v>
      </c>
      <c r="B797" s="10">
        <v>4022235</v>
      </c>
      <c r="C797" s="10" t="s">
        <v>759</v>
      </c>
      <c r="D797" s="10" t="s">
        <v>760</v>
      </c>
      <c r="E797" s="10">
        <v>0</v>
      </c>
      <c r="F797" s="10">
        <v>0</v>
      </c>
      <c r="G797" s="10">
        <v>0</v>
      </c>
      <c r="H797" s="10">
        <v>0</v>
      </c>
      <c r="I797" s="10" t="s">
        <v>21</v>
      </c>
      <c r="J797" s="10">
        <v>0</v>
      </c>
      <c r="K797" s="10">
        <v>0</v>
      </c>
      <c r="L797" s="10">
        <v>0</v>
      </c>
      <c r="M797" s="10">
        <v>0</v>
      </c>
      <c r="N797" s="10" t="s">
        <v>761</v>
      </c>
      <c r="O797" s="10" t="s">
        <v>1306</v>
      </c>
      <c r="P797" s="105" t="e">
        <f t="shared" si="12"/>
        <v>#DIV/0!</v>
      </c>
    </row>
    <row r="798" spans="1:16">
      <c r="A798" s="10" t="s">
        <v>635</v>
      </c>
      <c r="B798" s="10">
        <v>4022237</v>
      </c>
      <c r="C798" s="10" t="s">
        <v>759</v>
      </c>
      <c r="D798" s="10" t="s">
        <v>760</v>
      </c>
      <c r="E798" s="10">
        <v>0</v>
      </c>
      <c r="F798" s="10">
        <v>0</v>
      </c>
      <c r="G798" s="10">
        <v>0</v>
      </c>
      <c r="H798" s="10">
        <v>0</v>
      </c>
      <c r="I798" s="10" t="s">
        <v>669</v>
      </c>
      <c r="J798" s="10">
        <v>0</v>
      </c>
      <c r="K798" s="10">
        <v>0</v>
      </c>
      <c r="L798" s="10">
        <v>0</v>
      </c>
      <c r="M798" s="10">
        <v>0</v>
      </c>
      <c r="N798" s="10" t="s">
        <v>761</v>
      </c>
      <c r="O798" s="10" t="s">
        <v>1307</v>
      </c>
      <c r="P798" s="105" t="e">
        <f t="shared" si="12"/>
        <v>#DIV/0!</v>
      </c>
    </row>
    <row r="799" spans="1:16">
      <c r="A799" s="10" t="s">
        <v>635</v>
      </c>
      <c r="B799" s="10">
        <v>4022555</v>
      </c>
      <c r="C799" s="10" t="s">
        <v>759</v>
      </c>
      <c r="D799" s="10" t="s">
        <v>760</v>
      </c>
      <c r="E799" s="10">
        <v>0</v>
      </c>
      <c r="F799" s="10">
        <v>0</v>
      </c>
      <c r="G799" s="10">
        <v>0</v>
      </c>
      <c r="H799" s="10">
        <v>0</v>
      </c>
      <c r="I799" s="10" t="s">
        <v>30</v>
      </c>
      <c r="J799" s="10">
        <v>0</v>
      </c>
      <c r="K799" s="10">
        <v>0</v>
      </c>
      <c r="L799" s="10">
        <v>0</v>
      </c>
      <c r="M799" s="10">
        <v>0</v>
      </c>
      <c r="N799" s="10" t="s">
        <v>761</v>
      </c>
      <c r="O799" s="10" t="s">
        <v>1308</v>
      </c>
      <c r="P799" s="105" t="e">
        <f t="shared" si="12"/>
        <v>#DIV/0!</v>
      </c>
    </row>
    <row r="800" spans="1:16">
      <c r="A800" s="10" t="s">
        <v>635</v>
      </c>
      <c r="B800" s="10">
        <v>4022625</v>
      </c>
      <c r="C800" s="10" t="s">
        <v>759</v>
      </c>
      <c r="D800" s="10" t="s">
        <v>760</v>
      </c>
      <c r="E800" s="10">
        <v>0</v>
      </c>
      <c r="F800" s="10">
        <v>0</v>
      </c>
      <c r="G800" s="10">
        <v>0</v>
      </c>
      <c r="H800" s="10">
        <v>0</v>
      </c>
      <c r="I800" s="10" t="s">
        <v>30</v>
      </c>
      <c r="J800" s="10">
        <v>0</v>
      </c>
      <c r="K800" s="10">
        <v>0</v>
      </c>
      <c r="L800" s="10">
        <v>0</v>
      </c>
      <c r="M800" s="10">
        <v>0</v>
      </c>
      <c r="N800" s="10" t="s">
        <v>761</v>
      </c>
      <c r="O800" s="10" t="s">
        <v>28</v>
      </c>
      <c r="P800" s="105" t="e">
        <f t="shared" si="12"/>
        <v>#DIV/0!</v>
      </c>
    </row>
    <row r="801" spans="1:16">
      <c r="A801" s="10" t="s">
        <v>635</v>
      </c>
      <c r="B801" s="10">
        <v>4022681</v>
      </c>
      <c r="C801" s="10" t="s">
        <v>759</v>
      </c>
      <c r="D801" s="10" t="s">
        <v>760</v>
      </c>
      <c r="E801" s="10">
        <v>0</v>
      </c>
      <c r="F801" s="10">
        <v>0</v>
      </c>
      <c r="G801" s="10">
        <v>0</v>
      </c>
      <c r="H801" s="10">
        <v>0</v>
      </c>
      <c r="I801" s="10" t="s">
        <v>643</v>
      </c>
      <c r="J801" s="10">
        <v>0</v>
      </c>
      <c r="K801" s="10">
        <v>0</v>
      </c>
      <c r="L801" s="10">
        <v>0</v>
      </c>
      <c r="M801" s="10">
        <v>0</v>
      </c>
      <c r="N801" s="10" t="s">
        <v>761</v>
      </c>
      <c r="O801" s="10" t="s">
        <v>1309</v>
      </c>
      <c r="P801" s="105" t="e">
        <f t="shared" si="12"/>
        <v>#DIV/0!</v>
      </c>
    </row>
    <row r="802" spans="1:16">
      <c r="A802" s="10" t="s">
        <v>635</v>
      </c>
      <c r="B802" s="10">
        <v>4022682</v>
      </c>
      <c r="C802" s="10" t="s">
        <v>759</v>
      </c>
      <c r="D802" s="10" t="s">
        <v>760</v>
      </c>
      <c r="E802" s="10">
        <v>0</v>
      </c>
      <c r="F802" s="10">
        <v>0</v>
      </c>
      <c r="G802" s="10">
        <v>0</v>
      </c>
      <c r="H802" s="10">
        <v>0</v>
      </c>
      <c r="I802" s="10" t="s">
        <v>643</v>
      </c>
      <c r="J802" s="10">
        <v>0</v>
      </c>
      <c r="K802" s="10">
        <v>0</v>
      </c>
      <c r="L802" s="10">
        <v>0</v>
      </c>
      <c r="M802" s="10">
        <v>0</v>
      </c>
      <c r="N802" s="10" t="s">
        <v>761</v>
      </c>
      <c r="O802" s="10" t="s">
        <v>1310</v>
      </c>
      <c r="P802" s="105" t="e">
        <f t="shared" si="12"/>
        <v>#DIV/0!</v>
      </c>
    </row>
    <row r="803" spans="1:16">
      <c r="A803" s="10" t="s">
        <v>635</v>
      </c>
      <c r="B803" s="10">
        <v>4022847</v>
      </c>
      <c r="C803" s="10" t="s">
        <v>759</v>
      </c>
      <c r="D803" s="10" t="s">
        <v>760</v>
      </c>
      <c r="E803" s="10">
        <v>0</v>
      </c>
      <c r="F803" s="10">
        <v>0</v>
      </c>
      <c r="G803" s="10">
        <v>0</v>
      </c>
      <c r="H803" s="10">
        <v>0</v>
      </c>
      <c r="I803" s="10" t="s">
        <v>21</v>
      </c>
      <c r="J803" s="10">
        <v>0</v>
      </c>
      <c r="K803" s="10">
        <v>0</v>
      </c>
      <c r="L803" s="10">
        <v>0</v>
      </c>
      <c r="M803" s="10">
        <v>0</v>
      </c>
      <c r="N803" s="10" t="s">
        <v>761</v>
      </c>
      <c r="O803" s="10" t="s">
        <v>1311</v>
      </c>
      <c r="P803" s="105" t="e">
        <f t="shared" si="12"/>
        <v>#DIV/0!</v>
      </c>
    </row>
    <row r="804" spans="1:16">
      <c r="A804" s="10" t="s">
        <v>635</v>
      </c>
      <c r="B804" s="10">
        <v>4022848</v>
      </c>
      <c r="C804" s="10" t="s">
        <v>759</v>
      </c>
      <c r="D804" s="10" t="s">
        <v>760</v>
      </c>
      <c r="E804" s="10">
        <v>0</v>
      </c>
      <c r="F804" s="10">
        <v>0</v>
      </c>
      <c r="G804" s="10">
        <v>0</v>
      </c>
      <c r="H804" s="10">
        <v>0</v>
      </c>
      <c r="I804" s="10" t="s">
        <v>21</v>
      </c>
      <c r="J804" s="10">
        <v>0</v>
      </c>
      <c r="K804" s="10">
        <v>0</v>
      </c>
      <c r="L804" s="10">
        <v>0</v>
      </c>
      <c r="M804" s="10">
        <v>0</v>
      </c>
      <c r="N804" s="10" t="s">
        <v>761</v>
      </c>
      <c r="O804" s="10" t="s">
        <v>1312</v>
      </c>
      <c r="P804" s="105" t="e">
        <f t="shared" si="12"/>
        <v>#DIV/0!</v>
      </c>
    </row>
    <row r="805" spans="1:16">
      <c r="A805" s="10" t="s">
        <v>635</v>
      </c>
      <c r="B805" s="10">
        <v>4023572</v>
      </c>
      <c r="C805" s="10" t="s">
        <v>759</v>
      </c>
      <c r="D805" s="10" t="s">
        <v>760</v>
      </c>
      <c r="E805" s="10">
        <v>25</v>
      </c>
      <c r="F805" s="10">
        <v>360</v>
      </c>
      <c r="G805" s="10">
        <v>0</v>
      </c>
      <c r="H805" s="10">
        <v>385</v>
      </c>
      <c r="I805" s="10" t="s">
        <v>67</v>
      </c>
      <c r="J805" s="10">
        <v>11.47</v>
      </c>
      <c r="K805" s="10">
        <v>165</v>
      </c>
      <c r="L805" s="10">
        <v>0</v>
      </c>
      <c r="M805" s="10">
        <v>176.47</v>
      </c>
      <c r="N805" s="10" t="s">
        <v>761</v>
      </c>
      <c r="O805" s="10" t="s">
        <v>243</v>
      </c>
      <c r="P805" s="105">
        <f t="shared" si="12"/>
        <v>0.458363636363636</v>
      </c>
    </row>
    <row r="806" spans="1:16">
      <c r="A806" s="10" t="s">
        <v>635</v>
      </c>
      <c r="B806" s="10">
        <v>4024013</v>
      </c>
      <c r="C806" s="10" t="s">
        <v>759</v>
      </c>
      <c r="D806" s="10" t="s">
        <v>760</v>
      </c>
      <c r="E806" s="10">
        <v>0</v>
      </c>
      <c r="F806" s="10">
        <v>0</v>
      </c>
      <c r="G806" s="10">
        <v>0</v>
      </c>
      <c r="H806" s="10">
        <v>0</v>
      </c>
      <c r="I806" s="10" t="s">
        <v>21</v>
      </c>
      <c r="J806" s="10">
        <v>0</v>
      </c>
      <c r="K806" s="10">
        <v>0</v>
      </c>
      <c r="L806" s="10">
        <v>0</v>
      </c>
      <c r="M806" s="10">
        <v>0</v>
      </c>
      <c r="N806" s="10" t="s">
        <v>761</v>
      </c>
      <c r="O806" s="10" t="s">
        <v>1313</v>
      </c>
      <c r="P806" s="105" t="e">
        <f t="shared" si="12"/>
        <v>#DIV/0!</v>
      </c>
    </row>
    <row r="807" spans="1:16">
      <c r="A807" s="10" t="s">
        <v>635</v>
      </c>
      <c r="B807" s="10">
        <v>4024119</v>
      </c>
      <c r="C807" s="10" t="s">
        <v>759</v>
      </c>
      <c r="D807" s="10" t="s">
        <v>760</v>
      </c>
      <c r="E807" s="10">
        <v>80</v>
      </c>
      <c r="F807" s="10">
        <v>0</v>
      </c>
      <c r="G807" s="10">
        <v>0</v>
      </c>
      <c r="H807" s="10">
        <v>80</v>
      </c>
      <c r="I807" s="10" t="s">
        <v>21</v>
      </c>
      <c r="J807" s="10">
        <v>137.8</v>
      </c>
      <c r="K807" s="10">
        <v>0</v>
      </c>
      <c r="L807" s="10">
        <v>0</v>
      </c>
      <c r="M807" s="10">
        <v>137.8</v>
      </c>
      <c r="N807" s="10" t="s">
        <v>761</v>
      </c>
      <c r="O807" s="10" t="s">
        <v>397</v>
      </c>
      <c r="P807" s="105">
        <f t="shared" si="12"/>
        <v>1.7225</v>
      </c>
    </row>
    <row r="808" spans="1:16">
      <c r="A808" s="10" t="s">
        <v>635</v>
      </c>
      <c r="B808" s="10">
        <v>4024474</v>
      </c>
      <c r="C808" s="10" t="s">
        <v>759</v>
      </c>
      <c r="D808" s="10" t="s">
        <v>760</v>
      </c>
      <c r="E808" s="10">
        <v>10</v>
      </c>
      <c r="F808" s="10">
        <v>130</v>
      </c>
      <c r="G808" s="10">
        <v>0</v>
      </c>
      <c r="H808" s="10">
        <v>140</v>
      </c>
      <c r="I808" s="10" t="s">
        <v>74</v>
      </c>
      <c r="J808" s="10">
        <v>47.71</v>
      </c>
      <c r="K808" s="10">
        <v>620.28</v>
      </c>
      <c r="L808" s="10">
        <v>0</v>
      </c>
      <c r="M808" s="10">
        <v>667.99</v>
      </c>
      <c r="N808" s="10" t="s">
        <v>761</v>
      </c>
      <c r="O808" s="10" t="s">
        <v>324</v>
      </c>
      <c r="P808" s="105">
        <f t="shared" si="12"/>
        <v>4.77135714285714</v>
      </c>
    </row>
    <row r="809" spans="1:16">
      <c r="A809" s="10" t="s">
        <v>635</v>
      </c>
      <c r="B809" s="10">
        <v>4025880</v>
      </c>
      <c r="C809" s="10" t="s">
        <v>759</v>
      </c>
      <c r="D809" s="10" t="s">
        <v>760</v>
      </c>
      <c r="E809" s="10">
        <v>0</v>
      </c>
      <c r="F809" s="10">
        <v>0</v>
      </c>
      <c r="G809" s="10">
        <v>0</v>
      </c>
      <c r="H809" s="10">
        <v>0</v>
      </c>
      <c r="I809" s="10" t="s">
        <v>21</v>
      </c>
      <c r="J809" s="10">
        <v>0</v>
      </c>
      <c r="K809" s="10">
        <v>0</v>
      </c>
      <c r="L809" s="10">
        <v>0</v>
      </c>
      <c r="M809" s="10">
        <v>0</v>
      </c>
      <c r="N809" s="10" t="s">
        <v>761</v>
      </c>
      <c r="O809" s="10" t="s">
        <v>1314</v>
      </c>
      <c r="P809" s="105" t="e">
        <f t="shared" si="12"/>
        <v>#DIV/0!</v>
      </c>
    </row>
    <row r="810" spans="1:16">
      <c r="A810" s="10" t="s">
        <v>635</v>
      </c>
      <c r="B810" s="10">
        <v>4026435</v>
      </c>
      <c r="C810" s="10" t="s">
        <v>759</v>
      </c>
      <c r="D810" s="10" t="s">
        <v>760</v>
      </c>
      <c r="E810" s="10">
        <v>0</v>
      </c>
      <c r="F810" s="10">
        <v>0</v>
      </c>
      <c r="G810" s="10">
        <v>0</v>
      </c>
      <c r="H810" s="10">
        <v>0</v>
      </c>
      <c r="I810" s="10" t="s">
        <v>21</v>
      </c>
      <c r="J810" s="10">
        <v>0</v>
      </c>
      <c r="K810" s="10">
        <v>0</v>
      </c>
      <c r="L810" s="10">
        <v>0</v>
      </c>
      <c r="M810" s="10">
        <v>0</v>
      </c>
      <c r="N810" s="10" t="s">
        <v>761</v>
      </c>
      <c r="O810" s="10" t="s">
        <v>1315</v>
      </c>
      <c r="P810" s="105" t="e">
        <f t="shared" si="12"/>
        <v>#DIV/0!</v>
      </c>
    </row>
    <row r="811" spans="1:16">
      <c r="A811" s="10" t="s">
        <v>635</v>
      </c>
      <c r="B811" s="10">
        <v>4026438</v>
      </c>
      <c r="C811" s="10" t="s">
        <v>759</v>
      </c>
      <c r="D811" s="10" t="s">
        <v>760</v>
      </c>
      <c r="E811" s="10">
        <v>0</v>
      </c>
      <c r="F811" s="10">
        <v>0</v>
      </c>
      <c r="G811" s="10">
        <v>0</v>
      </c>
      <c r="H811" s="10">
        <v>0</v>
      </c>
      <c r="I811" s="10" t="s">
        <v>21</v>
      </c>
      <c r="J811" s="10">
        <v>0</v>
      </c>
      <c r="K811" s="10">
        <v>0</v>
      </c>
      <c r="L811" s="10">
        <v>0</v>
      </c>
      <c r="M811" s="10">
        <v>0</v>
      </c>
      <c r="N811" s="10" t="s">
        <v>761</v>
      </c>
      <c r="O811" s="10" t="s">
        <v>1316</v>
      </c>
      <c r="P811" s="105" t="e">
        <f t="shared" si="12"/>
        <v>#DIV/0!</v>
      </c>
    </row>
    <row r="812" spans="1:16">
      <c r="A812" s="10" t="s">
        <v>635</v>
      </c>
      <c r="B812" s="10">
        <v>4026441</v>
      </c>
      <c r="C812" s="10" t="s">
        <v>759</v>
      </c>
      <c r="D812" s="10" t="s">
        <v>760</v>
      </c>
      <c r="E812" s="10">
        <v>0</v>
      </c>
      <c r="F812" s="10">
        <v>0</v>
      </c>
      <c r="G812" s="10">
        <v>0</v>
      </c>
      <c r="H812" s="10">
        <v>0</v>
      </c>
      <c r="I812" s="10" t="s">
        <v>21</v>
      </c>
      <c r="J812" s="10">
        <v>0</v>
      </c>
      <c r="K812" s="10">
        <v>0</v>
      </c>
      <c r="L812" s="10">
        <v>0</v>
      </c>
      <c r="M812" s="10">
        <v>0</v>
      </c>
      <c r="N812" s="10" t="s">
        <v>761</v>
      </c>
      <c r="O812" s="10" t="s">
        <v>1317</v>
      </c>
      <c r="P812" s="105" t="e">
        <f t="shared" si="12"/>
        <v>#DIV/0!</v>
      </c>
    </row>
    <row r="813" spans="1:16">
      <c r="A813" s="10" t="s">
        <v>635</v>
      </c>
      <c r="B813" s="10">
        <v>4026781</v>
      </c>
      <c r="C813" s="10" t="s">
        <v>759</v>
      </c>
      <c r="D813" s="10" t="s">
        <v>760</v>
      </c>
      <c r="E813" s="10">
        <v>0</v>
      </c>
      <c r="F813" s="10">
        <v>405</v>
      </c>
      <c r="G813" s="10">
        <v>0</v>
      </c>
      <c r="H813" s="10">
        <v>405</v>
      </c>
      <c r="I813" s="10" t="s">
        <v>74</v>
      </c>
      <c r="J813" s="10">
        <v>0</v>
      </c>
      <c r="K813" s="103">
        <v>2971.8</v>
      </c>
      <c r="L813" s="10">
        <v>0</v>
      </c>
      <c r="M813" s="103">
        <v>2971.8</v>
      </c>
      <c r="N813" s="10" t="s">
        <v>761</v>
      </c>
      <c r="O813" s="10" t="s">
        <v>438</v>
      </c>
      <c r="P813" s="105">
        <f t="shared" si="12"/>
        <v>7.33777777777778</v>
      </c>
    </row>
    <row r="814" spans="1:16">
      <c r="A814" s="10" t="s">
        <v>635</v>
      </c>
      <c r="B814" s="10">
        <v>4026797</v>
      </c>
      <c r="C814" s="10" t="s">
        <v>759</v>
      </c>
      <c r="D814" s="10" t="s">
        <v>760</v>
      </c>
      <c r="E814" s="10">
        <v>8.5</v>
      </c>
      <c r="F814" s="10">
        <v>60</v>
      </c>
      <c r="G814" s="10">
        <v>0</v>
      </c>
      <c r="H814" s="10">
        <v>68.5</v>
      </c>
      <c r="I814" s="10" t="s">
        <v>74</v>
      </c>
      <c r="J814" s="10">
        <v>55.28</v>
      </c>
      <c r="K814" s="10">
        <v>389.18</v>
      </c>
      <c r="L814" s="10">
        <v>0</v>
      </c>
      <c r="M814" s="10">
        <v>444.46</v>
      </c>
      <c r="N814" s="10" t="s">
        <v>761</v>
      </c>
      <c r="O814" s="10" t="s">
        <v>123</v>
      </c>
      <c r="P814" s="105">
        <f t="shared" si="12"/>
        <v>6.48846715328467</v>
      </c>
    </row>
    <row r="815" spans="1:16">
      <c r="A815" s="10" t="s">
        <v>635</v>
      </c>
      <c r="B815" s="10">
        <v>4027124</v>
      </c>
      <c r="C815" s="10" t="s">
        <v>759</v>
      </c>
      <c r="D815" s="10" t="s">
        <v>760</v>
      </c>
      <c r="E815" s="10">
        <v>0</v>
      </c>
      <c r="F815" s="10">
        <v>0</v>
      </c>
      <c r="G815" s="10">
        <v>0</v>
      </c>
      <c r="H815" s="10">
        <v>0</v>
      </c>
      <c r="I815" s="10" t="s">
        <v>659</v>
      </c>
      <c r="J815" s="10">
        <v>0</v>
      </c>
      <c r="K815" s="10">
        <v>0</v>
      </c>
      <c r="L815" s="10">
        <v>0</v>
      </c>
      <c r="M815" s="10">
        <v>0</v>
      </c>
      <c r="N815" s="10" t="s">
        <v>761</v>
      </c>
      <c r="O815" s="10" t="s">
        <v>1318</v>
      </c>
      <c r="P815" s="105" t="e">
        <f t="shared" si="12"/>
        <v>#DIV/0!</v>
      </c>
    </row>
    <row r="816" spans="1:16">
      <c r="A816" s="10" t="s">
        <v>635</v>
      </c>
      <c r="B816" s="10">
        <v>4027192</v>
      </c>
      <c r="C816" s="10" t="s">
        <v>759</v>
      </c>
      <c r="D816" s="10" t="s">
        <v>760</v>
      </c>
      <c r="E816" s="10">
        <v>0</v>
      </c>
      <c r="F816" s="10">
        <v>0</v>
      </c>
      <c r="G816" s="10">
        <v>0</v>
      </c>
      <c r="H816" s="10">
        <v>0</v>
      </c>
      <c r="I816" s="10" t="s">
        <v>21</v>
      </c>
      <c r="J816" s="10">
        <v>0</v>
      </c>
      <c r="K816" s="10">
        <v>0</v>
      </c>
      <c r="L816" s="10">
        <v>0</v>
      </c>
      <c r="M816" s="10">
        <v>0</v>
      </c>
      <c r="N816" s="10" t="s">
        <v>761</v>
      </c>
      <c r="O816" s="10" t="s">
        <v>1319</v>
      </c>
      <c r="P816" s="105" t="e">
        <f t="shared" si="12"/>
        <v>#DIV/0!</v>
      </c>
    </row>
    <row r="817" spans="1:16">
      <c r="A817" s="10" t="s">
        <v>635</v>
      </c>
      <c r="B817" s="10">
        <v>4027193</v>
      </c>
      <c r="C817" s="10" t="s">
        <v>759</v>
      </c>
      <c r="D817" s="10" t="s">
        <v>760</v>
      </c>
      <c r="E817" s="10">
        <v>0</v>
      </c>
      <c r="F817" s="10">
        <v>0</v>
      </c>
      <c r="G817" s="10">
        <v>0</v>
      </c>
      <c r="H817" s="10">
        <v>0</v>
      </c>
      <c r="I817" s="10" t="s">
        <v>21</v>
      </c>
      <c r="J817" s="10">
        <v>0</v>
      </c>
      <c r="K817" s="10">
        <v>0</v>
      </c>
      <c r="L817" s="10">
        <v>0</v>
      </c>
      <c r="M817" s="10">
        <v>0</v>
      </c>
      <c r="N817" s="10" t="s">
        <v>761</v>
      </c>
      <c r="O817" s="10" t="s">
        <v>1320</v>
      </c>
      <c r="P817" s="105" t="e">
        <f t="shared" si="12"/>
        <v>#DIV/0!</v>
      </c>
    </row>
    <row r="818" spans="1:16">
      <c r="A818" s="10" t="s">
        <v>635</v>
      </c>
      <c r="B818" s="10">
        <v>4027274</v>
      </c>
      <c r="C818" s="10" t="s">
        <v>759</v>
      </c>
      <c r="D818" s="10" t="s">
        <v>760</v>
      </c>
      <c r="E818" s="10">
        <v>0</v>
      </c>
      <c r="F818" s="10">
        <v>0</v>
      </c>
      <c r="G818" s="10">
        <v>0</v>
      </c>
      <c r="H818" s="10">
        <v>0</v>
      </c>
      <c r="I818" s="10" t="s">
        <v>21</v>
      </c>
      <c r="J818" s="10">
        <v>0</v>
      </c>
      <c r="K818" s="10">
        <v>0</v>
      </c>
      <c r="L818" s="10">
        <v>0</v>
      </c>
      <c r="M818" s="10">
        <v>0</v>
      </c>
      <c r="N818" s="10" t="s">
        <v>761</v>
      </c>
      <c r="O818" s="10" t="s">
        <v>1321</v>
      </c>
      <c r="P818" s="105" t="e">
        <f t="shared" si="12"/>
        <v>#DIV/0!</v>
      </c>
    </row>
    <row r="819" spans="1:16">
      <c r="A819" s="10" t="s">
        <v>635</v>
      </c>
      <c r="B819" s="10">
        <v>4027275</v>
      </c>
      <c r="C819" s="10" t="s">
        <v>759</v>
      </c>
      <c r="D819" s="10" t="s">
        <v>760</v>
      </c>
      <c r="E819" s="10">
        <v>0</v>
      </c>
      <c r="F819" s="10">
        <v>30</v>
      </c>
      <c r="G819" s="10">
        <v>0</v>
      </c>
      <c r="H819" s="10">
        <v>30</v>
      </c>
      <c r="I819" s="10" t="s">
        <v>21</v>
      </c>
      <c r="J819" s="10">
        <v>0</v>
      </c>
      <c r="K819" s="10">
        <v>89.83</v>
      </c>
      <c r="L819" s="10">
        <v>0</v>
      </c>
      <c r="M819" s="10">
        <v>89.83</v>
      </c>
      <c r="N819" s="10" t="s">
        <v>761</v>
      </c>
      <c r="O819" s="10" t="s">
        <v>547</v>
      </c>
      <c r="P819" s="105">
        <f t="shared" si="12"/>
        <v>2.99433333333333</v>
      </c>
    </row>
    <row r="820" spans="1:16">
      <c r="A820" s="10" t="s">
        <v>635</v>
      </c>
      <c r="B820" s="10">
        <v>4027277</v>
      </c>
      <c r="C820" s="10" t="s">
        <v>759</v>
      </c>
      <c r="D820" s="10" t="s">
        <v>760</v>
      </c>
      <c r="E820" s="10">
        <v>0</v>
      </c>
      <c r="F820" s="10">
        <v>0</v>
      </c>
      <c r="G820" s="10">
        <v>0</v>
      </c>
      <c r="H820" s="10">
        <v>0</v>
      </c>
      <c r="I820" s="10" t="s">
        <v>21</v>
      </c>
      <c r="J820" s="10">
        <v>0</v>
      </c>
      <c r="K820" s="10">
        <v>0</v>
      </c>
      <c r="L820" s="10">
        <v>0</v>
      </c>
      <c r="M820" s="10">
        <v>0</v>
      </c>
      <c r="N820" s="10" t="s">
        <v>761</v>
      </c>
      <c r="O820" s="10" t="s">
        <v>1322</v>
      </c>
      <c r="P820" s="105" t="e">
        <f t="shared" si="12"/>
        <v>#DIV/0!</v>
      </c>
    </row>
    <row r="821" spans="1:16">
      <c r="A821" s="10" t="s">
        <v>635</v>
      </c>
      <c r="B821" s="10">
        <v>4027517</v>
      </c>
      <c r="C821" s="10" t="s">
        <v>759</v>
      </c>
      <c r="D821" s="10" t="s">
        <v>760</v>
      </c>
      <c r="E821" s="10">
        <v>0</v>
      </c>
      <c r="F821" s="10">
        <v>0</v>
      </c>
      <c r="G821" s="10">
        <v>0</v>
      </c>
      <c r="H821" s="10">
        <v>0</v>
      </c>
      <c r="I821" s="10" t="s">
        <v>21</v>
      </c>
      <c r="J821" s="10">
        <v>0</v>
      </c>
      <c r="K821" s="10">
        <v>0</v>
      </c>
      <c r="L821" s="10">
        <v>0</v>
      </c>
      <c r="M821" s="10">
        <v>0</v>
      </c>
      <c r="N821" s="10" t="s">
        <v>761</v>
      </c>
      <c r="O821" s="10" t="s">
        <v>1323</v>
      </c>
      <c r="P821" s="105" t="e">
        <f t="shared" si="12"/>
        <v>#DIV/0!</v>
      </c>
    </row>
    <row r="822" spans="1:16">
      <c r="A822" s="10" t="s">
        <v>635</v>
      </c>
      <c r="B822" s="10">
        <v>4027518</v>
      </c>
      <c r="C822" s="10" t="s">
        <v>759</v>
      </c>
      <c r="D822" s="10" t="s">
        <v>760</v>
      </c>
      <c r="E822" s="10">
        <v>0</v>
      </c>
      <c r="F822" s="10">
        <v>0</v>
      </c>
      <c r="G822" s="10">
        <v>0</v>
      </c>
      <c r="H822" s="10">
        <v>0</v>
      </c>
      <c r="I822" s="10" t="s">
        <v>21</v>
      </c>
      <c r="J822" s="10">
        <v>0</v>
      </c>
      <c r="K822" s="10">
        <v>0</v>
      </c>
      <c r="L822" s="10">
        <v>0</v>
      </c>
      <c r="M822" s="10">
        <v>0</v>
      </c>
      <c r="N822" s="10" t="s">
        <v>761</v>
      </c>
      <c r="O822" s="10" t="s">
        <v>1324</v>
      </c>
      <c r="P822" s="105" t="e">
        <f t="shared" si="12"/>
        <v>#DIV/0!</v>
      </c>
    </row>
    <row r="823" spans="1:16">
      <c r="A823" s="10" t="s">
        <v>635</v>
      </c>
      <c r="B823" s="10">
        <v>4027519</v>
      </c>
      <c r="C823" s="10" t="s">
        <v>759</v>
      </c>
      <c r="D823" s="10" t="s">
        <v>760</v>
      </c>
      <c r="E823" s="10">
        <v>0</v>
      </c>
      <c r="F823" s="10">
        <v>0</v>
      </c>
      <c r="G823" s="10">
        <v>0</v>
      </c>
      <c r="H823" s="10">
        <v>0</v>
      </c>
      <c r="I823" s="10" t="s">
        <v>21</v>
      </c>
      <c r="J823" s="10">
        <v>0</v>
      </c>
      <c r="K823" s="10">
        <v>0</v>
      </c>
      <c r="L823" s="10">
        <v>0</v>
      </c>
      <c r="M823" s="10">
        <v>0</v>
      </c>
      <c r="N823" s="10" t="s">
        <v>761</v>
      </c>
      <c r="O823" s="10" t="s">
        <v>1325</v>
      </c>
      <c r="P823" s="105" t="e">
        <f t="shared" si="12"/>
        <v>#DIV/0!</v>
      </c>
    </row>
    <row r="824" spans="1:16">
      <c r="A824" s="10" t="s">
        <v>635</v>
      </c>
      <c r="B824" s="10">
        <v>4027530</v>
      </c>
      <c r="C824" s="10" t="s">
        <v>759</v>
      </c>
      <c r="D824" s="10" t="s">
        <v>760</v>
      </c>
      <c r="E824" s="10">
        <v>0</v>
      </c>
      <c r="F824" s="10">
        <v>0</v>
      </c>
      <c r="G824" s="10">
        <v>0</v>
      </c>
      <c r="H824" s="10">
        <v>0</v>
      </c>
      <c r="I824" s="10" t="s">
        <v>74</v>
      </c>
      <c r="J824" s="10">
        <v>0</v>
      </c>
      <c r="K824" s="10">
        <v>0</v>
      </c>
      <c r="L824" s="10">
        <v>0</v>
      </c>
      <c r="M824" s="10">
        <v>0</v>
      </c>
      <c r="N824" s="10" t="s">
        <v>761</v>
      </c>
      <c r="O824" s="10" t="s">
        <v>1326</v>
      </c>
      <c r="P824" s="105" t="e">
        <f t="shared" si="12"/>
        <v>#DIV/0!</v>
      </c>
    </row>
    <row r="825" spans="1:16">
      <c r="A825" s="10" t="s">
        <v>635</v>
      </c>
      <c r="B825" s="10">
        <v>4027972</v>
      </c>
      <c r="C825" s="10" t="s">
        <v>759</v>
      </c>
      <c r="D825" s="10" t="s">
        <v>760</v>
      </c>
      <c r="E825" s="10">
        <v>0</v>
      </c>
      <c r="F825" s="10">
        <v>0</v>
      </c>
      <c r="G825" s="10">
        <v>0</v>
      </c>
      <c r="H825" s="10">
        <v>0</v>
      </c>
      <c r="I825" s="10" t="s">
        <v>146</v>
      </c>
      <c r="J825" s="10">
        <v>0</v>
      </c>
      <c r="K825" s="10">
        <v>0</v>
      </c>
      <c r="L825" s="10">
        <v>0</v>
      </c>
      <c r="M825" s="10">
        <v>0</v>
      </c>
      <c r="N825" s="10" t="s">
        <v>761</v>
      </c>
      <c r="O825" s="10" t="s">
        <v>1327</v>
      </c>
      <c r="P825" s="105" t="e">
        <f t="shared" si="12"/>
        <v>#DIV/0!</v>
      </c>
    </row>
    <row r="826" spans="1:16">
      <c r="A826" s="10" t="s">
        <v>635</v>
      </c>
      <c r="B826" s="10">
        <v>4028096</v>
      </c>
      <c r="C826" s="10" t="s">
        <v>759</v>
      </c>
      <c r="D826" s="10" t="s">
        <v>760</v>
      </c>
      <c r="E826" s="10">
        <v>0</v>
      </c>
      <c r="F826" s="10">
        <v>0</v>
      </c>
      <c r="G826" s="10">
        <v>0</v>
      </c>
      <c r="H826" s="10">
        <v>0</v>
      </c>
      <c r="I826" s="10" t="s">
        <v>261</v>
      </c>
      <c r="J826" s="10">
        <v>0</v>
      </c>
      <c r="K826" s="10">
        <v>0</v>
      </c>
      <c r="L826" s="10">
        <v>0</v>
      </c>
      <c r="M826" s="10">
        <v>0</v>
      </c>
      <c r="N826" s="10" t="s">
        <v>761</v>
      </c>
      <c r="O826" s="10" t="s">
        <v>699</v>
      </c>
      <c r="P826" s="105" t="e">
        <f t="shared" si="12"/>
        <v>#DIV/0!</v>
      </c>
    </row>
    <row r="827" spans="1:16">
      <c r="A827" s="10" t="s">
        <v>635</v>
      </c>
      <c r="B827" s="10">
        <v>4028263</v>
      </c>
      <c r="C827" s="10" t="s">
        <v>759</v>
      </c>
      <c r="D827" s="10" t="s">
        <v>760</v>
      </c>
      <c r="E827" s="10">
        <v>0</v>
      </c>
      <c r="F827" s="10">
        <v>0</v>
      </c>
      <c r="G827" s="10">
        <v>0</v>
      </c>
      <c r="H827" s="10">
        <v>0</v>
      </c>
      <c r="I827" s="10" t="s">
        <v>21</v>
      </c>
      <c r="J827" s="10">
        <v>0</v>
      </c>
      <c r="K827" s="10">
        <v>0</v>
      </c>
      <c r="L827" s="10">
        <v>0</v>
      </c>
      <c r="M827" s="10">
        <v>0</v>
      </c>
      <c r="N827" s="10" t="s">
        <v>761</v>
      </c>
      <c r="O827" s="10" t="s">
        <v>1328</v>
      </c>
      <c r="P827" s="105" t="e">
        <f t="shared" si="12"/>
        <v>#DIV/0!</v>
      </c>
    </row>
    <row r="828" spans="1:16">
      <c r="A828" s="10" t="s">
        <v>635</v>
      </c>
      <c r="B828" s="10">
        <v>4028265</v>
      </c>
      <c r="C828" s="10" t="s">
        <v>759</v>
      </c>
      <c r="D828" s="10" t="s">
        <v>760</v>
      </c>
      <c r="E828" s="10">
        <v>0</v>
      </c>
      <c r="F828" s="10">
        <v>0</v>
      </c>
      <c r="G828" s="10">
        <v>0</v>
      </c>
      <c r="H828" s="10">
        <v>0</v>
      </c>
      <c r="I828" s="10" t="s">
        <v>21</v>
      </c>
      <c r="J828" s="10">
        <v>0</v>
      </c>
      <c r="K828" s="10">
        <v>0</v>
      </c>
      <c r="L828" s="10">
        <v>0</v>
      </c>
      <c r="M828" s="10">
        <v>0</v>
      </c>
      <c r="N828" s="10" t="s">
        <v>761</v>
      </c>
      <c r="O828" s="10" t="s">
        <v>1329</v>
      </c>
      <c r="P828" s="105" t="e">
        <f t="shared" si="12"/>
        <v>#DIV/0!</v>
      </c>
    </row>
    <row r="829" spans="1:16">
      <c r="A829" s="10" t="s">
        <v>635</v>
      </c>
      <c r="B829" s="10">
        <v>4028266</v>
      </c>
      <c r="C829" s="10" t="s">
        <v>759</v>
      </c>
      <c r="D829" s="10" t="s">
        <v>760</v>
      </c>
      <c r="E829" s="10">
        <v>0</v>
      </c>
      <c r="F829" s="10">
        <v>0</v>
      </c>
      <c r="G829" s="10">
        <v>0</v>
      </c>
      <c r="H829" s="10">
        <v>0</v>
      </c>
      <c r="I829" s="10" t="s">
        <v>21</v>
      </c>
      <c r="J829" s="10">
        <v>0</v>
      </c>
      <c r="K829" s="10">
        <v>0</v>
      </c>
      <c r="L829" s="10">
        <v>0</v>
      </c>
      <c r="M829" s="10">
        <v>0</v>
      </c>
      <c r="N829" s="10" t="s">
        <v>761</v>
      </c>
      <c r="O829" s="10" t="s">
        <v>1330</v>
      </c>
      <c r="P829" s="105" t="e">
        <f t="shared" si="12"/>
        <v>#DIV/0!</v>
      </c>
    </row>
    <row r="830" spans="1:16">
      <c r="A830" s="10" t="s">
        <v>635</v>
      </c>
      <c r="B830" s="10">
        <v>4028267</v>
      </c>
      <c r="C830" s="10" t="s">
        <v>759</v>
      </c>
      <c r="D830" s="10" t="s">
        <v>760</v>
      </c>
      <c r="E830" s="10">
        <v>0</v>
      </c>
      <c r="F830" s="10">
        <v>0</v>
      </c>
      <c r="G830" s="10">
        <v>0</v>
      </c>
      <c r="H830" s="10">
        <v>0</v>
      </c>
      <c r="I830" s="10" t="s">
        <v>21</v>
      </c>
      <c r="J830" s="10">
        <v>0</v>
      </c>
      <c r="K830" s="10">
        <v>0</v>
      </c>
      <c r="L830" s="10">
        <v>0</v>
      </c>
      <c r="M830" s="10">
        <v>0</v>
      </c>
      <c r="N830" s="10" t="s">
        <v>761</v>
      </c>
      <c r="O830" s="10" t="s">
        <v>1331</v>
      </c>
      <c r="P830" s="105" t="e">
        <f t="shared" si="12"/>
        <v>#DIV/0!</v>
      </c>
    </row>
    <row r="831" spans="1:16">
      <c r="A831" s="10" t="s">
        <v>635</v>
      </c>
      <c r="B831" s="10">
        <v>4028302</v>
      </c>
      <c r="C831" s="10" t="s">
        <v>759</v>
      </c>
      <c r="D831" s="10" t="s">
        <v>760</v>
      </c>
      <c r="E831" s="10">
        <v>97.5</v>
      </c>
      <c r="F831" s="10">
        <v>10</v>
      </c>
      <c r="G831" s="10">
        <v>0</v>
      </c>
      <c r="H831" s="10">
        <v>107.5</v>
      </c>
      <c r="I831" s="10" t="s">
        <v>74</v>
      </c>
      <c r="J831" s="10">
        <v>655.91</v>
      </c>
      <c r="K831" s="10">
        <v>66.99</v>
      </c>
      <c r="L831" s="10">
        <v>0</v>
      </c>
      <c r="M831" s="10">
        <v>722.9</v>
      </c>
      <c r="N831" s="10" t="s">
        <v>761</v>
      </c>
      <c r="O831" s="10" t="s">
        <v>365</v>
      </c>
      <c r="P831" s="105">
        <f t="shared" si="12"/>
        <v>6.7246511627907</v>
      </c>
    </row>
    <row r="832" spans="1:16">
      <c r="A832" s="10" t="s">
        <v>635</v>
      </c>
      <c r="B832" s="10">
        <v>4028719</v>
      </c>
      <c r="C832" s="10" t="s">
        <v>759</v>
      </c>
      <c r="D832" s="10" t="s">
        <v>760</v>
      </c>
      <c r="E832" s="10">
        <v>18.24</v>
      </c>
      <c r="F832" s="10">
        <v>127.68</v>
      </c>
      <c r="G832" s="10">
        <v>0</v>
      </c>
      <c r="H832" s="10">
        <v>145.92</v>
      </c>
      <c r="I832" s="10" t="s">
        <v>74</v>
      </c>
      <c r="J832" s="10">
        <v>77.86</v>
      </c>
      <c r="K832" s="10">
        <v>545.05</v>
      </c>
      <c r="L832" s="10">
        <v>0</v>
      </c>
      <c r="M832" s="10">
        <v>622.91</v>
      </c>
      <c r="N832" s="10" t="s">
        <v>761</v>
      </c>
      <c r="O832" s="10" t="s">
        <v>533</v>
      </c>
      <c r="P832" s="105">
        <f t="shared" si="12"/>
        <v>4.26884594298246</v>
      </c>
    </row>
    <row r="833" spans="1:16">
      <c r="A833" s="10" t="s">
        <v>635</v>
      </c>
      <c r="B833" s="10">
        <v>4029189</v>
      </c>
      <c r="C833" s="10" t="s">
        <v>759</v>
      </c>
      <c r="D833" s="10" t="s">
        <v>760</v>
      </c>
      <c r="E833" s="10">
        <v>0</v>
      </c>
      <c r="F833" s="10">
        <v>0</v>
      </c>
      <c r="G833" s="10">
        <v>0</v>
      </c>
      <c r="H833" s="10">
        <v>0</v>
      </c>
      <c r="I833" s="10" t="s">
        <v>21</v>
      </c>
      <c r="J833" s="10">
        <v>0</v>
      </c>
      <c r="K833" s="10">
        <v>0</v>
      </c>
      <c r="L833" s="10">
        <v>0</v>
      </c>
      <c r="M833" s="10">
        <v>0</v>
      </c>
      <c r="N833" s="10" t="s">
        <v>761</v>
      </c>
      <c r="O833" s="10" t="s">
        <v>1332</v>
      </c>
      <c r="P833" s="105" t="e">
        <f t="shared" si="12"/>
        <v>#DIV/0!</v>
      </c>
    </row>
    <row r="834" spans="1:16">
      <c r="A834" s="10" t="s">
        <v>635</v>
      </c>
      <c r="B834" s="10">
        <v>4029644</v>
      </c>
      <c r="C834" s="10" t="s">
        <v>759</v>
      </c>
      <c r="D834" s="10" t="s">
        <v>760</v>
      </c>
      <c r="E834" s="10">
        <v>0</v>
      </c>
      <c r="F834" s="10">
        <v>0</v>
      </c>
      <c r="G834" s="10">
        <v>0</v>
      </c>
      <c r="H834" s="10">
        <v>0</v>
      </c>
      <c r="I834" s="10" t="s">
        <v>21</v>
      </c>
      <c r="J834" s="10">
        <v>0</v>
      </c>
      <c r="K834" s="10">
        <v>0</v>
      </c>
      <c r="L834" s="10">
        <v>0</v>
      </c>
      <c r="M834" s="10">
        <v>0</v>
      </c>
      <c r="N834" s="10" t="s">
        <v>761</v>
      </c>
      <c r="O834" s="10" t="s">
        <v>1333</v>
      </c>
      <c r="P834" s="105" t="e">
        <f t="shared" si="12"/>
        <v>#DIV/0!</v>
      </c>
    </row>
    <row r="835" spans="1:16">
      <c r="A835" s="10" t="s">
        <v>635</v>
      </c>
      <c r="B835" s="10">
        <v>4030926</v>
      </c>
      <c r="C835" s="10" t="s">
        <v>759</v>
      </c>
      <c r="D835" s="10" t="s">
        <v>760</v>
      </c>
      <c r="E835" s="10">
        <v>0</v>
      </c>
      <c r="F835" s="10">
        <v>0</v>
      </c>
      <c r="G835" s="10">
        <v>0</v>
      </c>
      <c r="H835" s="10">
        <v>0</v>
      </c>
      <c r="I835" s="10" t="s">
        <v>151</v>
      </c>
      <c r="J835" s="10">
        <v>0</v>
      </c>
      <c r="K835" s="10">
        <v>0</v>
      </c>
      <c r="L835" s="10">
        <v>0</v>
      </c>
      <c r="M835" s="10">
        <v>0</v>
      </c>
      <c r="N835" s="10" t="s">
        <v>761</v>
      </c>
      <c r="O835" s="10" t="s">
        <v>240</v>
      </c>
      <c r="P835" s="105" t="e">
        <f t="shared" ref="P835:P898" si="13">M835/H835</f>
        <v>#DIV/0!</v>
      </c>
    </row>
    <row r="836" spans="1:16">
      <c r="A836" s="10" t="s">
        <v>635</v>
      </c>
      <c r="B836" s="10">
        <v>4031291</v>
      </c>
      <c r="C836" s="10" t="s">
        <v>759</v>
      </c>
      <c r="D836" s="10" t="s">
        <v>760</v>
      </c>
      <c r="E836" s="10">
        <v>0</v>
      </c>
      <c r="F836" s="10">
        <v>0</v>
      </c>
      <c r="G836" s="10">
        <v>0</v>
      </c>
      <c r="H836" s="10">
        <v>0</v>
      </c>
      <c r="I836" s="10" t="s">
        <v>21</v>
      </c>
      <c r="J836" s="10">
        <v>0</v>
      </c>
      <c r="K836" s="10">
        <v>0</v>
      </c>
      <c r="L836" s="10">
        <v>0</v>
      </c>
      <c r="M836" s="10">
        <v>0</v>
      </c>
      <c r="N836" s="10" t="s">
        <v>761</v>
      </c>
      <c r="O836" s="10" t="s">
        <v>1334</v>
      </c>
      <c r="P836" s="105" t="e">
        <f t="shared" si="13"/>
        <v>#DIV/0!</v>
      </c>
    </row>
    <row r="837" spans="1:16">
      <c r="A837" s="10" t="s">
        <v>635</v>
      </c>
      <c r="B837" s="10">
        <v>4031674</v>
      </c>
      <c r="C837" s="10" t="s">
        <v>759</v>
      </c>
      <c r="D837" s="10" t="s">
        <v>760</v>
      </c>
      <c r="E837" s="10">
        <v>0</v>
      </c>
      <c r="F837" s="10">
        <v>0</v>
      </c>
      <c r="G837" s="10">
        <v>0</v>
      </c>
      <c r="H837" s="10">
        <v>0</v>
      </c>
      <c r="I837" s="10" t="s">
        <v>151</v>
      </c>
      <c r="J837" s="10">
        <v>0</v>
      </c>
      <c r="K837" s="10">
        <v>0</v>
      </c>
      <c r="L837" s="10">
        <v>0</v>
      </c>
      <c r="M837" s="10">
        <v>0</v>
      </c>
      <c r="N837" s="10" t="s">
        <v>761</v>
      </c>
      <c r="O837" s="10" t="s">
        <v>1335</v>
      </c>
      <c r="P837" s="105" t="e">
        <f t="shared" si="13"/>
        <v>#DIV/0!</v>
      </c>
    </row>
    <row r="838" spans="1:16">
      <c r="A838" s="10" t="s">
        <v>635</v>
      </c>
      <c r="B838" s="10">
        <v>4032091</v>
      </c>
      <c r="C838" s="10" t="s">
        <v>759</v>
      </c>
      <c r="D838" s="10" t="s">
        <v>760</v>
      </c>
      <c r="E838" s="10">
        <v>0</v>
      </c>
      <c r="F838" s="10">
        <v>0</v>
      </c>
      <c r="G838" s="10">
        <v>0</v>
      </c>
      <c r="H838" s="10">
        <v>0</v>
      </c>
      <c r="I838" s="10" t="s">
        <v>21</v>
      </c>
      <c r="J838" s="10">
        <v>0</v>
      </c>
      <c r="K838" s="10">
        <v>0</v>
      </c>
      <c r="L838" s="10">
        <v>0</v>
      </c>
      <c r="M838" s="10">
        <v>0</v>
      </c>
      <c r="N838" s="10" t="s">
        <v>761</v>
      </c>
      <c r="O838" s="10" t="s">
        <v>1336</v>
      </c>
      <c r="P838" s="105" t="e">
        <f t="shared" si="13"/>
        <v>#DIV/0!</v>
      </c>
    </row>
    <row r="839" spans="1:16">
      <c r="A839" s="10" t="s">
        <v>635</v>
      </c>
      <c r="B839" s="10">
        <v>4032395</v>
      </c>
      <c r="C839" s="10" t="s">
        <v>759</v>
      </c>
      <c r="D839" s="10" t="s">
        <v>760</v>
      </c>
      <c r="E839" s="10">
        <v>0</v>
      </c>
      <c r="F839" s="10">
        <v>0</v>
      </c>
      <c r="G839" s="10">
        <v>0</v>
      </c>
      <c r="H839" s="10">
        <v>0</v>
      </c>
      <c r="I839" s="10" t="s">
        <v>21</v>
      </c>
      <c r="J839" s="10">
        <v>0</v>
      </c>
      <c r="K839" s="10">
        <v>0</v>
      </c>
      <c r="L839" s="10">
        <v>0</v>
      </c>
      <c r="M839" s="10">
        <v>0</v>
      </c>
      <c r="N839" s="10" t="s">
        <v>761</v>
      </c>
      <c r="O839" s="10" t="s">
        <v>1337</v>
      </c>
      <c r="P839" s="105" t="e">
        <f t="shared" si="13"/>
        <v>#DIV/0!</v>
      </c>
    </row>
    <row r="840" spans="1:16">
      <c r="A840" s="10" t="s">
        <v>635</v>
      </c>
      <c r="B840" s="10">
        <v>4034350</v>
      </c>
      <c r="C840" s="10" t="s">
        <v>759</v>
      </c>
      <c r="D840" s="10" t="s">
        <v>760</v>
      </c>
      <c r="E840" s="10">
        <v>0</v>
      </c>
      <c r="F840" s="10">
        <v>0</v>
      </c>
      <c r="G840" s="10">
        <v>0</v>
      </c>
      <c r="H840" s="10">
        <v>0</v>
      </c>
      <c r="I840" s="10" t="s">
        <v>128</v>
      </c>
      <c r="J840" s="10">
        <v>0</v>
      </c>
      <c r="K840" s="10">
        <v>0</v>
      </c>
      <c r="L840" s="10">
        <v>0</v>
      </c>
      <c r="M840" s="10">
        <v>0</v>
      </c>
      <c r="N840" s="10" t="s">
        <v>761</v>
      </c>
      <c r="O840" s="10" t="s">
        <v>1338</v>
      </c>
      <c r="P840" s="105" t="e">
        <f t="shared" si="13"/>
        <v>#DIV/0!</v>
      </c>
    </row>
    <row r="841" spans="1:16">
      <c r="A841" s="10" t="s">
        <v>635</v>
      </c>
      <c r="B841" s="10">
        <v>4034397</v>
      </c>
      <c r="C841" s="10" t="s">
        <v>759</v>
      </c>
      <c r="D841" s="10" t="s">
        <v>760</v>
      </c>
      <c r="E841" s="10">
        <v>7.5</v>
      </c>
      <c r="F841" s="10">
        <v>10</v>
      </c>
      <c r="G841" s="10">
        <v>0</v>
      </c>
      <c r="H841" s="10">
        <v>17.5</v>
      </c>
      <c r="I841" s="10" t="s">
        <v>74</v>
      </c>
      <c r="J841" s="10">
        <v>30</v>
      </c>
      <c r="K841" s="10">
        <v>40</v>
      </c>
      <c r="L841" s="10">
        <v>0</v>
      </c>
      <c r="M841" s="10">
        <v>70</v>
      </c>
      <c r="N841" s="10" t="s">
        <v>761</v>
      </c>
      <c r="O841" s="10" t="s">
        <v>223</v>
      </c>
      <c r="P841" s="105">
        <f t="shared" si="13"/>
        <v>4</v>
      </c>
    </row>
    <row r="842" spans="1:16">
      <c r="A842" s="10" t="s">
        <v>635</v>
      </c>
      <c r="B842" s="10">
        <v>4035101</v>
      </c>
      <c r="C842" s="10" t="s">
        <v>759</v>
      </c>
      <c r="D842" s="10" t="s">
        <v>760</v>
      </c>
      <c r="E842" s="10">
        <v>0</v>
      </c>
      <c r="F842" s="10">
        <v>0</v>
      </c>
      <c r="G842" s="10">
        <v>0</v>
      </c>
      <c r="H842" s="10">
        <v>0</v>
      </c>
      <c r="I842" s="10" t="s">
        <v>21</v>
      </c>
      <c r="J842" s="10">
        <v>0</v>
      </c>
      <c r="K842" s="10">
        <v>0</v>
      </c>
      <c r="L842" s="10">
        <v>0</v>
      </c>
      <c r="M842" s="10">
        <v>0</v>
      </c>
      <c r="N842" s="10" t="s">
        <v>761</v>
      </c>
      <c r="O842" s="10" t="s">
        <v>1339</v>
      </c>
      <c r="P842" s="105" t="e">
        <f t="shared" si="13"/>
        <v>#DIV/0!</v>
      </c>
    </row>
    <row r="843" spans="1:16">
      <c r="A843" s="10" t="s">
        <v>635</v>
      </c>
      <c r="B843" s="10">
        <v>4035184</v>
      </c>
      <c r="C843" s="10" t="s">
        <v>759</v>
      </c>
      <c r="D843" s="10" t="s">
        <v>760</v>
      </c>
      <c r="E843" s="10">
        <v>0</v>
      </c>
      <c r="F843" s="10">
        <v>0</v>
      </c>
      <c r="G843" s="10">
        <v>0</v>
      </c>
      <c r="H843" s="10">
        <v>0</v>
      </c>
      <c r="I843" s="10" t="s">
        <v>21</v>
      </c>
      <c r="J843" s="10">
        <v>0</v>
      </c>
      <c r="K843" s="10">
        <v>0</v>
      </c>
      <c r="L843" s="10">
        <v>0</v>
      </c>
      <c r="M843" s="10">
        <v>0</v>
      </c>
      <c r="N843" s="10" t="s">
        <v>761</v>
      </c>
      <c r="O843" s="10" t="s">
        <v>1340</v>
      </c>
      <c r="P843" s="105" t="e">
        <f t="shared" si="13"/>
        <v>#DIV/0!</v>
      </c>
    </row>
    <row r="844" spans="1:16">
      <c r="A844" s="10" t="s">
        <v>635</v>
      </c>
      <c r="B844" s="10">
        <v>4036098</v>
      </c>
      <c r="C844" s="10" t="s">
        <v>759</v>
      </c>
      <c r="D844" s="10" t="s">
        <v>760</v>
      </c>
      <c r="E844" s="10">
        <v>0</v>
      </c>
      <c r="F844" s="10">
        <v>0</v>
      </c>
      <c r="G844" s="10">
        <v>0</v>
      </c>
      <c r="H844" s="10">
        <v>0</v>
      </c>
      <c r="I844" s="10" t="s">
        <v>21</v>
      </c>
      <c r="J844" s="10">
        <v>0</v>
      </c>
      <c r="K844" s="10">
        <v>0</v>
      </c>
      <c r="L844" s="10">
        <v>0</v>
      </c>
      <c r="M844" s="10">
        <v>0</v>
      </c>
      <c r="N844" s="10" t="s">
        <v>761</v>
      </c>
      <c r="O844" s="10" t="s">
        <v>19</v>
      </c>
      <c r="P844" s="105" t="e">
        <f t="shared" si="13"/>
        <v>#DIV/0!</v>
      </c>
    </row>
    <row r="845" spans="1:16">
      <c r="A845" s="10" t="s">
        <v>635</v>
      </c>
      <c r="B845" s="10">
        <v>4038572</v>
      </c>
      <c r="C845" s="10" t="s">
        <v>759</v>
      </c>
      <c r="D845" s="10" t="s">
        <v>760</v>
      </c>
      <c r="E845" s="10">
        <v>0</v>
      </c>
      <c r="F845" s="10">
        <v>0</v>
      </c>
      <c r="G845" s="10">
        <v>0</v>
      </c>
      <c r="H845" s="10">
        <v>0</v>
      </c>
      <c r="I845" s="10" t="s">
        <v>21</v>
      </c>
      <c r="J845" s="10">
        <v>0</v>
      </c>
      <c r="K845" s="10">
        <v>0</v>
      </c>
      <c r="L845" s="10">
        <v>0</v>
      </c>
      <c r="M845" s="10">
        <v>0</v>
      </c>
      <c r="N845" s="10" t="s">
        <v>761</v>
      </c>
      <c r="O845" s="10" t="s">
        <v>1341</v>
      </c>
      <c r="P845" s="105" t="e">
        <f t="shared" si="13"/>
        <v>#DIV/0!</v>
      </c>
    </row>
    <row r="846" spans="1:16">
      <c r="A846" s="10" t="s">
        <v>635</v>
      </c>
      <c r="B846" s="10">
        <v>4038573</v>
      </c>
      <c r="C846" s="10" t="s">
        <v>759</v>
      </c>
      <c r="D846" s="10" t="s">
        <v>760</v>
      </c>
      <c r="E846" s="10">
        <v>0</v>
      </c>
      <c r="F846" s="10">
        <v>0</v>
      </c>
      <c r="G846" s="10">
        <v>0</v>
      </c>
      <c r="H846" s="10">
        <v>0</v>
      </c>
      <c r="I846" s="10" t="s">
        <v>21</v>
      </c>
      <c r="J846" s="10">
        <v>0</v>
      </c>
      <c r="K846" s="10">
        <v>0</v>
      </c>
      <c r="L846" s="10">
        <v>0</v>
      </c>
      <c r="M846" s="10">
        <v>0</v>
      </c>
      <c r="N846" s="10" t="s">
        <v>761</v>
      </c>
      <c r="O846" s="10" t="s">
        <v>1342</v>
      </c>
      <c r="P846" s="105" t="e">
        <f t="shared" si="13"/>
        <v>#DIV/0!</v>
      </c>
    </row>
    <row r="847" spans="1:16">
      <c r="A847" s="10" t="s">
        <v>635</v>
      </c>
      <c r="B847" s="10">
        <v>4039738</v>
      </c>
      <c r="C847" s="10" t="s">
        <v>759</v>
      </c>
      <c r="D847" s="10" t="s">
        <v>760</v>
      </c>
      <c r="E847" s="10">
        <v>0</v>
      </c>
      <c r="F847" s="10">
        <v>0</v>
      </c>
      <c r="G847" s="10">
        <v>0</v>
      </c>
      <c r="H847" s="10">
        <v>0</v>
      </c>
      <c r="I847" s="10" t="s">
        <v>74</v>
      </c>
      <c r="J847" s="10">
        <v>0</v>
      </c>
      <c r="K847" s="10">
        <v>0</v>
      </c>
      <c r="L847" s="10">
        <v>0</v>
      </c>
      <c r="M847" s="10">
        <v>0</v>
      </c>
      <c r="N847" s="10" t="s">
        <v>761</v>
      </c>
      <c r="O847" s="10" t="s">
        <v>1343</v>
      </c>
      <c r="P847" s="105" t="e">
        <f t="shared" si="13"/>
        <v>#DIV/0!</v>
      </c>
    </row>
    <row r="848" spans="1:16">
      <c r="A848" s="10" t="s">
        <v>635</v>
      </c>
      <c r="B848" s="10">
        <v>4039739</v>
      </c>
      <c r="C848" s="10" t="s">
        <v>759</v>
      </c>
      <c r="D848" s="10" t="s">
        <v>760</v>
      </c>
      <c r="E848" s="10">
        <v>15</v>
      </c>
      <c r="F848" s="10">
        <v>27.5</v>
      </c>
      <c r="G848" s="10">
        <v>-1.6</v>
      </c>
      <c r="H848" s="10">
        <v>40.9</v>
      </c>
      <c r="I848" s="10" t="s">
        <v>74</v>
      </c>
      <c r="J848" s="10">
        <v>180.39</v>
      </c>
      <c r="K848" s="10">
        <v>330.81</v>
      </c>
      <c r="L848" s="10">
        <v>-19.25</v>
      </c>
      <c r="M848" s="10">
        <v>491.95</v>
      </c>
      <c r="N848" s="10" t="s">
        <v>761</v>
      </c>
      <c r="O848" s="10" t="s">
        <v>230</v>
      </c>
      <c r="P848" s="105">
        <f t="shared" si="13"/>
        <v>12.0281173594132</v>
      </c>
    </row>
    <row r="849" spans="1:16">
      <c r="A849" s="10" t="s">
        <v>635</v>
      </c>
      <c r="B849" s="10">
        <v>4039740</v>
      </c>
      <c r="C849" s="10" t="s">
        <v>759</v>
      </c>
      <c r="D849" s="10" t="s">
        <v>760</v>
      </c>
      <c r="E849" s="10">
        <v>0</v>
      </c>
      <c r="F849" s="10">
        <v>0</v>
      </c>
      <c r="G849" s="10">
        <v>0</v>
      </c>
      <c r="H849" s="10">
        <v>0</v>
      </c>
      <c r="I849" s="10" t="s">
        <v>146</v>
      </c>
      <c r="J849" s="10">
        <v>0</v>
      </c>
      <c r="K849" s="10">
        <v>0</v>
      </c>
      <c r="L849" s="10">
        <v>0</v>
      </c>
      <c r="M849" s="10">
        <v>0</v>
      </c>
      <c r="N849" s="10" t="s">
        <v>761</v>
      </c>
      <c r="O849" s="10" t="s">
        <v>1344</v>
      </c>
      <c r="P849" s="105" t="e">
        <f t="shared" si="13"/>
        <v>#DIV/0!</v>
      </c>
    </row>
    <row r="850" spans="1:16">
      <c r="A850" s="10" t="s">
        <v>635</v>
      </c>
      <c r="B850" s="10">
        <v>4039886</v>
      </c>
      <c r="C850" s="10" t="s">
        <v>759</v>
      </c>
      <c r="D850" s="10" t="s">
        <v>760</v>
      </c>
      <c r="E850" s="10">
        <v>0</v>
      </c>
      <c r="F850" s="10">
        <v>0</v>
      </c>
      <c r="G850" s="10">
        <v>0</v>
      </c>
      <c r="H850" s="10">
        <v>0</v>
      </c>
      <c r="I850" s="10" t="s">
        <v>21</v>
      </c>
      <c r="J850" s="10">
        <v>0</v>
      </c>
      <c r="K850" s="10">
        <v>0</v>
      </c>
      <c r="L850" s="10">
        <v>0</v>
      </c>
      <c r="M850" s="10">
        <v>0</v>
      </c>
      <c r="N850" s="10" t="s">
        <v>761</v>
      </c>
      <c r="O850" s="10" t="s">
        <v>1345</v>
      </c>
      <c r="P850" s="105" t="e">
        <f t="shared" si="13"/>
        <v>#DIV/0!</v>
      </c>
    </row>
    <row r="851" spans="1:16">
      <c r="A851" s="10" t="s">
        <v>635</v>
      </c>
      <c r="B851" s="10">
        <v>4039887</v>
      </c>
      <c r="C851" s="10" t="s">
        <v>759</v>
      </c>
      <c r="D851" s="10" t="s">
        <v>760</v>
      </c>
      <c r="E851" s="10">
        <v>0</v>
      </c>
      <c r="F851" s="10">
        <v>0</v>
      </c>
      <c r="G851" s="10">
        <v>0</v>
      </c>
      <c r="H851" s="10">
        <v>0</v>
      </c>
      <c r="I851" s="10" t="s">
        <v>21</v>
      </c>
      <c r="J851" s="10">
        <v>0</v>
      </c>
      <c r="K851" s="10">
        <v>0</v>
      </c>
      <c r="L851" s="10">
        <v>0</v>
      </c>
      <c r="M851" s="10">
        <v>0</v>
      </c>
      <c r="N851" s="10" t="s">
        <v>761</v>
      </c>
      <c r="O851" s="10" t="s">
        <v>1346</v>
      </c>
      <c r="P851" s="105" t="e">
        <f t="shared" si="13"/>
        <v>#DIV/0!</v>
      </c>
    </row>
    <row r="852" spans="1:16">
      <c r="A852" s="10" t="s">
        <v>635</v>
      </c>
      <c r="B852" s="10">
        <v>4039888</v>
      </c>
      <c r="C852" s="10" t="s">
        <v>759</v>
      </c>
      <c r="D852" s="10" t="s">
        <v>760</v>
      </c>
      <c r="E852" s="10">
        <v>0</v>
      </c>
      <c r="F852" s="10">
        <v>0</v>
      </c>
      <c r="G852" s="10">
        <v>0</v>
      </c>
      <c r="H852" s="10">
        <v>0</v>
      </c>
      <c r="I852" s="10" t="s">
        <v>21</v>
      </c>
      <c r="J852" s="10">
        <v>0</v>
      </c>
      <c r="K852" s="10">
        <v>0</v>
      </c>
      <c r="L852" s="10">
        <v>0</v>
      </c>
      <c r="M852" s="10">
        <v>0</v>
      </c>
      <c r="N852" s="10" t="s">
        <v>761</v>
      </c>
      <c r="O852" s="10" t="s">
        <v>1347</v>
      </c>
      <c r="P852" s="105" t="e">
        <f t="shared" si="13"/>
        <v>#DIV/0!</v>
      </c>
    </row>
    <row r="853" spans="1:16">
      <c r="A853" s="10" t="s">
        <v>635</v>
      </c>
      <c r="B853" s="10">
        <v>4040828</v>
      </c>
      <c r="C853" s="10" t="s">
        <v>759</v>
      </c>
      <c r="D853" s="10" t="s">
        <v>760</v>
      </c>
      <c r="E853" s="10">
        <v>0</v>
      </c>
      <c r="F853" s="10">
        <v>0</v>
      </c>
      <c r="G853" s="10">
        <v>0</v>
      </c>
      <c r="H853" s="10">
        <v>0</v>
      </c>
      <c r="I853" s="10" t="s">
        <v>21</v>
      </c>
      <c r="J853" s="10">
        <v>0</v>
      </c>
      <c r="K853" s="10">
        <v>0</v>
      </c>
      <c r="L853" s="10">
        <v>0</v>
      </c>
      <c r="M853" s="10">
        <v>0</v>
      </c>
      <c r="N853" s="10" t="s">
        <v>761</v>
      </c>
      <c r="O853" s="10" t="s">
        <v>1348</v>
      </c>
      <c r="P853" s="105" t="e">
        <f t="shared" si="13"/>
        <v>#DIV/0!</v>
      </c>
    </row>
    <row r="854" spans="1:16">
      <c r="A854" s="10" t="s">
        <v>635</v>
      </c>
      <c r="B854" s="10">
        <v>4040829</v>
      </c>
      <c r="C854" s="10" t="s">
        <v>759</v>
      </c>
      <c r="D854" s="10" t="s">
        <v>760</v>
      </c>
      <c r="E854" s="10">
        <v>500</v>
      </c>
      <c r="F854" s="10">
        <v>0</v>
      </c>
      <c r="G854" s="10">
        <v>0</v>
      </c>
      <c r="H854" s="10">
        <v>500</v>
      </c>
      <c r="I854" s="10" t="s">
        <v>21</v>
      </c>
      <c r="J854" s="10">
        <v>292.03</v>
      </c>
      <c r="K854" s="10">
        <v>0</v>
      </c>
      <c r="L854" s="10">
        <v>0</v>
      </c>
      <c r="M854" s="10">
        <v>292.03</v>
      </c>
      <c r="N854" s="10" t="s">
        <v>761</v>
      </c>
      <c r="O854" s="10" t="s">
        <v>357</v>
      </c>
      <c r="P854" s="105">
        <f t="shared" si="13"/>
        <v>0.58406</v>
      </c>
    </row>
    <row r="855" spans="1:16">
      <c r="A855" s="10" t="s">
        <v>635</v>
      </c>
      <c r="B855" s="10">
        <v>4040830</v>
      </c>
      <c r="C855" s="10" t="s">
        <v>759</v>
      </c>
      <c r="D855" s="10" t="s">
        <v>760</v>
      </c>
      <c r="E855" s="10">
        <v>0</v>
      </c>
      <c r="F855" s="103">
        <v>2300</v>
      </c>
      <c r="G855" s="10">
        <v>0</v>
      </c>
      <c r="H855" s="103">
        <v>2300</v>
      </c>
      <c r="I855" s="10" t="s">
        <v>21</v>
      </c>
      <c r="J855" s="10">
        <v>0</v>
      </c>
      <c r="K855" s="103">
        <v>1780.02</v>
      </c>
      <c r="L855" s="10">
        <v>0</v>
      </c>
      <c r="M855" s="103">
        <v>1780.02</v>
      </c>
      <c r="N855" s="10" t="s">
        <v>761</v>
      </c>
      <c r="O855" s="10" t="s">
        <v>384</v>
      </c>
      <c r="P855" s="105">
        <f t="shared" si="13"/>
        <v>0.773921739130435</v>
      </c>
    </row>
    <row r="856" spans="1:16">
      <c r="A856" s="10" t="s">
        <v>635</v>
      </c>
      <c r="B856" s="10">
        <v>4041179</v>
      </c>
      <c r="C856" s="10" t="s">
        <v>759</v>
      </c>
      <c r="D856" s="10" t="s">
        <v>760</v>
      </c>
      <c r="E856" s="10">
        <v>0</v>
      </c>
      <c r="F856" s="10">
        <v>0</v>
      </c>
      <c r="G856" s="10">
        <v>0</v>
      </c>
      <c r="H856" s="10">
        <v>0</v>
      </c>
      <c r="I856" s="10" t="s">
        <v>74</v>
      </c>
      <c r="J856" s="10">
        <v>0</v>
      </c>
      <c r="K856" s="10">
        <v>0</v>
      </c>
      <c r="L856" s="10">
        <v>0</v>
      </c>
      <c r="M856" s="10">
        <v>0</v>
      </c>
      <c r="N856" s="10" t="s">
        <v>761</v>
      </c>
      <c r="O856" s="10" t="s">
        <v>1349</v>
      </c>
      <c r="P856" s="105" t="e">
        <f t="shared" si="13"/>
        <v>#DIV/0!</v>
      </c>
    </row>
    <row r="857" spans="1:16">
      <c r="A857" s="10" t="s">
        <v>635</v>
      </c>
      <c r="B857" s="10">
        <v>4042597</v>
      </c>
      <c r="C857" s="10" t="s">
        <v>759</v>
      </c>
      <c r="D857" s="10" t="s">
        <v>760</v>
      </c>
      <c r="E857" s="10">
        <v>0</v>
      </c>
      <c r="F857" s="10">
        <v>0</v>
      </c>
      <c r="G857" s="10">
        <v>0</v>
      </c>
      <c r="H857" s="10">
        <v>0</v>
      </c>
      <c r="I857" s="10" t="s">
        <v>21</v>
      </c>
      <c r="J857" s="10">
        <v>0</v>
      </c>
      <c r="K857" s="10">
        <v>0</v>
      </c>
      <c r="L857" s="10">
        <v>0</v>
      </c>
      <c r="M857" s="10">
        <v>0</v>
      </c>
      <c r="N857" s="10" t="s">
        <v>761</v>
      </c>
      <c r="O857" s="10" t="s">
        <v>1350</v>
      </c>
      <c r="P857" s="105" t="e">
        <f t="shared" si="13"/>
        <v>#DIV/0!</v>
      </c>
    </row>
    <row r="858" spans="1:16">
      <c r="A858" s="10" t="s">
        <v>635</v>
      </c>
      <c r="B858" s="10">
        <v>4042598</v>
      </c>
      <c r="C858" s="10" t="s">
        <v>759</v>
      </c>
      <c r="D858" s="10" t="s">
        <v>760</v>
      </c>
      <c r="E858" s="10">
        <v>0</v>
      </c>
      <c r="F858" s="10">
        <v>0</v>
      </c>
      <c r="G858" s="10">
        <v>0</v>
      </c>
      <c r="H858" s="10">
        <v>0</v>
      </c>
      <c r="I858" s="10" t="s">
        <v>21</v>
      </c>
      <c r="J858" s="10">
        <v>0</v>
      </c>
      <c r="K858" s="10">
        <v>0</v>
      </c>
      <c r="L858" s="10">
        <v>0</v>
      </c>
      <c r="M858" s="10">
        <v>0</v>
      </c>
      <c r="N858" s="10" t="s">
        <v>761</v>
      </c>
      <c r="O858" s="10" t="s">
        <v>1351</v>
      </c>
      <c r="P858" s="105" t="e">
        <f t="shared" si="13"/>
        <v>#DIV/0!</v>
      </c>
    </row>
    <row r="859" spans="1:16">
      <c r="A859" s="10" t="s">
        <v>635</v>
      </c>
      <c r="B859" s="10">
        <v>4043241</v>
      </c>
      <c r="C859" s="10" t="s">
        <v>759</v>
      </c>
      <c r="D859" s="10" t="s">
        <v>760</v>
      </c>
      <c r="E859" s="10">
        <v>0</v>
      </c>
      <c r="F859" s="10">
        <v>0</v>
      </c>
      <c r="G859" s="10">
        <v>0</v>
      </c>
      <c r="H859" s="10">
        <v>0</v>
      </c>
      <c r="I859" s="10" t="s">
        <v>21</v>
      </c>
      <c r="J859" s="10">
        <v>0</v>
      </c>
      <c r="K859" s="10">
        <v>0</v>
      </c>
      <c r="L859" s="10">
        <v>0</v>
      </c>
      <c r="M859" s="10">
        <v>0</v>
      </c>
      <c r="N859" s="10" t="s">
        <v>761</v>
      </c>
      <c r="O859" s="10" t="s">
        <v>1352</v>
      </c>
      <c r="P859" s="105" t="e">
        <f t="shared" si="13"/>
        <v>#DIV/0!</v>
      </c>
    </row>
    <row r="860" spans="1:16">
      <c r="A860" s="10" t="s">
        <v>635</v>
      </c>
      <c r="B860" s="10">
        <v>4043713</v>
      </c>
      <c r="C860" s="10" t="s">
        <v>759</v>
      </c>
      <c r="D860" s="10" t="s">
        <v>760</v>
      </c>
      <c r="E860" s="10">
        <v>10</v>
      </c>
      <c r="F860" s="10">
        <v>36</v>
      </c>
      <c r="G860" s="10">
        <v>0</v>
      </c>
      <c r="H860" s="10">
        <v>46</v>
      </c>
      <c r="I860" s="10" t="s">
        <v>74</v>
      </c>
      <c r="J860" s="10">
        <v>33.8</v>
      </c>
      <c r="K860" s="10">
        <v>121.68</v>
      </c>
      <c r="L860" s="10">
        <v>0</v>
      </c>
      <c r="M860" s="10">
        <v>155.48</v>
      </c>
      <c r="N860" s="10" t="s">
        <v>761</v>
      </c>
      <c r="O860" s="10" t="s">
        <v>122</v>
      </c>
      <c r="P860" s="105">
        <f t="shared" si="13"/>
        <v>3.38</v>
      </c>
    </row>
    <row r="861" spans="1:16">
      <c r="A861" s="10" t="s">
        <v>635</v>
      </c>
      <c r="B861" s="10">
        <v>4044998</v>
      </c>
      <c r="C861" s="10" t="s">
        <v>759</v>
      </c>
      <c r="D861" s="10" t="s">
        <v>760</v>
      </c>
      <c r="E861" s="10">
        <v>0</v>
      </c>
      <c r="F861" s="103">
        <v>1300</v>
      </c>
      <c r="G861" s="10">
        <v>0</v>
      </c>
      <c r="H861" s="103">
        <v>1300</v>
      </c>
      <c r="I861" s="10" t="s">
        <v>21</v>
      </c>
      <c r="J861" s="10">
        <v>0</v>
      </c>
      <c r="K861" s="103">
        <v>1006.1</v>
      </c>
      <c r="L861" s="10">
        <v>0</v>
      </c>
      <c r="M861" s="103">
        <v>1006.1</v>
      </c>
      <c r="N861" s="10" t="s">
        <v>761</v>
      </c>
      <c r="O861" s="10" t="s">
        <v>209</v>
      </c>
      <c r="P861" s="105">
        <f t="shared" si="13"/>
        <v>0.773923076923077</v>
      </c>
    </row>
    <row r="862" spans="1:16">
      <c r="A862" s="10" t="s">
        <v>635</v>
      </c>
      <c r="B862" s="10">
        <v>4044999</v>
      </c>
      <c r="C862" s="10" t="s">
        <v>759</v>
      </c>
      <c r="D862" s="10" t="s">
        <v>760</v>
      </c>
      <c r="E862" s="10">
        <v>0</v>
      </c>
      <c r="F862" s="10">
        <v>0</v>
      </c>
      <c r="G862" s="10">
        <v>0</v>
      </c>
      <c r="H862" s="10">
        <v>0</v>
      </c>
      <c r="I862" s="10" t="s">
        <v>21</v>
      </c>
      <c r="J862" s="10">
        <v>0</v>
      </c>
      <c r="K862" s="10">
        <v>0</v>
      </c>
      <c r="L862" s="10">
        <v>0</v>
      </c>
      <c r="M862" s="10">
        <v>0</v>
      </c>
      <c r="N862" s="10" t="s">
        <v>761</v>
      </c>
      <c r="O862" s="10" t="s">
        <v>1353</v>
      </c>
      <c r="P862" s="105" t="e">
        <f t="shared" si="13"/>
        <v>#DIV/0!</v>
      </c>
    </row>
    <row r="863" spans="1:16">
      <c r="A863" s="10" t="s">
        <v>635</v>
      </c>
      <c r="B863" s="10">
        <v>4046224</v>
      </c>
      <c r="C863" s="10" t="s">
        <v>759</v>
      </c>
      <c r="D863" s="10" t="s">
        <v>760</v>
      </c>
      <c r="E863" s="10">
        <v>0</v>
      </c>
      <c r="F863" s="10">
        <v>0</v>
      </c>
      <c r="G863" s="10">
        <v>0</v>
      </c>
      <c r="H863" s="10">
        <v>0</v>
      </c>
      <c r="I863" s="10" t="s">
        <v>21</v>
      </c>
      <c r="J863" s="10">
        <v>0</v>
      </c>
      <c r="K863" s="10">
        <v>0</v>
      </c>
      <c r="L863" s="10">
        <v>0</v>
      </c>
      <c r="M863" s="10">
        <v>0</v>
      </c>
      <c r="N863" s="10" t="s">
        <v>761</v>
      </c>
      <c r="O863" s="10" t="s">
        <v>1354</v>
      </c>
      <c r="P863" s="105" t="e">
        <f t="shared" si="13"/>
        <v>#DIV/0!</v>
      </c>
    </row>
    <row r="864" spans="1:16">
      <c r="A864" s="10" t="s">
        <v>635</v>
      </c>
      <c r="B864" s="10">
        <v>4046656</v>
      </c>
      <c r="C864" s="10" t="s">
        <v>759</v>
      </c>
      <c r="D864" s="10" t="s">
        <v>760</v>
      </c>
      <c r="E864" s="10">
        <v>0</v>
      </c>
      <c r="F864" s="10">
        <v>120</v>
      </c>
      <c r="G864" s="10">
        <v>0</v>
      </c>
      <c r="H864" s="10">
        <v>120</v>
      </c>
      <c r="I864" s="10" t="s">
        <v>21</v>
      </c>
      <c r="J864" s="10">
        <v>0</v>
      </c>
      <c r="K864" s="10">
        <v>76.79</v>
      </c>
      <c r="L864" s="10">
        <v>0</v>
      </c>
      <c r="M864" s="10">
        <v>76.79</v>
      </c>
      <c r="N864" s="10" t="s">
        <v>761</v>
      </c>
      <c r="O864" s="10" t="s">
        <v>249</v>
      </c>
      <c r="P864" s="105">
        <f t="shared" si="13"/>
        <v>0.639916666666667</v>
      </c>
    </row>
    <row r="865" spans="1:16">
      <c r="A865" s="10" t="s">
        <v>635</v>
      </c>
      <c r="B865" s="10">
        <v>4046736</v>
      </c>
      <c r="C865" s="10" t="s">
        <v>759</v>
      </c>
      <c r="D865" s="10" t="s">
        <v>760</v>
      </c>
      <c r="E865" s="10">
        <v>0</v>
      </c>
      <c r="F865" s="10">
        <v>0</v>
      </c>
      <c r="G865" s="10">
        <v>0</v>
      </c>
      <c r="H865" s="10">
        <v>0</v>
      </c>
      <c r="I865" s="10" t="s">
        <v>21</v>
      </c>
      <c r="J865" s="10">
        <v>0</v>
      </c>
      <c r="K865" s="10">
        <v>0</v>
      </c>
      <c r="L865" s="10">
        <v>0</v>
      </c>
      <c r="M865" s="10">
        <v>0</v>
      </c>
      <c r="N865" s="10" t="s">
        <v>761</v>
      </c>
      <c r="O865" s="10" t="s">
        <v>1355</v>
      </c>
      <c r="P865" s="105" t="e">
        <f t="shared" si="13"/>
        <v>#DIV/0!</v>
      </c>
    </row>
    <row r="866" spans="1:16">
      <c r="A866" s="10" t="s">
        <v>635</v>
      </c>
      <c r="B866" s="10">
        <v>4046876</v>
      </c>
      <c r="C866" s="10" t="s">
        <v>759</v>
      </c>
      <c r="D866" s="10" t="s">
        <v>760</v>
      </c>
      <c r="E866" s="10">
        <v>0</v>
      </c>
      <c r="F866" s="10">
        <v>0</v>
      </c>
      <c r="G866" s="10">
        <v>0</v>
      </c>
      <c r="H866" s="10">
        <v>0</v>
      </c>
      <c r="I866" s="10" t="s">
        <v>21</v>
      </c>
      <c r="J866" s="10">
        <v>0</v>
      </c>
      <c r="K866" s="10">
        <v>0</v>
      </c>
      <c r="L866" s="10">
        <v>0</v>
      </c>
      <c r="M866" s="10">
        <v>0</v>
      </c>
      <c r="N866" s="10" t="s">
        <v>761</v>
      </c>
      <c r="O866" s="10" t="s">
        <v>1356</v>
      </c>
      <c r="P866" s="105" t="e">
        <f t="shared" si="13"/>
        <v>#DIV/0!</v>
      </c>
    </row>
    <row r="867" spans="1:16">
      <c r="A867" s="10" t="s">
        <v>635</v>
      </c>
      <c r="B867" s="10">
        <v>4047469</v>
      </c>
      <c r="C867" s="10" t="s">
        <v>759</v>
      </c>
      <c r="D867" s="10" t="s">
        <v>760</v>
      </c>
      <c r="E867" s="10">
        <v>0</v>
      </c>
      <c r="F867" s="10">
        <v>0</v>
      </c>
      <c r="G867" s="10">
        <v>0</v>
      </c>
      <c r="H867" s="10">
        <v>0</v>
      </c>
      <c r="I867" s="10" t="s">
        <v>21</v>
      </c>
      <c r="J867" s="10">
        <v>0</v>
      </c>
      <c r="K867" s="10">
        <v>0</v>
      </c>
      <c r="L867" s="10">
        <v>0</v>
      </c>
      <c r="M867" s="10">
        <v>0</v>
      </c>
      <c r="N867" s="10" t="s">
        <v>761</v>
      </c>
      <c r="O867" s="10" t="s">
        <v>1357</v>
      </c>
      <c r="P867" s="105" t="e">
        <f t="shared" si="13"/>
        <v>#DIV/0!</v>
      </c>
    </row>
    <row r="868" spans="1:16">
      <c r="A868" s="10" t="s">
        <v>635</v>
      </c>
      <c r="B868" s="10">
        <v>4048472</v>
      </c>
      <c r="C868" s="10" t="s">
        <v>759</v>
      </c>
      <c r="D868" s="10" t="s">
        <v>760</v>
      </c>
      <c r="E868" s="10">
        <v>0</v>
      </c>
      <c r="F868" s="10">
        <v>0</v>
      </c>
      <c r="G868" s="10">
        <v>0</v>
      </c>
      <c r="H868" s="10">
        <v>0</v>
      </c>
      <c r="I868" s="10" t="s">
        <v>21</v>
      </c>
      <c r="J868" s="10">
        <v>0</v>
      </c>
      <c r="K868" s="10">
        <v>0</v>
      </c>
      <c r="L868" s="10">
        <v>0</v>
      </c>
      <c r="M868" s="10">
        <v>0</v>
      </c>
      <c r="N868" s="10" t="s">
        <v>761</v>
      </c>
      <c r="O868" s="10" t="s">
        <v>1358</v>
      </c>
      <c r="P868" s="105" t="e">
        <f t="shared" si="13"/>
        <v>#DIV/0!</v>
      </c>
    </row>
    <row r="869" spans="1:16">
      <c r="A869" s="10" t="s">
        <v>635</v>
      </c>
      <c r="B869" s="10">
        <v>4048586</v>
      </c>
      <c r="C869" s="10" t="s">
        <v>759</v>
      </c>
      <c r="D869" s="10" t="s">
        <v>760</v>
      </c>
      <c r="E869" s="10">
        <v>0</v>
      </c>
      <c r="F869" s="10">
        <v>0</v>
      </c>
      <c r="G869" s="10">
        <v>0</v>
      </c>
      <c r="H869" s="10">
        <v>0</v>
      </c>
      <c r="I869" s="10" t="s">
        <v>711</v>
      </c>
      <c r="J869" s="10">
        <v>0</v>
      </c>
      <c r="K869" s="10">
        <v>0</v>
      </c>
      <c r="L869" s="10">
        <v>0</v>
      </c>
      <c r="M869" s="10">
        <v>0</v>
      </c>
      <c r="N869" s="10" t="s">
        <v>761</v>
      </c>
      <c r="O869" s="10" t="s">
        <v>1359</v>
      </c>
      <c r="P869" s="105" t="e">
        <f t="shared" si="13"/>
        <v>#DIV/0!</v>
      </c>
    </row>
    <row r="870" spans="1:16">
      <c r="A870" s="10" t="s">
        <v>635</v>
      </c>
      <c r="B870" s="10">
        <v>4048872</v>
      </c>
      <c r="C870" s="10" t="s">
        <v>759</v>
      </c>
      <c r="D870" s="10" t="s">
        <v>760</v>
      </c>
      <c r="E870" s="10">
        <v>9</v>
      </c>
      <c r="F870" s="10">
        <v>36</v>
      </c>
      <c r="G870" s="10">
        <v>0</v>
      </c>
      <c r="H870" s="10">
        <v>45</v>
      </c>
      <c r="I870" s="10" t="s">
        <v>33</v>
      </c>
      <c r="J870" s="10">
        <v>43.46</v>
      </c>
      <c r="K870" s="10">
        <v>173.82</v>
      </c>
      <c r="L870" s="10">
        <v>0</v>
      </c>
      <c r="M870" s="10">
        <v>217.28</v>
      </c>
      <c r="N870" s="10" t="s">
        <v>761</v>
      </c>
      <c r="O870" s="10" t="s">
        <v>121</v>
      </c>
      <c r="P870" s="105">
        <f t="shared" si="13"/>
        <v>4.82844444444444</v>
      </c>
    </row>
    <row r="871" spans="1:16">
      <c r="A871" s="10" t="s">
        <v>635</v>
      </c>
      <c r="B871" s="10">
        <v>4049730</v>
      </c>
      <c r="C871" s="10" t="s">
        <v>759</v>
      </c>
      <c r="D871" s="10" t="s">
        <v>760</v>
      </c>
      <c r="E871" s="10">
        <v>0</v>
      </c>
      <c r="F871" s="10">
        <v>0</v>
      </c>
      <c r="G871" s="10">
        <v>0</v>
      </c>
      <c r="H871" s="10">
        <v>0</v>
      </c>
      <c r="I871" s="10" t="s">
        <v>21</v>
      </c>
      <c r="J871" s="10">
        <v>0</v>
      </c>
      <c r="K871" s="10">
        <v>0</v>
      </c>
      <c r="L871" s="10">
        <v>0</v>
      </c>
      <c r="M871" s="10">
        <v>0</v>
      </c>
      <c r="N871" s="10" t="s">
        <v>761</v>
      </c>
      <c r="O871" s="10" t="s">
        <v>1360</v>
      </c>
      <c r="P871" s="105" t="e">
        <f t="shared" si="13"/>
        <v>#DIV/0!</v>
      </c>
    </row>
    <row r="872" spans="1:16">
      <c r="A872" s="10" t="s">
        <v>635</v>
      </c>
      <c r="B872" s="10">
        <v>4051696</v>
      </c>
      <c r="C872" s="10" t="s">
        <v>759</v>
      </c>
      <c r="D872" s="10" t="s">
        <v>760</v>
      </c>
      <c r="E872" s="10">
        <v>0</v>
      </c>
      <c r="F872" s="10">
        <v>0</v>
      </c>
      <c r="G872" s="10">
        <v>0</v>
      </c>
      <c r="H872" s="10">
        <v>0</v>
      </c>
      <c r="I872" s="10" t="s">
        <v>21</v>
      </c>
      <c r="J872" s="10">
        <v>0</v>
      </c>
      <c r="K872" s="10">
        <v>0</v>
      </c>
      <c r="L872" s="10">
        <v>0</v>
      </c>
      <c r="M872" s="10">
        <v>0</v>
      </c>
      <c r="N872" s="10" t="s">
        <v>761</v>
      </c>
      <c r="O872" s="10" t="s">
        <v>1361</v>
      </c>
      <c r="P872" s="105" t="e">
        <f t="shared" si="13"/>
        <v>#DIV/0!</v>
      </c>
    </row>
    <row r="873" spans="1:16">
      <c r="A873" s="10" t="s">
        <v>635</v>
      </c>
      <c r="B873" s="10">
        <v>4202787</v>
      </c>
      <c r="C873" s="10" t="s">
        <v>759</v>
      </c>
      <c r="D873" s="10" t="s">
        <v>760</v>
      </c>
      <c r="E873" s="10">
        <v>0</v>
      </c>
      <c r="F873" s="10">
        <v>0</v>
      </c>
      <c r="G873" s="10">
        <v>0</v>
      </c>
      <c r="H873" s="10">
        <v>0</v>
      </c>
      <c r="I873" s="10" t="s">
        <v>21</v>
      </c>
      <c r="J873" s="10">
        <v>0</v>
      </c>
      <c r="K873" s="10">
        <v>0</v>
      </c>
      <c r="L873" s="10">
        <v>0</v>
      </c>
      <c r="M873" s="10">
        <v>0</v>
      </c>
      <c r="N873" s="10" t="s">
        <v>761</v>
      </c>
      <c r="O873" s="10" t="s">
        <v>1362</v>
      </c>
      <c r="P873" s="105" t="e">
        <f t="shared" si="13"/>
        <v>#DIV/0!</v>
      </c>
    </row>
    <row r="874" spans="1:16">
      <c r="A874" s="10" t="s">
        <v>635</v>
      </c>
      <c r="B874" s="10">
        <v>4204498</v>
      </c>
      <c r="C874" s="10" t="s">
        <v>759</v>
      </c>
      <c r="D874" s="10" t="s">
        <v>760</v>
      </c>
      <c r="E874" s="10">
        <v>0</v>
      </c>
      <c r="F874" s="10">
        <v>0</v>
      </c>
      <c r="G874" s="10">
        <v>0</v>
      </c>
      <c r="H874" s="10">
        <v>0</v>
      </c>
      <c r="I874" s="10" t="s">
        <v>74</v>
      </c>
      <c r="J874" s="10">
        <v>0</v>
      </c>
      <c r="K874" s="10">
        <v>0</v>
      </c>
      <c r="L874" s="10">
        <v>0</v>
      </c>
      <c r="M874" s="10">
        <v>0</v>
      </c>
      <c r="N874" s="10" t="s">
        <v>761</v>
      </c>
      <c r="O874" s="10" t="s">
        <v>1363</v>
      </c>
      <c r="P874" s="105" t="e">
        <f t="shared" si="13"/>
        <v>#DIV/0!</v>
      </c>
    </row>
    <row r="875" spans="1:16">
      <c r="A875" s="10" t="s">
        <v>635</v>
      </c>
      <c r="B875" s="10">
        <v>4205721</v>
      </c>
      <c r="C875" s="10" t="s">
        <v>759</v>
      </c>
      <c r="D875" s="10" t="s">
        <v>760</v>
      </c>
      <c r="E875" s="10">
        <v>12</v>
      </c>
      <c r="F875" s="10">
        <v>108</v>
      </c>
      <c r="G875" s="10">
        <v>0</v>
      </c>
      <c r="H875" s="10">
        <v>120</v>
      </c>
      <c r="I875" s="10" t="s">
        <v>45</v>
      </c>
      <c r="J875" s="10">
        <v>23</v>
      </c>
      <c r="K875" s="10">
        <v>207</v>
      </c>
      <c r="L875" s="10">
        <v>0</v>
      </c>
      <c r="M875" s="10">
        <v>230</v>
      </c>
      <c r="N875" s="10" t="s">
        <v>761</v>
      </c>
      <c r="O875" s="10" t="s">
        <v>544</v>
      </c>
      <c r="P875" s="105">
        <f t="shared" si="13"/>
        <v>1.91666666666667</v>
      </c>
    </row>
    <row r="876" spans="1:16">
      <c r="A876" s="10" t="s">
        <v>635</v>
      </c>
      <c r="B876" s="10">
        <v>4209333</v>
      </c>
      <c r="C876" s="10" t="s">
        <v>759</v>
      </c>
      <c r="D876" s="10" t="s">
        <v>760</v>
      </c>
      <c r="E876" s="10">
        <v>24</v>
      </c>
      <c r="F876" s="10">
        <v>60</v>
      </c>
      <c r="G876" s="10">
        <v>0</v>
      </c>
      <c r="H876" s="10">
        <v>84</v>
      </c>
      <c r="I876" s="10" t="s">
        <v>30</v>
      </c>
      <c r="J876" s="10">
        <v>127.72</v>
      </c>
      <c r="K876" s="10">
        <v>320</v>
      </c>
      <c r="L876" s="10">
        <v>0</v>
      </c>
      <c r="M876" s="10">
        <v>447.72</v>
      </c>
      <c r="N876" s="10" t="s">
        <v>761</v>
      </c>
      <c r="O876" s="10" t="s">
        <v>152</v>
      </c>
      <c r="P876" s="105">
        <f t="shared" si="13"/>
        <v>5.33</v>
      </c>
    </row>
    <row r="877" spans="1:16">
      <c r="A877" s="10" t="s">
        <v>635</v>
      </c>
      <c r="B877" s="10">
        <v>4209423</v>
      </c>
      <c r="C877" s="10" t="s">
        <v>759</v>
      </c>
      <c r="D877" s="10" t="s">
        <v>760</v>
      </c>
      <c r="E877" s="10">
        <v>0</v>
      </c>
      <c r="F877" s="10">
        <v>0</v>
      </c>
      <c r="G877" s="10">
        <v>0</v>
      </c>
      <c r="H877" s="10">
        <v>0</v>
      </c>
      <c r="I877" s="10" t="s">
        <v>33</v>
      </c>
      <c r="J877" s="10">
        <v>0</v>
      </c>
      <c r="K877" s="10">
        <v>0</v>
      </c>
      <c r="L877" s="10">
        <v>0</v>
      </c>
      <c r="M877" s="10">
        <v>0</v>
      </c>
      <c r="N877" s="10" t="s">
        <v>761</v>
      </c>
      <c r="O877" s="10" t="s">
        <v>1364</v>
      </c>
      <c r="P877" s="105" t="e">
        <f t="shared" si="13"/>
        <v>#DIV/0!</v>
      </c>
    </row>
    <row r="878" spans="1:16">
      <c r="A878" s="10" t="s">
        <v>635</v>
      </c>
      <c r="B878" s="10">
        <v>4209662</v>
      </c>
      <c r="C878" s="10" t="s">
        <v>759</v>
      </c>
      <c r="D878" s="10" t="s">
        <v>760</v>
      </c>
      <c r="E878" s="10">
        <v>0</v>
      </c>
      <c r="F878" s="10">
        <v>0</v>
      </c>
      <c r="G878" s="10">
        <v>0</v>
      </c>
      <c r="H878" s="10">
        <v>0</v>
      </c>
      <c r="I878" s="10" t="s">
        <v>74</v>
      </c>
      <c r="J878" s="10">
        <v>0</v>
      </c>
      <c r="K878" s="10">
        <v>0</v>
      </c>
      <c r="L878" s="10">
        <v>0</v>
      </c>
      <c r="M878" s="10">
        <v>0</v>
      </c>
      <c r="N878" s="10" t="s">
        <v>761</v>
      </c>
      <c r="O878" s="10" t="s">
        <v>1365</v>
      </c>
      <c r="P878" s="105" t="e">
        <f t="shared" si="13"/>
        <v>#DIV/0!</v>
      </c>
    </row>
    <row r="879" spans="1:16">
      <c r="A879" s="10" t="s">
        <v>635</v>
      </c>
      <c r="B879" s="10">
        <v>4211857</v>
      </c>
      <c r="C879" s="10" t="s">
        <v>759</v>
      </c>
      <c r="D879" s="10" t="s">
        <v>760</v>
      </c>
      <c r="E879" s="10">
        <v>0</v>
      </c>
      <c r="F879" s="10">
        <v>0</v>
      </c>
      <c r="G879" s="10">
        <v>0</v>
      </c>
      <c r="H879" s="10">
        <v>0</v>
      </c>
      <c r="I879" s="10" t="s">
        <v>21</v>
      </c>
      <c r="J879" s="10">
        <v>0</v>
      </c>
      <c r="K879" s="10">
        <v>0</v>
      </c>
      <c r="L879" s="10">
        <v>0</v>
      </c>
      <c r="M879" s="10">
        <v>0</v>
      </c>
      <c r="N879" s="10" t="s">
        <v>761</v>
      </c>
      <c r="O879" s="10" t="s">
        <v>1366</v>
      </c>
      <c r="P879" s="105" t="e">
        <f t="shared" si="13"/>
        <v>#DIV/0!</v>
      </c>
    </row>
    <row r="880" spans="1:16">
      <c r="A880" s="10" t="s">
        <v>635</v>
      </c>
      <c r="B880" s="10">
        <v>4214955</v>
      </c>
      <c r="C880" s="10" t="s">
        <v>759</v>
      </c>
      <c r="D880" s="10" t="s">
        <v>760</v>
      </c>
      <c r="E880" s="10">
        <v>0</v>
      </c>
      <c r="F880" s="10">
        <v>0</v>
      </c>
      <c r="G880" s="10">
        <v>0</v>
      </c>
      <c r="H880" s="10">
        <v>0</v>
      </c>
      <c r="I880" s="10" t="s">
        <v>74</v>
      </c>
      <c r="J880" s="10">
        <v>0</v>
      </c>
      <c r="K880" s="10">
        <v>0</v>
      </c>
      <c r="L880" s="10">
        <v>0</v>
      </c>
      <c r="M880" s="10">
        <v>0</v>
      </c>
      <c r="N880" s="10" t="s">
        <v>761</v>
      </c>
      <c r="O880" s="10" t="s">
        <v>1367</v>
      </c>
      <c r="P880" s="105" t="e">
        <f t="shared" si="13"/>
        <v>#DIV/0!</v>
      </c>
    </row>
    <row r="881" spans="1:16">
      <c r="A881" s="10" t="s">
        <v>635</v>
      </c>
      <c r="B881" s="10">
        <v>4500011</v>
      </c>
      <c r="C881" s="10" t="s">
        <v>759</v>
      </c>
      <c r="D881" s="10" t="s">
        <v>760</v>
      </c>
      <c r="E881" s="10">
        <v>0</v>
      </c>
      <c r="F881" s="10">
        <v>0</v>
      </c>
      <c r="G881" s="10">
        <v>0</v>
      </c>
      <c r="H881" s="10">
        <v>0</v>
      </c>
      <c r="I881" s="10" t="s">
        <v>33</v>
      </c>
      <c r="J881" s="10">
        <v>0</v>
      </c>
      <c r="K881" s="10">
        <v>0</v>
      </c>
      <c r="L881" s="10">
        <v>0</v>
      </c>
      <c r="M881" s="10">
        <v>0</v>
      </c>
      <c r="N881" s="10" t="s">
        <v>761</v>
      </c>
      <c r="O881" s="10" t="s">
        <v>1368</v>
      </c>
      <c r="P881" s="105" t="e">
        <f t="shared" si="13"/>
        <v>#DIV/0!</v>
      </c>
    </row>
    <row r="882" spans="1:16">
      <c r="A882" s="10" t="s">
        <v>635</v>
      </c>
      <c r="B882" s="10">
        <v>4500067</v>
      </c>
      <c r="C882" s="10" t="s">
        <v>759</v>
      </c>
      <c r="D882" s="10" t="s">
        <v>760</v>
      </c>
      <c r="E882" s="10">
        <v>34.03</v>
      </c>
      <c r="F882" s="10">
        <v>51.325</v>
      </c>
      <c r="G882" s="10">
        <v>0</v>
      </c>
      <c r="H882" s="10">
        <v>85.355</v>
      </c>
      <c r="I882" s="10" t="s">
        <v>74</v>
      </c>
      <c r="J882" s="103">
        <v>3321.24</v>
      </c>
      <c r="K882" s="103">
        <v>4051.71</v>
      </c>
      <c r="L882" s="10">
        <v>0</v>
      </c>
      <c r="M882" s="103">
        <v>7372.95</v>
      </c>
      <c r="N882" s="10" t="s">
        <v>761</v>
      </c>
      <c r="O882" s="10" t="s">
        <v>455</v>
      </c>
      <c r="P882" s="105">
        <f t="shared" si="13"/>
        <v>86.3798254349481</v>
      </c>
    </row>
    <row r="883" spans="1:16">
      <c r="A883" s="10" t="s">
        <v>635</v>
      </c>
      <c r="B883" s="10">
        <v>4500070</v>
      </c>
      <c r="C883" s="10" t="s">
        <v>759</v>
      </c>
      <c r="D883" s="10" t="s">
        <v>760</v>
      </c>
      <c r="E883" s="10">
        <v>0</v>
      </c>
      <c r="F883" s="10">
        <v>0</v>
      </c>
      <c r="G883" s="10">
        <v>0</v>
      </c>
      <c r="H883" s="10">
        <v>0</v>
      </c>
      <c r="I883" s="10" t="s">
        <v>74</v>
      </c>
      <c r="J883" s="10">
        <v>0</v>
      </c>
      <c r="K883" s="10">
        <v>0</v>
      </c>
      <c r="L883" s="10">
        <v>0</v>
      </c>
      <c r="M883" s="10">
        <v>0</v>
      </c>
      <c r="N883" s="10" t="s">
        <v>761</v>
      </c>
      <c r="O883" s="10" t="s">
        <v>1369</v>
      </c>
      <c r="P883" s="105" t="e">
        <f t="shared" si="13"/>
        <v>#DIV/0!</v>
      </c>
    </row>
    <row r="884" spans="1:16">
      <c r="A884" s="10" t="s">
        <v>635</v>
      </c>
      <c r="B884" s="10">
        <v>4500295</v>
      </c>
      <c r="C884" s="10" t="s">
        <v>759</v>
      </c>
      <c r="D884" s="10" t="s">
        <v>760</v>
      </c>
      <c r="E884" s="10">
        <v>0</v>
      </c>
      <c r="F884" s="10">
        <v>0</v>
      </c>
      <c r="G884" s="10">
        <v>0</v>
      </c>
      <c r="H884" s="10">
        <v>0</v>
      </c>
      <c r="I884" s="10" t="s">
        <v>151</v>
      </c>
      <c r="J884" s="10">
        <v>0</v>
      </c>
      <c r="K884" s="10">
        <v>0</v>
      </c>
      <c r="L884" s="10">
        <v>0</v>
      </c>
      <c r="M884" s="10">
        <v>0</v>
      </c>
      <c r="N884" s="10" t="s">
        <v>761</v>
      </c>
      <c r="O884" s="10" t="s">
        <v>1370</v>
      </c>
      <c r="P884" s="105" t="e">
        <f t="shared" si="13"/>
        <v>#DIV/0!</v>
      </c>
    </row>
    <row r="885" spans="1:16">
      <c r="A885" s="10" t="s">
        <v>635</v>
      </c>
      <c r="B885" s="10">
        <v>4500711</v>
      </c>
      <c r="C885" s="10" t="s">
        <v>759</v>
      </c>
      <c r="D885" s="10" t="s">
        <v>760</v>
      </c>
      <c r="E885" s="10">
        <v>0</v>
      </c>
      <c r="F885" s="10">
        <v>0</v>
      </c>
      <c r="G885" s="10">
        <v>0</v>
      </c>
      <c r="H885" s="10">
        <v>0</v>
      </c>
      <c r="I885" s="10" t="s">
        <v>74</v>
      </c>
      <c r="J885" s="10">
        <v>0</v>
      </c>
      <c r="K885" s="10">
        <v>0</v>
      </c>
      <c r="L885" s="10">
        <v>0</v>
      </c>
      <c r="M885" s="10">
        <v>0</v>
      </c>
      <c r="N885" s="10" t="s">
        <v>761</v>
      </c>
      <c r="O885" s="10" t="s">
        <v>1371</v>
      </c>
      <c r="P885" s="105" t="e">
        <f t="shared" si="13"/>
        <v>#DIV/0!</v>
      </c>
    </row>
    <row r="886" spans="1:16">
      <c r="A886" s="10" t="s">
        <v>635</v>
      </c>
      <c r="B886" s="10">
        <v>4501135</v>
      </c>
      <c r="C886" s="10" t="s">
        <v>759</v>
      </c>
      <c r="D886" s="10" t="s">
        <v>760</v>
      </c>
      <c r="E886" s="10">
        <v>12</v>
      </c>
      <c r="F886" s="10">
        <v>19.2</v>
      </c>
      <c r="G886" s="10">
        <v>0</v>
      </c>
      <c r="H886" s="10">
        <v>31.2</v>
      </c>
      <c r="I886" s="10" t="s">
        <v>74</v>
      </c>
      <c r="J886" s="10">
        <v>168.75</v>
      </c>
      <c r="K886" s="10">
        <v>270</v>
      </c>
      <c r="L886" s="10">
        <v>0</v>
      </c>
      <c r="M886" s="10">
        <v>438.75</v>
      </c>
      <c r="N886" s="10" t="s">
        <v>761</v>
      </c>
      <c r="O886" s="10" t="s">
        <v>548</v>
      </c>
      <c r="P886" s="105">
        <f t="shared" si="13"/>
        <v>14.0625</v>
      </c>
    </row>
    <row r="887" spans="1:16">
      <c r="A887" s="10" t="s">
        <v>635</v>
      </c>
      <c r="B887" s="10">
        <v>4501668</v>
      </c>
      <c r="C887" s="10" t="s">
        <v>759</v>
      </c>
      <c r="D887" s="10" t="s">
        <v>760</v>
      </c>
      <c r="E887" s="10">
        <v>0</v>
      </c>
      <c r="F887" s="10">
        <v>0</v>
      </c>
      <c r="G887" s="10">
        <v>0</v>
      </c>
      <c r="H887" s="10">
        <v>0</v>
      </c>
      <c r="I887" s="10" t="s">
        <v>30</v>
      </c>
      <c r="J887" s="10">
        <v>0</v>
      </c>
      <c r="K887" s="10">
        <v>0</v>
      </c>
      <c r="L887" s="10">
        <v>0</v>
      </c>
      <c r="M887" s="10">
        <v>0</v>
      </c>
      <c r="N887" s="10" t="s">
        <v>761</v>
      </c>
      <c r="O887" s="10" t="s">
        <v>251</v>
      </c>
      <c r="P887" s="105" t="e">
        <f t="shared" si="13"/>
        <v>#DIV/0!</v>
      </c>
    </row>
    <row r="888" spans="1:16">
      <c r="A888" s="10" t="s">
        <v>635</v>
      </c>
      <c r="B888" s="10">
        <v>4501740</v>
      </c>
      <c r="C888" s="10" t="s">
        <v>759</v>
      </c>
      <c r="D888" s="10" t="s">
        <v>760</v>
      </c>
      <c r="E888" s="10">
        <v>0</v>
      </c>
      <c r="F888" s="10">
        <v>0</v>
      </c>
      <c r="G888" s="10">
        <v>0</v>
      </c>
      <c r="H888" s="10">
        <v>0</v>
      </c>
      <c r="I888" s="10" t="s">
        <v>93</v>
      </c>
      <c r="J888" s="10">
        <v>0</v>
      </c>
      <c r="K888" s="10">
        <v>0</v>
      </c>
      <c r="L888" s="10">
        <v>0</v>
      </c>
      <c r="M888" s="10">
        <v>0</v>
      </c>
      <c r="N888" s="10" t="s">
        <v>761</v>
      </c>
      <c r="O888" s="10" t="s">
        <v>1372</v>
      </c>
      <c r="P888" s="105" t="e">
        <f t="shared" si="13"/>
        <v>#DIV/0!</v>
      </c>
    </row>
    <row r="889" spans="1:16">
      <c r="A889" s="10" t="s">
        <v>635</v>
      </c>
      <c r="B889" s="10">
        <v>4501745</v>
      </c>
      <c r="C889" s="10" t="s">
        <v>759</v>
      </c>
      <c r="D889" s="10" t="s">
        <v>760</v>
      </c>
      <c r="E889" s="10">
        <v>0</v>
      </c>
      <c r="F889" s="10">
        <v>0</v>
      </c>
      <c r="G889" s="10">
        <v>0</v>
      </c>
      <c r="H889" s="10">
        <v>0</v>
      </c>
      <c r="I889" s="10" t="s">
        <v>37</v>
      </c>
      <c r="J889" s="10">
        <v>0</v>
      </c>
      <c r="K889" s="10">
        <v>0</v>
      </c>
      <c r="L889" s="10">
        <v>0</v>
      </c>
      <c r="M889" s="10">
        <v>0</v>
      </c>
      <c r="N889" s="10" t="s">
        <v>761</v>
      </c>
      <c r="O889" s="10" t="s">
        <v>1373</v>
      </c>
      <c r="P889" s="105" t="e">
        <f t="shared" si="13"/>
        <v>#DIV/0!</v>
      </c>
    </row>
    <row r="890" spans="1:16">
      <c r="A890" s="10" t="s">
        <v>635</v>
      </c>
      <c r="B890" s="10">
        <v>4501829</v>
      </c>
      <c r="C890" s="10" t="s">
        <v>759</v>
      </c>
      <c r="D890" s="10" t="s">
        <v>760</v>
      </c>
      <c r="E890" s="10">
        <v>0</v>
      </c>
      <c r="F890" s="10">
        <v>0</v>
      </c>
      <c r="G890" s="10">
        <v>0</v>
      </c>
      <c r="H890" s="10">
        <v>0</v>
      </c>
      <c r="I890" s="10" t="s">
        <v>37</v>
      </c>
      <c r="J890" s="10">
        <v>0</v>
      </c>
      <c r="K890" s="10">
        <v>0</v>
      </c>
      <c r="L890" s="10">
        <v>0</v>
      </c>
      <c r="M890" s="10">
        <v>0</v>
      </c>
      <c r="N890" s="10" t="s">
        <v>761</v>
      </c>
      <c r="O890" s="10" t="s">
        <v>1374</v>
      </c>
      <c r="P890" s="105" t="e">
        <f t="shared" si="13"/>
        <v>#DIV/0!</v>
      </c>
    </row>
    <row r="891" spans="1:16">
      <c r="A891" s="10" t="s">
        <v>635</v>
      </c>
      <c r="B891" s="10">
        <v>4501856</v>
      </c>
      <c r="C891" s="10" t="s">
        <v>759</v>
      </c>
      <c r="D891" s="10" t="s">
        <v>760</v>
      </c>
      <c r="E891" s="10">
        <v>0</v>
      </c>
      <c r="F891" s="10">
        <v>0</v>
      </c>
      <c r="G891" s="10">
        <v>0</v>
      </c>
      <c r="H891" s="10">
        <v>0</v>
      </c>
      <c r="I891" s="10" t="s">
        <v>30</v>
      </c>
      <c r="J891" s="10">
        <v>0</v>
      </c>
      <c r="K891" s="10">
        <v>0</v>
      </c>
      <c r="L891" s="10">
        <v>0</v>
      </c>
      <c r="M891" s="10">
        <v>0</v>
      </c>
      <c r="N891" s="10" t="s">
        <v>761</v>
      </c>
      <c r="O891" s="10" t="s">
        <v>1375</v>
      </c>
      <c r="P891" s="105" t="e">
        <f t="shared" si="13"/>
        <v>#DIV/0!</v>
      </c>
    </row>
    <row r="892" spans="1:16">
      <c r="A892" s="10" t="s">
        <v>635</v>
      </c>
      <c r="B892" s="10">
        <v>4501869</v>
      </c>
      <c r="C892" s="10" t="s">
        <v>759</v>
      </c>
      <c r="D892" s="10" t="s">
        <v>760</v>
      </c>
      <c r="E892" s="10">
        <v>0</v>
      </c>
      <c r="F892" s="10">
        <v>0</v>
      </c>
      <c r="G892" s="10">
        <v>0</v>
      </c>
      <c r="H892" s="10">
        <v>0</v>
      </c>
      <c r="I892" s="10" t="s">
        <v>74</v>
      </c>
      <c r="J892" s="10">
        <v>0</v>
      </c>
      <c r="K892" s="10">
        <v>0</v>
      </c>
      <c r="L892" s="10">
        <v>0</v>
      </c>
      <c r="M892" s="10">
        <v>0</v>
      </c>
      <c r="N892" s="10" t="s">
        <v>761</v>
      </c>
      <c r="O892" s="10" t="s">
        <v>1376</v>
      </c>
      <c r="P892" s="105" t="e">
        <f t="shared" si="13"/>
        <v>#DIV/0!</v>
      </c>
    </row>
    <row r="893" spans="1:16">
      <c r="A893" s="10" t="s">
        <v>635</v>
      </c>
      <c r="B893" s="10">
        <v>4501947</v>
      </c>
      <c r="C893" s="10" t="s">
        <v>759</v>
      </c>
      <c r="D893" s="10" t="s">
        <v>760</v>
      </c>
      <c r="E893" s="10">
        <v>0</v>
      </c>
      <c r="F893" s="103">
        <v>1068</v>
      </c>
      <c r="G893" s="10">
        <v>0</v>
      </c>
      <c r="H893" s="103">
        <v>1068</v>
      </c>
      <c r="I893" s="10" t="s">
        <v>138</v>
      </c>
      <c r="J893" s="10">
        <v>0</v>
      </c>
      <c r="K893" s="103">
        <v>2046</v>
      </c>
      <c r="L893" s="10">
        <v>0</v>
      </c>
      <c r="M893" s="103">
        <v>2046</v>
      </c>
      <c r="N893" s="10" t="s">
        <v>761</v>
      </c>
      <c r="O893" s="10" t="s">
        <v>221</v>
      </c>
      <c r="P893" s="105">
        <f t="shared" si="13"/>
        <v>1.91573033707865</v>
      </c>
    </row>
    <row r="894" spans="1:16">
      <c r="A894" s="10" t="s">
        <v>635</v>
      </c>
      <c r="B894" s="10">
        <v>4501956</v>
      </c>
      <c r="C894" s="10" t="s">
        <v>759</v>
      </c>
      <c r="D894" s="10" t="s">
        <v>760</v>
      </c>
      <c r="E894" s="10">
        <v>0</v>
      </c>
      <c r="F894" s="10">
        <v>0</v>
      </c>
      <c r="G894" s="10">
        <v>0</v>
      </c>
      <c r="H894" s="10">
        <v>0</v>
      </c>
      <c r="I894" s="10" t="s">
        <v>37</v>
      </c>
      <c r="J894" s="10">
        <v>0</v>
      </c>
      <c r="K894" s="10">
        <v>0</v>
      </c>
      <c r="L894" s="10">
        <v>0</v>
      </c>
      <c r="M894" s="10">
        <v>0</v>
      </c>
      <c r="N894" s="10" t="s">
        <v>761</v>
      </c>
      <c r="O894" s="10" t="s">
        <v>1377</v>
      </c>
      <c r="P894" s="105" t="e">
        <f t="shared" si="13"/>
        <v>#DIV/0!</v>
      </c>
    </row>
    <row r="895" spans="1:16">
      <c r="A895" s="10" t="s">
        <v>635</v>
      </c>
      <c r="B895" s="10">
        <v>4501959</v>
      </c>
      <c r="C895" s="10" t="s">
        <v>759</v>
      </c>
      <c r="D895" s="10" t="s">
        <v>760</v>
      </c>
      <c r="E895" s="10">
        <v>11</v>
      </c>
      <c r="F895" s="10">
        <v>242</v>
      </c>
      <c r="G895" s="10">
        <v>-11</v>
      </c>
      <c r="H895" s="10">
        <v>242</v>
      </c>
      <c r="I895" s="10" t="s">
        <v>37</v>
      </c>
      <c r="J895" s="10">
        <v>42</v>
      </c>
      <c r="K895" s="10">
        <v>685</v>
      </c>
      <c r="L895" s="10">
        <v>-35</v>
      </c>
      <c r="M895" s="10">
        <v>692</v>
      </c>
      <c r="N895" s="10" t="s">
        <v>761</v>
      </c>
      <c r="O895" s="10" t="s">
        <v>573</v>
      </c>
      <c r="P895" s="105">
        <f t="shared" si="13"/>
        <v>2.8595041322314</v>
      </c>
    </row>
    <row r="896" spans="1:16">
      <c r="A896" s="10" t="s">
        <v>635</v>
      </c>
      <c r="B896" s="10">
        <v>4501960</v>
      </c>
      <c r="C896" s="10" t="s">
        <v>759</v>
      </c>
      <c r="D896" s="10" t="s">
        <v>760</v>
      </c>
      <c r="E896" s="10">
        <v>0</v>
      </c>
      <c r="F896" s="103">
        <v>1440</v>
      </c>
      <c r="G896" s="10">
        <v>0</v>
      </c>
      <c r="H896" s="103">
        <v>1440</v>
      </c>
      <c r="I896" s="10" t="s">
        <v>128</v>
      </c>
      <c r="J896" s="10">
        <v>0</v>
      </c>
      <c r="K896" s="10">
        <v>518</v>
      </c>
      <c r="L896" s="10">
        <v>0</v>
      </c>
      <c r="M896" s="10">
        <v>518</v>
      </c>
      <c r="N896" s="10" t="s">
        <v>761</v>
      </c>
      <c r="O896" s="10" t="s">
        <v>575</v>
      </c>
      <c r="P896" s="105">
        <f t="shared" si="13"/>
        <v>0.359722222222222</v>
      </c>
    </row>
    <row r="897" spans="1:16">
      <c r="A897" s="10" t="s">
        <v>635</v>
      </c>
      <c r="B897" s="10">
        <v>4501962</v>
      </c>
      <c r="C897" s="10" t="s">
        <v>759</v>
      </c>
      <c r="D897" s="10" t="s">
        <v>760</v>
      </c>
      <c r="E897" s="10">
        <v>0</v>
      </c>
      <c r="F897" s="10">
        <v>0</v>
      </c>
      <c r="G897" s="10">
        <v>0</v>
      </c>
      <c r="H897" s="10">
        <v>0</v>
      </c>
      <c r="I897" s="10" t="s">
        <v>177</v>
      </c>
      <c r="J897" s="10">
        <v>0</v>
      </c>
      <c r="K897" s="10">
        <v>0</v>
      </c>
      <c r="L897" s="10">
        <v>0</v>
      </c>
      <c r="M897" s="10">
        <v>0</v>
      </c>
      <c r="N897" s="10" t="s">
        <v>761</v>
      </c>
      <c r="O897" s="10" t="s">
        <v>1378</v>
      </c>
      <c r="P897" s="105" t="e">
        <f t="shared" si="13"/>
        <v>#DIV/0!</v>
      </c>
    </row>
    <row r="898" spans="1:16">
      <c r="A898" s="10" t="s">
        <v>635</v>
      </c>
      <c r="B898" s="10">
        <v>4501989</v>
      </c>
      <c r="C898" s="10" t="s">
        <v>759</v>
      </c>
      <c r="D898" s="10" t="s">
        <v>760</v>
      </c>
      <c r="E898" s="10">
        <v>30</v>
      </c>
      <c r="F898" s="10">
        <v>50</v>
      </c>
      <c r="G898" s="10">
        <v>0</v>
      </c>
      <c r="H898" s="10">
        <v>80</v>
      </c>
      <c r="I898" s="10" t="s">
        <v>37</v>
      </c>
      <c r="J898" s="10">
        <v>36</v>
      </c>
      <c r="K898" s="10">
        <v>60</v>
      </c>
      <c r="L898" s="10">
        <v>0</v>
      </c>
      <c r="M898" s="10">
        <v>96</v>
      </c>
      <c r="N898" s="10" t="s">
        <v>761</v>
      </c>
      <c r="O898" s="10" t="s">
        <v>168</v>
      </c>
      <c r="P898" s="105">
        <f t="shared" si="13"/>
        <v>1.2</v>
      </c>
    </row>
    <row r="899" spans="1:16">
      <c r="A899" s="10" t="s">
        <v>635</v>
      </c>
      <c r="B899" s="10">
        <v>4502012</v>
      </c>
      <c r="C899" s="10" t="s">
        <v>759</v>
      </c>
      <c r="D899" s="10" t="s">
        <v>760</v>
      </c>
      <c r="E899" s="10">
        <v>0</v>
      </c>
      <c r="F899" s="10">
        <v>0</v>
      </c>
      <c r="G899" s="10">
        <v>0</v>
      </c>
      <c r="H899" s="10">
        <v>0</v>
      </c>
      <c r="I899" s="10" t="s">
        <v>74</v>
      </c>
      <c r="J899" s="10">
        <v>0</v>
      </c>
      <c r="K899" s="10">
        <v>0</v>
      </c>
      <c r="L899" s="10">
        <v>0</v>
      </c>
      <c r="M899" s="10">
        <v>0</v>
      </c>
      <c r="N899" s="10" t="s">
        <v>761</v>
      </c>
      <c r="O899" s="10" t="s">
        <v>1379</v>
      </c>
      <c r="P899" s="105" t="e">
        <f t="shared" ref="P899:P962" si="14">M899/H899</f>
        <v>#DIV/0!</v>
      </c>
    </row>
    <row r="900" spans="1:16">
      <c r="A900" s="10" t="s">
        <v>635</v>
      </c>
      <c r="B900" s="10">
        <v>4502048</v>
      </c>
      <c r="C900" s="10" t="s">
        <v>759</v>
      </c>
      <c r="D900" s="10" t="s">
        <v>760</v>
      </c>
      <c r="E900" s="10">
        <v>0</v>
      </c>
      <c r="F900" s="10">
        <v>162.5</v>
      </c>
      <c r="G900" s="10">
        <v>-81.98</v>
      </c>
      <c r="H900" s="10">
        <v>80.52</v>
      </c>
      <c r="I900" s="10" t="s">
        <v>37</v>
      </c>
      <c r="J900" s="10">
        <v>0</v>
      </c>
      <c r="K900" s="103">
        <v>1048.13</v>
      </c>
      <c r="L900" s="10">
        <v>-528.77</v>
      </c>
      <c r="M900" s="10">
        <v>519.36</v>
      </c>
      <c r="N900" s="10" t="s">
        <v>761</v>
      </c>
      <c r="O900" s="10" t="s">
        <v>157</v>
      </c>
      <c r="P900" s="105">
        <f t="shared" si="14"/>
        <v>6.45007451564829</v>
      </c>
    </row>
    <row r="901" spans="1:16">
      <c r="A901" s="10" t="s">
        <v>635</v>
      </c>
      <c r="B901" s="10">
        <v>4502082</v>
      </c>
      <c r="C901" s="10" t="s">
        <v>759</v>
      </c>
      <c r="D901" s="10" t="s">
        <v>760</v>
      </c>
      <c r="E901" s="10">
        <v>0</v>
      </c>
      <c r="F901" s="10">
        <v>0</v>
      </c>
      <c r="G901" s="10">
        <v>0</v>
      </c>
      <c r="H901" s="10">
        <v>0</v>
      </c>
      <c r="I901" s="10" t="s">
        <v>37</v>
      </c>
      <c r="J901" s="10">
        <v>0</v>
      </c>
      <c r="K901" s="10">
        <v>0</v>
      </c>
      <c r="L901" s="10">
        <v>0</v>
      </c>
      <c r="M901" s="10">
        <v>0</v>
      </c>
      <c r="N901" s="10" t="s">
        <v>761</v>
      </c>
      <c r="O901" s="10" t="s">
        <v>1380</v>
      </c>
      <c r="P901" s="105" t="e">
        <f t="shared" si="14"/>
        <v>#DIV/0!</v>
      </c>
    </row>
    <row r="902" spans="1:16">
      <c r="A902" s="10" t="s">
        <v>635</v>
      </c>
      <c r="B902" s="10">
        <v>4502090</v>
      </c>
      <c r="C902" s="10" t="s">
        <v>759</v>
      </c>
      <c r="D902" s="10" t="s">
        <v>760</v>
      </c>
      <c r="E902" s="10">
        <v>0</v>
      </c>
      <c r="F902" s="10">
        <v>0</v>
      </c>
      <c r="G902" s="10">
        <v>0</v>
      </c>
      <c r="H902" s="10">
        <v>0</v>
      </c>
      <c r="I902" s="10" t="s">
        <v>37</v>
      </c>
      <c r="J902" s="10">
        <v>0</v>
      </c>
      <c r="K902" s="10">
        <v>0</v>
      </c>
      <c r="L902" s="10">
        <v>0</v>
      </c>
      <c r="M902" s="10">
        <v>0</v>
      </c>
      <c r="N902" s="10" t="s">
        <v>761</v>
      </c>
      <c r="O902" s="10" t="s">
        <v>1381</v>
      </c>
      <c r="P902" s="105" t="e">
        <f t="shared" si="14"/>
        <v>#DIV/0!</v>
      </c>
    </row>
    <row r="903" spans="1:16">
      <c r="A903" s="10" t="s">
        <v>635</v>
      </c>
      <c r="B903" s="10">
        <v>4502101</v>
      </c>
      <c r="C903" s="10" t="s">
        <v>759</v>
      </c>
      <c r="D903" s="10" t="s">
        <v>760</v>
      </c>
      <c r="E903" s="10">
        <v>0</v>
      </c>
      <c r="F903" s="10">
        <v>0</v>
      </c>
      <c r="G903" s="10">
        <v>0</v>
      </c>
      <c r="H903" s="10">
        <v>0</v>
      </c>
      <c r="I903" s="10" t="s">
        <v>33</v>
      </c>
      <c r="J903" s="10">
        <v>0</v>
      </c>
      <c r="K903" s="10">
        <v>0</v>
      </c>
      <c r="L903" s="10">
        <v>0</v>
      </c>
      <c r="M903" s="10">
        <v>0</v>
      </c>
      <c r="N903" s="10" t="s">
        <v>761</v>
      </c>
      <c r="O903" s="10" t="s">
        <v>701</v>
      </c>
      <c r="P903" s="105" t="e">
        <f t="shared" si="14"/>
        <v>#DIV/0!</v>
      </c>
    </row>
    <row r="904" spans="1:16">
      <c r="A904" s="10" t="s">
        <v>635</v>
      </c>
      <c r="B904" s="10">
        <v>4502140</v>
      </c>
      <c r="C904" s="10" t="s">
        <v>759</v>
      </c>
      <c r="D904" s="10" t="s">
        <v>760</v>
      </c>
      <c r="E904" s="10">
        <v>1</v>
      </c>
      <c r="F904" s="10">
        <v>9</v>
      </c>
      <c r="G904" s="10">
        <v>0</v>
      </c>
      <c r="H904" s="10">
        <v>10</v>
      </c>
      <c r="I904" s="10" t="s">
        <v>37</v>
      </c>
      <c r="J904" s="10">
        <v>7.5</v>
      </c>
      <c r="K904" s="10">
        <v>67.5</v>
      </c>
      <c r="L904" s="10">
        <v>0</v>
      </c>
      <c r="M904" s="10">
        <v>75</v>
      </c>
      <c r="N904" s="10" t="s">
        <v>761</v>
      </c>
      <c r="O904" s="10" t="s">
        <v>78</v>
      </c>
      <c r="P904" s="105">
        <f t="shared" si="14"/>
        <v>7.5</v>
      </c>
    </row>
    <row r="905" spans="1:16">
      <c r="A905" s="10" t="s">
        <v>635</v>
      </c>
      <c r="B905" s="10">
        <v>4502142</v>
      </c>
      <c r="C905" s="10" t="s">
        <v>759</v>
      </c>
      <c r="D905" s="10" t="s">
        <v>760</v>
      </c>
      <c r="E905" s="10">
        <v>0</v>
      </c>
      <c r="F905" s="10">
        <v>22</v>
      </c>
      <c r="G905" s="10">
        <v>-22</v>
      </c>
      <c r="H905" s="10">
        <v>0</v>
      </c>
      <c r="I905" s="10" t="s">
        <v>37</v>
      </c>
      <c r="J905" s="10">
        <v>0</v>
      </c>
      <c r="K905" s="10">
        <v>50.38</v>
      </c>
      <c r="L905" s="10">
        <v>-50.38</v>
      </c>
      <c r="M905" s="10">
        <v>0</v>
      </c>
      <c r="N905" s="10" t="s">
        <v>761</v>
      </c>
      <c r="O905" s="10" t="s">
        <v>1382</v>
      </c>
      <c r="P905" s="105" t="e">
        <f t="shared" si="14"/>
        <v>#DIV/0!</v>
      </c>
    </row>
    <row r="906" spans="1:16">
      <c r="A906" s="10" t="s">
        <v>635</v>
      </c>
      <c r="B906" s="10">
        <v>4502187</v>
      </c>
      <c r="C906" s="10" t="s">
        <v>759</v>
      </c>
      <c r="D906" s="10" t="s">
        <v>760</v>
      </c>
      <c r="E906" s="10">
        <v>348.9</v>
      </c>
      <c r="F906" s="103">
        <v>2977.3</v>
      </c>
      <c r="G906" s="10">
        <v>-239.25</v>
      </c>
      <c r="H906" s="103">
        <v>3086.95</v>
      </c>
      <c r="I906" s="10" t="s">
        <v>37</v>
      </c>
      <c r="J906" s="103">
        <v>2438.81</v>
      </c>
      <c r="K906" s="103">
        <v>20811.33</v>
      </c>
      <c r="L906" s="103">
        <v>-1672.36</v>
      </c>
      <c r="M906" s="103">
        <v>21577.78</v>
      </c>
      <c r="N906" s="10" t="s">
        <v>761</v>
      </c>
      <c r="O906" s="10" t="s">
        <v>607</v>
      </c>
      <c r="P906" s="105">
        <f t="shared" si="14"/>
        <v>6.98999983802783</v>
      </c>
    </row>
    <row r="907" spans="1:16">
      <c r="A907" s="10" t="s">
        <v>635</v>
      </c>
      <c r="B907" s="10">
        <v>4502210</v>
      </c>
      <c r="C907" s="10" t="s">
        <v>759</v>
      </c>
      <c r="D907" s="10" t="s">
        <v>760</v>
      </c>
      <c r="E907" s="10">
        <v>0</v>
      </c>
      <c r="F907" s="10">
        <v>0</v>
      </c>
      <c r="G907" s="10">
        <v>0</v>
      </c>
      <c r="H907" s="10">
        <v>0</v>
      </c>
      <c r="I907" s="10" t="s">
        <v>37</v>
      </c>
      <c r="J907" s="10">
        <v>0</v>
      </c>
      <c r="K907" s="10">
        <v>0</v>
      </c>
      <c r="L907" s="10">
        <v>0</v>
      </c>
      <c r="M907" s="10">
        <v>0</v>
      </c>
      <c r="N907" s="10" t="s">
        <v>761</v>
      </c>
      <c r="O907" s="10" t="s">
        <v>1383</v>
      </c>
      <c r="P907" s="105" t="e">
        <f t="shared" si="14"/>
        <v>#DIV/0!</v>
      </c>
    </row>
    <row r="908" spans="1:16">
      <c r="A908" s="10" t="s">
        <v>635</v>
      </c>
      <c r="B908" s="10">
        <v>4502226</v>
      </c>
      <c r="C908" s="10" t="s">
        <v>759</v>
      </c>
      <c r="D908" s="10" t="s">
        <v>760</v>
      </c>
      <c r="E908" s="10">
        <v>45</v>
      </c>
      <c r="F908" s="10">
        <v>50</v>
      </c>
      <c r="G908" s="10">
        <v>0</v>
      </c>
      <c r="H908" s="10">
        <v>95</v>
      </c>
      <c r="I908" s="10" t="s">
        <v>37</v>
      </c>
      <c r="J908" s="10">
        <v>59.4</v>
      </c>
      <c r="K908" s="10">
        <v>66</v>
      </c>
      <c r="L908" s="10">
        <v>0</v>
      </c>
      <c r="M908" s="10">
        <v>125.4</v>
      </c>
      <c r="N908" s="10" t="s">
        <v>761</v>
      </c>
      <c r="O908" s="10" t="s">
        <v>562</v>
      </c>
      <c r="P908" s="105">
        <f t="shared" si="14"/>
        <v>1.32</v>
      </c>
    </row>
    <row r="909" spans="1:16">
      <c r="A909" s="10" t="s">
        <v>635</v>
      </c>
      <c r="B909" s="10">
        <v>4502234</v>
      </c>
      <c r="C909" s="10" t="s">
        <v>759</v>
      </c>
      <c r="D909" s="10" t="s">
        <v>760</v>
      </c>
      <c r="E909" s="10">
        <v>50</v>
      </c>
      <c r="F909" s="10">
        <v>835</v>
      </c>
      <c r="G909" s="10">
        <v>0</v>
      </c>
      <c r="H909" s="10">
        <v>885</v>
      </c>
      <c r="I909" s="10" t="s">
        <v>37</v>
      </c>
      <c r="J909" s="10">
        <v>65.12</v>
      </c>
      <c r="K909" s="10">
        <v>967.6</v>
      </c>
      <c r="L909" s="10">
        <v>0</v>
      </c>
      <c r="M909" s="103">
        <v>1032.72</v>
      </c>
      <c r="N909" s="10" t="s">
        <v>761</v>
      </c>
      <c r="O909" s="10" t="s">
        <v>413</v>
      </c>
      <c r="P909" s="105">
        <f t="shared" si="14"/>
        <v>1.16691525423729</v>
      </c>
    </row>
    <row r="910" spans="1:16">
      <c r="A910" s="10" t="s">
        <v>635</v>
      </c>
      <c r="B910" s="10">
        <v>4502257</v>
      </c>
      <c r="C910" s="10" t="s">
        <v>759</v>
      </c>
      <c r="D910" s="10" t="s">
        <v>760</v>
      </c>
      <c r="E910" s="10">
        <v>8</v>
      </c>
      <c r="F910" s="10">
        <v>152</v>
      </c>
      <c r="G910" s="10">
        <v>0</v>
      </c>
      <c r="H910" s="10">
        <v>160</v>
      </c>
      <c r="I910" s="10" t="s">
        <v>37</v>
      </c>
      <c r="J910" s="10">
        <v>41.96</v>
      </c>
      <c r="K910" s="10">
        <v>583.5</v>
      </c>
      <c r="L910" s="10">
        <v>0</v>
      </c>
      <c r="M910" s="10">
        <v>625.46</v>
      </c>
      <c r="N910" s="10" t="s">
        <v>761</v>
      </c>
      <c r="O910" s="10" t="s">
        <v>483</v>
      </c>
      <c r="P910" s="105">
        <f t="shared" si="14"/>
        <v>3.909125</v>
      </c>
    </row>
    <row r="911" spans="1:16">
      <c r="A911" s="10" t="s">
        <v>635</v>
      </c>
      <c r="B911" s="10">
        <v>4502287</v>
      </c>
      <c r="C911" s="10" t="s">
        <v>759</v>
      </c>
      <c r="D911" s="10" t="s">
        <v>760</v>
      </c>
      <c r="E911" s="10">
        <v>100</v>
      </c>
      <c r="F911" s="103">
        <v>3650</v>
      </c>
      <c r="G911" s="10">
        <v>-20</v>
      </c>
      <c r="H911" s="103">
        <v>3730</v>
      </c>
      <c r="I911" s="10" t="s">
        <v>37</v>
      </c>
      <c r="J911" s="10">
        <v>123.89</v>
      </c>
      <c r="K911" s="103">
        <v>3999</v>
      </c>
      <c r="L911" s="10">
        <v>-22.54</v>
      </c>
      <c r="M911" s="103">
        <v>4100.35</v>
      </c>
      <c r="N911" s="10" t="s">
        <v>761</v>
      </c>
      <c r="O911" s="10" t="s">
        <v>422</v>
      </c>
      <c r="P911" s="105">
        <f t="shared" si="14"/>
        <v>1.09928954423592</v>
      </c>
    </row>
    <row r="912" spans="1:16">
      <c r="A912" s="10" t="s">
        <v>635</v>
      </c>
      <c r="B912" s="10">
        <v>4502382</v>
      </c>
      <c r="C912" s="10" t="s">
        <v>759</v>
      </c>
      <c r="D912" s="10" t="s">
        <v>760</v>
      </c>
      <c r="E912" s="10">
        <v>10</v>
      </c>
      <c r="F912" s="10">
        <v>650</v>
      </c>
      <c r="G912" s="10">
        <v>-30</v>
      </c>
      <c r="H912" s="10">
        <v>630</v>
      </c>
      <c r="I912" s="10" t="s">
        <v>37</v>
      </c>
      <c r="J912" s="10">
        <v>4.33</v>
      </c>
      <c r="K912" s="10">
        <v>292.5</v>
      </c>
      <c r="L912" s="10">
        <v>-13.44</v>
      </c>
      <c r="M912" s="10">
        <v>283.39</v>
      </c>
      <c r="N912" s="10" t="s">
        <v>761</v>
      </c>
      <c r="O912" s="10" t="s">
        <v>187</v>
      </c>
      <c r="P912" s="105">
        <f t="shared" si="14"/>
        <v>0.449825396825397</v>
      </c>
    </row>
    <row r="913" spans="1:16">
      <c r="A913" s="10" t="s">
        <v>635</v>
      </c>
      <c r="B913" s="10">
        <v>4502395</v>
      </c>
      <c r="C913" s="10" t="s">
        <v>759</v>
      </c>
      <c r="D913" s="10" t="s">
        <v>760</v>
      </c>
      <c r="E913" s="10">
        <v>41.4</v>
      </c>
      <c r="F913" s="10">
        <v>23</v>
      </c>
      <c r="G913" s="10">
        <v>0</v>
      </c>
      <c r="H913" s="10">
        <v>64.4</v>
      </c>
      <c r="I913" s="10" t="s">
        <v>74</v>
      </c>
      <c r="J913" s="10">
        <v>245.54</v>
      </c>
      <c r="K913" s="10">
        <v>121.48</v>
      </c>
      <c r="L913" s="10">
        <v>0</v>
      </c>
      <c r="M913" s="10">
        <v>367.02</v>
      </c>
      <c r="N913" s="10" t="s">
        <v>761</v>
      </c>
      <c r="O913" s="10" t="s">
        <v>542</v>
      </c>
      <c r="P913" s="105">
        <f t="shared" si="14"/>
        <v>5.69906832298137</v>
      </c>
    </row>
    <row r="914" spans="1:16">
      <c r="A914" s="10" t="s">
        <v>635</v>
      </c>
      <c r="B914" s="10">
        <v>4502397</v>
      </c>
      <c r="C914" s="10" t="s">
        <v>759</v>
      </c>
      <c r="D914" s="10" t="s">
        <v>760</v>
      </c>
      <c r="E914" s="10">
        <v>0</v>
      </c>
      <c r="F914" s="10">
        <v>0</v>
      </c>
      <c r="G914" s="10">
        <v>0</v>
      </c>
      <c r="H914" s="10">
        <v>0</v>
      </c>
      <c r="I914" s="10" t="s">
        <v>37</v>
      </c>
      <c r="J914" s="10">
        <v>0</v>
      </c>
      <c r="K914" s="10">
        <v>0</v>
      </c>
      <c r="L914" s="10">
        <v>0</v>
      </c>
      <c r="M914" s="10">
        <v>0</v>
      </c>
      <c r="N914" s="10" t="s">
        <v>761</v>
      </c>
      <c r="O914" s="10" t="s">
        <v>1384</v>
      </c>
      <c r="P914" s="105" t="e">
        <f t="shared" si="14"/>
        <v>#DIV/0!</v>
      </c>
    </row>
    <row r="915" spans="1:16">
      <c r="A915" s="10" t="s">
        <v>635</v>
      </c>
      <c r="B915" s="10">
        <v>4502465</v>
      </c>
      <c r="C915" s="10" t="s">
        <v>759</v>
      </c>
      <c r="D915" s="10" t="s">
        <v>760</v>
      </c>
      <c r="E915" s="10">
        <v>6</v>
      </c>
      <c r="F915" s="10">
        <v>12</v>
      </c>
      <c r="G915" s="10">
        <v>0</v>
      </c>
      <c r="H915" s="10">
        <v>18</v>
      </c>
      <c r="I915" s="10" t="s">
        <v>37</v>
      </c>
      <c r="J915" s="10">
        <v>28.96</v>
      </c>
      <c r="K915" s="10">
        <v>60</v>
      </c>
      <c r="L915" s="10">
        <v>0</v>
      </c>
      <c r="M915" s="10">
        <v>88.96</v>
      </c>
      <c r="N915" s="10" t="s">
        <v>761</v>
      </c>
      <c r="O915" s="10" t="s">
        <v>556</v>
      </c>
      <c r="P915" s="105">
        <f t="shared" si="14"/>
        <v>4.94222222222222</v>
      </c>
    </row>
    <row r="916" spans="1:16">
      <c r="A916" s="10" t="s">
        <v>635</v>
      </c>
      <c r="B916" s="10">
        <v>4502553</v>
      </c>
      <c r="C916" s="10" t="s">
        <v>759</v>
      </c>
      <c r="D916" s="10" t="s">
        <v>760</v>
      </c>
      <c r="E916" s="10">
        <v>0</v>
      </c>
      <c r="F916" s="10">
        <v>0</v>
      </c>
      <c r="G916" s="10">
        <v>0</v>
      </c>
      <c r="H916" s="10">
        <v>0</v>
      </c>
      <c r="I916" s="10" t="s">
        <v>138</v>
      </c>
      <c r="J916" s="10">
        <v>0</v>
      </c>
      <c r="K916" s="10">
        <v>0</v>
      </c>
      <c r="L916" s="10">
        <v>0</v>
      </c>
      <c r="M916" s="10">
        <v>0</v>
      </c>
      <c r="N916" s="10" t="s">
        <v>761</v>
      </c>
      <c r="O916" s="10" t="s">
        <v>1385</v>
      </c>
      <c r="P916" s="105" t="e">
        <f t="shared" si="14"/>
        <v>#DIV/0!</v>
      </c>
    </row>
    <row r="917" spans="1:16">
      <c r="A917" s="10" t="s">
        <v>635</v>
      </c>
      <c r="B917" s="10">
        <v>4502622</v>
      </c>
      <c r="C917" s="10" t="s">
        <v>759</v>
      </c>
      <c r="D917" s="10" t="s">
        <v>760</v>
      </c>
      <c r="E917" s="10">
        <v>15</v>
      </c>
      <c r="F917" s="10">
        <v>270</v>
      </c>
      <c r="G917" s="10">
        <v>0</v>
      </c>
      <c r="H917" s="10">
        <v>285</v>
      </c>
      <c r="I917" s="10" t="s">
        <v>74</v>
      </c>
      <c r="J917" s="10">
        <v>65.43</v>
      </c>
      <c r="K917" s="103">
        <v>1188</v>
      </c>
      <c r="L917" s="10">
        <v>0</v>
      </c>
      <c r="M917" s="103">
        <v>1253.43</v>
      </c>
      <c r="N917" s="10" t="s">
        <v>761</v>
      </c>
      <c r="O917" s="10" t="s">
        <v>539</v>
      </c>
      <c r="P917" s="105">
        <f t="shared" si="14"/>
        <v>4.398</v>
      </c>
    </row>
    <row r="918" spans="1:16">
      <c r="A918" s="10" t="s">
        <v>635</v>
      </c>
      <c r="B918" s="10">
        <v>4502863</v>
      </c>
      <c r="C918" s="10" t="s">
        <v>759</v>
      </c>
      <c r="D918" s="10" t="s">
        <v>760</v>
      </c>
      <c r="E918" s="10">
        <v>364</v>
      </c>
      <c r="F918" s="10">
        <v>0</v>
      </c>
      <c r="G918" s="10">
        <v>0</v>
      </c>
      <c r="H918" s="10">
        <v>364</v>
      </c>
      <c r="I918" s="10" t="s">
        <v>33</v>
      </c>
      <c r="J918" s="103">
        <v>1092</v>
      </c>
      <c r="K918" s="10">
        <v>0</v>
      </c>
      <c r="L918" s="10">
        <v>0</v>
      </c>
      <c r="M918" s="103">
        <v>1092</v>
      </c>
      <c r="N918" s="10" t="s">
        <v>761</v>
      </c>
      <c r="O918" s="10" t="s">
        <v>340</v>
      </c>
      <c r="P918" s="105">
        <f t="shared" si="14"/>
        <v>3</v>
      </c>
    </row>
    <row r="919" spans="1:16">
      <c r="A919" s="10" t="s">
        <v>635</v>
      </c>
      <c r="B919" s="10">
        <v>4503081</v>
      </c>
      <c r="C919" s="10" t="s">
        <v>759</v>
      </c>
      <c r="D919" s="10" t="s">
        <v>760</v>
      </c>
      <c r="E919" s="10">
        <v>0</v>
      </c>
      <c r="F919" s="10">
        <v>0</v>
      </c>
      <c r="G919" s="10">
        <v>0</v>
      </c>
      <c r="H919" s="10">
        <v>0</v>
      </c>
      <c r="I919" s="10" t="s">
        <v>21</v>
      </c>
      <c r="J919" s="10">
        <v>0</v>
      </c>
      <c r="K919" s="10">
        <v>0</v>
      </c>
      <c r="L919" s="10">
        <v>0</v>
      </c>
      <c r="M919" s="10">
        <v>0</v>
      </c>
      <c r="N919" s="10" t="s">
        <v>761</v>
      </c>
      <c r="O919" s="10" t="s">
        <v>1386</v>
      </c>
      <c r="P919" s="105" t="e">
        <f t="shared" si="14"/>
        <v>#DIV/0!</v>
      </c>
    </row>
    <row r="920" spans="1:16">
      <c r="A920" s="10" t="s">
        <v>635</v>
      </c>
      <c r="B920" s="10">
        <v>4503433</v>
      </c>
      <c r="C920" s="10" t="s">
        <v>759</v>
      </c>
      <c r="D920" s="10" t="s">
        <v>760</v>
      </c>
      <c r="E920" s="10">
        <v>0</v>
      </c>
      <c r="F920" s="10">
        <v>0</v>
      </c>
      <c r="G920" s="10">
        <v>0</v>
      </c>
      <c r="H920" s="10">
        <v>0</v>
      </c>
      <c r="I920" s="10" t="s">
        <v>37</v>
      </c>
      <c r="J920" s="10">
        <v>0</v>
      </c>
      <c r="K920" s="10">
        <v>0</v>
      </c>
      <c r="L920" s="10">
        <v>0</v>
      </c>
      <c r="M920" s="10">
        <v>0</v>
      </c>
      <c r="N920" s="10" t="s">
        <v>761</v>
      </c>
      <c r="O920" s="10" t="s">
        <v>702</v>
      </c>
      <c r="P920" s="105" t="e">
        <f t="shared" si="14"/>
        <v>#DIV/0!</v>
      </c>
    </row>
    <row r="921" spans="1:16">
      <c r="A921" s="10" t="s">
        <v>635</v>
      </c>
      <c r="B921" s="10">
        <v>4503456</v>
      </c>
      <c r="C921" s="10" t="s">
        <v>759</v>
      </c>
      <c r="D921" s="10" t="s">
        <v>760</v>
      </c>
      <c r="E921" s="10">
        <v>0</v>
      </c>
      <c r="F921" s="10">
        <v>0</v>
      </c>
      <c r="G921" s="10">
        <v>0</v>
      </c>
      <c r="H921" s="10">
        <v>0</v>
      </c>
      <c r="I921" s="10" t="s">
        <v>33</v>
      </c>
      <c r="J921" s="10">
        <v>0</v>
      </c>
      <c r="K921" s="10">
        <v>0</v>
      </c>
      <c r="L921" s="10">
        <v>0</v>
      </c>
      <c r="M921" s="10">
        <v>0</v>
      </c>
      <c r="N921" s="10" t="s">
        <v>761</v>
      </c>
      <c r="O921" s="10" t="s">
        <v>1387</v>
      </c>
      <c r="P921" s="105" t="e">
        <f t="shared" si="14"/>
        <v>#DIV/0!</v>
      </c>
    </row>
    <row r="922" spans="1:16">
      <c r="A922" s="10" t="s">
        <v>635</v>
      </c>
      <c r="B922" s="10">
        <v>4503474</v>
      </c>
      <c r="C922" s="10" t="s">
        <v>759</v>
      </c>
      <c r="D922" s="10" t="s">
        <v>760</v>
      </c>
      <c r="E922" s="10">
        <v>0</v>
      </c>
      <c r="F922" s="10">
        <v>150</v>
      </c>
      <c r="G922" s="10">
        <v>0</v>
      </c>
      <c r="H922" s="10">
        <v>150</v>
      </c>
      <c r="I922" s="10" t="s">
        <v>37</v>
      </c>
      <c r="J922" s="10">
        <v>0</v>
      </c>
      <c r="K922" s="10">
        <v>173.85</v>
      </c>
      <c r="L922" s="10">
        <v>0</v>
      </c>
      <c r="M922" s="10">
        <v>173.85</v>
      </c>
      <c r="N922" s="10" t="s">
        <v>761</v>
      </c>
      <c r="O922" s="10" t="s">
        <v>393</v>
      </c>
      <c r="P922" s="105">
        <f t="shared" si="14"/>
        <v>1.159</v>
      </c>
    </row>
    <row r="923" spans="1:16">
      <c r="A923" s="10" t="s">
        <v>635</v>
      </c>
      <c r="B923" s="10">
        <v>4503486</v>
      </c>
      <c r="C923" s="10" t="s">
        <v>759</v>
      </c>
      <c r="D923" s="10" t="s">
        <v>760</v>
      </c>
      <c r="E923" s="10">
        <v>175</v>
      </c>
      <c r="F923" s="10">
        <v>840</v>
      </c>
      <c r="G923" s="10">
        <v>0</v>
      </c>
      <c r="H923" s="103">
        <v>1015</v>
      </c>
      <c r="I923" s="10" t="s">
        <v>408</v>
      </c>
      <c r="J923" s="10">
        <v>79.5</v>
      </c>
      <c r="K923" s="10">
        <v>461.2</v>
      </c>
      <c r="L923" s="10">
        <v>0</v>
      </c>
      <c r="M923" s="10">
        <v>540.7</v>
      </c>
      <c r="N923" s="10" t="s">
        <v>761</v>
      </c>
      <c r="O923" s="10" t="s">
        <v>551</v>
      </c>
      <c r="P923" s="105">
        <f t="shared" si="14"/>
        <v>0.532709359605911</v>
      </c>
    </row>
    <row r="924" spans="1:16">
      <c r="A924" s="10" t="s">
        <v>635</v>
      </c>
      <c r="B924" s="10">
        <v>4503595</v>
      </c>
      <c r="C924" s="10" t="s">
        <v>759</v>
      </c>
      <c r="D924" s="10" t="s">
        <v>760</v>
      </c>
      <c r="E924" s="10">
        <v>5.02</v>
      </c>
      <c r="F924" s="10">
        <v>4.6</v>
      </c>
      <c r="G924" s="10">
        <v>0</v>
      </c>
      <c r="H924" s="10">
        <v>9.62</v>
      </c>
      <c r="I924" s="10" t="s">
        <v>37</v>
      </c>
      <c r="J924" s="10">
        <v>142.65</v>
      </c>
      <c r="K924" s="10">
        <v>113.16</v>
      </c>
      <c r="L924" s="10">
        <v>0</v>
      </c>
      <c r="M924" s="10">
        <v>255.81</v>
      </c>
      <c r="N924" s="10" t="s">
        <v>761</v>
      </c>
      <c r="O924" s="10" t="s">
        <v>616</v>
      </c>
      <c r="P924" s="105">
        <f t="shared" si="14"/>
        <v>26.5914760914761</v>
      </c>
    </row>
    <row r="925" spans="1:16">
      <c r="A925" s="10" t="s">
        <v>635</v>
      </c>
      <c r="B925" s="10">
        <v>4503604</v>
      </c>
      <c r="C925" s="10" t="s">
        <v>759</v>
      </c>
      <c r="D925" s="10" t="s">
        <v>760</v>
      </c>
      <c r="E925" s="10">
        <v>19.6</v>
      </c>
      <c r="F925" s="10">
        <v>353.7</v>
      </c>
      <c r="G925" s="10">
        <v>0</v>
      </c>
      <c r="H925" s="10">
        <v>373.3</v>
      </c>
      <c r="I925" s="10" t="s">
        <v>37</v>
      </c>
      <c r="J925" s="10">
        <v>22.37</v>
      </c>
      <c r="K925" s="10">
        <v>395.52</v>
      </c>
      <c r="L925" s="10">
        <v>0</v>
      </c>
      <c r="M925" s="10">
        <v>417.89</v>
      </c>
      <c r="N925" s="10" t="s">
        <v>761</v>
      </c>
      <c r="O925" s="10" t="s">
        <v>116</v>
      </c>
      <c r="P925" s="105">
        <f t="shared" si="14"/>
        <v>1.11944816501473</v>
      </c>
    </row>
    <row r="926" spans="1:16">
      <c r="A926" s="10" t="s">
        <v>635</v>
      </c>
      <c r="B926" s="10">
        <v>4503613</v>
      </c>
      <c r="C926" s="10" t="s">
        <v>759</v>
      </c>
      <c r="D926" s="10" t="s">
        <v>760</v>
      </c>
      <c r="E926" s="10">
        <v>0</v>
      </c>
      <c r="F926" s="10">
        <v>0</v>
      </c>
      <c r="G926" s="10">
        <v>0</v>
      </c>
      <c r="H926" s="10">
        <v>0</v>
      </c>
      <c r="I926" s="10" t="s">
        <v>37</v>
      </c>
      <c r="J926" s="10">
        <v>0</v>
      </c>
      <c r="K926" s="10">
        <v>0</v>
      </c>
      <c r="L926" s="10">
        <v>0</v>
      </c>
      <c r="M926" s="10">
        <v>0</v>
      </c>
      <c r="N926" s="10" t="s">
        <v>761</v>
      </c>
      <c r="O926" s="10" t="s">
        <v>1388</v>
      </c>
      <c r="P926" s="105" t="e">
        <f t="shared" si="14"/>
        <v>#DIV/0!</v>
      </c>
    </row>
    <row r="927" spans="1:16">
      <c r="A927" s="10" t="s">
        <v>635</v>
      </c>
      <c r="B927" s="10">
        <v>4503619</v>
      </c>
      <c r="C927" s="10" t="s">
        <v>759</v>
      </c>
      <c r="D927" s="10" t="s">
        <v>760</v>
      </c>
      <c r="E927" s="10">
        <v>0</v>
      </c>
      <c r="F927" s="10">
        <v>0</v>
      </c>
      <c r="G927" s="10">
        <v>0</v>
      </c>
      <c r="H927" s="10">
        <v>0</v>
      </c>
      <c r="I927" s="10" t="s">
        <v>37</v>
      </c>
      <c r="J927" s="10">
        <v>0</v>
      </c>
      <c r="K927" s="10">
        <v>0</v>
      </c>
      <c r="L927" s="10">
        <v>0</v>
      </c>
      <c r="M927" s="10">
        <v>0</v>
      </c>
      <c r="N927" s="10" t="s">
        <v>761</v>
      </c>
      <c r="O927" s="10" t="s">
        <v>1389</v>
      </c>
      <c r="P927" s="105" t="e">
        <f t="shared" si="14"/>
        <v>#DIV/0!</v>
      </c>
    </row>
    <row r="928" spans="1:16">
      <c r="A928" s="10" t="s">
        <v>635</v>
      </c>
      <c r="B928" s="10">
        <v>4503644</v>
      </c>
      <c r="C928" s="10" t="s">
        <v>759</v>
      </c>
      <c r="D928" s="10" t="s">
        <v>760</v>
      </c>
      <c r="E928" s="10">
        <v>0</v>
      </c>
      <c r="F928" s="10">
        <v>0</v>
      </c>
      <c r="G928" s="10">
        <v>0</v>
      </c>
      <c r="H928" s="10">
        <v>0</v>
      </c>
      <c r="I928" s="10" t="s">
        <v>138</v>
      </c>
      <c r="J928" s="10">
        <v>0</v>
      </c>
      <c r="K928" s="10">
        <v>0</v>
      </c>
      <c r="L928" s="10">
        <v>0</v>
      </c>
      <c r="M928" s="10">
        <v>0</v>
      </c>
      <c r="N928" s="10" t="s">
        <v>761</v>
      </c>
      <c r="O928" s="10" t="s">
        <v>1390</v>
      </c>
      <c r="P928" s="105" t="e">
        <f t="shared" si="14"/>
        <v>#DIV/0!</v>
      </c>
    </row>
    <row r="929" spans="1:16">
      <c r="A929" s="10" t="s">
        <v>635</v>
      </c>
      <c r="B929" s="10">
        <v>4503646</v>
      </c>
      <c r="C929" s="10" t="s">
        <v>759</v>
      </c>
      <c r="D929" s="10" t="s">
        <v>760</v>
      </c>
      <c r="E929" s="10">
        <v>0</v>
      </c>
      <c r="F929" s="10">
        <v>0</v>
      </c>
      <c r="G929" s="10">
        <v>0</v>
      </c>
      <c r="H929" s="10">
        <v>0</v>
      </c>
      <c r="I929" s="10" t="s">
        <v>33</v>
      </c>
      <c r="J929" s="10">
        <v>0</v>
      </c>
      <c r="K929" s="10">
        <v>0</v>
      </c>
      <c r="L929" s="10">
        <v>0</v>
      </c>
      <c r="M929" s="10">
        <v>0</v>
      </c>
      <c r="N929" s="10" t="s">
        <v>761</v>
      </c>
      <c r="O929" s="10" t="s">
        <v>1391</v>
      </c>
      <c r="P929" s="105" t="e">
        <f t="shared" si="14"/>
        <v>#DIV/0!</v>
      </c>
    </row>
    <row r="930" spans="1:16">
      <c r="A930" s="10" t="s">
        <v>635</v>
      </c>
      <c r="B930" s="10">
        <v>4503838</v>
      </c>
      <c r="C930" s="10" t="s">
        <v>759</v>
      </c>
      <c r="D930" s="10" t="s">
        <v>760</v>
      </c>
      <c r="E930" s="10">
        <v>0</v>
      </c>
      <c r="F930" s="10">
        <v>0</v>
      </c>
      <c r="G930" s="10">
        <v>0</v>
      </c>
      <c r="H930" s="10">
        <v>0</v>
      </c>
      <c r="I930" s="10" t="s">
        <v>21</v>
      </c>
      <c r="J930" s="10">
        <v>0</v>
      </c>
      <c r="K930" s="10">
        <v>0</v>
      </c>
      <c r="L930" s="10">
        <v>0</v>
      </c>
      <c r="M930" s="10">
        <v>0</v>
      </c>
      <c r="N930" s="10" t="s">
        <v>761</v>
      </c>
      <c r="O930" s="10" t="s">
        <v>1392</v>
      </c>
      <c r="P930" s="105" t="e">
        <f t="shared" si="14"/>
        <v>#DIV/0!</v>
      </c>
    </row>
    <row r="931" spans="1:16">
      <c r="A931" s="10" t="s">
        <v>635</v>
      </c>
      <c r="B931" s="10">
        <v>4503951</v>
      </c>
      <c r="C931" s="10" t="s">
        <v>759</v>
      </c>
      <c r="D931" s="10" t="s">
        <v>760</v>
      </c>
      <c r="E931" s="10">
        <v>107</v>
      </c>
      <c r="F931" s="10">
        <v>0</v>
      </c>
      <c r="G931" s="10">
        <v>0</v>
      </c>
      <c r="H931" s="10">
        <v>107</v>
      </c>
      <c r="I931" s="10" t="s">
        <v>33</v>
      </c>
      <c r="J931" s="10">
        <v>387.34</v>
      </c>
      <c r="K931" s="10">
        <v>0</v>
      </c>
      <c r="L931" s="10">
        <v>0</v>
      </c>
      <c r="M931" s="10">
        <v>387.34</v>
      </c>
      <c r="N931" s="10" t="s">
        <v>761</v>
      </c>
      <c r="O931" s="10" t="s">
        <v>316</v>
      </c>
      <c r="P931" s="105">
        <f t="shared" si="14"/>
        <v>3.62</v>
      </c>
    </row>
    <row r="932" spans="1:16">
      <c r="A932" s="10" t="s">
        <v>635</v>
      </c>
      <c r="B932" s="10">
        <v>4504089</v>
      </c>
      <c r="C932" s="10" t="s">
        <v>759</v>
      </c>
      <c r="D932" s="10" t="s">
        <v>760</v>
      </c>
      <c r="E932" s="10">
        <v>0</v>
      </c>
      <c r="F932" s="10">
        <v>0</v>
      </c>
      <c r="G932" s="10">
        <v>0</v>
      </c>
      <c r="H932" s="10">
        <v>0</v>
      </c>
      <c r="I932" s="10" t="s">
        <v>37</v>
      </c>
      <c r="J932" s="10">
        <v>0</v>
      </c>
      <c r="K932" s="10">
        <v>0</v>
      </c>
      <c r="L932" s="10">
        <v>0</v>
      </c>
      <c r="M932" s="10">
        <v>0</v>
      </c>
      <c r="N932" s="10" t="s">
        <v>761</v>
      </c>
      <c r="O932" s="10" t="s">
        <v>1393</v>
      </c>
      <c r="P932" s="105" t="e">
        <f t="shared" si="14"/>
        <v>#DIV/0!</v>
      </c>
    </row>
    <row r="933" spans="1:16">
      <c r="A933" s="10" t="s">
        <v>635</v>
      </c>
      <c r="B933" s="10">
        <v>4504144</v>
      </c>
      <c r="C933" s="10" t="s">
        <v>759</v>
      </c>
      <c r="D933" s="10" t="s">
        <v>760</v>
      </c>
      <c r="E933" s="10">
        <v>0</v>
      </c>
      <c r="F933" s="10">
        <v>0</v>
      </c>
      <c r="G933" s="10">
        <v>0</v>
      </c>
      <c r="H933" s="10">
        <v>0</v>
      </c>
      <c r="I933" s="10" t="s">
        <v>30</v>
      </c>
      <c r="J933" s="10">
        <v>0</v>
      </c>
      <c r="K933" s="10">
        <v>0</v>
      </c>
      <c r="L933" s="10">
        <v>0</v>
      </c>
      <c r="M933" s="10">
        <v>0</v>
      </c>
      <c r="N933" s="10" t="s">
        <v>761</v>
      </c>
      <c r="O933" s="10" t="s">
        <v>1394</v>
      </c>
      <c r="P933" s="105" t="e">
        <f t="shared" si="14"/>
        <v>#DIV/0!</v>
      </c>
    </row>
    <row r="934" spans="1:16">
      <c r="A934" s="10" t="s">
        <v>635</v>
      </c>
      <c r="B934" s="10">
        <v>4504167</v>
      </c>
      <c r="C934" s="10" t="s">
        <v>759</v>
      </c>
      <c r="D934" s="10" t="s">
        <v>760</v>
      </c>
      <c r="E934" s="10">
        <v>0</v>
      </c>
      <c r="F934" s="10">
        <v>308</v>
      </c>
      <c r="G934" s="10">
        <v>0</v>
      </c>
      <c r="H934" s="10">
        <v>308</v>
      </c>
      <c r="I934" s="10" t="s">
        <v>37</v>
      </c>
      <c r="J934" s="10">
        <v>0</v>
      </c>
      <c r="K934" s="103">
        <v>1108.8</v>
      </c>
      <c r="L934" s="10">
        <v>0</v>
      </c>
      <c r="M934" s="103">
        <v>1108.8</v>
      </c>
      <c r="N934" s="10" t="s">
        <v>761</v>
      </c>
      <c r="O934" s="10" t="s">
        <v>389</v>
      </c>
      <c r="P934" s="105">
        <f t="shared" si="14"/>
        <v>3.6</v>
      </c>
    </row>
    <row r="935" spans="1:16">
      <c r="A935" s="10" t="s">
        <v>635</v>
      </c>
      <c r="B935" s="10">
        <v>4504174</v>
      </c>
      <c r="C935" s="10" t="s">
        <v>759</v>
      </c>
      <c r="D935" s="10" t="s">
        <v>760</v>
      </c>
      <c r="E935" s="10">
        <v>0</v>
      </c>
      <c r="F935" s="10">
        <v>0</v>
      </c>
      <c r="G935" s="10">
        <v>0</v>
      </c>
      <c r="H935" s="10">
        <v>0</v>
      </c>
      <c r="I935" s="10" t="s">
        <v>33</v>
      </c>
      <c r="J935" s="10">
        <v>0</v>
      </c>
      <c r="K935" s="10">
        <v>0</v>
      </c>
      <c r="L935" s="10">
        <v>0</v>
      </c>
      <c r="M935" s="10">
        <v>0</v>
      </c>
      <c r="N935" s="10" t="s">
        <v>761</v>
      </c>
      <c r="O935" s="10" t="s">
        <v>1395</v>
      </c>
      <c r="P935" s="105" t="e">
        <f t="shared" si="14"/>
        <v>#DIV/0!</v>
      </c>
    </row>
    <row r="936" spans="1:16">
      <c r="A936" s="10" t="s">
        <v>635</v>
      </c>
      <c r="B936" s="10">
        <v>4504355</v>
      </c>
      <c r="C936" s="10" t="s">
        <v>759</v>
      </c>
      <c r="D936" s="10" t="s">
        <v>760</v>
      </c>
      <c r="E936" s="10">
        <v>0</v>
      </c>
      <c r="F936" s="10">
        <v>0</v>
      </c>
      <c r="G936" s="10">
        <v>0</v>
      </c>
      <c r="H936" s="10">
        <v>0</v>
      </c>
      <c r="I936" s="10" t="s">
        <v>30</v>
      </c>
      <c r="J936" s="10">
        <v>0</v>
      </c>
      <c r="K936" s="10">
        <v>0</v>
      </c>
      <c r="L936" s="10">
        <v>0</v>
      </c>
      <c r="M936" s="10">
        <v>0</v>
      </c>
      <c r="N936" s="10" t="s">
        <v>761</v>
      </c>
      <c r="O936" s="10" t="s">
        <v>1396</v>
      </c>
      <c r="P936" s="105" t="e">
        <f t="shared" si="14"/>
        <v>#DIV/0!</v>
      </c>
    </row>
    <row r="937" spans="1:16">
      <c r="A937" s="10" t="s">
        <v>635</v>
      </c>
      <c r="B937" s="10">
        <v>4504515</v>
      </c>
      <c r="C937" s="10" t="s">
        <v>759</v>
      </c>
      <c r="D937" s="10" t="s">
        <v>760</v>
      </c>
      <c r="E937" s="10">
        <v>0</v>
      </c>
      <c r="F937" s="10">
        <v>0</v>
      </c>
      <c r="G937" s="10">
        <v>0</v>
      </c>
      <c r="H937" s="10">
        <v>0</v>
      </c>
      <c r="I937" s="10" t="s">
        <v>74</v>
      </c>
      <c r="J937" s="10">
        <v>0</v>
      </c>
      <c r="K937" s="10">
        <v>0</v>
      </c>
      <c r="L937" s="10">
        <v>0</v>
      </c>
      <c r="M937" s="10">
        <v>0</v>
      </c>
      <c r="N937" s="10" t="s">
        <v>761</v>
      </c>
      <c r="O937" s="10" t="s">
        <v>1397</v>
      </c>
      <c r="P937" s="105" t="e">
        <f t="shared" si="14"/>
        <v>#DIV/0!</v>
      </c>
    </row>
    <row r="938" spans="1:16">
      <c r="A938" s="10" t="s">
        <v>635</v>
      </c>
      <c r="B938" s="10">
        <v>4504673</v>
      </c>
      <c r="C938" s="10" t="s">
        <v>759</v>
      </c>
      <c r="D938" s="10" t="s">
        <v>760</v>
      </c>
      <c r="E938" s="10">
        <v>3.5</v>
      </c>
      <c r="F938" s="10">
        <v>33</v>
      </c>
      <c r="G938" s="10">
        <v>0</v>
      </c>
      <c r="H938" s="10">
        <v>36.5</v>
      </c>
      <c r="I938" s="10" t="s">
        <v>37</v>
      </c>
      <c r="J938" s="10">
        <v>147.35</v>
      </c>
      <c r="K938" s="103">
        <v>1389.3</v>
      </c>
      <c r="L938" s="10">
        <v>0</v>
      </c>
      <c r="M938" s="103">
        <v>1536.65</v>
      </c>
      <c r="N938" s="10" t="s">
        <v>761</v>
      </c>
      <c r="O938" s="10" t="s">
        <v>521</v>
      </c>
      <c r="P938" s="105">
        <f t="shared" si="14"/>
        <v>42.1</v>
      </c>
    </row>
    <row r="939" spans="1:16">
      <c r="A939" s="10" t="s">
        <v>635</v>
      </c>
      <c r="B939" s="10">
        <v>4504794</v>
      </c>
      <c r="C939" s="10" t="s">
        <v>759</v>
      </c>
      <c r="D939" s="10" t="s">
        <v>760</v>
      </c>
      <c r="E939" s="10">
        <v>0</v>
      </c>
      <c r="F939" s="10">
        <v>150</v>
      </c>
      <c r="G939" s="10">
        <v>0</v>
      </c>
      <c r="H939" s="10">
        <v>150</v>
      </c>
      <c r="I939" s="10" t="s">
        <v>74</v>
      </c>
      <c r="J939" s="10">
        <v>0</v>
      </c>
      <c r="K939" s="10">
        <v>434</v>
      </c>
      <c r="L939" s="10">
        <v>0</v>
      </c>
      <c r="M939" s="10">
        <v>434</v>
      </c>
      <c r="N939" s="10" t="s">
        <v>761</v>
      </c>
      <c r="O939" s="10" t="s">
        <v>552</v>
      </c>
      <c r="P939" s="105">
        <f t="shared" si="14"/>
        <v>2.89333333333333</v>
      </c>
    </row>
    <row r="940" spans="1:16">
      <c r="A940" s="10" t="s">
        <v>635</v>
      </c>
      <c r="B940" s="10">
        <v>4504795</v>
      </c>
      <c r="C940" s="10" t="s">
        <v>759</v>
      </c>
      <c r="D940" s="10" t="s">
        <v>760</v>
      </c>
      <c r="E940" s="10">
        <v>0</v>
      </c>
      <c r="F940" s="10">
        <v>0</v>
      </c>
      <c r="G940" s="10">
        <v>0</v>
      </c>
      <c r="H940" s="10">
        <v>0</v>
      </c>
      <c r="I940" s="10" t="s">
        <v>74</v>
      </c>
      <c r="J940" s="10">
        <v>0</v>
      </c>
      <c r="K940" s="10">
        <v>0</v>
      </c>
      <c r="L940" s="10">
        <v>0</v>
      </c>
      <c r="M940" s="10">
        <v>0</v>
      </c>
      <c r="N940" s="10" t="s">
        <v>761</v>
      </c>
      <c r="O940" s="10" t="s">
        <v>1398</v>
      </c>
      <c r="P940" s="105" t="e">
        <f t="shared" si="14"/>
        <v>#DIV/0!</v>
      </c>
    </row>
    <row r="941" spans="1:16">
      <c r="A941" s="10" t="s">
        <v>635</v>
      </c>
      <c r="B941" s="10">
        <v>4504796</v>
      </c>
      <c r="C941" s="10" t="s">
        <v>759</v>
      </c>
      <c r="D941" s="10" t="s">
        <v>760</v>
      </c>
      <c r="E941" s="10">
        <v>5</v>
      </c>
      <c r="F941" s="10">
        <v>150</v>
      </c>
      <c r="G941" s="10">
        <v>-5</v>
      </c>
      <c r="H941" s="10">
        <v>150</v>
      </c>
      <c r="I941" s="10" t="s">
        <v>37</v>
      </c>
      <c r="J941" s="10">
        <v>5.25</v>
      </c>
      <c r="K941" s="10">
        <v>157.5</v>
      </c>
      <c r="L941" s="10">
        <v>-5.25</v>
      </c>
      <c r="M941" s="10">
        <v>157.5</v>
      </c>
      <c r="N941" s="10" t="s">
        <v>761</v>
      </c>
      <c r="O941" s="10" t="s">
        <v>474</v>
      </c>
      <c r="P941" s="105">
        <f t="shared" si="14"/>
        <v>1.05</v>
      </c>
    </row>
    <row r="942" spans="1:16">
      <c r="A942" s="10" t="s">
        <v>635</v>
      </c>
      <c r="B942" s="10">
        <v>4504813</v>
      </c>
      <c r="C942" s="10" t="s">
        <v>759</v>
      </c>
      <c r="D942" s="10" t="s">
        <v>760</v>
      </c>
      <c r="E942" s="10">
        <v>0</v>
      </c>
      <c r="F942" s="10">
        <v>0</v>
      </c>
      <c r="G942" s="10">
        <v>0</v>
      </c>
      <c r="H942" s="10">
        <v>0</v>
      </c>
      <c r="I942" s="10" t="s">
        <v>21</v>
      </c>
      <c r="J942" s="10">
        <v>0</v>
      </c>
      <c r="K942" s="10">
        <v>0</v>
      </c>
      <c r="L942" s="10">
        <v>0</v>
      </c>
      <c r="M942" s="10">
        <v>0</v>
      </c>
      <c r="N942" s="10" t="s">
        <v>761</v>
      </c>
      <c r="O942" s="10" t="s">
        <v>1399</v>
      </c>
      <c r="P942" s="105" t="e">
        <f t="shared" si="14"/>
        <v>#DIV/0!</v>
      </c>
    </row>
    <row r="943" spans="1:16">
      <c r="A943" s="10" t="s">
        <v>635</v>
      </c>
      <c r="B943" s="10">
        <v>4504814</v>
      </c>
      <c r="C943" s="10" t="s">
        <v>759</v>
      </c>
      <c r="D943" s="10" t="s">
        <v>760</v>
      </c>
      <c r="E943" s="10">
        <v>0</v>
      </c>
      <c r="F943" s="10">
        <v>0</v>
      </c>
      <c r="G943" s="10">
        <v>0</v>
      </c>
      <c r="H943" s="10">
        <v>0</v>
      </c>
      <c r="I943" s="10" t="s">
        <v>21</v>
      </c>
      <c r="J943" s="10">
        <v>0</v>
      </c>
      <c r="K943" s="10">
        <v>0</v>
      </c>
      <c r="L943" s="10">
        <v>0</v>
      </c>
      <c r="M943" s="10">
        <v>0</v>
      </c>
      <c r="N943" s="10" t="s">
        <v>761</v>
      </c>
      <c r="O943" s="10" t="s">
        <v>1400</v>
      </c>
      <c r="P943" s="105" t="e">
        <f t="shared" si="14"/>
        <v>#DIV/0!</v>
      </c>
    </row>
    <row r="944" spans="1:16">
      <c r="A944" s="10" t="s">
        <v>635</v>
      </c>
      <c r="B944" s="10">
        <v>4504815</v>
      </c>
      <c r="C944" s="10" t="s">
        <v>759</v>
      </c>
      <c r="D944" s="10" t="s">
        <v>760</v>
      </c>
      <c r="E944" s="10">
        <v>0</v>
      </c>
      <c r="F944" s="10">
        <v>0</v>
      </c>
      <c r="G944" s="10">
        <v>0</v>
      </c>
      <c r="H944" s="10">
        <v>0</v>
      </c>
      <c r="I944" s="10" t="s">
        <v>21</v>
      </c>
      <c r="J944" s="10">
        <v>0</v>
      </c>
      <c r="K944" s="10">
        <v>0</v>
      </c>
      <c r="L944" s="10">
        <v>0</v>
      </c>
      <c r="M944" s="10">
        <v>0</v>
      </c>
      <c r="N944" s="10" t="s">
        <v>761</v>
      </c>
      <c r="O944" s="10" t="s">
        <v>1401</v>
      </c>
      <c r="P944" s="105" t="e">
        <f t="shared" si="14"/>
        <v>#DIV/0!</v>
      </c>
    </row>
    <row r="945" spans="1:16">
      <c r="A945" s="10" t="s">
        <v>635</v>
      </c>
      <c r="B945" s="10">
        <v>4504845</v>
      </c>
      <c r="C945" s="10" t="s">
        <v>759</v>
      </c>
      <c r="D945" s="10" t="s">
        <v>760</v>
      </c>
      <c r="E945" s="10">
        <v>0</v>
      </c>
      <c r="F945" s="10">
        <v>0</v>
      </c>
      <c r="G945" s="10">
        <v>0</v>
      </c>
      <c r="H945" s="10">
        <v>0</v>
      </c>
      <c r="I945" s="10" t="s">
        <v>37</v>
      </c>
      <c r="J945" s="10">
        <v>0</v>
      </c>
      <c r="K945" s="10">
        <v>0</v>
      </c>
      <c r="L945" s="10">
        <v>0</v>
      </c>
      <c r="M945" s="10">
        <v>0</v>
      </c>
      <c r="N945" s="10" t="s">
        <v>761</v>
      </c>
      <c r="O945" s="10" t="s">
        <v>703</v>
      </c>
      <c r="P945" s="105" t="e">
        <f t="shared" si="14"/>
        <v>#DIV/0!</v>
      </c>
    </row>
    <row r="946" spans="1:16">
      <c r="A946" s="10" t="s">
        <v>635</v>
      </c>
      <c r="B946" s="10">
        <v>4504846</v>
      </c>
      <c r="C946" s="10" t="s">
        <v>759</v>
      </c>
      <c r="D946" s="10" t="s">
        <v>760</v>
      </c>
      <c r="E946" s="10">
        <v>50.6</v>
      </c>
      <c r="F946" s="10">
        <v>317.52</v>
      </c>
      <c r="G946" s="10">
        <v>-50</v>
      </c>
      <c r="H946" s="10">
        <v>318.12</v>
      </c>
      <c r="I946" s="10" t="s">
        <v>37</v>
      </c>
      <c r="J946" s="10">
        <v>206.95</v>
      </c>
      <c r="K946" s="103">
        <v>1293.36</v>
      </c>
      <c r="L946" s="10">
        <v>-204.19</v>
      </c>
      <c r="M946" s="103">
        <v>1296.12</v>
      </c>
      <c r="N946" s="10" t="s">
        <v>761</v>
      </c>
      <c r="O946" s="10" t="s">
        <v>595</v>
      </c>
      <c r="P946" s="105">
        <f t="shared" si="14"/>
        <v>4.07431158053565</v>
      </c>
    </row>
    <row r="947" spans="1:16">
      <c r="A947" s="10" t="s">
        <v>635</v>
      </c>
      <c r="B947" s="10">
        <v>4504865</v>
      </c>
      <c r="C947" s="10" t="s">
        <v>759</v>
      </c>
      <c r="D947" s="10" t="s">
        <v>760</v>
      </c>
      <c r="E947" s="10">
        <v>0</v>
      </c>
      <c r="F947" s="10">
        <v>0</v>
      </c>
      <c r="G947" s="10">
        <v>0</v>
      </c>
      <c r="H947" s="10">
        <v>0</v>
      </c>
      <c r="I947" s="10" t="s">
        <v>37</v>
      </c>
      <c r="J947" s="10">
        <v>0</v>
      </c>
      <c r="K947" s="10">
        <v>0</v>
      </c>
      <c r="L947" s="10">
        <v>0</v>
      </c>
      <c r="M947" s="10">
        <v>0</v>
      </c>
      <c r="N947" s="10" t="s">
        <v>761</v>
      </c>
      <c r="O947" s="10" t="s">
        <v>1402</v>
      </c>
      <c r="P947" s="105" t="e">
        <f t="shared" si="14"/>
        <v>#DIV/0!</v>
      </c>
    </row>
    <row r="948" spans="1:16">
      <c r="A948" s="10" t="s">
        <v>635</v>
      </c>
      <c r="B948" s="10">
        <v>4504874</v>
      </c>
      <c r="C948" s="10" t="s">
        <v>759</v>
      </c>
      <c r="D948" s="10" t="s">
        <v>760</v>
      </c>
      <c r="E948" s="10">
        <v>0</v>
      </c>
      <c r="F948" s="10">
        <v>0</v>
      </c>
      <c r="G948" s="10">
        <v>0</v>
      </c>
      <c r="H948" s="10">
        <v>0</v>
      </c>
      <c r="I948" s="10" t="s">
        <v>37</v>
      </c>
      <c r="J948" s="10">
        <v>0</v>
      </c>
      <c r="K948" s="10">
        <v>0</v>
      </c>
      <c r="L948" s="10">
        <v>0</v>
      </c>
      <c r="M948" s="10">
        <v>0</v>
      </c>
      <c r="N948" s="10" t="s">
        <v>761</v>
      </c>
      <c r="O948" s="10" t="s">
        <v>704</v>
      </c>
      <c r="P948" s="105" t="e">
        <f t="shared" si="14"/>
        <v>#DIV/0!</v>
      </c>
    </row>
    <row r="949" spans="1:16">
      <c r="A949" s="10" t="s">
        <v>635</v>
      </c>
      <c r="B949" s="10">
        <v>4504879</v>
      </c>
      <c r="C949" s="10" t="s">
        <v>759</v>
      </c>
      <c r="D949" s="10" t="s">
        <v>760</v>
      </c>
      <c r="E949" s="10">
        <v>0</v>
      </c>
      <c r="F949" s="10">
        <v>0</v>
      </c>
      <c r="G949" s="10">
        <v>0</v>
      </c>
      <c r="H949" s="10">
        <v>0</v>
      </c>
      <c r="I949" s="10" t="s">
        <v>30</v>
      </c>
      <c r="J949" s="10">
        <v>0</v>
      </c>
      <c r="K949" s="10">
        <v>0</v>
      </c>
      <c r="L949" s="10">
        <v>0</v>
      </c>
      <c r="M949" s="10">
        <v>0</v>
      </c>
      <c r="N949" s="10" t="s">
        <v>761</v>
      </c>
      <c r="O949" s="10" t="s">
        <v>1403</v>
      </c>
      <c r="P949" s="105" t="e">
        <f t="shared" si="14"/>
        <v>#DIV/0!</v>
      </c>
    </row>
    <row r="950" spans="1:16">
      <c r="A950" s="10" t="s">
        <v>635</v>
      </c>
      <c r="B950" s="10">
        <v>4505163</v>
      </c>
      <c r="C950" s="10" t="s">
        <v>759</v>
      </c>
      <c r="D950" s="10" t="s">
        <v>760</v>
      </c>
      <c r="E950" s="10">
        <v>21</v>
      </c>
      <c r="F950" s="10">
        <v>72</v>
      </c>
      <c r="G950" s="10">
        <v>0</v>
      </c>
      <c r="H950" s="10">
        <v>93</v>
      </c>
      <c r="I950" s="10" t="s">
        <v>30</v>
      </c>
      <c r="J950" s="10">
        <v>346.92</v>
      </c>
      <c r="K950" s="103">
        <v>1202.89</v>
      </c>
      <c r="L950" s="10">
        <v>0</v>
      </c>
      <c r="M950" s="103">
        <v>1549.81</v>
      </c>
      <c r="N950" s="10" t="s">
        <v>761</v>
      </c>
      <c r="O950" s="10" t="s">
        <v>117</v>
      </c>
      <c r="P950" s="105">
        <f t="shared" si="14"/>
        <v>16.664623655914</v>
      </c>
    </row>
    <row r="951" spans="1:16">
      <c r="A951" s="10" t="s">
        <v>635</v>
      </c>
      <c r="B951" s="10">
        <v>4505392</v>
      </c>
      <c r="C951" s="10" t="s">
        <v>759</v>
      </c>
      <c r="D951" s="10" t="s">
        <v>760</v>
      </c>
      <c r="E951" s="10">
        <v>0</v>
      </c>
      <c r="F951" s="10">
        <v>0</v>
      </c>
      <c r="G951" s="10">
        <v>0</v>
      </c>
      <c r="H951" s="10">
        <v>0</v>
      </c>
      <c r="I951" s="10" t="s">
        <v>21</v>
      </c>
      <c r="J951" s="10">
        <v>0</v>
      </c>
      <c r="K951" s="10">
        <v>0</v>
      </c>
      <c r="L951" s="10">
        <v>0</v>
      </c>
      <c r="M951" s="10">
        <v>0</v>
      </c>
      <c r="N951" s="10" t="s">
        <v>761</v>
      </c>
      <c r="O951" s="10" t="s">
        <v>1404</v>
      </c>
      <c r="P951" s="105" t="e">
        <f t="shared" si="14"/>
        <v>#DIV/0!</v>
      </c>
    </row>
    <row r="952" spans="1:16">
      <c r="A952" s="10" t="s">
        <v>635</v>
      </c>
      <c r="B952" s="10">
        <v>4505395</v>
      </c>
      <c r="C952" s="10" t="s">
        <v>759</v>
      </c>
      <c r="D952" s="10" t="s">
        <v>760</v>
      </c>
      <c r="E952" s="103">
        <v>2300</v>
      </c>
      <c r="F952" s="10">
        <v>0</v>
      </c>
      <c r="G952" s="10">
        <v>0</v>
      </c>
      <c r="H952" s="103">
        <v>2300</v>
      </c>
      <c r="I952" s="10" t="s">
        <v>21</v>
      </c>
      <c r="J952" s="10">
        <v>39.16</v>
      </c>
      <c r="K952" s="10">
        <v>0</v>
      </c>
      <c r="L952" s="10">
        <v>0</v>
      </c>
      <c r="M952" s="10">
        <v>39.16</v>
      </c>
      <c r="N952" s="10" t="s">
        <v>761</v>
      </c>
      <c r="O952" s="10" t="s">
        <v>354</v>
      </c>
      <c r="P952" s="105">
        <f t="shared" si="14"/>
        <v>0.0170260869565217</v>
      </c>
    </row>
    <row r="953" spans="1:16">
      <c r="A953" s="10" t="s">
        <v>635</v>
      </c>
      <c r="B953" s="10">
        <v>4505396</v>
      </c>
      <c r="C953" s="10" t="s">
        <v>759</v>
      </c>
      <c r="D953" s="10" t="s">
        <v>760</v>
      </c>
      <c r="E953" s="103">
        <v>2300</v>
      </c>
      <c r="F953" s="10">
        <v>0</v>
      </c>
      <c r="G953" s="10">
        <v>0</v>
      </c>
      <c r="H953" s="103">
        <v>2300</v>
      </c>
      <c r="I953" s="10" t="s">
        <v>21</v>
      </c>
      <c r="J953" s="10">
        <v>29.99</v>
      </c>
      <c r="K953" s="10">
        <v>0</v>
      </c>
      <c r="L953" s="10">
        <v>0</v>
      </c>
      <c r="M953" s="10">
        <v>29.99</v>
      </c>
      <c r="N953" s="10" t="s">
        <v>761</v>
      </c>
      <c r="O953" s="10" t="s">
        <v>355</v>
      </c>
      <c r="P953" s="105">
        <f t="shared" si="14"/>
        <v>0.0130391304347826</v>
      </c>
    </row>
    <row r="954" spans="1:16">
      <c r="A954" s="10" t="s">
        <v>635</v>
      </c>
      <c r="B954" s="10">
        <v>4505397</v>
      </c>
      <c r="C954" s="10" t="s">
        <v>759</v>
      </c>
      <c r="D954" s="10" t="s">
        <v>760</v>
      </c>
      <c r="E954" s="103">
        <v>3000</v>
      </c>
      <c r="F954" s="103">
        <v>4000</v>
      </c>
      <c r="G954" s="10">
        <v>0</v>
      </c>
      <c r="H954" s="103">
        <v>7000</v>
      </c>
      <c r="I954" s="10" t="s">
        <v>21</v>
      </c>
      <c r="J954" s="10">
        <v>145.5</v>
      </c>
      <c r="K954" s="10">
        <v>194</v>
      </c>
      <c r="L954" s="10">
        <v>0</v>
      </c>
      <c r="M954" s="10">
        <v>339.5</v>
      </c>
      <c r="N954" s="10" t="s">
        <v>761</v>
      </c>
      <c r="O954" s="10" t="s">
        <v>154</v>
      </c>
      <c r="P954" s="105">
        <f t="shared" si="14"/>
        <v>0.0485</v>
      </c>
    </row>
    <row r="955" spans="1:16">
      <c r="A955" s="10" t="s">
        <v>635</v>
      </c>
      <c r="B955" s="10">
        <v>4505398</v>
      </c>
      <c r="C955" s="10" t="s">
        <v>759</v>
      </c>
      <c r="D955" s="10" t="s">
        <v>760</v>
      </c>
      <c r="E955" s="103">
        <v>3000</v>
      </c>
      <c r="F955" s="103">
        <v>4000</v>
      </c>
      <c r="G955" s="10">
        <v>0</v>
      </c>
      <c r="H955" s="103">
        <v>7000</v>
      </c>
      <c r="I955" s="10" t="s">
        <v>21</v>
      </c>
      <c r="J955" s="10">
        <v>89.7</v>
      </c>
      <c r="K955" s="10">
        <v>119.6</v>
      </c>
      <c r="L955" s="10">
        <v>0</v>
      </c>
      <c r="M955" s="10">
        <v>209.3</v>
      </c>
      <c r="N955" s="10" t="s">
        <v>761</v>
      </c>
      <c r="O955" s="10" t="s">
        <v>217</v>
      </c>
      <c r="P955" s="105">
        <f t="shared" si="14"/>
        <v>0.0299</v>
      </c>
    </row>
    <row r="956" spans="1:16">
      <c r="A956" s="10" t="s">
        <v>635</v>
      </c>
      <c r="B956" s="10">
        <v>4505399</v>
      </c>
      <c r="C956" s="10" t="s">
        <v>759</v>
      </c>
      <c r="D956" s="10" t="s">
        <v>760</v>
      </c>
      <c r="E956" s="10">
        <v>0</v>
      </c>
      <c r="F956" s="10">
        <v>0</v>
      </c>
      <c r="G956" s="10">
        <v>0</v>
      </c>
      <c r="H956" s="10">
        <v>0</v>
      </c>
      <c r="I956" s="10" t="s">
        <v>21</v>
      </c>
      <c r="J956" s="10">
        <v>0</v>
      </c>
      <c r="K956" s="10">
        <v>0</v>
      </c>
      <c r="L956" s="10">
        <v>0</v>
      </c>
      <c r="M956" s="10">
        <v>0</v>
      </c>
      <c r="N956" s="10" t="s">
        <v>761</v>
      </c>
      <c r="O956" s="10" t="s">
        <v>1405</v>
      </c>
      <c r="P956" s="105" t="e">
        <f t="shared" si="14"/>
        <v>#DIV/0!</v>
      </c>
    </row>
    <row r="957" spans="1:16">
      <c r="A957" s="10" t="s">
        <v>635</v>
      </c>
      <c r="B957" s="10">
        <v>4505448</v>
      </c>
      <c r="C957" s="10" t="s">
        <v>759</v>
      </c>
      <c r="D957" s="10" t="s">
        <v>760</v>
      </c>
      <c r="E957" s="10">
        <v>1</v>
      </c>
      <c r="F957" s="10">
        <v>0</v>
      </c>
      <c r="G957" s="10">
        <v>0</v>
      </c>
      <c r="H957" s="10">
        <v>1</v>
      </c>
      <c r="I957" s="10" t="s">
        <v>33</v>
      </c>
      <c r="J957" s="10">
        <v>29.25</v>
      </c>
      <c r="K957" s="10">
        <v>0</v>
      </c>
      <c r="L957" s="10">
        <v>0</v>
      </c>
      <c r="M957" s="10">
        <v>29.25</v>
      </c>
      <c r="N957" s="10" t="s">
        <v>761</v>
      </c>
      <c r="O957" s="10" t="s">
        <v>48</v>
      </c>
      <c r="P957" s="105">
        <f t="shared" si="14"/>
        <v>29.25</v>
      </c>
    </row>
    <row r="958" spans="1:16">
      <c r="A958" s="10" t="s">
        <v>635</v>
      </c>
      <c r="B958" s="10">
        <v>4505451</v>
      </c>
      <c r="C958" s="10" t="s">
        <v>759</v>
      </c>
      <c r="D958" s="10" t="s">
        <v>760</v>
      </c>
      <c r="E958" s="10">
        <v>1</v>
      </c>
      <c r="F958" s="10">
        <v>0</v>
      </c>
      <c r="G958" s="10">
        <v>0</v>
      </c>
      <c r="H958" s="10">
        <v>1</v>
      </c>
      <c r="I958" s="10" t="s">
        <v>33</v>
      </c>
      <c r="J958" s="10">
        <v>57.31</v>
      </c>
      <c r="K958" s="10">
        <v>0</v>
      </c>
      <c r="L958" s="10">
        <v>0</v>
      </c>
      <c r="M958" s="10">
        <v>57.31</v>
      </c>
      <c r="N958" s="10" t="s">
        <v>761</v>
      </c>
      <c r="O958" s="10" t="s">
        <v>47</v>
      </c>
      <c r="P958" s="105">
        <f t="shared" si="14"/>
        <v>57.31</v>
      </c>
    </row>
    <row r="959" spans="1:16">
      <c r="A959" s="10" t="s">
        <v>635</v>
      </c>
      <c r="B959" s="10">
        <v>4505469</v>
      </c>
      <c r="C959" s="10" t="s">
        <v>759</v>
      </c>
      <c r="D959" s="10" t="s">
        <v>760</v>
      </c>
      <c r="E959" s="10">
        <v>0</v>
      </c>
      <c r="F959" s="10">
        <v>0</v>
      </c>
      <c r="G959" s="10">
        <v>0</v>
      </c>
      <c r="H959" s="10">
        <v>0</v>
      </c>
      <c r="I959" s="10" t="s">
        <v>21</v>
      </c>
      <c r="J959" s="10">
        <v>0</v>
      </c>
      <c r="K959" s="10">
        <v>0</v>
      </c>
      <c r="L959" s="10">
        <v>0</v>
      </c>
      <c r="M959" s="10">
        <v>0</v>
      </c>
      <c r="N959" s="10" t="s">
        <v>761</v>
      </c>
      <c r="O959" s="10" t="s">
        <v>1406</v>
      </c>
      <c r="P959" s="105" t="e">
        <f t="shared" si="14"/>
        <v>#DIV/0!</v>
      </c>
    </row>
    <row r="960" spans="1:16">
      <c r="A960" s="10" t="s">
        <v>635</v>
      </c>
      <c r="B960" s="10">
        <v>4505490</v>
      </c>
      <c r="C960" s="10" t="s">
        <v>759</v>
      </c>
      <c r="D960" s="10" t="s">
        <v>760</v>
      </c>
      <c r="E960" s="10">
        <v>0</v>
      </c>
      <c r="F960" s="10">
        <v>0</v>
      </c>
      <c r="G960" s="10">
        <v>0</v>
      </c>
      <c r="H960" s="10">
        <v>0</v>
      </c>
      <c r="I960" s="10" t="s">
        <v>37</v>
      </c>
      <c r="J960" s="10">
        <v>0</v>
      </c>
      <c r="K960" s="10">
        <v>0</v>
      </c>
      <c r="L960" s="10">
        <v>0</v>
      </c>
      <c r="M960" s="10">
        <v>0</v>
      </c>
      <c r="N960" s="10" t="s">
        <v>761</v>
      </c>
      <c r="O960" s="10" t="s">
        <v>1407</v>
      </c>
      <c r="P960" s="105" t="e">
        <f t="shared" si="14"/>
        <v>#DIV/0!</v>
      </c>
    </row>
    <row r="961" spans="1:16">
      <c r="A961" s="10" t="s">
        <v>635</v>
      </c>
      <c r="B961" s="10">
        <v>4505516</v>
      </c>
      <c r="C961" s="10" t="s">
        <v>759</v>
      </c>
      <c r="D961" s="10" t="s">
        <v>760</v>
      </c>
      <c r="E961" s="10">
        <v>0</v>
      </c>
      <c r="F961" s="10">
        <v>0</v>
      </c>
      <c r="G961" s="10">
        <v>0</v>
      </c>
      <c r="H961" s="10">
        <v>0</v>
      </c>
      <c r="I961" s="10" t="s">
        <v>643</v>
      </c>
      <c r="J961" s="10">
        <v>0</v>
      </c>
      <c r="K961" s="10">
        <v>0</v>
      </c>
      <c r="L961" s="10">
        <v>0</v>
      </c>
      <c r="M961" s="10">
        <v>0</v>
      </c>
      <c r="N961" s="10" t="s">
        <v>761</v>
      </c>
      <c r="O961" s="10" t="s">
        <v>1408</v>
      </c>
      <c r="P961" s="105" t="e">
        <f t="shared" si="14"/>
        <v>#DIV/0!</v>
      </c>
    </row>
    <row r="962" spans="1:16">
      <c r="A962" s="10" t="s">
        <v>635</v>
      </c>
      <c r="B962" s="10">
        <v>4505678</v>
      </c>
      <c r="C962" s="10" t="s">
        <v>759</v>
      </c>
      <c r="D962" s="10" t="s">
        <v>760</v>
      </c>
      <c r="E962" s="10">
        <v>0</v>
      </c>
      <c r="F962" s="10">
        <v>0</v>
      </c>
      <c r="G962" s="10">
        <v>0</v>
      </c>
      <c r="H962" s="10">
        <v>0</v>
      </c>
      <c r="I962" s="10" t="s">
        <v>37</v>
      </c>
      <c r="J962" s="10">
        <v>0</v>
      </c>
      <c r="K962" s="10">
        <v>0</v>
      </c>
      <c r="L962" s="10">
        <v>0</v>
      </c>
      <c r="M962" s="10">
        <v>0</v>
      </c>
      <c r="N962" s="10" t="s">
        <v>761</v>
      </c>
      <c r="O962" s="10" t="s">
        <v>1409</v>
      </c>
      <c r="P962" s="105" t="e">
        <f t="shared" si="14"/>
        <v>#DIV/0!</v>
      </c>
    </row>
    <row r="963" spans="1:16">
      <c r="A963" s="10" t="s">
        <v>635</v>
      </c>
      <c r="B963" s="10">
        <v>4505756</v>
      </c>
      <c r="C963" s="10" t="s">
        <v>759</v>
      </c>
      <c r="D963" s="10" t="s">
        <v>760</v>
      </c>
      <c r="E963" s="10">
        <v>0</v>
      </c>
      <c r="F963" s="10">
        <v>391.45</v>
      </c>
      <c r="G963" s="10">
        <v>0</v>
      </c>
      <c r="H963" s="10">
        <v>391.45</v>
      </c>
      <c r="I963" s="10" t="s">
        <v>37</v>
      </c>
      <c r="J963" s="10">
        <v>0</v>
      </c>
      <c r="K963" s="10">
        <v>665.47</v>
      </c>
      <c r="L963" s="10">
        <v>0</v>
      </c>
      <c r="M963" s="10">
        <v>665.47</v>
      </c>
      <c r="N963" s="10" t="s">
        <v>761</v>
      </c>
      <c r="O963" s="10" t="s">
        <v>390</v>
      </c>
      <c r="P963" s="105">
        <f t="shared" ref="P963:P1026" si="15">M963/H963</f>
        <v>1.70001277302337</v>
      </c>
    </row>
    <row r="964" spans="1:16">
      <c r="A964" s="10" t="s">
        <v>635</v>
      </c>
      <c r="B964" s="10">
        <v>4505862</v>
      </c>
      <c r="C964" s="10" t="s">
        <v>759</v>
      </c>
      <c r="D964" s="10" t="s">
        <v>760</v>
      </c>
      <c r="E964" s="10">
        <v>0</v>
      </c>
      <c r="F964" s="10">
        <v>0</v>
      </c>
      <c r="G964" s="10">
        <v>0</v>
      </c>
      <c r="H964" s="10">
        <v>0</v>
      </c>
      <c r="I964" s="10" t="s">
        <v>33</v>
      </c>
      <c r="J964" s="10">
        <v>0</v>
      </c>
      <c r="K964" s="10">
        <v>0</v>
      </c>
      <c r="L964" s="10">
        <v>0</v>
      </c>
      <c r="M964" s="10">
        <v>0</v>
      </c>
      <c r="N964" s="10" t="s">
        <v>761</v>
      </c>
      <c r="O964" s="10" t="s">
        <v>1410</v>
      </c>
      <c r="P964" s="105" t="e">
        <f t="shared" si="15"/>
        <v>#DIV/0!</v>
      </c>
    </row>
    <row r="965" spans="1:16">
      <c r="A965" s="10" t="s">
        <v>635</v>
      </c>
      <c r="B965" s="10">
        <v>4505863</v>
      </c>
      <c r="C965" s="10" t="s">
        <v>759</v>
      </c>
      <c r="D965" s="10" t="s">
        <v>760</v>
      </c>
      <c r="E965" s="10">
        <v>0</v>
      </c>
      <c r="F965" s="10">
        <v>0</v>
      </c>
      <c r="G965" s="10">
        <v>0</v>
      </c>
      <c r="H965" s="10">
        <v>0</v>
      </c>
      <c r="I965" s="10" t="s">
        <v>33</v>
      </c>
      <c r="J965" s="10">
        <v>0</v>
      </c>
      <c r="K965" s="10">
        <v>0</v>
      </c>
      <c r="L965" s="10">
        <v>0</v>
      </c>
      <c r="M965" s="10">
        <v>0</v>
      </c>
      <c r="N965" s="10" t="s">
        <v>761</v>
      </c>
      <c r="O965" s="10" t="s">
        <v>1411</v>
      </c>
      <c r="P965" s="105" t="e">
        <f t="shared" si="15"/>
        <v>#DIV/0!</v>
      </c>
    </row>
    <row r="966" spans="1:16">
      <c r="A966" s="10" t="s">
        <v>635</v>
      </c>
      <c r="B966" s="10">
        <v>4505864</v>
      </c>
      <c r="C966" s="10" t="s">
        <v>759</v>
      </c>
      <c r="D966" s="10" t="s">
        <v>760</v>
      </c>
      <c r="E966" s="10">
        <v>900</v>
      </c>
      <c r="F966" s="103">
        <v>1800</v>
      </c>
      <c r="G966" s="10">
        <v>0</v>
      </c>
      <c r="H966" s="103">
        <v>2700</v>
      </c>
      <c r="I966" s="10" t="s">
        <v>21</v>
      </c>
      <c r="J966" s="10">
        <v>164.66</v>
      </c>
      <c r="K966" s="10">
        <v>330</v>
      </c>
      <c r="L966" s="10">
        <v>0</v>
      </c>
      <c r="M966" s="10">
        <v>494.66</v>
      </c>
      <c r="N966" s="10" t="s">
        <v>761</v>
      </c>
      <c r="O966" s="10" t="s">
        <v>132</v>
      </c>
      <c r="P966" s="105">
        <f t="shared" si="15"/>
        <v>0.183207407407407</v>
      </c>
    </row>
    <row r="967" spans="1:16">
      <c r="A967" s="10" t="s">
        <v>635</v>
      </c>
      <c r="B967" s="10">
        <v>4505865</v>
      </c>
      <c r="C967" s="10" t="s">
        <v>759</v>
      </c>
      <c r="D967" s="10" t="s">
        <v>760</v>
      </c>
      <c r="E967" s="10">
        <v>900</v>
      </c>
      <c r="F967" s="103">
        <v>2100</v>
      </c>
      <c r="G967" s="10">
        <v>0</v>
      </c>
      <c r="H967" s="103">
        <v>3000</v>
      </c>
      <c r="I967" s="10" t="s">
        <v>21</v>
      </c>
      <c r="J967" s="10">
        <v>90</v>
      </c>
      <c r="K967" s="10">
        <v>210</v>
      </c>
      <c r="L967" s="10">
        <v>0</v>
      </c>
      <c r="M967" s="10">
        <v>300</v>
      </c>
      <c r="N967" s="10" t="s">
        <v>761</v>
      </c>
      <c r="O967" s="10" t="s">
        <v>165</v>
      </c>
      <c r="P967" s="105">
        <f t="shared" si="15"/>
        <v>0.1</v>
      </c>
    </row>
    <row r="968" spans="1:16">
      <c r="A968" s="10" t="s">
        <v>635</v>
      </c>
      <c r="B968" s="10">
        <v>4505866</v>
      </c>
      <c r="C968" s="10" t="s">
        <v>759</v>
      </c>
      <c r="D968" s="10" t="s">
        <v>760</v>
      </c>
      <c r="E968" s="10">
        <v>0</v>
      </c>
      <c r="F968" s="10">
        <v>0</v>
      </c>
      <c r="G968" s="10">
        <v>0</v>
      </c>
      <c r="H968" s="10">
        <v>0</v>
      </c>
      <c r="I968" s="10" t="s">
        <v>21</v>
      </c>
      <c r="J968" s="10">
        <v>0</v>
      </c>
      <c r="K968" s="10">
        <v>0</v>
      </c>
      <c r="L968" s="10">
        <v>0</v>
      </c>
      <c r="M968" s="10">
        <v>0</v>
      </c>
      <c r="N968" s="10" t="s">
        <v>761</v>
      </c>
      <c r="O968" s="10" t="s">
        <v>1412</v>
      </c>
      <c r="P968" s="105" t="e">
        <f t="shared" si="15"/>
        <v>#DIV/0!</v>
      </c>
    </row>
    <row r="969" spans="1:16">
      <c r="A969" s="10" t="s">
        <v>635</v>
      </c>
      <c r="B969" s="10">
        <v>4505867</v>
      </c>
      <c r="C969" s="10" t="s">
        <v>759</v>
      </c>
      <c r="D969" s="10" t="s">
        <v>760</v>
      </c>
      <c r="E969" s="10">
        <v>0</v>
      </c>
      <c r="F969" s="10">
        <v>0</v>
      </c>
      <c r="G969" s="10">
        <v>0</v>
      </c>
      <c r="H969" s="10">
        <v>0</v>
      </c>
      <c r="I969" s="10" t="s">
        <v>21</v>
      </c>
      <c r="J969" s="10">
        <v>0</v>
      </c>
      <c r="K969" s="10">
        <v>0</v>
      </c>
      <c r="L969" s="10">
        <v>0</v>
      </c>
      <c r="M969" s="10">
        <v>0</v>
      </c>
      <c r="N969" s="10" t="s">
        <v>761</v>
      </c>
      <c r="O969" s="10" t="s">
        <v>1413</v>
      </c>
      <c r="P969" s="105" t="e">
        <f t="shared" si="15"/>
        <v>#DIV/0!</v>
      </c>
    </row>
    <row r="970" spans="1:16">
      <c r="A970" s="10" t="s">
        <v>635</v>
      </c>
      <c r="B970" s="10">
        <v>4505868</v>
      </c>
      <c r="C970" s="10" t="s">
        <v>759</v>
      </c>
      <c r="D970" s="10" t="s">
        <v>760</v>
      </c>
      <c r="E970" s="10">
        <v>0</v>
      </c>
      <c r="F970" s="10">
        <v>0</v>
      </c>
      <c r="G970" s="10">
        <v>0</v>
      </c>
      <c r="H970" s="10">
        <v>0</v>
      </c>
      <c r="I970" s="10" t="s">
        <v>26</v>
      </c>
      <c r="J970" s="10">
        <v>0</v>
      </c>
      <c r="K970" s="10">
        <v>0</v>
      </c>
      <c r="L970" s="10">
        <v>0</v>
      </c>
      <c r="M970" s="10">
        <v>0</v>
      </c>
      <c r="N970" s="10" t="s">
        <v>761</v>
      </c>
      <c r="O970" s="10" t="s">
        <v>1414</v>
      </c>
      <c r="P970" s="105" t="e">
        <f t="shared" si="15"/>
        <v>#DIV/0!</v>
      </c>
    </row>
    <row r="971" spans="1:16">
      <c r="A971" s="10" t="s">
        <v>635</v>
      </c>
      <c r="B971" s="10">
        <v>4505883</v>
      </c>
      <c r="C971" s="10" t="s">
        <v>759</v>
      </c>
      <c r="D971" s="10" t="s">
        <v>760</v>
      </c>
      <c r="E971" s="10">
        <v>0</v>
      </c>
      <c r="F971" s="10">
        <v>0</v>
      </c>
      <c r="G971" s="10">
        <v>0</v>
      </c>
      <c r="H971" s="10">
        <v>0</v>
      </c>
      <c r="I971" s="10" t="s">
        <v>21</v>
      </c>
      <c r="J971" s="10">
        <v>0</v>
      </c>
      <c r="K971" s="10">
        <v>0</v>
      </c>
      <c r="L971" s="10">
        <v>0</v>
      </c>
      <c r="M971" s="10">
        <v>0</v>
      </c>
      <c r="N971" s="10" t="s">
        <v>761</v>
      </c>
      <c r="O971" s="10" t="s">
        <v>1415</v>
      </c>
      <c r="P971" s="105" t="e">
        <f t="shared" si="15"/>
        <v>#DIV/0!</v>
      </c>
    </row>
    <row r="972" spans="1:16">
      <c r="A972" s="10" t="s">
        <v>635</v>
      </c>
      <c r="B972" s="10">
        <v>4505920</v>
      </c>
      <c r="C972" s="10" t="s">
        <v>759</v>
      </c>
      <c r="D972" s="10" t="s">
        <v>760</v>
      </c>
      <c r="E972" s="10">
        <v>20</v>
      </c>
      <c r="F972" s="10">
        <v>0</v>
      </c>
      <c r="G972" s="10">
        <v>0</v>
      </c>
      <c r="H972" s="10">
        <v>20</v>
      </c>
      <c r="I972" s="10" t="s">
        <v>45</v>
      </c>
      <c r="J972" s="10">
        <v>13.33</v>
      </c>
      <c r="K972" s="10">
        <v>0</v>
      </c>
      <c r="L972" s="10">
        <v>0</v>
      </c>
      <c r="M972" s="10">
        <v>13.33</v>
      </c>
      <c r="N972" s="10" t="s">
        <v>761</v>
      </c>
      <c r="O972" s="10" t="s">
        <v>425</v>
      </c>
      <c r="P972" s="105">
        <f t="shared" si="15"/>
        <v>0.6665</v>
      </c>
    </row>
    <row r="973" spans="1:16">
      <c r="A973" s="10" t="s">
        <v>635</v>
      </c>
      <c r="B973" s="10">
        <v>4505985</v>
      </c>
      <c r="C973" s="10" t="s">
        <v>759</v>
      </c>
      <c r="D973" s="10" t="s">
        <v>760</v>
      </c>
      <c r="E973" s="10">
        <v>0</v>
      </c>
      <c r="F973" s="10">
        <v>0</v>
      </c>
      <c r="G973" s="10">
        <v>0</v>
      </c>
      <c r="H973" s="10">
        <v>0</v>
      </c>
      <c r="I973" s="10" t="s">
        <v>74</v>
      </c>
      <c r="J973" s="10">
        <v>0</v>
      </c>
      <c r="K973" s="10">
        <v>0</v>
      </c>
      <c r="L973" s="10">
        <v>0</v>
      </c>
      <c r="M973" s="10">
        <v>0</v>
      </c>
      <c r="N973" s="10" t="s">
        <v>761</v>
      </c>
      <c r="O973" s="10" t="s">
        <v>705</v>
      </c>
      <c r="P973" s="105" t="e">
        <f t="shared" si="15"/>
        <v>#DIV/0!</v>
      </c>
    </row>
    <row r="974" spans="1:16">
      <c r="A974" s="10" t="s">
        <v>635</v>
      </c>
      <c r="B974" s="10">
        <v>4505987</v>
      </c>
      <c r="C974" s="10" t="s">
        <v>759</v>
      </c>
      <c r="D974" s="10" t="s">
        <v>760</v>
      </c>
      <c r="E974" s="10">
        <v>0</v>
      </c>
      <c r="F974" s="10">
        <v>0</v>
      </c>
      <c r="G974" s="10">
        <v>0</v>
      </c>
      <c r="H974" s="10">
        <v>0</v>
      </c>
      <c r="I974" s="10" t="s">
        <v>37</v>
      </c>
      <c r="J974" s="10">
        <v>0</v>
      </c>
      <c r="K974" s="10">
        <v>0</v>
      </c>
      <c r="L974" s="10">
        <v>0</v>
      </c>
      <c r="M974" s="10">
        <v>0</v>
      </c>
      <c r="N974" s="10" t="s">
        <v>761</v>
      </c>
      <c r="O974" s="10" t="s">
        <v>1416</v>
      </c>
      <c r="P974" s="105" t="e">
        <f t="shared" si="15"/>
        <v>#DIV/0!</v>
      </c>
    </row>
    <row r="975" spans="1:16">
      <c r="A975" s="10" t="s">
        <v>635</v>
      </c>
      <c r="B975" s="10">
        <v>4505988</v>
      </c>
      <c r="C975" s="10" t="s">
        <v>759</v>
      </c>
      <c r="D975" s="10" t="s">
        <v>760</v>
      </c>
      <c r="E975" s="10">
        <v>0</v>
      </c>
      <c r="F975" s="10">
        <v>0</v>
      </c>
      <c r="G975" s="10">
        <v>0</v>
      </c>
      <c r="H975" s="10">
        <v>0</v>
      </c>
      <c r="I975" s="10" t="s">
        <v>37</v>
      </c>
      <c r="J975" s="10">
        <v>0</v>
      </c>
      <c r="K975" s="10">
        <v>0</v>
      </c>
      <c r="L975" s="10">
        <v>0</v>
      </c>
      <c r="M975" s="10">
        <v>0</v>
      </c>
      <c r="N975" s="10" t="s">
        <v>761</v>
      </c>
      <c r="O975" s="10" t="s">
        <v>1417</v>
      </c>
      <c r="P975" s="105" t="e">
        <f t="shared" si="15"/>
        <v>#DIV/0!</v>
      </c>
    </row>
    <row r="976" spans="1:16">
      <c r="A976" s="10" t="s">
        <v>635</v>
      </c>
      <c r="B976" s="10">
        <v>4505989</v>
      </c>
      <c r="C976" s="10" t="s">
        <v>759</v>
      </c>
      <c r="D976" s="10" t="s">
        <v>760</v>
      </c>
      <c r="E976" s="10">
        <v>0</v>
      </c>
      <c r="F976" s="10">
        <v>0</v>
      </c>
      <c r="G976" s="10">
        <v>0</v>
      </c>
      <c r="H976" s="10">
        <v>0</v>
      </c>
      <c r="I976" s="10" t="s">
        <v>26</v>
      </c>
      <c r="J976" s="10">
        <v>0</v>
      </c>
      <c r="K976" s="10">
        <v>0</v>
      </c>
      <c r="L976" s="10">
        <v>0</v>
      </c>
      <c r="M976" s="10">
        <v>0</v>
      </c>
      <c r="N976" s="10" t="s">
        <v>761</v>
      </c>
      <c r="O976" s="10" t="s">
        <v>1418</v>
      </c>
      <c r="P976" s="105" t="e">
        <f t="shared" si="15"/>
        <v>#DIV/0!</v>
      </c>
    </row>
    <row r="977" spans="1:16">
      <c r="A977" s="10" t="s">
        <v>635</v>
      </c>
      <c r="B977" s="10">
        <v>4505990</v>
      </c>
      <c r="C977" s="10" t="s">
        <v>759</v>
      </c>
      <c r="D977" s="10" t="s">
        <v>760</v>
      </c>
      <c r="E977" s="10">
        <v>0</v>
      </c>
      <c r="F977" s="10">
        <v>0</v>
      </c>
      <c r="G977" s="10">
        <v>0</v>
      </c>
      <c r="H977" s="10">
        <v>0</v>
      </c>
      <c r="I977" s="10" t="s">
        <v>21</v>
      </c>
      <c r="J977" s="10">
        <v>0</v>
      </c>
      <c r="K977" s="10">
        <v>0</v>
      </c>
      <c r="L977" s="10">
        <v>0</v>
      </c>
      <c r="M977" s="10">
        <v>0</v>
      </c>
      <c r="N977" s="10" t="s">
        <v>761</v>
      </c>
      <c r="O977" s="10" t="s">
        <v>1419</v>
      </c>
      <c r="P977" s="105" t="e">
        <f t="shared" si="15"/>
        <v>#DIV/0!</v>
      </c>
    </row>
    <row r="978" spans="1:16">
      <c r="A978" s="10" t="s">
        <v>635</v>
      </c>
      <c r="B978" s="10">
        <v>4505991</v>
      </c>
      <c r="C978" s="10" t="s">
        <v>759</v>
      </c>
      <c r="D978" s="10" t="s">
        <v>760</v>
      </c>
      <c r="E978" s="10">
        <v>0</v>
      </c>
      <c r="F978" s="10">
        <v>0</v>
      </c>
      <c r="G978" s="10">
        <v>0</v>
      </c>
      <c r="H978" s="10">
        <v>0</v>
      </c>
      <c r="I978" s="10" t="s">
        <v>21</v>
      </c>
      <c r="J978" s="10">
        <v>0</v>
      </c>
      <c r="K978" s="10">
        <v>0</v>
      </c>
      <c r="L978" s="10">
        <v>0</v>
      </c>
      <c r="M978" s="10">
        <v>0</v>
      </c>
      <c r="N978" s="10" t="s">
        <v>761</v>
      </c>
      <c r="O978" s="10" t="s">
        <v>1420</v>
      </c>
      <c r="P978" s="105" t="e">
        <f t="shared" si="15"/>
        <v>#DIV/0!</v>
      </c>
    </row>
    <row r="979" spans="1:16">
      <c r="A979" s="10" t="s">
        <v>635</v>
      </c>
      <c r="B979" s="10">
        <v>4505992</v>
      </c>
      <c r="C979" s="10" t="s">
        <v>759</v>
      </c>
      <c r="D979" s="10" t="s">
        <v>760</v>
      </c>
      <c r="E979" s="10">
        <v>0</v>
      </c>
      <c r="F979" s="10">
        <v>68</v>
      </c>
      <c r="G979" s="10">
        <v>0</v>
      </c>
      <c r="H979" s="10">
        <v>68</v>
      </c>
      <c r="I979" s="10" t="s">
        <v>33</v>
      </c>
      <c r="J979" s="10">
        <v>0</v>
      </c>
      <c r="K979" s="10">
        <v>6.8</v>
      </c>
      <c r="L979" s="10">
        <v>0</v>
      </c>
      <c r="M979" s="10">
        <v>6.8</v>
      </c>
      <c r="N979" s="10" t="s">
        <v>761</v>
      </c>
      <c r="O979" s="10" t="s">
        <v>179</v>
      </c>
      <c r="P979" s="105">
        <f t="shared" si="15"/>
        <v>0.1</v>
      </c>
    </row>
    <row r="980" spans="1:16">
      <c r="A980" s="10" t="s">
        <v>635</v>
      </c>
      <c r="B980" s="10">
        <v>4506012</v>
      </c>
      <c r="C980" s="10" t="s">
        <v>759</v>
      </c>
      <c r="D980" s="10" t="s">
        <v>760</v>
      </c>
      <c r="E980" s="10">
        <v>0</v>
      </c>
      <c r="F980" s="10">
        <v>0</v>
      </c>
      <c r="G980" s="10">
        <v>0</v>
      </c>
      <c r="H980" s="10">
        <v>0</v>
      </c>
      <c r="I980" s="10" t="s">
        <v>21</v>
      </c>
      <c r="J980" s="10">
        <v>0</v>
      </c>
      <c r="K980" s="10">
        <v>0</v>
      </c>
      <c r="L980" s="10">
        <v>0</v>
      </c>
      <c r="M980" s="10">
        <v>0</v>
      </c>
      <c r="N980" s="10" t="s">
        <v>761</v>
      </c>
      <c r="O980" s="10" t="s">
        <v>1421</v>
      </c>
      <c r="P980" s="105" t="e">
        <f t="shared" si="15"/>
        <v>#DIV/0!</v>
      </c>
    </row>
    <row r="981" spans="1:16">
      <c r="A981" s="10" t="s">
        <v>635</v>
      </c>
      <c r="B981" s="10">
        <v>4506356</v>
      </c>
      <c r="C981" s="10" t="s">
        <v>759</v>
      </c>
      <c r="D981" s="10" t="s">
        <v>760</v>
      </c>
      <c r="E981" s="10">
        <v>0</v>
      </c>
      <c r="F981" s="10">
        <v>60</v>
      </c>
      <c r="G981" s="10">
        <v>0</v>
      </c>
      <c r="H981" s="10">
        <v>60</v>
      </c>
      <c r="I981" s="10" t="s">
        <v>74</v>
      </c>
      <c r="J981" s="10">
        <v>0</v>
      </c>
      <c r="K981" s="10">
        <v>240</v>
      </c>
      <c r="L981" s="10">
        <v>0</v>
      </c>
      <c r="M981" s="10">
        <v>240</v>
      </c>
      <c r="N981" s="10" t="s">
        <v>761</v>
      </c>
      <c r="O981" s="10" t="s">
        <v>485</v>
      </c>
      <c r="P981" s="105">
        <f t="shared" si="15"/>
        <v>4</v>
      </c>
    </row>
    <row r="982" spans="1:16">
      <c r="A982" s="10" t="s">
        <v>635</v>
      </c>
      <c r="B982" s="10">
        <v>4506357</v>
      </c>
      <c r="C982" s="10" t="s">
        <v>759</v>
      </c>
      <c r="D982" s="10" t="s">
        <v>760</v>
      </c>
      <c r="E982" s="10">
        <v>0</v>
      </c>
      <c r="F982" s="10">
        <v>0</v>
      </c>
      <c r="G982" s="10">
        <v>0</v>
      </c>
      <c r="H982" s="10">
        <v>0</v>
      </c>
      <c r="I982" s="10" t="s">
        <v>37</v>
      </c>
      <c r="J982" s="10">
        <v>0</v>
      </c>
      <c r="K982" s="10">
        <v>0</v>
      </c>
      <c r="L982" s="10">
        <v>0</v>
      </c>
      <c r="M982" s="10">
        <v>0</v>
      </c>
      <c r="N982" s="10" t="s">
        <v>761</v>
      </c>
      <c r="O982" s="10" t="s">
        <v>1422</v>
      </c>
      <c r="P982" s="105" t="e">
        <f t="shared" si="15"/>
        <v>#DIV/0!</v>
      </c>
    </row>
    <row r="983" spans="1:16">
      <c r="A983" s="10" t="s">
        <v>635</v>
      </c>
      <c r="B983" s="10">
        <v>4506457</v>
      </c>
      <c r="C983" s="10" t="s">
        <v>759</v>
      </c>
      <c r="D983" s="10" t="s">
        <v>760</v>
      </c>
      <c r="E983" s="10">
        <v>0</v>
      </c>
      <c r="F983" s="10">
        <v>0</v>
      </c>
      <c r="G983" s="10">
        <v>0</v>
      </c>
      <c r="H983" s="10">
        <v>0</v>
      </c>
      <c r="I983" s="10" t="s">
        <v>30</v>
      </c>
      <c r="J983" s="10">
        <v>0</v>
      </c>
      <c r="K983" s="10">
        <v>0</v>
      </c>
      <c r="L983" s="10">
        <v>0</v>
      </c>
      <c r="M983" s="10">
        <v>0</v>
      </c>
      <c r="N983" s="10" t="s">
        <v>761</v>
      </c>
      <c r="O983" s="10" t="s">
        <v>1423</v>
      </c>
      <c r="P983" s="105" t="e">
        <f t="shared" si="15"/>
        <v>#DIV/0!</v>
      </c>
    </row>
    <row r="984" spans="1:16">
      <c r="A984" s="10" t="s">
        <v>635</v>
      </c>
      <c r="B984" s="10">
        <v>4506458</v>
      </c>
      <c r="C984" s="10" t="s">
        <v>759</v>
      </c>
      <c r="D984" s="10" t="s">
        <v>760</v>
      </c>
      <c r="E984" s="10">
        <v>0</v>
      </c>
      <c r="F984" s="10">
        <v>0</v>
      </c>
      <c r="G984" s="10">
        <v>0</v>
      </c>
      <c r="H984" s="10">
        <v>0</v>
      </c>
      <c r="I984" s="10" t="s">
        <v>30</v>
      </c>
      <c r="J984" s="10">
        <v>0</v>
      </c>
      <c r="K984" s="10">
        <v>0</v>
      </c>
      <c r="L984" s="10">
        <v>0</v>
      </c>
      <c r="M984" s="10">
        <v>0</v>
      </c>
      <c r="N984" s="10" t="s">
        <v>761</v>
      </c>
      <c r="O984" s="10" t="s">
        <v>1424</v>
      </c>
      <c r="P984" s="105" t="e">
        <f t="shared" si="15"/>
        <v>#DIV/0!</v>
      </c>
    </row>
    <row r="985" spans="1:16">
      <c r="A985" s="10" t="s">
        <v>635</v>
      </c>
      <c r="B985" s="10">
        <v>4506459</v>
      </c>
      <c r="C985" s="10" t="s">
        <v>759</v>
      </c>
      <c r="D985" s="10" t="s">
        <v>760</v>
      </c>
      <c r="E985" s="10">
        <v>0</v>
      </c>
      <c r="F985" s="10">
        <v>0</v>
      </c>
      <c r="G985" s="10">
        <v>0</v>
      </c>
      <c r="H985" s="10">
        <v>0</v>
      </c>
      <c r="I985" s="10" t="s">
        <v>21</v>
      </c>
      <c r="J985" s="10">
        <v>0</v>
      </c>
      <c r="K985" s="10">
        <v>0</v>
      </c>
      <c r="L985" s="10">
        <v>0</v>
      </c>
      <c r="M985" s="10">
        <v>0</v>
      </c>
      <c r="N985" s="10" t="s">
        <v>761</v>
      </c>
      <c r="O985" s="10" t="s">
        <v>1425</v>
      </c>
      <c r="P985" s="105" t="e">
        <f t="shared" si="15"/>
        <v>#DIV/0!</v>
      </c>
    </row>
    <row r="986" spans="1:16">
      <c r="A986" s="10" t="s">
        <v>635</v>
      </c>
      <c r="B986" s="10">
        <v>4506554</v>
      </c>
      <c r="C986" s="10" t="s">
        <v>759</v>
      </c>
      <c r="D986" s="10" t="s">
        <v>760</v>
      </c>
      <c r="E986" s="10">
        <v>0</v>
      </c>
      <c r="F986" s="10">
        <v>0</v>
      </c>
      <c r="G986" s="10">
        <v>0</v>
      </c>
      <c r="H986" s="10">
        <v>0</v>
      </c>
      <c r="I986" s="10" t="s">
        <v>26</v>
      </c>
      <c r="J986" s="10">
        <v>0</v>
      </c>
      <c r="K986" s="10">
        <v>0</v>
      </c>
      <c r="L986" s="10">
        <v>0</v>
      </c>
      <c r="M986" s="10">
        <v>0</v>
      </c>
      <c r="N986" s="10" t="s">
        <v>761</v>
      </c>
      <c r="O986" s="10" t="s">
        <v>1426</v>
      </c>
      <c r="P986" s="105" t="e">
        <f t="shared" si="15"/>
        <v>#DIV/0!</v>
      </c>
    </row>
    <row r="987" spans="1:16">
      <c r="A987" s="10" t="s">
        <v>635</v>
      </c>
      <c r="B987" s="10">
        <v>4506555</v>
      </c>
      <c r="C987" s="10" t="s">
        <v>759</v>
      </c>
      <c r="D987" s="10" t="s">
        <v>760</v>
      </c>
      <c r="E987" s="103">
        <v>1200</v>
      </c>
      <c r="F987" s="103">
        <v>1920</v>
      </c>
      <c r="G987" s="10">
        <v>0</v>
      </c>
      <c r="H987" s="103">
        <v>3120</v>
      </c>
      <c r="I987" s="10" t="s">
        <v>26</v>
      </c>
      <c r="J987" s="10">
        <v>205</v>
      </c>
      <c r="K987" s="10">
        <v>328</v>
      </c>
      <c r="L987" s="10">
        <v>0</v>
      </c>
      <c r="M987" s="10">
        <v>533</v>
      </c>
      <c r="N987" s="10" t="s">
        <v>761</v>
      </c>
      <c r="O987" s="10" t="s">
        <v>68</v>
      </c>
      <c r="P987" s="105">
        <f t="shared" si="15"/>
        <v>0.170833333333333</v>
      </c>
    </row>
    <row r="988" spans="1:16">
      <c r="A988" s="10" t="s">
        <v>635</v>
      </c>
      <c r="B988" s="10">
        <v>4506632</v>
      </c>
      <c r="C988" s="10" t="s">
        <v>759</v>
      </c>
      <c r="D988" s="10" t="s">
        <v>760</v>
      </c>
      <c r="E988" s="10">
        <v>500</v>
      </c>
      <c r="F988" s="103">
        <v>1200</v>
      </c>
      <c r="G988" s="10">
        <v>0</v>
      </c>
      <c r="H988" s="103">
        <v>1700</v>
      </c>
      <c r="I988" s="10" t="s">
        <v>21</v>
      </c>
      <c r="J988" s="10">
        <v>125</v>
      </c>
      <c r="K988" s="10">
        <v>300</v>
      </c>
      <c r="L988" s="10">
        <v>0</v>
      </c>
      <c r="M988" s="10">
        <v>425</v>
      </c>
      <c r="N988" s="10" t="s">
        <v>761</v>
      </c>
      <c r="O988" s="10" t="s">
        <v>94</v>
      </c>
      <c r="P988" s="105">
        <f t="shared" si="15"/>
        <v>0.25</v>
      </c>
    </row>
    <row r="989" spans="1:16">
      <c r="A989" s="10" t="s">
        <v>635</v>
      </c>
      <c r="B989" s="10">
        <v>4506826</v>
      </c>
      <c r="C989" s="10" t="s">
        <v>759</v>
      </c>
      <c r="D989" s="10" t="s">
        <v>760</v>
      </c>
      <c r="E989" s="10">
        <v>0</v>
      </c>
      <c r="F989" s="10">
        <v>0</v>
      </c>
      <c r="G989" s="10">
        <v>0</v>
      </c>
      <c r="H989" s="10">
        <v>0</v>
      </c>
      <c r="I989" s="10" t="s">
        <v>138</v>
      </c>
      <c r="J989" s="10">
        <v>0</v>
      </c>
      <c r="K989" s="10">
        <v>0</v>
      </c>
      <c r="L989" s="10">
        <v>0</v>
      </c>
      <c r="M989" s="10">
        <v>0</v>
      </c>
      <c r="N989" s="10" t="s">
        <v>761</v>
      </c>
      <c r="O989" s="10" t="s">
        <v>1427</v>
      </c>
      <c r="P989" s="105" t="e">
        <f t="shared" si="15"/>
        <v>#DIV/0!</v>
      </c>
    </row>
    <row r="990" spans="1:16">
      <c r="A990" s="10" t="s">
        <v>635</v>
      </c>
      <c r="B990" s="10">
        <v>4506870</v>
      </c>
      <c r="C990" s="10" t="s">
        <v>759</v>
      </c>
      <c r="D990" s="10" t="s">
        <v>760</v>
      </c>
      <c r="E990" s="10">
        <v>0</v>
      </c>
      <c r="F990" s="10">
        <v>0</v>
      </c>
      <c r="G990" s="10">
        <v>0</v>
      </c>
      <c r="H990" s="10">
        <v>0</v>
      </c>
      <c r="I990" s="10" t="s">
        <v>21</v>
      </c>
      <c r="J990" s="10">
        <v>0</v>
      </c>
      <c r="K990" s="10">
        <v>0</v>
      </c>
      <c r="L990" s="10">
        <v>0</v>
      </c>
      <c r="M990" s="10">
        <v>0</v>
      </c>
      <c r="N990" s="10" t="s">
        <v>761</v>
      </c>
      <c r="O990" s="10" t="s">
        <v>1428</v>
      </c>
      <c r="P990" s="105" t="e">
        <f t="shared" si="15"/>
        <v>#DIV/0!</v>
      </c>
    </row>
    <row r="991" spans="1:16">
      <c r="A991" s="10" t="s">
        <v>635</v>
      </c>
      <c r="B991" s="10">
        <v>4506948</v>
      </c>
      <c r="C991" s="10" t="s">
        <v>759</v>
      </c>
      <c r="D991" s="10" t="s">
        <v>760</v>
      </c>
      <c r="E991" s="10">
        <v>0</v>
      </c>
      <c r="F991" s="10">
        <v>0</v>
      </c>
      <c r="G991" s="10">
        <v>0</v>
      </c>
      <c r="H991" s="10">
        <v>0</v>
      </c>
      <c r="I991" s="10" t="s">
        <v>45</v>
      </c>
      <c r="J991" s="10">
        <v>0</v>
      </c>
      <c r="K991" s="10">
        <v>0</v>
      </c>
      <c r="L991" s="10">
        <v>0</v>
      </c>
      <c r="M991" s="10">
        <v>0</v>
      </c>
      <c r="N991" s="10" t="s">
        <v>761</v>
      </c>
      <c r="O991" s="10" t="s">
        <v>1429</v>
      </c>
      <c r="P991" s="105" t="e">
        <f t="shared" si="15"/>
        <v>#DIV/0!</v>
      </c>
    </row>
    <row r="992" spans="1:16">
      <c r="A992" s="10" t="s">
        <v>635</v>
      </c>
      <c r="B992" s="10">
        <v>4506949</v>
      </c>
      <c r="C992" s="10" t="s">
        <v>759</v>
      </c>
      <c r="D992" s="10" t="s">
        <v>760</v>
      </c>
      <c r="E992" s="10">
        <v>0</v>
      </c>
      <c r="F992" s="10">
        <v>0</v>
      </c>
      <c r="G992" s="10">
        <v>0</v>
      </c>
      <c r="H992" s="10">
        <v>0</v>
      </c>
      <c r="I992" s="10" t="s">
        <v>45</v>
      </c>
      <c r="J992" s="10">
        <v>0</v>
      </c>
      <c r="K992" s="10">
        <v>0</v>
      </c>
      <c r="L992" s="10">
        <v>0</v>
      </c>
      <c r="M992" s="10">
        <v>0</v>
      </c>
      <c r="N992" s="10" t="s">
        <v>761</v>
      </c>
      <c r="O992" s="10" t="s">
        <v>1430</v>
      </c>
      <c r="P992" s="105" t="e">
        <f t="shared" si="15"/>
        <v>#DIV/0!</v>
      </c>
    </row>
    <row r="993" spans="1:16">
      <c r="A993" s="10" t="s">
        <v>635</v>
      </c>
      <c r="B993" s="10">
        <v>4506950</v>
      </c>
      <c r="C993" s="10" t="s">
        <v>759</v>
      </c>
      <c r="D993" s="10" t="s">
        <v>760</v>
      </c>
      <c r="E993" s="10">
        <v>0</v>
      </c>
      <c r="F993" s="10">
        <v>0</v>
      </c>
      <c r="G993" s="10">
        <v>0</v>
      </c>
      <c r="H993" s="10">
        <v>0</v>
      </c>
      <c r="I993" s="10" t="s">
        <v>33</v>
      </c>
      <c r="J993" s="10">
        <v>0</v>
      </c>
      <c r="K993" s="10">
        <v>0</v>
      </c>
      <c r="L993" s="10">
        <v>0</v>
      </c>
      <c r="M993" s="10">
        <v>0</v>
      </c>
      <c r="N993" s="10" t="s">
        <v>761</v>
      </c>
      <c r="O993" s="10" t="s">
        <v>1431</v>
      </c>
      <c r="P993" s="105" t="e">
        <f t="shared" si="15"/>
        <v>#DIV/0!</v>
      </c>
    </row>
    <row r="994" spans="1:16">
      <c r="A994" s="10" t="s">
        <v>635</v>
      </c>
      <c r="B994" s="10">
        <v>4507030</v>
      </c>
      <c r="C994" s="10" t="s">
        <v>759</v>
      </c>
      <c r="D994" s="10" t="s">
        <v>760</v>
      </c>
      <c r="E994" s="10">
        <v>0</v>
      </c>
      <c r="F994" s="10">
        <v>0</v>
      </c>
      <c r="G994" s="10">
        <v>0</v>
      </c>
      <c r="H994" s="10">
        <v>0</v>
      </c>
      <c r="I994" s="10" t="s">
        <v>33</v>
      </c>
      <c r="J994" s="10">
        <v>0</v>
      </c>
      <c r="K994" s="10">
        <v>0</v>
      </c>
      <c r="L994" s="10">
        <v>0</v>
      </c>
      <c r="M994" s="10">
        <v>0</v>
      </c>
      <c r="N994" s="10" t="s">
        <v>761</v>
      </c>
      <c r="O994" s="10" t="s">
        <v>1432</v>
      </c>
      <c r="P994" s="105" t="e">
        <f t="shared" si="15"/>
        <v>#DIV/0!</v>
      </c>
    </row>
    <row r="995" spans="1:16">
      <c r="A995" s="10" t="s">
        <v>635</v>
      </c>
      <c r="B995" s="10">
        <v>4507035</v>
      </c>
      <c r="C995" s="10" t="s">
        <v>759</v>
      </c>
      <c r="D995" s="10" t="s">
        <v>760</v>
      </c>
      <c r="E995" s="10">
        <v>0</v>
      </c>
      <c r="F995" s="10">
        <v>0</v>
      </c>
      <c r="G995" s="10">
        <v>0</v>
      </c>
      <c r="H995" s="10">
        <v>0</v>
      </c>
      <c r="I995" s="10" t="s">
        <v>1433</v>
      </c>
      <c r="J995" s="10">
        <v>0</v>
      </c>
      <c r="K995" s="10">
        <v>0</v>
      </c>
      <c r="L995" s="10">
        <v>0</v>
      </c>
      <c r="M995" s="10">
        <v>0</v>
      </c>
      <c r="N995" s="10" t="s">
        <v>761</v>
      </c>
      <c r="O995" s="10" t="s">
        <v>1434</v>
      </c>
      <c r="P995" s="105" t="e">
        <f t="shared" si="15"/>
        <v>#DIV/0!</v>
      </c>
    </row>
    <row r="996" spans="1:16">
      <c r="A996" s="10" t="s">
        <v>635</v>
      </c>
      <c r="B996" s="10">
        <v>4507213</v>
      </c>
      <c r="C996" s="10" t="s">
        <v>759</v>
      </c>
      <c r="D996" s="10" t="s">
        <v>760</v>
      </c>
      <c r="E996" s="10">
        <v>0</v>
      </c>
      <c r="F996" s="10">
        <v>0</v>
      </c>
      <c r="G996" s="10">
        <v>0</v>
      </c>
      <c r="H996" s="10">
        <v>0</v>
      </c>
      <c r="I996" s="10" t="s">
        <v>33</v>
      </c>
      <c r="J996" s="10">
        <v>0</v>
      </c>
      <c r="K996" s="10">
        <v>0</v>
      </c>
      <c r="L996" s="10">
        <v>0</v>
      </c>
      <c r="M996" s="10">
        <v>0</v>
      </c>
      <c r="N996" s="10" t="s">
        <v>761</v>
      </c>
      <c r="O996" s="10" t="s">
        <v>1435</v>
      </c>
      <c r="P996" s="105" t="e">
        <f t="shared" si="15"/>
        <v>#DIV/0!</v>
      </c>
    </row>
    <row r="997" spans="1:16">
      <c r="A997" s="10" t="s">
        <v>635</v>
      </c>
      <c r="B997" s="10">
        <v>4507214</v>
      </c>
      <c r="C997" s="10" t="s">
        <v>759</v>
      </c>
      <c r="D997" s="10" t="s">
        <v>760</v>
      </c>
      <c r="E997" s="10">
        <v>0</v>
      </c>
      <c r="F997" s="10">
        <v>0</v>
      </c>
      <c r="G997" s="10">
        <v>0</v>
      </c>
      <c r="H997" s="10">
        <v>0</v>
      </c>
      <c r="I997" s="10" t="s">
        <v>33</v>
      </c>
      <c r="J997" s="10">
        <v>0</v>
      </c>
      <c r="K997" s="10">
        <v>0</v>
      </c>
      <c r="L997" s="10">
        <v>0</v>
      </c>
      <c r="M997" s="10">
        <v>0</v>
      </c>
      <c r="N997" s="10" t="s">
        <v>761</v>
      </c>
      <c r="O997" s="10" t="s">
        <v>1436</v>
      </c>
      <c r="P997" s="105" t="e">
        <f t="shared" si="15"/>
        <v>#DIV/0!</v>
      </c>
    </row>
    <row r="998" spans="1:16">
      <c r="A998" s="10" t="s">
        <v>635</v>
      </c>
      <c r="B998" s="10">
        <v>4507215</v>
      </c>
      <c r="C998" s="10" t="s">
        <v>759</v>
      </c>
      <c r="D998" s="10" t="s">
        <v>760</v>
      </c>
      <c r="E998" s="10">
        <v>0</v>
      </c>
      <c r="F998" s="10">
        <v>0</v>
      </c>
      <c r="G998" s="10">
        <v>0</v>
      </c>
      <c r="H998" s="10">
        <v>0</v>
      </c>
      <c r="I998" s="10" t="s">
        <v>33</v>
      </c>
      <c r="J998" s="10">
        <v>0</v>
      </c>
      <c r="K998" s="10">
        <v>0</v>
      </c>
      <c r="L998" s="10">
        <v>0</v>
      </c>
      <c r="M998" s="10">
        <v>0</v>
      </c>
      <c r="N998" s="10" t="s">
        <v>761</v>
      </c>
      <c r="O998" s="10" t="s">
        <v>1437</v>
      </c>
      <c r="P998" s="105" t="e">
        <f t="shared" si="15"/>
        <v>#DIV/0!</v>
      </c>
    </row>
    <row r="999" spans="1:16">
      <c r="A999" s="10" t="s">
        <v>635</v>
      </c>
      <c r="B999" s="10">
        <v>4507216</v>
      </c>
      <c r="C999" s="10" t="s">
        <v>759</v>
      </c>
      <c r="D999" s="10" t="s">
        <v>760</v>
      </c>
      <c r="E999" s="10">
        <v>240</v>
      </c>
      <c r="F999" s="10">
        <v>0</v>
      </c>
      <c r="G999" s="10">
        <v>0</v>
      </c>
      <c r="H999" s="10">
        <v>240</v>
      </c>
      <c r="I999" s="10" t="s">
        <v>33</v>
      </c>
      <c r="J999" s="103">
        <v>1612.8</v>
      </c>
      <c r="K999" s="10">
        <v>0</v>
      </c>
      <c r="L999" s="10">
        <v>0</v>
      </c>
      <c r="M999" s="103">
        <v>1612.8</v>
      </c>
      <c r="N999" s="10" t="s">
        <v>761</v>
      </c>
      <c r="O999" s="10" t="s">
        <v>554</v>
      </c>
      <c r="P999" s="105">
        <f t="shared" si="15"/>
        <v>6.72</v>
      </c>
    </row>
    <row r="1000" spans="1:16">
      <c r="A1000" s="10" t="s">
        <v>635</v>
      </c>
      <c r="B1000" s="10">
        <v>4507217</v>
      </c>
      <c r="C1000" s="10" t="s">
        <v>759</v>
      </c>
      <c r="D1000" s="10" t="s">
        <v>760</v>
      </c>
      <c r="E1000" s="10">
        <v>0</v>
      </c>
      <c r="F1000" s="10">
        <v>0</v>
      </c>
      <c r="G1000" s="10">
        <v>0</v>
      </c>
      <c r="H1000" s="10">
        <v>0</v>
      </c>
      <c r="I1000" s="10" t="s">
        <v>45</v>
      </c>
      <c r="J1000" s="10">
        <v>0</v>
      </c>
      <c r="K1000" s="10">
        <v>0</v>
      </c>
      <c r="L1000" s="10">
        <v>0</v>
      </c>
      <c r="M1000" s="10">
        <v>0</v>
      </c>
      <c r="N1000" s="10" t="s">
        <v>761</v>
      </c>
      <c r="O1000" s="10" t="s">
        <v>1438</v>
      </c>
      <c r="P1000" s="105" t="e">
        <f t="shared" si="15"/>
        <v>#DIV/0!</v>
      </c>
    </row>
    <row r="1001" spans="1:16">
      <c r="A1001" s="10" t="s">
        <v>635</v>
      </c>
      <c r="B1001" s="10">
        <v>4507378</v>
      </c>
      <c r="C1001" s="10" t="s">
        <v>759</v>
      </c>
      <c r="D1001" s="10" t="s">
        <v>760</v>
      </c>
      <c r="E1001" s="10">
        <v>0</v>
      </c>
      <c r="F1001" s="10">
        <v>0</v>
      </c>
      <c r="G1001" s="10">
        <v>0</v>
      </c>
      <c r="H1001" s="10">
        <v>0</v>
      </c>
      <c r="I1001" s="10" t="s">
        <v>138</v>
      </c>
      <c r="J1001" s="10">
        <v>0</v>
      </c>
      <c r="K1001" s="10">
        <v>0</v>
      </c>
      <c r="L1001" s="10">
        <v>0</v>
      </c>
      <c r="M1001" s="10">
        <v>0</v>
      </c>
      <c r="N1001" s="10" t="s">
        <v>761</v>
      </c>
      <c r="O1001" s="10" t="s">
        <v>1439</v>
      </c>
      <c r="P1001" s="105" t="e">
        <f t="shared" si="15"/>
        <v>#DIV/0!</v>
      </c>
    </row>
    <row r="1002" spans="1:16">
      <c r="A1002" s="10" t="s">
        <v>635</v>
      </c>
      <c r="B1002" s="10">
        <v>4507379</v>
      </c>
      <c r="C1002" s="10" t="s">
        <v>759</v>
      </c>
      <c r="D1002" s="10" t="s">
        <v>760</v>
      </c>
      <c r="E1002" s="10">
        <v>0</v>
      </c>
      <c r="F1002" s="10">
        <v>0</v>
      </c>
      <c r="G1002" s="10">
        <v>0</v>
      </c>
      <c r="H1002" s="10">
        <v>0</v>
      </c>
      <c r="I1002" s="10" t="s">
        <v>138</v>
      </c>
      <c r="J1002" s="10">
        <v>0</v>
      </c>
      <c r="K1002" s="10">
        <v>0</v>
      </c>
      <c r="L1002" s="10">
        <v>0</v>
      </c>
      <c r="M1002" s="10">
        <v>0</v>
      </c>
      <c r="N1002" s="10" t="s">
        <v>761</v>
      </c>
      <c r="O1002" s="10" t="s">
        <v>1440</v>
      </c>
      <c r="P1002" s="105" t="e">
        <f t="shared" si="15"/>
        <v>#DIV/0!</v>
      </c>
    </row>
    <row r="1003" spans="1:16">
      <c r="A1003" s="10" t="s">
        <v>635</v>
      </c>
      <c r="B1003" s="10">
        <v>4507380</v>
      </c>
      <c r="C1003" s="10" t="s">
        <v>759</v>
      </c>
      <c r="D1003" s="10" t="s">
        <v>760</v>
      </c>
      <c r="E1003" s="10">
        <v>0</v>
      </c>
      <c r="F1003" s="10">
        <v>0</v>
      </c>
      <c r="G1003" s="10">
        <v>0</v>
      </c>
      <c r="H1003" s="10">
        <v>0</v>
      </c>
      <c r="I1003" s="10" t="s">
        <v>138</v>
      </c>
      <c r="J1003" s="10">
        <v>0</v>
      </c>
      <c r="K1003" s="10">
        <v>0</v>
      </c>
      <c r="L1003" s="10">
        <v>0</v>
      </c>
      <c r="M1003" s="10">
        <v>0</v>
      </c>
      <c r="N1003" s="10" t="s">
        <v>761</v>
      </c>
      <c r="O1003" s="10" t="s">
        <v>1441</v>
      </c>
      <c r="P1003" s="105" t="e">
        <f t="shared" si="15"/>
        <v>#DIV/0!</v>
      </c>
    </row>
    <row r="1004" spans="1:16">
      <c r="A1004" s="10" t="s">
        <v>635</v>
      </c>
      <c r="B1004" s="10">
        <v>4507958</v>
      </c>
      <c r="C1004" s="10" t="s">
        <v>759</v>
      </c>
      <c r="D1004" s="10" t="s">
        <v>760</v>
      </c>
      <c r="E1004" s="10">
        <v>0</v>
      </c>
      <c r="F1004" s="10">
        <v>0</v>
      </c>
      <c r="G1004" s="10">
        <v>0</v>
      </c>
      <c r="H1004" s="10">
        <v>0</v>
      </c>
      <c r="I1004" s="10" t="s">
        <v>21</v>
      </c>
      <c r="J1004" s="10">
        <v>0</v>
      </c>
      <c r="K1004" s="10">
        <v>0</v>
      </c>
      <c r="L1004" s="10">
        <v>0</v>
      </c>
      <c r="M1004" s="10">
        <v>0</v>
      </c>
      <c r="N1004" s="10" t="s">
        <v>761</v>
      </c>
      <c r="O1004" s="10" t="s">
        <v>1442</v>
      </c>
      <c r="P1004" s="105" t="e">
        <f t="shared" si="15"/>
        <v>#DIV/0!</v>
      </c>
    </row>
    <row r="1005" spans="1:16">
      <c r="A1005" s="10" t="s">
        <v>635</v>
      </c>
      <c r="B1005" s="10">
        <v>4507959</v>
      </c>
      <c r="C1005" s="10" t="s">
        <v>759</v>
      </c>
      <c r="D1005" s="10" t="s">
        <v>760</v>
      </c>
      <c r="E1005" s="10">
        <v>0</v>
      </c>
      <c r="F1005" s="10">
        <v>0</v>
      </c>
      <c r="G1005" s="10">
        <v>0</v>
      </c>
      <c r="H1005" s="10">
        <v>0</v>
      </c>
      <c r="I1005" s="10" t="s">
        <v>21</v>
      </c>
      <c r="J1005" s="10">
        <v>0</v>
      </c>
      <c r="K1005" s="10">
        <v>0</v>
      </c>
      <c r="L1005" s="10">
        <v>0</v>
      </c>
      <c r="M1005" s="10">
        <v>0</v>
      </c>
      <c r="N1005" s="10" t="s">
        <v>761</v>
      </c>
      <c r="O1005" s="10" t="s">
        <v>1443</v>
      </c>
      <c r="P1005" s="105" t="e">
        <f t="shared" si="15"/>
        <v>#DIV/0!</v>
      </c>
    </row>
    <row r="1006" spans="1:16">
      <c r="A1006" s="10" t="s">
        <v>635</v>
      </c>
      <c r="B1006" s="10">
        <v>4508025</v>
      </c>
      <c r="C1006" s="10" t="s">
        <v>759</v>
      </c>
      <c r="D1006" s="10" t="s">
        <v>760</v>
      </c>
      <c r="E1006" s="10">
        <v>0</v>
      </c>
      <c r="F1006" s="10">
        <v>0</v>
      </c>
      <c r="G1006" s="10">
        <v>0</v>
      </c>
      <c r="H1006" s="10">
        <v>0</v>
      </c>
      <c r="I1006" s="10" t="s">
        <v>21</v>
      </c>
      <c r="J1006" s="10">
        <v>0</v>
      </c>
      <c r="K1006" s="10">
        <v>0</v>
      </c>
      <c r="L1006" s="10">
        <v>0</v>
      </c>
      <c r="M1006" s="10">
        <v>0</v>
      </c>
      <c r="N1006" s="10" t="s">
        <v>761</v>
      </c>
      <c r="O1006" s="10" t="s">
        <v>1444</v>
      </c>
      <c r="P1006" s="105" t="e">
        <f t="shared" si="15"/>
        <v>#DIV/0!</v>
      </c>
    </row>
    <row r="1007" spans="1:16">
      <c r="A1007" s="10" t="s">
        <v>635</v>
      </c>
      <c r="B1007" s="10">
        <v>4508026</v>
      </c>
      <c r="C1007" s="10" t="s">
        <v>759</v>
      </c>
      <c r="D1007" s="10" t="s">
        <v>760</v>
      </c>
      <c r="E1007" s="10">
        <v>0</v>
      </c>
      <c r="F1007" s="10">
        <v>0</v>
      </c>
      <c r="G1007" s="10">
        <v>0</v>
      </c>
      <c r="H1007" s="10">
        <v>0</v>
      </c>
      <c r="I1007" s="10" t="s">
        <v>37</v>
      </c>
      <c r="J1007" s="10">
        <v>0</v>
      </c>
      <c r="K1007" s="10">
        <v>0</v>
      </c>
      <c r="L1007" s="10">
        <v>0</v>
      </c>
      <c r="M1007" s="10">
        <v>0</v>
      </c>
      <c r="N1007" s="10" t="s">
        <v>761</v>
      </c>
      <c r="O1007" s="10" t="s">
        <v>1445</v>
      </c>
      <c r="P1007" s="105" t="e">
        <f t="shared" si="15"/>
        <v>#DIV/0!</v>
      </c>
    </row>
    <row r="1008" spans="1:16">
      <c r="A1008" s="10" t="s">
        <v>635</v>
      </c>
      <c r="B1008" s="10">
        <v>4508027</v>
      </c>
      <c r="C1008" s="10" t="s">
        <v>759</v>
      </c>
      <c r="D1008" s="10" t="s">
        <v>760</v>
      </c>
      <c r="E1008" s="10">
        <v>0</v>
      </c>
      <c r="F1008" s="10">
        <v>0</v>
      </c>
      <c r="G1008" s="10">
        <v>0</v>
      </c>
      <c r="H1008" s="10">
        <v>0</v>
      </c>
      <c r="I1008" s="10" t="s">
        <v>30</v>
      </c>
      <c r="J1008" s="10">
        <v>0</v>
      </c>
      <c r="K1008" s="10">
        <v>0</v>
      </c>
      <c r="L1008" s="10">
        <v>0</v>
      </c>
      <c r="M1008" s="10">
        <v>0</v>
      </c>
      <c r="N1008" s="10" t="s">
        <v>761</v>
      </c>
      <c r="O1008" s="10" t="s">
        <v>1446</v>
      </c>
      <c r="P1008" s="105" t="e">
        <f t="shared" si="15"/>
        <v>#DIV/0!</v>
      </c>
    </row>
    <row r="1009" spans="1:16">
      <c r="A1009" s="10" t="s">
        <v>635</v>
      </c>
      <c r="B1009" s="10">
        <v>4508028</v>
      </c>
      <c r="C1009" s="10" t="s">
        <v>759</v>
      </c>
      <c r="D1009" s="10" t="s">
        <v>760</v>
      </c>
      <c r="E1009" s="10">
        <v>0</v>
      </c>
      <c r="F1009" s="10">
        <v>0</v>
      </c>
      <c r="G1009" s="10">
        <v>0</v>
      </c>
      <c r="H1009" s="10">
        <v>0</v>
      </c>
      <c r="I1009" s="10" t="s">
        <v>30</v>
      </c>
      <c r="J1009" s="10">
        <v>0</v>
      </c>
      <c r="K1009" s="10">
        <v>0</v>
      </c>
      <c r="L1009" s="10">
        <v>0</v>
      </c>
      <c r="M1009" s="10">
        <v>0</v>
      </c>
      <c r="N1009" s="10" t="s">
        <v>761</v>
      </c>
      <c r="O1009" s="10" t="s">
        <v>1447</v>
      </c>
      <c r="P1009" s="105" t="e">
        <f t="shared" si="15"/>
        <v>#DIV/0!</v>
      </c>
    </row>
    <row r="1010" spans="1:16">
      <c r="A1010" s="10" t="s">
        <v>635</v>
      </c>
      <c r="B1010" s="10">
        <v>4508029</v>
      </c>
      <c r="C1010" s="10" t="s">
        <v>759</v>
      </c>
      <c r="D1010" s="10" t="s">
        <v>760</v>
      </c>
      <c r="E1010" s="10">
        <v>0</v>
      </c>
      <c r="F1010" s="10">
        <v>0</v>
      </c>
      <c r="G1010" s="10">
        <v>0</v>
      </c>
      <c r="H1010" s="10">
        <v>0</v>
      </c>
      <c r="I1010" s="10" t="s">
        <v>37</v>
      </c>
      <c r="J1010" s="10">
        <v>0</v>
      </c>
      <c r="K1010" s="10">
        <v>0</v>
      </c>
      <c r="L1010" s="10">
        <v>0</v>
      </c>
      <c r="M1010" s="10">
        <v>0</v>
      </c>
      <c r="N1010" s="10" t="s">
        <v>761</v>
      </c>
      <c r="O1010" s="10" t="s">
        <v>1448</v>
      </c>
      <c r="P1010" s="105" t="e">
        <f t="shared" si="15"/>
        <v>#DIV/0!</v>
      </c>
    </row>
    <row r="1011" spans="1:16">
      <c r="A1011" s="10" t="s">
        <v>635</v>
      </c>
      <c r="B1011" s="10">
        <v>4508030</v>
      </c>
      <c r="C1011" s="10" t="s">
        <v>759</v>
      </c>
      <c r="D1011" s="10" t="s">
        <v>760</v>
      </c>
      <c r="E1011" s="10">
        <v>0</v>
      </c>
      <c r="F1011" s="10">
        <v>0</v>
      </c>
      <c r="G1011" s="10">
        <v>0</v>
      </c>
      <c r="H1011" s="10">
        <v>0</v>
      </c>
      <c r="I1011" s="10" t="s">
        <v>74</v>
      </c>
      <c r="J1011" s="10">
        <v>0</v>
      </c>
      <c r="K1011" s="10">
        <v>0</v>
      </c>
      <c r="L1011" s="10">
        <v>0</v>
      </c>
      <c r="M1011" s="10">
        <v>0</v>
      </c>
      <c r="N1011" s="10" t="s">
        <v>761</v>
      </c>
      <c r="O1011" s="10" t="s">
        <v>1449</v>
      </c>
      <c r="P1011" s="105" t="e">
        <f t="shared" si="15"/>
        <v>#DIV/0!</v>
      </c>
    </row>
    <row r="1012" spans="1:16">
      <c r="A1012" s="10" t="s">
        <v>635</v>
      </c>
      <c r="B1012" s="10">
        <v>4508031</v>
      </c>
      <c r="C1012" s="10" t="s">
        <v>759</v>
      </c>
      <c r="D1012" s="10" t="s">
        <v>760</v>
      </c>
      <c r="E1012" s="10">
        <v>0</v>
      </c>
      <c r="F1012" s="10">
        <v>0</v>
      </c>
      <c r="G1012" s="10">
        <v>0</v>
      </c>
      <c r="H1012" s="10">
        <v>0</v>
      </c>
      <c r="I1012" s="10" t="s">
        <v>37</v>
      </c>
      <c r="J1012" s="10">
        <v>0</v>
      </c>
      <c r="K1012" s="10">
        <v>0</v>
      </c>
      <c r="L1012" s="10">
        <v>0</v>
      </c>
      <c r="M1012" s="10">
        <v>0</v>
      </c>
      <c r="N1012" s="10" t="s">
        <v>761</v>
      </c>
      <c r="O1012" s="10" t="s">
        <v>1450</v>
      </c>
      <c r="P1012" s="105" t="e">
        <f t="shared" si="15"/>
        <v>#DIV/0!</v>
      </c>
    </row>
    <row r="1013" spans="1:16">
      <c r="A1013" s="10" t="s">
        <v>635</v>
      </c>
      <c r="B1013" s="10">
        <v>4508094</v>
      </c>
      <c r="C1013" s="10" t="s">
        <v>759</v>
      </c>
      <c r="D1013" s="10" t="s">
        <v>760</v>
      </c>
      <c r="E1013" s="10">
        <v>0</v>
      </c>
      <c r="F1013" s="10">
        <v>0</v>
      </c>
      <c r="G1013" s="10">
        <v>0</v>
      </c>
      <c r="H1013" s="10">
        <v>0</v>
      </c>
      <c r="I1013" s="10" t="s">
        <v>21</v>
      </c>
      <c r="J1013" s="10">
        <v>0</v>
      </c>
      <c r="K1013" s="10">
        <v>0</v>
      </c>
      <c r="L1013" s="10">
        <v>0</v>
      </c>
      <c r="M1013" s="10">
        <v>0</v>
      </c>
      <c r="N1013" s="10" t="s">
        <v>761</v>
      </c>
      <c r="O1013" s="10" t="s">
        <v>1451</v>
      </c>
      <c r="P1013" s="105" t="e">
        <f t="shared" si="15"/>
        <v>#DIV/0!</v>
      </c>
    </row>
    <row r="1014" spans="1:16">
      <c r="A1014" s="10" t="s">
        <v>635</v>
      </c>
      <c r="B1014" s="10">
        <v>4508141</v>
      </c>
      <c r="C1014" s="10" t="s">
        <v>759</v>
      </c>
      <c r="D1014" s="10" t="s">
        <v>760</v>
      </c>
      <c r="E1014" s="10">
        <v>0</v>
      </c>
      <c r="F1014" s="10">
        <v>0</v>
      </c>
      <c r="G1014" s="10">
        <v>0</v>
      </c>
      <c r="H1014" s="10">
        <v>0</v>
      </c>
      <c r="I1014" s="10" t="s">
        <v>74</v>
      </c>
      <c r="J1014" s="10">
        <v>0</v>
      </c>
      <c r="K1014" s="10">
        <v>0</v>
      </c>
      <c r="L1014" s="10">
        <v>0</v>
      </c>
      <c r="M1014" s="10">
        <v>0</v>
      </c>
      <c r="N1014" s="10" t="s">
        <v>761</v>
      </c>
      <c r="O1014" s="10" t="s">
        <v>1452</v>
      </c>
      <c r="P1014" s="105" t="e">
        <f t="shared" si="15"/>
        <v>#DIV/0!</v>
      </c>
    </row>
    <row r="1015" spans="1:16">
      <c r="A1015" s="10" t="s">
        <v>635</v>
      </c>
      <c r="B1015" s="10">
        <v>4508142</v>
      </c>
      <c r="C1015" s="10" t="s">
        <v>759</v>
      </c>
      <c r="D1015" s="10" t="s">
        <v>760</v>
      </c>
      <c r="E1015" s="10">
        <v>0</v>
      </c>
      <c r="F1015" s="10">
        <v>0</v>
      </c>
      <c r="G1015" s="10">
        <v>0</v>
      </c>
      <c r="H1015" s="10">
        <v>0</v>
      </c>
      <c r="I1015" s="10" t="s">
        <v>74</v>
      </c>
      <c r="J1015" s="10">
        <v>0</v>
      </c>
      <c r="K1015" s="10">
        <v>0</v>
      </c>
      <c r="L1015" s="10">
        <v>0</v>
      </c>
      <c r="M1015" s="10">
        <v>0</v>
      </c>
      <c r="N1015" s="10" t="s">
        <v>761</v>
      </c>
      <c r="O1015" s="10" t="s">
        <v>1453</v>
      </c>
      <c r="P1015" s="105" t="e">
        <f t="shared" si="15"/>
        <v>#DIV/0!</v>
      </c>
    </row>
    <row r="1016" spans="1:16">
      <c r="A1016" s="10" t="s">
        <v>635</v>
      </c>
      <c r="B1016" s="10">
        <v>4508253</v>
      </c>
      <c r="C1016" s="10" t="s">
        <v>759</v>
      </c>
      <c r="D1016" s="10" t="s">
        <v>760</v>
      </c>
      <c r="E1016" s="10">
        <v>0</v>
      </c>
      <c r="F1016" s="10">
        <v>0</v>
      </c>
      <c r="G1016" s="10">
        <v>0</v>
      </c>
      <c r="H1016" s="10">
        <v>0</v>
      </c>
      <c r="I1016" s="10" t="s">
        <v>21</v>
      </c>
      <c r="J1016" s="10">
        <v>0</v>
      </c>
      <c r="K1016" s="10">
        <v>0</v>
      </c>
      <c r="L1016" s="10">
        <v>0</v>
      </c>
      <c r="M1016" s="10">
        <v>0</v>
      </c>
      <c r="N1016" s="10" t="s">
        <v>761</v>
      </c>
      <c r="O1016" s="10" t="s">
        <v>1454</v>
      </c>
      <c r="P1016" s="105" t="e">
        <f t="shared" si="15"/>
        <v>#DIV/0!</v>
      </c>
    </row>
    <row r="1017" spans="1:16">
      <c r="A1017" s="10" t="s">
        <v>635</v>
      </c>
      <c r="B1017" s="10">
        <v>4508254</v>
      </c>
      <c r="C1017" s="10" t="s">
        <v>759</v>
      </c>
      <c r="D1017" s="10" t="s">
        <v>760</v>
      </c>
      <c r="E1017" s="10">
        <v>0</v>
      </c>
      <c r="F1017" s="10">
        <v>0</v>
      </c>
      <c r="G1017" s="10">
        <v>0</v>
      </c>
      <c r="H1017" s="10">
        <v>0</v>
      </c>
      <c r="I1017" s="10" t="s">
        <v>21</v>
      </c>
      <c r="J1017" s="10">
        <v>0</v>
      </c>
      <c r="K1017" s="10">
        <v>0</v>
      </c>
      <c r="L1017" s="10">
        <v>0</v>
      </c>
      <c r="M1017" s="10">
        <v>0</v>
      </c>
      <c r="N1017" s="10" t="s">
        <v>761</v>
      </c>
      <c r="O1017" s="10" t="s">
        <v>1455</v>
      </c>
      <c r="P1017" s="105" t="e">
        <f t="shared" si="15"/>
        <v>#DIV/0!</v>
      </c>
    </row>
    <row r="1018" spans="1:16">
      <c r="A1018" s="10" t="s">
        <v>635</v>
      </c>
      <c r="B1018" s="10">
        <v>4508255</v>
      </c>
      <c r="C1018" s="10" t="s">
        <v>759</v>
      </c>
      <c r="D1018" s="10" t="s">
        <v>760</v>
      </c>
      <c r="E1018" s="10">
        <v>0</v>
      </c>
      <c r="F1018" s="10">
        <v>0</v>
      </c>
      <c r="G1018" s="10">
        <v>0</v>
      </c>
      <c r="H1018" s="10">
        <v>0</v>
      </c>
      <c r="I1018" s="10" t="s">
        <v>45</v>
      </c>
      <c r="J1018" s="10">
        <v>0</v>
      </c>
      <c r="K1018" s="10">
        <v>0</v>
      </c>
      <c r="L1018" s="10">
        <v>0</v>
      </c>
      <c r="M1018" s="10">
        <v>0</v>
      </c>
      <c r="N1018" s="10" t="s">
        <v>761</v>
      </c>
      <c r="O1018" s="10" t="s">
        <v>1456</v>
      </c>
      <c r="P1018" s="105" t="e">
        <f t="shared" si="15"/>
        <v>#DIV/0!</v>
      </c>
    </row>
    <row r="1019" spans="1:16">
      <c r="A1019" s="10" t="s">
        <v>635</v>
      </c>
      <c r="B1019" s="10">
        <v>4508256</v>
      </c>
      <c r="C1019" s="10" t="s">
        <v>759</v>
      </c>
      <c r="D1019" s="10" t="s">
        <v>760</v>
      </c>
      <c r="E1019" s="10">
        <v>480</v>
      </c>
      <c r="F1019" s="103">
        <v>5928</v>
      </c>
      <c r="G1019" s="10">
        <v>-480</v>
      </c>
      <c r="H1019" s="103">
        <v>5928</v>
      </c>
      <c r="I1019" s="10" t="s">
        <v>138</v>
      </c>
      <c r="J1019" s="10">
        <v>253</v>
      </c>
      <c r="K1019" s="103">
        <v>3118.95</v>
      </c>
      <c r="L1019" s="10">
        <v>-247.4</v>
      </c>
      <c r="M1019" s="103">
        <v>3124.55</v>
      </c>
      <c r="N1019" s="10" t="s">
        <v>761</v>
      </c>
      <c r="O1019" s="10" t="s">
        <v>224</v>
      </c>
      <c r="P1019" s="105">
        <f t="shared" si="15"/>
        <v>0.527083333333333</v>
      </c>
    </row>
    <row r="1020" spans="1:16">
      <c r="A1020" s="10" t="s">
        <v>635</v>
      </c>
      <c r="B1020" s="10">
        <v>4508359</v>
      </c>
      <c r="C1020" s="10" t="s">
        <v>759</v>
      </c>
      <c r="D1020" s="10" t="s">
        <v>760</v>
      </c>
      <c r="E1020" s="10">
        <v>0</v>
      </c>
      <c r="F1020" s="10">
        <v>0</v>
      </c>
      <c r="G1020" s="10">
        <v>0</v>
      </c>
      <c r="H1020" s="10">
        <v>0</v>
      </c>
      <c r="I1020" s="10" t="s">
        <v>33</v>
      </c>
      <c r="J1020" s="10">
        <v>0</v>
      </c>
      <c r="K1020" s="10">
        <v>0</v>
      </c>
      <c r="L1020" s="10">
        <v>0</v>
      </c>
      <c r="M1020" s="10">
        <v>0</v>
      </c>
      <c r="N1020" s="10" t="s">
        <v>761</v>
      </c>
      <c r="O1020" s="10" t="s">
        <v>1457</v>
      </c>
      <c r="P1020" s="105" t="e">
        <f t="shared" si="15"/>
        <v>#DIV/0!</v>
      </c>
    </row>
    <row r="1021" spans="1:16">
      <c r="A1021" s="10" t="s">
        <v>635</v>
      </c>
      <c r="B1021" s="10">
        <v>4508566</v>
      </c>
      <c r="C1021" s="10" t="s">
        <v>759</v>
      </c>
      <c r="D1021" s="10" t="s">
        <v>760</v>
      </c>
      <c r="E1021" s="10">
        <v>0</v>
      </c>
      <c r="F1021" s="10">
        <v>0</v>
      </c>
      <c r="G1021" s="10">
        <v>0</v>
      </c>
      <c r="H1021" s="10">
        <v>0</v>
      </c>
      <c r="I1021" s="10" t="s">
        <v>151</v>
      </c>
      <c r="J1021" s="10">
        <v>0</v>
      </c>
      <c r="K1021" s="10">
        <v>0</v>
      </c>
      <c r="L1021" s="10">
        <v>0</v>
      </c>
      <c r="M1021" s="10">
        <v>0</v>
      </c>
      <c r="N1021" s="10" t="s">
        <v>761</v>
      </c>
      <c r="O1021" s="10" t="s">
        <v>1458</v>
      </c>
      <c r="P1021" s="105" t="e">
        <f t="shared" si="15"/>
        <v>#DIV/0!</v>
      </c>
    </row>
    <row r="1022" spans="1:16">
      <c r="A1022" s="10" t="s">
        <v>635</v>
      </c>
      <c r="B1022" s="10">
        <v>4508646</v>
      </c>
      <c r="C1022" s="10" t="s">
        <v>759</v>
      </c>
      <c r="D1022" s="10" t="s">
        <v>760</v>
      </c>
      <c r="E1022" s="10">
        <v>0</v>
      </c>
      <c r="F1022" s="10">
        <v>0</v>
      </c>
      <c r="G1022" s="10">
        <v>0</v>
      </c>
      <c r="H1022" s="10">
        <v>0</v>
      </c>
      <c r="I1022" s="10" t="s">
        <v>74</v>
      </c>
      <c r="J1022" s="10">
        <v>0</v>
      </c>
      <c r="K1022" s="10">
        <v>0</v>
      </c>
      <c r="L1022" s="10">
        <v>0</v>
      </c>
      <c r="M1022" s="10">
        <v>0</v>
      </c>
      <c r="N1022" s="10" t="s">
        <v>761</v>
      </c>
      <c r="O1022" s="10" t="s">
        <v>1053</v>
      </c>
      <c r="P1022" s="105" t="e">
        <f t="shared" si="15"/>
        <v>#DIV/0!</v>
      </c>
    </row>
    <row r="1023" spans="1:16">
      <c r="A1023" s="10" t="s">
        <v>635</v>
      </c>
      <c r="B1023" s="10">
        <v>4508691</v>
      </c>
      <c r="C1023" s="10" t="s">
        <v>759</v>
      </c>
      <c r="D1023" s="10" t="s">
        <v>760</v>
      </c>
      <c r="E1023" s="10">
        <v>0</v>
      </c>
      <c r="F1023" s="10">
        <v>0</v>
      </c>
      <c r="G1023" s="10">
        <v>0</v>
      </c>
      <c r="H1023" s="10">
        <v>0</v>
      </c>
      <c r="I1023" s="10" t="s">
        <v>21</v>
      </c>
      <c r="J1023" s="10">
        <v>0</v>
      </c>
      <c r="K1023" s="10">
        <v>0</v>
      </c>
      <c r="L1023" s="10">
        <v>0</v>
      </c>
      <c r="M1023" s="10">
        <v>0</v>
      </c>
      <c r="N1023" s="10" t="s">
        <v>761</v>
      </c>
      <c r="O1023" s="10" t="s">
        <v>1459</v>
      </c>
      <c r="P1023" s="105" t="e">
        <f t="shared" si="15"/>
        <v>#DIV/0!</v>
      </c>
    </row>
    <row r="1024" spans="1:16">
      <c r="A1024" s="10" t="s">
        <v>635</v>
      </c>
      <c r="B1024" s="10">
        <v>4508988</v>
      </c>
      <c r="C1024" s="10" t="s">
        <v>759</v>
      </c>
      <c r="D1024" s="10" t="s">
        <v>760</v>
      </c>
      <c r="E1024" s="10">
        <v>0</v>
      </c>
      <c r="F1024" s="10">
        <v>0</v>
      </c>
      <c r="G1024" s="10">
        <v>0</v>
      </c>
      <c r="H1024" s="10">
        <v>0</v>
      </c>
      <c r="I1024" s="10" t="s">
        <v>37</v>
      </c>
      <c r="J1024" s="10">
        <v>0</v>
      </c>
      <c r="K1024" s="10">
        <v>0</v>
      </c>
      <c r="L1024" s="10">
        <v>0</v>
      </c>
      <c r="M1024" s="10">
        <v>0</v>
      </c>
      <c r="N1024" s="10" t="s">
        <v>761</v>
      </c>
      <c r="O1024" s="10" t="s">
        <v>1460</v>
      </c>
      <c r="P1024" s="105" t="e">
        <f t="shared" si="15"/>
        <v>#DIV/0!</v>
      </c>
    </row>
    <row r="1025" spans="1:16">
      <c r="A1025" s="10" t="s">
        <v>635</v>
      </c>
      <c r="B1025" s="10">
        <v>4509067</v>
      </c>
      <c r="C1025" s="10" t="s">
        <v>759</v>
      </c>
      <c r="D1025" s="10" t="s">
        <v>760</v>
      </c>
      <c r="E1025" s="10">
        <v>0</v>
      </c>
      <c r="F1025" s="10">
        <v>0</v>
      </c>
      <c r="G1025" s="10">
        <v>0</v>
      </c>
      <c r="H1025" s="10">
        <v>0</v>
      </c>
      <c r="I1025" s="10" t="s">
        <v>21</v>
      </c>
      <c r="J1025" s="10">
        <v>0</v>
      </c>
      <c r="K1025" s="10">
        <v>0</v>
      </c>
      <c r="L1025" s="10">
        <v>0</v>
      </c>
      <c r="M1025" s="10">
        <v>0</v>
      </c>
      <c r="N1025" s="10" t="s">
        <v>761</v>
      </c>
      <c r="O1025" s="10" t="s">
        <v>1461</v>
      </c>
      <c r="P1025" s="105" t="e">
        <f t="shared" si="15"/>
        <v>#DIV/0!</v>
      </c>
    </row>
    <row r="1026" spans="1:16">
      <c r="A1026" s="10" t="s">
        <v>635</v>
      </c>
      <c r="B1026" s="10">
        <v>4509073</v>
      </c>
      <c r="C1026" s="10" t="s">
        <v>759</v>
      </c>
      <c r="D1026" s="10" t="s">
        <v>760</v>
      </c>
      <c r="E1026" s="10">
        <v>297</v>
      </c>
      <c r="F1026" s="10">
        <v>440</v>
      </c>
      <c r="G1026" s="10">
        <v>0</v>
      </c>
      <c r="H1026" s="10">
        <v>737</v>
      </c>
      <c r="I1026" s="10" t="s">
        <v>18</v>
      </c>
      <c r="J1026" s="103">
        <v>2847.98</v>
      </c>
      <c r="K1026" s="103">
        <v>4260</v>
      </c>
      <c r="L1026" s="10">
        <v>0</v>
      </c>
      <c r="M1026" s="103">
        <v>7107.98</v>
      </c>
      <c r="N1026" s="10" t="s">
        <v>761</v>
      </c>
      <c r="O1026" s="10" t="s">
        <v>1462</v>
      </c>
      <c r="P1026" s="105">
        <f t="shared" si="15"/>
        <v>9.6444776119403</v>
      </c>
    </row>
    <row r="1027" spans="1:16">
      <c r="A1027" s="10" t="s">
        <v>635</v>
      </c>
      <c r="B1027" s="10">
        <v>4509249</v>
      </c>
      <c r="C1027" s="10" t="s">
        <v>759</v>
      </c>
      <c r="D1027" s="10" t="s">
        <v>760</v>
      </c>
      <c r="E1027" s="10">
        <v>0</v>
      </c>
      <c r="F1027" s="10">
        <v>0</v>
      </c>
      <c r="G1027" s="10">
        <v>0</v>
      </c>
      <c r="H1027" s="10">
        <v>0</v>
      </c>
      <c r="I1027" s="10" t="s">
        <v>74</v>
      </c>
      <c r="J1027" s="10">
        <v>0</v>
      </c>
      <c r="K1027" s="10">
        <v>0</v>
      </c>
      <c r="L1027" s="10">
        <v>0</v>
      </c>
      <c r="M1027" s="10">
        <v>0</v>
      </c>
      <c r="N1027" s="10" t="s">
        <v>761</v>
      </c>
      <c r="O1027" s="10" t="s">
        <v>706</v>
      </c>
      <c r="P1027" s="105" t="e">
        <f t="shared" ref="P1027:P1090" si="16">M1027/H1027</f>
        <v>#DIV/0!</v>
      </c>
    </row>
    <row r="1028" spans="1:16">
      <c r="A1028" s="10" t="s">
        <v>635</v>
      </c>
      <c r="B1028" s="10">
        <v>4509253</v>
      </c>
      <c r="C1028" s="10" t="s">
        <v>759</v>
      </c>
      <c r="D1028" s="10" t="s">
        <v>760</v>
      </c>
      <c r="E1028" s="10">
        <v>0</v>
      </c>
      <c r="F1028" s="10">
        <v>0</v>
      </c>
      <c r="G1028" s="10">
        <v>0</v>
      </c>
      <c r="H1028" s="10">
        <v>0</v>
      </c>
      <c r="I1028" s="10" t="s">
        <v>21</v>
      </c>
      <c r="J1028" s="10">
        <v>0</v>
      </c>
      <c r="K1028" s="10">
        <v>0</v>
      </c>
      <c r="L1028" s="10">
        <v>0</v>
      </c>
      <c r="M1028" s="10">
        <v>0</v>
      </c>
      <c r="N1028" s="10" t="s">
        <v>761</v>
      </c>
      <c r="O1028" s="10" t="s">
        <v>1463</v>
      </c>
      <c r="P1028" s="105" t="e">
        <f t="shared" si="16"/>
        <v>#DIV/0!</v>
      </c>
    </row>
    <row r="1029" spans="1:16">
      <c r="A1029" s="10" t="s">
        <v>635</v>
      </c>
      <c r="B1029" s="10">
        <v>4509269</v>
      </c>
      <c r="C1029" s="10" t="s">
        <v>759</v>
      </c>
      <c r="D1029" s="10" t="s">
        <v>760</v>
      </c>
      <c r="E1029" s="10">
        <v>0</v>
      </c>
      <c r="F1029" s="10">
        <v>0</v>
      </c>
      <c r="G1029" s="10">
        <v>0</v>
      </c>
      <c r="H1029" s="10">
        <v>0</v>
      </c>
      <c r="I1029" s="10" t="s">
        <v>21</v>
      </c>
      <c r="J1029" s="10">
        <v>0</v>
      </c>
      <c r="K1029" s="10">
        <v>0</v>
      </c>
      <c r="L1029" s="10">
        <v>0</v>
      </c>
      <c r="M1029" s="10">
        <v>0</v>
      </c>
      <c r="N1029" s="10" t="s">
        <v>761</v>
      </c>
      <c r="O1029" s="10" t="s">
        <v>1464</v>
      </c>
      <c r="P1029" s="105" t="e">
        <f t="shared" si="16"/>
        <v>#DIV/0!</v>
      </c>
    </row>
    <row r="1030" spans="1:16">
      <c r="A1030" s="10" t="s">
        <v>635</v>
      </c>
      <c r="B1030" s="10">
        <v>4509270</v>
      </c>
      <c r="C1030" s="10" t="s">
        <v>759</v>
      </c>
      <c r="D1030" s="10" t="s">
        <v>760</v>
      </c>
      <c r="E1030" s="10">
        <v>0</v>
      </c>
      <c r="F1030" s="10">
        <v>0</v>
      </c>
      <c r="G1030" s="10">
        <v>0</v>
      </c>
      <c r="H1030" s="10">
        <v>0</v>
      </c>
      <c r="I1030" s="10" t="s">
        <v>21</v>
      </c>
      <c r="J1030" s="10">
        <v>0</v>
      </c>
      <c r="K1030" s="10">
        <v>0</v>
      </c>
      <c r="L1030" s="10">
        <v>0</v>
      </c>
      <c r="M1030" s="10">
        <v>0</v>
      </c>
      <c r="N1030" s="10" t="s">
        <v>761</v>
      </c>
      <c r="O1030" s="10" t="s">
        <v>1465</v>
      </c>
      <c r="P1030" s="105" t="e">
        <f t="shared" si="16"/>
        <v>#DIV/0!</v>
      </c>
    </row>
    <row r="1031" spans="1:16">
      <c r="A1031" s="10" t="s">
        <v>635</v>
      </c>
      <c r="B1031" s="10">
        <v>4509350</v>
      </c>
      <c r="C1031" s="10" t="s">
        <v>759</v>
      </c>
      <c r="D1031" s="10" t="s">
        <v>760</v>
      </c>
      <c r="E1031" s="10">
        <v>0</v>
      </c>
      <c r="F1031" s="10">
        <v>0</v>
      </c>
      <c r="G1031" s="10">
        <v>0</v>
      </c>
      <c r="H1031" s="10">
        <v>0</v>
      </c>
      <c r="I1031" s="10" t="s">
        <v>697</v>
      </c>
      <c r="J1031" s="10">
        <v>0</v>
      </c>
      <c r="K1031" s="10">
        <v>0</v>
      </c>
      <c r="L1031" s="10">
        <v>0</v>
      </c>
      <c r="M1031" s="10">
        <v>0</v>
      </c>
      <c r="N1031" s="10" t="s">
        <v>761</v>
      </c>
      <c r="O1031" s="10" t="s">
        <v>1466</v>
      </c>
      <c r="P1031" s="105" t="e">
        <f t="shared" si="16"/>
        <v>#DIV/0!</v>
      </c>
    </row>
    <row r="1032" spans="1:16">
      <c r="A1032" s="10" t="s">
        <v>635</v>
      </c>
      <c r="B1032" s="10">
        <v>4509685</v>
      </c>
      <c r="C1032" s="10" t="s">
        <v>759</v>
      </c>
      <c r="D1032" s="10" t="s">
        <v>760</v>
      </c>
      <c r="E1032" s="10">
        <v>0</v>
      </c>
      <c r="F1032" s="10">
        <v>0</v>
      </c>
      <c r="G1032" s="10">
        <v>0</v>
      </c>
      <c r="H1032" s="10">
        <v>0</v>
      </c>
      <c r="I1032" s="10" t="s">
        <v>26</v>
      </c>
      <c r="J1032" s="10">
        <v>0</v>
      </c>
      <c r="K1032" s="10">
        <v>0</v>
      </c>
      <c r="L1032" s="10">
        <v>0</v>
      </c>
      <c r="M1032" s="10">
        <v>0</v>
      </c>
      <c r="N1032" s="10" t="s">
        <v>761</v>
      </c>
      <c r="O1032" s="10" t="s">
        <v>1467</v>
      </c>
      <c r="P1032" s="105" t="e">
        <f t="shared" si="16"/>
        <v>#DIV/0!</v>
      </c>
    </row>
    <row r="1033" spans="1:16">
      <c r="A1033" s="10" t="s">
        <v>635</v>
      </c>
      <c r="B1033" s="10">
        <v>4509686</v>
      </c>
      <c r="C1033" s="10" t="s">
        <v>759</v>
      </c>
      <c r="D1033" s="10" t="s">
        <v>760</v>
      </c>
      <c r="E1033" s="10">
        <v>0</v>
      </c>
      <c r="F1033" s="10">
        <v>0</v>
      </c>
      <c r="G1033" s="10">
        <v>0</v>
      </c>
      <c r="H1033" s="10">
        <v>0</v>
      </c>
      <c r="I1033" s="10" t="s">
        <v>74</v>
      </c>
      <c r="J1033" s="10">
        <v>0</v>
      </c>
      <c r="K1033" s="10">
        <v>0</v>
      </c>
      <c r="L1033" s="10">
        <v>0</v>
      </c>
      <c r="M1033" s="10">
        <v>0</v>
      </c>
      <c r="N1033" s="10" t="s">
        <v>761</v>
      </c>
      <c r="O1033" s="10" t="s">
        <v>1468</v>
      </c>
      <c r="P1033" s="105" t="e">
        <f t="shared" si="16"/>
        <v>#DIV/0!</v>
      </c>
    </row>
    <row r="1034" spans="1:16">
      <c r="A1034" s="10" t="s">
        <v>635</v>
      </c>
      <c r="B1034" s="10">
        <v>4509687</v>
      </c>
      <c r="C1034" s="10" t="s">
        <v>759</v>
      </c>
      <c r="D1034" s="10" t="s">
        <v>760</v>
      </c>
      <c r="E1034" s="10">
        <v>0</v>
      </c>
      <c r="F1034" s="10">
        <v>0</v>
      </c>
      <c r="G1034" s="10">
        <v>0</v>
      </c>
      <c r="H1034" s="10">
        <v>0</v>
      </c>
      <c r="I1034" s="10" t="s">
        <v>37</v>
      </c>
      <c r="J1034" s="10">
        <v>0</v>
      </c>
      <c r="K1034" s="10">
        <v>0</v>
      </c>
      <c r="L1034" s="10">
        <v>0</v>
      </c>
      <c r="M1034" s="10">
        <v>0</v>
      </c>
      <c r="N1034" s="10" t="s">
        <v>761</v>
      </c>
      <c r="O1034" s="10" t="s">
        <v>1469</v>
      </c>
      <c r="P1034" s="105" t="e">
        <f t="shared" si="16"/>
        <v>#DIV/0!</v>
      </c>
    </row>
    <row r="1035" spans="1:16">
      <c r="A1035" s="10" t="s">
        <v>635</v>
      </c>
      <c r="B1035" s="10">
        <v>4509688</v>
      </c>
      <c r="C1035" s="10" t="s">
        <v>759</v>
      </c>
      <c r="D1035" s="10" t="s">
        <v>760</v>
      </c>
      <c r="E1035" s="10">
        <v>0</v>
      </c>
      <c r="F1035" s="10">
        <v>0</v>
      </c>
      <c r="G1035" s="10">
        <v>0</v>
      </c>
      <c r="H1035" s="10">
        <v>0</v>
      </c>
      <c r="I1035" s="10" t="s">
        <v>74</v>
      </c>
      <c r="J1035" s="10">
        <v>0</v>
      </c>
      <c r="K1035" s="10">
        <v>0</v>
      </c>
      <c r="L1035" s="10">
        <v>0</v>
      </c>
      <c r="M1035" s="10">
        <v>0</v>
      </c>
      <c r="N1035" s="10" t="s">
        <v>761</v>
      </c>
      <c r="O1035" s="10" t="s">
        <v>1470</v>
      </c>
      <c r="P1035" s="105" t="e">
        <f t="shared" si="16"/>
        <v>#DIV/0!</v>
      </c>
    </row>
    <row r="1036" spans="1:16">
      <c r="A1036" s="10" t="s">
        <v>635</v>
      </c>
      <c r="B1036" s="10">
        <v>4509689</v>
      </c>
      <c r="C1036" s="10" t="s">
        <v>759</v>
      </c>
      <c r="D1036" s="10" t="s">
        <v>760</v>
      </c>
      <c r="E1036" s="10">
        <v>0</v>
      </c>
      <c r="F1036" s="10">
        <v>0</v>
      </c>
      <c r="G1036" s="10">
        <v>0</v>
      </c>
      <c r="H1036" s="10">
        <v>0</v>
      </c>
      <c r="I1036" s="10" t="s">
        <v>74</v>
      </c>
      <c r="J1036" s="10">
        <v>0</v>
      </c>
      <c r="K1036" s="10">
        <v>0</v>
      </c>
      <c r="L1036" s="10">
        <v>0</v>
      </c>
      <c r="M1036" s="10">
        <v>0</v>
      </c>
      <c r="N1036" s="10" t="s">
        <v>761</v>
      </c>
      <c r="O1036" s="10" t="s">
        <v>1471</v>
      </c>
      <c r="P1036" s="105" t="e">
        <f t="shared" si="16"/>
        <v>#DIV/0!</v>
      </c>
    </row>
    <row r="1037" spans="1:16">
      <c r="A1037" s="10" t="s">
        <v>635</v>
      </c>
      <c r="B1037" s="10">
        <v>4509700</v>
      </c>
      <c r="C1037" s="10" t="s">
        <v>759</v>
      </c>
      <c r="D1037" s="10" t="s">
        <v>760</v>
      </c>
      <c r="E1037" s="10">
        <v>0</v>
      </c>
      <c r="F1037" s="10">
        <v>0</v>
      </c>
      <c r="G1037" s="10">
        <v>0</v>
      </c>
      <c r="H1037" s="10">
        <v>0</v>
      </c>
      <c r="I1037" s="10" t="s">
        <v>261</v>
      </c>
      <c r="J1037" s="10">
        <v>0</v>
      </c>
      <c r="K1037" s="10">
        <v>0</v>
      </c>
      <c r="L1037" s="10">
        <v>0</v>
      </c>
      <c r="M1037" s="10">
        <v>0</v>
      </c>
      <c r="N1037" s="10" t="s">
        <v>761</v>
      </c>
      <c r="O1037" s="10" t="s">
        <v>1472</v>
      </c>
      <c r="P1037" s="105" t="e">
        <f t="shared" si="16"/>
        <v>#DIV/0!</v>
      </c>
    </row>
    <row r="1038" spans="1:16">
      <c r="A1038" s="10" t="s">
        <v>635</v>
      </c>
      <c r="B1038" s="10">
        <v>4509701</v>
      </c>
      <c r="C1038" s="10" t="s">
        <v>759</v>
      </c>
      <c r="D1038" s="10" t="s">
        <v>760</v>
      </c>
      <c r="E1038" s="10">
        <v>0</v>
      </c>
      <c r="F1038" s="10">
        <v>0</v>
      </c>
      <c r="G1038" s="10">
        <v>0</v>
      </c>
      <c r="H1038" s="10">
        <v>0</v>
      </c>
      <c r="I1038" s="10" t="s">
        <v>261</v>
      </c>
      <c r="J1038" s="10">
        <v>0</v>
      </c>
      <c r="K1038" s="10">
        <v>0</v>
      </c>
      <c r="L1038" s="10">
        <v>0</v>
      </c>
      <c r="M1038" s="10">
        <v>0</v>
      </c>
      <c r="N1038" s="10" t="s">
        <v>761</v>
      </c>
      <c r="O1038" s="10" t="s">
        <v>1473</v>
      </c>
      <c r="P1038" s="105" t="e">
        <f t="shared" si="16"/>
        <v>#DIV/0!</v>
      </c>
    </row>
    <row r="1039" spans="1:16">
      <c r="A1039" s="10" t="s">
        <v>635</v>
      </c>
      <c r="B1039" s="10">
        <v>4509702</v>
      </c>
      <c r="C1039" s="10" t="s">
        <v>759</v>
      </c>
      <c r="D1039" s="10" t="s">
        <v>760</v>
      </c>
      <c r="E1039" s="10">
        <v>0</v>
      </c>
      <c r="F1039" s="10">
        <v>0</v>
      </c>
      <c r="G1039" s="10">
        <v>0</v>
      </c>
      <c r="H1039" s="10">
        <v>0</v>
      </c>
      <c r="I1039" s="10" t="s">
        <v>261</v>
      </c>
      <c r="J1039" s="10">
        <v>0</v>
      </c>
      <c r="K1039" s="10">
        <v>0</v>
      </c>
      <c r="L1039" s="10">
        <v>0</v>
      </c>
      <c r="M1039" s="10">
        <v>0</v>
      </c>
      <c r="N1039" s="10" t="s">
        <v>761</v>
      </c>
      <c r="O1039" s="10" t="s">
        <v>1474</v>
      </c>
      <c r="P1039" s="105" t="e">
        <f t="shared" si="16"/>
        <v>#DIV/0!</v>
      </c>
    </row>
    <row r="1040" spans="1:16">
      <c r="A1040" s="10" t="s">
        <v>635</v>
      </c>
      <c r="B1040" s="10">
        <v>4509889</v>
      </c>
      <c r="C1040" s="10" t="s">
        <v>759</v>
      </c>
      <c r="D1040" s="10" t="s">
        <v>760</v>
      </c>
      <c r="E1040" s="10">
        <v>0</v>
      </c>
      <c r="F1040" s="10">
        <v>0</v>
      </c>
      <c r="G1040" s="10">
        <v>0</v>
      </c>
      <c r="H1040" s="10">
        <v>0</v>
      </c>
      <c r="I1040" s="10" t="s">
        <v>21</v>
      </c>
      <c r="J1040" s="10">
        <v>0</v>
      </c>
      <c r="K1040" s="10">
        <v>0</v>
      </c>
      <c r="L1040" s="10">
        <v>0</v>
      </c>
      <c r="M1040" s="10">
        <v>0</v>
      </c>
      <c r="N1040" s="10" t="s">
        <v>761</v>
      </c>
      <c r="O1040" s="10" t="s">
        <v>1475</v>
      </c>
      <c r="P1040" s="105" t="e">
        <f t="shared" si="16"/>
        <v>#DIV/0!</v>
      </c>
    </row>
    <row r="1041" spans="1:16">
      <c r="A1041" s="10" t="s">
        <v>635</v>
      </c>
      <c r="B1041" s="10">
        <v>4509894</v>
      </c>
      <c r="C1041" s="10" t="s">
        <v>759</v>
      </c>
      <c r="D1041" s="10" t="s">
        <v>760</v>
      </c>
      <c r="E1041" s="10">
        <v>0</v>
      </c>
      <c r="F1041" s="10">
        <v>0</v>
      </c>
      <c r="G1041" s="10">
        <v>0</v>
      </c>
      <c r="H1041" s="10">
        <v>0</v>
      </c>
      <c r="I1041" s="10" t="s">
        <v>74</v>
      </c>
      <c r="J1041" s="10">
        <v>0</v>
      </c>
      <c r="K1041" s="10">
        <v>0</v>
      </c>
      <c r="L1041" s="10">
        <v>0</v>
      </c>
      <c r="M1041" s="10">
        <v>0</v>
      </c>
      <c r="N1041" s="10" t="s">
        <v>761</v>
      </c>
      <c r="O1041" s="10" t="s">
        <v>1476</v>
      </c>
      <c r="P1041" s="105" t="e">
        <f t="shared" si="16"/>
        <v>#DIV/0!</v>
      </c>
    </row>
    <row r="1042" spans="1:16">
      <c r="A1042" s="10" t="s">
        <v>635</v>
      </c>
      <c r="B1042" s="10">
        <v>4509936</v>
      </c>
      <c r="C1042" s="10" t="s">
        <v>759</v>
      </c>
      <c r="D1042" s="10" t="s">
        <v>760</v>
      </c>
      <c r="E1042" s="10">
        <v>0</v>
      </c>
      <c r="F1042" s="10">
        <v>0</v>
      </c>
      <c r="G1042" s="10">
        <v>0</v>
      </c>
      <c r="H1042" s="10">
        <v>0</v>
      </c>
      <c r="I1042" s="10" t="s">
        <v>33</v>
      </c>
      <c r="J1042" s="10">
        <v>0</v>
      </c>
      <c r="K1042" s="10">
        <v>0</v>
      </c>
      <c r="L1042" s="10">
        <v>0</v>
      </c>
      <c r="M1042" s="10">
        <v>0</v>
      </c>
      <c r="N1042" s="10" t="s">
        <v>761</v>
      </c>
      <c r="O1042" s="10" t="s">
        <v>1477</v>
      </c>
      <c r="P1042" s="105" t="e">
        <f t="shared" si="16"/>
        <v>#DIV/0!</v>
      </c>
    </row>
    <row r="1043" spans="1:16">
      <c r="A1043" s="10" t="s">
        <v>635</v>
      </c>
      <c r="B1043" s="10">
        <v>4510006</v>
      </c>
      <c r="C1043" s="10" t="s">
        <v>759</v>
      </c>
      <c r="D1043" s="10" t="s">
        <v>760</v>
      </c>
      <c r="E1043" s="10">
        <v>108</v>
      </c>
      <c r="F1043" s="10">
        <v>0</v>
      </c>
      <c r="G1043" s="10">
        <v>0</v>
      </c>
      <c r="H1043" s="10">
        <v>108</v>
      </c>
      <c r="I1043" s="10" t="s">
        <v>74</v>
      </c>
      <c r="J1043" s="103">
        <v>3510</v>
      </c>
      <c r="K1043" s="10">
        <v>0</v>
      </c>
      <c r="L1043" s="10">
        <v>0</v>
      </c>
      <c r="M1043" s="103">
        <v>3510</v>
      </c>
      <c r="N1043" s="10" t="s">
        <v>761</v>
      </c>
      <c r="O1043" s="10" t="s">
        <v>434</v>
      </c>
      <c r="P1043" s="105">
        <f t="shared" si="16"/>
        <v>32.5</v>
      </c>
    </row>
    <row r="1044" spans="1:16">
      <c r="A1044" s="10" t="s">
        <v>635</v>
      </c>
      <c r="B1044" s="10">
        <v>4510060</v>
      </c>
      <c r="C1044" s="10" t="s">
        <v>759</v>
      </c>
      <c r="D1044" s="10" t="s">
        <v>760</v>
      </c>
      <c r="E1044" s="10">
        <v>0</v>
      </c>
      <c r="F1044" s="10">
        <v>0</v>
      </c>
      <c r="G1044" s="10">
        <v>0</v>
      </c>
      <c r="H1044" s="10">
        <v>0</v>
      </c>
      <c r="I1044" s="10" t="s">
        <v>1433</v>
      </c>
      <c r="J1044" s="10">
        <v>0</v>
      </c>
      <c r="K1044" s="10">
        <v>0</v>
      </c>
      <c r="L1044" s="10">
        <v>0</v>
      </c>
      <c r="M1044" s="10">
        <v>0</v>
      </c>
      <c r="N1044" s="10" t="s">
        <v>761</v>
      </c>
      <c r="O1044" s="10" t="s">
        <v>1478</v>
      </c>
      <c r="P1044" s="105" t="e">
        <f t="shared" si="16"/>
        <v>#DIV/0!</v>
      </c>
    </row>
    <row r="1045" spans="1:16">
      <c r="A1045" s="10" t="s">
        <v>635</v>
      </c>
      <c r="B1045" s="10">
        <v>4510249</v>
      </c>
      <c r="C1045" s="10" t="s">
        <v>759</v>
      </c>
      <c r="D1045" s="10" t="s">
        <v>760</v>
      </c>
      <c r="E1045" s="10">
        <v>0</v>
      </c>
      <c r="F1045" s="10">
        <v>0</v>
      </c>
      <c r="G1045" s="10">
        <v>0</v>
      </c>
      <c r="H1045" s="10">
        <v>0</v>
      </c>
      <c r="I1045" s="10" t="s">
        <v>56</v>
      </c>
      <c r="J1045" s="10">
        <v>0</v>
      </c>
      <c r="K1045" s="10">
        <v>0</v>
      </c>
      <c r="L1045" s="10">
        <v>0</v>
      </c>
      <c r="M1045" s="10">
        <v>0</v>
      </c>
      <c r="N1045" s="10" t="s">
        <v>761</v>
      </c>
      <c r="O1045" s="10" t="s">
        <v>1479</v>
      </c>
      <c r="P1045" s="105" t="e">
        <f t="shared" si="16"/>
        <v>#DIV/0!</v>
      </c>
    </row>
    <row r="1046" spans="1:16">
      <c r="A1046" s="10" t="s">
        <v>635</v>
      </c>
      <c r="B1046" s="10">
        <v>4510251</v>
      </c>
      <c r="C1046" s="10" t="s">
        <v>759</v>
      </c>
      <c r="D1046" s="10" t="s">
        <v>760</v>
      </c>
      <c r="E1046" s="10">
        <v>6</v>
      </c>
      <c r="F1046" s="10">
        <v>24</v>
      </c>
      <c r="G1046" s="10">
        <v>0</v>
      </c>
      <c r="H1046" s="10">
        <v>30</v>
      </c>
      <c r="I1046" s="10" t="s">
        <v>74</v>
      </c>
      <c r="J1046" s="10">
        <v>22.5</v>
      </c>
      <c r="K1046" s="10">
        <v>90</v>
      </c>
      <c r="L1046" s="10">
        <v>0</v>
      </c>
      <c r="M1046" s="10">
        <v>112.5</v>
      </c>
      <c r="N1046" s="10" t="s">
        <v>761</v>
      </c>
      <c r="O1046" s="10" t="s">
        <v>437</v>
      </c>
      <c r="P1046" s="105">
        <f t="shared" si="16"/>
        <v>3.75</v>
      </c>
    </row>
    <row r="1047" spans="1:16">
      <c r="A1047" s="10" t="s">
        <v>635</v>
      </c>
      <c r="B1047" s="10">
        <v>4510491</v>
      </c>
      <c r="C1047" s="10" t="s">
        <v>759</v>
      </c>
      <c r="D1047" s="10" t="s">
        <v>760</v>
      </c>
      <c r="E1047" s="10">
        <v>3</v>
      </c>
      <c r="F1047" s="10">
        <v>10</v>
      </c>
      <c r="G1047" s="10">
        <v>0</v>
      </c>
      <c r="H1047" s="10">
        <v>13</v>
      </c>
      <c r="I1047" s="10" t="s">
        <v>74</v>
      </c>
      <c r="J1047" s="10">
        <v>72</v>
      </c>
      <c r="K1047" s="10">
        <v>240</v>
      </c>
      <c r="L1047" s="10">
        <v>0</v>
      </c>
      <c r="M1047" s="10">
        <v>312</v>
      </c>
      <c r="N1047" s="10" t="s">
        <v>761</v>
      </c>
      <c r="O1047" s="10" t="s">
        <v>135</v>
      </c>
      <c r="P1047" s="105">
        <f t="shared" si="16"/>
        <v>24</v>
      </c>
    </row>
    <row r="1048" spans="1:16">
      <c r="A1048" s="10" t="s">
        <v>635</v>
      </c>
      <c r="B1048" s="10">
        <v>4510556</v>
      </c>
      <c r="C1048" s="10" t="s">
        <v>759</v>
      </c>
      <c r="D1048" s="10" t="s">
        <v>760</v>
      </c>
      <c r="E1048" s="10">
        <v>0</v>
      </c>
      <c r="F1048" s="10">
        <v>0</v>
      </c>
      <c r="G1048" s="10">
        <v>0</v>
      </c>
      <c r="H1048" s="10">
        <v>0</v>
      </c>
      <c r="I1048" s="10" t="s">
        <v>93</v>
      </c>
      <c r="J1048" s="10">
        <v>0</v>
      </c>
      <c r="K1048" s="10">
        <v>0</v>
      </c>
      <c r="L1048" s="10">
        <v>0</v>
      </c>
      <c r="M1048" s="10">
        <v>0</v>
      </c>
      <c r="N1048" s="10" t="s">
        <v>761</v>
      </c>
      <c r="O1048" s="10" t="s">
        <v>1480</v>
      </c>
      <c r="P1048" s="105" t="e">
        <f t="shared" si="16"/>
        <v>#DIV/0!</v>
      </c>
    </row>
    <row r="1049" spans="1:16">
      <c r="A1049" s="10" t="s">
        <v>635</v>
      </c>
      <c r="B1049" s="10">
        <v>4510557</v>
      </c>
      <c r="C1049" s="10" t="s">
        <v>759</v>
      </c>
      <c r="D1049" s="10" t="s">
        <v>760</v>
      </c>
      <c r="E1049" s="10">
        <v>0</v>
      </c>
      <c r="F1049" s="10">
        <v>0</v>
      </c>
      <c r="G1049" s="10">
        <v>0</v>
      </c>
      <c r="H1049" s="10">
        <v>0</v>
      </c>
      <c r="I1049" s="10" t="s">
        <v>711</v>
      </c>
      <c r="J1049" s="10">
        <v>0</v>
      </c>
      <c r="K1049" s="10">
        <v>0</v>
      </c>
      <c r="L1049" s="10">
        <v>0</v>
      </c>
      <c r="M1049" s="10">
        <v>0</v>
      </c>
      <c r="N1049" s="10" t="s">
        <v>761</v>
      </c>
      <c r="O1049" s="10" t="s">
        <v>1481</v>
      </c>
      <c r="P1049" s="105" t="e">
        <f t="shared" si="16"/>
        <v>#DIV/0!</v>
      </c>
    </row>
    <row r="1050" spans="1:16">
      <c r="A1050" s="10" t="s">
        <v>635</v>
      </c>
      <c r="B1050" s="10">
        <v>4510655</v>
      </c>
      <c r="C1050" s="10" t="s">
        <v>759</v>
      </c>
      <c r="D1050" s="10" t="s">
        <v>760</v>
      </c>
      <c r="E1050" s="10">
        <v>0</v>
      </c>
      <c r="F1050" s="10">
        <v>0</v>
      </c>
      <c r="G1050" s="10">
        <v>0</v>
      </c>
      <c r="H1050" s="10">
        <v>0</v>
      </c>
      <c r="I1050" s="10" t="s">
        <v>74</v>
      </c>
      <c r="J1050" s="10">
        <v>0</v>
      </c>
      <c r="K1050" s="10">
        <v>0</v>
      </c>
      <c r="L1050" s="10">
        <v>0</v>
      </c>
      <c r="M1050" s="10">
        <v>0</v>
      </c>
      <c r="N1050" s="10" t="s">
        <v>761</v>
      </c>
      <c r="O1050" s="10" t="s">
        <v>1482</v>
      </c>
      <c r="P1050" s="105" t="e">
        <f t="shared" si="16"/>
        <v>#DIV/0!</v>
      </c>
    </row>
    <row r="1051" spans="1:16">
      <c r="A1051" s="10" t="s">
        <v>635</v>
      </c>
      <c r="B1051" s="10">
        <v>4510656</v>
      </c>
      <c r="C1051" s="10" t="s">
        <v>759</v>
      </c>
      <c r="D1051" s="10" t="s">
        <v>760</v>
      </c>
      <c r="E1051" s="10">
        <v>0</v>
      </c>
      <c r="F1051" s="10">
        <v>0</v>
      </c>
      <c r="G1051" s="10">
        <v>0</v>
      </c>
      <c r="H1051" s="10">
        <v>0</v>
      </c>
      <c r="I1051" s="10" t="s">
        <v>74</v>
      </c>
      <c r="J1051" s="10">
        <v>0</v>
      </c>
      <c r="K1051" s="10">
        <v>0</v>
      </c>
      <c r="L1051" s="10">
        <v>0</v>
      </c>
      <c r="M1051" s="10">
        <v>0</v>
      </c>
      <c r="N1051" s="10" t="s">
        <v>761</v>
      </c>
      <c r="O1051" s="10" t="s">
        <v>707</v>
      </c>
      <c r="P1051" s="105" t="e">
        <f t="shared" si="16"/>
        <v>#DIV/0!</v>
      </c>
    </row>
    <row r="1052" spans="1:16">
      <c r="A1052" s="10" t="s">
        <v>635</v>
      </c>
      <c r="B1052" s="10">
        <v>4510694</v>
      </c>
      <c r="C1052" s="10" t="s">
        <v>759</v>
      </c>
      <c r="D1052" s="10" t="s">
        <v>760</v>
      </c>
      <c r="E1052" s="10">
        <v>0</v>
      </c>
      <c r="F1052" s="10">
        <v>5</v>
      </c>
      <c r="G1052" s="10">
        <v>0</v>
      </c>
      <c r="H1052" s="10">
        <v>5</v>
      </c>
      <c r="I1052" s="10" t="s">
        <v>74</v>
      </c>
      <c r="J1052" s="10">
        <v>0</v>
      </c>
      <c r="K1052" s="10">
        <v>38</v>
      </c>
      <c r="L1052" s="10">
        <v>0</v>
      </c>
      <c r="M1052" s="10">
        <v>38</v>
      </c>
      <c r="N1052" s="10" t="s">
        <v>761</v>
      </c>
      <c r="O1052" s="10" t="s">
        <v>79</v>
      </c>
      <c r="P1052" s="105">
        <f t="shared" si="16"/>
        <v>7.6</v>
      </c>
    </row>
    <row r="1053" spans="1:16">
      <c r="A1053" s="10" t="s">
        <v>635</v>
      </c>
      <c r="B1053" s="10">
        <v>4510759</v>
      </c>
      <c r="C1053" s="10" t="s">
        <v>759</v>
      </c>
      <c r="D1053" s="10" t="s">
        <v>760</v>
      </c>
      <c r="E1053" s="10">
        <v>0</v>
      </c>
      <c r="F1053" s="10">
        <v>0</v>
      </c>
      <c r="G1053" s="10">
        <v>0</v>
      </c>
      <c r="H1053" s="10">
        <v>0</v>
      </c>
      <c r="I1053" s="10" t="s">
        <v>18</v>
      </c>
      <c r="J1053" s="10">
        <v>0</v>
      </c>
      <c r="K1053" s="10">
        <v>0</v>
      </c>
      <c r="L1053" s="10">
        <v>0</v>
      </c>
      <c r="M1053" s="10">
        <v>0</v>
      </c>
      <c r="N1053" s="10" t="s">
        <v>761</v>
      </c>
      <c r="O1053" s="10" t="s">
        <v>1483</v>
      </c>
      <c r="P1053" s="105" t="e">
        <f t="shared" si="16"/>
        <v>#DIV/0!</v>
      </c>
    </row>
    <row r="1054" spans="1:16">
      <c r="A1054" s="10" t="s">
        <v>635</v>
      </c>
      <c r="B1054" s="10">
        <v>4510760</v>
      </c>
      <c r="C1054" s="10" t="s">
        <v>759</v>
      </c>
      <c r="D1054" s="10" t="s">
        <v>760</v>
      </c>
      <c r="E1054" s="10">
        <v>6</v>
      </c>
      <c r="F1054" s="10">
        <v>36</v>
      </c>
      <c r="G1054" s="10">
        <v>0</v>
      </c>
      <c r="H1054" s="10">
        <v>42</v>
      </c>
      <c r="I1054" s="10" t="s">
        <v>67</v>
      </c>
      <c r="J1054" s="10">
        <v>56.25</v>
      </c>
      <c r="K1054" s="10">
        <v>337.5</v>
      </c>
      <c r="L1054" s="10">
        <v>0</v>
      </c>
      <c r="M1054" s="10">
        <v>393.75</v>
      </c>
      <c r="N1054" s="10" t="s">
        <v>761</v>
      </c>
      <c r="O1054" s="10" t="s">
        <v>131</v>
      </c>
      <c r="P1054" s="105">
        <f t="shared" si="16"/>
        <v>9.375</v>
      </c>
    </row>
    <row r="1055" spans="1:16">
      <c r="A1055" s="10" t="s">
        <v>635</v>
      </c>
      <c r="B1055" s="10">
        <v>4511046</v>
      </c>
      <c r="C1055" s="10" t="s">
        <v>759</v>
      </c>
      <c r="D1055" s="10" t="s">
        <v>760</v>
      </c>
      <c r="E1055" s="10">
        <v>0</v>
      </c>
      <c r="F1055" s="10">
        <v>0</v>
      </c>
      <c r="G1055" s="10">
        <v>0</v>
      </c>
      <c r="H1055" s="10">
        <v>0</v>
      </c>
      <c r="I1055" s="10" t="s">
        <v>21</v>
      </c>
      <c r="J1055" s="10">
        <v>0</v>
      </c>
      <c r="K1055" s="10">
        <v>0</v>
      </c>
      <c r="L1055" s="10">
        <v>0</v>
      </c>
      <c r="M1055" s="10">
        <v>0</v>
      </c>
      <c r="N1055" s="10" t="s">
        <v>761</v>
      </c>
      <c r="O1055" s="10" t="s">
        <v>1484</v>
      </c>
      <c r="P1055" s="105" t="e">
        <f t="shared" si="16"/>
        <v>#DIV/0!</v>
      </c>
    </row>
    <row r="1056" spans="1:16">
      <c r="A1056" s="10" t="s">
        <v>635</v>
      </c>
      <c r="B1056" s="10">
        <v>4511130</v>
      </c>
      <c r="C1056" s="10" t="s">
        <v>759</v>
      </c>
      <c r="D1056" s="10" t="s">
        <v>760</v>
      </c>
      <c r="E1056" s="10">
        <v>46</v>
      </c>
      <c r="F1056" s="10">
        <v>168</v>
      </c>
      <c r="G1056" s="10">
        <v>0</v>
      </c>
      <c r="H1056" s="10">
        <v>214</v>
      </c>
      <c r="I1056" s="10" t="s">
        <v>138</v>
      </c>
      <c r="J1056" s="10">
        <v>88.07</v>
      </c>
      <c r="K1056" s="10">
        <v>321.65</v>
      </c>
      <c r="L1056" s="10">
        <v>0</v>
      </c>
      <c r="M1056" s="10">
        <v>409.72</v>
      </c>
      <c r="N1056" s="10" t="s">
        <v>761</v>
      </c>
      <c r="O1056" s="10" t="s">
        <v>325</v>
      </c>
      <c r="P1056" s="105">
        <f t="shared" si="16"/>
        <v>1.91457943925234</v>
      </c>
    </row>
    <row r="1057" spans="1:16">
      <c r="A1057" s="10" t="s">
        <v>635</v>
      </c>
      <c r="B1057" s="10">
        <v>4511558</v>
      </c>
      <c r="C1057" s="10" t="s">
        <v>759</v>
      </c>
      <c r="D1057" s="10" t="s">
        <v>760</v>
      </c>
      <c r="E1057" s="10">
        <v>0</v>
      </c>
      <c r="F1057" s="10">
        <v>0</v>
      </c>
      <c r="G1057" s="10">
        <v>0</v>
      </c>
      <c r="H1057" s="10">
        <v>0</v>
      </c>
      <c r="I1057" s="10" t="s">
        <v>1433</v>
      </c>
      <c r="J1057" s="10">
        <v>0</v>
      </c>
      <c r="K1057" s="10">
        <v>0</v>
      </c>
      <c r="L1057" s="10">
        <v>0</v>
      </c>
      <c r="M1057" s="10">
        <v>0</v>
      </c>
      <c r="N1057" s="10" t="s">
        <v>761</v>
      </c>
      <c r="O1057" s="10" t="s">
        <v>1485</v>
      </c>
      <c r="P1057" s="105" t="e">
        <f t="shared" si="16"/>
        <v>#DIV/0!</v>
      </c>
    </row>
    <row r="1058" spans="1:16">
      <c r="A1058" s="10" t="s">
        <v>635</v>
      </c>
      <c r="B1058" s="10">
        <v>4511559</v>
      </c>
      <c r="C1058" s="10" t="s">
        <v>759</v>
      </c>
      <c r="D1058" s="10" t="s">
        <v>760</v>
      </c>
      <c r="E1058" s="10">
        <v>0</v>
      </c>
      <c r="F1058" s="10">
        <v>0</v>
      </c>
      <c r="G1058" s="10">
        <v>0</v>
      </c>
      <c r="H1058" s="10">
        <v>0</v>
      </c>
      <c r="I1058" s="10" t="s">
        <v>1433</v>
      </c>
      <c r="J1058" s="10">
        <v>0</v>
      </c>
      <c r="K1058" s="10">
        <v>0</v>
      </c>
      <c r="L1058" s="10">
        <v>0</v>
      </c>
      <c r="M1058" s="10">
        <v>0</v>
      </c>
      <c r="N1058" s="10" t="s">
        <v>761</v>
      </c>
      <c r="O1058" s="10" t="s">
        <v>1486</v>
      </c>
      <c r="P1058" s="105" t="e">
        <f t="shared" si="16"/>
        <v>#DIV/0!</v>
      </c>
    </row>
    <row r="1059" spans="1:16">
      <c r="A1059" s="10" t="s">
        <v>635</v>
      </c>
      <c r="B1059" s="10">
        <v>4511628</v>
      </c>
      <c r="C1059" s="10" t="s">
        <v>759</v>
      </c>
      <c r="D1059" s="10" t="s">
        <v>760</v>
      </c>
      <c r="E1059" s="10">
        <v>0</v>
      </c>
      <c r="F1059" s="10">
        <v>0</v>
      </c>
      <c r="G1059" s="10">
        <v>0</v>
      </c>
      <c r="H1059" s="10">
        <v>0</v>
      </c>
      <c r="I1059" s="10" t="s">
        <v>74</v>
      </c>
      <c r="J1059" s="10">
        <v>0</v>
      </c>
      <c r="K1059" s="10">
        <v>0</v>
      </c>
      <c r="L1059" s="10">
        <v>0</v>
      </c>
      <c r="M1059" s="10">
        <v>0</v>
      </c>
      <c r="N1059" s="10" t="s">
        <v>761</v>
      </c>
      <c r="O1059" s="10" t="s">
        <v>1487</v>
      </c>
      <c r="P1059" s="105" t="e">
        <f t="shared" si="16"/>
        <v>#DIV/0!</v>
      </c>
    </row>
    <row r="1060" spans="1:16">
      <c r="A1060" s="10" t="s">
        <v>635</v>
      </c>
      <c r="B1060" s="10">
        <v>4511629</v>
      </c>
      <c r="C1060" s="10" t="s">
        <v>759</v>
      </c>
      <c r="D1060" s="10" t="s">
        <v>760</v>
      </c>
      <c r="E1060" s="10">
        <v>0</v>
      </c>
      <c r="F1060" s="10">
        <v>0</v>
      </c>
      <c r="G1060" s="10">
        <v>0</v>
      </c>
      <c r="H1060" s="10">
        <v>0</v>
      </c>
      <c r="I1060" s="10" t="s">
        <v>74</v>
      </c>
      <c r="J1060" s="10">
        <v>0</v>
      </c>
      <c r="K1060" s="10">
        <v>0</v>
      </c>
      <c r="L1060" s="10">
        <v>0</v>
      </c>
      <c r="M1060" s="10">
        <v>0</v>
      </c>
      <c r="N1060" s="10" t="s">
        <v>761</v>
      </c>
      <c r="O1060" s="10" t="s">
        <v>1488</v>
      </c>
      <c r="P1060" s="105" t="e">
        <f t="shared" si="16"/>
        <v>#DIV/0!</v>
      </c>
    </row>
    <row r="1061" spans="1:16">
      <c r="A1061" s="10" t="s">
        <v>635</v>
      </c>
      <c r="B1061" s="10">
        <v>4511630</v>
      </c>
      <c r="C1061" s="10" t="s">
        <v>759</v>
      </c>
      <c r="D1061" s="10" t="s">
        <v>760</v>
      </c>
      <c r="E1061" s="10">
        <v>0</v>
      </c>
      <c r="F1061" s="10">
        <v>0</v>
      </c>
      <c r="G1061" s="10">
        <v>0</v>
      </c>
      <c r="H1061" s="10">
        <v>0</v>
      </c>
      <c r="I1061" s="10" t="s">
        <v>138</v>
      </c>
      <c r="J1061" s="10">
        <v>0</v>
      </c>
      <c r="K1061" s="10">
        <v>0</v>
      </c>
      <c r="L1061" s="10">
        <v>0</v>
      </c>
      <c r="M1061" s="10">
        <v>0</v>
      </c>
      <c r="N1061" s="10" t="s">
        <v>761</v>
      </c>
      <c r="O1061" s="10" t="s">
        <v>1489</v>
      </c>
      <c r="P1061" s="105" t="e">
        <f t="shared" si="16"/>
        <v>#DIV/0!</v>
      </c>
    </row>
    <row r="1062" spans="1:16">
      <c r="A1062" s="10" t="s">
        <v>635</v>
      </c>
      <c r="B1062" s="10">
        <v>4511631</v>
      </c>
      <c r="C1062" s="10" t="s">
        <v>759</v>
      </c>
      <c r="D1062" s="10" t="s">
        <v>760</v>
      </c>
      <c r="E1062" s="10">
        <v>0</v>
      </c>
      <c r="F1062" s="10">
        <v>0</v>
      </c>
      <c r="G1062" s="10">
        <v>0</v>
      </c>
      <c r="H1062" s="10">
        <v>0</v>
      </c>
      <c r="I1062" s="10" t="s">
        <v>30</v>
      </c>
      <c r="J1062" s="10">
        <v>0</v>
      </c>
      <c r="K1062" s="10">
        <v>0</v>
      </c>
      <c r="L1062" s="10">
        <v>0</v>
      </c>
      <c r="M1062" s="10">
        <v>0</v>
      </c>
      <c r="N1062" s="10" t="s">
        <v>761</v>
      </c>
      <c r="O1062" s="10" t="s">
        <v>1490</v>
      </c>
      <c r="P1062" s="105" t="e">
        <f t="shared" si="16"/>
        <v>#DIV/0!</v>
      </c>
    </row>
    <row r="1063" spans="1:16">
      <c r="A1063" s="10" t="s">
        <v>635</v>
      </c>
      <c r="B1063" s="10">
        <v>4511632</v>
      </c>
      <c r="C1063" s="10" t="s">
        <v>759</v>
      </c>
      <c r="D1063" s="10" t="s">
        <v>760</v>
      </c>
      <c r="E1063" s="10">
        <v>0</v>
      </c>
      <c r="F1063" s="10">
        <v>0</v>
      </c>
      <c r="G1063" s="10">
        <v>0</v>
      </c>
      <c r="H1063" s="10">
        <v>0</v>
      </c>
      <c r="I1063" s="10" t="s">
        <v>74</v>
      </c>
      <c r="J1063" s="10">
        <v>0</v>
      </c>
      <c r="K1063" s="10">
        <v>0</v>
      </c>
      <c r="L1063" s="10">
        <v>0</v>
      </c>
      <c r="M1063" s="10">
        <v>0</v>
      </c>
      <c r="N1063" s="10" t="s">
        <v>761</v>
      </c>
      <c r="O1063" s="10" t="s">
        <v>1491</v>
      </c>
      <c r="P1063" s="105" t="e">
        <f t="shared" si="16"/>
        <v>#DIV/0!</v>
      </c>
    </row>
    <row r="1064" spans="1:16">
      <c r="A1064" s="10" t="s">
        <v>635</v>
      </c>
      <c r="B1064" s="10">
        <v>4511662</v>
      </c>
      <c r="C1064" s="10" t="s">
        <v>759</v>
      </c>
      <c r="D1064" s="10" t="s">
        <v>760</v>
      </c>
      <c r="E1064" s="10">
        <v>0</v>
      </c>
      <c r="F1064" s="10">
        <v>0</v>
      </c>
      <c r="G1064" s="10">
        <v>0</v>
      </c>
      <c r="H1064" s="10">
        <v>0</v>
      </c>
      <c r="I1064" s="10" t="s">
        <v>74</v>
      </c>
      <c r="J1064" s="10">
        <v>0</v>
      </c>
      <c r="K1064" s="10">
        <v>0</v>
      </c>
      <c r="L1064" s="10">
        <v>0</v>
      </c>
      <c r="M1064" s="10">
        <v>0</v>
      </c>
      <c r="N1064" s="10" t="s">
        <v>761</v>
      </c>
      <c r="O1064" s="10" t="s">
        <v>1492</v>
      </c>
      <c r="P1064" s="105" t="e">
        <f t="shared" si="16"/>
        <v>#DIV/0!</v>
      </c>
    </row>
    <row r="1065" spans="1:16">
      <c r="A1065" s="10" t="s">
        <v>635</v>
      </c>
      <c r="B1065" s="10">
        <v>4511705</v>
      </c>
      <c r="C1065" s="10" t="s">
        <v>759</v>
      </c>
      <c r="D1065" s="10" t="s">
        <v>760</v>
      </c>
      <c r="E1065" s="10">
        <v>0</v>
      </c>
      <c r="F1065" s="10">
        <v>0</v>
      </c>
      <c r="G1065" s="10">
        <v>0</v>
      </c>
      <c r="H1065" s="10">
        <v>0</v>
      </c>
      <c r="I1065" s="10" t="s">
        <v>1493</v>
      </c>
      <c r="J1065" s="10">
        <v>0</v>
      </c>
      <c r="K1065" s="10">
        <v>0</v>
      </c>
      <c r="L1065" s="10">
        <v>0</v>
      </c>
      <c r="M1065" s="10">
        <v>0</v>
      </c>
      <c r="N1065" s="10" t="s">
        <v>761</v>
      </c>
      <c r="O1065" s="10" t="s">
        <v>1494</v>
      </c>
      <c r="P1065" s="105" t="e">
        <f t="shared" si="16"/>
        <v>#DIV/0!</v>
      </c>
    </row>
    <row r="1066" spans="1:16">
      <c r="A1066" s="10" t="s">
        <v>635</v>
      </c>
      <c r="B1066" s="10">
        <v>4511876</v>
      </c>
      <c r="C1066" s="10" t="s">
        <v>759</v>
      </c>
      <c r="D1066" s="10" t="s">
        <v>760</v>
      </c>
      <c r="E1066" s="10">
        <v>0</v>
      </c>
      <c r="F1066" s="10">
        <v>0</v>
      </c>
      <c r="G1066" s="10">
        <v>0</v>
      </c>
      <c r="H1066" s="10">
        <v>0</v>
      </c>
      <c r="I1066" s="10" t="s">
        <v>74</v>
      </c>
      <c r="J1066" s="10">
        <v>0</v>
      </c>
      <c r="K1066" s="10">
        <v>0</v>
      </c>
      <c r="L1066" s="10">
        <v>0</v>
      </c>
      <c r="M1066" s="10">
        <v>0</v>
      </c>
      <c r="N1066" s="10" t="s">
        <v>761</v>
      </c>
      <c r="O1066" s="10" t="s">
        <v>1495</v>
      </c>
      <c r="P1066" s="105" t="e">
        <f t="shared" si="16"/>
        <v>#DIV/0!</v>
      </c>
    </row>
    <row r="1067" spans="1:16">
      <c r="A1067" s="10" t="s">
        <v>635</v>
      </c>
      <c r="B1067" s="10">
        <v>4511982</v>
      </c>
      <c r="C1067" s="10" t="s">
        <v>759</v>
      </c>
      <c r="D1067" s="10" t="s">
        <v>760</v>
      </c>
      <c r="E1067" s="10">
        <v>0</v>
      </c>
      <c r="F1067" s="10">
        <v>0</v>
      </c>
      <c r="G1067" s="10">
        <v>0</v>
      </c>
      <c r="H1067" s="10">
        <v>0</v>
      </c>
      <c r="I1067" s="10" t="s">
        <v>21</v>
      </c>
      <c r="J1067" s="10">
        <v>0</v>
      </c>
      <c r="K1067" s="10">
        <v>0</v>
      </c>
      <c r="L1067" s="10">
        <v>0</v>
      </c>
      <c r="M1067" s="10">
        <v>0</v>
      </c>
      <c r="N1067" s="10" t="s">
        <v>761</v>
      </c>
      <c r="O1067" s="10" t="s">
        <v>1496</v>
      </c>
      <c r="P1067" s="105" t="e">
        <f t="shared" si="16"/>
        <v>#DIV/0!</v>
      </c>
    </row>
    <row r="1068" spans="1:16">
      <c r="A1068" s="10" t="s">
        <v>635</v>
      </c>
      <c r="B1068" s="10">
        <v>4511983</v>
      </c>
      <c r="C1068" s="10" t="s">
        <v>759</v>
      </c>
      <c r="D1068" s="10" t="s">
        <v>760</v>
      </c>
      <c r="E1068" s="10">
        <v>0</v>
      </c>
      <c r="F1068" s="10">
        <v>0</v>
      </c>
      <c r="G1068" s="10">
        <v>0</v>
      </c>
      <c r="H1068" s="10">
        <v>0</v>
      </c>
      <c r="I1068" s="10" t="s">
        <v>21</v>
      </c>
      <c r="J1068" s="10">
        <v>0</v>
      </c>
      <c r="K1068" s="10">
        <v>0</v>
      </c>
      <c r="L1068" s="10">
        <v>0</v>
      </c>
      <c r="M1068" s="10">
        <v>0</v>
      </c>
      <c r="N1068" s="10" t="s">
        <v>761</v>
      </c>
      <c r="O1068" s="10" t="s">
        <v>1497</v>
      </c>
      <c r="P1068" s="105" t="e">
        <f t="shared" si="16"/>
        <v>#DIV/0!</v>
      </c>
    </row>
    <row r="1069" spans="1:16">
      <c r="A1069" s="10" t="s">
        <v>635</v>
      </c>
      <c r="B1069" s="10">
        <v>4511984</v>
      </c>
      <c r="C1069" s="10" t="s">
        <v>759</v>
      </c>
      <c r="D1069" s="10" t="s">
        <v>760</v>
      </c>
      <c r="E1069" s="10">
        <v>0</v>
      </c>
      <c r="F1069" s="10">
        <v>0</v>
      </c>
      <c r="G1069" s="10">
        <v>0</v>
      </c>
      <c r="H1069" s="10">
        <v>0</v>
      </c>
      <c r="I1069" s="10" t="s">
        <v>21</v>
      </c>
      <c r="J1069" s="10">
        <v>0</v>
      </c>
      <c r="K1069" s="10">
        <v>0</v>
      </c>
      <c r="L1069" s="10">
        <v>0</v>
      </c>
      <c r="M1069" s="10">
        <v>0</v>
      </c>
      <c r="N1069" s="10" t="s">
        <v>761</v>
      </c>
      <c r="O1069" s="10" t="s">
        <v>1498</v>
      </c>
      <c r="P1069" s="105" t="e">
        <f t="shared" si="16"/>
        <v>#DIV/0!</v>
      </c>
    </row>
    <row r="1070" spans="1:16">
      <c r="A1070" s="10" t="s">
        <v>635</v>
      </c>
      <c r="B1070" s="10">
        <v>4511985</v>
      </c>
      <c r="C1070" s="10" t="s">
        <v>759</v>
      </c>
      <c r="D1070" s="10" t="s">
        <v>760</v>
      </c>
      <c r="E1070" s="10">
        <v>0</v>
      </c>
      <c r="F1070" s="10">
        <v>0</v>
      </c>
      <c r="G1070" s="10">
        <v>0</v>
      </c>
      <c r="H1070" s="10">
        <v>0</v>
      </c>
      <c r="I1070" s="10" t="s">
        <v>21</v>
      </c>
      <c r="J1070" s="10">
        <v>0</v>
      </c>
      <c r="K1070" s="10">
        <v>0</v>
      </c>
      <c r="L1070" s="10">
        <v>0</v>
      </c>
      <c r="M1070" s="10">
        <v>0</v>
      </c>
      <c r="N1070" s="10" t="s">
        <v>761</v>
      </c>
      <c r="O1070" s="10" t="s">
        <v>1499</v>
      </c>
      <c r="P1070" s="105" t="e">
        <f t="shared" si="16"/>
        <v>#DIV/0!</v>
      </c>
    </row>
    <row r="1071" spans="1:16">
      <c r="A1071" s="10" t="s">
        <v>635</v>
      </c>
      <c r="B1071" s="10">
        <v>4511986</v>
      </c>
      <c r="C1071" s="10" t="s">
        <v>759</v>
      </c>
      <c r="D1071" s="10" t="s">
        <v>760</v>
      </c>
      <c r="E1071" s="10">
        <v>0</v>
      </c>
      <c r="F1071" s="10">
        <v>0</v>
      </c>
      <c r="G1071" s="10">
        <v>0</v>
      </c>
      <c r="H1071" s="10">
        <v>0</v>
      </c>
      <c r="I1071" s="10" t="s">
        <v>21</v>
      </c>
      <c r="J1071" s="10">
        <v>0</v>
      </c>
      <c r="K1071" s="10">
        <v>0</v>
      </c>
      <c r="L1071" s="10">
        <v>0</v>
      </c>
      <c r="M1071" s="10">
        <v>0</v>
      </c>
      <c r="N1071" s="10" t="s">
        <v>761</v>
      </c>
      <c r="O1071" s="10" t="s">
        <v>1500</v>
      </c>
      <c r="P1071" s="105" t="e">
        <f t="shared" si="16"/>
        <v>#DIV/0!</v>
      </c>
    </row>
    <row r="1072" spans="1:16">
      <c r="A1072" s="10" t="s">
        <v>635</v>
      </c>
      <c r="B1072" s="10">
        <v>4511987</v>
      </c>
      <c r="C1072" s="10" t="s">
        <v>759</v>
      </c>
      <c r="D1072" s="10" t="s">
        <v>760</v>
      </c>
      <c r="E1072" s="10">
        <v>0</v>
      </c>
      <c r="F1072" s="10">
        <v>0</v>
      </c>
      <c r="G1072" s="10">
        <v>0</v>
      </c>
      <c r="H1072" s="10">
        <v>0</v>
      </c>
      <c r="I1072" s="10" t="s">
        <v>21</v>
      </c>
      <c r="J1072" s="10">
        <v>0</v>
      </c>
      <c r="K1072" s="10">
        <v>0</v>
      </c>
      <c r="L1072" s="10">
        <v>0</v>
      </c>
      <c r="M1072" s="10">
        <v>0</v>
      </c>
      <c r="N1072" s="10" t="s">
        <v>761</v>
      </c>
      <c r="O1072" s="10" t="s">
        <v>1501</v>
      </c>
      <c r="P1072" s="105" t="e">
        <f t="shared" si="16"/>
        <v>#DIV/0!</v>
      </c>
    </row>
    <row r="1073" spans="1:16">
      <c r="A1073" s="10" t="s">
        <v>635</v>
      </c>
      <c r="B1073" s="10">
        <v>4511988</v>
      </c>
      <c r="C1073" s="10" t="s">
        <v>759</v>
      </c>
      <c r="D1073" s="10" t="s">
        <v>760</v>
      </c>
      <c r="E1073" s="10">
        <v>0</v>
      </c>
      <c r="F1073" s="10">
        <v>0</v>
      </c>
      <c r="G1073" s="10">
        <v>0</v>
      </c>
      <c r="H1073" s="10">
        <v>0</v>
      </c>
      <c r="I1073" s="10" t="s">
        <v>21</v>
      </c>
      <c r="J1073" s="10">
        <v>0</v>
      </c>
      <c r="K1073" s="10">
        <v>0</v>
      </c>
      <c r="L1073" s="10">
        <v>0</v>
      </c>
      <c r="M1073" s="10">
        <v>0</v>
      </c>
      <c r="N1073" s="10" t="s">
        <v>761</v>
      </c>
      <c r="O1073" s="10" t="s">
        <v>1502</v>
      </c>
      <c r="P1073" s="105" t="e">
        <f t="shared" si="16"/>
        <v>#DIV/0!</v>
      </c>
    </row>
    <row r="1074" spans="1:16">
      <c r="A1074" s="10" t="s">
        <v>635</v>
      </c>
      <c r="B1074" s="10">
        <v>4511989</v>
      </c>
      <c r="C1074" s="10" t="s">
        <v>759</v>
      </c>
      <c r="D1074" s="10" t="s">
        <v>760</v>
      </c>
      <c r="E1074" s="10">
        <v>0</v>
      </c>
      <c r="F1074" s="10">
        <v>0</v>
      </c>
      <c r="G1074" s="10">
        <v>0</v>
      </c>
      <c r="H1074" s="10">
        <v>0</v>
      </c>
      <c r="I1074" s="10" t="s">
        <v>21</v>
      </c>
      <c r="J1074" s="10">
        <v>0</v>
      </c>
      <c r="K1074" s="10">
        <v>0</v>
      </c>
      <c r="L1074" s="10">
        <v>0</v>
      </c>
      <c r="M1074" s="10">
        <v>0</v>
      </c>
      <c r="N1074" s="10" t="s">
        <v>761</v>
      </c>
      <c r="O1074" s="10" t="s">
        <v>1503</v>
      </c>
      <c r="P1074" s="105" t="e">
        <f t="shared" si="16"/>
        <v>#DIV/0!</v>
      </c>
    </row>
    <row r="1075" spans="1:16">
      <c r="A1075" s="10" t="s">
        <v>635</v>
      </c>
      <c r="B1075" s="10">
        <v>4511990</v>
      </c>
      <c r="C1075" s="10" t="s">
        <v>759</v>
      </c>
      <c r="D1075" s="10" t="s">
        <v>760</v>
      </c>
      <c r="E1075" s="10">
        <v>0</v>
      </c>
      <c r="F1075" s="10">
        <v>0</v>
      </c>
      <c r="G1075" s="10">
        <v>0</v>
      </c>
      <c r="H1075" s="10">
        <v>0</v>
      </c>
      <c r="I1075" s="10" t="s">
        <v>21</v>
      </c>
      <c r="J1075" s="10">
        <v>0</v>
      </c>
      <c r="K1075" s="10">
        <v>0</v>
      </c>
      <c r="L1075" s="10">
        <v>0</v>
      </c>
      <c r="M1075" s="10">
        <v>0</v>
      </c>
      <c r="N1075" s="10" t="s">
        <v>761</v>
      </c>
      <c r="O1075" s="10" t="s">
        <v>1504</v>
      </c>
      <c r="P1075" s="105" t="e">
        <f t="shared" si="16"/>
        <v>#DIV/0!</v>
      </c>
    </row>
    <row r="1076" spans="1:16">
      <c r="A1076" s="10" t="s">
        <v>635</v>
      </c>
      <c r="B1076" s="10">
        <v>4511991</v>
      </c>
      <c r="C1076" s="10" t="s">
        <v>759</v>
      </c>
      <c r="D1076" s="10" t="s">
        <v>760</v>
      </c>
      <c r="E1076" s="10">
        <v>0</v>
      </c>
      <c r="F1076" s="10">
        <v>0</v>
      </c>
      <c r="G1076" s="10">
        <v>0</v>
      </c>
      <c r="H1076" s="10">
        <v>0</v>
      </c>
      <c r="I1076" s="10" t="s">
        <v>21</v>
      </c>
      <c r="J1076" s="10">
        <v>0</v>
      </c>
      <c r="K1076" s="10">
        <v>0</v>
      </c>
      <c r="L1076" s="10">
        <v>0</v>
      </c>
      <c r="M1076" s="10">
        <v>0</v>
      </c>
      <c r="N1076" s="10" t="s">
        <v>761</v>
      </c>
      <c r="O1076" s="10" t="s">
        <v>1505</v>
      </c>
      <c r="P1076" s="105" t="e">
        <f t="shared" si="16"/>
        <v>#DIV/0!</v>
      </c>
    </row>
    <row r="1077" spans="1:16">
      <c r="A1077" s="10" t="s">
        <v>635</v>
      </c>
      <c r="B1077" s="10">
        <v>4512070</v>
      </c>
      <c r="C1077" s="10" t="s">
        <v>759</v>
      </c>
      <c r="D1077" s="10" t="s">
        <v>760</v>
      </c>
      <c r="E1077" s="10">
        <v>0</v>
      </c>
      <c r="F1077" s="10">
        <v>0</v>
      </c>
      <c r="G1077" s="10">
        <v>0</v>
      </c>
      <c r="H1077" s="10">
        <v>0</v>
      </c>
      <c r="I1077" s="10" t="s">
        <v>146</v>
      </c>
      <c r="J1077" s="10">
        <v>0</v>
      </c>
      <c r="K1077" s="10">
        <v>0</v>
      </c>
      <c r="L1077" s="10">
        <v>0</v>
      </c>
      <c r="M1077" s="10">
        <v>0</v>
      </c>
      <c r="N1077" s="10" t="s">
        <v>761</v>
      </c>
      <c r="O1077" s="10" t="s">
        <v>1506</v>
      </c>
      <c r="P1077" s="105" t="e">
        <f t="shared" si="16"/>
        <v>#DIV/0!</v>
      </c>
    </row>
    <row r="1078" spans="1:16">
      <c r="A1078" s="10" t="s">
        <v>635</v>
      </c>
      <c r="B1078" s="10">
        <v>4512071</v>
      </c>
      <c r="C1078" s="10" t="s">
        <v>759</v>
      </c>
      <c r="D1078" s="10" t="s">
        <v>760</v>
      </c>
      <c r="E1078" s="10">
        <v>0</v>
      </c>
      <c r="F1078" s="10">
        <v>0</v>
      </c>
      <c r="G1078" s="10">
        <v>0</v>
      </c>
      <c r="H1078" s="10">
        <v>0</v>
      </c>
      <c r="I1078" s="10" t="s">
        <v>403</v>
      </c>
      <c r="J1078" s="10">
        <v>0</v>
      </c>
      <c r="K1078" s="10">
        <v>0</v>
      </c>
      <c r="L1078" s="10">
        <v>0</v>
      </c>
      <c r="M1078" s="10">
        <v>0</v>
      </c>
      <c r="N1078" s="10" t="s">
        <v>761</v>
      </c>
      <c r="O1078" s="10" t="s">
        <v>1507</v>
      </c>
      <c r="P1078" s="105" t="e">
        <f t="shared" si="16"/>
        <v>#DIV/0!</v>
      </c>
    </row>
    <row r="1079" spans="1:16">
      <c r="A1079" s="10" t="s">
        <v>635</v>
      </c>
      <c r="B1079" s="10">
        <v>4512072</v>
      </c>
      <c r="C1079" s="10" t="s">
        <v>759</v>
      </c>
      <c r="D1079" s="10" t="s">
        <v>760</v>
      </c>
      <c r="E1079" s="10">
        <v>0</v>
      </c>
      <c r="F1079" s="10">
        <v>0</v>
      </c>
      <c r="G1079" s="10">
        <v>0</v>
      </c>
      <c r="H1079" s="10">
        <v>0</v>
      </c>
      <c r="I1079" s="10" t="s">
        <v>45</v>
      </c>
      <c r="J1079" s="10">
        <v>0</v>
      </c>
      <c r="K1079" s="10">
        <v>0</v>
      </c>
      <c r="L1079" s="10">
        <v>0</v>
      </c>
      <c r="M1079" s="10">
        <v>0</v>
      </c>
      <c r="N1079" s="10" t="s">
        <v>761</v>
      </c>
      <c r="O1079" s="10" t="s">
        <v>1508</v>
      </c>
      <c r="P1079" s="105" t="e">
        <f t="shared" si="16"/>
        <v>#DIV/0!</v>
      </c>
    </row>
    <row r="1080" spans="1:16">
      <c r="A1080" s="10" t="s">
        <v>635</v>
      </c>
      <c r="B1080" s="10">
        <v>4512073</v>
      </c>
      <c r="C1080" s="10" t="s">
        <v>759</v>
      </c>
      <c r="D1080" s="10" t="s">
        <v>760</v>
      </c>
      <c r="E1080" s="10">
        <v>0</v>
      </c>
      <c r="F1080" s="10">
        <v>0</v>
      </c>
      <c r="G1080" s="10">
        <v>0</v>
      </c>
      <c r="H1080" s="10">
        <v>0</v>
      </c>
      <c r="I1080" s="10" t="s">
        <v>138</v>
      </c>
      <c r="J1080" s="10">
        <v>0</v>
      </c>
      <c r="K1080" s="10">
        <v>0</v>
      </c>
      <c r="L1080" s="10">
        <v>0</v>
      </c>
      <c r="M1080" s="10">
        <v>0</v>
      </c>
      <c r="N1080" s="10" t="s">
        <v>761</v>
      </c>
      <c r="O1080" s="10" t="s">
        <v>1509</v>
      </c>
      <c r="P1080" s="105" t="e">
        <f t="shared" si="16"/>
        <v>#DIV/0!</v>
      </c>
    </row>
    <row r="1081" spans="1:16">
      <c r="A1081" s="10" t="s">
        <v>635</v>
      </c>
      <c r="B1081" s="10">
        <v>4512074</v>
      </c>
      <c r="C1081" s="10" t="s">
        <v>759</v>
      </c>
      <c r="D1081" s="10" t="s">
        <v>760</v>
      </c>
      <c r="E1081" s="10">
        <v>0</v>
      </c>
      <c r="F1081" s="10">
        <v>0</v>
      </c>
      <c r="G1081" s="10">
        <v>0</v>
      </c>
      <c r="H1081" s="10">
        <v>0</v>
      </c>
      <c r="I1081" s="10" t="s">
        <v>33</v>
      </c>
      <c r="J1081" s="10">
        <v>0</v>
      </c>
      <c r="K1081" s="10">
        <v>0</v>
      </c>
      <c r="L1081" s="10">
        <v>0</v>
      </c>
      <c r="M1081" s="10">
        <v>0</v>
      </c>
      <c r="N1081" s="10" t="s">
        <v>761</v>
      </c>
      <c r="O1081" s="10" t="s">
        <v>1510</v>
      </c>
      <c r="P1081" s="105" t="e">
        <f t="shared" si="16"/>
        <v>#DIV/0!</v>
      </c>
    </row>
    <row r="1082" spans="1:16">
      <c r="A1082" s="10" t="s">
        <v>635</v>
      </c>
      <c r="B1082" s="10">
        <v>4512199</v>
      </c>
      <c r="C1082" s="10" t="s">
        <v>759</v>
      </c>
      <c r="D1082" s="10" t="s">
        <v>760</v>
      </c>
      <c r="E1082" s="10">
        <v>0</v>
      </c>
      <c r="F1082" s="10">
        <v>0</v>
      </c>
      <c r="G1082" s="10">
        <v>0</v>
      </c>
      <c r="H1082" s="10">
        <v>0</v>
      </c>
      <c r="I1082" s="10" t="s">
        <v>37</v>
      </c>
      <c r="J1082" s="10">
        <v>0</v>
      </c>
      <c r="K1082" s="10">
        <v>0</v>
      </c>
      <c r="L1082" s="10">
        <v>0</v>
      </c>
      <c r="M1082" s="10">
        <v>0</v>
      </c>
      <c r="N1082" s="10" t="s">
        <v>761</v>
      </c>
      <c r="O1082" s="10" t="s">
        <v>1511</v>
      </c>
      <c r="P1082" s="105" t="e">
        <f t="shared" si="16"/>
        <v>#DIV/0!</v>
      </c>
    </row>
    <row r="1083" spans="1:16">
      <c r="A1083" s="10" t="s">
        <v>635</v>
      </c>
      <c r="B1083" s="10">
        <v>4512201</v>
      </c>
      <c r="C1083" s="10" t="s">
        <v>759</v>
      </c>
      <c r="D1083" s="10" t="s">
        <v>760</v>
      </c>
      <c r="E1083" s="10">
        <v>0</v>
      </c>
      <c r="F1083" s="10">
        <v>0</v>
      </c>
      <c r="G1083" s="10">
        <v>0</v>
      </c>
      <c r="H1083" s="10">
        <v>0</v>
      </c>
      <c r="I1083" s="10" t="s">
        <v>74</v>
      </c>
      <c r="J1083" s="10">
        <v>0</v>
      </c>
      <c r="K1083" s="10">
        <v>0</v>
      </c>
      <c r="L1083" s="10">
        <v>0</v>
      </c>
      <c r="M1083" s="10">
        <v>0</v>
      </c>
      <c r="N1083" s="10" t="s">
        <v>761</v>
      </c>
      <c r="O1083" s="10" t="s">
        <v>1512</v>
      </c>
      <c r="P1083" s="105" t="e">
        <f t="shared" si="16"/>
        <v>#DIV/0!</v>
      </c>
    </row>
    <row r="1084" spans="1:16">
      <c r="A1084" s="10" t="s">
        <v>635</v>
      </c>
      <c r="B1084" s="10">
        <v>4512202</v>
      </c>
      <c r="C1084" s="10" t="s">
        <v>759</v>
      </c>
      <c r="D1084" s="10" t="s">
        <v>760</v>
      </c>
      <c r="E1084" s="10">
        <v>0</v>
      </c>
      <c r="F1084" s="10">
        <v>0</v>
      </c>
      <c r="G1084" s="10">
        <v>0</v>
      </c>
      <c r="H1084" s="10">
        <v>0</v>
      </c>
      <c r="I1084" s="10" t="s">
        <v>21</v>
      </c>
      <c r="J1084" s="10">
        <v>0</v>
      </c>
      <c r="K1084" s="10">
        <v>0</v>
      </c>
      <c r="L1084" s="10">
        <v>0</v>
      </c>
      <c r="M1084" s="10">
        <v>0</v>
      </c>
      <c r="N1084" s="10" t="s">
        <v>761</v>
      </c>
      <c r="O1084" s="10" t="s">
        <v>1513</v>
      </c>
      <c r="P1084" s="105" t="e">
        <f t="shared" si="16"/>
        <v>#DIV/0!</v>
      </c>
    </row>
    <row r="1085" spans="1:16">
      <c r="A1085" s="10" t="s">
        <v>635</v>
      </c>
      <c r="B1085" s="10">
        <v>4512203</v>
      </c>
      <c r="C1085" s="10" t="s">
        <v>759</v>
      </c>
      <c r="D1085" s="10" t="s">
        <v>760</v>
      </c>
      <c r="E1085" s="10">
        <v>0</v>
      </c>
      <c r="F1085" s="10">
        <v>0</v>
      </c>
      <c r="G1085" s="10">
        <v>0</v>
      </c>
      <c r="H1085" s="10">
        <v>0</v>
      </c>
      <c r="I1085" s="10" t="s">
        <v>45</v>
      </c>
      <c r="J1085" s="10">
        <v>0</v>
      </c>
      <c r="K1085" s="10">
        <v>0</v>
      </c>
      <c r="L1085" s="10">
        <v>0</v>
      </c>
      <c r="M1085" s="10">
        <v>0</v>
      </c>
      <c r="N1085" s="10" t="s">
        <v>761</v>
      </c>
      <c r="O1085" s="10" t="s">
        <v>1514</v>
      </c>
      <c r="P1085" s="105" t="e">
        <f t="shared" si="16"/>
        <v>#DIV/0!</v>
      </c>
    </row>
    <row r="1086" spans="1:16">
      <c r="A1086" s="10" t="s">
        <v>635</v>
      </c>
      <c r="B1086" s="10">
        <v>4512204</v>
      </c>
      <c r="C1086" s="10" t="s">
        <v>759</v>
      </c>
      <c r="D1086" s="10" t="s">
        <v>760</v>
      </c>
      <c r="E1086" s="10">
        <v>0</v>
      </c>
      <c r="F1086" s="10">
        <v>0</v>
      </c>
      <c r="G1086" s="10">
        <v>0</v>
      </c>
      <c r="H1086" s="10">
        <v>0</v>
      </c>
      <c r="I1086" s="10" t="s">
        <v>45</v>
      </c>
      <c r="J1086" s="10">
        <v>0</v>
      </c>
      <c r="K1086" s="10">
        <v>0</v>
      </c>
      <c r="L1086" s="10">
        <v>0</v>
      </c>
      <c r="M1086" s="10">
        <v>0</v>
      </c>
      <c r="N1086" s="10" t="s">
        <v>761</v>
      </c>
      <c r="O1086" s="10" t="s">
        <v>1515</v>
      </c>
      <c r="P1086" s="105" t="e">
        <f t="shared" si="16"/>
        <v>#DIV/0!</v>
      </c>
    </row>
    <row r="1087" spans="1:16">
      <c r="A1087" s="10" t="s">
        <v>635</v>
      </c>
      <c r="B1087" s="10">
        <v>4512205</v>
      </c>
      <c r="C1087" s="10" t="s">
        <v>759</v>
      </c>
      <c r="D1087" s="10" t="s">
        <v>760</v>
      </c>
      <c r="E1087" s="10">
        <v>36</v>
      </c>
      <c r="F1087" s="10">
        <v>108</v>
      </c>
      <c r="G1087" s="10">
        <v>0</v>
      </c>
      <c r="H1087" s="10">
        <v>144</v>
      </c>
      <c r="I1087" s="10" t="s">
        <v>37</v>
      </c>
      <c r="J1087" s="10">
        <v>216.81</v>
      </c>
      <c r="K1087" s="10">
        <v>652.5</v>
      </c>
      <c r="L1087" s="10">
        <v>0</v>
      </c>
      <c r="M1087" s="10">
        <v>869.31</v>
      </c>
      <c r="N1087" s="10" t="s">
        <v>761</v>
      </c>
      <c r="O1087" s="10" t="s">
        <v>395</v>
      </c>
      <c r="P1087" s="105">
        <f t="shared" si="16"/>
        <v>6.036875</v>
      </c>
    </row>
    <row r="1088" spans="1:16">
      <c r="A1088" s="10" t="s">
        <v>635</v>
      </c>
      <c r="B1088" s="10">
        <v>4512206</v>
      </c>
      <c r="C1088" s="10" t="s">
        <v>759</v>
      </c>
      <c r="D1088" s="10" t="s">
        <v>760</v>
      </c>
      <c r="E1088" s="10">
        <v>0</v>
      </c>
      <c r="F1088" s="10">
        <v>0</v>
      </c>
      <c r="G1088" s="10">
        <v>0</v>
      </c>
      <c r="H1088" s="10">
        <v>0</v>
      </c>
      <c r="I1088" s="10" t="s">
        <v>74</v>
      </c>
      <c r="J1088" s="10">
        <v>0</v>
      </c>
      <c r="K1088" s="10">
        <v>0</v>
      </c>
      <c r="L1088" s="10">
        <v>0</v>
      </c>
      <c r="M1088" s="10">
        <v>0</v>
      </c>
      <c r="N1088" s="10" t="s">
        <v>761</v>
      </c>
      <c r="O1088" s="10" t="s">
        <v>1516</v>
      </c>
      <c r="P1088" s="105" t="e">
        <f t="shared" si="16"/>
        <v>#DIV/0!</v>
      </c>
    </row>
    <row r="1089" spans="1:16">
      <c r="A1089" s="10" t="s">
        <v>635</v>
      </c>
      <c r="B1089" s="10">
        <v>4512261</v>
      </c>
      <c r="C1089" s="10" t="s">
        <v>759</v>
      </c>
      <c r="D1089" s="10" t="s">
        <v>760</v>
      </c>
      <c r="E1089" s="10">
        <v>0</v>
      </c>
      <c r="F1089" s="10">
        <v>24</v>
      </c>
      <c r="G1089" s="10">
        <v>0</v>
      </c>
      <c r="H1089" s="10">
        <v>24</v>
      </c>
      <c r="I1089" s="10" t="s">
        <v>146</v>
      </c>
      <c r="J1089" s="10">
        <v>0</v>
      </c>
      <c r="K1089" s="10">
        <v>538.44</v>
      </c>
      <c r="L1089" s="10">
        <v>0</v>
      </c>
      <c r="M1089" s="10">
        <v>538.44</v>
      </c>
      <c r="N1089" s="10" t="s">
        <v>761</v>
      </c>
      <c r="O1089" s="10" t="s">
        <v>489</v>
      </c>
      <c r="P1089" s="105">
        <f t="shared" si="16"/>
        <v>22.435</v>
      </c>
    </row>
    <row r="1090" spans="1:16">
      <c r="A1090" s="10" t="s">
        <v>635</v>
      </c>
      <c r="B1090" s="10">
        <v>4512262</v>
      </c>
      <c r="C1090" s="10" t="s">
        <v>759</v>
      </c>
      <c r="D1090" s="10" t="s">
        <v>760</v>
      </c>
      <c r="E1090" s="10">
        <v>0</v>
      </c>
      <c r="F1090" s="10">
        <v>0</v>
      </c>
      <c r="G1090" s="10">
        <v>0</v>
      </c>
      <c r="H1090" s="10">
        <v>0</v>
      </c>
      <c r="I1090" s="10" t="s">
        <v>37</v>
      </c>
      <c r="J1090" s="10">
        <v>0</v>
      </c>
      <c r="K1090" s="10">
        <v>0</v>
      </c>
      <c r="L1090" s="10">
        <v>0</v>
      </c>
      <c r="M1090" s="10">
        <v>0</v>
      </c>
      <c r="N1090" s="10" t="s">
        <v>761</v>
      </c>
      <c r="O1090" s="10" t="s">
        <v>1517</v>
      </c>
      <c r="P1090" s="105" t="e">
        <f t="shared" si="16"/>
        <v>#DIV/0!</v>
      </c>
    </row>
    <row r="1091" spans="1:16">
      <c r="A1091" s="10" t="s">
        <v>635</v>
      </c>
      <c r="B1091" s="10">
        <v>4512264</v>
      </c>
      <c r="C1091" s="10" t="s">
        <v>759</v>
      </c>
      <c r="D1091" s="10" t="s">
        <v>760</v>
      </c>
      <c r="E1091" s="10">
        <v>5</v>
      </c>
      <c r="F1091" s="10">
        <v>44</v>
      </c>
      <c r="G1091" s="10">
        <v>0</v>
      </c>
      <c r="H1091" s="10">
        <v>49</v>
      </c>
      <c r="I1091" s="10" t="s">
        <v>128</v>
      </c>
      <c r="J1091" s="10">
        <v>11</v>
      </c>
      <c r="K1091" s="10">
        <v>96.8</v>
      </c>
      <c r="L1091" s="10">
        <v>0</v>
      </c>
      <c r="M1091" s="10">
        <v>107.8</v>
      </c>
      <c r="N1091" s="10" t="s">
        <v>761</v>
      </c>
      <c r="O1091" s="10" t="s">
        <v>126</v>
      </c>
      <c r="P1091" s="105">
        <f t="shared" ref="P1091:P1154" si="17">M1091/H1091</f>
        <v>2.2</v>
      </c>
    </row>
    <row r="1092" spans="1:16">
      <c r="A1092" s="10" t="s">
        <v>635</v>
      </c>
      <c r="B1092" s="10">
        <v>4512267</v>
      </c>
      <c r="C1092" s="10" t="s">
        <v>759</v>
      </c>
      <c r="D1092" s="10" t="s">
        <v>760</v>
      </c>
      <c r="E1092" s="10">
        <v>0</v>
      </c>
      <c r="F1092" s="10">
        <v>0</v>
      </c>
      <c r="G1092" s="10">
        <v>0</v>
      </c>
      <c r="H1092" s="10">
        <v>0</v>
      </c>
      <c r="I1092" s="10" t="s">
        <v>21</v>
      </c>
      <c r="J1092" s="10">
        <v>0</v>
      </c>
      <c r="K1092" s="10">
        <v>0</v>
      </c>
      <c r="L1092" s="10">
        <v>0</v>
      </c>
      <c r="M1092" s="10">
        <v>0</v>
      </c>
      <c r="N1092" s="10" t="s">
        <v>761</v>
      </c>
      <c r="O1092" s="10" t="s">
        <v>1518</v>
      </c>
      <c r="P1092" s="105" t="e">
        <f t="shared" si="17"/>
        <v>#DIV/0!</v>
      </c>
    </row>
    <row r="1093" spans="1:16">
      <c r="A1093" s="10" t="s">
        <v>635</v>
      </c>
      <c r="B1093" s="10">
        <v>4512295</v>
      </c>
      <c r="C1093" s="10" t="s">
        <v>759</v>
      </c>
      <c r="D1093" s="10" t="s">
        <v>760</v>
      </c>
      <c r="E1093" s="10">
        <v>0</v>
      </c>
      <c r="F1093" s="10">
        <v>0</v>
      </c>
      <c r="G1093" s="10">
        <v>0</v>
      </c>
      <c r="H1093" s="10">
        <v>0</v>
      </c>
      <c r="I1093" s="10" t="s">
        <v>45</v>
      </c>
      <c r="J1093" s="10">
        <v>0</v>
      </c>
      <c r="K1093" s="10">
        <v>0</v>
      </c>
      <c r="L1093" s="10">
        <v>0</v>
      </c>
      <c r="M1093" s="10">
        <v>0</v>
      </c>
      <c r="N1093" s="10" t="s">
        <v>761</v>
      </c>
      <c r="O1093" s="10" t="s">
        <v>1519</v>
      </c>
      <c r="P1093" s="105" t="e">
        <f t="shared" si="17"/>
        <v>#DIV/0!</v>
      </c>
    </row>
    <row r="1094" spans="1:16">
      <c r="A1094" s="10" t="s">
        <v>635</v>
      </c>
      <c r="B1094" s="10">
        <v>4512296</v>
      </c>
      <c r="C1094" s="10" t="s">
        <v>759</v>
      </c>
      <c r="D1094" s="10" t="s">
        <v>760</v>
      </c>
      <c r="E1094" s="10">
        <v>0</v>
      </c>
      <c r="F1094" s="10">
        <v>0</v>
      </c>
      <c r="G1094" s="10">
        <v>0</v>
      </c>
      <c r="H1094" s="10">
        <v>0</v>
      </c>
      <c r="I1094" s="10" t="s">
        <v>45</v>
      </c>
      <c r="J1094" s="10">
        <v>0</v>
      </c>
      <c r="K1094" s="10">
        <v>0</v>
      </c>
      <c r="L1094" s="10">
        <v>0</v>
      </c>
      <c r="M1094" s="10">
        <v>0</v>
      </c>
      <c r="N1094" s="10" t="s">
        <v>761</v>
      </c>
      <c r="O1094" s="10" t="s">
        <v>1520</v>
      </c>
      <c r="P1094" s="105" t="e">
        <f t="shared" si="17"/>
        <v>#DIV/0!</v>
      </c>
    </row>
    <row r="1095" spans="1:16">
      <c r="A1095" s="10" t="s">
        <v>635</v>
      </c>
      <c r="B1095" s="10">
        <v>4512428</v>
      </c>
      <c r="C1095" s="10" t="s">
        <v>759</v>
      </c>
      <c r="D1095" s="10" t="s">
        <v>760</v>
      </c>
      <c r="E1095" s="10">
        <v>26</v>
      </c>
      <c r="F1095" s="10">
        <v>70</v>
      </c>
      <c r="G1095" s="10">
        <v>0</v>
      </c>
      <c r="H1095" s="10">
        <v>96</v>
      </c>
      <c r="I1095" s="10" t="s">
        <v>138</v>
      </c>
      <c r="J1095" s="10">
        <v>247.04</v>
      </c>
      <c r="K1095" s="10">
        <v>665</v>
      </c>
      <c r="L1095" s="10">
        <v>0</v>
      </c>
      <c r="M1095" s="10">
        <v>912.04</v>
      </c>
      <c r="N1095" s="10" t="s">
        <v>761</v>
      </c>
      <c r="O1095" s="10" t="s">
        <v>227</v>
      </c>
      <c r="P1095" s="105">
        <f t="shared" si="17"/>
        <v>9.50041666666667</v>
      </c>
    </row>
    <row r="1096" spans="1:16">
      <c r="A1096" s="10" t="s">
        <v>635</v>
      </c>
      <c r="B1096" s="10">
        <v>4512429</v>
      </c>
      <c r="C1096" s="10" t="s">
        <v>759</v>
      </c>
      <c r="D1096" s="10" t="s">
        <v>760</v>
      </c>
      <c r="E1096" s="10">
        <v>0</v>
      </c>
      <c r="F1096" s="10">
        <v>0</v>
      </c>
      <c r="G1096" s="10">
        <v>0</v>
      </c>
      <c r="H1096" s="10">
        <v>0</v>
      </c>
      <c r="I1096" s="10" t="s">
        <v>74</v>
      </c>
      <c r="J1096" s="10">
        <v>0</v>
      </c>
      <c r="K1096" s="10">
        <v>0</v>
      </c>
      <c r="L1096" s="10">
        <v>0</v>
      </c>
      <c r="M1096" s="10">
        <v>0</v>
      </c>
      <c r="N1096" s="10" t="s">
        <v>761</v>
      </c>
      <c r="O1096" s="10" t="s">
        <v>1521</v>
      </c>
      <c r="P1096" s="105" t="e">
        <f t="shared" si="17"/>
        <v>#DIV/0!</v>
      </c>
    </row>
    <row r="1097" spans="1:16">
      <c r="A1097" s="10" t="s">
        <v>635</v>
      </c>
      <c r="B1097" s="10">
        <v>4512430</v>
      </c>
      <c r="C1097" s="10" t="s">
        <v>759</v>
      </c>
      <c r="D1097" s="10" t="s">
        <v>760</v>
      </c>
      <c r="E1097" s="10">
        <v>0</v>
      </c>
      <c r="F1097" s="10">
        <v>0</v>
      </c>
      <c r="G1097" s="10">
        <v>0</v>
      </c>
      <c r="H1097" s="10">
        <v>0</v>
      </c>
      <c r="I1097" s="10" t="s">
        <v>74</v>
      </c>
      <c r="J1097" s="10">
        <v>0</v>
      </c>
      <c r="K1097" s="10">
        <v>0</v>
      </c>
      <c r="L1097" s="10">
        <v>0</v>
      </c>
      <c r="M1097" s="10">
        <v>0</v>
      </c>
      <c r="N1097" s="10" t="s">
        <v>761</v>
      </c>
      <c r="O1097" s="10" t="s">
        <v>1522</v>
      </c>
      <c r="P1097" s="105" t="e">
        <f t="shared" si="17"/>
        <v>#DIV/0!</v>
      </c>
    </row>
    <row r="1098" spans="1:16">
      <c r="A1098" s="10" t="s">
        <v>635</v>
      </c>
      <c r="B1098" s="10">
        <v>4512431</v>
      </c>
      <c r="C1098" s="10" t="s">
        <v>759</v>
      </c>
      <c r="D1098" s="10" t="s">
        <v>760</v>
      </c>
      <c r="E1098" s="10">
        <v>0</v>
      </c>
      <c r="F1098" s="10">
        <v>0</v>
      </c>
      <c r="G1098" s="10">
        <v>0</v>
      </c>
      <c r="H1098" s="10">
        <v>0</v>
      </c>
      <c r="I1098" s="10" t="s">
        <v>74</v>
      </c>
      <c r="J1098" s="10">
        <v>0</v>
      </c>
      <c r="K1098" s="10">
        <v>0</v>
      </c>
      <c r="L1098" s="10">
        <v>0</v>
      </c>
      <c r="M1098" s="10">
        <v>0</v>
      </c>
      <c r="N1098" s="10" t="s">
        <v>761</v>
      </c>
      <c r="O1098" s="10" t="s">
        <v>1523</v>
      </c>
      <c r="P1098" s="105" t="e">
        <f t="shared" si="17"/>
        <v>#DIV/0!</v>
      </c>
    </row>
    <row r="1099" spans="1:16">
      <c r="A1099" s="10" t="s">
        <v>635</v>
      </c>
      <c r="B1099" s="10">
        <v>4512432</v>
      </c>
      <c r="C1099" s="10" t="s">
        <v>759</v>
      </c>
      <c r="D1099" s="10" t="s">
        <v>760</v>
      </c>
      <c r="E1099" s="10">
        <v>0</v>
      </c>
      <c r="F1099" s="10">
        <v>0</v>
      </c>
      <c r="G1099" s="10">
        <v>0</v>
      </c>
      <c r="H1099" s="10">
        <v>0</v>
      </c>
      <c r="I1099" s="10" t="s">
        <v>33</v>
      </c>
      <c r="J1099" s="10">
        <v>0</v>
      </c>
      <c r="K1099" s="10">
        <v>0</v>
      </c>
      <c r="L1099" s="10">
        <v>0</v>
      </c>
      <c r="M1099" s="10">
        <v>0</v>
      </c>
      <c r="N1099" s="10" t="s">
        <v>761</v>
      </c>
      <c r="O1099" s="10" t="s">
        <v>1524</v>
      </c>
      <c r="P1099" s="105" t="e">
        <f t="shared" si="17"/>
        <v>#DIV/0!</v>
      </c>
    </row>
    <row r="1100" spans="1:16">
      <c r="A1100" s="10" t="s">
        <v>635</v>
      </c>
      <c r="B1100" s="10">
        <v>4512433</v>
      </c>
      <c r="C1100" s="10" t="s">
        <v>759</v>
      </c>
      <c r="D1100" s="10" t="s">
        <v>760</v>
      </c>
      <c r="E1100" s="10">
        <v>0</v>
      </c>
      <c r="F1100" s="10">
        <v>0</v>
      </c>
      <c r="G1100" s="10">
        <v>0</v>
      </c>
      <c r="H1100" s="10">
        <v>0</v>
      </c>
      <c r="I1100" s="10" t="s">
        <v>33</v>
      </c>
      <c r="J1100" s="10">
        <v>0</v>
      </c>
      <c r="K1100" s="10">
        <v>0</v>
      </c>
      <c r="L1100" s="10">
        <v>0</v>
      </c>
      <c r="M1100" s="10">
        <v>0</v>
      </c>
      <c r="N1100" s="10" t="s">
        <v>761</v>
      </c>
      <c r="O1100" s="10" t="s">
        <v>1525</v>
      </c>
      <c r="P1100" s="105" t="e">
        <f t="shared" si="17"/>
        <v>#DIV/0!</v>
      </c>
    </row>
    <row r="1101" spans="1:16">
      <c r="A1101" s="10" t="s">
        <v>635</v>
      </c>
      <c r="B1101" s="10">
        <v>4512434</v>
      </c>
      <c r="C1101" s="10" t="s">
        <v>759</v>
      </c>
      <c r="D1101" s="10" t="s">
        <v>760</v>
      </c>
      <c r="E1101" s="10">
        <v>0</v>
      </c>
      <c r="F1101" s="10">
        <v>1</v>
      </c>
      <c r="G1101" s="10">
        <v>0</v>
      </c>
      <c r="H1101" s="10">
        <v>1</v>
      </c>
      <c r="I1101" s="10" t="s">
        <v>33</v>
      </c>
      <c r="J1101" s="10">
        <v>0</v>
      </c>
      <c r="K1101" s="10">
        <v>5.96</v>
      </c>
      <c r="L1101" s="10">
        <v>0</v>
      </c>
      <c r="M1101" s="10">
        <v>5.96</v>
      </c>
      <c r="N1101" s="10" t="s">
        <v>761</v>
      </c>
      <c r="O1101" s="10" t="s">
        <v>270</v>
      </c>
      <c r="P1101" s="105">
        <f t="shared" si="17"/>
        <v>5.96</v>
      </c>
    </row>
    <row r="1102" spans="1:16">
      <c r="A1102" s="10" t="s">
        <v>635</v>
      </c>
      <c r="B1102" s="10">
        <v>4512435</v>
      </c>
      <c r="C1102" s="10" t="s">
        <v>759</v>
      </c>
      <c r="D1102" s="10" t="s">
        <v>760</v>
      </c>
      <c r="E1102" s="10">
        <v>0</v>
      </c>
      <c r="F1102" s="10">
        <v>0</v>
      </c>
      <c r="G1102" s="10">
        <v>0</v>
      </c>
      <c r="H1102" s="10">
        <v>0</v>
      </c>
      <c r="I1102" s="10" t="s">
        <v>21</v>
      </c>
      <c r="J1102" s="10">
        <v>0</v>
      </c>
      <c r="K1102" s="10">
        <v>0</v>
      </c>
      <c r="L1102" s="10">
        <v>0</v>
      </c>
      <c r="M1102" s="10">
        <v>0</v>
      </c>
      <c r="N1102" s="10" t="s">
        <v>761</v>
      </c>
      <c r="O1102" s="10" t="s">
        <v>1526</v>
      </c>
      <c r="P1102" s="105" t="e">
        <f t="shared" si="17"/>
        <v>#DIV/0!</v>
      </c>
    </row>
    <row r="1103" spans="1:16">
      <c r="A1103" s="10" t="s">
        <v>635</v>
      </c>
      <c r="B1103" s="10">
        <v>4512440</v>
      </c>
      <c r="C1103" s="10" t="s">
        <v>759</v>
      </c>
      <c r="D1103" s="10" t="s">
        <v>760</v>
      </c>
      <c r="E1103" s="10">
        <v>0</v>
      </c>
      <c r="F1103" s="10">
        <v>0</v>
      </c>
      <c r="G1103" s="10">
        <v>0</v>
      </c>
      <c r="H1103" s="10">
        <v>0</v>
      </c>
      <c r="I1103" s="10" t="s">
        <v>21</v>
      </c>
      <c r="J1103" s="10">
        <v>0</v>
      </c>
      <c r="K1103" s="10">
        <v>0</v>
      </c>
      <c r="L1103" s="10">
        <v>0</v>
      </c>
      <c r="M1103" s="10">
        <v>0</v>
      </c>
      <c r="N1103" s="10" t="s">
        <v>761</v>
      </c>
      <c r="O1103" s="10" t="s">
        <v>1527</v>
      </c>
      <c r="P1103" s="105" t="e">
        <f t="shared" si="17"/>
        <v>#DIV/0!</v>
      </c>
    </row>
    <row r="1104" spans="1:16">
      <c r="A1104" s="10" t="s">
        <v>635</v>
      </c>
      <c r="B1104" s="10">
        <v>4512475</v>
      </c>
      <c r="C1104" s="10" t="s">
        <v>759</v>
      </c>
      <c r="D1104" s="10" t="s">
        <v>760</v>
      </c>
      <c r="E1104" s="10">
        <v>0</v>
      </c>
      <c r="F1104" s="10">
        <v>0</v>
      </c>
      <c r="G1104" s="10">
        <v>0</v>
      </c>
      <c r="H1104" s="10">
        <v>0</v>
      </c>
      <c r="I1104" s="10" t="s">
        <v>74</v>
      </c>
      <c r="J1104" s="10">
        <v>0</v>
      </c>
      <c r="K1104" s="10">
        <v>0</v>
      </c>
      <c r="L1104" s="10">
        <v>0</v>
      </c>
      <c r="M1104" s="10">
        <v>0</v>
      </c>
      <c r="N1104" s="10" t="s">
        <v>761</v>
      </c>
      <c r="O1104" s="10" t="s">
        <v>1528</v>
      </c>
      <c r="P1104" s="105" t="e">
        <f t="shared" si="17"/>
        <v>#DIV/0!</v>
      </c>
    </row>
    <row r="1105" spans="1:16">
      <c r="A1105" s="10" t="s">
        <v>635</v>
      </c>
      <c r="B1105" s="10">
        <v>4512476</v>
      </c>
      <c r="C1105" s="10" t="s">
        <v>759</v>
      </c>
      <c r="D1105" s="10" t="s">
        <v>760</v>
      </c>
      <c r="E1105" s="10">
        <v>0</v>
      </c>
      <c r="F1105" s="10">
        <v>0</v>
      </c>
      <c r="G1105" s="10">
        <v>0</v>
      </c>
      <c r="H1105" s="10">
        <v>0</v>
      </c>
      <c r="I1105" s="10" t="s">
        <v>74</v>
      </c>
      <c r="J1105" s="10">
        <v>0</v>
      </c>
      <c r="K1105" s="10">
        <v>0</v>
      </c>
      <c r="L1105" s="10">
        <v>0</v>
      </c>
      <c r="M1105" s="10">
        <v>0</v>
      </c>
      <c r="N1105" s="10" t="s">
        <v>761</v>
      </c>
      <c r="O1105" s="10" t="s">
        <v>1529</v>
      </c>
      <c r="P1105" s="105" t="e">
        <f t="shared" si="17"/>
        <v>#DIV/0!</v>
      </c>
    </row>
    <row r="1106" spans="1:16">
      <c r="A1106" s="10" t="s">
        <v>635</v>
      </c>
      <c r="B1106" s="10">
        <v>4512509</v>
      </c>
      <c r="C1106" s="10" t="s">
        <v>759</v>
      </c>
      <c r="D1106" s="10" t="s">
        <v>760</v>
      </c>
      <c r="E1106" s="10">
        <v>0</v>
      </c>
      <c r="F1106" s="10">
        <v>0</v>
      </c>
      <c r="G1106" s="10">
        <v>0</v>
      </c>
      <c r="H1106" s="10">
        <v>0</v>
      </c>
      <c r="I1106" s="10" t="s">
        <v>33</v>
      </c>
      <c r="J1106" s="10">
        <v>0</v>
      </c>
      <c r="K1106" s="10">
        <v>0</v>
      </c>
      <c r="L1106" s="10">
        <v>0</v>
      </c>
      <c r="M1106" s="10">
        <v>0</v>
      </c>
      <c r="N1106" s="10" t="s">
        <v>761</v>
      </c>
      <c r="O1106" s="10" t="s">
        <v>708</v>
      </c>
      <c r="P1106" s="105" t="e">
        <f t="shared" si="17"/>
        <v>#DIV/0!</v>
      </c>
    </row>
    <row r="1107" spans="1:16">
      <c r="A1107" s="10" t="s">
        <v>635</v>
      </c>
      <c r="B1107" s="10">
        <v>4512677</v>
      </c>
      <c r="C1107" s="10" t="s">
        <v>759</v>
      </c>
      <c r="D1107" s="10" t="s">
        <v>760</v>
      </c>
      <c r="E1107" s="10">
        <v>0</v>
      </c>
      <c r="F1107" s="10">
        <v>0</v>
      </c>
      <c r="G1107" s="10">
        <v>0</v>
      </c>
      <c r="H1107" s="10">
        <v>0</v>
      </c>
      <c r="I1107" s="10" t="s">
        <v>45</v>
      </c>
      <c r="J1107" s="10">
        <v>0</v>
      </c>
      <c r="K1107" s="10">
        <v>0</v>
      </c>
      <c r="L1107" s="10">
        <v>0</v>
      </c>
      <c r="M1107" s="10">
        <v>0</v>
      </c>
      <c r="N1107" s="10" t="s">
        <v>761</v>
      </c>
      <c r="O1107" s="10" t="s">
        <v>1530</v>
      </c>
      <c r="P1107" s="105" t="e">
        <f t="shared" si="17"/>
        <v>#DIV/0!</v>
      </c>
    </row>
    <row r="1108" spans="1:16">
      <c r="A1108" s="10" t="s">
        <v>635</v>
      </c>
      <c r="B1108" s="10">
        <v>4512678</v>
      </c>
      <c r="C1108" s="10" t="s">
        <v>759</v>
      </c>
      <c r="D1108" s="10" t="s">
        <v>760</v>
      </c>
      <c r="E1108" s="10">
        <v>0</v>
      </c>
      <c r="F1108" s="10">
        <v>0</v>
      </c>
      <c r="G1108" s="10">
        <v>0</v>
      </c>
      <c r="H1108" s="10">
        <v>0</v>
      </c>
      <c r="I1108" s="10" t="s">
        <v>74</v>
      </c>
      <c r="J1108" s="10">
        <v>0</v>
      </c>
      <c r="K1108" s="10">
        <v>0</v>
      </c>
      <c r="L1108" s="10">
        <v>0</v>
      </c>
      <c r="M1108" s="10">
        <v>0</v>
      </c>
      <c r="N1108" s="10" t="s">
        <v>761</v>
      </c>
      <c r="O1108" s="10" t="s">
        <v>1531</v>
      </c>
      <c r="P1108" s="105" t="e">
        <f t="shared" si="17"/>
        <v>#DIV/0!</v>
      </c>
    </row>
    <row r="1109" spans="1:16">
      <c r="A1109" s="10" t="s">
        <v>635</v>
      </c>
      <c r="B1109" s="10">
        <v>4512679</v>
      </c>
      <c r="C1109" s="10" t="s">
        <v>759</v>
      </c>
      <c r="D1109" s="10" t="s">
        <v>760</v>
      </c>
      <c r="E1109" s="10">
        <v>0</v>
      </c>
      <c r="F1109" s="10">
        <v>0</v>
      </c>
      <c r="G1109" s="10">
        <v>0</v>
      </c>
      <c r="H1109" s="10">
        <v>0</v>
      </c>
      <c r="I1109" s="10" t="s">
        <v>45</v>
      </c>
      <c r="J1109" s="10">
        <v>0</v>
      </c>
      <c r="K1109" s="10">
        <v>0</v>
      </c>
      <c r="L1109" s="10">
        <v>0</v>
      </c>
      <c r="M1109" s="10">
        <v>0</v>
      </c>
      <c r="N1109" s="10" t="s">
        <v>761</v>
      </c>
      <c r="O1109" s="10" t="s">
        <v>1532</v>
      </c>
      <c r="P1109" s="105" t="e">
        <f t="shared" si="17"/>
        <v>#DIV/0!</v>
      </c>
    </row>
    <row r="1110" spans="1:16">
      <c r="A1110" s="10" t="s">
        <v>635</v>
      </c>
      <c r="B1110" s="10">
        <v>4512680</v>
      </c>
      <c r="C1110" s="10" t="s">
        <v>759</v>
      </c>
      <c r="D1110" s="10" t="s">
        <v>760</v>
      </c>
      <c r="E1110" s="10">
        <v>7.5</v>
      </c>
      <c r="F1110" s="10">
        <v>9</v>
      </c>
      <c r="G1110" s="10">
        <v>0</v>
      </c>
      <c r="H1110" s="10">
        <v>16.5</v>
      </c>
      <c r="I1110" s="10" t="s">
        <v>74</v>
      </c>
      <c r="J1110" s="10">
        <v>66.12</v>
      </c>
      <c r="K1110" s="10">
        <v>80</v>
      </c>
      <c r="L1110" s="10">
        <v>0</v>
      </c>
      <c r="M1110" s="10">
        <v>146.12</v>
      </c>
      <c r="N1110" s="10" t="s">
        <v>761</v>
      </c>
      <c r="O1110" s="10" t="s">
        <v>436</v>
      </c>
      <c r="P1110" s="105">
        <f t="shared" si="17"/>
        <v>8.85575757575758</v>
      </c>
    </row>
    <row r="1111" spans="1:16">
      <c r="A1111" s="10" t="s">
        <v>635</v>
      </c>
      <c r="B1111" s="10">
        <v>4512681</v>
      </c>
      <c r="C1111" s="10" t="s">
        <v>759</v>
      </c>
      <c r="D1111" s="10" t="s">
        <v>760</v>
      </c>
      <c r="E1111" s="10">
        <v>0</v>
      </c>
      <c r="F1111" s="10">
        <v>0</v>
      </c>
      <c r="G1111" s="10">
        <v>0</v>
      </c>
      <c r="H1111" s="10">
        <v>0</v>
      </c>
      <c r="I1111" s="10" t="s">
        <v>74</v>
      </c>
      <c r="J1111" s="10">
        <v>0</v>
      </c>
      <c r="K1111" s="10">
        <v>0</v>
      </c>
      <c r="L1111" s="10">
        <v>0</v>
      </c>
      <c r="M1111" s="10">
        <v>0</v>
      </c>
      <c r="N1111" s="10" t="s">
        <v>761</v>
      </c>
      <c r="O1111" s="10" t="s">
        <v>1533</v>
      </c>
      <c r="P1111" s="105" t="e">
        <f t="shared" si="17"/>
        <v>#DIV/0!</v>
      </c>
    </row>
    <row r="1112" spans="1:16">
      <c r="A1112" s="10" t="s">
        <v>635</v>
      </c>
      <c r="B1112" s="10">
        <v>4512682</v>
      </c>
      <c r="C1112" s="10" t="s">
        <v>759</v>
      </c>
      <c r="D1112" s="10" t="s">
        <v>760</v>
      </c>
      <c r="E1112" s="10">
        <v>0</v>
      </c>
      <c r="F1112" s="10">
        <v>0</v>
      </c>
      <c r="G1112" s="10">
        <v>0</v>
      </c>
      <c r="H1112" s="10">
        <v>0</v>
      </c>
      <c r="I1112" s="10" t="s">
        <v>74</v>
      </c>
      <c r="J1112" s="10">
        <v>0</v>
      </c>
      <c r="K1112" s="10">
        <v>0</v>
      </c>
      <c r="L1112" s="10">
        <v>0</v>
      </c>
      <c r="M1112" s="10">
        <v>0</v>
      </c>
      <c r="N1112" s="10" t="s">
        <v>761</v>
      </c>
      <c r="O1112" s="10" t="s">
        <v>1534</v>
      </c>
      <c r="P1112" s="105" t="e">
        <f t="shared" si="17"/>
        <v>#DIV/0!</v>
      </c>
    </row>
    <row r="1113" spans="1:16">
      <c r="A1113" s="10" t="s">
        <v>635</v>
      </c>
      <c r="B1113" s="10">
        <v>4512683</v>
      </c>
      <c r="C1113" s="10" t="s">
        <v>759</v>
      </c>
      <c r="D1113" s="10" t="s">
        <v>760</v>
      </c>
      <c r="E1113" s="10">
        <v>24</v>
      </c>
      <c r="F1113" s="10">
        <v>144</v>
      </c>
      <c r="G1113" s="10">
        <v>0</v>
      </c>
      <c r="H1113" s="10">
        <v>168</v>
      </c>
      <c r="I1113" s="10" t="s">
        <v>74</v>
      </c>
      <c r="J1113" s="10">
        <v>210.65</v>
      </c>
      <c r="K1113" s="103">
        <v>1263.9</v>
      </c>
      <c r="L1113" s="10">
        <v>0</v>
      </c>
      <c r="M1113" s="103">
        <v>1474.55</v>
      </c>
      <c r="N1113" s="10" t="s">
        <v>761</v>
      </c>
      <c r="O1113" s="10" t="s">
        <v>257</v>
      </c>
      <c r="P1113" s="105">
        <f t="shared" si="17"/>
        <v>8.77708333333333</v>
      </c>
    </row>
    <row r="1114" spans="1:16">
      <c r="A1114" s="10" t="s">
        <v>635</v>
      </c>
      <c r="B1114" s="10">
        <v>4512684</v>
      </c>
      <c r="C1114" s="10" t="s">
        <v>759</v>
      </c>
      <c r="D1114" s="10" t="s">
        <v>760</v>
      </c>
      <c r="E1114" s="10">
        <v>0</v>
      </c>
      <c r="F1114" s="10">
        <v>0</v>
      </c>
      <c r="G1114" s="10">
        <v>0</v>
      </c>
      <c r="H1114" s="10">
        <v>0</v>
      </c>
      <c r="I1114" s="10" t="s">
        <v>74</v>
      </c>
      <c r="J1114" s="10">
        <v>0</v>
      </c>
      <c r="K1114" s="10">
        <v>0</v>
      </c>
      <c r="L1114" s="10">
        <v>0</v>
      </c>
      <c r="M1114" s="10">
        <v>0</v>
      </c>
      <c r="N1114" s="10" t="s">
        <v>761</v>
      </c>
      <c r="O1114" s="10" t="s">
        <v>1535</v>
      </c>
      <c r="P1114" s="105" t="e">
        <f t="shared" si="17"/>
        <v>#DIV/0!</v>
      </c>
    </row>
    <row r="1115" spans="1:16">
      <c r="A1115" s="10" t="s">
        <v>635</v>
      </c>
      <c r="B1115" s="10">
        <v>4512685</v>
      </c>
      <c r="C1115" s="10" t="s">
        <v>759</v>
      </c>
      <c r="D1115" s="10" t="s">
        <v>760</v>
      </c>
      <c r="E1115" s="10">
        <v>0</v>
      </c>
      <c r="F1115" s="10">
        <v>0</v>
      </c>
      <c r="G1115" s="10">
        <v>0</v>
      </c>
      <c r="H1115" s="10">
        <v>0</v>
      </c>
      <c r="I1115" s="10" t="s">
        <v>74</v>
      </c>
      <c r="J1115" s="10">
        <v>0</v>
      </c>
      <c r="K1115" s="10">
        <v>0</v>
      </c>
      <c r="L1115" s="10">
        <v>0</v>
      </c>
      <c r="M1115" s="10">
        <v>0</v>
      </c>
      <c r="N1115" s="10" t="s">
        <v>761</v>
      </c>
      <c r="O1115" s="10" t="s">
        <v>1536</v>
      </c>
      <c r="P1115" s="105" t="e">
        <f t="shared" si="17"/>
        <v>#DIV/0!</v>
      </c>
    </row>
    <row r="1116" spans="1:16">
      <c r="A1116" s="10" t="s">
        <v>635</v>
      </c>
      <c r="B1116" s="10">
        <v>4512865</v>
      </c>
      <c r="C1116" s="10" t="s">
        <v>759</v>
      </c>
      <c r="D1116" s="10" t="s">
        <v>760</v>
      </c>
      <c r="E1116" s="10">
        <v>3.75</v>
      </c>
      <c r="F1116" s="10">
        <v>14</v>
      </c>
      <c r="G1116" s="10">
        <v>0</v>
      </c>
      <c r="H1116" s="10">
        <v>17.75</v>
      </c>
      <c r="I1116" s="10" t="s">
        <v>74</v>
      </c>
      <c r="J1116" s="10">
        <v>22.5</v>
      </c>
      <c r="K1116" s="10">
        <v>84</v>
      </c>
      <c r="L1116" s="10">
        <v>0</v>
      </c>
      <c r="M1116" s="10">
        <v>106.5</v>
      </c>
      <c r="N1116" s="10" t="s">
        <v>761</v>
      </c>
      <c r="O1116" s="10" t="s">
        <v>314</v>
      </c>
      <c r="P1116" s="105">
        <f t="shared" si="17"/>
        <v>6</v>
      </c>
    </row>
    <row r="1117" spans="1:16">
      <c r="A1117" s="10" t="s">
        <v>635</v>
      </c>
      <c r="B1117" s="10">
        <v>4512866</v>
      </c>
      <c r="C1117" s="10" t="s">
        <v>759</v>
      </c>
      <c r="D1117" s="10" t="s">
        <v>760</v>
      </c>
      <c r="E1117" s="10">
        <v>0</v>
      </c>
      <c r="F1117" s="10">
        <v>0</v>
      </c>
      <c r="G1117" s="10">
        <v>0</v>
      </c>
      <c r="H1117" s="10">
        <v>0</v>
      </c>
      <c r="I1117" s="10" t="s">
        <v>67</v>
      </c>
      <c r="J1117" s="10">
        <v>0</v>
      </c>
      <c r="K1117" s="10">
        <v>0</v>
      </c>
      <c r="L1117" s="10">
        <v>0</v>
      </c>
      <c r="M1117" s="10">
        <v>0</v>
      </c>
      <c r="N1117" s="10" t="s">
        <v>761</v>
      </c>
      <c r="O1117" s="10" t="s">
        <v>1537</v>
      </c>
      <c r="P1117" s="105" t="e">
        <f t="shared" si="17"/>
        <v>#DIV/0!</v>
      </c>
    </row>
    <row r="1118" spans="1:16">
      <c r="A1118" s="10" t="s">
        <v>635</v>
      </c>
      <c r="B1118" s="10">
        <v>4512888</v>
      </c>
      <c r="C1118" s="10" t="s">
        <v>759</v>
      </c>
      <c r="D1118" s="10" t="s">
        <v>760</v>
      </c>
      <c r="E1118" s="10">
        <v>17.5</v>
      </c>
      <c r="F1118" s="10">
        <v>105</v>
      </c>
      <c r="G1118" s="10">
        <v>0</v>
      </c>
      <c r="H1118" s="10">
        <v>122.5</v>
      </c>
      <c r="I1118" s="10" t="s">
        <v>74</v>
      </c>
      <c r="J1118" s="10">
        <v>84</v>
      </c>
      <c r="K1118" s="10">
        <v>504</v>
      </c>
      <c r="L1118" s="10">
        <v>0</v>
      </c>
      <c r="M1118" s="10">
        <v>588</v>
      </c>
      <c r="N1118" s="10" t="s">
        <v>761</v>
      </c>
      <c r="O1118" s="10" t="s">
        <v>614</v>
      </c>
      <c r="P1118" s="105">
        <f t="shared" si="17"/>
        <v>4.8</v>
      </c>
    </row>
    <row r="1119" spans="1:16">
      <c r="A1119" s="10" t="s">
        <v>635</v>
      </c>
      <c r="B1119" s="10">
        <v>4512926</v>
      </c>
      <c r="C1119" s="10" t="s">
        <v>759</v>
      </c>
      <c r="D1119" s="10" t="s">
        <v>760</v>
      </c>
      <c r="E1119" s="10">
        <v>0</v>
      </c>
      <c r="F1119" s="10">
        <v>0</v>
      </c>
      <c r="G1119" s="10">
        <v>0</v>
      </c>
      <c r="H1119" s="10">
        <v>0</v>
      </c>
      <c r="I1119" s="10" t="s">
        <v>138</v>
      </c>
      <c r="J1119" s="10">
        <v>0</v>
      </c>
      <c r="K1119" s="10">
        <v>0</v>
      </c>
      <c r="L1119" s="10">
        <v>0</v>
      </c>
      <c r="M1119" s="10">
        <v>0</v>
      </c>
      <c r="N1119" s="10" t="s">
        <v>761</v>
      </c>
      <c r="O1119" s="10" t="s">
        <v>1538</v>
      </c>
      <c r="P1119" s="105" t="e">
        <f t="shared" si="17"/>
        <v>#DIV/0!</v>
      </c>
    </row>
    <row r="1120" spans="1:16">
      <c r="A1120" s="10" t="s">
        <v>635</v>
      </c>
      <c r="B1120" s="10">
        <v>4513019</v>
      </c>
      <c r="C1120" s="10" t="s">
        <v>759</v>
      </c>
      <c r="D1120" s="10" t="s">
        <v>760</v>
      </c>
      <c r="E1120" s="10">
        <v>44</v>
      </c>
      <c r="F1120" s="10">
        <v>96</v>
      </c>
      <c r="G1120" s="10">
        <v>-26</v>
      </c>
      <c r="H1120" s="10">
        <v>114</v>
      </c>
      <c r="I1120" s="10" t="s">
        <v>146</v>
      </c>
      <c r="J1120" s="10">
        <v>346.14</v>
      </c>
      <c r="K1120" s="10">
        <v>763.92</v>
      </c>
      <c r="L1120" s="10">
        <v>-206.15</v>
      </c>
      <c r="M1120" s="10">
        <v>903.91</v>
      </c>
      <c r="N1120" s="10" t="s">
        <v>761</v>
      </c>
      <c r="O1120" s="10" t="s">
        <v>144</v>
      </c>
      <c r="P1120" s="105">
        <f t="shared" si="17"/>
        <v>7.9290350877193</v>
      </c>
    </row>
    <row r="1121" spans="1:16">
      <c r="A1121" s="10" t="s">
        <v>635</v>
      </c>
      <c r="B1121" s="10">
        <v>4513154</v>
      </c>
      <c r="C1121" s="10" t="s">
        <v>759</v>
      </c>
      <c r="D1121" s="10" t="s">
        <v>760</v>
      </c>
      <c r="E1121" s="10">
        <v>0</v>
      </c>
      <c r="F1121" s="10">
        <v>0</v>
      </c>
      <c r="G1121" s="10">
        <v>0</v>
      </c>
      <c r="H1121" s="10">
        <v>0</v>
      </c>
      <c r="I1121" s="10" t="s">
        <v>45</v>
      </c>
      <c r="J1121" s="10">
        <v>0</v>
      </c>
      <c r="K1121" s="10">
        <v>0</v>
      </c>
      <c r="L1121" s="10">
        <v>0</v>
      </c>
      <c r="M1121" s="10">
        <v>0</v>
      </c>
      <c r="N1121" s="10" t="s">
        <v>761</v>
      </c>
      <c r="O1121" s="10" t="s">
        <v>1539</v>
      </c>
      <c r="P1121" s="105" t="e">
        <f t="shared" si="17"/>
        <v>#DIV/0!</v>
      </c>
    </row>
    <row r="1122" spans="1:16">
      <c r="A1122" s="10" t="s">
        <v>635</v>
      </c>
      <c r="B1122" s="10">
        <v>4513243</v>
      </c>
      <c r="C1122" s="10" t="s">
        <v>759</v>
      </c>
      <c r="D1122" s="10" t="s">
        <v>760</v>
      </c>
      <c r="E1122" s="10">
        <v>0</v>
      </c>
      <c r="F1122" s="10">
        <v>0</v>
      </c>
      <c r="G1122" s="10">
        <v>0</v>
      </c>
      <c r="H1122" s="10">
        <v>0</v>
      </c>
      <c r="I1122" s="10" t="s">
        <v>74</v>
      </c>
      <c r="J1122" s="10">
        <v>0</v>
      </c>
      <c r="K1122" s="10">
        <v>0</v>
      </c>
      <c r="L1122" s="10">
        <v>0</v>
      </c>
      <c r="M1122" s="10">
        <v>0</v>
      </c>
      <c r="N1122" s="10" t="s">
        <v>761</v>
      </c>
      <c r="O1122" s="10" t="s">
        <v>1540</v>
      </c>
      <c r="P1122" s="105" t="e">
        <f t="shared" si="17"/>
        <v>#DIV/0!</v>
      </c>
    </row>
    <row r="1123" spans="1:16">
      <c r="A1123" s="10" t="s">
        <v>635</v>
      </c>
      <c r="B1123" s="10">
        <v>4513296</v>
      </c>
      <c r="C1123" s="10" t="s">
        <v>759</v>
      </c>
      <c r="D1123" s="10" t="s">
        <v>760</v>
      </c>
      <c r="E1123" s="10">
        <v>0</v>
      </c>
      <c r="F1123" s="10">
        <v>40</v>
      </c>
      <c r="G1123" s="10">
        <v>0</v>
      </c>
      <c r="H1123" s="10">
        <v>40</v>
      </c>
      <c r="I1123" s="10" t="s">
        <v>74</v>
      </c>
      <c r="J1123" s="10">
        <v>0</v>
      </c>
      <c r="K1123" s="10">
        <v>340</v>
      </c>
      <c r="L1123" s="10">
        <v>0</v>
      </c>
      <c r="M1123" s="10">
        <v>340</v>
      </c>
      <c r="N1123" s="10" t="s">
        <v>761</v>
      </c>
      <c r="O1123" s="10" t="s">
        <v>601</v>
      </c>
      <c r="P1123" s="105">
        <f t="shared" si="17"/>
        <v>8.5</v>
      </c>
    </row>
    <row r="1124" spans="1:16">
      <c r="A1124" s="10" t="s">
        <v>635</v>
      </c>
      <c r="B1124" s="10">
        <v>4513407</v>
      </c>
      <c r="C1124" s="10" t="s">
        <v>759</v>
      </c>
      <c r="D1124" s="10" t="s">
        <v>760</v>
      </c>
      <c r="E1124" s="10">
        <v>0</v>
      </c>
      <c r="F1124" s="10">
        <v>0</v>
      </c>
      <c r="G1124" s="10">
        <v>0</v>
      </c>
      <c r="H1124" s="10">
        <v>0</v>
      </c>
      <c r="I1124" s="10" t="s">
        <v>403</v>
      </c>
      <c r="J1124" s="10">
        <v>0</v>
      </c>
      <c r="K1124" s="10">
        <v>0</v>
      </c>
      <c r="L1124" s="10">
        <v>0</v>
      </c>
      <c r="M1124" s="10">
        <v>0</v>
      </c>
      <c r="N1124" s="10" t="s">
        <v>761</v>
      </c>
      <c r="O1124" s="10" t="s">
        <v>1541</v>
      </c>
      <c r="P1124" s="105" t="e">
        <f t="shared" si="17"/>
        <v>#DIV/0!</v>
      </c>
    </row>
    <row r="1125" spans="1:16">
      <c r="A1125" s="10" t="s">
        <v>635</v>
      </c>
      <c r="B1125" s="10">
        <v>4513454</v>
      </c>
      <c r="C1125" s="10" t="s">
        <v>759</v>
      </c>
      <c r="D1125" s="10" t="s">
        <v>760</v>
      </c>
      <c r="E1125" s="10">
        <v>0</v>
      </c>
      <c r="F1125" s="10">
        <v>0</v>
      </c>
      <c r="G1125" s="10">
        <v>0</v>
      </c>
      <c r="H1125" s="10">
        <v>0</v>
      </c>
      <c r="I1125" s="10" t="s">
        <v>74</v>
      </c>
      <c r="J1125" s="10">
        <v>0</v>
      </c>
      <c r="K1125" s="10">
        <v>0</v>
      </c>
      <c r="L1125" s="10">
        <v>0</v>
      </c>
      <c r="M1125" s="10">
        <v>0</v>
      </c>
      <c r="N1125" s="10" t="s">
        <v>761</v>
      </c>
      <c r="O1125" s="10" t="s">
        <v>1542</v>
      </c>
      <c r="P1125" s="105" t="e">
        <f t="shared" si="17"/>
        <v>#DIV/0!</v>
      </c>
    </row>
    <row r="1126" spans="1:16">
      <c r="A1126" s="10" t="s">
        <v>635</v>
      </c>
      <c r="B1126" s="10">
        <v>4513501</v>
      </c>
      <c r="C1126" s="10" t="s">
        <v>759</v>
      </c>
      <c r="D1126" s="10" t="s">
        <v>760</v>
      </c>
      <c r="E1126" s="10">
        <v>0</v>
      </c>
      <c r="F1126" s="10">
        <v>650</v>
      </c>
      <c r="G1126" s="10">
        <v>0</v>
      </c>
      <c r="H1126" s="10">
        <v>650</v>
      </c>
      <c r="I1126" s="10" t="s">
        <v>30</v>
      </c>
      <c r="J1126" s="10">
        <v>0</v>
      </c>
      <c r="K1126" s="10">
        <v>338</v>
      </c>
      <c r="L1126" s="10">
        <v>0</v>
      </c>
      <c r="M1126" s="10">
        <v>338</v>
      </c>
      <c r="N1126" s="10" t="s">
        <v>761</v>
      </c>
      <c r="O1126" s="10" t="s">
        <v>343</v>
      </c>
      <c r="P1126" s="105">
        <f t="shared" si="17"/>
        <v>0.52</v>
      </c>
    </row>
    <row r="1127" spans="1:16">
      <c r="A1127" s="10" t="s">
        <v>635</v>
      </c>
      <c r="B1127" s="10">
        <v>4513503</v>
      </c>
      <c r="C1127" s="10" t="s">
        <v>759</v>
      </c>
      <c r="D1127" s="10" t="s">
        <v>760</v>
      </c>
      <c r="E1127" s="10">
        <v>20</v>
      </c>
      <c r="F1127" s="10">
        <v>560</v>
      </c>
      <c r="G1127" s="10">
        <v>0</v>
      </c>
      <c r="H1127" s="10">
        <v>580</v>
      </c>
      <c r="I1127" s="10" t="s">
        <v>37</v>
      </c>
      <c r="J1127" s="10">
        <v>35.77</v>
      </c>
      <c r="K1127" s="10">
        <v>823</v>
      </c>
      <c r="L1127" s="10">
        <v>0</v>
      </c>
      <c r="M1127" s="10">
        <v>858.77</v>
      </c>
      <c r="N1127" s="10" t="s">
        <v>761</v>
      </c>
      <c r="O1127" s="10" t="s">
        <v>426</v>
      </c>
      <c r="P1127" s="105">
        <f t="shared" si="17"/>
        <v>1.48063793103448</v>
      </c>
    </row>
    <row r="1128" spans="1:16">
      <c r="A1128" s="10" t="s">
        <v>635</v>
      </c>
      <c r="B1128" s="10">
        <v>4513626</v>
      </c>
      <c r="C1128" s="10" t="s">
        <v>759</v>
      </c>
      <c r="D1128" s="10" t="s">
        <v>760</v>
      </c>
      <c r="E1128" s="10">
        <v>2</v>
      </c>
      <c r="F1128" s="10">
        <v>9</v>
      </c>
      <c r="G1128" s="10">
        <v>0</v>
      </c>
      <c r="H1128" s="10">
        <v>11</v>
      </c>
      <c r="I1128" s="10" t="s">
        <v>33</v>
      </c>
      <c r="J1128" s="10">
        <v>34.33</v>
      </c>
      <c r="K1128" s="10">
        <v>157.5</v>
      </c>
      <c r="L1128" s="10">
        <v>0</v>
      </c>
      <c r="M1128" s="10">
        <v>191.83</v>
      </c>
      <c r="N1128" s="10" t="s">
        <v>761</v>
      </c>
      <c r="O1128" s="10" t="s">
        <v>326</v>
      </c>
      <c r="P1128" s="105">
        <f t="shared" si="17"/>
        <v>17.4390909090909</v>
      </c>
    </row>
    <row r="1129" spans="1:16">
      <c r="A1129" s="10" t="s">
        <v>635</v>
      </c>
      <c r="B1129" s="10">
        <v>4513627</v>
      </c>
      <c r="C1129" s="10" t="s">
        <v>759</v>
      </c>
      <c r="D1129" s="10" t="s">
        <v>760</v>
      </c>
      <c r="E1129" s="10">
        <v>0</v>
      </c>
      <c r="F1129" s="10">
        <v>0</v>
      </c>
      <c r="G1129" s="10">
        <v>0</v>
      </c>
      <c r="H1129" s="10">
        <v>0</v>
      </c>
      <c r="I1129" s="10" t="s">
        <v>30</v>
      </c>
      <c r="J1129" s="10">
        <v>0</v>
      </c>
      <c r="K1129" s="10">
        <v>0</v>
      </c>
      <c r="L1129" s="10">
        <v>0</v>
      </c>
      <c r="M1129" s="10">
        <v>0</v>
      </c>
      <c r="N1129" s="10" t="s">
        <v>761</v>
      </c>
      <c r="O1129" s="10" t="s">
        <v>1543</v>
      </c>
      <c r="P1129" s="105" t="e">
        <f t="shared" si="17"/>
        <v>#DIV/0!</v>
      </c>
    </row>
    <row r="1130" spans="1:16">
      <c r="A1130" s="10" t="s">
        <v>635</v>
      </c>
      <c r="B1130" s="10">
        <v>4513629</v>
      </c>
      <c r="C1130" s="10" t="s">
        <v>759</v>
      </c>
      <c r="D1130" s="10" t="s">
        <v>760</v>
      </c>
      <c r="E1130" s="10">
        <v>0</v>
      </c>
      <c r="F1130" s="10">
        <v>0</v>
      </c>
      <c r="G1130" s="10">
        <v>0</v>
      </c>
      <c r="H1130" s="10">
        <v>0</v>
      </c>
      <c r="I1130" s="10" t="s">
        <v>802</v>
      </c>
      <c r="J1130" s="10">
        <v>0</v>
      </c>
      <c r="K1130" s="10">
        <v>0</v>
      </c>
      <c r="L1130" s="10">
        <v>0</v>
      </c>
      <c r="M1130" s="10">
        <v>0</v>
      </c>
      <c r="N1130" s="10" t="s">
        <v>761</v>
      </c>
      <c r="O1130" s="10" t="s">
        <v>1544</v>
      </c>
      <c r="P1130" s="105" t="e">
        <f t="shared" si="17"/>
        <v>#DIV/0!</v>
      </c>
    </row>
    <row r="1131" spans="1:16">
      <c r="A1131" s="10" t="s">
        <v>635</v>
      </c>
      <c r="B1131" s="10">
        <v>4513630</v>
      </c>
      <c r="C1131" s="10" t="s">
        <v>759</v>
      </c>
      <c r="D1131" s="10" t="s">
        <v>760</v>
      </c>
      <c r="E1131" s="10">
        <v>0</v>
      </c>
      <c r="F1131" s="10">
        <v>0</v>
      </c>
      <c r="G1131" s="10">
        <v>0</v>
      </c>
      <c r="H1131" s="10">
        <v>0</v>
      </c>
      <c r="I1131" s="10" t="s">
        <v>74</v>
      </c>
      <c r="J1131" s="10">
        <v>0</v>
      </c>
      <c r="K1131" s="10">
        <v>0</v>
      </c>
      <c r="L1131" s="10">
        <v>0</v>
      </c>
      <c r="M1131" s="10">
        <v>0</v>
      </c>
      <c r="N1131" s="10" t="s">
        <v>761</v>
      </c>
      <c r="O1131" s="10" t="s">
        <v>1545</v>
      </c>
      <c r="P1131" s="105" t="e">
        <f t="shared" si="17"/>
        <v>#DIV/0!</v>
      </c>
    </row>
    <row r="1132" spans="1:16">
      <c r="A1132" s="10" t="s">
        <v>635</v>
      </c>
      <c r="B1132" s="10">
        <v>4513631</v>
      </c>
      <c r="C1132" s="10" t="s">
        <v>759</v>
      </c>
      <c r="D1132" s="10" t="s">
        <v>760</v>
      </c>
      <c r="E1132" s="10">
        <v>0</v>
      </c>
      <c r="F1132" s="10">
        <v>0</v>
      </c>
      <c r="G1132" s="10">
        <v>0</v>
      </c>
      <c r="H1132" s="10">
        <v>0</v>
      </c>
      <c r="I1132" s="10" t="s">
        <v>711</v>
      </c>
      <c r="J1132" s="10">
        <v>0</v>
      </c>
      <c r="K1132" s="10">
        <v>0</v>
      </c>
      <c r="L1132" s="10">
        <v>0</v>
      </c>
      <c r="M1132" s="10">
        <v>0</v>
      </c>
      <c r="N1132" s="10" t="s">
        <v>761</v>
      </c>
      <c r="O1132" s="10" t="s">
        <v>1546</v>
      </c>
      <c r="P1132" s="105" t="e">
        <f t="shared" si="17"/>
        <v>#DIV/0!</v>
      </c>
    </row>
    <row r="1133" spans="1:16">
      <c r="A1133" s="10" t="s">
        <v>635</v>
      </c>
      <c r="B1133" s="10">
        <v>4513639</v>
      </c>
      <c r="C1133" s="10" t="s">
        <v>759</v>
      </c>
      <c r="D1133" s="10" t="s">
        <v>760</v>
      </c>
      <c r="E1133" s="10">
        <v>0</v>
      </c>
      <c r="F1133" s="10">
        <v>0</v>
      </c>
      <c r="G1133" s="10">
        <v>0</v>
      </c>
      <c r="H1133" s="10">
        <v>0</v>
      </c>
      <c r="I1133" s="10" t="s">
        <v>21</v>
      </c>
      <c r="J1133" s="10">
        <v>0</v>
      </c>
      <c r="K1133" s="10">
        <v>0</v>
      </c>
      <c r="L1133" s="10">
        <v>0</v>
      </c>
      <c r="M1133" s="10">
        <v>0</v>
      </c>
      <c r="N1133" s="10" t="s">
        <v>761</v>
      </c>
      <c r="O1133" s="10" t="s">
        <v>27</v>
      </c>
      <c r="P1133" s="105" t="e">
        <f t="shared" si="17"/>
        <v>#DIV/0!</v>
      </c>
    </row>
    <row r="1134" spans="1:16">
      <c r="A1134" s="10" t="s">
        <v>635</v>
      </c>
      <c r="B1134" s="10">
        <v>4513679</v>
      </c>
      <c r="C1134" s="10" t="s">
        <v>759</v>
      </c>
      <c r="D1134" s="10" t="s">
        <v>760</v>
      </c>
      <c r="E1134" s="10">
        <v>0</v>
      </c>
      <c r="F1134" s="10">
        <v>0</v>
      </c>
      <c r="G1134" s="10">
        <v>0</v>
      </c>
      <c r="H1134" s="10">
        <v>0</v>
      </c>
      <c r="I1134" s="10" t="s">
        <v>74</v>
      </c>
      <c r="J1134" s="10">
        <v>0</v>
      </c>
      <c r="K1134" s="10">
        <v>0</v>
      </c>
      <c r="L1134" s="10">
        <v>0</v>
      </c>
      <c r="M1134" s="10">
        <v>0</v>
      </c>
      <c r="N1134" s="10" t="s">
        <v>761</v>
      </c>
      <c r="O1134" s="10" t="s">
        <v>1547</v>
      </c>
      <c r="P1134" s="105" t="e">
        <f t="shared" si="17"/>
        <v>#DIV/0!</v>
      </c>
    </row>
    <row r="1135" spans="1:16">
      <c r="A1135" s="10" t="s">
        <v>635</v>
      </c>
      <c r="B1135" s="10">
        <v>4513823</v>
      </c>
      <c r="C1135" s="10" t="s">
        <v>759</v>
      </c>
      <c r="D1135" s="10" t="s">
        <v>760</v>
      </c>
      <c r="E1135" s="10">
        <v>0</v>
      </c>
      <c r="F1135" s="10">
        <v>0</v>
      </c>
      <c r="G1135" s="10">
        <v>0</v>
      </c>
      <c r="H1135" s="10">
        <v>0</v>
      </c>
      <c r="I1135" s="10" t="s">
        <v>33</v>
      </c>
      <c r="J1135" s="10">
        <v>0</v>
      </c>
      <c r="K1135" s="10">
        <v>0</v>
      </c>
      <c r="L1135" s="10">
        <v>0</v>
      </c>
      <c r="M1135" s="10">
        <v>0</v>
      </c>
      <c r="N1135" s="10" t="s">
        <v>761</v>
      </c>
      <c r="O1135" s="10" t="s">
        <v>1548</v>
      </c>
      <c r="P1135" s="105" t="e">
        <f t="shared" si="17"/>
        <v>#DIV/0!</v>
      </c>
    </row>
    <row r="1136" spans="1:16">
      <c r="A1136" s="10" t="s">
        <v>635</v>
      </c>
      <c r="B1136" s="10">
        <v>4513824</v>
      </c>
      <c r="C1136" s="10" t="s">
        <v>759</v>
      </c>
      <c r="D1136" s="10" t="s">
        <v>760</v>
      </c>
      <c r="E1136" s="10">
        <v>0</v>
      </c>
      <c r="F1136" s="10">
        <v>0</v>
      </c>
      <c r="G1136" s="10">
        <v>0</v>
      </c>
      <c r="H1136" s="10">
        <v>0</v>
      </c>
      <c r="I1136" s="10" t="s">
        <v>74</v>
      </c>
      <c r="J1136" s="10">
        <v>0</v>
      </c>
      <c r="K1136" s="10">
        <v>0</v>
      </c>
      <c r="L1136" s="10">
        <v>0</v>
      </c>
      <c r="M1136" s="10">
        <v>0</v>
      </c>
      <c r="N1136" s="10" t="s">
        <v>761</v>
      </c>
      <c r="O1136" s="10" t="s">
        <v>1549</v>
      </c>
      <c r="P1136" s="105" t="e">
        <f t="shared" si="17"/>
        <v>#DIV/0!</v>
      </c>
    </row>
    <row r="1137" spans="1:16">
      <c r="A1137" s="10" t="s">
        <v>635</v>
      </c>
      <c r="B1137" s="10">
        <v>4513825</v>
      </c>
      <c r="C1137" s="10" t="s">
        <v>759</v>
      </c>
      <c r="D1137" s="10" t="s">
        <v>760</v>
      </c>
      <c r="E1137" s="10">
        <v>0</v>
      </c>
      <c r="F1137" s="10">
        <v>0</v>
      </c>
      <c r="G1137" s="10">
        <v>0</v>
      </c>
      <c r="H1137" s="10">
        <v>0</v>
      </c>
      <c r="I1137" s="10" t="s">
        <v>33</v>
      </c>
      <c r="J1137" s="10">
        <v>0</v>
      </c>
      <c r="K1137" s="10">
        <v>0</v>
      </c>
      <c r="L1137" s="10">
        <v>0</v>
      </c>
      <c r="M1137" s="10">
        <v>0</v>
      </c>
      <c r="N1137" s="10" t="s">
        <v>761</v>
      </c>
      <c r="O1137" s="10" t="s">
        <v>1550</v>
      </c>
      <c r="P1137" s="105" t="e">
        <f t="shared" si="17"/>
        <v>#DIV/0!</v>
      </c>
    </row>
    <row r="1138" spans="1:16">
      <c r="A1138" s="10" t="s">
        <v>635</v>
      </c>
      <c r="B1138" s="10">
        <v>4513826</v>
      </c>
      <c r="C1138" s="10" t="s">
        <v>759</v>
      </c>
      <c r="D1138" s="10" t="s">
        <v>760</v>
      </c>
      <c r="E1138" s="10">
        <v>0</v>
      </c>
      <c r="F1138" s="10">
        <v>0</v>
      </c>
      <c r="G1138" s="10">
        <v>0</v>
      </c>
      <c r="H1138" s="10">
        <v>0</v>
      </c>
      <c r="I1138" s="10" t="s">
        <v>74</v>
      </c>
      <c r="J1138" s="10">
        <v>0</v>
      </c>
      <c r="K1138" s="10">
        <v>0</v>
      </c>
      <c r="L1138" s="10">
        <v>0</v>
      </c>
      <c r="M1138" s="10">
        <v>0</v>
      </c>
      <c r="N1138" s="10" t="s">
        <v>761</v>
      </c>
      <c r="O1138" s="10" t="s">
        <v>1551</v>
      </c>
      <c r="P1138" s="105" t="e">
        <f t="shared" si="17"/>
        <v>#DIV/0!</v>
      </c>
    </row>
    <row r="1139" spans="1:16">
      <c r="A1139" s="10" t="s">
        <v>635</v>
      </c>
      <c r="B1139" s="10">
        <v>4513827</v>
      </c>
      <c r="C1139" s="10" t="s">
        <v>759</v>
      </c>
      <c r="D1139" s="10" t="s">
        <v>760</v>
      </c>
      <c r="E1139" s="10">
        <v>0</v>
      </c>
      <c r="F1139" s="10">
        <v>0</v>
      </c>
      <c r="G1139" s="10">
        <v>0</v>
      </c>
      <c r="H1139" s="10">
        <v>0</v>
      </c>
      <c r="I1139" s="10" t="s">
        <v>146</v>
      </c>
      <c r="J1139" s="10">
        <v>0</v>
      </c>
      <c r="K1139" s="10">
        <v>0</v>
      </c>
      <c r="L1139" s="10">
        <v>0</v>
      </c>
      <c r="M1139" s="10">
        <v>0</v>
      </c>
      <c r="N1139" s="10" t="s">
        <v>761</v>
      </c>
      <c r="O1139" s="10" t="s">
        <v>1552</v>
      </c>
      <c r="P1139" s="105" t="e">
        <f t="shared" si="17"/>
        <v>#DIV/0!</v>
      </c>
    </row>
    <row r="1140" spans="1:16">
      <c r="A1140" s="10" t="s">
        <v>635</v>
      </c>
      <c r="B1140" s="10">
        <v>4513872</v>
      </c>
      <c r="C1140" s="10" t="s">
        <v>759</v>
      </c>
      <c r="D1140" s="10" t="s">
        <v>760</v>
      </c>
      <c r="E1140" s="10">
        <v>0</v>
      </c>
      <c r="F1140" s="10">
        <v>0</v>
      </c>
      <c r="G1140" s="10">
        <v>0</v>
      </c>
      <c r="H1140" s="10">
        <v>0</v>
      </c>
      <c r="I1140" s="10" t="s">
        <v>146</v>
      </c>
      <c r="J1140" s="10">
        <v>0</v>
      </c>
      <c r="K1140" s="10">
        <v>0</v>
      </c>
      <c r="L1140" s="10">
        <v>0</v>
      </c>
      <c r="M1140" s="10">
        <v>0</v>
      </c>
      <c r="N1140" s="10" t="s">
        <v>761</v>
      </c>
      <c r="O1140" s="10" t="s">
        <v>1553</v>
      </c>
      <c r="P1140" s="105" t="e">
        <f t="shared" si="17"/>
        <v>#DIV/0!</v>
      </c>
    </row>
    <row r="1141" spans="1:16">
      <c r="A1141" s="10" t="s">
        <v>635</v>
      </c>
      <c r="B1141" s="10">
        <v>4513995</v>
      </c>
      <c r="C1141" s="10" t="s">
        <v>759</v>
      </c>
      <c r="D1141" s="10" t="s">
        <v>760</v>
      </c>
      <c r="E1141" s="10">
        <v>0</v>
      </c>
      <c r="F1141" s="10">
        <v>0</v>
      </c>
      <c r="G1141" s="10">
        <v>0</v>
      </c>
      <c r="H1141" s="10">
        <v>0</v>
      </c>
      <c r="I1141" s="10" t="s">
        <v>138</v>
      </c>
      <c r="J1141" s="10">
        <v>0</v>
      </c>
      <c r="K1141" s="10">
        <v>0</v>
      </c>
      <c r="L1141" s="10">
        <v>0</v>
      </c>
      <c r="M1141" s="10">
        <v>0</v>
      </c>
      <c r="N1141" s="10" t="s">
        <v>761</v>
      </c>
      <c r="O1141" s="10" t="s">
        <v>1554</v>
      </c>
      <c r="P1141" s="105" t="e">
        <f t="shared" si="17"/>
        <v>#DIV/0!</v>
      </c>
    </row>
    <row r="1142" spans="1:16">
      <c r="A1142" s="10" t="s">
        <v>635</v>
      </c>
      <c r="B1142" s="10">
        <v>4513997</v>
      </c>
      <c r="C1142" s="10" t="s">
        <v>759</v>
      </c>
      <c r="D1142" s="10" t="s">
        <v>760</v>
      </c>
      <c r="E1142" s="10">
        <v>0</v>
      </c>
      <c r="F1142" s="10">
        <v>0</v>
      </c>
      <c r="G1142" s="10">
        <v>0</v>
      </c>
      <c r="H1142" s="10">
        <v>0</v>
      </c>
      <c r="I1142" s="10" t="s">
        <v>30</v>
      </c>
      <c r="J1142" s="10">
        <v>0</v>
      </c>
      <c r="K1142" s="10">
        <v>0</v>
      </c>
      <c r="L1142" s="10">
        <v>0</v>
      </c>
      <c r="M1142" s="10">
        <v>0</v>
      </c>
      <c r="N1142" s="10" t="s">
        <v>761</v>
      </c>
      <c r="O1142" s="10" t="s">
        <v>1555</v>
      </c>
      <c r="P1142" s="105" t="e">
        <f t="shared" si="17"/>
        <v>#DIV/0!</v>
      </c>
    </row>
    <row r="1143" spans="1:16">
      <c r="A1143" s="10" t="s">
        <v>635</v>
      </c>
      <c r="B1143" s="10">
        <v>4513998</v>
      </c>
      <c r="C1143" s="10" t="s">
        <v>759</v>
      </c>
      <c r="D1143" s="10" t="s">
        <v>760</v>
      </c>
      <c r="E1143" s="10">
        <v>0</v>
      </c>
      <c r="F1143" s="10">
        <v>0</v>
      </c>
      <c r="G1143" s="10">
        <v>0</v>
      </c>
      <c r="H1143" s="10">
        <v>0</v>
      </c>
      <c r="I1143" s="10" t="s">
        <v>33</v>
      </c>
      <c r="J1143" s="10">
        <v>0</v>
      </c>
      <c r="K1143" s="10">
        <v>0</v>
      </c>
      <c r="L1143" s="10">
        <v>0</v>
      </c>
      <c r="M1143" s="10">
        <v>0</v>
      </c>
      <c r="N1143" s="10" t="s">
        <v>761</v>
      </c>
      <c r="O1143" s="10" t="s">
        <v>1556</v>
      </c>
      <c r="P1143" s="105" t="e">
        <f t="shared" si="17"/>
        <v>#DIV/0!</v>
      </c>
    </row>
    <row r="1144" spans="1:16">
      <c r="A1144" s="10" t="s">
        <v>635</v>
      </c>
      <c r="B1144" s="10">
        <v>4514134</v>
      </c>
      <c r="C1144" s="10" t="s">
        <v>759</v>
      </c>
      <c r="D1144" s="10" t="s">
        <v>760</v>
      </c>
      <c r="E1144" s="10">
        <v>0</v>
      </c>
      <c r="F1144" s="10">
        <v>0</v>
      </c>
      <c r="G1144" s="10">
        <v>0</v>
      </c>
      <c r="H1144" s="10">
        <v>0</v>
      </c>
      <c r="I1144" s="10" t="s">
        <v>74</v>
      </c>
      <c r="J1144" s="10">
        <v>0</v>
      </c>
      <c r="K1144" s="10">
        <v>0</v>
      </c>
      <c r="L1144" s="10">
        <v>0</v>
      </c>
      <c r="M1144" s="10">
        <v>0</v>
      </c>
      <c r="N1144" s="10" t="s">
        <v>761</v>
      </c>
      <c r="O1144" s="10" t="s">
        <v>1557</v>
      </c>
      <c r="P1144" s="105" t="e">
        <f t="shared" si="17"/>
        <v>#DIV/0!</v>
      </c>
    </row>
    <row r="1145" spans="1:16">
      <c r="A1145" s="10" t="s">
        <v>635</v>
      </c>
      <c r="B1145" s="10">
        <v>4514214</v>
      </c>
      <c r="C1145" s="10" t="s">
        <v>759</v>
      </c>
      <c r="D1145" s="10" t="s">
        <v>760</v>
      </c>
      <c r="E1145" s="10">
        <v>0</v>
      </c>
      <c r="F1145" s="10">
        <v>0</v>
      </c>
      <c r="G1145" s="10">
        <v>0</v>
      </c>
      <c r="H1145" s="10">
        <v>0</v>
      </c>
      <c r="I1145" s="10" t="s">
        <v>146</v>
      </c>
      <c r="J1145" s="10">
        <v>0</v>
      </c>
      <c r="K1145" s="10">
        <v>0</v>
      </c>
      <c r="L1145" s="10">
        <v>0</v>
      </c>
      <c r="M1145" s="10">
        <v>0</v>
      </c>
      <c r="N1145" s="10" t="s">
        <v>761</v>
      </c>
      <c r="O1145" s="10" t="s">
        <v>1558</v>
      </c>
      <c r="P1145" s="105" t="e">
        <f t="shared" si="17"/>
        <v>#DIV/0!</v>
      </c>
    </row>
    <row r="1146" spans="1:16">
      <c r="A1146" s="10" t="s">
        <v>635</v>
      </c>
      <c r="B1146" s="10">
        <v>4514284</v>
      </c>
      <c r="C1146" s="10" t="s">
        <v>759</v>
      </c>
      <c r="D1146" s="10" t="s">
        <v>760</v>
      </c>
      <c r="E1146" s="10">
        <v>176</v>
      </c>
      <c r="F1146" s="10">
        <v>264</v>
      </c>
      <c r="G1146" s="10">
        <v>0</v>
      </c>
      <c r="H1146" s="10">
        <v>440</v>
      </c>
      <c r="I1146" s="10" t="s">
        <v>151</v>
      </c>
      <c r="J1146" s="10">
        <v>34.98</v>
      </c>
      <c r="K1146" s="10">
        <v>52.47</v>
      </c>
      <c r="L1146" s="10">
        <v>0</v>
      </c>
      <c r="M1146" s="10">
        <v>87.45</v>
      </c>
      <c r="N1146" s="10" t="s">
        <v>761</v>
      </c>
      <c r="O1146" s="10" t="s">
        <v>149</v>
      </c>
      <c r="P1146" s="105">
        <f t="shared" si="17"/>
        <v>0.19875</v>
      </c>
    </row>
    <row r="1147" spans="1:16">
      <c r="A1147" s="10" t="s">
        <v>635</v>
      </c>
      <c r="B1147" s="10">
        <v>4514318</v>
      </c>
      <c r="C1147" s="10" t="s">
        <v>759</v>
      </c>
      <c r="D1147" s="10" t="s">
        <v>760</v>
      </c>
      <c r="E1147" s="10">
        <v>0</v>
      </c>
      <c r="F1147" s="103">
        <v>3000</v>
      </c>
      <c r="G1147" s="10">
        <v>0</v>
      </c>
      <c r="H1147" s="103">
        <v>3000</v>
      </c>
      <c r="I1147" s="10" t="s">
        <v>21</v>
      </c>
      <c r="J1147" s="10">
        <v>0</v>
      </c>
      <c r="K1147" s="10">
        <v>378</v>
      </c>
      <c r="L1147" s="10">
        <v>0</v>
      </c>
      <c r="M1147" s="10">
        <v>378</v>
      </c>
      <c r="N1147" s="10" t="s">
        <v>761</v>
      </c>
      <c r="O1147" s="10" t="s">
        <v>331</v>
      </c>
      <c r="P1147" s="105">
        <f t="shared" si="17"/>
        <v>0.126</v>
      </c>
    </row>
    <row r="1148" spans="1:16">
      <c r="A1148" s="10" t="s">
        <v>635</v>
      </c>
      <c r="B1148" s="10">
        <v>4514406</v>
      </c>
      <c r="C1148" s="10" t="s">
        <v>759</v>
      </c>
      <c r="D1148" s="10" t="s">
        <v>760</v>
      </c>
      <c r="E1148" s="10">
        <v>0</v>
      </c>
      <c r="F1148" s="10">
        <v>0</v>
      </c>
      <c r="G1148" s="10">
        <v>0</v>
      </c>
      <c r="H1148" s="10">
        <v>0</v>
      </c>
      <c r="I1148" s="10" t="s">
        <v>30</v>
      </c>
      <c r="J1148" s="10">
        <v>0</v>
      </c>
      <c r="K1148" s="10">
        <v>0</v>
      </c>
      <c r="L1148" s="10">
        <v>0</v>
      </c>
      <c r="M1148" s="10">
        <v>0</v>
      </c>
      <c r="N1148" s="10" t="s">
        <v>761</v>
      </c>
      <c r="O1148" s="10" t="s">
        <v>1559</v>
      </c>
      <c r="P1148" s="105" t="e">
        <f t="shared" si="17"/>
        <v>#DIV/0!</v>
      </c>
    </row>
    <row r="1149" spans="1:16">
      <c r="A1149" s="10" t="s">
        <v>635</v>
      </c>
      <c r="B1149" s="10">
        <v>4514407</v>
      </c>
      <c r="C1149" s="10" t="s">
        <v>759</v>
      </c>
      <c r="D1149" s="10" t="s">
        <v>760</v>
      </c>
      <c r="E1149" s="10">
        <v>0</v>
      </c>
      <c r="F1149" s="10">
        <v>0</v>
      </c>
      <c r="G1149" s="10">
        <v>0</v>
      </c>
      <c r="H1149" s="10">
        <v>0</v>
      </c>
      <c r="I1149" s="10" t="s">
        <v>37</v>
      </c>
      <c r="J1149" s="10">
        <v>0</v>
      </c>
      <c r="K1149" s="10">
        <v>0</v>
      </c>
      <c r="L1149" s="10">
        <v>0</v>
      </c>
      <c r="M1149" s="10">
        <v>0</v>
      </c>
      <c r="N1149" s="10" t="s">
        <v>761</v>
      </c>
      <c r="O1149" s="10" t="s">
        <v>1560</v>
      </c>
      <c r="P1149" s="105" t="e">
        <f t="shared" si="17"/>
        <v>#DIV/0!</v>
      </c>
    </row>
    <row r="1150" spans="1:16">
      <c r="A1150" s="10" t="s">
        <v>635</v>
      </c>
      <c r="B1150" s="10">
        <v>4514408</v>
      </c>
      <c r="C1150" s="10" t="s">
        <v>759</v>
      </c>
      <c r="D1150" s="10" t="s">
        <v>760</v>
      </c>
      <c r="E1150" s="10">
        <v>0</v>
      </c>
      <c r="F1150" s="10">
        <v>0</v>
      </c>
      <c r="G1150" s="10">
        <v>0</v>
      </c>
      <c r="H1150" s="10">
        <v>0</v>
      </c>
      <c r="I1150" s="10" t="s">
        <v>37</v>
      </c>
      <c r="J1150" s="10">
        <v>0</v>
      </c>
      <c r="K1150" s="10">
        <v>0</v>
      </c>
      <c r="L1150" s="10">
        <v>0</v>
      </c>
      <c r="M1150" s="10">
        <v>0</v>
      </c>
      <c r="N1150" s="10" t="s">
        <v>761</v>
      </c>
      <c r="O1150" s="10" t="s">
        <v>1561</v>
      </c>
      <c r="P1150" s="105" t="e">
        <f t="shared" si="17"/>
        <v>#DIV/0!</v>
      </c>
    </row>
    <row r="1151" spans="1:16">
      <c r="A1151" s="10" t="s">
        <v>635</v>
      </c>
      <c r="B1151" s="10">
        <v>4514409</v>
      </c>
      <c r="C1151" s="10" t="s">
        <v>759</v>
      </c>
      <c r="D1151" s="10" t="s">
        <v>760</v>
      </c>
      <c r="E1151" s="10">
        <v>0</v>
      </c>
      <c r="F1151" s="10">
        <v>0</v>
      </c>
      <c r="G1151" s="10">
        <v>0</v>
      </c>
      <c r="H1151" s="10">
        <v>0</v>
      </c>
      <c r="I1151" s="10" t="s">
        <v>74</v>
      </c>
      <c r="J1151" s="10">
        <v>0</v>
      </c>
      <c r="K1151" s="10">
        <v>0</v>
      </c>
      <c r="L1151" s="10">
        <v>0</v>
      </c>
      <c r="M1151" s="10">
        <v>0</v>
      </c>
      <c r="N1151" s="10" t="s">
        <v>761</v>
      </c>
      <c r="O1151" s="10" t="s">
        <v>1562</v>
      </c>
      <c r="P1151" s="105" t="e">
        <f t="shared" si="17"/>
        <v>#DIV/0!</v>
      </c>
    </row>
    <row r="1152" spans="1:16">
      <c r="A1152" s="10" t="s">
        <v>635</v>
      </c>
      <c r="B1152" s="10">
        <v>4514410</v>
      </c>
      <c r="C1152" s="10" t="s">
        <v>759</v>
      </c>
      <c r="D1152" s="10" t="s">
        <v>760</v>
      </c>
      <c r="E1152" s="10">
        <v>25</v>
      </c>
      <c r="F1152" s="10">
        <v>96</v>
      </c>
      <c r="G1152" s="10">
        <v>0</v>
      </c>
      <c r="H1152" s="10">
        <v>121</v>
      </c>
      <c r="I1152" s="10" t="s">
        <v>56</v>
      </c>
      <c r="J1152" s="10">
        <v>150.18</v>
      </c>
      <c r="K1152" s="10">
        <v>571.2</v>
      </c>
      <c r="L1152" s="10">
        <v>0</v>
      </c>
      <c r="M1152" s="10">
        <v>721.38</v>
      </c>
      <c r="N1152" s="10" t="s">
        <v>761</v>
      </c>
      <c r="O1152" s="10" t="s">
        <v>373</v>
      </c>
      <c r="P1152" s="105">
        <f t="shared" si="17"/>
        <v>5.96181818181818</v>
      </c>
    </row>
    <row r="1153" spans="1:16">
      <c r="A1153" s="10" t="s">
        <v>635</v>
      </c>
      <c r="B1153" s="10">
        <v>4514411</v>
      </c>
      <c r="C1153" s="10" t="s">
        <v>759</v>
      </c>
      <c r="D1153" s="10" t="s">
        <v>760</v>
      </c>
      <c r="E1153" s="10">
        <v>0</v>
      </c>
      <c r="F1153" s="10">
        <v>0</v>
      </c>
      <c r="G1153" s="10">
        <v>0</v>
      </c>
      <c r="H1153" s="10">
        <v>0</v>
      </c>
      <c r="I1153" s="10" t="s">
        <v>74</v>
      </c>
      <c r="J1153" s="10">
        <v>0</v>
      </c>
      <c r="K1153" s="10">
        <v>0</v>
      </c>
      <c r="L1153" s="10">
        <v>0</v>
      </c>
      <c r="M1153" s="10">
        <v>0</v>
      </c>
      <c r="N1153" s="10" t="s">
        <v>761</v>
      </c>
      <c r="O1153" s="10" t="s">
        <v>1563</v>
      </c>
      <c r="P1153" s="105" t="e">
        <f t="shared" si="17"/>
        <v>#DIV/0!</v>
      </c>
    </row>
    <row r="1154" spans="1:16">
      <c r="A1154" s="10" t="s">
        <v>635</v>
      </c>
      <c r="B1154" s="10">
        <v>4514412</v>
      </c>
      <c r="C1154" s="10" t="s">
        <v>759</v>
      </c>
      <c r="D1154" s="10" t="s">
        <v>760</v>
      </c>
      <c r="E1154" s="10">
        <v>0</v>
      </c>
      <c r="F1154" s="10">
        <v>0</v>
      </c>
      <c r="G1154" s="10">
        <v>0</v>
      </c>
      <c r="H1154" s="10">
        <v>0</v>
      </c>
      <c r="I1154" s="10" t="s">
        <v>37</v>
      </c>
      <c r="J1154" s="10">
        <v>0</v>
      </c>
      <c r="K1154" s="10">
        <v>0</v>
      </c>
      <c r="L1154" s="10">
        <v>0</v>
      </c>
      <c r="M1154" s="10">
        <v>0</v>
      </c>
      <c r="N1154" s="10" t="s">
        <v>761</v>
      </c>
      <c r="O1154" s="10" t="s">
        <v>1564</v>
      </c>
      <c r="P1154" s="105" t="e">
        <f t="shared" si="17"/>
        <v>#DIV/0!</v>
      </c>
    </row>
    <row r="1155" spans="1:16">
      <c r="A1155" s="10" t="s">
        <v>635</v>
      </c>
      <c r="B1155" s="10">
        <v>4514434</v>
      </c>
      <c r="C1155" s="10" t="s">
        <v>759</v>
      </c>
      <c r="D1155" s="10" t="s">
        <v>760</v>
      </c>
      <c r="E1155" s="10">
        <v>0</v>
      </c>
      <c r="F1155" s="10">
        <v>0</v>
      </c>
      <c r="G1155" s="10">
        <v>0</v>
      </c>
      <c r="H1155" s="10">
        <v>0</v>
      </c>
      <c r="I1155" s="10" t="s">
        <v>56</v>
      </c>
      <c r="J1155" s="10">
        <v>0</v>
      </c>
      <c r="K1155" s="10">
        <v>0</v>
      </c>
      <c r="L1155" s="10">
        <v>0</v>
      </c>
      <c r="M1155" s="10">
        <v>0</v>
      </c>
      <c r="N1155" s="10" t="s">
        <v>761</v>
      </c>
      <c r="O1155" s="10" t="s">
        <v>1565</v>
      </c>
      <c r="P1155" s="105" t="e">
        <f t="shared" ref="P1155:P1218" si="18">M1155/H1155</f>
        <v>#DIV/0!</v>
      </c>
    </row>
    <row r="1156" spans="1:16">
      <c r="A1156" s="10" t="s">
        <v>635</v>
      </c>
      <c r="B1156" s="10">
        <v>4514435</v>
      </c>
      <c r="C1156" s="10" t="s">
        <v>759</v>
      </c>
      <c r="D1156" s="10" t="s">
        <v>760</v>
      </c>
      <c r="E1156" s="10">
        <v>0</v>
      </c>
      <c r="F1156" s="10">
        <v>0</v>
      </c>
      <c r="G1156" s="10">
        <v>0</v>
      </c>
      <c r="H1156" s="10">
        <v>0</v>
      </c>
      <c r="I1156" s="10" t="s">
        <v>74</v>
      </c>
      <c r="J1156" s="10">
        <v>0</v>
      </c>
      <c r="K1156" s="10">
        <v>0</v>
      </c>
      <c r="L1156" s="10">
        <v>0</v>
      </c>
      <c r="M1156" s="10">
        <v>0</v>
      </c>
      <c r="N1156" s="10" t="s">
        <v>761</v>
      </c>
      <c r="O1156" s="10" t="s">
        <v>1566</v>
      </c>
      <c r="P1156" s="105" t="e">
        <f t="shared" si="18"/>
        <v>#DIV/0!</v>
      </c>
    </row>
    <row r="1157" spans="1:16">
      <c r="A1157" s="10" t="s">
        <v>635</v>
      </c>
      <c r="B1157" s="10">
        <v>4514436</v>
      </c>
      <c r="C1157" s="10" t="s">
        <v>759</v>
      </c>
      <c r="D1157" s="10" t="s">
        <v>760</v>
      </c>
      <c r="E1157" s="10">
        <v>0</v>
      </c>
      <c r="F1157" s="10">
        <v>0</v>
      </c>
      <c r="G1157" s="10">
        <v>0</v>
      </c>
      <c r="H1157" s="10">
        <v>0</v>
      </c>
      <c r="I1157" s="10" t="s">
        <v>74</v>
      </c>
      <c r="J1157" s="10">
        <v>0</v>
      </c>
      <c r="K1157" s="10">
        <v>0</v>
      </c>
      <c r="L1157" s="10">
        <v>0</v>
      </c>
      <c r="M1157" s="10">
        <v>0</v>
      </c>
      <c r="N1157" s="10" t="s">
        <v>761</v>
      </c>
      <c r="O1157" s="10" t="s">
        <v>1567</v>
      </c>
      <c r="P1157" s="105" t="e">
        <f t="shared" si="18"/>
        <v>#DIV/0!</v>
      </c>
    </row>
    <row r="1158" spans="1:16">
      <c r="A1158" s="10" t="s">
        <v>635</v>
      </c>
      <c r="B1158" s="10">
        <v>4514537</v>
      </c>
      <c r="C1158" s="10" t="s">
        <v>759</v>
      </c>
      <c r="D1158" s="10" t="s">
        <v>760</v>
      </c>
      <c r="E1158" s="10">
        <v>0</v>
      </c>
      <c r="F1158" s="10">
        <v>0</v>
      </c>
      <c r="G1158" s="10">
        <v>0</v>
      </c>
      <c r="H1158" s="10">
        <v>0</v>
      </c>
      <c r="I1158" s="10" t="s">
        <v>74</v>
      </c>
      <c r="J1158" s="10">
        <v>0</v>
      </c>
      <c r="K1158" s="10">
        <v>0</v>
      </c>
      <c r="L1158" s="10">
        <v>0</v>
      </c>
      <c r="M1158" s="10">
        <v>0</v>
      </c>
      <c r="N1158" s="10" t="s">
        <v>761</v>
      </c>
      <c r="O1158" s="10" t="s">
        <v>1568</v>
      </c>
      <c r="P1158" s="105" t="e">
        <f t="shared" si="18"/>
        <v>#DIV/0!</v>
      </c>
    </row>
    <row r="1159" spans="1:16">
      <c r="A1159" s="10" t="s">
        <v>635</v>
      </c>
      <c r="B1159" s="10">
        <v>4514538</v>
      </c>
      <c r="C1159" s="10" t="s">
        <v>759</v>
      </c>
      <c r="D1159" s="10" t="s">
        <v>760</v>
      </c>
      <c r="E1159" s="10">
        <v>3</v>
      </c>
      <c r="F1159" s="10">
        <v>16</v>
      </c>
      <c r="G1159" s="10">
        <v>0</v>
      </c>
      <c r="H1159" s="10">
        <v>19</v>
      </c>
      <c r="I1159" s="10" t="s">
        <v>37</v>
      </c>
      <c r="J1159" s="10">
        <v>45</v>
      </c>
      <c r="K1159" s="10">
        <v>240</v>
      </c>
      <c r="L1159" s="10">
        <v>0</v>
      </c>
      <c r="M1159" s="10">
        <v>285</v>
      </c>
      <c r="N1159" s="10" t="s">
        <v>761</v>
      </c>
      <c r="O1159" s="10" t="s">
        <v>517</v>
      </c>
      <c r="P1159" s="105">
        <f t="shared" si="18"/>
        <v>15</v>
      </c>
    </row>
    <row r="1160" spans="1:16">
      <c r="A1160" s="10" t="s">
        <v>635</v>
      </c>
      <c r="B1160" s="10">
        <v>4514539</v>
      </c>
      <c r="C1160" s="10" t="s">
        <v>759</v>
      </c>
      <c r="D1160" s="10" t="s">
        <v>760</v>
      </c>
      <c r="E1160" s="10">
        <v>0</v>
      </c>
      <c r="F1160" s="103">
        <v>1110</v>
      </c>
      <c r="G1160" s="10">
        <v>-15</v>
      </c>
      <c r="H1160" s="103">
        <v>1095</v>
      </c>
      <c r="I1160" s="10" t="s">
        <v>37</v>
      </c>
      <c r="J1160" s="10">
        <v>0</v>
      </c>
      <c r="K1160" s="103">
        <v>1352</v>
      </c>
      <c r="L1160" s="10">
        <v>-17.87</v>
      </c>
      <c r="M1160" s="103">
        <v>1334.13</v>
      </c>
      <c r="N1160" s="10" t="s">
        <v>761</v>
      </c>
      <c r="O1160" s="10" t="s">
        <v>412</v>
      </c>
      <c r="P1160" s="105">
        <f t="shared" si="18"/>
        <v>1.21838356164384</v>
      </c>
    </row>
    <row r="1161" spans="1:16">
      <c r="A1161" s="10" t="s">
        <v>635</v>
      </c>
      <c r="B1161" s="10">
        <v>4514540</v>
      </c>
      <c r="C1161" s="10" t="s">
        <v>759</v>
      </c>
      <c r="D1161" s="10" t="s">
        <v>760</v>
      </c>
      <c r="E1161" s="10">
        <v>0</v>
      </c>
      <c r="F1161" s="10">
        <v>4</v>
      </c>
      <c r="G1161" s="10">
        <v>-4</v>
      </c>
      <c r="H1161" s="10">
        <v>0</v>
      </c>
      <c r="I1161" s="10" t="s">
        <v>261</v>
      </c>
      <c r="J1161" s="10">
        <v>0</v>
      </c>
      <c r="K1161" s="10">
        <v>66</v>
      </c>
      <c r="L1161" s="10">
        <v>-66</v>
      </c>
      <c r="M1161" s="10">
        <v>0</v>
      </c>
      <c r="N1161" s="10" t="s">
        <v>761</v>
      </c>
      <c r="O1161" s="10" t="s">
        <v>1569</v>
      </c>
      <c r="P1161" s="105" t="e">
        <f t="shared" si="18"/>
        <v>#DIV/0!</v>
      </c>
    </row>
    <row r="1162" spans="1:16">
      <c r="A1162" s="10" t="s">
        <v>635</v>
      </c>
      <c r="B1162" s="10">
        <v>4514602</v>
      </c>
      <c r="C1162" s="10" t="s">
        <v>759</v>
      </c>
      <c r="D1162" s="10" t="s">
        <v>760</v>
      </c>
      <c r="E1162" s="10">
        <v>50.4</v>
      </c>
      <c r="F1162" s="10">
        <v>182.7</v>
      </c>
      <c r="G1162" s="10">
        <v>0</v>
      </c>
      <c r="H1162" s="10">
        <v>233.1</v>
      </c>
      <c r="I1162" s="10" t="s">
        <v>74</v>
      </c>
      <c r="J1162" s="10">
        <v>511.01</v>
      </c>
      <c r="K1162" s="103">
        <v>1959.06</v>
      </c>
      <c r="L1162" s="10">
        <v>0</v>
      </c>
      <c r="M1162" s="103">
        <v>2470.07</v>
      </c>
      <c r="N1162" s="10" t="s">
        <v>761</v>
      </c>
      <c r="O1162" s="10" t="s">
        <v>486</v>
      </c>
      <c r="P1162" s="105">
        <f t="shared" si="18"/>
        <v>10.5966108966109</v>
      </c>
    </row>
    <row r="1163" spans="1:16">
      <c r="A1163" s="10" t="s">
        <v>635</v>
      </c>
      <c r="B1163" s="10">
        <v>4514640</v>
      </c>
      <c r="C1163" s="10" t="s">
        <v>759</v>
      </c>
      <c r="D1163" s="10" t="s">
        <v>760</v>
      </c>
      <c r="E1163" s="10">
        <v>0</v>
      </c>
      <c r="F1163" s="10">
        <v>0</v>
      </c>
      <c r="G1163" s="10">
        <v>0</v>
      </c>
      <c r="H1163" s="10">
        <v>0</v>
      </c>
      <c r="I1163" s="10" t="s">
        <v>21</v>
      </c>
      <c r="J1163" s="10">
        <v>0</v>
      </c>
      <c r="K1163" s="10">
        <v>0</v>
      </c>
      <c r="L1163" s="10">
        <v>0</v>
      </c>
      <c r="M1163" s="10">
        <v>0</v>
      </c>
      <c r="N1163" s="10" t="s">
        <v>761</v>
      </c>
      <c r="O1163" s="10" t="s">
        <v>1570</v>
      </c>
      <c r="P1163" s="105" t="e">
        <f t="shared" si="18"/>
        <v>#DIV/0!</v>
      </c>
    </row>
    <row r="1164" spans="1:16">
      <c r="A1164" s="10" t="s">
        <v>635</v>
      </c>
      <c r="B1164" s="10">
        <v>4514744</v>
      </c>
      <c r="C1164" s="10" t="s">
        <v>759</v>
      </c>
      <c r="D1164" s="10" t="s">
        <v>760</v>
      </c>
      <c r="E1164" s="10">
        <v>4</v>
      </c>
      <c r="F1164" s="10">
        <v>16</v>
      </c>
      <c r="G1164" s="10">
        <v>-2</v>
      </c>
      <c r="H1164" s="10">
        <v>18</v>
      </c>
      <c r="I1164" s="10" t="s">
        <v>33</v>
      </c>
      <c r="J1164" s="10">
        <v>110.73</v>
      </c>
      <c r="K1164" s="10">
        <v>443.2</v>
      </c>
      <c r="L1164" s="10">
        <v>-55.4</v>
      </c>
      <c r="M1164" s="10">
        <v>498.53</v>
      </c>
      <c r="N1164" s="10" t="s">
        <v>761</v>
      </c>
      <c r="O1164" s="10" t="s">
        <v>57</v>
      </c>
      <c r="P1164" s="105">
        <f t="shared" si="18"/>
        <v>27.6961111111111</v>
      </c>
    </row>
    <row r="1165" spans="1:16">
      <c r="A1165" s="10" t="s">
        <v>635</v>
      </c>
      <c r="B1165" s="10">
        <v>4514924</v>
      </c>
      <c r="C1165" s="10" t="s">
        <v>759</v>
      </c>
      <c r="D1165" s="10" t="s">
        <v>760</v>
      </c>
      <c r="E1165" s="10">
        <v>2.2</v>
      </c>
      <c r="F1165" s="10">
        <v>45</v>
      </c>
      <c r="G1165" s="10">
        <v>0</v>
      </c>
      <c r="H1165" s="10">
        <v>47.2</v>
      </c>
      <c r="I1165" s="10" t="s">
        <v>74</v>
      </c>
      <c r="J1165" s="10">
        <v>30.8</v>
      </c>
      <c r="K1165" s="10">
        <v>619.5</v>
      </c>
      <c r="L1165" s="10">
        <v>0</v>
      </c>
      <c r="M1165" s="10">
        <v>650.3</v>
      </c>
      <c r="N1165" s="10" t="s">
        <v>761</v>
      </c>
      <c r="O1165" s="10" t="s">
        <v>585</v>
      </c>
      <c r="P1165" s="105">
        <f t="shared" si="18"/>
        <v>13.7775423728814</v>
      </c>
    </row>
    <row r="1166" spans="1:16">
      <c r="A1166" s="10" t="s">
        <v>635</v>
      </c>
      <c r="B1166" s="10">
        <v>4515231</v>
      </c>
      <c r="C1166" s="10" t="s">
        <v>759</v>
      </c>
      <c r="D1166" s="10" t="s">
        <v>760</v>
      </c>
      <c r="E1166" s="10">
        <v>0</v>
      </c>
      <c r="F1166" s="10">
        <v>0</v>
      </c>
      <c r="G1166" s="10">
        <v>0</v>
      </c>
      <c r="H1166" s="10">
        <v>0</v>
      </c>
      <c r="I1166" s="10" t="s">
        <v>21</v>
      </c>
      <c r="J1166" s="10">
        <v>0</v>
      </c>
      <c r="K1166" s="10">
        <v>0</v>
      </c>
      <c r="L1166" s="10">
        <v>0</v>
      </c>
      <c r="M1166" s="10">
        <v>0</v>
      </c>
      <c r="N1166" s="10" t="s">
        <v>761</v>
      </c>
      <c r="O1166" s="10" t="s">
        <v>1571</v>
      </c>
      <c r="P1166" s="105" t="e">
        <f t="shared" si="18"/>
        <v>#DIV/0!</v>
      </c>
    </row>
    <row r="1167" spans="1:16">
      <c r="A1167" s="10" t="s">
        <v>635</v>
      </c>
      <c r="B1167" s="10">
        <v>4515311</v>
      </c>
      <c r="C1167" s="10" t="s">
        <v>759</v>
      </c>
      <c r="D1167" s="10" t="s">
        <v>760</v>
      </c>
      <c r="E1167" s="10">
        <v>0</v>
      </c>
      <c r="F1167" s="10">
        <v>0</v>
      </c>
      <c r="G1167" s="10">
        <v>0</v>
      </c>
      <c r="H1167" s="10">
        <v>0</v>
      </c>
      <c r="I1167" s="10" t="s">
        <v>177</v>
      </c>
      <c r="J1167" s="10">
        <v>0</v>
      </c>
      <c r="K1167" s="10">
        <v>0</v>
      </c>
      <c r="L1167" s="10">
        <v>0</v>
      </c>
      <c r="M1167" s="10">
        <v>0</v>
      </c>
      <c r="N1167" s="10" t="s">
        <v>761</v>
      </c>
      <c r="O1167" s="10" t="s">
        <v>1572</v>
      </c>
      <c r="P1167" s="105" t="e">
        <f t="shared" si="18"/>
        <v>#DIV/0!</v>
      </c>
    </row>
    <row r="1168" spans="1:16">
      <c r="A1168" s="10" t="s">
        <v>635</v>
      </c>
      <c r="B1168" s="10">
        <v>4515419</v>
      </c>
      <c r="C1168" s="10" t="s">
        <v>759</v>
      </c>
      <c r="D1168" s="10" t="s">
        <v>760</v>
      </c>
      <c r="E1168" s="10">
        <v>66</v>
      </c>
      <c r="F1168" s="10">
        <v>769.13</v>
      </c>
      <c r="G1168" s="10">
        <v>-420.71</v>
      </c>
      <c r="H1168" s="10">
        <v>414.42</v>
      </c>
      <c r="I1168" s="10" t="s">
        <v>37</v>
      </c>
      <c r="J1168" s="10">
        <v>416.94</v>
      </c>
      <c r="K1168" s="103">
        <v>4866.08</v>
      </c>
      <c r="L1168" s="103">
        <v>-2662.41</v>
      </c>
      <c r="M1168" s="103">
        <v>2620.61</v>
      </c>
      <c r="N1168" s="10" t="s">
        <v>761</v>
      </c>
      <c r="O1168" s="10" t="s">
        <v>158</v>
      </c>
      <c r="P1168" s="105">
        <f t="shared" si="18"/>
        <v>6.3235606389653</v>
      </c>
    </row>
    <row r="1169" spans="1:16">
      <c r="A1169" s="10" t="s">
        <v>635</v>
      </c>
      <c r="B1169" s="10">
        <v>4515420</v>
      </c>
      <c r="C1169" s="10" t="s">
        <v>759</v>
      </c>
      <c r="D1169" s="10" t="s">
        <v>760</v>
      </c>
      <c r="E1169" s="10">
        <v>0</v>
      </c>
      <c r="F1169" s="10">
        <v>0</v>
      </c>
      <c r="G1169" s="10">
        <v>0</v>
      </c>
      <c r="H1169" s="10">
        <v>0</v>
      </c>
      <c r="I1169" s="10" t="s">
        <v>33</v>
      </c>
      <c r="J1169" s="10">
        <v>0</v>
      </c>
      <c r="K1169" s="10">
        <v>0</v>
      </c>
      <c r="L1169" s="10">
        <v>0</v>
      </c>
      <c r="M1169" s="10">
        <v>0</v>
      </c>
      <c r="N1169" s="10" t="s">
        <v>761</v>
      </c>
      <c r="O1169" s="10" t="s">
        <v>1573</v>
      </c>
      <c r="P1169" s="105" t="e">
        <f t="shared" si="18"/>
        <v>#DIV/0!</v>
      </c>
    </row>
    <row r="1170" spans="1:16">
      <c r="A1170" s="10" t="s">
        <v>635</v>
      </c>
      <c r="B1170" s="10">
        <v>4515457</v>
      </c>
      <c r="C1170" s="10" t="s">
        <v>759</v>
      </c>
      <c r="D1170" s="10" t="s">
        <v>760</v>
      </c>
      <c r="E1170" s="10">
        <v>0</v>
      </c>
      <c r="F1170" s="10">
        <v>0</v>
      </c>
      <c r="G1170" s="10">
        <v>0</v>
      </c>
      <c r="H1170" s="10">
        <v>0</v>
      </c>
      <c r="I1170" s="10" t="s">
        <v>74</v>
      </c>
      <c r="J1170" s="10">
        <v>0</v>
      </c>
      <c r="K1170" s="10">
        <v>0</v>
      </c>
      <c r="L1170" s="10">
        <v>0</v>
      </c>
      <c r="M1170" s="10">
        <v>0</v>
      </c>
      <c r="N1170" s="10" t="s">
        <v>761</v>
      </c>
      <c r="O1170" s="10" t="s">
        <v>1574</v>
      </c>
      <c r="P1170" s="105" t="e">
        <f t="shared" si="18"/>
        <v>#DIV/0!</v>
      </c>
    </row>
    <row r="1171" spans="1:16">
      <c r="A1171" s="10" t="s">
        <v>635</v>
      </c>
      <c r="B1171" s="10">
        <v>4515458</v>
      </c>
      <c r="C1171" s="10" t="s">
        <v>759</v>
      </c>
      <c r="D1171" s="10" t="s">
        <v>760</v>
      </c>
      <c r="E1171" s="10">
        <v>14.4</v>
      </c>
      <c r="F1171" s="10">
        <v>79.2</v>
      </c>
      <c r="G1171" s="10">
        <v>-2.8</v>
      </c>
      <c r="H1171" s="10">
        <v>90.8</v>
      </c>
      <c r="I1171" s="10" t="s">
        <v>74</v>
      </c>
      <c r="J1171" s="10">
        <v>190</v>
      </c>
      <c r="K1171" s="103">
        <v>1045</v>
      </c>
      <c r="L1171" s="10">
        <v>-36.95</v>
      </c>
      <c r="M1171" s="103">
        <v>1198.05</v>
      </c>
      <c r="N1171" s="10" t="s">
        <v>761</v>
      </c>
      <c r="O1171" s="10" t="s">
        <v>515</v>
      </c>
      <c r="P1171" s="105">
        <f t="shared" si="18"/>
        <v>13.1943832599119</v>
      </c>
    </row>
    <row r="1172" spans="1:16">
      <c r="A1172" s="10" t="s">
        <v>635</v>
      </c>
      <c r="B1172" s="10">
        <v>4515468</v>
      </c>
      <c r="C1172" s="10" t="s">
        <v>759</v>
      </c>
      <c r="D1172" s="10" t="s">
        <v>760</v>
      </c>
      <c r="E1172" s="10">
        <v>30</v>
      </c>
      <c r="F1172" s="10">
        <v>168</v>
      </c>
      <c r="G1172" s="10">
        <v>-12</v>
      </c>
      <c r="H1172" s="10">
        <v>186</v>
      </c>
      <c r="I1172" s="10" t="s">
        <v>37</v>
      </c>
      <c r="J1172" s="10">
        <v>206.33</v>
      </c>
      <c r="K1172" s="103">
        <v>1155</v>
      </c>
      <c r="L1172" s="10">
        <v>-82.5</v>
      </c>
      <c r="M1172" s="103">
        <v>1278.83</v>
      </c>
      <c r="N1172" s="10" t="s">
        <v>761</v>
      </c>
      <c r="O1172" s="10" t="s">
        <v>236</v>
      </c>
      <c r="P1172" s="105">
        <f t="shared" si="18"/>
        <v>6.87543010752688</v>
      </c>
    </row>
    <row r="1173" spans="1:16">
      <c r="A1173" s="10" t="s">
        <v>635</v>
      </c>
      <c r="B1173" s="10">
        <v>4515469</v>
      </c>
      <c r="C1173" s="10" t="s">
        <v>759</v>
      </c>
      <c r="D1173" s="10" t="s">
        <v>760</v>
      </c>
      <c r="E1173" s="10">
        <v>0</v>
      </c>
      <c r="F1173" s="10">
        <v>0</v>
      </c>
      <c r="G1173" s="10">
        <v>0</v>
      </c>
      <c r="H1173" s="10">
        <v>0</v>
      </c>
      <c r="I1173" s="10" t="s">
        <v>33</v>
      </c>
      <c r="J1173" s="10">
        <v>0</v>
      </c>
      <c r="K1173" s="10">
        <v>0</v>
      </c>
      <c r="L1173" s="10">
        <v>0</v>
      </c>
      <c r="M1173" s="10">
        <v>0</v>
      </c>
      <c r="N1173" s="10" t="s">
        <v>761</v>
      </c>
      <c r="O1173" s="10" t="s">
        <v>1575</v>
      </c>
      <c r="P1173" s="105" t="e">
        <f t="shared" si="18"/>
        <v>#DIV/0!</v>
      </c>
    </row>
    <row r="1174" spans="1:16">
      <c r="A1174" s="10" t="s">
        <v>635</v>
      </c>
      <c r="B1174" s="10">
        <v>4515861</v>
      </c>
      <c r="C1174" s="10" t="s">
        <v>759</v>
      </c>
      <c r="D1174" s="10" t="s">
        <v>760</v>
      </c>
      <c r="E1174" s="10">
        <v>0</v>
      </c>
      <c r="F1174" s="10">
        <v>96.1</v>
      </c>
      <c r="G1174" s="10">
        <v>-10.56</v>
      </c>
      <c r="H1174" s="10">
        <v>85.54</v>
      </c>
      <c r="I1174" s="10" t="s">
        <v>37</v>
      </c>
      <c r="J1174" s="10">
        <v>0</v>
      </c>
      <c r="K1174" s="10">
        <v>575.64</v>
      </c>
      <c r="L1174" s="10">
        <v>-63.25</v>
      </c>
      <c r="M1174" s="10">
        <v>512.39</v>
      </c>
      <c r="N1174" s="10" t="s">
        <v>761</v>
      </c>
      <c r="O1174" s="10" t="s">
        <v>372</v>
      </c>
      <c r="P1174" s="105">
        <f t="shared" si="18"/>
        <v>5.990063128361</v>
      </c>
    </row>
    <row r="1175" spans="1:16">
      <c r="A1175" s="10" t="s">
        <v>635</v>
      </c>
      <c r="B1175" s="10">
        <v>4515862</v>
      </c>
      <c r="C1175" s="10" t="s">
        <v>759</v>
      </c>
      <c r="D1175" s="10" t="s">
        <v>760</v>
      </c>
      <c r="E1175" s="10">
        <v>0</v>
      </c>
      <c r="F1175" s="10">
        <v>54</v>
      </c>
      <c r="G1175" s="10">
        <v>-54</v>
      </c>
      <c r="H1175" s="10">
        <v>0</v>
      </c>
      <c r="I1175" s="10" t="s">
        <v>37</v>
      </c>
      <c r="J1175" s="10">
        <v>0</v>
      </c>
      <c r="K1175" s="10">
        <v>150.66</v>
      </c>
      <c r="L1175" s="10">
        <v>-150.66</v>
      </c>
      <c r="M1175" s="10">
        <v>0</v>
      </c>
      <c r="N1175" s="10" t="s">
        <v>761</v>
      </c>
      <c r="O1175" s="10" t="s">
        <v>430</v>
      </c>
      <c r="P1175" s="105" t="e">
        <f t="shared" si="18"/>
        <v>#DIV/0!</v>
      </c>
    </row>
    <row r="1176" spans="1:16">
      <c r="A1176" s="10" t="s">
        <v>635</v>
      </c>
      <c r="B1176" s="10">
        <v>4515863</v>
      </c>
      <c r="C1176" s="10" t="s">
        <v>759</v>
      </c>
      <c r="D1176" s="10" t="s">
        <v>760</v>
      </c>
      <c r="E1176" s="10">
        <v>0</v>
      </c>
      <c r="F1176" s="10">
        <v>18</v>
      </c>
      <c r="G1176" s="10">
        <v>0</v>
      </c>
      <c r="H1176" s="10">
        <v>18</v>
      </c>
      <c r="I1176" s="10" t="s">
        <v>45</v>
      </c>
      <c r="J1176" s="10">
        <v>0</v>
      </c>
      <c r="K1176" s="103">
        <v>1052.12</v>
      </c>
      <c r="L1176" s="10">
        <v>0</v>
      </c>
      <c r="M1176" s="103">
        <v>1052.12</v>
      </c>
      <c r="N1176" s="10" t="s">
        <v>761</v>
      </c>
      <c r="O1176" s="10" t="s">
        <v>606</v>
      </c>
      <c r="P1176" s="105">
        <f t="shared" si="18"/>
        <v>58.4511111111111</v>
      </c>
    </row>
    <row r="1177" spans="1:16">
      <c r="A1177" s="10" t="s">
        <v>635</v>
      </c>
      <c r="B1177" s="10">
        <v>4515864</v>
      </c>
      <c r="C1177" s="10" t="s">
        <v>759</v>
      </c>
      <c r="D1177" s="10" t="s">
        <v>760</v>
      </c>
      <c r="E1177" s="10">
        <v>0</v>
      </c>
      <c r="F1177" s="10">
        <v>0</v>
      </c>
      <c r="G1177" s="10">
        <v>0</v>
      </c>
      <c r="H1177" s="10">
        <v>0</v>
      </c>
      <c r="I1177" s="10" t="s">
        <v>37</v>
      </c>
      <c r="J1177" s="10">
        <v>0</v>
      </c>
      <c r="K1177" s="10">
        <v>0</v>
      </c>
      <c r="L1177" s="10">
        <v>0</v>
      </c>
      <c r="M1177" s="10">
        <v>0</v>
      </c>
      <c r="N1177" s="10" t="s">
        <v>761</v>
      </c>
      <c r="O1177" s="10" t="s">
        <v>1576</v>
      </c>
      <c r="P1177" s="105" t="e">
        <f t="shared" si="18"/>
        <v>#DIV/0!</v>
      </c>
    </row>
    <row r="1178" spans="1:16">
      <c r="A1178" s="10" t="s">
        <v>635</v>
      </c>
      <c r="B1178" s="10">
        <v>4515914</v>
      </c>
      <c r="C1178" s="10" t="s">
        <v>759</v>
      </c>
      <c r="D1178" s="10" t="s">
        <v>760</v>
      </c>
      <c r="E1178" s="10">
        <v>0</v>
      </c>
      <c r="F1178" s="10">
        <v>0</v>
      </c>
      <c r="G1178" s="10">
        <v>0</v>
      </c>
      <c r="H1178" s="10">
        <v>0</v>
      </c>
      <c r="I1178" s="10" t="s">
        <v>74</v>
      </c>
      <c r="J1178" s="10">
        <v>0</v>
      </c>
      <c r="K1178" s="10">
        <v>0</v>
      </c>
      <c r="L1178" s="10">
        <v>0</v>
      </c>
      <c r="M1178" s="10">
        <v>0</v>
      </c>
      <c r="N1178" s="10" t="s">
        <v>761</v>
      </c>
      <c r="O1178" s="10" t="s">
        <v>1577</v>
      </c>
      <c r="P1178" s="105" t="e">
        <f t="shared" si="18"/>
        <v>#DIV/0!</v>
      </c>
    </row>
    <row r="1179" spans="1:16">
      <c r="A1179" s="10" t="s">
        <v>635</v>
      </c>
      <c r="B1179" s="10">
        <v>4515975</v>
      </c>
      <c r="C1179" s="10" t="s">
        <v>759</v>
      </c>
      <c r="D1179" s="10" t="s">
        <v>760</v>
      </c>
      <c r="E1179" s="10">
        <v>0</v>
      </c>
      <c r="F1179" s="10">
        <v>8</v>
      </c>
      <c r="G1179" s="10">
        <v>0</v>
      </c>
      <c r="H1179" s="10">
        <v>8</v>
      </c>
      <c r="I1179" s="10" t="s">
        <v>33</v>
      </c>
      <c r="J1179" s="10">
        <v>0</v>
      </c>
      <c r="K1179" s="10">
        <v>214.08</v>
      </c>
      <c r="L1179" s="10">
        <v>0</v>
      </c>
      <c r="M1179" s="10">
        <v>214.08</v>
      </c>
      <c r="N1179" s="10" t="s">
        <v>761</v>
      </c>
      <c r="O1179" s="10" t="s">
        <v>58</v>
      </c>
      <c r="P1179" s="105">
        <f t="shared" si="18"/>
        <v>26.76</v>
      </c>
    </row>
    <row r="1180" spans="1:16">
      <c r="A1180" s="10" t="s">
        <v>635</v>
      </c>
      <c r="B1180" s="10">
        <v>4516018</v>
      </c>
      <c r="C1180" s="10" t="s">
        <v>759</v>
      </c>
      <c r="D1180" s="10" t="s">
        <v>760</v>
      </c>
      <c r="E1180" s="10">
        <v>0</v>
      </c>
      <c r="F1180" s="10">
        <v>0</v>
      </c>
      <c r="G1180" s="10">
        <v>0</v>
      </c>
      <c r="H1180" s="10">
        <v>0</v>
      </c>
      <c r="I1180" s="10" t="s">
        <v>21</v>
      </c>
      <c r="J1180" s="10">
        <v>0</v>
      </c>
      <c r="K1180" s="10">
        <v>0</v>
      </c>
      <c r="L1180" s="10">
        <v>0</v>
      </c>
      <c r="M1180" s="10">
        <v>0</v>
      </c>
      <c r="N1180" s="10" t="s">
        <v>761</v>
      </c>
      <c r="O1180" s="10" t="s">
        <v>1578</v>
      </c>
      <c r="P1180" s="105" t="e">
        <f t="shared" si="18"/>
        <v>#DIV/0!</v>
      </c>
    </row>
    <row r="1181" spans="1:16">
      <c r="A1181" s="10" t="s">
        <v>635</v>
      </c>
      <c r="B1181" s="10">
        <v>4516019</v>
      </c>
      <c r="C1181" s="10" t="s">
        <v>759</v>
      </c>
      <c r="D1181" s="10" t="s">
        <v>760</v>
      </c>
      <c r="E1181" s="10">
        <v>0</v>
      </c>
      <c r="F1181" s="10">
        <v>0</v>
      </c>
      <c r="G1181" s="10">
        <v>0</v>
      </c>
      <c r="H1181" s="10">
        <v>0</v>
      </c>
      <c r="I1181" s="10" t="s">
        <v>21</v>
      </c>
      <c r="J1181" s="10">
        <v>0</v>
      </c>
      <c r="K1181" s="10">
        <v>0</v>
      </c>
      <c r="L1181" s="10">
        <v>0</v>
      </c>
      <c r="M1181" s="10">
        <v>0</v>
      </c>
      <c r="N1181" s="10" t="s">
        <v>761</v>
      </c>
      <c r="O1181" s="10" t="s">
        <v>1579</v>
      </c>
      <c r="P1181" s="105" t="e">
        <f t="shared" si="18"/>
        <v>#DIV/0!</v>
      </c>
    </row>
    <row r="1182" spans="1:16">
      <c r="A1182" s="10" t="s">
        <v>635</v>
      </c>
      <c r="B1182" s="10">
        <v>4516078</v>
      </c>
      <c r="C1182" s="10" t="s">
        <v>759</v>
      </c>
      <c r="D1182" s="10" t="s">
        <v>760</v>
      </c>
      <c r="E1182" s="10">
        <v>0</v>
      </c>
      <c r="F1182" s="10">
        <v>0</v>
      </c>
      <c r="G1182" s="10">
        <v>0</v>
      </c>
      <c r="H1182" s="10">
        <v>0</v>
      </c>
      <c r="I1182" s="10" t="s">
        <v>146</v>
      </c>
      <c r="J1182" s="10">
        <v>0</v>
      </c>
      <c r="K1182" s="10">
        <v>0</v>
      </c>
      <c r="L1182" s="10">
        <v>0</v>
      </c>
      <c r="M1182" s="10">
        <v>0</v>
      </c>
      <c r="N1182" s="10" t="s">
        <v>761</v>
      </c>
      <c r="O1182" s="10" t="s">
        <v>1580</v>
      </c>
      <c r="P1182" s="105" t="e">
        <f t="shared" si="18"/>
        <v>#DIV/0!</v>
      </c>
    </row>
    <row r="1183" spans="1:16">
      <c r="A1183" s="10" t="s">
        <v>635</v>
      </c>
      <c r="B1183" s="10">
        <v>4516085</v>
      </c>
      <c r="C1183" s="10" t="s">
        <v>759</v>
      </c>
      <c r="D1183" s="10" t="s">
        <v>760</v>
      </c>
      <c r="E1183" s="10">
        <v>0</v>
      </c>
      <c r="F1183" s="10">
        <v>0</v>
      </c>
      <c r="G1183" s="10">
        <v>0</v>
      </c>
      <c r="H1183" s="10">
        <v>0</v>
      </c>
      <c r="I1183" s="10" t="s">
        <v>74</v>
      </c>
      <c r="J1183" s="10">
        <v>0</v>
      </c>
      <c r="K1183" s="10">
        <v>0</v>
      </c>
      <c r="L1183" s="10">
        <v>0</v>
      </c>
      <c r="M1183" s="10">
        <v>0</v>
      </c>
      <c r="N1183" s="10" t="s">
        <v>761</v>
      </c>
      <c r="O1183" s="10" t="s">
        <v>1581</v>
      </c>
      <c r="P1183" s="105" t="e">
        <f t="shared" si="18"/>
        <v>#DIV/0!</v>
      </c>
    </row>
    <row r="1184" spans="1:16">
      <c r="A1184" s="10" t="s">
        <v>635</v>
      </c>
      <c r="B1184" s="10">
        <v>4516086</v>
      </c>
      <c r="C1184" s="10" t="s">
        <v>759</v>
      </c>
      <c r="D1184" s="10" t="s">
        <v>760</v>
      </c>
      <c r="E1184" s="10">
        <v>0</v>
      </c>
      <c r="F1184" s="10">
        <v>0</v>
      </c>
      <c r="G1184" s="10">
        <v>0</v>
      </c>
      <c r="H1184" s="10">
        <v>0</v>
      </c>
      <c r="I1184" s="10" t="s">
        <v>21</v>
      </c>
      <c r="J1184" s="10">
        <v>0</v>
      </c>
      <c r="K1184" s="10">
        <v>0</v>
      </c>
      <c r="L1184" s="10">
        <v>0</v>
      </c>
      <c r="M1184" s="10">
        <v>0</v>
      </c>
      <c r="N1184" s="10" t="s">
        <v>761</v>
      </c>
      <c r="O1184" s="10" t="s">
        <v>1582</v>
      </c>
      <c r="P1184" s="105" t="e">
        <f t="shared" si="18"/>
        <v>#DIV/0!</v>
      </c>
    </row>
    <row r="1185" spans="1:16">
      <c r="A1185" s="10" t="s">
        <v>635</v>
      </c>
      <c r="B1185" s="10">
        <v>4516087</v>
      </c>
      <c r="C1185" s="10" t="s">
        <v>759</v>
      </c>
      <c r="D1185" s="10" t="s">
        <v>760</v>
      </c>
      <c r="E1185" s="10">
        <v>0</v>
      </c>
      <c r="F1185" s="10">
        <v>0</v>
      </c>
      <c r="G1185" s="10">
        <v>0</v>
      </c>
      <c r="H1185" s="10">
        <v>0</v>
      </c>
      <c r="I1185" s="10" t="s">
        <v>21</v>
      </c>
      <c r="J1185" s="10">
        <v>0</v>
      </c>
      <c r="K1185" s="10">
        <v>0</v>
      </c>
      <c r="L1185" s="10">
        <v>0</v>
      </c>
      <c r="M1185" s="10">
        <v>0</v>
      </c>
      <c r="N1185" s="10" t="s">
        <v>761</v>
      </c>
      <c r="O1185" s="10" t="s">
        <v>1583</v>
      </c>
      <c r="P1185" s="105" t="e">
        <f t="shared" si="18"/>
        <v>#DIV/0!</v>
      </c>
    </row>
    <row r="1186" spans="1:16">
      <c r="A1186" s="10" t="s">
        <v>635</v>
      </c>
      <c r="B1186" s="10">
        <v>4516088</v>
      </c>
      <c r="C1186" s="10" t="s">
        <v>759</v>
      </c>
      <c r="D1186" s="10" t="s">
        <v>760</v>
      </c>
      <c r="E1186" s="10">
        <v>25</v>
      </c>
      <c r="F1186" s="10">
        <v>95</v>
      </c>
      <c r="G1186" s="10">
        <v>0</v>
      </c>
      <c r="H1186" s="10">
        <v>120</v>
      </c>
      <c r="I1186" s="10" t="s">
        <v>74</v>
      </c>
      <c r="J1186" s="10">
        <v>110</v>
      </c>
      <c r="K1186" s="10">
        <v>418</v>
      </c>
      <c r="L1186" s="10">
        <v>0</v>
      </c>
      <c r="M1186" s="10">
        <v>528</v>
      </c>
      <c r="N1186" s="10" t="s">
        <v>761</v>
      </c>
      <c r="O1186" s="10" t="s">
        <v>579</v>
      </c>
      <c r="P1186" s="105">
        <f t="shared" si="18"/>
        <v>4.4</v>
      </c>
    </row>
    <row r="1187" spans="1:16">
      <c r="A1187" s="10" t="s">
        <v>635</v>
      </c>
      <c r="B1187" s="10">
        <v>4516090</v>
      </c>
      <c r="C1187" s="10" t="s">
        <v>759</v>
      </c>
      <c r="D1187" s="10" t="s">
        <v>760</v>
      </c>
      <c r="E1187" s="10">
        <v>3</v>
      </c>
      <c r="F1187" s="10">
        <v>12</v>
      </c>
      <c r="G1187" s="10">
        <v>0</v>
      </c>
      <c r="H1187" s="10">
        <v>15</v>
      </c>
      <c r="I1187" s="10" t="s">
        <v>138</v>
      </c>
      <c r="J1187" s="10">
        <v>116.25</v>
      </c>
      <c r="K1187" s="10">
        <v>484.97</v>
      </c>
      <c r="L1187" s="10">
        <v>0</v>
      </c>
      <c r="M1187" s="10">
        <v>601.22</v>
      </c>
      <c r="N1187" s="10" t="s">
        <v>761</v>
      </c>
      <c r="O1187" s="10" t="s">
        <v>447</v>
      </c>
      <c r="P1187" s="105">
        <f t="shared" si="18"/>
        <v>40.0813333333333</v>
      </c>
    </row>
    <row r="1188" spans="1:16">
      <c r="A1188" s="10" t="s">
        <v>635</v>
      </c>
      <c r="B1188" s="10">
        <v>4516141</v>
      </c>
      <c r="C1188" s="10" t="s">
        <v>759</v>
      </c>
      <c r="D1188" s="10" t="s">
        <v>760</v>
      </c>
      <c r="E1188" s="10">
        <v>0</v>
      </c>
      <c r="F1188" s="10">
        <v>0</v>
      </c>
      <c r="G1188" s="10">
        <v>0</v>
      </c>
      <c r="H1188" s="10">
        <v>0</v>
      </c>
      <c r="I1188" s="10" t="s">
        <v>74</v>
      </c>
      <c r="J1188" s="10">
        <v>0</v>
      </c>
      <c r="K1188" s="10">
        <v>0</v>
      </c>
      <c r="L1188" s="10">
        <v>0</v>
      </c>
      <c r="M1188" s="10">
        <v>0</v>
      </c>
      <c r="N1188" s="10" t="s">
        <v>761</v>
      </c>
      <c r="O1188" s="10" t="s">
        <v>1584</v>
      </c>
      <c r="P1188" s="105" t="e">
        <f t="shared" si="18"/>
        <v>#DIV/0!</v>
      </c>
    </row>
    <row r="1189" spans="1:16">
      <c r="A1189" s="10" t="s">
        <v>635</v>
      </c>
      <c r="B1189" s="10">
        <v>4516142</v>
      </c>
      <c r="C1189" s="10" t="s">
        <v>759</v>
      </c>
      <c r="D1189" s="10" t="s">
        <v>760</v>
      </c>
      <c r="E1189" s="10">
        <v>0</v>
      </c>
      <c r="F1189" s="10">
        <v>0</v>
      </c>
      <c r="G1189" s="10">
        <v>0</v>
      </c>
      <c r="H1189" s="10">
        <v>0</v>
      </c>
      <c r="I1189" s="10" t="s">
        <v>74</v>
      </c>
      <c r="J1189" s="10">
        <v>0</v>
      </c>
      <c r="K1189" s="10">
        <v>0</v>
      </c>
      <c r="L1189" s="10">
        <v>0</v>
      </c>
      <c r="M1189" s="10">
        <v>0</v>
      </c>
      <c r="N1189" s="10" t="s">
        <v>761</v>
      </c>
      <c r="O1189" s="10" t="s">
        <v>1585</v>
      </c>
      <c r="P1189" s="105" t="e">
        <f t="shared" si="18"/>
        <v>#DIV/0!</v>
      </c>
    </row>
    <row r="1190" spans="1:16">
      <c r="A1190" s="10" t="s">
        <v>635</v>
      </c>
      <c r="B1190" s="10">
        <v>4516164</v>
      </c>
      <c r="C1190" s="10" t="s">
        <v>759</v>
      </c>
      <c r="D1190" s="10" t="s">
        <v>760</v>
      </c>
      <c r="E1190" s="10">
        <v>0</v>
      </c>
      <c r="F1190" s="10">
        <v>0</v>
      </c>
      <c r="G1190" s="10">
        <v>0</v>
      </c>
      <c r="H1190" s="10">
        <v>0</v>
      </c>
      <c r="I1190" s="10" t="s">
        <v>74</v>
      </c>
      <c r="J1190" s="10">
        <v>0</v>
      </c>
      <c r="K1190" s="10">
        <v>0</v>
      </c>
      <c r="L1190" s="10">
        <v>0</v>
      </c>
      <c r="M1190" s="10">
        <v>0</v>
      </c>
      <c r="N1190" s="10" t="s">
        <v>761</v>
      </c>
      <c r="O1190" s="10" t="s">
        <v>1586</v>
      </c>
      <c r="P1190" s="105" t="e">
        <f t="shared" si="18"/>
        <v>#DIV/0!</v>
      </c>
    </row>
    <row r="1191" spans="1:16">
      <c r="A1191" s="10" t="s">
        <v>635</v>
      </c>
      <c r="B1191" s="10">
        <v>4516165</v>
      </c>
      <c r="C1191" s="10" t="s">
        <v>759</v>
      </c>
      <c r="D1191" s="10" t="s">
        <v>760</v>
      </c>
      <c r="E1191" s="10">
        <v>0</v>
      </c>
      <c r="F1191" s="10">
        <v>0</v>
      </c>
      <c r="G1191" s="10">
        <v>0</v>
      </c>
      <c r="H1191" s="10">
        <v>0</v>
      </c>
      <c r="I1191" s="10" t="s">
        <v>74</v>
      </c>
      <c r="J1191" s="10">
        <v>0</v>
      </c>
      <c r="K1191" s="10">
        <v>0</v>
      </c>
      <c r="L1191" s="10">
        <v>0</v>
      </c>
      <c r="M1191" s="10">
        <v>0</v>
      </c>
      <c r="N1191" s="10" t="s">
        <v>761</v>
      </c>
      <c r="O1191" s="10" t="s">
        <v>1587</v>
      </c>
      <c r="P1191" s="105" t="e">
        <f t="shared" si="18"/>
        <v>#DIV/0!</v>
      </c>
    </row>
    <row r="1192" spans="1:16">
      <c r="A1192" s="10" t="s">
        <v>635</v>
      </c>
      <c r="B1192" s="10">
        <v>4516166</v>
      </c>
      <c r="C1192" s="10" t="s">
        <v>759</v>
      </c>
      <c r="D1192" s="10" t="s">
        <v>760</v>
      </c>
      <c r="E1192" s="10">
        <v>0</v>
      </c>
      <c r="F1192" s="10">
        <v>0</v>
      </c>
      <c r="G1192" s="10">
        <v>0</v>
      </c>
      <c r="H1192" s="10">
        <v>0</v>
      </c>
      <c r="I1192" s="10" t="s">
        <v>74</v>
      </c>
      <c r="J1192" s="10">
        <v>0</v>
      </c>
      <c r="K1192" s="10">
        <v>0</v>
      </c>
      <c r="L1192" s="10">
        <v>0</v>
      </c>
      <c r="M1192" s="10">
        <v>0</v>
      </c>
      <c r="N1192" s="10" t="s">
        <v>761</v>
      </c>
      <c r="O1192" s="10" t="s">
        <v>1588</v>
      </c>
      <c r="P1192" s="105" t="e">
        <f t="shared" si="18"/>
        <v>#DIV/0!</v>
      </c>
    </row>
    <row r="1193" spans="1:16">
      <c r="A1193" s="10" t="s">
        <v>635</v>
      </c>
      <c r="B1193" s="10">
        <v>4516239</v>
      </c>
      <c r="C1193" s="10" t="s">
        <v>759</v>
      </c>
      <c r="D1193" s="10" t="s">
        <v>760</v>
      </c>
      <c r="E1193" s="10">
        <v>0</v>
      </c>
      <c r="F1193" s="10">
        <v>0</v>
      </c>
      <c r="G1193" s="10">
        <v>0</v>
      </c>
      <c r="H1193" s="10">
        <v>0</v>
      </c>
      <c r="I1193" s="10" t="s">
        <v>33</v>
      </c>
      <c r="J1193" s="10">
        <v>0</v>
      </c>
      <c r="K1193" s="10">
        <v>0</v>
      </c>
      <c r="L1193" s="10">
        <v>0</v>
      </c>
      <c r="M1193" s="10">
        <v>0</v>
      </c>
      <c r="N1193" s="10" t="s">
        <v>761</v>
      </c>
      <c r="O1193" s="10" t="s">
        <v>1589</v>
      </c>
      <c r="P1193" s="105" t="e">
        <f t="shared" si="18"/>
        <v>#DIV/0!</v>
      </c>
    </row>
    <row r="1194" spans="1:16">
      <c r="A1194" s="10" t="s">
        <v>635</v>
      </c>
      <c r="B1194" s="10">
        <v>4516242</v>
      </c>
      <c r="C1194" s="10" t="s">
        <v>759</v>
      </c>
      <c r="D1194" s="10" t="s">
        <v>760</v>
      </c>
      <c r="E1194" s="10">
        <v>3</v>
      </c>
      <c r="F1194" s="10">
        <v>0</v>
      </c>
      <c r="G1194" s="10">
        <v>0</v>
      </c>
      <c r="H1194" s="10">
        <v>3</v>
      </c>
      <c r="I1194" s="10" t="s">
        <v>33</v>
      </c>
      <c r="J1194" s="10">
        <v>59.22</v>
      </c>
      <c r="K1194" s="10">
        <v>0</v>
      </c>
      <c r="L1194" s="10">
        <v>0</v>
      </c>
      <c r="M1194" s="10">
        <v>59.22</v>
      </c>
      <c r="N1194" s="10" t="s">
        <v>761</v>
      </c>
      <c r="O1194" s="10" t="s">
        <v>86</v>
      </c>
      <c r="P1194" s="105">
        <f t="shared" si="18"/>
        <v>19.74</v>
      </c>
    </row>
    <row r="1195" spans="1:16">
      <c r="A1195" s="10" t="s">
        <v>635</v>
      </c>
      <c r="B1195" s="10">
        <v>4516299</v>
      </c>
      <c r="C1195" s="10" t="s">
        <v>759</v>
      </c>
      <c r="D1195" s="10" t="s">
        <v>760</v>
      </c>
      <c r="E1195" s="10">
        <v>9</v>
      </c>
      <c r="F1195" s="10">
        <v>40</v>
      </c>
      <c r="G1195" s="10">
        <v>0</v>
      </c>
      <c r="H1195" s="10">
        <v>49</v>
      </c>
      <c r="I1195" s="10" t="s">
        <v>74</v>
      </c>
      <c r="J1195" s="10">
        <v>234</v>
      </c>
      <c r="K1195" s="103">
        <v>1040</v>
      </c>
      <c r="L1195" s="10">
        <v>0</v>
      </c>
      <c r="M1195" s="103">
        <v>1274</v>
      </c>
      <c r="N1195" s="10" t="s">
        <v>761</v>
      </c>
      <c r="O1195" s="10" t="s">
        <v>522</v>
      </c>
      <c r="P1195" s="105">
        <f t="shared" si="18"/>
        <v>26</v>
      </c>
    </row>
    <row r="1196" spans="1:16">
      <c r="A1196" s="10" t="s">
        <v>635</v>
      </c>
      <c r="B1196" s="10">
        <v>4516300</v>
      </c>
      <c r="C1196" s="10" t="s">
        <v>759</v>
      </c>
      <c r="D1196" s="10" t="s">
        <v>760</v>
      </c>
      <c r="E1196" s="10">
        <v>0</v>
      </c>
      <c r="F1196" s="10">
        <v>0</v>
      </c>
      <c r="G1196" s="10">
        <v>0</v>
      </c>
      <c r="H1196" s="10">
        <v>0</v>
      </c>
      <c r="I1196" s="10" t="s">
        <v>74</v>
      </c>
      <c r="J1196" s="10">
        <v>0</v>
      </c>
      <c r="K1196" s="10">
        <v>0</v>
      </c>
      <c r="L1196" s="10">
        <v>0</v>
      </c>
      <c r="M1196" s="10">
        <v>0</v>
      </c>
      <c r="N1196" s="10" t="s">
        <v>761</v>
      </c>
      <c r="O1196" s="10" t="s">
        <v>1590</v>
      </c>
      <c r="P1196" s="105" t="e">
        <f t="shared" si="18"/>
        <v>#DIV/0!</v>
      </c>
    </row>
    <row r="1197" spans="1:16">
      <c r="A1197" s="10" t="s">
        <v>635</v>
      </c>
      <c r="B1197" s="10">
        <v>4516301</v>
      </c>
      <c r="C1197" s="10" t="s">
        <v>759</v>
      </c>
      <c r="D1197" s="10" t="s">
        <v>760</v>
      </c>
      <c r="E1197" s="10">
        <v>14.4</v>
      </c>
      <c r="F1197" s="10">
        <v>72</v>
      </c>
      <c r="G1197" s="10">
        <v>0</v>
      </c>
      <c r="H1197" s="10">
        <v>86.4</v>
      </c>
      <c r="I1197" s="10" t="s">
        <v>74</v>
      </c>
      <c r="J1197" s="10">
        <v>87.56</v>
      </c>
      <c r="K1197" s="10">
        <v>439.67</v>
      </c>
      <c r="L1197" s="10">
        <v>0</v>
      </c>
      <c r="M1197" s="10">
        <v>527.23</v>
      </c>
      <c r="N1197" s="10" t="s">
        <v>761</v>
      </c>
      <c r="O1197" s="10" t="s">
        <v>369</v>
      </c>
      <c r="P1197" s="105">
        <f t="shared" si="18"/>
        <v>6.10219907407407</v>
      </c>
    </row>
    <row r="1198" spans="1:16">
      <c r="A1198" s="10" t="s">
        <v>635</v>
      </c>
      <c r="B1198" s="10">
        <v>4516315</v>
      </c>
      <c r="C1198" s="10" t="s">
        <v>759</v>
      </c>
      <c r="D1198" s="10" t="s">
        <v>760</v>
      </c>
      <c r="E1198" s="10">
        <v>0</v>
      </c>
      <c r="F1198" s="10">
        <v>0</v>
      </c>
      <c r="G1198" s="10">
        <v>0</v>
      </c>
      <c r="H1198" s="10">
        <v>0</v>
      </c>
      <c r="I1198" s="10" t="s">
        <v>33</v>
      </c>
      <c r="J1198" s="10">
        <v>0</v>
      </c>
      <c r="K1198" s="10">
        <v>0</v>
      </c>
      <c r="L1198" s="10">
        <v>0</v>
      </c>
      <c r="M1198" s="10">
        <v>0</v>
      </c>
      <c r="N1198" s="10" t="s">
        <v>761</v>
      </c>
      <c r="O1198" s="10" t="s">
        <v>1591</v>
      </c>
      <c r="P1198" s="105" t="e">
        <f t="shared" si="18"/>
        <v>#DIV/0!</v>
      </c>
    </row>
    <row r="1199" spans="1:16">
      <c r="A1199" s="10" t="s">
        <v>635</v>
      </c>
      <c r="B1199" s="10">
        <v>4516316</v>
      </c>
      <c r="C1199" s="10" t="s">
        <v>759</v>
      </c>
      <c r="D1199" s="10" t="s">
        <v>760</v>
      </c>
      <c r="E1199" s="10">
        <v>0</v>
      </c>
      <c r="F1199" s="10">
        <v>0</v>
      </c>
      <c r="G1199" s="10">
        <v>0</v>
      </c>
      <c r="H1199" s="10">
        <v>0</v>
      </c>
      <c r="I1199" s="10" t="s">
        <v>74</v>
      </c>
      <c r="J1199" s="10">
        <v>0</v>
      </c>
      <c r="K1199" s="10">
        <v>0</v>
      </c>
      <c r="L1199" s="10">
        <v>0</v>
      </c>
      <c r="M1199" s="10">
        <v>0</v>
      </c>
      <c r="N1199" s="10" t="s">
        <v>761</v>
      </c>
      <c r="O1199" s="10" t="s">
        <v>1592</v>
      </c>
      <c r="P1199" s="105" t="e">
        <f t="shared" si="18"/>
        <v>#DIV/0!</v>
      </c>
    </row>
    <row r="1200" spans="1:16">
      <c r="A1200" s="10" t="s">
        <v>635</v>
      </c>
      <c r="B1200" s="10">
        <v>4516317</v>
      </c>
      <c r="C1200" s="10" t="s">
        <v>759</v>
      </c>
      <c r="D1200" s="10" t="s">
        <v>760</v>
      </c>
      <c r="E1200" s="10">
        <v>0</v>
      </c>
      <c r="F1200" s="10">
        <v>0</v>
      </c>
      <c r="G1200" s="10">
        <v>0</v>
      </c>
      <c r="H1200" s="10">
        <v>0</v>
      </c>
      <c r="I1200" s="10" t="s">
        <v>74</v>
      </c>
      <c r="J1200" s="10">
        <v>0</v>
      </c>
      <c r="K1200" s="10">
        <v>0</v>
      </c>
      <c r="L1200" s="10">
        <v>0</v>
      </c>
      <c r="M1200" s="10">
        <v>0</v>
      </c>
      <c r="N1200" s="10" t="s">
        <v>761</v>
      </c>
      <c r="O1200" s="10" t="s">
        <v>1593</v>
      </c>
      <c r="P1200" s="105" t="e">
        <f t="shared" si="18"/>
        <v>#DIV/0!</v>
      </c>
    </row>
    <row r="1201" spans="1:16">
      <c r="A1201" s="10" t="s">
        <v>635</v>
      </c>
      <c r="B1201" s="10">
        <v>4516318</v>
      </c>
      <c r="C1201" s="10" t="s">
        <v>759</v>
      </c>
      <c r="D1201" s="10" t="s">
        <v>760</v>
      </c>
      <c r="E1201" s="10">
        <v>0</v>
      </c>
      <c r="F1201" s="10">
        <v>0</v>
      </c>
      <c r="G1201" s="10">
        <v>0</v>
      </c>
      <c r="H1201" s="10">
        <v>0</v>
      </c>
      <c r="I1201" s="10" t="s">
        <v>74</v>
      </c>
      <c r="J1201" s="10">
        <v>0</v>
      </c>
      <c r="K1201" s="10">
        <v>0</v>
      </c>
      <c r="L1201" s="10">
        <v>0</v>
      </c>
      <c r="M1201" s="10">
        <v>0</v>
      </c>
      <c r="N1201" s="10" t="s">
        <v>761</v>
      </c>
      <c r="O1201" s="10" t="s">
        <v>1594</v>
      </c>
      <c r="P1201" s="105" t="e">
        <f t="shared" si="18"/>
        <v>#DIV/0!</v>
      </c>
    </row>
    <row r="1202" spans="1:16">
      <c r="A1202" s="10" t="s">
        <v>635</v>
      </c>
      <c r="B1202" s="10">
        <v>4516321</v>
      </c>
      <c r="C1202" s="10" t="s">
        <v>759</v>
      </c>
      <c r="D1202" s="10" t="s">
        <v>760</v>
      </c>
      <c r="E1202" s="10">
        <v>0</v>
      </c>
      <c r="F1202" s="103">
        <v>4000</v>
      </c>
      <c r="G1202" s="10">
        <v>0</v>
      </c>
      <c r="H1202" s="103">
        <v>4000</v>
      </c>
      <c r="I1202" s="10" t="s">
        <v>21</v>
      </c>
      <c r="J1202" s="10">
        <v>0</v>
      </c>
      <c r="K1202" s="10">
        <v>168.92</v>
      </c>
      <c r="L1202" s="10">
        <v>0</v>
      </c>
      <c r="M1202" s="10">
        <v>168.92</v>
      </c>
      <c r="N1202" s="10" t="s">
        <v>761</v>
      </c>
      <c r="O1202" s="10" t="s">
        <v>245</v>
      </c>
      <c r="P1202" s="105">
        <f t="shared" si="18"/>
        <v>0.04223</v>
      </c>
    </row>
    <row r="1203" spans="1:16">
      <c r="A1203" s="10" t="s">
        <v>635</v>
      </c>
      <c r="B1203" s="10">
        <v>4516322</v>
      </c>
      <c r="C1203" s="10" t="s">
        <v>759</v>
      </c>
      <c r="D1203" s="10" t="s">
        <v>760</v>
      </c>
      <c r="E1203" s="103">
        <v>2000</v>
      </c>
      <c r="F1203" s="103">
        <v>1000</v>
      </c>
      <c r="G1203" s="10">
        <v>0</v>
      </c>
      <c r="H1203" s="103">
        <v>3000</v>
      </c>
      <c r="I1203" s="10" t="s">
        <v>21</v>
      </c>
      <c r="J1203" s="10">
        <v>79.11</v>
      </c>
      <c r="K1203" s="10">
        <v>41.22</v>
      </c>
      <c r="L1203" s="10">
        <v>0</v>
      </c>
      <c r="M1203" s="10">
        <v>120.33</v>
      </c>
      <c r="N1203" s="10" t="s">
        <v>761</v>
      </c>
      <c r="O1203" s="10" t="s">
        <v>247</v>
      </c>
      <c r="P1203" s="105">
        <f t="shared" si="18"/>
        <v>0.04011</v>
      </c>
    </row>
    <row r="1204" spans="1:16">
      <c r="A1204" s="10" t="s">
        <v>635</v>
      </c>
      <c r="B1204" s="10">
        <v>4516323</v>
      </c>
      <c r="C1204" s="10" t="s">
        <v>759</v>
      </c>
      <c r="D1204" s="10" t="s">
        <v>760</v>
      </c>
      <c r="E1204" s="103">
        <v>1000</v>
      </c>
      <c r="F1204" s="103">
        <v>3000</v>
      </c>
      <c r="G1204" s="10">
        <v>0</v>
      </c>
      <c r="H1204" s="103">
        <v>4000</v>
      </c>
      <c r="I1204" s="10" t="s">
        <v>21</v>
      </c>
      <c r="J1204" s="10">
        <v>45</v>
      </c>
      <c r="K1204" s="10">
        <v>126.95</v>
      </c>
      <c r="L1204" s="10">
        <v>0</v>
      </c>
      <c r="M1204" s="10">
        <v>171.95</v>
      </c>
      <c r="N1204" s="10" t="s">
        <v>761</v>
      </c>
      <c r="O1204" s="10" t="s">
        <v>169</v>
      </c>
      <c r="P1204" s="105">
        <f t="shared" si="18"/>
        <v>0.0429875</v>
      </c>
    </row>
    <row r="1205" spans="1:16">
      <c r="A1205" s="10" t="s">
        <v>635</v>
      </c>
      <c r="B1205" s="10">
        <v>4516324</v>
      </c>
      <c r="C1205" s="10" t="s">
        <v>759</v>
      </c>
      <c r="D1205" s="10" t="s">
        <v>760</v>
      </c>
      <c r="E1205" s="10">
        <v>0</v>
      </c>
      <c r="F1205" s="10">
        <v>0</v>
      </c>
      <c r="G1205" s="10">
        <v>0</v>
      </c>
      <c r="H1205" s="10">
        <v>0</v>
      </c>
      <c r="I1205" s="10" t="s">
        <v>74</v>
      </c>
      <c r="J1205" s="10">
        <v>0</v>
      </c>
      <c r="K1205" s="10">
        <v>0</v>
      </c>
      <c r="L1205" s="10">
        <v>0</v>
      </c>
      <c r="M1205" s="10">
        <v>0</v>
      </c>
      <c r="N1205" s="10" t="s">
        <v>761</v>
      </c>
      <c r="O1205" s="10" t="s">
        <v>1595</v>
      </c>
      <c r="P1205" s="105" t="e">
        <f t="shared" si="18"/>
        <v>#DIV/0!</v>
      </c>
    </row>
    <row r="1206" spans="1:16">
      <c r="A1206" s="10" t="s">
        <v>635</v>
      </c>
      <c r="B1206" s="10">
        <v>4516364</v>
      </c>
      <c r="C1206" s="10" t="s">
        <v>759</v>
      </c>
      <c r="D1206" s="10" t="s">
        <v>760</v>
      </c>
      <c r="E1206" s="10">
        <v>0</v>
      </c>
      <c r="F1206" s="10">
        <v>0</v>
      </c>
      <c r="G1206" s="10">
        <v>0</v>
      </c>
      <c r="H1206" s="10">
        <v>0</v>
      </c>
      <c r="I1206" s="10" t="s">
        <v>74</v>
      </c>
      <c r="J1206" s="10">
        <v>0</v>
      </c>
      <c r="K1206" s="10">
        <v>0</v>
      </c>
      <c r="L1206" s="10">
        <v>0</v>
      </c>
      <c r="M1206" s="10">
        <v>0</v>
      </c>
      <c r="N1206" s="10" t="s">
        <v>761</v>
      </c>
      <c r="O1206" s="10" t="s">
        <v>1596</v>
      </c>
      <c r="P1206" s="105" t="e">
        <f t="shared" si="18"/>
        <v>#DIV/0!</v>
      </c>
    </row>
    <row r="1207" spans="1:16">
      <c r="A1207" s="10" t="s">
        <v>635</v>
      </c>
      <c r="B1207" s="10">
        <v>4516365</v>
      </c>
      <c r="C1207" s="10" t="s">
        <v>759</v>
      </c>
      <c r="D1207" s="10" t="s">
        <v>760</v>
      </c>
      <c r="E1207" s="10">
        <v>0</v>
      </c>
      <c r="F1207" s="10">
        <v>0</v>
      </c>
      <c r="G1207" s="10">
        <v>0</v>
      </c>
      <c r="H1207" s="10">
        <v>0</v>
      </c>
      <c r="I1207" s="10" t="s">
        <v>74</v>
      </c>
      <c r="J1207" s="10">
        <v>0</v>
      </c>
      <c r="K1207" s="10">
        <v>0</v>
      </c>
      <c r="L1207" s="10">
        <v>0</v>
      </c>
      <c r="M1207" s="10">
        <v>0</v>
      </c>
      <c r="N1207" s="10" t="s">
        <v>761</v>
      </c>
      <c r="O1207" s="10" t="s">
        <v>1597</v>
      </c>
      <c r="P1207" s="105" t="e">
        <f t="shared" si="18"/>
        <v>#DIV/0!</v>
      </c>
    </row>
    <row r="1208" spans="1:16">
      <c r="A1208" s="10" t="s">
        <v>635</v>
      </c>
      <c r="B1208" s="10">
        <v>4516391</v>
      </c>
      <c r="C1208" s="10" t="s">
        <v>759</v>
      </c>
      <c r="D1208" s="10" t="s">
        <v>760</v>
      </c>
      <c r="E1208" s="10">
        <v>0</v>
      </c>
      <c r="F1208" s="10">
        <v>0</v>
      </c>
      <c r="G1208" s="10">
        <v>0</v>
      </c>
      <c r="H1208" s="10">
        <v>0</v>
      </c>
      <c r="I1208" s="10" t="s">
        <v>37</v>
      </c>
      <c r="J1208" s="10">
        <v>0</v>
      </c>
      <c r="K1208" s="10">
        <v>0</v>
      </c>
      <c r="L1208" s="10">
        <v>0</v>
      </c>
      <c r="M1208" s="10">
        <v>0</v>
      </c>
      <c r="N1208" s="10" t="s">
        <v>761</v>
      </c>
      <c r="O1208" s="10" t="s">
        <v>1598</v>
      </c>
      <c r="P1208" s="105" t="e">
        <f t="shared" si="18"/>
        <v>#DIV/0!</v>
      </c>
    </row>
    <row r="1209" spans="1:16">
      <c r="A1209" s="10" t="s">
        <v>635</v>
      </c>
      <c r="B1209" s="10">
        <v>4516408</v>
      </c>
      <c r="C1209" s="10" t="s">
        <v>759</v>
      </c>
      <c r="D1209" s="10" t="s">
        <v>760</v>
      </c>
      <c r="E1209" s="10">
        <v>5</v>
      </c>
      <c r="F1209" s="10">
        <v>3</v>
      </c>
      <c r="G1209" s="10">
        <v>0</v>
      </c>
      <c r="H1209" s="10">
        <v>8</v>
      </c>
      <c r="I1209" s="10" t="s">
        <v>33</v>
      </c>
      <c r="J1209" s="10">
        <v>31.65</v>
      </c>
      <c r="K1209" s="10">
        <v>18.99</v>
      </c>
      <c r="L1209" s="10">
        <v>0</v>
      </c>
      <c r="M1209" s="10">
        <v>50.64</v>
      </c>
      <c r="N1209" s="10" t="s">
        <v>761</v>
      </c>
      <c r="O1209" s="10" t="s">
        <v>506</v>
      </c>
      <c r="P1209" s="105">
        <f t="shared" si="18"/>
        <v>6.33</v>
      </c>
    </row>
    <row r="1210" spans="1:16">
      <c r="A1210" s="10" t="s">
        <v>635</v>
      </c>
      <c r="B1210" s="10">
        <v>4516409</v>
      </c>
      <c r="C1210" s="10" t="s">
        <v>759</v>
      </c>
      <c r="D1210" s="10" t="s">
        <v>760</v>
      </c>
      <c r="E1210" s="10">
        <v>0</v>
      </c>
      <c r="F1210" s="10">
        <v>0</v>
      </c>
      <c r="G1210" s="10">
        <v>0</v>
      </c>
      <c r="H1210" s="10">
        <v>0</v>
      </c>
      <c r="I1210" s="10" t="s">
        <v>37</v>
      </c>
      <c r="J1210" s="10">
        <v>0</v>
      </c>
      <c r="K1210" s="10">
        <v>0</v>
      </c>
      <c r="L1210" s="10">
        <v>0</v>
      </c>
      <c r="M1210" s="10">
        <v>0</v>
      </c>
      <c r="N1210" s="10" t="s">
        <v>761</v>
      </c>
      <c r="O1210" s="10" t="s">
        <v>1599</v>
      </c>
      <c r="P1210" s="105" t="e">
        <f t="shared" si="18"/>
        <v>#DIV/0!</v>
      </c>
    </row>
    <row r="1211" spans="1:16">
      <c r="A1211" s="10" t="s">
        <v>635</v>
      </c>
      <c r="B1211" s="10">
        <v>4516410</v>
      </c>
      <c r="C1211" s="10" t="s">
        <v>759</v>
      </c>
      <c r="D1211" s="10" t="s">
        <v>760</v>
      </c>
      <c r="E1211" s="10">
        <v>0</v>
      </c>
      <c r="F1211" s="10">
        <v>0</v>
      </c>
      <c r="G1211" s="10">
        <v>0</v>
      </c>
      <c r="H1211" s="10">
        <v>0</v>
      </c>
      <c r="I1211" s="10" t="s">
        <v>67</v>
      </c>
      <c r="J1211" s="10">
        <v>0</v>
      </c>
      <c r="K1211" s="10">
        <v>0</v>
      </c>
      <c r="L1211" s="10">
        <v>0</v>
      </c>
      <c r="M1211" s="10">
        <v>0</v>
      </c>
      <c r="N1211" s="10" t="s">
        <v>761</v>
      </c>
      <c r="O1211" s="10" t="s">
        <v>710</v>
      </c>
      <c r="P1211" s="105" t="e">
        <f t="shared" si="18"/>
        <v>#DIV/0!</v>
      </c>
    </row>
    <row r="1212" spans="1:16">
      <c r="A1212" s="10" t="s">
        <v>635</v>
      </c>
      <c r="B1212" s="10">
        <v>4516500</v>
      </c>
      <c r="C1212" s="10" t="s">
        <v>759</v>
      </c>
      <c r="D1212" s="10" t="s">
        <v>760</v>
      </c>
      <c r="E1212" s="10">
        <v>0</v>
      </c>
      <c r="F1212" s="10">
        <v>0</v>
      </c>
      <c r="G1212" s="10">
        <v>0</v>
      </c>
      <c r="H1212" s="10">
        <v>0</v>
      </c>
      <c r="I1212" s="10" t="s">
        <v>33</v>
      </c>
      <c r="J1212" s="10">
        <v>0</v>
      </c>
      <c r="K1212" s="10">
        <v>0</v>
      </c>
      <c r="L1212" s="10">
        <v>0</v>
      </c>
      <c r="M1212" s="10">
        <v>0</v>
      </c>
      <c r="N1212" s="10" t="s">
        <v>761</v>
      </c>
      <c r="O1212" s="10" t="s">
        <v>1600</v>
      </c>
      <c r="P1212" s="105" t="e">
        <f t="shared" si="18"/>
        <v>#DIV/0!</v>
      </c>
    </row>
    <row r="1213" spans="1:16">
      <c r="A1213" s="10" t="s">
        <v>635</v>
      </c>
      <c r="B1213" s="10">
        <v>4516630</v>
      </c>
      <c r="C1213" s="10" t="s">
        <v>759</v>
      </c>
      <c r="D1213" s="10" t="s">
        <v>760</v>
      </c>
      <c r="E1213" s="10">
        <v>0</v>
      </c>
      <c r="F1213" s="10">
        <v>0</v>
      </c>
      <c r="G1213" s="10">
        <v>0</v>
      </c>
      <c r="H1213" s="10">
        <v>0</v>
      </c>
      <c r="I1213" s="10" t="s">
        <v>33</v>
      </c>
      <c r="J1213" s="10">
        <v>0</v>
      </c>
      <c r="K1213" s="10">
        <v>0</v>
      </c>
      <c r="L1213" s="10">
        <v>0</v>
      </c>
      <c r="M1213" s="10">
        <v>0</v>
      </c>
      <c r="N1213" s="10" t="s">
        <v>761</v>
      </c>
      <c r="O1213" s="10" t="s">
        <v>1601</v>
      </c>
      <c r="P1213" s="105" t="e">
        <f t="shared" si="18"/>
        <v>#DIV/0!</v>
      </c>
    </row>
    <row r="1214" spans="1:16">
      <c r="A1214" s="10" t="s">
        <v>635</v>
      </c>
      <c r="B1214" s="10">
        <v>4516631</v>
      </c>
      <c r="C1214" s="10" t="s">
        <v>759</v>
      </c>
      <c r="D1214" s="10" t="s">
        <v>760</v>
      </c>
      <c r="E1214" s="10">
        <v>0</v>
      </c>
      <c r="F1214" s="10">
        <v>7.14</v>
      </c>
      <c r="G1214" s="10">
        <v>-7.14</v>
      </c>
      <c r="H1214" s="10">
        <v>0</v>
      </c>
      <c r="I1214" s="10" t="s">
        <v>74</v>
      </c>
      <c r="J1214" s="10">
        <v>0</v>
      </c>
      <c r="K1214" s="10">
        <v>58</v>
      </c>
      <c r="L1214" s="10">
        <v>-58</v>
      </c>
      <c r="M1214" s="10">
        <v>0</v>
      </c>
      <c r="N1214" s="10" t="s">
        <v>761</v>
      </c>
      <c r="O1214" s="10" t="s">
        <v>713</v>
      </c>
      <c r="P1214" s="105" t="e">
        <f t="shared" si="18"/>
        <v>#DIV/0!</v>
      </c>
    </row>
    <row r="1215" spans="1:16">
      <c r="A1215" s="10" t="s">
        <v>635</v>
      </c>
      <c r="B1215" s="10">
        <v>4516710</v>
      </c>
      <c r="C1215" s="10" t="s">
        <v>759</v>
      </c>
      <c r="D1215" s="10" t="s">
        <v>760</v>
      </c>
      <c r="E1215" s="10">
        <v>0</v>
      </c>
      <c r="F1215" s="10">
        <v>0</v>
      </c>
      <c r="G1215" s="10">
        <v>0</v>
      </c>
      <c r="H1215" s="10">
        <v>0</v>
      </c>
      <c r="I1215" s="10" t="s">
        <v>21</v>
      </c>
      <c r="J1215" s="10">
        <v>0</v>
      </c>
      <c r="K1215" s="10">
        <v>0</v>
      </c>
      <c r="L1215" s="10">
        <v>0</v>
      </c>
      <c r="M1215" s="10">
        <v>0</v>
      </c>
      <c r="N1215" s="10" t="s">
        <v>761</v>
      </c>
      <c r="O1215" s="10" t="s">
        <v>1602</v>
      </c>
      <c r="P1215" s="105" t="e">
        <f t="shared" si="18"/>
        <v>#DIV/0!</v>
      </c>
    </row>
    <row r="1216" spans="1:16">
      <c r="A1216" s="10" t="s">
        <v>635</v>
      </c>
      <c r="B1216" s="10">
        <v>4516762</v>
      </c>
      <c r="C1216" s="10" t="s">
        <v>759</v>
      </c>
      <c r="D1216" s="10" t="s">
        <v>760</v>
      </c>
      <c r="E1216" s="10">
        <v>10</v>
      </c>
      <c r="F1216" s="10">
        <v>5</v>
      </c>
      <c r="G1216" s="10">
        <v>0</v>
      </c>
      <c r="H1216" s="10">
        <v>15</v>
      </c>
      <c r="I1216" s="10" t="s">
        <v>37</v>
      </c>
      <c r="J1216" s="10">
        <v>199.09</v>
      </c>
      <c r="K1216" s="10">
        <v>99.75</v>
      </c>
      <c r="L1216" s="10">
        <v>0</v>
      </c>
      <c r="M1216" s="10">
        <v>298.84</v>
      </c>
      <c r="N1216" s="10" t="s">
        <v>761</v>
      </c>
      <c r="O1216" s="10" t="s">
        <v>471</v>
      </c>
      <c r="P1216" s="105">
        <f t="shared" si="18"/>
        <v>19.9226666666667</v>
      </c>
    </row>
    <row r="1217" spans="1:16">
      <c r="A1217" s="10" t="s">
        <v>635</v>
      </c>
      <c r="B1217" s="10">
        <v>4516771</v>
      </c>
      <c r="C1217" s="10" t="s">
        <v>759</v>
      </c>
      <c r="D1217" s="10" t="s">
        <v>760</v>
      </c>
      <c r="E1217" s="10">
        <v>0</v>
      </c>
      <c r="F1217" s="10">
        <v>0</v>
      </c>
      <c r="G1217" s="10">
        <v>0</v>
      </c>
      <c r="H1217" s="10">
        <v>0</v>
      </c>
      <c r="I1217" s="10" t="s">
        <v>45</v>
      </c>
      <c r="J1217" s="10">
        <v>0</v>
      </c>
      <c r="K1217" s="10">
        <v>0</v>
      </c>
      <c r="L1217" s="10">
        <v>0</v>
      </c>
      <c r="M1217" s="10">
        <v>0</v>
      </c>
      <c r="N1217" s="10" t="s">
        <v>761</v>
      </c>
      <c r="O1217" s="10" t="s">
        <v>1603</v>
      </c>
      <c r="P1217" s="105" t="e">
        <f t="shared" si="18"/>
        <v>#DIV/0!</v>
      </c>
    </row>
    <row r="1218" spans="1:16">
      <c r="A1218" s="10" t="s">
        <v>635</v>
      </c>
      <c r="B1218" s="10">
        <v>4516830</v>
      </c>
      <c r="C1218" s="10" t="s">
        <v>759</v>
      </c>
      <c r="D1218" s="10" t="s">
        <v>760</v>
      </c>
      <c r="E1218" s="10">
        <v>5.68</v>
      </c>
      <c r="F1218" s="10">
        <v>68.16</v>
      </c>
      <c r="G1218" s="10">
        <v>0</v>
      </c>
      <c r="H1218" s="10">
        <v>73.84</v>
      </c>
      <c r="I1218" s="10" t="s">
        <v>45</v>
      </c>
      <c r="J1218" s="10">
        <v>26.48</v>
      </c>
      <c r="K1218" s="10">
        <v>318</v>
      </c>
      <c r="L1218" s="10">
        <v>0</v>
      </c>
      <c r="M1218" s="10">
        <v>344.48</v>
      </c>
      <c r="N1218" s="10" t="s">
        <v>761</v>
      </c>
      <c r="O1218" s="10" t="s">
        <v>409</v>
      </c>
      <c r="P1218" s="105">
        <f t="shared" si="18"/>
        <v>4.66522210184182</v>
      </c>
    </row>
    <row r="1219" spans="1:16">
      <c r="A1219" s="10" t="s">
        <v>635</v>
      </c>
      <c r="B1219" s="10">
        <v>4516992</v>
      </c>
      <c r="C1219" s="10" t="s">
        <v>759</v>
      </c>
      <c r="D1219" s="10" t="s">
        <v>760</v>
      </c>
      <c r="E1219" s="10">
        <v>11</v>
      </c>
      <c r="F1219" s="10">
        <v>30</v>
      </c>
      <c r="G1219" s="10">
        <v>0</v>
      </c>
      <c r="H1219" s="10">
        <v>41</v>
      </c>
      <c r="I1219" s="10" t="s">
        <v>74</v>
      </c>
      <c r="J1219" s="10">
        <v>385</v>
      </c>
      <c r="K1219" s="103">
        <v>1050</v>
      </c>
      <c r="L1219" s="10">
        <v>0</v>
      </c>
      <c r="M1219" s="103">
        <v>1435</v>
      </c>
      <c r="N1219" s="10" t="s">
        <v>761</v>
      </c>
      <c r="O1219" s="10" t="s">
        <v>356</v>
      </c>
      <c r="P1219" s="105">
        <f t="shared" ref="P1219:P1282" si="19">M1219/H1219</f>
        <v>35</v>
      </c>
    </row>
    <row r="1220" spans="1:16">
      <c r="A1220" s="10" t="s">
        <v>635</v>
      </c>
      <c r="B1220" s="10">
        <v>4516994</v>
      </c>
      <c r="C1220" s="10" t="s">
        <v>759</v>
      </c>
      <c r="D1220" s="10" t="s">
        <v>760</v>
      </c>
      <c r="E1220" s="10">
        <v>0</v>
      </c>
      <c r="F1220" s="10">
        <v>219.75</v>
      </c>
      <c r="G1220" s="10">
        <v>0</v>
      </c>
      <c r="H1220" s="10">
        <v>219.75</v>
      </c>
      <c r="I1220" s="10" t="s">
        <v>37</v>
      </c>
      <c r="J1220" s="10">
        <v>0</v>
      </c>
      <c r="K1220" s="103">
        <v>1955.78</v>
      </c>
      <c r="L1220" s="10">
        <v>0</v>
      </c>
      <c r="M1220" s="103">
        <v>1955.78</v>
      </c>
      <c r="N1220" s="10" t="s">
        <v>761</v>
      </c>
      <c r="O1220" s="10" t="s">
        <v>392</v>
      </c>
      <c r="P1220" s="105">
        <f t="shared" si="19"/>
        <v>8.90002275312855</v>
      </c>
    </row>
    <row r="1221" spans="1:16">
      <c r="A1221" s="10" t="s">
        <v>635</v>
      </c>
      <c r="B1221" s="10">
        <v>4516995</v>
      </c>
      <c r="C1221" s="10" t="s">
        <v>759</v>
      </c>
      <c r="D1221" s="10" t="s">
        <v>760</v>
      </c>
      <c r="E1221" s="10">
        <v>0</v>
      </c>
      <c r="F1221" s="10">
        <v>0</v>
      </c>
      <c r="G1221" s="10">
        <v>0</v>
      </c>
      <c r="H1221" s="10">
        <v>0</v>
      </c>
      <c r="I1221" s="10" t="s">
        <v>37</v>
      </c>
      <c r="J1221" s="10">
        <v>0</v>
      </c>
      <c r="K1221" s="10">
        <v>0</v>
      </c>
      <c r="L1221" s="10">
        <v>0</v>
      </c>
      <c r="M1221" s="10">
        <v>0</v>
      </c>
      <c r="N1221" s="10" t="s">
        <v>761</v>
      </c>
      <c r="O1221" s="10" t="s">
        <v>1604</v>
      </c>
      <c r="P1221" s="105" t="e">
        <f t="shared" si="19"/>
        <v>#DIV/0!</v>
      </c>
    </row>
    <row r="1222" spans="1:16">
      <c r="A1222" s="10" t="s">
        <v>635</v>
      </c>
      <c r="B1222" s="10">
        <v>4517055</v>
      </c>
      <c r="C1222" s="10" t="s">
        <v>759</v>
      </c>
      <c r="D1222" s="10" t="s">
        <v>760</v>
      </c>
      <c r="E1222" s="10">
        <v>6</v>
      </c>
      <c r="F1222" s="10">
        <v>142</v>
      </c>
      <c r="G1222" s="10">
        <v>0</v>
      </c>
      <c r="H1222" s="10">
        <v>148</v>
      </c>
      <c r="I1222" s="10" t="s">
        <v>177</v>
      </c>
      <c r="J1222" s="10">
        <v>170.64</v>
      </c>
      <c r="K1222" s="103">
        <v>4198</v>
      </c>
      <c r="L1222" s="10">
        <v>0</v>
      </c>
      <c r="M1222" s="103">
        <v>4368.64</v>
      </c>
      <c r="N1222" s="10" t="s">
        <v>761</v>
      </c>
      <c r="O1222" s="10" t="s">
        <v>175</v>
      </c>
      <c r="P1222" s="105">
        <f t="shared" si="19"/>
        <v>29.5178378378378</v>
      </c>
    </row>
    <row r="1223" spans="1:16">
      <c r="A1223" s="10" t="s">
        <v>635</v>
      </c>
      <c r="B1223" s="10">
        <v>4517136</v>
      </c>
      <c r="C1223" s="10" t="s">
        <v>759</v>
      </c>
      <c r="D1223" s="10" t="s">
        <v>760</v>
      </c>
      <c r="E1223" s="10">
        <v>0</v>
      </c>
      <c r="F1223" s="10">
        <v>0</v>
      </c>
      <c r="G1223" s="10">
        <v>0</v>
      </c>
      <c r="H1223" s="10">
        <v>0</v>
      </c>
      <c r="I1223" s="10" t="s">
        <v>74</v>
      </c>
      <c r="J1223" s="10">
        <v>0</v>
      </c>
      <c r="K1223" s="10">
        <v>0</v>
      </c>
      <c r="L1223" s="10">
        <v>0</v>
      </c>
      <c r="M1223" s="10">
        <v>0</v>
      </c>
      <c r="N1223" s="10" t="s">
        <v>761</v>
      </c>
      <c r="O1223" s="10" t="s">
        <v>1605</v>
      </c>
      <c r="P1223" s="105" t="e">
        <f t="shared" si="19"/>
        <v>#DIV/0!</v>
      </c>
    </row>
    <row r="1224" spans="1:16">
      <c r="A1224" s="10" t="s">
        <v>635</v>
      </c>
      <c r="B1224" s="10">
        <v>4517137</v>
      </c>
      <c r="C1224" s="10" t="s">
        <v>759</v>
      </c>
      <c r="D1224" s="10" t="s">
        <v>760</v>
      </c>
      <c r="E1224" s="10">
        <v>0</v>
      </c>
      <c r="F1224" s="10">
        <v>0</v>
      </c>
      <c r="G1224" s="10">
        <v>0</v>
      </c>
      <c r="H1224" s="10">
        <v>0</v>
      </c>
      <c r="I1224" s="10" t="s">
        <v>261</v>
      </c>
      <c r="J1224" s="10">
        <v>0</v>
      </c>
      <c r="K1224" s="10">
        <v>0</v>
      </c>
      <c r="L1224" s="10">
        <v>0</v>
      </c>
      <c r="M1224" s="10">
        <v>0</v>
      </c>
      <c r="N1224" s="10" t="s">
        <v>761</v>
      </c>
      <c r="O1224" s="10" t="s">
        <v>1606</v>
      </c>
      <c r="P1224" s="105" t="e">
        <f t="shared" si="19"/>
        <v>#DIV/0!</v>
      </c>
    </row>
    <row r="1225" spans="1:16">
      <c r="A1225" s="10" t="s">
        <v>635</v>
      </c>
      <c r="B1225" s="10">
        <v>4517138</v>
      </c>
      <c r="C1225" s="10" t="s">
        <v>759</v>
      </c>
      <c r="D1225" s="10" t="s">
        <v>760</v>
      </c>
      <c r="E1225" s="10">
        <v>0</v>
      </c>
      <c r="F1225" s="10">
        <v>0</v>
      </c>
      <c r="G1225" s="10">
        <v>0</v>
      </c>
      <c r="H1225" s="10">
        <v>0</v>
      </c>
      <c r="I1225" s="10" t="s">
        <v>659</v>
      </c>
      <c r="J1225" s="10">
        <v>0</v>
      </c>
      <c r="K1225" s="10">
        <v>0</v>
      </c>
      <c r="L1225" s="10">
        <v>0</v>
      </c>
      <c r="M1225" s="10">
        <v>0</v>
      </c>
      <c r="N1225" s="10" t="s">
        <v>761</v>
      </c>
      <c r="O1225" s="10" t="s">
        <v>1607</v>
      </c>
      <c r="P1225" s="105" t="e">
        <f t="shared" si="19"/>
        <v>#DIV/0!</v>
      </c>
    </row>
    <row r="1226" spans="1:16">
      <c r="A1226" s="10" t="s">
        <v>635</v>
      </c>
      <c r="B1226" s="10">
        <v>4517139</v>
      </c>
      <c r="C1226" s="10" t="s">
        <v>759</v>
      </c>
      <c r="D1226" s="10" t="s">
        <v>760</v>
      </c>
      <c r="E1226" s="10">
        <v>0</v>
      </c>
      <c r="F1226" s="10">
        <v>0</v>
      </c>
      <c r="G1226" s="10">
        <v>0</v>
      </c>
      <c r="H1226" s="10">
        <v>0</v>
      </c>
      <c r="I1226" s="10" t="s">
        <v>74</v>
      </c>
      <c r="J1226" s="10">
        <v>0</v>
      </c>
      <c r="K1226" s="10">
        <v>0</v>
      </c>
      <c r="L1226" s="10">
        <v>0</v>
      </c>
      <c r="M1226" s="10">
        <v>0</v>
      </c>
      <c r="N1226" s="10" t="s">
        <v>761</v>
      </c>
      <c r="O1226" s="10" t="s">
        <v>1608</v>
      </c>
      <c r="P1226" s="105" t="e">
        <f t="shared" si="19"/>
        <v>#DIV/0!</v>
      </c>
    </row>
    <row r="1227" spans="1:16">
      <c r="A1227" s="10" t="s">
        <v>635</v>
      </c>
      <c r="B1227" s="10">
        <v>4517140</v>
      </c>
      <c r="C1227" s="10" t="s">
        <v>759</v>
      </c>
      <c r="D1227" s="10" t="s">
        <v>760</v>
      </c>
      <c r="E1227" s="10">
        <v>0</v>
      </c>
      <c r="F1227" s="10">
        <v>0</v>
      </c>
      <c r="G1227" s="10">
        <v>0</v>
      </c>
      <c r="H1227" s="10">
        <v>0</v>
      </c>
      <c r="I1227" s="10" t="s">
        <v>21</v>
      </c>
      <c r="J1227" s="10">
        <v>0</v>
      </c>
      <c r="K1227" s="10">
        <v>0</v>
      </c>
      <c r="L1227" s="10">
        <v>0</v>
      </c>
      <c r="M1227" s="10">
        <v>0</v>
      </c>
      <c r="N1227" s="10" t="s">
        <v>761</v>
      </c>
      <c r="O1227" s="10" t="s">
        <v>1609</v>
      </c>
      <c r="P1227" s="105" t="e">
        <f t="shared" si="19"/>
        <v>#DIV/0!</v>
      </c>
    </row>
    <row r="1228" spans="1:16">
      <c r="A1228" s="10" t="s">
        <v>635</v>
      </c>
      <c r="B1228" s="10">
        <v>4517152</v>
      </c>
      <c r="C1228" s="10" t="s">
        <v>759</v>
      </c>
      <c r="D1228" s="10" t="s">
        <v>760</v>
      </c>
      <c r="E1228" s="10">
        <v>0</v>
      </c>
      <c r="F1228" s="10">
        <v>0</v>
      </c>
      <c r="G1228" s="10">
        <v>0</v>
      </c>
      <c r="H1228" s="10">
        <v>0</v>
      </c>
      <c r="I1228" s="10" t="s">
        <v>37</v>
      </c>
      <c r="J1228" s="10">
        <v>0</v>
      </c>
      <c r="K1228" s="10">
        <v>0</v>
      </c>
      <c r="L1228" s="10">
        <v>0</v>
      </c>
      <c r="M1228" s="10">
        <v>0</v>
      </c>
      <c r="N1228" s="10" t="s">
        <v>761</v>
      </c>
      <c r="O1228" s="10" t="s">
        <v>1610</v>
      </c>
      <c r="P1228" s="105" t="e">
        <f t="shared" si="19"/>
        <v>#DIV/0!</v>
      </c>
    </row>
    <row r="1229" spans="1:16">
      <c r="A1229" s="10" t="s">
        <v>635</v>
      </c>
      <c r="B1229" s="10">
        <v>4517273</v>
      </c>
      <c r="C1229" s="10" t="s">
        <v>759</v>
      </c>
      <c r="D1229" s="10" t="s">
        <v>760</v>
      </c>
      <c r="E1229" s="10">
        <v>16</v>
      </c>
      <c r="F1229" s="10">
        <v>0</v>
      </c>
      <c r="G1229" s="10">
        <v>0</v>
      </c>
      <c r="H1229" s="10">
        <v>16</v>
      </c>
      <c r="I1229" s="10" t="s">
        <v>37</v>
      </c>
      <c r="J1229" s="10">
        <v>14.67</v>
      </c>
      <c r="K1229" s="10">
        <v>0</v>
      </c>
      <c r="L1229" s="10">
        <v>0</v>
      </c>
      <c r="M1229" s="10">
        <v>14.67</v>
      </c>
      <c r="N1229" s="10" t="s">
        <v>761</v>
      </c>
      <c r="O1229" s="10" t="s">
        <v>186</v>
      </c>
      <c r="P1229" s="105">
        <f t="shared" si="19"/>
        <v>0.916875</v>
      </c>
    </row>
    <row r="1230" spans="1:16">
      <c r="A1230" s="10" t="s">
        <v>635</v>
      </c>
      <c r="B1230" s="10">
        <v>4517418</v>
      </c>
      <c r="C1230" s="10" t="s">
        <v>759</v>
      </c>
      <c r="D1230" s="10" t="s">
        <v>760</v>
      </c>
      <c r="E1230" s="10">
        <v>0</v>
      </c>
      <c r="F1230" s="10">
        <v>0</v>
      </c>
      <c r="G1230" s="10">
        <v>0</v>
      </c>
      <c r="H1230" s="10">
        <v>0</v>
      </c>
      <c r="I1230" s="10" t="s">
        <v>1611</v>
      </c>
      <c r="J1230" s="10">
        <v>0</v>
      </c>
      <c r="K1230" s="10">
        <v>0</v>
      </c>
      <c r="L1230" s="10">
        <v>0</v>
      </c>
      <c r="M1230" s="10">
        <v>0</v>
      </c>
      <c r="N1230" s="10" t="s">
        <v>761</v>
      </c>
      <c r="O1230" s="10" t="s">
        <v>1612</v>
      </c>
      <c r="P1230" s="105" t="e">
        <f t="shared" si="19"/>
        <v>#DIV/0!</v>
      </c>
    </row>
    <row r="1231" spans="1:16">
      <c r="A1231" s="10" t="s">
        <v>635</v>
      </c>
      <c r="B1231" s="10">
        <v>4517520</v>
      </c>
      <c r="C1231" s="10" t="s">
        <v>759</v>
      </c>
      <c r="D1231" s="10" t="s">
        <v>760</v>
      </c>
      <c r="E1231" s="10">
        <v>43.2</v>
      </c>
      <c r="F1231" s="10">
        <v>432</v>
      </c>
      <c r="G1231" s="10">
        <v>0</v>
      </c>
      <c r="H1231" s="10">
        <v>475.2</v>
      </c>
      <c r="I1231" s="10" t="s">
        <v>74</v>
      </c>
      <c r="J1231" s="10">
        <v>114.66</v>
      </c>
      <c r="K1231" s="103">
        <v>1139.96</v>
      </c>
      <c r="L1231" s="10">
        <v>0</v>
      </c>
      <c r="M1231" s="103">
        <v>1254.62</v>
      </c>
      <c r="N1231" s="10" t="s">
        <v>761</v>
      </c>
      <c r="O1231" s="10" t="s">
        <v>440</v>
      </c>
      <c r="P1231" s="105">
        <f t="shared" si="19"/>
        <v>2.6401936026936</v>
      </c>
    </row>
    <row r="1232" spans="1:16">
      <c r="A1232" s="10" t="s">
        <v>635</v>
      </c>
      <c r="B1232" s="10">
        <v>4517587</v>
      </c>
      <c r="C1232" s="10" t="s">
        <v>759</v>
      </c>
      <c r="D1232" s="10" t="s">
        <v>760</v>
      </c>
      <c r="E1232" s="10">
        <v>0</v>
      </c>
      <c r="F1232" s="10">
        <v>0</v>
      </c>
      <c r="G1232" s="10">
        <v>0</v>
      </c>
      <c r="H1232" s="10">
        <v>0</v>
      </c>
      <c r="I1232" s="10" t="s">
        <v>74</v>
      </c>
      <c r="J1232" s="10">
        <v>0</v>
      </c>
      <c r="K1232" s="10">
        <v>0</v>
      </c>
      <c r="L1232" s="10">
        <v>0</v>
      </c>
      <c r="M1232" s="10">
        <v>0</v>
      </c>
      <c r="N1232" s="10" t="s">
        <v>761</v>
      </c>
      <c r="O1232" s="10" t="s">
        <v>1613</v>
      </c>
      <c r="P1232" s="105" t="e">
        <f t="shared" si="19"/>
        <v>#DIV/0!</v>
      </c>
    </row>
    <row r="1233" spans="1:16">
      <c r="A1233" s="10" t="s">
        <v>635</v>
      </c>
      <c r="B1233" s="10">
        <v>4517588</v>
      </c>
      <c r="C1233" s="10" t="s">
        <v>759</v>
      </c>
      <c r="D1233" s="10" t="s">
        <v>760</v>
      </c>
      <c r="E1233" s="10">
        <v>0</v>
      </c>
      <c r="F1233" s="10">
        <v>0</v>
      </c>
      <c r="G1233" s="10">
        <v>0</v>
      </c>
      <c r="H1233" s="10">
        <v>0</v>
      </c>
      <c r="I1233" s="10" t="s">
        <v>643</v>
      </c>
      <c r="J1233" s="10">
        <v>0</v>
      </c>
      <c r="K1233" s="10">
        <v>0</v>
      </c>
      <c r="L1233" s="10">
        <v>0</v>
      </c>
      <c r="M1233" s="10">
        <v>0</v>
      </c>
      <c r="N1233" s="10" t="s">
        <v>761</v>
      </c>
      <c r="O1233" s="10" t="s">
        <v>1614</v>
      </c>
      <c r="P1233" s="105" t="e">
        <f t="shared" si="19"/>
        <v>#DIV/0!</v>
      </c>
    </row>
    <row r="1234" spans="1:16">
      <c r="A1234" s="10" t="s">
        <v>635</v>
      </c>
      <c r="B1234" s="10">
        <v>4517611</v>
      </c>
      <c r="C1234" s="10" t="s">
        <v>759</v>
      </c>
      <c r="D1234" s="10" t="s">
        <v>760</v>
      </c>
      <c r="E1234" s="10">
        <v>0</v>
      </c>
      <c r="F1234" s="10">
        <v>0</v>
      </c>
      <c r="G1234" s="10">
        <v>0</v>
      </c>
      <c r="H1234" s="10">
        <v>0</v>
      </c>
      <c r="I1234" s="10" t="s">
        <v>56</v>
      </c>
      <c r="J1234" s="10">
        <v>0</v>
      </c>
      <c r="K1234" s="10">
        <v>0</v>
      </c>
      <c r="L1234" s="10">
        <v>0</v>
      </c>
      <c r="M1234" s="10">
        <v>0</v>
      </c>
      <c r="N1234" s="10" t="s">
        <v>761</v>
      </c>
      <c r="O1234" s="10" t="s">
        <v>1615</v>
      </c>
      <c r="P1234" s="105" t="e">
        <f t="shared" si="19"/>
        <v>#DIV/0!</v>
      </c>
    </row>
    <row r="1235" spans="1:16">
      <c r="A1235" s="10" t="s">
        <v>635</v>
      </c>
      <c r="B1235" s="10">
        <v>4517627</v>
      </c>
      <c r="C1235" s="10" t="s">
        <v>759</v>
      </c>
      <c r="D1235" s="10" t="s">
        <v>760</v>
      </c>
      <c r="E1235" s="10">
        <v>0</v>
      </c>
      <c r="F1235" s="10">
        <v>0</v>
      </c>
      <c r="G1235" s="10">
        <v>0</v>
      </c>
      <c r="H1235" s="10">
        <v>0</v>
      </c>
      <c r="I1235" s="10" t="s">
        <v>74</v>
      </c>
      <c r="J1235" s="10">
        <v>0</v>
      </c>
      <c r="K1235" s="10">
        <v>0</v>
      </c>
      <c r="L1235" s="10">
        <v>0</v>
      </c>
      <c r="M1235" s="10">
        <v>0</v>
      </c>
      <c r="N1235" s="10" t="s">
        <v>761</v>
      </c>
      <c r="O1235" s="10" t="s">
        <v>1616</v>
      </c>
      <c r="P1235" s="105" t="e">
        <f t="shared" si="19"/>
        <v>#DIV/0!</v>
      </c>
    </row>
    <row r="1236" spans="1:16">
      <c r="A1236" s="10" t="s">
        <v>635</v>
      </c>
      <c r="B1236" s="10">
        <v>4517628</v>
      </c>
      <c r="C1236" s="10" t="s">
        <v>759</v>
      </c>
      <c r="D1236" s="10" t="s">
        <v>760</v>
      </c>
      <c r="E1236" s="10">
        <v>0</v>
      </c>
      <c r="F1236" s="10">
        <v>0</v>
      </c>
      <c r="G1236" s="10">
        <v>0</v>
      </c>
      <c r="H1236" s="10">
        <v>0</v>
      </c>
      <c r="I1236" s="10" t="s">
        <v>56</v>
      </c>
      <c r="J1236" s="10">
        <v>0</v>
      </c>
      <c r="K1236" s="10">
        <v>0</v>
      </c>
      <c r="L1236" s="10">
        <v>0</v>
      </c>
      <c r="M1236" s="10">
        <v>0</v>
      </c>
      <c r="N1236" s="10" t="s">
        <v>761</v>
      </c>
      <c r="O1236" s="10" t="s">
        <v>1617</v>
      </c>
      <c r="P1236" s="105" t="e">
        <f t="shared" si="19"/>
        <v>#DIV/0!</v>
      </c>
    </row>
    <row r="1237" spans="1:16">
      <c r="A1237" s="10" t="s">
        <v>635</v>
      </c>
      <c r="B1237" s="10">
        <v>4517629</v>
      </c>
      <c r="C1237" s="10" t="s">
        <v>759</v>
      </c>
      <c r="D1237" s="10" t="s">
        <v>760</v>
      </c>
      <c r="E1237" s="10">
        <v>0</v>
      </c>
      <c r="F1237" s="10">
        <v>0</v>
      </c>
      <c r="G1237" s="10">
        <v>0</v>
      </c>
      <c r="H1237" s="10">
        <v>0</v>
      </c>
      <c r="I1237" s="10" t="s">
        <v>56</v>
      </c>
      <c r="J1237" s="10">
        <v>0</v>
      </c>
      <c r="K1237" s="10">
        <v>0</v>
      </c>
      <c r="L1237" s="10">
        <v>0</v>
      </c>
      <c r="M1237" s="10">
        <v>0</v>
      </c>
      <c r="N1237" s="10" t="s">
        <v>761</v>
      </c>
      <c r="O1237" s="10" t="s">
        <v>1618</v>
      </c>
      <c r="P1237" s="105" t="e">
        <f t="shared" si="19"/>
        <v>#DIV/0!</v>
      </c>
    </row>
    <row r="1238" spans="1:16">
      <c r="A1238" s="10" t="s">
        <v>635</v>
      </c>
      <c r="B1238" s="10">
        <v>4517715</v>
      </c>
      <c r="C1238" s="10" t="s">
        <v>759</v>
      </c>
      <c r="D1238" s="10" t="s">
        <v>760</v>
      </c>
      <c r="E1238" s="10">
        <v>21</v>
      </c>
      <c r="F1238" s="10">
        <v>42</v>
      </c>
      <c r="G1238" s="10">
        <v>0</v>
      </c>
      <c r="H1238" s="10">
        <v>63</v>
      </c>
      <c r="I1238" s="10" t="s">
        <v>74</v>
      </c>
      <c r="J1238" s="10">
        <v>480</v>
      </c>
      <c r="K1238" s="10">
        <v>960</v>
      </c>
      <c r="L1238" s="10">
        <v>0</v>
      </c>
      <c r="M1238" s="103">
        <v>1440</v>
      </c>
      <c r="N1238" s="10" t="s">
        <v>761</v>
      </c>
      <c r="O1238" s="10" t="s">
        <v>505</v>
      </c>
      <c r="P1238" s="105">
        <f t="shared" si="19"/>
        <v>22.8571428571429</v>
      </c>
    </row>
    <row r="1239" spans="1:16">
      <c r="A1239" s="10" t="s">
        <v>635</v>
      </c>
      <c r="B1239" s="10">
        <v>4517731</v>
      </c>
      <c r="C1239" s="10" t="s">
        <v>759</v>
      </c>
      <c r="D1239" s="10" t="s">
        <v>760</v>
      </c>
      <c r="E1239" s="10">
        <v>0</v>
      </c>
      <c r="F1239" s="10">
        <v>0</v>
      </c>
      <c r="G1239" s="10">
        <v>0</v>
      </c>
      <c r="H1239" s="10">
        <v>0</v>
      </c>
      <c r="I1239" s="10" t="s">
        <v>151</v>
      </c>
      <c r="J1239" s="10">
        <v>0</v>
      </c>
      <c r="K1239" s="10">
        <v>0</v>
      </c>
      <c r="L1239" s="10">
        <v>0</v>
      </c>
      <c r="M1239" s="10">
        <v>0</v>
      </c>
      <c r="N1239" s="10" t="s">
        <v>761</v>
      </c>
      <c r="O1239" s="10" t="s">
        <v>1619</v>
      </c>
      <c r="P1239" s="105" t="e">
        <f t="shared" si="19"/>
        <v>#DIV/0!</v>
      </c>
    </row>
    <row r="1240" spans="1:16">
      <c r="A1240" s="10" t="s">
        <v>635</v>
      </c>
      <c r="B1240" s="10">
        <v>4517732</v>
      </c>
      <c r="C1240" s="10" t="s">
        <v>759</v>
      </c>
      <c r="D1240" s="10" t="s">
        <v>760</v>
      </c>
      <c r="E1240" s="10">
        <v>0</v>
      </c>
      <c r="F1240" s="10">
        <v>0</v>
      </c>
      <c r="G1240" s="10">
        <v>0</v>
      </c>
      <c r="H1240" s="10">
        <v>0</v>
      </c>
      <c r="I1240" s="10" t="s">
        <v>403</v>
      </c>
      <c r="J1240" s="10">
        <v>0</v>
      </c>
      <c r="K1240" s="10">
        <v>0</v>
      </c>
      <c r="L1240" s="10">
        <v>0</v>
      </c>
      <c r="M1240" s="10">
        <v>0</v>
      </c>
      <c r="N1240" s="10" t="s">
        <v>761</v>
      </c>
      <c r="O1240" s="10" t="s">
        <v>1620</v>
      </c>
      <c r="P1240" s="105" t="e">
        <f t="shared" si="19"/>
        <v>#DIV/0!</v>
      </c>
    </row>
    <row r="1241" spans="1:16">
      <c r="A1241" s="10" t="s">
        <v>635</v>
      </c>
      <c r="B1241" s="10">
        <v>4517800</v>
      </c>
      <c r="C1241" s="10" t="s">
        <v>759</v>
      </c>
      <c r="D1241" s="10" t="s">
        <v>760</v>
      </c>
      <c r="E1241" s="10">
        <v>0</v>
      </c>
      <c r="F1241" s="10">
        <v>0</v>
      </c>
      <c r="G1241" s="10">
        <v>0</v>
      </c>
      <c r="H1241" s="10">
        <v>0</v>
      </c>
      <c r="I1241" s="10" t="s">
        <v>74</v>
      </c>
      <c r="J1241" s="10">
        <v>0</v>
      </c>
      <c r="K1241" s="10">
        <v>0</v>
      </c>
      <c r="L1241" s="10">
        <v>0</v>
      </c>
      <c r="M1241" s="10">
        <v>0</v>
      </c>
      <c r="N1241" s="10" t="s">
        <v>761</v>
      </c>
      <c r="O1241" s="10" t="s">
        <v>714</v>
      </c>
      <c r="P1241" s="105" t="e">
        <f t="shared" si="19"/>
        <v>#DIV/0!</v>
      </c>
    </row>
    <row r="1242" spans="1:16">
      <c r="A1242" s="10" t="s">
        <v>635</v>
      </c>
      <c r="B1242" s="10">
        <v>4517980</v>
      </c>
      <c r="C1242" s="10" t="s">
        <v>759</v>
      </c>
      <c r="D1242" s="10" t="s">
        <v>760</v>
      </c>
      <c r="E1242" s="10">
        <v>0</v>
      </c>
      <c r="F1242" s="10">
        <v>0</v>
      </c>
      <c r="G1242" s="10">
        <v>0</v>
      </c>
      <c r="H1242" s="10">
        <v>0</v>
      </c>
      <c r="I1242" s="10" t="s">
        <v>74</v>
      </c>
      <c r="J1242" s="10">
        <v>0</v>
      </c>
      <c r="K1242" s="10">
        <v>0</v>
      </c>
      <c r="L1242" s="10">
        <v>0</v>
      </c>
      <c r="M1242" s="10">
        <v>0</v>
      </c>
      <c r="N1242" s="10" t="s">
        <v>761</v>
      </c>
      <c r="O1242" s="10" t="s">
        <v>1621</v>
      </c>
      <c r="P1242" s="105" t="e">
        <f t="shared" si="19"/>
        <v>#DIV/0!</v>
      </c>
    </row>
    <row r="1243" spans="1:16">
      <c r="A1243" s="10" t="s">
        <v>635</v>
      </c>
      <c r="B1243" s="10">
        <v>4517994</v>
      </c>
      <c r="C1243" s="10" t="s">
        <v>759</v>
      </c>
      <c r="D1243" s="10" t="s">
        <v>760</v>
      </c>
      <c r="E1243" s="10">
        <v>0</v>
      </c>
      <c r="F1243" s="10">
        <v>24</v>
      </c>
      <c r="G1243" s="10">
        <v>0</v>
      </c>
      <c r="H1243" s="10">
        <v>24</v>
      </c>
      <c r="I1243" s="10" t="s">
        <v>21</v>
      </c>
      <c r="J1243" s="10">
        <v>0</v>
      </c>
      <c r="K1243" s="10">
        <v>41.13</v>
      </c>
      <c r="L1243" s="10">
        <v>0</v>
      </c>
      <c r="M1243" s="10">
        <v>41.13</v>
      </c>
      <c r="N1243" s="10" t="s">
        <v>761</v>
      </c>
      <c r="O1243" s="10" t="s">
        <v>327</v>
      </c>
      <c r="P1243" s="105">
        <f t="shared" si="19"/>
        <v>1.71375</v>
      </c>
    </row>
    <row r="1244" spans="1:16">
      <c r="A1244" s="10" t="s">
        <v>635</v>
      </c>
      <c r="B1244" s="10">
        <v>4518034</v>
      </c>
      <c r="C1244" s="10" t="s">
        <v>759</v>
      </c>
      <c r="D1244" s="10" t="s">
        <v>760</v>
      </c>
      <c r="E1244" s="10">
        <v>0</v>
      </c>
      <c r="F1244" s="10">
        <v>0</v>
      </c>
      <c r="G1244" s="10">
        <v>0</v>
      </c>
      <c r="H1244" s="10">
        <v>0</v>
      </c>
      <c r="I1244" s="10" t="s">
        <v>33</v>
      </c>
      <c r="J1244" s="10">
        <v>0</v>
      </c>
      <c r="K1244" s="10">
        <v>0</v>
      </c>
      <c r="L1244" s="10">
        <v>0</v>
      </c>
      <c r="M1244" s="10">
        <v>0</v>
      </c>
      <c r="N1244" s="10" t="s">
        <v>761</v>
      </c>
      <c r="O1244" s="10" t="s">
        <v>1622</v>
      </c>
      <c r="P1244" s="105" t="e">
        <f t="shared" si="19"/>
        <v>#DIV/0!</v>
      </c>
    </row>
    <row r="1245" spans="1:16">
      <c r="A1245" s="10" t="s">
        <v>635</v>
      </c>
      <c r="B1245" s="10">
        <v>4518048</v>
      </c>
      <c r="C1245" s="10" t="s">
        <v>759</v>
      </c>
      <c r="D1245" s="10" t="s">
        <v>760</v>
      </c>
      <c r="E1245" s="10">
        <v>0</v>
      </c>
      <c r="F1245" s="10">
        <v>0</v>
      </c>
      <c r="G1245" s="10">
        <v>0</v>
      </c>
      <c r="H1245" s="10">
        <v>0</v>
      </c>
      <c r="I1245" s="10" t="s">
        <v>74</v>
      </c>
      <c r="J1245" s="10">
        <v>0</v>
      </c>
      <c r="K1245" s="10">
        <v>0</v>
      </c>
      <c r="L1245" s="10">
        <v>0</v>
      </c>
      <c r="M1245" s="10">
        <v>0</v>
      </c>
      <c r="N1245" s="10" t="s">
        <v>761</v>
      </c>
      <c r="O1245" s="10" t="s">
        <v>1623</v>
      </c>
      <c r="P1245" s="105" t="e">
        <f t="shared" si="19"/>
        <v>#DIV/0!</v>
      </c>
    </row>
    <row r="1246" spans="1:16">
      <c r="A1246" s="10" t="s">
        <v>635</v>
      </c>
      <c r="B1246" s="10">
        <v>4518106</v>
      </c>
      <c r="C1246" s="10" t="s">
        <v>759</v>
      </c>
      <c r="D1246" s="10" t="s">
        <v>760</v>
      </c>
      <c r="E1246" s="10">
        <v>41.27</v>
      </c>
      <c r="F1246" s="10">
        <v>176.35</v>
      </c>
      <c r="G1246" s="10">
        <v>0</v>
      </c>
      <c r="H1246" s="10">
        <v>217.62</v>
      </c>
      <c r="I1246" s="10" t="s">
        <v>37</v>
      </c>
      <c r="J1246" s="10">
        <v>299.84</v>
      </c>
      <c r="K1246" s="103">
        <v>1285.6</v>
      </c>
      <c r="L1246" s="10">
        <v>0</v>
      </c>
      <c r="M1246" s="103">
        <v>1585.44</v>
      </c>
      <c r="N1246" s="10" t="s">
        <v>761</v>
      </c>
      <c r="O1246" s="10" t="s">
        <v>540</v>
      </c>
      <c r="P1246" s="105">
        <f t="shared" si="19"/>
        <v>7.28535980148883</v>
      </c>
    </row>
    <row r="1247" spans="1:16">
      <c r="A1247" s="10" t="s">
        <v>635</v>
      </c>
      <c r="B1247" s="10">
        <v>4518124</v>
      </c>
      <c r="C1247" s="10" t="s">
        <v>759</v>
      </c>
      <c r="D1247" s="10" t="s">
        <v>760</v>
      </c>
      <c r="E1247" s="10">
        <v>0</v>
      </c>
      <c r="F1247" s="10">
        <v>192</v>
      </c>
      <c r="G1247" s="10">
        <v>0</v>
      </c>
      <c r="H1247" s="10">
        <v>192</v>
      </c>
      <c r="I1247" s="10" t="s">
        <v>403</v>
      </c>
      <c r="J1247" s="10">
        <v>0</v>
      </c>
      <c r="K1247" s="10">
        <v>300</v>
      </c>
      <c r="L1247" s="10">
        <v>0</v>
      </c>
      <c r="M1247" s="10">
        <v>300</v>
      </c>
      <c r="N1247" s="10" t="s">
        <v>761</v>
      </c>
      <c r="O1247" s="10" t="s">
        <v>513</v>
      </c>
      <c r="P1247" s="105">
        <f t="shared" si="19"/>
        <v>1.5625</v>
      </c>
    </row>
    <row r="1248" spans="1:16">
      <c r="A1248" s="10" t="s">
        <v>635</v>
      </c>
      <c r="B1248" s="10">
        <v>4518129</v>
      </c>
      <c r="C1248" s="10" t="s">
        <v>759</v>
      </c>
      <c r="D1248" s="10" t="s">
        <v>760</v>
      </c>
      <c r="E1248" s="10">
        <v>0</v>
      </c>
      <c r="F1248" s="10">
        <v>0</v>
      </c>
      <c r="G1248" s="10">
        <v>0</v>
      </c>
      <c r="H1248" s="10">
        <v>0</v>
      </c>
      <c r="I1248" s="10" t="s">
        <v>33</v>
      </c>
      <c r="J1248" s="10">
        <v>0</v>
      </c>
      <c r="K1248" s="10">
        <v>0</v>
      </c>
      <c r="L1248" s="10">
        <v>0</v>
      </c>
      <c r="M1248" s="10">
        <v>0</v>
      </c>
      <c r="N1248" s="10" t="s">
        <v>761</v>
      </c>
      <c r="O1248" s="10" t="s">
        <v>1624</v>
      </c>
      <c r="P1248" s="105" t="e">
        <f t="shared" si="19"/>
        <v>#DIV/0!</v>
      </c>
    </row>
    <row r="1249" spans="1:16">
      <c r="A1249" s="10" t="s">
        <v>635</v>
      </c>
      <c r="B1249" s="10">
        <v>4518130</v>
      </c>
      <c r="C1249" s="10" t="s">
        <v>759</v>
      </c>
      <c r="D1249" s="10" t="s">
        <v>760</v>
      </c>
      <c r="E1249" s="10">
        <v>0</v>
      </c>
      <c r="F1249" s="10">
        <v>0</v>
      </c>
      <c r="G1249" s="10">
        <v>0</v>
      </c>
      <c r="H1249" s="10">
        <v>0</v>
      </c>
      <c r="I1249" s="10" t="s">
        <v>33</v>
      </c>
      <c r="J1249" s="10">
        <v>0</v>
      </c>
      <c r="K1249" s="10">
        <v>0</v>
      </c>
      <c r="L1249" s="10">
        <v>0</v>
      </c>
      <c r="M1249" s="10">
        <v>0</v>
      </c>
      <c r="N1249" s="10" t="s">
        <v>761</v>
      </c>
      <c r="O1249" s="10" t="s">
        <v>1625</v>
      </c>
      <c r="P1249" s="105" t="e">
        <f t="shared" si="19"/>
        <v>#DIV/0!</v>
      </c>
    </row>
    <row r="1250" spans="1:16">
      <c r="A1250" s="10" t="s">
        <v>635</v>
      </c>
      <c r="B1250" s="10">
        <v>4518131</v>
      </c>
      <c r="C1250" s="10" t="s">
        <v>759</v>
      </c>
      <c r="D1250" s="10" t="s">
        <v>760</v>
      </c>
      <c r="E1250" s="10">
        <v>716</v>
      </c>
      <c r="F1250" s="10">
        <v>0</v>
      </c>
      <c r="G1250" s="10">
        <v>0</v>
      </c>
      <c r="H1250" s="10">
        <v>716</v>
      </c>
      <c r="I1250" s="10" t="s">
        <v>33</v>
      </c>
      <c r="J1250" s="103">
        <v>3852.08</v>
      </c>
      <c r="K1250" s="10">
        <v>0</v>
      </c>
      <c r="L1250" s="10">
        <v>0</v>
      </c>
      <c r="M1250" s="103">
        <v>3852.08</v>
      </c>
      <c r="N1250" s="10" t="s">
        <v>761</v>
      </c>
      <c r="O1250" s="10" t="s">
        <v>50</v>
      </c>
      <c r="P1250" s="105">
        <f t="shared" si="19"/>
        <v>5.38</v>
      </c>
    </row>
    <row r="1251" spans="1:16">
      <c r="A1251" s="10" t="s">
        <v>635</v>
      </c>
      <c r="B1251" s="10">
        <v>4518132</v>
      </c>
      <c r="C1251" s="10" t="s">
        <v>759</v>
      </c>
      <c r="D1251" s="10" t="s">
        <v>760</v>
      </c>
      <c r="E1251" s="10">
        <v>0</v>
      </c>
      <c r="F1251" s="10">
        <v>0</v>
      </c>
      <c r="G1251" s="10">
        <v>0</v>
      </c>
      <c r="H1251" s="10">
        <v>0</v>
      </c>
      <c r="I1251" s="10" t="s">
        <v>33</v>
      </c>
      <c r="J1251" s="10">
        <v>0</v>
      </c>
      <c r="K1251" s="10">
        <v>0</v>
      </c>
      <c r="L1251" s="10">
        <v>0</v>
      </c>
      <c r="M1251" s="10">
        <v>0</v>
      </c>
      <c r="N1251" s="10" t="s">
        <v>761</v>
      </c>
      <c r="O1251" s="10" t="s">
        <v>1626</v>
      </c>
      <c r="P1251" s="105" t="e">
        <f t="shared" si="19"/>
        <v>#DIV/0!</v>
      </c>
    </row>
    <row r="1252" spans="1:16">
      <c r="A1252" s="10" t="s">
        <v>635</v>
      </c>
      <c r="B1252" s="10">
        <v>4518133</v>
      </c>
      <c r="C1252" s="10" t="s">
        <v>759</v>
      </c>
      <c r="D1252" s="10" t="s">
        <v>760</v>
      </c>
      <c r="E1252" s="10">
        <v>0</v>
      </c>
      <c r="F1252" s="10">
        <v>0</v>
      </c>
      <c r="G1252" s="10">
        <v>0</v>
      </c>
      <c r="H1252" s="10">
        <v>0</v>
      </c>
      <c r="I1252" s="10" t="s">
        <v>33</v>
      </c>
      <c r="J1252" s="10">
        <v>0</v>
      </c>
      <c r="K1252" s="10">
        <v>0</v>
      </c>
      <c r="L1252" s="10">
        <v>0</v>
      </c>
      <c r="M1252" s="10">
        <v>0</v>
      </c>
      <c r="N1252" s="10" t="s">
        <v>761</v>
      </c>
      <c r="O1252" s="10" t="s">
        <v>1627</v>
      </c>
      <c r="P1252" s="105" t="e">
        <f t="shared" si="19"/>
        <v>#DIV/0!</v>
      </c>
    </row>
    <row r="1253" spans="1:16">
      <c r="A1253" s="10" t="s">
        <v>635</v>
      </c>
      <c r="B1253" s="10">
        <v>4518211</v>
      </c>
      <c r="C1253" s="10" t="s">
        <v>759</v>
      </c>
      <c r="D1253" s="10" t="s">
        <v>760</v>
      </c>
      <c r="E1253" s="10">
        <v>0</v>
      </c>
      <c r="F1253" s="10">
        <v>0</v>
      </c>
      <c r="G1253" s="10">
        <v>0</v>
      </c>
      <c r="H1253" s="10">
        <v>0</v>
      </c>
      <c r="I1253" s="10" t="s">
        <v>37</v>
      </c>
      <c r="J1253" s="10">
        <v>0</v>
      </c>
      <c r="K1253" s="10">
        <v>0</v>
      </c>
      <c r="L1253" s="10">
        <v>0</v>
      </c>
      <c r="M1253" s="10">
        <v>0</v>
      </c>
      <c r="N1253" s="10" t="s">
        <v>761</v>
      </c>
      <c r="O1253" s="10" t="s">
        <v>1628</v>
      </c>
      <c r="P1253" s="105" t="e">
        <f t="shared" si="19"/>
        <v>#DIV/0!</v>
      </c>
    </row>
    <row r="1254" spans="1:16">
      <c r="A1254" s="10" t="s">
        <v>635</v>
      </c>
      <c r="B1254" s="10">
        <v>4518251</v>
      </c>
      <c r="C1254" s="10" t="s">
        <v>759</v>
      </c>
      <c r="D1254" s="10" t="s">
        <v>760</v>
      </c>
      <c r="E1254" s="10">
        <v>0</v>
      </c>
      <c r="F1254" s="10">
        <v>0</v>
      </c>
      <c r="G1254" s="10">
        <v>0</v>
      </c>
      <c r="H1254" s="10">
        <v>0</v>
      </c>
      <c r="I1254" s="10" t="s">
        <v>21</v>
      </c>
      <c r="J1254" s="10">
        <v>0</v>
      </c>
      <c r="K1254" s="10">
        <v>0</v>
      </c>
      <c r="L1254" s="10">
        <v>0</v>
      </c>
      <c r="M1254" s="10">
        <v>0</v>
      </c>
      <c r="N1254" s="10" t="s">
        <v>761</v>
      </c>
      <c r="O1254" s="10" t="s">
        <v>1629</v>
      </c>
      <c r="P1254" s="105" t="e">
        <f t="shared" si="19"/>
        <v>#DIV/0!</v>
      </c>
    </row>
    <row r="1255" spans="1:16">
      <c r="A1255" s="10" t="s">
        <v>635</v>
      </c>
      <c r="B1255" s="10">
        <v>4518288</v>
      </c>
      <c r="C1255" s="10" t="s">
        <v>759</v>
      </c>
      <c r="D1255" s="10" t="s">
        <v>760</v>
      </c>
      <c r="E1255" s="10">
        <v>4</v>
      </c>
      <c r="F1255" s="10">
        <v>276</v>
      </c>
      <c r="G1255" s="10">
        <v>0</v>
      </c>
      <c r="H1255" s="10">
        <v>280</v>
      </c>
      <c r="I1255" s="10" t="s">
        <v>520</v>
      </c>
      <c r="J1255" s="10">
        <v>18</v>
      </c>
      <c r="K1255" s="103">
        <v>1242</v>
      </c>
      <c r="L1255" s="10">
        <v>0</v>
      </c>
      <c r="M1255" s="103">
        <v>1260</v>
      </c>
      <c r="N1255" s="10" t="s">
        <v>761</v>
      </c>
      <c r="O1255" s="10" t="s">
        <v>518</v>
      </c>
      <c r="P1255" s="105">
        <f t="shared" si="19"/>
        <v>4.5</v>
      </c>
    </row>
    <row r="1256" spans="1:16">
      <c r="A1256" s="10" t="s">
        <v>635</v>
      </c>
      <c r="B1256" s="10">
        <v>4518307</v>
      </c>
      <c r="C1256" s="10" t="s">
        <v>759</v>
      </c>
      <c r="D1256" s="10" t="s">
        <v>760</v>
      </c>
      <c r="E1256" s="10">
        <v>9</v>
      </c>
      <c r="F1256" s="10">
        <v>12</v>
      </c>
      <c r="G1256" s="10">
        <v>0</v>
      </c>
      <c r="H1256" s="10">
        <v>21</v>
      </c>
      <c r="I1256" s="10" t="s">
        <v>30</v>
      </c>
      <c r="J1256" s="10">
        <v>114.72</v>
      </c>
      <c r="K1256" s="10">
        <v>157.91</v>
      </c>
      <c r="L1256" s="10">
        <v>0</v>
      </c>
      <c r="M1256" s="10">
        <v>272.63</v>
      </c>
      <c r="N1256" s="10" t="s">
        <v>761</v>
      </c>
      <c r="O1256" s="10" t="s">
        <v>248</v>
      </c>
      <c r="P1256" s="105">
        <f t="shared" si="19"/>
        <v>12.982380952381</v>
      </c>
    </row>
    <row r="1257" spans="1:16">
      <c r="A1257" s="10" t="s">
        <v>635</v>
      </c>
      <c r="B1257" s="10">
        <v>4518308</v>
      </c>
      <c r="C1257" s="10" t="s">
        <v>759</v>
      </c>
      <c r="D1257" s="10" t="s">
        <v>760</v>
      </c>
      <c r="E1257" s="10">
        <v>0</v>
      </c>
      <c r="F1257" s="10">
        <v>0</v>
      </c>
      <c r="G1257" s="10">
        <v>0</v>
      </c>
      <c r="H1257" s="10">
        <v>0</v>
      </c>
      <c r="I1257" s="10" t="s">
        <v>30</v>
      </c>
      <c r="J1257" s="10">
        <v>0</v>
      </c>
      <c r="K1257" s="10">
        <v>0</v>
      </c>
      <c r="L1257" s="10">
        <v>0</v>
      </c>
      <c r="M1257" s="10">
        <v>0</v>
      </c>
      <c r="N1257" s="10" t="s">
        <v>761</v>
      </c>
      <c r="O1257" s="10" t="s">
        <v>1630</v>
      </c>
      <c r="P1257" s="105" t="e">
        <f t="shared" si="19"/>
        <v>#DIV/0!</v>
      </c>
    </row>
    <row r="1258" spans="1:16">
      <c r="A1258" s="10" t="s">
        <v>635</v>
      </c>
      <c r="B1258" s="10">
        <v>4518309</v>
      </c>
      <c r="C1258" s="10" t="s">
        <v>759</v>
      </c>
      <c r="D1258" s="10" t="s">
        <v>760</v>
      </c>
      <c r="E1258" s="10">
        <v>0</v>
      </c>
      <c r="F1258" s="10">
        <v>0</v>
      </c>
      <c r="G1258" s="10">
        <v>0</v>
      </c>
      <c r="H1258" s="10">
        <v>0</v>
      </c>
      <c r="I1258" s="10" t="s">
        <v>30</v>
      </c>
      <c r="J1258" s="10">
        <v>0</v>
      </c>
      <c r="K1258" s="10">
        <v>0</v>
      </c>
      <c r="L1258" s="10">
        <v>0</v>
      </c>
      <c r="M1258" s="10">
        <v>0</v>
      </c>
      <c r="N1258" s="10" t="s">
        <v>761</v>
      </c>
      <c r="O1258" s="10" t="s">
        <v>1631</v>
      </c>
      <c r="P1258" s="105" t="e">
        <f t="shared" si="19"/>
        <v>#DIV/0!</v>
      </c>
    </row>
    <row r="1259" spans="1:16">
      <c r="A1259" s="10" t="s">
        <v>635</v>
      </c>
      <c r="B1259" s="10">
        <v>4518371</v>
      </c>
      <c r="C1259" s="10" t="s">
        <v>759</v>
      </c>
      <c r="D1259" s="10" t="s">
        <v>760</v>
      </c>
      <c r="E1259" s="10">
        <v>0</v>
      </c>
      <c r="F1259" s="10">
        <v>0</v>
      </c>
      <c r="G1259" s="10">
        <v>0</v>
      </c>
      <c r="H1259" s="10">
        <v>0</v>
      </c>
      <c r="I1259" s="10" t="s">
        <v>74</v>
      </c>
      <c r="J1259" s="10">
        <v>0</v>
      </c>
      <c r="K1259" s="10">
        <v>0</v>
      </c>
      <c r="L1259" s="10">
        <v>0</v>
      </c>
      <c r="M1259" s="10">
        <v>0</v>
      </c>
      <c r="N1259" s="10" t="s">
        <v>761</v>
      </c>
      <c r="O1259" s="10" t="s">
        <v>1632</v>
      </c>
      <c r="P1259" s="105" t="e">
        <f t="shared" si="19"/>
        <v>#DIV/0!</v>
      </c>
    </row>
    <row r="1260" spans="1:16">
      <c r="A1260" s="10" t="s">
        <v>635</v>
      </c>
      <c r="B1260" s="10">
        <v>4518372</v>
      </c>
      <c r="C1260" s="10" t="s">
        <v>759</v>
      </c>
      <c r="D1260" s="10" t="s">
        <v>760</v>
      </c>
      <c r="E1260" s="10">
        <v>0</v>
      </c>
      <c r="F1260" s="10">
        <v>0</v>
      </c>
      <c r="G1260" s="10">
        <v>0</v>
      </c>
      <c r="H1260" s="10">
        <v>0</v>
      </c>
      <c r="I1260" s="10" t="s">
        <v>74</v>
      </c>
      <c r="J1260" s="10">
        <v>0</v>
      </c>
      <c r="K1260" s="10">
        <v>0</v>
      </c>
      <c r="L1260" s="10">
        <v>0</v>
      </c>
      <c r="M1260" s="10">
        <v>0</v>
      </c>
      <c r="N1260" s="10" t="s">
        <v>761</v>
      </c>
      <c r="O1260" s="10" t="s">
        <v>715</v>
      </c>
      <c r="P1260" s="105" t="e">
        <f t="shared" si="19"/>
        <v>#DIV/0!</v>
      </c>
    </row>
    <row r="1261" spans="1:16">
      <c r="A1261" s="10" t="s">
        <v>635</v>
      </c>
      <c r="B1261" s="10">
        <v>4518375</v>
      </c>
      <c r="C1261" s="10" t="s">
        <v>759</v>
      </c>
      <c r="D1261" s="10" t="s">
        <v>760</v>
      </c>
      <c r="E1261" s="10">
        <v>0</v>
      </c>
      <c r="F1261" s="10">
        <v>0</v>
      </c>
      <c r="G1261" s="10">
        <v>0</v>
      </c>
      <c r="H1261" s="10">
        <v>0</v>
      </c>
      <c r="I1261" s="10" t="s">
        <v>659</v>
      </c>
      <c r="J1261" s="10">
        <v>0</v>
      </c>
      <c r="K1261" s="10">
        <v>0</v>
      </c>
      <c r="L1261" s="10">
        <v>0</v>
      </c>
      <c r="M1261" s="10">
        <v>0</v>
      </c>
      <c r="N1261" s="10" t="s">
        <v>761</v>
      </c>
      <c r="O1261" s="10" t="s">
        <v>1633</v>
      </c>
      <c r="P1261" s="105" t="e">
        <f t="shared" si="19"/>
        <v>#DIV/0!</v>
      </c>
    </row>
    <row r="1262" spans="1:16">
      <c r="A1262" s="10" t="s">
        <v>635</v>
      </c>
      <c r="B1262" s="10">
        <v>4518422</v>
      </c>
      <c r="C1262" s="10" t="s">
        <v>759</v>
      </c>
      <c r="D1262" s="10" t="s">
        <v>760</v>
      </c>
      <c r="E1262" s="10">
        <v>0</v>
      </c>
      <c r="F1262" s="10">
        <v>0</v>
      </c>
      <c r="G1262" s="10">
        <v>0</v>
      </c>
      <c r="H1262" s="10">
        <v>0</v>
      </c>
      <c r="I1262" s="10" t="s">
        <v>74</v>
      </c>
      <c r="J1262" s="10">
        <v>0</v>
      </c>
      <c r="K1262" s="10">
        <v>0</v>
      </c>
      <c r="L1262" s="10">
        <v>0</v>
      </c>
      <c r="M1262" s="10">
        <v>0</v>
      </c>
      <c r="N1262" s="10" t="s">
        <v>761</v>
      </c>
      <c r="O1262" s="10" t="s">
        <v>1634</v>
      </c>
      <c r="P1262" s="105" t="e">
        <f t="shared" si="19"/>
        <v>#DIV/0!</v>
      </c>
    </row>
    <row r="1263" spans="1:16">
      <c r="A1263" s="10" t="s">
        <v>635</v>
      </c>
      <c r="B1263" s="10">
        <v>4518452</v>
      </c>
      <c r="C1263" s="10" t="s">
        <v>759</v>
      </c>
      <c r="D1263" s="10" t="s">
        <v>760</v>
      </c>
      <c r="E1263" s="10">
        <v>0</v>
      </c>
      <c r="F1263" s="10">
        <v>0</v>
      </c>
      <c r="G1263" s="10">
        <v>0</v>
      </c>
      <c r="H1263" s="10">
        <v>0</v>
      </c>
      <c r="I1263" s="10" t="s">
        <v>37</v>
      </c>
      <c r="J1263" s="10">
        <v>0</v>
      </c>
      <c r="K1263" s="10">
        <v>0</v>
      </c>
      <c r="L1263" s="10">
        <v>0</v>
      </c>
      <c r="M1263" s="10">
        <v>0</v>
      </c>
      <c r="N1263" s="10" t="s">
        <v>761</v>
      </c>
      <c r="O1263" s="10" t="s">
        <v>1635</v>
      </c>
      <c r="P1263" s="105" t="e">
        <f t="shared" si="19"/>
        <v>#DIV/0!</v>
      </c>
    </row>
    <row r="1264" spans="1:16">
      <c r="A1264" s="10" t="s">
        <v>635</v>
      </c>
      <c r="B1264" s="10">
        <v>4518453</v>
      </c>
      <c r="C1264" s="10" t="s">
        <v>759</v>
      </c>
      <c r="D1264" s="10" t="s">
        <v>760</v>
      </c>
      <c r="E1264" s="10">
        <v>0</v>
      </c>
      <c r="F1264" s="10">
        <v>0</v>
      </c>
      <c r="G1264" s="10">
        <v>0</v>
      </c>
      <c r="H1264" s="10">
        <v>0</v>
      </c>
      <c r="I1264" s="10" t="s">
        <v>45</v>
      </c>
      <c r="J1264" s="10">
        <v>0</v>
      </c>
      <c r="K1264" s="10">
        <v>0</v>
      </c>
      <c r="L1264" s="10">
        <v>0</v>
      </c>
      <c r="M1264" s="10">
        <v>0</v>
      </c>
      <c r="N1264" s="10" t="s">
        <v>761</v>
      </c>
      <c r="O1264" s="10" t="s">
        <v>1636</v>
      </c>
      <c r="P1264" s="105" t="e">
        <f t="shared" si="19"/>
        <v>#DIV/0!</v>
      </c>
    </row>
    <row r="1265" spans="1:16">
      <c r="A1265" s="10" t="s">
        <v>635</v>
      </c>
      <c r="B1265" s="10">
        <v>4518488</v>
      </c>
      <c r="C1265" s="10" t="s">
        <v>759</v>
      </c>
      <c r="D1265" s="10" t="s">
        <v>760</v>
      </c>
      <c r="E1265" s="10">
        <v>10</v>
      </c>
      <c r="F1265" s="10">
        <v>60</v>
      </c>
      <c r="G1265" s="10">
        <v>0</v>
      </c>
      <c r="H1265" s="10">
        <v>70</v>
      </c>
      <c r="I1265" s="10" t="s">
        <v>74</v>
      </c>
      <c r="J1265" s="10">
        <v>60.35</v>
      </c>
      <c r="K1265" s="10">
        <v>362.61</v>
      </c>
      <c r="L1265" s="10">
        <v>0</v>
      </c>
      <c r="M1265" s="10">
        <v>422.96</v>
      </c>
      <c r="N1265" s="10" t="s">
        <v>761</v>
      </c>
      <c r="O1265" s="10" t="s">
        <v>337</v>
      </c>
      <c r="P1265" s="105">
        <f t="shared" si="19"/>
        <v>6.04228571428571</v>
      </c>
    </row>
    <row r="1266" spans="1:16">
      <c r="A1266" s="10" t="s">
        <v>635</v>
      </c>
      <c r="B1266" s="10">
        <v>4518668</v>
      </c>
      <c r="C1266" s="10" t="s">
        <v>759</v>
      </c>
      <c r="D1266" s="10" t="s">
        <v>760</v>
      </c>
      <c r="E1266" s="10">
        <v>156</v>
      </c>
      <c r="F1266" s="10">
        <v>540</v>
      </c>
      <c r="G1266" s="10">
        <v>0</v>
      </c>
      <c r="H1266" s="10">
        <v>696</v>
      </c>
      <c r="I1266" s="10" t="s">
        <v>33</v>
      </c>
      <c r="J1266" s="10">
        <v>483.63</v>
      </c>
      <c r="K1266" s="103">
        <v>1620.27</v>
      </c>
      <c r="L1266" s="10">
        <v>0</v>
      </c>
      <c r="M1266" s="103">
        <v>2103.9</v>
      </c>
      <c r="N1266" s="10" t="s">
        <v>761</v>
      </c>
      <c r="O1266" s="10" t="s">
        <v>155</v>
      </c>
      <c r="P1266" s="105">
        <f t="shared" si="19"/>
        <v>3.02284482758621</v>
      </c>
    </row>
    <row r="1267" spans="1:16">
      <c r="A1267" s="10" t="s">
        <v>635</v>
      </c>
      <c r="B1267" s="10">
        <v>4518751</v>
      </c>
      <c r="C1267" s="10" t="s">
        <v>759</v>
      </c>
      <c r="D1267" s="10" t="s">
        <v>760</v>
      </c>
      <c r="E1267" s="10">
        <v>0</v>
      </c>
      <c r="F1267" s="10">
        <v>0</v>
      </c>
      <c r="G1267" s="10">
        <v>0</v>
      </c>
      <c r="H1267" s="10">
        <v>0</v>
      </c>
      <c r="I1267" s="10" t="s">
        <v>74</v>
      </c>
      <c r="J1267" s="10">
        <v>0</v>
      </c>
      <c r="K1267" s="10">
        <v>0</v>
      </c>
      <c r="L1267" s="10">
        <v>0</v>
      </c>
      <c r="M1267" s="10">
        <v>0</v>
      </c>
      <c r="N1267" s="10" t="s">
        <v>761</v>
      </c>
      <c r="O1267" s="10" t="s">
        <v>1637</v>
      </c>
      <c r="P1267" s="105" t="e">
        <f t="shared" si="19"/>
        <v>#DIV/0!</v>
      </c>
    </row>
    <row r="1268" spans="1:16">
      <c r="A1268" s="10" t="s">
        <v>635</v>
      </c>
      <c r="B1268" s="10">
        <v>4518890</v>
      </c>
      <c r="C1268" s="10" t="s">
        <v>759</v>
      </c>
      <c r="D1268" s="10" t="s">
        <v>760</v>
      </c>
      <c r="E1268" s="10">
        <v>9</v>
      </c>
      <c r="F1268" s="10">
        <v>26</v>
      </c>
      <c r="G1268" s="10">
        <v>-32</v>
      </c>
      <c r="H1268" s="10">
        <v>3</v>
      </c>
      <c r="I1268" s="10" t="s">
        <v>56</v>
      </c>
      <c r="J1268" s="10">
        <v>270</v>
      </c>
      <c r="K1268" s="10">
        <v>780</v>
      </c>
      <c r="L1268" s="10">
        <v>-960</v>
      </c>
      <c r="M1268" s="10">
        <v>90</v>
      </c>
      <c r="N1268" s="10" t="s">
        <v>761</v>
      </c>
      <c r="O1268" s="10" t="s">
        <v>237</v>
      </c>
      <c r="P1268" s="105">
        <f t="shared" si="19"/>
        <v>30</v>
      </c>
    </row>
    <row r="1269" spans="1:16">
      <c r="A1269" s="10" t="s">
        <v>635</v>
      </c>
      <c r="B1269" s="10">
        <v>4518902</v>
      </c>
      <c r="C1269" s="10" t="s">
        <v>759</v>
      </c>
      <c r="D1269" s="10" t="s">
        <v>760</v>
      </c>
      <c r="E1269" s="10">
        <v>35</v>
      </c>
      <c r="F1269" s="10">
        <v>0</v>
      </c>
      <c r="G1269" s="10">
        <v>0</v>
      </c>
      <c r="H1269" s="10">
        <v>35</v>
      </c>
      <c r="I1269" s="10" t="s">
        <v>33</v>
      </c>
      <c r="J1269" s="10">
        <v>7.41</v>
      </c>
      <c r="K1269" s="10">
        <v>0</v>
      </c>
      <c r="L1269" s="10">
        <v>0</v>
      </c>
      <c r="M1269" s="10">
        <v>7.41</v>
      </c>
      <c r="N1269" s="10" t="s">
        <v>761</v>
      </c>
      <c r="O1269" s="10" t="s">
        <v>49</v>
      </c>
      <c r="P1269" s="105">
        <f t="shared" si="19"/>
        <v>0.211714285714286</v>
      </c>
    </row>
    <row r="1270" spans="1:16">
      <c r="A1270" s="10" t="s">
        <v>635</v>
      </c>
      <c r="B1270" s="10">
        <v>4518904</v>
      </c>
      <c r="C1270" s="10" t="s">
        <v>759</v>
      </c>
      <c r="D1270" s="10" t="s">
        <v>760</v>
      </c>
      <c r="E1270" s="10">
        <v>120</v>
      </c>
      <c r="F1270" s="10">
        <v>220</v>
      </c>
      <c r="G1270" s="10">
        <v>0</v>
      </c>
      <c r="H1270" s="10">
        <v>340</v>
      </c>
      <c r="I1270" s="10" t="s">
        <v>37</v>
      </c>
      <c r="J1270" s="10">
        <v>185.33</v>
      </c>
      <c r="K1270" s="10">
        <v>440</v>
      </c>
      <c r="L1270" s="10">
        <v>0</v>
      </c>
      <c r="M1270" s="10">
        <v>625.33</v>
      </c>
      <c r="N1270" s="10" t="s">
        <v>761</v>
      </c>
      <c r="O1270" s="10" t="s">
        <v>188</v>
      </c>
      <c r="P1270" s="105">
        <f t="shared" si="19"/>
        <v>1.83920588235294</v>
      </c>
    </row>
    <row r="1271" spans="1:16">
      <c r="A1271" s="10" t="s">
        <v>635</v>
      </c>
      <c r="B1271" s="10">
        <v>4518928</v>
      </c>
      <c r="C1271" s="10" t="s">
        <v>759</v>
      </c>
      <c r="D1271" s="10" t="s">
        <v>760</v>
      </c>
      <c r="E1271" s="10">
        <v>0</v>
      </c>
      <c r="F1271" s="10">
        <v>0</v>
      </c>
      <c r="G1271" s="10">
        <v>0</v>
      </c>
      <c r="H1271" s="10">
        <v>0</v>
      </c>
      <c r="I1271" s="10" t="s">
        <v>408</v>
      </c>
      <c r="J1271" s="10">
        <v>0</v>
      </c>
      <c r="K1271" s="10">
        <v>0</v>
      </c>
      <c r="L1271" s="10">
        <v>0</v>
      </c>
      <c r="M1271" s="10">
        <v>0</v>
      </c>
      <c r="N1271" s="10" t="s">
        <v>761</v>
      </c>
      <c r="O1271" s="10" t="s">
        <v>1638</v>
      </c>
      <c r="P1271" s="105" t="e">
        <f t="shared" si="19"/>
        <v>#DIV/0!</v>
      </c>
    </row>
    <row r="1272" spans="1:16">
      <c r="A1272" s="10" t="s">
        <v>635</v>
      </c>
      <c r="B1272" s="10">
        <v>4518943</v>
      </c>
      <c r="C1272" s="10" t="s">
        <v>759</v>
      </c>
      <c r="D1272" s="10" t="s">
        <v>760</v>
      </c>
      <c r="E1272" s="10">
        <v>0</v>
      </c>
      <c r="F1272" s="10">
        <v>0</v>
      </c>
      <c r="G1272" s="10">
        <v>0</v>
      </c>
      <c r="H1272" s="10">
        <v>0</v>
      </c>
      <c r="I1272" s="10" t="s">
        <v>21</v>
      </c>
      <c r="J1272" s="10">
        <v>0</v>
      </c>
      <c r="K1272" s="10">
        <v>0</v>
      </c>
      <c r="L1272" s="10">
        <v>0</v>
      </c>
      <c r="M1272" s="10">
        <v>0</v>
      </c>
      <c r="N1272" s="10" t="s">
        <v>761</v>
      </c>
      <c r="O1272" s="10" t="s">
        <v>1639</v>
      </c>
      <c r="P1272" s="105" t="e">
        <f t="shared" si="19"/>
        <v>#DIV/0!</v>
      </c>
    </row>
    <row r="1273" spans="1:16">
      <c r="A1273" s="10" t="s">
        <v>635</v>
      </c>
      <c r="B1273" s="10">
        <v>4519171</v>
      </c>
      <c r="C1273" s="10" t="s">
        <v>759</v>
      </c>
      <c r="D1273" s="10" t="s">
        <v>760</v>
      </c>
      <c r="E1273" s="10">
        <v>0</v>
      </c>
      <c r="F1273" s="10">
        <v>13.6</v>
      </c>
      <c r="G1273" s="10">
        <v>0</v>
      </c>
      <c r="H1273" s="10">
        <v>13.6</v>
      </c>
      <c r="I1273" s="10" t="s">
        <v>74</v>
      </c>
      <c r="J1273" s="10">
        <v>0</v>
      </c>
      <c r="K1273" s="10">
        <v>170</v>
      </c>
      <c r="L1273" s="10">
        <v>0</v>
      </c>
      <c r="M1273" s="10">
        <v>170</v>
      </c>
      <c r="N1273" s="10" t="s">
        <v>761</v>
      </c>
      <c r="O1273" s="10" t="s">
        <v>191</v>
      </c>
      <c r="P1273" s="105">
        <f t="shared" si="19"/>
        <v>12.5</v>
      </c>
    </row>
    <row r="1274" spans="1:16">
      <c r="A1274" s="10" t="s">
        <v>635</v>
      </c>
      <c r="B1274" s="10">
        <v>4519172</v>
      </c>
      <c r="C1274" s="10" t="s">
        <v>759</v>
      </c>
      <c r="D1274" s="10" t="s">
        <v>760</v>
      </c>
      <c r="E1274" s="10">
        <v>0</v>
      </c>
      <c r="F1274" s="10">
        <v>0</v>
      </c>
      <c r="G1274" s="10">
        <v>0</v>
      </c>
      <c r="H1274" s="10">
        <v>0</v>
      </c>
      <c r="I1274" s="10" t="s">
        <v>146</v>
      </c>
      <c r="J1274" s="10">
        <v>0</v>
      </c>
      <c r="K1274" s="10">
        <v>0</v>
      </c>
      <c r="L1274" s="10">
        <v>0</v>
      </c>
      <c r="M1274" s="10">
        <v>0</v>
      </c>
      <c r="N1274" s="10" t="s">
        <v>761</v>
      </c>
      <c r="O1274" s="10" t="s">
        <v>1640</v>
      </c>
      <c r="P1274" s="105" t="e">
        <f t="shared" si="19"/>
        <v>#DIV/0!</v>
      </c>
    </row>
    <row r="1275" spans="1:16">
      <c r="A1275" s="10" t="s">
        <v>635</v>
      </c>
      <c r="B1275" s="10">
        <v>4519173</v>
      </c>
      <c r="C1275" s="10" t="s">
        <v>759</v>
      </c>
      <c r="D1275" s="10" t="s">
        <v>760</v>
      </c>
      <c r="E1275" s="10">
        <v>0</v>
      </c>
      <c r="F1275" s="10">
        <v>0</v>
      </c>
      <c r="G1275" s="10">
        <v>0</v>
      </c>
      <c r="H1275" s="10">
        <v>0</v>
      </c>
      <c r="I1275" s="10" t="s">
        <v>74</v>
      </c>
      <c r="J1275" s="10">
        <v>0</v>
      </c>
      <c r="K1275" s="10">
        <v>0</v>
      </c>
      <c r="L1275" s="10">
        <v>0</v>
      </c>
      <c r="M1275" s="10">
        <v>0</v>
      </c>
      <c r="N1275" s="10" t="s">
        <v>761</v>
      </c>
      <c r="O1275" s="10" t="s">
        <v>1641</v>
      </c>
      <c r="P1275" s="105" t="e">
        <f t="shared" si="19"/>
        <v>#DIV/0!</v>
      </c>
    </row>
    <row r="1276" spans="1:16">
      <c r="A1276" s="10" t="s">
        <v>635</v>
      </c>
      <c r="B1276" s="10">
        <v>4519180</v>
      </c>
      <c r="C1276" s="10" t="s">
        <v>759</v>
      </c>
      <c r="D1276" s="10" t="s">
        <v>760</v>
      </c>
      <c r="E1276" s="10">
        <v>0</v>
      </c>
      <c r="F1276" s="10">
        <v>0</v>
      </c>
      <c r="G1276" s="10">
        <v>0</v>
      </c>
      <c r="H1276" s="10">
        <v>0</v>
      </c>
      <c r="I1276" s="10" t="s">
        <v>74</v>
      </c>
      <c r="J1276" s="10">
        <v>0</v>
      </c>
      <c r="K1276" s="10">
        <v>0</v>
      </c>
      <c r="L1276" s="10">
        <v>0</v>
      </c>
      <c r="M1276" s="10">
        <v>0</v>
      </c>
      <c r="N1276" s="10" t="s">
        <v>761</v>
      </c>
      <c r="O1276" s="10" t="s">
        <v>1642</v>
      </c>
      <c r="P1276" s="105" t="e">
        <f t="shared" si="19"/>
        <v>#DIV/0!</v>
      </c>
    </row>
    <row r="1277" spans="1:16">
      <c r="A1277" s="10" t="s">
        <v>635</v>
      </c>
      <c r="B1277" s="10">
        <v>4519182</v>
      </c>
      <c r="C1277" s="10" t="s">
        <v>759</v>
      </c>
      <c r="D1277" s="10" t="s">
        <v>760</v>
      </c>
      <c r="E1277" s="10">
        <v>0</v>
      </c>
      <c r="F1277" s="10">
        <v>0</v>
      </c>
      <c r="G1277" s="10">
        <v>0</v>
      </c>
      <c r="H1277" s="10">
        <v>0</v>
      </c>
      <c r="I1277" s="10" t="s">
        <v>74</v>
      </c>
      <c r="J1277" s="10">
        <v>0</v>
      </c>
      <c r="K1277" s="10">
        <v>0</v>
      </c>
      <c r="L1277" s="10">
        <v>0</v>
      </c>
      <c r="M1277" s="10">
        <v>0</v>
      </c>
      <c r="N1277" s="10" t="s">
        <v>761</v>
      </c>
      <c r="O1277" s="10" t="s">
        <v>1643</v>
      </c>
      <c r="P1277" s="105" t="e">
        <f t="shared" si="19"/>
        <v>#DIV/0!</v>
      </c>
    </row>
    <row r="1278" spans="1:16">
      <c r="A1278" s="10" t="s">
        <v>635</v>
      </c>
      <c r="B1278" s="10">
        <v>4519183</v>
      </c>
      <c r="C1278" s="10" t="s">
        <v>759</v>
      </c>
      <c r="D1278" s="10" t="s">
        <v>760</v>
      </c>
      <c r="E1278" s="10">
        <v>0</v>
      </c>
      <c r="F1278" s="10">
        <v>0</v>
      </c>
      <c r="G1278" s="10">
        <v>0</v>
      </c>
      <c r="H1278" s="10">
        <v>0</v>
      </c>
      <c r="I1278" s="10" t="s">
        <v>74</v>
      </c>
      <c r="J1278" s="10">
        <v>0</v>
      </c>
      <c r="K1278" s="10">
        <v>0</v>
      </c>
      <c r="L1278" s="10">
        <v>0</v>
      </c>
      <c r="M1278" s="10">
        <v>0</v>
      </c>
      <c r="N1278" s="10" t="s">
        <v>761</v>
      </c>
      <c r="O1278" s="10" t="s">
        <v>716</v>
      </c>
      <c r="P1278" s="105" t="e">
        <f t="shared" si="19"/>
        <v>#DIV/0!</v>
      </c>
    </row>
    <row r="1279" spans="1:16">
      <c r="A1279" s="10" t="s">
        <v>635</v>
      </c>
      <c r="B1279" s="10">
        <v>4519184</v>
      </c>
      <c r="C1279" s="10" t="s">
        <v>759</v>
      </c>
      <c r="D1279" s="10" t="s">
        <v>760</v>
      </c>
      <c r="E1279" s="10">
        <v>0</v>
      </c>
      <c r="F1279" s="10">
        <v>0</v>
      </c>
      <c r="G1279" s="10">
        <v>0</v>
      </c>
      <c r="H1279" s="10">
        <v>0</v>
      </c>
      <c r="I1279" s="10" t="s">
        <v>74</v>
      </c>
      <c r="J1279" s="10">
        <v>0</v>
      </c>
      <c r="K1279" s="10">
        <v>0</v>
      </c>
      <c r="L1279" s="10">
        <v>0</v>
      </c>
      <c r="M1279" s="10">
        <v>0</v>
      </c>
      <c r="N1279" s="10" t="s">
        <v>761</v>
      </c>
      <c r="O1279" s="10" t="s">
        <v>1644</v>
      </c>
      <c r="P1279" s="105" t="e">
        <f t="shared" si="19"/>
        <v>#DIV/0!</v>
      </c>
    </row>
    <row r="1280" spans="1:16">
      <c r="A1280" s="10" t="s">
        <v>635</v>
      </c>
      <c r="B1280" s="10">
        <v>4519224</v>
      </c>
      <c r="C1280" s="10" t="s">
        <v>759</v>
      </c>
      <c r="D1280" s="10" t="s">
        <v>760</v>
      </c>
      <c r="E1280" s="10">
        <v>0</v>
      </c>
      <c r="F1280" s="10">
        <v>4</v>
      </c>
      <c r="G1280" s="10">
        <v>0</v>
      </c>
      <c r="H1280" s="10">
        <v>4</v>
      </c>
      <c r="I1280" s="10" t="s">
        <v>37</v>
      </c>
      <c r="J1280" s="10">
        <v>0</v>
      </c>
      <c r="K1280" s="10">
        <v>34</v>
      </c>
      <c r="L1280" s="10">
        <v>0</v>
      </c>
      <c r="M1280" s="10">
        <v>34</v>
      </c>
      <c r="N1280" s="10" t="s">
        <v>761</v>
      </c>
      <c r="O1280" s="10" t="s">
        <v>318</v>
      </c>
      <c r="P1280" s="105">
        <f t="shared" si="19"/>
        <v>8.5</v>
      </c>
    </row>
    <row r="1281" spans="1:16">
      <c r="A1281" s="10" t="s">
        <v>635</v>
      </c>
      <c r="B1281" s="10">
        <v>4519245</v>
      </c>
      <c r="C1281" s="10" t="s">
        <v>759</v>
      </c>
      <c r="D1281" s="10" t="s">
        <v>760</v>
      </c>
      <c r="E1281" s="10">
        <v>0</v>
      </c>
      <c r="F1281" s="10">
        <v>0</v>
      </c>
      <c r="G1281" s="10">
        <v>0</v>
      </c>
      <c r="H1281" s="10">
        <v>0</v>
      </c>
      <c r="I1281" s="10" t="s">
        <v>151</v>
      </c>
      <c r="J1281" s="10">
        <v>0</v>
      </c>
      <c r="K1281" s="10">
        <v>0</v>
      </c>
      <c r="L1281" s="10">
        <v>0</v>
      </c>
      <c r="M1281" s="10">
        <v>0</v>
      </c>
      <c r="N1281" s="10" t="s">
        <v>761</v>
      </c>
      <c r="O1281" s="10" t="s">
        <v>1645</v>
      </c>
      <c r="P1281" s="105" t="e">
        <f t="shared" si="19"/>
        <v>#DIV/0!</v>
      </c>
    </row>
    <row r="1282" spans="1:16">
      <c r="A1282" s="10" t="s">
        <v>635</v>
      </c>
      <c r="B1282" s="10">
        <v>4519341</v>
      </c>
      <c r="C1282" s="10" t="s">
        <v>759</v>
      </c>
      <c r="D1282" s="10" t="s">
        <v>760</v>
      </c>
      <c r="E1282" s="10">
        <v>0</v>
      </c>
      <c r="F1282" s="10">
        <v>115</v>
      </c>
      <c r="G1282" s="10">
        <v>-115</v>
      </c>
      <c r="H1282" s="10">
        <v>0</v>
      </c>
      <c r="I1282" s="10" t="s">
        <v>408</v>
      </c>
      <c r="J1282" s="10">
        <v>0</v>
      </c>
      <c r="K1282" s="10">
        <v>70</v>
      </c>
      <c r="L1282" s="10">
        <v>-70</v>
      </c>
      <c r="M1282" s="10">
        <v>0</v>
      </c>
      <c r="N1282" s="10" t="s">
        <v>761</v>
      </c>
      <c r="O1282" s="10" t="s">
        <v>717</v>
      </c>
      <c r="P1282" s="105" t="e">
        <f t="shared" si="19"/>
        <v>#DIV/0!</v>
      </c>
    </row>
    <row r="1283" spans="1:16">
      <c r="A1283" s="10" t="s">
        <v>635</v>
      </c>
      <c r="B1283" s="10">
        <v>4519346</v>
      </c>
      <c r="C1283" s="10" t="s">
        <v>759</v>
      </c>
      <c r="D1283" s="10" t="s">
        <v>760</v>
      </c>
      <c r="E1283" s="10">
        <v>0</v>
      </c>
      <c r="F1283" s="10">
        <v>0</v>
      </c>
      <c r="G1283" s="10">
        <v>0</v>
      </c>
      <c r="H1283" s="10">
        <v>0</v>
      </c>
      <c r="I1283" s="10" t="s">
        <v>74</v>
      </c>
      <c r="J1283" s="10">
        <v>0</v>
      </c>
      <c r="K1283" s="10">
        <v>0</v>
      </c>
      <c r="L1283" s="10">
        <v>0</v>
      </c>
      <c r="M1283" s="10">
        <v>0</v>
      </c>
      <c r="N1283" s="10" t="s">
        <v>761</v>
      </c>
      <c r="O1283" s="10" t="s">
        <v>1646</v>
      </c>
      <c r="P1283" s="105" t="e">
        <f t="shared" ref="P1283:P1346" si="20">M1283/H1283</f>
        <v>#DIV/0!</v>
      </c>
    </row>
    <row r="1284" spans="1:16">
      <c r="A1284" s="10" t="s">
        <v>635</v>
      </c>
      <c r="B1284" s="10">
        <v>4519465</v>
      </c>
      <c r="C1284" s="10" t="s">
        <v>759</v>
      </c>
      <c r="D1284" s="10" t="s">
        <v>760</v>
      </c>
      <c r="E1284" s="10">
        <v>0</v>
      </c>
      <c r="F1284" s="10">
        <v>0</v>
      </c>
      <c r="G1284" s="10">
        <v>0</v>
      </c>
      <c r="H1284" s="10">
        <v>0</v>
      </c>
      <c r="I1284" s="10" t="s">
        <v>37</v>
      </c>
      <c r="J1284" s="10">
        <v>0</v>
      </c>
      <c r="K1284" s="10">
        <v>0</v>
      </c>
      <c r="L1284" s="10">
        <v>0</v>
      </c>
      <c r="M1284" s="10">
        <v>0</v>
      </c>
      <c r="N1284" s="10" t="s">
        <v>761</v>
      </c>
      <c r="O1284" s="10" t="s">
        <v>1647</v>
      </c>
      <c r="P1284" s="105" t="e">
        <f t="shared" si="20"/>
        <v>#DIV/0!</v>
      </c>
    </row>
    <row r="1285" spans="1:16">
      <c r="A1285" s="10" t="s">
        <v>635</v>
      </c>
      <c r="B1285" s="10">
        <v>4519466</v>
      </c>
      <c r="C1285" s="10" t="s">
        <v>759</v>
      </c>
      <c r="D1285" s="10" t="s">
        <v>760</v>
      </c>
      <c r="E1285" s="10">
        <v>0</v>
      </c>
      <c r="F1285" s="10">
        <v>0</v>
      </c>
      <c r="G1285" s="10">
        <v>0</v>
      </c>
      <c r="H1285" s="10">
        <v>0</v>
      </c>
      <c r="I1285" s="10" t="s">
        <v>33</v>
      </c>
      <c r="J1285" s="10">
        <v>0</v>
      </c>
      <c r="K1285" s="10">
        <v>0</v>
      </c>
      <c r="L1285" s="10">
        <v>0</v>
      </c>
      <c r="M1285" s="10">
        <v>0</v>
      </c>
      <c r="N1285" s="10" t="s">
        <v>761</v>
      </c>
      <c r="O1285" s="10" t="s">
        <v>1648</v>
      </c>
      <c r="P1285" s="105" t="e">
        <f t="shared" si="20"/>
        <v>#DIV/0!</v>
      </c>
    </row>
    <row r="1286" spans="1:16">
      <c r="A1286" s="10" t="s">
        <v>635</v>
      </c>
      <c r="B1286" s="10">
        <v>4519828</v>
      </c>
      <c r="C1286" s="10" t="s">
        <v>759</v>
      </c>
      <c r="D1286" s="10" t="s">
        <v>760</v>
      </c>
      <c r="E1286" s="10">
        <v>0</v>
      </c>
      <c r="F1286" s="10">
        <v>0</v>
      </c>
      <c r="G1286" s="10">
        <v>0</v>
      </c>
      <c r="H1286" s="10">
        <v>0</v>
      </c>
      <c r="I1286" s="10" t="s">
        <v>30</v>
      </c>
      <c r="J1286" s="10">
        <v>0</v>
      </c>
      <c r="K1286" s="10">
        <v>0</v>
      </c>
      <c r="L1286" s="10">
        <v>0</v>
      </c>
      <c r="M1286" s="10">
        <v>0</v>
      </c>
      <c r="N1286" s="10" t="s">
        <v>761</v>
      </c>
      <c r="O1286" s="10" t="s">
        <v>1649</v>
      </c>
      <c r="P1286" s="105" t="e">
        <f t="shared" si="20"/>
        <v>#DIV/0!</v>
      </c>
    </row>
    <row r="1287" spans="1:16">
      <c r="A1287" s="10" t="s">
        <v>635</v>
      </c>
      <c r="B1287" s="10">
        <v>4519833</v>
      </c>
      <c r="C1287" s="10" t="s">
        <v>759</v>
      </c>
      <c r="D1287" s="10" t="s">
        <v>760</v>
      </c>
      <c r="E1287" s="10">
        <v>0</v>
      </c>
      <c r="F1287" s="10">
        <v>0</v>
      </c>
      <c r="G1287" s="10">
        <v>0</v>
      </c>
      <c r="H1287" s="10">
        <v>0</v>
      </c>
      <c r="I1287" s="10" t="s">
        <v>33</v>
      </c>
      <c r="J1287" s="10">
        <v>0</v>
      </c>
      <c r="K1287" s="10">
        <v>0</v>
      </c>
      <c r="L1287" s="10">
        <v>0</v>
      </c>
      <c r="M1287" s="10">
        <v>0</v>
      </c>
      <c r="N1287" s="10" t="s">
        <v>761</v>
      </c>
      <c r="O1287" s="10" t="s">
        <v>1650</v>
      </c>
      <c r="P1287" s="105" t="e">
        <f t="shared" si="20"/>
        <v>#DIV/0!</v>
      </c>
    </row>
    <row r="1288" spans="1:16">
      <c r="A1288" s="10" t="s">
        <v>635</v>
      </c>
      <c r="B1288" s="10">
        <v>4519880</v>
      </c>
      <c r="C1288" s="10" t="s">
        <v>759</v>
      </c>
      <c r="D1288" s="10" t="s">
        <v>760</v>
      </c>
      <c r="E1288" s="10">
        <v>0</v>
      </c>
      <c r="F1288" s="10">
        <v>0</v>
      </c>
      <c r="G1288" s="10">
        <v>0</v>
      </c>
      <c r="H1288" s="10">
        <v>0</v>
      </c>
      <c r="I1288" s="10" t="s">
        <v>213</v>
      </c>
      <c r="J1288" s="10">
        <v>0</v>
      </c>
      <c r="K1288" s="10">
        <v>0</v>
      </c>
      <c r="L1288" s="10">
        <v>0</v>
      </c>
      <c r="M1288" s="10">
        <v>0</v>
      </c>
      <c r="N1288" s="10" t="s">
        <v>761</v>
      </c>
      <c r="O1288" s="10" t="s">
        <v>1651</v>
      </c>
      <c r="P1288" s="105" t="e">
        <f t="shared" si="20"/>
        <v>#DIV/0!</v>
      </c>
    </row>
    <row r="1289" spans="1:16">
      <c r="A1289" s="10" t="s">
        <v>635</v>
      </c>
      <c r="B1289" s="10">
        <v>4520222</v>
      </c>
      <c r="C1289" s="10" t="s">
        <v>759</v>
      </c>
      <c r="D1289" s="10" t="s">
        <v>760</v>
      </c>
      <c r="E1289" s="10">
        <v>28</v>
      </c>
      <c r="F1289" s="10">
        <v>0</v>
      </c>
      <c r="G1289" s="10">
        <v>0</v>
      </c>
      <c r="H1289" s="10">
        <v>28</v>
      </c>
      <c r="I1289" s="10" t="s">
        <v>33</v>
      </c>
      <c r="J1289" s="10">
        <v>50.17</v>
      </c>
      <c r="K1289" s="10">
        <v>0</v>
      </c>
      <c r="L1289" s="10">
        <v>0</v>
      </c>
      <c r="M1289" s="10">
        <v>50.17</v>
      </c>
      <c r="N1289" s="10" t="s">
        <v>761</v>
      </c>
      <c r="O1289" s="10" t="s">
        <v>415</v>
      </c>
      <c r="P1289" s="105">
        <f t="shared" si="20"/>
        <v>1.79178571428571</v>
      </c>
    </row>
    <row r="1290" spans="1:16">
      <c r="A1290" s="10" t="s">
        <v>635</v>
      </c>
      <c r="B1290" s="10">
        <v>4520336</v>
      </c>
      <c r="C1290" s="10" t="s">
        <v>759</v>
      </c>
      <c r="D1290" s="10" t="s">
        <v>760</v>
      </c>
      <c r="E1290" s="10">
        <v>0</v>
      </c>
      <c r="F1290" s="10">
        <v>0</v>
      </c>
      <c r="G1290" s="10">
        <v>0</v>
      </c>
      <c r="H1290" s="10">
        <v>0</v>
      </c>
      <c r="I1290" s="10" t="s">
        <v>33</v>
      </c>
      <c r="J1290" s="10">
        <v>0</v>
      </c>
      <c r="K1290" s="10">
        <v>0</v>
      </c>
      <c r="L1290" s="10">
        <v>0</v>
      </c>
      <c r="M1290" s="10">
        <v>0</v>
      </c>
      <c r="N1290" s="10" t="s">
        <v>761</v>
      </c>
      <c r="O1290" s="10" t="s">
        <v>1652</v>
      </c>
      <c r="P1290" s="105" t="e">
        <f t="shared" si="20"/>
        <v>#DIV/0!</v>
      </c>
    </row>
    <row r="1291" spans="1:16">
      <c r="A1291" s="10" t="s">
        <v>635</v>
      </c>
      <c r="B1291" s="10">
        <v>4520457</v>
      </c>
      <c r="C1291" s="10" t="s">
        <v>759</v>
      </c>
      <c r="D1291" s="10" t="s">
        <v>760</v>
      </c>
      <c r="E1291" s="10">
        <v>6</v>
      </c>
      <c r="F1291" s="10">
        <v>12</v>
      </c>
      <c r="G1291" s="10">
        <v>0</v>
      </c>
      <c r="H1291" s="10">
        <v>18</v>
      </c>
      <c r="I1291" s="10" t="s">
        <v>33</v>
      </c>
      <c r="J1291" s="10">
        <v>84</v>
      </c>
      <c r="K1291" s="10">
        <v>168</v>
      </c>
      <c r="L1291" s="10">
        <v>0</v>
      </c>
      <c r="M1291" s="10">
        <v>252</v>
      </c>
      <c r="N1291" s="10" t="s">
        <v>761</v>
      </c>
      <c r="O1291" s="10" t="s">
        <v>482</v>
      </c>
      <c r="P1291" s="105">
        <f t="shared" si="20"/>
        <v>14</v>
      </c>
    </row>
    <row r="1292" spans="1:16">
      <c r="A1292" s="10" t="s">
        <v>635</v>
      </c>
      <c r="B1292" s="10">
        <v>4520458</v>
      </c>
      <c r="C1292" s="10" t="s">
        <v>759</v>
      </c>
      <c r="D1292" s="10" t="s">
        <v>760</v>
      </c>
      <c r="E1292" s="10">
        <v>16</v>
      </c>
      <c r="F1292" s="10">
        <v>0</v>
      </c>
      <c r="G1292" s="10">
        <v>0</v>
      </c>
      <c r="H1292" s="10">
        <v>16</v>
      </c>
      <c r="I1292" s="10" t="s">
        <v>30</v>
      </c>
      <c r="J1292" s="10">
        <v>187.54</v>
      </c>
      <c r="K1292" s="10">
        <v>0</v>
      </c>
      <c r="L1292" s="10">
        <v>0</v>
      </c>
      <c r="M1292" s="10">
        <v>187.54</v>
      </c>
      <c r="N1292" s="10" t="s">
        <v>761</v>
      </c>
      <c r="O1292" s="10" t="s">
        <v>342</v>
      </c>
      <c r="P1292" s="105">
        <f t="shared" si="20"/>
        <v>11.72125</v>
      </c>
    </row>
    <row r="1293" spans="1:16">
      <c r="A1293" s="10" t="s">
        <v>635</v>
      </c>
      <c r="B1293" s="10">
        <v>4520557</v>
      </c>
      <c r="C1293" s="10" t="s">
        <v>759</v>
      </c>
      <c r="D1293" s="10" t="s">
        <v>760</v>
      </c>
      <c r="E1293" s="10">
        <v>0</v>
      </c>
      <c r="F1293" s="10">
        <v>0</v>
      </c>
      <c r="G1293" s="10">
        <v>0</v>
      </c>
      <c r="H1293" s="10">
        <v>0</v>
      </c>
      <c r="I1293" s="10" t="s">
        <v>74</v>
      </c>
      <c r="J1293" s="10">
        <v>0</v>
      </c>
      <c r="K1293" s="10">
        <v>0</v>
      </c>
      <c r="L1293" s="10">
        <v>0</v>
      </c>
      <c r="M1293" s="10">
        <v>0</v>
      </c>
      <c r="N1293" s="10" t="s">
        <v>761</v>
      </c>
      <c r="O1293" s="10" t="s">
        <v>1653</v>
      </c>
      <c r="P1293" s="105" t="e">
        <f t="shared" si="20"/>
        <v>#DIV/0!</v>
      </c>
    </row>
    <row r="1294" spans="1:16">
      <c r="A1294" s="10" t="s">
        <v>635</v>
      </c>
      <c r="B1294" s="10">
        <v>4520558</v>
      </c>
      <c r="C1294" s="10" t="s">
        <v>759</v>
      </c>
      <c r="D1294" s="10" t="s">
        <v>760</v>
      </c>
      <c r="E1294" s="10">
        <v>16</v>
      </c>
      <c r="F1294" s="10">
        <v>30</v>
      </c>
      <c r="G1294" s="10">
        <v>0</v>
      </c>
      <c r="H1294" s="10">
        <v>46</v>
      </c>
      <c r="I1294" s="10" t="s">
        <v>138</v>
      </c>
      <c r="J1294" s="10">
        <v>87.89</v>
      </c>
      <c r="K1294" s="10">
        <v>164.7</v>
      </c>
      <c r="L1294" s="10">
        <v>0</v>
      </c>
      <c r="M1294" s="10">
        <v>252.59</v>
      </c>
      <c r="N1294" s="10" t="s">
        <v>761</v>
      </c>
      <c r="O1294" s="10" t="s">
        <v>346</v>
      </c>
      <c r="P1294" s="105">
        <f t="shared" si="20"/>
        <v>5.49108695652174</v>
      </c>
    </row>
    <row r="1295" spans="1:16">
      <c r="A1295" s="10" t="s">
        <v>635</v>
      </c>
      <c r="B1295" s="10">
        <v>4520559</v>
      </c>
      <c r="C1295" s="10" t="s">
        <v>759</v>
      </c>
      <c r="D1295" s="10" t="s">
        <v>760</v>
      </c>
      <c r="E1295" s="10">
        <v>0</v>
      </c>
      <c r="F1295" s="10">
        <v>4.824</v>
      </c>
      <c r="G1295" s="10">
        <v>-4.824</v>
      </c>
      <c r="H1295" s="10">
        <v>0</v>
      </c>
      <c r="I1295" s="10" t="s">
        <v>74</v>
      </c>
      <c r="J1295" s="10">
        <v>0</v>
      </c>
      <c r="K1295" s="10">
        <v>58</v>
      </c>
      <c r="L1295" s="10">
        <v>-58</v>
      </c>
      <c r="M1295" s="10">
        <v>0</v>
      </c>
      <c r="N1295" s="10" t="s">
        <v>761</v>
      </c>
      <c r="O1295" s="10" t="s">
        <v>718</v>
      </c>
      <c r="P1295" s="105" t="e">
        <f t="shared" si="20"/>
        <v>#DIV/0!</v>
      </c>
    </row>
    <row r="1296" spans="1:16">
      <c r="A1296" s="10" t="s">
        <v>635</v>
      </c>
      <c r="B1296" s="10">
        <v>4520604</v>
      </c>
      <c r="C1296" s="10" t="s">
        <v>759</v>
      </c>
      <c r="D1296" s="10" t="s">
        <v>760</v>
      </c>
      <c r="E1296" s="10">
        <v>0</v>
      </c>
      <c r="F1296" s="10">
        <v>0</v>
      </c>
      <c r="G1296" s="10">
        <v>0</v>
      </c>
      <c r="H1296" s="10">
        <v>0</v>
      </c>
      <c r="I1296" s="10" t="s">
        <v>21</v>
      </c>
      <c r="J1296" s="10">
        <v>0</v>
      </c>
      <c r="K1296" s="10">
        <v>0</v>
      </c>
      <c r="L1296" s="10">
        <v>0</v>
      </c>
      <c r="M1296" s="10">
        <v>0</v>
      </c>
      <c r="N1296" s="10" t="s">
        <v>761</v>
      </c>
      <c r="O1296" s="10" t="s">
        <v>1654</v>
      </c>
      <c r="P1296" s="105" t="e">
        <f t="shared" si="20"/>
        <v>#DIV/0!</v>
      </c>
    </row>
    <row r="1297" spans="1:16">
      <c r="A1297" s="10" t="s">
        <v>635</v>
      </c>
      <c r="B1297" s="10">
        <v>4520629</v>
      </c>
      <c r="C1297" s="10" t="s">
        <v>759</v>
      </c>
      <c r="D1297" s="10" t="s">
        <v>760</v>
      </c>
      <c r="E1297" s="10">
        <v>0</v>
      </c>
      <c r="F1297" s="10">
        <v>0</v>
      </c>
      <c r="G1297" s="10">
        <v>0</v>
      </c>
      <c r="H1297" s="10">
        <v>0</v>
      </c>
      <c r="I1297" s="10" t="s">
        <v>74</v>
      </c>
      <c r="J1297" s="10">
        <v>0</v>
      </c>
      <c r="K1297" s="10">
        <v>0</v>
      </c>
      <c r="L1297" s="10">
        <v>0</v>
      </c>
      <c r="M1297" s="10">
        <v>0</v>
      </c>
      <c r="N1297" s="10" t="s">
        <v>761</v>
      </c>
      <c r="O1297" s="10" t="s">
        <v>1655</v>
      </c>
      <c r="P1297" s="105" t="e">
        <f t="shared" si="20"/>
        <v>#DIV/0!</v>
      </c>
    </row>
    <row r="1298" spans="1:16">
      <c r="A1298" s="10" t="s">
        <v>635</v>
      </c>
      <c r="B1298" s="10">
        <v>4520647</v>
      </c>
      <c r="C1298" s="10" t="s">
        <v>759</v>
      </c>
      <c r="D1298" s="10" t="s">
        <v>760</v>
      </c>
      <c r="E1298" s="10">
        <v>0</v>
      </c>
      <c r="F1298" s="10">
        <v>0</v>
      </c>
      <c r="G1298" s="10">
        <v>0</v>
      </c>
      <c r="H1298" s="10">
        <v>0</v>
      </c>
      <c r="I1298" s="10" t="s">
        <v>37</v>
      </c>
      <c r="J1298" s="10">
        <v>0</v>
      </c>
      <c r="K1298" s="10">
        <v>0</v>
      </c>
      <c r="L1298" s="10">
        <v>0</v>
      </c>
      <c r="M1298" s="10">
        <v>0</v>
      </c>
      <c r="N1298" s="10" t="s">
        <v>761</v>
      </c>
      <c r="O1298" s="10" t="s">
        <v>1656</v>
      </c>
      <c r="P1298" s="105" t="e">
        <f t="shared" si="20"/>
        <v>#DIV/0!</v>
      </c>
    </row>
    <row r="1299" spans="1:16">
      <c r="A1299" s="10" t="s">
        <v>635</v>
      </c>
      <c r="B1299" s="10">
        <v>4520817</v>
      </c>
      <c r="C1299" s="10" t="s">
        <v>759</v>
      </c>
      <c r="D1299" s="10" t="s">
        <v>760</v>
      </c>
      <c r="E1299" s="10">
        <v>0</v>
      </c>
      <c r="F1299" s="10">
        <v>0</v>
      </c>
      <c r="G1299" s="10">
        <v>0</v>
      </c>
      <c r="H1299" s="10">
        <v>0</v>
      </c>
      <c r="I1299" s="10" t="s">
        <v>33</v>
      </c>
      <c r="J1299" s="10">
        <v>0</v>
      </c>
      <c r="K1299" s="10">
        <v>0</v>
      </c>
      <c r="L1299" s="10">
        <v>0</v>
      </c>
      <c r="M1299" s="10">
        <v>0</v>
      </c>
      <c r="N1299" s="10" t="s">
        <v>761</v>
      </c>
      <c r="O1299" s="10" t="s">
        <v>1657</v>
      </c>
      <c r="P1299" s="105" t="e">
        <f t="shared" si="20"/>
        <v>#DIV/0!</v>
      </c>
    </row>
    <row r="1300" spans="1:16">
      <c r="A1300" s="10" t="s">
        <v>635</v>
      </c>
      <c r="B1300" s="10">
        <v>4520818</v>
      </c>
      <c r="C1300" s="10" t="s">
        <v>759</v>
      </c>
      <c r="D1300" s="10" t="s">
        <v>760</v>
      </c>
      <c r="E1300" s="10">
        <v>0</v>
      </c>
      <c r="F1300" s="10">
        <v>0</v>
      </c>
      <c r="G1300" s="10">
        <v>0</v>
      </c>
      <c r="H1300" s="10">
        <v>0</v>
      </c>
      <c r="I1300" s="10" t="s">
        <v>30</v>
      </c>
      <c r="J1300" s="10">
        <v>0</v>
      </c>
      <c r="K1300" s="10">
        <v>0</v>
      </c>
      <c r="L1300" s="10">
        <v>0</v>
      </c>
      <c r="M1300" s="10">
        <v>0</v>
      </c>
      <c r="N1300" s="10" t="s">
        <v>761</v>
      </c>
      <c r="O1300" s="10" t="s">
        <v>1658</v>
      </c>
      <c r="P1300" s="105" t="e">
        <f t="shared" si="20"/>
        <v>#DIV/0!</v>
      </c>
    </row>
    <row r="1301" spans="1:16">
      <c r="A1301" s="10" t="s">
        <v>635</v>
      </c>
      <c r="B1301" s="10">
        <v>4520874</v>
      </c>
      <c r="C1301" s="10" t="s">
        <v>759</v>
      </c>
      <c r="D1301" s="10" t="s">
        <v>760</v>
      </c>
      <c r="E1301" s="10">
        <v>0</v>
      </c>
      <c r="F1301" s="10">
        <v>0</v>
      </c>
      <c r="G1301" s="10">
        <v>0</v>
      </c>
      <c r="H1301" s="10">
        <v>0</v>
      </c>
      <c r="I1301" s="10" t="s">
        <v>74</v>
      </c>
      <c r="J1301" s="10">
        <v>0</v>
      </c>
      <c r="K1301" s="10">
        <v>0</v>
      </c>
      <c r="L1301" s="10">
        <v>0</v>
      </c>
      <c r="M1301" s="10">
        <v>0</v>
      </c>
      <c r="N1301" s="10" t="s">
        <v>761</v>
      </c>
      <c r="O1301" s="10" t="s">
        <v>1659</v>
      </c>
      <c r="P1301" s="105" t="e">
        <f t="shared" si="20"/>
        <v>#DIV/0!</v>
      </c>
    </row>
    <row r="1302" spans="1:16">
      <c r="A1302" s="10" t="s">
        <v>635</v>
      </c>
      <c r="B1302" s="10">
        <v>4520893</v>
      </c>
      <c r="C1302" s="10" t="s">
        <v>759</v>
      </c>
      <c r="D1302" s="10" t="s">
        <v>760</v>
      </c>
      <c r="E1302" s="10">
        <v>0</v>
      </c>
      <c r="F1302" s="10">
        <v>0</v>
      </c>
      <c r="G1302" s="10">
        <v>0</v>
      </c>
      <c r="H1302" s="10">
        <v>0</v>
      </c>
      <c r="I1302" s="10" t="s">
        <v>74</v>
      </c>
      <c r="J1302" s="10">
        <v>0</v>
      </c>
      <c r="K1302" s="10">
        <v>0</v>
      </c>
      <c r="L1302" s="10">
        <v>0</v>
      </c>
      <c r="M1302" s="10">
        <v>0</v>
      </c>
      <c r="N1302" s="10" t="s">
        <v>761</v>
      </c>
      <c r="O1302" s="10" t="s">
        <v>720</v>
      </c>
      <c r="P1302" s="105" t="e">
        <f t="shared" si="20"/>
        <v>#DIV/0!</v>
      </c>
    </row>
    <row r="1303" spans="1:16">
      <c r="A1303" s="10" t="s">
        <v>635</v>
      </c>
      <c r="B1303" s="10">
        <v>4520920</v>
      </c>
      <c r="C1303" s="10" t="s">
        <v>759</v>
      </c>
      <c r="D1303" s="10" t="s">
        <v>760</v>
      </c>
      <c r="E1303" s="10">
        <v>5.6</v>
      </c>
      <c r="F1303" s="10">
        <v>0</v>
      </c>
      <c r="G1303" s="10">
        <v>0</v>
      </c>
      <c r="H1303" s="10">
        <v>5.6</v>
      </c>
      <c r="I1303" s="10" t="s">
        <v>33</v>
      </c>
      <c r="J1303" s="10">
        <v>152.9</v>
      </c>
      <c r="K1303" s="10">
        <v>0</v>
      </c>
      <c r="L1303" s="10">
        <v>0</v>
      </c>
      <c r="M1303" s="10">
        <v>152.9</v>
      </c>
      <c r="N1303" s="10" t="s">
        <v>761</v>
      </c>
      <c r="O1303" s="10" t="s">
        <v>615</v>
      </c>
      <c r="P1303" s="105">
        <f t="shared" si="20"/>
        <v>27.3035714285714</v>
      </c>
    </row>
    <row r="1304" spans="1:16">
      <c r="A1304" s="10" t="s">
        <v>635</v>
      </c>
      <c r="B1304" s="10">
        <v>4520928</v>
      </c>
      <c r="C1304" s="10" t="s">
        <v>759</v>
      </c>
      <c r="D1304" s="10" t="s">
        <v>760</v>
      </c>
      <c r="E1304" s="10">
        <v>30</v>
      </c>
      <c r="F1304" s="10">
        <v>90</v>
      </c>
      <c r="G1304" s="10">
        <v>0</v>
      </c>
      <c r="H1304" s="10">
        <v>120</v>
      </c>
      <c r="I1304" s="10" t="s">
        <v>74</v>
      </c>
      <c r="J1304" s="10">
        <v>234</v>
      </c>
      <c r="K1304" s="10">
        <v>702</v>
      </c>
      <c r="L1304" s="10">
        <v>0</v>
      </c>
      <c r="M1304" s="10">
        <v>936</v>
      </c>
      <c r="N1304" s="10" t="s">
        <v>761</v>
      </c>
      <c r="O1304" s="10" t="s">
        <v>388</v>
      </c>
      <c r="P1304" s="105">
        <f t="shared" si="20"/>
        <v>7.8</v>
      </c>
    </row>
    <row r="1305" spans="1:16">
      <c r="A1305" s="10" t="s">
        <v>635</v>
      </c>
      <c r="B1305" s="10">
        <v>4521083</v>
      </c>
      <c r="C1305" s="10" t="s">
        <v>759</v>
      </c>
      <c r="D1305" s="10" t="s">
        <v>760</v>
      </c>
      <c r="E1305" s="10">
        <v>0</v>
      </c>
      <c r="F1305" s="10">
        <v>0</v>
      </c>
      <c r="G1305" s="10">
        <v>0</v>
      </c>
      <c r="H1305" s="10">
        <v>0</v>
      </c>
      <c r="I1305" s="10" t="s">
        <v>33</v>
      </c>
      <c r="J1305" s="10">
        <v>0</v>
      </c>
      <c r="K1305" s="10">
        <v>0</v>
      </c>
      <c r="L1305" s="10">
        <v>0</v>
      </c>
      <c r="M1305" s="10">
        <v>0</v>
      </c>
      <c r="N1305" s="10" t="s">
        <v>761</v>
      </c>
      <c r="O1305" s="10" t="s">
        <v>1660</v>
      </c>
      <c r="P1305" s="105" t="e">
        <f t="shared" si="20"/>
        <v>#DIV/0!</v>
      </c>
    </row>
    <row r="1306" spans="1:16">
      <c r="A1306" s="10" t="s">
        <v>635</v>
      </c>
      <c r="B1306" s="10">
        <v>4521238</v>
      </c>
      <c r="C1306" s="10" t="s">
        <v>759</v>
      </c>
      <c r="D1306" s="10" t="s">
        <v>760</v>
      </c>
      <c r="E1306" s="10">
        <v>18</v>
      </c>
      <c r="F1306" s="10">
        <v>0</v>
      </c>
      <c r="G1306" s="10">
        <v>0</v>
      </c>
      <c r="H1306" s="10">
        <v>18</v>
      </c>
      <c r="I1306" s="10" t="s">
        <v>45</v>
      </c>
      <c r="J1306" s="10">
        <v>135</v>
      </c>
      <c r="K1306" s="10">
        <v>0</v>
      </c>
      <c r="L1306" s="10">
        <v>0</v>
      </c>
      <c r="M1306" s="10">
        <v>135</v>
      </c>
      <c r="N1306" s="10" t="s">
        <v>761</v>
      </c>
      <c r="O1306" s="10" t="s">
        <v>225</v>
      </c>
      <c r="P1306" s="105">
        <f t="shared" si="20"/>
        <v>7.5</v>
      </c>
    </row>
    <row r="1307" spans="1:16">
      <c r="A1307" s="10" t="s">
        <v>635</v>
      </c>
      <c r="B1307" s="10">
        <v>4521246</v>
      </c>
      <c r="C1307" s="10" t="s">
        <v>759</v>
      </c>
      <c r="D1307" s="10" t="s">
        <v>760</v>
      </c>
      <c r="E1307" s="10">
        <v>1</v>
      </c>
      <c r="F1307" s="10">
        <v>0.8</v>
      </c>
      <c r="G1307" s="10">
        <v>0</v>
      </c>
      <c r="H1307" s="10">
        <v>1.8</v>
      </c>
      <c r="I1307" s="10" t="s">
        <v>74</v>
      </c>
      <c r="J1307" s="10">
        <v>47.37</v>
      </c>
      <c r="K1307" s="10">
        <v>37.9</v>
      </c>
      <c r="L1307" s="10">
        <v>0</v>
      </c>
      <c r="M1307" s="10">
        <v>85.27</v>
      </c>
      <c r="N1307" s="10" t="s">
        <v>761</v>
      </c>
      <c r="O1307" s="10" t="s">
        <v>460</v>
      </c>
      <c r="P1307" s="105">
        <f t="shared" si="20"/>
        <v>47.3722222222222</v>
      </c>
    </row>
    <row r="1308" spans="1:16">
      <c r="A1308" s="10" t="s">
        <v>635</v>
      </c>
      <c r="B1308" s="10">
        <v>4521260</v>
      </c>
      <c r="C1308" s="10" t="s">
        <v>759</v>
      </c>
      <c r="D1308" s="10" t="s">
        <v>760</v>
      </c>
      <c r="E1308" s="10">
        <v>7.56</v>
      </c>
      <c r="F1308" s="10">
        <v>15.12</v>
      </c>
      <c r="G1308" s="10">
        <v>0</v>
      </c>
      <c r="H1308" s="10">
        <v>22.68</v>
      </c>
      <c r="I1308" s="10" t="s">
        <v>45</v>
      </c>
      <c r="J1308" s="10">
        <v>74.68</v>
      </c>
      <c r="K1308" s="10">
        <v>142.94</v>
      </c>
      <c r="L1308" s="10">
        <v>0</v>
      </c>
      <c r="M1308" s="10">
        <v>217.62</v>
      </c>
      <c r="N1308" s="10" t="s">
        <v>761</v>
      </c>
      <c r="O1308" s="10" t="s">
        <v>43</v>
      </c>
      <c r="P1308" s="105">
        <f t="shared" si="20"/>
        <v>9.59523809523809</v>
      </c>
    </row>
    <row r="1309" spans="1:16">
      <c r="A1309" s="10" t="s">
        <v>635</v>
      </c>
      <c r="B1309" s="10">
        <v>4521715</v>
      </c>
      <c r="C1309" s="10" t="s">
        <v>759</v>
      </c>
      <c r="D1309" s="10" t="s">
        <v>760</v>
      </c>
      <c r="E1309" s="10">
        <v>0</v>
      </c>
      <c r="F1309" s="10">
        <v>0</v>
      </c>
      <c r="G1309" s="10">
        <v>0</v>
      </c>
      <c r="H1309" s="10">
        <v>0</v>
      </c>
      <c r="I1309" s="10" t="s">
        <v>74</v>
      </c>
      <c r="J1309" s="10">
        <v>0</v>
      </c>
      <c r="K1309" s="10">
        <v>0</v>
      </c>
      <c r="L1309" s="10">
        <v>0</v>
      </c>
      <c r="M1309" s="10">
        <v>0</v>
      </c>
      <c r="N1309" s="10" t="s">
        <v>761</v>
      </c>
      <c r="O1309" s="10" t="s">
        <v>1661</v>
      </c>
      <c r="P1309" s="105" t="e">
        <f t="shared" si="20"/>
        <v>#DIV/0!</v>
      </c>
    </row>
    <row r="1310" spans="1:16">
      <c r="A1310" s="10" t="s">
        <v>635</v>
      </c>
      <c r="B1310" s="10">
        <v>4521900</v>
      </c>
      <c r="C1310" s="10" t="s">
        <v>759</v>
      </c>
      <c r="D1310" s="10" t="s">
        <v>760</v>
      </c>
      <c r="E1310" s="10">
        <v>0</v>
      </c>
      <c r="F1310" s="10">
        <v>0</v>
      </c>
      <c r="G1310" s="10">
        <v>0</v>
      </c>
      <c r="H1310" s="10">
        <v>0</v>
      </c>
      <c r="I1310" s="10" t="s">
        <v>33</v>
      </c>
      <c r="J1310" s="10">
        <v>0</v>
      </c>
      <c r="K1310" s="10">
        <v>0</v>
      </c>
      <c r="L1310" s="10">
        <v>0</v>
      </c>
      <c r="M1310" s="10">
        <v>0</v>
      </c>
      <c r="N1310" s="10" t="s">
        <v>761</v>
      </c>
      <c r="O1310" s="10" t="s">
        <v>1662</v>
      </c>
      <c r="P1310" s="105" t="e">
        <f t="shared" si="20"/>
        <v>#DIV/0!</v>
      </c>
    </row>
    <row r="1311" spans="1:16">
      <c r="A1311" s="10" t="s">
        <v>635</v>
      </c>
      <c r="B1311" s="10">
        <v>4521902</v>
      </c>
      <c r="C1311" s="10" t="s">
        <v>759</v>
      </c>
      <c r="D1311" s="10" t="s">
        <v>760</v>
      </c>
      <c r="E1311" s="10">
        <v>0</v>
      </c>
      <c r="F1311" s="10">
        <v>0</v>
      </c>
      <c r="G1311" s="10">
        <v>0</v>
      </c>
      <c r="H1311" s="10">
        <v>0</v>
      </c>
      <c r="I1311" s="10" t="s">
        <v>74</v>
      </c>
      <c r="J1311" s="10">
        <v>0</v>
      </c>
      <c r="K1311" s="10">
        <v>0</v>
      </c>
      <c r="L1311" s="10">
        <v>0</v>
      </c>
      <c r="M1311" s="10">
        <v>0</v>
      </c>
      <c r="N1311" s="10" t="s">
        <v>761</v>
      </c>
      <c r="O1311" s="10" t="s">
        <v>1663</v>
      </c>
      <c r="P1311" s="105" t="e">
        <f t="shared" si="20"/>
        <v>#DIV/0!</v>
      </c>
    </row>
    <row r="1312" spans="1:16">
      <c r="A1312" s="10" t="s">
        <v>635</v>
      </c>
      <c r="B1312" s="10">
        <v>4522187</v>
      </c>
      <c r="C1312" s="10" t="s">
        <v>759</v>
      </c>
      <c r="D1312" s="10" t="s">
        <v>760</v>
      </c>
      <c r="E1312" s="10">
        <v>0</v>
      </c>
      <c r="F1312" s="10">
        <v>0</v>
      </c>
      <c r="G1312" s="10">
        <v>0</v>
      </c>
      <c r="H1312" s="10">
        <v>0</v>
      </c>
      <c r="I1312" s="10" t="s">
        <v>74</v>
      </c>
      <c r="J1312" s="10">
        <v>0</v>
      </c>
      <c r="K1312" s="10">
        <v>0</v>
      </c>
      <c r="L1312" s="10">
        <v>0</v>
      </c>
      <c r="M1312" s="10">
        <v>0</v>
      </c>
      <c r="N1312" s="10" t="s">
        <v>761</v>
      </c>
      <c r="O1312" s="10" t="s">
        <v>1664</v>
      </c>
      <c r="P1312" s="105" t="e">
        <f t="shared" si="20"/>
        <v>#DIV/0!</v>
      </c>
    </row>
    <row r="1313" spans="1:16">
      <c r="A1313" s="10" t="s">
        <v>635</v>
      </c>
      <c r="B1313" s="10">
        <v>4522226</v>
      </c>
      <c r="C1313" s="10" t="s">
        <v>759</v>
      </c>
      <c r="D1313" s="10" t="s">
        <v>760</v>
      </c>
      <c r="E1313" s="10">
        <v>10</v>
      </c>
      <c r="F1313" s="10">
        <v>12</v>
      </c>
      <c r="G1313" s="10">
        <v>0</v>
      </c>
      <c r="H1313" s="10">
        <v>22</v>
      </c>
      <c r="I1313" s="10" t="s">
        <v>138</v>
      </c>
      <c r="J1313" s="10">
        <v>32.25</v>
      </c>
      <c r="K1313" s="10">
        <v>35.88</v>
      </c>
      <c r="L1313" s="10">
        <v>0</v>
      </c>
      <c r="M1313" s="10">
        <v>68.13</v>
      </c>
      <c r="N1313" s="10" t="s">
        <v>761</v>
      </c>
      <c r="O1313" s="10" t="s">
        <v>490</v>
      </c>
      <c r="P1313" s="105">
        <f t="shared" si="20"/>
        <v>3.09681818181818</v>
      </c>
    </row>
    <row r="1314" spans="1:16">
      <c r="A1314" s="10" t="s">
        <v>635</v>
      </c>
      <c r="B1314" s="10">
        <v>4522236</v>
      </c>
      <c r="C1314" s="10" t="s">
        <v>759</v>
      </c>
      <c r="D1314" s="10" t="s">
        <v>760</v>
      </c>
      <c r="E1314" s="10">
        <v>0</v>
      </c>
      <c r="F1314" s="10">
        <v>0</v>
      </c>
      <c r="G1314" s="10">
        <v>0</v>
      </c>
      <c r="H1314" s="10">
        <v>0</v>
      </c>
      <c r="I1314" s="10" t="s">
        <v>74</v>
      </c>
      <c r="J1314" s="10">
        <v>0</v>
      </c>
      <c r="K1314" s="10">
        <v>0</v>
      </c>
      <c r="L1314" s="10">
        <v>0</v>
      </c>
      <c r="M1314" s="10">
        <v>0</v>
      </c>
      <c r="N1314" s="10" t="s">
        <v>761</v>
      </c>
      <c r="O1314" s="10" t="s">
        <v>1665</v>
      </c>
      <c r="P1314" s="105" t="e">
        <f t="shared" si="20"/>
        <v>#DIV/0!</v>
      </c>
    </row>
    <row r="1315" spans="1:16">
      <c r="A1315" s="10" t="s">
        <v>635</v>
      </c>
      <c r="B1315" s="10">
        <v>4522237</v>
      </c>
      <c r="C1315" s="10" t="s">
        <v>759</v>
      </c>
      <c r="D1315" s="10" t="s">
        <v>760</v>
      </c>
      <c r="E1315" s="10">
        <v>0</v>
      </c>
      <c r="F1315" s="10">
        <v>0</v>
      </c>
      <c r="G1315" s="10">
        <v>0</v>
      </c>
      <c r="H1315" s="10">
        <v>0</v>
      </c>
      <c r="I1315" s="10" t="s">
        <v>74</v>
      </c>
      <c r="J1315" s="10">
        <v>0</v>
      </c>
      <c r="K1315" s="10">
        <v>0</v>
      </c>
      <c r="L1315" s="10">
        <v>0</v>
      </c>
      <c r="M1315" s="10">
        <v>0</v>
      </c>
      <c r="N1315" s="10" t="s">
        <v>761</v>
      </c>
      <c r="O1315" s="10" t="s">
        <v>1666</v>
      </c>
      <c r="P1315" s="105" t="e">
        <f t="shared" si="20"/>
        <v>#DIV/0!</v>
      </c>
    </row>
    <row r="1316" spans="1:16">
      <c r="A1316" s="10" t="s">
        <v>635</v>
      </c>
      <c r="B1316" s="10">
        <v>4522238</v>
      </c>
      <c r="C1316" s="10" t="s">
        <v>759</v>
      </c>
      <c r="D1316" s="10" t="s">
        <v>760</v>
      </c>
      <c r="E1316" s="10">
        <v>0</v>
      </c>
      <c r="F1316" s="10">
        <v>0</v>
      </c>
      <c r="G1316" s="10">
        <v>0</v>
      </c>
      <c r="H1316" s="10">
        <v>0</v>
      </c>
      <c r="I1316" s="10" t="s">
        <v>74</v>
      </c>
      <c r="J1316" s="10">
        <v>0</v>
      </c>
      <c r="K1316" s="10">
        <v>0</v>
      </c>
      <c r="L1316" s="10">
        <v>0</v>
      </c>
      <c r="M1316" s="10">
        <v>0</v>
      </c>
      <c r="N1316" s="10" t="s">
        <v>761</v>
      </c>
      <c r="O1316" s="10" t="s">
        <v>1667</v>
      </c>
      <c r="P1316" s="105" t="e">
        <f t="shared" si="20"/>
        <v>#DIV/0!</v>
      </c>
    </row>
    <row r="1317" spans="1:16">
      <c r="A1317" s="10" t="s">
        <v>635</v>
      </c>
      <c r="B1317" s="10">
        <v>4522239</v>
      </c>
      <c r="C1317" s="10" t="s">
        <v>759</v>
      </c>
      <c r="D1317" s="10" t="s">
        <v>760</v>
      </c>
      <c r="E1317" s="10">
        <v>0</v>
      </c>
      <c r="F1317" s="10">
        <v>0</v>
      </c>
      <c r="G1317" s="10">
        <v>0</v>
      </c>
      <c r="H1317" s="10">
        <v>0</v>
      </c>
      <c r="I1317" s="10" t="s">
        <v>74</v>
      </c>
      <c r="J1317" s="10">
        <v>0</v>
      </c>
      <c r="K1317" s="10">
        <v>0</v>
      </c>
      <c r="L1317" s="10">
        <v>0</v>
      </c>
      <c r="M1317" s="10">
        <v>0</v>
      </c>
      <c r="N1317" s="10" t="s">
        <v>761</v>
      </c>
      <c r="O1317" s="10" t="s">
        <v>1668</v>
      </c>
      <c r="P1317" s="105" t="e">
        <f t="shared" si="20"/>
        <v>#DIV/0!</v>
      </c>
    </row>
    <row r="1318" spans="1:16">
      <c r="A1318" s="10" t="s">
        <v>635</v>
      </c>
      <c r="B1318" s="10">
        <v>4522240</v>
      </c>
      <c r="C1318" s="10" t="s">
        <v>759</v>
      </c>
      <c r="D1318" s="10" t="s">
        <v>760</v>
      </c>
      <c r="E1318" s="10">
        <v>0</v>
      </c>
      <c r="F1318" s="10">
        <v>0</v>
      </c>
      <c r="G1318" s="10">
        <v>0</v>
      </c>
      <c r="H1318" s="10">
        <v>0</v>
      </c>
      <c r="I1318" s="10" t="s">
        <v>74</v>
      </c>
      <c r="J1318" s="10">
        <v>0</v>
      </c>
      <c r="K1318" s="10">
        <v>0</v>
      </c>
      <c r="L1318" s="10">
        <v>0</v>
      </c>
      <c r="M1318" s="10">
        <v>0</v>
      </c>
      <c r="N1318" s="10" t="s">
        <v>761</v>
      </c>
      <c r="O1318" s="10" t="s">
        <v>1669</v>
      </c>
      <c r="P1318" s="105" t="e">
        <f t="shared" si="20"/>
        <v>#DIV/0!</v>
      </c>
    </row>
    <row r="1319" spans="1:16">
      <c r="A1319" s="10" t="s">
        <v>635</v>
      </c>
      <c r="B1319" s="10">
        <v>4522241</v>
      </c>
      <c r="C1319" s="10" t="s">
        <v>759</v>
      </c>
      <c r="D1319" s="10" t="s">
        <v>760</v>
      </c>
      <c r="E1319" s="10">
        <v>0</v>
      </c>
      <c r="F1319" s="10">
        <v>0</v>
      </c>
      <c r="G1319" s="10">
        <v>0</v>
      </c>
      <c r="H1319" s="10">
        <v>0</v>
      </c>
      <c r="I1319" s="10" t="s">
        <v>74</v>
      </c>
      <c r="J1319" s="10">
        <v>0</v>
      </c>
      <c r="K1319" s="10">
        <v>0</v>
      </c>
      <c r="L1319" s="10">
        <v>0</v>
      </c>
      <c r="M1319" s="10">
        <v>0</v>
      </c>
      <c r="N1319" s="10" t="s">
        <v>761</v>
      </c>
      <c r="O1319" s="10" t="s">
        <v>1670</v>
      </c>
      <c r="P1319" s="105" t="e">
        <f t="shared" si="20"/>
        <v>#DIV/0!</v>
      </c>
    </row>
    <row r="1320" spans="1:16">
      <c r="A1320" s="10" t="s">
        <v>635</v>
      </c>
      <c r="B1320" s="10">
        <v>4522242</v>
      </c>
      <c r="C1320" s="10" t="s">
        <v>759</v>
      </c>
      <c r="D1320" s="10" t="s">
        <v>760</v>
      </c>
      <c r="E1320" s="10">
        <v>0</v>
      </c>
      <c r="F1320" s="10">
        <v>0</v>
      </c>
      <c r="G1320" s="10">
        <v>0</v>
      </c>
      <c r="H1320" s="10">
        <v>0</v>
      </c>
      <c r="I1320" s="10" t="s">
        <v>74</v>
      </c>
      <c r="J1320" s="10">
        <v>0</v>
      </c>
      <c r="K1320" s="10">
        <v>0</v>
      </c>
      <c r="L1320" s="10">
        <v>0</v>
      </c>
      <c r="M1320" s="10">
        <v>0</v>
      </c>
      <c r="N1320" s="10" t="s">
        <v>761</v>
      </c>
      <c r="O1320" s="10" t="s">
        <v>1671</v>
      </c>
      <c r="P1320" s="105" t="e">
        <f t="shared" si="20"/>
        <v>#DIV/0!</v>
      </c>
    </row>
    <row r="1321" spans="1:16">
      <c r="A1321" s="10" t="s">
        <v>635</v>
      </c>
      <c r="B1321" s="10">
        <v>4522243</v>
      </c>
      <c r="C1321" s="10" t="s">
        <v>759</v>
      </c>
      <c r="D1321" s="10" t="s">
        <v>760</v>
      </c>
      <c r="E1321" s="10">
        <v>0</v>
      </c>
      <c r="F1321" s="10">
        <v>0</v>
      </c>
      <c r="G1321" s="10">
        <v>0</v>
      </c>
      <c r="H1321" s="10">
        <v>0</v>
      </c>
      <c r="I1321" s="10" t="s">
        <v>74</v>
      </c>
      <c r="J1321" s="10">
        <v>0</v>
      </c>
      <c r="K1321" s="10">
        <v>0</v>
      </c>
      <c r="L1321" s="10">
        <v>0</v>
      </c>
      <c r="M1321" s="10">
        <v>0</v>
      </c>
      <c r="N1321" s="10" t="s">
        <v>761</v>
      </c>
      <c r="O1321" s="10" t="s">
        <v>1672</v>
      </c>
      <c r="P1321" s="105" t="e">
        <f t="shared" si="20"/>
        <v>#DIV/0!</v>
      </c>
    </row>
    <row r="1322" spans="1:16">
      <c r="A1322" s="10" t="s">
        <v>635</v>
      </c>
      <c r="B1322" s="10">
        <v>4522277</v>
      </c>
      <c r="C1322" s="10" t="s">
        <v>759</v>
      </c>
      <c r="D1322" s="10" t="s">
        <v>760</v>
      </c>
      <c r="E1322" s="10">
        <v>0</v>
      </c>
      <c r="F1322" s="10">
        <v>0</v>
      </c>
      <c r="G1322" s="10">
        <v>0</v>
      </c>
      <c r="H1322" s="10">
        <v>0</v>
      </c>
      <c r="I1322" s="10" t="s">
        <v>74</v>
      </c>
      <c r="J1322" s="10">
        <v>0</v>
      </c>
      <c r="K1322" s="10">
        <v>0</v>
      </c>
      <c r="L1322" s="10">
        <v>0</v>
      </c>
      <c r="M1322" s="10">
        <v>0</v>
      </c>
      <c r="N1322" s="10" t="s">
        <v>761</v>
      </c>
      <c r="O1322" s="10" t="s">
        <v>722</v>
      </c>
      <c r="P1322" s="105" t="e">
        <f t="shared" si="20"/>
        <v>#DIV/0!</v>
      </c>
    </row>
    <row r="1323" spans="1:16">
      <c r="A1323" s="10" t="s">
        <v>635</v>
      </c>
      <c r="B1323" s="10">
        <v>4522444</v>
      </c>
      <c r="C1323" s="10" t="s">
        <v>759</v>
      </c>
      <c r="D1323" s="10" t="s">
        <v>760</v>
      </c>
      <c r="E1323" s="10">
        <v>8</v>
      </c>
      <c r="F1323" s="10">
        <v>96</v>
      </c>
      <c r="G1323" s="10">
        <v>0</v>
      </c>
      <c r="H1323" s="10">
        <v>104</v>
      </c>
      <c r="I1323" s="10" t="s">
        <v>74</v>
      </c>
      <c r="J1323" s="10">
        <v>27</v>
      </c>
      <c r="K1323" s="10">
        <v>324</v>
      </c>
      <c r="L1323" s="10">
        <v>0</v>
      </c>
      <c r="M1323" s="10">
        <v>351</v>
      </c>
      <c r="N1323" s="10" t="s">
        <v>761</v>
      </c>
      <c r="O1323" s="10" t="s">
        <v>487</v>
      </c>
      <c r="P1323" s="105">
        <f t="shared" si="20"/>
        <v>3.375</v>
      </c>
    </row>
    <row r="1324" spans="1:16">
      <c r="A1324" s="10" t="s">
        <v>635</v>
      </c>
      <c r="B1324" s="10">
        <v>4522445</v>
      </c>
      <c r="C1324" s="10" t="s">
        <v>759</v>
      </c>
      <c r="D1324" s="10" t="s">
        <v>760</v>
      </c>
      <c r="E1324" s="10">
        <v>8</v>
      </c>
      <c r="F1324" s="10">
        <v>144</v>
      </c>
      <c r="G1324" s="10">
        <v>0</v>
      </c>
      <c r="H1324" s="10">
        <v>152</v>
      </c>
      <c r="I1324" s="10" t="s">
        <v>74</v>
      </c>
      <c r="J1324" s="10">
        <v>27</v>
      </c>
      <c r="K1324" s="10">
        <v>486</v>
      </c>
      <c r="L1324" s="10">
        <v>0</v>
      </c>
      <c r="M1324" s="10">
        <v>513</v>
      </c>
      <c r="N1324" s="10" t="s">
        <v>761</v>
      </c>
      <c r="O1324" s="10" t="s">
        <v>147</v>
      </c>
      <c r="P1324" s="105">
        <f t="shared" si="20"/>
        <v>3.375</v>
      </c>
    </row>
    <row r="1325" spans="1:16">
      <c r="A1325" s="10" t="s">
        <v>635</v>
      </c>
      <c r="B1325" s="10">
        <v>4522450</v>
      </c>
      <c r="C1325" s="10" t="s">
        <v>759</v>
      </c>
      <c r="D1325" s="10" t="s">
        <v>760</v>
      </c>
      <c r="E1325" s="10">
        <v>0</v>
      </c>
      <c r="F1325" s="10">
        <v>0</v>
      </c>
      <c r="G1325" s="10">
        <v>0</v>
      </c>
      <c r="H1325" s="10">
        <v>0</v>
      </c>
      <c r="I1325" s="10" t="s">
        <v>74</v>
      </c>
      <c r="J1325" s="10">
        <v>0</v>
      </c>
      <c r="K1325" s="10">
        <v>0</v>
      </c>
      <c r="L1325" s="10">
        <v>0</v>
      </c>
      <c r="M1325" s="10">
        <v>0</v>
      </c>
      <c r="N1325" s="10" t="s">
        <v>761</v>
      </c>
      <c r="O1325" s="10" t="s">
        <v>1673</v>
      </c>
      <c r="P1325" s="105" t="e">
        <f t="shared" si="20"/>
        <v>#DIV/0!</v>
      </c>
    </row>
    <row r="1326" spans="1:16">
      <c r="A1326" s="10" t="s">
        <v>635</v>
      </c>
      <c r="B1326" s="10">
        <v>4522451</v>
      </c>
      <c r="C1326" s="10" t="s">
        <v>759</v>
      </c>
      <c r="D1326" s="10" t="s">
        <v>760</v>
      </c>
      <c r="E1326" s="10">
        <v>0</v>
      </c>
      <c r="F1326" s="10">
        <v>0</v>
      </c>
      <c r="G1326" s="10">
        <v>0</v>
      </c>
      <c r="H1326" s="10">
        <v>0</v>
      </c>
      <c r="I1326" s="10" t="s">
        <v>21</v>
      </c>
      <c r="J1326" s="10">
        <v>0</v>
      </c>
      <c r="K1326" s="10">
        <v>0</v>
      </c>
      <c r="L1326" s="10">
        <v>0</v>
      </c>
      <c r="M1326" s="10">
        <v>0</v>
      </c>
      <c r="N1326" s="10" t="s">
        <v>761</v>
      </c>
      <c r="O1326" s="10" t="s">
        <v>1674</v>
      </c>
      <c r="P1326" s="105" t="e">
        <f t="shared" si="20"/>
        <v>#DIV/0!</v>
      </c>
    </row>
    <row r="1327" spans="1:16">
      <c r="A1327" s="10" t="s">
        <v>635</v>
      </c>
      <c r="B1327" s="10">
        <v>4522452</v>
      </c>
      <c r="C1327" s="10" t="s">
        <v>759</v>
      </c>
      <c r="D1327" s="10" t="s">
        <v>760</v>
      </c>
      <c r="E1327" s="10">
        <v>0</v>
      </c>
      <c r="F1327" s="10">
        <v>0</v>
      </c>
      <c r="G1327" s="10">
        <v>0</v>
      </c>
      <c r="H1327" s="10">
        <v>0</v>
      </c>
      <c r="I1327" s="10" t="s">
        <v>21</v>
      </c>
      <c r="J1327" s="10">
        <v>0</v>
      </c>
      <c r="K1327" s="10">
        <v>0</v>
      </c>
      <c r="L1327" s="10">
        <v>0</v>
      </c>
      <c r="M1327" s="10">
        <v>0</v>
      </c>
      <c r="N1327" s="10" t="s">
        <v>761</v>
      </c>
      <c r="O1327" s="10" t="s">
        <v>1675</v>
      </c>
      <c r="P1327" s="105" t="e">
        <f t="shared" si="20"/>
        <v>#DIV/0!</v>
      </c>
    </row>
    <row r="1328" spans="1:16">
      <c r="A1328" s="10" t="s">
        <v>635</v>
      </c>
      <c r="B1328" s="10">
        <v>4522453</v>
      </c>
      <c r="C1328" s="10" t="s">
        <v>759</v>
      </c>
      <c r="D1328" s="10" t="s">
        <v>760</v>
      </c>
      <c r="E1328" s="10">
        <v>0</v>
      </c>
      <c r="F1328" s="10">
        <v>0</v>
      </c>
      <c r="G1328" s="10">
        <v>0</v>
      </c>
      <c r="H1328" s="10">
        <v>0</v>
      </c>
      <c r="I1328" s="10" t="s">
        <v>21</v>
      </c>
      <c r="J1328" s="10">
        <v>0</v>
      </c>
      <c r="K1328" s="10">
        <v>0</v>
      </c>
      <c r="L1328" s="10">
        <v>0</v>
      </c>
      <c r="M1328" s="10">
        <v>0</v>
      </c>
      <c r="N1328" s="10" t="s">
        <v>761</v>
      </c>
      <c r="O1328" s="10" t="s">
        <v>1676</v>
      </c>
      <c r="P1328" s="105" t="e">
        <f t="shared" si="20"/>
        <v>#DIV/0!</v>
      </c>
    </row>
    <row r="1329" spans="1:16">
      <c r="A1329" s="10" t="s">
        <v>635</v>
      </c>
      <c r="B1329" s="10">
        <v>4522462</v>
      </c>
      <c r="C1329" s="10" t="s">
        <v>759</v>
      </c>
      <c r="D1329" s="10" t="s">
        <v>760</v>
      </c>
      <c r="E1329" s="10">
        <v>0</v>
      </c>
      <c r="F1329" s="10">
        <v>224</v>
      </c>
      <c r="G1329" s="10">
        <v>-133.81</v>
      </c>
      <c r="H1329" s="10">
        <v>90.19</v>
      </c>
      <c r="I1329" s="10" t="s">
        <v>74</v>
      </c>
      <c r="J1329" s="10">
        <v>0</v>
      </c>
      <c r="K1329" s="103">
        <v>2756.68</v>
      </c>
      <c r="L1329" s="103">
        <v>-1646.75</v>
      </c>
      <c r="M1329" s="103">
        <v>1109.93</v>
      </c>
      <c r="N1329" s="10" t="s">
        <v>761</v>
      </c>
      <c r="O1329" s="10" t="s">
        <v>311</v>
      </c>
      <c r="P1329" s="105">
        <f t="shared" si="20"/>
        <v>12.3065750083158</v>
      </c>
    </row>
    <row r="1330" spans="1:16">
      <c r="A1330" s="10" t="s">
        <v>635</v>
      </c>
      <c r="B1330" s="10">
        <v>4522463</v>
      </c>
      <c r="C1330" s="10" t="s">
        <v>759</v>
      </c>
      <c r="D1330" s="10" t="s">
        <v>760</v>
      </c>
      <c r="E1330" s="10">
        <v>0</v>
      </c>
      <c r="F1330" s="10">
        <v>0</v>
      </c>
      <c r="G1330" s="10">
        <v>0</v>
      </c>
      <c r="H1330" s="10">
        <v>0</v>
      </c>
      <c r="I1330" s="10" t="s">
        <v>21</v>
      </c>
      <c r="J1330" s="10">
        <v>0</v>
      </c>
      <c r="K1330" s="10">
        <v>0</v>
      </c>
      <c r="L1330" s="10">
        <v>0</v>
      </c>
      <c r="M1330" s="10">
        <v>0</v>
      </c>
      <c r="N1330" s="10" t="s">
        <v>761</v>
      </c>
      <c r="O1330" s="10" t="s">
        <v>1677</v>
      </c>
      <c r="P1330" s="105" t="e">
        <f t="shared" si="20"/>
        <v>#DIV/0!</v>
      </c>
    </row>
    <row r="1331" spans="1:16">
      <c r="A1331" s="10" t="s">
        <v>635</v>
      </c>
      <c r="B1331" s="10">
        <v>4522604</v>
      </c>
      <c r="C1331" s="10" t="s">
        <v>759</v>
      </c>
      <c r="D1331" s="10" t="s">
        <v>760</v>
      </c>
      <c r="E1331" s="10">
        <v>150</v>
      </c>
      <c r="F1331" s="10">
        <v>570</v>
      </c>
      <c r="G1331" s="10">
        <v>-125</v>
      </c>
      <c r="H1331" s="10">
        <v>595</v>
      </c>
      <c r="I1331" s="10" t="s">
        <v>74</v>
      </c>
      <c r="J1331" s="10">
        <v>255</v>
      </c>
      <c r="K1331" s="10">
        <v>968</v>
      </c>
      <c r="L1331" s="10">
        <v>-212.3</v>
      </c>
      <c r="M1331" s="103">
        <v>1010.7</v>
      </c>
      <c r="N1331" s="10" t="s">
        <v>761</v>
      </c>
      <c r="O1331" s="10" t="s">
        <v>218</v>
      </c>
      <c r="P1331" s="105">
        <f t="shared" si="20"/>
        <v>1.69865546218487</v>
      </c>
    </row>
    <row r="1332" spans="1:16">
      <c r="A1332" s="10" t="s">
        <v>635</v>
      </c>
      <c r="B1332" s="10">
        <v>4522606</v>
      </c>
      <c r="C1332" s="10" t="s">
        <v>759</v>
      </c>
      <c r="D1332" s="10" t="s">
        <v>760</v>
      </c>
      <c r="E1332" s="10">
        <v>7.5</v>
      </c>
      <c r="F1332" s="10">
        <v>0</v>
      </c>
      <c r="G1332" s="10">
        <v>0</v>
      </c>
      <c r="H1332" s="10">
        <v>7.5</v>
      </c>
      <c r="I1332" s="10" t="s">
        <v>74</v>
      </c>
      <c r="J1332" s="10">
        <v>75</v>
      </c>
      <c r="K1332" s="10">
        <v>0</v>
      </c>
      <c r="L1332" s="10">
        <v>0</v>
      </c>
      <c r="M1332" s="10">
        <v>75</v>
      </c>
      <c r="N1332" s="10" t="s">
        <v>761</v>
      </c>
      <c r="O1332" s="10" t="s">
        <v>594</v>
      </c>
      <c r="P1332" s="105">
        <f t="shared" si="20"/>
        <v>10</v>
      </c>
    </row>
    <row r="1333" spans="1:16">
      <c r="A1333" s="10" t="s">
        <v>635</v>
      </c>
      <c r="B1333" s="10">
        <v>4522607</v>
      </c>
      <c r="C1333" s="10" t="s">
        <v>759</v>
      </c>
      <c r="D1333" s="10" t="s">
        <v>760</v>
      </c>
      <c r="E1333" s="10">
        <v>0</v>
      </c>
      <c r="F1333" s="10">
        <v>0</v>
      </c>
      <c r="G1333" s="10">
        <v>0</v>
      </c>
      <c r="H1333" s="10">
        <v>0</v>
      </c>
      <c r="I1333" s="10" t="s">
        <v>74</v>
      </c>
      <c r="J1333" s="10">
        <v>0</v>
      </c>
      <c r="K1333" s="10">
        <v>0</v>
      </c>
      <c r="L1333" s="10">
        <v>0</v>
      </c>
      <c r="M1333" s="10">
        <v>0</v>
      </c>
      <c r="N1333" s="10" t="s">
        <v>761</v>
      </c>
      <c r="O1333" s="10" t="s">
        <v>1678</v>
      </c>
      <c r="P1333" s="105" t="e">
        <f t="shared" si="20"/>
        <v>#DIV/0!</v>
      </c>
    </row>
    <row r="1334" spans="1:16">
      <c r="A1334" s="10" t="s">
        <v>635</v>
      </c>
      <c r="B1334" s="10">
        <v>4522608</v>
      </c>
      <c r="C1334" s="10" t="s">
        <v>759</v>
      </c>
      <c r="D1334" s="10" t="s">
        <v>760</v>
      </c>
      <c r="E1334" s="10">
        <v>0</v>
      </c>
      <c r="F1334" s="10">
        <v>0</v>
      </c>
      <c r="G1334" s="10">
        <v>0</v>
      </c>
      <c r="H1334" s="10">
        <v>0</v>
      </c>
      <c r="I1334" s="10" t="s">
        <v>37</v>
      </c>
      <c r="J1334" s="10">
        <v>0</v>
      </c>
      <c r="K1334" s="10">
        <v>0</v>
      </c>
      <c r="L1334" s="10">
        <v>0</v>
      </c>
      <c r="M1334" s="10">
        <v>0</v>
      </c>
      <c r="N1334" s="10" t="s">
        <v>761</v>
      </c>
      <c r="O1334" s="10" t="s">
        <v>1679</v>
      </c>
      <c r="P1334" s="105" t="e">
        <f t="shared" si="20"/>
        <v>#DIV/0!</v>
      </c>
    </row>
    <row r="1335" spans="1:16">
      <c r="A1335" s="10" t="s">
        <v>635</v>
      </c>
      <c r="B1335" s="10">
        <v>4522609</v>
      </c>
      <c r="C1335" s="10" t="s">
        <v>759</v>
      </c>
      <c r="D1335" s="10" t="s">
        <v>760</v>
      </c>
      <c r="E1335" s="10">
        <v>0</v>
      </c>
      <c r="F1335" s="10">
        <v>0</v>
      </c>
      <c r="G1335" s="10">
        <v>0</v>
      </c>
      <c r="H1335" s="10">
        <v>0</v>
      </c>
      <c r="I1335" s="10" t="s">
        <v>74</v>
      </c>
      <c r="J1335" s="10">
        <v>0</v>
      </c>
      <c r="K1335" s="10">
        <v>0</v>
      </c>
      <c r="L1335" s="10">
        <v>0</v>
      </c>
      <c r="M1335" s="10">
        <v>0</v>
      </c>
      <c r="N1335" s="10" t="s">
        <v>761</v>
      </c>
      <c r="O1335" s="10" t="s">
        <v>1680</v>
      </c>
      <c r="P1335" s="105" t="e">
        <f t="shared" si="20"/>
        <v>#DIV/0!</v>
      </c>
    </row>
    <row r="1336" spans="1:16">
      <c r="A1336" s="10" t="s">
        <v>635</v>
      </c>
      <c r="B1336" s="10">
        <v>4522783</v>
      </c>
      <c r="C1336" s="10" t="s">
        <v>759</v>
      </c>
      <c r="D1336" s="10" t="s">
        <v>760</v>
      </c>
      <c r="E1336" s="10">
        <v>0</v>
      </c>
      <c r="F1336" s="10">
        <v>0</v>
      </c>
      <c r="G1336" s="10">
        <v>0</v>
      </c>
      <c r="H1336" s="10">
        <v>0</v>
      </c>
      <c r="I1336" s="10" t="s">
        <v>74</v>
      </c>
      <c r="J1336" s="10">
        <v>0</v>
      </c>
      <c r="K1336" s="10">
        <v>0</v>
      </c>
      <c r="L1336" s="10">
        <v>0</v>
      </c>
      <c r="M1336" s="10">
        <v>0</v>
      </c>
      <c r="N1336" s="10" t="s">
        <v>761</v>
      </c>
      <c r="O1336" s="10" t="s">
        <v>1681</v>
      </c>
      <c r="P1336" s="105" t="e">
        <f t="shared" si="20"/>
        <v>#DIV/0!</v>
      </c>
    </row>
    <row r="1337" spans="1:16">
      <c r="A1337" s="10" t="s">
        <v>635</v>
      </c>
      <c r="B1337" s="10">
        <v>4522792</v>
      </c>
      <c r="C1337" s="10" t="s">
        <v>759</v>
      </c>
      <c r="D1337" s="10" t="s">
        <v>760</v>
      </c>
      <c r="E1337" s="10">
        <v>0</v>
      </c>
      <c r="F1337" s="10">
        <v>0</v>
      </c>
      <c r="G1337" s="10">
        <v>0</v>
      </c>
      <c r="H1337" s="10">
        <v>0</v>
      </c>
      <c r="I1337" s="10" t="s">
        <v>37</v>
      </c>
      <c r="J1337" s="10">
        <v>0</v>
      </c>
      <c r="K1337" s="10">
        <v>0</v>
      </c>
      <c r="L1337" s="10">
        <v>0</v>
      </c>
      <c r="M1337" s="10">
        <v>0</v>
      </c>
      <c r="N1337" s="10" t="s">
        <v>761</v>
      </c>
      <c r="O1337" s="10" t="s">
        <v>1682</v>
      </c>
      <c r="P1337" s="105" t="e">
        <f t="shared" si="20"/>
        <v>#DIV/0!</v>
      </c>
    </row>
    <row r="1338" spans="1:16">
      <c r="A1338" s="10" t="s">
        <v>635</v>
      </c>
      <c r="B1338" s="10">
        <v>4522812</v>
      </c>
      <c r="C1338" s="10" t="s">
        <v>759</v>
      </c>
      <c r="D1338" s="10" t="s">
        <v>760</v>
      </c>
      <c r="E1338" s="10">
        <v>0</v>
      </c>
      <c r="F1338" s="10">
        <v>0</v>
      </c>
      <c r="G1338" s="10">
        <v>0</v>
      </c>
      <c r="H1338" s="10">
        <v>0</v>
      </c>
      <c r="I1338" s="10" t="s">
        <v>74</v>
      </c>
      <c r="J1338" s="10">
        <v>0</v>
      </c>
      <c r="K1338" s="10">
        <v>0</v>
      </c>
      <c r="L1338" s="10">
        <v>0</v>
      </c>
      <c r="M1338" s="10">
        <v>0</v>
      </c>
      <c r="N1338" s="10" t="s">
        <v>761</v>
      </c>
      <c r="O1338" s="10" t="s">
        <v>1683</v>
      </c>
      <c r="P1338" s="105" t="e">
        <f t="shared" si="20"/>
        <v>#DIV/0!</v>
      </c>
    </row>
    <row r="1339" spans="1:16">
      <c r="A1339" s="10" t="s">
        <v>635</v>
      </c>
      <c r="B1339" s="10">
        <v>4522914</v>
      </c>
      <c r="C1339" s="10" t="s">
        <v>759</v>
      </c>
      <c r="D1339" s="10" t="s">
        <v>760</v>
      </c>
      <c r="E1339" s="10">
        <v>0</v>
      </c>
      <c r="F1339" s="10">
        <v>0</v>
      </c>
      <c r="G1339" s="10">
        <v>0</v>
      </c>
      <c r="H1339" s="10">
        <v>0</v>
      </c>
      <c r="I1339" s="10" t="s">
        <v>408</v>
      </c>
      <c r="J1339" s="10">
        <v>0</v>
      </c>
      <c r="K1339" s="10">
        <v>0</v>
      </c>
      <c r="L1339" s="10">
        <v>0</v>
      </c>
      <c r="M1339" s="10">
        <v>0</v>
      </c>
      <c r="N1339" s="10" t="s">
        <v>761</v>
      </c>
      <c r="O1339" s="10" t="s">
        <v>1684</v>
      </c>
      <c r="P1339" s="105" t="e">
        <f t="shared" si="20"/>
        <v>#DIV/0!</v>
      </c>
    </row>
    <row r="1340" spans="1:16">
      <c r="A1340" s="10" t="s">
        <v>635</v>
      </c>
      <c r="B1340" s="10">
        <v>4522915</v>
      </c>
      <c r="C1340" s="10" t="s">
        <v>759</v>
      </c>
      <c r="D1340" s="10" t="s">
        <v>760</v>
      </c>
      <c r="E1340" s="10">
        <v>0</v>
      </c>
      <c r="F1340" s="10">
        <v>0</v>
      </c>
      <c r="G1340" s="10">
        <v>0</v>
      </c>
      <c r="H1340" s="10">
        <v>0</v>
      </c>
      <c r="I1340" s="10" t="s">
        <v>74</v>
      </c>
      <c r="J1340" s="10">
        <v>0</v>
      </c>
      <c r="K1340" s="10">
        <v>0</v>
      </c>
      <c r="L1340" s="10">
        <v>0</v>
      </c>
      <c r="M1340" s="10">
        <v>0</v>
      </c>
      <c r="N1340" s="10" t="s">
        <v>761</v>
      </c>
      <c r="O1340" s="10" t="s">
        <v>1685</v>
      </c>
      <c r="P1340" s="105" t="e">
        <f t="shared" si="20"/>
        <v>#DIV/0!</v>
      </c>
    </row>
    <row r="1341" spans="1:16">
      <c r="A1341" s="10" t="s">
        <v>635</v>
      </c>
      <c r="B1341" s="10">
        <v>4522916</v>
      </c>
      <c r="C1341" s="10" t="s">
        <v>759</v>
      </c>
      <c r="D1341" s="10" t="s">
        <v>760</v>
      </c>
      <c r="E1341" s="10">
        <v>36</v>
      </c>
      <c r="F1341" s="10">
        <v>80</v>
      </c>
      <c r="G1341" s="10">
        <v>0</v>
      </c>
      <c r="H1341" s="10">
        <v>116</v>
      </c>
      <c r="I1341" s="10" t="s">
        <v>37</v>
      </c>
      <c r="J1341" s="10">
        <v>261</v>
      </c>
      <c r="K1341" s="10">
        <v>580</v>
      </c>
      <c r="L1341" s="10">
        <v>0</v>
      </c>
      <c r="M1341" s="10">
        <v>841</v>
      </c>
      <c r="N1341" s="10" t="s">
        <v>761</v>
      </c>
      <c r="O1341" s="10" t="s">
        <v>173</v>
      </c>
      <c r="P1341" s="105">
        <f t="shared" si="20"/>
        <v>7.25</v>
      </c>
    </row>
    <row r="1342" spans="1:16">
      <c r="A1342" s="10" t="s">
        <v>635</v>
      </c>
      <c r="B1342" s="10">
        <v>4522917</v>
      </c>
      <c r="C1342" s="10" t="s">
        <v>759</v>
      </c>
      <c r="D1342" s="10" t="s">
        <v>760</v>
      </c>
      <c r="E1342" s="10">
        <v>0</v>
      </c>
      <c r="F1342" s="10">
        <v>0</v>
      </c>
      <c r="G1342" s="10">
        <v>0</v>
      </c>
      <c r="H1342" s="10">
        <v>0</v>
      </c>
      <c r="I1342" s="10" t="s">
        <v>697</v>
      </c>
      <c r="J1342" s="10">
        <v>0</v>
      </c>
      <c r="K1342" s="10">
        <v>0</v>
      </c>
      <c r="L1342" s="10">
        <v>0</v>
      </c>
      <c r="M1342" s="10">
        <v>0</v>
      </c>
      <c r="N1342" s="10" t="s">
        <v>761</v>
      </c>
      <c r="O1342" s="10" t="s">
        <v>1686</v>
      </c>
      <c r="P1342" s="105" t="e">
        <f t="shared" si="20"/>
        <v>#DIV/0!</v>
      </c>
    </row>
    <row r="1343" spans="1:16">
      <c r="A1343" s="10" t="s">
        <v>635</v>
      </c>
      <c r="B1343" s="10">
        <v>4522918</v>
      </c>
      <c r="C1343" s="10" t="s">
        <v>759</v>
      </c>
      <c r="D1343" s="10" t="s">
        <v>760</v>
      </c>
      <c r="E1343" s="10">
        <v>74.34</v>
      </c>
      <c r="F1343" s="10">
        <v>640.07</v>
      </c>
      <c r="G1343" s="10">
        <v>0</v>
      </c>
      <c r="H1343" s="10">
        <v>714.41</v>
      </c>
      <c r="I1343" s="10" t="s">
        <v>37</v>
      </c>
      <c r="J1343" s="103">
        <v>1584.45</v>
      </c>
      <c r="K1343" s="103">
        <v>13713.95</v>
      </c>
      <c r="L1343" s="10">
        <v>0</v>
      </c>
      <c r="M1343" s="103">
        <v>15298.4</v>
      </c>
      <c r="N1343" s="10" t="s">
        <v>761</v>
      </c>
      <c r="O1343" s="10" t="s">
        <v>159</v>
      </c>
      <c r="P1343" s="105">
        <f t="shared" si="20"/>
        <v>21.4140339580913</v>
      </c>
    </row>
    <row r="1344" spans="1:16">
      <c r="A1344" s="10" t="s">
        <v>635</v>
      </c>
      <c r="B1344" s="10">
        <v>4523036</v>
      </c>
      <c r="C1344" s="10" t="s">
        <v>759</v>
      </c>
      <c r="D1344" s="10" t="s">
        <v>760</v>
      </c>
      <c r="E1344" s="10">
        <v>0</v>
      </c>
      <c r="F1344" s="10">
        <v>0</v>
      </c>
      <c r="G1344" s="10">
        <v>0</v>
      </c>
      <c r="H1344" s="10">
        <v>0</v>
      </c>
      <c r="I1344" s="10" t="s">
        <v>33</v>
      </c>
      <c r="J1344" s="10">
        <v>0</v>
      </c>
      <c r="K1344" s="10">
        <v>0</v>
      </c>
      <c r="L1344" s="10">
        <v>0</v>
      </c>
      <c r="M1344" s="10">
        <v>0</v>
      </c>
      <c r="N1344" s="10" t="s">
        <v>761</v>
      </c>
      <c r="O1344" s="10" t="s">
        <v>1687</v>
      </c>
      <c r="P1344" s="105" t="e">
        <f t="shared" si="20"/>
        <v>#DIV/0!</v>
      </c>
    </row>
    <row r="1345" spans="1:16">
      <c r="A1345" s="10" t="s">
        <v>635</v>
      </c>
      <c r="B1345" s="10">
        <v>4523250</v>
      </c>
      <c r="C1345" s="10" t="s">
        <v>759</v>
      </c>
      <c r="D1345" s="10" t="s">
        <v>760</v>
      </c>
      <c r="E1345" s="10">
        <v>0</v>
      </c>
      <c r="F1345" s="10">
        <v>0</v>
      </c>
      <c r="G1345" s="10">
        <v>0</v>
      </c>
      <c r="H1345" s="10">
        <v>0</v>
      </c>
      <c r="I1345" s="10" t="s">
        <v>37</v>
      </c>
      <c r="J1345" s="10">
        <v>0</v>
      </c>
      <c r="K1345" s="10">
        <v>0</v>
      </c>
      <c r="L1345" s="10">
        <v>0</v>
      </c>
      <c r="M1345" s="10">
        <v>0</v>
      </c>
      <c r="N1345" s="10" t="s">
        <v>761</v>
      </c>
      <c r="O1345" s="10" t="s">
        <v>1688</v>
      </c>
      <c r="P1345" s="105" t="e">
        <f t="shared" si="20"/>
        <v>#DIV/0!</v>
      </c>
    </row>
    <row r="1346" spans="1:16">
      <c r="A1346" s="10" t="s">
        <v>635</v>
      </c>
      <c r="B1346" s="10">
        <v>4523356</v>
      </c>
      <c r="C1346" s="10" t="s">
        <v>759</v>
      </c>
      <c r="D1346" s="10" t="s">
        <v>760</v>
      </c>
      <c r="E1346" s="10">
        <v>0</v>
      </c>
      <c r="F1346" s="10">
        <v>0</v>
      </c>
      <c r="G1346" s="10">
        <v>0</v>
      </c>
      <c r="H1346" s="10">
        <v>0</v>
      </c>
      <c r="I1346" s="10" t="s">
        <v>74</v>
      </c>
      <c r="J1346" s="10">
        <v>0</v>
      </c>
      <c r="K1346" s="10">
        <v>0</v>
      </c>
      <c r="L1346" s="10">
        <v>0</v>
      </c>
      <c r="M1346" s="10">
        <v>0</v>
      </c>
      <c r="N1346" s="10" t="s">
        <v>761</v>
      </c>
      <c r="O1346" s="10" t="s">
        <v>1689</v>
      </c>
      <c r="P1346" s="105" t="e">
        <f t="shared" si="20"/>
        <v>#DIV/0!</v>
      </c>
    </row>
    <row r="1347" spans="1:16">
      <c r="A1347" s="10" t="s">
        <v>635</v>
      </c>
      <c r="B1347" s="10">
        <v>4523357</v>
      </c>
      <c r="C1347" s="10" t="s">
        <v>759</v>
      </c>
      <c r="D1347" s="10" t="s">
        <v>760</v>
      </c>
      <c r="E1347" s="10">
        <v>22.4</v>
      </c>
      <c r="F1347" s="10">
        <v>207.2</v>
      </c>
      <c r="G1347" s="10">
        <v>0</v>
      </c>
      <c r="H1347" s="10">
        <v>229.6</v>
      </c>
      <c r="I1347" s="10" t="s">
        <v>74</v>
      </c>
      <c r="J1347" s="10">
        <v>160</v>
      </c>
      <c r="K1347" s="103">
        <v>1480</v>
      </c>
      <c r="L1347" s="10">
        <v>0</v>
      </c>
      <c r="M1347" s="103">
        <v>1640</v>
      </c>
      <c r="N1347" s="10" t="s">
        <v>761</v>
      </c>
      <c r="O1347" s="10" t="s">
        <v>568</v>
      </c>
      <c r="P1347" s="105">
        <f t="shared" ref="P1347:P1410" si="21">M1347/H1347</f>
        <v>7.14285714285714</v>
      </c>
    </row>
    <row r="1348" spans="1:16">
      <c r="A1348" s="10" t="s">
        <v>635</v>
      </c>
      <c r="B1348" s="10">
        <v>4523469</v>
      </c>
      <c r="C1348" s="10" t="s">
        <v>759</v>
      </c>
      <c r="D1348" s="10" t="s">
        <v>760</v>
      </c>
      <c r="E1348" s="10">
        <v>0</v>
      </c>
      <c r="F1348" s="10">
        <v>0</v>
      </c>
      <c r="G1348" s="10">
        <v>0</v>
      </c>
      <c r="H1348" s="10">
        <v>0</v>
      </c>
      <c r="I1348" s="10" t="s">
        <v>21</v>
      </c>
      <c r="J1348" s="10">
        <v>0</v>
      </c>
      <c r="K1348" s="10">
        <v>0</v>
      </c>
      <c r="L1348" s="10">
        <v>0</v>
      </c>
      <c r="M1348" s="10">
        <v>0</v>
      </c>
      <c r="N1348" s="10" t="s">
        <v>761</v>
      </c>
      <c r="O1348" s="10" t="s">
        <v>1690</v>
      </c>
      <c r="P1348" s="105" t="e">
        <f t="shared" si="21"/>
        <v>#DIV/0!</v>
      </c>
    </row>
    <row r="1349" spans="1:16">
      <c r="A1349" s="10" t="s">
        <v>635</v>
      </c>
      <c r="B1349" s="10">
        <v>4523571</v>
      </c>
      <c r="C1349" s="10" t="s">
        <v>759</v>
      </c>
      <c r="D1349" s="10" t="s">
        <v>760</v>
      </c>
      <c r="E1349" s="10">
        <v>0</v>
      </c>
      <c r="F1349" s="10">
        <v>24</v>
      </c>
      <c r="G1349" s="10">
        <v>0</v>
      </c>
      <c r="H1349" s="10">
        <v>24</v>
      </c>
      <c r="I1349" s="10" t="s">
        <v>74</v>
      </c>
      <c r="J1349" s="10">
        <v>0</v>
      </c>
      <c r="K1349" s="10">
        <v>190</v>
      </c>
      <c r="L1349" s="10">
        <v>0</v>
      </c>
      <c r="M1349" s="10">
        <v>190</v>
      </c>
      <c r="N1349" s="10" t="s">
        <v>761</v>
      </c>
      <c r="O1349" s="10" t="s">
        <v>603</v>
      </c>
      <c r="P1349" s="105">
        <f t="shared" si="21"/>
        <v>7.91666666666667</v>
      </c>
    </row>
    <row r="1350" spans="1:16">
      <c r="A1350" s="10" t="s">
        <v>635</v>
      </c>
      <c r="B1350" s="10">
        <v>4523572</v>
      </c>
      <c r="C1350" s="10" t="s">
        <v>759</v>
      </c>
      <c r="D1350" s="10" t="s">
        <v>760</v>
      </c>
      <c r="E1350" s="10">
        <v>6.3</v>
      </c>
      <c r="F1350" s="10">
        <v>86.4</v>
      </c>
      <c r="G1350" s="10">
        <v>-6</v>
      </c>
      <c r="H1350" s="10">
        <v>86.7</v>
      </c>
      <c r="I1350" s="10" t="s">
        <v>74</v>
      </c>
      <c r="J1350" s="10">
        <v>25.08</v>
      </c>
      <c r="K1350" s="10">
        <v>344</v>
      </c>
      <c r="L1350" s="10">
        <v>-23.89</v>
      </c>
      <c r="M1350" s="10">
        <v>345.19</v>
      </c>
      <c r="N1350" s="10" t="s">
        <v>761</v>
      </c>
      <c r="O1350" s="10" t="s">
        <v>523</v>
      </c>
      <c r="P1350" s="105">
        <f t="shared" si="21"/>
        <v>3.98143021914648</v>
      </c>
    </row>
    <row r="1351" spans="1:16">
      <c r="A1351" s="10" t="s">
        <v>635</v>
      </c>
      <c r="B1351" s="10">
        <v>4523583</v>
      </c>
      <c r="C1351" s="10" t="s">
        <v>759</v>
      </c>
      <c r="D1351" s="10" t="s">
        <v>760</v>
      </c>
      <c r="E1351" s="10">
        <v>0</v>
      </c>
      <c r="F1351" s="10">
        <v>0</v>
      </c>
      <c r="G1351" s="10">
        <v>0</v>
      </c>
      <c r="H1351" s="10">
        <v>0</v>
      </c>
      <c r="I1351" s="10" t="s">
        <v>37</v>
      </c>
      <c r="J1351" s="10">
        <v>0</v>
      </c>
      <c r="K1351" s="10">
        <v>0</v>
      </c>
      <c r="L1351" s="10">
        <v>0</v>
      </c>
      <c r="M1351" s="10">
        <v>0</v>
      </c>
      <c r="N1351" s="10" t="s">
        <v>761</v>
      </c>
      <c r="O1351" s="10" t="s">
        <v>1691</v>
      </c>
      <c r="P1351" s="105" t="e">
        <f t="shared" si="21"/>
        <v>#DIV/0!</v>
      </c>
    </row>
    <row r="1352" spans="1:16">
      <c r="A1352" s="10" t="s">
        <v>635</v>
      </c>
      <c r="B1352" s="10">
        <v>4523787</v>
      </c>
      <c r="C1352" s="10" t="s">
        <v>759</v>
      </c>
      <c r="D1352" s="10" t="s">
        <v>760</v>
      </c>
      <c r="E1352" s="10">
        <v>0</v>
      </c>
      <c r="F1352" s="10">
        <v>0</v>
      </c>
      <c r="G1352" s="10">
        <v>0</v>
      </c>
      <c r="H1352" s="10">
        <v>0</v>
      </c>
      <c r="I1352" s="10" t="s">
        <v>74</v>
      </c>
      <c r="J1352" s="10">
        <v>0</v>
      </c>
      <c r="K1352" s="10">
        <v>0</v>
      </c>
      <c r="L1352" s="10">
        <v>0</v>
      </c>
      <c r="M1352" s="10">
        <v>0</v>
      </c>
      <c r="N1352" s="10" t="s">
        <v>761</v>
      </c>
      <c r="O1352" s="10" t="s">
        <v>1692</v>
      </c>
      <c r="P1352" s="105" t="e">
        <f t="shared" si="21"/>
        <v>#DIV/0!</v>
      </c>
    </row>
    <row r="1353" spans="1:16">
      <c r="A1353" s="10" t="s">
        <v>635</v>
      </c>
      <c r="B1353" s="10">
        <v>4523800</v>
      </c>
      <c r="C1353" s="10" t="s">
        <v>759</v>
      </c>
      <c r="D1353" s="10" t="s">
        <v>760</v>
      </c>
      <c r="E1353" s="10">
        <v>20</v>
      </c>
      <c r="F1353" s="10">
        <v>50</v>
      </c>
      <c r="G1353" s="10">
        <v>0</v>
      </c>
      <c r="H1353" s="10">
        <v>70</v>
      </c>
      <c r="I1353" s="10" t="s">
        <v>74</v>
      </c>
      <c r="J1353" s="10">
        <v>90.37</v>
      </c>
      <c r="K1353" s="10">
        <v>225.92</v>
      </c>
      <c r="L1353" s="10">
        <v>0</v>
      </c>
      <c r="M1353" s="10">
        <v>316.29</v>
      </c>
      <c r="N1353" s="10" t="s">
        <v>761</v>
      </c>
      <c r="O1353" s="10" t="s">
        <v>323</v>
      </c>
      <c r="P1353" s="105">
        <f t="shared" si="21"/>
        <v>4.51842857142857</v>
      </c>
    </row>
    <row r="1354" spans="1:16">
      <c r="A1354" s="10" t="s">
        <v>635</v>
      </c>
      <c r="B1354" s="10">
        <v>4523956</v>
      </c>
      <c r="C1354" s="10" t="s">
        <v>759</v>
      </c>
      <c r="D1354" s="10" t="s">
        <v>760</v>
      </c>
      <c r="E1354" s="10">
        <v>36</v>
      </c>
      <c r="F1354" s="10">
        <v>84</v>
      </c>
      <c r="G1354" s="10">
        <v>0</v>
      </c>
      <c r="H1354" s="10">
        <v>120</v>
      </c>
      <c r="I1354" s="10" t="s">
        <v>37</v>
      </c>
      <c r="J1354" s="103">
        <v>1260</v>
      </c>
      <c r="K1354" s="103">
        <v>2940</v>
      </c>
      <c r="L1354" s="10">
        <v>0</v>
      </c>
      <c r="M1354" s="103">
        <v>4200</v>
      </c>
      <c r="N1354" s="10" t="s">
        <v>761</v>
      </c>
      <c r="O1354" s="10" t="s">
        <v>302</v>
      </c>
      <c r="P1354" s="105">
        <f t="shared" si="21"/>
        <v>35</v>
      </c>
    </row>
    <row r="1355" spans="1:16">
      <c r="A1355" s="10" t="s">
        <v>635</v>
      </c>
      <c r="B1355" s="10">
        <v>4523957</v>
      </c>
      <c r="C1355" s="10" t="s">
        <v>759</v>
      </c>
      <c r="D1355" s="10" t="s">
        <v>760</v>
      </c>
      <c r="E1355" s="10">
        <v>0</v>
      </c>
      <c r="F1355" s="10">
        <v>0</v>
      </c>
      <c r="G1355" s="10">
        <v>0</v>
      </c>
      <c r="H1355" s="10">
        <v>0</v>
      </c>
      <c r="I1355" s="10" t="s">
        <v>74</v>
      </c>
      <c r="J1355" s="10">
        <v>0</v>
      </c>
      <c r="K1355" s="10">
        <v>0</v>
      </c>
      <c r="L1355" s="10">
        <v>0</v>
      </c>
      <c r="M1355" s="10">
        <v>0</v>
      </c>
      <c r="N1355" s="10" t="s">
        <v>761</v>
      </c>
      <c r="O1355" s="10" t="s">
        <v>1693</v>
      </c>
      <c r="P1355" s="105" t="e">
        <f t="shared" si="21"/>
        <v>#DIV/0!</v>
      </c>
    </row>
    <row r="1356" spans="1:16">
      <c r="A1356" s="10" t="s">
        <v>635</v>
      </c>
      <c r="B1356" s="10">
        <v>4524230</v>
      </c>
      <c r="C1356" s="10" t="s">
        <v>759</v>
      </c>
      <c r="D1356" s="10" t="s">
        <v>760</v>
      </c>
      <c r="E1356" s="10">
        <v>0</v>
      </c>
      <c r="F1356" s="10">
        <v>0</v>
      </c>
      <c r="G1356" s="10">
        <v>0</v>
      </c>
      <c r="H1356" s="10">
        <v>0</v>
      </c>
      <c r="I1356" s="10" t="s">
        <v>33</v>
      </c>
      <c r="J1356" s="10">
        <v>0</v>
      </c>
      <c r="K1356" s="10">
        <v>0</v>
      </c>
      <c r="L1356" s="10">
        <v>0</v>
      </c>
      <c r="M1356" s="10">
        <v>0</v>
      </c>
      <c r="N1356" s="10" t="s">
        <v>761</v>
      </c>
      <c r="O1356" s="10" t="s">
        <v>1694</v>
      </c>
      <c r="P1356" s="105" t="e">
        <f t="shared" si="21"/>
        <v>#DIV/0!</v>
      </c>
    </row>
    <row r="1357" spans="1:16">
      <c r="A1357" s="10" t="s">
        <v>635</v>
      </c>
      <c r="B1357" s="10">
        <v>4524272</v>
      </c>
      <c r="C1357" s="10" t="s">
        <v>759</v>
      </c>
      <c r="D1357" s="10" t="s">
        <v>760</v>
      </c>
      <c r="E1357" s="10">
        <v>0</v>
      </c>
      <c r="F1357" s="103">
        <v>3000</v>
      </c>
      <c r="G1357" s="10">
        <v>0</v>
      </c>
      <c r="H1357" s="103">
        <v>3000</v>
      </c>
      <c r="I1357" s="10" t="s">
        <v>21</v>
      </c>
      <c r="J1357" s="10">
        <v>0</v>
      </c>
      <c r="K1357" s="10">
        <v>114</v>
      </c>
      <c r="L1357" s="10">
        <v>0</v>
      </c>
      <c r="M1357" s="10">
        <v>114</v>
      </c>
      <c r="N1357" s="10" t="s">
        <v>761</v>
      </c>
      <c r="O1357" s="10" t="s">
        <v>333</v>
      </c>
      <c r="P1357" s="105">
        <f t="shared" si="21"/>
        <v>0.038</v>
      </c>
    </row>
    <row r="1358" spans="1:16">
      <c r="A1358" s="10" t="s">
        <v>635</v>
      </c>
      <c r="B1358" s="10">
        <v>4524393</v>
      </c>
      <c r="C1358" s="10" t="s">
        <v>759</v>
      </c>
      <c r="D1358" s="10" t="s">
        <v>760</v>
      </c>
      <c r="E1358" s="10">
        <v>0</v>
      </c>
      <c r="F1358" s="10">
        <v>0</v>
      </c>
      <c r="G1358" s="10">
        <v>0</v>
      </c>
      <c r="H1358" s="10">
        <v>0</v>
      </c>
      <c r="I1358" s="10" t="s">
        <v>41</v>
      </c>
      <c r="J1358" s="10">
        <v>0</v>
      </c>
      <c r="K1358" s="10">
        <v>0</v>
      </c>
      <c r="L1358" s="10">
        <v>0</v>
      </c>
      <c r="M1358" s="10">
        <v>0</v>
      </c>
      <c r="N1358" s="10" t="s">
        <v>761</v>
      </c>
      <c r="O1358" s="10" t="s">
        <v>1695</v>
      </c>
      <c r="P1358" s="105" t="e">
        <f t="shared" si="21"/>
        <v>#DIV/0!</v>
      </c>
    </row>
    <row r="1359" spans="1:16">
      <c r="A1359" s="10" t="s">
        <v>635</v>
      </c>
      <c r="B1359" s="10">
        <v>4524484</v>
      </c>
      <c r="C1359" s="10" t="s">
        <v>759</v>
      </c>
      <c r="D1359" s="10" t="s">
        <v>760</v>
      </c>
      <c r="E1359" s="10">
        <v>4</v>
      </c>
      <c r="F1359" s="10">
        <v>4</v>
      </c>
      <c r="G1359" s="10">
        <v>0</v>
      </c>
      <c r="H1359" s="10">
        <v>8</v>
      </c>
      <c r="I1359" s="10" t="s">
        <v>33</v>
      </c>
      <c r="J1359" s="10">
        <v>118.71</v>
      </c>
      <c r="K1359" s="10">
        <v>121.96</v>
      </c>
      <c r="L1359" s="10">
        <v>0</v>
      </c>
      <c r="M1359" s="10">
        <v>240.67</v>
      </c>
      <c r="N1359" s="10" t="s">
        <v>761</v>
      </c>
      <c r="O1359" s="10" t="s">
        <v>216</v>
      </c>
      <c r="P1359" s="105">
        <f t="shared" si="21"/>
        <v>30.08375</v>
      </c>
    </row>
    <row r="1360" spans="1:16">
      <c r="A1360" s="10" t="s">
        <v>635</v>
      </c>
      <c r="B1360" s="10">
        <v>4524485</v>
      </c>
      <c r="C1360" s="10" t="s">
        <v>759</v>
      </c>
      <c r="D1360" s="10" t="s">
        <v>760</v>
      </c>
      <c r="E1360" s="10">
        <v>0</v>
      </c>
      <c r="F1360" s="10">
        <v>0</v>
      </c>
      <c r="G1360" s="10">
        <v>0</v>
      </c>
      <c r="H1360" s="10">
        <v>0</v>
      </c>
      <c r="I1360" s="10" t="s">
        <v>138</v>
      </c>
      <c r="J1360" s="10">
        <v>0</v>
      </c>
      <c r="K1360" s="10">
        <v>0</v>
      </c>
      <c r="L1360" s="10">
        <v>0</v>
      </c>
      <c r="M1360" s="10">
        <v>0</v>
      </c>
      <c r="N1360" s="10" t="s">
        <v>761</v>
      </c>
      <c r="O1360" s="10" t="s">
        <v>1696</v>
      </c>
      <c r="P1360" s="105" t="e">
        <f t="shared" si="21"/>
        <v>#DIV/0!</v>
      </c>
    </row>
    <row r="1361" spans="1:16">
      <c r="A1361" s="10" t="s">
        <v>635</v>
      </c>
      <c r="B1361" s="10">
        <v>4524554</v>
      </c>
      <c r="C1361" s="10" t="s">
        <v>759</v>
      </c>
      <c r="D1361" s="10" t="s">
        <v>760</v>
      </c>
      <c r="E1361" s="10">
        <v>0</v>
      </c>
      <c r="F1361" s="10">
        <v>0</v>
      </c>
      <c r="G1361" s="10">
        <v>0</v>
      </c>
      <c r="H1361" s="10">
        <v>0</v>
      </c>
      <c r="I1361" s="10" t="s">
        <v>74</v>
      </c>
      <c r="J1361" s="10">
        <v>0</v>
      </c>
      <c r="K1361" s="10">
        <v>0</v>
      </c>
      <c r="L1361" s="10">
        <v>0</v>
      </c>
      <c r="M1361" s="10">
        <v>0</v>
      </c>
      <c r="N1361" s="10" t="s">
        <v>761</v>
      </c>
      <c r="O1361" s="10" t="s">
        <v>1697</v>
      </c>
      <c r="P1361" s="105" t="e">
        <f t="shared" si="21"/>
        <v>#DIV/0!</v>
      </c>
    </row>
    <row r="1362" spans="1:16">
      <c r="A1362" s="10" t="s">
        <v>635</v>
      </c>
      <c r="B1362" s="10">
        <v>4524610</v>
      </c>
      <c r="C1362" s="10" t="s">
        <v>759</v>
      </c>
      <c r="D1362" s="10" t="s">
        <v>760</v>
      </c>
      <c r="E1362" s="10">
        <v>0</v>
      </c>
      <c r="F1362" s="10">
        <v>0</v>
      </c>
      <c r="G1362" s="10">
        <v>0</v>
      </c>
      <c r="H1362" s="10">
        <v>0</v>
      </c>
      <c r="I1362" s="10" t="s">
        <v>697</v>
      </c>
      <c r="J1362" s="10">
        <v>0</v>
      </c>
      <c r="K1362" s="10">
        <v>0</v>
      </c>
      <c r="L1362" s="10">
        <v>0</v>
      </c>
      <c r="M1362" s="10">
        <v>0</v>
      </c>
      <c r="N1362" s="10" t="s">
        <v>761</v>
      </c>
      <c r="O1362" s="10" t="s">
        <v>1698</v>
      </c>
      <c r="P1362" s="105" t="e">
        <f t="shared" si="21"/>
        <v>#DIV/0!</v>
      </c>
    </row>
    <row r="1363" spans="1:16">
      <c r="A1363" s="10" t="s">
        <v>635</v>
      </c>
      <c r="B1363" s="10">
        <v>4524613</v>
      </c>
      <c r="C1363" s="10" t="s">
        <v>759</v>
      </c>
      <c r="D1363" s="10" t="s">
        <v>760</v>
      </c>
      <c r="E1363" s="10">
        <v>26.98</v>
      </c>
      <c r="F1363" s="10">
        <v>9.12</v>
      </c>
      <c r="G1363" s="10">
        <v>0</v>
      </c>
      <c r="H1363" s="10">
        <v>36.1</v>
      </c>
      <c r="I1363" s="10" t="s">
        <v>74</v>
      </c>
      <c r="J1363" s="10">
        <v>163.92</v>
      </c>
      <c r="K1363" s="10">
        <v>55.34</v>
      </c>
      <c r="L1363" s="10">
        <v>0</v>
      </c>
      <c r="M1363" s="10">
        <v>219.26</v>
      </c>
      <c r="N1363" s="10" t="s">
        <v>761</v>
      </c>
      <c r="O1363" s="10" t="s">
        <v>133</v>
      </c>
      <c r="P1363" s="105">
        <f t="shared" si="21"/>
        <v>6.07368421052632</v>
      </c>
    </row>
    <row r="1364" spans="1:16">
      <c r="A1364" s="10" t="s">
        <v>635</v>
      </c>
      <c r="B1364" s="10">
        <v>4524660</v>
      </c>
      <c r="C1364" s="10" t="s">
        <v>759</v>
      </c>
      <c r="D1364" s="10" t="s">
        <v>760</v>
      </c>
      <c r="E1364" s="10">
        <v>0</v>
      </c>
      <c r="F1364" s="10">
        <v>0</v>
      </c>
      <c r="G1364" s="10">
        <v>0</v>
      </c>
      <c r="H1364" s="10">
        <v>0</v>
      </c>
      <c r="I1364" s="10" t="s">
        <v>74</v>
      </c>
      <c r="J1364" s="10">
        <v>0</v>
      </c>
      <c r="K1364" s="10">
        <v>0</v>
      </c>
      <c r="L1364" s="10">
        <v>0</v>
      </c>
      <c r="M1364" s="10">
        <v>0</v>
      </c>
      <c r="N1364" s="10" t="s">
        <v>761</v>
      </c>
      <c r="O1364" s="10" t="s">
        <v>1699</v>
      </c>
      <c r="P1364" s="105" t="e">
        <f t="shared" si="21"/>
        <v>#DIV/0!</v>
      </c>
    </row>
    <row r="1365" spans="1:16">
      <c r="A1365" s="10" t="s">
        <v>635</v>
      </c>
      <c r="B1365" s="10">
        <v>4524710</v>
      </c>
      <c r="C1365" s="10" t="s">
        <v>759</v>
      </c>
      <c r="D1365" s="10" t="s">
        <v>760</v>
      </c>
      <c r="E1365" s="10">
        <v>0</v>
      </c>
      <c r="F1365" s="10">
        <v>0</v>
      </c>
      <c r="G1365" s="10">
        <v>0</v>
      </c>
      <c r="H1365" s="10">
        <v>0</v>
      </c>
      <c r="I1365" s="10" t="s">
        <v>74</v>
      </c>
      <c r="J1365" s="10">
        <v>0</v>
      </c>
      <c r="K1365" s="10">
        <v>0</v>
      </c>
      <c r="L1365" s="10">
        <v>0</v>
      </c>
      <c r="M1365" s="10">
        <v>0</v>
      </c>
      <c r="N1365" s="10" t="s">
        <v>761</v>
      </c>
      <c r="O1365" s="10" t="s">
        <v>1700</v>
      </c>
      <c r="P1365" s="105" t="e">
        <f t="shared" si="21"/>
        <v>#DIV/0!</v>
      </c>
    </row>
    <row r="1366" spans="1:16">
      <c r="A1366" s="10" t="s">
        <v>635</v>
      </c>
      <c r="B1366" s="10">
        <v>4524933</v>
      </c>
      <c r="C1366" s="10" t="s">
        <v>759</v>
      </c>
      <c r="D1366" s="10" t="s">
        <v>760</v>
      </c>
      <c r="E1366" s="10">
        <v>3.3</v>
      </c>
      <c r="F1366" s="10">
        <v>0</v>
      </c>
      <c r="G1366" s="10">
        <v>0</v>
      </c>
      <c r="H1366" s="10">
        <v>3.3</v>
      </c>
      <c r="I1366" s="10" t="s">
        <v>74</v>
      </c>
      <c r="J1366" s="10">
        <v>115.5</v>
      </c>
      <c r="K1366" s="10">
        <v>0</v>
      </c>
      <c r="L1366" s="10">
        <v>0</v>
      </c>
      <c r="M1366" s="10">
        <v>115.5</v>
      </c>
      <c r="N1366" s="10" t="s">
        <v>761</v>
      </c>
      <c r="O1366" s="10" t="s">
        <v>598</v>
      </c>
      <c r="P1366" s="105">
        <f t="shared" si="21"/>
        <v>35</v>
      </c>
    </row>
    <row r="1367" spans="1:16">
      <c r="A1367" s="10" t="s">
        <v>635</v>
      </c>
      <c r="B1367" s="10">
        <v>4525015</v>
      </c>
      <c r="C1367" s="10" t="s">
        <v>759</v>
      </c>
      <c r="D1367" s="10" t="s">
        <v>760</v>
      </c>
      <c r="E1367" s="10">
        <v>0</v>
      </c>
      <c r="F1367" s="10">
        <v>0</v>
      </c>
      <c r="G1367" s="10">
        <v>0</v>
      </c>
      <c r="H1367" s="10">
        <v>0</v>
      </c>
      <c r="I1367" s="10" t="s">
        <v>37</v>
      </c>
      <c r="J1367" s="10">
        <v>0</v>
      </c>
      <c r="K1367" s="10">
        <v>0</v>
      </c>
      <c r="L1367" s="10">
        <v>0</v>
      </c>
      <c r="M1367" s="10">
        <v>0</v>
      </c>
      <c r="N1367" s="10" t="s">
        <v>761</v>
      </c>
      <c r="O1367" s="10" t="s">
        <v>1701</v>
      </c>
      <c r="P1367" s="105" t="e">
        <f t="shared" si="21"/>
        <v>#DIV/0!</v>
      </c>
    </row>
    <row r="1368" spans="1:16">
      <c r="A1368" s="10" t="s">
        <v>635</v>
      </c>
      <c r="B1368" s="10">
        <v>4525058</v>
      </c>
      <c r="C1368" s="10" t="s">
        <v>759</v>
      </c>
      <c r="D1368" s="10" t="s">
        <v>760</v>
      </c>
      <c r="E1368" s="10">
        <v>0</v>
      </c>
      <c r="F1368" s="10">
        <v>0</v>
      </c>
      <c r="G1368" s="10">
        <v>0</v>
      </c>
      <c r="H1368" s="10">
        <v>0</v>
      </c>
      <c r="I1368" s="10" t="s">
        <v>74</v>
      </c>
      <c r="J1368" s="10">
        <v>0</v>
      </c>
      <c r="K1368" s="10">
        <v>0</v>
      </c>
      <c r="L1368" s="10">
        <v>0</v>
      </c>
      <c r="M1368" s="10">
        <v>0</v>
      </c>
      <c r="N1368" s="10" t="s">
        <v>761</v>
      </c>
      <c r="O1368" s="10" t="s">
        <v>1702</v>
      </c>
      <c r="P1368" s="105" t="e">
        <f t="shared" si="21"/>
        <v>#DIV/0!</v>
      </c>
    </row>
    <row r="1369" spans="1:16">
      <c r="A1369" s="10" t="s">
        <v>635</v>
      </c>
      <c r="B1369" s="10">
        <v>4525059</v>
      </c>
      <c r="C1369" s="10" t="s">
        <v>759</v>
      </c>
      <c r="D1369" s="10" t="s">
        <v>760</v>
      </c>
      <c r="E1369" s="10">
        <v>0</v>
      </c>
      <c r="F1369" s="10">
        <v>0</v>
      </c>
      <c r="G1369" s="10">
        <v>0</v>
      </c>
      <c r="H1369" s="10">
        <v>0</v>
      </c>
      <c r="I1369" s="10" t="s">
        <v>74</v>
      </c>
      <c r="J1369" s="10">
        <v>0</v>
      </c>
      <c r="K1369" s="10">
        <v>0</v>
      </c>
      <c r="L1369" s="10">
        <v>0</v>
      </c>
      <c r="M1369" s="10">
        <v>0</v>
      </c>
      <c r="N1369" s="10" t="s">
        <v>761</v>
      </c>
      <c r="O1369" s="10" t="s">
        <v>1703</v>
      </c>
      <c r="P1369" s="105" t="e">
        <f t="shared" si="21"/>
        <v>#DIV/0!</v>
      </c>
    </row>
    <row r="1370" spans="1:16">
      <c r="A1370" s="10" t="s">
        <v>635</v>
      </c>
      <c r="B1370" s="10">
        <v>4525060</v>
      </c>
      <c r="C1370" s="10" t="s">
        <v>759</v>
      </c>
      <c r="D1370" s="10" t="s">
        <v>760</v>
      </c>
      <c r="E1370" s="10">
        <v>0</v>
      </c>
      <c r="F1370" s="10">
        <v>0</v>
      </c>
      <c r="G1370" s="10">
        <v>0</v>
      </c>
      <c r="H1370" s="10">
        <v>0</v>
      </c>
      <c r="I1370" s="10" t="s">
        <v>74</v>
      </c>
      <c r="J1370" s="10">
        <v>0</v>
      </c>
      <c r="K1370" s="10">
        <v>0</v>
      </c>
      <c r="L1370" s="10">
        <v>0</v>
      </c>
      <c r="M1370" s="10">
        <v>0</v>
      </c>
      <c r="N1370" s="10" t="s">
        <v>761</v>
      </c>
      <c r="O1370" s="10" t="s">
        <v>1704</v>
      </c>
      <c r="P1370" s="105" t="e">
        <f t="shared" si="21"/>
        <v>#DIV/0!</v>
      </c>
    </row>
    <row r="1371" spans="1:16">
      <c r="A1371" s="10" t="s">
        <v>635</v>
      </c>
      <c r="B1371" s="10">
        <v>4525186</v>
      </c>
      <c r="C1371" s="10" t="s">
        <v>759</v>
      </c>
      <c r="D1371" s="10" t="s">
        <v>760</v>
      </c>
      <c r="E1371" s="10">
        <v>0</v>
      </c>
      <c r="F1371" s="10">
        <v>0</v>
      </c>
      <c r="G1371" s="10">
        <v>0</v>
      </c>
      <c r="H1371" s="10">
        <v>0</v>
      </c>
      <c r="I1371" s="10" t="s">
        <v>45</v>
      </c>
      <c r="J1371" s="10">
        <v>0</v>
      </c>
      <c r="K1371" s="10">
        <v>0</v>
      </c>
      <c r="L1371" s="10">
        <v>0</v>
      </c>
      <c r="M1371" s="10">
        <v>0</v>
      </c>
      <c r="N1371" s="10" t="s">
        <v>761</v>
      </c>
      <c r="O1371" s="10" t="s">
        <v>1705</v>
      </c>
      <c r="P1371" s="105" t="e">
        <f t="shared" si="21"/>
        <v>#DIV/0!</v>
      </c>
    </row>
    <row r="1372" spans="1:16">
      <c r="A1372" s="10" t="s">
        <v>635</v>
      </c>
      <c r="B1372" s="10">
        <v>4525187</v>
      </c>
      <c r="C1372" s="10" t="s">
        <v>759</v>
      </c>
      <c r="D1372" s="10" t="s">
        <v>760</v>
      </c>
      <c r="E1372" s="10">
        <v>19</v>
      </c>
      <c r="F1372" s="10">
        <v>72</v>
      </c>
      <c r="G1372" s="10">
        <v>0</v>
      </c>
      <c r="H1372" s="10">
        <v>91</v>
      </c>
      <c r="I1372" s="10" t="s">
        <v>146</v>
      </c>
      <c r="J1372" s="10">
        <v>81.69</v>
      </c>
      <c r="K1372" s="10">
        <v>300.24</v>
      </c>
      <c r="L1372" s="10">
        <v>0</v>
      </c>
      <c r="M1372" s="10">
        <v>381.93</v>
      </c>
      <c r="N1372" s="10" t="s">
        <v>761</v>
      </c>
      <c r="O1372" s="10" t="s">
        <v>484</v>
      </c>
      <c r="P1372" s="105">
        <f t="shared" si="21"/>
        <v>4.19703296703297</v>
      </c>
    </row>
    <row r="1373" spans="1:16">
      <c r="A1373" s="10" t="s">
        <v>635</v>
      </c>
      <c r="B1373" s="10">
        <v>4525188</v>
      </c>
      <c r="C1373" s="10" t="s">
        <v>759</v>
      </c>
      <c r="D1373" s="10" t="s">
        <v>760</v>
      </c>
      <c r="E1373" s="10">
        <v>0</v>
      </c>
      <c r="F1373" s="10">
        <v>0</v>
      </c>
      <c r="G1373" s="10">
        <v>0</v>
      </c>
      <c r="H1373" s="10">
        <v>0</v>
      </c>
      <c r="I1373" s="10" t="s">
        <v>146</v>
      </c>
      <c r="J1373" s="10">
        <v>0</v>
      </c>
      <c r="K1373" s="10">
        <v>0</v>
      </c>
      <c r="L1373" s="10">
        <v>0</v>
      </c>
      <c r="M1373" s="10">
        <v>0</v>
      </c>
      <c r="N1373" s="10" t="s">
        <v>761</v>
      </c>
      <c r="O1373" s="10" t="s">
        <v>1706</v>
      </c>
      <c r="P1373" s="105" t="e">
        <f t="shared" si="21"/>
        <v>#DIV/0!</v>
      </c>
    </row>
    <row r="1374" spans="1:16">
      <c r="A1374" s="10" t="s">
        <v>635</v>
      </c>
      <c r="B1374" s="10">
        <v>4525250</v>
      </c>
      <c r="C1374" s="10" t="s">
        <v>759</v>
      </c>
      <c r="D1374" s="10" t="s">
        <v>760</v>
      </c>
      <c r="E1374" s="10">
        <v>6</v>
      </c>
      <c r="F1374" s="10">
        <v>60</v>
      </c>
      <c r="G1374" s="10">
        <v>0</v>
      </c>
      <c r="H1374" s="10">
        <v>66</v>
      </c>
      <c r="I1374" s="10" t="s">
        <v>74</v>
      </c>
      <c r="J1374" s="10">
        <v>98.88</v>
      </c>
      <c r="K1374" s="10">
        <v>994.8</v>
      </c>
      <c r="L1374" s="10">
        <v>0</v>
      </c>
      <c r="M1374" s="103">
        <v>1093.68</v>
      </c>
      <c r="N1374" s="10" t="s">
        <v>761</v>
      </c>
      <c r="O1374" s="10" t="s">
        <v>120</v>
      </c>
      <c r="P1374" s="105">
        <f t="shared" si="21"/>
        <v>16.5709090909091</v>
      </c>
    </row>
    <row r="1375" spans="1:16">
      <c r="A1375" s="10" t="s">
        <v>635</v>
      </c>
      <c r="B1375" s="10">
        <v>4525251</v>
      </c>
      <c r="C1375" s="10" t="s">
        <v>759</v>
      </c>
      <c r="D1375" s="10" t="s">
        <v>760</v>
      </c>
      <c r="E1375" s="10">
        <v>0</v>
      </c>
      <c r="F1375" s="10">
        <v>0</v>
      </c>
      <c r="G1375" s="10">
        <v>0</v>
      </c>
      <c r="H1375" s="10">
        <v>0</v>
      </c>
      <c r="I1375" s="10" t="s">
        <v>45</v>
      </c>
      <c r="J1375" s="10">
        <v>0</v>
      </c>
      <c r="K1375" s="10">
        <v>0</v>
      </c>
      <c r="L1375" s="10">
        <v>0</v>
      </c>
      <c r="M1375" s="10">
        <v>0</v>
      </c>
      <c r="N1375" s="10" t="s">
        <v>761</v>
      </c>
      <c r="O1375" s="10" t="s">
        <v>1707</v>
      </c>
      <c r="P1375" s="105" t="e">
        <f t="shared" si="21"/>
        <v>#DIV/0!</v>
      </c>
    </row>
    <row r="1376" spans="1:16">
      <c r="A1376" s="10" t="s">
        <v>635</v>
      </c>
      <c r="B1376" s="10">
        <v>4525278</v>
      </c>
      <c r="C1376" s="10" t="s">
        <v>759</v>
      </c>
      <c r="D1376" s="10" t="s">
        <v>760</v>
      </c>
      <c r="E1376" s="10">
        <v>0</v>
      </c>
      <c r="F1376" s="10">
        <v>0</v>
      </c>
      <c r="G1376" s="10">
        <v>0</v>
      </c>
      <c r="H1376" s="10">
        <v>0</v>
      </c>
      <c r="I1376" s="10" t="s">
        <v>45</v>
      </c>
      <c r="J1376" s="10">
        <v>0</v>
      </c>
      <c r="K1376" s="10">
        <v>0</v>
      </c>
      <c r="L1376" s="10">
        <v>0</v>
      </c>
      <c r="M1376" s="10">
        <v>0</v>
      </c>
      <c r="N1376" s="10" t="s">
        <v>761</v>
      </c>
      <c r="O1376" s="10" t="s">
        <v>1708</v>
      </c>
      <c r="P1376" s="105" t="e">
        <f t="shared" si="21"/>
        <v>#DIV/0!</v>
      </c>
    </row>
    <row r="1377" spans="1:16">
      <c r="A1377" s="10" t="s">
        <v>635</v>
      </c>
      <c r="B1377" s="10">
        <v>4525279</v>
      </c>
      <c r="C1377" s="10" t="s">
        <v>759</v>
      </c>
      <c r="D1377" s="10" t="s">
        <v>760</v>
      </c>
      <c r="E1377" s="10">
        <v>0</v>
      </c>
      <c r="F1377" s="10">
        <v>0</v>
      </c>
      <c r="G1377" s="10">
        <v>0</v>
      </c>
      <c r="H1377" s="10">
        <v>0</v>
      </c>
      <c r="I1377" s="10" t="s">
        <v>45</v>
      </c>
      <c r="J1377" s="10">
        <v>0</v>
      </c>
      <c r="K1377" s="10">
        <v>0</v>
      </c>
      <c r="L1377" s="10">
        <v>0</v>
      </c>
      <c r="M1377" s="10">
        <v>0</v>
      </c>
      <c r="N1377" s="10" t="s">
        <v>761</v>
      </c>
      <c r="O1377" s="10" t="s">
        <v>1709</v>
      </c>
      <c r="P1377" s="105" t="e">
        <f t="shared" si="21"/>
        <v>#DIV/0!</v>
      </c>
    </row>
    <row r="1378" spans="1:16">
      <c r="A1378" s="10" t="s">
        <v>635</v>
      </c>
      <c r="B1378" s="10">
        <v>4525313</v>
      </c>
      <c r="C1378" s="10" t="s">
        <v>759</v>
      </c>
      <c r="D1378" s="10" t="s">
        <v>760</v>
      </c>
      <c r="E1378" s="10">
        <v>0</v>
      </c>
      <c r="F1378" s="10">
        <v>0</v>
      </c>
      <c r="G1378" s="10">
        <v>0</v>
      </c>
      <c r="H1378" s="10">
        <v>0</v>
      </c>
      <c r="I1378" s="10" t="s">
        <v>74</v>
      </c>
      <c r="J1378" s="10">
        <v>0</v>
      </c>
      <c r="K1378" s="10">
        <v>0</v>
      </c>
      <c r="L1378" s="10">
        <v>0</v>
      </c>
      <c r="M1378" s="10">
        <v>0</v>
      </c>
      <c r="N1378" s="10" t="s">
        <v>761</v>
      </c>
      <c r="O1378" s="10" t="s">
        <v>725</v>
      </c>
      <c r="P1378" s="105" t="e">
        <f t="shared" si="21"/>
        <v>#DIV/0!</v>
      </c>
    </row>
    <row r="1379" spans="1:16">
      <c r="A1379" s="10" t="s">
        <v>635</v>
      </c>
      <c r="B1379" s="10">
        <v>4525314</v>
      </c>
      <c r="C1379" s="10" t="s">
        <v>759</v>
      </c>
      <c r="D1379" s="10" t="s">
        <v>760</v>
      </c>
      <c r="E1379" s="10">
        <v>11.35</v>
      </c>
      <c r="F1379" s="10">
        <v>20.43</v>
      </c>
      <c r="G1379" s="10">
        <v>0</v>
      </c>
      <c r="H1379" s="10">
        <v>31.78</v>
      </c>
      <c r="I1379" s="10" t="s">
        <v>74</v>
      </c>
      <c r="J1379" s="10">
        <v>83.33</v>
      </c>
      <c r="K1379" s="10">
        <v>150</v>
      </c>
      <c r="L1379" s="10">
        <v>0</v>
      </c>
      <c r="M1379" s="10">
        <v>233.33</v>
      </c>
      <c r="N1379" s="10" t="s">
        <v>761</v>
      </c>
      <c r="O1379" s="10" t="s">
        <v>571</v>
      </c>
      <c r="P1379" s="105">
        <f t="shared" si="21"/>
        <v>7.34203901825047</v>
      </c>
    </row>
    <row r="1380" spans="1:16">
      <c r="A1380" s="10" t="s">
        <v>635</v>
      </c>
      <c r="B1380" s="10">
        <v>4525417</v>
      </c>
      <c r="C1380" s="10" t="s">
        <v>759</v>
      </c>
      <c r="D1380" s="10" t="s">
        <v>760</v>
      </c>
      <c r="E1380" s="10">
        <v>0</v>
      </c>
      <c r="F1380" s="10">
        <v>0</v>
      </c>
      <c r="G1380" s="10">
        <v>0</v>
      </c>
      <c r="H1380" s="10">
        <v>0</v>
      </c>
      <c r="I1380" s="10" t="s">
        <v>74</v>
      </c>
      <c r="J1380" s="10">
        <v>0</v>
      </c>
      <c r="K1380" s="10">
        <v>0</v>
      </c>
      <c r="L1380" s="10">
        <v>0</v>
      </c>
      <c r="M1380" s="10">
        <v>0</v>
      </c>
      <c r="N1380" s="10" t="s">
        <v>761</v>
      </c>
      <c r="O1380" s="10" t="s">
        <v>1710</v>
      </c>
      <c r="P1380" s="105" t="e">
        <f t="shared" si="21"/>
        <v>#DIV/0!</v>
      </c>
    </row>
    <row r="1381" spans="1:16">
      <c r="A1381" s="10" t="s">
        <v>635</v>
      </c>
      <c r="B1381" s="10">
        <v>4525419</v>
      </c>
      <c r="C1381" s="10" t="s">
        <v>759</v>
      </c>
      <c r="D1381" s="10" t="s">
        <v>760</v>
      </c>
      <c r="E1381" s="10">
        <v>16</v>
      </c>
      <c r="F1381" s="10">
        <v>40</v>
      </c>
      <c r="G1381" s="10">
        <v>0</v>
      </c>
      <c r="H1381" s="10">
        <v>56</v>
      </c>
      <c r="I1381" s="10" t="s">
        <v>37</v>
      </c>
      <c r="J1381" s="10">
        <v>480</v>
      </c>
      <c r="K1381" s="103">
        <v>1200</v>
      </c>
      <c r="L1381" s="10">
        <v>0</v>
      </c>
      <c r="M1381" s="103">
        <v>1680</v>
      </c>
      <c r="N1381" s="10" t="s">
        <v>761</v>
      </c>
      <c r="O1381" s="10" t="s">
        <v>580</v>
      </c>
      <c r="P1381" s="105">
        <f t="shared" si="21"/>
        <v>30</v>
      </c>
    </row>
    <row r="1382" spans="1:16">
      <c r="A1382" s="10" t="s">
        <v>635</v>
      </c>
      <c r="B1382" s="10">
        <v>4525836</v>
      </c>
      <c r="C1382" s="10" t="s">
        <v>759</v>
      </c>
      <c r="D1382" s="10" t="s">
        <v>760</v>
      </c>
      <c r="E1382" s="10">
        <v>0</v>
      </c>
      <c r="F1382" s="10">
        <v>0</v>
      </c>
      <c r="G1382" s="10">
        <v>0</v>
      </c>
      <c r="H1382" s="10">
        <v>0</v>
      </c>
      <c r="I1382" s="10" t="s">
        <v>74</v>
      </c>
      <c r="J1382" s="10">
        <v>0</v>
      </c>
      <c r="K1382" s="10">
        <v>0</v>
      </c>
      <c r="L1382" s="10">
        <v>0</v>
      </c>
      <c r="M1382" s="10">
        <v>0</v>
      </c>
      <c r="N1382" s="10" t="s">
        <v>761</v>
      </c>
      <c r="O1382" s="10" t="s">
        <v>1711</v>
      </c>
      <c r="P1382" s="105" t="e">
        <f t="shared" si="21"/>
        <v>#DIV/0!</v>
      </c>
    </row>
    <row r="1383" spans="1:16">
      <c r="A1383" s="10" t="s">
        <v>635</v>
      </c>
      <c r="B1383" s="10">
        <v>4525837</v>
      </c>
      <c r="C1383" s="10" t="s">
        <v>759</v>
      </c>
      <c r="D1383" s="10" t="s">
        <v>760</v>
      </c>
      <c r="E1383" s="10">
        <v>0</v>
      </c>
      <c r="F1383" s="10">
        <v>0</v>
      </c>
      <c r="G1383" s="10">
        <v>0</v>
      </c>
      <c r="H1383" s="10">
        <v>0</v>
      </c>
      <c r="I1383" s="10" t="s">
        <v>21</v>
      </c>
      <c r="J1383" s="10">
        <v>0</v>
      </c>
      <c r="K1383" s="10">
        <v>0</v>
      </c>
      <c r="L1383" s="10">
        <v>0</v>
      </c>
      <c r="M1383" s="10">
        <v>0</v>
      </c>
      <c r="N1383" s="10" t="s">
        <v>761</v>
      </c>
      <c r="O1383" s="10" t="s">
        <v>1712</v>
      </c>
      <c r="P1383" s="105" t="e">
        <f t="shared" si="21"/>
        <v>#DIV/0!</v>
      </c>
    </row>
    <row r="1384" spans="1:16">
      <c r="A1384" s="10" t="s">
        <v>635</v>
      </c>
      <c r="B1384" s="10">
        <v>4525873</v>
      </c>
      <c r="C1384" s="10" t="s">
        <v>759</v>
      </c>
      <c r="D1384" s="10" t="s">
        <v>760</v>
      </c>
      <c r="E1384" s="10">
        <v>0</v>
      </c>
      <c r="F1384" s="10">
        <v>0</v>
      </c>
      <c r="G1384" s="10">
        <v>0</v>
      </c>
      <c r="H1384" s="10">
        <v>0</v>
      </c>
      <c r="I1384" s="10" t="s">
        <v>21</v>
      </c>
      <c r="J1384" s="10">
        <v>0</v>
      </c>
      <c r="K1384" s="10">
        <v>0</v>
      </c>
      <c r="L1384" s="10">
        <v>0</v>
      </c>
      <c r="M1384" s="10">
        <v>0</v>
      </c>
      <c r="N1384" s="10" t="s">
        <v>761</v>
      </c>
      <c r="O1384" s="10" t="s">
        <v>1713</v>
      </c>
      <c r="P1384" s="105" t="e">
        <f t="shared" si="21"/>
        <v>#DIV/0!</v>
      </c>
    </row>
    <row r="1385" spans="1:16">
      <c r="A1385" s="10" t="s">
        <v>635</v>
      </c>
      <c r="B1385" s="10">
        <v>4526018</v>
      </c>
      <c r="C1385" s="10" t="s">
        <v>759</v>
      </c>
      <c r="D1385" s="10" t="s">
        <v>760</v>
      </c>
      <c r="E1385" s="10">
        <v>0</v>
      </c>
      <c r="F1385" s="10">
        <v>0</v>
      </c>
      <c r="G1385" s="10">
        <v>0</v>
      </c>
      <c r="H1385" s="10">
        <v>0</v>
      </c>
      <c r="I1385" s="10" t="s">
        <v>37</v>
      </c>
      <c r="J1385" s="10">
        <v>0</v>
      </c>
      <c r="K1385" s="10">
        <v>0</v>
      </c>
      <c r="L1385" s="10">
        <v>0</v>
      </c>
      <c r="M1385" s="10">
        <v>0</v>
      </c>
      <c r="N1385" s="10" t="s">
        <v>761</v>
      </c>
      <c r="O1385" s="10" t="s">
        <v>1714</v>
      </c>
      <c r="P1385" s="105" t="e">
        <f t="shared" si="21"/>
        <v>#DIV/0!</v>
      </c>
    </row>
    <row r="1386" spans="1:16">
      <c r="A1386" s="10" t="s">
        <v>635</v>
      </c>
      <c r="B1386" s="10">
        <v>4526211</v>
      </c>
      <c r="C1386" s="10" t="s">
        <v>759</v>
      </c>
      <c r="D1386" s="10" t="s">
        <v>760</v>
      </c>
      <c r="E1386" s="10">
        <v>0</v>
      </c>
      <c r="F1386" s="10">
        <v>0</v>
      </c>
      <c r="G1386" s="10">
        <v>0</v>
      </c>
      <c r="H1386" s="10">
        <v>0</v>
      </c>
      <c r="I1386" s="10" t="s">
        <v>74</v>
      </c>
      <c r="J1386" s="10">
        <v>0</v>
      </c>
      <c r="K1386" s="10">
        <v>0</v>
      </c>
      <c r="L1386" s="10">
        <v>0</v>
      </c>
      <c r="M1386" s="10">
        <v>0</v>
      </c>
      <c r="N1386" s="10" t="s">
        <v>761</v>
      </c>
      <c r="O1386" s="10" t="s">
        <v>1715</v>
      </c>
      <c r="P1386" s="105" t="e">
        <f t="shared" si="21"/>
        <v>#DIV/0!</v>
      </c>
    </row>
    <row r="1387" spans="1:16">
      <c r="A1387" s="10" t="s">
        <v>635</v>
      </c>
      <c r="B1387" s="10">
        <v>4526242</v>
      </c>
      <c r="C1387" s="10" t="s">
        <v>759</v>
      </c>
      <c r="D1387" s="10" t="s">
        <v>760</v>
      </c>
      <c r="E1387" s="10">
        <v>12</v>
      </c>
      <c r="F1387" s="10">
        <v>36</v>
      </c>
      <c r="G1387" s="10">
        <v>0</v>
      </c>
      <c r="H1387" s="10">
        <v>48</v>
      </c>
      <c r="I1387" s="10" t="s">
        <v>74</v>
      </c>
      <c r="J1387" s="10">
        <v>160</v>
      </c>
      <c r="K1387" s="10">
        <v>480</v>
      </c>
      <c r="L1387" s="10">
        <v>0</v>
      </c>
      <c r="M1387" s="10">
        <v>640</v>
      </c>
      <c r="N1387" s="10" t="s">
        <v>761</v>
      </c>
      <c r="O1387" s="10" t="s">
        <v>570</v>
      </c>
      <c r="P1387" s="105">
        <f t="shared" si="21"/>
        <v>13.3333333333333</v>
      </c>
    </row>
    <row r="1388" spans="1:16">
      <c r="A1388" s="10" t="s">
        <v>635</v>
      </c>
      <c r="B1388" s="10">
        <v>4526243</v>
      </c>
      <c r="C1388" s="10" t="s">
        <v>759</v>
      </c>
      <c r="D1388" s="10" t="s">
        <v>760</v>
      </c>
      <c r="E1388" s="10">
        <v>48</v>
      </c>
      <c r="F1388" s="10">
        <v>192</v>
      </c>
      <c r="G1388" s="10">
        <v>0</v>
      </c>
      <c r="H1388" s="10">
        <v>240</v>
      </c>
      <c r="I1388" s="10" t="s">
        <v>37</v>
      </c>
      <c r="J1388" s="10">
        <v>211.2</v>
      </c>
      <c r="K1388" s="10">
        <v>844.8</v>
      </c>
      <c r="L1388" s="10">
        <v>0</v>
      </c>
      <c r="M1388" s="103">
        <v>1056</v>
      </c>
      <c r="N1388" s="10" t="s">
        <v>761</v>
      </c>
      <c r="O1388" s="10" t="s">
        <v>596</v>
      </c>
      <c r="P1388" s="105">
        <f t="shared" si="21"/>
        <v>4.4</v>
      </c>
    </row>
    <row r="1389" spans="1:16">
      <c r="A1389" s="10" t="s">
        <v>635</v>
      </c>
      <c r="B1389" s="10">
        <v>4526244</v>
      </c>
      <c r="C1389" s="10" t="s">
        <v>759</v>
      </c>
      <c r="D1389" s="10" t="s">
        <v>760</v>
      </c>
      <c r="E1389" s="10">
        <v>56</v>
      </c>
      <c r="F1389" s="10">
        <v>112</v>
      </c>
      <c r="G1389" s="10">
        <v>0</v>
      </c>
      <c r="H1389" s="10">
        <v>168</v>
      </c>
      <c r="I1389" s="10" t="s">
        <v>37</v>
      </c>
      <c r="J1389" s="10">
        <v>263.2</v>
      </c>
      <c r="K1389" s="10">
        <v>526.4</v>
      </c>
      <c r="L1389" s="10">
        <v>0</v>
      </c>
      <c r="M1389" s="10">
        <v>789.6</v>
      </c>
      <c r="N1389" s="10" t="s">
        <v>761</v>
      </c>
      <c r="O1389" s="10" t="s">
        <v>377</v>
      </c>
      <c r="P1389" s="105">
        <f t="shared" si="21"/>
        <v>4.7</v>
      </c>
    </row>
    <row r="1390" spans="1:16">
      <c r="A1390" s="10" t="s">
        <v>635</v>
      </c>
      <c r="B1390" s="10">
        <v>4526258</v>
      </c>
      <c r="C1390" s="10" t="s">
        <v>759</v>
      </c>
      <c r="D1390" s="10" t="s">
        <v>760</v>
      </c>
      <c r="E1390" s="10">
        <v>71</v>
      </c>
      <c r="F1390" s="10">
        <v>0</v>
      </c>
      <c r="G1390" s="10">
        <v>0</v>
      </c>
      <c r="H1390" s="10">
        <v>71</v>
      </c>
      <c r="I1390" s="10" t="s">
        <v>33</v>
      </c>
      <c r="J1390" s="10">
        <v>470.02</v>
      </c>
      <c r="K1390" s="10">
        <v>0</v>
      </c>
      <c r="L1390" s="10">
        <v>0</v>
      </c>
      <c r="M1390" s="10">
        <v>470.02</v>
      </c>
      <c r="N1390" s="10" t="s">
        <v>761</v>
      </c>
      <c r="O1390" s="10" t="s">
        <v>368</v>
      </c>
      <c r="P1390" s="105">
        <f t="shared" si="21"/>
        <v>6.62</v>
      </c>
    </row>
    <row r="1391" spans="1:16">
      <c r="A1391" s="10" t="s">
        <v>635</v>
      </c>
      <c r="B1391" s="10">
        <v>4526259</v>
      </c>
      <c r="C1391" s="10" t="s">
        <v>759</v>
      </c>
      <c r="D1391" s="10" t="s">
        <v>760</v>
      </c>
      <c r="E1391" s="10">
        <v>121</v>
      </c>
      <c r="F1391" s="10">
        <v>0</v>
      </c>
      <c r="G1391" s="10">
        <v>0</v>
      </c>
      <c r="H1391" s="10">
        <v>121</v>
      </c>
      <c r="I1391" s="10" t="s">
        <v>33</v>
      </c>
      <c r="J1391" s="10">
        <v>813.12</v>
      </c>
      <c r="K1391" s="10">
        <v>0</v>
      </c>
      <c r="L1391" s="10">
        <v>0</v>
      </c>
      <c r="M1391" s="10">
        <v>813.12</v>
      </c>
      <c r="N1391" s="10" t="s">
        <v>761</v>
      </c>
      <c r="O1391" s="10" t="s">
        <v>367</v>
      </c>
      <c r="P1391" s="105">
        <f t="shared" si="21"/>
        <v>6.72</v>
      </c>
    </row>
    <row r="1392" spans="1:16">
      <c r="A1392" s="10" t="s">
        <v>635</v>
      </c>
      <c r="B1392" s="10">
        <v>4526260</v>
      </c>
      <c r="C1392" s="10" t="s">
        <v>759</v>
      </c>
      <c r="D1392" s="10" t="s">
        <v>760</v>
      </c>
      <c r="E1392" s="10">
        <v>148</v>
      </c>
      <c r="F1392" s="10">
        <v>0</v>
      </c>
      <c r="G1392" s="10">
        <v>0</v>
      </c>
      <c r="H1392" s="10">
        <v>148</v>
      </c>
      <c r="I1392" s="10" t="s">
        <v>33</v>
      </c>
      <c r="J1392" s="10">
        <v>990.12</v>
      </c>
      <c r="K1392" s="10">
        <v>0</v>
      </c>
      <c r="L1392" s="10">
        <v>0</v>
      </c>
      <c r="M1392" s="10">
        <v>990.12</v>
      </c>
      <c r="N1392" s="10" t="s">
        <v>761</v>
      </c>
      <c r="O1392" s="10" t="s">
        <v>366</v>
      </c>
      <c r="P1392" s="105">
        <f t="shared" si="21"/>
        <v>6.69</v>
      </c>
    </row>
    <row r="1393" spans="1:16">
      <c r="A1393" s="10" t="s">
        <v>635</v>
      </c>
      <c r="B1393" s="10">
        <v>4526284</v>
      </c>
      <c r="C1393" s="10" t="s">
        <v>759</v>
      </c>
      <c r="D1393" s="10" t="s">
        <v>760</v>
      </c>
      <c r="E1393" s="10">
        <v>600</v>
      </c>
      <c r="F1393" s="10">
        <v>500</v>
      </c>
      <c r="G1393" s="10">
        <v>0</v>
      </c>
      <c r="H1393" s="106">
        <v>1100</v>
      </c>
      <c r="I1393" s="10" t="s">
        <v>33</v>
      </c>
      <c r="J1393" s="10">
        <v>143.88</v>
      </c>
      <c r="K1393" s="10">
        <v>129.9</v>
      </c>
      <c r="L1393" s="10">
        <v>0</v>
      </c>
      <c r="M1393" s="10">
        <v>273.78</v>
      </c>
      <c r="N1393" s="10" t="s">
        <v>761</v>
      </c>
      <c r="O1393" s="10" t="s">
        <v>99</v>
      </c>
      <c r="P1393" s="105">
        <f t="shared" si="21"/>
        <v>0.248890909090909</v>
      </c>
    </row>
    <row r="1394" spans="1:16">
      <c r="A1394" s="10" t="s">
        <v>635</v>
      </c>
      <c r="B1394" s="10">
        <v>4526332</v>
      </c>
      <c r="C1394" s="10" t="s">
        <v>759</v>
      </c>
      <c r="D1394" s="10" t="s">
        <v>760</v>
      </c>
      <c r="E1394" s="10">
        <v>0</v>
      </c>
      <c r="F1394" s="10">
        <v>0</v>
      </c>
      <c r="G1394" s="10">
        <v>0</v>
      </c>
      <c r="H1394" s="10">
        <v>0</v>
      </c>
      <c r="I1394" s="10" t="s">
        <v>37</v>
      </c>
      <c r="J1394" s="10">
        <v>0</v>
      </c>
      <c r="K1394" s="10">
        <v>0</v>
      </c>
      <c r="L1394" s="10">
        <v>0</v>
      </c>
      <c r="M1394" s="10">
        <v>0</v>
      </c>
      <c r="N1394" s="10" t="s">
        <v>761</v>
      </c>
      <c r="O1394" s="10" t="s">
        <v>727</v>
      </c>
      <c r="P1394" s="105" t="e">
        <f t="shared" si="21"/>
        <v>#DIV/0!</v>
      </c>
    </row>
    <row r="1395" spans="1:16">
      <c r="A1395" s="10" t="s">
        <v>635</v>
      </c>
      <c r="B1395" s="10">
        <v>4526367</v>
      </c>
      <c r="C1395" s="10" t="s">
        <v>759</v>
      </c>
      <c r="D1395" s="10" t="s">
        <v>760</v>
      </c>
      <c r="E1395" s="10">
        <v>0</v>
      </c>
      <c r="F1395" s="10">
        <v>0</v>
      </c>
      <c r="G1395" s="10">
        <v>0</v>
      </c>
      <c r="H1395" s="10">
        <v>0</v>
      </c>
      <c r="I1395" s="10" t="s">
        <v>21</v>
      </c>
      <c r="J1395" s="10">
        <v>0</v>
      </c>
      <c r="K1395" s="10">
        <v>0</v>
      </c>
      <c r="L1395" s="10">
        <v>0</v>
      </c>
      <c r="M1395" s="10">
        <v>0</v>
      </c>
      <c r="N1395" s="10" t="s">
        <v>761</v>
      </c>
      <c r="O1395" s="10" t="s">
        <v>728</v>
      </c>
      <c r="P1395" s="105" t="e">
        <f t="shared" si="21"/>
        <v>#DIV/0!</v>
      </c>
    </row>
    <row r="1396" spans="1:16">
      <c r="A1396" s="10" t="s">
        <v>635</v>
      </c>
      <c r="B1396" s="10">
        <v>4526395</v>
      </c>
      <c r="C1396" s="10" t="s">
        <v>759</v>
      </c>
      <c r="D1396" s="10" t="s">
        <v>760</v>
      </c>
      <c r="E1396" s="10">
        <v>0</v>
      </c>
      <c r="F1396" s="10">
        <v>0</v>
      </c>
      <c r="G1396" s="10">
        <v>0</v>
      </c>
      <c r="H1396" s="10">
        <v>0</v>
      </c>
      <c r="I1396" s="10" t="s">
        <v>659</v>
      </c>
      <c r="J1396" s="10">
        <v>0</v>
      </c>
      <c r="K1396" s="10">
        <v>0</v>
      </c>
      <c r="L1396" s="10">
        <v>0</v>
      </c>
      <c r="M1396" s="10">
        <v>0</v>
      </c>
      <c r="N1396" s="10" t="s">
        <v>761</v>
      </c>
      <c r="O1396" s="10" t="s">
        <v>1716</v>
      </c>
      <c r="P1396" s="105" t="e">
        <f t="shared" si="21"/>
        <v>#DIV/0!</v>
      </c>
    </row>
    <row r="1397" spans="1:16">
      <c r="A1397" s="10" t="s">
        <v>635</v>
      </c>
      <c r="B1397" s="10">
        <v>4526639</v>
      </c>
      <c r="C1397" s="10" t="s">
        <v>759</v>
      </c>
      <c r="D1397" s="10" t="s">
        <v>760</v>
      </c>
      <c r="E1397" s="10">
        <v>5.902</v>
      </c>
      <c r="F1397" s="10">
        <v>18.16</v>
      </c>
      <c r="G1397" s="10">
        <v>0</v>
      </c>
      <c r="H1397" s="10">
        <v>24.062</v>
      </c>
      <c r="I1397" s="10" t="s">
        <v>74</v>
      </c>
      <c r="J1397" s="10">
        <v>54.78</v>
      </c>
      <c r="K1397" s="10">
        <v>170</v>
      </c>
      <c r="L1397" s="10">
        <v>0</v>
      </c>
      <c r="M1397" s="10">
        <v>224.78</v>
      </c>
      <c r="N1397" s="10" t="s">
        <v>761</v>
      </c>
      <c r="O1397" s="10" t="s">
        <v>602</v>
      </c>
      <c r="P1397" s="105">
        <f t="shared" si="21"/>
        <v>9.34170060676585</v>
      </c>
    </row>
    <row r="1398" spans="1:16">
      <c r="A1398" s="10" t="s">
        <v>635</v>
      </c>
      <c r="B1398" s="10">
        <v>4526640</v>
      </c>
      <c r="C1398" s="10" t="s">
        <v>759</v>
      </c>
      <c r="D1398" s="10" t="s">
        <v>760</v>
      </c>
      <c r="E1398" s="10">
        <v>0</v>
      </c>
      <c r="F1398" s="10">
        <v>0</v>
      </c>
      <c r="G1398" s="10">
        <v>0</v>
      </c>
      <c r="H1398" s="10">
        <v>0</v>
      </c>
      <c r="I1398" s="10" t="s">
        <v>74</v>
      </c>
      <c r="J1398" s="10">
        <v>0</v>
      </c>
      <c r="K1398" s="10">
        <v>0</v>
      </c>
      <c r="L1398" s="10">
        <v>0</v>
      </c>
      <c r="M1398" s="10">
        <v>0</v>
      </c>
      <c r="N1398" s="10" t="s">
        <v>761</v>
      </c>
      <c r="O1398" s="10" t="s">
        <v>1717</v>
      </c>
      <c r="P1398" s="105" t="e">
        <f t="shared" si="21"/>
        <v>#DIV/0!</v>
      </c>
    </row>
    <row r="1399" spans="1:16">
      <c r="A1399" s="10" t="s">
        <v>635</v>
      </c>
      <c r="B1399" s="10">
        <v>4526641</v>
      </c>
      <c r="C1399" s="10" t="s">
        <v>759</v>
      </c>
      <c r="D1399" s="10" t="s">
        <v>760</v>
      </c>
      <c r="E1399" s="10">
        <v>0</v>
      </c>
      <c r="F1399" s="10">
        <v>0</v>
      </c>
      <c r="G1399" s="10">
        <v>0</v>
      </c>
      <c r="H1399" s="10">
        <v>0</v>
      </c>
      <c r="I1399" s="10" t="s">
        <v>146</v>
      </c>
      <c r="J1399" s="10">
        <v>0</v>
      </c>
      <c r="K1399" s="10">
        <v>0</v>
      </c>
      <c r="L1399" s="10">
        <v>0</v>
      </c>
      <c r="M1399" s="10">
        <v>0</v>
      </c>
      <c r="N1399" s="10" t="s">
        <v>761</v>
      </c>
      <c r="O1399" s="10" t="s">
        <v>1718</v>
      </c>
      <c r="P1399" s="105" t="e">
        <f t="shared" si="21"/>
        <v>#DIV/0!</v>
      </c>
    </row>
    <row r="1400" spans="1:16">
      <c r="A1400" s="10" t="s">
        <v>635</v>
      </c>
      <c r="B1400" s="10">
        <v>4526642</v>
      </c>
      <c r="C1400" s="10" t="s">
        <v>759</v>
      </c>
      <c r="D1400" s="10" t="s">
        <v>760</v>
      </c>
      <c r="E1400" s="10">
        <v>0</v>
      </c>
      <c r="F1400" s="10">
        <v>0</v>
      </c>
      <c r="G1400" s="10">
        <v>0</v>
      </c>
      <c r="H1400" s="10">
        <v>0</v>
      </c>
      <c r="I1400" s="10" t="s">
        <v>74</v>
      </c>
      <c r="J1400" s="10">
        <v>0</v>
      </c>
      <c r="K1400" s="10">
        <v>0</v>
      </c>
      <c r="L1400" s="10">
        <v>0</v>
      </c>
      <c r="M1400" s="10">
        <v>0</v>
      </c>
      <c r="N1400" s="10" t="s">
        <v>761</v>
      </c>
      <c r="O1400" s="10" t="s">
        <v>1719</v>
      </c>
      <c r="P1400" s="105" t="e">
        <f t="shared" si="21"/>
        <v>#DIV/0!</v>
      </c>
    </row>
    <row r="1401" spans="1:16">
      <c r="A1401" s="10" t="s">
        <v>635</v>
      </c>
      <c r="B1401" s="10">
        <v>4526643</v>
      </c>
      <c r="C1401" s="10" t="s">
        <v>759</v>
      </c>
      <c r="D1401" s="10" t="s">
        <v>760</v>
      </c>
      <c r="E1401" s="10">
        <v>0</v>
      </c>
      <c r="F1401" s="10">
        <v>0</v>
      </c>
      <c r="G1401" s="10">
        <v>0</v>
      </c>
      <c r="H1401" s="10">
        <v>0</v>
      </c>
      <c r="I1401" s="10" t="s">
        <v>33</v>
      </c>
      <c r="J1401" s="10">
        <v>0</v>
      </c>
      <c r="K1401" s="10">
        <v>0</v>
      </c>
      <c r="L1401" s="10">
        <v>0</v>
      </c>
      <c r="M1401" s="10">
        <v>0</v>
      </c>
      <c r="N1401" s="10" t="s">
        <v>761</v>
      </c>
      <c r="O1401" s="10" t="s">
        <v>729</v>
      </c>
      <c r="P1401" s="105" t="e">
        <f t="shared" si="21"/>
        <v>#DIV/0!</v>
      </c>
    </row>
    <row r="1402" spans="1:16">
      <c r="A1402" s="10" t="s">
        <v>635</v>
      </c>
      <c r="B1402" s="10">
        <v>4526644</v>
      </c>
      <c r="C1402" s="10" t="s">
        <v>759</v>
      </c>
      <c r="D1402" s="10" t="s">
        <v>760</v>
      </c>
      <c r="E1402" s="10">
        <v>4.7</v>
      </c>
      <c r="F1402" s="10">
        <v>3</v>
      </c>
      <c r="G1402" s="10">
        <v>0</v>
      </c>
      <c r="H1402" s="10">
        <v>7.7</v>
      </c>
      <c r="I1402" s="10" t="s">
        <v>33</v>
      </c>
      <c r="J1402" s="10">
        <v>81.36</v>
      </c>
      <c r="K1402" s="10">
        <v>48.99</v>
      </c>
      <c r="L1402" s="10">
        <v>0</v>
      </c>
      <c r="M1402" s="10">
        <v>130.35</v>
      </c>
      <c r="N1402" s="10" t="s">
        <v>761</v>
      </c>
      <c r="O1402" s="10" t="s">
        <v>495</v>
      </c>
      <c r="P1402" s="105">
        <f t="shared" si="21"/>
        <v>16.9285714285714</v>
      </c>
    </row>
    <row r="1403" spans="1:16">
      <c r="A1403" s="10" t="s">
        <v>635</v>
      </c>
      <c r="B1403" s="10">
        <v>4526645</v>
      </c>
      <c r="C1403" s="10" t="s">
        <v>759</v>
      </c>
      <c r="D1403" s="10" t="s">
        <v>760</v>
      </c>
      <c r="E1403" s="10">
        <v>2</v>
      </c>
      <c r="F1403" s="10">
        <v>0</v>
      </c>
      <c r="G1403" s="10">
        <v>0</v>
      </c>
      <c r="H1403" s="10">
        <v>2</v>
      </c>
      <c r="I1403" s="10" t="s">
        <v>33</v>
      </c>
      <c r="J1403" s="10">
        <v>67.7</v>
      </c>
      <c r="K1403" s="10">
        <v>0</v>
      </c>
      <c r="L1403" s="10">
        <v>0</v>
      </c>
      <c r="M1403" s="10">
        <v>67.7</v>
      </c>
      <c r="N1403" s="10" t="s">
        <v>761</v>
      </c>
      <c r="O1403" s="10" t="s">
        <v>167</v>
      </c>
      <c r="P1403" s="105">
        <f t="shared" si="21"/>
        <v>33.85</v>
      </c>
    </row>
    <row r="1404" spans="1:16">
      <c r="A1404" s="10" t="s">
        <v>635</v>
      </c>
      <c r="B1404" s="10">
        <v>4526646</v>
      </c>
      <c r="C1404" s="10" t="s">
        <v>759</v>
      </c>
      <c r="D1404" s="10" t="s">
        <v>760</v>
      </c>
      <c r="E1404" s="10">
        <v>4.3</v>
      </c>
      <c r="F1404" s="10">
        <v>0</v>
      </c>
      <c r="G1404" s="10">
        <v>0</v>
      </c>
      <c r="H1404" s="10">
        <v>4.3</v>
      </c>
      <c r="I1404" s="10" t="s">
        <v>33</v>
      </c>
      <c r="J1404" s="10">
        <v>70.36</v>
      </c>
      <c r="K1404" s="10">
        <v>0</v>
      </c>
      <c r="L1404" s="10">
        <v>0</v>
      </c>
      <c r="M1404" s="10">
        <v>70.36</v>
      </c>
      <c r="N1404" s="10" t="s">
        <v>761</v>
      </c>
      <c r="O1404" s="10" t="s">
        <v>442</v>
      </c>
      <c r="P1404" s="105">
        <f t="shared" si="21"/>
        <v>16.3627906976744</v>
      </c>
    </row>
    <row r="1405" spans="1:16">
      <c r="A1405" s="10" t="s">
        <v>635</v>
      </c>
      <c r="B1405" s="10">
        <v>4526647</v>
      </c>
      <c r="C1405" s="10" t="s">
        <v>759</v>
      </c>
      <c r="D1405" s="10" t="s">
        <v>760</v>
      </c>
      <c r="E1405" s="10">
        <v>0</v>
      </c>
      <c r="F1405" s="10">
        <v>4</v>
      </c>
      <c r="G1405" s="10">
        <v>0</v>
      </c>
      <c r="H1405" s="10">
        <v>4</v>
      </c>
      <c r="I1405" s="10" t="s">
        <v>33</v>
      </c>
      <c r="J1405" s="10">
        <v>0</v>
      </c>
      <c r="K1405" s="10">
        <v>111.8</v>
      </c>
      <c r="L1405" s="10">
        <v>0</v>
      </c>
      <c r="M1405" s="10">
        <v>111.8</v>
      </c>
      <c r="N1405" s="10" t="s">
        <v>761</v>
      </c>
      <c r="O1405" s="10" t="s">
        <v>286</v>
      </c>
      <c r="P1405" s="105">
        <f t="shared" si="21"/>
        <v>27.95</v>
      </c>
    </row>
    <row r="1406" spans="1:16">
      <c r="A1406" s="10" t="s">
        <v>635</v>
      </c>
      <c r="B1406" s="10">
        <v>4526757</v>
      </c>
      <c r="C1406" s="10" t="s">
        <v>759</v>
      </c>
      <c r="D1406" s="10" t="s">
        <v>760</v>
      </c>
      <c r="E1406" s="10">
        <v>1</v>
      </c>
      <c r="F1406" s="10">
        <v>12</v>
      </c>
      <c r="G1406" s="10">
        <v>0</v>
      </c>
      <c r="H1406" s="10">
        <v>13</v>
      </c>
      <c r="I1406" s="10" t="s">
        <v>33</v>
      </c>
      <c r="J1406" s="10">
        <v>3.23</v>
      </c>
      <c r="K1406" s="10">
        <v>44.23</v>
      </c>
      <c r="L1406" s="10">
        <v>0</v>
      </c>
      <c r="M1406" s="10">
        <v>47.46</v>
      </c>
      <c r="N1406" s="10" t="s">
        <v>761</v>
      </c>
      <c r="O1406" s="10" t="s">
        <v>309</v>
      </c>
      <c r="P1406" s="105">
        <f t="shared" si="21"/>
        <v>3.65076923076923</v>
      </c>
    </row>
    <row r="1407" spans="1:16">
      <c r="A1407" s="10" t="s">
        <v>635</v>
      </c>
      <c r="B1407" s="10">
        <v>4526758</v>
      </c>
      <c r="C1407" s="10" t="s">
        <v>759</v>
      </c>
      <c r="D1407" s="10" t="s">
        <v>760</v>
      </c>
      <c r="E1407" s="10">
        <v>0</v>
      </c>
      <c r="F1407" s="10">
        <v>0</v>
      </c>
      <c r="G1407" s="10">
        <v>0</v>
      </c>
      <c r="H1407" s="10">
        <v>0</v>
      </c>
      <c r="I1407" s="10" t="s">
        <v>74</v>
      </c>
      <c r="J1407" s="10">
        <v>0</v>
      </c>
      <c r="K1407" s="10">
        <v>0</v>
      </c>
      <c r="L1407" s="10">
        <v>0</v>
      </c>
      <c r="M1407" s="10">
        <v>0</v>
      </c>
      <c r="N1407" s="10" t="s">
        <v>761</v>
      </c>
      <c r="O1407" s="10" t="s">
        <v>1720</v>
      </c>
      <c r="P1407" s="105" t="e">
        <f t="shared" si="21"/>
        <v>#DIV/0!</v>
      </c>
    </row>
    <row r="1408" spans="1:16">
      <c r="A1408" s="10" t="s">
        <v>635</v>
      </c>
      <c r="B1408" s="10">
        <v>4526759</v>
      </c>
      <c r="C1408" s="10" t="s">
        <v>759</v>
      </c>
      <c r="D1408" s="10" t="s">
        <v>760</v>
      </c>
      <c r="E1408" s="10">
        <v>12</v>
      </c>
      <c r="F1408" s="10">
        <v>204</v>
      </c>
      <c r="G1408" s="10">
        <v>0</v>
      </c>
      <c r="H1408" s="10">
        <v>216</v>
      </c>
      <c r="I1408" s="10" t="s">
        <v>74</v>
      </c>
      <c r="J1408" s="10">
        <v>44.14</v>
      </c>
      <c r="K1408" s="10">
        <v>751.89</v>
      </c>
      <c r="L1408" s="10">
        <v>0</v>
      </c>
      <c r="M1408" s="10">
        <v>796.03</v>
      </c>
      <c r="N1408" s="10" t="s">
        <v>761</v>
      </c>
      <c r="O1408" s="10" t="s">
        <v>359</v>
      </c>
      <c r="P1408" s="105">
        <f t="shared" si="21"/>
        <v>3.68532407407407</v>
      </c>
    </row>
    <row r="1409" spans="1:16">
      <c r="A1409" s="10" t="s">
        <v>635</v>
      </c>
      <c r="B1409" s="10">
        <v>4526943</v>
      </c>
      <c r="C1409" s="10" t="s">
        <v>759</v>
      </c>
      <c r="D1409" s="10" t="s">
        <v>760</v>
      </c>
      <c r="E1409" s="10">
        <v>0</v>
      </c>
      <c r="F1409" s="10">
        <v>0</v>
      </c>
      <c r="G1409" s="10">
        <v>0</v>
      </c>
      <c r="H1409" s="10">
        <v>0</v>
      </c>
      <c r="I1409" s="10" t="s">
        <v>45</v>
      </c>
      <c r="J1409" s="10">
        <v>0</v>
      </c>
      <c r="K1409" s="10">
        <v>0</v>
      </c>
      <c r="L1409" s="10">
        <v>0</v>
      </c>
      <c r="M1409" s="10">
        <v>0</v>
      </c>
      <c r="N1409" s="10" t="s">
        <v>761</v>
      </c>
      <c r="O1409" s="10" t="s">
        <v>1721</v>
      </c>
      <c r="P1409" s="105" t="e">
        <f t="shared" si="21"/>
        <v>#DIV/0!</v>
      </c>
    </row>
    <row r="1410" spans="1:16">
      <c r="A1410" s="10" t="s">
        <v>635</v>
      </c>
      <c r="B1410" s="10">
        <v>4526991</v>
      </c>
      <c r="C1410" s="10" t="s">
        <v>759</v>
      </c>
      <c r="D1410" s="10" t="s">
        <v>760</v>
      </c>
      <c r="E1410" s="10">
        <v>0</v>
      </c>
      <c r="F1410" s="10">
        <v>0</v>
      </c>
      <c r="G1410" s="10">
        <v>0</v>
      </c>
      <c r="H1410" s="10">
        <v>0</v>
      </c>
      <c r="I1410" s="10" t="s">
        <v>45</v>
      </c>
      <c r="J1410" s="10">
        <v>0</v>
      </c>
      <c r="K1410" s="10">
        <v>0</v>
      </c>
      <c r="L1410" s="10">
        <v>0</v>
      </c>
      <c r="M1410" s="10">
        <v>0</v>
      </c>
      <c r="N1410" s="10" t="s">
        <v>761</v>
      </c>
      <c r="O1410" s="10" t="s">
        <v>1722</v>
      </c>
      <c r="P1410" s="105" t="e">
        <f t="shared" si="21"/>
        <v>#DIV/0!</v>
      </c>
    </row>
    <row r="1411" spans="1:16">
      <c r="A1411" s="10" t="s">
        <v>635</v>
      </c>
      <c r="B1411" s="10">
        <v>4527137</v>
      </c>
      <c r="C1411" s="10" t="s">
        <v>759</v>
      </c>
      <c r="D1411" s="10" t="s">
        <v>760</v>
      </c>
      <c r="E1411" s="10">
        <v>0</v>
      </c>
      <c r="F1411" s="10">
        <v>0</v>
      </c>
      <c r="G1411" s="10">
        <v>0</v>
      </c>
      <c r="H1411" s="10">
        <v>0</v>
      </c>
      <c r="I1411" s="10" t="s">
        <v>74</v>
      </c>
      <c r="J1411" s="10">
        <v>0</v>
      </c>
      <c r="K1411" s="10">
        <v>0</v>
      </c>
      <c r="L1411" s="10">
        <v>0</v>
      </c>
      <c r="M1411" s="10">
        <v>0</v>
      </c>
      <c r="N1411" s="10" t="s">
        <v>761</v>
      </c>
      <c r="O1411" s="10" t="s">
        <v>1723</v>
      </c>
      <c r="P1411" s="105" t="e">
        <f t="shared" ref="P1411:P1474" si="22">M1411/H1411</f>
        <v>#DIV/0!</v>
      </c>
    </row>
    <row r="1412" spans="1:16">
      <c r="A1412" s="10" t="s">
        <v>635</v>
      </c>
      <c r="B1412" s="10">
        <v>4527138</v>
      </c>
      <c r="C1412" s="10" t="s">
        <v>759</v>
      </c>
      <c r="D1412" s="10" t="s">
        <v>760</v>
      </c>
      <c r="E1412" s="10">
        <v>0</v>
      </c>
      <c r="F1412" s="10">
        <v>0</v>
      </c>
      <c r="G1412" s="10">
        <v>0</v>
      </c>
      <c r="H1412" s="10">
        <v>0</v>
      </c>
      <c r="I1412" s="10" t="s">
        <v>74</v>
      </c>
      <c r="J1412" s="10">
        <v>0</v>
      </c>
      <c r="K1412" s="10">
        <v>0</v>
      </c>
      <c r="L1412" s="10">
        <v>0</v>
      </c>
      <c r="M1412" s="10">
        <v>0</v>
      </c>
      <c r="N1412" s="10" t="s">
        <v>761</v>
      </c>
      <c r="O1412" s="10" t="s">
        <v>730</v>
      </c>
      <c r="P1412" s="105" t="e">
        <f t="shared" si="22"/>
        <v>#DIV/0!</v>
      </c>
    </row>
    <row r="1413" spans="1:16">
      <c r="A1413" s="10" t="s">
        <v>635</v>
      </c>
      <c r="B1413" s="10">
        <v>4527139</v>
      </c>
      <c r="C1413" s="10" t="s">
        <v>759</v>
      </c>
      <c r="D1413" s="10" t="s">
        <v>760</v>
      </c>
      <c r="E1413" s="10">
        <v>1</v>
      </c>
      <c r="F1413" s="10">
        <v>0</v>
      </c>
      <c r="G1413" s="10">
        <v>0</v>
      </c>
      <c r="H1413" s="10">
        <v>1</v>
      </c>
      <c r="I1413" s="10" t="s">
        <v>56</v>
      </c>
      <c r="J1413" s="10">
        <v>54.5</v>
      </c>
      <c r="K1413" s="10">
        <v>0</v>
      </c>
      <c r="L1413" s="10">
        <v>0</v>
      </c>
      <c r="M1413" s="10">
        <v>54.5</v>
      </c>
      <c r="N1413" s="10" t="s">
        <v>761</v>
      </c>
      <c r="O1413" s="10" t="s">
        <v>507</v>
      </c>
      <c r="P1413" s="105">
        <f t="shared" si="22"/>
        <v>54.5</v>
      </c>
    </row>
    <row r="1414" spans="1:16">
      <c r="A1414" s="10" t="s">
        <v>635</v>
      </c>
      <c r="B1414" s="10">
        <v>4527259</v>
      </c>
      <c r="C1414" s="10" t="s">
        <v>759</v>
      </c>
      <c r="D1414" s="10" t="s">
        <v>760</v>
      </c>
      <c r="E1414" s="10">
        <v>0</v>
      </c>
      <c r="F1414" s="10">
        <v>0</v>
      </c>
      <c r="G1414" s="10">
        <v>0</v>
      </c>
      <c r="H1414" s="10">
        <v>0</v>
      </c>
      <c r="I1414" s="10" t="s">
        <v>74</v>
      </c>
      <c r="J1414" s="10">
        <v>0</v>
      </c>
      <c r="K1414" s="10">
        <v>0</v>
      </c>
      <c r="L1414" s="10">
        <v>0</v>
      </c>
      <c r="M1414" s="10">
        <v>0</v>
      </c>
      <c r="N1414" s="10" t="s">
        <v>761</v>
      </c>
      <c r="O1414" s="10" t="s">
        <v>1724</v>
      </c>
      <c r="P1414" s="105" t="e">
        <f t="shared" si="22"/>
        <v>#DIV/0!</v>
      </c>
    </row>
    <row r="1415" spans="1:16">
      <c r="A1415" s="10" t="s">
        <v>635</v>
      </c>
      <c r="B1415" s="10">
        <v>4527261</v>
      </c>
      <c r="C1415" s="10" t="s">
        <v>759</v>
      </c>
      <c r="D1415" s="10" t="s">
        <v>760</v>
      </c>
      <c r="E1415" s="10">
        <v>0</v>
      </c>
      <c r="F1415" s="10">
        <v>0</v>
      </c>
      <c r="G1415" s="10">
        <v>0</v>
      </c>
      <c r="H1415" s="10">
        <v>0</v>
      </c>
      <c r="I1415" s="10" t="s">
        <v>478</v>
      </c>
      <c r="J1415" s="10">
        <v>0</v>
      </c>
      <c r="K1415" s="10">
        <v>0</v>
      </c>
      <c r="L1415" s="10">
        <v>0</v>
      </c>
      <c r="M1415" s="10">
        <v>0</v>
      </c>
      <c r="N1415" s="10" t="s">
        <v>761</v>
      </c>
      <c r="O1415" s="10" t="s">
        <v>1725</v>
      </c>
      <c r="P1415" s="105" t="e">
        <f t="shared" si="22"/>
        <v>#DIV/0!</v>
      </c>
    </row>
    <row r="1416" spans="1:16">
      <c r="A1416" s="10" t="s">
        <v>635</v>
      </c>
      <c r="B1416" s="10">
        <v>4527262</v>
      </c>
      <c r="C1416" s="10" t="s">
        <v>759</v>
      </c>
      <c r="D1416" s="10" t="s">
        <v>760</v>
      </c>
      <c r="E1416" s="10">
        <v>0</v>
      </c>
      <c r="F1416" s="10">
        <v>0</v>
      </c>
      <c r="G1416" s="10">
        <v>0</v>
      </c>
      <c r="H1416" s="10">
        <v>0</v>
      </c>
      <c r="I1416" s="10" t="s">
        <v>74</v>
      </c>
      <c r="J1416" s="10">
        <v>0</v>
      </c>
      <c r="K1416" s="10">
        <v>0</v>
      </c>
      <c r="L1416" s="10">
        <v>0</v>
      </c>
      <c r="M1416" s="10">
        <v>0</v>
      </c>
      <c r="N1416" s="10" t="s">
        <v>761</v>
      </c>
      <c r="O1416" s="10" t="s">
        <v>1726</v>
      </c>
      <c r="P1416" s="105" t="e">
        <f t="shared" si="22"/>
        <v>#DIV/0!</v>
      </c>
    </row>
    <row r="1417" spans="1:16">
      <c r="A1417" s="10" t="s">
        <v>635</v>
      </c>
      <c r="B1417" s="10">
        <v>4527480</v>
      </c>
      <c r="C1417" s="10" t="s">
        <v>759</v>
      </c>
      <c r="D1417" s="10" t="s">
        <v>760</v>
      </c>
      <c r="E1417" s="10">
        <v>0</v>
      </c>
      <c r="F1417" s="10">
        <v>0</v>
      </c>
      <c r="G1417" s="10">
        <v>0</v>
      </c>
      <c r="H1417" s="10">
        <v>0</v>
      </c>
      <c r="I1417" s="10" t="s">
        <v>74</v>
      </c>
      <c r="J1417" s="10">
        <v>0</v>
      </c>
      <c r="K1417" s="10">
        <v>0</v>
      </c>
      <c r="L1417" s="10">
        <v>0</v>
      </c>
      <c r="M1417" s="10">
        <v>0</v>
      </c>
      <c r="N1417" s="10" t="s">
        <v>761</v>
      </c>
      <c r="O1417" s="10" t="s">
        <v>1727</v>
      </c>
      <c r="P1417" s="105" t="e">
        <f t="shared" si="22"/>
        <v>#DIV/0!</v>
      </c>
    </row>
    <row r="1418" spans="1:16">
      <c r="A1418" s="10" t="s">
        <v>635</v>
      </c>
      <c r="B1418" s="10">
        <v>4527520</v>
      </c>
      <c r="C1418" s="10" t="s">
        <v>759</v>
      </c>
      <c r="D1418" s="10" t="s">
        <v>760</v>
      </c>
      <c r="E1418" s="10">
        <v>0</v>
      </c>
      <c r="F1418" s="10">
        <v>0</v>
      </c>
      <c r="G1418" s="10">
        <v>0</v>
      </c>
      <c r="H1418" s="10">
        <v>0</v>
      </c>
      <c r="I1418" s="10" t="s">
        <v>74</v>
      </c>
      <c r="J1418" s="10">
        <v>0</v>
      </c>
      <c r="K1418" s="10">
        <v>0</v>
      </c>
      <c r="L1418" s="10">
        <v>0</v>
      </c>
      <c r="M1418" s="10">
        <v>0</v>
      </c>
      <c r="N1418" s="10" t="s">
        <v>761</v>
      </c>
      <c r="O1418" s="10" t="s">
        <v>1728</v>
      </c>
      <c r="P1418" s="105" t="e">
        <f t="shared" si="22"/>
        <v>#DIV/0!</v>
      </c>
    </row>
    <row r="1419" spans="1:16">
      <c r="A1419" s="10" t="s">
        <v>635</v>
      </c>
      <c r="B1419" s="10">
        <v>4527570</v>
      </c>
      <c r="C1419" s="10" t="s">
        <v>759</v>
      </c>
      <c r="D1419" s="10" t="s">
        <v>760</v>
      </c>
      <c r="E1419" s="10">
        <v>20</v>
      </c>
      <c r="F1419" s="10">
        <v>0</v>
      </c>
      <c r="G1419" s="10">
        <v>0</v>
      </c>
      <c r="H1419" s="10">
        <v>20</v>
      </c>
      <c r="I1419" s="10" t="s">
        <v>146</v>
      </c>
      <c r="J1419" s="10">
        <v>218.34</v>
      </c>
      <c r="K1419" s="10">
        <v>0</v>
      </c>
      <c r="L1419" s="10">
        <v>0</v>
      </c>
      <c r="M1419" s="10">
        <v>218.34</v>
      </c>
      <c r="N1419" s="10" t="s">
        <v>761</v>
      </c>
      <c r="O1419" s="10" t="s">
        <v>296</v>
      </c>
      <c r="P1419" s="105">
        <f t="shared" si="22"/>
        <v>10.917</v>
      </c>
    </row>
    <row r="1420" spans="1:16">
      <c r="A1420" s="10" t="s">
        <v>635</v>
      </c>
      <c r="B1420" s="10">
        <v>4527571</v>
      </c>
      <c r="C1420" s="10" t="s">
        <v>759</v>
      </c>
      <c r="D1420" s="10" t="s">
        <v>760</v>
      </c>
      <c r="E1420" s="10">
        <v>0</v>
      </c>
      <c r="F1420" s="10">
        <v>0</v>
      </c>
      <c r="G1420" s="10">
        <v>0</v>
      </c>
      <c r="H1420" s="10">
        <v>0</v>
      </c>
      <c r="I1420" s="10" t="s">
        <v>33</v>
      </c>
      <c r="J1420" s="10">
        <v>0</v>
      </c>
      <c r="K1420" s="10">
        <v>0</v>
      </c>
      <c r="L1420" s="10">
        <v>0</v>
      </c>
      <c r="M1420" s="10">
        <v>0</v>
      </c>
      <c r="N1420" s="10" t="s">
        <v>761</v>
      </c>
      <c r="O1420" s="10" t="s">
        <v>1729</v>
      </c>
      <c r="P1420" s="105" t="e">
        <f t="shared" si="22"/>
        <v>#DIV/0!</v>
      </c>
    </row>
    <row r="1421" spans="1:16">
      <c r="A1421" s="10" t="s">
        <v>635</v>
      </c>
      <c r="B1421" s="10">
        <v>4527669</v>
      </c>
      <c r="C1421" s="10" t="s">
        <v>759</v>
      </c>
      <c r="D1421" s="10" t="s">
        <v>760</v>
      </c>
      <c r="E1421" s="10">
        <v>0</v>
      </c>
      <c r="F1421" s="10">
        <v>16.2</v>
      </c>
      <c r="G1421" s="10">
        <v>0</v>
      </c>
      <c r="H1421" s="10">
        <v>16.2</v>
      </c>
      <c r="I1421" s="10" t="s">
        <v>74</v>
      </c>
      <c r="J1421" s="10">
        <v>0</v>
      </c>
      <c r="K1421" s="10">
        <v>340</v>
      </c>
      <c r="L1421" s="10">
        <v>0</v>
      </c>
      <c r="M1421" s="10">
        <v>340</v>
      </c>
      <c r="N1421" s="10" t="s">
        <v>761</v>
      </c>
      <c r="O1421" s="10" t="s">
        <v>508</v>
      </c>
      <c r="P1421" s="105">
        <f t="shared" si="22"/>
        <v>20.9876543209877</v>
      </c>
    </row>
    <row r="1422" spans="1:16">
      <c r="A1422" s="10" t="s">
        <v>635</v>
      </c>
      <c r="B1422" s="10">
        <v>4527683</v>
      </c>
      <c r="C1422" s="10" t="s">
        <v>759</v>
      </c>
      <c r="D1422" s="10" t="s">
        <v>760</v>
      </c>
      <c r="E1422" s="10">
        <v>0</v>
      </c>
      <c r="F1422" s="10">
        <v>0</v>
      </c>
      <c r="G1422" s="10">
        <v>0</v>
      </c>
      <c r="H1422" s="10">
        <v>0</v>
      </c>
      <c r="I1422" s="10" t="s">
        <v>74</v>
      </c>
      <c r="J1422" s="10">
        <v>0</v>
      </c>
      <c r="K1422" s="10">
        <v>0</v>
      </c>
      <c r="L1422" s="10">
        <v>0</v>
      </c>
      <c r="M1422" s="10">
        <v>0</v>
      </c>
      <c r="N1422" s="10" t="s">
        <v>761</v>
      </c>
      <c r="O1422" s="10" t="s">
        <v>1730</v>
      </c>
      <c r="P1422" s="105" t="e">
        <f t="shared" si="22"/>
        <v>#DIV/0!</v>
      </c>
    </row>
    <row r="1423" spans="1:16">
      <c r="A1423" s="10" t="s">
        <v>635</v>
      </c>
      <c r="B1423" s="10">
        <v>4527695</v>
      </c>
      <c r="C1423" s="10" t="s">
        <v>759</v>
      </c>
      <c r="D1423" s="10" t="s">
        <v>760</v>
      </c>
      <c r="E1423" s="10">
        <v>0</v>
      </c>
      <c r="F1423" s="10">
        <v>0</v>
      </c>
      <c r="G1423" s="10">
        <v>0</v>
      </c>
      <c r="H1423" s="10">
        <v>0</v>
      </c>
      <c r="I1423" s="10" t="s">
        <v>37</v>
      </c>
      <c r="J1423" s="10">
        <v>0</v>
      </c>
      <c r="K1423" s="10">
        <v>0</v>
      </c>
      <c r="L1423" s="10">
        <v>0</v>
      </c>
      <c r="M1423" s="10">
        <v>0</v>
      </c>
      <c r="N1423" s="10" t="s">
        <v>761</v>
      </c>
      <c r="O1423" s="10" t="s">
        <v>1731</v>
      </c>
      <c r="P1423" s="105" t="e">
        <f t="shared" si="22"/>
        <v>#DIV/0!</v>
      </c>
    </row>
    <row r="1424" spans="1:16">
      <c r="A1424" s="10" t="s">
        <v>635</v>
      </c>
      <c r="B1424" s="10">
        <v>4527696</v>
      </c>
      <c r="C1424" s="10" t="s">
        <v>759</v>
      </c>
      <c r="D1424" s="10" t="s">
        <v>760</v>
      </c>
      <c r="E1424" s="10">
        <v>21</v>
      </c>
      <c r="F1424" s="10">
        <v>0</v>
      </c>
      <c r="G1424" s="10">
        <v>0</v>
      </c>
      <c r="H1424" s="10">
        <v>21</v>
      </c>
      <c r="I1424" s="10" t="s">
        <v>33</v>
      </c>
      <c r="J1424" s="10">
        <v>257.25</v>
      </c>
      <c r="K1424" s="10">
        <v>0</v>
      </c>
      <c r="L1424" s="10">
        <v>0</v>
      </c>
      <c r="M1424" s="10">
        <v>257.25</v>
      </c>
      <c r="N1424" s="10" t="s">
        <v>761</v>
      </c>
      <c r="O1424" s="10" t="s">
        <v>125</v>
      </c>
      <c r="P1424" s="105">
        <f t="shared" si="22"/>
        <v>12.25</v>
      </c>
    </row>
    <row r="1425" spans="1:16">
      <c r="A1425" s="10" t="s">
        <v>635</v>
      </c>
      <c r="B1425" s="10">
        <v>4527758</v>
      </c>
      <c r="C1425" s="10" t="s">
        <v>759</v>
      </c>
      <c r="D1425" s="10" t="s">
        <v>760</v>
      </c>
      <c r="E1425" s="10">
        <v>0</v>
      </c>
      <c r="F1425" s="10">
        <v>0</v>
      </c>
      <c r="G1425" s="10">
        <v>0</v>
      </c>
      <c r="H1425" s="10">
        <v>0</v>
      </c>
      <c r="I1425" s="10" t="s">
        <v>37</v>
      </c>
      <c r="J1425" s="10">
        <v>0</v>
      </c>
      <c r="K1425" s="10">
        <v>0</v>
      </c>
      <c r="L1425" s="10">
        <v>0</v>
      </c>
      <c r="M1425" s="10">
        <v>0</v>
      </c>
      <c r="N1425" s="10" t="s">
        <v>761</v>
      </c>
      <c r="O1425" s="10" t="s">
        <v>1732</v>
      </c>
      <c r="P1425" s="105" t="e">
        <f t="shared" si="22"/>
        <v>#DIV/0!</v>
      </c>
    </row>
    <row r="1426" spans="1:16">
      <c r="A1426" s="10" t="s">
        <v>635</v>
      </c>
      <c r="B1426" s="10">
        <v>4527760</v>
      </c>
      <c r="C1426" s="10" t="s">
        <v>759</v>
      </c>
      <c r="D1426" s="10" t="s">
        <v>760</v>
      </c>
      <c r="E1426" s="10">
        <v>0</v>
      </c>
      <c r="F1426" s="10">
        <v>0</v>
      </c>
      <c r="G1426" s="10">
        <v>0</v>
      </c>
      <c r="H1426" s="10">
        <v>0</v>
      </c>
      <c r="I1426" s="10" t="s">
        <v>74</v>
      </c>
      <c r="J1426" s="10">
        <v>0</v>
      </c>
      <c r="K1426" s="10">
        <v>0</v>
      </c>
      <c r="L1426" s="10">
        <v>0</v>
      </c>
      <c r="M1426" s="10">
        <v>0</v>
      </c>
      <c r="N1426" s="10" t="s">
        <v>761</v>
      </c>
      <c r="O1426" s="10" t="s">
        <v>1733</v>
      </c>
      <c r="P1426" s="105" t="e">
        <f t="shared" si="22"/>
        <v>#DIV/0!</v>
      </c>
    </row>
    <row r="1427" spans="1:16">
      <c r="A1427" s="10" t="s">
        <v>635</v>
      </c>
      <c r="B1427" s="10">
        <v>4527761</v>
      </c>
      <c r="C1427" s="10" t="s">
        <v>759</v>
      </c>
      <c r="D1427" s="10" t="s">
        <v>760</v>
      </c>
      <c r="E1427" s="10">
        <v>0</v>
      </c>
      <c r="F1427" s="10">
        <v>0</v>
      </c>
      <c r="G1427" s="10">
        <v>0</v>
      </c>
      <c r="H1427" s="10">
        <v>0</v>
      </c>
      <c r="I1427" s="10" t="s">
        <v>33</v>
      </c>
      <c r="J1427" s="10">
        <v>0</v>
      </c>
      <c r="K1427" s="10">
        <v>0</v>
      </c>
      <c r="L1427" s="10">
        <v>0</v>
      </c>
      <c r="M1427" s="10">
        <v>0</v>
      </c>
      <c r="N1427" s="10" t="s">
        <v>761</v>
      </c>
      <c r="O1427" s="10" t="s">
        <v>731</v>
      </c>
      <c r="P1427" s="105" t="e">
        <f t="shared" si="22"/>
        <v>#DIV/0!</v>
      </c>
    </row>
    <row r="1428" spans="1:16">
      <c r="A1428" s="10" t="s">
        <v>635</v>
      </c>
      <c r="B1428" s="10">
        <v>4527762</v>
      </c>
      <c r="C1428" s="10" t="s">
        <v>759</v>
      </c>
      <c r="D1428" s="10" t="s">
        <v>760</v>
      </c>
      <c r="E1428" s="10">
        <v>0</v>
      </c>
      <c r="F1428" s="10">
        <v>0</v>
      </c>
      <c r="G1428" s="10">
        <v>0</v>
      </c>
      <c r="H1428" s="10">
        <v>0</v>
      </c>
      <c r="I1428" s="10" t="s">
        <v>33</v>
      </c>
      <c r="J1428" s="10">
        <v>0</v>
      </c>
      <c r="K1428" s="10">
        <v>0</v>
      </c>
      <c r="L1428" s="10">
        <v>0</v>
      </c>
      <c r="M1428" s="10">
        <v>0</v>
      </c>
      <c r="N1428" s="10" t="s">
        <v>761</v>
      </c>
      <c r="O1428" s="10" t="s">
        <v>1734</v>
      </c>
      <c r="P1428" s="105" t="e">
        <f t="shared" si="22"/>
        <v>#DIV/0!</v>
      </c>
    </row>
    <row r="1429" spans="1:16">
      <c r="A1429" s="10" t="s">
        <v>635</v>
      </c>
      <c r="B1429" s="10">
        <v>4527763</v>
      </c>
      <c r="C1429" s="10" t="s">
        <v>759</v>
      </c>
      <c r="D1429" s="10" t="s">
        <v>760</v>
      </c>
      <c r="E1429" s="10">
        <v>0</v>
      </c>
      <c r="F1429" s="10">
        <v>0</v>
      </c>
      <c r="G1429" s="10">
        <v>0</v>
      </c>
      <c r="H1429" s="10">
        <v>0</v>
      </c>
      <c r="I1429" s="10" t="s">
        <v>33</v>
      </c>
      <c r="J1429" s="10">
        <v>0</v>
      </c>
      <c r="K1429" s="10">
        <v>0</v>
      </c>
      <c r="L1429" s="10">
        <v>0</v>
      </c>
      <c r="M1429" s="10">
        <v>0</v>
      </c>
      <c r="N1429" s="10" t="s">
        <v>761</v>
      </c>
      <c r="O1429" s="10" t="s">
        <v>1735</v>
      </c>
      <c r="P1429" s="105" t="e">
        <f t="shared" si="22"/>
        <v>#DIV/0!</v>
      </c>
    </row>
    <row r="1430" spans="1:16">
      <c r="A1430" s="10" t="s">
        <v>635</v>
      </c>
      <c r="B1430" s="10">
        <v>4527764</v>
      </c>
      <c r="C1430" s="10" t="s">
        <v>759</v>
      </c>
      <c r="D1430" s="10" t="s">
        <v>760</v>
      </c>
      <c r="E1430" s="10">
        <v>1.3</v>
      </c>
      <c r="F1430" s="10">
        <v>0</v>
      </c>
      <c r="G1430" s="10">
        <v>0</v>
      </c>
      <c r="H1430" s="10">
        <v>1.3</v>
      </c>
      <c r="I1430" s="10" t="s">
        <v>33</v>
      </c>
      <c r="J1430" s="10">
        <v>24.66</v>
      </c>
      <c r="K1430" s="10">
        <v>0</v>
      </c>
      <c r="L1430" s="10">
        <v>0</v>
      </c>
      <c r="M1430" s="10">
        <v>24.66</v>
      </c>
      <c r="N1430" s="10" t="s">
        <v>761</v>
      </c>
      <c r="O1430" s="10" t="s">
        <v>287</v>
      </c>
      <c r="P1430" s="105">
        <f t="shared" si="22"/>
        <v>18.9692307692308</v>
      </c>
    </row>
    <row r="1431" spans="1:16">
      <c r="A1431" s="10" t="s">
        <v>635</v>
      </c>
      <c r="B1431" s="10">
        <v>4527789</v>
      </c>
      <c r="C1431" s="10" t="s">
        <v>759</v>
      </c>
      <c r="D1431" s="10" t="s">
        <v>760</v>
      </c>
      <c r="E1431" s="10">
        <v>0</v>
      </c>
      <c r="F1431" s="10">
        <v>0</v>
      </c>
      <c r="G1431" s="10">
        <v>0</v>
      </c>
      <c r="H1431" s="10">
        <v>0</v>
      </c>
      <c r="I1431" s="10" t="s">
        <v>697</v>
      </c>
      <c r="J1431" s="10">
        <v>0</v>
      </c>
      <c r="K1431" s="10">
        <v>0</v>
      </c>
      <c r="L1431" s="10">
        <v>0</v>
      </c>
      <c r="M1431" s="10">
        <v>0</v>
      </c>
      <c r="N1431" s="10" t="s">
        <v>761</v>
      </c>
      <c r="O1431" s="10" t="s">
        <v>1736</v>
      </c>
      <c r="P1431" s="105" t="e">
        <f t="shared" si="22"/>
        <v>#DIV/0!</v>
      </c>
    </row>
    <row r="1432" spans="1:16">
      <c r="A1432" s="10" t="s">
        <v>635</v>
      </c>
      <c r="B1432" s="10">
        <v>4527808</v>
      </c>
      <c r="C1432" s="10" t="s">
        <v>759</v>
      </c>
      <c r="D1432" s="10" t="s">
        <v>760</v>
      </c>
      <c r="E1432" s="10">
        <v>0</v>
      </c>
      <c r="F1432" s="10">
        <v>0</v>
      </c>
      <c r="G1432" s="10">
        <v>0</v>
      </c>
      <c r="H1432" s="10">
        <v>0</v>
      </c>
      <c r="I1432" s="10" t="s">
        <v>74</v>
      </c>
      <c r="J1432" s="10">
        <v>0</v>
      </c>
      <c r="K1432" s="10">
        <v>0</v>
      </c>
      <c r="L1432" s="10">
        <v>0</v>
      </c>
      <c r="M1432" s="10">
        <v>0</v>
      </c>
      <c r="N1432" s="10" t="s">
        <v>761</v>
      </c>
      <c r="O1432" s="10" t="s">
        <v>1737</v>
      </c>
      <c r="P1432" s="105" t="e">
        <f t="shared" si="22"/>
        <v>#DIV/0!</v>
      </c>
    </row>
    <row r="1433" spans="1:16">
      <c r="A1433" s="10" t="s">
        <v>635</v>
      </c>
      <c r="B1433" s="10">
        <v>4527826</v>
      </c>
      <c r="C1433" s="10" t="s">
        <v>759</v>
      </c>
      <c r="D1433" s="10" t="s">
        <v>760</v>
      </c>
      <c r="E1433" s="10">
        <v>0</v>
      </c>
      <c r="F1433" s="10">
        <v>0</v>
      </c>
      <c r="G1433" s="10">
        <v>0</v>
      </c>
      <c r="H1433" s="10">
        <v>0</v>
      </c>
      <c r="I1433" s="10" t="s">
        <v>33</v>
      </c>
      <c r="J1433" s="10">
        <v>0</v>
      </c>
      <c r="K1433" s="10">
        <v>0</v>
      </c>
      <c r="L1433" s="10">
        <v>0</v>
      </c>
      <c r="M1433" s="10">
        <v>0</v>
      </c>
      <c r="N1433" s="10" t="s">
        <v>761</v>
      </c>
      <c r="O1433" s="10" t="s">
        <v>1738</v>
      </c>
      <c r="P1433" s="105" t="e">
        <f t="shared" si="22"/>
        <v>#DIV/0!</v>
      </c>
    </row>
    <row r="1434" spans="1:16">
      <c r="A1434" s="10" t="s">
        <v>635</v>
      </c>
      <c r="B1434" s="10">
        <v>4527852</v>
      </c>
      <c r="C1434" s="10" t="s">
        <v>759</v>
      </c>
      <c r="D1434" s="10" t="s">
        <v>760</v>
      </c>
      <c r="E1434" s="10">
        <v>0</v>
      </c>
      <c r="F1434" s="10">
        <v>0</v>
      </c>
      <c r="G1434" s="10">
        <v>0</v>
      </c>
      <c r="H1434" s="10">
        <v>0</v>
      </c>
      <c r="I1434" s="10" t="s">
        <v>74</v>
      </c>
      <c r="J1434" s="10">
        <v>0</v>
      </c>
      <c r="K1434" s="10">
        <v>0</v>
      </c>
      <c r="L1434" s="10">
        <v>0</v>
      </c>
      <c r="M1434" s="10">
        <v>0</v>
      </c>
      <c r="N1434" s="10" t="s">
        <v>761</v>
      </c>
      <c r="O1434" s="10" t="s">
        <v>1739</v>
      </c>
      <c r="P1434" s="105" t="e">
        <f t="shared" si="22"/>
        <v>#DIV/0!</v>
      </c>
    </row>
    <row r="1435" spans="1:16">
      <c r="A1435" s="10" t="s">
        <v>635</v>
      </c>
      <c r="B1435" s="10">
        <v>4527884</v>
      </c>
      <c r="C1435" s="10" t="s">
        <v>759</v>
      </c>
      <c r="D1435" s="10" t="s">
        <v>760</v>
      </c>
      <c r="E1435" s="10">
        <v>24</v>
      </c>
      <c r="F1435" s="10">
        <v>48</v>
      </c>
      <c r="G1435" s="10">
        <v>0</v>
      </c>
      <c r="H1435" s="10">
        <v>72</v>
      </c>
      <c r="I1435" s="10" t="s">
        <v>33</v>
      </c>
      <c r="J1435" s="10">
        <v>32.18</v>
      </c>
      <c r="K1435" s="10">
        <v>60.66</v>
      </c>
      <c r="L1435" s="10">
        <v>0</v>
      </c>
      <c r="M1435" s="10">
        <v>92.84</v>
      </c>
      <c r="N1435" s="10" t="s">
        <v>761</v>
      </c>
      <c r="O1435" s="10" t="s">
        <v>494</v>
      </c>
      <c r="P1435" s="105">
        <f t="shared" si="22"/>
        <v>1.28944444444444</v>
      </c>
    </row>
    <row r="1436" spans="1:16">
      <c r="A1436" s="10" t="s">
        <v>635</v>
      </c>
      <c r="B1436" s="10">
        <v>4527976</v>
      </c>
      <c r="C1436" s="10" t="s">
        <v>759</v>
      </c>
      <c r="D1436" s="10" t="s">
        <v>760</v>
      </c>
      <c r="E1436" s="10">
        <v>0</v>
      </c>
      <c r="F1436" s="10">
        <v>0</v>
      </c>
      <c r="G1436" s="10">
        <v>0</v>
      </c>
      <c r="H1436" s="10">
        <v>0</v>
      </c>
      <c r="I1436" s="10" t="s">
        <v>74</v>
      </c>
      <c r="J1436" s="10">
        <v>0</v>
      </c>
      <c r="K1436" s="10">
        <v>0</v>
      </c>
      <c r="L1436" s="10">
        <v>0</v>
      </c>
      <c r="M1436" s="10">
        <v>0</v>
      </c>
      <c r="N1436" s="10" t="s">
        <v>761</v>
      </c>
      <c r="O1436" s="10" t="s">
        <v>1740</v>
      </c>
      <c r="P1436" s="105" t="e">
        <f t="shared" si="22"/>
        <v>#DIV/0!</v>
      </c>
    </row>
    <row r="1437" spans="1:16">
      <c r="A1437" s="10" t="s">
        <v>635</v>
      </c>
      <c r="B1437" s="10">
        <v>4528086</v>
      </c>
      <c r="C1437" s="10" t="s">
        <v>759</v>
      </c>
      <c r="D1437" s="10" t="s">
        <v>760</v>
      </c>
      <c r="E1437" s="10">
        <v>0</v>
      </c>
      <c r="F1437" s="10">
        <v>0</v>
      </c>
      <c r="G1437" s="10">
        <v>0</v>
      </c>
      <c r="H1437" s="10">
        <v>0</v>
      </c>
      <c r="I1437" s="10" t="s">
        <v>74</v>
      </c>
      <c r="J1437" s="10">
        <v>0</v>
      </c>
      <c r="K1437" s="10">
        <v>0</v>
      </c>
      <c r="L1437" s="10">
        <v>0</v>
      </c>
      <c r="M1437" s="10">
        <v>0</v>
      </c>
      <c r="N1437" s="10" t="s">
        <v>761</v>
      </c>
      <c r="O1437" s="10" t="s">
        <v>732</v>
      </c>
      <c r="P1437" s="105" t="e">
        <f t="shared" si="22"/>
        <v>#DIV/0!</v>
      </c>
    </row>
    <row r="1438" spans="1:16">
      <c r="A1438" s="10" t="s">
        <v>635</v>
      </c>
      <c r="B1438" s="10">
        <v>4528087</v>
      </c>
      <c r="C1438" s="10" t="s">
        <v>759</v>
      </c>
      <c r="D1438" s="10" t="s">
        <v>760</v>
      </c>
      <c r="E1438" s="10">
        <v>0</v>
      </c>
      <c r="F1438" s="10">
        <v>0</v>
      </c>
      <c r="G1438" s="10">
        <v>0</v>
      </c>
      <c r="H1438" s="10">
        <v>0</v>
      </c>
      <c r="I1438" s="10" t="s">
        <v>21</v>
      </c>
      <c r="J1438" s="10">
        <v>0</v>
      </c>
      <c r="K1438" s="10">
        <v>0</v>
      </c>
      <c r="L1438" s="10">
        <v>0</v>
      </c>
      <c r="M1438" s="10">
        <v>0</v>
      </c>
      <c r="N1438" s="10" t="s">
        <v>761</v>
      </c>
      <c r="O1438" s="10" t="s">
        <v>1741</v>
      </c>
      <c r="P1438" s="105" t="e">
        <f t="shared" si="22"/>
        <v>#DIV/0!</v>
      </c>
    </row>
    <row r="1439" spans="1:16">
      <c r="A1439" s="10" t="s">
        <v>635</v>
      </c>
      <c r="B1439" s="10">
        <v>4528182</v>
      </c>
      <c r="C1439" s="10" t="s">
        <v>759</v>
      </c>
      <c r="D1439" s="10" t="s">
        <v>760</v>
      </c>
      <c r="E1439" s="10">
        <v>0</v>
      </c>
      <c r="F1439" s="10">
        <v>0</v>
      </c>
      <c r="G1439" s="10">
        <v>0</v>
      </c>
      <c r="H1439" s="10">
        <v>0</v>
      </c>
      <c r="I1439" s="10" t="s">
        <v>21</v>
      </c>
      <c r="J1439" s="10">
        <v>0</v>
      </c>
      <c r="K1439" s="10">
        <v>0</v>
      </c>
      <c r="L1439" s="10">
        <v>0</v>
      </c>
      <c r="M1439" s="10">
        <v>0</v>
      </c>
      <c r="N1439" s="10" t="s">
        <v>761</v>
      </c>
      <c r="O1439" s="10" t="s">
        <v>1742</v>
      </c>
      <c r="P1439" s="105" t="e">
        <f t="shared" si="22"/>
        <v>#DIV/0!</v>
      </c>
    </row>
    <row r="1440" spans="1:16">
      <c r="A1440" s="10" t="s">
        <v>635</v>
      </c>
      <c r="B1440" s="10">
        <v>4528183</v>
      </c>
      <c r="C1440" s="10" t="s">
        <v>759</v>
      </c>
      <c r="D1440" s="10" t="s">
        <v>760</v>
      </c>
      <c r="E1440" s="10">
        <v>1</v>
      </c>
      <c r="F1440" s="10">
        <v>0</v>
      </c>
      <c r="G1440" s="10">
        <v>0</v>
      </c>
      <c r="H1440" s="10">
        <v>1</v>
      </c>
      <c r="I1440" s="10" t="s">
        <v>33</v>
      </c>
      <c r="J1440" s="10">
        <v>96.72</v>
      </c>
      <c r="K1440" s="10">
        <v>0</v>
      </c>
      <c r="L1440" s="10">
        <v>0</v>
      </c>
      <c r="M1440" s="10">
        <v>96.72</v>
      </c>
      <c r="N1440" s="10" t="s">
        <v>761</v>
      </c>
      <c r="O1440" s="10" t="s">
        <v>59</v>
      </c>
      <c r="P1440" s="105">
        <f t="shared" si="22"/>
        <v>96.72</v>
      </c>
    </row>
    <row r="1441" spans="1:16">
      <c r="A1441" s="10" t="s">
        <v>635</v>
      </c>
      <c r="B1441" s="10">
        <v>4528206</v>
      </c>
      <c r="C1441" s="10" t="s">
        <v>759</v>
      </c>
      <c r="D1441" s="10" t="s">
        <v>760</v>
      </c>
      <c r="E1441" s="10">
        <v>10.5</v>
      </c>
      <c r="F1441" s="10">
        <v>0</v>
      </c>
      <c r="G1441" s="10">
        <v>0</v>
      </c>
      <c r="H1441" s="10">
        <v>10.5</v>
      </c>
      <c r="I1441" s="10" t="s">
        <v>74</v>
      </c>
      <c r="J1441" s="10">
        <v>55</v>
      </c>
      <c r="K1441" s="10">
        <v>0</v>
      </c>
      <c r="L1441" s="10">
        <v>0</v>
      </c>
      <c r="M1441" s="10">
        <v>55</v>
      </c>
      <c r="N1441" s="10" t="s">
        <v>761</v>
      </c>
      <c r="O1441" s="10" t="s">
        <v>338</v>
      </c>
      <c r="P1441" s="105">
        <f t="shared" si="22"/>
        <v>5.23809523809524</v>
      </c>
    </row>
    <row r="1442" spans="1:16">
      <c r="A1442" s="10" t="s">
        <v>635</v>
      </c>
      <c r="B1442" s="10">
        <v>4528268</v>
      </c>
      <c r="C1442" s="10" t="s">
        <v>759</v>
      </c>
      <c r="D1442" s="10" t="s">
        <v>760</v>
      </c>
      <c r="E1442" s="10">
        <v>0</v>
      </c>
      <c r="F1442" s="10">
        <v>0</v>
      </c>
      <c r="G1442" s="10">
        <v>0</v>
      </c>
      <c r="H1442" s="10">
        <v>0</v>
      </c>
      <c r="I1442" s="10" t="s">
        <v>74</v>
      </c>
      <c r="J1442" s="10">
        <v>0</v>
      </c>
      <c r="K1442" s="10">
        <v>0</v>
      </c>
      <c r="L1442" s="10">
        <v>0</v>
      </c>
      <c r="M1442" s="10">
        <v>0</v>
      </c>
      <c r="N1442" s="10" t="s">
        <v>761</v>
      </c>
      <c r="O1442" s="10" t="s">
        <v>1743</v>
      </c>
      <c r="P1442" s="105" t="e">
        <f t="shared" si="22"/>
        <v>#DIV/0!</v>
      </c>
    </row>
    <row r="1443" spans="1:16">
      <c r="A1443" s="10" t="s">
        <v>635</v>
      </c>
      <c r="B1443" s="10">
        <v>4528269</v>
      </c>
      <c r="C1443" s="10" t="s">
        <v>759</v>
      </c>
      <c r="D1443" s="10" t="s">
        <v>760</v>
      </c>
      <c r="E1443" s="10">
        <v>0</v>
      </c>
      <c r="F1443" s="10">
        <v>0</v>
      </c>
      <c r="G1443" s="10">
        <v>0</v>
      </c>
      <c r="H1443" s="10">
        <v>0</v>
      </c>
      <c r="I1443" s="10" t="s">
        <v>697</v>
      </c>
      <c r="J1443" s="10">
        <v>0</v>
      </c>
      <c r="K1443" s="10">
        <v>0</v>
      </c>
      <c r="L1443" s="10">
        <v>0</v>
      </c>
      <c r="M1443" s="10">
        <v>0</v>
      </c>
      <c r="N1443" s="10" t="s">
        <v>761</v>
      </c>
      <c r="O1443" s="10" t="s">
        <v>1744</v>
      </c>
      <c r="P1443" s="105" t="e">
        <f t="shared" si="22"/>
        <v>#DIV/0!</v>
      </c>
    </row>
    <row r="1444" spans="1:16">
      <c r="A1444" s="10" t="s">
        <v>635</v>
      </c>
      <c r="B1444" s="10">
        <v>4528291</v>
      </c>
      <c r="C1444" s="10" t="s">
        <v>759</v>
      </c>
      <c r="D1444" s="10" t="s">
        <v>760</v>
      </c>
      <c r="E1444" s="10">
        <v>1</v>
      </c>
      <c r="F1444" s="10">
        <v>0</v>
      </c>
      <c r="G1444" s="10">
        <v>0</v>
      </c>
      <c r="H1444" s="10">
        <v>1</v>
      </c>
      <c r="I1444" s="10" t="s">
        <v>33</v>
      </c>
      <c r="J1444" s="10">
        <v>24.43</v>
      </c>
      <c r="K1444" s="10">
        <v>0</v>
      </c>
      <c r="L1444" s="10">
        <v>0</v>
      </c>
      <c r="M1444" s="10">
        <v>24.43</v>
      </c>
      <c r="N1444" s="10" t="s">
        <v>761</v>
      </c>
      <c r="O1444" s="10" t="s">
        <v>53</v>
      </c>
      <c r="P1444" s="105">
        <f t="shared" si="22"/>
        <v>24.43</v>
      </c>
    </row>
    <row r="1445" spans="1:16">
      <c r="A1445" s="10" t="s">
        <v>635</v>
      </c>
      <c r="B1445" s="10">
        <v>4528292</v>
      </c>
      <c r="C1445" s="10" t="s">
        <v>759</v>
      </c>
      <c r="D1445" s="10" t="s">
        <v>760</v>
      </c>
      <c r="E1445" s="10">
        <v>3</v>
      </c>
      <c r="F1445" s="10">
        <v>0</v>
      </c>
      <c r="G1445" s="10">
        <v>0</v>
      </c>
      <c r="H1445" s="10">
        <v>3</v>
      </c>
      <c r="I1445" s="10" t="s">
        <v>33</v>
      </c>
      <c r="J1445" s="10">
        <v>59.91</v>
      </c>
      <c r="K1445" s="10">
        <v>0</v>
      </c>
      <c r="L1445" s="10">
        <v>0</v>
      </c>
      <c r="M1445" s="10">
        <v>59.91</v>
      </c>
      <c r="N1445" s="10" t="s">
        <v>761</v>
      </c>
      <c r="O1445" s="10" t="s">
        <v>52</v>
      </c>
      <c r="P1445" s="105">
        <f t="shared" si="22"/>
        <v>19.97</v>
      </c>
    </row>
    <row r="1446" spans="1:16">
      <c r="A1446" s="10" t="s">
        <v>635</v>
      </c>
      <c r="B1446" s="10">
        <v>4528490</v>
      </c>
      <c r="C1446" s="10" t="s">
        <v>759</v>
      </c>
      <c r="D1446" s="10" t="s">
        <v>760</v>
      </c>
      <c r="E1446" s="10">
        <v>0</v>
      </c>
      <c r="F1446" s="10">
        <v>0</v>
      </c>
      <c r="G1446" s="10">
        <v>0</v>
      </c>
      <c r="H1446" s="10">
        <v>0</v>
      </c>
      <c r="I1446" s="10" t="s">
        <v>74</v>
      </c>
      <c r="J1446" s="10">
        <v>0</v>
      </c>
      <c r="K1446" s="10">
        <v>0</v>
      </c>
      <c r="L1446" s="10">
        <v>0</v>
      </c>
      <c r="M1446" s="10">
        <v>0</v>
      </c>
      <c r="N1446" s="10" t="s">
        <v>761</v>
      </c>
      <c r="O1446" s="10" t="s">
        <v>1745</v>
      </c>
      <c r="P1446" s="105" t="e">
        <f t="shared" si="22"/>
        <v>#DIV/0!</v>
      </c>
    </row>
    <row r="1447" spans="1:16">
      <c r="A1447" s="10" t="s">
        <v>635</v>
      </c>
      <c r="B1447" s="10">
        <v>4528554</v>
      </c>
      <c r="C1447" s="10" t="s">
        <v>759</v>
      </c>
      <c r="D1447" s="10" t="s">
        <v>760</v>
      </c>
      <c r="E1447" s="10">
        <v>83</v>
      </c>
      <c r="F1447" s="10">
        <v>256</v>
      </c>
      <c r="G1447" s="10">
        <v>0</v>
      </c>
      <c r="H1447" s="10">
        <v>339</v>
      </c>
      <c r="I1447" s="10" t="s">
        <v>93</v>
      </c>
      <c r="J1447" s="10">
        <v>42.87</v>
      </c>
      <c r="K1447" s="10">
        <v>132.24</v>
      </c>
      <c r="L1447" s="10">
        <v>0</v>
      </c>
      <c r="M1447" s="10">
        <v>175.11</v>
      </c>
      <c r="N1447" s="10" t="s">
        <v>761</v>
      </c>
      <c r="O1447" s="10" t="s">
        <v>298</v>
      </c>
      <c r="P1447" s="105">
        <f t="shared" si="22"/>
        <v>0.516548672566372</v>
      </c>
    </row>
    <row r="1448" spans="1:16">
      <c r="A1448" s="10" t="s">
        <v>635</v>
      </c>
      <c r="B1448" s="10">
        <v>4528555</v>
      </c>
      <c r="C1448" s="10" t="s">
        <v>759</v>
      </c>
      <c r="D1448" s="10" t="s">
        <v>760</v>
      </c>
      <c r="E1448" s="10">
        <v>2</v>
      </c>
      <c r="F1448" s="10">
        <v>0</v>
      </c>
      <c r="G1448" s="10">
        <v>0</v>
      </c>
      <c r="H1448" s="10">
        <v>2</v>
      </c>
      <c r="I1448" s="10" t="s">
        <v>138</v>
      </c>
      <c r="J1448" s="10">
        <v>27.98</v>
      </c>
      <c r="K1448" s="10">
        <v>0</v>
      </c>
      <c r="L1448" s="10">
        <v>0</v>
      </c>
      <c r="M1448" s="10">
        <v>27.98</v>
      </c>
      <c r="N1448" s="10" t="s">
        <v>761</v>
      </c>
      <c r="O1448" s="10" t="s">
        <v>532</v>
      </c>
      <c r="P1448" s="105">
        <f t="shared" si="22"/>
        <v>13.99</v>
      </c>
    </row>
    <row r="1449" spans="1:16">
      <c r="A1449" s="10" t="s">
        <v>635</v>
      </c>
      <c r="B1449" s="10">
        <v>4528591</v>
      </c>
      <c r="C1449" s="10" t="s">
        <v>759</v>
      </c>
      <c r="D1449" s="10" t="s">
        <v>760</v>
      </c>
      <c r="E1449" s="10">
        <v>0</v>
      </c>
      <c r="F1449" s="10">
        <v>0</v>
      </c>
      <c r="G1449" s="10">
        <v>0</v>
      </c>
      <c r="H1449" s="10">
        <v>0</v>
      </c>
      <c r="I1449" s="10" t="s">
        <v>74</v>
      </c>
      <c r="J1449" s="10">
        <v>0</v>
      </c>
      <c r="K1449" s="10">
        <v>0</v>
      </c>
      <c r="L1449" s="10">
        <v>0</v>
      </c>
      <c r="M1449" s="10">
        <v>0</v>
      </c>
      <c r="N1449" s="10" t="s">
        <v>761</v>
      </c>
      <c r="O1449" s="10" t="s">
        <v>1746</v>
      </c>
      <c r="P1449" s="105" t="e">
        <f t="shared" si="22"/>
        <v>#DIV/0!</v>
      </c>
    </row>
    <row r="1450" spans="1:16">
      <c r="A1450" s="10" t="s">
        <v>635</v>
      </c>
      <c r="B1450" s="10">
        <v>4528800</v>
      </c>
      <c r="C1450" s="10" t="s">
        <v>759</v>
      </c>
      <c r="D1450" s="10" t="s">
        <v>760</v>
      </c>
      <c r="E1450" s="10">
        <v>0</v>
      </c>
      <c r="F1450" s="10">
        <v>0</v>
      </c>
      <c r="G1450" s="10">
        <v>0</v>
      </c>
      <c r="H1450" s="10">
        <v>0</v>
      </c>
      <c r="I1450" s="10" t="s">
        <v>74</v>
      </c>
      <c r="J1450" s="10">
        <v>0</v>
      </c>
      <c r="K1450" s="10">
        <v>0</v>
      </c>
      <c r="L1450" s="10">
        <v>0</v>
      </c>
      <c r="M1450" s="10">
        <v>0</v>
      </c>
      <c r="N1450" s="10" t="s">
        <v>761</v>
      </c>
      <c r="O1450" s="10" t="s">
        <v>1747</v>
      </c>
      <c r="P1450" s="105" t="e">
        <f t="shared" si="22"/>
        <v>#DIV/0!</v>
      </c>
    </row>
    <row r="1451" spans="1:16">
      <c r="A1451" s="10" t="s">
        <v>635</v>
      </c>
      <c r="B1451" s="10">
        <v>4528801</v>
      </c>
      <c r="C1451" s="10" t="s">
        <v>759</v>
      </c>
      <c r="D1451" s="10" t="s">
        <v>760</v>
      </c>
      <c r="E1451" s="10">
        <v>5.5</v>
      </c>
      <c r="F1451" s="10">
        <v>26</v>
      </c>
      <c r="G1451" s="10">
        <v>-6</v>
      </c>
      <c r="H1451" s="10">
        <v>25.5</v>
      </c>
      <c r="I1451" s="10" t="s">
        <v>56</v>
      </c>
      <c r="J1451" s="10">
        <v>703.45</v>
      </c>
      <c r="K1451" s="103">
        <v>3328</v>
      </c>
      <c r="L1451" s="10">
        <v>-768</v>
      </c>
      <c r="M1451" s="103">
        <v>3263.45</v>
      </c>
      <c r="N1451" s="10" t="s">
        <v>761</v>
      </c>
      <c r="O1451" s="10" t="s">
        <v>180</v>
      </c>
      <c r="P1451" s="105">
        <f t="shared" si="22"/>
        <v>127.978431372549</v>
      </c>
    </row>
    <row r="1452" spans="1:16">
      <c r="A1452" s="10" t="s">
        <v>635</v>
      </c>
      <c r="B1452" s="10">
        <v>4528802</v>
      </c>
      <c r="C1452" s="10" t="s">
        <v>759</v>
      </c>
      <c r="D1452" s="10" t="s">
        <v>760</v>
      </c>
      <c r="E1452" s="10">
        <v>0</v>
      </c>
      <c r="F1452" s="10">
        <v>0</v>
      </c>
      <c r="G1452" s="10">
        <v>0</v>
      </c>
      <c r="H1452" s="10">
        <v>0</v>
      </c>
      <c r="I1452" s="10" t="s">
        <v>74</v>
      </c>
      <c r="J1452" s="10">
        <v>0</v>
      </c>
      <c r="K1452" s="10">
        <v>0</v>
      </c>
      <c r="L1452" s="10">
        <v>0</v>
      </c>
      <c r="M1452" s="10">
        <v>0</v>
      </c>
      <c r="N1452" s="10" t="s">
        <v>761</v>
      </c>
      <c r="O1452" s="10" t="s">
        <v>1748</v>
      </c>
      <c r="P1452" s="105" t="e">
        <f t="shared" si="22"/>
        <v>#DIV/0!</v>
      </c>
    </row>
    <row r="1453" spans="1:16">
      <c r="A1453" s="10" t="s">
        <v>635</v>
      </c>
      <c r="B1453" s="10">
        <v>4528995</v>
      </c>
      <c r="C1453" s="10" t="s">
        <v>759</v>
      </c>
      <c r="D1453" s="10" t="s">
        <v>760</v>
      </c>
      <c r="E1453" s="10">
        <v>0</v>
      </c>
      <c r="F1453" s="10">
        <v>0</v>
      </c>
      <c r="G1453" s="10">
        <v>0</v>
      </c>
      <c r="H1453" s="10">
        <v>0</v>
      </c>
      <c r="I1453" s="10" t="s">
        <v>74</v>
      </c>
      <c r="J1453" s="10">
        <v>0</v>
      </c>
      <c r="K1453" s="10">
        <v>0</v>
      </c>
      <c r="L1453" s="10">
        <v>0</v>
      </c>
      <c r="M1453" s="10">
        <v>0</v>
      </c>
      <c r="N1453" s="10" t="s">
        <v>761</v>
      </c>
      <c r="O1453" s="10" t="s">
        <v>1749</v>
      </c>
      <c r="P1453" s="105" t="e">
        <f t="shared" si="22"/>
        <v>#DIV/0!</v>
      </c>
    </row>
    <row r="1454" spans="1:16">
      <c r="A1454" s="10" t="s">
        <v>635</v>
      </c>
      <c r="B1454" s="10">
        <v>4529103</v>
      </c>
      <c r="C1454" s="10" t="s">
        <v>759</v>
      </c>
      <c r="D1454" s="10" t="s">
        <v>760</v>
      </c>
      <c r="E1454" s="10">
        <v>6</v>
      </c>
      <c r="F1454" s="10">
        <v>18</v>
      </c>
      <c r="G1454" s="10">
        <v>0</v>
      </c>
      <c r="H1454" s="10">
        <v>24</v>
      </c>
      <c r="I1454" s="10" t="s">
        <v>74</v>
      </c>
      <c r="J1454" s="10">
        <v>67.98</v>
      </c>
      <c r="K1454" s="10">
        <v>203.94</v>
      </c>
      <c r="L1454" s="10">
        <v>0</v>
      </c>
      <c r="M1454" s="10">
        <v>271.92</v>
      </c>
      <c r="N1454" s="10" t="s">
        <v>761</v>
      </c>
      <c r="O1454" s="10" t="s">
        <v>305</v>
      </c>
      <c r="P1454" s="105">
        <f t="shared" si="22"/>
        <v>11.33</v>
      </c>
    </row>
    <row r="1455" spans="1:16">
      <c r="A1455" s="10" t="s">
        <v>635</v>
      </c>
      <c r="B1455" s="10">
        <v>4529104</v>
      </c>
      <c r="C1455" s="10" t="s">
        <v>759</v>
      </c>
      <c r="D1455" s="10" t="s">
        <v>760</v>
      </c>
      <c r="E1455" s="10">
        <v>108</v>
      </c>
      <c r="F1455" s="10">
        <v>72</v>
      </c>
      <c r="G1455" s="10">
        <v>0</v>
      </c>
      <c r="H1455" s="10">
        <v>180</v>
      </c>
      <c r="I1455" s="10" t="s">
        <v>33</v>
      </c>
      <c r="J1455" s="10">
        <v>70.88</v>
      </c>
      <c r="K1455" s="10">
        <v>46.98</v>
      </c>
      <c r="L1455" s="10">
        <v>0</v>
      </c>
      <c r="M1455" s="10">
        <v>117.86</v>
      </c>
      <c r="N1455" s="10" t="s">
        <v>761</v>
      </c>
      <c r="O1455" s="10" t="s">
        <v>475</v>
      </c>
      <c r="P1455" s="105">
        <f t="shared" si="22"/>
        <v>0.654777777777778</v>
      </c>
    </row>
    <row r="1456" spans="1:16">
      <c r="A1456" s="10" t="s">
        <v>635</v>
      </c>
      <c r="B1456" s="10">
        <v>4529111</v>
      </c>
      <c r="C1456" s="10" t="s">
        <v>759</v>
      </c>
      <c r="D1456" s="10" t="s">
        <v>760</v>
      </c>
      <c r="E1456" s="10">
        <v>0</v>
      </c>
      <c r="F1456" s="10">
        <v>0</v>
      </c>
      <c r="G1456" s="10">
        <v>0</v>
      </c>
      <c r="H1456" s="10">
        <v>0</v>
      </c>
      <c r="I1456" s="10" t="s">
        <v>74</v>
      </c>
      <c r="J1456" s="10">
        <v>0</v>
      </c>
      <c r="K1456" s="10">
        <v>0</v>
      </c>
      <c r="L1456" s="10">
        <v>0</v>
      </c>
      <c r="M1456" s="10">
        <v>0</v>
      </c>
      <c r="N1456" s="10" t="s">
        <v>761</v>
      </c>
      <c r="O1456" s="10" t="s">
        <v>1750</v>
      </c>
      <c r="P1456" s="105" t="e">
        <f t="shared" si="22"/>
        <v>#DIV/0!</v>
      </c>
    </row>
    <row r="1457" spans="1:16">
      <c r="A1457" s="10" t="s">
        <v>635</v>
      </c>
      <c r="B1457" s="10">
        <v>4529162</v>
      </c>
      <c r="C1457" s="10" t="s">
        <v>759</v>
      </c>
      <c r="D1457" s="10" t="s">
        <v>760</v>
      </c>
      <c r="E1457" s="10">
        <v>0</v>
      </c>
      <c r="F1457" s="10">
        <v>0</v>
      </c>
      <c r="G1457" s="10">
        <v>0</v>
      </c>
      <c r="H1457" s="10">
        <v>0</v>
      </c>
      <c r="I1457" s="10" t="s">
        <v>74</v>
      </c>
      <c r="J1457" s="10">
        <v>0</v>
      </c>
      <c r="K1457" s="10">
        <v>0</v>
      </c>
      <c r="L1457" s="10">
        <v>0</v>
      </c>
      <c r="M1457" s="10">
        <v>0</v>
      </c>
      <c r="N1457" s="10" t="s">
        <v>761</v>
      </c>
      <c r="O1457" s="10" t="s">
        <v>1751</v>
      </c>
      <c r="P1457" s="105" t="e">
        <f t="shared" si="22"/>
        <v>#DIV/0!</v>
      </c>
    </row>
    <row r="1458" spans="1:16">
      <c r="A1458" s="10" t="s">
        <v>635</v>
      </c>
      <c r="B1458" s="10">
        <v>4529179</v>
      </c>
      <c r="C1458" s="10" t="s">
        <v>759</v>
      </c>
      <c r="D1458" s="10" t="s">
        <v>760</v>
      </c>
      <c r="E1458" s="10">
        <v>0</v>
      </c>
      <c r="F1458" s="10">
        <v>0</v>
      </c>
      <c r="G1458" s="10">
        <v>0</v>
      </c>
      <c r="H1458" s="10">
        <v>0</v>
      </c>
      <c r="I1458" s="10" t="s">
        <v>30</v>
      </c>
      <c r="J1458" s="10">
        <v>0</v>
      </c>
      <c r="K1458" s="10">
        <v>0</v>
      </c>
      <c r="L1458" s="10">
        <v>0</v>
      </c>
      <c r="M1458" s="10">
        <v>0</v>
      </c>
      <c r="N1458" s="10" t="s">
        <v>761</v>
      </c>
      <c r="O1458" s="10" t="s">
        <v>1752</v>
      </c>
      <c r="P1458" s="105" t="e">
        <f t="shared" si="22"/>
        <v>#DIV/0!</v>
      </c>
    </row>
    <row r="1459" spans="1:16">
      <c r="A1459" s="10" t="s">
        <v>635</v>
      </c>
      <c r="B1459" s="10">
        <v>4529330</v>
      </c>
      <c r="C1459" s="10" t="s">
        <v>759</v>
      </c>
      <c r="D1459" s="10" t="s">
        <v>760</v>
      </c>
      <c r="E1459" s="10">
        <v>0</v>
      </c>
      <c r="F1459" s="10">
        <v>0</v>
      </c>
      <c r="G1459" s="10">
        <v>0</v>
      </c>
      <c r="H1459" s="10">
        <v>0</v>
      </c>
      <c r="I1459" s="10" t="s">
        <v>74</v>
      </c>
      <c r="J1459" s="10">
        <v>0</v>
      </c>
      <c r="K1459" s="10">
        <v>0</v>
      </c>
      <c r="L1459" s="10">
        <v>0</v>
      </c>
      <c r="M1459" s="10">
        <v>0</v>
      </c>
      <c r="N1459" s="10" t="s">
        <v>761</v>
      </c>
      <c r="O1459" s="10" t="s">
        <v>1753</v>
      </c>
      <c r="P1459" s="105" t="e">
        <f t="shared" si="22"/>
        <v>#DIV/0!</v>
      </c>
    </row>
    <row r="1460" spans="1:16">
      <c r="A1460" s="10" t="s">
        <v>635</v>
      </c>
      <c r="B1460" s="10">
        <v>4529331</v>
      </c>
      <c r="C1460" s="10" t="s">
        <v>759</v>
      </c>
      <c r="D1460" s="10" t="s">
        <v>760</v>
      </c>
      <c r="E1460" s="10">
        <v>0</v>
      </c>
      <c r="F1460" s="103">
        <v>2900</v>
      </c>
      <c r="G1460" s="10">
        <v>0</v>
      </c>
      <c r="H1460" s="103">
        <v>2900</v>
      </c>
      <c r="I1460" s="10" t="s">
        <v>21</v>
      </c>
      <c r="J1460" s="10">
        <v>0</v>
      </c>
      <c r="K1460" s="10">
        <v>319</v>
      </c>
      <c r="L1460" s="10">
        <v>0</v>
      </c>
      <c r="M1460" s="10">
        <v>319</v>
      </c>
      <c r="N1460" s="10" t="s">
        <v>761</v>
      </c>
      <c r="O1460" s="10" t="s">
        <v>439</v>
      </c>
      <c r="P1460" s="105">
        <f t="shared" si="22"/>
        <v>0.11</v>
      </c>
    </row>
    <row r="1461" spans="1:16">
      <c r="A1461" s="10" t="s">
        <v>635</v>
      </c>
      <c r="B1461" s="10">
        <v>4529642</v>
      </c>
      <c r="C1461" s="10" t="s">
        <v>759</v>
      </c>
      <c r="D1461" s="10" t="s">
        <v>760</v>
      </c>
      <c r="E1461" s="103">
        <v>1800</v>
      </c>
      <c r="F1461" s="10">
        <v>0</v>
      </c>
      <c r="G1461" s="10">
        <v>0</v>
      </c>
      <c r="H1461" s="103">
        <v>1800</v>
      </c>
      <c r="I1461" s="10" t="s">
        <v>21</v>
      </c>
      <c r="J1461" s="10">
        <v>112.5</v>
      </c>
      <c r="K1461" s="10">
        <v>0</v>
      </c>
      <c r="L1461" s="10">
        <v>0</v>
      </c>
      <c r="M1461" s="10">
        <v>112.5</v>
      </c>
      <c r="N1461" s="10" t="s">
        <v>761</v>
      </c>
      <c r="O1461" s="10" t="s">
        <v>239</v>
      </c>
      <c r="P1461" s="105">
        <f t="shared" si="22"/>
        <v>0.0625</v>
      </c>
    </row>
    <row r="1462" spans="1:16">
      <c r="A1462" s="10" t="s">
        <v>635</v>
      </c>
      <c r="B1462" s="10">
        <v>4529643</v>
      </c>
      <c r="C1462" s="10" t="s">
        <v>759</v>
      </c>
      <c r="D1462" s="10" t="s">
        <v>760</v>
      </c>
      <c r="E1462" s="103">
        <v>1800</v>
      </c>
      <c r="F1462" s="10">
        <v>0</v>
      </c>
      <c r="G1462" s="10">
        <v>0</v>
      </c>
      <c r="H1462" s="103">
        <v>1800</v>
      </c>
      <c r="I1462" s="10" t="s">
        <v>21</v>
      </c>
      <c r="J1462" s="10">
        <v>83.7</v>
      </c>
      <c r="K1462" s="10">
        <v>0</v>
      </c>
      <c r="L1462" s="10">
        <v>0</v>
      </c>
      <c r="M1462" s="10">
        <v>83.7</v>
      </c>
      <c r="N1462" s="10" t="s">
        <v>761</v>
      </c>
      <c r="O1462" s="10" t="s">
        <v>246</v>
      </c>
      <c r="P1462" s="105">
        <f t="shared" si="22"/>
        <v>0.0465</v>
      </c>
    </row>
    <row r="1463" spans="1:16">
      <c r="A1463" s="10" t="s">
        <v>635</v>
      </c>
      <c r="B1463" s="10">
        <v>4529698</v>
      </c>
      <c r="C1463" s="10" t="s">
        <v>759</v>
      </c>
      <c r="D1463" s="10" t="s">
        <v>760</v>
      </c>
      <c r="E1463" s="10">
        <v>8</v>
      </c>
      <c r="F1463" s="10">
        <v>68</v>
      </c>
      <c r="G1463" s="10">
        <v>0</v>
      </c>
      <c r="H1463" s="10">
        <v>76</v>
      </c>
      <c r="I1463" s="10" t="s">
        <v>56</v>
      </c>
      <c r="J1463" s="10">
        <v>74</v>
      </c>
      <c r="K1463" s="10">
        <v>629</v>
      </c>
      <c r="L1463" s="10">
        <v>0</v>
      </c>
      <c r="M1463" s="10">
        <v>703</v>
      </c>
      <c r="N1463" s="10" t="s">
        <v>761</v>
      </c>
      <c r="O1463" s="10" t="s">
        <v>62</v>
      </c>
      <c r="P1463" s="105">
        <f t="shared" si="22"/>
        <v>9.25</v>
      </c>
    </row>
    <row r="1464" spans="1:16">
      <c r="A1464" s="10" t="s">
        <v>635</v>
      </c>
      <c r="B1464" s="10">
        <v>4529794</v>
      </c>
      <c r="C1464" s="10" t="s">
        <v>759</v>
      </c>
      <c r="D1464" s="10" t="s">
        <v>760</v>
      </c>
      <c r="E1464" s="10">
        <v>13</v>
      </c>
      <c r="F1464" s="10">
        <v>12</v>
      </c>
      <c r="G1464" s="10">
        <v>0</v>
      </c>
      <c r="H1464" s="10">
        <v>25</v>
      </c>
      <c r="I1464" s="10" t="s">
        <v>146</v>
      </c>
      <c r="J1464" s="10">
        <v>64.93</v>
      </c>
      <c r="K1464" s="10">
        <v>59.94</v>
      </c>
      <c r="L1464" s="10">
        <v>0</v>
      </c>
      <c r="M1464" s="10">
        <v>124.87</v>
      </c>
      <c r="N1464" s="10" t="s">
        <v>761</v>
      </c>
      <c r="O1464" s="10" t="s">
        <v>182</v>
      </c>
      <c r="P1464" s="105">
        <f t="shared" si="22"/>
        <v>4.9948</v>
      </c>
    </row>
    <row r="1465" spans="1:16">
      <c r="A1465" s="10" t="s">
        <v>635</v>
      </c>
      <c r="B1465" s="10">
        <v>4529805</v>
      </c>
      <c r="C1465" s="10" t="s">
        <v>759</v>
      </c>
      <c r="D1465" s="10" t="s">
        <v>760</v>
      </c>
      <c r="E1465" s="10">
        <v>0</v>
      </c>
      <c r="F1465" s="10">
        <v>0</v>
      </c>
      <c r="G1465" s="10">
        <v>0</v>
      </c>
      <c r="H1465" s="10">
        <v>0</v>
      </c>
      <c r="I1465" s="10" t="s">
        <v>21</v>
      </c>
      <c r="J1465" s="10">
        <v>0</v>
      </c>
      <c r="K1465" s="10">
        <v>0</v>
      </c>
      <c r="L1465" s="10">
        <v>0</v>
      </c>
      <c r="M1465" s="10">
        <v>0</v>
      </c>
      <c r="N1465" s="10" t="s">
        <v>761</v>
      </c>
      <c r="O1465" s="10" t="s">
        <v>1754</v>
      </c>
      <c r="P1465" s="105" t="e">
        <f t="shared" si="22"/>
        <v>#DIV/0!</v>
      </c>
    </row>
    <row r="1466" spans="1:16">
      <c r="A1466" s="10" t="s">
        <v>635</v>
      </c>
      <c r="B1466" s="10">
        <v>4529863</v>
      </c>
      <c r="C1466" s="10" t="s">
        <v>759</v>
      </c>
      <c r="D1466" s="10" t="s">
        <v>760</v>
      </c>
      <c r="E1466" s="10">
        <v>5</v>
      </c>
      <c r="F1466" s="10">
        <v>42</v>
      </c>
      <c r="G1466" s="10">
        <v>-22</v>
      </c>
      <c r="H1466" s="10">
        <v>25</v>
      </c>
      <c r="I1466" s="10" t="s">
        <v>37</v>
      </c>
      <c r="J1466" s="10">
        <v>17.95</v>
      </c>
      <c r="K1466" s="10">
        <v>150.78</v>
      </c>
      <c r="L1466" s="10">
        <v>-78.98</v>
      </c>
      <c r="M1466" s="10">
        <v>89.75</v>
      </c>
      <c r="N1466" s="10" t="s">
        <v>761</v>
      </c>
      <c r="O1466" s="10" t="s">
        <v>229</v>
      </c>
      <c r="P1466" s="105">
        <f t="shared" si="22"/>
        <v>3.59</v>
      </c>
    </row>
    <row r="1467" spans="1:16">
      <c r="A1467" s="10" t="s">
        <v>635</v>
      </c>
      <c r="B1467" s="10">
        <v>4529926</v>
      </c>
      <c r="C1467" s="10" t="s">
        <v>759</v>
      </c>
      <c r="D1467" s="10" t="s">
        <v>760</v>
      </c>
      <c r="E1467" s="10">
        <v>189</v>
      </c>
      <c r="F1467" s="10">
        <v>819</v>
      </c>
      <c r="G1467" s="10">
        <v>0</v>
      </c>
      <c r="H1467" s="103">
        <v>1008</v>
      </c>
      <c r="I1467" s="10" t="s">
        <v>21</v>
      </c>
      <c r="J1467" s="10">
        <v>98.91</v>
      </c>
      <c r="K1467" s="10">
        <v>428.61</v>
      </c>
      <c r="L1467" s="10">
        <v>0</v>
      </c>
      <c r="M1467" s="10">
        <v>527.52</v>
      </c>
      <c r="N1467" s="10" t="s">
        <v>761</v>
      </c>
      <c r="O1467" s="10" t="s">
        <v>254</v>
      </c>
      <c r="P1467" s="105">
        <f t="shared" si="22"/>
        <v>0.523333333333333</v>
      </c>
    </row>
    <row r="1468" spans="1:16">
      <c r="A1468" s="10" t="s">
        <v>635</v>
      </c>
      <c r="B1468" s="10">
        <v>4530016</v>
      </c>
      <c r="C1468" s="10" t="s">
        <v>759</v>
      </c>
      <c r="D1468" s="10" t="s">
        <v>760</v>
      </c>
      <c r="E1468" s="10">
        <v>110</v>
      </c>
      <c r="F1468" s="10">
        <v>120</v>
      </c>
      <c r="G1468" s="10">
        <v>0</v>
      </c>
      <c r="H1468" s="10">
        <v>230</v>
      </c>
      <c r="I1468" s="10" t="s">
        <v>21</v>
      </c>
      <c r="J1468" s="10">
        <v>70.39</v>
      </c>
      <c r="K1468" s="10">
        <v>76.79</v>
      </c>
      <c r="L1468" s="10">
        <v>0</v>
      </c>
      <c r="M1468" s="10">
        <v>147.18</v>
      </c>
      <c r="N1468" s="10" t="s">
        <v>761</v>
      </c>
      <c r="O1468" s="10" t="s">
        <v>269</v>
      </c>
      <c r="P1468" s="105">
        <f t="shared" si="22"/>
        <v>0.639913043478261</v>
      </c>
    </row>
    <row r="1469" spans="1:16">
      <c r="A1469" s="10" t="s">
        <v>635</v>
      </c>
      <c r="B1469" s="10">
        <v>4530197</v>
      </c>
      <c r="C1469" s="10" t="s">
        <v>759</v>
      </c>
      <c r="D1469" s="10" t="s">
        <v>760</v>
      </c>
      <c r="E1469" s="10">
        <v>0</v>
      </c>
      <c r="F1469" s="10">
        <v>193.2</v>
      </c>
      <c r="G1469" s="10">
        <v>-9.2</v>
      </c>
      <c r="H1469" s="10">
        <v>184</v>
      </c>
      <c r="I1469" s="10" t="s">
        <v>74</v>
      </c>
      <c r="J1469" s="10">
        <v>0</v>
      </c>
      <c r="K1469" s="10">
        <v>598.5</v>
      </c>
      <c r="L1469" s="10">
        <v>-28.5</v>
      </c>
      <c r="M1469" s="10">
        <v>570</v>
      </c>
      <c r="N1469" s="10" t="s">
        <v>761</v>
      </c>
      <c r="O1469" s="10" t="s">
        <v>76</v>
      </c>
      <c r="P1469" s="105">
        <f t="shared" si="22"/>
        <v>3.09782608695652</v>
      </c>
    </row>
    <row r="1470" spans="1:16">
      <c r="A1470" s="10" t="s">
        <v>635</v>
      </c>
      <c r="B1470" s="10">
        <v>4530198</v>
      </c>
      <c r="C1470" s="10" t="s">
        <v>759</v>
      </c>
      <c r="D1470" s="10" t="s">
        <v>760</v>
      </c>
      <c r="E1470" s="10">
        <v>0</v>
      </c>
      <c r="F1470" s="10">
        <v>5</v>
      </c>
      <c r="G1470" s="10">
        <v>0</v>
      </c>
      <c r="H1470" s="10">
        <v>5</v>
      </c>
      <c r="I1470" s="10" t="s">
        <v>74</v>
      </c>
      <c r="J1470" s="10">
        <v>0</v>
      </c>
      <c r="K1470" s="10">
        <v>116</v>
      </c>
      <c r="L1470" s="10">
        <v>0</v>
      </c>
      <c r="M1470" s="10">
        <v>116</v>
      </c>
      <c r="N1470" s="10" t="s">
        <v>761</v>
      </c>
      <c r="O1470" s="10" t="s">
        <v>537</v>
      </c>
      <c r="P1470" s="105">
        <f t="shared" si="22"/>
        <v>23.2</v>
      </c>
    </row>
    <row r="1471" spans="1:16">
      <c r="A1471" s="10" t="s">
        <v>635</v>
      </c>
      <c r="B1471" s="10">
        <v>4530199</v>
      </c>
      <c r="C1471" s="10" t="s">
        <v>759</v>
      </c>
      <c r="D1471" s="10" t="s">
        <v>760</v>
      </c>
      <c r="E1471" s="10">
        <v>24</v>
      </c>
      <c r="F1471" s="10">
        <v>0</v>
      </c>
      <c r="G1471" s="10">
        <v>0</v>
      </c>
      <c r="H1471" s="10">
        <v>24</v>
      </c>
      <c r="I1471" s="10" t="s">
        <v>138</v>
      </c>
      <c r="J1471" s="10">
        <v>76.8</v>
      </c>
      <c r="K1471" s="10">
        <v>0</v>
      </c>
      <c r="L1471" s="10">
        <v>0</v>
      </c>
      <c r="M1471" s="10">
        <v>76.8</v>
      </c>
      <c r="N1471" s="10" t="s">
        <v>761</v>
      </c>
      <c r="O1471" s="10" t="s">
        <v>527</v>
      </c>
      <c r="P1471" s="105">
        <f t="shared" si="22"/>
        <v>3.2</v>
      </c>
    </row>
    <row r="1472" spans="1:16">
      <c r="A1472" s="10" t="s">
        <v>635</v>
      </c>
      <c r="B1472" s="10">
        <v>4530200</v>
      </c>
      <c r="C1472" s="10" t="s">
        <v>759</v>
      </c>
      <c r="D1472" s="10" t="s">
        <v>760</v>
      </c>
      <c r="E1472" s="10">
        <v>0</v>
      </c>
      <c r="F1472" s="10">
        <v>0</v>
      </c>
      <c r="G1472" s="10">
        <v>0</v>
      </c>
      <c r="H1472" s="10">
        <v>0</v>
      </c>
      <c r="I1472" s="10" t="s">
        <v>33</v>
      </c>
      <c r="J1472" s="10">
        <v>0</v>
      </c>
      <c r="K1472" s="10">
        <v>0</v>
      </c>
      <c r="L1472" s="10">
        <v>0</v>
      </c>
      <c r="M1472" s="10">
        <v>0</v>
      </c>
      <c r="N1472" s="10" t="s">
        <v>761</v>
      </c>
      <c r="O1472" s="10" t="s">
        <v>1755</v>
      </c>
      <c r="P1472" s="105" t="e">
        <f t="shared" si="22"/>
        <v>#DIV/0!</v>
      </c>
    </row>
    <row r="1473" spans="1:16">
      <c r="A1473" s="10" t="s">
        <v>635</v>
      </c>
      <c r="B1473" s="10">
        <v>4530201</v>
      </c>
      <c r="C1473" s="10" t="s">
        <v>759</v>
      </c>
      <c r="D1473" s="10" t="s">
        <v>760</v>
      </c>
      <c r="E1473" s="10">
        <v>0</v>
      </c>
      <c r="F1473" s="10">
        <v>0</v>
      </c>
      <c r="G1473" s="10">
        <v>0</v>
      </c>
      <c r="H1473" s="10">
        <v>0</v>
      </c>
      <c r="I1473" s="10" t="s">
        <v>33</v>
      </c>
      <c r="J1473" s="10">
        <v>0</v>
      </c>
      <c r="K1473" s="10">
        <v>0</v>
      </c>
      <c r="L1473" s="10">
        <v>0</v>
      </c>
      <c r="M1473" s="10">
        <v>0</v>
      </c>
      <c r="N1473" s="10" t="s">
        <v>761</v>
      </c>
      <c r="O1473" s="10" t="s">
        <v>1756</v>
      </c>
      <c r="P1473" s="105" t="e">
        <f t="shared" si="22"/>
        <v>#DIV/0!</v>
      </c>
    </row>
    <row r="1474" spans="1:16">
      <c r="A1474" s="10" t="s">
        <v>635</v>
      </c>
      <c r="B1474" s="10">
        <v>4530202</v>
      </c>
      <c r="C1474" s="10" t="s">
        <v>759</v>
      </c>
      <c r="D1474" s="10" t="s">
        <v>760</v>
      </c>
      <c r="E1474" s="10">
        <v>0</v>
      </c>
      <c r="F1474" s="10">
        <v>0</v>
      </c>
      <c r="G1474" s="10">
        <v>0</v>
      </c>
      <c r="H1474" s="10">
        <v>0</v>
      </c>
      <c r="I1474" s="10" t="s">
        <v>33</v>
      </c>
      <c r="J1474" s="10">
        <v>0</v>
      </c>
      <c r="K1474" s="10">
        <v>0</v>
      </c>
      <c r="L1474" s="10">
        <v>0</v>
      </c>
      <c r="M1474" s="10">
        <v>0</v>
      </c>
      <c r="N1474" s="10" t="s">
        <v>761</v>
      </c>
      <c r="O1474" s="10" t="s">
        <v>1757</v>
      </c>
      <c r="P1474" s="105" t="e">
        <f t="shared" si="22"/>
        <v>#DIV/0!</v>
      </c>
    </row>
    <row r="1475" spans="1:16">
      <c r="A1475" s="10" t="s">
        <v>635</v>
      </c>
      <c r="B1475" s="10">
        <v>4530203</v>
      </c>
      <c r="C1475" s="10" t="s">
        <v>759</v>
      </c>
      <c r="D1475" s="10" t="s">
        <v>760</v>
      </c>
      <c r="E1475" s="10">
        <v>0</v>
      </c>
      <c r="F1475" s="10">
        <v>0</v>
      </c>
      <c r="G1475" s="10">
        <v>0</v>
      </c>
      <c r="H1475" s="10">
        <v>0</v>
      </c>
      <c r="I1475" s="10" t="s">
        <v>33</v>
      </c>
      <c r="J1475" s="10">
        <v>0</v>
      </c>
      <c r="K1475" s="10">
        <v>0</v>
      </c>
      <c r="L1475" s="10">
        <v>0</v>
      </c>
      <c r="M1475" s="10">
        <v>0</v>
      </c>
      <c r="N1475" s="10" t="s">
        <v>761</v>
      </c>
      <c r="O1475" s="10" t="s">
        <v>1758</v>
      </c>
      <c r="P1475" s="105" t="e">
        <f t="shared" ref="P1475:P1538" si="23">M1475/H1475</f>
        <v>#DIV/0!</v>
      </c>
    </row>
    <row r="1476" spans="1:16">
      <c r="A1476" s="10" t="s">
        <v>635</v>
      </c>
      <c r="B1476" s="10">
        <v>4530204</v>
      </c>
      <c r="C1476" s="10" t="s">
        <v>759</v>
      </c>
      <c r="D1476" s="10" t="s">
        <v>760</v>
      </c>
      <c r="E1476" s="10">
        <v>0</v>
      </c>
      <c r="F1476" s="103">
        <v>5616</v>
      </c>
      <c r="G1476" s="10">
        <v>0</v>
      </c>
      <c r="H1476" s="103">
        <v>5616</v>
      </c>
      <c r="I1476" s="10" t="s">
        <v>21</v>
      </c>
      <c r="J1476" s="10">
        <v>0</v>
      </c>
      <c r="K1476" s="103">
        <v>2527.2</v>
      </c>
      <c r="L1476" s="10">
        <v>0</v>
      </c>
      <c r="M1476" s="103">
        <v>2527.2</v>
      </c>
      <c r="N1476" s="10" t="s">
        <v>761</v>
      </c>
      <c r="O1476" s="10" t="s">
        <v>174</v>
      </c>
      <c r="P1476" s="105">
        <f t="shared" si="23"/>
        <v>0.45</v>
      </c>
    </row>
    <row r="1477" spans="1:16">
      <c r="A1477" s="10" t="s">
        <v>635</v>
      </c>
      <c r="B1477" s="10">
        <v>4530205</v>
      </c>
      <c r="C1477" s="10" t="s">
        <v>759</v>
      </c>
      <c r="D1477" s="10" t="s">
        <v>760</v>
      </c>
      <c r="E1477" s="10">
        <v>0</v>
      </c>
      <c r="F1477" s="10">
        <v>0</v>
      </c>
      <c r="G1477" s="10">
        <v>0</v>
      </c>
      <c r="H1477" s="10">
        <v>0</v>
      </c>
      <c r="I1477" s="10" t="s">
        <v>37</v>
      </c>
      <c r="J1477" s="10">
        <v>0</v>
      </c>
      <c r="K1477" s="10">
        <v>0</v>
      </c>
      <c r="L1477" s="10">
        <v>0</v>
      </c>
      <c r="M1477" s="10">
        <v>0</v>
      </c>
      <c r="N1477" s="10" t="s">
        <v>761</v>
      </c>
      <c r="O1477" s="10" t="s">
        <v>733</v>
      </c>
      <c r="P1477" s="105" t="e">
        <f t="shared" si="23"/>
        <v>#DIV/0!</v>
      </c>
    </row>
    <row r="1478" spans="1:16">
      <c r="A1478" s="10" t="s">
        <v>635</v>
      </c>
      <c r="B1478" s="10">
        <v>4530206</v>
      </c>
      <c r="C1478" s="10" t="s">
        <v>759</v>
      </c>
      <c r="D1478" s="10" t="s">
        <v>760</v>
      </c>
      <c r="E1478" s="10">
        <v>0</v>
      </c>
      <c r="F1478" s="10">
        <v>14</v>
      </c>
      <c r="G1478" s="10">
        <v>0</v>
      </c>
      <c r="H1478" s="10">
        <v>14</v>
      </c>
      <c r="I1478" s="10" t="s">
        <v>213</v>
      </c>
      <c r="J1478" s="10">
        <v>0</v>
      </c>
      <c r="K1478" s="10">
        <v>154</v>
      </c>
      <c r="L1478" s="10">
        <v>0</v>
      </c>
      <c r="M1478" s="10">
        <v>154</v>
      </c>
      <c r="N1478" s="10" t="s">
        <v>761</v>
      </c>
      <c r="O1478" s="10" t="s">
        <v>211</v>
      </c>
      <c r="P1478" s="105">
        <f t="shared" si="23"/>
        <v>11</v>
      </c>
    </row>
    <row r="1479" spans="1:16">
      <c r="A1479" s="10" t="s">
        <v>635</v>
      </c>
      <c r="B1479" s="10">
        <v>4530323</v>
      </c>
      <c r="C1479" s="10" t="s">
        <v>759</v>
      </c>
      <c r="D1479" s="10" t="s">
        <v>760</v>
      </c>
      <c r="E1479" s="10">
        <v>90</v>
      </c>
      <c r="F1479" s="10">
        <v>0</v>
      </c>
      <c r="G1479" s="10">
        <v>0</v>
      </c>
      <c r="H1479" s="10">
        <v>90</v>
      </c>
      <c r="I1479" s="10" t="s">
        <v>21</v>
      </c>
      <c r="J1479" s="10">
        <v>80.1</v>
      </c>
      <c r="K1479" s="10">
        <v>0</v>
      </c>
      <c r="L1479" s="10">
        <v>0</v>
      </c>
      <c r="M1479" s="10">
        <v>80.1</v>
      </c>
      <c r="N1479" s="10" t="s">
        <v>761</v>
      </c>
      <c r="O1479" s="10" t="s">
        <v>264</v>
      </c>
      <c r="P1479" s="105">
        <f t="shared" si="23"/>
        <v>0.89</v>
      </c>
    </row>
    <row r="1480" spans="1:16">
      <c r="A1480" s="10" t="s">
        <v>635</v>
      </c>
      <c r="B1480" s="10">
        <v>4530324</v>
      </c>
      <c r="C1480" s="10" t="s">
        <v>759</v>
      </c>
      <c r="D1480" s="10" t="s">
        <v>760</v>
      </c>
      <c r="E1480" s="10">
        <v>300</v>
      </c>
      <c r="F1480" s="10">
        <v>600</v>
      </c>
      <c r="G1480" s="10">
        <v>0</v>
      </c>
      <c r="H1480" s="10">
        <v>900</v>
      </c>
      <c r="I1480" s="10" t="s">
        <v>21</v>
      </c>
      <c r="J1480" s="10">
        <v>42.5</v>
      </c>
      <c r="K1480" s="10">
        <v>85</v>
      </c>
      <c r="L1480" s="10">
        <v>0</v>
      </c>
      <c r="M1480" s="10">
        <v>127.5</v>
      </c>
      <c r="N1480" s="10" t="s">
        <v>761</v>
      </c>
      <c r="O1480" s="10" t="s">
        <v>244</v>
      </c>
      <c r="P1480" s="105">
        <f t="shared" si="23"/>
        <v>0.141666666666667</v>
      </c>
    </row>
    <row r="1481" spans="1:16">
      <c r="A1481" s="10" t="s">
        <v>635</v>
      </c>
      <c r="B1481" s="10">
        <v>4530325</v>
      </c>
      <c r="C1481" s="10" t="s">
        <v>759</v>
      </c>
      <c r="D1481" s="10" t="s">
        <v>760</v>
      </c>
      <c r="E1481" s="10">
        <v>0</v>
      </c>
      <c r="F1481" s="10">
        <v>0</v>
      </c>
      <c r="G1481" s="10">
        <v>0</v>
      </c>
      <c r="H1481" s="10">
        <v>0</v>
      </c>
      <c r="I1481" s="10" t="s">
        <v>21</v>
      </c>
      <c r="J1481" s="10">
        <v>0</v>
      </c>
      <c r="K1481" s="10">
        <v>0</v>
      </c>
      <c r="L1481" s="10">
        <v>0</v>
      </c>
      <c r="M1481" s="10">
        <v>0</v>
      </c>
      <c r="N1481" s="10" t="s">
        <v>761</v>
      </c>
      <c r="O1481" s="10" t="s">
        <v>1759</v>
      </c>
      <c r="P1481" s="105" t="e">
        <f t="shared" si="23"/>
        <v>#DIV/0!</v>
      </c>
    </row>
    <row r="1482" spans="1:16">
      <c r="A1482" s="10" t="s">
        <v>635</v>
      </c>
      <c r="B1482" s="10">
        <v>4530374</v>
      </c>
      <c r="C1482" s="10" t="s">
        <v>759</v>
      </c>
      <c r="D1482" s="10" t="s">
        <v>760</v>
      </c>
      <c r="E1482" s="10">
        <v>0</v>
      </c>
      <c r="F1482" s="10">
        <v>0</v>
      </c>
      <c r="G1482" s="10">
        <v>0</v>
      </c>
      <c r="H1482" s="10">
        <v>0</v>
      </c>
      <c r="I1482" s="10" t="s">
        <v>74</v>
      </c>
      <c r="J1482" s="10">
        <v>0</v>
      </c>
      <c r="K1482" s="10">
        <v>0</v>
      </c>
      <c r="L1482" s="10">
        <v>0</v>
      </c>
      <c r="M1482" s="10">
        <v>0</v>
      </c>
      <c r="N1482" s="10" t="s">
        <v>761</v>
      </c>
      <c r="O1482" s="10" t="s">
        <v>1760</v>
      </c>
      <c r="P1482" s="105" t="e">
        <f t="shared" si="23"/>
        <v>#DIV/0!</v>
      </c>
    </row>
    <row r="1483" spans="1:16">
      <c r="A1483" s="10" t="s">
        <v>635</v>
      </c>
      <c r="B1483" s="10">
        <v>4530375</v>
      </c>
      <c r="C1483" s="10" t="s">
        <v>759</v>
      </c>
      <c r="D1483" s="10" t="s">
        <v>760</v>
      </c>
      <c r="E1483" s="10">
        <v>0</v>
      </c>
      <c r="F1483" s="10">
        <v>0</v>
      </c>
      <c r="G1483" s="10">
        <v>0</v>
      </c>
      <c r="H1483" s="10">
        <v>0</v>
      </c>
      <c r="I1483" s="10" t="s">
        <v>74</v>
      </c>
      <c r="J1483" s="10">
        <v>0</v>
      </c>
      <c r="K1483" s="10">
        <v>0</v>
      </c>
      <c r="L1483" s="10">
        <v>0</v>
      </c>
      <c r="M1483" s="10">
        <v>0</v>
      </c>
      <c r="N1483" s="10" t="s">
        <v>761</v>
      </c>
      <c r="O1483" s="10" t="s">
        <v>1761</v>
      </c>
      <c r="P1483" s="105" t="e">
        <f t="shared" si="23"/>
        <v>#DIV/0!</v>
      </c>
    </row>
    <row r="1484" spans="1:16">
      <c r="A1484" s="10" t="s">
        <v>635</v>
      </c>
      <c r="B1484" s="10">
        <v>4530479</v>
      </c>
      <c r="C1484" s="10" t="s">
        <v>759</v>
      </c>
      <c r="D1484" s="10" t="s">
        <v>760</v>
      </c>
      <c r="E1484" s="10">
        <v>0</v>
      </c>
      <c r="F1484" s="10">
        <v>0</v>
      </c>
      <c r="G1484" s="10">
        <v>0</v>
      </c>
      <c r="H1484" s="10">
        <v>0</v>
      </c>
      <c r="I1484" s="10" t="s">
        <v>74</v>
      </c>
      <c r="J1484" s="10">
        <v>0</v>
      </c>
      <c r="K1484" s="10">
        <v>0</v>
      </c>
      <c r="L1484" s="10">
        <v>0</v>
      </c>
      <c r="M1484" s="10">
        <v>0</v>
      </c>
      <c r="N1484" s="10" t="s">
        <v>761</v>
      </c>
      <c r="O1484" s="10" t="s">
        <v>1762</v>
      </c>
      <c r="P1484" s="105" t="e">
        <f t="shared" si="23"/>
        <v>#DIV/0!</v>
      </c>
    </row>
    <row r="1485" spans="1:16">
      <c r="A1485" s="10" t="s">
        <v>635</v>
      </c>
      <c r="B1485" s="10">
        <v>4530480</v>
      </c>
      <c r="C1485" s="10" t="s">
        <v>759</v>
      </c>
      <c r="D1485" s="10" t="s">
        <v>760</v>
      </c>
      <c r="E1485" s="10">
        <v>0</v>
      </c>
      <c r="F1485" s="10">
        <v>0</v>
      </c>
      <c r="G1485" s="10">
        <v>0</v>
      </c>
      <c r="H1485" s="10">
        <v>0</v>
      </c>
      <c r="I1485" s="10" t="s">
        <v>93</v>
      </c>
      <c r="J1485" s="10">
        <v>0</v>
      </c>
      <c r="K1485" s="10">
        <v>0</v>
      </c>
      <c r="L1485" s="10">
        <v>0</v>
      </c>
      <c r="M1485" s="10">
        <v>0</v>
      </c>
      <c r="N1485" s="10" t="s">
        <v>761</v>
      </c>
      <c r="O1485" s="10" t="s">
        <v>1763</v>
      </c>
      <c r="P1485" s="105" t="e">
        <f t="shared" si="23"/>
        <v>#DIV/0!</v>
      </c>
    </row>
    <row r="1486" spans="1:16">
      <c r="A1486" s="10" t="s">
        <v>635</v>
      </c>
      <c r="B1486" s="10">
        <v>4530481</v>
      </c>
      <c r="C1486" s="10" t="s">
        <v>759</v>
      </c>
      <c r="D1486" s="10" t="s">
        <v>760</v>
      </c>
      <c r="E1486" s="10">
        <v>0</v>
      </c>
      <c r="F1486" s="10">
        <v>0</v>
      </c>
      <c r="G1486" s="10">
        <v>0</v>
      </c>
      <c r="H1486" s="10">
        <v>0</v>
      </c>
      <c r="I1486" s="10" t="s">
        <v>33</v>
      </c>
      <c r="J1486" s="10">
        <v>0</v>
      </c>
      <c r="K1486" s="10">
        <v>0</v>
      </c>
      <c r="L1486" s="10">
        <v>0</v>
      </c>
      <c r="M1486" s="10">
        <v>0</v>
      </c>
      <c r="N1486" s="10" t="s">
        <v>761</v>
      </c>
      <c r="O1486" s="10" t="s">
        <v>1764</v>
      </c>
      <c r="P1486" s="105" t="e">
        <f t="shared" si="23"/>
        <v>#DIV/0!</v>
      </c>
    </row>
    <row r="1487" spans="1:16">
      <c r="A1487" s="10" t="s">
        <v>635</v>
      </c>
      <c r="B1487" s="10">
        <v>4530630</v>
      </c>
      <c r="C1487" s="10" t="s">
        <v>759</v>
      </c>
      <c r="D1487" s="10" t="s">
        <v>760</v>
      </c>
      <c r="E1487" s="10">
        <v>0</v>
      </c>
      <c r="F1487" s="10">
        <v>100</v>
      </c>
      <c r="G1487" s="10">
        <v>0</v>
      </c>
      <c r="H1487" s="10">
        <v>100</v>
      </c>
      <c r="I1487" s="10" t="s">
        <v>478</v>
      </c>
      <c r="J1487" s="10">
        <v>0</v>
      </c>
      <c r="K1487" s="10">
        <v>108</v>
      </c>
      <c r="L1487" s="10">
        <v>0</v>
      </c>
      <c r="M1487" s="10">
        <v>108</v>
      </c>
      <c r="N1487" s="10" t="s">
        <v>761</v>
      </c>
      <c r="O1487" s="10" t="s">
        <v>476</v>
      </c>
      <c r="P1487" s="105">
        <f t="shared" si="23"/>
        <v>1.08</v>
      </c>
    </row>
    <row r="1488" spans="1:16">
      <c r="A1488" s="10" t="s">
        <v>635</v>
      </c>
      <c r="B1488" s="10">
        <v>4530663</v>
      </c>
      <c r="C1488" s="10" t="s">
        <v>759</v>
      </c>
      <c r="D1488" s="10" t="s">
        <v>760</v>
      </c>
      <c r="E1488" s="10">
        <v>0</v>
      </c>
      <c r="F1488" s="10">
        <v>0</v>
      </c>
      <c r="G1488" s="10">
        <v>0</v>
      </c>
      <c r="H1488" s="10">
        <v>0</v>
      </c>
      <c r="I1488" s="10" t="s">
        <v>33</v>
      </c>
      <c r="J1488" s="10">
        <v>0</v>
      </c>
      <c r="K1488" s="10">
        <v>0</v>
      </c>
      <c r="L1488" s="10">
        <v>0</v>
      </c>
      <c r="M1488" s="10">
        <v>0</v>
      </c>
      <c r="N1488" s="10" t="s">
        <v>761</v>
      </c>
      <c r="O1488" s="10" t="s">
        <v>1765</v>
      </c>
      <c r="P1488" s="105" t="e">
        <f t="shared" si="23"/>
        <v>#DIV/0!</v>
      </c>
    </row>
    <row r="1489" spans="1:16">
      <c r="A1489" s="10" t="s">
        <v>635</v>
      </c>
      <c r="B1489" s="10">
        <v>4530664</v>
      </c>
      <c r="C1489" s="10" t="s">
        <v>759</v>
      </c>
      <c r="D1489" s="10" t="s">
        <v>760</v>
      </c>
      <c r="E1489" s="10">
        <v>0</v>
      </c>
      <c r="F1489" s="10">
        <v>0</v>
      </c>
      <c r="G1489" s="10">
        <v>0</v>
      </c>
      <c r="H1489" s="10">
        <v>0</v>
      </c>
      <c r="I1489" s="10" t="s">
        <v>21</v>
      </c>
      <c r="J1489" s="10">
        <v>0</v>
      </c>
      <c r="K1489" s="10">
        <v>0</v>
      </c>
      <c r="L1489" s="10">
        <v>0</v>
      </c>
      <c r="M1489" s="10">
        <v>0</v>
      </c>
      <c r="N1489" s="10" t="s">
        <v>761</v>
      </c>
      <c r="O1489" s="10" t="s">
        <v>1766</v>
      </c>
      <c r="P1489" s="105" t="e">
        <f t="shared" si="23"/>
        <v>#DIV/0!</v>
      </c>
    </row>
    <row r="1490" spans="1:16">
      <c r="A1490" s="10" t="s">
        <v>635</v>
      </c>
      <c r="B1490" s="10">
        <v>4530665</v>
      </c>
      <c r="C1490" s="10" t="s">
        <v>759</v>
      </c>
      <c r="D1490" s="10" t="s">
        <v>760</v>
      </c>
      <c r="E1490" s="10">
        <v>0</v>
      </c>
      <c r="F1490" s="10">
        <v>0</v>
      </c>
      <c r="G1490" s="10">
        <v>0</v>
      </c>
      <c r="H1490" s="10">
        <v>0</v>
      </c>
      <c r="I1490" s="10" t="s">
        <v>21</v>
      </c>
      <c r="J1490" s="10">
        <v>0</v>
      </c>
      <c r="K1490" s="10">
        <v>0</v>
      </c>
      <c r="L1490" s="10">
        <v>0</v>
      </c>
      <c r="M1490" s="10">
        <v>0</v>
      </c>
      <c r="N1490" s="10" t="s">
        <v>761</v>
      </c>
      <c r="O1490" s="10" t="s">
        <v>1767</v>
      </c>
      <c r="P1490" s="105" t="e">
        <f t="shared" si="23"/>
        <v>#DIV/0!</v>
      </c>
    </row>
    <row r="1491" spans="1:16">
      <c r="A1491" s="10" t="s">
        <v>635</v>
      </c>
      <c r="B1491" s="10">
        <v>4530675</v>
      </c>
      <c r="C1491" s="10" t="s">
        <v>759</v>
      </c>
      <c r="D1491" s="10" t="s">
        <v>760</v>
      </c>
      <c r="E1491" s="10">
        <v>0</v>
      </c>
      <c r="F1491" s="10">
        <v>240</v>
      </c>
      <c r="G1491" s="10">
        <v>0</v>
      </c>
      <c r="H1491" s="10">
        <v>240</v>
      </c>
      <c r="I1491" s="10" t="s">
        <v>93</v>
      </c>
      <c r="J1491" s="10">
        <v>0</v>
      </c>
      <c r="K1491" s="10">
        <v>124.68</v>
      </c>
      <c r="L1491" s="10">
        <v>0</v>
      </c>
      <c r="M1491" s="10">
        <v>124.68</v>
      </c>
      <c r="N1491" s="10" t="s">
        <v>761</v>
      </c>
      <c r="O1491" s="10" t="s">
        <v>546</v>
      </c>
      <c r="P1491" s="105">
        <f t="shared" si="23"/>
        <v>0.5195</v>
      </c>
    </row>
    <row r="1492" spans="1:16">
      <c r="A1492" s="10" t="s">
        <v>635</v>
      </c>
      <c r="B1492" s="10">
        <v>4530732</v>
      </c>
      <c r="C1492" s="10" t="s">
        <v>759</v>
      </c>
      <c r="D1492" s="10" t="s">
        <v>760</v>
      </c>
      <c r="E1492" s="10">
        <v>0</v>
      </c>
      <c r="F1492" s="10">
        <v>4</v>
      </c>
      <c r="G1492" s="10">
        <v>0</v>
      </c>
      <c r="H1492" s="10">
        <v>4</v>
      </c>
      <c r="I1492" s="10" t="s">
        <v>74</v>
      </c>
      <c r="J1492" s="10">
        <v>0</v>
      </c>
      <c r="K1492" s="10">
        <v>15</v>
      </c>
      <c r="L1492" s="10">
        <v>0</v>
      </c>
      <c r="M1492" s="10">
        <v>15</v>
      </c>
      <c r="N1492" s="10" t="s">
        <v>761</v>
      </c>
      <c r="O1492" s="10" t="s">
        <v>534</v>
      </c>
      <c r="P1492" s="105">
        <f t="shared" si="23"/>
        <v>3.75</v>
      </c>
    </row>
    <row r="1493" spans="1:16">
      <c r="A1493" s="10" t="s">
        <v>635</v>
      </c>
      <c r="B1493" s="10">
        <v>4530877</v>
      </c>
      <c r="C1493" s="10" t="s">
        <v>759</v>
      </c>
      <c r="D1493" s="10" t="s">
        <v>760</v>
      </c>
      <c r="E1493" s="10">
        <v>0</v>
      </c>
      <c r="F1493" s="10">
        <v>0</v>
      </c>
      <c r="G1493" s="10">
        <v>0</v>
      </c>
      <c r="H1493" s="10">
        <v>0</v>
      </c>
      <c r="I1493" s="10" t="s">
        <v>74</v>
      </c>
      <c r="J1493" s="10">
        <v>0</v>
      </c>
      <c r="K1493" s="10">
        <v>0</v>
      </c>
      <c r="L1493" s="10">
        <v>0</v>
      </c>
      <c r="M1493" s="10">
        <v>0</v>
      </c>
      <c r="N1493" s="10" t="s">
        <v>761</v>
      </c>
      <c r="O1493" s="10" t="s">
        <v>1768</v>
      </c>
      <c r="P1493" s="105" t="e">
        <f t="shared" si="23"/>
        <v>#DIV/0!</v>
      </c>
    </row>
    <row r="1494" spans="1:16">
      <c r="A1494" s="10" t="s">
        <v>635</v>
      </c>
      <c r="B1494" s="10">
        <v>4530878</v>
      </c>
      <c r="C1494" s="10" t="s">
        <v>759</v>
      </c>
      <c r="D1494" s="10" t="s">
        <v>760</v>
      </c>
      <c r="E1494" s="10">
        <v>0</v>
      </c>
      <c r="F1494" s="10">
        <v>20.16</v>
      </c>
      <c r="G1494" s="10">
        <v>-5.04</v>
      </c>
      <c r="H1494" s="10">
        <v>15.12</v>
      </c>
      <c r="I1494" s="10" t="s">
        <v>74</v>
      </c>
      <c r="J1494" s="10">
        <v>0</v>
      </c>
      <c r="K1494" s="10">
        <v>288</v>
      </c>
      <c r="L1494" s="10">
        <v>-72</v>
      </c>
      <c r="M1494" s="10">
        <v>216</v>
      </c>
      <c r="N1494" s="10" t="s">
        <v>761</v>
      </c>
      <c r="O1494" s="10" t="s">
        <v>591</v>
      </c>
      <c r="P1494" s="105">
        <f t="shared" si="23"/>
        <v>14.2857142857143</v>
      </c>
    </row>
    <row r="1495" spans="1:16">
      <c r="A1495" s="10" t="s">
        <v>635</v>
      </c>
      <c r="B1495" s="10">
        <v>4530906</v>
      </c>
      <c r="C1495" s="10" t="s">
        <v>759</v>
      </c>
      <c r="D1495" s="10" t="s">
        <v>760</v>
      </c>
      <c r="E1495" s="10">
        <v>0</v>
      </c>
      <c r="F1495" s="10">
        <v>96</v>
      </c>
      <c r="G1495" s="10">
        <v>0</v>
      </c>
      <c r="H1495" s="10">
        <v>96</v>
      </c>
      <c r="I1495" s="10" t="s">
        <v>146</v>
      </c>
      <c r="J1495" s="10">
        <v>0</v>
      </c>
      <c r="K1495" s="10">
        <v>144</v>
      </c>
      <c r="L1495" s="10">
        <v>0</v>
      </c>
      <c r="M1495" s="10">
        <v>144</v>
      </c>
      <c r="N1495" s="10" t="s">
        <v>761</v>
      </c>
      <c r="O1495" s="10" t="s">
        <v>304</v>
      </c>
      <c r="P1495" s="105">
        <f t="shared" si="23"/>
        <v>1.5</v>
      </c>
    </row>
    <row r="1496" spans="1:16">
      <c r="A1496" s="10" t="s">
        <v>635</v>
      </c>
      <c r="B1496" s="10">
        <v>4531154</v>
      </c>
      <c r="C1496" s="10" t="s">
        <v>759</v>
      </c>
      <c r="D1496" s="10" t="s">
        <v>760</v>
      </c>
      <c r="E1496" s="10">
        <v>0</v>
      </c>
      <c r="F1496" s="10">
        <v>0</v>
      </c>
      <c r="G1496" s="10">
        <v>0</v>
      </c>
      <c r="H1496" s="10">
        <v>0</v>
      </c>
      <c r="I1496" s="10" t="s">
        <v>21</v>
      </c>
      <c r="J1496" s="10">
        <v>0</v>
      </c>
      <c r="K1496" s="10">
        <v>0</v>
      </c>
      <c r="L1496" s="10">
        <v>0</v>
      </c>
      <c r="M1496" s="10">
        <v>0</v>
      </c>
      <c r="N1496" s="10" t="s">
        <v>761</v>
      </c>
      <c r="O1496" s="10" t="s">
        <v>1769</v>
      </c>
      <c r="P1496" s="105" t="e">
        <f t="shared" si="23"/>
        <v>#DIV/0!</v>
      </c>
    </row>
    <row r="1497" spans="1:16">
      <c r="A1497" s="10" t="s">
        <v>635</v>
      </c>
      <c r="B1497" s="10">
        <v>4600064</v>
      </c>
      <c r="C1497" s="10" t="s">
        <v>759</v>
      </c>
      <c r="D1497" s="10" t="s">
        <v>760</v>
      </c>
      <c r="E1497" s="10">
        <v>0</v>
      </c>
      <c r="F1497" s="106">
        <v>3327</v>
      </c>
      <c r="G1497" s="10">
        <v>0</v>
      </c>
      <c r="H1497" s="106">
        <v>3327</v>
      </c>
      <c r="I1497" s="10" t="s">
        <v>33</v>
      </c>
      <c r="J1497" s="10">
        <v>0</v>
      </c>
      <c r="K1497" s="10">
        <v>332.7</v>
      </c>
      <c r="L1497" s="10">
        <v>0</v>
      </c>
      <c r="M1497" s="10">
        <v>332.7</v>
      </c>
      <c r="N1497" s="10" t="s">
        <v>761</v>
      </c>
      <c r="O1497" s="10" t="s">
        <v>567</v>
      </c>
      <c r="P1497" s="105">
        <f t="shared" si="23"/>
        <v>0.1</v>
      </c>
    </row>
    <row r="1498" spans="1:16">
      <c r="A1498" s="10" t="s">
        <v>635</v>
      </c>
      <c r="B1498" s="10">
        <v>4600065</v>
      </c>
      <c r="C1498" s="10" t="s">
        <v>759</v>
      </c>
      <c r="D1498" s="10" t="s">
        <v>760</v>
      </c>
      <c r="E1498" s="10">
        <v>0</v>
      </c>
      <c r="F1498" s="10">
        <v>8</v>
      </c>
      <c r="G1498" s="10">
        <v>0</v>
      </c>
      <c r="H1498" s="10">
        <v>8</v>
      </c>
      <c r="I1498" s="10" t="s">
        <v>177</v>
      </c>
      <c r="J1498" s="10">
        <v>0</v>
      </c>
      <c r="K1498" s="10">
        <v>11.58</v>
      </c>
      <c r="L1498" s="10">
        <v>0</v>
      </c>
      <c r="M1498" s="10">
        <v>11.58</v>
      </c>
      <c r="N1498" s="10" t="s">
        <v>761</v>
      </c>
      <c r="O1498" s="10" t="s">
        <v>566</v>
      </c>
      <c r="P1498" s="105">
        <f t="shared" si="23"/>
        <v>1.4475</v>
      </c>
    </row>
    <row r="1499" spans="1:16">
      <c r="A1499" s="10" t="s">
        <v>635</v>
      </c>
      <c r="B1499" s="10">
        <v>4600102</v>
      </c>
      <c r="C1499" s="10" t="s">
        <v>759</v>
      </c>
      <c r="D1499" s="10" t="s">
        <v>760</v>
      </c>
      <c r="E1499" s="10">
        <v>0</v>
      </c>
      <c r="F1499" s="10">
        <v>12</v>
      </c>
      <c r="G1499" s="10">
        <v>-12</v>
      </c>
      <c r="H1499" s="10">
        <v>0</v>
      </c>
      <c r="I1499" s="10" t="s">
        <v>56</v>
      </c>
      <c r="J1499" s="10">
        <v>0</v>
      </c>
      <c r="K1499" s="10">
        <v>360</v>
      </c>
      <c r="L1499" s="10">
        <v>-360</v>
      </c>
      <c r="M1499" s="10">
        <v>0</v>
      </c>
      <c r="N1499" s="10" t="s">
        <v>761</v>
      </c>
      <c r="O1499" s="10" t="s">
        <v>1770</v>
      </c>
      <c r="P1499" s="105" t="e">
        <f t="shared" si="23"/>
        <v>#DIV/0!</v>
      </c>
    </row>
    <row r="1500" spans="1:16">
      <c r="A1500" s="10" t="s">
        <v>635</v>
      </c>
      <c r="B1500" s="10">
        <v>4700605</v>
      </c>
      <c r="C1500" s="10" t="s">
        <v>759</v>
      </c>
      <c r="D1500" s="10" t="s">
        <v>760</v>
      </c>
      <c r="E1500" s="10">
        <v>0</v>
      </c>
      <c r="F1500" s="10">
        <v>0</v>
      </c>
      <c r="G1500" s="10">
        <v>0</v>
      </c>
      <c r="H1500" s="10">
        <v>0</v>
      </c>
      <c r="I1500" s="10" t="s">
        <v>74</v>
      </c>
      <c r="J1500" s="10">
        <v>0</v>
      </c>
      <c r="K1500" s="10">
        <v>0</v>
      </c>
      <c r="L1500" s="10">
        <v>0</v>
      </c>
      <c r="M1500" s="10">
        <v>0</v>
      </c>
      <c r="N1500" s="10" t="s">
        <v>761</v>
      </c>
      <c r="O1500" s="10" t="s">
        <v>1771</v>
      </c>
      <c r="P1500" s="105" t="e">
        <f t="shared" si="23"/>
        <v>#DIV/0!</v>
      </c>
    </row>
    <row r="1501" spans="1:16">
      <c r="A1501" s="10" t="s">
        <v>635</v>
      </c>
      <c r="B1501" s="10">
        <v>4700912</v>
      </c>
      <c r="C1501" s="10" t="s">
        <v>759</v>
      </c>
      <c r="D1501" s="10" t="s">
        <v>760</v>
      </c>
      <c r="E1501" s="10">
        <v>0</v>
      </c>
      <c r="F1501" s="10">
        <v>0</v>
      </c>
      <c r="G1501" s="10">
        <v>0</v>
      </c>
      <c r="H1501" s="10">
        <v>0</v>
      </c>
      <c r="I1501" s="10" t="s">
        <v>21</v>
      </c>
      <c r="J1501" s="10">
        <v>0</v>
      </c>
      <c r="K1501" s="10">
        <v>0</v>
      </c>
      <c r="L1501" s="10">
        <v>0</v>
      </c>
      <c r="M1501" s="10">
        <v>0</v>
      </c>
      <c r="N1501" s="10" t="s">
        <v>761</v>
      </c>
      <c r="O1501" s="10" t="s">
        <v>1772</v>
      </c>
      <c r="P1501" s="105" t="e">
        <f t="shared" si="23"/>
        <v>#DIV/0!</v>
      </c>
    </row>
    <row r="1502" spans="1:16">
      <c r="A1502" s="10" t="s">
        <v>635</v>
      </c>
      <c r="B1502" s="10">
        <v>4701288</v>
      </c>
      <c r="C1502" s="10" t="s">
        <v>759</v>
      </c>
      <c r="D1502" s="10" t="s">
        <v>760</v>
      </c>
      <c r="E1502" s="10">
        <v>42</v>
      </c>
      <c r="F1502" s="10">
        <v>144</v>
      </c>
      <c r="G1502" s="10">
        <v>0</v>
      </c>
      <c r="H1502" s="10">
        <v>186</v>
      </c>
      <c r="I1502" s="10" t="s">
        <v>93</v>
      </c>
      <c r="J1502" s="10">
        <v>42</v>
      </c>
      <c r="K1502" s="10">
        <v>168</v>
      </c>
      <c r="L1502" s="10">
        <v>0</v>
      </c>
      <c r="M1502" s="10">
        <v>210</v>
      </c>
      <c r="N1502" s="10" t="s">
        <v>761</v>
      </c>
      <c r="O1502" s="10" t="s">
        <v>134</v>
      </c>
      <c r="P1502" s="105">
        <f t="shared" si="23"/>
        <v>1.12903225806452</v>
      </c>
    </row>
    <row r="1503" spans="1:16">
      <c r="A1503" s="10" t="s">
        <v>635</v>
      </c>
      <c r="B1503" s="10">
        <v>4701475</v>
      </c>
      <c r="C1503" s="10" t="s">
        <v>759</v>
      </c>
      <c r="D1503" s="10" t="s">
        <v>760</v>
      </c>
      <c r="E1503" s="10">
        <v>0</v>
      </c>
      <c r="F1503" s="10">
        <v>0</v>
      </c>
      <c r="G1503" s="10">
        <v>0</v>
      </c>
      <c r="H1503" s="10">
        <v>0</v>
      </c>
      <c r="I1503" s="10" t="s">
        <v>128</v>
      </c>
      <c r="J1503" s="10">
        <v>0</v>
      </c>
      <c r="K1503" s="10">
        <v>0</v>
      </c>
      <c r="L1503" s="10">
        <v>0</v>
      </c>
      <c r="M1503" s="10">
        <v>0</v>
      </c>
      <c r="N1503" s="10" t="s">
        <v>761</v>
      </c>
      <c r="O1503" s="10" t="s">
        <v>1773</v>
      </c>
      <c r="P1503" s="105" t="e">
        <f t="shared" si="23"/>
        <v>#DIV/0!</v>
      </c>
    </row>
    <row r="1504" spans="1:16">
      <c r="A1504" s="10" t="s">
        <v>635</v>
      </c>
      <c r="B1504" s="10">
        <v>4702189</v>
      </c>
      <c r="C1504" s="10" t="s">
        <v>759</v>
      </c>
      <c r="D1504" s="10" t="s">
        <v>760</v>
      </c>
      <c r="E1504" s="10">
        <v>0</v>
      </c>
      <c r="F1504" s="10">
        <v>0</v>
      </c>
      <c r="G1504" s="10">
        <v>0</v>
      </c>
      <c r="H1504" s="10">
        <v>0</v>
      </c>
      <c r="I1504" s="10" t="s">
        <v>74</v>
      </c>
      <c r="J1504" s="10">
        <v>0</v>
      </c>
      <c r="K1504" s="10">
        <v>0</v>
      </c>
      <c r="L1504" s="10">
        <v>0</v>
      </c>
      <c r="M1504" s="10">
        <v>0</v>
      </c>
      <c r="N1504" s="10" t="s">
        <v>761</v>
      </c>
      <c r="O1504" s="10" t="s">
        <v>1774</v>
      </c>
      <c r="P1504" s="105" t="e">
        <f t="shared" si="23"/>
        <v>#DIV/0!</v>
      </c>
    </row>
    <row r="1505" spans="1:16">
      <c r="A1505" s="10" t="s">
        <v>635</v>
      </c>
      <c r="B1505" s="10">
        <v>4702451</v>
      </c>
      <c r="C1505" s="10" t="s">
        <v>759</v>
      </c>
      <c r="D1505" s="10" t="s">
        <v>760</v>
      </c>
      <c r="E1505" s="10">
        <v>6.3</v>
      </c>
      <c r="F1505" s="10">
        <v>5.4</v>
      </c>
      <c r="G1505" s="10">
        <v>0</v>
      </c>
      <c r="H1505" s="10">
        <v>11.7</v>
      </c>
      <c r="I1505" s="10" t="s">
        <v>74</v>
      </c>
      <c r="J1505" s="10">
        <v>19.6</v>
      </c>
      <c r="K1505" s="10">
        <v>16.8</v>
      </c>
      <c r="L1505" s="10">
        <v>0</v>
      </c>
      <c r="M1505" s="10">
        <v>36.4</v>
      </c>
      <c r="N1505" s="10" t="s">
        <v>761</v>
      </c>
      <c r="O1505" s="10" t="s">
        <v>535</v>
      </c>
      <c r="P1505" s="105">
        <f t="shared" si="23"/>
        <v>3.11111111111111</v>
      </c>
    </row>
    <row r="1506" spans="1:16">
      <c r="A1506" s="10" t="s">
        <v>635</v>
      </c>
      <c r="B1506" s="10">
        <v>4702611</v>
      </c>
      <c r="C1506" s="10" t="s">
        <v>759</v>
      </c>
      <c r="D1506" s="10" t="s">
        <v>760</v>
      </c>
      <c r="E1506" s="10">
        <v>0</v>
      </c>
      <c r="F1506" s="10">
        <v>0</v>
      </c>
      <c r="G1506" s="10">
        <v>0</v>
      </c>
      <c r="H1506" s="10">
        <v>0</v>
      </c>
      <c r="I1506" s="10" t="s">
        <v>74</v>
      </c>
      <c r="J1506" s="10">
        <v>0</v>
      </c>
      <c r="K1506" s="10">
        <v>0</v>
      </c>
      <c r="L1506" s="10">
        <v>0</v>
      </c>
      <c r="M1506" s="10">
        <v>0</v>
      </c>
      <c r="N1506" s="10" t="s">
        <v>761</v>
      </c>
      <c r="O1506" s="10" t="s">
        <v>734</v>
      </c>
      <c r="P1506" s="105" t="e">
        <f t="shared" si="23"/>
        <v>#DIV/0!</v>
      </c>
    </row>
    <row r="1507" spans="1:16">
      <c r="A1507" s="10" t="s">
        <v>635</v>
      </c>
      <c r="B1507" s="10">
        <v>4702613</v>
      </c>
      <c r="C1507" s="10" t="s">
        <v>759</v>
      </c>
      <c r="D1507" s="10" t="s">
        <v>760</v>
      </c>
      <c r="E1507" s="10">
        <v>0</v>
      </c>
      <c r="F1507" s="10">
        <v>0</v>
      </c>
      <c r="G1507" s="10">
        <v>0</v>
      </c>
      <c r="H1507" s="10">
        <v>0</v>
      </c>
      <c r="I1507" s="10" t="s">
        <v>74</v>
      </c>
      <c r="J1507" s="10">
        <v>0</v>
      </c>
      <c r="K1507" s="10">
        <v>0</v>
      </c>
      <c r="L1507" s="10">
        <v>0</v>
      </c>
      <c r="M1507" s="10">
        <v>0</v>
      </c>
      <c r="N1507" s="10" t="s">
        <v>761</v>
      </c>
      <c r="O1507" s="10" t="s">
        <v>1775</v>
      </c>
      <c r="P1507" s="105" t="e">
        <f t="shared" si="23"/>
        <v>#DIV/0!</v>
      </c>
    </row>
    <row r="1508" spans="1:16">
      <c r="A1508" s="10" t="s">
        <v>635</v>
      </c>
      <c r="B1508" s="10">
        <v>4702771</v>
      </c>
      <c r="C1508" s="10" t="s">
        <v>759</v>
      </c>
      <c r="D1508" s="10" t="s">
        <v>760</v>
      </c>
      <c r="E1508" s="10">
        <v>7.04</v>
      </c>
      <c r="F1508" s="10">
        <v>0</v>
      </c>
      <c r="G1508" s="10">
        <v>0</v>
      </c>
      <c r="H1508" s="10">
        <v>7.04</v>
      </c>
      <c r="I1508" s="10" t="s">
        <v>74</v>
      </c>
      <c r="J1508" s="10">
        <v>32.21</v>
      </c>
      <c r="K1508" s="10">
        <v>0</v>
      </c>
      <c r="L1508" s="10">
        <v>0</v>
      </c>
      <c r="M1508" s="10">
        <v>32.21</v>
      </c>
      <c r="N1508" s="10" t="s">
        <v>761</v>
      </c>
      <c r="O1508" s="10" t="s">
        <v>558</v>
      </c>
      <c r="P1508" s="105">
        <f t="shared" si="23"/>
        <v>4.57528409090909</v>
      </c>
    </row>
    <row r="1509" spans="1:16">
      <c r="A1509" s="10" t="s">
        <v>635</v>
      </c>
      <c r="B1509" s="10">
        <v>4702852</v>
      </c>
      <c r="C1509" s="10" t="s">
        <v>759</v>
      </c>
      <c r="D1509" s="10" t="s">
        <v>760</v>
      </c>
      <c r="E1509" s="10">
        <v>0</v>
      </c>
      <c r="F1509" s="10">
        <v>26.37</v>
      </c>
      <c r="G1509" s="10">
        <v>0</v>
      </c>
      <c r="H1509" s="10">
        <v>26.37</v>
      </c>
      <c r="I1509" s="10" t="s">
        <v>74</v>
      </c>
      <c r="J1509" s="10">
        <v>0</v>
      </c>
      <c r="K1509" s="10">
        <v>419.89</v>
      </c>
      <c r="L1509" s="10">
        <v>0</v>
      </c>
      <c r="M1509" s="10">
        <v>419.89</v>
      </c>
      <c r="N1509" s="10" t="s">
        <v>761</v>
      </c>
      <c r="O1509" s="10" t="s">
        <v>453</v>
      </c>
      <c r="P1509" s="105">
        <f t="shared" si="23"/>
        <v>15.9230185817217</v>
      </c>
    </row>
    <row r="1510" spans="1:16">
      <c r="A1510" s="10" t="s">
        <v>635</v>
      </c>
      <c r="B1510" s="10">
        <v>4702883</v>
      </c>
      <c r="C1510" s="10" t="s">
        <v>759</v>
      </c>
      <c r="D1510" s="10" t="s">
        <v>760</v>
      </c>
      <c r="E1510" s="10">
        <v>0</v>
      </c>
      <c r="F1510" s="10">
        <v>0</v>
      </c>
      <c r="G1510" s="10">
        <v>0</v>
      </c>
      <c r="H1510" s="10">
        <v>0</v>
      </c>
      <c r="I1510" s="10" t="s">
        <v>45</v>
      </c>
      <c r="J1510" s="10">
        <v>0</v>
      </c>
      <c r="K1510" s="10">
        <v>0</v>
      </c>
      <c r="L1510" s="10">
        <v>0</v>
      </c>
      <c r="M1510" s="10">
        <v>0</v>
      </c>
      <c r="N1510" s="10" t="s">
        <v>761</v>
      </c>
      <c r="O1510" s="10" t="s">
        <v>1776</v>
      </c>
      <c r="P1510" s="105" t="e">
        <f t="shared" si="23"/>
        <v>#DIV/0!</v>
      </c>
    </row>
    <row r="1511" spans="1:16">
      <c r="A1511" s="10" t="s">
        <v>635</v>
      </c>
      <c r="B1511" s="10">
        <v>4703100</v>
      </c>
      <c r="C1511" s="10" t="s">
        <v>759</v>
      </c>
      <c r="D1511" s="10" t="s">
        <v>760</v>
      </c>
      <c r="E1511" s="10">
        <v>0</v>
      </c>
      <c r="F1511" s="10">
        <v>0</v>
      </c>
      <c r="G1511" s="10">
        <v>0</v>
      </c>
      <c r="H1511" s="10">
        <v>0</v>
      </c>
      <c r="I1511" s="10" t="s">
        <v>74</v>
      </c>
      <c r="J1511" s="10">
        <v>0</v>
      </c>
      <c r="K1511" s="10">
        <v>0</v>
      </c>
      <c r="L1511" s="10">
        <v>0</v>
      </c>
      <c r="M1511" s="10">
        <v>0</v>
      </c>
      <c r="N1511" s="10" t="s">
        <v>761</v>
      </c>
      <c r="O1511" s="10" t="s">
        <v>1777</v>
      </c>
      <c r="P1511" s="105" t="e">
        <f t="shared" si="23"/>
        <v>#DIV/0!</v>
      </c>
    </row>
    <row r="1512" spans="1:16">
      <c r="A1512" s="10" t="s">
        <v>635</v>
      </c>
      <c r="B1512" s="10">
        <v>4704097</v>
      </c>
      <c r="C1512" s="10" t="s">
        <v>759</v>
      </c>
      <c r="D1512" s="10" t="s">
        <v>760</v>
      </c>
      <c r="E1512" s="10">
        <v>0</v>
      </c>
      <c r="F1512" s="10">
        <v>0</v>
      </c>
      <c r="G1512" s="10">
        <v>0</v>
      </c>
      <c r="H1512" s="10">
        <v>0</v>
      </c>
      <c r="I1512" s="10" t="s">
        <v>21</v>
      </c>
      <c r="J1512" s="10">
        <v>0</v>
      </c>
      <c r="K1512" s="10">
        <v>0</v>
      </c>
      <c r="L1512" s="10">
        <v>0</v>
      </c>
      <c r="M1512" s="10">
        <v>0</v>
      </c>
      <c r="N1512" s="10" t="s">
        <v>761</v>
      </c>
      <c r="O1512" s="10" t="s">
        <v>1778</v>
      </c>
      <c r="P1512" s="105" t="e">
        <f t="shared" si="23"/>
        <v>#DIV/0!</v>
      </c>
    </row>
    <row r="1513" spans="1:16">
      <c r="A1513" s="10" t="s">
        <v>635</v>
      </c>
      <c r="B1513" s="10">
        <v>4704409</v>
      </c>
      <c r="C1513" s="10" t="s">
        <v>759</v>
      </c>
      <c r="D1513" s="10" t="s">
        <v>760</v>
      </c>
      <c r="E1513" s="10">
        <v>0</v>
      </c>
      <c r="F1513" s="10">
        <v>30</v>
      </c>
      <c r="G1513" s="10">
        <v>0</v>
      </c>
      <c r="H1513" s="10">
        <v>30</v>
      </c>
      <c r="I1513" s="10" t="s">
        <v>33</v>
      </c>
      <c r="J1513" s="10">
        <v>0</v>
      </c>
      <c r="K1513" s="10">
        <v>40</v>
      </c>
      <c r="L1513" s="10">
        <v>0</v>
      </c>
      <c r="M1513" s="10">
        <v>40</v>
      </c>
      <c r="N1513" s="10" t="s">
        <v>761</v>
      </c>
      <c r="O1513" s="10" t="s">
        <v>479</v>
      </c>
      <c r="P1513" s="105">
        <f t="shared" si="23"/>
        <v>1.33333333333333</v>
      </c>
    </row>
    <row r="1514" spans="1:16">
      <c r="A1514" s="10" t="s">
        <v>635</v>
      </c>
      <c r="B1514" s="10">
        <v>4704581</v>
      </c>
      <c r="C1514" s="10" t="s">
        <v>759</v>
      </c>
      <c r="D1514" s="10" t="s">
        <v>760</v>
      </c>
      <c r="E1514" s="10">
        <v>0</v>
      </c>
      <c r="F1514" s="10">
        <v>0</v>
      </c>
      <c r="G1514" s="10">
        <v>0</v>
      </c>
      <c r="H1514" s="10">
        <v>0</v>
      </c>
      <c r="I1514" s="10" t="s">
        <v>45</v>
      </c>
      <c r="J1514" s="10">
        <v>0</v>
      </c>
      <c r="K1514" s="10">
        <v>0</v>
      </c>
      <c r="L1514" s="10">
        <v>0</v>
      </c>
      <c r="M1514" s="10">
        <v>0</v>
      </c>
      <c r="N1514" s="10" t="s">
        <v>761</v>
      </c>
      <c r="O1514" s="10" t="s">
        <v>1779</v>
      </c>
      <c r="P1514" s="105" t="e">
        <f t="shared" si="23"/>
        <v>#DIV/0!</v>
      </c>
    </row>
    <row r="1515" spans="1:16">
      <c r="A1515" s="10" t="s">
        <v>635</v>
      </c>
      <c r="B1515" s="10">
        <v>4706130</v>
      </c>
      <c r="C1515" s="10" t="s">
        <v>759</v>
      </c>
      <c r="D1515" s="10" t="s">
        <v>760</v>
      </c>
      <c r="E1515" s="10">
        <v>0</v>
      </c>
      <c r="F1515" s="10">
        <v>0</v>
      </c>
      <c r="G1515" s="10">
        <v>0</v>
      </c>
      <c r="H1515" s="10">
        <v>0</v>
      </c>
      <c r="I1515" s="10" t="s">
        <v>21</v>
      </c>
      <c r="J1515" s="10">
        <v>0</v>
      </c>
      <c r="K1515" s="10">
        <v>0</v>
      </c>
      <c r="L1515" s="10">
        <v>0</v>
      </c>
      <c r="M1515" s="10">
        <v>0</v>
      </c>
      <c r="N1515" s="10" t="s">
        <v>761</v>
      </c>
      <c r="O1515" s="10" t="s">
        <v>1780</v>
      </c>
      <c r="P1515" s="105" t="e">
        <f t="shared" si="23"/>
        <v>#DIV/0!</v>
      </c>
    </row>
    <row r="1516" spans="1:16">
      <c r="A1516" s="10" t="s">
        <v>635</v>
      </c>
      <c r="B1516" s="10">
        <v>4709126</v>
      </c>
      <c r="C1516" s="10" t="s">
        <v>759</v>
      </c>
      <c r="D1516" s="10" t="s">
        <v>760</v>
      </c>
      <c r="E1516" s="10">
        <v>0</v>
      </c>
      <c r="F1516" s="10">
        <v>0</v>
      </c>
      <c r="G1516" s="10">
        <v>0</v>
      </c>
      <c r="H1516" s="10">
        <v>0</v>
      </c>
      <c r="I1516" s="10" t="s">
        <v>45</v>
      </c>
      <c r="J1516" s="10">
        <v>0</v>
      </c>
      <c r="K1516" s="10">
        <v>0</v>
      </c>
      <c r="L1516" s="10">
        <v>0</v>
      </c>
      <c r="M1516" s="10">
        <v>0</v>
      </c>
      <c r="N1516" s="10" t="s">
        <v>761</v>
      </c>
      <c r="O1516" s="10" t="s">
        <v>1781</v>
      </c>
      <c r="P1516" s="105" t="e">
        <f t="shared" si="23"/>
        <v>#DIV/0!</v>
      </c>
    </row>
    <row r="1517" spans="1:16">
      <c r="A1517" s="10" t="s">
        <v>635</v>
      </c>
      <c r="B1517" s="10">
        <v>4711147</v>
      </c>
      <c r="C1517" s="10" t="s">
        <v>759</v>
      </c>
      <c r="D1517" s="10" t="s">
        <v>760</v>
      </c>
      <c r="E1517" s="10">
        <v>0</v>
      </c>
      <c r="F1517" s="10">
        <v>0</v>
      </c>
      <c r="G1517" s="10">
        <v>0</v>
      </c>
      <c r="H1517" s="10">
        <v>0</v>
      </c>
      <c r="I1517" s="10" t="s">
        <v>138</v>
      </c>
      <c r="J1517" s="10">
        <v>0</v>
      </c>
      <c r="K1517" s="10">
        <v>0</v>
      </c>
      <c r="L1517" s="10">
        <v>0</v>
      </c>
      <c r="M1517" s="10">
        <v>0</v>
      </c>
      <c r="N1517" s="10" t="s">
        <v>761</v>
      </c>
      <c r="O1517" s="10" t="s">
        <v>1782</v>
      </c>
      <c r="P1517" s="105" t="e">
        <f t="shared" si="23"/>
        <v>#DIV/0!</v>
      </c>
    </row>
    <row r="1518" spans="1:16">
      <c r="A1518" s="10" t="s">
        <v>635</v>
      </c>
      <c r="B1518" s="10">
        <v>4711978</v>
      </c>
      <c r="C1518" s="10" t="s">
        <v>759</v>
      </c>
      <c r="D1518" s="10" t="s">
        <v>760</v>
      </c>
      <c r="E1518" s="10">
        <v>0</v>
      </c>
      <c r="F1518" s="10">
        <v>8.64</v>
      </c>
      <c r="G1518" s="10">
        <v>0</v>
      </c>
      <c r="H1518" s="10">
        <v>8.64</v>
      </c>
      <c r="I1518" s="10" t="s">
        <v>74</v>
      </c>
      <c r="J1518" s="10">
        <v>0</v>
      </c>
      <c r="K1518" s="10">
        <v>65</v>
      </c>
      <c r="L1518" s="10">
        <v>0</v>
      </c>
      <c r="M1518" s="10">
        <v>65</v>
      </c>
      <c r="N1518" s="10" t="s">
        <v>761</v>
      </c>
      <c r="O1518" s="10" t="s">
        <v>219</v>
      </c>
      <c r="P1518" s="105">
        <f t="shared" si="23"/>
        <v>7.52314814814815</v>
      </c>
    </row>
    <row r="1519" spans="1:16">
      <c r="A1519" s="10" t="s">
        <v>635</v>
      </c>
      <c r="B1519" s="10">
        <v>4712118</v>
      </c>
      <c r="C1519" s="10" t="s">
        <v>759</v>
      </c>
      <c r="D1519" s="10" t="s">
        <v>760</v>
      </c>
      <c r="E1519" s="10">
        <v>6.3</v>
      </c>
      <c r="F1519" s="10">
        <v>0</v>
      </c>
      <c r="G1519" s="10">
        <v>0</v>
      </c>
      <c r="H1519" s="10">
        <v>6.3</v>
      </c>
      <c r="I1519" s="10" t="s">
        <v>45</v>
      </c>
      <c r="J1519" s="10">
        <v>39.5</v>
      </c>
      <c r="K1519" s="10">
        <v>0</v>
      </c>
      <c r="L1519" s="10">
        <v>0</v>
      </c>
      <c r="M1519" s="10">
        <v>39.5</v>
      </c>
      <c r="N1519" s="10" t="s">
        <v>761</v>
      </c>
      <c r="O1519" s="10" t="s">
        <v>459</v>
      </c>
      <c r="P1519" s="105">
        <f t="shared" si="23"/>
        <v>6.26984126984127</v>
      </c>
    </row>
    <row r="1520" spans="1:16">
      <c r="A1520" s="10" t="s">
        <v>635</v>
      </c>
      <c r="B1520" s="10">
        <v>4712140</v>
      </c>
      <c r="C1520" s="10" t="s">
        <v>759</v>
      </c>
      <c r="D1520" s="10" t="s">
        <v>760</v>
      </c>
      <c r="E1520" s="10">
        <v>0</v>
      </c>
      <c r="F1520" s="10">
        <v>0</v>
      </c>
      <c r="G1520" s="10">
        <v>0</v>
      </c>
      <c r="H1520" s="10">
        <v>0</v>
      </c>
      <c r="I1520" s="10" t="s">
        <v>74</v>
      </c>
      <c r="J1520" s="10">
        <v>0</v>
      </c>
      <c r="K1520" s="10">
        <v>0</v>
      </c>
      <c r="L1520" s="10">
        <v>0</v>
      </c>
      <c r="M1520" s="10">
        <v>0</v>
      </c>
      <c r="N1520" s="10" t="s">
        <v>761</v>
      </c>
      <c r="O1520" s="10" t="s">
        <v>736</v>
      </c>
      <c r="P1520" s="105" t="e">
        <f t="shared" si="23"/>
        <v>#DIV/0!</v>
      </c>
    </row>
    <row r="1521" spans="1:16">
      <c r="A1521" s="10" t="s">
        <v>635</v>
      </c>
      <c r="B1521" s="10">
        <v>4713833</v>
      </c>
      <c r="C1521" s="10" t="s">
        <v>759</v>
      </c>
      <c r="D1521" s="10" t="s">
        <v>760</v>
      </c>
      <c r="E1521" s="10">
        <v>0</v>
      </c>
      <c r="F1521" s="10">
        <v>0</v>
      </c>
      <c r="G1521" s="10">
        <v>0</v>
      </c>
      <c r="H1521" s="10">
        <v>0</v>
      </c>
      <c r="I1521" s="10" t="s">
        <v>26</v>
      </c>
      <c r="J1521" s="10">
        <v>0</v>
      </c>
      <c r="K1521" s="10">
        <v>0</v>
      </c>
      <c r="L1521" s="10">
        <v>0</v>
      </c>
      <c r="M1521" s="10">
        <v>0</v>
      </c>
      <c r="N1521" s="10" t="s">
        <v>761</v>
      </c>
      <c r="O1521" s="10" t="s">
        <v>1783</v>
      </c>
      <c r="P1521" s="105" t="e">
        <f t="shared" si="23"/>
        <v>#DIV/0!</v>
      </c>
    </row>
    <row r="1522" spans="1:16">
      <c r="A1522" s="10" t="s">
        <v>635</v>
      </c>
      <c r="B1522" s="10">
        <v>4714551</v>
      </c>
      <c r="C1522" s="10" t="s">
        <v>759</v>
      </c>
      <c r="D1522" s="10" t="s">
        <v>760</v>
      </c>
      <c r="E1522" s="10">
        <v>0</v>
      </c>
      <c r="F1522" s="10">
        <v>0</v>
      </c>
      <c r="G1522" s="10">
        <v>0</v>
      </c>
      <c r="H1522" s="10">
        <v>0</v>
      </c>
      <c r="I1522" s="10" t="s">
        <v>74</v>
      </c>
      <c r="J1522" s="10">
        <v>0</v>
      </c>
      <c r="K1522" s="10">
        <v>0</v>
      </c>
      <c r="L1522" s="10">
        <v>0</v>
      </c>
      <c r="M1522" s="10">
        <v>0</v>
      </c>
      <c r="N1522" s="10" t="s">
        <v>761</v>
      </c>
      <c r="O1522" s="10" t="s">
        <v>1784</v>
      </c>
      <c r="P1522" s="105" t="e">
        <f t="shared" si="23"/>
        <v>#DIV/0!</v>
      </c>
    </row>
    <row r="1523" spans="1:16">
      <c r="A1523" s="10" t="s">
        <v>635</v>
      </c>
      <c r="B1523" s="10">
        <v>4715950</v>
      </c>
      <c r="C1523" s="10" t="s">
        <v>759</v>
      </c>
      <c r="D1523" s="10" t="s">
        <v>760</v>
      </c>
      <c r="E1523" s="10">
        <v>0</v>
      </c>
      <c r="F1523" s="10">
        <v>0</v>
      </c>
      <c r="G1523" s="10">
        <v>0</v>
      </c>
      <c r="H1523" s="10">
        <v>0</v>
      </c>
      <c r="I1523" s="10" t="s">
        <v>74</v>
      </c>
      <c r="J1523" s="10">
        <v>0</v>
      </c>
      <c r="K1523" s="10">
        <v>0</v>
      </c>
      <c r="L1523" s="10">
        <v>0</v>
      </c>
      <c r="M1523" s="10">
        <v>0</v>
      </c>
      <c r="N1523" s="10" t="s">
        <v>761</v>
      </c>
      <c r="O1523" s="10" t="s">
        <v>1785</v>
      </c>
      <c r="P1523" s="105" t="e">
        <f t="shared" si="23"/>
        <v>#DIV/0!</v>
      </c>
    </row>
    <row r="1524" spans="1:16">
      <c r="A1524" s="10" t="s">
        <v>635</v>
      </c>
      <c r="B1524" s="10">
        <v>4716131</v>
      </c>
      <c r="C1524" s="10" t="s">
        <v>759</v>
      </c>
      <c r="D1524" s="10" t="s">
        <v>760</v>
      </c>
      <c r="E1524" s="10">
        <v>3.22</v>
      </c>
      <c r="F1524" s="10">
        <v>3.75</v>
      </c>
      <c r="G1524" s="10">
        <v>0</v>
      </c>
      <c r="H1524" s="10">
        <v>6.97</v>
      </c>
      <c r="I1524" s="10" t="s">
        <v>45</v>
      </c>
      <c r="J1524" s="10">
        <v>86.25</v>
      </c>
      <c r="K1524" s="10">
        <v>100.45</v>
      </c>
      <c r="L1524" s="10">
        <v>0</v>
      </c>
      <c r="M1524" s="10">
        <v>186.7</v>
      </c>
      <c r="N1524" s="10" t="s">
        <v>761</v>
      </c>
      <c r="O1524" s="10" t="s">
        <v>538</v>
      </c>
      <c r="P1524" s="105">
        <f t="shared" si="23"/>
        <v>26.7862266857963</v>
      </c>
    </row>
    <row r="1525" spans="1:16">
      <c r="A1525" s="10" t="s">
        <v>635</v>
      </c>
      <c r="B1525" s="10">
        <v>4716452</v>
      </c>
      <c r="C1525" s="10" t="s">
        <v>759</v>
      </c>
      <c r="D1525" s="10" t="s">
        <v>760</v>
      </c>
      <c r="E1525" s="10">
        <v>0</v>
      </c>
      <c r="F1525" s="10">
        <v>0</v>
      </c>
      <c r="G1525" s="10">
        <v>0</v>
      </c>
      <c r="H1525" s="10">
        <v>0</v>
      </c>
      <c r="I1525" s="10" t="s">
        <v>74</v>
      </c>
      <c r="J1525" s="10">
        <v>0</v>
      </c>
      <c r="K1525" s="10">
        <v>0</v>
      </c>
      <c r="L1525" s="10">
        <v>0</v>
      </c>
      <c r="M1525" s="10">
        <v>0</v>
      </c>
      <c r="N1525" s="10" t="s">
        <v>761</v>
      </c>
      <c r="O1525" s="10" t="s">
        <v>1786</v>
      </c>
      <c r="P1525" s="105" t="e">
        <f t="shared" si="23"/>
        <v>#DIV/0!</v>
      </c>
    </row>
    <row r="1526" spans="1:16">
      <c r="A1526" s="10" t="s">
        <v>635</v>
      </c>
      <c r="B1526" s="10">
        <v>4716754</v>
      </c>
      <c r="C1526" s="10" t="s">
        <v>759</v>
      </c>
      <c r="D1526" s="10" t="s">
        <v>760</v>
      </c>
      <c r="E1526" s="10">
        <v>0</v>
      </c>
      <c r="F1526" s="10">
        <v>0</v>
      </c>
      <c r="G1526" s="10">
        <v>0</v>
      </c>
      <c r="H1526" s="10">
        <v>0</v>
      </c>
      <c r="I1526" s="10" t="s">
        <v>74</v>
      </c>
      <c r="J1526" s="10">
        <v>0</v>
      </c>
      <c r="K1526" s="10">
        <v>0</v>
      </c>
      <c r="L1526" s="10">
        <v>0</v>
      </c>
      <c r="M1526" s="10">
        <v>0</v>
      </c>
      <c r="N1526" s="10" t="s">
        <v>761</v>
      </c>
      <c r="O1526" s="10" t="s">
        <v>1787</v>
      </c>
      <c r="P1526" s="105" t="e">
        <f t="shared" si="23"/>
        <v>#DIV/0!</v>
      </c>
    </row>
    <row r="1527" spans="1:16">
      <c r="A1527" s="10" t="s">
        <v>635</v>
      </c>
      <c r="B1527" s="10">
        <v>4717150</v>
      </c>
      <c r="C1527" s="10" t="s">
        <v>759</v>
      </c>
      <c r="D1527" s="10" t="s">
        <v>760</v>
      </c>
      <c r="E1527" s="10">
        <v>0</v>
      </c>
      <c r="F1527" s="10">
        <v>36</v>
      </c>
      <c r="G1527" s="10">
        <v>0</v>
      </c>
      <c r="H1527" s="10">
        <v>36</v>
      </c>
      <c r="I1527" s="10" t="s">
        <v>74</v>
      </c>
      <c r="J1527" s="10">
        <v>0</v>
      </c>
      <c r="K1527" s="10">
        <v>120.87</v>
      </c>
      <c r="L1527" s="10">
        <v>0</v>
      </c>
      <c r="M1527" s="10">
        <v>120.87</v>
      </c>
      <c r="N1527" s="10" t="s">
        <v>761</v>
      </c>
      <c r="O1527" s="10" t="s">
        <v>404</v>
      </c>
      <c r="P1527" s="105">
        <f t="shared" si="23"/>
        <v>3.3575</v>
      </c>
    </row>
    <row r="1528" spans="1:16">
      <c r="A1528" s="10" t="s">
        <v>635</v>
      </c>
      <c r="B1528" s="10">
        <v>4717239</v>
      </c>
      <c r="C1528" s="10" t="s">
        <v>759</v>
      </c>
      <c r="D1528" s="10" t="s">
        <v>760</v>
      </c>
      <c r="E1528" s="10">
        <v>0</v>
      </c>
      <c r="F1528" s="10">
        <v>0</v>
      </c>
      <c r="G1528" s="10">
        <v>0</v>
      </c>
      <c r="H1528" s="10">
        <v>0</v>
      </c>
      <c r="I1528" s="10" t="s">
        <v>26</v>
      </c>
      <c r="J1528" s="10">
        <v>0</v>
      </c>
      <c r="K1528" s="10">
        <v>0</v>
      </c>
      <c r="L1528" s="10">
        <v>0</v>
      </c>
      <c r="M1528" s="10">
        <v>0</v>
      </c>
      <c r="N1528" s="10" t="s">
        <v>761</v>
      </c>
      <c r="O1528" s="10" t="s">
        <v>1788</v>
      </c>
      <c r="P1528" s="105" t="e">
        <f t="shared" si="23"/>
        <v>#DIV/0!</v>
      </c>
    </row>
    <row r="1529" spans="1:16">
      <c r="A1529" s="10" t="s">
        <v>635</v>
      </c>
      <c r="B1529" s="10">
        <v>4717533</v>
      </c>
      <c r="C1529" s="10" t="s">
        <v>759</v>
      </c>
      <c r="D1529" s="10" t="s">
        <v>760</v>
      </c>
      <c r="E1529" s="10">
        <v>0</v>
      </c>
      <c r="F1529" s="10">
        <v>0</v>
      </c>
      <c r="G1529" s="10">
        <v>0</v>
      </c>
      <c r="H1529" s="10">
        <v>0</v>
      </c>
      <c r="I1529" s="10" t="s">
        <v>74</v>
      </c>
      <c r="J1529" s="10">
        <v>0</v>
      </c>
      <c r="K1529" s="10">
        <v>0</v>
      </c>
      <c r="L1529" s="10">
        <v>0</v>
      </c>
      <c r="M1529" s="10">
        <v>0</v>
      </c>
      <c r="N1529" s="10" t="s">
        <v>761</v>
      </c>
      <c r="O1529" s="10" t="s">
        <v>737</v>
      </c>
      <c r="P1529" s="105" t="e">
        <f t="shared" si="23"/>
        <v>#DIV/0!</v>
      </c>
    </row>
    <row r="1530" spans="1:16">
      <c r="A1530" s="10" t="s">
        <v>635</v>
      </c>
      <c r="B1530" s="10">
        <v>4722217</v>
      </c>
      <c r="C1530" s="10" t="s">
        <v>759</v>
      </c>
      <c r="D1530" s="10" t="s">
        <v>760</v>
      </c>
      <c r="E1530" s="10">
        <v>0</v>
      </c>
      <c r="F1530" s="10">
        <v>0</v>
      </c>
      <c r="G1530" s="10">
        <v>0</v>
      </c>
      <c r="H1530" s="10">
        <v>0</v>
      </c>
      <c r="I1530" s="10" t="s">
        <v>74</v>
      </c>
      <c r="J1530" s="10">
        <v>0</v>
      </c>
      <c r="K1530" s="10">
        <v>0</v>
      </c>
      <c r="L1530" s="10">
        <v>0</v>
      </c>
      <c r="M1530" s="10">
        <v>0</v>
      </c>
      <c r="N1530" s="10" t="s">
        <v>761</v>
      </c>
      <c r="O1530" s="10" t="s">
        <v>1789</v>
      </c>
      <c r="P1530" s="105" t="e">
        <f t="shared" si="23"/>
        <v>#DIV/0!</v>
      </c>
    </row>
    <row r="1531" spans="1:16">
      <c r="A1531" s="10" t="s">
        <v>635</v>
      </c>
      <c r="B1531" s="10">
        <v>4722288</v>
      </c>
      <c r="C1531" s="10" t="s">
        <v>759</v>
      </c>
      <c r="D1531" s="10" t="s">
        <v>760</v>
      </c>
      <c r="E1531" s="10">
        <v>140</v>
      </c>
      <c r="F1531" s="10">
        <v>180</v>
      </c>
      <c r="G1531" s="10">
        <v>0</v>
      </c>
      <c r="H1531" s="10">
        <v>320</v>
      </c>
      <c r="I1531" s="10" t="s">
        <v>45</v>
      </c>
      <c r="J1531" s="10">
        <v>640.73</v>
      </c>
      <c r="K1531" s="10">
        <v>823.9</v>
      </c>
      <c r="L1531" s="10">
        <v>0</v>
      </c>
      <c r="M1531" s="103">
        <v>1464.63</v>
      </c>
      <c r="N1531" s="10" t="s">
        <v>761</v>
      </c>
      <c r="O1531" s="10" t="s">
        <v>468</v>
      </c>
      <c r="P1531" s="105">
        <f t="shared" si="23"/>
        <v>4.57696875</v>
      </c>
    </row>
    <row r="1532" spans="1:16">
      <c r="A1532" s="10" t="s">
        <v>635</v>
      </c>
      <c r="B1532" s="10">
        <v>4723811</v>
      </c>
      <c r="C1532" s="10" t="s">
        <v>759</v>
      </c>
      <c r="D1532" s="10" t="s">
        <v>760</v>
      </c>
      <c r="E1532" s="10">
        <v>38</v>
      </c>
      <c r="F1532" s="10">
        <v>0</v>
      </c>
      <c r="G1532" s="10">
        <v>0</v>
      </c>
      <c r="H1532" s="10">
        <v>38</v>
      </c>
      <c r="I1532" s="10" t="s">
        <v>74</v>
      </c>
      <c r="J1532" s="10">
        <v>217.5</v>
      </c>
      <c r="K1532" s="10">
        <v>0</v>
      </c>
      <c r="L1532" s="10">
        <v>0</v>
      </c>
      <c r="M1532" s="10">
        <v>217.5</v>
      </c>
      <c r="N1532" s="10" t="s">
        <v>761</v>
      </c>
      <c r="O1532" s="10" t="s">
        <v>306</v>
      </c>
      <c r="P1532" s="105">
        <f t="shared" si="23"/>
        <v>5.72368421052632</v>
      </c>
    </row>
    <row r="1533" spans="1:16">
      <c r="A1533" s="10" t="s">
        <v>635</v>
      </c>
      <c r="B1533" s="10">
        <v>4724199</v>
      </c>
      <c r="C1533" s="10" t="s">
        <v>759</v>
      </c>
      <c r="D1533" s="10" t="s">
        <v>760</v>
      </c>
      <c r="E1533" s="10">
        <v>0</v>
      </c>
      <c r="F1533" s="10">
        <v>0</v>
      </c>
      <c r="G1533" s="10">
        <v>0</v>
      </c>
      <c r="H1533" s="10">
        <v>0</v>
      </c>
      <c r="I1533" s="10" t="s">
        <v>659</v>
      </c>
      <c r="J1533" s="10">
        <v>0</v>
      </c>
      <c r="K1533" s="10">
        <v>0</v>
      </c>
      <c r="L1533" s="10">
        <v>0</v>
      </c>
      <c r="M1533" s="10">
        <v>0</v>
      </c>
      <c r="N1533" s="10" t="s">
        <v>761</v>
      </c>
      <c r="O1533" s="10" t="s">
        <v>1790</v>
      </c>
      <c r="P1533" s="105" t="e">
        <f t="shared" si="23"/>
        <v>#DIV/0!</v>
      </c>
    </row>
    <row r="1534" spans="1:16">
      <c r="A1534" s="10" t="s">
        <v>635</v>
      </c>
      <c r="B1534" s="10">
        <v>4726198</v>
      </c>
      <c r="C1534" s="10" t="s">
        <v>759</v>
      </c>
      <c r="D1534" s="10" t="s">
        <v>760</v>
      </c>
      <c r="E1534" s="10">
        <v>0</v>
      </c>
      <c r="F1534" s="10">
        <v>22</v>
      </c>
      <c r="G1534" s="10">
        <v>0</v>
      </c>
      <c r="H1534" s="10">
        <v>22</v>
      </c>
      <c r="I1534" s="10" t="s">
        <v>128</v>
      </c>
      <c r="J1534" s="10">
        <v>0</v>
      </c>
      <c r="K1534" s="10">
        <v>484</v>
      </c>
      <c r="L1534" s="10">
        <v>0</v>
      </c>
      <c r="M1534" s="10">
        <v>484</v>
      </c>
      <c r="N1534" s="10" t="s">
        <v>761</v>
      </c>
      <c r="O1534" s="10" t="s">
        <v>351</v>
      </c>
      <c r="P1534" s="105">
        <f t="shared" si="23"/>
        <v>22</v>
      </c>
    </row>
    <row r="1535" spans="1:16">
      <c r="A1535" s="10" t="s">
        <v>635</v>
      </c>
      <c r="B1535" s="10">
        <v>4727478</v>
      </c>
      <c r="C1535" s="10" t="s">
        <v>759</v>
      </c>
      <c r="D1535" s="10" t="s">
        <v>760</v>
      </c>
      <c r="E1535" s="10">
        <v>0</v>
      </c>
      <c r="F1535" s="10">
        <v>1.02</v>
      </c>
      <c r="G1535" s="10">
        <v>0</v>
      </c>
      <c r="H1535" s="10">
        <v>1.02</v>
      </c>
      <c r="I1535" s="10" t="s">
        <v>74</v>
      </c>
      <c r="J1535" s="10">
        <v>0</v>
      </c>
      <c r="K1535" s="10">
        <v>21.98</v>
      </c>
      <c r="L1535" s="10">
        <v>0</v>
      </c>
      <c r="M1535" s="10">
        <v>21.98</v>
      </c>
      <c r="N1535" s="10" t="s">
        <v>761</v>
      </c>
      <c r="O1535" s="10" t="s">
        <v>208</v>
      </c>
      <c r="P1535" s="105">
        <f t="shared" si="23"/>
        <v>21.5490196078431</v>
      </c>
    </row>
    <row r="1536" spans="1:16">
      <c r="A1536" s="10" t="s">
        <v>635</v>
      </c>
      <c r="B1536" s="10">
        <v>4727592</v>
      </c>
      <c r="C1536" s="10" t="s">
        <v>759</v>
      </c>
      <c r="D1536" s="10" t="s">
        <v>760</v>
      </c>
      <c r="E1536" s="10">
        <v>24</v>
      </c>
      <c r="F1536" s="10">
        <v>0</v>
      </c>
      <c r="G1536" s="10">
        <v>0</v>
      </c>
      <c r="H1536" s="10">
        <v>24</v>
      </c>
      <c r="I1536" s="10" t="s">
        <v>74</v>
      </c>
      <c r="J1536" s="10">
        <v>58</v>
      </c>
      <c r="K1536" s="10">
        <v>0</v>
      </c>
      <c r="L1536" s="10">
        <v>0</v>
      </c>
      <c r="M1536" s="10">
        <v>58</v>
      </c>
      <c r="N1536" s="10" t="s">
        <v>761</v>
      </c>
      <c r="O1536" s="10" t="s">
        <v>322</v>
      </c>
      <c r="P1536" s="105">
        <f t="shared" si="23"/>
        <v>2.41666666666667</v>
      </c>
    </row>
    <row r="1537" spans="1:16">
      <c r="A1537" s="10" t="s">
        <v>635</v>
      </c>
      <c r="B1537" s="10">
        <v>4732717</v>
      </c>
      <c r="C1537" s="10" t="s">
        <v>759</v>
      </c>
      <c r="D1537" s="10" t="s">
        <v>760</v>
      </c>
      <c r="E1537" s="10">
        <v>0</v>
      </c>
      <c r="F1537" s="10">
        <v>0</v>
      </c>
      <c r="G1537" s="10">
        <v>0</v>
      </c>
      <c r="H1537" s="10">
        <v>0</v>
      </c>
      <c r="I1537" s="10" t="s">
        <v>74</v>
      </c>
      <c r="J1537" s="10">
        <v>0</v>
      </c>
      <c r="K1537" s="10">
        <v>0</v>
      </c>
      <c r="L1537" s="10">
        <v>0</v>
      </c>
      <c r="M1537" s="10">
        <v>0</v>
      </c>
      <c r="N1537" s="10" t="s">
        <v>761</v>
      </c>
      <c r="O1537" s="10" t="s">
        <v>1791</v>
      </c>
      <c r="P1537" s="105" t="e">
        <f t="shared" si="23"/>
        <v>#DIV/0!</v>
      </c>
    </row>
    <row r="1538" spans="1:16">
      <c r="A1538" s="10" t="s">
        <v>635</v>
      </c>
      <c r="B1538" s="10">
        <v>4733029</v>
      </c>
      <c r="C1538" s="10" t="s">
        <v>759</v>
      </c>
      <c r="D1538" s="10" t="s">
        <v>760</v>
      </c>
      <c r="E1538" s="10">
        <v>12.6</v>
      </c>
      <c r="F1538" s="10">
        <v>0</v>
      </c>
      <c r="G1538" s="10">
        <v>0</v>
      </c>
      <c r="H1538" s="10">
        <v>12.6</v>
      </c>
      <c r="I1538" s="10" t="s">
        <v>45</v>
      </c>
      <c r="J1538" s="10">
        <v>99.17</v>
      </c>
      <c r="K1538" s="10">
        <v>0</v>
      </c>
      <c r="L1538" s="10">
        <v>0</v>
      </c>
      <c r="M1538" s="10">
        <v>99.17</v>
      </c>
      <c r="N1538" s="10" t="s">
        <v>761</v>
      </c>
      <c r="O1538" s="10" t="s">
        <v>501</v>
      </c>
      <c r="P1538" s="105">
        <f t="shared" si="23"/>
        <v>7.87063492063492</v>
      </c>
    </row>
    <row r="1539" spans="1:16">
      <c r="A1539" s="10" t="s">
        <v>635</v>
      </c>
      <c r="B1539" s="10">
        <v>4733033</v>
      </c>
      <c r="C1539" s="10" t="s">
        <v>759</v>
      </c>
      <c r="D1539" s="10" t="s">
        <v>760</v>
      </c>
      <c r="E1539" s="10">
        <v>0</v>
      </c>
      <c r="F1539" s="10">
        <v>0</v>
      </c>
      <c r="G1539" s="10">
        <v>0</v>
      </c>
      <c r="H1539" s="10">
        <v>0</v>
      </c>
      <c r="I1539" s="10" t="s">
        <v>74</v>
      </c>
      <c r="J1539" s="10">
        <v>0</v>
      </c>
      <c r="K1539" s="10">
        <v>0</v>
      </c>
      <c r="L1539" s="10">
        <v>0</v>
      </c>
      <c r="M1539" s="10">
        <v>0</v>
      </c>
      <c r="N1539" s="10" t="s">
        <v>761</v>
      </c>
      <c r="O1539" s="10" t="s">
        <v>1792</v>
      </c>
      <c r="P1539" s="105" t="e">
        <f t="shared" ref="P1539:P1602" si="24">M1539/H1539</f>
        <v>#DIV/0!</v>
      </c>
    </row>
    <row r="1540" spans="1:16">
      <c r="A1540" s="10" t="s">
        <v>635</v>
      </c>
      <c r="B1540" s="10">
        <v>4733120</v>
      </c>
      <c r="C1540" s="10" t="s">
        <v>759</v>
      </c>
      <c r="D1540" s="10" t="s">
        <v>760</v>
      </c>
      <c r="E1540" s="10">
        <v>30</v>
      </c>
      <c r="F1540" s="10">
        <v>40</v>
      </c>
      <c r="G1540" s="10">
        <v>0</v>
      </c>
      <c r="H1540" s="10">
        <v>70</v>
      </c>
      <c r="I1540" s="10" t="s">
        <v>74</v>
      </c>
      <c r="J1540" s="10">
        <v>127.5</v>
      </c>
      <c r="K1540" s="10">
        <v>170</v>
      </c>
      <c r="L1540" s="10">
        <v>0</v>
      </c>
      <c r="M1540" s="10">
        <v>297.5</v>
      </c>
      <c r="N1540" s="10" t="s">
        <v>761</v>
      </c>
      <c r="O1540" s="10" t="s">
        <v>204</v>
      </c>
      <c r="P1540" s="105">
        <f t="shared" si="24"/>
        <v>4.25</v>
      </c>
    </row>
    <row r="1541" spans="1:16">
      <c r="A1541" s="10" t="s">
        <v>635</v>
      </c>
      <c r="B1541" s="10">
        <v>4733325</v>
      </c>
      <c r="C1541" s="10" t="s">
        <v>759</v>
      </c>
      <c r="D1541" s="10" t="s">
        <v>760</v>
      </c>
      <c r="E1541" s="10">
        <v>339</v>
      </c>
      <c r="F1541" s="10">
        <v>0</v>
      </c>
      <c r="G1541" s="10">
        <v>0</v>
      </c>
      <c r="H1541" s="10">
        <v>339</v>
      </c>
      <c r="I1541" s="10" t="s">
        <v>33</v>
      </c>
      <c r="J1541" s="103">
        <v>1015.87</v>
      </c>
      <c r="K1541" s="10">
        <v>0</v>
      </c>
      <c r="L1541" s="10">
        <v>0</v>
      </c>
      <c r="M1541" s="103">
        <v>1015.87</v>
      </c>
      <c r="N1541" s="10" t="s">
        <v>761</v>
      </c>
      <c r="O1541" s="10" t="s">
        <v>339</v>
      </c>
      <c r="P1541" s="105">
        <f t="shared" si="24"/>
        <v>2.99666666666667</v>
      </c>
    </row>
    <row r="1542" spans="1:16">
      <c r="A1542" s="10" t="s">
        <v>635</v>
      </c>
      <c r="B1542" s="10">
        <v>4734146</v>
      </c>
      <c r="C1542" s="10" t="s">
        <v>759</v>
      </c>
      <c r="D1542" s="10" t="s">
        <v>760</v>
      </c>
      <c r="E1542" s="10">
        <v>0</v>
      </c>
      <c r="F1542" s="10">
        <v>72.64</v>
      </c>
      <c r="G1542" s="10">
        <v>0</v>
      </c>
      <c r="H1542" s="10">
        <v>72.64</v>
      </c>
      <c r="I1542" s="10" t="s">
        <v>74</v>
      </c>
      <c r="J1542" s="10">
        <v>0</v>
      </c>
      <c r="K1542" s="10">
        <v>640</v>
      </c>
      <c r="L1542" s="10">
        <v>0</v>
      </c>
      <c r="M1542" s="10">
        <v>640</v>
      </c>
      <c r="N1542" s="10" t="s">
        <v>761</v>
      </c>
      <c r="O1542" s="10" t="s">
        <v>581</v>
      </c>
      <c r="P1542" s="105">
        <f t="shared" si="24"/>
        <v>8.81057268722467</v>
      </c>
    </row>
    <row r="1543" spans="1:16">
      <c r="A1543" s="10" t="s">
        <v>635</v>
      </c>
      <c r="B1543" s="10">
        <v>4735139</v>
      </c>
      <c r="C1543" s="10" t="s">
        <v>759</v>
      </c>
      <c r="D1543" s="10" t="s">
        <v>760</v>
      </c>
      <c r="E1543" s="10">
        <v>16.8</v>
      </c>
      <c r="F1543" s="10">
        <v>0</v>
      </c>
      <c r="G1543" s="10">
        <v>0</v>
      </c>
      <c r="H1543" s="10">
        <v>16.8</v>
      </c>
      <c r="I1543" s="10" t="s">
        <v>74</v>
      </c>
      <c r="J1543" s="10">
        <v>180</v>
      </c>
      <c r="K1543" s="10">
        <v>0</v>
      </c>
      <c r="L1543" s="10">
        <v>0</v>
      </c>
      <c r="M1543" s="10">
        <v>180</v>
      </c>
      <c r="N1543" s="10" t="s">
        <v>761</v>
      </c>
      <c r="O1543" s="10" t="s">
        <v>335</v>
      </c>
      <c r="P1543" s="105">
        <f t="shared" si="24"/>
        <v>10.7142857142857</v>
      </c>
    </row>
    <row r="1544" spans="1:16">
      <c r="A1544" s="10" t="s">
        <v>635</v>
      </c>
      <c r="B1544" s="10">
        <v>4735156</v>
      </c>
      <c r="C1544" s="10" t="s">
        <v>759</v>
      </c>
      <c r="D1544" s="10" t="s">
        <v>760</v>
      </c>
      <c r="E1544" s="10">
        <v>60</v>
      </c>
      <c r="F1544" s="10">
        <v>80</v>
      </c>
      <c r="G1544" s="10">
        <v>0</v>
      </c>
      <c r="H1544" s="10">
        <v>140</v>
      </c>
      <c r="I1544" s="10" t="s">
        <v>74</v>
      </c>
      <c r="J1544" s="10">
        <v>425.31</v>
      </c>
      <c r="K1544" s="10">
        <v>568</v>
      </c>
      <c r="L1544" s="10">
        <v>0</v>
      </c>
      <c r="M1544" s="10">
        <v>993.31</v>
      </c>
      <c r="N1544" s="10" t="s">
        <v>761</v>
      </c>
      <c r="O1544" s="10" t="s">
        <v>576</v>
      </c>
      <c r="P1544" s="105">
        <f t="shared" si="24"/>
        <v>7.09507142857143</v>
      </c>
    </row>
    <row r="1545" spans="1:16">
      <c r="A1545" s="10" t="s">
        <v>635</v>
      </c>
      <c r="B1545" s="10">
        <v>4736013</v>
      </c>
      <c r="C1545" s="10" t="s">
        <v>759</v>
      </c>
      <c r="D1545" s="10" t="s">
        <v>760</v>
      </c>
      <c r="E1545" s="10">
        <v>0</v>
      </c>
      <c r="F1545" s="10">
        <v>0</v>
      </c>
      <c r="G1545" s="10">
        <v>0</v>
      </c>
      <c r="H1545" s="10">
        <v>0</v>
      </c>
      <c r="I1545" s="10" t="s">
        <v>102</v>
      </c>
      <c r="J1545" s="10">
        <v>0</v>
      </c>
      <c r="K1545" s="10">
        <v>0</v>
      </c>
      <c r="L1545" s="10">
        <v>0</v>
      </c>
      <c r="M1545" s="10">
        <v>0</v>
      </c>
      <c r="N1545" s="10" t="s">
        <v>761</v>
      </c>
      <c r="O1545" s="10" t="s">
        <v>1793</v>
      </c>
      <c r="P1545" s="105" t="e">
        <f t="shared" si="24"/>
        <v>#DIV/0!</v>
      </c>
    </row>
    <row r="1546" spans="1:16">
      <c r="A1546" s="10" t="s">
        <v>635</v>
      </c>
      <c r="B1546" s="10">
        <v>4736014</v>
      </c>
      <c r="C1546" s="10" t="s">
        <v>759</v>
      </c>
      <c r="D1546" s="10" t="s">
        <v>760</v>
      </c>
      <c r="E1546" s="10">
        <v>0</v>
      </c>
      <c r="F1546" s="10">
        <v>0</v>
      </c>
      <c r="G1546" s="10">
        <v>0</v>
      </c>
      <c r="H1546" s="10">
        <v>0</v>
      </c>
      <c r="I1546" s="10" t="s">
        <v>102</v>
      </c>
      <c r="J1546" s="10">
        <v>0</v>
      </c>
      <c r="K1546" s="10">
        <v>0</v>
      </c>
      <c r="L1546" s="10">
        <v>0</v>
      </c>
      <c r="M1546" s="10">
        <v>0</v>
      </c>
      <c r="N1546" s="10" t="s">
        <v>761</v>
      </c>
      <c r="O1546" s="10" t="s">
        <v>1794</v>
      </c>
      <c r="P1546" s="105" t="e">
        <f t="shared" si="24"/>
        <v>#DIV/0!</v>
      </c>
    </row>
    <row r="1547" spans="1:16">
      <c r="A1547" s="10" t="s">
        <v>635</v>
      </c>
      <c r="B1547" s="10">
        <v>4736015</v>
      </c>
      <c r="C1547" s="10" t="s">
        <v>759</v>
      </c>
      <c r="D1547" s="10" t="s">
        <v>760</v>
      </c>
      <c r="E1547" s="10">
        <v>0</v>
      </c>
      <c r="F1547" s="10">
        <v>0</v>
      </c>
      <c r="G1547" s="10">
        <v>0</v>
      </c>
      <c r="H1547" s="10">
        <v>0</v>
      </c>
      <c r="I1547" s="10" t="s">
        <v>102</v>
      </c>
      <c r="J1547" s="10">
        <v>0</v>
      </c>
      <c r="K1547" s="10">
        <v>0</v>
      </c>
      <c r="L1547" s="10">
        <v>0</v>
      </c>
      <c r="M1547" s="10">
        <v>0</v>
      </c>
      <c r="N1547" s="10" t="s">
        <v>761</v>
      </c>
      <c r="O1547" s="10" t="s">
        <v>1795</v>
      </c>
      <c r="P1547" s="105" t="e">
        <f t="shared" si="24"/>
        <v>#DIV/0!</v>
      </c>
    </row>
    <row r="1548" spans="1:16">
      <c r="A1548" s="10" t="s">
        <v>635</v>
      </c>
      <c r="B1548" s="10">
        <v>4736016</v>
      </c>
      <c r="C1548" s="10" t="s">
        <v>759</v>
      </c>
      <c r="D1548" s="10" t="s">
        <v>760</v>
      </c>
      <c r="E1548" s="10">
        <v>0</v>
      </c>
      <c r="F1548" s="10">
        <v>0</v>
      </c>
      <c r="G1548" s="10">
        <v>0</v>
      </c>
      <c r="H1548" s="10">
        <v>0</v>
      </c>
      <c r="I1548" s="10" t="s">
        <v>102</v>
      </c>
      <c r="J1548" s="10">
        <v>0</v>
      </c>
      <c r="K1548" s="10">
        <v>0</v>
      </c>
      <c r="L1548" s="10">
        <v>0</v>
      </c>
      <c r="M1548" s="10">
        <v>0</v>
      </c>
      <c r="N1548" s="10" t="s">
        <v>761</v>
      </c>
      <c r="O1548" s="10" t="s">
        <v>1796</v>
      </c>
      <c r="P1548" s="105" t="e">
        <f t="shared" si="24"/>
        <v>#DIV/0!</v>
      </c>
    </row>
    <row r="1549" spans="1:16">
      <c r="A1549" s="10" t="s">
        <v>635</v>
      </c>
      <c r="B1549" s="10">
        <v>4736017</v>
      </c>
      <c r="C1549" s="10" t="s">
        <v>759</v>
      </c>
      <c r="D1549" s="10" t="s">
        <v>760</v>
      </c>
      <c r="E1549" s="10">
        <v>0</v>
      </c>
      <c r="F1549" s="10">
        <v>0</v>
      </c>
      <c r="G1549" s="10">
        <v>0</v>
      </c>
      <c r="H1549" s="10">
        <v>0</v>
      </c>
      <c r="I1549" s="10" t="s">
        <v>102</v>
      </c>
      <c r="J1549" s="10">
        <v>0</v>
      </c>
      <c r="K1549" s="10">
        <v>0</v>
      </c>
      <c r="L1549" s="10">
        <v>0</v>
      </c>
      <c r="M1549" s="10">
        <v>0</v>
      </c>
      <c r="N1549" s="10" t="s">
        <v>761</v>
      </c>
      <c r="O1549" s="10" t="s">
        <v>1797</v>
      </c>
      <c r="P1549" s="105" t="e">
        <f t="shared" si="24"/>
        <v>#DIV/0!</v>
      </c>
    </row>
    <row r="1550" spans="1:16">
      <c r="A1550" s="10" t="s">
        <v>635</v>
      </c>
      <c r="B1550" s="10">
        <v>4736018</v>
      </c>
      <c r="C1550" s="10" t="s">
        <v>759</v>
      </c>
      <c r="D1550" s="10" t="s">
        <v>760</v>
      </c>
      <c r="E1550" s="10">
        <v>0</v>
      </c>
      <c r="F1550" s="10">
        <v>0</v>
      </c>
      <c r="G1550" s="10">
        <v>0</v>
      </c>
      <c r="H1550" s="10">
        <v>0</v>
      </c>
      <c r="I1550" s="10" t="s">
        <v>102</v>
      </c>
      <c r="J1550" s="10">
        <v>0</v>
      </c>
      <c r="K1550" s="10">
        <v>0</v>
      </c>
      <c r="L1550" s="10">
        <v>0</v>
      </c>
      <c r="M1550" s="10">
        <v>0</v>
      </c>
      <c r="N1550" s="10" t="s">
        <v>761</v>
      </c>
      <c r="O1550" s="10" t="s">
        <v>1798</v>
      </c>
      <c r="P1550" s="105" t="e">
        <f t="shared" si="24"/>
        <v>#DIV/0!</v>
      </c>
    </row>
    <row r="1551" spans="1:16">
      <c r="A1551" s="10" t="s">
        <v>635</v>
      </c>
      <c r="B1551" s="10">
        <v>4736021</v>
      </c>
      <c r="C1551" s="10" t="s">
        <v>759</v>
      </c>
      <c r="D1551" s="10" t="s">
        <v>760</v>
      </c>
      <c r="E1551" s="10">
        <v>0</v>
      </c>
      <c r="F1551" s="10">
        <v>0</v>
      </c>
      <c r="G1551" s="10">
        <v>0</v>
      </c>
      <c r="H1551" s="10">
        <v>0</v>
      </c>
      <c r="I1551" s="10" t="s">
        <v>102</v>
      </c>
      <c r="J1551" s="10">
        <v>0</v>
      </c>
      <c r="K1551" s="10">
        <v>0</v>
      </c>
      <c r="L1551" s="10">
        <v>0</v>
      </c>
      <c r="M1551" s="10">
        <v>0</v>
      </c>
      <c r="N1551" s="10" t="s">
        <v>761</v>
      </c>
      <c r="O1551" s="10" t="s">
        <v>1799</v>
      </c>
      <c r="P1551" s="105" t="e">
        <f t="shared" si="24"/>
        <v>#DIV/0!</v>
      </c>
    </row>
    <row r="1552" spans="1:16">
      <c r="A1552" s="10" t="s">
        <v>635</v>
      </c>
      <c r="B1552" s="10">
        <v>4736022</v>
      </c>
      <c r="C1552" s="10" t="s">
        <v>759</v>
      </c>
      <c r="D1552" s="10" t="s">
        <v>760</v>
      </c>
      <c r="E1552" s="10">
        <v>0</v>
      </c>
      <c r="F1552" s="10">
        <v>0</v>
      </c>
      <c r="G1552" s="10">
        <v>0</v>
      </c>
      <c r="H1552" s="10">
        <v>0</v>
      </c>
      <c r="I1552" s="10" t="s">
        <v>102</v>
      </c>
      <c r="J1552" s="10">
        <v>0</v>
      </c>
      <c r="K1552" s="10">
        <v>0</v>
      </c>
      <c r="L1552" s="10">
        <v>0</v>
      </c>
      <c r="M1552" s="10">
        <v>0</v>
      </c>
      <c r="N1552" s="10" t="s">
        <v>761</v>
      </c>
      <c r="O1552" s="10" t="s">
        <v>1800</v>
      </c>
      <c r="P1552" s="105" t="e">
        <f t="shared" si="24"/>
        <v>#DIV/0!</v>
      </c>
    </row>
    <row r="1553" spans="1:16">
      <c r="A1553" s="10" t="s">
        <v>635</v>
      </c>
      <c r="B1553" s="10">
        <v>4736023</v>
      </c>
      <c r="C1553" s="10" t="s">
        <v>759</v>
      </c>
      <c r="D1553" s="10" t="s">
        <v>760</v>
      </c>
      <c r="E1553" s="10">
        <v>0</v>
      </c>
      <c r="F1553" s="10">
        <v>0</v>
      </c>
      <c r="G1553" s="10">
        <v>0</v>
      </c>
      <c r="H1553" s="10">
        <v>0</v>
      </c>
      <c r="I1553" s="10" t="s">
        <v>102</v>
      </c>
      <c r="J1553" s="10">
        <v>0</v>
      </c>
      <c r="K1553" s="10">
        <v>0</v>
      </c>
      <c r="L1553" s="10">
        <v>0</v>
      </c>
      <c r="M1553" s="10">
        <v>0</v>
      </c>
      <c r="N1553" s="10" t="s">
        <v>761</v>
      </c>
      <c r="O1553" s="10" t="s">
        <v>1801</v>
      </c>
      <c r="P1553" s="105" t="e">
        <f t="shared" si="24"/>
        <v>#DIV/0!</v>
      </c>
    </row>
    <row r="1554" spans="1:16">
      <c r="A1554" s="10" t="s">
        <v>635</v>
      </c>
      <c r="B1554" s="10">
        <v>4736024</v>
      </c>
      <c r="C1554" s="10" t="s">
        <v>759</v>
      </c>
      <c r="D1554" s="10" t="s">
        <v>760</v>
      </c>
      <c r="E1554" s="10">
        <v>0</v>
      </c>
      <c r="F1554" s="10">
        <v>0</v>
      </c>
      <c r="G1554" s="10">
        <v>0</v>
      </c>
      <c r="H1554" s="10">
        <v>0</v>
      </c>
      <c r="I1554" s="10" t="s">
        <v>102</v>
      </c>
      <c r="J1554" s="10">
        <v>0</v>
      </c>
      <c r="K1554" s="10">
        <v>0</v>
      </c>
      <c r="L1554" s="10">
        <v>0</v>
      </c>
      <c r="M1554" s="10">
        <v>0</v>
      </c>
      <c r="N1554" s="10" t="s">
        <v>761</v>
      </c>
      <c r="O1554" s="10" t="s">
        <v>1802</v>
      </c>
      <c r="P1554" s="105" t="e">
        <f t="shared" si="24"/>
        <v>#DIV/0!</v>
      </c>
    </row>
    <row r="1555" spans="1:16">
      <c r="A1555" s="10" t="s">
        <v>635</v>
      </c>
      <c r="B1555" s="10">
        <v>4736025</v>
      </c>
      <c r="C1555" s="10" t="s">
        <v>759</v>
      </c>
      <c r="D1555" s="10" t="s">
        <v>760</v>
      </c>
      <c r="E1555" s="10">
        <v>0</v>
      </c>
      <c r="F1555" s="10">
        <v>0</v>
      </c>
      <c r="G1555" s="10">
        <v>0</v>
      </c>
      <c r="H1555" s="10">
        <v>0</v>
      </c>
      <c r="I1555" s="10" t="s">
        <v>102</v>
      </c>
      <c r="J1555" s="10">
        <v>0</v>
      </c>
      <c r="K1555" s="10">
        <v>0</v>
      </c>
      <c r="L1555" s="10">
        <v>0</v>
      </c>
      <c r="M1555" s="10">
        <v>0</v>
      </c>
      <c r="N1555" s="10" t="s">
        <v>761</v>
      </c>
      <c r="O1555" s="10" t="s">
        <v>1803</v>
      </c>
      <c r="P1555" s="105" t="e">
        <f t="shared" si="24"/>
        <v>#DIV/0!</v>
      </c>
    </row>
    <row r="1556" spans="1:16">
      <c r="A1556" s="10" t="s">
        <v>635</v>
      </c>
      <c r="B1556" s="10">
        <v>4736254</v>
      </c>
      <c r="C1556" s="10" t="s">
        <v>759</v>
      </c>
      <c r="D1556" s="10" t="s">
        <v>760</v>
      </c>
      <c r="E1556" s="10">
        <v>0</v>
      </c>
      <c r="F1556" s="10">
        <v>0</v>
      </c>
      <c r="G1556" s="10">
        <v>0</v>
      </c>
      <c r="H1556" s="10">
        <v>0</v>
      </c>
      <c r="I1556" s="10" t="s">
        <v>261</v>
      </c>
      <c r="J1556" s="10">
        <v>0</v>
      </c>
      <c r="K1556" s="10">
        <v>0</v>
      </c>
      <c r="L1556" s="10">
        <v>0</v>
      </c>
      <c r="M1556" s="10">
        <v>0</v>
      </c>
      <c r="N1556" s="10" t="s">
        <v>761</v>
      </c>
      <c r="O1556" s="10" t="s">
        <v>1804</v>
      </c>
      <c r="P1556" s="105" t="e">
        <f t="shared" si="24"/>
        <v>#DIV/0!</v>
      </c>
    </row>
    <row r="1557" spans="1:16">
      <c r="A1557" s="10" t="s">
        <v>635</v>
      </c>
      <c r="B1557" s="10">
        <v>4740140</v>
      </c>
      <c r="C1557" s="10" t="s">
        <v>759</v>
      </c>
      <c r="D1557" s="10" t="s">
        <v>760</v>
      </c>
      <c r="E1557" s="10">
        <v>2</v>
      </c>
      <c r="F1557" s="10">
        <v>21</v>
      </c>
      <c r="G1557" s="10">
        <v>0</v>
      </c>
      <c r="H1557" s="10">
        <v>23</v>
      </c>
      <c r="I1557" s="10" t="s">
        <v>128</v>
      </c>
      <c r="J1557" s="10">
        <v>50</v>
      </c>
      <c r="K1557" s="10">
        <v>625</v>
      </c>
      <c r="L1557" s="10">
        <v>0</v>
      </c>
      <c r="M1557" s="10">
        <v>675</v>
      </c>
      <c r="N1557" s="10" t="s">
        <v>761</v>
      </c>
      <c r="O1557" s="10" t="s">
        <v>234</v>
      </c>
      <c r="P1557" s="105">
        <f t="shared" si="24"/>
        <v>29.3478260869565</v>
      </c>
    </row>
    <row r="1558" spans="1:16">
      <c r="A1558" s="10" t="s">
        <v>635</v>
      </c>
      <c r="B1558" s="10">
        <v>4740580</v>
      </c>
      <c r="C1558" s="10" t="s">
        <v>759</v>
      </c>
      <c r="D1558" s="10" t="s">
        <v>760</v>
      </c>
      <c r="E1558" s="10">
        <v>0</v>
      </c>
      <c r="F1558" s="10">
        <v>0</v>
      </c>
      <c r="G1558" s="10">
        <v>0</v>
      </c>
      <c r="H1558" s="10">
        <v>0</v>
      </c>
      <c r="I1558" s="10" t="s">
        <v>74</v>
      </c>
      <c r="J1558" s="10">
        <v>0</v>
      </c>
      <c r="K1558" s="10">
        <v>0</v>
      </c>
      <c r="L1558" s="10">
        <v>0</v>
      </c>
      <c r="M1558" s="10">
        <v>0</v>
      </c>
      <c r="N1558" s="10" t="s">
        <v>761</v>
      </c>
      <c r="O1558" s="10" t="s">
        <v>1805</v>
      </c>
      <c r="P1558" s="105" t="e">
        <f t="shared" si="24"/>
        <v>#DIV/0!</v>
      </c>
    </row>
    <row r="1559" spans="1:16">
      <c r="A1559" s="10" t="s">
        <v>635</v>
      </c>
      <c r="B1559" s="10">
        <v>4741265</v>
      </c>
      <c r="C1559" s="10" t="s">
        <v>759</v>
      </c>
      <c r="D1559" s="10" t="s">
        <v>760</v>
      </c>
      <c r="E1559" s="10">
        <v>0</v>
      </c>
      <c r="F1559" s="10">
        <v>0</v>
      </c>
      <c r="G1559" s="10">
        <v>0</v>
      </c>
      <c r="H1559" s="10">
        <v>0</v>
      </c>
      <c r="I1559" s="10" t="s">
        <v>74</v>
      </c>
      <c r="J1559" s="10">
        <v>0</v>
      </c>
      <c r="K1559" s="10">
        <v>0</v>
      </c>
      <c r="L1559" s="10">
        <v>0</v>
      </c>
      <c r="M1559" s="10">
        <v>0</v>
      </c>
      <c r="N1559" s="10" t="s">
        <v>761</v>
      </c>
      <c r="O1559" s="10" t="s">
        <v>1806</v>
      </c>
      <c r="P1559" s="105" t="e">
        <f t="shared" si="24"/>
        <v>#DIV/0!</v>
      </c>
    </row>
    <row r="1560" spans="1:16">
      <c r="A1560" s="10" t="s">
        <v>635</v>
      </c>
      <c r="B1560" s="10">
        <v>4741979</v>
      </c>
      <c r="C1560" s="10" t="s">
        <v>759</v>
      </c>
      <c r="D1560" s="10" t="s">
        <v>760</v>
      </c>
      <c r="E1560" s="10">
        <v>0</v>
      </c>
      <c r="F1560" s="10">
        <v>0</v>
      </c>
      <c r="G1560" s="10">
        <v>0</v>
      </c>
      <c r="H1560" s="10">
        <v>0</v>
      </c>
      <c r="I1560" s="10" t="s">
        <v>21</v>
      </c>
      <c r="J1560" s="10">
        <v>0</v>
      </c>
      <c r="K1560" s="10">
        <v>0</v>
      </c>
      <c r="L1560" s="10">
        <v>0</v>
      </c>
      <c r="M1560" s="10">
        <v>0</v>
      </c>
      <c r="N1560" s="10" t="s">
        <v>761</v>
      </c>
      <c r="O1560" s="10" t="s">
        <v>1807</v>
      </c>
      <c r="P1560" s="105" t="e">
        <f t="shared" si="24"/>
        <v>#DIV/0!</v>
      </c>
    </row>
    <row r="1561" spans="1:16">
      <c r="A1561" s="10" t="s">
        <v>635</v>
      </c>
      <c r="B1561" s="10">
        <v>4743716</v>
      </c>
      <c r="C1561" s="10" t="s">
        <v>759</v>
      </c>
      <c r="D1561" s="10" t="s">
        <v>760</v>
      </c>
      <c r="E1561" s="10">
        <v>0</v>
      </c>
      <c r="F1561" s="10">
        <v>0</v>
      </c>
      <c r="G1561" s="10">
        <v>0</v>
      </c>
      <c r="H1561" s="10">
        <v>0</v>
      </c>
      <c r="I1561" s="10" t="s">
        <v>74</v>
      </c>
      <c r="J1561" s="10">
        <v>0</v>
      </c>
      <c r="K1561" s="10">
        <v>0</v>
      </c>
      <c r="L1561" s="10">
        <v>0</v>
      </c>
      <c r="M1561" s="10">
        <v>0</v>
      </c>
      <c r="N1561" s="10" t="s">
        <v>761</v>
      </c>
      <c r="O1561" s="10" t="s">
        <v>1808</v>
      </c>
      <c r="P1561" s="105" t="e">
        <f t="shared" si="24"/>
        <v>#DIV/0!</v>
      </c>
    </row>
    <row r="1562" spans="1:16">
      <c r="A1562" s="10" t="s">
        <v>635</v>
      </c>
      <c r="B1562" s="10">
        <v>4751479</v>
      </c>
      <c r="C1562" s="10" t="s">
        <v>759</v>
      </c>
      <c r="D1562" s="10" t="s">
        <v>760</v>
      </c>
      <c r="E1562" s="10">
        <v>0</v>
      </c>
      <c r="F1562" s="10">
        <v>0</v>
      </c>
      <c r="G1562" s="10">
        <v>0</v>
      </c>
      <c r="H1562" s="10">
        <v>0</v>
      </c>
      <c r="I1562" s="10" t="s">
        <v>33</v>
      </c>
      <c r="J1562" s="10">
        <v>0</v>
      </c>
      <c r="K1562" s="10">
        <v>0</v>
      </c>
      <c r="L1562" s="10">
        <v>0</v>
      </c>
      <c r="M1562" s="10">
        <v>0</v>
      </c>
      <c r="N1562" s="10" t="s">
        <v>761</v>
      </c>
      <c r="O1562" s="10" t="s">
        <v>738</v>
      </c>
      <c r="P1562" s="105" t="e">
        <f t="shared" si="24"/>
        <v>#DIV/0!</v>
      </c>
    </row>
    <row r="1563" spans="1:16">
      <c r="A1563" s="10" t="s">
        <v>635</v>
      </c>
      <c r="B1563" s="10">
        <v>4752855</v>
      </c>
      <c r="C1563" s="10" t="s">
        <v>759</v>
      </c>
      <c r="D1563" s="10" t="s">
        <v>760</v>
      </c>
      <c r="E1563" s="10">
        <v>0</v>
      </c>
      <c r="F1563" s="10">
        <v>48</v>
      </c>
      <c r="G1563" s="10">
        <v>-48</v>
      </c>
      <c r="H1563" s="10">
        <v>0</v>
      </c>
      <c r="I1563" s="10" t="s">
        <v>30</v>
      </c>
      <c r="J1563" s="10">
        <v>0</v>
      </c>
      <c r="K1563" s="10">
        <v>128.5</v>
      </c>
      <c r="L1563" s="10">
        <v>-128.5</v>
      </c>
      <c r="M1563" s="10">
        <v>0</v>
      </c>
      <c r="N1563" s="10" t="s">
        <v>761</v>
      </c>
      <c r="O1563" s="10" t="s">
        <v>1809</v>
      </c>
      <c r="P1563" s="105" t="e">
        <f t="shared" si="24"/>
        <v>#DIV/0!</v>
      </c>
    </row>
    <row r="1564" spans="1:16">
      <c r="A1564" s="10" t="s">
        <v>635</v>
      </c>
      <c r="B1564" s="10">
        <v>4758252</v>
      </c>
      <c r="C1564" s="10" t="s">
        <v>759</v>
      </c>
      <c r="D1564" s="10" t="s">
        <v>760</v>
      </c>
      <c r="E1564" s="10">
        <v>0</v>
      </c>
      <c r="F1564" s="10">
        <v>0</v>
      </c>
      <c r="G1564" s="10">
        <v>0</v>
      </c>
      <c r="H1564" s="10">
        <v>0</v>
      </c>
      <c r="I1564" s="10" t="s">
        <v>74</v>
      </c>
      <c r="J1564" s="10">
        <v>0</v>
      </c>
      <c r="K1564" s="10">
        <v>0</v>
      </c>
      <c r="L1564" s="10">
        <v>0</v>
      </c>
      <c r="M1564" s="10">
        <v>0</v>
      </c>
      <c r="N1564" s="10" t="s">
        <v>761</v>
      </c>
      <c r="O1564" s="10" t="s">
        <v>1810</v>
      </c>
      <c r="P1564" s="105" t="e">
        <f t="shared" si="24"/>
        <v>#DIV/0!</v>
      </c>
    </row>
    <row r="1565" spans="1:16">
      <c r="A1565" s="10" t="s">
        <v>635</v>
      </c>
      <c r="B1565" s="10">
        <v>4760385</v>
      </c>
      <c r="C1565" s="10" t="s">
        <v>759</v>
      </c>
      <c r="D1565" s="10" t="s">
        <v>760</v>
      </c>
      <c r="E1565" s="10">
        <v>0</v>
      </c>
      <c r="F1565" s="10">
        <v>0</v>
      </c>
      <c r="G1565" s="10">
        <v>0</v>
      </c>
      <c r="H1565" s="10">
        <v>0</v>
      </c>
      <c r="I1565" s="10" t="s">
        <v>45</v>
      </c>
      <c r="J1565" s="10">
        <v>0</v>
      </c>
      <c r="K1565" s="10">
        <v>0</v>
      </c>
      <c r="L1565" s="10">
        <v>0</v>
      </c>
      <c r="M1565" s="10">
        <v>0</v>
      </c>
      <c r="N1565" s="10" t="s">
        <v>761</v>
      </c>
      <c r="O1565" s="10" t="s">
        <v>1811</v>
      </c>
      <c r="P1565" s="105" t="e">
        <f t="shared" si="24"/>
        <v>#DIV/0!</v>
      </c>
    </row>
    <row r="1566" spans="1:16">
      <c r="A1566" s="10" t="s">
        <v>635</v>
      </c>
      <c r="B1566" s="10">
        <v>4762230</v>
      </c>
      <c r="C1566" s="10" t="s">
        <v>759</v>
      </c>
      <c r="D1566" s="10" t="s">
        <v>760</v>
      </c>
      <c r="E1566" s="10">
        <v>0</v>
      </c>
      <c r="F1566" s="10">
        <v>0</v>
      </c>
      <c r="G1566" s="10">
        <v>0</v>
      </c>
      <c r="H1566" s="10">
        <v>0</v>
      </c>
      <c r="I1566" s="10" t="s">
        <v>74</v>
      </c>
      <c r="J1566" s="10">
        <v>0</v>
      </c>
      <c r="K1566" s="10">
        <v>0</v>
      </c>
      <c r="L1566" s="10">
        <v>0</v>
      </c>
      <c r="M1566" s="10">
        <v>0</v>
      </c>
      <c r="N1566" s="10" t="s">
        <v>761</v>
      </c>
      <c r="O1566" s="10" t="s">
        <v>1812</v>
      </c>
      <c r="P1566" s="105" t="e">
        <f t="shared" si="24"/>
        <v>#DIV/0!</v>
      </c>
    </row>
    <row r="1567" spans="1:16">
      <c r="A1567" s="10" t="s">
        <v>635</v>
      </c>
      <c r="B1567" s="10">
        <v>4765891</v>
      </c>
      <c r="C1567" s="10" t="s">
        <v>759</v>
      </c>
      <c r="D1567" s="10" t="s">
        <v>760</v>
      </c>
      <c r="E1567" s="10">
        <v>10</v>
      </c>
      <c r="F1567" s="10">
        <v>150</v>
      </c>
      <c r="G1567" s="10">
        <v>0</v>
      </c>
      <c r="H1567" s="10">
        <v>160</v>
      </c>
      <c r="I1567" s="10" t="s">
        <v>74</v>
      </c>
      <c r="J1567" s="10">
        <v>29.15</v>
      </c>
      <c r="K1567" s="10">
        <v>436.91</v>
      </c>
      <c r="L1567" s="10">
        <v>0</v>
      </c>
      <c r="M1567" s="10">
        <v>466.06</v>
      </c>
      <c r="N1567" s="10" t="s">
        <v>761</v>
      </c>
      <c r="O1567" s="10" t="s">
        <v>124</v>
      </c>
      <c r="P1567" s="105">
        <f t="shared" si="24"/>
        <v>2.912875</v>
      </c>
    </row>
    <row r="1568" spans="1:16">
      <c r="A1568" s="10" t="s">
        <v>635</v>
      </c>
      <c r="B1568" s="10">
        <v>4766730</v>
      </c>
      <c r="C1568" s="10" t="s">
        <v>759</v>
      </c>
      <c r="D1568" s="10" t="s">
        <v>760</v>
      </c>
      <c r="E1568" s="10">
        <v>0</v>
      </c>
      <c r="F1568" s="10">
        <v>0</v>
      </c>
      <c r="G1568" s="10">
        <v>0</v>
      </c>
      <c r="H1568" s="10">
        <v>0</v>
      </c>
      <c r="I1568" s="10" t="s">
        <v>697</v>
      </c>
      <c r="J1568" s="10">
        <v>0</v>
      </c>
      <c r="K1568" s="10">
        <v>0</v>
      </c>
      <c r="L1568" s="10">
        <v>0</v>
      </c>
      <c r="M1568" s="10">
        <v>0</v>
      </c>
      <c r="N1568" s="10" t="s">
        <v>761</v>
      </c>
      <c r="O1568" s="10" t="s">
        <v>1813</v>
      </c>
      <c r="P1568" s="105" t="e">
        <f t="shared" si="24"/>
        <v>#DIV/0!</v>
      </c>
    </row>
    <row r="1569" spans="1:16">
      <c r="A1569" s="10" t="s">
        <v>635</v>
      </c>
      <c r="B1569" s="10">
        <v>4768284</v>
      </c>
      <c r="C1569" s="10" t="s">
        <v>759</v>
      </c>
      <c r="D1569" s="10" t="s">
        <v>760</v>
      </c>
      <c r="E1569" s="10">
        <v>0</v>
      </c>
      <c r="F1569" s="10">
        <v>0</v>
      </c>
      <c r="G1569" s="10">
        <v>0</v>
      </c>
      <c r="H1569" s="10">
        <v>0</v>
      </c>
      <c r="I1569" s="10" t="s">
        <v>74</v>
      </c>
      <c r="J1569" s="10">
        <v>0</v>
      </c>
      <c r="K1569" s="10">
        <v>0</v>
      </c>
      <c r="L1569" s="10">
        <v>0</v>
      </c>
      <c r="M1569" s="10">
        <v>0</v>
      </c>
      <c r="N1569" s="10" t="s">
        <v>761</v>
      </c>
      <c r="O1569" s="10" t="s">
        <v>1814</v>
      </c>
      <c r="P1569" s="105" t="e">
        <f t="shared" si="24"/>
        <v>#DIV/0!</v>
      </c>
    </row>
    <row r="1570" spans="1:16">
      <c r="A1570" s="10" t="s">
        <v>635</v>
      </c>
      <c r="B1570" s="10">
        <v>8000019</v>
      </c>
      <c r="C1570" s="10" t="s">
        <v>759</v>
      </c>
      <c r="D1570" s="10" t="s">
        <v>760</v>
      </c>
      <c r="E1570" s="10">
        <v>0</v>
      </c>
      <c r="F1570" s="10">
        <v>0</v>
      </c>
      <c r="G1570" s="10">
        <v>0</v>
      </c>
      <c r="H1570" s="10">
        <v>0</v>
      </c>
      <c r="I1570" s="10" t="s">
        <v>21</v>
      </c>
      <c r="J1570" s="10">
        <v>0</v>
      </c>
      <c r="K1570" s="10">
        <v>0</v>
      </c>
      <c r="L1570" s="10">
        <v>0</v>
      </c>
      <c r="M1570" s="10">
        <v>0</v>
      </c>
      <c r="N1570" s="10" t="s">
        <v>761</v>
      </c>
      <c r="O1570" s="10" t="s">
        <v>1815</v>
      </c>
      <c r="P1570" s="105" t="e">
        <f t="shared" si="24"/>
        <v>#DIV/0!</v>
      </c>
    </row>
    <row r="1571" spans="1:16">
      <c r="A1571" s="10" t="s">
        <v>635</v>
      </c>
      <c r="B1571" s="10">
        <v>8000020</v>
      </c>
      <c r="C1571" s="10" t="s">
        <v>759</v>
      </c>
      <c r="D1571" s="10" t="s">
        <v>760</v>
      </c>
      <c r="E1571" s="10">
        <v>0</v>
      </c>
      <c r="F1571" s="10">
        <v>0</v>
      </c>
      <c r="G1571" s="10">
        <v>0</v>
      </c>
      <c r="H1571" s="10">
        <v>0</v>
      </c>
      <c r="I1571" s="10" t="s">
        <v>21</v>
      </c>
      <c r="J1571" s="10">
        <v>0</v>
      </c>
      <c r="K1571" s="10">
        <v>0</v>
      </c>
      <c r="L1571" s="10">
        <v>0</v>
      </c>
      <c r="M1571" s="10">
        <v>0</v>
      </c>
      <c r="N1571" s="10" t="s">
        <v>761</v>
      </c>
      <c r="O1571" s="10" t="s">
        <v>1816</v>
      </c>
      <c r="P1571" s="105" t="e">
        <f t="shared" si="24"/>
        <v>#DIV/0!</v>
      </c>
    </row>
    <row r="1572" spans="1:16">
      <c r="A1572" s="10" t="s">
        <v>635</v>
      </c>
      <c r="B1572" s="10">
        <v>8000022</v>
      </c>
      <c r="C1572" s="10" t="s">
        <v>759</v>
      </c>
      <c r="D1572" s="10" t="s">
        <v>760</v>
      </c>
      <c r="E1572" s="10">
        <v>0</v>
      </c>
      <c r="F1572" s="10">
        <v>0</v>
      </c>
      <c r="G1572" s="10">
        <v>0</v>
      </c>
      <c r="H1572" s="10">
        <v>0</v>
      </c>
      <c r="I1572" s="10" t="s">
        <v>21</v>
      </c>
      <c r="J1572" s="10">
        <v>0</v>
      </c>
      <c r="K1572" s="10">
        <v>0</v>
      </c>
      <c r="L1572" s="10">
        <v>0</v>
      </c>
      <c r="M1572" s="10">
        <v>0</v>
      </c>
      <c r="N1572" s="10" t="s">
        <v>761</v>
      </c>
      <c r="O1572" s="10" t="s">
        <v>1817</v>
      </c>
      <c r="P1572" s="105" t="e">
        <f t="shared" si="24"/>
        <v>#DIV/0!</v>
      </c>
    </row>
    <row r="1573" spans="1:16">
      <c r="A1573" s="10" t="s">
        <v>635</v>
      </c>
      <c r="B1573" s="10">
        <v>8000026</v>
      </c>
      <c r="C1573" s="10" t="s">
        <v>759</v>
      </c>
      <c r="D1573" s="10" t="s">
        <v>760</v>
      </c>
      <c r="E1573" s="10">
        <v>0</v>
      </c>
      <c r="F1573" s="10">
        <v>0</v>
      </c>
      <c r="G1573" s="10">
        <v>0</v>
      </c>
      <c r="H1573" s="10">
        <v>0</v>
      </c>
      <c r="I1573" s="10" t="s">
        <v>21</v>
      </c>
      <c r="J1573" s="10">
        <v>0</v>
      </c>
      <c r="K1573" s="10">
        <v>0</v>
      </c>
      <c r="L1573" s="10">
        <v>0</v>
      </c>
      <c r="M1573" s="10">
        <v>0</v>
      </c>
      <c r="N1573" s="10" t="s">
        <v>761</v>
      </c>
      <c r="O1573" s="10" t="s">
        <v>1818</v>
      </c>
      <c r="P1573" s="105" t="e">
        <f t="shared" si="24"/>
        <v>#DIV/0!</v>
      </c>
    </row>
    <row r="1574" spans="1:16">
      <c r="A1574" s="10" t="s">
        <v>635</v>
      </c>
      <c r="B1574" s="10">
        <v>8000035</v>
      </c>
      <c r="C1574" s="10" t="s">
        <v>759</v>
      </c>
      <c r="D1574" s="10" t="s">
        <v>760</v>
      </c>
      <c r="E1574" s="10">
        <v>0</v>
      </c>
      <c r="F1574" s="10">
        <v>0</v>
      </c>
      <c r="G1574" s="10">
        <v>0</v>
      </c>
      <c r="H1574" s="10">
        <v>0</v>
      </c>
      <c r="I1574" s="10" t="s">
        <v>21</v>
      </c>
      <c r="J1574" s="10">
        <v>0</v>
      </c>
      <c r="K1574" s="10">
        <v>0</v>
      </c>
      <c r="L1574" s="10">
        <v>0</v>
      </c>
      <c r="M1574" s="10">
        <v>0</v>
      </c>
      <c r="N1574" s="10" t="s">
        <v>761</v>
      </c>
      <c r="O1574" s="10" t="s">
        <v>1819</v>
      </c>
      <c r="P1574" s="105" t="e">
        <f t="shared" si="24"/>
        <v>#DIV/0!</v>
      </c>
    </row>
    <row r="1575" spans="1:16">
      <c r="A1575" s="10" t="s">
        <v>635</v>
      </c>
      <c r="B1575" s="10">
        <v>8000044</v>
      </c>
      <c r="C1575" s="10" t="s">
        <v>759</v>
      </c>
      <c r="D1575" s="10" t="s">
        <v>760</v>
      </c>
      <c r="E1575" s="10">
        <v>0</v>
      </c>
      <c r="F1575" s="10">
        <v>0</v>
      </c>
      <c r="G1575" s="10">
        <v>0</v>
      </c>
      <c r="H1575" s="10">
        <v>0</v>
      </c>
      <c r="I1575" s="10" t="s">
        <v>21</v>
      </c>
      <c r="J1575" s="10">
        <v>0</v>
      </c>
      <c r="K1575" s="10">
        <v>0</v>
      </c>
      <c r="L1575" s="10">
        <v>0</v>
      </c>
      <c r="M1575" s="10">
        <v>0</v>
      </c>
      <c r="N1575" s="10" t="s">
        <v>761</v>
      </c>
      <c r="O1575" s="10" t="s">
        <v>1820</v>
      </c>
      <c r="P1575" s="105" t="e">
        <f t="shared" si="24"/>
        <v>#DIV/0!</v>
      </c>
    </row>
    <row r="1576" spans="1:16">
      <c r="A1576" s="10" t="s">
        <v>635</v>
      </c>
      <c r="B1576" s="10">
        <v>8000086</v>
      </c>
      <c r="C1576" s="10" t="s">
        <v>759</v>
      </c>
      <c r="D1576" s="10" t="s">
        <v>760</v>
      </c>
      <c r="E1576" s="10">
        <v>0</v>
      </c>
      <c r="F1576" s="10">
        <v>0</v>
      </c>
      <c r="G1576" s="10">
        <v>0</v>
      </c>
      <c r="H1576" s="10">
        <v>0</v>
      </c>
      <c r="I1576" s="10" t="s">
        <v>21</v>
      </c>
      <c r="J1576" s="10">
        <v>0</v>
      </c>
      <c r="K1576" s="10">
        <v>0</v>
      </c>
      <c r="L1576" s="10">
        <v>0</v>
      </c>
      <c r="M1576" s="10">
        <v>0</v>
      </c>
      <c r="N1576" s="10" t="s">
        <v>761</v>
      </c>
      <c r="O1576" s="10" t="s">
        <v>1821</v>
      </c>
      <c r="P1576" s="105" t="e">
        <f t="shared" si="24"/>
        <v>#DIV/0!</v>
      </c>
    </row>
    <row r="1577" spans="1:16">
      <c r="A1577" s="10" t="s">
        <v>635</v>
      </c>
      <c r="B1577" s="10">
        <v>8000116</v>
      </c>
      <c r="C1577" s="10" t="s">
        <v>759</v>
      </c>
      <c r="D1577" s="10" t="s">
        <v>760</v>
      </c>
      <c r="E1577" s="10">
        <v>0</v>
      </c>
      <c r="F1577" s="10">
        <v>0</v>
      </c>
      <c r="G1577" s="10">
        <v>0</v>
      </c>
      <c r="H1577" s="10">
        <v>0</v>
      </c>
      <c r="I1577" s="10" t="s">
        <v>21</v>
      </c>
      <c r="J1577" s="10">
        <v>0</v>
      </c>
      <c r="K1577" s="10">
        <v>0</v>
      </c>
      <c r="L1577" s="10">
        <v>0</v>
      </c>
      <c r="M1577" s="10">
        <v>0</v>
      </c>
      <c r="N1577" s="10" t="s">
        <v>761</v>
      </c>
      <c r="O1577" s="10" t="s">
        <v>1822</v>
      </c>
      <c r="P1577" s="105" t="e">
        <f t="shared" si="24"/>
        <v>#DIV/0!</v>
      </c>
    </row>
    <row r="1578" spans="1:16">
      <c r="A1578" s="10" t="s">
        <v>635</v>
      </c>
      <c r="B1578" s="10">
        <v>8000134</v>
      </c>
      <c r="C1578" s="10" t="s">
        <v>759</v>
      </c>
      <c r="D1578" s="10" t="s">
        <v>760</v>
      </c>
      <c r="E1578" s="10">
        <v>0</v>
      </c>
      <c r="F1578" s="10">
        <v>0</v>
      </c>
      <c r="G1578" s="10">
        <v>0</v>
      </c>
      <c r="H1578" s="10">
        <v>0</v>
      </c>
      <c r="I1578" s="10" t="s">
        <v>659</v>
      </c>
      <c r="J1578" s="10">
        <v>0</v>
      </c>
      <c r="K1578" s="10">
        <v>0</v>
      </c>
      <c r="L1578" s="10">
        <v>0</v>
      </c>
      <c r="M1578" s="10">
        <v>0</v>
      </c>
      <c r="N1578" s="10" t="s">
        <v>761</v>
      </c>
      <c r="O1578" s="10" t="s">
        <v>1823</v>
      </c>
      <c r="P1578" s="105" t="e">
        <f t="shared" si="24"/>
        <v>#DIV/0!</v>
      </c>
    </row>
    <row r="1579" spans="1:16">
      <c r="A1579" s="10" t="s">
        <v>635</v>
      </c>
      <c r="B1579" s="10">
        <v>8000139</v>
      </c>
      <c r="C1579" s="10" t="s">
        <v>759</v>
      </c>
      <c r="D1579" s="10" t="s">
        <v>760</v>
      </c>
      <c r="E1579" s="10">
        <v>0</v>
      </c>
      <c r="F1579" s="10">
        <v>0</v>
      </c>
      <c r="G1579" s="10">
        <v>0</v>
      </c>
      <c r="H1579" s="10">
        <v>0</v>
      </c>
      <c r="I1579" s="10" t="s">
        <v>21</v>
      </c>
      <c r="J1579" s="10">
        <v>0</v>
      </c>
      <c r="K1579" s="10">
        <v>0</v>
      </c>
      <c r="L1579" s="10">
        <v>0</v>
      </c>
      <c r="M1579" s="10">
        <v>0</v>
      </c>
      <c r="N1579" s="10" t="s">
        <v>761</v>
      </c>
      <c r="O1579" s="10" t="s">
        <v>1824</v>
      </c>
      <c r="P1579" s="105" t="e">
        <f t="shared" si="24"/>
        <v>#DIV/0!</v>
      </c>
    </row>
    <row r="1580" spans="1:16">
      <c r="A1580" s="10" t="s">
        <v>635</v>
      </c>
      <c r="B1580" s="10">
        <v>8000140</v>
      </c>
      <c r="C1580" s="10" t="s">
        <v>759</v>
      </c>
      <c r="D1580" s="10" t="s">
        <v>760</v>
      </c>
      <c r="E1580" s="10">
        <v>0</v>
      </c>
      <c r="F1580" s="10">
        <v>0</v>
      </c>
      <c r="G1580" s="10">
        <v>0</v>
      </c>
      <c r="H1580" s="10">
        <v>0</v>
      </c>
      <c r="I1580" s="10" t="s">
        <v>21</v>
      </c>
      <c r="J1580" s="10">
        <v>0</v>
      </c>
      <c r="K1580" s="10">
        <v>0</v>
      </c>
      <c r="L1580" s="10">
        <v>0</v>
      </c>
      <c r="M1580" s="10">
        <v>0</v>
      </c>
      <c r="N1580" s="10" t="s">
        <v>761</v>
      </c>
      <c r="O1580" s="10" t="s">
        <v>1825</v>
      </c>
      <c r="P1580" s="105" t="e">
        <f t="shared" si="24"/>
        <v>#DIV/0!</v>
      </c>
    </row>
    <row r="1581" spans="1:16">
      <c r="A1581" s="10" t="s">
        <v>635</v>
      </c>
      <c r="B1581" s="10">
        <v>8000149</v>
      </c>
      <c r="C1581" s="10" t="s">
        <v>759</v>
      </c>
      <c r="D1581" s="10" t="s">
        <v>760</v>
      </c>
      <c r="E1581" s="10">
        <v>0</v>
      </c>
      <c r="F1581" s="10">
        <v>0</v>
      </c>
      <c r="G1581" s="10">
        <v>0</v>
      </c>
      <c r="H1581" s="10">
        <v>0</v>
      </c>
      <c r="I1581" s="10" t="s">
        <v>21</v>
      </c>
      <c r="J1581" s="10">
        <v>0</v>
      </c>
      <c r="K1581" s="10">
        <v>0</v>
      </c>
      <c r="L1581" s="10">
        <v>0</v>
      </c>
      <c r="M1581" s="10">
        <v>0</v>
      </c>
      <c r="N1581" s="10" t="s">
        <v>761</v>
      </c>
      <c r="O1581" s="10" t="s">
        <v>1826</v>
      </c>
      <c r="P1581" s="105" t="e">
        <f t="shared" si="24"/>
        <v>#DIV/0!</v>
      </c>
    </row>
    <row r="1582" spans="1:16">
      <c r="A1582" s="10" t="s">
        <v>635</v>
      </c>
      <c r="B1582" s="10">
        <v>8000152</v>
      </c>
      <c r="C1582" s="10" t="s">
        <v>759</v>
      </c>
      <c r="D1582" s="10" t="s">
        <v>760</v>
      </c>
      <c r="E1582" s="10">
        <v>0</v>
      </c>
      <c r="F1582" s="10">
        <v>0</v>
      </c>
      <c r="G1582" s="10">
        <v>0</v>
      </c>
      <c r="H1582" s="10">
        <v>0</v>
      </c>
      <c r="I1582" s="10" t="s">
        <v>21</v>
      </c>
      <c r="J1582" s="10">
        <v>0</v>
      </c>
      <c r="K1582" s="10">
        <v>0</v>
      </c>
      <c r="L1582" s="10">
        <v>0</v>
      </c>
      <c r="M1582" s="10">
        <v>0</v>
      </c>
      <c r="N1582" s="10" t="s">
        <v>761</v>
      </c>
      <c r="O1582" s="10" t="s">
        <v>1827</v>
      </c>
      <c r="P1582" s="105" t="e">
        <f t="shared" si="24"/>
        <v>#DIV/0!</v>
      </c>
    </row>
    <row r="1583" spans="1:16">
      <c r="A1583" s="10" t="s">
        <v>635</v>
      </c>
      <c r="B1583" s="10">
        <v>8000808</v>
      </c>
      <c r="C1583" s="10" t="s">
        <v>759</v>
      </c>
      <c r="D1583" s="10" t="s">
        <v>760</v>
      </c>
      <c r="E1583" s="10">
        <v>0</v>
      </c>
      <c r="F1583" s="10">
        <v>0</v>
      </c>
      <c r="G1583" s="10">
        <v>0</v>
      </c>
      <c r="H1583" s="10">
        <v>0</v>
      </c>
      <c r="I1583" s="10" t="s">
        <v>21</v>
      </c>
      <c r="J1583" s="10">
        <v>0</v>
      </c>
      <c r="K1583" s="10">
        <v>0</v>
      </c>
      <c r="L1583" s="10">
        <v>0</v>
      </c>
      <c r="M1583" s="10">
        <v>0</v>
      </c>
      <c r="N1583" s="10" t="s">
        <v>761</v>
      </c>
      <c r="O1583" s="10" t="s">
        <v>1828</v>
      </c>
      <c r="P1583" s="105" t="e">
        <f t="shared" si="24"/>
        <v>#DIV/0!</v>
      </c>
    </row>
    <row r="1584" spans="1:16">
      <c r="A1584" s="10" t="s">
        <v>635</v>
      </c>
      <c r="B1584" s="10">
        <v>8000811</v>
      </c>
      <c r="C1584" s="10" t="s">
        <v>759</v>
      </c>
      <c r="D1584" s="10" t="s">
        <v>760</v>
      </c>
      <c r="E1584" s="10">
        <v>0</v>
      </c>
      <c r="F1584" s="10">
        <v>0</v>
      </c>
      <c r="G1584" s="10">
        <v>0</v>
      </c>
      <c r="H1584" s="10">
        <v>0</v>
      </c>
      <c r="I1584" s="10" t="s">
        <v>21</v>
      </c>
      <c r="J1584" s="10">
        <v>0</v>
      </c>
      <c r="K1584" s="10">
        <v>0</v>
      </c>
      <c r="L1584" s="10">
        <v>0</v>
      </c>
      <c r="M1584" s="10">
        <v>0</v>
      </c>
      <c r="N1584" s="10" t="s">
        <v>761</v>
      </c>
      <c r="O1584" s="10" t="s">
        <v>1829</v>
      </c>
      <c r="P1584" s="105" t="e">
        <f t="shared" si="24"/>
        <v>#DIV/0!</v>
      </c>
    </row>
    <row r="1585" spans="1:16">
      <c r="A1585" s="10" t="s">
        <v>635</v>
      </c>
      <c r="B1585" s="10">
        <v>8001296</v>
      </c>
      <c r="C1585" s="10" t="s">
        <v>759</v>
      </c>
      <c r="D1585" s="10" t="s">
        <v>760</v>
      </c>
      <c r="E1585" s="10">
        <v>0</v>
      </c>
      <c r="F1585" s="10">
        <v>0</v>
      </c>
      <c r="G1585" s="10">
        <v>0</v>
      </c>
      <c r="H1585" s="10">
        <v>0</v>
      </c>
      <c r="I1585" s="10" t="s">
        <v>21</v>
      </c>
      <c r="J1585" s="10">
        <v>0</v>
      </c>
      <c r="K1585" s="10">
        <v>0</v>
      </c>
      <c r="L1585" s="10">
        <v>0</v>
      </c>
      <c r="M1585" s="10">
        <v>0</v>
      </c>
      <c r="N1585" s="10" t="s">
        <v>761</v>
      </c>
      <c r="O1585" s="10" t="s">
        <v>1830</v>
      </c>
      <c r="P1585" s="105" t="e">
        <f t="shared" si="24"/>
        <v>#DIV/0!</v>
      </c>
    </row>
    <row r="1586" spans="1:16">
      <c r="A1586" s="10" t="s">
        <v>635</v>
      </c>
      <c r="B1586" s="10">
        <v>8001298</v>
      </c>
      <c r="C1586" s="10" t="s">
        <v>759</v>
      </c>
      <c r="D1586" s="10" t="s">
        <v>760</v>
      </c>
      <c r="E1586" s="10">
        <v>0</v>
      </c>
      <c r="F1586" s="10">
        <v>0</v>
      </c>
      <c r="G1586" s="10">
        <v>0</v>
      </c>
      <c r="H1586" s="10">
        <v>0</v>
      </c>
      <c r="I1586" s="10" t="s">
        <v>21</v>
      </c>
      <c r="J1586" s="10">
        <v>0</v>
      </c>
      <c r="K1586" s="10">
        <v>0</v>
      </c>
      <c r="L1586" s="10">
        <v>0</v>
      </c>
      <c r="M1586" s="10">
        <v>0</v>
      </c>
      <c r="N1586" s="10" t="s">
        <v>761</v>
      </c>
      <c r="O1586" s="10" t="s">
        <v>1831</v>
      </c>
      <c r="P1586" s="105" t="e">
        <f t="shared" si="24"/>
        <v>#DIV/0!</v>
      </c>
    </row>
    <row r="1587" spans="1:16">
      <c r="A1587" s="10" t="s">
        <v>635</v>
      </c>
      <c r="B1587" s="10">
        <v>8001299</v>
      </c>
      <c r="C1587" s="10" t="s">
        <v>759</v>
      </c>
      <c r="D1587" s="10" t="s">
        <v>760</v>
      </c>
      <c r="E1587" s="10">
        <v>0</v>
      </c>
      <c r="F1587" s="10">
        <v>0</v>
      </c>
      <c r="G1587" s="10">
        <v>0</v>
      </c>
      <c r="H1587" s="10">
        <v>0</v>
      </c>
      <c r="I1587" s="10" t="s">
        <v>21</v>
      </c>
      <c r="J1587" s="10">
        <v>0</v>
      </c>
      <c r="K1587" s="10">
        <v>0</v>
      </c>
      <c r="L1587" s="10">
        <v>0</v>
      </c>
      <c r="M1587" s="10">
        <v>0</v>
      </c>
      <c r="N1587" s="10" t="s">
        <v>761</v>
      </c>
      <c r="O1587" s="10" t="s">
        <v>1832</v>
      </c>
      <c r="P1587" s="105" t="e">
        <f t="shared" si="24"/>
        <v>#DIV/0!</v>
      </c>
    </row>
    <row r="1588" spans="1:16">
      <c r="A1588" s="10" t="s">
        <v>635</v>
      </c>
      <c r="B1588" s="10">
        <v>8001314</v>
      </c>
      <c r="C1588" s="10" t="s">
        <v>759</v>
      </c>
      <c r="D1588" s="10" t="s">
        <v>760</v>
      </c>
      <c r="E1588" s="10">
        <v>0</v>
      </c>
      <c r="F1588" s="10">
        <v>0</v>
      </c>
      <c r="G1588" s="10">
        <v>0</v>
      </c>
      <c r="H1588" s="10">
        <v>0</v>
      </c>
      <c r="I1588" s="10" t="s">
        <v>21</v>
      </c>
      <c r="J1588" s="10">
        <v>0</v>
      </c>
      <c r="K1588" s="10">
        <v>0</v>
      </c>
      <c r="L1588" s="10">
        <v>0</v>
      </c>
      <c r="M1588" s="10">
        <v>0</v>
      </c>
      <c r="N1588" s="10" t="s">
        <v>761</v>
      </c>
      <c r="O1588" s="10" t="s">
        <v>1833</v>
      </c>
      <c r="P1588" s="105" t="e">
        <f t="shared" si="24"/>
        <v>#DIV/0!</v>
      </c>
    </row>
    <row r="1589" spans="1:16">
      <c r="A1589" s="10" t="s">
        <v>635</v>
      </c>
      <c r="B1589" s="10">
        <v>8001319</v>
      </c>
      <c r="C1589" s="10" t="s">
        <v>759</v>
      </c>
      <c r="D1589" s="10" t="s">
        <v>760</v>
      </c>
      <c r="E1589" s="10">
        <v>0</v>
      </c>
      <c r="F1589" s="10">
        <v>0</v>
      </c>
      <c r="G1589" s="10">
        <v>0</v>
      </c>
      <c r="H1589" s="10">
        <v>0</v>
      </c>
      <c r="I1589" s="10" t="s">
        <v>21</v>
      </c>
      <c r="J1589" s="10">
        <v>0</v>
      </c>
      <c r="K1589" s="10">
        <v>0</v>
      </c>
      <c r="L1589" s="10">
        <v>0</v>
      </c>
      <c r="M1589" s="10">
        <v>0</v>
      </c>
      <c r="N1589" s="10" t="s">
        <v>761</v>
      </c>
      <c r="O1589" s="10" t="s">
        <v>1834</v>
      </c>
      <c r="P1589" s="105" t="e">
        <f t="shared" si="24"/>
        <v>#DIV/0!</v>
      </c>
    </row>
    <row r="1590" spans="1:16">
      <c r="A1590" s="10" t="s">
        <v>635</v>
      </c>
      <c r="B1590" s="10">
        <v>8001399</v>
      </c>
      <c r="C1590" s="10" t="s">
        <v>759</v>
      </c>
      <c r="D1590" s="10" t="s">
        <v>760</v>
      </c>
      <c r="E1590" s="10">
        <v>0</v>
      </c>
      <c r="F1590" s="10">
        <v>0</v>
      </c>
      <c r="G1590" s="10">
        <v>0</v>
      </c>
      <c r="H1590" s="10">
        <v>0</v>
      </c>
      <c r="I1590" s="10" t="s">
        <v>669</v>
      </c>
      <c r="J1590" s="10">
        <v>0</v>
      </c>
      <c r="K1590" s="10">
        <v>0</v>
      </c>
      <c r="L1590" s="10">
        <v>0</v>
      </c>
      <c r="M1590" s="10">
        <v>0</v>
      </c>
      <c r="N1590" s="10" t="s">
        <v>761</v>
      </c>
      <c r="O1590" s="10" t="s">
        <v>1835</v>
      </c>
      <c r="P1590" s="105" t="e">
        <f t="shared" si="24"/>
        <v>#DIV/0!</v>
      </c>
    </row>
    <row r="1591" spans="1:16">
      <c r="A1591" s="10" t="s">
        <v>635</v>
      </c>
      <c r="B1591" s="10">
        <v>8001601</v>
      </c>
      <c r="C1591" s="10" t="s">
        <v>759</v>
      </c>
      <c r="D1591" s="10" t="s">
        <v>760</v>
      </c>
      <c r="E1591" s="10">
        <v>0</v>
      </c>
      <c r="F1591" s="10">
        <v>0</v>
      </c>
      <c r="G1591" s="10">
        <v>0</v>
      </c>
      <c r="H1591" s="10">
        <v>0</v>
      </c>
      <c r="I1591" s="10" t="s">
        <v>659</v>
      </c>
      <c r="J1591" s="10">
        <v>0</v>
      </c>
      <c r="K1591" s="10">
        <v>0</v>
      </c>
      <c r="L1591" s="10">
        <v>0</v>
      </c>
      <c r="M1591" s="10">
        <v>0</v>
      </c>
      <c r="N1591" s="10" t="s">
        <v>761</v>
      </c>
      <c r="O1591" s="10" t="s">
        <v>1836</v>
      </c>
      <c r="P1591" s="105" t="e">
        <f t="shared" si="24"/>
        <v>#DIV/0!</v>
      </c>
    </row>
    <row r="1592" spans="1:16">
      <c r="A1592" s="10" t="s">
        <v>635</v>
      </c>
      <c r="B1592" s="10">
        <v>8001653</v>
      </c>
      <c r="C1592" s="10" t="s">
        <v>759</v>
      </c>
      <c r="D1592" s="10" t="s">
        <v>760</v>
      </c>
      <c r="E1592" s="10">
        <v>0</v>
      </c>
      <c r="F1592" s="10">
        <v>0</v>
      </c>
      <c r="G1592" s="10">
        <v>0</v>
      </c>
      <c r="H1592" s="10">
        <v>0</v>
      </c>
      <c r="I1592" s="10" t="s">
        <v>659</v>
      </c>
      <c r="J1592" s="10">
        <v>0</v>
      </c>
      <c r="K1592" s="10">
        <v>0</v>
      </c>
      <c r="L1592" s="10">
        <v>0</v>
      </c>
      <c r="M1592" s="10">
        <v>0</v>
      </c>
      <c r="N1592" s="10" t="s">
        <v>761</v>
      </c>
      <c r="O1592" s="10" t="s">
        <v>1837</v>
      </c>
      <c r="P1592" s="105" t="e">
        <f t="shared" si="24"/>
        <v>#DIV/0!</v>
      </c>
    </row>
    <row r="1593" spans="1:16">
      <c r="A1593" s="10" t="s">
        <v>635</v>
      </c>
      <c r="B1593" s="10">
        <v>8001746</v>
      </c>
      <c r="C1593" s="10" t="s">
        <v>759</v>
      </c>
      <c r="D1593" s="10" t="s">
        <v>760</v>
      </c>
      <c r="E1593" s="10">
        <v>0</v>
      </c>
      <c r="F1593" s="10">
        <v>0</v>
      </c>
      <c r="G1593" s="10">
        <v>0</v>
      </c>
      <c r="H1593" s="10">
        <v>0</v>
      </c>
      <c r="I1593" s="10" t="s">
        <v>21</v>
      </c>
      <c r="J1593" s="10">
        <v>0</v>
      </c>
      <c r="K1593" s="10">
        <v>0</v>
      </c>
      <c r="L1593" s="10">
        <v>0</v>
      </c>
      <c r="M1593" s="10">
        <v>0</v>
      </c>
      <c r="N1593" s="10" t="s">
        <v>761</v>
      </c>
      <c r="O1593" s="10" t="s">
        <v>1838</v>
      </c>
      <c r="P1593" s="105" t="e">
        <f t="shared" si="24"/>
        <v>#DIV/0!</v>
      </c>
    </row>
    <row r="1594" spans="1:16">
      <c r="A1594" s="10" t="s">
        <v>635</v>
      </c>
      <c r="B1594" s="10">
        <v>8001886</v>
      </c>
      <c r="C1594" s="10" t="s">
        <v>759</v>
      </c>
      <c r="D1594" s="10" t="s">
        <v>760</v>
      </c>
      <c r="E1594" s="10">
        <v>0</v>
      </c>
      <c r="F1594" s="10">
        <v>0</v>
      </c>
      <c r="G1594" s="10">
        <v>0</v>
      </c>
      <c r="H1594" s="10">
        <v>0</v>
      </c>
      <c r="I1594" s="10" t="s">
        <v>659</v>
      </c>
      <c r="J1594" s="10">
        <v>0</v>
      </c>
      <c r="K1594" s="10">
        <v>0</v>
      </c>
      <c r="L1594" s="10">
        <v>0</v>
      </c>
      <c r="M1594" s="10">
        <v>0</v>
      </c>
      <c r="N1594" s="10" t="s">
        <v>761</v>
      </c>
      <c r="O1594" s="10" t="s">
        <v>1839</v>
      </c>
      <c r="P1594" s="105" t="e">
        <f t="shared" si="24"/>
        <v>#DIV/0!</v>
      </c>
    </row>
    <row r="1595" spans="1:16">
      <c r="A1595" s="10" t="s">
        <v>635</v>
      </c>
      <c r="B1595" s="10">
        <v>8001985</v>
      </c>
      <c r="C1595" s="10" t="s">
        <v>759</v>
      </c>
      <c r="D1595" s="10" t="s">
        <v>760</v>
      </c>
      <c r="E1595" s="10">
        <v>0</v>
      </c>
      <c r="F1595" s="10">
        <v>0</v>
      </c>
      <c r="G1595" s="10">
        <v>0</v>
      </c>
      <c r="H1595" s="10">
        <v>0</v>
      </c>
      <c r="I1595" s="10" t="s">
        <v>21</v>
      </c>
      <c r="J1595" s="10">
        <v>0</v>
      </c>
      <c r="K1595" s="10">
        <v>0</v>
      </c>
      <c r="L1595" s="10">
        <v>0</v>
      </c>
      <c r="M1595" s="10">
        <v>0</v>
      </c>
      <c r="N1595" s="10" t="s">
        <v>761</v>
      </c>
      <c r="O1595" s="10" t="s">
        <v>1840</v>
      </c>
      <c r="P1595" s="105" t="e">
        <f t="shared" si="24"/>
        <v>#DIV/0!</v>
      </c>
    </row>
    <row r="1596" spans="1:16">
      <c r="A1596" s="10" t="s">
        <v>635</v>
      </c>
      <c r="B1596" s="10">
        <v>8002245</v>
      </c>
      <c r="C1596" s="10" t="s">
        <v>759</v>
      </c>
      <c r="D1596" s="10" t="s">
        <v>760</v>
      </c>
      <c r="E1596" s="10">
        <v>0</v>
      </c>
      <c r="F1596" s="10">
        <v>0</v>
      </c>
      <c r="G1596" s="10">
        <v>0</v>
      </c>
      <c r="H1596" s="10">
        <v>0</v>
      </c>
      <c r="I1596" s="10" t="s">
        <v>21</v>
      </c>
      <c r="J1596" s="10">
        <v>0</v>
      </c>
      <c r="K1596" s="10">
        <v>0</v>
      </c>
      <c r="L1596" s="10">
        <v>0</v>
      </c>
      <c r="M1596" s="10">
        <v>0</v>
      </c>
      <c r="N1596" s="10" t="s">
        <v>761</v>
      </c>
      <c r="O1596" s="10" t="s">
        <v>1841</v>
      </c>
      <c r="P1596" s="105" t="e">
        <f t="shared" si="24"/>
        <v>#DIV/0!</v>
      </c>
    </row>
    <row r="1597" spans="1:16">
      <c r="A1597" s="10" t="s">
        <v>635</v>
      </c>
      <c r="B1597" s="10">
        <v>8003017</v>
      </c>
      <c r="C1597" s="10" t="s">
        <v>759</v>
      </c>
      <c r="D1597" s="10" t="s">
        <v>760</v>
      </c>
      <c r="E1597" s="10">
        <v>0</v>
      </c>
      <c r="F1597" s="10">
        <v>0</v>
      </c>
      <c r="G1597" s="10">
        <v>0</v>
      </c>
      <c r="H1597" s="10">
        <v>0</v>
      </c>
      <c r="I1597" s="10" t="s">
        <v>659</v>
      </c>
      <c r="J1597" s="10">
        <v>0</v>
      </c>
      <c r="K1597" s="10">
        <v>0</v>
      </c>
      <c r="L1597" s="10">
        <v>0</v>
      </c>
      <c r="M1597" s="10">
        <v>0</v>
      </c>
      <c r="N1597" s="10" t="s">
        <v>761</v>
      </c>
      <c r="O1597" s="10" t="s">
        <v>1842</v>
      </c>
      <c r="P1597" s="105" t="e">
        <f t="shared" si="24"/>
        <v>#DIV/0!</v>
      </c>
    </row>
    <row r="1598" spans="1:16">
      <c r="A1598" s="10" t="s">
        <v>635</v>
      </c>
      <c r="B1598" s="10">
        <v>8003019</v>
      </c>
      <c r="C1598" s="10" t="s">
        <v>759</v>
      </c>
      <c r="D1598" s="10" t="s">
        <v>760</v>
      </c>
      <c r="E1598" s="10">
        <v>0</v>
      </c>
      <c r="F1598" s="10">
        <v>0</v>
      </c>
      <c r="G1598" s="10">
        <v>0</v>
      </c>
      <c r="H1598" s="10">
        <v>0</v>
      </c>
      <c r="I1598" s="10" t="s">
        <v>21</v>
      </c>
      <c r="J1598" s="10">
        <v>0</v>
      </c>
      <c r="K1598" s="10">
        <v>0</v>
      </c>
      <c r="L1598" s="10">
        <v>0</v>
      </c>
      <c r="M1598" s="10">
        <v>0</v>
      </c>
      <c r="N1598" s="10" t="s">
        <v>761</v>
      </c>
      <c r="O1598" s="10" t="s">
        <v>1843</v>
      </c>
      <c r="P1598" s="105" t="e">
        <f t="shared" si="24"/>
        <v>#DIV/0!</v>
      </c>
    </row>
    <row r="1599" spans="1:16">
      <c r="A1599" s="10" t="s">
        <v>635</v>
      </c>
      <c r="B1599" s="10">
        <v>8003068</v>
      </c>
      <c r="C1599" s="10" t="s">
        <v>759</v>
      </c>
      <c r="D1599" s="10" t="s">
        <v>760</v>
      </c>
      <c r="E1599" s="10">
        <v>0</v>
      </c>
      <c r="F1599" s="10">
        <v>0</v>
      </c>
      <c r="G1599" s="10">
        <v>0</v>
      </c>
      <c r="H1599" s="10">
        <v>0</v>
      </c>
      <c r="I1599" s="10" t="s">
        <v>21</v>
      </c>
      <c r="J1599" s="10">
        <v>0</v>
      </c>
      <c r="K1599" s="10">
        <v>0</v>
      </c>
      <c r="L1599" s="10">
        <v>0</v>
      </c>
      <c r="M1599" s="10">
        <v>0</v>
      </c>
      <c r="N1599" s="10" t="s">
        <v>761</v>
      </c>
      <c r="O1599" s="10" t="s">
        <v>1844</v>
      </c>
      <c r="P1599" s="105" t="e">
        <f t="shared" si="24"/>
        <v>#DIV/0!</v>
      </c>
    </row>
    <row r="1600" spans="1:16">
      <c r="A1600" s="10" t="s">
        <v>635</v>
      </c>
      <c r="B1600" s="10">
        <v>8003070</v>
      </c>
      <c r="C1600" s="10" t="s">
        <v>759</v>
      </c>
      <c r="D1600" s="10" t="s">
        <v>760</v>
      </c>
      <c r="E1600" s="10">
        <v>0</v>
      </c>
      <c r="F1600" s="10">
        <v>0</v>
      </c>
      <c r="G1600" s="10">
        <v>0</v>
      </c>
      <c r="H1600" s="10">
        <v>0</v>
      </c>
      <c r="I1600" s="10" t="s">
        <v>21</v>
      </c>
      <c r="J1600" s="10">
        <v>0</v>
      </c>
      <c r="K1600" s="10">
        <v>0</v>
      </c>
      <c r="L1600" s="10">
        <v>0</v>
      </c>
      <c r="M1600" s="10">
        <v>0</v>
      </c>
      <c r="N1600" s="10" t="s">
        <v>761</v>
      </c>
      <c r="O1600" s="10" t="s">
        <v>1845</v>
      </c>
      <c r="P1600" s="105" t="e">
        <f t="shared" si="24"/>
        <v>#DIV/0!</v>
      </c>
    </row>
    <row r="1601" spans="1:16">
      <c r="A1601" s="10" t="s">
        <v>635</v>
      </c>
      <c r="B1601" s="10">
        <v>8003192</v>
      </c>
      <c r="C1601" s="10" t="s">
        <v>759</v>
      </c>
      <c r="D1601" s="10" t="s">
        <v>760</v>
      </c>
      <c r="E1601" s="10">
        <v>0</v>
      </c>
      <c r="F1601" s="10">
        <v>0</v>
      </c>
      <c r="G1601" s="10">
        <v>0</v>
      </c>
      <c r="H1601" s="10">
        <v>0</v>
      </c>
      <c r="I1601" s="10" t="s">
        <v>802</v>
      </c>
      <c r="J1601" s="10">
        <v>0</v>
      </c>
      <c r="K1601" s="10">
        <v>0</v>
      </c>
      <c r="L1601" s="10">
        <v>0</v>
      </c>
      <c r="M1601" s="10">
        <v>0</v>
      </c>
      <c r="N1601" s="10" t="s">
        <v>761</v>
      </c>
      <c r="O1601" s="10" t="s">
        <v>1846</v>
      </c>
      <c r="P1601" s="105" t="e">
        <f t="shared" si="24"/>
        <v>#DIV/0!</v>
      </c>
    </row>
    <row r="1602" spans="1:16">
      <c r="A1602" s="10" t="s">
        <v>635</v>
      </c>
      <c r="B1602" s="10">
        <v>8003193</v>
      </c>
      <c r="C1602" s="10" t="s">
        <v>759</v>
      </c>
      <c r="D1602" s="10" t="s">
        <v>760</v>
      </c>
      <c r="E1602" s="10">
        <v>0</v>
      </c>
      <c r="F1602" s="10">
        <v>0</v>
      </c>
      <c r="G1602" s="10">
        <v>0</v>
      </c>
      <c r="H1602" s="10">
        <v>0</v>
      </c>
      <c r="I1602" s="10" t="s">
        <v>802</v>
      </c>
      <c r="J1602" s="10">
        <v>0</v>
      </c>
      <c r="K1602" s="10">
        <v>0</v>
      </c>
      <c r="L1602" s="10">
        <v>0</v>
      </c>
      <c r="M1602" s="10">
        <v>0</v>
      </c>
      <c r="N1602" s="10" t="s">
        <v>761</v>
      </c>
      <c r="O1602" s="10" t="s">
        <v>1847</v>
      </c>
      <c r="P1602" s="105" t="e">
        <f t="shared" si="24"/>
        <v>#DIV/0!</v>
      </c>
    </row>
    <row r="1603" spans="1:16">
      <c r="A1603" s="10" t="s">
        <v>635</v>
      </c>
      <c r="B1603" s="10">
        <v>8003673</v>
      </c>
      <c r="C1603" s="10" t="s">
        <v>759</v>
      </c>
      <c r="D1603" s="10" t="s">
        <v>760</v>
      </c>
      <c r="E1603" s="10">
        <v>0</v>
      </c>
      <c r="F1603" s="10">
        <v>0</v>
      </c>
      <c r="G1603" s="10">
        <v>0</v>
      </c>
      <c r="H1603" s="10">
        <v>0</v>
      </c>
      <c r="I1603" s="10" t="s">
        <v>21</v>
      </c>
      <c r="J1603" s="10">
        <v>0</v>
      </c>
      <c r="K1603" s="10">
        <v>0</v>
      </c>
      <c r="L1603" s="10">
        <v>0</v>
      </c>
      <c r="M1603" s="10">
        <v>0</v>
      </c>
      <c r="N1603" s="10" t="s">
        <v>761</v>
      </c>
      <c r="O1603" s="10" t="s">
        <v>1848</v>
      </c>
      <c r="P1603" s="105" t="e">
        <f t="shared" ref="P1603:P1666" si="25">M1603/H1603</f>
        <v>#DIV/0!</v>
      </c>
    </row>
    <row r="1604" spans="1:16">
      <c r="A1604" s="10" t="s">
        <v>635</v>
      </c>
      <c r="B1604" s="10">
        <v>8005286</v>
      </c>
      <c r="C1604" s="10" t="s">
        <v>759</v>
      </c>
      <c r="D1604" s="10" t="s">
        <v>760</v>
      </c>
      <c r="E1604" s="10">
        <v>0</v>
      </c>
      <c r="F1604" s="10">
        <v>0</v>
      </c>
      <c r="G1604" s="10">
        <v>0</v>
      </c>
      <c r="H1604" s="10">
        <v>0</v>
      </c>
      <c r="I1604" s="10" t="s">
        <v>669</v>
      </c>
      <c r="J1604" s="10">
        <v>0</v>
      </c>
      <c r="K1604" s="10">
        <v>0</v>
      </c>
      <c r="L1604" s="10">
        <v>0</v>
      </c>
      <c r="M1604" s="10">
        <v>0</v>
      </c>
      <c r="N1604" s="10" t="s">
        <v>761</v>
      </c>
      <c r="O1604" s="10" t="s">
        <v>1849</v>
      </c>
      <c r="P1604" s="105" t="e">
        <f t="shared" si="25"/>
        <v>#DIV/0!</v>
      </c>
    </row>
    <row r="1605" spans="1:16">
      <c r="A1605" s="10" t="s">
        <v>635</v>
      </c>
      <c r="B1605" s="10">
        <v>8005342</v>
      </c>
      <c r="C1605" s="10" t="s">
        <v>759</v>
      </c>
      <c r="D1605" s="10" t="s">
        <v>760</v>
      </c>
      <c r="E1605" s="10">
        <v>0</v>
      </c>
      <c r="F1605" s="10">
        <v>0</v>
      </c>
      <c r="G1605" s="10">
        <v>0</v>
      </c>
      <c r="H1605" s="10">
        <v>0</v>
      </c>
      <c r="I1605" s="10" t="s">
        <v>21</v>
      </c>
      <c r="J1605" s="10">
        <v>0</v>
      </c>
      <c r="K1605" s="10">
        <v>0</v>
      </c>
      <c r="L1605" s="10">
        <v>0</v>
      </c>
      <c r="M1605" s="10">
        <v>0</v>
      </c>
      <c r="N1605" s="10" t="s">
        <v>761</v>
      </c>
      <c r="O1605" s="10" t="s">
        <v>1850</v>
      </c>
      <c r="P1605" s="105" t="e">
        <f t="shared" si="25"/>
        <v>#DIV/0!</v>
      </c>
    </row>
    <row r="1606" spans="1:16">
      <c r="A1606" s="10" t="s">
        <v>635</v>
      </c>
      <c r="B1606" s="10">
        <v>8005363</v>
      </c>
      <c r="C1606" s="10" t="s">
        <v>759</v>
      </c>
      <c r="D1606" s="10" t="s">
        <v>760</v>
      </c>
      <c r="E1606" s="10">
        <v>0</v>
      </c>
      <c r="F1606" s="10">
        <v>0</v>
      </c>
      <c r="G1606" s="10">
        <v>0</v>
      </c>
      <c r="H1606" s="10">
        <v>0</v>
      </c>
      <c r="I1606" s="10" t="s">
        <v>21</v>
      </c>
      <c r="J1606" s="10">
        <v>0</v>
      </c>
      <c r="K1606" s="10">
        <v>0</v>
      </c>
      <c r="L1606" s="10">
        <v>0</v>
      </c>
      <c r="M1606" s="10">
        <v>0</v>
      </c>
      <c r="N1606" s="10" t="s">
        <v>761</v>
      </c>
      <c r="O1606" s="10" t="s">
        <v>1851</v>
      </c>
      <c r="P1606" s="105" t="e">
        <f t="shared" si="25"/>
        <v>#DIV/0!</v>
      </c>
    </row>
    <row r="1607" spans="1:16">
      <c r="A1607" s="10" t="s">
        <v>635</v>
      </c>
      <c r="B1607" s="10">
        <v>8005366</v>
      </c>
      <c r="C1607" s="10" t="s">
        <v>759</v>
      </c>
      <c r="D1607" s="10" t="s">
        <v>760</v>
      </c>
      <c r="E1607" s="10">
        <v>0</v>
      </c>
      <c r="F1607" s="10">
        <v>0</v>
      </c>
      <c r="G1607" s="10">
        <v>0</v>
      </c>
      <c r="H1607" s="10">
        <v>0</v>
      </c>
      <c r="I1607" s="10" t="s">
        <v>21</v>
      </c>
      <c r="J1607" s="10">
        <v>0</v>
      </c>
      <c r="K1607" s="10">
        <v>0</v>
      </c>
      <c r="L1607" s="10">
        <v>0</v>
      </c>
      <c r="M1607" s="10">
        <v>0</v>
      </c>
      <c r="N1607" s="10" t="s">
        <v>761</v>
      </c>
      <c r="O1607" s="10" t="s">
        <v>1852</v>
      </c>
      <c r="P1607" s="105" t="e">
        <f t="shared" si="25"/>
        <v>#DIV/0!</v>
      </c>
    </row>
    <row r="1608" spans="1:16">
      <c r="A1608" s="10" t="s">
        <v>635</v>
      </c>
      <c r="B1608" s="10">
        <v>8005467</v>
      </c>
      <c r="C1608" s="10" t="s">
        <v>759</v>
      </c>
      <c r="D1608" s="10" t="s">
        <v>760</v>
      </c>
      <c r="E1608" s="10">
        <v>40</v>
      </c>
      <c r="F1608" s="10">
        <v>0</v>
      </c>
      <c r="G1608" s="10">
        <v>0</v>
      </c>
      <c r="H1608" s="10">
        <v>40</v>
      </c>
      <c r="I1608" s="10" t="s">
        <v>41</v>
      </c>
      <c r="J1608" s="10">
        <v>143.54</v>
      </c>
      <c r="K1608" s="10">
        <v>0</v>
      </c>
      <c r="L1608" s="10">
        <v>0</v>
      </c>
      <c r="M1608" s="10">
        <v>143.54</v>
      </c>
      <c r="N1608" s="10" t="s">
        <v>761</v>
      </c>
      <c r="O1608" s="10" t="s">
        <v>129</v>
      </c>
      <c r="P1608" s="105">
        <f t="shared" si="25"/>
        <v>3.5885</v>
      </c>
    </row>
    <row r="1609" spans="1:16">
      <c r="A1609" s="10" t="s">
        <v>635</v>
      </c>
      <c r="B1609" s="10">
        <v>8005468</v>
      </c>
      <c r="C1609" s="10" t="s">
        <v>759</v>
      </c>
      <c r="D1609" s="10" t="s">
        <v>760</v>
      </c>
      <c r="E1609" s="10">
        <v>20</v>
      </c>
      <c r="F1609" s="10">
        <v>0</v>
      </c>
      <c r="G1609" s="10">
        <v>0</v>
      </c>
      <c r="H1609" s="10">
        <v>20</v>
      </c>
      <c r="I1609" s="10" t="s">
        <v>102</v>
      </c>
      <c r="J1609" s="10">
        <v>172.25</v>
      </c>
      <c r="K1609" s="10">
        <v>0</v>
      </c>
      <c r="L1609" s="10">
        <v>0</v>
      </c>
      <c r="M1609" s="10">
        <v>172.25</v>
      </c>
      <c r="N1609" s="10" t="s">
        <v>761</v>
      </c>
      <c r="O1609" s="10" t="s">
        <v>104</v>
      </c>
      <c r="P1609" s="105">
        <f t="shared" si="25"/>
        <v>8.6125</v>
      </c>
    </row>
    <row r="1610" spans="1:16">
      <c r="A1610" s="10" t="s">
        <v>635</v>
      </c>
      <c r="B1610" s="10">
        <v>8005469</v>
      </c>
      <c r="C1610" s="10" t="s">
        <v>759</v>
      </c>
      <c r="D1610" s="10" t="s">
        <v>760</v>
      </c>
      <c r="E1610" s="10">
        <v>20</v>
      </c>
      <c r="F1610" s="10">
        <v>0</v>
      </c>
      <c r="G1610" s="10">
        <v>0</v>
      </c>
      <c r="H1610" s="10">
        <v>20</v>
      </c>
      <c r="I1610" s="10" t="s">
        <v>102</v>
      </c>
      <c r="J1610" s="10">
        <v>172.25</v>
      </c>
      <c r="K1610" s="10">
        <v>0</v>
      </c>
      <c r="L1610" s="10">
        <v>0</v>
      </c>
      <c r="M1610" s="10">
        <v>172.25</v>
      </c>
      <c r="N1610" s="10" t="s">
        <v>761</v>
      </c>
      <c r="O1610" s="10" t="s">
        <v>103</v>
      </c>
      <c r="P1610" s="105">
        <f t="shared" si="25"/>
        <v>8.6125</v>
      </c>
    </row>
    <row r="1611" spans="1:16">
      <c r="A1611" s="10" t="s">
        <v>635</v>
      </c>
      <c r="B1611" s="10">
        <v>8005470</v>
      </c>
      <c r="C1611" s="10" t="s">
        <v>759</v>
      </c>
      <c r="D1611" s="10" t="s">
        <v>760</v>
      </c>
      <c r="E1611" s="10">
        <v>20</v>
      </c>
      <c r="F1611" s="10">
        <v>0</v>
      </c>
      <c r="G1611" s="10">
        <v>0</v>
      </c>
      <c r="H1611" s="10">
        <v>20</v>
      </c>
      <c r="I1611" s="10" t="s">
        <v>102</v>
      </c>
      <c r="J1611" s="10">
        <v>172.25</v>
      </c>
      <c r="K1611" s="10">
        <v>0</v>
      </c>
      <c r="L1611" s="10">
        <v>0</v>
      </c>
      <c r="M1611" s="10">
        <v>172.25</v>
      </c>
      <c r="N1611" s="10" t="s">
        <v>761</v>
      </c>
      <c r="O1611" s="10" t="s">
        <v>100</v>
      </c>
      <c r="P1611" s="105">
        <f t="shared" si="25"/>
        <v>8.6125</v>
      </c>
    </row>
    <row r="1612" spans="1:16">
      <c r="A1612" s="10" t="s">
        <v>635</v>
      </c>
      <c r="B1612" s="10">
        <v>8005471</v>
      </c>
      <c r="C1612" s="10" t="s">
        <v>759</v>
      </c>
      <c r="D1612" s="10" t="s">
        <v>760</v>
      </c>
      <c r="E1612" s="10">
        <v>20</v>
      </c>
      <c r="F1612" s="10">
        <v>0</v>
      </c>
      <c r="G1612" s="10">
        <v>0</v>
      </c>
      <c r="H1612" s="10">
        <v>20</v>
      </c>
      <c r="I1612" s="10" t="s">
        <v>102</v>
      </c>
      <c r="J1612" s="10">
        <v>172.25</v>
      </c>
      <c r="K1612" s="10">
        <v>0</v>
      </c>
      <c r="L1612" s="10">
        <v>0</v>
      </c>
      <c r="M1612" s="10">
        <v>172.25</v>
      </c>
      <c r="N1612" s="10" t="s">
        <v>761</v>
      </c>
      <c r="O1612" s="10" t="s">
        <v>105</v>
      </c>
      <c r="P1612" s="105">
        <f t="shared" si="25"/>
        <v>8.6125</v>
      </c>
    </row>
    <row r="1613" spans="1:16">
      <c r="A1613" s="10" t="s">
        <v>635</v>
      </c>
      <c r="B1613" s="10">
        <v>8005472</v>
      </c>
      <c r="C1613" s="10" t="s">
        <v>759</v>
      </c>
      <c r="D1613" s="10" t="s">
        <v>760</v>
      </c>
      <c r="E1613" s="10">
        <v>20</v>
      </c>
      <c r="F1613" s="10">
        <v>0</v>
      </c>
      <c r="G1613" s="10">
        <v>0</v>
      </c>
      <c r="H1613" s="10">
        <v>20</v>
      </c>
      <c r="I1613" s="10" t="s">
        <v>102</v>
      </c>
      <c r="J1613" s="10">
        <v>172.25</v>
      </c>
      <c r="K1613" s="10">
        <v>0</v>
      </c>
      <c r="L1613" s="10">
        <v>0</v>
      </c>
      <c r="M1613" s="10">
        <v>172.25</v>
      </c>
      <c r="N1613" s="10" t="s">
        <v>761</v>
      </c>
      <c r="O1613" s="10" t="s">
        <v>106</v>
      </c>
      <c r="P1613" s="105">
        <f t="shared" si="25"/>
        <v>8.6125</v>
      </c>
    </row>
    <row r="1614" spans="1:16">
      <c r="A1614" s="10" t="s">
        <v>635</v>
      </c>
      <c r="B1614" s="10">
        <v>8005473</v>
      </c>
      <c r="C1614" s="10" t="s">
        <v>759</v>
      </c>
      <c r="D1614" s="10" t="s">
        <v>760</v>
      </c>
      <c r="E1614" s="10">
        <v>20</v>
      </c>
      <c r="F1614" s="10">
        <v>0</v>
      </c>
      <c r="G1614" s="10">
        <v>0</v>
      </c>
      <c r="H1614" s="10">
        <v>20</v>
      </c>
      <c r="I1614" s="10" t="s">
        <v>102</v>
      </c>
      <c r="J1614" s="10">
        <v>172.25</v>
      </c>
      <c r="K1614" s="10">
        <v>0</v>
      </c>
      <c r="L1614" s="10">
        <v>0</v>
      </c>
      <c r="M1614" s="10">
        <v>172.25</v>
      </c>
      <c r="N1614" s="10" t="s">
        <v>761</v>
      </c>
      <c r="O1614" s="10" t="s">
        <v>107</v>
      </c>
      <c r="P1614" s="105">
        <f t="shared" si="25"/>
        <v>8.6125</v>
      </c>
    </row>
    <row r="1615" spans="1:16">
      <c r="A1615" s="10" t="s">
        <v>635</v>
      </c>
      <c r="B1615" s="10">
        <v>8005474</v>
      </c>
      <c r="C1615" s="10" t="s">
        <v>759</v>
      </c>
      <c r="D1615" s="10" t="s">
        <v>760</v>
      </c>
      <c r="E1615" s="10">
        <v>20</v>
      </c>
      <c r="F1615" s="10">
        <v>0</v>
      </c>
      <c r="G1615" s="10">
        <v>0</v>
      </c>
      <c r="H1615" s="10">
        <v>20</v>
      </c>
      <c r="I1615" s="10" t="s">
        <v>102</v>
      </c>
      <c r="J1615" s="10">
        <v>172.25</v>
      </c>
      <c r="K1615" s="10">
        <v>0</v>
      </c>
      <c r="L1615" s="10">
        <v>0</v>
      </c>
      <c r="M1615" s="10">
        <v>172.25</v>
      </c>
      <c r="N1615" s="10" t="s">
        <v>761</v>
      </c>
      <c r="O1615" s="10" t="s">
        <v>108</v>
      </c>
      <c r="P1615" s="105">
        <f t="shared" si="25"/>
        <v>8.6125</v>
      </c>
    </row>
    <row r="1616" spans="1:16">
      <c r="A1616" s="10" t="s">
        <v>635</v>
      </c>
      <c r="B1616" s="10">
        <v>8005475</v>
      </c>
      <c r="C1616" s="10" t="s">
        <v>759</v>
      </c>
      <c r="D1616" s="10" t="s">
        <v>760</v>
      </c>
      <c r="E1616" s="10">
        <v>0</v>
      </c>
      <c r="F1616" s="10">
        <v>0</v>
      </c>
      <c r="G1616" s="10">
        <v>0</v>
      </c>
      <c r="H1616" s="10">
        <v>0</v>
      </c>
      <c r="I1616" s="10" t="s">
        <v>102</v>
      </c>
      <c r="J1616" s="10">
        <v>0</v>
      </c>
      <c r="K1616" s="10">
        <v>0</v>
      </c>
      <c r="L1616" s="10">
        <v>0</v>
      </c>
      <c r="M1616" s="10">
        <v>0</v>
      </c>
      <c r="N1616" s="10" t="s">
        <v>761</v>
      </c>
      <c r="O1616" s="10" t="s">
        <v>1853</v>
      </c>
      <c r="P1616" s="105" t="e">
        <f t="shared" si="25"/>
        <v>#DIV/0!</v>
      </c>
    </row>
    <row r="1617" spans="1:16">
      <c r="A1617" s="10" t="s">
        <v>635</v>
      </c>
      <c r="B1617" s="10">
        <v>8005476</v>
      </c>
      <c r="C1617" s="10" t="s">
        <v>759</v>
      </c>
      <c r="D1617" s="10" t="s">
        <v>760</v>
      </c>
      <c r="E1617" s="10">
        <v>0</v>
      </c>
      <c r="F1617" s="10">
        <v>0</v>
      </c>
      <c r="G1617" s="10">
        <v>0</v>
      </c>
      <c r="H1617" s="10">
        <v>0</v>
      </c>
      <c r="I1617" s="10" t="s">
        <v>102</v>
      </c>
      <c r="J1617" s="10">
        <v>0</v>
      </c>
      <c r="K1617" s="10">
        <v>0</v>
      </c>
      <c r="L1617" s="10">
        <v>0</v>
      </c>
      <c r="M1617" s="10">
        <v>0</v>
      </c>
      <c r="N1617" s="10" t="s">
        <v>761</v>
      </c>
      <c r="O1617" s="10" t="s">
        <v>1854</v>
      </c>
      <c r="P1617" s="105" t="e">
        <f t="shared" si="25"/>
        <v>#DIV/0!</v>
      </c>
    </row>
    <row r="1618" spans="1:16">
      <c r="A1618" s="10" t="s">
        <v>635</v>
      </c>
      <c r="B1618" s="10">
        <v>8005477</v>
      </c>
      <c r="C1618" s="10" t="s">
        <v>759</v>
      </c>
      <c r="D1618" s="10" t="s">
        <v>760</v>
      </c>
      <c r="E1618" s="10">
        <v>0</v>
      </c>
      <c r="F1618" s="10">
        <v>0</v>
      </c>
      <c r="G1618" s="10">
        <v>0</v>
      </c>
      <c r="H1618" s="10">
        <v>0</v>
      </c>
      <c r="I1618" s="10" t="s">
        <v>102</v>
      </c>
      <c r="J1618" s="10">
        <v>0</v>
      </c>
      <c r="K1618" s="10">
        <v>0</v>
      </c>
      <c r="L1618" s="10">
        <v>0</v>
      </c>
      <c r="M1618" s="10">
        <v>0</v>
      </c>
      <c r="N1618" s="10" t="s">
        <v>761</v>
      </c>
      <c r="O1618" s="10" t="s">
        <v>1855</v>
      </c>
      <c r="P1618" s="105" t="e">
        <f t="shared" si="25"/>
        <v>#DIV/0!</v>
      </c>
    </row>
    <row r="1619" spans="1:16">
      <c r="A1619" s="10" t="s">
        <v>635</v>
      </c>
      <c r="B1619" s="10">
        <v>8005478</v>
      </c>
      <c r="C1619" s="10" t="s">
        <v>759</v>
      </c>
      <c r="D1619" s="10" t="s">
        <v>760</v>
      </c>
      <c r="E1619" s="10">
        <v>0</v>
      </c>
      <c r="F1619" s="10">
        <v>0</v>
      </c>
      <c r="G1619" s="10">
        <v>0</v>
      </c>
      <c r="H1619" s="10">
        <v>0</v>
      </c>
      <c r="I1619" s="10" t="s">
        <v>102</v>
      </c>
      <c r="J1619" s="10">
        <v>0</v>
      </c>
      <c r="K1619" s="10">
        <v>0</v>
      </c>
      <c r="L1619" s="10">
        <v>0</v>
      </c>
      <c r="M1619" s="10">
        <v>0</v>
      </c>
      <c r="N1619" s="10" t="s">
        <v>761</v>
      </c>
      <c r="O1619" s="10" t="s">
        <v>1856</v>
      </c>
      <c r="P1619" s="105" t="e">
        <f t="shared" si="25"/>
        <v>#DIV/0!</v>
      </c>
    </row>
    <row r="1620" spans="1:16">
      <c r="A1620" s="10" t="s">
        <v>635</v>
      </c>
      <c r="B1620" s="10">
        <v>8005479</v>
      </c>
      <c r="C1620" s="10" t="s">
        <v>759</v>
      </c>
      <c r="D1620" s="10" t="s">
        <v>760</v>
      </c>
      <c r="E1620" s="10">
        <v>0</v>
      </c>
      <c r="F1620" s="10">
        <v>0</v>
      </c>
      <c r="G1620" s="10">
        <v>0</v>
      </c>
      <c r="H1620" s="10">
        <v>0</v>
      </c>
      <c r="I1620" s="10" t="s">
        <v>102</v>
      </c>
      <c r="J1620" s="10">
        <v>0</v>
      </c>
      <c r="K1620" s="10">
        <v>0</v>
      </c>
      <c r="L1620" s="10">
        <v>0</v>
      </c>
      <c r="M1620" s="10">
        <v>0</v>
      </c>
      <c r="N1620" s="10" t="s">
        <v>761</v>
      </c>
      <c r="O1620" s="10" t="s">
        <v>1857</v>
      </c>
      <c r="P1620" s="105" t="e">
        <f t="shared" si="25"/>
        <v>#DIV/0!</v>
      </c>
    </row>
    <row r="1621" spans="1:16">
      <c r="A1621" s="10" t="s">
        <v>635</v>
      </c>
      <c r="B1621" s="10">
        <v>8005480</v>
      </c>
      <c r="C1621" s="10" t="s">
        <v>759</v>
      </c>
      <c r="D1621" s="10" t="s">
        <v>760</v>
      </c>
      <c r="E1621" s="10">
        <v>0</v>
      </c>
      <c r="F1621" s="10">
        <v>0</v>
      </c>
      <c r="G1621" s="10">
        <v>0</v>
      </c>
      <c r="H1621" s="10">
        <v>0</v>
      </c>
      <c r="I1621" s="10" t="s">
        <v>102</v>
      </c>
      <c r="J1621" s="10">
        <v>0</v>
      </c>
      <c r="K1621" s="10">
        <v>0</v>
      </c>
      <c r="L1621" s="10">
        <v>0</v>
      </c>
      <c r="M1621" s="10">
        <v>0</v>
      </c>
      <c r="N1621" s="10" t="s">
        <v>761</v>
      </c>
      <c r="O1621" s="10" t="s">
        <v>1858</v>
      </c>
      <c r="P1621" s="105" t="e">
        <f t="shared" si="25"/>
        <v>#DIV/0!</v>
      </c>
    </row>
    <row r="1622" spans="1:16">
      <c r="A1622" s="10" t="s">
        <v>635</v>
      </c>
      <c r="B1622" s="10">
        <v>8005490</v>
      </c>
      <c r="C1622" s="10" t="s">
        <v>759</v>
      </c>
      <c r="D1622" s="10" t="s">
        <v>760</v>
      </c>
      <c r="E1622" s="10">
        <v>0</v>
      </c>
      <c r="F1622" s="10">
        <v>0</v>
      </c>
      <c r="G1622" s="10">
        <v>0</v>
      </c>
      <c r="H1622" s="10">
        <v>0</v>
      </c>
      <c r="I1622" s="10" t="s">
        <v>102</v>
      </c>
      <c r="J1622" s="10">
        <v>0</v>
      </c>
      <c r="K1622" s="10">
        <v>0</v>
      </c>
      <c r="L1622" s="10">
        <v>0</v>
      </c>
      <c r="M1622" s="10">
        <v>0</v>
      </c>
      <c r="N1622" s="10" t="s">
        <v>761</v>
      </c>
      <c r="O1622" s="10" t="s">
        <v>1859</v>
      </c>
      <c r="P1622" s="105" t="e">
        <f t="shared" si="25"/>
        <v>#DIV/0!</v>
      </c>
    </row>
    <row r="1623" spans="1:16">
      <c r="A1623" s="10" t="s">
        <v>635</v>
      </c>
      <c r="B1623" s="10">
        <v>8005491</v>
      </c>
      <c r="C1623" s="10" t="s">
        <v>759</v>
      </c>
      <c r="D1623" s="10" t="s">
        <v>760</v>
      </c>
      <c r="E1623" s="10">
        <v>0</v>
      </c>
      <c r="F1623" s="10">
        <v>0</v>
      </c>
      <c r="G1623" s="10">
        <v>0</v>
      </c>
      <c r="H1623" s="10">
        <v>0</v>
      </c>
      <c r="I1623" s="10" t="s">
        <v>102</v>
      </c>
      <c r="J1623" s="10">
        <v>0</v>
      </c>
      <c r="K1623" s="10">
        <v>0</v>
      </c>
      <c r="L1623" s="10">
        <v>0</v>
      </c>
      <c r="M1623" s="10">
        <v>0</v>
      </c>
      <c r="N1623" s="10" t="s">
        <v>761</v>
      </c>
      <c r="O1623" s="10" t="s">
        <v>1860</v>
      </c>
      <c r="P1623" s="105" t="e">
        <f t="shared" si="25"/>
        <v>#DIV/0!</v>
      </c>
    </row>
    <row r="1624" spans="1:16">
      <c r="A1624" s="10" t="s">
        <v>635</v>
      </c>
      <c r="B1624" s="10">
        <v>8005492</v>
      </c>
      <c r="C1624" s="10" t="s">
        <v>759</v>
      </c>
      <c r="D1624" s="10" t="s">
        <v>760</v>
      </c>
      <c r="E1624" s="10">
        <v>0</v>
      </c>
      <c r="F1624" s="10">
        <v>0</v>
      </c>
      <c r="G1624" s="10">
        <v>0</v>
      </c>
      <c r="H1624" s="10">
        <v>0</v>
      </c>
      <c r="I1624" s="10" t="s">
        <v>102</v>
      </c>
      <c r="J1624" s="10">
        <v>0</v>
      </c>
      <c r="K1624" s="10">
        <v>0</v>
      </c>
      <c r="L1624" s="10">
        <v>0</v>
      </c>
      <c r="M1624" s="10">
        <v>0</v>
      </c>
      <c r="N1624" s="10" t="s">
        <v>761</v>
      </c>
      <c r="O1624" s="10" t="s">
        <v>1861</v>
      </c>
      <c r="P1624" s="105" t="e">
        <f t="shared" si="25"/>
        <v>#DIV/0!</v>
      </c>
    </row>
    <row r="1625" spans="1:16">
      <c r="A1625" s="10" t="s">
        <v>635</v>
      </c>
      <c r="B1625" s="10">
        <v>8005493</v>
      </c>
      <c r="C1625" s="10" t="s">
        <v>759</v>
      </c>
      <c r="D1625" s="10" t="s">
        <v>760</v>
      </c>
      <c r="E1625" s="10">
        <v>0</v>
      </c>
      <c r="F1625" s="10">
        <v>0</v>
      </c>
      <c r="G1625" s="10">
        <v>0</v>
      </c>
      <c r="H1625" s="10">
        <v>0</v>
      </c>
      <c r="I1625" s="10" t="s">
        <v>102</v>
      </c>
      <c r="J1625" s="10">
        <v>0</v>
      </c>
      <c r="K1625" s="10">
        <v>0</v>
      </c>
      <c r="L1625" s="10">
        <v>0</v>
      </c>
      <c r="M1625" s="10">
        <v>0</v>
      </c>
      <c r="N1625" s="10" t="s">
        <v>761</v>
      </c>
      <c r="O1625" s="10" t="s">
        <v>1862</v>
      </c>
      <c r="P1625" s="105" t="e">
        <f t="shared" si="25"/>
        <v>#DIV/0!</v>
      </c>
    </row>
    <row r="1626" spans="1:16">
      <c r="A1626" s="10" t="s">
        <v>635</v>
      </c>
      <c r="B1626" s="10">
        <v>8005494</v>
      </c>
      <c r="C1626" s="10" t="s">
        <v>759</v>
      </c>
      <c r="D1626" s="10" t="s">
        <v>760</v>
      </c>
      <c r="E1626" s="10">
        <v>0</v>
      </c>
      <c r="F1626" s="10">
        <v>0</v>
      </c>
      <c r="G1626" s="10">
        <v>0</v>
      </c>
      <c r="H1626" s="10">
        <v>0</v>
      </c>
      <c r="I1626" s="10" t="s">
        <v>102</v>
      </c>
      <c r="J1626" s="10">
        <v>0</v>
      </c>
      <c r="K1626" s="10">
        <v>0</v>
      </c>
      <c r="L1626" s="10">
        <v>0</v>
      </c>
      <c r="M1626" s="10">
        <v>0</v>
      </c>
      <c r="N1626" s="10" t="s">
        <v>761</v>
      </c>
      <c r="O1626" s="10" t="s">
        <v>1863</v>
      </c>
      <c r="P1626" s="105" t="e">
        <f t="shared" si="25"/>
        <v>#DIV/0!</v>
      </c>
    </row>
    <row r="1627" spans="1:16">
      <c r="A1627" s="10" t="s">
        <v>635</v>
      </c>
      <c r="B1627" s="10">
        <v>8005495</v>
      </c>
      <c r="C1627" s="10" t="s">
        <v>759</v>
      </c>
      <c r="D1627" s="10" t="s">
        <v>760</v>
      </c>
      <c r="E1627" s="10">
        <v>0</v>
      </c>
      <c r="F1627" s="10">
        <v>0</v>
      </c>
      <c r="G1627" s="10">
        <v>0</v>
      </c>
      <c r="H1627" s="10">
        <v>0</v>
      </c>
      <c r="I1627" s="10" t="s">
        <v>102</v>
      </c>
      <c r="J1627" s="10">
        <v>0</v>
      </c>
      <c r="K1627" s="10">
        <v>0</v>
      </c>
      <c r="L1627" s="10">
        <v>0</v>
      </c>
      <c r="M1627" s="10">
        <v>0</v>
      </c>
      <c r="N1627" s="10" t="s">
        <v>761</v>
      </c>
      <c r="O1627" s="10" t="s">
        <v>1864</v>
      </c>
      <c r="P1627" s="105" t="e">
        <f t="shared" si="25"/>
        <v>#DIV/0!</v>
      </c>
    </row>
    <row r="1628" spans="1:16">
      <c r="A1628" s="10" t="s">
        <v>635</v>
      </c>
      <c r="B1628" s="10">
        <v>8005499</v>
      </c>
      <c r="C1628" s="10" t="s">
        <v>759</v>
      </c>
      <c r="D1628" s="10" t="s">
        <v>760</v>
      </c>
      <c r="E1628" s="10">
        <v>0</v>
      </c>
      <c r="F1628" s="10">
        <v>0</v>
      </c>
      <c r="G1628" s="10">
        <v>0</v>
      </c>
      <c r="H1628" s="10">
        <v>0</v>
      </c>
      <c r="I1628" s="10" t="s">
        <v>102</v>
      </c>
      <c r="J1628" s="10">
        <v>0</v>
      </c>
      <c r="K1628" s="10">
        <v>0</v>
      </c>
      <c r="L1628" s="10">
        <v>0</v>
      </c>
      <c r="M1628" s="10">
        <v>0</v>
      </c>
      <c r="N1628" s="10" t="s">
        <v>761</v>
      </c>
      <c r="O1628" s="10" t="s">
        <v>1865</v>
      </c>
      <c r="P1628" s="105" t="e">
        <f t="shared" si="25"/>
        <v>#DIV/0!</v>
      </c>
    </row>
    <row r="1629" spans="1:16">
      <c r="A1629" s="10" t="s">
        <v>635</v>
      </c>
      <c r="B1629" s="10">
        <v>8005500</v>
      </c>
      <c r="C1629" s="10" t="s">
        <v>759</v>
      </c>
      <c r="D1629" s="10" t="s">
        <v>760</v>
      </c>
      <c r="E1629" s="10">
        <v>0</v>
      </c>
      <c r="F1629" s="10">
        <v>0</v>
      </c>
      <c r="G1629" s="10">
        <v>0</v>
      </c>
      <c r="H1629" s="10">
        <v>0</v>
      </c>
      <c r="I1629" s="10" t="s">
        <v>102</v>
      </c>
      <c r="J1629" s="10">
        <v>0</v>
      </c>
      <c r="K1629" s="10">
        <v>0</v>
      </c>
      <c r="L1629" s="10">
        <v>0</v>
      </c>
      <c r="M1629" s="10">
        <v>0</v>
      </c>
      <c r="N1629" s="10" t="s">
        <v>761</v>
      </c>
      <c r="O1629" s="10" t="s">
        <v>1866</v>
      </c>
      <c r="P1629" s="105" t="e">
        <f t="shared" si="25"/>
        <v>#DIV/0!</v>
      </c>
    </row>
    <row r="1630" spans="1:16">
      <c r="A1630" s="10" t="s">
        <v>635</v>
      </c>
      <c r="B1630" s="10">
        <v>8005501</v>
      </c>
      <c r="C1630" s="10" t="s">
        <v>759</v>
      </c>
      <c r="D1630" s="10" t="s">
        <v>760</v>
      </c>
      <c r="E1630" s="10">
        <v>0</v>
      </c>
      <c r="F1630" s="10">
        <v>0</v>
      </c>
      <c r="G1630" s="10">
        <v>0</v>
      </c>
      <c r="H1630" s="10">
        <v>0</v>
      </c>
      <c r="I1630" s="10" t="s">
        <v>102</v>
      </c>
      <c r="J1630" s="10">
        <v>0</v>
      </c>
      <c r="K1630" s="10">
        <v>0</v>
      </c>
      <c r="L1630" s="10">
        <v>0</v>
      </c>
      <c r="M1630" s="10">
        <v>0</v>
      </c>
      <c r="N1630" s="10" t="s">
        <v>761</v>
      </c>
      <c r="O1630" s="10" t="s">
        <v>1867</v>
      </c>
      <c r="P1630" s="105" t="e">
        <f t="shared" si="25"/>
        <v>#DIV/0!</v>
      </c>
    </row>
    <row r="1631" spans="1:16">
      <c r="A1631" s="10" t="s">
        <v>635</v>
      </c>
      <c r="B1631" s="10">
        <v>8005502</v>
      </c>
      <c r="C1631" s="10" t="s">
        <v>759</v>
      </c>
      <c r="D1631" s="10" t="s">
        <v>760</v>
      </c>
      <c r="E1631" s="10">
        <v>0</v>
      </c>
      <c r="F1631" s="10">
        <v>0</v>
      </c>
      <c r="G1631" s="10">
        <v>0</v>
      </c>
      <c r="H1631" s="10">
        <v>0</v>
      </c>
      <c r="I1631" s="10" t="s">
        <v>102</v>
      </c>
      <c r="J1631" s="10">
        <v>0</v>
      </c>
      <c r="K1631" s="10">
        <v>0</v>
      </c>
      <c r="L1631" s="10">
        <v>0</v>
      </c>
      <c r="M1631" s="10">
        <v>0</v>
      </c>
      <c r="N1631" s="10" t="s">
        <v>761</v>
      </c>
      <c r="O1631" s="10" t="s">
        <v>1868</v>
      </c>
      <c r="P1631" s="105" t="e">
        <f t="shared" si="25"/>
        <v>#DIV/0!</v>
      </c>
    </row>
    <row r="1632" spans="1:16">
      <c r="A1632" s="10" t="s">
        <v>635</v>
      </c>
      <c r="B1632" s="10">
        <v>8005503</v>
      </c>
      <c r="C1632" s="10" t="s">
        <v>759</v>
      </c>
      <c r="D1632" s="10" t="s">
        <v>760</v>
      </c>
      <c r="E1632" s="10">
        <v>0</v>
      </c>
      <c r="F1632" s="10">
        <v>0</v>
      </c>
      <c r="G1632" s="10">
        <v>0</v>
      </c>
      <c r="H1632" s="10">
        <v>0</v>
      </c>
      <c r="I1632" s="10" t="s">
        <v>102</v>
      </c>
      <c r="J1632" s="10">
        <v>0</v>
      </c>
      <c r="K1632" s="10">
        <v>0</v>
      </c>
      <c r="L1632" s="10">
        <v>0</v>
      </c>
      <c r="M1632" s="10">
        <v>0</v>
      </c>
      <c r="N1632" s="10" t="s">
        <v>761</v>
      </c>
      <c r="O1632" s="10" t="s">
        <v>1869</v>
      </c>
      <c r="P1632" s="105" t="e">
        <f t="shared" si="25"/>
        <v>#DIV/0!</v>
      </c>
    </row>
    <row r="1633" spans="1:16">
      <c r="A1633" s="10" t="s">
        <v>635</v>
      </c>
      <c r="B1633" s="10">
        <v>8005512</v>
      </c>
      <c r="C1633" s="10" t="s">
        <v>759</v>
      </c>
      <c r="D1633" s="10" t="s">
        <v>760</v>
      </c>
      <c r="E1633" s="10">
        <v>0</v>
      </c>
      <c r="F1633" s="10">
        <v>0</v>
      </c>
      <c r="G1633" s="10">
        <v>0</v>
      </c>
      <c r="H1633" s="10">
        <v>0</v>
      </c>
      <c r="I1633" s="10" t="s">
        <v>102</v>
      </c>
      <c r="J1633" s="10">
        <v>0</v>
      </c>
      <c r="K1633" s="10">
        <v>0</v>
      </c>
      <c r="L1633" s="10">
        <v>0</v>
      </c>
      <c r="M1633" s="10">
        <v>0</v>
      </c>
      <c r="N1633" s="10" t="s">
        <v>761</v>
      </c>
      <c r="O1633" s="10" t="s">
        <v>1870</v>
      </c>
      <c r="P1633" s="105" t="e">
        <f t="shared" si="25"/>
        <v>#DIV/0!</v>
      </c>
    </row>
    <row r="1634" spans="1:16">
      <c r="A1634" s="10" t="s">
        <v>635</v>
      </c>
      <c r="B1634" s="10">
        <v>8005518</v>
      </c>
      <c r="C1634" s="10" t="s">
        <v>759</v>
      </c>
      <c r="D1634" s="10" t="s">
        <v>760</v>
      </c>
      <c r="E1634" s="10">
        <v>0</v>
      </c>
      <c r="F1634" s="10">
        <v>0</v>
      </c>
      <c r="G1634" s="10">
        <v>0</v>
      </c>
      <c r="H1634" s="10">
        <v>0</v>
      </c>
      <c r="I1634" s="10" t="s">
        <v>41</v>
      </c>
      <c r="J1634" s="10">
        <v>0</v>
      </c>
      <c r="K1634" s="10">
        <v>0</v>
      </c>
      <c r="L1634" s="10">
        <v>0</v>
      </c>
      <c r="M1634" s="10">
        <v>0</v>
      </c>
      <c r="N1634" s="10" t="s">
        <v>761</v>
      </c>
      <c r="O1634" s="10" t="s">
        <v>1871</v>
      </c>
      <c r="P1634" s="105" t="e">
        <f t="shared" si="25"/>
        <v>#DIV/0!</v>
      </c>
    </row>
    <row r="1635" spans="1:16">
      <c r="A1635" s="10" t="s">
        <v>635</v>
      </c>
      <c r="B1635" s="10">
        <v>8005549</v>
      </c>
      <c r="C1635" s="10" t="s">
        <v>759</v>
      </c>
      <c r="D1635" s="10" t="s">
        <v>760</v>
      </c>
      <c r="E1635" s="10">
        <v>0</v>
      </c>
      <c r="F1635" s="10">
        <v>0</v>
      </c>
      <c r="G1635" s="10">
        <v>0</v>
      </c>
      <c r="H1635" s="10">
        <v>0</v>
      </c>
      <c r="I1635" s="10" t="s">
        <v>102</v>
      </c>
      <c r="J1635" s="10">
        <v>0</v>
      </c>
      <c r="K1635" s="10">
        <v>0</v>
      </c>
      <c r="L1635" s="10">
        <v>0</v>
      </c>
      <c r="M1635" s="10">
        <v>0</v>
      </c>
      <c r="N1635" s="10" t="s">
        <v>761</v>
      </c>
      <c r="O1635" s="10" t="s">
        <v>1872</v>
      </c>
      <c r="P1635" s="105" t="e">
        <f t="shared" si="25"/>
        <v>#DIV/0!</v>
      </c>
    </row>
    <row r="1636" spans="1:16">
      <c r="A1636" s="10" t="s">
        <v>635</v>
      </c>
      <c r="B1636" s="10">
        <v>8005582</v>
      </c>
      <c r="C1636" s="10" t="s">
        <v>759</v>
      </c>
      <c r="D1636" s="10" t="s">
        <v>760</v>
      </c>
      <c r="E1636" s="10">
        <v>0</v>
      </c>
      <c r="F1636" s="10">
        <v>0</v>
      </c>
      <c r="G1636" s="10">
        <v>0</v>
      </c>
      <c r="H1636" s="10">
        <v>0</v>
      </c>
      <c r="I1636" s="10" t="s">
        <v>21</v>
      </c>
      <c r="J1636" s="10">
        <v>0</v>
      </c>
      <c r="K1636" s="10">
        <v>0</v>
      </c>
      <c r="L1636" s="10">
        <v>0</v>
      </c>
      <c r="M1636" s="10">
        <v>0</v>
      </c>
      <c r="N1636" s="10" t="s">
        <v>761</v>
      </c>
      <c r="O1636" s="10" t="s">
        <v>1873</v>
      </c>
      <c r="P1636" s="105" t="e">
        <f t="shared" si="25"/>
        <v>#DIV/0!</v>
      </c>
    </row>
    <row r="1637" spans="1:16">
      <c r="A1637" s="10" t="s">
        <v>635</v>
      </c>
      <c r="B1637" s="10">
        <v>8005584</v>
      </c>
      <c r="C1637" s="10" t="s">
        <v>759</v>
      </c>
      <c r="D1637" s="10" t="s">
        <v>760</v>
      </c>
      <c r="E1637" s="10">
        <v>0</v>
      </c>
      <c r="F1637" s="10">
        <v>0</v>
      </c>
      <c r="G1637" s="10">
        <v>0</v>
      </c>
      <c r="H1637" s="10">
        <v>0</v>
      </c>
      <c r="I1637" s="10" t="s">
        <v>21</v>
      </c>
      <c r="J1637" s="10">
        <v>0</v>
      </c>
      <c r="K1637" s="10">
        <v>0</v>
      </c>
      <c r="L1637" s="10">
        <v>0</v>
      </c>
      <c r="M1637" s="10">
        <v>0</v>
      </c>
      <c r="N1637" s="10" t="s">
        <v>761</v>
      </c>
      <c r="O1637" s="10" t="s">
        <v>1874</v>
      </c>
      <c r="P1637" s="105" t="e">
        <f t="shared" si="25"/>
        <v>#DIV/0!</v>
      </c>
    </row>
    <row r="1638" spans="1:16">
      <c r="A1638" s="10" t="s">
        <v>635</v>
      </c>
      <c r="B1638" s="10">
        <v>8005585</v>
      </c>
      <c r="C1638" s="10" t="s">
        <v>759</v>
      </c>
      <c r="D1638" s="10" t="s">
        <v>760</v>
      </c>
      <c r="E1638" s="10">
        <v>0</v>
      </c>
      <c r="F1638" s="10">
        <v>0</v>
      </c>
      <c r="G1638" s="10">
        <v>0</v>
      </c>
      <c r="H1638" s="10">
        <v>0</v>
      </c>
      <c r="I1638" s="10" t="s">
        <v>21</v>
      </c>
      <c r="J1638" s="10">
        <v>0</v>
      </c>
      <c r="K1638" s="10">
        <v>0</v>
      </c>
      <c r="L1638" s="10">
        <v>0</v>
      </c>
      <c r="M1638" s="10">
        <v>0</v>
      </c>
      <c r="N1638" s="10" t="s">
        <v>761</v>
      </c>
      <c r="O1638" s="10" t="s">
        <v>1875</v>
      </c>
      <c r="P1638" s="105" t="e">
        <f t="shared" si="25"/>
        <v>#DIV/0!</v>
      </c>
    </row>
    <row r="1639" spans="1:16">
      <c r="A1639" s="10" t="s">
        <v>635</v>
      </c>
      <c r="B1639" s="10">
        <v>8005864</v>
      </c>
      <c r="C1639" s="10" t="s">
        <v>759</v>
      </c>
      <c r="D1639" s="10" t="s">
        <v>760</v>
      </c>
      <c r="E1639" s="10">
        <v>0</v>
      </c>
      <c r="F1639" s="10">
        <v>350</v>
      </c>
      <c r="G1639" s="10">
        <v>0</v>
      </c>
      <c r="H1639" s="10">
        <v>350</v>
      </c>
      <c r="I1639" s="10" t="s">
        <v>21</v>
      </c>
      <c r="J1639" s="10">
        <v>0</v>
      </c>
      <c r="K1639" s="10">
        <v>677.18</v>
      </c>
      <c r="L1639" s="10">
        <v>0</v>
      </c>
      <c r="M1639" s="10">
        <v>677.18</v>
      </c>
      <c r="N1639" s="10" t="s">
        <v>761</v>
      </c>
      <c r="O1639" s="10" t="s">
        <v>241</v>
      </c>
      <c r="P1639" s="105">
        <f t="shared" si="25"/>
        <v>1.9348</v>
      </c>
    </row>
    <row r="1640" spans="1:16">
      <c r="A1640" s="10" t="s">
        <v>635</v>
      </c>
      <c r="B1640" s="10">
        <v>8006005</v>
      </c>
      <c r="C1640" s="10" t="s">
        <v>759</v>
      </c>
      <c r="D1640" s="10" t="s">
        <v>760</v>
      </c>
      <c r="E1640" s="10">
        <v>0</v>
      </c>
      <c r="F1640" s="10">
        <v>0</v>
      </c>
      <c r="G1640" s="10">
        <v>0</v>
      </c>
      <c r="H1640" s="10">
        <v>0</v>
      </c>
      <c r="I1640" s="10" t="s">
        <v>102</v>
      </c>
      <c r="J1640" s="10">
        <v>0</v>
      </c>
      <c r="K1640" s="10">
        <v>0</v>
      </c>
      <c r="L1640" s="10">
        <v>0</v>
      </c>
      <c r="M1640" s="10">
        <v>0</v>
      </c>
      <c r="N1640" s="10" t="s">
        <v>761</v>
      </c>
      <c r="O1640" s="10" t="s">
        <v>1876</v>
      </c>
      <c r="P1640" s="105" t="e">
        <f t="shared" si="25"/>
        <v>#DIV/0!</v>
      </c>
    </row>
    <row r="1641" spans="1:16">
      <c r="A1641" s="10" t="s">
        <v>635</v>
      </c>
      <c r="B1641" s="10">
        <v>8006649</v>
      </c>
      <c r="C1641" s="10" t="s">
        <v>759</v>
      </c>
      <c r="D1641" s="10" t="s">
        <v>760</v>
      </c>
      <c r="E1641" s="10">
        <v>0</v>
      </c>
      <c r="F1641" s="10">
        <v>0</v>
      </c>
      <c r="G1641" s="10">
        <v>0</v>
      </c>
      <c r="H1641" s="10">
        <v>0</v>
      </c>
      <c r="I1641" s="10" t="s">
        <v>21</v>
      </c>
      <c r="J1641" s="10">
        <v>0</v>
      </c>
      <c r="K1641" s="10">
        <v>0</v>
      </c>
      <c r="L1641" s="10">
        <v>0</v>
      </c>
      <c r="M1641" s="10">
        <v>0</v>
      </c>
      <c r="N1641" s="10" t="s">
        <v>761</v>
      </c>
      <c r="O1641" s="10" t="s">
        <v>1085</v>
      </c>
      <c r="P1641" s="105" t="e">
        <f t="shared" si="25"/>
        <v>#DIV/0!</v>
      </c>
    </row>
    <row r="1642" spans="1:16">
      <c r="A1642" s="10" t="s">
        <v>635</v>
      </c>
      <c r="B1642" s="10">
        <v>8006869</v>
      </c>
      <c r="C1642" s="10" t="s">
        <v>759</v>
      </c>
      <c r="D1642" s="10" t="s">
        <v>760</v>
      </c>
      <c r="E1642" s="10">
        <v>0</v>
      </c>
      <c r="F1642" s="10">
        <v>10</v>
      </c>
      <c r="G1642" s="10">
        <v>0</v>
      </c>
      <c r="H1642" s="10">
        <v>10</v>
      </c>
      <c r="I1642" s="10" t="s">
        <v>102</v>
      </c>
      <c r="J1642" s="10">
        <v>0</v>
      </c>
      <c r="K1642" s="10">
        <v>82.92</v>
      </c>
      <c r="L1642" s="10">
        <v>0</v>
      </c>
      <c r="M1642" s="10">
        <v>82.92</v>
      </c>
      <c r="N1642" s="10" t="s">
        <v>761</v>
      </c>
      <c r="O1642" s="10" t="s">
        <v>111</v>
      </c>
      <c r="P1642" s="105">
        <f t="shared" si="25"/>
        <v>8.292</v>
      </c>
    </row>
    <row r="1643" spans="1:16">
      <c r="A1643" s="10" t="s">
        <v>635</v>
      </c>
      <c r="B1643" s="10">
        <v>8006870</v>
      </c>
      <c r="C1643" s="10" t="s">
        <v>759</v>
      </c>
      <c r="D1643" s="10" t="s">
        <v>760</v>
      </c>
      <c r="E1643" s="10">
        <v>0</v>
      </c>
      <c r="F1643" s="10">
        <v>10</v>
      </c>
      <c r="G1643" s="10">
        <v>0</v>
      </c>
      <c r="H1643" s="10">
        <v>10</v>
      </c>
      <c r="I1643" s="10" t="s">
        <v>102</v>
      </c>
      <c r="J1643" s="10">
        <v>0</v>
      </c>
      <c r="K1643" s="10">
        <v>82.9</v>
      </c>
      <c r="L1643" s="10">
        <v>0</v>
      </c>
      <c r="M1643" s="10">
        <v>82.9</v>
      </c>
      <c r="N1643" s="10" t="s">
        <v>761</v>
      </c>
      <c r="O1643" s="10" t="s">
        <v>109</v>
      </c>
      <c r="P1643" s="105">
        <f t="shared" si="25"/>
        <v>8.29</v>
      </c>
    </row>
    <row r="1644" spans="1:16">
      <c r="A1644" s="10" t="s">
        <v>635</v>
      </c>
      <c r="B1644" s="10">
        <v>8006871</v>
      </c>
      <c r="C1644" s="10" t="s">
        <v>759</v>
      </c>
      <c r="D1644" s="10" t="s">
        <v>760</v>
      </c>
      <c r="E1644" s="10">
        <v>0</v>
      </c>
      <c r="F1644" s="10">
        <v>10</v>
      </c>
      <c r="G1644" s="10">
        <v>0</v>
      </c>
      <c r="H1644" s="10">
        <v>10</v>
      </c>
      <c r="I1644" s="10" t="s">
        <v>102</v>
      </c>
      <c r="J1644" s="10">
        <v>0</v>
      </c>
      <c r="K1644" s="10">
        <v>82.9</v>
      </c>
      <c r="L1644" s="10">
        <v>0</v>
      </c>
      <c r="M1644" s="10">
        <v>82.9</v>
      </c>
      <c r="N1644" s="10" t="s">
        <v>761</v>
      </c>
      <c r="O1644" s="10" t="s">
        <v>110</v>
      </c>
      <c r="P1644" s="105">
        <f t="shared" si="25"/>
        <v>8.29</v>
      </c>
    </row>
    <row r="1645" spans="1:16">
      <c r="A1645" s="10" t="s">
        <v>635</v>
      </c>
      <c r="B1645" s="10">
        <v>8006872</v>
      </c>
      <c r="C1645" s="10" t="s">
        <v>759</v>
      </c>
      <c r="D1645" s="10" t="s">
        <v>760</v>
      </c>
      <c r="E1645" s="10">
        <v>0</v>
      </c>
      <c r="F1645" s="10">
        <v>10</v>
      </c>
      <c r="G1645" s="10">
        <v>0</v>
      </c>
      <c r="H1645" s="10">
        <v>10</v>
      </c>
      <c r="I1645" s="10" t="s">
        <v>102</v>
      </c>
      <c r="J1645" s="10">
        <v>0</v>
      </c>
      <c r="K1645" s="10">
        <v>82.9</v>
      </c>
      <c r="L1645" s="10">
        <v>0</v>
      </c>
      <c r="M1645" s="10">
        <v>82.9</v>
      </c>
      <c r="N1645" s="10" t="s">
        <v>761</v>
      </c>
      <c r="O1645" s="10" t="s">
        <v>112</v>
      </c>
      <c r="P1645" s="105">
        <f t="shared" si="25"/>
        <v>8.29</v>
      </c>
    </row>
    <row r="1646" spans="1:16">
      <c r="A1646" s="10" t="s">
        <v>635</v>
      </c>
      <c r="B1646" s="10">
        <v>8006873</v>
      </c>
      <c r="C1646" s="10" t="s">
        <v>759</v>
      </c>
      <c r="D1646" s="10" t="s">
        <v>760</v>
      </c>
      <c r="E1646" s="10">
        <v>0</v>
      </c>
      <c r="F1646" s="10">
        <v>10</v>
      </c>
      <c r="G1646" s="10">
        <v>0</v>
      </c>
      <c r="H1646" s="10">
        <v>10</v>
      </c>
      <c r="I1646" s="10" t="s">
        <v>102</v>
      </c>
      <c r="J1646" s="10">
        <v>0</v>
      </c>
      <c r="K1646" s="10">
        <v>82.92</v>
      </c>
      <c r="L1646" s="10">
        <v>0</v>
      </c>
      <c r="M1646" s="10">
        <v>82.92</v>
      </c>
      <c r="N1646" s="10" t="s">
        <v>761</v>
      </c>
      <c r="O1646" s="10" t="s">
        <v>113</v>
      </c>
      <c r="P1646" s="105">
        <f t="shared" si="25"/>
        <v>8.292</v>
      </c>
    </row>
    <row r="1647" spans="1:16">
      <c r="A1647" s="10" t="s">
        <v>635</v>
      </c>
      <c r="B1647" s="10">
        <v>8006874</v>
      </c>
      <c r="C1647" s="10" t="s">
        <v>759</v>
      </c>
      <c r="D1647" s="10" t="s">
        <v>760</v>
      </c>
      <c r="E1647" s="10">
        <v>0</v>
      </c>
      <c r="F1647" s="10">
        <v>10</v>
      </c>
      <c r="G1647" s="10">
        <v>0</v>
      </c>
      <c r="H1647" s="10">
        <v>10</v>
      </c>
      <c r="I1647" s="10" t="s">
        <v>102</v>
      </c>
      <c r="J1647" s="10">
        <v>0</v>
      </c>
      <c r="K1647" s="10">
        <v>82.9</v>
      </c>
      <c r="L1647" s="10">
        <v>0</v>
      </c>
      <c r="M1647" s="10">
        <v>82.9</v>
      </c>
      <c r="N1647" s="10" t="s">
        <v>761</v>
      </c>
      <c r="O1647" s="10" t="s">
        <v>114</v>
      </c>
      <c r="P1647" s="105">
        <f t="shared" si="25"/>
        <v>8.29</v>
      </c>
    </row>
    <row r="1648" spans="1:16">
      <c r="A1648" s="10" t="s">
        <v>635</v>
      </c>
      <c r="B1648" s="10">
        <v>8006875</v>
      </c>
      <c r="C1648" s="10" t="s">
        <v>759</v>
      </c>
      <c r="D1648" s="10" t="s">
        <v>760</v>
      </c>
      <c r="E1648" s="10">
        <v>0</v>
      </c>
      <c r="F1648" s="10">
        <v>10</v>
      </c>
      <c r="G1648" s="10">
        <v>0</v>
      </c>
      <c r="H1648" s="10">
        <v>10</v>
      </c>
      <c r="I1648" s="10" t="s">
        <v>102</v>
      </c>
      <c r="J1648" s="10">
        <v>0</v>
      </c>
      <c r="K1648" s="10">
        <v>82.92</v>
      </c>
      <c r="L1648" s="10">
        <v>0</v>
      </c>
      <c r="M1648" s="10">
        <v>82.92</v>
      </c>
      <c r="N1648" s="10" t="s">
        <v>761</v>
      </c>
      <c r="O1648" s="10" t="s">
        <v>115</v>
      </c>
      <c r="P1648" s="105">
        <f t="shared" si="25"/>
        <v>8.292</v>
      </c>
    </row>
    <row r="1649" spans="1:16">
      <c r="A1649" s="10" t="s">
        <v>635</v>
      </c>
      <c r="B1649" s="10">
        <v>8006876</v>
      </c>
      <c r="C1649" s="10" t="s">
        <v>759</v>
      </c>
      <c r="D1649" s="10" t="s">
        <v>760</v>
      </c>
      <c r="E1649" s="10">
        <v>0</v>
      </c>
      <c r="F1649" s="10">
        <v>0</v>
      </c>
      <c r="G1649" s="10">
        <v>0</v>
      </c>
      <c r="H1649" s="10">
        <v>0</v>
      </c>
      <c r="I1649" s="10" t="s">
        <v>102</v>
      </c>
      <c r="J1649" s="10">
        <v>0</v>
      </c>
      <c r="K1649" s="10">
        <v>0</v>
      </c>
      <c r="L1649" s="10">
        <v>0</v>
      </c>
      <c r="M1649" s="10">
        <v>0</v>
      </c>
      <c r="N1649" s="10" t="s">
        <v>761</v>
      </c>
      <c r="O1649" s="10" t="s">
        <v>1877</v>
      </c>
      <c r="P1649" s="105" t="e">
        <f t="shared" si="25"/>
        <v>#DIV/0!</v>
      </c>
    </row>
    <row r="1650" spans="1:16">
      <c r="A1650" s="10" t="s">
        <v>635</v>
      </c>
      <c r="B1650" s="10">
        <v>8006878</v>
      </c>
      <c r="C1650" s="10" t="s">
        <v>759</v>
      </c>
      <c r="D1650" s="10" t="s">
        <v>760</v>
      </c>
      <c r="E1650" s="10">
        <v>0</v>
      </c>
      <c r="F1650" s="10">
        <v>0</v>
      </c>
      <c r="G1650" s="10">
        <v>0</v>
      </c>
      <c r="H1650" s="10">
        <v>0</v>
      </c>
      <c r="I1650" s="10" t="s">
        <v>102</v>
      </c>
      <c r="J1650" s="10">
        <v>0</v>
      </c>
      <c r="K1650" s="10">
        <v>0</v>
      </c>
      <c r="L1650" s="10">
        <v>0</v>
      </c>
      <c r="M1650" s="10">
        <v>0</v>
      </c>
      <c r="N1650" s="10" t="s">
        <v>761</v>
      </c>
      <c r="O1650" s="10" t="s">
        <v>1878</v>
      </c>
      <c r="P1650" s="105" t="e">
        <f t="shared" si="25"/>
        <v>#DIV/0!</v>
      </c>
    </row>
    <row r="1651" spans="1:16">
      <c r="A1651" s="10" t="s">
        <v>635</v>
      </c>
      <c r="B1651" s="10">
        <v>8006881</v>
      </c>
      <c r="C1651" s="10" t="s">
        <v>759</v>
      </c>
      <c r="D1651" s="10" t="s">
        <v>760</v>
      </c>
      <c r="E1651" s="10">
        <v>0</v>
      </c>
      <c r="F1651" s="10">
        <v>0</v>
      </c>
      <c r="G1651" s="10">
        <v>0</v>
      </c>
      <c r="H1651" s="10">
        <v>0</v>
      </c>
      <c r="I1651" s="10" t="s">
        <v>102</v>
      </c>
      <c r="J1651" s="10">
        <v>0</v>
      </c>
      <c r="K1651" s="10">
        <v>0</v>
      </c>
      <c r="L1651" s="10">
        <v>0</v>
      </c>
      <c r="M1651" s="10">
        <v>0</v>
      </c>
      <c r="N1651" s="10" t="s">
        <v>761</v>
      </c>
      <c r="O1651" s="10" t="s">
        <v>1879</v>
      </c>
      <c r="P1651" s="105" t="e">
        <f t="shared" si="25"/>
        <v>#DIV/0!</v>
      </c>
    </row>
    <row r="1652" spans="1:16">
      <c r="A1652" s="10" t="s">
        <v>635</v>
      </c>
      <c r="B1652" s="10">
        <v>8006882</v>
      </c>
      <c r="C1652" s="10" t="s">
        <v>759</v>
      </c>
      <c r="D1652" s="10" t="s">
        <v>760</v>
      </c>
      <c r="E1652" s="10">
        <v>0</v>
      </c>
      <c r="F1652" s="10">
        <v>0</v>
      </c>
      <c r="G1652" s="10">
        <v>0</v>
      </c>
      <c r="H1652" s="10">
        <v>0</v>
      </c>
      <c r="I1652" s="10" t="s">
        <v>102</v>
      </c>
      <c r="J1652" s="10">
        <v>0</v>
      </c>
      <c r="K1652" s="10">
        <v>0</v>
      </c>
      <c r="L1652" s="10">
        <v>0</v>
      </c>
      <c r="M1652" s="10">
        <v>0</v>
      </c>
      <c r="N1652" s="10" t="s">
        <v>761</v>
      </c>
      <c r="O1652" s="10" t="s">
        <v>1880</v>
      </c>
      <c r="P1652" s="105" t="e">
        <f t="shared" si="25"/>
        <v>#DIV/0!</v>
      </c>
    </row>
    <row r="1653" spans="1:16">
      <c r="A1653" s="10" t="s">
        <v>635</v>
      </c>
      <c r="B1653" s="10">
        <v>8007083</v>
      </c>
      <c r="C1653" s="10" t="s">
        <v>759</v>
      </c>
      <c r="D1653" s="10" t="s">
        <v>760</v>
      </c>
      <c r="E1653" s="10">
        <v>0</v>
      </c>
      <c r="F1653" s="10">
        <v>0</v>
      </c>
      <c r="G1653" s="10">
        <v>0</v>
      </c>
      <c r="H1653" s="10">
        <v>0</v>
      </c>
      <c r="I1653" s="10" t="s">
        <v>21</v>
      </c>
      <c r="J1653" s="10">
        <v>0</v>
      </c>
      <c r="K1653" s="10">
        <v>0</v>
      </c>
      <c r="L1653" s="10">
        <v>0</v>
      </c>
      <c r="M1653" s="10">
        <v>0</v>
      </c>
      <c r="N1653" s="10" t="s">
        <v>761</v>
      </c>
      <c r="O1653" s="10" t="s">
        <v>1881</v>
      </c>
      <c r="P1653" s="105" t="e">
        <f t="shared" si="25"/>
        <v>#DIV/0!</v>
      </c>
    </row>
    <row r="1654" spans="1:16">
      <c r="A1654" s="10" t="s">
        <v>635</v>
      </c>
      <c r="B1654" s="10">
        <v>8007089</v>
      </c>
      <c r="C1654" s="10" t="s">
        <v>759</v>
      </c>
      <c r="D1654" s="10" t="s">
        <v>760</v>
      </c>
      <c r="E1654" s="10">
        <v>0</v>
      </c>
      <c r="F1654" s="10">
        <v>0</v>
      </c>
      <c r="G1654" s="10">
        <v>0</v>
      </c>
      <c r="H1654" s="10">
        <v>0</v>
      </c>
      <c r="I1654" s="10" t="s">
        <v>21</v>
      </c>
      <c r="J1654" s="10">
        <v>0</v>
      </c>
      <c r="K1654" s="10">
        <v>0</v>
      </c>
      <c r="L1654" s="10">
        <v>0</v>
      </c>
      <c r="M1654" s="10">
        <v>0</v>
      </c>
      <c r="N1654" s="10" t="s">
        <v>761</v>
      </c>
      <c r="O1654" s="10" t="s">
        <v>1882</v>
      </c>
      <c r="P1654" s="105" t="e">
        <f t="shared" si="25"/>
        <v>#DIV/0!</v>
      </c>
    </row>
    <row r="1655" spans="1:16">
      <c r="A1655" s="10" t="s">
        <v>635</v>
      </c>
      <c r="B1655" s="10">
        <v>8007090</v>
      </c>
      <c r="C1655" s="10" t="s">
        <v>759</v>
      </c>
      <c r="D1655" s="10" t="s">
        <v>760</v>
      </c>
      <c r="E1655" s="10">
        <v>0</v>
      </c>
      <c r="F1655" s="10">
        <v>0</v>
      </c>
      <c r="G1655" s="10">
        <v>0</v>
      </c>
      <c r="H1655" s="10">
        <v>0</v>
      </c>
      <c r="I1655" s="10" t="s">
        <v>21</v>
      </c>
      <c r="J1655" s="10">
        <v>0</v>
      </c>
      <c r="K1655" s="10">
        <v>0</v>
      </c>
      <c r="L1655" s="10">
        <v>0</v>
      </c>
      <c r="M1655" s="10">
        <v>0</v>
      </c>
      <c r="N1655" s="10" t="s">
        <v>761</v>
      </c>
      <c r="O1655" s="10" t="s">
        <v>1883</v>
      </c>
      <c r="P1655" s="105" t="e">
        <f t="shared" si="25"/>
        <v>#DIV/0!</v>
      </c>
    </row>
    <row r="1656" spans="1:16">
      <c r="A1656" s="10" t="s">
        <v>635</v>
      </c>
      <c r="B1656" s="10">
        <v>8007135</v>
      </c>
      <c r="C1656" s="10" t="s">
        <v>759</v>
      </c>
      <c r="D1656" s="10" t="s">
        <v>760</v>
      </c>
      <c r="E1656" s="10">
        <v>0</v>
      </c>
      <c r="F1656" s="10">
        <v>0</v>
      </c>
      <c r="G1656" s="10">
        <v>0</v>
      </c>
      <c r="H1656" s="10">
        <v>0</v>
      </c>
      <c r="I1656" s="10" t="s">
        <v>21</v>
      </c>
      <c r="J1656" s="10">
        <v>0</v>
      </c>
      <c r="K1656" s="10">
        <v>0</v>
      </c>
      <c r="L1656" s="10">
        <v>0</v>
      </c>
      <c r="M1656" s="10">
        <v>0</v>
      </c>
      <c r="N1656" s="10" t="s">
        <v>761</v>
      </c>
      <c r="O1656" s="10" t="s">
        <v>1884</v>
      </c>
      <c r="P1656" s="105" t="e">
        <f t="shared" si="25"/>
        <v>#DIV/0!</v>
      </c>
    </row>
    <row r="1657" spans="1:16">
      <c r="A1657" s="10" t="s">
        <v>635</v>
      </c>
      <c r="B1657" s="10">
        <v>8007136</v>
      </c>
      <c r="C1657" s="10" t="s">
        <v>759</v>
      </c>
      <c r="D1657" s="10" t="s">
        <v>760</v>
      </c>
      <c r="E1657" s="10">
        <v>0</v>
      </c>
      <c r="F1657" s="10">
        <v>0</v>
      </c>
      <c r="G1657" s="10">
        <v>0</v>
      </c>
      <c r="H1657" s="10">
        <v>0</v>
      </c>
      <c r="I1657" s="10" t="s">
        <v>21</v>
      </c>
      <c r="J1657" s="10">
        <v>0</v>
      </c>
      <c r="K1657" s="10">
        <v>0</v>
      </c>
      <c r="L1657" s="10">
        <v>0</v>
      </c>
      <c r="M1657" s="10">
        <v>0</v>
      </c>
      <c r="N1657" s="10" t="s">
        <v>761</v>
      </c>
      <c r="O1657" s="10" t="s">
        <v>1214</v>
      </c>
      <c r="P1657" s="105" t="e">
        <f t="shared" si="25"/>
        <v>#DIV/0!</v>
      </c>
    </row>
    <row r="1658" spans="1:16">
      <c r="A1658" s="10" t="s">
        <v>635</v>
      </c>
      <c r="B1658" s="10">
        <v>8007550</v>
      </c>
      <c r="C1658" s="10" t="s">
        <v>759</v>
      </c>
      <c r="D1658" s="10" t="s">
        <v>760</v>
      </c>
      <c r="E1658" s="10">
        <v>0</v>
      </c>
      <c r="F1658" s="10">
        <v>0</v>
      </c>
      <c r="G1658" s="10">
        <v>0</v>
      </c>
      <c r="H1658" s="10">
        <v>0</v>
      </c>
      <c r="I1658" s="10" t="s">
        <v>21</v>
      </c>
      <c r="J1658" s="10">
        <v>0</v>
      </c>
      <c r="K1658" s="10">
        <v>0</v>
      </c>
      <c r="L1658" s="10">
        <v>0</v>
      </c>
      <c r="M1658" s="10">
        <v>0</v>
      </c>
      <c r="N1658" s="10" t="s">
        <v>761</v>
      </c>
      <c r="O1658" s="10" t="s">
        <v>1885</v>
      </c>
      <c r="P1658" s="105" t="e">
        <f t="shared" si="25"/>
        <v>#DIV/0!</v>
      </c>
    </row>
    <row r="1659" spans="1:16">
      <c r="A1659" s="10" t="s">
        <v>635</v>
      </c>
      <c r="B1659" s="10">
        <v>8007924</v>
      </c>
      <c r="C1659" s="10" t="s">
        <v>759</v>
      </c>
      <c r="D1659" s="10" t="s">
        <v>760</v>
      </c>
      <c r="E1659" s="10">
        <v>0</v>
      </c>
      <c r="F1659" s="10">
        <v>0</v>
      </c>
      <c r="G1659" s="10">
        <v>0</v>
      </c>
      <c r="H1659" s="10">
        <v>0</v>
      </c>
      <c r="I1659" s="10" t="s">
        <v>21</v>
      </c>
      <c r="J1659" s="10">
        <v>0</v>
      </c>
      <c r="K1659" s="10">
        <v>0</v>
      </c>
      <c r="L1659" s="10">
        <v>0</v>
      </c>
      <c r="M1659" s="10">
        <v>0</v>
      </c>
      <c r="N1659" s="10" t="s">
        <v>761</v>
      </c>
      <c r="O1659" s="10" t="s">
        <v>1886</v>
      </c>
      <c r="P1659" s="105" t="e">
        <f t="shared" si="25"/>
        <v>#DIV/0!</v>
      </c>
    </row>
    <row r="1660" spans="1:16">
      <c r="A1660" s="10" t="s">
        <v>635</v>
      </c>
      <c r="B1660" s="10">
        <v>8008315</v>
      </c>
      <c r="C1660" s="10" t="s">
        <v>759</v>
      </c>
      <c r="D1660" s="10" t="s">
        <v>760</v>
      </c>
      <c r="E1660" s="10">
        <v>0</v>
      </c>
      <c r="F1660" s="10">
        <v>0</v>
      </c>
      <c r="G1660" s="10">
        <v>0</v>
      </c>
      <c r="H1660" s="10">
        <v>0</v>
      </c>
      <c r="I1660" s="10" t="s">
        <v>21</v>
      </c>
      <c r="J1660" s="10">
        <v>0</v>
      </c>
      <c r="K1660" s="10">
        <v>0</v>
      </c>
      <c r="L1660" s="10">
        <v>0</v>
      </c>
      <c r="M1660" s="10">
        <v>0</v>
      </c>
      <c r="N1660" s="10" t="s">
        <v>761</v>
      </c>
      <c r="O1660" s="10" t="s">
        <v>1058</v>
      </c>
      <c r="P1660" s="105" t="e">
        <f t="shared" si="25"/>
        <v>#DIV/0!</v>
      </c>
    </row>
    <row r="1661" spans="1:16">
      <c r="A1661" s="10" t="s">
        <v>635</v>
      </c>
      <c r="B1661" s="10">
        <v>8008599</v>
      </c>
      <c r="C1661" s="10" t="s">
        <v>759</v>
      </c>
      <c r="D1661" s="10" t="s">
        <v>760</v>
      </c>
      <c r="E1661" s="10">
        <v>0</v>
      </c>
      <c r="F1661" s="10">
        <v>0</v>
      </c>
      <c r="G1661" s="10">
        <v>0</v>
      </c>
      <c r="H1661" s="10">
        <v>0</v>
      </c>
      <c r="I1661" s="10" t="s">
        <v>102</v>
      </c>
      <c r="J1661" s="10">
        <v>0</v>
      </c>
      <c r="K1661" s="10">
        <v>0</v>
      </c>
      <c r="L1661" s="10">
        <v>0</v>
      </c>
      <c r="M1661" s="10">
        <v>0</v>
      </c>
      <c r="N1661" s="10" t="s">
        <v>761</v>
      </c>
      <c r="O1661" s="10" t="s">
        <v>1800</v>
      </c>
      <c r="P1661" s="105" t="e">
        <f t="shared" si="25"/>
        <v>#DIV/0!</v>
      </c>
    </row>
    <row r="1662" spans="1:16">
      <c r="A1662" s="10" t="s">
        <v>635</v>
      </c>
      <c r="B1662" s="10">
        <v>8008600</v>
      </c>
      <c r="C1662" s="10" t="s">
        <v>759</v>
      </c>
      <c r="D1662" s="10" t="s">
        <v>760</v>
      </c>
      <c r="E1662" s="10">
        <v>0</v>
      </c>
      <c r="F1662" s="10">
        <v>0</v>
      </c>
      <c r="G1662" s="10">
        <v>0</v>
      </c>
      <c r="H1662" s="10">
        <v>0</v>
      </c>
      <c r="I1662" s="10" t="s">
        <v>102</v>
      </c>
      <c r="J1662" s="10">
        <v>0</v>
      </c>
      <c r="K1662" s="10">
        <v>0</v>
      </c>
      <c r="L1662" s="10">
        <v>0</v>
      </c>
      <c r="M1662" s="10">
        <v>0</v>
      </c>
      <c r="N1662" s="10" t="s">
        <v>761</v>
      </c>
      <c r="O1662" s="10" t="s">
        <v>1801</v>
      </c>
      <c r="P1662" s="105" t="e">
        <f t="shared" si="25"/>
        <v>#DIV/0!</v>
      </c>
    </row>
    <row r="1663" spans="1:16">
      <c r="A1663" s="10" t="s">
        <v>635</v>
      </c>
      <c r="B1663" s="10">
        <v>8008601</v>
      </c>
      <c r="C1663" s="10" t="s">
        <v>759</v>
      </c>
      <c r="D1663" s="10" t="s">
        <v>760</v>
      </c>
      <c r="E1663" s="10">
        <v>0</v>
      </c>
      <c r="F1663" s="10">
        <v>0</v>
      </c>
      <c r="G1663" s="10">
        <v>0</v>
      </c>
      <c r="H1663" s="10">
        <v>0</v>
      </c>
      <c r="I1663" s="10" t="s">
        <v>102</v>
      </c>
      <c r="J1663" s="10">
        <v>0</v>
      </c>
      <c r="K1663" s="10">
        <v>0</v>
      </c>
      <c r="L1663" s="10">
        <v>0</v>
      </c>
      <c r="M1663" s="10">
        <v>0</v>
      </c>
      <c r="N1663" s="10" t="s">
        <v>761</v>
      </c>
      <c r="O1663" s="10" t="s">
        <v>1802</v>
      </c>
      <c r="P1663" s="105" t="e">
        <f t="shared" si="25"/>
        <v>#DIV/0!</v>
      </c>
    </row>
    <row r="1664" spans="1:16">
      <c r="A1664" s="10" t="s">
        <v>635</v>
      </c>
      <c r="B1664" s="10">
        <v>8008602</v>
      </c>
      <c r="C1664" s="10" t="s">
        <v>759</v>
      </c>
      <c r="D1664" s="10" t="s">
        <v>760</v>
      </c>
      <c r="E1664" s="10">
        <v>0</v>
      </c>
      <c r="F1664" s="10">
        <v>0</v>
      </c>
      <c r="G1664" s="10">
        <v>0</v>
      </c>
      <c r="H1664" s="10">
        <v>0</v>
      </c>
      <c r="I1664" s="10" t="s">
        <v>102</v>
      </c>
      <c r="J1664" s="10">
        <v>0</v>
      </c>
      <c r="K1664" s="10">
        <v>0</v>
      </c>
      <c r="L1664" s="10">
        <v>0</v>
      </c>
      <c r="M1664" s="10">
        <v>0</v>
      </c>
      <c r="N1664" s="10" t="s">
        <v>761</v>
      </c>
      <c r="O1664" s="10" t="s">
        <v>1803</v>
      </c>
      <c r="P1664" s="105" t="e">
        <f t="shared" si="25"/>
        <v>#DIV/0!</v>
      </c>
    </row>
    <row r="1665" spans="1:16">
      <c r="A1665" s="10" t="s">
        <v>635</v>
      </c>
      <c r="B1665" s="10">
        <v>8008603</v>
      </c>
      <c r="C1665" s="10" t="s">
        <v>759</v>
      </c>
      <c r="D1665" s="10" t="s">
        <v>760</v>
      </c>
      <c r="E1665" s="10">
        <v>0</v>
      </c>
      <c r="F1665" s="10">
        <v>0</v>
      </c>
      <c r="G1665" s="10">
        <v>0</v>
      </c>
      <c r="H1665" s="10">
        <v>0</v>
      </c>
      <c r="I1665" s="10" t="s">
        <v>102</v>
      </c>
      <c r="J1665" s="10">
        <v>0</v>
      </c>
      <c r="K1665" s="10">
        <v>0</v>
      </c>
      <c r="L1665" s="10">
        <v>0</v>
      </c>
      <c r="M1665" s="10">
        <v>0</v>
      </c>
      <c r="N1665" s="10" t="s">
        <v>761</v>
      </c>
      <c r="O1665" s="10" t="s">
        <v>1265</v>
      </c>
      <c r="P1665" s="105" t="e">
        <f t="shared" si="25"/>
        <v>#DIV/0!</v>
      </c>
    </row>
    <row r="1666" spans="1:16">
      <c r="A1666" s="10" t="s">
        <v>635</v>
      </c>
      <c r="B1666" s="10">
        <v>8008628</v>
      </c>
      <c r="C1666" s="10" t="s">
        <v>759</v>
      </c>
      <c r="D1666" s="10" t="s">
        <v>760</v>
      </c>
      <c r="E1666" s="10">
        <v>0</v>
      </c>
      <c r="F1666" s="10">
        <v>0</v>
      </c>
      <c r="G1666" s="10">
        <v>0</v>
      </c>
      <c r="H1666" s="10">
        <v>0</v>
      </c>
      <c r="I1666" s="10" t="s">
        <v>41</v>
      </c>
      <c r="J1666" s="10">
        <v>0</v>
      </c>
      <c r="K1666" s="10">
        <v>0</v>
      </c>
      <c r="L1666" s="10">
        <v>0</v>
      </c>
      <c r="M1666" s="10">
        <v>0</v>
      </c>
      <c r="N1666" s="10" t="s">
        <v>761</v>
      </c>
      <c r="O1666" s="10" t="s">
        <v>1887</v>
      </c>
      <c r="P1666" s="105" t="e">
        <f t="shared" si="25"/>
        <v>#DIV/0!</v>
      </c>
    </row>
    <row r="1667" spans="1:16">
      <c r="A1667" s="10" t="s">
        <v>635</v>
      </c>
      <c r="B1667" s="10">
        <v>8008629</v>
      </c>
      <c r="C1667" s="10" t="s">
        <v>759</v>
      </c>
      <c r="D1667" s="10" t="s">
        <v>760</v>
      </c>
      <c r="E1667" s="10">
        <v>0</v>
      </c>
      <c r="F1667" s="10">
        <v>0</v>
      </c>
      <c r="G1667" s="10">
        <v>0</v>
      </c>
      <c r="H1667" s="10">
        <v>0</v>
      </c>
      <c r="I1667" s="10" t="s">
        <v>41</v>
      </c>
      <c r="J1667" s="10">
        <v>0</v>
      </c>
      <c r="K1667" s="10">
        <v>0</v>
      </c>
      <c r="L1667" s="10">
        <v>0</v>
      </c>
      <c r="M1667" s="10">
        <v>0</v>
      </c>
      <c r="N1667" s="10" t="s">
        <v>761</v>
      </c>
      <c r="O1667" s="10" t="s">
        <v>1888</v>
      </c>
      <c r="P1667" s="105" t="e">
        <f t="shared" ref="P1667:P1730" si="26">M1667/H1667</f>
        <v>#DIV/0!</v>
      </c>
    </row>
    <row r="1668" spans="1:16">
      <c r="A1668" s="10" t="s">
        <v>635</v>
      </c>
      <c r="B1668" s="10">
        <v>8008630</v>
      </c>
      <c r="C1668" s="10" t="s">
        <v>759</v>
      </c>
      <c r="D1668" s="10" t="s">
        <v>760</v>
      </c>
      <c r="E1668" s="10">
        <v>0</v>
      </c>
      <c r="F1668" s="10">
        <v>0</v>
      </c>
      <c r="G1668" s="10">
        <v>0</v>
      </c>
      <c r="H1668" s="10">
        <v>0</v>
      </c>
      <c r="I1668" s="10" t="s">
        <v>41</v>
      </c>
      <c r="J1668" s="10">
        <v>0</v>
      </c>
      <c r="K1668" s="10">
        <v>0</v>
      </c>
      <c r="L1668" s="10">
        <v>0</v>
      </c>
      <c r="M1668" s="10">
        <v>0</v>
      </c>
      <c r="N1668" s="10" t="s">
        <v>761</v>
      </c>
      <c r="O1668" s="10" t="s">
        <v>1889</v>
      </c>
      <c r="P1668" s="105" t="e">
        <f t="shared" si="26"/>
        <v>#DIV/0!</v>
      </c>
    </row>
    <row r="1669" spans="1:16">
      <c r="A1669" s="10" t="s">
        <v>635</v>
      </c>
      <c r="B1669" s="10">
        <v>8008636</v>
      </c>
      <c r="C1669" s="10" t="s">
        <v>759</v>
      </c>
      <c r="D1669" s="10" t="s">
        <v>760</v>
      </c>
      <c r="E1669" s="10">
        <v>0</v>
      </c>
      <c r="F1669" s="10">
        <v>0</v>
      </c>
      <c r="G1669" s="10">
        <v>0</v>
      </c>
      <c r="H1669" s="10">
        <v>0</v>
      </c>
      <c r="I1669" s="10" t="s">
        <v>102</v>
      </c>
      <c r="J1669" s="10">
        <v>0</v>
      </c>
      <c r="K1669" s="10">
        <v>0</v>
      </c>
      <c r="L1669" s="10">
        <v>0</v>
      </c>
      <c r="M1669" s="10">
        <v>0</v>
      </c>
      <c r="N1669" s="10" t="s">
        <v>761</v>
      </c>
      <c r="O1669" s="10" t="s">
        <v>1216</v>
      </c>
      <c r="P1669" s="105" t="e">
        <f t="shared" si="26"/>
        <v>#DIV/0!</v>
      </c>
    </row>
    <row r="1670" spans="1:16">
      <c r="A1670" s="10" t="s">
        <v>635</v>
      </c>
      <c r="B1670" s="10">
        <v>8008637</v>
      </c>
      <c r="C1670" s="10" t="s">
        <v>759</v>
      </c>
      <c r="D1670" s="10" t="s">
        <v>760</v>
      </c>
      <c r="E1670" s="10">
        <v>0</v>
      </c>
      <c r="F1670" s="10">
        <v>0</v>
      </c>
      <c r="G1670" s="10">
        <v>0</v>
      </c>
      <c r="H1670" s="10">
        <v>0</v>
      </c>
      <c r="I1670" s="10" t="s">
        <v>102</v>
      </c>
      <c r="J1670" s="10">
        <v>0</v>
      </c>
      <c r="K1670" s="10">
        <v>0</v>
      </c>
      <c r="L1670" s="10">
        <v>0</v>
      </c>
      <c r="M1670" s="10">
        <v>0</v>
      </c>
      <c r="N1670" s="10" t="s">
        <v>761</v>
      </c>
      <c r="O1670" s="10" t="s">
        <v>1217</v>
      </c>
      <c r="P1670" s="105" t="e">
        <f t="shared" si="26"/>
        <v>#DIV/0!</v>
      </c>
    </row>
    <row r="1671" spans="1:16">
      <c r="A1671" s="10" t="s">
        <v>635</v>
      </c>
      <c r="B1671" s="10">
        <v>8008655</v>
      </c>
      <c r="C1671" s="10" t="s">
        <v>759</v>
      </c>
      <c r="D1671" s="10" t="s">
        <v>760</v>
      </c>
      <c r="E1671" s="10">
        <v>0</v>
      </c>
      <c r="F1671" s="10">
        <v>0</v>
      </c>
      <c r="G1671" s="10">
        <v>0</v>
      </c>
      <c r="H1671" s="10">
        <v>0</v>
      </c>
      <c r="I1671" s="10" t="s">
        <v>102</v>
      </c>
      <c r="J1671" s="10">
        <v>0</v>
      </c>
      <c r="K1671" s="10">
        <v>0</v>
      </c>
      <c r="L1671" s="10">
        <v>0</v>
      </c>
      <c r="M1671" s="10">
        <v>0</v>
      </c>
      <c r="N1671" s="10" t="s">
        <v>761</v>
      </c>
      <c r="O1671" s="10" t="s">
        <v>1066</v>
      </c>
      <c r="P1671" s="105" t="e">
        <f t="shared" si="26"/>
        <v>#DIV/0!</v>
      </c>
    </row>
    <row r="1672" spans="1:16">
      <c r="A1672" s="10" t="s">
        <v>635</v>
      </c>
      <c r="B1672" s="10">
        <v>8008659</v>
      </c>
      <c r="C1672" s="10" t="s">
        <v>759</v>
      </c>
      <c r="D1672" s="10" t="s">
        <v>760</v>
      </c>
      <c r="E1672" s="10">
        <v>0</v>
      </c>
      <c r="F1672" s="10">
        <v>0</v>
      </c>
      <c r="G1672" s="10">
        <v>0</v>
      </c>
      <c r="H1672" s="10">
        <v>0</v>
      </c>
      <c r="I1672" s="10" t="s">
        <v>102</v>
      </c>
      <c r="J1672" s="10">
        <v>0</v>
      </c>
      <c r="K1672" s="10">
        <v>0</v>
      </c>
      <c r="L1672" s="10">
        <v>0</v>
      </c>
      <c r="M1672" s="10">
        <v>0</v>
      </c>
      <c r="N1672" s="10" t="s">
        <v>761</v>
      </c>
      <c r="O1672" s="10" t="s">
        <v>1120</v>
      </c>
      <c r="P1672" s="105" t="e">
        <f t="shared" si="26"/>
        <v>#DIV/0!</v>
      </c>
    </row>
    <row r="1673" spans="1:16">
      <c r="A1673" s="10" t="s">
        <v>635</v>
      </c>
      <c r="B1673" s="10">
        <v>8008670</v>
      </c>
      <c r="C1673" s="10" t="s">
        <v>759</v>
      </c>
      <c r="D1673" s="10" t="s">
        <v>760</v>
      </c>
      <c r="E1673" s="10">
        <v>0</v>
      </c>
      <c r="F1673" s="10">
        <v>0</v>
      </c>
      <c r="G1673" s="10">
        <v>0</v>
      </c>
      <c r="H1673" s="10">
        <v>0</v>
      </c>
      <c r="I1673" s="10" t="s">
        <v>26</v>
      </c>
      <c r="J1673" s="10">
        <v>0</v>
      </c>
      <c r="K1673" s="10">
        <v>0</v>
      </c>
      <c r="L1673" s="10">
        <v>0</v>
      </c>
      <c r="M1673" s="10">
        <v>0</v>
      </c>
      <c r="N1673" s="10" t="s">
        <v>761</v>
      </c>
      <c r="O1673" s="10" t="s">
        <v>1890</v>
      </c>
      <c r="P1673" s="105" t="e">
        <f t="shared" si="26"/>
        <v>#DIV/0!</v>
      </c>
    </row>
    <row r="1674" spans="1:16">
      <c r="A1674" s="10" t="s">
        <v>635</v>
      </c>
      <c r="B1674" s="10">
        <v>8008671</v>
      </c>
      <c r="C1674" s="10" t="s">
        <v>759</v>
      </c>
      <c r="D1674" s="10" t="s">
        <v>760</v>
      </c>
      <c r="E1674" s="10">
        <v>0</v>
      </c>
      <c r="F1674" s="10">
        <v>0</v>
      </c>
      <c r="G1674" s="10">
        <v>0</v>
      </c>
      <c r="H1674" s="10">
        <v>0</v>
      </c>
      <c r="I1674" s="10" t="s">
        <v>26</v>
      </c>
      <c r="J1674" s="10">
        <v>0</v>
      </c>
      <c r="K1674" s="10">
        <v>0</v>
      </c>
      <c r="L1674" s="10">
        <v>0</v>
      </c>
      <c r="M1674" s="10">
        <v>0</v>
      </c>
      <c r="N1674" s="10" t="s">
        <v>761</v>
      </c>
      <c r="O1674" s="10" t="s">
        <v>1891</v>
      </c>
      <c r="P1674" s="105" t="e">
        <f t="shared" si="26"/>
        <v>#DIV/0!</v>
      </c>
    </row>
    <row r="1675" spans="1:16">
      <c r="A1675" s="10" t="s">
        <v>635</v>
      </c>
      <c r="B1675" s="10">
        <v>8008672</v>
      </c>
      <c r="C1675" s="10" t="s">
        <v>759</v>
      </c>
      <c r="D1675" s="10" t="s">
        <v>760</v>
      </c>
      <c r="E1675" s="10">
        <v>0</v>
      </c>
      <c r="F1675" s="10">
        <v>0</v>
      </c>
      <c r="G1675" s="10">
        <v>0</v>
      </c>
      <c r="H1675" s="10">
        <v>0</v>
      </c>
      <c r="I1675" s="10" t="s">
        <v>26</v>
      </c>
      <c r="J1675" s="10">
        <v>0</v>
      </c>
      <c r="K1675" s="10">
        <v>0</v>
      </c>
      <c r="L1675" s="10">
        <v>0</v>
      </c>
      <c r="M1675" s="10">
        <v>0</v>
      </c>
      <c r="N1675" s="10" t="s">
        <v>761</v>
      </c>
      <c r="O1675" s="10" t="s">
        <v>1892</v>
      </c>
      <c r="P1675" s="105" t="e">
        <f t="shared" si="26"/>
        <v>#DIV/0!</v>
      </c>
    </row>
    <row r="1676" spans="1:16">
      <c r="A1676" s="10" t="s">
        <v>635</v>
      </c>
      <c r="B1676" s="10">
        <v>8008719</v>
      </c>
      <c r="C1676" s="10" t="s">
        <v>759</v>
      </c>
      <c r="D1676" s="10" t="s">
        <v>760</v>
      </c>
      <c r="E1676" s="10">
        <v>0</v>
      </c>
      <c r="F1676" s="10">
        <v>0</v>
      </c>
      <c r="G1676" s="10">
        <v>0</v>
      </c>
      <c r="H1676" s="10">
        <v>0</v>
      </c>
      <c r="I1676" s="10" t="s">
        <v>102</v>
      </c>
      <c r="J1676" s="10">
        <v>0</v>
      </c>
      <c r="K1676" s="10">
        <v>0</v>
      </c>
      <c r="L1676" s="10">
        <v>0</v>
      </c>
      <c r="M1676" s="10">
        <v>0</v>
      </c>
      <c r="N1676" s="10" t="s">
        <v>761</v>
      </c>
      <c r="O1676" s="10" t="s">
        <v>1796</v>
      </c>
      <c r="P1676" s="105" t="e">
        <f t="shared" si="26"/>
        <v>#DIV/0!</v>
      </c>
    </row>
    <row r="1677" spans="1:16">
      <c r="A1677" s="10" t="s">
        <v>635</v>
      </c>
      <c r="B1677" s="10">
        <v>8008720</v>
      </c>
      <c r="C1677" s="10" t="s">
        <v>759</v>
      </c>
      <c r="D1677" s="10" t="s">
        <v>760</v>
      </c>
      <c r="E1677" s="10">
        <v>0</v>
      </c>
      <c r="F1677" s="10">
        <v>0</v>
      </c>
      <c r="G1677" s="10">
        <v>0</v>
      </c>
      <c r="H1677" s="10">
        <v>0</v>
      </c>
      <c r="I1677" s="10" t="s">
        <v>102</v>
      </c>
      <c r="J1677" s="10">
        <v>0</v>
      </c>
      <c r="K1677" s="10">
        <v>0</v>
      </c>
      <c r="L1677" s="10">
        <v>0</v>
      </c>
      <c r="M1677" s="10">
        <v>0</v>
      </c>
      <c r="N1677" s="10" t="s">
        <v>761</v>
      </c>
      <c r="O1677" s="10" t="s">
        <v>1797</v>
      </c>
      <c r="P1677" s="105" t="e">
        <f t="shared" si="26"/>
        <v>#DIV/0!</v>
      </c>
    </row>
    <row r="1678" spans="1:16">
      <c r="A1678" s="10" t="s">
        <v>635</v>
      </c>
      <c r="B1678" s="10">
        <v>8008721</v>
      </c>
      <c r="C1678" s="10" t="s">
        <v>759</v>
      </c>
      <c r="D1678" s="10" t="s">
        <v>760</v>
      </c>
      <c r="E1678" s="10">
        <v>0</v>
      </c>
      <c r="F1678" s="10">
        <v>0</v>
      </c>
      <c r="G1678" s="10">
        <v>0</v>
      </c>
      <c r="H1678" s="10">
        <v>0</v>
      </c>
      <c r="I1678" s="10" t="s">
        <v>102</v>
      </c>
      <c r="J1678" s="10">
        <v>0</v>
      </c>
      <c r="K1678" s="10">
        <v>0</v>
      </c>
      <c r="L1678" s="10">
        <v>0</v>
      </c>
      <c r="M1678" s="10">
        <v>0</v>
      </c>
      <c r="N1678" s="10" t="s">
        <v>761</v>
      </c>
      <c r="O1678" s="10" t="s">
        <v>1798</v>
      </c>
      <c r="P1678" s="105" t="e">
        <f t="shared" si="26"/>
        <v>#DIV/0!</v>
      </c>
    </row>
    <row r="1679" spans="1:16">
      <c r="A1679" s="10" t="s">
        <v>635</v>
      </c>
      <c r="B1679" s="10">
        <v>8008722</v>
      </c>
      <c r="C1679" s="10" t="s">
        <v>759</v>
      </c>
      <c r="D1679" s="10" t="s">
        <v>760</v>
      </c>
      <c r="E1679" s="10">
        <v>50</v>
      </c>
      <c r="F1679" s="10">
        <v>0</v>
      </c>
      <c r="G1679" s="10">
        <v>0</v>
      </c>
      <c r="H1679" s="10">
        <v>50</v>
      </c>
      <c r="I1679" s="10" t="s">
        <v>89</v>
      </c>
      <c r="J1679" s="10">
        <v>107.65</v>
      </c>
      <c r="K1679" s="10">
        <v>0</v>
      </c>
      <c r="L1679" s="10">
        <v>0</v>
      </c>
      <c r="M1679" s="10">
        <v>107.65</v>
      </c>
      <c r="N1679" s="10" t="s">
        <v>761</v>
      </c>
      <c r="O1679" s="10" t="s">
        <v>87</v>
      </c>
      <c r="P1679" s="105">
        <f t="shared" si="26"/>
        <v>2.153</v>
      </c>
    </row>
    <row r="1680" spans="1:16">
      <c r="A1680" s="10" t="s">
        <v>635</v>
      </c>
      <c r="B1680" s="10">
        <v>8008728</v>
      </c>
      <c r="C1680" s="10" t="s">
        <v>759</v>
      </c>
      <c r="D1680" s="10" t="s">
        <v>760</v>
      </c>
      <c r="E1680" s="10">
        <v>0</v>
      </c>
      <c r="F1680" s="10">
        <v>0</v>
      </c>
      <c r="G1680" s="10">
        <v>0</v>
      </c>
      <c r="H1680" s="10">
        <v>0</v>
      </c>
      <c r="I1680" s="10" t="s">
        <v>102</v>
      </c>
      <c r="J1680" s="10">
        <v>0</v>
      </c>
      <c r="K1680" s="10">
        <v>0</v>
      </c>
      <c r="L1680" s="10">
        <v>0</v>
      </c>
      <c r="M1680" s="10">
        <v>0</v>
      </c>
      <c r="N1680" s="10" t="s">
        <v>761</v>
      </c>
      <c r="O1680" s="10" t="s">
        <v>1118</v>
      </c>
      <c r="P1680" s="105" t="e">
        <f t="shared" si="26"/>
        <v>#DIV/0!</v>
      </c>
    </row>
    <row r="1681" spans="1:16">
      <c r="A1681" s="10" t="s">
        <v>635</v>
      </c>
      <c r="B1681" s="10">
        <v>8008729</v>
      </c>
      <c r="C1681" s="10" t="s">
        <v>759</v>
      </c>
      <c r="D1681" s="10" t="s">
        <v>760</v>
      </c>
      <c r="E1681" s="10">
        <v>0</v>
      </c>
      <c r="F1681" s="10">
        <v>0</v>
      </c>
      <c r="G1681" s="10">
        <v>0</v>
      </c>
      <c r="H1681" s="10">
        <v>0</v>
      </c>
      <c r="I1681" s="10" t="s">
        <v>102</v>
      </c>
      <c r="J1681" s="10">
        <v>0</v>
      </c>
      <c r="K1681" s="10">
        <v>0</v>
      </c>
      <c r="L1681" s="10">
        <v>0</v>
      </c>
      <c r="M1681" s="10">
        <v>0</v>
      </c>
      <c r="N1681" s="10" t="s">
        <v>761</v>
      </c>
      <c r="O1681" s="10" t="s">
        <v>1073</v>
      </c>
      <c r="P1681" s="105" t="e">
        <f t="shared" si="26"/>
        <v>#DIV/0!</v>
      </c>
    </row>
    <row r="1682" spans="1:16">
      <c r="A1682" s="10" t="s">
        <v>635</v>
      </c>
      <c r="B1682" s="10">
        <v>8008730</v>
      </c>
      <c r="C1682" s="10" t="s">
        <v>759</v>
      </c>
      <c r="D1682" s="10" t="s">
        <v>760</v>
      </c>
      <c r="E1682" s="10">
        <v>0</v>
      </c>
      <c r="F1682" s="10">
        <v>0</v>
      </c>
      <c r="G1682" s="10">
        <v>0</v>
      </c>
      <c r="H1682" s="10">
        <v>0</v>
      </c>
      <c r="I1682" s="10" t="s">
        <v>102</v>
      </c>
      <c r="J1682" s="10">
        <v>0</v>
      </c>
      <c r="K1682" s="10">
        <v>0</v>
      </c>
      <c r="L1682" s="10">
        <v>0</v>
      </c>
      <c r="M1682" s="10">
        <v>0</v>
      </c>
      <c r="N1682" s="10" t="s">
        <v>761</v>
      </c>
      <c r="O1682" s="10" t="s">
        <v>1071</v>
      </c>
      <c r="P1682" s="105" t="e">
        <f t="shared" si="26"/>
        <v>#DIV/0!</v>
      </c>
    </row>
    <row r="1683" spans="1:16">
      <c r="A1683" s="10" t="s">
        <v>635</v>
      </c>
      <c r="B1683" s="10">
        <v>8008731</v>
      </c>
      <c r="C1683" s="10" t="s">
        <v>759</v>
      </c>
      <c r="D1683" s="10" t="s">
        <v>760</v>
      </c>
      <c r="E1683" s="10">
        <v>0</v>
      </c>
      <c r="F1683" s="10">
        <v>0</v>
      </c>
      <c r="G1683" s="10">
        <v>0</v>
      </c>
      <c r="H1683" s="10">
        <v>0</v>
      </c>
      <c r="I1683" s="10" t="s">
        <v>102</v>
      </c>
      <c r="J1683" s="10">
        <v>0</v>
      </c>
      <c r="K1683" s="10">
        <v>0</v>
      </c>
      <c r="L1683" s="10">
        <v>0</v>
      </c>
      <c r="M1683" s="10">
        <v>0</v>
      </c>
      <c r="N1683" s="10" t="s">
        <v>761</v>
      </c>
      <c r="O1683" s="10" t="s">
        <v>1072</v>
      </c>
      <c r="P1683" s="105" t="e">
        <f t="shared" si="26"/>
        <v>#DIV/0!</v>
      </c>
    </row>
    <row r="1684" spans="1:16">
      <c r="A1684" s="10" t="s">
        <v>635</v>
      </c>
      <c r="B1684" s="10">
        <v>8008732</v>
      </c>
      <c r="C1684" s="10" t="s">
        <v>759</v>
      </c>
      <c r="D1684" s="10" t="s">
        <v>760</v>
      </c>
      <c r="E1684" s="10">
        <v>0</v>
      </c>
      <c r="F1684" s="10">
        <v>0</v>
      </c>
      <c r="G1684" s="10">
        <v>0</v>
      </c>
      <c r="H1684" s="10">
        <v>0</v>
      </c>
      <c r="I1684" s="10" t="s">
        <v>102</v>
      </c>
      <c r="J1684" s="10">
        <v>0</v>
      </c>
      <c r="K1684" s="10">
        <v>0</v>
      </c>
      <c r="L1684" s="10">
        <v>0</v>
      </c>
      <c r="M1684" s="10">
        <v>0</v>
      </c>
      <c r="N1684" s="10" t="s">
        <v>761</v>
      </c>
      <c r="O1684" s="10" t="s">
        <v>1130</v>
      </c>
      <c r="P1684" s="105" t="e">
        <f t="shared" si="26"/>
        <v>#DIV/0!</v>
      </c>
    </row>
    <row r="1685" spans="1:16">
      <c r="A1685" s="10" t="s">
        <v>635</v>
      </c>
      <c r="B1685" s="10">
        <v>8008733</v>
      </c>
      <c r="C1685" s="10" t="s">
        <v>759</v>
      </c>
      <c r="D1685" s="10" t="s">
        <v>760</v>
      </c>
      <c r="E1685" s="10">
        <v>0</v>
      </c>
      <c r="F1685" s="10">
        <v>0</v>
      </c>
      <c r="G1685" s="10">
        <v>0</v>
      </c>
      <c r="H1685" s="10">
        <v>0</v>
      </c>
      <c r="I1685" s="10" t="s">
        <v>102</v>
      </c>
      <c r="J1685" s="10">
        <v>0</v>
      </c>
      <c r="K1685" s="10">
        <v>0</v>
      </c>
      <c r="L1685" s="10">
        <v>0</v>
      </c>
      <c r="M1685" s="10">
        <v>0</v>
      </c>
      <c r="N1685" s="10" t="s">
        <v>761</v>
      </c>
      <c r="O1685" s="10" t="s">
        <v>1165</v>
      </c>
      <c r="P1685" s="105" t="e">
        <f t="shared" si="26"/>
        <v>#DIV/0!</v>
      </c>
    </row>
    <row r="1686" spans="1:16">
      <c r="A1686" s="10" t="s">
        <v>635</v>
      </c>
      <c r="B1686" s="10">
        <v>8008734</v>
      </c>
      <c r="C1686" s="10" t="s">
        <v>759</v>
      </c>
      <c r="D1686" s="10" t="s">
        <v>760</v>
      </c>
      <c r="E1686" s="10">
        <v>0</v>
      </c>
      <c r="F1686" s="10">
        <v>0</v>
      </c>
      <c r="G1686" s="10">
        <v>0</v>
      </c>
      <c r="H1686" s="10">
        <v>0</v>
      </c>
      <c r="I1686" s="10" t="s">
        <v>102</v>
      </c>
      <c r="J1686" s="10">
        <v>0</v>
      </c>
      <c r="K1686" s="10">
        <v>0</v>
      </c>
      <c r="L1686" s="10">
        <v>0</v>
      </c>
      <c r="M1686" s="10">
        <v>0</v>
      </c>
      <c r="N1686" s="10" t="s">
        <v>761</v>
      </c>
      <c r="O1686" s="10" t="s">
        <v>1074</v>
      </c>
      <c r="P1686" s="105" t="e">
        <f t="shared" si="26"/>
        <v>#DIV/0!</v>
      </c>
    </row>
    <row r="1687" spans="1:16">
      <c r="A1687" s="10" t="s">
        <v>635</v>
      </c>
      <c r="B1687" s="10">
        <v>8008741</v>
      </c>
      <c r="C1687" s="10" t="s">
        <v>759</v>
      </c>
      <c r="D1687" s="10" t="s">
        <v>760</v>
      </c>
      <c r="E1687" s="10">
        <v>0</v>
      </c>
      <c r="F1687" s="10">
        <v>0</v>
      </c>
      <c r="G1687" s="10">
        <v>0</v>
      </c>
      <c r="H1687" s="10">
        <v>0</v>
      </c>
      <c r="I1687" s="10" t="s">
        <v>102</v>
      </c>
      <c r="J1687" s="10">
        <v>0</v>
      </c>
      <c r="K1687" s="10">
        <v>0</v>
      </c>
      <c r="L1687" s="10">
        <v>0</v>
      </c>
      <c r="M1687" s="10">
        <v>0</v>
      </c>
      <c r="N1687" s="10" t="s">
        <v>761</v>
      </c>
      <c r="O1687" s="10" t="s">
        <v>1077</v>
      </c>
      <c r="P1687" s="105" t="e">
        <f t="shared" si="26"/>
        <v>#DIV/0!</v>
      </c>
    </row>
    <row r="1688" spans="1:16">
      <c r="A1688" s="10" t="s">
        <v>635</v>
      </c>
      <c r="B1688" s="10">
        <v>8008742</v>
      </c>
      <c r="C1688" s="10" t="s">
        <v>759</v>
      </c>
      <c r="D1688" s="10" t="s">
        <v>760</v>
      </c>
      <c r="E1688" s="10">
        <v>0</v>
      </c>
      <c r="F1688" s="10">
        <v>0</v>
      </c>
      <c r="G1688" s="10">
        <v>0</v>
      </c>
      <c r="H1688" s="10">
        <v>0</v>
      </c>
      <c r="I1688" s="10" t="s">
        <v>102</v>
      </c>
      <c r="J1688" s="10">
        <v>0</v>
      </c>
      <c r="K1688" s="10">
        <v>0</v>
      </c>
      <c r="L1688" s="10">
        <v>0</v>
      </c>
      <c r="M1688" s="10">
        <v>0</v>
      </c>
      <c r="N1688" s="10" t="s">
        <v>761</v>
      </c>
      <c r="O1688" s="10" t="s">
        <v>1080</v>
      </c>
      <c r="P1688" s="105" t="e">
        <f t="shared" si="26"/>
        <v>#DIV/0!</v>
      </c>
    </row>
    <row r="1689" spans="1:16">
      <c r="A1689" s="10" t="s">
        <v>635</v>
      </c>
      <c r="B1689" s="10">
        <v>8008743</v>
      </c>
      <c r="C1689" s="10" t="s">
        <v>759</v>
      </c>
      <c r="D1689" s="10" t="s">
        <v>760</v>
      </c>
      <c r="E1689" s="10">
        <v>0</v>
      </c>
      <c r="F1689" s="10">
        <v>0</v>
      </c>
      <c r="G1689" s="10">
        <v>0</v>
      </c>
      <c r="H1689" s="10">
        <v>0</v>
      </c>
      <c r="I1689" s="10" t="s">
        <v>102</v>
      </c>
      <c r="J1689" s="10">
        <v>0</v>
      </c>
      <c r="K1689" s="10">
        <v>0</v>
      </c>
      <c r="L1689" s="10">
        <v>0</v>
      </c>
      <c r="M1689" s="10">
        <v>0</v>
      </c>
      <c r="N1689" s="10" t="s">
        <v>761</v>
      </c>
      <c r="O1689" s="10" t="s">
        <v>1081</v>
      </c>
      <c r="P1689" s="105" t="e">
        <f t="shared" si="26"/>
        <v>#DIV/0!</v>
      </c>
    </row>
    <row r="1690" spans="1:16">
      <c r="A1690" s="10" t="s">
        <v>635</v>
      </c>
      <c r="B1690" s="10">
        <v>8008744</v>
      </c>
      <c r="C1690" s="10" t="s">
        <v>759</v>
      </c>
      <c r="D1690" s="10" t="s">
        <v>760</v>
      </c>
      <c r="E1690" s="10">
        <v>0</v>
      </c>
      <c r="F1690" s="10">
        <v>0</v>
      </c>
      <c r="G1690" s="10">
        <v>0</v>
      </c>
      <c r="H1690" s="10">
        <v>0</v>
      </c>
      <c r="I1690" s="10" t="s">
        <v>102</v>
      </c>
      <c r="J1690" s="10">
        <v>0</v>
      </c>
      <c r="K1690" s="10">
        <v>0</v>
      </c>
      <c r="L1690" s="10">
        <v>0</v>
      </c>
      <c r="M1690" s="10">
        <v>0</v>
      </c>
      <c r="N1690" s="10" t="s">
        <v>761</v>
      </c>
      <c r="O1690" s="10" t="s">
        <v>1131</v>
      </c>
      <c r="P1690" s="105" t="e">
        <f t="shared" si="26"/>
        <v>#DIV/0!</v>
      </c>
    </row>
    <row r="1691" spans="1:16">
      <c r="A1691" s="10" t="s">
        <v>635</v>
      </c>
      <c r="B1691" s="10">
        <v>8008745</v>
      </c>
      <c r="C1691" s="10" t="s">
        <v>759</v>
      </c>
      <c r="D1691" s="10" t="s">
        <v>760</v>
      </c>
      <c r="E1691" s="10">
        <v>0</v>
      </c>
      <c r="F1691" s="10">
        <v>0</v>
      </c>
      <c r="G1691" s="10">
        <v>0</v>
      </c>
      <c r="H1691" s="10">
        <v>0</v>
      </c>
      <c r="I1691" s="10" t="s">
        <v>102</v>
      </c>
      <c r="J1691" s="10">
        <v>0</v>
      </c>
      <c r="K1691" s="10">
        <v>0</v>
      </c>
      <c r="L1691" s="10">
        <v>0</v>
      </c>
      <c r="M1691" s="10">
        <v>0</v>
      </c>
      <c r="N1691" s="10" t="s">
        <v>761</v>
      </c>
      <c r="O1691" s="10" t="s">
        <v>1893</v>
      </c>
      <c r="P1691" s="105" t="e">
        <f t="shared" si="26"/>
        <v>#DIV/0!</v>
      </c>
    </row>
    <row r="1692" spans="1:16">
      <c r="A1692" s="10" t="s">
        <v>635</v>
      </c>
      <c r="B1692" s="10">
        <v>8008748</v>
      </c>
      <c r="C1692" s="10" t="s">
        <v>759</v>
      </c>
      <c r="D1692" s="10" t="s">
        <v>760</v>
      </c>
      <c r="E1692" s="10">
        <v>0</v>
      </c>
      <c r="F1692" s="10">
        <v>0</v>
      </c>
      <c r="G1692" s="10">
        <v>0</v>
      </c>
      <c r="H1692" s="10">
        <v>0</v>
      </c>
      <c r="I1692" s="10" t="s">
        <v>26</v>
      </c>
      <c r="J1692" s="10">
        <v>0</v>
      </c>
      <c r="K1692" s="10">
        <v>0</v>
      </c>
      <c r="L1692" s="10">
        <v>0</v>
      </c>
      <c r="M1692" s="10">
        <v>0</v>
      </c>
      <c r="N1692" s="10" t="s">
        <v>761</v>
      </c>
      <c r="O1692" s="10" t="s">
        <v>1894</v>
      </c>
      <c r="P1692" s="105" t="e">
        <f t="shared" si="26"/>
        <v>#DIV/0!</v>
      </c>
    </row>
    <row r="1693" spans="1:16">
      <c r="A1693" s="10" t="s">
        <v>635</v>
      </c>
      <c r="B1693" s="10">
        <v>8008768</v>
      </c>
      <c r="C1693" s="10" t="s">
        <v>759</v>
      </c>
      <c r="D1693" s="10" t="s">
        <v>760</v>
      </c>
      <c r="E1693" s="10">
        <v>0</v>
      </c>
      <c r="F1693" s="10">
        <v>0</v>
      </c>
      <c r="G1693" s="10">
        <v>0</v>
      </c>
      <c r="H1693" s="10">
        <v>0</v>
      </c>
      <c r="I1693" s="10" t="s">
        <v>41</v>
      </c>
      <c r="J1693" s="10">
        <v>0</v>
      </c>
      <c r="K1693" s="10">
        <v>0</v>
      </c>
      <c r="L1693" s="10">
        <v>0</v>
      </c>
      <c r="M1693" s="10">
        <v>0</v>
      </c>
      <c r="N1693" s="10" t="s">
        <v>761</v>
      </c>
      <c r="O1693" s="10" t="s">
        <v>1227</v>
      </c>
      <c r="P1693" s="105" t="e">
        <f t="shared" si="26"/>
        <v>#DIV/0!</v>
      </c>
    </row>
    <row r="1694" spans="1:16">
      <c r="A1694" s="10" t="s">
        <v>635</v>
      </c>
      <c r="B1694" s="10">
        <v>8008774</v>
      </c>
      <c r="C1694" s="10" t="s">
        <v>759</v>
      </c>
      <c r="D1694" s="10" t="s">
        <v>760</v>
      </c>
      <c r="E1694" s="10">
        <v>0</v>
      </c>
      <c r="F1694" s="10">
        <v>0</v>
      </c>
      <c r="G1694" s="10">
        <v>0</v>
      </c>
      <c r="H1694" s="10">
        <v>0</v>
      </c>
      <c r="I1694" s="10" t="s">
        <v>102</v>
      </c>
      <c r="J1694" s="10">
        <v>0</v>
      </c>
      <c r="K1694" s="10">
        <v>0</v>
      </c>
      <c r="L1694" s="10">
        <v>0</v>
      </c>
      <c r="M1694" s="10">
        <v>0</v>
      </c>
      <c r="N1694" s="10" t="s">
        <v>761</v>
      </c>
      <c r="O1694" s="10" t="s">
        <v>1218</v>
      </c>
      <c r="P1694" s="105" t="e">
        <f t="shared" si="26"/>
        <v>#DIV/0!</v>
      </c>
    </row>
    <row r="1695" spans="1:16">
      <c r="A1695" s="10" t="s">
        <v>635</v>
      </c>
      <c r="B1695" s="10">
        <v>8008775</v>
      </c>
      <c r="C1695" s="10" t="s">
        <v>759</v>
      </c>
      <c r="D1695" s="10" t="s">
        <v>760</v>
      </c>
      <c r="E1695" s="10">
        <v>0</v>
      </c>
      <c r="F1695" s="10">
        <v>0</v>
      </c>
      <c r="G1695" s="10">
        <v>0</v>
      </c>
      <c r="H1695" s="10">
        <v>0</v>
      </c>
      <c r="I1695" s="10" t="s">
        <v>102</v>
      </c>
      <c r="J1695" s="10">
        <v>0</v>
      </c>
      <c r="K1695" s="10">
        <v>0</v>
      </c>
      <c r="L1695" s="10">
        <v>0</v>
      </c>
      <c r="M1695" s="10">
        <v>0</v>
      </c>
      <c r="N1695" s="10" t="s">
        <v>761</v>
      </c>
      <c r="O1695" s="10" t="s">
        <v>1219</v>
      </c>
      <c r="P1695" s="105" t="e">
        <f t="shared" si="26"/>
        <v>#DIV/0!</v>
      </c>
    </row>
    <row r="1696" spans="1:16">
      <c r="A1696" s="10" t="s">
        <v>635</v>
      </c>
      <c r="B1696" s="10">
        <v>8008776</v>
      </c>
      <c r="C1696" s="10" t="s">
        <v>759</v>
      </c>
      <c r="D1696" s="10" t="s">
        <v>760</v>
      </c>
      <c r="E1696" s="10">
        <v>0</v>
      </c>
      <c r="F1696" s="10">
        <v>0</v>
      </c>
      <c r="G1696" s="10">
        <v>0</v>
      </c>
      <c r="H1696" s="10">
        <v>0</v>
      </c>
      <c r="I1696" s="10" t="s">
        <v>102</v>
      </c>
      <c r="J1696" s="10">
        <v>0</v>
      </c>
      <c r="K1696" s="10">
        <v>0</v>
      </c>
      <c r="L1696" s="10">
        <v>0</v>
      </c>
      <c r="M1696" s="10">
        <v>0</v>
      </c>
      <c r="N1696" s="10" t="s">
        <v>761</v>
      </c>
      <c r="O1696" s="10" t="s">
        <v>1220</v>
      </c>
      <c r="P1696" s="105" t="e">
        <f t="shared" si="26"/>
        <v>#DIV/0!</v>
      </c>
    </row>
    <row r="1697" spans="1:16">
      <c r="A1697" s="10" t="s">
        <v>635</v>
      </c>
      <c r="B1697" s="10">
        <v>8008778</v>
      </c>
      <c r="C1697" s="10" t="s">
        <v>759</v>
      </c>
      <c r="D1697" s="10" t="s">
        <v>760</v>
      </c>
      <c r="E1697" s="10">
        <v>0</v>
      </c>
      <c r="F1697" s="10">
        <v>0</v>
      </c>
      <c r="G1697" s="10">
        <v>0</v>
      </c>
      <c r="H1697" s="10">
        <v>0</v>
      </c>
      <c r="I1697" s="10" t="s">
        <v>102</v>
      </c>
      <c r="J1697" s="10">
        <v>0</v>
      </c>
      <c r="K1697" s="10">
        <v>0</v>
      </c>
      <c r="L1697" s="10">
        <v>0</v>
      </c>
      <c r="M1697" s="10">
        <v>0</v>
      </c>
      <c r="N1697" s="10" t="s">
        <v>761</v>
      </c>
      <c r="O1697" s="10" t="s">
        <v>1222</v>
      </c>
      <c r="P1697" s="105" t="e">
        <f t="shared" si="26"/>
        <v>#DIV/0!</v>
      </c>
    </row>
    <row r="1698" spans="1:16">
      <c r="A1698" s="10" t="s">
        <v>635</v>
      </c>
      <c r="B1698" s="10">
        <v>8008779</v>
      </c>
      <c r="C1698" s="10" t="s">
        <v>759</v>
      </c>
      <c r="D1698" s="10" t="s">
        <v>760</v>
      </c>
      <c r="E1698" s="10">
        <v>0</v>
      </c>
      <c r="F1698" s="10">
        <v>0</v>
      </c>
      <c r="G1698" s="10">
        <v>0</v>
      </c>
      <c r="H1698" s="10">
        <v>0</v>
      </c>
      <c r="I1698" s="10" t="s">
        <v>102</v>
      </c>
      <c r="J1698" s="10">
        <v>0</v>
      </c>
      <c r="K1698" s="10">
        <v>0</v>
      </c>
      <c r="L1698" s="10">
        <v>0</v>
      </c>
      <c r="M1698" s="10">
        <v>0</v>
      </c>
      <c r="N1698" s="10" t="s">
        <v>761</v>
      </c>
      <c r="O1698" s="10" t="s">
        <v>1223</v>
      </c>
      <c r="P1698" s="105" t="e">
        <f t="shared" si="26"/>
        <v>#DIV/0!</v>
      </c>
    </row>
    <row r="1699" spans="1:16">
      <c r="A1699" s="10" t="s">
        <v>635</v>
      </c>
      <c r="B1699" s="10">
        <v>8008780</v>
      </c>
      <c r="C1699" s="10" t="s">
        <v>759</v>
      </c>
      <c r="D1699" s="10" t="s">
        <v>760</v>
      </c>
      <c r="E1699" s="10">
        <v>0</v>
      </c>
      <c r="F1699" s="10">
        <v>0</v>
      </c>
      <c r="G1699" s="10">
        <v>0</v>
      </c>
      <c r="H1699" s="10">
        <v>0</v>
      </c>
      <c r="I1699" s="10" t="s">
        <v>102</v>
      </c>
      <c r="J1699" s="10">
        <v>0</v>
      </c>
      <c r="K1699" s="10">
        <v>0</v>
      </c>
      <c r="L1699" s="10">
        <v>0</v>
      </c>
      <c r="M1699" s="10">
        <v>0</v>
      </c>
      <c r="N1699" s="10" t="s">
        <v>761</v>
      </c>
      <c r="O1699" s="10" t="s">
        <v>1224</v>
      </c>
      <c r="P1699" s="105" t="e">
        <f t="shared" si="26"/>
        <v>#DIV/0!</v>
      </c>
    </row>
    <row r="1700" spans="1:16">
      <c r="A1700" s="10" t="s">
        <v>635</v>
      </c>
      <c r="B1700" s="10">
        <v>8008800</v>
      </c>
      <c r="C1700" s="10" t="s">
        <v>759</v>
      </c>
      <c r="D1700" s="10" t="s">
        <v>760</v>
      </c>
      <c r="E1700" s="10">
        <v>0</v>
      </c>
      <c r="F1700" s="10">
        <v>0</v>
      </c>
      <c r="G1700" s="10">
        <v>0</v>
      </c>
      <c r="H1700" s="10">
        <v>0</v>
      </c>
      <c r="I1700" s="10" t="s">
        <v>21</v>
      </c>
      <c r="J1700" s="10">
        <v>0</v>
      </c>
      <c r="K1700" s="10">
        <v>0</v>
      </c>
      <c r="L1700" s="10">
        <v>0</v>
      </c>
      <c r="M1700" s="10">
        <v>0</v>
      </c>
      <c r="N1700" s="10" t="s">
        <v>761</v>
      </c>
      <c r="O1700" s="10" t="s">
        <v>1895</v>
      </c>
      <c r="P1700" s="105" t="e">
        <f t="shared" si="26"/>
        <v>#DIV/0!</v>
      </c>
    </row>
    <row r="1701" spans="1:16">
      <c r="A1701" s="10" t="s">
        <v>635</v>
      </c>
      <c r="B1701" s="10">
        <v>8008962</v>
      </c>
      <c r="C1701" s="10" t="s">
        <v>759</v>
      </c>
      <c r="D1701" s="10" t="s">
        <v>760</v>
      </c>
      <c r="E1701" s="10">
        <v>10</v>
      </c>
      <c r="F1701" s="10">
        <v>10</v>
      </c>
      <c r="G1701" s="10">
        <v>0</v>
      </c>
      <c r="H1701" s="10">
        <v>20</v>
      </c>
      <c r="I1701" s="10" t="s">
        <v>102</v>
      </c>
      <c r="J1701" s="10">
        <v>71.77</v>
      </c>
      <c r="K1701" s="10">
        <v>69.1</v>
      </c>
      <c r="L1701" s="10">
        <v>0</v>
      </c>
      <c r="M1701" s="10">
        <v>140.87</v>
      </c>
      <c r="N1701" s="10" t="s">
        <v>761</v>
      </c>
      <c r="O1701" s="10" t="s">
        <v>279</v>
      </c>
      <c r="P1701" s="105">
        <f t="shared" si="26"/>
        <v>7.0435</v>
      </c>
    </row>
    <row r="1702" spans="1:16">
      <c r="A1702" s="10" t="s">
        <v>635</v>
      </c>
      <c r="B1702" s="10">
        <v>8008963</v>
      </c>
      <c r="C1702" s="10" t="s">
        <v>759</v>
      </c>
      <c r="D1702" s="10" t="s">
        <v>760</v>
      </c>
      <c r="E1702" s="10">
        <v>10</v>
      </c>
      <c r="F1702" s="10">
        <v>10</v>
      </c>
      <c r="G1702" s="10">
        <v>0</v>
      </c>
      <c r="H1702" s="10">
        <v>20</v>
      </c>
      <c r="I1702" s="10" t="s">
        <v>102</v>
      </c>
      <c r="J1702" s="10">
        <v>71.77</v>
      </c>
      <c r="K1702" s="10">
        <v>69.1</v>
      </c>
      <c r="L1702" s="10">
        <v>0</v>
      </c>
      <c r="M1702" s="10">
        <v>140.87</v>
      </c>
      <c r="N1702" s="10" t="s">
        <v>761</v>
      </c>
      <c r="O1702" s="10" t="s">
        <v>280</v>
      </c>
      <c r="P1702" s="105">
        <f t="shared" si="26"/>
        <v>7.0435</v>
      </c>
    </row>
    <row r="1703" spans="1:16">
      <c r="A1703" s="10" t="s">
        <v>635</v>
      </c>
      <c r="B1703" s="10">
        <v>8008964</v>
      </c>
      <c r="C1703" s="10" t="s">
        <v>759</v>
      </c>
      <c r="D1703" s="10" t="s">
        <v>760</v>
      </c>
      <c r="E1703" s="10">
        <v>0</v>
      </c>
      <c r="F1703" s="10">
        <v>10</v>
      </c>
      <c r="G1703" s="10">
        <v>0</v>
      </c>
      <c r="H1703" s="10">
        <v>10</v>
      </c>
      <c r="I1703" s="10" t="s">
        <v>102</v>
      </c>
      <c r="J1703" s="10">
        <v>0</v>
      </c>
      <c r="K1703" s="10">
        <v>69.1</v>
      </c>
      <c r="L1703" s="10">
        <v>0</v>
      </c>
      <c r="M1703" s="10">
        <v>69.1</v>
      </c>
      <c r="N1703" s="10" t="s">
        <v>761</v>
      </c>
      <c r="O1703" s="10" t="s">
        <v>281</v>
      </c>
      <c r="P1703" s="105">
        <f t="shared" si="26"/>
        <v>6.91</v>
      </c>
    </row>
    <row r="1704" spans="1:16">
      <c r="A1704" s="10" t="s">
        <v>635</v>
      </c>
      <c r="B1704" s="10">
        <v>8008965</v>
      </c>
      <c r="C1704" s="10" t="s">
        <v>759</v>
      </c>
      <c r="D1704" s="10" t="s">
        <v>760</v>
      </c>
      <c r="E1704" s="10">
        <v>10</v>
      </c>
      <c r="F1704" s="10">
        <v>30</v>
      </c>
      <c r="G1704" s="10">
        <v>0</v>
      </c>
      <c r="H1704" s="10">
        <v>40</v>
      </c>
      <c r="I1704" s="10" t="s">
        <v>102</v>
      </c>
      <c r="J1704" s="10">
        <v>71.77</v>
      </c>
      <c r="K1704" s="10">
        <v>207.3</v>
      </c>
      <c r="L1704" s="10">
        <v>0</v>
      </c>
      <c r="M1704" s="10">
        <v>279.07</v>
      </c>
      <c r="N1704" s="10" t="s">
        <v>761</v>
      </c>
      <c r="O1704" s="10" t="s">
        <v>282</v>
      </c>
      <c r="P1704" s="105">
        <f t="shared" si="26"/>
        <v>6.97675</v>
      </c>
    </row>
    <row r="1705" spans="1:16">
      <c r="A1705" s="10" t="s">
        <v>635</v>
      </c>
      <c r="B1705" s="10">
        <v>8008966</v>
      </c>
      <c r="C1705" s="10" t="s">
        <v>759</v>
      </c>
      <c r="D1705" s="10" t="s">
        <v>760</v>
      </c>
      <c r="E1705" s="10">
        <v>10</v>
      </c>
      <c r="F1705" s="10">
        <v>40</v>
      </c>
      <c r="G1705" s="10">
        <v>0</v>
      </c>
      <c r="H1705" s="10">
        <v>50</v>
      </c>
      <c r="I1705" s="10" t="s">
        <v>102</v>
      </c>
      <c r="J1705" s="10">
        <v>71.77</v>
      </c>
      <c r="K1705" s="10">
        <v>276.4</v>
      </c>
      <c r="L1705" s="10">
        <v>0</v>
      </c>
      <c r="M1705" s="10">
        <v>348.17</v>
      </c>
      <c r="N1705" s="10" t="s">
        <v>761</v>
      </c>
      <c r="O1705" s="10" t="s">
        <v>283</v>
      </c>
      <c r="P1705" s="105">
        <f t="shared" si="26"/>
        <v>6.9634</v>
      </c>
    </row>
    <row r="1706" spans="1:16">
      <c r="A1706" s="10" t="s">
        <v>635</v>
      </c>
      <c r="B1706" s="10">
        <v>8008967</v>
      </c>
      <c r="C1706" s="10" t="s">
        <v>759</v>
      </c>
      <c r="D1706" s="10" t="s">
        <v>760</v>
      </c>
      <c r="E1706" s="10">
        <v>10</v>
      </c>
      <c r="F1706" s="10">
        <v>50</v>
      </c>
      <c r="G1706" s="10">
        <v>0</v>
      </c>
      <c r="H1706" s="10">
        <v>60</v>
      </c>
      <c r="I1706" s="10" t="s">
        <v>102</v>
      </c>
      <c r="J1706" s="10">
        <v>71.77</v>
      </c>
      <c r="K1706" s="10">
        <v>345.5</v>
      </c>
      <c r="L1706" s="10">
        <v>0</v>
      </c>
      <c r="M1706" s="10">
        <v>417.27</v>
      </c>
      <c r="N1706" s="10" t="s">
        <v>761</v>
      </c>
      <c r="O1706" s="10" t="s">
        <v>284</v>
      </c>
      <c r="P1706" s="105">
        <f t="shared" si="26"/>
        <v>6.9545</v>
      </c>
    </row>
    <row r="1707" spans="1:16">
      <c r="A1707" s="10" t="s">
        <v>635</v>
      </c>
      <c r="B1707" s="10">
        <v>8008968</v>
      </c>
      <c r="C1707" s="10" t="s">
        <v>759</v>
      </c>
      <c r="D1707" s="10" t="s">
        <v>760</v>
      </c>
      <c r="E1707" s="10">
        <v>10</v>
      </c>
      <c r="F1707" s="10">
        <v>50</v>
      </c>
      <c r="G1707" s="10">
        <v>0</v>
      </c>
      <c r="H1707" s="10">
        <v>60</v>
      </c>
      <c r="I1707" s="10" t="s">
        <v>102</v>
      </c>
      <c r="J1707" s="10">
        <v>71.77</v>
      </c>
      <c r="K1707" s="10">
        <v>345.5</v>
      </c>
      <c r="L1707" s="10">
        <v>0</v>
      </c>
      <c r="M1707" s="10">
        <v>417.27</v>
      </c>
      <c r="N1707" s="10" t="s">
        <v>761</v>
      </c>
      <c r="O1707" s="10" t="s">
        <v>285</v>
      </c>
      <c r="P1707" s="105">
        <f t="shared" si="26"/>
        <v>6.9545</v>
      </c>
    </row>
    <row r="1708" spans="1:16">
      <c r="A1708" s="10" t="s">
        <v>635</v>
      </c>
      <c r="B1708" s="10">
        <v>8008990</v>
      </c>
      <c r="C1708" s="10" t="s">
        <v>759</v>
      </c>
      <c r="D1708" s="10" t="s">
        <v>760</v>
      </c>
      <c r="E1708" s="10">
        <v>0</v>
      </c>
      <c r="F1708" s="10">
        <v>0</v>
      </c>
      <c r="G1708" s="10">
        <v>0</v>
      </c>
      <c r="H1708" s="10">
        <v>0</v>
      </c>
      <c r="I1708" s="10" t="s">
        <v>41</v>
      </c>
      <c r="J1708" s="10">
        <v>0</v>
      </c>
      <c r="K1708" s="10">
        <v>0</v>
      </c>
      <c r="L1708" s="10">
        <v>0</v>
      </c>
      <c r="M1708" s="10">
        <v>0</v>
      </c>
      <c r="N1708" s="10" t="s">
        <v>761</v>
      </c>
      <c r="O1708" s="10" t="s">
        <v>1896</v>
      </c>
      <c r="P1708" s="105" t="e">
        <f t="shared" si="26"/>
        <v>#DIV/0!</v>
      </c>
    </row>
    <row r="1709" spans="1:16">
      <c r="A1709" s="10" t="s">
        <v>635</v>
      </c>
      <c r="B1709" s="10">
        <v>8009118</v>
      </c>
      <c r="C1709" s="10" t="s">
        <v>759</v>
      </c>
      <c r="D1709" s="10" t="s">
        <v>760</v>
      </c>
      <c r="E1709" s="10">
        <v>0</v>
      </c>
      <c r="F1709" s="10">
        <v>0</v>
      </c>
      <c r="G1709" s="10">
        <v>0</v>
      </c>
      <c r="H1709" s="10">
        <v>0</v>
      </c>
      <c r="I1709" s="10" t="s">
        <v>21</v>
      </c>
      <c r="J1709" s="10">
        <v>0</v>
      </c>
      <c r="K1709" s="10">
        <v>0</v>
      </c>
      <c r="L1709" s="10">
        <v>0</v>
      </c>
      <c r="M1709" s="10">
        <v>0</v>
      </c>
      <c r="N1709" s="10" t="s">
        <v>761</v>
      </c>
      <c r="O1709" s="10" t="s">
        <v>1232</v>
      </c>
      <c r="P1709" s="105" t="e">
        <f t="shared" si="26"/>
        <v>#DIV/0!</v>
      </c>
    </row>
    <row r="1710" spans="1:16">
      <c r="A1710" s="10" t="s">
        <v>635</v>
      </c>
      <c r="B1710" s="10">
        <v>8009119</v>
      </c>
      <c r="C1710" s="10" t="s">
        <v>759</v>
      </c>
      <c r="D1710" s="10" t="s">
        <v>760</v>
      </c>
      <c r="E1710" s="10">
        <v>0</v>
      </c>
      <c r="F1710" s="10">
        <v>0</v>
      </c>
      <c r="G1710" s="10">
        <v>0</v>
      </c>
      <c r="H1710" s="10">
        <v>0</v>
      </c>
      <c r="I1710" s="10" t="s">
        <v>21</v>
      </c>
      <c r="J1710" s="10">
        <v>0</v>
      </c>
      <c r="K1710" s="10">
        <v>0</v>
      </c>
      <c r="L1710" s="10">
        <v>0</v>
      </c>
      <c r="M1710" s="10">
        <v>0</v>
      </c>
      <c r="N1710" s="10" t="s">
        <v>761</v>
      </c>
      <c r="O1710" s="10" t="s">
        <v>1233</v>
      </c>
      <c r="P1710" s="105" t="e">
        <f t="shared" si="26"/>
        <v>#DIV/0!</v>
      </c>
    </row>
    <row r="1711" spans="1:16">
      <c r="A1711" s="10" t="s">
        <v>635</v>
      </c>
      <c r="B1711" s="10">
        <v>8009120</v>
      </c>
      <c r="C1711" s="10" t="s">
        <v>759</v>
      </c>
      <c r="D1711" s="10" t="s">
        <v>760</v>
      </c>
      <c r="E1711" s="10">
        <v>0</v>
      </c>
      <c r="F1711" s="10">
        <v>0</v>
      </c>
      <c r="G1711" s="10">
        <v>0</v>
      </c>
      <c r="H1711" s="10">
        <v>0</v>
      </c>
      <c r="I1711" s="10" t="s">
        <v>21</v>
      </c>
      <c r="J1711" s="10">
        <v>0</v>
      </c>
      <c r="K1711" s="10">
        <v>0</v>
      </c>
      <c r="L1711" s="10">
        <v>0</v>
      </c>
      <c r="M1711" s="10">
        <v>0</v>
      </c>
      <c r="N1711" s="10" t="s">
        <v>761</v>
      </c>
      <c r="O1711" s="10" t="s">
        <v>1234</v>
      </c>
      <c r="P1711" s="105" t="e">
        <f t="shared" si="26"/>
        <v>#DIV/0!</v>
      </c>
    </row>
    <row r="1712" spans="1:16">
      <c r="A1712" s="10" t="s">
        <v>635</v>
      </c>
      <c r="B1712" s="10">
        <v>8009121</v>
      </c>
      <c r="C1712" s="10" t="s">
        <v>759</v>
      </c>
      <c r="D1712" s="10" t="s">
        <v>760</v>
      </c>
      <c r="E1712" s="10">
        <v>0</v>
      </c>
      <c r="F1712" s="10">
        <v>0</v>
      </c>
      <c r="G1712" s="10">
        <v>0</v>
      </c>
      <c r="H1712" s="10">
        <v>0</v>
      </c>
      <c r="I1712" s="10" t="s">
        <v>21</v>
      </c>
      <c r="J1712" s="10">
        <v>0</v>
      </c>
      <c r="K1712" s="10">
        <v>0</v>
      </c>
      <c r="L1712" s="10">
        <v>0</v>
      </c>
      <c r="M1712" s="10">
        <v>0</v>
      </c>
      <c r="N1712" s="10" t="s">
        <v>761</v>
      </c>
      <c r="O1712" s="10" t="s">
        <v>1897</v>
      </c>
      <c r="P1712" s="105" t="e">
        <f t="shared" si="26"/>
        <v>#DIV/0!</v>
      </c>
    </row>
    <row r="1713" spans="1:16">
      <c r="A1713" s="10" t="s">
        <v>635</v>
      </c>
      <c r="B1713" s="10">
        <v>8009122</v>
      </c>
      <c r="C1713" s="10" t="s">
        <v>759</v>
      </c>
      <c r="D1713" s="10" t="s">
        <v>760</v>
      </c>
      <c r="E1713" s="10">
        <v>0</v>
      </c>
      <c r="F1713" s="10">
        <v>0</v>
      </c>
      <c r="G1713" s="10">
        <v>0</v>
      </c>
      <c r="H1713" s="10">
        <v>0</v>
      </c>
      <c r="I1713" s="10" t="s">
        <v>21</v>
      </c>
      <c r="J1713" s="10">
        <v>0</v>
      </c>
      <c r="K1713" s="10">
        <v>0</v>
      </c>
      <c r="L1713" s="10">
        <v>0</v>
      </c>
      <c r="M1713" s="10">
        <v>0</v>
      </c>
      <c r="N1713" s="10" t="s">
        <v>761</v>
      </c>
      <c r="O1713" s="10" t="s">
        <v>1235</v>
      </c>
      <c r="P1713" s="105" t="e">
        <f t="shared" si="26"/>
        <v>#DIV/0!</v>
      </c>
    </row>
    <row r="1714" spans="1:16">
      <c r="A1714" s="10" t="s">
        <v>635</v>
      </c>
      <c r="B1714" s="10">
        <v>8009143</v>
      </c>
      <c r="C1714" s="10" t="s">
        <v>759</v>
      </c>
      <c r="D1714" s="10" t="s">
        <v>760</v>
      </c>
      <c r="E1714" s="10">
        <v>0</v>
      </c>
      <c r="F1714" s="10">
        <v>0</v>
      </c>
      <c r="G1714" s="10">
        <v>0</v>
      </c>
      <c r="H1714" s="10">
        <v>0</v>
      </c>
      <c r="I1714" s="10" t="s">
        <v>21</v>
      </c>
      <c r="J1714" s="10">
        <v>0</v>
      </c>
      <c r="K1714" s="10">
        <v>0</v>
      </c>
      <c r="L1714" s="10">
        <v>0</v>
      </c>
      <c r="M1714" s="10">
        <v>0</v>
      </c>
      <c r="N1714" s="10" t="s">
        <v>761</v>
      </c>
      <c r="O1714" s="10" t="s">
        <v>1135</v>
      </c>
      <c r="P1714" s="105" t="e">
        <f t="shared" si="26"/>
        <v>#DIV/0!</v>
      </c>
    </row>
    <row r="1715" spans="1:16">
      <c r="A1715" s="10" t="s">
        <v>635</v>
      </c>
      <c r="B1715" s="10">
        <v>8009144</v>
      </c>
      <c r="C1715" s="10" t="s">
        <v>759</v>
      </c>
      <c r="D1715" s="10" t="s">
        <v>760</v>
      </c>
      <c r="E1715" s="10">
        <v>0</v>
      </c>
      <c r="F1715" s="10">
        <v>0</v>
      </c>
      <c r="G1715" s="10">
        <v>0</v>
      </c>
      <c r="H1715" s="10">
        <v>0</v>
      </c>
      <c r="I1715" s="10" t="s">
        <v>21</v>
      </c>
      <c r="J1715" s="10">
        <v>0</v>
      </c>
      <c r="K1715" s="10">
        <v>0</v>
      </c>
      <c r="L1715" s="10">
        <v>0</v>
      </c>
      <c r="M1715" s="10">
        <v>0</v>
      </c>
      <c r="N1715" s="10" t="s">
        <v>761</v>
      </c>
      <c r="O1715" s="10" t="s">
        <v>1898</v>
      </c>
      <c r="P1715" s="105" t="e">
        <f t="shared" si="26"/>
        <v>#DIV/0!</v>
      </c>
    </row>
    <row r="1716" spans="1:16">
      <c r="A1716" s="10" t="s">
        <v>635</v>
      </c>
      <c r="B1716" s="10">
        <v>8009301</v>
      </c>
      <c r="C1716" s="10" t="s">
        <v>759</v>
      </c>
      <c r="D1716" s="10" t="s">
        <v>760</v>
      </c>
      <c r="E1716" s="10">
        <v>0</v>
      </c>
      <c r="F1716" s="10">
        <v>0</v>
      </c>
      <c r="G1716" s="10">
        <v>0</v>
      </c>
      <c r="H1716" s="10">
        <v>0</v>
      </c>
      <c r="I1716" s="10" t="s">
        <v>21</v>
      </c>
      <c r="J1716" s="10">
        <v>0</v>
      </c>
      <c r="K1716" s="10">
        <v>0</v>
      </c>
      <c r="L1716" s="10">
        <v>0</v>
      </c>
      <c r="M1716" s="10">
        <v>0</v>
      </c>
      <c r="N1716" s="10" t="s">
        <v>761</v>
      </c>
      <c r="O1716" s="10" t="s">
        <v>1899</v>
      </c>
      <c r="P1716" s="105" t="e">
        <f t="shared" si="26"/>
        <v>#DIV/0!</v>
      </c>
    </row>
    <row r="1717" spans="1:16">
      <c r="A1717" s="10" t="s">
        <v>635</v>
      </c>
      <c r="B1717" s="10">
        <v>8009496</v>
      </c>
      <c r="C1717" s="10" t="s">
        <v>759</v>
      </c>
      <c r="D1717" s="10" t="s">
        <v>760</v>
      </c>
      <c r="E1717" s="10">
        <v>0</v>
      </c>
      <c r="F1717" s="10">
        <v>0</v>
      </c>
      <c r="G1717" s="10">
        <v>0</v>
      </c>
      <c r="H1717" s="10">
        <v>0</v>
      </c>
      <c r="I1717" s="10" t="s">
        <v>21</v>
      </c>
      <c r="J1717" s="10">
        <v>0</v>
      </c>
      <c r="K1717" s="10">
        <v>0</v>
      </c>
      <c r="L1717" s="10">
        <v>0</v>
      </c>
      <c r="M1717" s="10">
        <v>0</v>
      </c>
      <c r="N1717" s="10" t="s">
        <v>761</v>
      </c>
      <c r="O1717" s="10" t="s">
        <v>1900</v>
      </c>
      <c r="P1717" s="105" t="e">
        <f t="shared" si="26"/>
        <v>#DIV/0!</v>
      </c>
    </row>
    <row r="1718" spans="1:16">
      <c r="A1718" s="10" t="s">
        <v>635</v>
      </c>
      <c r="B1718" s="10">
        <v>8009514</v>
      </c>
      <c r="C1718" s="10" t="s">
        <v>759</v>
      </c>
      <c r="D1718" s="10" t="s">
        <v>760</v>
      </c>
      <c r="E1718" s="10">
        <v>0</v>
      </c>
      <c r="F1718" s="10">
        <v>0</v>
      </c>
      <c r="G1718" s="10">
        <v>0</v>
      </c>
      <c r="H1718" s="10">
        <v>0</v>
      </c>
      <c r="I1718" s="10" t="s">
        <v>21</v>
      </c>
      <c r="J1718" s="10">
        <v>0</v>
      </c>
      <c r="K1718" s="10">
        <v>0</v>
      </c>
      <c r="L1718" s="10">
        <v>0</v>
      </c>
      <c r="M1718" s="10">
        <v>0</v>
      </c>
      <c r="N1718" s="10" t="s">
        <v>761</v>
      </c>
      <c r="O1718" s="10" t="s">
        <v>1901</v>
      </c>
      <c r="P1718" s="105" t="e">
        <f t="shared" si="26"/>
        <v>#DIV/0!</v>
      </c>
    </row>
    <row r="1719" spans="1:16">
      <c r="A1719" s="10" t="s">
        <v>635</v>
      </c>
      <c r="B1719" s="10">
        <v>8009567</v>
      </c>
      <c r="C1719" s="10" t="s">
        <v>759</v>
      </c>
      <c r="D1719" s="10" t="s">
        <v>760</v>
      </c>
      <c r="E1719" s="10">
        <v>0</v>
      </c>
      <c r="F1719" s="10">
        <v>0</v>
      </c>
      <c r="G1719" s="10">
        <v>0</v>
      </c>
      <c r="H1719" s="10">
        <v>0</v>
      </c>
      <c r="I1719" s="10" t="s">
        <v>21</v>
      </c>
      <c r="J1719" s="10">
        <v>0</v>
      </c>
      <c r="K1719" s="10">
        <v>0</v>
      </c>
      <c r="L1719" s="10">
        <v>0</v>
      </c>
      <c r="M1719" s="10">
        <v>0</v>
      </c>
      <c r="N1719" s="10" t="s">
        <v>761</v>
      </c>
      <c r="O1719" s="10" t="s">
        <v>502</v>
      </c>
      <c r="P1719" s="105" t="e">
        <f t="shared" si="26"/>
        <v>#DIV/0!</v>
      </c>
    </row>
    <row r="1720" spans="1:16">
      <c r="A1720" s="10" t="s">
        <v>635</v>
      </c>
      <c r="B1720" s="10">
        <v>8009568</v>
      </c>
      <c r="C1720" s="10" t="s">
        <v>759</v>
      </c>
      <c r="D1720" s="10" t="s">
        <v>760</v>
      </c>
      <c r="E1720" s="10">
        <v>0</v>
      </c>
      <c r="F1720" s="10">
        <v>0</v>
      </c>
      <c r="G1720" s="10">
        <v>0</v>
      </c>
      <c r="H1720" s="10">
        <v>0</v>
      </c>
      <c r="I1720" s="10" t="s">
        <v>21</v>
      </c>
      <c r="J1720" s="10">
        <v>0</v>
      </c>
      <c r="K1720" s="10">
        <v>0</v>
      </c>
      <c r="L1720" s="10">
        <v>0</v>
      </c>
      <c r="M1720" s="10">
        <v>0</v>
      </c>
      <c r="N1720" s="10" t="s">
        <v>761</v>
      </c>
      <c r="O1720" s="10" t="s">
        <v>1902</v>
      </c>
      <c r="P1720" s="105" t="e">
        <f t="shared" si="26"/>
        <v>#DIV/0!</v>
      </c>
    </row>
    <row r="1721" spans="1:16">
      <c r="A1721" s="10" t="s">
        <v>635</v>
      </c>
      <c r="B1721" s="10">
        <v>8009571</v>
      </c>
      <c r="C1721" s="10" t="s">
        <v>759</v>
      </c>
      <c r="D1721" s="10" t="s">
        <v>760</v>
      </c>
      <c r="E1721" s="10">
        <v>0</v>
      </c>
      <c r="F1721" s="10">
        <v>0</v>
      </c>
      <c r="G1721" s="10">
        <v>0</v>
      </c>
      <c r="H1721" s="10">
        <v>0</v>
      </c>
      <c r="I1721" s="10" t="s">
        <v>21</v>
      </c>
      <c r="J1721" s="10">
        <v>0</v>
      </c>
      <c r="K1721" s="10">
        <v>0</v>
      </c>
      <c r="L1721" s="10">
        <v>0</v>
      </c>
      <c r="M1721" s="10">
        <v>0</v>
      </c>
      <c r="N1721" s="10" t="s">
        <v>761</v>
      </c>
      <c r="O1721" s="10" t="s">
        <v>1189</v>
      </c>
      <c r="P1721" s="105" t="e">
        <f t="shared" si="26"/>
        <v>#DIV/0!</v>
      </c>
    </row>
    <row r="1722" spans="1:16">
      <c r="A1722" s="10" t="s">
        <v>635</v>
      </c>
      <c r="B1722" s="10">
        <v>8009573</v>
      </c>
      <c r="C1722" s="10" t="s">
        <v>759</v>
      </c>
      <c r="D1722" s="10" t="s">
        <v>760</v>
      </c>
      <c r="E1722" s="10">
        <v>0</v>
      </c>
      <c r="F1722" s="10">
        <v>60</v>
      </c>
      <c r="G1722" s="10">
        <v>0</v>
      </c>
      <c r="H1722" s="10">
        <v>60</v>
      </c>
      <c r="I1722" s="10" t="s">
        <v>21</v>
      </c>
      <c r="J1722" s="10">
        <v>0</v>
      </c>
      <c r="K1722" s="10">
        <v>94.46</v>
      </c>
      <c r="L1722" s="10">
        <v>0</v>
      </c>
      <c r="M1722" s="10">
        <v>94.46</v>
      </c>
      <c r="N1722" s="10" t="s">
        <v>761</v>
      </c>
      <c r="O1722" s="10" t="s">
        <v>370</v>
      </c>
      <c r="P1722" s="105">
        <f t="shared" si="26"/>
        <v>1.57433333333333</v>
      </c>
    </row>
    <row r="1723" spans="1:16">
      <c r="A1723" s="10" t="s">
        <v>635</v>
      </c>
      <c r="B1723" s="10">
        <v>8009575</v>
      </c>
      <c r="C1723" s="10" t="s">
        <v>759</v>
      </c>
      <c r="D1723" s="10" t="s">
        <v>760</v>
      </c>
      <c r="E1723" s="10">
        <v>0</v>
      </c>
      <c r="F1723" s="10">
        <v>0</v>
      </c>
      <c r="G1723" s="10">
        <v>0</v>
      </c>
      <c r="H1723" s="10">
        <v>0</v>
      </c>
      <c r="I1723" s="10" t="s">
        <v>21</v>
      </c>
      <c r="J1723" s="10">
        <v>0</v>
      </c>
      <c r="K1723" s="10">
        <v>0</v>
      </c>
      <c r="L1723" s="10">
        <v>0</v>
      </c>
      <c r="M1723" s="10">
        <v>0</v>
      </c>
      <c r="N1723" s="10" t="s">
        <v>761</v>
      </c>
      <c r="O1723" s="10" t="s">
        <v>1191</v>
      </c>
      <c r="P1723" s="105" t="e">
        <f t="shared" si="26"/>
        <v>#DIV/0!</v>
      </c>
    </row>
    <row r="1724" spans="1:16">
      <c r="A1724" s="10" t="s">
        <v>635</v>
      </c>
      <c r="B1724" s="10">
        <v>8009576</v>
      </c>
      <c r="C1724" s="10" t="s">
        <v>759</v>
      </c>
      <c r="D1724" s="10" t="s">
        <v>760</v>
      </c>
      <c r="E1724" s="10">
        <v>0</v>
      </c>
      <c r="F1724" s="10">
        <v>0</v>
      </c>
      <c r="G1724" s="10">
        <v>0</v>
      </c>
      <c r="H1724" s="10">
        <v>0</v>
      </c>
      <c r="I1724" s="10" t="s">
        <v>21</v>
      </c>
      <c r="J1724" s="10">
        <v>0</v>
      </c>
      <c r="K1724" s="10">
        <v>0</v>
      </c>
      <c r="L1724" s="10">
        <v>0</v>
      </c>
      <c r="M1724" s="10">
        <v>0</v>
      </c>
      <c r="N1724" s="10" t="s">
        <v>761</v>
      </c>
      <c r="O1724" s="10" t="s">
        <v>565</v>
      </c>
      <c r="P1724" s="105" t="e">
        <f t="shared" si="26"/>
        <v>#DIV/0!</v>
      </c>
    </row>
    <row r="1725" spans="1:16">
      <c r="A1725" s="10" t="s">
        <v>635</v>
      </c>
      <c r="B1725" s="10">
        <v>8009579</v>
      </c>
      <c r="C1725" s="10" t="s">
        <v>759</v>
      </c>
      <c r="D1725" s="10" t="s">
        <v>760</v>
      </c>
      <c r="E1725" s="10">
        <v>0</v>
      </c>
      <c r="F1725" s="10">
        <v>0</v>
      </c>
      <c r="G1725" s="10">
        <v>0</v>
      </c>
      <c r="H1725" s="10">
        <v>0</v>
      </c>
      <c r="I1725" s="10" t="s">
        <v>21</v>
      </c>
      <c r="J1725" s="10">
        <v>0</v>
      </c>
      <c r="K1725" s="10">
        <v>0</v>
      </c>
      <c r="L1725" s="10">
        <v>0</v>
      </c>
      <c r="M1725" s="10">
        <v>0</v>
      </c>
      <c r="N1725" s="10" t="s">
        <v>761</v>
      </c>
      <c r="O1725" s="10" t="s">
        <v>1185</v>
      </c>
      <c r="P1725" s="105" t="e">
        <f t="shared" si="26"/>
        <v>#DIV/0!</v>
      </c>
    </row>
    <row r="1726" spans="1:16">
      <c r="A1726" s="10" t="s">
        <v>635</v>
      </c>
      <c r="B1726" s="10">
        <v>8009580</v>
      </c>
      <c r="C1726" s="10" t="s">
        <v>759</v>
      </c>
      <c r="D1726" s="10" t="s">
        <v>760</v>
      </c>
      <c r="E1726" s="10">
        <v>0</v>
      </c>
      <c r="F1726" s="10">
        <v>0</v>
      </c>
      <c r="G1726" s="10">
        <v>0</v>
      </c>
      <c r="H1726" s="10">
        <v>0</v>
      </c>
      <c r="I1726" s="10" t="s">
        <v>21</v>
      </c>
      <c r="J1726" s="10">
        <v>0</v>
      </c>
      <c r="K1726" s="10">
        <v>0</v>
      </c>
      <c r="L1726" s="10">
        <v>0</v>
      </c>
      <c r="M1726" s="10">
        <v>0</v>
      </c>
      <c r="N1726" s="10" t="s">
        <v>761</v>
      </c>
      <c r="O1726" s="10" t="s">
        <v>1903</v>
      </c>
      <c r="P1726" s="105" t="e">
        <f t="shared" si="26"/>
        <v>#DIV/0!</v>
      </c>
    </row>
    <row r="1727" spans="1:16">
      <c r="A1727" s="10" t="s">
        <v>635</v>
      </c>
      <c r="B1727" s="10">
        <v>8009581</v>
      </c>
      <c r="C1727" s="10" t="s">
        <v>759</v>
      </c>
      <c r="D1727" s="10" t="s">
        <v>760</v>
      </c>
      <c r="E1727" s="10">
        <v>0</v>
      </c>
      <c r="F1727" s="10">
        <v>12</v>
      </c>
      <c r="G1727" s="10">
        <v>0</v>
      </c>
      <c r="H1727" s="10">
        <v>12</v>
      </c>
      <c r="I1727" s="10" t="s">
        <v>21</v>
      </c>
      <c r="J1727" s="10">
        <v>0</v>
      </c>
      <c r="K1727" s="10">
        <v>91.88</v>
      </c>
      <c r="L1727" s="10">
        <v>0</v>
      </c>
      <c r="M1727" s="10">
        <v>91.88</v>
      </c>
      <c r="N1727" s="10" t="s">
        <v>761</v>
      </c>
      <c r="O1727" s="10" t="s">
        <v>446</v>
      </c>
      <c r="P1727" s="105">
        <f t="shared" si="26"/>
        <v>7.65666666666667</v>
      </c>
    </row>
    <row r="1728" spans="1:16">
      <c r="A1728" s="10" t="s">
        <v>635</v>
      </c>
      <c r="B1728" s="10">
        <v>8009582</v>
      </c>
      <c r="C1728" s="10" t="s">
        <v>759</v>
      </c>
      <c r="D1728" s="10" t="s">
        <v>760</v>
      </c>
      <c r="E1728" s="10">
        <v>0</v>
      </c>
      <c r="F1728" s="10">
        <v>0</v>
      </c>
      <c r="G1728" s="10">
        <v>0</v>
      </c>
      <c r="H1728" s="10">
        <v>0</v>
      </c>
      <c r="I1728" s="10" t="s">
        <v>21</v>
      </c>
      <c r="J1728" s="10">
        <v>0</v>
      </c>
      <c r="K1728" s="10">
        <v>0</v>
      </c>
      <c r="L1728" s="10">
        <v>0</v>
      </c>
      <c r="M1728" s="10">
        <v>0</v>
      </c>
      <c r="N1728" s="10" t="s">
        <v>761</v>
      </c>
      <c r="O1728" s="10" t="s">
        <v>1207</v>
      </c>
      <c r="P1728" s="105" t="e">
        <f t="shared" si="26"/>
        <v>#DIV/0!</v>
      </c>
    </row>
    <row r="1729" spans="1:16">
      <c r="A1729" s="10" t="s">
        <v>635</v>
      </c>
      <c r="B1729" s="10">
        <v>8009583</v>
      </c>
      <c r="C1729" s="10" t="s">
        <v>759</v>
      </c>
      <c r="D1729" s="10" t="s">
        <v>760</v>
      </c>
      <c r="E1729" s="10">
        <v>0</v>
      </c>
      <c r="F1729" s="10">
        <v>0</v>
      </c>
      <c r="G1729" s="10">
        <v>0</v>
      </c>
      <c r="H1729" s="10">
        <v>0</v>
      </c>
      <c r="I1729" s="10" t="s">
        <v>21</v>
      </c>
      <c r="J1729" s="10">
        <v>0</v>
      </c>
      <c r="K1729" s="10">
        <v>0</v>
      </c>
      <c r="L1729" s="10">
        <v>0</v>
      </c>
      <c r="M1729" s="10">
        <v>0</v>
      </c>
      <c r="N1729" s="10" t="s">
        <v>761</v>
      </c>
      <c r="O1729" s="10" t="s">
        <v>1904</v>
      </c>
      <c r="P1729" s="105" t="e">
        <f t="shared" si="26"/>
        <v>#DIV/0!</v>
      </c>
    </row>
    <row r="1730" spans="1:16">
      <c r="A1730" s="10" t="s">
        <v>635</v>
      </c>
      <c r="B1730" s="10">
        <v>8009586</v>
      </c>
      <c r="C1730" s="10" t="s">
        <v>759</v>
      </c>
      <c r="D1730" s="10" t="s">
        <v>760</v>
      </c>
      <c r="E1730" s="10">
        <v>0</v>
      </c>
      <c r="F1730" s="10">
        <v>0</v>
      </c>
      <c r="G1730" s="10">
        <v>0</v>
      </c>
      <c r="H1730" s="10">
        <v>0</v>
      </c>
      <c r="I1730" s="10" t="s">
        <v>21</v>
      </c>
      <c r="J1730" s="10">
        <v>0</v>
      </c>
      <c r="K1730" s="10">
        <v>0</v>
      </c>
      <c r="L1730" s="10">
        <v>0</v>
      </c>
      <c r="M1730" s="10">
        <v>0</v>
      </c>
      <c r="N1730" s="10" t="s">
        <v>761</v>
      </c>
      <c r="O1730" s="10" t="s">
        <v>1905</v>
      </c>
      <c r="P1730" s="105" t="e">
        <f t="shared" si="26"/>
        <v>#DIV/0!</v>
      </c>
    </row>
    <row r="1731" spans="1:16">
      <c r="A1731" s="10" t="s">
        <v>635</v>
      </c>
      <c r="B1731" s="10">
        <v>8009587</v>
      </c>
      <c r="C1731" s="10" t="s">
        <v>759</v>
      </c>
      <c r="D1731" s="10" t="s">
        <v>760</v>
      </c>
      <c r="E1731" s="10">
        <v>0</v>
      </c>
      <c r="F1731" s="10">
        <v>0</v>
      </c>
      <c r="G1731" s="10">
        <v>0</v>
      </c>
      <c r="H1731" s="10">
        <v>0</v>
      </c>
      <c r="I1731" s="10" t="s">
        <v>21</v>
      </c>
      <c r="J1731" s="10">
        <v>0</v>
      </c>
      <c r="K1731" s="10">
        <v>0</v>
      </c>
      <c r="L1731" s="10">
        <v>0</v>
      </c>
      <c r="M1731" s="10">
        <v>0</v>
      </c>
      <c r="N1731" s="10" t="s">
        <v>761</v>
      </c>
      <c r="O1731" s="10" t="s">
        <v>1906</v>
      </c>
      <c r="P1731" s="105" t="e">
        <f t="shared" ref="P1731:P1794" si="27">M1731/H1731</f>
        <v>#DIV/0!</v>
      </c>
    </row>
    <row r="1732" spans="1:16">
      <c r="A1732" s="10" t="s">
        <v>635</v>
      </c>
      <c r="B1732" s="10">
        <v>8009588</v>
      </c>
      <c r="C1732" s="10" t="s">
        <v>759</v>
      </c>
      <c r="D1732" s="10" t="s">
        <v>760</v>
      </c>
      <c r="E1732" s="10">
        <v>0</v>
      </c>
      <c r="F1732" s="10">
        <v>0</v>
      </c>
      <c r="G1732" s="10">
        <v>0</v>
      </c>
      <c r="H1732" s="10">
        <v>0</v>
      </c>
      <c r="I1732" s="10" t="s">
        <v>21</v>
      </c>
      <c r="J1732" s="10">
        <v>0</v>
      </c>
      <c r="K1732" s="10">
        <v>0</v>
      </c>
      <c r="L1732" s="10">
        <v>0</v>
      </c>
      <c r="M1732" s="10">
        <v>0</v>
      </c>
      <c r="N1732" s="10" t="s">
        <v>761</v>
      </c>
      <c r="O1732" s="10" t="s">
        <v>1907</v>
      </c>
      <c r="P1732" s="105" t="e">
        <f t="shared" si="27"/>
        <v>#DIV/0!</v>
      </c>
    </row>
    <row r="1733" spans="1:16">
      <c r="A1733" s="10" t="s">
        <v>635</v>
      </c>
      <c r="B1733" s="10">
        <v>8009589</v>
      </c>
      <c r="C1733" s="10" t="s">
        <v>759</v>
      </c>
      <c r="D1733" s="10" t="s">
        <v>760</v>
      </c>
      <c r="E1733" s="10">
        <v>0</v>
      </c>
      <c r="F1733" s="10">
        <v>0</v>
      </c>
      <c r="G1733" s="10">
        <v>0</v>
      </c>
      <c r="H1733" s="10">
        <v>0</v>
      </c>
      <c r="I1733" s="10" t="s">
        <v>21</v>
      </c>
      <c r="J1733" s="10">
        <v>0</v>
      </c>
      <c r="K1733" s="10">
        <v>0</v>
      </c>
      <c r="L1733" s="10">
        <v>0</v>
      </c>
      <c r="M1733" s="10">
        <v>0</v>
      </c>
      <c r="N1733" s="10" t="s">
        <v>761</v>
      </c>
      <c r="O1733" s="10" t="s">
        <v>1908</v>
      </c>
      <c r="P1733" s="105" t="e">
        <f t="shared" si="27"/>
        <v>#DIV/0!</v>
      </c>
    </row>
    <row r="1734" spans="1:16">
      <c r="A1734" s="10" t="s">
        <v>635</v>
      </c>
      <c r="B1734" s="10">
        <v>8009590</v>
      </c>
      <c r="C1734" s="10" t="s">
        <v>759</v>
      </c>
      <c r="D1734" s="10" t="s">
        <v>760</v>
      </c>
      <c r="E1734" s="10">
        <v>0</v>
      </c>
      <c r="F1734" s="10">
        <v>0</v>
      </c>
      <c r="G1734" s="10">
        <v>0</v>
      </c>
      <c r="H1734" s="10">
        <v>0</v>
      </c>
      <c r="I1734" s="10" t="s">
        <v>21</v>
      </c>
      <c r="J1734" s="10">
        <v>0</v>
      </c>
      <c r="K1734" s="10">
        <v>0</v>
      </c>
      <c r="L1734" s="10">
        <v>0</v>
      </c>
      <c r="M1734" s="10">
        <v>0</v>
      </c>
      <c r="N1734" s="10" t="s">
        <v>761</v>
      </c>
      <c r="O1734" s="10" t="s">
        <v>1909</v>
      </c>
      <c r="P1734" s="105" t="e">
        <f t="shared" si="27"/>
        <v>#DIV/0!</v>
      </c>
    </row>
    <row r="1735" spans="1:16">
      <c r="A1735" s="10" t="s">
        <v>635</v>
      </c>
      <c r="B1735" s="10">
        <v>8009591</v>
      </c>
      <c r="C1735" s="10" t="s">
        <v>759</v>
      </c>
      <c r="D1735" s="10" t="s">
        <v>760</v>
      </c>
      <c r="E1735" s="10">
        <v>0</v>
      </c>
      <c r="F1735" s="10">
        <v>0</v>
      </c>
      <c r="G1735" s="10">
        <v>0</v>
      </c>
      <c r="H1735" s="10">
        <v>0</v>
      </c>
      <c r="I1735" s="10" t="s">
        <v>21</v>
      </c>
      <c r="J1735" s="10">
        <v>0</v>
      </c>
      <c r="K1735" s="10">
        <v>0</v>
      </c>
      <c r="L1735" s="10">
        <v>0</v>
      </c>
      <c r="M1735" s="10">
        <v>0</v>
      </c>
      <c r="N1735" s="10" t="s">
        <v>761</v>
      </c>
      <c r="O1735" s="10" t="s">
        <v>1910</v>
      </c>
      <c r="P1735" s="105" t="e">
        <f t="shared" si="27"/>
        <v>#DIV/0!</v>
      </c>
    </row>
    <row r="1736" spans="1:16">
      <c r="A1736" s="10" t="s">
        <v>635</v>
      </c>
      <c r="B1736" s="10">
        <v>8009592</v>
      </c>
      <c r="C1736" s="10" t="s">
        <v>759</v>
      </c>
      <c r="D1736" s="10" t="s">
        <v>760</v>
      </c>
      <c r="E1736" s="10">
        <v>0</v>
      </c>
      <c r="F1736" s="10">
        <v>0</v>
      </c>
      <c r="G1736" s="10">
        <v>0</v>
      </c>
      <c r="H1736" s="10">
        <v>0</v>
      </c>
      <c r="I1736" s="10" t="s">
        <v>21</v>
      </c>
      <c r="J1736" s="10">
        <v>0</v>
      </c>
      <c r="K1736" s="10">
        <v>0</v>
      </c>
      <c r="L1736" s="10">
        <v>0</v>
      </c>
      <c r="M1736" s="10">
        <v>0</v>
      </c>
      <c r="N1736" s="10" t="s">
        <v>761</v>
      </c>
      <c r="O1736" s="10" t="s">
        <v>1911</v>
      </c>
      <c r="P1736" s="105" t="e">
        <f t="shared" si="27"/>
        <v>#DIV/0!</v>
      </c>
    </row>
    <row r="1737" spans="1:16">
      <c r="A1737" s="10" t="s">
        <v>635</v>
      </c>
      <c r="B1737" s="10">
        <v>8009593</v>
      </c>
      <c r="C1737" s="10" t="s">
        <v>759</v>
      </c>
      <c r="D1737" s="10" t="s">
        <v>760</v>
      </c>
      <c r="E1737" s="10">
        <v>0</v>
      </c>
      <c r="F1737" s="10">
        <v>0</v>
      </c>
      <c r="G1737" s="10">
        <v>0</v>
      </c>
      <c r="H1737" s="10">
        <v>0</v>
      </c>
      <c r="I1737" s="10" t="s">
        <v>21</v>
      </c>
      <c r="J1737" s="10">
        <v>0</v>
      </c>
      <c r="K1737" s="10">
        <v>0</v>
      </c>
      <c r="L1737" s="10">
        <v>0</v>
      </c>
      <c r="M1737" s="10">
        <v>0</v>
      </c>
      <c r="N1737" s="10" t="s">
        <v>761</v>
      </c>
      <c r="O1737" s="10" t="s">
        <v>1912</v>
      </c>
      <c r="P1737" s="105" t="e">
        <f t="shared" si="27"/>
        <v>#DIV/0!</v>
      </c>
    </row>
    <row r="1738" spans="1:16">
      <c r="A1738" s="10" t="s">
        <v>635</v>
      </c>
      <c r="B1738" s="10">
        <v>8009594</v>
      </c>
      <c r="C1738" s="10" t="s">
        <v>759</v>
      </c>
      <c r="D1738" s="10" t="s">
        <v>760</v>
      </c>
      <c r="E1738" s="10">
        <v>0</v>
      </c>
      <c r="F1738" s="10">
        <v>0</v>
      </c>
      <c r="G1738" s="10">
        <v>0</v>
      </c>
      <c r="H1738" s="10">
        <v>0</v>
      </c>
      <c r="I1738" s="10" t="s">
        <v>21</v>
      </c>
      <c r="J1738" s="10">
        <v>0</v>
      </c>
      <c r="K1738" s="10">
        <v>0</v>
      </c>
      <c r="L1738" s="10">
        <v>0</v>
      </c>
      <c r="M1738" s="10">
        <v>0</v>
      </c>
      <c r="N1738" s="10" t="s">
        <v>761</v>
      </c>
      <c r="O1738" s="10" t="s">
        <v>1913</v>
      </c>
      <c r="P1738" s="105" t="e">
        <f t="shared" si="27"/>
        <v>#DIV/0!</v>
      </c>
    </row>
    <row r="1739" spans="1:16">
      <c r="A1739" s="10" t="s">
        <v>635</v>
      </c>
      <c r="B1739" s="10">
        <v>8009595</v>
      </c>
      <c r="C1739" s="10" t="s">
        <v>759</v>
      </c>
      <c r="D1739" s="10" t="s">
        <v>760</v>
      </c>
      <c r="E1739" s="10">
        <v>0</v>
      </c>
      <c r="F1739" s="10">
        <v>0</v>
      </c>
      <c r="G1739" s="10">
        <v>0</v>
      </c>
      <c r="H1739" s="10">
        <v>0</v>
      </c>
      <c r="I1739" s="10" t="s">
        <v>21</v>
      </c>
      <c r="J1739" s="10">
        <v>0</v>
      </c>
      <c r="K1739" s="10">
        <v>0</v>
      </c>
      <c r="L1739" s="10">
        <v>0</v>
      </c>
      <c r="M1739" s="10">
        <v>0</v>
      </c>
      <c r="N1739" s="10" t="s">
        <v>761</v>
      </c>
      <c r="O1739" s="10" t="s">
        <v>1914</v>
      </c>
      <c r="P1739" s="105" t="e">
        <f t="shared" si="27"/>
        <v>#DIV/0!</v>
      </c>
    </row>
    <row r="1740" spans="1:16">
      <c r="A1740" s="10" t="s">
        <v>635</v>
      </c>
      <c r="B1740" s="10">
        <v>8009662</v>
      </c>
      <c r="C1740" s="10" t="s">
        <v>759</v>
      </c>
      <c r="D1740" s="10" t="s">
        <v>760</v>
      </c>
      <c r="E1740" s="10">
        <v>0</v>
      </c>
      <c r="F1740" s="10">
        <v>0</v>
      </c>
      <c r="G1740" s="10">
        <v>0</v>
      </c>
      <c r="H1740" s="10">
        <v>0</v>
      </c>
      <c r="I1740" s="10" t="s">
        <v>26</v>
      </c>
      <c r="J1740" s="10">
        <v>0</v>
      </c>
      <c r="K1740" s="10">
        <v>0</v>
      </c>
      <c r="L1740" s="10">
        <v>0</v>
      </c>
      <c r="M1740" s="10">
        <v>0</v>
      </c>
      <c r="N1740" s="10" t="s">
        <v>761</v>
      </c>
      <c r="O1740" s="10" t="s">
        <v>1915</v>
      </c>
      <c r="P1740" s="105" t="e">
        <f t="shared" si="27"/>
        <v>#DIV/0!</v>
      </c>
    </row>
    <row r="1741" spans="1:16">
      <c r="A1741" s="10" t="s">
        <v>635</v>
      </c>
      <c r="B1741" s="10">
        <v>8009663</v>
      </c>
      <c r="C1741" s="10" t="s">
        <v>759</v>
      </c>
      <c r="D1741" s="10" t="s">
        <v>760</v>
      </c>
      <c r="E1741" s="10">
        <v>0</v>
      </c>
      <c r="F1741" s="10">
        <v>0</v>
      </c>
      <c r="G1741" s="10">
        <v>0</v>
      </c>
      <c r="H1741" s="10">
        <v>0</v>
      </c>
      <c r="I1741" s="10" t="s">
        <v>21</v>
      </c>
      <c r="J1741" s="10">
        <v>0</v>
      </c>
      <c r="K1741" s="10">
        <v>0</v>
      </c>
      <c r="L1741" s="10">
        <v>0</v>
      </c>
      <c r="M1741" s="10">
        <v>0</v>
      </c>
      <c r="N1741" s="10" t="s">
        <v>761</v>
      </c>
      <c r="O1741" s="10" t="s">
        <v>1916</v>
      </c>
      <c r="P1741" s="105" t="e">
        <f t="shared" si="27"/>
        <v>#DIV/0!</v>
      </c>
    </row>
    <row r="1742" spans="1:16">
      <c r="A1742" s="10" t="s">
        <v>635</v>
      </c>
      <c r="B1742" s="10">
        <v>8009667</v>
      </c>
      <c r="C1742" s="10" t="s">
        <v>759</v>
      </c>
      <c r="D1742" s="10" t="s">
        <v>760</v>
      </c>
      <c r="E1742" s="10">
        <v>10</v>
      </c>
      <c r="F1742" s="10">
        <v>10</v>
      </c>
      <c r="G1742" s="10">
        <v>0</v>
      </c>
      <c r="H1742" s="10">
        <v>20</v>
      </c>
      <c r="I1742" s="10" t="s">
        <v>102</v>
      </c>
      <c r="J1742" s="10">
        <v>71.77</v>
      </c>
      <c r="K1742" s="10">
        <v>82.92</v>
      </c>
      <c r="L1742" s="10">
        <v>0</v>
      </c>
      <c r="M1742" s="10">
        <v>154.69</v>
      </c>
      <c r="N1742" s="10" t="s">
        <v>761</v>
      </c>
      <c r="O1742" s="10" t="s">
        <v>275</v>
      </c>
      <c r="P1742" s="105">
        <f t="shared" si="27"/>
        <v>7.7345</v>
      </c>
    </row>
    <row r="1743" spans="1:16">
      <c r="A1743" s="10" t="s">
        <v>635</v>
      </c>
      <c r="B1743" s="10">
        <v>8009668</v>
      </c>
      <c r="C1743" s="10" t="s">
        <v>759</v>
      </c>
      <c r="D1743" s="10" t="s">
        <v>760</v>
      </c>
      <c r="E1743" s="10">
        <v>10</v>
      </c>
      <c r="F1743" s="10">
        <v>5</v>
      </c>
      <c r="G1743" s="10">
        <v>0</v>
      </c>
      <c r="H1743" s="10">
        <v>15</v>
      </c>
      <c r="I1743" s="10" t="s">
        <v>102</v>
      </c>
      <c r="J1743" s="10">
        <v>71.77</v>
      </c>
      <c r="K1743" s="10">
        <v>41.46</v>
      </c>
      <c r="L1743" s="10">
        <v>0</v>
      </c>
      <c r="M1743" s="10">
        <v>113.23</v>
      </c>
      <c r="N1743" s="10" t="s">
        <v>761</v>
      </c>
      <c r="O1743" s="10" t="s">
        <v>274</v>
      </c>
      <c r="P1743" s="105">
        <f t="shared" si="27"/>
        <v>7.54866666666667</v>
      </c>
    </row>
    <row r="1744" spans="1:16">
      <c r="A1744" s="10" t="s">
        <v>635</v>
      </c>
      <c r="B1744" s="10">
        <v>8009669</v>
      </c>
      <c r="C1744" s="10" t="s">
        <v>759</v>
      </c>
      <c r="D1744" s="10" t="s">
        <v>760</v>
      </c>
      <c r="E1744" s="10">
        <v>10</v>
      </c>
      <c r="F1744" s="10">
        <v>10</v>
      </c>
      <c r="G1744" s="10">
        <v>0</v>
      </c>
      <c r="H1744" s="10">
        <v>20</v>
      </c>
      <c r="I1744" s="10" t="s">
        <v>102</v>
      </c>
      <c r="J1744" s="10">
        <v>71.77</v>
      </c>
      <c r="K1744" s="10">
        <v>82.92</v>
      </c>
      <c r="L1744" s="10">
        <v>0</v>
      </c>
      <c r="M1744" s="10">
        <v>154.69</v>
      </c>
      <c r="N1744" s="10" t="s">
        <v>761</v>
      </c>
      <c r="O1744" s="10" t="s">
        <v>273</v>
      </c>
      <c r="P1744" s="105">
        <f t="shared" si="27"/>
        <v>7.7345</v>
      </c>
    </row>
    <row r="1745" spans="1:16">
      <c r="A1745" s="10" t="s">
        <v>635</v>
      </c>
      <c r="B1745" s="10">
        <v>8009670</v>
      </c>
      <c r="C1745" s="10" t="s">
        <v>759</v>
      </c>
      <c r="D1745" s="10" t="s">
        <v>760</v>
      </c>
      <c r="E1745" s="10">
        <v>10</v>
      </c>
      <c r="F1745" s="10">
        <v>10</v>
      </c>
      <c r="G1745" s="10">
        <v>0</v>
      </c>
      <c r="H1745" s="10">
        <v>20</v>
      </c>
      <c r="I1745" s="10" t="s">
        <v>102</v>
      </c>
      <c r="J1745" s="10">
        <v>71.77</v>
      </c>
      <c r="K1745" s="10">
        <v>82.92</v>
      </c>
      <c r="L1745" s="10">
        <v>0</v>
      </c>
      <c r="M1745" s="10">
        <v>154.69</v>
      </c>
      <c r="N1745" s="10" t="s">
        <v>761</v>
      </c>
      <c r="O1745" s="10" t="s">
        <v>272</v>
      </c>
      <c r="P1745" s="105">
        <f t="shared" si="27"/>
        <v>7.7345</v>
      </c>
    </row>
    <row r="1746" spans="1:16">
      <c r="A1746" s="10" t="s">
        <v>635</v>
      </c>
      <c r="B1746" s="10">
        <v>8009754</v>
      </c>
      <c r="C1746" s="10" t="s">
        <v>759</v>
      </c>
      <c r="D1746" s="10" t="s">
        <v>760</v>
      </c>
      <c r="E1746" s="10">
        <v>0</v>
      </c>
      <c r="F1746" s="10">
        <v>50</v>
      </c>
      <c r="G1746" s="10">
        <v>0</v>
      </c>
      <c r="H1746" s="10">
        <v>50</v>
      </c>
      <c r="I1746" s="10" t="s">
        <v>102</v>
      </c>
      <c r="J1746" s="10">
        <v>0</v>
      </c>
      <c r="K1746" s="10">
        <v>414.6</v>
      </c>
      <c r="L1746" s="10">
        <v>0</v>
      </c>
      <c r="M1746" s="10">
        <v>414.6</v>
      </c>
      <c r="N1746" s="10" t="s">
        <v>761</v>
      </c>
      <c r="O1746" s="10" t="s">
        <v>277</v>
      </c>
      <c r="P1746" s="105">
        <f t="shared" si="27"/>
        <v>8.292</v>
      </c>
    </row>
    <row r="1747" spans="1:16">
      <c r="A1747" s="10" t="s">
        <v>635</v>
      </c>
      <c r="B1747" s="10">
        <v>8009817</v>
      </c>
      <c r="C1747" s="10" t="s">
        <v>759</v>
      </c>
      <c r="D1747" s="10" t="s">
        <v>760</v>
      </c>
      <c r="E1747" s="10">
        <v>0</v>
      </c>
      <c r="F1747" s="10">
        <v>50</v>
      </c>
      <c r="G1747" s="10">
        <v>0</v>
      </c>
      <c r="H1747" s="10">
        <v>50</v>
      </c>
      <c r="I1747" s="10" t="s">
        <v>102</v>
      </c>
      <c r="J1747" s="10">
        <v>0</v>
      </c>
      <c r="K1747" s="10">
        <v>414.6</v>
      </c>
      <c r="L1747" s="10">
        <v>0</v>
      </c>
      <c r="M1747" s="10">
        <v>414.6</v>
      </c>
      <c r="N1747" s="10" t="s">
        <v>761</v>
      </c>
      <c r="O1747" s="10" t="s">
        <v>278</v>
      </c>
      <c r="P1747" s="105">
        <f t="shared" si="27"/>
        <v>8.292</v>
      </c>
    </row>
    <row r="1748" spans="1:16">
      <c r="A1748" s="10" t="s">
        <v>635</v>
      </c>
      <c r="B1748" s="10">
        <v>8009818</v>
      </c>
      <c r="C1748" s="10" t="s">
        <v>759</v>
      </c>
      <c r="D1748" s="10" t="s">
        <v>760</v>
      </c>
      <c r="E1748" s="10">
        <v>10</v>
      </c>
      <c r="F1748" s="10">
        <v>20</v>
      </c>
      <c r="G1748" s="10">
        <v>0</v>
      </c>
      <c r="H1748" s="10">
        <v>30</v>
      </c>
      <c r="I1748" s="10" t="s">
        <v>102</v>
      </c>
      <c r="J1748" s="10">
        <v>71.77</v>
      </c>
      <c r="K1748" s="10">
        <v>165.84</v>
      </c>
      <c r="L1748" s="10">
        <v>0</v>
      </c>
      <c r="M1748" s="10">
        <v>237.61</v>
      </c>
      <c r="N1748" s="10" t="s">
        <v>761</v>
      </c>
      <c r="O1748" s="10" t="s">
        <v>276</v>
      </c>
      <c r="P1748" s="105">
        <f t="shared" si="27"/>
        <v>7.92033333333333</v>
      </c>
    </row>
    <row r="1749" spans="1:16">
      <c r="A1749" s="10" t="s">
        <v>635</v>
      </c>
      <c r="B1749" s="10">
        <v>8009865</v>
      </c>
      <c r="C1749" s="10" t="s">
        <v>759</v>
      </c>
      <c r="D1749" s="10" t="s">
        <v>760</v>
      </c>
      <c r="E1749" s="10">
        <v>0</v>
      </c>
      <c r="F1749" s="10">
        <v>0</v>
      </c>
      <c r="G1749" s="10">
        <v>0</v>
      </c>
      <c r="H1749" s="10">
        <v>0</v>
      </c>
      <c r="I1749" s="10" t="s">
        <v>21</v>
      </c>
      <c r="J1749" s="10">
        <v>0</v>
      </c>
      <c r="K1749" s="10">
        <v>0</v>
      </c>
      <c r="L1749" s="10">
        <v>0</v>
      </c>
      <c r="M1749" s="10">
        <v>0</v>
      </c>
      <c r="N1749" s="10" t="s">
        <v>761</v>
      </c>
      <c r="O1749" s="10" t="s">
        <v>1917</v>
      </c>
      <c r="P1749" s="105" t="e">
        <f t="shared" si="27"/>
        <v>#DIV/0!</v>
      </c>
    </row>
    <row r="1750" spans="1:16">
      <c r="A1750" s="10" t="s">
        <v>635</v>
      </c>
      <c r="B1750" s="10">
        <v>8009991</v>
      </c>
      <c r="C1750" s="10" t="s">
        <v>759</v>
      </c>
      <c r="D1750" s="10" t="s">
        <v>760</v>
      </c>
      <c r="E1750" s="10">
        <v>0</v>
      </c>
      <c r="F1750" s="10">
        <v>0</v>
      </c>
      <c r="G1750" s="10">
        <v>0</v>
      </c>
      <c r="H1750" s="10">
        <v>0</v>
      </c>
      <c r="I1750" s="10" t="s">
        <v>151</v>
      </c>
      <c r="J1750" s="10">
        <v>0</v>
      </c>
      <c r="K1750" s="10">
        <v>0</v>
      </c>
      <c r="L1750" s="10">
        <v>0</v>
      </c>
      <c r="M1750" s="10">
        <v>0</v>
      </c>
      <c r="N1750" s="10" t="s">
        <v>761</v>
      </c>
      <c r="O1750" s="10" t="s">
        <v>1918</v>
      </c>
      <c r="P1750" s="105" t="e">
        <f t="shared" si="27"/>
        <v>#DIV/0!</v>
      </c>
    </row>
    <row r="1751" spans="1:16">
      <c r="A1751" s="10" t="s">
        <v>635</v>
      </c>
      <c r="B1751" s="10">
        <v>8009992</v>
      </c>
      <c r="C1751" s="10" t="s">
        <v>759</v>
      </c>
      <c r="D1751" s="10" t="s">
        <v>760</v>
      </c>
      <c r="E1751" s="10">
        <v>0</v>
      </c>
      <c r="F1751" s="10">
        <v>0</v>
      </c>
      <c r="G1751" s="10">
        <v>0</v>
      </c>
      <c r="H1751" s="10">
        <v>0</v>
      </c>
      <c r="I1751" s="10" t="s">
        <v>151</v>
      </c>
      <c r="J1751" s="10">
        <v>0</v>
      </c>
      <c r="K1751" s="10">
        <v>0</v>
      </c>
      <c r="L1751" s="10">
        <v>0</v>
      </c>
      <c r="M1751" s="10">
        <v>0</v>
      </c>
      <c r="N1751" s="10" t="s">
        <v>761</v>
      </c>
      <c r="O1751" s="10" t="s">
        <v>1919</v>
      </c>
      <c r="P1751" s="105" t="e">
        <f t="shared" si="27"/>
        <v>#DIV/0!</v>
      </c>
    </row>
    <row r="1752" spans="1:16">
      <c r="A1752" s="10" t="s">
        <v>635</v>
      </c>
      <c r="B1752" s="10">
        <v>8009993</v>
      </c>
      <c r="C1752" s="10" t="s">
        <v>759</v>
      </c>
      <c r="D1752" s="10" t="s">
        <v>760</v>
      </c>
      <c r="E1752" s="10">
        <v>0</v>
      </c>
      <c r="F1752" s="10">
        <v>0</v>
      </c>
      <c r="G1752" s="10">
        <v>0</v>
      </c>
      <c r="H1752" s="10">
        <v>0</v>
      </c>
      <c r="I1752" s="10" t="s">
        <v>151</v>
      </c>
      <c r="J1752" s="10">
        <v>0</v>
      </c>
      <c r="K1752" s="10">
        <v>0</v>
      </c>
      <c r="L1752" s="10">
        <v>0</v>
      </c>
      <c r="M1752" s="10">
        <v>0</v>
      </c>
      <c r="N1752" s="10" t="s">
        <v>761</v>
      </c>
      <c r="O1752" s="10" t="s">
        <v>1920</v>
      </c>
      <c r="P1752" s="105" t="e">
        <f t="shared" si="27"/>
        <v>#DIV/0!</v>
      </c>
    </row>
    <row r="1753" spans="1:16">
      <c r="A1753" s="10" t="s">
        <v>635</v>
      </c>
      <c r="B1753" s="10">
        <v>8009994</v>
      </c>
      <c r="C1753" s="10" t="s">
        <v>759</v>
      </c>
      <c r="D1753" s="10" t="s">
        <v>760</v>
      </c>
      <c r="E1753" s="10">
        <v>0</v>
      </c>
      <c r="F1753" s="10">
        <v>0</v>
      </c>
      <c r="G1753" s="10">
        <v>0</v>
      </c>
      <c r="H1753" s="10">
        <v>0</v>
      </c>
      <c r="I1753" s="10" t="s">
        <v>151</v>
      </c>
      <c r="J1753" s="10">
        <v>0</v>
      </c>
      <c r="K1753" s="10">
        <v>0</v>
      </c>
      <c r="L1753" s="10">
        <v>0</v>
      </c>
      <c r="M1753" s="10">
        <v>0</v>
      </c>
      <c r="N1753" s="10" t="s">
        <v>761</v>
      </c>
      <c r="O1753" s="10" t="s">
        <v>1921</v>
      </c>
      <c r="P1753" s="105" t="e">
        <f t="shared" si="27"/>
        <v>#DIV/0!</v>
      </c>
    </row>
    <row r="1754" spans="1:16">
      <c r="A1754" s="10" t="s">
        <v>635</v>
      </c>
      <c r="B1754" s="10">
        <v>8009995</v>
      </c>
      <c r="C1754" s="10" t="s">
        <v>759</v>
      </c>
      <c r="D1754" s="10" t="s">
        <v>760</v>
      </c>
      <c r="E1754" s="10">
        <v>0</v>
      </c>
      <c r="F1754" s="10">
        <v>0</v>
      </c>
      <c r="G1754" s="10">
        <v>0</v>
      </c>
      <c r="H1754" s="10">
        <v>0</v>
      </c>
      <c r="I1754" s="10" t="s">
        <v>151</v>
      </c>
      <c r="J1754" s="10">
        <v>0</v>
      </c>
      <c r="K1754" s="10">
        <v>0</v>
      </c>
      <c r="L1754" s="10">
        <v>0</v>
      </c>
      <c r="M1754" s="10">
        <v>0</v>
      </c>
      <c r="N1754" s="10" t="s">
        <v>761</v>
      </c>
      <c r="O1754" s="10" t="s">
        <v>1922</v>
      </c>
      <c r="P1754" s="105" t="e">
        <f t="shared" si="27"/>
        <v>#DIV/0!</v>
      </c>
    </row>
    <row r="1755" spans="1:16">
      <c r="A1755" s="10" t="s">
        <v>635</v>
      </c>
      <c r="B1755" s="10">
        <v>8009996</v>
      </c>
      <c r="C1755" s="10" t="s">
        <v>759</v>
      </c>
      <c r="D1755" s="10" t="s">
        <v>760</v>
      </c>
      <c r="E1755" s="10">
        <v>0</v>
      </c>
      <c r="F1755" s="10">
        <v>0</v>
      </c>
      <c r="G1755" s="10">
        <v>0</v>
      </c>
      <c r="H1755" s="10">
        <v>0</v>
      </c>
      <c r="I1755" s="10" t="s">
        <v>151</v>
      </c>
      <c r="J1755" s="10">
        <v>0</v>
      </c>
      <c r="K1755" s="10">
        <v>0</v>
      </c>
      <c r="L1755" s="10">
        <v>0</v>
      </c>
      <c r="M1755" s="10">
        <v>0</v>
      </c>
      <c r="N1755" s="10" t="s">
        <v>761</v>
      </c>
      <c r="O1755" s="10" t="s">
        <v>1923</v>
      </c>
      <c r="P1755" s="105" t="e">
        <f t="shared" si="27"/>
        <v>#DIV/0!</v>
      </c>
    </row>
    <row r="1756" spans="1:16">
      <c r="A1756" s="10" t="s">
        <v>635</v>
      </c>
      <c r="B1756" s="10">
        <v>8010022</v>
      </c>
      <c r="C1756" s="10" t="s">
        <v>759</v>
      </c>
      <c r="D1756" s="10" t="s">
        <v>760</v>
      </c>
      <c r="E1756" s="10">
        <v>0</v>
      </c>
      <c r="F1756" s="10">
        <v>0</v>
      </c>
      <c r="G1756" s="10">
        <v>0</v>
      </c>
      <c r="H1756" s="10">
        <v>0</v>
      </c>
      <c r="I1756" s="10" t="s">
        <v>711</v>
      </c>
      <c r="J1756" s="10">
        <v>0</v>
      </c>
      <c r="K1756" s="10">
        <v>0</v>
      </c>
      <c r="L1756" s="10">
        <v>0</v>
      </c>
      <c r="M1756" s="10">
        <v>0</v>
      </c>
      <c r="N1756" s="10" t="s">
        <v>761</v>
      </c>
      <c r="O1756" s="10" t="s">
        <v>1924</v>
      </c>
      <c r="P1756" s="105" t="e">
        <f t="shared" si="27"/>
        <v>#DIV/0!</v>
      </c>
    </row>
    <row r="1757" spans="1:16">
      <c r="A1757" s="10" t="s">
        <v>635</v>
      </c>
      <c r="B1757" s="10">
        <v>8010068</v>
      </c>
      <c r="C1757" s="10" t="s">
        <v>759</v>
      </c>
      <c r="D1757" s="10" t="s">
        <v>760</v>
      </c>
      <c r="E1757" s="10">
        <v>0</v>
      </c>
      <c r="F1757" s="10">
        <v>0</v>
      </c>
      <c r="G1757" s="10">
        <v>0</v>
      </c>
      <c r="H1757" s="10">
        <v>0</v>
      </c>
      <c r="I1757" s="10" t="s">
        <v>128</v>
      </c>
      <c r="J1757" s="10">
        <v>0</v>
      </c>
      <c r="K1757" s="10">
        <v>0</v>
      </c>
      <c r="L1757" s="10">
        <v>0</v>
      </c>
      <c r="M1757" s="10">
        <v>0</v>
      </c>
      <c r="N1757" s="10" t="s">
        <v>761</v>
      </c>
      <c r="O1757" s="10" t="s">
        <v>1925</v>
      </c>
      <c r="P1757" s="105" t="e">
        <f t="shared" si="27"/>
        <v>#DIV/0!</v>
      </c>
    </row>
    <row r="1758" spans="1:16">
      <c r="A1758" s="10" t="s">
        <v>635</v>
      </c>
      <c r="B1758" s="10">
        <v>8010069</v>
      </c>
      <c r="C1758" s="10" t="s">
        <v>759</v>
      </c>
      <c r="D1758" s="10" t="s">
        <v>760</v>
      </c>
      <c r="E1758" s="10">
        <v>0</v>
      </c>
      <c r="F1758" s="10">
        <v>0</v>
      </c>
      <c r="G1758" s="10">
        <v>0</v>
      </c>
      <c r="H1758" s="10">
        <v>0</v>
      </c>
      <c r="I1758" s="10" t="s">
        <v>128</v>
      </c>
      <c r="J1758" s="10">
        <v>0</v>
      </c>
      <c r="K1758" s="10">
        <v>0</v>
      </c>
      <c r="L1758" s="10">
        <v>0</v>
      </c>
      <c r="M1758" s="10">
        <v>0</v>
      </c>
      <c r="N1758" s="10" t="s">
        <v>761</v>
      </c>
      <c r="O1758" s="10" t="s">
        <v>1926</v>
      </c>
      <c r="P1758" s="105" t="e">
        <f t="shared" si="27"/>
        <v>#DIV/0!</v>
      </c>
    </row>
    <row r="1759" spans="1:16">
      <c r="A1759" s="10" t="s">
        <v>635</v>
      </c>
      <c r="B1759" s="10">
        <v>8010071</v>
      </c>
      <c r="C1759" s="10" t="s">
        <v>759</v>
      </c>
      <c r="D1759" s="10" t="s">
        <v>760</v>
      </c>
      <c r="E1759" s="10">
        <v>0</v>
      </c>
      <c r="F1759" s="10">
        <v>8</v>
      </c>
      <c r="G1759" s="10">
        <v>0</v>
      </c>
      <c r="H1759" s="10">
        <v>8</v>
      </c>
      <c r="I1759" s="10" t="s">
        <v>21</v>
      </c>
      <c r="J1759" s="10">
        <v>0</v>
      </c>
      <c r="K1759" s="10">
        <v>110.56</v>
      </c>
      <c r="L1759" s="10">
        <v>0</v>
      </c>
      <c r="M1759" s="10">
        <v>110.56</v>
      </c>
      <c r="N1759" s="10" t="s">
        <v>761</v>
      </c>
      <c r="O1759" s="10" t="s">
        <v>329</v>
      </c>
      <c r="P1759" s="105">
        <f t="shared" si="27"/>
        <v>13.82</v>
      </c>
    </row>
    <row r="1760" spans="1:16">
      <c r="A1760" s="10" t="s">
        <v>635</v>
      </c>
      <c r="B1760" s="10">
        <v>8010139</v>
      </c>
      <c r="C1760" s="10" t="s">
        <v>759</v>
      </c>
      <c r="D1760" s="10" t="s">
        <v>760</v>
      </c>
      <c r="E1760" s="10">
        <v>0</v>
      </c>
      <c r="F1760" s="10">
        <v>0</v>
      </c>
      <c r="G1760" s="10">
        <v>0</v>
      </c>
      <c r="H1760" s="10">
        <v>0</v>
      </c>
      <c r="I1760" s="10" t="s">
        <v>21</v>
      </c>
      <c r="J1760" s="10">
        <v>0</v>
      </c>
      <c r="K1760" s="10">
        <v>0</v>
      </c>
      <c r="L1760" s="10">
        <v>0</v>
      </c>
      <c r="M1760" s="10">
        <v>0</v>
      </c>
      <c r="N1760" s="10" t="s">
        <v>761</v>
      </c>
      <c r="O1760" s="10" t="s">
        <v>1927</v>
      </c>
      <c r="P1760" s="105" t="e">
        <f t="shared" si="27"/>
        <v>#DIV/0!</v>
      </c>
    </row>
    <row r="1761" spans="1:16">
      <c r="A1761" s="10" t="s">
        <v>635</v>
      </c>
      <c r="B1761" s="10">
        <v>8010148</v>
      </c>
      <c r="C1761" s="10" t="s">
        <v>759</v>
      </c>
      <c r="D1761" s="10" t="s">
        <v>760</v>
      </c>
      <c r="E1761" s="10">
        <v>0</v>
      </c>
      <c r="F1761" s="10">
        <v>0</v>
      </c>
      <c r="G1761" s="10">
        <v>0</v>
      </c>
      <c r="H1761" s="10">
        <v>0</v>
      </c>
      <c r="I1761" s="10" t="s">
        <v>658</v>
      </c>
      <c r="J1761" s="10">
        <v>0</v>
      </c>
      <c r="K1761" s="10">
        <v>0</v>
      </c>
      <c r="L1761" s="10">
        <v>0</v>
      </c>
      <c r="M1761" s="10">
        <v>0</v>
      </c>
      <c r="N1761" s="10" t="s">
        <v>761</v>
      </c>
      <c r="O1761" s="10" t="s">
        <v>1928</v>
      </c>
      <c r="P1761" s="105" t="e">
        <f t="shared" si="27"/>
        <v>#DIV/0!</v>
      </c>
    </row>
    <row r="1762" spans="1:16">
      <c r="A1762" s="10" t="s">
        <v>635</v>
      </c>
      <c r="B1762" s="10">
        <v>8010182</v>
      </c>
      <c r="C1762" s="10" t="s">
        <v>759</v>
      </c>
      <c r="D1762" s="10" t="s">
        <v>760</v>
      </c>
      <c r="E1762" s="10">
        <v>0</v>
      </c>
      <c r="F1762" s="10">
        <v>0</v>
      </c>
      <c r="G1762" s="10">
        <v>0</v>
      </c>
      <c r="H1762" s="10">
        <v>0</v>
      </c>
      <c r="I1762" s="10" t="s">
        <v>26</v>
      </c>
      <c r="J1762" s="10">
        <v>0</v>
      </c>
      <c r="K1762" s="10">
        <v>0</v>
      </c>
      <c r="L1762" s="10">
        <v>0</v>
      </c>
      <c r="M1762" s="10">
        <v>0</v>
      </c>
      <c r="N1762" s="10" t="s">
        <v>761</v>
      </c>
      <c r="O1762" s="10" t="s">
        <v>1929</v>
      </c>
      <c r="P1762" s="105" t="e">
        <f t="shared" si="27"/>
        <v>#DIV/0!</v>
      </c>
    </row>
    <row r="1763" spans="1:16">
      <c r="A1763" s="10" t="s">
        <v>635</v>
      </c>
      <c r="B1763" s="10">
        <v>8010193</v>
      </c>
      <c r="C1763" s="10" t="s">
        <v>759</v>
      </c>
      <c r="D1763" s="10" t="s">
        <v>760</v>
      </c>
      <c r="E1763" s="10">
        <v>0</v>
      </c>
      <c r="F1763" s="10">
        <v>0</v>
      </c>
      <c r="G1763" s="10">
        <v>0</v>
      </c>
      <c r="H1763" s="10">
        <v>0</v>
      </c>
      <c r="I1763" s="10" t="s">
        <v>26</v>
      </c>
      <c r="J1763" s="10">
        <v>0</v>
      </c>
      <c r="K1763" s="10">
        <v>0</v>
      </c>
      <c r="L1763" s="10">
        <v>0</v>
      </c>
      <c r="M1763" s="10">
        <v>0</v>
      </c>
      <c r="N1763" s="10" t="s">
        <v>761</v>
      </c>
      <c r="O1763" s="10" t="s">
        <v>1930</v>
      </c>
      <c r="P1763" s="105" t="e">
        <f t="shared" si="27"/>
        <v>#DIV/0!</v>
      </c>
    </row>
    <row r="1764" spans="1:16">
      <c r="A1764" s="10" t="s">
        <v>635</v>
      </c>
      <c r="B1764" s="10">
        <v>8010194</v>
      </c>
      <c r="C1764" s="10" t="s">
        <v>759</v>
      </c>
      <c r="D1764" s="10" t="s">
        <v>760</v>
      </c>
      <c r="E1764" s="10">
        <v>0</v>
      </c>
      <c r="F1764" s="10">
        <v>0</v>
      </c>
      <c r="G1764" s="10">
        <v>0</v>
      </c>
      <c r="H1764" s="10">
        <v>0</v>
      </c>
      <c r="I1764" s="10" t="s">
        <v>21</v>
      </c>
      <c r="J1764" s="10">
        <v>0</v>
      </c>
      <c r="K1764" s="10">
        <v>0</v>
      </c>
      <c r="L1764" s="10">
        <v>0</v>
      </c>
      <c r="M1764" s="10">
        <v>0</v>
      </c>
      <c r="N1764" s="10" t="s">
        <v>761</v>
      </c>
      <c r="O1764" s="10" t="s">
        <v>1931</v>
      </c>
      <c r="P1764" s="105" t="e">
        <f t="shared" si="27"/>
        <v>#DIV/0!</v>
      </c>
    </row>
    <row r="1765" spans="1:16">
      <c r="A1765" s="10" t="s">
        <v>635</v>
      </c>
      <c r="B1765" s="10">
        <v>8010197</v>
      </c>
      <c r="C1765" s="10" t="s">
        <v>759</v>
      </c>
      <c r="D1765" s="10" t="s">
        <v>760</v>
      </c>
      <c r="E1765" s="10">
        <v>0</v>
      </c>
      <c r="F1765" s="10">
        <v>0</v>
      </c>
      <c r="G1765" s="10">
        <v>0</v>
      </c>
      <c r="H1765" s="10">
        <v>0</v>
      </c>
      <c r="I1765" s="10" t="s">
        <v>26</v>
      </c>
      <c r="J1765" s="10">
        <v>0</v>
      </c>
      <c r="K1765" s="10">
        <v>0</v>
      </c>
      <c r="L1765" s="10">
        <v>0</v>
      </c>
      <c r="M1765" s="10">
        <v>0</v>
      </c>
      <c r="N1765" s="10" t="s">
        <v>761</v>
      </c>
      <c r="O1765" s="10" t="s">
        <v>1932</v>
      </c>
      <c r="P1765" s="105" t="e">
        <f t="shared" si="27"/>
        <v>#DIV/0!</v>
      </c>
    </row>
    <row r="1766" spans="1:16">
      <c r="A1766" s="10" t="s">
        <v>635</v>
      </c>
      <c r="B1766" s="10">
        <v>8010290</v>
      </c>
      <c r="C1766" s="10" t="s">
        <v>759</v>
      </c>
      <c r="D1766" s="10" t="s">
        <v>760</v>
      </c>
      <c r="E1766" s="10">
        <v>0</v>
      </c>
      <c r="F1766" s="10">
        <v>0</v>
      </c>
      <c r="G1766" s="10">
        <v>0</v>
      </c>
      <c r="H1766" s="10">
        <v>0</v>
      </c>
      <c r="I1766" s="10" t="s">
        <v>21</v>
      </c>
      <c r="J1766" s="10">
        <v>0</v>
      </c>
      <c r="K1766" s="10">
        <v>0</v>
      </c>
      <c r="L1766" s="10">
        <v>0</v>
      </c>
      <c r="M1766" s="10">
        <v>0</v>
      </c>
      <c r="N1766" s="10" t="s">
        <v>761</v>
      </c>
      <c r="O1766" s="10" t="s">
        <v>1933</v>
      </c>
      <c r="P1766" s="105" t="e">
        <f t="shared" si="27"/>
        <v>#DIV/0!</v>
      </c>
    </row>
    <row r="1767" spans="1:16">
      <c r="A1767" s="10" t="s">
        <v>635</v>
      </c>
      <c r="B1767" s="10">
        <v>8010291</v>
      </c>
      <c r="C1767" s="10" t="s">
        <v>759</v>
      </c>
      <c r="D1767" s="10" t="s">
        <v>760</v>
      </c>
      <c r="E1767" s="10">
        <v>0</v>
      </c>
      <c r="F1767" s="10">
        <v>0</v>
      </c>
      <c r="G1767" s="10">
        <v>0</v>
      </c>
      <c r="H1767" s="10">
        <v>0</v>
      </c>
      <c r="I1767" s="10" t="s">
        <v>21</v>
      </c>
      <c r="J1767" s="10">
        <v>0</v>
      </c>
      <c r="K1767" s="10">
        <v>0</v>
      </c>
      <c r="L1767" s="10">
        <v>0</v>
      </c>
      <c r="M1767" s="10">
        <v>0</v>
      </c>
      <c r="N1767" s="10" t="s">
        <v>761</v>
      </c>
      <c r="O1767" s="10" t="s">
        <v>1934</v>
      </c>
      <c r="P1767" s="105" t="e">
        <f t="shared" si="27"/>
        <v>#DIV/0!</v>
      </c>
    </row>
    <row r="1768" spans="1:16">
      <c r="A1768" s="10" t="s">
        <v>635</v>
      </c>
      <c r="B1768" s="10">
        <v>8010292</v>
      </c>
      <c r="C1768" s="10" t="s">
        <v>759</v>
      </c>
      <c r="D1768" s="10" t="s">
        <v>760</v>
      </c>
      <c r="E1768" s="10">
        <v>0</v>
      </c>
      <c r="F1768" s="10">
        <v>0</v>
      </c>
      <c r="G1768" s="10">
        <v>0</v>
      </c>
      <c r="H1768" s="10">
        <v>0</v>
      </c>
      <c r="I1768" s="10" t="s">
        <v>21</v>
      </c>
      <c r="J1768" s="10">
        <v>0</v>
      </c>
      <c r="K1768" s="10">
        <v>0</v>
      </c>
      <c r="L1768" s="10">
        <v>0</v>
      </c>
      <c r="M1768" s="10">
        <v>0</v>
      </c>
      <c r="N1768" s="10" t="s">
        <v>761</v>
      </c>
      <c r="O1768" s="10" t="s">
        <v>1935</v>
      </c>
      <c r="P1768" s="105" t="e">
        <f t="shared" si="27"/>
        <v>#DIV/0!</v>
      </c>
    </row>
    <row r="1769" spans="1:16">
      <c r="A1769" s="10" t="s">
        <v>635</v>
      </c>
      <c r="B1769" s="10">
        <v>8010295</v>
      </c>
      <c r="C1769" s="10" t="s">
        <v>759</v>
      </c>
      <c r="D1769" s="10" t="s">
        <v>760</v>
      </c>
      <c r="E1769" s="10">
        <v>0</v>
      </c>
      <c r="F1769" s="10">
        <v>0</v>
      </c>
      <c r="G1769" s="10">
        <v>0</v>
      </c>
      <c r="H1769" s="10">
        <v>0</v>
      </c>
      <c r="I1769" s="10" t="s">
        <v>21</v>
      </c>
      <c r="J1769" s="10">
        <v>0</v>
      </c>
      <c r="K1769" s="10">
        <v>0</v>
      </c>
      <c r="L1769" s="10">
        <v>0</v>
      </c>
      <c r="M1769" s="10">
        <v>0</v>
      </c>
      <c r="N1769" s="10" t="s">
        <v>761</v>
      </c>
      <c r="O1769" s="10" t="s">
        <v>1936</v>
      </c>
      <c r="P1769" s="105" t="e">
        <f t="shared" si="27"/>
        <v>#DIV/0!</v>
      </c>
    </row>
    <row r="1770" spans="1:16">
      <c r="A1770" s="10" t="s">
        <v>635</v>
      </c>
      <c r="B1770" s="10">
        <v>8010296</v>
      </c>
      <c r="C1770" s="10" t="s">
        <v>759</v>
      </c>
      <c r="D1770" s="10" t="s">
        <v>760</v>
      </c>
      <c r="E1770" s="10">
        <v>0</v>
      </c>
      <c r="F1770" s="10">
        <v>0</v>
      </c>
      <c r="G1770" s="10">
        <v>0</v>
      </c>
      <c r="H1770" s="10">
        <v>0</v>
      </c>
      <c r="I1770" s="10" t="s">
        <v>41</v>
      </c>
      <c r="J1770" s="10">
        <v>0</v>
      </c>
      <c r="K1770" s="10">
        <v>0</v>
      </c>
      <c r="L1770" s="10">
        <v>0</v>
      </c>
      <c r="M1770" s="10">
        <v>0</v>
      </c>
      <c r="N1770" s="10" t="s">
        <v>761</v>
      </c>
      <c r="O1770" s="10" t="s">
        <v>1937</v>
      </c>
      <c r="P1770" s="105" t="e">
        <f t="shared" si="27"/>
        <v>#DIV/0!</v>
      </c>
    </row>
    <row r="1771" spans="1:16">
      <c r="A1771" s="10" t="s">
        <v>635</v>
      </c>
      <c r="B1771" s="10">
        <v>8010297</v>
      </c>
      <c r="C1771" s="10" t="s">
        <v>759</v>
      </c>
      <c r="D1771" s="10" t="s">
        <v>760</v>
      </c>
      <c r="E1771" s="10">
        <v>0</v>
      </c>
      <c r="F1771" s="10">
        <v>0</v>
      </c>
      <c r="G1771" s="10">
        <v>0</v>
      </c>
      <c r="H1771" s="10">
        <v>0</v>
      </c>
      <c r="I1771" s="10" t="s">
        <v>41</v>
      </c>
      <c r="J1771" s="10">
        <v>0</v>
      </c>
      <c r="K1771" s="10">
        <v>0</v>
      </c>
      <c r="L1771" s="10">
        <v>0</v>
      </c>
      <c r="M1771" s="10">
        <v>0</v>
      </c>
      <c r="N1771" s="10" t="s">
        <v>761</v>
      </c>
      <c r="O1771" s="10" t="s">
        <v>1938</v>
      </c>
      <c r="P1771" s="105" t="e">
        <f t="shared" si="27"/>
        <v>#DIV/0!</v>
      </c>
    </row>
    <row r="1772" spans="1:16">
      <c r="A1772" s="10" t="s">
        <v>635</v>
      </c>
      <c r="B1772" s="10">
        <v>8010298</v>
      </c>
      <c r="C1772" s="10" t="s">
        <v>759</v>
      </c>
      <c r="D1772" s="10" t="s">
        <v>760</v>
      </c>
      <c r="E1772" s="10">
        <v>0</v>
      </c>
      <c r="F1772" s="10">
        <v>0</v>
      </c>
      <c r="G1772" s="10">
        <v>0</v>
      </c>
      <c r="H1772" s="10">
        <v>0</v>
      </c>
      <c r="I1772" s="10" t="s">
        <v>21</v>
      </c>
      <c r="J1772" s="10">
        <v>0</v>
      </c>
      <c r="K1772" s="10">
        <v>0</v>
      </c>
      <c r="L1772" s="10">
        <v>0</v>
      </c>
      <c r="M1772" s="10">
        <v>0</v>
      </c>
      <c r="N1772" s="10" t="s">
        <v>761</v>
      </c>
      <c r="O1772" s="10" t="s">
        <v>1939</v>
      </c>
      <c r="P1772" s="105" t="e">
        <f t="shared" si="27"/>
        <v>#DIV/0!</v>
      </c>
    </row>
    <row r="1773" spans="1:16">
      <c r="A1773" s="10" t="s">
        <v>635</v>
      </c>
      <c r="B1773" s="10">
        <v>8010299</v>
      </c>
      <c r="C1773" s="10" t="s">
        <v>759</v>
      </c>
      <c r="D1773" s="10" t="s">
        <v>760</v>
      </c>
      <c r="E1773" s="10">
        <v>0</v>
      </c>
      <c r="F1773" s="10">
        <v>0</v>
      </c>
      <c r="G1773" s="10">
        <v>0</v>
      </c>
      <c r="H1773" s="10">
        <v>0</v>
      </c>
      <c r="I1773" s="10" t="s">
        <v>21</v>
      </c>
      <c r="J1773" s="10">
        <v>0</v>
      </c>
      <c r="K1773" s="10">
        <v>0</v>
      </c>
      <c r="L1773" s="10">
        <v>0</v>
      </c>
      <c r="M1773" s="10">
        <v>0</v>
      </c>
      <c r="N1773" s="10" t="s">
        <v>761</v>
      </c>
      <c r="O1773" s="10" t="s">
        <v>1940</v>
      </c>
      <c r="P1773" s="105" t="e">
        <f t="shared" si="27"/>
        <v>#DIV/0!</v>
      </c>
    </row>
    <row r="1774" spans="1:16">
      <c r="A1774" s="10" t="s">
        <v>635</v>
      </c>
      <c r="B1774" s="10">
        <v>8010300</v>
      </c>
      <c r="C1774" s="10" t="s">
        <v>759</v>
      </c>
      <c r="D1774" s="10" t="s">
        <v>760</v>
      </c>
      <c r="E1774" s="10">
        <v>0</v>
      </c>
      <c r="F1774" s="10">
        <v>0</v>
      </c>
      <c r="G1774" s="10">
        <v>0</v>
      </c>
      <c r="H1774" s="10">
        <v>0</v>
      </c>
      <c r="I1774" s="10" t="s">
        <v>21</v>
      </c>
      <c r="J1774" s="10">
        <v>0</v>
      </c>
      <c r="K1774" s="10">
        <v>0</v>
      </c>
      <c r="L1774" s="10">
        <v>0</v>
      </c>
      <c r="M1774" s="10">
        <v>0</v>
      </c>
      <c r="N1774" s="10" t="s">
        <v>761</v>
      </c>
      <c r="O1774" s="10" t="s">
        <v>1941</v>
      </c>
      <c r="P1774" s="105" t="e">
        <f t="shared" si="27"/>
        <v>#DIV/0!</v>
      </c>
    </row>
    <row r="1775" spans="1:16">
      <c r="A1775" s="10" t="s">
        <v>635</v>
      </c>
      <c r="B1775" s="10">
        <v>8010301</v>
      </c>
      <c r="C1775" s="10" t="s">
        <v>759</v>
      </c>
      <c r="D1775" s="10" t="s">
        <v>760</v>
      </c>
      <c r="E1775" s="10">
        <v>0</v>
      </c>
      <c r="F1775" s="10">
        <v>0</v>
      </c>
      <c r="G1775" s="10">
        <v>0</v>
      </c>
      <c r="H1775" s="10">
        <v>0</v>
      </c>
      <c r="I1775" s="10" t="s">
        <v>21</v>
      </c>
      <c r="J1775" s="10">
        <v>0</v>
      </c>
      <c r="K1775" s="10">
        <v>0</v>
      </c>
      <c r="L1775" s="10">
        <v>0</v>
      </c>
      <c r="M1775" s="10">
        <v>0</v>
      </c>
      <c r="N1775" s="10" t="s">
        <v>761</v>
      </c>
      <c r="O1775" s="10" t="s">
        <v>1942</v>
      </c>
      <c r="P1775" s="105" t="e">
        <f t="shared" si="27"/>
        <v>#DIV/0!</v>
      </c>
    </row>
    <row r="1776" spans="1:16">
      <c r="A1776" s="10" t="s">
        <v>635</v>
      </c>
      <c r="B1776" s="10">
        <v>8010302</v>
      </c>
      <c r="C1776" s="10" t="s">
        <v>759</v>
      </c>
      <c r="D1776" s="10" t="s">
        <v>760</v>
      </c>
      <c r="E1776" s="10">
        <v>0</v>
      </c>
      <c r="F1776" s="10">
        <v>0</v>
      </c>
      <c r="G1776" s="10">
        <v>0</v>
      </c>
      <c r="H1776" s="10">
        <v>0</v>
      </c>
      <c r="I1776" s="10" t="s">
        <v>26</v>
      </c>
      <c r="J1776" s="10">
        <v>0</v>
      </c>
      <c r="K1776" s="10">
        <v>0</v>
      </c>
      <c r="L1776" s="10">
        <v>0</v>
      </c>
      <c r="M1776" s="10">
        <v>0</v>
      </c>
      <c r="N1776" s="10" t="s">
        <v>761</v>
      </c>
      <c r="O1776" s="10" t="s">
        <v>1943</v>
      </c>
      <c r="P1776" s="105" t="e">
        <f t="shared" si="27"/>
        <v>#DIV/0!</v>
      </c>
    </row>
    <row r="1777" spans="1:16">
      <c r="A1777" s="10" t="s">
        <v>635</v>
      </c>
      <c r="B1777" s="10">
        <v>8010303</v>
      </c>
      <c r="C1777" s="10" t="s">
        <v>759</v>
      </c>
      <c r="D1777" s="10" t="s">
        <v>760</v>
      </c>
      <c r="E1777" s="10">
        <v>0</v>
      </c>
      <c r="F1777" s="10">
        <v>0</v>
      </c>
      <c r="G1777" s="10">
        <v>0</v>
      </c>
      <c r="H1777" s="10">
        <v>0</v>
      </c>
      <c r="I1777" s="10" t="s">
        <v>21</v>
      </c>
      <c r="J1777" s="10">
        <v>0</v>
      </c>
      <c r="K1777" s="10">
        <v>0</v>
      </c>
      <c r="L1777" s="10">
        <v>0</v>
      </c>
      <c r="M1777" s="10">
        <v>0</v>
      </c>
      <c r="N1777" s="10" t="s">
        <v>761</v>
      </c>
      <c r="O1777" s="10" t="s">
        <v>1944</v>
      </c>
      <c r="P1777" s="105" t="e">
        <f t="shared" si="27"/>
        <v>#DIV/0!</v>
      </c>
    </row>
    <row r="1778" spans="1:16">
      <c r="A1778" s="10" t="s">
        <v>635</v>
      </c>
      <c r="B1778" s="10">
        <v>8010318</v>
      </c>
      <c r="C1778" s="10" t="s">
        <v>759</v>
      </c>
      <c r="D1778" s="10" t="s">
        <v>760</v>
      </c>
      <c r="E1778" s="10">
        <v>0</v>
      </c>
      <c r="F1778" s="10">
        <v>0</v>
      </c>
      <c r="G1778" s="10">
        <v>0</v>
      </c>
      <c r="H1778" s="10">
        <v>0</v>
      </c>
      <c r="I1778" s="10" t="s">
        <v>21</v>
      </c>
      <c r="J1778" s="10">
        <v>0</v>
      </c>
      <c r="K1778" s="10">
        <v>0</v>
      </c>
      <c r="L1778" s="10">
        <v>0</v>
      </c>
      <c r="M1778" s="10">
        <v>0</v>
      </c>
      <c r="N1778" s="10" t="s">
        <v>761</v>
      </c>
      <c r="O1778" s="10" t="s">
        <v>1945</v>
      </c>
      <c r="P1778" s="105" t="e">
        <f t="shared" si="27"/>
        <v>#DIV/0!</v>
      </c>
    </row>
    <row r="1779" spans="1:16">
      <c r="A1779" s="10" t="s">
        <v>635</v>
      </c>
      <c r="B1779" s="10">
        <v>8010370</v>
      </c>
      <c r="C1779" s="10" t="s">
        <v>759</v>
      </c>
      <c r="D1779" s="10" t="s">
        <v>760</v>
      </c>
      <c r="E1779" s="10">
        <v>0</v>
      </c>
      <c r="F1779" s="10">
        <v>0</v>
      </c>
      <c r="G1779" s="10">
        <v>0</v>
      </c>
      <c r="H1779" s="10">
        <v>0</v>
      </c>
      <c r="I1779" s="10" t="s">
        <v>21</v>
      </c>
      <c r="J1779" s="10">
        <v>0</v>
      </c>
      <c r="K1779" s="10">
        <v>0</v>
      </c>
      <c r="L1779" s="10">
        <v>0</v>
      </c>
      <c r="M1779" s="10">
        <v>0</v>
      </c>
      <c r="N1779" s="10" t="s">
        <v>761</v>
      </c>
      <c r="O1779" s="10" t="s">
        <v>1946</v>
      </c>
      <c r="P1779" s="105" t="e">
        <f t="shared" si="27"/>
        <v>#DIV/0!</v>
      </c>
    </row>
    <row r="1780" spans="1:16">
      <c r="A1780" s="10" t="s">
        <v>635</v>
      </c>
      <c r="B1780" s="10">
        <v>8010381</v>
      </c>
      <c r="C1780" s="10" t="s">
        <v>759</v>
      </c>
      <c r="D1780" s="10" t="s">
        <v>760</v>
      </c>
      <c r="E1780" s="10">
        <v>0</v>
      </c>
      <c r="F1780" s="10">
        <v>0</v>
      </c>
      <c r="G1780" s="10">
        <v>0</v>
      </c>
      <c r="H1780" s="10">
        <v>0</v>
      </c>
      <c r="I1780" s="10" t="s">
        <v>21</v>
      </c>
      <c r="J1780" s="10">
        <v>0</v>
      </c>
      <c r="K1780" s="10">
        <v>0</v>
      </c>
      <c r="L1780" s="10">
        <v>0</v>
      </c>
      <c r="M1780" s="10">
        <v>0</v>
      </c>
      <c r="N1780" s="10" t="s">
        <v>761</v>
      </c>
      <c r="O1780" s="10" t="s">
        <v>1947</v>
      </c>
      <c r="P1780" s="105" t="e">
        <f t="shared" si="27"/>
        <v>#DIV/0!</v>
      </c>
    </row>
    <row r="1781" spans="1:16">
      <c r="A1781" s="10" t="s">
        <v>635</v>
      </c>
      <c r="B1781" s="10">
        <v>8010402</v>
      </c>
      <c r="C1781" s="10" t="s">
        <v>759</v>
      </c>
      <c r="D1781" s="10" t="s">
        <v>760</v>
      </c>
      <c r="E1781" s="10">
        <v>0</v>
      </c>
      <c r="F1781" s="10">
        <v>0</v>
      </c>
      <c r="G1781" s="10">
        <v>0</v>
      </c>
      <c r="H1781" s="10">
        <v>0</v>
      </c>
      <c r="I1781" s="10" t="s">
        <v>21</v>
      </c>
      <c r="J1781" s="10">
        <v>0</v>
      </c>
      <c r="K1781" s="10">
        <v>0</v>
      </c>
      <c r="L1781" s="10">
        <v>0</v>
      </c>
      <c r="M1781" s="10">
        <v>0</v>
      </c>
      <c r="N1781" s="10" t="s">
        <v>761</v>
      </c>
      <c r="O1781" s="10" t="s">
        <v>1948</v>
      </c>
      <c r="P1781" s="105" t="e">
        <f t="shared" si="27"/>
        <v>#DIV/0!</v>
      </c>
    </row>
    <row r="1782" spans="1:16">
      <c r="A1782" s="10" t="s">
        <v>635</v>
      </c>
      <c r="B1782" s="10">
        <v>8010487</v>
      </c>
      <c r="C1782" s="10" t="s">
        <v>759</v>
      </c>
      <c r="D1782" s="10" t="s">
        <v>760</v>
      </c>
      <c r="E1782" s="10">
        <v>0</v>
      </c>
      <c r="F1782" s="10">
        <v>0</v>
      </c>
      <c r="G1782" s="10">
        <v>0</v>
      </c>
      <c r="H1782" s="10">
        <v>0</v>
      </c>
      <c r="I1782" s="10" t="s">
        <v>21</v>
      </c>
      <c r="J1782" s="10">
        <v>0</v>
      </c>
      <c r="K1782" s="10">
        <v>0</v>
      </c>
      <c r="L1782" s="10">
        <v>0</v>
      </c>
      <c r="M1782" s="10">
        <v>0</v>
      </c>
      <c r="N1782" s="10" t="s">
        <v>761</v>
      </c>
      <c r="O1782" s="10" t="s">
        <v>1949</v>
      </c>
      <c r="P1782" s="105" t="e">
        <f t="shared" si="27"/>
        <v>#DIV/0!</v>
      </c>
    </row>
    <row r="1783" spans="1:16">
      <c r="A1783" s="10" t="s">
        <v>635</v>
      </c>
      <c r="B1783" s="10">
        <v>8010499</v>
      </c>
      <c r="C1783" s="10" t="s">
        <v>759</v>
      </c>
      <c r="D1783" s="10" t="s">
        <v>760</v>
      </c>
      <c r="E1783" s="10">
        <v>0</v>
      </c>
      <c r="F1783" s="10">
        <v>0</v>
      </c>
      <c r="G1783" s="10">
        <v>0</v>
      </c>
      <c r="H1783" s="10">
        <v>0</v>
      </c>
      <c r="I1783" s="10" t="s">
        <v>26</v>
      </c>
      <c r="J1783" s="10">
        <v>0</v>
      </c>
      <c r="K1783" s="10">
        <v>0</v>
      </c>
      <c r="L1783" s="10">
        <v>0</v>
      </c>
      <c r="M1783" s="10">
        <v>0</v>
      </c>
      <c r="N1783" s="10" t="s">
        <v>761</v>
      </c>
      <c r="O1783" s="10" t="s">
        <v>1950</v>
      </c>
      <c r="P1783" s="105" t="e">
        <f t="shared" si="27"/>
        <v>#DIV/0!</v>
      </c>
    </row>
    <row r="1784" spans="1:16">
      <c r="A1784" s="10" t="s">
        <v>635</v>
      </c>
      <c r="B1784" s="10">
        <v>8010500</v>
      </c>
      <c r="C1784" s="10" t="s">
        <v>759</v>
      </c>
      <c r="D1784" s="10" t="s">
        <v>760</v>
      </c>
      <c r="E1784" s="10">
        <v>0</v>
      </c>
      <c r="F1784" s="10">
        <v>0</v>
      </c>
      <c r="G1784" s="10">
        <v>0</v>
      </c>
      <c r="H1784" s="10">
        <v>0</v>
      </c>
      <c r="I1784" s="10" t="s">
        <v>21</v>
      </c>
      <c r="J1784" s="10">
        <v>0</v>
      </c>
      <c r="K1784" s="10">
        <v>0</v>
      </c>
      <c r="L1784" s="10">
        <v>0</v>
      </c>
      <c r="M1784" s="10">
        <v>0</v>
      </c>
      <c r="N1784" s="10" t="s">
        <v>761</v>
      </c>
      <c r="O1784" s="10" t="s">
        <v>1951</v>
      </c>
      <c r="P1784" s="105" t="e">
        <f t="shared" si="27"/>
        <v>#DIV/0!</v>
      </c>
    </row>
    <row r="1785" spans="1:16">
      <c r="A1785" s="10" t="s">
        <v>635</v>
      </c>
      <c r="B1785" s="10">
        <v>8010502</v>
      </c>
      <c r="C1785" s="10" t="s">
        <v>759</v>
      </c>
      <c r="D1785" s="10" t="s">
        <v>760</v>
      </c>
      <c r="E1785" s="10">
        <v>0</v>
      </c>
      <c r="F1785" s="10">
        <v>0</v>
      </c>
      <c r="G1785" s="10">
        <v>0</v>
      </c>
      <c r="H1785" s="10">
        <v>0</v>
      </c>
      <c r="I1785" s="10" t="s">
        <v>21</v>
      </c>
      <c r="J1785" s="10">
        <v>0</v>
      </c>
      <c r="K1785" s="10">
        <v>0</v>
      </c>
      <c r="L1785" s="10">
        <v>0</v>
      </c>
      <c r="M1785" s="10">
        <v>0</v>
      </c>
      <c r="N1785" s="10" t="s">
        <v>761</v>
      </c>
      <c r="O1785" s="10" t="s">
        <v>1952</v>
      </c>
      <c r="P1785" s="105" t="e">
        <f t="shared" si="27"/>
        <v>#DIV/0!</v>
      </c>
    </row>
    <row r="1786" spans="1:16">
      <c r="A1786" s="10" t="s">
        <v>635</v>
      </c>
      <c r="B1786" s="10">
        <v>8010511</v>
      </c>
      <c r="C1786" s="10" t="s">
        <v>759</v>
      </c>
      <c r="D1786" s="10" t="s">
        <v>760</v>
      </c>
      <c r="E1786" s="10">
        <v>0</v>
      </c>
      <c r="F1786" s="10">
        <v>0</v>
      </c>
      <c r="G1786" s="10">
        <v>0</v>
      </c>
      <c r="H1786" s="10">
        <v>0</v>
      </c>
      <c r="I1786" s="10" t="s">
        <v>21</v>
      </c>
      <c r="J1786" s="10">
        <v>0</v>
      </c>
      <c r="K1786" s="10">
        <v>0</v>
      </c>
      <c r="L1786" s="10">
        <v>0</v>
      </c>
      <c r="M1786" s="10">
        <v>0</v>
      </c>
      <c r="N1786" s="10" t="s">
        <v>761</v>
      </c>
      <c r="O1786" s="10" t="s">
        <v>1953</v>
      </c>
      <c r="P1786" s="105" t="e">
        <f t="shared" si="27"/>
        <v>#DIV/0!</v>
      </c>
    </row>
    <row r="1787" spans="1:16">
      <c r="A1787" s="10" t="s">
        <v>635</v>
      </c>
      <c r="B1787" s="10">
        <v>8010698</v>
      </c>
      <c r="C1787" s="10" t="s">
        <v>759</v>
      </c>
      <c r="D1787" s="10" t="s">
        <v>760</v>
      </c>
      <c r="E1787" s="10">
        <v>0</v>
      </c>
      <c r="F1787" s="10">
        <v>0</v>
      </c>
      <c r="G1787" s="10">
        <v>0</v>
      </c>
      <c r="H1787" s="10">
        <v>0</v>
      </c>
      <c r="I1787" s="10" t="s">
        <v>138</v>
      </c>
      <c r="J1787" s="10">
        <v>0</v>
      </c>
      <c r="K1787" s="10">
        <v>0</v>
      </c>
      <c r="L1787" s="10">
        <v>0</v>
      </c>
      <c r="M1787" s="10">
        <v>0</v>
      </c>
      <c r="N1787" s="10" t="s">
        <v>761</v>
      </c>
      <c r="O1787" s="10" t="s">
        <v>1954</v>
      </c>
      <c r="P1787" s="105" t="e">
        <f t="shared" si="27"/>
        <v>#DIV/0!</v>
      </c>
    </row>
    <row r="1788" spans="1:16">
      <c r="A1788" s="10" t="s">
        <v>635</v>
      </c>
      <c r="B1788" s="10">
        <v>8010775</v>
      </c>
      <c r="C1788" s="10" t="s">
        <v>759</v>
      </c>
      <c r="D1788" s="10" t="s">
        <v>760</v>
      </c>
      <c r="E1788" s="10">
        <v>0</v>
      </c>
      <c r="F1788" s="10">
        <v>0</v>
      </c>
      <c r="G1788" s="10">
        <v>0</v>
      </c>
      <c r="H1788" s="10">
        <v>0</v>
      </c>
      <c r="I1788" s="10" t="s">
        <v>21</v>
      </c>
      <c r="J1788" s="10">
        <v>0</v>
      </c>
      <c r="K1788" s="10">
        <v>0</v>
      </c>
      <c r="L1788" s="10">
        <v>0</v>
      </c>
      <c r="M1788" s="10">
        <v>0</v>
      </c>
      <c r="N1788" s="10" t="s">
        <v>761</v>
      </c>
      <c r="O1788" s="10" t="s">
        <v>1955</v>
      </c>
      <c r="P1788" s="105" t="e">
        <f t="shared" si="27"/>
        <v>#DIV/0!</v>
      </c>
    </row>
    <row r="1789" spans="1:16">
      <c r="A1789" s="10" t="s">
        <v>635</v>
      </c>
      <c r="B1789" s="10">
        <v>8010883</v>
      </c>
      <c r="C1789" s="10" t="s">
        <v>759</v>
      </c>
      <c r="D1789" s="10" t="s">
        <v>760</v>
      </c>
      <c r="E1789" s="103">
        <v>3072</v>
      </c>
      <c r="F1789" s="10">
        <v>0</v>
      </c>
      <c r="G1789" s="10">
        <v>0</v>
      </c>
      <c r="H1789" s="103">
        <v>3072</v>
      </c>
      <c r="I1789" s="10" t="s">
        <v>21</v>
      </c>
      <c r="J1789" s="103">
        <v>2296.64</v>
      </c>
      <c r="K1789" s="10">
        <v>0</v>
      </c>
      <c r="L1789" s="10">
        <v>0</v>
      </c>
      <c r="M1789" s="103">
        <v>2296.64</v>
      </c>
      <c r="N1789" s="10" t="s">
        <v>761</v>
      </c>
      <c r="O1789" s="10" t="s">
        <v>525</v>
      </c>
      <c r="P1789" s="105">
        <f t="shared" si="27"/>
        <v>0.747604166666667</v>
      </c>
    </row>
    <row r="1790" spans="1:16">
      <c r="A1790" s="10" t="s">
        <v>635</v>
      </c>
      <c r="B1790" s="10">
        <v>8010884</v>
      </c>
      <c r="C1790" s="10" t="s">
        <v>759</v>
      </c>
      <c r="D1790" s="10" t="s">
        <v>760</v>
      </c>
      <c r="E1790" s="10">
        <v>0</v>
      </c>
      <c r="F1790" s="10">
        <v>0</v>
      </c>
      <c r="G1790" s="10">
        <v>0</v>
      </c>
      <c r="H1790" s="10">
        <v>0</v>
      </c>
      <c r="I1790" s="10" t="s">
        <v>21</v>
      </c>
      <c r="J1790" s="10">
        <v>0</v>
      </c>
      <c r="K1790" s="10">
        <v>0</v>
      </c>
      <c r="L1790" s="10">
        <v>0</v>
      </c>
      <c r="M1790" s="10">
        <v>0</v>
      </c>
      <c r="N1790" s="10" t="s">
        <v>761</v>
      </c>
      <c r="O1790" s="10" t="s">
        <v>1956</v>
      </c>
      <c r="P1790" s="105" t="e">
        <f t="shared" si="27"/>
        <v>#DIV/0!</v>
      </c>
    </row>
    <row r="1791" spans="1:16">
      <c r="A1791" s="10" t="s">
        <v>635</v>
      </c>
      <c r="B1791" s="10">
        <v>8010886</v>
      </c>
      <c r="C1791" s="10" t="s">
        <v>759</v>
      </c>
      <c r="D1791" s="10" t="s">
        <v>760</v>
      </c>
      <c r="E1791" s="10">
        <v>0</v>
      </c>
      <c r="F1791" s="10">
        <v>200</v>
      </c>
      <c r="G1791" s="10">
        <v>0</v>
      </c>
      <c r="H1791" s="10">
        <v>200</v>
      </c>
      <c r="I1791" s="10" t="s">
        <v>21</v>
      </c>
      <c r="J1791" s="10">
        <v>0</v>
      </c>
      <c r="K1791" s="10">
        <v>178.43</v>
      </c>
      <c r="L1791" s="10">
        <v>0</v>
      </c>
      <c r="M1791" s="10">
        <v>178.43</v>
      </c>
      <c r="N1791" s="10" t="s">
        <v>761</v>
      </c>
      <c r="O1791" s="10" t="s">
        <v>166</v>
      </c>
      <c r="P1791" s="105">
        <f t="shared" si="27"/>
        <v>0.89215</v>
      </c>
    </row>
    <row r="1792" spans="1:16">
      <c r="A1792" s="10" t="s">
        <v>635</v>
      </c>
      <c r="B1792" s="10">
        <v>8010915</v>
      </c>
      <c r="C1792" s="10" t="s">
        <v>759</v>
      </c>
      <c r="D1792" s="10" t="s">
        <v>760</v>
      </c>
      <c r="E1792" s="10">
        <v>0</v>
      </c>
      <c r="F1792" s="10">
        <v>0</v>
      </c>
      <c r="G1792" s="10">
        <v>0</v>
      </c>
      <c r="H1792" s="10">
        <v>0</v>
      </c>
      <c r="I1792" s="10" t="s">
        <v>21</v>
      </c>
      <c r="J1792" s="10">
        <v>0</v>
      </c>
      <c r="K1792" s="10">
        <v>0</v>
      </c>
      <c r="L1792" s="10">
        <v>0</v>
      </c>
      <c r="M1792" s="10">
        <v>0</v>
      </c>
      <c r="N1792" s="10" t="s">
        <v>761</v>
      </c>
      <c r="O1792" s="10" t="s">
        <v>1957</v>
      </c>
      <c r="P1792" s="105" t="e">
        <f t="shared" si="27"/>
        <v>#DIV/0!</v>
      </c>
    </row>
    <row r="1793" spans="1:16">
      <c r="A1793" s="10" t="s">
        <v>635</v>
      </c>
      <c r="B1793" s="10">
        <v>8011001</v>
      </c>
      <c r="C1793" s="10" t="s">
        <v>759</v>
      </c>
      <c r="D1793" s="10" t="s">
        <v>760</v>
      </c>
      <c r="E1793" s="103">
        <v>7000</v>
      </c>
      <c r="F1793" s="103">
        <v>4000</v>
      </c>
      <c r="G1793" s="10">
        <v>0</v>
      </c>
      <c r="H1793" s="103">
        <v>11000</v>
      </c>
      <c r="I1793" s="10" t="s">
        <v>41</v>
      </c>
      <c r="J1793" s="103">
        <v>1350.83</v>
      </c>
      <c r="K1793" s="10">
        <v>771.9</v>
      </c>
      <c r="L1793" s="10">
        <v>0</v>
      </c>
      <c r="M1793" s="103">
        <v>2122.73</v>
      </c>
      <c r="N1793" s="10" t="s">
        <v>761</v>
      </c>
      <c r="O1793" s="10" t="s">
        <v>39</v>
      </c>
      <c r="P1793" s="105">
        <f t="shared" si="27"/>
        <v>0.192975454545455</v>
      </c>
    </row>
    <row r="1794" spans="1:16">
      <c r="A1794" s="10" t="s">
        <v>635</v>
      </c>
      <c r="B1794" s="10">
        <v>8011002</v>
      </c>
      <c r="C1794" s="10" t="s">
        <v>759</v>
      </c>
      <c r="D1794" s="10" t="s">
        <v>760</v>
      </c>
      <c r="E1794" s="10">
        <v>0</v>
      </c>
      <c r="F1794" s="10">
        <v>0</v>
      </c>
      <c r="G1794" s="10">
        <v>0</v>
      </c>
      <c r="H1794" s="10">
        <v>0</v>
      </c>
      <c r="I1794" s="10" t="s">
        <v>41</v>
      </c>
      <c r="J1794" s="10">
        <v>0</v>
      </c>
      <c r="K1794" s="10">
        <v>0</v>
      </c>
      <c r="L1794" s="10">
        <v>0</v>
      </c>
      <c r="M1794" s="10">
        <v>0</v>
      </c>
      <c r="N1794" s="10" t="s">
        <v>761</v>
      </c>
      <c r="O1794" s="10" t="s">
        <v>1958</v>
      </c>
      <c r="P1794" s="105" t="e">
        <f t="shared" si="27"/>
        <v>#DIV/0!</v>
      </c>
    </row>
    <row r="1795" spans="1:16">
      <c r="A1795" s="10" t="s">
        <v>635</v>
      </c>
      <c r="B1795" s="10">
        <v>8011023</v>
      </c>
      <c r="C1795" s="10" t="s">
        <v>759</v>
      </c>
      <c r="D1795" s="10" t="s">
        <v>760</v>
      </c>
      <c r="E1795" s="10">
        <v>0</v>
      </c>
      <c r="F1795" s="10">
        <v>0</v>
      </c>
      <c r="G1795" s="10">
        <v>0</v>
      </c>
      <c r="H1795" s="10">
        <v>0</v>
      </c>
      <c r="I1795" s="10" t="s">
        <v>21</v>
      </c>
      <c r="J1795" s="10">
        <v>0</v>
      </c>
      <c r="K1795" s="10">
        <v>0</v>
      </c>
      <c r="L1795" s="10">
        <v>0</v>
      </c>
      <c r="M1795" s="10">
        <v>0</v>
      </c>
      <c r="N1795" s="10" t="s">
        <v>761</v>
      </c>
      <c r="O1795" s="10" t="s">
        <v>1959</v>
      </c>
      <c r="P1795" s="105" t="e">
        <f t="shared" ref="P1795:P1858" si="28">M1795/H1795</f>
        <v>#DIV/0!</v>
      </c>
    </row>
    <row r="1796" spans="1:16">
      <c r="A1796" s="10" t="s">
        <v>635</v>
      </c>
      <c r="B1796" s="10">
        <v>8011024</v>
      </c>
      <c r="C1796" s="10" t="s">
        <v>759</v>
      </c>
      <c r="D1796" s="10" t="s">
        <v>760</v>
      </c>
      <c r="E1796" s="10">
        <v>0</v>
      </c>
      <c r="F1796" s="10">
        <v>0</v>
      </c>
      <c r="G1796" s="10">
        <v>0</v>
      </c>
      <c r="H1796" s="10">
        <v>0</v>
      </c>
      <c r="I1796" s="10" t="s">
        <v>21</v>
      </c>
      <c r="J1796" s="10">
        <v>0</v>
      </c>
      <c r="K1796" s="10">
        <v>0</v>
      </c>
      <c r="L1796" s="10">
        <v>0</v>
      </c>
      <c r="M1796" s="10">
        <v>0</v>
      </c>
      <c r="N1796" s="10" t="s">
        <v>761</v>
      </c>
      <c r="O1796" s="10" t="s">
        <v>1960</v>
      </c>
      <c r="P1796" s="105" t="e">
        <f t="shared" si="28"/>
        <v>#DIV/0!</v>
      </c>
    </row>
    <row r="1797" spans="1:16">
      <c r="A1797" s="10" t="s">
        <v>635</v>
      </c>
      <c r="B1797" s="10">
        <v>8011025</v>
      </c>
      <c r="C1797" s="10" t="s">
        <v>759</v>
      </c>
      <c r="D1797" s="10" t="s">
        <v>760</v>
      </c>
      <c r="E1797" s="10">
        <v>0</v>
      </c>
      <c r="F1797" s="10">
        <v>0</v>
      </c>
      <c r="G1797" s="10">
        <v>0</v>
      </c>
      <c r="H1797" s="10">
        <v>0</v>
      </c>
      <c r="I1797" s="10" t="s">
        <v>21</v>
      </c>
      <c r="J1797" s="10">
        <v>0</v>
      </c>
      <c r="K1797" s="10">
        <v>0</v>
      </c>
      <c r="L1797" s="10">
        <v>0</v>
      </c>
      <c r="M1797" s="10">
        <v>0</v>
      </c>
      <c r="N1797" s="10" t="s">
        <v>761</v>
      </c>
      <c r="O1797" s="10" t="s">
        <v>1961</v>
      </c>
      <c r="P1797" s="105" t="e">
        <f t="shared" si="28"/>
        <v>#DIV/0!</v>
      </c>
    </row>
    <row r="1798" spans="1:16">
      <c r="A1798" s="10" t="s">
        <v>635</v>
      </c>
      <c r="B1798" s="10">
        <v>8011026</v>
      </c>
      <c r="C1798" s="10" t="s">
        <v>759</v>
      </c>
      <c r="D1798" s="10" t="s">
        <v>760</v>
      </c>
      <c r="E1798" s="10">
        <v>0</v>
      </c>
      <c r="F1798" s="10">
        <v>0</v>
      </c>
      <c r="G1798" s="10">
        <v>0</v>
      </c>
      <c r="H1798" s="10">
        <v>0</v>
      </c>
      <c r="I1798" s="10" t="s">
        <v>21</v>
      </c>
      <c r="J1798" s="10">
        <v>0</v>
      </c>
      <c r="K1798" s="10">
        <v>0</v>
      </c>
      <c r="L1798" s="10">
        <v>0</v>
      </c>
      <c r="M1798" s="10">
        <v>0</v>
      </c>
      <c r="N1798" s="10" t="s">
        <v>761</v>
      </c>
      <c r="O1798" s="10" t="s">
        <v>1962</v>
      </c>
      <c r="P1798" s="105" t="e">
        <f t="shared" si="28"/>
        <v>#DIV/0!</v>
      </c>
    </row>
    <row r="1799" spans="1:16">
      <c r="A1799" s="10" t="s">
        <v>635</v>
      </c>
      <c r="B1799" s="10">
        <v>8011033</v>
      </c>
      <c r="C1799" s="10" t="s">
        <v>759</v>
      </c>
      <c r="D1799" s="10" t="s">
        <v>760</v>
      </c>
      <c r="E1799" s="10">
        <v>0</v>
      </c>
      <c r="F1799" s="10">
        <v>0</v>
      </c>
      <c r="G1799" s="10">
        <v>0</v>
      </c>
      <c r="H1799" s="10">
        <v>0</v>
      </c>
      <c r="I1799" s="10" t="s">
        <v>26</v>
      </c>
      <c r="J1799" s="10">
        <v>0</v>
      </c>
      <c r="K1799" s="10">
        <v>0</v>
      </c>
      <c r="L1799" s="10">
        <v>0</v>
      </c>
      <c r="M1799" s="10">
        <v>0</v>
      </c>
      <c r="N1799" s="10" t="s">
        <v>761</v>
      </c>
      <c r="O1799" s="10" t="s">
        <v>1963</v>
      </c>
      <c r="P1799" s="105" t="e">
        <f t="shared" si="28"/>
        <v>#DIV/0!</v>
      </c>
    </row>
    <row r="1800" spans="1:16">
      <c r="A1800" s="10" t="s">
        <v>635</v>
      </c>
      <c r="B1800" s="10">
        <v>8011034</v>
      </c>
      <c r="C1800" s="10" t="s">
        <v>759</v>
      </c>
      <c r="D1800" s="10" t="s">
        <v>760</v>
      </c>
      <c r="E1800" s="10">
        <v>0</v>
      </c>
      <c r="F1800" s="10">
        <v>0</v>
      </c>
      <c r="G1800" s="10">
        <v>0</v>
      </c>
      <c r="H1800" s="10">
        <v>0</v>
      </c>
      <c r="I1800" s="10" t="s">
        <v>21</v>
      </c>
      <c r="J1800" s="10">
        <v>0</v>
      </c>
      <c r="K1800" s="10">
        <v>0</v>
      </c>
      <c r="L1800" s="10">
        <v>0</v>
      </c>
      <c r="M1800" s="10">
        <v>0</v>
      </c>
      <c r="N1800" s="10" t="s">
        <v>761</v>
      </c>
      <c r="O1800" s="10" t="s">
        <v>1964</v>
      </c>
      <c r="P1800" s="105" t="e">
        <f t="shared" si="28"/>
        <v>#DIV/0!</v>
      </c>
    </row>
    <row r="1801" spans="1:16">
      <c r="A1801" s="10" t="s">
        <v>635</v>
      </c>
      <c r="B1801" s="10">
        <v>8011035</v>
      </c>
      <c r="C1801" s="10" t="s">
        <v>759</v>
      </c>
      <c r="D1801" s="10" t="s">
        <v>760</v>
      </c>
      <c r="E1801" s="10">
        <v>0</v>
      </c>
      <c r="F1801" s="10">
        <v>0</v>
      </c>
      <c r="G1801" s="10">
        <v>0</v>
      </c>
      <c r="H1801" s="10">
        <v>0</v>
      </c>
      <c r="I1801" s="10" t="s">
        <v>21</v>
      </c>
      <c r="J1801" s="10">
        <v>0</v>
      </c>
      <c r="K1801" s="10">
        <v>0</v>
      </c>
      <c r="L1801" s="10">
        <v>0</v>
      </c>
      <c r="M1801" s="10">
        <v>0</v>
      </c>
      <c r="N1801" s="10" t="s">
        <v>761</v>
      </c>
      <c r="O1801" s="10" t="s">
        <v>1965</v>
      </c>
      <c r="P1801" s="105" t="e">
        <f t="shared" si="28"/>
        <v>#DIV/0!</v>
      </c>
    </row>
    <row r="1802" spans="1:16">
      <c r="A1802" s="10" t="s">
        <v>635</v>
      </c>
      <c r="B1802" s="10">
        <v>8011036</v>
      </c>
      <c r="C1802" s="10" t="s">
        <v>759</v>
      </c>
      <c r="D1802" s="10" t="s">
        <v>760</v>
      </c>
      <c r="E1802" s="10">
        <v>0</v>
      </c>
      <c r="F1802" s="10">
        <v>0</v>
      </c>
      <c r="G1802" s="10">
        <v>0</v>
      </c>
      <c r="H1802" s="10">
        <v>0</v>
      </c>
      <c r="I1802" s="10" t="s">
        <v>21</v>
      </c>
      <c r="J1802" s="10">
        <v>0</v>
      </c>
      <c r="K1802" s="10">
        <v>0</v>
      </c>
      <c r="L1802" s="10">
        <v>0</v>
      </c>
      <c r="M1802" s="10">
        <v>0</v>
      </c>
      <c r="N1802" s="10" t="s">
        <v>761</v>
      </c>
      <c r="O1802" s="10" t="s">
        <v>1966</v>
      </c>
      <c r="P1802" s="105" t="e">
        <f t="shared" si="28"/>
        <v>#DIV/0!</v>
      </c>
    </row>
    <row r="1803" spans="1:16">
      <c r="A1803" s="10" t="s">
        <v>635</v>
      </c>
      <c r="B1803" s="10">
        <v>8011037</v>
      </c>
      <c r="C1803" s="10" t="s">
        <v>759</v>
      </c>
      <c r="D1803" s="10" t="s">
        <v>760</v>
      </c>
      <c r="E1803" s="10">
        <v>0</v>
      </c>
      <c r="F1803" s="10">
        <v>0</v>
      </c>
      <c r="G1803" s="10">
        <v>0</v>
      </c>
      <c r="H1803" s="10">
        <v>0</v>
      </c>
      <c r="I1803" s="10" t="s">
        <v>21</v>
      </c>
      <c r="J1803" s="10">
        <v>0</v>
      </c>
      <c r="K1803" s="10">
        <v>0</v>
      </c>
      <c r="L1803" s="10">
        <v>0</v>
      </c>
      <c r="M1803" s="10">
        <v>0</v>
      </c>
      <c r="N1803" s="10" t="s">
        <v>761</v>
      </c>
      <c r="O1803" s="10" t="s">
        <v>1967</v>
      </c>
      <c r="P1803" s="105" t="e">
        <f t="shared" si="28"/>
        <v>#DIV/0!</v>
      </c>
    </row>
    <row r="1804" spans="1:16">
      <c r="A1804" s="10" t="s">
        <v>635</v>
      </c>
      <c r="B1804" s="10">
        <v>8011038</v>
      </c>
      <c r="C1804" s="10" t="s">
        <v>759</v>
      </c>
      <c r="D1804" s="10" t="s">
        <v>760</v>
      </c>
      <c r="E1804" s="10">
        <v>0</v>
      </c>
      <c r="F1804" s="10">
        <v>0</v>
      </c>
      <c r="G1804" s="10">
        <v>0</v>
      </c>
      <c r="H1804" s="10">
        <v>0</v>
      </c>
      <c r="I1804" s="10" t="s">
        <v>21</v>
      </c>
      <c r="J1804" s="10">
        <v>0</v>
      </c>
      <c r="K1804" s="10">
        <v>0</v>
      </c>
      <c r="L1804" s="10">
        <v>0</v>
      </c>
      <c r="M1804" s="10">
        <v>0</v>
      </c>
      <c r="N1804" s="10" t="s">
        <v>761</v>
      </c>
      <c r="O1804" s="10" t="s">
        <v>1968</v>
      </c>
      <c r="P1804" s="105" t="e">
        <f t="shared" si="28"/>
        <v>#DIV/0!</v>
      </c>
    </row>
    <row r="1805" spans="1:16">
      <c r="A1805" s="10" t="s">
        <v>635</v>
      </c>
      <c r="B1805" s="10">
        <v>8011039</v>
      </c>
      <c r="C1805" s="10" t="s">
        <v>759</v>
      </c>
      <c r="D1805" s="10" t="s">
        <v>760</v>
      </c>
      <c r="E1805" s="10">
        <v>0</v>
      </c>
      <c r="F1805" s="10">
        <v>0</v>
      </c>
      <c r="G1805" s="10">
        <v>0</v>
      </c>
      <c r="H1805" s="10">
        <v>0</v>
      </c>
      <c r="I1805" s="10" t="s">
        <v>21</v>
      </c>
      <c r="J1805" s="10">
        <v>0</v>
      </c>
      <c r="K1805" s="10">
        <v>0</v>
      </c>
      <c r="L1805" s="10">
        <v>0</v>
      </c>
      <c r="M1805" s="10">
        <v>0</v>
      </c>
      <c r="N1805" s="10" t="s">
        <v>761</v>
      </c>
      <c r="O1805" s="10" t="s">
        <v>1969</v>
      </c>
      <c r="P1805" s="105" t="e">
        <f t="shared" si="28"/>
        <v>#DIV/0!</v>
      </c>
    </row>
    <row r="1806" spans="1:16">
      <c r="A1806" s="10" t="s">
        <v>635</v>
      </c>
      <c r="B1806" s="10">
        <v>8011040</v>
      </c>
      <c r="C1806" s="10" t="s">
        <v>759</v>
      </c>
      <c r="D1806" s="10" t="s">
        <v>760</v>
      </c>
      <c r="E1806" s="10">
        <v>0</v>
      </c>
      <c r="F1806" s="10">
        <v>0</v>
      </c>
      <c r="G1806" s="10">
        <v>0</v>
      </c>
      <c r="H1806" s="10">
        <v>0</v>
      </c>
      <c r="I1806" s="10" t="s">
        <v>21</v>
      </c>
      <c r="J1806" s="10">
        <v>0</v>
      </c>
      <c r="K1806" s="10">
        <v>0</v>
      </c>
      <c r="L1806" s="10">
        <v>0</v>
      </c>
      <c r="M1806" s="10">
        <v>0</v>
      </c>
      <c r="N1806" s="10" t="s">
        <v>761</v>
      </c>
      <c r="O1806" s="10" t="s">
        <v>1970</v>
      </c>
      <c r="P1806" s="105" t="e">
        <f t="shared" si="28"/>
        <v>#DIV/0!</v>
      </c>
    </row>
    <row r="1807" spans="1:16">
      <c r="A1807" s="10" t="s">
        <v>635</v>
      </c>
      <c r="B1807" s="10">
        <v>8011041</v>
      </c>
      <c r="C1807" s="10" t="s">
        <v>759</v>
      </c>
      <c r="D1807" s="10" t="s">
        <v>760</v>
      </c>
      <c r="E1807" s="10">
        <v>0</v>
      </c>
      <c r="F1807" s="10">
        <v>0</v>
      </c>
      <c r="G1807" s="10">
        <v>0</v>
      </c>
      <c r="H1807" s="10">
        <v>0</v>
      </c>
      <c r="I1807" s="10" t="s">
        <v>21</v>
      </c>
      <c r="J1807" s="10">
        <v>0</v>
      </c>
      <c r="K1807" s="10">
        <v>0</v>
      </c>
      <c r="L1807" s="10">
        <v>0</v>
      </c>
      <c r="M1807" s="10">
        <v>0</v>
      </c>
      <c r="N1807" s="10" t="s">
        <v>761</v>
      </c>
      <c r="O1807" s="10" t="s">
        <v>1971</v>
      </c>
      <c r="P1807" s="105" t="e">
        <f t="shared" si="28"/>
        <v>#DIV/0!</v>
      </c>
    </row>
    <row r="1808" spans="1:16">
      <c r="A1808" s="10" t="s">
        <v>635</v>
      </c>
      <c r="B1808" s="10">
        <v>8011042</v>
      </c>
      <c r="C1808" s="10" t="s">
        <v>759</v>
      </c>
      <c r="D1808" s="10" t="s">
        <v>760</v>
      </c>
      <c r="E1808" s="10">
        <v>0</v>
      </c>
      <c r="F1808" s="10">
        <v>0</v>
      </c>
      <c r="G1808" s="10">
        <v>0</v>
      </c>
      <c r="H1808" s="10">
        <v>0</v>
      </c>
      <c r="I1808" s="10" t="s">
        <v>21</v>
      </c>
      <c r="J1808" s="10">
        <v>0</v>
      </c>
      <c r="K1808" s="10">
        <v>0</v>
      </c>
      <c r="L1808" s="10">
        <v>0</v>
      </c>
      <c r="M1808" s="10">
        <v>0</v>
      </c>
      <c r="N1808" s="10" t="s">
        <v>761</v>
      </c>
      <c r="O1808" s="10" t="s">
        <v>1972</v>
      </c>
      <c r="P1808" s="105" t="e">
        <f t="shared" si="28"/>
        <v>#DIV/0!</v>
      </c>
    </row>
    <row r="1809" spans="1:16">
      <c r="A1809" s="10" t="s">
        <v>635</v>
      </c>
      <c r="B1809" s="10">
        <v>8011043</v>
      </c>
      <c r="C1809" s="10" t="s">
        <v>759</v>
      </c>
      <c r="D1809" s="10" t="s">
        <v>760</v>
      </c>
      <c r="E1809" s="10">
        <v>0</v>
      </c>
      <c r="F1809" s="10">
        <v>0</v>
      </c>
      <c r="G1809" s="10">
        <v>0</v>
      </c>
      <c r="H1809" s="10">
        <v>0</v>
      </c>
      <c r="I1809" s="10" t="s">
        <v>21</v>
      </c>
      <c r="J1809" s="10">
        <v>0</v>
      </c>
      <c r="K1809" s="10">
        <v>0</v>
      </c>
      <c r="L1809" s="10">
        <v>0</v>
      </c>
      <c r="M1809" s="10">
        <v>0</v>
      </c>
      <c r="N1809" s="10" t="s">
        <v>761</v>
      </c>
      <c r="O1809" s="10" t="s">
        <v>1973</v>
      </c>
      <c r="P1809" s="105" t="e">
        <f t="shared" si="28"/>
        <v>#DIV/0!</v>
      </c>
    </row>
    <row r="1810" spans="1:16">
      <c r="A1810" s="10" t="s">
        <v>635</v>
      </c>
      <c r="B1810" s="10">
        <v>8011044</v>
      </c>
      <c r="C1810" s="10" t="s">
        <v>759</v>
      </c>
      <c r="D1810" s="10" t="s">
        <v>760</v>
      </c>
      <c r="E1810" s="10">
        <v>0</v>
      </c>
      <c r="F1810" s="10">
        <v>0</v>
      </c>
      <c r="G1810" s="10">
        <v>0</v>
      </c>
      <c r="H1810" s="10">
        <v>0</v>
      </c>
      <c r="I1810" s="10" t="s">
        <v>21</v>
      </c>
      <c r="J1810" s="10">
        <v>0</v>
      </c>
      <c r="K1810" s="10">
        <v>0</v>
      </c>
      <c r="L1810" s="10">
        <v>0</v>
      </c>
      <c r="M1810" s="10">
        <v>0</v>
      </c>
      <c r="N1810" s="10" t="s">
        <v>761</v>
      </c>
      <c r="O1810" s="10" t="s">
        <v>1974</v>
      </c>
      <c r="P1810" s="105" t="e">
        <f t="shared" si="28"/>
        <v>#DIV/0!</v>
      </c>
    </row>
    <row r="1811" spans="1:16">
      <c r="A1811" s="10" t="s">
        <v>635</v>
      </c>
      <c r="B1811" s="10">
        <v>8011045</v>
      </c>
      <c r="C1811" s="10" t="s">
        <v>759</v>
      </c>
      <c r="D1811" s="10" t="s">
        <v>760</v>
      </c>
      <c r="E1811" s="10">
        <v>0</v>
      </c>
      <c r="F1811" s="10">
        <v>0</v>
      </c>
      <c r="G1811" s="10">
        <v>0</v>
      </c>
      <c r="H1811" s="10">
        <v>0</v>
      </c>
      <c r="I1811" s="10" t="s">
        <v>21</v>
      </c>
      <c r="J1811" s="10">
        <v>0</v>
      </c>
      <c r="K1811" s="10">
        <v>0</v>
      </c>
      <c r="L1811" s="10">
        <v>0</v>
      </c>
      <c r="M1811" s="10">
        <v>0</v>
      </c>
      <c r="N1811" s="10" t="s">
        <v>761</v>
      </c>
      <c r="O1811" s="10" t="s">
        <v>1975</v>
      </c>
      <c r="P1811" s="105" t="e">
        <f t="shared" si="28"/>
        <v>#DIV/0!</v>
      </c>
    </row>
    <row r="1812" spans="1:16">
      <c r="A1812" s="10" t="s">
        <v>635</v>
      </c>
      <c r="B1812" s="10">
        <v>8011046</v>
      </c>
      <c r="C1812" s="10" t="s">
        <v>759</v>
      </c>
      <c r="D1812" s="10" t="s">
        <v>760</v>
      </c>
      <c r="E1812" s="10">
        <v>0</v>
      </c>
      <c r="F1812" s="10">
        <v>0</v>
      </c>
      <c r="G1812" s="10">
        <v>0</v>
      </c>
      <c r="H1812" s="10">
        <v>0</v>
      </c>
      <c r="I1812" s="10" t="s">
        <v>21</v>
      </c>
      <c r="J1812" s="10">
        <v>0</v>
      </c>
      <c r="K1812" s="10">
        <v>0</v>
      </c>
      <c r="L1812" s="10">
        <v>0</v>
      </c>
      <c r="M1812" s="10">
        <v>0</v>
      </c>
      <c r="N1812" s="10" t="s">
        <v>761</v>
      </c>
      <c r="O1812" s="10" t="s">
        <v>1976</v>
      </c>
      <c r="P1812" s="105" t="e">
        <f t="shared" si="28"/>
        <v>#DIV/0!</v>
      </c>
    </row>
    <row r="1813" spans="1:16">
      <c r="A1813" s="10" t="s">
        <v>635</v>
      </c>
      <c r="B1813" s="10">
        <v>8011047</v>
      </c>
      <c r="C1813" s="10" t="s">
        <v>759</v>
      </c>
      <c r="D1813" s="10" t="s">
        <v>760</v>
      </c>
      <c r="E1813" s="10">
        <v>0</v>
      </c>
      <c r="F1813" s="10">
        <v>0</v>
      </c>
      <c r="G1813" s="10">
        <v>0</v>
      </c>
      <c r="H1813" s="10">
        <v>0</v>
      </c>
      <c r="I1813" s="10" t="s">
        <v>21</v>
      </c>
      <c r="J1813" s="10">
        <v>0</v>
      </c>
      <c r="K1813" s="10">
        <v>0</v>
      </c>
      <c r="L1813" s="10">
        <v>0</v>
      </c>
      <c r="M1813" s="10">
        <v>0</v>
      </c>
      <c r="N1813" s="10" t="s">
        <v>761</v>
      </c>
      <c r="O1813" s="10" t="s">
        <v>1977</v>
      </c>
      <c r="P1813" s="105" t="e">
        <f t="shared" si="28"/>
        <v>#DIV/0!</v>
      </c>
    </row>
    <row r="1814" spans="1:16">
      <c r="A1814" s="10" t="s">
        <v>635</v>
      </c>
      <c r="B1814" s="10">
        <v>8011064</v>
      </c>
      <c r="C1814" s="10" t="s">
        <v>759</v>
      </c>
      <c r="D1814" s="10" t="s">
        <v>760</v>
      </c>
      <c r="E1814" s="10">
        <v>0</v>
      </c>
      <c r="F1814" s="10">
        <v>0</v>
      </c>
      <c r="G1814" s="10">
        <v>0</v>
      </c>
      <c r="H1814" s="10">
        <v>0</v>
      </c>
      <c r="I1814" s="10" t="s">
        <v>21</v>
      </c>
      <c r="J1814" s="10">
        <v>0</v>
      </c>
      <c r="K1814" s="10">
        <v>0</v>
      </c>
      <c r="L1814" s="10">
        <v>0</v>
      </c>
      <c r="M1814" s="10">
        <v>0</v>
      </c>
      <c r="N1814" s="10" t="s">
        <v>761</v>
      </c>
      <c r="O1814" s="10" t="s">
        <v>1978</v>
      </c>
      <c r="P1814" s="105" t="e">
        <f t="shared" si="28"/>
        <v>#DIV/0!</v>
      </c>
    </row>
    <row r="1815" spans="1:16">
      <c r="A1815" s="10" t="s">
        <v>635</v>
      </c>
      <c r="B1815" s="10">
        <v>8011245</v>
      </c>
      <c r="C1815" s="10" t="s">
        <v>759</v>
      </c>
      <c r="D1815" s="10" t="s">
        <v>760</v>
      </c>
      <c r="E1815" s="10">
        <v>0</v>
      </c>
      <c r="F1815" s="10">
        <v>0</v>
      </c>
      <c r="G1815" s="10">
        <v>0</v>
      </c>
      <c r="H1815" s="10">
        <v>0</v>
      </c>
      <c r="I1815" s="10" t="s">
        <v>21</v>
      </c>
      <c r="J1815" s="10">
        <v>0</v>
      </c>
      <c r="K1815" s="10">
        <v>0</v>
      </c>
      <c r="L1815" s="10">
        <v>0</v>
      </c>
      <c r="M1815" s="10">
        <v>0</v>
      </c>
      <c r="N1815" s="10" t="s">
        <v>761</v>
      </c>
      <c r="O1815" s="10" t="s">
        <v>1979</v>
      </c>
      <c r="P1815" s="105" t="e">
        <f t="shared" si="28"/>
        <v>#DIV/0!</v>
      </c>
    </row>
    <row r="1816" spans="1:16">
      <c r="A1816" s="10" t="s">
        <v>635</v>
      </c>
      <c r="B1816" s="10">
        <v>8011257</v>
      </c>
      <c r="C1816" s="10" t="s">
        <v>759</v>
      </c>
      <c r="D1816" s="10" t="s">
        <v>760</v>
      </c>
      <c r="E1816" s="10">
        <v>0</v>
      </c>
      <c r="F1816" s="10">
        <v>0</v>
      </c>
      <c r="G1816" s="10">
        <v>0</v>
      </c>
      <c r="H1816" s="10">
        <v>0</v>
      </c>
      <c r="I1816" s="10" t="s">
        <v>21</v>
      </c>
      <c r="J1816" s="10">
        <v>0</v>
      </c>
      <c r="K1816" s="10">
        <v>0</v>
      </c>
      <c r="L1816" s="10">
        <v>0</v>
      </c>
      <c r="M1816" s="10">
        <v>0</v>
      </c>
      <c r="N1816" s="10" t="s">
        <v>761</v>
      </c>
      <c r="O1816" s="10" t="s">
        <v>1980</v>
      </c>
      <c r="P1816" s="105" t="e">
        <f t="shared" si="28"/>
        <v>#DIV/0!</v>
      </c>
    </row>
    <row r="1817" spans="1:16">
      <c r="A1817" s="10" t="s">
        <v>635</v>
      </c>
      <c r="B1817" s="10">
        <v>8011271</v>
      </c>
      <c r="C1817" s="10" t="s">
        <v>759</v>
      </c>
      <c r="D1817" s="10" t="s">
        <v>760</v>
      </c>
      <c r="E1817" s="10">
        <v>0</v>
      </c>
      <c r="F1817" s="10">
        <v>0</v>
      </c>
      <c r="G1817" s="10">
        <v>0</v>
      </c>
      <c r="H1817" s="10">
        <v>0</v>
      </c>
      <c r="I1817" s="10" t="s">
        <v>21</v>
      </c>
      <c r="J1817" s="10">
        <v>0</v>
      </c>
      <c r="K1817" s="10">
        <v>0</v>
      </c>
      <c r="L1817" s="10">
        <v>0</v>
      </c>
      <c r="M1817" s="10">
        <v>0</v>
      </c>
      <c r="N1817" s="10" t="s">
        <v>761</v>
      </c>
      <c r="O1817" s="10" t="s">
        <v>1981</v>
      </c>
      <c r="P1817" s="105" t="e">
        <f t="shared" si="28"/>
        <v>#DIV/0!</v>
      </c>
    </row>
    <row r="1818" spans="1:16">
      <c r="A1818" s="10" t="s">
        <v>635</v>
      </c>
      <c r="B1818" s="10">
        <v>8011273</v>
      </c>
      <c r="C1818" s="10" t="s">
        <v>759</v>
      </c>
      <c r="D1818" s="10" t="s">
        <v>760</v>
      </c>
      <c r="E1818" s="10">
        <v>0</v>
      </c>
      <c r="F1818" s="10">
        <v>0</v>
      </c>
      <c r="G1818" s="10">
        <v>0</v>
      </c>
      <c r="H1818" s="10">
        <v>0</v>
      </c>
      <c r="I1818" s="10" t="s">
        <v>21</v>
      </c>
      <c r="J1818" s="10">
        <v>0</v>
      </c>
      <c r="K1818" s="10">
        <v>0</v>
      </c>
      <c r="L1818" s="10">
        <v>0</v>
      </c>
      <c r="M1818" s="10">
        <v>0</v>
      </c>
      <c r="N1818" s="10" t="s">
        <v>761</v>
      </c>
      <c r="O1818" s="10" t="s">
        <v>1982</v>
      </c>
      <c r="P1818" s="105" t="e">
        <f t="shared" si="28"/>
        <v>#DIV/0!</v>
      </c>
    </row>
    <row r="1819" spans="1:16">
      <c r="A1819" s="10" t="s">
        <v>635</v>
      </c>
      <c r="B1819" s="10">
        <v>8011282</v>
      </c>
      <c r="C1819" s="10" t="s">
        <v>759</v>
      </c>
      <c r="D1819" s="10" t="s">
        <v>760</v>
      </c>
      <c r="E1819" s="10">
        <v>0</v>
      </c>
      <c r="F1819" s="10">
        <v>0</v>
      </c>
      <c r="G1819" s="10">
        <v>0</v>
      </c>
      <c r="H1819" s="10">
        <v>0</v>
      </c>
      <c r="I1819" s="10" t="s">
        <v>21</v>
      </c>
      <c r="J1819" s="10">
        <v>0</v>
      </c>
      <c r="K1819" s="10">
        <v>0</v>
      </c>
      <c r="L1819" s="10">
        <v>0</v>
      </c>
      <c r="M1819" s="10">
        <v>0</v>
      </c>
      <c r="N1819" s="10" t="s">
        <v>761</v>
      </c>
      <c r="O1819" s="10" t="s">
        <v>1983</v>
      </c>
      <c r="P1819" s="105" t="e">
        <f t="shared" si="28"/>
        <v>#DIV/0!</v>
      </c>
    </row>
    <row r="1820" spans="1:16">
      <c r="A1820" s="10" t="s">
        <v>635</v>
      </c>
      <c r="B1820" s="10">
        <v>8011286</v>
      </c>
      <c r="C1820" s="10" t="s">
        <v>759</v>
      </c>
      <c r="D1820" s="10" t="s">
        <v>760</v>
      </c>
      <c r="E1820" s="103">
        <v>1000</v>
      </c>
      <c r="F1820" s="103">
        <v>5400</v>
      </c>
      <c r="G1820" s="10">
        <v>0</v>
      </c>
      <c r="H1820" s="103">
        <v>6400</v>
      </c>
      <c r="I1820" s="10" t="s">
        <v>21</v>
      </c>
      <c r="J1820" s="10">
        <v>482.83</v>
      </c>
      <c r="K1820" s="103">
        <v>2986.83</v>
      </c>
      <c r="L1820" s="10">
        <v>0</v>
      </c>
      <c r="M1820" s="103">
        <v>3469.66</v>
      </c>
      <c r="N1820" s="10" t="s">
        <v>761</v>
      </c>
      <c r="O1820" s="10" t="s">
        <v>19</v>
      </c>
      <c r="P1820" s="105">
        <f t="shared" si="28"/>
        <v>0.542134375</v>
      </c>
    </row>
    <row r="1821" spans="1:16">
      <c r="A1821" s="10" t="s">
        <v>635</v>
      </c>
      <c r="B1821" s="10">
        <v>8011333</v>
      </c>
      <c r="C1821" s="10" t="s">
        <v>759</v>
      </c>
      <c r="D1821" s="10" t="s">
        <v>760</v>
      </c>
      <c r="E1821" s="10">
        <v>0</v>
      </c>
      <c r="F1821" s="10">
        <v>0</v>
      </c>
      <c r="G1821" s="10">
        <v>0</v>
      </c>
      <c r="H1821" s="10">
        <v>0</v>
      </c>
      <c r="I1821" s="10" t="s">
        <v>21</v>
      </c>
      <c r="J1821" s="10">
        <v>0</v>
      </c>
      <c r="K1821" s="10">
        <v>0</v>
      </c>
      <c r="L1821" s="10">
        <v>0</v>
      </c>
      <c r="M1821" s="10">
        <v>0</v>
      </c>
      <c r="N1821" s="10" t="s">
        <v>761</v>
      </c>
      <c r="O1821" s="10" t="s">
        <v>1984</v>
      </c>
      <c r="P1821" s="105" t="e">
        <f t="shared" si="28"/>
        <v>#DIV/0!</v>
      </c>
    </row>
    <row r="1822" spans="1:16">
      <c r="A1822" s="10" t="s">
        <v>635</v>
      </c>
      <c r="B1822" s="10">
        <v>8011334</v>
      </c>
      <c r="C1822" s="10" t="s">
        <v>759</v>
      </c>
      <c r="D1822" s="10" t="s">
        <v>760</v>
      </c>
      <c r="E1822" s="10">
        <v>0</v>
      </c>
      <c r="F1822" s="10">
        <v>0</v>
      </c>
      <c r="G1822" s="10">
        <v>0</v>
      </c>
      <c r="H1822" s="10">
        <v>0</v>
      </c>
      <c r="I1822" s="10" t="s">
        <v>21</v>
      </c>
      <c r="J1822" s="10">
        <v>0</v>
      </c>
      <c r="K1822" s="10">
        <v>0</v>
      </c>
      <c r="L1822" s="10">
        <v>0</v>
      </c>
      <c r="M1822" s="10">
        <v>0</v>
      </c>
      <c r="N1822" s="10" t="s">
        <v>761</v>
      </c>
      <c r="O1822" s="10" t="s">
        <v>1985</v>
      </c>
      <c r="P1822" s="105" t="e">
        <f t="shared" si="28"/>
        <v>#DIV/0!</v>
      </c>
    </row>
    <row r="1823" spans="1:16">
      <c r="A1823" s="10" t="s">
        <v>635</v>
      </c>
      <c r="B1823" s="10">
        <v>8011335</v>
      </c>
      <c r="C1823" s="10" t="s">
        <v>759</v>
      </c>
      <c r="D1823" s="10" t="s">
        <v>760</v>
      </c>
      <c r="E1823" s="10">
        <v>0</v>
      </c>
      <c r="F1823" s="10">
        <v>0</v>
      </c>
      <c r="G1823" s="10">
        <v>0</v>
      </c>
      <c r="H1823" s="10">
        <v>0</v>
      </c>
      <c r="I1823" s="10" t="s">
        <v>21</v>
      </c>
      <c r="J1823" s="10">
        <v>0</v>
      </c>
      <c r="K1823" s="10">
        <v>0</v>
      </c>
      <c r="L1823" s="10">
        <v>0</v>
      </c>
      <c r="M1823" s="10">
        <v>0</v>
      </c>
      <c r="N1823" s="10" t="s">
        <v>761</v>
      </c>
      <c r="O1823" s="10" t="s">
        <v>1986</v>
      </c>
      <c r="P1823" s="105" t="e">
        <f t="shared" si="28"/>
        <v>#DIV/0!</v>
      </c>
    </row>
    <row r="1824" spans="1:16">
      <c r="A1824" s="10" t="s">
        <v>635</v>
      </c>
      <c r="B1824" s="10">
        <v>8011336</v>
      </c>
      <c r="C1824" s="10" t="s">
        <v>759</v>
      </c>
      <c r="D1824" s="10" t="s">
        <v>760</v>
      </c>
      <c r="E1824" s="10">
        <v>0</v>
      </c>
      <c r="F1824" s="10">
        <v>0</v>
      </c>
      <c r="G1824" s="10">
        <v>0</v>
      </c>
      <c r="H1824" s="10">
        <v>0</v>
      </c>
      <c r="I1824" s="10" t="s">
        <v>21</v>
      </c>
      <c r="J1824" s="10">
        <v>0</v>
      </c>
      <c r="K1824" s="10">
        <v>0</v>
      </c>
      <c r="L1824" s="10">
        <v>0</v>
      </c>
      <c r="M1824" s="10">
        <v>0</v>
      </c>
      <c r="N1824" s="10" t="s">
        <v>761</v>
      </c>
      <c r="O1824" s="10" t="s">
        <v>1987</v>
      </c>
      <c r="P1824" s="105" t="e">
        <f t="shared" si="28"/>
        <v>#DIV/0!</v>
      </c>
    </row>
    <row r="1825" spans="1:16">
      <c r="A1825" s="10" t="s">
        <v>635</v>
      </c>
      <c r="B1825" s="10">
        <v>8011337</v>
      </c>
      <c r="C1825" s="10" t="s">
        <v>759</v>
      </c>
      <c r="D1825" s="10" t="s">
        <v>760</v>
      </c>
      <c r="E1825" s="10">
        <v>0</v>
      </c>
      <c r="F1825" s="10">
        <v>0</v>
      </c>
      <c r="G1825" s="10">
        <v>0</v>
      </c>
      <c r="H1825" s="10">
        <v>0</v>
      </c>
      <c r="I1825" s="10" t="s">
        <v>21</v>
      </c>
      <c r="J1825" s="10">
        <v>0</v>
      </c>
      <c r="K1825" s="10">
        <v>0</v>
      </c>
      <c r="L1825" s="10">
        <v>0</v>
      </c>
      <c r="M1825" s="10">
        <v>0</v>
      </c>
      <c r="N1825" s="10" t="s">
        <v>761</v>
      </c>
      <c r="O1825" s="10" t="s">
        <v>1988</v>
      </c>
      <c r="P1825" s="105" t="e">
        <f t="shared" si="28"/>
        <v>#DIV/0!</v>
      </c>
    </row>
    <row r="1826" spans="1:16">
      <c r="A1826" s="10" t="s">
        <v>635</v>
      </c>
      <c r="B1826" s="10">
        <v>8011344</v>
      </c>
      <c r="C1826" s="10" t="s">
        <v>759</v>
      </c>
      <c r="D1826" s="10" t="s">
        <v>760</v>
      </c>
      <c r="E1826" s="10">
        <v>0</v>
      </c>
      <c r="F1826" s="10">
        <v>0</v>
      </c>
      <c r="G1826" s="10">
        <v>0</v>
      </c>
      <c r="H1826" s="10">
        <v>0</v>
      </c>
      <c r="I1826" s="10" t="s">
        <v>21</v>
      </c>
      <c r="J1826" s="10">
        <v>0</v>
      </c>
      <c r="K1826" s="10">
        <v>0</v>
      </c>
      <c r="L1826" s="10">
        <v>0</v>
      </c>
      <c r="M1826" s="10">
        <v>0</v>
      </c>
      <c r="N1826" s="10" t="s">
        <v>761</v>
      </c>
      <c r="O1826" s="10" t="s">
        <v>1989</v>
      </c>
      <c r="P1826" s="105" t="e">
        <f t="shared" si="28"/>
        <v>#DIV/0!</v>
      </c>
    </row>
    <row r="1827" spans="1:16">
      <c r="A1827" s="10" t="s">
        <v>635</v>
      </c>
      <c r="B1827" s="10">
        <v>8011345</v>
      </c>
      <c r="C1827" s="10" t="s">
        <v>759</v>
      </c>
      <c r="D1827" s="10" t="s">
        <v>760</v>
      </c>
      <c r="E1827" s="10">
        <v>0</v>
      </c>
      <c r="F1827" s="10">
        <v>0</v>
      </c>
      <c r="G1827" s="10">
        <v>0</v>
      </c>
      <c r="H1827" s="10">
        <v>0</v>
      </c>
      <c r="I1827" s="10" t="s">
        <v>21</v>
      </c>
      <c r="J1827" s="10">
        <v>0</v>
      </c>
      <c r="K1827" s="10">
        <v>0</v>
      </c>
      <c r="L1827" s="10">
        <v>0</v>
      </c>
      <c r="M1827" s="10">
        <v>0</v>
      </c>
      <c r="N1827" s="10" t="s">
        <v>761</v>
      </c>
      <c r="O1827" s="10" t="s">
        <v>1990</v>
      </c>
      <c r="P1827" s="105" t="e">
        <f t="shared" si="28"/>
        <v>#DIV/0!</v>
      </c>
    </row>
    <row r="1828" spans="1:16">
      <c r="A1828" s="10" t="s">
        <v>635</v>
      </c>
      <c r="B1828" s="10">
        <v>8011354</v>
      </c>
      <c r="C1828" s="10" t="s">
        <v>759</v>
      </c>
      <c r="D1828" s="10" t="s">
        <v>760</v>
      </c>
      <c r="E1828" s="10">
        <v>0</v>
      </c>
      <c r="F1828" s="10">
        <v>0</v>
      </c>
      <c r="G1828" s="10">
        <v>0</v>
      </c>
      <c r="H1828" s="10">
        <v>0</v>
      </c>
      <c r="I1828" s="10" t="s">
        <v>21</v>
      </c>
      <c r="J1828" s="10">
        <v>0</v>
      </c>
      <c r="K1828" s="10">
        <v>0</v>
      </c>
      <c r="L1828" s="10">
        <v>0</v>
      </c>
      <c r="M1828" s="10">
        <v>0</v>
      </c>
      <c r="N1828" s="10" t="s">
        <v>761</v>
      </c>
      <c r="O1828" s="10" t="s">
        <v>1991</v>
      </c>
      <c r="P1828" s="105" t="e">
        <f t="shared" si="28"/>
        <v>#DIV/0!</v>
      </c>
    </row>
    <row r="1829" spans="1:16">
      <c r="A1829" s="10" t="s">
        <v>635</v>
      </c>
      <c r="B1829" s="10">
        <v>8011368</v>
      </c>
      <c r="C1829" s="10" t="s">
        <v>759</v>
      </c>
      <c r="D1829" s="10" t="s">
        <v>760</v>
      </c>
      <c r="E1829" s="10">
        <v>0</v>
      </c>
      <c r="F1829" s="10">
        <v>0</v>
      </c>
      <c r="G1829" s="10">
        <v>0</v>
      </c>
      <c r="H1829" s="10">
        <v>0</v>
      </c>
      <c r="I1829" s="10" t="s">
        <v>21</v>
      </c>
      <c r="J1829" s="10">
        <v>0</v>
      </c>
      <c r="K1829" s="10">
        <v>0</v>
      </c>
      <c r="L1829" s="10">
        <v>0</v>
      </c>
      <c r="M1829" s="10">
        <v>0</v>
      </c>
      <c r="N1829" s="10" t="s">
        <v>761</v>
      </c>
      <c r="O1829" s="10" t="s">
        <v>1992</v>
      </c>
      <c r="P1829" s="105" t="e">
        <f t="shared" si="28"/>
        <v>#DIV/0!</v>
      </c>
    </row>
    <row r="1830" spans="1:16">
      <c r="A1830" s="10" t="s">
        <v>635</v>
      </c>
      <c r="B1830" s="10">
        <v>8011397</v>
      </c>
      <c r="C1830" s="10" t="s">
        <v>759</v>
      </c>
      <c r="D1830" s="10" t="s">
        <v>760</v>
      </c>
      <c r="E1830" s="10">
        <v>0</v>
      </c>
      <c r="F1830" s="10">
        <v>0</v>
      </c>
      <c r="G1830" s="10">
        <v>0</v>
      </c>
      <c r="H1830" s="10">
        <v>0</v>
      </c>
      <c r="I1830" s="10" t="s">
        <v>21</v>
      </c>
      <c r="J1830" s="10">
        <v>0</v>
      </c>
      <c r="K1830" s="10">
        <v>0</v>
      </c>
      <c r="L1830" s="10">
        <v>0</v>
      </c>
      <c r="M1830" s="10">
        <v>0</v>
      </c>
      <c r="N1830" s="10" t="s">
        <v>761</v>
      </c>
      <c r="O1830" s="10" t="s">
        <v>1993</v>
      </c>
      <c r="P1830" s="105" t="e">
        <f t="shared" si="28"/>
        <v>#DIV/0!</v>
      </c>
    </row>
    <row r="1831" spans="1:16">
      <c r="A1831" s="10" t="s">
        <v>635</v>
      </c>
      <c r="B1831" s="10">
        <v>8011398</v>
      </c>
      <c r="C1831" s="10" t="s">
        <v>759</v>
      </c>
      <c r="D1831" s="10" t="s">
        <v>760</v>
      </c>
      <c r="E1831" s="10">
        <v>0</v>
      </c>
      <c r="F1831" s="10">
        <v>0</v>
      </c>
      <c r="G1831" s="10">
        <v>0</v>
      </c>
      <c r="H1831" s="10">
        <v>0</v>
      </c>
      <c r="I1831" s="10" t="s">
        <v>21</v>
      </c>
      <c r="J1831" s="10">
        <v>0</v>
      </c>
      <c r="K1831" s="10">
        <v>0</v>
      </c>
      <c r="L1831" s="10">
        <v>0</v>
      </c>
      <c r="M1831" s="10">
        <v>0</v>
      </c>
      <c r="N1831" s="10" t="s">
        <v>761</v>
      </c>
      <c r="O1831" s="10" t="s">
        <v>739</v>
      </c>
      <c r="P1831" s="105" t="e">
        <f t="shared" si="28"/>
        <v>#DIV/0!</v>
      </c>
    </row>
    <row r="1832" spans="1:16">
      <c r="A1832" s="10" t="s">
        <v>635</v>
      </c>
      <c r="B1832" s="10">
        <v>8011401</v>
      </c>
      <c r="C1832" s="10" t="s">
        <v>759</v>
      </c>
      <c r="D1832" s="10" t="s">
        <v>760</v>
      </c>
      <c r="E1832" s="103">
        <v>8000</v>
      </c>
      <c r="F1832" s="103">
        <v>3000</v>
      </c>
      <c r="G1832" s="10">
        <v>0</v>
      </c>
      <c r="H1832" s="103">
        <v>11000</v>
      </c>
      <c r="I1832" s="10" t="s">
        <v>21</v>
      </c>
      <c r="J1832" s="103">
        <v>2016.72</v>
      </c>
      <c r="K1832" s="10">
        <v>704.82</v>
      </c>
      <c r="L1832" s="10">
        <v>0</v>
      </c>
      <c r="M1832" s="103">
        <v>2721.54</v>
      </c>
      <c r="N1832" s="10" t="s">
        <v>761</v>
      </c>
      <c r="O1832" s="10" t="s">
        <v>27</v>
      </c>
      <c r="P1832" s="105">
        <f t="shared" si="28"/>
        <v>0.247412727272727</v>
      </c>
    </row>
    <row r="1833" spans="1:16">
      <c r="A1833" s="10" t="s">
        <v>635</v>
      </c>
      <c r="B1833" s="10">
        <v>8011403</v>
      </c>
      <c r="C1833" s="10" t="s">
        <v>759</v>
      </c>
      <c r="D1833" s="10" t="s">
        <v>760</v>
      </c>
      <c r="E1833" s="10">
        <v>0</v>
      </c>
      <c r="F1833" s="10">
        <v>0</v>
      </c>
      <c r="G1833" s="10">
        <v>0</v>
      </c>
      <c r="H1833" s="10">
        <v>0</v>
      </c>
      <c r="I1833" s="10" t="s">
        <v>41</v>
      </c>
      <c r="J1833" s="10">
        <v>0</v>
      </c>
      <c r="K1833" s="10">
        <v>0</v>
      </c>
      <c r="L1833" s="10">
        <v>0</v>
      </c>
      <c r="M1833" s="10">
        <v>0</v>
      </c>
      <c r="N1833" s="10" t="s">
        <v>761</v>
      </c>
      <c r="O1833" s="10" t="s">
        <v>1148</v>
      </c>
      <c r="P1833" s="105" t="e">
        <f t="shared" si="28"/>
        <v>#DIV/0!</v>
      </c>
    </row>
    <row r="1834" spans="1:16">
      <c r="A1834" s="10" t="s">
        <v>635</v>
      </c>
      <c r="B1834" s="10">
        <v>8011407</v>
      </c>
      <c r="C1834" s="10" t="s">
        <v>759</v>
      </c>
      <c r="D1834" s="10" t="s">
        <v>760</v>
      </c>
      <c r="E1834" s="10">
        <v>0</v>
      </c>
      <c r="F1834" s="10">
        <v>0</v>
      </c>
      <c r="G1834" s="10">
        <v>0</v>
      </c>
      <c r="H1834" s="10">
        <v>0</v>
      </c>
      <c r="I1834" s="10" t="s">
        <v>21</v>
      </c>
      <c r="J1834" s="10">
        <v>0</v>
      </c>
      <c r="K1834" s="10">
        <v>0</v>
      </c>
      <c r="L1834" s="10">
        <v>0</v>
      </c>
      <c r="M1834" s="10">
        <v>0</v>
      </c>
      <c r="N1834" s="10" t="s">
        <v>761</v>
      </c>
      <c r="O1834" s="10" t="s">
        <v>1194</v>
      </c>
      <c r="P1834" s="105" t="e">
        <f t="shared" si="28"/>
        <v>#DIV/0!</v>
      </c>
    </row>
    <row r="1835" spans="1:16">
      <c r="A1835" s="10" t="s">
        <v>635</v>
      </c>
      <c r="B1835" s="10">
        <v>8011411</v>
      </c>
      <c r="C1835" s="10" t="s">
        <v>759</v>
      </c>
      <c r="D1835" s="10" t="s">
        <v>760</v>
      </c>
      <c r="E1835" s="10">
        <v>0</v>
      </c>
      <c r="F1835" s="10">
        <v>480</v>
      </c>
      <c r="G1835" s="10">
        <v>0</v>
      </c>
      <c r="H1835" s="10">
        <v>480</v>
      </c>
      <c r="I1835" s="10" t="s">
        <v>67</v>
      </c>
      <c r="J1835" s="10">
        <v>0</v>
      </c>
      <c r="K1835" s="10">
        <v>310.96</v>
      </c>
      <c r="L1835" s="10">
        <v>0</v>
      </c>
      <c r="M1835" s="10">
        <v>310.96</v>
      </c>
      <c r="N1835" s="10" t="s">
        <v>761</v>
      </c>
      <c r="O1835" s="10" t="s">
        <v>161</v>
      </c>
      <c r="P1835" s="105">
        <f t="shared" si="28"/>
        <v>0.647833333333333</v>
      </c>
    </row>
    <row r="1836" spans="1:16">
      <c r="A1836" s="10" t="s">
        <v>635</v>
      </c>
      <c r="B1836" s="10">
        <v>8011414</v>
      </c>
      <c r="C1836" s="10" t="s">
        <v>759</v>
      </c>
      <c r="D1836" s="10" t="s">
        <v>760</v>
      </c>
      <c r="E1836" s="103">
        <v>24000</v>
      </c>
      <c r="F1836" s="103">
        <v>20000</v>
      </c>
      <c r="G1836" s="10">
        <v>0</v>
      </c>
      <c r="H1836" s="103">
        <v>44000</v>
      </c>
      <c r="I1836" s="10" t="s">
        <v>97</v>
      </c>
      <c r="J1836" s="10">
        <v>241.05</v>
      </c>
      <c r="K1836" s="10">
        <v>193.48</v>
      </c>
      <c r="L1836" s="10">
        <v>0</v>
      </c>
      <c r="M1836" s="10">
        <v>434.53</v>
      </c>
      <c r="N1836" s="10" t="s">
        <v>761</v>
      </c>
      <c r="O1836" s="10" t="s">
        <v>95</v>
      </c>
      <c r="P1836" s="105">
        <f t="shared" si="28"/>
        <v>0.00987568181818182</v>
      </c>
    </row>
    <row r="1837" spans="1:16">
      <c r="A1837" s="10" t="s">
        <v>635</v>
      </c>
      <c r="B1837" s="10">
        <v>8011416</v>
      </c>
      <c r="C1837" s="10" t="s">
        <v>759</v>
      </c>
      <c r="D1837" s="10" t="s">
        <v>760</v>
      </c>
      <c r="E1837" s="10">
        <v>0</v>
      </c>
      <c r="F1837" s="10">
        <v>0</v>
      </c>
      <c r="G1837" s="10">
        <v>0</v>
      </c>
      <c r="H1837" s="10">
        <v>0</v>
      </c>
      <c r="I1837" s="10" t="s">
        <v>30</v>
      </c>
      <c r="J1837" s="10">
        <v>0</v>
      </c>
      <c r="K1837" s="10">
        <v>0</v>
      </c>
      <c r="L1837" s="10">
        <v>0</v>
      </c>
      <c r="M1837" s="10">
        <v>0</v>
      </c>
      <c r="N1837" s="10" t="s">
        <v>761</v>
      </c>
      <c r="O1837" s="10" t="s">
        <v>63</v>
      </c>
      <c r="P1837" s="105" t="e">
        <f t="shared" si="28"/>
        <v>#DIV/0!</v>
      </c>
    </row>
    <row r="1838" spans="1:16">
      <c r="A1838" s="10" t="s">
        <v>635</v>
      </c>
      <c r="B1838" s="10">
        <v>8011433</v>
      </c>
      <c r="C1838" s="10" t="s">
        <v>759</v>
      </c>
      <c r="D1838" s="10" t="s">
        <v>760</v>
      </c>
      <c r="E1838" s="10">
        <v>0</v>
      </c>
      <c r="F1838" s="10">
        <v>0</v>
      </c>
      <c r="G1838" s="10">
        <v>0</v>
      </c>
      <c r="H1838" s="10">
        <v>0</v>
      </c>
      <c r="I1838" s="10" t="s">
        <v>21</v>
      </c>
      <c r="J1838" s="10">
        <v>0</v>
      </c>
      <c r="K1838" s="10">
        <v>0</v>
      </c>
      <c r="L1838" s="10">
        <v>0</v>
      </c>
      <c r="M1838" s="10">
        <v>0</v>
      </c>
      <c r="N1838" s="10" t="s">
        <v>761</v>
      </c>
      <c r="O1838" s="10" t="s">
        <v>1994</v>
      </c>
      <c r="P1838" s="105" t="e">
        <f t="shared" si="28"/>
        <v>#DIV/0!</v>
      </c>
    </row>
    <row r="1839" spans="1:16">
      <c r="A1839" s="10" t="s">
        <v>635</v>
      </c>
      <c r="B1839" s="10">
        <v>8011445</v>
      </c>
      <c r="C1839" s="10" t="s">
        <v>759</v>
      </c>
      <c r="D1839" s="10" t="s">
        <v>760</v>
      </c>
      <c r="E1839" s="103">
        <v>2000</v>
      </c>
      <c r="F1839" s="10">
        <v>0</v>
      </c>
      <c r="G1839" s="10">
        <v>0</v>
      </c>
      <c r="H1839" s="103">
        <v>2000</v>
      </c>
      <c r="I1839" s="10" t="s">
        <v>30</v>
      </c>
      <c r="J1839" s="10">
        <v>11.4</v>
      </c>
      <c r="K1839" s="10">
        <v>0</v>
      </c>
      <c r="L1839" s="10">
        <v>0</v>
      </c>
      <c r="M1839" s="10">
        <v>11.4</v>
      </c>
      <c r="N1839" s="10" t="s">
        <v>761</v>
      </c>
      <c r="O1839" s="10" t="s">
        <v>352</v>
      </c>
      <c r="P1839" s="105">
        <f t="shared" si="28"/>
        <v>0.0057</v>
      </c>
    </row>
    <row r="1840" spans="1:16">
      <c r="A1840" s="10" t="s">
        <v>635</v>
      </c>
      <c r="B1840" s="10">
        <v>8011447</v>
      </c>
      <c r="C1840" s="10" t="s">
        <v>759</v>
      </c>
      <c r="D1840" s="10" t="s">
        <v>760</v>
      </c>
      <c r="E1840" s="10">
        <v>0</v>
      </c>
      <c r="F1840" s="10">
        <v>0</v>
      </c>
      <c r="G1840" s="10">
        <v>0</v>
      </c>
      <c r="H1840" s="10">
        <v>0</v>
      </c>
      <c r="I1840" s="10" t="s">
        <v>41</v>
      </c>
      <c r="J1840" s="10">
        <v>0</v>
      </c>
      <c r="K1840" s="10">
        <v>0</v>
      </c>
      <c r="L1840" s="10">
        <v>0</v>
      </c>
      <c r="M1840" s="10">
        <v>0</v>
      </c>
      <c r="N1840" s="10" t="s">
        <v>761</v>
      </c>
      <c r="O1840" s="10" t="s">
        <v>61</v>
      </c>
      <c r="P1840" s="105" t="e">
        <f t="shared" si="28"/>
        <v>#DIV/0!</v>
      </c>
    </row>
    <row r="1841" spans="1:16">
      <c r="A1841" s="10" t="s">
        <v>635</v>
      </c>
      <c r="B1841" s="10">
        <v>8011480</v>
      </c>
      <c r="C1841" s="10" t="s">
        <v>759</v>
      </c>
      <c r="D1841" s="10" t="s">
        <v>760</v>
      </c>
      <c r="E1841" s="10">
        <v>0</v>
      </c>
      <c r="F1841" s="10">
        <v>0</v>
      </c>
      <c r="G1841" s="10">
        <v>0</v>
      </c>
      <c r="H1841" s="10">
        <v>0</v>
      </c>
      <c r="I1841" s="10" t="s">
        <v>102</v>
      </c>
      <c r="J1841" s="10">
        <v>0</v>
      </c>
      <c r="K1841" s="10">
        <v>0</v>
      </c>
      <c r="L1841" s="10">
        <v>0</v>
      </c>
      <c r="M1841" s="10">
        <v>0</v>
      </c>
      <c r="N1841" s="10" t="s">
        <v>761</v>
      </c>
      <c r="O1841" s="10" t="s">
        <v>1206</v>
      </c>
      <c r="P1841" s="105" t="e">
        <f t="shared" si="28"/>
        <v>#DIV/0!</v>
      </c>
    </row>
    <row r="1842" spans="1:16">
      <c r="A1842" s="10" t="s">
        <v>635</v>
      </c>
      <c r="B1842" s="10">
        <v>8011484</v>
      </c>
      <c r="C1842" s="10" t="s">
        <v>759</v>
      </c>
      <c r="D1842" s="10" t="s">
        <v>760</v>
      </c>
      <c r="E1842" s="10">
        <v>0</v>
      </c>
      <c r="F1842" s="10">
        <v>0</v>
      </c>
      <c r="G1842" s="10">
        <v>0</v>
      </c>
      <c r="H1842" s="10">
        <v>0</v>
      </c>
      <c r="I1842" s="10" t="s">
        <v>41</v>
      </c>
      <c r="J1842" s="10">
        <v>0</v>
      </c>
      <c r="K1842" s="10">
        <v>0</v>
      </c>
      <c r="L1842" s="10">
        <v>0</v>
      </c>
      <c r="M1842" s="10">
        <v>0</v>
      </c>
      <c r="N1842" s="10" t="s">
        <v>761</v>
      </c>
      <c r="O1842" s="10" t="s">
        <v>1995</v>
      </c>
      <c r="P1842" s="105" t="e">
        <f t="shared" si="28"/>
        <v>#DIV/0!</v>
      </c>
    </row>
    <row r="1843" spans="1:16">
      <c r="A1843" s="10" t="s">
        <v>635</v>
      </c>
      <c r="B1843" s="10">
        <v>8011489</v>
      </c>
      <c r="C1843" s="10" t="s">
        <v>759</v>
      </c>
      <c r="D1843" s="10" t="s">
        <v>760</v>
      </c>
      <c r="E1843" s="10">
        <v>0</v>
      </c>
      <c r="F1843" s="10">
        <v>0</v>
      </c>
      <c r="G1843" s="10">
        <v>0</v>
      </c>
      <c r="H1843" s="10">
        <v>0</v>
      </c>
      <c r="I1843" s="10" t="s">
        <v>41</v>
      </c>
      <c r="J1843" s="10">
        <v>0</v>
      </c>
      <c r="K1843" s="10">
        <v>0</v>
      </c>
      <c r="L1843" s="10">
        <v>0</v>
      </c>
      <c r="M1843" s="10">
        <v>0</v>
      </c>
      <c r="N1843" s="10" t="s">
        <v>761</v>
      </c>
      <c r="O1843" s="10" t="s">
        <v>1204</v>
      </c>
      <c r="P1843" s="105" t="e">
        <f t="shared" si="28"/>
        <v>#DIV/0!</v>
      </c>
    </row>
    <row r="1844" spans="1:16">
      <c r="A1844" s="10" t="s">
        <v>635</v>
      </c>
      <c r="B1844" s="10">
        <v>8011493</v>
      </c>
      <c r="C1844" s="10" t="s">
        <v>759</v>
      </c>
      <c r="D1844" s="10" t="s">
        <v>760</v>
      </c>
      <c r="E1844" s="10">
        <v>0</v>
      </c>
      <c r="F1844" s="10">
        <v>0</v>
      </c>
      <c r="G1844" s="10">
        <v>0</v>
      </c>
      <c r="H1844" s="10">
        <v>0</v>
      </c>
      <c r="I1844" s="10" t="s">
        <v>21</v>
      </c>
      <c r="J1844" s="10">
        <v>0</v>
      </c>
      <c r="K1844" s="10">
        <v>0</v>
      </c>
      <c r="L1844" s="10">
        <v>0</v>
      </c>
      <c r="M1844" s="10">
        <v>0</v>
      </c>
      <c r="N1844" s="10" t="s">
        <v>761</v>
      </c>
      <c r="O1844" s="10" t="s">
        <v>1299</v>
      </c>
      <c r="P1844" s="105" t="e">
        <f t="shared" si="28"/>
        <v>#DIV/0!</v>
      </c>
    </row>
    <row r="1845" spans="1:16">
      <c r="A1845" s="10" t="s">
        <v>635</v>
      </c>
      <c r="B1845" s="10">
        <v>8011495</v>
      </c>
      <c r="C1845" s="10" t="s">
        <v>759</v>
      </c>
      <c r="D1845" s="10" t="s">
        <v>760</v>
      </c>
      <c r="E1845" s="10">
        <v>0</v>
      </c>
      <c r="F1845" s="10">
        <v>400</v>
      </c>
      <c r="G1845" s="10">
        <v>0</v>
      </c>
      <c r="H1845" s="10">
        <v>400</v>
      </c>
      <c r="I1845" s="10" t="s">
        <v>21</v>
      </c>
      <c r="J1845" s="10">
        <v>0</v>
      </c>
      <c r="K1845" s="10">
        <v>221.22</v>
      </c>
      <c r="L1845" s="10">
        <v>0</v>
      </c>
      <c r="M1845" s="10">
        <v>221.22</v>
      </c>
      <c r="N1845" s="10" t="s">
        <v>761</v>
      </c>
      <c r="O1845" s="10" t="s">
        <v>252</v>
      </c>
      <c r="P1845" s="105">
        <f t="shared" si="28"/>
        <v>0.55305</v>
      </c>
    </row>
    <row r="1846" spans="1:16">
      <c r="A1846" s="10" t="s">
        <v>635</v>
      </c>
      <c r="B1846" s="10">
        <v>8011496</v>
      </c>
      <c r="C1846" s="10" t="s">
        <v>759</v>
      </c>
      <c r="D1846" s="10" t="s">
        <v>760</v>
      </c>
      <c r="E1846" s="103">
        <v>4600</v>
      </c>
      <c r="F1846" s="10">
        <v>0</v>
      </c>
      <c r="G1846" s="10">
        <v>0</v>
      </c>
      <c r="H1846" s="103">
        <v>4600</v>
      </c>
      <c r="I1846" s="10" t="s">
        <v>21</v>
      </c>
      <c r="J1846" s="103">
        <v>1550.35</v>
      </c>
      <c r="K1846" s="10">
        <v>0</v>
      </c>
      <c r="L1846" s="10">
        <v>0</v>
      </c>
      <c r="M1846" s="103">
        <v>1550.35</v>
      </c>
      <c r="N1846" s="10" t="s">
        <v>761</v>
      </c>
      <c r="O1846" s="10" t="s">
        <v>463</v>
      </c>
      <c r="P1846" s="105">
        <f t="shared" si="28"/>
        <v>0.337032608695652</v>
      </c>
    </row>
    <row r="1847" spans="1:16">
      <c r="A1847" s="10" t="s">
        <v>635</v>
      </c>
      <c r="B1847" s="10">
        <v>8011499</v>
      </c>
      <c r="C1847" s="10" t="s">
        <v>759</v>
      </c>
      <c r="D1847" s="10" t="s">
        <v>760</v>
      </c>
      <c r="E1847" s="10">
        <v>0</v>
      </c>
      <c r="F1847" s="10">
        <v>0</v>
      </c>
      <c r="G1847" s="10">
        <v>0</v>
      </c>
      <c r="H1847" s="10">
        <v>0</v>
      </c>
      <c r="I1847" s="10" t="s">
        <v>21</v>
      </c>
      <c r="J1847" s="10">
        <v>0</v>
      </c>
      <c r="K1847" s="10">
        <v>0</v>
      </c>
      <c r="L1847" s="10">
        <v>0</v>
      </c>
      <c r="M1847" s="10">
        <v>0</v>
      </c>
      <c r="N1847" s="10" t="s">
        <v>761</v>
      </c>
      <c r="O1847" s="10" t="s">
        <v>1257</v>
      </c>
      <c r="P1847" s="105" t="e">
        <f t="shared" si="28"/>
        <v>#DIV/0!</v>
      </c>
    </row>
    <row r="1848" spans="1:16">
      <c r="A1848" s="10" t="s">
        <v>635</v>
      </c>
      <c r="B1848" s="10">
        <v>8011501</v>
      </c>
      <c r="C1848" s="10" t="s">
        <v>759</v>
      </c>
      <c r="D1848" s="10" t="s">
        <v>760</v>
      </c>
      <c r="E1848" s="10">
        <v>0</v>
      </c>
      <c r="F1848" s="10">
        <v>0</v>
      </c>
      <c r="G1848" s="10">
        <v>0</v>
      </c>
      <c r="H1848" s="10">
        <v>0</v>
      </c>
      <c r="I1848" s="10" t="s">
        <v>21</v>
      </c>
      <c r="J1848" s="10">
        <v>0</v>
      </c>
      <c r="K1848" s="10">
        <v>0</v>
      </c>
      <c r="L1848" s="10">
        <v>0</v>
      </c>
      <c r="M1848" s="10">
        <v>0</v>
      </c>
      <c r="N1848" s="10" t="s">
        <v>761</v>
      </c>
      <c r="O1848" s="10" t="s">
        <v>420</v>
      </c>
      <c r="P1848" s="105" t="e">
        <f t="shared" si="28"/>
        <v>#DIV/0!</v>
      </c>
    </row>
    <row r="1849" spans="1:16">
      <c r="A1849" s="10" t="s">
        <v>635</v>
      </c>
      <c r="B1849" s="10">
        <v>8011505</v>
      </c>
      <c r="C1849" s="10" t="s">
        <v>759</v>
      </c>
      <c r="D1849" s="10" t="s">
        <v>760</v>
      </c>
      <c r="E1849" s="10">
        <v>0</v>
      </c>
      <c r="F1849" s="10">
        <v>0</v>
      </c>
      <c r="G1849" s="10">
        <v>0</v>
      </c>
      <c r="H1849" s="10">
        <v>0</v>
      </c>
      <c r="I1849" s="10" t="s">
        <v>21</v>
      </c>
      <c r="J1849" s="10">
        <v>0</v>
      </c>
      <c r="K1849" s="10">
        <v>0</v>
      </c>
      <c r="L1849" s="10">
        <v>0</v>
      </c>
      <c r="M1849" s="10">
        <v>0</v>
      </c>
      <c r="N1849" s="10" t="s">
        <v>761</v>
      </c>
      <c r="O1849" s="10" t="s">
        <v>1147</v>
      </c>
      <c r="P1849" s="105" t="e">
        <f t="shared" si="28"/>
        <v>#DIV/0!</v>
      </c>
    </row>
    <row r="1850" spans="1:16">
      <c r="A1850" s="10" t="s">
        <v>635</v>
      </c>
      <c r="B1850" s="10">
        <v>8011510</v>
      </c>
      <c r="C1850" s="10" t="s">
        <v>759</v>
      </c>
      <c r="D1850" s="10" t="s">
        <v>760</v>
      </c>
      <c r="E1850" s="10">
        <v>0</v>
      </c>
      <c r="F1850" s="10">
        <v>0</v>
      </c>
      <c r="G1850" s="10">
        <v>0</v>
      </c>
      <c r="H1850" s="10">
        <v>0</v>
      </c>
      <c r="I1850" s="10" t="s">
        <v>21</v>
      </c>
      <c r="J1850" s="10">
        <v>0</v>
      </c>
      <c r="K1850" s="10">
        <v>0</v>
      </c>
      <c r="L1850" s="10">
        <v>0</v>
      </c>
      <c r="M1850" s="10">
        <v>0</v>
      </c>
      <c r="N1850" s="10" t="s">
        <v>761</v>
      </c>
      <c r="O1850" s="10" t="s">
        <v>1996</v>
      </c>
      <c r="P1850" s="105" t="e">
        <f t="shared" si="28"/>
        <v>#DIV/0!</v>
      </c>
    </row>
    <row r="1851" spans="1:16">
      <c r="A1851" s="10" t="s">
        <v>635</v>
      </c>
      <c r="B1851" s="10">
        <v>8011511</v>
      </c>
      <c r="C1851" s="10" t="s">
        <v>759</v>
      </c>
      <c r="D1851" s="10" t="s">
        <v>760</v>
      </c>
      <c r="E1851" s="10">
        <v>0</v>
      </c>
      <c r="F1851" s="10">
        <v>0</v>
      </c>
      <c r="G1851" s="10">
        <v>0</v>
      </c>
      <c r="H1851" s="10">
        <v>0</v>
      </c>
      <c r="I1851" s="10" t="s">
        <v>21</v>
      </c>
      <c r="J1851" s="10">
        <v>0</v>
      </c>
      <c r="K1851" s="10">
        <v>0</v>
      </c>
      <c r="L1851" s="10">
        <v>0</v>
      </c>
      <c r="M1851" s="10">
        <v>0</v>
      </c>
      <c r="N1851" s="10" t="s">
        <v>761</v>
      </c>
      <c r="O1851" s="10" t="s">
        <v>1997</v>
      </c>
      <c r="P1851" s="105" t="e">
        <f t="shared" si="28"/>
        <v>#DIV/0!</v>
      </c>
    </row>
    <row r="1852" spans="1:16">
      <c r="A1852" s="10" t="s">
        <v>635</v>
      </c>
      <c r="B1852" s="10">
        <v>8011554</v>
      </c>
      <c r="C1852" s="10" t="s">
        <v>759</v>
      </c>
      <c r="D1852" s="10" t="s">
        <v>760</v>
      </c>
      <c r="E1852" s="10">
        <v>0</v>
      </c>
      <c r="F1852" s="10">
        <v>0</v>
      </c>
      <c r="G1852" s="10">
        <v>0</v>
      </c>
      <c r="H1852" s="10">
        <v>0</v>
      </c>
      <c r="I1852" s="10" t="s">
        <v>21</v>
      </c>
      <c r="J1852" s="10">
        <v>0</v>
      </c>
      <c r="K1852" s="10">
        <v>0</v>
      </c>
      <c r="L1852" s="10">
        <v>0</v>
      </c>
      <c r="M1852" s="10">
        <v>0</v>
      </c>
      <c r="N1852" s="10" t="s">
        <v>761</v>
      </c>
      <c r="O1852" s="10" t="s">
        <v>327</v>
      </c>
      <c r="P1852" s="105" t="e">
        <f t="shared" si="28"/>
        <v>#DIV/0!</v>
      </c>
    </row>
    <row r="1853" spans="1:16">
      <c r="A1853" s="10" t="s">
        <v>635</v>
      </c>
      <c r="B1853" s="10">
        <v>8011561</v>
      </c>
      <c r="C1853" s="10" t="s">
        <v>759</v>
      </c>
      <c r="D1853" s="10" t="s">
        <v>760</v>
      </c>
      <c r="E1853" s="10">
        <v>0</v>
      </c>
      <c r="F1853" s="10">
        <v>0</v>
      </c>
      <c r="G1853" s="10">
        <v>0</v>
      </c>
      <c r="H1853" s="10">
        <v>0</v>
      </c>
      <c r="I1853" s="10" t="s">
        <v>261</v>
      </c>
      <c r="J1853" s="10">
        <v>0</v>
      </c>
      <c r="K1853" s="10">
        <v>0</v>
      </c>
      <c r="L1853" s="10">
        <v>0</v>
      </c>
      <c r="M1853" s="10">
        <v>0</v>
      </c>
      <c r="N1853" s="10" t="s">
        <v>761</v>
      </c>
      <c r="O1853" s="10" t="s">
        <v>1998</v>
      </c>
      <c r="P1853" s="105" t="e">
        <f t="shared" si="28"/>
        <v>#DIV/0!</v>
      </c>
    </row>
    <row r="1854" spans="1:16">
      <c r="A1854" s="10" t="s">
        <v>635</v>
      </c>
      <c r="B1854" s="10">
        <v>8011582</v>
      </c>
      <c r="C1854" s="10" t="s">
        <v>759</v>
      </c>
      <c r="D1854" s="10" t="s">
        <v>760</v>
      </c>
      <c r="E1854" s="10">
        <v>0</v>
      </c>
      <c r="F1854" s="10">
        <v>0</v>
      </c>
      <c r="G1854" s="10">
        <v>0</v>
      </c>
      <c r="H1854" s="10">
        <v>0</v>
      </c>
      <c r="I1854" s="10" t="s">
        <v>26</v>
      </c>
      <c r="J1854" s="10">
        <v>0</v>
      </c>
      <c r="K1854" s="10">
        <v>0</v>
      </c>
      <c r="L1854" s="10">
        <v>0</v>
      </c>
      <c r="M1854" s="10">
        <v>0</v>
      </c>
      <c r="N1854" s="10" t="s">
        <v>761</v>
      </c>
      <c r="O1854" s="10" t="s">
        <v>1999</v>
      </c>
      <c r="P1854" s="105" t="e">
        <f t="shared" si="28"/>
        <v>#DIV/0!</v>
      </c>
    </row>
    <row r="1855" spans="1:16">
      <c r="A1855" s="10" t="s">
        <v>635</v>
      </c>
      <c r="B1855" s="10">
        <v>8011583</v>
      </c>
      <c r="C1855" s="10" t="s">
        <v>759</v>
      </c>
      <c r="D1855" s="10" t="s">
        <v>760</v>
      </c>
      <c r="E1855" s="10">
        <v>0</v>
      </c>
      <c r="F1855" s="10">
        <v>0</v>
      </c>
      <c r="G1855" s="10">
        <v>0</v>
      </c>
      <c r="H1855" s="10">
        <v>0</v>
      </c>
      <c r="I1855" s="10" t="s">
        <v>26</v>
      </c>
      <c r="J1855" s="10">
        <v>0</v>
      </c>
      <c r="K1855" s="10">
        <v>0</v>
      </c>
      <c r="L1855" s="10">
        <v>0</v>
      </c>
      <c r="M1855" s="10">
        <v>0</v>
      </c>
      <c r="N1855" s="10" t="s">
        <v>761</v>
      </c>
      <c r="O1855" s="10" t="s">
        <v>2000</v>
      </c>
      <c r="P1855" s="105" t="e">
        <f t="shared" si="28"/>
        <v>#DIV/0!</v>
      </c>
    </row>
    <row r="1856" spans="1:16">
      <c r="A1856" s="10" t="s">
        <v>635</v>
      </c>
      <c r="B1856" s="10">
        <v>8011624</v>
      </c>
      <c r="C1856" s="10" t="s">
        <v>759</v>
      </c>
      <c r="D1856" s="10" t="s">
        <v>760</v>
      </c>
      <c r="E1856" s="10">
        <v>0</v>
      </c>
      <c r="F1856" s="10">
        <v>0</v>
      </c>
      <c r="G1856" s="10">
        <v>0</v>
      </c>
      <c r="H1856" s="10">
        <v>0</v>
      </c>
      <c r="I1856" s="10" t="s">
        <v>21</v>
      </c>
      <c r="J1856" s="10">
        <v>0</v>
      </c>
      <c r="K1856" s="10">
        <v>0</v>
      </c>
      <c r="L1856" s="10">
        <v>0</v>
      </c>
      <c r="M1856" s="10">
        <v>0</v>
      </c>
      <c r="N1856" s="10" t="s">
        <v>761</v>
      </c>
      <c r="O1856" s="10" t="s">
        <v>2001</v>
      </c>
      <c r="P1856" s="105" t="e">
        <f t="shared" si="28"/>
        <v>#DIV/0!</v>
      </c>
    </row>
    <row r="1857" spans="1:16">
      <c r="A1857" s="10" t="s">
        <v>635</v>
      </c>
      <c r="B1857" s="10">
        <v>8011625</v>
      </c>
      <c r="C1857" s="10" t="s">
        <v>759</v>
      </c>
      <c r="D1857" s="10" t="s">
        <v>760</v>
      </c>
      <c r="E1857" s="10">
        <v>0</v>
      </c>
      <c r="F1857" s="10">
        <v>0</v>
      </c>
      <c r="G1857" s="10">
        <v>0</v>
      </c>
      <c r="H1857" s="10">
        <v>0</v>
      </c>
      <c r="I1857" s="10" t="s">
        <v>21</v>
      </c>
      <c r="J1857" s="10">
        <v>0</v>
      </c>
      <c r="K1857" s="10">
        <v>0</v>
      </c>
      <c r="L1857" s="10">
        <v>0</v>
      </c>
      <c r="M1857" s="10">
        <v>0</v>
      </c>
      <c r="N1857" s="10" t="s">
        <v>761</v>
      </c>
      <c r="O1857" s="10" t="s">
        <v>2002</v>
      </c>
      <c r="P1857" s="105" t="e">
        <f t="shared" si="28"/>
        <v>#DIV/0!</v>
      </c>
    </row>
    <row r="1858" spans="1:16">
      <c r="A1858" s="10" t="s">
        <v>635</v>
      </c>
      <c r="B1858" s="10">
        <v>8011626</v>
      </c>
      <c r="C1858" s="10" t="s">
        <v>759</v>
      </c>
      <c r="D1858" s="10" t="s">
        <v>760</v>
      </c>
      <c r="E1858" s="10">
        <v>0</v>
      </c>
      <c r="F1858" s="10">
        <v>0</v>
      </c>
      <c r="G1858" s="10">
        <v>0</v>
      </c>
      <c r="H1858" s="10">
        <v>0</v>
      </c>
      <c r="I1858" s="10" t="s">
        <v>21</v>
      </c>
      <c r="J1858" s="10">
        <v>0</v>
      </c>
      <c r="K1858" s="10">
        <v>0</v>
      </c>
      <c r="L1858" s="10">
        <v>0</v>
      </c>
      <c r="M1858" s="10">
        <v>0</v>
      </c>
      <c r="N1858" s="10" t="s">
        <v>761</v>
      </c>
      <c r="O1858" s="10" t="s">
        <v>2003</v>
      </c>
      <c r="P1858" s="105" t="e">
        <f t="shared" si="28"/>
        <v>#DIV/0!</v>
      </c>
    </row>
    <row r="1859" spans="1:16">
      <c r="A1859" s="10" t="s">
        <v>635</v>
      </c>
      <c r="B1859" s="10">
        <v>8011627</v>
      </c>
      <c r="C1859" s="10" t="s">
        <v>759</v>
      </c>
      <c r="D1859" s="10" t="s">
        <v>760</v>
      </c>
      <c r="E1859" s="10">
        <v>0</v>
      </c>
      <c r="F1859" s="10">
        <v>0</v>
      </c>
      <c r="G1859" s="10">
        <v>0</v>
      </c>
      <c r="H1859" s="10">
        <v>0</v>
      </c>
      <c r="I1859" s="10" t="s">
        <v>21</v>
      </c>
      <c r="J1859" s="10">
        <v>0</v>
      </c>
      <c r="K1859" s="10">
        <v>0</v>
      </c>
      <c r="L1859" s="10">
        <v>0</v>
      </c>
      <c r="M1859" s="10">
        <v>0</v>
      </c>
      <c r="N1859" s="10" t="s">
        <v>761</v>
      </c>
      <c r="O1859" s="10" t="s">
        <v>2004</v>
      </c>
      <c r="P1859" s="105" t="e">
        <f t="shared" ref="P1859:P1922" si="29">M1859/H1859</f>
        <v>#DIV/0!</v>
      </c>
    </row>
    <row r="1860" spans="1:16">
      <c r="A1860" s="10" t="s">
        <v>635</v>
      </c>
      <c r="B1860" s="10">
        <v>8011628</v>
      </c>
      <c r="C1860" s="10" t="s">
        <v>759</v>
      </c>
      <c r="D1860" s="10" t="s">
        <v>760</v>
      </c>
      <c r="E1860" s="10">
        <v>0</v>
      </c>
      <c r="F1860" s="10">
        <v>0</v>
      </c>
      <c r="G1860" s="10">
        <v>0</v>
      </c>
      <c r="H1860" s="10">
        <v>0</v>
      </c>
      <c r="I1860" s="10" t="s">
        <v>21</v>
      </c>
      <c r="J1860" s="10">
        <v>0</v>
      </c>
      <c r="K1860" s="10">
        <v>0</v>
      </c>
      <c r="L1860" s="10">
        <v>0</v>
      </c>
      <c r="M1860" s="10">
        <v>0</v>
      </c>
      <c r="N1860" s="10" t="s">
        <v>761</v>
      </c>
      <c r="O1860" s="10" t="s">
        <v>2005</v>
      </c>
      <c r="P1860" s="105" t="e">
        <f t="shared" si="29"/>
        <v>#DIV/0!</v>
      </c>
    </row>
    <row r="1861" spans="1:16">
      <c r="A1861" s="10" t="s">
        <v>635</v>
      </c>
      <c r="B1861" s="10">
        <v>8011629</v>
      </c>
      <c r="C1861" s="10" t="s">
        <v>759</v>
      </c>
      <c r="D1861" s="10" t="s">
        <v>760</v>
      </c>
      <c r="E1861" s="10">
        <v>0</v>
      </c>
      <c r="F1861" s="10">
        <v>0</v>
      </c>
      <c r="G1861" s="10">
        <v>0</v>
      </c>
      <c r="H1861" s="10">
        <v>0</v>
      </c>
      <c r="I1861" s="10" t="s">
        <v>21</v>
      </c>
      <c r="J1861" s="10">
        <v>0</v>
      </c>
      <c r="K1861" s="10">
        <v>0</v>
      </c>
      <c r="L1861" s="10">
        <v>0</v>
      </c>
      <c r="M1861" s="10">
        <v>0</v>
      </c>
      <c r="N1861" s="10" t="s">
        <v>761</v>
      </c>
      <c r="O1861" s="10" t="s">
        <v>2006</v>
      </c>
      <c r="P1861" s="105" t="e">
        <f t="shared" si="29"/>
        <v>#DIV/0!</v>
      </c>
    </row>
    <row r="1862" spans="1:16">
      <c r="A1862" s="10" t="s">
        <v>635</v>
      </c>
      <c r="B1862" s="10">
        <v>8011630</v>
      </c>
      <c r="C1862" s="10" t="s">
        <v>759</v>
      </c>
      <c r="D1862" s="10" t="s">
        <v>760</v>
      </c>
      <c r="E1862" s="10">
        <v>0</v>
      </c>
      <c r="F1862" s="10">
        <v>0</v>
      </c>
      <c r="G1862" s="10">
        <v>0</v>
      </c>
      <c r="H1862" s="10">
        <v>0</v>
      </c>
      <c r="I1862" s="10" t="s">
        <v>21</v>
      </c>
      <c r="J1862" s="10">
        <v>0</v>
      </c>
      <c r="K1862" s="10">
        <v>0</v>
      </c>
      <c r="L1862" s="10">
        <v>0</v>
      </c>
      <c r="M1862" s="10">
        <v>0</v>
      </c>
      <c r="N1862" s="10" t="s">
        <v>761</v>
      </c>
      <c r="O1862" s="10" t="s">
        <v>2007</v>
      </c>
      <c r="P1862" s="105" t="e">
        <f t="shared" si="29"/>
        <v>#DIV/0!</v>
      </c>
    </row>
    <row r="1863" spans="1:16">
      <c r="A1863" s="10" t="s">
        <v>635</v>
      </c>
      <c r="B1863" s="10">
        <v>8011631</v>
      </c>
      <c r="C1863" s="10" t="s">
        <v>759</v>
      </c>
      <c r="D1863" s="10" t="s">
        <v>760</v>
      </c>
      <c r="E1863" s="10">
        <v>0</v>
      </c>
      <c r="F1863" s="10">
        <v>0</v>
      </c>
      <c r="G1863" s="10">
        <v>0</v>
      </c>
      <c r="H1863" s="10">
        <v>0</v>
      </c>
      <c r="I1863" s="10" t="s">
        <v>21</v>
      </c>
      <c r="J1863" s="10">
        <v>0</v>
      </c>
      <c r="K1863" s="10">
        <v>0</v>
      </c>
      <c r="L1863" s="10">
        <v>0</v>
      </c>
      <c r="M1863" s="10">
        <v>0</v>
      </c>
      <c r="N1863" s="10" t="s">
        <v>761</v>
      </c>
      <c r="O1863" s="10" t="s">
        <v>2008</v>
      </c>
      <c r="P1863" s="105" t="e">
        <f t="shared" si="29"/>
        <v>#DIV/0!</v>
      </c>
    </row>
    <row r="1864" spans="1:16">
      <c r="A1864" s="10" t="s">
        <v>635</v>
      </c>
      <c r="B1864" s="10">
        <v>8011632</v>
      </c>
      <c r="C1864" s="10" t="s">
        <v>759</v>
      </c>
      <c r="D1864" s="10" t="s">
        <v>760</v>
      </c>
      <c r="E1864" s="10">
        <v>0</v>
      </c>
      <c r="F1864" s="10">
        <v>0</v>
      </c>
      <c r="G1864" s="10">
        <v>0</v>
      </c>
      <c r="H1864" s="10">
        <v>0</v>
      </c>
      <c r="I1864" s="10" t="s">
        <v>21</v>
      </c>
      <c r="J1864" s="10">
        <v>0</v>
      </c>
      <c r="K1864" s="10">
        <v>0</v>
      </c>
      <c r="L1864" s="10">
        <v>0</v>
      </c>
      <c r="M1864" s="10">
        <v>0</v>
      </c>
      <c r="N1864" s="10" t="s">
        <v>761</v>
      </c>
      <c r="O1864" s="10" t="s">
        <v>2009</v>
      </c>
      <c r="P1864" s="105" t="e">
        <f t="shared" si="29"/>
        <v>#DIV/0!</v>
      </c>
    </row>
    <row r="1865" spans="1:16">
      <c r="A1865" s="10" t="s">
        <v>635</v>
      </c>
      <c r="B1865" s="10">
        <v>8011636</v>
      </c>
      <c r="C1865" s="10" t="s">
        <v>759</v>
      </c>
      <c r="D1865" s="10" t="s">
        <v>760</v>
      </c>
      <c r="E1865" s="10">
        <v>0</v>
      </c>
      <c r="F1865" s="10">
        <v>0</v>
      </c>
      <c r="G1865" s="10">
        <v>0</v>
      </c>
      <c r="H1865" s="10">
        <v>0</v>
      </c>
      <c r="I1865" s="10" t="s">
        <v>21</v>
      </c>
      <c r="J1865" s="10">
        <v>0</v>
      </c>
      <c r="K1865" s="10">
        <v>0</v>
      </c>
      <c r="L1865" s="10">
        <v>0</v>
      </c>
      <c r="M1865" s="10">
        <v>0</v>
      </c>
      <c r="N1865" s="10" t="s">
        <v>761</v>
      </c>
      <c r="O1865" s="10" t="s">
        <v>2010</v>
      </c>
      <c r="P1865" s="105" t="e">
        <f t="shared" si="29"/>
        <v>#DIV/0!</v>
      </c>
    </row>
    <row r="1866" spans="1:16">
      <c r="A1866" s="10" t="s">
        <v>635</v>
      </c>
      <c r="B1866" s="10">
        <v>8011704</v>
      </c>
      <c r="C1866" s="10" t="s">
        <v>759</v>
      </c>
      <c r="D1866" s="10" t="s">
        <v>760</v>
      </c>
      <c r="E1866" s="10">
        <v>0</v>
      </c>
      <c r="F1866" s="10">
        <v>0</v>
      </c>
      <c r="G1866" s="10">
        <v>0</v>
      </c>
      <c r="H1866" s="10">
        <v>0</v>
      </c>
      <c r="I1866" s="10" t="s">
        <v>21</v>
      </c>
      <c r="J1866" s="10">
        <v>0</v>
      </c>
      <c r="K1866" s="10">
        <v>0</v>
      </c>
      <c r="L1866" s="10">
        <v>0</v>
      </c>
      <c r="M1866" s="10">
        <v>0</v>
      </c>
      <c r="N1866" s="10" t="s">
        <v>761</v>
      </c>
      <c r="O1866" s="10" t="s">
        <v>2011</v>
      </c>
      <c r="P1866" s="105" t="e">
        <f t="shared" si="29"/>
        <v>#DIV/0!</v>
      </c>
    </row>
    <row r="1867" spans="1:16">
      <c r="A1867" s="10" t="s">
        <v>635</v>
      </c>
      <c r="B1867" s="10">
        <v>8011728</v>
      </c>
      <c r="C1867" s="10" t="s">
        <v>759</v>
      </c>
      <c r="D1867" s="10" t="s">
        <v>760</v>
      </c>
      <c r="E1867" s="10">
        <v>3</v>
      </c>
      <c r="F1867" s="10">
        <v>0</v>
      </c>
      <c r="G1867" s="10">
        <v>0</v>
      </c>
      <c r="H1867" s="10">
        <v>3</v>
      </c>
      <c r="I1867" s="10" t="s">
        <v>26</v>
      </c>
      <c r="J1867" s="10">
        <v>408.14</v>
      </c>
      <c r="K1867" s="10">
        <v>0</v>
      </c>
      <c r="L1867" s="10">
        <v>0</v>
      </c>
      <c r="M1867" s="10">
        <v>408.14</v>
      </c>
      <c r="N1867" s="10" t="s">
        <v>761</v>
      </c>
      <c r="O1867" s="10" t="s">
        <v>600</v>
      </c>
      <c r="P1867" s="105">
        <f t="shared" si="29"/>
        <v>136.046666666667</v>
      </c>
    </row>
    <row r="1868" spans="1:16">
      <c r="A1868" s="10" t="s">
        <v>635</v>
      </c>
      <c r="B1868" s="10">
        <v>8011729</v>
      </c>
      <c r="C1868" s="10" t="s">
        <v>759</v>
      </c>
      <c r="D1868" s="10" t="s">
        <v>760</v>
      </c>
      <c r="E1868" s="10">
        <v>0</v>
      </c>
      <c r="F1868" s="10">
        <v>0</v>
      </c>
      <c r="G1868" s="10">
        <v>0</v>
      </c>
      <c r="H1868" s="10">
        <v>0</v>
      </c>
      <c r="I1868" s="10" t="s">
        <v>26</v>
      </c>
      <c r="J1868" s="10">
        <v>0</v>
      </c>
      <c r="K1868" s="10">
        <v>0</v>
      </c>
      <c r="L1868" s="10">
        <v>0</v>
      </c>
      <c r="M1868" s="10">
        <v>0</v>
      </c>
      <c r="N1868" s="10" t="s">
        <v>761</v>
      </c>
      <c r="O1868" s="10" t="s">
        <v>2012</v>
      </c>
      <c r="P1868" s="105" t="e">
        <f t="shared" si="29"/>
        <v>#DIV/0!</v>
      </c>
    </row>
    <row r="1869" spans="1:16">
      <c r="A1869" s="10" t="s">
        <v>635</v>
      </c>
      <c r="B1869" s="10">
        <v>8011731</v>
      </c>
      <c r="C1869" s="10" t="s">
        <v>759</v>
      </c>
      <c r="D1869" s="10" t="s">
        <v>760</v>
      </c>
      <c r="E1869" s="10">
        <v>0</v>
      </c>
      <c r="F1869" s="10">
        <v>0</v>
      </c>
      <c r="G1869" s="10">
        <v>0</v>
      </c>
      <c r="H1869" s="10">
        <v>0</v>
      </c>
      <c r="I1869" s="10" t="s">
        <v>26</v>
      </c>
      <c r="J1869" s="10">
        <v>0</v>
      </c>
      <c r="K1869" s="10">
        <v>0</v>
      </c>
      <c r="L1869" s="10">
        <v>0</v>
      </c>
      <c r="M1869" s="10">
        <v>0</v>
      </c>
      <c r="N1869" s="10" t="s">
        <v>761</v>
      </c>
      <c r="O1869" s="10" t="s">
        <v>2013</v>
      </c>
      <c r="P1869" s="105" t="e">
        <f t="shared" si="29"/>
        <v>#DIV/0!</v>
      </c>
    </row>
    <row r="1870" spans="1:16">
      <c r="A1870" s="10" t="s">
        <v>635</v>
      </c>
      <c r="B1870" s="10">
        <v>8011732</v>
      </c>
      <c r="C1870" s="10" t="s">
        <v>759</v>
      </c>
      <c r="D1870" s="10" t="s">
        <v>760</v>
      </c>
      <c r="E1870" s="10">
        <v>0</v>
      </c>
      <c r="F1870" s="10">
        <v>0</v>
      </c>
      <c r="G1870" s="10">
        <v>0</v>
      </c>
      <c r="H1870" s="10">
        <v>0</v>
      </c>
      <c r="I1870" s="10" t="s">
        <v>26</v>
      </c>
      <c r="J1870" s="10">
        <v>0</v>
      </c>
      <c r="K1870" s="10">
        <v>0</v>
      </c>
      <c r="L1870" s="10">
        <v>0</v>
      </c>
      <c r="M1870" s="10">
        <v>0</v>
      </c>
      <c r="N1870" s="10" t="s">
        <v>761</v>
      </c>
      <c r="O1870" s="10" t="s">
        <v>2014</v>
      </c>
      <c r="P1870" s="105" t="e">
        <f t="shared" si="29"/>
        <v>#DIV/0!</v>
      </c>
    </row>
    <row r="1871" spans="1:16">
      <c r="A1871" s="10" t="s">
        <v>635</v>
      </c>
      <c r="B1871" s="10">
        <v>8011733</v>
      </c>
      <c r="C1871" s="10" t="s">
        <v>759</v>
      </c>
      <c r="D1871" s="10" t="s">
        <v>760</v>
      </c>
      <c r="E1871" s="10">
        <v>0</v>
      </c>
      <c r="F1871" s="10">
        <v>0</v>
      </c>
      <c r="G1871" s="10">
        <v>0</v>
      </c>
      <c r="H1871" s="10">
        <v>0</v>
      </c>
      <c r="I1871" s="10" t="s">
        <v>26</v>
      </c>
      <c r="J1871" s="10">
        <v>0</v>
      </c>
      <c r="K1871" s="10">
        <v>0</v>
      </c>
      <c r="L1871" s="10">
        <v>0</v>
      </c>
      <c r="M1871" s="10">
        <v>0</v>
      </c>
      <c r="N1871" s="10" t="s">
        <v>761</v>
      </c>
      <c r="O1871" s="10" t="s">
        <v>2015</v>
      </c>
      <c r="P1871" s="105" t="e">
        <f t="shared" si="29"/>
        <v>#DIV/0!</v>
      </c>
    </row>
    <row r="1872" spans="1:16">
      <c r="A1872" s="10" t="s">
        <v>635</v>
      </c>
      <c r="B1872" s="10">
        <v>8011734</v>
      </c>
      <c r="C1872" s="10" t="s">
        <v>759</v>
      </c>
      <c r="D1872" s="10" t="s">
        <v>760</v>
      </c>
      <c r="E1872" s="10">
        <v>0</v>
      </c>
      <c r="F1872" s="10">
        <v>0</v>
      </c>
      <c r="G1872" s="10">
        <v>0</v>
      </c>
      <c r="H1872" s="10">
        <v>0</v>
      </c>
      <c r="I1872" s="10" t="s">
        <v>26</v>
      </c>
      <c r="J1872" s="10">
        <v>0</v>
      </c>
      <c r="K1872" s="10">
        <v>0</v>
      </c>
      <c r="L1872" s="10">
        <v>0</v>
      </c>
      <c r="M1872" s="10">
        <v>0</v>
      </c>
      <c r="N1872" s="10" t="s">
        <v>761</v>
      </c>
      <c r="O1872" s="10" t="s">
        <v>2016</v>
      </c>
      <c r="P1872" s="105" t="e">
        <f t="shared" si="29"/>
        <v>#DIV/0!</v>
      </c>
    </row>
    <row r="1873" spans="1:16">
      <c r="A1873" s="10" t="s">
        <v>635</v>
      </c>
      <c r="B1873" s="10">
        <v>8011735</v>
      </c>
      <c r="C1873" s="10" t="s">
        <v>759</v>
      </c>
      <c r="D1873" s="10" t="s">
        <v>760</v>
      </c>
      <c r="E1873" s="10">
        <v>0</v>
      </c>
      <c r="F1873" s="10">
        <v>0</v>
      </c>
      <c r="G1873" s="10">
        <v>0</v>
      </c>
      <c r="H1873" s="10">
        <v>0</v>
      </c>
      <c r="I1873" s="10" t="s">
        <v>26</v>
      </c>
      <c r="J1873" s="10">
        <v>0</v>
      </c>
      <c r="K1873" s="10">
        <v>0</v>
      </c>
      <c r="L1873" s="10">
        <v>0</v>
      </c>
      <c r="M1873" s="10">
        <v>0</v>
      </c>
      <c r="N1873" s="10" t="s">
        <v>761</v>
      </c>
      <c r="O1873" s="10" t="s">
        <v>2017</v>
      </c>
      <c r="P1873" s="105" t="e">
        <f t="shared" si="29"/>
        <v>#DIV/0!</v>
      </c>
    </row>
    <row r="1874" spans="1:16">
      <c r="A1874" s="10" t="s">
        <v>635</v>
      </c>
      <c r="B1874" s="10">
        <v>8011736</v>
      </c>
      <c r="C1874" s="10" t="s">
        <v>759</v>
      </c>
      <c r="D1874" s="10" t="s">
        <v>760</v>
      </c>
      <c r="E1874" s="10">
        <v>0</v>
      </c>
      <c r="F1874" s="10">
        <v>0</v>
      </c>
      <c r="G1874" s="10">
        <v>0</v>
      </c>
      <c r="H1874" s="10">
        <v>0</v>
      </c>
      <c r="I1874" s="10" t="s">
        <v>26</v>
      </c>
      <c r="J1874" s="10">
        <v>0</v>
      </c>
      <c r="K1874" s="10">
        <v>0</v>
      </c>
      <c r="L1874" s="10">
        <v>0</v>
      </c>
      <c r="M1874" s="10">
        <v>0</v>
      </c>
      <c r="N1874" s="10" t="s">
        <v>761</v>
      </c>
      <c r="O1874" s="10" t="s">
        <v>2018</v>
      </c>
      <c r="P1874" s="105" t="e">
        <f t="shared" si="29"/>
        <v>#DIV/0!</v>
      </c>
    </row>
    <row r="1875" spans="1:16">
      <c r="A1875" s="10" t="s">
        <v>635</v>
      </c>
      <c r="B1875" s="10">
        <v>8011737</v>
      </c>
      <c r="C1875" s="10" t="s">
        <v>759</v>
      </c>
      <c r="D1875" s="10" t="s">
        <v>760</v>
      </c>
      <c r="E1875" s="10">
        <v>0</v>
      </c>
      <c r="F1875" s="10">
        <v>0</v>
      </c>
      <c r="G1875" s="10">
        <v>0</v>
      </c>
      <c r="H1875" s="10">
        <v>0</v>
      </c>
      <c r="I1875" s="10" t="s">
        <v>26</v>
      </c>
      <c r="J1875" s="10">
        <v>0</v>
      </c>
      <c r="K1875" s="10">
        <v>0</v>
      </c>
      <c r="L1875" s="10">
        <v>0</v>
      </c>
      <c r="M1875" s="10">
        <v>0</v>
      </c>
      <c r="N1875" s="10" t="s">
        <v>761</v>
      </c>
      <c r="O1875" s="10" t="s">
        <v>2019</v>
      </c>
      <c r="P1875" s="105" t="e">
        <f t="shared" si="29"/>
        <v>#DIV/0!</v>
      </c>
    </row>
    <row r="1876" spans="1:16">
      <c r="A1876" s="10" t="s">
        <v>635</v>
      </c>
      <c r="B1876" s="10">
        <v>8011738</v>
      </c>
      <c r="C1876" s="10" t="s">
        <v>759</v>
      </c>
      <c r="D1876" s="10" t="s">
        <v>760</v>
      </c>
      <c r="E1876" s="10">
        <v>0</v>
      </c>
      <c r="F1876" s="10">
        <v>0</v>
      </c>
      <c r="G1876" s="10">
        <v>0</v>
      </c>
      <c r="H1876" s="10">
        <v>0</v>
      </c>
      <c r="I1876" s="10" t="s">
        <v>26</v>
      </c>
      <c r="J1876" s="10">
        <v>0</v>
      </c>
      <c r="K1876" s="10">
        <v>0</v>
      </c>
      <c r="L1876" s="10">
        <v>0</v>
      </c>
      <c r="M1876" s="10">
        <v>0</v>
      </c>
      <c r="N1876" s="10" t="s">
        <v>761</v>
      </c>
      <c r="O1876" s="10" t="s">
        <v>2020</v>
      </c>
      <c r="P1876" s="105" t="e">
        <f t="shared" si="29"/>
        <v>#DIV/0!</v>
      </c>
    </row>
    <row r="1877" spans="1:16">
      <c r="A1877" s="10" t="s">
        <v>635</v>
      </c>
      <c r="B1877" s="10">
        <v>8011739</v>
      </c>
      <c r="C1877" s="10" t="s">
        <v>759</v>
      </c>
      <c r="D1877" s="10" t="s">
        <v>760</v>
      </c>
      <c r="E1877" s="10">
        <v>0</v>
      </c>
      <c r="F1877" s="10">
        <v>0</v>
      </c>
      <c r="G1877" s="10">
        <v>0</v>
      </c>
      <c r="H1877" s="10">
        <v>0</v>
      </c>
      <c r="I1877" s="10" t="s">
        <v>26</v>
      </c>
      <c r="J1877" s="10">
        <v>0</v>
      </c>
      <c r="K1877" s="10">
        <v>0</v>
      </c>
      <c r="L1877" s="10">
        <v>0</v>
      </c>
      <c r="M1877" s="10">
        <v>0</v>
      </c>
      <c r="N1877" s="10" t="s">
        <v>761</v>
      </c>
      <c r="O1877" s="10" t="s">
        <v>2021</v>
      </c>
      <c r="P1877" s="105" t="e">
        <f t="shared" si="29"/>
        <v>#DIV/0!</v>
      </c>
    </row>
    <row r="1878" spans="1:16">
      <c r="A1878" s="10" t="s">
        <v>635</v>
      </c>
      <c r="B1878" s="10">
        <v>8011743</v>
      </c>
      <c r="C1878" s="10" t="s">
        <v>759</v>
      </c>
      <c r="D1878" s="10" t="s">
        <v>760</v>
      </c>
      <c r="E1878" s="10">
        <v>0</v>
      </c>
      <c r="F1878" s="10">
        <v>0</v>
      </c>
      <c r="G1878" s="10">
        <v>0</v>
      </c>
      <c r="H1878" s="10">
        <v>0</v>
      </c>
      <c r="I1878" s="10" t="s">
        <v>21</v>
      </c>
      <c r="J1878" s="10">
        <v>0</v>
      </c>
      <c r="K1878" s="10">
        <v>0</v>
      </c>
      <c r="L1878" s="10">
        <v>0</v>
      </c>
      <c r="M1878" s="10">
        <v>0</v>
      </c>
      <c r="N1878" s="10" t="s">
        <v>761</v>
      </c>
      <c r="O1878" s="10" t="s">
        <v>2022</v>
      </c>
      <c r="P1878" s="105" t="e">
        <f t="shared" si="29"/>
        <v>#DIV/0!</v>
      </c>
    </row>
    <row r="1879" spans="1:16">
      <c r="A1879" s="10" t="s">
        <v>635</v>
      </c>
      <c r="B1879" s="10">
        <v>8011746</v>
      </c>
      <c r="C1879" s="10" t="s">
        <v>759</v>
      </c>
      <c r="D1879" s="10" t="s">
        <v>760</v>
      </c>
      <c r="E1879" s="10">
        <v>0</v>
      </c>
      <c r="F1879" s="10">
        <v>0</v>
      </c>
      <c r="G1879" s="10">
        <v>0</v>
      </c>
      <c r="H1879" s="10">
        <v>0</v>
      </c>
      <c r="I1879" s="10" t="s">
        <v>21</v>
      </c>
      <c r="J1879" s="10">
        <v>0</v>
      </c>
      <c r="K1879" s="10">
        <v>0</v>
      </c>
      <c r="L1879" s="10">
        <v>0</v>
      </c>
      <c r="M1879" s="10">
        <v>0</v>
      </c>
      <c r="N1879" s="10" t="s">
        <v>761</v>
      </c>
      <c r="O1879" s="10" t="s">
        <v>2023</v>
      </c>
      <c r="P1879" s="105" t="e">
        <f t="shared" si="29"/>
        <v>#DIV/0!</v>
      </c>
    </row>
    <row r="1880" spans="1:16">
      <c r="A1880" s="10" t="s">
        <v>635</v>
      </c>
      <c r="B1880" s="10">
        <v>8011803</v>
      </c>
      <c r="C1880" s="10" t="s">
        <v>759</v>
      </c>
      <c r="D1880" s="10" t="s">
        <v>760</v>
      </c>
      <c r="E1880" s="10">
        <v>0</v>
      </c>
      <c r="F1880" s="10">
        <v>0</v>
      </c>
      <c r="G1880" s="10">
        <v>0</v>
      </c>
      <c r="H1880" s="10">
        <v>0</v>
      </c>
      <c r="I1880" s="10" t="s">
        <v>21</v>
      </c>
      <c r="J1880" s="10">
        <v>0</v>
      </c>
      <c r="K1880" s="10">
        <v>0</v>
      </c>
      <c r="L1880" s="10">
        <v>0</v>
      </c>
      <c r="M1880" s="10">
        <v>0</v>
      </c>
      <c r="N1880" s="10" t="s">
        <v>761</v>
      </c>
      <c r="O1880" s="10" t="s">
        <v>2024</v>
      </c>
      <c r="P1880" s="105" t="e">
        <f t="shared" si="29"/>
        <v>#DIV/0!</v>
      </c>
    </row>
    <row r="1881" spans="1:16">
      <c r="A1881" s="10" t="s">
        <v>635</v>
      </c>
      <c r="B1881" s="10">
        <v>8011807</v>
      </c>
      <c r="C1881" s="10" t="s">
        <v>759</v>
      </c>
      <c r="D1881" s="10" t="s">
        <v>760</v>
      </c>
      <c r="E1881" s="10">
        <v>0</v>
      </c>
      <c r="F1881" s="10">
        <v>0</v>
      </c>
      <c r="G1881" s="10">
        <v>0</v>
      </c>
      <c r="H1881" s="10">
        <v>0</v>
      </c>
      <c r="I1881" s="10" t="s">
        <v>21</v>
      </c>
      <c r="J1881" s="10">
        <v>0</v>
      </c>
      <c r="K1881" s="10">
        <v>0</v>
      </c>
      <c r="L1881" s="10">
        <v>0</v>
      </c>
      <c r="M1881" s="10">
        <v>0</v>
      </c>
      <c r="N1881" s="10" t="s">
        <v>761</v>
      </c>
      <c r="O1881" s="10" t="s">
        <v>2025</v>
      </c>
      <c r="P1881" s="105" t="e">
        <f t="shared" si="29"/>
        <v>#DIV/0!</v>
      </c>
    </row>
    <row r="1882" spans="1:16">
      <c r="A1882" s="10" t="s">
        <v>635</v>
      </c>
      <c r="B1882" s="10">
        <v>8011808</v>
      </c>
      <c r="C1882" s="10" t="s">
        <v>759</v>
      </c>
      <c r="D1882" s="10" t="s">
        <v>760</v>
      </c>
      <c r="E1882" s="10">
        <v>0</v>
      </c>
      <c r="F1882" s="10">
        <v>0</v>
      </c>
      <c r="G1882" s="10">
        <v>0</v>
      </c>
      <c r="H1882" s="10">
        <v>0</v>
      </c>
      <c r="I1882" s="10" t="s">
        <v>21</v>
      </c>
      <c r="J1882" s="10">
        <v>0</v>
      </c>
      <c r="K1882" s="10">
        <v>0</v>
      </c>
      <c r="L1882" s="10">
        <v>0</v>
      </c>
      <c r="M1882" s="10">
        <v>0</v>
      </c>
      <c r="N1882" s="10" t="s">
        <v>761</v>
      </c>
      <c r="O1882" s="10" t="s">
        <v>2026</v>
      </c>
      <c r="P1882" s="105" t="e">
        <f t="shared" si="29"/>
        <v>#DIV/0!</v>
      </c>
    </row>
    <row r="1883" spans="1:16">
      <c r="A1883" s="10" t="s">
        <v>635</v>
      </c>
      <c r="B1883" s="10">
        <v>8011809</v>
      </c>
      <c r="C1883" s="10" t="s">
        <v>759</v>
      </c>
      <c r="D1883" s="10" t="s">
        <v>760</v>
      </c>
      <c r="E1883" s="10">
        <v>0</v>
      </c>
      <c r="F1883" s="10">
        <v>0</v>
      </c>
      <c r="G1883" s="10">
        <v>0</v>
      </c>
      <c r="H1883" s="10">
        <v>0</v>
      </c>
      <c r="I1883" s="10" t="s">
        <v>21</v>
      </c>
      <c r="J1883" s="10">
        <v>0</v>
      </c>
      <c r="K1883" s="10">
        <v>0</v>
      </c>
      <c r="L1883" s="10">
        <v>0</v>
      </c>
      <c r="M1883" s="10">
        <v>0</v>
      </c>
      <c r="N1883" s="10" t="s">
        <v>761</v>
      </c>
      <c r="O1883" s="10" t="s">
        <v>2027</v>
      </c>
      <c r="P1883" s="105" t="e">
        <f t="shared" si="29"/>
        <v>#DIV/0!</v>
      </c>
    </row>
    <row r="1884" spans="1:16">
      <c r="A1884" s="10" t="s">
        <v>635</v>
      </c>
      <c r="B1884" s="10">
        <v>8011810</v>
      </c>
      <c r="C1884" s="10" t="s">
        <v>759</v>
      </c>
      <c r="D1884" s="10" t="s">
        <v>760</v>
      </c>
      <c r="E1884" s="10">
        <v>0</v>
      </c>
      <c r="F1884" s="10">
        <v>0</v>
      </c>
      <c r="G1884" s="10">
        <v>0</v>
      </c>
      <c r="H1884" s="10">
        <v>0</v>
      </c>
      <c r="I1884" s="10" t="s">
        <v>21</v>
      </c>
      <c r="J1884" s="10">
        <v>0</v>
      </c>
      <c r="K1884" s="10">
        <v>0</v>
      </c>
      <c r="L1884" s="10">
        <v>0</v>
      </c>
      <c r="M1884" s="10">
        <v>0</v>
      </c>
      <c r="N1884" s="10" t="s">
        <v>761</v>
      </c>
      <c r="O1884" s="10" t="s">
        <v>2028</v>
      </c>
      <c r="P1884" s="105" t="e">
        <f t="shared" si="29"/>
        <v>#DIV/0!</v>
      </c>
    </row>
    <row r="1885" spans="1:16">
      <c r="A1885" s="10" t="s">
        <v>635</v>
      </c>
      <c r="B1885" s="10">
        <v>8011811</v>
      </c>
      <c r="C1885" s="10" t="s">
        <v>759</v>
      </c>
      <c r="D1885" s="10" t="s">
        <v>760</v>
      </c>
      <c r="E1885" s="10">
        <v>0</v>
      </c>
      <c r="F1885" s="10">
        <v>0</v>
      </c>
      <c r="G1885" s="10">
        <v>0</v>
      </c>
      <c r="H1885" s="10">
        <v>0</v>
      </c>
      <c r="I1885" s="10" t="s">
        <v>21</v>
      </c>
      <c r="J1885" s="10">
        <v>0</v>
      </c>
      <c r="K1885" s="10">
        <v>0</v>
      </c>
      <c r="L1885" s="10">
        <v>0</v>
      </c>
      <c r="M1885" s="10">
        <v>0</v>
      </c>
      <c r="N1885" s="10" t="s">
        <v>761</v>
      </c>
      <c r="O1885" s="10" t="s">
        <v>2029</v>
      </c>
      <c r="P1885" s="105" t="e">
        <f t="shared" si="29"/>
        <v>#DIV/0!</v>
      </c>
    </row>
    <row r="1886" spans="1:16">
      <c r="A1886" s="10" t="s">
        <v>635</v>
      </c>
      <c r="B1886" s="10">
        <v>8011880</v>
      </c>
      <c r="C1886" s="10" t="s">
        <v>759</v>
      </c>
      <c r="D1886" s="10" t="s">
        <v>760</v>
      </c>
      <c r="E1886" s="10">
        <v>0</v>
      </c>
      <c r="F1886" s="10">
        <v>0</v>
      </c>
      <c r="G1886" s="10">
        <v>0</v>
      </c>
      <c r="H1886" s="10">
        <v>0</v>
      </c>
      <c r="I1886" s="10" t="s">
        <v>21</v>
      </c>
      <c r="J1886" s="10">
        <v>0</v>
      </c>
      <c r="K1886" s="10">
        <v>0</v>
      </c>
      <c r="L1886" s="10">
        <v>0</v>
      </c>
      <c r="M1886" s="10">
        <v>0</v>
      </c>
      <c r="N1886" s="10" t="s">
        <v>761</v>
      </c>
      <c r="O1886" s="10" t="s">
        <v>1063</v>
      </c>
      <c r="P1886" s="105" t="e">
        <f t="shared" si="29"/>
        <v>#DIV/0!</v>
      </c>
    </row>
    <row r="1887" spans="1:16">
      <c r="A1887" s="10" t="s">
        <v>635</v>
      </c>
      <c r="B1887" s="10">
        <v>8011881</v>
      </c>
      <c r="C1887" s="10" t="s">
        <v>759</v>
      </c>
      <c r="D1887" s="10" t="s">
        <v>760</v>
      </c>
      <c r="E1887" s="10">
        <v>0</v>
      </c>
      <c r="F1887" s="10">
        <v>0</v>
      </c>
      <c r="G1887" s="10">
        <v>0</v>
      </c>
      <c r="H1887" s="10">
        <v>0</v>
      </c>
      <c r="I1887" s="10" t="s">
        <v>21</v>
      </c>
      <c r="J1887" s="10">
        <v>0</v>
      </c>
      <c r="K1887" s="10">
        <v>0</v>
      </c>
      <c r="L1887" s="10">
        <v>0</v>
      </c>
      <c r="M1887" s="10">
        <v>0</v>
      </c>
      <c r="N1887" s="10" t="s">
        <v>761</v>
      </c>
      <c r="O1887" s="10" t="s">
        <v>1140</v>
      </c>
      <c r="P1887" s="105" t="e">
        <f t="shared" si="29"/>
        <v>#DIV/0!</v>
      </c>
    </row>
    <row r="1888" spans="1:16">
      <c r="A1888" s="10" t="s">
        <v>635</v>
      </c>
      <c r="B1888" s="10">
        <v>8011896</v>
      </c>
      <c r="C1888" s="10" t="s">
        <v>759</v>
      </c>
      <c r="D1888" s="10" t="s">
        <v>760</v>
      </c>
      <c r="E1888" s="10">
        <v>0</v>
      </c>
      <c r="F1888" s="10">
        <v>0</v>
      </c>
      <c r="G1888" s="10">
        <v>0</v>
      </c>
      <c r="H1888" s="10">
        <v>0</v>
      </c>
      <c r="I1888" s="10" t="s">
        <v>21</v>
      </c>
      <c r="J1888" s="10">
        <v>0</v>
      </c>
      <c r="K1888" s="10">
        <v>0</v>
      </c>
      <c r="L1888" s="10">
        <v>0</v>
      </c>
      <c r="M1888" s="10">
        <v>0</v>
      </c>
      <c r="N1888" s="10" t="s">
        <v>761</v>
      </c>
      <c r="O1888" s="10" t="s">
        <v>2030</v>
      </c>
      <c r="P1888" s="105" t="e">
        <f t="shared" si="29"/>
        <v>#DIV/0!</v>
      </c>
    </row>
    <row r="1889" spans="1:16">
      <c r="A1889" s="10" t="s">
        <v>635</v>
      </c>
      <c r="B1889" s="10">
        <v>8011941</v>
      </c>
      <c r="C1889" s="10" t="s">
        <v>759</v>
      </c>
      <c r="D1889" s="10" t="s">
        <v>760</v>
      </c>
      <c r="E1889" s="10">
        <v>0</v>
      </c>
      <c r="F1889" s="10">
        <v>0</v>
      </c>
      <c r="G1889" s="10">
        <v>0</v>
      </c>
      <c r="H1889" s="10">
        <v>0</v>
      </c>
      <c r="I1889" s="10" t="s">
        <v>67</v>
      </c>
      <c r="J1889" s="10">
        <v>0</v>
      </c>
      <c r="K1889" s="10">
        <v>0</v>
      </c>
      <c r="L1889" s="10">
        <v>0</v>
      </c>
      <c r="M1889" s="10">
        <v>0</v>
      </c>
      <c r="N1889" s="10" t="s">
        <v>761</v>
      </c>
      <c r="O1889" s="10" t="s">
        <v>2031</v>
      </c>
      <c r="P1889" s="105" t="e">
        <f t="shared" si="29"/>
        <v>#DIV/0!</v>
      </c>
    </row>
    <row r="1890" spans="1:16">
      <c r="A1890" s="10" t="s">
        <v>635</v>
      </c>
      <c r="B1890" s="10">
        <v>8011974</v>
      </c>
      <c r="C1890" s="10" t="s">
        <v>759</v>
      </c>
      <c r="D1890" s="10" t="s">
        <v>760</v>
      </c>
      <c r="E1890" s="10">
        <v>0</v>
      </c>
      <c r="F1890" s="10">
        <v>0</v>
      </c>
      <c r="G1890" s="10">
        <v>0</v>
      </c>
      <c r="H1890" s="10">
        <v>0</v>
      </c>
      <c r="I1890" s="10" t="s">
        <v>26</v>
      </c>
      <c r="J1890" s="10">
        <v>0</v>
      </c>
      <c r="K1890" s="10">
        <v>0</v>
      </c>
      <c r="L1890" s="10">
        <v>0</v>
      </c>
      <c r="M1890" s="10">
        <v>0</v>
      </c>
      <c r="N1890" s="10" t="s">
        <v>761</v>
      </c>
      <c r="O1890" s="10" t="s">
        <v>2032</v>
      </c>
      <c r="P1890" s="105" t="e">
        <f t="shared" si="29"/>
        <v>#DIV/0!</v>
      </c>
    </row>
    <row r="1891" spans="1:16">
      <c r="A1891" s="10" t="s">
        <v>635</v>
      </c>
      <c r="B1891" s="10">
        <v>8011985</v>
      </c>
      <c r="C1891" s="10" t="s">
        <v>759</v>
      </c>
      <c r="D1891" s="10" t="s">
        <v>760</v>
      </c>
      <c r="E1891" s="10">
        <v>0</v>
      </c>
      <c r="F1891" s="10">
        <v>0</v>
      </c>
      <c r="G1891" s="10">
        <v>0</v>
      </c>
      <c r="H1891" s="10">
        <v>0</v>
      </c>
      <c r="I1891" s="10" t="s">
        <v>21</v>
      </c>
      <c r="J1891" s="10">
        <v>0</v>
      </c>
      <c r="K1891" s="10">
        <v>0</v>
      </c>
      <c r="L1891" s="10">
        <v>0</v>
      </c>
      <c r="M1891" s="10">
        <v>0</v>
      </c>
      <c r="N1891" s="10" t="s">
        <v>761</v>
      </c>
      <c r="O1891" s="10" t="s">
        <v>2033</v>
      </c>
      <c r="P1891" s="105" t="e">
        <f t="shared" si="29"/>
        <v>#DIV/0!</v>
      </c>
    </row>
    <row r="1892" spans="1:16">
      <c r="A1892" s="10" t="s">
        <v>635</v>
      </c>
      <c r="B1892" s="10">
        <v>8011986</v>
      </c>
      <c r="C1892" s="10" t="s">
        <v>759</v>
      </c>
      <c r="D1892" s="10" t="s">
        <v>760</v>
      </c>
      <c r="E1892" s="10">
        <v>0</v>
      </c>
      <c r="F1892" s="10">
        <v>0</v>
      </c>
      <c r="G1892" s="10">
        <v>0</v>
      </c>
      <c r="H1892" s="10">
        <v>0</v>
      </c>
      <c r="I1892" s="10" t="s">
        <v>21</v>
      </c>
      <c r="J1892" s="10">
        <v>0</v>
      </c>
      <c r="K1892" s="10">
        <v>0</v>
      </c>
      <c r="L1892" s="10">
        <v>0</v>
      </c>
      <c r="M1892" s="10">
        <v>0</v>
      </c>
      <c r="N1892" s="10" t="s">
        <v>761</v>
      </c>
      <c r="O1892" s="10" t="s">
        <v>2034</v>
      </c>
      <c r="P1892" s="105" t="e">
        <f t="shared" si="29"/>
        <v>#DIV/0!</v>
      </c>
    </row>
    <row r="1893" spans="1:16">
      <c r="A1893" s="10" t="s">
        <v>635</v>
      </c>
      <c r="B1893" s="10">
        <v>8011987</v>
      </c>
      <c r="C1893" s="10" t="s">
        <v>759</v>
      </c>
      <c r="D1893" s="10" t="s">
        <v>760</v>
      </c>
      <c r="E1893" s="10">
        <v>0</v>
      </c>
      <c r="F1893" s="10">
        <v>0</v>
      </c>
      <c r="G1893" s="10">
        <v>0</v>
      </c>
      <c r="H1893" s="10">
        <v>0</v>
      </c>
      <c r="I1893" s="10" t="s">
        <v>21</v>
      </c>
      <c r="J1893" s="10">
        <v>0</v>
      </c>
      <c r="K1893" s="10">
        <v>0</v>
      </c>
      <c r="L1893" s="10">
        <v>0</v>
      </c>
      <c r="M1893" s="10">
        <v>0</v>
      </c>
      <c r="N1893" s="10" t="s">
        <v>761</v>
      </c>
      <c r="O1893" s="10" t="s">
        <v>2035</v>
      </c>
      <c r="P1893" s="105" t="e">
        <f t="shared" si="29"/>
        <v>#DIV/0!</v>
      </c>
    </row>
    <row r="1894" spans="1:16">
      <c r="A1894" s="10" t="s">
        <v>635</v>
      </c>
      <c r="B1894" s="10">
        <v>8011991</v>
      </c>
      <c r="C1894" s="10" t="s">
        <v>759</v>
      </c>
      <c r="D1894" s="10" t="s">
        <v>760</v>
      </c>
      <c r="E1894" s="10">
        <v>0</v>
      </c>
      <c r="F1894" s="10">
        <v>0</v>
      </c>
      <c r="G1894" s="10">
        <v>0</v>
      </c>
      <c r="H1894" s="10">
        <v>0</v>
      </c>
      <c r="I1894" s="10" t="s">
        <v>21</v>
      </c>
      <c r="J1894" s="10">
        <v>0</v>
      </c>
      <c r="K1894" s="10">
        <v>0</v>
      </c>
      <c r="L1894" s="10">
        <v>0</v>
      </c>
      <c r="M1894" s="10">
        <v>0</v>
      </c>
      <c r="N1894" s="10" t="s">
        <v>761</v>
      </c>
      <c r="O1894" s="10" t="s">
        <v>2036</v>
      </c>
      <c r="P1894" s="105" t="e">
        <f t="shared" si="29"/>
        <v>#DIV/0!</v>
      </c>
    </row>
    <row r="1895" spans="1:16">
      <c r="A1895" s="10" t="s">
        <v>635</v>
      </c>
      <c r="B1895" s="10">
        <v>8012008</v>
      </c>
      <c r="C1895" s="10" t="s">
        <v>759</v>
      </c>
      <c r="D1895" s="10" t="s">
        <v>760</v>
      </c>
      <c r="E1895" s="10">
        <v>0</v>
      </c>
      <c r="F1895" s="10">
        <v>0</v>
      </c>
      <c r="G1895" s="10">
        <v>0</v>
      </c>
      <c r="H1895" s="10">
        <v>0</v>
      </c>
      <c r="I1895" s="10" t="s">
        <v>21</v>
      </c>
      <c r="J1895" s="10">
        <v>0</v>
      </c>
      <c r="K1895" s="10">
        <v>0</v>
      </c>
      <c r="L1895" s="10">
        <v>0</v>
      </c>
      <c r="M1895" s="10">
        <v>0</v>
      </c>
      <c r="N1895" s="10" t="s">
        <v>761</v>
      </c>
      <c r="O1895" s="10" t="s">
        <v>2037</v>
      </c>
      <c r="P1895" s="105" t="e">
        <f t="shared" si="29"/>
        <v>#DIV/0!</v>
      </c>
    </row>
    <row r="1896" spans="1:16">
      <c r="A1896" s="10" t="s">
        <v>635</v>
      </c>
      <c r="B1896" s="10">
        <v>8012013</v>
      </c>
      <c r="C1896" s="10" t="s">
        <v>759</v>
      </c>
      <c r="D1896" s="10" t="s">
        <v>760</v>
      </c>
      <c r="E1896" s="10">
        <v>0</v>
      </c>
      <c r="F1896" s="10">
        <v>0</v>
      </c>
      <c r="G1896" s="10">
        <v>0</v>
      </c>
      <c r="H1896" s="10">
        <v>0</v>
      </c>
      <c r="I1896" s="10" t="s">
        <v>643</v>
      </c>
      <c r="J1896" s="10">
        <v>0</v>
      </c>
      <c r="K1896" s="10">
        <v>0</v>
      </c>
      <c r="L1896" s="10">
        <v>0</v>
      </c>
      <c r="M1896" s="10">
        <v>0</v>
      </c>
      <c r="N1896" s="10" t="s">
        <v>761</v>
      </c>
      <c r="O1896" s="10" t="s">
        <v>2038</v>
      </c>
      <c r="P1896" s="105" t="e">
        <f t="shared" si="29"/>
        <v>#DIV/0!</v>
      </c>
    </row>
    <row r="1897" spans="1:16">
      <c r="A1897" s="10" t="s">
        <v>635</v>
      </c>
      <c r="B1897" s="10">
        <v>8012177</v>
      </c>
      <c r="C1897" s="10" t="s">
        <v>759</v>
      </c>
      <c r="D1897" s="10" t="s">
        <v>760</v>
      </c>
      <c r="E1897" s="10">
        <v>0</v>
      </c>
      <c r="F1897" s="10">
        <v>0</v>
      </c>
      <c r="G1897" s="10">
        <v>0</v>
      </c>
      <c r="H1897" s="10">
        <v>0</v>
      </c>
      <c r="I1897" s="10" t="s">
        <v>21</v>
      </c>
      <c r="J1897" s="10">
        <v>0</v>
      </c>
      <c r="K1897" s="10">
        <v>0</v>
      </c>
      <c r="L1897" s="10">
        <v>0</v>
      </c>
      <c r="M1897" s="10">
        <v>0</v>
      </c>
      <c r="N1897" s="10" t="s">
        <v>761</v>
      </c>
      <c r="O1897" s="10" t="s">
        <v>2039</v>
      </c>
      <c r="P1897" s="105" t="e">
        <f t="shared" si="29"/>
        <v>#DIV/0!</v>
      </c>
    </row>
    <row r="1898" spans="1:16">
      <c r="A1898" s="10" t="s">
        <v>635</v>
      </c>
      <c r="B1898" s="10">
        <v>8012182</v>
      </c>
      <c r="C1898" s="10" t="s">
        <v>759</v>
      </c>
      <c r="D1898" s="10" t="s">
        <v>760</v>
      </c>
      <c r="E1898" s="10">
        <v>0</v>
      </c>
      <c r="F1898" s="10">
        <v>0</v>
      </c>
      <c r="G1898" s="10">
        <v>0</v>
      </c>
      <c r="H1898" s="10">
        <v>0</v>
      </c>
      <c r="I1898" s="10" t="s">
        <v>21</v>
      </c>
      <c r="J1898" s="10">
        <v>0</v>
      </c>
      <c r="K1898" s="10">
        <v>0</v>
      </c>
      <c r="L1898" s="10">
        <v>0</v>
      </c>
      <c r="M1898" s="10">
        <v>0</v>
      </c>
      <c r="N1898" s="10" t="s">
        <v>761</v>
      </c>
      <c r="O1898" s="10" t="s">
        <v>2040</v>
      </c>
      <c r="P1898" s="105" t="e">
        <f t="shared" si="29"/>
        <v>#DIV/0!</v>
      </c>
    </row>
    <row r="1899" spans="1:16">
      <c r="A1899" s="10" t="s">
        <v>635</v>
      </c>
      <c r="B1899" s="10">
        <v>8012183</v>
      </c>
      <c r="C1899" s="10" t="s">
        <v>759</v>
      </c>
      <c r="D1899" s="10" t="s">
        <v>760</v>
      </c>
      <c r="E1899" s="10">
        <v>0</v>
      </c>
      <c r="F1899" s="10">
        <v>0</v>
      </c>
      <c r="G1899" s="10">
        <v>0</v>
      </c>
      <c r="H1899" s="10">
        <v>0</v>
      </c>
      <c r="I1899" s="10" t="s">
        <v>21</v>
      </c>
      <c r="J1899" s="10">
        <v>0</v>
      </c>
      <c r="K1899" s="10">
        <v>0</v>
      </c>
      <c r="L1899" s="10">
        <v>0</v>
      </c>
      <c r="M1899" s="10">
        <v>0</v>
      </c>
      <c r="N1899" s="10" t="s">
        <v>761</v>
      </c>
      <c r="O1899" s="10" t="s">
        <v>2041</v>
      </c>
      <c r="P1899" s="105" t="e">
        <f t="shared" si="29"/>
        <v>#DIV/0!</v>
      </c>
    </row>
    <row r="1900" spans="1:16">
      <c r="A1900" s="10" t="s">
        <v>635</v>
      </c>
      <c r="B1900" s="10">
        <v>8012184</v>
      </c>
      <c r="C1900" s="10" t="s">
        <v>759</v>
      </c>
      <c r="D1900" s="10" t="s">
        <v>760</v>
      </c>
      <c r="E1900" s="10">
        <v>0</v>
      </c>
      <c r="F1900" s="10">
        <v>0</v>
      </c>
      <c r="G1900" s="10">
        <v>0</v>
      </c>
      <c r="H1900" s="10">
        <v>0</v>
      </c>
      <c r="I1900" s="10" t="s">
        <v>711</v>
      </c>
      <c r="J1900" s="10">
        <v>0</v>
      </c>
      <c r="K1900" s="10">
        <v>0</v>
      </c>
      <c r="L1900" s="10">
        <v>0</v>
      </c>
      <c r="M1900" s="10">
        <v>0</v>
      </c>
      <c r="N1900" s="10" t="s">
        <v>761</v>
      </c>
      <c r="O1900" s="10" t="s">
        <v>2042</v>
      </c>
      <c r="P1900" s="105" t="e">
        <f t="shared" si="29"/>
        <v>#DIV/0!</v>
      </c>
    </row>
    <row r="1901" spans="1:16">
      <c r="A1901" s="10" t="s">
        <v>635</v>
      </c>
      <c r="B1901" s="10">
        <v>8012185</v>
      </c>
      <c r="C1901" s="10" t="s">
        <v>759</v>
      </c>
      <c r="D1901" s="10" t="s">
        <v>760</v>
      </c>
      <c r="E1901" s="10">
        <v>0</v>
      </c>
      <c r="F1901" s="10">
        <v>0</v>
      </c>
      <c r="G1901" s="10">
        <v>0</v>
      </c>
      <c r="H1901" s="10">
        <v>0</v>
      </c>
      <c r="I1901" s="10" t="s">
        <v>711</v>
      </c>
      <c r="J1901" s="10">
        <v>0</v>
      </c>
      <c r="K1901" s="10">
        <v>0</v>
      </c>
      <c r="L1901" s="10">
        <v>0</v>
      </c>
      <c r="M1901" s="10">
        <v>0</v>
      </c>
      <c r="N1901" s="10" t="s">
        <v>761</v>
      </c>
      <c r="O1901" s="10" t="s">
        <v>2043</v>
      </c>
      <c r="P1901" s="105" t="e">
        <f t="shared" si="29"/>
        <v>#DIV/0!</v>
      </c>
    </row>
    <row r="1902" spans="1:16">
      <c r="A1902" s="10" t="s">
        <v>635</v>
      </c>
      <c r="B1902" s="10">
        <v>8012186</v>
      </c>
      <c r="C1902" s="10" t="s">
        <v>759</v>
      </c>
      <c r="D1902" s="10" t="s">
        <v>760</v>
      </c>
      <c r="E1902" s="10">
        <v>0</v>
      </c>
      <c r="F1902" s="10">
        <v>0</v>
      </c>
      <c r="G1902" s="10">
        <v>0</v>
      </c>
      <c r="H1902" s="10">
        <v>0</v>
      </c>
      <c r="I1902" s="10" t="s">
        <v>21</v>
      </c>
      <c r="J1902" s="10">
        <v>0</v>
      </c>
      <c r="K1902" s="10">
        <v>0</v>
      </c>
      <c r="L1902" s="10">
        <v>0</v>
      </c>
      <c r="M1902" s="10">
        <v>0</v>
      </c>
      <c r="N1902" s="10" t="s">
        <v>761</v>
      </c>
      <c r="O1902" s="10" t="s">
        <v>2044</v>
      </c>
      <c r="P1902" s="105" t="e">
        <f t="shared" si="29"/>
        <v>#DIV/0!</v>
      </c>
    </row>
    <row r="1903" spans="1:16">
      <c r="A1903" s="10" t="s">
        <v>635</v>
      </c>
      <c r="B1903" s="10">
        <v>8012187</v>
      </c>
      <c r="C1903" s="10" t="s">
        <v>759</v>
      </c>
      <c r="D1903" s="10" t="s">
        <v>760</v>
      </c>
      <c r="E1903" s="10">
        <v>0</v>
      </c>
      <c r="F1903" s="10">
        <v>0</v>
      </c>
      <c r="G1903" s="10">
        <v>0</v>
      </c>
      <c r="H1903" s="10">
        <v>0</v>
      </c>
      <c r="I1903" s="10" t="s">
        <v>138</v>
      </c>
      <c r="J1903" s="10">
        <v>0</v>
      </c>
      <c r="K1903" s="10">
        <v>0</v>
      </c>
      <c r="L1903" s="10">
        <v>0</v>
      </c>
      <c r="M1903" s="10">
        <v>0</v>
      </c>
      <c r="N1903" s="10" t="s">
        <v>761</v>
      </c>
      <c r="O1903" s="10" t="s">
        <v>2045</v>
      </c>
      <c r="P1903" s="105" t="e">
        <f t="shared" si="29"/>
        <v>#DIV/0!</v>
      </c>
    </row>
    <row r="1904" spans="1:16">
      <c r="A1904" s="10" t="s">
        <v>635</v>
      </c>
      <c r="B1904" s="10">
        <v>8012188</v>
      </c>
      <c r="C1904" s="10" t="s">
        <v>759</v>
      </c>
      <c r="D1904" s="10" t="s">
        <v>760</v>
      </c>
      <c r="E1904" s="10">
        <v>0</v>
      </c>
      <c r="F1904" s="10">
        <v>0</v>
      </c>
      <c r="G1904" s="10">
        <v>0</v>
      </c>
      <c r="H1904" s="10">
        <v>0</v>
      </c>
      <c r="I1904" s="10" t="s">
        <v>21</v>
      </c>
      <c r="J1904" s="10">
        <v>0</v>
      </c>
      <c r="K1904" s="10">
        <v>0</v>
      </c>
      <c r="L1904" s="10">
        <v>0</v>
      </c>
      <c r="M1904" s="10">
        <v>0</v>
      </c>
      <c r="N1904" s="10" t="s">
        <v>761</v>
      </c>
      <c r="O1904" s="10" t="s">
        <v>2046</v>
      </c>
      <c r="P1904" s="105" t="e">
        <f t="shared" si="29"/>
        <v>#DIV/0!</v>
      </c>
    </row>
    <row r="1905" spans="1:16">
      <c r="A1905" s="10" t="s">
        <v>635</v>
      </c>
      <c r="B1905" s="10">
        <v>8012189</v>
      </c>
      <c r="C1905" s="10" t="s">
        <v>759</v>
      </c>
      <c r="D1905" s="10" t="s">
        <v>760</v>
      </c>
      <c r="E1905" s="10">
        <v>0</v>
      </c>
      <c r="F1905" s="10">
        <v>0</v>
      </c>
      <c r="G1905" s="10">
        <v>0</v>
      </c>
      <c r="H1905" s="10">
        <v>0</v>
      </c>
      <c r="I1905" s="10" t="s">
        <v>21</v>
      </c>
      <c r="J1905" s="10">
        <v>0</v>
      </c>
      <c r="K1905" s="10">
        <v>0</v>
      </c>
      <c r="L1905" s="10">
        <v>0</v>
      </c>
      <c r="M1905" s="10">
        <v>0</v>
      </c>
      <c r="N1905" s="10" t="s">
        <v>761</v>
      </c>
      <c r="O1905" s="10" t="s">
        <v>2047</v>
      </c>
      <c r="P1905" s="105" t="e">
        <f t="shared" si="29"/>
        <v>#DIV/0!</v>
      </c>
    </row>
    <row r="1906" spans="1:16">
      <c r="A1906" s="10" t="s">
        <v>635</v>
      </c>
      <c r="B1906" s="10">
        <v>8012190</v>
      </c>
      <c r="C1906" s="10" t="s">
        <v>759</v>
      </c>
      <c r="D1906" s="10" t="s">
        <v>760</v>
      </c>
      <c r="E1906" s="10">
        <v>0</v>
      </c>
      <c r="F1906" s="10">
        <v>0</v>
      </c>
      <c r="G1906" s="10">
        <v>0</v>
      </c>
      <c r="H1906" s="10">
        <v>0</v>
      </c>
      <c r="I1906" s="10" t="s">
        <v>21</v>
      </c>
      <c r="J1906" s="10">
        <v>0</v>
      </c>
      <c r="K1906" s="10">
        <v>0</v>
      </c>
      <c r="L1906" s="10">
        <v>0</v>
      </c>
      <c r="M1906" s="10">
        <v>0</v>
      </c>
      <c r="N1906" s="10" t="s">
        <v>761</v>
      </c>
      <c r="O1906" s="10" t="s">
        <v>2048</v>
      </c>
      <c r="P1906" s="105" t="e">
        <f t="shared" si="29"/>
        <v>#DIV/0!</v>
      </c>
    </row>
    <row r="1907" spans="1:16">
      <c r="A1907" s="10" t="s">
        <v>635</v>
      </c>
      <c r="B1907" s="10">
        <v>8012191</v>
      </c>
      <c r="C1907" s="10" t="s">
        <v>759</v>
      </c>
      <c r="D1907" s="10" t="s">
        <v>760</v>
      </c>
      <c r="E1907" s="10">
        <v>0</v>
      </c>
      <c r="F1907" s="10">
        <v>0</v>
      </c>
      <c r="G1907" s="10">
        <v>0</v>
      </c>
      <c r="H1907" s="10">
        <v>0</v>
      </c>
      <c r="I1907" s="10" t="s">
        <v>2049</v>
      </c>
      <c r="J1907" s="10">
        <v>0</v>
      </c>
      <c r="K1907" s="10">
        <v>0</v>
      </c>
      <c r="L1907" s="10">
        <v>0</v>
      </c>
      <c r="M1907" s="10">
        <v>0</v>
      </c>
      <c r="N1907" s="10" t="s">
        <v>761</v>
      </c>
      <c r="O1907" s="10" t="s">
        <v>2050</v>
      </c>
      <c r="P1907" s="105" t="e">
        <f t="shared" si="29"/>
        <v>#DIV/0!</v>
      </c>
    </row>
    <row r="1908" spans="1:16">
      <c r="A1908" s="10" t="s">
        <v>635</v>
      </c>
      <c r="B1908" s="10">
        <v>8012192</v>
      </c>
      <c r="C1908" s="10" t="s">
        <v>759</v>
      </c>
      <c r="D1908" s="10" t="s">
        <v>760</v>
      </c>
      <c r="E1908" s="10">
        <v>0</v>
      </c>
      <c r="F1908" s="10">
        <v>0</v>
      </c>
      <c r="G1908" s="10">
        <v>0</v>
      </c>
      <c r="H1908" s="10">
        <v>0</v>
      </c>
      <c r="I1908" s="10" t="s">
        <v>21</v>
      </c>
      <c r="J1908" s="10">
        <v>0</v>
      </c>
      <c r="K1908" s="10">
        <v>0</v>
      </c>
      <c r="L1908" s="10">
        <v>0</v>
      </c>
      <c r="M1908" s="10">
        <v>0</v>
      </c>
      <c r="N1908" s="10" t="s">
        <v>761</v>
      </c>
      <c r="O1908" s="10" t="s">
        <v>2051</v>
      </c>
      <c r="P1908" s="105" t="e">
        <f t="shared" si="29"/>
        <v>#DIV/0!</v>
      </c>
    </row>
    <row r="1909" spans="1:16">
      <c r="A1909" s="10" t="s">
        <v>635</v>
      </c>
      <c r="B1909" s="10">
        <v>8012193</v>
      </c>
      <c r="C1909" s="10" t="s">
        <v>759</v>
      </c>
      <c r="D1909" s="10" t="s">
        <v>760</v>
      </c>
      <c r="E1909" s="10">
        <v>0</v>
      </c>
      <c r="F1909" s="10">
        <v>0</v>
      </c>
      <c r="G1909" s="10">
        <v>0</v>
      </c>
      <c r="H1909" s="10">
        <v>0</v>
      </c>
      <c r="I1909" s="10" t="s">
        <v>403</v>
      </c>
      <c r="J1909" s="10">
        <v>0</v>
      </c>
      <c r="K1909" s="10">
        <v>0</v>
      </c>
      <c r="L1909" s="10">
        <v>0</v>
      </c>
      <c r="M1909" s="10">
        <v>0</v>
      </c>
      <c r="N1909" s="10" t="s">
        <v>761</v>
      </c>
      <c r="O1909" s="10" t="s">
        <v>2052</v>
      </c>
      <c r="P1909" s="105" t="e">
        <f t="shared" si="29"/>
        <v>#DIV/0!</v>
      </c>
    </row>
    <row r="1910" spans="1:16">
      <c r="A1910" s="10" t="s">
        <v>635</v>
      </c>
      <c r="B1910" s="10">
        <v>8012256</v>
      </c>
      <c r="C1910" s="10" t="s">
        <v>759</v>
      </c>
      <c r="D1910" s="10" t="s">
        <v>760</v>
      </c>
      <c r="E1910" s="10">
        <v>0</v>
      </c>
      <c r="F1910" s="10">
        <v>0</v>
      </c>
      <c r="G1910" s="10">
        <v>0</v>
      </c>
      <c r="H1910" s="10">
        <v>0</v>
      </c>
      <c r="I1910" s="10" t="s">
        <v>21</v>
      </c>
      <c r="J1910" s="10">
        <v>0</v>
      </c>
      <c r="K1910" s="10">
        <v>0</v>
      </c>
      <c r="L1910" s="10">
        <v>0</v>
      </c>
      <c r="M1910" s="10">
        <v>0</v>
      </c>
      <c r="N1910" s="10" t="s">
        <v>761</v>
      </c>
      <c r="O1910" s="10" t="s">
        <v>2053</v>
      </c>
      <c r="P1910" s="105" t="e">
        <f t="shared" si="29"/>
        <v>#DIV/0!</v>
      </c>
    </row>
    <row r="1911" spans="1:16">
      <c r="A1911" s="10" t="s">
        <v>635</v>
      </c>
      <c r="B1911" s="10">
        <v>8012259</v>
      </c>
      <c r="C1911" s="10" t="s">
        <v>759</v>
      </c>
      <c r="D1911" s="10" t="s">
        <v>760</v>
      </c>
      <c r="E1911" s="10">
        <v>0</v>
      </c>
      <c r="F1911" s="10">
        <v>0</v>
      </c>
      <c r="G1911" s="10">
        <v>0</v>
      </c>
      <c r="H1911" s="10">
        <v>0</v>
      </c>
      <c r="I1911" s="10" t="s">
        <v>30</v>
      </c>
      <c r="J1911" s="10">
        <v>0</v>
      </c>
      <c r="K1911" s="10">
        <v>0</v>
      </c>
      <c r="L1911" s="10">
        <v>0</v>
      </c>
      <c r="M1911" s="10">
        <v>0</v>
      </c>
      <c r="N1911" s="10" t="s">
        <v>761</v>
      </c>
      <c r="O1911" s="10" t="s">
        <v>2054</v>
      </c>
      <c r="P1911" s="105" t="e">
        <f t="shared" si="29"/>
        <v>#DIV/0!</v>
      </c>
    </row>
    <row r="1912" spans="1:16">
      <c r="A1912" s="10" t="s">
        <v>635</v>
      </c>
      <c r="B1912" s="10">
        <v>8012284</v>
      </c>
      <c r="C1912" s="10" t="s">
        <v>759</v>
      </c>
      <c r="D1912" s="10" t="s">
        <v>760</v>
      </c>
      <c r="E1912" s="10">
        <v>0</v>
      </c>
      <c r="F1912" s="10">
        <v>0</v>
      </c>
      <c r="G1912" s="10">
        <v>0</v>
      </c>
      <c r="H1912" s="10">
        <v>0</v>
      </c>
      <c r="I1912" s="10" t="s">
        <v>21</v>
      </c>
      <c r="J1912" s="10">
        <v>0</v>
      </c>
      <c r="K1912" s="10">
        <v>0</v>
      </c>
      <c r="L1912" s="10">
        <v>0</v>
      </c>
      <c r="M1912" s="10">
        <v>0</v>
      </c>
      <c r="N1912" s="10" t="s">
        <v>761</v>
      </c>
      <c r="O1912" s="10" t="s">
        <v>209</v>
      </c>
      <c r="P1912" s="105" t="e">
        <f t="shared" si="29"/>
        <v>#DIV/0!</v>
      </c>
    </row>
    <row r="1913" spans="1:16">
      <c r="A1913" s="10" t="s">
        <v>635</v>
      </c>
      <c r="B1913" s="10">
        <v>8012285</v>
      </c>
      <c r="C1913" s="10" t="s">
        <v>759</v>
      </c>
      <c r="D1913" s="10" t="s">
        <v>760</v>
      </c>
      <c r="E1913" s="10">
        <v>0</v>
      </c>
      <c r="F1913" s="10">
        <v>0</v>
      </c>
      <c r="G1913" s="10">
        <v>0</v>
      </c>
      <c r="H1913" s="10">
        <v>0</v>
      </c>
      <c r="I1913" s="10" t="s">
        <v>21</v>
      </c>
      <c r="J1913" s="10">
        <v>0</v>
      </c>
      <c r="K1913" s="10">
        <v>0</v>
      </c>
      <c r="L1913" s="10">
        <v>0</v>
      </c>
      <c r="M1913" s="10">
        <v>0</v>
      </c>
      <c r="N1913" s="10" t="s">
        <v>761</v>
      </c>
      <c r="O1913" s="10" t="s">
        <v>1353</v>
      </c>
      <c r="P1913" s="105" t="e">
        <f t="shared" si="29"/>
        <v>#DIV/0!</v>
      </c>
    </row>
    <row r="1914" spans="1:16">
      <c r="A1914" s="10" t="s">
        <v>635</v>
      </c>
      <c r="B1914" s="10">
        <v>8012346</v>
      </c>
      <c r="C1914" s="10" t="s">
        <v>759</v>
      </c>
      <c r="D1914" s="10" t="s">
        <v>760</v>
      </c>
      <c r="E1914" s="10">
        <v>0</v>
      </c>
      <c r="F1914" s="103">
        <v>1200</v>
      </c>
      <c r="G1914" s="10">
        <v>0</v>
      </c>
      <c r="H1914" s="103">
        <v>1200</v>
      </c>
      <c r="I1914" s="10" t="s">
        <v>21</v>
      </c>
      <c r="J1914" s="10">
        <v>0</v>
      </c>
      <c r="K1914" s="10">
        <v>93.88</v>
      </c>
      <c r="L1914" s="10">
        <v>0</v>
      </c>
      <c r="M1914" s="10">
        <v>93.88</v>
      </c>
      <c r="N1914" s="10" t="s">
        <v>761</v>
      </c>
      <c r="O1914" s="10" t="s">
        <v>242</v>
      </c>
      <c r="P1914" s="105">
        <f t="shared" si="29"/>
        <v>0.0782333333333333</v>
      </c>
    </row>
    <row r="1915" spans="1:16">
      <c r="A1915" s="10" t="s">
        <v>635</v>
      </c>
      <c r="B1915" s="10">
        <v>8012353</v>
      </c>
      <c r="C1915" s="10" t="s">
        <v>759</v>
      </c>
      <c r="D1915" s="10" t="s">
        <v>760</v>
      </c>
      <c r="E1915" s="10">
        <v>0</v>
      </c>
      <c r="F1915" s="10">
        <v>0</v>
      </c>
      <c r="G1915" s="10">
        <v>0</v>
      </c>
      <c r="H1915" s="10">
        <v>0</v>
      </c>
      <c r="I1915" s="10" t="s">
        <v>41</v>
      </c>
      <c r="J1915" s="10">
        <v>0</v>
      </c>
      <c r="K1915" s="10">
        <v>0</v>
      </c>
      <c r="L1915" s="10">
        <v>0</v>
      </c>
      <c r="M1915" s="10">
        <v>0</v>
      </c>
      <c r="N1915" s="10" t="s">
        <v>761</v>
      </c>
      <c r="O1915" s="10" t="s">
        <v>2055</v>
      </c>
      <c r="P1915" s="105" t="e">
        <f t="shared" si="29"/>
        <v>#DIV/0!</v>
      </c>
    </row>
    <row r="1916" spans="1:16">
      <c r="A1916" s="10" t="s">
        <v>635</v>
      </c>
      <c r="B1916" s="10">
        <v>8012354</v>
      </c>
      <c r="C1916" s="10" t="s">
        <v>759</v>
      </c>
      <c r="D1916" s="10" t="s">
        <v>760</v>
      </c>
      <c r="E1916" s="103">
        <v>2000</v>
      </c>
      <c r="F1916" s="10">
        <v>0</v>
      </c>
      <c r="G1916" s="10">
        <v>0</v>
      </c>
      <c r="H1916" s="103">
        <v>2000</v>
      </c>
      <c r="I1916" s="10" t="s">
        <v>41</v>
      </c>
      <c r="J1916" s="10">
        <v>72.22</v>
      </c>
      <c r="K1916" s="10">
        <v>0</v>
      </c>
      <c r="L1916" s="10">
        <v>0</v>
      </c>
      <c r="M1916" s="10">
        <v>72.22</v>
      </c>
      <c r="N1916" s="10" t="s">
        <v>761</v>
      </c>
      <c r="O1916" s="10" t="s">
        <v>610</v>
      </c>
      <c r="P1916" s="105">
        <f t="shared" si="29"/>
        <v>0.03611</v>
      </c>
    </row>
    <row r="1917" spans="1:16">
      <c r="A1917" s="10" t="s">
        <v>635</v>
      </c>
      <c r="B1917" s="10">
        <v>8012381</v>
      </c>
      <c r="C1917" s="10" t="s">
        <v>759</v>
      </c>
      <c r="D1917" s="10" t="s">
        <v>760</v>
      </c>
      <c r="E1917" s="10">
        <v>0</v>
      </c>
      <c r="F1917" s="10">
        <v>0</v>
      </c>
      <c r="G1917" s="10">
        <v>0</v>
      </c>
      <c r="H1917" s="10">
        <v>0</v>
      </c>
      <c r="I1917" s="10" t="s">
        <v>643</v>
      </c>
      <c r="J1917" s="10">
        <v>0</v>
      </c>
      <c r="K1917" s="10">
        <v>0</v>
      </c>
      <c r="L1917" s="10">
        <v>0</v>
      </c>
      <c r="M1917" s="10">
        <v>0</v>
      </c>
      <c r="N1917" s="10" t="s">
        <v>761</v>
      </c>
      <c r="O1917" s="10" t="s">
        <v>2056</v>
      </c>
      <c r="P1917" s="105" t="e">
        <f t="shared" si="29"/>
        <v>#DIV/0!</v>
      </c>
    </row>
    <row r="1918" spans="1:16">
      <c r="A1918" s="10" t="s">
        <v>635</v>
      </c>
      <c r="B1918" s="10">
        <v>8012383</v>
      </c>
      <c r="C1918" s="10" t="s">
        <v>759</v>
      </c>
      <c r="D1918" s="10" t="s">
        <v>760</v>
      </c>
      <c r="E1918" s="10">
        <v>0</v>
      </c>
      <c r="F1918" s="10">
        <v>0</v>
      </c>
      <c r="G1918" s="10">
        <v>0</v>
      </c>
      <c r="H1918" s="10">
        <v>0</v>
      </c>
      <c r="I1918" s="10" t="s">
        <v>102</v>
      </c>
      <c r="J1918" s="10">
        <v>0</v>
      </c>
      <c r="K1918" s="10">
        <v>0</v>
      </c>
      <c r="L1918" s="10">
        <v>0</v>
      </c>
      <c r="M1918" s="10">
        <v>0</v>
      </c>
      <c r="N1918" s="10" t="s">
        <v>761</v>
      </c>
      <c r="O1918" s="10" t="s">
        <v>2057</v>
      </c>
      <c r="P1918" s="105" t="e">
        <f t="shared" si="29"/>
        <v>#DIV/0!</v>
      </c>
    </row>
    <row r="1919" spans="1:16">
      <c r="A1919" s="10" t="s">
        <v>635</v>
      </c>
      <c r="B1919" s="10">
        <v>8012384</v>
      </c>
      <c r="C1919" s="10" t="s">
        <v>759</v>
      </c>
      <c r="D1919" s="10" t="s">
        <v>760</v>
      </c>
      <c r="E1919" s="10">
        <v>0</v>
      </c>
      <c r="F1919" s="10">
        <v>0</v>
      </c>
      <c r="G1919" s="10">
        <v>0</v>
      </c>
      <c r="H1919" s="10">
        <v>0</v>
      </c>
      <c r="I1919" s="10" t="s">
        <v>102</v>
      </c>
      <c r="J1919" s="10">
        <v>0</v>
      </c>
      <c r="K1919" s="10">
        <v>0</v>
      </c>
      <c r="L1919" s="10">
        <v>0</v>
      </c>
      <c r="M1919" s="10">
        <v>0</v>
      </c>
      <c r="N1919" s="10" t="s">
        <v>761</v>
      </c>
      <c r="O1919" s="10" t="s">
        <v>2058</v>
      </c>
      <c r="P1919" s="105" t="e">
        <f t="shared" si="29"/>
        <v>#DIV/0!</v>
      </c>
    </row>
    <row r="1920" spans="1:16">
      <c r="A1920" s="10" t="s">
        <v>635</v>
      </c>
      <c r="B1920" s="10">
        <v>8012385</v>
      </c>
      <c r="C1920" s="10" t="s">
        <v>759</v>
      </c>
      <c r="D1920" s="10" t="s">
        <v>760</v>
      </c>
      <c r="E1920" s="10">
        <v>0</v>
      </c>
      <c r="F1920" s="10">
        <v>0</v>
      </c>
      <c r="G1920" s="10">
        <v>0</v>
      </c>
      <c r="H1920" s="10">
        <v>0</v>
      </c>
      <c r="I1920" s="10" t="s">
        <v>102</v>
      </c>
      <c r="J1920" s="10">
        <v>0</v>
      </c>
      <c r="K1920" s="10">
        <v>0</v>
      </c>
      <c r="L1920" s="10">
        <v>0</v>
      </c>
      <c r="M1920" s="10">
        <v>0</v>
      </c>
      <c r="N1920" s="10" t="s">
        <v>761</v>
      </c>
      <c r="O1920" s="10" t="s">
        <v>2059</v>
      </c>
      <c r="P1920" s="105" t="e">
        <f t="shared" si="29"/>
        <v>#DIV/0!</v>
      </c>
    </row>
    <row r="1921" spans="1:16">
      <c r="A1921" s="10" t="s">
        <v>635</v>
      </c>
      <c r="B1921" s="10">
        <v>8012386</v>
      </c>
      <c r="C1921" s="10" t="s">
        <v>759</v>
      </c>
      <c r="D1921" s="10" t="s">
        <v>760</v>
      </c>
      <c r="E1921" s="10">
        <v>0</v>
      </c>
      <c r="F1921" s="10">
        <v>0</v>
      </c>
      <c r="G1921" s="10">
        <v>0</v>
      </c>
      <c r="H1921" s="10">
        <v>0</v>
      </c>
      <c r="I1921" s="10" t="s">
        <v>102</v>
      </c>
      <c r="J1921" s="10">
        <v>0</v>
      </c>
      <c r="K1921" s="10">
        <v>0</v>
      </c>
      <c r="L1921" s="10">
        <v>0</v>
      </c>
      <c r="M1921" s="10">
        <v>0</v>
      </c>
      <c r="N1921" s="10" t="s">
        <v>761</v>
      </c>
      <c r="O1921" s="10" t="s">
        <v>2060</v>
      </c>
      <c r="P1921" s="105" t="e">
        <f t="shared" si="29"/>
        <v>#DIV/0!</v>
      </c>
    </row>
    <row r="1922" spans="1:16">
      <c r="A1922" s="10" t="s">
        <v>635</v>
      </c>
      <c r="B1922" s="10">
        <v>8012387</v>
      </c>
      <c r="C1922" s="10" t="s">
        <v>759</v>
      </c>
      <c r="D1922" s="10" t="s">
        <v>760</v>
      </c>
      <c r="E1922" s="10">
        <v>0</v>
      </c>
      <c r="F1922" s="10">
        <v>0</v>
      </c>
      <c r="G1922" s="10">
        <v>0</v>
      </c>
      <c r="H1922" s="10">
        <v>0</v>
      </c>
      <c r="I1922" s="10" t="s">
        <v>102</v>
      </c>
      <c r="J1922" s="10">
        <v>0</v>
      </c>
      <c r="K1922" s="10">
        <v>0</v>
      </c>
      <c r="L1922" s="10">
        <v>0</v>
      </c>
      <c r="M1922" s="10">
        <v>0</v>
      </c>
      <c r="N1922" s="10" t="s">
        <v>761</v>
      </c>
      <c r="O1922" s="10" t="s">
        <v>2061</v>
      </c>
      <c r="P1922" s="105" t="e">
        <f t="shared" si="29"/>
        <v>#DIV/0!</v>
      </c>
    </row>
    <row r="1923" spans="1:16">
      <c r="A1923" s="10" t="s">
        <v>635</v>
      </c>
      <c r="B1923" s="10">
        <v>8012388</v>
      </c>
      <c r="C1923" s="10" t="s">
        <v>759</v>
      </c>
      <c r="D1923" s="10" t="s">
        <v>760</v>
      </c>
      <c r="E1923" s="10">
        <v>0</v>
      </c>
      <c r="F1923" s="10">
        <v>0</v>
      </c>
      <c r="G1923" s="10">
        <v>0</v>
      </c>
      <c r="H1923" s="10">
        <v>0</v>
      </c>
      <c r="I1923" s="10" t="s">
        <v>102</v>
      </c>
      <c r="J1923" s="10">
        <v>0</v>
      </c>
      <c r="K1923" s="10">
        <v>0</v>
      </c>
      <c r="L1923" s="10">
        <v>0</v>
      </c>
      <c r="M1923" s="10">
        <v>0</v>
      </c>
      <c r="N1923" s="10" t="s">
        <v>761</v>
      </c>
      <c r="O1923" s="10" t="s">
        <v>2062</v>
      </c>
      <c r="P1923" s="105" t="e">
        <f t="shared" ref="P1923:P1986" si="30">M1923/H1923</f>
        <v>#DIV/0!</v>
      </c>
    </row>
    <row r="1924" spans="1:16">
      <c r="A1924" s="10" t="s">
        <v>635</v>
      </c>
      <c r="B1924" s="10">
        <v>8012389</v>
      </c>
      <c r="C1924" s="10" t="s">
        <v>759</v>
      </c>
      <c r="D1924" s="10" t="s">
        <v>760</v>
      </c>
      <c r="E1924" s="10">
        <v>0</v>
      </c>
      <c r="F1924" s="10">
        <v>0</v>
      </c>
      <c r="G1924" s="10">
        <v>0</v>
      </c>
      <c r="H1924" s="10">
        <v>0</v>
      </c>
      <c r="I1924" s="10" t="s">
        <v>102</v>
      </c>
      <c r="J1924" s="10">
        <v>0</v>
      </c>
      <c r="K1924" s="10">
        <v>0</v>
      </c>
      <c r="L1924" s="10">
        <v>0</v>
      </c>
      <c r="M1924" s="10">
        <v>0</v>
      </c>
      <c r="N1924" s="10" t="s">
        <v>761</v>
      </c>
      <c r="O1924" s="10" t="s">
        <v>2063</v>
      </c>
      <c r="P1924" s="105" t="e">
        <f t="shared" si="30"/>
        <v>#DIV/0!</v>
      </c>
    </row>
    <row r="1925" spans="1:16">
      <c r="A1925" s="10" t="s">
        <v>635</v>
      </c>
      <c r="B1925" s="10">
        <v>8012390</v>
      </c>
      <c r="C1925" s="10" t="s">
        <v>759</v>
      </c>
      <c r="D1925" s="10" t="s">
        <v>760</v>
      </c>
      <c r="E1925" s="10">
        <v>0</v>
      </c>
      <c r="F1925" s="10">
        <v>0</v>
      </c>
      <c r="G1925" s="10">
        <v>0</v>
      </c>
      <c r="H1925" s="10">
        <v>0</v>
      </c>
      <c r="I1925" s="10" t="s">
        <v>102</v>
      </c>
      <c r="J1925" s="10">
        <v>0</v>
      </c>
      <c r="K1925" s="10">
        <v>0</v>
      </c>
      <c r="L1925" s="10">
        <v>0</v>
      </c>
      <c r="M1925" s="10">
        <v>0</v>
      </c>
      <c r="N1925" s="10" t="s">
        <v>761</v>
      </c>
      <c r="O1925" s="10" t="s">
        <v>2064</v>
      </c>
      <c r="P1925" s="105" t="e">
        <f t="shared" si="30"/>
        <v>#DIV/0!</v>
      </c>
    </row>
    <row r="1926" spans="1:16">
      <c r="A1926" s="10" t="s">
        <v>635</v>
      </c>
      <c r="B1926" s="10">
        <v>8012391</v>
      </c>
      <c r="C1926" s="10" t="s">
        <v>759</v>
      </c>
      <c r="D1926" s="10" t="s">
        <v>760</v>
      </c>
      <c r="E1926" s="10">
        <v>0</v>
      </c>
      <c r="F1926" s="10">
        <v>0</v>
      </c>
      <c r="G1926" s="10">
        <v>0</v>
      </c>
      <c r="H1926" s="10">
        <v>0</v>
      </c>
      <c r="I1926" s="10" t="s">
        <v>102</v>
      </c>
      <c r="J1926" s="10">
        <v>0</v>
      </c>
      <c r="K1926" s="10">
        <v>0</v>
      </c>
      <c r="L1926" s="10">
        <v>0</v>
      </c>
      <c r="M1926" s="10">
        <v>0</v>
      </c>
      <c r="N1926" s="10" t="s">
        <v>761</v>
      </c>
      <c r="O1926" s="10" t="s">
        <v>2065</v>
      </c>
      <c r="P1926" s="105" t="e">
        <f t="shared" si="30"/>
        <v>#DIV/0!</v>
      </c>
    </row>
    <row r="1927" spans="1:16">
      <c r="A1927" s="10" t="s">
        <v>635</v>
      </c>
      <c r="B1927" s="10">
        <v>8012392</v>
      </c>
      <c r="C1927" s="10" t="s">
        <v>759</v>
      </c>
      <c r="D1927" s="10" t="s">
        <v>760</v>
      </c>
      <c r="E1927" s="10">
        <v>0</v>
      </c>
      <c r="F1927" s="10">
        <v>0</v>
      </c>
      <c r="G1927" s="10">
        <v>0</v>
      </c>
      <c r="H1927" s="10">
        <v>0</v>
      </c>
      <c r="I1927" s="10" t="s">
        <v>102</v>
      </c>
      <c r="J1927" s="10">
        <v>0</v>
      </c>
      <c r="K1927" s="10">
        <v>0</v>
      </c>
      <c r="L1927" s="10">
        <v>0</v>
      </c>
      <c r="M1927" s="10">
        <v>0</v>
      </c>
      <c r="N1927" s="10" t="s">
        <v>761</v>
      </c>
      <c r="O1927" s="10" t="s">
        <v>2066</v>
      </c>
      <c r="P1927" s="105" t="e">
        <f t="shared" si="30"/>
        <v>#DIV/0!</v>
      </c>
    </row>
    <row r="1928" spans="1:16">
      <c r="A1928" s="10" t="s">
        <v>635</v>
      </c>
      <c r="B1928" s="10">
        <v>8012393</v>
      </c>
      <c r="C1928" s="10" t="s">
        <v>759</v>
      </c>
      <c r="D1928" s="10" t="s">
        <v>760</v>
      </c>
      <c r="E1928" s="10">
        <v>0</v>
      </c>
      <c r="F1928" s="10">
        <v>0</v>
      </c>
      <c r="G1928" s="10">
        <v>0</v>
      </c>
      <c r="H1928" s="10">
        <v>0</v>
      </c>
      <c r="I1928" s="10" t="s">
        <v>102</v>
      </c>
      <c r="J1928" s="10">
        <v>0</v>
      </c>
      <c r="K1928" s="10">
        <v>0</v>
      </c>
      <c r="L1928" s="10">
        <v>0</v>
      </c>
      <c r="M1928" s="10">
        <v>0</v>
      </c>
      <c r="N1928" s="10" t="s">
        <v>761</v>
      </c>
      <c r="O1928" s="10" t="s">
        <v>2067</v>
      </c>
      <c r="P1928" s="105" t="e">
        <f t="shared" si="30"/>
        <v>#DIV/0!</v>
      </c>
    </row>
    <row r="1929" spans="1:16">
      <c r="A1929" s="10" t="s">
        <v>635</v>
      </c>
      <c r="B1929" s="10">
        <v>8012394</v>
      </c>
      <c r="C1929" s="10" t="s">
        <v>759</v>
      </c>
      <c r="D1929" s="10" t="s">
        <v>760</v>
      </c>
      <c r="E1929" s="10">
        <v>0</v>
      </c>
      <c r="F1929" s="10">
        <v>0</v>
      </c>
      <c r="G1929" s="10">
        <v>0</v>
      </c>
      <c r="H1929" s="10">
        <v>0</v>
      </c>
      <c r="I1929" s="10" t="s">
        <v>102</v>
      </c>
      <c r="J1929" s="10">
        <v>0</v>
      </c>
      <c r="K1929" s="10">
        <v>0</v>
      </c>
      <c r="L1929" s="10">
        <v>0</v>
      </c>
      <c r="M1929" s="10">
        <v>0</v>
      </c>
      <c r="N1929" s="10" t="s">
        <v>761</v>
      </c>
      <c r="O1929" s="10" t="s">
        <v>2068</v>
      </c>
      <c r="P1929" s="105" t="e">
        <f t="shared" si="30"/>
        <v>#DIV/0!</v>
      </c>
    </row>
    <row r="1930" spans="1:16">
      <c r="A1930" s="10" t="s">
        <v>635</v>
      </c>
      <c r="B1930" s="10">
        <v>8012395</v>
      </c>
      <c r="C1930" s="10" t="s">
        <v>759</v>
      </c>
      <c r="D1930" s="10" t="s">
        <v>760</v>
      </c>
      <c r="E1930" s="10">
        <v>0</v>
      </c>
      <c r="F1930" s="10">
        <v>0</v>
      </c>
      <c r="G1930" s="10">
        <v>0</v>
      </c>
      <c r="H1930" s="10">
        <v>0</v>
      </c>
      <c r="I1930" s="10" t="s">
        <v>102</v>
      </c>
      <c r="J1930" s="10">
        <v>0</v>
      </c>
      <c r="K1930" s="10">
        <v>0</v>
      </c>
      <c r="L1930" s="10">
        <v>0</v>
      </c>
      <c r="M1930" s="10">
        <v>0</v>
      </c>
      <c r="N1930" s="10" t="s">
        <v>761</v>
      </c>
      <c r="O1930" s="10" t="s">
        <v>2069</v>
      </c>
      <c r="P1930" s="105" t="e">
        <f t="shared" si="30"/>
        <v>#DIV/0!</v>
      </c>
    </row>
    <row r="1931" spans="1:16">
      <c r="A1931" s="10" t="s">
        <v>635</v>
      </c>
      <c r="B1931" s="10">
        <v>8012396</v>
      </c>
      <c r="C1931" s="10" t="s">
        <v>759</v>
      </c>
      <c r="D1931" s="10" t="s">
        <v>760</v>
      </c>
      <c r="E1931" s="10">
        <v>0</v>
      </c>
      <c r="F1931" s="10">
        <v>0</v>
      </c>
      <c r="G1931" s="10">
        <v>0</v>
      </c>
      <c r="H1931" s="10">
        <v>0</v>
      </c>
      <c r="I1931" s="10" t="s">
        <v>102</v>
      </c>
      <c r="J1931" s="10">
        <v>0</v>
      </c>
      <c r="K1931" s="10">
        <v>0</v>
      </c>
      <c r="L1931" s="10">
        <v>0</v>
      </c>
      <c r="M1931" s="10">
        <v>0</v>
      </c>
      <c r="N1931" s="10" t="s">
        <v>761</v>
      </c>
      <c r="O1931" s="10" t="s">
        <v>2070</v>
      </c>
      <c r="P1931" s="105" t="e">
        <f t="shared" si="30"/>
        <v>#DIV/0!</v>
      </c>
    </row>
    <row r="1932" spans="1:16">
      <c r="A1932" s="10" t="s">
        <v>635</v>
      </c>
      <c r="B1932" s="10">
        <v>8012397</v>
      </c>
      <c r="C1932" s="10" t="s">
        <v>759</v>
      </c>
      <c r="D1932" s="10" t="s">
        <v>760</v>
      </c>
      <c r="E1932" s="10">
        <v>0</v>
      </c>
      <c r="F1932" s="10">
        <v>0</v>
      </c>
      <c r="G1932" s="10">
        <v>0</v>
      </c>
      <c r="H1932" s="10">
        <v>0</v>
      </c>
      <c r="I1932" s="10" t="s">
        <v>102</v>
      </c>
      <c r="J1932" s="10">
        <v>0</v>
      </c>
      <c r="K1932" s="10">
        <v>0</v>
      </c>
      <c r="L1932" s="10">
        <v>0</v>
      </c>
      <c r="M1932" s="10">
        <v>0</v>
      </c>
      <c r="N1932" s="10" t="s">
        <v>761</v>
      </c>
      <c r="O1932" s="10" t="s">
        <v>2071</v>
      </c>
      <c r="P1932" s="105" t="e">
        <f t="shared" si="30"/>
        <v>#DIV/0!</v>
      </c>
    </row>
    <row r="1933" spans="1:16">
      <c r="A1933" s="10" t="s">
        <v>635</v>
      </c>
      <c r="B1933" s="10">
        <v>8012398</v>
      </c>
      <c r="C1933" s="10" t="s">
        <v>759</v>
      </c>
      <c r="D1933" s="10" t="s">
        <v>760</v>
      </c>
      <c r="E1933" s="10">
        <v>0</v>
      </c>
      <c r="F1933" s="10">
        <v>0</v>
      </c>
      <c r="G1933" s="10">
        <v>0</v>
      </c>
      <c r="H1933" s="10">
        <v>0</v>
      </c>
      <c r="I1933" s="10" t="s">
        <v>102</v>
      </c>
      <c r="J1933" s="10">
        <v>0</v>
      </c>
      <c r="K1933" s="10">
        <v>0</v>
      </c>
      <c r="L1933" s="10">
        <v>0</v>
      </c>
      <c r="M1933" s="10">
        <v>0</v>
      </c>
      <c r="N1933" s="10" t="s">
        <v>761</v>
      </c>
      <c r="O1933" s="10" t="s">
        <v>2072</v>
      </c>
      <c r="P1933" s="105" t="e">
        <f t="shared" si="30"/>
        <v>#DIV/0!</v>
      </c>
    </row>
    <row r="1934" spans="1:16">
      <c r="A1934" s="10" t="s">
        <v>635</v>
      </c>
      <c r="B1934" s="10">
        <v>8012399</v>
      </c>
      <c r="C1934" s="10" t="s">
        <v>759</v>
      </c>
      <c r="D1934" s="10" t="s">
        <v>760</v>
      </c>
      <c r="E1934" s="10">
        <v>5</v>
      </c>
      <c r="F1934" s="10">
        <v>0</v>
      </c>
      <c r="G1934" s="10">
        <v>0</v>
      </c>
      <c r="H1934" s="10">
        <v>5</v>
      </c>
      <c r="I1934" s="10" t="s">
        <v>102</v>
      </c>
      <c r="J1934" s="10">
        <v>57.41</v>
      </c>
      <c r="K1934" s="10">
        <v>0</v>
      </c>
      <c r="L1934" s="10">
        <v>0</v>
      </c>
      <c r="M1934" s="10">
        <v>57.41</v>
      </c>
      <c r="N1934" s="10" t="s">
        <v>761</v>
      </c>
      <c r="O1934" s="10" t="s">
        <v>201</v>
      </c>
      <c r="P1934" s="105">
        <f t="shared" si="30"/>
        <v>11.482</v>
      </c>
    </row>
    <row r="1935" spans="1:16">
      <c r="A1935" s="10" t="s">
        <v>635</v>
      </c>
      <c r="B1935" s="10">
        <v>8012400</v>
      </c>
      <c r="C1935" s="10" t="s">
        <v>759</v>
      </c>
      <c r="D1935" s="10" t="s">
        <v>760</v>
      </c>
      <c r="E1935" s="10">
        <v>5</v>
      </c>
      <c r="F1935" s="10">
        <v>0</v>
      </c>
      <c r="G1935" s="10">
        <v>0</v>
      </c>
      <c r="H1935" s="10">
        <v>5</v>
      </c>
      <c r="I1935" s="10" t="s">
        <v>102</v>
      </c>
      <c r="J1935" s="10">
        <v>57.41</v>
      </c>
      <c r="K1935" s="10">
        <v>0</v>
      </c>
      <c r="L1935" s="10">
        <v>0</v>
      </c>
      <c r="M1935" s="10">
        <v>57.41</v>
      </c>
      <c r="N1935" s="10" t="s">
        <v>761</v>
      </c>
      <c r="O1935" s="10" t="s">
        <v>202</v>
      </c>
      <c r="P1935" s="105">
        <f t="shared" si="30"/>
        <v>11.482</v>
      </c>
    </row>
    <row r="1936" spans="1:16">
      <c r="A1936" s="10" t="s">
        <v>635</v>
      </c>
      <c r="B1936" s="10">
        <v>8012401</v>
      </c>
      <c r="C1936" s="10" t="s">
        <v>759</v>
      </c>
      <c r="D1936" s="10" t="s">
        <v>760</v>
      </c>
      <c r="E1936" s="10">
        <v>5</v>
      </c>
      <c r="F1936" s="10">
        <v>0</v>
      </c>
      <c r="G1936" s="10">
        <v>0</v>
      </c>
      <c r="H1936" s="10">
        <v>5</v>
      </c>
      <c r="I1936" s="10" t="s">
        <v>102</v>
      </c>
      <c r="J1936" s="10">
        <v>57.41</v>
      </c>
      <c r="K1936" s="10">
        <v>0</v>
      </c>
      <c r="L1936" s="10">
        <v>0</v>
      </c>
      <c r="M1936" s="10">
        <v>57.41</v>
      </c>
      <c r="N1936" s="10" t="s">
        <v>761</v>
      </c>
      <c r="O1936" s="10" t="s">
        <v>198</v>
      </c>
      <c r="P1936" s="105">
        <f t="shared" si="30"/>
        <v>11.482</v>
      </c>
    </row>
    <row r="1937" spans="1:16">
      <c r="A1937" s="10" t="s">
        <v>635</v>
      </c>
      <c r="B1937" s="10">
        <v>8012402</v>
      </c>
      <c r="C1937" s="10" t="s">
        <v>759</v>
      </c>
      <c r="D1937" s="10" t="s">
        <v>760</v>
      </c>
      <c r="E1937" s="10">
        <v>5</v>
      </c>
      <c r="F1937" s="10">
        <v>0</v>
      </c>
      <c r="G1937" s="10">
        <v>0</v>
      </c>
      <c r="H1937" s="10">
        <v>5</v>
      </c>
      <c r="I1937" s="10" t="s">
        <v>102</v>
      </c>
      <c r="J1937" s="10">
        <v>57.41</v>
      </c>
      <c r="K1937" s="10">
        <v>0</v>
      </c>
      <c r="L1937" s="10">
        <v>0</v>
      </c>
      <c r="M1937" s="10">
        <v>57.41</v>
      </c>
      <c r="N1937" s="10" t="s">
        <v>761</v>
      </c>
      <c r="O1937" s="10" t="s">
        <v>199</v>
      </c>
      <c r="P1937" s="105">
        <f t="shared" si="30"/>
        <v>11.482</v>
      </c>
    </row>
    <row r="1938" spans="1:16">
      <c r="A1938" s="10" t="s">
        <v>635</v>
      </c>
      <c r="B1938" s="10">
        <v>8012403</v>
      </c>
      <c r="C1938" s="10" t="s">
        <v>759</v>
      </c>
      <c r="D1938" s="10" t="s">
        <v>760</v>
      </c>
      <c r="E1938" s="10">
        <v>5</v>
      </c>
      <c r="F1938" s="10">
        <v>0</v>
      </c>
      <c r="G1938" s="10">
        <v>0</v>
      </c>
      <c r="H1938" s="10">
        <v>5</v>
      </c>
      <c r="I1938" s="10" t="s">
        <v>102</v>
      </c>
      <c r="J1938" s="10">
        <v>57.41</v>
      </c>
      <c r="K1938" s="10">
        <v>0</v>
      </c>
      <c r="L1938" s="10">
        <v>0</v>
      </c>
      <c r="M1938" s="10">
        <v>57.41</v>
      </c>
      <c r="N1938" s="10" t="s">
        <v>761</v>
      </c>
      <c r="O1938" s="10" t="s">
        <v>200</v>
      </c>
      <c r="P1938" s="105">
        <f t="shared" si="30"/>
        <v>11.482</v>
      </c>
    </row>
    <row r="1939" spans="1:16">
      <c r="A1939" s="10" t="s">
        <v>635</v>
      </c>
      <c r="B1939" s="10">
        <v>8012404</v>
      </c>
      <c r="C1939" s="10" t="s">
        <v>759</v>
      </c>
      <c r="D1939" s="10" t="s">
        <v>760</v>
      </c>
      <c r="E1939" s="10">
        <v>5</v>
      </c>
      <c r="F1939" s="10">
        <v>0</v>
      </c>
      <c r="G1939" s="10">
        <v>0</v>
      </c>
      <c r="H1939" s="10">
        <v>5</v>
      </c>
      <c r="I1939" s="10" t="s">
        <v>102</v>
      </c>
      <c r="J1939" s="10">
        <v>57.41</v>
      </c>
      <c r="K1939" s="10">
        <v>0</v>
      </c>
      <c r="L1939" s="10">
        <v>0</v>
      </c>
      <c r="M1939" s="10">
        <v>57.41</v>
      </c>
      <c r="N1939" s="10" t="s">
        <v>761</v>
      </c>
      <c r="O1939" s="10" t="s">
        <v>196</v>
      </c>
      <c r="P1939" s="105">
        <f t="shared" si="30"/>
        <v>11.482</v>
      </c>
    </row>
    <row r="1940" spans="1:16">
      <c r="A1940" s="10" t="s">
        <v>635</v>
      </c>
      <c r="B1940" s="10">
        <v>8012405</v>
      </c>
      <c r="C1940" s="10" t="s">
        <v>759</v>
      </c>
      <c r="D1940" s="10" t="s">
        <v>760</v>
      </c>
      <c r="E1940" s="10">
        <v>5</v>
      </c>
      <c r="F1940" s="10">
        <v>0</v>
      </c>
      <c r="G1940" s="10">
        <v>0</v>
      </c>
      <c r="H1940" s="10">
        <v>5</v>
      </c>
      <c r="I1940" s="10" t="s">
        <v>102</v>
      </c>
      <c r="J1940" s="10">
        <v>57.41</v>
      </c>
      <c r="K1940" s="10">
        <v>0</v>
      </c>
      <c r="L1940" s="10">
        <v>0</v>
      </c>
      <c r="M1940" s="10">
        <v>57.41</v>
      </c>
      <c r="N1940" s="10" t="s">
        <v>761</v>
      </c>
      <c r="O1940" s="10" t="s">
        <v>195</v>
      </c>
      <c r="P1940" s="105">
        <f t="shared" si="30"/>
        <v>11.482</v>
      </c>
    </row>
    <row r="1941" spans="1:16">
      <c r="A1941" s="10" t="s">
        <v>635</v>
      </c>
      <c r="B1941" s="10">
        <v>8012406</v>
      </c>
      <c r="C1941" s="10" t="s">
        <v>759</v>
      </c>
      <c r="D1941" s="10" t="s">
        <v>760</v>
      </c>
      <c r="E1941" s="10">
        <v>5</v>
      </c>
      <c r="F1941" s="10">
        <v>0</v>
      </c>
      <c r="G1941" s="10">
        <v>0</v>
      </c>
      <c r="H1941" s="10">
        <v>5</v>
      </c>
      <c r="I1941" s="10" t="s">
        <v>102</v>
      </c>
      <c r="J1941" s="10">
        <v>57.41</v>
      </c>
      <c r="K1941" s="10">
        <v>0</v>
      </c>
      <c r="L1941" s="10">
        <v>0</v>
      </c>
      <c r="M1941" s="10">
        <v>57.41</v>
      </c>
      <c r="N1941" s="10" t="s">
        <v>761</v>
      </c>
      <c r="O1941" s="10" t="s">
        <v>197</v>
      </c>
      <c r="P1941" s="105">
        <f t="shared" si="30"/>
        <v>11.482</v>
      </c>
    </row>
    <row r="1942" spans="1:16">
      <c r="A1942" s="10" t="s">
        <v>635</v>
      </c>
      <c r="B1942" s="10">
        <v>8012407</v>
      </c>
      <c r="C1942" s="10" t="s">
        <v>759</v>
      </c>
      <c r="D1942" s="10" t="s">
        <v>760</v>
      </c>
      <c r="E1942" s="10">
        <v>5</v>
      </c>
      <c r="F1942" s="10">
        <v>0</v>
      </c>
      <c r="G1942" s="10">
        <v>0</v>
      </c>
      <c r="H1942" s="10">
        <v>5</v>
      </c>
      <c r="I1942" s="10" t="s">
        <v>102</v>
      </c>
      <c r="J1942" s="10">
        <v>57.41</v>
      </c>
      <c r="K1942" s="10">
        <v>0</v>
      </c>
      <c r="L1942" s="10">
        <v>0</v>
      </c>
      <c r="M1942" s="10">
        <v>57.41</v>
      </c>
      <c r="N1942" s="10" t="s">
        <v>761</v>
      </c>
      <c r="O1942" s="10" t="s">
        <v>193</v>
      </c>
      <c r="P1942" s="105">
        <f t="shared" si="30"/>
        <v>11.482</v>
      </c>
    </row>
    <row r="1943" spans="1:16">
      <c r="A1943" s="10" t="s">
        <v>635</v>
      </c>
      <c r="B1943" s="10">
        <v>8012408</v>
      </c>
      <c r="C1943" s="10" t="s">
        <v>759</v>
      </c>
      <c r="D1943" s="10" t="s">
        <v>760</v>
      </c>
      <c r="E1943" s="10">
        <v>5</v>
      </c>
      <c r="F1943" s="10">
        <v>0</v>
      </c>
      <c r="G1943" s="10">
        <v>0</v>
      </c>
      <c r="H1943" s="10">
        <v>5</v>
      </c>
      <c r="I1943" s="10" t="s">
        <v>102</v>
      </c>
      <c r="J1943" s="10">
        <v>57.41</v>
      </c>
      <c r="K1943" s="10">
        <v>0</v>
      </c>
      <c r="L1943" s="10">
        <v>0</v>
      </c>
      <c r="M1943" s="10">
        <v>57.41</v>
      </c>
      <c r="N1943" s="10" t="s">
        <v>761</v>
      </c>
      <c r="O1943" s="10" t="s">
        <v>194</v>
      </c>
      <c r="P1943" s="105">
        <f t="shared" si="30"/>
        <v>11.482</v>
      </c>
    </row>
    <row r="1944" spans="1:16">
      <c r="A1944" s="10" t="s">
        <v>635</v>
      </c>
      <c r="B1944" s="10">
        <v>8012409</v>
      </c>
      <c r="C1944" s="10" t="s">
        <v>759</v>
      </c>
      <c r="D1944" s="10" t="s">
        <v>760</v>
      </c>
      <c r="E1944" s="10">
        <v>0</v>
      </c>
      <c r="F1944" s="10">
        <v>0</v>
      </c>
      <c r="G1944" s="10">
        <v>0</v>
      </c>
      <c r="H1944" s="10">
        <v>0</v>
      </c>
      <c r="I1944" s="10" t="s">
        <v>102</v>
      </c>
      <c r="J1944" s="10">
        <v>0</v>
      </c>
      <c r="K1944" s="10">
        <v>0</v>
      </c>
      <c r="L1944" s="10">
        <v>0</v>
      </c>
      <c r="M1944" s="10">
        <v>0</v>
      </c>
      <c r="N1944" s="10" t="s">
        <v>761</v>
      </c>
      <c r="O1944" s="10" t="s">
        <v>2073</v>
      </c>
      <c r="P1944" s="105" t="e">
        <f t="shared" si="30"/>
        <v>#DIV/0!</v>
      </c>
    </row>
    <row r="1945" spans="1:16">
      <c r="A1945" s="10" t="s">
        <v>635</v>
      </c>
      <c r="B1945" s="10">
        <v>8012413</v>
      </c>
      <c r="C1945" s="10" t="s">
        <v>759</v>
      </c>
      <c r="D1945" s="10" t="s">
        <v>760</v>
      </c>
      <c r="E1945" s="10">
        <v>0</v>
      </c>
      <c r="F1945" s="10">
        <v>0</v>
      </c>
      <c r="G1945" s="10">
        <v>0</v>
      </c>
      <c r="H1945" s="10">
        <v>0</v>
      </c>
      <c r="I1945" s="10" t="s">
        <v>21</v>
      </c>
      <c r="J1945" s="10">
        <v>0</v>
      </c>
      <c r="K1945" s="10">
        <v>0</v>
      </c>
      <c r="L1945" s="10">
        <v>0</v>
      </c>
      <c r="M1945" s="10">
        <v>0</v>
      </c>
      <c r="N1945" s="10" t="s">
        <v>761</v>
      </c>
      <c r="O1945" s="10" t="s">
        <v>2074</v>
      </c>
      <c r="P1945" s="105" t="e">
        <f t="shared" si="30"/>
        <v>#DIV/0!</v>
      </c>
    </row>
    <row r="1946" spans="1:16">
      <c r="A1946" s="10" t="s">
        <v>635</v>
      </c>
      <c r="B1946" s="10">
        <v>8012428</v>
      </c>
      <c r="C1946" s="10" t="s">
        <v>759</v>
      </c>
      <c r="D1946" s="10" t="s">
        <v>760</v>
      </c>
      <c r="E1946" s="10">
        <v>0</v>
      </c>
      <c r="F1946" s="10">
        <v>0</v>
      </c>
      <c r="G1946" s="10">
        <v>0</v>
      </c>
      <c r="H1946" s="10">
        <v>0</v>
      </c>
      <c r="I1946" s="10" t="s">
        <v>21</v>
      </c>
      <c r="J1946" s="10">
        <v>0</v>
      </c>
      <c r="K1946" s="10">
        <v>0</v>
      </c>
      <c r="L1946" s="10">
        <v>0</v>
      </c>
      <c r="M1946" s="10">
        <v>0</v>
      </c>
      <c r="N1946" s="10" t="s">
        <v>761</v>
      </c>
      <c r="O1946" s="10" t="s">
        <v>2075</v>
      </c>
      <c r="P1946" s="105" t="e">
        <f t="shared" si="30"/>
        <v>#DIV/0!</v>
      </c>
    </row>
    <row r="1947" spans="1:16">
      <c r="A1947" s="10" t="s">
        <v>635</v>
      </c>
      <c r="B1947" s="10">
        <v>8012464</v>
      </c>
      <c r="C1947" s="10" t="s">
        <v>759</v>
      </c>
      <c r="D1947" s="10" t="s">
        <v>760</v>
      </c>
      <c r="E1947" s="10">
        <v>1</v>
      </c>
      <c r="F1947" s="10">
        <v>0</v>
      </c>
      <c r="G1947" s="10">
        <v>0</v>
      </c>
      <c r="H1947" s="10">
        <v>1</v>
      </c>
      <c r="I1947" s="10" t="s">
        <v>21</v>
      </c>
      <c r="J1947" s="103">
        <v>1935.64</v>
      </c>
      <c r="K1947" s="10">
        <v>0</v>
      </c>
      <c r="L1947" s="10">
        <v>0</v>
      </c>
      <c r="M1947" s="103">
        <v>1935.64</v>
      </c>
      <c r="N1947" s="10" t="s">
        <v>761</v>
      </c>
      <c r="O1947" s="10" t="s">
        <v>398</v>
      </c>
      <c r="P1947" s="105">
        <f t="shared" si="30"/>
        <v>1935.64</v>
      </c>
    </row>
    <row r="1948" spans="1:16">
      <c r="A1948" s="10" t="s">
        <v>635</v>
      </c>
      <c r="B1948" s="10">
        <v>8012514</v>
      </c>
      <c r="C1948" s="10" t="s">
        <v>759</v>
      </c>
      <c r="D1948" s="10" t="s">
        <v>760</v>
      </c>
      <c r="E1948" s="10">
        <v>0</v>
      </c>
      <c r="F1948" s="10">
        <v>0</v>
      </c>
      <c r="G1948" s="10">
        <v>0</v>
      </c>
      <c r="H1948" s="10">
        <v>0</v>
      </c>
      <c r="I1948" s="10" t="s">
        <v>21</v>
      </c>
      <c r="J1948" s="10">
        <v>0</v>
      </c>
      <c r="K1948" s="10">
        <v>0</v>
      </c>
      <c r="L1948" s="10">
        <v>0</v>
      </c>
      <c r="M1948" s="10">
        <v>0</v>
      </c>
      <c r="N1948" s="10" t="s">
        <v>761</v>
      </c>
      <c r="O1948" s="10" t="s">
        <v>2076</v>
      </c>
      <c r="P1948" s="105" t="e">
        <f t="shared" si="30"/>
        <v>#DIV/0!</v>
      </c>
    </row>
    <row r="1949" spans="1:16">
      <c r="A1949" s="10" t="s">
        <v>635</v>
      </c>
      <c r="B1949" s="10">
        <v>8013117</v>
      </c>
      <c r="C1949" s="10" t="s">
        <v>759</v>
      </c>
      <c r="D1949" s="10" t="s">
        <v>760</v>
      </c>
      <c r="E1949" s="10">
        <v>0</v>
      </c>
      <c r="F1949" s="10">
        <v>0</v>
      </c>
      <c r="G1949" s="10">
        <v>0</v>
      </c>
      <c r="H1949" s="10">
        <v>0</v>
      </c>
      <c r="I1949" s="10" t="s">
        <v>21</v>
      </c>
      <c r="J1949" s="10">
        <v>0</v>
      </c>
      <c r="K1949" s="10">
        <v>0</v>
      </c>
      <c r="L1949" s="10">
        <v>0</v>
      </c>
      <c r="M1949" s="10">
        <v>0</v>
      </c>
      <c r="N1949" s="10" t="s">
        <v>761</v>
      </c>
      <c r="O1949" s="10" t="s">
        <v>2077</v>
      </c>
      <c r="P1949" s="105" t="e">
        <f t="shared" si="30"/>
        <v>#DIV/0!</v>
      </c>
    </row>
    <row r="1950" spans="1:16">
      <c r="A1950" s="10" t="s">
        <v>635</v>
      </c>
      <c r="B1950" s="10">
        <v>8013118</v>
      </c>
      <c r="C1950" s="10" t="s">
        <v>759</v>
      </c>
      <c r="D1950" s="10" t="s">
        <v>760</v>
      </c>
      <c r="E1950" s="10">
        <v>0</v>
      </c>
      <c r="F1950" s="10">
        <v>0</v>
      </c>
      <c r="G1950" s="10">
        <v>0</v>
      </c>
      <c r="H1950" s="10">
        <v>0</v>
      </c>
      <c r="I1950" s="10" t="s">
        <v>21</v>
      </c>
      <c r="J1950" s="10">
        <v>0</v>
      </c>
      <c r="K1950" s="10">
        <v>0</v>
      </c>
      <c r="L1950" s="10">
        <v>0</v>
      </c>
      <c r="M1950" s="10">
        <v>0</v>
      </c>
      <c r="N1950" s="10" t="s">
        <v>761</v>
      </c>
      <c r="O1950" s="10" t="s">
        <v>2078</v>
      </c>
      <c r="P1950" s="105" t="e">
        <f t="shared" si="30"/>
        <v>#DIV/0!</v>
      </c>
    </row>
    <row r="1951" spans="1:16">
      <c r="A1951" s="10" t="s">
        <v>635</v>
      </c>
      <c r="B1951" s="10">
        <v>8013119</v>
      </c>
      <c r="C1951" s="10" t="s">
        <v>759</v>
      </c>
      <c r="D1951" s="10" t="s">
        <v>760</v>
      </c>
      <c r="E1951" s="10">
        <v>0</v>
      </c>
      <c r="F1951" s="10">
        <v>0</v>
      </c>
      <c r="G1951" s="10">
        <v>0</v>
      </c>
      <c r="H1951" s="10">
        <v>0</v>
      </c>
      <c r="I1951" s="10" t="s">
        <v>21</v>
      </c>
      <c r="J1951" s="10">
        <v>0</v>
      </c>
      <c r="K1951" s="10">
        <v>0</v>
      </c>
      <c r="L1951" s="10">
        <v>0</v>
      </c>
      <c r="M1951" s="10">
        <v>0</v>
      </c>
      <c r="N1951" s="10" t="s">
        <v>761</v>
      </c>
      <c r="O1951" s="10" t="s">
        <v>2079</v>
      </c>
      <c r="P1951" s="105" t="e">
        <f t="shared" si="30"/>
        <v>#DIV/0!</v>
      </c>
    </row>
    <row r="1952" spans="1:16">
      <c r="A1952" s="10" t="s">
        <v>635</v>
      </c>
      <c r="B1952" s="10">
        <v>8013120</v>
      </c>
      <c r="C1952" s="10" t="s">
        <v>759</v>
      </c>
      <c r="D1952" s="10" t="s">
        <v>760</v>
      </c>
      <c r="E1952" s="10">
        <v>0</v>
      </c>
      <c r="F1952" s="10">
        <v>0</v>
      </c>
      <c r="G1952" s="10">
        <v>0</v>
      </c>
      <c r="H1952" s="10">
        <v>0</v>
      </c>
      <c r="I1952" s="10" t="s">
        <v>21</v>
      </c>
      <c r="J1952" s="10">
        <v>0</v>
      </c>
      <c r="K1952" s="10">
        <v>0</v>
      </c>
      <c r="L1952" s="10">
        <v>0</v>
      </c>
      <c r="M1952" s="10">
        <v>0</v>
      </c>
      <c r="N1952" s="10" t="s">
        <v>761</v>
      </c>
      <c r="O1952" s="10" t="s">
        <v>2080</v>
      </c>
      <c r="P1952" s="105" t="e">
        <f t="shared" si="30"/>
        <v>#DIV/0!</v>
      </c>
    </row>
    <row r="1953" spans="1:16">
      <c r="A1953" s="10" t="s">
        <v>635</v>
      </c>
      <c r="B1953" s="10">
        <v>8013121</v>
      </c>
      <c r="C1953" s="10" t="s">
        <v>759</v>
      </c>
      <c r="D1953" s="10" t="s">
        <v>760</v>
      </c>
      <c r="E1953" s="10">
        <v>0</v>
      </c>
      <c r="F1953" s="10">
        <v>0</v>
      </c>
      <c r="G1953" s="10">
        <v>0</v>
      </c>
      <c r="H1953" s="10">
        <v>0</v>
      </c>
      <c r="I1953" s="10" t="s">
        <v>21</v>
      </c>
      <c r="J1953" s="10">
        <v>0</v>
      </c>
      <c r="K1953" s="10">
        <v>0</v>
      </c>
      <c r="L1953" s="10">
        <v>0</v>
      </c>
      <c r="M1953" s="10">
        <v>0</v>
      </c>
      <c r="N1953" s="10" t="s">
        <v>761</v>
      </c>
      <c r="O1953" s="10" t="s">
        <v>2081</v>
      </c>
      <c r="P1953" s="105" t="e">
        <f t="shared" si="30"/>
        <v>#DIV/0!</v>
      </c>
    </row>
    <row r="1954" spans="1:16">
      <c r="A1954" s="10" t="s">
        <v>635</v>
      </c>
      <c r="B1954" s="10">
        <v>8013252</v>
      </c>
      <c r="C1954" s="10" t="s">
        <v>759</v>
      </c>
      <c r="D1954" s="10" t="s">
        <v>760</v>
      </c>
      <c r="E1954" s="10">
        <v>0</v>
      </c>
      <c r="F1954" s="10">
        <v>0</v>
      </c>
      <c r="G1954" s="10">
        <v>0</v>
      </c>
      <c r="H1954" s="10">
        <v>0</v>
      </c>
      <c r="I1954" s="10" t="s">
        <v>97</v>
      </c>
      <c r="J1954" s="10">
        <v>0</v>
      </c>
      <c r="K1954" s="10">
        <v>0</v>
      </c>
      <c r="L1954" s="10">
        <v>0</v>
      </c>
      <c r="M1954" s="10">
        <v>0</v>
      </c>
      <c r="N1954" s="10" t="s">
        <v>761</v>
      </c>
      <c r="O1954" s="10" t="s">
        <v>2082</v>
      </c>
      <c r="P1954" s="105" t="e">
        <f t="shared" si="30"/>
        <v>#DIV/0!</v>
      </c>
    </row>
    <row r="1955" spans="1:16">
      <c r="A1955" s="10" t="s">
        <v>635</v>
      </c>
      <c r="B1955" s="10">
        <v>8013253</v>
      </c>
      <c r="C1955" s="10" t="s">
        <v>759</v>
      </c>
      <c r="D1955" s="10" t="s">
        <v>760</v>
      </c>
      <c r="E1955" s="10">
        <v>0</v>
      </c>
      <c r="F1955" s="10">
        <v>0</v>
      </c>
      <c r="G1955" s="10">
        <v>0</v>
      </c>
      <c r="H1955" s="10">
        <v>0</v>
      </c>
      <c r="I1955" s="10" t="s">
        <v>97</v>
      </c>
      <c r="J1955" s="10">
        <v>0</v>
      </c>
      <c r="K1955" s="10">
        <v>0</v>
      </c>
      <c r="L1955" s="10">
        <v>0</v>
      </c>
      <c r="M1955" s="10">
        <v>0</v>
      </c>
      <c r="N1955" s="10" t="s">
        <v>761</v>
      </c>
      <c r="O1955" s="10" t="s">
        <v>2083</v>
      </c>
      <c r="P1955" s="105" t="e">
        <f t="shared" si="30"/>
        <v>#DIV/0!</v>
      </c>
    </row>
    <row r="1956" spans="1:16">
      <c r="A1956" s="10" t="s">
        <v>635</v>
      </c>
      <c r="B1956" s="10">
        <v>8013255</v>
      </c>
      <c r="C1956" s="10" t="s">
        <v>759</v>
      </c>
      <c r="D1956" s="10" t="s">
        <v>760</v>
      </c>
      <c r="E1956" s="10">
        <v>0</v>
      </c>
      <c r="F1956" s="10">
        <v>0</v>
      </c>
      <c r="G1956" s="10">
        <v>0</v>
      </c>
      <c r="H1956" s="10">
        <v>0</v>
      </c>
      <c r="I1956" s="10" t="s">
        <v>97</v>
      </c>
      <c r="J1956" s="10">
        <v>0</v>
      </c>
      <c r="K1956" s="10">
        <v>0</v>
      </c>
      <c r="L1956" s="10">
        <v>0</v>
      </c>
      <c r="M1956" s="10">
        <v>0</v>
      </c>
      <c r="N1956" s="10" t="s">
        <v>761</v>
      </c>
      <c r="O1956" s="10" t="s">
        <v>2084</v>
      </c>
      <c r="P1956" s="105" t="e">
        <f t="shared" si="30"/>
        <v>#DIV/0!</v>
      </c>
    </row>
    <row r="1957" spans="1:16">
      <c r="A1957" s="10" t="s">
        <v>635</v>
      </c>
      <c r="B1957" s="10">
        <v>8013256</v>
      </c>
      <c r="C1957" s="10" t="s">
        <v>759</v>
      </c>
      <c r="D1957" s="10" t="s">
        <v>760</v>
      </c>
      <c r="E1957" s="10">
        <v>0</v>
      </c>
      <c r="F1957" s="10">
        <v>0</v>
      </c>
      <c r="G1957" s="10">
        <v>0</v>
      </c>
      <c r="H1957" s="10">
        <v>0</v>
      </c>
      <c r="I1957" s="10" t="s">
        <v>97</v>
      </c>
      <c r="J1957" s="10">
        <v>0</v>
      </c>
      <c r="K1957" s="10">
        <v>0</v>
      </c>
      <c r="L1957" s="10">
        <v>0</v>
      </c>
      <c r="M1957" s="10">
        <v>0</v>
      </c>
      <c r="N1957" s="10" t="s">
        <v>761</v>
      </c>
      <c r="O1957" s="10" t="s">
        <v>2085</v>
      </c>
      <c r="P1957" s="105" t="e">
        <f t="shared" si="30"/>
        <v>#DIV/0!</v>
      </c>
    </row>
    <row r="1958" spans="1:16">
      <c r="A1958" s="10" t="s">
        <v>635</v>
      </c>
      <c r="B1958" s="10">
        <v>8013257</v>
      </c>
      <c r="C1958" s="10" t="s">
        <v>759</v>
      </c>
      <c r="D1958" s="10" t="s">
        <v>760</v>
      </c>
      <c r="E1958" s="10">
        <v>0</v>
      </c>
      <c r="F1958" s="10">
        <v>0</v>
      </c>
      <c r="G1958" s="10">
        <v>0</v>
      </c>
      <c r="H1958" s="10">
        <v>0</v>
      </c>
      <c r="I1958" s="10" t="s">
        <v>97</v>
      </c>
      <c r="J1958" s="10">
        <v>0</v>
      </c>
      <c r="K1958" s="10">
        <v>0</v>
      </c>
      <c r="L1958" s="10">
        <v>0</v>
      </c>
      <c r="M1958" s="10">
        <v>0</v>
      </c>
      <c r="N1958" s="10" t="s">
        <v>761</v>
      </c>
      <c r="O1958" s="10" t="s">
        <v>2086</v>
      </c>
      <c r="P1958" s="105" t="e">
        <f t="shared" si="30"/>
        <v>#DIV/0!</v>
      </c>
    </row>
    <row r="1959" spans="1:16">
      <c r="A1959" s="10" t="s">
        <v>635</v>
      </c>
      <c r="B1959" s="10">
        <v>8013260</v>
      </c>
      <c r="C1959" s="10" t="s">
        <v>759</v>
      </c>
      <c r="D1959" s="10" t="s">
        <v>760</v>
      </c>
      <c r="E1959" s="10">
        <v>0</v>
      </c>
      <c r="F1959" s="10">
        <v>0</v>
      </c>
      <c r="G1959" s="10">
        <v>0</v>
      </c>
      <c r="H1959" s="10">
        <v>0</v>
      </c>
      <c r="I1959" s="10" t="s">
        <v>97</v>
      </c>
      <c r="J1959" s="10">
        <v>0</v>
      </c>
      <c r="K1959" s="10">
        <v>0</v>
      </c>
      <c r="L1959" s="10">
        <v>0</v>
      </c>
      <c r="M1959" s="10">
        <v>0</v>
      </c>
      <c r="N1959" s="10" t="s">
        <v>761</v>
      </c>
      <c r="O1959" s="10" t="s">
        <v>2087</v>
      </c>
      <c r="P1959" s="105" t="e">
        <f t="shared" si="30"/>
        <v>#DIV/0!</v>
      </c>
    </row>
    <row r="1960" spans="1:16">
      <c r="A1960" s="10" t="s">
        <v>635</v>
      </c>
      <c r="B1960" s="10">
        <v>8013263</v>
      </c>
      <c r="C1960" s="10" t="s">
        <v>759</v>
      </c>
      <c r="D1960" s="10" t="s">
        <v>760</v>
      </c>
      <c r="E1960" s="10">
        <v>0</v>
      </c>
      <c r="F1960" s="10">
        <v>0</v>
      </c>
      <c r="G1960" s="10">
        <v>0</v>
      </c>
      <c r="H1960" s="10">
        <v>0</v>
      </c>
      <c r="I1960" s="10" t="s">
        <v>97</v>
      </c>
      <c r="J1960" s="10">
        <v>0</v>
      </c>
      <c r="K1960" s="10">
        <v>0</v>
      </c>
      <c r="L1960" s="10">
        <v>0</v>
      </c>
      <c r="M1960" s="10">
        <v>0</v>
      </c>
      <c r="N1960" s="10" t="s">
        <v>761</v>
      </c>
      <c r="O1960" s="10" t="s">
        <v>2088</v>
      </c>
      <c r="P1960" s="105" t="e">
        <f t="shared" si="30"/>
        <v>#DIV/0!</v>
      </c>
    </row>
    <row r="1961" spans="1:16">
      <c r="A1961" s="10" t="s">
        <v>635</v>
      </c>
      <c r="B1961" s="10">
        <v>8013264</v>
      </c>
      <c r="C1961" s="10" t="s">
        <v>759</v>
      </c>
      <c r="D1961" s="10" t="s">
        <v>760</v>
      </c>
      <c r="E1961" s="10">
        <v>0</v>
      </c>
      <c r="F1961" s="10">
        <v>0</v>
      </c>
      <c r="G1961" s="10">
        <v>0</v>
      </c>
      <c r="H1961" s="10">
        <v>0</v>
      </c>
      <c r="I1961" s="10" t="s">
        <v>97</v>
      </c>
      <c r="J1961" s="10">
        <v>0</v>
      </c>
      <c r="K1961" s="10">
        <v>0</v>
      </c>
      <c r="L1961" s="10">
        <v>0</v>
      </c>
      <c r="M1961" s="10">
        <v>0</v>
      </c>
      <c r="N1961" s="10" t="s">
        <v>761</v>
      </c>
      <c r="O1961" s="10" t="s">
        <v>2089</v>
      </c>
      <c r="P1961" s="105" t="e">
        <f t="shared" si="30"/>
        <v>#DIV/0!</v>
      </c>
    </row>
    <row r="1962" spans="1:16">
      <c r="A1962" s="10" t="s">
        <v>635</v>
      </c>
      <c r="B1962" s="10">
        <v>8013265</v>
      </c>
      <c r="C1962" s="10" t="s">
        <v>759</v>
      </c>
      <c r="D1962" s="10" t="s">
        <v>760</v>
      </c>
      <c r="E1962" s="10">
        <v>0</v>
      </c>
      <c r="F1962" s="10">
        <v>0</v>
      </c>
      <c r="G1962" s="10">
        <v>0</v>
      </c>
      <c r="H1962" s="10">
        <v>0</v>
      </c>
      <c r="I1962" s="10" t="s">
        <v>97</v>
      </c>
      <c r="J1962" s="10">
        <v>0</v>
      </c>
      <c r="K1962" s="10">
        <v>0</v>
      </c>
      <c r="L1962" s="10">
        <v>0</v>
      </c>
      <c r="M1962" s="10">
        <v>0</v>
      </c>
      <c r="N1962" s="10" t="s">
        <v>761</v>
      </c>
      <c r="O1962" s="10" t="s">
        <v>2090</v>
      </c>
      <c r="P1962" s="105" t="e">
        <f t="shared" si="30"/>
        <v>#DIV/0!</v>
      </c>
    </row>
    <row r="1963" spans="1:16">
      <c r="A1963" s="10" t="s">
        <v>635</v>
      </c>
      <c r="B1963" s="10">
        <v>8013267</v>
      </c>
      <c r="C1963" s="10" t="s">
        <v>759</v>
      </c>
      <c r="D1963" s="10" t="s">
        <v>760</v>
      </c>
      <c r="E1963" s="10">
        <v>0</v>
      </c>
      <c r="F1963" s="10">
        <v>0</v>
      </c>
      <c r="G1963" s="10">
        <v>0</v>
      </c>
      <c r="H1963" s="10">
        <v>0</v>
      </c>
      <c r="I1963" s="10" t="s">
        <v>97</v>
      </c>
      <c r="J1963" s="10">
        <v>0</v>
      </c>
      <c r="K1963" s="10">
        <v>0</v>
      </c>
      <c r="L1963" s="10">
        <v>0</v>
      </c>
      <c r="M1963" s="10">
        <v>0</v>
      </c>
      <c r="N1963" s="10" t="s">
        <v>761</v>
      </c>
      <c r="O1963" s="10" t="s">
        <v>2091</v>
      </c>
      <c r="P1963" s="105" t="e">
        <f t="shared" si="30"/>
        <v>#DIV/0!</v>
      </c>
    </row>
    <row r="1964" spans="1:16">
      <c r="A1964" s="10" t="s">
        <v>635</v>
      </c>
      <c r="B1964" s="10">
        <v>8013269</v>
      </c>
      <c r="C1964" s="10" t="s">
        <v>759</v>
      </c>
      <c r="D1964" s="10" t="s">
        <v>760</v>
      </c>
      <c r="E1964" s="10">
        <v>0</v>
      </c>
      <c r="F1964" s="10">
        <v>0</v>
      </c>
      <c r="G1964" s="10">
        <v>0</v>
      </c>
      <c r="H1964" s="10">
        <v>0</v>
      </c>
      <c r="I1964" s="10" t="s">
        <v>97</v>
      </c>
      <c r="J1964" s="10">
        <v>0</v>
      </c>
      <c r="K1964" s="10">
        <v>0</v>
      </c>
      <c r="L1964" s="10">
        <v>0</v>
      </c>
      <c r="M1964" s="10">
        <v>0</v>
      </c>
      <c r="N1964" s="10" t="s">
        <v>761</v>
      </c>
      <c r="O1964" s="10" t="s">
        <v>2092</v>
      </c>
      <c r="P1964" s="105" t="e">
        <f t="shared" si="30"/>
        <v>#DIV/0!</v>
      </c>
    </row>
    <row r="1965" spans="1:16">
      <c r="A1965" s="10" t="s">
        <v>635</v>
      </c>
      <c r="B1965" s="10">
        <v>8013273</v>
      </c>
      <c r="C1965" s="10" t="s">
        <v>759</v>
      </c>
      <c r="D1965" s="10" t="s">
        <v>760</v>
      </c>
      <c r="E1965" s="10">
        <v>0</v>
      </c>
      <c r="F1965" s="10">
        <v>0</v>
      </c>
      <c r="G1965" s="10">
        <v>0</v>
      </c>
      <c r="H1965" s="10">
        <v>0</v>
      </c>
      <c r="I1965" s="10" t="s">
        <v>21</v>
      </c>
      <c r="J1965" s="10">
        <v>0</v>
      </c>
      <c r="K1965" s="10">
        <v>0</v>
      </c>
      <c r="L1965" s="10">
        <v>0</v>
      </c>
      <c r="M1965" s="10">
        <v>0</v>
      </c>
      <c r="N1965" s="10" t="s">
        <v>761</v>
      </c>
      <c r="O1965" s="10" t="s">
        <v>2093</v>
      </c>
      <c r="P1965" s="105" t="e">
        <f t="shared" si="30"/>
        <v>#DIV/0!</v>
      </c>
    </row>
    <row r="1966" spans="1:16">
      <c r="A1966" s="10" t="s">
        <v>635</v>
      </c>
      <c r="B1966" s="10">
        <v>8013401</v>
      </c>
      <c r="C1966" s="10" t="s">
        <v>759</v>
      </c>
      <c r="D1966" s="10" t="s">
        <v>760</v>
      </c>
      <c r="E1966" s="10">
        <v>0</v>
      </c>
      <c r="F1966" s="10">
        <v>0</v>
      </c>
      <c r="G1966" s="10">
        <v>0</v>
      </c>
      <c r="H1966" s="10">
        <v>0</v>
      </c>
      <c r="I1966" s="10" t="s">
        <v>21</v>
      </c>
      <c r="J1966" s="10">
        <v>0</v>
      </c>
      <c r="K1966" s="10">
        <v>0</v>
      </c>
      <c r="L1966" s="10">
        <v>0</v>
      </c>
      <c r="M1966" s="10">
        <v>0</v>
      </c>
      <c r="N1966" s="10" t="s">
        <v>761</v>
      </c>
      <c r="O1966" s="10" t="s">
        <v>2094</v>
      </c>
      <c r="P1966" s="105" t="e">
        <f t="shared" si="30"/>
        <v>#DIV/0!</v>
      </c>
    </row>
    <row r="1967" spans="1:16">
      <c r="A1967" s="10" t="s">
        <v>635</v>
      </c>
      <c r="B1967" s="10">
        <v>8013402</v>
      </c>
      <c r="C1967" s="10" t="s">
        <v>759</v>
      </c>
      <c r="D1967" s="10" t="s">
        <v>760</v>
      </c>
      <c r="E1967" s="10">
        <v>0</v>
      </c>
      <c r="F1967" s="10">
        <v>0</v>
      </c>
      <c r="G1967" s="10">
        <v>0</v>
      </c>
      <c r="H1967" s="10">
        <v>0</v>
      </c>
      <c r="I1967" s="10" t="s">
        <v>21</v>
      </c>
      <c r="J1967" s="10">
        <v>0</v>
      </c>
      <c r="K1967" s="10">
        <v>0</v>
      </c>
      <c r="L1967" s="10">
        <v>0</v>
      </c>
      <c r="M1967" s="10">
        <v>0</v>
      </c>
      <c r="N1967" s="10" t="s">
        <v>761</v>
      </c>
      <c r="O1967" s="10" t="s">
        <v>2095</v>
      </c>
      <c r="P1967" s="105" t="e">
        <f t="shared" si="30"/>
        <v>#DIV/0!</v>
      </c>
    </row>
    <row r="1968" spans="1:16">
      <c r="A1968" s="10" t="s">
        <v>635</v>
      </c>
      <c r="B1968" s="10">
        <v>8013403</v>
      </c>
      <c r="C1968" s="10" t="s">
        <v>759</v>
      </c>
      <c r="D1968" s="10" t="s">
        <v>760</v>
      </c>
      <c r="E1968" s="10">
        <v>0</v>
      </c>
      <c r="F1968" s="10">
        <v>0</v>
      </c>
      <c r="G1968" s="10">
        <v>0</v>
      </c>
      <c r="H1968" s="10">
        <v>0</v>
      </c>
      <c r="I1968" s="10" t="s">
        <v>41</v>
      </c>
      <c r="J1968" s="10">
        <v>0</v>
      </c>
      <c r="K1968" s="10">
        <v>0</v>
      </c>
      <c r="L1968" s="10">
        <v>0</v>
      </c>
      <c r="M1968" s="10">
        <v>0</v>
      </c>
      <c r="N1968" s="10" t="s">
        <v>761</v>
      </c>
      <c r="O1968" s="10" t="s">
        <v>2096</v>
      </c>
      <c r="P1968" s="105" t="e">
        <f t="shared" si="30"/>
        <v>#DIV/0!</v>
      </c>
    </row>
    <row r="1969" spans="1:16">
      <c r="A1969" s="10" t="s">
        <v>635</v>
      </c>
      <c r="B1969" s="10">
        <v>8013404</v>
      </c>
      <c r="C1969" s="10" t="s">
        <v>759</v>
      </c>
      <c r="D1969" s="10" t="s">
        <v>760</v>
      </c>
      <c r="E1969" s="10">
        <v>0</v>
      </c>
      <c r="F1969" s="10">
        <v>0</v>
      </c>
      <c r="G1969" s="10">
        <v>0</v>
      </c>
      <c r="H1969" s="10">
        <v>0</v>
      </c>
      <c r="I1969" s="10" t="s">
        <v>26</v>
      </c>
      <c r="J1969" s="10">
        <v>0</v>
      </c>
      <c r="K1969" s="10">
        <v>0</v>
      </c>
      <c r="L1969" s="10">
        <v>0</v>
      </c>
      <c r="M1969" s="10">
        <v>0</v>
      </c>
      <c r="N1969" s="10" t="s">
        <v>761</v>
      </c>
      <c r="O1969" s="10" t="s">
        <v>2097</v>
      </c>
      <c r="P1969" s="105" t="e">
        <f t="shared" si="30"/>
        <v>#DIV/0!</v>
      </c>
    </row>
    <row r="1970" spans="1:16">
      <c r="A1970" s="10" t="s">
        <v>635</v>
      </c>
      <c r="B1970" s="10">
        <v>8013405</v>
      </c>
      <c r="C1970" s="10" t="s">
        <v>759</v>
      </c>
      <c r="D1970" s="10" t="s">
        <v>760</v>
      </c>
      <c r="E1970" s="10">
        <v>0</v>
      </c>
      <c r="F1970" s="10">
        <v>0</v>
      </c>
      <c r="G1970" s="10">
        <v>0</v>
      </c>
      <c r="H1970" s="10">
        <v>0</v>
      </c>
      <c r="I1970" s="10" t="s">
        <v>21</v>
      </c>
      <c r="J1970" s="10">
        <v>0</v>
      </c>
      <c r="K1970" s="10">
        <v>0</v>
      </c>
      <c r="L1970" s="10">
        <v>0</v>
      </c>
      <c r="M1970" s="10">
        <v>0</v>
      </c>
      <c r="N1970" s="10" t="s">
        <v>761</v>
      </c>
      <c r="O1970" s="10" t="s">
        <v>2098</v>
      </c>
      <c r="P1970" s="105" t="e">
        <f t="shared" si="30"/>
        <v>#DIV/0!</v>
      </c>
    </row>
    <row r="1971" spans="1:16">
      <c r="A1971" s="10" t="s">
        <v>635</v>
      </c>
      <c r="B1971" s="10">
        <v>8013406</v>
      </c>
      <c r="C1971" s="10" t="s">
        <v>759</v>
      </c>
      <c r="D1971" s="10" t="s">
        <v>760</v>
      </c>
      <c r="E1971" s="10">
        <v>0</v>
      </c>
      <c r="F1971" s="10">
        <v>0</v>
      </c>
      <c r="G1971" s="10">
        <v>0</v>
      </c>
      <c r="H1971" s="10">
        <v>0</v>
      </c>
      <c r="I1971" s="10" t="s">
        <v>26</v>
      </c>
      <c r="J1971" s="10">
        <v>0</v>
      </c>
      <c r="K1971" s="10">
        <v>0</v>
      </c>
      <c r="L1971" s="10">
        <v>0</v>
      </c>
      <c r="M1971" s="10">
        <v>0</v>
      </c>
      <c r="N1971" s="10" t="s">
        <v>761</v>
      </c>
      <c r="O1971" s="10" t="s">
        <v>2099</v>
      </c>
      <c r="P1971" s="105" t="e">
        <f t="shared" si="30"/>
        <v>#DIV/0!</v>
      </c>
    </row>
    <row r="1972" spans="1:16">
      <c r="A1972" s="10" t="s">
        <v>635</v>
      </c>
      <c r="B1972" s="10">
        <v>8013407</v>
      </c>
      <c r="C1972" s="10" t="s">
        <v>759</v>
      </c>
      <c r="D1972" s="10" t="s">
        <v>760</v>
      </c>
      <c r="E1972" s="10">
        <v>0</v>
      </c>
      <c r="F1972" s="10">
        <v>0</v>
      </c>
      <c r="G1972" s="10">
        <v>0</v>
      </c>
      <c r="H1972" s="10">
        <v>0</v>
      </c>
      <c r="I1972" s="10" t="s">
        <v>21</v>
      </c>
      <c r="J1972" s="10">
        <v>0</v>
      </c>
      <c r="K1972" s="10">
        <v>0</v>
      </c>
      <c r="L1972" s="10">
        <v>0</v>
      </c>
      <c r="M1972" s="10">
        <v>0</v>
      </c>
      <c r="N1972" s="10" t="s">
        <v>761</v>
      </c>
      <c r="O1972" s="10" t="s">
        <v>2100</v>
      </c>
      <c r="P1972" s="105" t="e">
        <f t="shared" si="30"/>
        <v>#DIV/0!</v>
      </c>
    </row>
    <row r="1973" spans="1:16">
      <c r="A1973" s="10" t="s">
        <v>635</v>
      </c>
      <c r="B1973" s="10">
        <v>8013408</v>
      </c>
      <c r="C1973" s="10" t="s">
        <v>759</v>
      </c>
      <c r="D1973" s="10" t="s">
        <v>760</v>
      </c>
      <c r="E1973" s="10">
        <v>0</v>
      </c>
      <c r="F1973" s="10">
        <v>0</v>
      </c>
      <c r="G1973" s="10">
        <v>0</v>
      </c>
      <c r="H1973" s="10">
        <v>0</v>
      </c>
      <c r="I1973" s="10" t="s">
        <v>97</v>
      </c>
      <c r="J1973" s="10">
        <v>0</v>
      </c>
      <c r="K1973" s="10">
        <v>0</v>
      </c>
      <c r="L1973" s="10">
        <v>0</v>
      </c>
      <c r="M1973" s="10">
        <v>0</v>
      </c>
      <c r="N1973" s="10" t="s">
        <v>761</v>
      </c>
      <c r="O1973" s="10" t="s">
        <v>2101</v>
      </c>
      <c r="P1973" s="105" t="e">
        <f t="shared" si="30"/>
        <v>#DIV/0!</v>
      </c>
    </row>
    <row r="1974" spans="1:16">
      <c r="A1974" s="10" t="s">
        <v>635</v>
      </c>
      <c r="B1974" s="10">
        <v>8013409</v>
      </c>
      <c r="C1974" s="10" t="s">
        <v>759</v>
      </c>
      <c r="D1974" s="10" t="s">
        <v>760</v>
      </c>
      <c r="E1974" s="10">
        <v>0</v>
      </c>
      <c r="F1974" s="10">
        <v>0</v>
      </c>
      <c r="G1974" s="10">
        <v>0</v>
      </c>
      <c r="H1974" s="10">
        <v>0</v>
      </c>
      <c r="I1974" s="10" t="s">
        <v>21</v>
      </c>
      <c r="J1974" s="10">
        <v>0</v>
      </c>
      <c r="K1974" s="10">
        <v>0</v>
      </c>
      <c r="L1974" s="10">
        <v>0</v>
      </c>
      <c r="M1974" s="10">
        <v>0</v>
      </c>
      <c r="N1974" s="10" t="s">
        <v>761</v>
      </c>
      <c r="O1974" s="10" t="s">
        <v>2102</v>
      </c>
      <c r="P1974" s="105" t="e">
        <f t="shared" si="30"/>
        <v>#DIV/0!</v>
      </c>
    </row>
    <row r="1975" spans="1:16">
      <c r="A1975" s="10" t="s">
        <v>635</v>
      </c>
      <c r="B1975" s="10">
        <v>8013413</v>
      </c>
      <c r="C1975" s="10" t="s">
        <v>759</v>
      </c>
      <c r="D1975" s="10" t="s">
        <v>760</v>
      </c>
      <c r="E1975" s="10">
        <v>0</v>
      </c>
      <c r="F1975" s="10">
        <v>0</v>
      </c>
      <c r="G1975" s="10">
        <v>0</v>
      </c>
      <c r="H1975" s="10">
        <v>0</v>
      </c>
      <c r="I1975" s="10" t="s">
        <v>21</v>
      </c>
      <c r="J1975" s="10">
        <v>0</v>
      </c>
      <c r="K1975" s="10">
        <v>0</v>
      </c>
      <c r="L1975" s="10">
        <v>0</v>
      </c>
      <c r="M1975" s="10">
        <v>0</v>
      </c>
      <c r="N1975" s="10" t="s">
        <v>761</v>
      </c>
      <c r="O1975" s="10" t="s">
        <v>2103</v>
      </c>
      <c r="P1975" s="105" t="e">
        <f t="shared" si="30"/>
        <v>#DIV/0!</v>
      </c>
    </row>
    <row r="1976" spans="1:16">
      <c r="A1976" s="10" t="s">
        <v>635</v>
      </c>
      <c r="B1976" s="10">
        <v>8013414</v>
      </c>
      <c r="C1976" s="10" t="s">
        <v>759</v>
      </c>
      <c r="D1976" s="10" t="s">
        <v>760</v>
      </c>
      <c r="E1976" s="10">
        <v>0</v>
      </c>
      <c r="F1976" s="10">
        <v>0</v>
      </c>
      <c r="G1976" s="10">
        <v>0</v>
      </c>
      <c r="H1976" s="10">
        <v>0</v>
      </c>
      <c r="I1976" s="10" t="s">
        <v>21</v>
      </c>
      <c r="J1976" s="10">
        <v>0</v>
      </c>
      <c r="K1976" s="10">
        <v>0</v>
      </c>
      <c r="L1976" s="10">
        <v>0</v>
      </c>
      <c r="M1976" s="10">
        <v>0</v>
      </c>
      <c r="N1976" s="10" t="s">
        <v>761</v>
      </c>
      <c r="O1976" s="10" t="s">
        <v>2104</v>
      </c>
      <c r="P1976" s="105" t="e">
        <f t="shared" si="30"/>
        <v>#DIV/0!</v>
      </c>
    </row>
    <row r="1977" spans="1:16">
      <c r="A1977" s="10" t="s">
        <v>635</v>
      </c>
      <c r="B1977" s="10">
        <v>8013415</v>
      </c>
      <c r="C1977" s="10" t="s">
        <v>759</v>
      </c>
      <c r="D1977" s="10" t="s">
        <v>760</v>
      </c>
      <c r="E1977" s="10">
        <v>0</v>
      </c>
      <c r="F1977" s="10">
        <v>0</v>
      </c>
      <c r="G1977" s="10">
        <v>0</v>
      </c>
      <c r="H1977" s="10">
        <v>0</v>
      </c>
      <c r="I1977" s="10" t="s">
        <v>21</v>
      </c>
      <c r="J1977" s="10">
        <v>0</v>
      </c>
      <c r="K1977" s="10">
        <v>0</v>
      </c>
      <c r="L1977" s="10">
        <v>0</v>
      </c>
      <c r="M1977" s="10">
        <v>0</v>
      </c>
      <c r="N1977" s="10" t="s">
        <v>761</v>
      </c>
      <c r="O1977" s="10" t="s">
        <v>2105</v>
      </c>
      <c r="P1977" s="105" t="e">
        <f t="shared" si="30"/>
        <v>#DIV/0!</v>
      </c>
    </row>
    <row r="1978" spans="1:16">
      <c r="A1978" s="10" t="s">
        <v>635</v>
      </c>
      <c r="B1978" s="10">
        <v>8013431</v>
      </c>
      <c r="C1978" s="10" t="s">
        <v>759</v>
      </c>
      <c r="D1978" s="10" t="s">
        <v>760</v>
      </c>
      <c r="E1978" s="10">
        <v>0</v>
      </c>
      <c r="F1978" s="10">
        <v>0</v>
      </c>
      <c r="G1978" s="10">
        <v>0</v>
      </c>
      <c r="H1978" s="10">
        <v>0</v>
      </c>
      <c r="I1978" s="10" t="s">
        <v>21</v>
      </c>
      <c r="J1978" s="10">
        <v>0</v>
      </c>
      <c r="K1978" s="10">
        <v>0</v>
      </c>
      <c r="L1978" s="10">
        <v>0</v>
      </c>
      <c r="M1978" s="10">
        <v>0</v>
      </c>
      <c r="N1978" s="10" t="s">
        <v>761</v>
      </c>
      <c r="O1978" s="10" t="s">
        <v>2106</v>
      </c>
      <c r="P1978" s="105" t="e">
        <f t="shared" si="30"/>
        <v>#DIV/0!</v>
      </c>
    </row>
    <row r="1979" spans="1:16">
      <c r="A1979" s="10" t="s">
        <v>635</v>
      </c>
      <c r="B1979" s="10">
        <v>8013433</v>
      </c>
      <c r="C1979" s="10" t="s">
        <v>759</v>
      </c>
      <c r="D1979" s="10" t="s">
        <v>760</v>
      </c>
      <c r="E1979" s="10">
        <v>0</v>
      </c>
      <c r="F1979" s="10">
        <v>0</v>
      </c>
      <c r="G1979" s="10">
        <v>0</v>
      </c>
      <c r="H1979" s="10">
        <v>0</v>
      </c>
      <c r="I1979" s="10" t="s">
        <v>97</v>
      </c>
      <c r="J1979" s="10">
        <v>0</v>
      </c>
      <c r="K1979" s="10">
        <v>0</v>
      </c>
      <c r="L1979" s="10">
        <v>0</v>
      </c>
      <c r="M1979" s="10">
        <v>0</v>
      </c>
      <c r="N1979" s="10" t="s">
        <v>761</v>
      </c>
      <c r="O1979" s="10" t="s">
        <v>2107</v>
      </c>
      <c r="P1979" s="105" t="e">
        <f t="shared" si="30"/>
        <v>#DIV/0!</v>
      </c>
    </row>
    <row r="1980" spans="1:16">
      <c r="A1980" s="10" t="s">
        <v>635</v>
      </c>
      <c r="B1980" s="10">
        <v>8013434</v>
      </c>
      <c r="C1980" s="10" t="s">
        <v>759</v>
      </c>
      <c r="D1980" s="10" t="s">
        <v>760</v>
      </c>
      <c r="E1980" s="10">
        <v>0</v>
      </c>
      <c r="F1980" s="10">
        <v>0</v>
      </c>
      <c r="G1980" s="10">
        <v>0</v>
      </c>
      <c r="H1980" s="10">
        <v>0</v>
      </c>
      <c r="I1980" s="10" t="s">
        <v>21</v>
      </c>
      <c r="J1980" s="10">
        <v>0</v>
      </c>
      <c r="K1980" s="10">
        <v>0</v>
      </c>
      <c r="L1980" s="10">
        <v>0</v>
      </c>
      <c r="M1980" s="10">
        <v>0</v>
      </c>
      <c r="N1980" s="10" t="s">
        <v>761</v>
      </c>
      <c r="O1980" s="10" t="s">
        <v>2108</v>
      </c>
      <c r="P1980" s="105" t="e">
        <f t="shared" si="30"/>
        <v>#DIV/0!</v>
      </c>
    </row>
    <row r="1981" spans="1:16">
      <c r="A1981" s="10" t="s">
        <v>635</v>
      </c>
      <c r="B1981" s="10">
        <v>8013435</v>
      </c>
      <c r="C1981" s="10" t="s">
        <v>759</v>
      </c>
      <c r="D1981" s="10" t="s">
        <v>760</v>
      </c>
      <c r="E1981" s="10">
        <v>0</v>
      </c>
      <c r="F1981" s="10">
        <v>0</v>
      </c>
      <c r="G1981" s="10">
        <v>0</v>
      </c>
      <c r="H1981" s="10">
        <v>0</v>
      </c>
      <c r="I1981" s="10" t="s">
        <v>21</v>
      </c>
      <c r="J1981" s="10">
        <v>0</v>
      </c>
      <c r="K1981" s="10">
        <v>0</v>
      </c>
      <c r="L1981" s="10">
        <v>0</v>
      </c>
      <c r="M1981" s="10">
        <v>0</v>
      </c>
      <c r="N1981" s="10" t="s">
        <v>761</v>
      </c>
      <c r="O1981" s="10" t="s">
        <v>2109</v>
      </c>
      <c r="P1981" s="105" t="e">
        <f t="shared" si="30"/>
        <v>#DIV/0!</v>
      </c>
    </row>
    <row r="1982" spans="1:16">
      <c r="A1982" s="10" t="s">
        <v>635</v>
      </c>
      <c r="B1982" s="10">
        <v>8013436</v>
      </c>
      <c r="C1982" s="10" t="s">
        <v>759</v>
      </c>
      <c r="D1982" s="10" t="s">
        <v>760</v>
      </c>
      <c r="E1982" s="10">
        <v>0</v>
      </c>
      <c r="F1982" s="10">
        <v>0</v>
      </c>
      <c r="G1982" s="10">
        <v>0</v>
      </c>
      <c r="H1982" s="10">
        <v>0</v>
      </c>
      <c r="I1982" s="10" t="s">
        <v>21</v>
      </c>
      <c r="J1982" s="10">
        <v>0</v>
      </c>
      <c r="K1982" s="10">
        <v>0</v>
      </c>
      <c r="L1982" s="10">
        <v>0</v>
      </c>
      <c r="M1982" s="10">
        <v>0</v>
      </c>
      <c r="N1982" s="10" t="s">
        <v>761</v>
      </c>
      <c r="O1982" s="10" t="s">
        <v>2110</v>
      </c>
      <c r="P1982" s="105" t="e">
        <f t="shared" si="30"/>
        <v>#DIV/0!</v>
      </c>
    </row>
    <row r="1983" spans="1:16">
      <c r="A1983" s="10" t="s">
        <v>635</v>
      </c>
      <c r="B1983" s="10">
        <v>8013437</v>
      </c>
      <c r="C1983" s="10" t="s">
        <v>759</v>
      </c>
      <c r="D1983" s="10" t="s">
        <v>760</v>
      </c>
      <c r="E1983" s="10">
        <v>0</v>
      </c>
      <c r="F1983" s="10">
        <v>0</v>
      </c>
      <c r="G1983" s="10">
        <v>0</v>
      </c>
      <c r="H1983" s="10">
        <v>0</v>
      </c>
      <c r="I1983" s="10" t="s">
        <v>21</v>
      </c>
      <c r="J1983" s="10">
        <v>0</v>
      </c>
      <c r="K1983" s="10">
        <v>0</v>
      </c>
      <c r="L1983" s="10">
        <v>0</v>
      </c>
      <c r="M1983" s="10">
        <v>0</v>
      </c>
      <c r="N1983" s="10" t="s">
        <v>761</v>
      </c>
      <c r="O1983" s="10" t="s">
        <v>2111</v>
      </c>
      <c r="P1983" s="105" t="e">
        <f t="shared" si="30"/>
        <v>#DIV/0!</v>
      </c>
    </row>
    <row r="1984" spans="1:16">
      <c r="A1984" s="10" t="s">
        <v>635</v>
      </c>
      <c r="B1984" s="10">
        <v>8013442</v>
      </c>
      <c r="C1984" s="10" t="s">
        <v>759</v>
      </c>
      <c r="D1984" s="10" t="s">
        <v>760</v>
      </c>
      <c r="E1984" s="10">
        <v>0</v>
      </c>
      <c r="F1984" s="10">
        <v>0</v>
      </c>
      <c r="G1984" s="10">
        <v>0</v>
      </c>
      <c r="H1984" s="10">
        <v>0</v>
      </c>
      <c r="I1984" s="10" t="s">
        <v>1493</v>
      </c>
      <c r="J1984" s="10">
        <v>0</v>
      </c>
      <c r="K1984" s="10">
        <v>0</v>
      </c>
      <c r="L1984" s="10">
        <v>0</v>
      </c>
      <c r="M1984" s="10">
        <v>0</v>
      </c>
      <c r="N1984" s="10" t="s">
        <v>761</v>
      </c>
      <c r="O1984" s="10" t="s">
        <v>2112</v>
      </c>
      <c r="P1984" s="105" t="e">
        <f t="shared" si="30"/>
        <v>#DIV/0!</v>
      </c>
    </row>
    <row r="1985" spans="1:16">
      <c r="A1985" s="10" t="s">
        <v>635</v>
      </c>
      <c r="B1985" s="10">
        <v>8013445</v>
      </c>
      <c r="C1985" s="10" t="s">
        <v>759</v>
      </c>
      <c r="D1985" s="10" t="s">
        <v>760</v>
      </c>
      <c r="E1985" s="10">
        <v>0</v>
      </c>
      <c r="F1985" s="10">
        <v>0</v>
      </c>
      <c r="G1985" s="10">
        <v>0</v>
      </c>
      <c r="H1985" s="10">
        <v>0</v>
      </c>
      <c r="I1985" s="10" t="s">
        <v>21</v>
      </c>
      <c r="J1985" s="10">
        <v>0</v>
      </c>
      <c r="K1985" s="10">
        <v>0</v>
      </c>
      <c r="L1985" s="10">
        <v>0</v>
      </c>
      <c r="M1985" s="10">
        <v>0</v>
      </c>
      <c r="N1985" s="10" t="s">
        <v>761</v>
      </c>
      <c r="O1985" s="10" t="s">
        <v>2113</v>
      </c>
      <c r="P1985" s="105" t="e">
        <f t="shared" si="30"/>
        <v>#DIV/0!</v>
      </c>
    </row>
    <row r="1986" spans="1:16">
      <c r="A1986" s="10" t="s">
        <v>635</v>
      </c>
      <c r="B1986" s="10">
        <v>8013446</v>
      </c>
      <c r="C1986" s="10" t="s">
        <v>759</v>
      </c>
      <c r="D1986" s="10" t="s">
        <v>760</v>
      </c>
      <c r="E1986" s="10">
        <v>0</v>
      </c>
      <c r="F1986" s="10">
        <v>0</v>
      </c>
      <c r="G1986" s="10">
        <v>0</v>
      </c>
      <c r="H1986" s="10">
        <v>0</v>
      </c>
      <c r="I1986" s="10" t="s">
        <v>21</v>
      </c>
      <c r="J1986" s="10">
        <v>0</v>
      </c>
      <c r="K1986" s="10">
        <v>0</v>
      </c>
      <c r="L1986" s="10">
        <v>0</v>
      </c>
      <c r="M1986" s="10">
        <v>0</v>
      </c>
      <c r="N1986" s="10" t="s">
        <v>761</v>
      </c>
      <c r="O1986" s="10" t="s">
        <v>2114</v>
      </c>
      <c r="P1986" s="105" t="e">
        <f t="shared" si="30"/>
        <v>#DIV/0!</v>
      </c>
    </row>
    <row r="1987" spans="1:16">
      <c r="A1987" s="10" t="s">
        <v>635</v>
      </c>
      <c r="B1987" s="10">
        <v>8013448</v>
      </c>
      <c r="C1987" s="10" t="s">
        <v>759</v>
      </c>
      <c r="D1987" s="10" t="s">
        <v>760</v>
      </c>
      <c r="E1987" s="10">
        <v>0</v>
      </c>
      <c r="F1987" s="10">
        <v>0</v>
      </c>
      <c r="G1987" s="10">
        <v>0</v>
      </c>
      <c r="H1987" s="10">
        <v>0</v>
      </c>
      <c r="I1987" s="10" t="s">
        <v>30</v>
      </c>
      <c r="J1987" s="10">
        <v>0</v>
      </c>
      <c r="K1987" s="10">
        <v>0</v>
      </c>
      <c r="L1987" s="10">
        <v>0</v>
      </c>
      <c r="M1987" s="10">
        <v>0</v>
      </c>
      <c r="N1987" s="10" t="s">
        <v>761</v>
      </c>
      <c r="O1987" s="10" t="s">
        <v>2115</v>
      </c>
      <c r="P1987" s="105" t="e">
        <f t="shared" ref="P1987:P2050" si="31">M1987/H1987</f>
        <v>#DIV/0!</v>
      </c>
    </row>
    <row r="1988" spans="1:16">
      <c r="A1988" s="10" t="s">
        <v>635</v>
      </c>
      <c r="B1988" s="10">
        <v>8013449</v>
      </c>
      <c r="C1988" s="10" t="s">
        <v>759</v>
      </c>
      <c r="D1988" s="10" t="s">
        <v>760</v>
      </c>
      <c r="E1988" s="10">
        <v>0</v>
      </c>
      <c r="F1988" s="10">
        <v>0</v>
      </c>
      <c r="G1988" s="10">
        <v>0</v>
      </c>
      <c r="H1988" s="10">
        <v>0</v>
      </c>
      <c r="I1988" s="10" t="s">
        <v>21</v>
      </c>
      <c r="J1988" s="10">
        <v>0</v>
      </c>
      <c r="K1988" s="10">
        <v>0</v>
      </c>
      <c r="L1988" s="10">
        <v>0</v>
      </c>
      <c r="M1988" s="10">
        <v>0</v>
      </c>
      <c r="N1988" s="10" t="s">
        <v>761</v>
      </c>
      <c r="O1988" s="10" t="s">
        <v>2116</v>
      </c>
      <c r="P1988" s="105" t="e">
        <f t="shared" si="31"/>
        <v>#DIV/0!</v>
      </c>
    </row>
    <row r="1989" spans="1:16">
      <c r="A1989" s="10" t="s">
        <v>635</v>
      </c>
      <c r="B1989" s="10">
        <v>8013503</v>
      </c>
      <c r="C1989" s="10" t="s">
        <v>759</v>
      </c>
      <c r="D1989" s="10" t="s">
        <v>760</v>
      </c>
      <c r="E1989" s="10">
        <v>0</v>
      </c>
      <c r="F1989" s="10">
        <v>0</v>
      </c>
      <c r="G1989" s="10">
        <v>0</v>
      </c>
      <c r="H1989" s="10">
        <v>0</v>
      </c>
      <c r="I1989" s="10" t="s">
        <v>97</v>
      </c>
      <c r="J1989" s="10">
        <v>0</v>
      </c>
      <c r="K1989" s="10">
        <v>0</v>
      </c>
      <c r="L1989" s="10">
        <v>0</v>
      </c>
      <c r="M1989" s="10">
        <v>0</v>
      </c>
      <c r="N1989" s="10" t="s">
        <v>761</v>
      </c>
      <c r="O1989" s="10" t="s">
        <v>2117</v>
      </c>
      <c r="P1989" s="105" t="e">
        <f t="shared" si="31"/>
        <v>#DIV/0!</v>
      </c>
    </row>
    <row r="1990" spans="1:16">
      <c r="A1990" s="10" t="s">
        <v>635</v>
      </c>
      <c r="B1990" s="10">
        <v>8013516</v>
      </c>
      <c r="C1990" s="10" t="s">
        <v>759</v>
      </c>
      <c r="D1990" s="10" t="s">
        <v>760</v>
      </c>
      <c r="E1990" s="10">
        <v>0</v>
      </c>
      <c r="F1990" s="10">
        <v>0</v>
      </c>
      <c r="G1990" s="10">
        <v>0</v>
      </c>
      <c r="H1990" s="10">
        <v>0</v>
      </c>
      <c r="I1990" s="10" t="s">
        <v>21</v>
      </c>
      <c r="J1990" s="10">
        <v>0</v>
      </c>
      <c r="K1990" s="10">
        <v>0</v>
      </c>
      <c r="L1990" s="10">
        <v>0</v>
      </c>
      <c r="M1990" s="10">
        <v>0</v>
      </c>
      <c r="N1990" s="10" t="s">
        <v>761</v>
      </c>
      <c r="O1990" s="10" t="s">
        <v>1355</v>
      </c>
      <c r="P1990" s="105" t="e">
        <f t="shared" si="31"/>
        <v>#DIV/0!</v>
      </c>
    </row>
    <row r="1991" spans="1:16">
      <c r="A1991" s="10" t="s">
        <v>635</v>
      </c>
      <c r="B1991" s="10">
        <v>8013523</v>
      </c>
      <c r="C1991" s="10" t="s">
        <v>759</v>
      </c>
      <c r="D1991" s="10" t="s">
        <v>760</v>
      </c>
      <c r="E1991" s="10">
        <v>0</v>
      </c>
      <c r="F1991" s="10">
        <v>0</v>
      </c>
      <c r="G1991" s="10">
        <v>0</v>
      </c>
      <c r="H1991" s="10">
        <v>0</v>
      </c>
      <c r="I1991" s="10" t="s">
        <v>67</v>
      </c>
      <c r="J1991" s="10">
        <v>0</v>
      </c>
      <c r="K1991" s="10">
        <v>0</v>
      </c>
      <c r="L1991" s="10">
        <v>0</v>
      </c>
      <c r="M1991" s="10">
        <v>0</v>
      </c>
      <c r="N1991" s="10" t="s">
        <v>761</v>
      </c>
      <c r="O1991" s="10" t="s">
        <v>2118</v>
      </c>
      <c r="P1991" s="105" t="e">
        <f t="shared" si="31"/>
        <v>#DIV/0!</v>
      </c>
    </row>
    <row r="1992" spans="1:16">
      <c r="A1992" s="10" t="s">
        <v>635</v>
      </c>
      <c r="B1992" s="10">
        <v>8013731</v>
      </c>
      <c r="C1992" s="10" t="s">
        <v>759</v>
      </c>
      <c r="D1992" s="10" t="s">
        <v>760</v>
      </c>
      <c r="E1992" s="10">
        <v>600</v>
      </c>
      <c r="F1992" s="10">
        <v>0</v>
      </c>
      <c r="G1992" s="10">
        <v>0</v>
      </c>
      <c r="H1992" s="10">
        <v>600</v>
      </c>
      <c r="I1992" s="10" t="s">
        <v>21</v>
      </c>
      <c r="J1992" s="10">
        <v>14</v>
      </c>
      <c r="K1992" s="10">
        <v>0</v>
      </c>
      <c r="L1992" s="10">
        <v>0</v>
      </c>
      <c r="M1992" s="10">
        <v>14</v>
      </c>
      <c r="N1992" s="10" t="s">
        <v>761</v>
      </c>
      <c r="O1992" s="10" t="s">
        <v>345</v>
      </c>
      <c r="P1992" s="105">
        <f t="shared" si="31"/>
        <v>0.0233333333333333</v>
      </c>
    </row>
    <row r="1993" spans="1:16">
      <c r="A1993" s="10" t="s">
        <v>635</v>
      </c>
      <c r="B1993" s="10">
        <v>8013732</v>
      </c>
      <c r="C1993" s="10" t="s">
        <v>759</v>
      </c>
      <c r="D1993" s="10" t="s">
        <v>760</v>
      </c>
      <c r="E1993" s="10">
        <v>0</v>
      </c>
      <c r="F1993" s="10">
        <v>0</v>
      </c>
      <c r="G1993" s="10">
        <v>0</v>
      </c>
      <c r="H1993" s="10">
        <v>0</v>
      </c>
      <c r="I1993" s="10" t="s">
        <v>21</v>
      </c>
      <c r="J1993" s="10">
        <v>0</v>
      </c>
      <c r="K1993" s="10">
        <v>0</v>
      </c>
      <c r="L1993" s="10">
        <v>0</v>
      </c>
      <c r="M1993" s="10">
        <v>0</v>
      </c>
      <c r="N1993" s="10" t="s">
        <v>761</v>
      </c>
      <c r="O1993" s="10" t="s">
        <v>741</v>
      </c>
      <c r="P1993" s="105" t="e">
        <f t="shared" si="31"/>
        <v>#DIV/0!</v>
      </c>
    </row>
    <row r="1994" spans="1:16">
      <c r="A1994" s="10" t="s">
        <v>635</v>
      </c>
      <c r="B1994" s="10">
        <v>8013765</v>
      </c>
      <c r="C1994" s="10" t="s">
        <v>759</v>
      </c>
      <c r="D1994" s="10" t="s">
        <v>760</v>
      </c>
      <c r="E1994" s="10">
        <v>0</v>
      </c>
      <c r="F1994" s="10">
        <v>0</v>
      </c>
      <c r="G1994" s="10">
        <v>0</v>
      </c>
      <c r="H1994" s="10">
        <v>0</v>
      </c>
      <c r="I1994" s="10" t="s">
        <v>21</v>
      </c>
      <c r="J1994" s="10">
        <v>0</v>
      </c>
      <c r="K1994" s="10">
        <v>0</v>
      </c>
      <c r="L1994" s="10">
        <v>0</v>
      </c>
      <c r="M1994" s="10">
        <v>0</v>
      </c>
      <c r="N1994" s="10" t="s">
        <v>761</v>
      </c>
      <c r="O1994" s="10" t="s">
        <v>2119</v>
      </c>
      <c r="P1994" s="105" t="e">
        <f t="shared" si="31"/>
        <v>#DIV/0!</v>
      </c>
    </row>
    <row r="1995" spans="1:16">
      <c r="A1995" s="10" t="s">
        <v>635</v>
      </c>
      <c r="B1995" s="10">
        <v>8013766</v>
      </c>
      <c r="C1995" s="10" t="s">
        <v>759</v>
      </c>
      <c r="D1995" s="10" t="s">
        <v>760</v>
      </c>
      <c r="E1995" s="10">
        <v>0</v>
      </c>
      <c r="F1995" s="10">
        <v>0</v>
      </c>
      <c r="G1995" s="10">
        <v>0</v>
      </c>
      <c r="H1995" s="10">
        <v>0</v>
      </c>
      <c r="I1995" s="10" t="s">
        <v>21</v>
      </c>
      <c r="J1995" s="10">
        <v>0</v>
      </c>
      <c r="K1995" s="10">
        <v>0</v>
      </c>
      <c r="L1995" s="10">
        <v>0</v>
      </c>
      <c r="M1995" s="10">
        <v>0</v>
      </c>
      <c r="N1995" s="10" t="s">
        <v>761</v>
      </c>
      <c r="O1995" s="10" t="s">
        <v>2120</v>
      </c>
      <c r="P1995" s="105" t="e">
        <f t="shared" si="31"/>
        <v>#DIV/0!</v>
      </c>
    </row>
    <row r="1996" spans="1:16">
      <c r="A1996" s="10" t="s">
        <v>635</v>
      </c>
      <c r="B1996" s="10">
        <v>8013767</v>
      </c>
      <c r="C1996" s="10" t="s">
        <v>759</v>
      </c>
      <c r="D1996" s="10" t="s">
        <v>760</v>
      </c>
      <c r="E1996" s="10">
        <v>0</v>
      </c>
      <c r="F1996" s="10">
        <v>0</v>
      </c>
      <c r="G1996" s="10">
        <v>0</v>
      </c>
      <c r="H1996" s="10">
        <v>0</v>
      </c>
      <c r="I1996" s="10" t="s">
        <v>21</v>
      </c>
      <c r="J1996" s="10">
        <v>0</v>
      </c>
      <c r="K1996" s="10">
        <v>0</v>
      </c>
      <c r="L1996" s="10">
        <v>0</v>
      </c>
      <c r="M1996" s="10">
        <v>0</v>
      </c>
      <c r="N1996" s="10" t="s">
        <v>761</v>
      </c>
      <c r="O1996" s="10" t="s">
        <v>2121</v>
      </c>
      <c r="P1996" s="105" t="e">
        <f t="shared" si="31"/>
        <v>#DIV/0!</v>
      </c>
    </row>
    <row r="1997" spans="1:16">
      <c r="A1997" s="10" t="s">
        <v>635</v>
      </c>
      <c r="B1997" s="10">
        <v>8013768</v>
      </c>
      <c r="C1997" s="10" t="s">
        <v>759</v>
      </c>
      <c r="D1997" s="10" t="s">
        <v>760</v>
      </c>
      <c r="E1997" s="10">
        <v>0</v>
      </c>
      <c r="F1997" s="10">
        <v>0</v>
      </c>
      <c r="G1997" s="10">
        <v>0</v>
      </c>
      <c r="H1997" s="10">
        <v>0</v>
      </c>
      <c r="I1997" s="10" t="s">
        <v>21</v>
      </c>
      <c r="J1997" s="10">
        <v>0</v>
      </c>
      <c r="K1997" s="10">
        <v>0</v>
      </c>
      <c r="L1997" s="10">
        <v>0</v>
      </c>
      <c r="M1997" s="10">
        <v>0</v>
      </c>
      <c r="N1997" s="10" t="s">
        <v>761</v>
      </c>
      <c r="O1997" s="10" t="s">
        <v>2122</v>
      </c>
      <c r="P1997" s="105" t="e">
        <f t="shared" si="31"/>
        <v>#DIV/0!</v>
      </c>
    </row>
    <row r="1998" spans="1:16">
      <c r="A1998" s="10" t="s">
        <v>635</v>
      </c>
      <c r="B1998" s="10">
        <v>8013769</v>
      </c>
      <c r="C1998" s="10" t="s">
        <v>759</v>
      </c>
      <c r="D1998" s="10" t="s">
        <v>760</v>
      </c>
      <c r="E1998" s="10">
        <v>0</v>
      </c>
      <c r="F1998" s="10">
        <v>0</v>
      </c>
      <c r="G1998" s="10">
        <v>0</v>
      </c>
      <c r="H1998" s="10">
        <v>0</v>
      </c>
      <c r="I1998" s="10" t="s">
        <v>21</v>
      </c>
      <c r="J1998" s="10">
        <v>0</v>
      </c>
      <c r="K1998" s="10">
        <v>0</v>
      </c>
      <c r="L1998" s="10">
        <v>0</v>
      </c>
      <c r="M1998" s="10">
        <v>0</v>
      </c>
      <c r="N1998" s="10" t="s">
        <v>761</v>
      </c>
      <c r="O1998" s="10" t="s">
        <v>2123</v>
      </c>
      <c r="P1998" s="105" t="e">
        <f t="shared" si="31"/>
        <v>#DIV/0!</v>
      </c>
    </row>
    <row r="1999" spans="1:16">
      <c r="A1999" s="10" t="s">
        <v>635</v>
      </c>
      <c r="B1999" s="10">
        <v>8013770</v>
      </c>
      <c r="C1999" s="10" t="s">
        <v>759</v>
      </c>
      <c r="D1999" s="10" t="s">
        <v>760</v>
      </c>
      <c r="E1999" s="10">
        <v>0</v>
      </c>
      <c r="F1999" s="10">
        <v>0</v>
      </c>
      <c r="G1999" s="10">
        <v>0</v>
      </c>
      <c r="H1999" s="10">
        <v>0</v>
      </c>
      <c r="I1999" s="10" t="s">
        <v>21</v>
      </c>
      <c r="J1999" s="10">
        <v>0</v>
      </c>
      <c r="K1999" s="10">
        <v>0</v>
      </c>
      <c r="L1999" s="10">
        <v>0</v>
      </c>
      <c r="M1999" s="10">
        <v>0</v>
      </c>
      <c r="N1999" s="10" t="s">
        <v>761</v>
      </c>
      <c r="O1999" s="10" t="s">
        <v>2124</v>
      </c>
      <c r="P1999" s="105" t="e">
        <f t="shared" si="31"/>
        <v>#DIV/0!</v>
      </c>
    </row>
    <row r="2000" spans="1:16">
      <c r="A2000" s="10" t="s">
        <v>635</v>
      </c>
      <c r="B2000" s="10">
        <v>8013771</v>
      </c>
      <c r="C2000" s="10" t="s">
        <v>759</v>
      </c>
      <c r="D2000" s="10" t="s">
        <v>760</v>
      </c>
      <c r="E2000" s="10">
        <v>0</v>
      </c>
      <c r="F2000" s="10">
        <v>0</v>
      </c>
      <c r="G2000" s="10">
        <v>0</v>
      </c>
      <c r="H2000" s="10">
        <v>0</v>
      </c>
      <c r="I2000" s="10" t="s">
        <v>21</v>
      </c>
      <c r="J2000" s="10">
        <v>0</v>
      </c>
      <c r="K2000" s="10">
        <v>0</v>
      </c>
      <c r="L2000" s="10">
        <v>0</v>
      </c>
      <c r="M2000" s="10">
        <v>0</v>
      </c>
      <c r="N2000" s="10" t="s">
        <v>761</v>
      </c>
      <c r="O2000" s="10" t="s">
        <v>2125</v>
      </c>
      <c r="P2000" s="105" t="e">
        <f t="shared" si="31"/>
        <v>#DIV/0!</v>
      </c>
    </row>
    <row r="2001" spans="1:16">
      <c r="A2001" s="10" t="s">
        <v>635</v>
      </c>
      <c r="B2001" s="10">
        <v>8013772</v>
      </c>
      <c r="C2001" s="10" t="s">
        <v>759</v>
      </c>
      <c r="D2001" s="10" t="s">
        <v>760</v>
      </c>
      <c r="E2001" s="10">
        <v>0</v>
      </c>
      <c r="F2001" s="10">
        <v>0</v>
      </c>
      <c r="G2001" s="10">
        <v>0</v>
      </c>
      <c r="H2001" s="10">
        <v>0</v>
      </c>
      <c r="I2001" s="10" t="s">
        <v>97</v>
      </c>
      <c r="J2001" s="10">
        <v>0</v>
      </c>
      <c r="K2001" s="10">
        <v>0</v>
      </c>
      <c r="L2001" s="10">
        <v>0</v>
      </c>
      <c r="M2001" s="10">
        <v>0</v>
      </c>
      <c r="N2001" s="10" t="s">
        <v>761</v>
      </c>
      <c r="O2001" s="10" t="s">
        <v>2126</v>
      </c>
      <c r="P2001" s="105" t="e">
        <f t="shared" si="31"/>
        <v>#DIV/0!</v>
      </c>
    </row>
    <row r="2002" spans="1:16">
      <c r="A2002" s="10" t="s">
        <v>635</v>
      </c>
      <c r="B2002" s="10">
        <v>8013773</v>
      </c>
      <c r="C2002" s="10" t="s">
        <v>759</v>
      </c>
      <c r="D2002" s="10" t="s">
        <v>760</v>
      </c>
      <c r="E2002" s="10">
        <v>0</v>
      </c>
      <c r="F2002" s="10">
        <v>0</v>
      </c>
      <c r="G2002" s="10">
        <v>0</v>
      </c>
      <c r="H2002" s="10">
        <v>0</v>
      </c>
      <c r="I2002" s="10" t="s">
        <v>21</v>
      </c>
      <c r="J2002" s="10">
        <v>0</v>
      </c>
      <c r="K2002" s="10">
        <v>0</v>
      </c>
      <c r="L2002" s="10">
        <v>0</v>
      </c>
      <c r="M2002" s="10">
        <v>0</v>
      </c>
      <c r="N2002" s="10" t="s">
        <v>761</v>
      </c>
      <c r="O2002" s="10" t="s">
        <v>2127</v>
      </c>
      <c r="P2002" s="105" t="e">
        <f t="shared" si="31"/>
        <v>#DIV/0!</v>
      </c>
    </row>
    <row r="2003" spans="1:16">
      <c r="A2003" s="10" t="s">
        <v>635</v>
      </c>
      <c r="B2003" s="10">
        <v>8013774</v>
      </c>
      <c r="C2003" s="10" t="s">
        <v>759</v>
      </c>
      <c r="D2003" s="10" t="s">
        <v>760</v>
      </c>
      <c r="E2003" s="10">
        <v>0</v>
      </c>
      <c r="F2003" s="10">
        <v>0</v>
      </c>
      <c r="G2003" s="10">
        <v>0</v>
      </c>
      <c r="H2003" s="10">
        <v>0</v>
      </c>
      <c r="I2003" s="10" t="s">
        <v>2049</v>
      </c>
      <c r="J2003" s="10">
        <v>0</v>
      </c>
      <c r="K2003" s="10">
        <v>0</v>
      </c>
      <c r="L2003" s="10">
        <v>0</v>
      </c>
      <c r="M2003" s="10">
        <v>0</v>
      </c>
      <c r="N2003" s="10" t="s">
        <v>761</v>
      </c>
      <c r="O2003" s="10" t="s">
        <v>2128</v>
      </c>
      <c r="P2003" s="105" t="e">
        <f t="shared" si="31"/>
        <v>#DIV/0!</v>
      </c>
    </row>
    <row r="2004" spans="1:16">
      <c r="A2004" s="10" t="s">
        <v>635</v>
      </c>
      <c r="B2004" s="10">
        <v>8013775</v>
      </c>
      <c r="C2004" s="10" t="s">
        <v>759</v>
      </c>
      <c r="D2004" s="10" t="s">
        <v>760</v>
      </c>
      <c r="E2004" s="10">
        <v>0</v>
      </c>
      <c r="F2004" s="10">
        <v>0</v>
      </c>
      <c r="G2004" s="10">
        <v>0</v>
      </c>
      <c r="H2004" s="10">
        <v>0</v>
      </c>
      <c r="I2004" s="10" t="s">
        <v>21</v>
      </c>
      <c r="J2004" s="10">
        <v>0</v>
      </c>
      <c r="K2004" s="10">
        <v>0</v>
      </c>
      <c r="L2004" s="10">
        <v>0</v>
      </c>
      <c r="M2004" s="10">
        <v>0</v>
      </c>
      <c r="N2004" s="10" t="s">
        <v>761</v>
      </c>
      <c r="O2004" s="10" t="s">
        <v>2129</v>
      </c>
      <c r="P2004" s="105" t="e">
        <f t="shared" si="31"/>
        <v>#DIV/0!</v>
      </c>
    </row>
    <row r="2005" spans="1:16">
      <c r="A2005" s="10" t="s">
        <v>635</v>
      </c>
      <c r="B2005" s="10">
        <v>8013776</v>
      </c>
      <c r="C2005" s="10" t="s">
        <v>759</v>
      </c>
      <c r="D2005" s="10" t="s">
        <v>760</v>
      </c>
      <c r="E2005" s="10">
        <v>0</v>
      </c>
      <c r="F2005" s="10">
        <v>0</v>
      </c>
      <c r="G2005" s="10">
        <v>0</v>
      </c>
      <c r="H2005" s="10">
        <v>0</v>
      </c>
      <c r="I2005" s="10" t="s">
        <v>21</v>
      </c>
      <c r="J2005" s="10">
        <v>0</v>
      </c>
      <c r="K2005" s="10">
        <v>0</v>
      </c>
      <c r="L2005" s="10">
        <v>0</v>
      </c>
      <c r="M2005" s="10">
        <v>0</v>
      </c>
      <c r="N2005" s="10" t="s">
        <v>761</v>
      </c>
      <c r="O2005" s="10" t="s">
        <v>2130</v>
      </c>
      <c r="P2005" s="105" t="e">
        <f t="shared" si="31"/>
        <v>#DIV/0!</v>
      </c>
    </row>
    <row r="2006" spans="1:16">
      <c r="A2006" s="10" t="s">
        <v>635</v>
      </c>
      <c r="B2006" s="10">
        <v>8013777</v>
      </c>
      <c r="C2006" s="10" t="s">
        <v>759</v>
      </c>
      <c r="D2006" s="10" t="s">
        <v>760</v>
      </c>
      <c r="E2006" s="10">
        <v>0</v>
      </c>
      <c r="F2006" s="10">
        <v>0</v>
      </c>
      <c r="G2006" s="10">
        <v>0</v>
      </c>
      <c r="H2006" s="10">
        <v>0</v>
      </c>
      <c r="I2006" s="10" t="s">
        <v>21</v>
      </c>
      <c r="J2006" s="10">
        <v>0</v>
      </c>
      <c r="K2006" s="10">
        <v>0</v>
      </c>
      <c r="L2006" s="10">
        <v>0</v>
      </c>
      <c r="M2006" s="10">
        <v>0</v>
      </c>
      <c r="N2006" s="10" t="s">
        <v>761</v>
      </c>
      <c r="O2006" s="10" t="s">
        <v>2131</v>
      </c>
      <c r="P2006" s="105" t="e">
        <f t="shared" si="31"/>
        <v>#DIV/0!</v>
      </c>
    </row>
    <row r="2007" spans="1:16">
      <c r="A2007" s="10" t="s">
        <v>635</v>
      </c>
      <c r="B2007" s="10">
        <v>8013778</v>
      </c>
      <c r="C2007" s="10" t="s">
        <v>759</v>
      </c>
      <c r="D2007" s="10" t="s">
        <v>760</v>
      </c>
      <c r="E2007" s="10">
        <v>0</v>
      </c>
      <c r="F2007" s="10">
        <v>0</v>
      </c>
      <c r="G2007" s="10">
        <v>0</v>
      </c>
      <c r="H2007" s="10">
        <v>0</v>
      </c>
      <c r="I2007" s="10" t="s">
        <v>21</v>
      </c>
      <c r="J2007" s="10">
        <v>0</v>
      </c>
      <c r="K2007" s="10">
        <v>0</v>
      </c>
      <c r="L2007" s="10">
        <v>0</v>
      </c>
      <c r="M2007" s="10">
        <v>0</v>
      </c>
      <c r="N2007" s="10" t="s">
        <v>761</v>
      </c>
      <c r="O2007" s="10" t="s">
        <v>2132</v>
      </c>
      <c r="P2007" s="105" t="e">
        <f t="shared" si="31"/>
        <v>#DIV/0!</v>
      </c>
    </row>
    <row r="2008" spans="1:16">
      <c r="A2008" s="10" t="s">
        <v>635</v>
      </c>
      <c r="B2008" s="10">
        <v>8013779</v>
      </c>
      <c r="C2008" s="10" t="s">
        <v>759</v>
      </c>
      <c r="D2008" s="10" t="s">
        <v>760</v>
      </c>
      <c r="E2008" s="10">
        <v>0</v>
      </c>
      <c r="F2008" s="10">
        <v>0</v>
      </c>
      <c r="G2008" s="10">
        <v>0</v>
      </c>
      <c r="H2008" s="10">
        <v>0</v>
      </c>
      <c r="I2008" s="10" t="s">
        <v>21</v>
      </c>
      <c r="J2008" s="10">
        <v>0</v>
      </c>
      <c r="K2008" s="10">
        <v>0</v>
      </c>
      <c r="L2008" s="10">
        <v>0</v>
      </c>
      <c r="M2008" s="10">
        <v>0</v>
      </c>
      <c r="N2008" s="10" t="s">
        <v>761</v>
      </c>
      <c r="O2008" s="10" t="s">
        <v>2133</v>
      </c>
      <c r="P2008" s="105" t="e">
        <f t="shared" si="31"/>
        <v>#DIV/0!</v>
      </c>
    </row>
    <row r="2009" spans="1:16">
      <c r="A2009" s="10" t="s">
        <v>635</v>
      </c>
      <c r="B2009" s="10">
        <v>8013780</v>
      </c>
      <c r="C2009" s="10" t="s">
        <v>759</v>
      </c>
      <c r="D2009" s="10" t="s">
        <v>760</v>
      </c>
      <c r="E2009" s="10">
        <v>0</v>
      </c>
      <c r="F2009" s="10">
        <v>0</v>
      </c>
      <c r="G2009" s="10">
        <v>0</v>
      </c>
      <c r="H2009" s="10">
        <v>0</v>
      </c>
      <c r="I2009" s="10" t="s">
        <v>21</v>
      </c>
      <c r="J2009" s="10">
        <v>0</v>
      </c>
      <c r="K2009" s="10">
        <v>0</v>
      </c>
      <c r="L2009" s="10">
        <v>0</v>
      </c>
      <c r="M2009" s="10">
        <v>0</v>
      </c>
      <c r="N2009" s="10" t="s">
        <v>761</v>
      </c>
      <c r="O2009" s="10" t="s">
        <v>2134</v>
      </c>
      <c r="P2009" s="105" t="e">
        <f t="shared" si="31"/>
        <v>#DIV/0!</v>
      </c>
    </row>
    <row r="2010" spans="1:16">
      <c r="A2010" s="10" t="s">
        <v>635</v>
      </c>
      <c r="B2010" s="10">
        <v>8013781</v>
      </c>
      <c r="C2010" s="10" t="s">
        <v>759</v>
      </c>
      <c r="D2010" s="10" t="s">
        <v>760</v>
      </c>
      <c r="E2010" s="10">
        <v>0</v>
      </c>
      <c r="F2010" s="10">
        <v>0</v>
      </c>
      <c r="G2010" s="10">
        <v>0</v>
      </c>
      <c r="H2010" s="10">
        <v>0</v>
      </c>
      <c r="I2010" s="10" t="s">
        <v>26</v>
      </c>
      <c r="J2010" s="10">
        <v>0</v>
      </c>
      <c r="K2010" s="10">
        <v>0</v>
      </c>
      <c r="L2010" s="10">
        <v>0</v>
      </c>
      <c r="M2010" s="10">
        <v>0</v>
      </c>
      <c r="N2010" s="10" t="s">
        <v>761</v>
      </c>
      <c r="O2010" s="10" t="s">
        <v>2135</v>
      </c>
      <c r="P2010" s="105" t="e">
        <f t="shared" si="31"/>
        <v>#DIV/0!</v>
      </c>
    </row>
    <row r="2011" spans="1:16">
      <c r="A2011" s="10" t="s">
        <v>635</v>
      </c>
      <c r="B2011" s="10">
        <v>8013782</v>
      </c>
      <c r="C2011" s="10" t="s">
        <v>759</v>
      </c>
      <c r="D2011" s="10" t="s">
        <v>760</v>
      </c>
      <c r="E2011" s="10">
        <v>0</v>
      </c>
      <c r="F2011" s="10">
        <v>0</v>
      </c>
      <c r="G2011" s="10">
        <v>0</v>
      </c>
      <c r="H2011" s="10">
        <v>0</v>
      </c>
      <c r="I2011" s="10" t="s">
        <v>21</v>
      </c>
      <c r="J2011" s="10">
        <v>0</v>
      </c>
      <c r="K2011" s="10">
        <v>0</v>
      </c>
      <c r="L2011" s="10">
        <v>0</v>
      </c>
      <c r="M2011" s="10">
        <v>0</v>
      </c>
      <c r="N2011" s="10" t="s">
        <v>761</v>
      </c>
      <c r="O2011" s="10" t="s">
        <v>2136</v>
      </c>
      <c r="P2011" s="105" t="e">
        <f t="shared" si="31"/>
        <v>#DIV/0!</v>
      </c>
    </row>
    <row r="2012" spans="1:16">
      <c r="A2012" s="10" t="s">
        <v>635</v>
      </c>
      <c r="B2012" s="10">
        <v>8013783</v>
      </c>
      <c r="C2012" s="10" t="s">
        <v>759</v>
      </c>
      <c r="D2012" s="10" t="s">
        <v>760</v>
      </c>
      <c r="E2012" s="10">
        <v>0</v>
      </c>
      <c r="F2012" s="10">
        <v>0</v>
      </c>
      <c r="G2012" s="10">
        <v>0</v>
      </c>
      <c r="H2012" s="10">
        <v>0</v>
      </c>
      <c r="I2012" s="10" t="s">
        <v>26</v>
      </c>
      <c r="J2012" s="10">
        <v>0</v>
      </c>
      <c r="K2012" s="10">
        <v>0</v>
      </c>
      <c r="L2012" s="10">
        <v>0</v>
      </c>
      <c r="M2012" s="10">
        <v>0</v>
      </c>
      <c r="N2012" s="10" t="s">
        <v>761</v>
      </c>
      <c r="O2012" s="10" t="s">
        <v>2137</v>
      </c>
      <c r="P2012" s="105" t="e">
        <f t="shared" si="31"/>
        <v>#DIV/0!</v>
      </c>
    </row>
    <row r="2013" spans="1:16">
      <c r="A2013" s="10" t="s">
        <v>635</v>
      </c>
      <c r="B2013" s="10">
        <v>8013784</v>
      </c>
      <c r="C2013" s="10" t="s">
        <v>759</v>
      </c>
      <c r="D2013" s="10" t="s">
        <v>760</v>
      </c>
      <c r="E2013" s="10">
        <v>0</v>
      </c>
      <c r="F2013" s="10">
        <v>0</v>
      </c>
      <c r="G2013" s="10">
        <v>0</v>
      </c>
      <c r="H2013" s="10">
        <v>0</v>
      </c>
      <c r="I2013" s="10" t="s">
        <v>26</v>
      </c>
      <c r="J2013" s="10">
        <v>0</v>
      </c>
      <c r="K2013" s="10">
        <v>0</v>
      </c>
      <c r="L2013" s="10">
        <v>0</v>
      </c>
      <c r="M2013" s="10">
        <v>0</v>
      </c>
      <c r="N2013" s="10" t="s">
        <v>761</v>
      </c>
      <c r="O2013" s="10" t="s">
        <v>2138</v>
      </c>
      <c r="P2013" s="105" t="e">
        <f t="shared" si="31"/>
        <v>#DIV/0!</v>
      </c>
    </row>
    <row r="2014" spans="1:16">
      <c r="A2014" s="10" t="s">
        <v>635</v>
      </c>
      <c r="B2014" s="10">
        <v>8013785</v>
      </c>
      <c r="C2014" s="10" t="s">
        <v>759</v>
      </c>
      <c r="D2014" s="10" t="s">
        <v>760</v>
      </c>
      <c r="E2014" s="10">
        <v>0</v>
      </c>
      <c r="F2014" s="10">
        <v>0</v>
      </c>
      <c r="G2014" s="10">
        <v>0</v>
      </c>
      <c r="H2014" s="10">
        <v>0</v>
      </c>
      <c r="I2014" s="10" t="s">
        <v>21</v>
      </c>
      <c r="J2014" s="10">
        <v>0</v>
      </c>
      <c r="K2014" s="10">
        <v>0</v>
      </c>
      <c r="L2014" s="10">
        <v>0</v>
      </c>
      <c r="M2014" s="10">
        <v>0</v>
      </c>
      <c r="N2014" s="10" t="s">
        <v>761</v>
      </c>
      <c r="O2014" s="10" t="s">
        <v>2139</v>
      </c>
      <c r="P2014" s="105" t="e">
        <f t="shared" si="31"/>
        <v>#DIV/0!</v>
      </c>
    </row>
    <row r="2015" spans="1:16">
      <c r="A2015" s="10" t="s">
        <v>635</v>
      </c>
      <c r="B2015" s="10">
        <v>8013808</v>
      </c>
      <c r="C2015" s="10" t="s">
        <v>759</v>
      </c>
      <c r="D2015" s="10" t="s">
        <v>760</v>
      </c>
      <c r="E2015" s="10">
        <v>0</v>
      </c>
      <c r="F2015" s="10">
        <v>0</v>
      </c>
      <c r="G2015" s="10">
        <v>0</v>
      </c>
      <c r="H2015" s="10">
        <v>0</v>
      </c>
      <c r="I2015" s="10" t="s">
        <v>21</v>
      </c>
      <c r="J2015" s="10">
        <v>0</v>
      </c>
      <c r="K2015" s="10">
        <v>0</v>
      </c>
      <c r="L2015" s="10">
        <v>0</v>
      </c>
      <c r="M2015" s="10">
        <v>0</v>
      </c>
      <c r="N2015" s="10" t="s">
        <v>761</v>
      </c>
      <c r="O2015" s="10" t="s">
        <v>2140</v>
      </c>
      <c r="P2015" s="105" t="e">
        <f t="shared" si="31"/>
        <v>#DIV/0!</v>
      </c>
    </row>
    <row r="2016" spans="1:16">
      <c r="A2016" s="10" t="s">
        <v>635</v>
      </c>
      <c r="B2016" s="10">
        <v>8014291</v>
      </c>
      <c r="C2016" s="10" t="s">
        <v>759</v>
      </c>
      <c r="D2016" s="10" t="s">
        <v>760</v>
      </c>
      <c r="E2016" s="10">
        <v>0</v>
      </c>
      <c r="F2016" s="10">
        <v>0</v>
      </c>
      <c r="G2016" s="10">
        <v>0</v>
      </c>
      <c r="H2016" s="10">
        <v>0</v>
      </c>
      <c r="I2016" s="10" t="s">
        <v>21</v>
      </c>
      <c r="J2016" s="10">
        <v>0</v>
      </c>
      <c r="K2016" s="10">
        <v>0</v>
      </c>
      <c r="L2016" s="10">
        <v>0</v>
      </c>
      <c r="M2016" s="10">
        <v>0</v>
      </c>
      <c r="N2016" s="10" t="s">
        <v>761</v>
      </c>
      <c r="O2016" s="10" t="s">
        <v>2141</v>
      </c>
      <c r="P2016" s="105" t="e">
        <f t="shared" si="31"/>
        <v>#DIV/0!</v>
      </c>
    </row>
    <row r="2017" spans="1:16">
      <c r="A2017" s="10" t="s">
        <v>635</v>
      </c>
      <c r="B2017" s="10">
        <v>8014292</v>
      </c>
      <c r="C2017" s="10" t="s">
        <v>759</v>
      </c>
      <c r="D2017" s="10" t="s">
        <v>760</v>
      </c>
      <c r="E2017" s="10">
        <v>0</v>
      </c>
      <c r="F2017" s="10">
        <v>0</v>
      </c>
      <c r="G2017" s="10">
        <v>0</v>
      </c>
      <c r="H2017" s="10">
        <v>0</v>
      </c>
      <c r="I2017" s="10" t="s">
        <v>21</v>
      </c>
      <c r="J2017" s="10">
        <v>0</v>
      </c>
      <c r="K2017" s="10">
        <v>0</v>
      </c>
      <c r="L2017" s="10">
        <v>0</v>
      </c>
      <c r="M2017" s="10">
        <v>0</v>
      </c>
      <c r="N2017" s="10" t="s">
        <v>761</v>
      </c>
      <c r="O2017" s="10" t="s">
        <v>2142</v>
      </c>
      <c r="P2017" s="105" t="e">
        <f t="shared" si="31"/>
        <v>#DIV/0!</v>
      </c>
    </row>
    <row r="2018" spans="1:16">
      <c r="A2018" s="10" t="s">
        <v>635</v>
      </c>
      <c r="B2018" s="10">
        <v>8014293</v>
      </c>
      <c r="C2018" s="10" t="s">
        <v>759</v>
      </c>
      <c r="D2018" s="10" t="s">
        <v>760</v>
      </c>
      <c r="E2018" s="10">
        <v>0</v>
      </c>
      <c r="F2018" s="10">
        <v>0</v>
      </c>
      <c r="G2018" s="10">
        <v>0</v>
      </c>
      <c r="H2018" s="10">
        <v>0</v>
      </c>
      <c r="I2018" s="10" t="s">
        <v>21</v>
      </c>
      <c r="J2018" s="10">
        <v>0</v>
      </c>
      <c r="K2018" s="10">
        <v>0</v>
      </c>
      <c r="L2018" s="10">
        <v>0</v>
      </c>
      <c r="M2018" s="10">
        <v>0</v>
      </c>
      <c r="N2018" s="10" t="s">
        <v>761</v>
      </c>
      <c r="O2018" s="10" t="s">
        <v>2143</v>
      </c>
      <c r="P2018" s="105" t="e">
        <f t="shared" si="31"/>
        <v>#DIV/0!</v>
      </c>
    </row>
    <row r="2019" spans="1:16">
      <c r="A2019" s="10" t="s">
        <v>635</v>
      </c>
      <c r="B2019" s="10">
        <v>8014294</v>
      </c>
      <c r="C2019" s="10" t="s">
        <v>759</v>
      </c>
      <c r="D2019" s="10" t="s">
        <v>760</v>
      </c>
      <c r="E2019" s="10">
        <v>0</v>
      </c>
      <c r="F2019" s="10">
        <v>0</v>
      </c>
      <c r="G2019" s="10">
        <v>0</v>
      </c>
      <c r="H2019" s="10">
        <v>0</v>
      </c>
      <c r="I2019" s="10" t="s">
        <v>21</v>
      </c>
      <c r="J2019" s="10">
        <v>0</v>
      </c>
      <c r="K2019" s="10">
        <v>0</v>
      </c>
      <c r="L2019" s="10">
        <v>0</v>
      </c>
      <c r="M2019" s="10">
        <v>0</v>
      </c>
      <c r="N2019" s="10" t="s">
        <v>761</v>
      </c>
      <c r="O2019" s="10" t="s">
        <v>2144</v>
      </c>
      <c r="P2019" s="105" t="e">
        <f t="shared" si="31"/>
        <v>#DIV/0!</v>
      </c>
    </row>
    <row r="2020" spans="1:16">
      <c r="A2020" s="10" t="s">
        <v>635</v>
      </c>
      <c r="B2020" s="10">
        <v>8014295</v>
      </c>
      <c r="C2020" s="10" t="s">
        <v>759</v>
      </c>
      <c r="D2020" s="10" t="s">
        <v>760</v>
      </c>
      <c r="E2020" s="10">
        <v>0</v>
      </c>
      <c r="F2020" s="10">
        <v>0</v>
      </c>
      <c r="G2020" s="10">
        <v>0</v>
      </c>
      <c r="H2020" s="10">
        <v>0</v>
      </c>
      <c r="I2020" s="10" t="s">
        <v>21</v>
      </c>
      <c r="J2020" s="10">
        <v>0</v>
      </c>
      <c r="K2020" s="10">
        <v>0</v>
      </c>
      <c r="L2020" s="10">
        <v>0</v>
      </c>
      <c r="M2020" s="10">
        <v>0</v>
      </c>
      <c r="N2020" s="10" t="s">
        <v>761</v>
      </c>
      <c r="O2020" s="10" t="s">
        <v>2145</v>
      </c>
      <c r="P2020" s="105" t="e">
        <f t="shared" si="31"/>
        <v>#DIV/0!</v>
      </c>
    </row>
    <row r="2021" spans="1:16">
      <c r="A2021" s="10" t="s">
        <v>635</v>
      </c>
      <c r="B2021" s="10">
        <v>8014296</v>
      </c>
      <c r="C2021" s="10" t="s">
        <v>759</v>
      </c>
      <c r="D2021" s="10" t="s">
        <v>760</v>
      </c>
      <c r="E2021" s="10">
        <v>0</v>
      </c>
      <c r="F2021" s="10">
        <v>0</v>
      </c>
      <c r="G2021" s="10">
        <v>0</v>
      </c>
      <c r="H2021" s="10">
        <v>0</v>
      </c>
      <c r="I2021" s="10" t="s">
        <v>41</v>
      </c>
      <c r="J2021" s="10">
        <v>0</v>
      </c>
      <c r="K2021" s="10">
        <v>0</v>
      </c>
      <c r="L2021" s="10">
        <v>0</v>
      </c>
      <c r="M2021" s="10">
        <v>0</v>
      </c>
      <c r="N2021" s="10" t="s">
        <v>761</v>
      </c>
      <c r="O2021" s="10" t="s">
        <v>2146</v>
      </c>
      <c r="P2021" s="105" t="e">
        <f t="shared" si="31"/>
        <v>#DIV/0!</v>
      </c>
    </row>
    <row r="2022" spans="1:16">
      <c r="A2022" s="10" t="s">
        <v>635</v>
      </c>
      <c r="B2022" s="10">
        <v>8014297</v>
      </c>
      <c r="C2022" s="10" t="s">
        <v>759</v>
      </c>
      <c r="D2022" s="10" t="s">
        <v>760</v>
      </c>
      <c r="E2022" s="10">
        <v>0</v>
      </c>
      <c r="F2022" s="10">
        <v>0</v>
      </c>
      <c r="G2022" s="10">
        <v>0</v>
      </c>
      <c r="H2022" s="10">
        <v>0</v>
      </c>
      <c r="I2022" s="10" t="s">
        <v>21</v>
      </c>
      <c r="J2022" s="10">
        <v>0</v>
      </c>
      <c r="K2022" s="10">
        <v>0</v>
      </c>
      <c r="L2022" s="10">
        <v>0</v>
      </c>
      <c r="M2022" s="10">
        <v>0</v>
      </c>
      <c r="N2022" s="10" t="s">
        <v>761</v>
      </c>
      <c r="O2022" s="10" t="s">
        <v>2147</v>
      </c>
      <c r="P2022" s="105" t="e">
        <f t="shared" si="31"/>
        <v>#DIV/0!</v>
      </c>
    </row>
    <row r="2023" spans="1:16">
      <c r="A2023" s="10" t="s">
        <v>635</v>
      </c>
      <c r="B2023" s="10">
        <v>8014298</v>
      </c>
      <c r="C2023" s="10" t="s">
        <v>759</v>
      </c>
      <c r="D2023" s="10" t="s">
        <v>760</v>
      </c>
      <c r="E2023" s="10">
        <v>0</v>
      </c>
      <c r="F2023" s="10">
        <v>0</v>
      </c>
      <c r="G2023" s="10">
        <v>0</v>
      </c>
      <c r="H2023" s="10">
        <v>0</v>
      </c>
      <c r="I2023" s="10" t="s">
        <v>21</v>
      </c>
      <c r="J2023" s="10">
        <v>0</v>
      </c>
      <c r="K2023" s="10">
        <v>0</v>
      </c>
      <c r="L2023" s="10">
        <v>0</v>
      </c>
      <c r="M2023" s="10">
        <v>0</v>
      </c>
      <c r="N2023" s="10" t="s">
        <v>761</v>
      </c>
      <c r="O2023" s="10" t="s">
        <v>2148</v>
      </c>
      <c r="P2023" s="105" t="e">
        <f t="shared" si="31"/>
        <v>#DIV/0!</v>
      </c>
    </row>
    <row r="2024" spans="1:16">
      <c r="A2024" s="10" t="s">
        <v>635</v>
      </c>
      <c r="B2024" s="10">
        <v>8014299</v>
      </c>
      <c r="C2024" s="10" t="s">
        <v>759</v>
      </c>
      <c r="D2024" s="10" t="s">
        <v>760</v>
      </c>
      <c r="E2024" s="10">
        <v>0</v>
      </c>
      <c r="F2024" s="10">
        <v>0</v>
      </c>
      <c r="G2024" s="10">
        <v>0</v>
      </c>
      <c r="H2024" s="10">
        <v>0</v>
      </c>
      <c r="I2024" s="10" t="s">
        <v>21</v>
      </c>
      <c r="J2024" s="10">
        <v>0</v>
      </c>
      <c r="K2024" s="10">
        <v>0</v>
      </c>
      <c r="L2024" s="10">
        <v>0</v>
      </c>
      <c r="M2024" s="10">
        <v>0</v>
      </c>
      <c r="N2024" s="10" t="s">
        <v>761</v>
      </c>
      <c r="O2024" s="10" t="s">
        <v>2149</v>
      </c>
      <c r="P2024" s="105" t="e">
        <f t="shared" si="31"/>
        <v>#DIV/0!</v>
      </c>
    </row>
    <row r="2025" spans="1:16">
      <c r="A2025" s="10" t="s">
        <v>635</v>
      </c>
      <c r="B2025" s="10">
        <v>8014300</v>
      </c>
      <c r="C2025" s="10" t="s">
        <v>759</v>
      </c>
      <c r="D2025" s="10" t="s">
        <v>760</v>
      </c>
      <c r="E2025" s="10">
        <v>0</v>
      </c>
      <c r="F2025" s="10">
        <v>0</v>
      </c>
      <c r="G2025" s="10">
        <v>0</v>
      </c>
      <c r="H2025" s="10">
        <v>0</v>
      </c>
      <c r="I2025" s="10" t="s">
        <v>21</v>
      </c>
      <c r="J2025" s="10">
        <v>0</v>
      </c>
      <c r="K2025" s="10">
        <v>0</v>
      </c>
      <c r="L2025" s="10">
        <v>0</v>
      </c>
      <c r="M2025" s="10">
        <v>0</v>
      </c>
      <c r="N2025" s="10" t="s">
        <v>761</v>
      </c>
      <c r="O2025" s="10" t="s">
        <v>2150</v>
      </c>
      <c r="P2025" s="105" t="e">
        <f t="shared" si="31"/>
        <v>#DIV/0!</v>
      </c>
    </row>
    <row r="2026" spans="1:16">
      <c r="A2026" s="10" t="s">
        <v>635</v>
      </c>
      <c r="B2026" s="10">
        <v>8014301</v>
      </c>
      <c r="C2026" s="10" t="s">
        <v>759</v>
      </c>
      <c r="D2026" s="10" t="s">
        <v>760</v>
      </c>
      <c r="E2026" s="10">
        <v>0</v>
      </c>
      <c r="F2026" s="10">
        <v>0</v>
      </c>
      <c r="G2026" s="10">
        <v>0</v>
      </c>
      <c r="H2026" s="10">
        <v>0</v>
      </c>
      <c r="I2026" s="10" t="s">
        <v>21</v>
      </c>
      <c r="J2026" s="10">
        <v>0</v>
      </c>
      <c r="K2026" s="10">
        <v>0</v>
      </c>
      <c r="L2026" s="10">
        <v>0</v>
      </c>
      <c r="M2026" s="10">
        <v>0</v>
      </c>
      <c r="N2026" s="10" t="s">
        <v>761</v>
      </c>
      <c r="O2026" s="10" t="s">
        <v>2151</v>
      </c>
      <c r="P2026" s="105" t="e">
        <f t="shared" si="31"/>
        <v>#DIV/0!</v>
      </c>
    </row>
    <row r="2027" spans="1:16">
      <c r="A2027" s="10" t="s">
        <v>635</v>
      </c>
      <c r="B2027" s="10">
        <v>8014302</v>
      </c>
      <c r="C2027" s="10" t="s">
        <v>759</v>
      </c>
      <c r="D2027" s="10" t="s">
        <v>760</v>
      </c>
      <c r="E2027" s="10">
        <v>0</v>
      </c>
      <c r="F2027" s="10">
        <v>0</v>
      </c>
      <c r="G2027" s="10">
        <v>0</v>
      </c>
      <c r="H2027" s="10">
        <v>0</v>
      </c>
      <c r="I2027" s="10" t="s">
        <v>21</v>
      </c>
      <c r="J2027" s="10">
        <v>0</v>
      </c>
      <c r="K2027" s="10">
        <v>0</v>
      </c>
      <c r="L2027" s="10">
        <v>0</v>
      </c>
      <c r="M2027" s="10">
        <v>0</v>
      </c>
      <c r="N2027" s="10" t="s">
        <v>761</v>
      </c>
      <c r="O2027" s="10" t="s">
        <v>2152</v>
      </c>
      <c r="P2027" s="105" t="e">
        <f t="shared" si="31"/>
        <v>#DIV/0!</v>
      </c>
    </row>
    <row r="2028" spans="1:16">
      <c r="A2028" s="10" t="s">
        <v>635</v>
      </c>
      <c r="B2028" s="10">
        <v>8014304</v>
      </c>
      <c r="C2028" s="10" t="s">
        <v>759</v>
      </c>
      <c r="D2028" s="10" t="s">
        <v>760</v>
      </c>
      <c r="E2028" s="10">
        <v>0</v>
      </c>
      <c r="F2028" s="10">
        <v>0</v>
      </c>
      <c r="G2028" s="10">
        <v>0</v>
      </c>
      <c r="H2028" s="10">
        <v>0</v>
      </c>
      <c r="I2028" s="10" t="s">
        <v>21</v>
      </c>
      <c r="J2028" s="10">
        <v>0</v>
      </c>
      <c r="K2028" s="10">
        <v>0</v>
      </c>
      <c r="L2028" s="10">
        <v>0</v>
      </c>
      <c r="M2028" s="10">
        <v>0</v>
      </c>
      <c r="N2028" s="10" t="s">
        <v>761</v>
      </c>
      <c r="O2028" s="10" t="s">
        <v>2153</v>
      </c>
      <c r="P2028" s="105" t="e">
        <f t="shared" si="31"/>
        <v>#DIV/0!</v>
      </c>
    </row>
    <row r="2029" spans="1:16">
      <c r="A2029" s="10" t="s">
        <v>635</v>
      </c>
      <c r="B2029" s="10">
        <v>8014305</v>
      </c>
      <c r="C2029" s="10" t="s">
        <v>759</v>
      </c>
      <c r="D2029" s="10" t="s">
        <v>760</v>
      </c>
      <c r="E2029" s="10">
        <v>0</v>
      </c>
      <c r="F2029" s="10">
        <v>0</v>
      </c>
      <c r="G2029" s="10">
        <v>0</v>
      </c>
      <c r="H2029" s="10">
        <v>0</v>
      </c>
      <c r="I2029" s="10" t="s">
        <v>21</v>
      </c>
      <c r="J2029" s="10">
        <v>0</v>
      </c>
      <c r="K2029" s="10">
        <v>0</v>
      </c>
      <c r="L2029" s="10">
        <v>0</v>
      </c>
      <c r="M2029" s="10">
        <v>0</v>
      </c>
      <c r="N2029" s="10" t="s">
        <v>761</v>
      </c>
      <c r="O2029" s="10" t="s">
        <v>2154</v>
      </c>
      <c r="P2029" s="105" t="e">
        <f t="shared" si="31"/>
        <v>#DIV/0!</v>
      </c>
    </row>
    <row r="2030" spans="1:16">
      <c r="A2030" s="10" t="s">
        <v>635</v>
      </c>
      <c r="B2030" s="10">
        <v>8014306</v>
      </c>
      <c r="C2030" s="10" t="s">
        <v>759</v>
      </c>
      <c r="D2030" s="10" t="s">
        <v>760</v>
      </c>
      <c r="E2030" s="10">
        <v>0</v>
      </c>
      <c r="F2030" s="10">
        <v>0</v>
      </c>
      <c r="G2030" s="10">
        <v>0</v>
      </c>
      <c r="H2030" s="10">
        <v>0</v>
      </c>
      <c r="I2030" s="10" t="s">
        <v>21</v>
      </c>
      <c r="J2030" s="10">
        <v>0</v>
      </c>
      <c r="K2030" s="10">
        <v>0</v>
      </c>
      <c r="L2030" s="10">
        <v>0</v>
      </c>
      <c r="M2030" s="10">
        <v>0</v>
      </c>
      <c r="N2030" s="10" t="s">
        <v>761</v>
      </c>
      <c r="O2030" s="10" t="s">
        <v>2155</v>
      </c>
      <c r="P2030" s="105" t="e">
        <f t="shared" si="31"/>
        <v>#DIV/0!</v>
      </c>
    </row>
    <row r="2031" spans="1:16">
      <c r="A2031" s="10" t="s">
        <v>635</v>
      </c>
      <c r="B2031" s="10">
        <v>8014307</v>
      </c>
      <c r="C2031" s="10" t="s">
        <v>759</v>
      </c>
      <c r="D2031" s="10" t="s">
        <v>760</v>
      </c>
      <c r="E2031" s="10">
        <v>0</v>
      </c>
      <c r="F2031" s="10">
        <v>0</v>
      </c>
      <c r="G2031" s="10">
        <v>0</v>
      </c>
      <c r="H2031" s="10">
        <v>0</v>
      </c>
      <c r="I2031" s="10" t="s">
        <v>21</v>
      </c>
      <c r="J2031" s="10">
        <v>0</v>
      </c>
      <c r="K2031" s="10">
        <v>0</v>
      </c>
      <c r="L2031" s="10">
        <v>0</v>
      </c>
      <c r="M2031" s="10">
        <v>0</v>
      </c>
      <c r="N2031" s="10" t="s">
        <v>761</v>
      </c>
      <c r="O2031" s="10" t="s">
        <v>2156</v>
      </c>
      <c r="P2031" s="105" t="e">
        <f t="shared" si="31"/>
        <v>#DIV/0!</v>
      </c>
    </row>
    <row r="2032" spans="1:16">
      <c r="A2032" s="10" t="s">
        <v>635</v>
      </c>
      <c r="B2032" s="10">
        <v>8014308</v>
      </c>
      <c r="C2032" s="10" t="s">
        <v>759</v>
      </c>
      <c r="D2032" s="10" t="s">
        <v>760</v>
      </c>
      <c r="E2032" s="10">
        <v>0</v>
      </c>
      <c r="F2032" s="10">
        <v>0</v>
      </c>
      <c r="G2032" s="10">
        <v>0</v>
      </c>
      <c r="H2032" s="10">
        <v>0</v>
      </c>
      <c r="I2032" s="10" t="s">
        <v>26</v>
      </c>
      <c r="J2032" s="10">
        <v>0</v>
      </c>
      <c r="K2032" s="10">
        <v>0</v>
      </c>
      <c r="L2032" s="10">
        <v>0</v>
      </c>
      <c r="M2032" s="10">
        <v>0</v>
      </c>
      <c r="N2032" s="10" t="s">
        <v>761</v>
      </c>
      <c r="O2032" s="10" t="s">
        <v>2157</v>
      </c>
      <c r="P2032" s="105" t="e">
        <f t="shared" si="31"/>
        <v>#DIV/0!</v>
      </c>
    </row>
    <row r="2033" spans="1:16">
      <c r="A2033" s="10" t="s">
        <v>635</v>
      </c>
      <c r="B2033" s="10">
        <v>8014309</v>
      </c>
      <c r="C2033" s="10" t="s">
        <v>759</v>
      </c>
      <c r="D2033" s="10" t="s">
        <v>760</v>
      </c>
      <c r="E2033" s="10">
        <v>0</v>
      </c>
      <c r="F2033" s="10">
        <v>0</v>
      </c>
      <c r="G2033" s="10">
        <v>0</v>
      </c>
      <c r="H2033" s="10">
        <v>0</v>
      </c>
      <c r="I2033" s="10" t="s">
        <v>97</v>
      </c>
      <c r="J2033" s="10">
        <v>0</v>
      </c>
      <c r="K2033" s="10">
        <v>0</v>
      </c>
      <c r="L2033" s="10">
        <v>0</v>
      </c>
      <c r="M2033" s="10">
        <v>0</v>
      </c>
      <c r="N2033" s="10" t="s">
        <v>761</v>
      </c>
      <c r="O2033" s="10" t="s">
        <v>2158</v>
      </c>
      <c r="P2033" s="105" t="e">
        <f t="shared" si="31"/>
        <v>#DIV/0!</v>
      </c>
    </row>
    <row r="2034" spans="1:16">
      <c r="A2034" s="10" t="s">
        <v>635</v>
      </c>
      <c r="B2034" s="10">
        <v>8014311</v>
      </c>
      <c r="C2034" s="10" t="s">
        <v>759</v>
      </c>
      <c r="D2034" s="10" t="s">
        <v>760</v>
      </c>
      <c r="E2034" s="10">
        <v>0</v>
      </c>
      <c r="F2034" s="10">
        <v>0</v>
      </c>
      <c r="G2034" s="10">
        <v>0</v>
      </c>
      <c r="H2034" s="10">
        <v>0</v>
      </c>
      <c r="I2034" s="10" t="s">
        <v>97</v>
      </c>
      <c r="J2034" s="10">
        <v>0</v>
      </c>
      <c r="K2034" s="10">
        <v>0</v>
      </c>
      <c r="L2034" s="10">
        <v>0</v>
      </c>
      <c r="M2034" s="10">
        <v>0</v>
      </c>
      <c r="N2034" s="10" t="s">
        <v>761</v>
      </c>
      <c r="O2034" s="10" t="s">
        <v>2159</v>
      </c>
      <c r="P2034" s="105" t="e">
        <f t="shared" si="31"/>
        <v>#DIV/0!</v>
      </c>
    </row>
    <row r="2035" spans="1:16">
      <c r="A2035" s="10" t="s">
        <v>635</v>
      </c>
      <c r="B2035" s="10">
        <v>8014313</v>
      </c>
      <c r="C2035" s="10" t="s">
        <v>759</v>
      </c>
      <c r="D2035" s="10" t="s">
        <v>760</v>
      </c>
      <c r="E2035" s="10">
        <v>0</v>
      </c>
      <c r="F2035" s="10">
        <v>0</v>
      </c>
      <c r="G2035" s="10">
        <v>0</v>
      </c>
      <c r="H2035" s="10">
        <v>0</v>
      </c>
      <c r="I2035" s="10" t="s">
        <v>97</v>
      </c>
      <c r="J2035" s="10">
        <v>0</v>
      </c>
      <c r="K2035" s="10">
        <v>0</v>
      </c>
      <c r="L2035" s="10">
        <v>0</v>
      </c>
      <c r="M2035" s="10">
        <v>0</v>
      </c>
      <c r="N2035" s="10" t="s">
        <v>761</v>
      </c>
      <c r="O2035" s="10" t="s">
        <v>2160</v>
      </c>
      <c r="P2035" s="105" t="e">
        <f t="shared" si="31"/>
        <v>#DIV/0!</v>
      </c>
    </row>
    <row r="2036" spans="1:16">
      <c r="A2036" s="10" t="s">
        <v>635</v>
      </c>
      <c r="B2036" s="10">
        <v>8014314</v>
      </c>
      <c r="C2036" s="10" t="s">
        <v>759</v>
      </c>
      <c r="D2036" s="10" t="s">
        <v>760</v>
      </c>
      <c r="E2036" s="10">
        <v>0</v>
      </c>
      <c r="F2036" s="10">
        <v>0</v>
      </c>
      <c r="G2036" s="10">
        <v>0</v>
      </c>
      <c r="H2036" s="10">
        <v>0</v>
      </c>
      <c r="I2036" s="10" t="s">
        <v>97</v>
      </c>
      <c r="J2036" s="10">
        <v>0</v>
      </c>
      <c r="K2036" s="10">
        <v>0</v>
      </c>
      <c r="L2036" s="10">
        <v>0</v>
      </c>
      <c r="M2036" s="10">
        <v>0</v>
      </c>
      <c r="N2036" s="10" t="s">
        <v>761</v>
      </c>
      <c r="O2036" s="10" t="s">
        <v>2161</v>
      </c>
      <c r="P2036" s="105" t="e">
        <f t="shared" si="31"/>
        <v>#DIV/0!</v>
      </c>
    </row>
    <row r="2037" spans="1:16">
      <c r="A2037" s="10" t="s">
        <v>635</v>
      </c>
      <c r="B2037" s="10">
        <v>8014315</v>
      </c>
      <c r="C2037" s="10" t="s">
        <v>759</v>
      </c>
      <c r="D2037" s="10" t="s">
        <v>760</v>
      </c>
      <c r="E2037" s="10">
        <v>0</v>
      </c>
      <c r="F2037" s="10">
        <v>0</v>
      </c>
      <c r="G2037" s="10">
        <v>0</v>
      </c>
      <c r="H2037" s="10">
        <v>0</v>
      </c>
      <c r="I2037" s="10" t="s">
        <v>97</v>
      </c>
      <c r="J2037" s="10">
        <v>0</v>
      </c>
      <c r="K2037" s="10">
        <v>0</v>
      </c>
      <c r="L2037" s="10">
        <v>0</v>
      </c>
      <c r="M2037" s="10">
        <v>0</v>
      </c>
      <c r="N2037" s="10" t="s">
        <v>761</v>
      </c>
      <c r="O2037" s="10" t="s">
        <v>2162</v>
      </c>
      <c r="P2037" s="105" t="e">
        <f t="shared" si="31"/>
        <v>#DIV/0!</v>
      </c>
    </row>
    <row r="2038" spans="1:16">
      <c r="A2038" s="10" t="s">
        <v>635</v>
      </c>
      <c r="B2038" s="10">
        <v>8014316</v>
      </c>
      <c r="C2038" s="10" t="s">
        <v>759</v>
      </c>
      <c r="D2038" s="10" t="s">
        <v>760</v>
      </c>
      <c r="E2038" s="10">
        <v>0</v>
      </c>
      <c r="F2038" s="10">
        <v>0</v>
      </c>
      <c r="G2038" s="10">
        <v>0</v>
      </c>
      <c r="H2038" s="10">
        <v>0</v>
      </c>
      <c r="I2038" s="10" t="s">
        <v>97</v>
      </c>
      <c r="J2038" s="10">
        <v>0</v>
      </c>
      <c r="K2038" s="10">
        <v>0</v>
      </c>
      <c r="L2038" s="10">
        <v>0</v>
      </c>
      <c r="M2038" s="10">
        <v>0</v>
      </c>
      <c r="N2038" s="10" t="s">
        <v>761</v>
      </c>
      <c r="O2038" s="10" t="s">
        <v>2163</v>
      </c>
      <c r="P2038" s="105" t="e">
        <f t="shared" si="31"/>
        <v>#DIV/0!</v>
      </c>
    </row>
    <row r="2039" spans="1:16">
      <c r="A2039" s="10" t="s">
        <v>635</v>
      </c>
      <c r="B2039" s="10">
        <v>8014317</v>
      </c>
      <c r="C2039" s="10" t="s">
        <v>759</v>
      </c>
      <c r="D2039" s="10" t="s">
        <v>760</v>
      </c>
      <c r="E2039" s="10">
        <v>0</v>
      </c>
      <c r="F2039" s="10">
        <v>0</v>
      </c>
      <c r="G2039" s="10">
        <v>0</v>
      </c>
      <c r="H2039" s="10">
        <v>0</v>
      </c>
      <c r="I2039" s="10" t="s">
        <v>97</v>
      </c>
      <c r="J2039" s="10">
        <v>0</v>
      </c>
      <c r="K2039" s="10">
        <v>0</v>
      </c>
      <c r="L2039" s="10">
        <v>0</v>
      </c>
      <c r="M2039" s="10">
        <v>0</v>
      </c>
      <c r="N2039" s="10" t="s">
        <v>761</v>
      </c>
      <c r="O2039" s="10" t="s">
        <v>2164</v>
      </c>
      <c r="P2039" s="105" t="e">
        <f t="shared" si="31"/>
        <v>#DIV/0!</v>
      </c>
    </row>
    <row r="2040" spans="1:16">
      <c r="A2040" s="10" t="s">
        <v>635</v>
      </c>
      <c r="B2040" s="10">
        <v>8014318</v>
      </c>
      <c r="C2040" s="10" t="s">
        <v>759</v>
      </c>
      <c r="D2040" s="10" t="s">
        <v>760</v>
      </c>
      <c r="E2040" s="10">
        <v>0</v>
      </c>
      <c r="F2040" s="10">
        <v>0</v>
      </c>
      <c r="G2040" s="10">
        <v>0</v>
      </c>
      <c r="H2040" s="10">
        <v>0</v>
      </c>
      <c r="I2040" s="10" t="s">
        <v>26</v>
      </c>
      <c r="J2040" s="10">
        <v>0</v>
      </c>
      <c r="K2040" s="10">
        <v>0</v>
      </c>
      <c r="L2040" s="10">
        <v>0</v>
      </c>
      <c r="M2040" s="10">
        <v>0</v>
      </c>
      <c r="N2040" s="10" t="s">
        <v>761</v>
      </c>
      <c r="O2040" s="10" t="s">
        <v>2165</v>
      </c>
      <c r="P2040" s="105" t="e">
        <f t="shared" si="31"/>
        <v>#DIV/0!</v>
      </c>
    </row>
    <row r="2041" spans="1:16">
      <c r="A2041" s="10" t="s">
        <v>635</v>
      </c>
      <c r="B2041" s="10">
        <v>8014319</v>
      </c>
      <c r="C2041" s="10" t="s">
        <v>759</v>
      </c>
      <c r="D2041" s="10" t="s">
        <v>760</v>
      </c>
      <c r="E2041" s="10">
        <v>0</v>
      </c>
      <c r="F2041" s="10">
        <v>0</v>
      </c>
      <c r="G2041" s="10">
        <v>0</v>
      </c>
      <c r="H2041" s="10">
        <v>0</v>
      </c>
      <c r="I2041" s="10" t="s">
        <v>26</v>
      </c>
      <c r="J2041" s="10">
        <v>0</v>
      </c>
      <c r="K2041" s="10">
        <v>0</v>
      </c>
      <c r="L2041" s="10">
        <v>0</v>
      </c>
      <c r="M2041" s="10">
        <v>0</v>
      </c>
      <c r="N2041" s="10" t="s">
        <v>761</v>
      </c>
      <c r="O2041" s="10" t="s">
        <v>2166</v>
      </c>
      <c r="P2041" s="105" t="e">
        <f t="shared" si="31"/>
        <v>#DIV/0!</v>
      </c>
    </row>
    <row r="2042" spans="1:16">
      <c r="A2042" s="10" t="s">
        <v>635</v>
      </c>
      <c r="B2042" s="10">
        <v>8014320</v>
      </c>
      <c r="C2042" s="10" t="s">
        <v>759</v>
      </c>
      <c r="D2042" s="10" t="s">
        <v>760</v>
      </c>
      <c r="E2042" s="10">
        <v>0</v>
      </c>
      <c r="F2042" s="10">
        <v>0</v>
      </c>
      <c r="G2042" s="10">
        <v>0</v>
      </c>
      <c r="H2042" s="10">
        <v>0</v>
      </c>
      <c r="I2042" s="10" t="s">
        <v>97</v>
      </c>
      <c r="J2042" s="10">
        <v>0</v>
      </c>
      <c r="K2042" s="10">
        <v>0</v>
      </c>
      <c r="L2042" s="10">
        <v>0</v>
      </c>
      <c r="M2042" s="10">
        <v>0</v>
      </c>
      <c r="N2042" s="10" t="s">
        <v>761</v>
      </c>
      <c r="O2042" s="10" t="s">
        <v>2167</v>
      </c>
      <c r="P2042" s="105" t="e">
        <f t="shared" si="31"/>
        <v>#DIV/0!</v>
      </c>
    </row>
    <row r="2043" spans="1:16">
      <c r="A2043" s="10" t="s">
        <v>635</v>
      </c>
      <c r="B2043" s="10">
        <v>8014321</v>
      </c>
      <c r="C2043" s="10" t="s">
        <v>759</v>
      </c>
      <c r="D2043" s="10" t="s">
        <v>760</v>
      </c>
      <c r="E2043" s="10">
        <v>0</v>
      </c>
      <c r="F2043" s="10">
        <v>0</v>
      </c>
      <c r="G2043" s="10">
        <v>0</v>
      </c>
      <c r="H2043" s="10">
        <v>0</v>
      </c>
      <c r="I2043" s="10" t="s">
        <v>26</v>
      </c>
      <c r="J2043" s="10">
        <v>0</v>
      </c>
      <c r="K2043" s="10">
        <v>0</v>
      </c>
      <c r="L2043" s="10">
        <v>0</v>
      </c>
      <c r="M2043" s="10">
        <v>0</v>
      </c>
      <c r="N2043" s="10" t="s">
        <v>761</v>
      </c>
      <c r="O2043" s="10" t="s">
        <v>2168</v>
      </c>
      <c r="P2043" s="105" t="e">
        <f t="shared" si="31"/>
        <v>#DIV/0!</v>
      </c>
    </row>
    <row r="2044" spans="1:16">
      <c r="A2044" s="10" t="s">
        <v>635</v>
      </c>
      <c r="B2044" s="10">
        <v>8014322</v>
      </c>
      <c r="C2044" s="10" t="s">
        <v>759</v>
      </c>
      <c r="D2044" s="10" t="s">
        <v>760</v>
      </c>
      <c r="E2044" s="10">
        <v>0</v>
      </c>
      <c r="F2044" s="10">
        <v>0</v>
      </c>
      <c r="G2044" s="10">
        <v>0</v>
      </c>
      <c r="H2044" s="10">
        <v>0</v>
      </c>
      <c r="I2044" s="10" t="s">
        <v>26</v>
      </c>
      <c r="J2044" s="10">
        <v>0</v>
      </c>
      <c r="K2044" s="10">
        <v>0</v>
      </c>
      <c r="L2044" s="10">
        <v>0</v>
      </c>
      <c r="M2044" s="10">
        <v>0</v>
      </c>
      <c r="N2044" s="10" t="s">
        <v>761</v>
      </c>
      <c r="O2044" s="10" t="s">
        <v>2169</v>
      </c>
      <c r="P2044" s="105" t="e">
        <f t="shared" si="31"/>
        <v>#DIV/0!</v>
      </c>
    </row>
    <row r="2045" spans="1:16">
      <c r="A2045" s="10" t="s">
        <v>635</v>
      </c>
      <c r="B2045" s="10">
        <v>8014323</v>
      </c>
      <c r="C2045" s="10" t="s">
        <v>759</v>
      </c>
      <c r="D2045" s="10" t="s">
        <v>760</v>
      </c>
      <c r="E2045" s="10">
        <v>0</v>
      </c>
      <c r="F2045" s="10">
        <v>0</v>
      </c>
      <c r="G2045" s="10">
        <v>0</v>
      </c>
      <c r="H2045" s="10">
        <v>0</v>
      </c>
      <c r="I2045" s="10" t="s">
        <v>21</v>
      </c>
      <c r="J2045" s="10">
        <v>0</v>
      </c>
      <c r="K2045" s="10">
        <v>0</v>
      </c>
      <c r="L2045" s="10">
        <v>0</v>
      </c>
      <c r="M2045" s="10">
        <v>0</v>
      </c>
      <c r="N2045" s="10" t="s">
        <v>761</v>
      </c>
      <c r="O2045" s="10" t="s">
        <v>2170</v>
      </c>
      <c r="P2045" s="105" t="e">
        <f t="shared" si="31"/>
        <v>#DIV/0!</v>
      </c>
    </row>
    <row r="2046" spans="1:16">
      <c r="A2046" s="10" t="s">
        <v>635</v>
      </c>
      <c r="B2046" s="10">
        <v>8014324</v>
      </c>
      <c r="C2046" s="10" t="s">
        <v>759</v>
      </c>
      <c r="D2046" s="10" t="s">
        <v>760</v>
      </c>
      <c r="E2046" s="10">
        <v>0</v>
      </c>
      <c r="F2046" s="10">
        <v>0</v>
      </c>
      <c r="G2046" s="10">
        <v>0</v>
      </c>
      <c r="H2046" s="10">
        <v>0</v>
      </c>
      <c r="I2046" s="10" t="s">
        <v>26</v>
      </c>
      <c r="J2046" s="10">
        <v>0</v>
      </c>
      <c r="K2046" s="10">
        <v>0</v>
      </c>
      <c r="L2046" s="10">
        <v>0</v>
      </c>
      <c r="M2046" s="10">
        <v>0</v>
      </c>
      <c r="N2046" s="10" t="s">
        <v>761</v>
      </c>
      <c r="O2046" s="10" t="s">
        <v>2171</v>
      </c>
      <c r="P2046" s="105" t="e">
        <f t="shared" si="31"/>
        <v>#DIV/0!</v>
      </c>
    </row>
    <row r="2047" spans="1:16">
      <c r="A2047" s="10" t="s">
        <v>635</v>
      </c>
      <c r="B2047" s="10">
        <v>8014325</v>
      </c>
      <c r="C2047" s="10" t="s">
        <v>759</v>
      </c>
      <c r="D2047" s="10" t="s">
        <v>760</v>
      </c>
      <c r="E2047" s="10">
        <v>0</v>
      </c>
      <c r="F2047" s="10">
        <v>0</v>
      </c>
      <c r="G2047" s="10">
        <v>0</v>
      </c>
      <c r="H2047" s="10">
        <v>0</v>
      </c>
      <c r="I2047" s="10" t="s">
        <v>26</v>
      </c>
      <c r="J2047" s="10">
        <v>0</v>
      </c>
      <c r="K2047" s="10">
        <v>0</v>
      </c>
      <c r="L2047" s="10">
        <v>0</v>
      </c>
      <c r="M2047" s="10">
        <v>0</v>
      </c>
      <c r="N2047" s="10" t="s">
        <v>761</v>
      </c>
      <c r="O2047" s="10" t="s">
        <v>2172</v>
      </c>
      <c r="P2047" s="105" t="e">
        <f t="shared" si="31"/>
        <v>#DIV/0!</v>
      </c>
    </row>
    <row r="2048" spans="1:16">
      <c r="A2048" s="10" t="s">
        <v>635</v>
      </c>
      <c r="B2048" s="10">
        <v>8014326</v>
      </c>
      <c r="C2048" s="10" t="s">
        <v>759</v>
      </c>
      <c r="D2048" s="10" t="s">
        <v>760</v>
      </c>
      <c r="E2048" s="10">
        <v>0</v>
      </c>
      <c r="F2048" s="10">
        <v>0</v>
      </c>
      <c r="G2048" s="10">
        <v>0</v>
      </c>
      <c r="H2048" s="10">
        <v>0</v>
      </c>
      <c r="I2048" s="10" t="s">
        <v>21</v>
      </c>
      <c r="J2048" s="10">
        <v>0</v>
      </c>
      <c r="K2048" s="10">
        <v>0</v>
      </c>
      <c r="L2048" s="10">
        <v>0</v>
      </c>
      <c r="M2048" s="10">
        <v>0</v>
      </c>
      <c r="N2048" s="10" t="s">
        <v>761</v>
      </c>
      <c r="O2048" s="10" t="s">
        <v>2173</v>
      </c>
      <c r="P2048" s="105" t="e">
        <f t="shared" si="31"/>
        <v>#DIV/0!</v>
      </c>
    </row>
    <row r="2049" spans="1:16">
      <c r="A2049" s="10" t="s">
        <v>635</v>
      </c>
      <c r="B2049" s="10">
        <v>8014327</v>
      </c>
      <c r="C2049" s="10" t="s">
        <v>759</v>
      </c>
      <c r="D2049" s="10" t="s">
        <v>760</v>
      </c>
      <c r="E2049" s="10">
        <v>0</v>
      </c>
      <c r="F2049" s="10">
        <v>0</v>
      </c>
      <c r="G2049" s="10">
        <v>0</v>
      </c>
      <c r="H2049" s="10">
        <v>0</v>
      </c>
      <c r="I2049" s="10" t="s">
        <v>21</v>
      </c>
      <c r="J2049" s="10">
        <v>0</v>
      </c>
      <c r="K2049" s="10">
        <v>0</v>
      </c>
      <c r="L2049" s="10">
        <v>0</v>
      </c>
      <c r="M2049" s="10">
        <v>0</v>
      </c>
      <c r="N2049" s="10" t="s">
        <v>761</v>
      </c>
      <c r="O2049" s="10" t="s">
        <v>2174</v>
      </c>
      <c r="P2049" s="105" t="e">
        <f t="shared" si="31"/>
        <v>#DIV/0!</v>
      </c>
    </row>
    <row r="2050" spans="1:16">
      <c r="A2050" s="10" t="s">
        <v>635</v>
      </c>
      <c r="B2050" s="10">
        <v>8014328</v>
      </c>
      <c r="C2050" s="10" t="s">
        <v>759</v>
      </c>
      <c r="D2050" s="10" t="s">
        <v>760</v>
      </c>
      <c r="E2050" s="10">
        <v>0</v>
      </c>
      <c r="F2050" s="10">
        <v>0</v>
      </c>
      <c r="G2050" s="10">
        <v>0</v>
      </c>
      <c r="H2050" s="10">
        <v>0</v>
      </c>
      <c r="I2050" s="10" t="s">
        <v>21</v>
      </c>
      <c r="J2050" s="10">
        <v>0</v>
      </c>
      <c r="K2050" s="10">
        <v>0</v>
      </c>
      <c r="L2050" s="10">
        <v>0</v>
      </c>
      <c r="M2050" s="10">
        <v>0</v>
      </c>
      <c r="N2050" s="10" t="s">
        <v>761</v>
      </c>
      <c r="O2050" s="10" t="s">
        <v>2175</v>
      </c>
      <c r="P2050" s="105" t="e">
        <f t="shared" si="31"/>
        <v>#DIV/0!</v>
      </c>
    </row>
    <row r="2051" spans="1:16">
      <c r="A2051" s="10" t="s">
        <v>635</v>
      </c>
      <c r="B2051" s="10">
        <v>8014329</v>
      </c>
      <c r="C2051" s="10" t="s">
        <v>759</v>
      </c>
      <c r="D2051" s="10" t="s">
        <v>760</v>
      </c>
      <c r="E2051" s="10">
        <v>0</v>
      </c>
      <c r="F2051" s="10">
        <v>0</v>
      </c>
      <c r="G2051" s="10">
        <v>0</v>
      </c>
      <c r="H2051" s="10">
        <v>0</v>
      </c>
      <c r="I2051" s="10" t="s">
        <v>21</v>
      </c>
      <c r="J2051" s="10">
        <v>0</v>
      </c>
      <c r="K2051" s="10">
        <v>0</v>
      </c>
      <c r="L2051" s="10">
        <v>0</v>
      </c>
      <c r="M2051" s="10">
        <v>0</v>
      </c>
      <c r="N2051" s="10" t="s">
        <v>761</v>
      </c>
      <c r="O2051" s="10" t="s">
        <v>2176</v>
      </c>
      <c r="P2051" s="105" t="e">
        <f t="shared" ref="P2051:P2114" si="32">M2051/H2051</f>
        <v>#DIV/0!</v>
      </c>
    </row>
    <row r="2052" spans="1:16">
      <c r="A2052" s="10" t="s">
        <v>635</v>
      </c>
      <c r="B2052" s="10">
        <v>8014397</v>
      </c>
      <c r="C2052" s="10" t="s">
        <v>759</v>
      </c>
      <c r="D2052" s="10" t="s">
        <v>760</v>
      </c>
      <c r="E2052" s="10">
        <v>0</v>
      </c>
      <c r="F2052" s="10">
        <v>0</v>
      </c>
      <c r="G2052" s="10">
        <v>0</v>
      </c>
      <c r="H2052" s="10">
        <v>0</v>
      </c>
      <c r="I2052" s="10" t="s">
        <v>21</v>
      </c>
      <c r="J2052" s="10">
        <v>0</v>
      </c>
      <c r="K2052" s="10">
        <v>0</v>
      </c>
      <c r="L2052" s="10">
        <v>0</v>
      </c>
      <c r="M2052" s="10">
        <v>0</v>
      </c>
      <c r="N2052" s="10" t="s">
        <v>761</v>
      </c>
      <c r="O2052" s="10" t="s">
        <v>2177</v>
      </c>
      <c r="P2052" s="105" t="e">
        <f t="shared" si="32"/>
        <v>#DIV/0!</v>
      </c>
    </row>
    <row r="2053" spans="1:16">
      <c r="A2053" s="10" t="s">
        <v>635</v>
      </c>
      <c r="B2053" s="10">
        <v>8014398</v>
      </c>
      <c r="C2053" s="10" t="s">
        <v>759</v>
      </c>
      <c r="D2053" s="10" t="s">
        <v>760</v>
      </c>
      <c r="E2053" s="10">
        <v>0</v>
      </c>
      <c r="F2053" s="10">
        <v>0</v>
      </c>
      <c r="G2053" s="10">
        <v>0</v>
      </c>
      <c r="H2053" s="10">
        <v>0</v>
      </c>
      <c r="I2053" s="10" t="s">
        <v>21</v>
      </c>
      <c r="J2053" s="10">
        <v>0</v>
      </c>
      <c r="K2053" s="10">
        <v>0</v>
      </c>
      <c r="L2053" s="10">
        <v>0</v>
      </c>
      <c r="M2053" s="10">
        <v>0</v>
      </c>
      <c r="N2053" s="10" t="s">
        <v>761</v>
      </c>
      <c r="O2053" s="10" t="s">
        <v>2178</v>
      </c>
      <c r="P2053" s="105" t="e">
        <f t="shared" si="32"/>
        <v>#DIV/0!</v>
      </c>
    </row>
    <row r="2054" spans="1:16">
      <c r="A2054" s="10" t="s">
        <v>635</v>
      </c>
      <c r="B2054" s="10">
        <v>8014399</v>
      </c>
      <c r="C2054" s="10" t="s">
        <v>759</v>
      </c>
      <c r="D2054" s="10" t="s">
        <v>760</v>
      </c>
      <c r="E2054" s="10">
        <v>0</v>
      </c>
      <c r="F2054" s="10">
        <v>0</v>
      </c>
      <c r="G2054" s="10">
        <v>0</v>
      </c>
      <c r="H2054" s="10">
        <v>0</v>
      </c>
      <c r="I2054" s="10" t="s">
        <v>26</v>
      </c>
      <c r="J2054" s="10">
        <v>0</v>
      </c>
      <c r="K2054" s="10">
        <v>0</v>
      </c>
      <c r="L2054" s="10">
        <v>0</v>
      </c>
      <c r="M2054" s="10">
        <v>0</v>
      </c>
      <c r="N2054" s="10" t="s">
        <v>761</v>
      </c>
      <c r="O2054" s="10" t="s">
        <v>2179</v>
      </c>
      <c r="P2054" s="105" t="e">
        <f t="shared" si="32"/>
        <v>#DIV/0!</v>
      </c>
    </row>
    <row r="2055" spans="1:16">
      <c r="A2055" s="10" t="s">
        <v>635</v>
      </c>
      <c r="B2055" s="10">
        <v>8014400</v>
      </c>
      <c r="C2055" s="10" t="s">
        <v>759</v>
      </c>
      <c r="D2055" s="10" t="s">
        <v>760</v>
      </c>
      <c r="E2055" s="10">
        <v>0</v>
      </c>
      <c r="F2055" s="10">
        <v>0</v>
      </c>
      <c r="G2055" s="10">
        <v>0</v>
      </c>
      <c r="H2055" s="10">
        <v>0</v>
      </c>
      <c r="I2055" s="10" t="s">
        <v>26</v>
      </c>
      <c r="J2055" s="10">
        <v>0</v>
      </c>
      <c r="K2055" s="10">
        <v>0</v>
      </c>
      <c r="L2055" s="10">
        <v>0</v>
      </c>
      <c r="M2055" s="10">
        <v>0</v>
      </c>
      <c r="N2055" s="10" t="s">
        <v>761</v>
      </c>
      <c r="O2055" s="10" t="s">
        <v>2180</v>
      </c>
      <c r="P2055" s="105" t="e">
        <f t="shared" si="32"/>
        <v>#DIV/0!</v>
      </c>
    </row>
    <row r="2056" spans="1:16">
      <c r="A2056" s="10" t="s">
        <v>635</v>
      </c>
      <c r="B2056" s="10">
        <v>8014401</v>
      </c>
      <c r="C2056" s="10" t="s">
        <v>759</v>
      </c>
      <c r="D2056" s="10" t="s">
        <v>760</v>
      </c>
      <c r="E2056" s="10">
        <v>0</v>
      </c>
      <c r="F2056" s="10">
        <v>0</v>
      </c>
      <c r="G2056" s="10">
        <v>0</v>
      </c>
      <c r="H2056" s="10">
        <v>0</v>
      </c>
      <c r="I2056" s="10" t="s">
        <v>26</v>
      </c>
      <c r="J2056" s="10">
        <v>0</v>
      </c>
      <c r="K2056" s="10">
        <v>0</v>
      </c>
      <c r="L2056" s="10">
        <v>0</v>
      </c>
      <c r="M2056" s="10">
        <v>0</v>
      </c>
      <c r="N2056" s="10" t="s">
        <v>761</v>
      </c>
      <c r="O2056" s="10" t="s">
        <v>2181</v>
      </c>
      <c r="P2056" s="105" t="e">
        <f t="shared" si="32"/>
        <v>#DIV/0!</v>
      </c>
    </row>
    <row r="2057" spans="1:16">
      <c r="A2057" s="10" t="s">
        <v>635</v>
      </c>
      <c r="B2057" s="10">
        <v>8014402</v>
      </c>
      <c r="C2057" s="10" t="s">
        <v>759</v>
      </c>
      <c r="D2057" s="10" t="s">
        <v>760</v>
      </c>
      <c r="E2057" s="10">
        <v>0</v>
      </c>
      <c r="F2057" s="10">
        <v>0</v>
      </c>
      <c r="G2057" s="10">
        <v>0</v>
      </c>
      <c r="H2057" s="10">
        <v>0</v>
      </c>
      <c r="I2057" s="10" t="s">
        <v>21</v>
      </c>
      <c r="J2057" s="10">
        <v>0</v>
      </c>
      <c r="K2057" s="10">
        <v>0</v>
      </c>
      <c r="L2057" s="10">
        <v>0</v>
      </c>
      <c r="M2057" s="10">
        <v>0</v>
      </c>
      <c r="N2057" s="10" t="s">
        <v>761</v>
      </c>
      <c r="O2057" s="10" t="s">
        <v>2182</v>
      </c>
      <c r="P2057" s="105" t="e">
        <f t="shared" si="32"/>
        <v>#DIV/0!</v>
      </c>
    </row>
    <row r="2058" spans="1:16">
      <c r="A2058" s="10" t="s">
        <v>635</v>
      </c>
      <c r="B2058" s="10">
        <v>8014403</v>
      </c>
      <c r="C2058" s="10" t="s">
        <v>759</v>
      </c>
      <c r="D2058" s="10" t="s">
        <v>760</v>
      </c>
      <c r="E2058" s="10">
        <v>0</v>
      </c>
      <c r="F2058" s="10">
        <v>0</v>
      </c>
      <c r="G2058" s="10">
        <v>0</v>
      </c>
      <c r="H2058" s="10">
        <v>0</v>
      </c>
      <c r="I2058" s="10" t="s">
        <v>21</v>
      </c>
      <c r="J2058" s="10">
        <v>0</v>
      </c>
      <c r="K2058" s="10">
        <v>0</v>
      </c>
      <c r="L2058" s="10">
        <v>0</v>
      </c>
      <c r="M2058" s="10">
        <v>0</v>
      </c>
      <c r="N2058" s="10" t="s">
        <v>761</v>
      </c>
      <c r="O2058" s="10" t="s">
        <v>2183</v>
      </c>
      <c r="P2058" s="105" t="e">
        <f t="shared" si="32"/>
        <v>#DIV/0!</v>
      </c>
    </row>
    <row r="2059" spans="1:16">
      <c r="A2059" s="10" t="s">
        <v>635</v>
      </c>
      <c r="B2059" s="10">
        <v>8014404</v>
      </c>
      <c r="C2059" s="10" t="s">
        <v>759</v>
      </c>
      <c r="D2059" s="10" t="s">
        <v>760</v>
      </c>
      <c r="E2059" s="10">
        <v>0</v>
      </c>
      <c r="F2059" s="10">
        <v>0</v>
      </c>
      <c r="G2059" s="10">
        <v>0</v>
      </c>
      <c r="H2059" s="10">
        <v>0</v>
      </c>
      <c r="I2059" s="10" t="s">
        <v>97</v>
      </c>
      <c r="J2059" s="10">
        <v>0</v>
      </c>
      <c r="K2059" s="10">
        <v>0</v>
      </c>
      <c r="L2059" s="10">
        <v>0</v>
      </c>
      <c r="M2059" s="10">
        <v>0</v>
      </c>
      <c r="N2059" s="10" t="s">
        <v>761</v>
      </c>
      <c r="O2059" s="10" t="s">
        <v>2184</v>
      </c>
      <c r="P2059" s="105" t="e">
        <f t="shared" si="32"/>
        <v>#DIV/0!</v>
      </c>
    </row>
    <row r="2060" spans="1:16">
      <c r="A2060" s="10" t="s">
        <v>635</v>
      </c>
      <c r="B2060" s="10">
        <v>8014405</v>
      </c>
      <c r="C2060" s="10" t="s">
        <v>759</v>
      </c>
      <c r="D2060" s="10" t="s">
        <v>760</v>
      </c>
      <c r="E2060" s="10">
        <v>0</v>
      </c>
      <c r="F2060" s="10">
        <v>0</v>
      </c>
      <c r="G2060" s="10">
        <v>0</v>
      </c>
      <c r="H2060" s="10">
        <v>0</v>
      </c>
      <c r="I2060" s="10" t="s">
        <v>21</v>
      </c>
      <c r="J2060" s="10">
        <v>0</v>
      </c>
      <c r="K2060" s="10">
        <v>0</v>
      </c>
      <c r="L2060" s="10">
        <v>0</v>
      </c>
      <c r="M2060" s="10">
        <v>0</v>
      </c>
      <c r="N2060" s="10" t="s">
        <v>761</v>
      </c>
      <c r="O2060" s="10" t="s">
        <v>2185</v>
      </c>
      <c r="P2060" s="105" t="e">
        <f t="shared" si="32"/>
        <v>#DIV/0!</v>
      </c>
    </row>
    <row r="2061" spans="1:16">
      <c r="A2061" s="10" t="s">
        <v>635</v>
      </c>
      <c r="B2061" s="10">
        <v>8014406</v>
      </c>
      <c r="C2061" s="10" t="s">
        <v>759</v>
      </c>
      <c r="D2061" s="10" t="s">
        <v>760</v>
      </c>
      <c r="E2061" s="10">
        <v>0</v>
      </c>
      <c r="F2061" s="10">
        <v>0</v>
      </c>
      <c r="G2061" s="10">
        <v>0</v>
      </c>
      <c r="H2061" s="10">
        <v>0</v>
      </c>
      <c r="I2061" s="10" t="s">
        <v>21</v>
      </c>
      <c r="J2061" s="10">
        <v>0</v>
      </c>
      <c r="K2061" s="10">
        <v>0</v>
      </c>
      <c r="L2061" s="10">
        <v>0</v>
      </c>
      <c r="M2061" s="10">
        <v>0</v>
      </c>
      <c r="N2061" s="10" t="s">
        <v>761</v>
      </c>
      <c r="O2061" s="10" t="s">
        <v>2186</v>
      </c>
      <c r="P2061" s="105" t="e">
        <f t="shared" si="32"/>
        <v>#DIV/0!</v>
      </c>
    </row>
    <row r="2062" spans="1:16">
      <c r="A2062" s="10" t="s">
        <v>635</v>
      </c>
      <c r="B2062" s="10">
        <v>8014407</v>
      </c>
      <c r="C2062" s="10" t="s">
        <v>759</v>
      </c>
      <c r="D2062" s="10" t="s">
        <v>760</v>
      </c>
      <c r="E2062" s="10">
        <v>0</v>
      </c>
      <c r="F2062" s="10">
        <v>0</v>
      </c>
      <c r="G2062" s="10">
        <v>0</v>
      </c>
      <c r="H2062" s="10">
        <v>0</v>
      </c>
      <c r="I2062" s="10" t="s">
        <v>21</v>
      </c>
      <c r="J2062" s="10">
        <v>0</v>
      </c>
      <c r="K2062" s="10">
        <v>0</v>
      </c>
      <c r="L2062" s="10">
        <v>0</v>
      </c>
      <c r="M2062" s="10">
        <v>0</v>
      </c>
      <c r="N2062" s="10" t="s">
        <v>761</v>
      </c>
      <c r="O2062" s="10" t="s">
        <v>2187</v>
      </c>
      <c r="P2062" s="105" t="e">
        <f t="shared" si="32"/>
        <v>#DIV/0!</v>
      </c>
    </row>
    <row r="2063" spans="1:16">
      <c r="A2063" s="10" t="s">
        <v>635</v>
      </c>
      <c r="B2063" s="10">
        <v>8014408</v>
      </c>
      <c r="C2063" s="10" t="s">
        <v>759</v>
      </c>
      <c r="D2063" s="10" t="s">
        <v>760</v>
      </c>
      <c r="E2063" s="10">
        <v>0</v>
      </c>
      <c r="F2063" s="10">
        <v>0</v>
      </c>
      <c r="G2063" s="10">
        <v>0</v>
      </c>
      <c r="H2063" s="10">
        <v>0</v>
      </c>
      <c r="I2063" s="10" t="s">
        <v>21</v>
      </c>
      <c r="J2063" s="10">
        <v>0</v>
      </c>
      <c r="K2063" s="10">
        <v>0</v>
      </c>
      <c r="L2063" s="10">
        <v>0</v>
      </c>
      <c r="M2063" s="10">
        <v>0</v>
      </c>
      <c r="N2063" s="10" t="s">
        <v>761</v>
      </c>
      <c r="O2063" s="10" t="s">
        <v>2188</v>
      </c>
      <c r="P2063" s="105" t="e">
        <f t="shared" si="32"/>
        <v>#DIV/0!</v>
      </c>
    </row>
    <row r="2064" spans="1:16">
      <c r="A2064" s="10" t="s">
        <v>635</v>
      </c>
      <c r="B2064" s="10">
        <v>8014459</v>
      </c>
      <c r="C2064" s="10" t="s">
        <v>759</v>
      </c>
      <c r="D2064" s="10" t="s">
        <v>760</v>
      </c>
      <c r="E2064" s="10">
        <v>0</v>
      </c>
      <c r="F2064" s="10">
        <v>0</v>
      </c>
      <c r="G2064" s="10">
        <v>0</v>
      </c>
      <c r="H2064" s="10">
        <v>0</v>
      </c>
      <c r="I2064" s="10" t="s">
        <v>26</v>
      </c>
      <c r="J2064" s="10">
        <v>0</v>
      </c>
      <c r="K2064" s="10">
        <v>0</v>
      </c>
      <c r="L2064" s="10">
        <v>0</v>
      </c>
      <c r="M2064" s="10">
        <v>0</v>
      </c>
      <c r="N2064" s="10" t="s">
        <v>761</v>
      </c>
      <c r="O2064" s="10" t="s">
        <v>2189</v>
      </c>
      <c r="P2064" s="105" t="e">
        <f t="shared" si="32"/>
        <v>#DIV/0!</v>
      </c>
    </row>
    <row r="2065" spans="1:16">
      <c r="A2065" s="10" t="s">
        <v>635</v>
      </c>
      <c r="B2065" s="10">
        <v>8014460</v>
      </c>
      <c r="C2065" s="10" t="s">
        <v>759</v>
      </c>
      <c r="D2065" s="10" t="s">
        <v>760</v>
      </c>
      <c r="E2065" s="10">
        <v>0</v>
      </c>
      <c r="F2065" s="10">
        <v>0</v>
      </c>
      <c r="G2065" s="10">
        <v>0</v>
      </c>
      <c r="H2065" s="10">
        <v>0</v>
      </c>
      <c r="I2065" s="10" t="s">
        <v>26</v>
      </c>
      <c r="J2065" s="10">
        <v>0</v>
      </c>
      <c r="K2065" s="10">
        <v>0</v>
      </c>
      <c r="L2065" s="10">
        <v>0</v>
      </c>
      <c r="M2065" s="10">
        <v>0</v>
      </c>
      <c r="N2065" s="10" t="s">
        <v>761</v>
      </c>
      <c r="O2065" s="10" t="s">
        <v>2190</v>
      </c>
      <c r="P2065" s="105" t="e">
        <f t="shared" si="32"/>
        <v>#DIV/0!</v>
      </c>
    </row>
    <row r="2066" spans="1:16">
      <c r="A2066" s="10" t="s">
        <v>635</v>
      </c>
      <c r="B2066" s="10">
        <v>8014461</v>
      </c>
      <c r="C2066" s="10" t="s">
        <v>759</v>
      </c>
      <c r="D2066" s="10" t="s">
        <v>760</v>
      </c>
      <c r="E2066" s="10">
        <v>0</v>
      </c>
      <c r="F2066" s="10">
        <v>0</v>
      </c>
      <c r="G2066" s="10">
        <v>0</v>
      </c>
      <c r="H2066" s="10">
        <v>0</v>
      </c>
      <c r="I2066" s="10" t="s">
        <v>21</v>
      </c>
      <c r="J2066" s="10">
        <v>0</v>
      </c>
      <c r="K2066" s="10">
        <v>0</v>
      </c>
      <c r="L2066" s="10">
        <v>0</v>
      </c>
      <c r="M2066" s="10">
        <v>0</v>
      </c>
      <c r="N2066" s="10" t="s">
        <v>761</v>
      </c>
      <c r="O2066" s="10" t="s">
        <v>2191</v>
      </c>
      <c r="P2066" s="105" t="e">
        <f t="shared" si="32"/>
        <v>#DIV/0!</v>
      </c>
    </row>
    <row r="2067" spans="1:16">
      <c r="A2067" s="10" t="s">
        <v>635</v>
      </c>
      <c r="B2067" s="10">
        <v>8014462</v>
      </c>
      <c r="C2067" s="10" t="s">
        <v>759</v>
      </c>
      <c r="D2067" s="10" t="s">
        <v>760</v>
      </c>
      <c r="E2067" s="10">
        <v>0</v>
      </c>
      <c r="F2067" s="10">
        <v>0</v>
      </c>
      <c r="G2067" s="10">
        <v>0</v>
      </c>
      <c r="H2067" s="10">
        <v>0</v>
      </c>
      <c r="I2067" s="10" t="s">
        <v>30</v>
      </c>
      <c r="J2067" s="10">
        <v>0</v>
      </c>
      <c r="K2067" s="10">
        <v>0</v>
      </c>
      <c r="L2067" s="10">
        <v>0</v>
      </c>
      <c r="M2067" s="10">
        <v>0</v>
      </c>
      <c r="N2067" s="10" t="s">
        <v>761</v>
      </c>
      <c r="O2067" s="10" t="s">
        <v>2192</v>
      </c>
      <c r="P2067" s="105" t="e">
        <f t="shared" si="32"/>
        <v>#DIV/0!</v>
      </c>
    </row>
    <row r="2068" spans="1:16">
      <c r="A2068" s="10" t="s">
        <v>635</v>
      </c>
      <c r="B2068" s="10">
        <v>8014463</v>
      </c>
      <c r="C2068" s="10" t="s">
        <v>759</v>
      </c>
      <c r="D2068" s="10" t="s">
        <v>760</v>
      </c>
      <c r="E2068" s="10">
        <v>0</v>
      </c>
      <c r="F2068" s="10">
        <v>0</v>
      </c>
      <c r="G2068" s="10">
        <v>0</v>
      </c>
      <c r="H2068" s="10">
        <v>0</v>
      </c>
      <c r="I2068" s="10" t="s">
        <v>97</v>
      </c>
      <c r="J2068" s="10">
        <v>0</v>
      </c>
      <c r="K2068" s="10">
        <v>0</v>
      </c>
      <c r="L2068" s="10">
        <v>0</v>
      </c>
      <c r="M2068" s="10">
        <v>0</v>
      </c>
      <c r="N2068" s="10" t="s">
        <v>761</v>
      </c>
      <c r="O2068" s="10" t="s">
        <v>2193</v>
      </c>
      <c r="P2068" s="105" t="e">
        <f t="shared" si="32"/>
        <v>#DIV/0!</v>
      </c>
    </row>
    <row r="2069" spans="1:16">
      <c r="A2069" s="10" t="s">
        <v>635</v>
      </c>
      <c r="B2069" s="10">
        <v>8014464</v>
      </c>
      <c r="C2069" s="10" t="s">
        <v>759</v>
      </c>
      <c r="D2069" s="10" t="s">
        <v>760</v>
      </c>
      <c r="E2069" s="10">
        <v>0</v>
      </c>
      <c r="F2069" s="10">
        <v>0</v>
      </c>
      <c r="G2069" s="10">
        <v>0</v>
      </c>
      <c r="H2069" s="10">
        <v>0</v>
      </c>
      <c r="I2069" s="10" t="s">
        <v>97</v>
      </c>
      <c r="J2069" s="10">
        <v>0</v>
      </c>
      <c r="K2069" s="10">
        <v>0</v>
      </c>
      <c r="L2069" s="10">
        <v>0</v>
      </c>
      <c r="M2069" s="10">
        <v>0</v>
      </c>
      <c r="N2069" s="10" t="s">
        <v>761</v>
      </c>
      <c r="O2069" s="10" t="s">
        <v>2194</v>
      </c>
      <c r="P2069" s="105" t="e">
        <f t="shared" si="32"/>
        <v>#DIV/0!</v>
      </c>
    </row>
    <row r="2070" spans="1:16">
      <c r="A2070" s="10" t="s">
        <v>635</v>
      </c>
      <c r="B2070" s="10">
        <v>8014465</v>
      </c>
      <c r="C2070" s="10" t="s">
        <v>759</v>
      </c>
      <c r="D2070" s="10" t="s">
        <v>760</v>
      </c>
      <c r="E2070" s="10">
        <v>0</v>
      </c>
      <c r="F2070" s="10">
        <v>0</v>
      </c>
      <c r="G2070" s="10">
        <v>0</v>
      </c>
      <c r="H2070" s="10">
        <v>0</v>
      </c>
      <c r="I2070" s="10" t="s">
        <v>21</v>
      </c>
      <c r="J2070" s="10">
        <v>0</v>
      </c>
      <c r="K2070" s="10">
        <v>0</v>
      </c>
      <c r="L2070" s="10">
        <v>0</v>
      </c>
      <c r="M2070" s="10">
        <v>0</v>
      </c>
      <c r="N2070" s="10" t="s">
        <v>761</v>
      </c>
      <c r="O2070" s="10" t="s">
        <v>2195</v>
      </c>
      <c r="P2070" s="105" t="e">
        <f t="shared" si="32"/>
        <v>#DIV/0!</v>
      </c>
    </row>
    <row r="2071" spans="1:16">
      <c r="A2071" s="10" t="s">
        <v>635</v>
      </c>
      <c r="B2071" s="10">
        <v>8014466</v>
      </c>
      <c r="C2071" s="10" t="s">
        <v>759</v>
      </c>
      <c r="D2071" s="10" t="s">
        <v>760</v>
      </c>
      <c r="E2071" s="10">
        <v>0</v>
      </c>
      <c r="F2071" s="10">
        <v>0</v>
      </c>
      <c r="G2071" s="10">
        <v>0</v>
      </c>
      <c r="H2071" s="10">
        <v>0</v>
      </c>
      <c r="I2071" s="10" t="s">
        <v>26</v>
      </c>
      <c r="J2071" s="10">
        <v>0</v>
      </c>
      <c r="K2071" s="10">
        <v>0</v>
      </c>
      <c r="L2071" s="10">
        <v>0</v>
      </c>
      <c r="M2071" s="10">
        <v>0</v>
      </c>
      <c r="N2071" s="10" t="s">
        <v>761</v>
      </c>
      <c r="O2071" s="10" t="s">
        <v>2196</v>
      </c>
      <c r="P2071" s="105" t="e">
        <f t="shared" si="32"/>
        <v>#DIV/0!</v>
      </c>
    </row>
    <row r="2072" spans="1:16">
      <c r="A2072" s="10" t="s">
        <v>635</v>
      </c>
      <c r="B2072" s="10">
        <v>8014467</v>
      </c>
      <c r="C2072" s="10" t="s">
        <v>759</v>
      </c>
      <c r="D2072" s="10" t="s">
        <v>760</v>
      </c>
      <c r="E2072" s="10">
        <v>0</v>
      </c>
      <c r="F2072" s="10">
        <v>0</v>
      </c>
      <c r="G2072" s="10">
        <v>0</v>
      </c>
      <c r="H2072" s="10">
        <v>0</v>
      </c>
      <c r="I2072" s="10" t="s">
        <v>21</v>
      </c>
      <c r="J2072" s="10">
        <v>0</v>
      </c>
      <c r="K2072" s="10">
        <v>0</v>
      </c>
      <c r="L2072" s="10">
        <v>0</v>
      </c>
      <c r="M2072" s="10">
        <v>0</v>
      </c>
      <c r="N2072" s="10" t="s">
        <v>761</v>
      </c>
      <c r="O2072" s="10" t="s">
        <v>2197</v>
      </c>
      <c r="P2072" s="105" t="e">
        <f t="shared" si="32"/>
        <v>#DIV/0!</v>
      </c>
    </row>
    <row r="2073" spans="1:16">
      <c r="A2073" s="10" t="s">
        <v>635</v>
      </c>
      <c r="B2073" s="10">
        <v>8014469</v>
      </c>
      <c r="C2073" s="10" t="s">
        <v>759</v>
      </c>
      <c r="D2073" s="10" t="s">
        <v>760</v>
      </c>
      <c r="E2073" s="10">
        <v>0</v>
      </c>
      <c r="F2073" s="10">
        <v>0</v>
      </c>
      <c r="G2073" s="10">
        <v>0</v>
      </c>
      <c r="H2073" s="10">
        <v>0</v>
      </c>
      <c r="I2073" s="10" t="s">
        <v>21</v>
      </c>
      <c r="J2073" s="10">
        <v>0</v>
      </c>
      <c r="K2073" s="10">
        <v>0</v>
      </c>
      <c r="L2073" s="10">
        <v>0</v>
      </c>
      <c r="M2073" s="10">
        <v>0</v>
      </c>
      <c r="N2073" s="10" t="s">
        <v>761</v>
      </c>
      <c r="O2073" s="10" t="s">
        <v>2198</v>
      </c>
      <c r="P2073" s="105" t="e">
        <f t="shared" si="32"/>
        <v>#DIV/0!</v>
      </c>
    </row>
    <row r="2074" spans="1:16">
      <c r="A2074" s="10" t="s">
        <v>635</v>
      </c>
      <c r="B2074" s="10">
        <v>8014480</v>
      </c>
      <c r="C2074" s="10" t="s">
        <v>759</v>
      </c>
      <c r="D2074" s="10" t="s">
        <v>760</v>
      </c>
      <c r="E2074" s="10">
        <v>0</v>
      </c>
      <c r="F2074" s="10">
        <v>0</v>
      </c>
      <c r="G2074" s="10">
        <v>0</v>
      </c>
      <c r="H2074" s="10">
        <v>0</v>
      </c>
      <c r="I2074" s="10" t="s">
        <v>21</v>
      </c>
      <c r="J2074" s="10">
        <v>0</v>
      </c>
      <c r="K2074" s="10">
        <v>0</v>
      </c>
      <c r="L2074" s="10">
        <v>0</v>
      </c>
      <c r="M2074" s="10">
        <v>0</v>
      </c>
      <c r="N2074" s="10" t="s">
        <v>761</v>
      </c>
      <c r="O2074" s="10" t="s">
        <v>2199</v>
      </c>
      <c r="P2074" s="105" t="e">
        <f t="shared" si="32"/>
        <v>#DIV/0!</v>
      </c>
    </row>
    <row r="2075" spans="1:16">
      <c r="A2075" s="10" t="s">
        <v>635</v>
      </c>
      <c r="B2075" s="10">
        <v>8014496</v>
      </c>
      <c r="C2075" s="10" t="s">
        <v>759</v>
      </c>
      <c r="D2075" s="10" t="s">
        <v>760</v>
      </c>
      <c r="E2075" s="103">
        <v>1000</v>
      </c>
      <c r="F2075" s="10">
        <v>0</v>
      </c>
      <c r="G2075" s="10">
        <v>0</v>
      </c>
      <c r="H2075" s="103">
        <v>1000</v>
      </c>
      <c r="I2075" s="10" t="s">
        <v>21</v>
      </c>
      <c r="J2075" s="10">
        <v>808.81</v>
      </c>
      <c r="K2075" s="10">
        <v>0</v>
      </c>
      <c r="L2075" s="10">
        <v>0</v>
      </c>
      <c r="M2075" s="10">
        <v>808.81</v>
      </c>
      <c r="N2075" s="10" t="s">
        <v>761</v>
      </c>
      <c r="O2075" s="10" t="s">
        <v>163</v>
      </c>
      <c r="P2075" s="105">
        <f t="shared" si="32"/>
        <v>0.80881</v>
      </c>
    </row>
    <row r="2076" spans="1:16">
      <c r="A2076" s="10" t="s">
        <v>635</v>
      </c>
      <c r="B2076" s="10">
        <v>8014497</v>
      </c>
      <c r="C2076" s="10" t="s">
        <v>759</v>
      </c>
      <c r="D2076" s="10" t="s">
        <v>760</v>
      </c>
      <c r="E2076" s="10">
        <v>0</v>
      </c>
      <c r="F2076" s="10">
        <v>0</v>
      </c>
      <c r="G2076" s="10">
        <v>0</v>
      </c>
      <c r="H2076" s="10">
        <v>0</v>
      </c>
      <c r="I2076" s="10" t="s">
        <v>21</v>
      </c>
      <c r="J2076" s="10">
        <v>0</v>
      </c>
      <c r="K2076" s="10">
        <v>0</v>
      </c>
      <c r="L2076" s="10">
        <v>0</v>
      </c>
      <c r="M2076" s="10">
        <v>0</v>
      </c>
      <c r="N2076" s="10" t="s">
        <v>761</v>
      </c>
      <c r="O2076" s="10" t="s">
        <v>742</v>
      </c>
      <c r="P2076" s="105" t="e">
        <f t="shared" si="32"/>
        <v>#DIV/0!</v>
      </c>
    </row>
    <row r="2077" spans="1:16">
      <c r="A2077" s="10" t="s">
        <v>635</v>
      </c>
      <c r="B2077" s="10">
        <v>8014498</v>
      </c>
      <c r="C2077" s="10" t="s">
        <v>759</v>
      </c>
      <c r="D2077" s="10" t="s">
        <v>760</v>
      </c>
      <c r="E2077" s="103">
        <v>1000</v>
      </c>
      <c r="F2077" s="10">
        <v>0</v>
      </c>
      <c r="G2077" s="10">
        <v>0</v>
      </c>
      <c r="H2077" s="103">
        <v>1000</v>
      </c>
      <c r="I2077" s="10" t="s">
        <v>21</v>
      </c>
      <c r="J2077" s="10">
        <v>808.81</v>
      </c>
      <c r="K2077" s="10">
        <v>0</v>
      </c>
      <c r="L2077" s="10">
        <v>0</v>
      </c>
      <c r="M2077" s="10">
        <v>808.81</v>
      </c>
      <c r="N2077" s="10" t="s">
        <v>761</v>
      </c>
      <c r="O2077" s="10" t="s">
        <v>271</v>
      </c>
      <c r="P2077" s="105">
        <f t="shared" si="32"/>
        <v>0.80881</v>
      </c>
    </row>
    <row r="2078" spans="1:16">
      <c r="A2078" s="10" t="s">
        <v>635</v>
      </c>
      <c r="B2078" s="10">
        <v>8014499</v>
      </c>
      <c r="C2078" s="10" t="s">
        <v>759</v>
      </c>
      <c r="D2078" s="10" t="s">
        <v>760</v>
      </c>
      <c r="E2078" s="10">
        <v>0</v>
      </c>
      <c r="F2078" s="10">
        <v>0</v>
      </c>
      <c r="G2078" s="10">
        <v>0</v>
      </c>
      <c r="H2078" s="10">
        <v>0</v>
      </c>
      <c r="I2078" s="10" t="s">
        <v>21</v>
      </c>
      <c r="J2078" s="10">
        <v>0</v>
      </c>
      <c r="K2078" s="10">
        <v>0</v>
      </c>
      <c r="L2078" s="10">
        <v>0</v>
      </c>
      <c r="M2078" s="10">
        <v>0</v>
      </c>
      <c r="N2078" s="10" t="s">
        <v>761</v>
      </c>
      <c r="O2078" s="10" t="s">
        <v>743</v>
      </c>
      <c r="P2078" s="105" t="e">
        <f t="shared" si="32"/>
        <v>#DIV/0!</v>
      </c>
    </row>
    <row r="2079" spans="1:16">
      <c r="A2079" s="10" t="s">
        <v>635</v>
      </c>
      <c r="B2079" s="10">
        <v>8014500</v>
      </c>
      <c r="C2079" s="10" t="s">
        <v>759</v>
      </c>
      <c r="D2079" s="10" t="s">
        <v>760</v>
      </c>
      <c r="E2079" s="10">
        <v>500</v>
      </c>
      <c r="F2079" s="10">
        <v>0</v>
      </c>
      <c r="G2079" s="10">
        <v>0</v>
      </c>
      <c r="H2079" s="10">
        <v>500</v>
      </c>
      <c r="I2079" s="10" t="s">
        <v>21</v>
      </c>
      <c r="J2079" s="10">
        <v>404.4</v>
      </c>
      <c r="K2079" s="10">
        <v>0</v>
      </c>
      <c r="L2079" s="10">
        <v>0</v>
      </c>
      <c r="M2079" s="10">
        <v>404.4</v>
      </c>
      <c r="N2079" s="10" t="s">
        <v>761</v>
      </c>
      <c r="O2079" s="10" t="s">
        <v>578</v>
      </c>
      <c r="P2079" s="105">
        <f t="shared" si="32"/>
        <v>0.8088</v>
      </c>
    </row>
    <row r="2080" spans="1:16">
      <c r="A2080" s="10" t="s">
        <v>635</v>
      </c>
      <c r="B2080" s="10">
        <v>8014501</v>
      </c>
      <c r="C2080" s="10" t="s">
        <v>759</v>
      </c>
      <c r="D2080" s="10" t="s">
        <v>760</v>
      </c>
      <c r="E2080" s="10">
        <v>0</v>
      </c>
      <c r="F2080" s="10">
        <v>0</v>
      </c>
      <c r="G2080" s="10">
        <v>0</v>
      </c>
      <c r="H2080" s="10">
        <v>0</v>
      </c>
      <c r="I2080" s="10" t="s">
        <v>21</v>
      </c>
      <c r="J2080" s="10">
        <v>0</v>
      </c>
      <c r="K2080" s="10">
        <v>0</v>
      </c>
      <c r="L2080" s="10">
        <v>0</v>
      </c>
      <c r="M2080" s="10">
        <v>0</v>
      </c>
      <c r="N2080" s="10" t="s">
        <v>761</v>
      </c>
      <c r="O2080" s="10" t="s">
        <v>2200</v>
      </c>
      <c r="P2080" s="105" t="e">
        <f t="shared" si="32"/>
        <v>#DIV/0!</v>
      </c>
    </row>
    <row r="2081" spans="1:16">
      <c r="A2081" s="10" t="s">
        <v>635</v>
      </c>
      <c r="B2081" s="10">
        <v>8014503</v>
      </c>
      <c r="C2081" s="10" t="s">
        <v>759</v>
      </c>
      <c r="D2081" s="10" t="s">
        <v>760</v>
      </c>
      <c r="E2081" s="10">
        <v>0</v>
      </c>
      <c r="F2081" s="10">
        <v>0</v>
      </c>
      <c r="G2081" s="10">
        <v>0</v>
      </c>
      <c r="H2081" s="10">
        <v>0</v>
      </c>
      <c r="I2081" s="10" t="s">
        <v>21</v>
      </c>
      <c r="J2081" s="10">
        <v>0</v>
      </c>
      <c r="K2081" s="10">
        <v>0</v>
      </c>
      <c r="L2081" s="10">
        <v>0</v>
      </c>
      <c r="M2081" s="10">
        <v>0</v>
      </c>
      <c r="N2081" s="10" t="s">
        <v>761</v>
      </c>
      <c r="O2081" s="10" t="s">
        <v>2201</v>
      </c>
      <c r="P2081" s="105" t="e">
        <f t="shared" si="32"/>
        <v>#DIV/0!</v>
      </c>
    </row>
    <row r="2082" spans="1:16">
      <c r="A2082" s="10" t="s">
        <v>635</v>
      </c>
      <c r="B2082" s="10">
        <v>8014504</v>
      </c>
      <c r="C2082" s="10" t="s">
        <v>759</v>
      </c>
      <c r="D2082" s="10" t="s">
        <v>760</v>
      </c>
      <c r="E2082" s="10">
        <v>0</v>
      </c>
      <c r="F2082" s="10">
        <v>0</v>
      </c>
      <c r="G2082" s="10">
        <v>0</v>
      </c>
      <c r="H2082" s="10">
        <v>0</v>
      </c>
      <c r="I2082" s="10" t="s">
        <v>21</v>
      </c>
      <c r="J2082" s="10">
        <v>0</v>
      </c>
      <c r="K2082" s="10">
        <v>0</v>
      </c>
      <c r="L2082" s="10">
        <v>0</v>
      </c>
      <c r="M2082" s="10">
        <v>0</v>
      </c>
      <c r="N2082" s="10" t="s">
        <v>761</v>
      </c>
      <c r="O2082" s="10" t="s">
        <v>2202</v>
      </c>
      <c r="P2082" s="105" t="e">
        <f t="shared" si="32"/>
        <v>#DIV/0!</v>
      </c>
    </row>
    <row r="2083" spans="1:16">
      <c r="A2083" s="10" t="s">
        <v>635</v>
      </c>
      <c r="B2083" s="10">
        <v>8014594</v>
      </c>
      <c r="C2083" s="10" t="s">
        <v>759</v>
      </c>
      <c r="D2083" s="10" t="s">
        <v>760</v>
      </c>
      <c r="E2083" s="10">
        <v>0</v>
      </c>
      <c r="F2083" s="10">
        <v>0</v>
      </c>
      <c r="G2083" s="10">
        <v>0</v>
      </c>
      <c r="H2083" s="10">
        <v>0</v>
      </c>
      <c r="I2083" s="10" t="s">
        <v>26</v>
      </c>
      <c r="J2083" s="10">
        <v>0</v>
      </c>
      <c r="K2083" s="10">
        <v>0</v>
      </c>
      <c r="L2083" s="10">
        <v>0</v>
      </c>
      <c r="M2083" s="10">
        <v>0</v>
      </c>
      <c r="N2083" s="10" t="s">
        <v>761</v>
      </c>
      <c r="O2083" s="10" t="s">
        <v>2203</v>
      </c>
      <c r="P2083" s="105" t="e">
        <f t="shared" si="32"/>
        <v>#DIV/0!</v>
      </c>
    </row>
    <row r="2084" spans="1:16">
      <c r="A2084" s="10" t="s">
        <v>635</v>
      </c>
      <c r="B2084" s="10">
        <v>8014595</v>
      </c>
      <c r="C2084" s="10" t="s">
        <v>759</v>
      </c>
      <c r="D2084" s="10" t="s">
        <v>760</v>
      </c>
      <c r="E2084" s="10">
        <v>0</v>
      </c>
      <c r="F2084" s="10">
        <v>0</v>
      </c>
      <c r="G2084" s="10">
        <v>0</v>
      </c>
      <c r="H2084" s="10">
        <v>0</v>
      </c>
      <c r="I2084" s="10" t="s">
        <v>26</v>
      </c>
      <c r="J2084" s="10">
        <v>0</v>
      </c>
      <c r="K2084" s="10">
        <v>0</v>
      </c>
      <c r="L2084" s="10">
        <v>0</v>
      </c>
      <c r="M2084" s="10">
        <v>0</v>
      </c>
      <c r="N2084" s="10" t="s">
        <v>761</v>
      </c>
      <c r="O2084" s="10" t="s">
        <v>2204</v>
      </c>
      <c r="P2084" s="105" t="e">
        <f t="shared" si="32"/>
        <v>#DIV/0!</v>
      </c>
    </row>
    <row r="2085" spans="1:16">
      <c r="A2085" s="10" t="s">
        <v>635</v>
      </c>
      <c r="B2085" s="10">
        <v>8014596</v>
      </c>
      <c r="C2085" s="10" t="s">
        <v>759</v>
      </c>
      <c r="D2085" s="10" t="s">
        <v>760</v>
      </c>
      <c r="E2085" s="10">
        <v>0</v>
      </c>
      <c r="F2085" s="10">
        <v>0</v>
      </c>
      <c r="G2085" s="10">
        <v>0</v>
      </c>
      <c r="H2085" s="10">
        <v>0</v>
      </c>
      <c r="I2085" s="10" t="s">
        <v>26</v>
      </c>
      <c r="J2085" s="10">
        <v>0</v>
      </c>
      <c r="K2085" s="10">
        <v>0</v>
      </c>
      <c r="L2085" s="10">
        <v>0</v>
      </c>
      <c r="M2085" s="10">
        <v>0</v>
      </c>
      <c r="N2085" s="10" t="s">
        <v>761</v>
      </c>
      <c r="O2085" s="10" t="s">
        <v>2205</v>
      </c>
      <c r="P2085" s="105" t="e">
        <f t="shared" si="32"/>
        <v>#DIV/0!</v>
      </c>
    </row>
    <row r="2086" spans="1:16">
      <c r="A2086" s="10" t="s">
        <v>635</v>
      </c>
      <c r="B2086" s="10">
        <v>8014597</v>
      </c>
      <c r="C2086" s="10" t="s">
        <v>759</v>
      </c>
      <c r="D2086" s="10" t="s">
        <v>760</v>
      </c>
      <c r="E2086" s="10">
        <v>0</v>
      </c>
      <c r="F2086" s="10">
        <v>0</v>
      </c>
      <c r="G2086" s="10">
        <v>0</v>
      </c>
      <c r="H2086" s="10">
        <v>0</v>
      </c>
      <c r="I2086" s="10" t="s">
        <v>21</v>
      </c>
      <c r="J2086" s="10">
        <v>0</v>
      </c>
      <c r="K2086" s="10">
        <v>0</v>
      </c>
      <c r="L2086" s="10">
        <v>0</v>
      </c>
      <c r="M2086" s="10">
        <v>0</v>
      </c>
      <c r="N2086" s="10" t="s">
        <v>761</v>
      </c>
      <c r="O2086" s="10" t="s">
        <v>2206</v>
      </c>
      <c r="P2086" s="105" t="e">
        <f t="shared" si="32"/>
        <v>#DIV/0!</v>
      </c>
    </row>
    <row r="2087" spans="1:16">
      <c r="A2087" s="10" t="s">
        <v>635</v>
      </c>
      <c r="B2087" s="10">
        <v>8014598</v>
      </c>
      <c r="C2087" s="10" t="s">
        <v>759</v>
      </c>
      <c r="D2087" s="10" t="s">
        <v>760</v>
      </c>
      <c r="E2087" s="10">
        <v>0</v>
      </c>
      <c r="F2087" s="10">
        <v>0</v>
      </c>
      <c r="G2087" s="10">
        <v>0</v>
      </c>
      <c r="H2087" s="10">
        <v>0</v>
      </c>
      <c r="I2087" s="10" t="s">
        <v>97</v>
      </c>
      <c r="J2087" s="10">
        <v>0</v>
      </c>
      <c r="K2087" s="10">
        <v>0</v>
      </c>
      <c r="L2087" s="10">
        <v>0</v>
      </c>
      <c r="M2087" s="10">
        <v>0</v>
      </c>
      <c r="N2087" s="10" t="s">
        <v>761</v>
      </c>
      <c r="O2087" s="10" t="s">
        <v>2207</v>
      </c>
      <c r="P2087" s="105" t="e">
        <f t="shared" si="32"/>
        <v>#DIV/0!</v>
      </c>
    </row>
    <row r="2088" spans="1:16">
      <c r="A2088" s="10" t="s">
        <v>635</v>
      </c>
      <c r="B2088" s="10">
        <v>8014599</v>
      </c>
      <c r="C2088" s="10" t="s">
        <v>759</v>
      </c>
      <c r="D2088" s="10" t="s">
        <v>760</v>
      </c>
      <c r="E2088" s="10">
        <v>0</v>
      </c>
      <c r="F2088" s="10">
        <v>0</v>
      </c>
      <c r="G2088" s="10">
        <v>0</v>
      </c>
      <c r="H2088" s="10">
        <v>0</v>
      </c>
      <c r="I2088" s="10" t="s">
        <v>26</v>
      </c>
      <c r="J2088" s="10">
        <v>0</v>
      </c>
      <c r="K2088" s="10">
        <v>0</v>
      </c>
      <c r="L2088" s="10">
        <v>0</v>
      </c>
      <c r="M2088" s="10">
        <v>0</v>
      </c>
      <c r="N2088" s="10" t="s">
        <v>761</v>
      </c>
      <c r="O2088" s="10" t="s">
        <v>2208</v>
      </c>
      <c r="P2088" s="105" t="e">
        <f t="shared" si="32"/>
        <v>#DIV/0!</v>
      </c>
    </row>
    <row r="2089" spans="1:16">
      <c r="A2089" s="10" t="s">
        <v>635</v>
      </c>
      <c r="B2089" s="10">
        <v>8014621</v>
      </c>
      <c r="C2089" s="10" t="s">
        <v>759</v>
      </c>
      <c r="D2089" s="10" t="s">
        <v>760</v>
      </c>
      <c r="E2089" s="10">
        <v>19</v>
      </c>
      <c r="F2089" s="10">
        <v>0</v>
      </c>
      <c r="G2089" s="10">
        <v>0</v>
      </c>
      <c r="H2089" s="10">
        <v>19</v>
      </c>
      <c r="I2089" s="10" t="s">
        <v>26</v>
      </c>
      <c r="J2089" s="103">
        <v>1182.67</v>
      </c>
      <c r="K2089" s="10">
        <v>0</v>
      </c>
      <c r="L2089" s="10">
        <v>0</v>
      </c>
      <c r="M2089" s="103">
        <v>1182.67</v>
      </c>
      <c r="N2089" s="10" t="s">
        <v>761</v>
      </c>
      <c r="O2089" s="10" t="s">
        <v>24</v>
      </c>
      <c r="P2089" s="105">
        <f t="shared" si="32"/>
        <v>62.2457894736842</v>
      </c>
    </row>
    <row r="2090" spans="1:16">
      <c r="A2090" s="10" t="s">
        <v>635</v>
      </c>
      <c r="B2090" s="10">
        <v>8014622</v>
      </c>
      <c r="C2090" s="10" t="s">
        <v>759</v>
      </c>
      <c r="D2090" s="10" t="s">
        <v>760</v>
      </c>
      <c r="E2090" s="10">
        <v>0</v>
      </c>
      <c r="F2090" s="10">
        <v>0</v>
      </c>
      <c r="G2090" s="10">
        <v>0</v>
      </c>
      <c r="H2090" s="10">
        <v>0</v>
      </c>
      <c r="I2090" s="10" t="s">
        <v>26</v>
      </c>
      <c r="J2090" s="10">
        <v>0</v>
      </c>
      <c r="K2090" s="10">
        <v>0</v>
      </c>
      <c r="L2090" s="10">
        <v>0</v>
      </c>
      <c r="M2090" s="10">
        <v>0</v>
      </c>
      <c r="N2090" s="10" t="s">
        <v>761</v>
      </c>
      <c r="O2090" s="10" t="s">
        <v>2209</v>
      </c>
      <c r="P2090" s="105" t="e">
        <f t="shared" si="32"/>
        <v>#DIV/0!</v>
      </c>
    </row>
    <row r="2091" spans="1:16">
      <c r="A2091" s="10" t="s">
        <v>635</v>
      </c>
      <c r="B2091" s="10">
        <v>8014623</v>
      </c>
      <c r="C2091" s="10" t="s">
        <v>759</v>
      </c>
      <c r="D2091" s="10" t="s">
        <v>760</v>
      </c>
      <c r="E2091" s="10">
        <v>0</v>
      </c>
      <c r="F2091" s="10">
        <v>0</v>
      </c>
      <c r="G2091" s="10">
        <v>0</v>
      </c>
      <c r="H2091" s="10">
        <v>0</v>
      </c>
      <c r="I2091" s="10" t="s">
        <v>26</v>
      </c>
      <c r="J2091" s="10">
        <v>0</v>
      </c>
      <c r="K2091" s="10">
        <v>0</v>
      </c>
      <c r="L2091" s="10">
        <v>0</v>
      </c>
      <c r="M2091" s="10">
        <v>0</v>
      </c>
      <c r="N2091" s="10" t="s">
        <v>761</v>
      </c>
      <c r="O2091" s="10" t="s">
        <v>2210</v>
      </c>
      <c r="P2091" s="105" t="e">
        <f t="shared" si="32"/>
        <v>#DIV/0!</v>
      </c>
    </row>
    <row r="2092" spans="1:16">
      <c r="A2092" s="10" t="s">
        <v>635</v>
      </c>
      <c r="B2092" s="10">
        <v>8014628</v>
      </c>
      <c r="C2092" s="10" t="s">
        <v>759</v>
      </c>
      <c r="D2092" s="10" t="s">
        <v>760</v>
      </c>
      <c r="E2092" s="10">
        <v>0</v>
      </c>
      <c r="F2092" s="10">
        <v>0</v>
      </c>
      <c r="G2092" s="10">
        <v>0</v>
      </c>
      <c r="H2092" s="10">
        <v>0</v>
      </c>
      <c r="I2092" s="10" t="s">
        <v>97</v>
      </c>
      <c r="J2092" s="10">
        <v>0</v>
      </c>
      <c r="K2092" s="10">
        <v>0</v>
      </c>
      <c r="L2092" s="10">
        <v>0</v>
      </c>
      <c r="M2092" s="10">
        <v>0</v>
      </c>
      <c r="N2092" s="10" t="s">
        <v>761</v>
      </c>
      <c r="O2092" s="10" t="s">
        <v>2211</v>
      </c>
      <c r="P2092" s="105" t="e">
        <f t="shared" si="32"/>
        <v>#DIV/0!</v>
      </c>
    </row>
    <row r="2093" spans="1:16">
      <c r="A2093" s="10" t="s">
        <v>635</v>
      </c>
      <c r="B2093" s="10">
        <v>8014629</v>
      </c>
      <c r="C2093" s="10" t="s">
        <v>759</v>
      </c>
      <c r="D2093" s="10" t="s">
        <v>760</v>
      </c>
      <c r="E2093" s="10">
        <v>0</v>
      </c>
      <c r="F2093" s="10">
        <v>0</v>
      </c>
      <c r="G2093" s="10">
        <v>0</v>
      </c>
      <c r="H2093" s="10">
        <v>0</v>
      </c>
      <c r="I2093" s="10" t="s">
        <v>97</v>
      </c>
      <c r="J2093" s="10">
        <v>0</v>
      </c>
      <c r="K2093" s="10">
        <v>0</v>
      </c>
      <c r="L2093" s="10">
        <v>0</v>
      </c>
      <c r="M2093" s="10">
        <v>0</v>
      </c>
      <c r="N2093" s="10" t="s">
        <v>761</v>
      </c>
      <c r="O2093" s="10" t="s">
        <v>2212</v>
      </c>
      <c r="P2093" s="105" t="e">
        <f t="shared" si="32"/>
        <v>#DIV/0!</v>
      </c>
    </row>
    <row r="2094" spans="1:16">
      <c r="A2094" s="10" t="s">
        <v>635</v>
      </c>
      <c r="B2094" s="10">
        <v>8014631</v>
      </c>
      <c r="C2094" s="10" t="s">
        <v>759</v>
      </c>
      <c r="D2094" s="10" t="s">
        <v>760</v>
      </c>
      <c r="E2094" s="10">
        <v>0</v>
      </c>
      <c r="F2094" s="10">
        <v>0</v>
      </c>
      <c r="G2094" s="10">
        <v>0</v>
      </c>
      <c r="H2094" s="10">
        <v>0</v>
      </c>
      <c r="I2094" s="10" t="s">
        <v>97</v>
      </c>
      <c r="J2094" s="10">
        <v>0</v>
      </c>
      <c r="K2094" s="10">
        <v>0</v>
      </c>
      <c r="L2094" s="10">
        <v>0</v>
      </c>
      <c r="M2094" s="10">
        <v>0</v>
      </c>
      <c r="N2094" s="10" t="s">
        <v>761</v>
      </c>
      <c r="O2094" s="10" t="s">
        <v>2213</v>
      </c>
      <c r="P2094" s="105" t="e">
        <f t="shared" si="32"/>
        <v>#DIV/0!</v>
      </c>
    </row>
    <row r="2095" spans="1:16">
      <c r="A2095" s="10" t="s">
        <v>635</v>
      </c>
      <c r="B2095" s="10">
        <v>8014632</v>
      </c>
      <c r="C2095" s="10" t="s">
        <v>759</v>
      </c>
      <c r="D2095" s="10" t="s">
        <v>760</v>
      </c>
      <c r="E2095" s="10">
        <v>0</v>
      </c>
      <c r="F2095" s="10">
        <v>0</v>
      </c>
      <c r="G2095" s="10">
        <v>0</v>
      </c>
      <c r="H2095" s="10">
        <v>0</v>
      </c>
      <c r="I2095" s="10" t="s">
        <v>97</v>
      </c>
      <c r="J2095" s="10">
        <v>0</v>
      </c>
      <c r="K2095" s="10">
        <v>0</v>
      </c>
      <c r="L2095" s="10">
        <v>0</v>
      </c>
      <c r="M2095" s="10">
        <v>0</v>
      </c>
      <c r="N2095" s="10" t="s">
        <v>761</v>
      </c>
      <c r="O2095" s="10" t="s">
        <v>2214</v>
      </c>
      <c r="P2095" s="105" t="e">
        <f t="shared" si="32"/>
        <v>#DIV/0!</v>
      </c>
    </row>
    <row r="2096" spans="1:16">
      <c r="A2096" s="10" t="s">
        <v>635</v>
      </c>
      <c r="B2096" s="10">
        <v>8014633</v>
      </c>
      <c r="C2096" s="10" t="s">
        <v>759</v>
      </c>
      <c r="D2096" s="10" t="s">
        <v>760</v>
      </c>
      <c r="E2096" s="10">
        <v>0</v>
      </c>
      <c r="F2096" s="10">
        <v>0</v>
      </c>
      <c r="G2096" s="10">
        <v>0</v>
      </c>
      <c r="H2096" s="10">
        <v>0</v>
      </c>
      <c r="I2096" s="10" t="s">
        <v>97</v>
      </c>
      <c r="J2096" s="10">
        <v>0</v>
      </c>
      <c r="K2096" s="10">
        <v>0</v>
      </c>
      <c r="L2096" s="10">
        <v>0</v>
      </c>
      <c r="M2096" s="10">
        <v>0</v>
      </c>
      <c r="N2096" s="10" t="s">
        <v>761</v>
      </c>
      <c r="O2096" s="10" t="s">
        <v>2215</v>
      </c>
      <c r="P2096" s="105" t="e">
        <f t="shared" si="32"/>
        <v>#DIV/0!</v>
      </c>
    </row>
    <row r="2097" spans="1:16">
      <c r="A2097" s="10" t="s">
        <v>635</v>
      </c>
      <c r="B2097" s="10">
        <v>8014634</v>
      </c>
      <c r="C2097" s="10" t="s">
        <v>759</v>
      </c>
      <c r="D2097" s="10" t="s">
        <v>760</v>
      </c>
      <c r="E2097" s="10">
        <v>0</v>
      </c>
      <c r="F2097" s="10">
        <v>0</v>
      </c>
      <c r="G2097" s="10">
        <v>0</v>
      </c>
      <c r="H2097" s="10">
        <v>0</v>
      </c>
      <c r="I2097" s="10" t="s">
        <v>21</v>
      </c>
      <c r="J2097" s="10">
        <v>0</v>
      </c>
      <c r="K2097" s="10">
        <v>0</v>
      </c>
      <c r="L2097" s="10">
        <v>0</v>
      </c>
      <c r="M2097" s="10">
        <v>0</v>
      </c>
      <c r="N2097" s="10" t="s">
        <v>761</v>
      </c>
      <c r="O2097" s="10" t="s">
        <v>2216</v>
      </c>
      <c r="P2097" s="105" t="e">
        <f t="shared" si="32"/>
        <v>#DIV/0!</v>
      </c>
    </row>
    <row r="2098" spans="1:16">
      <c r="A2098" s="10" t="s">
        <v>635</v>
      </c>
      <c r="B2098" s="10">
        <v>8014635</v>
      </c>
      <c r="C2098" s="10" t="s">
        <v>759</v>
      </c>
      <c r="D2098" s="10" t="s">
        <v>760</v>
      </c>
      <c r="E2098" s="10">
        <v>0</v>
      </c>
      <c r="F2098" s="10">
        <v>0</v>
      </c>
      <c r="G2098" s="10">
        <v>0</v>
      </c>
      <c r="H2098" s="10">
        <v>0</v>
      </c>
      <c r="I2098" s="10" t="s">
        <v>21</v>
      </c>
      <c r="J2098" s="10">
        <v>0</v>
      </c>
      <c r="K2098" s="10">
        <v>0</v>
      </c>
      <c r="L2098" s="10">
        <v>0</v>
      </c>
      <c r="M2098" s="10">
        <v>0</v>
      </c>
      <c r="N2098" s="10" t="s">
        <v>761</v>
      </c>
      <c r="O2098" s="10" t="s">
        <v>2217</v>
      </c>
      <c r="P2098" s="105" t="e">
        <f t="shared" si="32"/>
        <v>#DIV/0!</v>
      </c>
    </row>
    <row r="2099" spans="1:16">
      <c r="A2099" s="10" t="s">
        <v>635</v>
      </c>
      <c r="B2099" s="10">
        <v>8014636</v>
      </c>
      <c r="C2099" s="10" t="s">
        <v>759</v>
      </c>
      <c r="D2099" s="10" t="s">
        <v>760</v>
      </c>
      <c r="E2099" s="10">
        <v>0</v>
      </c>
      <c r="F2099" s="10">
        <v>0</v>
      </c>
      <c r="G2099" s="10">
        <v>0</v>
      </c>
      <c r="H2099" s="10">
        <v>0</v>
      </c>
      <c r="I2099" s="10" t="s">
        <v>21</v>
      </c>
      <c r="J2099" s="10">
        <v>0</v>
      </c>
      <c r="K2099" s="10">
        <v>0</v>
      </c>
      <c r="L2099" s="10">
        <v>0</v>
      </c>
      <c r="M2099" s="10">
        <v>0</v>
      </c>
      <c r="N2099" s="10" t="s">
        <v>761</v>
      </c>
      <c r="O2099" s="10" t="s">
        <v>2218</v>
      </c>
      <c r="P2099" s="105" t="e">
        <f t="shared" si="32"/>
        <v>#DIV/0!</v>
      </c>
    </row>
    <row r="2100" spans="1:16">
      <c r="A2100" s="10" t="s">
        <v>635</v>
      </c>
      <c r="B2100" s="10">
        <v>8014637</v>
      </c>
      <c r="C2100" s="10" t="s">
        <v>759</v>
      </c>
      <c r="D2100" s="10" t="s">
        <v>760</v>
      </c>
      <c r="E2100" s="10">
        <v>0</v>
      </c>
      <c r="F2100" s="10">
        <v>0</v>
      </c>
      <c r="G2100" s="10">
        <v>0</v>
      </c>
      <c r="H2100" s="10">
        <v>0</v>
      </c>
      <c r="I2100" s="10" t="s">
        <v>97</v>
      </c>
      <c r="J2100" s="10">
        <v>0</v>
      </c>
      <c r="K2100" s="10">
        <v>0</v>
      </c>
      <c r="L2100" s="10">
        <v>0</v>
      </c>
      <c r="M2100" s="10">
        <v>0</v>
      </c>
      <c r="N2100" s="10" t="s">
        <v>761</v>
      </c>
      <c r="O2100" s="10" t="s">
        <v>2219</v>
      </c>
      <c r="P2100" s="105" t="e">
        <f t="shared" si="32"/>
        <v>#DIV/0!</v>
      </c>
    </row>
    <row r="2101" spans="1:16">
      <c r="A2101" s="10" t="s">
        <v>635</v>
      </c>
      <c r="B2101" s="10">
        <v>8014684</v>
      </c>
      <c r="C2101" s="10" t="s">
        <v>759</v>
      </c>
      <c r="D2101" s="10" t="s">
        <v>760</v>
      </c>
      <c r="E2101" s="10">
        <v>0</v>
      </c>
      <c r="F2101" s="10">
        <v>0</v>
      </c>
      <c r="G2101" s="10">
        <v>0</v>
      </c>
      <c r="H2101" s="10">
        <v>0</v>
      </c>
      <c r="I2101" s="10" t="s">
        <v>21</v>
      </c>
      <c r="J2101" s="10">
        <v>0</v>
      </c>
      <c r="K2101" s="10">
        <v>0</v>
      </c>
      <c r="L2101" s="10">
        <v>0</v>
      </c>
      <c r="M2101" s="10">
        <v>0</v>
      </c>
      <c r="N2101" s="10" t="s">
        <v>761</v>
      </c>
      <c r="O2101" s="10" t="s">
        <v>2220</v>
      </c>
      <c r="P2101" s="105" t="e">
        <f t="shared" si="32"/>
        <v>#DIV/0!</v>
      </c>
    </row>
    <row r="2102" spans="1:16">
      <c r="A2102" s="10" t="s">
        <v>635</v>
      </c>
      <c r="B2102" s="10">
        <v>8014685</v>
      </c>
      <c r="C2102" s="10" t="s">
        <v>759</v>
      </c>
      <c r="D2102" s="10" t="s">
        <v>760</v>
      </c>
      <c r="E2102" s="10">
        <v>0</v>
      </c>
      <c r="F2102" s="10">
        <v>0</v>
      </c>
      <c r="G2102" s="10">
        <v>0</v>
      </c>
      <c r="H2102" s="10">
        <v>0</v>
      </c>
      <c r="I2102" s="10" t="s">
        <v>21</v>
      </c>
      <c r="J2102" s="10">
        <v>0</v>
      </c>
      <c r="K2102" s="10">
        <v>0</v>
      </c>
      <c r="L2102" s="10">
        <v>0</v>
      </c>
      <c r="M2102" s="10">
        <v>0</v>
      </c>
      <c r="N2102" s="10" t="s">
        <v>761</v>
      </c>
      <c r="O2102" s="10" t="s">
        <v>2221</v>
      </c>
      <c r="P2102" s="105" t="e">
        <f t="shared" si="32"/>
        <v>#DIV/0!</v>
      </c>
    </row>
    <row r="2103" spans="1:16">
      <c r="A2103" s="10" t="s">
        <v>635</v>
      </c>
      <c r="B2103" s="10">
        <v>8014686</v>
      </c>
      <c r="C2103" s="10" t="s">
        <v>759</v>
      </c>
      <c r="D2103" s="10" t="s">
        <v>760</v>
      </c>
      <c r="E2103" s="10">
        <v>30</v>
      </c>
      <c r="F2103" s="10">
        <v>0</v>
      </c>
      <c r="G2103" s="10">
        <v>0</v>
      </c>
      <c r="H2103" s="10">
        <v>30</v>
      </c>
      <c r="I2103" s="10" t="s">
        <v>21</v>
      </c>
      <c r="J2103" s="10">
        <v>251.84</v>
      </c>
      <c r="K2103" s="10">
        <v>0</v>
      </c>
      <c r="L2103" s="10">
        <v>0</v>
      </c>
      <c r="M2103" s="10">
        <v>251.84</v>
      </c>
      <c r="N2103" s="10" t="s">
        <v>761</v>
      </c>
      <c r="O2103" s="10" t="s">
        <v>22</v>
      </c>
      <c r="P2103" s="105">
        <f t="shared" si="32"/>
        <v>8.39466666666667</v>
      </c>
    </row>
    <row r="2104" spans="1:16">
      <c r="A2104" s="10" t="s">
        <v>635</v>
      </c>
      <c r="B2104" s="10">
        <v>8014687</v>
      </c>
      <c r="C2104" s="10" t="s">
        <v>759</v>
      </c>
      <c r="D2104" s="10" t="s">
        <v>760</v>
      </c>
      <c r="E2104" s="10">
        <v>0</v>
      </c>
      <c r="F2104" s="10">
        <v>0</v>
      </c>
      <c r="G2104" s="10">
        <v>0</v>
      </c>
      <c r="H2104" s="10">
        <v>0</v>
      </c>
      <c r="I2104" s="10" t="s">
        <v>21</v>
      </c>
      <c r="J2104" s="10">
        <v>0</v>
      </c>
      <c r="K2104" s="10">
        <v>0</v>
      </c>
      <c r="L2104" s="10">
        <v>0</v>
      </c>
      <c r="M2104" s="10">
        <v>0</v>
      </c>
      <c r="N2104" s="10" t="s">
        <v>761</v>
      </c>
      <c r="O2104" s="10" t="s">
        <v>2222</v>
      </c>
      <c r="P2104" s="105" t="e">
        <f t="shared" si="32"/>
        <v>#DIV/0!</v>
      </c>
    </row>
    <row r="2105" spans="1:16">
      <c r="A2105" s="10" t="s">
        <v>635</v>
      </c>
      <c r="B2105" s="10">
        <v>8014688</v>
      </c>
      <c r="C2105" s="10" t="s">
        <v>759</v>
      </c>
      <c r="D2105" s="10" t="s">
        <v>760</v>
      </c>
      <c r="E2105" s="10">
        <v>0</v>
      </c>
      <c r="F2105" s="10">
        <v>0</v>
      </c>
      <c r="G2105" s="10">
        <v>0</v>
      </c>
      <c r="H2105" s="10">
        <v>0</v>
      </c>
      <c r="I2105" s="10" t="s">
        <v>21</v>
      </c>
      <c r="J2105" s="10">
        <v>0</v>
      </c>
      <c r="K2105" s="10">
        <v>0</v>
      </c>
      <c r="L2105" s="10">
        <v>0</v>
      </c>
      <c r="M2105" s="10">
        <v>0</v>
      </c>
      <c r="N2105" s="10" t="s">
        <v>761</v>
      </c>
      <c r="O2105" s="10" t="s">
        <v>745</v>
      </c>
      <c r="P2105" s="105" t="e">
        <f t="shared" si="32"/>
        <v>#DIV/0!</v>
      </c>
    </row>
    <row r="2106" spans="1:16">
      <c r="A2106" s="10" t="s">
        <v>635</v>
      </c>
      <c r="B2106" s="10">
        <v>8014689</v>
      </c>
      <c r="C2106" s="10" t="s">
        <v>759</v>
      </c>
      <c r="D2106" s="10" t="s">
        <v>760</v>
      </c>
      <c r="E2106" s="10">
        <v>50</v>
      </c>
      <c r="F2106" s="10">
        <v>0</v>
      </c>
      <c r="G2106" s="10">
        <v>0</v>
      </c>
      <c r="H2106" s="10">
        <v>50</v>
      </c>
      <c r="I2106" s="10" t="s">
        <v>21</v>
      </c>
      <c r="J2106" s="10">
        <v>627.72</v>
      </c>
      <c r="K2106" s="10">
        <v>0</v>
      </c>
      <c r="L2106" s="10">
        <v>0</v>
      </c>
      <c r="M2106" s="10">
        <v>627.72</v>
      </c>
      <c r="N2106" s="10" t="s">
        <v>761</v>
      </c>
      <c r="O2106" s="10" t="s">
        <v>23</v>
      </c>
      <c r="P2106" s="105">
        <f t="shared" si="32"/>
        <v>12.5544</v>
      </c>
    </row>
    <row r="2107" spans="1:16">
      <c r="A2107" s="10" t="s">
        <v>635</v>
      </c>
      <c r="B2107" s="10">
        <v>8014690</v>
      </c>
      <c r="C2107" s="10" t="s">
        <v>759</v>
      </c>
      <c r="D2107" s="10" t="s">
        <v>760</v>
      </c>
      <c r="E2107" s="10">
        <v>0</v>
      </c>
      <c r="F2107" s="10">
        <v>0</v>
      </c>
      <c r="G2107" s="10">
        <v>0</v>
      </c>
      <c r="H2107" s="10">
        <v>0</v>
      </c>
      <c r="I2107" s="10" t="s">
        <v>21</v>
      </c>
      <c r="J2107" s="10">
        <v>0</v>
      </c>
      <c r="K2107" s="10">
        <v>0</v>
      </c>
      <c r="L2107" s="10">
        <v>0</v>
      </c>
      <c r="M2107" s="10">
        <v>0</v>
      </c>
      <c r="N2107" s="10" t="s">
        <v>761</v>
      </c>
      <c r="O2107" s="10" t="s">
        <v>746</v>
      </c>
      <c r="P2107" s="105" t="e">
        <f t="shared" si="32"/>
        <v>#DIV/0!</v>
      </c>
    </row>
    <row r="2108" spans="1:16">
      <c r="A2108" s="10" t="s">
        <v>635</v>
      </c>
      <c r="B2108" s="10">
        <v>8014691</v>
      </c>
      <c r="C2108" s="10" t="s">
        <v>759</v>
      </c>
      <c r="D2108" s="10" t="s">
        <v>760</v>
      </c>
      <c r="E2108" s="10">
        <v>0</v>
      </c>
      <c r="F2108" s="10">
        <v>0</v>
      </c>
      <c r="G2108" s="10">
        <v>0</v>
      </c>
      <c r="H2108" s="10">
        <v>0</v>
      </c>
      <c r="I2108" s="10" t="s">
        <v>21</v>
      </c>
      <c r="J2108" s="10">
        <v>0</v>
      </c>
      <c r="K2108" s="10">
        <v>0</v>
      </c>
      <c r="L2108" s="10">
        <v>0</v>
      </c>
      <c r="M2108" s="10">
        <v>0</v>
      </c>
      <c r="N2108" s="10" t="s">
        <v>761</v>
      </c>
      <c r="O2108" s="10" t="s">
        <v>747</v>
      </c>
      <c r="P2108" s="105" t="e">
        <f t="shared" si="32"/>
        <v>#DIV/0!</v>
      </c>
    </row>
    <row r="2109" spans="1:16">
      <c r="A2109" s="10" t="s">
        <v>635</v>
      </c>
      <c r="B2109" s="10">
        <v>8014692</v>
      </c>
      <c r="C2109" s="10" t="s">
        <v>759</v>
      </c>
      <c r="D2109" s="10" t="s">
        <v>760</v>
      </c>
      <c r="E2109" s="10">
        <v>0</v>
      </c>
      <c r="F2109" s="10">
        <v>0</v>
      </c>
      <c r="G2109" s="10">
        <v>0</v>
      </c>
      <c r="H2109" s="10">
        <v>0</v>
      </c>
      <c r="I2109" s="10" t="s">
        <v>26</v>
      </c>
      <c r="J2109" s="10">
        <v>0</v>
      </c>
      <c r="K2109" s="10">
        <v>0</v>
      </c>
      <c r="L2109" s="10">
        <v>0</v>
      </c>
      <c r="M2109" s="10">
        <v>0</v>
      </c>
      <c r="N2109" s="10" t="s">
        <v>761</v>
      </c>
      <c r="O2109" s="10" t="s">
        <v>2223</v>
      </c>
      <c r="P2109" s="105" t="e">
        <f t="shared" si="32"/>
        <v>#DIV/0!</v>
      </c>
    </row>
    <row r="2110" spans="1:16">
      <c r="A2110" s="10" t="s">
        <v>635</v>
      </c>
      <c r="B2110" s="10">
        <v>8014693</v>
      </c>
      <c r="C2110" s="10" t="s">
        <v>759</v>
      </c>
      <c r="D2110" s="10" t="s">
        <v>760</v>
      </c>
      <c r="E2110" s="10">
        <v>0</v>
      </c>
      <c r="F2110" s="10">
        <v>0</v>
      </c>
      <c r="G2110" s="10">
        <v>0</v>
      </c>
      <c r="H2110" s="10">
        <v>0</v>
      </c>
      <c r="I2110" s="10" t="s">
        <v>21</v>
      </c>
      <c r="J2110" s="10">
        <v>0</v>
      </c>
      <c r="K2110" s="10">
        <v>0</v>
      </c>
      <c r="L2110" s="10">
        <v>0</v>
      </c>
      <c r="M2110" s="10">
        <v>0</v>
      </c>
      <c r="N2110" s="10" t="s">
        <v>761</v>
      </c>
      <c r="O2110" s="10" t="s">
        <v>2224</v>
      </c>
      <c r="P2110" s="105" t="e">
        <f t="shared" si="32"/>
        <v>#DIV/0!</v>
      </c>
    </row>
    <row r="2111" spans="1:16">
      <c r="A2111" s="10" t="s">
        <v>635</v>
      </c>
      <c r="B2111" s="10">
        <v>8014694</v>
      </c>
      <c r="C2111" s="10" t="s">
        <v>759</v>
      </c>
      <c r="D2111" s="10" t="s">
        <v>760</v>
      </c>
      <c r="E2111" s="10">
        <v>0</v>
      </c>
      <c r="F2111" s="10">
        <v>0</v>
      </c>
      <c r="G2111" s="10">
        <v>0</v>
      </c>
      <c r="H2111" s="10">
        <v>0</v>
      </c>
      <c r="I2111" s="10" t="s">
        <v>21</v>
      </c>
      <c r="J2111" s="10">
        <v>0</v>
      </c>
      <c r="K2111" s="10">
        <v>0</v>
      </c>
      <c r="L2111" s="10">
        <v>0</v>
      </c>
      <c r="M2111" s="10">
        <v>0</v>
      </c>
      <c r="N2111" s="10" t="s">
        <v>761</v>
      </c>
      <c r="O2111" s="10" t="s">
        <v>2225</v>
      </c>
      <c r="P2111" s="105" t="e">
        <f t="shared" si="32"/>
        <v>#DIV/0!</v>
      </c>
    </row>
    <row r="2112" spans="1:16">
      <c r="A2112" s="10" t="s">
        <v>635</v>
      </c>
      <c r="B2112" s="10">
        <v>8014695</v>
      </c>
      <c r="C2112" s="10" t="s">
        <v>759</v>
      </c>
      <c r="D2112" s="10" t="s">
        <v>760</v>
      </c>
      <c r="E2112" s="10">
        <v>0</v>
      </c>
      <c r="F2112" s="10">
        <v>0</v>
      </c>
      <c r="G2112" s="10">
        <v>0</v>
      </c>
      <c r="H2112" s="10">
        <v>0</v>
      </c>
      <c r="I2112" s="10" t="s">
        <v>21</v>
      </c>
      <c r="J2112" s="10">
        <v>0</v>
      </c>
      <c r="K2112" s="10">
        <v>0</v>
      </c>
      <c r="L2112" s="10">
        <v>0</v>
      </c>
      <c r="M2112" s="10">
        <v>0</v>
      </c>
      <c r="N2112" s="10" t="s">
        <v>761</v>
      </c>
      <c r="O2112" s="10" t="s">
        <v>2226</v>
      </c>
      <c r="P2112" s="105" t="e">
        <f t="shared" si="32"/>
        <v>#DIV/0!</v>
      </c>
    </row>
    <row r="2113" spans="1:16">
      <c r="A2113" s="10" t="s">
        <v>635</v>
      </c>
      <c r="B2113" s="10">
        <v>8014696</v>
      </c>
      <c r="C2113" s="10" t="s">
        <v>759</v>
      </c>
      <c r="D2113" s="10" t="s">
        <v>760</v>
      </c>
      <c r="E2113" s="10">
        <v>0</v>
      </c>
      <c r="F2113" s="10">
        <v>0</v>
      </c>
      <c r="G2113" s="10">
        <v>0</v>
      </c>
      <c r="H2113" s="10">
        <v>0</v>
      </c>
      <c r="I2113" s="10" t="s">
        <v>21</v>
      </c>
      <c r="J2113" s="10">
        <v>0</v>
      </c>
      <c r="K2113" s="10">
        <v>0</v>
      </c>
      <c r="L2113" s="10">
        <v>0</v>
      </c>
      <c r="M2113" s="10">
        <v>0</v>
      </c>
      <c r="N2113" s="10" t="s">
        <v>761</v>
      </c>
      <c r="O2113" s="10" t="s">
        <v>2227</v>
      </c>
      <c r="P2113" s="105" t="e">
        <f t="shared" si="32"/>
        <v>#DIV/0!</v>
      </c>
    </row>
    <row r="2114" spans="1:16">
      <c r="A2114" s="10" t="s">
        <v>635</v>
      </c>
      <c r="B2114" s="10">
        <v>8014750</v>
      </c>
      <c r="C2114" s="10" t="s">
        <v>759</v>
      </c>
      <c r="D2114" s="10" t="s">
        <v>760</v>
      </c>
      <c r="E2114" s="10">
        <v>0</v>
      </c>
      <c r="F2114" s="10">
        <v>0</v>
      </c>
      <c r="G2114" s="10">
        <v>0</v>
      </c>
      <c r="H2114" s="10">
        <v>0</v>
      </c>
      <c r="I2114" s="10" t="s">
        <v>21</v>
      </c>
      <c r="J2114" s="10">
        <v>0</v>
      </c>
      <c r="K2114" s="10">
        <v>0</v>
      </c>
      <c r="L2114" s="10">
        <v>0</v>
      </c>
      <c r="M2114" s="10">
        <v>0</v>
      </c>
      <c r="N2114" s="10" t="s">
        <v>761</v>
      </c>
      <c r="O2114" s="10" t="s">
        <v>2228</v>
      </c>
      <c r="P2114" s="105" t="e">
        <f t="shared" si="32"/>
        <v>#DIV/0!</v>
      </c>
    </row>
    <row r="2115" spans="1:16">
      <c r="A2115" s="10" t="s">
        <v>635</v>
      </c>
      <c r="B2115" s="10">
        <v>8014825</v>
      </c>
      <c r="C2115" s="10" t="s">
        <v>759</v>
      </c>
      <c r="D2115" s="10" t="s">
        <v>760</v>
      </c>
      <c r="E2115" s="10">
        <v>0</v>
      </c>
      <c r="F2115" s="103">
        <v>4000</v>
      </c>
      <c r="G2115" s="10">
        <v>0</v>
      </c>
      <c r="H2115" s="103">
        <v>4000</v>
      </c>
      <c r="I2115" s="10" t="s">
        <v>26</v>
      </c>
      <c r="J2115" s="10">
        <v>0</v>
      </c>
      <c r="K2115" s="10">
        <v>663.36</v>
      </c>
      <c r="L2115" s="10">
        <v>0</v>
      </c>
      <c r="M2115" s="10">
        <v>663.36</v>
      </c>
      <c r="N2115" s="10" t="s">
        <v>761</v>
      </c>
      <c r="O2115" s="10" t="s">
        <v>153</v>
      </c>
      <c r="P2115" s="105">
        <f t="shared" ref="P2115:P2178" si="33">M2115/H2115</f>
        <v>0.16584</v>
      </c>
    </row>
    <row r="2116" spans="1:16">
      <c r="A2116" s="10" t="s">
        <v>635</v>
      </c>
      <c r="B2116" s="10">
        <v>8014911</v>
      </c>
      <c r="C2116" s="10" t="s">
        <v>759</v>
      </c>
      <c r="D2116" s="10" t="s">
        <v>760</v>
      </c>
      <c r="E2116" s="10">
        <v>0</v>
      </c>
      <c r="F2116" s="10">
        <v>0</v>
      </c>
      <c r="G2116" s="10">
        <v>0</v>
      </c>
      <c r="H2116" s="10">
        <v>0</v>
      </c>
      <c r="I2116" s="10" t="s">
        <v>41</v>
      </c>
      <c r="J2116" s="10">
        <v>0</v>
      </c>
      <c r="K2116" s="10">
        <v>0</v>
      </c>
      <c r="L2116" s="10">
        <v>0</v>
      </c>
      <c r="M2116" s="10">
        <v>0</v>
      </c>
      <c r="N2116" s="10" t="s">
        <v>761</v>
      </c>
      <c r="O2116" s="10" t="s">
        <v>2229</v>
      </c>
      <c r="P2116" s="105" t="e">
        <f t="shared" si="33"/>
        <v>#DIV/0!</v>
      </c>
    </row>
    <row r="2117" spans="1:16">
      <c r="A2117" s="10" t="s">
        <v>635</v>
      </c>
      <c r="B2117" s="10">
        <v>8015092</v>
      </c>
      <c r="C2117" s="10" t="s">
        <v>759</v>
      </c>
      <c r="D2117" s="10" t="s">
        <v>760</v>
      </c>
      <c r="E2117" s="10">
        <v>0</v>
      </c>
      <c r="F2117" s="10">
        <v>100</v>
      </c>
      <c r="G2117" s="10">
        <v>0</v>
      </c>
      <c r="H2117" s="10">
        <v>100</v>
      </c>
      <c r="I2117" s="10" t="s">
        <v>21</v>
      </c>
      <c r="J2117" s="10">
        <v>0</v>
      </c>
      <c r="K2117" s="10">
        <v>63.57</v>
      </c>
      <c r="L2117" s="10">
        <v>0</v>
      </c>
      <c r="M2117" s="10">
        <v>63.57</v>
      </c>
      <c r="N2117" s="10" t="s">
        <v>761</v>
      </c>
      <c r="O2117" s="10" t="s">
        <v>83</v>
      </c>
      <c r="P2117" s="105">
        <f t="shared" si="33"/>
        <v>0.6357</v>
      </c>
    </row>
    <row r="2118" spans="1:16">
      <c r="A2118" s="10" t="s">
        <v>635</v>
      </c>
      <c r="B2118" s="10">
        <v>8015093</v>
      </c>
      <c r="C2118" s="10" t="s">
        <v>759</v>
      </c>
      <c r="D2118" s="10" t="s">
        <v>760</v>
      </c>
      <c r="E2118" s="10">
        <v>0</v>
      </c>
      <c r="F2118" s="10">
        <v>100</v>
      </c>
      <c r="G2118" s="10">
        <v>0</v>
      </c>
      <c r="H2118" s="10">
        <v>100</v>
      </c>
      <c r="I2118" s="10" t="s">
        <v>21</v>
      </c>
      <c r="J2118" s="10">
        <v>0</v>
      </c>
      <c r="K2118" s="10">
        <v>63.57</v>
      </c>
      <c r="L2118" s="10">
        <v>0</v>
      </c>
      <c r="M2118" s="10">
        <v>63.57</v>
      </c>
      <c r="N2118" s="10" t="s">
        <v>761</v>
      </c>
      <c r="O2118" s="10" t="s">
        <v>82</v>
      </c>
      <c r="P2118" s="105">
        <f t="shared" si="33"/>
        <v>0.6357</v>
      </c>
    </row>
    <row r="2119" spans="1:16">
      <c r="A2119" s="10" t="s">
        <v>635</v>
      </c>
      <c r="B2119" s="10">
        <v>8015094</v>
      </c>
      <c r="C2119" s="10" t="s">
        <v>759</v>
      </c>
      <c r="D2119" s="10" t="s">
        <v>760</v>
      </c>
      <c r="E2119" s="10">
        <v>0</v>
      </c>
      <c r="F2119" s="10">
        <v>10</v>
      </c>
      <c r="G2119" s="10">
        <v>0</v>
      </c>
      <c r="H2119" s="10">
        <v>10</v>
      </c>
      <c r="I2119" s="10" t="s">
        <v>21</v>
      </c>
      <c r="J2119" s="10">
        <v>0</v>
      </c>
      <c r="K2119" s="10">
        <v>69.1</v>
      </c>
      <c r="L2119" s="10">
        <v>0</v>
      </c>
      <c r="M2119" s="10">
        <v>69.1</v>
      </c>
      <c r="N2119" s="10" t="s">
        <v>761</v>
      </c>
      <c r="O2119" s="10" t="s">
        <v>84</v>
      </c>
      <c r="P2119" s="105">
        <f t="shared" si="33"/>
        <v>6.91</v>
      </c>
    </row>
    <row r="2120" spans="1:16">
      <c r="A2120" s="10" t="s">
        <v>635</v>
      </c>
      <c r="B2120" s="10">
        <v>8015095</v>
      </c>
      <c r="C2120" s="10" t="s">
        <v>759</v>
      </c>
      <c r="D2120" s="10" t="s">
        <v>760</v>
      </c>
      <c r="E2120" s="10">
        <v>0</v>
      </c>
      <c r="F2120" s="10">
        <v>0</v>
      </c>
      <c r="G2120" s="10">
        <v>0</v>
      </c>
      <c r="H2120" s="10">
        <v>0</v>
      </c>
      <c r="I2120" s="10" t="s">
        <v>21</v>
      </c>
      <c r="J2120" s="10">
        <v>0</v>
      </c>
      <c r="K2120" s="10">
        <v>0</v>
      </c>
      <c r="L2120" s="10">
        <v>0</v>
      </c>
      <c r="M2120" s="10">
        <v>0</v>
      </c>
      <c r="N2120" s="10" t="s">
        <v>761</v>
      </c>
      <c r="O2120" s="10" t="s">
        <v>2230</v>
      </c>
      <c r="P2120" s="105" t="e">
        <f t="shared" si="33"/>
        <v>#DIV/0!</v>
      </c>
    </row>
    <row r="2121" spans="1:16">
      <c r="A2121" s="10" t="s">
        <v>635</v>
      </c>
      <c r="B2121" s="10">
        <v>8015096</v>
      </c>
      <c r="C2121" s="10" t="s">
        <v>759</v>
      </c>
      <c r="D2121" s="10" t="s">
        <v>760</v>
      </c>
      <c r="E2121" s="10">
        <v>0</v>
      </c>
      <c r="F2121" s="10">
        <v>500</v>
      </c>
      <c r="G2121" s="10">
        <v>0</v>
      </c>
      <c r="H2121" s="10">
        <v>500</v>
      </c>
      <c r="I2121" s="10" t="s">
        <v>21</v>
      </c>
      <c r="J2121" s="10">
        <v>0</v>
      </c>
      <c r="K2121" s="10">
        <v>345.5</v>
      </c>
      <c r="L2121" s="10">
        <v>0</v>
      </c>
      <c r="M2121" s="10">
        <v>345.5</v>
      </c>
      <c r="N2121" s="10" t="s">
        <v>761</v>
      </c>
      <c r="O2121" s="10" t="s">
        <v>81</v>
      </c>
      <c r="P2121" s="105">
        <f t="shared" si="33"/>
        <v>0.691</v>
      </c>
    </row>
    <row r="2122" spans="1:16">
      <c r="A2122" s="10" t="s">
        <v>635</v>
      </c>
      <c r="B2122" s="10">
        <v>8015097</v>
      </c>
      <c r="C2122" s="10" t="s">
        <v>759</v>
      </c>
      <c r="D2122" s="10" t="s">
        <v>760</v>
      </c>
      <c r="E2122" s="10">
        <v>0</v>
      </c>
      <c r="F2122" s="10">
        <v>10</v>
      </c>
      <c r="G2122" s="10">
        <v>0</v>
      </c>
      <c r="H2122" s="10">
        <v>10</v>
      </c>
      <c r="I2122" s="10" t="s">
        <v>21</v>
      </c>
      <c r="J2122" s="10">
        <v>0</v>
      </c>
      <c r="K2122" s="10">
        <v>691</v>
      </c>
      <c r="L2122" s="10">
        <v>0</v>
      </c>
      <c r="M2122" s="10">
        <v>691</v>
      </c>
      <c r="N2122" s="10" t="s">
        <v>761</v>
      </c>
      <c r="O2122" s="10" t="s">
        <v>85</v>
      </c>
      <c r="P2122" s="105">
        <f t="shared" si="33"/>
        <v>69.1</v>
      </c>
    </row>
    <row r="2123" spans="1:16">
      <c r="A2123" s="10" t="s">
        <v>635</v>
      </c>
      <c r="B2123" s="10">
        <v>8015098</v>
      </c>
      <c r="C2123" s="10" t="s">
        <v>759</v>
      </c>
      <c r="D2123" s="10" t="s">
        <v>760</v>
      </c>
      <c r="E2123" s="10">
        <v>0</v>
      </c>
      <c r="F2123" s="10">
        <v>0</v>
      </c>
      <c r="G2123" s="10">
        <v>0</v>
      </c>
      <c r="H2123" s="10">
        <v>0</v>
      </c>
      <c r="I2123" s="10" t="s">
        <v>21</v>
      </c>
      <c r="J2123" s="10">
        <v>0</v>
      </c>
      <c r="K2123" s="10">
        <v>0</v>
      </c>
      <c r="L2123" s="10">
        <v>0</v>
      </c>
      <c r="M2123" s="10">
        <v>0</v>
      </c>
      <c r="N2123" s="10" t="s">
        <v>761</v>
      </c>
      <c r="O2123" s="10" t="s">
        <v>2231</v>
      </c>
      <c r="P2123" s="105" t="e">
        <f t="shared" si="33"/>
        <v>#DIV/0!</v>
      </c>
    </row>
    <row r="2124" spans="1:16">
      <c r="A2124" s="10" t="s">
        <v>635</v>
      </c>
      <c r="B2124" s="10">
        <v>8015099</v>
      </c>
      <c r="C2124" s="10" t="s">
        <v>759</v>
      </c>
      <c r="D2124" s="10" t="s">
        <v>760</v>
      </c>
      <c r="E2124" s="10">
        <v>0</v>
      </c>
      <c r="F2124" s="10">
        <v>0</v>
      </c>
      <c r="G2124" s="10">
        <v>0</v>
      </c>
      <c r="H2124" s="10">
        <v>0</v>
      </c>
      <c r="I2124" s="10" t="s">
        <v>21</v>
      </c>
      <c r="J2124" s="10">
        <v>0</v>
      </c>
      <c r="K2124" s="10">
        <v>0</v>
      </c>
      <c r="L2124" s="10">
        <v>0</v>
      </c>
      <c r="M2124" s="10">
        <v>0</v>
      </c>
      <c r="N2124" s="10" t="s">
        <v>761</v>
      </c>
      <c r="O2124" s="10" t="s">
        <v>2232</v>
      </c>
      <c r="P2124" s="105" t="e">
        <f t="shared" si="33"/>
        <v>#DIV/0!</v>
      </c>
    </row>
    <row r="2125" spans="1:16">
      <c r="A2125" s="10" t="s">
        <v>635</v>
      </c>
      <c r="B2125" s="10">
        <v>8015100</v>
      </c>
      <c r="C2125" s="10" t="s">
        <v>759</v>
      </c>
      <c r="D2125" s="10" t="s">
        <v>760</v>
      </c>
      <c r="E2125" s="10">
        <v>0</v>
      </c>
      <c r="F2125" s="10">
        <v>5</v>
      </c>
      <c r="G2125" s="10">
        <v>0</v>
      </c>
      <c r="H2125" s="10">
        <v>5</v>
      </c>
      <c r="I2125" s="10" t="s">
        <v>21</v>
      </c>
      <c r="J2125" s="10">
        <v>0</v>
      </c>
      <c r="K2125" s="10">
        <v>20.73</v>
      </c>
      <c r="L2125" s="10">
        <v>0</v>
      </c>
      <c r="M2125" s="10">
        <v>20.73</v>
      </c>
      <c r="N2125" s="10" t="s">
        <v>761</v>
      </c>
      <c r="O2125" s="10" t="s">
        <v>80</v>
      </c>
      <c r="P2125" s="105">
        <f t="shared" si="33"/>
        <v>4.146</v>
      </c>
    </row>
    <row r="2126" spans="1:16">
      <c r="A2126" s="10" t="s">
        <v>635</v>
      </c>
      <c r="B2126" s="10">
        <v>8015102</v>
      </c>
      <c r="C2126" s="10" t="s">
        <v>759</v>
      </c>
      <c r="D2126" s="10" t="s">
        <v>760</v>
      </c>
      <c r="E2126" s="10">
        <v>0</v>
      </c>
      <c r="F2126" s="10">
        <v>0</v>
      </c>
      <c r="G2126" s="10">
        <v>0</v>
      </c>
      <c r="H2126" s="10">
        <v>0</v>
      </c>
      <c r="I2126" s="10" t="s">
        <v>21</v>
      </c>
      <c r="J2126" s="10">
        <v>0</v>
      </c>
      <c r="K2126" s="10">
        <v>0</v>
      </c>
      <c r="L2126" s="10">
        <v>0</v>
      </c>
      <c r="M2126" s="10">
        <v>0</v>
      </c>
      <c r="N2126" s="10" t="s">
        <v>761</v>
      </c>
      <c r="O2126" s="10" t="s">
        <v>2233</v>
      </c>
      <c r="P2126" s="105" t="e">
        <f t="shared" si="33"/>
        <v>#DIV/0!</v>
      </c>
    </row>
    <row r="2127" spans="1:16">
      <c r="A2127" s="10" t="s">
        <v>635</v>
      </c>
      <c r="B2127" s="10">
        <v>8015103</v>
      </c>
      <c r="C2127" s="10" t="s">
        <v>759</v>
      </c>
      <c r="D2127" s="10" t="s">
        <v>760</v>
      </c>
      <c r="E2127" s="10">
        <v>0</v>
      </c>
      <c r="F2127" s="10">
        <v>0</v>
      </c>
      <c r="G2127" s="10">
        <v>0</v>
      </c>
      <c r="H2127" s="10">
        <v>0</v>
      </c>
      <c r="I2127" s="10" t="s">
        <v>21</v>
      </c>
      <c r="J2127" s="10">
        <v>0</v>
      </c>
      <c r="K2127" s="10">
        <v>0</v>
      </c>
      <c r="L2127" s="10">
        <v>0</v>
      </c>
      <c r="M2127" s="10">
        <v>0</v>
      </c>
      <c r="N2127" s="10" t="s">
        <v>761</v>
      </c>
      <c r="O2127" s="10" t="s">
        <v>2234</v>
      </c>
      <c r="P2127" s="105" t="e">
        <f t="shared" si="33"/>
        <v>#DIV/0!</v>
      </c>
    </row>
    <row r="2128" spans="1:16">
      <c r="A2128" s="10" t="s">
        <v>635</v>
      </c>
      <c r="B2128" s="10">
        <v>8015107</v>
      </c>
      <c r="C2128" s="10" t="s">
        <v>759</v>
      </c>
      <c r="D2128" s="10" t="s">
        <v>760</v>
      </c>
      <c r="E2128" s="10">
        <v>0</v>
      </c>
      <c r="F2128" s="10">
        <v>0</v>
      </c>
      <c r="G2128" s="10">
        <v>0</v>
      </c>
      <c r="H2128" s="10">
        <v>0</v>
      </c>
      <c r="I2128" s="10" t="s">
        <v>21</v>
      </c>
      <c r="J2128" s="10">
        <v>0</v>
      </c>
      <c r="K2128" s="10">
        <v>0</v>
      </c>
      <c r="L2128" s="10">
        <v>0</v>
      </c>
      <c r="M2128" s="10">
        <v>0</v>
      </c>
      <c r="N2128" s="10" t="s">
        <v>761</v>
      </c>
      <c r="O2128" s="10" t="s">
        <v>2235</v>
      </c>
      <c r="P2128" s="105" t="e">
        <f t="shared" si="33"/>
        <v>#DIV/0!</v>
      </c>
    </row>
    <row r="2129" spans="1:16">
      <c r="A2129" s="10" t="s">
        <v>635</v>
      </c>
      <c r="B2129" s="10">
        <v>8015108</v>
      </c>
      <c r="C2129" s="10" t="s">
        <v>759</v>
      </c>
      <c r="D2129" s="10" t="s">
        <v>760</v>
      </c>
      <c r="E2129" s="10">
        <v>0</v>
      </c>
      <c r="F2129" s="10">
        <v>0</v>
      </c>
      <c r="G2129" s="10">
        <v>0</v>
      </c>
      <c r="H2129" s="10">
        <v>0</v>
      </c>
      <c r="I2129" s="10" t="s">
        <v>21</v>
      </c>
      <c r="J2129" s="10">
        <v>0</v>
      </c>
      <c r="K2129" s="10">
        <v>0</v>
      </c>
      <c r="L2129" s="10">
        <v>0</v>
      </c>
      <c r="M2129" s="10">
        <v>0</v>
      </c>
      <c r="N2129" s="10" t="s">
        <v>761</v>
      </c>
      <c r="O2129" s="10" t="s">
        <v>2236</v>
      </c>
      <c r="P2129" s="105" t="e">
        <f t="shared" si="33"/>
        <v>#DIV/0!</v>
      </c>
    </row>
    <row r="2130" spans="1:16">
      <c r="A2130" s="10" t="s">
        <v>635</v>
      </c>
      <c r="B2130" s="10">
        <v>8015121</v>
      </c>
      <c r="C2130" s="10" t="s">
        <v>759</v>
      </c>
      <c r="D2130" s="10" t="s">
        <v>760</v>
      </c>
      <c r="E2130" s="10">
        <v>0</v>
      </c>
      <c r="F2130" s="10">
        <v>0</v>
      </c>
      <c r="G2130" s="10">
        <v>0</v>
      </c>
      <c r="H2130" s="10">
        <v>0</v>
      </c>
      <c r="I2130" s="10" t="s">
        <v>21</v>
      </c>
      <c r="J2130" s="10">
        <v>0</v>
      </c>
      <c r="K2130" s="10">
        <v>0</v>
      </c>
      <c r="L2130" s="10">
        <v>0</v>
      </c>
      <c r="M2130" s="10">
        <v>0</v>
      </c>
      <c r="N2130" s="10" t="s">
        <v>761</v>
      </c>
      <c r="O2130" s="10" t="s">
        <v>2237</v>
      </c>
      <c r="P2130" s="105" t="e">
        <f t="shared" si="33"/>
        <v>#DIV/0!</v>
      </c>
    </row>
    <row r="2131" spans="1:16">
      <c r="A2131" s="10" t="s">
        <v>635</v>
      </c>
      <c r="B2131" s="10">
        <v>8015122</v>
      </c>
      <c r="C2131" s="10" t="s">
        <v>759</v>
      </c>
      <c r="D2131" s="10" t="s">
        <v>760</v>
      </c>
      <c r="E2131" s="10">
        <v>0</v>
      </c>
      <c r="F2131" s="10">
        <v>0</v>
      </c>
      <c r="G2131" s="10">
        <v>0</v>
      </c>
      <c r="H2131" s="10">
        <v>0</v>
      </c>
      <c r="I2131" s="10" t="s">
        <v>21</v>
      </c>
      <c r="J2131" s="10">
        <v>0</v>
      </c>
      <c r="K2131" s="10">
        <v>0</v>
      </c>
      <c r="L2131" s="10">
        <v>0</v>
      </c>
      <c r="M2131" s="10">
        <v>0</v>
      </c>
      <c r="N2131" s="10" t="s">
        <v>761</v>
      </c>
      <c r="O2131" s="10" t="s">
        <v>2238</v>
      </c>
      <c r="P2131" s="105" t="e">
        <f t="shared" si="33"/>
        <v>#DIV/0!</v>
      </c>
    </row>
    <row r="2132" spans="1:16">
      <c r="A2132" s="10" t="s">
        <v>635</v>
      </c>
      <c r="B2132" s="10">
        <v>8015123</v>
      </c>
      <c r="C2132" s="10" t="s">
        <v>759</v>
      </c>
      <c r="D2132" s="10" t="s">
        <v>760</v>
      </c>
      <c r="E2132" s="10">
        <v>0</v>
      </c>
      <c r="F2132" s="10">
        <v>0</v>
      </c>
      <c r="G2132" s="10">
        <v>0</v>
      </c>
      <c r="H2132" s="10">
        <v>0</v>
      </c>
      <c r="I2132" s="10" t="s">
        <v>21</v>
      </c>
      <c r="J2132" s="10">
        <v>0</v>
      </c>
      <c r="K2132" s="10">
        <v>0</v>
      </c>
      <c r="L2132" s="10">
        <v>0</v>
      </c>
      <c r="M2132" s="10">
        <v>0</v>
      </c>
      <c r="N2132" s="10" t="s">
        <v>761</v>
      </c>
      <c r="O2132" s="10" t="s">
        <v>2239</v>
      </c>
      <c r="P2132" s="105" t="e">
        <f t="shared" si="33"/>
        <v>#DIV/0!</v>
      </c>
    </row>
    <row r="2133" spans="1:16">
      <c r="A2133" s="10" t="s">
        <v>635</v>
      </c>
      <c r="B2133" s="10">
        <v>8015124</v>
      </c>
      <c r="C2133" s="10" t="s">
        <v>759</v>
      </c>
      <c r="D2133" s="10" t="s">
        <v>760</v>
      </c>
      <c r="E2133" s="10">
        <v>0</v>
      </c>
      <c r="F2133" s="10">
        <v>0</v>
      </c>
      <c r="G2133" s="10">
        <v>0</v>
      </c>
      <c r="H2133" s="10">
        <v>0</v>
      </c>
      <c r="I2133" s="10" t="s">
        <v>21</v>
      </c>
      <c r="J2133" s="10">
        <v>0</v>
      </c>
      <c r="K2133" s="10">
        <v>0</v>
      </c>
      <c r="L2133" s="10">
        <v>0</v>
      </c>
      <c r="M2133" s="10">
        <v>0</v>
      </c>
      <c r="N2133" s="10" t="s">
        <v>761</v>
      </c>
      <c r="O2133" s="10" t="s">
        <v>2240</v>
      </c>
      <c r="P2133" s="105" t="e">
        <f t="shared" si="33"/>
        <v>#DIV/0!</v>
      </c>
    </row>
    <row r="2134" spans="1:16">
      <c r="A2134" s="10" t="s">
        <v>635</v>
      </c>
      <c r="B2134" s="10">
        <v>8015125</v>
      </c>
      <c r="C2134" s="10" t="s">
        <v>759</v>
      </c>
      <c r="D2134" s="10" t="s">
        <v>760</v>
      </c>
      <c r="E2134" s="10">
        <v>0</v>
      </c>
      <c r="F2134" s="10">
        <v>10</v>
      </c>
      <c r="G2134" s="10">
        <v>0</v>
      </c>
      <c r="H2134" s="10">
        <v>10</v>
      </c>
      <c r="I2134" s="10" t="s">
        <v>21</v>
      </c>
      <c r="J2134" s="10">
        <v>0</v>
      </c>
      <c r="K2134" s="10">
        <v>55.28</v>
      </c>
      <c r="L2134" s="10">
        <v>0</v>
      </c>
      <c r="M2134" s="10">
        <v>55.28</v>
      </c>
      <c r="N2134" s="10" t="s">
        <v>761</v>
      </c>
      <c r="O2134" s="10" t="s">
        <v>363</v>
      </c>
      <c r="P2134" s="105">
        <f t="shared" si="33"/>
        <v>5.528</v>
      </c>
    </row>
    <row r="2135" spans="1:16">
      <c r="A2135" s="10" t="s">
        <v>635</v>
      </c>
      <c r="B2135" s="10">
        <v>8015126</v>
      </c>
      <c r="C2135" s="10" t="s">
        <v>759</v>
      </c>
      <c r="D2135" s="10" t="s">
        <v>760</v>
      </c>
      <c r="E2135" s="10">
        <v>0</v>
      </c>
      <c r="F2135" s="10">
        <v>0</v>
      </c>
      <c r="G2135" s="10">
        <v>0</v>
      </c>
      <c r="H2135" s="10">
        <v>0</v>
      </c>
      <c r="I2135" s="10" t="s">
        <v>21</v>
      </c>
      <c r="J2135" s="10">
        <v>0</v>
      </c>
      <c r="K2135" s="10">
        <v>0</v>
      </c>
      <c r="L2135" s="10">
        <v>0</v>
      </c>
      <c r="M2135" s="10">
        <v>0</v>
      </c>
      <c r="N2135" s="10" t="s">
        <v>761</v>
      </c>
      <c r="O2135" s="10" t="s">
        <v>2241</v>
      </c>
      <c r="P2135" s="105" t="e">
        <f t="shared" si="33"/>
        <v>#DIV/0!</v>
      </c>
    </row>
    <row r="2136" spans="1:16">
      <c r="A2136" s="10" t="s">
        <v>635</v>
      </c>
      <c r="B2136" s="10">
        <v>8015127</v>
      </c>
      <c r="C2136" s="10" t="s">
        <v>759</v>
      </c>
      <c r="D2136" s="10" t="s">
        <v>760</v>
      </c>
      <c r="E2136" s="10">
        <v>0</v>
      </c>
      <c r="F2136" s="10">
        <v>0</v>
      </c>
      <c r="G2136" s="10">
        <v>0</v>
      </c>
      <c r="H2136" s="10">
        <v>0</v>
      </c>
      <c r="I2136" s="10" t="s">
        <v>21</v>
      </c>
      <c r="J2136" s="10">
        <v>0</v>
      </c>
      <c r="K2136" s="10">
        <v>0</v>
      </c>
      <c r="L2136" s="10">
        <v>0</v>
      </c>
      <c r="M2136" s="10">
        <v>0</v>
      </c>
      <c r="N2136" s="10" t="s">
        <v>761</v>
      </c>
      <c r="O2136" s="10" t="s">
        <v>2242</v>
      </c>
      <c r="P2136" s="105" t="e">
        <f t="shared" si="33"/>
        <v>#DIV/0!</v>
      </c>
    </row>
    <row r="2137" spans="1:16">
      <c r="A2137" s="10" t="s">
        <v>635</v>
      </c>
      <c r="B2137" s="10">
        <v>8015130</v>
      </c>
      <c r="C2137" s="10" t="s">
        <v>759</v>
      </c>
      <c r="D2137" s="10" t="s">
        <v>760</v>
      </c>
      <c r="E2137" s="10">
        <v>0</v>
      </c>
      <c r="F2137" s="10">
        <v>0</v>
      </c>
      <c r="G2137" s="10">
        <v>0</v>
      </c>
      <c r="H2137" s="10">
        <v>0</v>
      </c>
      <c r="I2137" s="10" t="s">
        <v>21</v>
      </c>
      <c r="J2137" s="10">
        <v>0</v>
      </c>
      <c r="K2137" s="10">
        <v>0</v>
      </c>
      <c r="L2137" s="10">
        <v>0</v>
      </c>
      <c r="M2137" s="10">
        <v>0</v>
      </c>
      <c r="N2137" s="10" t="s">
        <v>761</v>
      </c>
      <c r="O2137" s="10" t="s">
        <v>2243</v>
      </c>
      <c r="P2137" s="105" t="e">
        <f t="shared" si="33"/>
        <v>#DIV/0!</v>
      </c>
    </row>
    <row r="2138" spans="1:16">
      <c r="A2138" s="10" t="s">
        <v>635</v>
      </c>
      <c r="B2138" s="10">
        <v>8015131</v>
      </c>
      <c r="C2138" s="10" t="s">
        <v>759</v>
      </c>
      <c r="D2138" s="10" t="s">
        <v>760</v>
      </c>
      <c r="E2138" s="10">
        <v>0</v>
      </c>
      <c r="F2138" s="10">
        <v>0</v>
      </c>
      <c r="G2138" s="10">
        <v>0</v>
      </c>
      <c r="H2138" s="10">
        <v>0</v>
      </c>
      <c r="I2138" s="10" t="s">
        <v>21</v>
      </c>
      <c r="J2138" s="10">
        <v>0</v>
      </c>
      <c r="K2138" s="10">
        <v>0</v>
      </c>
      <c r="L2138" s="10">
        <v>0</v>
      </c>
      <c r="M2138" s="10">
        <v>0</v>
      </c>
      <c r="N2138" s="10" t="s">
        <v>761</v>
      </c>
      <c r="O2138" s="10" t="s">
        <v>2244</v>
      </c>
      <c r="P2138" s="105" t="e">
        <f t="shared" si="33"/>
        <v>#DIV/0!</v>
      </c>
    </row>
    <row r="2139" spans="1:16">
      <c r="A2139" s="10" t="s">
        <v>635</v>
      </c>
      <c r="B2139" s="10">
        <v>8015133</v>
      </c>
      <c r="C2139" s="10" t="s">
        <v>759</v>
      </c>
      <c r="D2139" s="10" t="s">
        <v>760</v>
      </c>
      <c r="E2139" s="10">
        <v>0</v>
      </c>
      <c r="F2139" s="10">
        <v>0</v>
      </c>
      <c r="G2139" s="10">
        <v>0</v>
      </c>
      <c r="H2139" s="10">
        <v>0</v>
      </c>
      <c r="I2139" s="10" t="s">
        <v>21</v>
      </c>
      <c r="J2139" s="10">
        <v>0</v>
      </c>
      <c r="K2139" s="10">
        <v>0</v>
      </c>
      <c r="L2139" s="10">
        <v>0</v>
      </c>
      <c r="M2139" s="10">
        <v>0</v>
      </c>
      <c r="N2139" s="10" t="s">
        <v>761</v>
      </c>
      <c r="O2139" s="10" t="s">
        <v>2245</v>
      </c>
      <c r="P2139" s="105" t="e">
        <f t="shared" si="33"/>
        <v>#DIV/0!</v>
      </c>
    </row>
    <row r="2140" spans="1:16">
      <c r="A2140" s="10" t="s">
        <v>635</v>
      </c>
      <c r="B2140" s="10">
        <v>8015135</v>
      </c>
      <c r="C2140" s="10" t="s">
        <v>759</v>
      </c>
      <c r="D2140" s="10" t="s">
        <v>760</v>
      </c>
      <c r="E2140" s="10">
        <v>0</v>
      </c>
      <c r="F2140" s="10">
        <v>0</v>
      </c>
      <c r="G2140" s="10">
        <v>0</v>
      </c>
      <c r="H2140" s="10">
        <v>0</v>
      </c>
      <c r="I2140" s="10" t="s">
        <v>21</v>
      </c>
      <c r="J2140" s="10">
        <v>0</v>
      </c>
      <c r="K2140" s="10">
        <v>0</v>
      </c>
      <c r="L2140" s="10">
        <v>0</v>
      </c>
      <c r="M2140" s="10">
        <v>0</v>
      </c>
      <c r="N2140" s="10" t="s">
        <v>761</v>
      </c>
      <c r="O2140" s="10" t="s">
        <v>2246</v>
      </c>
      <c r="P2140" s="105" t="e">
        <f t="shared" si="33"/>
        <v>#DIV/0!</v>
      </c>
    </row>
    <row r="2141" spans="1:16">
      <c r="A2141" s="10" t="s">
        <v>635</v>
      </c>
      <c r="B2141" s="10">
        <v>8015140</v>
      </c>
      <c r="C2141" s="10" t="s">
        <v>759</v>
      </c>
      <c r="D2141" s="10" t="s">
        <v>760</v>
      </c>
      <c r="E2141" s="10">
        <v>0</v>
      </c>
      <c r="F2141" s="10">
        <v>0</v>
      </c>
      <c r="G2141" s="10">
        <v>0</v>
      </c>
      <c r="H2141" s="10">
        <v>0</v>
      </c>
      <c r="I2141" s="10" t="s">
        <v>21</v>
      </c>
      <c r="J2141" s="10">
        <v>0</v>
      </c>
      <c r="K2141" s="10">
        <v>0</v>
      </c>
      <c r="L2141" s="10">
        <v>0</v>
      </c>
      <c r="M2141" s="10">
        <v>0</v>
      </c>
      <c r="N2141" s="10" t="s">
        <v>761</v>
      </c>
      <c r="O2141" s="10" t="s">
        <v>2247</v>
      </c>
      <c r="P2141" s="105" t="e">
        <f t="shared" si="33"/>
        <v>#DIV/0!</v>
      </c>
    </row>
    <row r="2142" spans="1:16">
      <c r="A2142" s="10" t="s">
        <v>635</v>
      </c>
      <c r="B2142" s="10">
        <v>8015150</v>
      </c>
      <c r="C2142" s="10" t="s">
        <v>759</v>
      </c>
      <c r="D2142" s="10" t="s">
        <v>760</v>
      </c>
      <c r="E2142" s="10">
        <v>0</v>
      </c>
      <c r="F2142" s="10">
        <v>0</v>
      </c>
      <c r="G2142" s="10">
        <v>0</v>
      </c>
      <c r="H2142" s="10">
        <v>0</v>
      </c>
      <c r="I2142" s="10" t="s">
        <v>21</v>
      </c>
      <c r="J2142" s="10">
        <v>0</v>
      </c>
      <c r="K2142" s="10">
        <v>0</v>
      </c>
      <c r="L2142" s="10">
        <v>0</v>
      </c>
      <c r="M2142" s="10">
        <v>0</v>
      </c>
      <c r="N2142" s="10" t="s">
        <v>761</v>
      </c>
      <c r="O2142" s="10" t="s">
        <v>2248</v>
      </c>
      <c r="P2142" s="105" t="e">
        <f t="shared" si="33"/>
        <v>#DIV/0!</v>
      </c>
    </row>
    <row r="2143" spans="1:16">
      <c r="A2143" s="10" t="s">
        <v>635</v>
      </c>
      <c r="B2143" s="10">
        <v>8015151</v>
      </c>
      <c r="C2143" s="10" t="s">
        <v>759</v>
      </c>
      <c r="D2143" s="10" t="s">
        <v>760</v>
      </c>
      <c r="E2143" s="10">
        <v>0</v>
      </c>
      <c r="F2143" s="10">
        <v>0</v>
      </c>
      <c r="G2143" s="10">
        <v>0</v>
      </c>
      <c r="H2143" s="10">
        <v>0</v>
      </c>
      <c r="I2143" s="10" t="s">
        <v>21</v>
      </c>
      <c r="J2143" s="10">
        <v>0</v>
      </c>
      <c r="K2143" s="10">
        <v>0</v>
      </c>
      <c r="L2143" s="10">
        <v>0</v>
      </c>
      <c r="M2143" s="10">
        <v>0</v>
      </c>
      <c r="N2143" s="10" t="s">
        <v>761</v>
      </c>
      <c r="O2143" s="10" t="s">
        <v>2249</v>
      </c>
      <c r="P2143" s="105" t="e">
        <f t="shared" si="33"/>
        <v>#DIV/0!</v>
      </c>
    </row>
    <row r="2144" spans="1:16">
      <c r="A2144" s="10" t="s">
        <v>635</v>
      </c>
      <c r="B2144" s="10">
        <v>8015152</v>
      </c>
      <c r="C2144" s="10" t="s">
        <v>759</v>
      </c>
      <c r="D2144" s="10" t="s">
        <v>760</v>
      </c>
      <c r="E2144" s="10">
        <v>0</v>
      </c>
      <c r="F2144" s="10">
        <v>0</v>
      </c>
      <c r="G2144" s="10">
        <v>0</v>
      </c>
      <c r="H2144" s="10">
        <v>0</v>
      </c>
      <c r="I2144" s="10" t="s">
        <v>21</v>
      </c>
      <c r="J2144" s="10">
        <v>0</v>
      </c>
      <c r="K2144" s="10">
        <v>0</v>
      </c>
      <c r="L2144" s="10">
        <v>0</v>
      </c>
      <c r="M2144" s="10">
        <v>0</v>
      </c>
      <c r="N2144" s="10" t="s">
        <v>761</v>
      </c>
      <c r="O2144" s="10" t="s">
        <v>2250</v>
      </c>
      <c r="P2144" s="105" t="e">
        <f t="shared" si="33"/>
        <v>#DIV/0!</v>
      </c>
    </row>
    <row r="2145" spans="1:16">
      <c r="A2145" s="10" t="s">
        <v>635</v>
      </c>
      <c r="B2145" s="10">
        <v>8700663</v>
      </c>
      <c r="C2145" s="10" t="s">
        <v>759</v>
      </c>
      <c r="D2145" s="10" t="s">
        <v>760</v>
      </c>
      <c r="E2145" s="10">
        <v>0</v>
      </c>
      <c r="F2145" s="10">
        <v>0</v>
      </c>
      <c r="G2145" s="10">
        <v>0</v>
      </c>
      <c r="H2145" s="10">
        <v>0</v>
      </c>
      <c r="I2145" s="10" t="s">
        <v>659</v>
      </c>
      <c r="J2145" s="10">
        <v>0</v>
      </c>
      <c r="K2145" s="10">
        <v>0</v>
      </c>
      <c r="L2145" s="10">
        <v>0</v>
      </c>
      <c r="M2145" s="10">
        <v>0</v>
      </c>
      <c r="N2145" s="10" t="s">
        <v>761</v>
      </c>
      <c r="O2145" s="10" t="s">
        <v>2251</v>
      </c>
      <c r="P2145" s="105" t="e">
        <f t="shared" si="33"/>
        <v>#DIV/0!</v>
      </c>
    </row>
    <row r="2146" spans="1:16">
      <c r="A2146" s="10" t="s">
        <v>635</v>
      </c>
      <c r="B2146" s="10">
        <v>8700706</v>
      </c>
      <c r="C2146" s="10" t="s">
        <v>759</v>
      </c>
      <c r="D2146" s="10" t="s">
        <v>760</v>
      </c>
      <c r="E2146" s="10">
        <v>0</v>
      </c>
      <c r="F2146" s="10">
        <v>0</v>
      </c>
      <c r="G2146" s="10">
        <v>0</v>
      </c>
      <c r="H2146" s="10">
        <v>0</v>
      </c>
      <c r="I2146" s="10" t="s">
        <v>659</v>
      </c>
      <c r="J2146" s="10">
        <v>0</v>
      </c>
      <c r="K2146" s="10">
        <v>0</v>
      </c>
      <c r="L2146" s="10">
        <v>0</v>
      </c>
      <c r="M2146" s="10">
        <v>0</v>
      </c>
      <c r="N2146" s="10" t="s">
        <v>761</v>
      </c>
      <c r="O2146" s="10" t="s">
        <v>2252</v>
      </c>
      <c r="P2146" s="105" t="e">
        <f t="shared" si="33"/>
        <v>#DIV/0!</v>
      </c>
    </row>
    <row r="2147" spans="1:16">
      <c r="A2147" s="10" t="s">
        <v>635</v>
      </c>
      <c r="B2147" s="10">
        <v>8702100</v>
      </c>
      <c r="C2147" s="10" t="s">
        <v>759</v>
      </c>
      <c r="D2147" s="10" t="s">
        <v>760</v>
      </c>
      <c r="E2147" s="10">
        <v>0</v>
      </c>
      <c r="F2147" s="10">
        <v>0</v>
      </c>
      <c r="G2147" s="10">
        <v>0</v>
      </c>
      <c r="H2147" s="10">
        <v>0</v>
      </c>
      <c r="I2147" s="10" t="s">
        <v>21</v>
      </c>
      <c r="J2147" s="10">
        <v>0</v>
      </c>
      <c r="K2147" s="10">
        <v>0</v>
      </c>
      <c r="L2147" s="10">
        <v>0</v>
      </c>
      <c r="M2147" s="10">
        <v>0</v>
      </c>
      <c r="N2147" s="10" t="s">
        <v>761</v>
      </c>
      <c r="O2147" s="10" t="s">
        <v>2253</v>
      </c>
      <c r="P2147" s="105" t="e">
        <f t="shared" si="33"/>
        <v>#DIV/0!</v>
      </c>
    </row>
    <row r="2148" spans="1:16">
      <c r="A2148" s="10" t="s">
        <v>635</v>
      </c>
      <c r="B2148" s="10">
        <v>8702396</v>
      </c>
      <c r="C2148" s="10" t="s">
        <v>759</v>
      </c>
      <c r="D2148" s="10" t="s">
        <v>760</v>
      </c>
      <c r="E2148" s="10">
        <v>0</v>
      </c>
      <c r="F2148" s="10">
        <v>0</v>
      </c>
      <c r="G2148" s="10">
        <v>0</v>
      </c>
      <c r="H2148" s="10">
        <v>0</v>
      </c>
      <c r="I2148" s="10" t="s">
        <v>21</v>
      </c>
      <c r="J2148" s="10">
        <v>0</v>
      </c>
      <c r="K2148" s="10">
        <v>0</v>
      </c>
      <c r="L2148" s="10">
        <v>0</v>
      </c>
      <c r="M2148" s="10">
        <v>0</v>
      </c>
      <c r="N2148" s="10" t="s">
        <v>761</v>
      </c>
      <c r="O2148" s="10" t="s">
        <v>2254</v>
      </c>
      <c r="P2148" s="105" t="e">
        <f t="shared" si="33"/>
        <v>#DIV/0!</v>
      </c>
    </row>
    <row r="2149" spans="1:16">
      <c r="A2149" s="10" t="s">
        <v>635</v>
      </c>
      <c r="B2149" s="10">
        <v>8702484</v>
      </c>
      <c r="C2149" s="10" t="s">
        <v>759</v>
      </c>
      <c r="D2149" s="10" t="s">
        <v>760</v>
      </c>
      <c r="E2149" s="10">
        <v>0</v>
      </c>
      <c r="F2149" s="10">
        <v>0</v>
      </c>
      <c r="G2149" s="10">
        <v>0</v>
      </c>
      <c r="H2149" s="10">
        <v>0</v>
      </c>
      <c r="I2149" s="10" t="s">
        <v>30</v>
      </c>
      <c r="J2149" s="10">
        <v>0</v>
      </c>
      <c r="K2149" s="10">
        <v>0</v>
      </c>
      <c r="L2149" s="10">
        <v>0</v>
      </c>
      <c r="M2149" s="10">
        <v>0</v>
      </c>
      <c r="N2149" s="10" t="s">
        <v>761</v>
      </c>
      <c r="O2149" s="10" t="s">
        <v>2255</v>
      </c>
      <c r="P2149" s="105" t="e">
        <f t="shared" si="33"/>
        <v>#DIV/0!</v>
      </c>
    </row>
    <row r="2150" spans="1:16">
      <c r="A2150" s="10" t="s">
        <v>635</v>
      </c>
      <c r="B2150" s="10">
        <v>8702485</v>
      </c>
      <c r="C2150" s="10" t="s">
        <v>759</v>
      </c>
      <c r="D2150" s="10" t="s">
        <v>760</v>
      </c>
      <c r="E2150" s="10">
        <v>0</v>
      </c>
      <c r="F2150" s="10">
        <v>0</v>
      </c>
      <c r="G2150" s="10">
        <v>0</v>
      </c>
      <c r="H2150" s="10">
        <v>0</v>
      </c>
      <c r="I2150" s="10" t="s">
        <v>30</v>
      </c>
      <c r="J2150" s="10">
        <v>0</v>
      </c>
      <c r="K2150" s="10">
        <v>0</v>
      </c>
      <c r="L2150" s="10">
        <v>0</v>
      </c>
      <c r="M2150" s="10">
        <v>0</v>
      </c>
      <c r="N2150" s="10" t="s">
        <v>761</v>
      </c>
      <c r="O2150" s="10" t="s">
        <v>2256</v>
      </c>
      <c r="P2150" s="105" t="e">
        <f t="shared" si="33"/>
        <v>#DIV/0!</v>
      </c>
    </row>
    <row r="2151" spans="1:16">
      <c r="A2151" s="10" t="s">
        <v>635</v>
      </c>
      <c r="B2151" s="10">
        <v>8702486</v>
      </c>
      <c r="C2151" s="10" t="s">
        <v>759</v>
      </c>
      <c r="D2151" s="10" t="s">
        <v>760</v>
      </c>
      <c r="E2151" s="10">
        <v>0</v>
      </c>
      <c r="F2151" s="10">
        <v>0</v>
      </c>
      <c r="G2151" s="10">
        <v>0</v>
      </c>
      <c r="H2151" s="10">
        <v>0</v>
      </c>
      <c r="I2151" s="10" t="s">
        <v>30</v>
      </c>
      <c r="J2151" s="10">
        <v>0</v>
      </c>
      <c r="K2151" s="10">
        <v>0</v>
      </c>
      <c r="L2151" s="10">
        <v>0</v>
      </c>
      <c r="M2151" s="10">
        <v>0</v>
      </c>
      <c r="N2151" s="10" t="s">
        <v>761</v>
      </c>
      <c r="O2151" s="10" t="s">
        <v>2257</v>
      </c>
      <c r="P2151" s="105" t="e">
        <f t="shared" si="33"/>
        <v>#DIV/0!</v>
      </c>
    </row>
    <row r="2152" spans="1:16">
      <c r="A2152" s="10" t="s">
        <v>635</v>
      </c>
      <c r="B2152" s="10">
        <v>8702487</v>
      </c>
      <c r="C2152" s="10" t="s">
        <v>759</v>
      </c>
      <c r="D2152" s="10" t="s">
        <v>760</v>
      </c>
      <c r="E2152" s="10">
        <v>0</v>
      </c>
      <c r="F2152" s="10">
        <v>0</v>
      </c>
      <c r="G2152" s="10">
        <v>0</v>
      </c>
      <c r="H2152" s="10">
        <v>0</v>
      </c>
      <c r="I2152" s="10" t="s">
        <v>30</v>
      </c>
      <c r="J2152" s="10">
        <v>0</v>
      </c>
      <c r="K2152" s="10">
        <v>0</v>
      </c>
      <c r="L2152" s="10">
        <v>0</v>
      </c>
      <c r="M2152" s="10">
        <v>0</v>
      </c>
      <c r="N2152" s="10" t="s">
        <v>761</v>
      </c>
      <c r="O2152" s="10" t="s">
        <v>2258</v>
      </c>
      <c r="P2152" s="105" t="e">
        <f t="shared" si="33"/>
        <v>#DIV/0!</v>
      </c>
    </row>
    <row r="2153" spans="1:16">
      <c r="A2153" s="10" t="s">
        <v>635</v>
      </c>
      <c r="B2153" s="10">
        <v>8702488</v>
      </c>
      <c r="C2153" s="10" t="s">
        <v>759</v>
      </c>
      <c r="D2153" s="10" t="s">
        <v>760</v>
      </c>
      <c r="E2153" s="10">
        <v>0</v>
      </c>
      <c r="F2153" s="10">
        <v>0</v>
      </c>
      <c r="G2153" s="10">
        <v>0</v>
      </c>
      <c r="H2153" s="10">
        <v>0</v>
      </c>
      <c r="I2153" s="10" t="s">
        <v>30</v>
      </c>
      <c r="J2153" s="10">
        <v>0</v>
      </c>
      <c r="K2153" s="10">
        <v>0</v>
      </c>
      <c r="L2153" s="10">
        <v>0</v>
      </c>
      <c r="M2153" s="10">
        <v>0</v>
      </c>
      <c r="N2153" s="10" t="s">
        <v>761</v>
      </c>
      <c r="O2153" s="10" t="s">
        <v>2259</v>
      </c>
      <c r="P2153" s="105" t="e">
        <f t="shared" si="33"/>
        <v>#DIV/0!</v>
      </c>
    </row>
    <row r="2154" spans="1:16">
      <c r="A2154" s="10" t="s">
        <v>635</v>
      </c>
      <c r="B2154" s="10">
        <v>8702489</v>
      </c>
      <c r="C2154" s="10" t="s">
        <v>759</v>
      </c>
      <c r="D2154" s="10" t="s">
        <v>760</v>
      </c>
      <c r="E2154" s="10">
        <v>0</v>
      </c>
      <c r="F2154" s="10">
        <v>0</v>
      </c>
      <c r="G2154" s="10">
        <v>0</v>
      </c>
      <c r="H2154" s="10">
        <v>0</v>
      </c>
      <c r="I2154" s="10" t="s">
        <v>30</v>
      </c>
      <c r="J2154" s="10">
        <v>0</v>
      </c>
      <c r="K2154" s="10">
        <v>0</v>
      </c>
      <c r="L2154" s="10">
        <v>0</v>
      </c>
      <c r="M2154" s="10">
        <v>0</v>
      </c>
      <c r="N2154" s="10" t="s">
        <v>761</v>
      </c>
      <c r="O2154" s="10" t="s">
        <v>2260</v>
      </c>
      <c r="P2154" s="105" t="e">
        <f t="shared" si="33"/>
        <v>#DIV/0!</v>
      </c>
    </row>
    <row r="2155" spans="1:16">
      <c r="A2155" s="10" t="s">
        <v>635</v>
      </c>
      <c r="B2155" s="10">
        <v>8702490</v>
      </c>
      <c r="C2155" s="10" t="s">
        <v>759</v>
      </c>
      <c r="D2155" s="10" t="s">
        <v>760</v>
      </c>
      <c r="E2155" s="10">
        <v>0</v>
      </c>
      <c r="F2155" s="10">
        <v>0</v>
      </c>
      <c r="G2155" s="10">
        <v>0</v>
      </c>
      <c r="H2155" s="10">
        <v>0</v>
      </c>
      <c r="I2155" s="10" t="s">
        <v>30</v>
      </c>
      <c r="J2155" s="10">
        <v>0</v>
      </c>
      <c r="K2155" s="10">
        <v>0</v>
      </c>
      <c r="L2155" s="10">
        <v>0</v>
      </c>
      <c r="M2155" s="10">
        <v>0</v>
      </c>
      <c r="N2155" s="10" t="s">
        <v>761</v>
      </c>
      <c r="O2155" s="10" t="s">
        <v>2261</v>
      </c>
      <c r="P2155" s="105" t="e">
        <f t="shared" si="33"/>
        <v>#DIV/0!</v>
      </c>
    </row>
    <row r="2156" spans="1:16">
      <c r="A2156" s="10" t="s">
        <v>635</v>
      </c>
      <c r="B2156" s="10">
        <v>8702491</v>
      </c>
      <c r="C2156" s="10" t="s">
        <v>759</v>
      </c>
      <c r="D2156" s="10" t="s">
        <v>760</v>
      </c>
      <c r="E2156" s="10">
        <v>0</v>
      </c>
      <c r="F2156" s="10">
        <v>0</v>
      </c>
      <c r="G2156" s="10">
        <v>0</v>
      </c>
      <c r="H2156" s="10">
        <v>0</v>
      </c>
      <c r="I2156" s="10" t="s">
        <v>30</v>
      </c>
      <c r="J2156" s="10">
        <v>0</v>
      </c>
      <c r="K2156" s="10">
        <v>0</v>
      </c>
      <c r="L2156" s="10">
        <v>0</v>
      </c>
      <c r="M2156" s="10">
        <v>0</v>
      </c>
      <c r="N2156" s="10" t="s">
        <v>761</v>
      </c>
      <c r="O2156" s="10" t="s">
        <v>2262</v>
      </c>
      <c r="P2156" s="105" t="e">
        <f t="shared" si="33"/>
        <v>#DIV/0!</v>
      </c>
    </row>
    <row r="2157" spans="1:16">
      <c r="A2157" s="10" t="s">
        <v>635</v>
      </c>
      <c r="B2157" s="10">
        <v>8702492</v>
      </c>
      <c r="C2157" s="10" t="s">
        <v>759</v>
      </c>
      <c r="D2157" s="10" t="s">
        <v>760</v>
      </c>
      <c r="E2157" s="10">
        <v>0</v>
      </c>
      <c r="F2157" s="10">
        <v>0</v>
      </c>
      <c r="G2157" s="10">
        <v>0</v>
      </c>
      <c r="H2157" s="10">
        <v>0</v>
      </c>
      <c r="I2157" s="10" t="s">
        <v>30</v>
      </c>
      <c r="J2157" s="10">
        <v>0</v>
      </c>
      <c r="K2157" s="10">
        <v>0</v>
      </c>
      <c r="L2157" s="10">
        <v>0</v>
      </c>
      <c r="M2157" s="10">
        <v>0</v>
      </c>
      <c r="N2157" s="10" t="s">
        <v>761</v>
      </c>
      <c r="O2157" s="10" t="s">
        <v>2263</v>
      </c>
      <c r="P2157" s="105" t="e">
        <f t="shared" si="33"/>
        <v>#DIV/0!</v>
      </c>
    </row>
    <row r="2158" spans="1:16">
      <c r="A2158" s="10" t="s">
        <v>635</v>
      </c>
      <c r="B2158" s="10">
        <v>8702495</v>
      </c>
      <c r="C2158" s="10" t="s">
        <v>759</v>
      </c>
      <c r="D2158" s="10" t="s">
        <v>760</v>
      </c>
      <c r="E2158" s="10">
        <v>0</v>
      </c>
      <c r="F2158" s="10">
        <v>0</v>
      </c>
      <c r="G2158" s="10">
        <v>0</v>
      </c>
      <c r="H2158" s="10">
        <v>0</v>
      </c>
      <c r="I2158" s="10" t="s">
        <v>21</v>
      </c>
      <c r="J2158" s="10">
        <v>0</v>
      </c>
      <c r="K2158" s="10">
        <v>0</v>
      </c>
      <c r="L2158" s="10">
        <v>0</v>
      </c>
      <c r="M2158" s="10">
        <v>0</v>
      </c>
      <c r="N2158" s="10" t="s">
        <v>761</v>
      </c>
      <c r="O2158" s="10" t="s">
        <v>2264</v>
      </c>
      <c r="P2158" s="105" t="e">
        <f t="shared" si="33"/>
        <v>#DIV/0!</v>
      </c>
    </row>
    <row r="2159" spans="1:16">
      <c r="A2159" s="10" t="s">
        <v>635</v>
      </c>
      <c r="B2159" s="10">
        <v>8702496</v>
      </c>
      <c r="C2159" s="10" t="s">
        <v>759</v>
      </c>
      <c r="D2159" s="10" t="s">
        <v>760</v>
      </c>
      <c r="E2159" s="10">
        <v>0</v>
      </c>
      <c r="F2159" s="10">
        <v>0</v>
      </c>
      <c r="G2159" s="10">
        <v>0</v>
      </c>
      <c r="H2159" s="10">
        <v>0</v>
      </c>
      <c r="I2159" s="10" t="s">
        <v>21</v>
      </c>
      <c r="J2159" s="10">
        <v>0</v>
      </c>
      <c r="K2159" s="10">
        <v>0</v>
      </c>
      <c r="L2159" s="10">
        <v>0</v>
      </c>
      <c r="M2159" s="10">
        <v>0</v>
      </c>
      <c r="N2159" s="10" t="s">
        <v>761</v>
      </c>
      <c r="O2159" s="10" t="s">
        <v>2265</v>
      </c>
      <c r="P2159" s="105" t="e">
        <f t="shared" si="33"/>
        <v>#DIV/0!</v>
      </c>
    </row>
    <row r="2160" spans="1:16">
      <c r="A2160" s="10" t="s">
        <v>635</v>
      </c>
      <c r="B2160" s="10">
        <v>8702589</v>
      </c>
      <c r="C2160" s="10" t="s">
        <v>759</v>
      </c>
      <c r="D2160" s="10" t="s">
        <v>760</v>
      </c>
      <c r="E2160" s="10">
        <v>0</v>
      </c>
      <c r="F2160" s="10">
        <v>0</v>
      </c>
      <c r="G2160" s="10">
        <v>0</v>
      </c>
      <c r="H2160" s="10">
        <v>0</v>
      </c>
      <c r="I2160" s="10" t="s">
        <v>21</v>
      </c>
      <c r="J2160" s="10">
        <v>0</v>
      </c>
      <c r="K2160" s="10">
        <v>0</v>
      </c>
      <c r="L2160" s="10">
        <v>0</v>
      </c>
      <c r="M2160" s="10">
        <v>0</v>
      </c>
      <c r="N2160" s="10" t="s">
        <v>761</v>
      </c>
      <c r="O2160" s="10" t="s">
        <v>2266</v>
      </c>
      <c r="P2160" s="105" t="e">
        <f t="shared" si="33"/>
        <v>#DIV/0!</v>
      </c>
    </row>
    <row r="2161" spans="1:16">
      <c r="A2161" s="10" t="s">
        <v>635</v>
      </c>
      <c r="B2161" s="10">
        <v>8702659</v>
      </c>
      <c r="C2161" s="10" t="s">
        <v>759</v>
      </c>
      <c r="D2161" s="10" t="s">
        <v>760</v>
      </c>
      <c r="E2161" s="10">
        <v>0</v>
      </c>
      <c r="F2161" s="10">
        <v>0</v>
      </c>
      <c r="G2161" s="10">
        <v>0</v>
      </c>
      <c r="H2161" s="10">
        <v>0</v>
      </c>
      <c r="I2161" s="10" t="s">
        <v>138</v>
      </c>
      <c r="J2161" s="10">
        <v>0</v>
      </c>
      <c r="K2161" s="10">
        <v>0</v>
      </c>
      <c r="L2161" s="10">
        <v>0</v>
      </c>
      <c r="M2161" s="10">
        <v>0</v>
      </c>
      <c r="N2161" s="10" t="s">
        <v>761</v>
      </c>
      <c r="O2161" s="10" t="s">
        <v>2267</v>
      </c>
      <c r="P2161" s="105" t="e">
        <f t="shared" si="33"/>
        <v>#DIV/0!</v>
      </c>
    </row>
    <row r="2162" spans="1:16">
      <c r="A2162" s="10" t="s">
        <v>635</v>
      </c>
      <c r="B2162" s="10">
        <v>8702660</v>
      </c>
      <c r="C2162" s="10" t="s">
        <v>759</v>
      </c>
      <c r="D2162" s="10" t="s">
        <v>760</v>
      </c>
      <c r="E2162" s="10">
        <v>0</v>
      </c>
      <c r="F2162" s="10">
        <v>0</v>
      </c>
      <c r="G2162" s="10">
        <v>0</v>
      </c>
      <c r="H2162" s="10">
        <v>0</v>
      </c>
      <c r="I2162" s="10" t="s">
        <v>711</v>
      </c>
      <c r="J2162" s="10">
        <v>0</v>
      </c>
      <c r="K2162" s="10">
        <v>0</v>
      </c>
      <c r="L2162" s="10">
        <v>0</v>
      </c>
      <c r="M2162" s="10">
        <v>0</v>
      </c>
      <c r="N2162" s="10" t="s">
        <v>761</v>
      </c>
      <c r="O2162" s="10" t="s">
        <v>2268</v>
      </c>
      <c r="P2162" s="105" t="e">
        <f t="shared" si="33"/>
        <v>#DIV/0!</v>
      </c>
    </row>
    <row r="2163" spans="1:16">
      <c r="A2163" s="10" t="s">
        <v>635</v>
      </c>
      <c r="B2163" s="10">
        <v>8702661</v>
      </c>
      <c r="C2163" s="10" t="s">
        <v>759</v>
      </c>
      <c r="D2163" s="10" t="s">
        <v>760</v>
      </c>
      <c r="E2163" s="10">
        <v>0</v>
      </c>
      <c r="F2163" s="10">
        <v>0</v>
      </c>
      <c r="G2163" s="10">
        <v>0</v>
      </c>
      <c r="H2163" s="10">
        <v>0</v>
      </c>
      <c r="I2163" s="10" t="s">
        <v>138</v>
      </c>
      <c r="J2163" s="10">
        <v>0</v>
      </c>
      <c r="K2163" s="10">
        <v>0</v>
      </c>
      <c r="L2163" s="10">
        <v>0</v>
      </c>
      <c r="M2163" s="10">
        <v>0</v>
      </c>
      <c r="N2163" s="10" t="s">
        <v>761</v>
      </c>
      <c r="O2163" s="10" t="s">
        <v>2269</v>
      </c>
      <c r="P2163" s="105" t="e">
        <f t="shared" si="33"/>
        <v>#DIV/0!</v>
      </c>
    </row>
    <row r="2164" spans="1:16">
      <c r="A2164" s="10" t="s">
        <v>635</v>
      </c>
      <c r="B2164" s="10">
        <v>8702708</v>
      </c>
      <c r="C2164" s="10" t="s">
        <v>759</v>
      </c>
      <c r="D2164" s="10" t="s">
        <v>760</v>
      </c>
      <c r="E2164" s="10">
        <v>0</v>
      </c>
      <c r="F2164" s="10">
        <v>0</v>
      </c>
      <c r="G2164" s="10">
        <v>0</v>
      </c>
      <c r="H2164" s="10">
        <v>0</v>
      </c>
      <c r="I2164" s="10" t="s">
        <v>21</v>
      </c>
      <c r="J2164" s="10">
        <v>0</v>
      </c>
      <c r="K2164" s="10">
        <v>0</v>
      </c>
      <c r="L2164" s="10">
        <v>0</v>
      </c>
      <c r="M2164" s="10">
        <v>0</v>
      </c>
      <c r="N2164" s="10" t="s">
        <v>761</v>
      </c>
      <c r="O2164" s="10" t="s">
        <v>2270</v>
      </c>
      <c r="P2164" s="105" t="e">
        <f t="shared" si="33"/>
        <v>#DIV/0!</v>
      </c>
    </row>
    <row r="2165" spans="1:16">
      <c r="A2165" s="10" t="s">
        <v>635</v>
      </c>
      <c r="B2165" s="10">
        <v>8702715</v>
      </c>
      <c r="C2165" s="10" t="s">
        <v>759</v>
      </c>
      <c r="D2165" s="10" t="s">
        <v>760</v>
      </c>
      <c r="E2165" s="10">
        <v>0</v>
      </c>
      <c r="F2165" s="10">
        <v>0</v>
      </c>
      <c r="G2165" s="10">
        <v>0</v>
      </c>
      <c r="H2165" s="10">
        <v>0</v>
      </c>
      <c r="I2165" s="10" t="s">
        <v>711</v>
      </c>
      <c r="J2165" s="10">
        <v>0</v>
      </c>
      <c r="K2165" s="10">
        <v>0</v>
      </c>
      <c r="L2165" s="10">
        <v>0</v>
      </c>
      <c r="M2165" s="10">
        <v>0</v>
      </c>
      <c r="N2165" s="10" t="s">
        <v>761</v>
      </c>
      <c r="O2165" s="10" t="s">
        <v>2271</v>
      </c>
      <c r="P2165" s="105" t="e">
        <f t="shared" si="33"/>
        <v>#DIV/0!</v>
      </c>
    </row>
    <row r="2166" spans="1:16">
      <c r="A2166" s="10" t="s">
        <v>635</v>
      </c>
      <c r="B2166" s="10">
        <v>8702808</v>
      </c>
      <c r="C2166" s="10" t="s">
        <v>759</v>
      </c>
      <c r="D2166" s="10" t="s">
        <v>760</v>
      </c>
      <c r="E2166" s="10">
        <v>0</v>
      </c>
      <c r="F2166" s="10">
        <v>0</v>
      </c>
      <c r="G2166" s="10">
        <v>0</v>
      </c>
      <c r="H2166" s="10">
        <v>0</v>
      </c>
      <c r="I2166" s="10" t="s">
        <v>21</v>
      </c>
      <c r="J2166" s="10">
        <v>0</v>
      </c>
      <c r="K2166" s="10">
        <v>0</v>
      </c>
      <c r="L2166" s="10">
        <v>0</v>
      </c>
      <c r="M2166" s="10">
        <v>0</v>
      </c>
      <c r="N2166" s="10" t="s">
        <v>761</v>
      </c>
      <c r="O2166" s="10" t="s">
        <v>2272</v>
      </c>
      <c r="P2166" s="105" t="e">
        <f t="shared" si="33"/>
        <v>#DIV/0!</v>
      </c>
    </row>
    <row r="2167" spans="1:16">
      <c r="A2167" s="10" t="s">
        <v>635</v>
      </c>
      <c r="B2167" s="10">
        <v>8702809</v>
      </c>
      <c r="C2167" s="10" t="s">
        <v>759</v>
      </c>
      <c r="D2167" s="10" t="s">
        <v>760</v>
      </c>
      <c r="E2167" s="10">
        <v>0</v>
      </c>
      <c r="F2167" s="10">
        <v>0</v>
      </c>
      <c r="G2167" s="10">
        <v>0</v>
      </c>
      <c r="H2167" s="10">
        <v>0</v>
      </c>
      <c r="I2167" s="10" t="s">
        <v>21</v>
      </c>
      <c r="J2167" s="10">
        <v>0</v>
      </c>
      <c r="K2167" s="10">
        <v>0</v>
      </c>
      <c r="L2167" s="10">
        <v>0</v>
      </c>
      <c r="M2167" s="10">
        <v>0</v>
      </c>
      <c r="N2167" s="10" t="s">
        <v>761</v>
      </c>
      <c r="O2167" s="10" t="s">
        <v>1163</v>
      </c>
      <c r="P2167" s="105" t="e">
        <f t="shared" si="33"/>
        <v>#DIV/0!</v>
      </c>
    </row>
    <row r="2168" spans="1:16">
      <c r="A2168" s="10" t="s">
        <v>635</v>
      </c>
      <c r="B2168" s="10">
        <v>8702835</v>
      </c>
      <c r="C2168" s="10" t="s">
        <v>759</v>
      </c>
      <c r="D2168" s="10" t="s">
        <v>760</v>
      </c>
      <c r="E2168" s="10">
        <v>0</v>
      </c>
      <c r="F2168" s="10">
        <v>0</v>
      </c>
      <c r="G2168" s="10">
        <v>0</v>
      </c>
      <c r="H2168" s="10">
        <v>0</v>
      </c>
      <c r="I2168" s="10" t="s">
        <v>2049</v>
      </c>
      <c r="J2168" s="10">
        <v>0</v>
      </c>
      <c r="K2168" s="10">
        <v>0</v>
      </c>
      <c r="L2168" s="10">
        <v>0</v>
      </c>
      <c r="M2168" s="10">
        <v>0</v>
      </c>
      <c r="N2168" s="10" t="s">
        <v>761</v>
      </c>
      <c r="O2168" s="10" t="s">
        <v>2273</v>
      </c>
      <c r="P2168" s="105" t="e">
        <f t="shared" si="33"/>
        <v>#DIV/0!</v>
      </c>
    </row>
    <row r="2169" spans="1:16">
      <c r="A2169" s="10" t="s">
        <v>635</v>
      </c>
      <c r="B2169" s="10">
        <v>8702836</v>
      </c>
      <c r="C2169" s="10" t="s">
        <v>759</v>
      </c>
      <c r="D2169" s="10" t="s">
        <v>760</v>
      </c>
      <c r="E2169" s="10">
        <v>0</v>
      </c>
      <c r="F2169" s="10">
        <v>0</v>
      </c>
      <c r="G2169" s="10">
        <v>0</v>
      </c>
      <c r="H2169" s="10">
        <v>0</v>
      </c>
      <c r="I2169" s="10" t="s">
        <v>21</v>
      </c>
      <c r="J2169" s="10">
        <v>0</v>
      </c>
      <c r="K2169" s="10">
        <v>0</v>
      </c>
      <c r="L2169" s="10">
        <v>0</v>
      </c>
      <c r="M2169" s="10">
        <v>0</v>
      </c>
      <c r="N2169" s="10" t="s">
        <v>761</v>
      </c>
      <c r="O2169" s="10" t="s">
        <v>2274</v>
      </c>
      <c r="P2169" s="105" t="e">
        <f t="shared" si="33"/>
        <v>#DIV/0!</v>
      </c>
    </row>
    <row r="2170" spans="1:16">
      <c r="A2170" s="10" t="s">
        <v>635</v>
      </c>
      <c r="B2170" s="10">
        <v>8702837</v>
      </c>
      <c r="C2170" s="10" t="s">
        <v>759</v>
      </c>
      <c r="D2170" s="10" t="s">
        <v>760</v>
      </c>
      <c r="E2170" s="10">
        <v>0</v>
      </c>
      <c r="F2170" s="10">
        <v>0</v>
      </c>
      <c r="G2170" s="10">
        <v>0</v>
      </c>
      <c r="H2170" s="10">
        <v>0</v>
      </c>
      <c r="I2170" s="10" t="s">
        <v>2049</v>
      </c>
      <c r="J2170" s="10">
        <v>0</v>
      </c>
      <c r="K2170" s="10">
        <v>0</v>
      </c>
      <c r="L2170" s="10">
        <v>0</v>
      </c>
      <c r="M2170" s="10">
        <v>0</v>
      </c>
      <c r="N2170" s="10" t="s">
        <v>761</v>
      </c>
      <c r="O2170" s="10" t="s">
        <v>2275</v>
      </c>
      <c r="P2170" s="105" t="e">
        <f t="shared" si="33"/>
        <v>#DIV/0!</v>
      </c>
    </row>
    <row r="2171" spans="1:16">
      <c r="A2171" s="10" t="s">
        <v>635</v>
      </c>
      <c r="B2171" s="10">
        <v>8702839</v>
      </c>
      <c r="C2171" s="10" t="s">
        <v>759</v>
      </c>
      <c r="D2171" s="10" t="s">
        <v>760</v>
      </c>
      <c r="E2171" s="10">
        <v>0</v>
      </c>
      <c r="F2171" s="10">
        <v>0</v>
      </c>
      <c r="G2171" s="10">
        <v>0</v>
      </c>
      <c r="H2171" s="10">
        <v>0</v>
      </c>
      <c r="I2171" s="10" t="s">
        <v>2049</v>
      </c>
      <c r="J2171" s="10">
        <v>0</v>
      </c>
      <c r="K2171" s="10">
        <v>0</v>
      </c>
      <c r="L2171" s="10">
        <v>0</v>
      </c>
      <c r="M2171" s="10">
        <v>0</v>
      </c>
      <c r="N2171" s="10" t="s">
        <v>761</v>
      </c>
      <c r="O2171" s="10" t="s">
        <v>2276</v>
      </c>
      <c r="P2171" s="105" t="e">
        <f t="shared" si="33"/>
        <v>#DIV/0!</v>
      </c>
    </row>
    <row r="2172" spans="1:16">
      <c r="A2172" s="10" t="s">
        <v>635</v>
      </c>
      <c r="B2172" s="10">
        <v>8702840</v>
      </c>
      <c r="C2172" s="10" t="s">
        <v>759</v>
      </c>
      <c r="D2172" s="10" t="s">
        <v>760</v>
      </c>
      <c r="E2172" s="10">
        <v>0</v>
      </c>
      <c r="F2172" s="10">
        <v>0</v>
      </c>
      <c r="G2172" s="10">
        <v>0</v>
      </c>
      <c r="H2172" s="10">
        <v>0</v>
      </c>
      <c r="I2172" s="10" t="s">
        <v>2049</v>
      </c>
      <c r="J2172" s="10">
        <v>0</v>
      </c>
      <c r="K2172" s="10">
        <v>0</v>
      </c>
      <c r="L2172" s="10">
        <v>0</v>
      </c>
      <c r="M2172" s="10">
        <v>0</v>
      </c>
      <c r="N2172" s="10" t="s">
        <v>761</v>
      </c>
      <c r="O2172" s="10" t="s">
        <v>2277</v>
      </c>
      <c r="P2172" s="105" t="e">
        <f t="shared" si="33"/>
        <v>#DIV/0!</v>
      </c>
    </row>
    <row r="2173" spans="1:16">
      <c r="A2173" s="10" t="s">
        <v>635</v>
      </c>
      <c r="B2173" s="10">
        <v>8703110</v>
      </c>
      <c r="C2173" s="10" t="s">
        <v>759</v>
      </c>
      <c r="D2173" s="10" t="s">
        <v>760</v>
      </c>
      <c r="E2173" s="10">
        <v>5</v>
      </c>
      <c r="F2173" s="10">
        <v>0</v>
      </c>
      <c r="G2173" s="10">
        <v>0</v>
      </c>
      <c r="H2173" s="10">
        <v>5</v>
      </c>
      <c r="I2173" s="10" t="s">
        <v>21</v>
      </c>
      <c r="J2173" s="10">
        <v>15</v>
      </c>
      <c r="K2173" s="10">
        <v>0</v>
      </c>
      <c r="L2173" s="10">
        <v>0</v>
      </c>
      <c r="M2173" s="10">
        <v>15</v>
      </c>
      <c r="N2173" s="10" t="s">
        <v>761</v>
      </c>
      <c r="O2173" s="10" t="s">
        <v>611</v>
      </c>
      <c r="P2173" s="105">
        <f t="shared" si="33"/>
        <v>3</v>
      </c>
    </row>
    <row r="2174" spans="1:16">
      <c r="A2174" s="10" t="s">
        <v>635</v>
      </c>
      <c r="B2174" s="10">
        <v>8703238</v>
      </c>
      <c r="C2174" s="10" t="s">
        <v>759</v>
      </c>
      <c r="D2174" s="10" t="s">
        <v>760</v>
      </c>
      <c r="E2174" s="10">
        <v>0</v>
      </c>
      <c r="F2174" s="10">
        <v>0</v>
      </c>
      <c r="G2174" s="10">
        <v>0</v>
      </c>
      <c r="H2174" s="10">
        <v>0</v>
      </c>
      <c r="I2174" s="10" t="s">
        <v>21</v>
      </c>
      <c r="J2174" s="10">
        <v>0</v>
      </c>
      <c r="K2174" s="10">
        <v>0</v>
      </c>
      <c r="L2174" s="10">
        <v>0</v>
      </c>
      <c r="M2174" s="10">
        <v>0</v>
      </c>
      <c r="N2174" s="10" t="s">
        <v>761</v>
      </c>
      <c r="O2174" s="10" t="s">
        <v>2278</v>
      </c>
      <c r="P2174" s="105" t="e">
        <f t="shared" si="33"/>
        <v>#DIV/0!</v>
      </c>
    </row>
    <row r="2175" spans="1:16">
      <c r="A2175" s="10" t="s">
        <v>635</v>
      </c>
      <c r="B2175" s="10">
        <v>8703239</v>
      </c>
      <c r="C2175" s="10" t="s">
        <v>759</v>
      </c>
      <c r="D2175" s="10" t="s">
        <v>760</v>
      </c>
      <c r="E2175" s="10">
        <v>0</v>
      </c>
      <c r="F2175" s="10">
        <v>0</v>
      </c>
      <c r="G2175" s="10">
        <v>0</v>
      </c>
      <c r="H2175" s="10">
        <v>0</v>
      </c>
      <c r="I2175" s="10" t="s">
        <v>21</v>
      </c>
      <c r="J2175" s="10">
        <v>0</v>
      </c>
      <c r="K2175" s="10">
        <v>0</v>
      </c>
      <c r="L2175" s="10">
        <v>0</v>
      </c>
      <c r="M2175" s="10">
        <v>0</v>
      </c>
      <c r="N2175" s="10" t="s">
        <v>761</v>
      </c>
      <c r="O2175" s="10" t="s">
        <v>2279</v>
      </c>
      <c r="P2175" s="105" t="e">
        <f t="shared" si="33"/>
        <v>#DIV/0!</v>
      </c>
    </row>
    <row r="2176" spans="1:16">
      <c r="A2176" s="10" t="s">
        <v>635</v>
      </c>
      <c r="B2176" s="10">
        <v>8703240</v>
      </c>
      <c r="C2176" s="10" t="s">
        <v>759</v>
      </c>
      <c r="D2176" s="10" t="s">
        <v>760</v>
      </c>
      <c r="E2176" s="10">
        <v>0</v>
      </c>
      <c r="F2176" s="10">
        <v>0</v>
      </c>
      <c r="G2176" s="10">
        <v>0</v>
      </c>
      <c r="H2176" s="10">
        <v>0</v>
      </c>
      <c r="I2176" s="10" t="s">
        <v>21</v>
      </c>
      <c r="J2176" s="10">
        <v>0</v>
      </c>
      <c r="K2176" s="10">
        <v>0</v>
      </c>
      <c r="L2176" s="10">
        <v>0</v>
      </c>
      <c r="M2176" s="10">
        <v>0</v>
      </c>
      <c r="N2176" s="10" t="s">
        <v>761</v>
      </c>
      <c r="O2176" s="10" t="s">
        <v>2280</v>
      </c>
      <c r="P2176" s="105" t="e">
        <f t="shared" si="33"/>
        <v>#DIV/0!</v>
      </c>
    </row>
    <row r="2177" spans="1:16">
      <c r="A2177" s="10" t="s">
        <v>635</v>
      </c>
      <c r="B2177" s="10">
        <v>8703245</v>
      </c>
      <c r="C2177" s="10" t="s">
        <v>759</v>
      </c>
      <c r="D2177" s="10" t="s">
        <v>760</v>
      </c>
      <c r="E2177" s="10">
        <v>0</v>
      </c>
      <c r="F2177" s="10">
        <v>0</v>
      </c>
      <c r="G2177" s="10">
        <v>0</v>
      </c>
      <c r="H2177" s="10">
        <v>0</v>
      </c>
      <c r="I2177" s="10" t="s">
        <v>26</v>
      </c>
      <c r="J2177" s="10">
        <v>0</v>
      </c>
      <c r="K2177" s="10">
        <v>0</v>
      </c>
      <c r="L2177" s="10">
        <v>0</v>
      </c>
      <c r="M2177" s="10">
        <v>0</v>
      </c>
      <c r="N2177" s="10" t="s">
        <v>761</v>
      </c>
      <c r="O2177" s="10" t="s">
        <v>2281</v>
      </c>
      <c r="P2177" s="105" t="e">
        <f t="shared" si="33"/>
        <v>#DIV/0!</v>
      </c>
    </row>
    <row r="2178" spans="1:16">
      <c r="A2178" s="10" t="s">
        <v>635</v>
      </c>
      <c r="B2178" s="10">
        <v>8703267</v>
      </c>
      <c r="C2178" s="10" t="s">
        <v>759</v>
      </c>
      <c r="D2178" s="10" t="s">
        <v>760</v>
      </c>
      <c r="E2178" s="10">
        <v>0</v>
      </c>
      <c r="F2178" s="10">
        <v>0</v>
      </c>
      <c r="G2178" s="10">
        <v>0</v>
      </c>
      <c r="H2178" s="10">
        <v>0</v>
      </c>
      <c r="I2178" s="10" t="s">
        <v>21</v>
      </c>
      <c r="J2178" s="10">
        <v>0</v>
      </c>
      <c r="K2178" s="10">
        <v>0</v>
      </c>
      <c r="L2178" s="10">
        <v>0</v>
      </c>
      <c r="M2178" s="10">
        <v>0</v>
      </c>
      <c r="N2178" s="10" t="s">
        <v>761</v>
      </c>
      <c r="O2178" s="10" t="s">
        <v>2282</v>
      </c>
      <c r="P2178" s="105" t="e">
        <f t="shared" si="33"/>
        <v>#DIV/0!</v>
      </c>
    </row>
    <row r="2179" spans="1:16">
      <c r="A2179" s="10" t="s">
        <v>635</v>
      </c>
      <c r="B2179" s="10">
        <v>8703278</v>
      </c>
      <c r="C2179" s="10" t="s">
        <v>759</v>
      </c>
      <c r="D2179" s="10" t="s">
        <v>760</v>
      </c>
      <c r="E2179" s="10">
        <v>0</v>
      </c>
      <c r="F2179" s="10">
        <v>0</v>
      </c>
      <c r="G2179" s="10">
        <v>0</v>
      </c>
      <c r="H2179" s="10">
        <v>0</v>
      </c>
      <c r="I2179" s="10" t="s">
        <v>102</v>
      </c>
      <c r="J2179" s="10">
        <v>0</v>
      </c>
      <c r="K2179" s="10">
        <v>0</v>
      </c>
      <c r="L2179" s="10">
        <v>0</v>
      </c>
      <c r="M2179" s="10">
        <v>0</v>
      </c>
      <c r="N2179" s="10" t="s">
        <v>761</v>
      </c>
      <c r="O2179" s="10" t="s">
        <v>1282</v>
      </c>
      <c r="P2179" s="105" t="e">
        <f t="shared" ref="P2179:P2242" si="34">M2179/H2179</f>
        <v>#DIV/0!</v>
      </c>
    </row>
    <row r="2180" spans="1:16">
      <c r="A2180" s="10" t="s">
        <v>635</v>
      </c>
      <c r="B2180" s="10">
        <v>8703279</v>
      </c>
      <c r="C2180" s="10" t="s">
        <v>759</v>
      </c>
      <c r="D2180" s="10" t="s">
        <v>760</v>
      </c>
      <c r="E2180" s="10">
        <v>0</v>
      </c>
      <c r="F2180" s="10">
        <v>0</v>
      </c>
      <c r="G2180" s="10">
        <v>0</v>
      </c>
      <c r="H2180" s="10">
        <v>0</v>
      </c>
      <c r="I2180" s="10" t="s">
        <v>102</v>
      </c>
      <c r="J2180" s="10">
        <v>0</v>
      </c>
      <c r="K2180" s="10">
        <v>0</v>
      </c>
      <c r="L2180" s="10">
        <v>0</v>
      </c>
      <c r="M2180" s="10">
        <v>0</v>
      </c>
      <c r="N2180" s="10" t="s">
        <v>761</v>
      </c>
      <c r="O2180" s="10" t="s">
        <v>1283</v>
      </c>
      <c r="P2180" s="105" t="e">
        <f t="shared" si="34"/>
        <v>#DIV/0!</v>
      </c>
    </row>
    <row r="2181" spans="1:16">
      <c r="A2181" s="10" t="s">
        <v>635</v>
      </c>
      <c r="B2181" s="10">
        <v>8703280</v>
      </c>
      <c r="C2181" s="10" t="s">
        <v>759</v>
      </c>
      <c r="D2181" s="10" t="s">
        <v>760</v>
      </c>
      <c r="E2181" s="10">
        <v>0</v>
      </c>
      <c r="F2181" s="10">
        <v>0</v>
      </c>
      <c r="G2181" s="10">
        <v>0</v>
      </c>
      <c r="H2181" s="10">
        <v>0</v>
      </c>
      <c r="I2181" s="10" t="s">
        <v>102</v>
      </c>
      <c r="J2181" s="10">
        <v>0</v>
      </c>
      <c r="K2181" s="10">
        <v>0</v>
      </c>
      <c r="L2181" s="10">
        <v>0</v>
      </c>
      <c r="M2181" s="10">
        <v>0</v>
      </c>
      <c r="N2181" s="10" t="s">
        <v>761</v>
      </c>
      <c r="O2181" s="10" t="s">
        <v>2283</v>
      </c>
      <c r="P2181" s="105" t="e">
        <f t="shared" si="34"/>
        <v>#DIV/0!</v>
      </c>
    </row>
    <row r="2182" spans="1:16">
      <c r="A2182" s="10" t="s">
        <v>635</v>
      </c>
      <c r="B2182" s="10">
        <v>8703281</v>
      </c>
      <c r="C2182" s="10" t="s">
        <v>759</v>
      </c>
      <c r="D2182" s="10" t="s">
        <v>760</v>
      </c>
      <c r="E2182" s="10">
        <v>0</v>
      </c>
      <c r="F2182" s="10">
        <v>0</v>
      </c>
      <c r="G2182" s="10">
        <v>0</v>
      </c>
      <c r="H2182" s="10">
        <v>0</v>
      </c>
      <c r="I2182" s="10" t="s">
        <v>102</v>
      </c>
      <c r="J2182" s="10">
        <v>0</v>
      </c>
      <c r="K2182" s="10">
        <v>0</v>
      </c>
      <c r="L2182" s="10">
        <v>0</v>
      </c>
      <c r="M2182" s="10">
        <v>0</v>
      </c>
      <c r="N2182" s="10" t="s">
        <v>761</v>
      </c>
      <c r="O2182" s="10" t="s">
        <v>2284</v>
      </c>
      <c r="P2182" s="105" t="e">
        <f t="shared" si="34"/>
        <v>#DIV/0!</v>
      </c>
    </row>
    <row r="2183" spans="1:16">
      <c r="A2183" s="10" t="s">
        <v>635</v>
      </c>
      <c r="B2183" s="10">
        <v>8703282</v>
      </c>
      <c r="C2183" s="10" t="s">
        <v>759</v>
      </c>
      <c r="D2183" s="10" t="s">
        <v>760</v>
      </c>
      <c r="E2183" s="10">
        <v>0</v>
      </c>
      <c r="F2183" s="10">
        <v>0</v>
      </c>
      <c r="G2183" s="10">
        <v>0</v>
      </c>
      <c r="H2183" s="10">
        <v>0</v>
      </c>
      <c r="I2183" s="10" t="s">
        <v>102</v>
      </c>
      <c r="J2183" s="10">
        <v>0</v>
      </c>
      <c r="K2183" s="10">
        <v>0</v>
      </c>
      <c r="L2183" s="10">
        <v>0</v>
      </c>
      <c r="M2183" s="10">
        <v>0</v>
      </c>
      <c r="N2183" s="10" t="s">
        <v>761</v>
      </c>
      <c r="O2183" s="10" t="s">
        <v>2285</v>
      </c>
      <c r="P2183" s="105" t="e">
        <f t="shared" si="34"/>
        <v>#DIV/0!</v>
      </c>
    </row>
    <row r="2184" spans="1:16">
      <c r="A2184" s="10" t="s">
        <v>635</v>
      </c>
      <c r="B2184" s="10">
        <v>8703283</v>
      </c>
      <c r="C2184" s="10" t="s">
        <v>759</v>
      </c>
      <c r="D2184" s="10" t="s">
        <v>760</v>
      </c>
      <c r="E2184" s="10">
        <v>0</v>
      </c>
      <c r="F2184" s="10">
        <v>0</v>
      </c>
      <c r="G2184" s="10">
        <v>0</v>
      </c>
      <c r="H2184" s="10">
        <v>0</v>
      </c>
      <c r="I2184" s="10" t="s">
        <v>102</v>
      </c>
      <c r="J2184" s="10">
        <v>0</v>
      </c>
      <c r="K2184" s="10">
        <v>0</v>
      </c>
      <c r="L2184" s="10">
        <v>0</v>
      </c>
      <c r="M2184" s="10">
        <v>0</v>
      </c>
      <c r="N2184" s="10" t="s">
        <v>761</v>
      </c>
      <c r="O2184" s="10" t="s">
        <v>2286</v>
      </c>
      <c r="P2184" s="105" t="e">
        <f t="shared" si="34"/>
        <v>#DIV/0!</v>
      </c>
    </row>
    <row r="2185" spans="1:16">
      <c r="A2185" s="10" t="s">
        <v>635</v>
      </c>
      <c r="B2185" s="10">
        <v>8703290</v>
      </c>
      <c r="C2185" s="10" t="s">
        <v>759</v>
      </c>
      <c r="D2185" s="10" t="s">
        <v>760</v>
      </c>
      <c r="E2185" s="10">
        <v>0</v>
      </c>
      <c r="F2185" s="10">
        <v>0</v>
      </c>
      <c r="G2185" s="10">
        <v>0</v>
      </c>
      <c r="H2185" s="10">
        <v>0</v>
      </c>
      <c r="I2185" s="10" t="s">
        <v>102</v>
      </c>
      <c r="J2185" s="10">
        <v>0</v>
      </c>
      <c r="K2185" s="10">
        <v>0</v>
      </c>
      <c r="L2185" s="10">
        <v>0</v>
      </c>
      <c r="M2185" s="10">
        <v>0</v>
      </c>
      <c r="N2185" s="10" t="s">
        <v>761</v>
      </c>
      <c r="O2185" s="10" t="s">
        <v>2287</v>
      </c>
      <c r="P2185" s="105" t="e">
        <f t="shared" si="34"/>
        <v>#DIV/0!</v>
      </c>
    </row>
    <row r="2186" spans="1:16">
      <c r="A2186" s="10" t="s">
        <v>635</v>
      </c>
      <c r="B2186" s="10">
        <v>8703291</v>
      </c>
      <c r="C2186" s="10" t="s">
        <v>759</v>
      </c>
      <c r="D2186" s="10" t="s">
        <v>760</v>
      </c>
      <c r="E2186" s="10">
        <v>0</v>
      </c>
      <c r="F2186" s="10">
        <v>0</v>
      </c>
      <c r="G2186" s="10">
        <v>0</v>
      </c>
      <c r="H2186" s="10">
        <v>0</v>
      </c>
      <c r="I2186" s="10" t="s">
        <v>102</v>
      </c>
      <c r="J2186" s="10">
        <v>0</v>
      </c>
      <c r="K2186" s="10">
        <v>0</v>
      </c>
      <c r="L2186" s="10">
        <v>0</v>
      </c>
      <c r="M2186" s="10">
        <v>0</v>
      </c>
      <c r="N2186" s="10" t="s">
        <v>761</v>
      </c>
      <c r="O2186" s="10" t="s">
        <v>2288</v>
      </c>
      <c r="P2186" s="105" t="e">
        <f t="shared" si="34"/>
        <v>#DIV/0!</v>
      </c>
    </row>
    <row r="2187" spans="1:16">
      <c r="A2187" s="10" t="s">
        <v>635</v>
      </c>
      <c r="B2187" s="10">
        <v>8703362</v>
      </c>
      <c r="C2187" s="10" t="s">
        <v>759</v>
      </c>
      <c r="D2187" s="10" t="s">
        <v>760</v>
      </c>
      <c r="E2187" s="10">
        <v>0</v>
      </c>
      <c r="F2187" s="10">
        <v>0</v>
      </c>
      <c r="G2187" s="10">
        <v>0</v>
      </c>
      <c r="H2187" s="10">
        <v>0</v>
      </c>
      <c r="I2187" s="10" t="s">
        <v>21</v>
      </c>
      <c r="J2187" s="10">
        <v>0</v>
      </c>
      <c r="K2187" s="10">
        <v>0</v>
      </c>
      <c r="L2187" s="10">
        <v>0</v>
      </c>
      <c r="M2187" s="10">
        <v>0</v>
      </c>
      <c r="N2187" s="10" t="s">
        <v>761</v>
      </c>
      <c r="O2187" s="10" t="s">
        <v>2289</v>
      </c>
      <c r="P2187" s="105" t="e">
        <f t="shared" si="34"/>
        <v>#DIV/0!</v>
      </c>
    </row>
    <row r="2188" spans="1:16">
      <c r="A2188" s="10" t="s">
        <v>635</v>
      </c>
      <c r="B2188" s="10">
        <v>8703377</v>
      </c>
      <c r="C2188" s="10" t="s">
        <v>759</v>
      </c>
      <c r="D2188" s="10" t="s">
        <v>760</v>
      </c>
      <c r="E2188" s="10">
        <v>0</v>
      </c>
      <c r="F2188" s="10">
        <v>0</v>
      </c>
      <c r="G2188" s="10">
        <v>0</v>
      </c>
      <c r="H2188" s="10">
        <v>0</v>
      </c>
      <c r="I2188" s="10" t="s">
        <v>21</v>
      </c>
      <c r="J2188" s="10">
        <v>0</v>
      </c>
      <c r="K2188" s="10">
        <v>0</v>
      </c>
      <c r="L2188" s="10">
        <v>0</v>
      </c>
      <c r="M2188" s="10">
        <v>0</v>
      </c>
      <c r="N2188" s="10" t="s">
        <v>761</v>
      </c>
      <c r="O2188" s="10" t="s">
        <v>2290</v>
      </c>
      <c r="P2188" s="105" t="e">
        <f t="shared" si="34"/>
        <v>#DIV/0!</v>
      </c>
    </row>
    <row r="2189" spans="1:16">
      <c r="A2189" s="10" t="s">
        <v>635</v>
      </c>
      <c r="B2189" s="10">
        <v>8703378</v>
      </c>
      <c r="C2189" s="10" t="s">
        <v>759</v>
      </c>
      <c r="D2189" s="10" t="s">
        <v>760</v>
      </c>
      <c r="E2189" s="10">
        <v>0</v>
      </c>
      <c r="F2189" s="10">
        <v>0</v>
      </c>
      <c r="G2189" s="10">
        <v>0</v>
      </c>
      <c r="H2189" s="10">
        <v>0</v>
      </c>
      <c r="I2189" s="10" t="s">
        <v>21</v>
      </c>
      <c r="J2189" s="10">
        <v>0</v>
      </c>
      <c r="K2189" s="10">
        <v>0</v>
      </c>
      <c r="L2189" s="10">
        <v>0</v>
      </c>
      <c r="M2189" s="10">
        <v>0</v>
      </c>
      <c r="N2189" s="10" t="s">
        <v>761</v>
      </c>
      <c r="O2189" s="10" t="s">
        <v>2291</v>
      </c>
      <c r="P2189" s="105" t="e">
        <f t="shared" si="34"/>
        <v>#DIV/0!</v>
      </c>
    </row>
    <row r="2190" spans="1:16">
      <c r="A2190" s="10" t="s">
        <v>635</v>
      </c>
      <c r="B2190" s="10">
        <v>8703379</v>
      </c>
      <c r="C2190" s="10" t="s">
        <v>759</v>
      </c>
      <c r="D2190" s="10" t="s">
        <v>760</v>
      </c>
      <c r="E2190" s="10">
        <v>0</v>
      </c>
      <c r="F2190" s="10">
        <v>0</v>
      </c>
      <c r="G2190" s="10">
        <v>0</v>
      </c>
      <c r="H2190" s="10">
        <v>0</v>
      </c>
      <c r="I2190" s="10" t="s">
        <v>21</v>
      </c>
      <c r="J2190" s="10">
        <v>0</v>
      </c>
      <c r="K2190" s="10">
        <v>0</v>
      </c>
      <c r="L2190" s="10">
        <v>0</v>
      </c>
      <c r="M2190" s="10">
        <v>0</v>
      </c>
      <c r="N2190" s="10" t="s">
        <v>761</v>
      </c>
      <c r="O2190" s="10" t="s">
        <v>2292</v>
      </c>
      <c r="P2190" s="105" t="e">
        <f t="shared" si="34"/>
        <v>#DIV/0!</v>
      </c>
    </row>
    <row r="2191" spans="1:16">
      <c r="A2191" s="10" t="s">
        <v>635</v>
      </c>
      <c r="B2191" s="10">
        <v>8703406</v>
      </c>
      <c r="C2191" s="10" t="s">
        <v>759</v>
      </c>
      <c r="D2191" s="10" t="s">
        <v>760</v>
      </c>
      <c r="E2191" s="10">
        <v>0</v>
      </c>
      <c r="F2191" s="10">
        <v>0</v>
      </c>
      <c r="G2191" s="10">
        <v>0</v>
      </c>
      <c r="H2191" s="10">
        <v>0</v>
      </c>
      <c r="I2191" s="10" t="s">
        <v>21</v>
      </c>
      <c r="J2191" s="10">
        <v>0</v>
      </c>
      <c r="K2191" s="10">
        <v>0</v>
      </c>
      <c r="L2191" s="10">
        <v>0</v>
      </c>
      <c r="M2191" s="10">
        <v>0</v>
      </c>
      <c r="N2191" s="10" t="s">
        <v>761</v>
      </c>
      <c r="O2191" s="10" t="s">
        <v>2293</v>
      </c>
      <c r="P2191" s="105" t="e">
        <f t="shared" si="34"/>
        <v>#DIV/0!</v>
      </c>
    </row>
    <row r="2192" spans="1:16">
      <c r="A2192" s="10" t="s">
        <v>635</v>
      </c>
      <c r="B2192" s="10">
        <v>8703496</v>
      </c>
      <c r="C2192" s="10" t="s">
        <v>759</v>
      </c>
      <c r="D2192" s="10" t="s">
        <v>760</v>
      </c>
      <c r="E2192" s="10">
        <v>0</v>
      </c>
      <c r="F2192" s="10">
        <v>0</v>
      </c>
      <c r="G2192" s="10">
        <v>0</v>
      </c>
      <c r="H2192" s="10">
        <v>0</v>
      </c>
      <c r="I2192" s="10" t="s">
        <v>41</v>
      </c>
      <c r="J2192" s="10">
        <v>0</v>
      </c>
      <c r="K2192" s="10">
        <v>0</v>
      </c>
      <c r="L2192" s="10">
        <v>0</v>
      </c>
      <c r="M2192" s="10">
        <v>0</v>
      </c>
      <c r="N2192" s="10" t="s">
        <v>761</v>
      </c>
      <c r="O2192" s="10" t="s">
        <v>2294</v>
      </c>
      <c r="P2192" s="105" t="e">
        <f t="shared" si="34"/>
        <v>#DIV/0!</v>
      </c>
    </row>
    <row r="2193" spans="1:16">
      <c r="A2193" s="10" t="s">
        <v>635</v>
      </c>
      <c r="B2193" s="10">
        <v>8703512</v>
      </c>
      <c r="C2193" s="10" t="s">
        <v>759</v>
      </c>
      <c r="D2193" s="10" t="s">
        <v>760</v>
      </c>
      <c r="E2193" s="10">
        <v>0</v>
      </c>
      <c r="F2193" s="10">
        <v>0</v>
      </c>
      <c r="G2193" s="10">
        <v>0</v>
      </c>
      <c r="H2193" s="10">
        <v>0</v>
      </c>
      <c r="I2193" s="10" t="s">
        <v>21</v>
      </c>
      <c r="J2193" s="10">
        <v>0</v>
      </c>
      <c r="K2193" s="10">
        <v>0</v>
      </c>
      <c r="L2193" s="10">
        <v>0</v>
      </c>
      <c r="M2193" s="10">
        <v>0</v>
      </c>
      <c r="N2193" s="10" t="s">
        <v>761</v>
      </c>
      <c r="O2193" s="10" t="s">
        <v>2295</v>
      </c>
      <c r="P2193" s="105" t="e">
        <f t="shared" si="34"/>
        <v>#DIV/0!</v>
      </c>
    </row>
    <row r="2194" spans="1:16">
      <c r="A2194" s="10" t="s">
        <v>635</v>
      </c>
      <c r="B2194" s="10">
        <v>8703532</v>
      </c>
      <c r="C2194" s="10" t="s">
        <v>759</v>
      </c>
      <c r="D2194" s="10" t="s">
        <v>760</v>
      </c>
      <c r="E2194" s="10">
        <v>0</v>
      </c>
      <c r="F2194" s="10">
        <v>0</v>
      </c>
      <c r="G2194" s="10">
        <v>0</v>
      </c>
      <c r="H2194" s="10">
        <v>0</v>
      </c>
      <c r="I2194" s="10" t="s">
        <v>21</v>
      </c>
      <c r="J2194" s="10">
        <v>0</v>
      </c>
      <c r="K2194" s="10">
        <v>0</v>
      </c>
      <c r="L2194" s="10">
        <v>0</v>
      </c>
      <c r="M2194" s="10">
        <v>0</v>
      </c>
      <c r="N2194" s="10" t="s">
        <v>761</v>
      </c>
      <c r="O2194" s="10" t="s">
        <v>2296</v>
      </c>
      <c r="P2194" s="105" t="e">
        <f t="shared" si="34"/>
        <v>#DIV/0!</v>
      </c>
    </row>
    <row r="2195" spans="1:16">
      <c r="A2195" s="10" t="s">
        <v>635</v>
      </c>
      <c r="B2195" s="10">
        <v>8703541</v>
      </c>
      <c r="C2195" s="10" t="s">
        <v>759</v>
      </c>
      <c r="D2195" s="10" t="s">
        <v>760</v>
      </c>
      <c r="E2195" s="10">
        <v>0</v>
      </c>
      <c r="F2195" s="10">
        <v>0</v>
      </c>
      <c r="G2195" s="10">
        <v>0</v>
      </c>
      <c r="H2195" s="10">
        <v>0</v>
      </c>
      <c r="I2195" s="10" t="s">
        <v>21</v>
      </c>
      <c r="J2195" s="10">
        <v>0</v>
      </c>
      <c r="K2195" s="10">
        <v>0</v>
      </c>
      <c r="L2195" s="10">
        <v>0</v>
      </c>
      <c r="M2195" s="10">
        <v>0</v>
      </c>
      <c r="N2195" s="10" t="s">
        <v>761</v>
      </c>
      <c r="O2195" s="10" t="s">
        <v>2297</v>
      </c>
      <c r="P2195" s="105" t="e">
        <f t="shared" si="34"/>
        <v>#DIV/0!</v>
      </c>
    </row>
    <row r="2196" spans="1:16">
      <c r="A2196" s="10" t="s">
        <v>635</v>
      </c>
      <c r="B2196" s="10">
        <v>8703542</v>
      </c>
      <c r="C2196" s="10" t="s">
        <v>759</v>
      </c>
      <c r="D2196" s="10" t="s">
        <v>760</v>
      </c>
      <c r="E2196" s="10">
        <v>0</v>
      </c>
      <c r="F2196" s="10">
        <v>200</v>
      </c>
      <c r="G2196" s="10">
        <v>0</v>
      </c>
      <c r="H2196" s="10">
        <v>200</v>
      </c>
      <c r="I2196" s="10" t="s">
        <v>21</v>
      </c>
      <c r="J2196" s="10">
        <v>0</v>
      </c>
      <c r="K2196" s="103">
        <v>1825.01</v>
      </c>
      <c r="L2196" s="10">
        <v>0</v>
      </c>
      <c r="M2196" s="103">
        <v>1825.01</v>
      </c>
      <c r="N2196" s="10" t="s">
        <v>761</v>
      </c>
      <c r="O2196" s="10" t="s">
        <v>42</v>
      </c>
      <c r="P2196" s="105">
        <f t="shared" si="34"/>
        <v>9.12505</v>
      </c>
    </row>
    <row r="2197" spans="1:16">
      <c r="A2197" s="10" t="s">
        <v>635</v>
      </c>
      <c r="B2197" s="10">
        <v>8703543</v>
      </c>
      <c r="C2197" s="10" t="s">
        <v>759</v>
      </c>
      <c r="D2197" s="10" t="s">
        <v>760</v>
      </c>
      <c r="E2197" s="10">
        <v>0</v>
      </c>
      <c r="F2197" s="10">
        <v>240</v>
      </c>
      <c r="G2197" s="10">
        <v>0</v>
      </c>
      <c r="H2197" s="10">
        <v>240</v>
      </c>
      <c r="I2197" s="10" t="s">
        <v>21</v>
      </c>
      <c r="J2197" s="10">
        <v>0</v>
      </c>
      <c r="K2197" s="10">
        <v>603.61</v>
      </c>
      <c r="L2197" s="10">
        <v>0</v>
      </c>
      <c r="M2197" s="10">
        <v>603.61</v>
      </c>
      <c r="N2197" s="10" t="s">
        <v>761</v>
      </c>
      <c r="O2197" s="10" t="s">
        <v>90</v>
      </c>
      <c r="P2197" s="105">
        <f t="shared" si="34"/>
        <v>2.51504166666667</v>
      </c>
    </row>
    <row r="2198" spans="1:16">
      <c r="A2198" s="10" t="s">
        <v>635</v>
      </c>
      <c r="B2198" s="10">
        <v>8703544</v>
      </c>
      <c r="C2198" s="10" t="s">
        <v>759</v>
      </c>
      <c r="D2198" s="10" t="s">
        <v>760</v>
      </c>
      <c r="E2198" s="10">
        <v>0</v>
      </c>
      <c r="F2198" s="10">
        <v>0</v>
      </c>
      <c r="G2198" s="10">
        <v>0</v>
      </c>
      <c r="H2198" s="10">
        <v>0</v>
      </c>
      <c r="I2198" s="10" t="s">
        <v>21</v>
      </c>
      <c r="J2198" s="10">
        <v>0</v>
      </c>
      <c r="K2198" s="10">
        <v>0</v>
      </c>
      <c r="L2198" s="10">
        <v>0</v>
      </c>
      <c r="M2198" s="10">
        <v>0</v>
      </c>
      <c r="N2198" s="10" t="s">
        <v>761</v>
      </c>
      <c r="O2198" s="10" t="s">
        <v>2298</v>
      </c>
      <c r="P2198" s="105" t="e">
        <f t="shared" si="34"/>
        <v>#DIV/0!</v>
      </c>
    </row>
    <row r="2199" spans="1:16">
      <c r="A2199" s="10" t="s">
        <v>635</v>
      </c>
      <c r="B2199" s="10">
        <v>8703545</v>
      </c>
      <c r="C2199" s="10" t="s">
        <v>759</v>
      </c>
      <c r="D2199" s="10" t="s">
        <v>760</v>
      </c>
      <c r="E2199" s="10">
        <v>0</v>
      </c>
      <c r="F2199" s="10">
        <v>0</v>
      </c>
      <c r="G2199" s="10">
        <v>0</v>
      </c>
      <c r="H2199" s="10">
        <v>0</v>
      </c>
      <c r="I2199" s="10" t="s">
        <v>26</v>
      </c>
      <c r="J2199" s="10">
        <v>0</v>
      </c>
      <c r="K2199" s="10">
        <v>0</v>
      </c>
      <c r="L2199" s="10">
        <v>0</v>
      </c>
      <c r="M2199" s="10">
        <v>0</v>
      </c>
      <c r="N2199" s="10" t="s">
        <v>761</v>
      </c>
      <c r="O2199" s="10" t="s">
        <v>2299</v>
      </c>
      <c r="P2199" s="105" t="e">
        <f t="shared" si="34"/>
        <v>#DIV/0!</v>
      </c>
    </row>
    <row r="2200" spans="1:16">
      <c r="A2200" s="10" t="s">
        <v>635</v>
      </c>
      <c r="B2200" s="10">
        <v>8703546</v>
      </c>
      <c r="C2200" s="10" t="s">
        <v>759</v>
      </c>
      <c r="D2200" s="10" t="s">
        <v>760</v>
      </c>
      <c r="E2200" s="10">
        <v>0</v>
      </c>
      <c r="F2200" s="10">
        <v>0</v>
      </c>
      <c r="G2200" s="10">
        <v>0</v>
      </c>
      <c r="H2200" s="10">
        <v>0</v>
      </c>
      <c r="I2200" s="10" t="s">
        <v>26</v>
      </c>
      <c r="J2200" s="10">
        <v>0</v>
      </c>
      <c r="K2200" s="10">
        <v>0</v>
      </c>
      <c r="L2200" s="10">
        <v>0</v>
      </c>
      <c r="M2200" s="10">
        <v>0</v>
      </c>
      <c r="N2200" s="10" t="s">
        <v>761</v>
      </c>
      <c r="O2200" s="10" t="s">
        <v>2300</v>
      </c>
      <c r="P2200" s="105" t="e">
        <f t="shared" si="34"/>
        <v>#DIV/0!</v>
      </c>
    </row>
    <row r="2201" spans="1:16">
      <c r="A2201" s="10" t="s">
        <v>635</v>
      </c>
      <c r="B2201" s="10">
        <v>8703709</v>
      </c>
      <c r="C2201" s="10" t="s">
        <v>759</v>
      </c>
      <c r="D2201" s="10" t="s">
        <v>760</v>
      </c>
      <c r="E2201" s="10">
        <v>0</v>
      </c>
      <c r="F2201" s="10">
        <v>0</v>
      </c>
      <c r="G2201" s="10">
        <v>0</v>
      </c>
      <c r="H2201" s="10">
        <v>0</v>
      </c>
      <c r="I2201" s="10" t="s">
        <v>21</v>
      </c>
      <c r="J2201" s="10">
        <v>0</v>
      </c>
      <c r="K2201" s="10">
        <v>0</v>
      </c>
      <c r="L2201" s="10">
        <v>0</v>
      </c>
      <c r="M2201" s="10">
        <v>0</v>
      </c>
      <c r="N2201" s="10" t="s">
        <v>761</v>
      </c>
      <c r="O2201" s="10" t="s">
        <v>2301</v>
      </c>
      <c r="P2201" s="105" t="e">
        <f t="shared" si="34"/>
        <v>#DIV/0!</v>
      </c>
    </row>
    <row r="2202" spans="1:16">
      <c r="A2202" s="10" t="s">
        <v>635</v>
      </c>
      <c r="B2202" s="10">
        <v>8703791</v>
      </c>
      <c r="C2202" s="10" t="s">
        <v>759</v>
      </c>
      <c r="D2202" s="10" t="s">
        <v>760</v>
      </c>
      <c r="E2202" s="10">
        <v>0</v>
      </c>
      <c r="F2202" s="103">
        <v>4000</v>
      </c>
      <c r="G2202" s="10">
        <v>0</v>
      </c>
      <c r="H2202" s="103">
        <v>4000</v>
      </c>
      <c r="I2202" s="10" t="s">
        <v>21</v>
      </c>
      <c r="J2202" s="10">
        <v>0</v>
      </c>
      <c r="K2202" s="10">
        <v>141.04</v>
      </c>
      <c r="L2202" s="10">
        <v>0</v>
      </c>
      <c r="M2202" s="10">
        <v>141.04</v>
      </c>
      <c r="N2202" s="10" t="s">
        <v>761</v>
      </c>
      <c r="O2202" s="10" t="s">
        <v>251</v>
      </c>
      <c r="P2202" s="105">
        <f t="shared" si="34"/>
        <v>0.03526</v>
      </c>
    </row>
    <row r="2203" spans="1:16">
      <c r="A2203" s="10" t="s">
        <v>635</v>
      </c>
      <c r="B2203" s="10">
        <v>8703812</v>
      </c>
      <c r="C2203" s="10" t="s">
        <v>759</v>
      </c>
      <c r="D2203" s="10" t="s">
        <v>760</v>
      </c>
      <c r="E2203" s="10">
        <v>0</v>
      </c>
      <c r="F2203" s="10">
        <v>0</v>
      </c>
      <c r="G2203" s="10">
        <v>0</v>
      </c>
      <c r="H2203" s="10">
        <v>0</v>
      </c>
      <c r="I2203" s="10" t="s">
        <v>138</v>
      </c>
      <c r="J2203" s="10">
        <v>0</v>
      </c>
      <c r="K2203" s="10">
        <v>0</v>
      </c>
      <c r="L2203" s="10">
        <v>0</v>
      </c>
      <c r="M2203" s="10">
        <v>0</v>
      </c>
      <c r="N2203" s="10" t="s">
        <v>761</v>
      </c>
      <c r="O2203" s="10" t="s">
        <v>2302</v>
      </c>
      <c r="P2203" s="105" t="e">
        <f t="shared" si="34"/>
        <v>#DIV/0!</v>
      </c>
    </row>
    <row r="2204" spans="1:16">
      <c r="A2204" s="10" t="s">
        <v>635</v>
      </c>
      <c r="B2204" s="10">
        <v>8703817</v>
      </c>
      <c r="C2204" s="10" t="s">
        <v>759</v>
      </c>
      <c r="D2204" s="10" t="s">
        <v>760</v>
      </c>
      <c r="E2204" s="10">
        <v>0</v>
      </c>
      <c r="F2204" s="10">
        <v>0</v>
      </c>
      <c r="G2204" s="10">
        <v>0</v>
      </c>
      <c r="H2204" s="10">
        <v>0</v>
      </c>
      <c r="I2204" s="10" t="s">
        <v>21</v>
      </c>
      <c r="J2204" s="10">
        <v>0</v>
      </c>
      <c r="K2204" s="10">
        <v>0</v>
      </c>
      <c r="L2204" s="10">
        <v>0</v>
      </c>
      <c r="M2204" s="10">
        <v>0</v>
      </c>
      <c r="N2204" s="10" t="s">
        <v>761</v>
      </c>
      <c r="O2204" s="10" t="s">
        <v>2303</v>
      </c>
      <c r="P2204" s="105" t="e">
        <f t="shared" si="34"/>
        <v>#DIV/0!</v>
      </c>
    </row>
    <row r="2205" spans="1:16">
      <c r="A2205" s="10" t="s">
        <v>635</v>
      </c>
      <c r="B2205" s="10">
        <v>8703818</v>
      </c>
      <c r="C2205" s="10" t="s">
        <v>759</v>
      </c>
      <c r="D2205" s="10" t="s">
        <v>760</v>
      </c>
      <c r="E2205" s="10">
        <v>0</v>
      </c>
      <c r="F2205" s="10">
        <v>0</v>
      </c>
      <c r="G2205" s="10">
        <v>0</v>
      </c>
      <c r="H2205" s="10">
        <v>0</v>
      </c>
      <c r="I2205" s="10" t="s">
        <v>21</v>
      </c>
      <c r="J2205" s="10">
        <v>0</v>
      </c>
      <c r="K2205" s="10">
        <v>0</v>
      </c>
      <c r="L2205" s="10">
        <v>0</v>
      </c>
      <c r="M2205" s="10">
        <v>0</v>
      </c>
      <c r="N2205" s="10" t="s">
        <v>761</v>
      </c>
      <c r="O2205" s="10" t="s">
        <v>2304</v>
      </c>
      <c r="P2205" s="105" t="e">
        <f t="shared" si="34"/>
        <v>#DIV/0!</v>
      </c>
    </row>
    <row r="2206" spans="1:16">
      <c r="A2206" s="10" t="s">
        <v>635</v>
      </c>
      <c r="B2206" s="10">
        <v>8703819</v>
      </c>
      <c r="C2206" s="10" t="s">
        <v>759</v>
      </c>
      <c r="D2206" s="10" t="s">
        <v>760</v>
      </c>
      <c r="E2206" s="10">
        <v>0</v>
      </c>
      <c r="F2206" s="10">
        <v>0</v>
      </c>
      <c r="G2206" s="10">
        <v>0</v>
      </c>
      <c r="H2206" s="10">
        <v>0</v>
      </c>
      <c r="I2206" s="10" t="s">
        <v>21</v>
      </c>
      <c r="J2206" s="10">
        <v>0</v>
      </c>
      <c r="K2206" s="10">
        <v>0</v>
      </c>
      <c r="L2206" s="10">
        <v>0</v>
      </c>
      <c r="M2206" s="10">
        <v>0</v>
      </c>
      <c r="N2206" s="10" t="s">
        <v>761</v>
      </c>
      <c r="O2206" s="10" t="s">
        <v>2305</v>
      </c>
      <c r="P2206" s="105" t="e">
        <f t="shared" si="34"/>
        <v>#DIV/0!</v>
      </c>
    </row>
    <row r="2207" spans="1:16">
      <c r="A2207" s="10" t="s">
        <v>635</v>
      </c>
      <c r="B2207" s="10">
        <v>8703820</v>
      </c>
      <c r="C2207" s="10" t="s">
        <v>759</v>
      </c>
      <c r="D2207" s="10" t="s">
        <v>760</v>
      </c>
      <c r="E2207" s="10">
        <v>0</v>
      </c>
      <c r="F2207" s="10">
        <v>0</v>
      </c>
      <c r="G2207" s="10">
        <v>0</v>
      </c>
      <c r="H2207" s="10">
        <v>0</v>
      </c>
      <c r="I2207" s="10" t="s">
        <v>21</v>
      </c>
      <c r="J2207" s="10">
        <v>0</v>
      </c>
      <c r="K2207" s="10">
        <v>0</v>
      </c>
      <c r="L2207" s="10">
        <v>0</v>
      </c>
      <c r="M2207" s="10">
        <v>0</v>
      </c>
      <c r="N2207" s="10" t="s">
        <v>761</v>
      </c>
      <c r="O2207" s="10" t="s">
        <v>2306</v>
      </c>
      <c r="P2207" s="105" t="e">
        <f t="shared" si="34"/>
        <v>#DIV/0!</v>
      </c>
    </row>
    <row r="2208" spans="1:16">
      <c r="A2208" s="10" t="s">
        <v>635</v>
      </c>
      <c r="B2208" s="10">
        <v>8703823</v>
      </c>
      <c r="C2208" s="10" t="s">
        <v>759</v>
      </c>
      <c r="D2208" s="10" t="s">
        <v>760</v>
      </c>
      <c r="E2208" s="10">
        <v>0</v>
      </c>
      <c r="F2208" s="10">
        <v>0</v>
      </c>
      <c r="G2208" s="10">
        <v>0</v>
      </c>
      <c r="H2208" s="10">
        <v>0</v>
      </c>
      <c r="I2208" s="10" t="s">
        <v>26</v>
      </c>
      <c r="J2208" s="10">
        <v>0</v>
      </c>
      <c r="K2208" s="10">
        <v>0</v>
      </c>
      <c r="L2208" s="10">
        <v>0</v>
      </c>
      <c r="M2208" s="10">
        <v>0</v>
      </c>
      <c r="N2208" s="10" t="s">
        <v>761</v>
      </c>
      <c r="O2208" s="10" t="s">
        <v>2307</v>
      </c>
      <c r="P2208" s="105" t="e">
        <f t="shared" si="34"/>
        <v>#DIV/0!</v>
      </c>
    </row>
    <row r="2209" spans="1:16">
      <c r="A2209" s="10" t="s">
        <v>635</v>
      </c>
      <c r="B2209" s="10">
        <v>8703827</v>
      </c>
      <c r="C2209" s="10" t="s">
        <v>759</v>
      </c>
      <c r="D2209" s="10" t="s">
        <v>760</v>
      </c>
      <c r="E2209" s="10">
        <v>0</v>
      </c>
      <c r="F2209" s="10">
        <v>0</v>
      </c>
      <c r="G2209" s="10">
        <v>0</v>
      </c>
      <c r="H2209" s="10">
        <v>0</v>
      </c>
      <c r="I2209" s="10" t="s">
        <v>21</v>
      </c>
      <c r="J2209" s="10">
        <v>0</v>
      </c>
      <c r="K2209" s="10">
        <v>0</v>
      </c>
      <c r="L2209" s="10">
        <v>0</v>
      </c>
      <c r="M2209" s="10">
        <v>0</v>
      </c>
      <c r="N2209" s="10" t="s">
        <v>761</v>
      </c>
      <c r="O2209" s="10" t="s">
        <v>1270</v>
      </c>
      <c r="P2209" s="105" t="e">
        <f t="shared" si="34"/>
        <v>#DIV/0!</v>
      </c>
    </row>
    <row r="2210" spans="1:16">
      <c r="A2210" s="10" t="s">
        <v>635</v>
      </c>
      <c r="B2210" s="10">
        <v>8703833</v>
      </c>
      <c r="C2210" s="10" t="s">
        <v>759</v>
      </c>
      <c r="D2210" s="10" t="s">
        <v>760</v>
      </c>
      <c r="E2210" s="10">
        <v>0</v>
      </c>
      <c r="F2210" s="10">
        <v>0</v>
      </c>
      <c r="G2210" s="10">
        <v>0</v>
      </c>
      <c r="H2210" s="10">
        <v>0</v>
      </c>
      <c r="I2210" s="10" t="s">
        <v>21</v>
      </c>
      <c r="J2210" s="10">
        <v>0</v>
      </c>
      <c r="K2210" s="10">
        <v>0</v>
      </c>
      <c r="L2210" s="10">
        <v>0</v>
      </c>
      <c r="M2210" s="10">
        <v>0</v>
      </c>
      <c r="N2210" s="10" t="s">
        <v>761</v>
      </c>
      <c r="O2210" s="10" t="s">
        <v>2308</v>
      </c>
      <c r="P2210" s="105" t="e">
        <f t="shared" si="34"/>
        <v>#DIV/0!</v>
      </c>
    </row>
    <row r="2211" spans="1:16">
      <c r="A2211" s="10" t="s">
        <v>635</v>
      </c>
      <c r="B2211" s="10">
        <v>8703884</v>
      </c>
      <c r="C2211" s="10" t="s">
        <v>759</v>
      </c>
      <c r="D2211" s="10" t="s">
        <v>760</v>
      </c>
      <c r="E2211" s="10">
        <v>0</v>
      </c>
      <c r="F2211" s="10">
        <v>0</v>
      </c>
      <c r="G2211" s="10">
        <v>0</v>
      </c>
      <c r="H2211" s="10">
        <v>0</v>
      </c>
      <c r="I2211" s="10" t="s">
        <v>21</v>
      </c>
      <c r="J2211" s="10">
        <v>0</v>
      </c>
      <c r="K2211" s="10">
        <v>0</v>
      </c>
      <c r="L2211" s="10">
        <v>0</v>
      </c>
      <c r="M2211" s="10">
        <v>0</v>
      </c>
      <c r="N2211" s="10" t="s">
        <v>761</v>
      </c>
      <c r="O2211" s="10" t="s">
        <v>2309</v>
      </c>
      <c r="P2211" s="105" t="e">
        <f t="shared" si="34"/>
        <v>#DIV/0!</v>
      </c>
    </row>
    <row r="2212" spans="1:16">
      <c r="A2212" s="10" t="s">
        <v>635</v>
      </c>
      <c r="B2212" s="10">
        <v>8703897</v>
      </c>
      <c r="C2212" s="10" t="s">
        <v>759</v>
      </c>
      <c r="D2212" s="10" t="s">
        <v>760</v>
      </c>
      <c r="E2212" s="10">
        <v>0</v>
      </c>
      <c r="F2212" s="10">
        <v>0</v>
      </c>
      <c r="G2212" s="10">
        <v>0</v>
      </c>
      <c r="H2212" s="10">
        <v>0</v>
      </c>
      <c r="I2212" s="10" t="s">
        <v>21</v>
      </c>
      <c r="J2212" s="10">
        <v>0</v>
      </c>
      <c r="K2212" s="10">
        <v>0</v>
      </c>
      <c r="L2212" s="10">
        <v>0</v>
      </c>
      <c r="M2212" s="10">
        <v>0</v>
      </c>
      <c r="N2212" s="10" t="s">
        <v>761</v>
      </c>
      <c r="O2212" s="10" t="s">
        <v>2310</v>
      </c>
      <c r="P2212" s="105" t="e">
        <f t="shared" si="34"/>
        <v>#DIV/0!</v>
      </c>
    </row>
    <row r="2213" spans="1:16">
      <c r="A2213" s="10" t="s">
        <v>635</v>
      </c>
      <c r="B2213" s="10">
        <v>8703898</v>
      </c>
      <c r="C2213" s="10" t="s">
        <v>759</v>
      </c>
      <c r="D2213" s="10" t="s">
        <v>760</v>
      </c>
      <c r="E2213" s="10">
        <v>0</v>
      </c>
      <c r="F2213" s="10">
        <v>0</v>
      </c>
      <c r="G2213" s="10">
        <v>0</v>
      </c>
      <c r="H2213" s="10">
        <v>0</v>
      </c>
      <c r="I2213" s="10" t="s">
        <v>21</v>
      </c>
      <c r="J2213" s="10">
        <v>0</v>
      </c>
      <c r="K2213" s="10">
        <v>0</v>
      </c>
      <c r="L2213" s="10">
        <v>0</v>
      </c>
      <c r="M2213" s="10">
        <v>0</v>
      </c>
      <c r="N2213" s="10" t="s">
        <v>761</v>
      </c>
      <c r="O2213" s="10" t="s">
        <v>2311</v>
      </c>
      <c r="P2213" s="105" t="e">
        <f t="shared" si="34"/>
        <v>#DIV/0!</v>
      </c>
    </row>
    <row r="2214" spans="1:16">
      <c r="A2214" s="10" t="s">
        <v>635</v>
      </c>
      <c r="B2214" s="10">
        <v>8703945</v>
      </c>
      <c r="C2214" s="10" t="s">
        <v>759</v>
      </c>
      <c r="D2214" s="10" t="s">
        <v>760</v>
      </c>
      <c r="E2214" s="10">
        <v>0</v>
      </c>
      <c r="F2214" s="10">
        <v>0</v>
      </c>
      <c r="G2214" s="10">
        <v>0</v>
      </c>
      <c r="H2214" s="10">
        <v>0</v>
      </c>
      <c r="I2214" s="10" t="s">
        <v>21</v>
      </c>
      <c r="J2214" s="10">
        <v>0</v>
      </c>
      <c r="K2214" s="10">
        <v>0</v>
      </c>
      <c r="L2214" s="10">
        <v>0</v>
      </c>
      <c r="M2214" s="10">
        <v>0</v>
      </c>
      <c r="N2214" s="10" t="s">
        <v>761</v>
      </c>
      <c r="O2214" s="10" t="s">
        <v>2312</v>
      </c>
      <c r="P2214" s="105" t="e">
        <f t="shared" si="34"/>
        <v>#DIV/0!</v>
      </c>
    </row>
    <row r="2215" spans="1:16">
      <c r="A2215" s="10" t="s">
        <v>635</v>
      </c>
      <c r="B2215" s="10">
        <v>8703948</v>
      </c>
      <c r="C2215" s="10" t="s">
        <v>759</v>
      </c>
      <c r="D2215" s="10" t="s">
        <v>760</v>
      </c>
      <c r="E2215" s="10">
        <v>0</v>
      </c>
      <c r="F2215" s="10">
        <v>0</v>
      </c>
      <c r="G2215" s="10">
        <v>0</v>
      </c>
      <c r="H2215" s="10">
        <v>0</v>
      </c>
      <c r="I2215" s="10" t="s">
        <v>669</v>
      </c>
      <c r="J2215" s="10">
        <v>0</v>
      </c>
      <c r="K2215" s="10">
        <v>0</v>
      </c>
      <c r="L2215" s="10">
        <v>0</v>
      </c>
      <c r="M2215" s="10">
        <v>0</v>
      </c>
      <c r="N2215" s="10" t="s">
        <v>761</v>
      </c>
      <c r="O2215" s="10" t="s">
        <v>2313</v>
      </c>
      <c r="P2215" s="105" t="e">
        <f t="shared" si="34"/>
        <v>#DIV/0!</v>
      </c>
    </row>
    <row r="2216" spans="1:16">
      <c r="A2216" s="10" t="s">
        <v>635</v>
      </c>
      <c r="B2216" s="10">
        <v>8703971</v>
      </c>
      <c r="C2216" s="10" t="s">
        <v>759</v>
      </c>
      <c r="D2216" s="10" t="s">
        <v>760</v>
      </c>
      <c r="E2216" s="10">
        <v>0</v>
      </c>
      <c r="F2216" s="10">
        <v>0</v>
      </c>
      <c r="G2216" s="10">
        <v>0</v>
      </c>
      <c r="H2216" s="10">
        <v>0</v>
      </c>
      <c r="I2216" s="10" t="s">
        <v>21</v>
      </c>
      <c r="J2216" s="10">
        <v>0</v>
      </c>
      <c r="K2216" s="10">
        <v>0</v>
      </c>
      <c r="L2216" s="10">
        <v>0</v>
      </c>
      <c r="M2216" s="10">
        <v>0</v>
      </c>
      <c r="N2216" s="10" t="s">
        <v>761</v>
      </c>
      <c r="O2216" s="10" t="s">
        <v>1094</v>
      </c>
      <c r="P2216" s="105" t="e">
        <f t="shared" si="34"/>
        <v>#DIV/0!</v>
      </c>
    </row>
    <row r="2217" spans="1:16">
      <c r="A2217" s="10" t="s">
        <v>635</v>
      </c>
      <c r="B2217" s="10">
        <v>8703972</v>
      </c>
      <c r="C2217" s="10" t="s">
        <v>759</v>
      </c>
      <c r="D2217" s="10" t="s">
        <v>760</v>
      </c>
      <c r="E2217" s="10">
        <v>0</v>
      </c>
      <c r="F2217" s="10">
        <v>0</v>
      </c>
      <c r="G2217" s="10">
        <v>0</v>
      </c>
      <c r="H2217" s="10">
        <v>0</v>
      </c>
      <c r="I2217" s="10" t="s">
        <v>21</v>
      </c>
      <c r="J2217" s="10">
        <v>0</v>
      </c>
      <c r="K2217" s="10">
        <v>0</v>
      </c>
      <c r="L2217" s="10">
        <v>0</v>
      </c>
      <c r="M2217" s="10">
        <v>0</v>
      </c>
      <c r="N2217" s="10" t="s">
        <v>761</v>
      </c>
      <c r="O2217" s="10" t="s">
        <v>1101</v>
      </c>
      <c r="P2217" s="105" t="e">
        <f t="shared" si="34"/>
        <v>#DIV/0!</v>
      </c>
    </row>
    <row r="2218" spans="1:16">
      <c r="A2218" s="10" t="s">
        <v>635</v>
      </c>
      <c r="B2218" s="10">
        <v>8703997</v>
      </c>
      <c r="C2218" s="10" t="s">
        <v>759</v>
      </c>
      <c r="D2218" s="10" t="s">
        <v>760</v>
      </c>
      <c r="E2218" s="10">
        <v>0</v>
      </c>
      <c r="F2218" s="10">
        <v>0</v>
      </c>
      <c r="G2218" s="10">
        <v>0</v>
      </c>
      <c r="H2218" s="10">
        <v>0</v>
      </c>
      <c r="I2218" s="10" t="s">
        <v>802</v>
      </c>
      <c r="J2218" s="10">
        <v>0</v>
      </c>
      <c r="K2218" s="10">
        <v>0</v>
      </c>
      <c r="L2218" s="10">
        <v>0</v>
      </c>
      <c r="M2218" s="10">
        <v>0</v>
      </c>
      <c r="N2218" s="10" t="s">
        <v>761</v>
      </c>
      <c r="O2218" s="10" t="s">
        <v>2314</v>
      </c>
      <c r="P2218" s="105" t="e">
        <f t="shared" si="34"/>
        <v>#DIV/0!</v>
      </c>
    </row>
    <row r="2219" spans="1:16">
      <c r="A2219" s="10" t="s">
        <v>635</v>
      </c>
      <c r="B2219" s="10">
        <v>8703998</v>
      </c>
      <c r="C2219" s="10" t="s">
        <v>759</v>
      </c>
      <c r="D2219" s="10" t="s">
        <v>760</v>
      </c>
      <c r="E2219" s="10">
        <v>0</v>
      </c>
      <c r="F2219" s="10">
        <v>0</v>
      </c>
      <c r="G2219" s="10">
        <v>0</v>
      </c>
      <c r="H2219" s="10">
        <v>0</v>
      </c>
      <c r="I2219" s="10" t="s">
        <v>802</v>
      </c>
      <c r="J2219" s="10">
        <v>0</v>
      </c>
      <c r="K2219" s="10">
        <v>0</v>
      </c>
      <c r="L2219" s="10">
        <v>0</v>
      </c>
      <c r="M2219" s="10">
        <v>0</v>
      </c>
      <c r="N2219" s="10" t="s">
        <v>761</v>
      </c>
      <c r="O2219" s="10" t="s">
        <v>2315</v>
      </c>
      <c r="P2219" s="105" t="e">
        <f t="shared" si="34"/>
        <v>#DIV/0!</v>
      </c>
    </row>
    <row r="2220" spans="1:16">
      <c r="A2220" s="10" t="s">
        <v>635</v>
      </c>
      <c r="B2220" s="10">
        <v>8703999</v>
      </c>
      <c r="C2220" s="10" t="s">
        <v>759</v>
      </c>
      <c r="D2220" s="10" t="s">
        <v>760</v>
      </c>
      <c r="E2220" s="10">
        <v>0</v>
      </c>
      <c r="F2220" s="10">
        <v>0</v>
      </c>
      <c r="G2220" s="10">
        <v>0</v>
      </c>
      <c r="H2220" s="10">
        <v>0</v>
      </c>
      <c r="I2220" s="10" t="s">
        <v>802</v>
      </c>
      <c r="J2220" s="10">
        <v>0</v>
      </c>
      <c r="K2220" s="10">
        <v>0</v>
      </c>
      <c r="L2220" s="10">
        <v>0</v>
      </c>
      <c r="M2220" s="10">
        <v>0</v>
      </c>
      <c r="N2220" s="10" t="s">
        <v>761</v>
      </c>
      <c r="O2220" s="10" t="s">
        <v>1262</v>
      </c>
      <c r="P2220" s="105" t="e">
        <f t="shared" si="34"/>
        <v>#DIV/0!</v>
      </c>
    </row>
    <row r="2221" spans="1:16">
      <c r="A2221" s="10" t="s">
        <v>635</v>
      </c>
      <c r="B2221" s="10">
        <v>8704000</v>
      </c>
      <c r="C2221" s="10" t="s">
        <v>759</v>
      </c>
      <c r="D2221" s="10" t="s">
        <v>760</v>
      </c>
      <c r="E2221" s="10">
        <v>0</v>
      </c>
      <c r="F2221" s="10">
        <v>0</v>
      </c>
      <c r="G2221" s="10">
        <v>0</v>
      </c>
      <c r="H2221" s="10">
        <v>0</v>
      </c>
      <c r="I2221" s="10" t="s">
        <v>802</v>
      </c>
      <c r="J2221" s="10">
        <v>0</v>
      </c>
      <c r="K2221" s="10">
        <v>0</v>
      </c>
      <c r="L2221" s="10">
        <v>0</v>
      </c>
      <c r="M2221" s="10">
        <v>0</v>
      </c>
      <c r="N2221" s="10" t="s">
        <v>761</v>
      </c>
      <c r="O2221" s="10" t="s">
        <v>1261</v>
      </c>
      <c r="P2221" s="105" t="e">
        <f t="shared" si="34"/>
        <v>#DIV/0!</v>
      </c>
    </row>
    <row r="2222" spans="1:16">
      <c r="A2222" s="10" t="s">
        <v>635</v>
      </c>
      <c r="B2222" s="10">
        <v>8704005</v>
      </c>
      <c r="C2222" s="10" t="s">
        <v>759</v>
      </c>
      <c r="D2222" s="10" t="s">
        <v>760</v>
      </c>
      <c r="E2222" s="10">
        <v>0</v>
      </c>
      <c r="F2222" s="10">
        <v>0</v>
      </c>
      <c r="G2222" s="10">
        <v>0</v>
      </c>
      <c r="H2222" s="10">
        <v>0</v>
      </c>
      <c r="I2222" s="10" t="s">
        <v>30</v>
      </c>
      <c r="J2222" s="10">
        <v>0</v>
      </c>
      <c r="K2222" s="10">
        <v>0</v>
      </c>
      <c r="L2222" s="10">
        <v>0</v>
      </c>
      <c r="M2222" s="10">
        <v>0</v>
      </c>
      <c r="N2222" s="10" t="s">
        <v>761</v>
      </c>
      <c r="O2222" s="10" t="s">
        <v>2316</v>
      </c>
      <c r="P2222" s="105" t="e">
        <f t="shared" si="34"/>
        <v>#DIV/0!</v>
      </c>
    </row>
    <row r="2223" spans="1:16">
      <c r="A2223" s="10" t="s">
        <v>635</v>
      </c>
      <c r="B2223" s="10">
        <v>8704009</v>
      </c>
      <c r="C2223" s="10" t="s">
        <v>759</v>
      </c>
      <c r="D2223" s="10" t="s">
        <v>760</v>
      </c>
      <c r="E2223" s="10">
        <v>0</v>
      </c>
      <c r="F2223" s="10">
        <v>0</v>
      </c>
      <c r="G2223" s="10">
        <v>0</v>
      </c>
      <c r="H2223" s="10">
        <v>0</v>
      </c>
      <c r="I2223" s="10" t="s">
        <v>697</v>
      </c>
      <c r="J2223" s="10">
        <v>0</v>
      </c>
      <c r="K2223" s="10">
        <v>0</v>
      </c>
      <c r="L2223" s="10">
        <v>0</v>
      </c>
      <c r="M2223" s="10">
        <v>0</v>
      </c>
      <c r="N2223" s="10" t="s">
        <v>761</v>
      </c>
      <c r="O2223" s="10" t="s">
        <v>2317</v>
      </c>
      <c r="P2223" s="105" t="e">
        <f t="shared" si="34"/>
        <v>#DIV/0!</v>
      </c>
    </row>
    <row r="2224" spans="1:16">
      <c r="A2224" s="10" t="s">
        <v>635</v>
      </c>
      <c r="B2224" s="10">
        <v>8704016</v>
      </c>
      <c r="C2224" s="10" t="s">
        <v>759</v>
      </c>
      <c r="D2224" s="10" t="s">
        <v>760</v>
      </c>
      <c r="E2224" s="10">
        <v>0</v>
      </c>
      <c r="F2224" s="10">
        <v>0</v>
      </c>
      <c r="G2224" s="10">
        <v>0</v>
      </c>
      <c r="H2224" s="10">
        <v>0</v>
      </c>
      <c r="I2224" s="10" t="s">
        <v>697</v>
      </c>
      <c r="J2224" s="10">
        <v>0</v>
      </c>
      <c r="K2224" s="10">
        <v>0</v>
      </c>
      <c r="L2224" s="10">
        <v>0</v>
      </c>
      <c r="M2224" s="10">
        <v>0</v>
      </c>
      <c r="N2224" s="10" t="s">
        <v>761</v>
      </c>
      <c r="O2224" s="10" t="s">
        <v>2318</v>
      </c>
      <c r="P2224" s="105" t="e">
        <f t="shared" si="34"/>
        <v>#DIV/0!</v>
      </c>
    </row>
    <row r="2225" spans="1:16">
      <c r="A2225" s="10" t="s">
        <v>635</v>
      </c>
      <c r="B2225" s="10">
        <v>8704021</v>
      </c>
      <c r="C2225" s="10" t="s">
        <v>759</v>
      </c>
      <c r="D2225" s="10" t="s">
        <v>760</v>
      </c>
      <c r="E2225" s="10">
        <v>0</v>
      </c>
      <c r="F2225" s="10">
        <v>0</v>
      </c>
      <c r="G2225" s="10">
        <v>0</v>
      </c>
      <c r="H2225" s="10">
        <v>0</v>
      </c>
      <c r="I2225" s="10" t="s">
        <v>697</v>
      </c>
      <c r="J2225" s="10">
        <v>0</v>
      </c>
      <c r="K2225" s="10">
        <v>0</v>
      </c>
      <c r="L2225" s="10">
        <v>0</v>
      </c>
      <c r="M2225" s="10">
        <v>0</v>
      </c>
      <c r="N2225" s="10" t="s">
        <v>761</v>
      </c>
      <c r="O2225" s="10" t="s">
        <v>2319</v>
      </c>
      <c r="P2225" s="105" t="e">
        <f t="shared" si="34"/>
        <v>#DIV/0!</v>
      </c>
    </row>
    <row r="2226" spans="1:16">
      <c r="A2226" s="10" t="s">
        <v>635</v>
      </c>
      <c r="B2226" s="10">
        <v>8704056</v>
      </c>
      <c r="C2226" s="10" t="s">
        <v>759</v>
      </c>
      <c r="D2226" s="10" t="s">
        <v>760</v>
      </c>
      <c r="E2226" s="10">
        <v>0</v>
      </c>
      <c r="F2226" s="10">
        <v>0</v>
      </c>
      <c r="G2226" s="10">
        <v>0</v>
      </c>
      <c r="H2226" s="10">
        <v>0</v>
      </c>
      <c r="I2226" s="10" t="s">
        <v>26</v>
      </c>
      <c r="J2226" s="10">
        <v>0</v>
      </c>
      <c r="K2226" s="10">
        <v>0</v>
      </c>
      <c r="L2226" s="10">
        <v>0</v>
      </c>
      <c r="M2226" s="10">
        <v>0</v>
      </c>
      <c r="N2226" s="10" t="s">
        <v>761</v>
      </c>
      <c r="O2226" s="10" t="s">
        <v>2320</v>
      </c>
      <c r="P2226" s="105" t="e">
        <f t="shared" si="34"/>
        <v>#DIV/0!</v>
      </c>
    </row>
    <row r="2227" spans="1:16">
      <c r="A2227" s="10" t="s">
        <v>635</v>
      </c>
      <c r="B2227" s="10">
        <v>8704070</v>
      </c>
      <c r="C2227" s="10" t="s">
        <v>759</v>
      </c>
      <c r="D2227" s="10" t="s">
        <v>760</v>
      </c>
      <c r="E2227" s="10">
        <v>0</v>
      </c>
      <c r="F2227" s="10">
        <v>0</v>
      </c>
      <c r="G2227" s="10">
        <v>0</v>
      </c>
      <c r="H2227" s="10">
        <v>0</v>
      </c>
      <c r="I2227" s="10" t="s">
        <v>21</v>
      </c>
      <c r="J2227" s="10">
        <v>0</v>
      </c>
      <c r="K2227" s="10">
        <v>0</v>
      </c>
      <c r="L2227" s="10">
        <v>0</v>
      </c>
      <c r="M2227" s="10">
        <v>0</v>
      </c>
      <c r="N2227" s="10" t="s">
        <v>761</v>
      </c>
      <c r="O2227" s="10" t="s">
        <v>162</v>
      </c>
      <c r="P2227" s="105" t="e">
        <f t="shared" si="34"/>
        <v>#DIV/0!</v>
      </c>
    </row>
    <row r="2228" spans="1:16">
      <c r="A2228" s="10" t="s">
        <v>635</v>
      </c>
      <c r="B2228" s="10">
        <v>8704074</v>
      </c>
      <c r="C2228" s="10" t="s">
        <v>759</v>
      </c>
      <c r="D2228" s="10" t="s">
        <v>760</v>
      </c>
      <c r="E2228" s="10">
        <v>0</v>
      </c>
      <c r="F2228" s="10">
        <v>0</v>
      </c>
      <c r="G2228" s="10">
        <v>0</v>
      </c>
      <c r="H2228" s="10">
        <v>0</v>
      </c>
      <c r="I2228" s="10" t="s">
        <v>21</v>
      </c>
      <c r="J2228" s="10">
        <v>0</v>
      </c>
      <c r="K2228" s="10">
        <v>0</v>
      </c>
      <c r="L2228" s="10">
        <v>0</v>
      </c>
      <c r="M2228" s="10">
        <v>0</v>
      </c>
      <c r="N2228" s="10" t="s">
        <v>761</v>
      </c>
      <c r="O2228" s="10" t="s">
        <v>1133</v>
      </c>
      <c r="P2228" s="105" t="e">
        <f t="shared" si="34"/>
        <v>#DIV/0!</v>
      </c>
    </row>
    <row r="2229" spans="1:16">
      <c r="A2229" s="10" t="s">
        <v>635</v>
      </c>
      <c r="B2229" s="10">
        <v>8704080</v>
      </c>
      <c r="C2229" s="10" t="s">
        <v>759</v>
      </c>
      <c r="D2229" s="10" t="s">
        <v>760</v>
      </c>
      <c r="E2229" s="10">
        <v>10</v>
      </c>
      <c r="F2229" s="10">
        <v>0</v>
      </c>
      <c r="G2229" s="10">
        <v>0</v>
      </c>
      <c r="H2229" s="10">
        <v>10</v>
      </c>
      <c r="I2229" s="10" t="s">
        <v>21</v>
      </c>
      <c r="J2229" s="10">
        <v>92.98</v>
      </c>
      <c r="K2229" s="10">
        <v>0</v>
      </c>
      <c r="L2229" s="10">
        <v>0</v>
      </c>
      <c r="M2229" s="10">
        <v>92.98</v>
      </c>
      <c r="N2229" s="10" t="s">
        <v>761</v>
      </c>
      <c r="O2229" s="10" t="s">
        <v>543</v>
      </c>
      <c r="P2229" s="105">
        <f t="shared" si="34"/>
        <v>9.298</v>
      </c>
    </row>
    <row r="2230" spans="1:16">
      <c r="A2230" s="10" t="s">
        <v>635</v>
      </c>
      <c r="B2230" s="10">
        <v>8704084</v>
      </c>
      <c r="C2230" s="10" t="s">
        <v>759</v>
      </c>
      <c r="D2230" s="10" t="s">
        <v>760</v>
      </c>
      <c r="E2230" s="10">
        <v>0</v>
      </c>
      <c r="F2230" s="10">
        <v>0</v>
      </c>
      <c r="G2230" s="10">
        <v>0</v>
      </c>
      <c r="H2230" s="10">
        <v>0</v>
      </c>
      <c r="I2230" s="10" t="s">
        <v>711</v>
      </c>
      <c r="J2230" s="10">
        <v>0</v>
      </c>
      <c r="K2230" s="10">
        <v>0</v>
      </c>
      <c r="L2230" s="10">
        <v>0</v>
      </c>
      <c r="M2230" s="10">
        <v>0</v>
      </c>
      <c r="N2230" s="10" t="s">
        <v>761</v>
      </c>
      <c r="O2230" s="10" t="s">
        <v>2321</v>
      </c>
      <c r="P2230" s="105" t="e">
        <f t="shared" si="34"/>
        <v>#DIV/0!</v>
      </c>
    </row>
    <row r="2231" spans="1:16">
      <c r="A2231" s="10" t="s">
        <v>635</v>
      </c>
      <c r="B2231" s="10">
        <v>8704088</v>
      </c>
      <c r="C2231" s="10" t="s">
        <v>759</v>
      </c>
      <c r="D2231" s="10" t="s">
        <v>760</v>
      </c>
      <c r="E2231" s="10">
        <v>0</v>
      </c>
      <c r="F2231" s="10">
        <v>0</v>
      </c>
      <c r="G2231" s="10">
        <v>0</v>
      </c>
      <c r="H2231" s="10">
        <v>0</v>
      </c>
      <c r="I2231" s="10" t="s">
        <v>30</v>
      </c>
      <c r="J2231" s="10">
        <v>0</v>
      </c>
      <c r="K2231" s="10">
        <v>0</v>
      </c>
      <c r="L2231" s="10">
        <v>0</v>
      </c>
      <c r="M2231" s="10">
        <v>0</v>
      </c>
      <c r="N2231" s="10" t="s">
        <v>761</v>
      </c>
      <c r="O2231" s="10" t="s">
        <v>1308</v>
      </c>
      <c r="P2231" s="105" t="e">
        <f t="shared" si="34"/>
        <v>#DIV/0!</v>
      </c>
    </row>
    <row r="2232" spans="1:16">
      <c r="A2232" s="10" t="s">
        <v>635</v>
      </c>
      <c r="B2232" s="10">
        <v>8704091</v>
      </c>
      <c r="C2232" s="10" t="s">
        <v>759</v>
      </c>
      <c r="D2232" s="10" t="s">
        <v>760</v>
      </c>
      <c r="E2232" s="10">
        <v>0</v>
      </c>
      <c r="F2232" s="103">
        <v>1000</v>
      </c>
      <c r="G2232" s="10">
        <v>0</v>
      </c>
      <c r="H2232" s="103">
        <v>1000</v>
      </c>
      <c r="I2232" s="10" t="s">
        <v>21</v>
      </c>
      <c r="J2232" s="10">
        <v>0</v>
      </c>
      <c r="K2232" s="10">
        <v>357.97</v>
      </c>
      <c r="L2232" s="10">
        <v>0</v>
      </c>
      <c r="M2232" s="10">
        <v>357.97</v>
      </c>
      <c r="N2232" s="10" t="s">
        <v>761</v>
      </c>
      <c r="O2232" s="10" t="s">
        <v>220</v>
      </c>
      <c r="P2232" s="105">
        <f t="shared" si="34"/>
        <v>0.35797</v>
      </c>
    </row>
    <row r="2233" spans="1:16">
      <c r="A2233" s="10" t="s">
        <v>635</v>
      </c>
      <c r="B2233" s="10">
        <v>8704092</v>
      </c>
      <c r="C2233" s="10" t="s">
        <v>759</v>
      </c>
      <c r="D2233" s="10" t="s">
        <v>760</v>
      </c>
      <c r="E2233" s="10">
        <v>900</v>
      </c>
      <c r="F2233" s="10">
        <v>0</v>
      </c>
      <c r="G2233" s="10">
        <v>0</v>
      </c>
      <c r="H2233" s="10">
        <v>900</v>
      </c>
      <c r="I2233" s="10" t="s">
        <v>21</v>
      </c>
      <c r="J2233" s="10">
        <v>190.75</v>
      </c>
      <c r="K2233" s="10">
        <v>0</v>
      </c>
      <c r="L2233" s="10">
        <v>0</v>
      </c>
      <c r="M2233" s="10">
        <v>190.75</v>
      </c>
      <c r="N2233" s="10" t="s">
        <v>761</v>
      </c>
      <c r="O2233" s="10" t="s">
        <v>449</v>
      </c>
      <c r="P2233" s="105">
        <f t="shared" si="34"/>
        <v>0.211944444444444</v>
      </c>
    </row>
    <row r="2234" spans="1:16">
      <c r="A2234" s="10" t="s">
        <v>635</v>
      </c>
      <c r="B2234" s="10">
        <v>8704093</v>
      </c>
      <c r="C2234" s="10" t="s">
        <v>759</v>
      </c>
      <c r="D2234" s="10" t="s">
        <v>760</v>
      </c>
      <c r="E2234" s="10">
        <v>0</v>
      </c>
      <c r="F2234" s="103">
        <v>8000</v>
      </c>
      <c r="G2234" s="10">
        <v>0</v>
      </c>
      <c r="H2234" s="103">
        <v>8000</v>
      </c>
      <c r="I2234" s="10" t="s">
        <v>21</v>
      </c>
      <c r="J2234" s="10">
        <v>0</v>
      </c>
      <c r="K2234" s="10">
        <v>517.88</v>
      </c>
      <c r="L2234" s="10">
        <v>0</v>
      </c>
      <c r="M2234" s="10">
        <v>517.88</v>
      </c>
      <c r="N2234" s="10" t="s">
        <v>761</v>
      </c>
      <c r="O2234" s="10" t="s">
        <v>140</v>
      </c>
      <c r="P2234" s="105">
        <f t="shared" si="34"/>
        <v>0.064735</v>
      </c>
    </row>
    <row r="2235" spans="1:16">
      <c r="A2235" s="10" t="s">
        <v>635</v>
      </c>
      <c r="B2235" s="10">
        <v>8704095</v>
      </c>
      <c r="C2235" s="10" t="s">
        <v>759</v>
      </c>
      <c r="D2235" s="10" t="s">
        <v>760</v>
      </c>
      <c r="E2235" s="10">
        <v>36</v>
      </c>
      <c r="F2235" s="10">
        <v>0</v>
      </c>
      <c r="G2235" s="10">
        <v>0</v>
      </c>
      <c r="H2235" s="10">
        <v>36</v>
      </c>
      <c r="I2235" s="10" t="s">
        <v>30</v>
      </c>
      <c r="J2235" s="10">
        <v>198.22</v>
      </c>
      <c r="K2235" s="10">
        <v>0</v>
      </c>
      <c r="L2235" s="10">
        <v>0</v>
      </c>
      <c r="M2235" s="10">
        <v>198.22</v>
      </c>
      <c r="N2235" s="10" t="s">
        <v>761</v>
      </c>
      <c r="O2235" s="10" t="s">
        <v>240</v>
      </c>
      <c r="P2235" s="105">
        <f t="shared" si="34"/>
        <v>5.50611111111111</v>
      </c>
    </row>
    <row r="2236" spans="1:16">
      <c r="A2236" s="10" t="s">
        <v>635</v>
      </c>
      <c r="B2236" s="10">
        <v>8704096</v>
      </c>
      <c r="C2236" s="10" t="s">
        <v>759</v>
      </c>
      <c r="D2236" s="10" t="s">
        <v>760</v>
      </c>
      <c r="E2236" s="10">
        <v>98</v>
      </c>
      <c r="F2236" s="10">
        <v>392</v>
      </c>
      <c r="G2236" s="10">
        <v>0</v>
      </c>
      <c r="H2236" s="10">
        <v>490</v>
      </c>
      <c r="I2236" s="10" t="s">
        <v>30</v>
      </c>
      <c r="J2236" s="10">
        <v>407.21</v>
      </c>
      <c r="K2236" s="103">
        <v>1574.27</v>
      </c>
      <c r="L2236" s="10">
        <v>0</v>
      </c>
      <c r="M2236" s="103">
        <v>1981.48</v>
      </c>
      <c r="N2236" s="10" t="s">
        <v>761</v>
      </c>
      <c r="O2236" s="10" t="s">
        <v>28</v>
      </c>
      <c r="P2236" s="105">
        <f t="shared" si="34"/>
        <v>4.04383673469388</v>
      </c>
    </row>
    <row r="2237" spans="1:16">
      <c r="A2237" s="10" t="s">
        <v>635</v>
      </c>
      <c r="B2237" s="10">
        <v>8704101</v>
      </c>
      <c r="C2237" s="10" t="s">
        <v>759</v>
      </c>
      <c r="D2237" s="10" t="s">
        <v>760</v>
      </c>
      <c r="E2237" s="10">
        <v>0</v>
      </c>
      <c r="F2237" s="10">
        <v>0</v>
      </c>
      <c r="G2237" s="10">
        <v>0</v>
      </c>
      <c r="H2237" s="10">
        <v>0</v>
      </c>
      <c r="I2237" s="10" t="s">
        <v>21</v>
      </c>
      <c r="J2237" s="10">
        <v>0</v>
      </c>
      <c r="K2237" s="10">
        <v>0</v>
      </c>
      <c r="L2237" s="10">
        <v>0</v>
      </c>
      <c r="M2237" s="10">
        <v>0</v>
      </c>
      <c r="N2237" s="10" t="s">
        <v>761</v>
      </c>
      <c r="O2237" s="10">
        <v>208012</v>
      </c>
      <c r="P2237" s="105" t="e">
        <f t="shared" si="34"/>
        <v>#DIV/0!</v>
      </c>
    </row>
    <row r="2238" spans="1:16">
      <c r="A2238" s="10" t="s">
        <v>635</v>
      </c>
      <c r="B2238" s="10">
        <v>8704102</v>
      </c>
      <c r="C2238" s="10" t="s">
        <v>759</v>
      </c>
      <c r="D2238" s="10" t="s">
        <v>760</v>
      </c>
      <c r="E2238" s="10">
        <v>0</v>
      </c>
      <c r="F2238" s="10">
        <v>0</v>
      </c>
      <c r="G2238" s="10">
        <v>0</v>
      </c>
      <c r="H2238" s="10">
        <v>0</v>
      </c>
      <c r="I2238" s="10" t="s">
        <v>669</v>
      </c>
      <c r="J2238" s="10">
        <v>0</v>
      </c>
      <c r="K2238" s="10">
        <v>0</v>
      </c>
      <c r="L2238" s="10">
        <v>0</v>
      </c>
      <c r="M2238" s="10">
        <v>0</v>
      </c>
      <c r="N2238" s="10" t="s">
        <v>761</v>
      </c>
      <c r="O2238" s="10" t="s">
        <v>2322</v>
      </c>
      <c r="P2238" s="105" t="e">
        <f t="shared" si="34"/>
        <v>#DIV/0!</v>
      </c>
    </row>
    <row r="2239" spans="1:16">
      <c r="A2239" s="10" t="s">
        <v>635</v>
      </c>
      <c r="B2239" s="10">
        <v>8704109</v>
      </c>
      <c r="C2239" s="10" t="s">
        <v>759</v>
      </c>
      <c r="D2239" s="10" t="s">
        <v>760</v>
      </c>
      <c r="E2239" s="10">
        <v>0</v>
      </c>
      <c r="F2239" s="10">
        <v>0</v>
      </c>
      <c r="G2239" s="10">
        <v>0</v>
      </c>
      <c r="H2239" s="10">
        <v>0</v>
      </c>
      <c r="I2239" s="10" t="s">
        <v>138</v>
      </c>
      <c r="J2239" s="10">
        <v>0</v>
      </c>
      <c r="K2239" s="10">
        <v>0</v>
      </c>
      <c r="L2239" s="10">
        <v>0</v>
      </c>
      <c r="M2239" s="10">
        <v>0</v>
      </c>
      <c r="N2239" s="10" t="s">
        <v>761</v>
      </c>
      <c r="O2239" s="10" t="s">
        <v>2323</v>
      </c>
      <c r="P2239" s="105" t="e">
        <f t="shared" si="34"/>
        <v>#DIV/0!</v>
      </c>
    </row>
    <row r="2240" spans="1:16">
      <c r="A2240" s="10" t="s">
        <v>635</v>
      </c>
      <c r="B2240" s="10">
        <v>8704126</v>
      </c>
      <c r="C2240" s="10" t="s">
        <v>759</v>
      </c>
      <c r="D2240" s="10" t="s">
        <v>760</v>
      </c>
      <c r="E2240" s="10">
        <v>0</v>
      </c>
      <c r="F2240" s="10">
        <v>0</v>
      </c>
      <c r="G2240" s="10">
        <v>0</v>
      </c>
      <c r="H2240" s="10">
        <v>0</v>
      </c>
      <c r="I2240" s="10" t="s">
        <v>21</v>
      </c>
      <c r="J2240" s="10">
        <v>0</v>
      </c>
      <c r="K2240" s="10">
        <v>0</v>
      </c>
      <c r="L2240" s="10">
        <v>0</v>
      </c>
      <c r="M2240" s="10">
        <v>0</v>
      </c>
      <c r="N2240" s="10" t="s">
        <v>761</v>
      </c>
      <c r="O2240" s="10" t="s">
        <v>2324</v>
      </c>
      <c r="P2240" s="105" t="e">
        <f t="shared" si="34"/>
        <v>#DIV/0!</v>
      </c>
    </row>
    <row r="2241" spans="1:16">
      <c r="A2241" s="10" t="s">
        <v>635</v>
      </c>
      <c r="B2241" s="10">
        <v>8704127</v>
      </c>
      <c r="C2241" s="10" t="s">
        <v>759</v>
      </c>
      <c r="D2241" s="10" t="s">
        <v>760</v>
      </c>
      <c r="E2241" s="10">
        <v>0</v>
      </c>
      <c r="F2241" s="10">
        <v>0</v>
      </c>
      <c r="G2241" s="10">
        <v>0</v>
      </c>
      <c r="H2241" s="10">
        <v>0</v>
      </c>
      <c r="I2241" s="10" t="s">
        <v>21</v>
      </c>
      <c r="J2241" s="10">
        <v>0</v>
      </c>
      <c r="K2241" s="10">
        <v>0</v>
      </c>
      <c r="L2241" s="10">
        <v>0</v>
      </c>
      <c r="M2241" s="10">
        <v>0</v>
      </c>
      <c r="N2241" s="10" t="s">
        <v>761</v>
      </c>
      <c r="O2241" s="10" t="s">
        <v>2325</v>
      </c>
      <c r="P2241" s="105" t="e">
        <f t="shared" si="34"/>
        <v>#DIV/0!</v>
      </c>
    </row>
    <row r="2242" spans="1:16">
      <c r="A2242" s="10" t="s">
        <v>635</v>
      </c>
      <c r="B2242" s="10">
        <v>8704128</v>
      </c>
      <c r="C2242" s="10" t="s">
        <v>759</v>
      </c>
      <c r="D2242" s="10" t="s">
        <v>760</v>
      </c>
      <c r="E2242" s="10">
        <v>0</v>
      </c>
      <c r="F2242" s="10">
        <v>0</v>
      </c>
      <c r="G2242" s="10">
        <v>0</v>
      </c>
      <c r="H2242" s="10">
        <v>0</v>
      </c>
      <c r="I2242" s="10" t="s">
        <v>21</v>
      </c>
      <c r="J2242" s="10">
        <v>0</v>
      </c>
      <c r="K2242" s="10">
        <v>0</v>
      </c>
      <c r="L2242" s="10">
        <v>0</v>
      </c>
      <c r="M2242" s="10">
        <v>0</v>
      </c>
      <c r="N2242" s="10" t="s">
        <v>761</v>
      </c>
      <c r="O2242" s="10" t="s">
        <v>2326</v>
      </c>
      <c r="P2242" s="105" t="e">
        <f t="shared" si="34"/>
        <v>#DIV/0!</v>
      </c>
    </row>
    <row r="2243" spans="1:16">
      <c r="A2243" s="10" t="s">
        <v>635</v>
      </c>
      <c r="B2243" s="10">
        <v>8704129</v>
      </c>
      <c r="C2243" s="10" t="s">
        <v>759</v>
      </c>
      <c r="D2243" s="10" t="s">
        <v>760</v>
      </c>
      <c r="E2243" s="10">
        <v>0</v>
      </c>
      <c r="F2243" s="10">
        <v>0</v>
      </c>
      <c r="G2243" s="10">
        <v>0</v>
      </c>
      <c r="H2243" s="10">
        <v>0</v>
      </c>
      <c r="I2243" s="10" t="s">
        <v>21</v>
      </c>
      <c r="J2243" s="10">
        <v>0</v>
      </c>
      <c r="K2243" s="10">
        <v>0</v>
      </c>
      <c r="L2243" s="10">
        <v>0</v>
      </c>
      <c r="M2243" s="10">
        <v>0</v>
      </c>
      <c r="N2243" s="10" t="s">
        <v>761</v>
      </c>
      <c r="O2243" s="10" t="s">
        <v>2327</v>
      </c>
      <c r="P2243" s="105" t="e">
        <f t="shared" ref="P2243:P2306" si="35">M2243/H2243</f>
        <v>#DIV/0!</v>
      </c>
    </row>
    <row r="2244" spans="16:16">
      <c r="P2244" s="105" t="e">
        <f t="shared" si="35"/>
        <v>#DIV/0!</v>
      </c>
    </row>
    <row r="2245" spans="16:16">
      <c r="P2245" s="105" t="e">
        <f t="shared" si="35"/>
        <v>#DIV/0!</v>
      </c>
    </row>
    <row r="2246" spans="16:16">
      <c r="P2246" s="105" t="e">
        <f t="shared" si="35"/>
        <v>#DIV/0!</v>
      </c>
    </row>
    <row r="2247" spans="16:16">
      <c r="P2247" s="105" t="e">
        <f t="shared" si="35"/>
        <v>#DIV/0!</v>
      </c>
    </row>
    <row r="2248" spans="16:16">
      <c r="P2248" s="105" t="e">
        <f t="shared" si="35"/>
        <v>#DIV/0!</v>
      </c>
    </row>
    <row r="2249" spans="16:16">
      <c r="P2249" s="105" t="e">
        <f t="shared" si="35"/>
        <v>#DIV/0!</v>
      </c>
    </row>
    <row r="2250" spans="16:16">
      <c r="P2250" s="105" t="e">
        <f t="shared" si="35"/>
        <v>#DIV/0!</v>
      </c>
    </row>
    <row r="2251" spans="16:16">
      <c r="P2251" s="105" t="e">
        <f t="shared" si="35"/>
        <v>#DIV/0!</v>
      </c>
    </row>
    <row r="2252" spans="16:16">
      <c r="P2252" s="105" t="e">
        <f t="shared" si="35"/>
        <v>#DIV/0!</v>
      </c>
    </row>
    <row r="2253" spans="16:16">
      <c r="P2253" s="105" t="e">
        <f t="shared" si="35"/>
        <v>#DIV/0!</v>
      </c>
    </row>
    <row r="2254" spans="16:16">
      <c r="P2254" s="105" t="e">
        <f t="shared" si="35"/>
        <v>#DIV/0!</v>
      </c>
    </row>
    <row r="2255" spans="16:16">
      <c r="P2255" s="105" t="e">
        <f t="shared" si="35"/>
        <v>#DIV/0!</v>
      </c>
    </row>
    <row r="2256" spans="16:16">
      <c r="P2256" s="105" t="e">
        <f t="shared" si="35"/>
        <v>#DIV/0!</v>
      </c>
    </row>
    <row r="2257" spans="16:16">
      <c r="P2257" s="105" t="e">
        <f t="shared" si="35"/>
        <v>#DIV/0!</v>
      </c>
    </row>
    <row r="2258" spans="16:16">
      <c r="P2258" s="105" t="e">
        <f t="shared" si="35"/>
        <v>#DIV/0!</v>
      </c>
    </row>
    <row r="2259" spans="16:16">
      <c r="P2259" s="105" t="e">
        <f t="shared" si="35"/>
        <v>#DIV/0!</v>
      </c>
    </row>
    <row r="2260" spans="16:16">
      <c r="P2260" s="105" t="e">
        <f t="shared" si="35"/>
        <v>#DIV/0!</v>
      </c>
    </row>
    <row r="2261" spans="16:16">
      <c r="P2261" s="105" t="e">
        <f t="shared" si="35"/>
        <v>#DIV/0!</v>
      </c>
    </row>
    <row r="2262" spans="16:16">
      <c r="P2262" s="105" t="e">
        <f t="shared" si="35"/>
        <v>#DIV/0!</v>
      </c>
    </row>
    <row r="2263" spans="16:16">
      <c r="P2263" s="105" t="e">
        <f t="shared" si="35"/>
        <v>#DIV/0!</v>
      </c>
    </row>
    <row r="2264" spans="16:16">
      <c r="P2264" s="105" t="e">
        <f t="shared" si="35"/>
        <v>#DIV/0!</v>
      </c>
    </row>
    <row r="2265" spans="16:16">
      <c r="P2265" s="105" t="e">
        <f t="shared" si="35"/>
        <v>#DIV/0!</v>
      </c>
    </row>
    <row r="2266" spans="16:16">
      <c r="P2266" s="105" t="e">
        <f t="shared" si="35"/>
        <v>#DIV/0!</v>
      </c>
    </row>
    <row r="2267" spans="16:16">
      <c r="P2267" s="105" t="e">
        <f t="shared" si="35"/>
        <v>#DIV/0!</v>
      </c>
    </row>
    <row r="2268" spans="16:16">
      <c r="P2268" s="105" t="e">
        <f t="shared" si="35"/>
        <v>#DIV/0!</v>
      </c>
    </row>
    <row r="2269" spans="16:16">
      <c r="P2269" s="105" t="e">
        <f t="shared" si="35"/>
        <v>#DIV/0!</v>
      </c>
    </row>
    <row r="2270" spans="16:16">
      <c r="P2270" s="105" t="e">
        <f t="shared" si="35"/>
        <v>#DIV/0!</v>
      </c>
    </row>
    <row r="2271" spans="16:16">
      <c r="P2271" s="105" t="e">
        <f t="shared" si="35"/>
        <v>#DIV/0!</v>
      </c>
    </row>
    <row r="2272" spans="16:16">
      <c r="P2272" s="105" t="e">
        <f t="shared" si="35"/>
        <v>#DIV/0!</v>
      </c>
    </row>
    <row r="2273" spans="16:16">
      <c r="P2273" s="105" t="e">
        <f t="shared" si="35"/>
        <v>#DIV/0!</v>
      </c>
    </row>
    <row r="2274" spans="16:16">
      <c r="P2274" s="105" t="e">
        <f t="shared" si="35"/>
        <v>#DIV/0!</v>
      </c>
    </row>
    <row r="2275" spans="16:16">
      <c r="P2275" s="105" t="e">
        <f t="shared" si="35"/>
        <v>#DIV/0!</v>
      </c>
    </row>
    <row r="2276" spans="16:16">
      <c r="P2276" s="105" t="e">
        <f t="shared" si="35"/>
        <v>#DIV/0!</v>
      </c>
    </row>
    <row r="2277" spans="16:16">
      <c r="P2277" s="105" t="e">
        <f t="shared" si="35"/>
        <v>#DIV/0!</v>
      </c>
    </row>
    <row r="2278" spans="16:16">
      <c r="P2278" s="105" t="e">
        <f t="shared" si="35"/>
        <v>#DIV/0!</v>
      </c>
    </row>
    <row r="2279" spans="16:16">
      <c r="P2279" s="105" t="e">
        <f t="shared" si="35"/>
        <v>#DIV/0!</v>
      </c>
    </row>
    <row r="2280" spans="16:16">
      <c r="P2280" s="105" t="e">
        <f t="shared" si="35"/>
        <v>#DIV/0!</v>
      </c>
    </row>
    <row r="2281" spans="16:16">
      <c r="P2281" s="105" t="e">
        <f t="shared" si="35"/>
        <v>#DIV/0!</v>
      </c>
    </row>
    <row r="2282" spans="16:16">
      <c r="P2282" s="105" t="e">
        <f t="shared" si="35"/>
        <v>#DIV/0!</v>
      </c>
    </row>
    <row r="2283" spans="16:16">
      <c r="P2283" s="105" t="e">
        <f t="shared" si="35"/>
        <v>#DIV/0!</v>
      </c>
    </row>
    <row r="2284" spans="16:16">
      <c r="P2284" s="105" t="e">
        <f t="shared" si="35"/>
        <v>#DIV/0!</v>
      </c>
    </row>
    <row r="2285" spans="16:16">
      <c r="P2285" s="105" t="e">
        <f t="shared" si="35"/>
        <v>#DIV/0!</v>
      </c>
    </row>
    <row r="2286" spans="16:16">
      <c r="P2286" s="105" t="e">
        <f t="shared" si="35"/>
        <v>#DIV/0!</v>
      </c>
    </row>
    <row r="2287" spans="16:16">
      <c r="P2287" s="105" t="e">
        <f t="shared" si="35"/>
        <v>#DIV/0!</v>
      </c>
    </row>
    <row r="2288" spans="16:16">
      <c r="P2288" s="105" t="e">
        <f t="shared" si="35"/>
        <v>#DIV/0!</v>
      </c>
    </row>
    <row r="2289" spans="16:16">
      <c r="P2289" s="105" t="e">
        <f t="shared" si="35"/>
        <v>#DIV/0!</v>
      </c>
    </row>
    <row r="2290" spans="16:16">
      <c r="P2290" s="105" t="e">
        <f t="shared" si="35"/>
        <v>#DIV/0!</v>
      </c>
    </row>
    <row r="2291" spans="16:16">
      <c r="P2291" s="105" t="e">
        <f t="shared" si="35"/>
        <v>#DIV/0!</v>
      </c>
    </row>
    <row r="2292" spans="16:16">
      <c r="P2292" s="105" t="e">
        <f t="shared" si="35"/>
        <v>#DIV/0!</v>
      </c>
    </row>
    <row r="2293" spans="16:16">
      <c r="P2293" s="105" t="e">
        <f t="shared" si="35"/>
        <v>#DIV/0!</v>
      </c>
    </row>
    <row r="2294" spans="16:16">
      <c r="P2294" s="105" t="e">
        <f t="shared" si="35"/>
        <v>#DIV/0!</v>
      </c>
    </row>
    <row r="2295" spans="16:16">
      <c r="P2295" s="105" t="e">
        <f t="shared" si="35"/>
        <v>#DIV/0!</v>
      </c>
    </row>
    <row r="2296" spans="16:16">
      <c r="P2296" s="105" t="e">
        <f t="shared" si="35"/>
        <v>#DIV/0!</v>
      </c>
    </row>
    <row r="2297" spans="16:16">
      <c r="P2297" s="105" t="e">
        <f t="shared" si="35"/>
        <v>#DIV/0!</v>
      </c>
    </row>
    <row r="2298" spans="16:16">
      <c r="P2298" s="105" t="e">
        <f t="shared" si="35"/>
        <v>#DIV/0!</v>
      </c>
    </row>
    <row r="2299" spans="16:16">
      <c r="P2299" s="105" t="e">
        <f t="shared" si="35"/>
        <v>#DIV/0!</v>
      </c>
    </row>
    <row r="2300" spans="16:16">
      <c r="P2300" s="105" t="e">
        <f t="shared" si="35"/>
        <v>#DIV/0!</v>
      </c>
    </row>
    <row r="2301" spans="16:16">
      <c r="P2301" s="105" t="e">
        <f t="shared" si="35"/>
        <v>#DIV/0!</v>
      </c>
    </row>
    <row r="2302" spans="16:16">
      <c r="P2302" s="105" t="e">
        <f t="shared" si="35"/>
        <v>#DIV/0!</v>
      </c>
    </row>
    <row r="2303" spans="16:16">
      <c r="P2303" s="105" t="e">
        <f t="shared" si="35"/>
        <v>#DIV/0!</v>
      </c>
    </row>
    <row r="2304" spans="16:16">
      <c r="P2304" s="105" t="e">
        <f t="shared" si="35"/>
        <v>#DIV/0!</v>
      </c>
    </row>
    <row r="2305" spans="16:16">
      <c r="P2305" s="105" t="e">
        <f t="shared" si="35"/>
        <v>#DIV/0!</v>
      </c>
    </row>
    <row r="2306" spans="16:16">
      <c r="P2306" s="105" t="e">
        <f t="shared" si="35"/>
        <v>#DIV/0!</v>
      </c>
    </row>
    <row r="2307" spans="16:16">
      <c r="P2307" s="105" t="e">
        <f t="shared" ref="P2307:P2370" si="36">M2307/H2307</f>
        <v>#DIV/0!</v>
      </c>
    </row>
    <row r="2308" spans="16:16">
      <c r="P2308" s="105" t="e">
        <f t="shared" si="36"/>
        <v>#DIV/0!</v>
      </c>
    </row>
    <row r="2309" spans="16:16">
      <c r="P2309" s="105" t="e">
        <f t="shared" si="36"/>
        <v>#DIV/0!</v>
      </c>
    </row>
    <row r="2310" spans="16:16">
      <c r="P2310" s="105" t="e">
        <f t="shared" si="36"/>
        <v>#DIV/0!</v>
      </c>
    </row>
    <row r="2311" spans="16:16">
      <c r="P2311" s="105" t="e">
        <f t="shared" si="36"/>
        <v>#DIV/0!</v>
      </c>
    </row>
    <row r="2312" spans="16:16">
      <c r="P2312" s="105" t="e">
        <f t="shared" si="36"/>
        <v>#DIV/0!</v>
      </c>
    </row>
    <row r="2313" spans="16:16">
      <c r="P2313" s="105" t="e">
        <f t="shared" si="36"/>
        <v>#DIV/0!</v>
      </c>
    </row>
    <row r="2314" spans="16:16">
      <c r="P2314" s="105" t="e">
        <f t="shared" si="36"/>
        <v>#DIV/0!</v>
      </c>
    </row>
    <row r="2315" spans="16:16">
      <c r="P2315" s="105" t="e">
        <f t="shared" si="36"/>
        <v>#DIV/0!</v>
      </c>
    </row>
    <row r="2316" spans="16:16">
      <c r="P2316" s="105" t="e">
        <f t="shared" si="36"/>
        <v>#DIV/0!</v>
      </c>
    </row>
    <row r="2317" spans="16:16">
      <c r="P2317" s="105" t="e">
        <f t="shared" si="36"/>
        <v>#DIV/0!</v>
      </c>
    </row>
    <row r="2318" spans="16:16">
      <c r="P2318" s="105" t="e">
        <f t="shared" si="36"/>
        <v>#DIV/0!</v>
      </c>
    </row>
    <row r="2319" spans="16:16">
      <c r="P2319" s="105" t="e">
        <f t="shared" si="36"/>
        <v>#DIV/0!</v>
      </c>
    </row>
    <row r="2320" spans="16:16">
      <c r="P2320" s="105" t="e">
        <f t="shared" si="36"/>
        <v>#DIV/0!</v>
      </c>
    </row>
    <row r="2321" spans="16:16">
      <c r="P2321" s="105" t="e">
        <f t="shared" si="36"/>
        <v>#DIV/0!</v>
      </c>
    </row>
    <row r="2322" spans="16:16">
      <c r="P2322" s="105" t="e">
        <f t="shared" si="36"/>
        <v>#DIV/0!</v>
      </c>
    </row>
    <row r="2323" spans="16:16">
      <c r="P2323" s="105" t="e">
        <f t="shared" si="36"/>
        <v>#DIV/0!</v>
      </c>
    </row>
    <row r="2324" spans="16:16">
      <c r="P2324" s="105" t="e">
        <f t="shared" si="36"/>
        <v>#DIV/0!</v>
      </c>
    </row>
    <row r="2325" spans="16:16">
      <c r="P2325" s="105" t="e">
        <f t="shared" si="36"/>
        <v>#DIV/0!</v>
      </c>
    </row>
    <row r="2326" spans="16:16">
      <c r="P2326" s="105" t="e">
        <f t="shared" si="36"/>
        <v>#DIV/0!</v>
      </c>
    </row>
    <row r="2327" spans="16:16">
      <c r="P2327" s="105" t="e">
        <f t="shared" si="36"/>
        <v>#DIV/0!</v>
      </c>
    </row>
    <row r="2328" spans="16:16">
      <c r="P2328" s="105" t="e">
        <f t="shared" si="36"/>
        <v>#DIV/0!</v>
      </c>
    </row>
    <row r="2329" spans="16:16">
      <c r="P2329" s="105" t="e">
        <f t="shared" si="36"/>
        <v>#DIV/0!</v>
      </c>
    </row>
    <row r="2330" spans="16:16">
      <c r="P2330" s="105" t="e">
        <f t="shared" si="36"/>
        <v>#DIV/0!</v>
      </c>
    </row>
    <row r="2331" spans="16:16">
      <c r="P2331" s="105" t="e">
        <f t="shared" si="36"/>
        <v>#DIV/0!</v>
      </c>
    </row>
    <row r="2332" spans="16:16">
      <c r="P2332" s="105" t="e">
        <f t="shared" si="36"/>
        <v>#DIV/0!</v>
      </c>
    </row>
    <row r="2333" spans="16:16">
      <c r="P2333" s="105" t="e">
        <f t="shared" si="36"/>
        <v>#DIV/0!</v>
      </c>
    </row>
    <row r="2334" spans="16:16">
      <c r="P2334" s="105" t="e">
        <f t="shared" si="36"/>
        <v>#DIV/0!</v>
      </c>
    </row>
    <row r="2335" spans="16:16">
      <c r="P2335" s="105" t="e">
        <f t="shared" si="36"/>
        <v>#DIV/0!</v>
      </c>
    </row>
    <row r="2336" spans="16:16">
      <c r="P2336" s="105" t="e">
        <f t="shared" si="36"/>
        <v>#DIV/0!</v>
      </c>
    </row>
    <row r="2337" spans="16:16">
      <c r="P2337" s="105" t="e">
        <f t="shared" si="36"/>
        <v>#DIV/0!</v>
      </c>
    </row>
    <row r="2338" spans="16:16">
      <c r="P2338" s="105" t="e">
        <f t="shared" si="36"/>
        <v>#DIV/0!</v>
      </c>
    </row>
    <row r="2339" spans="16:16">
      <c r="P2339" s="105" t="e">
        <f t="shared" si="36"/>
        <v>#DIV/0!</v>
      </c>
    </row>
    <row r="2340" spans="16:16">
      <c r="P2340" s="105" t="e">
        <f t="shared" si="36"/>
        <v>#DIV/0!</v>
      </c>
    </row>
    <row r="2341" spans="16:16">
      <c r="P2341" s="105" t="e">
        <f t="shared" si="36"/>
        <v>#DIV/0!</v>
      </c>
    </row>
    <row r="2342" spans="16:16">
      <c r="P2342" s="105" t="e">
        <f t="shared" si="36"/>
        <v>#DIV/0!</v>
      </c>
    </row>
    <row r="2343" spans="16:16">
      <c r="P2343" s="105" t="e">
        <f t="shared" si="36"/>
        <v>#DIV/0!</v>
      </c>
    </row>
    <row r="2344" spans="16:16">
      <c r="P2344" s="105" t="e">
        <f t="shared" si="36"/>
        <v>#DIV/0!</v>
      </c>
    </row>
    <row r="2345" spans="16:16">
      <c r="P2345" s="105" t="e">
        <f t="shared" si="36"/>
        <v>#DIV/0!</v>
      </c>
    </row>
    <row r="2346" spans="16:16">
      <c r="P2346" s="105" t="e">
        <f t="shared" si="36"/>
        <v>#DIV/0!</v>
      </c>
    </row>
    <row r="2347" spans="16:16">
      <c r="P2347" s="105" t="e">
        <f t="shared" si="36"/>
        <v>#DIV/0!</v>
      </c>
    </row>
    <row r="2348" spans="16:16">
      <c r="P2348" s="105" t="e">
        <f t="shared" si="36"/>
        <v>#DIV/0!</v>
      </c>
    </row>
    <row r="2349" spans="16:16">
      <c r="P2349" s="105" t="e">
        <f t="shared" si="36"/>
        <v>#DIV/0!</v>
      </c>
    </row>
    <row r="2350" spans="16:16">
      <c r="P2350" s="105" t="e">
        <f t="shared" si="36"/>
        <v>#DIV/0!</v>
      </c>
    </row>
    <row r="2351" spans="16:16">
      <c r="P2351" s="105" t="e">
        <f t="shared" si="36"/>
        <v>#DIV/0!</v>
      </c>
    </row>
    <row r="2352" spans="16:16">
      <c r="P2352" s="105" t="e">
        <f t="shared" si="36"/>
        <v>#DIV/0!</v>
      </c>
    </row>
    <row r="2353" spans="16:16">
      <c r="P2353" s="105" t="e">
        <f t="shared" si="36"/>
        <v>#DIV/0!</v>
      </c>
    </row>
    <row r="2354" spans="16:16">
      <c r="P2354" s="105" t="e">
        <f t="shared" si="36"/>
        <v>#DIV/0!</v>
      </c>
    </row>
    <row r="2355" spans="16:16">
      <c r="P2355" s="105" t="e">
        <f t="shared" si="36"/>
        <v>#DIV/0!</v>
      </c>
    </row>
    <row r="2356" spans="16:16">
      <c r="P2356" s="105" t="e">
        <f t="shared" si="36"/>
        <v>#DIV/0!</v>
      </c>
    </row>
    <row r="2357" spans="16:16">
      <c r="P2357" s="105" t="e">
        <f t="shared" si="36"/>
        <v>#DIV/0!</v>
      </c>
    </row>
    <row r="2358" spans="16:16">
      <c r="P2358" s="105" t="e">
        <f t="shared" si="36"/>
        <v>#DIV/0!</v>
      </c>
    </row>
    <row r="2359" spans="16:16">
      <c r="P2359" s="105" t="e">
        <f t="shared" si="36"/>
        <v>#DIV/0!</v>
      </c>
    </row>
    <row r="2360" spans="16:16">
      <c r="P2360" s="105" t="e">
        <f t="shared" si="36"/>
        <v>#DIV/0!</v>
      </c>
    </row>
    <row r="2361" spans="16:16">
      <c r="P2361" s="105" t="e">
        <f t="shared" si="36"/>
        <v>#DIV/0!</v>
      </c>
    </row>
    <row r="2362" spans="16:16">
      <c r="P2362" s="105" t="e">
        <f t="shared" si="36"/>
        <v>#DIV/0!</v>
      </c>
    </row>
    <row r="2363" spans="16:16">
      <c r="P2363" s="105" t="e">
        <f t="shared" si="36"/>
        <v>#DIV/0!</v>
      </c>
    </row>
    <row r="2364" spans="16:16">
      <c r="P2364" s="105" t="e">
        <f t="shared" si="36"/>
        <v>#DIV/0!</v>
      </c>
    </row>
    <row r="2365" spans="16:16">
      <c r="P2365" s="105" t="e">
        <f t="shared" si="36"/>
        <v>#DIV/0!</v>
      </c>
    </row>
    <row r="2366" spans="16:16">
      <c r="P2366" s="105" t="e">
        <f t="shared" si="36"/>
        <v>#DIV/0!</v>
      </c>
    </row>
    <row r="2367" spans="16:16">
      <c r="P2367" s="105" t="e">
        <f t="shared" si="36"/>
        <v>#DIV/0!</v>
      </c>
    </row>
    <row r="2368" spans="16:16">
      <c r="P2368" s="105" t="e">
        <f t="shared" si="36"/>
        <v>#DIV/0!</v>
      </c>
    </row>
    <row r="2369" spans="16:16">
      <c r="P2369" s="105" t="e">
        <f t="shared" si="36"/>
        <v>#DIV/0!</v>
      </c>
    </row>
    <row r="2370" spans="16:16">
      <c r="P2370" s="105" t="e">
        <f t="shared" si="36"/>
        <v>#DIV/0!</v>
      </c>
    </row>
    <row r="2371" spans="16:16">
      <c r="P2371" s="105" t="e">
        <f t="shared" ref="P2371:P2434" si="37">M2371/H2371</f>
        <v>#DIV/0!</v>
      </c>
    </row>
    <row r="2372" spans="16:16">
      <c r="P2372" s="105" t="e">
        <f t="shared" si="37"/>
        <v>#DIV/0!</v>
      </c>
    </row>
    <row r="2373" spans="16:16">
      <c r="P2373" s="105" t="e">
        <f t="shared" si="37"/>
        <v>#DIV/0!</v>
      </c>
    </row>
    <row r="2374" spans="16:16">
      <c r="P2374" s="105" t="e">
        <f t="shared" si="37"/>
        <v>#DIV/0!</v>
      </c>
    </row>
    <row r="2375" spans="16:16">
      <c r="P2375" s="105" t="e">
        <f t="shared" si="37"/>
        <v>#DIV/0!</v>
      </c>
    </row>
    <row r="2376" spans="16:16">
      <c r="P2376" s="105" t="e">
        <f t="shared" si="37"/>
        <v>#DIV/0!</v>
      </c>
    </row>
    <row r="2377" spans="16:16">
      <c r="P2377" s="105" t="e">
        <f t="shared" si="37"/>
        <v>#DIV/0!</v>
      </c>
    </row>
    <row r="2378" spans="16:16">
      <c r="P2378" s="105" t="e">
        <f t="shared" si="37"/>
        <v>#DIV/0!</v>
      </c>
    </row>
    <row r="2379" spans="16:16">
      <c r="P2379" s="105" t="e">
        <f t="shared" si="37"/>
        <v>#DIV/0!</v>
      </c>
    </row>
    <row r="2380" spans="16:16">
      <c r="P2380" s="105" t="e">
        <f t="shared" si="37"/>
        <v>#DIV/0!</v>
      </c>
    </row>
    <row r="2381" spans="16:16">
      <c r="P2381" s="105" t="e">
        <f t="shared" si="37"/>
        <v>#DIV/0!</v>
      </c>
    </row>
    <row r="2382" spans="16:16">
      <c r="P2382" s="105" t="e">
        <f t="shared" si="37"/>
        <v>#DIV/0!</v>
      </c>
    </row>
    <row r="2383" spans="16:16">
      <c r="P2383" s="105" t="e">
        <f t="shared" si="37"/>
        <v>#DIV/0!</v>
      </c>
    </row>
    <row r="2384" spans="16:16">
      <c r="P2384" s="105" t="e">
        <f t="shared" si="37"/>
        <v>#DIV/0!</v>
      </c>
    </row>
    <row r="2385" spans="16:16">
      <c r="P2385" s="105" t="e">
        <f t="shared" si="37"/>
        <v>#DIV/0!</v>
      </c>
    </row>
    <row r="2386" spans="16:16">
      <c r="P2386" s="105" t="e">
        <f t="shared" si="37"/>
        <v>#DIV/0!</v>
      </c>
    </row>
    <row r="2387" spans="16:16">
      <c r="P2387" s="105" t="e">
        <f t="shared" si="37"/>
        <v>#DIV/0!</v>
      </c>
    </row>
    <row r="2388" spans="16:16">
      <c r="P2388" s="105" t="e">
        <f t="shared" si="37"/>
        <v>#DIV/0!</v>
      </c>
    </row>
    <row r="2389" spans="16:16">
      <c r="P2389" s="105" t="e">
        <f t="shared" si="37"/>
        <v>#DIV/0!</v>
      </c>
    </row>
    <row r="2390" spans="16:16">
      <c r="P2390" s="105" t="e">
        <f t="shared" si="37"/>
        <v>#DIV/0!</v>
      </c>
    </row>
    <row r="2391" spans="16:16">
      <c r="P2391" s="105" t="e">
        <f t="shared" si="37"/>
        <v>#DIV/0!</v>
      </c>
    </row>
    <row r="2392" spans="16:16">
      <c r="P2392" s="105" t="e">
        <f t="shared" si="37"/>
        <v>#DIV/0!</v>
      </c>
    </row>
    <row r="2393" spans="16:16">
      <c r="P2393" s="105" t="e">
        <f t="shared" si="37"/>
        <v>#DIV/0!</v>
      </c>
    </row>
    <row r="2394" spans="16:16">
      <c r="P2394" s="105" t="e">
        <f t="shared" si="37"/>
        <v>#DIV/0!</v>
      </c>
    </row>
    <row r="2395" spans="16:16">
      <c r="P2395" s="105" t="e">
        <f t="shared" si="37"/>
        <v>#DIV/0!</v>
      </c>
    </row>
    <row r="2396" spans="16:16">
      <c r="P2396" s="105" t="e">
        <f t="shared" si="37"/>
        <v>#DIV/0!</v>
      </c>
    </row>
    <row r="2397" spans="16:16">
      <c r="P2397" s="105" t="e">
        <f t="shared" si="37"/>
        <v>#DIV/0!</v>
      </c>
    </row>
    <row r="2398" spans="16:16">
      <c r="P2398" s="105" t="e">
        <f t="shared" si="37"/>
        <v>#DIV/0!</v>
      </c>
    </row>
    <row r="2399" spans="16:16">
      <c r="P2399" s="105" t="e">
        <f t="shared" si="37"/>
        <v>#DIV/0!</v>
      </c>
    </row>
    <row r="2400" spans="16:16">
      <c r="P2400" s="105" t="e">
        <f t="shared" si="37"/>
        <v>#DIV/0!</v>
      </c>
    </row>
    <row r="2401" spans="16:16">
      <c r="P2401" s="105" t="e">
        <f t="shared" si="37"/>
        <v>#DIV/0!</v>
      </c>
    </row>
    <row r="2402" spans="16:16">
      <c r="P2402" s="105" t="e">
        <f t="shared" si="37"/>
        <v>#DIV/0!</v>
      </c>
    </row>
    <row r="2403" spans="16:16">
      <c r="P2403" s="105" t="e">
        <f t="shared" si="37"/>
        <v>#DIV/0!</v>
      </c>
    </row>
    <row r="2404" spans="16:16">
      <c r="P2404" s="105" t="e">
        <f t="shared" si="37"/>
        <v>#DIV/0!</v>
      </c>
    </row>
    <row r="2405" spans="16:16">
      <c r="P2405" s="105" t="e">
        <f t="shared" si="37"/>
        <v>#DIV/0!</v>
      </c>
    </row>
    <row r="2406" spans="16:16">
      <c r="P2406" s="105" t="e">
        <f t="shared" si="37"/>
        <v>#DIV/0!</v>
      </c>
    </row>
    <row r="2407" spans="16:16">
      <c r="P2407" s="105" t="e">
        <f t="shared" si="37"/>
        <v>#DIV/0!</v>
      </c>
    </row>
    <row r="2408" spans="16:16">
      <c r="P2408" s="105" t="e">
        <f t="shared" si="37"/>
        <v>#DIV/0!</v>
      </c>
    </row>
    <row r="2409" spans="16:16">
      <c r="P2409" s="105" t="e">
        <f t="shared" si="37"/>
        <v>#DIV/0!</v>
      </c>
    </row>
    <row r="2410" spans="16:16">
      <c r="P2410" s="105" t="e">
        <f t="shared" si="37"/>
        <v>#DIV/0!</v>
      </c>
    </row>
    <row r="2411" spans="16:16">
      <c r="P2411" s="105" t="e">
        <f t="shared" si="37"/>
        <v>#DIV/0!</v>
      </c>
    </row>
    <row r="2412" spans="16:16">
      <c r="P2412" s="105" t="e">
        <f t="shared" si="37"/>
        <v>#DIV/0!</v>
      </c>
    </row>
    <row r="2413" spans="16:16">
      <c r="P2413" s="105" t="e">
        <f t="shared" si="37"/>
        <v>#DIV/0!</v>
      </c>
    </row>
    <row r="2414" spans="16:16">
      <c r="P2414" s="105" t="e">
        <f t="shared" si="37"/>
        <v>#DIV/0!</v>
      </c>
    </row>
    <row r="2415" spans="16:16">
      <c r="P2415" s="105" t="e">
        <f t="shared" si="37"/>
        <v>#DIV/0!</v>
      </c>
    </row>
    <row r="2416" spans="16:16">
      <c r="P2416" s="105" t="e">
        <f t="shared" si="37"/>
        <v>#DIV/0!</v>
      </c>
    </row>
    <row r="2417" spans="16:16">
      <c r="P2417" s="105" t="e">
        <f t="shared" si="37"/>
        <v>#DIV/0!</v>
      </c>
    </row>
    <row r="2418" spans="16:16">
      <c r="P2418" s="105" t="e">
        <f t="shared" si="37"/>
        <v>#DIV/0!</v>
      </c>
    </row>
    <row r="2419" spans="16:16">
      <c r="P2419" s="105" t="e">
        <f t="shared" si="37"/>
        <v>#DIV/0!</v>
      </c>
    </row>
    <row r="2420" spans="16:16">
      <c r="P2420" s="105" t="e">
        <f t="shared" si="37"/>
        <v>#DIV/0!</v>
      </c>
    </row>
    <row r="2421" spans="16:16">
      <c r="P2421" s="105" t="e">
        <f t="shared" si="37"/>
        <v>#DIV/0!</v>
      </c>
    </row>
    <row r="2422" spans="16:16">
      <c r="P2422" s="105" t="e">
        <f t="shared" si="37"/>
        <v>#DIV/0!</v>
      </c>
    </row>
    <row r="2423" spans="16:16">
      <c r="P2423" s="105" t="e">
        <f t="shared" si="37"/>
        <v>#DIV/0!</v>
      </c>
    </row>
    <row r="2424" spans="16:16">
      <c r="P2424" s="105" t="e">
        <f t="shared" si="37"/>
        <v>#DIV/0!</v>
      </c>
    </row>
    <row r="2425" spans="16:16">
      <c r="P2425" s="105" t="e">
        <f t="shared" si="37"/>
        <v>#DIV/0!</v>
      </c>
    </row>
    <row r="2426" spans="16:16">
      <c r="P2426" s="105" t="e">
        <f t="shared" si="37"/>
        <v>#DIV/0!</v>
      </c>
    </row>
    <row r="2427" spans="16:16">
      <c r="P2427" s="105" t="e">
        <f t="shared" si="37"/>
        <v>#DIV/0!</v>
      </c>
    </row>
    <row r="2428" spans="16:16">
      <c r="P2428" s="105" t="e">
        <f t="shared" si="37"/>
        <v>#DIV/0!</v>
      </c>
    </row>
    <row r="2429" spans="16:16">
      <c r="P2429" s="105" t="e">
        <f t="shared" si="37"/>
        <v>#DIV/0!</v>
      </c>
    </row>
    <row r="2430" spans="16:16">
      <c r="P2430" s="105" t="e">
        <f t="shared" si="37"/>
        <v>#DIV/0!</v>
      </c>
    </row>
    <row r="2431" spans="16:16">
      <c r="P2431" s="105" t="e">
        <f t="shared" si="37"/>
        <v>#DIV/0!</v>
      </c>
    </row>
    <row r="2432" spans="16:16">
      <c r="P2432" s="105" t="e">
        <f t="shared" si="37"/>
        <v>#DIV/0!</v>
      </c>
    </row>
    <row r="2433" spans="16:16">
      <c r="P2433" s="105" t="e">
        <f t="shared" si="37"/>
        <v>#DIV/0!</v>
      </c>
    </row>
    <row r="2434" spans="16:16">
      <c r="P2434" s="105" t="e">
        <f t="shared" si="37"/>
        <v>#DIV/0!</v>
      </c>
    </row>
    <row r="2435" spans="16:16">
      <c r="P2435" s="105" t="e">
        <f t="shared" ref="P2435:P2498" si="38">M2435/H2435</f>
        <v>#DIV/0!</v>
      </c>
    </row>
    <row r="2436" spans="16:16">
      <c r="P2436" s="105" t="e">
        <f t="shared" si="38"/>
        <v>#DIV/0!</v>
      </c>
    </row>
    <row r="2437" spans="16:16">
      <c r="P2437" s="105" t="e">
        <f t="shared" si="38"/>
        <v>#DIV/0!</v>
      </c>
    </row>
    <row r="2438" spans="16:16">
      <c r="P2438" s="105" t="e">
        <f t="shared" si="38"/>
        <v>#DIV/0!</v>
      </c>
    </row>
    <row r="2439" spans="16:16">
      <c r="P2439" s="105" t="e">
        <f t="shared" si="38"/>
        <v>#DIV/0!</v>
      </c>
    </row>
    <row r="2440" spans="16:16">
      <c r="P2440" s="105" t="e">
        <f t="shared" si="38"/>
        <v>#DIV/0!</v>
      </c>
    </row>
    <row r="2441" spans="16:16">
      <c r="P2441" s="105" t="e">
        <f t="shared" si="38"/>
        <v>#DIV/0!</v>
      </c>
    </row>
    <row r="2442" spans="16:16">
      <c r="P2442" s="105" t="e">
        <f t="shared" si="38"/>
        <v>#DIV/0!</v>
      </c>
    </row>
    <row r="2443" spans="16:16">
      <c r="P2443" s="105" t="e">
        <f t="shared" si="38"/>
        <v>#DIV/0!</v>
      </c>
    </row>
    <row r="2444" spans="16:16">
      <c r="P2444" s="105" t="e">
        <f t="shared" si="38"/>
        <v>#DIV/0!</v>
      </c>
    </row>
    <row r="2445" spans="16:16">
      <c r="P2445" s="105" t="e">
        <f t="shared" si="38"/>
        <v>#DIV/0!</v>
      </c>
    </row>
    <row r="2446" spans="16:16">
      <c r="P2446" s="105" t="e">
        <f t="shared" si="38"/>
        <v>#DIV/0!</v>
      </c>
    </row>
    <row r="2447" spans="16:16">
      <c r="P2447" s="105" t="e">
        <f t="shared" si="38"/>
        <v>#DIV/0!</v>
      </c>
    </row>
    <row r="2448" spans="16:16">
      <c r="P2448" s="105" t="e">
        <f t="shared" si="38"/>
        <v>#DIV/0!</v>
      </c>
    </row>
    <row r="2449" spans="16:16">
      <c r="P2449" s="105" t="e">
        <f t="shared" si="38"/>
        <v>#DIV/0!</v>
      </c>
    </row>
    <row r="2450" spans="16:16">
      <c r="P2450" s="105" t="e">
        <f t="shared" si="38"/>
        <v>#DIV/0!</v>
      </c>
    </row>
    <row r="2451" spans="16:16">
      <c r="P2451" s="105" t="e">
        <f t="shared" si="38"/>
        <v>#DIV/0!</v>
      </c>
    </row>
    <row r="2452" spans="16:16">
      <c r="P2452" s="105" t="e">
        <f t="shared" si="38"/>
        <v>#DIV/0!</v>
      </c>
    </row>
    <row r="2453" spans="16:16">
      <c r="P2453" s="105" t="e">
        <f t="shared" si="38"/>
        <v>#DIV/0!</v>
      </c>
    </row>
    <row r="2454" spans="16:16">
      <c r="P2454" s="105" t="e">
        <f t="shared" si="38"/>
        <v>#DIV/0!</v>
      </c>
    </row>
    <row r="2455" spans="16:16">
      <c r="P2455" s="105" t="e">
        <f t="shared" si="38"/>
        <v>#DIV/0!</v>
      </c>
    </row>
    <row r="2456" spans="16:16">
      <c r="P2456" s="105" t="e">
        <f t="shared" si="38"/>
        <v>#DIV/0!</v>
      </c>
    </row>
    <row r="2457" spans="16:16">
      <c r="P2457" s="105" t="e">
        <f t="shared" si="38"/>
        <v>#DIV/0!</v>
      </c>
    </row>
    <row r="2458" spans="16:16">
      <c r="P2458" s="105" t="e">
        <f t="shared" si="38"/>
        <v>#DIV/0!</v>
      </c>
    </row>
    <row r="2459" spans="16:16">
      <c r="P2459" s="105" t="e">
        <f t="shared" si="38"/>
        <v>#DIV/0!</v>
      </c>
    </row>
    <row r="2460" spans="16:16">
      <c r="P2460" s="105" t="e">
        <f t="shared" si="38"/>
        <v>#DIV/0!</v>
      </c>
    </row>
    <row r="2461" spans="16:16">
      <c r="P2461" s="105" t="e">
        <f t="shared" si="38"/>
        <v>#DIV/0!</v>
      </c>
    </row>
    <row r="2462" spans="16:16">
      <c r="P2462" s="105" t="e">
        <f t="shared" si="38"/>
        <v>#DIV/0!</v>
      </c>
    </row>
    <row r="2463" spans="16:16">
      <c r="P2463" s="105" t="e">
        <f t="shared" si="38"/>
        <v>#DIV/0!</v>
      </c>
    </row>
    <row r="2464" spans="16:16">
      <c r="P2464" s="105" t="e">
        <f t="shared" si="38"/>
        <v>#DIV/0!</v>
      </c>
    </row>
    <row r="2465" spans="16:16">
      <c r="P2465" s="105" t="e">
        <f t="shared" si="38"/>
        <v>#DIV/0!</v>
      </c>
    </row>
    <row r="2466" spans="16:16">
      <c r="P2466" s="105" t="e">
        <f t="shared" si="38"/>
        <v>#DIV/0!</v>
      </c>
    </row>
    <row r="2467" spans="16:16">
      <c r="P2467" s="105" t="e">
        <f t="shared" si="38"/>
        <v>#DIV/0!</v>
      </c>
    </row>
    <row r="2468" spans="16:16">
      <c r="P2468" s="105" t="e">
        <f t="shared" si="38"/>
        <v>#DIV/0!</v>
      </c>
    </row>
    <row r="2469" spans="16:16">
      <c r="P2469" s="105" t="e">
        <f t="shared" si="38"/>
        <v>#DIV/0!</v>
      </c>
    </row>
    <row r="2470" spans="16:16">
      <c r="P2470" s="105" t="e">
        <f t="shared" si="38"/>
        <v>#DIV/0!</v>
      </c>
    </row>
    <row r="2471" spans="16:16">
      <c r="P2471" s="105" t="e">
        <f t="shared" si="38"/>
        <v>#DIV/0!</v>
      </c>
    </row>
    <row r="2472" spans="16:16">
      <c r="P2472" s="105" t="e">
        <f t="shared" si="38"/>
        <v>#DIV/0!</v>
      </c>
    </row>
    <row r="2473" spans="16:16">
      <c r="P2473" s="105" t="e">
        <f t="shared" si="38"/>
        <v>#DIV/0!</v>
      </c>
    </row>
    <row r="2474" spans="16:16">
      <c r="P2474" s="105" t="e">
        <f t="shared" si="38"/>
        <v>#DIV/0!</v>
      </c>
    </row>
    <row r="2475" spans="16:16">
      <c r="P2475" s="105" t="e">
        <f t="shared" si="38"/>
        <v>#DIV/0!</v>
      </c>
    </row>
    <row r="2476" spans="16:16">
      <c r="P2476" s="105" t="e">
        <f t="shared" si="38"/>
        <v>#DIV/0!</v>
      </c>
    </row>
    <row r="2477" spans="16:16">
      <c r="P2477" s="105" t="e">
        <f t="shared" si="38"/>
        <v>#DIV/0!</v>
      </c>
    </row>
    <row r="2478" spans="16:16">
      <c r="P2478" s="105" t="e">
        <f t="shared" si="38"/>
        <v>#DIV/0!</v>
      </c>
    </row>
    <row r="2479" spans="16:16">
      <c r="P2479" s="105" t="e">
        <f t="shared" si="38"/>
        <v>#DIV/0!</v>
      </c>
    </row>
    <row r="2480" spans="16:16">
      <c r="P2480" s="105" t="e">
        <f t="shared" si="38"/>
        <v>#DIV/0!</v>
      </c>
    </row>
    <row r="2481" spans="16:16">
      <c r="P2481" s="105" t="e">
        <f t="shared" si="38"/>
        <v>#DIV/0!</v>
      </c>
    </row>
    <row r="2482" spans="16:16">
      <c r="P2482" s="105" t="e">
        <f t="shared" si="38"/>
        <v>#DIV/0!</v>
      </c>
    </row>
    <row r="2483" spans="16:16">
      <c r="P2483" s="105" t="e">
        <f t="shared" si="38"/>
        <v>#DIV/0!</v>
      </c>
    </row>
    <row r="2484" spans="16:16">
      <c r="P2484" s="105" t="e">
        <f t="shared" si="38"/>
        <v>#DIV/0!</v>
      </c>
    </row>
    <row r="2485" spans="16:16">
      <c r="P2485" s="105" t="e">
        <f t="shared" si="38"/>
        <v>#DIV/0!</v>
      </c>
    </row>
    <row r="2486" spans="16:16">
      <c r="P2486" s="105" t="e">
        <f t="shared" si="38"/>
        <v>#DIV/0!</v>
      </c>
    </row>
    <row r="2487" spans="16:16">
      <c r="P2487" s="105" t="e">
        <f t="shared" si="38"/>
        <v>#DIV/0!</v>
      </c>
    </row>
    <row r="2488" spans="16:16">
      <c r="P2488" s="105" t="e">
        <f t="shared" si="38"/>
        <v>#DIV/0!</v>
      </c>
    </row>
    <row r="2489" spans="16:16">
      <c r="P2489" s="105" t="e">
        <f t="shared" si="38"/>
        <v>#DIV/0!</v>
      </c>
    </row>
    <row r="2490" spans="16:16">
      <c r="P2490" s="105" t="e">
        <f t="shared" si="38"/>
        <v>#DIV/0!</v>
      </c>
    </row>
    <row r="2491" spans="16:16">
      <c r="P2491" s="105" t="e">
        <f t="shared" si="38"/>
        <v>#DIV/0!</v>
      </c>
    </row>
    <row r="2492" spans="16:16">
      <c r="P2492" s="105" t="e">
        <f t="shared" si="38"/>
        <v>#DIV/0!</v>
      </c>
    </row>
    <row r="2493" spans="16:16">
      <c r="P2493" s="105" t="e">
        <f t="shared" si="38"/>
        <v>#DIV/0!</v>
      </c>
    </row>
    <row r="2494" spans="16:16">
      <c r="P2494" s="105" t="e">
        <f t="shared" si="38"/>
        <v>#DIV/0!</v>
      </c>
    </row>
    <row r="2495" spans="16:16">
      <c r="P2495" s="105" t="e">
        <f t="shared" si="38"/>
        <v>#DIV/0!</v>
      </c>
    </row>
    <row r="2496" spans="16:16">
      <c r="P2496" s="105" t="e">
        <f t="shared" si="38"/>
        <v>#DIV/0!</v>
      </c>
    </row>
    <row r="2497" spans="16:16">
      <c r="P2497" s="105" t="e">
        <f t="shared" si="38"/>
        <v>#DIV/0!</v>
      </c>
    </row>
    <row r="2498" spans="16:16">
      <c r="P2498" s="105" t="e">
        <f t="shared" si="38"/>
        <v>#DIV/0!</v>
      </c>
    </row>
    <row r="2499" spans="16:16">
      <c r="P2499" s="105" t="e">
        <f t="shared" ref="P2499:P2562" si="39">M2499/H2499</f>
        <v>#DIV/0!</v>
      </c>
    </row>
    <row r="2500" spans="16:16">
      <c r="P2500" s="105" t="e">
        <f t="shared" si="39"/>
        <v>#DIV/0!</v>
      </c>
    </row>
    <row r="2501" spans="16:16">
      <c r="P2501" s="105" t="e">
        <f t="shared" si="39"/>
        <v>#DIV/0!</v>
      </c>
    </row>
    <row r="2502" spans="16:16">
      <c r="P2502" s="105" t="e">
        <f t="shared" si="39"/>
        <v>#DIV/0!</v>
      </c>
    </row>
    <row r="2503" spans="16:16">
      <c r="P2503" s="105" t="e">
        <f t="shared" si="39"/>
        <v>#DIV/0!</v>
      </c>
    </row>
    <row r="2504" spans="16:16">
      <c r="P2504" s="105" t="e">
        <f t="shared" si="39"/>
        <v>#DIV/0!</v>
      </c>
    </row>
    <row r="2505" spans="16:16">
      <c r="P2505" s="105" t="e">
        <f t="shared" si="39"/>
        <v>#DIV/0!</v>
      </c>
    </row>
    <row r="2506" spans="16:16">
      <c r="P2506" s="105" t="e">
        <f t="shared" si="39"/>
        <v>#DIV/0!</v>
      </c>
    </row>
    <row r="2507" spans="16:16">
      <c r="P2507" s="105" t="e">
        <f t="shared" si="39"/>
        <v>#DIV/0!</v>
      </c>
    </row>
    <row r="2508" spans="16:16">
      <c r="P2508" s="105" t="e">
        <f t="shared" si="39"/>
        <v>#DIV/0!</v>
      </c>
    </row>
    <row r="2509" spans="16:16">
      <c r="P2509" s="105" t="e">
        <f t="shared" si="39"/>
        <v>#DIV/0!</v>
      </c>
    </row>
    <row r="2510" spans="16:16">
      <c r="P2510" s="105" t="e">
        <f t="shared" si="39"/>
        <v>#DIV/0!</v>
      </c>
    </row>
    <row r="2511" spans="16:16">
      <c r="P2511" s="105" t="e">
        <f t="shared" si="39"/>
        <v>#DIV/0!</v>
      </c>
    </row>
    <row r="2512" spans="16:16">
      <c r="P2512" s="105" t="e">
        <f t="shared" si="39"/>
        <v>#DIV/0!</v>
      </c>
    </row>
    <row r="2513" spans="16:16">
      <c r="P2513" s="105" t="e">
        <f t="shared" si="39"/>
        <v>#DIV/0!</v>
      </c>
    </row>
    <row r="2514" spans="16:16">
      <c r="P2514" s="105" t="e">
        <f t="shared" si="39"/>
        <v>#DIV/0!</v>
      </c>
    </row>
    <row r="2515" spans="16:16">
      <c r="P2515" s="105" t="e">
        <f t="shared" si="39"/>
        <v>#DIV/0!</v>
      </c>
    </row>
    <row r="2516" spans="16:16">
      <c r="P2516" s="105" t="e">
        <f t="shared" si="39"/>
        <v>#DIV/0!</v>
      </c>
    </row>
    <row r="2517" spans="16:16">
      <c r="P2517" s="105" t="e">
        <f t="shared" si="39"/>
        <v>#DIV/0!</v>
      </c>
    </row>
    <row r="2518" spans="16:16">
      <c r="P2518" s="105" t="e">
        <f t="shared" si="39"/>
        <v>#DIV/0!</v>
      </c>
    </row>
    <row r="2519" spans="16:16">
      <c r="P2519" s="105" t="e">
        <f t="shared" si="39"/>
        <v>#DIV/0!</v>
      </c>
    </row>
    <row r="2520" spans="16:16">
      <c r="P2520" s="105" t="e">
        <f t="shared" si="39"/>
        <v>#DIV/0!</v>
      </c>
    </row>
    <row r="2521" spans="16:16">
      <c r="P2521" s="105" t="e">
        <f t="shared" si="39"/>
        <v>#DIV/0!</v>
      </c>
    </row>
    <row r="2522" spans="16:16">
      <c r="P2522" s="105" t="e">
        <f t="shared" si="39"/>
        <v>#DIV/0!</v>
      </c>
    </row>
    <row r="2523" spans="16:16">
      <c r="P2523" s="105" t="e">
        <f t="shared" si="39"/>
        <v>#DIV/0!</v>
      </c>
    </row>
    <row r="2524" spans="16:16">
      <c r="P2524" s="105" t="e">
        <f t="shared" si="39"/>
        <v>#DIV/0!</v>
      </c>
    </row>
    <row r="2525" spans="16:16">
      <c r="P2525" s="105" t="e">
        <f t="shared" si="39"/>
        <v>#DIV/0!</v>
      </c>
    </row>
    <row r="2526" spans="16:16">
      <c r="P2526" s="105" t="e">
        <f t="shared" si="39"/>
        <v>#DIV/0!</v>
      </c>
    </row>
    <row r="2527" spans="16:16">
      <c r="P2527" s="105" t="e">
        <f t="shared" si="39"/>
        <v>#DIV/0!</v>
      </c>
    </row>
    <row r="2528" spans="16:16">
      <c r="P2528" s="105" t="e">
        <f t="shared" si="39"/>
        <v>#DIV/0!</v>
      </c>
    </row>
    <row r="2529" spans="16:16">
      <c r="P2529" s="105" t="e">
        <f t="shared" si="39"/>
        <v>#DIV/0!</v>
      </c>
    </row>
    <row r="2530" spans="16:16">
      <c r="P2530" s="105" t="e">
        <f t="shared" si="39"/>
        <v>#DIV/0!</v>
      </c>
    </row>
    <row r="2531" spans="16:16">
      <c r="P2531" s="105" t="e">
        <f t="shared" si="39"/>
        <v>#DIV/0!</v>
      </c>
    </row>
    <row r="2532" spans="16:16">
      <c r="P2532" s="105" t="e">
        <f t="shared" si="39"/>
        <v>#DIV/0!</v>
      </c>
    </row>
    <row r="2533" spans="16:16">
      <c r="P2533" s="105" t="e">
        <f t="shared" si="39"/>
        <v>#DIV/0!</v>
      </c>
    </row>
    <row r="2534" spans="16:16">
      <c r="P2534" s="105" t="e">
        <f t="shared" si="39"/>
        <v>#DIV/0!</v>
      </c>
    </row>
    <row r="2535" spans="16:16">
      <c r="P2535" s="105" t="e">
        <f t="shared" si="39"/>
        <v>#DIV/0!</v>
      </c>
    </row>
    <row r="2536" spans="16:16">
      <c r="P2536" s="105" t="e">
        <f t="shared" si="39"/>
        <v>#DIV/0!</v>
      </c>
    </row>
    <row r="2537" spans="16:16">
      <c r="P2537" s="105" t="e">
        <f t="shared" si="39"/>
        <v>#DIV/0!</v>
      </c>
    </row>
    <row r="2538" spans="16:16">
      <c r="P2538" s="105" t="e">
        <f t="shared" si="39"/>
        <v>#DIV/0!</v>
      </c>
    </row>
    <row r="2539" spans="16:16">
      <c r="P2539" s="105" t="e">
        <f t="shared" si="39"/>
        <v>#DIV/0!</v>
      </c>
    </row>
    <row r="2540" spans="16:16">
      <c r="P2540" s="105" t="e">
        <f t="shared" si="39"/>
        <v>#DIV/0!</v>
      </c>
    </row>
    <row r="2541" spans="16:16">
      <c r="P2541" s="105" t="e">
        <f t="shared" si="39"/>
        <v>#DIV/0!</v>
      </c>
    </row>
    <row r="2542" spans="16:16">
      <c r="P2542" s="105" t="e">
        <f t="shared" si="39"/>
        <v>#DIV/0!</v>
      </c>
    </row>
    <row r="2543" spans="16:16">
      <c r="P2543" s="105" t="e">
        <f t="shared" si="39"/>
        <v>#DIV/0!</v>
      </c>
    </row>
    <row r="2544" spans="16:16">
      <c r="P2544" s="105" t="e">
        <f t="shared" si="39"/>
        <v>#DIV/0!</v>
      </c>
    </row>
    <row r="2545" spans="16:16">
      <c r="P2545" s="105" t="e">
        <f t="shared" si="39"/>
        <v>#DIV/0!</v>
      </c>
    </row>
    <row r="2546" spans="16:16">
      <c r="P2546" s="105" t="e">
        <f t="shared" si="39"/>
        <v>#DIV/0!</v>
      </c>
    </row>
    <row r="2547" spans="16:16">
      <c r="P2547" s="105" t="e">
        <f t="shared" si="39"/>
        <v>#DIV/0!</v>
      </c>
    </row>
    <row r="2548" spans="16:16">
      <c r="P2548" s="105" t="e">
        <f t="shared" si="39"/>
        <v>#DIV/0!</v>
      </c>
    </row>
    <row r="2549" spans="16:16">
      <c r="P2549" s="105" t="e">
        <f t="shared" si="39"/>
        <v>#DIV/0!</v>
      </c>
    </row>
    <row r="2550" spans="16:16">
      <c r="P2550" s="105" t="e">
        <f t="shared" si="39"/>
        <v>#DIV/0!</v>
      </c>
    </row>
    <row r="2551" spans="16:16">
      <c r="P2551" s="105" t="e">
        <f t="shared" si="39"/>
        <v>#DIV/0!</v>
      </c>
    </row>
    <row r="2552" spans="16:16">
      <c r="P2552" s="105" t="e">
        <f t="shared" si="39"/>
        <v>#DIV/0!</v>
      </c>
    </row>
    <row r="2553" spans="16:16">
      <c r="P2553" s="105" t="e">
        <f t="shared" si="39"/>
        <v>#DIV/0!</v>
      </c>
    </row>
    <row r="2554" spans="16:16">
      <c r="P2554" s="105" t="e">
        <f t="shared" si="39"/>
        <v>#DIV/0!</v>
      </c>
    </row>
    <row r="2555" spans="16:16">
      <c r="P2555" s="105" t="e">
        <f t="shared" si="39"/>
        <v>#DIV/0!</v>
      </c>
    </row>
    <row r="2556" spans="16:16">
      <c r="P2556" s="105" t="e">
        <f t="shared" si="39"/>
        <v>#DIV/0!</v>
      </c>
    </row>
    <row r="2557" spans="16:16">
      <c r="P2557" s="105" t="e">
        <f t="shared" si="39"/>
        <v>#DIV/0!</v>
      </c>
    </row>
    <row r="2558" spans="16:16">
      <c r="P2558" s="105" t="e">
        <f t="shared" si="39"/>
        <v>#DIV/0!</v>
      </c>
    </row>
    <row r="2559" spans="16:16">
      <c r="P2559" s="105" t="e">
        <f t="shared" si="39"/>
        <v>#DIV/0!</v>
      </c>
    </row>
    <row r="2560" spans="16:16">
      <c r="P2560" s="105" t="e">
        <f t="shared" si="39"/>
        <v>#DIV/0!</v>
      </c>
    </row>
    <row r="2561" spans="16:16">
      <c r="P2561" s="105" t="e">
        <f t="shared" si="39"/>
        <v>#DIV/0!</v>
      </c>
    </row>
    <row r="2562" spans="16:16">
      <c r="P2562" s="105" t="e">
        <f t="shared" si="39"/>
        <v>#DIV/0!</v>
      </c>
    </row>
    <row r="2563" spans="16:16">
      <c r="P2563" s="105" t="e">
        <f t="shared" ref="P2563:P2626" si="40">M2563/H2563</f>
        <v>#DIV/0!</v>
      </c>
    </row>
    <row r="2564" spans="16:16">
      <c r="P2564" s="105" t="e">
        <f t="shared" si="40"/>
        <v>#DIV/0!</v>
      </c>
    </row>
    <row r="2565" spans="16:16">
      <c r="P2565" s="105" t="e">
        <f t="shared" si="40"/>
        <v>#DIV/0!</v>
      </c>
    </row>
    <row r="2566" spans="16:16">
      <c r="P2566" s="105" t="e">
        <f t="shared" si="40"/>
        <v>#DIV/0!</v>
      </c>
    </row>
    <row r="2567" spans="16:16">
      <c r="P2567" s="105" t="e">
        <f t="shared" si="40"/>
        <v>#DIV/0!</v>
      </c>
    </row>
    <row r="2568" spans="16:16">
      <c r="P2568" s="105" t="e">
        <f t="shared" si="40"/>
        <v>#DIV/0!</v>
      </c>
    </row>
    <row r="2569" spans="16:16">
      <c r="P2569" s="105" t="e">
        <f t="shared" si="40"/>
        <v>#DIV/0!</v>
      </c>
    </row>
    <row r="2570" spans="16:16">
      <c r="P2570" s="105" t="e">
        <f t="shared" si="40"/>
        <v>#DIV/0!</v>
      </c>
    </row>
    <row r="2571" spans="16:16">
      <c r="P2571" s="105" t="e">
        <f t="shared" si="40"/>
        <v>#DIV/0!</v>
      </c>
    </row>
    <row r="2572" spans="16:16">
      <c r="P2572" s="105" t="e">
        <f t="shared" si="40"/>
        <v>#DIV/0!</v>
      </c>
    </row>
    <row r="2573" spans="16:16">
      <c r="P2573" s="105" t="e">
        <f t="shared" si="40"/>
        <v>#DIV/0!</v>
      </c>
    </row>
    <row r="2574" spans="16:16">
      <c r="P2574" s="105" t="e">
        <f t="shared" si="40"/>
        <v>#DIV/0!</v>
      </c>
    </row>
    <row r="2575" spans="16:16">
      <c r="P2575" s="105" t="e">
        <f t="shared" si="40"/>
        <v>#DIV/0!</v>
      </c>
    </row>
    <row r="2576" spans="16:16">
      <c r="P2576" s="105" t="e">
        <f t="shared" si="40"/>
        <v>#DIV/0!</v>
      </c>
    </row>
    <row r="2577" spans="16:16">
      <c r="P2577" s="105" t="e">
        <f t="shared" si="40"/>
        <v>#DIV/0!</v>
      </c>
    </row>
    <row r="2578" spans="16:16">
      <c r="P2578" s="105" t="e">
        <f t="shared" si="40"/>
        <v>#DIV/0!</v>
      </c>
    </row>
    <row r="2579" spans="16:16">
      <c r="P2579" s="105" t="e">
        <f t="shared" si="40"/>
        <v>#DIV/0!</v>
      </c>
    </row>
    <row r="2580" spans="16:16">
      <c r="P2580" s="105" t="e">
        <f t="shared" si="40"/>
        <v>#DIV/0!</v>
      </c>
    </row>
    <row r="2581" spans="16:16">
      <c r="P2581" s="105" t="e">
        <f t="shared" si="40"/>
        <v>#DIV/0!</v>
      </c>
    </row>
    <row r="2582" spans="16:16">
      <c r="P2582" s="105" t="e">
        <f t="shared" si="40"/>
        <v>#DIV/0!</v>
      </c>
    </row>
    <row r="2583" spans="16:16">
      <c r="P2583" s="105" t="e">
        <f t="shared" si="40"/>
        <v>#DIV/0!</v>
      </c>
    </row>
    <row r="2584" spans="16:16">
      <c r="P2584" s="105" t="e">
        <f t="shared" si="40"/>
        <v>#DIV/0!</v>
      </c>
    </row>
    <row r="2585" spans="16:16">
      <c r="P2585" s="105" t="e">
        <f t="shared" si="40"/>
        <v>#DIV/0!</v>
      </c>
    </row>
    <row r="2586" spans="16:16">
      <c r="P2586" s="105" t="e">
        <f t="shared" si="40"/>
        <v>#DIV/0!</v>
      </c>
    </row>
    <row r="2587" spans="16:16">
      <c r="P2587" s="105" t="e">
        <f t="shared" si="40"/>
        <v>#DIV/0!</v>
      </c>
    </row>
    <row r="2588" spans="16:16">
      <c r="P2588" s="105" t="e">
        <f t="shared" si="40"/>
        <v>#DIV/0!</v>
      </c>
    </row>
    <row r="2589" spans="16:16">
      <c r="P2589" s="105" t="e">
        <f t="shared" si="40"/>
        <v>#DIV/0!</v>
      </c>
    </row>
    <row r="2590" spans="16:16">
      <c r="P2590" s="105" t="e">
        <f t="shared" si="40"/>
        <v>#DIV/0!</v>
      </c>
    </row>
    <row r="2591" spans="16:16">
      <c r="P2591" s="105" t="e">
        <f t="shared" si="40"/>
        <v>#DIV/0!</v>
      </c>
    </row>
    <row r="2592" spans="16:16">
      <c r="P2592" s="105" t="e">
        <f t="shared" si="40"/>
        <v>#DIV/0!</v>
      </c>
    </row>
    <row r="2593" spans="16:16">
      <c r="P2593" s="105" t="e">
        <f t="shared" si="40"/>
        <v>#DIV/0!</v>
      </c>
    </row>
    <row r="2594" spans="16:16">
      <c r="P2594" s="105" t="e">
        <f t="shared" si="40"/>
        <v>#DIV/0!</v>
      </c>
    </row>
    <row r="2595" spans="16:16">
      <c r="P2595" s="105" t="e">
        <f t="shared" si="40"/>
        <v>#DIV/0!</v>
      </c>
    </row>
    <row r="2596" spans="16:16">
      <c r="P2596" s="105" t="e">
        <f t="shared" si="40"/>
        <v>#DIV/0!</v>
      </c>
    </row>
    <row r="2597" spans="16:16">
      <c r="P2597" s="105" t="e">
        <f t="shared" si="40"/>
        <v>#DIV/0!</v>
      </c>
    </row>
    <row r="2598" spans="16:16">
      <c r="P2598" s="105" t="e">
        <f t="shared" si="40"/>
        <v>#DIV/0!</v>
      </c>
    </row>
    <row r="2599" spans="16:16">
      <c r="P2599" s="105" t="e">
        <f t="shared" si="40"/>
        <v>#DIV/0!</v>
      </c>
    </row>
    <row r="2600" spans="16:16">
      <c r="P2600" s="105" t="e">
        <f t="shared" si="40"/>
        <v>#DIV/0!</v>
      </c>
    </row>
    <row r="2601" spans="16:16">
      <c r="P2601" s="105" t="e">
        <f t="shared" si="40"/>
        <v>#DIV/0!</v>
      </c>
    </row>
    <row r="2602" spans="16:16">
      <c r="P2602" s="105" t="e">
        <f t="shared" si="40"/>
        <v>#DIV/0!</v>
      </c>
    </row>
    <row r="2603" spans="16:16">
      <c r="P2603" s="105" t="e">
        <f t="shared" si="40"/>
        <v>#DIV/0!</v>
      </c>
    </row>
    <row r="2604" spans="16:16">
      <c r="P2604" s="105" t="e">
        <f t="shared" si="40"/>
        <v>#DIV/0!</v>
      </c>
    </row>
    <row r="2605" spans="16:16">
      <c r="P2605" s="105" t="e">
        <f t="shared" si="40"/>
        <v>#DIV/0!</v>
      </c>
    </row>
    <row r="2606" spans="16:16">
      <c r="P2606" s="105" t="e">
        <f t="shared" si="40"/>
        <v>#DIV/0!</v>
      </c>
    </row>
    <row r="2607" spans="16:16">
      <c r="P2607" s="105" t="e">
        <f t="shared" si="40"/>
        <v>#DIV/0!</v>
      </c>
    </row>
    <row r="2608" spans="16:16">
      <c r="P2608" s="105" t="e">
        <f t="shared" si="40"/>
        <v>#DIV/0!</v>
      </c>
    </row>
    <row r="2609" spans="16:16">
      <c r="P2609" s="105" t="e">
        <f t="shared" si="40"/>
        <v>#DIV/0!</v>
      </c>
    </row>
    <row r="2610" spans="16:16">
      <c r="P2610" s="105" t="e">
        <f t="shared" si="40"/>
        <v>#DIV/0!</v>
      </c>
    </row>
    <row r="2611" spans="16:16">
      <c r="P2611" s="105" t="e">
        <f t="shared" si="40"/>
        <v>#DIV/0!</v>
      </c>
    </row>
    <row r="2612" spans="16:16">
      <c r="P2612" s="105" t="e">
        <f t="shared" si="40"/>
        <v>#DIV/0!</v>
      </c>
    </row>
    <row r="2613" spans="16:16">
      <c r="P2613" s="105" t="e">
        <f t="shared" si="40"/>
        <v>#DIV/0!</v>
      </c>
    </row>
    <row r="2614" spans="16:16">
      <c r="P2614" s="105" t="e">
        <f t="shared" si="40"/>
        <v>#DIV/0!</v>
      </c>
    </row>
    <row r="2615" spans="16:16">
      <c r="P2615" s="105" t="e">
        <f t="shared" si="40"/>
        <v>#DIV/0!</v>
      </c>
    </row>
    <row r="2616" spans="16:16">
      <c r="P2616" s="105" t="e">
        <f t="shared" si="40"/>
        <v>#DIV/0!</v>
      </c>
    </row>
    <row r="2617" spans="16:16">
      <c r="P2617" s="105" t="e">
        <f t="shared" si="40"/>
        <v>#DIV/0!</v>
      </c>
    </row>
    <row r="2618" spans="16:16">
      <c r="P2618" s="105" t="e">
        <f t="shared" si="40"/>
        <v>#DIV/0!</v>
      </c>
    </row>
    <row r="2619" spans="16:16">
      <c r="P2619" s="105" t="e">
        <f t="shared" si="40"/>
        <v>#DIV/0!</v>
      </c>
    </row>
    <row r="2620" spans="16:16">
      <c r="P2620" s="105" t="e">
        <f t="shared" si="40"/>
        <v>#DIV/0!</v>
      </c>
    </row>
    <row r="2621" spans="16:16">
      <c r="P2621" s="105" t="e">
        <f t="shared" si="40"/>
        <v>#DIV/0!</v>
      </c>
    </row>
    <row r="2622" spans="16:16">
      <c r="P2622" s="105" t="e">
        <f t="shared" si="40"/>
        <v>#DIV/0!</v>
      </c>
    </row>
    <row r="2623" spans="16:16">
      <c r="P2623" s="105" t="e">
        <f t="shared" si="40"/>
        <v>#DIV/0!</v>
      </c>
    </row>
    <row r="2624" spans="16:16">
      <c r="P2624" s="105" t="e">
        <f t="shared" si="40"/>
        <v>#DIV/0!</v>
      </c>
    </row>
    <row r="2625" spans="16:16">
      <c r="P2625" s="105" t="e">
        <f t="shared" si="40"/>
        <v>#DIV/0!</v>
      </c>
    </row>
    <row r="2626" spans="16:16">
      <c r="P2626" s="105" t="e">
        <f t="shared" si="40"/>
        <v>#DIV/0!</v>
      </c>
    </row>
    <row r="2627" spans="16:16">
      <c r="P2627" s="105" t="e">
        <f t="shared" ref="P2627:P2646" si="41">M2627/H2627</f>
        <v>#DIV/0!</v>
      </c>
    </row>
    <row r="2628" spans="16:16">
      <c r="P2628" s="105" t="e">
        <f t="shared" si="41"/>
        <v>#DIV/0!</v>
      </c>
    </row>
    <row r="2629" spans="16:16">
      <c r="P2629" s="105" t="e">
        <f t="shared" si="41"/>
        <v>#DIV/0!</v>
      </c>
    </row>
    <row r="2630" spans="16:16">
      <c r="P2630" s="105" t="e">
        <f t="shared" si="41"/>
        <v>#DIV/0!</v>
      </c>
    </row>
    <row r="2631" spans="16:16">
      <c r="P2631" s="105" t="e">
        <f t="shared" si="41"/>
        <v>#DIV/0!</v>
      </c>
    </row>
    <row r="2632" spans="16:16">
      <c r="P2632" s="105" t="e">
        <f t="shared" si="41"/>
        <v>#DIV/0!</v>
      </c>
    </row>
    <row r="2633" spans="16:16">
      <c r="P2633" s="105" t="e">
        <f t="shared" si="41"/>
        <v>#DIV/0!</v>
      </c>
    </row>
    <row r="2634" spans="16:16">
      <c r="P2634" s="105" t="e">
        <f t="shared" si="41"/>
        <v>#DIV/0!</v>
      </c>
    </row>
    <row r="2635" spans="16:16">
      <c r="P2635" s="105" t="e">
        <f t="shared" si="41"/>
        <v>#DIV/0!</v>
      </c>
    </row>
    <row r="2636" spans="16:16">
      <c r="P2636" s="105" t="e">
        <f t="shared" si="41"/>
        <v>#DIV/0!</v>
      </c>
    </row>
    <row r="2637" spans="16:16">
      <c r="P2637" s="105" t="e">
        <f t="shared" si="41"/>
        <v>#DIV/0!</v>
      </c>
    </row>
    <row r="2638" spans="16:16">
      <c r="P2638" s="105" t="e">
        <f t="shared" si="41"/>
        <v>#DIV/0!</v>
      </c>
    </row>
    <row r="2639" spans="16:16">
      <c r="P2639" s="105" t="e">
        <f t="shared" si="41"/>
        <v>#DIV/0!</v>
      </c>
    </row>
    <row r="2640" spans="16:16">
      <c r="P2640" s="105" t="e">
        <f t="shared" si="41"/>
        <v>#DIV/0!</v>
      </c>
    </row>
    <row r="2641" spans="16:16">
      <c r="P2641" s="105" t="e">
        <f t="shared" si="41"/>
        <v>#DIV/0!</v>
      </c>
    </row>
    <row r="2642" spans="16:16">
      <c r="P2642" s="105" t="e">
        <f t="shared" si="41"/>
        <v>#DIV/0!</v>
      </c>
    </row>
    <row r="2643" spans="16:16">
      <c r="P2643" s="105" t="e">
        <f t="shared" si="41"/>
        <v>#DIV/0!</v>
      </c>
    </row>
    <row r="2644" spans="16:16">
      <c r="P2644" s="105" t="e">
        <f t="shared" si="41"/>
        <v>#DIV/0!</v>
      </c>
    </row>
    <row r="2645" spans="16:16">
      <c r="P2645" s="105" t="e">
        <f t="shared" si="41"/>
        <v>#DIV/0!</v>
      </c>
    </row>
    <row r="2646" spans="16:16">
      <c r="P2646" s="105" t="e">
        <f t="shared" si="41"/>
        <v>#DIV/0!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C51"/>
  <sheetViews>
    <sheetView workbookViewId="0">
      <selection activeCell="A3" sqref="A3"/>
    </sheetView>
  </sheetViews>
  <sheetFormatPr defaultColWidth="11" defaultRowHeight="15.75" outlineLevelCol="2"/>
  <cols>
    <col min="1" max="1" width="39.5"/>
    <col min="2" max="2" width="30"/>
    <col min="3" max="6" width="21.3333333333333"/>
  </cols>
  <sheetData>
    <row r="1" spans="1:2">
      <c r="A1" t="s">
        <v>2328</v>
      </c>
      <c r="B1" t="s">
        <v>2329</v>
      </c>
    </row>
    <row r="3" spans="1:3">
      <c r="A3" t="s">
        <v>2330</v>
      </c>
      <c r="B3" t="s">
        <v>2331</v>
      </c>
      <c r="C3" t="s">
        <v>2332</v>
      </c>
    </row>
    <row r="4" spans="1:3">
      <c r="A4" t="s">
        <v>2333</v>
      </c>
      <c r="B4" t="s">
        <v>2334</v>
      </c>
      <c r="C4">
        <v>57942</v>
      </c>
    </row>
    <row r="5" spans="1:3">
      <c r="A5" t="s">
        <v>2335</v>
      </c>
      <c r="B5" t="s">
        <v>2336</v>
      </c>
      <c r="C5">
        <v>34272</v>
      </c>
    </row>
    <row r="6" spans="1:3">
      <c r="A6" t="s">
        <v>2337</v>
      </c>
      <c r="B6" t="s">
        <v>2338</v>
      </c>
      <c r="C6">
        <v>116270</v>
      </c>
    </row>
    <row r="7" spans="1:3">
      <c r="A7" t="s">
        <v>2339</v>
      </c>
      <c r="B7" t="s">
        <v>2340</v>
      </c>
      <c r="C7">
        <v>41922</v>
      </c>
    </row>
    <row r="8" spans="1:3">
      <c r="A8" t="s">
        <v>2341</v>
      </c>
      <c r="B8" t="s">
        <v>2342</v>
      </c>
      <c r="C8">
        <v>45243</v>
      </c>
    </row>
    <row r="9" spans="1:3">
      <c r="A9" t="s">
        <v>2343</v>
      </c>
      <c r="B9" t="s">
        <v>2344</v>
      </c>
      <c r="C9">
        <v>162348</v>
      </c>
    </row>
    <row r="10" spans="1:3">
      <c r="A10" t="s">
        <v>2345</v>
      </c>
      <c r="B10" t="s">
        <v>2346</v>
      </c>
      <c r="C10">
        <v>20800</v>
      </c>
    </row>
    <row r="11" spans="1:3">
      <c r="A11" t="s">
        <v>2347</v>
      </c>
      <c r="B11" t="s">
        <v>2348</v>
      </c>
      <c r="C11">
        <v>6262</v>
      </c>
    </row>
    <row r="12" spans="1:3">
      <c r="A12" t="s">
        <v>2349</v>
      </c>
      <c r="B12" t="s">
        <v>2350</v>
      </c>
      <c r="C12">
        <v>41800</v>
      </c>
    </row>
    <row r="13" spans="1:3">
      <c r="A13" t="s">
        <v>2351</v>
      </c>
      <c r="B13" t="s">
        <v>2352</v>
      </c>
      <c r="C13">
        <v>17424</v>
      </c>
    </row>
    <row r="14" spans="1:3">
      <c r="A14" t="s">
        <v>2353</v>
      </c>
      <c r="B14" t="s">
        <v>2354</v>
      </c>
      <c r="C14">
        <v>741</v>
      </c>
    </row>
    <row r="15" spans="1:3">
      <c r="A15" t="s">
        <v>2355</v>
      </c>
      <c r="B15" t="s">
        <v>2356</v>
      </c>
      <c r="C15">
        <v>1728</v>
      </c>
    </row>
    <row r="16" spans="1:3">
      <c r="A16" t="s">
        <v>2357</v>
      </c>
      <c r="B16" t="s">
        <v>2358</v>
      </c>
      <c r="C16">
        <v>1196</v>
      </c>
    </row>
    <row r="17" spans="1:3">
      <c r="A17" t="s">
        <v>2359</v>
      </c>
      <c r="B17" t="s">
        <v>2360</v>
      </c>
      <c r="C17">
        <v>3472</v>
      </c>
    </row>
    <row r="18" spans="1:3">
      <c r="A18" t="s">
        <v>2361</v>
      </c>
      <c r="B18" t="s">
        <v>2362</v>
      </c>
      <c r="C18">
        <v>1034</v>
      </c>
    </row>
    <row r="19" spans="1:3">
      <c r="A19" t="s">
        <v>2363</v>
      </c>
      <c r="B19" t="s">
        <v>2364</v>
      </c>
      <c r="C19">
        <v>2520</v>
      </c>
    </row>
    <row r="20" spans="1:3">
      <c r="A20" t="s">
        <v>2365</v>
      </c>
      <c r="B20" t="s">
        <v>2366</v>
      </c>
      <c r="C20">
        <v>392</v>
      </c>
    </row>
    <row r="21" spans="1:3">
      <c r="A21" t="s">
        <v>2367</v>
      </c>
      <c r="B21" t="s">
        <v>2368</v>
      </c>
      <c r="C21">
        <v>1352</v>
      </c>
    </row>
    <row r="22" spans="1:3">
      <c r="A22" t="s">
        <v>2367</v>
      </c>
      <c r="B22" t="s">
        <v>2369</v>
      </c>
      <c r="C22">
        <v>3451</v>
      </c>
    </row>
    <row r="23" spans="1:3">
      <c r="A23" t="s">
        <v>2370</v>
      </c>
      <c r="B23" t="s">
        <v>2371</v>
      </c>
      <c r="C23">
        <v>2940</v>
      </c>
    </row>
    <row r="24" spans="1:3">
      <c r="A24" t="s">
        <v>2372</v>
      </c>
      <c r="B24" t="s">
        <v>2373</v>
      </c>
      <c r="C24">
        <v>2576</v>
      </c>
    </row>
    <row r="25" spans="1:3">
      <c r="A25" t="s">
        <v>2374</v>
      </c>
      <c r="B25" t="s">
        <v>2375</v>
      </c>
      <c r="C25">
        <v>1012</v>
      </c>
    </row>
    <row r="26" spans="1:3">
      <c r="A26" t="s">
        <v>2376</v>
      </c>
      <c r="B26" t="s">
        <v>2377</v>
      </c>
      <c r="C26">
        <v>4059</v>
      </c>
    </row>
    <row r="27" spans="1:3">
      <c r="A27" t="s">
        <v>2378</v>
      </c>
      <c r="B27" t="s">
        <v>2379</v>
      </c>
      <c r="C27">
        <v>608</v>
      </c>
    </row>
    <row r="28" spans="1:3">
      <c r="A28" t="s">
        <v>2380</v>
      </c>
      <c r="B28" t="s">
        <v>2381</v>
      </c>
      <c r="C28">
        <v>45</v>
      </c>
    </row>
    <row r="29" spans="1:3">
      <c r="A29" t="s">
        <v>2382</v>
      </c>
      <c r="B29" t="s">
        <v>2383</v>
      </c>
      <c r="C29">
        <v>35</v>
      </c>
    </row>
    <row r="30" spans="1:3">
      <c r="A30" t="s">
        <v>2384</v>
      </c>
      <c r="B30" t="s">
        <v>2385</v>
      </c>
      <c r="C30">
        <v>25</v>
      </c>
    </row>
    <row r="31" spans="1:3">
      <c r="A31" t="s">
        <v>2386</v>
      </c>
      <c r="B31" t="s">
        <v>2387</v>
      </c>
      <c r="C31">
        <v>1</v>
      </c>
    </row>
    <row r="32" spans="1:3">
      <c r="A32" t="s">
        <v>2388</v>
      </c>
      <c r="B32" t="s">
        <v>2389</v>
      </c>
      <c r="C32">
        <v>5100</v>
      </c>
    </row>
    <row r="33" spans="1:3">
      <c r="A33" t="s">
        <v>2390</v>
      </c>
      <c r="B33" t="s">
        <v>2391</v>
      </c>
      <c r="C33">
        <v>1862</v>
      </c>
    </row>
    <row r="34" spans="1:3">
      <c r="A34" t="s">
        <v>2392</v>
      </c>
      <c r="B34" t="s">
        <v>2393</v>
      </c>
      <c r="C34">
        <v>198</v>
      </c>
    </row>
    <row r="35" spans="1:3">
      <c r="A35" t="s">
        <v>2394</v>
      </c>
      <c r="B35" t="s">
        <v>2395</v>
      </c>
      <c r="C35">
        <v>60</v>
      </c>
    </row>
    <row r="36" spans="1:3">
      <c r="A36" t="s">
        <v>2396</v>
      </c>
      <c r="B36" t="s">
        <v>2397</v>
      </c>
      <c r="C36">
        <v>154</v>
      </c>
    </row>
    <row r="37" spans="1:3">
      <c r="A37" t="s">
        <v>2398</v>
      </c>
      <c r="B37" t="s">
        <v>2399</v>
      </c>
      <c r="C37">
        <v>1</v>
      </c>
    </row>
    <row r="38" spans="1:3">
      <c r="A38" t="s">
        <v>2400</v>
      </c>
      <c r="B38" t="s">
        <v>2401</v>
      </c>
      <c r="C38">
        <v>25</v>
      </c>
    </row>
    <row r="39" spans="1:3">
      <c r="A39" t="s">
        <v>2402</v>
      </c>
      <c r="B39" t="s">
        <v>2403</v>
      </c>
      <c r="C39">
        <v>819</v>
      </c>
    </row>
    <row r="40" spans="1:3">
      <c r="A40" t="s">
        <v>2404</v>
      </c>
      <c r="B40" t="s">
        <v>2405</v>
      </c>
      <c r="C40">
        <v>60</v>
      </c>
    </row>
    <row r="41" spans="1:3">
      <c r="A41" t="s">
        <v>2406</v>
      </c>
      <c r="B41" t="s">
        <v>2407</v>
      </c>
      <c r="C41">
        <v>3161</v>
      </c>
    </row>
    <row r="42" spans="1:3">
      <c r="A42" t="s">
        <v>2408</v>
      </c>
      <c r="B42" t="s">
        <v>2409</v>
      </c>
      <c r="C42">
        <v>2328</v>
      </c>
    </row>
    <row r="43" spans="1:3">
      <c r="A43" t="s">
        <v>2410</v>
      </c>
      <c r="B43" t="s">
        <v>2411</v>
      </c>
      <c r="C43">
        <v>252</v>
      </c>
    </row>
    <row r="44" spans="1:3">
      <c r="A44" t="s">
        <v>2412</v>
      </c>
      <c r="B44" t="s">
        <v>2413</v>
      </c>
      <c r="C44">
        <v>434</v>
      </c>
    </row>
    <row r="45" spans="1:3">
      <c r="A45" t="s">
        <v>2414</v>
      </c>
      <c r="B45" t="s">
        <v>2415</v>
      </c>
      <c r="C45">
        <v>1960</v>
      </c>
    </row>
    <row r="46" spans="1:3">
      <c r="A46" t="s">
        <v>2416</v>
      </c>
      <c r="B46" t="s">
        <v>2417</v>
      </c>
      <c r="C46">
        <v>264</v>
      </c>
    </row>
    <row r="47" spans="1:3">
      <c r="A47" t="s">
        <v>2418</v>
      </c>
      <c r="B47" t="s">
        <v>2419</v>
      </c>
      <c r="C47">
        <v>1323</v>
      </c>
    </row>
    <row r="48" spans="1:3">
      <c r="A48" t="s">
        <v>2420</v>
      </c>
      <c r="B48" t="s">
        <v>2421</v>
      </c>
      <c r="C48">
        <v>12</v>
      </c>
    </row>
    <row r="49" spans="1:3">
      <c r="A49" t="s">
        <v>2422</v>
      </c>
      <c r="B49" t="s">
        <v>2423</v>
      </c>
      <c r="C49">
        <v>49</v>
      </c>
    </row>
    <row r="50" spans="1:3">
      <c r="A50" t="s">
        <v>2424</v>
      </c>
      <c r="B50" t="s">
        <v>2425</v>
      </c>
      <c r="C50">
        <v>66</v>
      </c>
    </row>
    <row r="51" spans="1:3">
      <c r="A51" t="s">
        <v>622</v>
      </c>
      <c r="C51">
        <v>10800543</v>
      </c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92D050"/>
  </sheetPr>
  <dimension ref="A1:L540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F495" sqref="F495"/>
    </sheetView>
  </sheetViews>
  <sheetFormatPr defaultColWidth="11" defaultRowHeight="15.75"/>
  <cols>
    <col min="1" max="1" width="33.5" style="10" customWidth="1"/>
    <col min="2" max="2" width="11" style="10"/>
    <col min="3" max="3" width="13.8333333333333" style="10" customWidth="1"/>
    <col min="4" max="5" width="11" style="10"/>
    <col min="6" max="6" width="28.8333333333333" style="10"/>
    <col min="7" max="7" width="17.8333333333333" style="10" customWidth="1"/>
    <col min="8" max="8" width="11.8333333333333" style="10"/>
    <col min="9" max="9" width="10" style="10"/>
    <col min="10" max="10" width="19.3333333333333" style="10" customWidth="1"/>
    <col min="11" max="16384" width="11" style="10"/>
  </cols>
  <sheetData>
    <row r="1" s="94" customFormat="1" ht="21" customHeight="1" spans="1:12">
      <c r="A1" s="95" t="s">
        <v>2426</v>
      </c>
      <c r="B1" s="96" t="s">
        <v>2427</v>
      </c>
      <c r="C1" s="97" t="s">
        <v>2428</v>
      </c>
      <c r="D1" s="96" t="s">
        <v>2330</v>
      </c>
      <c r="E1" s="98" t="s">
        <v>2429</v>
      </c>
      <c r="F1" s="96" t="s">
        <v>2331</v>
      </c>
      <c r="G1" s="96" t="s">
        <v>2430</v>
      </c>
      <c r="H1" s="96" t="s">
        <v>2431</v>
      </c>
      <c r="I1" s="96" t="s">
        <v>2432</v>
      </c>
      <c r="J1" s="99" t="s">
        <v>2433</v>
      </c>
      <c r="K1" s="100" t="s">
        <v>2328</v>
      </c>
      <c r="L1" s="100" t="s">
        <v>2434</v>
      </c>
    </row>
    <row r="2" customFormat="1" hidden="1" spans="1:12">
      <c r="A2" t="str">
        <f t="shared" ref="A2:A65" si="0">B2&amp;D2&amp;E2&amp;G2</f>
        <v>加拿大七店906001343013整份</v>
      </c>
      <c r="B2" s="84" t="s">
        <v>636</v>
      </c>
      <c r="C2" s="84"/>
      <c r="D2" s="58">
        <v>9060013</v>
      </c>
      <c r="E2" s="57">
        <v>43013</v>
      </c>
      <c r="F2" s="58" t="s">
        <v>2435</v>
      </c>
      <c r="G2" s="58" t="s">
        <v>2436</v>
      </c>
      <c r="H2" s="10">
        <v>960</v>
      </c>
      <c r="I2" s="10">
        <v>2</v>
      </c>
      <c r="J2" s="101">
        <f>H2-I2</f>
        <v>958</v>
      </c>
      <c r="K2" s="58" t="s">
        <v>2437</v>
      </c>
      <c r="L2" s="58" t="s">
        <v>2438</v>
      </c>
    </row>
    <row r="3" customFormat="1" hidden="1" spans="1:12">
      <c r="A3" t="str">
        <f t="shared" si="0"/>
        <v>加拿大七店110102621002693半份</v>
      </c>
      <c r="B3" s="84" t="s">
        <v>636</v>
      </c>
      <c r="C3" s="84"/>
      <c r="D3" s="57">
        <v>11010262</v>
      </c>
      <c r="E3" s="57">
        <v>1002693</v>
      </c>
      <c r="F3" s="58" t="s">
        <v>2439</v>
      </c>
      <c r="G3" s="58" t="s">
        <v>2440</v>
      </c>
      <c r="H3" s="10">
        <v>239</v>
      </c>
      <c r="I3" s="10">
        <v>1</v>
      </c>
      <c r="J3" s="101">
        <f t="shared" ref="J3:J66" si="1">H3-I3</f>
        <v>238</v>
      </c>
      <c r="K3" s="58" t="s">
        <v>2441</v>
      </c>
      <c r="L3" s="58" t="s">
        <v>2442</v>
      </c>
    </row>
    <row r="4" customFormat="1" hidden="1" spans="1:12">
      <c r="A4" t="str">
        <f t="shared" si="0"/>
        <v>加拿大七店1101026250303整份</v>
      </c>
      <c r="B4" s="84" t="s">
        <v>636</v>
      </c>
      <c r="C4" s="84"/>
      <c r="D4" s="57">
        <v>11010262</v>
      </c>
      <c r="E4" s="57">
        <v>50303</v>
      </c>
      <c r="F4" s="58" t="s">
        <v>2443</v>
      </c>
      <c r="G4" s="58" t="s">
        <v>2436</v>
      </c>
      <c r="H4" s="10">
        <v>931</v>
      </c>
      <c r="I4" s="10">
        <v>6</v>
      </c>
      <c r="J4" s="101">
        <f t="shared" si="1"/>
        <v>925</v>
      </c>
      <c r="K4" s="58" t="s">
        <v>2441</v>
      </c>
      <c r="L4" s="58" t="s">
        <v>2442</v>
      </c>
    </row>
    <row r="5" customFormat="1" hidden="1" spans="1:12">
      <c r="A5" t="str">
        <f t="shared" si="0"/>
        <v>加拿大七店1002013841184半份</v>
      </c>
      <c r="B5" s="84" t="s">
        <v>636</v>
      </c>
      <c r="C5" s="84"/>
      <c r="D5" s="57">
        <v>10020138</v>
      </c>
      <c r="E5" s="57">
        <v>41184</v>
      </c>
      <c r="F5" s="58" t="s">
        <v>2444</v>
      </c>
      <c r="G5" s="58" t="s">
        <v>2440</v>
      </c>
      <c r="H5" s="10">
        <v>245</v>
      </c>
      <c r="I5" s="10">
        <v>3</v>
      </c>
      <c r="J5" s="101">
        <f t="shared" si="1"/>
        <v>242</v>
      </c>
      <c r="K5" s="58" t="s">
        <v>2445</v>
      </c>
      <c r="L5" s="58" t="s">
        <v>2446</v>
      </c>
    </row>
    <row r="6" customFormat="1" hidden="1" spans="1:12">
      <c r="A6" t="str">
        <f t="shared" si="0"/>
        <v>加拿大七店1002013841183整份</v>
      </c>
      <c r="B6" s="84" t="s">
        <v>636</v>
      </c>
      <c r="C6" s="84"/>
      <c r="D6" s="57">
        <v>10020138</v>
      </c>
      <c r="E6" s="57">
        <v>41183</v>
      </c>
      <c r="F6" s="58" t="s">
        <v>2447</v>
      </c>
      <c r="G6" s="58" t="s">
        <v>2436</v>
      </c>
      <c r="H6" s="10">
        <v>84</v>
      </c>
      <c r="I6" s="10">
        <v>1</v>
      </c>
      <c r="J6" s="101">
        <f t="shared" si="1"/>
        <v>83</v>
      </c>
      <c r="K6" s="58" t="s">
        <v>2445</v>
      </c>
      <c r="L6" s="58" t="s">
        <v>2446</v>
      </c>
    </row>
    <row r="7" customFormat="1" hidden="1" spans="1:12">
      <c r="A7" t="str">
        <f t="shared" si="0"/>
        <v>加拿大七店1002001741017整份</v>
      </c>
      <c r="B7" s="84" t="s">
        <v>636</v>
      </c>
      <c r="C7" s="84" t="str">
        <f>D7&amp;G7</f>
        <v>10020017整份</v>
      </c>
      <c r="D7" s="57">
        <v>10020017</v>
      </c>
      <c r="E7" s="57">
        <v>41017</v>
      </c>
      <c r="F7" s="58" t="s">
        <v>2448</v>
      </c>
      <c r="G7" s="58" t="s">
        <v>2436</v>
      </c>
      <c r="H7" s="10">
        <v>673</v>
      </c>
      <c r="I7" s="10">
        <v>1</v>
      </c>
      <c r="J7" s="101">
        <f t="shared" si="1"/>
        <v>672</v>
      </c>
      <c r="K7" s="58" t="s">
        <v>2445</v>
      </c>
      <c r="L7" s="58" t="s">
        <v>2449</v>
      </c>
    </row>
    <row r="8" customFormat="1" hidden="1" spans="1:12">
      <c r="A8" t="str">
        <f t="shared" si="0"/>
        <v>加拿大七店1301004170041冰镇</v>
      </c>
      <c r="B8" s="84" t="s">
        <v>636</v>
      </c>
      <c r="C8" s="84" t="str">
        <f>D8&amp;G8</f>
        <v>13010041冰镇</v>
      </c>
      <c r="D8" s="57">
        <v>13010041</v>
      </c>
      <c r="E8" s="57">
        <v>70041</v>
      </c>
      <c r="F8" s="58" t="s">
        <v>2362</v>
      </c>
      <c r="G8" s="58" t="s">
        <v>2450</v>
      </c>
      <c r="H8" s="10">
        <v>192</v>
      </c>
      <c r="I8" s="10">
        <v>0</v>
      </c>
      <c r="J8" s="101">
        <f t="shared" si="1"/>
        <v>192</v>
      </c>
      <c r="K8" s="58" t="s">
        <v>2451</v>
      </c>
      <c r="L8" s="58" t="s">
        <v>2452</v>
      </c>
    </row>
    <row r="9" customFormat="1" hidden="1" spans="1:12">
      <c r="A9" t="str">
        <f t="shared" si="0"/>
        <v>加拿大七店700004077864份</v>
      </c>
      <c r="B9" s="84" t="s">
        <v>636</v>
      </c>
      <c r="C9" s="84"/>
      <c r="D9" s="57">
        <v>70000407</v>
      </c>
      <c r="E9" s="57">
        <v>7864</v>
      </c>
      <c r="F9" s="58" t="s">
        <v>2453</v>
      </c>
      <c r="G9" s="58" t="s">
        <v>2454</v>
      </c>
      <c r="H9" s="10">
        <v>100</v>
      </c>
      <c r="I9" s="10">
        <v>0</v>
      </c>
      <c r="J9" s="101">
        <f t="shared" si="1"/>
        <v>100</v>
      </c>
      <c r="K9" s="58" t="s">
        <v>2441</v>
      </c>
      <c r="L9" s="58" t="s">
        <v>2455</v>
      </c>
    </row>
    <row r="10" customFormat="1" hidden="1" spans="1:12">
      <c r="A10" t="str">
        <f t="shared" si="0"/>
        <v>加拿大七店90000413拼锅</v>
      </c>
      <c r="B10" s="84" t="s">
        <v>636</v>
      </c>
      <c r="C10" s="84"/>
      <c r="D10" s="57">
        <v>90000413</v>
      </c>
      <c r="E10" s="58" t="s">
        <v>641</v>
      </c>
      <c r="F10" s="58" t="s">
        <v>2456</v>
      </c>
      <c r="G10" s="58" t="s">
        <v>2457</v>
      </c>
      <c r="H10" s="10">
        <v>331</v>
      </c>
      <c r="I10" s="10">
        <v>10</v>
      </c>
      <c r="J10" s="101">
        <f t="shared" si="1"/>
        <v>321</v>
      </c>
      <c r="K10" s="58" t="s">
        <v>2458</v>
      </c>
      <c r="L10" s="58" t="s">
        <v>2459</v>
      </c>
    </row>
    <row r="11" customFormat="1" hidden="1" spans="1:12">
      <c r="A11" t="str">
        <f t="shared" si="0"/>
        <v>加拿大七店90000413四宫格</v>
      </c>
      <c r="B11" s="84" t="s">
        <v>636</v>
      </c>
      <c r="C11" s="84" t="str">
        <f t="shared" ref="C11:C17" si="2">D11&amp;G11</f>
        <v>90000413四宫格</v>
      </c>
      <c r="D11" s="57">
        <v>90000413</v>
      </c>
      <c r="E11" s="58" t="s">
        <v>641</v>
      </c>
      <c r="F11" s="58" t="s">
        <v>2456</v>
      </c>
      <c r="G11" s="58" t="s">
        <v>2460</v>
      </c>
      <c r="H11" s="10">
        <v>634</v>
      </c>
      <c r="I11" s="10">
        <v>6</v>
      </c>
      <c r="J11" s="101">
        <f t="shared" si="1"/>
        <v>628</v>
      </c>
      <c r="K11" s="58" t="s">
        <v>2458</v>
      </c>
      <c r="L11" s="58" t="s">
        <v>2461</v>
      </c>
    </row>
    <row r="12" customFormat="1" hidden="1" spans="1:12">
      <c r="A12" t="str">
        <f t="shared" si="0"/>
        <v>加拿大七店70000769四宫格</v>
      </c>
      <c r="B12" s="84" t="s">
        <v>636</v>
      </c>
      <c r="C12" s="84" t="str">
        <f t="shared" si="2"/>
        <v>70000769四宫格</v>
      </c>
      <c r="D12" s="57">
        <v>70000769</v>
      </c>
      <c r="E12" s="58" t="s">
        <v>641</v>
      </c>
      <c r="F12" s="58" t="s">
        <v>2462</v>
      </c>
      <c r="G12" s="58" t="s">
        <v>2460</v>
      </c>
      <c r="H12" s="10">
        <v>701</v>
      </c>
      <c r="I12" s="10">
        <v>11</v>
      </c>
      <c r="J12" s="101">
        <f t="shared" si="1"/>
        <v>690</v>
      </c>
      <c r="K12" s="58" t="s">
        <v>2458</v>
      </c>
      <c r="L12" s="58" t="s">
        <v>2461</v>
      </c>
    </row>
    <row r="13" customFormat="1" hidden="1" spans="1:12">
      <c r="A13" t="str">
        <f t="shared" si="0"/>
        <v>加拿大七店70000769拼锅</v>
      </c>
      <c r="B13" s="84" t="s">
        <v>636</v>
      </c>
      <c r="C13" s="84" t="str">
        <f t="shared" si="2"/>
        <v>70000769拼锅</v>
      </c>
      <c r="D13" s="57">
        <v>70000769</v>
      </c>
      <c r="E13" s="58" t="s">
        <v>641</v>
      </c>
      <c r="F13" s="58" t="s">
        <v>2462</v>
      </c>
      <c r="G13" s="58" t="s">
        <v>2457</v>
      </c>
      <c r="H13" s="10">
        <v>268</v>
      </c>
      <c r="I13" s="10">
        <v>7</v>
      </c>
      <c r="J13" s="101">
        <f t="shared" si="1"/>
        <v>261</v>
      </c>
      <c r="K13" s="58" t="s">
        <v>2458</v>
      </c>
      <c r="L13" s="58" t="s">
        <v>2459</v>
      </c>
    </row>
    <row r="14" customFormat="1" hidden="1" spans="1:12">
      <c r="A14" t="str">
        <f t="shared" si="0"/>
        <v>加拿大七店7000064877308整份</v>
      </c>
      <c r="B14" s="84" t="s">
        <v>636</v>
      </c>
      <c r="C14" s="84" t="str">
        <f t="shared" si="2"/>
        <v>70000648整份</v>
      </c>
      <c r="D14" s="57">
        <v>70000648</v>
      </c>
      <c r="E14" s="57">
        <v>77308</v>
      </c>
      <c r="F14" s="58" t="s">
        <v>2463</v>
      </c>
      <c r="G14" s="58" t="s">
        <v>2436</v>
      </c>
      <c r="H14" s="10">
        <v>40</v>
      </c>
      <c r="I14" s="10">
        <v>1</v>
      </c>
      <c r="J14" s="101">
        <f t="shared" si="1"/>
        <v>39</v>
      </c>
      <c r="K14" s="58" t="s">
        <v>2437</v>
      </c>
      <c r="L14" s="58" t="s">
        <v>2464</v>
      </c>
    </row>
    <row r="15" customFormat="1" hidden="1" spans="1:12">
      <c r="A15" t="str">
        <f t="shared" si="0"/>
        <v>加拿大七店1301004770047冰镇</v>
      </c>
      <c r="B15" s="84" t="s">
        <v>636</v>
      </c>
      <c r="C15" s="84" t="str">
        <f t="shared" si="2"/>
        <v>13010047冰镇</v>
      </c>
      <c r="D15" s="57">
        <v>13010047</v>
      </c>
      <c r="E15" s="57">
        <v>70047</v>
      </c>
      <c r="F15" s="58" t="s">
        <v>2364</v>
      </c>
      <c r="G15" s="58" t="s">
        <v>2450</v>
      </c>
      <c r="H15" s="10">
        <v>88</v>
      </c>
      <c r="I15" s="10">
        <v>9</v>
      </c>
      <c r="J15" s="101">
        <f t="shared" si="1"/>
        <v>79</v>
      </c>
      <c r="K15" s="58" t="s">
        <v>2451</v>
      </c>
      <c r="L15" s="58" t="s">
        <v>2452</v>
      </c>
    </row>
    <row r="16" customFormat="1" hidden="1" spans="1:12">
      <c r="A16" t="str">
        <f t="shared" si="0"/>
        <v>加拿大七店900017381003592整份</v>
      </c>
      <c r="B16" s="84" t="s">
        <v>636</v>
      </c>
      <c r="C16" s="84" t="str">
        <f t="shared" si="2"/>
        <v>90001738整份</v>
      </c>
      <c r="D16" s="57">
        <v>90001738</v>
      </c>
      <c r="E16" s="57">
        <v>1003592</v>
      </c>
      <c r="F16" s="58" t="s">
        <v>2465</v>
      </c>
      <c r="G16" s="58" t="s">
        <v>2436</v>
      </c>
      <c r="H16" s="10">
        <v>1689</v>
      </c>
      <c r="I16" s="10">
        <v>6</v>
      </c>
      <c r="J16" s="101">
        <f t="shared" si="1"/>
        <v>1683</v>
      </c>
      <c r="K16" s="58" t="s">
        <v>2466</v>
      </c>
      <c r="L16" s="58" t="s">
        <v>2467</v>
      </c>
    </row>
    <row r="17" customFormat="1" hidden="1" spans="1:12">
      <c r="A17" t="str">
        <f t="shared" si="0"/>
        <v>加拿大七店70002428拼锅</v>
      </c>
      <c r="B17" s="84" t="s">
        <v>636</v>
      </c>
      <c r="C17" s="84" t="str">
        <f t="shared" si="2"/>
        <v>70002428拼锅</v>
      </c>
      <c r="D17" s="57">
        <v>70002428</v>
      </c>
      <c r="E17" s="58" t="s">
        <v>641</v>
      </c>
      <c r="F17" s="58" t="s">
        <v>2468</v>
      </c>
      <c r="G17" s="58" t="s">
        <v>2457</v>
      </c>
      <c r="H17" s="10">
        <v>306</v>
      </c>
      <c r="I17" s="10">
        <v>11</v>
      </c>
      <c r="J17" s="101">
        <f t="shared" si="1"/>
        <v>295</v>
      </c>
      <c r="K17" s="58" t="s">
        <v>2458</v>
      </c>
      <c r="L17" s="58" t="s">
        <v>2459</v>
      </c>
    </row>
    <row r="18" customFormat="1" hidden="1" spans="1:12">
      <c r="A18" t="str">
        <f t="shared" si="0"/>
        <v>加拿大七店70002428四宫格</v>
      </c>
      <c r="B18" s="84" t="s">
        <v>636</v>
      </c>
      <c r="C18" s="84"/>
      <c r="D18" s="57">
        <v>70002428</v>
      </c>
      <c r="E18" s="58" t="s">
        <v>641</v>
      </c>
      <c r="F18" s="58" t="s">
        <v>2468</v>
      </c>
      <c r="G18" s="58" t="s">
        <v>2460</v>
      </c>
      <c r="H18" s="10">
        <v>630</v>
      </c>
      <c r="I18" s="10">
        <v>10</v>
      </c>
      <c r="J18" s="101">
        <f t="shared" si="1"/>
        <v>620</v>
      </c>
      <c r="K18" s="58" t="s">
        <v>2458</v>
      </c>
      <c r="L18" s="58" t="s">
        <v>2461</v>
      </c>
    </row>
    <row r="19" customFormat="1" hidden="1" spans="1:12">
      <c r="A19" t="str">
        <f t="shared" si="0"/>
        <v>加拿大七店906009043251整份</v>
      </c>
      <c r="B19" s="84" t="s">
        <v>636</v>
      </c>
      <c r="C19" s="84" t="str">
        <f>D19&amp;G19</f>
        <v>9060090整份</v>
      </c>
      <c r="D19" s="57">
        <v>9060090</v>
      </c>
      <c r="E19" s="57">
        <v>43251</v>
      </c>
      <c r="F19" s="58" t="s">
        <v>2469</v>
      </c>
      <c r="G19" s="58" t="s">
        <v>2436</v>
      </c>
      <c r="H19" s="10">
        <v>118</v>
      </c>
      <c r="I19" s="10">
        <v>0</v>
      </c>
      <c r="J19" s="101">
        <f t="shared" si="1"/>
        <v>118</v>
      </c>
      <c r="K19" s="58" t="s">
        <v>2437</v>
      </c>
      <c r="L19" s="58" t="s">
        <v>2470</v>
      </c>
    </row>
    <row r="20" customFormat="1" hidden="1" spans="1:12">
      <c r="A20" t="str">
        <f t="shared" si="0"/>
        <v>加拿大七店906009043252半份</v>
      </c>
      <c r="B20" s="84" t="s">
        <v>636</v>
      </c>
      <c r="C20" s="84" t="str">
        <f>D20&amp;G20</f>
        <v>9060090半份</v>
      </c>
      <c r="D20" s="57">
        <v>9060090</v>
      </c>
      <c r="E20" s="57">
        <v>43252</v>
      </c>
      <c r="F20" s="58" t="s">
        <v>2471</v>
      </c>
      <c r="G20" s="58" t="s">
        <v>2440</v>
      </c>
      <c r="H20" s="10">
        <v>273</v>
      </c>
      <c r="I20" s="10">
        <v>1</v>
      </c>
      <c r="J20" s="101">
        <f t="shared" si="1"/>
        <v>272</v>
      </c>
      <c r="K20" s="58" t="s">
        <v>2437</v>
      </c>
      <c r="L20" s="58" t="s">
        <v>2470</v>
      </c>
    </row>
    <row r="21" customFormat="1" hidden="1" spans="1:12">
      <c r="A21" t="str">
        <f t="shared" si="0"/>
        <v>加拿大七店1001004440051整份</v>
      </c>
      <c r="B21" s="84" t="s">
        <v>636</v>
      </c>
      <c r="C21" s="84" t="str">
        <f>D21&amp;G21</f>
        <v>10010044整份</v>
      </c>
      <c r="D21" s="57">
        <v>10010044</v>
      </c>
      <c r="E21" s="57">
        <v>40051</v>
      </c>
      <c r="F21" s="58" t="s">
        <v>2472</v>
      </c>
      <c r="G21" s="58" t="s">
        <v>2436</v>
      </c>
      <c r="H21" s="10">
        <v>415</v>
      </c>
      <c r="I21" s="10">
        <v>5</v>
      </c>
      <c r="J21" s="101">
        <f t="shared" si="1"/>
        <v>410</v>
      </c>
      <c r="K21" s="58" t="s">
        <v>2441</v>
      </c>
      <c r="L21" s="58" t="s">
        <v>2455</v>
      </c>
    </row>
    <row r="22" customFormat="1" hidden="1" spans="1:12">
      <c r="A22" t="str">
        <f t="shared" si="0"/>
        <v>加拿大七店904036433429整份</v>
      </c>
      <c r="B22" s="84" t="s">
        <v>636</v>
      </c>
      <c r="C22" s="84" t="str">
        <f>D22&amp;G22</f>
        <v>9040364整份</v>
      </c>
      <c r="D22" s="57">
        <v>9040364</v>
      </c>
      <c r="E22" s="57">
        <v>33429</v>
      </c>
      <c r="F22" s="58" t="s">
        <v>2473</v>
      </c>
      <c r="G22" s="58" t="s">
        <v>2436</v>
      </c>
      <c r="H22" s="10">
        <v>293</v>
      </c>
      <c r="I22" s="10">
        <v>1</v>
      </c>
      <c r="J22" s="101">
        <f t="shared" si="1"/>
        <v>292</v>
      </c>
      <c r="K22" s="58" t="s">
        <v>2474</v>
      </c>
      <c r="L22" s="58" t="s">
        <v>2475</v>
      </c>
    </row>
    <row r="23" customFormat="1" hidden="1" spans="1:12">
      <c r="A23" t="str">
        <f t="shared" si="0"/>
        <v>加拿大七店1101037950485整份</v>
      </c>
      <c r="B23" s="84" t="s">
        <v>636</v>
      </c>
      <c r="C23" s="84" t="str">
        <f>D23&amp;G23</f>
        <v>11010379整份</v>
      </c>
      <c r="D23" s="57">
        <v>11010379</v>
      </c>
      <c r="E23" s="57">
        <v>50485</v>
      </c>
      <c r="F23" s="58" t="s">
        <v>2476</v>
      </c>
      <c r="G23" s="58" t="s">
        <v>2436</v>
      </c>
      <c r="H23" s="10">
        <v>1050</v>
      </c>
      <c r="I23" s="10">
        <v>4</v>
      </c>
      <c r="J23" s="101">
        <f t="shared" si="1"/>
        <v>1046</v>
      </c>
      <c r="K23" s="58" t="s">
        <v>2445</v>
      </c>
      <c r="L23" s="58" t="s">
        <v>2477</v>
      </c>
    </row>
    <row r="24" customFormat="1" hidden="1" spans="1:12">
      <c r="A24" t="str">
        <f t="shared" si="0"/>
        <v>加拿大七店7000118278433整份</v>
      </c>
      <c r="B24" s="84" t="s">
        <v>636</v>
      </c>
      <c r="C24" s="84"/>
      <c r="D24" s="57">
        <v>70001182</v>
      </c>
      <c r="E24" s="57">
        <v>78433</v>
      </c>
      <c r="F24" s="58" t="s">
        <v>2478</v>
      </c>
      <c r="G24" s="58" t="s">
        <v>2436</v>
      </c>
      <c r="H24" s="10">
        <v>1315</v>
      </c>
      <c r="I24" s="10">
        <v>9</v>
      </c>
      <c r="J24" s="101">
        <f t="shared" si="1"/>
        <v>1306</v>
      </c>
      <c r="K24" s="58" t="s">
        <v>2437</v>
      </c>
      <c r="L24" s="58" t="s">
        <v>2438</v>
      </c>
    </row>
    <row r="25" customFormat="1" hidden="1" spans="1:12">
      <c r="A25" t="str">
        <f t="shared" si="0"/>
        <v>加拿大七店1002002541025整份</v>
      </c>
      <c r="B25" s="84" t="s">
        <v>636</v>
      </c>
      <c r="C25" s="84"/>
      <c r="D25" s="57">
        <v>10020025</v>
      </c>
      <c r="E25" s="57">
        <v>41025</v>
      </c>
      <c r="F25" s="58" t="s">
        <v>2479</v>
      </c>
      <c r="G25" s="58" t="s">
        <v>2436</v>
      </c>
      <c r="H25" s="10">
        <v>390</v>
      </c>
      <c r="I25" s="10">
        <v>1</v>
      </c>
      <c r="J25" s="101">
        <f t="shared" si="1"/>
        <v>389</v>
      </c>
      <c r="K25" s="58" t="s">
        <v>2445</v>
      </c>
      <c r="L25" s="58" t="s">
        <v>2446</v>
      </c>
    </row>
    <row r="26" customFormat="1" hidden="1" spans="1:12">
      <c r="A26" t="str">
        <f t="shared" si="0"/>
        <v>加拿大七店1201000160001整份</v>
      </c>
      <c r="B26" s="84" t="s">
        <v>636</v>
      </c>
      <c r="C26" s="84"/>
      <c r="D26" s="57">
        <v>12010001</v>
      </c>
      <c r="E26" s="57">
        <v>60001</v>
      </c>
      <c r="F26" s="58" t="s">
        <v>2480</v>
      </c>
      <c r="G26" s="58" t="s">
        <v>2436</v>
      </c>
      <c r="H26" s="10">
        <v>17793</v>
      </c>
      <c r="I26" s="10">
        <v>74</v>
      </c>
      <c r="J26" s="101">
        <f t="shared" si="1"/>
        <v>17719</v>
      </c>
      <c r="K26" s="58" t="s">
        <v>2466</v>
      </c>
      <c r="L26" s="58" t="s">
        <v>2481</v>
      </c>
    </row>
    <row r="27" customFormat="1" hidden="1" spans="1:12">
      <c r="A27" t="str">
        <f t="shared" si="0"/>
        <v>加拿大七店1101003050055整份</v>
      </c>
      <c r="B27" s="84" t="s">
        <v>636</v>
      </c>
      <c r="C27" s="84"/>
      <c r="D27" s="57">
        <v>11010030</v>
      </c>
      <c r="E27" s="57">
        <v>50055</v>
      </c>
      <c r="F27" s="58" t="s">
        <v>2482</v>
      </c>
      <c r="G27" s="58" t="s">
        <v>2436</v>
      </c>
      <c r="H27" s="10">
        <v>247</v>
      </c>
      <c r="I27" s="10">
        <v>4</v>
      </c>
      <c r="J27" s="101">
        <f t="shared" si="1"/>
        <v>243</v>
      </c>
      <c r="K27" s="58" t="s">
        <v>2466</v>
      </c>
      <c r="L27" s="58" t="s">
        <v>2467</v>
      </c>
    </row>
    <row r="28" customFormat="1" hidden="1" spans="1:12">
      <c r="A28" t="str">
        <f t="shared" si="0"/>
        <v>加拿大七店1002002771120份</v>
      </c>
      <c r="B28" s="84" t="s">
        <v>636</v>
      </c>
      <c r="C28" s="84"/>
      <c r="D28" s="57">
        <v>10020027</v>
      </c>
      <c r="E28" s="57">
        <v>71120</v>
      </c>
      <c r="F28" s="58" t="s">
        <v>2483</v>
      </c>
      <c r="G28" s="58" t="s">
        <v>2454</v>
      </c>
      <c r="H28" s="10">
        <v>140</v>
      </c>
      <c r="I28" s="10">
        <v>0</v>
      </c>
      <c r="J28" s="101">
        <f t="shared" si="1"/>
        <v>140</v>
      </c>
      <c r="K28" s="58" t="s">
        <v>2445</v>
      </c>
      <c r="L28" s="58" t="s">
        <v>2446</v>
      </c>
    </row>
    <row r="29" customFormat="1" hidden="1" spans="1:12">
      <c r="A29" t="str">
        <f t="shared" si="0"/>
        <v>加拿大七店901002130022半份</v>
      </c>
      <c r="B29" s="84" t="s">
        <v>636</v>
      </c>
      <c r="C29" s="84"/>
      <c r="D29" s="57">
        <v>9010021</v>
      </c>
      <c r="E29" s="57">
        <v>30022</v>
      </c>
      <c r="F29" s="58" t="s">
        <v>2484</v>
      </c>
      <c r="G29" s="58" t="s">
        <v>2440</v>
      </c>
      <c r="H29" s="10">
        <v>239</v>
      </c>
      <c r="I29" s="10">
        <v>1</v>
      </c>
      <c r="J29" s="101">
        <f t="shared" si="1"/>
        <v>238</v>
      </c>
      <c r="K29" s="58" t="s">
        <v>2474</v>
      </c>
      <c r="L29" s="58" t="s">
        <v>2475</v>
      </c>
    </row>
    <row r="30" customFormat="1" hidden="1" spans="1:12">
      <c r="A30" t="str">
        <f t="shared" si="0"/>
        <v>加拿大七店901002130021整份</v>
      </c>
      <c r="B30" s="84" t="s">
        <v>636</v>
      </c>
      <c r="C30" s="84"/>
      <c r="D30" s="57">
        <v>9010021</v>
      </c>
      <c r="E30" s="57">
        <v>30021</v>
      </c>
      <c r="F30" s="58" t="s">
        <v>2485</v>
      </c>
      <c r="G30" s="58" t="s">
        <v>2436</v>
      </c>
      <c r="H30" s="10">
        <v>193</v>
      </c>
      <c r="I30" s="10">
        <v>1</v>
      </c>
      <c r="J30" s="101">
        <f t="shared" si="1"/>
        <v>192</v>
      </c>
      <c r="K30" s="58" t="s">
        <v>2474</v>
      </c>
      <c r="L30" s="58" t="s">
        <v>2475</v>
      </c>
    </row>
    <row r="31" customFormat="1" hidden="1" spans="1:12">
      <c r="A31" t="str">
        <f t="shared" si="0"/>
        <v>加拿大七店903033032331整份</v>
      </c>
      <c r="B31" s="84" t="s">
        <v>636</v>
      </c>
      <c r="C31" s="84"/>
      <c r="D31" s="57">
        <v>9030330</v>
      </c>
      <c r="E31" s="57">
        <v>32331</v>
      </c>
      <c r="F31" s="58" t="s">
        <v>2486</v>
      </c>
      <c r="G31" s="58" t="s">
        <v>2436</v>
      </c>
      <c r="H31" s="10">
        <v>179</v>
      </c>
      <c r="I31" s="10">
        <v>1</v>
      </c>
      <c r="J31" s="101">
        <f t="shared" si="1"/>
        <v>178</v>
      </c>
      <c r="K31" s="58" t="s">
        <v>2437</v>
      </c>
      <c r="L31" s="58" t="s">
        <v>2464</v>
      </c>
    </row>
    <row r="32" customFormat="1" hidden="1" spans="1:12">
      <c r="A32" t="str">
        <f t="shared" si="0"/>
        <v>加拿大七店903033032332半份</v>
      </c>
      <c r="B32" s="84" t="s">
        <v>636</v>
      </c>
      <c r="C32" s="84"/>
      <c r="D32" s="57">
        <v>9030330</v>
      </c>
      <c r="E32" s="57">
        <v>32332</v>
      </c>
      <c r="F32" s="58" t="s">
        <v>2487</v>
      </c>
      <c r="G32" s="58" t="s">
        <v>2440</v>
      </c>
      <c r="H32" s="10">
        <v>308</v>
      </c>
      <c r="I32" s="10">
        <v>3</v>
      </c>
      <c r="J32" s="101">
        <f t="shared" si="1"/>
        <v>305</v>
      </c>
      <c r="K32" s="58" t="s">
        <v>2437</v>
      </c>
      <c r="L32" s="58" t="s">
        <v>2464</v>
      </c>
    </row>
    <row r="33" customFormat="1" hidden="1" spans="1:12">
      <c r="A33" t="str">
        <f t="shared" si="0"/>
        <v>加拿大七店1002002341023整份</v>
      </c>
      <c r="B33" s="84" t="s">
        <v>636</v>
      </c>
      <c r="C33" s="84"/>
      <c r="D33" s="57">
        <v>10020023</v>
      </c>
      <c r="E33" s="57">
        <v>41023</v>
      </c>
      <c r="F33" s="58" t="s">
        <v>2488</v>
      </c>
      <c r="G33" s="58" t="s">
        <v>2436</v>
      </c>
      <c r="H33" s="10">
        <v>535</v>
      </c>
      <c r="I33" s="10">
        <v>2</v>
      </c>
      <c r="J33" s="101">
        <f t="shared" si="1"/>
        <v>533</v>
      </c>
      <c r="K33" s="58" t="s">
        <v>2445</v>
      </c>
      <c r="L33" s="58" t="s">
        <v>2489</v>
      </c>
    </row>
    <row r="34" customFormat="1" hidden="1" spans="1:12">
      <c r="A34" t="str">
        <f t="shared" si="0"/>
        <v>加拿大七店1002002341024半份</v>
      </c>
      <c r="B34" s="84" t="s">
        <v>636</v>
      </c>
      <c r="C34" s="84"/>
      <c r="D34" s="57">
        <v>10020023</v>
      </c>
      <c r="E34" s="57">
        <v>41024</v>
      </c>
      <c r="F34" s="58" t="s">
        <v>2490</v>
      </c>
      <c r="G34" s="58" t="s">
        <v>2440</v>
      </c>
      <c r="H34" s="10">
        <v>638</v>
      </c>
      <c r="I34" s="10">
        <v>4</v>
      </c>
      <c r="J34" s="101">
        <f t="shared" si="1"/>
        <v>634</v>
      </c>
      <c r="K34" s="58" t="s">
        <v>2445</v>
      </c>
      <c r="L34" s="58" t="s">
        <v>2489</v>
      </c>
    </row>
    <row r="35" customFormat="1" hidden="1" spans="1:12">
      <c r="A35" t="str">
        <f t="shared" si="0"/>
        <v>加拿大七店1201000260002冰镇</v>
      </c>
      <c r="B35" s="84" t="s">
        <v>636</v>
      </c>
      <c r="C35" s="84"/>
      <c r="D35" s="57">
        <v>12010002</v>
      </c>
      <c r="E35" s="57">
        <v>60002</v>
      </c>
      <c r="F35" s="58" t="s">
        <v>2354</v>
      </c>
      <c r="G35" s="58" t="s">
        <v>2450</v>
      </c>
      <c r="H35" s="10">
        <v>134</v>
      </c>
      <c r="I35" s="10">
        <v>1</v>
      </c>
      <c r="J35" s="101">
        <f t="shared" si="1"/>
        <v>133</v>
      </c>
      <c r="K35" s="58" t="s">
        <v>2451</v>
      </c>
      <c r="L35" s="58" t="s">
        <v>2452</v>
      </c>
    </row>
    <row r="36" customFormat="1" hidden="1" spans="1:12">
      <c r="A36" t="str">
        <f t="shared" si="0"/>
        <v>加拿大七店903005732058半份</v>
      </c>
      <c r="B36" s="84" t="s">
        <v>636</v>
      </c>
      <c r="C36" s="84"/>
      <c r="D36" s="57">
        <v>9030057</v>
      </c>
      <c r="E36" s="57">
        <v>32058</v>
      </c>
      <c r="F36" s="58" t="s">
        <v>2491</v>
      </c>
      <c r="G36" s="58" t="s">
        <v>2440</v>
      </c>
      <c r="H36" s="10">
        <v>113</v>
      </c>
      <c r="I36" s="10">
        <v>0</v>
      </c>
      <c r="J36" s="101">
        <f t="shared" si="1"/>
        <v>113</v>
      </c>
      <c r="K36" s="58" t="s">
        <v>2437</v>
      </c>
      <c r="L36" s="58" t="s">
        <v>2464</v>
      </c>
    </row>
    <row r="37" customFormat="1" hidden="1" spans="1:12">
      <c r="A37" t="str">
        <f t="shared" si="0"/>
        <v>加拿大七店903005732057整份</v>
      </c>
      <c r="B37" s="84" t="s">
        <v>636</v>
      </c>
      <c r="C37" s="84"/>
      <c r="D37" s="57">
        <v>9030057</v>
      </c>
      <c r="E37" s="57">
        <v>32057</v>
      </c>
      <c r="F37" s="58" t="s">
        <v>2492</v>
      </c>
      <c r="G37" s="58" t="s">
        <v>2436</v>
      </c>
      <c r="H37" s="10">
        <v>41</v>
      </c>
      <c r="I37" s="10">
        <v>1</v>
      </c>
      <c r="J37" s="101">
        <f t="shared" si="1"/>
        <v>40</v>
      </c>
      <c r="K37" s="58" t="s">
        <v>2437</v>
      </c>
      <c r="L37" s="58" t="s">
        <v>2464</v>
      </c>
    </row>
    <row r="38" customFormat="1" hidden="1" spans="1:12">
      <c r="A38" t="str">
        <f t="shared" si="0"/>
        <v>加拿大七店1002002941030半份</v>
      </c>
      <c r="B38" s="84" t="s">
        <v>636</v>
      </c>
      <c r="C38" s="84"/>
      <c r="D38" s="57">
        <v>10020029</v>
      </c>
      <c r="E38" s="57">
        <v>41030</v>
      </c>
      <c r="F38" s="58" t="s">
        <v>2493</v>
      </c>
      <c r="G38" s="58" t="s">
        <v>2440</v>
      </c>
      <c r="H38" s="10">
        <v>262</v>
      </c>
      <c r="I38" s="10">
        <v>1</v>
      </c>
      <c r="J38" s="101">
        <f t="shared" si="1"/>
        <v>261</v>
      </c>
      <c r="K38" s="58" t="s">
        <v>2445</v>
      </c>
      <c r="L38" s="58" t="s">
        <v>2446</v>
      </c>
    </row>
    <row r="39" customFormat="1" hidden="1" spans="1:12">
      <c r="A39" t="str">
        <f t="shared" si="0"/>
        <v>加拿大七店1002002941029整份</v>
      </c>
      <c r="B39" s="84" t="s">
        <v>636</v>
      </c>
      <c r="C39" s="84"/>
      <c r="D39" s="57">
        <v>10020029</v>
      </c>
      <c r="E39" s="57">
        <v>41029</v>
      </c>
      <c r="F39" s="58" t="s">
        <v>2494</v>
      </c>
      <c r="G39" s="58" t="s">
        <v>2436</v>
      </c>
      <c r="H39" s="10">
        <v>124</v>
      </c>
      <c r="I39" s="10">
        <v>0</v>
      </c>
      <c r="J39" s="101">
        <f t="shared" si="1"/>
        <v>124</v>
      </c>
      <c r="K39" s="58" t="s">
        <v>2445</v>
      </c>
      <c r="L39" s="58" t="s">
        <v>2446</v>
      </c>
    </row>
    <row r="40" customFormat="1" hidden="1" spans="1:12">
      <c r="A40" t="str">
        <f t="shared" si="0"/>
        <v>加拿大七店7000120678510半份</v>
      </c>
      <c r="B40" s="84" t="s">
        <v>636</v>
      </c>
      <c r="C40" s="84"/>
      <c r="D40" s="57">
        <v>70001206</v>
      </c>
      <c r="E40" s="57">
        <v>78510</v>
      </c>
      <c r="F40" s="58" t="s">
        <v>2495</v>
      </c>
      <c r="G40" s="58" t="s">
        <v>2440</v>
      </c>
      <c r="H40" s="10">
        <v>294</v>
      </c>
      <c r="I40" s="10">
        <v>0</v>
      </c>
      <c r="J40" s="101">
        <f t="shared" si="1"/>
        <v>294</v>
      </c>
      <c r="K40" s="58" t="s">
        <v>2445</v>
      </c>
      <c r="L40" s="58" t="s">
        <v>2477</v>
      </c>
    </row>
    <row r="41" customFormat="1" hidden="1" spans="1:12">
      <c r="A41" t="str">
        <f t="shared" si="0"/>
        <v>加拿大七店7000120678509整份</v>
      </c>
      <c r="B41" s="84" t="s">
        <v>636</v>
      </c>
      <c r="C41" s="84" t="str">
        <f>D41&amp;G41</f>
        <v>70001206整份</v>
      </c>
      <c r="D41" s="57">
        <v>70001206</v>
      </c>
      <c r="E41" s="57">
        <v>78509</v>
      </c>
      <c r="F41" s="58" t="s">
        <v>2496</v>
      </c>
      <c r="G41" s="58" t="s">
        <v>2436</v>
      </c>
      <c r="H41" s="10">
        <v>180</v>
      </c>
      <c r="I41" s="10">
        <v>0</v>
      </c>
      <c r="J41" s="101">
        <f t="shared" si="1"/>
        <v>180</v>
      </c>
      <c r="K41" s="58" t="s">
        <v>2445</v>
      </c>
      <c r="L41" s="58" t="s">
        <v>2477</v>
      </c>
    </row>
    <row r="42" customFormat="1" hidden="1" spans="1:12">
      <c r="A42" t="str">
        <f t="shared" si="0"/>
        <v>加拿大七店1202004261045整份</v>
      </c>
      <c r="B42" s="84" t="s">
        <v>636</v>
      </c>
      <c r="C42" s="84" t="str">
        <f>D42&amp;G42</f>
        <v>12020042整份</v>
      </c>
      <c r="D42" s="57">
        <v>12020042</v>
      </c>
      <c r="E42" s="57">
        <v>61045</v>
      </c>
      <c r="F42" s="58" t="s">
        <v>2497</v>
      </c>
      <c r="G42" s="58" t="s">
        <v>2436</v>
      </c>
      <c r="H42" s="10">
        <v>4355</v>
      </c>
      <c r="I42" s="10">
        <v>7</v>
      </c>
      <c r="J42" s="101">
        <f t="shared" si="1"/>
        <v>4348</v>
      </c>
      <c r="K42" s="58" t="s">
        <v>2466</v>
      </c>
      <c r="L42" s="58" t="s">
        <v>2467</v>
      </c>
    </row>
    <row r="43" customFormat="1" hidden="1" spans="1:12">
      <c r="A43" t="str">
        <f t="shared" si="0"/>
        <v>加拿大七店7000169879583半份</v>
      </c>
      <c r="B43" s="84" t="s">
        <v>636</v>
      </c>
      <c r="C43" s="84" t="str">
        <f>D43&amp;G43</f>
        <v>70001698半份</v>
      </c>
      <c r="D43" s="57">
        <v>70001698</v>
      </c>
      <c r="E43" s="57">
        <v>79583</v>
      </c>
      <c r="F43" s="58" t="s">
        <v>2498</v>
      </c>
      <c r="G43" s="58" t="s">
        <v>2440</v>
      </c>
      <c r="H43" s="10">
        <v>245</v>
      </c>
      <c r="I43" s="10">
        <v>1</v>
      </c>
      <c r="J43" s="101">
        <f t="shared" si="1"/>
        <v>244</v>
      </c>
      <c r="K43" s="58" t="s">
        <v>2437</v>
      </c>
      <c r="L43" s="58" t="s">
        <v>2499</v>
      </c>
    </row>
    <row r="44" customFormat="1" hidden="1" spans="1:12">
      <c r="A44" t="str">
        <f t="shared" si="0"/>
        <v>加拿大七店7000169879582整份</v>
      </c>
      <c r="B44" s="84" t="s">
        <v>636</v>
      </c>
      <c r="C44" s="84" t="str">
        <f>D44&amp;G44</f>
        <v>70001698整份</v>
      </c>
      <c r="D44" s="57">
        <v>70001698</v>
      </c>
      <c r="E44" s="57">
        <v>79582</v>
      </c>
      <c r="F44" s="58" t="s">
        <v>2500</v>
      </c>
      <c r="G44" s="58" t="s">
        <v>2436</v>
      </c>
      <c r="H44" s="10">
        <v>178</v>
      </c>
      <c r="I44" s="10">
        <v>0</v>
      </c>
      <c r="J44" s="101">
        <f t="shared" si="1"/>
        <v>178</v>
      </c>
      <c r="K44" s="58" t="s">
        <v>2437</v>
      </c>
      <c r="L44" s="58" t="s">
        <v>2499</v>
      </c>
    </row>
    <row r="45" customFormat="1" hidden="1" spans="1:12">
      <c r="A45" t="str">
        <f t="shared" si="0"/>
        <v>加拿大七店1001031240521整份</v>
      </c>
      <c r="B45" s="84" t="s">
        <v>636</v>
      </c>
      <c r="C45" s="84" t="str">
        <f>D45&amp;G45</f>
        <v>10010312整份</v>
      </c>
      <c r="D45" s="57">
        <v>10010312</v>
      </c>
      <c r="E45" s="57">
        <v>40521</v>
      </c>
      <c r="F45" s="58" t="s">
        <v>2501</v>
      </c>
      <c r="G45" s="58" t="s">
        <v>2436</v>
      </c>
      <c r="H45" s="10">
        <v>455</v>
      </c>
      <c r="I45" s="10">
        <v>2</v>
      </c>
      <c r="J45" s="101">
        <f t="shared" si="1"/>
        <v>453</v>
      </c>
      <c r="K45" s="58" t="s">
        <v>2445</v>
      </c>
      <c r="L45" s="58" t="s">
        <v>2477</v>
      </c>
    </row>
    <row r="46" customFormat="1" hidden="1" spans="1:12">
      <c r="A46" t="str">
        <f t="shared" si="0"/>
        <v>加拿大七店900028141109399瓶</v>
      </c>
      <c r="B46" s="84" t="s">
        <v>636</v>
      </c>
      <c r="C46" s="84"/>
      <c r="D46" s="57">
        <v>90002814</v>
      </c>
      <c r="E46" s="57">
        <v>1109399</v>
      </c>
      <c r="F46" s="58" t="s">
        <v>2502</v>
      </c>
      <c r="G46" s="58" t="s">
        <v>32</v>
      </c>
      <c r="H46" s="10">
        <v>490</v>
      </c>
      <c r="I46" s="10">
        <v>2</v>
      </c>
      <c r="J46" s="101">
        <f t="shared" si="1"/>
        <v>488</v>
      </c>
      <c r="K46" s="58" t="s">
        <v>2451</v>
      </c>
      <c r="L46" s="58" t="s">
        <v>2452</v>
      </c>
    </row>
    <row r="47" customFormat="1" hidden="1" spans="1:12">
      <c r="A47" t="str">
        <f t="shared" si="0"/>
        <v>加拿大七店902006331063整份</v>
      </c>
      <c r="B47" s="84" t="s">
        <v>636</v>
      </c>
      <c r="C47" s="84"/>
      <c r="D47" s="57">
        <v>9020063</v>
      </c>
      <c r="E47" s="57">
        <v>31063</v>
      </c>
      <c r="F47" s="58" t="s">
        <v>2503</v>
      </c>
      <c r="G47" s="58" t="s">
        <v>2436</v>
      </c>
      <c r="H47" s="10">
        <v>1661</v>
      </c>
      <c r="I47" s="10">
        <v>6</v>
      </c>
      <c r="J47" s="101">
        <f t="shared" si="1"/>
        <v>1655</v>
      </c>
      <c r="K47" s="58" t="s">
        <v>2437</v>
      </c>
      <c r="L47" s="58" t="s">
        <v>2499</v>
      </c>
    </row>
    <row r="48" customFormat="1" hidden="1" spans="1:12">
      <c r="A48" t="str">
        <f t="shared" si="0"/>
        <v>加拿大七店1301004070040冰镇</v>
      </c>
      <c r="B48" s="84" t="s">
        <v>636</v>
      </c>
      <c r="C48" s="84"/>
      <c r="D48" s="57">
        <v>13010040</v>
      </c>
      <c r="E48" s="57">
        <v>70040</v>
      </c>
      <c r="F48" s="58" t="s">
        <v>2360</v>
      </c>
      <c r="G48" s="58" t="s">
        <v>2450</v>
      </c>
      <c r="H48" s="10">
        <v>554</v>
      </c>
      <c r="I48" s="10">
        <v>3</v>
      </c>
      <c r="J48" s="101">
        <f t="shared" si="1"/>
        <v>551</v>
      </c>
      <c r="K48" s="58" t="s">
        <v>2451</v>
      </c>
      <c r="L48" s="58" t="s">
        <v>2452</v>
      </c>
    </row>
    <row r="49" customFormat="1" hidden="1" spans="1:12">
      <c r="A49" t="str">
        <f t="shared" si="0"/>
        <v>加拿大七店1002027041280半份</v>
      </c>
      <c r="B49" s="84" t="s">
        <v>636</v>
      </c>
      <c r="C49" s="84"/>
      <c r="D49" s="57">
        <v>10020270</v>
      </c>
      <c r="E49" s="57">
        <v>41280</v>
      </c>
      <c r="F49" s="58" t="s">
        <v>2504</v>
      </c>
      <c r="G49" s="58" t="s">
        <v>2440</v>
      </c>
      <c r="H49" s="10">
        <v>501</v>
      </c>
      <c r="I49" s="10">
        <v>2</v>
      </c>
      <c r="J49" s="101">
        <f t="shared" si="1"/>
        <v>499</v>
      </c>
      <c r="K49" s="58" t="s">
        <v>2445</v>
      </c>
      <c r="L49" s="58" t="s">
        <v>2477</v>
      </c>
    </row>
    <row r="50" customFormat="1" hidden="1" spans="1:12">
      <c r="A50" t="str">
        <f t="shared" si="0"/>
        <v>加拿大七店1002027041279整份</v>
      </c>
      <c r="B50" s="84" t="s">
        <v>636</v>
      </c>
      <c r="C50" s="84"/>
      <c r="D50" s="57">
        <v>10020270</v>
      </c>
      <c r="E50" s="57">
        <v>41279</v>
      </c>
      <c r="F50" s="58" t="s">
        <v>2505</v>
      </c>
      <c r="G50" s="58" t="s">
        <v>2436</v>
      </c>
      <c r="H50" s="10">
        <v>356</v>
      </c>
      <c r="I50" s="10">
        <v>0</v>
      </c>
      <c r="J50" s="101">
        <f t="shared" si="1"/>
        <v>356</v>
      </c>
      <c r="K50" s="58" t="s">
        <v>2445</v>
      </c>
      <c r="L50" s="58" t="s">
        <v>2477</v>
      </c>
    </row>
    <row r="51" customFormat="1" hidden="1" spans="1:12">
      <c r="A51" t="str">
        <f t="shared" si="0"/>
        <v>加拿大七店1060062单锅</v>
      </c>
      <c r="B51" s="84" t="s">
        <v>636</v>
      </c>
      <c r="C51" s="84"/>
      <c r="D51" s="57">
        <v>1060062</v>
      </c>
      <c r="E51" s="58" t="s">
        <v>641</v>
      </c>
      <c r="F51" s="58" t="s">
        <v>2506</v>
      </c>
      <c r="G51" s="58" t="s">
        <v>2507</v>
      </c>
      <c r="H51" s="10">
        <v>53</v>
      </c>
      <c r="I51" s="10">
        <v>7</v>
      </c>
      <c r="J51" s="101">
        <f t="shared" si="1"/>
        <v>46</v>
      </c>
      <c r="K51" s="58" t="s">
        <v>2458</v>
      </c>
      <c r="L51" s="58" t="s">
        <v>2508</v>
      </c>
    </row>
    <row r="52" customFormat="1" hidden="1" spans="1:12">
      <c r="A52" t="str">
        <f t="shared" si="0"/>
        <v>加拿大七店1060062拼锅</v>
      </c>
      <c r="B52" s="84" t="s">
        <v>636</v>
      </c>
      <c r="C52" s="84"/>
      <c r="D52" s="57">
        <v>1060062</v>
      </c>
      <c r="E52" s="58" t="s">
        <v>641</v>
      </c>
      <c r="F52" s="58" t="s">
        <v>2506</v>
      </c>
      <c r="G52" s="58" t="s">
        <v>2457</v>
      </c>
      <c r="H52" s="10">
        <v>1190</v>
      </c>
      <c r="I52" s="10">
        <v>26</v>
      </c>
      <c r="J52" s="101">
        <f t="shared" si="1"/>
        <v>1164</v>
      </c>
      <c r="K52" s="58" t="s">
        <v>2458</v>
      </c>
      <c r="L52" s="58" t="s">
        <v>2459</v>
      </c>
    </row>
    <row r="53" customFormat="1" hidden="1" spans="1:12">
      <c r="A53" t="str">
        <f t="shared" si="0"/>
        <v>加拿大七店1060062四宫格</v>
      </c>
      <c r="B53" s="84" t="s">
        <v>636</v>
      </c>
      <c r="C53" s="84"/>
      <c r="D53" s="57">
        <v>1060062</v>
      </c>
      <c r="E53" s="58" t="s">
        <v>641</v>
      </c>
      <c r="F53" s="58" t="s">
        <v>2506</v>
      </c>
      <c r="G53" s="58" t="s">
        <v>2460</v>
      </c>
      <c r="H53" s="10">
        <v>1381</v>
      </c>
      <c r="I53" s="10">
        <v>27</v>
      </c>
      <c r="J53" s="101">
        <f t="shared" si="1"/>
        <v>1354</v>
      </c>
      <c r="K53" s="58" t="s">
        <v>2458</v>
      </c>
      <c r="L53" s="58" t="s">
        <v>2461</v>
      </c>
    </row>
    <row r="54" customFormat="1" hidden="1" spans="1:12">
      <c r="A54" t="str">
        <f t="shared" si="0"/>
        <v>加拿大七店301002320024半份</v>
      </c>
      <c r="B54" s="84" t="s">
        <v>636</v>
      </c>
      <c r="C54" s="84"/>
      <c r="D54" s="57">
        <v>3010023</v>
      </c>
      <c r="E54" s="57">
        <v>20024</v>
      </c>
      <c r="F54" s="58" t="s">
        <v>2509</v>
      </c>
      <c r="G54" s="58" t="s">
        <v>2440</v>
      </c>
      <c r="H54" s="10">
        <v>553</v>
      </c>
      <c r="I54" s="10">
        <v>3</v>
      </c>
      <c r="J54" s="101">
        <f t="shared" si="1"/>
        <v>550</v>
      </c>
      <c r="K54" s="58" t="s">
        <v>2474</v>
      </c>
      <c r="L54" s="58" t="s">
        <v>2475</v>
      </c>
    </row>
    <row r="55" customFormat="1" hidden="1" spans="1:12">
      <c r="A55" t="str">
        <f t="shared" si="0"/>
        <v>加拿大七店301002320023整份</v>
      </c>
      <c r="B55" s="84" t="s">
        <v>636</v>
      </c>
      <c r="C55" s="84"/>
      <c r="D55" s="57">
        <v>3010023</v>
      </c>
      <c r="E55" s="57">
        <v>20023</v>
      </c>
      <c r="F55" s="58" t="s">
        <v>2510</v>
      </c>
      <c r="G55" s="58" t="s">
        <v>2436</v>
      </c>
      <c r="H55" s="10">
        <v>191</v>
      </c>
      <c r="I55" s="10">
        <v>1</v>
      </c>
      <c r="J55" s="101">
        <f t="shared" si="1"/>
        <v>190</v>
      </c>
      <c r="K55" s="58" t="s">
        <v>2474</v>
      </c>
      <c r="L55" s="58" t="s">
        <v>2475</v>
      </c>
    </row>
    <row r="56" customFormat="1" hidden="1" spans="1:12">
      <c r="A56" t="str">
        <f t="shared" si="0"/>
        <v>加拿大七店1060061拼锅</v>
      </c>
      <c r="B56" s="84" t="s">
        <v>636</v>
      </c>
      <c r="C56" s="84"/>
      <c r="D56" s="57">
        <v>1060061</v>
      </c>
      <c r="E56" s="58" t="s">
        <v>641</v>
      </c>
      <c r="F56" s="58" t="s">
        <v>2511</v>
      </c>
      <c r="G56" s="58" t="s">
        <v>2457</v>
      </c>
      <c r="H56" s="10">
        <v>276</v>
      </c>
      <c r="I56" s="10">
        <v>11</v>
      </c>
      <c r="J56" s="101">
        <f t="shared" si="1"/>
        <v>265</v>
      </c>
      <c r="K56" s="58" t="s">
        <v>2458</v>
      </c>
      <c r="L56" s="58" t="s">
        <v>2459</v>
      </c>
    </row>
    <row r="57" customFormat="1" hidden="1" spans="1:12">
      <c r="A57" t="str">
        <f t="shared" si="0"/>
        <v>加拿大七店1060061四宫格</v>
      </c>
      <c r="B57" s="84" t="s">
        <v>636</v>
      </c>
      <c r="C57" s="84"/>
      <c r="D57" s="57">
        <v>1060061</v>
      </c>
      <c r="E57" s="58" t="s">
        <v>641</v>
      </c>
      <c r="F57" s="58" t="s">
        <v>2511</v>
      </c>
      <c r="G57" s="58" t="s">
        <v>2460</v>
      </c>
      <c r="H57" s="10">
        <v>494</v>
      </c>
      <c r="I57" s="10">
        <v>5</v>
      </c>
      <c r="J57" s="101">
        <f t="shared" si="1"/>
        <v>489</v>
      </c>
      <c r="K57" s="58" t="s">
        <v>2458</v>
      </c>
      <c r="L57" s="58" t="s">
        <v>2461</v>
      </c>
    </row>
    <row r="58" customFormat="1" hidden="1" spans="1:12">
      <c r="A58" t="str">
        <f t="shared" si="0"/>
        <v>加拿大七店1060064拼锅</v>
      </c>
      <c r="B58" s="84" t="s">
        <v>636</v>
      </c>
      <c r="C58" s="84"/>
      <c r="D58" s="57">
        <v>1060064</v>
      </c>
      <c r="E58" s="58" t="s">
        <v>641</v>
      </c>
      <c r="F58" s="58" t="s">
        <v>2342</v>
      </c>
      <c r="G58" s="58" t="s">
        <v>2457</v>
      </c>
      <c r="H58" s="10">
        <v>798</v>
      </c>
      <c r="I58" s="10">
        <v>21</v>
      </c>
      <c r="J58" s="101">
        <f t="shared" si="1"/>
        <v>777</v>
      </c>
      <c r="K58" s="58" t="s">
        <v>2458</v>
      </c>
      <c r="L58" s="58" t="s">
        <v>2459</v>
      </c>
    </row>
    <row r="59" customFormat="1" hidden="1" spans="1:12">
      <c r="A59" t="str">
        <f t="shared" si="0"/>
        <v>加拿大七店1060064四宫格</v>
      </c>
      <c r="B59" s="84" t="s">
        <v>636</v>
      </c>
      <c r="C59" s="84"/>
      <c r="D59" s="57">
        <v>1060064</v>
      </c>
      <c r="E59" s="58" t="s">
        <v>641</v>
      </c>
      <c r="F59" s="58" t="s">
        <v>2342</v>
      </c>
      <c r="G59" s="58" t="s">
        <v>2460</v>
      </c>
      <c r="H59" s="10">
        <v>1230</v>
      </c>
      <c r="I59" s="10">
        <v>17</v>
      </c>
      <c r="J59" s="101">
        <f t="shared" si="1"/>
        <v>1213</v>
      </c>
      <c r="K59" s="58" t="s">
        <v>2458</v>
      </c>
      <c r="L59" s="58" t="s">
        <v>2461</v>
      </c>
    </row>
    <row r="60" customFormat="1" hidden="1" spans="1:12">
      <c r="A60" t="str">
        <f t="shared" si="0"/>
        <v>加拿大七店1060063拼锅</v>
      </c>
      <c r="B60" s="84" t="s">
        <v>636</v>
      </c>
      <c r="C60" s="84" t="str">
        <f>D60&amp;G60</f>
        <v>1060063拼锅</v>
      </c>
      <c r="D60" s="57">
        <v>1060063</v>
      </c>
      <c r="E60" s="58" t="s">
        <v>641</v>
      </c>
      <c r="F60" s="58" t="s">
        <v>2340</v>
      </c>
      <c r="G60" s="58" t="s">
        <v>2457</v>
      </c>
      <c r="H60" s="10">
        <v>358</v>
      </c>
      <c r="I60" s="10">
        <v>9</v>
      </c>
      <c r="J60" s="101">
        <f t="shared" si="1"/>
        <v>349</v>
      </c>
      <c r="K60" s="58" t="s">
        <v>2458</v>
      </c>
      <c r="L60" s="58" t="s">
        <v>2459</v>
      </c>
    </row>
    <row r="61" customFormat="1" hidden="1" spans="1:12">
      <c r="A61" t="str">
        <f t="shared" si="0"/>
        <v>加拿大七店1060063四宫格</v>
      </c>
      <c r="B61" s="84" t="s">
        <v>636</v>
      </c>
      <c r="C61" s="84" t="str">
        <f>D61&amp;G61</f>
        <v>1060063四宫格</v>
      </c>
      <c r="D61" s="57">
        <v>1060063</v>
      </c>
      <c r="E61" s="58" t="s">
        <v>641</v>
      </c>
      <c r="F61" s="58" t="s">
        <v>2340</v>
      </c>
      <c r="G61" s="58" t="s">
        <v>2460</v>
      </c>
      <c r="H61" s="10">
        <v>708</v>
      </c>
      <c r="I61" s="10">
        <v>11</v>
      </c>
      <c r="J61" s="101">
        <f t="shared" si="1"/>
        <v>697</v>
      </c>
      <c r="K61" s="58" t="s">
        <v>2458</v>
      </c>
      <c r="L61" s="58" t="s">
        <v>2461</v>
      </c>
    </row>
    <row r="62" customFormat="1" hidden="1" spans="1:12">
      <c r="A62" t="str">
        <f t="shared" si="0"/>
        <v>加拿大七店1060066拼锅</v>
      </c>
      <c r="B62" s="84" t="s">
        <v>636</v>
      </c>
      <c r="C62" s="84" t="str">
        <f>D62&amp;G62</f>
        <v>1060066拼锅</v>
      </c>
      <c r="D62" s="57">
        <v>1060066</v>
      </c>
      <c r="E62" s="58" t="s">
        <v>641</v>
      </c>
      <c r="F62" s="58" t="s">
        <v>2344</v>
      </c>
      <c r="G62" s="58" t="s">
        <v>2457</v>
      </c>
      <c r="H62" s="10">
        <v>1331</v>
      </c>
      <c r="I62" s="10">
        <v>32</v>
      </c>
      <c r="J62" s="101">
        <f t="shared" si="1"/>
        <v>1299</v>
      </c>
      <c r="K62" s="58" t="s">
        <v>2458</v>
      </c>
      <c r="L62" s="58" t="s">
        <v>2459</v>
      </c>
    </row>
    <row r="63" customFormat="1" hidden="1" spans="1:12">
      <c r="A63" t="str">
        <f t="shared" si="0"/>
        <v>加拿大七店1060066四宫格</v>
      </c>
      <c r="B63" s="84" t="s">
        <v>636</v>
      </c>
      <c r="C63" s="84" t="str">
        <f>D63&amp;G63</f>
        <v>1060066四宫格</v>
      </c>
      <c r="D63" s="57">
        <v>1060066</v>
      </c>
      <c r="E63" s="58" t="s">
        <v>641</v>
      </c>
      <c r="F63" s="58" t="s">
        <v>2344</v>
      </c>
      <c r="G63" s="58" t="s">
        <v>2460</v>
      </c>
      <c r="H63" s="10">
        <v>2096</v>
      </c>
      <c r="I63" s="10">
        <v>35</v>
      </c>
      <c r="J63" s="101">
        <f t="shared" si="1"/>
        <v>2061</v>
      </c>
      <c r="K63" s="58" t="s">
        <v>2458</v>
      </c>
      <c r="L63" s="58" t="s">
        <v>2461</v>
      </c>
    </row>
    <row r="64" customFormat="1" hidden="1" spans="1:12">
      <c r="A64" t="str">
        <f t="shared" si="0"/>
        <v>加拿大七店901029830355整份</v>
      </c>
      <c r="B64" s="84" t="s">
        <v>636</v>
      </c>
      <c r="C64" s="84" t="str">
        <f>D64&amp;G64</f>
        <v>9010298整份</v>
      </c>
      <c r="D64" s="57">
        <v>9010298</v>
      </c>
      <c r="E64" s="57">
        <v>30355</v>
      </c>
      <c r="F64" s="58" t="s">
        <v>2512</v>
      </c>
      <c r="G64" s="58" t="s">
        <v>2436</v>
      </c>
      <c r="H64" s="10">
        <v>846</v>
      </c>
      <c r="I64" s="10">
        <v>8</v>
      </c>
      <c r="J64" s="101">
        <f t="shared" si="1"/>
        <v>838</v>
      </c>
      <c r="K64" s="58" t="s">
        <v>2437</v>
      </c>
      <c r="L64" s="58" t="s">
        <v>2438</v>
      </c>
    </row>
    <row r="65" customFormat="1" hidden="1" spans="1:12">
      <c r="A65" t="str">
        <f t="shared" si="0"/>
        <v>加拿大七店900025331005372冰镇</v>
      </c>
      <c r="B65" s="84" t="s">
        <v>636</v>
      </c>
      <c r="C65" s="84" t="str">
        <f t="shared" ref="C65:C78" si="3">D65&amp;G65</f>
        <v>90002533冰镇</v>
      </c>
      <c r="D65" s="57">
        <v>90002533</v>
      </c>
      <c r="E65" s="57">
        <v>1005372</v>
      </c>
      <c r="F65" s="58" t="s">
        <v>2513</v>
      </c>
      <c r="G65" s="58" t="s">
        <v>2450</v>
      </c>
      <c r="H65" s="10">
        <v>12</v>
      </c>
      <c r="I65" s="10">
        <v>7</v>
      </c>
      <c r="J65" s="101">
        <f t="shared" si="1"/>
        <v>5</v>
      </c>
      <c r="K65" s="58" t="s">
        <v>2451</v>
      </c>
      <c r="L65" s="58" t="s">
        <v>2452</v>
      </c>
    </row>
    <row r="66" customFormat="1" hidden="1" spans="1:12">
      <c r="A66" t="str">
        <f t="shared" ref="A66:A129" si="4">B66&amp;D66&amp;E66&amp;G66</f>
        <v>加拿大七店1401003580005整份</v>
      </c>
      <c r="B66" s="84" t="s">
        <v>636</v>
      </c>
      <c r="C66" s="84" t="str">
        <f t="shared" si="3"/>
        <v>14010035整份</v>
      </c>
      <c r="D66" s="57">
        <v>14010035</v>
      </c>
      <c r="E66" s="57">
        <v>80005</v>
      </c>
      <c r="F66" s="58" t="s">
        <v>2514</v>
      </c>
      <c r="G66" s="58" t="s">
        <v>2436</v>
      </c>
      <c r="H66" s="10">
        <v>441</v>
      </c>
      <c r="I66" s="10">
        <v>5</v>
      </c>
      <c r="J66" s="101">
        <f t="shared" si="1"/>
        <v>436</v>
      </c>
      <c r="K66" s="58" t="s">
        <v>2466</v>
      </c>
      <c r="L66" s="58" t="s">
        <v>2467</v>
      </c>
    </row>
    <row r="67" customFormat="1" hidden="1" spans="1:12">
      <c r="A67" t="str">
        <f t="shared" si="4"/>
        <v>加拿大七店901005130053整份</v>
      </c>
      <c r="B67" s="84" t="s">
        <v>636</v>
      </c>
      <c r="C67" s="84" t="str">
        <f t="shared" si="3"/>
        <v>9010051整份</v>
      </c>
      <c r="D67" s="57">
        <v>9010051</v>
      </c>
      <c r="E67" s="57">
        <v>30053</v>
      </c>
      <c r="F67" s="58" t="s">
        <v>2515</v>
      </c>
      <c r="G67" s="58" t="s">
        <v>2436</v>
      </c>
      <c r="H67" s="10">
        <v>272</v>
      </c>
      <c r="I67" s="10">
        <v>2</v>
      </c>
      <c r="J67" s="101">
        <f t="shared" ref="J67:J130" si="5">H67-I67</f>
        <v>270</v>
      </c>
      <c r="K67" s="58" t="s">
        <v>2437</v>
      </c>
      <c r="L67" s="58" t="s">
        <v>2438</v>
      </c>
    </row>
    <row r="68" customFormat="1" hidden="1" spans="1:12">
      <c r="A68" t="str">
        <f t="shared" si="4"/>
        <v>加拿大七店900012011004228瓶</v>
      </c>
      <c r="B68" s="84" t="s">
        <v>636</v>
      </c>
      <c r="C68" s="84" t="str">
        <f t="shared" si="3"/>
        <v>90001201瓶</v>
      </c>
      <c r="D68" s="57">
        <v>90001201</v>
      </c>
      <c r="E68" s="57">
        <v>1004228</v>
      </c>
      <c r="F68" s="58" t="s">
        <v>2516</v>
      </c>
      <c r="G68" s="58" t="s">
        <v>32</v>
      </c>
      <c r="H68" s="10">
        <v>284</v>
      </c>
      <c r="I68" s="10">
        <v>2</v>
      </c>
      <c r="J68" s="101">
        <f t="shared" si="5"/>
        <v>282</v>
      </c>
      <c r="K68" s="58" t="s">
        <v>2451</v>
      </c>
      <c r="L68" s="58" t="s">
        <v>2452</v>
      </c>
    </row>
    <row r="69" customFormat="1" hidden="1" spans="1:12">
      <c r="A69" t="str">
        <f t="shared" si="4"/>
        <v>加拿大七店900012011004229扎</v>
      </c>
      <c r="B69" s="84" t="s">
        <v>636</v>
      </c>
      <c r="C69" s="84" t="str">
        <f t="shared" si="3"/>
        <v>90001201扎</v>
      </c>
      <c r="D69" s="57">
        <v>90001201</v>
      </c>
      <c r="E69" s="57">
        <v>1004229</v>
      </c>
      <c r="F69" s="58" t="s">
        <v>2516</v>
      </c>
      <c r="G69" s="58" t="s">
        <v>2517</v>
      </c>
      <c r="H69" s="10">
        <v>70</v>
      </c>
      <c r="I69" s="10">
        <v>3</v>
      </c>
      <c r="J69" s="101">
        <f t="shared" si="5"/>
        <v>67</v>
      </c>
      <c r="K69" s="58" t="s">
        <v>2451</v>
      </c>
      <c r="L69" s="58" t="s">
        <v>2452</v>
      </c>
    </row>
    <row r="70" customFormat="1" hidden="1" spans="1:12">
      <c r="A70" t="str">
        <f t="shared" si="4"/>
        <v>加拿大七店301002720027条</v>
      </c>
      <c r="B70" s="84" t="s">
        <v>636</v>
      </c>
      <c r="C70" s="84" t="str">
        <f t="shared" si="3"/>
        <v>3010027条</v>
      </c>
      <c r="D70" s="57">
        <v>3010027</v>
      </c>
      <c r="E70" s="57">
        <v>20027</v>
      </c>
      <c r="F70" s="58" t="s">
        <v>2518</v>
      </c>
      <c r="G70" s="58" t="s">
        <v>40</v>
      </c>
      <c r="H70" s="10">
        <v>1765</v>
      </c>
      <c r="I70" s="10">
        <v>51</v>
      </c>
      <c r="J70" s="101">
        <f t="shared" si="5"/>
        <v>1714</v>
      </c>
      <c r="K70" s="58" t="s">
        <v>2445</v>
      </c>
      <c r="L70" s="58" t="s">
        <v>2477</v>
      </c>
    </row>
    <row r="71" customFormat="1" hidden="1" spans="1:12">
      <c r="A71" t="str">
        <f t="shared" si="4"/>
        <v>加拿大七店1001002540025整份</v>
      </c>
      <c r="B71" s="84" t="s">
        <v>636</v>
      </c>
      <c r="C71" s="84" t="str">
        <f t="shared" si="3"/>
        <v>10010025整份</v>
      </c>
      <c r="D71" s="57">
        <v>10010025</v>
      </c>
      <c r="E71" s="57">
        <v>40025</v>
      </c>
      <c r="F71" s="58" t="s">
        <v>2519</v>
      </c>
      <c r="G71" s="58" t="s">
        <v>2436</v>
      </c>
      <c r="H71" s="10">
        <v>909</v>
      </c>
      <c r="I71" s="10">
        <v>3</v>
      </c>
      <c r="J71" s="101">
        <f t="shared" si="5"/>
        <v>906</v>
      </c>
      <c r="K71" s="58" t="s">
        <v>2445</v>
      </c>
      <c r="L71" s="58" t="s">
        <v>2477</v>
      </c>
    </row>
    <row r="72" customFormat="1" hidden="1" spans="1:12">
      <c r="A72" t="str">
        <f t="shared" si="4"/>
        <v>加拿大七店1003023642239整份</v>
      </c>
      <c r="B72" s="84" t="s">
        <v>636</v>
      </c>
      <c r="C72" s="84" t="str">
        <f t="shared" si="3"/>
        <v>10030236整份</v>
      </c>
      <c r="D72" s="57">
        <v>10030236</v>
      </c>
      <c r="E72" s="57">
        <v>42239</v>
      </c>
      <c r="F72" s="58" t="s">
        <v>2520</v>
      </c>
      <c r="G72" s="58" t="s">
        <v>2436</v>
      </c>
      <c r="H72" s="10">
        <v>310</v>
      </c>
      <c r="I72" s="10">
        <v>0</v>
      </c>
      <c r="J72" s="101">
        <f t="shared" si="5"/>
        <v>310</v>
      </c>
      <c r="K72" s="58" t="s">
        <v>2445</v>
      </c>
      <c r="L72" s="58" t="s">
        <v>2449</v>
      </c>
    </row>
    <row r="73" customFormat="1" hidden="1" spans="1:12">
      <c r="A73" t="str">
        <f t="shared" si="4"/>
        <v>加拿大七店1101011950137片</v>
      </c>
      <c r="B73" s="84" t="s">
        <v>636</v>
      </c>
      <c r="C73" s="84" t="str">
        <f t="shared" si="3"/>
        <v>11010119片</v>
      </c>
      <c r="D73" s="57">
        <v>11010119</v>
      </c>
      <c r="E73" s="57">
        <v>50137</v>
      </c>
      <c r="F73" s="58" t="s">
        <v>2521</v>
      </c>
      <c r="G73" s="58" t="s">
        <v>150</v>
      </c>
      <c r="H73" s="10">
        <v>764</v>
      </c>
      <c r="I73" s="10">
        <v>1</v>
      </c>
      <c r="J73" s="101">
        <f t="shared" si="5"/>
        <v>763</v>
      </c>
      <c r="K73" s="58" t="s">
        <v>2445</v>
      </c>
      <c r="L73" s="58" t="s">
        <v>2477</v>
      </c>
    </row>
    <row r="74" customFormat="1" hidden="1" spans="1:12">
      <c r="A74" t="str">
        <f t="shared" si="4"/>
        <v>加拿大七店1002016041167整份</v>
      </c>
      <c r="B74" s="84" t="s">
        <v>636</v>
      </c>
      <c r="C74" s="84" t="str">
        <f t="shared" si="3"/>
        <v>10020160整份</v>
      </c>
      <c r="D74" s="57">
        <v>10020160</v>
      </c>
      <c r="E74" s="57">
        <v>41167</v>
      </c>
      <c r="F74" s="58" t="s">
        <v>2522</v>
      </c>
      <c r="G74" s="58" t="s">
        <v>2436</v>
      </c>
      <c r="H74" s="10">
        <v>641</v>
      </c>
      <c r="I74" s="10">
        <v>5</v>
      </c>
      <c r="J74" s="101">
        <f t="shared" si="5"/>
        <v>636</v>
      </c>
      <c r="K74" s="58" t="s">
        <v>2445</v>
      </c>
      <c r="L74" s="58" t="s">
        <v>2446</v>
      </c>
    </row>
    <row r="75" customFormat="1" hidden="1" spans="1:12">
      <c r="A75" t="str">
        <f t="shared" si="4"/>
        <v>加拿大七店1404008182081整份</v>
      </c>
      <c r="B75" s="84" t="s">
        <v>636</v>
      </c>
      <c r="C75" s="84" t="str">
        <f t="shared" si="3"/>
        <v>14040081整份</v>
      </c>
      <c r="D75" s="57">
        <v>14040081</v>
      </c>
      <c r="E75" s="57">
        <v>82081</v>
      </c>
      <c r="F75" s="58" t="s">
        <v>2523</v>
      </c>
      <c r="G75" s="58" t="s">
        <v>2436</v>
      </c>
      <c r="H75" s="10">
        <v>474</v>
      </c>
      <c r="I75" s="10">
        <v>4</v>
      </c>
      <c r="J75" s="101">
        <f t="shared" si="5"/>
        <v>470</v>
      </c>
      <c r="K75" s="58" t="s">
        <v>2466</v>
      </c>
      <c r="L75" s="58" t="s">
        <v>2467</v>
      </c>
    </row>
    <row r="76" customFormat="1" hidden="1" spans="1:12">
      <c r="A76" t="str">
        <f t="shared" si="4"/>
        <v>加拿大七店903002932030半份</v>
      </c>
      <c r="B76" s="84" t="s">
        <v>636</v>
      </c>
      <c r="C76" s="84" t="str">
        <f t="shared" si="3"/>
        <v>9030029半份</v>
      </c>
      <c r="D76" s="57">
        <v>9030029</v>
      </c>
      <c r="E76" s="57">
        <v>32030</v>
      </c>
      <c r="F76" s="58" t="s">
        <v>2524</v>
      </c>
      <c r="G76" s="58" t="s">
        <v>2440</v>
      </c>
      <c r="H76" s="10">
        <v>144</v>
      </c>
      <c r="I76" s="10">
        <v>3</v>
      </c>
      <c r="J76" s="101">
        <f t="shared" si="5"/>
        <v>141</v>
      </c>
      <c r="K76" s="58" t="s">
        <v>2437</v>
      </c>
      <c r="L76" s="58" t="s">
        <v>2464</v>
      </c>
    </row>
    <row r="77" customFormat="1" hidden="1" spans="1:12">
      <c r="A77" t="str">
        <f t="shared" si="4"/>
        <v>加拿大七店903002932029整份</v>
      </c>
      <c r="B77" s="84" t="s">
        <v>636</v>
      </c>
      <c r="C77" s="84" t="str">
        <f t="shared" si="3"/>
        <v>9030029整份</v>
      </c>
      <c r="D77" s="57">
        <v>9030029</v>
      </c>
      <c r="E77" s="57">
        <v>32029</v>
      </c>
      <c r="F77" s="58" t="s">
        <v>2525</v>
      </c>
      <c r="G77" s="58" t="s">
        <v>2436</v>
      </c>
      <c r="H77" s="10">
        <v>51</v>
      </c>
      <c r="I77" s="10">
        <v>0</v>
      </c>
      <c r="J77" s="101">
        <f t="shared" si="5"/>
        <v>51</v>
      </c>
      <c r="K77" s="58" t="s">
        <v>2437</v>
      </c>
      <c r="L77" s="58" t="s">
        <v>2464</v>
      </c>
    </row>
    <row r="78" customFormat="1" hidden="1" spans="1:12">
      <c r="A78" t="str">
        <f t="shared" si="4"/>
        <v>加拿大七店1002004141041整份</v>
      </c>
      <c r="B78" s="84" t="s">
        <v>636</v>
      </c>
      <c r="C78" s="84" t="str">
        <f t="shared" si="3"/>
        <v>10020041整份</v>
      </c>
      <c r="D78" s="57">
        <v>10020041</v>
      </c>
      <c r="E78" s="57">
        <v>41041</v>
      </c>
      <c r="F78" s="58" t="s">
        <v>2526</v>
      </c>
      <c r="G78" s="58" t="s">
        <v>2436</v>
      </c>
      <c r="H78" s="10">
        <v>419</v>
      </c>
      <c r="I78" s="10">
        <v>0</v>
      </c>
      <c r="J78" s="101">
        <f t="shared" si="5"/>
        <v>419</v>
      </c>
      <c r="K78" s="58" t="s">
        <v>2445</v>
      </c>
      <c r="L78" s="58" t="s">
        <v>2446</v>
      </c>
    </row>
    <row r="79" customFormat="1" hidden="1" spans="1:12">
      <c r="A79" t="str">
        <f t="shared" si="4"/>
        <v>加拿大七店904006533066半份</v>
      </c>
      <c r="B79" s="84" t="s">
        <v>636</v>
      </c>
      <c r="C79" s="84"/>
      <c r="D79" s="57">
        <v>9040065</v>
      </c>
      <c r="E79" s="57">
        <v>33066</v>
      </c>
      <c r="F79" s="58" t="s">
        <v>2527</v>
      </c>
      <c r="G79" s="58" t="s">
        <v>2440</v>
      </c>
      <c r="H79" s="10">
        <v>350</v>
      </c>
      <c r="I79" s="10">
        <v>1</v>
      </c>
      <c r="J79" s="101">
        <f t="shared" si="5"/>
        <v>349</v>
      </c>
      <c r="K79" s="58" t="s">
        <v>2474</v>
      </c>
      <c r="L79" s="58" t="s">
        <v>2475</v>
      </c>
    </row>
    <row r="80" customFormat="1" hidden="1" spans="1:12">
      <c r="A80" t="str">
        <f t="shared" si="4"/>
        <v>加拿大七店904006533065整份</v>
      </c>
      <c r="B80" s="84" t="s">
        <v>636</v>
      </c>
      <c r="C80" s="84"/>
      <c r="D80" s="57">
        <v>9040065</v>
      </c>
      <c r="E80" s="57">
        <v>33065</v>
      </c>
      <c r="F80" s="58" t="s">
        <v>2528</v>
      </c>
      <c r="G80" s="58" t="s">
        <v>2436</v>
      </c>
      <c r="H80" s="10">
        <v>121</v>
      </c>
      <c r="I80" s="10">
        <v>0</v>
      </c>
      <c r="J80" s="101">
        <f t="shared" si="5"/>
        <v>121</v>
      </c>
      <c r="K80" s="58" t="s">
        <v>2474</v>
      </c>
      <c r="L80" s="58" t="s">
        <v>2475</v>
      </c>
    </row>
    <row r="81" customFormat="1" hidden="1" spans="1:12">
      <c r="A81" t="str">
        <f t="shared" si="4"/>
        <v>加拿大七店904006333063整份</v>
      </c>
      <c r="B81" s="84" t="s">
        <v>636</v>
      </c>
      <c r="C81" s="84"/>
      <c r="D81" s="57">
        <v>9040063</v>
      </c>
      <c r="E81" s="57">
        <v>33063</v>
      </c>
      <c r="F81" s="58" t="s">
        <v>2529</v>
      </c>
      <c r="G81" s="58" t="s">
        <v>2436</v>
      </c>
      <c r="H81" s="10">
        <v>809</v>
      </c>
      <c r="I81" s="10">
        <v>5</v>
      </c>
      <c r="J81" s="101">
        <f t="shared" si="5"/>
        <v>804</v>
      </c>
      <c r="K81" s="58" t="s">
        <v>2474</v>
      </c>
      <c r="L81" s="58" t="s">
        <v>2475</v>
      </c>
    </row>
    <row r="82" customFormat="1" hidden="1" spans="1:12">
      <c r="A82" t="str">
        <f t="shared" si="4"/>
        <v>加拿大七店1014000969009整份</v>
      </c>
      <c r="B82" s="84" t="s">
        <v>636</v>
      </c>
      <c r="C82" s="84"/>
      <c r="D82" s="57">
        <v>10140009</v>
      </c>
      <c r="E82" s="57">
        <v>69009</v>
      </c>
      <c r="F82" s="58" t="s">
        <v>2530</v>
      </c>
      <c r="G82" s="58" t="s">
        <v>2436</v>
      </c>
      <c r="H82" s="10">
        <v>1017</v>
      </c>
      <c r="I82" s="10">
        <v>3</v>
      </c>
      <c r="J82" s="101">
        <f t="shared" si="5"/>
        <v>1014</v>
      </c>
      <c r="K82" s="58" t="s">
        <v>2445</v>
      </c>
      <c r="L82" s="58" t="s">
        <v>2489</v>
      </c>
    </row>
    <row r="83" customFormat="1" hidden="1" spans="1:12">
      <c r="A83" t="str">
        <f t="shared" si="4"/>
        <v>加拿大七店1002004741047整份</v>
      </c>
      <c r="B83" s="84" t="s">
        <v>636</v>
      </c>
      <c r="C83" s="84"/>
      <c r="D83" s="57">
        <v>10020047</v>
      </c>
      <c r="E83" s="57">
        <v>41047</v>
      </c>
      <c r="F83" s="58" t="s">
        <v>2531</v>
      </c>
      <c r="G83" s="58" t="s">
        <v>2436</v>
      </c>
      <c r="H83" s="10">
        <v>547</v>
      </c>
      <c r="I83" s="10">
        <v>0</v>
      </c>
      <c r="J83" s="101">
        <f t="shared" si="5"/>
        <v>547</v>
      </c>
      <c r="K83" s="58" t="s">
        <v>2445</v>
      </c>
      <c r="L83" s="58" t="s">
        <v>2477</v>
      </c>
    </row>
    <row r="84" customFormat="1" hidden="1" spans="1:12">
      <c r="A84" t="str">
        <f t="shared" si="4"/>
        <v>加拿大七店1301045770457冰镇</v>
      </c>
      <c r="B84" s="84" t="s">
        <v>636</v>
      </c>
      <c r="C84" s="84"/>
      <c r="D84" s="57">
        <v>13010457</v>
      </c>
      <c r="E84" s="57">
        <v>70457</v>
      </c>
      <c r="F84" s="58" t="s">
        <v>2375</v>
      </c>
      <c r="G84" s="58" t="s">
        <v>2450</v>
      </c>
      <c r="H84" s="10">
        <v>159</v>
      </c>
      <c r="I84" s="10">
        <v>3</v>
      </c>
      <c r="J84" s="101">
        <f t="shared" si="5"/>
        <v>156</v>
      </c>
      <c r="K84" s="58" t="s">
        <v>2451</v>
      </c>
      <c r="L84" s="58" t="s">
        <v>2452</v>
      </c>
    </row>
    <row r="85" customFormat="1" hidden="1" spans="1:12">
      <c r="A85" t="str">
        <f t="shared" si="4"/>
        <v>加拿大七店1002004341044半份</v>
      </c>
      <c r="B85" s="84" t="s">
        <v>636</v>
      </c>
      <c r="C85" s="84"/>
      <c r="D85" s="57">
        <v>10020043</v>
      </c>
      <c r="E85" s="57">
        <v>41044</v>
      </c>
      <c r="F85" s="58" t="s">
        <v>2532</v>
      </c>
      <c r="G85" s="58" t="s">
        <v>2440</v>
      </c>
      <c r="H85" s="10">
        <v>214</v>
      </c>
      <c r="I85" s="10">
        <v>0</v>
      </c>
      <c r="J85" s="101">
        <f t="shared" si="5"/>
        <v>214</v>
      </c>
      <c r="K85" s="58" t="s">
        <v>2445</v>
      </c>
      <c r="L85" s="58" t="s">
        <v>2446</v>
      </c>
    </row>
    <row r="86" customFormat="1" hidden="1" spans="1:12">
      <c r="A86" t="str">
        <f t="shared" si="4"/>
        <v>加拿大七店1002004341043整份</v>
      </c>
      <c r="B86" s="84" t="s">
        <v>636</v>
      </c>
      <c r="C86" s="84"/>
      <c r="D86" s="57">
        <v>10020043</v>
      </c>
      <c r="E86" s="57">
        <v>41043</v>
      </c>
      <c r="F86" s="58" t="s">
        <v>2533</v>
      </c>
      <c r="G86" s="58" t="s">
        <v>2436</v>
      </c>
      <c r="H86" s="10">
        <v>84</v>
      </c>
      <c r="I86" s="10">
        <v>0</v>
      </c>
      <c r="J86" s="101">
        <f t="shared" si="5"/>
        <v>84</v>
      </c>
      <c r="K86" s="58" t="s">
        <v>2445</v>
      </c>
      <c r="L86" s="58" t="s">
        <v>2446</v>
      </c>
    </row>
    <row r="87" customFormat="1" hidden="1" spans="1:12">
      <c r="A87" t="str">
        <f t="shared" si="4"/>
        <v>加拿大七店1060115拼锅</v>
      </c>
      <c r="B87" s="84" t="s">
        <v>636</v>
      </c>
      <c r="C87" s="84"/>
      <c r="D87" s="57">
        <v>1060115</v>
      </c>
      <c r="E87" s="58" t="s">
        <v>641</v>
      </c>
      <c r="F87" s="58" t="s">
        <v>2346</v>
      </c>
      <c r="G87" s="58" t="s">
        <v>2457</v>
      </c>
      <c r="H87" s="10">
        <v>281</v>
      </c>
      <c r="I87" s="10">
        <v>3</v>
      </c>
      <c r="J87" s="101">
        <f t="shared" si="5"/>
        <v>278</v>
      </c>
      <c r="K87" s="58" t="s">
        <v>2458</v>
      </c>
      <c r="L87" s="58" t="s">
        <v>2459</v>
      </c>
    </row>
    <row r="88" customFormat="1" hidden="1" spans="1:12">
      <c r="A88" t="str">
        <f t="shared" si="4"/>
        <v>加拿大七店1060115四宫格</v>
      </c>
      <c r="B88" s="84" t="s">
        <v>636</v>
      </c>
      <c r="C88" s="84"/>
      <c r="D88" s="57">
        <v>1060115</v>
      </c>
      <c r="E88" s="58" t="s">
        <v>641</v>
      </c>
      <c r="F88" s="58" t="s">
        <v>2346</v>
      </c>
      <c r="G88" s="58" t="s">
        <v>2460</v>
      </c>
      <c r="H88" s="10">
        <v>682</v>
      </c>
      <c r="I88" s="10">
        <v>12</v>
      </c>
      <c r="J88" s="101">
        <f t="shared" si="5"/>
        <v>670</v>
      </c>
      <c r="K88" s="58" t="s">
        <v>2458</v>
      </c>
      <c r="L88" s="58" t="s">
        <v>2461</v>
      </c>
    </row>
    <row r="89" customFormat="1" hidden="1" spans="1:12">
      <c r="A89" t="str">
        <f t="shared" si="4"/>
        <v>加拿大七店1102003551035整份</v>
      </c>
      <c r="B89" s="84" t="s">
        <v>636</v>
      </c>
      <c r="C89" s="84"/>
      <c r="D89" s="57">
        <v>11020035</v>
      </c>
      <c r="E89" s="57">
        <v>51035</v>
      </c>
      <c r="F89" s="58" t="s">
        <v>2534</v>
      </c>
      <c r="G89" s="58" t="s">
        <v>2436</v>
      </c>
      <c r="H89" s="10">
        <v>143</v>
      </c>
      <c r="I89" s="10">
        <v>0</v>
      </c>
      <c r="J89" s="101">
        <f t="shared" si="5"/>
        <v>143</v>
      </c>
      <c r="K89" s="58" t="s">
        <v>2441</v>
      </c>
      <c r="L89" s="58" t="s">
        <v>2455</v>
      </c>
    </row>
    <row r="90" customFormat="1" hidden="1" spans="1:12">
      <c r="A90" t="str">
        <f t="shared" si="4"/>
        <v>加拿大七店1301045570455冰镇</v>
      </c>
      <c r="B90" s="84" t="s">
        <v>636</v>
      </c>
      <c r="C90" s="84"/>
      <c r="D90" s="57">
        <v>13010455</v>
      </c>
      <c r="E90" s="57">
        <v>70455</v>
      </c>
      <c r="F90" s="58" t="s">
        <v>2373</v>
      </c>
      <c r="G90" s="58" t="s">
        <v>2450</v>
      </c>
      <c r="H90" s="10">
        <v>475</v>
      </c>
      <c r="I90" s="10">
        <v>8</v>
      </c>
      <c r="J90" s="101">
        <f t="shared" si="5"/>
        <v>467</v>
      </c>
      <c r="K90" s="58" t="s">
        <v>2451</v>
      </c>
      <c r="L90" s="58" t="s">
        <v>2452</v>
      </c>
    </row>
    <row r="91" customFormat="1" hidden="1" spans="1:12">
      <c r="A91" t="str">
        <f t="shared" si="4"/>
        <v>加拿大七店1001001740017整份</v>
      </c>
      <c r="B91" s="84" t="s">
        <v>636</v>
      </c>
      <c r="C91" s="84"/>
      <c r="D91" s="57">
        <v>10010017</v>
      </c>
      <c r="E91" s="57">
        <v>40017</v>
      </c>
      <c r="F91" s="58" t="s">
        <v>2535</v>
      </c>
      <c r="G91" s="58" t="s">
        <v>2436</v>
      </c>
      <c r="H91" s="10">
        <v>614</v>
      </c>
      <c r="I91" s="10">
        <v>2</v>
      </c>
      <c r="J91" s="101">
        <f t="shared" si="5"/>
        <v>612</v>
      </c>
      <c r="K91" s="58" t="s">
        <v>2445</v>
      </c>
      <c r="L91" s="58" t="s">
        <v>2477</v>
      </c>
    </row>
    <row r="92" customFormat="1" hidden="1" spans="1:12">
      <c r="A92" t="str">
        <f t="shared" si="4"/>
        <v>加拿大七店1101040750529整份</v>
      </c>
      <c r="B92" s="84" t="s">
        <v>636</v>
      </c>
      <c r="C92" s="84" t="str">
        <f>D92&amp;G92</f>
        <v>11010407整份</v>
      </c>
      <c r="D92" s="57">
        <v>11010407</v>
      </c>
      <c r="E92" s="57">
        <v>50529</v>
      </c>
      <c r="F92" s="58" t="s">
        <v>2536</v>
      </c>
      <c r="G92" s="58" t="s">
        <v>2436</v>
      </c>
      <c r="H92" s="10">
        <v>222</v>
      </c>
      <c r="I92" s="10">
        <v>3</v>
      </c>
      <c r="J92" s="101">
        <f t="shared" si="5"/>
        <v>219</v>
      </c>
      <c r="K92" s="58" t="s">
        <v>2441</v>
      </c>
      <c r="L92" s="58" t="s">
        <v>2537</v>
      </c>
    </row>
    <row r="93" customFormat="1" hidden="1" spans="1:12">
      <c r="A93" t="str">
        <f t="shared" si="4"/>
        <v>加拿大七店1010106拼锅</v>
      </c>
      <c r="B93" s="84" t="s">
        <v>636</v>
      </c>
      <c r="C93" s="84" t="str">
        <f>D93&amp;G93</f>
        <v>1010106拼锅</v>
      </c>
      <c r="D93" s="57">
        <v>1010106</v>
      </c>
      <c r="E93" s="58" t="s">
        <v>641</v>
      </c>
      <c r="F93" s="58" t="s">
        <v>2538</v>
      </c>
      <c r="G93" s="58" t="s">
        <v>2457</v>
      </c>
      <c r="H93" s="10">
        <v>375</v>
      </c>
      <c r="I93" s="10">
        <v>14</v>
      </c>
      <c r="J93" s="101">
        <f t="shared" si="5"/>
        <v>361</v>
      </c>
      <c r="K93" s="58" t="s">
        <v>2458</v>
      </c>
      <c r="L93" s="58" t="s">
        <v>2459</v>
      </c>
    </row>
    <row r="94" customFormat="1" hidden="1" spans="1:12">
      <c r="A94" t="str">
        <f t="shared" si="4"/>
        <v>加拿大七店1010106四宫格</v>
      </c>
      <c r="B94" s="84" t="s">
        <v>636</v>
      </c>
      <c r="C94" s="84"/>
      <c r="D94" s="57">
        <v>1010106</v>
      </c>
      <c r="E94" s="58" t="s">
        <v>641</v>
      </c>
      <c r="F94" s="58" t="s">
        <v>2538</v>
      </c>
      <c r="G94" s="58" t="s">
        <v>2460</v>
      </c>
      <c r="H94" s="10">
        <v>4139</v>
      </c>
      <c r="I94" s="10">
        <v>82</v>
      </c>
      <c r="J94" s="101">
        <f t="shared" si="5"/>
        <v>4057</v>
      </c>
      <c r="K94" s="58" t="s">
        <v>2458</v>
      </c>
      <c r="L94" s="58" t="s">
        <v>2461</v>
      </c>
    </row>
    <row r="95" customFormat="1" hidden="1" spans="1:12">
      <c r="A95" t="str">
        <f t="shared" si="4"/>
        <v>加拿大七店1001001540015整份</v>
      </c>
      <c r="B95" s="84" t="s">
        <v>636</v>
      </c>
      <c r="C95" s="84"/>
      <c r="D95" s="57">
        <v>10010015</v>
      </c>
      <c r="E95" s="57">
        <v>40015</v>
      </c>
      <c r="F95" s="58" t="s">
        <v>2539</v>
      </c>
      <c r="G95" s="58" t="s">
        <v>2436</v>
      </c>
      <c r="H95" s="10">
        <v>663</v>
      </c>
      <c r="I95" s="10">
        <v>1</v>
      </c>
      <c r="J95" s="101">
        <f t="shared" si="5"/>
        <v>662</v>
      </c>
      <c r="K95" s="58" t="s">
        <v>2445</v>
      </c>
      <c r="L95" s="58" t="s">
        <v>2477</v>
      </c>
    </row>
    <row r="96" customFormat="1" hidden="1" spans="1:12">
      <c r="A96" t="str">
        <f t="shared" si="4"/>
        <v>加拿大七店7000147679074整份</v>
      </c>
      <c r="B96" s="84" t="s">
        <v>636</v>
      </c>
      <c r="C96" s="84"/>
      <c r="D96" s="57">
        <v>70001476</v>
      </c>
      <c r="E96" s="57">
        <v>79074</v>
      </c>
      <c r="F96" s="58" t="s">
        <v>2540</v>
      </c>
      <c r="G96" s="58" t="s">
        <v>2436</v>
      </c>
      <c r="H96" s="10">
        <v>171</v>
      </c>
      <c r="I96" s="10">
        <v>1</v>
      </c>
      <c r="J96" s="101">
        <f t="shared" si="5"/>
        <v>170</v>
      </c>
      <c r="K96" s="58" t="s">
        <v>2437</v>
      </c>
      <c r="L96" s="58" t="s">
        <v>2464</v>
      </c>
    </row>
    <row r="97" customFormat="1" hidden="1" spans="1:12">
      <c r="A97" t="str">
        <f t="shared" si="4"/>
        <v>加拿大七店7000147679075半份</v>
      </c>
      <c r="B97" s="84" t="s">
        <v>636</v>
      </c>
      <c r="C97" s="84" t="str">
        <f t="shared" ref="C97:C105" si="6">D97&amp;G97</f>
        <v>70001476半份</v>
      </c>
      <c r="D97" s="57">
        <v>70001476</v>
      </c>
      <c r="E97" s="57">
        <v>79075</v>
      </c>
      <c r="F97" s="58" t="s">
        <v>2541</v>
      </c>
      <c r="G97" s="58" t="s">
        <v>2440</v>
      </c>
      <c r="H97" s="10">
        <v>312</v>
      </c>
      <c r="I97" s="10">
        <v>4</v>
      </c>
      <c r="J97" s="101">
        <f t="shared" si="5"/>
        <v>308</v>
      </c>
      <c r="K97" s="58" t="s">
        <v>2437</v>
      </c>
      <c r="L97" s="58" t="s">
        <v>2464</v>
      </c>
    </row>
    <row r="98" customFormat="1" hidden="1" spans="1:12">
      <c r="A98" t="str">
        <f t="shared" si="4"/>
        <v>加拿大七店7000066277330整份</v>
      </c>
      <c r="B98" s="84" t="s">
        <v>636</v>
      </c>
      <c r="C98" s="84" t="str">
        <f t="shared" si="6"/>
        <v>70000662整份</v>
      </c>
      <c r="D98" s="57">
        <v>70000662</v>
      </c>
      <c r="E98" s="57">
        <v>77330</v>
      </c>
      <c r="F98" s="58" t="s">
        <v>2542</v>
      </c>
      <c r="G98" s="58" t="s">
        <v>2436</v>
      </c>
      <c r="H98" s="10">
        <v>542</v>
      </c>
      <c r="I98" s="10">
        <v>1</v>
      </c>
      <c r="J98" s="101">
        <f t="shared" si="5"/>
        <v>541</v>
      </c>
      <c r="K98" s="58" t="s">
        <v>2445</v>
      </c>
      <c r="L98" s="58" t="s">
        <v>2477</v>
      </c>
    </row>
    <row r="99" customFormat="1" hidden="1" spans="1:12">
      <c r="A99" t="str">
        <f t="shared" si="4"/>
        <v>加拿大七店110100081002694整份</v>
      </c>
      <c r="B99" s="84" t="s">
        <v>636</v>
      </c>
      <c r="C99" s="84" t="str">
        <f t="shared" si="6"/>
        <v>11010008整份</v>
      </c>
      <c r="D99" s="57">
        <v>11010008</v>
      </c>
      <c r="E99" s="57">
        <v>1002694</v>
      </c>
      <c r="F99" s="58" t="s">
        <v>2543</v>
      </c>
      <c r="G99" s="58" t="s">
        <v>2436</v>
      </c>
      <c r="H99" s="10">
        <v>742</v>
      </c>
      <c r="I99" s="10">
        <v>15</v>
      </c>
      <c r="J99" s="101">
        <f t="shared" si="5"/>
        <v>727</v>
      </c>
      <c r="K99" s="58" t="s">
        <v>2441</v>
      </c>
      <c r="L99" s="58" t="s">
        <v>2442</v>
      </c>
    </row>
    <row r="100" customFormat="1" hidden="1" spans="1:12">
      <c r="A100" t="str">
        <f t="shared" si="4"/>
        <v>加拿大七店110100081002695半份</v>
      </c>
      <c r="B100" s="84" t="s">
        <v>636</v>
      </c>
      <c r="C100" s="84" t="str">
        <f t="shared" si="6"/>
        <v>11010008半份</v>
      </c>
      <c r="D100" s="57">
        <v>11010008</v>
      </c>
      <c r="E100" s="57">
        <v>1002695</v>
      </c>
      <c r="F100" s="58" t="s">
        <v>2544</v>
      </c>
      <c r="G100" s="58" t="s">
        <v>2440</v>
      </c>
      <c r="H100" s="10">
        <v>271</v>
      </c>
      <c r="I100" s="10">
        <v>3</v>
      </c>
      <c r="J100" s="101">
        <f t="shared" si="5"/>
        <v>268</v>
      </c>
      <c r="K100" s="58" t="s">
        <v>2441</v>
      </c>
      <c r="L100" s="58" t="s">
        <v>2442</v>
      </c>
    </row>
    <row r="101" customFormat="1" hidden="1" spans="1:12">
      <c r="A101" t="str">
        <f t="shared" si="4"/>
        <v>加拿大七店1002005141051整份</v>
      </c>
      <c r="B101" s="84" t="s">
        <v>636</v>
      </c>
      <c r="C101" s="84" t="str">
        <f t="shared" si="6"/>
        <v>10020051整份</v>
      </c>
      <c r="D101" s="57">
        <v>10020051</v>
      </c>
      <c r="E101" s="57">
        <v>41051</v>
      </c>
      <c r="F101" s="58" t="s">
        <v>2545</v>
      </c>
      <c r="G101" s="58" t="s">
        <v>2436</v>
      </c>
      <c r="H101" s="10">
        <v>419</v>
      </c>
      <c r="I101" s="10">
        <v>3</v>
      </c>
      <c r="J101" s="101">
        <f t="shared" si="5"/>
        <v>416</v>
      </c>
      <c r="K101" s="58" t="s">
        <v>2445</v>
      </c>
      <c r="L101" s="58" t="s">
        <v>2446</v>
      </c>
    </row>
    <row r="102" customFormat="1" hidden="1" spans="1:12">
      <c r="A102" t="str">
        <f t="shared" si="4"/>
        <v>加拿大七店1101000550009整份</v>
      </c>
      <c r="B102" s="84" t="s">
        <v>636</v>
      </c>
      <c r="C102" s="84" t="str">
        <f t="shared" si="6"/>
        <v>11010005整份</v>
      </c>
      <c r="D102" s="57">
        <v>11010005</v>
      </c>
      <c r="E102" s="57">
        <v>50009</v>
      </c>
      <c r="F102" s="58" t="s">
        <v>2546</v>
      </c>
      <c r="G102" s="58" t="s">
        <v>2436</v>
      </c>
      <c r="H102" s="10">
        <v>573</v>
      </c>
      <c r="I102" s="10">
        <v>5</v>
      </c>
      <c r="J102" s="101">
        <f t="shared" si="5"/>
        <v>568</v>
      </c>
      <c r="K102" s="58" t="s">
        <v>2441</v>
      </c>
      <c r="L102" s="58" t="s">
        <v>2455</v>
      </c>
    </row>
    <row r="103" customFormat="1" hidden="1" spans="1:12">
      <c r="A103" t="str">
        <f t="shared" si="4"/>
        <v>加拿大七店1002005341054半份</v>
      </c>
      <c r="B103" s="84" t="s">
        <v>636</v>
      </c>
      <c r="C103" s="84" t="str">
        <f t="shared" si="6"/>
        <v>10020053半份</v>
      </c>
      <c r="D103" s="57">
        <v>10020053</v>
      </c>
      <c r="E103" s="57">
        <v>41054</v>
      </c>
      <c r="F103" s="58" t="s">
        <v>2547</v>
      </c>
      <c r="G103" s="58" t="s">
        <v>2440</v>
      </c>
      <c r="H103" s="10">
        <v>192</v>
      </c>
      <c r="I103" s="10">
        <v>1</v>
      </c>
      <c r="J103" s="101">
        <f t="shared" si="5"/>
        <v>191</v>
      </c>
      <c r="K103" s="58" t="s">
        <v>2445</v>
      </c>
      <c r="L103" s="58" t="s">
        <v>2446</v>
      </c>
    </row>
    <row r="104" customFormat="1" hidden="1" spans="1:12">
      <c r="A104" t="str">
        <f t="shared" si="4"/>
        <v>加拿大七店1002005341053整份</v>
      </c>
      <c r="B104" s="84" t="s">
        <v>636</v>
      </c>
      <c r="C104" s="84" t="str">
        <f t="shared" si="6"/>
        <v>10020053整份</v>
      </c>
      <c r="D104" s="57">
        <v>10020053</v>
      </c>
      <c r="E104" s="57">
        <v>41053</v>
      </c>
      <c r="F104" s="58" t="s">
        <v>2548</v>
      </c>
      <c r="G104" s="58" t="s">
        <v>2436</v>
      </c>
      <c r="H104" s="10">
        <v>90</v>
      </c>
      <c r="I104" s="10">
        <v>5</v>
      </c>
      <c r="J104" s="101">
        <f t="shared" si="5"/>
        <v>85</v>
      </c>
      <c r="K104" s="58" t="s">
        <v>2445</v>
      </c>
      <c r="L104" s="58" t="s">
        <v>2446</v>
      </c>
    </row>
    <row r="105" customFormat="1" hidden="1" spans="1:12">
      <c r="A105" t="str">
        <f t="shared" si="4"/>
        <v>加拿大七店1101048350681整份</v>
      </c>
      <c r="B105" s="84" t="s">
        <v>636</v>
      </c>
      <c r="C105" s="84" t="str">
        <f t="shared" si="6"/>
        <v>11010483整份</v>
      </c>
      <c r="D105" s="57">
        <v>11010483</v>
      </c>
      <c r="E105" s="57">
        <v>50681</v>
      </c>
      <c r="F105" s="58" t="s">
        <v>2549</v>
      </c>
      <c r="G105" s="58" t="s">
        <v>2436</v>
      </c>
      <c r="H105" s="10">
        <v>293</v>
      </c>
      <c r="I105" s="10">
        <v>0</v>
      </c>
      <c r="J105" s="101">
        <f t="shared" si="5"/>
        <v>293</v>
      </c>
      <c r="K105" s="58" t="s">
        <v>2441</v>
      </c>
      <c r="L105" s="58" t="s">
        <v>2455</v>
      </c>
    </row>
    <row r="106" customFormat="1" hidden="1" spans="1:12">
      <c r="A106" t="str">
        <f t="shared" si="4"/>
        <v>加拿大七店901032530395整份</v>
      </c>
      <c r="B106" s="84" t="s">
        <v>636</v>
      </c>
      <c r="C106" s="84"/>
      <c r="D106" s="57">
        <v>9010325</v>
      </c>
      <c r="E106" s="57">
        <v>30395</v>
      </c>
      <c r="F106" s="58" t="s">
        <v>2550</v>
      </c>
      <c r="G106" s="58" t="s">
        <v>2436</v>
      </c>
      <c r="H106" s="10">
        <v>2021</v>
      </c>
      <c r="I106" s="10">
        <v>11</v>
      </c>
      <c r="J106" s="101">
        <f t="shared" si="5"/>
        <v>2010</v>
      </c>
      <c r="K106" s="58" t="s">
        <v>2437</v>
      </c>
      <c r="L106" s="58" t="s">
        <v>2438</v>
      </c>
    </row>
    <row r="107" customFormat="1" hidden="1" spans="1:12">
      <c r="A107" t="str">
        <f t="shared" si="4"/>
        <v>加拿大七店901032730399整份</v>
      </c>
      <c r="B107" s="84" t="s">
        <v>636</v>
      </c>
      <c r="C107" s="84"/>
      <c r="D107" s="57">
        <v>9010327</v>
      </c>
      <c r="E107" s="57">
        <v>30399</v>
      </c>
      <c r="F107" s="58" t="s">
        <v>2551</v>
      </c>
      <c r="G107" s="58" t="s">
        <v>2436</v>
      </c>
      <c r="H107" s="10">
        <v>488</v>
      </c>
      <c r="I107" s="10">
        <v>2</v>
      </c>
      <c r="J107" s="101">
        <f t="shared" si="5"/>
        <v>486</v>
      </c>
      <c r="K107" s="58" t="s">
        <v>2437</v>
      </c>
      <c r="L107" s="58" t="s">
        <v>2438</v>
      </c>
    </row>
    <row r="108" customFormat="1" hidden="1" spans="1:12">
      <c r="A108" t="str">
        <f t="shared" si="4"/>
        <v>加拿大七店1409009884277整份</v>
      </c>
      <c r="B108" s="84" t="s">
        <v>636</v>
      </c>
      <c r="C108" s="84" t="str">
        <f>D108&amp;G108</f>
        <v>14090098整份</v>
      </c>
      <c r="D108" s="57">
        <v>14090098</v>
      </c>
      <c r="E108" s="57">
        <v>84277</v>
      </c>
      <c r="F108" s="58" t="s">
        <v>2552</v>
      </c>
      <c r="G108" s="58" t="s">
        <v>2436</v>
      </c>
      <c r="H108" s="10">
        <v>302</v>
      </c>
      <c r="I108" s="10">
        <v>1</v>
      </c>
      <c r="J108" s="101">
        <f t="shared" si="5"/>
        <v>301</v>
      </c>
      <c r="K108" s="58" t="s">
        <v>2441</v>
      </c>
      <c r="L108" s="58" t="s">
        <v>2442</v>
      </c>
    </row>
    <row r="109" customFormat="1" hidden="1" spans="1:12">
      <c r="A109" t="str">
        <f t="shared" si="4"/>
        <v>加拿大七店907002447025整份</v>
      </c>
      <c r="B109" s="84" t="s">
        <v>636</v>
      </c>
      <c r="C109" s="84" t="str">
        <f>D109&amp;G109</f>
        <v>9070024整份</v>
      </c>
      <c r="D109" s="57">
        <v>9070024</v>
      </c>
      <c r="E109" s="57">
        <v>47025</v>
      </c>
      <c r="F109" s="58" t="s">
        <v>2553</v>
      </c>
      <c r="G109" s="58" t="s">
        <v>2436</v>
      </c>
      <c r="H109" s="10">
        <v>369</v>
      </c>
      <c r="I109" s="10">
        <v>1</v>
      </c>
      <c r="J109" s="101">
        <f t="shared" si="5"/>
        <v>368</v>
      </c>
      <c r="K109" s="58" t="s">
        <v>2437</v>
      </c>
      <c r="L109" s="58" t="s">
        <v>2438</v>
      </c>
    </row>
    <row r="110" customFormat="1" hidden="1" spans="1:12">
      <c r="A110" t="str">
        <f t="shared" si="4"/>
        <v>加拿大七店1003001742017整份</v>
      </c>
      <c r="B110" s="84" t="s">
        <v>636</v>
      </c>
      <c r="C110" s="84" t="str">
        <f>D110&amp;G110</f>
        <v>10030017整份</v>
      </c>
      <c r="D110" s="57">
        <v>10030017</v>
      </c>
      <c r="E110" s="57">
        <v>42017</v>
      </c>
      <c r="F110" s="58" t="s">
        <v>2554</v>
      </c>
      <c r="G110" s="58" t="s">
        <v>2436</v>
      </c>
      <c r="H110" s="10">
        <v>207</v>
      </c>
      <c r="I110" s="10">
        <v>1</v>
      </c>
      <c r="J110" s="101">
        <f t="shared" si="5"/>
        <v>206</v>
      </c>
      <c r="K110" s="58" t="s">
        <v>2445</v>
      </c>
      <c r="L110" s="58" t="s">
        <v>2449</v>
      </c>
    </row>
    <row r="111" customFormat="1" hidden="1" spans="1:12">
      <c r="A111" t="str">
        <f t="shared" si="4"/>
        <v>加拿大七店904004133041整份</v>
      </c>
      <c r="B111" s="84" t="s">
        <v>636</v>
      </c>
      <c r="C111" s="84" t="str">
        <f t="shared" ref="C111:C124" si="7">D111&amp;G111</f>
        <v>9040041整份</v>
      </c>
      <c r="D111" s="57">
        <v>9040041</v>
      </c>
      <c r="E111" s="57">
        <v>33041</v>
      </c>
      <c r="F111" s="58" t="s">
        <v>2555</v>
      </c>
      <c r="G111" s="58" t="s">
        <v>2436</v>
      </c>
      <c r="H111" s="10">
        <v>276</v>
      </c>
      <c r="I111" s="10">
        <v>0</v>
      </c>
      <c r="J111" s="101">
        <f t="shared" si="5"/>
        <v>276</v>
      </c>
      <c r="K111" s="58" t="s">
        <v>2474</v>
      </c>
      <c r="L111" s="58" t="s">
        <v>2475</v>
      </c>
    </row>
    <row r="112" customFormat="1" hidden="1" spans="1:12">
      <c r="A112" t="str">
        <f t="shared" si="4"/>
        <v>加拿大七店903040732440半份</v>
      </c>
      <c r="B112" s="84" t="s">
        <v>636</v>
      </c>
      <c r="C112" s="84" t="str">
        <f t="shared" si="7"/>
        <v>9030407半份</v>
      </c>
      <c r="D112" s="57">
        <v>9030407</v>
      </c>
      <c r="E112" s="57">
        <v>32440</v>
      </c>
      <c r="F112" s="58" t="s">
        <v>2556</v>
      </c>
      <c r="G112" s="58" t="s">
        <v>2440</v>
      </c>
      <c r="H112" s="10">
        <v>220</v>
      </c>
      <c r="I112" s="10">
        <v>2</v>
      </c>
      <c r="J112" s="101">
        <f t="shared" si="5"/>
        <v>218</v>
      </c>
      <c r="K112" s="58" t="s">
        <v>2437</v>
      </c>
      <c r="L112" s="58" t="s">
        <v>2464</v>
      </c>
    </row>
    <row r="113" customFormat="1" hidden="1" spans="1:12">
      <c r="A113" t="str">
        <f t="shared" si="4"/>
        <v>加拿大七店903040732439整份</v>
      </c>
      <c r="B113" s="84" t="s">
        <v>636</v>
      </c>
      <c r="C113" s="84" t="str">
        <f t="shared" si="7"/>
        <v>9030407整份</v>
      </c>
      <c r="D113" s="57">
        <v>9030407</v>
      </c>
      <c r="E113" s="57">
        <v>32439</v>
      </c>
      <c r="F113" s="58" t="s">
        <v>2557</v>
      </c>
      <c r="G113" s="58" t="s">
        <v>2436</v>
      </c>
      <c r="H113" s="10">
        <v>59</v>
      </c>
      <c r="I113" s="10">
        <v>0</v>
      </c>
      <c r="J113" s="101">
        <f t="shared" si="5"/>
        <v>59</v>
      </c>
      <c r="K113" s="58" t="s">
        <v>2437</v>
      </c>
      <c r="L113" s="58" t="s">
        <v>2464</v>
      </c>
    </row>
    <row r="114" customFormat="1" hidden="1" spans="1:12">
      <c r="A114" t="str">
        <f t="shared" si="4"/>
        <v>加拿大七店1002006941069整份</v>
      </c>
      <c r="B114" s="84" t="s">
        <v>636</v>
      </c>
      <c r="C114" s="84" t="str">
        <f t="shared" si="7"/>
        <v>10020069整份</v>
      </c>
      <c r="D114" s="57">
        <v>10020069</v>
      </c>
      <c r="E114" s="57">
        <v>41069</v>
      </c>
      <c r="F114" s="58" t="s">
        <v>2558</v>
      </c>
      <c r="G114" s="58" t="s">
        <v>2436</v>
      </c>
      <c r="H114" s="10">
        <v>303</v>
      </c>
      <c r="I114" s="10">
        <v>2</v>
      </c>
      <c r="J114" s="101">
        <f t="shared" si="5"/>
        <v>301</v>
      </c>
      <c r="K114" s="58" t="s">
        <v>2445</v>
      </c>
      <c r="L114" s="58" t="s">
        <v>2489</v>
      </c>
    </row>
    <row r="115" customFormat="1" hidden="1" spans="1:12">
      <c r="A115" t="str">
        <f t="shared" si="4"/>
        <v>加拿大七店1002006941070半份</v>
      </c>
      <c r="B115" s="84" t="s">
        <v>636</v>
      </c>
      <c r="C115" s="84" t="str">
        <f t="shared" si="7"/>
        <v>10020069半份</v>
      </c>
      <c r="D115" s="57">
        <v>10020069</v>
      </c>
      <c r="E115" s="57">
        <v>41070</v>
      </c>
      <c r="F115" s="58" t="s">
        <v>2559</v>
      </c>
      <c r="G115" s="58" t="s">
        <v>2440</v>
      </c>
      <c r="H115" s="10">
        <v>360</v>
      </c>
      <c r="I115" s="10">
        <v>2</v>
      </c>
      <c r="J115" s="101">
        <f t="shared" si="5"/>
        <v>358</v>
      </c>
      <c r="K115" s="58" t="s">
        <v>2445</v>
      </c>
      <c r="L115" s="58" t="s">
        <v>2489</v>
      </c>
    </row>
    <row r="116" customFormat="1" hidden="1" spans="1:12">
      <c r="A116" t="str">
        <f t="shared" si="4"/>
        <v>加拿大七店301001320014半份</v>
      </c>
      <c r="B116" s="84" t="s">
        <v>636</v>
      </c>
      <c r="C116" s="84" t="str">
        <f t="shared" si="7"/>
        <v>3010013半份</v>
      </c>
      <c r="D116" s="57">
        <v>3010013</v>
      </c>
      <c r="E116" s="57">
        <v>20014</v>
      </c>
      <c r="F116" s="58" t="s">
        <v>2560</v>
      </c>
      <c r="G116" s="58" t="s">
        <v>2440</v>
      </c>
      <c r="H116" s="10">
        <v>659</v>
      </c>
      <c r="I116" s="10">
        <v>2</v>
      </c>
      <c r="J116" s="101">
        <f t="shared" si="5"/>
        <v>657</v>
      </c>
      <c r="K116" s="58" t="s">
        <v>2474</v>
      </c>
      <c r="L116" s="58" t="s">
        <v>2475</v>
      </c>
    </row>
    <row r="117" customFormat="1" hidden="1" spans="1:12">
      <c r="A117" t="str">
        <f t="shared" si="4"/>
        <v>加拿大七店301001320013整份</v>
      </c>
      <c r="B117" s="84" t="s">
        <v>636</v>
      </c>
      <c r="C117" s="84" t="str">
        <f t="shared" si="7"/>
        <v>3010013整份</v>
      </c>
      <c r="D117" s="57">
        <v>3010013</v>
      </c>
      <c r="E117" s="57">
        <v>20013</v>
      </c>
      <c r="F117" s="58" t="s">
        <v>2561</v>
      </c>
      <c r="G117" s="58" t="s">
        <v>2436</v>
      </c>
      <c r="H117" s="10">
        <v>487</v>
      </c>
      <c r="I117" s="10">
        <v>3</v>
      </c>
      <c r="J117" s="101">
        <f t="shared" si="5"/>
        <v>484</v>
      </c>
      <c r="K117" s="58" t="s">
        <v>2474</v>
      </c>
      <c r="L117" s="58" t="s">
        <v>2475</v>
      </c>
    </row>
    <row r="118" customFormat="1" hidden="1" spans="1:12">
      <c r="A118" t="str">
        <f t="shared" si="4"/>
        <v>加拿大七店903037332391整份</v>
      </c>
      <c r="B118" s="84" t="s">
        <v>636</v>
      </c>
      <c r="C118" s="84" t="str">
        <f t="shared" si="7"/>
        <v>9030373整份</v>
      </c>
      <c r="D118" s="57">
        <v>9030373</v>
      </c>
      <c r="E118" s="57">
        <v>32391</v>
      </c>
      <c r="F118" s="58" t="s">
        <v>2562</v>
      </c>
      <c r="G118" s="58" t="s">
        <v>2436</v>
      </c>
      <c r="H118" s="10">
        <v>181</v>
      </c>
      <c r="I118" s="10">
        <v>3</v>
      </c>
      <c r="J118" s="101">
        <f t="shared" si="5"/>
        <v>178</v>
      </c>
      <c r="K118" s="58" t="s">
        <v>2437</v>
      </c>
      <c r="L118" s="58" t="s">
        <v>2464</v>
      </c>
    </row>
    <row r="119" customFormat="1" hidden="1" spans="1:12">
      <c r="A119" t="str">
        <f t="shared" si="4"/>
        <v>加拿大七店904033633395整份</v>
      </c>
      <c r="B119" s="84" t="s">
        <v>636</v>
      </c>
      <c r="C119" s="84" t="str">
        <f t="shared" si="7"/>
        <v>9040336整份</v>
      </c>
      <c r="D119" s="57">
        <v>9040336</v>
      </c>
      <c r="E119" s="57">
        <v>33395</v>
      </c>
      <c r="F119" s="58" t="s">
        <v>2563</v>
      </c>
      <c r="G119" s="58" t="s">
        <v>2436</v>
      </c>
      <c r="H119" s="10">
        <v>416</v>
      </c>
      <c r="I119" s="10">
        <v>3</v>
      </c>
      <c r="J119" s="101">
        <f t="shared" si="5"/>
        <v>413</v>
      </c>
      <c r="K119" s="58" t="s">
        <v>2474</v>
      </c>
      <c r="L119" s="58" t="s">
        <v>2475</v>
      </c>
    </row>
    <row r="120" customFormat="1" hidden="1" spans="1:12">
      <c r="A120" t="str">
        <f t="shared" si="4"/>
        <v>加拿大七店1002006541065整份</v>
      </c>
      <c r="B120" s="84" t="s">
        <v>636</v>
      </c>
      <c r="C120" s="84" t="str">
        <f t="shared" si="7"/>
        <v>10020065整份</v>
      </c>
      <c r="D120" s="57">
        <v>10020065</v>
      </c>
      <c r="E120" s="57">
        <v>41065</v>
      </c>
      <c r="F120" s="58" t="s">
        <v>2564</v>
      </c>
      <c r="G120" s="58" t="s">
        <v>2436</v>
      </c>
      <c r="H120" s="10">
        <v>699</v>
      </c>
      <c r="I120" s="10">
        <v>2</v>
      </c>
      <c r="J120" s="101">
        <f t="shared" si="5"/>
        <v>697</v>
      </c>
      <c r="K120" s="58" t="s">
        <v>2445</v>
      </c>
      <c r="L120" s="58" t="s">
        <v>2489</v>
      </c>
    </row>
    <row r="121" customFormat="1" hidden="1" spans="1:12">
      <c r="A121" t="str">
        <f t="shared" si="4"/>
        <v>加拿大七店1002006541066半份</v>
      </c>
      <c r="B121" s="84" t="s">
        <v>636</v>
      </c>
      <c r="C121" s="84" t="str">
        <f t="shared" si="7"/>
        <v>10020065半份</v>
      </c>
      <c r="D121" s="57">
        <v>10020065</v>
      </c>
      <c r="E121" s="57">
        <v>41066</v>
      </c>
      <c r="F121" s="58" t="s">
        <v>2565</v>
      </c>
      <c r="G121" s="58" t="s">
        <v>2440</v>
      </c>
      <c r="H121" s="10">
        <v>766</v>
      </c>
      <c r="I121" s="10">
        <v>1</v>
      </c>
      <c r="J121" s="101">
        <f t="shared" si="5"/>
        <v>765</v>
      </c>
      <c r="K121" s="58" t="s">
        <v>2445</v>
      </c>
      <c r="L121" s="58" t="s">
        <v>2489</v>
      </c>
    </row>
    <row r="122" customFormat="1" hidden="1" spans="1:12">
      <c r="A122" t="str">
        <f t="shared" si="4"/>
        <v>加拿大七店901018530219整份</v>
      </c>
      <c r="B122" s="84" t="s">
        <v>636</v>
      </c>
      <c r="C122" s="84" t="str">
        <f t="shared" si="7"/>
        <v>9010185整份</v>
      </c>
      <c r="D122" s="57">
        <v>9010185</v>
      </c>
      <c r="E122" s="57">
        <v>30219</v>
      </c>
      <c r="F122" s="58" t="s">
        <v>2566</v>
      </c>
      <c r="G122" s="58" t="s">
        <v>2436</v>
      </c>
      <c r="H122" s="10">
        <v>1194</v>
      </c>
      <c r="I122" s="10">
        <v>4</v>
      </c>
      <c r="J122" s="101">
        <f t="shared" si="5"/>
        <v>1190</v>
      </c>
      <c r="K122" s="58" t="s">
        <v>2437</v>
      </c>
      <c r="L122" s="58" t="s">
        <v>2438</v>
      </c>
    </row>
    <row r="123" customFormat="1" hidden="1" spans="1:12">
      <c r="A123" t="str">
        <f t="shared" si="4"/>
        <v>加拿大七店902030531315整份</v>
      </c>
      <c r="B123" s="84" t="s">
        <v>636</v>
      </c>
      <c r="C123" s="84" t="str">
        <f t="shared" si="7"/>
        <v>9020305整份</v>
      </c>
      <c r="D123" s="57">
        <v>9020305</v>
      </c>
      <c r="E123" s="57">
        <v>31315</v>
      </c>
      <c r="F123" s="58" t="s">
        <v>2567</v>
      </c>
      <c r="G123" s="58" t="s">
        <v>2436</v>
      </c>
      <c r="H123" s="10">
        <v>119</v>
      </c>
      <c r="I123" s="10">
        <v>0</v>
      </c>
      <c r="J123" s="101">
        <f t="shared" si="5"/>
        <v>119</v>
      </c>
      <c r="K123" s="58" t="s">
        <v>2437</v>
      </c>
      <c r="L123" s="58" t="s">
        <v>2499</v>
      </c>
    </row>
    <row r="124" customFormat="1" hidden="1" spans="1:12">
      <c r="A124" t="str">
        <f t="shared" si="4"/>
        <v>加拿大七店902030531316半份</v>
      </c>
      <c r="B124" s="84" t="s">
        <v>636</v>
      </c>
      <c r="C124" s="84" t="str">
        <f t="shared" si="7"/>
        <v>9020305半份</v>
      </c>
      <c r="D124" s="57">
        <v>9020305</v>
      </c>
      <c r="E124" s="57">
        <v>31316</v>
      </c>
      <c r="F124" s="58" t="s">
        <v>2568</v>
      </c>
      <c r="G124" s="58" t="s">
        <v>2440</v>
      </c>
      <c r="H124" s="10">
        <v>261</v>
      </c>
      <c r="I124" s="10">
        <v>1</v>
      </c>
      <c r="J124" s="101">
        <f t="shared" si="5"/>
        <v>260</v>
      </c>
      <c r="K124" s="58" t="s">
        <v>2437</v>
      </c>
      <c r="L124" s="58" t="s">
        <v>2499</v>
      </c>
    </row>
    <row r="125" customFormat="1" hidden="1" spans="1:12">
      <c r="A125" t="str">
        <f t="shared" si="4"/>
        <v>加拿大七店7000083877743整份</v>
      </c>
      <c r="B125" s="84" t="s">
        <v>636</v>
      </c>
      <c r="C125" s="84" t="str">
        <f t="shared" ref="C125:C135" si="8">D125&amp;G125</f>
        <v>70000838整份</v>
      </c>
      <c r="D125" s="57">
        <v>70000838</v>
      </c>
      <c r="E125" s="57">
        <v>77743</v>
      </c>
      <c r="F125" s="58" t="s">
        <v>2569</v>
      </c>
      <c r="G125" s="58" t="s">
        <v>2436</v>
      </c>
      <c r="H125" s="10">
        <v>445</v>
      </c>
      <c r="I125" s="10">
        <v>0</v>
      </c>
      <c r="J125" s="101">
        <f t="shared" si="5"/>
        <v>445</v>
      </c>
      <c r="K125" s="58" t="s">
        <v>2441</v>
      </c>
      <c r="L125" s="58" t="s">
        <v>2455</v>
      </c>
    </row>
    <row r="126" customFormat="1" hidden="1" spans="1:12">
      <c r="A126" t="str">
        <f t="shared" si="4"/>
        <v>加拿大七店301001920020半份</v>
      </c>
      <c r="B126" s="84" t="s">
        <v>636</v>
      </c>
      <c r="C126" s="84" t="str">
        <f t="shared" si="8"/>
        <v>3010019半份</v>
      </c>
      <c r="D126" s="57">
        <v>3010019</v>
      </c>
      <c r="E126" s="57">
        <v>20020</v>
      </c>
      <c r="F126" s="58" t="s">
        <v>2570</v>
      </c>
      <c r="G126" s="58" t="s">
        <v>2440</v>
      </c>
      <c r="H126" s="10">
        <v>280</v>
      </c>
      <c r="I126" s="10">
        <v>1</v>
      </c>
      <c r="J126" s="101">
        <f t="shared" si="5"/>
        <v>279</v>
      </c>
      <c r="K126" s="58" t="s">
        <v>2474</v>
      </c>
      <c r="L126" s="58" t="s">
        <v>2475</v>
      </c>
    </row>
    <row r="127" customFormat="1" hidden="1" spans="1:12">
      <c r="A127" t="str">
        <f t="shared" si="4"/>
        <v>加拿大七店301001920019整份</v>
      </c>
      <c r="B127" s="84" t="s">
        <v>636</v>
      </c>
      <c r="C127" s="84" t="str">
        <f t="shared" si="8"/>
        <v>3010019整份</v>
      </c>
      <c r="D127" s="57">
        <v>3010019</v>
      </c>
      <c r="E127" s="57">
        <v>20019</v>
      </c>
      <c r="F127" s="58" t="s">
        <v>2571</v>
      </c>
      <c r="G127" s="58" t="s">
        <v>2436</v>
      </c>
      <c r="H127" s="10">
        <v>87</v>
      </c>
      <c r="I127" s="10">
        <v>1</v>
      </c>
      <c r="J127" s="101">
        <f t="shared" si="5"/>
        <v>86</v>
      </c>
      <c r="K127" s="58" t="s">
        <v>2474</v>
      </c>
      <c r="L127" s="58" t="s">
        <v>2475</v>
      </c>
    </row>
    <row r="128" customFormat="1" hidden="1" spans="1:12">
      <c r="A128" t="str">
        <f t="shared" si="4"/>
        <v>加拿大七店301001720018半份</v>
      </c>
      <c r="B128" s="84" t="s">
        <v>636</v>
      </c>
      <c r="C128" s="84" t="str">
        <f t="shared" si="8"/>
        <v>3010017半份</v>
      </c>
      <c r="D128" s="57">
        <v>3010017</v>
      </c>
      <c r="E128" s="57">
        <v>20018</v>
      </c>
      <c r="F128" s="58" t="s">
        <v>2572</v>
      </c>
      <c r="G128" s="58" t="s">
        <v>2440</v>
      </c>
      <c r="H128" s="10">
        <v>195</v>
      </c>
      <c r="I128" s="10">
        <v>2</v>
      </c>
      <c r="J128" s="101">
        <f t="shared" si="5"/>
        <v>193</v>
      </c>
      <c r="K128" s="58" t="s">
        <v>2474</v>
      </c>
      <c r="L128" s="58" t="s">
        <v>2475</v>
      </c>
    </row>
    <row r="129" customFormat="1" hidden="1" spans="1:12">
      <c r="A129" t="str">
        <f t="shared" si="4"/>
        <v>加拿大七店301001720017整份</v>
      </c>
      <c r="B129" s="84" t="s">
        <v>636</v>
      </c>
      <c r="C129" s="84" t="str">
        <f t="shared" si="8"/>
        <v>3010017整份</v>
      </c>
      <c r="D129" s="57">
        <v>3010017</v>
      </c>
      <c r="E129" s="57">
        <v>20017</v>
      </c>
      <c r="F129" s="58" t="s">
        <v>2573</v>
      </c>
      <c r="G129" s="58" t="s">
        <v>2436</v>
      </c>
      <c r="H129" s="10">
        <v>55</v>
      </c>
      <c r="I129" s="10">
        <v>1</v>
      </c>
      <c r="J129" s="101">
        <f t="shared" si="5"/>
        <v>54</v>
      </c>
      <c r="K129" s="58" t="s">
        <v>2474</v>
      </c>
      <c r="L129" s="58" t="s">
        <v>2475</v>
      </c>
    </row>
    <row r="130" customFormat="1" hidden="1" spans="1:12">
      <c r="A130" t="str">
        <f t="shared" ref="A130:A193" si="9">B130&amp;D130&amp;E130&amp;G130</f>
        <v>加拿大七店301001520016半份</v>
      </c>
      <c r="B130" s="84" t="s">
        <v>636</v>
      </c>
      <c r="C130" s="84" t="str">
        <f t="shared" si="8"/>
        <v>3010015半份</v>
      </c>
      <c r="D130" s="57">
        <v>3010015</v>
      </c>
      <c r="E130" s="57">
        <v>20016</v>
      </c>
      <c r="F130" s="58" t="s">
        <v>2574</v>
      </c>
      <c r="G130" s="58" t="s">
        <v>2440</v>
      </c>
      <c r="H130" s="10">
        <v>401</v>
      </c>
      <c r="I130" s="10">
        <v>6</v>
      </c>
      <c r="J130" s="101">
        <f t="shared" si="5"/>
        <v>395</v>
      </c>
      <c r="K130" s="58" t="s">
        <v>2437</v>
      </c>
      <c r="L130" s="58" t="s">
        <v>2470</v>
      </c>
    </row>
    <row r="131" customFormat="1" hidden="1" spans="1:12">
      <c r="A131" t="str">
        <f t="shared" si="9"/>
        <v>加拿大七店301001520015整份</v>
      </c>
      <c r="B131" s="84" t="s">
        <v>636</v>
      </c>
      <c r="C131" s="84" t="str">
        <f t="shared" si="8"/>
        <v>3010015整份</v>
      </c>
      <c r="D131" s="57">
        <v>3010015</v>
      </c>
      <c r="E131" s="57">
        <v>20015</v>
      </c>
      <c r="F131" s="58" t="s">
        <v>2575</v>
      </c>
      <c r="G131" s="58" t="s">
        <v>2436</v>
      </c>
      <c r="H131" s="10">
        <v>116</v>
      </c>
      <c r="I131" s="10">
        <v>1</v>
      </c>
      <c r="J131" s="101">
        <f t="shared" ref="J131:J194" si="10">H131-I131</f>
        <v>115</v>
      </c>
      <c r="K131" s="58" t="s">
        <v>2437</v>
      </c>
      <c r="L131" s="58" t="s">
        <v>2470</v>
      </c>
    </row>
    <row r="132" customFormat="1" hidden="1" spans="1:12">
      <c r="A132" t="str">
        <f t="shared" si="9"/>
        <v>加拿大七店1002007341073整份</v>
      </c>
      <c r="B132" s="84" t="s">
        <v>636</v>
      </c>
      <c r="C132" s="84" t="str">
        <f t="shared" si="8"/>
        <v>10020073整份</v>
      </c>
      <c r="D132" s="57">
        <v>10020073</v>
      </c>
      <c r="E132" s="57">
        <v>41073</v>
      </c>
      <c r="F132" s="58" t="s">
        <v>2576</v>
      </c>
      <c r="G132" s="58" t="s">
        <v>2436</v>
      </c>
      <c r="H132" s="10">
        <v>254</v>
      </c>
      <c r="I132" s="10">
        <v>1</v>
      </c>
      <c r="J132" s="101">
        <f t="shared" si="10"/>
        <v>253</v>
      </c>
      <c r="K132" s="58" t="s">
        <v>2445</v>
      </c>
      <c r="L132" s="58" t="s">
        <v>2489</v>
      </c>
    </row>
    <row r="133" customFormat="1" hidden="1" spans="1:12">
      <c r="A133" t="str">
        <f t="shared" si="9"/>
        <v>加拿大七店1002007341074半份</v>
      </c>
      <c r="B133" s="84" t="s">
        <v>636</v>
      </c>
      <c r="C133" s="84" t="str">
        <f t="shared" si="8"/>
        <v>10020073半份</v>
      </c>
      <c r="D133" s="57">
        <v>10020073</v>
      </c>
      <c r="E133" s="57">
        <v>41074</v>
      </c>
      <c r="F133" s="58" t="s">
        <v>2577</v>
      </c>
      <c r="G133" s="58" t="s">
        <v>2440</v>
      </c>
      <c r="H133" s="10">
        <v>313</v>
      </c>
      <c r="I133" s="10">
        <v>2</v>
      </c>
      <c r="J133" s="101">
        <f t="shared" si="10"/>
        <v>311</v>
      </c>
      <c r="K133" s="58" t="s">
        <v>2445</v>
      </c>
      <c r="L133" s="58" t="s">
        <v>2489</v>
      </c>
    </row>
    <row r="134" customFormat="1" hidden="1" spans="1:12">
      <c r="A134" t="str">
        <f t="shared" si="9"/>
        <v>加拿大七店904005533056半份</v>
      </c>
      <c r="B134" s="84" t="s">
        <v>636</v>
      </c>
      <c r="C134" s="84" t="str">
        <f t="shared" si="8"/>
        <v>9040055半份</v>
      </c>
      <c r="D134" s="57">
        <v>9040055</v>
      </c>
      <c r="E134" s="57">
        <v>33056</v>
      </c>
      <c r="F134" s="58" t="s">
        <v>2578</v>
      </c>
      <c r="G134" s="58" t="s">
        <v>2440</v>
      </c>
      <c r="H134" s="10">
        <v>343</v>
      </c>
      <c r="I134" s="10">
        <v>3</v>
      </c>
      <c r="J134" s="101">
        <f t="shared" si="10"/>
        <v>340</v>
      </c>
      <c r="K134" s="58" t="s">
        <v>2474</v>
      </c>
      <c r="L134" s="58" t="s">
        <v>2475</v>
      </c>
    </row>
    <row r="135" customFormat="1" hidden="1" spans="1:12">
      <c r="A135" t="str">
        <f t="shared" si="9"/>
        <v>加拿大七店904005533055整份</v>
      </c>
      <c r="B135" s="84" t="s">
        <v>636</v>
      </c>
      <c r="C135" s="84" t="str">
        <f t="shared" si="8"/>
        <v>9040055整份</v>
      </c>
      <c r="D135" s="57">
        <v>9040055</v>
      </c>
      <c r="E135" s="57">
        <v>33055</v>
      </c>
      <c r="F135" s="58" t="s">
        <v>2579</v>
      </c>
      <c r="G135" s="58" t="s">
        <v>2436</v>
      </c>
      <c r="H135" s="10">
        <v>128</v>
      </c>
      <c r="I135" s="10">
        <v>1</v>
      </c>
      <c r="J135" s="101">
        <f t="shared" si="10"/>
        <v>127</v>
      </c>
      <c r="K135" s="58" t="s">
        <v>2474</v>
      </c>
      <c r="L135" s="58" t="s">
        <v>2475</v>
      </c>
    </row>
    <row r="136" customFormat="1" hidden="1" spans="1:12">
      <c r="A136" t="str">
        <f t="shared" si="9"/>
        <v>加拿大七店903001978645半份</v>
      </c>
      <c r="B136" s="84" t="s">
        <v>636</v>
      </c>
      <c r="C136" s="84" t="str">
        <f t="shared" ref="C136:C147" si="11">D136&amp;G136</f>
        <v>9030019半份</v>
      </c>
      <c r="D136" s="57">
        <v>9030019</v>
      </c>
      <c r="E136" s="57">
        <v>78645</v>
      </c>
      <c r="F136" s="58" t="s">
        <v>2580</v>
      </c>
      <c r="G136" s="58" t="s">
        <v>2440</v>
      </c>
      <c r="H136" s="10">
        <v>159</v>
      </c>
      <c r="I136" s="10">
        <v>3</v>
      </c>
      <c r="J136" s="101">
        <f t="shared" si="10"/>
        <v>156</v>
      </c>
      <c r="K136" s="58" t="s">
        <v>2437</v>
      </c>
      <c r="L136" s="58" t="s">
        <v>2464</v>
      </c>
    </row>
    <row r="137" customFormat="1" hidden="1" spans="1:12">
      <c r="A137" t="str">
        <f t="shared" si="9"/>
        <v>加拿大七店903001932019整份</v>
      </c>
      <c r="B137" s="84" t="s">
        <v>636</v>
      </c>
      <c r="C137" s="84" t="str">
        <f t="shared" si="11"/>
        <v>9030019整份</v>
      </c>
      <c r="D137" s="57">
        <v>9030019</v>
      </c>
      <c r="E137" s="57">
        <v>32019</v>
      </c>
      <c r="F137" s="58" t="s">
        <v>2581</v>
      </c>
      <c r="G137" s="58" t="s">
        <v>2436</v>
      </c>
      <c r="H137" s="10">
        <v>157</v>
      </c>
      <c r="I137" s="10">
        <v>2</v>
      </c>
      <c r="J137" s="101">
        <f t="shared" si="10"/>
        <v>155</v>
      </c>
      <c r="K137" s="58" t="s">
        <v>2437</v>
      </c>
      <c r="L137" s="58" t="s">
        <v>2464</v>
      </c>
    </row>
    <row r="138" customFormat="1" hidden="1" spans="1:12">
      <c r="A138" t="str">
        <f t="shared" si="9"/>
        <v>加拿大七店1101022150252整份</v>
      </c>
      <c r="B138" s="84" t="s">
        <v>636</v>
      </c>
      <c r="C138" s="84" t="str">
        <f t="shared" si="11"/>
        <v>11010221整份</v>
      </c>
      <c r="D138" s="57">
        <v>11010221</v>
      </c>
      <c r="E138" s="57">
        <v>50252</v>
      </c>
      <c r="F138" s="58" t="s">
        <v>2582</v>
      </c>
      <c r="G138" s="58" t="s">
        <v>2436</v>
      </c>
      <c r="H138" s="10">
        <v>393</v>
      </c>
      <c r="I138" s="10">
        <v>0</v>
      </c>
      <c r="J138" s="101">
        <f t="shared" si="10"/>
        <v>393</v>
      </c>
      <c r="K138" s="58" t="s">
        <v>2441</v>
      </c>
      <c r="L138" s="58" t="s">
        <v>2442</v>
      </c>
    </row>
    <row r="139" customFormat="1" hidden="1" spans="1:12">
      <c r="A139" t="str">
        <f t="shared" si="9"/>
        <v>加拿大七店1003030742406半份</v>
      </c>
      <c r="B139" s="84" t="s">
        <v>636</v>
      </c>
      <c r="C139" s="84" t="str">
        <f t="shared" si="11"/>
        <v>10030307半份</v>
      </c>
      <c r="D139" s="57">
        <v>10030307</v>
      </c>
      <c r="E139" s="57">
        <v>42406</v>
      </c>
      <c r="F139" s="58" t="s">
        <v>2583</v>
      </c>
      <c r="G139" s="58" t="s">
        <v>2440</v>
      </c>
      <c r="H139" s="10">
        <v>267</v>
      </c>
      <c r="I139" s="10">
        <v>1</v>
      </c>
      <c r="J139" s="101">
        <f t="shared" si="10"/>
        <v>266</v>
      </c>
      <c r="K139" s="58" t="s">
        <v>2445</v>
      </c>
      <c r="L139" s="58" t="s">
        <v>2446</v>
      </c>
    </row>
    <row r="140" customFormat="1" hidden="1" spans="1:12">
      <c r="A140" t="str">
        <f t="shared" si="9"/>
        <v>加拿大七店1003030742405整份</v>
      </c>
      <c r="B140" s="84" t="s">
        <v>636</v>
      </c>
      <c r="C140" s="84" t="str">
        <f t="shared" si="11"/>
        <v>10030307整份</v>
      </c>
      <c r="D140" s="57">
        <v>10030307</v>
      </c>
      <c r="E140" s="57">
        <v>42405</v>
      </c>
      <c r="F140" s="58" t="s">
        <v>2584</v>
      </c>
      <c r="G140" s="58" t="s">
        <v>2436</v>
      </c>
      <c r="H140" s="10">
        <v>178</v>
      </c>
      <c r="I140" s="10">
        <v>0</v>
      </c>
      <c r="J140" s="101">
        <f t="shared" si="10"/>
        <v>178</v>
      </c>
      <c r="K140" s="58" t="s">
        <v>2445</v>
      </c>
      <c r="L140" s="58" t="s">
        <v>2446</v>
      </c>
    </row>
    <row r="141" customFormat="1" hidden="1" spans="1:12">
      <c r="A141" t="str">
        <f t="shared" si="9"/>
        <v>加拿大七店1002011341114半份</v>
      </c>
      <c r="B141" s="84" t="s">
        <v>636</v>
      </c>
      <c r="C141" s="84" t="str">
        <f t="shared" si="11"/>
        <v>10020113半份</v>
      </c>
      <c r="D141" s="57">
        <v>10020113</v>
      </c>
      <c r="E141" s="57">
        <v>41114</v>
      </c>
      <c r="F141" s="58" t="s">
        <v>2585</v>
      </c>
      <c r="G141" s="58" t="s">
        <v>2440</v>
      </c>
      <c r="H141" s="10">
        <v>144</v>
      </c>
      <c r="I141" s="10">
        <v>1</v>
      </c>
      <c r="J141" s="101">
        <f t="shared" si="10"/>
        <v>143</v>
      </c>
      <c r="K141" s="58" t="s">
        <v>2445</v>
      </c>
      <c r="L141" s="58" t="s">
        <v>2477</v>
      </c>
    </row>
    <row r="142" customFormat="1" hidden="1" spans="1:12">
      <c r="A142" t="str">
        <f t="shared" si="9"/>
        <v>加拿大七店1002011341113整份</v>
      </c>
      <c r="B142" s="84" t="s">
        <v>636</v>
      </c>
      <c r="C142" s="84" t="str">
        <f t="shared" si="11"/>
        <v>10020113整份</v>
      </c>
      <c r="D142" s="57">
        <v>10020113</v>
      </c>
      <c r="E142" s="57">
        <v>41113</v>
      </c>
      <c r="F142" s="58" t="s">
        <v>2586</v>
      </c>
      <c r="G142" s="58" t="s">
        <v>2436</v>
      </c>
      <c r="H142" s="10">
        <v>180</v>
      </c>
      <c r="I142" s="10">
        <v>0</v>
      </c>
      <c r="J142" s="101">
        <f t="shared" si="10"/>
        <v>180</v>
      </c>
      <c r="K142" s="58" t="s">
        <v>2445</v>
      </c>
      <c r="L142" s="58" t="s">
        <v>2477</v>
      </c>
    </row>
    <row r="143" customFormat="1" hidden="1" spans="1:12">
      <c r="A143" t="str">
        <f t="shared" si="9"/>
        <v>加拿大七店301018420187整份</v>
      </c>
      <c r="B143" s="84" t="s">
        <v>636</v>
      </c>
      <c r="C143" s="84" t="str">
        <f t="shared" si="11"/>
        <v>3010184整份</v>
      </c>
      <c r="D143" s="57">
        <v>3010184</v>
      </c>
      <c r="E143" s="57">
        <v>20187</v>
      </c>
      <c r="F143" s="58" t="s">
        <v>2587</v>
      </c>
      <c r="G143" s="58" t="s">
        <v>2436</v>
      </c>
      <c r="H143" s="10">
        <v>677</v>
      </c>
      <c r="I143" s="10">
        <v>6</v>
      </c>
      <c r="J143" s="101">
        <f t="shared" si="10"/>
        <v>671</v>
      </c>
      <c r="K143" s="58" t="s">
        <v>2588</v>
      </c>
      <c r="L143" s="58" t="s">
        <v>2589</v>
      </c>
    </row>
    <row r="144" customFormat="1" hidden="1" spans="1:12">
      <c r="A144" t="str">
        <f t="shared" si="9"/>
        <v>加拿大七店7000050957036整份</v>
      </c>
      <c r="B144" s="84" t="s">
        <v>636</v>
      </c>
      <c r="C144" s="84" t="str">
        <f t="shared" si="11"/>
        <v>70000509整份</v>
      </c>
      <c r="D144" s="57">
        <v>70000509</v>
      </c>
      <c r="E144" s="57">
        <v>57036</v>
      </c>
      <c r="F144" s="58" t="s">
        <v>2590</v>
      </c>
      <c r="G144" s="58" t="s">
        <v>2436</v>
      </c>
      <c r="H144" s="10">
        <v>182</v>
      </c>
      <c r="I144" s="10">
        <v>0</v>
      </c>
      <c r="J144" s="101">
        <f t="shared" si="10"/>
        <v>182</v>
      </c>
      <c r="K144" s="58" t="s">
        <v>2437</v>
      </c>
      <c r="L144" s="58" t="s">
        <v>2464</v>
      </c>
    </row>
    <row r="145" customFormat="1" hidden="1" spans="1:12">
      <c r="A145" t="str">
        <f t="shared" si="9"/>
        <v>加拿大七店900011271001688半份</v>
      </c>
      <c r="B145" s="84" t="s">
        <v>636</v>
      </c>
      <c r="C145" s="84" t="str">
        <f t="shared" si="11"/>
        <v>90001127半份</v>
      </c>
      <c r="D145" s="57">
        <v>90001127</v>
      </c>
      <c r="E145" s="57">
        <v>1001688</v>
      </c>
      <c r="F145" s="58" t="s">
        <v>2591</v>
      </c>
      <c r="G145" s="58" t="s">
        <v>2440</v>
      </c>
      <c r="H145" s="10">
        <v>95</v>
      </c>
      <c r="I145" s="10">
        <v>0</v>
      </c>
      <c r="J145" s="101">
        <f t="shared" si="10"/>
        <v>95</v>
      </c>
      <c r="K145" s="58" t="s">
        <v>2445</v>
      </c>
      <c r="L145" s="58" t="s">
        <v>2477</v>
      </c>
    </row>
    <row r="146" customFormat="1" hidden="1" spans="1:12">
      <c r="A146" t="str">
        <f t="shared" si="9"/>
        <v>加拿大七店900011271001689整份</v>
      </c>
      <c r="B146" s="84" t="s">
        <v>636</v>
      </c>
      <c r="C146" s="84" t="str">
        <f t="shared" si="11"/>
        <v>90001127整份</v>
      </c>
      <c r="D146" s="57">
        <v>90001127</v>
      </c>
      <c r="E146" s="57">
        <v>1001689</v>
      </c>
      <c r="F146" s="58" t="s">
        <v>2592</v>
      </c>
      <c r="G146" s="58" t="s">
        <v>2436</v>
      </c>
      <c r="H146" s="10">
        <v>80</v>
      </c>
      <c r="I146" s="10">
        <v>0</v>
      </c>
      <c r="J146" s="101">
        <f t="shared" si="10"/>
        <v>80</v>
      </c>
      <c r="K146" s="58" t="s">
        <v>2445</v>
      </c>
      <c r="L146" s="58" t="s">
        <v>2477</v>
      </c>
    </row>
    <row r="147" customFormat="1" hidden="1" spans="1:12">
      <c r="A147" t="str">
        <f t="shared" si="9"/>
        <v>加拿大七店9000042997732份</v>
      </c>
      <c r="B147" s="84" t="s">
        <v>636</v>
      </c>
      <c r="C147" s="84" t="str">
        <f t="shared" si="11"/>
        <v>90000429份</v>
      </c>
      <c r="D147" s="57">
        <v>90000429</v>
      </c>
      <c r="E147" s="57">
        <v>97732</v>
      </c>
      <c r="F147" s="58" t="s">
        <v>2593</v>
      </c>
      <c r="G147" s="58" t="s">
        <v>2454</v>
      </c>
      <c r="H147" s="10">
        <v>418</v>
      </c>
      <c r="I147" s="10">
        <v>1</v>
      </c>
      <c r="J147" s="101">
        <f t="shared" si="10"/>
        <v>417</v>
      </c>
      <c r="K147" s="58" t="s">
        <v>2437</v>
      </c>
      <c r="L147" s="58" t="s">
        <v>2499</v>
      </c>
    </row>
    <row r="148" customFormat="1" hidden="1" spans="1:12">
      <c r="A148" t="str">
        <f t="shared" si="9"/>
        <v>加拿大七店1412000184001整份</v>
      </c>
      <c r="B148" s="84" t="s">
        <v>636</v>
      </c>
      <c r="C148" s="84"/>
      <c r="D148" s="57">
        <v>14120001</v>
      </c>
      <c r="E148" s="57">
        <v>84001</v>
      </c>
      <c r="F148" s="58" t="s">
        <v>2594</v>
      </c>
      <c r="G148" s="58" t="s">
        <v>2436</v>
      </c>
      <c r="H148" s="10">
        <v>4</v>
      </c>
      <c r="I148" s="10">
        <v>0</v>
      </c>
      <c r="J148" s="101">
        <f t="shared" si="10"/>
        <v>4</v>
      </c>
      <c r="K148" s="58" t="s">
        <v>2466</v>
      </c>
      <c r="L148" s="58" t="s">
        <v>2467</v>
      </c>
    </row>
    <row r="149" customFormat="1" hidden="1" spans="1:12">
      <c r="A149" t="str">
        <f t="shared" si="9"/>
        <v>加拿大七店1412000184001整份</v>
      </c>
      <c r="B149" s="84" t="s">
        <v>636</v>
      </c>
      <c r="C149" s="84"/>
      <c r="D149" s="57">
        <v>14120001</v>
      </c>
      <c r="E149" s="57">
        <v>84001</v>
      </c>
      <c r="F149" s="58" t="s">
        <v>2594</v>
      </c>
      <c r="G149" s="58" t="s">
        <v>2436</v>
      </c>
      <c r="H149" s="10">
        <v>40</v>
      </c>
      <c r="I149" s="10">
        <v>5</v>
      </c>
      <c r="J149" s="101">
        <f t="shared" si="10"/>
        <v>35</v>
      </c>
      <c r="K149" s="58" t="s">
        <v>2466</v>
      </c>
      <c r="L149" s="58" t="s">
        <v>2467</v>
      </c>
    </row>
    <row r="150" customFormat="1" hidden="1" spans="1:12">
      <c r="A150" t="str">
        <f t="shared" si="9"/>
        <v>加拿大七店1412000184001整份</v>
      </c>
      <c r="B150" s="84" t="s">
        <v>636</v>
      </c>
      <c r="C150" s="84"/>
      <c r="D150" s="57">
        <v>14120001</v>
      </c>
      <c r="E150" s="57">
        <v>84001</v>
      </c>
      <c r="F150" s="58" t="s">
        <v>2594</v>
      </c>
      <c r="G150" s="58" t="s">
        <v>2436</v>
      </c>
      <c r="H150" s="10">
        <v>1</v>
      </c>
      <c r="I150" s="10">
        <v>0</v>
      </c>
      <c r="J150" s="101">
        <f t="shared" si="10"/>
        <v>1</v>
      </c>
      <c r="K150" s="58" t="s">
        <v>2466</v>
      </c>
      <c r="L150" s="58" t="s">
        <v>2467</v>
      </c>
    </row>
    <row r="151" customFormat="1" hidden="1" spans="1:12">
      <c r="A151" t="str">
        <f t="shared" si="9"/>
        <v>加拿大七店1412000184001整份</v>
      </c>
      <c r="B151" s="84" t="s">
        <v>636</v>
      </c>
      <c r="C151" s="84" t="str">
        <f>D151&amp;G151</f>
        <v>14120001整份</v>
      </c>
      <c r="D151" s="57">
        <v>14120001</v>
      </c>
      <c r="E151" s="57">
        <v>84001</v>
      </c>
      <c r="F151" s="58" t="s">
        <v>2594</v>
      </c>
      <c r="G151" s="58" t="s">
        <v>2436</v>
      </c>
      <c r="H151" s="10">
        <v>1</v>
      </c>
      <c r="I151" s="10">
        <v>0</v>
      </c>
      <c r="J151" s="101">
        <f t="shared" si="10"/>
        <v>1</v>
      </c>
      <c r="K151" s="58" t="s">
        <v>2466</v>
      </c>
      <c r="L151" s="58" t="s">
        <v>2467</v>
      </c>
    </row>
    <row r="152" customFormat="1" hidden="1" spans="1:12">
      <c r="A152" t="str">
        <f t="shared" si="9"/>
        <v>加拿大七店1412000184001整份</v>
      </c>
      <c r="B152" s="84" t="s">
        <v>636</v>
      </c>
      <c r="C152" s="84" t="str">
        <f>D152&amp;G152</f>
        <v>14120001整份</v>
      </c>
      <c r="D152" s="57">
        <v>14120001</v>
      </c>
      <c r="E152" s="57">
        <v>84001</v>
      </c>
      <c r="F152" s="58" t="s">
        <v>2594</v>
      </c>
      <c r="G152" s="58" t="s">
        <v>2436</v>
      </c>
      <c r="H152" s="10">
        <v>1</v>
      </c>
      <c r="I152" s="10">
        <v>0</v>
      </c>
      <c r="J152" s="101">
        <f t="shared" si="10"/>
        <v>1</v>
      </c>
      <c r="K152" s="58" t="s">
        <v>2466</v>
      </c>
      <c r="L152" s="58" t="s">
        <v>2467</v>
      </c>
    </row>
    <row r="153" customFormat="1" hidden="1" spans="1:12">
      <c r="A153" t="str">
        <f t="shared" si="9"/>
        <v>加拿大七店1412000184001整份</v>
      </c>
      <c r="B153" s="84" t="s">
        <v>636</v>
      </c>
      <c r="C153" s="84"/>
      <c r="D153" s="57">
        <v>14120001</v>
      </c>
      <c r="E153" s="57">
        <v>84001</v>
      </c>
      <c r="F153" s="58" t="s">
        <v>2594</v>
      </c>
      <c r="G153" s="58" t="s">
        <v>2436</v>
      </c>
      <c r="H153" s="10">
        <v>1</v>
      </c>
      <c r="I153" s="10">
        <v>0</v>
      </c>
      <c r="J153" s="101">
        <f t="shared" si="10"/>
        <v>1</v>
      </c>
      <c r="K153" s="58" t="s">
        <v>2466</v>
      </c>
      <c r="L153" s="58" t="s">
        <v>2467</v>
      </c>
    </row>
    <row r="154" customFormat="1" hidden="1" spans="1:12">
      <c r="A154" t="str">
        <f t="shared" si="9"/>
        <v>加拿大七店1002008441084个</v>
      </c>
      <c r="B154" s="84" t="s">
        <v>636</v>
      </c>
      <c r="C154" s="84" t="str">
        <f t="shared" ref="C154:C163" si="12">D154&amp;G154</f>
        <v>10020084个</v>
      </c>
      <c r="D154" s="57">
        <v>10020084</v>
      </c>
      <c r="E154" s="57">
        <v>41084</v>
      </c>
      <c r="F154" s="58" t="s">
        <v>2595</v>
      </c>
      <c r="G154" s="58" t="s">
        <v>20</v>
      </c>
      <c r="H154" s="10">
        <v>254</v>
      </c>
      <c r="I154" s="10">
        <v>2</v>
      </c>
      <c r="J154" s="101">
        <f t="shared" si="10"/>
        <v>252</v>
      </c>
      <c r="K154" s="58" t="s">
        <v>2437</v>
      </c>
      <c r="L154" s="58" t="s">
        <v>2470</v>
      </c>
    </row>
    <row r="155" customFormat="1" hidden="1" spans="1:12">
      <c r="A155" t="str">
        <f t="shared" si="9"/>
        <v>加拿大七店901001930019整份</v>
      </c>
      <c r="B155" s="84" t="s">
        <v>636</v>
      </c>
      <c r="C155" s="84" t="str">
        <f t="shared" si="12"/>
        <v>9010019整份</v>
      </c>
      <c r="D155" s="57">
        <v>9010019</v>
      </c>
      <c r="E155" s="57">
        <v>30019</v>
      </c>
      <c r="F155" s="58" t="s">
        <v>2596</v>
      </c>
      <c r="G155" s="58" t="s">
        <v>2436</v>
      </c>
      <c r="H155" s="10">
        <v>4680</v>
      </c>
      <c r="I155" s="10">
        <v>130</v>
      </c>
      <c r="J155" s="101">
        <f t="shared" si="10"/>
        <v>4550</v>
      </c>
      <c r="K155" s="58" t="s">
        <v>2437</v>
      </c>
      <c r="L155" s="58" t="s">
        <v>2438</v>
      </c>
    </row>
    <row r="156" customFormat="1" hidden="1" spans="1:12">
      <c r="A156" t="str">
        <f t="shared" si="9"/>
        <v>加拿大七店1101029250363整份</v>
      </c>
      <c r="B156" s="84" t="s">
        <v>636</v>
      </c>
      <c r="C156" s="84" t="str">
        <f t="shared" si="12"/>
        <v>11010292整份</v>
      </c>
      <c r="D156" s="57">
        <v>11010292</v>
      </c>
      <c r="E156" s="57">
        <v>50363</v>
      </c>
      <c r="F156" s="58" t="s">
        <v>2597</v>
      </c>
      <c r="G156" s="58" t="s">
        <v>2436</v>
      </c>
      <c r="H156" s="10">
        <v>914</v>
      </c>
      <c r="I156" s="10">
        <v>5</v>
      </c>
      <c r="J156" s="101">
        <f t="shared" si="10"/>
        <v>909</v>
      </c>
      <c r="K156" s="58" t="s">
        <v>2441</v>
      </c>
      <c r="L156" s="58" t="s">
        <v>2455</v>
      </c>
    </row>
    <row r="157" customFormat="1" hidden="1" spans="1:12">
      <c r="A157" t="str">
        <f t="shared" si="9"/>
        <v>加拿大七店1002000541006半份</v>
      </c>
      <c r="B157" s="84" t="s">
        <v>636</v>
      </c>
      <c r="C157" s="84" t="str">
        <f t="shared" si="12"/>
        <v>10020005半份</v>
      </c>
      <c r="D157" s="57">
        <v>10020005</v>
      </c>
      <c r="E157" s="57">
        <v>41006</v>
      </c>
      <c r="F157" s="58" t="s">
        <v>2598</v>
      </c>
      <c r="G157" s="58" t="s">
        <v>2440</v>
      </c>
      <c r="H157" s="10">
        <v>323</v>
      </c>
      <c r="I157" s="10">
        <v>0</v>
      </c>
      <c r="J157" s="101">
        <f t="shared" si="10"/>
        <v>323</v>
      </c>
      <c r="K157" s="58" t="s">
        <v>2445</v>
      </c>
      <c r="L157" s="58" t="s">
        <v>2449</v>
      </c>
    </row>
    <row r="158" customFormat="1" hidden="1" spans="1:12">
      <c r="A158" t="str">
        <f t="shared" si="9"/>
        <v>加拿大七店1002000541005整份</v>
      </c>
      <c r="B158" s="84" t="s">
        <v>636</v>
      </c>
      <c r="C158" s="84" t="str">
        <f t="shared" si="12"/>
        <v>10020005整份</v>
      </c>
      <c r="D158" s="57">
        <v>10020005</v>
      </c>
      <c r="E158" s="57">
        <v>41005</v>
      </c>
      <c r="F158" s="58" t="s">
        <v>2599</v>
      </c>
      <c r="G158" s="58" t="s">
        <v>2436</v>
      </c>
      <c r="H158" s="10">
        <v>159</v>
      </c>
      <c r="I158" s="10">
        <v>0</v>
      </c>
      <c r="J158" s="101">
        <f t="shared" si="10"/>
        <v>159</v>
      </c>
      <c r="K158" s="58" t="s">
        <v>2445</v>
      </c>
      <c r="L158" s="58" t="s">
        <v>2449</v>
      </c>
    </row>
    <row r="159" customFormat="1" hidden="1" spans="1:12">
      <c r="A159" t="str">
        <f t="shared" si="9"/>
        <v>加拿大七店1002008741087整份</v>
      </c>
      <c r="B159" s="84" t="s">
        <v>636</v>
      </c>
      <c r="C159" s="84" t="str">
        <f t="shared" si="12"/>
        <v>10020087整份</v>
      </c>
      <c r="D159" s="57">
        <v>10020087</v>
      </c>
      <c r="E159" s="57">
        <v>41087</v>
      </c>
      <c r="F159" s="58" t="s">
        <v>2600</v>
      </c>
      <c r="G159" s="58" t="s">
        <v>2436</v>
      </c>
      <c r="H159" s="10">
        <v>367</v>
      </c>
      <c r="I159" s="10">
        <v>3</v>
      </c>
      <c r="J159" s="101">
        <f t="shared" si="10"/>
        <v>364</v>
      </c>
      <c r="K159" s="58" t="s">
        <v>2445</v>
      </c>
      <c r="L159" s="58" t="s">
        <v>2446</v>
      </c>
    </row>
    <row r="160" customFormat="1" hidden="1" spans="1:12">
      <c r="A160" t="str">
        <f t="shared" si="9"/>
        <v>加拿大七店1002000741007整份</v>
      </c>
      <c r="B160" s="84" t="s">
        <v>636</v>
      </c>
      <c r="C160" s="84" t="str">
        <f t="shared" si="12"/>
        <v>10020007整份</v>
      </c>
      <c r="D160" s="57">
        <v>10020007</v>
      </c>
      <c r="E160" s="57">
        <v>41007</v>
      </c>
      <c r="F160" s="58" t="s">
        <v>2601</v>
      </c>
      <c r="G160" s="58" t="s">
        <v>2436</v>
      </c>
      <c r="H160" s="10">
        <v>1354</v>
      </c>
      <c r="I160" s="10">
        <v>2</v>
      </c>
      <c r="J160" s="101">
        <f t="shared" si="10"/>
        <v>1352</v>
      </c>
      <c r="K160" s="58" t="s">
        <v>2445</v>
      </c>
      <c r="L160" s="58" t="s">
        <v>2449</v>
      </c>
    </row>
    <row r="161" customFormat="1" hidden="1" spans="1:12">
      <c r="A161" t="str">
        <f t="shared" si="9"/>
        <v>加拿大七店7000288788260整份</v>
      </c>
      <c r="B161" s="84" t="s">
        <v>636</v>
      </c>
      <c r="C161" s="84" t="str">
        <f t="shared" si="12"/>
        <v>70002887整份</v>
      </c>
      <c r="D161" s="57">
        <v>70002887</v>
      </c>
      <c r="E161" s="57">
        <v>88260</v>
      </c>
      <c r="F161" s="58" t="s">
        <v>2602</v>
      </c>
      <c r="G161" s="58" t="s">
        <v>2436</v>
      </c>
      <c r="H161" s="10">
        <v>249</v>
      </c>
      <c r="I161" s="10">
        <v>8</v>
      </c>
      <c r="J161" s="101">
        <f t="shared" si="10"/>
        <v>241</v>
      </c>
      <c r="K161" s="58" t="s">
        <v>2445</v>
      </c>
      <c r="L161" s="58" t="s">
        <v>2477</v>
      </c>
    </row>
    <row r="162" customFormat="1" hidden="1" spans="1:12">
      <c r="A162" t="str">
        <f t="shared" si="9"/>
        <v>加拿大七店1001021340217整份</v>
      </c>
      <c r="B162" s="84" t="s">
        <v>636</v>
      </c>
      <c r="C162" s="84" t="str">
        <f t="shared" si="12"/>
        <v>10010213整份</v>
      </c>
      <c r="D162" s="57">
        <v>10010213</v>
      </c>
      <c r="E162" s="57">
        <v>40217</v>
      </c>
      <c r="F162" s="58" t="s">
        <v>2603</v>
      </c>
      <c r="G162" s="58" t="s">
        <v>2436</v>
      </c>
      <c r="H162" s="10">
        <v>1547</v>
      </c>
      <c r="I162" s="10">
        <v>6</v>
      </c>
      <c r="J162" s="101">
        <f t="shared" si="10"/>
        <v>1541</v>
      </c>
      <c r="K162" s="58" t="s">
        <v>2445</v>
      </c>
      <c r="L162" s="58" t="s">
        <v>2477</v>
      </c>
    </row>
    <row r="163" customFormat="1" hidden="1" spans="1:12">
      <c r="A163" t="str">
        <f t="shared" si="9"/>
        <v>加拿大七店903011932120半份</v>
      </c>
      <c r="B163" s="84" t="s">
        <v>636</v>
      </c>
      <c r="C163" s="84" t="str">
        <f t="shared" si="12"/>
        <v>9030119半份</v>
      </c>
      <c r="D163" s="57">
        <v>9030119</v>
      </c>
      <c r="E163" s="57">
        <v>32120</v>
      </c>
      <c r="F163" s="58" t="s">
        <v>2604</v>
      </c>
      <c r="G163" s="58" t="s">
        <v>2440</v>
      </c>
      <c r="H163" s="10">
        <v>511</v>
      </c>
      <c r="I163" s="10">
        <v>1</v>
      </c>
      <c r="J163" s="101">
        <f t="shared" si="10"/>
        <v>510</v>
      </c>
      <c r="K163" s="58" t="s">
        <v>2437</v>
      </c>
      <c r="L163" s="58" t="s">
        <v>2464</v>
      </c>
    </row>
    <row r="164" customFormat="1" hidden="1" spans="1:12">
      <c r="A164" t="str">
        <f t="shared" si="9"/>
        <v>加拿大七店903011932119整份</v>
      </c>
      <c r="B164" s="84" t="s">
        <v>636</v>
      </c>
      <c r="C164" s="84"/>
      <c r="D164" s="57">
        <v>9030119</v>
      </c>
      <c r="E164" s="57">
        <v>32119</v>
      </c>
      <c r="F164" s="58" t="s">
        <v>2605</v>
      </c>
      <c r="G164" s="58" t="s">
        <v>2436</v>
      </c>
      <c r="H164" s="10">
        <v>318</v>
      </c>
      <c r="I164" s="10">
        <v>0</v>
      </c>
      <c r="J164" s="101">
        <f t="shared" si="10"/>
        <v>318</v>
      </c>
      <c r="K164" s="58" t="s">
        <v>2437</v>
      </c>
      <c r="L164" s="58" t="s">
        <v>2464</v>
      </c>
    </row>
    <row r="165" customFormat="1" hidden="1" spans="1:12">
      <c r="A165" t="str">
        <f t="shared" si="9"/>
        <v>加拿大七店901000930009整份</v>
      </c>
      <c r="B165" s="84" t="s">
        <v>636</v>
      </c>
      <c r="C165" s="84"/>
      <c r="D165" s="57">
        <v>9010009</v>
      </c>
      <c r="E165" s="57">
        <v>30009</v>
      </c>
      <c r="F165" s="58" t="s">
        <v>2606</v>
      </c>
      <c r="G165" s="58" t="s">
        <v>2436</v>
      </c>
      <c r="H165" s="10">
        <v>1996</v>
      </c>
      <c r="I165" s="10">
        <v>57</v>
      </c>
      <c r="J165" s="101">
        <f t="shared" si="10"/>
        <v>1939</v>
      </c>
      <c r="K165" s="58" t="s">
        <v>2437</v>
      </c>
      <c r="L165" s="58" t="s">
        <v>2438</v>
      </c>
    </row>
    <row r="166" customFormat="1" hidden="1" spans="1:12">
      <c r="A166" t="str">
        <f t="shared" si="9"/>
        <v>加拿大七店1201000371303冰镇</v>
      </c>
      <c r="B166" s="84" t="s">
        <v>636</v>
      </c>
      <c r="C166" s="84"/>
      <c r="D166" s="57">
        <v>12010003</v>
      </c>
      <c r="E166" s="57">
        <v>71303</v>
      </c>
      <c r="F166" s="58" t="s">
        <v>2356</v>
      </c>
      <c r="G166" s="58" t="s">
        <v>2450</v>
      </c>
      <c r="H166" s="10">
        <v>113</v>
      </c>
      <c r="I166" s="10">
        <v>1</v>
      </c>
      <c r="J166" s="101">
        <f t="shared" si="10"/>
        <v>112</v>
      </c>
      <c r="K166" s="58" t="s">
        <v>2451</v>
      </c>
      <c r="L166" s="58" t="s">
        <v>2452</v>
      </c>
    </row>
    <row r="167" customFormat="1" hidden="1" spans="1:12">
      <c r="A167" t="str">
        <f t="shared" si="9"/>
        <v>加拿大七店7000079877569整份</v>
      </c>
      <c r="B167" s="84" t="s">
        <v>636</v>
      </c>
      <c r="C167" s="84"/>
      <c r="D167" s="57">
        <v>70000798</v>
      </c>
      <c r="E167" s="57">
        <v>77569</v>
      </c>
      <c r="F167" s="58" t="s">
        <v>2607</v>
      </c>
      <c r="G167" s="58" t="s">
        <v>2436</v>
      </c>
      <c r="H167" s="10">
        <v>128</v>
      </c>
      <c r="I167" s="10">
        <v>0</v>
      </c>
      <c r="J167" s="101">
        <f t="shared" si="10"/>
        <v>128</v>
      </c>
      <c r="K167" s="58" t="s">
        <v>2441</v>
      </c>
      <c r="L167" s="58" t="s">
        <v>2455</v>
      </c>
    </row>
    <row r="168" customFormat="1" hidden="1" spans="1:12">
      <c r="A168" t="str">
        <f t="shared" si="9"/>
        <v>加拿大七店910036531107221整份</v>
      </c>
      <c r="B168" s="84" t="s">
        <v>636</v>
      </c>
      <c r="C168" s="84"/>
      <c r="D168" s="57">
        <v>91003653</v>
      </c>
      <c r="E168" s="57">
        <v>1107221</v>
      </c>
      <c r="F168" s="58" t="s">
        <v>2608</v>
      </c>
      <c r="G168" s="58" t="s">
        <v>2436</v>
      </c>
      <c r="H168" s="10">
        <v>758</v>
      </c>
      <c r="I168" s="10">
        <v>1</v>
      </c>
      <c r="J168" s="101">
        <f t="shared" si="10"/>
        <v>757</v>
      </c>
      <c r="K168" s="58" t="s">
        <v>2445</v>
      </c>
      <c r="L168" s="58" t="s">
        <v>2477</v>
      </c>
    </row>
    <row r="169" customFormat="1" hidden="1" spans="1:12">
      <c r="A169" t="str">
        <f t="shared" si="9"/>
        <v>加拿大七店902015431157整份</v>
      </c>
      <c r="B169" s="84" t="s">
        <v>636</v>
      </c>
      <c r="C169" s="84"/>
      <c r="D169" s="57">
        <v>9020154</v>
      </c>
      <c r="E169" s="57">
        <v>31157</v>
      </c>
      <c r="F169" s="58" t="s">
        <v>2609</v>
      </c>
      <c r="G169" s="58" t="s">
        <v>2436</v>
      </c>
      <c r="H169" s="10">
        <v>589</v>
      </c>
      <c r="I169" s="10">
        <v>1</v>
      </c>
      <c r="J169" s="101">
        <f t="shared" si="10"/>
        <v>588</v>
      </c>
      <c r="K169" s="58" t="s">
        <v>2437</v>
      </c>
      <c r="L169" s="58" t="s">
        <v>2499</v>
      </c>
    </row>
    <row r="170" customFormat="1" hidden="1" spans="1:12">
      <c r="A170" t="str">
        <f t="shared" si="9"/>
        <v>加拿大七店90200821003255份</v>
      </c>
      <c r="B170" s="84" t="s">
        <v>636</v>
      </c>
      <c r="C170" s="84"/>
      <c r="D170" s="57">
        <v>9020082</v>
      </c>
      <c r="E170" s="57">
        <v>1003255</v>
      </c>
      <c r="F170" s="58" t="s">
        <v>2610</v>
      </c>
      <c r="G170" s="58" t="s">
        <v>2454</v>
      </c>
      <c r="H170" s="10">
        <v>457</v>
      </c>
      <c r="I170" s="10">
        <v>0</v>
      </c>
      <c r="J170" s="101">
        <f t="shared" si="10"/>
        <v>457</v>
      </c>
      <c r="K170" s="58" t="s">
        <v>2437</v>
      </c>
      <c r="L170" s="58" t="s">
        <v>2499</v>
      </c>
    </row>
    <row r="171" customFormat="1" hidden="1" spans="1:12">
      <c r="A171" t="str">
        <f t="shared" si="9"/>
        <v>加拿大七店906006478989半份</v>
      </c>
      <c r="B171" s="84" t="s">
        <v>636</v>
      </c>
      <c r="C171" s="84"/>
      <c r="D171" s="57">
        <v>9060064</v>
      </c>
      <c r="E171" s="57">
        <v>78989</v>
      </c>
      <c r="F171" s="58" t="s">
        <v>2611</v>
      </c>
      <c r="G171" s="58" t="s">
        <v>2440</v>
      </c>
      <c r="H171" s="10">
        <v>243</v>
      </c>
      <c r="I171" s="10">
        <v>1</v>
      </c>
      <c r="J171" s="101">
        <f t="shared" si="10"/>
        <v>242</v>
      </c>
      <c r="K171" s="58" t="s">
        <v>2474</v>
      </c>
      <c r="L171" s="58" t="s">
        <v>2475</v>
      </c>
    </row>
    <row r="172" customFormat="1" hidden="1" spans="1:12">
      <c r="A172" t="str">
        <f t="shared" si="9"/>
        <v>加拿大七店906006443081整份</v>
      </c>
      <c r="B172" s="84" t="s">
        <v>636</v>
      </c>
      <c r="C172" s="84"/>
      <c r="D172" s="57">
        <v>9060064</v>
      </c>
      <c r="E172" s="57">
        <v>43081</v>
      </c>
      <c r="F172" s="58" t="s">
        <v>2612</v>
      </c>
      <c r="G172" s="58" t="s">
        <v>2436</v>
      </c>
      <c r="H172" s="10">
        <v>209</v>
      </c>
      <c r="I172" s="10">
        <v>2</v>
      </c>
      <c r="J172" s="101">
        <f t="shared" si="10"/>
        <v>207</v>
      </c>
      <c r="K172" s="58" t="s">
        <v>2474</v>
      </c>
      <c r="L172" s="58" t="s">
        <v>2475</v>
      </c>
    </row>
    <row r="173" customFormat="1" hidden="1" spans="1:12">
      <c r="A173" t="str">
        <f t="shared" si="9"/>
        <v>加拿大七店902007131071整份</v>
      </c>
      <c r="B173" s="84" t="s">
        <v>636</v>
      </c>
      <c r="C173" s="84"/>
      <c r="D173" s="57">
        <v>9020071</v>
      </c>
      <c r="E173" s="57">
        <v>31071</v>
      </c>
      <c r="F173" s="58" t="s">
        <v>2613</v>
      </c>
      <c r="G173" s="58" t="s">
        <v>2436</v>
      </c>
      <c r="H173" s="10">
        <v>157</v>
      </c>
      <c r="I173" s="10">
        <v>0</v>
      </c>
      <c r="J173" s="101">
        <f t="shared" si="10"/>
        <v>157</v>
      </c>
      <c r="K173" s="58" t="s">
        <v>2437</v>
      </c>
      <c r="L173" s="58" t="s">
        <v>2499</v>
      </c>
    </row>
    <row r="174" customFormat="1" hidden="1" spans="1:12">
      <c r="A174" t="str">
        <f t="shared" si="9"/>
        <v>加拿大七店1010249拼锅</v>
      </c>
      <c r="B174" s="84" t="s">
        <v>636</v>
      </c>
      <c r="C174" s="84"/>
      <c r="D174" s="57">
        <v>1010249</v>
      </c>
      <c r="E174" s="58" t="s">
        <v>641</v>
      </c>
      <c r="F174" s="58" t="s">
        <v>2614</v>
      </c>
      <c r="G174" s="58" t="s">
        <v>2457</v>
      </c>
      <c r="H174" s="10">
        <v>72</v>
      </c>
      <c r="I174" s="10">
        <v>3</v>
      </c>
      <c r="J174" s="101">
        <f t="shared" si="10"/>
        <v>69</v>
      </c>
      <c r="K174" s="58" t="s">
        <v>2458</v>
      </c>
      <c r="L174" s="58" t="s">
        <v>2459</v>
      </c>
    </row>
    <row r="175" customFormat="1" hidden="1" spans="1:12">
      <c r="A175" t="str">
        <f t="shared" si="9"/>
        <v>加拿大七店1010249四宫格</v>
      </c>
      <c r="B175" s="84" t="s">
        <v>636</v>
      </c>
      <c r="C175" s="84"/>
      <c r="D175" s="57">
        <v>1010249</v>
      </c>
      <c r="E175" s="58" t="s">
        <v>641</v>
      </c>
      <c r="F175" s="58" t="s">
        <v>2614</v>
      </c>
      <c r="G175" s="58" t="s">
        <v>2460</v>
      </c>
      <c r="H175" s="10">
        <v>262</v>
      </c>
      <c r="I175" s="10">
        <v>4</v>
      </c>
      <c r="J175" s="101">
        <f t="shared" si="10"/>
        <v>258</v>
      </c>
      <c r="K175" s="58" t="s">
        <v>2458</v>
      </c>
      <c r="L175" s="58" t="s">
        <v>2461</v>
      </c>
    </row>
    <row r="176" customFormat="1" hidden="1" spans="1:12">
      <c r="A176" t="str">
        <f t="shared" si="9"/>
        <v>加拿大七店9000034471342整份</v>
      </c>
      <c r="B176" s="84" t="s">
        <v>636</v>
      </c>
      <c r="C176" s="84"/>
      <c r="D176" s="57">
        <v>90000344</v>
      </c>
      <c r="E176" s="57">
        <v>71342</v>
      </c>
      <c r="F176" s="58" t="s">
        <v>2615</v>
      </c>
      <c r="G176" s="58" t="s">
        <v>2436</v>
      </c>
      <c r="H176" s="10">
        <v>333</v>
      </c>
      <c r="I176" s="10">
        <v>0</v>
      </c>
      <c r="J176" s="101">
        <f t="shared" si="10"/>
        <v>333</v>
      </c>
      <c r="K176" s="58" t="s">
        <v>2437</v>
      </c>
      <c r="L176" s="58" t="s">
        <v>2499</v>
      </c>
    </row>
    <row r="177" customFormat="1" hidden="1" spans="1:12">
      <c r="A177" t="str">
        <f t="shared" si="9"/>
        <v>加拿大七店1002056041601盒</v>
      </c>
      <c r="B177" s="84" t="s">
        <v>636</v>
      </c>
      <c r="C177" s="84"/>
      <c r="D177" s="57">
        <v>10020560</v>
      </c>
      <c r="E177" s="57">
        <v>41601</v>
      </c>
      <c r="F177" s="58" t="s">
        <v>2616</v>
      </c>
      <c r="G177" s="58" t="s">
        <v>137</v>
      </c>
      <c r="H177" s="10">
        <v>295</v>
      </c>
      <c r="I177" s="10">
        <v>3</v>
      </c>
      <c r="J177" s="101">
        <f t="shared" si="10"/>
        <v>292</v>
      </c>
      <c r="K177" s="58" t="s">
        <v>2445</v>
      </c>
      <c r="L177" s="58" t="s">
        <v>2489</v>
      </c>
    </row>
    <row r="178" customFormat="1" hidden="1" spans="1:12">
      <c r="A178" t="str">
        <f t="shared" si="9"/>
        <v>加拿大七店903003532036半份</v>
      </c>
      <c r="B178" s="84" t="s">
        <v>636</v>
      </c>
      <c r="C178" s="84"/>
      <c r="D178" s="57">
        <v>9030035</v>
      </c>
      <c r="E178" s="57">
        <v>32036</v>
      </c>
      <c r="F178" s="58" t="s">
        <v>2617</v>
      </c>
      <c r="G178" s="58" t="s">
        <v>2440</v>
      </c>
      <c r="H178" s="10">
        <v>183</v>
      </c>
      <c r="I178" s="10">
        <v>1</v>
      </c>
      <c r="J178" s="101">
        <f t="shared" si="10"/>
        <v>182</v>
      </c>
      <c r="K178" s="58" t="s">
        <v>2437</v>
      </c>
      <c r="L178" s="58" t="s">
        <v>2464</v>
      </c>
    </row>
    <row r="179" customFormat="1" hidden="1" spans="1:12">
      <c r="A179" t="str">
        <f t="shared" si="9"/>
        <v>加拿大七店903003532035整份</v>
      </c>
      <c r="B179" s="84" t="s">
        <v>636</v>
      </c>
      <c r="C179" s="84"/>
      <c r="D179" s="57">
        <v>9030035</v>
      </c>
      <c r="E179" s="57">
        <v>32035</v>
      </c>
      <c r="F179" s="58" t="s">
        <v>2618</v>
      </c>
      <c r="G179" s="58" t="s">
        <v>2436</v>
      </c>
      <c r="H179" s="10">
        <v>56</v>
      </c>
      <c r="I179" s="10">
        <v>0</v>
      </c>
      <c r="J179" s="101">
        <f t="shared" si="10"/>
        <v>56</v>
      </c>
      <c r="K179" s="58" t="s">
        <v>2437</v>
      </c>
      <c r="L179" s="58" t="s">
        <v>2464</v>
      </c>
    </row>
    <row r="180" customFormat="1" hidden="1" spans="1:12">
      <c r="A180" t="str">
        <f t="shared" si="9"/>
        <v>加拿大七店903001532015整份</v>
      </c>
      <c r="B180" s="84" t="s">
        <v>636</v>
      </c>
      <c r="C180" s="84"/>
      <c r="D180" s="57">
        <v>9030015</v>
      </c>
      <c r="E180" s="57">
        <v>32015</v>
      </c>
      <c r="F180" s="58" t="s">
        <v>2619</v>
      </c>
      <c r="G180" s="58" t="s">
        <v>2436</v>
      </c>
      <c r="H180" s="10">
        <v>232</v>
      </c>
      <c r="I180" s="10">
        <v>2</v>
      </c>
      <c r="J180" s="101">
        <f t="shared" si="10"/>
        <v>230</v>
      </c>
      <c r="K180" s="58" t="s">
        <v>2437</v>
      </c>
      <c r="L180" s="58" t="s">
        <v>2464</v>
      </c>
    </row>
    <row r="181" customFormat="1" hidden="1" spans="1:12">
      <c r="A181" t="str">
        <f t="shared" si="9"/>
        <v>加拿大七店301014320146半份</v>
      </c>
      <c r="B181" s="84" t="s">
        <v>636</v>
      </c>
      <c r="C181" s="84"/>
      <c r="D181" s="57">
        <v>3010143</v>
      </c>
      <c r="E181" s="57">
        <v>20146</v>
      </c>
      <c r="F181" s="58" t="s">
        <v>2620</v>
      </c>
      <c r="G181" s="58" t="s">
        <v>2440</v>
      </c>
      <c r="H181" s="10">
        <v>788</v>
      </c>
      <c r="I181" s="10">
        <v>8</v>
      </c>
      <c r="J181" s="101">
        <f t="shared" si="10"/>
        <v>780</v>
      </c>
      <c r="K181" s="58" t="s">
        <v>2474</v>
      </c>
      <c r="L181" s="58" t="s">
        <v>2475</v>
      </c>
    </row>
    <row r="182" customFormat="1" hidden="1" spans="1:12">
      <c r="A182" t="str">
        <f t="shared" si="9"/>
        <v>加拿大七店301014320145整份</v>
      </c>
      <c r="B182" s="84" t="s">
        <v>636</v>
      </c>
      <c r="C182" s="84" t="str">
        <f>D182&amp;G182</f>
        <v>3010143整份</v>
      </c>
      <c r="D182" s="57">
        <v>3010143</v>
      </c>
      <c r="E182" s="57">
        <v>20145</v>
      </c>
      <c r="F182" s="58" t="s">
        <v>2621</v>
      </c>
      <c r="G182" s="58" t="s">
        <v>2436</v>
      </c>
      <c r="H182" s="10">
        <v>361</v>
      </c>
      <c r="I182" s="10">
        <v>7</v>
      </c>
      <c r="J182" s="101">
        <f t="shared" si="10"/>
        <v>354</v>
      </c>
      <c r="K182" s="58" t="s">
        <v>2474</v>
      </c>
      <c r="L182" s="58" t="s">
        <v>2475</v>
      </c>
    </row>
    <row r="183" customFormat="1" hidden="1" spans="1:12">
      <c r="A183" t="str">
        <f t="shared" si="9"/>
        <v>加拿大七店900021611109398瓶</v>
      </c>
      <c r="B183" s="84" t="s">
        <v>636</v>
      </c>
      <c r="C183" s="84" t="str">
        <f>D183&amp;G183</f>
        <v>90002161瓶</v>
      </c>
      <c r="D183" s="57">
        <v>90002161</v>
      </c>
      <c r="E183" s="57">
        <v>1109398</v>
      </c>
      <c r="F183" s="58" t="s">
        <v>2622</v>
      </c>
      <c r="G183" s="58" t="s">
        <v>32</v>
      </c>
      <c r="H183" s="10">
        <v>423</v>
      </c>
      <c r="I183" s="10">
        <v>0</v>
      </c>
      <c r="J183" s="101">
        <f t="shared" si="10"/>
        <v>423</v>
      </c>
      <c r="K183" s="58" t="s">
        <v>2451</v>
      </c>
      <c r="L183" s="58" t="s">
        <v>2452</v>
      </c>
    </row>
    <row r="184" customFormat="1" hidden="1" spans="1:12">
      <c r="A184" t="str">
        <f t="shared" si="9"/>
        <v>加拿大七店110104281002539份</v>
      </c>
      <c r="B184" s="84" t="s">
        <v>636</v>
      </c>
      <c r="C184" s="84" t="str">
        <f>D184&amp;G184</f>
        <v>11010428份</v>
      </c>
      <c r="D184" s="57">
        <v>11010428</v>
      </c>
      <c r="E184" s="57">
        <v>1002539</v>
      </c>
      <c r="F184" s="58" t="s">
        <v>2623</v>
      </c>
      <c r="G184" s="58" t="s">
        <v>2454</v>
      </c>
      <c r="H184" s="10">
        <v>346</v>
      </c>
      <c r="I184" s="10">
        <v>7</v>
      </c>
      <c r="J184" s="101">
        <f t="shared" si="10"/>
        <v>339</v>
      </c>
      <c r="K184" s="58" t="s">
        <v>2441</v>
      </c>
      <c r="L184" s="58" t="s">
        <v>2455</v>
      </c>
    </row>
    <row r="185" customFormat="1" hidden="1" spans="1:12">
      <c r="A185" t="str">
        <f t="shared" si="9"/>
        <v>加拿大七店900019351006544份</v>
      </c>
      <c r="B185" s="84" t="s">
        <v>636</v>
      </c>
      <c r="C185" s="84"/>
      <c r="D185" s="57">
        <v>90001935</v>
      </c>
      <c r="E185" s="57">
        <v>1006544</v>
      </c>
      <c r="F185" s="58" t="s">
        <v>2624</v>
      </c>
      <c r="G185" s="58" t="s">
        <v>2454</v>
      </c>
      <c r="H185" s="10">
        <v>295</v>
      </c>
      <c r="I185" s="10">
        <v>1</v>
      </c>
      <c r="J185" s="101">
        <f t="shared" si="10"/>
        <v>294</v>
      </c>
      <c r="K185" s="58" t="s">
        <v>2445</v>
      </c>
      <c r="L185" s="58" t="s">
        <v>2477</v>
      </c>
    </row>
    <row r="186" customFormat="1" spans="1:12">
      <c r="A186" t="str">
        <f t="shared" si="9"/>
        <v>加拿大七店130202351108352小瓶</v>
      </c>
      <c r="B186" s="84" t="s">
        <v>636</v>
      </c>
      <c r="C186" s="84"/>
      <c r="D186" s="57">
        <v>13020235</v>
      </c>
      <c r="E186" s="57">
        <v>1108352</v>
      </c>
      <c r="F186" s="58" t="s">
        <v>2625</v>
      </c>
      <c r="G186" s="58" t="s">
        <v>2626</v>
      </c>
      <c r="H186" s="10">
        <v>24</v>
      </c>
      <c r="I186" s="10">
        <v>0</v>
      </c>
      <c r="J186" s="101">
        <f t="shared" si="10"/>
        <v>24</v>
      </c>
      <c r="K186" s="58" t="s">
        <v>2451</v>
      </c>
      <c r="L186" s="58" t="s">
        <v>2627</v>
      </c>
    </row>
    <row r="187" customFormat="1" spans="1:12">
      <c r="A187" t="str">
        <f t="shared" si="9"/>
        <v>加拿大七店700004909991小瓶</v>
      </c>
      <c r="B187" s="84" t="s">
        <v>636</v>
      </c>
      <c r="C187" s="84" t="str">
        <f>D187&amp;G187</f>
        <v>70000490小瓶</v>
      </c>
      <c r="D187" s="57">
        <v>70000490</v>
      </c>
      <c r="E187" s="57">
        <v>9991</v>
      </c>
      <c r="F187" s="58" t="s">
        <v>2628</v>
      </c>
      <c r="G187" s="58" t="s">
        <v>2626</v>
      </c>
      <c r="H187" s="10">
        <v>108</v>
      </c>
      <c r="I187" s="10">
        <v>1</v>
      </c>
      <c r="J187" s="101">
        <f t="shared" si="10"/>
        <v>107</v>
      </c>
      <c r="K187" s="58" t="s">
        <v>2451</v>
      </c>
      <c r="L187" s="58" t="s">
        <v>2627</v>
      </c>
    </row>
    <row r="188" customFormat="1" spans="1:12">
      <c r="A188" t="str">
        <f t="shared" si="9"/>
        <v>加拿大七店130402641004398冰镇</v>
      </c>
      <c r="B188" s="84" t="s">
        <v>636</v>
      </c>
      <c r="C188" s="84" t="str">
        <f>D188&amp;G188</f>
        <v>13040264冰镇</v>
      </c>
      <c r="D188" s="57">
        <v>13040264</v>
      </c>
      <c r="E188" s="57">
        <v>1004398</v>
      </c>
      <c r="F188" s="58" t="s">
        <v>2391</v>
      </c>
      <c r="G188" s="58" t="s">
        <v>2450</v>
      </c>
      <c r="H188" s="10">
        <v>143</v>
      </c>
      <c r="I188" s="10">
        <v>2</v>
      </c>
      <c r="J188" s="101">
        <f t="shared" si="10"/>
        <v>141</v>
      </c>
      <c r="K188" s="58" t="s">
        <v>2451</v>
      </c>
      <c r="L188" s="58" t="s">
        <v>2627</v>
      </c>
    </row>
    <row r="189" customFormat="1" spans="1:12">
      <c r="A189" t="str">
        <f t="shared" si="9"/>
        <v>加拿大七店1304016273162冰镇</v>
      </c>
      <c r="B189" s="84" t="s">
        <v>636</v>
      </c>
      <c r="C189" s="84" t="str">
        <f>D189&amp;G189</f>
        <v>13040162冰镇</v>
      </c>
      <c r="D189" s="57">
        <v>13040162</v>
      </c>
      <c r="E189" s="57">
        <v>73162</v>
      </c>
      <c r="F189" s="58" t="s">
        <v>2389</v>
      </c>
      <c r="G189" s="58" t="s">
        <v>2450</v>
      </c>
      <c r="H189" s="10">
        <v>213</v>
      </c>
      <c r="I189" s="10">
        <v>0</v>
      </c>
      <c r="J189" s="101">
        <f t="shared" si="10"/>
        <v>213</v>
      </c>
      <c r="K189" s="58" t="s">
        <v>2451</v>
      </c>
      <c r="L189" s="58" t="s">
        <v>2627</v>
      </c>
    </row>
    <row r="190" customFormat="1" spans="1:12">
      <c r="A190" t="str">
        <f t="shared" si="9"/>
        <v>加拿大七店1304027473274冰镇</v>
      </c>
      <c r="B190" s="84" t="s">
        <v>636</v>
      </c>
      <c r="C190" s="84" t="str">
        <f>D190&amp;G190</f>
        <v>13040274冰镇</v>
      </c>
      <c r="D190" s="57">
        <v>13040274</v>
      </c>
      <c r="E190" s="57">
        <v>73274</v>
      </c>
      <c r="F190" s="58" t="s">
        <v>2629</v>
      </c>
      <c r="G190" s="58" t="s">
        <v>2450</v>
      </c>
      <c r="H190" s="10">
        <v>98</v>
      </c>
      <c r="I190" s="10">
        <v>0</v>
      </c>
      <c r="J190" s="101">
        <f t="shared" si="10"/>
        <v>98</v>
      </c>
      <c r="K190" s="58" t="s">
        <v>2451</v>
      </c>
      <c r="L190" s="58" t="s">
        <v>2627</v>
      </c>
    </row>
    <row r="191" customFormat="1" hidden="1" spans="1:12">
      <c r="A191" t="str">
        <f t="shared" si="9"/>
        <v>加拿大七店904002933030半份</v>
      </c>
      <c r="B191" s="84" t="s">
        <v>636</v>
      </c>
      <c r="C191" s="84"/>
      <c r="D191" s="57">
        <v>9040029</v>
      </c>
      <c r="E191" s="57">
        <v>33030</v>
      </c>
      <c r="F191" s="58" t="s">
        <v>2630</v>
      </c>
      <c r="G191" s="58" t="s">
        <v>2440</v>
      </c>
      <c r="H191" s="10">
        <v>233</v>
      </c>
      <c r="I191" s="10">
        <v>1</v>
      </c>
      <c r="J191" s="101">
        <f t="shared" si="10"/>
        <v>232</v>
      </c>
      <c r="K191" s="58" t="s">
        <v>2474</v>
      </c>
      <c r="L191" s="58" t="s">
        <v>2475</v>
      </c>
    </row>
    <row r="192" customFormat="1" hidden="1" spans="1:12">
      <c r="A192" t="str">
        <f t="shared" si="9"/>
        <v>加拿大七店904002933029整份</v>
      </c>
      <c r="B192" s="84" t="s">
        <v>636</v>
      </c>
      <c r="C192" s="84" t="str">
        <f>D192&amp;G192</f>
        <v>9040029整份</v>
      </c>
      <c r="D192" s="57">
        <v>9040029</v>
      </c>
      <c r="E192" s="57">
        <v>33029</v>
      </c>
      <c r="F192" s="58" t="s">
        <v>2631</v>
      </c>
      <c r="G192" s="58" t="s">
        <v>2436</v>
      </c>
      <c r="H192" s="10">
        <v>58</v>
      </c>
      <c r="I192" s="10">
        <v>0</v>
      </c>
      <c r="J192" s="101">
        <f t="shared" si="10"/>
        <v>58</v>
      </c>
      <c r="K192" s="58" t="s">
        <v>2474</v>
      </c>
      <c r="L192" s="58" t="s">
        <v>2475</v>
      </c>
    </row>
    <row r="193" customFormat="1" hidden="1" spans="1:12">
      <c r="A193" t="str">
        <f t="shared" si="9"/>
        <v>加拿大七店1101049250699整份</v>
      </c>
      <c r="B193" s="84" t="s">
        <v>636</v>
      </c>
      <c r="C193" s="84" t="str">
        <f>D193&amp;G193</f>
        <v>11010492整份</v>
      </c>
      <c r="D193" s="57">
        <v>11010492</v>
      </c>
      <c r="E193" s="57">
        <v>50699</v>
      </c>
      <c r="F193" s="58" t="s">
        <v>2632</v>
      </c>
      <c r="G193" s="58" t="s">
        <v>2436</v>
      </c>
      <c r="H193" s="10">
        <v>196</v>
      </c>
      <c r="I193" s="10">
        <v>1</v>
      </c>
      <c r="J193" s="101">
        <f t="shared" si="10"/>
        <v>195</v>
      </c>
      <c r="K193" s="58" t="s">
        <v>2441</v>
      </c>
      <c r="L193" s="58" t="s">
        <v>2455</v>
      </c>
    </row>
    <row r="194" customFormat="1" hidden="1" spans="1:12">
      <c r="A194" t="str">
        <f t="shared" ref="A194:A257" si="13">B194&amp;D194&amp;E194&amp;G194</f>
        <v>加拿大七店910044801109400瓶</v>
      </c>
      <c r="B194" s="84" t="s">
        <v>636</v>
      </c>
      <c r="C194" s="84"/>
      <c r="D194" s="57">
        <v>91004480</v>
      </c>
      <c r="E194" s="57">
        <v>1109400</v>
      </c>
      <c r="F194" s="58" t="s">
        <v>2633</v>
      </c>
      <c r="G194" s="58" t="s">
        <v>32</v>
      </c>
      <c r="H194" s="10">
        <v>305</v>
      </c>
      <c r="I194" s="10">
        <v>2</v>
      </c>
      <c r="J194" s="101">
        <f t="shared" si="10"/>
        <v>303</v>
      </c>
      <c r="K194" s="58" t="s">
        <v>2451</v>
      </c>
      <c r="L194" s="58" t="s">
        <v>2452</v>
      </c>
    </row>
    <row r="195" customFormat="1" hidden="1" spans="1:12">
      <c r="A195" t="str">
        <f t="shared" si="13"/>
        <v>加拿大七店1404000982009冰镇</v>
      </c>
      <c r="B195" s="84" t="s">
        <v>636</v>
      </c>
      <c r="C195" s="84"/>
      <c r="D195" s="57">
        <v>14040009</v>
      </c>
      <c r="E195" s="57">
        <v>82009</v>
      </c>
      <c r="F195" s="58" t="s">
        <v>2634</v>
      </c>
      <c r="G195" s="58" t="s">
        <v>2450</v>
      </c>
      <c r="H195" s="10">
        <v>19</v>
      </c>
      <c r="I195" s="10">
        <v>0</v>
      </c>
      <c r="J195" s="101">
        <f t="shared" ref="J195:J258" si="14">H195-I195</f>
        <v>19</v>
      </c>
      <c r="K195" s="58" t="s">
        <v>2466</v>
      </c>
      <c r="L195" s="58" t="s">
        <v>2467</v>
      </c>
    </row>
    <row r="196" customFormat="1" hidden="1" spans="1:12">
      <c r="A196" t="str">
        <f t="shared" si="13"/>
        <v>加拿大七店900020671004336整份</v>
      </c>
      <c r="B196" s="84" t="s">
        <v>636</v>
      </c>
      <c r="C196" s="84" t="str">
        <f>D196&amp;G196</f>
        <v>90002067整份</v>
      </c>
      <c r="D196" s="57">
        <v>90002067</v>
      </c>
      <c r="E196" s="57">
        <v>1004336</v>
      </c>
      <c r="F196" s="58" t="s">
        <v>2635</v>
      </c>
      <c r="G196" s="58" t="s">
        <v>2436</v>
      </c>
      <c r="H196" s="10">
        <v>3658</v>
      </c>
      <c r="I196" s="10">
        <v>34</v>
      </c>
      <c r="J196" s="101">
        <f t="shared" si="14"/>
        <v>3624</v>
      </c>
      <c r="K196" s="58" t="s">
        <v>2466</v>
      </c>
      <c r="L196" s="58" t="s">
        <v>2467</v>
      </c>
    </row>
    <row r="197" customFormat="1" hidden="1" spans="1:12">
      <c r="A197" t="str">
        <f t="shared" si="13"/>
        <v>加拿大七店7000265287861半份</v>
      </c>
      <c r="B197" s="84" t="s">
        <v>636</v>
      </c>
      <c r="C197" s="84" t="str">
        <f>D197&amp;G197</f>
        <v>70002652半份</v>
      </c>
      <c r="D197" s="57">
        <v>70002652</v>
      </c>
      <c r="E197" s="57">
        <v>87861</v>
      </c>
      <c r="F197" s="58" t="s">
        <v>2636</v>
      </c>
      <c r="G197" s="58" t="s">
        <v>2440</v>
      </c>
      <c r="H197" s="10">
        <v>114</v>
      </c>
      <c r="I197" s="10">
        <v>3</v>
      </c>
      <c r="J197" s="101">
        <f t="shared" si="14"/>
        <v>111</v>
      </c>
      <c r="K197" s="58" t="s">
        <v>2474</v>
      </c>
      <c r="L197" s="58" t="s">
        <v>2475</v>
      </c>
    </row>
    <row r="198" customFormat="1" hidden="1" spans="1:12">
      <c r="A198" t="str">
        <f t="shared" si="13"/>
        <v>加拿大七店902042731687整份</v>
      </c>
      <c r="B198" s="84" t="s">
        <v>636</v>
      </c>
      <c r="C198" s="84"/>
      <c r="D198" s="57">
        <v>9020427</v>
      </c>
      <c r="E198" s="57">
        <v>31687</v>
      </c>
      <c r="F198" s="58" t="s">
        <v>2637</v>
      </c>
      <c r="G198" s="58" t="s">
        <v>2436</v>
      </c>
      <c r="H198" s="10">
        <v>335</v>
      </c>
      <c r="I198" s="10">
        <v>2</v>
      </c>
      <c r="J198" s="101">
        <f t="shared" si="14"/>
        <v>333</v>
      </c>
      <c r="K198" s="58" t="s">
        <v>2437</v>
      </c>
      <c r="L198" s="58" t="s">
        <v>2499</v>
      </c>
    </row>
    <row r="199" customFormat="1" hidden="1" spans="1:12">
      <c r="A199" t="str">
        <f t="shared" si="13"/>
        <v>加拿大七店902044731727整份</v>
      </c>
      <c r="B199" s="84" t="s">
        <v>636</v>
      </c>
      <c r="C199" s="84"/>
      <c r="D199" s="57">
        <v>9020447</v>
      </c>
      <c r="E199" s="57">
        <v>31727</v>
      </c>
      <c r="F199" s="58" t="s">
        <v>2638</v>
      </c>
      <c r="G199" s="58" t="s">
        <v>2436</v>
      </c>
      <c r="H199" s="10">
        <v>114</v>
      </c>
      <c r="I199" s="10">
        <v>1</v>
      </c>
      <c r="J199" s="101">
        <f t="shared" si="14"/>
        <v>113</v>
      </c>
      <c r="K199" s="58" t="s">
        <v>2437</v>
      </c>
      <c r="L199" s="58" t="s">
        <v>2499</v>
      </c>
    </row>
    <row r="200" customFormat="1" hidden="1" spans="1:12">
      <c r="A200" t="str">
        <f t="shared" si="13"/>
        <v>加拿大七店1002003541036半份</v>
      </c>
      <c r="B200" s="84" t="s">
        <v>636</v>
      </c>
      <c r="C200" s="84" t="str">
        <f t="shared" ref="C200:C208" si="15">D200&amp;G200</f>
        <v>10020035半份</v>
      </c>
      <c r="D200" s="57">
        <v>10020035</v>
      </c>
      <c r="E200" s="57">
        <v>41036</v>
      </c>
      <c r="F200" s="58" t="s">
        <v>2639</v>
      </c>
      <c r="G200" s="58" t="s">
        <v>2440</v>
      </c>
      <c r="H200" s="10">
        <v>246</v>
      </c>
      <c r="I200" s="10">
        <v>1</v>
      </c>
      <c r="J200" s="101">
        <f t="shared" si="14"/>
        <v>245</v>
      </c>
      <c r="K200" s="58" t="s">
        <v>2445</v>
      </c>
      <c r="L200" s="58" t="s">
        <v>2477</v>
      </c>
    </row>
    <row r="201" customFormat="1" hidden="1" spans="1:12">
      <c r="A201" t="str">
        <f t="shared" si="13"/>
        <v>加拿大七店1002003541035整份</v>
      </c>
      <c r="B201" s="84" t="s">
        <v>636</v>
      </c>
      <c r="C201" s="84" t="str">
        <f t="shared" si="15"/>
        <v>10020035整份</v>
      </c>
      <c r="D201" s="57">
        <v>10020035</v>
      </c>
      <c r="E201" s="57">
        <v>41035</v>
      </c>
      <c r="F201" s="58" t="s">
        <v>2640</v>
      </c>
      <c r="G201" s="58" t="s">
        <v>2436</v>
      </c>
      <c r="H201" s="10">
        <v>206</v>
      </c>
      <c r="I201" s="10">
        <v>1</v>
      </c>
      <c r="J201" s="101">
        <f t="shared" si="14"/>
        <v>205</v>
      </c>
      <c r="K201" s="58" t="s">
        <v>2445</v>
      </c>
      <c r="L201" s="58" t="s">
        <v>2477</v>
      </c>
    </row>
    <row r="202" customFormat="1" hidden="1" spans="1:12">
      <c r="A202" t="str">
        <f t="shared" si="13"/>
        <v>加拿大七店1201000697574位</v>
      </c>
      <c r="B202" s="84" t="s">
        <v>636</v>
      </c>
      <c r="C202" s="84" t="str">
        <f t="shared" si="15"/>
        <v>12010006位</v>
      </c>
      <c r="D202" s="57">
        <v>12010006</v>
      </c>
      <c r="E202" s="57">
        <v>97574</v>
      </c>
      <c r="F202" s="58" t="s">
        <v>2641</v>
      </c>
      <c r="G202" s="58" t="s">
        <v>2642</v>
      </c>
      <c r="H202" s="10">
        <v>1309</v>
      </c>
      <c r="I202" s="10">
        <v>41</v>
      </c>
      <c r="J202" s="101">
        <f t="shared" si="14"/>
        <v>1268</v>
      </c>
      <c r="K202" s="58" t="s">
        <v>2466</v>
      </c>
      <c r="L202" s="58" t="s">
        <v>2481</v>
      </c>
    </row>
    <row r="203" customFormat="1" hidden="1" spans="1:12">
      <c r="A203" t="str">
        <f t="shared" si="13"/>
        <v>加拿大七店900015511002840整份</v>
      </c>
      <c r="B203" s="84" t="s">
        <v>636</v>
      </c>
      <c r="C203" s="84" t="str">
        <f t="shared" si="15"/>
        <v>90001551整份</v>
      </c>
      <c r="D203" s="57">
        <v>90001551</v>
      </c>
      <c r="E203" s="57">
        <v>1002840</v>
      </c>
      <c r="F203" s="58" t="s">
        <v>2643</v>
      </c>
      <c r="G203" s="58" t="s">
        <v>2436</v>
      </c>
      <c r="H203" s="10">
        <v>348</v>
      </c>
      <c r="I203" s="10">
        <v>26</v>
      </c>
      <c r="J203" s="101">
        <f t="shared" si="14"/>
        <v>322</v>
      </c>
      <c r="K203" s="58" t="s">
        <v>2441</v>
      </c>
      <c r="L203" s="58" t="s">
        <v>2537</v>
      </c>
    </row>
    <row r="204" customFormat="1" hidden="1" spans="1:12">
      <c r="A204" t="str">
        <f t="shared" si="13"/>
        <v>加拿大七店910039981107708根</v>
      </c>
      <c r="B204" s="84" t="s">
        <v>636</v>
      </c>
      <c r="C204" s="84" t="str">
        <f t="shared" si="15"/>
        <v>91003998根</v>
      </c>
      <c r="D204" s="57">
        <v>91003998</v>
      </c>
      <c r="E204" s="57">
        <v>1107708</v>
      </c>
      <c r="F204" s="58" t="s">
        <v>2644</v>
      </c>
      <c r="G204" s="58" t="s">
        <v>2645</v>
      </c>
      <c r="H204" s="10">
        <v>318</v>
      </c>
      <c r="I204" s="10">
        <v>0</v>
      </c>
      <c r="J204" s="101">
        <f t="shared" si="14"/>
        <v>318</v>
      </c>
      <c r="K204" s="58" t="s">
        <v>2441</v>
      </c>
      <c r="L204" s="58" t="s">
        <v>2455</v>
      </c>
    </row>
    <row r="205" customFormat="1" hidden="1" spans="1:12">
      <c r="A205" t="str">
        <f t="shared" si="13"/>
        <v>加拿大七店1002049741533整份</v>
      </c>
      <c r="B205" s="84" t="s">
        <v>636</v>
      </c>
      <c r="C205" s="84" t="str">
        <f t="shared" si="15"/>
        <v>10020497整份</v>
      </c>
      <c r="D205" s="57">
        <v>10020497</v>
      </c>
      <c r="E205" s="57">
        <v>41533</v>
      </c>
      <c r="F205" s="58" t="s">
        <v>2646</v>
      </c>
      <c r="G205" s="58" t="s">
        <v>2436</v>
      </c>
      <c r="H205" s="10">
        <v>274</v>
      </c>
      <c r="I205" s="10">
        <v>1</v>
      </c>
      <c r="J205" s="101">
        <f t="shared" si="14"/>
        <v>273</v>
      </c>
      <c r="K205" s="58" t="s">
        <v>2445</v>
      </c>
      <c r="L205" s="58" t="s">
        <v>2446</v>
      </c>
    </row>
    <row r="206" customFormat="1" hidden="1" spans="1:12">
      <c r="A206" t="str">
        <f t="shared" si="13"/>
        <v>加拿大七店1002014041161整份</v>
      </c>
      <c r="B206" s="84" t="s">
        <v>636</v>
      </c>
      <c r="C206" s="84" t="str">
        <f t="shared" si="15"/>
        <v>10020140整份</v>
      </c>
      <c r="D206" s="57">
        <v>10020140</v>
      </c>
      <c r="E206" s="57">
        <v>41161</v>
      </c>
      <c r="F206" s="58" t="s">
        <v>2647</v>
      </c>
      <c r="G206" s="58" t="s">
        <v>2436</v>
      </c>
      <c r="H206" s="10">
        <v>243</v>
      </c>
      <c r="I206" s="10">
        <v>1</v>
      </c>
      <c r="J206" s="101">
        <f t="shared" si="14"/>
        <v>242</v>
      </c>
      <c r="K206" s="58" t="s">
        <v>2445</v>
      </c>
      <c r="L206" s="58" t="s">
        <v>2446</v>
      </c>
    </row>
    <row r="207" customFormat="1" hidden="1" spans="1:12">
      <c r="A207" t="str">
        <f t="shared" si="13"/>
        <v>加拿大七店1010681拼锅</v>
      </c>
      <c r="B207" s="84" t="s">
        <v>636</v>
      </c>
      <c r="C207" s="84" t="str">
        <f t="shared" si="15"/>
        <v>1010681拼锅</v>
      </c>
      <c r="D207" s="57">
        <v>1010681</v>
      </c>
      <c r="E207" s="58" t="s">
        <v>641</v>
      </c>
      <c r="F207" s="58" t="s">
        <v>2648</v>
      </c>
      <c r="G207" s="58" t="s">
        <v>2457</v>
      </c>
      <c r="H207" s="10">
        <v>121</v>
      </c>
      <c r="I207" s="10">
        <v>3</v>
      </c>
      <c r="J207" s="101">
        <f t="shared" si="14"/>
        <v>118</v>
      </c>
      <c r="K207" s="58" t="s">
        <v>2458</v>
      </c>
      <c r="L207" s="58" t="s">
        <v>2459</v>
      </c>
    </row>
    <row r="208" customFormat="1" hidden="1" spans="1:12">
      <c r="A208" t="str">
        <f t="shared" si="13"/>
        <v>加拿大七店1010681四宫格</v>
      </c>
      <c r="B208" s="84" t="s">
        <v>636</v>
      </c>
      <c r="C208" s="84" t="str">
        <f t="shared" si="15"/>
        <v>1010681四宫格</v>
      </c>
      <c r="D208" s="57">
        <v>1010681</v>
      </c>
      <c r="E208" s="58" t="s">
        <v>641</v>
      </c>
      <c r="F208" s="58" t="s">
        <v>2648</v>
      </c>
      <c r="G208" s="58" t="s">
        <v>2460</v>
      </c>
      <c r="H208" s="10">
        <v>227</v>
      </c>
      <c r="I208" s="10">
        <v>0</v>
      </c>
      <c r="J208" s="101">
        <f t="shared" si="14"/>
        <v>227</v>
      </c>
      <c r="K208" s="58" t="s">
        <v>2458</v>
      </c>
      <c r="L208" s="58" t="s">
        <v>2461</v>
      </c>
    </row>
    <row r="209" customFormat="1" hidden="1" spans="1:12">
      <c r="A209" t="str">
        <f t="shared" si="13"/>
        <v>加拿大七店910053731110188份</v>
      </c>
      <c r="B209" s="84" t="s">
        <v>636</v>
      </c>
      <c r="C209" s="84"/>
      <c r="D209" s="57">
        <v>91005373</v>
      </c>
      <c r="E209" s="57">
        <v>1110188</v>
      </c>
      <c r="F209" s="58" t="s">
        <v>2649</v>
      </c>
      <c r="G209" s="58" t="s">
        <v>2454</v>
      </c>
      <c r="H209" s="10">
        <v>292</v>
      </c>
      <c r="I209" s="10">
        <v>1</v>
      </c>
      <c r="J209" s="101">
        <f t="shared" si="14"/>
        <v>291</v>
      </c>
      <c r="K209" s="58" t="s">
        <v>2441</v>
      </c>
      <c r="L209" s="58" t="s">
        <v>2455</v>
      </c>
    </row>
    <row r="210" customFormat="1" hidden="1" spans="1:12">
      <c r="A210" t="str">
        <f t="shared" si="13"/>
        <v>加拿大七店2601037008套餐</v>
      </c>
      <c r="B210" s="84" t="s">
        <v>636</v>
      </c>
      <c r="C210" s="84"/>
      <c r="D210" s="57">
        <v>2601037008</v>
      </c>
      <c r="E210" s="58" t="s">
        <v>641</v>
      </c>
      <c r="F210" s="58" t="s">
        <v>2650</v>
      </c>
      <c r="G210" s="58" t="s">
        <v>2588</v>
      </c>
      <c r="H210" s="10">
        <v>936</v>
      </c>
      <c r="I210" s="10">
        <v>29</v>
      </c>
      <c r="J210" s="101">
        <f t="shared" si="14"/>
        <v>907</v>
      </c>
      <c r="K210" s="58" t="s">
        <v>2588</v>
      </c>
      <c r="L210" s="58" t="s">
        <v>2588</v>
      </c>
    </row>
    <row r="211" customFormat="1" hidden="1" spans="1:12">
      <c r="A211" t="str">
        <f t="shared" si="13"/>
        <v>加拿大七店1002003341033整份</v>
      </c>
      <c r="B211" s="84" t="s">
        <v>636</v>
      </c>
      <c r="C211" s="84"/>
      <c r="D211" s="57">
        <v>10020033</v>
      </c>
      <c r="E211" s="57">
        <v>41033</v>
      </c>
      <c r="F211" s="58" t="s">
        <v>2651</v>
      </c>
      <c r="G211" s="58" t="s">
        <v>2436</v>
      </c>
      <c r="H211" s="10">
        <v>392</v>
      </c>
      <c r="I211" s="10">
        <v>1</v>
      </c>
      <c r="J211" s="101">
        <f t="shared" si="14"/>
        <v>391</v>
      </c>
      <c r="K211" s="58" t="s">
        <v>2445</v>
      </c>
      <c r="L211" s="58" t="s">
        <v>2477</v>
      </c>
    </row>
    <row r="212" customFormat="1" spans="1:12">
      <c r="A212" t="str">
        <f t="shared" si="13"/>
        <v>加拿大七店910043641108354杯</v>
      </c>
      <c r="B212" s="84" t="s">
        <v>636</v>
      </c>
      <c r="C212" s="84"/>
      <c r="D212" s="57">
        <v>91004364</v>
      </c>
      <c r="E212" s="57">
        <v>1108354</v>
      </c>
      <c r="F212" s="58" t="s">
        <v>2652</v>
      </c>
      <c r="G212" s="58" t="s">
        <v>2653</v>
      </c>
      <c r="H212" s="10">
        <v>332</v>
      </c>
      <c r="I212" s="10">
        <v>4</v>
      </c>
      <c r="J212" s="101">
        <f t="shared" si="14"/>
        <v>328</v>
      </c>
      <c r="K212" s="58" t="s">
        <v>2451</v>
      </c>
      <c r="L212" s="58" t="s">
        <v>2627</v>
      </c>
    </row>
    <row r="213" customFormat="1" spans="1:12">
      <c r="A213" t="str">
        <f t="shared" si="13"/>
        <v>加拿大七店7000153679183扎</v>
      </c>
      <c r="B213" s="84" t="s">
        <v>636</v>
      </c>
      <c r="C213" s="84"/>
      <c r="D213" s="57">
        <v>70001536</v>
      </c>
      <c r="E213" s="57">
        <v>79183</v>
      </c>
      <c r="F213" s="58" t="s">
        <v>2654</v>
      </c>
      <c r="G213" s="58" t="s">
        <v>2517</v>
      </c>
      <c r="H213" s="10">
        <v>289</v>
      </c>
      <c r="I213" s="10">
        <v>5</v>
      </c>
      <c r="J213" s="101">
        <f t="shared" si="14"/>
        <v>284</v>
      </c>
      <c r="K213" s="58" t="s">
        <v>2451</v>
      </c>
      <c r="L213" s="58" t="s">
        <v>2627</v>
      </c>
    </row>
    <row r="214" customFormat="1" hidden="1" spans="1:12">
      <c r="A214" t="str">
        <f t="shared" si="13"/>
        <v>加拿大七店900016901003544半份</v>
      </c>
      <c r="B214" s="84" t="s">
        <v>636</v>
      </c>
      <c r="C214" s="84"/>
      <c r="D214" s="57">
        <v>90001690</v>
      </c>
      <c r="E214" s="57">
        <v>1003544</v>
      </c>
      <c r="F214" s="58" t="s">
        <v>2655</v>
      </c>
      <c r="G214" s="58" t="s">
        <v>2440</v>
      </c>
      <c r="H214" s="10">
        <v>2178</v>
      </c>
      <c r="I214" s="10">
        <v>35</v>
      </c>
      <c r="J214" s="101">
        <f t="shared" si="14"/>
        <v>2143</v>
      </c>
      <c r="K214" s="58" t="s">
        <v>2656</v>
      </c>
      <c r="L214" s="58" t="s">
        <v>2657</v>
      </c>
    </row>
    <row r="215" customFormat="1" hidden="1" spans="1:12">
      <c r="A215" t="str">
        <f t="shared" si="13"/>
        <v>加拿大七店910054131110210瓶</v>
      </c>
      <c r="B215" s="84" t="s">
        <v>636</v>
      </c>
      <c r="C215" s="84"/>
      <c r="D215" s="57">
        <v>91005413</v>
      </c>
      <c r="E215" s="57">
        <v>1110210</v>
      </c>
      <c r="F215" s="58" t="s">
        <v>2658</v>
      </c>
      <c r="G215" s="58" t="s">
        <v>32</v>
      </c>
      <c r="H215" s="10">
        <v>163</v>
      </c>
      <c r="I215" s="10">
        <v>2</v>
      </c>
      <c r="J215" s="101">
        <f t="shared" si="14"/>
        <v>161</v>
      </c>
      <c r="K215" s="58" t="s">
        <v>2451</v>
      </c>
      <c r="L215" s="58" t="s">
        <v>2452</v>
      </c>
    </row>
    <row r="216" customFormat="1" hidden="1" spans="1:12">
      <c r="A216" t="str">
        <f t="shared" si="13"/>
        <v>加拿大七店910054121110209杯</v>
      </c>
      <c r="B216" s="84" t="s">
        <v>636</v>
      </c>
      <c r="C216" s="84"/>
      <c r="D216" s="57">
        <v>91005412</v>
      </c>
      <c r="E216" s="57">
        <v>1110209</v>
      </c>
      <c r="F216" s="58" t="s">
        <v>2659</v>
      </c>
      <c r="G216" s="58" t="s">
        <v>2653</v>
      </c>
      <c r="H216" s="10">
        <v>300</v>
      </c>
      <c r="I216" s="10">
        <v>1</v>
      </c>
      <c r="J216" s="101">
        <f t="shared" si="14"/>
        <v>299</v>
      </c>
      <c r="K216" s="58" t="s">
        <v>2451</v>
      </c>
      <c r="L216" s="58" t="s">
        <v>2452</v>
      </c>
    </row>
    <row r="217" customFormat="1" hidden="1" spans="1:12">
      <c r="A217" t="str">
        <f t="shared" si="13"/>
        <v>加拿大七店910057021111116份</v>
      </c>
      <c r="B217" s="84" t="s">
        <v>636</v>
      </c>
      <c r="C217" s="84"/>
      <c r="D217" s="57">
        <v>91005702</v>
      </c>
      <c r="E217" s="57">
        <v>1111116</v>
      </c>
      <c r="F217" s="58" t="s">
        <v>2660</v>
      </c>
      <c r="G217" s="58" t="s">
        <v>2454</v>
      </c>
      <c r="H217" s="10">
        <v>237</v>
      </c>
      <c r="I217" s="10">
        <v>1</v>
      </c>
      <c r="J217" s="101">
        <f t="shared" si="14"/>
        <v>236</v>
      </c>
      <c r="K217" s="58" t="s">
        <v>2441</v>
      </c>
      <c r="L217" s="58" t="s">
        <v>2455</v>
      </c>
    </row>
    <row r="218" customFormat="1" hidden="1" spans="1:12">
      <c r="A218" t="str">
        <f t="shared" si="13"/>
        <v>加拿大七店910051301109717杯</v>
      </c>
      <c r="B218" s="84" t="s">
        <v>636</v>
      </c>
      <c r="C218" s="84"/>
      <c r="D218" s="57">
        <v>91005130</v>
      </c>
      <c r="E218" s="57">
        <v>1109717</v>
      </c>
      <c r="F218" s="58" t="s">
        <v>2661</v>
      </c>
      <c r="G218" s="58" t="s">
        <v>2653</v>
      </c>
      <c r="H218" s="10">
        <v>280</v>
      </c>
      <c r="I218" s="10">
        <v>1</v>
      </c>
      <c r="J218" s="101">
        <f t="shared" si="14"/>
        <v>279</v>
      </c>
      <c r="K218" s="58" t="s">
        <v>2451</v>
      </c>
      <c r="L218" s="58" t="s">
        <v>2452</v>
      </c>
    </row>
    <row r="219" customFormat="1" hidden="1" spans="1:12">
      <c r="A219" t="str">
        <f t="shared" si="13"/>
        <v>加拿大七店910051191109704杯</v>
      </c>
      <c r="B219" s="84" t="s">
        <v>636</v>
      </c>
      <c r="C219" s="84"/>
      <c r="D219" s="57">
        <v>91005119</v>
      </c>
      <c r="E219" s="57">
        <v>1109704</v>
      </c>
      <c r="F219" s="58" t="s">
        <v>2662</v>
      </c>
      <c r="G219" s="58" t="s">
        <v>2653</v>
      </c>
      <c r="H219" s="10">
        <v>57</v>
      </c>
      <c r="I219" s="10">
        <v>1</v>
      </c>
      <c r="J219" s="101">
        <f t="shared" si="14"/>
        <v>56</v>
      </c>
      <c r="K219" s="58" t="s">
        <v>2451</v>
      </c>
      <c r="L219" s="58" t="s">
        <v>2627</v>
      </c>
    </row>
    <row r="220" customFormat="1" hidden="1" spans="1:12">
      <c r="A220" t="str">
        <f t="shared" si="13"/>
        <v>加拿大七店910057311111185瓶</v>
      </c>
      <c r="B220" s="84" t="s">
        <v>636</v>
      </c>
      <c r="C220" s="84"/>
      <c r="D220" s="57">
        <v>91005731</v>
      </c>
      <c r="E220" s="57">
        <v>1111185</v>
      </c>
      <c r="F220" s="58" t="s">
        <v>2663</v>
      </c>
      <c r="G220" s="58" t="s">
        <v>32</v>
      </c>
      <c r="H220" s="10">
        <v>47</v>
      </c>
      <c r="I220" s="10">
        <v>3</v>
      </c>
      <c r="J220" s="101">
        <f t="shared" si="14"/>
        <v>44</v>
      </c>
      <c r="K220" s="58" t="s">
        <v>2451</v>
      </c>
      <c r="L220" s="58" t="s">
        <v>2627</v>
      </c>
    </row>
    <row r="221" customFormat="1" hidden="1" spans="1:12">
      <c r="A221" t="str">
        <f t="shared" si="13"/>
        <v>加拿大七店910057291111183瓶</v>
      </c>
      <c r="B221" s="84" t="s">
        <v>636</v>
      </c>
      <c r="C221" s="84"/>
      <c r="D221" s="57">
        <v>91005729</v>
      </c>
      <c r="E221" s="57">
        <v>1111183</v>
      </c>
      <c r="F221" s="58" t="s">
        <v>2664</v>
      </c>
      <c r="G221" s="58" t="s">
        <v>32</v>
      </c>
      <c r="H221" s="10">
        <v>47</v>
      </c>
      <c r="I221" s="10">
        <v>1</v>
      </c>
      <c r="J221" s="101">
        <f t="shared" si="14"/>
        <v>46</v>
      </c>
      <c r="K221" s="58" t="s">
        <v>2451</v>
      </c>
      <c r="L221" s="58" t="s">
        <v>2627</v>
      </c>
    </row>
    <row r="222" customFormat="1" hidden="1" spans="1:12">
      <c r="A222" t="str">
        <f t="shared" si="13"/>
        <v>加拿大七店910057281111182瓶</v>
      </c>
      <c r="B222" s="84" t="s">
        <v>636</v>
      </c>
      <c r="C222" s="84"/>
      <c r="D222" s="57">
        <v>91005728</v>
      </c>
      <c r="E222" s="57">
        <v>1111182</v>
      </c>
      <c r="F222" s="58" t="s">
        <v>2665</v>
      </c>
      <c r="G222" s="58" t="s">
        <v>32</v>
      </c>
      <c r="H222" s="10">
        <v>35</v>
      </c>
      <c r="I222" s="10">
        <v>0</v>
      </c>
      <c r="J222" s="101">
        <f t="shared" si="14"/>
        <v>35</v>
      </c>
      <c r="K222" s="58" t="s">
        <v>2451</v>
      </c>
      <c r="L222" s="58" t="s">
        <v>2627</v>
      </c>
    </row>
    <row r="223" customFormat="1" hidden="1" spans="1:12">
      <c r="A223" t="str">
        <f t="shared" si="13"/>
        <v>加拿大七店910057261111180瓶</v>
      </c>
      <c r="B223" s="84" t="s">
        <v>636</v>
      </c>
      <c r="C223" s="84"/>
      <c r="D223" s="57">
        <v>91005726</v>
      </c>
      <c r="E223" s="57">
        <v>1111180</v>
      </c>
      <c r="F223" s="58" t="s">
        <v>2666</v>
      </c>
      <c r="G223" s="58" t="s">
        <v>32</v>
      </c>
      <c r="H223" s="10">
        <v>57</v>
      </c>
      <c r="I223" s="10">
        <v>0</v>
      </c>
      <c r="J223" s="101">
        <f t="shared" si="14"/>
        <v>57</v>
      </c>
      <c r="K223" s="58" t="s">
        <v>2451</v>
      </c>
      <c r="L223" s="58" t="s">
        <v>2627</v>
      </c>
    </row>
    <row r="224" customFormat="1" hidden="1" spans="1:12">
      <c r="A224" t="str">
        <f t="shared" si="13"/>
        <v>加拿大七店100103281108120份</v>
      </c>
      <c r="B224" s="84" t="s">
        <v>636</v>
      </c>
      <c r="C224" s="84"/>
      <c r="D224" s="57">
        <v>10010328</v>
      </c>
      <c r="E224" s="57">
        <v>1108120</v>
      </c>
      <c r="F224" s="58" t="s">
        <v>2667</v>
      </c>
      <c r="G224" s="58" t="s">
        <v>2454</v>
      </c>
      <c r="H224" s="10">
        <v>153</v>
      </c>
      <c r="I224" s="10">
        <v>0</v>
      </c>
      <c r="J224" s="101">
        <f t="shared" si="14"/>
        <v>153</v>
      </c>
      <c r="K224" s="58" t="s">
        <v>2445</v>
      </c>
      <c r="L224" s="58" t="s">
        <v>2477</v>
      </c>
    </row>
    <row r="225" customFormat="1" hidden="1" spans="1:12">
      <c r="A225" t="str">
        <f t="shared" si="13"/>
        <v>加拿大七店910058651111388份</v>
      </c>
      <c r="B225" s="84" t="s">
        <v>636</v>
      </c>
      <c r="C225" s="84"/>
      <c r="D225" s="57">
        <v>91005865</v>
      </c>
      <c r="E225" s="57">
        <v>1111388</v>
      </c>
      <c r="F225" s="58" t="s">
        <v>2668</v>
      </c>
      <c r="G225" s="58" t="s">
        <v>2454</v>
      </c>
      <c r="H225" s="10">
        <v>152</v>
      </c>
      <c r="I225" s="10">
        <v>2</v>
      </c>
      <c r="J225" s="101">
        <f t="shared" si="14"/>
        <v>150</v>
      </c>
      <c r="K225" s="58" t="s">
        <v>2441</v>
      </c>
      <c r="L225" s="58" t="s">
        <v>2537</v>
      </c>
    </row>
    <row r="226" customFormat="1" hidden="1" spans="1:12">
      <c r="A226" t="str">
        <f t="shared" si="13"/>
        <v>加拿大七店910057161111214份</v>
      </c>
      <c r="B226" s="84" t="s">
        <v>636</v>
      </c>
      <c r="C226" s="84" t="str">
        <f>D226&amp;G226</f>
        <v>91005716份</v>
      </c>
      <c r="D226" s="57">
        <v>91005716</v>
      </c>
      <c r="E226" s="57">
        <v>1111214</v>
      </c>
      <c r="F226" s="58" t="s">
        <v>2669</v>
      </c>
      <c r="G226" s="58" t="s">
        <v>2454</v>
      </c>
      <c r="H226" s="10">
        <v>697</v>
      </c>
      <c r="I226" s="10">
        <v>1</v>
      </c>
      <c r="J226" s="101">
        <f t="shared" si="14"/>
        <v>696</v>
      </c>
      <c r="K226" s="58" t="s">
        <v>2445</v>
      </c>
      <c r="L226" s="58" t="s">
        <v>2489</v>
      </c>
    </row>
    <row r="227" customFormat="1" hidden="1" spans="1:12">
      <c r="A227" t="str">
        <f t="shared" si="13"/>
        <v>加拿大七店910059501111493份</v>
      </c>
      <c r="B227" s="84" t="s">
        <v>636</v>
      </c>
      <c r="C227" s="84" t="str">
        <f>D227&amp;G227</f>
        <v>91005950份</v>
      </c>
      <c r="D227" s="57">
        <v>91005950</v>
      </c>
      <c r="E227" s="57">
        <v>1111493</v>
      </c>
      <c r="F227" s="58" t="s">
        <v>2670</v>
      </c>
      <c r="G227" s="58" t="s">
        <v>2454</v>
      </c>
      <c r="H227" s="10">
        <v>3369</v>
      </c>
      <c r="I227" s="10">
        <v>66</v>
      </c>
      <c r="J227" s="101">
        <f t="shared" si="14"/>
        <v>3303</v>
      </c>
      <c r="K227" s="58" t="s">
        <v>2466</v>
      </c>
      <c r="L227" s="58" t="s">
        <v>2467</v>
      </c>
    </row>
    <row r="228" customFormat="1" hidden="1" spans="1:12">
      <c r="A228" t="str">
        <f t="shared" si="13"/>
        <v>加拿大七店910057321111186瓶</v>
      </c>
      <c r="B228" s="84" t="s">
        <v>636</v>
      </c>
      <c r="C228" s="84" t="str">
        <f>D228&amp;G228</f>
        <v>91005732瓶</v>
      </c>
      <c r="D228" s="57">
        <v>91005732</v>
      </c>
      <c r="E228" s="57">
        <v>1111186</v>
      </c>
      <c r="F228" s="58" t="s">
        <v>2671</v>
      </c>
      <c r="G228" s="58" t="s">
        <v>32</v>
      </c>
      <c r="H228" s="10">
        <v>67</v>
      </c>
      <c r="I228" s="10">
        <v>8</v>
      </c>
      <c r="J228" s="101">
        <f t="shared" si="14"/>
        <v>59</v>
      </c>
      <c r="K228" s="58" t="s">
        <v>2451</v>
      </c>
      <c r="L228" s="58" t="s">
        <v>2627</v>
      </c>
    </row>
    <row r="229" customFormat="1" hidden="1" spans="1:12">
      <c r="A229" t="str">
        <f t="shared" si="13"/>
        <v>加拿大七店1301004770047常温</v>
      </c>
      <c r="B229" s="84" t="s">
        <v>636</v>
      </c>
      <c r="C229" s="84"/>
      <c r="D229" s="57">
        <v>13010047</v>
      </c>
      <c r="E229" s="57">
        <v>70047</v>
      </c>
      <c r="F229" s="58" t="s">
        <v>2364</v>
      </c>
      <c r="G229" s="58" t="s">
        <v>2672</v>
      </c>
      <c r="H229" s="10">
        <v>16</v>
      </c>
      <c r="I229" s="10">
        <v>0</v>
      </c>
      <c r="J229" s="101">
        <f t="shared" si="14"/>
        <v>16</v>
      </c>
      <c r="K229" s="58" t="s">
        <v>2451</v>
      </c>
      <c r="L229" s="58" t="s">
        <v>2452</v>
      </c>
    </row>
    <row r="230" customFormat="1" hidden="1" spans="1:12">
      <c r="A230" t="str">
        <f t="shared" si="13"/>
        <v>加拿大七店1201000260002常温</v>
      </c>
      <c r="B230" s="84" t="s">
        <v>636</v>
      </c>
      <c r="C230" s="84"/>
      <c r="D230" s="57">
        <v>12010002</v>
      </c>
      <c r="E230" s="57">
        <v>60002</v>
      </c>
      <c r="F230" s="58" t="s">
        <v>2354</v>
      </c>
      <c r="G230" s="58" t="s">
        <v>2672</v>
      </c>
      <c r="H230" s="10">
        <v>10</v>
      </c>
      <c r="I230" s="10">
        <v>0</v>
      </c>
      <c r="J230" s="101">
        <f t="shared" si="14"/>
        <v>10</v>
      </c>
      <c r="K230" s="58" t="s">
        <v>2451</v>
      </c>
      <c r="L230" s="58" t="s">
        <v>2452</v>
      </c>
    </row>
    <row r="231" customFormat="1" hidden="1" spans="1:12">
      <c r="A231" t="str">
        <f t="shared" si="13"/>
        <v>加拿大七店1002003141032半份</v>
      </c>
      <c r="B231" s="84" t="s">
        <v>636</v>
      </c>
      <c r="C231" s="84" t="str">
        <f t="shared" ref="C231:C238" si="16">D231&amp;G231</f>
        <v>10020031半份</v>
      </c>
      <c r="D231" s="57">
        <v>10020031</v>
      </c>
      <c r="E231" s="57">
        <v>41032</v>
      </c>
      <c r="F231" s="58" t="s">
        <v>2673</v>
      </c>
      <c r="G231" s="58" t="s">
        <v>2440</v>
      </c>
      <c r="H231" s="10">
        <v>258</v>
      </c>
      <c r="I231" s="10">
        <v>6</v>
      </c>
      <c r="J231" s="101">
        <f t="shared" si="14"/>
        <v>252</v>
      </c>
      <c r="K231" s="58" t="s">
        <v>2445</v>
      </c>
      <c r="L231" s="58" t="s">
        <v>2446</v>
      </c>
    </row>
    <row r="232" customFormat="1" hidden="1" spans="1:12">
      <c r="A232" t="str">
        <f t="shared" si="13"/>
        <v>加拿大七店1002003141031整份</v>
      </c>
      <c r="B232" s="84" t="s">
        <v>636</v>
      </c>
      <c r="C232" s="84" t="str">
        <f t="shared" si="16"/>
        <v>10020031整份</v>
      </c>
      <c r="D232" s="57">
        <v>10020031</v>
      </c>
      <c r="E232" s="57">
        <v>41031</v>
      </c>
      <c r="F232" s="58" t="s">
        <v>2674</v>
      </c>
      <c r="G232" s="58" t="s">
        <v>2436</v>
      </c>
      <c r="H232" s="10">
        <v>99</v>
      </c>
      <c r="I232" s="10">
        <v>4</v>
      </c>
      <c r="J232" s="101">
        <f t="shared" si="14"/>
        <v>95</v>
      </c>
      <c r="K232" s="58" t="s">
        <v>2445</v>
      </c>
      <c r="L232" s="58" t="s">
        <v>2446</v>
      </c>
    </row>
    <row r="233" customFormat="1" hidden="1" spans="1:12">
      <c r="A233" t="str">
        <f t="shared" si="13"/>
        <v>加拿大七店1060066单锅</v>
      </c>
      <c r="B233" s="84" t="s">
        <v>636</v>
      </c>
      <c r="C233" s="84" t="str">
        <f t="shared" si="16"/>
        <v>1060066单锅</v>
      </c>
      <c r="D233" s="57">
        <v>1060066</v>
      </c>
      <c r="E233" s="58" t="s">
        <v>641</v>
      </c>
      <c r="F233" s="58" t="s">
        <v>2344</v>
      </c>
      <c r="G233" s="58" t="s">
        <v>2507</v>
      </c>
      <c r="H233" s="10">
        <v>48</v>
      </c>
      <c r="I233" s="10">
        <v>7</v>
      </c>
      <c r="J233" s="101">
        <f t="shared" si="14"/>
        <v>41</v>
      </c>
      <c r="K233" s="58" t="s">
        <v>2458</v>
      </c>
      <c r="L233" s="58" t="s">
        <v>2508</v>
      </c>
    </row>
    <row r="234" customFormat="1" hidden="1" spans="1:12">
      <c r="A234" t="str">
        <f t="shared" si="13"/>
        <v>加拿大七店1301045570455常温</v>
      </c>
      <c r="B234" s="84" t="s">
        <v>636</v>
      </c>
      <c r="C234" s="84" t="str">
        <f t="shared" si="16"/>
        <v>13010455常温</v>
      </c>
      <c r="D234" s="57">
        <v>13010455</v>
      </c>
      <c r="E234" s="57">
        <v>70455</v>
      </c>
      <c r="F234" s="58" t="s">
        <v>2373</v>
      </c>
      <c r="G234" s="58" t="s">
        <v>2672</v>
      </c>
      <c r="H234" s="10">
        <v>9</v>
      </c>
      <c r="I234" s="10">
        <v>0</v>
      </c>
      <c r="J234" s="101">
        <f t="shared" si="14"/>
        <v>9</v>
      </c>
      <c r="K234" s="58" t="s">
        <v>2451</v>
      </c>
      <c r="L234" s="58" t="s">
        <v>2452</v>
      </c>
    </row>
    <row r="235" customFormat="1" hidden="1" spans="1:12">
      <c r="A235" t="str">
        <f t="shared" si="13"/>
        <v>加拿大七店1412000184001整份</v>
      </c>
      <c r="B235" s="84" t="s">
        <v>636</v>
      </c>
      <c r="C235" s="84" t="str">
        <f t="shared" si="16"/>
        <v>14120001整份</v>
      </c>
      <c r="D235" s="57">
        <v>14120001</v>
      </c>
      <c r="E235" s="57">
        <v>84001</v>
      </c>
      <c r="F235" s="58" t="s">
        <v>2594</v>
      </c>
      <c r="G235" s="58" t="s">
        <v>2436</v>
      </c>
      <c r="H235" s="10">
        <v>25</v>
      </c>
      <c r="I235" s="10">
        <v>2</v>
      </c>
      <c r="J235" s="101">
        <f t="shared" si="14"/>
        <v>23</v>
      </c>
      <c r="K235" s="58" t="s">
        <v>2466</v>
      </c>
      <c r="L235" s="58" t="s">
        <v>2467</v>
      </c>
    </row>
    <row r="236" customFormat="1" hidden="1" spans="1:12">
      <c r="A236" t="str">
        <f t="shared" si="13"/>
        <v>加拿大七店1412000184001整份</v>
      </c>
      <c r="B236" s="84" t="s">
        <v>636</v>
      </c>
      <c r="C236" s="84" t="str">
        <f t="shared" si="16"/>
        <v>14120001整份</v>
      </c>
      <c r="D236" s="57">
        <v>14120001</v>
      </c>
      <c r="E236" s="57">
        <v>84001</v>
      </c>
      <c r="F236" s="58" t="s">
        <v>2594</v>
      </c>
      <c r="G236" s="58" t="s">
        <v>2436</v>
      </c>
      <c r="H236" s="10">
        <v>1</v>
      </c>
      <c r="I236" s="10">
        <v>0</v>
      </c>
      <c r="J236" s="101">
        <f t="shared" si="14"/>
        <v>1</v>
      </c>
      <c r="K236" s="58" t="s">
        <v>2466</v>
      </c>
      <c r="L236" s="58" t="s">
        <v>2467</v>
      </c>
    </row>
    <row r="237" customFormat="1" hidden="1" spans="1:12">
      <c r="A237" t="str">
        <f t="shared" si="13"/>
        <v>加拿大七店1412000184001整份</v>
      </c>
      <c r="B237" s="84" t="s">
        <v>636</v>
      </c>
      <c r="C237" s="84" t="str">
        <f t="shared" si="16"/>
        <v>14120001整份</v>
      </c>
      <c r="D237" s="57">
        <v>14120001</v>
      </c>
      <c r="E237" s="57">
        <v>84001</v>
      </c>
      <c r="F237" s="58" t="s">
        <v>2594</v>
      </c>
      <c r="G237" s="58" t="s">
        <v>2436</v>
      </c>
      <c r="H237" s="10">
        <v>1</v>
      </c>
      <c r="I237" s="10">
        <v>0</v>
      </c>
      <c r="J237" s="101">
        <f t="shared" si="14"/>
        <v>1</v>
      </c>
      <c r="K237" s="58" t="s">
        <v>2466</v>
      </c>
      <c r="L237" s="58" t="s">
        <v>2467</v>
      </c>
    </row>
    <row r="238" customFormat="1" hidden="1" spans="1:12">
      <c r="A238" t="str">
        <f t="shared" si="13"/>
        <v>加拿大七店1412000184001整份</v>
      </c>
      <c r="B238" s="84" t="s">
        <v>636</v>
      </c>
      <c r="C238" s="84" t="str">
        <f t="shared" si="16"/>
        <v>14120001整份</v>
      </c>
      <c r="D238" s="57">
        <v>14120001</v>
      </c>
      <c r="E238" s="57">
        <v>84001</v>
      </c>
      <c r="F238" s="58" t="s">
        <v>2594</v>
      </c>
      <c r="G238" s="58" t="s">
        <v>2436</v>
      </c>
      <c r="H238" s="10">
        <v>1</v>
      </c>
      <c r="I238" s="10">
        <v>0</v>
      </c>
      <c r="J238" s="101">
        <f t="shared" si="14"/>
        <v>1</v>
      </c>
      <c r="K238" s="58" t="s">
        <v>2466</v>
      </c>
      <c r="L238" s="58" t="s">
        <v>2467</v>
      </c>
    </row>
    <row r="239" customFormat="1" hidden="1" spans="1:12">
      <c r="A239" t="str">
        <f t="shared" si="13"/>
        <v>加拿大七店1412000184001整份</v>
      </c>
      <c r="B239" s="84" t="s">
        <v>636</v>
      </c>
      <c r="C239" s="84"/>
      <c r="D239" s="57">
        <v>14120001</v>
      </c>
      <c r="E239" s="57">
        <v>84001</v>
      </c>
      <c r="F239" s="58" t="s">
        <v>2594</v>
      </c>
      <c r="G239" s="58" t="s">
        <v>2436</v>
      </c>
      <c r="H239" s="10">
        <v>1</v>
      </c>
      <c r="I239" s="10">
        <v>0</v>
      </c>
      <c r="J239" s="101">
        <f t="shared" si="14"/>
        <v>1</v>
      </c>
      <c r="K239" s="58" t="s">
        <v>2466</v>
      </c>
      <c r="L239" s="58" t="s">
        <v>2467</v>
      </c>
    </row>
    <row r="240" customFormat="1" hidden="1" spans="1:12">
      <c r="A240" t="str">
        <f t="shared" si="13"/>
        <v>加拿大七店1412000184001整份</v>
      </c>
      <c r="B240" s="84" t="s">
        <v>636</v>
      </c>
      <c r="C240" s="84"/>
      <c r="D240" s="57">
        <v>14120001</v>
      </c>
      <c r="E240" s="57">
        <v>84001</v>
      </c>
      <c r="F240" s="58" t="s">
        <v>2594</v>
      </c>
      <c r="G240" s="58" t="s">
        <v>2436</v>
      </c>
      <c r="H240" s="10">
        <v>1</v>
      </c>
      <c r="I240" s="10">
        <v>0</v>
      </c>
      <c r="J240" s="101">
        <f t="shared" si="14"/>
        <v>1</v>
      </c>
      <c r="K240" s="58" t="s">
        <v>2466</v>
      </c>
      <c r="L240" s="58" t="s">
        <v>2467</v>
      </c>
    </row>
    <row r="241" customFormat="1" hidden="1" spans="1:12">
      <c r="A241" t="str">
        <f t="shared" si="13"/>
        <v>加拿大七店1412000184001整份</v>
      </c>
      <c r="B241" s="84" t="s">
        <v>636</v>
      </c>
      <c r="C241" s="84"/>
      <c r="D241" s="57">
        <v>14120001</v>
      </c>
      <c r="E241" s="57">
        <v>84001</v>
      </c>
      <c r="F241" s="58" t="s">
        <v>2594</v>
      </c>
      <c r="G241" s="58" t="s">
        <v>2436</v>
      </c>
      <c r="H241" s="10">
        <v>1</v>
      </c>
      <c r="I241" s="10">
        <v>0</v>
      </c>
      <c r="J241" s="101">
        <f t="shared" si="14"/>
        <v>1</v>
      </c>
      <c r="K241" s="58" t="s">
        <v>2466</v>
      </c>
      <c r="L241" s="58" t="s">
        <v>2467</v>
      </c>
    </row>
    <row r="242" customFormat="1" spans="1:12">
      <c r="A242" t="str">
        <f t="shared" si="13"/>
        <v>加拿大七店130204231109396小瓶</v>
      </c>
      <c r="B242" s="84" t="s">
        <v>636</v>
      </c>
      <c r="C242" s="84"/>
      <c r="D242" s="57">
        <v>13020423</v>
      </c>
      <c r="E242" s="57">
        <v>1109396</v>
      </c>
      <c r="F242" s="58" t="s">
        <v>2675</v>
      </c>
      <c r="G242" s="58" t="s">
        <v>2626</v>
      </c>
      <c r="H242" s="10">
        <v>14</v>
      </c>
      <c r="I242" s="10">
        <v>0</v>
      </c>
      <c r="J242" s="101">
        <f t="shared" si="14"/>
        <v>14</v>
      </c>
      <c r="K242" s="58" t="s">
        <v>2451</v>
      </c>
      <c r="L242" s="58" t="s">
        <v>2627</v>
      </c>
    </row>
    <row r="243" customFormat="1" spans="1:12">
      <c r="A243" t="str">
        <f t="shared" si="13"/>
        <v>加拿大七店1304028473284冰镇</v>
      </c>
      <c r="B243" s="84" t="s">
        <v>636</v>
      </c>
      <c r="C243" s="84"/>
      <c r="D243" s="57">
        <v>13040284</v>
      </c>
      <c r="E243" s="57">
        <v>73284</v>
      </c>
      <c r="F243" s="58" t="s">
        <v>2676</v>
      </c>
      <c r="G243" s="58" t="s">
        <v>2450</v>
      </c>
      <c r="H243" s="10">
        <v>107</v>
      </c>
      <c r="I243" s="10">
        <v>0</v>
      </c>
      <c r="J243" s="101">
        <f t="shared" si="14"/>
        <v>107</v>
      </c>
      <c r="K243" s="58" t="s">
        <v>2451</v>
      </c>
      <c r="L243" s="58" t="s">
        <v>2627</v>
      </c>
    </row>
    <row r="244" customFormat="1" spans="1:12">
      <c r="A244" t="str">
        <f t="shared" si="13"/>
        <v>加拿大七店900019961004183瓶</v>
      </c>
      <c r="B244" s="84" t="s">
        <v>636</v>
      </c>
      <c r="C244" s="84"/>
      <c r="D244" s="57">
        <v>90001996</v>
      </c>
      <c r="E244" s="57">
        <v>1004183</v>
      </c>
      <c r="F244" s="58" t="s">
        <v>2677</v>
      </c>
      <c r="G244" s="58" t="s">
        <v>32</v>
      </c>
      <c r="H244" s="10">
        <v>15</v>
      </c>
      <c r="I244" s="10">
        <v>0</v>
      </c>
      <c r="J244" s="101">
        <f t="shared" si="14"/>
        <v>15</v>
      </c>
      <c r="K244" s="58" t="s">
        <v>2451</v>
      </c>
      <c r="L244" s="58" t="s">
        <v>2627</v>
      </c>
    </row>
    <row r="245" customFormat="1" hidden="1" spans="1:12">
      <c r="A245" t="str">
        <f t="shared" si="13"/>
        <v>加拿大七店7000265287860整份</v>
      </c>
      <c r="B245" s="84" t="s">
        <v>636</v>
      </c>
      <c r="C245" s="84"/>
      <c r="D245" s="57">
        <v>70002652</v>
      </c>
      <c r="E245" s="57">
        <v>87860</v>
      </c>
      <c r="F245" s="58" t="s">
        <v>2678</v>
      </c>
      <c r="G245" s="58" t="s">
        <v>2436</v>
      </c>
      <c r="H245" s="10">
        <v>23</v>
      </c>
      <c r="I245" s="10">
        <v>2</v>
      </c>
      <c r="J245" s="101">
        <f t="shared" si="14"/>
        <v>21</v>
      </c>
      <c r="K245" s="58" t="s">
        <v>2474</v>
      </c>
      <c r="L245" s="58" t="s">
        <v>2475</v>
      </c>
    </row>
    <row r="246" customFormat="1" hidden="1" spans="1:12">
      <c r="A246" t="str">
        <f t="shared" si="13"/>
        <v>加拿大七店1301004170041常温</v>
      </c>
      <c r="B246" s="84" t="s">
        <v>636</v>
      </c>
      <c r="C246" s="84" t="str">
        <f>D246&amp;G246</f>
        <v>13010041常温</v>
      </c>
      <c r="D246" s="57">
        <v>13010041</v>
      </c>
      <c r="E246" s="57">
        <v>70041</v>
      </c>
      <c r="F246" s="58" t="s">
        <v>2362</v>
      </c>
      <c r="G246" s="58" t="s">
        <v>2672</v>
      </c>
      <c r="H246" s="10">
        <v>9</v>
      </c>
      <c r="I246" s="10">
        <v>0</v>
      </c>
      <c r="J246" s="101">
        <f t="shared" si="14"/>
        <v>9</v>
      </c>
      <c r="K246" s="58" t="s">
        <v>2451</v>
      </c>
      <c r="L246" s="58" t="s">
        <v>2452</v>
      </c>
    </row>
    <row r="247" customFormat="1" hidden="1" spans="1:12">
      <c r="A247" t="str">
        <f t="shared" si="13"/>
        <v>加拿大七店90000413单锅</v>
      </c>
      <c r="B247" s="84" t="s">
        <v>636</v>
      </c>
      <c r="C247" s="84"/>
      <c r="D247" s="57">
        <v>90000413</v>
      </c>
      <c r="E247" s="58" t="s">
        <v>641</v>
      </c>
      <c r="F247" s="58" t="s">
        <v>2456</v>
      </c>
      <c r="G247" s="58" t="s">
        <v>2507</v>
      </c>
      <c r="H247" s="10">
        <v>8</v>
      </c>
      <c r="I247" s="10">
        <v>1</v>
      </c>
      <c r="J247" s="101">
        <f t="shared" si="14"/>
        <v>7</v>
      </c>
      <c r="K247" s="58" t="s">
        <v>2458</v>
      </c>
      <c r="L247" s="58" t="s">
        <v>2508</v>
      </c>
    </row>
    <row r="248" customFormat="1" hidden="1" spans="1:12">
      <c r="A248" t="str">
        <f t="shared" si="13"/>
        <v>加拿大七店1301004070040常温</v>
      </c>
      <c r="B248" s="84" t="s">
        <v>636</v>
      </c>
      <c r="C248" s="84" t="str">
        <f>D248&amp;G248</f>
        <v>13010040常温</v>
      </c>
      <c r="D248" s="57">
        <v>13010040</v>
      </c>
      <c r="E248" s="57">
        <v>70040</v>
      </c>
      <c r="F248" s="58" t="s">
        <v>2360</v>
      </c>
      <c r="G248" s="58" t="s">
        <v>2672</v>
      </c>
      <c r="H248" s="10">
        <v>21</v>
      </c>
      <c r="I248" s="10">
        <v>0</v>
      </c>
      <c r="J248" s="101">
        <f t="shared" si="14"/>
        <v>21</v>
      </c>
      <c r="K248" s="58" t="s">
        <v>2451</v>
      </c>
      <c r="L248" s="58" t="s">
        <v>2452</v>
      </c>
    </row>
    <row r="249" customFormat="1" hidden="1" spans="1:12">
      <c r="A249" t="str">
        <f t="shared" si="13"/>
        <v>加拿大七店1060061单锅</v>
      </c>
      <c r="B249" s="84" t="s">
        <v>636</v>
      </c>
      <c r="C249" s="84" t="str">
        <f>D249&amp;G249</f>
        <v>1060061单锅</v>
      </c>
      <c r="D249" s="57">
        <v>1060061</v>
      </c>
      <c r="E249" s="58" t="s">
        <v>641</v>
      </c>
      <c r="F249" s="58" t="s">
        <v>2511</v>
      </c>
      <c r="G249" s="58" t="s">
        <v>2507</v>
      </c>
      <c r="H249" s="10">
        <v>4</v>
      </c>
      <c r="I249" s="10">
        <v>1</v>
      </c>
      <c r="J249" s="101">
        <f t="shared" si="14"/>
        <v>3</v>
      </c>
      <c r="K249" s="58" t="s">
        <v>2458</v>
      </c>
      <c r="L249" s="58" t="s">
        <v>2508</v>
      </c>
    </row>
    <row r="250" customFormat="1" hidden="1" spans="1:12">
      <c r="A250" t="str">
        <f t="shared" si="13"/>
        <v>加拿大七店1060063单锅</v>
      </c>
      <c r="B250" s="84" t="s">
        <v>636</v>
      </c>
      <c r="C250" s="84"/>
      <c r="D250" s="57">
        <v>1060063</v>
      </c>
      <c r="E250" s="58" t="s">
        <v>641</v>
      </c>
      <c r="F250" s="58" t="s">
        <v>2340</v>
      </c>
      <c r="G250" s="58" t="s">
        <v>2507</v>
      </c>
      <c r="H250" s="10">
        <v>8</v>
      </c>
      <c r="I250" s="10">
        <v>1</v>
      </c>
      <c r="J250" s="101">
        <f t="shared" si="14"/>
        <v>7</v>
      </c>
      <c r="K250" s="58" t="s">
        <v>2458</v>
      </c>
      <c r="L250" s="58" t="s">
        <v>2508</v>
      </c>
    </row>
    <row r="251" customFormat="1" hidden="1" spans="1:12">
      <c r="A251" t="str">
        <f t="shared" si="13"/>
        <v>加拿大七店900025331005371常温</v>
      </c>
      <c r="B251" s="84" t="s">
        <v>636</v>
      </c>
      <c r="C251" s="84"/>
      <c r="D251" s="57">
        <v>90002533</v>
      </c>
      <c r="E251" s="57">
        <v>1005371</v>
      </c>
      <c r="F251" s="58" t="s">
        <v>2513</v>
      </c>
      <c r="G251" s="58" t="s">
        <v>2672</v>
      </c>
      <c r="H251" s="10">
        <v>3</v>
      </c>
      <c r="I251" s="10">
        <v>2</v>
      </c>
      <c r="J251" s="101">
        <f t="shared" si="14"/>
        <v>1</v>
      </c>
      <c r="K251" s="58" t="s">
        <v>2451</v>
      </c>
      <c r="L251" s="58" t="s">
        <v>2452</v>
      </c>
    </row>
    <row r="252" customFormat="1" hidden="1" spans="1:12">
      <c r="A252" t="str">
        <f t="shared" si="13"/>
        <v>加拿大七店1301045770457常温</v>
      </c>
      <c r="B252" s="84" t="s">
        <v>636</v>
      </c>
      <c r="C252" s="84"/>
      <c r="D252" s="57">
        <v>13010457</v>
      </c>
      <c r="E252" s="57">
        <v>70457</v>
      </c>
      <c r="F252" s="58" t="s">
        <v>2375</v>
      </c>
      <c r="G252" s="58" t="s">
        <v>2672</v>
      </c>
      <c r="H252" s="10">
        <v>7</v>
      </c>
      <c r="I252" s="10">
        <v>0</v>
      </c>
      <c r="J252" s="101">
        <f t="shared" si="14"/>
        <v>7</v>
      </c>
      <c r="K252" s="58" t="s">
        <v>2451</v>
      </c>
      <c r="L252" s="58" t="s">
        <v>2452</v>
      </c>
    </row>
    <row r="253" customFormat="1" hidden="1" spans="1:12">
      <c r="A253" t="str">
        <f t="shared" si="13"/>
        <v>加拿大七店1412000184001整份</v>
      </c>
      <c r="B253" s="84" t="s">
        <v>636</v>
      </c>
      <c r="C253" s="84"/>
      <c r="D253" s="57">
        <v>14120001</v>
      </c>
      <c r="E253" s="57">
        <v>84001</v>
      </c>
      <c r="F253" s="58" t="s">
        <v>2594</v>
      </c>
      <c r="G253" s="58" t="s">
        <v>2436</v>
      </c>
      <c r="H253" s="10">
        <v>2</v>
      </c>
      <c r="I253" s="10">
        <v>0</v>
      </c>
      <c r="J253" s="101">
        <f t="shared" si="14"/>
        <v>2</v>
      </c>
      <c r="K253" s="58" t="s">
        <v>2466</v>
      </c>
      <c r="L253" s="58" t="s">
        <v>2467</v>
      </c>
    </row>
    <row r="254" customFormat="1" hidden="1" spans="1:12">
      <c r="A254" t="str">
        <f t="shared" si="13"/>
        <v>加拿大七店1412000184001整份</v>
      </c>
      <c r="B254" s="84" t="s">
        <v>636</v>
      </c>
      <c r="C254" s="84" t="str">
        <f>D254&amp;G254</f>
        <v>14120001整份</v>
      </c>
      <c r="D254" s="57">
        <v>14120001</v>
      </c>
      <c r="E254" s="57">
        <v>84001</v>
      </c>
      <c r="F254" s="58" t="s">
        <v>2594</v>
      </c>
      <c r="G254" s="58" t="s">
        <v>2436</v>
      </c>
      <c r="H254" s="10">
        <v>1</v>
      </c>
      <c r="I254" s="10">
        <v>0</v>
      </c>
      <c r="J254" s="101">
        <f t="shared" si="14"/>
        <v>1</v>
      </c>
      <c r="K254" s="58" t="s">
        <v>2466</v>
      </c>
      <c r="L254" s="58" t="s">
        <v>2467</v>
      </c>
    </row>
    <row r="255" customFormat="1" hidden="1" spans="1:12">
      <c r="A255" t="str">
        <f t="shared" si="13"/>
        <v>加拿大七店1412000184001整份</v>
      </c>
      <c r="B255" s="84" t="s">
        <v>636</v>
      </c>
      <c r="C255" s="84"/>
      <c r="D255" s="57">
        <v>14120001</v>
      </c>
      <c r="E255" s="57">
        <v>84001</v>
      </c>
      <c r="F255" s="58" t="s">
        <v>2594</v>
      </c>
      <c r="G255" s="58" t="s">
        <v>2436</v>
      </c>
      <c r="H255" s="10">
        <v>1</v>
      </c>
      <c r="I255" s="10">
        <v>0</v>
      </c>
      <c r="J255" s="101">
        <f t="shared" si="14"/>
        <v>1</v>
      </c>
      <c r="K255" s="58" t="s">
        <v>2466</v>
      </c>
      <c r="L255" s="58" t="s">
        <v>2467</v>
      </c>
    </row>
    <row r="256" customFormat="1" hidden="1" spans="1:12">
      <c r="A256" t="str">
        <f t="shared" si="13"/>
        <v>加拿大七店1412000184001整份</v>
      </c>
      <c r="B256" s="84" t="s">
        <v>636</v>
      </c>
      <c r="C256" s="84" t="str">
        <f>D256&amp;G256</f>
        <v>14120001整份</v>
      </c>
      <c r="D256" s="57">
        <v>14120001</v>
      </c>
      <c r="E256" s="57">
        <v>84001</v>
      </c>
      <c r="F256" s="58" t="s">
        <v>2594</v>
      </c>
      <c r="G256" s="58" t="s">
        <v>2436</v>
      </c>
      <c r="H256" s="10">
        <v>1</v>
      </c>
      <c r="I256" s="10">
        <v>0</v>
      </c>
      <c r="J256" s="101">
        <f t="shared" si="14"/>
        <v>1</v>
      </c>
      <c r="K256" s="58" t="s">
        <v>2466</v>
      </c>
      <c r="L256" s="58" t="s">
        <v>2467</v>
      </c>
    </row>
    <row r="257" customFormat="1" hidden="1" spans="1:12">
      <c r="A257" t="str">
        <f t="shared" si="13"/>
        <v>加拿大七店1412000184001整份</v>
      </c>
      <c r="B257" s="84" t="s">
        <v>636</v>
      </c>
      <c r="C257" s="84"/>
      <c r="D257" s="57">
        <v>14120001</v>
      </c>
      <c r="E257" s="57">
        <v>84001</v>
      </c>
      <c r="F257" s="58" t="s">
        <v>2594</v>
      </c>
      <c r="G257" s="58" t="s">
        <v>2436</v>
      </c>
      <c r="H257" s="10">
        <v>1</v>
      </c>
      <c r="I257" s="10">
        <v>0</v>
      </c>
      <c r="J257" s="101">
        <f t="shared" si="14"/>
        <v>1</v>
      </c>
      <c r="K257" s="58" t="s">
        <v>2466</v>
      </c>
      <c r="L257" s="58" t="s">
        <v>2467</v>
      </c>
    </row>
    <row r="258" customFormat="1" hidden="1" spans="1:12">
      <c r="A258" t="str">
        <f t="shared" ref="A258:A284" si="17">B258&amp;D258&amp;E258&amp;G258</f>
        <v>加拿大七店1412000184001整份</v>
      </c>
      <c r="B258" s="84" t="s">
        <v>636</v>
      </c>
      <c r="C258" s="84" t="str">
        <f>D258&amp;G258</f>
        <v>14120001整份</v>
      </c>
      <c r="D258" s="57">
        <v>14120001</v>
      </c>
      <c r="E258" s="57">
        <v>84001</v>
      </c>
      <c r="F258" s="58" t="s">
        <v>2594</v>
      </c>
      <c r="G258" s="58" t="s">
        <v>2436</v>
      </c>
      <c r="H258" s="10">
        <v>1</v>
      </c>
      <c r="I258" s="10">
        <v>0</v>
      </c>
      <c r="J258" s="101">
        <f t="shared" si="14"/>
        <v>1</v>
      </c>
      <c r="K258" s="58" t="s">
        <v>2466</v>
      </c>
      <c r="L258" s="58" t="s">
        <v>2467</v>
      </c>
    </row>
    <row r="259" customFormat="1" spans="1:12">
      <c r="A259" t="str">
        <f t="shared" si="17"/>
        <v>加拿大七店1304016273162常温</v>
      </c>
      <c r="B259" s="84" t="s">
        <v>636</v>
      </c>
      <c r="C259" s="84" t="str">
        <f>D259&amp;G259</f>
        <v>13040162常温</v>
      </c>
      <c r="D259" s="57">
        <v>13040162</v>
      </c>
      <c r="E259" s="57">
        <v>73162</v>
      </c>
      <c r="F259" s="58" t="s">
        <v>2389</v>
      </c>
      <c r="G259" s="58" t="s">
        <v>2672</v>
      </c>
      <c r="H259" s="10">
        <v>8</v>
      </c>
      <c r="I259" s="10">
        <v>0</v>
      </c>
      <c r="J259" s="101">
        <f t="shared" ref="J259:J317" si="18">H259-I259</f>
        <v>8</v>
      </c>
      <c r="K259" s="58" t="s">
        <v>2451</v>
      </c>
      <c r="L259" s="58" t="s">
        <v>2627</v>
      </c>
    </row>
    <row r="260" customFormat="1" hidden="1" spans="1:12">
      <c r="A260" t="str">
        <f t="shared" si="17"/>
        <v>加拿大七店1301044570445冰镇</v>
      </c>
      <c r="B260" s="84" t="s">
        <v>636</v>
      </c>
      <c r="C260" s="84"/>
      <c r="D260" s="57">
        <v>13010445</v>
      </c>
      <c r="E260" s="57">
        <v>70445</v>
      </c>
      <c r="F260" s="58" t="s">
        <v>2371</v>
      </c>
      <c r="G260" s="58" t="s">
        <v>2450</v>
      </c>
      <c r="H260" s="10">
        <v>157</v>
      </c>
      <c r="I260" s="10">
        <v>1</v>
      </c>
      <c r="J260" s="101">
        <f t="shared" si="18"/>
        <v>156</v>
      </c>
      <c r="K260" s="58" t="s">
        <v>2451</v>
      </c>
      <c r="L260" s="58" t="s">
        <v>2452</v>
      </c>
    </row>
    <row r="261" customFormat="1" hidden="1" spans="1:12">
      <c r="A261" t="str">
        <f t="shared" si="17"/>
        <v>加拿大七店1060064单锅</v>
      </c>
      <c r="B261" s="84" t="s">
        <v>636</v>
      </c>
      <c r="C261" s="84"/>
      <c r="D261" s="57">
        <v>1060064</v>
      </c>
      <c r="E261" s="58" t="s">
        <v>641</v>
      </c>
      <c r="F261" s="58" t="s">
        <v>2342</v>
      </c>
      <c r="G261" s="58" t="s">
        <v>2507</v>
      </c>
      <c r="H261" s="10">
        <v>9</v>
      </c>
      <c r="I261" s="10">
        <v>1</v>
      </c>
      <c r="J261" s="101">
        <f t="shared" si="18"/>
        <v>8</v>
      </c>
      <c r="K261" s="58" t="s">
        <v>2458</v>
      </c>
      <c r="L261" s="58" t="s">
        <v>2508</v>
      </c>
    </row>
    <row r="262" customFormat="1" hidden="1" spans="1:12">
      <c r="A262" t="str">
        <f t="shared" si="17"/>
        <v>加拿大七店1412000184001整份</v>
      </c>
      <c r="B262" s="84" t="s">
        <v>636</v>
      </c>
      <c r="C262" s="84" t="str">
        <f>D262&amp;G262</f>
        <v>14120001整份</v>
      </c>
      <c r="D262" s="57">
        <v>14120001</v>
      </c>
      <c r="E262" s="57">
        <v>84001</v>
      </c>
      <c r="F262" s="58" t="s">
        <v>2594</v>
      </c>
      <c r="G262" s="58" t="s">
        <v>2436</v>
      </c>
      <c r="H262" s="10">
        <v>2</v>
      </c>
      <c r="I262" s="10">
        <v>0</v>
      </c>
      <c r="J262" s="101">
        <f t="shared" si="18"/>
        <v>2</v>
      </c>
      <c r="K262" s="58" t="s">
        <v>2466</v>
      </c>
      <c r="L262" s="58" t="s">
        <v>2467</v>
      </c>
    </row>
    <row r="263" customFormat="1" hidden="1" spans="1:12">
      <c r="A263" t="str">
        <f t="shared" si="17"/>
        <v>加拿大七店1412000184001整份</v>
      </c>
      <c r="B263" s="84" t="s">
        <v>636</v>
      </c>
      <c r="C263" s="84" t="str">
        <f>D263&amp;G263</f>
        <v>14120001整份</v>
      </c>
      <c r="D263" s="57">
        <v>14120001</v>
      </c>
      <c r="E263" s="57">
        <v>84001</v>
      </c>
      <c r="F263" s="58" t="s">
        <v>2594</v>
      </c>
      <c r="G263" s="58" t="s">
        <v>2436</v>
      </c>
      <c r="H263" s="10">
        <v>1</v>
      </c>
      <c r="I263" s="10">
        <v>0</v>
      </c>
      <c r="J263" s="101">
        <f t="shared" si="18"/>
        <v>1</v>
      </c>
      <c r="K263" s="58" t="s">
        <v>2466</v>
      </c>
      <c r="L263" s="58" t="s">
        <v>2467</v>
      </c>
    </row>
    <row r="264" customFormat="1" hidden="1" spans="1:12">
      <c r="A264" t="str">
        <f t="shared" si="17"/>
        <v>加拿大七店1412000184001整份</v>
      </c>
      <c r="B264" s="84" t="s">
        <v>636</v>
      </c>
      <c r="C264" s="84" t="str">
        <f>D264&amp;G264</f>
        <v>14120001整份</v>
      </c>
      <c r="D264" s="57">
        <v>14120001</v>
      </c>
      <c r="E264" s="57">
        <v>84001</v>
      </c>
      <c r="F264" s="58" t="s">
        <v>2594</v>
      </c>
      <c r="G264" s="58" t="s">
        <v>2436</v>
      </c>
      <c r="H264" s="10">
        <v>1</v>
      </c>
      <c r="I264" s="10">
        <v>0</v>
      </c>
      <c r="J264" s="101">
        <f t="shared" si="18"/>
        <v>1</v>
      </c>
      <c r="K264" s="58" t="s">
        <v>2466</v>
      </c>
      <c r="L264" s="58" t="s">
        <v>2467</v>
      </c>
    </row>
    <row r="265" customFormat="1" hidden="1" spans="1:12">
      <c r="A265" t="str">
        <f t="shared" si="17"/>
        <v>加拿大七店1412000184001整份</v>
      </c>
      <c r="B265" s="84" t="s">
        <v>636</v>
      </c>
      <c r="C265" s="84" t="str">
        <f>D265&amp;G265</f>
        <v>14120001整份</v>
      </c>
      <c r="D265" s="57">
        <v>14120001</v>
      </c>
      <c r="E265" s="57">
        <v>84001</v>
      </c>
      <c r="F265" s="58" t="s">
        <v>2594</v>
      </c>
      <c r="G265" s="58" t="s">
        <v>2436</v>
      </c>
      <c r="H265" s="10">
        <v>1</v>
      </c>
      <c r="I265" s="10">
        <v>0</v>
      </c>
      <c r="J265" s="101">
        <f t="shared" si="18"/>
        <v>1</v>
      </c>
      <c r="K265" s="58" t="s">
        <v>2466</v>
      </c>
      <c r="L265" s="58" t="s">
        <v>2467</v>
      </c>
    </row>
    <row r="266" customFormat="1" hidden="1" spans="1:12">
      <c r="A266" t="str">
        <f t="shared" si="17"/>
        <v>加拿大七店1412000184001整份</v>
      </c>
      <c r="B266" s="84" t="s">
        <v>636</v>
      </c>
      <c r="C266" s="84"/>
      <c r="D266" s="57">
        <v>14120001</v>
      </c>
      <c r="E266" s="57">
        <v>84001</v>
      </c>
      <c r="F266" s="58" t="s">
        <v>2594</v>
      </c>
      <c r="G266" s="58" t="s">
        <v>2436</v>
      </c>
      <c r="H266" s="10">
        <v>1</v>
      </c>
      <c r="I266" s="10">
        <v>0</v>
      </c>
      <c r="J266" s="101">
        <f t="shared" si="18"/>
        <v>1</v>
      </c>
      <c r="K266" s="58" t="s">
        <v>2466</v>
      </c>
      <c r="L266" s="58" t="s">
        <v>2467</v>
      </c>
    </row>
    <row r="267" customFormat="1" hidden="1" spans="1:12">
      <c r="A267" t="str">
        <f t="shared" si="17"/>
        <v>加拿大七店1412000184001整份</v>
      </c>
      <c r="B267" s="84" t="s">
        <v>636</v>
      </c>
      <c r="C267" s="84"/>
      <c r="D267" s="57">
        <v>14120001</v>
      </c>
      <c r="E267" s="57">
        <v>84001</v>
      </c>
      <c r="F267" s="58" t="s">
        <v>2594</v>
      </c>
      <c r="G267" s="58" t="s">
        <v>2436</v>
      </c>
      <c r="H267" s="10">
        <v>1</v>
      </c>
      <c r="I267" s="10">
        <v>0</v>
      </c>
      <c r="J267" s="101">
        <f t="shared" si="18"/>
        <v>1</v>
      </c>
      <c r="K267" s="58" t="s">
        <v>2466</v>
      </c>
      <c r="L267" s="58" t="s">
        <v>2467</v>
      </c>
    </row>
    <row r="268" customFormat="1" hidden="1" spans="1:12">
      <c r="A268" t="str">
        <f t="shared" si="17"/>
        <v>加拿大七店1002058041625整份</v>
      </c>
      <c r="B268" s="84" t="s">
        <v>636</v>
      </c>
      <c r="C268" s="84"/>
      <c r="D268" s="57">
        <v>10020580</v>
      </c>
      <c r="E268" s="57">
        <v>41625</v>
      </c>
      <c r="F268" s="58" t="s">
        <v>2679</v>
      </c>
      <c r="G268" s="58" t="s">
        <v>2436</v>
      </c>
      <c r="H268" s="10">
        <v>86</v>
      </c>
      <c r="I268" s="10">
        <v>2</v>
      </c>
      <c r="J268" s="101">
        <f t="shared" si="18"/>
        <v>84</v>
      </c>
      <c r="K268" s="58" t="s">
        <v>2445</v>
      </c>
      <c r="L268" s="58" t="s">
        <v>2446</v>
      </c>
    </row>
    <row r="269" customFormat="1" hidden="1" spans="1:12">
      <c r="A269" t="str">
        <f t="shared" si="17"/>
        <v>加拿大七店1412000184001整份</v>
      </c>
      <c r="B269" s="84" t="s">
        <v>636</v>
      </c>
      <c r="C269" s="84" t="str">
        <f>D269&amp;G269</f>
        <v>14120001整份</v>
      </c>
      <c r="D269" s="57">
        <v>14120001</v>
      </c>
      <c r="E269" s="57">
        <v>84001</v>
      </c>
      <c r="F269" s="58" t="s">
        <v>2594</v>
      </c>
      <c r="G269" s="58" t="s">
        <v>2436</v>
      </c>
      <c r="H269" s="10">
        <v>34</v>
      </c>
      <c r="I269" s="10">
        <v>0</v>
      </c>
      <c r="J269" s="101">
        <f t="shared" si="18"/>
        <v>34</v>
      </c>
      <c r="K269" s="58" t="s">
        <v>2466</v>
      </c>
      <c r="L269" s="58" t="s">
        <v>2467</v>
      </c>
    </row>
    <row r="270" customFormat="1" hidden="1" spans="1:12">
      <c r="A270" t="str">
        <f t="shared" si="17"/>
        <v>加拿大七店1412000184001整份</v>
      </c>
      <c r="B270" s="84" t="s">
        <v>636</v>
      </c>
      <c r="C270" s="84"/>
      <c r="D270" s="57">
        <v>14120001</v>
      </c>
      <c r="E270" s="57">
        <v>84001</v>
      </c>
      <c r="F270" s="58" t="s">
        <v>2594</v>
      </c>
      <c r="G270" s="58" t="s">
        <v>2436</v>
      </c>
      <c r="H270" s="10">
        <v>1</v>
      </c>
      <c r="I270" s="10">
        <v>0</v>
      </c>
      <c r="J270" s="101">
        <f t="shared" si="18"/>
        <v>1</v>
      </c>
      <c r="K270" s="58" t="s">
        <v>2466</v>
      </c>
      <c r="L270" s="58" t="s">
        <v>2467</v>
      </c>
    </row>
    <row r="271" customFormat="1" hidden="1" spans="1:12">
      <c r="A271" t="str">
        <f t="shared" si="17"/>
        <v>加拿大七店1412000184001整份</v>
      </c>
      <c r="B271" s="84" t="s">
        <v>636</v>
      </c>
      <c r="C271" s="84" t="str">
        <f>D271&amp;G271</f>
        <v>14120001整份</v>
      </c>
      <c r="D271" s="57">
        <v>14120001</v>
      </c>
      <c r="E271" s="57">
        <v>84001</v>
      </c>
      <c r="F271" s="58" t="s">
        <v>2594</v>
      </c>
      <c r="G271" s="58" t="s">
        <v>2436</v>
      </c>
      <c r="H271" s="10">
        <v>1</v>
      </c>
      <c r="I271" s="10">
        <v>0</v>
      </c>
      <c r="J271" s="101">
        <f t="shared" si="18"/>
        <v>1</v>
      </c>
      <c r="K271" s="58" t="s">
        <v>2466</v>
      </c>
      <c r="L271" s="58" t="s">
        <v>2467</v>
      </c>
    </row>
    <row r="272" customFormat="1" hidden="1" spans="1:12">
      <c r="A272" t="str">
        <f t="shared" si="17"/>
        <v>加拿大七店1412000184001整份</v>
      </c>
      <c r="B272" s="84" t="s">
        <v>636</v>
      </c>
      <c r="C272" s="84" t="str">
        <f>D272&amp;G272</f>
        <v>14120001整份</v>
      </c>
      <c r="D272" s="57">
        <v>14120001</v>
      </c>
      <c r="E272" s="57">
        <v>84001</v>
      </c>
      <c r="F272" s="58" t="s">
        <v>2594</v>
      </c>
      <c r="G272" s="58" t="s">
        <v>2436</v>
      </c>
      <c r="H272" s="10">
        <v>1</v>
      </c>
      <c r="I272" s="10">
        <v>0</v>
      </c>
      <c r="J272" s="101">
        <f t="shared" si="18"/>
        <v>1</v>
      </c>
      <c r="K272" s="58" t="s">
        <v>2466</v>
      </c>
      <c r="L272" s="58" t="s">
        <v>2467</v>
      </c>
    </row>
    <row r="273" customFormat="1" hidden="1" spans="1:12">
      <c r="A273" t="str">
        <f t="shared" si="17"/>
        <v>加拿大七店1412000184001整份</v>
      </c>
      <c r="B273" s="84" t="s">
        <v>636</v>
      </c>
      <c r="C273" s="84" t="str">
        <f>D273&amp;G273</f>
        <v>14120001整份</v>
      </c>
      <c r="D273" s="57">
        <v>14120001</v>
      </c>
      <c r="E273" s="57">
        <v>84001</v>
      </c>
      <c r="F273" s="58" t="s">
        <v>2594</v>
      </c>
      <c r="G273" s="58" t="s">
        <v>2436</v>
      </c>
      <c r="H273" s="10">
        <v>1</v>
      </c>
      <c r="I273" s="10">
        <v>0</v>
      </c>
      <c r="J273" s="101">
        <f t="shared" si="18"/>
        <v>1</v>
      </c>
      <c r="K273" s="58" t="s">
        <v>2466</v>
      </c>
      <c r="L273" s="58" t="s">
        <v>2467</v>
      </c>
    </row>
    <row r="274" customFormat="1" hidden="1" spans="1:12">
      <c r="A274" t="str">
        <f t="shared" si="17"/>
        <v>加拿大七店1412000184001整份</v>
      </c>
      <c r="B274" s="84" t="s">
        <v>636</v>
      </c>
      <c r="C274" s="84"/>
      <c r="D274" s="57">
        <v>14120001</v>
      </c>
      <c r="E274" s="57">
        <v>84001</v>
      </c>
      <c r="F274" s="58" t="s">
        <v>2594</v>
      </c>
      <c r="G274" s="58" t="s">
        <v>2436</v>
      </c>
      <c r="H274" s="10">
        <v>1</v>
      </c>
      <c r="I274" s="10">
        <v>0</v>
      </c>
      <c r="J274" s="101">
        <f t="shared" si="18"/>
        <v>1</v>
      </c>
      <c r="K274" s="58" t="s">
        <v>2466</v>
      </c>
      <c r="L274" s="58" t="s">
        <v>2467</v>
      </c>
    </row>
    <row r="275" customFormat="1" hidden="1" spans="1:12">
      <c r="A275" t="str">
        <f t="shared" si="17"/>
        <v>加拿大七店1003009342093整份</v>
      </c>
      <c r="B275" s="84" t="s">
        <v>636</v>
      </c>
      <c r="C275" s="84" t="str">
        <f>D275&amp;G275</f>
        <v>10030093整份</v>
      </c>
      <c r="D275" s="57">
        <v>10030093</v>
      </c>
      <c r="E275" s="57">
        <v>42093</v>
      </c>
      <c r="F275" s="58" t="s">
        <v>2680</v>
      </c>
      <c r="G275" s="58" t="s">
        <v>2436</v>
      </c>
      <c r="H275" s="10">
        <v>1</v>
      </c>
      <c r="I275" s="10">
        <v>1</v>
      </c>
      <c r="J275" s="101">
        <f t="shared" si="18"/>
        <v>0</v>
      </c>
      <c r="K275" s="58" t="s">
        <v>2445</v>
      </c>
      <c r="L275" s="58" t="s">
        <v>2449</v>
      </c>
    </row>
    <row r="276" customFormat="1" spans="1:12">
      <c r="A276" t="str">
        <f t="shared" si="17"/>
        <v>加拿大七店130402641004399常温</v>
      </c>
      <c r="B276" s="84" t="s">
        <v>636</v>
      </c>
      <c r="C276" s="84"/>
      <c r="D276" s="57">
        <v>13040264</v>
      </c>
      <c r="E276" s="57">
        <v>1004399</v>
      </c>
      <c r="F276" s="58" t="s">
        <v>2391</v>
      </c>
      <c r="G276" s="58" t="s">
        <v>2672</v>
      </c>
      <c r="H276" s="10">
        <v>5</v>
      </c>
      <c r="I276" s="10">
        <v>0</v>
      </c>
      <c r="J276" s="101">
        <f t="shared" si="18"/>
        <v>5</v>
      </c>
      <c r="K276" s="58" t="s">
        <v>2451</v>
      </c>
      <c r="L276" s="58" t="s">
        <v>2627</v>
      </c>
    </row>
    <row r="277" customFormat="1" hidden="1" spans="1:12">
      <c r="A277" t="str">
        <f t="shared" si="17"/>
        <v>加拿大七店1301044570445常温</v>
      </c>
      <c r="B277" s="84" t="s">
        <v>636</v>
      </c>
      <c r="C277" s="84" t="str">
        <f>D277&amp;G277</f>
        <v>13010445常温</v>
      </c>
      <c r="D277" s="57">
        <v>13010445</v>
      </c>
      <c r="E277" s="57">
        <v>70445</v>
      </c>
      <c r="F277" s="58" t="s">
        <v>2371</v>
      </c>
      <c r="G277" s="58" t="s">
        <v>2672</v>
      </c>
      <c r="H277" s="10">
        <v>20</v>
      </c>
      <c r="I277" s="10">
        <v>0</v>
      </c>
      <c r="J277" s="101">
        <f t="shared" si="18"/>
        <v>20</v>
      </c>
      <c r="K277" s="58" t="s">
        <v>2451</v>
      </c>
      <c r="L277" s="58" t="s">
        <v>2452</v>
      </c>
    </row>
    <row r="278" customFormat="1" hidden="1" spans="1:12">
      <c r="A278" t="str">
        <f t="shared" si="17"/>
        <v>加拿大七店1412000184001整份</v>
      </c>
      <c r="B278" s="84" t="s">
        <v>636</v>
      </c>
      <c r="C278" s="84" t="str">
        <f>D278&amp;G278</f>
        <v>14120001整份</v>
      </c>
      <c r="D278" s="57">
        <v>14120001</v>
      </c>
      <c r="E278" s="57">
        <v>84001</v>
      </c>
      <c r="F278" s="58" t="s">
        <v>2594</v>
      </c>
      <c r="G278" s="58" t="s">
        <v>2436</v>
      </c>
      <c r="H278" s="10">
        <v>1</v>
      </c>
      <c r="I278" s="10">
        <v>0</v>
      </c>
      <c r="J278" s="101">
        <f t="shared" si="18"/>
        <v>1</v>
      </c>
      <c r="K278" s="58" t="s">
        <v>2466</v>
      </c>
      <c r="L278" s="58" t="s">
        <v>2467</v>
      </c>
    </row>
    <row r="279" customFormat="1" hidden="1" spans="1:12">
      <c r="A279" t="str">
        <f t="shared" si="17"/>
        <v>加拿大七店1412000184001整份</v>
      </c>
      <c r="B279" s="84" t="s">
        <v>636</v>
      </c>
      <c r="C279" s="84" t="str">
        <f>D279&amp;G279</f>
        <v>14120001整份</v>
      </c>
      <c r="D279" s="57">
        <v>14120001</v>
      </c>
      <c r="E279" s="57">
        <v>84001</v>
      </c>
      <c r="F279" s="58" t="s">
        <v>2594</v>
      </c>
      <c r="G279" s="58" t="s">
        <v>2436</v>
      </c>
      <c r="H279" s="10">
        <v>1</v>
      </c>
      <c r="I279" s="10">
        <v>0</v>
      </c>
      <c r="J279" s="101">
        <f t="shared" si="18"/>
        <v>1</v>
      </c>
      <c r="K279" s="58" t="s">
        <v>2466</v>
      </c>
      <c r="L279" s="58" t="s">
        <v>2467</v>
      </c>
    </row>
    <row r="280" customFormat="1" hidden="1" spans="1:12">
      <c r="A280" t="str">
        <f t="shared" si="17"/>
        <v>加拿大七店1412000184001整份</v>
      </c>
      <c r="B280" s="84" t="s">
        <v>636</v>
      </c>
      <c r="C280" s="84"/>
      <c r="D280" s="57">
        <v>14120001</v>
      </c>
      <c r="E280" s="57">
        <v>84001</v>
      </c>
      <c r="F280" s="58" t="s">
        <v>2594</v>
      </c>
      <c r="G280" s="58" t="s">
        <v>2436</v>
      </c>
      <c r="H280" s="10">
        <v>1</v>
      </c>
      <c r="I280" s="10">
        <v>0</v>
      </c>
      <c r="J280" s="101">
        <f t="shared" si="18"/>
        <v>1</v>
      </c>
      <c r="K280" s="58" t="s">
        <v>2466</v>
      </c>
      <c r="L280" s="58" t="s">
        <v>2467</v>
      </c>
    </row>
    <row r="281" customFormat="1" hidden="1" spans="1:12">
      <c r="A281" t="str">
        <f t="shared" si="17"/>
        <v>加拿大七店1412000184001整份</v>
      </c>
      <c r="B281" s="84" t="s">
        <v>636</v>
      </c>
      <c r="C281" s="84" t="str">
        <f>D281&amp;G281</f>
        <v>14120001整份</v>
      </c>
      <c r="D281" s="57">
        <v>14120001</v>
      </c>
      <c r="E281" s="57">
        <v>84001</v>
      </c>
      <c r="F281" s="58" t="s">
        <v>2594</v>
      </c>
      <c r="G281" s="58" t="s">
        <v>2436</v>
      </c>
      <c r="H281" s="10">
        <v>1</v>
      </c>
      <c r="I281" s="10">
        <v>0</v>
      </c>
      <c r="J281" s="101">
        <f t="shared" si="18"/>
        <v>1</v>
      </c>
      <c r="K281" s="58" t="s">
        <v>2466</v>
      </c>
      <c r="L281" s="58" t="s">
        <v>2467</v>
      </c>
    </row>
    <row r="282" customFormat="1" hidden="1" spans="1:12">
      <c r="A282" t="str">
        <f t="shared" si="17"/>
        <v>加拿大七店1412000184001整份</v>
      </c>
      <c r="B282" s="84" t="s">
        <v>636</v>
      </c>
      <c r="C282" s="84" t="str">
        <f>D282&amp;G282</f>
        <v>14120001整份</v>
      </c>
      <c r="D282" s="57">
        <v>14120001</v>
      </c>
      <c r="E282" s="57">
        <v>84001</v>
      </c>
      <c r="F282" s="58" t="s">
        <v>2594</v>
      </c>
      <c r="G282" s="58" t="s">
        <v>2436</v>
      </c>
      <c r="H282" s="10">
        <v>1</v>
      </c>
      <c r="I282" s="10">
        <v>0</v>
      </c>
      <c r="J282" s="101">
        <f t="shared" si="18"/>
        <v>1</v>
      </c>
      <c r="K282" s="58" t="s">
        <v>2466</v>
      </c>
      <c r="L282" s="58" t="s">
        <v>2467</v>
      </c>
    </row>
    <row r="283" customFormat="1" hidden="1" spans="1:12">
      <c r="A283" t="str">
        <f t="shared" si="17"/>
        <v>加拿大七店1412000184001整份</v>
      </c>
      <c r="B283" s="84" t="s">
        <v>636</v>
      </c>
      <c r="C283" s="84"/>
      <c r="D283" s="57">
        <v>14120001</v>
      </c>
      <c r="E283" s="57">
        <v>84001</v>
      </c>
      <c r="F283" s="58" t="s">
        <v>2594</v>
      </c>
      <c r="G283" s="58" t="s">
        <v>2436</v>
      </c>
      <c r="H283" s="10">
        <v>1</v>
      </c>
      <c r="I283" s="10">
        <v>0</v>
      </c>
      <c r="J283" s="101">
        <f t="shared" si="18"/>
        <v>1</v>
      </c>
      <c r="K283" s="58" t="s">
        <v>2466</v>
      </c>
      <c r="L283" s="58" t="s">
        <v>2467</v>
      </c>
    </row>
    <row r="284" customFormat="1" hidden="1" spans="1:12">
      <c r="A284" t="str">
        <f t="shared" si="17"/>
        <v>加拿大七店1401008580055整份</v>
      </c>
      <c r="B284" s="84" t="s">
        <v>636</v>
      </c>
      <c r="C284" s="84"/>
      <c r="D284" s="57">
        <v>14010085</v>
      </c>
      <c r="E284" s="57">
        <v>80055</v>
      </c>
      <c r="F284" s="58" t="s">
        <v>2681</v>
      </c>
      <c r="G284" s="58" t="s">
        <v>2436</v>
      </c>
      <c r="H284" s="10">
        <v>95</v>
      </c>
      <c r="I284" s="10">
        <v>1</v>
      </c>
      <c r="J284" s="101">
        <f t="shared" si="18"/>
        <v>94</v>
      </c>
      <c r="K284" s="58" t="s">
        <v>2466</v>
      </c>
      <c r="L284" s="58" t="s">
        <v>2467</v>
      </c>
    </row>
    <row r="285" hidden="1" spans="1:12">
      <c r="A285" t="str">
        <f t="shared" ref="A285:A323" si="19">B285&amp;D285&amp;E285&amp;G285</f>
        <v>加拿大七店70000769单锅</v>
      </c>
      <c r="B285" s="84" t="s">
        <v>636</v>
      </c>
      <c r="C285" s="84" t="str">
        <f>D285&amp;G285</f>
        <v>70000769单锅</v>
      </c>
      <c r="D285" s="57">
        <v>70000769</v>
      </c>
      <c r="E285" s="58" t="s">
        <v>641</v>
      </c>
      <c r="F285" s="58" t="s">
        <v>2462</v>
      </c>
      <c r="G285" s="58" t="s">
        <v>2507</v>
      </c>
      <c r="H285" s="10">
        <v>9</v>
      </c>
      <c r="I285" s="10">
        <v>1</v>
      </c>
      <c r="J285" s="101">
        <f t="shared" si="18"/>
        <v>8</v>
      </c>
      <c r="K285" s="58" t="s">
        <v>2458</v>
      </c>
      <c r="L285" s="58" t="s">
        <v>2508</v>
      </c>
    </row>
    <row r="286" hidden="1" spans="1:12">
      <c r="A286" t="str">
        <f t="shared" si="19"/>
        <v>加拿大七店903018933253整份</v>
      </c>
      <c r="B286" s="84" t="s">
        <v>636</v>
      </c>
      <c r="C286" s="84"/>
      <c r="D286" s="57">
        <v>9030189</v>
      </c>
      <c r="E286" s="57">
        <v>33253</v>
      </c>
      <c r="F286" s="58" t="s">
        <v>2682</v>
      </c>
      <c r="G286" s="58" t="s">
        <v>2436</v>
      </c>
      <c r="H286" s="10">
        <v>1</v>
      </c>
      <c r="I286" s="10">
        <v>0</v>
      </c>
      <c r="J286" s="101">
        <f t="shared" si="18"/>
        <v>1</v>
      </c>
      <c r="K286" s="58" t="s">
        <v>2437</v>
      </c>
      <c r="L286" s="58" t="s">
        <v>2464</v>
      </c>
    </row>
    <row r="287" hidden="1" spans="1:12">
      <c r="A287" t="str">
        <f t="shared" si="19"/>
        <v>加拿大七店1412000184001整份</v>
      </c>
      <c r="B287" s="84" t="s">
        <v>636</v>
      </c>
      <c r="C287" s="84" t="str">
        <f>D287&amp;G287</f>
        <v>14120001整份</v>
      </c>
      <c r="D287" s="57">
        <v>14120001</v>
      </c>
      <c r="E287" s="57">
        <v>84001</v>
      </c>
      <c r="F287" s="58" t="s">
        <v>2594</v>
      </c>
      <c r="G287" s="58" t="s">
        <v>2436</v>
      </c>
      <c r="H287" s="10">
        <v>1</v>
      </c>
      <c r="I287" s="10">
        <v>0</v>
      </c>
      <c r="J287" s="101">
        <f t="shared" si="18"/>
        <v>1</v>
      </c>
      <c r="K287" s="58" t="s">
        <v>2466</v>
      </c>
      <c r="L287" s="58" t="s">
        <v>2467</v>
      </c>
    </row>
    <row r="288" hidden="1" spans="1:12">
      <c r="A288" t="str">
        <f t="shared" si="19"/>
        <v>加拿大七店1412000184001整份</v>
      </c>
      <c r="B288" s="84" t="s">
        <v>636</v>
      </c>
      <c r="C288" s="84" t="str">
        <f t="shared" ref="C288:C297" si="20">D288&amp;G288</f>
        <v>14120001整份</v>
      </c>
      <c r="D288" s="57">
        <v>14120001</v>
      </c>
      <c r="E288" s="57">
        <v>84001</v>
      </c>
      <c r="F288" s="58" t="s">
        <v>2594</v>
      </c>
      <c r="G288" s="58" t="s">
        <v>2436</v>
      </c>
      <c r="H288" s="10">
        <v>1</v>
      </c>
      <c r="I288" s="10">
        <v>0</v>
      </c>
      <c r="J288" s="101">
        <f t="shared" si="18"/>
        <v>1</v>
      </c>
      <c r="K288" s="58" t="s">
        <v>2466</v>
      </c>
      <c r="L288" s="58" t="s">
        <v>2467</v>
      </c>
    </row>
    <row r="289" hidden="1" spans="1:12">
      <c r="A289" t="str">
        <f t="shared" si="19"/>
        <v>加拿大七店1412000184001整份</v>
      </c>
      <c r="B289" s="84" t="s">
        <v>636</v>
      </c>
      <c r="C289" s="84" t="str">
        <f t="shared" si="20"/>
        <v>14120001整份</v>
      </c>
      <c r="D289" s="57">
        <v>14120001</v>
      </c>
      <c r="E289" s="57">
        <v>84001</v>
      </c>
      <c r="F289" s="58" t="s">
        <v>2594</v>
      </c>
      <c r="G289" s="58" t="s">
        <v>2436</v>
      </c>
      <c r="H289" s="10">
        <v>1</v>
      </c>
      <c r="I289" s="10">
        <v>0</v>
      </c>
      <c r="J289" s="101">
        <f t="shared" si="18"/>
        <v>1</v>
      </c>
      <c r="K289" s="58" t="s">
        <v>2466</v>
      </c>
      <c r="L289" s="58" t="s">
        <v>2467</v>
      </c>
    </row>
    <row r="290" hidden="1" spans="1:12">
      <c r="A290" t="str">
        <f t="shared" si="19"/>
        <v>加拿大七店1412000184001整份</v>
      </c>
      <c r="B290" s="84" t="s">
        <v>636</v>
      </c>
      <c r="C290" s="84" t="str">
        <f t="shared" si="20"/>
        <v>14120001整份</v>
      </c>
      <c r="D290" s="57">
        <v>14120001</v>
      </c>
      <c r="E290" s="57">
        <v>84001</v>
      </c>
      <c r="F290" s="58" t="s">
        <v>2594</v>
      </c>
      <c r="G290" s="58" t="s">
        <v>2436</v>
      </c>
      <c r="H290" s="10">
        <v>1</v>
      </c>
      <c r="I290" s="10">
        <v>0</v>
      </c>
      <c r="J290" s="101">
        <f t="shared" si="18"/>
        <v>1</v>
      </c>
      <c r="K290" s="58" t="s">
        <v>2466</v>
      </c>
      <c r="L290" s="58" t="s">
        <v>2467</v>
      </c>
    </row>
    <row r="291" hidden="1" spans="1:12">
      <c r="A291" t="str">
        <f t="shared" si="19"/>
        <v>加拿大七店1412000184001整份</v>
      </c>
      <c r="B291" s="84" t="s">
        <v>636</v>
      </c>
      <c r="C291" s="84" t="str">
        <f t="shared" si="20"/>
        <v>14120001整份</v>
      </c>
      <c r="D291" s="57">
        <v>14120001</v>
      </c>
      <c r="E291" s="57">
        <v>84001</v>
      </c>
      <c r="F291" s="58" t="s">
        <v>2594</v>
      </c>
      <c r="G291" s="58" t="s">
        <v>2436</v>
      </c>
      <c r="H291" s="10">
        <v>1</v>
      </c>
      <c r="I291" s="10">
        <v>0</v>
      </c>
      <c r="J291" s="101">
        <f t="shared" si="18"/>
        <v>1</v>
      </c>
      <c r="K291" s="58" t="s">
        <v>2466</v>
      </c>
      <c r="L291" s="58" t="s">
        <v>2467</v>
      </c>
    </row>
    <row r="292" hidden="1" spans="1:12">
      <c r="A292" t="str">
        <f t="shared" si="19"/>
        <v>加拿大七店130103041000865个</v>
      </c>
      <c r="B292" s="84" t="s">
        <v>636</v>
      </c>
      <c r="C292" s="84" t="str">
        <f t="shared" si="20"/>
        <v>13010304个</v>
      </c>
      <c r="D292" s="57">
        <v>13010304</v>
      </c>
      <c r="E292" s="57">
        <v>1000865</v>
      </c>
      <c r="F292" s="58" t="s">
        <v>2683</v>
      </c>
      <c r="G292" s="58" t="s">
        <v>20</v>
      </c>
      <c r="H292" s="10">
        <v>1</v>
      </c>
      <c r="I292" s="10">
        <v>1</v>
      </c>
      <c r="J292" s="101">
        <f t="shared" si="18"/>
        <v>0</v>
      </c>
      <c r="K292" s="58" t="s">
        <v>2451</v>
      </c>
      <c r="L292" s="58" t="s">
        <v>2452</v>
      </c>
    </row>
    <row r="293" hidden="1" spans="1:12">
      <c r="A293" t="str">
        <f t="shared" si="19"/>
        <v>加拿大七店910053951110187份</v>
      </c>
      <c r="B293" s="84" t="s">
        <v>636</v>
      </c>
      <c r="C293" s="84" t="str">
        <f t="shared" si="20"/>
        <v>91005395份</v>
      </c>
      <c r="D293" s="57">
        <v>91005395</v>
      </c>
      <c r="E293" s="57">
        <v>1110187</v>
      </c>
      <c r="F293" s="58" t="s">
        <v>2684</v>
      </c>
      <c r="G293" s="58" t="s">
        <v>2454</v>
      </c>
      <c r="H293" s="10">
        <v>1</v>
      </c>
      <c r="I293" s="10">
        <v>1</v>
      </c>
      <c r="J293" s="101">
        <f t="shared" si="18"/>
        <v>0</v>
      </c>
      <c r="K293" s="58" t="s">
        <v>2441</v>
      </c>
      <c r="L293" s="58" t="s">
        <v>2455</v>
      </c>
    </row>
    <row r="294" hidden="1" spans="1:12">
      <c r="A294" t="str">
        <f t="shared" si="19"/>
        <v>加拿大七店901014730175整份</v>
      </c>
      <c r="B294" s="84" t="s">
        <v>636</v>
      </c>
      <c r="C294" s="84" t="str">
        <f t="shared" si="20"/>
        <v>9010147整份</v>
      </c>
      <c r="D294" s="57">
        <v>9010147</v>
      </c>
      <c r="E294" s="57">
        <v>30175</v>
      </c>
      <c r="F294" s="58" t="s">
        <v>453</v>
      </c>
      <c r="G294" s="58" t="s">
        <v>2436</v>
      </c>
      <c r="H294" s="10">
        <v>161</v>
      </c>
      <c r="I294" s="10">
        <v>5</v>
      </c>
      <c r="J294" s="101">
        <f t="shared" si="18"/>
        <v>156</v>
      </c>
      <c r="K294" s="58" t="s">
        <v>2474</v>
      </c>
      <c r="L294" s="58" t="s">
        <v>2475</v>
      </c>
    </row>
    <row r="295" hidden="1" spans="1:12">
      <c r="A295" t="str">
        <f t="shared" si="19"/>
        <v>加拿大七店1412000184001整份</v>
      </c>
      <c r="B295" s="84" t="s">
        <v>636</v>
      </c>
      <c r="C295" s="84" t="str">
        <f t="shared" si="20"/>
        <v>14120001整份</v>
      </c>
      <c r="D295" s="57">
        <v>14120001</v>
      </c>
      <c r="E295" s="57">
        <v>84001</v>
      </c>
      <c r="F295" s="58" t="s">
        <v>2594</v>
      </c>
      <c r="G295" s="58" t="s">
        <v>2436</v>
      </c>
      <c r="H295" s="10">
        <v>2</v>
      </c>
      <c r="I295" s="10">
        <v>0</v>
      </c>
      <c r="J295" s="101">
        <f t="shared" si="18"/>
        <v>2</v>
      </c>
      <c r="K295" s="58" t="s">
        <v>2466</v>
      </c>
      <c r="L295" s="58" t="s">
        <v>2467</v>
      </c>
    </row>
    <row r="296" hidden="1" spans="1:12">
      <c r="A296" t="str">
        <f t="shared" si="19"/>
        <v>加拿大七店1412000184001整份</v>
      </c>
      <c r="B296" s="84" t="s">
        <v>636</v>
      </c>
      <c r="C296" s="84" t="str">
        <f t="shared" si="20"/>
        <v>14120001整份</v>
      </c>
      <c r="D296" s="57">
        <v>14120001</v>
      </c>
      <c r="E296" s="57">
        <v>84001</v>
      </c>
      <c r="F296" s="58" t="s">
        <v>2594</v>
      </c>
      <c r="G296" s="58" t="s">
        <v>2436</v>
      </c>
      <c r="H296" s="10">
        <v>1</v>
      </c>
      <c r="I296" s="10">
        <v>0</v>
      </c>
      <c r="J296" s="101">
        <f t="shared" si="18"/>
        <v>1</v>
      </c>
      <c r="K296" s="58" t="s">
        <v>2466</v>
      </c>
      <c r="L296" s="58" t="s">
        <v>2467</v>
      </c>
    </row>
    <row r="297" hidden="1" spans="1:12">
      <c r="A297" t="str">
        <f t="shared" si="19"/>
        <v>加拿大七店1412000184001整份</v>
      </c>
      <c r="B297" s="84" t="s">
        <v>636</v>
      </c>
      <c r="C297" s="84" t="str">
        <f t="shared" si="20"/>
        <v>14120001整份</v>
      </c>
      <c r="D297" s="57">
        <v>14120001</v>
      </c>
      <c r="E297" s="57">
        <v>84001</v>
      </c>
      <c r="F297" s="58" t="s">
        <v>2594</v>
      </c>
      <c r="G297" s="58" t="s">
        <v>2436</v>
      </c>
      <c r="H297" s="10">
        <v>1</v>
      </c>
      <c r="I297" s="10">
        <v>0</v>
      </c>
      <c r="J297" s="101">
        <f t="shared" si="18"/>
        <v>1</v>
      </c>
      <c r="K297" s="58" t="s">
        <v>2466</v>
      </c>
      <c r="L297" s="58" t="s">
        <v>2467</v>
      </c>
    </row>
    <row r="298" hidden="1" spans="1:12">
      <c r="A298" t="str">
        <f t="shared" si="19"/>
        <v>加拿大七店1412000184001整份</v>
      </c>
      <c r="B298" s="84" t="s">
        <v>636</v>
      </c>
      <c r="C298" s="84"/>
      <c r="D298" s="57">
        <v>14120001</v>
      </c>
      <c r="E298" s="57">
        <v>84001</v>
      </c>
      <c r="F298" s="58" t="s">
        <v>2594</v>
      </c>
      <c r="G298" s="58" t="s">
        <v>2436</v>
      </c>
      <c r="H298" s="10">
        <v>1</v>
      </c>
      <c r="I298" s="10">
        <v>0</v>
      </c>
      <c r="J298" s="101">
        <f t="shared" si="18"/>
        <v>1</v>
      </c>
      <c r="K298" s="58" t="s">
        <v>2466</v>
      </c>
      <c r="L298" s="58" t="s">
        <v>2467</v>
      </c>
    </row>
    <row r="299" hidden="1" spans="1:12">
      <c r="A299" t="str">
        <f t="shared" si="19"/>
        <v>加拿大七店1412000184001整份</v>
      </c>
      <c r="B299" s="84" t="s">
        <v>636</v>
      </c>
      <c r="C299" s="84" t="str">
        <f>D299&amp;G299</f>
        <v>14120001整份</v>
      </c>
      <c r="D299" s="57">
        <v>14120001</v>
      </c>
      <c r="E299" s="57">
        <v>84001</v>
      </c>
      <c r="F299" s="58" t="s">
        <v>2594</v>
      </c>
      <c r="G299" s="58" t="s">
        <v>2436</v>
      </c>
      <c r="H299" s="10">
        <v>1</v>
      </c>
      <c r="I299" s="10">
        <v>0</v>
      </c>
      <c r="J299" s="101">
        <f t="shared" si="18"/>
        <v>1</v>
      </c>
      <c r="K299" s="58" t="s">
        <v>2466</v>
      </c>
      <c r="L299" s="58" t="s">
        <v>2467</v>
      </c>
    </row>
    <row r="300" spans="1:12">
      <c r="A300" t="str">
        <f t="shared" si="19"/>
        <v>加拿大七店1304027473274常温</v>
      </c>
      <c r="B300" s="84" t="s">
        <v>636</v>
      </c>
      <c r="C300" s="84"/>
      <c r="D300" s="57">
        <v>13040274</v>
      </c>
      <c r="E300" s="57">
        <v>73274</v>
      </c>
      <c r="F300" s="58" t="s">
        <v>2629</v>
      </c>
      <c r="G300" s="58" t="s">
        <v>2672</v>
      </c>
      <c r="H300" s="10">
        <v>3</v>
      </c>
      <c r="I300" s="10">
        <v>0</v>
      </c>
      <c r="J300" s="101">
        <f t="shared" si="18"/>
        <v>3</v>
      </c>
      <c r="K300" s="58" t="s">
        <v>2451</v>
      </c>
      <c r="L300" s="58" t="s">
        <v>2627</v>
      </c>
    </row>
    <row r="301" hidden="1" spans="1:12">
      <c r="A301" t="str">
        <f t="shared" si="19"/>
        <v>加拿大七店910050231109552份</v>
      </c>
      <c r="B301" s="84" t="s">
        <v>636</v>
      </c>
      <c r="C301" s="84"/>
      <c r="D301" s="57">
        <v>91005023</v>
      </c>
      <c r="E301" s="57">
        <v>1109552</v>
      </c>
      <c r="F301" s="58" t="s">
        <v>2685</v>
      </c>
      <c r="G301" s="58" t="s">
        <v>2454</v>
      </c>
      <c r="H301" s="10">
        <v>95</v>
      </c>
      <c r="I301" s="10">
        <v>2</v>
      </c>
      <c r="J301" s="101">
        <f t="shared" si="18"/>
        <v>93</v>
      </c>
      <c r="K301" s="58" t="s">
        <v>2441</v>
      </c>
      <c r="L301" s="58" t="s">
        <v>2455</v>
      </c>
    </row>
    <row r="302" hidden="1" spans="1:12">
      <c r="A302" t="str">
        <f t="shared" si="19"/>
        <v>加拿大七店301002720027条</v>
      </c>
      <c r="B302" s="84" t="s">
        <v>636</v>
      </c>
      <c r="C302" s="84"/>
      <c r="D302" s="57">
        <v>3010027</v>
      </c>
      <c r="E302" s="57">
        <v>20027</v>
      </c>
      <c r="F302" s="58" t="s">
        <v>2518</v>
      </c>
      <c r="G302" s="58" t="s">
        <v>40</v>
      </c>
      <c r="H302" s="10">
        <v>204</v>
      </c>
      <c r="I302" s="10">
        <v>9</v>
      </c>
      <c r="J302" s="101">
        <f t="shared" si="18"/>
        <v>195</v>
      </c>
      <c r="K302" s="58" t="s">
        <v>2445</v>
      </c>
      <c r="L302" s="58" t="s">
        <v>2477</v>
      </c>
    </row>
    <row r="303" hidden="1" spans="1:12">
      <c r="A303" t="str">
        <f t="shared" si="19"/>
        <v>加拿大七店1060115单锅</v>
      </c>
      <c r="B303" s="84" t="s">
        <v>636</v>
      </c>
      <c r="C303" s="84"/>
      <c r="D303" s="57">
        <v>1060115</v>
      </c>
      <c r="E303" s="58" t="s">
        <v>641</v>
      </c>
      <c r="F303" s="58" t="s">
        <v>2346</v>
      </c>
      <c r="G303" s="58" t="s">
        <v>2507</v>
      </c>
      <c r="H303" s="10">
        <v>5</v>
      </c>
      <c r="I303" s="10">
        <v>0</v>
      </c>
      <c r="J303" s="101">
        <f t="shared" si="18"/>
        <v>5</v>
      </c>
      <c r="K303" s="58" t="s">
        <v>2458</v>
      </c>
      <c r="L303" s="58" t="s">
        <v>2508</v>
      </c>
    </row>
    <row r="304" hidden="1" spans="1:12">
      <c r="A304" t="str">
        <f t="shared" si="19"/>
        <v>加拿大七店1412000184001整份</v>
      </c>
      <c r="B304" s="84" t="s">
        <v>636</v>
      </c>
      <c r="C304" s="84"/>
      <c r="D304" s="57">
        <v>14120001</v>
      </c>
      <c r="E304" s="57">
        <v>84001</v>
      </c>
      <c r="F304" s="58" t="s">
        <v>2594</v>
      </c>
      <c r="G304" s="58" t="s">
        <v>2436</v>
      </c>
      <c r="H304" s="10">
        <v>1</v>
      </c>
      <c r="I304" s="10">
        <v>0</v>
      </c>
      <c r="J304" s="101">
        <f t="shared" si="18"/>
        <v>1</v>
      </c>
      <c r="K304" s="58" t="s">
        <v>2466</v>
      </c>
      <c r="L304" s="58" t="s">
        <v>2467</v>
      </c>
    </row>
    <row r="305" hidden="1" spans="1:12">
      <c r="A305" t="str">
        <f t="shared" si="19"/>
        <v>加拿大七店1412000184001整份</v>
      </c>
      <c r="B305" s="84" t="s">
        <v>636</v>
      </c>
      <c r="C305" s="84"/>
      <c r="D305" s="57">
        <v>14120001</v>
      </c>
      <c r="E305" s="57">
        <v>84001</v>
      </c>
      <c r="F305" s="58" t="s">
        <v>2594</v>
      </c>
      <c r="G305" s="58" t="s">
        <v>2436</v>
      </c>
      <c r="H305" s="10">
        <v>1</v>
      </c>
      <c r="I305" s="10">
        <v>0</v>
      </c>
      <c r="J305" s="101">
        <f t="shared" si="18"/>
        <v>1</v>
      </c>
      <c r="K305" s="58" t="s">
        <v>2466</v>
      </c>
      <c r="L305" s="58" t="s">
        <v>2467</v>
      </c>
    </row>
    <row r="306" hidden="1" spans="1:12">
      <c r="A306" t="str">
        <f t="shared" si="19"/>
        <v>加拿大七店1412000184001整份</v>
      </c>
      <c r="B306" s="84" t="s">
        <v>636</v>
      </c>
      <c r="C306" s="84"/>
      <c r="D306" s="57">
        <v>14120001</v>
      </c>
      <c r="E306" s="57">
        <v>84001</v>
      </c>
      <c r="F306" s="58" t="s">
        <v>2594</v>
      </c>
      <c r="G306" s="58" t="s">
        <v>2436</v>
      </c>
      <c r="H306" s="10">
        <v>1</v>
      </c>
      <c r="I306" s="10">
        <v>0</v>
      </c>
      <c r="J306" s="101">
        <f t="shared" si="18"/>
        <v>1</v>
      </c>
      <c r="K306" s="58" t="s">
        <v>2466</v>
      </c>
      <c r="L306" s="58" t="s">
        <v>2467</v>
      </c>
    </row>
    <row r="307" hidden="1" spans="1:12">
      <c r="A307" t="str">
        <f t="shared" si="19"/>
        <v>加拿大七店1412000184001整份</v>
      </c>
      <c r="B307" s="84" t="s">
        <v>636</v>
      </c>
      <c r="C307" s="84" t="str">
        <f>D307&amp;G307</f>
        <v>14120001整份</v>
      </c>
      <c r="D307" s="57">
        <v>14120001</v>
      </c>
      <c r="E307" s="57">
        <v>84001</v>
      </c>
      <c r="F307" s="58" t="s">
        <v>2594</v>
      </c>
      <c r="G307" s="58" t="s">
        <v>2436</v>
      </c>
      <c r="H307" s="10">
        <v>1</v>
      </c>
      <c r="I307" s="10">
        <v>0</v>
      </c>
      <c r="J307" s="101">
        <f t="shared" si="18"/>
        <v>1</v>
      </c>
      <c r="K307" s="58" t="s">
        <v>2466</v>
      </c>
      <c r="L307" s="58" t="s">
        <v>2467</v>
      </c>
    </row>
    <row r="308" hidden="1" spans="1:12">
      <c r="A308" t="str">
        <f t="shared" si="19"/>
        <v>加拿大七店1412000184001整份</v>
      </c>
      <c r="B308" s="84" t="s">
        <v>636</v>
      </c>
      <c r="C308" s="84" t="str">
        <f>D308&amp;G308</f>
        <v>14120001整份</v>
      </c>
      <c r="D308" s="57">
        <v>14120001</v>
      </c>
      <c r="E308" s="57">
        <v>84001</v>
      </c>
      <c r="F308" s="58" t="s">
        <v>2594</v>
      </c>
      <c r="G308" s="58" t="s">
        <v>2436</v>
      </c>
      <c r="H308" s="10">
        <v>1</v>
      </c>
      <c r="I308" s="10">
        <v>0</v>
      </c>
      <c r="J308" s="101">
        <f t="shared" si="18"/>
        <v>1</v>
      </c>
      <c r="K308" s="58" t="s">
        <v>2466</v>
      </c>
      <c r="L308" s="58" t="s">
        <v>2467</v>
      </c>
    </row>
    <row r="309" hidden="1" spans="1:12">
      <c r="A309" t="str">
        <f t="shared" si="19"/>
        <v>加拿大七店910046921108968份</v>
      </c>
      <c r="B309" s="84" t="s">
        <v>636</v>
      </c>
      <c r="C309" s="84"/>
      <c r="D309" s="57">
        <v>91004692</v>
      </c>
      <c r="E309" s="57">
        <v>1108968</v>
      </c>
      <c r="F309" s="58" t="s">
        <v>2686</v>
      </c>
      <c r="G309" s="58" t="s">
        <v>2454</v>
      </c>
      <c r="H309" s="10">
        <v>2</v>
      </c>
      <c r="I309" s="10">
        <v>1</v>
      </c>
      <c r="J309" s="101">
        <f t="shared" si="18"/>
        <v>1</v>
      </c>
      <c r="K309" s="58" t="s">
        <v>2466</v>
      </c>
      <c r="L309" s="58" t="s">
        <v>2467</v>
      </c>
    </row>
    <row r="310" hidden="1" spans="1:12">
      <c r="A310" t="str">
        <f t="shared" si="19"/>
        <v>加拿大七店1010681单锅</v>
      </c>
      <c r="B310" s="84" t="s">
        <v>636</v>
      </c>
      <c r="C310" s="84"/>
      <c r="D310" s="57">
        <v>1010681</v>
      </c>
      <c r="E310" s="58" t="s">
        <v>641</v>
      </c>
      <c r="F310" s="58" t="s">
        <v>2648</v>
      </c>
      <c r="G310" s="58" t="s">
        <v>2507</v>
      </c>
      <c r="H310" s="10">
        <v>2</v>
      </c>
      <c r="I310" s="10">
        <v>1</v>
      </c>
      <c r="J310" s="101">
        <f t="shared" si="18"/>
        <v>1</v>
      </c>
      <c r="K310" s="58" t="s">
        <v>2458</v>
      </c>
      <c r="L310" s="58" t="s">
        <v>2508</v>
      </c>
    </row>
    <row r="311" hidden="1" spans="1:12">
      <c r="A311" t="str">
        <f t="shared" si="19"/>
        <v>加拿大七店1412000184001整份</v>
      </c>
      <c r="B311" s="84" t="s">
        <v>636</v>
      </c>
      <c r="C311" s="84" t="str">
        <f>D311&amp;G311</f>
        <v>14120001整份</v>
      </c>
      <c r="D311" s="57">
        <v>14120001</v>
      </c>
      <c r="E311" s="57">
        <v>84001</v>
      </c>
      <c r="F311" s="58" t="s">
        <v>2594</v>
      </c>
      <c r="G311" s="58" t="s">
        <v>2436</v>
      </c>
      <c r="H311" s="10">
        <v>1</v>
      </c>
      <c r="I311" s="10">
        <v>0</v>
      </c>
      <c r="J311" s="101">
        <f t="shared" si="18"/>
        <v>1</v>
      </c>
      <c r="K311" s="58" t="s">
        <v>2466</v>
      </c>
      <c r="L311" s="58" t="s">
        <v>2467</v>
      </c>
    </row>
    <row r="312" hidden="1" spans="1:12">
      <c r="A312" t="str">
        <f t="shared" si="19"/>
        <v>加拿大七店1412000184001整份</v>
      </c>
      <c r="B312" s="84" t="s">
        <v>636</v>
      </c>
      <c r="C312" s="84"/>
      <c r="D312" s="57">
        <v>14120001</v>
      </c>
      <c r="E312" s="57">
        <v>84001</v>
      </c>
      <c r="F312" s="58" t="s">
        <v>2594</v>
      </c>
      <c r="G312" s="58" t="s">
        <v>2436</v>
      </c>
      <c r="H312" s="10">
        <v>1</v>
      </c>
      <c r="I312" s="10">
        <v>1</v>
      </c>
      <c r="J312" s="101">
        <f t="shared" si="18"/>
        <v>0</v>
      </c>
      <c r="K312" s="58" t="s">
        <v>2466</v>
      </c>
      <c r="L312" s="58" t="s">
        <v>2467</v>
      </c>
    </row>
    <row r="313" hidden="1" spans="1:12">
      <c r="A313" t="str">
        <f t="shared" si="19"/>
        <v>加拿大七店1412000184001整份</v>
      </c>
      <c r="B313" s="84" t="s">
        <v>636</v>
      </c>
      <c r="C313" s="84"/>
      <c r="D313" s="57">
        <v>14120001</v>
      </c>
      <c r="E313" s="57">
        <v>84001</v>
      </c>
      <c r="F313" s="58" t="s">
        <v>2594</v>
      </c>
      <c r="G313" s="58" t="s">
        <v>2436</v>
      </c>
      <c r="H313" s="10">
        <v>1</v>
      </c>
      <c r="I313" s="10">
        <v>0</v>
      </c>
      <c r="J313" s="101">
        <f t="shared" si="18"/>
        <v>1</v>
      </c>
      <c r="K313" s="58" t="s">
        <v>2466</v>
      </c>
      <c r="L313" s="58" t="s">
        <v>2467</v>
      </c>
    </row>
    <row r="314" hidden="1" spans="1:12">
      <c r="A314" t="str">
        <f t="shared" si="19"/>
        <v>加拿大七店1412000184001整份</v>
      </c>
      <c r="B314" s="84" t="s">
        <v>636</v>
      </c>
      <c r="C314" s="84"/>
      <c r="D314" s="57">
        <v>14120001</v>
      </c>
      <c r="E314" s="57">
        <v>84001</v>
      </c>
      <c r="F314" s="58" t="s">
        <v>2594</v>
      </c>
      <c r="G314" s="58" t="s">
        <v>2436</v>
      </c>
      <c r="H314" s="10">
        <v>1</v>
      </c>
      <c r="I314" s="10">
        <v>0</v>
      </c>
      <c r="J314" s="101">
        <f t="shared" si="18"/>
        <v>1</v>
      </c>
      <c r="K314" s="58" t="s">
        <v>2466</v>
      </c>
      <c r="L314" s="58" t="s">
        <v>2467</v>
      </c>
    </row>
    <row r="315" hidden="1" spans="1:12">
      <c r="A315" t="str">
        <f t="shared" si="19"/>
        <v>加拿大七店1412000184001整份</v>
      </c>
      <c r="B315" s="84" t="s">
        <v>636</v>
      </c>
      <c r="C315" s="84"/>
      <c r="D315" s="57">
        <v>14120001</v>
      </c>
      <c r="E315" s="57">
        <v>84001</v>
      </c>
      <c r="F315" s="58" t="s">
        <v>2594</v>
      </c>
      <c r="G315" s="58" t="s">
        <v>2436</v>
      </c>
      <c r="H315" s="10">
        <v>1</v>
      </c>
      <c r="I315" s="10">
        <v>0</v>
      </c>
      <c r="J315" s="101">
        <f t="shared" si="18"/>
        <v>1</v>
      </c>
      <c r="K315" s="58" t="s">
        <v>2466</v>
      </c>
      <c r="L315" s="58" t="s">
        <v>2467</v>
      </c>
    </row>
    <row r="316" hidden="1" spans="1:12">
      <c r="A316" t="str">
        <f t="shared" si="19"/>
        <v>加拿大七店1412000184001整份</v>
      </c>
      <c r="B316" s="84" t="s">
        <v>636</v>
      </c>
      <c r="C316" s="84"/>
      <c r="D316" s="57">
        <v>14120001</v>
      </c>
      <c r="E316" s="57">
        <v>84001</v>
      </c>
      <c r="F316" s="58" t="s">
        <v>2594</v>
      </c>
      <c r="G316" s="58" t="s">
        <v>2436</v>
      </c>
      <c r="H316" s="10">
        <v>1</v>
      </c>
      <c r="I316" s="10">
        <v>0</v>
      </c>
      <c r="J316" s="101">
        <f t="shared" si="18"/>
        <v>1</v>
      </c>
      <c r="K316" s="58" t="s">
        <v>2466</v>
      </c>
      <c r="L316" s="58" t="s">
        <v>2467</v>
      </c>
    </row>
    <row r="317" hidden="1" spans="1:12">
      <c r="A317" t="str">
        <f t="shared" si="19"/>
        <v>加拿大七店903018933253整份</v>
      </c>
      <c r="B317" s="84" t="s">
        <v>636</v>
      </c>
      <c r="C317" s="84" t="str">
        <f>D317&amp;G317</f>
        <v>9030189整份</v>
      </c>
      <c r="D317" s="57">
        <v>9030189</v>
      </c>
      <c r="E317" s="57">
        <v>33253</v>
      </c>
      <c r="F317" s="58" t="s">
        <v>2682</v>
      </c>
      <c r="G317" s="58" t="s">
        <v>2436</v>
      </c>
      <c r="H317" s="10">
        <v>1</v>
      </c>
      <c r="I317" s="10">
        <v>0</v>
      </c>
      <c r="J317" s="101">
        <f t="shared" si="18"/>
        <v>1</v>
      </c>
      <c r="K317" s="58" t="s">
        <v>2437</v>
      </c>
      <c r="L317" s="58" t="s">
        <v>2464</v>
      </c>
    </row>
    <row r="318" hidden="1" spans="1:12">
      <c r="A318" t="str">
        <f t="shared" si="19"/>
        <v>加拿大七店1412000184001整份</v>
      </c>
      <c r="B318" s="84" t="s">
        <v>636</v>
      </c>
      <c r="C318" s="84" t="str">
        <f>D318&amp;G318</f>
        <v>14120001整份</v>
      </c>
      <c r="D318" s="57">
        <v>14120001</v>
      </c>
      <c r="E318" s="57">
        <v>84001</v>
      </c>
      <c r="F318" s="58" t="s">
        <v>2594</v>
      </c>
      <c r="G318" s="58" t="s">
        <v>2436</v>
      </c>
      <c r="H318" s="10">
        <v>2</v>
      </c>
      <c r="I318" s="10">
        <v>0</v>
      </c>
      <c r="J318" s="101">
        <f t="shared" ref="J318:J351" si="21">H318-I318</f>
        <v>2</v>
      </c>
      <c r="K318" s="58" t="s">
        <v>2466</v>
      </c>
      <c r="L318" s="58" t="s">
        <v>2467</v>
      </c>
    </row>
    <row r="319" hidden="1" spans="1:12">
      <c r="A319" t="str">
        <f t="shared" si="19"/>
        <v>加拿大七店1412000184001整份</v>
      </c>
      <c r="B319" s="84" t="s">
        <v>636</v>
      </c>
      <c r="C319" s="84" t="str">
        <f>D319&amp;G319</f>
        <v>14120001整份</v>
      </c>
      <c r="D319" s="57">
        <v>14120001</v>
      </c>
      <c r="E319" s="57">
        <v>84001</v>
      </c>
      <c r="F319" s="58" t="s">
        <v>2594</v>
      </c>
      <c r="G319" s="58" t="s">
        <v>2436</v>
      </c>
      <c r="H319" s="10">
        <v>1</v>
      </c>
      <c r="I319" s="10">
        <v>0</v>
      </c>
      <c r="J319" s="101">
        <f t="shared" si="21"/>
        <v>1</v>
      </c>
      <c r="K319" s="58" t="s">
        <v>2466</v>
      </c>
      <c r="L319" s="58" t="s">
        <v>2467</v>
      </c>
    </row>
    <row r="320" hidden="1" spans="1:12">
      <c r="A320" t="str">
        <f t="shared" si="19"/>
        <v>加拿大七店1412000184001整份</v>
      </c>
      <c r="B320" s="84" t="s">
        <v>636</v>
      </c>
      <c r="C320" s="84"/>
      <c r="D320" s="57">
        <v>14120001</v>
      </c>
      <c r="E320" s="57">
        <v>84001</v>
      </c>
      <c r="F320" s="58" t="s">
        <v>2594</v>
      </c>
      <c r="G320" s="58" t="s">
        <v>2436</v>
      </c>
      <c r="H320" s="10">
        <v>1</v>
      </c>
      <c r="I320" s="10">
        <v>0</v>
      </c>
      <c r="J320" s="101">
        <f t="shared" si="21"/>
        <v>1</v>
      </c>
      <c r="K320" s="58" t="s">
        <v>2466</v>
      </c>
      <c r="L320" s="58" t="s">
        <v>2467</v>
      </c>
    </row>
    <row r="321" hidden="1" spans="1:12">
      <c r="A321" t="str">
        <f t="shared" si="19"/>
        <v>加拿大七店1412000184001整份</v>
      </c>
      <c r="B321" s="84" t="s">
        <v>636</v>
      </c>
      <c r="C321" s="84"/>
      <c r="D321" s="57">
        <v>14120001</v>
      </c>
      <c r="E321" s="57">
        <v>84001</v>
      </c>
      <c r="F321" s="58" t="s">
        <v>2594</v>
      </c>
      <c r="G321" s="58" t="s">
        <v>2436</v>
      </c>
      <c r="H321" s="10">
        <v>1</v>
      </c>
      <c r="I321" s="10">
        <v>0</v>
      </c>
      <c r="J321" s="101">
        <f t="shared" si="21"/>
        <v>1</v>
      </c>
      <c r="K321" s="58" t="s">
        <v>2466</v>
      </c>
      <c r="L321" s="58" t="s">
        <v>2467</v>
      </c>
    </row>
    <row r="322" hidden="1" spans="1:12">
      <c r="A322" t="str">
        <f t="shared" si="19"/>
        <v>加拿大七店1412000184001整份</v>
      </c>
      <c r="B322" s="84" t="s">
        <v>636</v>
      </c>
      <c r="C322" s="84"/>
      <c r="D322" s="57">
        <v>14120001</v>
      </c>
      <c r="E322" s="57">
        <v>84001</v>
      </c>
      <c r="F322" s="58" t="s">
        <v>2594</v>
      </c>
      <c r="G322" s="58" t="s">
        <v>2436</v>
      </c>
      <c r="H322" s="10">
        <v>1</v>
      </c>
      <c r="I322" s="10">
        <v>0</v>
      </c>
      <c r="J322" s="101">
        <f t="shared" si="21"/>
        <v>1</v>
      </c>
      <c r="K322" s="58" t="s">
        <v>2466</v>
      </c>
      <c r="L322" s="58" t="s">
        <v>2467</v>
      </c>
    </row>
    <row r="323" hidden="1" spans="1:12">
      <c r="A323" t="str">
        <f t="shared" si="19"/>
        <v>加拿大七店1412000184001整份</v>
      </c>
      <c r="B323" s="84" t="s">
        <v>636</v>
      </c>
      <c r="C323" s="84"/>
      <c r="D323" s="57">
        <v>14120001</v>
      </c>
      <c r="E323" s="57">
        <v>84001</v>
      </c>
      <c r="F323" s="58" t="s">
        <v>2594</v>
      </c>
      <c r="G323" s="58" t="s">
        <v>2436</v>
      </c>
      <c r="H323" s="10">
        <v>1</v>
      </c>
      <c r="I323" s="10">
        <v>0</v>
      </c>
      <c r="J323" s="101">
        <f t="shared" si="21"/>
        <v>1</v>
      </c>
      <c r="K323" s="58" t="s">
        <v>2466</v>
      </c>
      <c r="L323" s="58" t="s">
        <v>2467</v>
      </c>
    </row>
    <row r="324" hidden="1" spans="1:12">
      <c r="A324" t="str">
        <f t="shared" ref="A324:A351" si="22">B324&amp;D324&amp;E324&amp;G324</f>
        <v>加拿大七店903039932429只</v>
      </c>
      <c r="B324" s="84" t="s">
        <v>636</v>
      </c>
      <c r="C324" s="84"/>
      <c r="D324" s="57">
        <v>9030399</v>
      </c>
      <c r="E324" s="57">
        <v>32429</v>
      </c>
      <c r="F324" s="58" t="s">
        <v>2687</v>
      </c>
      <c r="G324" s="58" t="s">
        <v>260</v>
      </c>
      <c r="H324" s="10">
        <v>1</v>
      </c>
      <c r="I324" s="10">
        <v>0</v>
      </c>
      <c r="J324" s="101">
        <f t="shared" si="21"/>
        <v>1</v>
      </c>
      <c r="K324" s="58" t="s">
        <v>2437</v>
      </c>
      <c r="L324" s="58" t="s">
        <v>2464</v>
      </c>
    </row>
    <row r="325" hidden="1" spans="1:12">
      <c r="A325" t="str">
        <f t="shared" si="22"/>
        <v>加拿大七店2601023419234整份</v>
      </c>
      <c r="B325" s="84" t="s">
        <v>636</v>
      </c>
      <c r="C325" s="84"/>
      <c r="D325" s="57">
        <v>26010234</v>
      </c>
      <c r="E325" s="57">
        <v>19234</v>
      </c>
      <c r="F325" s="58" t="s">
        <v>2688</v>
      </c>
      <c r="G325" s="58" t="s">
        <v>2436</v>
      </c>
      <c r="H325" s="10">
        <v>2</v>
      </c>
      <c r="I325" s="10">
        <v>1</v>
      </c>
      <c r="J325" s="101">
        <f t="shared" si="21"/>
        <v>1</v>
      </c>
      <c r="K325" s="58" t="s">
        <v>2466</v>
      </c>
      <c r="L325" s="58" t="s">
        <v>2467</v>
      </c>
    </row>
    <row r="326" hidden="1" spans="1:12">
      <c r="A326" t="str">
        <f t="shared" si="22"/>
        <v>加拿大七店1412000184001整份</v>
      </c>
      <c r="B326" s="84" t="s">
        <v>636</v>
      </c>
      <c r="C326" s="84"/>
      <c r="D326" s="57">
        <v>14120001</v>
      </c>
      <c r="E326" s="57">
        <v>84001</v>
      </c>
      <c r="F326" s="58" t="s">
        <v>2594</v>
      </c>
      <c r="G326" s="58" t="s">
        <v>2436</v>
      </c>
      <c r="H326" s="10">
        <v>2</v>
      </c>
      <c r="I326" s="10">
        <v>0</v>
      </c>
      <c r="J326" s="101">
        <f t="shared" si="21"/>
        <v>2</v>
      </c>
      <c r="K326" s="58" t="s">
        <v>2466</v>
      </c>
      <c r="L326" s="58" t="s">
        <v>2467</v>
      </c>
    </row>
    <row r="327" hidden="1" spans="1:12">
      <c r="A327" t="str">
        <f t="shared" si="22"/>
        <v>加拿大七店1412000184001整份</v>
      </c>
      <c r="B327" s="84" t="s">
        <v>636</v>
      </c>
      <c r="C327" s="84"/>
      <c r="D327" s="57">
        <v>14120001</v>
      </c>
      <c r="E327" s="57">
        <v>84001</v>
      </c>
      <c r="F327" s="58" t="s">
        <v>2594</v>
      </c>
      <c r="G327" s="58" t="s">
        <v>2436</v>
      </c>
      <c r="H327" s="10">
        <v>1</v>
      </c>
      <c r="I327" s="10">
        <v>0</v>
      </c>
      <c r="J327" s="101">
        <f t="shared" si="21"/>
        <v>1</v>
      </c>
      <c r="K327" s="58" t="s">
        <v>2466</v>
      </c>
      <c r="L327" s="58" t="s">
        <v>2467</v>
      </c>
    </row>
    <row r="328" hidden="1" spans="1:12">
      <c r="A328" t="str">
        <f t="shared" si="22"/>
        <v>加拿大七店1412000184001整份</v>
      </c>
      <c r="B328" s="84" t="s">
        <v>636</v>
      </c>
      <c r="C328" s="84"/>
      <c r="D328" s="57">
        <v>14120001</v>
      </c>
      <c r="E328" s="57">
        <v>84001</v>
      </c>
      <c r="F328" s="58" t="s">
        <v>2594</v>
      </c>
      <c r="G328" s="58" t="s">
        <v>2436</v>
      </c>
      <c r="H328" s="10">
        <v>1</v>
      </c>
      <c r="I328" s="10">
        <v>1</v>
      </c>
      <c r="J328" s="101">
        <f t="shared" si="21"/>
        <v>0</v>
      </c>
      <c r="K328" s="58" t="s">
        <v>2466</v>
      </c>
      <c r="L328" s="58" t="s">
        <v>2467</v>
      </c>
    </row>
    <row r="329" hidden="1" spans="1:12">
      <c r="A329" t="str">
        <f t="shared" si="22"/>
        <v>加拿大七店1412000184001整份</v>
      </c>
      <c r="B329" s="84" t="s">
        <v>636</v>
      </c>
      <c r="C329" s="84"/>
      <c r="D329" s="57">
        <v>14120001</v>
      </c>
      <c r="E329" s="57">
        <v>84001</v>
      </c>
      <c r="F329" s="58" t="s">
        <v>2594</v>
      </c>
      <c r="G329" s="58" t="s">
        <v>2436</v>
      </c>
      <c r="H329" s="10">
        <v>1</v>
      </c>
      <c r="I329" s="10">
        <v>0</v>
      </c>
      <c r="J329" s="101">
        <f t="shared" si="21"/>
        <v>1</v>
      </c>
      <c r="K329" s="58" t="s">
        <v>2466</v>
      </c>
      <c r="L329" s="58" t="s">
        <v>2467</v>
      </c>
    </row>
    <row r="330" hidden="1" spans="1:12">
      <c r="A330" t="str">
        <f t="shared" si="22"/>
        <v>加拿大七店1412000184001整份</v>
      </c>
      <c r="B330" s="84" t="s">
        <v>636</v>
      </c>
      <c r="C330" s="84"/>
      <c r="D330" s="57">
        <v>14120001</v>
      </c>
      <c r="E330" s="57">
        <v>84001</v>
      </c>
      <c r="F330" s="58" t="s">
        <v>2594</v>
      </c>
      <c r="G330" s="58" t="s">
        <v>2436</v>
      </c>
      <c r="H330" s="10">
        <v>1</v>
      </c>
      <c r="I330" s="10">
        <v>0</v>
      </c>
      <c r="J330" s="101">
        <f t="shared" si="21"/>
        <v>1</v>
      </c>
      <c r="K330" s="58" t="s">
        <v>2466</v>
      </c>
      <c r="L330" s="58" t="s">
        <v>2467</v>
      </c>
    </row>
    <row r="331" hidden="1" spans="1:12">
      <c r="A331" t="str">
        <f t="shared" si="22"/>
        <v>加拿大七店1412000184001整份</v>
      </c>
      <c r="B331" s="84" t="s">
        <v>636</v>
      </c>
      <c r="C331" s="84" t="str">
        <f>D331&amp;G331</f>
        <v>14120001整份</v>
      </c>
      <c r="D331" s="57">
        <v>14120001</v>
      </c>
      <c r="E331" s="57">
        <v>84001</v>
      </c>
      <c r="F331" s="58" t="s">
        <v>2594</v>
      </c>
      <c r="G331" s="58" t="s">
        <v>2436</v>
      </c>
      <c r="H331" s="10">
        <v>1</v>
      </c>
      <c r="I331" s="10">
        <v>0</v>
      </c>
      <c r="J331" s="101">
        <f t="shared" si="21"/>
        <v>1</v>
      </c>
      <c r="K331" s="58" t="s">
        <v>2466</v>
      </c>
      <c r="L331" s="58" t="s">
        <v>2467</v>
      </c>
    </row>
    <row r="332" hidden="1" spans="1:12">
      <c r="A332" t="str">
        <f t="shared" si="22"/>
        <v>加拿大七店1412000184001整份</v>
      </c>
      <c r="B332" s="84" t="s">
        <v>636</v>
      </c>
      <c r="C332" s="84"/>
      <c r="D332" s="57">
        <v>14120001</v>
      </c>
      <c r="E332" s="57">
        <v>84001</v>
      </c>
      <c r="F332" s="58" t="s">
        <v>2594</v>
      </c>
      <c r="G332" s="58" t="s">
        <v>2436</v>
      </c>
      <c r="H332" s="10">
        <v>1</v>
      </c>
      <c r="I332" s="10">
        <v>0</v>
      </c>
      <c r="J332" s="101">
        <f t="shared" si="21"/>
        <v>1</v>
      </c>
      <c r="K332" s="58" t="s">
        <v>2466</v>
      </c>
      <c r="L332" s="58" t="s">
        <v>2467</v>
      </c>
    </row>
    <row r="333" hidden="1" spans="1:12">
      <c r="A333" t="str">
        <f t="shared" si="22"/>
        <v>加拿大七店903018933253整份</v>
      </c>
      <c r="B333" s="84" t="s">
        <v>636</v>
      </c>
      <c r="C333" s="84"/>
      <c r="D333" s="57">
        <v>9030189</v>
      </c>
      <c r="E333" s="57">
        <v>33253</v>
      </c>
      <c r="F333" s="58" t="s">
        <v>2682</v>
      </c>
      <c r="G333" s="58" t="s">
        <v>2436</v>
      </c>
      <c r="H333" s="10">
        <v>1</v>
      </c>
      <c r="I333" s="10">
        <v>0</v>
      </c>
      <c r="J333" s="101">
        <f t="shared" si="21"/>
        <v>1</v>
      </c>
      <c r="K333" s="58" t="s">
        <v>2437</v>
      </c>
      <c r="L333" s="58" t="s">
        <v>2464</v>
      </c>
    </row>
    <row r="334" hidden="1" spans="1:12">
      <c r="A334" t="str">
        <f t="shared" si="22"/>
        <v>加拿大七店1412000184001整份</v>
      </c>
      <c r="B334" s="84" t="s">
        <v>636</v>
      </c>
      <c r="C334" s="84"/>
      <c r="D334" s="57">
        <v>14120001</v>
      </c>
      <c r="E334" s="57">
        <v>84001</v>
      </c>
      <c r="F334" s="58" t="s">
        <v>2594</v>
      </c>
      <c r="G334" s="58" t="s">
        <v>2436</v>
      </c>
      <c r="H334" s="10">
        <v>1</v>
      </c>
      <c r="I334" s="10">
        <v>0</v>
      </c>
      <c r="J334" s="101">
        <f t="shared" si="21"/>
        <v>1</v>
      </c>
      <c r="K334" s="58" t="s">
        <v>2466</v>
      </c>
      <c r="L334" s="58" t="s">
        <v>2467</v>
      </c>
    </row>
    <row r="335" hidden="1" spans="1:12">
      <c r="A335" t="str">
        <f t="shared" si="22"/>
        <v>加拿大七店1412000184001整份</v>
      </c>
      <c r="B335" s="84" t="s">
        <v>636</v>
      </c>
      <c r="C335" s="84"/>
      <c r="D335" s="57">
        <v>14120001</v>
      </c>
      <c r="E335" s="57">
        <v>84001</v>
      </c>
      <c r="F335" s="58" t="s">
        <v>2594</v>
      </c>
      <c r="G335" s="58" t="s">
        <v>2436</v>
      </c>
      <c r="H335" s="10">
        <v>1</v>
      </c>
      <c r="I335" s="10">
        <v>0</v>
      </c>
      <c r="J335" s="101">
        <f t="shared" si="21"/>
        <v>1</v>
      </c>
      <c r="K335" s="58" t="s">
        <v>2466</v>
      </c>
      <c r="L335" s="58" t="s">
        <v>2467</v>
      </c>
    </row>
    <row r="336" hidden="1" spans="1:12">
      <c r="A336" t="str">
        <f t="shared" si="22"/>
        <v>加拿大七店1412000184001整份</v>
      </c>
      <c r="B336" s="84" t="s">
        <v>636</v>
      </c>
      <c r="C336" s="84"/>
      <c r="D336" s="57">
        <v>14120001</v>
      </c>
      <c r="E336" s="57">
        <v>84001</v>
      </c>
      <c r="F336" s="58" t="s">
        <v>2594</v>
      </c>
      <c r="G336" s="58" t="s">
        <v>2436</v>
      </c>
      <c r="H336" s="10">
        <v>1</v>
      </c>
      <c r="I336" s="10">
        <v>0</v>
      </c>
      <c r="J336" s="101">
        <f t="shared" si="21"/>
        <v>1</v>
      </c>
      <c r="K336" s="58" t="s">
        <v>2466</v>
      </c>
      <c r="L336" s="58" t="s">
        <v>2467</v>
      </c>
    </row>
    <row r="337" hidden="1" spans="1:12">
      <c r="A337" t="str">
        <f t="shared" si="22"/>
        <v>加拿大七店1412000184001整份</v>
      </c>
      <c r="B337" s="84" t="s">
        <v>636</v>
      </c>
      <c r="C337" s="84" t="str">
        <f>D337&amp;G337</f>
        <v>14120001整份</v>
      </c>
      <c r="D337" s="57">
        <v>14120001</v>
      </c>
      <c r="E337" s="57">
        <v>84001</v>
      </c>
      <c r="F337" s="58" t="s">
        <v>2594</v>
      </c>
      <c r="G337" s="58" t="s">
        <v>2436</v>
      </c>
      <c r="H337" s="10">
        <v>1</v>
      </c>
      <c r="I337" s="10">
        <v>0</v>
      </c>
      <c r="J337" s="101">
        <f t="shared" si="21"/>
        <v>1</v>
      </c>
      <c r="K337" s="58" t="s">
        <v>2466</v>
      </c>
      <c r="L337" s="58" t="s">
        <v>2467</v>
      </c>
    </row>
    <row r="338" hidden="1" spans="1:12">
      <c r="A338" t="str">
        <f t="shared" si="22"/>
        <v>加拿大七店1412000184001整份</v>
      </c>
      <c r="B338" s="84" t="s">
        <v>636</v>
      </c>
      <c r="C338" s="84" t="str">
        <f>D338&amp;G338</f>
        <v>14120001整份</v>
      </c>
      <c r="D338" s="57">
        <v>14120001</v>
      </c>
      <c r="E338" s="57">
        <v>84001</v>
      </c>
      <c r="F338" s="58" t="s">
        <v>2594</v>
      </c>
      <c r="G338" s="58" t="s">
        <v>2436</v>
      </c>
      <c r="H338" s="10">
        <v>1</v>
      </c>
      <c r="I338" s="10">
        <v>0</v>
      </c>
      <c r="J338" s="101">
        <f t="shared" si="21"/>
        <v>1</v>
      </c>
      <c r="K338" s="58" t="s">
        <v>2466</v>
      </c>
      <c r="L338" s="58" t="s">
        <v>2467</v>
      </c>
    </row>
    <row r="339" hidden="1" spans="1:12">
      <c r="A339" t="str">
        <f t="shared" si="22"/>
        <v>加拿大七店1412000184001整份</v>
      </c>
      <c r="B339" s="84" t="s">
        <v>636</v>
      </c>
      <c r="C339" s="84"/>
      <c r="D339" s="57">
        <v>14120001</v>
      </c>
      <c r="E339" s="57">
        <v>84001</v>
      </c>
      <c r="F339" s="58" t="s">
        <v>2594</v>
      </c>
      <c r="G339" s="58" t="s">
        <v>2436</v>
      </c>
      <c r="H339" s="10">
        <v>1</v>
      </c>
      <c r="I339" s="10">
        <v>0</v>
      </c>
      <c r="J339" s="101">
        <f t="shared" si="21"/>
        <v>1</v>
      </c>
      <c r="K339" s="58" t="s">
        <v>2466</v>
      </c>
      <c r="L339" s="58" t="s">
        <v>2467</v>
      </c>
    </row>
    <row r="340" hidden="1" spans="1:12">
      <c r="A340" t="str">
        <f t="shared" si="22"/>
        <v>加拿大七店1310005四宫格</v>
      </c>
      <c r="B340" s="84" t="s">
        <v>636</v>
      </c>
      <c r="C340" s="84"/>
      <c r="D340" s="57">
        <v>1310005</v>
      </c>
      <c r="E340" s="58" t="s">
        <v>641</v>
      </c>
      <c r="F340" s="58" t="s">
        <v>2352</v>
      </c>
      <c r="G340" s="58" t="s">
        <v>2460</v>
      </c>
      <c r="H340" s="10">
        <v>336</v>
      </c>
      <c r="I340" s="10">
        <v>8</v>
      </c>
      <c r="J340" s="101">
        <f t="shared" si="21"/>
        <v>328</v>
      </c>
      <c r="K340" s="58" t="s">
        <v>2458</v>
      </c>
      <c r="L340" s="58" t="s">
        <v>2461</v>
      </c>
    </row>
    <row r="341" hidden="1" spans="1:12">
      <c r="A341" t="str">
        <f t="shared" si="22"/>
        <v>加拿大七店1412000184001整份</v>
      </c>
      <c r="B341" s="84" t="s">
        <v>636</v>
      </c>
      <c r="C341" s="84" t="str">
        <f>D341&amp;G341</f>
        <v>14120001整份</v>
      </c>
      <c r="D341" s="57">
        <v>14120001</v>
      </c>
      <c r="E341" s="57">
        <v>84001</v>
      </c>
      <c r="F341" s="58" t="s">
        <v>2594</v>
      </c>
      <c r="G341" s="58" t="s">
        <v>2436</v>
      </c>
      <c r="H341" s="10">
        <v>1</v>
      </c>
      <c r="I341" s="10">
        <v>0</v>
      </c>
      <c r="J341" s="101">
        <f t="shared" si="21"/>
        <v>1</v>
      </c>
      <c r="K341" s="58" t="s">
        <v>2466</v>
      </c>
      <c r="L341" s="58" t="s">
        <v>2467</v>
      </c>
    </row>
    <row r="342" hidden="1" spans="1:12">
      <c r="A342" t="str">
        <f t="shared" si="22"/>
        <v>加拿大七店1412000184001整份</v>
      </c>
      <c r="B342" s="84" t="s">
        <v>636</v>
      </c>
      <c r="C342" s="84"/>
      <c r="D342" s="57">
        <v>14120001</v>
      </c>
      <c r="E342" s="57">
        <v>84001</v>
      </c>
      <c r="F342" s="58" t="s">
        <v>2594</v>
      </c>
      <c r="G342" s="58" t="s">
        <v>2436</v>
      </c>
      <c r="H342" s="10">
        <v>1</v>
      </c>
      <c r="I342" s="10">
        <v>0</v>
      </c>
      <c r="J342" s="101">
        <f t="shared" si="21"/>
        <v>1</v>
      </c>
      <c r="K342" s="58" t="s">
        <v>2466</v>
      </c>
      <c r="L342" s="58" t="s">
        <v>2467</v>
      </c>
    </row>
    <row r="343" hidden="1" spans="1:12">
      <c r="A343" t="str">
        <f t="shared" si="22"/>
        <v>加拿大七店1412000184001整份</v>
      </c>
      <c r="B343" s="84" t="s">
        <v>636</v>
      </c>
      <c r="C343" s="84" t="str">
        <f>D343&amp;G343</f>
        <v>14120001整份</v>
      </c>
      <c r="D343" s="57">
        <v>14120001</v>
      </c>
      <c r="E343" s="57">
        <v>84001</v>
      </c>
      <c r="F343" s="58" t="s">
        <v>2594</v>
      </c>
      <c r="G343" s="58" t="s">
        <v>2436</v>
      </c>
      <c r="H343" s="10">
        <v>1</v>
      </c>
      <c r="I343" s="10">
        <v>0</v>
      </c>
      <c r="J343" s="101">
        <f t="shared" si="21"/>
        <v>1</v>
      </c>
      <c r="K343" s="58" t="s">
        <v>2466</v>
      </c>
      <c r="L343" s="58" t="s">
        <v>2467</v>
      </c>
    </row>
    <row r="344" hidden="1" spans="1:12">
      <c r="A344" t="str">
        <f t="shared" si="22"/>
        <v>加拿大七店1412000184001整份</v>
      </c>
      <c r="B344" s="84" t="s">
        <v>636</v>
      </c>
      <c r="C344" s="84" t="str">
        <f>D344&amp;G344</f>
        <v>14120001整份</v>
      </c>
      <c r="D344" s="57">
        <v>14120001</v>
      </c>
      <c r="E344" s="57">
        <v>84001</v>
      </c>
      <c r="F344" s="58" t="s">
        <v>2594</v>
      </c>
      <c r="G344" s="58" t="s">
        <v>2436</v>
      </c>
      <c r="H344" s="10">
        <v>1</v>
      </c>
      <c r="I344" s="10">
        <v>0</v>
      </c>
      <c r="J344" s="101">
        <f t="shared" si="21"/>
        <v>1</v>
      </c>
      <c r="K344" s="58" t="s">
        <v>2466</v>
      </c>
      <c r="L344" s="58" t="s">
        <v>2467</v>
      </c>
    </row>
    <row r="345" hidden="1" spans="1:12">
      <c r="A345" t="str">
        <f t="shared" si="22"/>
        <v>加拿大七店1412000184001整份</v>
      </c>
      <c r="B345" s="84" t="s">
        <v>636</v>
      </c>
      <c r="C345" s="84" t="str">
        <f>D345&amp;G345</f>
        <v>14120001整份</v>
      </c>
      <c r="D345" s="57">
        <v>14120001</v>
      </c>
      <c r="E345" s="57">
        <v>84001</v>
      </c>
      <c r="F345" s="58" t="s">
        <v>2594</v>
      </c>
      <c r="G345" s="58" t="s">
        <v>2436</v>
      </c>
      <c r="H345" s="10">
        <v>1</v>
      </c>
      <c r="I345" s="10">
        <v>0</v>
      </c>
      <c r="J345" s="101">
        <f t="shared" si="21"/>
        <v>1</v>
      </c>
      <c r="K345" s="58" t="s">
        <v>2466</v>
      </c>
      <c r="L345" s="58" t="s">
        <v>2467</v>
      </c>
    </row>
    <row r="346" hidden="1" spans="1:12">
      <c r="A346" t="str">
        <f t="shared" si="22"/>
        <v>加拿大七店1412000184001整份</v>
      </c>
      <c r="B346" s="84" t="s">
        <v>636</v>
      </c>
      <c r="C346" s="84"/>
      <c r="D346" s="57">
        <v>14120001</v>
      </c>
      <c r="E346" s="57">
        <v>84001</v>
      </c>
      <c r="F346" s="58" t="s">
        <v>2594</v>
      </c>
      <c r="G346" s="58" t="s">
        <v>2436</v>
      </c>
      <c r="H346" s="10">
        <v>1</v>
      </c>
      <c r="I346" s="10">
        <v>0</v>
      </c>
      <c r="J346" s="101">
        <f t="shared" si="21"/>
        <v>1</v>
      </c>
      <c r="K346" s="58" t="s">
        <v>2466</v>
      </c>
      <c r="L346" s="58" t="s">
        <v>2467</v>
      </c>
    </row>
    <row r="347" hidden="1" spans="1:12">
      <c r="A347" t="str">
        <f t="shared" si="22"/>
        <v>加拿大七店902051831869磅</v>
      </c>
      <c r="B347" s="84" t="s">
        <v>636</v>
      </c>
      <c r="C347" s="84"/>
      <c r="D347" s="57">
        <v>9020518</v>
      </c>
      <c r="E347" s="57">
        <v>31869</v>
      </c>
      <c r="F347" s="58" t="s">
        <v>2689</v>
      </c>
      <c r="G347" s="58" t="s">
        <v>36</v>
      </c>
      <c r="H347" s="10">
        <v>1</v>
      </c>
      <c r="I347" s="10">
        <v>0</v>
      </c>
      <c r="J347" s="101">
        <f t="shared" si="21"/>
        <v>1</v>
      </c>
      <c r="K347" s="58" t="s">
        <v>2437</v>
      </c>
      <c r="L347" s="58" t="s">
        <v>2464</v>
      </c>
    </row>
    <row r="348" hidden="1" spans="1:12">
      <c r="A348" t="str">
        <f t="shared" si="22"/>
        <v>加拿大七店70002428单锅</v>
      </c>
      <c r="B348" s="84" t="s">
        <v>636</v>
      </c>
      <c r="C348" s="84" t="str">
        <f>D348&amp;G348</f>
        <v>70002428单锅</v>
      </c>
      <c r="D348" s="57">
        <v>70002428</v>
      </c>
      <c r="E348" s="58" t="s">
        <v>641</v>
      </c>
      <c r="F348" s="58" t="s">
        <v>2468</v>
      </c>
      <c r="G348" s="58" t="s">
        <v>2507</v>
      </c>
      <c r="H348" s="10">
        <v>3</v>
      </c>
      <c r="I348" s="10">
        <v>0</v>
      </c>
      <c r="J348" s="101">
        <f t="shared" si="21"/>
        <v>3</v>
      </c>
      <c r="K348" s="58" t="s">
        <v>2458</v>
      </c>
      <c r="L348" s="58" t="s">
        <v>2508</v>
      </c>
    </row>
    <row r="349" hidden="1" spans="1:12">
      <c r="A349" t="str">
        <f t="shared" si="22"/>
        <v>加拿大七店1412000184001整份</v>
      </c>
      <c r="B349" s="84" t="s">
        <v>636</v>
      </c>
      <c r="D349" s="57">
        <v>14120001</v>
      </c>
      <c r="E349" s="57">
        <v>84001</v>
      </c>
      <c r="F349" s="58" t="s">
        <v>2594</v>
      </c>
      <c r="G349" s="58" t="s">
        <v>2436</v>
      </c>
      <c r="H349" s="10">
        <v>1</v>
      </c>
      <c r="I349" s="10">
        <v>0</v>
      </c>
      <c r="J349" s="101">
        <f t="shared" si="21"/>
        <v>1</v>
      </c>
      <c r="K349" s="58" t="s">
        <v>2466</v>
      </c>
      <c r="L349" s="58" t="s">
        <v>2467</v>
      </c>
    </row>
    <row r="350" hidden="1" spans="1:12">
      <c r="A350" t="str">
        <f t="shared" si="22"/>
        <v>加拿大七店1412000184001整份</v>
      </c>
      <c r="B350" s="84" t="s">
        <v>636</v>
      </c>
      <c r="D350" s="57">
        <v>14120001</v>
      </c>
      <c r="E350" s="57">
        <v>84001</v>
      </c>
      <c r="F350" s="58" t="s">
        <v>2594</v>
      </c>
      <c r="G350" s="58" t="s">
        <v>2436</v>
      </c>
      <c r="H350" s="10">
        <v>1</v>
      </c>
      <c r="I350" s="10">
        <v>0</v>
      </c>
      <c r="J350" s="101">
        <f t="shared" si="21"/>
        <v>1</v>
      </c>
      <c r="K350" s="58" t="s">
        <v>2466</v>
      </c>
      <c r="L350" s="58" t="s">
        <v>2467</v>
      </c>
    </row>
    <row r="351" hidden="1" spans="1:12">
      <c r="A351" t="str">
        <f t="shared" si="22"/>
        <v>加拿大七店1412000184001整份</v>
      </c>
      <c r="B351" s="84" t="s">
        <v>636</v>
      </c>
      <c r="D351" s="57">
        <v>14120001</v>
      </c>
      <c r="E351" s="57">
        <v>84001</v>
      </c>
      <c r="F351" s="58" t="s">
        <v>2594</v>
      </c>
      <c r="G351" s="58" t="s">
        <v>2436</v>
      </c>
      <c r="H351" s="10">
        <v>1</v>
      </c>
      <c r="I351" s="10">
        <v>0</v>
      </c>
      <c r="J351" s="101">
        <f t="shared" si="21"/>
        <v>1</v>
      </c>
      <c r="K351" s="58" t="s">
        <v>2466</v>
      </c>
      <c r="L351" s="58" t="s">
        <v>2467</v>
      </c>
    </row>
    <row r="352" hidden="1" spans="1:12">
      <c r="A352" t="str">
        <f t="shared" ref="A352:A383" si="23">B352&amp;D352&amp;E352&amp;G352</f>
        <v>1412000184001整份</v>
      </c>
      <c r="B352" s="84"/>
      <c r="D352" s="57">
        <v>14120001</v>
      </c>
      <c r="E352" s="57">
        <v>84001</v>
      </c>
      <c r="F352" s="58" t="s">
        <v>2594</v>
      </c>
      <c r="G352" s="58" t="s">
        <v>2436</v>
      </c>
      <c r="H352" s="10">
        <v>1</v>
      </c>
      <c r="I352" s="10">
        <v>0</v>
      </c>
      <c r="J352" s="101">
        <f t="shared" ref="J352:J398" si="24">H352-I352</f>
        <v>1</v>
      </c>
      <c r="K352" s="58" t="s">
        <v>2466</v>
      </c>
      <c r="L352" s="58" t="s">
        <v>2467</v>
      </c>
    </row>
    <row r="353" hidden="1" spans="1:12">
      <c r="A353" t="str">
        <f t="shared" si="23"/>
        <v>1412000184001整份</v>
      </c>
      <c r="B353" s="84"/>
      <c r="D353" s="57">
        <v>14120001</v>
      </c>
      <c r="E353" s="57">
        <v>84001</v>
      </c>
      <c r="F353" s="58" t="s">
        <v>2594</v>
      </c>
      <c r="G353" s="58" t="s">
        <v>2436</v>
      </c>
      <c r="H353" s="10">
        <v>1</v>
      </c>
      <c r="I353" s="10">
        <v>0</v>
      </c>
      <c r="J353" s="101">
        <f t="shared" si="24"/>
        <v>1</v>
      </c>
      <c r="K353" s="58" t="s">
        <v>2466</v>
      </c>
      <c r="L353" s="58" t="s">
        <v>2467</v>
      </c>
    </row>
    <row r="354" hidden="1" spans="1:12">
      <c r="A354" t="str">
        <f t="shared" si="23"/>
        <v>1310005拼锅</v>
      </c>
      <c r="B354" s="84"/>
      <c r="D354" s="57">
        <v>1310005</v>
      </c>
      <c r="E354" s="58" t="s">
        <v>641</v>
      </c>
      <c r="F354" s="58" t="s">
        <v>2352</v>
      </c>
      <c r="G354" s="58" t="s">
        <v>2457</v>
      </c>
      <c r="H354" s="10">
        <v>151</v>
      </c>
      <c r="I354" s="10">
        <v>6</v>
      </c>
      <c r="J354" s="101">
        <f t="shared" si="24"/>
        <v>145</v>
      </c>
      <c r="K354" s="58" t="s">
        <v>2458</v>
      </c>
      <c r="L354" s="58" t="s">
        <v>2459</v>
      </c>
    </row>
    <row r="355" hidden="1" spans="1:12">
      <c r="A355" t="str">
        <f t="shared" si="23"/>
        <v>903018933253整份</v>
      </c>
      <c r="B355" s="84"/>
      <c r="D355" s="57">
        <v>9030189</v>
      </c>
      <c r="E355" s="57">
        <v>33253</v>
      </c>
      <c r="F355" s="58" t="s">
        <v>2682</v>
      </c>
      <c r="G355" s="58" t="s">
        <v>2436</v>
      </c>
      <c r="H355" s="10">
        <v>1</v>
      </c>
      <c r="I355" s="10">
        <v>0</v>
      </c>
      <c r="J355" s="101">
        <f t="shared" si="24"/>
        <v>1</v>
      </c>
      <c r="K355" s="58" t="s">
        <v>2437</v>
      </c>
      <c r="L355" s="58" t="s">
        <v>2464</v>
      </c>
    </row>
    <row r="356" hidden="1" spans="1:12">
      <c r="A356" t="str">
        <f t="shared" si="23"/>
        <v>903018933253整份</v>
      </c>
      <c r="B356" s="84"/>
      <c r="D356" s="57">
        <v>9030189</v>
      </c>
      <c r="E356" s="57">
        <v>33253</v>
      </c>
      <c r="F356" s="58" t="s">
        <v>2682</v>
      </c>
      <c r="G356" s="58" t="s">
        <v>2436</v>
      </c>
      <c r="H356" s="10">
        <v>1</v>
      </c>
      <c r="I356" s="10">
        <v>0</v>
      </c>
      <c r="J356" s="101">
        <f t="shared" si="24"/>
        <v>1</v>
      </c>
      <c r="K356" s="58" t="s">
        <v>2437</v>
      </c>
      <c r="L356" s="58" t="s">
        <v>2464</v>
      </c>
    </row>
    <row r="357" hidden="1" spans="1:12">
      <c r="A357" t="str">
        <f t="shared" si="23"/>
        <v>1412000184001整份</v>
      </c>
      <c r="B357" s="84"/>
      <c r="D357" s="57">
        <v>14120001</v>
      </c>
      <c r="E357" s="57">
        <v>84001</v>
      </c>
      <c r="F357" s="58" t="s">
        <v>2594</v>
      </c>
      <c r="G357" s="58" t="s">
        <v>2436</v>
      </c>
      <c r="H357" s="10">
        <v>1</v>
      </c>
      <c r="I357" s="10">
        <v>0</v>
      </c>
      <c r="J357" s="101">
        <f t="shared" si="24"/>
        <v>1</v>
      </c>
      <c r="K357" s="58" t="s">
        <v>2466</v>
      </c>
      <c r="L357" s="58" t="s">
        <v>2467</v>
      </c>
    </row>
    <row r="358" hidden="1" spans="1:12">
      <c r="A358" t="str">
        <f t="shared" si="23"/>
        <v>1412000184001整份</v>
      </c>
      <c r="B358" s="84"/>
      <c r="D358" s="57">
        <v>14120001</v>
      </c>
      <c r="E358" s="57">
        <v>84001</v>
      </c>
      <c r="F358" s="58" t="s">
        <v>2594</v>
      </c>
      <c r="G358" s="58" t="s">
        <v>2436</v>
      </c>
      <c r="H358" s="10">
        <v>1</v>
      </c>
      <c r="I358" s="10">
        <v>0</v>
      </c>
      <c r="J358" s="101">
        <f t="shared" si="24"/>
        <v>1</v>
      </c>
      <c r="K358" s="58" t="s">
        <v>2466</v>
      </c>
      <c r="L358" s="58" t="s">
        <v>2467</v>
      </c>
    </row>
    <row r="359" hidden="1" spans="1:12">
      <c r="A359" t="str">
        <f t="shared" si="23"/>
        <v>1412000184001整份</v>
      </c>
      <c r="B359" s="84"/>
      <c r="D359" s="57">
        <v>14120001</v>
      </c>
      <c r="E359" s="57">
        <v>84001</v>
      </c>
      <c r="F359" s="58" t="s">
        <v>2594</v>
      </c>
      <c r="G359" s="58" t="s">
        <v>2436</v>
      </c>
      <c r="H359" s="10">
        <v>1</v>
      </c>
      <c r="I359" s="10">
        <v>0</v>
      </c>
      <c r="J359" s="101">
        <f t="shared" si="24"/>
        <v>1</v>
      </c>
      <c r="K359" s="58" t="s">
        <v>2466</v>
      </c>
      <c r="L359" s="58" t="s">
        <v>2467</v>
      </c>
    </row>
    <row r="360" hidden="1" spans="1:12">
      <c r="A360" t="str">
        <f t="shared" si="23"/>
        <v>1412000184001整份</v>
      </c>
      <c r="B360" s="84"/>
      <c r="D360" s="57">
        <v>14120001</v>
      </c>
      <c r="E360" s="57">
        <v>84001</v>
      </c>
      <c r="F360" s="58" t="s">
        <v>2594</v>
      </c>
      <c r="G360" s="58" t="s">
        <v>2436</v>
      </c>
      <c r="H360" s="10">
        <v>1</v>
      </c>
      <c r="I360" s="10">
        <v>0</v>
      </c>
      <c r="J360" s="101">
        <f t="shared" si="24"/>
        <v>1</v>
      </c>
      <c r="K360" s="58" t="s">
        <v>2466</v>
      </c>
      <c r="L360" s="58" t="s">
        <v>2467</v>
      </c>
    </row>
    <row r="361" hidden="1" spans="1:12">
      <c r="A361" t="str">
        <f t="shared" si="23"/>
        <v>1412000184001整份</v>
      </c>
      <c r="B361" s="84"/>
      <c r="D361" s="57">
        <v>14120001</v>
      </c>
      <c r="E361" s="57">
        <v>84001</v>
      </c>
      <c r="F361" s="58" t="s">
        <v>2594</v>
      </c>
      <c r="G361" s="58" t="s">
        <v>2436</v>
      </c>
      <c r="H361" s="10">
        <v>1</v>
      </c>
      <c r="I361" s="10">
        <v>0</v>
      </c>
      <c r="J361" s="101">
        <f t="shared" si="24"/>
        <v>1</v>
      </c>
      <c r="K361" s="58" t="s">
        <v>2466</v>
      </c>
      <c r="L361" s="58" t="s">
        <v>2467</v>
      </c>
    </row>
    <row r="362" hidden="1" spans="1:12">
      <c r="A362" t="str">
        <f t="shared" si="23"/>
        <v>1412000184001整份</v>
      </c>
      <c r="B362" s="84"/>
      <c r="D362" s="57">
        <v>14120001</v>
      </c>
      <c r="E362" s="57">
        <v>84001</v>
      </c>
      <c r="F362" s="58" t="s">
        <v>2594</v>
      </c>
      <c r="G362" s="58" t="s">
        <v>2436</v>
      </c>
      <c r="H362" s="10">
        <v>1</v>
      </c>
      <c r="I362" s="10">
        <v>0</v>
      </c>
      <c r="J362" s="101">
        <f t="shared" si="24"/>
        <v>1</v>
      </c>
      <c r="K362" s="58" t="s">
        <v>2466</v>
      </c>
      <c r="L362" s="58" t="s">
        <v>2467</v>
      </c>
    </row>
    <row r="363" hidden="1" spans="1:12">
      <c r="A363" t="str">
        <f t="shared" si="23"/>
        <v>903049832583整份</v>
      </c>
      <c r="B363" s="84"/>
      <c r="D363" s="57">
        <v>9030498</v>
      </c>
      <c r="E363" s="57">
        <v>32583</v>
      </c>
      <c r="F363" s="58" t="s">
        <v>2690</v>
      </c>
      <c r="G363" s="58" t="s">
        <v>2436</v>
      </c>
      <c r="H363" s="10">
        <v>3</v>
      </c>
      <c r="I363" s="10">
        <v>3</v>
      </c>
      <c r="J363" s="101">
        <f t="shared" si="24"/>
        <v>0</v>
      </c>
      <c r="K363" s="58" t="s">
        <v>2437</v>
      </c>
      <c r="L363" s="58" t="s">
        <v>2464</v>
      </c>
    </row>
    <row r="364" hidden="1" spans="1:12">
      <c r="A364" t="str">
        <f t="shared" si="23"/>
        <v>903049832583整份</v>
      </c>
      <c r="B364" s="84"/>
      <c r="D364" s="57">
        <v>9030498</v>
      </c>
      <c r="E364" s="57">
        <v>32583</v>
      </c>
      <c r="F364" s="58" t="s">
        <v>2690</v>
      </c>
      <c r="G364" s="58" t="s">
        <v>2436</v>
      </c>
      <c r="H364" s="10">
        <v>39</v>
      </c>
      <c r="I364" s="10">
        <v>2</v>
      </c>
      <c r="J364" s="101">
        <f t="shared" si="24"/>
        <v>37</v>
      </c>
      <c r="K364" s="58" t="s">
        <v>2437</v>
      </c>
      <c r="L364" s="58" t="s">
        <v>2464</v>
      </c>
    </row>
    <row r="365" hidden="1" spans="1:12">
      <c r="A365" t="str">
        <f t="shared" si="23"/>
        <v>903049832583整份</v>
      </c>
      <c r="B365" s="84"/>
      <c r="D365" s="57">
        <v>9030498</v>
      </c>
      <c r="E365" s="57">
        <v>32583</v>
      </c>
      <c r="F365" s="58" t="s">
        <v>2690</v>
      </c>
      <c r="G365" s="58" t="s">
        <v>2436</v>
      </c>
      <c r="H365" s="10">
        <v>2</v>
      </c>
      <c r="I365" s="10">
        <v>1</v>
      </c>
      <c r="J365" s="101">
        <f t="shared" si="24"/>
        <v>1</v>
      </c>
      <c r="K365" s="58" t="s">
        <v>2437</v>
      </c>
      <c r="L365" s="58" t="s">
        <v>2464</v>
      </c>
    </row>
    <row r="366" hidden="1" spans="1:12">
      <c r="A366" t="str">
        <f t="shared" si="23"/>
        <v>903018933253整份</v>
      </c>
      <c r="B366" s="84"/>
      <c r="D366" s="57">
        <v>9030189</v>
      </c>
      <c r="E366" s="57">
        <v>33253</v>
      </c>
      <c r="F366" s="58" t="s">
        <v>2682</v>
      </c>
      <c r="G366" s="58" t="s">
        <v>2436</v>
      </c>
      <c r="H366" s="10">
        <v>1</v>
      </c>
      <c r="I366" s="10">
        <v>0</v>
      </c>
      <c r="J366" s="101">
        <f t="shared" si="24"/>
        <v>1</v>
      </c>
      <c r="K366" s="58" t="s">
        <v>2437</v>
      </c>
      <c r="L366" s="58" t="s">
        <v>2464</v>
      </c>
    </row>
    <row r="367" hidden="1" spans="1:12">
      <c r="A367" t="str">
        <f t="shared" si="23"/>
        <v>1412000184001整份</v>
      </c>
      <c r="B367" s="84"/>
      <c r="D367" s="57">
        <v>14120001</v>
      </c>
      <c r="E367" s="57">
        <v>84001</v>
      </c>
      <c r="F367" s="58" t="s">
        <v>2594</v>
      </c>
      <c r="G367" s="58" t="s">
        <v>2436</v>
      </c>
      <c r="H367" s="10">
        <v>1</v>
      </c>
      <c r="I367" s="10">
        <v>0</v>
      </c>
      <c r="J367" s="101">
        <f t="shared" si="24"/>
        <v>1</v>
      </c>
      <c r="K367" s="58" t="s">
        <v>2466</v>
      </c>
      <c r="L367" s="58" t="s">
        <v>2467</v>
      </c>
    </row>
    <row r="368" hidden="1" spans="1:12">
      <c r="A368" t="str">
        <f t="shared" si="23"/>
        <v>1412000184001整份</v>
      </c>
      <c r="B368" s="84"/>
      <c r="D368" s="57">
        <v>14120001</v>
      </c>
      <c r="E368" s="57">
        <v>84001</v>
      </c>
      <c r="F368" s="58" t="s">
        <v>2594</v>
      </c>
      <c r="G368" s="58" t="s">
        <v>2436</v>
      </c>
      <c r="H368" s="10">
        <v>1</v>
      </c>
      <c r="I368" s="10">
        <v>0</v>
      </c>
      <c r="J368" s="101">
        <f t="shared" si="24"/>
        <v>1</v>
      </c>
      <c r="K368" s="58" t="s">
        <v>2466</v>
      </c>
      <c r="L368" s="58" t="s">
        <v>2467</v>
      </c>
    </row>
    <row r="369" hidden="1" spans="1:12">
      <c r="A369" t="str">
        <f t="shared" si="23"/>
        <v>1412000184001整份</v>
      </c>
      <c r="B369" s="84"/>
      <c r="D369" s="57">
        <v>14120001</v>
      </c>
      <c r="E369" s="57">
        <v>84001</v>
      </c>
      <c r="F369" s="58" t="s">
        <v>2594</v>
      </c>
      <c r="G369" s="58" t="s">
        <v>2436</v>
      </c>
      <c r="H369" s="10">
        <v>1</v>
      </c>
      <c r="I369" s="10">
        <v>0</v>
      </c>
      <c r="J369" s="101">
        <f t="shared" si="24"/>
        <v>1</v>
      </c>
      <c r="K369" s="58" t="s">
        <v>2466</v>
      </c>
      <c r="L369" s="58" t="s">
        <v>2467</v>
      </c>
    </row>
    <row r="370" hidden="1" spans="1:12">
      <c r="A370" t="str">
        <f t="shared" si="23"/>
        <v>1412000184001整份</v>
      </c>
      <c r="B370" s="84"/>
      <c r="D370" s="57">
        <v>14120001</v>
      </c>
      <c r="E370" s="57">
        <v>84001</v>
      </c>
      <c r="F370" s="58" t="s">
        <v>2594</v>
      </c>
      <c r="G370" s="58" t="s">
        <v>2436</v>
      </c>
      <c r="H370" s="10">
        <v>1</v>
      </c>
      <c r="I370" s="10">
        <v>0</v>
      </c>
      <c r="J370" s="101">
        <f t="shared" si="24"/>
        <v>1</v>
      </c>
      <c r="K370" s="58" t="s">
        <v>2466</v>
      </c>
      <c r="L370" s="58" t="s">
        <v>2467</v>
      </c>
    </row>
    <row r="371" hidden="1" spans="1:12">
      <c r="A371" t="str">
        <f t="shared" si="23"/>
        <v>1412000184001整份</v>
      </c>
      <c r="B371" s="84"/>
      <c r="D371" s="57">
        <v>14120001</v>
      </c>
      <c r="E371" s="57">
        <v>84001</v>
      </c>
      <c r="F371" s="58" t="s">
        <v>2594</v>
      </c>
      <c r="G371" s="58" t="s">
        <v>2436</v>
      </c>
      <c r="H371" s="10">
        <v>1</v>
      </c>
      <c r="I371" s="10">
        <v>0</v>
      </c>
      <c r="J371" s="101">
        <f t="shared" si="24"/>
        <v>1</v>
      </c>
      <c r="K371" s="58" t="s">
        <v>2466</v>
      </c>
      <c r="L371" s="58" t="s">
        <v>2467</v>
      </c>
    </row>
    <row r="372" hidden="1" spans="1:12">
      <c r="A372" t="str">
        <f t="shared" si="23"/>
        <v>902051831869磅</v>
      </c>
      <c r="B372" s="84"/>
      <c r="D372" s="57">
        <v>9020518</v>
      </c>
      <c r="E372" s="57">
        <v>31869</v>
      </c>
      <c r="F372" s="58" t="s">
        <v>2689</v>
      </c>
      <c r="G372" s="58" t="s">
        <v>36</v>
      </c>
      <c r="H372" s="10">
        <v>1</v>
      </c>
      <c r="I372" s="10">
        <v>0</v>
      </c>
      <c r="J372" s="101">
        <f t="shared" si="24"/>
        <v>1</v>
      </c>
      <c r="K372" s="58" t="s">
        <v>2437</v>
      </c>
      <c r="L372" s="58" t="s">
        <v>2464</v>
      </c>
    </row>
    <row r="373" hidden="1" spans="1:12">
      <c r="A373" t="str">
        <f t="shared" si="23"/>
        <v>1412000184001整份</v>
      </c>
      <c r="B373" s="84"/>
      <c r="D373" s="57">
        <v>14120001</v>
      </c>
      <c r="E373" s="57">
        <v>84001</v>
      </c>
      <c r="F373" s="58" t="s">
        <v>2594</v>
      </c>
      <c r="G373" s="58" t="s">
        <v>2436</v>
      </c>
      <c r="H373" s="10">
        <v>1</v>
      </c>
      <c r="I373" s="10">
        <v>0</v>
      </c>
      <c r="J373" s="101">
        <f t="shared" si="24"/>
        <v>1</v>
      </c>
      <c r="K373" s="58" t="s">
        <v>2466</v>
      </c>
      <c r="L373" s="58" t="s">
        <v>2467</v>
      </c>
    </row>
    <row r="374" hidden="1" spans="1:12">
      <c r="A374" t="str">
        <f t="shared" si="23"/>
        <v>1412000184001整份</v>
      </c>
      <c r="B374" s="84"/>
      <c r="D374" s="57">
        <v>14120001</v>
      </c>
      <c r="E374" s="57">
        <v>84001</v>
      </c>
      <c r="F374" s="58" t="s">
        <v>2594</v>
      </c>
      <c r="G374" s="58" t="s">
        <v>2436</v>
      </c>
      <c r="H374" s="10">
        <v>1</v>
      </c>
      <c r="I374" s="10">
        <v>0</v>
      </c>
      <c r="J374" s="101">
        <f t="shared" si="24"/>
        <v>1</v>
      </c>
      <c r="K374" s="58" t="s">
        <v>2466</v>
      </c>
      <c r="L374" s="58" t="s">
        <v>2467</v>
      </c>
    </row>
    <row r="375" hidden="1" spans="1:12">
      <c r="A375" t="str">
        <f t="shared" si="23"/>
        <v>1412000184001整份</v>
      </c>
      <c r="B375" s="84"/>
      <c r="D375" s="57">
        <v>14120001</v>
      </c>
      <c r="E375" s="57">
        <v>84001</v>
      </c>
      <c r="F375" s="58" t="s">
        <v>2594</v>
      </c>
      <c r="G375" s="58" t="s">
        <v>2436</v>
      </c>
      <c r="H375" s="10">
        <v>1</v>
      </c>
      <c r="I375" s="10">
        <v>0</v>
      </c>
      <c r="J375" s="101">
        <f t="shared" si="24"/>
        <v>1</v>
      </c>
      <c r="K375" s="58" t="s">
        <v>2466</v>
      </c>
      <c r="L375" s="58" t="s">
        <v>2467</v>
      </c>
    </row>
    <row r="376" hidden="1" spans="1:12">
      <c r="A376" t="str">
        <f t="shared" si="23"/>
        <v>1412000184001整份</v>
      </c>
      <c r="B376" s="84"/>
      <c r="D376" s="57">
        <v>14120001</v>
      </c>
      <c r="E376" s="57">
        <v>84001</v>
      </c>
      <c r="F376" s="58" t="s">
        <v>2594</v>
      </c>
      <c r="G376" s="58" t="s">
        <v>2436</v>
      </c>
      <c r="H376" s="10">
        <v>1</v>
      </c>
      <c r="I376" s="10">
        <v>0</v>
      </c>
      <c r="J376" s="101">
        <f t="shared" si="24"/>
        <v>1</v>
      </c>
      <c r="K376" s="58" t="s">
        <v>2466</v>
      </c>
      <c r="L376" s="58" t="s">
        <v>2467</v>
      </c>
    </row>
    <row r="377" hidden="1" spans="1:12">
      <c r="A377" t="str">
        <f t="shared" si="23"/>
        <v>1412000184001整份</v>
      </c>
      <c r="B377" s="84"/>
      <c r="D377" s="57">
        <v>14120001</v>
      </c>
      <c r="E377" s="57">
        <v>84001</v>
      </c>
      <c r="F377" s="58" t="s">
        <v>2594</v>
      </c>
      <c r="G377" s="58" t="s">
        <v>2436</v>
      </c>
      <c r="H377" s="10">
        <v>1</v>
      </c>
      <c r="I377" s="10">
        <v>0</v>
      </c>
      <c r="J377" s="101">
        <f t="shared" si="24"/>
        <v>1</v>
      </c>
      <c r="K377" s="58" t="s">
        <v>2466</v>
      </c>
      <c r="L377" s="58" t="s">
        <v>2467</v>
      </c>
    </row>
    <row r="378" hidden="1" spans="1:12">
      <c r="A378" t="str">
        <f t="shared" si="23"/>
        <v>1412000184001整份</v>
      </c>
      <c r="B378" s="84"/>
      <c r="D378" s="57">
        <v>14120001</v>
      </c>
      <c r="E378" s="57">
        <v>84001</v>
      </c>
      <c r="F378" s="58" t="s">
        <v>2594</v>
      </c>
      <c r="G378" s="58" t="s">
        <v>2436</v>
      </c>
      <c r="H378" s="10">
        <v>1</v>
      </c>
      <c r="I378" s="10">
        <v>0</v>
      </c>
      <c r="J378" s="101">
        <f t="shared" si="24"/>
        <v>1</v>
      </c>
      <c r="K378" s="58" t="s">
        <v>2466</v>
      </c>
      <c r="L378" s="58" t="s">
        <v>2467</v>
      </c>
    </row>
    <row r="379" hidden="1" spans="1:12">
      <c r="A379" t="str">
        <f t="shared" si="23"/>
        <v>1412000184001整份</v>
      </c>
      <c r="B379" s="84"/>
      <c r="D379" s="57">
        <v>14120001</v>
      </c>
      <c r="E379" s="57">
        <v>84001</v>
      </c>
      <c r="F379" s="58" t="s">
        <v>2594</v>
      </c>
      <c r="G379" s="58" t="s">
        <v>2436</v>
      </c>
      <c r="H379" s="10">
        <v>1</v>
      </c>
      <c r="I379" s="10">
        <v>0</v>
      </c>
      <c r="J379" s="101">
        <f t="shared" si="24"/>
        <v>1</v>
      </c>
      <c r="K379" s="58" t="s">
        <v>2466</v>
      </c>
      <c r="L379" s="58" t="s">
        <v>2467</v>
      </c>
    </row>
    <row r="380" hidden="1" spans="1:12">
      <c r="A380" t="str">
        <f t="shared" si="23"/>
        <v>1412000184001整份</v>
      </c>
      <c r="B380" s="84"/>
      <c r="D380" s="57">
        <v>14120001</v>
      </c>
      <c r="E380" s="57">
        <v>84001</v>
      </c>
      <c r="F380" s="58" t="s">
        <v>2594</v>
      </c>
      <c r="G380" s="58" t="s">
        <v>2436</v>
      </c>
      <c r="H380" s="10">
        <v>1</v>
      </c>
      <c r="I380" s="10">
        <v>0</v>
      </c>
      <c r="J380" s="101">
        <f t="shared" si="24"/>
        <v>1</v>
      </c>
      <c r="K380" s="58" t="s">
        <v>2466</v>
      </c>
      <c r="L380" s="58" t="s">
        <v>2467</v>
      </c>
    </row>
    <row r="381" hidden="1" spans="1:12">
      <c r="A381" t="str">
        <f t="shared" si="23"/>
        <v>903049832583整份</v>
      </c>
      <c r="B381" s="84"/>
      <c r="D381" s="57">
        <v>9030498</v>
      </c>
      <c r="E381" s="57">
        <v>32583</v>
      </c>
      <c r="F381" s="58" t="s">
        <v>2690</v>
      </c>
      <c r="G381" s="58" t="s">
        <v>2436</v>
      </c>
      <c r="H381" s="10">
        <v>8</v>
      </c>
      <c r="I381" s="10">
        <v>0</v>
      </c>
      <c r="J381" s="101">
        <f t="shared" si="24"/>
        <v>8</v>
      </c>
      <c r="K381" s="58" t="s">
        <v>2437</v>
      </c>
      <c r="L381" s="58" t="s">
        <v>2464</v>
      </c>
    </row>
    <row r="382" spans="1:12">
      <c r="A382" t="str">
        <f t="shared" si="23"/>
        <v>1304028473284常温</v>
      </c>
      <c r="B382" s="84"/>
      <c r="D382" s="57">
        <v>13040284</v>
      </c>
      <c r="E382" s="57">
        <v>73284</v>
      </c>
      <c r="F382" s="58" t="s">
        <v>2676</v>
      </c>
      <c r="G382" s="58" t="s">
        <v>2672</v>
      </c>
      <c r="H382" s="10">
        <v>3</v>
      </c>
      <c r="I382" s="10">
        <v>0</v>
      </c>
      <c r="J382" s="101">
        <f t="shared" si="24"/>
        <v>3</v>
      </c>
      <c r="K382" s="58" t="s">
        <v>2451</v>
      </c>
      <c r="L382" s="58" t="s">
        <v>2627</v>
      </c>
    </row>
    <row r="383" hidden="1" spans="1:12">
      <c r="A383" t="str">
        <f t="shared" si="23"/>
        <v>903018933253整份</v>
      </c>
      <c r="B383" s="84"/>
      <c r="D383" s="57">
        <v>9030189</v>
      </c>
      <c r="E383" s="57">
        <v>33253</v>
      </c>
      <c r="F383" s="58" t="s">
        <v>2682</v>
      </c>
      <c r="G383" s="58" t="s">
        <v>2436</v>
      </c>
      <c r="H383" s="10">
        <v>1</v>
      </c>
      <c r="I383" s="10">
        <v>0</v>
      </c>
      <c r="J383" s="101">
        <f t="shared" si="24"/>
        <v>1</v>
      </c>
      <c r="K383" s="58" t="s">
        <v>2437</v>
      </c>
      <c r="L383" s="58" t="s">
        <v>2464</v>
      </c>
    </row>
    <row r="384" hidden="1" spans="1:12">
      <c r="A384" t="str">
        <f t="shared" ref="A384:A415" si="25">B384&amp;D384&amp;E384&amp;G384</f>
        <v>1412000184001整份</v>
      </c>
      <c r="B384" s="84"/>
      <c r="D384" s="57">
        <v>14120001</v>
      </c>
      <c r="E384" s="57">
        <v>84001</v>
      </c>
      <c r="F384" s="58" t="s">
        <v>2594</v>
      </c>
      <c r="G384" s="58" t="s">
        <v>2436</v>
      </c>
      <c r="H384" s="10">
        <v>1</v>
      </c>
      <c r="I384" s="10">
        <v>0</v>
      </c>
      <c r="J384" s="101">
        <f t="shared" si="24"/>
        <v>1</v>
      </c>
      <c r="K384" s="58" t="s">
        <v>2466</v>
      </c>
      <c r="L384" s="58" t="s">
        <v>2467</v>
      </c>
    </row>
    <row r="385" hidden="1" spans="1:12">
      <c r="A385" t="str">
        <f t="shared" si="25"/>
        <v>1412000184001整份</v>
      </c>
      <c r="B385" s="84"/>
      <c r="D385" s="57">
        <v>14120001</v>
      </c>
      <c r="E385" s="57">
        <v>84001</v>
      </c>
      <c r="F385" s="58" t="s">
        <v>2594</v>
      </c>
      <c r="G385" s="58" t="s">
        <v>2436</v>
      </c>
      <c r="H385" s="10">
        <v>1</v>
      </c>
      <c r="I385" s="10">
        <v>0</v>
      </c>
      <c r="J385" s="101">
        <f t="shared" si="24"/>
        <v>1</v>
      </c>
      <c r="K385" s="58" t="s">
        <v>2466</v>
      </c>
      <c r="L385" s="58" t="s">
        <v>2467</v>
      </c>
    </row>
    <row r="386" hidden="1" spans="1:12">
      <c r="A386" t="str">
        <f t="shared" si="25"/>
        <v>1412000184001整份</v>
      </c>
      <c r="B386" s="84"/>
      <c r="D386" s="57">
        <v>14120001</v>
      </c>
      <c r="E386" s="57">
        <v>84001</v>
      </c>
      <c r="F386" s="58" t="s">
        <v>2594</v>
      </c>
      <c r="G386" s="58" t="s">
        <v>2436</v>
      </c>
      <c r="H386" s="10">
        <v>1</v>
      </c>
      <c r="I386" s="10">
        <v>0</v>
      </c>
      <c r="J386" s="101">
        <f t="shared" si="24"/>
        <v>1</v>
      </c>
      <c r="K386" s="58" t="s">
        <v>2466</v>
      </c>
      <c r="L386" s="58" t="s">
        <v>2467</v>
      </c>
    </row>
    <row r="387" hidden="1" spans="1:12">
      <c r="A387" t="str">
        <f t="shared" si="25"/>
        <v>1412000184001整份</v>
      </c>
      <c r="B387" s="84"/>
      <c r="D387" s="57">
        <v>14120001</v>
      </c>
      <c r="E387" s="57">
        <v>84001</v>
      </c>
      <c r="F387" s="58" t="s">
        <v>2594</v>
      </c>
      <c r="G387" s="58" t="s">
        <v>2436</v>
      </c>
      <c r="H387" s="10">
        <v>1</v>
      </c>
      <c r="I387" s="10">
        <v>0</v>
      </c>
      <c r="J387" s="101">
        <f t="shared" si="24"/>
        <v>1</v>
      </c>
      <c r="K387" s="58" t="s">
        <v>2466</v>
      </c>
      <c r="L387" s="58" t="s">
        <v>2467</v>
      </c>
    </row>
    <row r="388" hidden="1" spans="1:12">
      <c r="A388" t="str">
        <f t="shared" si="25"/>
        <v>1412000184001整份</v>
      </c>
      <c r="B388" s="84"/>
      <c r="D388" s="57">
        <v>14120001</v>
      </c>
      <c r="E388" s="57">
        <v>84001</v>
      </c>
      <c r="F388" s="58" t="s">
        <v>2594</v>
      </c>
      <c r="G388" s="58" t="s">
        <v>2436</v>
      </c>
      <c r="H388" s="10">
        <v>1</v>
      </c>
      <c r="I388" s="10">
        <v>0</v>
      </c>
      <c r="J388" s="101">
        <f t="shared" si="24"/>
        <v>1</v>
      </c>
      <c r="K388" s="58" t="s">
        <v>2466</v>
      </c>
      <c r="L388" s="58" t="s">
        <v>2467</v>
      </c>
    </row>
    <row r="389" hidden="1" spans="1:12">
      <c r="A389" t="str">
        <f t="shared" si="25"/>
        <v>1412000184001整份</v>
      </c>
      <c r="B389" s="84"/>
      <c r="D389" s="57">
        <v>14120001</v>
      </c>
      <c r="E389" s="57">
        <v>84001</v>
      </c>
      <c r="F389" s="58" t="s">
        <v>2594</v>
      </c>
      <c r="G389" s="58" t="s">
        <v>2436</v>
      </c>
      <c r="H389" s="10">
        <v>1</v>
      </c>
      <c r="I389" s="10">
        <v>0</v>
      </c>
      <c r="J389" s="101">
        <f t="shared" si="24"/>
        <v>1</v>
      </c>
      <c r="K389" s="58" t="s">
        <v>2466</v>
      </c>
      <c r="L389" s="58" t="s">
        <v>2467</v>
      </c>
    </row>
    <row r="390" hidden="1" spans="1:12">
      <c r="A390" t="str">
        <f t="shared" si="25"/>
        <v>903049832583整份</v>
      </c>
      <c r="B390" s="84"/>
      <c r="D390" s="57">
        <v>9030498</v>
      </c>
      <c r="E390" s="57">
        <v>32583</v>
      </c>
      <c r="F390" s="58" t="s">
        <v>2690</v>
      </c>
      <c r="G390" s="58" t="s">
        <v>2436</v>
      </c>
      <c r="H390" s="10">
        <v>2</v>
      </c>
      <c r="I390" s="10">
        <v>2</v>
      </c>
      <c r="J390" s="101">
        <f t="shared" si="24"/>
        <v>0</v>
      </c>
      <c r="K390" s="58" t="s">
        <v>2437</v>
      </c>
      <c r="L390" s="58" t="s">
        <v>2464</v>
      </c>
    </row>
    <row r="391" hidden="1" spans="1:12">
      <c r="A391" t="str">
        <f t="shared" si="25"/>
        <v>903039932429只</v>
      </c>
      <c r="B391" s="84"/>
      <c r="D391" s="57">
        <v>9030399</v>
      </c>
      <c r="E391" s="57">
        <v>32429</v>
      </c>
      <c r="F391" s="58" t="s">
        <v>2687</v>
      </c>
      <c r="G391" s="58" t="s">
        <v>260</v>
      </c>
      <c r="H391" s="10">
        <v>1</v>
      </c>
      <c r="I391" s="10">
        <v>0</v>
      </c>
      <c r="J391" s="101">
        <f t="shared" si="24"/>
        <v>1</v>
      </c>
      <c r="K391" s="58" t="s">
        <v>2437</v>
      </c>
      <c r="L391" s="58" t="s">
        <v>2464</v>
      </c>
    </row>
    <row r="392" hidden="1" spans="1:12">
      <c r="A392" t="str">
        <f t="shared" si="25"/>
        <v>1000000303套餐</v>
      </c>
      <c r="B392" s="84"/>
      <c r="D392" s="57">
        <v>1000000303</v>
      </c>
      <c r="E392" s="58" t="s">
        <v>641</v>
      </c>
      <c r="F392" s="58" t="s">
        <v>2691</v>
      </c>
      <c r="G392" s="58" t="s">
        <v>2588</v>
      </c>
      <c r="H392" s="10">
        <v>174</v>
      </c>
      <c r="I392" s="10">
        <v>3</v>
      </c>
      <c r="J392" s="101">
        <f t="shared" si="24"/>
        <v>171</v>
      </c>
      <c r="K392" s="58" t="s">
        <v>2588</v>
      </c>
      <c r="L392" s="58" t="s">
        <v>2588</v>
      </c>
    </row>
    <row r="393" hidden="1" spans="1:12">
      <c r="A393" t="str">
        <f t="shared" si="25"/>
        <v>1000000304套餐</v>
      </c>
      <c r="B393" s="84"/>
      <c r="D393" s="57">
        <v>1000000304</v>
      </c>
      <c r="E393" s="58" t="s">
        <v>641</v>
      </c>
      <c r="F393" s="58" t="s">
        <v>2692</v>
      </c>
      <c r="G393" s="58" t="s">
        <v>2588</v>
      </c>
      <c r="H393" s="10">
        <v>36</v>
      </c>
      <c r="I393" s="10">
        <v>1</v>
      </c>
      <c r="J393" s="101">
        <f t="shared" si="24"/>
        <v>35</v>
      </c>
      <c r="K393" s="58" t="s">
        <v>2588</v>
      </c>
      <c r="L393" s="58" t="s">
        <v>2588</v>
      </c>
    </row>
    <row r="394" hidden="1" spans="1:12">
      <c r="A394" t="str">
        <f t="shared" si="25"/>
        <v>1000000305套餐</v>
      </c>
      <c r="B394" s="84"/>
      <c r="D394" s="57">
        <v>1000000305</v>
      </c>
      <c r="E394" s="58" t="s">
        <v>641</v>
      </c>
      <c r="F394" s="58" t="s">
        <v>2693</v>
      </c>
      <c r="G394" s="58" t="s">
        <v>2588</v>
      </c>
      <c r="H394" s="10">
        <v>27</v>
      </c>
      <c r="I394" s="10">
        <v>2</v>
      </c>
      <c r="J394" s="101">
        <f t="shared" si="24"/>
        <v>25</v>
      </c>
      <c r="K394" s="58" t="s">
        <v>2588</v>
      </c>
      <c r="L394" s="58" t="s">
        <v>2588</v>
      </c>
    </row>
    <row r="395" hidden="1" spans="1:12">
      <c r="A395" t="str">
        <f t="shared" si="25"/>
        <v>1412000184001整份</v>
      </c>
      <c r="B395" s="84"/>
      <c r="D395" s="57">
        <v>14120001</v>
      </c>
      <c r="E395" s="57">
        <v>84001</v>
      </c>
      <c r="F395" s="58" t="s">
        <v>2594</v>
      </c>
      <c r="G395" s="58" t="s">
        <v>2436</v>
      </c>
      <c r="H395" s="10">
        <v>2</v>
      </c>
      <c r="I395" s="10">
        <v>0</v>
      </c>
      <c r="J395" s="101">
        <f t="shared" si="24"/>
        <v>2</v>
      </c>
      <c r="K395" s="58" t="s">
        <v>2466</v>
      </c>
      <c r="L395" s="58" t="s">
        <v>2467</v>
      </c>
    </row>
    <row r="396" hidden="1" spans="1:12">
      <c r="A396" t="str">
        <f t="shared" si="25"/>
        <v>1412000184001整份</v>
      </c>
      <c r="B396" s="84"/>
      <c r="D396" s="57">
        <v>14120001</v>
      </c>
      <c r="E396" s="57">
        <v>84001</v>
      </c>
      <c r="F396" s="58" t="s">
        <v>2594</v>
      </c>
      <c r="G396" s="58" t="s">
        <v>2436</v>
      </c>
      <c r="H396" s="10">
        <v>1</v>
      </c>
      <c r="I396" s="10">
        <v>0</v>
      </c>
      <c r="J396" s="101">
        <f t="shared" si="24"/>
        <v>1</v>
      </c>
      <c r="K396" s="58" t="s">
        <v>2466</v>
      </c>
      <c r="L396" s="58" t="s">
        <v>2467</v>
      </c>
    </row>
    <row r="397" hidden="1" spans="1:12">
      <c r="A397" t="str">
        <f t="shared" si="25"/>
        <v>1412000184001整份</v>
      </c>
      <c r="B397" s="84"/>
      <c r="D397" s="57">
        <v>14120001</v>
      </c>
      <c r="E397" s="57">
        <v>84001</v>
      </c>
      <c r="F397" s="58" t="s">
        <v>2594</v>
      </c>
      <c r="G397" s="58" t="s">
        <v>2436</v>
      </c>
      <c r="H397" s="10">
        <v>1</v>
      </c>
      <c r="I397" s="10">
        <v>0</v>
      </c>
      <c r="J397" s="101">
        <f t="shared" si="24"/>
        <v>1</v>
      </c>
      <c r="K397" s="58" t="s">
        <v>2466</v>
      </c>
      <c r="L397" s="58" t="s">
        <v>2467</v>
      </c>
    </row>
    <row r="398" hidden="1" spans="1:12">
      <c r="A398" t="str">
        <f t="shared" si="25"/>
        <v>1412000184001整份</v>
      </c>
      <c r="B398" s="84"/>
      <c r="D398" s="57">
        <v>14120001</v>
      </c>
      <c r="E398" s="57">
        <v>84001</v>
      </c>
      <c r="F398" s="58" t="s">
        <v>2594</v>
      </c>
      <c r="G398" s="58" t="s">
        <v>2436</v>
      </c>
      <c r="H398" s="10">
        <v>1</v>
      </c>
      <c r="I398" s="10">
        <v>0</v>
      </c>
      <c r="J398" s="101">
        <f t="shared" si="24"/>
        <v>1</v>
      </c>
      <c r="K398" s="58" t="s">
        <v>2466</v>
      </c>
      <c r="L398" s="58" t="s">
        <v>2467</v>
      </c>
    </row>
    <row r="399" hidden="1" spans="1:12">
      <c r="A399" t="str">
        <f t="shared" si="25"/>
        <v>1412000184001整份</v>
      </c>
      <c r="B399" s="84"/>
      <c r="D399" s="57">
        <v>14120001</v>
      </c>
      <c r="E399" s="57">
        <v>84001</v>
      </c>
      <c r="F399" s="58" t="s">
        <v>2594</v>
      </c>
      <c r="G399" s="58" t="s">
        <v>2436</v>
      </c>
      <c r="H399" s="10">
        <v>1</v>
      </c>
      <c r="I399" s="10">
        <v>0</v>
      </c>
      <c r="J399" s="101"/>
      <c r="K399" s="58" t="s">
        <v>2466</v>
      </c>
      <c r="L399" s="58" t="s">
        <v>2467</v>
      </c>
    </row>
    <row r="400" hidden="1" spans="1:12">
      <c r="A400" t="str">
        <f t="shared" si="25"/>
        <v>1412000184001整份</v>
      </c>
      <c r="B400" s="84"/>
      <c r="D400" s="57">
        <v>14120001</v>
      </c>
      <c r="E400" s="57">
        <v>84001</v>
      </c>
      <c r="F400" s="58" t="s">
        <v>2594</v>
      </c>
      <c r="G400" s="58" t="s">
        <v>2436</v>
      </c>
      <c r="H400" s="10">
        <v>1</v>
      </c>
      <c r="I400" s="10">
        <v>0</v>
      </c>
      <c r="J400" s="101"/>
      <c r="K400" s="58" t="s">
        <v>2466</v>
      </c>
      <c r="L400" s="58" t="s">
        <v>2467</v>
      </c>
    </row>
    <row r="401" hidden="1" spans="1:12">
      <c r="A401" t="str">
        <f t="shared" si="25"/>
        <v>1310005单锅</v>
      </c>
      <c r="B401" s="84"/>
      <c r="D401" s="57">
        <v>1310005</v>
      </c>
      <c r="E401" s="58" t="s">
        <v>641</v>
      </c>
      <c r="F401" s="58" t="s">
        <v>2352</v>
      </c>
      <c r="G401" s="58" t="s">
        <v>2507</v>
      </c>
      <c r="H401" s="10">
        <v>3</v>
      </c>
      <c r="I401" s="10">
        <v>1</v>
      </c>
      <c r="J401" s="101"/>
      <c r="K401" s="58" t="s">
        <v>2458</v>
      </c>
      <c r="L401" s="58" t="s">
        <v>2508</v>
      </c>
    </row>
    <row r="402" hidden="1" spans="1:12">
      <c r="A402" t="str">
        <f t="shared" si="25"/>
        <v>910059741111526瓶</v>
      </c>
      <c r="B402" s="84"/>
      <c r="D402" s="57">
        <v>91005974</v>
      </c>
      <c r="E402" s="57">
        <v>1111526</v>
      </c>
      <c r="F402" s="58" t="s">
        <v>2694</v>
      </c>
      <c r="G402" s="58" t="s">
        <v>32</v>
      </c>
      <c r="H402" s="10">
        <v>263</v>
      </c>
      <c r="I402" s="10">
        <v>5</v>
      </c>
      <c r="J402" s="101"/>
      <c r="K402" s="58" t="s">
        <v>2451</v>
      </c>
      <c r="L402" s="58" t="s">
        <v>2452</v>
      </c>
    </row>
    <row r="403" hidden="1" spans="1:12">
      <c r="A403" t="str">
        <f t="shared" si="25"/>
        <v>1412000184001整份</v>
      </c>
      <c r="B403" s="84"/>
      <c r="D403" s="57">
        <v>14120001</v>
      </c>
      <c r="E403" s="57">
        <v>84001</v>
      </c>
      <c r="F403" s="58" t="s">
        <v>2594</v>
      </c>
      <c r="G403" s="58" t="s">
        <v>2436</v>
      </c>
      <c r="H403" s="10">
        <v>1</v>
      </c>
      <c r="I403" s="10">
        <v>0</v>
      </c>
      <c r="J403" s="101"/>
      <c r="K403" s="58" t="s">
        <v>2466</v>
      </c>
      <c r="L403" s="58" t="s">
        <v>2467</v>
      </c>
    </row>
    <row r="404" hidden="1" spans="1:12">
      <c r="A404" t="str">
        <f t="shared" si="25"/>
        <v>1412000184001整份</v>
      </c>
      <c r="B404" s="84"/>
      <c r="D404" s="57">
        <v>14120001</v>
      </c>
      <c r="E404" s="57">
        <v>84001</v>
      </c>
      <c r="F404" s="58" t="s">
        <v>2594</v>
      </c>
      <c r="G404" s="58" t="s">
        <v>2436</v>
      </c>
      <c r="H404" s="10">
        <v>1</v>
      </c>
      <c r="I404" s="10">
        <v>0</v>
      </c>
      <c r="J404" s="101"/>
      <c r="K404" s="58" t="s">
        <v>2466</v>
      </c>
      <c r="L404" s="58" t="s">
        <v>2467</v>
      </c>
    </row>
    <row r="405" hidden="1" spans="1:12">
      <c r="A405" t="str">
        <f t="shared" si="25"/>
        <v>1412000184001整份</v>
      </c>
      <c r="B405" s="84"/>
      <c r="D405" s="57">
        <v>14120001</v>
      </c>
      <c r="E405" s="57">
        <v>84001</v>
      </c>
      <c r="F405" s="58" t="s">
        <v>2594</v>
      </c>
      <c r="G405" s="58" t="s">
        <v>2436</v>
      </c>
      <c r="H405" s="10">
        <v>1</v>
      </c>
      <c r="I405" s="10">
        <v>0</v>
      </c>
      <c r="J405" s="101"/>
      <c r="K405" s="58" t="s">
        <v>2466</v>
      </c>
      <c r="L405" s="58" t="s">
        <v>2467</v>
      </c>
    </row>
    <row r="406" hidden="1" spans="1:12">
      <c r="A406" t="str">
        <f t="shared" si="25"/>
        <v>1412000184001整份</v>
      </c>
      <c r="B406" s="84"/>
      <c r="D406" s="57">
        <v>14120001</v>
      </c>
      <c r="E406" s="57">
        <v>84001</v>
      </c>
      <c r="F406" s="58" t="s">
        <v>2594</v>
      </c>
      <c r="G406" s="58" t="s">
        <v>2436</v>
      </c>
      <c r="H406" s="10">
        <v>1</v>
      </c>
      <c r="I406" s="10">
        <v>0</v>
      </c>
      <c r="J406" s="101"/>
      <c r="K406" s="58" t="s">
        <v>2466</v>
      </c>
      <c r="L406" s="58" t="s">
        <v>2467</v>
      </c>
    </row>
    <row r="407" hidden="1" spans="1:12">
      <c r="A407" t="str">
        <f t="shared" si="25"/>
        <v>900002051001819个</v>
      </c>
      <c r="B407" s="84"/>
      <c r="D407" s="57">
        <v>90000205</v>
      </c>
      <c r="E407" s="57">
        <v>1001819</v>
      </c>
      <c r="F407" s="58" t="s">
        <v>2695</v>
      </c>
      <c r="G407" s="58" t="s">
        <v>20</v>
      </c>
      <c r="H407" s="10">
        <v>55</v>
      </c>
      <c r="I407" s="10">
        <v>6</v>
      </c>
      <c r="J407" s="101"/>
      <c r="K407" s="58" t="s">
        <v>2441</v>
      </c>
      <c r="L407" s="58" t="s">
        <v>2537</v>
      </c>
    </row>
    <row r="408" hidden="1" spans="1:12">
      <c r="A408" t="str">
        <f t="shared" si="25"/>
        <v>1412000184001整份</v>
      </c>
      <c r="B408" s="84"/>
      <c r="D408" s="57">
        <v>14120001</v>
      </c>
      <c r="E408" s="57">
        <v>84001</v>
      </c>
      <c r="F408" s="58" t="s">
        <v>2594</v>
      </c>
      <c r="G408" s="58" t="s">
        <v>2436</v>
      </c>
      <c r="H408" s="10">
        <v>2</v>
      </c>
      <c r="I408" s="10">
        <v>0</v>
      </c>
      <c r="J408" s="101"/>
      <c r="K408" s="58" t="s">
        <v>2466</v>
      </c>
      <c r="L408" s="58" t="s">
        <v>2467</v>
      </c>
    </row>
    <row r="409" hidden="1" spans="1:12">
      <c r="A409" t="str">
        <f t="shared" si="25"/>
        <v>1412000184001整份</v>
      </c>
      <c r="B409" s="84"/>
      <c r="D409" s="57">
        <v>14120001</v>
      </c>
      <c r="E409" s="57">
        <v>84001</v>
      </c>
      <c r="F409" s="58" t="s">
        <v>2594</v>
      </c>
      <c r="G409" s="58" t="s">
        <v>2436</v>
      </c>
      <c r="H409" s="10">
        <v>2</v>
      </c>
      <c r="I409" s="10">
        <v>0</v>
      </c>
      <c r="J409" s="101"/>
      <c r="K409" s="58" t="s">
        <v>2466</v>
      </c>
      <c r="L409" s="58" t="s">
        <v>2467</v>
      </c>
    </row>
    <row r="410" hidden="1" spans="1:12">
      <c r="A410" t="str">
        <f t="shared" si="25"/>
        <v>1412000184001整份</v>
      </c>
      <c r="B410" s="84"/>
      <c r="D410" s="57">
        <v>14120001</v>
      </c>
      <c r="E410" s="57">
        <v>84001</v>
      </c>
      <c r="F410" s="58" t="s">
        <v>2594</v>
      </c>
      <c r="G410" s="58" t="s">
        <v>2436</v>
      </c>
      <c r="H410" s="10">
        <v>3</v>
      </c>
      <c r="I410" s="10">
        <v>1</v>
      </c>
      <c r="J410" s="101"/>
      <c r="K410" s="58" t="s">
        <v>2466</v>
      </c>
      <c r="L410" s="58" t="s">
        <v>2467</v>
      </c>
    </row>
    <row r="411" hidden="1" spans="1:12">
      <c r="A411" t="str">
        <f t="shared" si="25"/>
        <v>1412000184001整份</v>
      </c>
      <c r="B411" s="84"/>
      <c r="D411" s="57">
        <v>14120001</v>
      </c>
      <c r="E411" s="57">
        <v>84001</v>
      </c>
      <c r="F411" s="58" t="s">
        <v>2594</v>
      </c>
      <c r="G411" s="58" t="s">
        <v>2436</v>
      </c>
      <c r="H411" s="10">
        <v>1</v>
      </c>
      <c r="I411" s="10">
        <v>0</v>
      </c>
      <c r="J411" s="101"/>
      <c r="K411" s="58" t="s">
        <v>2466</v>
      </c>
      <c r="L411" s="58" t="s">
        <v>2467</v>
      </c>
    </row>
    <row r="412" hidden="1" spans="1:12">
      <c r="A412" t="str">
        <f t="shared" si="25"/>
        <v>1412000184001整份</v>
      </c>
      <c r="B412" s="84"/>
      <c r="D412" s="57">
        <v>14120001</v>
      </c>
      <c r="E412" s="57">
        <v>84001</v>
      </c>
      <c r="F412" s="58" t="s">
        <v>2594</v>
      </c>
      <c r="G412" s="58" t="s">
        <v>2436</v>
      </c>
      <c r="H412" s="10">
        <v>1</v>
      </c>
      <c r="I412" s="10">
        <v>0</v>
      </c>
      <c r="J412" s="101"/>
      <c r="K412" s="58" t="s">
        <v>2466</v>
      </c>
      <c r="L412" s="58" t="s">
        <v>2467</v>
      </c>
    </row>
    <row r="413" hidden="1" spans="1:12">
      <c r="A413" t="str">
        <f t="shared" si="25"/>
        <v>1412000184001整份</v>
      </c>
      <c r="B413" s="84"/>
      <c r="D413" s="57">
        <v>14120001</v>
      </c>
      <c r="E413" s="57">
        <v>84001</v>
      </c>
      <c r="F413" s="58" t="s">
        <v>2594</v>
      </c>
      <c r="G413" s="58" t="s">
        <v>2436</v>
      </c>
      <c r="H413" s="10">
        <v>1</v>
      </c>
      <c r="I413" s="10">
        <v>0</v>
      </c>
      <c r="J413" s="101"/>
      <c r="K413" s="58" t="s">
        <v>2466</v>
      </c>
      <c r="L413" s="58" t="s">
        <v>2467</v>
      </c>
    </row>
    <row r="414" hidden="1" spans="1:12">
      <c r="A414" t="str">
        <f t="shared" si="25"/>
        <v>1412000184001整份</v>
      </c>
      <c r="B414" s="84"/>
      <c r="D414" s="57">
        <v>14120001</v>
      </c>
      <c r="E414" s="57">
        <v>84001</v>
      </c>
      <c r="F414" s="58" t="s">
        <v>2594</v>
      </c>
      <c r="G414" s="58" t="s">
        <v>2436</v>
      </c>
      <c r="H414" s="10">
        <v>1</v>
      </c>
      <c r="I414" s="10">
        <v>0</v>
      </c>
      <c r="J414" s="101"/>
      <c r="K414" s="58" t="s">
        <v>2466</v>
      </c>
      <c r="L414" s="58" t="s">
        <v>2467</v>
      </c>
    </row>
    <row r="415" hidden="1" spans="1:12">
      <c r="A415" t="str">
        <f t="shared" si="25"/>
        <v>1412000184001整份</v>
      </c>
      <c r="B415" s="84"/>
      <c r="D415" s="57">
        <v>14120001</v>
      </c>
      <c r="E415" s="57">
        <v>84001</v>
      </c>
      <c r="F415" s="58" t="s">
        <v>2594</v>
      </c>
      <c r="G415" s="58" t="s">
        <v>2436</v>
      </c>
      <c r="H415" s="10">
        <v>1</v>
      </c>
      <c r="I415" s="10">
        <v>0</v>
      </c>
      <c r="J415" s="101"/>
      <c r="K415" s="58" t="s">
        <v>2466</v>
      </c>
      <c r="L415" s="58" t="s">
        <v>2467</v>
      </c>
    </row>
    <row r="416" hidden="1" spans="1:12">
      <c r="A416" t="str">
        <f t="shared" ref="A416:A471" si="26">B416&amp;D416&amp;E416&amp;G416</f>
        <v>1412000184001整份</v>
      </c>
      <c r="B416" s="84"/>
      <c r="D416" s="57">
        <v>14120001</v>
      </c>
      <c r="E416" s="57">
        <v>84001</v>
      </c>
      <c r="F416" s="58" t="s">
        <v>2594</v>
      </c>
      <c r="G416" s="58" t="s">
        <v>2436</v>
      </c>
      <c r="H416" s="10">
        <v>1</v>
      </c>
      <c r="I416" s="10">
        <v>0</v>
      </c>
      <c r="J416" s="101"/>
      <c r="K416" s="58" t="s">
        <v>2466</v>
      </c>
      <c r="L416" s="58" t="s">
        <v>2467</v>
      </c>
    </row>
    <row r="417" hidden="1" spans="1:12">
      <c r="A417" t="str">
        <f t="shared" si="26"/>
        <v>1412000184001整份</v>
      </c>
      <c r="B417" s="84"/>
      <c r="D417" s="57">
        <v>14120001</v>
      </c>
      <c r="E417" s="57">
        <v>84001</v>
      </c>
      <c r="F417" s="58" t="s">
        <v>2594</v>
      </c>
      <c r="G417" s="58" t="s">
        <v>2436</v>
      </c>
      <c r="H417" s="10">
        <v>1</v>
      </c>
      <c r="I417" s="10">
        <v>0</v>
      </c>
      <c r="J417" s="101"/>
      <c r="K417" s="58" t="s">
        <v>2466</v>
      </c>
      <c r="L417" s="58" t="s">
        <v>2467</v>
      </c>
    </row>
    <row r="418" hidden="1" spans="1:12">
      <c r="A418" t="str">
        <f t="shared" si="26"/>
        <v>1412000184001整份</v>
      </c>
      <c r="B418" s="84"/>
      <c r="D418" s="57">
        <v>14120001</v>
      </c>
      <c r="E418" s="57">
        <v>84001</v>
      </c>
      <c r="F418" s="58" t="s">
        <v>2594</v>
      </c>
      <c r="G418" s="58" t="s">
        <v>2436</v>
      </c>
      <c r="H418" s="10">
        <v>1</v>
      </c>
      <c r="I418" s="10">
        <v>0</v>
      </c>
      <c r="J418" s="101"/>
      <c r="K418" s="58" t="s">
        <v>2466</v>
      </c>
      <c r="L418" s="58" t="s">
        <v>2467</v>
      </c>
    </row>
    <row r="419" hidden="1" spans="1:12">
      <c r="A419" t="str">
        <f t="shared" si="26"/>
        <v>903049832583整份</v>
      </c>
      <c r="B419" s="84"/>
      <c r="D419" s="57">
        <v>9030498</v>
      </c>
      <c r="E419" s="57">
        <v>32583</v>
      </c>
      <c r="F419" s="58" t="s">
        <v>2690</v>
      </c>
      <c r="G419" s="58" t="s">
        <v>2436</v>
      </c>
      <c r="H419" s="10">
        <v>2</v>
      </c>
      <c r="I419" s="10">
        <v>0</v>
      </c>
      <c r="J419" s="101"/>
      <c r="K419" s="58" t="s">
        <v>2437</v>
      </c>
      <c r="L419" s="58" t="s">
        <v>2464</v>
      </c>
    </row>
    <row r="420" hidden="1" spans="1:12">
      <c r="A420" t="str">
        <f t="shared" si="26"/>
        <v>903018933253整份</v>
      </c>
      <c r="B420" s="84"/>
      <c r="D420" s="57">
        <v>9030189</v>
      </c>
      <c r="E420" s="57">
        <v>33253</v>
      </c>
      <c r="F420" s="58" t="s">
        <v>2682</v>
      </c>
      <c r="G420" s="58" t="s">
        <v>2436</v>
      </c>
      <c r="H420" s="10">
        <v>1</v>
      </c>
      <c r="I420" s="10">
        <v>0</v>
      </c>
      <c r="J420" s="101"/>
      <c r="K420" s="58" t="s">
        <v>2437</v>
      </c>
      <c r="L420" s="58" t="s">
        <v>2464</v>
      </c>
    </row>
    <row r="421" hidden="1" spans="1:12">
      <c r="A421" t="str">
        <f t="shared" si="26"/>
        <v>903018933253整份</v>
      </c>
      <c r="B421" s="84"/>
      <c r="D421" s="57">
        <v>9030189</v>
      </c>
      <c r="E421" s="57">
        <v>33253</v>
      </c>
      <c r="F421" s="58" t="s">
        <v>2682</v>
      </c>
      <c r="G421" s="58" t="s">
        <v>2436</v>
      </c>
      <c r="H421" s="10">
        <v>1</v>
      </c>
      <c r="I421" s="10">
        <v>0</v>
      </c>
      <c r="J421" s="101"/>
      <c r="K421" s="58" t="s">
        <v>2437</v>
      </c>
      <c r="L421" s="58" t="s">
        <v>2464</v>
      </c>
    </row>
    <row r="422" hidden="1" spans="1:12">
      <c r="A422" t="str">
        <f t="shared" si="26"/>
        <v>1412000184001整份</v>
      </c>
      <c r="B422" s="84"/>
      <c r="D422" s="57">
        <v>14120001</v>
      </c>
      <c r="E422" s="57">
        <v>84001</v>
      </c>
      <c r="F422" s="58" t="s">
        <v>2594</v>
      </c>
      <c r="G422" s="58" t="s">
        <v>2436</v>
      </c>
      <c r="H422" s="10">
        <v>1</v>
      </c>
      <c r="I422" s="10">
        <v>0</v>
      </c>
      <c r="J422" s="101"/>
      <c r="K422" s="58" t="s">
        <v>2466</v>
      </c>
      <c r="L422" s="58" t="s">
        <v>2467</v>
      </c>
    </row>
    <row r="423" hidden="1" spans="1:12">
      <c r="A423" t="str">
        <f t="shared" si="26"/>
        <v>1412000184001整份</v>
      </c>
      <c r="B423" s="84"/>
      <c r="D423" s="57">
        <v>14120001</v>
      </c>
      <c r="E423" s="57">
        <v>84001</v>
      </c>
      <c r="F423" s="58" t="s">
        <v>2594</v>
      </c>
      <c r="G423" s="58" t="s">
        <v>2436</v>
      </c>
      <c r="H423" s="10">
        <v>1</v>
      </c>
      <c r="I423" s="10">
        <v>0</v>
      </c>
      <c r="J423" s="101"/>
      <c r="K423" s="58" t="s">
        <v>2466</v>
      </c>
      <c r="L423" s="58" t="s">
        <v>2467</v>
      </c>
    </row>
    <row r="424" hidden="1" spans="1:12">
      <c r="A424" t="str">
        <f t="shared" si="26"/>
        <v>1412000184001整份</v>
      </c>
      <c r="B424" s="84"/>
      <c r="D424" s="57">
        <v>14120001</v>
      </c>
      <c r="E424" s="57">
        <v>84001</v>
      </c>
      <c r="F424" s="58" t="s">
        <v>2594</v>
      </c>
      <c r="G424" s="58" t="s">
        <v>2436</v>
      </c>
      <c r="H424" s="10">
        <v>1</v>
      </c>
      <c r="I424" s="10">
        <v>0</v>
      </c>
      <c r="J424" s="101"/>
      <c r="K424" s="58" t="s">
        <v>2466</v>
      </c>
      <c r="L424" s="58" t="s">
        <v>2467</v>
      </c>
    </row>
    <row r="425" hidden="1" spans="1:12">
      <c r="A425" t="str">
        <f t="shared" si="26"/>
        <v>1412000184001整份</v>
      </c>
      <c r="B425" s="84"/>
      <c r="D425" s="57">
        <v>14120001</v>
      </c>
      <c r="E425" s="57">
        <v>84001</v>
      </c>
      <c r="F425" s="58" t="s">
        <v>2594</v>
      </c>
      <c r="G425" s="58" t="s">
        <v>2436</v>
      </c>
      <c r="H425" s="10">
        <v>1</v>
      </c>
      <c r="I425" s="10">
        <v>0</v>
      </c>
      <c r="J425" s="101"/>
      <c r="K425" s="58" t="s">
        <v>2466</v>
      </c>
      <c r="L425" s="58" t="s">
        <v>2467</v>
      </c>
    </row>
    <row r="426" hidden="1" spans="1:12">
      <c r="A426" t="str">
        <f t="shared" si="26"/>
        <v>903049832583整份</v>
      </c>
      <c r="B426" s="84"/>
      <c r="D426" s="57">
        <v>9030498</v>
      </c>
      <c r="E426" s="57">
        <v>32583</v>
      </c>
      <c r="F426" s="58" t="s">
        <v>2690</v>
      </c>
      <c r="G426" s="58" t="s">
        <v>2436</v>
      </c>
      <c r="H426" s="10">
        <v>1</v>
      </c>
      <c r="I426" s="10">
        <v>1</v>
      </c>
      <c r="J426" s="101"/>
      <c r="K426" s="58" t="s">
        <v>2437</v>
      </c>
      <c r="L426" s="58" t="s">
        <v>2464</v>
      </c>
    </row>
    <row r="427" hidden="1" spans="1:12">
      <c r="A427" t="str">
        <f t="shared" si="26"/>
        <v>903018933253整份</v>
      </c>
      <c r="B427" s="84"/>
      <c r="D427" s="57">
        <v>9030189</v>
      </c>
      <c r="E427" s="57">
        <v>33253</v>
      </c>
      <c r="F427" s="58" t="s">
        <v>2682</v>
      </c>
      <c r="G427" s="58" t="s">
        <v>2436</v>
      </c>
      <c r="H427" s="10">
        <v>1</v>
      </c>
      <c r="I427" s="10">
        <v>0</v>
      </c>
      <c r="J427" s="101"/>
      <c r="K427" s="58" t="s">
        <v>2437</v>
      </c>
      <c r="L427" s="58" t="s">
        <v>2464</v>
      </c>
    </row>
    <row r="428" hidden="1" spans="1:12">
      <c r="A428" t="str">
        <f t="shared" si="26"/>
        <v>1412000184001整份</v>
      </c>
      <c r="B428" s="84"/>
      <c r="D428" s="57">
        <v>14120001</v>
      </c>
      <c r="E428" s="57">
        <v>84001</v>
      </c>
      <c r="F428" s="58" t="s">
        <v>2594</v>
      </c>
      <c r="G428" s="58" t="s">
        <v>2436</v>
      </c>
      <c r="H428" s="10">
        <v>1</v>
      </c>
      <c r="I428" s="10">
        <v>0</v>
      </c>
      <c r="J428" s="101"/>
      <c r="K428" s="58" t="s">
        <v>2466</v>
      </c>
      <c r="L428" s="58" t="s">
        <v>2467</v>
      </c>
    </row>
    <row r="429" hidden="1" spans="1:12">
      <c r="A429" t="str">
        <f t="shared" si="26"/>
        <v>1412000184001整份</v>
      </c>
      <c r="B429" s="84"/>
      <c r="D429" s="57">
        <v>14120001</v>
      </c>
      <c r="E429" s="57">
        <v>84001</v>
      </c>
      <c r="F429" s="58" t="s">
        <v>2594</v>
      </c>
      <c r="G429" s="58" t="s">
        <v>2436</v>
      </c>
      <c r="H429" s="10">
        <v>1</v>
      </c>
      <c r="I429" s="10">
        <v>0</v>
      </c>
      <c r="J429" s="101"/>
      <c r="K429" s="58" t="s">
        <v>2466</v>
      </c>
      <c r="L429" s="58" t="s">
        <v>2467</v>
      </c>
    </row>
    <row r="430" hidden="1" spans="1:12">
      <c r="A430" t="str">
        <f t="shared" si="26"/>
        <v>1412000184001整份</v>
      </c>
      <c r="B430" s="84"/>
      <c r="D430" s="57">
        <v>14120001</v>
      </c>
      <c r="E430" s="57">
        <v>84001</v>
      </c>
      <c r="F430" s="58" t="s">
        <v>2594</v>
      </c>
      <c r="G430" s="58" t="s">
        <v>2436</v>
      </c>
      <c r="H430" s="10">
        <v>1</v>
      </c>
      <c r="I430" s="10">
        <v>0</v>
      </c>
      <c r="J430" s="101"/>
      <c r="K430" s="58" t="s">
        <v>2466</v>
      </c>
      <c r="L430" s="58" t="s">
        <v>2467</v>
      </c>
    </row>
    <row r="431" hidden="1" spans="1:12">
      <c r="A431" t="str">
        <f t="shared" si="26"/>
        <v>1412000184001整份</v>
      </c>
      <c r="B431" s="84"/>
      <c r="D431" s="57">
        <v>14120001</v>
      </c>
      <c r="E431" s="57">
        <v>84001</v>
      </c>
      <c r="F431" s="58" t="s">
        <v>2594</v>
      </c>
      <c r="G431" s="58" t="s">
        <v>2436</v>
      </c>
      <c r="H431" s="10">
        <v>1</v>
      </c>
      <c r="I431" s="10">
        <v>0</v>
      </c>
      <c r="J431" s="101"/>
      <c r="K431" s="58" t="s">
        <v>2466</v>
      </c>
      <c r="L431" s="58" t="s">
        <v>2467</v>
      </c>
    </row>
    <row r="432" hidden="1" spans="1:12">
      <c r="A432" t="str">
        <f t="shared" si="26"/>
        <v>903018933253整份</v>
      </c>
      <c r="B432" s="84"/>
      <c r="D432" s="57">
        <v>9030189</v>
      </c>
      <c r="E432" s="57">
        <v>33253</v>
      </c>
      <c r="F432" s="58" t="s">
        <v>2682</v>
      </c>
      <c r="G432" s="58" t="s">
        <v>2436</v>
      </c>
      <c r="H432" s="10">
        <v>1</v>
      </c>
      <c r="I432" s="10">
        <v>0</v>
      </c>
      <c r="J432" s="101"/>
      <c r="K432" s="58" t="s">
        <v>2437</v>
      </c>
      <c r="L432" s="58" t="s">
        <v>2464</v>
      </c>
    </row>
    <row r="433" hidden="1" spans="1:12">
      <c r="A433" t="str">
        <f t="shared" si="26"/>
        <v>1412000184001整份</v>
      </c>
      <c r="B433" s="84"/>
      <c r="D433" s="57">
        <v>14120001</v>
      </c>
      <c r="E433" s="57">
        <v>84001</v>
      </c>
      <c r="F433" s="58" t="s">
        <v>2594</v>
      </c>
      <c r="G433" s="58" t="s">
        <v>2436</v>
      </c>
      <c r="H433" s="10">
        <v>1</v>
      </c>
      <c r="I433" s="10">
        <v>0</v>
      </c>
      <c r="J433" s="101"/>
      <c r="K433" s="58" t="s">
        <v>2466</v>
      </c>
      <c r="L433" s="58" t="s">
        <v>2467</v>
      </c>
    </row>
    <row r="434" hidden="1" spans="1:12">
      <c r="A434" t="str">
        <f t="shared" si="26"/>
        <v>1412000184001整份</v>
      </c>
      <c r="B434" s="84"/>
      <c r="D434" s="57">
        <v>14120001</v>
      </c>
      <c r="E434" s="57">
        <v>84001</v>
      </c>
      <c r="F434" s="58" t="s">
        <v>2594</v>
      </c>
      <c r="G434" s="58" t="s">
        <v>2436</v>
      </c>
      <c r="H434" s="10">
        <v>1</v>
      </c>
      <c r="I434" s="10">
        <v>0</v>
      </c>
      <c r="J434" s="101"/>
      <c r="K434" s="58" t="s">
        <v>2466</v>
      </c>
      <c r="L434" s="58" t="s">
        <v>2467</v>
      </c>
    </row>
    <row r="435" hidden="1" spans="1:12">
      <c r="A435" t="str">
        <f t="shared" si="26"/>
        <v>1412000184001整份</v>
      </c>
      <c r="B435" s="84"/>
      <c r="D435" s="57">
        <v>14120001</v>
      </c>
      <c r="E435" s="57">
        <v>84001</v>
      </c>
      <c r="F435" s="58" t="s">
        <v>2594</v>
      </c>
      <c r="G435" s="58" t="s">
        <v>2436</v>
      </c>
      <c r="H435" s="10">
        <v>1</v>
      </c>
      <c r="I435" s="10">
        <v>0</v>
      </c>
      <c r="J435" s="101"/>
      <c r="K435" s="58" t="s">
        <v>2466</v>
      </c>
      <c r="L435" s="58" t="s">
        <v>2467</v>
      </c>
    </row>
    <row r="436" hidden="1" spans="1:12">
      <c r="A436" t="str">
        <f t="shared" si="26"/>
        <v>900021311004528整份</v>
      </c>
      <c r="B436" s="84"/>
      <c r="D436" s="57">
        <v>90002131</v>
      </c>
      <c r="E436" s="57">
        <v>1004528</v>
      </c>
      <c r="F436" s="58" t="s">
        <v>2696</v>
      </c>
      <c r="G436" s="58" t="s">
        <v>2436</v>
      </c>
      <c r="H436" s="10">
        <v>19</v>
      </c>
      <c r="I436" s="10">
        <v>2</v>
      </c>
      <c r="J436" s="101"/>
      <c r="K436" s="58" t="s">
        <v>2441</v>
      </c>
      <c r="L436" s="58" t="s">
        <v>2455</v>
      </c>
    </row>
    <row r="437" hidden="1" spans="1:12">
      <c r="A437" t="str">
        <f t="shared" si="26"/>
        <v>1412000184001整份</v>
      </c>
      <c r="B437" s="84"/>
      <c r="D437" s="57">
        <v>14120001</v>
      </c>
      <c r="E437" s="57">
        <v>84001</v>
      </c>
      <c r="F437" s="58" t="s">
        <v>2594</v>
      </c>
      <c r="G437" s="58" t="s">
        <v>2436</v>
      </c>
      <c r="H437" s="10">
        <v>1</v>
      </c>
      <c r="I437" s="10">
        <v>0</v>
      </c>
      <c r="J437" s="101"/>
      <c r="K437" s="58" t="s">
        <v>2466</v>
      </c>
      <c r="L437" s="58" t="s">
        <v>2467</v>
      </c>
    </row>
    <row r="438" hidden="1" spans="1:12">
      <c r="A438" t="str">
        <f t="shared" si="26"/>
        <v>1412000184001整份</v>
      </c>
      <c r="B438" s="84"/>
      <c r="D438" s="57">
        <v>14120001</v>
      </c>
      <c r="E438" s="57">
        <v>84001</v>
      </c>
      <c r="F438" s="58" t="s">
        <v>2594</v>
      </c>
      <c r="G438" s="58" t="s">
        <v>2436</v>
      </c>
      <c r="H438" s="10">
        <v>1</v>
      </c>
      <c r="I438" s="10">
        <v>0</v>
      </c>
      <c r="J438" s="101"/>
      <c r="K438" s="58" t="s">
        <v>2466</v>
      </c>
      <c r="L438" s="58" t="s">
        <v>2467</v>
      </c>
    </row>
    <row r="439" hidden="1" spans="1:12">
      <c r="A439" t="str">
        <f t="shared" si="26"/>
        <v>1412000184001整份</v>
      </c>
      <c r="B439" s="84"/>
      <c r="D439" s="57">
        <v>14120001</v>
      </c>
      <c r="E439" s="57">
        <v>84001</v>
      </c>
      <c r="F439" s="58" t="s">
        <v>2594</v>
      </c>
      <c r="G439" s="58" t="s">
        <v>2436</v>
      </c>
      <c r="H439" s="10">
        <v>1</v>
      </c>
      <c r="I439" s="10">
        <v>0</v>
      </c>
      <c r="J439" s="101"/>
      <c r="K439" s="58" t="s">
        <v>2466</v>
      </c>
      <c r="L439" s="58" t="s">
        <v>2467</v>
      </c>
    </row>
    <row r="440" hidden="1" spans="1:12">
      <c r="A440" t="str">
        <f t="shared" si="26"/>
        <v>1412000184001整份</v>
      </c>
      <c r="B440" s="84"/>
      <c r="D440" s="57">
        <v>14120001</v>
      </c>
      <c r="E440" s="57">
        <v>84001</v>
      </c>
      <c r="F440" s="58" t="s">
        <v>2594</v>
      </c>
      <c r="G440" s="58" t="s">
        <v>2436</v>
      </c>
      <c r="H440" s="10">
        <v>1</v>
      </c>
      <c r="I440" s="10">
        <v>0</v>
      </c>
      <c r="J440" s="101"/>
      <c r="K440" s="58" t="s">
        <v>2466</v>
      </c>
      <c r="L440" s="58" t="s">
        <v>2467</v>
      </c>
    </row>
    <row r="441" hidden="1" spans="1:12">
      <c r="A441" t="str">
        <f t="shared" si="26"/>
        <v>1412000184001整份</v>
      </c>
      <c r="B441" s="84"/>
      <c r="D441" s="57">
        <v>14120001</v>
      </c>
      <c r="E441" s="57">
        <v>84001</v>
      </c>
      <c r="F441" s="58" t="s">
        <v>2594</v>
      </c>
      <c r="G441" s="58" t="s">
        <v>2436</v>
      </c>
      <c r="H441" s="10">
        <v>1</v>
      </c>
      <c r="I441" s="10">
        <v>0</v>
      </c>
      <c r="J441" s="101"/>
      <c r="K441" s="58" t="s">
        <v>2466</v>
      </c>
      <c r="L441" s="58" t="s">
        <v>2467</v>
      </c>
    </row>
    <row r="442" hidden="1" spans="1:12">
      <c r="A442" t="str">
        <f t="shared" si="26"/>
        <v>1412000184001整份</v>
      </c>
      <c r="B442" s="84"/>
      <c r="D442" s="57">
        <v>14120001</v>
      </c>
      <c r="E442" s="57">
        <v>84001</v>
      </c>
      <c r="F442" s="58" t="s">
        <v>2594</v>
      </c>
      <c r="G442" s="58" t="s">
        <v>2436</v>
      </c>
      <c r="H442" s="10">
        <v>1</v>
      </c>
      <c r="I442" s="10">
        <v>0</v>
      </c>
      <c r="J442" s="101"/>
      <c r="K442" s="58" t="s">
        <v>2466</v>
      </c>
      <c r="L442" s="58" t="s">
        <v>2467</v>
      </c>
    </row>
    <row r="443" hidden="1" spans="1:12">
      <c r="A443" t="str">
        <f t="shared" si="26"/>
        <v>1412000184001整份</v>
      </c>
      <c r="B443" s="84"/>
      <c r="D443" s="57">
        <v>14120001</v>
      </c>
      <c r="E443" s="57">
        <v>84001</v>
      </c>
      <c r="F443" s="58" t="s">
        <v>2594</v>
      </c>
      <c r="G443" s="58" t="s">
        <v>2436</v>
      </c>
      <c r="H443" s="10">
        <v>1</v>
      </c>
      <c r="I443" s="10">
        <v>0</v>
      </c>
      <c r="J443" s="101"/>
      <c r="K443" s="58" t="s">
        <v>2466</v>
      </c>
      <c r="L443" s="58" t="s">
        <v>2467</v>
      </c>
    </row>
    <row r="444" hidden="1" spans="1:12">
      <c r="A444" t="str">
        <f t="shared" si="26"/>
        <v>1412000184001整份</v>
      </c>
      <c r="B444" s="84"/>
      <c r="D444" s="57">
        <v>14120001</v>
      </c>
      <c r="E444" s="57">
        <v>84001</v>
      </c>
      <c r="F444" s="58" t="s">
        <v>2594</v>
      </c>
      <c r="G444" s="58" t="s">
        <v>2436</v>
      </c>
      <c r="H444" s="10">
        <v>1</v>
      </c>
      <c r="I444" s="10">
        <v>0</v>
      </c>
      <c r="J444" s="101"/>
      <c r="K444" s="58" t="s">
        <v>2466</v>
      </c>
      <c r="L444" s="58" t="s">
        <v>2467</v>
      </c>
    </row>
    <row r="445" hidden="1" spans="1:12">
      <c r="A445" t="str">
        <f t="shared" si="26"/>
        <v>1412000184001整份</v>
      </c>
      <c r="B445" s="84"/>
      <c r="D445" s="57">
        <v>14120001</v>
      </c>
      <c r="E445" s="57">
        <v>84001</v>
      </c>
      <c r="F445" s="58" t="s">
        <v>2594</v>
      </c>
      <c r="G445" s="58" t="s">
        <v>2436</v>
      </c>
      <c r="H445" s="10">
        <v>1</v>
      </c>
      <c r="I445" s="10">
        <v>0</v>
      </c>
      <c r="J445" s="101"/>
      <c r="K445" s="58" t="s">
        <v>2466</v>
      </c>
      <c r="L445" s="58" t="s">
        <v>2467</v>
      </c>
    </row>
    <row r="446" hidden="1" spans="1:12">
      <c r="A446" t="str">
        <f t="shared" si="26"/>
        <v>1412000184001整份</v>
      </c>
      <c r="B446" s="84"/>
      <c r="D446" s="57">
        <v>14120001</v>
      </c>
      <c r="E446" s="57">
        <v>84001</v>
      </c>
      <c r="F446" s="58" t="s">
        <v>2594</v>
      </c>
      <c r="G446" s="58" t="s">
        <v>2436</v>
      </c>
      <c r="H446" s="10">
        <v>1</v>
      </c>
      <c r="I446" s="10">
        <v>0</v>
      </c>
      <c r="J446" s="101"/>
      <c r="K446" s="58" t="s">
        <v>2466</v>
      </c>
      <c r="L446" s="58" t="s">
        <v>2467</v>
      </c>
    </row>
    <row r="447" hidden="1" spans="1:12">
      <c r="A447" t="str">
        <f t="shared" si="26"/>
        <v>1412000184001整份</v>
      </c>
      <c r="B447" s="84"/>
      <c r="D447" s="57">
        <v>14120001</v>
      </c>
      <c r="E447" s="57">
        <v>84001</v>
      </c>
      <c r="F447" s="58" t="s">
        <v>2594</v>
      </c>
      <c r="G447" s="58" t="s">
        <v>2436</v>
      </c>
      <c r="H447" s="10">
        <v>1</v>
      </c>
      <c r="I447" s="10">
        <v>0</v>
      </c>
      <c r="J447" s="101"/>
      <c r="K447" s="58" t="s">
        <v>2466</v>
      </c>
      <c r="L447" s="58" t="s">
        <v>2467</v>
      </c>
    </row>
    <row r="448" hidden="1" spans="1:12">
      <c r="A448" t="str">
        <f t="shared" si="26"/>
        <v>1412000184001整份</v>
      </c>
      <c r="B448" s="84"/>
      <c r="D448" s="57">
        <v>14120001</v>
      </c>
      <c r="E448" s="57">
        <v>84001</v>
      </c>
      <c r="F448" s="58" t="s">
        <v>2594</v>
      </c>
      <c r="G448" s="58" t="s">
        <v>2436</v>
      </c>
      <c r="H448" s="10">
        <v>1</v>
      </c>
      <c r="I448" s="10">
        <v>0</v>
      </c>
      <c r="J448" s="101"/>
      <c r="K448" s="58" t="s">
        <v>2466</v>
      </c>
      <c r="L448" s="58" t="s">
        <v>2467</v>
      </c>
    </row>
    <row r="449" hidden="1" spans="1:12">
      <c r="A449" t="str">
        <f t="shared" si="26"/>
        <v>1412000184001整份</v>
      </c>
      <c r="B449" s="84"/>
      <c r="D449" s="57">
        <v>14120001</v>
      </c>
      <c r="E449" s="57">
        <v>84001</v>
      </c>
      <c r="F449" s="58" t="s">
        <v>2594</v>
      </c>
      <c r="G449" s="58" t="s">
        <v>2436</v>
      </c>
      <c r="H449" s="10">
        <v>1</v>
      </c>
      <c r="I449" s="10">
        <v>0</v>
      </c>
      <c r="J449" s="101"/>
      <c r="K449" s="58" t="s">
        <v>2466</v>
      </c>
      <c r="L449" s="58" t="s">
        <v>2467</v>
      </c>
    </row>
    <row r="450" hidden="1" spans="1:12">
      <c r="A450" t="str">
        <f t="shared" si="26"/>
        <v>1412000184001整份</v>
      </c>
      <c r="B450" s="84"/>
      <c r="D450" s="57">
        <v>14120001</v>
      </c>
      <c r="E450" s="57">
        <v>84001</v>
      </c>
      <c r="F450" s="58" t="s">
        <v>2594</v>
      </c>
      <c r="G450" s="58" t="s">
        <v>2436</v>
      </c>
      <c r="H450" s="10">
        <v>1</v>
      </c>
      <c r="I450" s="10">
        <v>0</v>
      </c>
      <c r="J450" s="101"/>
      <c r="K450" s="58" t="s">
        <v>2466</v>
      </c>
      <c r="L450" s="58" t="s">
        <v>2467</v>
      </c>
    </row>
    <row r="451" hidden="1" spans="1:12">
      <c r="A451" t="str">
        <f t="shared" si="26"/>
        <v>130101471108213扎</v>
      </c>
      <c r="B451" s="84"/>
      <c r="D451" s="57">
        <v>13010147</v>
      </c>
      <c r="E451" s="57">
        <v>1108213</v>
      </c>
      <c r="F451" s="58" t="s">
        <v>2366</v>
      </c>
      <c r="G451" s="58" t="s">
        <v>2517</v>
      </c>
      <c r="H451" s="10">
        <v>6</v>
      </c>
      <c r="I451" s="10">
        <v>2</v>
      </c>
      <c r="J451" s="101"/>
      <c r="K451" s="58" t="s">
        <v>2451</v>
      </c>
      <c r="L451" s="58" t="s">
        <v>2452</v>
      </c>
    </row>
    <row r="452" hidden="1" spans="1:12">
      <c r="A452" t="str">
        <f t="shared" si="26"/>
        <v>910059091111487份</v>
      </c>
      <c r="B452" s="84"/>
      <c r="D452" s="57">
        <v>91005909</v>
      </c>
      <c r="E452" s="57">
        <v>1111487</v>
      </c>
      <c r="F452" s="58" t="s">
        <v>2697</v>
      </c>
      <c r="G452" s="58" t="s">
        <v>2454</v>
      </c>
      <c r="H452" s="10">
        <v>30</v>
      </c>
      <c r="I452" s="10">
        <v>0</v>
      </c>
      <c r="J452" s="101"/>
      <c r="K452" s="58" t="s">
        <v>2441</v>
      </c>
      <c r="L452" s="58" t="s">
        <v>2455</v>
      </c>
    </row>
    <row r="453" hidden="1" spans="1:12">
      <c r="A453" t="str">
        <f t="shared" si="26"/>
        <v>1412000184001整份</v>
      </c>
      <c r="B453" s="84"/>
      <c r="D453" s="57">
        <v>14120001</v>
      </c>
      <c r="E453" s="57">
        <v>84001</v>
      </c>
      <c r="F453" s="58" t="s">
        <v>2594</v>
      </c>
      <c r="G453" s="58" t="s">
        <v>2436</v>
      </c>
      <c r="H453" s="10">
        <v>1</v>
      </c>
      <c r="I453" s="10">
        <v>0</v>
      </c>
      <c r="J453" s="101"/>
      <c r="K453" s="58" t="s">
        <v>2466</v>
      </c>
      <c r="L453" s="58" t="s">
        <v>2467</v>
      </c>
    </row>
    <row r="454" hidden="1" spans="1:12">
      <c r="A454" t="str">
        <f t="shared" si="26"/>
        <v>1412000184001整份</v>
      </c>
      <c r="B454" s="84"/>
      <c r="D454" s="57">
        <v>14120001</v>
      </c>
      <c r="E454" s="57">
        <v>84001</v>
      </c>
      <c r="F454" s="58" t="s">
        <v>2594</v>
      </c>
      <c r="G454" s="58" t="s">
        <v>2436</v>
      </c>
      <c r="H454" s="10">
        <v>1</v>
      </c>
      <c r="I454" s="10">
        <v>0</v>
      </c>
      <c r="J454" s="101"/>
      <c r="K454" s="58" t="s">
        <v>2466</v>
      </c>
      <c r="L454" s="58" t="s">
        <v>2467</v>
      </c>
    </row>
    <row r="455" hidden="1" spans="1:12">
      <c r="A455" t="str">
        <f t="shared" si="26"/>
        <v>1412000184001整份</v>
      </c>
      <c r="B455" s="84"/>
      <c r="D455" s="57">
        <v>14120001</v>
      </c>
      <c r="E455" s="57">
        <v>84001</v>
      </c>
      <c r="F455" s="58" t="s">
        <v>2594</v>
      </c>
      <c r="G455" s="58" t="s">
        <v>2436</v>
      </c>
      <c r="H455" s="10">
        <v>1</v>
      </c>
      <c r="I455" s="10">
        <v>0</v>
      </c>
      <c r="J455" s="101"/>
      <c r="K455" s="58" t="s">
        <v>2466</v>
      </c>
      <c r="L455" s="58" t="s">
        <v>2467</v>
      </c>
    </row>
    <row r="456" hidden="1" spans="1:12">
      <c r="A456" t="str">
        <f t="shared" si="26"/>
        <v>1412000184001整份</v>
      </c>
      <c r="B456" s="84"/>
      <c r="D456" s="57">
        <v>14120001</v>
      </c>
      <c r="E456" s="57">
        <v>84001</v>
      </c>
      <c r="F456" s="58" t="s">
        <v>2594</v>
      </c>
      <c r="G456" s="58" t="s">
        <v>2436</v>
      </c>
      <c r="H456" s="10">
        <v>1</v>
      </c>
      <c r="I456" s="10">
        <v>0</v>
      </c>
      <c r="J456" s="101"/>
      <c r="K456" s="58" t="s">
        <v>2466</v>
      </c>
      <c r="L456" s="58" t="s">
        <v>2467</v>
      </c>
    </row>
    <row r="457" hidden="1" spans="1:12">
      <c r="A457" t="str">
        <f t="shared" si="26"/>
        <v>7000069377384整份</v>
      </c>
      <c r="B457" s="84"/>
      <c r="D457" s="57">
        <v>70000693</v>
      </c>
      <c r="E457" s="57">
        <v>77384</v>
      </c>
      <c r="F457" s="58" t="s">
        <v>2698</v>
      </c>
      <c r="G457" s="58" t="s">
        <v>2436</v>
      </c>
      <c r="H457" s="10">
        <v>13</v>
      </c>
      <c r="I457" s="10">
        <v>7</v>
      </c>
      <c r="J457" s="101"/>
      <c r="K457" s="58" t="s">
        <v>2437</v>
      </c>
      <c r="L457" s="58" t="s">
        <v>2438</v>
      </c>
    </row>
    <row r="458" hidden="1" spans="1:12">
      <c r="A458" t="str">
        <f t="shared" si="26"/>
        <v>1412000184001整份</v>
      </c>
      <c r="B458" s="84"/>
      <c r="D458" s="57">
        <v>14120001</v>
      </c>
      <c r="E458" s="57">
        <v>84001</v>
      </c>
      <c r="F458" s="58" t="s">
        <v>2594</v>
      </c>
      <c r="G458" s="58" t="s">
        <v>2436</v>
      </c>
      <c r="H458" s="10">
        <v>1</v>
      </c>
      <c r="I458" s="10">
        <v>0</v>
      </c>
      <c r="J458" s="101"/>
      <c r="K458" s="58" t="s">
        <v>2466</v>
      </c>
      <c r="L458" s="58" t="s">
        <v>2467</v>
      </c>
    </row>
    <row r="459" hidden="1" spans="1:12">
      <c r="A459" t="str">
        <f t="shared" si="26"/>
        <v>1412000184001整份</v>
      </c>
      <c r="B459" s="84"/>
      <c r="D459" s="57">
        <v>14120001</v>
      </c>
      <c r="E459" s="57">
        <v>84001</v>
      </c>
      <c r="F459" s="58" t="s">
        <v>2594</v>
      </c>
      <c r="G459" s="58" t="s">
        <v>2436</v>
      </c>
      <c r="H459" s="10">
        <v>1</v>
      </c>
      <c r="I459" s="10">
        <v>0</v>
      </c>
      <c r="J459" s="101"/>
      <c r="K459" s="58" t="s">
        <v>2466</v>
      </c>
      <c r="L459" s="58" t="s">
        <v>2467</v>
      </c>
    </row>
    <row r="460" hidden="1" spans="1:12">
      <c r="A460" t="str">
        <f t="shared" si="26"/>
        <v>1412000184001整份</v>
      </c>
      <c r="B460" s="84"/>
      <c r="D460" s="57">
        <v>14120001</v>
      </c>
      <c r="E460" s="57">
        <v>84001</v>
      </c>
      <c r="F460" s="58" t="s">
        <v>2594</v>
      </c>
      <c r="G460" s="58" t="s">
        <v>2436</v>
      </c>
      <c r="H460" s="10">
        <v>1</v>
      </c>
      <c r="I460" s="10">
        <v>0</v>
      </c>
      <c r="J460" s="101"/>
      <c r="K460" s="58" t="s">
        <v>2466</v>
      </c>
      <c r="L460" s="58" t="s">
        <v>2467</v>
      </c>
    </row>
    <row r="461" hidden="1" spans="1:12">
      <c r="A461" t="str">
        <f t="shared" si="26"/>
        <v>1412000184001整份</v>
      </c>
      <c r="B461" s="84"/>
      <c r="D461" s="57">
        <v>14120001</v>
      </c>
      <c r="E461" s="57">
        <v>84001</v>
      </c>
      <c r="F461" s="58" t="s">
        <v>2594</v>
      </c>
      <c r="G461" s="58" t="s">
        <v>2436</v>
      </c>
      <c r="H461" s="10">
        <v>1</v>
      </c>
      <c r="I461" s="10">
        <v>0</v>
      </c>
      <c r="J461" s="101"/>
      <c r="K461" s="58" t="s">
        <v>2466</v>
      </c>
      <c r="L461" s="58" t="s">
        <v>2467</v>
      </c>
    </row>
    <row r="462" hidden="1" spans="1:12">
      <c r="A462" t="str">
        <f t="shared" si="26"/>
        <v>1412000184001整份</v>
      </c>
      <c r="B462" s="84"/>
      <c r="D462" s="57">
        <v>14120001</v>
      </c>
      <c r="E462" s="57">
        <v>84001</v>
      </c>
      <c r="F462" s="58" t="s">
        <v>2594</v>
      </c>
      <c r="G462" s="58" t="s">
        <v>2436</v>
      </c>
      <c r="H462" s="10">
        <v>1</v>
      </c>
      <c r="I462" s="10">
        <v>0</v>
      </c>
      <c r="J462" s="101"/>
      <c r="K462" s="58" t="s">
        <v>2466</v>
      </c>
      <c r="L462" s="58" t="s">
        <v>2467</v>
      </c>
    </row>
    <row r="463" hidden="1" spans="1:12">
      <c r="A463" t="str">
        <f t="shared" si="26"/>
        <v>903049832583整份</v>
      </c>
      <c r="B463" s="84"/>
      <c r="D463" s="57">
        <v>9030498</v>
      </c>
      <c r="E463" s="57">
        <v>32583</v>
      </c>
      <c r="F463" s="58" t="s">
        <v>2690</v>
      </c>
      <c r="G463" s="58" t="s">
        <v>2436</v>
      </c>
      <c r="H463" s="10">
        <v>1</v>
      </c>
      <c r="I463" s="10">
        <v>1</v>
      </c>
      <c r="J463" s="101"/>
      <c r="K463" s="58" t="s">
        <v>2437</v>
      </c>
      <c r="L463" s="58" t="s">
        <v>2464</v>
      </c>
    </row>
    <row r="464" hidden="1" spans="1:12">
      <c r="A464" t="str">
        <f t="shared" si="26"/>
        <v>910050181109547份</v>
      </c>
      <c r="B464" s="84"/>
      <c r="D464" s="57">
        <v>91005018</v>
      </c>
      <c r="E464" s="57">
        <v>1109547</v>
      </c>
      <c r="F464" s="58" t="s">
        <v>2699</v>
      </c>
      <c r="G464" s="58" t="s">
        <v>2454</v>
      </c>
      <c r="H464" s="10">
        <v>1</v>
      </c>
      <c r="I464" s="10">
        <v>1</v>
      </c>
      <c r="J464" s="101"/>
      <c r="K464" s="58" t="s">
        <v>2437</v>
      </c>
      <c r="L464" s="58" t="s">
        <v>2499</v>
      </c>
    </row>
    <row r="465" hidden="1" spans="1:12">
      <c r="A465" t="str">
        <f t="shared" si="26"/>
        <v>903018933253整份</v>
      </c>
      <c r="B465" s="84"/>
      <c r="D465" s="57">
        <v>9030189</v>
      </c>
      <c r="E465" s="57">
        <v>33253</v>
      </c>
      <c r="F465" s="58" t="s">
        <v>2682</v>
      </c>
      <c r="G465" s="58" t="s">
        <v>2436</v>
      </c>
      <c r="H465" s="10">
        <v>1</v>
      </c>
      <c r="I465" s="10">
        <v>0</v>
      </c>
      <c r="J465" s="101"/>
      <c r="K465" s="58" t="s">
        <v>2437</v>
      </c>
      <c r="L465" s="58" t="s">
        <v>2464</v>
      </c>
    </row>
    <row r="466" hidden="1" spans="1:12">
      <c r="A466" t="str">
        <f t="shared" si="26"/>
        <v>1412000184001整份</v>
      </c>
      <c r="B466" s="84"/>
      <c r="D466" s="57">
        <v>14120001</v>
      </c>
      <c r="E466" s="57">
        <v>84001</v>
      </c>
      <c r="F466" s="58" t="s">
        <v>2594</v>
      </c>
      <c r="G466" s="58" t="s">
        <v>2436</v>
      </c>
      <c r="H466" s="10">
        <v>1</v>
      </c>
      <c r="I466" s="10">
        <v>0</v>
      </c>
      <c r="J466" s="101"/>
      <c r="K466" s="58" t="s">
        <v>2466</v>
      </c>
      <c r="L466" s="58" t="s">
        <v>2467</v>
      </c>
    </row>
    <row r="467" hidden="1" spans="1:12">
      <c r="A467" t="str">
        <f t="shared" si="26"/>
        <v>1412000184001整份</v>
      </c>
      <c r="B467" s="84"/>
      <c r="D467" s="57">
        <v>14120001</v>
      </c>
      <c r="E467" s="57">
        <v>84001</v>
      </c>
      <c r="F467" s="58" t="s">
        <v>2594</v>
      </c>
      <c r="G467" s="58" t="s">
        <v>2436</v>
      </c>
      <c r="H467" s="10">
        <v>1</v>
      </c>
      <c r="I467" s="10">
        <v>0</v>
      </c>
      <c r="J467" s="101"/>
      <c r="K467" s="58" t="s">
        <v>2466</v>
      </c>
      <c r="L467" s="58" t="s">
        <v>2467</v>
      </c>
    </row>
    <row r="468" hidden="1" spans="1:12">
      <c r="A468" t="str">
        <f t="shared" si="26"/>
        <v>1412000184001整份</v>
      </c>
      <c r="B468" s="84"/>
      <c r="D468" s="57">
        <v>14120001</v>
      </c>
      <c r="E468" s="57">
        <v>84001</v>
      </c>
      <c r="F468" s="58" t="s">
        <v>2594</v>
      </c>
      <c r="G468" s="58" t="s">
        <v>2436</v>
      </c>
      <c r="H468" s="10">
        <v>1</v>
      </c>
      <c r="I468" s="10">
        <v>0</v>
      </c>
      <c r="J468" s="101"/>
      <c r="K468" s="58" t="s">
        <v>2466</v>
      </c>
      <c r="L468" s="58" t="s">
        <v>2467</v>
      </c>
    </row>
    <row r="469" hidden="1" spans="1:12">
      <c r="A469" t="str">
        <f t="shared" si="26"/>
        <v>1412000184001整份</v>
      </c>
      <c r="B469" s="84"/>
      <c r="D469" s="57">
        <v>14120001</v>
      </c>
      <c r="E469" s="57">
        <v>84001</v>
      </c>
      <c r="F469" s="58" t="s">
        <v>2594</v>
      </c>
      <c r="G469" s="58" t="s">
        <v>2436</v>
      </c>
      <c r="H469" s="10">
        <v>1</v>
      </c>
      <c r="I469" s="10">
        <v>0</v>
      </c>
      <c r="J469" s="101"/>
      <c r="K469" s="58" t="s">
        <v>2466</v>
      </c>
      <c r="L469" s="58" t="s">
        <v>2467</v>
      </c>
    </row>
    <row r="470" hidden="1" spans="1:12">
      <c r="A470" t="str">
        <f t="shared" si="26"/>
        <v>1412000184001整份</v>
      </c>
      <c r="B470" s="84"/>
      <c r="D470" s="57">
        <v>14120001</v>
      </c>
      <c r="E470" s="57">
        <v>84001</v>
      </c>
      <c r="F470" s="58" t="s">
        <v>2594</v>
      </c>
      <c r="G470" s="58" t="s">
        <v>2436</v>
      </c>
      <c r="H470" s="10">
        <v>1</v>
      </c>
      <c r="I470" s="10">
        <v>0</v>
      </c>
      <c r="J470" s="101"/>
      <c r="K470" s="58" t="s">
        <v>2466</v>
      </c>
      <c r="L470" s="58" t="s">
        <v>2467</v>
      </c>
    </row>
    <row r="471" hidden="1" spans="1:12">
      <c r="A471" t="str">
        <f t="shared" si="26"/>
        <v>902026831273整份</v>
      </c>
      <c r="B471" s="84"/>
      <c r="D471" s="57">
        <v>9020268</v>
      </c>
      <c r="E471" s="57">
        <v>31273</v>
      </c>
      <c r="F471" s="58" t="s">
        <v>2700</v>
      </c>
      <c r="G471" s="58" t="s">
        <v>2436</v>
      </c>
      <c r="H471" s="10">
        <v>1</v>
      </c>
      <c r="I471" s="10">
        <v>1</v>
      </c>
      <c r="J471" s="101"/>
      <c r="K471" s="58" t="s">
        <v>2437</v>
      </c>
      <c r="L471" s="58" t="s">
        <v>2499</v>
      </c>
    </row>
    <row r="472" spans="1:10">
      <c r="A472"/>
      <c r="B472" s="84"/>
      <c r="J472" s="101"/>
    </row>
    <row r="473" spans="1:10">
      <c r="A473"/>
      <c r="B473" s="84"/>
      <c r="J473" s="101"/>
    </row>
    <row r="474" spans="1:10">
      <c r="A474"/>
      <c r="B474" s="84"/>
      <c r="J474" s="101"/>
    </row>
    <row r="475" spans="1:10">
      <c r="A475"/>
      <c r="B475" s="84"/>
      <c r="J475" s="101"/>
    </row>
    <row r="476" spans="1:10">
      <c r="A476"/>
      <c r="B476" s="84"/>
      <c r="J476" s="101"/>
    </row>
    <row r="477" spans="1:10">
      <c r="A477"/>
      <c r="B477" s="84"/>
      <c r="J477" s="101"/>
    </row>
    <row r="478" spans="1:10">
      <c r="A478"/>
      <c r="B478" s="84"/>
      <c r="J478" s="101"/>
    </row>
    <row r="479" spans="1:10">
      <c r="A479"/>
      <c r="B479" s="84"/>
      <c r="J479" s="101"/>
    </row>
    <row r="480" spans="1:10">
      <c r="A480"/>
      <c r="B480" s="84"/>
      <c r="J480" s="101"/>
    </row>
    <row r="481" spans="1:10">
      <c r="A481"/>
      <c r="B481" s="84"/>
      <c r="J481" s="101"/>
    </row>
    <row r="482" spans="1:10">
      <c r="A482"/>
      <c r="B482" s="84"/>
      <c r="J482" s="101"/>
    </row>
    <row r="483" spans="1:10">
      <c r="A483"/>
      <c r="B483" s="84"/>
      <c r="J483" s="101"/>
    </row>
    <row r="484" spans="1:10">
      <c r="A484"/>
      <c r="B484" s="84"/>
      <c r="J484" s="101"/>
    </row>
    <row r="485" spans="1:10">
      <c r="A485"/>
      <c r="B485" s="84"/>
      <c r="J485" s="101"/>
    </row>
    <row r="486" spans="1:10">
      <c r="A486"/>
      <c r="B486" s="84"/>
      <c r="J486" s="101"/>
    </row>
    <row r="487" spans="1:10">
      <c r="A487"/>
      <c r="B487" s="84"/>
      <c r="J487" s="101"/>
    </row>
    <row r="488" spans="1:10">
      <c r="A488"/>
      <c r="B488" s="84"/>
      <c r="J488" s="101"/>
    </row>
    <row r="489" spans="1:10">
      <c r="A489"/>
      <c r="B489" s="84"/>
      <c r="J489" s="101"/>
    </row>
    <row r="490" spans="1:10">
      <c r="A490"/>
      <c r="B490" s="84"/>
      <c r="J490" s="101"/>
    </row>
    <row r="491" spans="1:10">
      <c r="A491"/>
      <c r="B491" s="84"/>
      <c r="J491" s="101"/>
    </row>
    <row r="492" spans="1:10">
      <c r="A492"/>
      <c r="B492" s="84"/>
      <c r="J492" s="101"/>
    </row>
    <row r="493" spans="1:10">
      <c r="A493"/>
      <c r="B493" s="84"/>
      <c r="J493" s="101"/>
    </row>
    <row r="494" spans="1:10">
      <c r="A494"/>
      <c r="B494" s="84"/>
      <c r="J494" s="101"/>
    </row>
    <row r="495" spans="1:10">
      <c r="A495"/>
      <c r="B495" s="84"/>
      <c r="J495" s="101"/>
    </row>
    <row r="496" spans="1:10">
      <c r="A496"/>
      <c r="B496" s="84"/>
      <c r="J496" s="101"/>
    </row>
    <row r="497" spans="1:10">
      <c r="A497"/>
      <c r="B497" s="84"/>
      <c r="J497" s="101"/>
    </row>
    <row r="498" spans="1:10">
      <c r="A498"/>
      <c r="B498" s="84"/>
      <c r="J498" s="101"/>
    </row>
    <row r="499" spans="1:10">
      <c r="A499"/>
      <c r="B499" s="84"/>
      <c r="J499" s="101"/>
    </row>
    <row r="500" spans="1:10">
      <c r="A500"/>
      <c r="B500" s="84"/>
      <c r="J500" s="101"/>
    </row>
    <row r="501" spans="1:10">
      <c r="A501"/>
      <c r="B501" s="84"/>
      <c r="J501" s="101"/>
    </row>
    <row r="502" spans="1:10">
      <c r="A502"/>
      <c r="B502" s="84"/>
      <c r="J502" s="101"/>
    </row>
    <row r="503" spans="1:10">
      <c r="A503"/>
      <c r="B503" s="84"/>
      <c r="J503" s="101"/>
    </row>
    <row r="504" spans="1:10">
      <c r="A504"/>
      <c r="B504" s="84"/>
      <c r="J504" s="101"/>
    </row>
    <row r="505" spans="1:10">
      <c r="A505"/>
      <c r="B505" s="84"/>
      <c r="J505" s="101"/>
    </row>
    <row r="506" spans="1:10">
      <c r="A506"/>
      <c r="B506" s="84"/>
      <c r="J506" s="101"/>
    </row>
    <row r="507" spans="1:10">
      <c r="A507"/>
      <c r="B507" s="84"/>
      <c r="J507" s="101"/>
    </row>
    <row r="508" spans="1:10">
      <c r="A508"/>
      <c r="B508" s="84"/>
      <c r="J508" s="101"/>
    </row>
    <row r="509" spans="1:10">
      <c r="A509"/>
      <c r="B509" s="84"/>
      <c r="J509" s="101"/>
    </row>
    <row r="510" spans="1:10">
      <c r="A510"/>
      <c r="B510" s="84"/>
      <c r="J510" s="101"/>
    </row>
    <row r="511" spans="1:10">
      <c r="A511"/>
      <c r="B511" s="84"/>
      <c r="J511" s="101"/>
    </row>
    <row r="512" spans="1:10">
      <c r="A512"/>
      <c r="B512" s="84"/>
      <c r="J512" s="101"/>
    </row>
    <row r="513" spans="1:10">
      <c r="A513"/>
      <c r="B513" s="84"/>
      <c r="J513" s="101"/>
    </row>
    <row r="514" spans="1:10">
      <c r="A514"/>
      <c r="B514" s="84"/>
      <c r="J514" s="101"/>
    </row>
    <row r="515" spans="1:10">
      <c r="A515"/>
      <c r="B515" s="84"/>
      <c r="J515" s="101"/>
    </row>
    <row r="516" spans="1:10">
      <c r="A516"/>
      <c r="B516" s="84"/>
      <c r="J516" s="101"/>
    </row>
    <row r="517" spans="1:10">
      <c r="A517"/>
      <c r="B517" s="84"/>
      <c r="J517" s="101"/>
    </row>
    <row r="518" spans="1:10">
      <c r="A518"/>
      <c r="B518" s="84"/>
      <c r="J518" s="101"/>
    </row>
    <row r="519" spans="1:10">
      <c r="A519"/>
      <c r="B519" s="84"/>
      <c r="J519" s="101"/>
    </row>
    <row r="520" spans="1:10">
      <c r="A520"/>
      <c r="B520" s="84"/>
      <c r="J520" s="101"/>
    </row>
    <row r="521" spans="1:10">
      <c r="A521"/>
      <c r="B521" s="84"/>
      <c r="J521" s="101"/>
    </row>
    <row r="522" spans="1:10">
      <c r="A522"/>
      <c r="B522" s="84"/>
      <c r="J522" s="101"/>
    </row>
    <row r="523" spans="1:10">
      <c r="A523"/>
      <c r="B523" s="84"/>
      <c r="J523" s="101"/>
    </row>
    <row r="524" spans="1:10">
      <c r="A524"/>
      <c r="B524" s="84"/>
      <c r="J524" s="101"/>
    </row>
    <row r="525" spans="1:10">
      <c r="A525"/>
      <c r="B525" s="84"/>
      <c r="J525" s="101"/>
    </row>
    <row r="526" spans="1:10">
      <c r="A526"/>
      <c r="B526" s="84"/>
      <c r="J526" s="101"/>
    </row>
    <row r="527" spans="1:10">
      <c r="A527"/>
      <c r="B527" s="84"/>
      <c r="J527" s="101"/>
    </row>
    <row r="528" spans="10:10">
      <c r="J528" s="101"/>
    </row>
    <row r="529" spans="10:10">
      <c r="J529" s="101"/>
    </row>
    <row r="530" spans="10:10">
      <c r="J530" s="101"/>
    </row>
    <row r="531" spans="10:10">
      <c r="J531" s="101"/>
    </row>
    <row r="532" spans="10:10">
      <c r="J532" s="101"/>
    </row>
    <row r="533" spans="10:10">
      <c r="J533" s="101"/>
    </row>
    <row r="534" spans="10:10">
      <c r="J534" s="101"/>
    </row>
    <row r="535" spans="10:10">
      <c r="J535" s="101"/>
    </row>
    <row r="536" spans="10:10">
      <c r="J536" s="101"/>
    </row>
    <row r="537" spans="10:10">
      <c r="J537" s="101"/>
    </row>
    <row r="538" spans="10:10">
      <c r="J538" s="101"/>
    </row>
    <row r="539" spans="10:10">
      <c r="J539" s="101"/>
    </row>
    <row r="540" spans="10:10">
      <c r="J540" s="101"/>
    </row>
  </sheetData>
  <autoFilter xmlns:etc="http://www.wps.cn/officeDocument/2017/etCustomData" ref="A1:L471" etc:filterBottomFollowUsedRange="0">
    <filterColumn colId="5">
      <filters>
        <filter val="MAKGEOLLI 米酒750ML"/>
        <filter val="朝日啤酒 330ml"/>
        <filter val="Sapporo扎啤 500ML"/>
        <filter val="Sapporo啤酒 1700ML"/>
        <filter val="江小白 50ml"/>
        <filter val="海底捞大麦拉格啤酒500ml"/>
        <filter val="海底捞德式小麦啤酒500ml"/>
        <filter val="青岛啤酒330ml"/>
        <filter val="牛栏山二锅头56%vol 100ML"/>
        <filter val="韩国烧酒 360ML"/>
      </filters>
    </filterColumn>
    <filterColumn colId="10">
      <customFilters>
        <customFilter operator="equal" val="酒水饮料"/>
      </customFilters>
    </filterColumn>
    <filterColumn colId="11">
      <customFilters>
        <customFilter operator="equal" val="酒水"/>
      </customFilters>
    </filterColumn>
    <extLst/>
  </autoFilter>
  <conditionalFormatting sqref="A1">
    <cfRule type="duplicateValues" dxfId="0" priority="1" stopIfTrue="1"/>
  </conditionalFormatting>
  <conditionalFormatting sqref="A2:A65536">
    <cfRule type="duplicateValues" dxfId="0" priority="2" stopIfTrue="1"/>
  </conditionalFormatting>
  <pageMargins left="0.7" right="0.7" top="0.75" bottom="0.75" header="0.3" footer="0.3"/>
  <pageSetup paperSize="1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2:B287"/>
  <sheetViews>
    <sheetView workbookViewId="0">
      <selection activeCell="B7" sqref="B7"/>
    </sheetView>
  </sheetViews>
  <sheetFormatPr defaultColWidth="9.16666666666667" defaultRowHeight="15.75" outlineLevelCol="1"/>
  <cols>
    <col min="1" max="1" width="45.5" customWidth="1"/>
    <col min="2" max="2" width="8" customWidth="1"/>
  </cols>
  <sheetData>
    <row r="2" ht="23.25" spans="1:1">
      <c r="A2" s="86" t="s">
        <v>2701</v>
      </c>
    </row>
    <row r="3" spans="1:2">
      <c r="A3" s="87" t="s">
        <v>2702</v>
      </c>
      <c r="B3" s="88"/>
    </row>
    <row r="4" spans="1:2">
      <c r="A4" s="87" t="s">
        <v>2426</v>
      </c>
      <c r="B4" s="88" t="s">
        <v>2703</v>
      </c>
    </row>
    <row r="5" spans="1:2">
      <c r="A5" s="87" t="s">
        <v>621</v>
      </c>
      <c r="B5" s="89"/>
    </row>
    <row r="6" spans="1:2">
      <c r="A6" s="90" t="s">
        <v>2704</v>
      </c>
      <c r="B6" s="91">
        <v>32</v>
      </c>
    </row>
    <row r="7" spans="1:2">
      <c r="A7" s="90" t="s">
        <v>2705</v>
      </c>
      <c r="B7" s="91">
        <v>156</v>
      </c>
    </row>
    <row r="8" spans="1:2">
      <c r="A8" s="90" t="s">
        <v>2706</v>
      </c>
      <c r="B8" s="91">
        <v>958</v>
      </c>
    </row>
    <row r="9" spans="1:2">
      <c r="A9" s="90" t="s">
        <v>2707</v>
      </c>
      <c r="B9" s="91">
        <v>238</v>
      </c>
    </row>
    <row r="10" spans="1:2">
      <c r="A10" s="90" t="s">
        <v>2708</v>
      </c>
      <c r="B10" s="91">
        <v>925</v>
      </c>
    </row>
    <row r="11" spans="1:2">
      <c r="A11" s="90" t="s">
        <v>2709</v>
      </c>
      <c r="B11" s="91">
        <v>242</v>
      </c>
    </row>
    <row r="12" spans="1:2">
      <c r="A12" s="90" t="s">
        <v>2710</v>
      </c>
      <c r="B12" s="91">
        <v>83</v>
      </c>
    </row>
    <row r="13" spans="1:2">
      <c r="A13" s="90" t="s">
        <v>2711</v>
      </c>
      <c r="B13" s="91">
        <v>672</v>
      </c>
    </row>
    <row r="14" spans="1:2">
      <c r="A14" s="90" t="s">
        <v>2712</v>
      </c>
      <c r="B14" s="91">
        <v>192</v>
      </c>
    </row>
    <row r="15" spans="1:2">
      <c r="A15" s="90" t="s">
        <v>2713</v>
      </c>
      <c r="B15" s="91">
        <v>100</v>
      </c>
    </row>
    <row r="16" spans="1:2">
      <c r="A16" s="90" t="s">
        <v>2714</v>
      </c>
      <c r="B16" s="91">
        <v>39</v>
      </c>
    </row>
    <row r="17" spans="1:2">
      <c r="A17" s="90" t="s">
        <v>2715</v>
      </c>
      <c r="B17" s="91">
        <v>1</v>
      </c>
    </row>
    <row r="18" spans="1:2">
      <c r="A18" s="90" t="s">
        <v>2716</v>
      </c>
      <c r="B18" s="91">
        <v>79</v>
      </c>
    </row>
    <row r="19" spans="1:2">
      <c r="A19" s="90" t="s">
        <v>2717</v>
      </c>
      <c r="B19" s="91">
        <v>1683</v>
      </c>
    </row>
    <row r="20" spans="1:2">
      <c r="A20" s="90" t="s">
        <v>2718</v>
      </c>
      <c r="B20" s="91">
        <v>118</v>
      </c>
    </row>
    <row r="21" spans="1:2">
      <c r="A21" s="90" t="s">
        <v>2719</v>
      </c>
      <c r="B21" s="91">
        <v>272</v>
      </c>
    </row>
    <row r="22" spans="1:2">
      <c r="A22" s="90" t="s">
        <v>2720</v>
      </c>
      <c r="B22" s="91">
        <v>410</v>
      </c>
    </row>
    <row r="23" spans="1:2">
      <c r="A23" s="90" t="s">
        <v>2721</v>
      </c>
      <c r="B23" s="91">
        <v>292</v>
      </c>
    </row>
    <row r="24" spans="1:2">
      <c r="A24" s="90" t="s">
        <v>2722</v>
      </c>
      <c r="B24" s="91">
        <v>1046</v>
      </c>
    </row>
    <row r="25" spans="1:2">
      <c r="A25" s="90" t="s">
        <v>2723</v>
      </c>
      <c r="B25" s="91">
        <v>1306</v>
      </c>
    </row>
    <row r="26" spans="1:2">
      <c r="A26" s="90" t="s">
        <v>2724</v>
      </c>
      <c r="B26" s="91">
        <v>389</v>
      </c>
    </row>
    <row r="27" spans="1:2">
      <c r="A27" s="90" t="s">
        <v>2725</v>
      </c>
      <c r="B27" s="91">
        <v>17719</v>
      </c>
    </row>
    <row r="28" spans="1:2">
      <c r="A28" s="90" t="s">
        <v>2726</v>
      </c>
      <c r="B28" s="91">
        <v>243</v>
      </c>
    </row>
    <row r="29" spans="1:2">
      <c r="A29" s="90" t="s">
        <v>2727</v>
      </c>
      <c r="B29" s="91">
        <v>140</v>
      </c>
    </row>
    <row r="30" spans="1:2">
      <c r="A30" s="90" t="s">
        <v>2728</v>
      </c>
      <c r="B30" s="91">
        <v>238</v>
      </c>
    </row>
    <row r="31" spans="1:2">
      <c r="A31" s="90" t="s">
        <v>2729</v>
      </c>
      <c r="B31" s="91">
        <v>192</v>
      </c>
    </row>
    <row r="32" spans="1:2">
      <c r="A32" s="90" t="s">
        <v>2730</v>
      </c>
      <c r="B32" s="91">
        <v>178</v>
      </c>
    </row>
    <row r="33" spans="1:2">
      <c r="A33" s="90" t="s">
        <v>2731</v>
      </c>
      <c r="B33" s="91">
        <v>305</v>
      </c>
    </row>
    <row r="34" spans="1:2">
      <c r="A34" s="90" t="s">
        <v>2732</v>
      </c>
      <c r="B34" s="91">
        <v>533</v>
      </c>
    </row>
    <row r="35" spans="1:2">
      <c r="A35" s="90" t="s">
        <v>2733</v>
      </c>
      <c r="B35" s="91">
        <v>634</v>
      </c>
    </row>
    <row r="36" spans="1:2">
      <c r="A36" s="90" t="s">
        <v>2734</v>
      </c>
      <c r="B36" s="91">
        <v>10</v>
      </c>
    </row>
    <row r="37" spans="1:2">
      <c r="A37" s="90" t="s">
        <v>2735</v>
      </c>
      <c r="B37" s="91">
        <v>133</v>
      </c>
    </row>
    <row r="38" spans="1:2">
      <c r="A38" s="90" t="s">
        <v>2736</v>
      </c>
      <c r="B38" s="91">
        <v>113</v>
      </c>
    </row>
    <row r="39" spans="1:2">
      <c r="A39" s="90" t="s">
        <v>2737</v>
      </c>
      <c r="B39" s="91">
        <v>40</v>
      </c>
    </row>
    <row r="40" spans="1:2">
      <c r="A40" s="90" t="s">
        <v>2738</v>
      </c>
      <c r="B40" s="91">
        <v>261</v>
      </c>
    </row>
    <row r="41" spans="1:2">
      <c r="A41" s="90" t="s">
        <v>2739</v>
      </c>
      <c r="B41" s="91">
        <v>124</v>
      </c>
    </row>
    <row r="42" spans="1:2">
      <c r="A42" s="90" t="s">
        <v>2740</v>
      </c>
      <c r="B42" s="91">
        <v>294</v>
      </c>
    </row>
    <row r="43" spans="1:2">
      <c r="A43" s="90" t="s">
        <v>2741</v>
      </c>
      <c r="B43" s="91">
        <v>180</v>
      </c>
    </row>
    <row r="44" spans="1:2">
      <c r="A44" s="90" t="s">
        <v>2742</v>
      </c>
      <c r="B44" s="91">
        <v>4348</v>
      </c>
    </row>
    <row r="45" spans="1:2">
      <c r="A45" s="90" t="s">
        <v>2743</v>
      </c>
      <c r="B45" s="91">
        <v>244</v>
      </c>
    </row>
    <row r="46" spans="1:2">
      <c r="A46" s="90" t="s">
        <v>2744</v>
      </c>
      <c r="B46" s="91">
        <v>178</v>
      </c>
    </row>
    <row r="47" spans="1:2">
      <c r="A47" s="90" t="s">
        <v>2745</v>
      </c>
      <c r="B47" s="91">
        <v>453</v>
      </c>
    </row>
    <row r="48" spans="1:2">
      <c r="A48" s="90" t="s">
        <v>2746</v>
      </c>
      <c r="B48" s="91">
        <v>488</v>
      </c>
    </row>
    <row r="49" spans="1:2">
      <c r="A49" s="90" t="s">
        <v>2747</v>
      </c>
      <c r="B49" s="91">
        <v>1655</v>
      </c>
    </row>
    <row r="50" spans="1:2">
      <c r="A50" s="90" t="s">
        <v>2748</v>
      </c>
      <c r="B50" s="91">
        <v>21</v>
      </c>
    </row>
    <row r="51" spans="1:2">
      <c r="A51" s="90" t="s">
        <v>2749</v>
      </c>
      <c r="B51" s="91">
        <v>551</v>
      </c>
    </row>
    <row r="52" spans="1:2">
      <c r="A52" s="90" t="s">
        <v>2750</v>
      </c>
      <c r="B52" s="91">
        <v>499</v>
      </c>
    </row>
    <row r="53" spans="1:2">
      <c r="A53" s="90" t="s">
        <v>2751</v>
      </c>
      <c r="B53" s="91">
        <v>356</v>
      </c>
    </row>
    <row r="54" spans="1:2">
      <c r="A54" s="90" t="s">
        <v>2752</v>
      </c>
      <c r="B54" s="91">
        <v>252</v>
      </c>
    </row>
    <row r="55" spans="1:2">
      <c r="A55" s="90" t="s">
        <v>2753</v>
      </c>
      <c r="B55" s="91">
        <v>95</v>
      </c>
    </row>
    <row r="56" spans="1:2">
      <c r="A56" s="90" t="s">
        <v>2754</v>
      </c>
      <c r="B56" s="91">
        <v>550</v>
      </c>
    </row>
    <row r="57" spans="1:2">
      <c r="A57" s="90" t="s">
        <v>2755</v>
      </c>
      <c r="B57" s="91">
        <v>190</v>
      </c>
    </row>
    <row r="58" spans="1:2">
      <c r="A58" s="90" t="s">
        <v>2756</v>
      </c>
      <c r="B58" s="91">
        <v>838</v>
      </c>
    </row>
    <row r="59" spans="1:2">
      <c r="A59" s="90" t="s">
        <v>2757</v>
      </c>
      <c r="B59" s="91">
        <v>1</v>
      </c>
    </row>
    <row r="60" spans="1:2">
      <c r="A60" s="90" t="s">
        <v>2758</v>
      </c>
      <c r="B60" s="91">
        <v>5</v>
      </c>
    </row>
    <row r="61" spans="1:2">
      <c r="A61" s="90" t="s">
        <v>2759</v>
      </c>
      <c r="B61" s="91">
        <v>436</v>
      </c>
    </row>
    <row r="62" spans="1:2">
      <c r="A62" s="90" t="s">
        <v>2760</v>
      </c>
      <c r="B62" s="91">
        <v>270</v>
      </c>
    </row>
    <row r="63" spans="1:2">
      <c r="A63" s="90" t="s">
        <v>2761</v>
      </c>
      <c r="B63" s="91">
        <v>282</v>
      </c>
    </row>
    <row r="64" spans="1:2">
      <c r="A64" s="90" t="s">
        <v>2762</v>
      </c>
      <c r="B64" s="91">
        <v>67</v>
      </c>
    </row>
    <row r="65" spans="1:2">
      <c r="A65" s="90" t="s">
        <v>2763</v>
      </c>
      <c r="B65" s="91">
        <v>1909</v>
      </c>
    </row>
    <row r="66" spans="1:2">
      <c r="A66" s="90" t="s">
        <v>2764</v>
      </c>
      <c r="B66" s="91">
        <v>906</v>
      </c>
    </row>
    <row r="67" spans="1:2">
      <c r="A67" s="90" t="s">
        <v>2765</v>
      </c>
      <c r="B67" s="91">
        <v>310</v>
      </c>
    </row>
    <row r="68" spans="1:2">
      <c r="A68" s="90" t="s">
        <v>2766</v>
      </c>
      <c r="B68" s="91">
        <v>763</v>
      </c>
    </row>
    <row r="69" spans="1:2">
      <c r="A69" s="90" t="s">
        <v>2767</v>
      </c>
      <c r="B69" s="91">
        <v>636</v>
      </c>
    </row>
    <row r="70" spans="1:2">
      <c r="A70" s="90" t="s">
        <v>2768</v>
      </c>
      <c r="B70" s="91">
        <v>141</v>
      </c>
    </row>
    <row r="71" spans="1:2">
      <c r="A71" s="90" t="s">
        <v>2769</v>
      </c>
      <c r="B71" s="91">
        <v>51</v>
      </c>
    </row>
    <row r="72" spans="1:2">
      <c r="A72" s="90" t="s">
        <v>2770</v>
      </c>
      <c r="B72" s="91">
        <v>419</v>
      </c>
    </row>
    <row r="73" spans="1:2">
      <c r="A73" s="90" t="s">
        <v>2771</v>
      </c>
      <c r="B73" s="91">
        <v>349</v>
      </c>
    </row>
    <row r="74" spans="1:2">
      <c r="A74" s="90" t="s">
        <v>2772</v>
      </c>
      <c r="B74" s="91">
        <v>121</v>
      </c>
    </row>
    <row r="75" spans="1:2">
      <c r="A75" s="90" t="s">
        <v>2773</v>
      </c>
      <c r="B75" s="91">
        <v>804</v>
      </c>
    </row>
    <row r="76" spans="1:2">
      <c r="A76" s="90" t="s">
        <v>2774</v>
      </c>
      <c r="B76" s="91">
        <v>1014</v>
      </c>
    </row>
    <row r="77" spans="1:2">
      <c r="A77" s="90" t="s">
        <v>2775</v>
      </c>
      <c r="B77" s="91">
        <v>547</v>
      </c>
    </row>
    <row r="78" spans="1:2">
      <c r="A78" s="90" t="s">
        <v>2776</v>
      </c>
      <c r="B78" s="91">
        <v>156</v>
      </c>
    </row>
    <row r="79" spans="1:2">
      <c r="A79" s="90" t="s">
        <v>2777</v>
      </c>
      <c r="B79" s="91">
        <v>214</v>
      </c>
    </row>
    <row r="80" spans="1:2">
      <c r="A80" s="90" t="s">
        <v>2778</v>
      </c>
      <c r="B80" s="91">
        <v>84</v>
      </c>
    </row>
    <row r="81" spans="1:2">
      <c r="A81" s="90" t="s">
        <v>2779</v>
      </c>
      <c r="B81" s="91">
        <v>143</v>
      </c>
    </row>
    <row r="82" spans="1:2">
      <c r="A82" s="90" t="s">
        <v>2780</v>
      </c>
      <c r="B82" s="91">
        <v>9</v>
      </c>
    </row>
    <row r="83" spans="1:2">
      <c r="A83" s="90" t="s">
        <v>2781</v>
      </c>
      <c r="B83" s="91">
        <v>467</v>
      </c>
    </row>
    <row r="84" spans="1:2">
      <c r="A84" s="90" t="s">
        <v>2782</v>
      </c>
      <c r="B84" s="91">
        <v>612</v>
      </c>
    </row>
    <row r="85" spans="1:2">
      <c r="A85" s="90" t="s">
        <v>2783</v>
      </c>
      <c r="B85" s="91">
        <v>219</v>
      </c>
    </row>
    <row r="86" spans="1:2">
      <c r="A86" s="90" t="s">
        <v>2784</v>
      </c>
      <c r="B86" s="91">
        <v>662</v>
      </c>
    </row>
    <row r="87" spans="1:2">
      <c r="A87" s="90" t="s">
        <v>2785</v>
      </c>
      <c r="B87" s="91">
        <v>170</v>
      </c>
    </row>
    <row r="88" spans="1:2">
      <c r="A88" s="90" t="s">
        <v>2786</v>
      </c>
      <c r="B88" s="91">
        <v>308</v>
      </c>
    </row>
    <row r="89" spans="1:2">
      <c r="A89" s="90" t="s">
        <v>2787</v>
      </c>
      <c r="B89" s="91">
        <v>541</v>
      </c>
    </row>
    <row r="90" spans="1:2">
      <c r="A90" s="90" t="s">
        <v>2788</v>
      </c>
      <c r="B90" s="91">
        <v>727</v>
      </c>
    </row>
    <row r="91" spans="1:2">
      <c r="A91" s="90" t="s">
        <v>2789</v>
      </c>
      <c r="B91" s="91">
        <v>268</v>
      </c>
    </row>
    <row r="92" spans="1:2">
      <c r="A92" s="90" t="s">
        <v>2790</v>
      </c>
      <c r="B92" s="91">
        <v>416</v>
      </c>
    </row>
    <row r="93" spans="1:2">
      <c r="A93" s="90" t="s">
        <v>2791</v>
      </c>
      <c r="B93" s="91">
        <v>568</v>
      </c>
    </row>
    <row r="94" spans="1:2">
      <c r="A94" s="90" t="s">
        <v>2792</v>
      </c>
      <c r="B94" s="91">
        <v>191</v>
      </c>
    </row>
    <row r="95" spans="1:2">
      <c r="A95" s="90" t="s">
        <v>2793</v>
      </c>
      <c r="B95" s="91">
        <v>85</v>
      </c>
    </row>
    <row r="96" spans="1:2">
      <c r="A96" s="90" t="s">
        <v>2794</v>
      </c>
      <c r="B96" s="91">
        <v>293</v>
      </c>
    </row>
    <row r="97" spans="1:2">
      <c r="A97" s="90" t="s">
        <v>2795</v>
      </c>
      <c r="B97" s="91">
        <v>2010</v>
      </c>
    </row>
    <row r="98" spans="1:2">
      <c r="A98" s="90" t="s">
        <v>2796</v>
      </c>
      <c r="B98" s="91">
        <v>486</v>
      </c>
    </row>
    <row r="99" spans="1:2">
      <c r="A99" s="90" t="s">
        <v>2797</v>
      </c>
      <c r="B99" s="91">
        <v>301</v>
      </c>
    </row>
    <row r="100" spans="1:2">
      <c r="A100" s="90" t="s">
        <v>2798</v>
      </c>
      <c r="B100" s="91">
        <v>368</v>
      </c>
    </row>
    <row r="101" spans="1:2">
      <c r="A101" s="90" t="s">
        <v>2799</v>
      </c>
      <c r="B101" s="91">
        <v>206</v>
      </c>
    </row>
    <row r="102" spans="1:2">
      <c r="A102" s="90" t="s">
        <v>2800</v>
      </c>
      <c r="B102" s="91">
        <v>276</v>
      </c>
    </row>
    <row r="103" spans="1:2">
      <c r="A103" s="90" t="s">
        <v>2801</v>
      </c>
      <c r="B103" s="91">
        <v>218</v>
      </c>
    </row>
    <row r="104" spans="1:2">
      <c r="A104" s="90" t="s">
        <v>2802</v>
      </c>
      <c r="B104" s="91">
        <v>59</v>
      </c>
    </row>
    <row r="105" spans="1:2">
      <c r="A105" s="90" t="s">
        <v>2803</v>
      </c>
      <c r="B105" s="91">
        <v>301</v>
      </c>
    </row>
    <row r="106" spans="1:2">
      <c r="A106" s="90" t="s">
        <v>2804</v>
      </c>
      <c r="B106" s="91">
        <v>358</v>
      </c>
    </row>
    <row r="107" spans="1:2">
      <c r="A107" s="90" t="s">
        <v>2805</v>
      </c>
      <c r="B107" s="91">
        <v>657</v>
      </c>
    </row>
    <row r="108" spans="1:2">
      <c r="A108" s="90" t="s">
        <v>2806</v>
      </c>
      <c r="B108" s="91">
        <v>484</v>
      </c>
    </row>
    <row r="109" spans="1:2">
      <c r="A109" s="90" t="s">
        <v>2807</v>
      </c>
      <c r="B109" s="91">
        <v>178</v>
      </c>
    </row>
    <row r="110" spans="1:2">
      <c r="A110" s="90" t="s">
        <v>2808</v>
      </c>
      <c r="B110" s="91">
        <v>413</v>
      </c>
    </row>
    <row r="111" spans="1:2">
      <c r="A111" s="90" t="s">
        <v>2809</v>
      </c>
      <c r="B111" s="91">
        <v>697</v>
      </c>
    </row>
    <row r="112" spans="1:2">
      <c r="A112" s="90" t="s">
        <v>2810</v>
      </c>
      <c r="B112" s="91">
        <v>765</v>
      </c>
    </row>
    <row r="113" spans="1:2">
      <c r="A113" s="90" t="s">
        <v>2811</v>
      </c>
      <c r="B113" s="91">
        <v>1190</v>
      </c>
    </row>
    <row r="114" spans="1:2">
      <c r="A114" s="90" t="s">
        <v>2812</v>
      </c>
      <c r="B114" s="91">
        <v>119</v>
      </c>
    </row>
    <row r="115" spans="1:2">
      <c r="A115" s="90" t="s">
        <v>2813</v>
      </c>
      <c r="B115" s="91">
        <v>260</v>
      </c>
    </row>
    <row r="116" spans="1:2">
      <c r="A116" s="90" t="s">
        <v>2814</v>
      </c>
      <c r="B116" s="91">
        <v>445</v>
      </c>
    </row>
    <row r="117" spans="1:2">
      <c r="A117" s="90" t="s">
        <v>2815</v>
      </c>
      <c r="B117" s="91">
        <v>279</v>
      </c>
    </row>
    <row r="118" spans="1:2">
      <c r="A118" s="90" t="s">
        <v>2816</v>
      </c>
      <c r="B118" s="91">
        <v>86</v>
      </c>
    </row>
    <row r="119" spans="1:2">
      <c r="A119" s="90" t="s">
        <v>2817</v>
      </c>
      <c r="B119" s="91">
        <v>193</v>
      </c>
    </row>
    <row r="120" spans="1:2">
      <c r="A120" s="90" t="s">
        <v>2818</v>
      </c>
      <c r="B120" s="91">
        <v>54</v>
      </c>
    </row>
    <row r="121" spans="1:2">
      <c r="A121" s="90" t="s">
        <v>2819</v>
      </c>
      <c r="B121" s="91">
        <v>395</v>
      </c>
    </row>
    <row r="122" spans="1:2">
      <c r="A122" s="90" t="s">
        <v>2820</v>
      </c>
      <c r="B122" s="91">
        <v>115</v>
      </c>
    </row>
    <row r="123" spans="1:2">
      <c r="A123" s="90" t="s">
        <v>2821</v>
      </c>
      <c r="B123" s="91">
        <v>253</v>
      </c>
    </row>
    <row r="124" spans="1:2">
      <c r="A124" s="90" t="s">
        <v>2822</v>
      </c>
      <c r="B124" s="91">
        <v>311</v>
      </c>
    </row>
    <row r="125" spans="1:2">
      <c r="A125" s="90" t="s">
        <v>2823</v>
      </c>
      <c r="B125" s="91">
        <v>340</v>
      </c>
    </row>
    <row r="126" spans="1:2">
      <c r="A126" s="90" t="s">
        <v>2824</v>
      </c>
      <c r="B126" s="91">
        <v>127</v>
      </c>
    </row>
    <row r="127" spans="1:2">
      <c r="A127" s="90" t="s">
        <v>2825</v>
      </c>
      <c r="B127" s="91">
        <v>156</v>
      </c>
    </row>
    <row r="128" spans="1:2">
      <c r="A128" s="90" t="s">
        <v>2826</v>
      </c>
      <c r="B128" s="91">
        <v>155</v>
      </c>
    </row>
    <row r="129" spans="1:2">
      <c r="A129" s="90" t="s">
        <v>2827</v>
      </c>
      <c r="B129" s="91">
        <v>393</v>
      </c>
    </row>
    <row r="130" spans="1:2">
      <c r="A130" s="90" t="s">
        <v>2828</v>
      </c>
      <c r="B130" s="91">
        <v>266</v>
      </c>
    </row>
    <row r="131" spans="1:2">
      <c r="A131" s="90" t="s">
        <v>2829</v>
      </c>
      <c r="B131" s="91">
        <v>178</v>
      </c>
    </row>
    <row r="132" spans="1:2">
      <c r="A132" s="90" t="s">
        <v>2830</v>
      </c>
      <c r="B132" s="91">
        <v>143</v>
      </c>
    </row>
    <row r="133" spans="1:2">
      <c r="A133" s="90" t="s">
        <v>2831</v>
      </c>
      <c r="B133" s="91">
        <v>180</v>
      </c>
    </row>
    <row r="134" spans="1:2">
      <c r="A134" s="90" t="s">
        <v>2832</v>
      </c>
      <c r="B134" s="91">
        <v>671</v>
      </c>
    </row>
    <row r="135" spans="1:2">
      <c r="A135" s="90" t="s">
        <v>2833</v>
      </c>
      <c r="B135" s="91">
        <v>3</v>
      </c>
    </row>
    <row r="136" spans="1:2">
      <c r="A136" s="90" t="s">
        <v>2834</v>
      </c>
      <c r="B136" s="91">
        <v>182</v>
      </c>
    </row>
    <row r="137" spans="1:2">
      <c r="A137" s="90" t="s">
        <v>2835</v>
      </c>
      <c r="B137" s="91">
        <v>95</v>
      </c>
    </row>
    <row r="138" spans="1:2">
      <c r="A138" s="90" t="s">
        <v>2836</v>
      </c>
      <c r="B138" s="91">
        <v>80</v>
      </c>
    </row>
    <row r="139" spans="1:2">
      <c r="A139" s="90" t="s">
        <v>2837</v>
      </c>
      <c r="B139" s="91">
        <v>417</v>
      </c>
    </row>
    <row r="140" spans="1:2">
      <c r="A140" s="90" t="s">
        <v>2838</v>
      </c>
      <c r="B140" s="91">
        <v>181</v>
      </c>
    </row>
    <row r="141" spans="1:2">
      <c r="A141" s="90" t="s">
        <v>2839</v>
      </c>
      <c r="B141" s="91">
        <v>252</v>
      </c>
    </row>
    <row r="142" spans="1:2">
      <c r="A142" s="90" t="s">
        <v>2840</v>
      </c>
      <c r="B142" s="91">
        <v>4550</v>
      </c>
    </row>
    <row r="143" spans="1:2">
      <c r="A143" s="90" t="s">
        <v>2841</v>
      </c>
      <c r="B143" s="91">
        <v>909</v>
      </c>
    </row>
    <row r="144" spans="1:2">
      <c r="A144" s="90" t="s">
        <v>2842</v>
      </c>
      <c r="B144" s="91">
        <v>323</v>
      </c>
    </row>
    <row r="145" spans="1:2">
      <c r="A145" s="90" t="s">
        <v>2843</v>
      </c>
      <c r="B145" s="91">
        <v>159</v>
      </c>
    </row>
    <row r="146" spans="1:2">
      <c r="A146" s="90" t="s">
        <v>2844</v>
      </c>
      <c r="B146" s="91">
        <v>364</v>
      </c>
    </row>
    <row r="147" spans="1:2">
      <c r="A147" s="90" t="s">
        <v>2845</v>
      </c>
      <c r="B147" s="91">
        <v>1352</v>
      </c>
    </row>
    <row r="148" spans="1:2">
      <c r="A148" s="90" t="s">
        <v>2846</v>
      </c>
      <c r="B148" s="91">
        <v>241</v>
      </c>
    </row>
    <row r="149" spans="1:2">
      <c r="A149" s="90" t="s">
        <v>2847</v>
      </c>
      <c r="B149" s="91">
        <v>1541</v>
      </c>
    </row>
    <row r="150" spans="1:2">
      <c r="A150" s="90" t="s">
        <v>2848</v>
      </c>
      <c r="B150" s="91">
        <v>510</v>
      </c>
    </row>
    <row r="151" spans="1:2">
      <c r="A151" s="90" t="s">
        <v>2849</v>
      </c>
      <c r="B151" s="91">
        <v>318</v>
      </c>
    </row>
    <row r="152" spans="1:2">
      <c r="A152" s="90" t="s">
        <v>2850</v>
      </c>
      <c r="B152" s="91">
        <v>1939</v>
      </c>
    </row>
    <row r="153" spans="1:2">
      <c r="A153" s="90" t="s">
        <v>2851</v>
      </c>
      <c r="B153" s="91">
        <v>112</v>
      </c>
    </row>
    <row r="154" spans="1:2">
      <c r="A154" s="90" t="s">
        <v>2852</v>
      </c>
      <c r="B154" s="91">
        <v>128</v>
      </c>
    </row>
    <row r="155" spans="1:2">
      <c r="A155" s="90" t="s">
        <v>2853</v>
      </c>
      <c r="B155" s="91">
        <v>757</v>
      </c>
    </row>
    <row r="156" spans="1:2">
      <c r="A156" s="90" t="s">
        <v>2854</v>
      </c>
      <c r="B156" s="91">
        <v>588</v>
      </c>
    </row>
    <row r="157" spans="1:2">
      <c r="A157" s="90" t="s">
        <v>2855</v>
      </c>
      <c r="B157" s="91">
        <v>457</v>
      </c>
    </row>
    <row r="158" spans="1:2">
      <c r="A158" s="90" t="s">
        <v>2856</v>
      </c>
      <c r="B158" s="91">
        <v>242</v>
      </c>
    </row>
    <row r="159" spans="1:2">
      <c r="A159" s="90" t="s">
        <v>2857</v>
      </c>
      <c r="B159" s="91">
        <v>207</v>
      </c>
    </row>
    <row r="160" spans="1:2">
      <c r="A160" s="90" t="s">
        <v>2858</v>
      </c>
      <c r="B160" s="91">
        <v>157</v>
      </c>
    </row>
    <row r="161" spans="1:2">
      <c r="A161" s="90" t="s">
        <v>2859</v>
      </c>
      <c r="B161" s="91">
        <v>333</v>
      </c>
    </row>
    <row r="162" spans="1:2">
      <c r="A162" s="90" t="s">
        <v>2860</v>
      </c>
      <c r="B162" s="91">
        <v>292</v>
      </c>
    </row>
    <row r="163" spans="1:2">
      <c r="A163" s="90" t="s">
        <v>2861</v>
      </c>
      <c r="B163" s="91">
        <v>0</v>
      </c>
    </row>
    <row r="164" spans="1:2">
      <c r="A164" s="90" t="s">
        <v>2862</v>
      </c>
      <c r="B164" s="91">
        <v>230</v>
      </c>
    </row>
    <row r="165" spans="1:2">
      <c r="A165" s="90" t="s">
        <v>2863</v>
      </c>
      <c r="B165" s="91">
        <v>780</v>
      </c>
    </row>
    <row r="166" spans="1:2">
      <c r="A166" s="90" t="s">
        <v>2864</v>
      </c>
      <c r="B166" s="91">
        <v>354</v>
      </c>
    </row>
    <row r="167" spans="1:2">
      <c r="A167" s="90" t="s">
        <v>2865</v>
      </c>
      <c r="B167" s="91">
        <v>423</v>
      </c>
    </row>
    <row r="168" spans="1:2">
      <c r="A168" s="90" t="s">
        <v>2866</v>
      </c>
      <c r="B168" s="91">
        <v>339</v>
      </c>
    </row>
    <row r="169" spans="1:2">
      <c r="A169" s="90" t="s">
        <v>2867</v>
      </c>
      <c r="B169" s="91">
        <v>294</v>
      </c>
    </row>
    <row r="170" spans="1:2">
      <c r="A170" s="90" t="s">
        <v>2868</v>
      </c>
      <c r="B170" s="91">
        <v>24</v>
      </c>
    </row>
    <row r="171" spans="1:2">
      <c r="A171" s="90" t="s">
        <v>2869</v>
      </c>
      <c r="B171" s="91">
        <v>107</v>
      </c>
    </row>
    <row r="172" spans="1:2">
      <c r="A172" s="90" t="s">
        <v>2870</v>
      </c>
      <c r="B172" s="91">
        <v>5</v>
      </c>
    </row>
    <row r="173" spans="1:2">
      <c r="A173" s="90" t="s">
        <v>2871</v>
      </c>
      <c r="B173" s="91">
        <v>141</v>
      </c>
    </row>
    <row r="174" spans="1:2">
      <c r="A174" s="90" t="s">
        <v>2872</v>
      </c>
      <c r="B174" s="91">
        <v>8</v>
      </c>
    </row>
    <row r="175" spans="1:2">
      <c r="A175" s="90" t="s">
        <v>2873</v>
      </c>
      <c r="B175" s="91">
        <v>213</v>
      </c>
    </row>
    <row r="176" spans="1:2">
      <c r="A176" s="90" t="s">
        <v>2874</v>
      </c>
      <c r="B176" s="91">
        <v>3</v>
      </c>
    </row>
    <row r="177" spans="1:2">
      <c r="A177" s="90" t="s">
        <v>2875</v>
      </c>
      <c r="B177" s="91">
        <v>98</v>
      </c>
    </row>
    <row r="178" spans="1:2">
      <c r="A178" s="90" t="s">
        <v>2876</v>
      </c>
      <c r="B178" s="91">
        <v>107</v>
      </c>
    </row>
    <row r="179" spans="1:2">
      <c r="A179" s="90" t="s">
        <v>2877</v>
      </c>
      <c r="B179" s="91">
        <v>0</v>
      </c>
    </row>
    <row r="180" spans="1:2">
      <c r="A180" s="90" t="s">
        <v>2878</v>
      </c>
      <c r="B180" s="91">
        <v>15</v>
      </c>
    </row>
    <row r="181" spans="1:2">
      <c r="A181" s="90" t="s">
        <v>2879</v>
      </c>
      <c r="B181" s="91">
        <v>232</v>
      </c>
    </row>
    <row r="182" spans="1:2">
      <c r="A182" s="90" t="s">
        <v>2880</v>
      </c>
      <c r="B182" s="91">
        <v>58</v>
      </c>
    </row>
    <row r="183" spans="1:2">
      <c r="A183" s="90" t="s">
        <v>2881</v>
      </c>
      <c r="B183" s="91">
        <v>195</v>
      </c>
    </row>
    <row r="184" spans="1:2">
      <c r="A184" s="90" t="s">
        <v>2882</v>
      </c>
      <c r="B184" s="91">
        <v>303</v>
      </c>
    </row>
    <row r="185" spans="1:2">
      <c r="A185" s="90" t="s">
        <v>2883</v>
      </c>
      <c r="B185" s="91">
        <v>19</v>
      </c>
    </row>
    <row r="186" spans="1:2">
      <c r="A186" s="90" t="s">
        <v>2884</v>
      </c>
      <c r="B186" s="91">
        <v>3624</v>
      </c>
    </row>
    <row r="187" spans="1:2">
      <c r="A187" s="90" t="s">
        <v>2885</v>
      </c>
      <c r="B187" s="91">
        <v>111</v>
      </c>
    </row>
    <row r="188" spans="1:2">
      <c r="A188" s="90" t="s">
        <v>2886</v>
      </c>
      <c r="B188" s="91">
        <v>21</v>
      </c>
    </row>
    <row r="189" spans="1:2">
      <c r="A189" s="90" t="s">
        <v>2887</v>
      </c>
      <c r="B189" s="91">
        <v>333</v>
      </c>
    </row>
    <row r="190" spans="1:2">
      <c r="A190" s="90" t="s">
        <v>2888</v>
      </c>
      <c r="B190" s="91">
        <v>113</v>
      </c>
    </row>
    <row r="191" spans="1:2">
      <c r="A191" s="90" t="s">
        <v>2889</v>
      </c>
      <c r="B191" s="91">
        <v>1</v>
      </c>
    </row>
    <row r="192" spans="1:2">
      <c r="A192" s="90" t="s">
        <v>2890</v>
      </c>
      <c r="B192" s="91">
        <v>245</v>
      </c>
    </row>
    <row r="193" spans="1:2">
      <c r="A193" s="90" t="s">
        <v>2891</v>
      </c>
      <c r="B193" s="91">
        <v>205</v>
      </c>
    </row>
    <row r="194" spans="1:2">
      <c r="A194" s="90" t="s">
        <v>2892</v>
      </c>
      <c r="B194" s="91">
        <v>1268</v>
      </c>
    </row>
    <row r="195" spans="1:2">
      <c r="A195" s="90" t="s">
        <v>2893</v>
      </c>
      <c r="B195" s="91">
        <v>93</v>
      </c>
    </row>
    <row r="196" spans="1:2">
      <c r="A196" s="90" t="s">
        <v>2894</v>
      </c>
      <c r="B196" s="91">
        <v>322</v>
      </c>
    </row>
    <row r="197" spans="1:2">
      <c r="A197" s="90" t="s">
        <v>2895</v>
      </c>
      <c r="B197" s="91">
        <v>16</v>
      </c>
    </row>
    <row r="198" spans="1:2">
      <c r="A198" s="90" t="s">
        <v>2896</v>
      </c>
      <c r="B198" s="91">
        <v>14</v>
      </c>
    </row>
    <row r="199" spans="1:2">
      <c r="A199" s="90" t="s">
        <v>2897</v>
      </c>
      <c r="B199" s="91">
        <v>20</v>
      </c>
    </row>
    <row r="200" spans="1:2">
      <c r="A200" s="90" t="s">
        <v>2898</v>
      </c>
      <c r="B200" s="91">
        <v>9</v>
      </c>
    </row>
    <row r="201" spans="1:2">
      <c r="A201" s="90" t="s">
        <v>2899</v>
      </c>
      <c r="B201" s="91">
        <v>318</v>
      </c>
    </row>
    <row r="202" spans="1:2">
      <c r="A202" s="90" t="s">
        <v>2900</v>
      </c>
      <c r="B202" s="91">
        <v>1</v>
      </c>
    </row>
    <row r="203" spans="1:2">
      <c r="A203" s="90" t="s">
        <v>2901</v>
      </c>
      <c r="B203" s="91">
        <v>7</v>
      </c>
    </row>
    <row r="204" spans="1:2">
      <c r="A204" s="90" t="s">
        <v>2902</v>
      </c>
      <c r="B204" s="91">
        <v>470</v>
      </c>
    </row>
    <row r="205" spans="1:2">
      <c r="A205" s="90" t="s">
        <v>2903</v>
      </c>
      <c r="B205" s="91">
        <v>182</v>
      </c>
    </row>
    <row r="206" spans="1:2">
      <c r="A206" s="90" t="s">
        <v>2904</v>
      </c>
      <c r="B206" s="91">
        <v>56</v>
      </c>
    </row>
    <row r="207" spans="1:2">
      <c r="A207" s="90" t="s">
        <v>2905</v>
      </c>
      <c r="B207" s="91">
        <v>273</v>
      </c>
    </row>
    <row r="208" spans="1:2">
      <c r="A208" s="90" t="s">
        <v>2906</v>
      </c>
      <c r="B208" s="91">
        <v>242</v>
      </c>
    </row>
    <row r="209" spans="1:2">
      <c r="A209" s="90" t="s">
        <v>2907</v>
      </c>
      <c r="B209" s="91">
        <v>291</v>
      </c>
    </row>
    <row r="210" spans="1:2">
      <c r="A210" s="90" t="s">
        <v>2908</v>
      </c>
      <c r="B210" s="91">
        <v>1</v>
      </c>
    </row>
    <row r="211" spans="1:2">
      <c r="A211" s="90" t="s">
        <v>2909</v>
      </c>
      <c r="B211" s="91">
        <v>0</v>
      </c>
    </row>
    <row r="212" spans="1:2">
      <c r="A212" s="90" t="s">
        <v>2910</v>
      </c>
      <c r="B212" s="91">
        <v>391</v>
      </c>
    </row>
    <row r="213" spans="1:2">
      <c r="A213" s="90" t="s">
        <v>2911</v>
      </c>
      <c r="B213" s="91">
        <v>328</v>
      </c>
    </row>
    <row r="214" spans="1:2">
      <c r="A214" s="90" t="s">
        <v>2912</v>
      </c>
      <c r="B214" s="91">
        <v>284</v>
      </c>
    </row>
    <row r="215" spans="1:2">
      <c r="A215" s="90" t="s">
        <v>2913</v>
      </c>
      <c r="B215" s="91">
        <v>161</v>
      </c>
    </row>
    <row r="216" spans="1:2">
      <c r="A216" s="90" t="s">
        <v>2914</v>
      </c>
      <c r="B216" s="91">
        <v>299</v>
      </c>
    </row>
    <row r="217" spans="1:2">
      <c r="A217" s="90" t="s">
        <v>2915</v>
      </c>
      <c r="B217" s="91">
        <v>2143</v>
      </c>
    </row>
    <row r="218" spans="1:2">
      <c r="A218" s="90" t="s">
        <v>2916</v>
      </c>
      <c r="B218" s="91">
        <v>236</v>
      </c>
    </row>
    <row r="219" spans="1:2">
      <c r="A219" s="90" t="s">
        <v>2917</v>
      </c>
      <c r="B219" s="91">
        <v>56</v>
      </c>
    </row>
    <row r="220" spans="1:2">
      <c r="A220" s="90" t="s">
        <v>2918</v>
      </c>
      <c r="B220" s="91">
        <v>44</v>
      </c>
    </row>
    <row r="221" spans="1:2">
      <c r="A221" s="90" t="s">
        <v>2919</v>
      </c>
      <c r="B221" s="91">
        <v>46</v>
      </c>
    </row>
    <row r="222" spans="1:2">
      <c r="A222" s="90" t="s">
        <v>2920</v>
      </c>
      <c r="B222" s="91">
        <v>35</v>
      </c>
    </row>
    <row r="223" spans="1:2">
      <c r="A223" s="90" t="s">
        <v>2921</v>
      </c>
      <c r="B223" s="91">
        <v>57</v>
      </c>
    </row>
    <row r="224" spans="1:2">
      <c r="A224" s="90" t="s">
        <v>2922</v>
      </c>
      <c r="B224" s="91">
        <v>279</v>
      </c>
    </row>
    <row r="225" spans="1:2">
      <c r="A225" s="90" t="s">
        <v>2923</v>
      </c>
      <c r="B225" s="91">
        <v>7</v>
      </c>
    </row>
    <row r="226" spans="1:2">
      <c r="A226" s="90" t="s">
        <v>2924</v>
      </c>
      <c r="B226" s="91">
        <v>321</v>
      </c>
    </row>
    <row r="227" spans="1:2">
      <c r="A227" s="90" t="s">
        <v>2925</v>
      </c>
      <c r="B227" s="91">
        <v>628</v>
      </c>
    </row>
    <row r="228" spans="1:2">
      <c r="A228" s="90" t="s">
        <v>2926</v>
      </c>
      <c r="B228" s="91">
        <v>690</v>
      </c>
    </row>
    <row r="229" spans="1:2">
      <c r="A229" s="90" t="s">
        <v>2927</v>
      </c>
      <c r="B229" s="91">
        <v>261</v>
      </c>
    </row>
    <row r="230" spans="1:2">
      <c r="A230" s="90" t="s">
        <v>2928</v>
      </c>
      <c r="B230" s="91">
        <v>295</v>
      </c>
    </row>
    <row r="231" spans="1:2">
      <c r="A231" s="90" t="s">
        <v>2929</v>
      </c>
      <c r="B231" s="91">
        <v>620</v>
      </c>
    </row>
    <row r="232" spans="1:2">
      <c r="A232" s="90" t="s">
        <v>2930</v>
      </c>
      <c r="B232" s="91">
        <v>46</v>
      </c>
    </row>
    <row r="233" spans="1:2">
      <c r="A233" s="90" t="s">
        <v>2931</v>
      </c>
      <c r="B233" s="91">
        <v>1164</v>
      </c>
    </row>
    <row r="234" spans="1:2">
      <c r="A234" s="90" t="s">
        <v>2932</v>
      </c>
      <c r="B234" s="91">
        <v>1354</v>
      </c>
    </row>
    <row r="235" spans="1:2">
      <c r="A235" s="90" t="s">
        <v>2933</v>
      </c>
      <c r="B235" s="91">
        <v>3</v>
      </c>
    </row>
    <row r="236" spans="1:2">
      <c r="A236" s="90" t="s">
        <v>2934</v>
      </c>
      <c r="B236" s="91">
        <v>265</v>
      </c>
    </row>
    <row r="237" spans="1:2">
      <c r="A237" s="90" t="s">
        <v>2935</v>
      </c>
      <c r="B237" s="91">
        <v>489</v>
      </c>
    </row>
    <row r="238" spans="1:2">
      <c r="A238" s="90" t="s">
        <v>2936</v>
      </c>
      <c r="B238" s="91">
        <v>777</v>
      </c>
    </row>
    <row r="239" spans="1:2">
      <c r="A239" s="90" t="s">
        <v>2937</v>
      </c>
      <c r="B239" s="91">
        <v>1213</v>
      </c>
    </row>
    <row r="240" spans="1:2">
      <c r="A240" s="90" t="s">
        <v>2938</v>
      </c>
      <c r="B240" s="91">
        <v>349</v>
      </c>
    </row>
    <row r="241" spans="1:2">
      <c r="A241" s="90" t="s">
        <v>2939</v>
      </c>
      <c r="B241" s="91">
        <v>697</v>
      </c>
    </row>
    <row r="242" spans="1:2">
      <c r="A242" s="90" t="s">
        <v>2940</v>
      </c>
      <c r="B242" s="91">
        <v>1299</v>
      </c>
    </row>
    <row r="243" spans="1:2">
      <c r="A243" s="90" t="s">
        <v>2941</v>
      </c>
      <c r="B243" s="91">
        <v>2061</v>
      </c>
    </row>
    <row r="244" spans="1:2">
      <c r="A244" s="90" t="s">
        <v>2942</v>
      </c>
      <c r="B244" s="91">
        <v>5</v>
      </c>
    </row>
    <row r="245" spans="1:2">
      <c r="A245" s="90" t="s">
        <v>2943</v>
      </c>
      <c r="B245" s="91">
        <v>278</v>
      </c>
    </row>
    <row r="246" spans="1:2">
      <c r="A246" s="90" t="s">
        <v>2944</v>
      </c>
      <c r="B246" s="91">
        <v>670</v>
      </c>
    </row>
    <row r="247" spans="1:2">
      <c r="A247" s="90" t="s">
        <v>2945</v>
      </c>
      <c r="B247" s="91">
        <v>361</v>
      </c>
    </row>
    <row r="248" spans="1:2">
      <c r="A248" s="90" t="s">
        <v>2946</v>
      </c>
      <c r="B248" s="91">
        <v>4057</v>
      </c>
    </row>
    <row r="249" spans="1:2">
      <c r="A249" s="90" t="s">
        <v>2947</v>
      </c>
      <c r="B249" s="91">
        <v>69</v>
      </c>
    </row>
    <row r="250" spans="1:2">
      <c r="A250" s="90" t="s">
        <v>2948</v>
      </c>
      <c r="B250" s="91">
        <v>258</v>
      </c>
    </row>
    <row r="251" spans="1:2">
      <c r="A251" s="90" t="s">
        <v>2949</v>
      </c>
      <c r="B251" s="91">
        <v>118</v>
      </c>
    </row>
    <row r="252" spans="1:2">
      <c r="A252" s="90" t="s">
        <v>2950</v>
      </c>
      <c r="B252" s="91">
        <v>227</v>
      </c>
    </row>
    <row r="253" spans="1:2">
      <c r="A253" s="90" t="s">
        <v>2951</v>
      </c>
      <c r="B253" s="91">
        <v>8</v>
      </c>
    </row>
    <row r="254" spans="1:2">
      <c r="A254" s="90" t="s">
        <v>2952</v>
      </c>
      <c r="B254" s="91">
        <v>3</v>
      </c>
    </row>
    <row r="255" spans="1:2">
      <c r="A255" s="90" t="s">
        <v>2953</v>
      </c>
      <c r="B255" s="91">
        <v>7</v>
      </c>
    </row>
    <row r="256" spans="1:2">
      <c r="A256" s="90" t="s">
        <v>2954</v>
      </c>
      <c r="B256" s="91">
        <v>41</v>
      </c>
    </row>
    <row r="257" spans="1:2">
      <c r="A257" s="90" t="s">
        <v>2955</v>
      </c>
      <c r="B257" s="91">
        <v>8</v>
      </c>
    </row>
    <row r="258" spans="1:2">
      <c r="A258" s="90" t="s">
        <v>2956</v>
      </c>
      <c r="B258" s="91">
        <v>153</v>
      </c>
    </row>
    <row r="259" spans="1:2">
      <c r="A259" s="90" t="s">
        <v>2957</v>
      </c>
      <c r="B259" s="91">
        <v>150</v>
      </c>
    </row>
    <row r="260" spans="1:2">
      <c r="A260" s="90" t="s">
        <v>2958</v>
      </c>
      <c r="B260" s="91">
        <v>1</v>
      </c>
    </row>
    <row r="261" spans="1:2">
      <c r="A261" s="90" t="s">
        <v>2959</v>
      </c>
      <c r="B261" s="91">
        <v>4</v>
      </c>
    </row>
    <row r="262" spans="1:2">
      <c r="A262" s="90" t="s">
        <v>2960</v>
      </c>
      <c r="B262" s="91">
        <v>3</v>
      </c>
    </row>
    <row r="263" spans="1:2">
      <c r="A263" s="90" t="s">
        <v>2961</v>
      </c>
      <c r="B263" s="91"/>
    </row>
    <row r="264" spans="1:2">
      <c r="A264" s="90" t="s">
        <v>2962</v>
      </c>
      <c r="B264" s="91"/>
    </row>
    <row r="265" spans="1:2">
      <c r="A265" s="90" t="s">
        <v>2963</v>
      </c>
      <c r="B265" s="91">
        <v>907</v>
      </c>
    </row>
    <row r="266" spans="1:2">
      <c r="A266" s="90" t="s">
        <v>2964</v>
      </c>
      <c r="B266" s="91">
        <v>696</v>
      </c>
    </row>
    <row r="267" spans="1:2">
      <c r="A267" s="90" t="s">
        <v>2965</v>
      </c>
      <c r="B267" s="91">
        <v>3303</v>
      </c>
    </row>
    <row r="268" spans="1:2">
      <c r="A268" s="90" t="s">
        <v>2966</v>
      </c>
      <c r="B268" s="91">
        <v>59</v>
      </c>
    </row>
    <row r="269" spans="1:2">
      <c r="A269" s="90" t="s">
        <v>2967</v>
      </c>
      <c r="B269" s="91">
        <v>84</v>
      </c>
    </row>
    <row r="270" spans="1:2">
      <c r="A270" s="90" t="s">
        <v>2968</v>
      </c>
      <c r="B270" s="91">
        <v>94</v>
      </c>
    </row>
    <row r="271" spans="1:2">
      <c r="A271" s="90" t="s">
        <v>2969</v>
      </c>
      <c r="B271" s="91">
        <v>156</v>
      </c>
    </row>
    <row r="272" spans="1:2">
      <c r="A272" s="90" t="s">
        <v>2970</v>
      </c>
      <c r="B272" s="91">
        <v>1</v>
      </c>
    </row>
    <row r="273" spans="1:2">
      <c r="A273" s="90" t="s">
        <v>2971</v>
      </c>
      <c r="B273" s="91">
        <v>328</v>
      </c>
    </row>
    <row r="274" spans="1:2">
      <c r="A274" s="90" t="s">
        <v>2972</v>
      </c>
      <c r="B274" s="91">
        <v>145</v>
      </c>
    </row>
    <row r="275" spans="1:2">
      <c r="A275" s="90" t="s">
        <v>2973</v>
      </c>
      <c r="B275" s="91">
        <v>46</v>
      </c>
    </row>
    <row r="276" spans="1:2">
      <c r="A276" s="90" t="s">
        <v>2974</v>
      </c>
      <c r="B276" s="91">
        <v>1</v>
      </c>
    </row>
    <row r="277" spans="1:2">
      <c r="A277" s="90" t="s">
        <v>2975</v>
      </c>
      <c r="B277" s="91">
        <v>171</v>
      </c>
    </row>
    <row r="278" spans="1:2">
      <c r="A278" s="90" t="s">
        <v>2976</v>
      </c>
      <c r="B278" s="91">
        <v>35</v>
      </c>
    </row>
    <row r="279" spans="1:2">
      <c r="A279" s="90" t="s">
        <v>2977</v>
      </c>
      <c r="B279" s="91">
        <v>25</v>
      </c>
    </row>
    <row r="280" spans="1:2">
      <c r="A280" s="90" t="s">
        <v>2978</v>
      </c>
      <c r="B280" s="91"/>
    </row>
    <row r="281" spans="1:2">
      <c r="A281" s="90" t="s">
        <v>2979</v>
      </c>
      <c r="B281" s="91"/>
    </row>
    <row r="282" spans="1:2">
      <c r="A282" s="90" t="s">
        <v>2980</v>
      </c>
      <c r="B282" s="91"/>
    </row>
    <row r="283" spans="1:2">
      <c r="A283" s="90" t="s">
        <v>2981</v>
      </c>
      <c r="B283" s="91"/>
    </row>
    <row r="284" spans="1:2">
      <c r="A284" s="90" t="s">
        <v>2982</v>
      </c>
      <c r="B284" s="91"/>
    </row>
    <row r="285" spans="1:2">
      <c r="A285" s="90" t="s">
        <v>2983</v>
      </c>
      <c r="B285" s="91"/>
    </row>
    <row r="286" spans="1:2">
      <c r="A286" s="90" t="s">
        <v>2984</v>
      </c>
      <c r="B286" s="91"/>
    </row>
    <row r="287" spans="1:2">
      <c r="A287" s="92" t="s">
        <v>622</v>
      </c>
      <c r="B287" s="93">
        <v>128781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399945066682943"/>
  </sheetPr>
  <dimension ref="A1:Z235"/>
  <sheetViews>
    <sheetView workbookViewId="0">
      <pane xSplit="8" ySplit="1" topLeftCell="V172" activePane="bottomRight" state="frozen"/>
      <selection/>
      <selection pane="topRight"/>
      <selection pane="bottomLeft"/>
      <selection pane="bottomRight" activeCell="U238" sqref="U238:X239"/>
    </sheetView>
  </sheetViews>
  <sheetFormatPr defaultColWidth="8.83333333333333" defaultRowHeight="15.75"/>
  <cols>
    <col min="1" max="1" width="35"/>
    <col min="2" max="5" width="11.6666666666667" customWidth="1"/>
    <col min="6" max="6" width="11.6666666666667" style="40"/>
    <col min="7" max="7" width="10.5" style="40" customWidth="1"/>
    <col min="8" max="8" width="24.5" style="41" customWidth="1"/>
    <col min="9" max="9" width="18" customWidth="1"/>
    <col min="10" max="10" width="7.66666666666667"/>
    <col min="11" max="11" width="9.16666666666667" style="40" customWidth="1"/>
    <col min="12" max="12" width="10" style="16" customWidth="1"/>
    <col min="13" max="14" width="9.66666666666667"/>
    <col min="15" max="15" width="9.66666666666667" customWidth="1"/>
    <col min="16" max="16" width="9.5" customWidth="1"/>
    <col min="17" max="17" width="13" customWidth="1"/>
    <col min="18" max="18" width="9.66666666666667"/>
    <col min="19" max="19" width="18.3333333333333" style="42" customWidth="1"/>
    <col min="20" max="20" width="12.3333333333333" style="43" customWidth="1"/>
    <col min="21" max="21" width="11.1666666666667" style="44"/>
    <col min="22" max="22" width="13.5" customWidth="1"/>
    <col min="24" max="24" width="19.8333333333333" customWidth="1"/>
    <col min="26" max="26" width="11.8333333333333"/>
  </cols>
  <sheetData>
    <row r="1" ht="16.5" spans="1:26">
      <c r="A1" s="45" t="s">
        <v>2426</v>
      </c>
      <c r="B1" s="46" t="s">
        <v>2985</v>
      </c>
      <c r="C1" s="46" t="s">
        <v>2427</v>
      </c>
      <c r="D1" s="46" t="s">
        <v>2328</v>
      </c>
      <c r="E1" s="46" t="s">
        <v>2434</v>
      </c>
      <c r="F1" s="46" t="s">
        <v>2330</v>
      </c>
      <c r="G1" s="46" t="s">
        <v>2429</v>
      </c>
      <c r="H1" s="46" t="s">
        <v>2331</v>
      </c>
      <c r="I1" s="46" t="s">
        <v>2986</v>
      </c>
      <c r="J1" s="59" t="s">
        <v>2430</v>
      </c>
      <c r="K1" s="46" t="s">
        <v>2987</v>
      </c>
      <c r="L1" s="60" t="s">
        <v>2988</v>
      </c>
      <c r="M1" s="61" t="s">
        <v>2989</v>
      </c>
      <c r="N1" s="61" t="s">
        <v>2990</v>
      </c>
      <c r="O1" s="62" t="s">
        <v>2991</v>
      </c>
      <c r="P1" s="63" t="s">
        <v>2992</v>
      </c>
      <c r="Q1" s="69" t="s">
        <v>2993</v>
      </c>
      <c r="R1" s="61" t="s">
        <v>2994</v>
      </c>
      <c r="S1" s="61" t="s">
        <v>627</v>
      </c>
      <c r="T1" s="70" t="s">
        <v>2995</v>
      </c>
      <c r="U1" s="71" t="s">
        <v>2996</v>
      </c>
      <c r="V1" s="72" t="s">
        <v>2997</v>
      </c>
      <c r="W1" s="62" t="s">
        <v>2588</v>
      </c>
      <c r="X1" s="62" t="s">
        <v>2998</v>
      </c>
      <c r="Y1" s="62" t="s">
        <v>5</v>
      </c>
      <c r="Z1" s="76" t="s">
        <v>2999</v>
      </c>
    </row>
    <row r="2" ht="16.5" spans="1:26">
      <c r="A2" t="str">
        <f t="shared" ref="A2:A70" si="0">C2&amp;F2&amp;G2&amp;J2</f>
        <v>加拿大七店1060061单锅</v>
      </c>
      <c r="B2" s="47" t="s">
        <v>3000</v>
      </c>
      <c r="C2" s="47" t="s">
        <v>636</v>
      </c>
      <c r="D2" s="47" t="s">
        <v>2458</v>
      </c>
      <c r="E2" s="47" t="s">
        <v>2458</v>
      </c>
      <c r="F2" s="48">
        <v>1060061</v>
      </c>
      <c r="G2" s="49"/>
      <c r="H2" s="50" t="s">
        <v>2511</v>
      </c>
      <c r="I2" s="47" t="s">
        <v>2511</v>
      </c>
      <c r="J2" s="47" t="s">
        <v>2507</v>
      </c>
      <c r="K2" s="54">
        <v>28.95</v>
      </c>
      <c r="L2" s="64" t="s">
        <v>3001</v>
      </c>
      <c r="M2" s="54">
        <f>IFERROR(VLOOKUP(A2,Sheet3!$A:$B,2,0),0)</f>
        <v>3</v>
      </c>
      <c r="N2" s="65">
        <v>1</v>
      </c>
      <c r="O2" s="66">
        <v>1</v>
      </c>
      <c r="Q2">
        <f>M2*N2*O2</f>
        <v>3</v>
      </c>
      <c r="R2">
        <v>3000759</v>
      </c>
      <c r="S2" s="42" t="str">
        <f>VLOOKUP(R2,'CA07-本月-盘点结果'!$B:$C,2,0)</f>
        <v>清油底料（300G*40包/件）</v>
      </c>
      <c r="T2" s="43">
        <f>VLOOKUP(R2,'CA07-本月-盘点结果'!B:I,8,0)</f>
        <v>480</v>
      </c>
      <c r="U2" s="44">
        <f>T2-Q2-Q3-Q4-Q23-Q24-Q25-W2</f>
        <v>-124.15</v>
      </c>
      <c r="W2" s="73">
        <f>325*0.3</f>
        <v>97.5</v>
      </c>
      <c r="X2" s="41" t="s">
        <v>3002</v>
      </c>
      <c r="Y2" t="s">
        <v>73</v>
      </c>
      <c r="Z2" s="77">
        <v>120.4</v>
      </c>
    </row>
    <row r="3" ht="16.5" spans="1:26">
      <c r="A3" t="str">
        <f t="shared" si="0"/>
        <v>加拿大七店1060061拼锅</v>
      </c>
      <c r="B3" s="51" t="s">
        <v>3000</v>
      </c>
      <c r="C3" s="47" t="s">
        <v>636</v>
      </c>
      <c r="D3" s="51" t="s">
        <v>2458</v>
      </c>
      <c r="E3" s="51" t="s">
        <v>2458</v>
      </c>
      <c r="F3" s="48">
        <v>1060061</v>
      </c>
      <c r="G3" s="49"/>
      <c r="H3" s="50" t="s">
        <v>2511</v>
      </c>
      <c r="I3" s="47" t="s">
        <v>2511</v>
      </c>
      <c r="J3" s="51" t="s">
        <v>2457</v>
      </c>
      <c r="K3" s="56">
        <v>14.95</v>
      </c>
      <c r="L3" s="67" t="s">
        <v>3001</v>
      </c>
      <c r="M3" s="54">
        <f>IFERROR(VLOOKUP(A3,Sheet3!$A:$B,2,0),0)</f>
        <v>265</v>
      </c>
      <c r="N3" s="65">
        <v>0.5</v>
      </c>
      <c r="O3" s="66">
        <v>1</v>
      </c>
      <c r="Q3">
        <f t="shared" ref="Q3:Q63" si="1">M3*N3*O3</f>
        <v>132.5</v>
      </c>
      <c r="R3">
        <v>3000759</v>
      </c>
      <c r="S3" s="42" t="str">
        <f>VLOOKUP(R3,'CA07-本月-盘点结果'!$B:$C,2,0)</f>
        <v>清油底料（300G*40包/件）</v>
      </c>
      <c r="X3" s="41"/>
      <c r="Y3" t="s">
        <v>73</v>
      </c>
      <c r="Z3" s="77">
        <v>0</v>
      </c>
    </row>
    <row r="4" ht="16.5" spans="1:26">
      <c r="A4" t="str">
        <f t="shared" si="0"/>
        <v>加拿大七店1060061四宫格</v>
      </c>
      <c r="B4" s="47" t="s">
        <v>3000</v>
      </c>
      <c r="C4" s="47" t="s">
        <v>636</v>
      </c>
      <c r="D4" s="47" t="s">
        <v>2458</v>
      </c>
      <c r="E4" s="47" t="s">
        <v>2458</v>
      </c>
      <c r="F4" s="48">
        <v>1060061</v>
      </c>
      <c r="G4" s="49"/>
      <c r="H4" s="50" t="s">
        <v>2511</v>
      </c>
      <c r="I4" s="47" t="s">
        <v>2511</v>
      </c>
      <c r="J4" s="47" t="s">
        <v>2460</v>
      </c>
      <c r="K4" s="54">
        <v>5.95</v>
      </c>
      <c r="L4" s="64" t="s">
        <v>3001</v>
      </c>
      <c r="M4" s="54">
        <f>IFERROR(VLOOKUP(A4,Sheet3!$A:$B,2,0),0)+18</f>
        <v>507</v>
      </c>
      <c r="N4" s="65">
        <v>0.25</v>
      </c>
      <c r="O4" s="66">
        <v>1</v>
      </c>
      <c r="Q4">
        <f t="shared" si="1"/>
        <v>126.75</v>
      </c>
      <c r="R4">
        <v>3000759</v>
      </c>
      <c r="S4" s="42" t="str">
        <f>VLOOKUP(R4,'CA07-本月-盘点结果'!$B:$C,2,0)</f>
        <v>清油底料（300G*40包/件）</v>
      </c>
      <c r="X4" s="41"/>
      <c r="Y4" t="s">
        <v>73</v>
      </c>
      <c r="Z4" s="77">
        <v>0</v>
      </c>
    </row>
    <row r="5" ht="16.5" spans="1:26">
      <c r="A5" t="str">
        <f t="shared" si="0"/>
        <v>加拿大七店1060062单锅</v>
      </c>
      <c r="B5" s="51" t="s">
        <v>3000</v>
      </c>
      <c r="C5" s="47" t="s">
        <v>636</v>
      </c>
      <c r="D5" s="51" t="s">
        <v>2458</v>
      </c>
      <c r="E5" s="51" t="s">
        <v>2458</v>
      </c>
      <c r="F5" s="48">
        <v>1060062</v>
      </c>
      <c r="G5" s="49"/>
      <c r="H5" s="50" t="s">
        <v>2506</v>
      </c>
      <c r="I5" s="47" t="s">
        <v>3003</v>
      </c>
      <c r="J5" s="51" t="s">
        <v>2507</v>
      </c>
      <c r="K5" s="56">
        <v>24.95</v>
      </c>
      <c r="L5" s="67" t="s">
        <v>3001</v>
      </c>
      <c r="M5" s="54">
        <f>IFERROR(VLOOKUP(A5,Sheet3!$A:$B,2,0),0)</f>
        <v>46</v>
      </c>
      <c r="N5" s="65">
        <v>0.15</v>
      </c>
      <c r="O5" s="66">
        <v>1</v>
      </c>
      <c r="P5">
        <v>0.354</v>
      </c>
      <c r="Q5">
        <f t="shared" si="1"/>
        <v>6.9</v>
      </c>
      <c r="R5" s="13">
        <v>1500882</v>
      </c>
      <c r="S5" s="42" t="str">
        <f>VLOOKUP(R5,'CA07-本月-盘点结果'!$B:$C,2,0)</f>
        <v>三花淡奶（354ML*48瓶/箱）</v>
      </c>
      <c r="T5" s="43">
        <f>VLOOKUP(R5,'CA07-本月-盘点结果'!B:I,8,0)</f>
        <v>974</v>
      </c>
      <c r="U5" s="44">
        <f>T5-(Q5+Q6+Q7+Q186+Q187+Q188+Q189+Q190+Q191)/P5</f>
        <v>564.466101694915</v>
      </c>
      <c r="X5" s="41"/>
      <c r="Y5" t="s">
        <v>32</v>
      </c>
      <c r="Z5" s="77">
        <v>9.82</v>
      </c>
    </row>
    <row r="6" ht="16.5" spans="1:26">
      <c r="A6" t="str">
        <f t="shared" si="0"/>
        <v>加拿大七店1060062拼锅</v>
      </c>
      <c r="B6" s="47" t="s">
        <v>3000</v>
      </c>
      <c r="C6" s="47" t="s">
        <v>636</v>
      </c>
      <c r="D6" s="47" t="s">
        <v>2458</v>
      </c>
      <c r="E6" s="47" t="s">
        <v>2458</v>
      </c>
      <c r="F6" s="48">
        <v>1060062</v>
      </c>
      <c r="G6" s="49"/>
      <c r="H6" s="50" t="s">
        <v>2506</v>
      </c>
      <c r="I6" s="47" t="s">
        <v>3003</v>
      </c>
      <c r="J6" s="47" t="s">
        <v>2457</v>
      </c>
      <c r="K6" s="54">
        <v>12.95</v>
      </c>
      <c r="L6" s="64" t="s">
        <v>3001</v>
      </c>
      <c r="M6" s="54">
        <f>IFERROR(VLOOKUP(A6,Sheet3!$A:$B,2,0),0)</f>
        <v>1164</v>
      </c>
      <c r="N6" s="65">
        <v>0.075</v>
      </c>
      <c r="O6" s="66">
        <v>1</v>
      </c>
      <c r="P6">
        <v>0.354</v>
      </c>
      <c r="Q6">
        <f t="shared" si="1"/>
        <v>87.3</v>
      </c>
      <c r="R6" s="13">
        <v>1500882</v>
      </c>
      <c r="S6" s="42" t="str">
        <f>VLOOKUP(R6,'CA07-本月-盘点结果'!$B:$C,2,0)</f>
        <v>三花淡奶（354ML*48瓶/箱）</v>
      </c>
      <c r="X6" s="41"/>
      <c r="Y6" t="s">
        <v>32</v>
      </c>
      <c r="Z6" s="77">
        <v>0</v>
      </c>
    </row>
    <row r="7" ht="16.5" spans="1:26">
      <c r="A7" t="str">
        <f t="shared" si="0"/>
        <v>加拿大七店1060062四宫格</v>
      </c>
      <c r="B7" s="51" t="s">
        <v>3000</v>
      </c>
      <c r="C7" s="47" t="s">
        <v>636</v>
      </c>
      <c r="D7" s="51" t="s">
        <v>2458</v>
      </c>
      <c r="E7" s="51" t="s">
        <v>2458</v>
      </c>
      <c r="F7" s="48">
        <v>1060062</v>
      </c>
      <c r="G7" s="49"/>
      <c r="H7" s="50" t="s">
        <v>2506</v>
      </c>
      <c r="I7" s="47" t="s">
        <v>3003</v>
      </c>
      <c r="J7" s="51" t="s">
        <v>2460</v>
      </c>
      <c r="K7" s="56">
        <v>4.95</v>
      </c>
      <c r="L7" s="67" t="s">
        <v>3001</v>
      </c>
      <c r="M7" s="54">
        <f>IFERROR(VLOOKUP(A7,Sheet3!$A:$B,2,0),0)</f>
        <v>1354</v>
      </c>
      <c r="N7" s="65">
        <v>0.0375</v>
      </c>
      <c r="O7" s="66">
        <v>1</v>
      </c>
      <c r="P7">
        <v>0.354</v>
      </c>
      <c r="Q7">
        <f t="shared" si="1"/>
        <v>50.775</v>
      </c>
      <c r="R7" s="13">
        <v>1500882</v>
      </c>
      <c r="S7" s="42" t="str">
        <f>VLOOKUP(R7,'CA07-本月-盘点结果'!$B:$C,2,0)</f>
        <v>三花淡奶（354ML*48瓶/箱）</v>
      </c>
      <c r="X7" s="41"/>
      <c r="Y7" t="s">
        <v>32</v>
      </c>
      <c r="Z7" s="77">
        <v>0</v>
      </c>
    </row>
    <row r="8" ht="16.5" spans="1:26">
      <c r="A8" t="str">
        <f t="shared" si="0"/>
        <v>加拿大七店1060063单锅</v>
      </c>
      <c r="B8" s="47" t="s">
        <v>3000</v>
      </c>
      <c r="C8" s="47" t="s">
        <v>636</v>
      </c>
      <c r="D8" s="47" t="s">
        <v>2458</v>
      </c>
      <c r="E8" s="47" t="s">
        <v>2458</v>
      </c>
      <c r="F8" s="48">
        <v>1060063</v>
      </c>
      <c r="G8" s="49"/>
      <c r="H8" s="50" t="s">
        <v>2340</v>
      </c>
      <c r="I8" s="47" t="s">
        <v>2340</v>
      </c>
      <c r="J8" s="47" t="s">
        <v>2507</v>
      </c>
      <c r="K8" s="54">
        <v>24.95</v>
      </c>
      <c r="L8" s="64" t="s">
        <v>3001</v>
      </c>
      <c r="M8" s="54">
        <f>IFERROR(VLOOKUP(A8,Sheet3!$A:$B,2,0),0)</f>
        <v>7</v>
      </c>
      <c r="N8" s="65">
        <v>0.42</v>
      </c>
      <c r="O8" s="66">
        <v>1</v>
      </c>
      <c r="Q8">
        <f t="shared" si="1"/>
        <v>2.94</v>
      </c>
      <c r="R8" s="13">
        <v>4514602</v>
      </c>
      <c r="S8" s="42" t="str">
        <f>VLOOKUP(R8,'CA07-本月-盘点结果'!$B:$C,2,0)</f>
        <v>菌汤火锅底料（105G*60袋/箱）</v>
      </c>
      <c r="T8" s="43">
        <f>VLOOKUP(R8,'CA07-本月-盘点结果'!B:I,8,0)</f>
        <v>214.2</v>
      </c>
      <c r="U8" s="44">
        <f>T8-Q8-Q9-Q10-W8</f>
        <v>41.025</v>
      </c>
      <c r="W8">
        <f>216*0.11</f>
        <v>23.76</v>
      </c>
      <c r="X8" s="41" t="s">
        <v>3004</v>
      </c>
      <c r="Y8" t="s">
        <v>73</v>
      </c>
      <c r="Z8" s="77">
        <v>31.71</v>
      </c>
    </row>
    <row r="9" ht="16.5" spans="1:26">
      <c r="A9" t="str">
        <f t="shared" si="0"/>
        <v>加拿大七店1060063拼锅</v>
      </c>
      <c r="B9" s="51" t="s">
        <v>3000</v>
      </c>
      <c r="C9" s="47" t="s">
        <v>636</v>
      </c>
      <c r="D9" s="51" t="s">
        <v>2458</v>
      </c>
      <c r="E9" s="51" t="s">
        <v>2458</v>
      </c>
      <c r="F9" s="48">
        <v>1060063</v>
      </c>
      <c r="G9" s="49"/>
      <c r="H9" s="50" t="s">
        <v>2340</v>
      </c>
      <c r="I9" s="47" t="s">
        <v>2340</v>
      </c>
      <c r="J9" s="51" t="s">
        <v>2457</v>
      </c>
      <c r="K9" s="56">
        <v>12.95</v>
      </c>
      <c r="L9" s="67" t="s">
        <v>3001</v>
      </c>
      <c r="M9" s="54">
        <f>IFERROR(VLOOKUP(A9,Sheet3!$A:$B,2,0),0)</f>
        <v>349</v>
      </c>
      <c r="N9" s="65">
        <v>0.21</v>
      </c>
      <c r="O9" s="66">
        <v>1</v>
      </c>
      <c r="Q9">
        <f t="shared" si="1"/>
        <v>73.29</v>
      </c>
      <c r="R9" s="13">
        <v>4514602</v>
      </c>
      <c r="S9" s="42" t="str">
        <f>VLOOKUP(R9,'CA07-本月-盘点结果'!$B:$C,2,0)</f>
        <v>菌汤火锅底料（105G*60袋/箱）</v>
      </c>
      <c r="X9" s="41"/>
      <c r="Y9" t="s">
        <v>73</v>
      </c>
      <c r="Z9" s="77">
        <v>0</v>
      </c>
    </row>
    <row r="10" ht="16.5" spans="1:26">
      <c r="A10" t="str">
        <f t="shared" si="0"/>
        <v>加拿大七店1060063四宫格</v>
      </c>
      <c r="B10" s="47" t="s">
        <v>3000</v>
      </c>
      <c r="C10" s="47" t="s">
        <v>636</v>
      </c>
      <c r="D10" s="47" t="s">
        <v>2458</v>
      </c>
      <c r="E10" s="47" t="s">
        <v>2458</v>
      </c>
      <c r="F10" s="48">
        <v>1060063</v>
      </c>
      <c r="G10" s="49"/>
      <c r="H10" s="50" t="s">
        <v>2340</v>
      </c>
      <c r="I10" s="47" t="s">
        <v>2340</v>
      </c>
      <c r="J10" s="47" t="s">
        <v>2460</v>
      </c>
      <c r="K10" s="54">
        <v>5.95</v>
      </c>
      <c r="L10" s="64" t="s">
        <v>3001</v>
      </c>
      <c r="M10" s="54">
        <f>IFERROR(VLOOKUP(A10,Sheet3!$A:$B,2,0),0)</f>
        <v>697</v>
      </c>
      <c r="N10" s="65">
        <v>0.105</v>
      </c>
      <c r="O10" s="66">
        <v>1</v>
      </c>
      <c r="Q10">
        <f t="shared" si="1"/>
        <v>73.185</v>
      </c>
      <c r="R10" s="13">
        <v>4514602</v>
      </c>
      <c r="S10" s="42" t="str">
        <f>VLOOKUP(R10,'CA07-本月-盘点结果'!$B:$C,2,0)</f>
        <v>菌汤火锅底料（105G*60袋/箱）</v>
      </c>
      <c r="X10" s="41"/>
      <c r="Y10" t="s">
        <v>73</v>
      </c>
      <c r="Z10" s="77">
        <v>0</v>
      </c>
    </row>
    <row r="11" ht="16.5" spans="1:26">
      <c r="A11" t="str">
        <f t="shared" si="0"/>
        <v>加拿大七店1060064单锅</v>
      </c>
      <c r="B11" s="51" t="s">
        <v>3000</v>
      </c>
      <c r="C11" s="47" t="s">
        <v>636</v>
      </c>
      <c r="D11" s="51" t="s">
        <v>2458</v>
      </c>
      <c r="E11" s="51" t="s">
        <v>2458</v>
      </c>
      <c r="F11" s="48">
        <v>1060064</v>
      </c>
      <c r="G11" s="49"/>
      <c r="H11" s="50" t="s">
        <v>2342</v>
      </c>
      <c r="I11" s="47" t="s">
        <v>2342</v>
      </c>
      <c r="J11" s="51" t="s">
        <v>2507</v>
      </c>
      <c r="K11" s="56">
        <v>36.95</v>
      </c>
      <c r="L11" s="67" t="s">
        <v>3001</v>
      </c>
      <c r="M11" s="54">
        <f>IFERROR(VLOOKUP(A11,Sheet3!$A:$B,2,0),0)</f>
        <v>8</v>
      </c>
      <c r="N11" s="65">
        <v>1</v>
      </c>
      <c r="O11" s="66">
        <v>1</v>
      </c>
      <c r="Q11">
        <f t="shared" si="1"/>
        <v>8</v>
      </c>
      <c r="R11" s="13">
        <v>3003393</v>
      </c>
      <c r="S11" s="42" t="str">
        <f>VLOOKUP(R11,'CA07-本月-盘点结果'!$B:$C,2,0)</f>
        <v>清油麻辣火锅底料（250G*30包/件）_加拿大版</v>
      </c>
      <c r="T11" s="43">
        <f>VLOOKUP(R11,'CA07-本月-盘点结果'!B:I,8,0)</f>
        <v>705</v>
      </c>
      <c r="U11" s="44">
        <f>T11-Q11-Q12-Q13</f>
        <v>5.25</v>
      </c>
      <c r="X11" s="41"/>
      <c r="Y11" t="s">
        <v>73</v>
      </c>
      <c r="Z11" s="77">
        <v>17.25</v>
      </c>
    </row>
    <row r="12" ht="16.5" spans="1:26">
      <c r="A12" t="str">
        <f t="shared" si="0"/>
        <v>加拿大七店1060064拼锅</v>
      </c>
      <c r="B12" s="47" t="s">
        <v>3000</v>
      </c>
      <c r="C12" s="47" t="s">
        <v>636</v>
      </c>
      <c r="D12" s="47" t="s">
        <v>2458</v>
      </c>
      <c r="E12" s="47" t="s">
        <v>2458</v>
      </c>
      <c r="F12" s="48">
        <v>1060064</v>
      </c>
      <c r="G12" s="49"/>
      <c r="H12" s="50" t="s">
        <v>2342</v>
      </c>
      <c r="I12" s="47" t="s">
        <v>2342</v>
      </c>
      <c r="J12" s="47" t="s">
        <v>2457</v>
      </c>
      <c r="K12" s="54">
        <v>18.95</v>
      </c>
      <c r="L12" s="64" t="s">
        <v>3001</v>
      </c>
      <c r="M12" s="54">
        <f>IFERROR(VLOOKUP(A12,Sheet3!$A:$B,2,0),0)</f>
        <v>777</v>
      </c>
      <c r="N12" s="65">
        <v>0.5</v>
      </c>
      <c r="O12" s="66">
        <v>1</v>
      </c>
      <c r="Q12">
        <f t="shared" si="1"/>
        <v>388.5</v>
      </c>
      <c r="R12" s="13">
        <v>3003393</v>
      </c>
      <c r="S12" s="42" t="str">
        <f>VLOOKUP(R12,'CA07-本月-盘点结果'!$B:$C,2,0)</f>
        <v>清油麻辣火锅底料（250G*30包/件）_加拿大版</v>
      </c>
      <c r="X12" s="41"/>
      <c r="Y12" t="s">
        <v>73</v>
      </c>
      <c r="Z12" s="77">
        <v>0</v>
      </c>
    </row>
    <row r="13" ht="16.5" spans="1:26">
      <c r="A13" t="str">
        <f t="shared" si="0"/>
        <v>加拿大七店1060064四宫格</v>
      </c>
      <c r="B13" s="51" t="s">
        <v>3000</v>
      </c>
      <c r="C13" s="47" t="s">
        <v>636</v>
      </c>
      <c r="D13" s="51" t="s">
        <v>2458</v>
      </c>
      <c r="E13" s="51" t="s">
        <v>2458</v>
      </c>
      <c r="F13" s="48">
        <v>1060064</v>
      </c>
      <c r="G13" s="49"/>
      <c r="H13" s="50" t="s">
        <v>2342</v>
      </c>
      <c r="I13" s="47" t="s">
        <v>2342</v>
      </c>
      <c r="J13" s="51" t="s">
        <v>2460</v>
      </c>
      <c r="K13" s="56">
        <v>9.95</v>
      </c>
      <c r="L13" s="67" t="s">
        <v>3001</v>
      </c>
      <c r="M13" s="54">
        <f>IFERROR(VLOOKUP(A13,Sheet3!$A:$B,2,0),0)</f>
        <v>1213</v>
      </c>
      <c r="N13" s="65">
        <v>0.25</v>
      </c>
      <c r="O13" s="66">
        <v>1</v>
      </c>
      <c r="Q13">
        <f t="shared" si="1"/>
        <v>303.25</v>
      </c>
      <c r="R13" s="13">
        <v>3003393</v>
      </c>
      <c r="S13" s="42" t="str">
        <f>VLOOKUP(R13,'CA07-本月-盘点结果'!$B:$C,2,0)</f>
        <v>清油麻辣火锅底料（250G*30包/件）_加拿大版</v>
      </c>
      <c r="X13" s="41"/>
      <c r="Y13" t="s">
        <v>73</v>
      </c>
      <c r="Z13" s="77">
        <v>0</v>
      </c>
    </row>
    <row r="14" ht="16.5" spans="1:26">
      <c r="A14" t="str">
        <f t="shared" si="0"/>
        <v>加拿大七店1060066单锅</v>
      </c>
      <c r="B14" s="47" t="s">
        <v>3000</v>
      </c>
      <c r="C14" s="47" t="s">
        <v>636</v>
      </c>
      <c r="D14" s="47" t="s">
        <v>2458</v>
      </c>
      <c r="E14" s="47" t="s">
        <v>2458</v>
      </c>
      <c r="F14" s="48">
        <v>1060066</v>
      </c>
      <c r="G14" s="49"/>
      <c r="H14" s="50" t="s">
        <v>2344</v>
      </c>
      <c r="I14" s="47" t="s">
        <v>2344</v>
      </c>
      <c r="J14" s="47" t="s">
        <v>2507</v>
      </c>
      <c r="K14" s="54">
        <v>24.95</v>
      </c>
      <c r="L14" s="64" t="s">
        <v>3001</v>
      </c>
      <c r="M14" s="54">
        <f>IFERROR(VLOOKUP(A14,Sheet3!$A:$B,2,0),0)</f>
        <v>41</v>
      </c>
      <c r="N14" s="65">
        <v>1.2</v>
      </c>
      <c r="O14" s="66">
        <v>1</v>
      </c>
      <c r="Q14">
        <f t="shared" si="1"/>
        <v>49.2</v>
      </c>
      <c r="R14" s="13">
        <v>3002745</v>
      </c>
      <c r="S14" s="42" t="str">
        <f>VLOOKUP(R14,'CA07-本月-盘点结果'!$B:$C,2,0)</f>
        <v>番茄火锅底料（300G*40包/件，加拿大内用）</v>
      </c>
      <c r="T14" s="43">
        <f>VLOOKUP(R14,'CA07-本月-盘点结果'!B:I,8,0)</f>
        <v>2268</v>
      </c>
      <c r="U14" s="44">
        <f>T14-Q14-Q15-Q16-W14</f>
        <v>677.4</v>
      </c>
      <c r="W14">
        <f>444*0.3</f>
        <v>133.2</v>
      </c>
      <c r="X14" s="41" t="s">
        <v>3005</v>
      </c>
      <c r="Y14" t="s">
        <v>73</v>
      </c>
      <c r="Z14" s="77">
        <v>626.4</v>
      </c>
    </row>
    <row r="15" ht="16.5" spans="1:26">
      <c r="A15" t="str">
        <f t="shared" si="0"/>
        <v>加拿大七店1060066拼锅</v>
      </c>
      <c r="B15" s="51" t="s">
        <v>3000</v>
      </c>
      <c r="C15" s="47" t="s">
        <v>636</v>
      </c>
      <c r="D15" s="51" t="s">
        <v>2458</v>
      </c>
      <c r="E15" s="51" t="s">
        <v>2458</v>
      </c>
      <c r="F15" s="48">
        <v>1060066</v>
      </c>
      <c r="G15" s="49"/>
      <c r="H15" s="50" t="s">
        <v>2344</v>
      </c>
      <c r="I15" s="47" t="s">
        <v>2344</v>
      </c>
      <c r="J15" s="51" t="s">
        <v>2457</v>
      </c>
      <c r="K15" s="56">
        <v>12.95</v>
      </c>
      <c r="L15" s="67" t="s">
        <v>3001</v>
      </c>
      <c r="M15" s="54">
        <f>IFERROR(VLOOKUP(A15,Sheet3!$A:$B,2,0),0)</f>
        <v>1299</v>
      </c>
      <c r="N15" s="65">
        <v>0.6</v>
      </c>
      <c r="O15" s="66">
        <v>1</v>
      </c>
      <c r="Q15">
        <f t="shared" si="1"/>
        <v>779.4</v>
      </c>
      <c r="R15" s="13">
        <v>3002745</v>
      </c>
      <c r="S15" s="42" t="str">
        <f>VLOOKUP(R15,'CA07-本月-盘点结果'!$B:$C,2,0)</f>
        <v>番茄火锅底料（300G*40包/件，加拿大内用）</v>
      </c>
      <c r="X15" s="41"/>
      <c r="Y15" t="s">
        <v>73</v>
      </c>
      <c r="Z15" s="77">
        <v>0</v>
      </c>
    </row>
    <row r="16" ht="16.5" spans="1:26">
      <c r="A16" t="str">
        <f t="shared" si="0"/>
        <v>加拿大七店1060066四宫格</v>
      </c>
      <c r="B16" s="47" t="s">
        <v>3000</v>
      </c>
      <c r="C16" s="47" t="s">
        <v>636</v>
      </c>
      <c r="D16" s="47" t="s">
        <v>2458</v>
      </c>
      <c r="E16" s="47" t="s">
        <v>2458</v>
      </c>
      <c r="F16" s="48">
        <v>1060066</v>
      </c>
      <c r="G16" s="49"/>
      <c r="H16" s="50" t="s">
        <v>2344</v>
      </c>
      <c r="I16" s="47" t="s">
        <v>2344</v>
      </c>
      <c r="J16" s="47" t="s">
        <v>2460</v>
      </c>
      <c r="K16" s="54">
        <v>6.95</v>
      </c>
      <c r="L16" s="64" t="s">
        <v>3001</v>
      </c>
      <c r="M16" s="54">
        <f>IFERROR(VLOOKUP(A16,Sheet3!$A:$B,2,0),0)+35</f>
        <v>2096</v>
      </c>
      <c r="N16" s="65">
        <v>0.3</v>
      </c>
      <c r="O16" s="66">
        <v>1</v>
      </c>
      <c r="Q16">
        <f t="shared" si="1"/>
        <v>628.8</v>
      </c>
      <c r="R16" s="13">
        <v>3002745</v>
      </c>
      <c r="S16" s="42" t="str">
        <f>VLOOKUP(R16,'CA07-本月-盘点结果'!$B:$C,2,0)</f>
        <v>番茄火锅底料（300G*40包/件，加拿大内用）</v>
      </c>
      <c r="X16" s="41"/>
      <c r="Y16" t="s">
        <v>73</v>
      </c>
      <c r="Z16" s="77">
        <v>0</v>
      </c>
    </row>
    <row r="17" ht="16.5" spans="1:26">
      <c r="A17" t="str">
        <f t="shared" si="0"/>
        <v>加拿大七店1060115单锅</v>
      </c>
      <c r="B17" s="51" t="s">
        <v>3000</v>
      </c>
      <c r="C17" s="47" t="s">
        <v>636</v>
      </c>
      <c r="D17" s="51" t="s">
        <v>2458</v>
      </c>
      <c r="E17" s="51" t="s">
        <v>2458</v>
      </c>
      <c r="F17" s="48">
        <v>1060115</v>
      </c>
      <c r="G17" s="49"/>
      <c r="H17" s="50" t="s">
        <v>2346</v>
      </c>
      <c r="I17" s="47" t="s">
        <v>2346</v>
      </c>
      <c r="J17" s="51" t="s">
        <v>2507</v>
      </c>
      <c r="K17" s="56">
        <v>40.95</v>
      </c>
      <c r="L17" s="67" t="s">
        <v>3001</v>
      </c>
      <c r="M17" s="54">
        <f>IFERROR(VLOOKUP(A17,Sheet3!$A:$B,2,0),0)</f>
        <v>5</v>
      </c>
      <c r="N17" s="65">
        <v>0.2</v>
      </c>
      <c r="O17" s="66">
        <v>1</v>
      </c>
      <c r="P17">
        <v>2.2</v>
      </c>
      <c r="Q17">
        <f t="shared" si="1"/>
        <v>1</v>
      </c>
      <c r="R17" s="13">
        <v>4504167</v>
      </c>
      <c r="S17" s="42" t="str">
        <f>VLOOKUP(R17,'CA07-本月-盘点结果'!$B:$C,2,0)</f>
        <v>猪肚（LB）</v>
      </c>
      <c r="T17" s="43">
        <f>VLOOKUP(R17,'CA07-本月-盘点结果'!B:I,8,0)</f>
        <v>264</v>
      </c>
      <c r="U17" s="44">
        <f>T17-Q17*P17-Q18*P18-Q19*P19-Q135*P135-Q136*P136</f>
        <v>83.82</v>
      </c>
      <c r="X17" s="41"/>
      <c r="Y17" t="s">
        <v>36</v>
      </c>
      <c r="Z17" s="77">
        <v>115.94</v>
      </c>
    </row>
    <row r="18" ht="16.5" spans="1:26">
      <c r="A18" t="str">
        <f t="shared" si="0"/>
        <v>加拿大七店1060115四宫格</v>
      </c>
      <c r="B18" s="47" t="s">
        <v>3000</v>
      </c>
      <c r="C18" s="47" t="s">
        <v>636</v>
      </c>
      <c r="D18" s="47" t="s">
        <v>2458</v>
      </c>
      <c r="E18" s="47" t="s">
        <v>2458</v>
      </c>
      <c r="F18" s="48">
        <v>1060115</v>
      </c>
      <c r="G18" s="49"/>
      <c r="H18" s="50" t="s">
        <v>2346</v>
      </c>
      <c r="I18" s="47" t="s">
        <v>2346</v>
      </c>
      <c r="J18" s="47" t="s">
        <v>2460</v>
      </c>
      <c r="K18" s="54">
        <v>9.95</v>
      </c>
      <c r="L18" s="64" t="s">
        <v>3001</v>
      </c>
      <c r="M18" s="54">
        <f>IFERROR(VLOOKUP(A18,Sheet3!$A:$B,2,0),0)</f>
        <v>670</v>
      </c>
      <c r="N18" s="65">
        <v>0.1</v>
      </c>
      <c r="O18" s="66">
        <v>1</v>
      </c>
      <c r="P18">
        <v>2.2</v>
      </c>
      <c r="Q18">
        <f t="shared" si="1"/>
        <v>67</v>
      </c>
      <c r="R18" s="13">
        <v>4504167</v>
      </c>
      <c r="S18" s="42" t="str">
        <f>VLOOKUP(R18,'CA07-本月-盘点结果'!$B:$C,2,0)</f>
        <v>猪肚（LB）</v>
      </c>
      <c r="X18" s="41"/>
      <c r="Y18" t="s">
        <v>36</v>
      </c>
      <c r="Z18" s="77">
        <v>0</v>
      </c>
    </row>
    <row r="19" ht="16.5" spans="1:26">
      <c r="A19" t="str">
        <f t="shared" si="0"/>
        <v>加拿大七店1060115拼锅</v>
      </c>
      <c r="B19" s="51" t="s">
        <v>3000</v>
      </c>
      <c r="C19" s="47" t="s">
        <v>636</v>
      </c>
      <c r="D19" s="51" t="s">
        <v>2458</v>
      </c>
      <c r="E19" s="51" t="s">
        <v>2458</v>
      </c>
      <c r="F19" s="48">
        <v>1060115</v>
      </c>
      <c r="G19" s="49"/>
      <c r="H19" s="50" t="s">
        <v>2346</v>
      </c>
      <c r="I19" s="47" t="s">
        <v>2346</v>
      </c>
      <c r="J19" s="51" t="s">
        <v>2457</v>
      </c>
      <c r="K19" s="56">
        <v>18.95</v>
      </c>
      <c r="L19" s="67" t="s">
        <v>3001</v>
      </c>
      <c r="M19" s="54">
        <f>IFERROR(VLOOKUP(A19,Sheet3!$A:$B,2,0),0)</f>
        <v>278</v>
      </c>
      <c r="N19" s="65">
        <v>0.05</v>
      </c>
      <c r="O19" s="66">
        <v>1</v>
      </c>
      <c r="P19">
        <v>2.2</v>
      </c>
      <c r="Q19">
        <f t="shared" si="1"/>
        <v>13.9</v>
      </c>
      <c r="R19" s="13">
        <v>4504167</v>
      </c>
      <c r="S19" s="42" t="str">
        <f>VLOOKUP(R19,'CA07-本月-盘点结果'!$B:$C,2,0)</f>
        <v>猪肚（LB）</v>
      </c>
      <c r="X19" s="41"/>
      <c r="Y19" t="s">
        <v>36</v>
      </c>
      <c r="Z19" s="77">
        <v>0</v>
      </c>
    </row>
    <row r="20" ht="16.5" spans="1:26">
      <c r="A20" t="str">
        <f t="shared" si="0"/>
        <v>加拿大七店70000769四宫格</v>
      </c>
      <c r="B20" s="47" t="s">
        <v>3000</v>
      </c>
      <c r="C20" s="47" t="s">
        <v>636</v>
      </c>
      <c r="D20" s="47" t="s">
        <v>2458</v>
      </c>
      <c r="E20" s="47" t="s">
        <v>2458</v>
      </c>
      <c r="F20" s="52">
        <v>70000769</v>
      </c>
      <c r="G20" s="49"/>
      <c r="H20" s="53" t="s">
        <v>2462</v>
      </c>
      <c r="I20" s="47" t="s">
        <v>2462</v>
      </c>
      <c r="J20" s="47" t="s">
        <v>2460</v>
      </c>
      <c r="K20" s="54">
        <v>6.95</v>
      </c>
      <c r="L20" s="64" t="s">
        <v>3001</v>
      </c>
      <c r="M20" s="54">
        <f>IFERROR(VLOOKUP(A20,Sheet3!$A:$B,2,0),0)</f>
        <v>690</v>
      </c>
      <c r="N20" s="65">
        <v>0.129</v>
      </c>
      <c r="O20" s="66">
        <v>1</v>
      </c>
      <c r="Q20">
        <f t="shared" si="1"/>
        <v>89.01</v>
      </c>
      <c r="R20" s="13">
        <v>1501618</v>
      </c>
      <c r="S20" s="42" t="str">
        <f>VLOOKUP(R20,'CA07-本月-盘点结果'!$B:$C,2,0)</f>
        <v>日式味淋MIRIN（20L/箱）</v>
      </c>
      <c r="T20" s="43">
        <f>VLOOKUP(R20,'CA07-本月-盘点结果'!B:I,8,0)</f>
        <v>185</v>
      </c>
      <c r="U20" s="44">
        <f>T20-Q20-Q21-Q22-W20</f>
        <v>24.524</v>
      </c>
      <c r="X20" s="41"/>
      <c r="Y20" t="s">
        <v>44</v>
      </c>
      <c r="Z20" s="77">
        <v>19.98</v>
      </c>
    </row>
    <row r="21" ht="16.5" spans="1:26">
      <c r="A21" t="str">
        <f t="shared" si="0"/>
        <v>加拿大七店70000769单锅</v>
      </c>
      <c r="B21" s="51" t="s">
        <v>3000</v>
      </c>
      <c r="C21" s="47" t="s">
        <v>636</v>
      </c>
      <c r="D21" s="51" t="s">
        <v>2458</v>
      </c>
      <c r="E21" s="51" t="s">
        <v>2458</v>
      </c>
      <c r="F21" s="52">
        <v>70000769</v>
      </c>
      <c r="G21" s="49"/>
      <c r="H21" s="50" t="s">
        <v>2462</v>
      </c>
      <c r="I21" s="47" t="s">
        <v>2462</v>
      </c>
      <c r="J21" s="51" t="s">
        <v>2507</v>
      </c>
      <c r="K21" s="56">
        <v>24.95</v>
      </c>
      <c r="L21" s="67" t="s">
        <v>3001</v>
      </c>
      <c r="M21" s="54">
        <f>IFERROR(VLOOKUP(A21,Sheet3!$A:$B,2,0),0)</f>
        <v>8</v>
      </c>
      <c r="N21" s="65">
        <v>0.516</v>
      </c>
      <c r="O21" s="66">
        <v>1</v>
      </c>
      <c r="Q21">
        <f t="shared" si="1"/>
        <v>4.128</v>
      </c>
      <c r="R21" s="13">
        <v>1501618</v>
      </c>
      <c r="S21" s="42" t="str">
        <f>VLOOKUP(R21,'CA07-本月-盘点结果'!$B:$C,2,0)</f>
        <v>日式味淋MIRIN（20L/箱）</v>
      </c>
      <c r="X21" s="41"/>
      <c r="Y21" t="s">
        <v>44</v>
      </c>
      <c r="Z21" s="77">
        <v>0</v>
      </c>
    </row>
    <row r="22" ht="16.5" spans="1:26">
      <c r="A22" t="str">
        <f t="shared" si="0"/>
        <v>加拿大七店70000769拼锅</v>
      </c>
      <c r="B22" s="47" t="s">
        <v>3000</v>
      </c>
      <c r="C22" s="47" t="s">
        <v>636</v>
      </c>
      <c r="D22" s="47" t="s">
        <v>2458</v>
      </c>
      <c r="E22" s="47" t="s">
        <v>2458</v>
      </c>
      <c r="F22" s="52">
        <v>70000769</v>
      </c>
      <c r="G22" s="49"/>
      <c r="H22" s="50" t="s">
        <v>2462</v>
      </c>
      <c r="I22" s="47" t="s">
        <v>2462</v>
      </c>
      <c r="J22" s="47" t="s">
        <v>2457</v>
      </c>
      <c r="K22" s="54">
        <v>12.95</v>
      </c>
      <c r="L22" s="64" t="s">
        <v>3001</v>
      </c>
      <c r="M22" s="54">
        <f>IFERROR(VLOOKUP(A22,Sheet3!$A:$B,2,0),0)</f>
        <v>261</v>
      </c>
      <c r="N22" s="65">
        <v>0.258</v>
      </c>
      <c r="O22" s="66">
        <v>1</v>
      </c>
      <c r="Q22">
        <f t="shared" si="1"/>
        <v>67.338</v>
      </c>
      <c r="R22" s="13">
        <v>1501618</v>
      </c>
      <c r="S22" s="42" t="str">
        <f>VLOOKUP(R22,'CA07-本月-盘点结果'!$B:$C,2,0)</f>
        <v>日式味淋MIRIN（20L/箱）</v>
      </c>
      <c r="X22" s="41"/>
      <c r="Y22" t="s">
        <v>44</v>
      </c>
      <c r="Z22" s="77">
        <v>0</v>
      </c>
    </row>
    <row r="23" ht="16.5" spans="1:26">
      <c r="A23" t="str">
        <f t="shared" si="0"/>
        <v>加拿大七店70002428四宫格</v>
      </c>
      <c r="B23" s="47" t="s">
        <v>3000</v>
      </c>
      <c r="C23" s="47" t="s">
        <v>636</v>
      </c>
      <c r="D23" s="47" t="s">
        <v>2458</v>
      </c>
      <c r="E23" s="47" t="s">
        <v>2458</v>
      </c>
      <c r="F23" s="52">
        <v>70002428</v>
      </c>
      <c r="G23" s="49"/>
      <c r="H23" s="53" t="s">
        <v>2468</v>
      </c>
      <c r="I23" s="47" t="s">
        <v>3006</v>
      </c>
      <c r="J23" s="47" t="s">
        <v>2460</v>
      </c>
      <c r="K23" s="54">
        <v>5.95</v>
      </c>
      <c r="L23" s="64" t="s">
        <v>3001</v>
      </c>
      <c r="M23" s="54">
        <f>IFERROR(VLOOKUP(A23,Sheet3!$A:$B,2,0),0)</f>
        <v>620</v>
      </c>
      <c r="N23" s="65">
        <v>0.2</v>
      </c>
      <c r="O23" s="66">
        <v>1</v>
      </c>
      <c r="P23">
        <v>20</v>
      </c>
      <c r="Q23">
        <f t="shared" si="1"/>
        <v>124</v>
      </c>
      <c r="R23" s="13">
        <v>3000759</v>
      </c>
      <c r="S23" s="42" t="str">
        <f>VLOOKUP(R23,'CA07-本月-盘点结果'!$B:$C,2,0)</f>
        <v>清油底料（300G*40包/件）</v>
      </c>
      <c r="X23" s="41"/>
      <c r="Y23" t="s">
        <v>73</v>
      </c>
      <c r="Z23" s="77">
        <v>0</v>
      </c>
    </row>
    <row r="24" ht="16.5" spans="1:26">
      <c r="A24" t="str">
        <f t="shared" si="0"/>
        <v>加拿大七店70002428拼锅</v>
      </c>
      <c r="B24" s="51" t="s">
        <v>3000</v>
      </c>
      <c r="C24" s="47" t="s">
        <v>636</v>
      </c>
      <c r="D24" s="51" t="s">
        <v>2458</v>
      </c>
      <c r="E24" s="51" t="s">
        <v>2458</v>
      </c>
      <c r="F24" s="52">
        <v>70002428</v>
      </c>
      <c r="G24" s="49"/>
      <c r="H24" s="50" t="s">
        <v>2468</v>
      </c>
      <c r="I24" s="47" t="s">
        <v>3006</v>
      </c>
      <c r="J24" s="51" t="s">
        <v>2457</v>
      </c>
      <c r="K24" s="56">
        <v>11.95</v>
      </c>
      <c r="L24" s="67" t="s">
        <v>3001</v>
      </c>
      <c r="M24" s="54">
        <f>IFERROR(VLOOKUP(A24,Sheet3!$A:$B,2,0),0)</f>
        <v>295</v>
      </c>
      <c r="N24" s="65">
        <v>0.4</v>
      </c>
      <c r="O24" s="66">
        <v>1</v>
      </c>
      <c r="P24">
        <v>20</v>
      </c>
      <c r="Q24">
        <f t="shared" si="1"/>
        <v>118</v>
      </c>
      <c r="R24" s="13">
        <v>3000759</v>
      </c>
      <c r="S24" s="42" t="str">
        <f>VLOOKUP(R24,'CA07-本月-盘点结果'!$B:$C,2,0)</f>
        <v>清油底料（300G*40包/件）</v>
      </c>
      <c r="X24" s="41"/>
      <c r="Y24" t="s">
        <v>73</v>
      </c>
      <c r="Z24" s="77">
        <v>0</v>
      </c>
    </row>
    <row r="25" ht="16.5" spans="1:26">
      <c r="A25" t="str">
        <f t="shared" si="0"/>
        <v>加拿大七店70002428单锅</v>
      </c>
      <c r="B25" s="47" t="s">
        <v>3000</v>
      </c>
      <c r="C25" s="47" t="s">
        <v>636</v>
      </c>
      <c r="D25" s="47" t="s">
        <v>2458</v>
      </c>
      <c r="E25" s="47" t="s">
        <v>2458</v>
      </c>
      <c r="F25" s="52">
        <v>70002428</v>
      </c>
      <c r="G25" s="49"/>
      <c r="H25" s="50" t="s">
        <v>2468</v>
      </c>
      <c r="I25" s="47" t="s">
        <v>3006</v>
      </c>
      <c r="J25" s="47" t="s">
        <v>2507</v>
      </c>
      <c r="K25" s="54">
        <v>24.95</v>
      </c>
      <c r="L25" s="64" t="s">
        <v>3001</v>
      </c>
      <c r="M25" s="54">
        <f>IFERROR(VLOOKUP(A25,Sheet3!$A:$B,2,0),0)</f>
        <v>3</v>
      </c>
      <c r="N25" s="65">
        <v>0.8</v>
      </c>
      <c r="O25" s="66">
        <v>1</v>
      </c>
      <c r="P25">
        <v>20</v>
      </c>
      <c r="Q25">
        <f t="shared" si="1"/>
        <v>2.4</v>
      </c>
      <c r="R25" s="13">
        <v>3000759</v>
      </c>
      <c r="S25" s="42" t="str">
        <f>VLOOKUP(R25,'CA07-本月-盘点结果'!$B:$C,2,0)</f>
        <v>清油底料（300G*40包/件）</v>
      </c>
      <c r="X25" s="41"/>
      <c r="Y25" t="s">
        <v>73</v>
      </c>
      <c r="Z25" s="77">
        <v>0</v>
      </c>
    </row>
    <row r="26" ht="16.5" spans="1:26">
      <c r="A26" t="str">
        <f t="shared" si="0"/>
        <v>加拿大七店90000413单锅</v>
      </c>
      <c r="B26" s="51" t="s">
        <v>3000</v>
      </c>
      <c r="C26" s="47" t="s">
        <v>636</v>
      </c>
      <c r="D26" s="51" t="s">
        <v>2458</v>
      </c>
      <c r="E26" s="51" t="s">
        <v>2458</v>
      </c>
      <c r="F26" s="52">
        <v>90000413</v>
      </c>
      <c r="G26" s="49"/>
      <c r="H26" s="50" t="s">
        <v>2456</v>
      </c>
      <c r="I26" s="47" t="s">
        <v>2456</v>
      </c>
      <c r="J26" s="51" t="s">
        <v>2507</v>
      </c>
      <c r="K26" s="56">
        <v>24.95</v>
      </c>
      <c r="L26" s="67" t="s">
        <v>3001</v>
      </c>
      <c r="M26" s="54">
        <f>IFERROR(VLOOKUP(A26,Sheet3!$A:$B,2,0),0)</f>
        <v>7</v>
      </c>
      <c r="N26" s="65">
        <v>0.6</v>
      </c>
      <c r="O26" s="66">
        <v>1</v>
      </c>
      <c r="P26">
        <v>3</v>
      </c>
      <c r="Q26">
        <f t="shared" si="1"/>
        <v>4.2</v>
      </c>
      <c r="R26">
        <v>4505163</v>
      </c>
      <c r="S26" s="42" t="str">
        <f>VLOOKUP(R26,'CA07-本月-盘点结果'!$B:$C,2,0)</f>
        <v>冬阴功酱（PENTA，3KG*6包/件）</v>
      </c>
      <c r="T26" s="43">
        <f>VLOOKUP(R26,'CA07-本月-盘点结果'!B:I,8,0)</f>
        <v>55</v>
      </c>
      <c r="U26" s="44">
        <f>(T26*P26-Q26-Q27-Q28)/P26</f>
        <v>-9.9</v>
      </c>
      <c r="X26" s="41"/>
      <c r="Y26" t="s">
        <v>29</v>
      </c>
      <c r="Z26" s="77">
        <v>12.4</v>
      </c>
    </row>
    <row r="27" ht="16.5" spans="1:26">
      <c r="A27" t="str">
        <f t="shared" si="0"/>
        <v>加拿大七店90000413拼锅</v>
      </c>
      <c r="B27" s="47" t="s">
        <v>3000</v>
      </c>
      <c r="C27" s="47" t="s">
        <v>636</v>
      </c>
      <c r="D27" s="47" t="s">
        <v>2458</v>
      </c>
      <c r="E27" s="47" t="s">
        <v>2458</v>
      </c>
      <c r="F27" s="52">
        <v>90000413</v>
      </c>
      <c r="G27" s="49"/>
      <c r="H27" s="50" t="s">
        <v>2456</v>
      </c>
      <c r="I27" s="47" t="s">
        <v>2456</v>
      </c>
      <c r="J27" s="47" t="s">
        <v>2457</v>
      </c>
      <c r="K27" s="54">
        <v>11.95</v>
      </c>
      <c r="L27" s="64" t="s">
        <v>3001</v>
      </c>
      <c r="M27" s="54">
        <f>IFERROR(VLOOKUP(A27,Sheet3!$A:$B,2,0),0)</f>
        <v>321</v>
      </c>
      <c r="N27" s="65">
        <v>0.3</v>
      </c>
      <c r="O27" s="66">
        <v>1</v>
      </c>
      <c r="P27">
        <v>3</v>
      </c>
      <c r="Q27">
        <f t="shared" si="1"/>
        <v>96.3</v>
      </c>
      <c r="R27">
        <v>4505163</v>
      </c>
      <c r="S27" s="42" t="str">
        <f>VLOOKUP(R27,'CA07-本月-盘点结果'!$B:$C,2,0)</f>
        <v>冬阴功酱（PENTA，3KG*6包/件）</v>
      </c>
      <c r="X27" s="41"/>
      <c r="Y27" t="s">
        <v>29</v>
      </c>
      <c r="Z27" s="77">
        <v>0</v>
      </c>
    </row>
    <row r="28" ht="16.5" spans="1:26">
      <c r="A28" t="str">
        <f t="shared" si="0"/>
        <v>加拿大七店90000413四宫格</v>
      </c>
      <c r="B28" s="51" t="s">
        <v>3000</v>
      </c>
      <c r="C28" s="47" t="s">
        <v>636</v>
      </c>
      <c r="D28" s="51" t="s">
        <v>2458</v>
      </c>
      <c r="E28" s="51" t="s">
        <v>2458</v>
      </c>
      <c r="F28" s="52">
        <v>90000413</v>
      </c>
      <c r="G28" s="49"/>
      <c r="H28" s="50" t="s">
        <v>2456</v>
      </c>
      <c r="I28" s="47" t="s">
        <v>2456</v>
      </c>
      <c r="J28" s="51" t="s">
        <v>2460</v>
      </c>
      <c r="K28" s="56">
        <v>5.95</v>
      </c>
      <c r="L28" s="67" t="s">
        <v>3001</v>
      </c>
      <c r="M28" s="54">
        <f>IFERROR(VLOOKUP(A28,Sheet3!$A:$B,2,0),0)</f>
        <v>628</v>
      </c>
      <c r="N28" s="65">
        <v>0.15</v>
      </c>
      <c r="O28" s="66">
        <v>1</v>
      </c>
      <c r="P28">
        <v>3</v>
      </c>
      <c r="Q28">
        <f t="shared" si="1"/>
        <v>94.2</v>
      </c>
      <c r="R28">
        <v>4505163</v>
      </c>
      <c r="S28" s="42" t="str">
        <f>VLOOKUP(R28,'CA07-本月-盘点结果'!$B:$C,2,0)</f>
        <v>冬阴功酱（PENTA，3KG*6包/件）</v>
      </c>
      <c r="X28" s="41"/>
      <c r="Y28" t="s">
        <v>29</v>
      </c>
      <c r="Z28" s="77">
        <v>0</v>
      </c>
    </row>
    <row r="29" ht="16.5" spans="1:26">
      <c r="A29" t="str">
        <f t="shared" si="0"/>
        <v>加拿大七店90000659单锅</v>
      </c>
      <c r="B29" s="47" t="s">
        <v>3000</v>
      </c>
      <c r="C29" s="47" t="s">
        <v>636</v>
      </c>
      <c r="D29" s="47" t="s">
        <v>2458</v>
      </c>
      <c r="E29" s="47" t="s">
        <v>2458</v>
      </c>
      <c r="F29" s="52">
        <v>90000659</v>
      </c>
      <c r="G29" s="49"/>
      <c r="H29" s="50" t="s">
        <v>3007</v>
      </c>
      <c r="I29" s="47" t="s">
        <v>3008</v>
      </c>
      <c r="J29" s="47" t="s">
        <v>2507</v>
      </c>
      <c r="K29" s="54">
        <v>39.95</v>
      </c>
      <c r="L29" s="64" t="s">
        <v>3001</v>
      </c>
      <c r="M29" s="54">
        <f>IFERROR(VLOOKUP(A29,Sheet3!$A:$B,2,0),0)</f>
        <v>0</v>
      </c>
      <c r="N29" s="65">
        <v>0.14</v>
      </c>
      <c r="O29" s="66">
        <v>1</v>
      </c>
      <c r="Q29">
        <f t="shared" si="1"/>
        <v>0</v>
      </c>
      <c r="R29" s="13">
        <v>4519135</v>
      </c>
      <c r="S29" s="42" t="e">
        <f>VLOOKUP(R29,'CA07-本月-盘点结果'!$B:$C,2,0)</f>
        <v>#N/A</v>
      </c>
      <c r="T29" s="43" t="e">
        <f>VLOOKUP(R29,'CA07-本月-盘点结果'!B:I,8,0)</f>
        <v>#N/A</v>
      </c>
      <c r="U29" s="44">
        <f>IFERROR(T29-Q29-Q30-Q31,0)</f>
        <v>0</v>
      </c>
      <c r="X29" s="41"/>
      <c r="Y29" t="e">
        <v>#N/A</v>
      </c>
      <c r="Z29" s="77">
        <v>0</v>
      </c>
    </row>
    <row r="30" ht="16.5" spans="1:26">
      <c r="A30" t="str">
        <f t="shared" si="0"/>
        <v>加拿大七店90000659拼锅</v>
      </c>
      <c r="B30" s="51" t="s">
        <v>3000</v>
      </c>
      <c r="C30" s="47" t="s">
        <v>636</v>
      </c>
      <c r="D30" s="51" t="s">
        <v>2458</v>
      </c>
      <c r="E30" s="51" t="s">
        <v>2458</v>
      </c>
      <c r="F30" s="52">
        <v>90000659</v>
      </c>
      <c r="G30" s="49"/>
      <c r="H30" s="50" t="s">
        <v>3007</v>
      </c>
      <c r="I30" s="47" t="s">
        <v>3008</v>
      </c>
      <c r="J30" s="51" t="s">
        <v>2457</v>
      </c>
      <c r="K30" s="56">
        <v>19.95</v>
      </c>
      <c r="L30" s="67" t="s">
        <v>3001</v>
      </c>
      <c r="M30" s="54">
        <f>IFERROR(VLOOKUP(A30,Sheet3!$A:$B,2,0),0)</f>
        <v>0</v>
      </c>
      <c r="N30" s="65">
        <v>0.07</v>
      </c>
      <c r="O30" s="66">
        <v>1</v>
      </c>
      <c r="Q30">
        <f t="shared" si="1"/>
        <v>0</v>
      </c>
      <c r="R30" s="13">
        <v>4519135</v>
      </c>
      <c r="S30" s="42" t="e">
        <f>VLOOKUP(R30,'CA07-本月-盘点结果'!$B:$C,2,0)</f>
        <v>#N/A</v>
      </c>
      <c r="X30" s="41"/>
      <c r="Y30" t="e">
        <v>#N/A</v>
      </c>
      <c r="Z30" s="77">
        <v>0</v>
      </c>
    </row>
    <row r="31" ht="16.5" spans="1:26">
      <c r="A31" t="str">
        <f t="shared" si="0"/>
        <v>加拿大七店90000659四宫格</v>
      </c>
      <c r="B31" s="47" t="s">
        <v>3000</v>
      </c>
      <c r="C31" s="47" t="s">
        <v>636</v>
      </c>
      <c r="D31" s="47" t="s">
        <v>2458</v>
      </c>
      <c r="E31" s="47" t="s">
        <v>2458</v>
      </c>
      <c r="F31" s="52">
        <v>90000659</v>
      </c>
      <c r="G31" s="49"/>
      <c r="H31" s="50" t="s">
        <v>3007</v>
      </c>
      <c r="I31" s="47" t="s">
        <v>3008</v>
      </c>
      <c r="J31" s="47" t="s">
        <v>2460</v>
      </c>
      <c r="K31" s="54">
        <v>9.95</v>
      </c>
      <c r="L31" s="64" t="s">
        <v>3001</v>
      </c>
      <c r="M31" s="54">
        <f>IFERROR(VLOOKUP(A31,Sheet3!$A:$B,2,0),0)</f>
        <v>0</v>
      </c>
      <c r="N31" s="65">
        <v>0.035</v>
      </c>
      <c r="O31" s="66">
        <v>1</v>
      </c>
      <c r="Q31">
        <f t="shared" si="1"/>
        <v>0</v>
      </c>
      <c r="R31" s="13">
        <v>4519135</v>
      </c>
      <c r="S31" s="42" t="e">
        <f>VLOOKUP(R31,'CA07-本月-盘点结果'!$B:$C,2,0)</f>
        <v>#N/A</v>
      </c>
      <c r="X31" s="41"/>
      <c r="Y31" t="e">
        <v>#N/A</v>
      </c>
      <c r="Z31" s="77">
        <v>0</v>
      </c>
    </row>
    <row r="32" ht="16.5" spans="1:26">
      <c r="A32" t="str">
        <f t="shared" si="0"/>
        <v>加拿大七店902007131071整份</v>
      </c>
      <c r="B32" s="47" t="s">
        <v>3000</v>
      </c>
      <c r="C32" s="47" t="s">
        <v>636</v>
      </c>
      <c r="D32" s="47" t="s">
        <v>2437</v>
      </c>
      <c r="E32" s="47" t="s">
        <v>2499</v>
      </c>
      <c r="F32" s="54">
        <v>9020071</v>
      </c>
      <c r="G32" s="49">
        <v>31071</v>
      </c>
      <c r="H32" s="55" t="s">
        <v>2613</v>
      </c>
      <c r="I32" s="47" t="s">
        <v>3009</v>
      </c>
      <c r="J32" s="47" t="s">
        <v>2436</v>
      </c>
      <c r="K32" s="54">
        <v>5.95</v>
      </c>
      <c r="L32" s="64" t="s">
        <v>2454</v>
      </c>
      <c r="M32" s="54">
        <f>IFERROR(VLOOKUP(A32,Sheet3!$A:$B,2,0),0)</f>
        <v>157</v>
      </c>
      <c r="N32" s="65">
        <v>0.1</v>
      </c>
      <c r="O32" s="66">
        <v>1</v>
      </c>
      <c r="P32">
        <v>2.2</v>
      </c>
      <c r="Q32">
        <f t="shared" si="1"/>
        <v>15.7</v>
      </c>
      <c r="R32" s="13">
        <v>1500682</v>
      </c>
      <c r="S32" s="42" t="str">
        <f>VLOOKUP(R32,'CA07-本月-盘点结果'!$B:$C,2,0)</f>
        <v>梅花猪肉（LB）</v>
      </c>
      <c r="T32" s="43">
        <f>VLOOKUP(R32,'CA07-本月-盘点结果'!B:I,8,0)</f>
        <v>84.69</v>
      </c>
      <c r="U32" s="44">
        <f>T32-Q32*P32-Q132*P132</f>
        <v>50.15</v>
      </c>
      <c r="X32" s="41"/>
      <c r="Y32" t="s">
        <v>36</v>
      </c>
      <c r="Z32" s="77">
        <v>29.59</v>
      </c>
    </row>
    <row r="33" ht="16.5" spans="1:26">
      <c r="A33" t="str">
        <f t="shared" si="0"/>
        <v>加拿大七店902024331247整份</v>
      </c>
      <c r="B33" s="47" t="s">
        <v>3000</v>
      </c>
      <c r="C33" s="47" t="s">
        <v>636</v>
      </c>
      <c r="D33" s="47" t="s">
        <v>2437</v>
      </c>
      <c r="E33" s="47" t="s">
        <v>2499</v>
      </c>
      <c r="F33" s="54">
        <v>9020243</v>
      </c>
      <c r="G33" s="49">
        <v>31247</v>
      </c>
      <c r="H33" s="55" t="s">
        <v>3010</v>
      </c>
      <c r="I33" s="47" t="s">
        <v>3010</v>
      </c>
      <c r="J33" s="47" t="s">
        <v>2436</v>
      </c>
      <c r="K33" s="54">
        <v>6.95</v>
      </c>
      <c r="L33" s="64" t="s">
        <v>2454</v>
      </c>
      <c r="M33" s="54">
        <f>IFERROR(VLOOKUP(A33,Sheet3!$A:$B,2,0),0)</f>
        <v>0</v>
      </c>
      <c r="N33" s="65">
        <v>0.1</v>
      </c>
      <c r="O33" s="66">
        <v>1</v>
      </c>
      <c r="Q33">
        <f t="shared" si="1"/>
        <v>0</v>
      </c>
      <c r="R33" s="13"/>
      <c r="S33" s="42" t="e">
        <f>VLOOKUP(R33,'CA07-本月-盘点结果'!$B:$C,2,0)</f>
        <v>#N/A</v>
      </c>
      <c r="X33" s="41"/>
      <c r="Y33" t="e">
        <v>#N/A</v>
      </c>
      <c r="Z33" s="77">
        <v>0</v>
      </c>
    </row>
    <row r="34" ht="16.5" spans="1:26">
      <c r="A34" t="str">
        <f t="shared" si="0"/>
        <v>加拿大七店902026331267整份</v>
      </c>
      <c r="B34" s="47" t="s">
        <v>3000</v>
      </c>
      <c r="C34" s="47" t="s">
        <v>636</v>
      </c>
      <c r="D34" s="47" t="s">
        <v>2437</v>
      </c>
      <c r="E34" s="47" t="s">
        <v>2499</v>
      </c>
      <c r="F34" s="54">
        <v>9020263</v>
      </c>
      <c r="G34" s="49">
        <v>31267</v>
      </c>
      <c r="H34" s="55" t="s">
        <v>3011</v>
      </c>
      <c r="I34" s="47" t="s">
        <v>3011</v>
      </c>
      <c r="J34" s="47" t="s">
        <v>2436</v>
      </c>
      <c r="K34" s="54">
        <v>8.95</v>
      </c>
      <c r="L34" s="64" t="s">
        <v>2454</v>
      </c>
      <c r="M34" s="54">
        <f>IFERROR(VLOOKUP(A34,Sheet3!$A:$B,2,0),0)</f>
        <v>0</v>
      </c>
      <c r="N34" s="65">
        <v>0.1</v>
      </c>
      <c r="O34" s="66">
        <v>1</v>
      </c>
      <c r="Q34">
        <f t="shared" si="1"/>
        <v>0</v>
      </c>
      <c r="R34" s="13">
        <v>1500731</v>
      </c>
      <c r="S34" s="42" t="e">
        <f>VLOOKUP(R34,'CA07-本月-盘点结果'!$B:$C,2,0)</f>
        <v>#N/A</v>
      </c>
      <c r="X34" s="41"/>
      <c r="Y34" t="e">
        <v>#N/A</v>
      </c>
      <c r="Z34" s="77">
        <v>0</v>
      </c>
    </row>
    <row r="35" ht="16.5" spans="1:26">
      <c r="A35" t="str">
        <f t="shared" si="0"/>
        <v>加拿大七店902030531315整份</v>
      </c>
      <c r="B35" s="51" t="s">
        <v>3000</v>
      </c>
      <c r="C35" s="47" t="s">
        <v>636</v>
      </c>
      <c r="D35" s="51" t="s">
        <v>2437</v>
      </c>
      <c r="E35" s="51" t="s">
        <v>2499</v>
      </c>
      <c r="F35" s="56">
        <v>9020305</v>
      </c>
      <c r="G35" s="49">
        <v>31315</v>
      </c>
      <c r="H35" s="55" t="s">
        <v>2567</v>
      </c>
      <c r="I35" s="47" t="s">
        <v>2567</v>
      </c>
      <c r="J35" s="51" t="s">
        <v>2436</v>
      </c>
      <c r="K35" s="56">
        <v>9.95</v>
      </c>
      <c r="L35" s="67" t="s">
        <v>2454</v>
      </c>
      <c r="M35" s="54">
        <f>IFERROR(VLOOKUP(A35,Sheet3!$A:$B,2,0),0)</f>
        <v>119</v>
      </c>
      <c r="N35" s="65">
        <v>0.15</v>
      </c>
      <c r="O35" s="66">
        <v>1</v>
      </c>
      <c r="Q35">
        <f t="shared" si="1"/>
        <v>17.85</v>
      </c>
      <c r="R35" s="13">
        <v>1501608</v>
      </c>
      <c r="S35" s="42" t="str">
        <f>VLOOKUP(R35,'CA07-本月-盘点结果'!$B:$C,2,0)</f>
        <v>鲜虾福袋（1KG*10包/箱）</v>
      </c>
      <c r="T35" s="43">
        <f>VLOOKUP(R35,'CA07-本月-盘点结果'!B:I,8,0)</f>
        <v>69</v>
      </c>
      <c r="U35" s="44">
        <f>T35-Q35-Q36-W35</f>
        <v>25.15</v>
      </c>
      <c r="X35" s="41"/>
      <c r="Y35" t="s">
        <v>73</v>
      </c>
      <c r="Z35" s="77">
        <v>13.58</v>
      </c>
    </row>
    <row r="36" ht="16.5" spans="1:26">
      <c r="A36" t="str">
        <f t="shared" si="0"/>
        <v>加拿大七店902030531316半份</v>
      </c>
      <c r="B36" s="47" t="s">
        <v>3000</v>
      </c>
      <c r="C36" s="47" t="s">
        <v>636</v>
      </c>
      <c r="D36" s="47" t="s">
        <v>2437</v>
      </c>
      <c r="E36" s="47" t="s">
        <v>2499</v>
      </c>
      <c r="F36" s="54">
        <v>9020305</v>
      </c>
      <c r="G36" s="49">
        <v>31316</v>
      </c>
      <c r="H36" s="55" t="s">
        <v>2568</v>
      </c>
      <c r="I36" s="47" t="s">
        <v>2567</v>
      </c>
      <c r="J36" s="47" t="s">
        <v>2440</v>
      </c>
      <c r="K36" s="54">
        <v>5.95</v>
      </c>
      <c r="L36" s="64" t="s">
        <v>2454</v>
      </c>
      <c r="M36" s="54">
        <f>IFERROR(VLOOKUP(A36,Sheet3!$A:$B,2,0),0)</f>
        <v>260</v>
      </c>
      <c r="N36" s="65">
        <v>0.1</v>
      </c>
      <c r="O36" s="66">
        <v>1</v>
      </c>
      <c r="Q36">
        <f t="shared" si="1"/>
        <v>26</v>
      </c>
      <c r="R36" s="13">
        <v>1501608</v>
      </c>
      <c r="S36" s="42" t="str">
        <f>VLOOKUP(R36,'CA07-本月-盘点结果'!$B:$C,2,0)</f>
        <v>鲜虾福袋（1KG*10包/箱）</v>
      </c>
      <c r="T36" s="43">
        <f>VLOOKUP(R36,'CA07-本月-盘点结果'!B:I,8,0)</f>
        <v>69</v>
      </c>
      <c r="X36" s="41"/>
      <c r="Y36" t="s">
        <v>73</v>
      </c>
      <c r="Z36" s="77">
        <v>0</v>
      </c>
    </row>
    <row r="37" ht="16.5" spans="1:26">
      <c r="A37" t="str">
        <f t="shared" si="0"/>
        <v>加拿大七店700009771004157半份</v>
      </c>
      <c r="B37" s="51" t="s">
        <v>3000</v>
      </c>
      <c r="C37" s="47" t="s">
        <v>636</v>
      </c>
      <c r="D37" s="51" t="s">
        <v>2437</v>
      </c>
      <c r="E37" s="51" t="s">
        <v>2499</v>
      </c>
      <c r="F37" s="56">
        <v>70000977</v>
      </c>
      <c r="G37" s="49">
        <v>1004157</v>
      </c>
      <c r="H37" s="55" t="s">
        <v>3012</v>
      </c>
      <c r="I37" s="47" t="s">
        <v>3013</v>
      </c>
      <c r="J37" s="51" t="s">
        <v>2440</v>
      </c>
      <c r="K37" s="56">
        <v>9.95</v>
      </c>
      <c r="L37" s="67" t="s">
        <v>2454</v>
      </c>
      <c r="M37" s="54">
        <f>IFERROR(VLOOKUP(A37,Sheet3!$A:$B,2,0),0)</f>
        <v>0</v>
      </c>
      <c r="N37" s="65">
        <v>0.09</v>
      </c>
      <c r="O37" s="66">
        <v>1</v>
      </c>
      <c r="Q37">
        <f t="shared" si="1"/>
        <v>0</v>
      </c>
      <c r="R37" s="13">
        <v>1501633</v>
      </c>
      <c r="S37" s="42" t="str">
        <f>VLOOKUP(R37,'CA07-本月-盘点结果'!$B:$C,2,0)</f>
        <v>竹笙（1.125KG*4包/箱）</v>
      </c>
      <c r="X37" s="41"/>
      <c r="Y37" t="s">
        <v>73</v>
      </c>
      <c r="Z37" s="77">
        <v>0</v>
      </c>
    </row>
    <row r="38" spans="1:26">
      <c r="A38" t="str">
        <f t="shared" si="0"/>
        <v>加拿大七店1003023642239整份</v>
      </c>
      <c r="B38" s="47" t="s">
        <v>3000</v>
      </c>
      <c r="C38" s="47" t="s">
        <v>636</v>
      </c>
      <c r="D38" s="47" t="s">
        <v>2445</v>
      </c>
      <c r="E38" s="47" t="s">
        <v>2449</v>
      </c>
      <c r="F38" s="54">
        <v>10030236</v>
      </c>
      <c r="G38" s="54">
        <v>42239</v>
      </c>
      <c r="H38" s="55" t="s">
        <v>2520</v>
      </c>
      <c r="I38" s="47" t="s">
        <v>2436</v>
      </c>
      <c r="J38" s="47" t="s">
        <v>2436</v>
      </c>
      <c r="K38" s="54">
        <v>14.95</v>
      </c>
      <c r="L38" s="64" t="s">
        <v>2454</v>
      </c>
      <c r="M38" s="54">
        <f>IFERROR(VLOOKUP(A38,Sheet3!$A:$B,2,0),0)</f>
        <v>310</v>
      </c>
      <c r="N38" s="65">
        <v>0.13</v>
      </c>
      <c r="O38" s="66">
        <v>1</v>
      </c>
      <c r="Q38">
        <f t="shared" si="1"/>
        <v>40.3</v>
      </c>
      <c r="R38" s="13">
        <v>1501633</v>
      </c>
      <c r="S38" s="42" t="str">
        <f>VLOOKUP(R38,'CA07-本月-盘点结果'!$B:$C,2,0)</f>
        <v>竹笙（1.125KG*4包/箱）</v>
      </c>
      <c r="T38" s="43">
        <f>VLOOKUP(R38,'CA07-本月-盘点结果'!B:I,8,0)</f>
        <v>17.275</v>
      </c>
      <c r="U38" s="44">
        <f>T38-Q38/5</f>
        <v>9.215</v>
      </c>
      <c r="X38" s="41"/>
      <c r="Y38" t="s">
        <v>73</v>
      </c>
      <c r="Z38" s="77">
        <v>10.03</v>
      </c>
    </row>
    <row r="39" spans="1:26">
      <c r="A39" t="str">
        <f t="shared" si="0"/>
        <v>加拿大七店9000042997732份</v>
      </c>
      <c r="B39" s="51" t="s">
        <v>3000</v>
      </c>
      <c r="C39" s="47" t="s">
        <v>636</v>
      </c>
      <c r="D39" s="51" t="s">
        <v>2437</v>
      </c>
      <c r="E39" s="51" t="s">
        <v>2499</v>
      </c>
      <c r="F39" s="56">
        <v>90000429</v>
      </c>
      <c r="G39" s="56">
        <v>97732</v>
      </c>
      <c r="H39" s="55" t="s">
        <v>2593</v>
      </c>
      <c r="I39" s="47" t="s">
        <v>2593</v>
      </c>
      <c r="J39" s="51" t="s">
        <v>2454</v>
      </c>
      <c r="K39" s="56">
        <v>5.95</v>
      </c>
      <c r="L39" s="67" t="s">
        <v>2454</v>
      </c>
      <c r="M39" s="54">
        <f>IFERROR(VLOOKUP(A39,Sheet3!$A:$B,2,0),0)</f>
        <v>417</v>
      </c>
      <c r="N39" s="65">
        <v>0.09</v>
      </c>
      <c r="O39" s="66">
        <v>1</v>
      </c>
      <c r="Q39">
        <f t="shared" si="1"/>
        <v>37.53</v>
      </c>
      <c r="R39" s="13">
        <v>4513296</v>
      </c>
      <c r="S39" s="42" t="str">
        <f>VLOOKUP(R39,'CA07-本月-盘点结果'!$B:$C,2,0)</f>
        <v>麻薯（2.5KG*4包/箱）</v>
      </c>
      <c r="T39" s="43">
        <f>VLOOKUP(R39,'CA07-本月-盘点结果'!B:I,8,0)</f>
        <v>32.5</v>
      </c>
      <c r="U39" s="44">
        <f>T39-Q39</f>
        <v>-5.03</v>
      </c>
      <c r="X39" s="41"/>
      <c r="Y39" t="e">
        <v>#N/A</v>
      </c>
      <c r="Z39" s="77" t="e">
        <v>#N/A</v>
      </c>
    </row>
    <row r="40" spans="1:26">
      <c r="A40" t="str">
        <f t="shared" si="0"/>
        <v>加拿大七店903001932019整份</v>
      </c>
      <c r="B40" s="47" t="s">
        <v>3000</v>
      </c>
      <c r="C40" s="47" t="s">
        <v>636</v>
      </c>
      <c r="D40" s="47" t="s">
        <v>2437</v>
      </c>
      <c r="E40" s="47" t="s">
        <v>2464</v>
      </c>
      <c r="F40" s="54">
        <v>9030019</v>
      </c>
      <c r="G40" s="54">
        <v>32019</v>
      </c>
      <c r="H40" s="55" t="s">
        <v>2581</v>
      </c>
      <c r="I40" s="47" t="s">
        <v>3014</v>
      </c>
      <c r="J40" s="47" t="s">
        <v>2436</v>
      </c>
      <c r="K40" s="54">
        <v>9.95</v>
      </c>
      <c r="L40" s="64" t="s">
        <v>2454</v>
      </c>
      <c r="M40" s="54">
        <f>IFERROR(VLOOKUP(A40,Sheet3!$A:$B,2,0),0)</f>
        <v>155</v>
      </c>
      <c r="N40" s="65">
        <v>0.28</v>
      </c>
      <c r="O40" s="66">
        <v>1</v>
      </c>
      <c r="P40">
        <v>2.2</v>
      </c>
      <c r="Q40">
        <f t="shared" si="1"/>
        <v>43.4</v>
      </c>
      <c r="R40" s="13">
        <v>1500703</v>
      </c>
      <c r="S40" s="42" t="str">
        <f>VLOOKUP(R40,'CA07-本月-盘点结果'!$B:$C,2,0)</f>
        <v>带头南美白虾（30-40，4LB*6包/箱 ）</v>
      </c>
      <c r="T40" s="43">
        <f>VLOOKUP(R40,'CA07-本月-盘点结果'!B:I,8,0)</f>
        <v>588</v>
      </c>
      <c r="U40" s="44">
        <f>T40-Q40*P40-Q41*P41-W40*P40*O40-Q197*P197-Q198*P198-Q199*P199</f>
        <v>444.472</v>
      </c>
      <c r="X40" s="41"/>
      <c r="Y40" t="s">
        <v>36</v>
      </c>
      <c r="Z40" s="77">
        <v>65.71</v>
      </c>
    </row>
    <row r="41" spans="1:26">
      <c r="A41" t="str">
        <f t="shared" si="0"/>
        <v>加拿大七店903001978645半份</v>
      </c>
      <c r="B41" s="51" t="s">
        <v>3000</v>
      </c>
      <c r="C41" s="47" t="s">
        <v>636</v>
      </c>
      <c r="D41" s="51" t="s">
        <v>2437</v>
      </c>
      <c r="E41" s="51" t="s">
        <v>2464</v>
      </c>
      <c r="F41" s="56">
        <v>9030019</v>
      </c>
      <c r="G41" s="56">
        <v>78645</v>
      </c>
      <c r="H41" s="55" t="s">
        <v>2580</v>
      </c>
      <c r="I41" s="47" t="s">
        <v>3014</v>
      </c>
      <c r="J41" s="51" t="s">
        <v>2440</v>
      </c>
      <c r="K41" s="56">
        <v>4.95</v>
      </c>
      <c r="L41" s="67" t="s">
        <v>2454</v>
      </c>
      <c r="M41" s="54">
        <f>IFERROR(VLOOKUP(A41,Sheet3!$A:$B,2,0),0)</f>
        <v>156</v>
      </c>
      <c r="N41" s="65">
        <v>0.14</v>
      </c>
      <c r="O41" s="66">
        <v>1</v>
      </c>
      <c r="P41">
        <v>2.2</v>
      </c>
      <c r="Q41">
        <f t="shared" si="1"/>
        <v>21.84</v>
      </c>
      <c r="R41" s="13">
        <v>1500703</v>
      </c>
      <c r="S41" s="42" t="str">
        <f>VLOOKUP(R41,'CA07-本月-盘点结果'!$B:$C,2,0)</f>
        <v>带头南美白虾（30-40，4LB*6包/箱 ）</v>
      </c>
      <c r="X41" s="41"/>
      <c r="Y41" t="s">
        <v>36</v>
      </c>
      <c r="Z41" s="77">
        <v>0</v>
      </c>
    </row>
    <row r="42" spans="1:26">
      <c r="A42" t="str">
        <f t="shared" si="0"/>
        <v>加拿大七店903002932029整份</v>
      </c>
      <c r="B42" s="47" t="s">
        <v>3000</v>
      </c>
      <c r="C42" s="47" t="s">
        <v>636</v>
      </c>
      <c r="D42" s="47" t="s">
        <v>2437</v>
      </c>
      <c r="E42" s="47" t="s">
        <v>2464</v>
      </c>
      <c r="F42" s="54">
        <v>9030029</v>
      </c>
      <c r="G42" s="54">
        <v>32029</v>
      </c>
      <c r="H42" s="55" t="s">
        <v>2525</v>
      </c>
      <c r="I42" s="47" t="s">
        <v>3015</v>
      </c>
      <c r="J42" s="47" t="s">
        <v>2436</v>
      </c>
      <c r="K42" s="54">
        <v>13.95</v>
      </c>
      <c r="L42" s="64" t="s">
        <v>2454</v>
      </c>
      <c r="M42" s="54">
        <f>IFERROR(VLOOKUP(A42,Sheet3!$A:$B,2,0),0)</f>
        <v>51</v>
      </c>
      <c r="N42" s="65">
        <v>0.28</v>
      </c>
      <c r="O42" s="66">
        <v>1.1</v>
      </c>
      <c r="Q42">
        <f t="shared" si="1"/>
        <v>15.708</v>
      </c>
      <c r="R42" s="13">
        <v>4519171</v>
      </c>
      <c r="S42" s="42" t="str">
        <f>VLOOKUP(R42,'CA07-本月-盘点结果'!$B:$C,2,0)</f>
        <v>墨鱼仔（340G*20包/箱）</v>
      </c>
      <c r="T42" s="43">
        <f>VLOOKUP(R42,'CA07-本月-盘点结果'!B:I,8,0)</f>
        <v>13.6</v>
      </c>
      <c r="U42" s="44">
        <f>T42-Q42-Q43-W43*O42</f>
        <v>-23.822</v>
      </c>
      <c r="X42" s="41"/>
      <c r="Y42" t="s">
        <v>73</v>
      </c>
      <c r="Z42" s="77">
        <v>5.71</v>
      </c>
    </row>
    <row r="43" spans="1:26">
      <c r="A43" t="str">
        <f t="shared" si="0"/>
        <v>加拿大七店903002932030半份</v>
      </c>
      <c r="B43" s="51" t="s">
        <v>3000</v>
      </c>
      <c r="C43" s="47" t="s">
        <v>636</v>
      </c>
      <c r="D43" s="51" t="s">
        <v>2437</v>
      </c>
      <c r="E43" s="51" t="s">
        <v>2464</v>
      </c>
      <c r="F43" s="56">
        <v>9030029</v>
      </c>
      <c r="G43" s="56">
        <v>32030</v>
      </c>
      <c r="H43" s="55" t="s">
        <v>2524</v>
      </c>
      <c r="I43" s="47" t="s">
        <v>3015</v>
      </c>
      <c r="J43" s="51" t="s">
        <v>2440</v>
      </c>
      <c r="K43" s="56">
        <v>6.95</v>
      </c>
      <c r="L43" s="67" t="s">
        <v>2454</v>
      </c>
      <c r="M43" s="54">
        <f>IFERROR(VLOOKUP(A43,Sheet3!$A:$B,2,0),0)</f>
        <v>141</v>
      </c>
      <c r="N43" s="65">
        <v>0.14</v>
      </c>
      <c r="O43" s="66">
        <v>1.1</v>
      </c>
      <c r="Q43">
        <f t="shared" si="1"/>
        <v>21.714</v>
      </c>
      <c r="R43" s="13">
        <v>4519171</v>
      </c>
      <c r="S43" s="42" t="str">
        <f>VLOOKUP(R43,'CA07-本月-盘点结果'!$B:$C,2,0)</f>
        <v>墨鱼仔（340G*20包/箱）</v>
      </c>
      <c r="X43" s="41"/>
      <c r="Y43" t="s">
        <v>73</v>
      </c>
      <c r="Z43" s="77">
        <v>0</v>
      </c>
    </row>
    <row r="44" ht="16.5" spans="1:26">
      <c r="A44" t="str">
        <f t="shared" si="0"/>
        <v>加拿大七店903005732057整份</v>
      </c>
      <c r="B44" s="47" t="s">
        <v>3000</v>
      </c>
      <c r="C44" s="47" t="s">
        <v>636</v>
      </c>
      <c r="D44" s="47" t="s">
        <v>2437</v>
      </c>
      <c r="E44" s="47" t="s">
        <v>2464</v>
      </c>
      <c r="F44" s="54">
        <v>9030057</v>
      </c>
      <c r="G44" s="54">
        <v>32057</v>
      </c>
      <c r="H44" s="55" t="s">
        <v>2492</v>
      </c>
      <c r="I44" s="47" t="s">
        <v>3016</v>
      </c>
      <c r="J44" s="47" t="s">
        <v>2436</v>
      </c>
      <c r="K44" s="54">
        <v>26.95</v>
      </c>
      <c r="L44" s="64" t="s">
        <v>2454</v>
      </c>
      <c r="M44" s="54">
        <f>IFERROR(VLOOKUP(A44,Sheet3!$A:$B,2,0),0)</f>
        <v>40</v>
      </c>
      <c r="N44" s="65">
        <v>0.44</v>
      </c>
      <c r="O44" s="66">
        <v>1.1</v>
      </c>
      <c r="P44">
        <v>2.2</v>
      </c>
      <c r="Q44">
        <f t="shared" si="1"/>
        <v>19.36</v>
      </c>
      <c r="R44" s="13">
        <v>4515468</v>
      </c>
      <c r="S44" s="42" t="str">
        <f>VLOOKUP(R44,'CA07-本月-盘点结果'!$B:$C,2,0)</f>
        <v>扇贝（3LB*4包/箱）</v>
      </c>
      <c r="T44" s="43">
        <f>VLOOKUP(R44,'CA07-本月-盘点结果'!B:I,8,0)</f>
        <v>141</v>
      </c>
      <c r="U44" s="44">
        <f>(T44/P44-Q44-Q45-W44*O44)*P44</f>
        <v>38.2468</v>
      </c>
      <c r="X44" s="41"/>
      <c r="Y44" t="s">
        <v>36</v>
      </c>
      <c r="Z44" s="77">
        <v>63.83</v>
      </c>
    </row>
    <row r="45" ht="16.5" spans="1:26">
      <c r="A45" t="str">
        <f t="shared" si="0"/>
        <v>加拿大七店903005732058半份</v>
      </c>
      <c r="B45" s="51" t="s">
        <v>3000</v>
      </c>
      <c r="C45" s="47" t="s">
        <v>636</v>
      </c>
      <c r="D45" s="51" t="s">
        <v>2437</v>
      </c>
      <c r="E45" s="51" t="s">
        <v>2464</v>
      </c>
      <c r="F45" s="56">
        <v>9030057</v>
      </c>
      <c r="G45" s="49">
        <v>32058</v>
      </c>
      <c r="H45" s="55" t="s">
        <v>2491</v>
      </c>
      <c r="I45" s="47" t="s">
        <v>3016</v>
      </c>
      <c r="J45" s="51" t="s">
        <v>2440</v>
      </c>
      <c r="K45" s="56">
        <v>13.95</v>
      </c>
      <c r="L45" s="67" t="s">
        <v>2454</v>
      </c>
      <c r="M45" s="54">
        <f>IFERROR(VLOOKUP(A45,Sheet3!$A:$B,2,0),0)</f>
        <v>113</v>
      </c>
      <c r="N45" s="65">
        <v>0.22</v>
      </c>
      <c r="O45" s="66">
        <v>1.1</v>
      </c>
      <c r="P45">
        <v>2.2</v>
      </c>
      <c r="Q45">
        <f t="shared" si="1"/>
        <v>27.346</v>
      </c>
      <c r="R45" s="13">
        <v>4515468</v>
      </c>
      <c r="S45" s="42" t="str">
        <f>VLOOKUP(R45,'CA07-本月-盘点结果'!$B:$C,2,0)</f>
        <v>扇贝（3LB*4包/箱）</v>
      </c>
      <c r="X45" s="41"/>
      <c r="Y45" t="s">
        <v>36</v>
      </c>
      <c r="Z45" s="77">
        <v>0</v>
      </c>
    </row>
    <row r="46" ht="16.5" spans="1:26">
      <c r="A46" t="str">
        <f t="shared" si="0"/>
        <v>加拿大七店903033032331整份</v>
      </c>
      <c r="B46" s="47" t="s">
        <v>3000</v>
      </c>
      <c r="C46" s="47" t="s">
        <v>636</v>
      </c>
      <c r="D46" s="47" t="s">
        <v>2437</v>
      </c>
      <c r="E46" s="47" t="s">
        <v>2464</v>
      </c>
      <c r="F46" s="54">
        <v>9030330</v>
      </c>
      <c r="G46" s="49">
        <v>32331</v>
      </c>
      <c r="H46" s="55" t="s">
        <v>2486</v>
      </c>
      <c r="I46" s="47" t="s">
        <v>2486</v>
      </c>
      <c r="J46" s="47" t="s">
        <v>2436</v>
      </c>
      <c r="K46" s="54">
        <v>19.95</v>
      </c>
      <c r="L46" s="64" t="s">
        <v>2454</v>
      </c>
      <c r="M46" s="54">
        <f>IFERROR(VLOOKUP(A46,Sheet3!$A:$B,2,0),0)</f>
        <v>178</v>
      </c>
      <c r="N46" s="65">
        <v>0.2</v>
      </c>
      <c r="O46" s="66">
        <v>1</v>
      </c>
      <c r="Q46">
        <f t="shared" si="1"/>
        <v>35.6</v>
      </c>
      <c r="R46" s="13">
        <v>4510656</v>
      </c>
      <c r="S46" s="42" t="e">
        <f>VLOOKUP(R46,'CA07-本月-盘点结果'!$B:$C,2,0)</f>
        <v>#N/A</v>
      </c>
      <c r="T46" s="43" t="e">
        <f>VLOOKUP(R46,'CA07-本月-盘点结果'!B:I,8,0)</f>
        <v>#N/A</v>
      </c>
      <c r="U46" s="44" t="e">
        <f>T46-Q46-Q47</f>
        <v>#N/A</v>
      </c>
      <c r="X46" s="41"/>
      <c r="Y46" t="s">
        <v>73</v>
      </c>
      <c r="Z46" s="77">
        <v>6.04</v>
      </c>
    </row>
    <row r="47" ht="16.5" spans="1:26">
      <c r="A47" t="str">
        <f t="shared" si="0"/>
        <v>加拿大七店903033032332半份</v>
      </c>
      <c r="B47" s="47" t="s">
        <v>3000</v>
      </c>
      <c r="C47" s="47" t="s">
        <v>636</v>
      </c>
      <c r="D47" s="47" t="s">
        <v>2437</v>
      </c>
      <c r="E47" s="47" t="s">
        <v>2464</v>
      </c>
      <c r="F47" s="54">
        <v>9030330</v>
      </c>
      <c r="G47" s="49">
        <v>32332</v>
      </c>
      <c r="H47" s="55" t="s">
        <v>2487</v>
      </c>
      <c r="I47" s="47" t="s">
        <v>2486</v>
      </c>
      <c r="J47" s="47" t="s">
        <v>2440</v>
      </c>
      <c r="K47" s="54">
        <v>9.95</v>
      </c>
      <c r="L47" s="64" t="s">
        <v>2454</v>
      </c>
      <c r="M47" s="54">
        <f>IFERROR(VLOOKUP(A47,Sheet3!$A:$B,2,0),0)</f>
        <v>305</v>
      </c>
      <c r="N47" s="65">
        <v>0.1</v>
      </c>
      <c r="O47" s="66">
        <v>1.06</v>
      </c>
      <c r="Q47">
        <f t="shared" si="1"/>
        <v>32.33</v>
      </c>
      <c r="R47" s="13">
        <v>4510656</v>
      </c>
      <c r="S47" s="42" t="e">
        <f>VLOOKUP(R47,'CA07-本月-盘点结果'!$B:$C,2,0)</f>
        <v>#N/A</v>
      </c>
      <c r="X47" s="41"/>
      <c r="Y47" t="s">
        <v>73</v>
      </c>
      <c r="Z47" s="77">
        <v>0</v>
      </c>
    </row>
    <row r="48" ht="16.5" spans="1:26">
      <c r="A48" t="str">
        <f t="shared" si="0"/>
        <v>加拿大七店903033432337整份</v>
      </c>
      <c r="B48" s="51" t="s">
        <v>3000</v>
      </c>
      <c r="C48" s="47" t="s">
        <v>636</v>
      </c>
      <c r="D48" s="51" t="s">
        <v>2437</v>
      </c>
      <c r="E48" s="51" t="s">
        <v>2464</v>
      </c>
      <c r="F48" s="56">
        <v>9030334</v>
      </c>
      <c r="G48" s="49">
        <v>32337</v>
      </c>
      <c r="H48" s="55" t="s">
        <v>3017</v>
      </c>
      <c r="I48" s="47" t="s">
        <v>3018</v>
      </c>
      <c r="J48" s="51" t="s">
        <v>2436</v>
      </c>
      <c r="K48" s="56">
        <v>12.95</v>
      </c>
      <c r="L48" s="67" t="s">
        <v>2454</v>
      </c>
      <c r="M48" s="54">
        <f>IFERROR(VLOOKUP(A48,Sheet3!$A:$B,2,0),0)</f>
        <v>0</v>
      </c>
      <c r="N48" s="65">
        <v>0.11</v>
      </c>
      <c r="O48" s="66">
        <v>1</v>
      </c>
      <c r="Q48">
        <f t="shared" si="1"/>
        <v>0</v>
      </c>
      <c r="R48" s="13">
        <v>4516993</v>
      </c>
      <c r="S48" s="42" t="e">
        <f>VLOOKUP(R48,'CA07-本月-盘点结果'!$B:$C,2,0)</f>
        <v>#N/A</v>
      </c>
      <c r="X48" s="41"/>
      <c r="Y48" t="e">
        <v>#N/A</v>
      </c>
      <c r="Z48" s="77">
        <v>0</v>
      </c>
    </row>
    <row r="49" ht="16.5" spans="1:26">
      <c r="A49" t="str">
        <f t="shared" si="0"/>
        <v>加拿大七店903040732439整份</v>
      </c>
      <c r="B49" s="47" t="s">
        <v>3000</v>
      </c>
      <c r="C49" s="47" t="s">
        <v>636</v>
      </c>
      <c r="D49" s="47" t="s">
        <v>2437</v>
      </c>
      <c r="E49" s="47" t="s">
        <v>2464</v>
      </c>
      <c r="F49" s="54">
        <v>9030407</v>
      </c>
      <c r="G49" s="49">
        <v>32439</v>
      </c>
      <c r="H49" s="55" t="s">
        <v>2557</v>
      </c>
      <c r="I49" s="47" t="s">
        <v>3019</v>
      </c>
      <c r="J49" s="47" t="s">
        <v>2436</v>
      </c>
      <c r="K49" s="54">
        <v>33.95</v>
      </c>
      <c r="L49" s="64" t="s">
        <v>2454</v>
      </c>
      <c r="M49" s="54">
        <f>IFERROR(VLOOKUP(A49,Sheet3!$A:$B,2,0),0)</f>
        <v>59</v>
      </c>
      <c r="N49" s="65">
        <v>0.2</v>
      </c>
      <c r="O49" s="66">
        <v>1</v>
      </c>
      <c r="P49">
        <v>2.2</v>
      </c>
      <c r="Q49">
        <f t="shared" si="1"/>
        <v>11.8</v>
      </c>
      <c r="R49" s="13">
        <v>4523956</v>
      </c>
      <c r="S49" s="42" t="str">
        <f>VLOOKUP(R49,'CA07-本月-盘点结果'!$B:$C,2,0)</f>
        <v>桂花蚌（LB）</v>
      </c>
      <c r="T49" s="43">
        <f>VLOOKUP(R49,'CA07-本月-盘点结果'!B:I,8,0)</f>
        <v>96</v>
      </c>
      <c r="U49" s="44">
        <f>T49-Q50*P50-Q49*P49</f>
        <v>22.08</v>
      </c>
      <c r="X49" s="41" t="s">
        <v>3020</v>
      </c>
      <c r="Y49" t="s">
        <v>36</v>
      </c>
      <c r="Z49" s="77">
        <v>16.48</v>
      </c>
    </row>
    <row r="50" spans="1:26">
      <c r="A50" t="str">
        <f t="shared" si="0"/>
        <v>加拿大七店903040732440半份</v>
      </c>
      <c r="B50" s="51" t="s">
        <v>3000</v>
      </c>
      <c r="C50" s="47" t="s">
        <v>636</v>
      </c>
      <c r="D50" s="51" t="s">
        <v>2437</v>
      </c>
      <c r="E50" s="51" t="s">
        <v>2464</v>
      </c>
      <c r="F50" s="56">
        <v>9030407</v>
      </c>
      <c r="G50" s="56">
        <v>32440</v>
      </c>
      <c r="H50" s="55" t="s">
        <v>2556</v>
      </c>
      <c r="I50" s="47" t="s">
        <v>3019</v>
      </c>
      <c r="J50" s="51" t="s">
        <v>2440</v>
      </c>
      <c r="K50" s="56">
        <v>16.95</v>
      </c>
      <c r="L50" s="67" t="s">
        <v>2454</v>
      </c>
      <c r="M50" s="54">
        <f>IFERROR(VLOOKUP(A50,Sheet3!$A:$B,2,0),0)</f>
        <v>218</v>
      </c>
      <c r="N50" s="65">
        <v>0.1</v>
      </c>
      <c r="O50" s="66">
        <v>1</v>
      </c>
      <c r="P50">
        <v>2.2</v>
      </c>
      <c r="Q50">
        <f t="shared" si="1"/>
        <v>21.8</v>
      </c>
      <c r="R50" s="13">
        <v>4523956</v>
      </c>
      <c r="S50" s="42" t="str">
        <f>VLOOKUP(R50,'CA07-本月-盘点结果'!$B:$C,2,0)</f>
        <v>桂花蚌（LB）</v>
      </c>
      <c r="X50" s="41"/>
      <c r="Y50" t="s">
        <v>36</v>
      </c>
      <c r="Z50" s="77">
        <v>0</v>
      </c>
    </row>
    <row r="51" spans="1:26">
      <c r="A51" t="str">
        <f t="shared" si="0"/>
        <v>加拿大七店7000050957036整份</v>
      </c>
      <c r="B51" s="47" t="s">
        <v>3000</v>
      </c>
      <c r="C51" s="47" t="s">
        <v>636</v>
      </c>
      <c r="D51" s="47" t="s">
        <v>2437</v>
      </c>
      <c r="E51" s="47" t="s">
        <v>2464</v>
      </c>
      <c r="F51" s="54">
        <v>70000509</v>
      </c>
      <c r="G51" s="54">
        <v>57036</v>
      </c>
      <c r="H51" s="55" t="s">
        <v>2590</v>
      </c>
      <c r="I51" s="47" t="s">
        <v>2590</v>
      </c>
      <c r="J51" s="47" t="s">
        <v>2436</v>
      </c>
      <c r="K51" s="54">
        <v>8.95</v>
      </c>
      <c r="L51" s="64" t="s">
        <v>2454</v>
      </c>
      <c r="M51" s="54">
        <f>IFERROR(VLOOKUP(A51,Sheet3!$A:$B,2,0),0)</f>
        <v>182</v>
      </c>
      <c r="N51" s="65">
        <v>0.15</v>
      </c>
      <c r="O51" s="66">
        <v>1.07</v>
      </c>
      <c r="Q51">
        <f t="shared" si="1"/>
        <v>29.211</v>
      </c>
      <c r="R51" s="13">
        <v>1501628</v>
      </c>
      <c r="S51" s="42" t="str">
        <f>VLOOKUP(R51,'CA07-本月-盘点结果'!$B:$C,2,0)</f>
        <v>鱿鱼花（280G*12包/箱）</v>
      </c>
      <c r="T51" s="43">
        <f>VLOOKUP(R51,'CA07-本月-盘点结果'!B:I,8,0)</f>
        <v>47.04</v>
      </c>
      <c r="U51" s="44">
        <f>T51-Q51</f>
        <v>17.829</v>
      </c>
      <c r="X51" s="41"/>
      <c r="Y51" t="s">
        <v>73</v>
      </c>
      <c r="Z51" s="77">
        <v>25.24</v>
      </c>
    </row>
    <row r="52" spans="1:26">
      <c r="A52" t="str">
        <f t="shared" si="0"/>
        <v>加拿大七店7000064877308整份</v>
      </c>
      <c r="B52" s="47" t="s">
        <v>3000</v>
      </c>
      <c r="C52" s="47" t="s">
        <v>636</v>
      </c>
      <c r="D52" s="47" t="s">
        <v>2437</v>
      </c>
      <c r="E52" s="47" t="s">
        <v>2464</v>
      </c>
      <c r="F52" s="54">
        <v>70000648</v>
      </c>
      <c r="G52" s="54">
        <v>77308</v>
      </c>
      <c r="H52" s="55" t="s">
        <v>2463</v>
      </c>
      <c r="I52" s="47" t="s">
        <v>3021</v>
      </c>
      <c r="J52" s="47" t="s">
        <v>2436</v>
      </c>
      <c r="K52" s="54">
        <v>18.95</v>
      </c>
      <c r="L52" s="64" t="s">
        <v>2454</v>
      </c>
      <c r="M52" s="54">
        <f>IFERROR(VLOOKUP(A52,Sheet3!$A:$B,2,0),0)</f>
        <v>39</v>
      </c>
      <c r="N52" s="65">
        <v>0.08</v>
      </c>
      <c r="O52" s="66">
        <v>1</v>
      </c>
      <c r="Q52">
        <f t="shared" si="1"/>
        <v>3.12</v>
      </c>
      <c r="R52" s="13">
        <v>4516992</v>
      </c>
      <c r="S52" s="42" t="str">
        <f>VLOOKUP(R52,'CA07-本月-盘点结果'!$B:$C,2,0)</f>
        <v>澳洲青边鲍鱼（1KG/盒）</v>
      </c>
      <c r="T52" s="43">
        <f>VLOOKUP(R52,'CA07-本月-盘点结果'!B:I,8,0)</f>
        <v>34</v>
      </c>
      <c r="U52" s="44">
        <f>T52-Q52-W52</f>
        <v>30.88</v>
      </c>
      <c r="X52" s="41"/>
      <c r="Y52" t="s">
        <v>73</v>
      </c>
      <c r="Z52" s="77">
        <v>16.5</v>
      </c>
    </row>
    <row r="53" spans="1:26">
      <c r="A53" t="str">
        <f t="shared" si="0"/>
        <v>加拿大七店7000147679074整份</v>
      </c>
      <c r="B53" s="51" t="s">
        <v>3000</v>
      </c>
      <c r="C53" s="47" t="s">
        <v>636</v>
      </c>
      <c r="D53" s="51" t="s">
        <v>2437</v>
      </c>
      <c r="E53" s="51" t="s">
        <v>2464</v>
      </c>
      <c r="F53" s="56">
        <v>70001476</v>
      </c>
      <c r="G53" s="56">
        <v>79074</v>
      </c>
      <c r="H53" s="55" t="s">
        <v>2540</v>
      </c>
      <c r="I53" s="47" t="s">
        <v>2540</v>
      </c>
      <c r="J53" s="51" t="s">
        <v>2436</v>
      </c>
      <c r="K53" s="56">
        <v>17.95</v>
      </c>
      <c r="L53" s="67" t="s">
        <v>2454</v>
      </c>
      <c r="M53" s="54">
        <f>IFERROR(VLOOKUP(A53,Sheet3!$A:$B,2,0),0)</f>
        <v>170</v>
      </c>
      <c r="N53" s="65">
        <v>0.2</v>
      </c>
      <c r="O53" s="66">
        <v>1.06</v>
      </c>
      <c r="Q53">
        <f t="shared" si="1"/>
        <v>36.04</v>
      </c>
      <c r="R53" s="13">
        <v>4018965</v>
      </c>
      <c r="S53" s="42" t="str">
        <f>VLOOKUP(R53,'CA07-本月-盘点结果'!$B:$C,2,0)</f>
        <v>黑鱼片（1KG*10包/箱）</v>
      </c>
      <c r="T53" s="43">
        <f>VLOOKUP(R53,'CA07-本月-盘点结果'!B:I,8,0)</f>
        <v>74</v>
      </c>
      <c r="U53" s="44">
        <f>T53-Q53-Q54</f>
        <v>5.312</v>
      </c>
      <c r="X53" s="41"/>
      <c r="Y53" t="s">
        <v>73</v>
      </c>
      <c r="Z53" s="77">
        <v>14.37</v>
      </c>
    </row>
    <row r="54" spans="1:26">
      <c r="A54" t="str">
        <f t="shared" si="0"/>
        <v>加拿大七店7000147679075半份</v>
      </c>
      <c r="B54" s="47" t="s">
        <v>3000</v>
      </c>
      <c r="C54" s="47" t="s">
        <v>636</v>
      </c>
      <c r="D54" s="47" t="s">
        <v>2437</v>
      </c>
      <c r="E54" s="47" t="s">
        <v>2464</v>
      </c>
      <c r="F54" s="54">
        <v>70001476</v>
      </c>
      <c r="G54" s="54">
        <v>79075</v>
      </c>
      <c r="H54" s="55" t="s">
        <v>2541</v>
      </c>
      <c r="I54" s="47" t="s">
        <v>2540</v>
      </c>
      <c r="J54" s="47" t="s">
        <v>2440</v>
      </c>
      <c r="K54" s="54">
        <v>8.95</v>
      </c>
      <c r="L54" s="64" t="s">
        <v>2454</v>
      </c>
      <c r="M54" s="54">
        <f>IFERROR(VLOOKUP(A54,Sheet3!$A:$B,2,0),0)</f>
        <v>308</v>
      </c>
      <c r="N54" s="65">
        <v>0.1</v>
      </c>
      <c r="O54" s="66">
        <v>1.06</v>
      </c>
      <c r="Q54">
        <f t="shared" ref="Q54:Q60" si="2">M54*N54*O54</f>
        <v>32.648</v>
      </c>
      <c r="R54" s="13">
        <v>4018965</v>
      </c>
      <c r="S54" s="42" t="str">
        <f>VLOOKUP(R54,'CA07-本月-盘点结果'!$B:$C,2,0)</f>
        <v>黑鱼片（1KG*10包/箱）</v>
      </c>
      <c r="X54" s="41"/>
      <c r="Y54" t="s">
        <v>73</v>
      </c>
      <c r="Z54" s="77">
        <v>0</v>
      </c>
    </row>
    <row r="55" spans="1:26">
      <c r="A55" t="str">
        <f t="shared" si="0"/>
        <v>加拿大七店901000930009整份</v>
      </c>
      <c r="B55" s="51" t="s">
        <v>3000</v>
      </c>
      <c r="C55" s="47" t="s">
        <v>636</v>
      </c>
      <c r="D55" s="51" t="s">
        <v>2437</v>
      </c>
      <c r="E55" s="51" t="s">
        <v>2438</v>
      </c>
      <c r="F55" s="56">
        <v>9010009</v>
      </c>
      <c r="G55" s="56">
        <v>30009</v>
      </c>
      <c r="H55" s="55" t="s">
        <v>2606</v>
      </c>
      <c r="I55" s="47" t="s">
        <v>3022</v>
      </c>
      <c r="J55" s="51" t="s">
        <v>2436</v>
      </c>
      <c r="K55" s="56">
        <v>13.95</v>
      </c>
      <c r="L55" s="67" t="s">
        <v>2454</v>
      </c>
      <c r="M55" s="54">
        <f>IFERROR(VLOOKUP(A55,Sheet3!$A:$B,2,0),0)</f>
        <v>1939</v>
      </c>
      <c r="N55" s="65">
        <v>0.15</v>
      </c>
      <c r="O55" s="66">
        <v>1.1</v>
      </c>
      <c r="P55">
        <v>2.2</v>
      </c>
      <c r="Q55">
        <f>M55*N55*O55*P55</f>
        <v>703.857</v>
      </c>
      <c r="R55" s="13">
        <v>1500679</v>
      </c>
      <c r="S55" s="42" t="str">
        <f>VLOOKUP(R55,'CA07-本月-盘点结果'!$B:$C,2,0)</f>
        <v>羊肉卷（LB）</v>
      </c>
      <c r="T55" s="74">
        <f>VLOOKUP(R55,'CA07-本月-盘点结果'!B:I,8,0)</f>
        <v>2495.42</v>
      </c>
      <c r="U55" s="44">
        <f>T55-Q55-W55-Q56</f>
        <v>1013.654</v>
      </c>
      <c r="X55" s="75" t="s">
        <v>3023</v>
      </c>
      <c r="Y55" t="s">
        <v>36</v>
      </c>
      <c r="Z55" s="77">
        <v>27.4</v>
      </c>
    </row>
    <row r="56" spans="1:26">
      <c r="A56" t="str">
        <f t="shared" ref="A56" si="3">C56&amp;F56&amp;G56&amp;J56</f>
        <v>加拿大七店900016901003544半份</v>
      </c>
      <c r="B56" s="51" t="s">
        <v>3000</v>
      </c>
      <c r="C56" s="47" t="s">
        <v>636</v>
      </c>
      <c r="D56" s="51" t="s">
        <v>2437</v>
      </c>
      <c r="E56" s="51" t="s">
        <v>2438</v>
      </c>
      <c r="F56" s="57">
        <v>90001690</v>
      </c>
      <c r="G56" s="57">
        <v>1003544</v>
      </c>
      <c r="H56" s="58" t="s">
        <v>2655</v>
      </c>
      <c r="I56" s="58"/>
      <c r="J56" s="58" t="s">
        <v>2440</v>
      </c>
      <c r="K56" s="56">
        <v>13.95</v>
      </c>
      <c r="L56" s="67" t="s">
        <v>2454</v>
      </c>
      <c r="M56" s="54">
        <f>IFERROR(VLOOKUP(A56,Sheet3!$A:$B,2,0),0)</f>
        <v>2143</v>
      </c>
      <c r="N56" s="65">
        <v>0.15</v>
      </c>
      <c r="O56" s="66">
        <v>1.1</v>
      </c>
      <c r="P56">
        <v>2.2</v>
      </c>
      <c r="Q56">
        <f>M56*N56*O56*P56</f>
        <v>777.909</v>
      </c>
      <c r="R56" s="13"/>
      <c r="T56" s="74"/>
      <c r="X56" s="75"/>
      <c r="Y56" t="s">
        <v>36</v>
      </c>
      <c r="Z56" s="77">
        <v>27.4</v>
      </c>
    </row>
    <row r="57" spans="1:26">
      <c r="A57" t="str">
        <f t="shared" si="0"/>
        <v>加拿大七店901001930019整份</v>
      </c>
      <c r="B57" s="47" t="s">
        <v>3000</v>
      </c>
      <c r="C57" s="47" t="s">
        <v>636</v>
      </c>
      <c r="D57" s="47" t="s">
        <v>2437</v>
      </c>
      <c r="E57" s="47" t="s">
        <v>2438</v>
      </c>
      <c r="F57" s="54">
        <v>9010019</v>
      </c>
      <c r="G57" s="54">
        <v>30019</v>
      </c>
      <c r="H57" s="55" t="s">
        <v>3024</v>
      </c>
      <c r="I57" s="47" t="s">
        <v>3024</v>
      </c>
      <c r="J57" s="47" t="s">
        <v>2436</v>
      </c>
      <c r="K57" s="54">
        <v>10.95</v>
      </c>
      <c r="L57" s="64" t="s">
        <v>2454</v>
      </c>
      <c r="M57" s="54">
        <f>IFERROR(VLOOKUP(A57,Sheet3!$A:$B,2,0),0)</f>
        <v>4550</v>
      </c>
      <c r="N57" s="65">
        <v>0.16</v>
      </c>
      <c r="O57" s="66">
        <v>1.2</v>
      </c>
      <c r="P57">
        <v>2.2</v>
      </c>
      <c r="Q57">
        <f>M57*N57*O57</f>
        <v>873.6</v>
      </c>
      <c r="R57" s="13">
        <v>1500677</v>
      </c>
      <c r="S57" s="42" t="str">
        <f>VLOOKUP(R57,'CA07-本月-盘点结果'!$B:$C,2,0)</f>
        <v>牛腩肉（LB）</v>
      </c>
      <c r="T57" s="43">
        <f>VLOOKUP(R57,'CA07-本月-盘点结果'!B:I,8,0)</f>
        <v>5629.53</v>
      </c>
      <c r="U57" s="44">
        <f>(T57/P57-Q57-Q58-Q64-Q163-Q211-W57*O57)*P57</f>
        <v>2176.41</v>
      </c>
      <c r="X57" s="75" t="s">
        <v>3025</v>
      </c>
      <c r="Y57" t="s">
        <v>36</v>
      </c>
      <c r="Z57" s="77">
        <v>206.07</v>
      </c>
    </row>
    <row r="58" spans="1:26">
      <c r="A58" t="str">
        <f t="shared" si="0"/>
        <v>加拿大七店900020671004336整份</v>
      </c>
      <c r="B58" s="51" t="s">
        <v>3000</v>
      </c>
      <c r="C58" s="47" t="s">
        <v>636</v>
      </c>
      <c r="D58" s="51" t="s">
        <v>2437</v>
      </c>
      <c r="E58" s="51" t="s">
        <v>2438</v>
      </c>
      <c r="F58" s="56">
        <v>90002067</v>
      </c>
      <c r="G58" s="56">
        <v>1004336</v>
      </c>
      <c r="H58" s="55" t="s">
        <v>2635</v>
      </c>
      <c r="I58" s="47" t="s">
        <v>3024</v>
      </c>
      <c r="J58" s="51" t="s">
        <v>2436</v>
      </c>
      <c r="K58" s="56">
        <v>0</v>
      </c>
      <c r="L58" s="67" t="s">
        <v>2454</v>
      </c>
      <c r="M58" s="54">
        <f>IFERROR(VLOOKUP(A58,Sheet3!$A:$B,2,0),0)</f>
        <v>3624</v>
      </c>
      <c r="N58" s="65">
        <v>0.16</v>
      </c>
      <c r="O58" s="66">
        <v>1.2</v>
      </c>
      <c r="P58">
        <v>2.2</v>
      </c>
      <c r="Q58">
        <f t="shared" si="2"/>
        <v>695.808</v>
      </c>
      <c r="R58" s="13">
        <v>1500677</v>
      </c>
      <c r="S58" s="42" t="str">
        <f>VLOOKUP(R58,'CA07-本月-盘点结果'!$B:$C,2,0)</f>
        <v>牛腩肉（LB）</v>
      </c>
      <c r="X58" s="41"/>
      <c r="Y58" t="s">
        <v>36</v>
      </c>
      <c r="Z58" s="77">
        <v>0</v>
      </c>
    </row>
    <row r="59" spans="1:26">
      <c r="A59" t="str">
        <f t="shared" si="0"/>
        <v>加拿大七店901005130053整份</v>
      </c>
      <c r="B59" s="51" t="s">
        <v>3000</v>
      </c>
      <c r="C59" s="47" t="s">
        <v>636</v>
      </c>
      <c r="D59" s="51" t="s">
        <v>2437</v>
      </c>
      <c r="E59" s="51" t="s">
        <v>2438</v>
      </c>
      <c r="F59" s="56">
        <v>9010051</v>
      </c>
      <c r="G59" s="56">
        <v>30053</v>
      </c>
      <c r="H59" s="55" t="s">
        <v>2515</v>
      </c>
      <c r="I59" s="47" t="s">
        <v>3026</v>
      </c>
      <c r="J59" s="51" t="s">
        <v>2436</v>
      </c>
      <c r="K59" s="56">
        <v>49.95</v>
      </c>
      <c r="L59" s="67" t="s">
        <v>2454</v>
      </c>
      <c r="M59" s="54">
        <f>IFERROR(VLOOKUP(A59,Sheet3!$A:$B,2,0),0)</f>
        <v>270</v>
      </c>
      <c r="N59" s="65">
        <v>0.16</v>
      </c>
      <c r="O59" s="66">
        <v>1.1</v>
      </c>
      <c r="Q59">
        <f t="shared" si="2"/>
        <v>47.52</v>
      </c>
      <c r="R59" s="13">
        <v>4500067</v>
      </c>
      <c r="S59" s="42" t="str">
        <f>VLOOKUP(R59,'CA07-本月-盘点结果'!$B:$C,2,0)</f>
        <v>美国和牛</v>
      </c>
      <c r="T59" s="43">
        <f>VLOOKUP(R59,'CA07-本月-盘点结果'!B:I,8,0)</f>
        <v>71.787</v>
      </c>
      <c r="U59" s="44">
        <f>T59-Q59</f>
        <v>24.267</v>
      </c>
      <c r="X59" s="41"/>
      <c r="Y59" t="s">
        <v>73</v>
      </c>
      <c r="Z59" s="77">
        <v>2.06</v>
      </c>
    </row>
    <row r="60" spans="1:26">
      <c r="A60" t="str">
        <f t="shared" si="0"/>
        <v>加拿大七店901018530219整份</v>
      </c>
      <c r="B60" s="47" t="s">
        <v>3000</v>
      </c>
      <c r="C60" s="47" t="s">
        <v>636</v>
      </c>
      <c r="D60" s="47" t="s">
        <v>2437</v>
      </c>
      <c r="E60" s="47" t="s">
        <v>2438</v>
      </c>
      <c r="F60" s="54">
        <v>9010185</v>
      </c>
      <c r="G60" s="54">
        <v>30219</v>
      </c>
      <c r="H60" s="55" t="s">
        <v>2566</v>
      </c>
      <c r="I60" s="47" t="s">
        <v>3027</v>
      </c>
      <c r="J60" s="47" t="s">
        <v>2436</v>
      </c>
      <c r="K60" s="54">
        <v>19.95</v>
      </c>
      <c r="L60" s="64" t="s">
        <v>2454</v>
      </c>
      <c r="M60" s="54">
        <f>IFERROR(VLOOKUP(A60,Sheet3!$A:$B,2,0),0)</f>
        <v>1190</v>
      </c>
      <c r="N60" s="65">
        <v>0.16</v>
      </c>
      <c r="O60" s="66">
        <v>1.1</v>
      </c>
      <c r="P60">
        <v>2.2</v>
      </c>
      <c r="Q60">
        <f t="shared" si="2"/>
        <v>209.44</v>
      </c>
      <c r="R60" s="13">
        <v>1501275</v>
      </c>
      <c r="S60" s="42" t="str">
        <f>VLOOKUP(R60,'CA07-本月-盘点结果'!$B:$C,2,0)</f>
        <v>西冷牛肉（LB）</v>
      </c>
      <c r="T60" s="43">
        <f>VLOOKUP(R60,'CA07-本月-盘点结果'!B:I,8,0)</f>
        <v>485.19</v>
      </c>
      <c r="U60" s="44">
        <f>T60-Q60*P60</f>
        <v>24.4219999999999</v>
      </c>
      <c r="X60" s="41"/>
      <c r="Y60" t="s">
        <v>36</v>
      </c>
      <c r="Z60" s="77">
        <v>2.32</v>
      </c>
    </row>
    <row r="61" spans="1:26">
      <c r="A61" t="str">
        <f t="shared" si="0"/>
        <v>加拿大七店901029830355整份</v>
      </c>
      <c r="B61" s="51" t="s">
        <v>3000</v>
      </c>
      <c r="C61" s="47" t="s">
        <v>636</v>
      </c>
      <c r="D61" s="51" t="s">
        <v>2437</v>
      </c>
      <c r="E61" s="51" t="s">
        <v>2438</v>
      </c>
      <c r="F61" s="56">
        <v>9010298</v>
      </c>
      <c r="G61" s="56">
        <v>30355</v>
      </c>
      <c r="H61" s="55" t="s">
        <v>2512</v>
      </c>
      <c r="I61" s="47" t="s">
        <v>3028</v>
      </c>
      <c r="J61" s="51" t="s">
        <v>2436</v>
      </c>
      <c r="K61" s="56">
        <v>12.95</v>
      </c>
      <c r="L61" s="67" t="s">
        <v>2454</v>
      </c>
      <c r="M61" s="54">
        <f>IFERROR(VLOOKUP(A61,Sheet3!$A:$B,2,0),0)</f>
        <v>838</v>
      </c>
      <c r="N61" s="65">
        <v>0.12</v>
      </c>
      <c r="O61" s="68">
        <v>1.15</v>
      </c>
      <c r="P61">
        <v>2.2</v>
      </c>
      <c r="Q61">
        <f t="shared" si="1"/>
        <v>115.644</v>
      </c>
      <c r="R61" s="13">
        <v>1500686</v>
      </c>
      <c r="S61" s="42" t="str">
        <f>VLOOKUP(R61,'CA07-本月-盘点结果'!$B:$C,2,0)</f>
        <v>牛舌（LB）</v>
      </c>
      <c r="T61" s="43">
        <f>VLOOKUP(R61,'CA07-本月-盘点结果'!B:I,8,0)</f>
        <v>382.79</v>
      </c>
      <c r="U61" s="44">
        <f>T61-Q61*P61</f>
        <v>128.3732</v>
      </c>
      <c r="X61" s="75" t="s">
        <v>3029</v>
      </c>
      <c r="Y61" t="s">
        <v>36</v>
      </c>
      <c r="Z61" s="77">
        <v>49.74</v>
      </c>
    </row>
    <row r="62" ht="16.5" spans="1:26">
      <c r="A62" t="str">
        <f t="shared" si="0"/>
        <v>加拿大七店901032530395整份</v>
      </c>
      <c r="B62" s="47" t="s">
        <v>3000</v>
      </c>
      <c r="C62" s="47" t="s">
        <v>636</v>
      </c>
      <c r="D62" s="47" t="s">
        <v>2437</v>
      </c>
      <c r="E62" s="47" t="s">
        <v>2438</v>
      </c>
      <c r="F62" s="54">
        <v>9010325</v>
      </c>
      <c r="G62" s="54">
        <v>30395</v>
      </c>
      <c r="H62" s="55" t="s">
        <v>3030</v>
      </c>
      <c r="I62" s="47" t="s">
        <v>3031</v>
      </c>
      <c r="J62" s="47" t="s">
        <v>2436</v>
      </c>
      <c r="K62" s="54">
        <v>12.95</v>
      </c>
      <c r="L62" s="64" t="s">
        <v>2454</v>
      </c>
      <c r="M62" s="54">
        <f>IFERROR(VLOOKUP(A62,Sheet3!$A:$B,2,0),0)</f>
        <v>2010</v>
      </c>
      <c r="N62" s="65">
        <v>0.16</v>
      </c>
      <c r="O62" s="68">
        <v>1.1</v>
      </c>
      <c r="P62">
        <v>2.2</v>
      </c>
      <c r="Q62">
        <f t="shared" si="1"/>
        <v>353.76</v>
      </c>
      <c r="R62" s="13">
        <v>1501159</v>
      </c>
      <c r="S62" s="42" t="str">
        <f>VLOOKUP(R62,'CA07-本月-盘点结果'!$B:$C,2,0)</f>
        <v>牛板腱（LB）</v>
      </c>
      <c r="T62" s="43">
        <f>VLOOKUP(R62,'CA07-本月-盘点结果'!B:I,8,0)</f>
        <v>769.36</v>
      </c>
      <c r="U62" s="44">
        <f>T62-Q62*P62</f>
        <v>-8.91200000000015</v>
      </c>
      <c r="X62" s="41"/>
      <c r="Y62" t="s">
        <v>36</v>
      </c>
      <c r="Z62" s="77">
        <v>11.66</v>
      </c>
    </row>
    <row r="63" ht="16.5" spans="1:26">
      <c r="A63" t="str">
        <f t="shared" si="0"/>
        <v>加拿大七店907002447025整份</v>
      </c>
      <c r="B63" s="51" t="s">
        <v>3000</v>
      </c>
      <c r="C63" s="47" t="s">
        <v>636</v>
      </c>
      <c r="D63" s="51" t="s">
        <v>2437</v>
      </c>
      <c r="E63" s="51" t="s">
        <v>2438</v>
      </c>
      <c r="F63" s="56">
        <v>9070024</v>
      </c>
      <c r="G63" s="49">
        <v>47025</v>
      </c>
      <c r="H63" s="55" t="s">
        <v>2553</v>
      </c>
      <c r="I63" s="47" t="s">
        <v>2553</v>
      </c>
      <c r="J63" s="51" t="s">
        <v>2436</v>
      </c>
      <c r="K63" s="56">
        <v>11.95</v>
      </c>
      <c r="L63" s="67" t="s">
        <v>2454</v>
      </c>
      <c r="M63" s="54">
        <f>IFERROR(VLOOKUP(A63,Sheet3!$A:$B,2,0),0)</f>
        <v>368</v>
      </c>
      <c r="N63" s="65">
        <v>0.16</v>
      </c>
      <c r="O63" s="66">
        <v>1</v>
      </c>
      <c r="P63">
        <v>2.2</v>
      </c>
      <c r="Q63">
        <f t="shared" si="1"/>
        <v>58.88</v>
      </c>
      <c r="R63" s="13">
        <v>4516994</v>
      </c>
      <c r="S63" s="42" t="str">
        <f>VLOOKUP(R63,'CA07-本月-盘点结果'!$B:$C,2,0)</f>
        <v>猪颈肉（LB）</v>
      </c>
      <c r="T63" s="43">
        <f>VLOOKUP(R63,'CA07-本月-盘点结果'!B:I,8,0)</f>
        <v>93.49</v>
      </c>
      <c r="U63" s="44">
        <f>T63-Q63*P63</f>
        <v>-36.046</v>
      </c>
      <c r="X63" s="41"/>
      <c r="Y63" t="s">
        <v>36</v>
      </c>
      <c r="Z63" s="77">
        <v>11.87</v>
      </c>
    </row>
    <row r="64" ht="16.5" spans="1:26">
      <c r="A64" t="str">
        <f t="shared" si="0"/>
        <v>加拿大七店7000069377384整份</v>
      </c>
      <c r="B64" s="47" t="s">
        <v>3000</v>
      </c>
      <c r="C64" s="47" t="s">
        <v>636</v>
      </c>
      <c r="D64" s="47" t="s">
        <v>2437</v>
      </c>
      <c r="E64" s="47" t="s">
        <v>2438</v>
      </c>
      <c r="F64" s="54">
        <v>70000693</v>
      </c>
      <c r="G64" s="49">
        <v>77384</v>
      </c>
      <c r="H64" s="55" t="s">
        <v>2698</v>
      </c>
      <c r="I64" s="47" t="s">
        <v>3032</v>
      </c>
      <c r="J64" s="47" t="s">
        <v>2436</v>
      </c>
      <c r="K64" s="54">
        <v>1.95</v>
      </c>
      <c r="L64" s="64" t="s">
        <v>2454</v>
      </c>
      <c r="M64" s="54">
        <f>IFERROR(VLOOKUP(A64,Sheet3!$A:$B,2,0),0)</f>
        <v>0</v>
      </c>
      <c r="N64" s="65">
        <v>0.16</v>
      </c>
      <c r="O64" s="66">
        <v>1.2</v>
      </c>
      <c r="P64">
        <v>2.2</v>
      </c>
      <c r="Q64">
        <f t="shared" ref="Q64:Q125" si="4">M64*N64*O64</f>
        <v>0</v>
      </c>
      <c r="R64">
        <v>1500677</v>
      </c>
      <c r="S64" s="42" t="str">
        <f>VLOOKUP(R64,'CA07-本月-盘点结果'!$B:$C,2,0)</f>
        <v>牛腩肉（LB）</v>
      </c>
      <c r="X64" s="41"/>
      <c r="Y64" t="s">
        <v>36</v>
      </c>
      <c r="Z64" s="77">
        <v>0</v>
      </c>
    </row>
    <row r="65" ht="16.5" spans="1:26">
      <c r="A65" t="str">
        <f t="shared" si="0"/>
        <v>加拿大七店7000118278433整份</v>
      </c>
      <c r="B65" s="51" t="s">
        <v>3000</v>
      </c>
      <c r="C65" s="47" t="s">
        <v>636</v>
      </c>
      <c r="D65" s="51" t="s">
        <v>2437</v>
      </c>
      <c r="E65" s="51" t="s">
        <v>2438</v>
      </c>
      <c r="F65" s="56">
        <v>70001182</v>
      </c>
      <c r="G65" s="49">
        <v>78433</v>
      </c>
      <c r="H65" s="55" t="s">
        <v>2478</v>
      </c>
      <c r="I65" s="47" t="s">
        <v>3033</v>
      </c>
      <c r="J65" s="51" t="s">
        <v>2436</v>
      </c>
      <c r="K65" s="56">
        <v>29.95</v>
      </c>
      <c r="L65" s="67" t="s">
        <v>2454</v>
      </c>
      <c r="M65" s="54">
        <f>IFERROR(VLOOKUP(A65,Sheet3!$A:$B,2,0),0)</f>
        <v>1306</v>
      </c>
      <c r="N65" s="65">
        <v>0.16</v>
      </c>
      <c r="O65" s="66">
        <v>1.1</v>
      </c>
      <c r="P65">
        <v>2.2</v>
      </c>
      <c r="Q65">
        <f t="shared" si="4"/>
        <v>229.856</v>
      </c>
      <c r="R65">
        <v>4522918</v>
      </c>
      <c r="S65" s="42" t="str">
        <f>VLOOKUP(R65,'CA07-本月-盘点结果'!$B:$C,2,0)</f>
        <v>去骨牛小排（LB）</v>
      </c>
      <c r="T65" s="43">
        <f>VLOOKUP(R65,'CA07-本月-盘点结果'!B:I,8,0)</f>
        <v>610.74</v>
      </c>
      <c r="U65" s="44">
        <f>T65-Q65*P65-W65*P65</f>
        <v>105.0568</v>
      </c>
      <c r="X65" s="75" t="s">
        <v>3034</v>
      </c>
      <c r="Y65" t="s">
        <v>36</v>
      </c>
      <c r="Z65" s="77">
        <v>50.25</v>
      </c>
    </row>
    <row r="66" spans="1:26">
      <c r="A66" t="str">
        <f t="shared" si="0"/>
        <v>加拿大七店301002320023整份</v>
      </c>
      <c r="B66" s="47" t="s">
        <v>3000</v>
      </c>
      <c r="C66" s="47" t="s">
        <v>636</v>
      </c>
      <c r="D66" s="47" t="s">
        <v>2437</v>
      </c>
      <c r="E66" s="47" t="s">
        <v>2474</v>
      </c>
      <c r="F66" s="54">
        <v>3010023</v>
      </c>
      <c r="G66" s="54">
        <v>20023</v>
      </c>
      <c r="H66" s="55" t="s">
        <v>2510</v>
      </c>
      <c r="I66" s="47" t="s">
        <v>2510</v>
      </c>
      <c r="J66" s="47" t="s">
        <v>2436</v>
      </c>
      <c r="K66" s="54">
        <v>11.95</v>
      </c>
      <c r="L66" s="64" t="s">
        <v>2454</v>
      </c>
      <c r="M66" s="54">
        <f>IFERROR(VLOOKUP(A66,Sheet3!$A:$B,2,0),0)</f>
        <v>190</v>
      </c>
      <c r="N66" s="65">
        <v>0.48</v>
      </c>
      <c r="O66" s="66">
        <v>1.2</v>
      </c>
      <c r="P66">
        <v>2.2</v>
      </c>
      <c r="Q66">
        <f t="shared" si="4"/>
        <v>109.44</v>
      </c>
      <c r="R66" s="13">
        <v>1501589</v>
      </c>
      <c r="S66" s="42" t="str">
        <f>VLOOKUP(R66,'CA07-本月-盘点结果'!$B:$C,2,0)</f>
        <v>猪血（20LB/桶）</v>
      </c>
      <c r="T66" s="43">
        <f>VLOOKUP(R66,'CA07-本月-盘点结果'!B:I,8,0)</f>
        <v>580</v>
      </c>
      <c r="U66" s="44">
        <f>T66-Q67*P66-Q66*P67</f>
        <v>-9.24800000000002</v>
      </c>
      <c r="X66" s="41"/>
      <c r="Y66" t="s">
        <v>17</v>
      </c>
      <c r="Z66" s="77">
        <v>1.54</v>
      </c>
    </row>
    <row r="67" spans="1:26">
      <c r="A67" t="str">
        <f t="shared" si="0"/>
        <v>加拿大七店301002320024半份</v>
      </c>
      <c r="B67" s="51" t="s">
        <v>3000</v>
      </c>
      <c r="C67" s="47" t="s">
        <v>636</v>
      </c>
      <c r="D67" s="51" t="s">
        <v>2437</v>
      </c>
      <c r="E67" s="51" t="s">
        <v>2474</v>
      </c>
      <c r="F67" s="56">
        <v>3010023</v>
      </c>
      <c r="G67" s="56">
        <v>20024</v>
      </c>
      <c r="H67" s="55" t="s">
        <v>2509</v>
      </c>
      <c r="I67" s="47" t="s">
        <v>3035</v>
      </c>
      <c r="J67" s="51" t="s">
        <v>2440</v>
      </c>
      <c r="K67" s="56">
        <v>5.95</v>
      </c>
      <c r="L67" s="67" t="s">
        <v>2454</v>
      </c>
      <c r="M67" s="54">
        <f>IFERROR(VLOOKUP(A67,Sheet3!$A:$B,2,0),0)</f>
        <v>550</v>
      </c>
      <c r="N67" s="65">
        <v>0.24</v>
      </c>
      <c r="O67" s="66">
        <v>1.2</v>
      </c>
      <c r="P67">
        <v>2.2</v>
      </c>
      <c r="Q67">
        <f t="shared" si="4"/>
        <v>158.4</v>
      </c>
      <c r="R67" s="13">
        <v>1501589</v>
      </c>
      <c r="S67" s="42" t="str">
        <f>VLOOKUP(R67,'CA07-本月-盘点结果'!$B:$C,2,0)</f>
        <v>猪血（20LB/桶）</v>
      </c>
      <c r="X67" s="41"/>
      <c r="Y67" t="s">
        <v>17</v>
      </c>
      <c r="Z67" s="77">
        <v>0</v>
      </c>
    </row>
    <row r="68" spans="1:26">
      <c r="A68" t="str">
        <f t="shared" si="0"/>
        <v>加拿大七店904004133041整份</v>
      </c>
      <c r="B68" s="47" t="s">
        <v>3000</v>
      </c>
      <c r="C68" s="47" t="s">
        <v>636</v>
      </c>
      <c r="D68" s="47" t="s">
        <v>2437</v>
      </c>
      <c r="E68" s="47" t="s">
        <v>2474</v>
      </c>
      <c r="F68" s="54">
        <v>9040041</v>
      </c>
      <c r="G68" s="54">
        <v>33041</v>
      </c>
      <c r="H68" s="55" t="s">
        <v>2555</v>
      </c>
      <c r="I68" s="47" t="s">
        <v>3036</v>
      </c>
      <c r="J68" s="47" t="s">
        <v>2436</v>
      </c>
      <c r="K68" s="54">
        <v>7.95</v>
      </c>
      <c r="L68" s="64" t="s">
        <v>2454</v>
      </c>
      <c r="M68" s="54">
        <f>IFERROR(VLOOKUP(A68,Sheet3!$A:$B,2,0),0)</f>
        <v>276</v>
      </c>
      <c r="N68" s="65">
        <v>0.1</v>
      </c>
      <c r="O68" s="66">
        <v>1.43</v>
      </c>
      <c r="Q68">
        <f t="shared" si="4"/>
        <v>39.468</v>
      </c>
      <c r="R68" s="13">
        <v>1501253</v>
      </c>
      <c r="S68" s="42" t="str">
        <f>VLOOKUP(R68,'CA07-本月-盘点结果'!$B:$C,2,0)</f>
        <v>猪大肠 （KG）</v>
      </c>
      <c r="T68" s="43">
        <f>VLOOKUP(R68,'CA07-本月-盘点结果'!B:I,8,0)+44.09/2.2</f>
        <v>95.4109090909091</v>
      </c>
      <c r="U68" s="44">
        <f>T68-Q68</f>
        <v>55.9429090909091</v>
      </c>
      <c r="X68" s="41"/>
      <c r="Y68" t="s">
        <v>73</v>
      </c>
      <c r="Z68" s="77">
        <v>53.54</v>
      </c>
    </row>
    <row r="69" spans="1:26">
      <c r="A69" t="str">
        <f t="shared" si="0"/>
        <v>加拿大七店904005533055整份</v>
      </c>
      <c r="B69" s="51" t="s">
        <v>3000</v>
      </c>
      <c r="C69" s="47" t="s">
        <v>636</v>
      </c>
      <c r="D69" s="51" t="s">
        <v>2437</v>
      </c>
      <c r="E69" s="51" t="s">
        <v>2474</v>
      </c>
      <c r="F69" s="56">
        <v>9040055</v>
      </c>
      <c r="G69" s="56">
        <v>33055</v>
      </c>
      <c r="H69" s="55" t="s">
        <v>2579</v>
      </c>
      <c r="I69" s="47" t="s">
        <v>2579</v>
      </c>
      <c r="J69" s="51" t="s">
        <v>2436</v>
      </c>
      <c r="K69" s="56">
        <v>13.95</v>
      </c>
      <c r="L69" s="67" t="s">
        <v>2454</v>
      </c>
      <c r="M69" s="54">
        <f>IFERROR(VLOOKUP(A69,Sheet3!$A:$B,2,0),0)</f>
        <v>127</v>
      </c>
      <c r="N69" s="65">
        <v>0.2</v>
      </c>
      <c r="O69" s="66">
        <v>1</v>
      </c>
      <c r="P69">
        <v>0.34</v>
      </c>
      <c r="Q69">
        <f t="shared" si="4"/>
        <v>25.4</v>
      </c>
      <c r="R69" s="13">
        <v>1500860</v>
      </c>
      <c r="S69" s="42" t="str">
        <f>VLOOKUP(R69,'CA07-本月-盘点结果'!$B:$C,2,0)</f>
        <v>午餐肉（NONGSHIM， 340G*24盒/箱）</v>
      </c>
      <c r="T69" s="43">
        <f>VLOOKUP(R69,'CA07-本月-盘点结果'!B:I,8,0)</f>
        <v>329</v>
      </c>
      <c r="U69" s="44">
        <f>(T69*P69-Q69-Q70-W69)/P69</f>
        <v>154.294117647059</v>
      </c>
      <c r="X69" s="41"/>
      <c r="Y69" t="s">
        <v>137</v>
      </c>
      <c r="Z69" s="77">
        <v>464.35</v>
      </c>
    </row>
    <row r="70" spans="1:26">
      <c r="A70" t="str">
        <f t="shared" si="0"/>
        <v>加拿大七店904005533056半份</v>
      </c>
      <c r="B70" s="47" t="s">
        <v>3000</v>
      </c>
      <c r="C70" s="47" t="s">
        <v>636</v>
      </c>
      <c r="D70" s="47" t="s">
        <v>2437</v>
      </c>
      <c r="E70" s="47" t="s">
        <v>2474</v>
      </c>
      <c r="F70" s="54">
        <v>9040055</v>
      </c>
      <c r="G70" s="54">
        <v>33056</v>
      </c>
      <c r="H70" s="55" t="s">
        <v>2578</v>
      </c>
      <c r="I70" s="47" t="s">
        <v>2579</v>
      </c>
      <c r="J70" s="47" t="s">
        <v>2440</v>
      </c>
      <c r="K70" s="54">
        <v>6.95</v>
      </c>
      <c r="L70" s="64" t="s">
        <v>2454</v>
      </c>
      <c r="M70" s="54">
        <f>IFERROR(VLOOKUP(A70,Sheet3!$A:$B,2,0),0)</f>
        <v>340</v>
      </c>
      <c r="N70" s="65">
        <v>0.1</v>
      </c>
      <c r="O70" s="66">
        <v>1</v>
      </c>
      <c r="P70">
        <v>0.34</v>
      </c>
      <c r="Q70">
        <f t="shared" si="4"/>
        <v>34</v>
      </c>
      <c r="R70" s="13">
        <v>1500860</v>
      </c>
      <c r="S70" s="42" t="str">
        <f>VLOOKUP(R70,'CA07-本月-盘点结果'!$B:$C,2,0)</f>
        <v>午餐肉（NONGSHIM， 340G*24盒/箱）</v>
      </c>
      <c r="X70" s="41"/>
      <c r="Y70" t="s">
        <v>137</v>
      </c>
      <c r="Z70" s="77">
        <v>0</v>
      </c>
    </row>
    <row r="71" spans="1:26">
      <c r="A71" t="str">
        <f t="shared" ref="A71:A134" si="5">C71&amp;F71&amp;G71&amp;J71</f>
        <v>加拿大七店904006333063整份</v>
      </c>
      <c r="B71" s="51" t="s">
        <v>3000</v>
      </c>
      <c r="C71" s="47" t="s">
        <v>636</v>
      </c>
      <c r="D71" s="51" t="s">
        <v>2437</v>
      </c>
      <c r="E71" s="51" t="s">
        <v>2474</v>
      </c>
      <c r="F71" s="56">
        <v>9040063</v>
      </c>
      <c r="G71" s="56">
        <v>33063</v>
      </c>
      <c r="H71" s="55" t="s">
        <v>2529</v>
      </c>
      <c r="I71" s="47" t="s">
        <v>2529</v>
      </c>
      <c r="J71" s="51" t="s">
        <v>2436</v>
      </c>
      <c r="K71" s="56">
        <v>5.95</v>
      </c>
      <c r="L71" s="67" t="s">
        <v>2454</v>
      </c>
      <c r="M71" s="54">
        <f>IFERROR(VLOOKUP(A71,Sheet3!$A:$B,2,0),0)</f>
        <v>804</v>
      </c>
      <c r="N71" s="65">
        <v>0.14</v>
      </c>
      <c r="O71" s="66">
        <v>1.1</v>
      </c>
      <c r="P71" s="80">
        <v>0.85</v>
      </c>
      <c r="Q71">
        <f t="shared" si="4"/>
        <v>123.816</v>
      </c>
      <c r="R71" s="13">
        <v>1500861</v>
      </c>
      <c r="S71" s="42" t="str">
        <f>VLOOKUP(R71,'CA07-本月-盘点结果'!$B:$C,2,0)</f>
        <v>鹌鹑蛋（850G*12桶/箱）</v>
      </c>
      <c r="T71" s="43">
        <f>VLOOKUP(R71,'CA07-本月-盘点结果'!B:I,8,0)</f>
        <v>768</v>
      </c>
      <c r="U71" s="44">
        <f>(T71*P71-Q71-W71)/P71</f>
        <v>622.334117647059</v>
      </c>
      <c r="X71" s="41"/>
      <c r="Y71" t="s">
        <v>55</v>
      </c>
      <c r="Z71" s="77">
        <v>469.91</v>
      </c>
    </row>
    <row r="72" ht="16.5" customHeight="1" spans="1:26">
      <c r="A72" t="str">
        <f t="shared" si="5"/>
        <v>加拿大七店904006333064半份</v>
      </c>
      <c r="B72" s="51" t="s">
        <v>3000</v>
      </c>
      <c r="C72" s="47" t="s">
        <v>636</v>
      </c>
      <c r="D72" s="51" t="s">
        <v>2437</v>
      </c>
      <c r="E72" s="51" t="s">
        <v>2474</v>
      </c>
      <c r="F72" s="56">
        <v>9040063</v>
      </c>
      <c r="G72" s="56">
        <v>33064</v>
      </c>
      <c r="H72" s="55" t="s">
        <v>3037</v>
      </c>
      <c r="I72" s="47" t="s">
        <v>2529</v>
      </c>
      <c r="J72" s="51" t="s">
        <v>2440</v>
      </c>
      <c r="K72" s="56">
        <v>2.95</v>
      </c>
      <c r="L72" s="67" t="s">
        <v>2454</v>
      </c>
      <c r="M72" s="54">
        <f>IFERROR(VLOOKUP(A72,Sheet3!$A:$B,2,0),0)</f>
        <v>0</v>
      </c>
      <c r="N72" s="65">
        <v>0.07</v>
      </c>
      <c r="O72" s="66">
        <v>1.1</v>
      </c>
      <c r="P72">
        <v>0.85</v>
      </c>
      <c r="Q72">
        <f t="shared" si="4"/>
        <v>0</v>
      </c>
      <c r="R72">
        <v>1500861</v>
      </c>
      <c r="S72" s="42" t="str">
        <f>VLOOKUP(R72,'CA07-本月-盘点结果'!$B:$C,2,0)</f>
        <v>鹌鹑蛋（850G*12桶/箱）</v>
      </c>
      <c r="X72" s="41"/>
      <c r="Y72" t="s">
        <v>55</v>
      </c>
      <c r="Z72" s="77">
        <v>0</v>
      </c>
    </row>
    <row r="73" spans="1:26">
      <c r="A73" t="str">
        <f t="shared" si="5"/>
        <v>加拿大七店904006533065整份</v>
      </c>
      <c r="B73" s="51" t="s">
        <v>3000</v>
      </c>
      <c r="C73" s="47" t="s">
        <v>636</v>
      </c>
      <c r="D73" s="51" t="s">
        <v>2437</v>
      </c>
      <c r="E73" s="51" t="s">
        <v>2474</v>
      </c>
      <c r="F73" s="56">
        <v>9040065</v>
      </c>
      <c r="G73" s="56">
        <v>33065</v>
      </c>
      <c r="H73" s="55" t="s">
        <v>2528</v>
      </c>
      <c r="I73" s="47" t="s">
        <v>2528</v>
      </c>
      <c r="J73" s="51" t="s">
        <v>2436</v>
      </c>
      <c r="K73" s="56">
        <v>9.95</v>
      </c>
      <c r="L73" s="67" t="s">
        <v>2454</v>
      </c>
      <c r="M73" s="54">
        <f>IFERROR(VLOOKUP(A73,Sheet3!$A:$B,2,0),0)</f>
        <v>121</v>
      </c>
      <c r="N73" s="65">
        <v>0.1</v>
      </c>
      <c r="O73" s="66">
        <v>1</v>
      </c>
      <c r="P73">
        <v>0.5</v>
      </c>
      <c r="Q73">
        <f t="shared" si="4"/>
        <v>12.1</v>
      </c>
      <c r="R73">
        <v>1500704</v>
      </c>
      <c r="S73" s="42" t="str">
        <f>VLOOKUP(R73,'CA07-本月-盘点结果'!$B:$C,2,0)</f>
        <v>蟹肉棒（巴芬湾，500G*20包/箱）</v>
      </c>
      <c r="T73" s="43">
        <f>VLOOKUP(R73,'CA07-本月-盘点结果'!B:I,8,0)</f>
        <v>430</v>
      </c>
      <c r="U73" s="44">
        <f>(T73*P73-Q73-Q74-W73)/P73</f>
        <v>370.9</v>
      </c>
      <c r="X73" s="41"/>
      <c r="Y73" t="s">
        <v>29</v>
      </c>
      <c r="Z73" s="77">
        <v>169.78</v>
      </c>
    </row>
    <row r="74" spans="1:26">
      <c r="A74" t="str">
        <f t="shared" si="5"/>
        <v>加拿大七店904006533066半份</v>
      </c>
      <c r="B74" s="51" t="s">
        <v>3000</v>
      </c>
      <c r="C74" s="47" t="s">
        <v>636</v>
      </c>
      <c r="D74" s="51" t="s">
        <v>2437</v>
      </c>
      <c r="E74" s="51" t="s">
        <v>2474</v>
      </c>
      <c r="F74" s="56">
        <v>9040065</v>
      </c>
      <c r="G74" s="56">
        <v>33066</v>
      </c>
      <c r="H74" s="55" t="s">
        <v>2527</v>
      </c>
      <c r="I74" s="47" t="s">
        <v>2528</v>
      </c>
      <c r="J74" s="51" t="s">
        <v>2440</v>
      </c>
      <c r="K74" s="56">
        <v>4.95</v>
      </c>
      <c r="L74" s="67" t="s">
        <v>2454</v>
      </c>
      <c r="M74" s="54">
        <f>IFERROR(VLOOKUP(A74,Sheet3!$A:$B,2,0),0)</f>
        <v>349</v>
      </c>
      <c r="N74" s="65">
        <v>0.05</v>
      </c>
      <c r="O74" s="66">
        <v>1</v>
      </c>
      <c r="P74">
        <v>0.5</v>
      </c>
      <c r="Q74">
        <f t="shared" si="4"/>
        <v>17.45</v>
      </c>
      <c r="R74">
        <v>1500704</v>
      </c>
      <c r="S74" s="42" t="str">
        <f>VLOOKUP(R74,'CA07-本月-盘点结果'!$B:$C,2,0)</f>
        <v>蟹肉棒（巴芬湾，500G*20包/箱）</v>
      </c>
      <c r="X74" s="41"/>
      <c r="Y74" t="s">
        <v>29</v>
      </c>
      <c r="Z74" s="77">
        <v>0</v>
      </c>
    </row>
    <row r="75" spans="1:26">
      <c r="A75" t="str">
        <f t="shared" si="5"/>
        <v>加拿大七店904033633395整份</v>
      </c>
      <c r="B75" s="51" t="s">
        <v>3000</v>
      </c>
      <c r="C75" s="47" t="s">
        <v>636</v>
      </c>
      <c r="D75" s="51" t="s">
        <v>2437</v>
      </c>
      <c r="E75" s="51" t="s">
        <v>2474</v>
      </c>
      <c r="F75" s="56">
        <v>9040336</v>
      </c>
      <c r="G75" s="56">
        <v>33395</v>
      </c>
      <c r="H75" s="55" t="s">
        <v>2563</v>
      </c>
      <c r="I75" s="47" t="s">
        <v>3038</v>
      </c>
      <c r="J75" s="51" t="s">
        <v>2436</v>
      </c>
      <c r="K75" s="56">
        <v>5.95</v>
      </c>
      <c r="L75" s="67" t="s">
        <v>2454</v>
      </c>
      <c r="M75" s="54">
        <f>IFERROR(VLOOKUP(A75,Sheet3!$A:$B,2,0),0)</f>
        <v>413</v>
      </c>
      <c r="N75" s="65">
        <v>0.06</v>
      </c>
      <c r="O75" s="66">
        <v>1</v>
      </c>
      <c r="Q75">
        <f t="shared" si="4"/>
        <v>24.78</v>
      </c>
      <c r="R75" s="13">
        <v>1500730</v>
      </c>
      <c r="S75" s="42" t="str">
        <f>VLOOKUP(R75,'CA07-本月-盘点结果'!$B:$C,2,0)</f>
        <v>鱼豆腐（华生，2.5KG*4包/箱）</v>
      </c>
      <c r="T75" s="43">
        <f>VLOOKUP(R75,'CA07-本月-盘点结果'!B:I,8,0)</f>
        <v>45</v>
      </c>
      <c r="U75" s="44">
        <f>T75-Q75</f>
        <v>20.22</v>
      </c>
      <c r="X75" s="41"/>
      <c r="Y75" t="s">
        <v>73</v>
      </c>
      <c r="Z75" s="77">
        <v>88</v>
      </c>
    </row>
    <row r="76" spans="1:26">
      <c r="A76" t="str">
        <f t="shared" si="5"/>
        <v>加拿大七店301001320013整份</v>
      </c>
      <c r="B76" s="47" t="s">
        <v>3000</v>
      </c>
      <c r="C76" s="47" t="s">
        <v>636</v>
      </c>
      <c r="D76" s="47" t="s">
        <v>3039</v>
      </c>
      <c r="E76" s="47" t="s">
        <v>3040</v>
      </c>
      <c r="F76" s="54">
        <v>3010013</v>
      </c>
      <c r="G76" s="54">
        <v>20013</v>
      </c>
      <c r="H76" s="55" t="s">
        <v>2561</v>
      </c>
      <c r="I76" s="47" t="s">
        <v>3041</v>
      </c>
      <c r="J76" s="78" t="s">
        <v>2436</v>
      </c>
      <c r="K76" s="79">
        <v>16.95</v>
      </c>
      <c r="L76" s="81" t="s">
        <v>2454</v>
      </c>
      <c r="M76" s="54">
        <f>IFERROR(VLOOKUP(A76,Sheet3!$A:$B,2,0),0)</f>
        <v>484</v>
      </c>
      <c r="N76" s="82">
        <v>0.3</v>
      </c>
      <c r="O76" s="83">
        <v>0.65</v>
      </c>
      <c r="P76">
        <v>2.2</v>
      </c>
      <c r="Q76">
        <f t="shared" si="4"/>
        <v>94.38</v>
      </c>
      <c r="R76">
        <v>4515419</v>
      </c>
      <c r="S76" s="42" t="str">
        <f>VLOOKUP(R76,'CA07-本月-盘点结果'!$B:$C,2,0)</f>
        <v>去肥黄瓜条（LB）</v>
      </c>
      <c r="T76" s="43">
        <f>VLOOKUP(R76,'CA07-本月-盘点结果'!B:I,8,0)</f>
        <v>319.82</v>
      </c>
      <c r="U76" s="44">
        <f>T76-Q76*P76-Q77*P77-Q192*P192-Q221*P221</f>
        <v>-134.3425</v>
      </c>
      <c r="X76" s="41"/>
      <c r="Y76" t="s">
        <v>36</v>
      </c>
      <c r="Z76" s="77">
        <v>37.09</v>
      </c>
    </row>
    <row r="77" spans="1:26">
      <c r="A77" t="str">
        <f t="shared" si="5"/>
        <v>加拿大七店301001320014半份</v>
      </c>
      <c r="B77" s="51" t="s">
        <v>3000</v>
      </c>
      <c r="C77" s="47" t="s">
        <v>636</v>
      </c>
      <c r="D77" s="51" t="s">
        <v>3039</v>
      </c>
      <c r="E77" s="51" t="s">
        <v>3040</v>
      </c>
      <c r="F77" s="56">
        <v>3010013</v>
      </c>
      <c r="G77" s="56">
        <v>20014</v>
      </c>
      <c r="H77" s="55" t="s">
        <v>2560</v>
      </c>
      <c r="I77" s="47" t="s">
        <v>3041</v>
      </c>
      <c r="J77" s="78" t="s">
        <v>2440</v>
      </c>
      <c r="K77" s="79">
        <v>8.95</v>
      </c>
      <c r="L77" s="81" t="s">
        <v>2454</v>
      </c>
      <c r="M77" s="54">
        <f>IFERROR(VLOOKUP(A77,Sheet3!$A:$B,2,0),0)</f>
        <v>657</v>
      </c>
      <c r="N77" s="82">
        <v>0.15</v>
      </c>
      <c r="O77" s="83">
        <v>0.65</v>
      </c>
      <c r="P77">
        <v>2.2</v>
      </c>
      <c r="Q77">
        <f t="shared" si="4"/>
        <v>64.0575</v>
      </c>
      <c r="R77">
        <v>4515419</v>
      </c>
      <c r="S77" s="42" t="str">
        <f>VLOOKUP(R77,'CA07-本月-盘点结果'!$B:$C,2,0)</f>
        <v>去肥黄瓜条（LB）</v>
      </c>
      <c r="X77" s="41"/>
      <c r="Y77" t="s">
        <v>36</v>
      </c>
      <c r="Z77" s="77">
        <v>0</v>
      </c>
    </row>
    <row r="78" spans="1:26">
      <c r="A78" t="str">
        <f t="shared" si="5"/>
        <v>加拿大七店301001520015整份</v>
      </c>
      <c r="B78" s="47" t="s">
        <v>3000</v>
      </c>
      <c r="C78" s="47" t="s">
        <v>636</v>
      </c>
      <c r="D78" s="47" t="s">
        <v>3039</v>
      </c>
      <c r="E78" s="47" t="s">
        <v>3040</v>
      </c>
      <c r="F78" s="54">
        <v>3010015</v>
      </c>
      <c r="G78" s="54">
        <v>20015</v>
      </c>
      <c r="H78" s="55" t="s">
        <v>2575</v>
      </c>
      <c r="I78" s="47" t="s">
        <v>3042</v>
      </c>
      <c r="J78" s="78" t="s">
        <v>2436</v>
      </c>
      <c r="K78" s="79">
        <v>19.95</v>
      </c>
      <c r="L78" s="81" t="s">
        <v>2454</v>
      </c>
      <c r="M78" s="54">
        <f>IFERROR(VLOOKUP(A78,Sheet3!$A:$B,2,0),0)</f>
        <v>115</v>
      </c>
      <c r="N78" s="82">
        <v>0.2</v>
      </c>
      <c r="O78" s="83">
        <v>1.5</v>
      </c>
      <c r="Q78">
        <f t="shared" si="4"/>
        <v>34.5</v>
      </c>
      <c r="R78" s="13">
        <v>4522462</v>
      </c>
      <c r="S78" s="42" t="str">
        <f>VLOOKUP(R78,'CA07-本月-盘点结果'!$B:$C,2,0)</f>
        <v>毛肚（7KG/箱）</v>
      </c>
      <c r="T78" s="43">
        <f>VLOOKUP(R78,'CA07-本月-盘点结果'!B:I,8,0)</f>
        <v>90.19</v>
      </c>
      <c r="U78" s="44">
        <f>T78-Q78-Q79-Q80-Q81</f>
        <v>-39.68</v>
      </c>
      <c r="X78" s="41"/>
      <c r="Y78" t="s">
        <v>73</v>
      </c>
      <c r="Z78" s="77">
        <v>11.13</v>
      </c>
    </row>
    <row r="79" spans="1:26">
      <c r="A79" t="str">
        <f t="shared" si="5"/>
        <v>加拿大七店301001520016半份</v>
      </c>
      <c r="B79" s="47" t="s">
        <v>3000</v>
      </c>
      <c r="C79" s="47" t="s">
        <v>636</v>
      </c>
      <c r="D79" s="47" t="s">
        <v>3039</v>
      </c>
      <c r="E79" s="47" t="s">
        <v>3040</v>
      </c>
      <c r="F79" s="54">
        <v>3010015</v>
      </c>
      <c r="G79" s="54">
        <v>20016</v>
      </c>
      <c r="H79" s="55" t="s">
        <v>2574</v>
      </c>
      <c r="I79" s="47" t="s">
        <v>3042</v>
      </c>
      <c r="J79" s="47" t="s">
        <v>2440</v>
      </c>
      <c r="K79" s="54">
        <v>12.95</v>
      </c>
      <c r="L79" s="64" t="s">
        <v>2454</v>
      </c>
      <c r="M79" s="54">
        <f>IFERROR(VLOOKUP(A79,Sheet3!$A:$B,2,0),0)</f>
        <v>395</v>
      </c>
      <c r="N79" s="65">
        <v>0.1</v>
      </c>
      <c r="O79" s="66">
        <v>1.5</v>
      </c>
      <c r="Q79">
        <f t="shared" si="4"/>
        <v>59.25</v>
      </c>
      <c r="R79" s="13">
        <v>4522462</v>
      </c>
      <c r="S79" s="42" t="str">
        <f>VLOOKUP(R79,'CA07-本月-盘点结果'!$B:$C,2,0)</f>
        <v>毛肚（7KG/箱）</v>
      </c>
      <c r="X79" s="41"/>
      <c r="Y79" t="s">
        <v>73</v>
      </c>
      <c r="Z79" s="77">
        <v>0</v>
      </c>
    </row>
    <row r="80" spans="1:26">
      <c r="A80" t="str">
        <f t="shared" si="5"/>
        <v>加拿大七店301001720017整份</v>
      </c>
      <c r="B80" s="51" t="s">
        <v>3000</v>
      </c>
      <c r="C80" s="47" t="s">
        <v>636</v>
      </c>
      <c r="D80" s="51" t="s">
        <v>3039</v>
      </c>
      <c r="E80" s="51" t="s">
        <v>3040</v>
      </c>
      <c r="F80" s="56">
        <v>3010017</v>
      </c>
      <c r="G80" s="56">
        <v>20017</v>
      </c>
      <c r="H80" s="55" t="s">
        <v>2573</v>
      </c>
      <c r="I80" s="47" t="s">
        <v>3043</v>
      </c>
      <c r="J80" s="51" t="s">
        <v>2436</v>
      </c>
      <c r="K80" s="56">
        <v>19.95</v>
      </c>
      <c r="L80" s="67" t="s">
        <v>2454</v>
      </c>
      <c r="M80" s="54">
        <f>IFERROR(VLOOKUP(A80,Sheet3!$A:$B,2,0),0)</f>
        <v>54</v>
      </c>
      <c r="N80" s="65">
        <v>0.2</v>
      </c>
      <c r="O80" s="66">
        <v>1.2</v>
      </c>
      <c r="Q80">
        <f t="shared" si="4"/>
        <v>12.96</v>
      </c>
      <c r="R80" s="13">
        <v>4522462</v>
      </c>
      <c r="S80" s="42" t="str">
        <f>VLOOKUP(R80,'CA07-本月-盘点结果'!$B:$C,2,0)</f>
        <v>毛肚（7KG/箱）</v>
      </c>
      <c r="X80" s="41"/>
      <c r="Y80" t="s">
        <v>73</v>
      </c>
      <c r="Z80" s="77">
        <v>0</v>
      </c>
    </row>
    <row r="81" spans="1:26">
      <c r="A81" t="str">
        <f t="shared" si="5"/>
        <v>加拿大七店301001720018半份</v>
      </c>
      <c r="B81" s="47" t="s">
        <v>3000</v>
      </c>
      <c r="C81" s="47" t="s">
        <v>636</v>
      </c>
      <c r="D81" s="47" t="s">
        <v>3039</v>
      </c>
      <c r="E81" s="47" t="s">
        <v>3040</v>
      </c>
      <c r="F81" s="54">
        <v>3010017</v>
      </c>
      <c r="G81" s="54">
        <v>20018</v>
      </c>
      <c r="H81" s="55" t="s">
        <v>2572</v>
      </c>
      <c r="I81" s="47" t="s">
        <v>3043</v>
      </c>
      <c r="J81" s="47" t="s">
        <v>2440</v>
      </c>
      <c r="K81" s="54">
        <v>10.95</v>
      </c>
      <c r="L81" s="64" t="s">
        <v>2454</v>
      </c>
      <c r="M81" s="54">
        <f>IFERROR(VLOOKUP(A81,Sheet3!$A:$B,2,0),0)</f>
        <v>193</v>
      </c>
      <c r="N81" s="65">
        <v>0.1</v>
      </c>
      <c r="O81" s="66">
        <v>1.2</v>
      </c>
      <c r="Q81">
        <f t="shared" si="4"/>
        <v>23.16</v>
      </c>
      <c r="R81" s="13">
        <v>4522462</v>
      </c>
      <c r="S81" s="42" t="str">
        <f>VLOOKUP(R81,'CA07-本月-盘点结果'!$B:$C,2,0)</f>
        <v>毛肚（7KG/箱）</v>
      </c>
      <c r="X81" s="41"/>
      <c r="Y81" t="s">
        <v>73</v>
      </c>
      <c r="Z81" s="77">
        <v>0</v>
      </c>
    </row>
    <row r="82" spans="1:26">
      <c r="A82" t="str">
        <f t="shared" si="5"/>
        <v>加拿大七店301001920019整份</v>
      </c>
      <c r="B82" s="51" t="s">
        <v>3000</v>
      </c>
      <c r="C82" s="47" t="s">
        <v>636</v>
      </c>
      <c r="D82" s="51" t="s">
        <v>3039</v>
      </c>
      <c r="E82" s="51" t="s">
        <v>3040</v>
      </c>
      <c r="F82" s="56">
        <v>3010019</v>
      </c>
      <c r="G82" s="56">
        <v>20019</v>
      </c>
      <c r="H82" s="55" t="s">
        <v>2571</v>
      </c>
      <c r="I82" s="47" t="s">
        <v>2571</v>
      </c>
      <c r="J82" s="51" t="s">
        <v>2436</v>
      </c>
      <c r="K82" s="56">
        <v>13.95</v>
      </c>
      <c r="L82" s="67" t="s">
        <v>2454</v>
      </c>
      <c r="M82" s="54">
        <f>IFERROR(VLOOKUP(A82,Sheet3!$A:$B,2,0),0)</f>
        <v>86</v>
      </c>
      <c r="N82" s="65">
        <v>0.2</v>
      </c>
      <c r="O82" s="66">
        <v>1.12</v>
      </c>
      <c r="P82">
        <v>2.2</v>
      </c>
      <c r="Q82">
        <f t="shared" si="4"/>
        <v>19.264</v>
      </c>
      <c r="R82" s="13">
        <v>1500685</v>
      </c>
      <c r="S82" s="42" t="str">
        <f>VLOOKUP(R82,'CA07-本月-盘点结果'!$B:$C,2,0)</f>
        <v>牛黄喉（LB）</v>
      </c>
      <c r="T82" s="43">
        <f>VLOOKUP(R82,'CA07-本月-盘点结果'!B:I,8,0)</f>
        <v>262.41</v>
      </c>
      <c r="U82" s="44">
        <f>(T82/P82-Q82-Q83)*P82</f>
        <v>151.2836</v>
      </c>
      <c r="X82" s="41"/>
      <c r="Y82" t="s">
        <v>36</v>
      </c>
      <c r="Z82" s="77">
        <v>106.91</v>
      </c>
    </row>
    <row r="83" spans="1:26">
      <c r="A83" t="str">
        <f t="shared" si="5"/>
        <v>加拿大七店301001920020半份</v>
      </c>
      <c r="B83" s="47" t="s">
        <v>3000</v>
      </c>
      <c r="C83" s="47" t="s">
        <v>636</v>
      </c>
      <c r="D83" s="47" t="s">
        <v>3039</v>
      </c>
      <c r="E83" s="47" t="s">
        <v>3040</v>
      </c>
      <c r="F83" s="54">
        <v>3010019</v>
      </c>
      <c r="G83" s="54">
        <v>20020</v>
      </c>
      <c r="H83" s="55" t="s">
        <v>2570</v>
      </c>
      <c r="I83" s="47" t="s">
        <v>2571</v>
      </c>
      <c r="J83" s="47" t="s">
        <v>2440</v>
      </c>
      <c r="K83" s="54">
        <v>7.95</v>
      </c>
      <c r="L83" s="64" t="s">
        <v>2454</v>
      </c>
      <c r="M83" s="54">
        <f>IFERROR(VLOOKUP(A83,Sheet3!$A:$B,2,0),0)</f>
        <v>279</v>
      </c>
      <c r="N83" s="65">
        <v>0.1</v>
      </c>
      <c r="O83" s="66">
        <v>1.12</v>
      </c>
      <c r="P83">
        <v>2.2</v>
      </c>
      <c r="Q83">
        <f t="shared" si="4"/>
        <v>31.248</v>
      </c>
      <c r="R83" s="13">
        <v>1500685</v>
      </c>
      <c r="S83" s="42" t="str">
        <f>VLOOKUP(R83,'CA07-本月-盘点结果'!$B:$C,2,0)</f>
        <v>牛黄喉（LB）</v>
      </c>
      <c r="X83" s="41"/>
      <c r="Y83" t="s">
        <v>36</v>
      </c>
      <c r="Z83" s="77">
        <v>0</v>
      </c>
    </row>
    <row r="84" spans="1:26">
      <c r="A84" t="str">
        <f t="shared" si="5"/>
        <v>加拿大七店901002130021整份</v>
      </c>
      <c r="B84" s="51" t="s">
        <v>3000</v>
      </c>
      <c r="C84" s="47" t="s">
        <v>636</v>
      </c>
      <c r="D84" s="51" t="s">
        <v>3039</v>
      </c>
      <c r="E84" s="51" t="s">
        <v>3040</v>
      </c>
      <c r="F84" s="56">
        <v>9010021</v>
      </c>
      <c r="G84" s="56">
        <v>30021</v>
      </c>
      <c r="H84" s="55" t="s">
        <v>2485</v>
      </c>
      <c r="I84" s="47" t="s">
        <v>2485</v>
      </c>
      <c r="J84" s="51" t="s">
        <v>2436</v>
      </c>
      <c r="K84" s="56">
        <v>16.95</v>
      </c>
      <c r="L84" s="67" t="s">
        <v>2454</v>
      </c>
      <c r="M84" s="54">
        <f>IFERROR(VLOOKUP(A84,Sheet3!$A:$B,2,0),0)</f>
        <v>192</v>
      </c>
      <c r="N84" s="65">
        <v>0.17</v>
      </c>
      <c r="O84" s="66">
        <v>1</v>
      </c>
      <c r="Q84">
        <f t="shared" si="4"/>
        <v>32.64</v>
      </c>
      <c r="R84" s="13">
        <v>1500996</v>
      </c>
      <c r="S84" s="42" t="str">
        <f>VLOOKUP(R84,'CA07-本月-盘点结果'!$B:$C,2,0)</f>
        <v>羊腿肉（去骨，KG）</v>
      </c>
      <c r="T84" s="43">
        <f>VLOOKUP(R84,'CA07-本月-盘点结果'!B:I,8,0)</f>
        <v>38.47</v>
      </c>
      <c r="U84" s="44">
        <f>T84-Q84-Q85-W85</f>
        <v>-14.4</v>
      </c>
      <c r="X84" s="41"/>
      <c r="Y84" t="s">
        <v>73</v>
      </c>
      <c r="Z84" s="77">
        <v>3.19</v>
      </c>
    </row>
    <row r="85" spans="1:26">
      <c r="A85" t="str">
        <f t="shared" si="5"/>
        <v>加拿大七店901002130022半份</v>
      </c>
      <c r="B85" s="47" t="s">
        <v>3000</v>
      </c>
      <c r="C85" s="47" t="s">
        <v>636</v>
      </c>
      <c r="D85" s="47" t="s">
        <v>3039</v>
      </c>
      <c r="E85" s="47" t="s">
        <v>3040</v>
      </c>
      <c r="F85" s="54">
        <v>9010021</v>
      </c>
      <c r="G85" s="54">
        <v>30022</v>
      </c>
      <c r="H85" s="55" t="s">
        <v>2484</v>
      </c>
      <c r="I85" s="47" t="s">
        <v>2485</v>
      </c>
      <c r="J85" s="47" t="s">
        <v>2440</v>
      </c>
      <c r="K85" s="54">
        <v>8.95</v>
      </c>
      <c r="L85" s="64" t="s">
        <v>2454</v>
      </c>
      <c r="M85" s="54">
        <f>IFERROR(VLOOKUP(A85,Sheet3!$A:$B,2,0),0)</f>
        <v>238</v>
      </c>
      <c r="N85" s="65">
        <v>0.085</v>
      </c>
      <c r="O85" s="66">
        <v>1</v>
      </c>
      <c r="Q85">
        <f t="shared" si="4"/>
        <v>20.23</v>
      </c>
      <c r="R85" s="13">
        <v>1500996</v>
      </c>
      <c r="S85" s="42" t="str">
        <f>VLOOKUP(R85,'CA07-本月-盘点结果'!$B:$C,2,0)</f>
        <v>羊腿肉（去骨，KG）</v>
      </c>
      <c r="X85" s="41"/>
      <c r="Y85" t="s">
        <v>73</v>
      </c>
      <c r="Z85" s="77">
        <v>0</v>
      </c>
    </row>
    <row r="86" spans="1:26">
      <c r="A86" t="str">
        <f t="shared" si="5"/>
        <v>加拿大七店902006331063整份</v>
      </c>
      <c r="B86" s="51" t="s">
        <v>3000</v>
      </c>
      <c r="C86" s="47" t="s">
        <v>636</v>
      </c>
      <c r="D86" s="51" t="s">
        <v>3039</v>
      </c>
      <c r="E86" s="51" t="s">
        <v>3040</v>
      </c>
      <c r="F86" s="56">
        <v>9020063</v>
      </c>
      <c r="G86" s="56">
        <v>31063</v>
      </c>
      <c r="H86" s="55" t="s">
        <v>2503</v>
      </c>
      <c r="I86" s="47" t="s">
        <v>3044</v>
      </c>
      <c r="J86" s="51" t="s">
        <v>2436</v>
      </c>
      <c r="K86" s="56">
        <v>14.95</v>
      </c>
      <c r="L86" s="67" t="s">
        <v>2454</v>
      </c>
      <c r="M86" s="54">
        <f>IFERROR(VLOOKUP(A86,Sheet3!$A:$B,2,0),0)</f>
        <v>1655</v>
      </c>
      <c r="N86" s="65">
        <v>0.15</v>
      </c>
      <c r="O86" s="66">
        <v>1</v>
      </c>
      <c r="Q86">
        <f t="shared" si="4"/>
        <v>248.25</v>
      </c>
      <c r="R86" s="13">
        <v>4020091</v>
      </c>
      <c r="S86" s="42" t="str">
        <f>VLOOKUP(R86,'CA07-本月-盘点结果'!$B:$C,2,0)</f>
        <v>速冻虾滑（越南，DL443厂，1.6KG*6包/件）</v>
      </c>
      <c r="T86" s="43">
        <f>VLOOKUP(R86,'CA07-本月-盘点结果'!B:I,8,0)+216</f>
        <v>628.8</v>
      </c>
      <c r="U86" s="44">
        <f>T86-V86-Q86-Q196</f>
        <v>375.98</v>
      </c>
      <c r="X86" s="41"/>
      <c r="Y86" t="s">
        <v>73</v>
      </c>
      <c r="Z86" s="77">
        <v>157.4</v>
      </c>
    </row>
    <row r="87" spans="1:26">
      <c r="A87" t="str">
        <f t="shared" si="5"/>
        <v>加拿大七店902050331839整份</v>
      </c>
      <c r="B87" s="51" t="s">
        <v>3000</v>
      </c>
      <c r="C87" s="47" t="s">
        <v>636</v>
      </c>
      <c r="D87" s="51" t="s">
        <v>3039</v>
      </c>
      <c r="E87" s="51" t="s">
        <v>3040</v>
      </c>
      <c r="F87" s="56">
        <v>9020503</v>
      </c>
      <c r="G87" s="56">
        <v>31839</v>
      </c>
      <c r="H87" s="55" t="s">
        <v>3045</v>
      </c>
      <c r="I87" s="47" t="s">
        <v>3046</v>
      </c>
      <c r="J87" s="51" t="s">
        <v>2436</v>
      </c>
      <c r="K87" s="56">
        <v>13.95</v>
      </c>
      <c r="L87" s="67" t="s">
        <v>2454</v>
      </c>
      <c r="M87" s="54">
        <f>IFERROR(VLOOKUP(A87,Sheet3!$A:$B,2,0),0)</f>
        <v>0</v>
      </c>
      <c r="N87" s="65">
        <v>0.3</v>
      </c>
      <c r="O87" s="66">
        <v>1.1</v>
      </c>
      <c r="P87">
        <v>2.2</v>
      </c>
      <c r="Q87">
        <f t="shared" si="4"/>
        <v>0</v>
      </c>
      <c r="R87" s="13">
        <v>4516995</v>
      </c>
      <c r="S87" s="42" t="e">
        <f>VLOOKUP(R87,'CA07-本月-盘点结果'!$B:$C,2,0)</f>
        <v>#N/A</v>
      </c>
      <c r="U87" s="44">
        <f>T87-Q87-Q88</f>
        <v>0</v>
      </c>
      <c r="X87" s="41"/>
      <c r="Y87" t="e">
        <v>#N/A</v>
      </c>
      <c r="Z87" s="77">
        <v>0</v>
      </c>
    </row>
    <row r="88" spans="1:26">
      <c r="A88" t="str">
        <f t="shared" si="5"/>
        <v>加拿大七店902050331840半份</v>
      </c>
      <c r="B88" s="47" t="s">
        <v>3000</v>
      </c>
      <c r="C88" s="47" t="s">
        <v>636</v>
      </c>
      <c r="D88" s="47" t="s">
        <v>3039</v>
      </c>
      <c r="E88" s="47" t="s">
        <v>3040</v>
      </c>
      <c r="F88" s="54">
        <v>9020503</v>
      </c>
      <c r="G88" s="54">
        <v>31840</v>
      </c>
      <c r="H88" s="55" t="s">
        <v>3047</v>
      </c>
      <c r="I88" s="47" t="s">
        <v>3046</v>
      </c>
      <c r="J88" s="47" t="s">
        <v>2440</v>
      </c>
      <c r="K88" s="54">
        <v>6.95</v>
      </c>
      <c r="L88" s="64" t="s">
        <v>2454</v>
      </c>
      <c r="M88" s="54">
        <f>IFERROR(VLOOKUP(A88,Sheet3!$A:$B,2,0),0)</f>
        <v>0</v>
      </c>
      <c r="N88" s="65">
        <v>0.15</v>
      </c>
      <c r="O88" s="66">
        <v>1.1</v>
      </c>
      <c r="P88">
        <v>2.2</v>
      </c>
      <c r="Q88">
        <f t="shared" si="4"/>
        <v>0</v>
      </c>
      <c r="R88" s="13">
        <v>4516995</v>
      </c>
      <c r="S88" s="42" t="e">
        <f>VLOOKUP(R88,'CA07-本月-盘点结果'!$B:$C,2,0)</f>
        <v>#N/A</v>
      </c>
      <c r="T88" s="43" t="e">
        <f>VLOOKUP(R88,'CA07-本月-盘点结果'!B:I,8,0)</f>
        <v>#N/A</v>
      </c>
      <c r="X88" s="41"/>
      <c r="Y88" t="e">
        <v>#N/A</v>
      </c>
      <c r="Z88" s="77">
        <v>0</v>
      </c>
    </row>
    <row r="89" spans="1:26">
      <c r="A89" t="str">
        <f t="shared" si="5"/>
        <v>加拿大七店903011932119整份</v>
      </c>
      <c r="B89" s="51" t="s">
        <v>3000</v>
      </c>
      <c r="C89" s="47" t="s">
        <v>636</v>
      </c>
      <c r="D89" s="51" t="s">
        <v>3039</v>
      </c>
      <c r="E89" s="51" t="s">
        <v>3040</v>
      </c>
      <c r="F89" s="56">
        <v>9030119</v>
      </c>
      <c r="G89" s="56">
        <v>32119</v>
      </c>
      <c r="H89" s="55" t="s">
        <v>2605</v>
      </c>
      <c r="I89" s="47" t="s">
        <v>2605</v>
      </c>
      <c r="J89" s="51" t="s">
        <v>2436</v>
      </c>
      <c r="K89" s="56">
        <v>13.95</v>
      </c>
      <c r="L89" s="67" t="s">
        <v>2454</v>
      </c>
      <c r="M89" s="54">
        <f>IFERROR(VLOOKUP(A89,Sheet3!$A:$B,2,0),0)</f>
        <v>318</v>
      </c>
      <c r="N89" s="65">
        <v>0.3</v>
      </c>
      <c r="O89" s="66">
        <v>1.1</v>
      </c>
      <c r="Q89">
        <f t="shared" si="4"/>
        <v>104.94</v>
      </c>
      <c r="R89" s="13">
        <v>1500700</v>
      </c>
      <c r="S89" s="42" t="str">
        <f>VLOOKUP(R89,'CA07-本月-盘点结果'!$B:$C,2,0)</f>
        <v>冷冻巴沙鱼（12-14 ，10KG/箱）</v>
      </c>
      <c r="T89" s="43">
        <f>VLOOKUP(R89,'CA07-本月-盘点结果'!B:I,8,0)</f>
        <v>325.82</v>
      </c>
      <c r="U89" s="44">
        <f>T89-Q89-Q90-W89*O89-W90*O90</f>
        <v>136.73</v>
      </c>
      <c r="X89" s="41"/>
      <c r="Y89" t="s">
        <v>73</v>
      </c>
      <c r="Z89" s="77">
        <v>188.67</v>
      </c>
    </row>
    <row r="90" spans="1:26">
      <c r="A90" t="str">
        <f t="shared" si="5"/>
        <v>加拿大七店903011932120半份</v>
      </c>
      <c r="B90" s="47" t="s">
        <v>3000</v>
      </c>
      <c r="C90" s="47" t="s">
        <v>636</v>
      </c>
      <c r="D90" s="47" t="s">
        <v>3039</v>
      </c>
      <c r="E90" s="47" t="s">
        <v>3040</v>
      </c>
      <c r="F90" s="54">
        <v>9030119</v>
      </c>
      <c r="G90" s="54">
        <v>32120</v>
      </c>
      <c r="H90" s="55" t="s">
        <v>2604</v>
      </c>
      <c r="I90" s="47" t="s">
        <v>2605</v>
      </c>
      <c r="J90" s="47" t="s">
        <v>2440</v>
      </c>
      <c r="K90" s="54">
        <v>6.95</v>
      </c>
      <c r="L90" s="64" t="s">
        <v>2454</v>
      </c>
      <c r="M90" s="54">
        <f>IFERROR(VLOOKUP(A90,Sheet3!$A:$B,2,0),0)</f>
        <v>510</v>
      </c>
      <c r="N90" s="65">
        <v>0.15</v>
      </c>
      <c r="O90" s="66">
        <v>1.1</v>
      </c>
      <c r="Q90">
        <f t="shared" si="4"/>
        <v>84.15</v>
      </c>
      <c r="R90" s="13">
        <v>1500700</v>
      </c>
      <c r="S90" s="42" t="str">
        <f>VLOOKUP(R90,'CA07-本月-盘点结果'!$B:$C,2,0)</f>
        <v>冷冻巴沙鱼（12-14 ，10KG/箱）</v>
      </c>
      <c r="X90" s="41"/>
      <c r="Y90" t="s">
        <v>73</v>
      </c>
      <c r="Z90" s="77">
        <v>0</v>
      </c>
    </row>
    <row r="91" spans="1:26">
      <c r="A91" t="str">
        <f t="shared" si="5"/>
        <v>加拿大七店1101040750529整份</v>
      </c>
      <c r="B91" s="51" t="s">
        <v>3000</v>
      </c>
      <c r="C91" s="47" t="s">
        <v>636</v>
      </c>
      <c r="D91" s="51" t="s">
        <v>3048</v>
      </c>
      <c r="E91" s="51" t="s">
        <v>2537</v>
      </c>
      <c r="F91" s="56">
        <v>11010407</v>
      </c>
      <c r="G91" s="56">
        <v>50529</v>
      </c>
      <c r="H91" s="55" t="s">
        <v>2536</v>
      </c>
      <c r="I91" s="47" t="s">
        <v>3049</v>
      </c>
      <c r="J91" s="51" t="s">
        <v>2436</v>
      </c>
      <c r="K91" s="56">
        <v>2.95</v>
      </c>
      <c r="L91" s="67" t="s">
        <v>2454</v>
      </c>
      <c r="M91" s="54">
        <f>IFERROR(VLOOKUP(A91,Sheet3!$A:$B,2,0),0)</f>
        <v>219</v>
      </c>
      <c r="N91" s="65">
        <v>0.022</v>
      </c>
      <c r="O91" s="66">
        <v>1.05</v>
      </c>
      <c r="Q91">
        <f t="shared" si="4"/>
        <v>5.0589</v>
      </c>
      <c r="R91" s="13">
        <v>4702451</v>
      </c>
      <c r="S91" s="42" t="str">
        <f>VLOOKUP(R91,'CA07-本月-盘点结果'!$B:$C,2,0)</f>
        <v>醪糟（米婆婆，900G*6瓶/件）</v>
      </c>
      <c r="T91" s="43">
        <f>VLOOKUP(R91,'CA07-本月-盘点结果'!B:I,8,0)</f>
        <v>10.8</v>
      </c>
      <c r="U91" s="44">
        <f>T91-Q91-W91</f>
        <v>5.7411</v>
      </c>
      <c r="X91" s="41"/>
      <c r="Y91" t="s">
        <v>73</v>
      </c>
      <c r="Z91" s="77">
        <v>1.92</v>
      </c>
    </row>
    <row r="92" spans="1:26">
      <c r="A92" t="str">
        <f t="shared" si="5"/>
        <v>加拿大七店9000047997822个</v>
      </c>
      <c r="B92" s="47" t="s">
        <v>3000</v>
      </c>
      <c r="C92" s="47" t="s">
        <v>636</v>
      </c>
      <c r="D92" s="47" t="s">
        <v>3048</v>
      </c>
      <c r="E92" s="47" t="s">
        <v>2537</v>
      </c>
      <c r="F92" s="54">
        <v>90000479</v>
      </c>
      <c r="G92" s="54">
        <v>97822</v>
      </c>
      <c r="H92" s="55" t="s">
        <v>3050</v>
      </c>
      <c r="I92" s="47" t="s">
        <v>3051</v>
      </c>
      <c r="J92" s="47" t="s">
        <v>20</v>
      </c>
      <c r="K92" s="54">
        <v>3.1</v>
      </c>
      <c r="L92" s="64" t="s">
        <v>2454</v>
      </c>
      <c r="M92" s="54">
        <f>IFERROR(VLOOKUP(A92,Sheet3!$A:$B,2,0),0)</f>
        <v>0</v>
      </c>
      <c r="N92" s="65">
        <v>1</v>
      </c>
      <c r="O92" s="66">
        <v>1</v>
      </c>
      <c r="Q92">
        <f t="shared" si="4"/>
        <v>0</v>
      </c>
      <c r="R92" s="13">
        <v>4032395</v>
      </c>
      <c r="S92" s="42" t="e">
        <f>VLOOKUP(R92,'CA07-本月-盘点结果'!$B:$C,2,0)</f>
        <v>#N/A</v>
      </c>
      <c r="X92" s="41"/>
      <c r="Y92" t="e">
        <v>#N/A</v>
      </c>
      <c r="Z92" s="77">
        <v>0</v>
      </c>
    </row>
    <row r="93" spans="1:26">
      <c r="A93" t="str">
        <f t="shared" si="5"/>
        <v>加拿大七店900012011004228瓶</v>
      </c>
      <c r="B93" s="47" t="s">
        <v>3000</v>
      </c>
      <c r="C93" s="47" t="s">
        <v>636</v>
      </c>
      <c r="D93" s="47" t="s">
        <v>2452</v>
      </c>
      <c r="E93" s="47" t="s">
        <v>3052</v>
      </c>
      <c r="F93" s="54">
        <v>90001201</v>
      </c>
      <c r="G93" s="54">
        <v>1004228</v>
      </c>
      <c r="H93" s="55" t="s">
        <v>2516</v>
      </c>
      <c r="I93" s="47" t="s">
        <v>3053</v>
      </c>
      <c r="J93" s="47" t="s">
        <v>32</v>
      </c>
      <c r="K93" s="54">
        <v>5.95</v>
      </c>
      <c r="L93" s="64" t="s">
        <v>32</v>
      </c>
      <c r="M93" s="54">
        <f>IFERROR(VLOOKUP(A93,Sheet3!$A:$B,2,0),0)</f>
        <v>282</v>
      </c>
      <c r="N93" s="65">
        <v>0.4</v>
      </c>
      <c r="O93" s="66">
        <v>1</v>
      </c>
      <c r="Q93">
        <f t="shared" si="4"/>
        <v>112.8</v>
      </c>
      <c r="R93" s="13">
        <v>4518668</v>
      </c>
      <c r="S93" s="42" t="str">
        <f>VLOOKUP(R93,'CA07-本月-盘点结果'!$B:$C,2,0)</f>
        <v>厚椰乳（菲诺，1KG*12瓶/件）</v>
      </c>
      <c r="T93" s="43">
        <f>VLOOKUP(R93,'CA07-本月-盘点结果'!B:I,8,0)</f>
        <v>424</v>
      </c>
      <c r="U93" s="44">
        <f>T93-Q93-Q94-Q95</f>
        <v>111.2</v>
      </c>
      <c r="X93" s="41"/>
      <c r="Y93" t="s">
        <v>32</v>
      </c>
      <c r="Z93" s="77">
        <v>88.2</v>
      </c>
    </row>
    <row r="94" spans="1:26">
      <c r="A94" t="str">
        <f t="shared" si="5"/>
        <v>加拿大七店900012011004229扎</v>
      </c>
      <c r="B94" s="51" t="s">
        <v>3000</v>
      </c>
      <c r="C94" s="47" t="s">
        <v>636</v>
      </c>
      <c r="D94" s="51" t="s">
        <v>2452</v>
      </c>
      <c r="E94" s="51" t="s">
        <v>3052</v>
      </c>
      <c r="F94" s="56">
        <v>90001201</v>
      </c>
      <c r="G94" s="56">
        <v>1004229</v>
      </c>
      <c r="H94" s="55" t="s">
        <v>2516</v>
      </c>
      <c r="I94" s="47" t="s">
        <v>3053</v>
      </c>
      <c r="J94" s="51" t="s">
        <v>2517</v>
      </c>
      <c r="K94" s="56">
        <v>9.95</v>
      </c>
      <c r="L94" s="67" t="s">
        <v>32</v>
      </c>
      <c r="M94" s="54">
        <f>IFERROR(VLOOKUP(A94,Sheet3!$A:$B,2,0),0)</f>
        <v>67</v>
      </c>
      <c r="N94" s="65">
        <v>0.8</v>
      </c>
      <c r="O94" s="66">
        <v>1</v>
      </c>
      <c r="Q94">
        <f t="shared" si="4"/>
        <v>53.6</v>
      </c>
      <c r="R94" s="13">
        <v>4518668</v>
      </c>
      <c r="S94" s="42" t="str">
        <f>VLOOKUP(R94,'CA07-本月-盘点结果'!$B:$C,2,0)</f>
        <v>厚椰乳（菲诺，1KG*12瓶/件）</v>
      </c>
      <c r="X94" s="41"/>
      <c r="Y94" t="s">
        <v>32</v>
      </c>
      <c r="Z94" s="77">
        <v>0</v>
      </c>
    </row>
    <row r="95" spans="1:26">
      <c r="A95" t="str">
        <f t="shared" si="5"/>
        <v>加拿大七店900028141109399瓶</v>
      </c>
      <c r="B95" s="47" t="s">
        <v>3000</v>
      </c>
      <c r="C95" s="47" t="s">
        <v>636</v>
      </c>
      <c r="D95" s="47" t="s">
        <v>2452</v>
      </c>
      <c r="E95" s="47" t="s">
        <v>3052</v>
      </c>
      <c r="F95" s="54">
        <v>90002814</v>
      </c>
      <c r="G95" s="54">
        <v>1109399</v>
      </c>
      <c r="H95" s="55" t="s">
        <v>2502</v>
      </c>
      <c r="I95" s="47" t="s">
        <v>2502</v>
      </c>
      <c r="J95" s="47" t="s">
        <v>32</v>
      </c>
      <c r="K95" s="54">
        <v>6.95</v>
      </c>
      <c r="L95" s="64" t="s">
        <v>32</v>
      </c>
      <c r="M95" s="54">
        <f>IFERROR(VLOOKUP(A95,Sheet3!$A:$B,2,0),0)</f>
        <v>488</v>
      </c>
      <c r="N95" s="65">
        <v>0.3</v>
      </c>
      <c r="O95" s="66">
        <v>1</v>
      </c>
      <c r="Q95">
        <f t="shared" si="4"/>
        <v>146.4</v>
      </c>
      <c r="R95" s="13">
        <v>4518668</v>
      </c>
      <c r="S95" s="42" t="str">
        <f>VLOOKUP(R95,'CA07-本月-盘点结果'!$B:$C,2,0)</f>
        <v>厚椰乳（菲诺，1KG*12瓶/件）</v>
      </c>
      <c r="X95" s="41"/>
      <c r="Y95" t="s">
        <v>32</v>
      </c>
      <c r="Z95" s="77">
        <v>0</v>
      </c>
    </row>
    <row r="96" spans="1:26">
      <c r="A96" t="str">
        <f t="shared" si="5"/>
        <v>加拿大七店1201000260002冰镇</v>
      </c>
      <c r="B96" s="51" t="s">
        <v>3000</v>
      </c>
      <c r="C96" s="47" t="s">
        <v>636</v>
      </c>
      <c r="D96" s="51" t="s">
        <v>2452</v>
      </c>
      <c r="E96" s="51" t="s">
        <v>2452</v>
      </c>
      <c r="F96" s="56">
        <v>12010002</v>
      </c>
      <c r="G96" s="56">
        <v>60002</v>
      </c>
      <c r="H96" s="55" t="s">
        <v>2354</v>
      </c>
      <c r="I96" s="47" t="s">
        <v>3054</v>
      </c>
      <c r="J96" s="51" t="s">
        <v>2450</v>
      </c>
      <c r="K96" s="56">
        <v>2.45</v>
      </c>
      <c r="L96" s="67" t="s">
        <v>2454</v>
      </c>
      <c r="M96" s="54">
        <f>IFERROR(VLOOKUP(A96,Sheet3!$A:$B,2,0),0)</f>
        <v>133</v>
      </c>
      <c r="N96" s="65">
        <v>1</v>
      </c>
      <c r="O96" s="66">
        <v>1</v>
      </c>
      <c r="Q96">
        <f t="shared" si="4"/>
        <v>133</v>
      </c>
      <c r="R96" s="13">
        <v>1500905</v>
      </c>
      <c r="S96" s="42" t="e">
        <f>VLOOKUP(R96,'CA07-本月-盘点结果'!$B:$C,2,0)</f>
        <v>#N/A</v>
      </c>
      <c r="T96" s="43" t="e">
        <f>VLOOKUP(R96,'CA07-本月-盘点结果'!B:I,8,0)</f>
        <v>#N/A</v>
      </c>
      <c r="U96" s="44" t="e">
        <f>T96-Q97-Q96-W96</f>
        <v>#N/A</v>
      </c>
      <c r="X96" s="41"/>
      <c r="Y96" t="s">
        <v>92</v>
      </c>
      <c r="Z96" s="77">
        <v>2</v>
      </c>
    </row>
    <row r="97" spans="1:26">
      <c r="A97" t="str">
        <f t="shared" si="5"/>
        <v>加拿大七店1201000260002常温</v>
      </c>
      <c r="B97" s="47" t="s">
        <v>3000</v>
      </c>
      <c r="C97" s="47" t="s">
        <v>636</v>
      </c>
      <c r="D97" s="47" t="s">
        <v>2452</v>
      </c>
      <c r="E97" s="47" t="s">
        <v>2452</v>
      </c>
      <c r="F97" s="54">
        <v>12010002</v>
      </c>
      <c r="G97" s="54">
        <v>60002</v>
      </c>
      <c r="H97" s="55" t="s">
        <v>2354</v>
      </c>
      <c r="I97" s="47" t="s">
        <v>3054</v>
      </c>
      <c r="J97" s="47" t="s">
        <v>2672</v>
      </c>
      <c r="K97" s="54">
        <v>2.45</v>
      </c>
      <c r="L97" s="64" t="s">
        <v>2454</v>
      </c>
      <c r="M97" s="54">
        <f>IFERROR(VLOOKUP(A97,Sheet3!$A:$B,2,0),0)</f>
        <v>10</v>
      </c>
      <c r="N97" s="65">
        <v>1</v>
      </c>
      <c r="O97" s="66">
        <v>1</v>
      </c>
      <c r="Q97">
        <f t="shared" si="4"/>
        <v>10</v>
      </c>
      <c r="R97" s="13">
        <v>1500905</v>
      </c>
      <c r="S97" s="42" t="e">
        <f>VLOOKUP(R97,'CA07-本月-盘点结果'!$B:$C,2,0)</f>
        <v>#N/A</v>
      </c>
      <c r="X97" s="41"/>
      <c r="Y97" t="s">
        <v>92</v>
      </c>
      <c r="Z97" s="77">
        <v>0</v>
      </c>
    </row>
    <row r="98" spans="1:26">
      <c r="A98" t="str">
        <f t="shared" si="5"/>
        <v>加拿大七店1301004070040冰镇</v>
      </c>
      <c r="B98" s="51" t="s">
        <v>3000</v>
      </c>
      <c r="C98" s="47" t="s">
        <v>636</v>
      </c>
      <c r="D98" s="51" t="s">
        <v>2452</v>
      </c>
      <c r="E98" s="51" t="s">
        <v>2452</v>
      </c>
      <c r="F98" s="56">
        <v>13010040</v>
      </c>
      <c r="G98" s="56">
        <v>70040</v>
      </c>
      <c r="H98" s="55" t="s">
        <v>2360</v>
      </c>
      <c r="I98" s="47" t="s">
        <v>3055</v>
      </c>
      <c r="J98" s="51" t="s">
        <v>2450</v>
      </c>
      <c r="K98" s="56">
        <v>2.45</v>
      </c>
      <c r="L98" s="67" t="s">
        <v>92</v>
      </c>
      <c r="M98" s="54">
        <f>IFERROR(VLOOKUP(A98,Sheet3!$A:$B,2,0),0)</f>
        <v>551</v>
      </c>
      <c r="N98" s="65">
        <v>1</v>
      </c>
      <c r="O98" s="66">
        <v>1</v>
      </c>
      <c r="Q98">
        <f t="shared" si="4"/>
        <v>551</v>
      </c>
      <c r="R98" s="13">
        <v>1500902</v>
      </c>
      <c r="S98" s="42" t="str">
        <f>VLOOKUP(R98,'CA07-本月-盘点结果'!$B:$C,2,0)</f>
        <v>可口可乐（355ML*32听/箱）</v>
      </c>
      <c r="T98" s="43">
        <f>VLOOKUP(R98,'CA07-本月-盘点结果'!B:I,8,0)</f>
        <v>936</v>
      </c>
      <c r="U98" s="44">
        <f>T98-Q98-Q99-W98</f>
        <v>364</v>
      </c>
      <c r="X98" s="41"/>
      <c r="Y98" t="s">
        <v>92</v>
      </c>
      <c r="Z98" s="77">
        <v>88</v>
      </c>
    </row>
    <row r="99" spans="1:26">
      <c r="A99" t="str">
        <f t="shared" si="5"/>
        <v>加拿大七店1301004070040常温</v>
      </c>
      <c r="B99" s="47" t="s">
        <v>3000</v>
      </c>
      <c r="C99" s="47" t="s">
        <v>636</v>
      </c>
      <c r="D99" s="47" t="s">
        <v>2452</v>
      </c>
      <c r="E99" s="47" t="s">
        <v>2452</v>
      </c>
      <c r="F99" s="54">
        <v>13010040</v>
      </c>
      <c r="G99" s="54">
        <v>70040</v>
      </c>
      <c r="H99" s="55" t="s">
        <v>2360</v>
      </c>
      <c r="I99" s="47" t="s">
        <v>3055</v>
      </c>
      <c r="J99" s="47" t="s">
        <v>2672</v>
      </c>
      <c r="K99" s="54">
        <v>2.45</v>
      </c>
      <c r="L99" s="64" t="s">
        <v>92</v>
      </c>
      <c r="M99" s="54">
        <f>IFERROR(VLOOKUP(A99,Sheet3!$A:$B,2,0),0)</f>
        <v>21</v>
      </c>
      <c r="N99" s="65">
        <v>1</v>
      </c>
      <c r="O99" s="66">
        <v>1</v>
      </c>
      <c r="Q99">
        <f t="shared" si="4"/>
        <v>21</v>
      </c>
      <c r="R99" s="13">
        <v>1500902</v>
      </c>
      <c r="S99" s="42" t="str">
        <f>VLOOKUP(R99,'CA07-本月-盘点结果'!$B:$C,2,0)</f>
        <v>可口可乐（355ML*32听/箱）</v>
      </c>
      <c r="X99" s="41"/>
      <c r="Y99" t="s">
        <v>92</v>
      </c>
      <c r="Z99" s="77">
        <v>0</v>
      </c>
    </row>
    <row r="100" spans="1:26">
      <c r="A100" t="str">
        <f t="shared" si="5"/>
        <v>加拿大七店1301004170041冰镇</v>
      </c>
      <c r="B100" s="51" t="s">
        <v>3000</v>
      </c>
      <c r="C100" s="47" t="s">
        <v>636</v>
      </c>
      <c r="D100" s="51" t="s">
        <v>2452</v>
      </c>
      <c r="E100" s="51" t="s">
        <v>2452</v>
      </c>
      <c r="F100" s="56">
        <v>13010041</v>
      </c>
      <c r="G100" s="56">
        <v>70041</v>
      </c>
      <c r="H100" s="55" t="s">
        <v>2362</v>
      </c>
      <c r="I100" s="47" t="s">
        <v>3056</v>
      </c>
      <c r="J100" s="51" t="s">
        <v>2450</v>
      </c>
      <c r="K100" s="56">
        <v>2.45</v>
      </c>
      <c r="L100" s="67" t="s">
        <v>92</v>
      </c>
      <c r="M100" s="54">
        <f>IFERROR(VLOOKUP(A100,Sheet3!$A:$B,2,0),0)</f>
        <v>192</v>
      </c>
      <c r="N100" s="65">
        <v>1</v>
      </c>
      <c r="O100" s="66">
        <v>1</v>
      </c>
      <c r="Q100">
        <f t="shared" si="4"/>
        <v>192</v>
      </c>
      <c r="R100">
        <v>4502101</v>
      </c>
      <c r="S100" s="42" t="e">
        <f>VLOOKUP(R100,'CA07-本月-盘点结果'!$B:$C,2,0)</f>
        <v>#N/A</v>
      </c>
      <c r="T100" s="43" t="e">
        <f>VLOOKUP(R100,'CA07-本月-盘点结果'!B:I,8,0)</f>
        <v>#N/A</v>
      </c>
      <c r="U100" s="44" t="e">
        <f>T100-Q100-Q101-W100</f>
        <v>#N/A</v>
      </c>
      <c r="X100" s="41"/>
      <c r="Y100" t="s">
        <v>32</v>
      </c>
      <c r="Z100" s="77">
        <v>77</v>
      </c>
    </row>
    <row r="101" spans="1:26">
      <c r="A101" t="str">
        <f t="shared" si="5"/>
        <v>加拿大七店1301004170041常温</v>
      </c>
      <c r="B101" s="47" t="s">
        <v>3000</v>
      </c>
      <c r="C101" s="47" t="s">
        <v>636</v>
      </c>
      <c r="D101" s="47" t="s">
        <v>2452</v>
      </c>
      <c r="E101" s="47" t="s">
        <v>2452</v>
      </c>
      <c r="F101" s="54">
        <v>13010041</v>
      </c>
      <c r="G101" s="54">
        <v>70041</v>
      </c>
      <c r="H101" s="55" t="s">
        <v>2362</v>
      </c>
      <c r="I101" s="47" t="s">
        <v>3056</v>
      </c>
      <c r="J101" s="47" t="s">
        <v>2672</v>
      </c>
      <c r="K101" s="54">
        <v>2.45</v>
      </c>
      <c r="L101" s="64" t="s">
        <v>92</v>
      </c>
      <c r="M101" s="54">
        <f>IFERROR(VLOOKUP(A101,Sheet3!$A:$B,2,0),0)</f>
        <v>9</v>
      </c>
      <c r="N101" s="65">
        <v>1</v>
      </c>
      <c r="O101" s="66">
        <v>1</v>
      </c>
      <c r="Q101">
        <f t="shared" si="4"/>
        <v>9</v>
      </c>
      <c r="R101">
        <v>4502101</v>
      </c>
      <c r="S101" s="42" t="e">
        <f>VLOOKUP(R101,'CA07-本月-盘点结果'!$B:$C,2,0)</f>
        <v>#N/A</v>
      </c>
      <c r="X101" s="41"/>
      <c r="Y101" t="s">
        <v>32</v>
      </c>
      <c r="Z101" s="77">
        <v>0</v>
      </c>
    </row>
    <row r="102" spans="1:26">
      <c r="A102" t="str">
        <f t="shared" si="5"/>
        <v>加拿大七店1301004770047冰镇</v>
      </c>
      <c r="B102" s="51" t="s">
        <v>3000</v>
      </c>
      <c r="C102" s="47" t="s">
        <v>636</v>
      </c>
      <c r="D102" s="51" t="s">
        <v>2452</v>
      </c>
      <c r="E102" s="51" t="s">
        <v>2452</v>
      </c>
      <c r="F102" s="56">
        <v>13010047</v>
      </c>
      <c r="G102" s="56">
        <v>70047</v>
      </c>
      <c r="H102" s="55" t="s">
        <v>2364</v>
      </c>
      <c r="I102" s="47" t="s">
        <v>3057</v>
      </c>
      <c r="J102" s="51" t="s">
        <v>2450</v>
      </c>
      <c r="K102" s="56">
        <v>3.95</v>
      </c>
      <c r="L102" s="67" t="s">
        <v>92</v>
      </c>
      <c r="M102" s="54">
        <f>IFERROR(VLOOKUP(A102,Sheet3!$A:$B,2,0),0)</f>
        <v>79</v>
      </c>
      <c r="N102" s="65">
        <v>1</v>
      </c>
      <c r="O102" s="66">
        <v>1</v>
      </c>
      <c r="Q102">
        <f t="shared" si="4"/>
        <v>79</v>
      </c>
      <c r="R102" s="13">
        <v>4019089</v>
      </c>
      <c r="S102" s="42" t="str">
        <f>VLOOKUP(R102,'CA07-本月-盘点结果'!$B:$C,2,0)</f>
        <v>正宗椰树牌椰汁（245ML*24盒/件）</v>
      </c>
      <c r="T102" s="43">
        <f>VLOOKUP(R102,'CA07-本月-盘点结果'!B:I,8,0)</f>
        <v>94</v>
      </c>
      <c r="U102" s="44">
        <f>T102-Q102-Q103</f>
        <v>-1</v>
      </c>
      <c r="X102" s="41"/>
      <c r="Y102" t="s">
        <v>137</v>
      </c>
      <c r="Z102" s="77">
        <v>3</v>
      </c>
    </row>
    <row r="103" spans="1:26">
      <c r="A103" t="str">
        <f t="shared" si="5"/>
        <v>加拿大七店1301004770047常温</v>
      </c>
      <c r="B103" s="51" t="s">
        <v>3000</v>
      </c>
      <c r="C103" s="47" t="s">
        <v>636</v>
      </c>
      <c r="D103" s="51" t="s">
        <v>2452</v>
      </c>
      <c r="E103" s="51" t="s">
        <v>2452</v>
      </c>
      <c r="F103" s="56">
        <v>13010047</v>
      </c>
      <c r="G103" s="56">
        <v>70047</v>
      </c>
      <c r="H103" s="55" t="s">
        <v>2364</v>
      </c>
      <c r="I103" s="47" t="s">
        <v>3057</v>
      </c>
      <c r="J103" s="51" t="s">
        <v>2672</v>
      </c>
      <c r="K103" s="56">
        <v>3.95</v>
      </c>
      <c r="L103" s="67" t="s">
        <v>92</v>
      </c>
      <c r="M103" s="54">
        <f>IFERROR(VLOOKUP(A103,Sheet3!$A:$B,2,0),0)</f>
        <v>16</v>
      </c>
      <c r="N103" s="65">
        <v>1</v>
      </c>
      <c r="O103" s="66">
        <v>1</v>
      </c>
      <c r="Q103">
        <f t="shared" si="4"/>
        <v>16</v>
      </c>
      <c r="R103" s="13">
        <v>4019089</v>
      </c>
      <c r="S103" s="42" t="str">
        <f>VLOOKUP(R103,'CA07-本月-盘点结果'!$B:$C,2,0)</f>
        <v>正宗椰树牌椰汁（245ML*24盒/件）</v>
      </c>
      <c r="T103" s="43">
        <f>VLOOKUP(R103,'CA07-本月-盘点结果'!B:I,8,0)*P103</f>
        <v>0</v>
      </c>
      <c r="X103" s="41"/>
      <c r="Y103" t="s">
        <v>137</v>
      </c>
      <c r="Z103" s="77">
        <v>0</v>
      </c>
    </row>
    <row r="104" spans="1:26">
      <c r="A104" t="str">
        <f t="shared" si="5"/>
        <v>加拿大七店1301044570445冰镇</v>
      </c>
      <c r="B104" s="47" t="s">
        <v>3000</v>
      </c>
      <c r="C104" s="47" t="s">
        <v>636</v>
      </c>
      <c r="D104" s="47" t="s">
        <v>2452</v>
      </c>
      <c r="E104" s="47" t="s">
        <v>2452</v>
      </c>
      <c r="F104" s="54">
        <v>13010445</v>
      </c>
      <c r="G104" s="54">
        <v>70445</v>
      </c>
      <c r="H104" s="55" t="s">
        <v>2371</v>
      </c>
      <c r="I104" s="47" t="s">
        <v>2371</v>
      </c>
      <c r="J104" s="47" t="s">
        <v>2450</v>
      </c>
      <c r="K104" s="54">
        <v>3.95</v>
      </c>
      <c r="L104" s="64" t="s">
        <v>32</v>
      </c>
      <c r="M104" s="54">
        <f>IFERROR(VLOOKUP(A104,Sheet3!$A:$B,2,0),0)</f>
        <v>156</v>
      </c>
      <c r="N104" s="65">
        <v>1</v>
      </c>
      <c r="O104" s="66">
        <v>1</v>
      </c>
      <c r="Q104">
        <f t="shared" si="4"/>
        <v>156</v>
      </c>
      <c r="R104" s="13">
        <v>4000635</v>
      </c>
      <c r="S104" s="42" t="str">
        <f>VLOOKUP(R104,'CA07-本月-盘点结果'!$B:$C,2,0)</f>
        <v>加多宝（310ML*24听/件）</v>
      </c>
      <c r="T104" s="43">
        <f>VLOOKUP(R104,'CA07-本月-盘点结果'!B:I,8,0)</f>
        <v>169</v>
      </c>
      <c r="U104" s="44">
        <f>T104-Q104-Q105</f>
        <v>-7</v>
      </c>
      <c r="X104" s="41"/>
      <c r="Y104" t="s">
        <v>92</v>
      </c>
      <c r="Z104" s="77">
        <v>1</v>
      </c>
    </row>
    <row r="105" spans="1:26">
      <c r="A105" t="str">
        <f t="shared" si="5"/>
        <v>加拿大七店1301044570445常温</v>
      </c>
      <c r="B105" s="47" t="s">
        <v>3000</v>
      </c>
      <c r="C105" s="47" t="s">
        <v>636</v>
      </c>
      <c r="D105" s="47" t="s">
        <v>2452</v>
      </c>
      <c r="E105" s="47" t="s">
        <v>2452</v>
      </c>
      <c r="F105" s="54">
        <v>13010445</v>
      </c>
      <c r="G105" s="54">
        <v>70445</v>
      </c>
      <c r="H105" s="55" t="s">
        <v>2371</v>
      </c>
      <c r="I105" s="47" t="s">
        <v>2371</v>
      </c>
      <c r="J105" s="47" t="s">
        <v>2672</v>
      </c>
      <c r="K105" s="54">
        <v>3.95</v>
      </c>
      <c r="L105" s="64" t="s">
        <v>32</v>
      </c>
      <c r="M105" s="54">
        <f>IFERROR(VLOOKUP(A105,Sheet3!$A:$B,2,0),0)</f>
        <v>20</v>
      </c>
      <c r="N105" s="65">
        <v>1</v>
      </c>
      <c r="O105" s="66">
        <v>1</v>
      </c>
      <c r="Q105">
        <f t="shared" si="4"/>
        <v>20</v>
      </c>
      <c r="R105" s="13">
        <v>4000635</v>
      </c>
      <c r="S105" s="42" t="str">
        <f>VLOOKUP(R105,'CA07-本月-盘点结果'!$B:$C,2,0)</f>
        <v>加多宝（310ML*24听/件）</v>
      </c>
      <c r="X105" s="41"/>
      <c r="Y105" t="s">
        <v>92</v>
      </c>
      <c r="Z105" s="77">
        <v>0</v>
      </c>
    </row>
    <row r="106" spans="1:26">
      <c r="A106" t="str">
        <f t="shared" si="5"/>
        <v>加拿大七店1301045570455冰镇</v>
      </c>
      <c r="B106" s="47" t="s">
        <v>3000</v>
      </c>
      <c r="C106" s="47" t="s">
        <v>636</v>
      </c>
      <c r="D106" s="47" t="s">
        <v>2452</v>
      </c>
      <c r="E106" s="47" t="s">
        <v>2452</v>
      </c>
      <c r="F106" s="54">
        <v>13010455</v>
      </c>
      <c r="G106" s="54">
        <v>70455</v>
      </c>
      <c r="H106" s="55" t="s">
        <v>2373</v>
      </c>
      <c r="I106" s="47" t="s">
        <v>3058</v>
      </c>
      <c r="J106" s="47" t="s">
        <v>2450</v>
      </c>
      <c r="K106" s="54">
        <v>2.45</v>
      </c>
      <c r="L106" s="64" t="s">
        <v>145</v>
      </c>
      <c r="M106" s="54">
        <f>IFERROR(VLOOKUP(A106,Sheet3!$A:$B,2,0),0)</f>
        <v>467</v>
      </c>
      <c r="N106" s="65">
        <v>1</v>
      </c>
      <c r="O106" s="66">
        <v>1</v>
      </c>
      <c r="Q106">
        <f t="shared" si="4"/>
        <v>467</v>
      </c>
      <c r="R106" s="13">
        <v>1500903</v>
      </c>
      <c r="S106" s="42" t="str">
        <f>VLOOKUP(R106,'CA07-本月-盘点结果'!$B:$C,2,0)</f>
        <v>健怡可乐（355ML*32听/箱）</v>
      </c>
      <c r="T106" s="43">
        <f>VLOOKUP(R106,'CA07-本月-盘点结果'!B:I,8,0)</f>
        <v>689</v>
      </c>
      <c r="U106" s="44">
        <f>T106-Q106-Q107-W106</f>
        <v>213</v>
      </c>
      <c r="X106" s="41"/>
      <c r="Y106" t="s">
        <v>92</v>
      </c>
      <c r="Z106" s="77">
        <v>81</v>
      </c>
    </row>
    <row r="107" spans="1:26">
      <c r="A107" t="str">
        <f t="shared" si="5"/>
        <v>加拿大七店1301045570455常温</v>
      </c>
      <c r="B107" s="47" t="s">
        <v>3000</v>
      </c>
      <c r="C107" s="47" t="s">
        <v>636</v>
      </c>
      <c r="D107" s="47" t="s">
        <v>2452</v>
      </c>
      <c r="E107" s="47" t="s">
        <v>2452</v>
      </c>
      <c r="F107" s="54">
        <v>13010455</v>
      </c>
      <c r="G107" s="54">
        <v>70455</v>
      </c>
      <c r="H107" s="55" t="s">
        <v>2373</v>
      </c>
      <c r="I107" s="47" t="s">
        <v>3058</v>
      </c>
      <c r="J107" s="47" t="s">
        <v>2672</v>
      </c>
      <c r="K107" s="54">
        <v>2.45</v>
      </c>
      <c r="L107" s="64" t="s">
        <v>145</v>
      </c>
      <c r="M107" s="54">
        <f>IFERROR(VLOOKUP(A107,Sheet3!$A:$B,2,0),0)</f>
        <v>9</v>
      </c>
      <c r="N107" s="65">
        <v>1</v>
      </c>
      <c r="O107" s="66">
        <v>1</v>
      </c>
      <c r="Q107">
        <f t="shared" si="4"/>
        <v>9</v>
      </c>
      <c r="R107" s="13">
        <v>1500903</v>
      </c>
      <c r="S107" s="42" t="str">
        <f>VLOOKUP(R107,'CA07-本月-盘点结果'!$B:$C,2,0)</f>
        <v>健怡可乐（355ML*32听/箱）</v>
      </c>
      <c r="X107" s="41"/>
      <c r="Y107" t="s">
        <v>92</v>
      </c>
      <c r="Z107" s="77">
        <v>0</v>
      </c>
    </row>
    <row r="108" spans="1:26">
      <c r="A108" t="str">
        <f t="shared" si="5"/>
        <v>加拿大七店1301045770457冰镇</v>
      </c>
      <c r="B108" s="51" t="s">
        <v>3000</v>
      </c>
      <c r="C108" s="47" t="s">
        <v>636</v>
      </c>
      <c r="D108" s="51" t="s">
        <v>2452</v>
      </c>
      <c r="E108" s="51" t="s">
        <v>2452</v>
      </c>
      <c r="F108" s="56">
        <v>13010457</v>
      </c>
      <c r="G108" s="56">
        <v>70457</v>
      </c>
      <c r="H108" s="55" t="s">
        <v>2375</v>
      </c>
      <c r="I108" s="47" t="s">
        <v>3059</v>
      </c>
      <c r="J108" s="51" t="s">
        <v>2450</v>
      </c>
      <c r="K108" s="56">
        <v>2.95</v>
      </c>
      <c r="L108" s="67" t="s">
        <v>92</v>
      </c>
      <c r="M108" s="54">
        <f>IFERROR(VLOOKUP(A108,Sheet3!$A:$B,2,0),0)</f>
        <v>156</v>
      </c>
      <c r="N108" s="65">
        <v>1</v>
      </c>
      <c r="O108" s="66">
        <v>1</v>
      </c>
      <c r="Q108">
        <f t="shared" si="4"/>
        <v>156</v>
      </c>
      <c r="R108" s="13">
        <v>4701288</v>
      </c>
      <c r="S108" s="42" t="str">
        <f>VLOOKUP(R108,'CA07-本月-盘点结果'!$B:$C,2,0)</f>
        <v>北冰洋（24听/件）</v>
      </c>
      <c r="T108" s="43">
        <f>VLOOKUP(R108,'CA07-本月-盘点结果'!B:I,8,0)</f>
        <v>166</v>
      </c>
      <c r="U108" s="44">
        <f>T108-Q108-Q109</f>
        <v>3</v>
      </c>
      <c r="X108" s="41"/>
      <c r="Y108" t="s">
        <v>92</v>
      </c>
      <c r="Z108" s="77">
        <v>3</v>
      </c>
    </row>
    <row r="109" spans="1:26">
      <c r="A109" t="str">
        <f t="shared" si="5"/>
        <v>加拿大七店1301045770457常温</v>
      </c>
      <c r="B109" s="47" t="s">
        <v>3000</v>
      </c>
      <c r="C109" s="47" t="s">
        <v>636</v>
      </c>
      <c r="D109" s="47" t="s">
        <v>2452</v>
      </c>
      <c r="E109" s="47" t="s">
        <v>2452</v>
      </c>
      <c r="F109" s="54">
        <v>13010457</v>
      </c>
      <c r="G109" s="54">
        <v>70457</v>
      </c>
      <c r="H109" s="55" t="s">
        <v>2375</v>
      </c>
      <c r="I109" s="47" t="s">
        <v>3059</v>
      </c>
      <c r="J109" s="47" t="s">
        <v>2672</v>
      </c>
      <c r="K109" s="54">
        <v>2.95</v>
      </c>
      <c r="L109" s="64" t="s">
        <v>92</v>
      </c>
      <c r="M109" s="54">
        <f>IFERROR(VLOOKUP(A109,Sheet3!$A:$B,2,0),0)</f>
        <v>7</v>
      </c>
      <c r="N109" s="65">
        <v>1</v>
      </c>
      <c r="O109" s="66">
        <v>1</v>
      </c>
      <c r="Q109">
        <f t="shared" si="4"/>
        <v>7</v>
      </c>
      <c r="R109">
        <v>4701288</v>
      </c>
      <c r="S109" s="42" t="str">
        <f>VLOOKUP(R109,'CA07-本月-盘点结果'!$B:$C,2,0)</f>
        <v>北冰洋（24听/件）</v>
      </c>
      <c r="T109" s="43">
        <f>VLOOKUP(R109,'CA07-本月-盘点结果'!B:I,8,0)</f>
        <v>166</v>
      </c>
      <c r="X109" s="41"/>
      <c r="Y109" t="s">
        <v>92</v>
      </c>
      <c r="Z109" s="77">
        <v>0</v>
      </c>
    </row>
    <row r="110" spans="1:26">
      <c r="A110" t="str">
        <f t="shared" si="5"/>
        <v>加拿大七店1301047170471冰镇</v>
      </c>
      <c r="B110" s="51" t="s">
        <v>3000</v>
      </c>
      <c r="C110" s="47" t="s">
        <v>636</v>
      </c>
      <c r="D110" s="51" t="s">
        <v>2452</v>
      </c>
      <c r="E110" s="51" t="s">
        <v>2452</v>
      </c>
      <c r="F110" s="56">
        <v>13010471</v>
      </c>
      <c r="G110" s="56">
        <v>70471</v>
      </c>
      <c r="H110" s="55" t="s">
        <v>2377</v>
      </c>
      <c r="I110" s="47" t="s">
        <v>3060</v>
      </c>
      <c r="J110" s="51" t="s">
        <v>2450</v>
      </c>
      <c r="K110" s="56">
        <v>3.95</v>
      </c>
      <c r="L110" s="67" t="s">
        <v>2517</v>
      </c>
      <c r="M110" s="54">
        <f>IFERROR(VLOOKUP(A110,Sheet3!$A:$B,2,0),0)</f>
        <v>0</v>
      </c>
      <c r="N110" s="65">
        <v>1</v>
      </c>
      <c r="O110" s="66">
        <v>1</v>
      </c>
      <c r="Q110">
        <f t="shared" si="4"/>
        <v>0</v>
      </c>
      <c r="R110">
        <v>1500899</v>
      </c>
      <c r="S110" s="42" t="e">
        <f>VLOOKUP(R110,'CA07-本月-盘点结果'!$B:$C,2,0)</f>
        <v>#N/A</v>
      </c>
      <c r="U110" s="44">
        <f>T110-Q110-Q111</f>
        <v>0</v>
      </c>
      <c r="X110" s="41"/>
      <c r="Y110" t="e">
        <v>#N/A</v>
      </c>
      <c r="Z110" s="77">
        <v>0</v>
      </c>
    </row>
    <row r="111" spans="1:26">
      <c r="A111" t="str">
        <f t="shared" si="5"/>
        <v>加拿大七店1301047170471常温</v>
      </c>
      <c r="B111" s="47" t="s">
        <v>3000</v>
      </c>
      <c r="C111" s="47" t="s">
        <v>636</v>
      </c>
      <c r="D111" s="47" t="s">
        <v>2452</v>
      </c>
      <c r="E111" s="47" t="s">
        <v>2452</v>
      </c>
      <c r="F111" s="54">
        <v>13010471</v>
      </c>
      <c r="G111" s="54">
        <v>70471</v>
      </c>
      <c r="H111" s="55" t="s">
        <v>2377</v>
      </c>
      <c r="I111" s="47" t="s">
        <v>3060</v>
      </c>
      <c r="J111" s="47" t="s">
        <v>2672</v>
      </c>
      <c r="K111" s="54">
        <v>3.95</v>
      </c>
      <c r="L111" s="64" t="s">
        <v>2517</v>
      </c>
      <c r="M111" s="54">
        <f>IFERROR(VLOOKUP(A111,Sheet3!$A:$B,2,0),0)</f>
        <v>0</v>
      </c>
      <c r="N111" s="65">
        <v>1</v>
      </c>
      <c r="O111" s="66">
        <v>1</v>
      </c>
      <c r="Q111">
        <f t="shared" si="4"/>
        <v>0</v>
      </c>
      <c r="R111" s="13">
        <v>1500899</v>
      </c>
      <c r="S111" s="42" t="e">
        <f>VLOOKUP(R111,'CA07-本月-盘点结果'!$B:$C,2,0)</f>
        <v>#N/A</v>
      </c>
      <c r="T111" s="43" t="e">
        <f>VLOOKUP(R111,'CA07-本月-盘点结果'!B:I,8,0)</f>
        <v>#N/A</v>
      </c>
      <c r="X111" s="41"/>
      <c r="Y111" t="e">
        <v>#N/A</v>
      </c>
      <c r="Z111" s="77">
        <v>0</v>
      </c>
    </row>
    <row r="112" spans="1:26">
      <c r="A112" t="str">
        <f t="shared" si="5"/>
        <v>加拿大七店131000291004231扎</v>
      </c>
      <c r="B112" s="51" t="s">
        <v>3000</v>
      </c>
      <c r="C112" s="47" t="s">
        <v>636</v>
      </c>
      <c r="D112" s="51" t="s">
        <v>2452</v>
      </c>
      <c r="E112" s="51" t="s">
        <v>2452</v>
      </c>
      <c r="F112" s="56">
        <v>13100029</v>
      </c>
      <c r="G112" s="56">
        <v>1004231</v>
      </c>
      <c r="H112" s="55" t="s">
        <v>3061</v>
      </c>
      <c r="I112" s="47" t="s">
        <v>3062</v>
      </c>
      <c r="J112" s="51" t="s">
        <v>2517</v>
      </c>
      <c r="K112" s="56">
        <v>7.95</v>
      </c>
      <c r="L112" s="67" t="s">
        <v>2653</v>
      </c>
      <c r="M112" s="54">
        <f>IFERROR(VLOOKUP(A112,Sheet3!$A:$B,2,0),0)</f>
        <v>0</v>
      </c>
      <c r="N112" s="65">
        <v>0.6</v>
      </c>
      <c r="O112" s="66">
        <v>1</v>
      </c>
      <c r="Q112">
        <f t="shared" si="4"/>
        <v>0</v>
      </c>
      <c r="R112" s="13">
        <v>4518891</v>
      </c>
      <c r="S112" s="42" t="e">
        <f>VLOOKUP(R112,'CA07-本月-盘点结果'!$B:$C,2,0)</f>
        <v>#N/A</v>
      </c>
      <c r="T112" s="43" t="e">
        <f>VLOOKUP(R112,'CA07-本月-盘点结果'!B:I,8,0)</f>
        <v>#N/A</v>
      </c>
      <c r="U112" s="44" t="e">
        <f>T112-Q112</f>
        <v>#N/A</v>
      </c>
      <c r="X112" s="41"/>
      <c r="Y112" t="e">
        <v>#N/A</v>
      </c>
      <c r="Z112" s="77" t="e">
        <v>#N/A</v>
      </c>
    </row>
    <row r="113" spans="1:26">
      <c r="A113" t="str">
        <f t="shared" si="5"/>
        <v>加拿大七店1101022150252整份</v>
      </c>
      <c r="B113" s="47" t="s">
        <v>3000</v>
      </c>
      <c r="C113" s="47" t="s">
        <v>636</v>
      </c>
      <c r="D113" s="47" t="s">
        <v>3063</v>
      </c>
      <c r="E113" s="47" t="s">
        <v>2442</v>
      </c>
      <c r="F113" s="54">
        <v>11010221</v>
      </c>
      <c r="G113" s="54">
        <v>50252</v>
      </c>
      <c r="H113" s="55" t="s">
        <v>2582</v>
      </c>
      <c r="I113" s="47" t="s">
        <v>3064</v>
      </c>
      <c r="J113" s="47" t="s">
        <v>2436</v>
      </c>
      <c r="K113" s="54">
        <v>3.95</v>
      </c>
      <c r="L113" s="64" t="s">
        <v>2454</v>
      </c>
      <c r="M113" s="54">
        <f>IFERROR(VLOOKUP(A113,Sheet3!$A:$B,2,0),0)</f>
        <v>393</v>
      </c>
      <c r="N113" s="65">
        <v>0.2</v>
      </c>
      <c r="O113" s="66">
        <v>1</v>
      </c>
      <c r="P113">
        <v>0.5</v>
      </c>
      <c r="Q113">
        <f t="shared" si="4"/>
        <v>78.6</v>
      </c>
      <c r="R113" s="13">
        <v>1500732</v>
      </c>
      <c r="S113" s="42" t="str">
        <f>VLOOKUP(R113,'CA07-本月-盘点结果'!$B:$C,2,0)</f>
        <v>韭菜鸡蛋水饺（思念，500G*20包/箱）</v>
      </c>
      <c r="T113" s="43">
        <f>VLOOKUP(R113,'CA07-本月-盘点结果'!B:I,8,0)</f>
        <v>100</v>
      </c>
      <c r="U113" s="44">
        <f>T113-Q113/P113</f>
        <v>-57.2</v>
      </c>
      <c r="X113" s="41"/>
      <c r="Y113" t="s">
        <v>29</v>
      </c>
      <c r="Z113" s="77">
        <v>58.8</v>
      </c>
    </row>
    <row r="114" spans="1:26">
      <c r="A114" t="str">
        <f t="shared" si="5"/>
        <v>加拿大七店1409009884277整份</v>
      </c>
      <c r="B114" s="51" t="s">
        <v>3000</v>
      </c>
      <c r="C114" s="47" t="s">
        <v>636</v>
      </c>
      <c r="D114" s="51" t="s">
        <v>3063</v>
      </c>
      <c r="E114" s="51" t="s">
        <v>2442</v>
      </c>
      <c r="F114" s="56">
        <v>14090098</v>
      </c>
      <c r="G114" s="56">
        <v>84277</v>
      </c>
      <c r="H114" s="55" t="s">
        <v>2552</v>
      </c>
      <c r="I114" s="47" t="s">
        <v>2552</v>
      </c>
      <c r="J114" s="51" t="s">
        <v>2436</v>
      </c>
      <c r="K114" s="56">
        <v>9.95</v>
      </c>
      <c r="L114" s="67" t="s">
        <v>2454</v>
      </c>
      <c r="M114" s="54">
        <f>IFERROR(VLOOKUP(A114,Sheet3!$A:$B,2,0),0)</f>
        <v>301</v>
      </c>
      <c r="N114" s="65">
        <v>6</v>
      </c>
      <c r="O114" s="66">
        <v>1</v>
      </c>
      <c r="Q114">
        <f t="shared" si="4"/>
        <v>1806</v>
      </c>
      <c r="R114" s="13">
        <v>1501055</v>
      </c>
      <c r="S114" s="42" t="str">
        <f>VLOOKUP(R114,'CA07-本月-盘点结果'!$B:$C,2,0)</f>
        <v>鲜虾抄手（45个/包）</v>
      </c>
      <c r="T114" s="43">
        <f>VLOOKUP(R114,'CA07-本月-盘点结果'!B:I,8,0)</f>
        <v>1935</v>
      </c>
      <c r="U114" s="44">
        <f>T114-Q114</f>
        <v>129</v>
      </c>
      <c r="X114" s="41"/>
      <c r="Y114" t="s">
        <v>20</v>
      </c>
      <c r="Z114" s="77">
        <v>234</v>
      </c>
    </row>
    <row r="115" spans="1:26">
      <c r="A115" t="str">
        <f t="shared" si="5"/>
        <v>加拿大七店1102003551035整份</v>
      </c>
      <c r="B115" s="51" t="s">
        <v>3000</v>
      </c>
      <c r="C115" s="47" t="s">
        <v>636</v>
      </c>
      <c r="D115" s="51" t="s">
        <v>3063</v>
      </c>
      <c r="E115" s="51" t="s">
        <v>3065</v>
      </c>
      <c r="F115" s="56">
        <v>11020035</v>
      </c>
      <c r="G115" s="56">
        <v>51035</v>
      </c>
      <c r="H115" s="55" t="s">
        <v>2534</v>
      </c>
      <c r="I115" s="47" t="s">
        <v>2534</v>
      </c>
      <c r="J115" s="51" t="s">
        <v>2436</v>
      </c>
      <c r="K115" s="56">
        <v>1.95</v>
      </c>
      <c r="L115" s="67" t="s">
        <v>2454</v>
      </c>
      <c r="M115" s="54">
        <f>IFERROR(VLOOKUP(A115,Sheet3!$A:$B,2,0),0)</f>
        <v>143</v>
      </c>
      <c r="N115" s="65">
        <v>0.06</v>
      </c>
      <c r="O115" s="66">
        <v>1</v>
      </c>
      <c r="Q115">
        <f t="shared" si="4"/>
        <v>8.58</v>
      </c>
      <c r="R115" s="13">
        <v>4510251</v>
      </c>
      <c r="S115" s="42" t="str">
        <f>VLOOKUP(R115,'CA07-本月-盘点结果'!$B:$C,2,0)</f>
        <v>糖蒜（500G*24包/件）</v>
      </c>
      <c r="T115" s="43">
        <f>VLOOKUP(R115,'CA07-本月-盘点结果'!B:I,8,0)</f>
        <v>21.5</v>
      </c>
      <c r="U115" s="44">
        <f>T115-Q115</f>
        <v>12.92</v>
      </c>
      <c r="X115" s="41"/>
      <c r="Y115" t="s">
        <v>73</v>
      </c>
      <c r="Z115" s="77">
        <v>15</v>
      </c>
    </row>
    <row r="116" spans="1:26">
      <c r="A116" t="str">
        <f t="shared" si="5"/>
        <v>加拿大七店1001004440051整份</v>
      </c>
      <c r="B116" s="47" t="s">
        <v>3000</v>
      </c>
      <c r="C116" s="47" t="s">
        <v>636</v>
      </c>
      <c r="D116" s="47" t="s">
        <v>3063</v>
      </c>
      <c r="E116" s="47" t="s">
        <v>2455</v>
      </c>
      <c r="F116" s="54">
        <v>10010044</v>
      </c>
      <c r="G116" s="54">
        <v>40051</v>
      </c>
      <c r="H116" s="55" t="s">
        <v>2472</v>
      </c>
      <c r="I116" s="47" t="s">
        <v>3066</v>
      </c>
      <c r="J116" s="47" t="s">
        <v>2436</v>
      </c>
      <c r="K116" s="54">
        <v>4.95</v>
      </c>
      <c r="L116" s="64" t="s">
        <v>2454</v>
      </c>
      <c r="M116" s="54">
        <f>IFERROR(VLOOKUP(A116,Sheet3!$A:$B,2,0),0)</f>
        <v>410</v>
      </c>
      <c r="N116" s="65">
        <v>0.05</v>
      </c>
      <c r="O116" s="66">
        <v>1</v>
      </c>
      <c r="P116">
        <v>1</v>
      </c>
      <c r="Q116">
        <f t="shared" si="4"/>
        <v>20.5</v>
      </c>
      <c r="R116" s="13">
        <v>1501634</v>
      </c>
      <c r="S116" s="42" t="str">
        <f>VLOOKUP(R116,'CA07-本月-盘点结果'!$B:$C,2,0)</f>
        <v>千味传统大油条（450G*10包/箱）</v>
      </c>
      <c r="T116" s="43">
        <f>VLOOKUP(R116,'CA07-本月-盘点结果'!B:I,8,0)</f>
        <v>42.3</v>
      </c>
      <c r="U116" s="44">
        <f>(T116-Q116)/P116</f>
        <v>21.8</v>
      </c>
      <c r="X116" s="41"/>
      <c r="Y116" t="s">
        <v>73</v>
      </c>
      <c r="Z116" s="77">
        <v>15</v>
      </c>
    </row>
    <row r="117" spans="1:26">
      <c r="A117" t="str">
        <f t="shared" si="5"/>
        <v>加拿大七店100200931001983根</v>
      </c>
      <c r="B117" s="51" t="s">
        <v>3000</v>
      </c>
      <c r="C117" s="47" t="s">
        <v>636</v>
      </c>
      <c r="D117" s="51" t="s">
        <v>3063</v>
      </c>
      <c r="E117" s="51" t="s">
        <v>2455</v>
      </c>
      <c r="F117" s="56">
        <v>10020093</v>
      </c>
      <c r="G117" s="56">
        <v>1001983</v>
      </c>
      <c r="H117" s="55" t="s">
        <v>3067</v>
      </c>
      <c r="I117" s="47" t="s">
        <v>3067</v>
      </c>
      <c r="J117" s="51" t="s">
        <v>2645</v>
      </c>
      <c r="K117" s="56">
        <v>2.95</v>
      </c>
      <c r="L117" s="67" t="s">
        <v>2454</v>
      </c>
      <c r="M117" s="54">
        <f>IFERROR(VLOOKUP(A117,Sheet3!$A:$B,2,0),0)</f>
        <v>0</v>
      </c>
      <c r="N117" s="65">
        <v>0.1</v>
      </c>
      <c r="O117" s="66">
        <v>1</v>
      </c>
      <c r="Q117">
        <f t="shared" si="4"/>
        <v>0</v>
      </c>
      <c r="R117" s="13">
        <v>4516300</v>
      </c>
      <c r="S117" s="42" t="e">
        <f>VLOOKUP(R117,'CA07-本月-盘点结果'!$B:$C,2,0)</f>
        <v>#N/A</v>
      </c>
      <c r="T117" s="43" t="e">
        <f>VLOOKUP(R117,'CA07-本月-盘点结果'!B:I,8,0)</f>
        <v>#N/A</v>
      </c>
      <c r="U117" s="44" t="e">
        <f t="shared" ref="U117:U123" si="6">T117-Q117</f>
        <v>#N/A</v>
      </c>
      <c r="X117" s="41"/>
      <c r="Y117" t="s">
        <v>73</v>
      </c>
      <c r="Z117" s="77">
        <v>6.4</v>
      </c>
    </row>
    <row r="118" spans="1:26">
      <c r="A118" t="str">
        <f t="shared" si="5"/>
        <v>加拿大七店1101000550009整份</v>
      </c>
      <c r="B118" s="47" t="s">
        <v>3000</v>
      </c>
      <c r="C118" s="47" t="s">
        <v>636</v>
      </c>
      <c r="D118" s="47" t="s">
        <v>3063</v>
      </c>
      <c r="E118" s="47" t="s">
        <v>2455</v>
      </c>
      <c r="F118" s="54">
        <v>11010005</v>
      </c>
      <c r="G118" s="54">
        <v>50009</v>
      </c>
      <c r="H118" s="55" t="s">
        <v>2546</v>
      </c>
      <c r="I118" s="47" t="s">
        <v>3068</v>
      </c>
      <c r="J118" s="47" t="s">
        <v>2436</v>
      </c>
      <c r="K118" s="54">
        <v>5.95</v>
      </c>
      <c r="L118" s="64" t="s">
        <v>2454</v>
      </c>
      <c r="M118" s="54">
        <f>IFERROR(VLOOKUP(A118,Sheet3!$A:$B,2,0),0)</f>
        <v>568</v>
      </c>
      <c r="N118" s="65">
        <v>0.08</v>
      </c>
      <c r="O118" s="66">
        <v>1</v>
      </c>
      <c r="Q118">
        <f t="shared" si="4"/>
        <v>45.44</v>
      </c>
      <c r="R118" s="13">
        <v>4523357</v>
      </c>
      <c r="S118" s="42" t="str">
        <f>VLOOKUP(R118,'CA07-本月-盘点结果'!$B:$C,2,0)</f>
        <v>馒头（400G*7袋/箱）</v>
      </c>
      <c r="T118" s="43">
        <f>VLOOKUP(R118,'CA07-本月-盘点结果'!B:I,8,0)</f>
        <v>201.6</v>
      </c>
      <c r="U118" s="44">
        <f t="shared" si="6"/>
        <v>156.16</v>
      </c>
      <c r="X118" s="41"/>
      <c r="Y118" t="s">
        <v>73</v>
      </c>
      <c r="Z118" s="77">
        <v>240.8</v>
      </c>
    </row>
    <row r="119" spans="1:26">
      <c r="A119" t="str">
        <f t="shared" si="5"/>
        <v>加拿大七店1101029250363整份</v>
      </c>
      <c r="B119" s="51" t="s">
        <v>3000</v>
      </c>
      <c r="C119" s="47" t="s">
        <v>636</v>
      </c>
      <c r="D119" s="51" t="s">
        <v>3063</v>
      </c>
      <c r="E119" s="51" t="s">
        <v>2455</v>
      </c>
      <c r="F119" s="56">
        <v>11010292</v>
      </c>
      <c r="G119" s="56">
        <v>50363</v>
      </c>
      <c r="H119" s="55" t="s">
        <v>2597</v>
      </c>
      <c r="I119" s="47" t="s">
        <v>3069</v>
      </c>
      <c r="J119" s="51" t="s">
        <v>2436</v>
      </c>
      <c r="K119" s="56">
        <v>9.95</v>
      </c>
      <c r="L119" s="67" t="s">
        <v>2454</v>
      </c>
      <c r="M119" s="54">
        <f>IFERROR(VLOOKUP(A119,Sheet3!$A:$B,2,0),0)</f>
        <v>909</v>
      </c>
      <c r="N119" s="65">
        <v>0.15</v>
      </c>
      <c r="O119" s="66">
        <v>1.3</v>
      </c>
      <c r="P119">
        <v>2.2</v>
      </c>
      <c r="Q119">
        <f t="shared" si="4"/>
        <v>177.255</v>
      </c>
      <c r="R119" s="13">
        <v>1500681</v>
      </c>
      <c r="S119" s="42" t="str">
        <f>VLOOKUP(R119,'CA07-本月-盘点结果'!$B:$C,2,0)</f>
        <v>去皮五花肉（LB）</v>
      </c>
      <c r="T119" s="43">
        <f>VLOOKUP(R119,'CA07-本月-盘点结果'!B:I,8,0)</f>
        <v>524.64</v>
      </c>
      <c r="U119" s="44">
        <f>T119-Q119*P119</f>
        <v>134.679</v>
      </c>
      <c r="X119" s="41"/>
      <c r="Y119" t="s">
        <v>36</v>
      </c>
      <c r="Z119" s="77">
        <v>342.71</v>
      </c>
    </row>
    <row r="120" spans="1:26">
      <c r="A120" t="str">
        <f t="shared" si="5"/>
        <v>加拿大七店1101048350681整份</v>
      </c>
      <c r="B120" s="51" t="s">
        <v>3000</v>
      </c>
      <c r="C120" s="47" t="s">
        <v>636</v>
      </c>
      <c r="D120" s="51" t="s">
        <v>3063</v>
      </c>
      <c r="E120" s="51" t="s">
        <v>2455</v>
      </c>
      <c r="F120" s="56">
        <v>11010483</v>
      </c>
      <c r="G120" s="56">
        <v>50681</v>
      </c>
      <c r="H120" s="55" t="s">
        <v>2549</v>
      </c>
      <c r="I120" s="47" t="s">
        <v>2549</v>
      </c>
      <c r="J120" s="51" t="s">
        <v>2436</v>
      </c>
      <c r="K120" s="56">
        <v>6.95</v>
      </c>
      <c r="L120" s="67" t="s">
        <v>2454</v>
      </c>
      <c r="M120" s="54">
        <f>IFERROR(VLOOKUP(A120,Sheet3!$A:$B,2,0),0)</f>
        <v>293</v>
      </c>
      <c r="N120" s="65">
        <v>0.1</v>
      </c>
      <c r="O120" s="66">
        <v>1</v>
      </c>
      <c r="Q120">
        <f t="shared" si="4"/>
        <v>29.3</v>
      </c>
      <c r="R120" s="13">
        <v>4020719</v>
      </c>
      <c r="S120" s="42" t="str">
        <f>VLOOKUP(R120,'CA07-本月-盘点结果'!$B:$C,2,0)</f>
        <v>速冻黄金熔岩虾球（越南DL443，250G*20包/件）</v>
      </c>
      <c r="T120" s="43">
        <f>VLOOKUP(R120,'CA07-本月-盘点结果'!B:I,8,0)</f>
        <v>40</v>
      </c>
      <c r="U120" s="44">
        <f>T120-Q120</f>
        <v>10.7</v>
      </c>
      <c r="X120" s="41"/>
      <c r="Y120" t="s">
        <v>73</v>
      </c>
      <c r="Z120" s="77">
        <v>17.1</v>
      </c>
    </row>
    <row r="121" spans="1:26">
      <c r="A121" t="str">
        <f t="shared" si="5"/>
        <v>加拿大七店1409009984279整份</v>
      </c>
      <c r="B121" s="47" t="s">
        <v>3000</v>
      </c>
      <c r="C121" s="47" t="s">
        <v>636</v>
      </c>
      <c r="D121" s="47" t="s">
        <v>3063</v>
      </c>
      <c r="E121" s="47" t="s">
        <v>2455</v>
      </c>
      <c r="F121" s="54">
        <v>14090099</v>
      </c>
      <c r="G121" s="54">
        <v>84279</v>
      </c>
      <c r="H121" s="55" t="s">
        <v>3070</v>
      </c>
      <c r="I121" s="47" t="s">
        <v>3071</v>
      </c>
      <c r="J121" s="47" t="s">
        <v>2436</v>
      </c>
      <c r="K121" s="54">
        <v>4.95</v>
      </c>
      <c r="L121" s="64" t="s">
        <v>2454</v>
      </c>
      <c r="M121" s="54">
        <f>IFERROR(VLOOKUP(A121,Sheet3!$A:$B,2,0),0)</f>
        <v>0</v>
      </c>
      <c r="N121" s="65">
        <v>0.25</v>
      </c>
      <c r="O121" s="66">
        <v>1</v>
      </c>
      <c r="Q121">
        <f t="shared" si="4"/>
        <v>0</v>
      </c>
      <c r="R121" s="13">
        <v>4517474</v>
      </c>
      <c r="S121" s="42" t="e">
        <f>VLOOKUP(R121,'CA07-本月-盘点结果'!$B:$C,2,0)</f>
        <v>#N/A</v>
      </c>
      <c r="X121" s="41"/>
      <c r="Y121" t="e">
        <v>#N/A</v>
      </c>
      <c r="Z121" s="77">
        <v>0</v>
      </c>
    </row>
    <row r="122" spans="1:26">
      <c r="A122" t="str">
        <f t="shared" si="5"/>
        <v>加拿大七店7000079877569整份</v>
      </c>
      <c r="B122" s="51" t="s">
        <v>3000</v>
      </c>
      <c r="C122" s="47" t="s">
        <v>636</v>
      </c>
      <c r="D122" s="51" t="s">
        <v>3063</v>
      </c>
      <c r="E122" s="51" t="s">
        <v>2455</v>
      </c>
      <c r="F122" s="56">
        <v>70000798</v>
      </c>
      <c r="G122" s="56">
        <v>77569</v>
      </c>
      <c r="H122" s="55" t="s">
        <v>2607</v>
      </c>
      <c r="I122" s="47" t="s">
        <v>3072</v>
      </c>
      <c r="J122" s="51" t="s">
        <v>2436</v>
      </c>
      <c r="K122" s="56">
        <v>9.95</v>
      </c>
      <c r="L122" s="67" t="s">
        <v>2454</v>
      </c>
      <c r="M122" s="54">
        <f>IFERROR(VLOOKUP(A122,Sheet3!$A:$B,2,0),0)</f>
        <v>128</v>
      </c>
      <c r="N122" s="65">
        <v>0.15</v>
      </c>
      <c r="O122" s="66">
        <v>1</v>
      </c>
      <c r="Q122">
        <f t="shared" si="4"/>
        <v>19.2</v>
      </c>
      <c r="R122" s="13">
        <v>1500710</v>
      </c>
      <c r="S122" s="42" t="str">
        <f>VLOOKUP(R122,'CA07-本月-盘点结果'!$B:$C,2,0)</f>
        <v>榴莲球（1KG*10包/箱）</v>
      </c>
      <c r="T122" s="43">
        <f>VLOOKUP(R122,'CA07-本月-盘点结果'!B:I,8,0)</f>
        <v>21</v>
      </c>
      <c r="U122" s="44">
        <f t="shared" si="6"/>
        <v>1.8</v>
      </c>
      <c r="X122" s="41"/>
      <c r="Y122" t="s">
        <v>73</v>
      </c>
      <c r="Z122" s="77">
        <v>0.9</v>
      </c>
    </row>
    <row r="123" spans="1:26">
      <c r="A123" t="str">
        <f t="shared" si="5"/>
        <v>加拿大七店7000083877743整份</v>
      </c>
      <c r="B123" s="47" t="s">
        <v>3000</v>
      </c>
      <c r="C123" s="47" t="s">
        <v>636</v>
      </c>
      <c r="D123" s="47" t="s">
        <v>3063</v>
      </c>
      <c r="E123" s="47" t="s">
        <v>2455</v>
      </c>
      <c r="F123" s="54">
        <v>70000838</v>
      </c>
      <c r="G123" s="54">
        <v>77743</v>
      </c>
      <c r="H123" s="55" t="s">
        <v>2569</v>
      </c>
      <c r="I123" s="47" t="s">
        <v>3073</v>
      </c>
      <c r="J123" s="47" t="s">
        <v>2436</v>
      </c>
      <c r="K123" s="54">
        <v>5.95</v>
      </c>
      <c r="L123" s="64" t="s">
        <v>2454</v>
      </c>
      <c r="M123" s="54">
        <f>IFERROR(VLOOKUP(A123,Sheet3!$A:$B,2,0),0)</f>
        <v>445</v>
      </c>
      <c r="N123" s="65">
        <v>0.15</v>
      </c>
      <c r="O123" s="66">
        <v>1</v>
      </c>
      <c r="Q123">
        <f t="shared" si="4"/>
        <v>66.75</v>
      </c>
      <c r="R123" s="13">
        <v>4027530</v>
      </c>
      <c r="S123" s="42" t="e">
        <f>VLOOKUP(R123,'CA07-本月-盘点结果'!$B:$C,2,0)</f>
        <v>#N/A</v>
      </c>
      <c r="T123" s="74" t="e">
        <f>VLOOKUP(R123,'CA07-本月-盘点结果'!B:I,8,0)+72</f>
        <v>#N/A</v>
      </c>
      <c r="U123" s="44" t="e">
        <f t="shared" si="6"/>
        <v>#N/A</v>
      </c>
      <c r="X123" s="41"/>
      <c r="Y123" t="e">
        <v>#N/A</v>
      </c>
      <c r="Z123" s="77" t="e">
        <v>#N/A</v>
      </c>
    </row>
    <row r="124" spans="1:26">
      <c r="A124" t="str">
        <f t="shared" si="5"/>
        <v>加拿大七店901042530657整份</v>
      </c>
      <c r="B124" s="51" t="s">
        <v>3000</v>
      </c>
      <c r="C124" s="47" t="s">
        <v>636</v>
      </c>
      <c r="D124" s="51" t="s">
        <v>3074</v>
      </c>
      <c r="E124" s="51" t="s">
        <v>3075</v>
      </c>
      <c r="F124" s="56">
        <v>9010425</v>
      </c>
      <c r="G124" s="56">
        <v>30657</v>
      </c>
      <c r="H124" s="55" t="s">
        <v>3076</v>
      </c>
      <c r="I124" s="47" t="s">
        <v>3076</v>
      </c>
      <c r="J124" s="51" t="s">
        <v>2436</v>
      </c>
      <c r="K124" s="56">
        <v>9.95</v>
      </c>
      <c r="L124" s="67" t="s">
        <v>2454</v>
      </c>
      <c r="M124" s="54">
        <f>IFERROR(VLOOKUP(A124,Sheet3!$A:$B,2,0),0)</f>
        <v>0</v>
      </c>
      <c r="N124" s="65">
        <v>0.12</v>
      </c>
      <c r="O124" s="66">
        <v>1.7</v>
      </c>
      <c r="P124">
        <v>2.2</v>
      </c>
      <c r="Q124">
        <f t="shared" si="4"/>
        <v>0</v>
      </c>
      <c r="R124" s="13">
        <v>4515861</v>
      </c>
      <c r="S124" s="42" t="str">
        <f>VLOOKUP(R124,'CA07-本月-盘点结果'!$B:$C,2,0)</f>
        <v>牛双筋（LB）</v>
      </c>
      <c r="T124" s="43">
        <f>VLOOKUP(R124,'CA07-本月-盘点结果'!B:I,8,0)</f>
        <v>85.54</v>
      </c>
      <c r="U124" s="44">
        <f>IFERROR(T124-Q124,0)</f>
        <v>85.54</v>
      </c>
      <c r="X124" s="41"/>
      <c r="Y124" t="s">
        <v>36</v>
      </c>
      <c r="Z124" s="77">
        <v>28.83</v>
      </c>
    </row>
    <row r="125" spans="1:26">
      <c r="A125" t="str">
        <f t="shared" si="5"/>
        <v>加拿大七店906006443081整份</v>
      </c>
      <c r="B125" s="78" t="s">
        <v>3000</v>
      </c>
      <c r="C125" s="47" t="s">
        <v>636</v>
      </c>
      <c r="D125" s="78" t="s">
        <v>3039</v>
      </c>
      <c r="E125" s="78" t="s">
        <v>3040</v>
      </c>
      <c r="F125" s="79">
        <v>9060064</v>
      </c>
      <c r="G125" s="79">
        <v>43081</v>
      </c>
      <c r="H125" s="55" t="s">
        <v>2612</v>
      </c>
      <c r="I125" s="47" t="s">
        <v>3077</v>
      </c>
      <c r="J125" s="78" t="s">
        <v>2436</v>
      </c>
      <c r="K125" s="79">
        <v>11.95</v>
      </c>
      <c r="L125" s="81" t="s">
        <v>2454</v>
      </c>
      <c r="M125" s="54">
        <f>IFERROR(VLOOKUP(A125,Sheet3!$A:$B,2,0),0)</f>
        <v>207</v>
      </c>
      <c r="N125">
        <v>0.3</v>
      </c>
      <c r="O125" s="66">
        <v>1.1</v>
      </c>
      <c r="P125">
        <v>2.2</v>
      </c>
      <c r="Q125">
        <f t="shared" si="4"/>
        <v>68.31</v>
      </c>
      <c r="R125" s="13">
        <v>1500680</v>
      </c>
      <c r="S125" s="42" t="str">
        <f>VLOOKUP(R125,'CA07-本月-盘点结果'!$B:$C,2,0)</f>
        <v>带皮去骨鸡腿肉（LB）</v>
      </c>
      <c r="T125" s="43">
        <f>VLOOKUP(R125,'CA07-本月-盘点结果'!B:I,8,0)</f>
        <v>1078.04</v>
      </c>
      <c r="U125" s="44">
        <f>T125-(Q125+Q126+Q193+Q194+Q195+Q220)*P125</f>
        <v>812.566</v>
      </c>
      <c r="X125" s="41"/>
      <c r="Y125" t="s">
        <v>36</v>
      </c>
      <c r="Z125" s="77">
        <v>127.69</v>
      </c>
    </row>
    <row r="126" spans="1:26">
      <c r="A126" t="str">
        <f t="shared" si="5"/>
        <v>加拿大七店906006478989半份</v>
      </c>
      <c r="B126" s="78" t="s">
        <v>3000</v>
      </c>
      <c r="C126" s="47" t="s">
        <v>636</v>
      </c>
      <c r="D126" s="78" t="s">
        <v>3039</v>
      </c>
      <c r="E126" s="78" t="s">
        <v>3040</v>
      </c>
      <c r="F126" s="79">
        <v>9060064</v>
      </c>
      <c r="G126" s="79">
        <v>78989</v>
      </c>
      <c r="H126" s="55" t="s">
        <v>2611</v>
      </c>
      <c r="I126" s="47" t="s">
        <v>3077</v>
      </c>
      <c r="J126" s="78" t="s">
        <v>2440</v>
      </c>
      <c r="K126" s="79">
        <v>5.95</v>
      </c>
      <c r="L126" s="81" t="s">
        <v>2454</v>
      </c>
      <c r="M126" s="54">
        <f>IFERROR(VLOOKUP(A126,Sheet3!$A:$B,2,0),0)</f>
        <v>242</v>
      </c>
      <c r="N126" s="82">
        <v>0.15</v>
      </c>
      <c r="O126" s="66">
        <v>1.1</v>
      </c>
      <c r="P126">
        <v>2.2</v>
      </c>
      <c r="Q126">
        <f t="shared" ref="Q126:Q185" si="7">M126*N126*O126</f>
        <v>39.93</v>
      </c>
      <c r="R126" s="13">
        <v>1500680</v>
      </c>
      <c r="S126" s="42" t="str">
        <f>VLOOKUP(R126,'CA07-本月-盘点结果'!$B:$C,2,0)</f>
        <v>带皮去骨鸡腿肉（LB）</v>
      </c>
      <c r="X126" s="41"/>
      <c r="Y126" t="s">
        <v>36</v>
      </c>
      <c r="Z126" s="77">
        <v>0</v>
      </c>
    </row>
    <row r="127" spans="1:26">
      <c r="A127" t="str">
        <f t="shared" si="5"/>
        <v>加拿大七店90101911004825半份</v>
      </c>
      <c r="B127" s="78" t="s">
        <v>3000</v>
      </c>
      <c r="C127" s="47" t="s">
        <v>636</v>
      </c>
      <c r="D127" s="78" t="s">
        <v>2437</v>
      </c>
      <c r="E127" s="78" t="s">
        <v>2438</v>
      </c>
      <c r="F127" s="79">
        <v>9010191</v>
      </c>
      <c r="G127" s="79">
        <v>1004825</v>
      </c>
      <c r="H127" s="55" t="s">
        <v>3078</v>
      </c>
      <c r="I127" s="47" t="s">
        <v>3079</v>
      </c>
      <c r="J127" s="78" t="s">
        <v>2440</v>
      </c>
      <c r="K127" s="79">
        <v>49.95</v>
      </c>
      <c r="L127" s="81" t="s">
        <v>2454</v>
      </c>
      <c r="M127" s="54">
        <f>IFERROR(VLOOKUP(A127,Sheet3!$A:$B,2,0),0)</f>
        <v>0</v>
      </c>
      <c r="N127" s="82">
        <v>0.15</v>
      </c>
      <c r="O127" s="66">
        <v>1.3</v>
      </c>
      <c r="P127">
        <v>2.2</v>
      </c>
      <c r="Q127">
        <f t="shared" si="7"/>
        <v>0</v>
      </c>
      <c r="R127" s="13">
        <v>4502210</v>
      </c>
      <c r="S127" s="42" t="e">
        <f>VLOOKUP(R127,'CA07-本月-盘点结果'!$B:$C,2,0)</f>
        <v>#N/A</v>
      </c>
      <c r="X127" s="41"/>
      <c r="Y127" t="e">
        <v>#N/A</v>
      </c>
      <c r="Z127" s="77">
        <v>0</v>
      </c>
    </row>
    <row r="128" spans="1:26">
      <c r="A128" t="str">
        <f t="shared" si="5"/>
        <v>加拿大七店901019130227整份</v>
      </c>
      <c r="B128" s="78" t="s">
        <v>3000</v>
      </c>
      <c r="C128" s="78" t="s">
        <v>636</v>
      </c>
      <c r="D128" s="78" t="s">
        <v>2437</v>
      </c>
      <c r="E128" s="78" t="s">
        <v>2438</v>
      </c>
      <c r="F128" s="79">
        <v>9010191</v>
      </c>
      <c r="G128" s="79">
        <v>30227</v>
      </c>
      <c r="H128" s="55" t="s">
        <v>3080</v>
      </c>
      <c r="I128" s="47" t="s">
        <v>3079</v>
      </c>
      <c r="J128" s="78" t="s">
        <v>2436</v>
      </c>
      <c r="K128" s="79">
        <v>49.95</v>
      </c>
      <c r="L128" s="81" t="s">
        <v>2454</v>
      </c>
      <c r="M128" s="54">
        <f>IFERROR(VLOOKUP(A128,Sheet3!$A:$B,2,0),0)</f>
        <v>0</v>
      </c>
      <c r="N128">
        <v>0.15</v>
      </c>
      <c r="O128" s="83">
        <v>1.3</v>
      </c>
      <c r="P128">
        <v>2.2</v>
      </c>
      <c r="Q128">
        <f t="shared" si="7"/>
        <v>0</v>
      </c>
      <c r="R128" s="13">
        <v>4502210</v>
      </c>
      <c r="S128" s="42" t="e">
        <f>VLOOKUP(R128,'CA07-本月-盘点结果'!$B:$C,2,0)</f>
        <v>#N/A</v>
      </c>
      <c r="T128" s="43" t="e">
        <f>VLOOKUP(R128,'CA07-本月-盘点结果'!B:I,8,0)</f>
        <v>#N/A</v>
      </c>
      <c r="U128" s="44" t="e">
        <f>T128-Q128*P128</f>
        <v>#N/A</v>
      </c>
      <c r="X128" s="41"/>
      <c r="Y128" t="e">
        <v>#N/A</v>
      </c>
      <c r="Z128" s="77" t="e">
        <v>#N/A</v>
      </c>
    </row>
    <row r="129" spans="1:26">
      <c r="A129" t="str">
        <f t="shared" si="5"/>
        <v>加拿大七店90301471001625半份</v>
      </c>
      <c r="B129" s="78" t="s">
        <v>3000</v>
      </c>
      <c r="C129" s="78" t="s">
        <v>636</v>
      </c>
      <c r="D129" s="78" t="s">
        <v>2437</v>
      </c>
      <c r="E129" s="78" t="s">
        <v>2464</v>
      </c>
      <c r="F129" s="79">
        <v>9030147</v>
      </c>
      <c r="G129" s="79">
        <v>1001625</v>
      </c>
      <c r="H129" s="55" t="s">
        <v>3081</v>
      </c>
      <c r="I129" s="47" t="s">
        <v>3082</v>
      </c>
      <c r="J129" s="78" t="s">
        <v>2440</v>
      </c>
      <c r="K129" s="79">
        <v>5.95</v>
      </c>
      <c r="L129" s="81" t="s">
        <v>2454</v>
      </c>
      <c r="M129" s="54">
        <f>IFERROR(VLOOKUP(A129,Sheet3!$A:$B,2,0),0)</f>
        <v>0</v>
      </c>
      <c r="N129">
        <v>0.2</v>
      </c>
      <c r="O129" s="83">
        <v>1.1</v>
      </c>
      <c r="Q129">
        <f t="shared" si="7"/>
        <v>0</v>
      </c>
      <c r="R129" s="13">
        <v>4501135</v>
      </c>
      <c r="S129" s="42" t="str">
        <f>VLOOKUP(R129,'CA07-本月-盘点结果'!$B:$C,2,0)</f>
        <v>青口贝（800G*12盒/件）</v>
      </c>
      <c r="T129" s="43">
        <f>VLOOKUP(R129,'CA07-本月-盘点结果'!B:I,8,0)</f>
        <v>27.2</v>
      </c>
      <c r="U129" s="44">
        <f>T129-Q129</f>
        <v>27.2</v>
      </c>
      <c r="X129" s="41"/>
      <c r="Y129" t="s">
        <v>73</v>
      </c>
      <c r="Z129" s="77">
        <v>20.8</v>
      </c>
    </row>
    <row r="130" spans="1:26">
      <c r="A130" t="str">
        <f t="shared" si="5"/>
        <v>加拿大七店903014732147整份</v>
      </c>
      <c r="B130" s="78" t="s">
        <v>3000</v>
      </c>
      <c r="C130" s="78" t="s">
        <v>636</v>
      </c>
      <c r="D130" s="78" t="s">
        <v>2437</v>
      </c>
      <c r="E130" s="78" t="s">
        <v>2464</v>
      </c>
      <c r="F130" s="79">
        <v>9030147</v>
      </c>
      <c r="G130" s="79">
        <v>32147</v>
      </c>
      <c r="H130" s="55" t="s">
        <v>3083</v>
      </c>
      <c r="I130" s="47" t="s">
        <v>3082</v>
      </c>
      <c r="J130" s="78" t="s">
        <v>2436</v>
      </c>
      <c r="K130" s="79">
        <v>11.95</v>
      </c>
      <c r="L130" s="81" t="s">
        <v>2454</v>
      </c>
      <c r="M130" s="54">
        <f>IFERROR(VLOOKUP(A130,Sheet3!$A:$B,2,0),0)</f>
        <v>0</v>
      </c>
      <c r="N130">
        <v>0.1</v>
      </c>
      <c r="O130" s="83">
        <v>1.1</v>
      </c>
      <c r="Q130">
        <f t="shared" si="7"/>
        <v>0</v>
      </c>
      <c r="R130">
        <v>4501135</v>
      </c>
      <c r="S130" s="42" t="str">
        <f>VLOOKUP(R130,'CA07-本月-盘点结果'!$B:$C,2,0)</f>
        <v>青口贝（800G*12盒/件）</v>
      </c>
      <c r="T130" s="43">
        <f>VLOOKUP(R130,'CA07-本月-盘点结果'!B:I,8,0)</f>
        <v>27.2</v>
      </c>
      <c r="X130" s="41"/>
      <c r="Y130" t="s">
        <v>73</v>
      </c>
      <c r="Z130" s="77">
        <v>0</v>
      </c>
    </row>
    <row r="131" s="2" customFormat="1" spans="1:26">
      <c r="A131" t="str">
        <f t="shared" si="5"/>
        <v>加拿大七店904006933069整份</v>
      </c>
      <c r="B131" s="78" t="s">
        <v>3000</v>
      </c>
      <c r="C131" s="78" t="s">
        <v>636</v>
      </c>
      <c r="D131" s="78" t="s">
        <v>2437</v>
      </c>
      <c r="E131" s="78" t="s">
        <v>2464</v>
      </c>
      <c r="F131" s="79">
        <v>9040069</v>
      </c>
      <c r="G131" s="79">
        <v>33069</v>
      </c>
      <c r="H131" s="55" t="s">
        <v>3084</v>
      </c>
      <c r="I131" s="47" t="s">
        <v>3085</v>
      </c>
      <c r="J131" s="78" t="s">
        <v>2436</v>
      </c>
      <c r="K131" s="79">
        <v>8.95</v>
      </c>
      <c r="L131" s="81" t="s">
        <v>2454</v>
      </c>
      <c r="M131" s="54">
        <f>IFERROR(VLOOKUP(A131,Sheet3!$A:$B,2,0),0)</f>
        <v>0</v>
      </c>
      <c r="N131">
        <v>0.15</v>
      </c>
      <c r="O131" s="83">
        <v>1.07</v>
      </c>
      <c r="P131">
        <v>2.2</v>
      </c>
      <c r="Q131">
        <f t="shared" si="7"/>
        <v>0</v>
      </c>
      <c r="R131">
        <v>4515865</v>
      </c>
      <c r="S131" s="42" t="e">
        <f>VLOOKUP(R131,'CA07-本月-盘点结果'!$B:$C,2,0)</f>
        <v>#N/A</v>
      </c>
      <c r="T131" s="43"/>
      <c r="U131" s="44">
        <f>(T131-Q131)*P131</f>
        <v>0</v>
      </c>
      <c r="V131"/>
      <c r="W131"/>
      <c r="X131" s="41"/>
      <c r="Y131" t="e">
        <v>#N/A</v>
      </c>
      <c r="Z131" s="77">
        <v>0</v>
      </c>
    </row>
    <row r="132" spans="1:26">
      <c r="A132" t="str">
        <f t="shared" si="5"/>
        <v>加拿大七店904037333439整份</v>
      </c>
      <c r="B132" s="78" t="s">
        <v>3000</v>
      </c>
      <c r="C132" s="78" t="s">
        <v>636</v>
      </c>
      <c r="D132" s="78" t="s">
        <v>2437</v>
      </c>
      <c r="E132" s="78" t="s">
        <v>2438</v>
      </c>
      <c r="F132" s="79">
        <v>9040373</v>
      </c>
      <c r="G132" s="79">
        <v>33439</v>
      </c>
      <c r="H132" s="55" t="s">
        <v>3086</v>
      </c>
      <c r="I132" s="47" t="s">
        <v>3087</v>
      </c>
      <c r="J132" s="78" t="s">
        <v>2436</v>
      </c>
      <c r="K132" s="79">
        <v>8.95</v>
      </c>
      <c r="L132" s="81" t="s">
        <v>2454</v>
      </c>
      <c r="M132" s="54">
        <f>IFERROR(VLOOKUP(A132,Sheet3!$A:$B,2,0),0)</f>
        <v>0</v>
      </c>
      <c r="N132">
        <v>0.16</v>
      </c>
      <c r="O132" s="83">
        <v>1.2</v>
      </c>
      <c r="P132">
        <v>2.2</v>
      </c>
      <c r="Q132">
        <f t="shared" si="7"/>
        <v>0</v>
      </c>
      <c r="R132" s="13">
        <v>1500682</v>
      </c>
      <c r="S132" s="42" t="str">
        <f>VLOOKUP(R132,'CA07-本月-盘点结果'!$B:$C,2,0)</f>
        <v>梅花猪肉（LB）</v>
      </c>
      <c r="X132" s="41"/>
      <c r="Y132" t="s">
        <v>36</v>
      </c>
      <c r="Z132" s="77">
        <v>0</v>
      </c>
    </row>
    <row r="133" spans="1:26">
      <c r="A133" t="str">
        <f t="shared" si="5"/>
        <v>加拿大七店7000084077746整份</v>
      </c>
      <c r="B133" s="78" t="s">
        <v>3000</v>
      </c>
      <c r="C133" s="78" t="s">
        <v>636</v>
      </c>
      <c r="D133" s="78" t="s">
        <v>2437</v>
      </c>
      <c r="E133" s="78" t="s">
        <v>2438</v>
      </c>
      <c r="F133" s="79">
        <v>70000840</v>
      </c>
      <c r="G133" s="79">
        <v>77746</v>
      </c>
      <c r="H133" s="55" t="s">
        <v>3088</v>
      </c>
      <c r="I133" s="47" t="s">
        <v>3088</v>
      </c>
      <c r="J133" s="78" t="s">
        <v>2436</v>
      </c>
      <c r="K133" s="79">
        <v>8.95</v>
      </c>
      <c r="L133" s="81" t="s">
        <v>2454</v>
      </c>
      <c r="M133" s="54">
        <f>IFERROR(VLOOKUP(A133,Sheet3!$A:$B,2,0),0)</f>
        <v>0</v>
      </c>
      <c r="N133">
        <v>0.16</v>
      </c>
      <c r="O133" s="83">
        <v>1.05</v>
      </c>
      <c r="P133">
        <v>2.2</v>
      </c>
      <c r="Q133">
        <f t="shared" si="7"/>
        <v>0</v>
      </c>
      <c r="R133" s="13">
        <v>1501672</v>
      </c>
      <c r="S133" s="42" t="e">
        <f>VLOOKUP(R133,'CA07-本月-盘点结果'!$B:$C,2,0)</f>
        <v>#N/A</v>
      </c>
      <c r="U133" s="44">
        <f>(T133-Q133)*P133</f>
        <v>0</v>
      </c>
      <c r="X133" s="41"/>
      <c r="Y133" t="e">
        <v>#N/A</v>
      </c>
      <c r="Z133" s="77">
        <v>0</v>
      </c>
    </row>
    <row r="134" spans="1:26">
      <c r="A134" t="str">
        <f t="shared" si="5"/>
        <v>加拿大七店904019733201整份</v>
      </c>
      <c r="B134" s="78" t="s">
        <v>3000</v>
      </c>
      <c r="C134" s="78" t="s">
        <v>636</v>
      </c>
      <c r="D134" s="78" t="s">
        <v>2437</v>
      </c>
      <c r="E134" s="78" t="s">
        <v>2474</v>
      </c>
      <c r="F134" s="79">
        <v>9040197</v>
      </c>
      <c r="G134" s="79">
        <v>33201</v>
      </c>
      <c r="H134" s="55" t="s">
        <v>3089</v>
      </c>
      <c r="I134" s="47" t="s">
        <v>3089</v>
      </c>
      <c r="J134" s="78" t="s">
        <v>2436</v>
      </c>
      <c r="K134" s="79">
        <v>10.95</v>
      </c>
      <c r="L134" s="81" t="s">
        <v>2454</v>
      </c>
      <c r="M134" s="54">
        <f>IFERROR(VLOOKUP(A134,Sheet3!$A:$B,2,0),0)</f>
        <v>0</v>
      </c>
      <c r="N134">
        <v>0.12</v>
      </c>
      <c r="O134" s="83">
        <v>1</v>
      </c>
      <c r="P134">
        <v>2.2</v>
      </c>
      <c r="Q134">
        <f t="shared" si="7"/>
        <v>0</v>
      </c>
      <c r="R134" s="13">
        <v>1501588</v>
      </c>
      <c r="S134" s="42" t="e">
        <f>VLOOKUP(R134,'CA07-本月-盘点结果'!$B:$C,2,0)</f>
        <v>#N/A</v>
      </c>
      <c r="T134" s="43" t="e">
        <f>VLOOKUP(R134,'CA07-本月-盘点结果'!B:I,8,0)</f>
        <v>#N/A</v>
      </c>
      <c r="U134" s="44" t="e">
        <f>(T134-Q134)*P134</f>
        <v>#N/A</v>
      </c>
      <c r="X134" s="41"/>
      <c r="Y134" t="e">
        <v>#N/A</v>
      </c>
      <c r="Z134" s="77" t="e">
        <v>#N/A</v>
      </c>
    </row>
    <row r="135" spans="1:26">
      <c r="A135" t="str">
        <f t="shared" ref="A135:A195" si="8">C135&amp;F135&amp;G135&amp;J135</f>
        <v>加拿大七店904041733491整份</v>
      </c>
      <c r="B135" s="78" t="s">
        <v>3000</v>
      </c>
      <c r="C135" s="78" t="s">
        <v>636</v>
      </c>
      <c r="D135" s="78" t="s">
        <v>2437</v>
      </c>
      <c r="E135" s="78" t="s">
        <v>2474</v>
      </c>
      <c r="F135" s="79">
        <v>9040417</v>
      </c>
      <c r="G135" s="79">
        <v>33491</v>
      </c>
      <c r="H135" s="55" t="s">
        <v>1053</v>
      </c>
      <c r="I135" s="47" t="s">
        <v>1053</v>
      </c>
      <c r="J135" s="78" t="s">
        <v>2436</v>
      </c>
      <c r="K135" s="79">
        <v>15.95</v>
      </c>
      <c r="L135" s="81" t="s">
        <v>2454</v>
      </c>
      <c r="M135" s="54">
        <f>IFERROR(VLOOKUP(A135,Sheet3!$A:$B,2,0),0)</f>
        <v>0</v>
      </c>
      <c r="N135">
        <v>0.16</v>
      </c>
      <c r="O135" s="83">
        <v>1.1</v>
      </c>
      <c r="P135">
        <v>2.2</v>
      </c>
      <c r="Q135">
        <f t="shared" si="7"/>
        <v>0</v>
      </c>
      <c r="R135">
        <v>4504167</v>
      </c>
      <c r="S135" s="42" t="str">
        <f>VLOOKUP(R135,'CA07-本月-盘点结果'!$B:$C,2,0)</f>
        <v>猪肚（LB）</v>
      </c>
      <c r="X135" s="41"/>
      <c r="Y135" t="s">
        <v>36</v>
      </c>
      <c r="Z135" s="77">
        <v>0</v>
      </c>
    </row>
    <row r="136" spans="1:26">
      <c r="A136" t="str">
        <f t="shared" si="8"/>
        <v>加拿大七店904041733492半份</v>
      </c>
      <c r="B136" s="78" t="s">
        <v>3000</v>
      </c>
      <c r="C136" s="78" t="s">
        <v>636</v>
      </c>
      <c r="D136" s="78" t="s">
        <v>2437</v>
      </c>
      <c r="E136" s="78" t="s">
        <v>2474</v>
      </c>
      <c r="F136" s="79">
        <v>9040417</v>
      </c>
      <c r="G136" s="79">
        <v>33492</v>
      </c>
      <c r="H136" s="55" t="s">
        <v>3090</v>
      </c>
      <c r="I136" s="47" t="s">
        <v>1053</v>
      </c>
      <c r="J136" s="78" t="s">
        <v>2440</v>
      </c>
      <c r="K136" s="79">
        <v>7.95</v>
      </c>
      <c r="L136" s="81" t="s">
        <v>2454</v>
      </c>
      <c r="M136" s="54">
        <f>IFERROR(VLOOKUP(A136,Sheet3!$A:$B,2,0),0)</f>
        <v>0</v>
      </c>
      <c r="N136">
        <v>0.08</v>
      </c>
      <c r="O136" s="83">
        <v>1.1</v>
      </c>
      <c r="P136">
        <v>2.2</v>
      </c>
      <c r="Q136">
        <f t="shared" si="7"/>
        <v>0</v>
      </c>
      <c r="R136">
        <v>4504167</v>
      </c>
      <c r="S136" s="42" t="str">
        <f>VLOOKUP(R136,'CA07-本月-盘点结果'!$B:$C,2,0)</f>
        <v>猪肚（LB）</v>
      </c>
      <c r="X136" s="41"/>
      <c r="Y136" t="s">
        <v>36</v>
      </c>
      <c r="Z136" s="77">
        <v>0</v>
      </c>
    </row>
    <row r="137" spans="1:26">
      <c r="A137" t="str">
        <f t="shared" si="8"/>
        <v>加拿大七店131000513144拼锅</v>
      </c>
      <c r="B137" s="78" t="s">
        <v>3000</v>
      </c>
      <c r="C137" s="78" t="s">
        <v>636</v>
      </c>
      <c r="D137" s="78" t="s">
        <v>2458</v>
      </c>
      <c r="E137" s="78" t="s">
        <v>2458</v>
      </c>
      <c r="F137" s="79">
        <v>1310005</v>
      </c>
      <c r="G137" s="79">
        <v>13144</v>
      </c>
      <c r="H137" s="55" t="s">
        <v>2352</v>
      </c>
      <c r="I137" s="47" t="s">
        <v>2352</v>
      </c>
      <c r="J137" s="78" t="s">
        <v>2457</v>
      </c>
      <c r="K137" s="79">
        <v>11.95</v>
      </c>
      <c r="L137" s="81" t="s">
        <v>3001</v>
      </c>
      <c r="M137" s="54">
        <f>IFERROR(VLOOKUP(A137,Sheet3!$A:$B,2,0),0)</f>
        <v>0</v>
      </c>
      <c r="N137">
        <v>0.3</v>
      </c>
      <c r="O137" s="83">
        <v>1</v>
      </c>
      <c r="Q137">
        <f t="shared" si="7"/>
        <v>0</v>
      </c>
      <c r="R137" s="13">
        <v>1501043</v>
      </c>
      <c r="S137" s="42" t="str">
        <f>VLOOKUP(R137,'CA07-本月-盘点结果'!$B:$C,2,0)</f>
        <v>大叻沙（田师傅，1KG*12包/箱）</v>
      </c>
      <c r="U137" s="44">
        <f>T137-Q137-Q138-Q139</f>
        <v>0</v>
      </c>
      <c r="X137" s="41"/>
      <c r="Y137" t="e">
        <v>#N/A</v>
      </c>
      <c r="Z137" s="77">
        <v>0</v>
      </c>
    </row>
    <row r="138" spans="1:26">
      <c r="A138" t="str">
        <f t="shared" si="8"/>
        <v>加拿大七店131000513173四宫格</v>
      </c>
      <c r="B138" s="78" t="s">
        <v>3000</v>
      </c>
      <c r="C138" s="78" t="s">
        <v>636</v>
      </c>
      <c r="D138" s="78" t="s">
        <v>2458</v>
      </c>
      <c r="E138" s="78" t="s">
        <v>2458</v>
      </c>
      <c r="F138" s="79">
        <v>1310005</v>
      </c>
      <c r="G138" s="79">
        <v>13173</v>
      </c>
      <c r="H138" s="55" t="s">
        <v>2352</v>
      </c>
      <c r="I138" s="47" t="s">
        <v>2352</v>
      </c>
      <c r="J138" s="78" t="s">
        <v>2460</v>
      </c>
      <c r="K138" s="79">
        <v>5.95</v>
      </c>
      <c r="L138" s="81" t="s">
        <v>3001</v>
      </c>
      <c r="M138" s="54">
        <f>IFERROR(VLOOKUP(A138,Sheet3!$A:$B,2,0),0)</f>
        <v>0</v>
      </c>
      <c r="N138">
        <v>0.15</v>
      </c>
      <c r="O138" s="83">
        <v>1</v>
      </c>
      <c r="Q138">
        <f t="shared" si="7"/>
        <v>0</v>
      </c>
      <c r="R138" s="13">
        <v>1501043</v>
      </c>
      <c r="S138" s="42" t="str">
        <f>VLOOKUP(R138,'CA07-本月-盘点结果'!$B:$C,2,0)</f>
        <v>大叻沙（田师傅，1KG*12包/箱）</v>
      </c>
      <c r="T138" s="43">
        <f>VLOOKUP(R138,'CA07-本月-盘点结果'!B:I,8,0)</f>
        <v>90</v>
      </c>
      <c r="X138" s="41"/>
      <c r="Y138" t="e">
        <v>#N/A</v>
      </c>
      <c r="Z138" s="77">
        <v>0</v>
      </c>
    </row>
    <row r="139" spans="1:26">
      <c r="A139" t="str">
        <f t="shared" si="8"/>
        <v>加拿大七店131000537004单锅</v>
      </c>
      <c r="B139" s="78" t="s">
        <v>3000</v>
      </c>
      <c r="C139" s="78" t="s">
        <v>636</v>
      </c>
      <c r="D139" s="78" t="s">
        <v>2458</v>
      </c>
      <c r="E139" s="78" t="s">
        <v>2458</v>
      </c>
      <c r="F139" s="79">
        <v>1310005</v>
      </c>
      <c r="G139" s="79">
        <v>37004</v>
      </c>
      <c r="H139" s="55" t="s">
        <v>2352</v>
      </c>
      <c r="I139" s="47" t="s">
        <v>2352</v>
      </c>
      <c r="J139" s="78" t="s">
        <v>2507</v>
      </c>
      <c r="K139" s="79">
        <v>22.95</v>
      </c>
      <c r="L139" s="81" t="s">
        <v>3001</v>
      </c>
      <c r="M139" s="54">
        <f>IFERROR(VLOOKUP(A139,Sheet3!$A:$B,2,0),0)</f>
        <v>0</v>
      </c>
      <c r="N139">
        <v>0.6</v>
      </c>
      <c r="O139" s="83">
        <v>1</v>
      </c>
      <c r="Q139">
        <f t="shared" si="7"/>
        <v>0</v>
      </c>
      <c r="R139" s="13">
        <v>1501043</v>
      </c>
      <c r="S139" s="42" t="str">
        <f>VLOOKUP(R139,'CA07-本月-盘点结果'!$B:$C,2,0)</f>
        <v>大叻沙（田师傅，1KG*12包/箱）</v>
      </c>
      <c r="T139" s="43">
        <f>VLOOKUP(R139,'CA07-本月-盘点结果'!B:I,8,0)*P139</f>
        <v>0</v>
      </c>
      <c r="X139" s="41"/>
      <c r="Y139" t="e">
        <v>#N/A</v>
      </c>
      <c r="Z139" s="77">
        <v>0</v>
      </c>
    </row>
    <row r="140" spans="1:26">
      <c r="A140" t="str">
        <f t="shared" si="8"/>
        <v>加拿大七店120100491002262常温</v>
      </c>
      <c r="B140" s="78" t="s">
        <v>3000</v>
      </c>
      <c r="C140" s="78" t="s">
        <v>636</v>
      </c>
      <c r="D140" s="78" t="s">
        <v>2452</v>
      </c>
      <c r="E140" s="78" t="s">
        <v>2452</v>
      </c>
      <c r="F140" s="79">
        <v>12010049</v>
      </c>
      <c r="G140" s="79">
        <v>1002262</v>
      </c>
      <c r="H140" s="55" t="s">
        <v>2358</v>
      </c>
      <c r="I140" s="47" t="s">
        <v>3091</v>
      </c>
      <c r="J140" s="78" t="s">
        <v>2672</v>
      </c>
      <c r="K140" s="79">
        <v>2.95</v>
      </c>
      <c r="L140" s="81" t="s">
        <v>2642</v>
      </c>
      <c r="M140" s="54">
        <f>IFERROR(VLOOKUP(A140,Sheet3!$A:$B,2,0),0)</f>
        <v>0</v>
      </c>
      <c r="N140">
        <v>1</v>
      </c>
      <c r="O140" s="83">
        <v>1</v>
      </c>
      <c r="Q140">
        <f t="shared" si="7"/>
        <v>0</v>
      </c>
      <c r="R140">
        <v>1500900</v>
      </c>
      <c r="S140" s="42" t="e">
        <f>VLOOKUP(R140,'CA07-本月-盘点结果'!$B:$C,2,0)</f>
        <v>#N/A</v>
      </c>
      <c r="U140" s="44">
        <f>T140-Q140-Q141</f>
        <v>0</v>
      </c>
      <c r="X140" s="41"/>
      <c r="Y140" t="e">
        <v>#N/A</v>
      </c>
      <c r="Z140" s="77">
        <v>0</v>
      </c>
    </row>
    <row r="141" spans="1:26">
      <c r="A141" t="str">
        <f t="shared" si="8"/>
        <v>加拿大七店120100491002263冰镇</v>
      </c>
      <c r="B141" s="78" t="s">
        <v>3000</v>
      </c>
      <c r="C141" s="78" t="s">
        <v>636</v>
      </c>
      <c r="D141" s="78" t="s">
        <v>2452</v>
      </c>
      <c r="E141" s="78" t="s">
        <v>2452</v>
      </c>
      <c r="F141" s="79">
        <v>12010049</v>
      </c>
      <c r="G141" s="79">
        <v>1002263</v>
      </c>
      <c r="H141" s="55" t="s">
        <v>2358</v>
      </c>
      <c r="I141" s="47" t="s">
        <v>3091</v>
      </c>
      <c r="J141" s="78" t="s">
        <v>2450</v>
      </c>
      <c r="K141" s="79">
        <v>2.95</v>
      </c>
      <c r="L141" s="81" t="s">
        <v>2642</v>
      </c>
      <c r="M141" s="54">
        <f>IFERROR(VLOOKUP(A141,Sheet3!$A:$B,2,0),0)</f>
        <v>0</v>
      </c>
      <c r="N141">
        <v>1</v>
      </c>
      <c r="O141" s="83">
        <v>1</v>
      </c>
      <c r="Q141">
        <f t="shared" si="7"/>
        <v>0</v>
      </c>
      <c r="R141" s="13">
        <v>1500900</v>
      </c>
      <c r="S141" s="42" t="e">
        <f>VLOOKUP(R141,'CA07-本月-盘点结果'!$B:$C,2,0)</f>
        <v>#N/A</v>
      </c>
      <c r="T141" s="43" t="e">
        <f>VLOOKUP(R141,'CA07-本月-盘点结果'!B:I,8,0)</f>
        <v>#N/A</v>
      </c>
      <c r="X141" s="41"/>
      <c r="Y141" t="e">
        <v>#N/A</v>
      </c>
      <c r="Z141" s="77">
        <v>0</v>
      </c>
    </row>
    <row r="142" spans="1:26">
      <c r="A142" t="str">
        <f t="shared" si="8"/>
        <v>加拿大七店902013431099整份</v>
      </c>
      <c r="B142" s="78" t="s">
        <v>3000</v>
      </c>
      <c r="C142" s="78" t="s">
        <v>636</v>
      </c>
      <c r="D142" s="78" t="s">
        <v>2437</v>
      </c>
      <c r="E142" s="78" t="s">
        <v>2499</v>
      </c>
      <c r="F142" s="79">
        <v>9020134</v>
      </c>
      <c r="G142" s="79">
        <v>31099</v>
      </c>
      <c r="H142" s="55" t="s">
        <v>3092</v>
      </c>
      <c r="I142" s="47" t="s">
        <v>3092</v>
      </c>
      <c r="J142" s="78" t="s">
        <v>2436</v>
      </c>
      <c r="K142" s="79">
        <v>7.95</v>
      </c>
      <c r="L142" s="81" t="s">
        <v>2454</v>
      </c>
      <c r="M142" s="54">
        <f>IFERROR(VLOOKUP(A142,Sheet3!$A:$B,2,0),0)</f>
        <v>0</v>
      </c>
      <c r="N142">
        <v>0.2</v>
      </c>
      <c r="O142" s="83">
        <v>1</v>
      </c>
      <c r="P142">
        <v>2.2</v>
      </c>
      <c r="Q142">
        <f t="shared" si="7"/>
        <v>0</v>
      </c>
      <c r="R142" s="13">
        <v>1501685</v>
      </c>
      <c r="S142" s="42" t="e">
        <f>VLOOKUP(R142,'CA07-本月-盘点结果'!$B:$C,2,0)</f>
        <v>#N/A</v>
      </c>
      <c r="U142" s="44">
        <f>(T142-Q142-Q143)*P142</f>
        <v>0</v>
      </c>
      <c r="X142" s="41"/>
      <c r="Y142" t="e">
        <v>#N/A</v>
      </c>
      <c r="Z142" s="77">
        <v>0</v>
      </c>
    </row>
    <row r="143" spans="1:26">
      <c r="A143" t="str">
        <f t="shared" si="8"/>
        <v>加拿大七店902013431100半份</v>
      </c>
      <c r="B143" t="s">
        <v>3000</v>
      </c>
      <c r="C143" t="s">
        <v>636</v>
      </c>
      <c r="D143" t="s">
        <v>2437</v>
      </c>
      <c r="E143" t="s">
        <v>2499</v>
      </c>
      <c r="F143" s="40">
        <v>9020134</v>
      </c>
      <c r="G143" s="40">
        <v>31100</v>
      </c>
      <c r="H143" s="41" t="s">
        <v>3093</v>
      </c>
      <c r="I143" s="47" t="s">
        <v>3092</v>
      </c>
      <c r="J143" t="s">
        <v>2440</v>
      </c>
      <c r="K143" s="40">
        <v>4.95</v>
      </c>
      <c r="L143" s="16" t="s">
        <v>2454</v>
      </c>
      <c r="M143" s="54">
        <f>IFERROR(VLOOKUP(A143,Sheet3!$A:$B,2,0),0)</f>
        <v>0</v>
      </c>
      <c r="N143">
        <v>0.12</v>
      </c>
      <c r="O143" s="83">
        <v>1</v>
      </c>
      <c r="P143">
        <v>2.2</v>
      </c>
      <c r="Q143">
        <f t="shared" si="7"/>
        <v>0</v>
      </c>
      <c r="R143" s="13">
        <v>1501685</v>
      </c>
      <c r="S143" s="42" t="e">
        <f>VLOOKUP(R143,'CA07-本月-盘点结果'!$B:$C,2,0)</f>
        <v>#N/A</v>
      </c>
      <c r="T143" s="43" t="e">
        <f>VLOOKUP(R143,'CA07-本月-盘点结果'!B:I,8,0)</f>
        <v>#N/A</v>
      </c>
      <c r="X143" s="41"/>
      <c r="Y143" t="e">
        <v>#N/A</v>
      </c>
      <c r="Z143" s="77">
        <v>0</v>
      </c>
    </row>
    <row r="144" spans="1:26">
      <c r="A144" t="str">
        <f t="shared" si="8"/>
        <v>加拿大七店130103041000865个</v>
      </c>
      <c r="B144" t="s">
        <v>3000</v>
      </c>
      <c r="C144" t="s">
        <v>636</v>
      </c>
      <c r="D144" t="s">
        <v>2452</v>
      </c>
      <c r="E144" t="s">
        <v>3094</v>
      </c>
      <c r="F144" s="40">
        <v>13010304</v>
      </c>
      <c r="G144" s="40">
        <v>1000865</v>
      </c>
      <c r="H144" s="41" t="s">
        <v>2683</v>
      </c>
      <c r="I144" s="47" t="s">
        <v>2683</v>
      </c>
      <c r="J144" t="s">
        <v>20</v>
      </c>
      <c r="K144" s="40">
        <v>7.95</v>
      </c>
      <c r="L144" s="16" t="s">
        <v>20</v>
      </c>
      <c r="M144" s="54">
        <f>IFERROR(VLOOKUP(A144,Sheet3!$A:$B,2,0),0)</f>
        <v>0</v>
      </c>
      <c r="N144">
        <v>1</v>
      </c>
      <c r="O144" s="83">
        <v>1</v>
      </c>
      <c r="P144">
        <v>9</v>
      </c>
      <c r="Q144">
        <f t="shared" si="7"/>
        <v>0</v>
      </c>
      <c r="R144" s="13">
        <v>4518928</v>
      </c>
      <c r="S144" s="42" t="e">
        <f>VLOOKUP(R144,'CA07-本月-盘点结果'!$B:$C,2,0)</f>
        <v>#N/A</v>
      </c>
      <c r="T144" s="43" t="e">
        <f>VLOOKUP(R144,'CA07-本月-盘点结果'!B:I,8,0)</f>
        <v>#N/A</v>
      </c>
      <c r="U144" s="44" t="e">
        <f>(T144-Q144)</f>
        <v>#N/A</v>
      </c>
      <c r="X144" s="41"/>
      <c r="Y144" t="s">
        <v>407</v>
      </c>
      <c r="Z144" s="77">
        <v>21</v>
      </c>
    </row>
    <row r="145" spans="1:26">
      <c r="A145" t="str">
        <f t="shared" si="8"/>
        <v>加拿大七店90305001002299份</v>
      </c>
      <c r="B145" s="78" t="s">
        <v>3000</v>
      </c>
      <c r="C145" s="78" t="s">
        <v>636</v>
      </c>
      <c r="D145" s="78" t="s">
        <v>2441</v>
      </c>
      <c r="E145" s="78" t="s">
        <v>2455</v>
      </c>
      <c r="F145" s="79">
        <v>9030500</v>
      </c>
      <c r="G145" s="79">
        <v>1002299</v>
      </c>
      <c r="H145" s="55" t="s">
        <v>3095</v>
      </c>
      <c r="I145" s="47" t="s">
        <v>3095</v>
      </c>
      <c r="J145" s="78" t="s">
        <v>2454</v>
      </c>
      <c r="K145" s="79">
        <v>19.95</v>
      </c>
      <c r="L145" s="81" t="s">
        <v>2454</v>
      </c>
      <c r="M145" s="54">
        <f>IFERROR(VLOOKUP(A145,Sheet3!$A:$B,2,0),0)</f>
        <v>0</v>
      </c>
      <c r="N145">
        <v>1</v>
      </c>
      <c r="O145" s="83">
        <v>1</v>
      </c>
      <c r="Q145">
        <f t="shared" si="7"/>
        <v>0</v>
      </c>
      <c r="R145" s="13">
        <v>4721390</v>
      </c>
      <c r="S145" s="42" t="e">
        <f>VLOOKUP(R145,'CA07-本月-盘点结果'!$B:$C,2,0)</f>
        <v>#N/A</v>
      </c>
      <c r="T145" s="43" t="e">
        <f>VLOOKUP(R145,'CA07-本月-盘点结果'!B:I,8,0)</f>
        <v>#N/A</v>
      </c>
      <c r="U145" s="44" t="e">
        <f>T145-Q145</f>
        <v>#N/A</v>
      </c>
      <c r="X145" s="41"/>
      <c r="Y145" t="e">
        <v>#N/A</v>
      </c>
      <c r="Z145" s="77" t="e">
        <v>#N/A</v>
      </c>
    </row>
    <row r="146" spans="1:26">
      <c r="A146" t="str">
        <f t="shared" si="8"/>
        <v>加拿大七店90305171002302份</v>
      </c>
      <c r="B146" s="78" t="s">
        <v>3000</v>
      </c>
      <c r="C146" s="78" t="s">
        <v>636</v>
      </c>
      <c r="D146" s="78" t="s">
        <v>2441</v>
      </c>
      <c r="E146" s="78" t="s">
        <v>2455</v>
      </c>
      <c r="F146" s="79">
        <v>9030517</v>
      </c>
      <c r="G146" s="79">
        <v>1002302</v>
      </c>
      <c r="H146" s="55" t="s">
        <v>3096</v>
      </c>
      <c r="I146" s="47" t="s">
        <v>3096</v>
      </c>
      <c r="J146" s="78" t="s">
        <v>2454</v>
      </c>
      <c r="K146" s="79">
        <v>19.95</v>
      </c>
      <c r="L146" s="81" t="s">
        <v>2454</v>
      </c>
      <c r="M146" s="54">
        <f>IFERROR(VLOOKUP(A146,Sheet3!$A:$B,2,0),0)</f>
        <v>0</v>
      </c>
      <c r="N146">
        <v>1</v>
      </c>
      <c r="O146" s="83">
        <v>1</v>
      </c>
      <c r="Q146">
        <f t="shared" si="7"/>
        <v>0</v>
      </c>
      <c r="R146" s="13">
        <v>4721391</v>
      </c>
      <c r="S146" s="42" t="e">
        <f>VLOOKUP(R146,'CA07-本月-盘点结果'!$B:$C,2,0)</f>
        <v>#N/A</v>
      </c>
      <c r="U146" s="44">
        <f>T146-Q146</f>
        <v>0</v>
      </c>
      <c r="X146" s="41"/>
      <c r="Y146" t="e">
        <v>#N/A</v>
      </c>
      <c r="Z146" s="77">
        <v>0</v>
      </c>
    </row>
    <row r="147" spans="1:26">
      <c r="A147" t="str">
        <f t="shared" si="8"/>
        <v>加拿大七店900023781005018整份</v>
      </c>
      <c r="B147" s="78" t="s">
        <v>3000</v>
      </c>
      <c r="C147" s="78" t="s">
        <v>636</v>
      </c>
      <c r="D147" s="78" t="s">
        <v>2441</v>
      </c>
      <c r="E147" s="78" t="s">
        <v>2455</v>
      </c>
      <c r="F147" s="79">
        <v>90002378</v>
      </c>
      <c r="G147" s="79">
        <v>1005018</v>
      </c>
      <c r="H147" s="55" t="s">
        <v>3097</v>
      </c>
      <c r="I147" s="47" t="s">
        <v>3097</v>
      </c>
      <c r="J147" s="78" t="s">
        <v>2436</v>
      </c>
      <c r="K147" s="79">
        <v>6.95</v>
      </c>
      <c r="L147" s="81" t="s">
        <v>2454</v>
      </c>
      <c r="M147" s="54">
        <f>IFERROR(VLOOKUP(A147,Sheet3!$A:$B,2,0),0)</f>
        <v>0</v>
      </c>
      <c r="N147">
        <v>2</v>
      </c>
      <c r="O147" s="83">
        <v>1</v>
      </c>
      <c r="P147">
        <v>6</v>
      </c>
      <c r="Q147">
        <f t="shared" si="7"/>
        <v>0</v>
      </c>
      <c r="R147" s="13">
        <v>4041178</v>
      </c>
      <c r="S147" s="42" t="e">
        <f>VLOOKUP(R147,'CA07-本月-盘点结果'!$B:$C,2,0)</f>
        <v>#N/A</v>
      </c>
      <c r="T147" s="43" t="e">
        <f>VLOOKUP(R147,'CA07-本月-盘点结果'!B:I,8,0)</f>
        <v>#N/A</v>
      </c>
      <c r="U147" s="44" t="e">
        <f>(T147-Q147)/P147</f>
        <v>#N/A</v>
      </c>
      <c r="X147" s="41"/>
      <c r="Y147" t="e">
        <v>#N/A</v>
      </c>
      <c r="Z147" s="77" t="e">
        <v>#N/A</v>
      </c>
    </row>
    <row r="148" spans="1:26">
      <c r="A148" t="str">
        <f t="shared" si="8"/>
        <v>加拿大七店110100861001971半份</v>
      </c>
      <c r="B148" s="78" t="s">
        <v>3000</v>
      </c>
      <c r="C148" s="78" t="s">
        <v>636</v>
      </c>
      <c r="D148" s="78" t="s">
        <v>2445</v>
      </c>
      <c r="E148" s="78" t="s">
        <v>2477</v>
      </c>
      <c r="F148" s="79">
        <v>11010086</v>
      </c>
      <c r="G148" s="79">
        <v>1001971</v>
      </c>
      <c r="H148" s="55" t="s">
        <v>3098</v>
      </c>
      <c r="I148" s="47" t="s">
        <v>3099</v>
      </c>
      <c r="J148" s="78" t="s">
        <v>2440</v>
      </c>
      <c r="K148" s="79">
        <v>2.95</v>
      </c>
      <c r="L148" s="81" t="s">
        <v>2454</v>
      </c>
      <c r="M148" s="54">
        <f>IFERROR(VLOOKUP(A148,Sheet3!$A:$B,2,0),0)</f>
        <v>0</v>
      </c>
      <c r="N148">
        <v>0.1</v>
      </c>
      <c r="O148" s="83">
        <v>1</v>
      </c>
      <c r="P148">
        <v>0.454</v>
      </c>
      <c r="Q148">
        <f t="shared" si="7"/>
        <v>0</v>
      </c>
      <c r="R148" s="13">
        <v>1500720</v>
      </c>
      <c r="S148" s="42" t="e">
        <f>VLOOKUP(R148,'CA07-本月-盘点结果'!$B:$C,2,0)</f>
        <v>#N/A</v>
      </c>
      <c r="U148" s="44">
        <f>(T148-Q148-Q149-W148-W149)/P148</f>
        <v>0</v>
      </c>
      <c r="X148" s="41"/>
      <c r="Y148" t="e">
        <v>#N/A</v>
      </c>
      <c r="Z148" s="77">
        <v>0</v>
      </c>
    </row>
    <row r="149" spans="1:26">
      <c r="A149" t="str">
        <f t="shared" si="8"/>
        <v>加拿大七店1101008650089整份</v>
      </c>
      <c r="B149" s="78" t="s">
        <v>3000</v>
      </c>
      <c r="C149" s="78" t="s">
        <v>636</v>
      </c>
      <c r="D149" s="78" t="s">
        <v>2445</v>
      </c>
      <c r="E149" s="78" t="s">
        <v>2477</v>
      </c>
      <c r="F149" s="79">
        <v>11010086</v>
      </c>
      <c r="G149" s="79">
        <v>50089</v>
      </c>
      <c r="H149" s="55" t="s">
        <v>3100</v>
      </c>
      <c r="I149" s="47" t="s">
        <v>3099</v>
      </c>
      <c r="J149" s="78" t="s">
        <v>2436</v>
      </c>
      <c r="K149" s="79">
        <v>5.95</v>
      </c>
      <c r="L149" s="81" t="s">
        <v>2454</v>
      </c>
      <c r="M149" s="54">
        <f>IFERROR(VLOOKUP(A149,Sheet3!$A:$B,2,0),0)</f>
        <v>0</v>
      </c>
      <c r="N149">
        <v>0.2</v>
      </c>
      <c r="O149" s="83">
        <v>1</v>
      </c>
      <c r="P149">
        <v>0.454</v>
      </c>
      <c r="Q149">
        <f t="shared" si="7"/>
        <v>0</v>
      </c>
      <c r="R149">
        <v>1500720</v>
      </c>
      <c r="S149" s="42" t="e">
        <f>VLOOKUP(R149,'CA07-本月-盘点结果'!$B:$C,2,0)</f>
        <v>#N/A</v>
      </c>
      <c r="T149" s="43" t="e">
        <f>VLOOKUP(R149,'CA07-本月-盘点结果'!B:I,8,0)</f>
        <v>#N/A</v>
      </c>
      <c r="U149" s="44" t="e">
        <f>T149-Q149-Q150</f>
        <v>#N/A</v>
      </c>
      <c r="X149" s="41"/>
      <c r="Y149" t="e">
        <v>#N/A</v>
      </c>
      <c r="Z149" s="77" t="e">
        <v>#N/A</v>
      </c>
    </row>
    <row r="150" spans="1:26">
      <c r="A150" t="str">
        <f t="shared" si="8"/>
        <v>加拿大七店900024431005175份</v>
      </c>
      <c r="B150" s="78" t="s">
        <v>3000</v>
      </c>
      <c r="C150" s="78" t="s">
        <v>636</v>
      </c>
      <c r="D150" s="78" t="s">
        <v>2437</v>
      </c>
      <c r="E150" s="78" t="s">
        <v>2470</v>
      </c>
      <c r="F150" s="79">
        <v>90002443</v>
      </c>
      <c r="G150" s="79">
        <v>1005175</v>
      </c>
      <c r="H150" s="55" t="s">
        <v>3101</v>
      </c>
      <c r="I150" s="47" t="s">
        <v>3101</v>
      </c>
      <c r="J150" s="78" t="s">
        <v>2454</v>
      </c>
      <c r="K150" s="79">
        <v>5.95</v>
      </c>
      <c r="L150" s="81" t="s">
        <v>2454</v>
      </c>
      <c r="M150" s="54">
        <f>IFERROR(VLOOKUP(A150,Sheet3!$A:$B,2,0),0)</f>
        <v>0</v>
      </c>
      <c r="N150" t="s">
        <v>3102</v>
      </c>
      <c r="O150" s="83">
        <v>1</v>
      </c>
      <c r="Q150" t="e">
        <f t="shared" si="7"/>
        <v>#VALUE!</v>
      </c>
      <c r="R150">
        <v>0</v>
      </c>
      <c r="S150" s="42" t="e">
        <f>VLOOKUP(R150,'CA07-本月-盘点结果'!$B:$C,2,0)</f>
        <v>#N/A</v>
      </c>
      <c r="U150" s="44" t="e">
        <f>T150-Q150-Q151</f>
        <v>#VALUE!</v>
      </c>
      <c r="X150" s="41"/>
      <c r="Y150" t="e">
        <v>#N/A</v>
      </c>
      <c r="Z150" s="77" t="e">
        <v>#VALUE!</v>
      </c>
    </row>
    <row r="151" spans="1:26">
      <c r="A151" t="str">
        <f t="shared" si="8"/>
        <v>加拿大七店900025331005371常温</v>
      </c>
      <c r="B151" s="78" t="s">
        <v>3000</v>
      </c>
      <c r="C151" s="78" t="s">
        <v>636</v>
      </c>
      <c r="D151" s="78" t="s">
        <v>2451</v>
      </c>
      <c r="E151" s="78" t="s">
        <v>2452</v>
      </c>
      <c r="F151" s="79">
        <v>90002533</v>
      </c>
      <c r="G151" s="79">
        <v>1005371</v>
      </c>
      <c r="H151" s="55" t="s">
        <v>2513</v>
      </c>
      <c r="I151" s="47" t="s">
        <v>2513</v>
      </c>
      <c r="J151" s="78" t="s">
        <v>2672</v>
      </c>
      <c r="K151" s="79">
        <v>5.95</v>
      </c>
      <c r="L151" s="81" t="s">
        <v>32</v>
      </c>
      <c r="M151" s="54">
        <f>IFERROR(VLOOKUP(A151,Sheet3!$A:$B,2,0),0)</f>
        <v>1</v>
      </c>
      <c r="N151">
        <v>1</v>
      </c>
      <c r="O151" s="83">
        <v>1</v>
      </c>
      <c r="Q151">
        <f t="shared" si="7"/>
        <v>1</v>
      </c>
      <c r="R151">
        <v>4520222</v>
      </c>
      <c r="S151" s="42" t="str">
        <f>VLOOKUP(R151,'CA07-本月-盘点结果'!$B:$C,2,0)</f>
        <v>白桃果肉汁（380ML*24瓶/箱）</v>
      </c>
      <c r="T151" s="43">
        <f>VLOOKUP(R151,'CA07-本月-盘点结果'!B:I,8,0)</f>
        <v>28</v>
      </c>
      <c r="U151" s="44">
        <f>T151-Q151-Q152</f>
        <v>22</v>
      </c>
      <c r="X151" s="41"/>
      <c r="Y151" t="s">
        <v>32</v>
      </c>
      <c r="Z151" s="77">
        <v>0</v>
      </c>
    </row>
    <row r="152" spans="1:26">
      <c r="A152" t="str">
        <f t="shared" si="8"/>
        <v>加拿大七店900025331005372冰镇</v>
      </c>
      <c r="B152" s="78" t="s">
        <v>3000</v>
      </c>
      <c r="C152" s="78" t="s">
        <v>636</v>
      </c>
      <c r="D152" s="78" t="s">
        <v>2451</v>
      </c>
      <c r="E152" s="78" t="s">
        <v>2452</v>
      </c>
      <c r="F152" s="79">
        <v>90002533</v>
      </c>
      <c r="G152" s="79">
        <v>1005372</v>
      </c>
      <c r="H152" s="55" t="s">
        <v>2513</v>
      </c>
      <c r="I152" s="47" t="s">
        <v>2513</v>
      </c>
      <c r="J152" s="78" t="s">
        <v>2450</v>
      </c>
      <c r="K152" s="79">
        <v>5.95</v>
      </c>
      <c r="L152" s="81" t="s">
        <v>32</v>
      </c>
      <c r="M152" s="54">
        <f>IFERROR(VLOOKUP(A152,Sheet3!$A:$B,2,0),0)</f>
        <v>5</v>
      </c>
      <c r="N152">
        <v>1</v>
      </c>
      <c r="O152" s="83">
        <v>1</v>
      </c>
      <c r="Q152">
        <f t="shared" si="7"/>
        <v>5</v>
      </c>
      <c r="R152" s="13">
        <v>4520222</v>
      </c>
      <c r="S152" s="42" t="str">
        <f>VLOOKUP(R152,'CA07-本月-盘点结果'!$B:$C,2,0)</f>
        <v>白桃果肉汁（380ML*24瓶/箱）</v>
      </c>
      <c r="X152" s="41"/>
      <c r="Y152" t="s">
        <v>32</v>
      </c>
      <c r="Z152" s="77">
        <v>0</v>
      </c>
    </row>
    <row r="153" spans="1:26">
      <c r="A153" t="str">
        <f t="shared" si="8"/>
        <v>加拿大七店900025621006156冰镇</v>
      </c>
      <c r="B153" s="78" t="s">
        <v>3000</v>
      </c>
      <c r="C153" s="78" t="s">
        <v>636</v>
      </c>
      <c r="D153" s="78" t="s">
        <v>2451</v>
      </c>
      <c r="E153" s="78" t="s">
        <v>2452</v>
      </c>
      <c r="F153" s="79">
        <v>90002562</v>
      </c>
      <c r="G153" s="79">
        <v>1006156</v>
      </c>
      <c r="H153" s="55" t="s">
        <v>3103</v>
      </c>
      <c r="I153" s="47" t="s">
        <v>3103</v>
      </c>
      <c r="J153" s="78" t="s">
        <v>2450</v>
      </c>
      <c r="K153" s="79">
        <v>2.95</v>
      </c>
      <c r="L153" s="81" t="s">
        <v>92</v>
      </c>
      <c r="M153" s="54">
        <f>IFERROR(VLOOKUP(A153,Sheet3!$A:$B,2,0),0)</f>
        <v>0</v>
      </c>
      <c r="N153">
        <v>1</v>
      </c>
      <c r="O153" s="83">
        <v>1</v>
      </c>
      <c r="Q153">
        <f t="shared" si="7"/>
        <v>0</v>
      </c>
      <c r="R153" s="13">
        <v>4520264</v>
      </c>
      <c r="S153" s="42" t="e">
        <f>VLOOKUP(R153,'CA07-本月-盘点结果'!$B:$C,2,0)</f>
        <v>#N/A</v>
      </c>
      <c r="T153" s="43" t="e">
        <f>VLOOKUP(R153,'CA07-本月-盘点结果'!B:I,8,0)</f>
        <v>#N/A</v>
      </c>
      <c r="U153" s="44" t="e">
        <f>T153-Q153-Q154-W153</f>
        <v>#N/A</v>
      </c>
      <c r="X153" s="41"/>
      <c r="Y153" t="e">
        <v>#N/A</v>
      </c>
      <c r="Z153" s="77" t="e">
        <v>#N/A</v>
      </c>
    </row>
    <row r="154" spans="1:26">
      <c r="A154" t="str">
        <f t="shared" si="8"/>
        <v>加拿大七店900025621006157常温</v>
      </c>
      <c r="B154" s="78" t="s">
        <v>3000</v>
      </c>
      <c r="C154" s="78" t="s">
        <v>636</v>
      </c>
      <c r="D154" s="78" t="s">
        <v>2451</v>
      </c>
      <c r="E154" s="78" t="s">
        <v>2452</v>
      </c>
      <c r="F154" s="79">
        <v>90002562</v>
      </c>
      <c r="G154" s="79">
        <v>1006157</v>
      </c>
      <c r="H154" s="55" t="s">
        <v>3103</v>
      </c>
      <c r="I154" s="47" t="s">
        <v>3103</v>
      </c>
      <c r="J154" s="78" t="s">
        <v>2672</v>
      </c>
      <c r="K154" s="79">
        <v>2.95</v>
      </c>
      <c r="L154" s="81" t="s">
        <v>92</v>
      </c>
      <c r="M154" s="54">
        <f>IFERROR(VLOOKUP(A154,Sheet3!$A:$B,2,0),0)</f>
        <v>0</v>
      </c>
      <c r="N154">
        <v>1</v>
      </c>
      <c r="O154" s="83">
        <v>1</v>
      </c>
      <c r="Q154">
        <f t="shared" si="7"/>
        <v>0</v>
      </c>
      <c r="R154" s="13">
        <v>4520264</v>
      </c>
      <c r="S154" s="42" t="e">
        <f>VLOOKUP(R154,'CA07-本月-盘点结果'!$B:$C,2,0)</f>
        <v>#N/A</v>
      </c>
      <c r="T154" s="43" t="e">
        <f>VLOOKUP(R154,'CA07-本月-盘点结果'!B:I,8,0)</f>
        <v>#N/A</v>
      </c>
      <c r="X154" s="41"/>
      <c r="Y154" t="e">
        <v>#N/A</v>
      </c>
      <c r="Z154" s="77">
        <v>0</v>
      </c>
    </row>
    <row r="155" spans="1:26">
      <c r="A155" t="str">
        <f t="shared" si="8"/>
        <v>加拿大七店9000025270935整份</v>
      </c>
      <c r="B155" s="51" t="s">
        <v>3000</v>
      </c>
      <c r="C155" s="51" t="s">
        <v>636</v>
      </c>
      <c r="D155" s="51" t="s">
        <v>2441</v>
      </c>
      <c r="E155" s="51" t="s">
        <v>2455</v>
      </c>
      <c r="F155" s="56">
        <v>90000252</v>
      </c>
      <c r="G155" s="56">
        <v>70935</v>
      </c>
      <c r="H155" s="55" t="s">
        <v>3104</v>
      </c>
      <c r="I155" s="47" t="s">
        <v>3104</v>
      </c>
      <c r="J155" s="51" t="s">
        <v>2436</v>
      </c>
      <c r="K155" s="56">
        <v>5.95</v>
      </c>
      <c r="L155" s="67" t="s">
        <v>2454</v>
      </c>
      <c r="M155" s="54">
        <f>IFERROR(VLOOKUP(A155,Sheet3!$A:$B,2,0),0)</f>
        <v>0</v>
      </c>
      <c r="O155" s="66">
        <v>1</v>
      </c>
      <c r="Q155">
        <f t="shared" si="7"/>
        <v>0</v>
      </c>
      <c r="R155" s="13" t="e">
        <v>#N/A</v>
      </c>
      <c r="S155" s="42" t="e">
        <f>VLOOKUP(R155,'CA07-本月-盘点结果'!$B:$C,2,0)</f>
        <v>#N/A</v>
      </c>
      <c r="T155" s="43" t="e">
        <f>VLOOKUP(R155,'CA07-本月-盘点结果'!B:I,8,0)</f>
        <v>#N/A</v>
      </c>
      <c r="U155" s="44" t="e">
        <f>T155-Q155</f>
        <v>#N/A</v>
      </c>
      <c r="X155" s="41"/>
      <c r="Y155" t="e">
        <v>#N/A</v>
      </c>
      <c r="Z155" s="77" t="e">
        <v>#N/A</v>
      </c>
    </row>
    <row r="156" spans="1:26">
      <c r="A156" t="str">
        <f t="shared" si="8"/>
        <v>加拿大七店7000062677254份</v>
      </c>
      <c r="B156" s="51" t="s">
        <v>3000</v>
      </c>
      <c r="C156" s="84" t="s">
        <v>636</v>
      </c>
      <c r="D156" s="84" t="s">
        <v>2437</v>
      </c>
      <c r="E156" s="84" t="s">
        <v>2499</v>
      </c>
      <c r="F156" s="48">
        <v>70000626</v>
      </c>
      <c r="G156" s="48">
        <v>77254</v>
      </c>
      <c r="H156" s="85" t="s">
        <v>3105</v>
      </c>
      <c r="I156" s="47" t="s">
        <v>3105</v>
      </c>
      <c r="J156" s="84" t="s">
        <v>2454</v>
      </c>
      <c r="K156" s="48">
        <v>6.95</v>
      </c>
      <c r="L156" s="84" t="s">
        <v>2454</v>
      </c>
      <c r="M156" s="54">
        <f>IFERROR(VLOOKUP(A156,Sheet3!$A:$B,2,0),0)</f>
        <v>0</v>
      </c>
      <c r="N156">
        <v>0.09</v>
      </c>
      <c r="O156" s="66">
        <v>1</v>
      </c>
      <c r="Q156">
        <f t="shared" si="7"/>
        <v>0</v>
      </c>
      <c r="R156" s="13"/>
      <c r="S156" s="42" t="e">
        <f>VLOOKUP(R156,'CA07-本月-盘点结果'!$B:$C,2,0)</f>
        <v>#N/A</v>
      </c>
      <c r="T156" s="43" t="e">
        <f>VLOOKUP(R156,'CA07-本月-盘点结果'!B:I,8,0)</f>
        <v>#N/A</v>
      </c>
      <c r="U156" s="44" t="e">
        <f>T156-Q156</f>
        <v>#N/A</v>
      </c>
      <c r="X156" s="41"/>
      <c r="Y156" t="e">
        <v>#N/A</v>
      </c>
      <c r="Z156" s="77" t="e">
        <v>#N/A</v>
      </c>
    </row>
    <row r="157" spans="1:26">
      <c r="A157" t="str">
        <f t="shared" si="8"/>
        <v>加拿大七店70000078673整份</v>
      </c>
      <c r="B157" t="s">
        <v>3000</v>
      </c>
      <c r="C157" t="s">
        <v>636</v>
      </c>
      <c r="D157" t="s">
        <v>2441</v>
      </c>
      <c r="E157" t="s">
        <v>2455</v>
      </c>
      <c r="F157" s="40">
        <v>70000078</v>
      </c>
      <c r="G157" s="40">
        <v>673</v>
      </c>
      <c r="H157" s="41" t="s">
        <v>3106</v>
      </c>
      <c r="I157" s="47" t="s">
        <v>3107</v>
      </c>
      <c r="J157" t="s">
        <v>2436</v>
      </c>
      <c r="K157" s="40">
        <v>10.95</v>
      </c>
      <c r="L157" s="51" t="s">
        <v>2454</v>
      </c>
      <c r="M157" s="54">
        <f>IFERROR(VLOOKUP(A157,Sheet3!$A:$B,2,0),0)</f>
        <v>0</v>
      </c>
      <c r="N157">
        <v>0.22</v>
      </c>
      <c r="O157" s="66">
        <v>1</v>
      </c>
      <c r="Q157">
        <f t="shared" si="7"/>
        <v>0</v>
      </c>
      <c r="R157">
        <v>1501255</v>
      </c>
      <c r="S157" s="42" t="e">
        <f>VLOOKUP(R157,'CA07-本月-盘点结果'!$B:$C,2,0)</f>
        <v>#N/A</v>
      </c>
      <c r="T157" s="43" t="e">
        <f>VLOOKUP(R157,'CA07-本月-盘点结果'!B:I,8,0)</f>
        <v>#N/A</v>
      </c>
      <c r="X157" s="41"/>
      <c r="Y157" t="e">
        <v>#N/A</v>
      </c>
      <c r="Z157" s="77">
        <v>0</v>
      </c>
    </row>
    <row r="158" spans="1:26">
      <c r="A158" t="str">
        <f t="shared" si="8"/>
        <v>加拿大七店900019181003985个</v>
      </c>
      <c r="B158" t="s">
        <v>3000</v>
      </c>
      <c r="C158" t="s">
        <v>636</v>
      </c>
      <c r="D158" t="s">
        <v>2441</v>
      </c>
      <c r="E158" t="s">
        <v>2537</v>
      </c>
      <c r="F158" s="40">
        <v>90001918</v>
      </c>
      <c r="G158" s="40">
        <v>1003985</v>
      </c>
      <c r="H158" s="41" t="s">
        <v>3108</v>
      </c>
      <c r="I158" s="47" t="s">
        <v>3109</v>
      </c>
      <c r="J158" t="s">
        <v>20</v>
      </c>
      <c r="K158" s="40">
        <v>3.95</v>
      </c>
      <c r="L158" s="16" t="s">
        <v>2454</v>
      </c>
      <c r="M158" s="54">
        <f>IFERROR(VLOOKUP(A158,Sheet3!$A:$B,2,0),0)</f>
        <v>0</v>
      </c>
      <c r="N158">
        <v>0.03</v>
      </c>
      <c r="O158" s="66">
        <v>1</v>
      </c>
      <c r="Q158">
        <f t="shared" si="7"/>
        <v>0</v>
      </c>
      <c r="R158">
        <v>4520874</v>
      </c>
      <c r="S158" s="42" t="e">
        <f>VLOOKUP(R158,'CA07-本月-盘点结果'!$B:$C,2,0)</f>
        <v>#N/A</v>
      </c>
      <c r="T158" s="43" t="e">
        <f>VLOOKUP(R158,'CA07-本月-盘点结果'!B:I,8,0)</f>
        <v>#N/A</v>
      </c>
      <c r="U158" s="44" t="e">
        <f>T158-Q158</f>
        <v>#N/A</v>
      </c>
      <c r="X158" s="41"/>
      <c r="Y158" t="s">
        <v>73</v>
      </c>
      <c r="Z158" s="77">
        <v>0.69</v>
      </c>
    </row>
    <row r="159" spans="1:26">
      <c r="A159" t="str">
        <f t="shared" si="8"/>
        <v>加拿大七店901014730175整份</v>
      </c>
      <c r="B159" t="s">
        <v>3000</v>
      </c>
      <c r="C159" t="s">
        <v>636</v>
      </c>
      <c r="D159" t="s">
        <v>2474</v>
      </c>
      <c r="E159" t="s">
        <v>2475</v>
      </c>
      <c r="F159" s="40">
        <v>9010147</v>
      </c>
      <c r="G159" s="40">
        <v>30175</v>
      </c>
      <c r="H159" s="41" t="s">
        <v>453</v>
      </c>
      <c r="I159" s="47" t="s">
        <v>453</v>
      </c>
      <c r="J159" t="s">
        <v>2436</v>
      </c>
      <c r="K159" s="40">
        <v>10.95</v>
      </c>
      <c r="L159" s="16" t="s">
        <v>2454</v>
      </c>
      <c r="M159" s="54">
        <f>IFERROR(VLOOKUP(A159,Sheet3!$A:$B,2,0),0)</f>
        <v>156</v>
      </c>
      <c r="N159">
        <v>0.095</v>
      </c>
      <c r="O159" s="66">
        <v>1</v>
      </c>
      <c r="Q159">
        <f t="shared" si="7"/>
        <v>14.82</v>
      </c>
      <c r="R159">
        <v>4702852</v>
      </c>
      <c r="S159" s="42" t="str">
        <f>VLOOKUP(R159,'CA07-本月-盘点结果'!$B:$C,2,0)</f>
        <v>羊脑</v>
      </c>
      <c r="T159" s="43">
        <f>VLOOKUP(R159,'CA07-本月-盘点结果'!B:I,8,0)</f>
        <v>22.79</v>
      </c>
      <c r="U159" s="44">
        <f>T159-Q159</f>
        <v>7.97</v>
      </c>
      <c r="X159" s="41"/>
      <c r="Y159" t="e">
        <v>#N/A</v>
      </c>
      <c r="Z159" s="77" t="e">
        <v>#N/A</v>
      </c>
    </row>
    <row r="160" spans="1:26">
      <c r="A160" t="str">
        <f t="shared" si="8"/>
        <v>加拿大七店902015431157整份</v>
      </c>
      <c r="B160" t="s">
        <v>3000</v>
      </c>
      <c r="C160" t="s">
        <v>636</v>
      </c>
      <c r="D160" t="s">
        <v>2437</v>
      </c>
      <c r="E160" t="s">
        <v>2499</v>
      </c>
      <c r="F160" s="40">
        <v>9020154</v>
      </c>
      <c r="G160" s="40">
        <v>31157</v>
      </c>
      <c r="H160" s="41" t="s">
        <v>2609</v>
      </c>
      <c r="I160" s="47" t="s">
        <v>2609</v>
      </c>
      <c r="J160" t="s">
        <v>2436</v>
      </c>
      <c r="K160" s="40">
        <v>8.95</v>
      </c>
      <c r="L160" s="16" t="s">
        <v>2454</v>
      </c>
      <c r="M160" s="54">
        <f>IFERROR(VLOOKUP(A160,Sheet3!$A:$B,2,0),0)</f>
        <v>588</v>
      </c>
      <c r="N160">
        <v>0.09</v>
      </c>
      <c r="O160" s="66">
        <v>1</v>
      </c>
      <c r="Q160">
        <f t="shared" si="7"/>
        <v>52.92</v>
      </c>
      <c r="S160" s="42" t="e">
        <f>VLOOKUP(R160,'CA07-本月-盘点结果'!$B:$C,2,0)</f>
        <v>#N/A</v>
      </c>
      <c r="U160" s="44">
        <f>T160-Q160</f>
        <v>-52.92</v>
      </c>
      <c r="X160" s="41"/>
      <c r="Y160" t="e">
        <v>#N/A</v>
      </c>
      <c r="Z160" s="77">
        <v>51.21</v>
      </c>
    </row>
    <row r="161" spans="1:26">
      <c r="A161" t="str">
        <f t="shared" si="8"/>
        <v>加拿大七店9000030771157整份</v>
      </c>
      <c r="B161" t="s">
        <v>3000</v>
      </c>
      <c r="C161" t="s">
        <v>636</v>
      </c>
      <c r="D161" t="s">
        <v>2437</v>
      </c>
      <c r="E161" t="s">
        <v>2499</v>
      </c>
      <c r="F161" s="40">
        <v>90000307</v>
      </c>
      <c r="G161" s="40">
        <v>71157</v>
      </c>
      <c r="H161" s="41" t="s">
        <v>3110</v>
      </c>
      <c r="I161" s="47" t="s">
        <v>3110</v>
      </c>
      <c r="J161" t="s">
        <v>2436</v>
      </c>
      <c r="K161" s="40">
        <v>6.95</v>
      </c>
      <c r="L161" s="16" t="s">
        <v>2454</v>
      </c>
      <c r="M161" s="54">
        <f>IFERROR(VLOOKUP(A161,Sheet3!$A:$B,2,0),0)</f>
        <v>0</v>
      </c>
      <c r="N161">
        <v>0.1</v>
      </c>
      <c r="O161" s="66">
        <v>1</v>
      </c>
      <c r="Q161">
        <f t="shared" si="7"/>
        <v>0</v>
      </c>
      <c r="R161">
        <v>1501255</v>
      </c>
      <c r="S161" s="42" t="e">
        <f>VLOOKUP(R161,'CA07-本月-盘点结果'!$B:$C,2,0)</f>
        <v>#N/A</v>
      </c>
      <c r="T161" s="43" t="e">
        <f>VLOOKUP(R161,'CA07-本月-盘点结果'!B:I,8,0)</f>
        <v>#N/A</v>
      </c>
      <c r="X161" s="41"/>
      <c r="Y161" t="e">
        <v>#N/A</v>
      </c>
      <c r="Z161" s="77">
        <v>0</v>
      </c>
    </row>
    <row r="162" spans="1:26">
      <c r="A162" t="str">
        <f t="shared" si="8"/>
        <v>加拿大七店900024661005218整份</v>
      </c>
      <c r="B162" t="s">
        <v>3000</v>
      </c>
      <c r="C162" t="s">
        <v>636</v>
      </c>
      <c r="D162" t="s">
        <v>2437</v>
      </c>
      <c r="E162" t="s">
        <v>2499</v>
      </c>
      <c r="F162" s="40">
        <v>90002466</v>
      </c>
      <c r="G162" s="40">
        <v>1005218</v>
      </c>
      <c r="H162" s="41" t="s">
        <v>3111</v>
      </c>
      <c r="I162" s="47" t="s">
        <v>3111</v>
      </c>
      <c r="J162" t="s">
        <v>2436</v>
      </c>
      <c r="K162" s="40">
        <v>5.95</v>
      </c>
      <c r="L162" s="16" t="s">
        <v>2454</v>
      </c>
      <c r="M162" s="54">
        <f>IFERROR(VLOOKUP(A162,Sheet3!$A:$B,2,0),0)</f>
        <v>0</v>
      </c>
      <c r="N162">
        <v>0.1</v>
      </c>
      <c r="O162" s="66">
        <v>1</v>
      </c>
      <c r="Q162">
        <f t="shared" si="7"/>
        <v>0</v>
      </c>
      <c r="R162">
        <v>1000529</v>
      </c>
      <c r="S162" s="42" t="e">
        <f>VLOOKUP(R162,'CA07-本月-盘点结果'!$B:$C,2,0)</f>
        <v>#N/A</v>
      </c>
      <c r="T162" s="43" t="e">
        <f>VLOOKUP(R162,'CA07-本月-盘点结果'!B:I,8,0)</f>
        <v>#N/A</v>
      </c>
      <c r="X162" s="41"/>
      <c r="Y162" t="e">
        <v>#N/A</v>
      </c>
      <c r="Z162" s="77">
        <v>0</v>
      </c>
    </row>
    <row r="163" ht="16.5" spans="1:26">
      <c r="A163" t="str">
        <f t="shared" si="8"/>
        <v>加拿大七店900029081005985整份</v>
      </c>
      <c r="B163" t="s">
        <v>3000</v>
      </c>
      <c r="C163" t="s">
        <v>636</v>
      </c>
      <c r="D163" t="s">
        <v>2437</v>
      </c>
      <c r="E163" t="s">
        <v>2438</v>
      </c>
      <c r="F163" s="40">
        <v>90002908</v>
      </c>
      <c r="G163" s="40">
        <v>1005985</v>
      </c>
      <c r="H163" s="41" t="s">
        <v>3112</v>
      </c>
      <c r="I163" s="47" t="s">
        <v>3112</v>
      </c>
      <c r="J163" t="s">
        <v>2436</v>
      </c>
      <c r="K163" s="40">
        <v>15.95</v>
      </c>
      <c r="L163" s="16" t="s">
        <v>2454</v>
      </c>
      <c r="M163" s="54">
        <f>IFERROR(VLOOKUP(A163,Sheet3!$A:$B,2,0),0)</f>
        <v>0</v>
      </c>
      <c r="N163">
        <v>0.16</v>
      </c>
      <c r="O163" s="66">
        <v>1.2</v>
      </c>
      <c r="P163">
        <v>2.2</v>
      </c>
      <c r="Q163">
        <f t="shared" si="7"/>
        <v>0</v>
      </c>
      <c r="R163">
        <v>1500677</v>
      </c>
      <c r="S163" s="42" t="str">
        <f>VLOOKUP(R163,'CA07-本月-盘点结果'!$B:$C,2,0)</f>
        <v>牛腩肉（LB）</v>
      </c>
      <c r="X163" s="41"/>
      <c r="Y163" t="s">
        <v>36</v>
      </c>
      <c r="Z163" s="77">
        <v>0</v>
      </c>
    </row>
    <row r="164" ht="16.5" spans="1:26">
      <c r="A164" t="str">
        <f t="shared" si="8"/>
        <v>加拿大七店101024910239单锅</v>
      </c>
      <c r="B164" t="s">
        <v>3000</v>
      </c>
      <c r="C164" t="s">
        <v>636</v>
      </c>
      <c r="D164" t="s">
        <v>2458</v>
      </c>
      <c r="E164" t="s">
        <v>2458</v>
      </c>
      <c r="F164" s="40">
        <v>1010249</v>
      </c>
      <c r="G164" s="49">
        <v>10239</v>
      </c>
      <c r="H164" s="41" t="s">
        <v>2614</v>
      </c>
      <c r="I164" s="47" t="s">
        <v>2614</v>
      </c>
      <c r="J164" t="s">
        <v>2507</v>
      </c>
      <c r="K164" s="40">
        <v>24.95</v>
      </c>
      <c r="L164" s="16" t="s">
        <v>3001</v>
      </c>
      <c r="M164" s="54">
        <f>IFERROR(VLOOKUP(A164,Sheet3!$A:$B,2,0),0)</f>
        <v>0</v>
      </c>
      <c r="O164" s="66">
        <v>1</v>
      </c>
      <c r="Q164">
        <f t="shared" si="7"/>
        <v>0</v>
      </c>
      <c r="S164" s="42" t="e">
        <f>VLOOKUP(R164,'CA07-本月-盘点结果'!$B:$C,2,0)</f>
        <v>#N/A</v>
      </c>
      <c r="T164" s="43" t="e">
        <f>VLOOKUP(R164,'CA07-本月-盘点结果'!B:I,8,0)</f>
        <v>#N/A</v>
      </c>
      <c r="U164" s="44" t="e">
        <f>T164-Q164</f>
        <v>#N/A</v>
      </c>
      <c r="X164" s="41"/>
      <c r="Y164" t="e">
        <v>#N/A</v>
      </c>
      <c r="Z164" s="77" t="e">
        <v>#N/A</v>
      </c>
    </row>
    <row r="165" ht="16.5" spans="1:26">
      <c r="A165" t="str">
        <f t="shared" si="8"/>
        <v>加拿大七店101024913343拼锅</v>
      </c>
      <c r="B165" t="s">
        <v>3000</v>
      </c>
      <c r="C165" t="s">
        <v>636</v>
      </c>
      <c r="D165" t="s">
        <v>2458</v>
      </c>
      <c r="E165" t="s">
        <v>2458</v>
      </c>
      <c r="F165" s="40">
        <v>1010249</v>
      </c>
      <c r="G165" s="49">
        <v>13343</v>
      </c>
      <c r="H165" s="41" t="s">
        <v>2614</v>
      </c>
      <c r="I165" s="47" t="s">
        <v>2614</v>
      </c>
      <c r="J165" t="s">
        <v>2457</v>
      </c>
      <c r="K165" s="40">
        <v>11.95</v>
      </c>
      <c r="L165" s="16" t="s">
        <v>3001</v>
      </c>
      <c r="M165" s="54">
        <f>IFERROR(VLOOKUP(A165,Sheet3!$A:$B,2,0),0)</f>
        <v>0</v>
      </c>
      <c r="O165" s="66">
        <v>1</v>
      </c>
      <c r="Q165">
        <f t="shared" si="7"/>
        <v>0</v>
      </c>
      <c r="S165" s="42" t="e">
        <f>VLOOKUP(R165,'CA07-本月-盘点结果'!$B:$C,2,0)</f>
        <v>#N/A</v>
      </c>
      <c r="U165" s="44">
        <f>T165-Q165</f>
        <v>0</v>
      </c>
      <c r="X165" s="41"/>
      <c r="Y165" t="e">
        <v>#N/A</v>
      </c>
      <c r="Z165" s="77">
        <v>0</v>
      </c>
    </row>
    <row r="166" ht="16.5" spans="1:26">
      <c r="A166" t="str">
        <f t="shared" si="8"/>
        <v>加拿大七店101024913344四宫格</v>
      </c>
      <c r="B166" t="s">
        <v>3000</v>
      </c>
      <c r="C166" t="s">
        <v>636</v>
      </c>
      <c r="D166" t="s">
        <v>2458</v>
      </c>
      <c r="E166" t="s">
        <v>2458</v>
      </c>
      <c r="F166" s="40">
        <v>1010249</v>
      </c>
      <c r="G166" s="49">
        <v>13344</v>
      </c>
      <c r="H166" s="41" t="s">
        <v>2614</v>
      </c>
      <c r="I166" s="47" t="s">
        <v>2614</v>
      </c>
      <c r="J166" t="s">
        <v>2460</v>
      </c>
      <c r="K166" s="40">
        <v>5.95</v>
      </c>
      <c r="L166" s="16" t="s">
        <v>3001</v>
      </c>
      <c r="M166" s="54">
        <f>IFERROR(VLOOKUP(A166,Sheet3!$A:$B,2,0),0)</f>
        <v>0</v>
      </c>
      <c r="O166" s="66">
        <v>1</v>
      </c>
      <c r="Q166">
        <f t="shared" si="7"/>
        <v>0</v>
      </c>
      <c r="S166" s="42" t="e">
        <f>VLOOKUP(R166,'CA07-本月-盘点结果'!$B:$C,2,0)</f>
        <v>#N/A</v>
      </c>
      <c r="T166" s="43" t="e">
        <f>VLOOKUP(R166,'CA07-本月-盘点结果'!B:I,8,0)</f>
        <v>#N/A</v>
      </c>
      <c r="U166" s="44" t="e">
        <f>T166-Q166</f>
        <v>#N/A</v>
      </c>
      <c r="X166" s="41"/>
      <c r="Y166" t="e">
        <v>#N/A</v>
      </c>
      <c r="Z166" s="77" t="e">
        <v>#N/A</v>
      </c>
    </row>
    <row r="167" spans="1:26">
      <c r="A167" t="str">
        <f t="shared" si="8"/>
        <v>加拿大七店7000123678556单锅</v>
      </c>
      <c r="B167" t="s">
        <v>3000</v>
      </c>
      <c r="C167" t="s">
        <v>636</v>
      </c>
      <c r="D167" t="s">
        <v>2458</v>
      </c>
      <c r="E167" t="s">
        <v>2458</v>
      </c>
      <c r="F167" s="40">
        <v>70001236</v>
      </c>
      <c r="G167" s="40">
        <v>78556</v>
      </c>
      <c r="H167" s="41" t="s">
        <v>3113</v>
      </c>
      <c r="I167" s="47" t="s">
        <v>3113</v>
      </c>
      <c r="J167" t="s">
        <v>2507</v>
      </c>
      <c r="K167" s="40">
        <v>22.95</v>
      </c>
      <c r="L167" s="16" t="s">
        <v>3001</v>
      </c>
      <c r="M167" s="54">
        <f>IFERROR(VLOOKUP(A167,Sheet3!$A:$B,2,0),0)</f>
        <v>0</v>
      </c>
      <c r="N167">
        <v>1.4</v>
      </c>
      <c r="O167" s="66">
        <v>1</v>
      </c>
      <c r="Q167">
        <f t="shared" si="7"/>
        <v>0</v>
      </c>
      <c r="R167">
        <v>4520817</v>
      </c>
      <c r="S167" s="42" t="e">
        <f>VLOOKUP(R167,'CA07-本月-盘点结果'!$B:$C,2,0)</f>
        <v>#N/A</v>
      </c>
      <c r="T167" s="43" t="e">
        <f>VLOOKUP(R167,'CA07-本月-盘点结果'!B:I,8,0)</f>
        <v>#N/A</v>
      </c>
      <c r="U167" s="44" t="e">
        <f>(T167*946/1000-Q167-Q168-Q169-W167)*1000/946</f>
        <v>#N/A</v>
      </c>
      <c r="X167" s="41"/>
      <c r="Y167" t="e">
        <v>#N/A</v>
      </c>
      <c r="Z167" s="77" t="e">
        <v>#N/A</v>
      </c>
    </row>
    <row r="168" spans="1:26">
      <c r="A168" t="str">
        <f t="shared" si="8"/>
        <v>加拿大七店7000123678557拼锅</v>
      </c>
      <c r="B168" t="s">
        <v>3000</v>
      </c>
      <c r="C168" t="s">
        <v>636</v>
      </c>
      <c r="D168" t="s">
        <v>2458</v>
      </c>
      <c r="E168" t="s">
        <v>2458</v>
      </c>
      <c r="F168" s="40">
        <v>70001236</v>
      </c>
      <c r="G168" s="40">
        <v>78557</v>
      </c>
      <c r="H168" s="41" t="s">
        <v>3113</v>
      </c>
      <c r="I168" s="47" t="s">
        <v>3113</v>
      </c>
      <c r="J168" t="s">
        <v>2457</v>
      </c>
      <c r="K168" s="40">
        <v>11.95</v>
      </c>
      <c r="L168" s="16" t="s">
        <v>3001</v>
      </c>
      <c r="M168" s="54">
        <f>IFERROR(VLOOKUP(A168,Sheet3!$A:$B,2,0),0)</f>
        <v>0</v>
      </c>
      <c r="N168">
        <v>0.7</v>
      </c>
      <c r="O168" s="66">
        <v>1</v>
      </c>
      <c r="Q168">
        <f t="shared" si="7"/>
        <v>0</v>
      </c>
      <c r="R168">
        <v>4520817</v>
      </c>
      <c r="S168" s="42" t="e">
        <f>VLOOKUP(R168,'CA07-本月-盘点结果'!$B:$C,2,0)</f>
        <v>#N/A</v>
      </c>
      <c r="X168" s="41"/>
      <c r="Y168" t="e">
        <v>#N/A</v>
      </c>
      <c r="Z168" s="77">
        <v>0</v>
      </c>
    </row>
    <row r="169" spans="1:26">
      <c r="A169" t="str">
        <f t="shared" si="8"/>
        <v>加拿大七店7000123678558四宫格</v>
      </c>
      <c r="B169" t="s">
        <v>3000</v>
      </c>
      <c r="C169" t="s">
        <v>636</v>
      </c>
      <c r="D169" t="s">
        <v>2458</v>
      </c>
      <c r="E169" t="s">
        <v>2458</v>
      </c>
      <c r="F169" s="40">
        <v>70001236</v>
      </c>
      <c r="G169" s="40">
        <v>78558</v>
      </c>
      <c r="H169" s="41" t="s">
        <v>3113</v>
      </c>
      <c r="I169" s="47" t="s">
        <v>3113</v>
      </c>
      <c r="J169" t="s">
        <v>2460</v>
      </c>
      <c r="K169" s="40">
        <v>5.95</v>
      </c>
      <c r="L169" s="16" t="s">
        <v>3001</v>
      </c>
      <c r="M169" s="54">
        <f>IFERROR(VLOOKUP(A169,Sheet3!$A:$B,2,0),0)</f>
        <v>0</v>
      </c>
      <c r="N169">
        <v>0.35</v>
      </c>
      <c r="O169" s="66">
        <v>1</v>
      </c>
      <c r="Q169">
        <f t="shared" si="7"/>
        <v>0</v>
      </c>
      <c r="R169">
        <v>4520817</v>
      </c>
      <c r="S169" s="42" t="e">
        <f>VLOOKUP(R169,'CA07-本月-盘点结果'!$B:$C,2,0)</f>
        <v>#N/A</v>
      </c>
      <c r="T169" s="43" t="e">
        <f>VLOOKUP(R169,'CA07-本月-盘点结果'!B:I,8,0)*P169</f>
        <v>#N/A</v>
      </c>
      <c r="X169" s="41"/>
      <c r="Y169" t="e">
        <v>#N/A</v>
      </c>
      <c r="Z169" s="77">
        <v>0</v>
      </c>
    </row>
    <row r="170" spans="1:26">
      <c r="A170" t="str">
        <f t="shared" si="8"/>
        <v>加拿大七店901041430635整份</v>
      </c>
      <c r="B170" t="s">
        <v>3000</v>
      </c>
      <c r="C170" t="s">
        <v>636</v>
      </c>
      <c r="D170" t="s">
        <v>2437</v>
      </c>
      <c r="E170" t="s">
        <v>2438</v>
      </c>
      <c r="F170" s="40">
        <v>9010414</v>
      </c>
      <c r="G170" s="40">
        <v>30635</v>
      </c>
      <c r="H170" s="41" t="s">
        <v>2669</v>
      </c>
      <c r="I170" s="47" t="s">
        <v>2669</v>
      </c>
      <c r="J170" t="s">
        <v>2436</v>
      </c>
      <c r="K170" s="40">
        <v>11.95</v>
      </c>
      <c r="L170" s="16" t="s">
        <v>2454</v>
      </c>
      <c r="M170" s="54">
        <f>IFERROR(VLOOKUP(A170,Sheet3!$A:$B,2,0),0)</f>
        <v>0</v>
      </c>
      <c r="N170">
        <v>0.1</v>
      </c>
      <c r="O170" s="66">
        <v>1.15</v>
      </c>
      <c r="Q170">
        <f t="shared" si="7"/>
        <v>0</v>
      </c>
      <c r="R170">
        <v>1501159</v>
      </c>
      <c r="S170" s="42" t="str">
        <f>VLOOKUP(R170,'CA07-本月-盘点结果'!$B:$C,2,0)</f>
        <v>牛板腱（LB）</v>
      </c>
      <c r="X170" s="41"/>
      <c r="Y170" t="s">
        <v>36</v>
      </c>
      <c r="Z170" s="77">
        <v>0</v>
      </c>
    </row>
    <row r="171" spans="1:26">
      <c r="A171" t="str">
        <f t="shared" si="8"/>
        <v>加拿大七店1304016273162冰镇</v>
      </c>
      <c r="B171" t="s">
        <v>3000</v>
      </c>
      <c r="C171" t="s">
        <v>636</v>
      </c>
      <c r="D171" t="s">
        <v>2451</v>
      </c>
      <c r="E171" t="s">
        <v>2627</v>
      </c>
      <c r="F171" s="40">
        <v>13040162</v>
      </c>
      <c r="G171" s="40">
        <v>73162</v>
      </c>
      <c r="H171" s="41" t="s">
        <v>2389</v>
      </c>
      <c r="I171" s="47" t="s">
        <v>3114</v>
      </c>
      <c r="J171" t="s">
        <v>2450</v>
      </c>
      <c r="K171" s="40">
        <v>5.95</v>
      </c>
      <c r="L171" s="16" t="s">
        <v>92</v>
      </c>
      <c r="M171" s="54">
        <f>IFERROR(VLOOKUP(A171,Sheet3!$A:$B,2,0),0)</f>
        <v>213</v>
      </c>
      <c r="N171">
        <v>1</v>
      </c>
      <c r="O171" s="66">
        <v>1</v>
      </c>
      <c r="Q171">
        <f t="shared" si="7"/>
        <v>213</v>
      </c>
      <c r="R171">
        <v>4003066</v>
      </c>
      <c r="S171" s="42" t="str">
        <f>VLOOKUP(R171,'CA07-本月-盘点结果'!$B:$C,2,0)</f>
        <v>青岛啤酒（330ML*24瓶/件）</v>
      </c>
      <c r="T171" s="43">
        <f>VLOOKUP(R171,'CA07-本月-盘点结果'!B:I,8,0)</f>
        <v>226</v>
      </c>
      <c r="U171" s="44">
        <f>T171-Q171-Q172</f>
        <v>5</v>
      </c>
      <c r="X171" s="75"/>
      <c r="Y171" t="s">
        <v>32</v>
      </c>
      <c r="Z171" s="77">
        <v>106</v>
      </c>
    </row>
    <row r="172" spans="1:26">
      <c r="A172" t="str">
        <f t="shared" si="8"/>
        <v>加拿大七店1304016273162常温</v>
      </c>
      <c r="B172" t="s">
        <v>3000</v>
      </c>
      <c r="C172" t="s">
        <v>636</v>
      </c>
      <c r="D172" t="s">
        <v>2451</v>
      </c>
      <c r="E172" t="s">
        <v>2627</v>
      </c>
      <c r="F172" s="40">
        <v>13040162</v>
      </c>
      <c r="G172" s="40">
        <v>73162</v>
      </c>
      <c r="H172" s="41" t="s">
        <v>2389</v>
      </c>
      <c r="I172" s="47" t="s">
        <v>3114</v>
      </c>
      <c r="J172" t="s">
        <v>2672</v>
      </c>
      <c r="K172" s="40">
        <v>5.95</v>
      </c>
      <c r="L172" s="16" t="s">
        <v>92</v>
      </c>
      <c r="M172" s="54">
        <f>IFERROR(VLOOKUP(A172,Sheet3!$A:$B,2,0),0)</f>
        <v>8</v>
      </c>
      <c r="N172">
        <v>1</v>
      </c>
      <c r="O172" s="66">
        <v>1</v>
      </c>
      <c r="Q172">
        <f t="shared" si="7"/>
        <v>8</v>
      </c>
      <c r="R172">
        <v>4003066</v>
      </c>
      <c r="S172" s="42" t="str">
        <f>VLOOKUP(R172,'CA07-本月-盘点结果'!$B:$C,2,0)</f>
        <v>青岛啤酒（330ML*24瓶/件）</v>
      </c>
      <c r="X172" s="41"/>
      <c r="Y172" t="s">
        <v>32</v>
      </c>
      <c r="Z172" s="77">
        <v>0</v>
      </c>
    </row>
    <row r="173" spans="1:26">
      <c r="A173" t="str">
        <f t="shared" si="8"/>
        <v>加拿大七店130402641004398冰镇</v>
      </c>
      <c r="B173" t="s">
        <v>3000</v>
      </c>
      <c r="C173" t="s">
        <v>636</v>
      </c>
      <c r="D173" t="s">
        <v>2451</v>
      </c>
      <c r="E173" t="s">
        <v>2627</v>
      </c>
      <c r="F173" s="40">
        <v>13040264</v>
      </c>
      <c r="G173" s="40">
        <v>1004398</v>
      </c>
      <c r="H173" s="41" t="s">
        <v>2391</v>
      </c>
      <c r="I173" s="47" t="s">
        <v>3115</v>
      </c>
      <c r="J173" t="s">
        <v>2450</v>
      </c>
      <c r="K173" s="40">
        <v>5.95</v>
      </c>
      <c r="L173" s="16" t="s">
        <v>32</v>
      </c>
      <c r="M173" s="54">
        <f>IFERROR(VLOOKUP(A173,Sheet3!$A:$B,2,0),0)</f>
        <v>141</v>
      </c>
      <c r="N173">
        <v>1</v>
      </c>
      <c r="O173" s="66">
        <v>1</v>
      </c>
      <c r="Q173">
        <f t="shared" si="7"/>
        <v>141</v>
      </c>
      <c r="R173">
        <v>1500911</v>
      </c>
      <c r="S173" s="42" t="str">
        <f>VLOOKUP(R173,'CA07-本月-盘点结果'!$B:$C,2,0)</f>
        <v>ASAKI啤酒（330ML*24瓶/箱）</v>
      </c>
      <c r="T173" s="43">
        <f>VLOOKUP(R173,'CA07-本月-盘点结果'!B:I,8,0)</f>
        <v>147</v>
      </c>
      <c r="U173" s="44">
        <f>T173-Q173-Q174</f>
        <v>1</v>
      </c>
      <c r="X173" s="75" t="s">
        <v>3116</v>
      </c>
      <c r="Y173" t="s">
        <v>32</v>
      </c>
      <c r="Z173" s="77">
        <v>38</v>
      </c>
    </row>
    <row r="174" spans="1:26">
      <c r="A174" t="str">
        <f t="shared" si="8"/>
        <v>加拿大七店130402641004399常温</v>
      </c>
      <c r="B174" t="s">
        <v>3000</v>
      </c>
      <c r="C174" t="s">
        <v>636</v>
      </c>
      <c r="D174" t="s">
        <v>2451</v>
      </c>
      <c r="E174" t="s">
        <v>2627</v>
      </c>
      <c r="F174" s="40">
        <v>13040264</v>
      </c>
      <c r="G174" s="40">
        <v>1004399</v>
      </c>
      <c r="H174" s="41" t="s">
        <v>2391</v>
      </c>
      <c r="I174" s="47" t="s">
        <v>3115</v>
      </c>
      <c r="J174" t="s">
        <v>2672</v>
      </c>
      <c r="K174" s="40">
        <v>5.95</v>
      </c>
      <c r="L174" s="16" t="s">
        <v>32</v>
      </c>
      <c r="M174" s="54">
        <f>IFERROR(VLOOKUP(A174,Sheet3!$A:$B,2,0),0)</f>
        <v>5</v>
      </c>
      <c r="N174">
        <v>1</v>
      </c>
      <c r="O174" s="66">
        <v>1</v>
      </c>
      <c r="Q174">
        <f t="shared" si="7"/>
        <v>5</v>
      </c>
      <c r="R174">
        <v>1500911</v>
      </c>
      <c r="S174" s="42" t="str">
        <f>VLOOKUP(R174,'CA07-本月-盘点结果'!$B:$C,2,0)</f>
        <v>ASAKI啤酒（330ML*24瓶/箱）</v>
      </c>
      <c r="X174" s="41"/>
      <c r="Y174" t="s">
        <v>32</v>
      </c>
      <c r="Z174" s="77">
        <v>0</v>
      </c>
    </row>
    <row r="175" spans="1:26">
      <c r="A175" t="str">
        <f t="shared" si="8"/>
        <v>加拿大七店130202351108352小瓶</v>
      </c>
      <c r="B175" t="s">
        <v>3000</v>
      </c>
      <c r="C175" t="s">
        <v>636</v>
      </c>
      <c r="D175" t="s">
        <v>2451</v>
      </c>
      <c r="E175" t="s">
        <v>2627</v>
      </c>
      <c r="F175" s="40">
        <v>13020235</v>
      </c>
      <c r="G175" s="40">
        <v>1108352</v>
      </c>
      <c r="H175" s="41" t="s">
        <v>2625</v>
      </c>
      <c r="I175" s="47" t="s">
        <v>2625</v>
      </c>
      <c r="J175" t="s">
        <v>2626</v>
      </c>
      <c r="K175" s="40">
        <v>10.95</v>
      </c>
      <c r="L175" s="16" t="s">
        <v>32</v>
      </c>
      <c r="M175" s="54">
        <f>IFERROR(VLOOKUP(A175,Sheet3!$A:$B,2,0),0)</f>
        <v>24</v>
      </c>
      <c r="N175">
        <v>1</v>
      </c>
      <c r="O175" s="66">
        <v>1</v>
      </c>
      <c r="Q175">
        <f t="shared" si="7"/>
        <v>24</v>
      </c>
      <c r="R175">
        <v>1500918</v>
      </c>
      <c r="S175" s="42" t="str">
        <f>VLOOKUP(R175,'CA07-本月-盘点结果'!$B:$C,2,0)</f>
        <v>牛栏山二锅头（100ML/瓶）</v>
      </c>
      <c r="T175" s="43">
        <f>VLOOKUP(R175,'CA07-本月-盘点结果'!B:I,8,0)</f>
        <v>24</v>
      </c>
      <c r="U175" s="44">
        <f>T175-Q175</f>
        <v>0</v>
      </c>
      <c r="X175" s="41"/>
      <c r="Y175" t="s">
        <v>32</v>
      </c>
      <c r="Z175" s="77">
        <v>1</v>
      </c>
    </row>
    <row r="176" spans="1:26">
      <c r="A176" t="str">
        <f t="shared" si="8"/>
        <v>加拿大七店900019961004183瓶</v>
      </c>
      <c r="B176" t="s">
        <v>3000</v>
      </c>
      <c r="C176" t="s">
        <v>636</v>
      </c>
      <c r="D176" t="s">
        <v>2451</v>
      </c>
      <c r="E176" t="s">
        <v>2627</v>
      </c>
      <c r="F176" s="40">
        <v>90001996</v>
      </c>
      <c r="G176" s="40">
        <v>1004183</v>
      </c>
      <c r="H176" s="41" t="s">
        <v>3117</v>
      </c>
      <c r="I176" s="47" t="s">
        <v>3117</v>
      </c>
      <c r="J176" t="s">
        <v>32</v>
      </c>
      <c r="K176" s="40">
        <v>12.95</v>
      </c>
      <c r="L176" s="16" t="s">
        <v>32</v>
      </c>
      <c r="M176" s="54">
        <f>IFERROR(VLOOKUP(A176,Sheet3!$A:$B,2,0),0)</f>
        <v>15</v>
      </c>
      <c r="N176">
        <v>1</v>
      </c>
      <c r="O176" s="66">
        <v>1</v>
      </c>
      <c r="Q176">
        <f t="shared" si="7"/>
        <v>15</v>
      </c>
      <c r="R176">
        <v>4518131</v>
      </c>
      <c r="S176" s="42" t="str">
        <f>VLOOKUP(R176,'CA07-本月-盘点结果'!$B:$C,2,0)</f>
        <v>KOOKSOONDANG（750ML*20瓶/箱）</v>
      </c>
      <c r="T176" s="43">
        <f>VLOOKUP(R176,'CA07-本月-盘点结果'!B:I,8,0)</f>
        <v>41</v>
      </c>
      <c r="U176" s="44">
        <f>T176-Q176</f>
        <v>26</v>
      </c>
      <c r="X176" s="75" t="s">
        <v>3118</v>
      </c>
      <c r="Y176" t="s">
        <v>32</v>
      </c>
      <c r="Z176" s="77">
        <v>6</v>
      </c>
    </row>
    <row r="177" spans="1:26">
      <c r="A177" t="str">
        <f t="shared" si="8"/>
        <v>加拿大七店1304028473284冰镇</v>
      </c>
      <c r="B177" t="s">
        <v>3000</v>
      </c>
      <c r="C177" t="s">
        <v>636</v>
      </c>
      <c r="D177" t="s">
        <v>2451</v>
      </c>
      <c r="E177" t="s">
        <v>2627</v>
      </c>
      <c r="F177" s="40">
        <v>13040284</v>
      </c>
      <c r="G177" s="40">
        <v>73284</v>
      </c>
      <c r="H177" s="41" t="s">
        <v>2676</v>
      </c>
      <c r="I177" s="47" t="s">
        <v>2676</v>
      </c>
      <c r="J177" t="s">
        <v>2450</v>
      </c>
      <c r="K177" s="40">
        <v>6.51</v>
      </c>
      <c r="L177" s="16" t="s">
        <v>32</v>
      </c>
      <c r="M177" s="54">
        <f>IFERROR(VLOOKUP(A177,Sheet3!$A:$B,2,0),0)</f>
        <v>107</v>
      </c>
      <c r="N177">
        <v>1</v>
      </c>
      <c r="O177" s="66">
        <v>1</v>
      </c>
      <c r="Q177">
        <f t="shared" si="7"/>
        <v>107</v>
      </c>
      <c r="R177">
        <v>4733325</v>
      </c>
      <c r="S177" s="42" t="str">
        <f>VLOOKUP(R177,'CA07-本月-盘点结果'!$B:$C,2,0)</f>
        <v>海底捞啤酒（大麦拉格，500ML*12瓶/件）</v>
      </c>
      <c r="T177" s="43">
        <f>VLOOKUP(R177,'CA07-本月-盘点结果'!B:I,8,0)</f>
        <v>106</v>
      </c>
      <c r="U177" s="44">
        <f>T177-Q177-Q178</f>
        <v>-1</v>
      </c>
      <c r="X177" s="75" t="s">
        <v>3119</v>
      </c>
      <c r="Y177" t="s">
        <v>32</v>
      </c>
      <c r="Z177" s="77">
        <v>12</v>
      </c>
    </row>
    <row r="178" spans="1:26">
      <c r="A178" t="str">
        <f t="shared" si="8"/>
        <v>加拿大七店1304028473284常温</v>
      </c>
      <c r="B178" t="s">
        <v>3000</v>
      </c>
      <c r="C178" t="s">
        <v>636</v>
      </c>
      <c r="D178" t="s">
        <v>2451</v>
      </c>
      <c r="E178" t="s">
        <v>2627</v>
      </c>
      <c r="F178" s="40">
        <v>13040284</v>
      </c>
      <c r="G178" s="40">
        <v>73284</v>
      </c>
      <c r="H178" s="41" t="s">
        <v>2676</v>
      </c>
      <c r="I178" s="47" t="s">
        <v>2676</v>
      </c>
      <c r="J178" t="s">
        <v>2672</v>
      </c>
      <c r="K178" s="40">
        <v>5.69</v>
      </c>
      <c r="L178" s="16" t="s">
        <v>32</v>
      </c>
      <c r="M178" s="54">
        <f>IFERROR(VLOOKUP(A178,Sheet3!$A:$B,2,0),0)</f>
        <v>0</v>
      </c>
      <c r="N178">
        <v>1</v>
      </c>
      <c r="O178" s="66">
        <v>1</v>
      </c>
      <c r="Q178">
        <f t="shared" si="7"/>
        <v>0</v>
      </c>
      <c r="R178">
        <v>4733325</v>
      </c>
      <c r="S178" s="42" t="str">
        <f>VLOOKUP(R178,'CA07-本月-盘点结果'!$B:$C,2,0)</f>
        <v>海底捞啤酒（大麦拉格，500ML*12瓶/件）</v>
      </c>
      <c r="X178" s="41"/>
      <c r="Y178" t="s">
        <v>32</v>
      </c>
      <c r="Z178" s="77">
        <v>0</v>
      </c>
    </row>
    <row r="179" spans="1:26">
      <c r="A179" t="str">
        <f t="shared" si="8"/>
        <v>加拿大七店130204231109396小瓶</v>
      </c>
      <c r="B179" t="s">
        <v>3000</v>
      </c>
      <c r="C179" t="s">
        <v>636</v>
      </c>
      <c r="D179" t="s">
        <v>2451</v>
      </c>
      <c r="E179" t="s">
        <v>2627</v>
      </c>
      <c r="F179" s="40">
        <v>13020423</v>
      </c>
      <c r="G179" s="40">
        <v>1109396</v>
      </c>
      <c r="H179" s="41" t="s">
        <v>2675</v>
      </c>
      <c r="I179" s="47" t="s">
        <v>3120</v>
      </c>
      <c r="J179" t="s">
        <v>2626</v>
      </c>
      <c r="K179" s="40">
        <v>9.95</v>
      </c>
      <c r="L179" s="16" t="s">
        <v>2653</v>
      </c>
      <c r="M179" s="54">
        <f>IFERROR(VLOOKUP(A179,Sheet3!$A:$B,2,0),0)</f>
        <v>14</v>
      </c>
      <c r="N179">
        <v>1</v>
      </c>
      <c r="O179" s="66">
        <v>1</v>
      </c>
      <c r="Q179">
        <f t="shared" si="7"/>
        <v>14</v>
      </c>
      <c r="R179" s="13">
        <v>4503951</v>
      </c>
      <c r="S179" s="42" t="str">
        <f>VLOOKUP(R179,'CA07-本月-盘点结果'!$B:$C,2,0)</f>
        <v>江小白 40 度（50ML*36瓶/箱）</v>
      </c>
      <c r="T179" s="43">
        <f>VLOOKUP(R179,'CA07-本月-盘点结果'!B:I,8,0)</f>
        <v>43</v>
      </c>
      <c r="U179" s="44">
        <f>T179-Q179</f>
        <v>29</v>
      </c>
      <c r="X179" s="75" t="s">
        <v>3121</v>
      </c>
      <c r="Y179" t="s">
        <v>32</v>
      </c>
      <c r="Z179" s="77">
        <v>1</v>
      </c>
    </row>
    <row r="180" spans="1:26">
      <c r="A180" t="str">
        <f t="shared" si="8"/>
        <v>加拿大七店700004909991小瓶</v>
      </c>
      <c r="B180" t="s">
        <v>3000</v>
      </c>
      <c r="C180" t="s">
        <v>636</v>
      </c>
      <c r="D180" t="s">
        <v>2451</v>
      </c>
      <c r="E180" t="s">
        <v>2627</v>
      </c>
      <c r="F180" s="40">
        <v>70000490</v>
      </c>
      <c r="G180" s="40">
        <v>9991</v>
      </c>
      <c r="H180" s="41" t="s">
        <v>2628</v>
      </c>
      <c r="I180" s="47" t="s">
        <v>2417</v>
      </c>
      <c r="J180" t="s">
        <v>2626</v>
      </c>
      <c r="K180" s="40">
        <v>18.95</v>
      </c>
      <c r="L180" s="16" t="s">
        <v>2626</v>
      </c>
      <c r="M180" s="54">
        <f>IFERROR(VLOOKUP(A180,Sheet3!$A:$B,2,0),0)</f>
        <v>107</v>
      </c>
      <c r="N180">
        <v>1</v>
      </c>
      <c r="O180" s="66">
        <v>1</v>
      </c>
      <c r="Q180">
        <f t="shared" si="7"/>
        <v>107</v>
      </c>
      <c r="R180">
        <v>4507216</v>
      </c>
      <c r="S180" s="42" t="str">
        <f>VLOOKUP(R180,'CA07-本月-盘点结果'!$B:$C,2,0)</f>
        <v>韩国烧酒优酸乳味（CHUM CHURUM，360ML/瓶）</v>
      </c>
      <c r="T180" s="43">
        <f>VLOOKUP(R180,'CA07-本月-盘点结果'!B:I,8,0)</f>
        <v>9</v>
      </c>
      <c r="U180" s="44">
        <f>T180+T181+T182+T183-Q180</f>
        <v>-15</v>
      </c>
      <c r="X180" s="75" t="s">
        <v>3122</v>
      </c>
      <c r="Y180" t="s">
        <v>32</v>
      </c>
      <c r="Z180" s="77">
        <v>14</v>
      </c>
    </row>
    <row r="181" spans="1:26">
      <c r="A181" t="str">
        <f t="shared" si="8"/>
        <v>加拿大七店700004909991</v>
      </c>
      <c r="B181" t="s">
        <v>3000</v>
      </c>
      <c r="C181" t="s">
        <v>636</v>
      </c>
      <c r="D181" t="s">
        <v>2451</v>
      </c>
      <c r="E181" t="s">
        <v>2627</v>
      </c>
      <c r="F181" s="40">
        <v>70000490</v>
      </c>
      <c r="G181" s="40">
        <v>9991</v>
      </c>
      <c r="H181" s="41" t="s">
        <v>2628</v>
      </c>
      <c r="I181" s="47"/>
      <c r="M181" s="54">
        <f>IFERROR(VLOOKUP(A181,Sheet3!$A:$B,2,0),0)</f>
        <v>0</v>
      </c>
      <c r="O181" s="66"/>
      <c r="Q181">
        <f t="shared" si="7"/>
        <v>0</v>
      </c>
      <c r="R181">
        <v>4526260</v>
      </c>
      <c r="S181" s="42" t="str">
        <f>VLOOKUP(R181,'CA07-本月-盘点结果'!$B:$C,2,0)</f>
        <v>烧酒（CHUMCHURUM，青提味，360ML/瓶）</v>
      </c>
      <c r="T181" s="43">
        <f>VLOOKUP(R181,'CA07-本月-盘点结果'!B:I,8,0)</f>
        <v>22</v>
      </c>
      <c r="X181" s="41"/>
      <c r="Y181" t="s">
        <v>32</v>
      </c>
      <c r="Z181" s="77">
        <v>0</v>
      </c>
    </row>
    <row r="182" spans="1:26">
      <c r="A182" t="str">
        <f t="shared" si="8"/>
        <v>加拿大七店700004909991</v>
      </c>
      <c r="B182" t="s">
        <v>3000</v>
      </c>
      <c r="C182" t="s">
        <v>636</v>
      </c>
      <c r="D182" t="s">
        <v>2451</v>
      </c>
      <c r="E182" t="s">
        <v>2627</v>
      </c>
      <c r="F182" s="40">
        <v>70000490</v>
      </c>
      <c r="G182" s="40">
        <v>9991</v>
      </c>
      <c r="H182" s="41" t="s">
        <v>2628</v>
      </c>
      <c r="I182" s="47"/>
      <c r="M182" s="54">
        <f>IFERROR(VLOOKUP(A182,Sheet3!$A:$B,2,0),0)</f>
        <v>0</v>
      </c>
      <c r="O182" s="66"/>
      <c r="Q182">
        <f t="shared" si="7"/>
        <v>0</v>
      </c>
      <c r="R182">
        <v>4526258</v>
      </c>
      <c r="S182" s="42" t="str">
        <f>VLOOKUP(R182,'CA07-本月-盘点结果'!$B:$C,2,0)</f>
        <v>烧酒（荔枝味，360ML/瓶）</v>
      </c>
      <c r="T182" s="43">
        <f>VLOOKUP(R182,'CA07-本月-盘点结果'!B:I,8,0)</f>
        <v>41</v>
      </c>
      <c r="X182" s="41"/>
      <c r="Y182" t="s">
        <v>32</v>
      </c>
      <c r="Z182" s="77">
        <v>0</v>
      </c>
    </row>
    <row r="183" spans="1:26">
      <c r="A183" t="str">
        <f t="shared" si="8"/>
        <v>加拿大七店700004909991</v>
      </c>
      <c r="B183" t="s">
        <v>3000</v>
      </c>
      <c r="C183" t="s">
        <v>636</v>
      </c>
      <c r="D183" t="s">
        <v>2451</v>
      </c>
      <c r="E183" t="s">
        <v>2627</v>
      </c>
      <c r="F183" s="40">
        <v>70000490</v>
      </c>
      <c r="G183" s="40">
        <v>9991</v>
      </c>
      <c r="H183" s="41" t="s">
        <v>2628</v>
      </c>
      <c r="I183" s="47"/>
      <c r="M183" s="54">
        <f>IFERROR(VLOOKUP(A183,Sheet3!$A:$B,2,0),0)</f>
        <v>0</v>
      </c>
      <c r="O183" s="66"/>
      <c r="Q183">
        <f t="shared" si="7"/>
        <v>0</v>
      </c>
      <c r="R183">
        <v>4526259</v>
      </c>
      <c r="S183" s="42" t="str">
        <f>VLOOKUP(R183,'CA07-本月-盘点结果'!$B:$C,2,0)</f>
        <v>烧酒（苹果味，360ML/瓶）</v>
      </c>
      <c r="T183" s="43">
        <f>VLOOKUP(R183,'CA07-本月-盘点结果'!B:I,8,0)</f>
        <v>20</v>
      </c>
      <c r="X183" s="41"/>
      <c r="Y183" t="s">
        <v>32</v>
      </c>
      <c r="Z183" s="77">
        <v>0</v>
      </c>
    </row>
    <row r="184" ht="16.5" spans="1:26">
      <c r="A184" t="str">
        <f t="shared" si="8"/>
        <v>加拿大七店906001343013整份</v>
      </c>
      <c r="B184" t="s">
        <v>3000</v>
      </c>
      <c r="C184" t="s">
        <v>636</v>
      </c>
      <c r="D184" t="s">
        <v>2437</v>
      </c>
      <c r="E184" t="s">
        <v>2438</v>
      </c>
      <c r="F184" s="40">
        <v>9060013</v>
      </c>
      <c r="G184" s="40">
        <v>43013</v>
      </c>
      <c r="H184" s="41" t="s">
        <v>2435</v>
      </c>
      <c r="I184" s="47" t="s">
        <v>2435</v>
      </c>
      <c r="J184" t="s">
        <v>2436</v>
      </c>
      <c r="L184" s="16" t="s">
        <v>2454</v>
      </c>
      <c r="M184" s="54">
        <f>IFERROR(VLOOKUP(A184,Sheet3!$A:$B,2,0),0)</f>
        <v>958</v>
      </c>
      <c r="N184">
        <v>0.16</v>
      </c>
      <c r="O184" s="66">
        <v>1.06</v>
      </c>
      <c r="P184">
        <v>2.2</v>
      </c>
      <c r="Q184">
        <f t="shared" si="7"/>
        <v>162.4768</v>
      </c>
      <c r="R184" s="13">
        <v>1501635</v>
      </c>
      <c r="S184" s="42" t="str">
        <f>VLOOKUP(R184,'CA07-本月-盘点结果'!$B:$C,2,0)</f>
        <v>黑猪肉（LB）</v>
      </c>
      <c r="T184" s="43">
        <f>VLOOKUP(R184,'CA07-本月-盘点结果'!B:I,8,0)</f>
        <v>429.33</v>
      </c>
      <c r="U184" s="44">
        <f>T184-Q184*P184</f>
        <v>71.88104</v>
      </c>
      <c r="X184" s="41"/>
      <c r="Y184" t="s">
        <v>17</v>
      </c>
      <c r="Z184" s="77">
        <v>17.37</v>
      </c>
    </row>
    <row r="185" ht="16.5" spans="1:26">
      <c r="A185" t="str">
        <f t="shared" si="8"/>
        <v>加拿大七店900002611002512整份</v>
      </c>
      <c r="B185" t="s">
        <v>3000</v>
      </c>
      <c r="C185" t="s">
        <v>636</v>
      </c>
      <c r="D185" t="s">
        <v>2437</v>
      </c>
      <c r="E185" t="s">
        <v>2464</v>
      </c>
      <c r="F185" s="40">
        <v>90000261</v>
      </c>
      <c r="G185" s="49">
        <v>1002512</v>
      </c>
      <c r="H185" s="41" t="s">
        <v>3123</v>
      </c>
      <c r="I185" s="47" t="s">
        <v>3123</v>
      </c>
      <c r="J185" t="s">
        <v>2436</v>
      </c>
      <c r="L185" s="16" t="s">
        <v>2454</v>
      </c>
      <c r="M185" s="54">
        <f>IFERROR(VLOOKUP(A185,Sheet3!$A:$B,2,0),0)</f>
        <v>0</v>
      </c>
      <c r="N185">
        <v>0.12</v>
      </c>
      <c r="O185" s="66">
        <v>1</v>
      </c>
      <c r="Q185">
        <f t="shared" si="7"/>
        <v>0</v>
      </c>
      <c r="R185">
        <v>4520629</v>
      </c>
      <c r="S185" s="42" t="e">
        <f>VLOOKUP(R185,'CA07-本月-盘点结果'!$B:$C,2,0)</f>
        <v>#N/A</v>
      </c>
      <c r="T185" s="43" t="e">
        <f>VLOOKUP(R185,'CA07-本月-盘点结果'!B:I,8,0)</f>
        <v>#N/A</v>
      </c>
      <c r="U185" s="44" t="e">
        <f>T185-Q185</f>
        <v>#N/A</v>
      </c>
      <c r="X185" s="41"/>
      <c r="Y185" t="e">
        <v>#N/A</v>
      </c>
      <c r="Z185" s="77" t="e">
        <v>#N/A</v>
      </c>
    </row>
    <row r="186" ht="16.5" spans="1:26">
      <c r="A186" t="str">
        <f t="shared" si="8"/>
        <v>加拿大七店7000242887285四宫格</v>
      </c>
      <c r="B186" t="s">
        <v>3000</v>
      </c>
      <c r="C186" t="s">
        <v>636</v>
      </c>
      <c r="D186" t="s">
        <v>2458</v>
      </c>
      <c r="E186" t="s">
        <v>2458</v>
      </c>
      <c r="F186" s="40">
        <v>70002428</v>
      </c>
      <c r="G186" s="49">
        <v>87285</v>
      </c>
      <c r="H186" s="41" t="s">
        <v>2468</v>
      </c>
      <c r="I186" s="47" t="s">
        <v>2468</v>
      </c>
      <c r="J186" t="s">
        <v>2460</v>
      </c>
      <c r="K186" s="40">
        <v>6.95</v>
      </c>
      <c r="L186" t="s">
        <v>3001</v>
      </c>
      <c r="M186" s="54">
        <f>IFERROR(VLOOKUP(A186,Sheet3!$A:$B,2,0),0)</f>
        <v>0</v>
      </c>
      <c r="N186">
        <v>0.1</v>
      </c>
      <c r="O186" s="66">
        <v>1</v>
      </c>
      <c r="P186">
        <v>0.354</v>
      </c>
      <c r="Q186">
        <f t="shared" ref="Q186:Q192" si="9">M186*N186*O186</f>
        <v>0</v>
      </c>
      <c r="R186">
        <v>1500882</v>
      </c>
      <c r="S186" s="42" t="str">
        <f>VLOOKUP(R186,'CA07-本月-盘点结果'!$B:$C,2,0)</f>
        <v>三花淡奶（354ML*48瓶/箱）</v>
      </c>
      <c r="X186" s="41"/>
      <c r="Y186" t="s">
        <v>32</v>
      </c>
      <c r="Z186" s="77">
        <v>0</v>
      </c>
    </row>
    <row r="187" ht="16.5" spans="1:26">
      <c r="A187" t="str">
        <f t="shared" si="8"/>
        <v>加拿大七店7000242887286拼锅</v>
      </c>
      <c r="B187" t="s">
        <v>3000</v>
      </c>
      <c r="C187" t="s">
        <v>636</v>
      </c>
      <c r="D187" t="s">
        <v>2458</v>
      </c>
      <c r="E187" t="s">
        <v>2458</v>
      </c>
      <c r="F187" s="40">
        <v>70002428</v>
      </c>
      <c r="G187" s="49">
        <v>87286</v>
      </c>
      <c r="H187" s="41" t="s">
        <v>2468</v>
      </c>
      <c r="I187" s="47" t="s">
        <v>2468</v>
      </c>
      <c r="J187" t="s">
        <v>2457</v>
      </c>
      <c r="K187" s="40">
        <v>12.95</v>
      </c>
      <c r="L187" t="s">
        <v>3001</v>
      </c>
      <c r="M187" s="54">
        <f>IFERROR(VLOOKUP(A187,Sheet3!$A:$B,2,0),0)</f>
        <v>0</v>
      </c>
      <c r="N187">
        <v>0.2</v>
      </c>
      <c r="O187" s="66">
        <v>1</v>
      </c>
      <c r="P187">
        <v>0.354</v>
      </c>
      <c r="Q187">
        <f t="shared" si="9"/>
        <v>0</v>
      </c>
      <c r="R187">
        <v>1500882</v>
      </c>
      <c r="S187" s="42" t="str">
        <f>VLOOKUP(R187,'CA07-本月-盘点结果'!$B:$C,2,0)</f>
        <v>三花淡奶（354ML*48瓶/箱）</v>
      </c>
      <c r="X187" s="41"/>
      <c r="Y187" t="s">
        <v>32</v>
      </c>
      <c r="Z187" s="77">
        <v>0</v>
      </c>
    </row>
    <row r="188" ht="16.5" spans="1:26">
      <c r="A188" t="str">
        <f t="shared" si="8"/>
        <v>加拿大七店7000242887288单锅</v>
      </c>
      <c r="B188" t="s">
        <v>3000</v>
      </c>
      <c r="C188" t="s">
        <v>636</v>
      </c>
      <c r="D188" t="s">
        <v>2458</v>
      </c>
      <c r="E188" t="s">
        <v>2458</v>
      </c>
      <c r="F188" s="40">
        <v>70002428</v>
      </c>
      <c r="G188" s="49">
        <v>87288</v>
      </c>
      <c r="H188" s="41" t="s">
        <v>2468</v>
      </c>
      <c r="I188" s="47" t="s">
        <v>2468</v>
      </c>
      <c r="J188" t="s">
        <v>2507</v>
      </c>
      <c r="K188" s="40">
        <v>24.95</v>
      </c>
      <c r="L188" t="s">
        <v>3001</v>
      </c>
      <c r="M188" s="54">
        <f>IFERROR(VLOOKUP(A188,Sheet3!$A:$B,2,0),0)</f>
        <v>0</v>
      </c>
      <c r="N188">
        <v>0.4</v>
      </c>
      <c r="O188" s="66">
        <v>1</v>
      </c>
      <c r="P188">
        <v>0.354</v>
      </c>
      <c r="Q188">
        <f t="shared" si="9"/>
        <v>0</v>
      </c>
      <c r="R188">
        <v>1500882</v>
      </c>
      <c r="S188" s="42" t="str">
        <f>VLOOKUP(R188,'CA07-本月-盘点结果'!$B:$C,2,0)</f>
        <v>三花淡奶（354ML*48瓶/箱）</v>
      </c>
      <c r="X188" s="41"/>
      <c r="Y188" t="s">
        <v>32</v>
      </c>
      <c r="Z188" s="77">
        <v>0</v>
      </c>
    </row>
    <row r="189" ht="16.5" spans="1:26">
      <c r="A189" t="str">
        <f t="shared" si="8"/>
        <v>加拿大七店9000041397684单锅</v>
      </c>
      <c r="B189" t="s">
        <v>3000</v>
      </c>
      <c r="C189" t="s">
        <v>636</v>
      </c>
      <c r="D189" t="s">
        <v>2458</v>
      </c>
      <c r="E189" t="s">
        <v>2458</v>
      </c>
      <c r="F189" s="40">
        <v>90000413</v>
      </c>
      <c r="G189" s="49">
        <v>97684</v>
      </c>
      <c r="H189" s="41" t="s">
        <v>2456</v>
      </c>
      <c r="I189" s="47" t="s">
        <v>2456</v>
      </c>
      <c r="J189" t="s">
        <v>2507</v>
      </c>
      <c r="K189" s="40">
        <v>24.95</v>
      </c>
      <c r="L189" t="s">
        <v>3001</v>
      </c>
      <c r="M189" s="54">
        <f>IFERROR(VLOOKUP(A189,Sheet3!$A:$B,2,0),0)</f>
        <v>0</v>
      </c>
      <c r="N189">
        <v>0.4</v>
      </c>
      <c r="O189" s="66">
        <v>1</v>
      </c>
      <c r="P189">
        <v>0.354</v>
      </c>
      <c r="Q189">
        <f t="shared" si="9"/>
        <v>0</v>
      </c>
      <c r="R189">
        <v>1500882</v>
      </c>
      <c r="S189" s="42" t="str">
        <f>VLOOKUP(R189,'CA07-本月-盘点结果'!$B:$C,2,0)</f>
        <v>三花淡奶（354ML*48瓶/箱）</v>
      </c>
      <c r="X189" s="41"/>
      <c r="Y189" t="s">
        <v>32</v>
      </c>
      <c r="Z189" s="77">
        <v>0</v>
      </c>
    </row>
    <row r="190" ht="16.5" spans="1:26">
      <c r="A190" t="str">
        <f t="shared" si="8"/>
        <v>加拿大七店9000041397685拼锅</v>
      </c>
      <c r="B190" t="s">
        <v>3000</v>
      </c>
      <c r="C190" t="s">
        <v>636</v>
      </c>
      <c r="D190" t="s">
        <v>2458</v>
      </c>
      <c r="E190" t="s">
        <v>2458</v>
      </c>
      <c r="F190" s="40">
        <v>90000413</v>
      </c>
      <c r="G190" s="49">
        <v>97685</v>
      </c>
      <c r="H190" s="41" t="s">
        <v>2456</v>
      </c>
      <c r="I190" s="47" t="s">
        <v>2456</v>
      </c>
      <c r="J190" t="s">
        <v>2457</v>
      </c>
      <c r="K190" s="40">
        <v>12.95</v>
      </c>
      <c r="L190" t="s">
        <v>3001</v>
      </c>
      <c r="M190" s="54">
        <f>IFERROR(VLOOKUP(A190,Sheet3!$A:$B,2,0),0)</f>
        <v>0</v>
      </c>
      <c r="N190">
        <v>0.2</v>
      </c>
      <c r="O190" s="66">
        <v>1</v>
      </c>
      <c r="P190">
        <v>0.354</v>
      </c>
      <c r="Q190">
        <f t="shared" si="9"/>
        <v>0</v>
      </c>
      <c r="R190">
        <v>1500882</v>
      </c>
      <c r="S190" s="42" t="str">
        <f>VLOOKUP(R190,'CA07-本月-盘点结果'!$B:$C,2,0)</f>
        <v>三花淡奶（354ML*48瓶/箱）</v>
      </c>
      <c r="X190" s="41"/>
      <c r="Y190" t="s">
        <v>32</v>
      </c>
      <c r="Z190" s="77">
        <v>0</v>
      </c>
    </row>
    <row r="191" ht="16.5" spans="1:26">
      <c r="A191" t="str">
        <f t="shared" si="8"/>
        <v>加拿大七店9000041397686四宫格</v>
      </c>
      <c r="B191" t="s">
        <v>3000</v>
      </c>
      <c r="C191" t="s">
        <v>636</v>
      </c>
      <c r="D191" t="s">
        <v>2458</v>
      </c>
      <c r="E191" t="s">
        <v>2458</v>
      </c>
      <c r="F191" s="40">
        <v>90000413</v>
      </c>
      <c r="G191" s="49">
        <v>97686</v>
      </c>
      <c r="H191" s="41" t="s">
        <v>2456</v>
      </c>
      <c r="I191" s="47" t="s">
        <v>2456</v>
      </c>
      <c r="J191" t="s">
        <v>2460</v>
      </c>
      <c r="K191" s="40">
        <v>6.95</v>
      </c>
      <c r="L191" t="s">
        <v>3001</v>
      </c>
      <c r="M191" s="54">
        <f>IFERROR(VLOOKUP(A191,Sheet3!$A:$B,2,0),0)</f>
        <v>0</v>
      </c>
      <c r="N191">
        <v>0.1</v>
      </c>
      <c r="O191" s="66">
        <v>1</v>
      </c>
      <c r="P191">
        <v>0.354</v>
      </c>
      <c r="Q191">
        <f t="shared" si="9"/>
        <v>0</v>
      </c>
      <c r="R191">
        <v>1500882</v>
      </c>
      <c r="S191" s="42" t="str">
        <f>VLOOKUP(R191,'CA07-本月-盘点结果'!$B:$C,2,0)</f>
        <v>三花淡奶（354ML*48瓶/箱）</v>
      </c>
      <c r="X191" s="41"/>
      <c r="Y191" t="s">
        <v>32</v>
      </c>
      <c r="Z191" s="77">
        <v>0</v>
      </c>
    </row>
    <row r="192" ht="16.5" spans="1:26">
      <c r="A192" t="str">
        <f t="shared" si="8"/>
        <v>加拿大七店7000169879583半份</v>
      </c>
      <c r="B192" t="s">
        <v>3000</v>
      </c>
      <c r="C192" t="s">
        <v>636</v>
      </c>
      <c r="D192" t="s">
        <v>2458</v>
      </c>
      <c r="E192" t="s">
        <v>2458</v>
      </c>
      <c r="F192" s="40">
        <v>70001698</v>
      </c>
      <c r="G192" s="40">
        <v>79583</v>
      </c>
      <c r="H192" s="41" t="s">
        <v>2498</v>
      </c>
      <c r="I192" s="47" t="s">
        <v>2498</v>
      </c>
      <c r="J192" s="40" t="s">
        <v>2440</v>
      </c>
      <c r="K192">
        <v>6.95</v>
      </c>
      <c r="L192" t="s">
        <v>2454</v>
      </c>
      <c r="M192" s="54">
        <f>IFERROR(VLOOKUP(A192,Sheet3!$A:$B,2,0),0)</f>
        <v>244</v>
      </c>
      <c r="N192">
        <v>0.08</v>
      </c>
      <c r="O192" s="66">
        <v>1</v>
      </c>
      <c r="P192">
        <v>2.2</v>
      </c>
      <c r="Q192">
        <f t="shared" si="9"/>
        <v>19.52</v>
      </c>
      <c r="R192">
        <v>4515419</v>
      </c>
      <c r="S192" s="42" t="str">
        <f>VLOOKUP(R192,'CA07-本月-盘点结果'!$B:$C,2,0)</f>
        <v>去肥黄瓜条（LB）</v>
      </c>
      <c r="X192" s="41"/>
      <c r="Y192" t="s">
        <v>36</v>
      </c>
      <c r="Z192" s="77">
        <v>0</v>
      </c>
    </row>
    <row r="193" ht="16.5" spans="1:26">
      <c r="A193" t="str">
        <f t="shared" si="8"/>
        <v>加拿大七店106011510241单锅</v>
      </c>
      <c r="B193" t="s">
        <v>3000</v>
      </c>
      <c r="C193" t="s">
        <v>636</v>
      </c>
      <c r="D193" t="s">
        <v>2458</v>
      </c>
      <c r="E193" t="s">
        <v>2458</v>
      </c>
      <c r="F193" s="40">
        <v>1060115</v>
      </c>
      <c r="G193" s="49">
        <v>10241</v>
      </c>
      <c r="H193" s="41" t="s">
        <v>2346</v>
      </c>
      <c r="I193" s="47" t="s">
        <v>2346</v>
      </c>
      <c r="J193" t="s">
        <v>2507</v>
      </c>
      <c r="K193" s="40">
        <v>40.95</v>
      </c>
      <c r="L193" t="s">
        <v>3001</v>
      </c>
      <c r="M193" s="54">
        <f>IFERROR(VLOOKUP(A193,Sheet3!$A:$B,2,0),0)</f>
        <v>0</v>
      </c>
      <c r="N193">
        <v>0.28</v>
      </c>
      <c r="O193" s="66">
        <v>1.1</v>
      </c>
      <c r="P193">
        <v>2.2</v>
      </c>
      <c r="Q193">
        <f t="shared" ref="Q193:Q235" si="10">M193*N193*O193</f>
        <v>0</v>
      </c>
      <c r="R193">
        <v>1500680</v>
      </c>
      <c r="S193" s="42" t="str">
        <f>VLOOKUP(R193,'CA07-本月-盘点结果'!$B:$C,2,0)</f>
        <v>带皮去骨鸡腿肉（LB）</v>
      </c>
      <c r="X193" s="41"/>
      <c r="Y193" t="s">
        <v>36</v>
      </c>
      <c r="Z193" s="77">
        <v>0</v>
      </c>
    </row>
    <row r="194" ht="16.5" spans="1:26">
      <c r="A194" t="str">
        <f t="shared" si="8"/>
        <v>加拿大七店106011513114四宫格</v>
      </c>
      <c r="B194" t="s">
        <v>3000</v>
      </c>
      <c r="C194" t="s">
        <v>636</v>
      </c>
      <c r="D194" t="s">
        <v>2458</v>
      </c>
      <c r="E194" t="s">
        <v>2458</v>
      </c>
      <c r="F194" s="40">
        <v>1060115</v>
      </c>
      <c r="G194" s="49">
        <v>13114</v>
      </c>
      <c r="H194" s="41" t="s">
        <v>2346</v>
      </c>
      <c r="I194" s="47" t="s">
        <v>2346</v>
      </c>
      <c r="J194" t="s">
        <v>2460</v>
      </c>
      <c r="K194" s="40">
        <v>10.95</v>
      </c>
      <c r="L194" s="16" t="s">
        <v>3001</v>
      </c>
      <c r="M194" s="54">
        <f>IFERROR(VLOOKUP(A194,Sheet3!$A:$B,2,0),0)</f>
        <v>0</v>
      </c>
      <c r="N194">
        <v>0.07</v>
      </c>
      <c r="O194" s="66">
        <v>1.1</v>
      </c>
      <c r="P194">
        <v>2.2</v>
      </c>
      <c r="Q194">
        <f t="shared" si="10"/>
        <v>0</v>
      </c>
      <c r="R194">
        <v>1500680</v>
      </c>
      <c r="S194" s="42" t="str">
        <f>VLOOKUP(R194,'CA07-本月-盘点结果'!$B:$C,2,0)</f>
        <v>带皮去骨鸡腿肉（LB）</v>
      </c>
      <c r="X194" s="41"/>
      <c r="Y194" t="s">
        <v>36</v>
      </c>
      <c r="Z194" s="77">
        <v>0</v>
      </c>
    </row>
    <row r="195" ht="16.5" spans="1:26">
      <c r="A195" t="str">
        <f t="shared" si="8"/>
        <v>加拿大七店106011513115拼锅</v>
      </c>
      <c r="B195" t="s">
        <v>3000</v>
      </c>
      <c r="C195" t="s">
        <v>636</v>
      </c>
      <c r="D195" t="s">
        <v>2458</v>
      </c>
      <c r="E195" t="s">
        <v>2458</v>
      </c>
      <c r="F195" s="40">
        <v>1060115</v>
      </c>
      <c r="G195" s="49">
        <v>13115</v>
      </c>
      <c r="H195" s="41" t="s">
        <v>2346</v>
      </c>
      <c r="I195" s="47" t="s">
        <v>2346</v>
      </c>
      <c r="J195" t="s">
        <v>2457</v>
      </c>
      <c r="K195" s="40">
        <v>20.95</v>
      </c>
      <c r="L195" s="16" t="s">
        <v>3001</v>
      </c>
      <c r="M195" s="54">
        <f>IFERROR(VLOOKUP(A195,Sheet3!$A:$B,2,0),0)</f>
        <v>0</v>
      </c>
      <c r="N195">
        <v>0.14</v>
      </c>
      <c r="O195" s="66">
        <v>1.1</v>
      </c>
      <c r="P195">
        <v>2.2</v>
      </c>
      <c r="Q195">
        <f t="shared" si="10"/>
        <v>0</v>
      </c>
      <c r="R195">
        <v>1500680</v>
      </c>
      <c r="S195" s="42" t="str">
        <f>VLOOKUP(R195,'CA07-本月-盘点结果'!$B:$C,2,0)</f>
        <v>带皮去骨鸡腿肉（LB）</v>
      </c>
      <c r="X195" s="41"/>
      <c r="Y195" t="s">
        <v>36</v>
      </c>
      <c r="Z195" s="77">
        <v>0</v>
      </c>
    </row>
    <row r="196" ht="16.5" spans="1:26">
      <c r="A196" t="str">
        <f t="shared" ref="A196:A235" si="11">C196&amp;F196&amp;G196&amp;J196</f>
        <v>加拿大七店90200821003255份</v>
      </c>
      <c r="B196" t="s">
        <v>3000</v>
      </c>
      <c r="C196" t="s">
        <v>636</v>
      </c>
      <c r="F196" s="40">
        <v>9020082</v>
      </c>
      <c r="G196" s="40">
        <v>1003255</v>
      </c>
      <c r="H196" s="41" t="s">
        <v>2610</v>
      </c>
      <c r="I196" s="47" t="s">
        <v>2610</v>
      </c>
      <c r="J196" t="s">
        <v>2454</v>
      </c>
      <c r="K196"/>
      <c r="L196" t="s">
        <v>2454</v>
      </c>
      <c r="M196" s="54">
        <f>IFERROR(VLOOKUP(A196,Sheet3!$A:$B,2,0),0)</f>
        <v>457</v>
      </c>
      <c r="N196">
        <v>0.01</v>
      </c>
      <c r="O196" s="66">
        <v>1</v>
      </c>
      <c r="Q196">
        <f t="shared" si="10"/>
        <v>4.57</v>
      </c>
      <c r="R196">
        <v>4020091</v>
      </c>
      <c r="S196" s="42" t="str">
        <f>VLOOKUP(R196,'CA07-本月-盘点结果'!$B:$C,2,0)</f>
        <v>速冻虾滑（越南，DL443厂，1.6KG*6包/件）</v>
      </c>
      <c r="X196" s="41"/>
      <c r="Y196" t="s">
        <v>73</v>
      </c>
      <c r="Z196" s="77">
        <v>0</v>
      </c>
    </row>
    <row r="197" ht="16.5" spans="1:26">
      <c r="A197" t="str">
        <f t="shared" si="11"/>
        <v>加拿大七店9000041397684单锅</v>
      </c>
      <c r="B197" t="s">
        <v>3000</v>
      </c>
      <c r="C197" t="s">
        <v>636</v>
      </c>
      <c r="F197" s="40">
        <v>90000413</v>
      </c>
      <c r="G197" s="49">
        <v>97684</v>
      </c>
      <c r="H197" s="41" t="s">
        <v>2456</v>
      </c>
      <c r="I197" s="47" t="s">
        <v>2456</v>
      </c>
      <c r="J197" t="s">
        <v>2507</v>
      </c>
      <c r="K197"/>
      <c r="L197" t="s">
        <v>3001</v>
      </c>
      <c r="M197" s="54">
        <f>IFERROR(VLOOKUP(A197,Sheet3!$A:$B,2,0),0)</f>
        <v>0</v>
      </c>
      <c r="N197">
        <v>0.28</v>
      </c>
      <c r="O197" s="66">
        <v>1</v>
      </c>
      <c r="P197">
        <v>2.2</v>
      </c>
      <c r="Q197">
        <f t="shared" si="10"/>
        <v>0</v>
      </c>
      <c r="R197">
        <v>1500703</v>
      </c>
      <c r="S197" s="42" t="str">
        <f>VLOOKUP(R197,'CA07-本月-盘点结果'!$B:$C,2,0)</f>
        <v>带头南美白虾（30-40，4LB*6包/箱 ）</v>
      </c>
      <c r="X197" s="41"/>
      <c r="Y197" t="s">
        <v>36</v>
      </c>
      <c r="Z197" s="77">
        <v>0</v>
      </c>
    </row>
    <row r="198" ht="16.5" spans="1:26">
      <c r="A198" t="str">
        <f t="shared" si="11"/>
        <v>加拿大七店9000041397685拼锅</v>
      </c>
      <c r="B198" t="s">
        <v>3000</v>
      </c>
      <c r="C198" t="s">
        <v>636</v>
      </c>
      <c r="F198" s="40">
        <v>90000413</v>
      </c>
      <c r="G198" s="49">
        <v>97685</v>
      </c>
      <c r="H198" s="41" t="s">
        <v>2456</v>
      </c>
      <c r="I198" s="47" t="s">
        <v>2456</v>
      </c>
      <c r="J198" t="s">
        <v>2457</v>
      </c>
      <c r="L198" s="16" t="s">
        <v>3001</v>
      </c>
      <c r="M198" s="54">
        <f>IFERROR(VLOOKUP(A198,Sheet3!$A:$B,2,0),0)</f>
        <v>0</v>
      </c>
      <c r="N198">
        <v>0.14</v>
      </c>
      <c r="O198" s="66">
        <v>1</v>
      </c>
      <c r="P198">
        <v>2.2</v>
      </c>
      <c r="Q198">
        <f t="shared" si="10"/>
        <v>0</v>
      </c>
      <c r="R198">
        <v>1500703</v>
      </c>
      <c r="S198" s="42" t="str">
        <f>VLOOKUP(R198,'CA07-本月-盘点结果'!$B:$C,2,0)</f>
        <v>带头南美白虾（30-40，4LB*6包/箱 ）</v>
      </c>
      <c r="X198" s="41"/>
      <c r="Y198" t="s">
        <v>36</v>
      </c>
      <c r="Z198" s="77">
        <v>0</v>
      </c>
    </row>
    <row r="199" ht="16.5" spans="1:26">
      <c r="A199" t="str">
        <f t="shared" si="11"/>
        <v>加拿大七店9000041397686四宫格</v>
      </c>
      <c r="B199" t="s">
        <v>3000</v>
      </c>
      <c r="C199" t="s">
        <v>636</v>
      </c>
      <c r="F199" s="40">
        <v>90000413</v>
      </c>
      <c r="G199" s="49">
        <v>97686</v>
      </c>
      <c r="H199" s="41" t="s">
        <v>2456</v>
      </c>
      <c r="I199" t="s">
        <v>2456</v>
      </c>
      <c r="J199" t="s">
        <v>2460</v>
      </c>
      <c r="L199" s="16" t="s">
        <v>3001</v>
      </c>
      <c r="M199" s="54">
        <f>IFERROR(VLOOKUP(A199,Sheet3!$A:$B,2,0),0)</f>
        <v>0</v>
      </c>
      <c r="N199">
        <v>0.07</v>
      </c>
      <c r="O199" s="66">
        <v>1</v>
      </c>
      <c r="P199">
        <v>2.2</v>
      </c>
      <c r="Q199">
        <f t="shared" si="10"/>
        <v>0</v>
      </c>
      <c r="R199">
        <v>1500703</v>
      </c>
      <c r="S199" s="42" t="str">
        <f>VLOOKUP(R199,'CA07-本月-盘点结果'!$B:$C,2,0)</f>
        <v>带头南美白虾（30-40，4LB*6包/箱 ）</v>
      </c>
      <c r="X199" s="41"/>
      <c r="Y199" t="s">
        <v>36</v>
      </c>
      <c r="Z199" s="77">
        <v>0</v>
      </c>
    </row>
    <row r="200" ht="16.5" spans="1:26">
      <c r="A200" t="str">
        <f t="shared" si="11"/>
        <v>加拿大七店903049832583整份</v>
      </c>
      <c r="B200" t="s">
        <v>3000</v>
      </c>
      <c r="C200" t="s">
        <v>636</v>
      </c>
      <c r="D200" t="s">
        <v>2437</v>
      </c>
      <c r="E200" t="s">
        <v>2464</v>
      </c>
      <c r="F200" s="40">
        <v>9030498</v>
      </c>
      <c r="G200" s="49">
        <v>32583</v>
      </c>
      <c r="H200" s="41" t="s">
        <v>2690</v>
      </c>
      <c r="I200" s="47" t="s">
        <v>2690</v>
      </c>
      <c r="J200" t="s">
        <v>2436</v>
      </c>
      <c r="K200" s="40">
        <v>29.95</v>
      </c>
      <c r="L200" s="16" t="s">
        <v>2454</v>
      </c>
      <c r="M200" s="54">
        <f>IFERROR(VLOOKUP(A200,Sheet3!$A:$B,2,0),0)</f>
        <v>0</v>
      </c>
      <c r="N200">
        <v>0.454</v>
      </c>
      <c r="O200" s="66">
        <v>1</v>
      </c>
      <c r="Q200">
        <f t="shared" si="10"/>
        <v>0</v>
      </c>
      <c r="S200" s="42" t="e">
        <f>VLOOKUP(R200,'CA07-本月-盘点结果'!$B:$C,2,0)</f>
        <v>#N/A</v>
      </c>
      <c r="T200" s="43" t="e">
        <f>VLOOKUP(R200,'CA07-本月-盘点结果'!B:I,8,0)</f>
        <v>#N/A</v>
      </c>
      <c r="U200" s="44" t="e">
        <f>T200-Q200</f>
        <v>#N/A</v>
      </c>
      <c r="X200" s="41"/>
      <c r="Y200" t="e">
        <v>#N/A</v>
      </c>
      <c r="Z200" s="77" t="e">
        <v>#N/A</v>
      </c>
    </row>
    <row r="201" spans="1:26">
      <c r="A201" t="str">
        <f t="shared" si="11"/>
        <v>加拿大七店910053731110188份</v>
      </c>
      <c r="B201" t="s">
        <v>3000</v>
      </c>
      <c r="C201" t="s">
        <v>636</v>
      </c>
      <c r="D201" t="s">
        <v>2441</v>
      </c>
      <c r="E201" t="s">
        <v>2455</v>
      </c>
      <c r="F201" s="40">
        <v>91005373</v>
      </c>
      <c r="G201" s="40">
        <v>1110188</v>
      </c>
      <c r="H201" s="41" t="s">
        <v>2649</v>
      </c>
      <c r="I201" s="47" t="s">
        <v>2649</v>
      </c>
      <c r="J201" t="s">
        <v>2454</v>
      </c>
      <c r="K201" s="40">
        <v>9.95</v>
      </c>
      <c r="L201" s="16" t="s">
        <v>2454</v>
      </c>
      <c r="M201" s="54">
        <f>IFERROR(VLOOKUP(A201,Sheet3!$A:$B,2,0),0)</f>
        <v>291</v>
      </c>
      <c r="N201">
        <v>0.2</v>
      </c>
      <c r="O201" s="66">
        <v>1</v>
      </c>
      <c r="P201">
        <v>2.2</v>
      </c>
      <c r="Q201">
        <f t="shared" si="10"/>
        <v>58.2</v>
      </c>
      <c r="R201">
        <v>4504846</v>
      </c>
      <c r="S201" s="42" t="str">
        <f>VLOOKUP(R201,'CA07-本月-盘点结果'!$B:$C,2,0)</f>
        <v>鸡翅中（LB）</v>
      </c>
      <c r="T201" s="43">
        <f>VLOOKUP(R201,'CA07-本月-盘点结果'!B:I,8,0)</f>
        <v>287.25</v>
      </c>
      <c r="U201" s="44">
        <f>T201-Q201*P201</f>
        <v>159.21</v>
      </c>
      <c r="X201" s="41"/>
      <c r="Y201" t="s">
        <v>36</v>
      </c>
      <c r="Z201" s="77">
        <v>5.6</v>
      </c>
    </row>
    <row r="202" spans="1:26">
      <c r="A202" t="str">
        <f t="shared" si="11"/>
        <v>加拿大七店110104281002539份</v>
      </c>
      <c r="B202" t="s">
        <v>3000</v>
      </c>
      <c r="C202" t="s">
        <v>636</v>
      </c>
      <c r="D202" t="s">
        <v>2441</v>
      </c>
      <c r="E202" t="s">
        <v>2455</v>
      </c>
      <c r="F202" s="40">
        <v>11010428</v>
      </c>
      <c r="G202" s="40">
        <v>1002539</v>
      </c>
      <c r="H202" s="41" t="s">
        <v>2623</v>
      </c>
      <c r="I202" s="47" t="s">
        <v>2623</v>
      </c>
      <c r="J202" t="s">
        <v>2454</v>
      </c>
      <c r="K202" s="40">
        <v>6.95</v>
      </c>
      <c r="L202" s="16" t="s">
        <v>2454</v>
      </c>
      <c r="M202" s="54">
        <f>IFERROR(VLOOKUP(A202,Sheet3!$A:$B,2,0),0)</f>
        <v>339</v>
      </c>
      <c r="N202">
        <v>0.13</v>
      </c>
      <c r="O202" s="66">
        <v>1</v>
      </c>
      <c r="P202">
        <v>0</v>
      </c>
      <c r="Q202">
        <f t="shared" si="10"/>
        <v>44.07</v>
      </c>
      <c r="R202">
        <v>4527138</v>
      </c>
      <c r="S202" s="42" t="e">
        <f>VLOOKUP(R202,'CA07-本月-盘点结果'!$B:$C,2,0)</f>
        <v>#N/A</v>
      </c>
      <c r="T202" s="43" t="e">
        <f>VLOOKUP(R202,'CA07-本月-盘点结果'!B:I,8,0)</f>
        <v>#N/A</v>
      </c>
      <c r="U202" s="44" t="e">
        <f t="shared" ref="U202:U210" si="12">T202-Q202</f>
        <v>#N/A</v>
      </c>
      <c r="X202" s="41"/>
      <c r="Y202" t="e">
        <v>#N/A</v>
      </c>
      <c r="Z202" s="77" t="e">
        <v>#N/A</v>
      </c>
    </row>
    <row r="203" spans="1:26">
      <c r="A203" t="str">
        <f t="shared" si="11"/>
        <v>加拿大七店1101049250699整份</v>
      </c>
      <c r="B203" t="s">
        <v>3000</v>
      </c>
      <c r="C203" t="s">
        <v>636</v>
      </c>
      <c r="D203" t="s">
        <v>2441</v>
      </c>
      <c r="E203" t="s">
        <v>2455</v>
      </c>
      <c r="F203" s="40">
        <v>11010492</v>
      </c>
      <c r="G203" s="40">
        <v>50699</v>
      </c>
      <c r="H203" s="41" t="s">
        <v>2632</v>
      </c>
      <c r="I203" s="47" t="s">
        <v>2632</v>
      </c>
      <c r="J203" t="s">
        <v>2436</v>
      </c>
      <c r="K203" s="40">
        <v>9.95</v>
      </c>
      <c r="L203" s="16" t="s">
        <v>2454</v>
      </c>
      <c r="M203" s="54">
        <f>IFERROR(VLOOKUP(A203,Sheet3!$A:$B,2,0),0)</f>
        <v>195</v>
      </c>
      <c r="N203">
        <v>0.4</v>
      </c>
      <c r="O203" s="66">
        <v>1.25</v>
      </c>
      <c r="Q203">
        <f t="shared" si="10"/>
        <v>97.5</v>
      </c>
      <c r="R203" t="e">
        <v>#N/A</v>
      </c>
      <c r="S203" s="42" t="e">
        <f>VLOOKUP(R203,'CA07-本月-盘点结果'!$B:$C,2,0)</f>
        <v>#N/A</v>
      </c>
      <c r="T203" s="43" t="e">
        <f>VLOOKUP(R203,'CA07-本月-盘点结果'!B:I,8,0)</f>
        <v>#N/A</v>
      </c>
      <c r="U203" s="44" t="e">
        <f t="shared" si="12"/>
        <v>#N/A</v>
      </c>
      <c r="X203" s="41"/>
      <c r="Y203" t="e">
        <v>#N/A</v>
      </c>
      <c r="Z203" s="77" t="e">
        <v>#N/A</v>
      </c>
    </row>
    <row r="204" spans="1:26">
      <c r="A204" t="str">
        <f t="shared" si="11"/>
        <v>加拿大七店2906003729037整份</v>
      </c>
      <c r="B204" t="s">
        <v>3000</v>
      </c>
      <c r="C204" t="s">
        <v>636</v>
      </c>
      <c r="D204" t="s">
        <v>2441</v>
      </c>
      <c r="E204" t="s">
        <v>2455</v>
      </c>
      <c r="F204" s="40">
        <v>29060037</v>
      </c>
      <c r="G204" s="40">
        <v>29037</v>
      </c>
      <c r="H204" s="41" t="s">
        <v>3124</v>
      </c>
      <c r="I204" s="47" t="s">
        <v>3124</v>
      </c>
      <c r="J204" t="s">
        <v>2436</v>
      </c>
      <c r="K204" s="40">
        <v>6.95</v>
      </c>
      <c r="L204" s="16" t="s">
        <v>2454</v>
      </c>
      <c r="M204" s="54">
        <f>IFERROR(VLOOKUP(A204,Sheet3!$A:$B,2,0),0)</f>
        <v>0</v>
      </c>
      <c r="N204">
        <v>0.182</v>
      </c>
      <c r="O204" s="66">
        <v>1</v>
      </c>
      <c r="P204">
        <v>0</v>
      </c>
      <c r="Q204">
        <f t="shared" si="10"/>
        <v>0</v>
      </c>
      <c r="R204">
        <v>0</v>
      </c>
      <c r="S204" s="42" t="e">
        <f>VLOOKUP(R204,'CA07-本月-盘点结果'!$B:$C,2,0)</f>
        <v>#N/A</v>
      </c>
      <c r="T204" s="43" t="e">
        <f>VLOOKUP(R204,'CA07-本月-盘点结果'!B:I,8,0)</f>
        <v>#N/A</v>
      </c>
      <c r="U204" s="44" t="e">
        <f t="shared" si="12"/>
        <v>#N/A</v>
      </c>
      <c r="X204" s="41"/>
      <c r="Y204" t="e">
        <v>#N/A</v>
      </c>
      <c r="Z204" s="77" t="e">
        <v>#N/A</v>
      </c>
    </row>
    <row r="205" spans="1:26">
      <c r="A205" t="str">
        <f t="shared" si="11"/>
        <v>加拿大七店700004077864份</v>
      </c>
      <c r="B205" t="s">
        <v>3000</v>
      </c>
      <c r="C205" t="s">
        <v>636</v>
      </c>
      <c r="D205" t="s">
        <v>2441</v>
      </c>
      <c r="E205" t="s">
        <v>2455</v>
      </c>
      <c r="F205" s="40">
        <v>70000407</v>
      </c>
      <c r="G205" s="40">
        <v>7864</v>
      </c>
      <c r="H205" s="41" t="s">
        <v>2453</v>
      </c>
      <c r="I205" s="47" t="s">
        <v>2453</v>
      </c>
      <c r="J205" t="s">
        <v>2454</v>
      </c>
      <c r="K205" s="40">
        <v>6.95</v>
      </c>
      <c r="L205" s="16" t="s">
        <v>2454</v>
      </c>
      <c r="M205" s="54">
        <f>IFERROR(VLOOKUP(A205,Sheet3!$A:$B,2,0),0)</f>
        <v>100</v>
      </c>
      <c r="N205">
        <v>0.2</v>
      </c>
      <c r="O205" s="66">
        <v>1</v>
      </c>
      <c r="P205">
        <v>2.04545454545455</v>
      </c>
      <c r="Q205">
        <f t="shared" si="10"/>
        <v>20</v>
      </c>
      <c r="R205">
        <v>1501190</v>
      </c>
      <c r="S205" s="42" t="str">
        <f>VLOOKUP(R205,'CA07-本月-盘点结果'!$B:$C,2,0)</f>
        <v>薯条（4.5LB*6包/箱）</v>
      </c>
      <c r="T205" s="43">
        <f>VLOOKUP(R205,'CA07-本月-盘点结果'!B:I,8,0)</f>
        <v>20</v>
      </c>
      <c r="U205" s="44">
        <f t="shared" si="12"/>
        <v>0</v>
      </c>
      <c r="X205" s="41"/>
      <c r="Y205" t="s">
        <v>29</v>
      </c>
      <c r="Z205" s="77">
        <v>8.8</v>
      </c>
    </row>
    <row r="206" spans="1:26">
      <c r="A206" t="str">
        <f t="shared" si="11"/>
        <v>加拿大七店910035501107027整份</v>
      </c>
      <c r="B206" t="s">
        <v>3000</v>
      </c>
      <c r="C206" t="s">
        <v>636</v>
      </c>
      <c r="D206" t="s">
        <v>2441</v>
      </c>
      <c r="E206" t="s">
        <v>2455</v>
      </c>
      <c r="F206" s="40">
        <v>91003550</v>
      </c>
      <c r="G206" s="40">
        <v>1107027</v>
      </c>
      <c r="H206" s="41" t="s">
        <v>3125</v>
      </c>
      <c r="I206" s="47" t="s">
        <v>3125</v>
      </c>
      <c r="J206" t="s">
        <v>2436</v>
      </c>
      <c r="K206" s="40">
        <v>4.95</v>
      </c>
      <c r="L206" s="16" t="s">
        <v>2454</v>
      </c>
      <c r="M206" s="54">
        <f>IFERROR(VLOOKUP(A206,Sheet3!$A:$B,2,0),0)</f>
        <v>0</v>
      </c>
      <c r="N206">
        <v>2</v>
      </c>
      <c r="O206" s="66">
        <v>1</v>
      </c>
      <c r="P206">
        <v>0</v>
      </c>
      <c r="Q206">
        <f t="shared" si="10"/>
        <v>0</v>
      </c>
      <c r="R206">
        <v>4522917</v>
      </c>
      <c r="S206" s="42" t="e">
        <f>VLOOKUP(R206,'CA07-本月-盘点结果'!$B:$C,2,0)</f>
        <v>#N/A</v>
      </c>
      <c r="T206" s="43" t="e">
        <f>VLOOKUP(R206,'CA07-本月-盘点结果'!B:I,8,0)</f>
        <v>#N/A</v>
      </c>
      <c r="U206" s="44" t="e">
        <f t="shared" si="12"/>
        <v>#N/A</v>
      </c>
      <c r="X206" s="41"/>
      <c r="Y206" t="s">
        <v>2645</v>
      </c>
      <c r="Z206" s="77">
        <v>62</v>
      </c>
    </row>
    <row r="207" spans="1:26">
      <c r="A207" t="str">
        <f t="shared" si="11"/>
        <v>加拿大七店910039981107708根</v>
      </c>
      <c r="B207" t="s">
        <v>3000</v>
      </c>
      <c r="C207" t="s">
        <v>636</v>
      </c>
      <c r="D207" t="s">
        <v>2441</v>
      </c>
      <c r="E207" t="s">
        <v>2455</v>
      </c>
      <c r="F207" s="40">
        <v>91003998</v>
      </c>
      <c r="G207" s="40">
        <v>1107708</v>
      </c>
      <c r="H207" s="41" t="s">
        <v>2644</v>
      </c>
      <c r="I207" s="47" t="s">
        <v>2644</v>
      </c>
      <c r="J207" t="s">
        <v>2645</v>
      </c>
      <c r="K207" s="40">
        <v>3.95</v>
      </c>
      <c r="L207" s="16" t="s">
        <v>2454</v>
      </c>
      <c r="M207" s="54">
        <f>IFERROR(VLOOKUP(A207,Sheet3!$A:$B,2,0),0)</f>
        <v>318</v>
      </c>
      <c r="N207">
        <v>0.075</v>
      </c>
      <c r="O207" s="66">
        <v>1</v>
      </c>
      <c r="Q207">
        <f t="shared" si="10"/>
        <v>23.85</v>
      </c>
      <c r="R207">
        <v>4526242</v>
      </c>
      <c r="S207" s="42" t="str">
        <f>VLOOKUP(R207,'CA07-本月-盘点结果'!$B:$C,2,0)</f>
        <v>香肠（台湾味，1.5KG*8包/箱）</v>
      </c>
      <c r="T207" s="43">
        <f>VLOOKUP(R207,'CA07-本月-盘点结果'!B:I,8,0)</f>
        <v>39</v>
      </c>
      <c r="U207" s="44">
        <f t="shared" si="12"/>
        <v>15.15</v>
      </c>
      <c r="X207" s="41"/>
      <c r="Y207" t="s">
        <v>73</v>
      </c>
      <c r="Z207" s="77">
        <v>14.1</v>
      </c>
    </row>
    <row r="208" spans="1:26">
      <c r="A208" t="str">
        <f t="shared" si="11"/>
        <v>加拿大七店910050231109552份</v>
      </c>
      <c r="B208" t="s">
        <v>3000</v>
      </c>
      <c r="C208" t="s">
        <v>636</v>
      </c>
      <c r="D208" t="s">
        <v>2441</v>
      </c>
      <c r="E208" t="s">
        <v>2455</v>
      </c>
      <c r="F208" s="40">
        <v>91005023</v>
      </c>
      <c r="G208" s="40">
        <v>1109552</v>
      </c>
      <c r="H208" s="41" t="s">
        <v>2685</v>
      </c>
      <c r="I208" s="47" t="s">
        <v>2685</v>
      </c>
      <c r="J208" t="s">
        <v>2454</v>
      </c>
      <c r="K208" s="40">
        <v>7.95</v>
      </c>
      <c r="L208" s="16" t="s">
        <v>2454</v>
      </c>
      <c r="M208" s="54">
        <f>IFERROR(VLOOKUP(A208,Sheet3!$A:$B,2,0),0)</f>
        <v>93</v>
      </c>
      <c r="N208">
        <v>0.108</v>
      </c>
      <c r="O208" s="66">
        <v>1.05</v>
      </c>
      <c r="P208">
        <v>0.27</v>
      </c>
      <c r="Q208">
        <f t="shared" si="10"/>
        <v>10.5462</v>
      </c>
      <c r="R208">
        <v>4527669</v>
      </c>
      <c r="S208" s="42" t="str">
        <f>VLOOKUP(R208,'CA07-本月-盘点结果'!$B:$C,2,0)</f>
        <v>蟹柳可乐饼（270G*30包/箱）</v>
      </c>
      <c r="T208" s="43">
        <f>VLOOKUP(R208,'CA07-本月-盘点结果'!B:I,8,0)</f>
        <v>16.2</v>
      </c>
      <c r="U208" s="44">
        <f t="shared" si="12"/>
        <v>5.6538</v>
      </c>
      <c r="X208" s="41"/>
      <c r="Y208" t="s">
        <v>73</v>
      </c>
      <c r="Z208" s="77">
        <v>2.21</v>
      </c>
    </row>
    <row r="209" ht="16.5" spans="1:26">
      <c r="A209" t="str">
        <f t="shared" si="11"/>
        <v>加拿大七店910053951110187份</v>
      </c>
      <c r="B209" t="s">
        <v>3000</v>
      </c>
      <c r="C209" t="s">
        <v>636</v>
      </c>
      <c r="D209" t="s">
        <v>2441</v>
      </c>
      <c r="E209" t="s">
        <v>2455</v>
      </c>
      <c r="F209" s="40">
        <v>91005395</v>
      </c>
      <c r="G209" s="40">
        <v>1110187</v>
      </c>
      <c r="H209" s="41" t="s">
        <v>2684</v>
      </c>
      <c r="I209" s="47" t="s">
        <v>2684</v>
      </c>
      <c r="J209" t="s">
        <v>2454</v>
      </c>
      <c r="K209" s="40">
        <v>9.95</v>
      </c>
      <c r="L209" s="16" t="s">
        <v>2454</v>
      </c>
      <c r="M209" s="54">
        <f>IFERROR(VLOOKUP(A209,Sheet3!$A:$B,2,0),0)</f>
        <v>0</v>
      </c>
      <c r="N209">
        <v>0.132</v>
      </c>
      <c r="O209" s="66">
        <v>1</v>
      </c>
      <c r="P209">
        <v>0</v>
      </c>
      <c r="Q209">
        <f t="shared" si="10"/>
        <v>0</v>
      </c>
      <c r="R209">
        <v>4528591</v>
      </c>
      <c r="S209" s="42" t="e">
        <f>VLOOKUP(R209,'CA07-本月-盘点结果'!$B:$C,2,0)</f>
        <v>#N/A</v>
      </c>
      <c r="T209" s="43" t="e">
        <f>VLOOKUP(R209,'CA07-本月-盘点结果'!B:I,8,0)</f>
        <v>#N/A</v>
      </c>
      <c r="U209" s="44" t="e">
        <f t="shared" si="12"/>
        <v>#N/A</v>
      </c>
      <c r="X209" s="41"/>
      <c r="Y209" t="s">
        <v>73</v>
      </c>
      <c r="Z209" s="77">
        <v>4.59</v>
      </c>
    </row>
    <row r="210" ht="16.5" spans="1:26">
      <c r="A210" t="str">
        <f t="shared" si="11"/>
        <v>加拿大七店900031871006464整份</v>
      </c>
      <c r="B210" t="s">
        <v>3000</v>
      </c>
      <c r="C210" t="s">
        <v>636</v>
      </c>
      <c r="D210" t="s">
        <v>2441</v>
      </c>
      <c r="E210" t="s">
        <v>2537</v>
      </c>
      <c r="F210" s="40">
        <v>90003187</v>
      </c>
      <c r="G210" s="49">
        <v>1006464</v>
      </c>
      <c r="H210" s="41" t="s">
        <v>3126</v>
      </c>
      <c r="I210" s="47" t="s">
        <v>3126</v>
      </c>
      <c r="J210" t="s">
        <v>2436</v>
      </c>
      <c r="K210" s="40">
        <v>2.95</v>
      </c>
      <c r="L210" s="16" t="s">
        <v>2454</v>
      </c>
      <c r="M210" s="54">
        <f>IFERROR(VLOOKUP(A210,Sheet3!$A:$B,2,0),0)</f>
        <v>0</v>
      </c>
      <c r="N210">
        <v>1</v>
      </c>
      <c r="O210" s="66">
        <v>1</v>
      </c>
      <c r="P210">
        <v>0</v>
      </c>
      <c r="Q210">
        <f t="shared" si="10"/>
        <v>0</v>
      </c>
      <c r="R210">
        <v>3010923</v>
      </c>
      <c r="S210" s="42" t="e">
        <f>VLOOKUP(R210,'CA07-本月-盘点结果'!$B:$C,2,0)</f>
        <v>#N/A</v>
      </c>
      <c r="T210" s="43" t="e">
        <f>VLOOKUP(R210,'CA07-本月-盘点结果'!B:I,8,0)</f>
        <v>#N/A</v>
      </c>
      <c r="U210" s="44" t="e">
        <f t="shared" si="12"/>
        <v>#N/A</v>
      </c>
      <c r="X210" s="41"/>
      <c r="Y210" t="s">
        <v>20</v>
      </c>
      <c r="Z210" s="77">
        <v>16</v>
      </c>
    </row>
    <row r="211" ht="16.5" spans="1:26">
      <c r="A211" t="str">
        <f t="shared" si="11"/>
        <v>加拿大七店910046921108968份</v>
      </c>
      <c r="B211" t="s">
        <v>3000</v>
      </c>
      <c r="C211" t="s">
        <v>636</v>
      </c>
      <c r="D211" t="s">
        <v>2466</v>
      </c>
      <c r="E211" t="s">
        <v>2467</v>
      </c>
      <c r="F211" s="40">
        <v>91004692</v>
      </c>
      <c r="G211" s="49">
        <v>1108968</v>
      </c>
      <c r="H211" s="41" t="s">
        <v>2686</v>
      </c>
      <c r="I211" s="47" t="s">
        <v>2686</v>
      </c>
      <c r="J211" t="s">
        <v>2454</v>
      </c>
      <c r="K211" s="40">
        <v>0.99</v>
      </c>
      <c r="L211" s="16" t="s">
        <v>2454</v>
      </c>
      <c r="M211" s="54">
        <f>IFERROR(VLOOKUP(A211,Sheet3!$A:$B,2,0),0)</f>
        <v>1</v>
      </c>
      <c r="N211">
        <v>0.16</v>
      </c>
      <c r="O211" s="66">
        <v>1.2</v>
      </c>
      <c r="P211">
        <v>2.2</v>
      </c>
      <c r="Q211">
        <f t="shared" si="10"/>
        <v>0.192</v>
      </c>
      <c r="R211">
        <v>1500677</v>
      </c>
      <c r="S211" s="42" t="str">
        <f>VLOOKUP(R211,'CA07-本月-盘点结果'!$B:$C,2,0)</f>
        <v>牛腩肉（LB）</v>
      </c>
      <c r="X211" s="41"/>
      <c r="Y211" t="s">
        <v>36</v>
      </c>
      <c r="Z211" s="77">
        <v>0</v>
      </c>
    </row>
    <row r="212" ht="16.5" spans="1:26">
      <c r="A212" t="str">
        <f t="shared" si="11"/>
        <v>加拿大七店301014320145整份</v>
      </c>
      <c r="B212" t="s">
        <v>3000</v>
      </c>
      <c r="C212" t="s">
        <v>636</v>
      </c>
      <c r="D212" t="s">
        <v>2474</v>
      </c>
      <c r="E212" t="s">
        <v>2475</v>
      </c>
      <c r="F212" s="40">
        <v>3010143</v>
      </c>
      <c r="G212" s="49">
        <v>20145</v>
      </c>
      <c r="H212" s="41" t="s">
        <v>2621</v>
      </c>
      <c r="I212" s="47" t="s">
        <v>2621</v>
      </c>
      <c r="J212" t="s">
        <v>2436</v>
      </c>
      <c r="K212" s="40">
        <v>25.95</v>
      </c>
      <c r="L212" s="16" t="s">
        <v>2454</v>
      </c>
      <c r="M212" s="54">
        <f>IFERROR(VLOOKUP(A212,Sheet3!$A:$B,2,0),0)</f>
        <v>354</v>
      </c>
      <c r="N212">
        <v>0.2</v>
      </c>
      <c r="O212" s="66">
        <v>1.2</v>
      </c>
      <c r="P212">
        <v>2.2</v>
      </c>
      <c r="Q212">
        <f t="shared" si="10"/>
        <v>84.96</v>
      </c>
      <c r="R212">
        <v>4502187</v>
      </c>
      <c r="S212" s="42" t="str">
        <f>VLOOKUP(R212,'CA07-本月-盘点结果'!$B:$C,2,0)</f>
        <v>黑毛肚（LB）</v>
      </c>
      <c r="T212" s="43">
        <f>VLOOKUP(R212,'CA07-本月-盘点结果'!B:I,8,0)</f>
        <v>3086.95</v>
      </c>
      <c r="U212" s="44">
        <f>(T212/P212-Q212-Q213-Q217-Q218)*P212</f>
        <v>2633.53</v>
      </c>
      <c r="X212" s="41"/>
      <c r="Y212" t="s">
        <v>36</v>
      </c>
      <c r="Z212" s="77">
        <v>1858.04</v>
      </c>
    </row>
    <row r="213" ht="16.5" spans="1:26">
      <c r="A213" t="str">
        <f t="shared" si="11"/>
        <v>加拿大七店301014320146半份</v>
      </c>
      <c r="B213" t="s">
        <v>3000</v>
      </c>
      <c r="C213" t="s">
        <v>636</v>
      </c>
      <c r="D213" t="s">
        <v>2474</v>
      </c>
      <c r="E213" t="s">
        <v>2475</v>
      </c>
      <c r="F213" s="40">
        <v>3010143</v>
      </c>
      <c r="G213" s="49">
        <v>20146</v>
      </c>
      <c r="H213" s="41" t="s">
        <v>2620</v>
      </c>
      <c r="I213" s="47" t="s">
        <v>2621</v>
      </c>
      <c r="J213" t="s">
        <v>2440</v>
      </c>
      <c r="K213" s="40">
        <v>13.95</v>
      </c>
      <c r="L213" s="16" t="s">
        <v>2454</v>
      </c>
      <c r="M213" s="54">
        <f>IFERROR(VLOOKUP(A213,Sheet3!$A:$B,2,0),0)</f>
        <v>780</v>
      </c>
      <c r="N213">
        <v>0.1</v>
      </c>
      <c r="O213" s="66">
        <v>1.2</v>
      </c>
      <c r="P213">
        <v>2.2</v>
      </c>
      <c r="Q213">
        <f t="shared" si="10"/>
        <v>93.6</v>
      </c>
      <c r="R213">
        <v>4502187</v>
      </c>
      <c r="S213" s="42" t="str">
        <f>VLOOKUP(R213,'CA07-本月-盘点结果'!$B:$C,2,0)</f>
        <v>黑毛肚（LB）</v>
      </c>
      <c r="X213" s="41"/>
      <c r="Y213" t="s">
        <v>36</v>
      </c>
      <c r="Z213" s="77">
        <v>0</v>
      </c>
    </row>
    <row r="214" ht="16.5" spans="1:26">
      <c r="A214" t="str">
        <f t="shared" si="11"/>
        <v>加拿大七店904002933029整份</v>
      </c>
      <c r="B214" t="s">
        <v>3000</v>
      </c>
      <c r="C214" t="s">
        <v>636</v>
      </c>
      <c r="D214" t="s">
        <v>2474</v>
      </c>
      <c r="E214" t="s">
        <v>2475</v>
      </c>
      <c r="F214" s="40">
        <v>9040029</v>
      </c>
      <c r="G214" s="49">
        <v>33029</v>
      </c>
      <c r="H214" s="41" t="s">
        <v>2631</v>
      </c>
      <c r="I214" s="47" t="s">
        <v>2631</v>
      </c>
      <c r="J214" t="s">
        <v>2436</v>
      </c>
      <c r="K214" s="40">
        <v>21.95</v>
      </c>
      <c r="L214" s="16" t="s">
        <v>2454</v>
      </c>
      <c r="M214" s="54">
        <f>IFERROR(VLOOKUP(A214,Sheet3!$A:$B,2,0),0)</f>
        <v>58</v>
      </c>
      <c r="N214">
        <v>0.2</v>
      </c>
      <c r="O214" s="66">
        <v>1</v>
      </c>
      <c r="P214">
        <v>2.2</v>
      </c>
      <c r="Q214">
        <f t="shared" si="10"/>
        <v>11.6</v>
      </c>
      <c r="R214">
        <v>4502048</v>
      </c>
      <c r="S214" s="42" t="str">
        <f>VLOOKUP(R214,'CA07-本月-盘点结果'!$B:$C,2,0)</f>
        <v>去皮牛舌（LB）</v>
      </c>
      <c r="T214" s="43">
        <f>VLOOKUP(R214,'CA07-本月-盘点结果'!B:I,8,0)</f>
        <v>80.52</v>
      </c>
      <c r="U214" s="44">
        <f>(T214/P214-Q214-Q215)*P214</f>
        <v>3.95999999999998</v>
      </c>
      <c r="X214" s="41"/>
      <c r="Y214" t="s">
        <v>36</v>
      </c>
      <c r="Z214" s="77">
        <v>22.55</v>
      </c>
    </row>
    <row r="215" ht="16.5" spans="1:26">
      <c r="A215" t="str">
        <f t="shared" si="11"/>
        <v>加拿大七店904002933030半份</v>
      </c>
      <c r="B215" t="s">
        <v>3000</v>
      </c>
      <c r="C215" t="s">
        <v>636</v>
      </c>
      <c r="D215" t="s">
        <v>2474</v>
      </c>
      <c r="E215" t="s">
        <v>2475</v>
      </c>
      <c r="F215" s="40">
        <v>9040029</v>
      </c>
      <c r="G215" s="49">
        <v>33030</v>
      </c>
      <c r="H215" s="41" t="s">
        <v>2630</v>
      </c>
      <c r="I215" s="47" t="s">
        <v>2631</v>
      </c>
      <c r="J215" t="s">
        <v>2440</v>
      </c>
      <c r="K215" s="40">
        <v>11.95</v>
      </c>
      <c r="L215" s="16" t="s">
        <v>2454</v>
      </c>
      <c r="M215" s="54">
        <f>IFERROR(VLOOKUP(A215,Sheet3!$A:$B,2,0),0)</f>
        <v>232</v>
      </c>
      <c r="N215">
        <v>0.1</v>
      </c>
      <c r="O215" s="66">
        <v>1</v>
      </c>
      <c r="P215">
        <v>2.2</v>
      </c>
      <c r="Q215">
        <f t="shared" si="10"/>
        <v>23.2</v>
      </c>
      <c r="R215">
        <v>4502048</v>
      </c>
      <c r="S215" s="42" t="str">
        <f>VLOOKUP(R215,'CA07-本月-盘点结果'!$B:$C,2,0)</f>
        <v>去皮牛舌（LB）</v>
      </c>
      <c r="X215" s="41"/>
      <c r="Y215" t="s">
        <v>36</v>
      </c>
      <c r="Z215" s="77">
        <v>0</v>
      </c>
    </row>
    <row r="216" ht="16.5" spans="1:26">
      <c r="A216" t="str">
        <f t="shared" si="11"/>
        <v>加拿大七店904036433429整份</v>
      </c>
      <c r="B216" t="s">
        <v>3000</v>
      </c>
      <c r="C216" t="s">
        <v>636</v>
      </c>
      <c r="D216" t="s">
        <v>2474</v>
      </c>
      <c r="E216" t="s">
        <v>2475</v>
      </c>
      <c r="F216" s="40">
        <v>9040364</v>
      </c>
      <c r="G216" s="49">
        <v>33429</v>
      </c>
      <c r="H216" s="41" t="s">
        <v>2473</v>
      </c>
      <c r="I216" s="47" t="s">
        <v>2473</v>
      </c>
      <c r="J216" t="s">
        <v>2436</v>
      </c>
      <c r="K216" s="40">
        <v>9.95</v>
      </c>
      <c r="L216" s="16" t="s">
        <v>2454</v>
      </c>
      <c r="M216" s="54">
        <f>IFERROR(VLOOKUP(A216,Sheet3!$A:$B,2,0),0)</f>
        <v>292</v>
      </c>
      <c r="N216">
        <v>0.15</v>
      </c>
      <c r="O216" s="66">
        <v>1</v>
      </c>
      <c r="P216">
        <v>1</v>
      </c>
      <c r="Q216">
        <f t="shared" si="10"/>
        <v>43.8</v>
      </c>
      <c r="R216">
        <v>4517715</v>
      </c>
      <c r="S216" s="42" t="str">
        <f>VLOOKUP(R216,'CA07-本月-盘点结果'!$B:$C,2,0)</f>
        <v>蜀味脆皮肠（350G*30包/箱）</v>
      </c>
      <c r="T216" s="43">
        <f>VLOOKUP(R216,'CA07-本月-盘点结果'!B:I,8,0)</f>
        <v>47.25</v>
      </c>
      <c r="U216" s="44">
        <f>T216-Q216</f>
        <v>3.45</v>
      </c>
      <c r="X216" s="41"/>
      <c r="Y216" t="s">
        <v>73</v>
      </c>
      <c r="Z216" s="77">
        <v>7.85</v>
      </c>
    </row>
    <row r="217" ht="16.5" spans="1:26">
      <c r="A217" t="str">
        <f t="shared" si="11"/>
        <v>加拿大七店7000265287860整份</v>
      </c>
      <c r="B217" t="s">
        <v>3000</v>
      </c>
      <c r="C217" t="s">
        <v>636</v>
      </c>
      <c r="D217" t="s">
        <v>2474</v>
      </c>
      <c r="E217" t="s">
        <v>2475</v>
      </c>
      <c r="F217" s="40">
        <v>70002652</v>
      </c>
      <c r="G217" s="49">
        <v>87860</v>
      </c>
      <c r="H217" s="41" t="s">
        <v>2678</v>
      </c>
      <c r="I217" s="47" t="s">
        <v>2678</v>
      </c>
      <c r="J217" t="s">
        <v>2436</v>
      </c>
      <c r="K217" s="40">
        <v>23.95</v>
      </c>
      <c r="L217" s="16" t="s">
        <v>2454</v>
      </c>
      <c r="M217" s="54">
        <f>IFERROR(VLOOKUP(A217,Sheet3!$A:$B,2,0),0)</f>
        <v>21</v>
      </c>
      <c r="N217">
        <v>0.3</v>
      </c>
      <c r="O217" s="66">
        <v>1.2</v>
      </c>
      <c r="P217">
        <v>2.2</v>
      </c>
      <c r="Q217">
        <f t="shared" si="10"/>
        <v>7.56</v>
      </c>
      <c r="R217">
        <v>4502187</v>
      </c>
      <c r="S217" s="42" t="str">
        <f>VLOOKUP(R217,'CA07-本月-盘点结果'!$B:$C,2,0)</f>
        <v>黑毛肚（LB）</v>
      </c>
      <c r="X217" s="41"/>
      <c r="Y217" t="s">
        <v>36</v>
      </c>
      <c r="Z217" s="77">
        <v>0</v>
      </c>
    </row>
    <row r="218" ht="16.5" spans="1:26">
      <c r="A218" t="str">
        <f t="shared" si="11"/>
        <v>加拿大七店7000265287861半份</v>
      </c>
      <c r="B218" t="s">
        <v>3000</v>
      </c>
      <c r="C218" t="s">
        <v>636</v>
      </c>
      <c r="D218" t="s">
        <v>2474</v>
      </c>
      <c r="E218" t="s">
        <v>2475</v>
      </c>
      <c r="F218" s="40">
        <v>70002652</v>
      </c>
      <c r="G218" s="49">
        <v>87861</v>
      </c>
      <c r="H218" s="41" t="s">
        <v>2636</v>
      </c>
      <c r="I218" s="47" t="s">
        <v>2678</v>
      </c>
      <c r="J218" t="s">
        <v>2440</v>
      </c>
      <c r="K218" s="40">
        <v>12.95</v>
      </c>
      <c r="L218" s="16" t="s">
        <v>2454</v>
      </c>
      <c r="M218" s="54">
        <f>IFERROR(VLOOKUP(A218,Sheet3!$A:$B,2,0),0)</f>
        <v>111</v>
      </c>
      <c r="N218">
        <v>0.15</v>
      </c>
      <c r="O218" s="66">
        <v>1.2</v>
      </c>
      <c r="P218">
        <v>2.2</v>
      </c>
      <c r="Q218">
        <f t="shared" si="10"/>
        <v>19.98</v>
      </c>
      <c r="R218">
        <v>4502187</v>
      </c>
      <c r="S218" s="42" t="str">
        <f>VLOOKUP(R218,'CA07-本月-盘点结果'!$B:$C,2,0)</f>
        <v>黑毛肚（LB）</v>
      </c>
      <c r="X218" s="41"/>
      <c r="Y218" t="s">
        <v>36</v>
      </c>
      <c r="Z218" s="77">
        <v>0</v>
      </c>
    </row>
    <row r="219" ht="16.5" spans="1:26">
      <c r="A219" t="str">
        <f t="shared" si="11"/>
        <v>加拿大七店902042731687整份</v>
      </c>
      <c r="B219" t="s">
        <v>3000</v>
      </c>
      <c r="C219" t="s">
        <v>636</v>
      </c>
      <c r="D219" t="s">
        <v>2437</v>
      </c>
      <c r="E219" t="s">
        <v>2499</v>
      </c>
      <c r="F219" s="40">
        <v>9020427</v>
      </c>
      <c r="G219" s="49">
        <v>31687</v>
      </c>
      <c r="H219" s="41" t="s">
        <v>2637</v>
      </c>
      <c r="I219" s="47" t="s">
        <v>2637</v>
      </c>
      <c r="J219" t="s">
        <v>2436</v>
      </c>
      <c r="K219" s="40">
        <v>7.95</v>
      </c>
      <c r="L219" s="16" t="s">
        <v>2454</v>
      </c>
      <c r="M219" s="54">
        <f>IFERROR(VLOOKUP(A219,Sheet3!$A:$B,2,0),0)</f>
        <v>333</v>
      </c>
      <c r="N219">
        <v>0.165</v>
      </c>
      <c r="O219" s="66">
        <v>1</v>
      </c>
      <c r="P219">
        <v>2.2</v>
      </c>
      <c r="Q219">
        <f t="shared" si="10"/>
        <v>54.945</v>
      </c>
      <c r="R219">
        <v>4526244</v>
      </c>
      <c r="S219" s="42" t="str">
        <f>VLOOKUP(R219,'CA07-本月-盘点结果'!$B:$C,2,0)</f>
        <v>牛肉丸（LB）</v>
      </c>
      <c r="T219" s="43">
        <f>VLOOKUP(R219,'CA07-本月-盘点结果'!B:I,8,0)</f>
        <v>128</v>
      </c>
      <c r="U219" s="44">
        <f>T219-Q219*P219</f>
        <v>7.121</v>
      </c>
      <c r="X219" s="41"/>
      <c r="Y219" t="s">
        <v>36</v>
      </c>
      <c r="Z219" s="77">
        <v>8.08</v>
      </c>
    </row>
    <row r="220" ht="16.5" spans="1:26">
      <c r="A220" t="str">
        <f t="shared" si="11"/>
        <v>加拿大七店902044731727整份</v>
      </c>
      <c r="B220" t="s">
        <v>3000</v>
      </c>
      <c r="C220" t="s">
        <v>636</v>
      </c>
      <c r="D220" t="s">
        <v>2437</v>
      </c>
      <c r="E220" t="s">
        <v>2499</v>
      </c>
      <c r="F220" s="40">
        <v>9020447</v>
      </c>
      <c r="G220" s="49">
        <v>31727</v>
      </c>
      <c r="H220" s="41" t="s">
        <v>2638</v>
      </c>
      <c r="I220" s="47" t="s">
        <v>2638</v>
      </c>
      <c r="J220" t="s">
        <v>2436</v>
      </c>
      <c r="K220" s="40">
        <v>6.95</v>
      </c>
      <c r="L220" s="16" t="s">
        <v>2454</v>
      </c>
      <c r="M220" s="54">
        <f>IFERROR(VLOOKUP(A220,Sheet3!$A:$B,2,0),0)</f>
        <v>113</v>
      </c>
      <c r="N220">
        <v>0.1</v>
      </c>
      <c r="O220" s="66">
        <v>1.1</v>
      </c>
      <c r="P220">
        <v>2.2</v>
      </c>
      <c r="Q220">
        <f t="shared" si="10"/>
        <v>12.43</v>
      </c>
      <c r="R220">
        <v>1500680</v>
      </c>
      <c r="S220" s="42" t="str">
        <f>VLOOKUP(R220,'CA07-本月-盘点结果'!$B:$C,2,0)</f>
        <v>带皮去骨鸡腿肉（LB）</v>
      </c>
      <c r="X220" s="41"/>
      <c r="Y220" t="s">
        <v>36</v>
      </c>
      <c r="Z220" s="77">
        <v>0</v>
      </c>
    </row>
    <row r="221" spans="1:26">
      <c r="A221" t="str">
        <f t="shared" si="11"/>
        <v>加拿大七店7000169879582整份</v>
      </c>
      <c r="B221" t="s">
        <v>3000</v>
      </c>
      <c r="C221" t="s">
        <v>636</v>
      </c>
      <c r="D221" t="s">
        <v>2437</v>
      </c>
      <c r="E221" t="s">
        <v>2499</v>
      </c>
      <c r="F221" s="40">
        <v>70001698</v>
      </c>
      <c r="G221" s="40">
        <v>79582</v>
      </c>
      <c r="H221" s="41" t="s">
        <v>2500</v>
      </c>
      <c r="I221" s="47" t="s">
        <v>2500</v>
      </c>
      <c r="J221" t="s">
        <v>2436</v>
      </c>
      <c r="K221" s="40">
        <v>11.95</v>
      </c>
      <c r="L221" s="16" t="s">
        <v>2454</v>
      </c>
      <c r="M221" s="54">
        <f>IFERROR(VLOOKUP(A221,Sheet3!$A:$B,2,0),0)</f>
        <v>178</v>
      </c>
      <c r="N221">
        <v>0.16</v>
      </c>
      <c r="O221" s="66">
        <v>1</v>
      </c>
      <c r="P221">
        <v>2.2</v>
      </c>
      <c r="Q221">
        <f t="shared" si="10"/>
        <v>28.48</v>
      </c>
      <c r="R221">
        <v>4515419</v>
      </c>
      <c r="S221" s="42" t="str">
        <f>VLOOKUP(R221,'CA07-本月-盘点结果'!$B:$C,2,0)</f>
        <v>去肥黄瓜条（LB）</v>
      </c>
      <c r="X221" s="41"/>
      <c r="Y221" t="s">
        <v>36</v>
      </c>
      <c r="Z221" s="77">
        <v>0</v>
      </c>
    </row>
    <row r="222" spans="1:26">
      <c r="A222" t="str">
        <f t="shared" si="11"/>
        <v>加拿大七店9000034471342整份</v>
      </c>
      <c r="B222" t="s">
        <v>3000</v>
      </c>
      <c r="C222" t="s">
        <v>636</v>
      </c>
      <c r="D222" t="s">
        <v>2437</v>
      </c>
      <c r="E222" t="s">
        <v>2499</v>
      </c>
      <c r="F222" s="40">
        <v>90000344</v>
      </c>
      <c r="G222" s="40">
        <v>71342</v>
      </c>
      <c r="H222" s="41" t="s">
        <v>2615</v>
      </c>
      <c r="I222" s="47" t="s">
        <v>2615</v>
      </c>
      <c r="J222" t="s">
        <v>2436</v>
      </c>
      <c r="K222" s="40">
        <v>6.95</v>
      </c>
      <c r="L222" s="16" t="s">
        <v>2454</v>
      </c>
      <c r="M222" s="54">
        <f>IFERROR(VLOOKUP(A222,Sheet3!$A:$B,2,0),0)</f>
        <v>333</v>
      </c>
      <c r="N222">
        <v>0.12</v>
      </c>
      <c r="O222" s="66">
        <v>1</v>
      </c>
      <c r="P222">
        <v>2.2</v>
      </c>
      <c r="Q222">
        <f t="shared" si="10"/>
        <v>39.96</v>
      </c>
      <c r="R222">
        <v>4522916</v>
      </c>
      <c r="S222" s="42" t="str">
        <f>VLOOKUP(R222,'CA07-本月-盘点结果'!$B:$C,2,0)</f>
        <v>咸蛋黄鱼丸（1LB*20包/箱）</v>
      </c>
      <c r="T222" s="43">
        <f>VLOOKUP(R222,'CA07-本月-盘点结果'!B:I,8,0)</f>
        <v>96</v>
      </c>
      <c r="U222" s="44">
        <f>T222-Q222*P222</f>
        <v>8.08799999999999</v>
      </c>
      <c r="X222" s="41"/>
      <c r="Y222" t="s">
        <v>36</v>
      </c>
      <c r="Z222" s="77">
        <v>6.05</v>
      </c>
    </row>
    <row r="223" spans="1:26">
      <c r="A223" t="str">
        <f t="shared" si="11"/>
        <v>加拿大七店910050181109547份</v>
      </c>
      <c r="B223" t="s">
        <v>3000</v>
      </c>
      <c r="C223" t="s">
        <v>636</v>
      </c>
      <c r="D223" t="s">
        <v>2437</v>
      </c>
      <c r="E223" t="s">
        <v>2499</v>
      </c>
      <c r="F223" s="40">
        <v>91005018</v>
      </c>
      <c r="G223" s="40">
        <v>1109547</v>
      </c>
      <c r="H223" s="41" t="s">
        <v>2699</v>
      </c>
      <c r="I223" s="47" t="s">
        <v>2699</v>
      </c>
      <c r="J223" t="s">
        <v>2454</v>
      </c>
      <c r="K223" s="40">
        <v>6.95</v>
      </c>
      <c r="L223" s="16" t="s">
        <v>2454</v>
      </c>
      <c r="M223" s="54">
        <f>IFERROR(VLOOKUP(A223,Sheet3!$A:$B,2,0),0)</f>
        <v>0</v>
      </c>
      <c r="N223">
        <v>0.135</v>
      </c>
      <c r="O223" s="66">
        <v>1</v>
      </c>
      <c r="P223">
        <v>0</v>
      </c>
      <c r="Q223">
        <f t="shared" si="10"/>
        <v>0</v>
      </c>
      <c r="R223">
        <v>4527262</v>
      </c>
      <c r="S223" s="42" t="e">
        <f>VLOOKUP(R223,'CA07-本月-盘点结果'!$B:$C,2,0)</f>
        <v>#N/A</v>
      </c>
      <c r="T223" s="43" t="e">
        <f>VLOOKUP(R223,'CA07-本月-盘点结果'!B:I,8,0)</f>
        <v>#N/A</v>
      </c>
      <c r="U223" s="44" t="e">
        <f>T223-Q223</f>
        <v>#N/A</v>
      </c>
      <c r="X223" s="41"/>
      <c r="Y223" t="s">
        <v>73</v>
      </c>
      <c r="Z223" s="77">
        <v>2.06</v>
      </c>
    </row>
    <row r="224" spans="1:26">
      <c r="A224" t="str">
        <f t="shared" si="11"/>
        <v>加拿大七店906009043251整份</v>
      </c>
      <c r="B224" t="s">
        <v>3000</v>
      </c>
      <c r="C224" t="s">
        <v>636</v>
      </c>
      <c r="D224" t="s">
        <v>2437</v>
      </c>
      <c r="E224" t="s">
        <v>2470</v>
      </c>
      <c r="F224" s="40">
        <v>9060090</v>
      </c>
      <c r="G224" s="40">
        <v>43251</v>
      </c>
      <c r="H224" s="41" t="s">
        <v>2469</v>
      </c>
      <c r="I224" s="47" t="s">
        <v>2469</v>
      </c>
      <c r="J224" t="s">
        <v>2436</v>
      </c>
      <c r="K224" s="40">
        <v>15.95</v>
      </c>
      <c r="L224" s="16" t="s">
        <v>2454</v>
      </c>
      <c r="M224" s="54">
        <f>IFERROR(VLOOKUP(A224,Sheet3!$A:$B,2,0),0)</f>
        <v>118</v>
      </c>
      <c r="N224">
        <v>0.05</v>
      </c>
      <c r="O224" s="66">
        <v>1</v>
      </c>
      <c r="P224">
        <v>2.2</v>
      </c>
      <c r="Q224">
        <f t="shared" si="10"/>
        <v>5.9</v>
      </c>
      <c r="R224">
        <v>4525419</v>
      </c>
      <c r="S224" s="42" t="str">
        <f>VLOOKUP(R224,'CA07-本月-盘点结果'!$B:$C,2,0)</f>
        <v>鱼腐（LB）</v>
      </c>
      <c r="T224" s="43">
        <f>VLOOKUP(R224,'CA07-本月-盘点结果'!B:I,8,0)</f>
        <v>48</v>
      </c>
      <c r="U224" s="44">
        <f>T224-Q224*P224-Q225*P225</f>
        <v>20.06</v>
      </c>
      <c r="X224" s="41"/>
      <c r="Y224" t="s">
        <v>36</v>
      </c>
      <c r="Z224" s="77">
        <v>16.8</v>
      </c>
    </row>
    <row r="225" spans="1:26">
      <c r="A225" t="str">
        <f t="shared" si="11"/>
        <v>加拿大七店906009043252半份</v>
      </c>
      <c r="B225" t="s">
        <v>3000</v>
      </c>
      <c r="C225" t="s">
        <v>636</v>
      </c>
      <c r="D225" t="s">
        <v>2437</v>
      </c>
      <c r="E225" t="s">
        <v>2470</v>
      </c>
      <c r="F225" s="40">
        <v>9060090</v>
      </c>
      <c r="G225" s="40">
        <v>43252</v>
      </c>
      <c r="H225" s="41" t="s">
        <v>2471</v>
      </c>
      <c r="I225" s="47" t="s">
        <v>2469</v>
      </c>
      <c r="J225" s="40" t="s">
        <v>2440</v>
      </c>
      <c r="K225" s="40">
        <v>8.95</v>
      </c>
      <c r="L225" t="s">
        <v>2454</v>
      </c>
      <c r="M225" s="54">
        <f>IFERROR(VLOOKUP(A225,Sheet3!$A:$B,2,0),0)</f>
        <v>272</v>
      </c>
      <c r="N225">
        <v>0.025</v>
      </c>
      <c r="O225" s="66">
        <v>1</v>
      </c>
      <c r="P225">
        <v>2.2</v>
      </c>
      <c r="Q225">
        <f t="shared" si="10"/>
        <v>6.8</v>
      </c>
      <c r="R225">
        <v>4525419</v>
      </c>
      <c r="S225" s="42" t="str">
        <f>VLOOKUP(R225,'CA07-本月-盘点结果'!$B:$C,2,0)</f>
        <v>鱼腐（LB）</v>
      </c>
      <c r="X225" s="41"/>
      <c r="Y225" t="s">
        <v>36</v>
      </c>
      <c r="Z225" s="77">
        <v>0</v>
      </c>
    </row>
    <row r="226" ht="16.5" spans="1:26">
      <c r="A226" t="str">
        <f t="shared" si="11"/>
        <v>加拿大七店902051831869磅</v>
      </c>
      <c r="B226" t="s">
        <v>3000</v>
      </c>
      <c r="C226" t="s">
        <v>636</v>
      </c>
      <c r="D226" t="s">
        <v>2437</v>
      </c>
      <c r="E226" t="s">
        <v>2464</v>
      </c>
      <c r="F226" s="40">
        <v>9020518</v>
      </c>
      <c r="G226" s="40">
        <v>31869</v>
      </c>
      <c r="H226" s="41" t="s">
        <v>2689</v>
      </c>
      <c r="I226" s="47" t="s">
        <v>2689</v>
      </c>
      <c r="J226" s="40" t="s">
        <v>36</v>
      </c>
      <c r="K226" s="40">
        <v>49.86</v>
      </c>
      <c r="L226" t="s">
        <v>260</v>
      </c>
      <c r="M226" s="54">
        <f>IFERROR(VLOOKUP(A226,Sheet3!$A:$B,2,0),0)</f>
        <v>1</v>
      </c>
      <c r="N226">
        <v>0</v>
      </c>
      <c r="O226" s="66">
        <v>0</v>
      </c>
      <c r="P226">
        <v>1</v>
      </c>
      <c r="Q226">
        <f t="shared" si="10"/>
        <v>0</v>
      </c>
      <c r="R226">
        <v>1501193</v>
      </c>
      <c r="S226" s="42" t="str">
        <f>VLOOKUP(R226,'CA07-本月-盘点结果'!$B:$C,2,0)</f>
        <v>BC肉蟹（LB）</v>
      </c>
      <c r="T226" s="43">
        <f>VLOOKUP(R226,'CA07-本月-盘点结果'!B:I,8,0)</f>
        <v>8.552</v>
      </c>
      <c r="U226" s="44">
        <f>T226-Q226</f>
        <v>8.552</v>
      </c>
      <c r="X226" s="41"/>
      <c r="Y226" t="s">
        <v>36</v>
      </c>
      <c r="Z226" s="77">
        <v>4.49</v>
      </c>
    </row>
    <row r="227" ht="16.5" spans="1:26">
      <c r="A227" t="str">
        <f t="shared" si="11"/>
        <v>加拿大七店903003532035整份</v>
      </c>
      <c r="B227" t="s">
        <v>3000</v>
      </c>
      <c r="C227" t="s">
        <v>636</v>
      </c>
      <c r="D227" t="s">
        <v>2437</v>
      </c>
      <c r="E227" t="s">
        <v>2464</v>
      </c>
      <c r="F227" s="40">
        <v>9030035</v>
      </c>
      <c r="G227" s="49">
        <v>32035</v>
      </c>
      <c r="H227" s="41" t="s">
        <v>2618</v>
      </c>
      <c r="I227" s="47" t="s">
        <v>2618</v>
      </c>
      <c r="J227" s="40" t="s">
        <v>2436</v>
      </c>
      <c r="K227" s="40">
        <v>9.95</v>
      </c>
      <c r="L227" t="s">
        <v>2454</v>
      </c>
      <c r="M227" s="54">
        <f>IFERROR(VLOOKUP(A227,Sheet3!$A:$B,2,0),0)</f>
        <v>56</v>
      </c>
      <c r="N227">
        <v>0.16</v>
      </c>
      <c r="O227" s="66">
        <v>1.3</v>
      </c>
      <c r="P227">
        <v>0</v>
      </c>
      <c r="Q227">
        <f t="shared" si="10"/>
        <v>11.648</v>
      </c>
      <c r="R227">
        <v>4514924</v>
      </c>
      <c r="S227" s="42" t="str">
        <f>VLOOKUP(R227,'CA07-本月-盘点结果'!$B:$C,2,0)</f>
        <v>鱿鱼须（300G*30包/箱）</v>
      </c>
      <c r="T227" s="43">
        <f>VLOOKUP(R227,'CA07-本月-盘点结果'!B:I,8,0)</f>
        <v>43.9</v>
      </c>
      <c r="U227" s="44">
        <f>T227-Q227-Q228</f>
        <v>13.324</v>
      </c>
      <c r="X227" s="41"/>
      <c r="Y227" t="s">
        <v>73</v>
      </c>
      <c r="Z227" s="77">
        <v>11.72</v>
      </c>
    </row>
    <row r="228" ht="16.5" spans="1:26">
      <c r="A228" t="str">
        <f t="shared" si="11"/>
        <v>加拿大七店903003532036半份</v>
      </c>
      <c r="B228" t="s">
        <v>3000</v>
      </c>
      <c r="C228" t="s">
        <v>636</v>
      </c>
      <c r="D228" t="s">
        <v>2437</v>
      </c>
      <c r="E228" t="s">
        <v>2464</v>
      </c>
      <c r="F228" s="40">
        <v>9030035</v>
      </c>
      <c r="G228" s="49">
        <v>32036</v>
      </c>
      <c r="H228" s="41" t="s">
        <v>2617</v>
      </c>
      <c r="I228" s="47" t="s">
        <v>2618</v>
      </c>
      <c r="J228" s="40" t="s">
        <v>2440</v>
      </c>
      <c r="K228" s="40">
        <v>5.95</v>
      </c>
      <c r="L228" t="s">
        <v>2454</v>
      </c>
      <c r="M228" s="54">
        <f>IFERROR(VLOOKUP(A228,Sheet3!$A:$B,2,0),0)</f>
        <v>182</v>
      </c>
      <c r="N228">
        <v>0.08</v>
      </c>
      <c r="O228" s="66">
        <v>1.3</v>
      </c>
      <c r="P228">
        <v>0</v>
      </c>
      <c r="Q228">
        <f t="shared" si="10"/>
        <v>18.928</v>
      </c>
      <c r="R228">
        <v>4514924</v>
      </c>
      <c r="S228" s="42" t="str">
        <f>VLOOKUP(R228,'CA07-本月-盘点结果'!$B:$C,2,0)</f>
        <v>鱿鱼须（300G*30包/箱）</v>
      </c>
      <c r="X228" s="41"/>
      <c r="Y228" t="s">
        <v>73</v>
      </c>
      <c r="Z228" s="77">
        <v>0</v>
      </c>
    </row>
    <row r="229" spans="1:26">
      <c r="A229" t="str">
        <f t="shared" si="11"/>
        <v>加拿大七店903018933253整份</v>
      </c>
      <c r="B229" s="51" t="s">
        <v>3000</v>
      </c>
      <c r="C229" s="47" t="s">
        <v>636</v>
      </c>
      <c r="D229" t="s">
        <v>2437</v>
      </c>
      <c r="E229" t="s">
        <v>2464</v>
      </c>
      <c r="F229" s="40">
        <v>9030189</v>
      </c>
      <c r="G229" s="40">
        <v>33253</v>
      </c>
      <c r="H229" s="41" t="s">
        <v>2682</v>
      </c>
      <c r="I229" s="41" t="s">
        <v>3127</v>
      </c>
      <c r="J229" t="s">
        <v>2436</v>
      </c>
      <c r="K229" s="40">
        <v>87.46</v>
      </c>
      <c r="L229" s="16" t="s">
        <v>36</v>
      </c>
      <c r="M229" s="54">
        <f>IFERROR(VLOOKUP(A229,Sheet3!$A:$B,2,0),0)</f>
        <v>3</v>
      </c>
      <c r="N229">
        <v>0.45</v>
      </c>
      <c r="O229" s="66">
        <v>1</v>
      </c>
      <c r="P229">
        <v>2.2</v>
      </c>
      <c r="Q229">
        <f t="shared" si="10"/>
        <v>1.35</v>
      </c>
      <c r="R229">
        <v>4504673</v>
      </c>
      <c r="S229" s="42" t="str">
        <f>VLOOKUP(R229,'CA07-本月-盘点结果'!$B:$C,2,0)</f>
        <v>象拔蚌（LB）</v>
      </c>
      <c r="T229" s="43">
        <f>VLOOKUP(R229,'CA07-本月-盘点结果'!B:I,8,0)</f>
        <v>26.03</v>
      </c>
      <c r="U229" s="44">
        <f>T229-Q229*P229</f>
        <v>23.06</v>
      </c>
      <c r="X229" s="41"/>
      <c r="Y229" t="s">
        <v>36</v>
      </c>
      <c r="Z229" s="77">
        <v>16.44</v>
      </c>
    </row>
    <row r="230" spans="1:26">
      <c r="A230" t="str">
        <f t="shared" si="11"/>
        <v>加拿大七店903039932429只</v>
      </c>
      <c r="B230" t="s">
        <v>3000</v>
      </c>
      <c r="C230" t="s">
        <v>636</v>
      </c>
      <c r="D230" t="s">
        <v>2437</v>
      </c>
      <c r="E230" t="s">
        <v>2464</v>
      </c>
      <c r="F230" s="40">
        <v>9030399</v>
      </c>
      <c r="G230" s="40">
        <v>32429</v>
      </c>
      <c r="H230" s="41" t="s">
        <v>2687</v>
      </c>
      <c r="I230" t="s">
        <v>2687</v>
      </c>
      <c r="J230" t="s">
        <v>260</v>
      </c>
      <c r="K230" s="40">
        <v>89.09</v>
      </c>
      <c r="L230" s="16" t="s">
        <v>260</v>
      </c>
      <c r="M230" s="54">
        <f>IFERROR(VLOOKUP(A230,Sheet3!$A:$B,2,0),0)</f>
        <v>1</v>
      </c>
      <c r="N230">
        <v>0.795454545454545</v>
      </c>
      <c r="O230" s="66">
        <v>1</v>
      </c>
      <c r="P230">
        <v>2.2</v>
      </c>
      <c r="Q230">
        <f t="shared" si="10"/>
        <v>0.795454545454545</v>
      </c>
      <c r="R230">
        <v>4503595</v>
      </c>
      <c r="S230" s="42" t="str">
        <f>VLOOKUP(R230,'CA07-本月-盘点结果'!$B:$C,2,0)</f>
        <v>龙虾（LB）</v>
      </c>
      <c r="T230" s="43">
        <f>VLOOKUP(R230,'CA07-本月-盘点结果'!B:I,8,0)</f>
        <v>7.112</v>
      </c>
      <c r="U230" s="44">
        <f>T230-Q230*P230</f>
        <v>5.362</v>
      </c>
      <c r="X230" s="41"/>
      <c r="Y230" t="s">
        <v>36</v>
      </c>
      <c r="Z230" s="77">
        <v>3.76</v>
      </c>
    </row>
    <row r="231" spans="1:26">
      <c r="A231" t="str">
        <f t="shared" si="11"/>
        <v>加拿大七店901032730399整份</v>
      </c>
      <c r="B231" t="s">
        <v>3000</v>
      </c>
      <c r="C231" t="s">
        <v>636</v>
      </c>
      <c r="D231" t="s">
        <v>2437</v>
      </c>
      <c r="E231" t="s">
        <v>2438</v>
      </c>
      <c r="F231" s="40">
        <v>9010327</v>
      </c>
      <c r="G231" s="40">
        <v>30399</v>
      </c>
      <c r="H231" s="41" t="s">
        <v>3128</v>
      </c>
      <c r="I231" t="s">
        <v>3128</v>
      </c>
      <c r="J231" t="s">
        <v>2436</v>
      </c>
      <c r="K231" s="40">
        <v>13.95</v>
      </c>
      <c r="L231" s="16" t="s">
        <v>2454</v>
      </c>
      <c r="M231" s="54">
        <f>IFERROR(VLOOKUP(A231,Sheet3!$A:$B,2,0),0)</f>
        <v>486</v>
      </c>
      <c r="N231">
        <v>0.15</v>
      </c>
      <c r="O231" s="66">
        <v>1.1</v>
      </c>
      <c r="P231">
        <v>2.2</v>
      </c>
      <c r="Q231">
        <f t="shared" si="10"/>
        <v>80.19</v>
      </c>
      <c r="R231">
        <v>4518106</v>
      </c>
      <c r="S231" s="42" t="str">
        <f>VLOOKUP(R231,'CA07-本月-盘点结果'!$B:$C,2,0)</f>
        <v>金钱腱（LB）</v>
      </c>
      <c r="T231" s="43">
        <f>VLOOKUP(R231,'CA07-本月-盘点结果'!B:I,8,0)</f>
        <v>191.81</v>
      </c>
      <c r="U231" s="44">
        <f>T231-Q231*P231</f>
        <v>15.392</v>
      </c>
      <c r="X231" s="41"/>
      <c r="Y231" t="s">
        <v>36</v>
      </c>
      <c r="Z231" s="77">
        <v>4.23</v>
      </c>
    </row>
    <row r="232" spans="1:26">
      <c r="A232" t="str">
        <f t="shared" si="11"/>
        <v>加拿大七店1304027473274冰镇</v>
      </c>
      <c r="B232" t="s">
        <v>3000</v>
      </c>
      <c r="C232" t="s">
        <v>636</v>
      </c>
      <c r="D232" t="s">
        <v>2451</v>
      </c>
      <c r="E232" t="s">
        <v>2627</v>
      </c>
      <c r="F232" s="40">
        <v>13040274</v>
      </c>
      <c r="G232" s="40">
        <v>73274</v>
      </c>
      <c r="H232" s="41" t="s">
        <v>2629</v>
      </c>
      <c r="I232" t="s">
        <v>2629</v>
      </c>
      <c r="J232" t="s">
        <v>2450</v>
      </c>
      <c r="K232" s="40">
        <v>7.95</v>
      </c>
      <c r="L232" s="16" t="s">
        <v>32</v>
      </c>
      <c r="M232" s="54">
        <f>IFERROR(VLOOKUP(A232,Sheet3!$A:$B,2,0),0)</f>
        <v>98</v>
      </c>
      <c r="N232">
        <v>1</v>
      </c>
      <c r="O232" s="66">
        <v>1</v>
      </c>
      <c r="P232">
        <v>1</v>
      </c>
      <c r="Q232">
        <f t="shared" si="10"/>
        <v>98</v>
      </c>
      <c r="R232">
        <v>4502863</v>
      </c>
      <c r="S232" s="42" t="str">
        <f>VLOOKUP(R232,'CA07-本月-盘点结果'!$B:$C,2,0)</f>
        <v>海底捞德式小麦啤酒（500ML*12瓶/件）</v>
      </c>
      <c r="T232" s="43">
        <f>VLOOKUP(R232,'CA07-本月-盘点结果'!B:I,8,0)</f>
        <v>61</v>
      </c>
      <c r="U232" s="44">
        <f>T232-Q232-Q233</f>
        <v>-40</v>
      </c>
      <c r="X232" s="75" t="s">
        <v>3129</v>
      </c>
      <c r="Y232" t="s">
        <v>32</v>
      </c>
      <c r="Z232" s="77">
        <v>1</v>
      </c>
    </row>
    <row r="233" spans="1:26">
      <c r="A233" t="str">
        <f t="shared" si="11"/>
        <v>加拿大七店1304027473274常温</v>
      </c>
      <c r="B233" t="s">
        <v>3000</v>
      </c>
      <c r="C233" t="s">
        <v>636</v>
      </c>
      <c r="D233" t="s">
        <v>2451</v>
      </c>
      <c r="E233" t="s">
        <v>2627</v>
      </c>
      <c r="F233" s="40">
        <v>13040274</v>
      </c>
      <c r="G233" s="40">
        <v>73274</v>
      </c>
      <c r="H233" s="41" t="s">
        <v>2629</v>
      </c>
      <c r="I233" t="s">
        <v>2629</v>
      </c>
      <c r="J233" t="s">
        <v>2672</v>
      </c>
      <c r="K233" s="40">
        <v>7.95</v>
      </c>
      <c r="L233" s="16" t="s">
        <v>32</v>
      </c>
      <c r="M233" s="54">
        <f>IFERROR(VLOOKUP(A233,Sheet3!$A:$B,2,0),0)</f>
        <v>3</v>
      </c>
      <c r="N233">
        <v>1</v>
      </c>
      <c r="O233" s="66">
        <v>1</v>
      </c>
      <c r="P233">
        <v>1</v>
      </c>
      <c r="Q233">
        <f t="shared" si="10"/>
        <v>3</v>
      </c>
      <c r="R233">
        <v>4502863</v>
      </c>
      <c r="S233" s="42" t="str">
        <f>VLOOKUP(R233,'CA07-本月-盘点结果'!$B:$C,2,0)</f>
        <v>海底捞德式小麦啤酒（500ML*12瓶/件）</v>
      </c>
      <c r="T233" s="43">
        <f>VLOOKUP(R233,'CA07-本月-盘点结果'!B:I,8,0)</f>
        <v>61</v>
      </c>
      <c r="X233" s="41"/>
      <c r="Y233" t="s">
        <v>32</v>
      </c>
      <c r="Z233" s="77">
        <v>0</v>
      </c>
    </row>
    <row r="234" spans="1:26">
      <c r="A234" t="str">
        <f t="shared" si="11"/>
        <v>加拿大七店7000153679183扎</v>
      </c>
      <c r="B234" t="s">
        <v>3000</v>
      </c>
      <c r="C234" t="s">
        <v>636</v>
      </c>
      <c r="D234" t="s">
        <v>2451</v>
      </c>
      <c r="E234" t="s">
        <v>2627</v>
      </c>
      <c r="F234" s="40">
        <v>70001536</v>
      </c>
      <c r="G234" s="40">
        <v>79183</v>
      </c>
      <c r="H234" s="41" t="s">
        <v>2654</v>
      </c>
      <c r="I234" t="s">
        <v>3130</v>
      </c>
      <c r="J234" t="s">
        <v>2517</v>
      </c>
      <c r="K234" s="40">
        <v>19.95</v>
      </c>
      <c r="L234" s="16" t="s">
        <v>2653</v>
      </c>
      <c r="M234" s="54">
        <f>IFERROR(VLOOKUP(A234,Sheet3!$A:$B,2,0),0)</f>
        <v>284</v>
      </c>
      <c r="N234">
        <v>1.7</v>
      </c>
      <c r="O234" s="66">
        <v>1.05</v>
      </c>
      <c r="P234">
        <v>1</v>
      </c>
      <c r="Q234">
        <f t="shared" si="10"/>
        <v>506.94</v>
      </c>
      <c r="R234">
        <v>4528801</v>
      </c>
      <c r="S234" s="42" t="str">
        <f>VLOOKUP(R234,'CA07-本月-盘点结果'!$B:$C,2,0)</f>
        <v>啤酒（SAPPORO，30L/桶）</v>
      </c>
      <c r="T234" s="43">
        <f>VLOOKUP(R234,'CA07-本月-盘点结果'!B:I,8,0)*30</f>
        <v>555</v>
      </c>
      <c r="U234" s="44">
        <f>(T234-Q234-Q235)/30</f>
        <v>-4.138</v>
      </c>
      <c r="X234" s="75" t="s">
        <v>3131</v>
      </c>
      <c r="Y234" t="e">
        <v>#N/A</v>
      </c>
      <c r="Z234" s="77" t="e">
        <v>#N/A</v>
      </c>
    </row>
    <row r="235" spans="1:26">
      <c r="A235" t="str">
        <f t="shared" si="11"/>
        <v>加拿大七店910043641108354杯</v>
      </c>
      <c r="B235" t="s">
        <v>3000</v>
      </c>
      <c r="C235" t="s">
        <v>636</v>
      </c>
      <c r="D235" t="s">
        <v>2451</v>
      </c>
      <c r="E235" t="s">
        <v>2627</v>
      </c>
      <c r="F235" s="40">
        <v>91004364</v>
      </c>
      <c r="G235" s="40">
        <v>1108354</v>
      </c>
      <c r="H235" s="41" t="s">
        <v>2652</v>
      </c>
      <c r="I235" t="s">
        <v>3132</v>
      </c>
      <c r="J235" t="s">
        <v>2653</v>
      </c>
      <c r="K235" s="40">
        <v>7.95</v>
      </c>
      <c r="L235" s="16" t="s">
        <v>2653</v>
      </c>
      <c r="M235" s="54">
        <f>IFERROR(VLOOKUP(A235,Sheet3!$A:$B,2,0),0)</f>
        <v>328</v>
      </c>
      <c r="N235">
        <v>0.5</v>
      </c>
      <c r="O235" s="66">
        <v>1.05</v>
      </c>
      <c r="P235">
        <v>1</v>
      </c>
      <c r="Q235">
        <f t="shared" si="10"/>
        <v>172.2</v>
      </c>
      <c r="R235">
        <v>4528801</v>
      </c>
      <c r="S235" s="42" t="str">
        <f>VLOOKUP(R235,'CA07-本月-盘点结果'!$B:$C,2,0)</f>
        <v>啤酒（SAPPORO，30L/桶）</v>
      </c>
      <c r="X235" s="41"/>
      <c r="Y235" t="e">
        <v>#N/A</v>
      </c>
      <c r="Z235" s="77" t="e">
        <v>#N/A</v>
      </c>
    </row>
  </sheetData>
  <autoFilter xmlns:etc="http://www.wps.cn/officeDocument/2017/etCustomData" ref="A1:Z235" etc:filterBottomFollowUsedRange="0">
    <extLst/>
  </autoFilter>
  <conditionalFormatting sqref="A1">
    <cfRule type="duplicateValues" dxfId="0" priority="10" stopIfTrue="1"/>
    <cfRule type="duplicateValues" dxfId="0" priority="11" stopIfTrue="1"/>
  </conditionalFormatting>
  <conditionalFormatting sqref="S1">
    <cfRule type="expression" dxfId="1" priority="97" stopIfTrue="1">
      <formula>AND(COUNTIF($R$186:$R$65537,S1)+COUNTIF($R$1:$R$185,S1)&gt;1,NOT(ISBLANK(S1)))</formula>
    </cfRule>
  </conditionalFormatting>
  <conditionalFormatting sqref="A2:A65537">
    <cfRule type="expression" dxfId="1" priority="91" stopIfTrue="1">
      <formula>AND(COUNTIF($A$2:$A$195,A2)+COUNTIF($A$198:$A$65537,A2)&gt;1,NOT(ISBLANK(A2)))</formula>
    </cfRule>
    <cfRule type="expression" dxfId="1" priority="92" stopIfTrue="1">
      <formula>AND(COUNTIF($A$2:$A$195,A2)+COUNTIF($A$198:$A$65537,A2)&gt;1,NOT(ISBLANK(A2)))</formula>
    </cfRule>
  </conditionalFormatting>
  <conditionalFormatting sqref="M1:M65537">
    <cfRule type="cellIs" dxfId="2" priority="1" stopIfTrue="1" operator="equal">
      <formula>0</formula>
    </cfRule>
  </conditionalFormatting>
  <pageMargins left="0.7" right="0.7" top="0.75" bottom="0.75" header="0.3" footer="0.3"/>
  <pageSetup paperSize="1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A169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N16" sqref="N16"/>
    </sheetView>
  </sheetViews>
  <sheetFormatPr defaultColWidth="8.83333333333333" defaultRowHeight="15.75"/>
  <cols>
    <col min="3" max="3" width="11.1666666666667" style="10"/>
    <col min="4" max="6" width="10.8333333333333" style="10"/>
    <col min="7" max="7" width="11.1666666666667" style="10"/>
    <col min="8" max="8" width="23" style="10"/>
    <col min="9" max="11" width="10.8333333333333" style="10"/>
    <col min="12" max="12" width="18.6666666666667" style="10"/>
    <col min="13" max="13" width="15" style="10"/>
    <col min="14" max="15" width="10.8333333333333" style="10"/>
    <col min="16" max="21" width="8.83333333333333" style="10"/>
    <col min="22" max="23" width="12.3333333333333" style="10"/>
    <col min="24" max="24" width="14.8333333333333" style="10"/>
    <col min="25" max="26" width="12.3333333333333" style="10"/>
    <col min="27" max="27" width="18"/>
  </cols>
  <sheetData>
    <row r="1" s="10" customFormat="1" ht="25" customHeight="1" spans="1:27">
      <c r="A1" s="25" t="s">
        <v>3133</v>
      </c>
      <c r="B1" s="25" t="s">
        <v>3134</v>
      </c>
      <c r="C1" s="25" t="s">
        <v>2427</v>
      </c>
      <c r="D1" s="25" t="s">
        <v>3135</v>
      </c>
      <c r="E1" s="25" t="s">
        <v>2328</v>
      </c>
      <c r="F1" s="25" t="s">
        <v>3136</v>
      </c>
      <c r="G1" s="25" t="s">
        <v>3137</v>
      </c>
      <c r="H1" s="25" t="s">
        <v>3138</v>
      </c>
      <c r="I1" s="25" t="s">
        <v>3139</v>
      </c>
      <c r="J1" s="25" t="s">
        <v>3140</v>
      </c>
      <c r="K1" s="25" t="s">
        <v>2330</v>
      </c>
      <c r="L1" s="25" t="s">
        <v>2331</v>
      </c>
      <c r="M1" s="25" t="s">
        <v>3141</v>
      </c>
      <c r="N1" s="25" t="s">
        <v>2987</v>
      </c>
      <c r="O1" s="28" t="s">
        <v>2988</v>
      </c>
      <c r="P1" s="29" t="s">
        <v>2431</v>
      </c>
      <c r="Q1" s="29" t="s">
        <v>3142</v>
      </c>
      <c r="R1" s="29" t="s">
        <v>2432</v>
      </c>
      <c r="S1" s="29" t="s">
        <v>3143</v>
      </c>
      <c r="T1" s="29" t="s">
        <v>3144</v>
      </c>
      <c r="U1" s="29" t="s">
        <v>3145</v>
      </c>
      <c r="V1" s="29" t="s">
        <v>3146</v>
      </c>
      <c r="W1" s="29" t="s">
        <v>3147</v>
      </c>
      <c r="X1" s="29" t="s">
        <v>3148</v>
      </c>
      <c r="Y1" s="29" t="s">
        <v>3149</v>
      </c>
      <c r="Z1" s="29" t="s">
        <v>3150</v>
      </c>
      <c r="AA1" s="37" t="s">
        <v>3151</v>
      </c>
    </row>
    <row r="2" s="10" customFormat="1" spans="1:26">
      <c r="A2" s="26" t="s">
        <v>3152</v>
      </c>
      <c r="B2" s="26" t="s">
        <v>3000</v>
      </c>
      <c r="C2" s="26" t="s">
        <v>636</v>
      </c>
      <c r="D2" s="26" t="s">
        <v>3153</v>
      </c>
      <c r="E2" s="26" t="s">
        <v>2588</v>
      </c>
      <c r="F2" s="26" t="s">
        <v>2589</v>
      </c>
      <c r="G2" s="26" t="s">
        <v>3154</v>
      </c>
      <c r="H2" s="26" t="s">
        <v>2587</v>
      </c>
      <c r="I2" s="26" t="s">
        <v>2436</v>
      </c>
      <c r="J2" s="26">
        <v>10.95</v>
      </c>
      <c r="K2" s="26" t="s">
        <v>3155</v>
      </c>
      <c r="L2" s="26" t="s">
        <v>2605</v>
      </c>
      <c r="M2" s="26" t="s">
        <v>2436</v>
      </c>
      <c r="N2" s="26">
        <v>4.78</v>
      </c>
      <c r="O2" s="30" t="s">
        <v>3156</v>
      </c>
      <c r="P2" s="31">
        <v>656</v>
      </c>
      <c r="Q2" s="31">
        <v>3138.96</v>
      </c>
      <c r="R2" s="31">
        <v>6</v>
      </c>
      <c r="S2" s="31">
        <v>28.71</v>
      </c>
      <c r="T2" s="31">
        <v>650</v>
      </c>
      <c r="U2" s="31">
        <v>3110.25</v>
      </c>
      <c r="V2" s="34">
        <v>0.606967656107093</v>
      </c>
      <c r="W2" s="31">
        <v>1887.82115240708</v>
      </c>
      <c r="X2" s="31">
        <v>1879.6014716887</v>
      </c>
      <c r="Y2" s="31">
        <v>89.5093788974809</v>
      </c>
      <c r="Z2" s="31">
        <v>1790.09209279122</v>
      </c>
    </row>
    <row r="3" s="10" customFormat="1" spans="1:26">
      <c r="A3" s="26" t="s">
        <v>3152</v>
      </c>
      <c r="B3" s="26" t="s">
        <v>3000</v>
      </c>
      <c r="C3" s="26" t="s">
        <v>636</v>
      </c>
      <c r="D3" s="26" t="s">
        <v>3153</v>
      </c>
      <c r="E3" s="26" t="s">
        <v>2588</v>
      </c>
      <c r="F3" s="26" t="s">
        <v>2589</v>
      </c>
      <c r="G3" s="26" t="s">
        <v>3154</v>
      </c>
      <c r="H3" s="26" t="s">
        <v>2587</v>
      </c>
      <c r="I3" s="26" t="s">
        <v>2436</v>
      </c>
      <c r="J3" s="26">
        <v>10.95</v>
      </c>
      <c r="K3" s="26" t="s">
        <v>3157</v>
      </c>
      <c r="L3" s="26" t="s">
        <v>2579</v>
      </c>
      <c r="M3" s="26" t="s">
        <v>2436</v>
      </c>
      <c r="N3" s="26">
        <v>6.97</v>
      </c>
      <c r="O3" s="30" t="s">
        <v>20</v>
      </c>
      <c r="P3" s="31">
        <v>656</v>
      </c>
      <c r="Q3" s="31">
        <v>4575.6</v>
      </c>
      <c r="R3" s="31">
        <v>6</v>
      </c>
      <c r="S3" s="31">
        <v>41.85</v>
      </c>
      <c r="T3" s="31">
        <v>650</v>
      </c>
      <c r="U3" s="31">
        <v>4533.75</v>
      </c>
      <c r="V3" s="34">
        <v>0.606967656107093</v>
      </c>
      <c r="W3" s="31">
        <v>2751.83961087553</v>
      </c>
      <c r="X3" s="31">
        <v>2739.85794462459</v>
      </c>
      <c r="Y3" s="31">
        <v>130.476053878773</v>
      </c>
      <c r="Z3" s="31">
        <v>2609.38189074582</v>
      </c>
    </row>
    <row r="4" s="10" customFormat="1" spans="1:26">
      <c r="A4" s="26" t="s">
        <v>3152</v>
      </c>
      <c r="B4" s="26" t="s">
        <v>3000</v>
      </c>
      <c r="C4" s="26" t="s">
        <v>636</v>
      </c>
      <c r="D4" s="26" t="s">
        <v>3153</v>
      </c>
      <c r="E4" s="26" t="s">
        <v>2588</v>
      </c>
      <c r="F4" s="26" t="s">
        <v>2589</v>
      </c>
      <c r="G4" s="26" t="s">
        <v>3154</v>
      </c>
      <c r="H4" s="26" t="s">
        <v>2587</v>
      </c>
      <c r="I4" s="26" t="s">
        <v>2436</v>
      </c>
      <c r="J4" s="26">
        <v>10.95</v>
      </c>
      <c r="K4" s="26" t="s">
        <v>3158</v>
      </c>
      <c r="L4" s="26" t="s">
        <v>2529</v>
      </c>
      <c r="M4" s="26" t="s">
        <v>2436</v>
      </c>
      <c r="N4" s="26">
        <v>1.96</v>
      </c>
      <c r="O4" s="30" t="s">
        <v>20</v>
      </c>
      <c r="P4" s="31">
        <v>656</v>
      </c>
      <c r="Q4" s="31">
        <v>1288.056</v>
      </c>
      <c r="R4" s="31">
        <v>6</v>
      </c>
      <c r="S4" s="31">
        <v>11.781</v>
      </c>
      <c r="T4" s="31">
        <v>650</v>
      </c>
      <c r="U4" s="31">
        <v>1276.275</v>
      </c>
      <c r="V4" s="34">
        <v>0.606967656107093</v>
      </c>
      <c r="W4" s="31">
        <v>774.65764529808</v>
      </c>
      <c r="X4" s="31">
        <v>771.284741830881</v>
      </c>
      <c r="Y4" s="31">
        <v>36.7297106510353</v>
      </c>
      <c r="Z4" s="31">
        <v>734.555031179846</v>
      </c>
    </row>
    <row r="5" s="10" customFormat="1" spans="1:26">
      <c r="A5" s="26" t="s">
        <v>3152</v>
      </c>
      <c r="B5" s="26" t="s">
        <v>3000</v>
      </c>
      <c r="C5" s="26" t="s">
        <v>636</v>
      </c>
      <c r="D5" s="26" t="s">
        <v>3153</v>
      </c>
      <c r="E5" s="26" t="s">
        <v>2588</v>
      </c>
      <c r="F5" s="26" t="s">
        <v>2589</v>
      </c>
      <c r="G5" s="26" t="s">
        <v>3154</v>
      </c>
      <c r="H5" s="26" t="s">
        <v>2587</v>
      </c>
      <c r="I5" s="26" t="s">
        <v>2436</v>
      </c>
      <c r="J5" s="26">
        <v>10.95</v>
      </c>
      <c r="K5" s="26" t="s">
        <v>3159</v>
      </c>
      <c r="L5" s="26" t="s">
        <v>2528</v>
      </c>
      <c r="M5" s="26" t="s">
        <v>2436</v>
      </c>
      <c r="N5" s="26">
        <v>3.28</v>
      </c>
      <c r="O5" s="30" t="s">
        <v>20</v>
      </c>
      <c r="P5" s="31">
        <v>656</v>
      </c>
      <c r="Q5" s="31">
        <v>2153.976</v>
      </c>
      <c r="R5" s="31">
        <v>6</v>
      </c>
      <c r="S5" s="31">
        <v>19.701</v>
      </c>
      <c r="T5" s="31">
        <v>650</v>
      </c>
      <c r="U5" s="31">
        <v>2134.275</v>
      </c>
      <c r="V5" s="34">
        <v>0.606967656107093</v>
      </c>
      <c r="W5" s="31">
        <v>1295.43589423797</v>
      </c>
      <c r="X5" s="31">
        <v>1289.79549264156</v>
      </c>
      <c r="Y5" s="31">
        <v>61.4219531055129</v>
      </c>
      <c r="Z5" s="31">
        <v>1228.37353953604</v>
      </c>
    </row>
    <row r="6" s="10" customFormat="1" spans="1:26">
      <c r="A6" s="26" t="s">
        <v>3152</v>
      </c>
      <c r="B6" s="26" t="s">
        <v>3000</v>
      </c>
      <c r="C6" s="26" t="s">
        <v>636</v>
      </c>
      <c r="D6" s="26" t="s">
        <v>3153</v>
      </c>
      <c r="E6" s="26" t="s">
        <v>2588</v>
      </c>
      <c r="F6" s="26" t="s">
        <v>2589</v>
      </c>
      <c r="G6" s="26" t="s">
        <v>3154</v>
      </c>
      <c r="H6" s="26" t="s">
        <v>2587</v>
      </c>
      <c r="I6" s="26" t="s">
        <v>2436</v>
      </c>
      <c r="J6" s="26">
        <v>10.95</v>
      </c>
      <c r="K6" s="26" t="s">
        <v>3160</v>
      </c>
      <c r="L6" s="26" t="s">
        <v>2558</v>
      </c>
      <c r="M6" s="26" t="s">
        <v>2436</v>
      </c>
      <c r="N6" s="26">
        <v>1.03</v>
      </c>
      <c r="O6" s="30" t="s">
        <v>3156</v>
      </c>
      <c r="P6" s="31">
        <v>656</v>
      </c>
      <c r="Q6" s="31">
        <v>677.976</v>
      </c>
      <c r="R6" s="31">
        <v>6</v>
      </c>
      <c r="S6" s="31">
        <v>6.201</v>
      </c>
      <c r="T6" s="31">
        <v>650</v>
      </c>
      <c r="U6" s="31">
        <v>671.775</v>
      </c>
      <c r="V6" s="34">
        <v>0.606967656107093</v>
      </c>
      <c r="W6" s="31">
        <v>407.745697181342</v>
      </c>
      <c r="X6" s="31">
        <v>405.970349214268</v>
      </c>
      <c r="Y6" s="31">
        <v>19.3329034671989</v>
      </c>
      <c r="Z6" s="31">
        <v>386.637445747069</v>
      </c>
    </row>
    <row r="7" s="10" customFormat="1" spans="1:26">
      <c r="A7" s="26" t="s">
        <v>3152</v>
      </c>
      <c r="B7" s="26" t="s">
        <v>3000</v>
      </c>
      <c r="C7" s="26" t="s">
        <v>636</v>
      </c>
      <c r="D7" s="26" t="s">
        <v>3153</v>
      </c>
      <c r="E7" s="26" t="s">
        <v>2588</v>
      </c>
      <c r="F7" s="26" t="s">
        <v>2589</v>
      </c>
      <c r="G7" s="26" t="s">
        <v>3154</v>
      </c>
      <c r="H7" s="26" t="s">
        <v>2587</v>
      </c>
      <c r="I7" s="26" t="s">
        <v>2436</v>
      </c>
      <c r="J7" s="26">
        <v>10.95</v>
      </c>
      <c r="K7" s="26" t="s">
        <v>3161</v>
      </c>
      <c r="L7" s="26" t="s">
        <v>3099</v>
      </c>
      <c r="M7" s="26" t="s">
        <v>2436</v>
      </c>
      <c r="N7" s="26" t="s">
        <v>3162</v>
      </c>
      <c r="O7" s="30" t="s">
        <v>3156</v>
      </c>
      <c r="P7" s="31">
        <v>656</v>
      </c>
      <c r="Q7" s="35" t="s">
        <v>3162</v>
      </c>
      <c r="R7" s="31">
        <v>6</v>
      </c>
      <c r="S7" s="35" t="s">
        <v>3162</v>
      </c>
      <c r="T7" s="31">
        <v>650</v>
      </c>
      <c r="U7" s="35" t="s">
        <v>3162</v>
      </c>
      <c r="V7" s="34">
        <v>0.606967656107093</v>
      </c>
      <c r="W7" s="35" t="s">
        <v>3162</v>
      </c>
      <c r="X7" s="31">
        <v>0</v>
      </c>
      <c r="Y7" s="31">
        <v>0</v>
      </c>
      <c r="Z7" s="31">
        <v>0</v>
      </c>
    </row>
    <row r="8" s="10" customFormat="1" spans="1:26">
      <c r="A8" s="26" t="s">
        <v>3152</v>
      </c>
      <c r="B8" s="26" t="s">
        <v>3000</v>
      </c>
      <c r="C8" s="26" t="s">
        <v>636</v>
      </c>
      <c r="D8" s="26" t="s">
        <v>3153</v>
      </c>
      <c r="E8" s="26" t="s">
        <v>2588</v>
      </c>
      <c r="F8" s="26" t="s">
        <v>2589</v>
      </c>
      <c r="G8" s="26" t="s">
        <v>3163</v>
      </c>
      <c r="H8" s="26" t="s">
        <v>2691</v>
      </c>
      <c r="I8" s="26" t="s">
        <v>2588</v>
      </c>
      <c r="J8" s="26">
        <v>33.9</v>
      </c>
      <c r="K8" s="26" t="s">
        <v>2333</v>
      </c>
      <c r="L8" s="26" t="s">
        <v>2538</v>
      </c>
      <c r="M8" s="26" t="s">
        <v>2460</v>
      </c>
      <c r="N8" s="26">
        <v>0</v>
      </c>
      <c r="O8" s="30" t="s">
        <v>3001</v>
      </c>
      <c r="P8" s="31">
        <v>348</v>
      </c>
      <c r="Q8" s="31">
        <v>0</v>
      </c>
      <c r="R8" s="31">
        <v>6</v>
      </c>
      <c r="S8" s="31">
        <v>0</v>
      </c>
      <c r="T8" s="31">
        <v>342</v>
      </c>
      <c r="U8" s="31">
        <v>0</v>
      </c>
      <c r="V8" s="34">
        <v>1.07130184732068</v>
      </c>
      <c r="W8" s="31">
        <v>0</v>
      </c>
      <c r="X8" s="31">
        <v>0</v>
      </c>
      <c r="Y8" s="31">
        <v>0</v>
      </c>
      <c r="Z8" s="31">
        <v>0</v>
      </c>
    </row>
    <row r="9" s="10" customFormat="1" spans="1:26">
      <c r="A9" s="26" t="s">
        <v>3152</v>
      </c>
      <c r="B9" s="26" t="s">
        <v>3000</v>
      </c>
      <c r="C9" s="26" t="s">
        <v>636</v>
      </c>
      <c r="D9" s="26" t="s">
        <v>3153</v>
      </c>
      <c r="E9" s="26" t="s">
        <v>2588</v>
      </c>
      <c r="F9" s="26" t="s">
        <v>2589</v>
      </c>
      <c r="G9" s="26" t="s">
        <v>3163</v>
      </c>
      <c r="H9" s="26" t="s">
        <v>2691</v>
      </c>
      <c r="I9" s="26" t="s">
        <v>2588</v>
      </c>
      <c r="J9" s="26">
        <v>33.9</v>
      </c>
      <c r="K9" s="26" t="s">
        <v>2335</v>
      </c>
      <c r="L9" s="26" t="s">
        <v>2511</v>
      </c>
      <c r="M9" s="26" t="s">
        <v>2460</v>
      </c>
      <c r="N9" s="26">
        <v>7.95</v>
      </c>
      <c r="O9" s="30" t="s">
        <v>3001</v>
      </c>
      <c r="P9" s="31">
        <v>73</v>
      </c>
      <c r="Q9" s="31">
        <v>580.35</v>
      </c>
      <c r="R9" s="31">
        <v>2</v>
      </c>
      <c r="S9" s="31">
        <v>15.9</v>
      </c>
      <c r="T9" s="31">
        <v>71</v>
      </c>
      <c r="U9" s="31">
        <v>564.45</v>
      </c>
      <c r="V9" s="34">
        <v>1.07130184732068</v>
      </c>
      <c r="W9" s="31">
        <v>604.696327720159</v>
      </c>
      <c r="X9" s="31">
        <v>631.14</v>
      </c>
      <c r="Y9" s="31">
        <v>30.02</v>
      </c>
      <c r="Z9" s="31">
        <v>601.12</v>
      </c>
    </row>
    <row r="10" s="10" customFormat="1" spans="1:26">
      <c r="A10" s="26" t="s">
        <v>3152</v>
      </c>
      <c r="B10" s="26" t="s">
        <v>3000</v>
      </c>
      <c r="C10" s="26" t="s">
        <v>636</v>
      </c>
      <c r="D10" s="26" t="s">
        <v>3153</v>
      </c>
      <c r="E10" s="26" t="s">
        <v>2588</v>
      </c>
      <c r="F10" s="26" t="s">
        <v>2589</v>
      </c>
      <c r="G10" s="26" t="s">
        <v>3163</v>
      </c>
      <c r="H10" s="26" t="s">
        <v>2691</v>
      </c>
      <c r="I10" s="26" t="s">
        <v>2588</v>
      </c>
      <c r="J10" s="26">
        <v>33.9</v>
      </c>
      <c r="K10" s="26" t="s">
        <v>2337</v>
      </c>
      <c r="L10" s="26" t="s">
        <v>2506</v>
      </c>
      <c r="M10" s="26" t="s">
        <v>2460</v>
      </c>
      <c r="N10" s="26">
        <v>6.95</v>
      </c>
      <c r="O10" s="30" t="s">
        <v>3001</v>
      </c>
      <c r="P10" s="31">
        <v>105</v>
      </c>
      <c r="Q10" s="31">
        <v>729.75</v>
      </c>
      <c r="R10" s="31">
        <v>1</v>
      </c>
      <c r="S10" s="31">
        <v>6.95</v>
      </c>
      <c r="T10" s="31">
        <v>104</v>
      </c>
      <c r="U10" s="31">
        <v>722.8</v>
      </c>
      <c r="V10" s="34">
        <v>1.07130184732068</v>
      </c>
      <c r="W10" s="31">
        <v>774.336975243389</v>
      </c>
      <c r="X10" s="31">
        <v>820.09</v>
      </c>
      <c r="Y10" s="31">
        <v>39.1000000000001</v>
      </c>
      <c r="Z10" s="31">
        <v>780.99</v>
      </c>
    </row>
    <row r="11" s="10" customFormat="1" spans="1:26">
      <c r="A11" s="26" t="s">
        <v>3152</v>
      </c>
      <c r="B11" s="26" t="s">
        <v>3000</v>
      </c>
      <c r="C11" s="26" t="s">
        <v>636</v>
      </c>
      <c r="D11" s="26" t="s">
        <v>3153</v>
      </c>
      <c r="E11" s="26" t="s">
        <v>2588</v>
      </c>
      <c r="F11" s="26" t="s">
        <v>2589</v>
      </c>
      <c r="G11" s="26" t="s">
        <v>3163</v>
      </c>
      <c r="H11" s="26" t="s">
        <v>2691</v>
      </c>
      <c r="I11" s="26" t="s">
        <v>2588</v>
      </c>
      <c r="J11" s="26">
        <v>33.9</v>
      </c>
      <c r="K11" s="26" t="s">
        <v>2339</v>
      </c>
      <c r="L11" s="26" t="s">
        <v>2340</v>
      </c>
      <c r="M11" s="26" t="s">
        <v>2460</v>
      </c>
      <c r="N11" s="26">
        <v>6.95</v>
      </c>
      <c r="O11" s="30" t="s">
        <v>3001</v>
      </c>
      <c r="P11" s="31">
        <v>62</v>
      </c>
      <c r="Q11" s="31">
        <v>430.9</v>
      </c>
      <c r="R11" s="31">
        <v>0</v>
      </c>
      <c r="S11" s="31">
        <v>0</v>
      </c>
      <c r="T11" s="31">
        <v>62</v>
      </c>
      <c r="U11" s="31">
        <v>430.9</v>
      </c>
      <c r="V11" s="34">
        <v>1.07130184732068</v>
      </c>
      <c r="W11" s="31">
        <v>461.623966010482</v>
      </c>
      <c r="X11" s="31">
        <v>489.25</v>
      </c>
      <c r="Y11" s="31">
        <v>23.29</v>
      </c>
      <c r="Z11" s="31">
        <v>465.96</v>
      </c>
    </row>
    <row r="12" s="10" customFormat="1" spans="1:26">
      <c r="A12" s="26" t="s">
        <v>3152</v>
      </c>
      <c r="B12" s="26" t="s">
        <v>3000</v>
      </c>
      <c r="C12" s="26" t="s">
        <v>636</v>
      </c>
      <c r="D12" s="26" t="s">
        <v>3153</v>
      </c>
      <c r="E12" s="26" t="s">
        <v>2588</v>
      </c>
      <c r="F12" s="26" t="s">
        <v>2589</v>
      </c>
      <c r="G12" s="26" t="s">
        <v>3163</v>
      </c>
      <c r="H12" s="26" t="s">
        <v>2691</v>
      </c>
      <c r="I12" s="26" t="s">
        <v>2588</v>
      </c>
      <c r="J12" s="26">
        <v>33.9</v>
      </c>
      <c r="K12" s="26" t="s">
        <v>2343</v>
      </c>
      <c r="L12" s="26" t="s">
        <v>2344</v>
      </c>
      <c r="M12" s="26" t="s">
        <v>2460</v>
      </c>
      <c r="N12" s="26">
        <v>6.95</v>
      </c>
      <c r="O12" s="30" t="s">
        <v>3001</v>
      </c>
      <c r="P12" s="31">
        <v>108</v>
      </c>
      <c r="Q12" s="31">
        <v>750.6</v>
      </c>
      <c r="R12" s="31">
        <v>3</v>
      </c>
      <c r="S12" s="31">
        <v>20.85</v>
      </c>
      <c r="T12" s="31">
        <v>105</v>
      </c>
      <c r="U12" s="31">
        <v>729.75</v>
      </c>
      <c r="V12" s="34">
        <v>1.07130184732068</v>
      </c>
      <c r="W12" s="31">
        <v>781.782523082267</v>
      </c>
      <c r="X12" s="31">
        <v>826.89</v>
      </c>
      <c r="Y12" s="31">
        <v>39.4200000000001</v>
      </c>
      <c r="Z12" s="31">
        <v>787.47</v>
      </c>
    </row>
    <row r="13" s="10" customFormat="1" spans="1:26">
      <c r="A13" s="26" t="s">
        <v>3152</v>
      </c>
      <c r="B13" s="26" t="s">
        <v>3000</v>
      </c>
      <c r="C13" s="26" t="s">
        <v>636</v>
      </c>
      <c r="D13" s="26" t="s">
        <v>3153</v>
      </c>
      <c r="E13" s="26" t="s">
        <v>2588</v>
      </c>
      <c r="F13" s="26" t="s">
        <v>2589</v>
      </c>
      <c r="G13" s="26" t="s">
        <v>3163</v>
      </c>
      <c r="H13" s="26" t="s">
        <v>2691</v>
      </c>
      <c r="I13" s="26" t="s">
        <v>2588</v>
      </c>
      <c r="J13" s="26">
        <v>33.9</v>
      </c>
      <c r="K13" s="26" t="s">
        <v>3164</v>
      </c>
      <c r="L13" s="26" t="s">
        <v>2586</v>
      </c>
      <c r="M13" s="26" t="s">
        <v>2436</v>
      </c>
      <c r="N13" s="26">
        <v>5.95</v>
      </c>
      <c r="O13" s="30" t="s">
        <v>2454</v>
      </c>
      <c r="P13" s="31">
        <v>94</v>
      </c>
      <c r="Q13" s="31">
        <v>559.3</v>
      </c>
      <c r="R13" s="31">
        <v>2</v>
      </c>
      <c r="S13" s="31">
        <v>11.9</v>
      </c>
      <c r="T13" s="31">
        <v>92</v>
      </c>
      <c r="U13" s="31">
        <v>547.4</v>
      </c>
      <c r="V13" s="34">
        <v>1.07130184732068</v>
      </c>
      <c r="W13" s="31">
        <v>586.430631223341</v>
      </c>
      <c r="X13" s="31">
        <v>591.98</v>
      </c>
      <c r="Y13" s="31">
        <v>28.3</v>
      </c>
      <c r="Z13" s="31">
        <v>563.68</v>
      </c>
    </row>
    <row r="14" s="10" customFormat="1" spans="1:26">
      <c r="A14" s="26" t="s">
        <v>3152</v>
      </c>
      <c r="B14" s="26" t="s">
        <v>3000</v>
      </c>
      <c r="C14" s="26" t="s">
        <v>636</v>
      </c>
      <c r="D14" s="26" t="s">
        <v>3153</v>
      </c>
      <c r="E14" s="26" t="s">
        <v>2588</v>
      </c>
      <c r="F14" s="26" t="s">
        <v>2589</v>
      </c>
      <c r="G14" s="26" t="s">
        <v>3163</v>
      </c>
      <c r="H14" s="26" t="s">
        <v>2691</v>
      </c>
      <c r="I14" s="26" t="s">
        <v>2588</v>
      </c>
      <c r="J14" s="26">
        <v>33.9</v>
      </c>
      <c r="K14" s="26" t="s">
        <v>3165</v>
      </c>
      <c r="L14" s="26" t="s">
        <v>2443</v>
      </c>
      <c r="M14" s="26" t="s">
        <v>2436</v>
      </c>
      <c r="N14" s="26">
        <v>1.5</v>
      </c>
      <c r="O14" s="30" t="s">
        <v>3166</v>
      </c>
      <c r="P14" s="31">
        <v>54</v>
      </c>
      <c r="Q14" s="31">
        <v>81</v>
      </c>
      <c r="R14" s="31">
        <v>0</v>
      </c>
      <c r="S14" s="31">
        <v>0</v>
      </c>
      <c r="T14" s="31">
        <v>54</v>
      </c>
      <c r="U14" s="31">
        <v>81</v>
      </c>
      <c r="V14" s="34">
        <v>1.07130184732068</v>
      </c>
      <c r="W14" s="31">
        <v>86.7754496329752</v>
      </c>
      <c r="X14" s="31">
        <v>102.63</v>
      </c>
      <c r="Y14" s="31">
        <v>4.93</v>
      </c>
      <c r="Z14" s="31">
        <v>97.7</v>
      </c>
    </row>
    <row r="15" s="10" customFormat="1" spans="1:26">
      <c r="A15" s="26" t="s">
        <v>3152</v>
      </c>
      <c r="B15" s="26" t="s">
        <v>3000</v>
      </c>
      <c r="C15" s="26" t="s">
        <v>636</v>
      </c>
      <c r="D15" s="26" t="s">
        <v>3153</v>
      </c>
      <c r="E15" s="26" t="s">
        <v>2588</v>
      </c>
      <c r="F15" s="26" t="s">
        <v>2589</v>
      </c>
      <c r="G15" s="26" t="s">
        <v>3163</v>
      </c>
      <c r="H15" s="26" t="s">
        <v>2691</v>
      </c>
      <c r="I15" s="26" t="s">
        <v>2588</v>
      </c>
      <c r="J15" s="26">
        <v>33.9</v>
      </c>
      <c r="K15" s="26" t="s">
        <v>3167</v>
      </c>
      <c r="L15" s="26" t="s">
        <v>2641</v>
      </c>
      <c r="M15" s="26" t="s">
        <v>2642</v>
      </c>
      <c r="N15" s="26">
        <v>3.99</v>
      </c>
      <c r="O15" s="30" t="s">
        <v>2642</v>
      </c>
      <c r="P15" s="31">
        <v>348</v>
      </c>
      <c r="Q15" s="31">
        <v>1388.52</v>
      </c>
      <c r="R15" s="31">
        <v>6</v>
      </c>
      <c r="S15" s="31">
        <v>23.94</v>
      </c>
      <c r="T15" s="31">
        <v>342</v>
      </c>
      <c r="U15" s="31">
        <v>1364.58</v>
      </c>
      <c r="V15" s="34">
        <v>1.07130184732068</v>
      </c>
      <c r="W15" s="31">
        <v>1461.87707481686</v>
      </c>
      <c r="X15" s="31">
        <v>1541.1</v>
      </c>
      <c r="Y15" s="31">
        <v>73.33</v>
      </c>
      <c r="Z15" s="31">
        <v>1467.77</v>
      </c>
    </row>
    <row r="16" s="10" customFormat="1" spans="1:26">
      <c r="A16" s="26" t="s">
        <v>3152</v>
      </c>
      <c r="B16" s="26" t="s">
        <v>3000</v>
      </c>
      <c r="C16" s="26" t="s">
        <v>636</v>
      </c>
      <c r="D16" s="26" t="s">
        <v>3153</v>
      </c>
      <c r="E16" s="26" t="s">
        <v>2588</v>
      </c>
      <c r="F16" s="26" t="s">
        <v>2589</v>
      </c>
      <c r="G16" s="26" t="s">
        <v>3163</v>
      </c>
      <c r="H16" s="26" t="s">
        <v>2691</v>
      </c>
      <c r="I16" s="26" t="s">
        <v>2588</v>
      </c>
      <c r="J16" s="26">
        <v>33.9</v>
      </c>
      <c r="K16" s="26" t="s">
        <v>3168</v>
      </c>
      <c r="L16" s="26" t="s">
        <v>2688</v>
      </c>
      <c r="M16" s="26" t="s">
        <v>2436</v>
      </c>
      <c r="N16" s="26">
        <v>0</v>
      </c>
      <c r="O16" s="30" t="s">
        <v>2454</v>
      </c>
      <c r="P16" s="31">
        <v>348</v>
      </c>
      <c r="Q16" s="31">
        <v>0</v>
      </c>
      <c r="R16" s="31">
        <v>6</v>
      </c>
      <c r="S16" s="31">
        <v>0</v>
      </c>
      <c r="T16" s="31">
        <v>342</v>
      </c>
      <c r="U16" s="31">
        <v>0</v>
      </c>
      <c r="V16" s="34">
        <v>1.07130184732068</v>
      </c>
      <c r="W16" s="31">
        <v>0</v>
      </c>
      <c r="X16" s="31">
        <v>0</v>
      </c>
      <c r="Y16" s="31">
        <v>0</v>
      </c>
      <c r="Z16" s="31">
        <v>0</v>
      </c>
    </row>
    <row r="17" s="10" customFormat="1" spans="1:26">
      <c r="A17" s="26" t="s">
        <v>3152</v>
      </c>
      <c r="B17" s="26" t="s">
        <v>3000</v>
      </c>
      <c r="C17" s="26" t="s">
        <v>636</v>
      </c>
      <c r="D17" s="26" t="s">
        <v>3153</v>
      </c>
      <c r="E17" s="26" t="s">
        <v>2588</v>
      </c>
      <c r="F17" s="26" t="s">
        <v>2589</v>
      </c>
      <c r="G17" s="26" t="s">
        <v>3163</v>
      </c>
      <c r="H17" s="26" t="s">
        <v>2691</v>
      </c>
      <c r="I17" s="26" t="s">
        <v>2588</v>
      </c>
      <c r="J17" s="26">
        <v>33.9</v>
      </c>
      <c r="K17" s="26" t="s">
        <v>3169</v>
      </c>
      <c r="L17" s="26" t="s">
        <v>2608</v>
      </c>
      <c r="M17" s="26" t="s">
        <v>2436</v>
      </c>
      <c r="N17" s="26">
        <v>4.95</v>
      </c>
      <c r="O17" s="30" t="s">
        <v>2454</v>
      </c>
      <c r="P17" s="31">
        <v>200</v>
      </c>
      <c r="Q17" s="31">
        <v>990</v>
      </c>
      <c r="R17" s="31">
        <v>4</v>
      </c>
      <c r="S17" s="31">
        <v>19.8</v>
      </c>
      <c r="T17" s="31">
        <v>196</v>
      </c>
      <c r="U17" s="31">
        <v>970.2</v>
      </c>
      <c r="V17" s="34">
        <v>1.07130184732068</v>
      </c>
      <c r="W17" s="31">
        <v>1039.37705227053</v>
      </c>
      <c r="X17" s="31">
        <v>1080.54</v>
      </c>
      <c r="Y17" s="31">
        <v>51.77</v>
      </c>
      <c r="Z17" s="31">
        <v>1028.77</v>
      </c>
    </row>
    <row r="18" s="10" customFormat="1" spans="1:26">
      <c r="A18" s="26" t="s">
        <v>3152</v>
      </c>
      <c r="B18" s="26" t="s">
        <v>3000</v>
      </c>
      <c r="C18" s="26" t="s">
        <v>636</v>
      </c>
      <c r="D18" s="26" t="s">
        <v>3153</v>
      </c>
      <c r="E18" s="26" t="s">
        <v>2588</v>
      </c>
      <c r="F18" s="26" t="s">
        <v>2589</v>
      </c>
      <c r="G18" s="26" t="s">
        <v>3170</v>
      </c>
      <c r="H18" s="26" t="s">
        <v>2692</v>
      </c>
      <c r="I18" s="26" t="s">
        <v>2588</v>
      </c>
      <c r="J18" s="26">
        <v>50.85</v>
      </c>
      <c r="K18" s="26" t="s">
        <v>2333</v>
      </c>
      <c r="L18" s="26" t="s">
        <v>2538</v>
      </c>
      <c r="M18" s="26" t="s">
        <v>2460</v>
      </c>
      <c r="N18" s="26">
        <v>0</v>
      </c>
      <c r="O18" s="30" t="s">
        <v>3001</v>
      </c>
      <c r="P18" s="31">
        <v>36</v>
      </c>
      <c r="Q18" s="31">
        <v>0</v>
      </c>
      <c r="R18" s="31">
        <v>1</v>
      </c>
      <c r="S18" s="31">
        <v>0</v>
      </c>
      <c r="T18" s="31">
        <v>35</v>
      </c>
      <c r="U18" s="31">
        <v>0</v>
      </c>
      <c r="V18" s="34">
        <v>1.06314028852185</v>
      </c>
      <c r="W18" s="31">
        <v>0</v>
      </c>
      <c r="X18" s="31">
        <v>0</v>
      </c>
      <c r="Y18" s="31">
        <v>0</v>
      </c>
      <c r="Z18" s="31">
        <v>0</v>
      </c>
    </row>
    <row r="19" s="10" customFormat="1" spans="1:26">
      <c r="A19" s="26" t="s">
        <v>3152</v>
      </c>
      <c r="B19" s="26" t="s">
        <v>3000</v>
      </c>
      <c r="C19" s="26" t="s">
        <v>636</v>
      </c>
      <c r="D19" s="26" t="s">
        <v>3153</v>
      </c>
      <c r="E19" s="26" t="s">
        <v>2588</v>
      </c>
      <c r="F19" s="26" t="s">
        <v>2589</v>
      </c>
      <c r="G19" s="26" t="s">
        <v>3170</v>
      </c>
      <c r="H19" s="26" t="s">
        <v>2692</v>
      </c>
      <c r="I19" s="26" t="s">
        <v>2588</v>
      </c>
      <c r="J19" s="26">
        <v>50.85</v>
      </c>
      <c r="K19" s="26" t="s">
        <v>2335</v>
      </c>
      <c r="L19" s="26" t="s">
        <v>2511</v>
      </c>
      <c r="M19" s="26" t="s">
        <v>2460</v>
      </c>
      <c r="N19" s="26">
        <v>7.95</v>
      </c>
      <c r="O19" s="30" t="s">
        <v>3001</v>
      </c>
      <c r="P19" s="31">
        <v>19</v>
      </c>
      <c r="Q19" s="31">
        <v>151.05</v>
      </c>
      <c r="R19" s="31">
        <v>0</v>
      </c>
      <c r="S19" s="31">
        <v>0</v>
      </c>
      <c r="T19" s="31">
        <v>19</v>
      </c>
      <c r="U19" s="31">
        <v>151.05</v>
      </c>
      <c r="V19" s="34">
        <v>1.06314028852185</v>
      </c>
      <c r="W19" s="31">
        <v>160.587340581225</v>
      </c>
      <c r="X19" s="31">
        <v>166.42</v>
      </c>
      <c r="Y19" s="31">
        <v>7.96000000000001</v>
      </c>
      <c r="Z19" s="31">
        <v>158.46</v>
      </c>
    </row>
    <row r="20" s="10" customFormat="1" spans="1:26">
      <c r="A20" s="26" t="s">
        <v>3152</v>
      </c>
      <c r="B20" s="26" t="s">
        <v>3000</v>
      </c>
      <c r="C20" s="26" t="s">
        <v>636</v>
      </c>
      <c r="D20" s="26" t="s">
        <v>3153</v>
      </c>
      <c r="E20" s="26" t="s">
        <v>2588</v>
      </c>
      <c r="F20" s="26" t="s">
        <v>2589</v>
      </c>
      <c r="G20" s="26" t="s">
        <v>3170</v>
      </c>
      <c r="H20" s="26" t="s">
        <v>2692</v>
      </c>
      <c r="I20" s="26" t="s">
        <v>2588</v>
      </c>
      <c r="J20" s="26">
        <v>50.85</v>
      </c>
      <c r="K20" s="26" t="s">
        <v>2337</v>
      </c>
      <c r="L20" s="26" t="s">
        <v>2506</v>
      </c>
      <c r="M20" s="26" t="s">
        <v>2460</v>
      </c>
      <c r="N20" s="26">
        <v>6.95</v>
      </c>
      <c r="O20" s="30" t="s">
        <v>3001</v>
      </c>
      <c r="P20" s="31">
        <v>31</v>
      </c>
      <c r="Q20" s="31">
        <v>215.45</v>
      </c>
      <c r="R20" s="31">
        <v>1</v>
      </c>
      <c r="S20" s="31">
        <v>6.95</v>
      </c>
      <c r="T20" s="31">
        <v>30</v>
      </c>
      <c r="U20" s="31">
        <v>208.5</v>
      </c>
      <c r="V20" s="34">
        <v>1.06314028852185</v>
      </c>
      <c r="W20" s="31">
        <v>221.664750156805</v>
      </c>
      <c r="X20" s="31">
        <v>234.92</v>
      </c>
      <c r="Y20" s="31">
        <v>11.15</v>
      </c>
      <c r="Z20" s="31">
        <v>223.77</v>
      </c>
    </row>
    <row r="21" s="10" customFormat="1" spans="1:26">
      <c r="A21" s="26" t="s">
        <v>3152</v>
      </c>
      <c r="B21" s="26" t="s">
        <v>3000</v>
      </c>
      <c r="C21" s="26" t="s">
        <v>636</v>
      </c>
      <c r="D21" s="26" t="s">
        <v>3153</v>
      </c>
      <c r="E21" s="26" t="s">
        <v>2588</v>
      </c>
      <c r="F21" s="26" t="s">
        <v>2589</v>
      </c>
      <c r="G21" s="26" t="s">
        <v>3170</v>
      </c>
      <c r="H21" s="26" t="s">
        <v>2692</v>
      </c>
      <c r="I21" s="26" t="s">
        <v>2588</v>
      </c>
      <c r="J21" s="26">
        <v>50.85</v>
      </c>
      <c r="K21" s="26" t="s">
        <v>2339</v>
      </c>
      <c r="L21" s="26" t="s">
        <v>2340</v>
      </c>
      <c r="M21" s="26" t="s">
        <v>2460</v>
      </c>
      <c r="N21" s="26">
        <v>6.95</v>
      </c>
      <c r="O21" s="30" t="s">
        <v>3001</v>
      </c>
      <c r="P21" s="31">
        <v>26</v>
      </c>
      <c r="Q21" s="31">
        <v>180.7</v>
      </c>
      <c r="R21" s="31">
        <v>1</v>
      </c>
      <c r="S21" s="31">
        <v>6.95</v>
      </c>
      <c r="T21" s="31">
        <v>25</v>
      </c>
      <c r="U21" s="31">
        <v>173.75</v>
      </c>
      <c r="V21" s="34">
        <v>1.06314028852185</v>
      </c>
      <c r="W21" s="31">
        <v>184.720625130671</v>
      </c>
      <c r="X21" s="31">
        <v>194.1</v>
      </c>
      <c r="Y21" s="31">
        <v>9.24000000000001</v>
      </c>
      <c r="Z21" s="31">
        <v>184.86</v>
      </c>
    </row>
    <row r="22" s="10" customFormat="1" spans="1:26">
      <c r="A22" s="26" t="s">
        <v>3152</v>
      </c>
      <c r="B22" s="26" t="s">
        <v>3000</v>
      </c>
      <c r="C22" s="26" t="s">
        <v>636</v>
      </c>
      <c r="D22" s="26" t="s">
        <v>3153</v>
      </c>
      <c r="E22" s="26" t="s">
        <v>2588</v>
      </c>
      <c r="F22" s="26" t="s">
        <v>2589</v>
      </c>
      <c r="G22" s="26" t="s">
        <v>3170</v>
      </c>
      <c r="H22" s="26" t="s">
        <v>2692</v>
      </c>
      <c r="I22" s="26" t="s">
        <v>2588</v>
      </c>
      <c r="J22" s="26">
        <v>50.85</v>
      </c>
      <c r="K22" s="26" t="s">
        <v>2343</v>
      </c>
      <c r="L22" s="26" t="s">
        <v>2344</v>
      </c>
      <c r="M22" s="26" t="s">
        <v>2460</v>
      </c>
      <c r="N22" s="26">
        <v>6.95</v>
      </c>
      <c r="O22" s="30" t="s">
        <v>3001</v>
      </c>
      <c r="P22" s="31">
        <v>32</v>
      </c>
      <c r="Q22" s="31">
        <v>222.4</v>
      </c>
      <c r="R22" s="31">
        <v>1</v>
      </c>
      <c r="S22" s="31">
        <v>6.95</v>
      </c>
      <c r="T22" s="31">
        <v>31</v>
      </c>
      <c r="U22" s="31">
        <v>215.45</v>
      </c>
      <c r="V22" s="34">
        <v>1.06314028852185</v>
      </c>
      <c r="W22" s="31">
        <v>229.053575162032</v>
      </c>
      <c r="X22" s="31">
        <v>242.35</v>
      </c>
      <c r="Y22" s="31">
        <v>11.53</v>
      </c>
      <c r="Z22" s="31">
        <v>230.82</v>
      </c>
    </row>
    <row r="23" s="10" customFormat="1" spans="1:26">
      <c r="A23" s="26" t="s">
        <v>3152</v>
      </c>
      <c r="B23" s="26" t="s">
        <v>3000</v>
      </c>
      <c r="C23" s="26" t="s">
        <v>636</v>
      </c>
      <c r="D23" s="26" t="s">
        <v>3153</v>
      </c>
      <c r="E23" s="26" t="s">
        <v>2588</v>
      </c>
      <c r="F23" s="26" t="s">
        <v>2589</v>
      </c>
      <c r="G23" s="26" t="s">
        <v>3170</v>
      </c>
      <c r="H23" s="26" t="s">
        <v>2692</v>
      </c>
      <c r="I23" s="26" t="s">
        <v>2588</v>
      </c>
      <c r="J23" s="26">
        <v>50.85</v>
      </c>
      <c r="K23" s="26" t="s">
        <v>3164</v>
      </c>
      <c r="L23" s="26" t="s">
        <v>2586</v>
      </c>
      <c r="M23" s="26" t="s">
        <v>2436</v>
      </c>
      <c r="N23" s="26">
        <v>5.95</v>
      </c>
      <c r="O23" s="30" t="s">
        <v>2454</v>
      </c>
      <c r="P23" s="31">
        <v>30</v>
      </c>
      <c r="Q23" s="31">
        <v>178.5</v>
      </c>
      <c r="R23" s="31">
        <v>2</v>
      </c>
      <c r="S23" s="31">
        <v>11.9</v>
      </c>
      <c r="T23" s="31">
        <v>28</v>
      </c>
      <c r="U23" s="31">
        <v>166.6</v>
      </c>
      <c r="V23" s="34">
        <v>1.06314028852185</v>
      </c>
      <c r="W23" s="31">
        <v>177.11917206774</v>
      </c>
      <c r="X23" s="31">
        <v>182.76</v>
      </c>
      <c r="Y23" s="31">
        <v>8.68999999999999</v>
      </c>
      <c r="Z23" s="31">
        <v>174.07</v>
      </c>
    </row>
    <row r="24" s="10" customFormat="1" spans="1:26">
      <c r="A24" s="26" t="s">
        <v>3152</v>
      </c>
      <c r="B24" s="26" t="s">
        <v>3000</v>
      </c>
      <c r="C24" s="26" t="s">
        <v>636</v>
      </c>
      <c r="D24" s="26" t="s">
        <v>3153</v>
      </c>
      <c r="E24" s="26" t="s">
        <v>2588</v>
      </c>
      <c r="F24" s="26" t="s">
        <v>2589</v>
      </c>
      <c r="G24" s="26" t="s">
        <v>3170</v>
      </c>
      <c r="H24" s="26" t="s">
        <v>2692</v>
      </c>
      <c r="I24" s="26" t="s">
        <v>2588</v>
      </c>
      <c r="J24" s="26">
        <v>50.85</v>
      </c>
      <c r="K24" s="26" t="s">
        <v>3165</v>
      </c>
      <c r="L24" s="26" t="s">
        <v>2443</v>
      </c>
      <c r="M24" s="26" t="s">
        <v>2436</v>
      </c>
      <c r="N24" s="26">
        <v>1.5</v>
      </c>
      <c r="O24" s="30" t="s">
        <v>3166</v>
      </c>
      <c r="P24" s="31">
        <v>12</v>
      </c>
      <c r="Q24" s="31">
        <v>18</v>
      </c>
      <c r="R24" s="31">
        <v>0</v>
      </c>
      <c r="S24" s="31">
        <v>0</v>
      </c>
      <c r="T24" s="31">
        <v>12</v>
      </c>
      <c r="U24" s="31">
        <v>18</v>
      </c>
      <c r="V24" s="34">
        <v>1.06314028852185</v>
      </c>
      <c r="W24" s="31">
        <v>19.1365251933933</v>
      </c>
      <c r="X24" s="31">
        <v>21.48</v>
      </c>
      <c r="Y24" s="31">
        <v>1.01</v>
      </c>
      <c r="Z24" s="31">
        <v>20.47</v>
      </c>
    </row>
    <row r="25" s="10" customFormat="1" spans="1:26">
      <c r="A25" s="26" t="s">
        <v>3152</v>
      </c>
      <c r="B25" s="26" t="s">
        <v>3000</v>
      </c>
      <c r="C25" s="26" t="s">
        <v>636</v>
      </c>
      <c r="D25" s="26" t="s">
        <v>3153</v>
      </c>
      <c r="E25" s="26" t="s">
        <v>2588</v>
      </c>
      <c r="F25" s="26" t="s">
        <v>2589</v>
      </c>
      <c r="G25" s="26" t="s">
        <v>3170</v>
      </c>
      <c r="H25" s="26" t="s">
        <v>2692</v>
      </c>
      <c r="I25" s="26" t="s">
        <v>2588</v>
      </c>
      <c r="J25" s="26">
        <v>50.85</v>
      </c>
      <c r="K25" s="26" t="s">
        <v>3167</v>
      </c>
      <c r="L25" s="26" t="s">
        <v>2641</v>
      </c>
      <c r="M25" s="26" t="s">
        <v>2642</v>
      </c>
      <c r="N25" s="26">
        <v>3.99</v>
      </c>
      <c r="O25" s="30" t="s">
        <v>2642</v>
      </c>
      <c r="P25" s="31">
        <v>108</v>
      </c>
      <c r="Q25" s="31">
        <v>430.92</v>
      </c>
      <c r="R25" s="31">
        <v>3</v>
      </c>
      <c r="S25" s="31">
        <v>11.97</v>
      </c>
      <c r="T25" s="31">
        <v>105</v>
      </c>
      <c r="U25" s="31">
        <v>418.95</v>
      </c>
      <c r="V25" s="34">
        <v>1.06314028852185</v>
      </c>
      <c r="W25" s="31">
        <v>445.402623876228</v>
      </c>
      <c r="X25" s="31">
        <v>468.51</v>
      </c>
      <c r="Y25" s="31">
        <v>22.32</v>
      </c>
      <c r="Z25" s="31">
        <v>446.19</v>
      </c>
    </row>
    <row r="26" s="10" customFormat="1" spans="1:26">
      <c r="A26" s="26" t="s">
        <v>3152</v>
      </c>
      <c r="B26" s="26" t="s">
        <v>3000</v>
      </c>
      <c r="C26" s="26" t="s">
        <v>636</v>
      </c>
      <c r="D26" s="26" t="s">
        <v>3153</v>
      </c>
      <c r="E26" s="26" t="s">
        <v>2588</v>
      </c>
      <c r="F26" s="26" t="s">
        <v>2589</v>
      </c>
      <c r="G26" s="26" t="s">
        <v>3170</v>
      </c>
      <c r="H26" s="26" t="s">
        <v>2692</v>
      </c>
      <c r="I26" s="26" t="s">
        <v>2588</v>
      </c>
      <c r="J26" s="26">
        <v>50.85</v>
      </c>
      <c r="K26" s="26" t="s">
        <v>3168</v>
      </c>
      <c r="L26" s="26" t="s">
        <v>2688</v>
      </c>
      <c r="M26" s="26" t="s">
        <v>2436</v>
      </c>
      <c r="N26" s="26">
        <v>0</v>
      </c>
      <c r="O26" s="30" t="s">
        <v>2454</v>
      </c>
      <c r="P26" s="31">
        <v>108</v>
      </c>
      <c r="Q26" s="31">
        <v>0</v>
      </c>
      <c r="R26" s="31">
        <v>3</v>
      </c>
      <c r="S26" s="31">
        <v>0</v>
      </c>
      <c r="T26" s="31">
        <v>105</v>
      </c>
      <c r="U26" s="31">
        <v>0</v>
      </c>
      <c r="V26" s="34">
        <v>1.06314028852185</v>
      </c>
      <c r="W26" s="31">
        <v>0</v>
      </c>
      <c r="X26" s="31">
        <v>0</v>
      </c>
      <c r="Y26" s="31">
        <v>0</v>
      </c>
      <c r="Z26" s="31">
        <v>0</v>
      </c>
    </row>
    <row r="27" s="10" customFormat="1" spans="1:26">
      <c r="A27" s="26" t="s">
        <v>3152</v>
      </c>
      <c r="B27" s="26" t="s">
        <v>3000</v>
      </c>
      <c r="C27" s="26" t="s">
        <v>636</v>
      </c>
      <c r="D27" s="26" t="s">
        <v>3153</v>
      </c>
      <c r="E27" s="26" t="s">
        <v>2588</v>
      </c>
      <c r="F27" s="26" t="s">
        <v>2589</v>
      </c>
      <c r="G27" s="26" t="s">
        <v>3170</v>
      </c>
      <c r="H27" s="26" t="s">
        <v>2692</v>
      </c>
      <c r="I27" s="26" t="s">
        <v>2588</v>
      </c>
      <c r="J27" s="26">
        <v>50.85</v>
      </c>
      <c r="K27" s="26" t="s">
        <v>3169</v>
      </c>
      <c r="L27" s="26" t="s">
        <v>2608</v>
      </c>
      <c r="M27" s="26" t="s">
        <v>2436</v>
      </c>
      <c r="N27" s="26">
        <v>4.95</v>
      </c>
      <c r="O27" s="30" t="s">
        <v>2454</v>
      </c>
      <c r="P27" s="31">
        <v>66</v>
      </c>
      <c r="Q27" s="31">
        <v>326.7</v>
      </c>
      <c r="R27" s="31">
        <v>1</v>
      </c>
      <c r="S27" s="31">
        <v>4.95</v>
      </c>
      <c r="T27" s="31">
        <v>65</v>
      </c>
      <c r="U27" s="31">
        <v>321.75</v>
      </c>
      <c r="V27" s="34">
        <v>1.06314028852185</v>
      </c>
      <c r="W27" s="31">
        <v>342.065387831904</v>
      </c>
      <c r="X27" s="31">
        <v>358.21</v>
      </c>
      <c r="Y27" s="31">
        <v>17.1</v>
      </c>
      <c r="Z27" s="31">
        <v>341.11</v>
      </c>
    </row>
    <row r="28" s="10" customFormat="1" spans="1:26">
      <c r="A28" s="26" t="s">
        <v>3152</v>
      </c>
      <c r="B28" s="26" t="s">
        <v>3000</v>
      </c>
      <c r="C28" s="26" t="s">
        <v>636</v>
      </c>
      <c r="D28" s="26" t="s">
        <v>3153</v>
      </c>
      <c r="E28" s="26" t="s">
        <v>2588</v>
      </c>
      <c r="F28" s="26" t="s">
        <v>2589</v>
      </c>
      <c r="G28" s="26" t="s">
        <v>3171</v>
      </c>
      <c r="H28" s="26" t="s">
        <v>2693</v>
      </c>
      <c r="I28" s="26" t="s">
        <v>2588</v>
      </c>
      <c r="J28" s="26">
        <v>67.8</v>
      </c>
      <c r="K28" s="26" t="s">
        <v>2333</v>
      </c>
      <c r="L28" s="26" t="s">
        <v>2538</v>
      </c>
      <c r="M28" s="26" t="s">
        <v>2460</v>
      </c>
      <c r="N28" s="26">
        <v>0</v>
      </c>
      <c r="O28" s="30" t="s">
        <v>3001</v>
      </c>
      <c r="P28" s="31">
        <v>2</v>
      </c>
      <c r="Q28" s="31">
        <v>0</v>
      </c>
      <c r="R28" s="31">
        <v>0</v>
      </c>
      <c r="S28" s="31">
        <v>0</v>
      </c>
      <c r="T28" s="31">
        <v>2</v>
      </c>
      <c r="U28" s="31">
        <v>0</v>
      </c>
      <c r="V28" s="34">
        <v>1.07428064393459</v>
      </c>
      <c r="W28" s="31">
        <v>0</v>
      </c>
      <c r="X28" s="31">
        <v>0</v>
      </c>
      <c r="Y28" s="31">
        <v>0</v>
      </c>
      <c r="Z28" s="31">
        <v>0</v>
      </c>
    </row>
    <row r="29" s="10" customFormat="1" spans="1:26">
      <c r="A29" s="26" t="s">
        <v>3152</v>
      </c>
      <c r="B29" s="26" t="s">
        <v>3000</v>
      </c>
      <c r="C29" s="26" t="s">
        <v>636</v>
      </c>
      <c r="D29" s="26" t="s">
        <v>3153</v>
      </c>
      <c r="E29" s="26" t="s">
        <v>2588</v>
      </c>
      <c r="F29" s="26" t="s">
        <v>2589</v>
      </c>
      <c r="G29" s="26" t="s">
        <v>3171</v>
      </c>
      <c r="H29" s="26" t="s">
        <v>2693</v>
      </c>
      <c r="I29" s="26" t="s">
        <v>2588</v>
      </c>
      <c r="J29" s="26">
        <v>67.8</v>
      </c>
      <c r="K29" s="26" t="s">
        <v>2335</v>
      </c>
      <c r="L29" s="26" t="s">
        <v>2511</v>
      </c>
      <c r="M29" s="26" t="s">
        <v>2460</v>
      </c>
      <c r="N29" s="26">
        <v>7.95</v>
      </c>
      <c r="O29" s="30" t="s">
        <v>3001</v>
      </c>
      <c r="P29" s="31">
        <v>20</v>
      </c>
      <c r="Q29" s="31">
        <v>159</v>
      </c>
      <c r="R29" s="31">
        <v>1</v>
      </c>
      <c r="S29" s="31">
        <v>7.95</v>
      </c>
      <c r="T29" s="31">
        <v>19</v>
      </c>
      <c r="U29" s="31">
        <v>151.05</v>
      </c>
      <c r="V29" s="34">
        <v>1.07428064393459</v>
      </c>
      <c r="W29" s="31">
        <v>162.27009126632</v>
      </c>
      <c r="X29" s="31">
        <v>170.45</v>
      </c>
      <c r="Y29" s="31">
        <v>8.14000000000001</v>
      </c>
      <c r="Z29" s="31">
        <v>162.31</v>
      </c>
    </row>
    <row r="30" s="10" customFormat="1" spans="1:26">
      <c r="A30" s="26" t="s">
        <v>3152</v>
      </c>
      <c r="B30" s="26" t="s">
        <v>3000</v>
      </c>
      <c r="C30" s="26" t="s">
        <v>636</v>
      </c>
      <c r="D30" s="26" t="s">
        <v>3153</v>
      </c>
      <c r="E30" s="26" t="s">
        <v>2588</v>
      </c>
      <c r="F30" s="26" t="s">
        <v>2589</v>
      </c>
      <c r="G30" s="26" t="s">
        <v>3171</v>
      </c>
      <c r="H30" s="26" t="s">
        <v>2693</v>
      </c>
      <c r="I30" s="26" t="s">
        <v>2588</v>
      </c>
      <c r="J30" s="26">
        <v>67.8</v>
      </c>
      <c r="K30" s="26" t="s">
        <v>2337</v>
      </c>
      <c r="L30" s="26" t="s">
        <v>2506</v>
      </c>
      <c r="M30" s="26" t="s">
        <v>2460</v>
      </c>
      <c r="N30" s="26">
        <v>6.95</v>
      </c>
      <c r="O30" s="30" t="s">
        <v>3001</v>
      </c>
      <c r="P30" s="31">
        <v>31</v>
      </c>
      <c r="Q30" s="31">
        <v>215.45</v>
      </c>
      <c r="R30" s="31">
        <v>2</v>
      </c>
      <c r="S30" s="31">
        <v>13.9</v>
      </c>
      <c r="T30" s="31">
        <v>29</v>
      </c>
      <c r="U30" s="31">
        <v>201.55</v>
      </c>
      <c r="V30" s="34">
        <v>1.07428064393459</v>
      </c>
      <c r="W30" s="31">
        <v>216.521263785017</v>
      </c>
      <c r="X30" s="31">
        <v>225.44</v>
      </c>
      <c r="Y30" s="31">
        <v>10.72</v>
      </c>
      <c r="Z30" s="31">
        <v>214.72</v>
      </c>
    </row>
    <row r="31" s="10" customFormat="1" spans="1:26">
      <c r="A31" s="26" t="s">
        <v>3152</v>
      </c>
      <c r="B31" s="26" t="s">
        <v>3000</v>
      </c>
      <c r="C31" s="26" t="s">
        <v>636</v>
      </c>
      <c r="D31" s="26" t="s">
        <v>3153</v>
      </c>
      <c r="E31" s="26" t="s">
        <v>2588</v>
      </c>
      <c r="F31" s="26" t="s">
        <v>2589</v>
      </c>
      <c r="G31" s="26" t="s">
        <v>3171</v>
      </c>
      <c r="H31" s="26" t="s">
        <v>2693</v>
      </c>
      <c r="I31" s="26" t="s">
        <v>2588</v>
      </c>
      <c r="J31" s="26">
        <v>67.8</v>
      </c>
      <c r="K31" s="26" t="s">
        <v>2339</v>
      </c>
      <c r="L31" s="26" t="s">
        <v>2340</v>
      </c>
      <c r="M31" s="26" t="s">
        <v>2460</v>
      </c>
      <c r="N31" s="26">
        <v>6.95</v>
      </c>
      <c r="O31" s="30" t="s">
        <v>3001</v>
      </c>
      <c r="P31" s="31">
        <v>23</v>
      </c>
      <c r="Q31" s="31">
        <v>159.85</v>
      </c>
      <c r="R31" s="31">
        <v>2</v>
      </c>
      <c r="S31" s="31">
        <v>13.9</v>
      </c>
      <c r="T31" s="31">
        <v>21</v>
      </c>
      <c r="U31" s="31">
        <v>145.95</v>
      </c>
      <c r="V31" s="34">
        <v>1.07428064393459</v>
      </c>
      <c r="W31" s="31">
        <v>156.791259982254</v>
      </c>
      <c r="X31" s="31">
        <v>166.27</v>
      </c>
      <c r="Y31" s="31">
        <v>7.91999999999998</v>
      </c>
      <c r="Z31" s="31">
        <v>158.35</v>
      </c>
    </row>
    <row r="32" s="10" customFormat="1" spans="1:26">
      <c r="A32" s="26" t="s">
        <v>3152</v>
      </c>
      <c r="B32" s="26" t="s">
        <v>3000</v>
      </c>
      <c r="C32" s="26" t="s">
        <v>636</v>
      </c>
      <c r="D32" s="26" t="s">
        <v>3153</v>
      </c>
      <c r="E32" s="26" t="s">
        <v>2588</v>
      </c>
      <c r="F32" s="26" t="s">
        <v>2589</v>
      </c>
      <c r="G32" s="26" t="s">
        <v>3171</v>
      </c>
      <c r="H32" s="26" t="s">
        <v>2693</v>
      </c>
      <c r="I32" s="26" t="s">
        <v>2588</v>
      </c>
      <c r="J32" s="26">
        <v>67.8</v>
      </c>
      <c r="K32" s="26" t="s">
        <v>2343</v>
      </c>
      <c r="L32" s="26" t="s">
        <v>2344</v>
      </c>
      <c r="M32" s="26" t="s">
        <v>2460</v>
      </c>
      <c r="N32" s="26">
        <v>6.95</v>
      </c>
      <c r="O32" s="30" t="s">
        <v>3001</v>
      </c>
      <c r="P32" s="31">
        <v>32</v>
      </c>
      <c r="Q32" s="31">
        <v>222.4</v>
      </c>
      <c r="R32" s="31">
        <v>3</v>
      </c>
      <c r="S32" s="31">
        <v>20.85</v>
      </c>
      <c r="T32" s="31">
        <v>29</v>
      </c>
      <c r="U32" s="31">
        <v>201.55</v>
      </c>
      <c r="V32" s="34">
        <v>1.07428064393459</v>
      </c>
      <c r="W32" s="31">
        <v>216.521263785017</v>
      </c>
      <c r="X32" s="31">
        <v>228.9</v>
      </c>
      <c r="Y32" s="31">
        <v>10.9</v>
      </c>
      <c r="Z32" s="31">
        <v>218</v>
      </c>
    </row>
    <row r="33" s="10" customFormat="1" spans="1:26">
      <c r="A33" s="26" t="s">
        <v>3152</v>
      </c>
      <c r="B33" s="26" t="s">
        <v>3000</v>
      </c>
      <c r="C33" s="26" t="s">
        <v>636</v>
      </c>
      <c r="D33" s="26" t="s">
        <v>3153</v>
      </c>
      <c r="E33" s="26" t="s">
        <v>2588</v>
      </c>
      <c r="F33" s="26" t="s">
        <v>2589</v>
      </c>
      <c r="G33" s="26" t="s">
        <v>3171</v>
      </c>
      <c r="H33" s="26" t="s">
        <v>2693</v>
      </c>
      <c r="I33" s="26" t="s">
        <v>2588</v>
      </c>
      <c r="J33" s="26">
        <v>67.8</v>
      </c>
      <c r="K33" s="26" t="s">
        <v>3164</v>
      </c>
      <c r="L33" s="26" t="s">
        <v>2586</v>
      </c>
      <c r="M33" s="26" t="s">
        <v>2436</v>
      </c>
      <c r="N33" s="26">
        <v>5.95</v>
      </c>
      <c r="O33" s="30" t="s">
        <v>2454</v>
      </c>
      <c r="P33" s="31">
        <v>35</v>
      </c>
      <c r="Q33" s="31">
        <v>208.25</v>
      </c>
      <c r="R33" s="31">
        <v>3</v>
      </c>
      <c r="S33" s="31">
        <v>17.85</v>
      </c>
      <c r="T33" s="31">
        <v>32</v>
      </c>
      <c r="U33" s="31">
        <v>190.4</v>
      </c>
      <c r="V33" s="34">
        <v>1.07428064393459</v>
      </c>
      <c r="W33" s="31">
        <v>204.543034605146</v>
      </c>
      <c r="X33" s="31">
        <v>211.14</v>
      </c>
      <c r="Y33" s="31">
        <v>10.08</v>
      </c>
      <c r="Z33" s="31">
        <v>201.06</v>
      </c>
    </row>
    <row r="34" s="10" customFormat="1" spans="1:26">
      <c r="A34" s="26" t="s">
        <v>3152</v>
      </c>
      <c r="B34" s="26" t="s">
        <v>3000</v>
      </c>
      <c r="C34" s="26" t="s">
        <v>636</v>
      </c>
      <c r="D34" s="26" t="s">
        <v>3153</v>
      </c>
      <c r="E34" s="26" t="s">
        <v>2588</v>
      </c>
      <c r="F34" s="26" t="s">
        <v>2589</v>
      </c>
      <c r="G34" s="26" t="s">
        <v>3171</v>
      </c>
      <c r="H34" s="26" t="s">
        <v>2693</v>
      </c>
      <c r="I34" s="26" t="s">
        <v>2588</v>
      </c>
      <c r="J34" s="26">
        <v>67.8</v>
      </c>
      <c r="K34" s="26" t="s">
        <v>3165</v>
      </c>
      <c r="L34" s="26" t="s">
        <v>2443</v>
      </c>
      <c r="M34" s="26" t="s">
        <v>2436</v>
      </c>
      <c r="N34" s="26">
        <v>1.5</v>
      </c>
      <c r="O34" s="30" t="s">
        <v>3166</v>
      </c>
      <c r="P34" s="31">
        <v>15</v>
      </c>
      <c r="Q34" s="31">
        <v>22.5</v>
      </c>
      <c r="R34" s="31">
        <v>1</v>
      </c>
      <c r="S34" s="31">
        <v>1.5</v>
      </c>
      <c r="T34" s="31">
        <v>14</v>
      </c>
      <c r="U34" s="31">
        <v>21</v>
      </c>
      <c r="V34" s="34">
        <v>1.07428064393459</v>
      </c>
      <c r="W34" s="31">
        <v>22.5598935226264</v>
      </c>
      <c r="X34" s="31">
        <v>25.13</v>
      </c>
      <c r="Y34" s="31">
        <v>1.19</v>
      </c>
      <c r="Z34" s="31">
        <v>23.94</v>
      </c>
    </row>
    <row r="35" s="10" customFormat="1" spans="1:26">
      <c r="A35" s="26" t="s">
        <v>3152</v>
      </c>
      <c r="B35" s="26" t="s">
        <v>3000</v>
      </c>
      <c r="C35" s="26" t="s">
        <v>636</v>
      </c>
      <c r="D35" s="26" t="s">
        <v>3153</v>
      </c>
      <c r="E35" s="26" t="s">
        <v>2588</v>
      </c>
      <c r="F35" s="26" t="s">
        <v>2589</v>
      </c>
      <c r="G35" s="26" t="s">
        <v>3171</v>
      </c>
      <c r="H35" s="26" t="s">
        <v>2693</v>
      </c>
      <c r="I35" s="26" t="s">
        <v>2588</v>
      </c>
      <c r="J35" s="26">
        <v>67.8</v>
      </c>
      <c r="K35" s="26" t="s">
        <v>3167</v>
      </c>
      <c r="L35" s="26" t="s">
        <v>2641</v>
      </c>
      <c r="M35" s="26" t="s">
        <v>2642</v>
      </c>
      <c r="N35" s="26">
        <v>3.99</v>
      </c>
      <c r="O35" s="30" t="s">
        <v>2642</v>
      </c>
      <c r="P35" s="31">
        <v>108</v>
      </c>
      <c r="Q35" s="31">
        <v>430.92</v>
      </c>
      <c r="R35" s="31">
        <v>8</v>
      </c>
      <c r="S35" s="31">
        <v>31.92</v>
      </c>
      <c r="T35" s="31">
        <v>100</v>
      </c>
      <c r="U35" s="31">
        <v>399</v>
      </c>
      <c r="V35" s="34">
        <v>1.07428064393459</v>
      </c>
      <c r="W35" s="31">
        <v>428.637976929902</v>
      </c>
      <c r="X35" s="31">
        <v>451.28</v>
      </c>
      <c r="Y35" s="31">
        <v>21.4299999999999</v>
      </c>
      <c r="Z35" s="31">
        <v>429.85</v>
      </c>
    </row>
    <row r="36" s="10" customFormat="1" spans="1:26">
      <c r="A36" s="26" t="s">
        <v>3152</v>
      </c>
      <c r="B36" s="26" t="s">
        <v>3000</v>
      </c>
      <c r="C36" s="26" t="s">
        <v>636</v>
      </c>
      <c r="D36" s="26" t="s">
        <v>3153</v>
      </c>
      <c r="E36" s="26" t="s">
        <v>2588</v>
      </c>
      <c r="F36" s="26" t="s">
        <v>2589</v>
      </c>
      <c r="G36" s="26" t="s">
        <v>3171</v>
      </c>
      <c r="H36" s="26" t="s">
        <v>2693</v>
      </c>
      <c r="I36" s="26" t="s">
        <v>2588</v>
      </c>
      <c r="J36" s="26">
        <v>67.8</v>
      </c>
      <c r="K36" s="26" t="s">
        <v>3168</v>
      </c>
      <c r="L36" s="26" t="s">
        <v>2688</v>
      </c>
      <c r="M36" s="26" t="s">
        <v>2436</v>
      </c>
      <c r="N36" s="26">
        <v>0</v>
      </c>
      <c r="O36" s="30" t="s">
        <v>2454</v>
      </c>
      <c r="P36" s="31">
        <v>108</v>
      </c>
      <c r="Q36" s="31">
        <v>0</v>
      </c>
      <c r="R36" s="31">
        <v>8</v>
      </c>
      <c r="S36" s="31">
        <v>0</v>
      </c>
      <c r="T36" s="31">
        <v>100</v>
      </c>
      <c r="U36" s="31">
        <v>0</v>
      </c>
      <c r="V36" s="34">
        <v>1.07428064393459</v>
      </c>
      <c r="W36" s="31">
        <v>0</v>
      </c>
      <c r="X36" s="31">
        <v>0</v>
      </c>
      <c r="Y36" s="31">
        <v>0</v>
      </c>
      <c r="Z36" s="31">
        <v>0</v>
      </c>
    </row>
    <row r="37" s="10" customFormat="1" spans="1:26">
      <c r="A37" s="26" t="s">
        <v>3152</v>
      </c>
      <c r="B37" s="26" t="s">
        <v>3000</v>
      </c>
      <c r="C37" s="26" t="s">
        <v>636</v>
      </c>
      <c r="D37" s="26" t="s">
        <v>3153</v>
      </c>
      <c r="E37" s="26" t="s">
        <v>2588</v>
      </c>
      <c r="F37" s="26" t="s">
        <v>2589</v>
      </c>
      <c r="G37" s="26" t="s">
        <v>3171</v>
      </c>
      <c r="H37" s="26" t="s">
        <v>2693</v>
      </c>
      <c r="I37" s="26" t="s">
        <v>2588</v>
      </c>
      <c r="J37" s="26">
        <v>67.8</v>
      </c>
      <c r="K37" s="26" t="s">
        <v>3169</v>
      </c>
      <c r="L37" s="26" t="s">
        <v>2608</v>
      </c>
      <c r="M37" s="26" t="s">
        <v>2436</v>
      </c>
      <c r="N37" s="26">
        <v>4.95</v>
      </c>
      <c r="O37" s="30" t="s">
        <v>2454</v>
      </c>
      <c r="P37" s="31">
        <v>58</v>
      </c>
      <c r="Q37" s="31">
        <v>287.1</v>
      </c>
      <c r="R37" s="31">
        <v>4</v>
      </c>
      <c r="S37" s="31">
        <v>19.8</v>
      </c>
      <c r="T37" s="31">
        <v>54</v>
      </c>
      <c r="U37" s="31">
        <v>267.3</v>
      </c>
      <c r="V37" s="34">
        <v>1.07428064393459</v>
      </c>
      <c r="W37" s="31">
        <v>287.155216123716</v>
      </c>
      <c r="X37" s="31">
        <v>301.08</v>
      </c>
      <c r="Y37" s="31">
        <v>14.31</v>
      </c>
      <c r="Z37" s="31">
        <v>286.77</v>
      </c>
    </row>
    <row r="38" s="10" customFormat="1" spans="1:26">
      <c r="A38" s="26" t="s">
        <v>3152</v>
      </c>
      <c r="B38" s="26" t="s">
        <v>3000</v>
      </c>
      <c r="C38" s="26" t="s">
        <v>636</v>
      </c>
      <c r="D38" s="26" t="s">
        <v>3153</v>
      </c>
      <c r="E38" s="26" t="s">
        <v>2588</v>
      </c>
      <c r="F38" s="26" t="s">
        <v>2589</v>
      </c>
      <c r="G38" s="26" t="s">
        <v>3172</v>
      </c>
      <c r="H38" s="26" t="s">
        <v>2650</v>
      </c>
      <c r="I38" s="26" t="s">
        <v>2588</v>
      </c>
      <c r="J38" s="26">
        <v>16.95</v>
      </c>
      <c r="K38" s="26" t="s">
        <v>2335</v>
      </c>
      <c r="L38" s="26" t="s">
        <v>2511</v>
      </c>
      <c r="M38" s="26" t="s">
        <v>3173</v>
      </c>
      <c r="N38" s="26">
        <v>7.95</v>
      </c>
      <c r="O38" s="30" t="s">
        <v>3001</v>
      </c>
      <c r="P38" s="31">
        <v>213</v>
      </c>
      <c r="Q38" s="31">
        <v>1693.35</v>
      </c>
      <c r="R38" s="31">
        <v>12</v>
      </c>
      <c r="S38" s="31">
        <v>95.4</v>
      </c>
      <c r="T38" s="31">
        <v>201</v>
      </c>
      <c r="U38" s="31">
        <v>1597.95</v>
      </c>
      <c r="V38" s="34">
        <v>1.0748413989057</v>
      </c>
      <c r="W38" s="31">
        <v>1717.54281338136</v>
      </c>
      <c r="X38" s="31">
        <v>1747.34</v>
      </c>
      <c r="Y38" s="31">
        <v>83.3300000000001</v>
      </c>
      <c r="Z38" s="31">
        <v>1664.01</v>
      </c>
    </row>
    <row r="39" s="10" customFormat="1" spans="1:26">
      <c r="A39" s="26" t="s">
        <v>3152</v>
      </c>
      <c r="B39" s="26" t="s">
        <v>3000</v>
      </c>
      <c r="C39" s="26" t="s">
        <v>636</v>
      </c>
      <c r="D39" s="26" t="s">
        <v>3153</v>
      </c>
      <c r="E39" s="26" t="s">
        <v>2588</v>
      </c>
      <c r="F39" s="26" t="s">
        <v>2589</v>
      </c>
      <c r="G39" s="26" t="s">
        <v>3172</v>
      </c>
      <c r="H39" s="26" t="s">
        <v>2650</v>
      </c>
      <c r="I39" s="26" t="s">
        <v>2588</v>
      </c>
      <c r="J39" s="26">
        <v>16.95</v>
      </c>
      <c r="K39" s="26" t="s">
        <v>2337</v>
      </c>
      <c r="L39" s="26" t="s">
        <v>2506</v>
      </c>
      <c r="M39" s="26" t="s">
        <v>3173</v>
      </c>
      <c r="N39" s="26">
        <v>6.95</v>
      </c>
      <c r="O39" s="30" t="s">
        <v>3001</v>
      </c>
      <c r="P39" s="31">
        <v>331</v>
      </c>
      <c r="Q39" s="31">
        <v>2300.45</v>
      </c>
      <c r="R39" s="31">
        <v>10</v>
      </c>
      <c r="S39" s="31">
        <v>69.5</v>
      </c>
      <c r="T39" s="31">
        <v>321</v>
      </c>
      <c r="U39" s="31">
        <v>2230.95</v>
      </c>
      <c r="V39" s="34">
        <v>1.0748413989057</v>
      </c>
      <c r="W39" s="31">
        <v>2397.91741888867</v>
      </c>
      <c r="X39" s="31">
        <v>2577.68</v>
      </c>
      <c r="Y39" s="31">
        <v>122.630000000001</v>
      </c>
      <c r="Z39" s="31">
        <v>2455.05</v>
      </c>
    </row>
    <row r="40" s="10" customFormat="1" spans="1:26">
      <c r="A40" s="26" t="s">
        <v>3152</v>
      </c>
      <c r="B40" s="26" t="s">
        <v>3000</v>
      </c>
      <c r="C40" s="26" t="s">
        <v>636</v>
      </c>
      <c r="D40" s="26" t="s">
        <v>3153</v>
      </c>
      <c r="E40" s="26" t="s">
        <v>2588</v>
      </c>
      <c r="F40" s="26" t="s">
        <v>2589</v>
      </c>
      <c r="G40" s="26" t="s">
        <v>3172</v>
      </c>
      <c r="H40" s="26" t="s">
        <v>2650</v>
      </c>
      <c r="I40" s="26" t="s">
        <v>2588</v>
      </c>
      <c r="J40" s="26">
        <v>16.95</v>
      </c>
      <c r="K40" s="26" t="s">
        <v>2339</v>
      </c>
      <c r="L40" s="26" t="s">
        <v>2340</v>
      </c>
      <c r="M40" s="26" t="s">
        <v>3173</v>
      </c>
      <c r="N40" s="26">
        <v>6.95</v>
      </c>
      <c r="O40" s="30" t="s">
        <v>3001</v>
      </c>
      <c r="P40" s="31">
        <v>105</v>
      </c>
      <c r="Q40" s="31">
        <v>729.75</v>
      </c>
      <c r="R40" s="31">
        <v>1</v>
      </c>
      <c r="S40" s="31">
        <v>6.95</v>
      </c>
      <c r="T40" s="31">
        <v>104</v>
      </c>
      <c r="U40" s="31">
        <v>722.8</v>
      </c>
      <c r="V40" s="34">
        <v>1.0748413989057</v>
      </c>
      <c r="W40" s="31">
        <v>776.89536312904</v>
      </c>
      <c r="X40" s="31">
        <v>842.8</v>
      </c>
      <c r="Y40" s="31">
        <v>40.1299999999999</v>
      </c>
      <c r="Z40" s="31">
        <v>802.67</v>
      </c>
    </row>
    <row r="41" s="10" customFormat="1" spans="1:26">
      <c r="A41" s="26" t="s">
        <v>3152</v>
      </c>
      <c r="B41" s="26" t="s">
        <v>3000</v>
      </c>
      <c r="C41" s="26" t="s">
        <v>636</v>
      </c>
      <c r="D41" s="26" t="s">
        <v>3153</v>
      </c>
      <c r="E41" s="26" t="s">
        <v>2588</v>
      </c>
      <c r="F41" s="26" t="s">
        <v>2589</v>
      </c>
      <c r="G41" s="26" t="s">
        <v>3172</v>
      </c>
      <c r="H41" s="26" t="s">
        <v>2650</v>
      </c>
      <c r="I41" s="26" t="s">
        <v>2588</v>
      </c>
      <c r="J41" s="26">
        <v>16.95</v>
      </c>
      <c r="K41" s="26" t="s">
        <v>2343</v>
      </c>
      <c r="L41" s="26" t="s">
        <v>2344</v>
      </c>
      <c r="M41" s="26" t="s">
        <v>3173</v>
      </c>
      <c r="N41" s="26">
        <v>6.95</v>
      </c>
      <c r="O41" s="30" t="s">
        <v>3001</v>
      </c>
      <c r="P41" s="31">
        <v>272</v>
      </c>
      <c r="Q41" s="31">
        <v>1890.4</v>
      </c>
      <c r="R41" s="31">
        <v>3</v>
      </c>
      <c r="S41" s="31">
        <v>20.85</v>
      </c>
      <c r="T41" s="31">
        <v>269</v>
      </c>
      <c r="U41" s="31">
        <v>1869.55</v>
      </c>
      <c r="V41" s="34">
        <v>1.0748413989057</v>
      </c>
      <c r="W41" s="31">
        <v>2009.46973732415</v>
      </c>
      <c r="X41" s="31">
        <v>2141.13</v>
      </c>
      <c r="Y41" s="31">
        <v>101.91</v>
      </c>
      <c r="Z41" s="31">
        <v>2039.22</v>
      </c>
    </row>
    <row r="42" s="10" customFormat="1" spans="1:26">
      <c r="A42" s="26" t="s">
        <v>3152</v>
      </c>
      <c r="B42" s="26" t="s">
        <v>3000</v>
      </c>
      <c r="C42" s="26" t="s">
        <v>636</v>
      </c>
      <c r="D42" s="26" t="s">
        <v>3153</v>
      </c>
      <c r="E42" s="26" t="s">
        <v>2588</v>
      </c>
      <c r="F42" s="26" t="s">
        <v>2589</v>
      </c>
      <c r="G42" s="26" t="s">
        <v>3172</v>
      </c>
      <c r="H42" s="26" t="s">
        <v>2650</v>
      </c>
      <c r="I42" s="26" t="s">
        <v>2588</v>
      </c>
      <c r="J42" s="26">
        <v>16.95</v>
      </c>
      <c r="K42" s="26" t="s">
        <v>3164</v>
      </c>
      <c r="L42" s="26" t="s">
        <v>2586</v>
      </c>
      <c r="M42" s="26" t="s">
        <v>2436</v>
      </c>
      <c r="N42" s="26">
        <v>5.95</v>
      </c>
      <c r="O42" s="30" t="s">
        <v>2454</v>
      </c>
      <c r="P42" s="31">
        <v>211</v>
      </c>
      <c r="Q42" s="31">
        <v>1255.45</v>
      </c>
      <c r="R42" s="31">
        <v>7</v>
      </c>
      <c r="S42" s="31">
        <v>41.65</v>
      </c>
      <c r="T42" s="31">
        <v>204</v>
      </c>
      <c r="U42" s="31">
        <v>1213.8</v>
      </c>
      <c r="V42" s="34">
        <v>1.0748413989057</v>
      </c>
      <c r="W42" s="31">
        <v>1304.64248999174</v>
      </c>
      <c r="X42" s="31">
        <v>1262.04</v>
      </c>
      <c r="Y42" s="31">
        <v>60.2599999999999</v>
      </c>
      <c r="Z42" s="31">
        <v>1201.78</v>
      </c>
    </row>
    <row r="43" s="10" customFormat="1" spans="1:26">
      <c r="A43" s="26" t="s">
        <v>3152</v>
      </c>
      <c r="B43" s="26" t="s">
        <v>3000</v>
      </c>
      <c r="C43" s="26" t="s">
        <v>636</v>
      </c>
      <c r="D43" s="26" t="s">
        <v>3153</v>
      </c>
      <c r="E43" s="26" t="s">
        <v>2588</v>
      </c>
      <c r="F43" s="26" t="s">
        <v>2589</v>
      </c>
      <c r="G43" s="26" t="s">
        <v>3172</v>
      </c>
      <c r="H43" s="26" t="s">
        <v>2650</v>
      </c>
      <c r="I43" s="26" t="s">
        <v>2588</v>
      </c>
      <c r="J43" s="26">
        <v>16.95</v>
      </c>
      <c r="K43" s="26" t="s">
        <v>3165</v>
      </c>
      <c r="L43" s="26" t="s">
        <v>2443</v>
      </c>
      <c r="M43" s="26" t="s">
        <v>2436</v>
      </c>
      <c r="N43" s="26">
        <v>1.5</v>
      </c>
      <c r="O43" s="30" t="s">
        <v>3166</v>
      </c>
      <c r="P43" s="31">
        <v>158</v>
      </c>
      <c r="Q43" s="31">
        <v>237</v>
      </c>
      <c r="R43" s="31">
        <v>9</v>
      </c>
      <c r="S43" s="31">
        <v>13.5</v>
      </c>
      <c r="T43" s="31">
        <v>149</v>
      </c>
      <c r="U43" s="31">
        <v>223.5</v>
      </c>
      <c r="V43" s="34">
        <v>1.0748413989057</v>
      </c>
      <c r="W43" s="31">
        <v>240.227052655424</v>
      </c>
      <c r="X43" s="31">
        <v>312.62</v>
      </c>
      <c r="Y43" s="31">
        <v>14.5100000000001</v>
      </c>
      <c r="Z43" s="31">
        <v>298.11</v>
      </c>
    </row>
    <row r="44" s="10" customFormat="1" spans="1:26">
      <c r="A44" s="26" t="s">
        <v>3152</v>
      </c>
      <c r="B44" s="26" t="s">
        <v>3000</v>
      </c>
      <c r="C44" s="26" t="s">
        <v>636</v>
      </c>
      <c r="D44" s="26" t="s">
        <v>3153</v>
      </c>
      <c r="E44" s="26" t="s">
        <v>2588</v>
      </c>
      <c r="F44" s="26" t="s">
        <v>2589</v>
      </c>
      <c r="G44" s="26" t="s">
        <v>3172</v>
      </c>
      <c r="H44" s="26" t="s">
        <v>2650</v>
      </c>
      <c r="I44" s="26" t="s">
        <v>2588</v>
      </c>
      <c r="J44" s="26">
        <v>16.95</v>
      </c>
      <c r="K44" s="26" t="s">
        <v>3167</v>
      </c>
      <c r="L44" s="26" t="s">
        <v>2641</v>
      </c>
      <c r="M44" s="26" t="s">
        <v>2642</v>
      </c>
      <c r="N44" s="26">
        <v>3.99</v>
      </c>
      <c r="O44" s="30" t="s">
        <v>2642</v>
      </c>
      <c r="P44" s="31">
        <v>936</v>
      </c>
      <c r="Q44" s="31">
        <v>3734.64</v>
      </c>
      <c r="R44" s="31">
        <v>29</v>
      </c>
      <c r="S44" s="31">
        <v>115.71</v>
      </c>
      <c r="T44" s="31">
        <v>907</v>
      </c>
      <c r="U44" s="31">
        <v>3618.93</v>
      </c>
      <c r="V44" s="34">
        <v>1.0748413989057</v>
      </c>
      <c r="W44" s="31">
        <v>3889.77578374181</v>
      </c>
      <c r="X44" s="31">
        <v>4115.08</v>
      </c>
      <c r="Y44" s="31">
        <v>194.759999999997</v>
      </c>
      <c r="Z44" s="31">
        <v>3920.32</v>
      </c>
    </row>
    <row r="45" s="10" customFormat="1" spans="1:26">
      <c r="A45" s="26" t="s">
        <v>3152</v>
      </c>
      <c r="B45" s="26" t="s">
        <v>3000</v>
      </c>
      <c r="C45" s="26" t="s">
        <v>636</v>
      </c>
      <c r="D45" s="26" t="s">
        <v>3153</v>
      </c>
      <c r="E45" s="26" t="s">
        <v>2588</v>
      </c>
      <c r="F45" s="26" t="s">
        <v>2589</v>
      </c>
      <c r="G45" s="26" t="s">
        <v>3172</v>
      </c>
      <c r="H45" s="26" t="s">
        <v>2650</v>
      </c>
      <c r="I45" s="26" t="s">
        <v>2588</v>
      </c>
      <c r="J45" s="26">
        <v>16.95</v>
      </c>
      <c r="K45" s="26" t="s">
        <v>3168</v>
      </c>
      <c r="L45" s="26" t="s">
        <v>2688</v>
      </c>
      <c r="M45" s="26" t="s">
        <v>2436</v>
      </c>
      <c r="N45" s="26">
        <v>0</v>
      </c>
      <c r="O45" s="30" t="s">
        <v>2454</v>
      </c>
      <c r="P45" s="31">
        <v>936</v>
      </c>
      <c r="Q45" s="31">
        <v>0</v>
      </c>
      <c r="R45" s="31">
        <v>29</v>
      </c>
      <c r="S45" s="31">
        <v>0</v>
      </c>
      <c r="T45" s="31">
        <v>907</v>
      </c>
      <c r="U45" s="31">
        <v>0</v>
      </c>
      <c r="V45" s="34">
        <v>1.0748413989057</v>
      </c>
      <c r="W45" s="31">
        <v>0</v>
      </c>
      <c r="X45" s="31">
        <v>0</v>
      </c>
      <c r="Y45" s="31">
        <v>0</v>
      </c>
      <c r="Z45" s="31">
        <v>0</v>
      </c>
    </row>
    <row r="46" s="10" customFormat="1" spans="1:26">
      <c r="A46" s="26" t="s">
        <v>3152</v>
      </c>
      <c r="B46" s="26" t="s">
        <v>3000</v>
      </c>
      <c r="C46" s="26" t="s">
        <v>636</v>
      </c>
      <c r="D46" s="26" t="s">
        <v>3153</v>
      </c>
      <c r="E46" s="26" t="s">
        <v>2588</v>
      </c>
      <c r="F46" s="26" t="s">
        <v>2589</v>
      </c>
      <c r="G46" s="26" t="s">
        <v>3172</v>
      </c>
      <c r="H46" s="26" t="s">
        <v>2650</v>
      </c>
      <c r="I46" s="26" t="s">
        <v>2588</v>
      </c>
      <c r="J46" s="26">
        <v>16.95</v>
      </c>
      <c r="K46" s="26" t="s">
        <v>3174</v>
      </c>
      <c r="L46" s="26" t="s">
        <v>2462</v>
      </c>
      <c r="M46" s="26" t="s">
        <v>3173</v>
      </c>
      <c r="N46" s="26">
        <v>6.95</v>
      </c>
      <c r="O46" s="30" t="s">
        <v>3001</v>
      </c>
      <c r="P46" s="31">
        <v>15</v>
      </c>
      <c r="Q46" s="31">
        <v>104.25</v>
      </c>
      <c r="R46" s="31">
        <v>3</v>
      </c>
      <c r="S46" s="31">
        <v>20.85</v>
      </c>
      <c r="T46" s="31">
        <v>12</v>
      </c>
      <c r="U46" s="31">
        <v>83.4</v>
      </c>
      <c r="V46" s="34">
        <v>1.0748413989057</v>
      </c>
      <c r="W46" s="31">
        <v>89.6417726687353</v>
      </c>
      <c r="X46" s="31">
        <v>95.96</v>
      </c>
      <c r="Y46" s="31">
        <v>4.56</v>
      </c>
      <c r="Z46" s="31">
        <v>91.4</v>
      </c>
    </row>
    <row r="47" s="10" customFormat="1" spans="1:26">
      <c r="A47" s="26" t="s">
        <v>3152</v>
      </c>
      <c r="B47" s="26" t="s">
        <v>3000</v>
      </c>
      <c r="C47" s="26" t="s">
        <v>636</v>
      </c>
      <c r="D47" s="26" t="s">
        <v>3153</v>
      </c>
      <c r="E47" s="26" t="s">
        <v>2588</v>
      </c>
      <c r="F47" s="26" t="s">
        <v>2589</v>
      </c>
      <c r="G47" s="26" t="s">
        <v>3172</v>
      </c>
      <c r="H47" s="26" t="s">
        <v>2650</v>
      </c>
      <c r="I47" s="26" t="s">
        <v>2588</v>
      </c>
      <c r="J47" s="26">
        <v>16.95</v>
      </c>
      <c r="K47" s="26" t="s">
        <v>3169</v>
      </c>
      <c r="L47" s="26" t="s">
        <v>2608</v>
      </c>
      <c r="M47" s="26" t="s">
        <v>2436</v>
      </c>
      <c r="N47" s="26">
        <v>4.95</v>
      </c>
      <c r="O47" s="30" t="s">
        <v>2454</v>
      </c>
      <c r="P47" s="31">
        <v>567</v>
      </c>
      <c r="Q47" s="31">
        <v>2806.65</v>
      </c>
      <c r="R47" s="31">
        <v>13</v>
      </c>
      <c r="S47" s="31">
        <v>64.35</v>
      </c>
      <c r="T47" s="31">
        <v>554</v>
      </c>
      <c r="U47" s="31">
        <v>2742.3</v>
      </c>
      <c r="V47" s="34">
        <v>1.0748413989057</v>
      </c>
      <c r="W47" s="31">
        <v>2947.5375682191</v>
      </c>
      <c r="X47" s="31">
        <v>3025.39</v>
      </c>
      <c r="Y47" s="31">
        <v>142.620000000001</v>
      </c>
      <c r="Z47" s="31">
        <v>2882.77</v>
      </c>
    </row>
    <row r="48" s="10" customFormat="1" spans="1:26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32"/>
      <c r="P48" s="33"/>
      <c r="Q48" s="33"/>
      <c r="R48" s="33"/>
      <c r="S48" s="33"/>
      <c r="T48" s="33"/>
      <c r="U48" s="33"/>
      <c r="V48" s="36"/>
      <c r="W48" s="33"/>
      <c r="X48" s="33"/>
      <c r="Y48" s="33"/>
      <c r="Z48" s="33"/>
    </row>
    <row r="49" s="10" customFormat="1" spans="1:26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32"/>
      <c r="P49" s="33"/>
      <c r="Q49" s="33"/>
      <c r="R49" s="33"/>
      <c r="S49" s="33"/>
      <c r="T49" s="33"/>
      <c r="U49" s="33"/>
      <c r="V49" s="36"/>
      <c r="W49" s="33"/>
      <c r="X49" s="33"/>
      <c r="Y49" s="33"/>
      <c r="Z49" s="33"/>
    </row>
    <row r="50" s="10" customFormat="1" spans="1:26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32"/>
      <c r="P50" s="33"/>
      <c r="Q50" s="33"/>
      <c r="R50" s="33"/>
      <c r="S50" s="33"/>
      <c r="T50" s="33"/>
      <c r="U50" s="33"/>
      <c r="V50" s="36"/>
      <c r="W50" s="33"/>
      <c r="X50" s="33"/>
      <c r="Y50" s="33"/>
      <c r="Z50" s="33"/>
    </row>
    <row r="51" s="10" customFormat="1" spans="1:26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32"/>
      <c r="P51" s="33"/>
      <c r="Q51" s="33"/>
      <c r="R51" s="33"/>
      <c r="S51" s="33"/>
      <c r="T51" s="33"/>
      <c r="U51" s="33"/>
      <c r="V51" s="36"/>
      <c r="W51" s="33"/>
      <c r="X51" s="33"/>
      <c r="Y51" s="33"/>
      <c r="Z51" s="33"/>
    </row>
    <row r="52" s="10" customFormat="1" spans="1:26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32"/>
      <c r="P52" s="33"/>
      <c r="Q52" s="33"/>
      <c r="R52" s="33"/>
      <c r="S52" s="33"/>
      <c r="T52" s="33"/>
      <c r="U52" s="33"/>
      <c r="V52" s="36"/>
      <c r="W52" s="33"/>
      <c r="X52" s="33"/>
      <c r="Y52" s="33"/>
      <c r="Z52" s="33"/>
    </row>
    <row r="53" s="10" customFormat="1" spans="1:26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32"/>
      <c r="P53" s="33"/>
      <c r="Q53" s="33"/>
      <c r="R53" s="33"/>
      <c r="S53" s="33"/>
      <c r="T53" s="33"/>
      <c r="U53" s="33"/>
      <c r="V53" s="36"/>
      <c r="W53" s="33"/>
      <c r="X53" s="33"/>
      <c r="Y53" s="33"/>
      <c r="Z53" s="33"/>
    </row>
    <row r="54" s="10" customFormat="1" spans="1:26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32"/>
      <c r="P54" s="33"/>
      <c r="Q54" s="33"/>
      <c r="R54" s="33"/>
      <c r="S54" s="33"/>
      <c r="T54" s="33"/>
      <c r="U54" s="33"/>
      <c r="V54" s="36"/>
      <c r="W54" s="33"/>
      <c r="X54" s="33"/>
      <c r="Y54" s="33"/>
      <c r="Z54" s="33"/>
    </row>
    <row r="55" s="10" customFormat="1" spans="1:26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32"/>
      <c r="P55" s="33"/>
      <c r="Q55" s="33"/>
      <c r="R55" s="33"/>
      <c r="S55" s="33"/>
      <c r="T55" s="33"/>
      <c r="U55" s="33"/>
      <c r="V55" s="36"/>
      <c r="W55" s="33"/>
      <c r="X55" s="33"/>
      <c r="Y55" s="33"/>
      <c r="Z55" s="33"/>
    </row>
    <row r="56" s="10" customFormat="1" spans="1:2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32"/>
      <c r="P56" s="33"/>
      <c r="Q56" s="33"/>
      <c r="R56" s="33"/>
      <c r="S56" s="33"/>
      <c r="T56" s="33"/>
      <c r="U56" s="33"/>
      <c r="V56" s="36"/>
      <c r="W56" s="33"/>
      <c r="X56" s="33"/>
      <c r="Y56" s="33"/>
      <c r="Z56" s="33"/>
    </row>
    <row r="57" s="10" customFormat="1" spans="1:26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32"/>
      <c r="P57" s="33"/>
      <c r="Q57" s="33"/>
      <c r="R57" s="33"/>
      <c r="S57" s="33"/>
      <c r="T57" s="33"/>
      <c r="U57" s="33"/>
      <c r="V57" s="36"/>
      <c r="W57" s="33"/>
      <c r="X57" s="33"/>
      <c r="Y57" s="33"/>
      <c r="Z57" s="33"/>
    </row>
    <row r="58" s="10" customFormat="1" spans="1:26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32"/>
      <c r="P58" s="33"/>
      <c r="Q58" s="33"/>
      <c r="R58" s="33"/>
      <c r="S58" s="33"/>
      <c r="T58" s="33"/>
      <c r="U58" s="33"/>
      <c r="V58" s="36"/>
      <c r="W58" s="33"/>
      <c r="X58" s="33"/>
      <c r="Y58" s="33"/>
      <c r="Z58" s="33"/>
    </row>
    <row r="59" s="10" customFormat="1" spans="1:26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32"/>
      <c r="P59" s="33"/>
      <c r="Q59" s="33"/>
      <c r="R59" s="33"/>
      <c r="S59" s="33"/>
      <c r="T59" s="33"/>
      <c r="U59" s="33"/>
      <c r="V59" s="36"/>
      <c r="W59" s="33"/>
      <c r="X59" s="33"/>
      <c r="Y59" s="33"/>
      <c r="Z59" s="33"/>
    </row>
    <row r="60" s="10" customFormat="1" spans="1:26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32"/>
      <c r="P60" s="33"/>
      <c r="Q60" s="33"/>
      <c r="R60" s="33"/>
      <c r="S60" s="33"/>
      <c r="T60" s="33"/>
      <c r="U60" s="33"/>
      <c r="V60" s="36"/>
      <c r="W60" s="33"/>
      <c r="X60" s="33"/>
      <c r="Y60" s="33"/>
      <c r="Z60" s="33"/>
    </row>
    <row r="61" s="10" customFormat="1" spans="1:26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32"/>
      <c r="P61" s="33"/>
      <c r="Q61" s="33"/>
      <c r="R61" s="33"/>
      <c r="S61" s="33"/>
      <c r="T61" s="33"/>
      <c r="U61" s="33"/>
      <c r="V61" s="36"/>
      <c r="W61" s="33"/>
      <c r="X61" s="33"/>
      <c r="Y61" s="33"/>
      <c r="Z61" s="33"/>
    </row>
    <row r="62" s="10" customFormat="1" spans="1:26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32"/>
      <c r="P62" s="33"/>
      <c r="Q62" s="33"/>
      <c r="R62" s="33"/>
      <c r="S62" s="33"/>
      <c r="T62" s="33"/>
      <c r="U62" s="33"/>
      <c r="V62" s="36"/>
      <c r="W62" s="33"/>
      <c r="X62" s="33"/>
      <c r="Y62" s="33"/>
      <c r="Z62" s="33"/>
    </row>
    <row r="63" s="10" customFormat="1" spans="1:26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32"/>
      <c r="P63" s="33"/>
      <c r="Q63" s="33"/>
      <c r="R63" s="33"/>
      <c r="S63" s="33"/>
      <c r="T63" s="33"/>
      <c r="U63" s="33"/>
      <c r="V63" s="36"/>
      <c r="W63" s="33"/>
      <c r="X63" s="33"/>
      <c r="Y63" s="33"/>
      <c r="Z63" s="33"/>
    </row>
    <row r="64" s="10" customFormat="1" spans="1:26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32"/>
      <c r="P64" s="33"/>
      <c r="Q64" s="33"/>
      <c r="R64" s="33"/>
      <c r="S64" s="33"/>
      <c r="T64" s="33"/>
      <c r="U64" s="33"/>
      <c r="V64" s="36"/>
      <c r="W64" s="33"/>
      <c r="X64" s="33"/>
      <c r="Y64" s="33"/>
      <c r="Z64" s="33"/>
    </row>
    <row r="65" s="10" customFormat="1" spans="1:26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32"/>
      <c r="P65" s="33"/>
      <c r="Q65" s="33"/>
      <c r="R65" s="33"/>
      <c r="S65" s="33"/>
      <c r="T65" s="33"/>
      <c r="U65" s="33"/>
      <c r="V65" s="36"/>
      <c r="W65" s="33"/>
      <c r="X65" s="33"/>
      <c r="Y65" s="33"/>
      <c r="Z65" s="33"/>
    </row>
    <row r="66" s="10" customFormat="1" spans="1:2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32"/>
      <c r="P66" s="33"/>
      <c r="Q66" s="33"/>
      <c r="R66" s="33"/>
      <c r="S66" s="33"/>
      <c r="T66" s="33"/>
      <c r="U66" s="33"/>
      <c r="V66" s="36"/>
      <c r="W66" s="33"/>
      <c r="X66" s="33"/>
      <c r="Y66" s="33"/>
      <c r="Z66" s="33"/>
    </row>
    <row r="67" s="10" customFormat="1" spans="1:26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32"/>
      <c r="P67" s="33"/>
      <c r="Q67" s="33"/>
      <c r="R67" s="33"/>
      <c r="S67" s="33"/>
      <c r="T67" s="33"/>
      <c r="U67" s="33"/>
      <c r="V67" s="36"/>
      <c r="W67" s="33"/>
      <c r="X67" s="33"/>
      <c r="Y67" s="33"/>
      <c r="Z67" s="33"/>
    </row>
    <row r="68" s="10" customFormat="1" spans="1:26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32"/>
      <c r="P68" s="33"/>
      <c r="Q68" s="33"/>
      <c r="R68" s="33"/>
      <c r="S68" s="33"/>
      <c r="T68" s="33"/>
      <c r="U68" s="33"/>
      <c r="V68" s="36"/>
      <c r="W68" s="33"/>
      <c r="X68" s="33"/>
      <c r="Y68" s="33"/>
      <c r="Z68" s="33"/>
    </row>
    <row r="69" s="10" customFormat="1" spans="1:26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32"/>
      <c r="P69" s="33"/>
      <c r="Q69" s="33"/>
      <c r="R69" s="33"/>
      <c r="S69" s="33"/>
      <c r="T69" s="33"/>
      <c r="U69" s="33"/>
      <c r="V69" s="36"/>
      <c r="W69" s="33"/>
      <c r="X69" s="33"/>
      <c r="Y69" s="33"/>
      <c r="Z69" s="33"/>
    </row>
    <row r="70" s="10" customFormat="1" spans="1:26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32"/>
      <c r="P70" s="33"/>
      <c r="Q70" s="33"/>
      <c r="R70" s="33"/>
      <c r="S70" s="33"/>
      <c r="T70" s="33"/>
      <c r="U70" s="33"/>
      <c r="V70" s="36"/>
      <c r="W70" s="33"/>
      <c r="X70" s="33"/>
      <c r="Y70" s="33"/>
      <c r="Z70" s="33"/>
    </row>
    <row r="71" s="10" customFormat="1" spans="1:26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32"/>
      <c r="P71" s="33"/>
      <c r="Q71" s="33"/>
      <c r="R71" s="33"/>
      <c r="S71" s="33"/>
      <c r="T71" s="33"/>
      <c r="U71" s="33"/>
      <c r="V71" s="36"/>
      <c r="W71" s="33"/>
      <c r="X71" s="33"/>
      <c r="Y71" s="33"/>
      <c r="Z71" s="33"/>
    </row>
    <row r="72" s="10" customFormat="1" spans="1:26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32"/>
      <c r="P72" s="33"/>
      <c r="Q72" s="33"/>
      <c r="R72" s="33"/>
      <c r="S72" s="33"/>
      <c r="T72" s="33"/>
      <c r="U72" s="33"/>
      <c r="V72" s="36"/>
      <c r="W72" s="33"/>
      <c r="X72" s="33"/>
      <c r="Y72" s="33"/>
      <c r="Z72" s="33"/>
    </row>
    <row r="73" s="10" customFormat="1" spans="1:26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32"/>
      <c r="P73" s="33"/>
      <c r="Q73" s="33"/>
      <c r="R73" s="33"/>
      <c r="S73" s="33"/>
      <c r="T73" s="33"/>
      <c r="U73" s="33"/>
      <c r="V73" s="36"/>
      <c r="W73" s="33"/>
      <c r="X73" s="33"/>
      <c r="Y73" s="33"/>
      <c r="Z73" s="33"/>
    </row>
    <row r="74" s="10" customFormat="1" spans="1:26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32"/>
      <c r="P74" s="33"/>
      <c r="Q74" s="33"/>
      <c r="R74" s="33"/>
      <c r="S74" s="33"/>
      <c r="T74" s="33"/>
      <c r="U74" s="33"/>
      <c r="V74" s="36"/>
      <c r="W74" s="33"/>
      <c r="X74" s="33"/>
      <c r="Y74" s="33"/>
      <c r="Z74" s="33"/>
    </row>
    <row r="75" s="10" customFormat="1" spans="1:26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32"/>
      <c r="P75" s="33"/>
      <c r="Q75" s="33"/>
      <c r="R75" s="33"/>
      <c r="S75" s="33"/>
      <c r="T75" s="33"/>
      <c r="U75" s="33"/>
      <c r="V75" s="36"/>
      <c r="W75" s="33"/>
      <c r="X75" s="33"/>
      <c r="Y75" s="33"/>
      <c r="Z75" s="33"/>
    </row>
    <row r="76" s="10" customFormat="1" spans="1:2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32"/>
      <c r="P76" s="33"/>
      <c r="Q76" s="33"/>
      <c r="R76" s="33"/>
      <c r="S76" s="33"/>
      <c r="T76" s="33"/>
      <c r="U76" s="33"/>
      <c r="V76" s="36"/>
      <c r="W76" s="33"/>
      <c r="X76" s="33"/>
      <c r="Y76" s="33"/>
      <c r="Z76" s="33"/>
    </row>
    <row r="77" s="10" customFormat="1" spans="1:26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32"/>
      <c r="P77" s="33"/>
      <c r="Q77" s="33"/>
      <c r="R77" s="33"/>
      <c r="S77" s="33"/>
      <c r="T77" s="33"/>
      <c r="U77" s="33"/>
      <c r="V77" s="36"/>
      <c r="W77" s="33"/>
      <c r="X77" s="33"/>
      <c r="Y77" s="33"/>
      <c r="Z77" s="33"/>
    </row>
    <row r="78" s="10" customFormat="1" spans="1:26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32"/>
      <c r="P78" s="33"/>
      <c r="Q78" s="33"/>
      <c r="R78" s="33"/>
      <c r="S78" s="33"/>
      <c r="T78" s="33"/>
      <c r="U78" s="33"/>
      <c r="V78" s="36"/>
      <c r="W78" s="33"/>
      <c r="X78" s="33"/>
      <c r="Y78" s="33"/>
      <c r="Z78" s="33"/>
    </row>
    <row r="79" s="10" customFormat="1" spans="1:26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32"/>
      <c r="P79" s="33"/>
      <c r="Q79" s="33"/>
      <c r="R79" s="33"/>
      <c r="S79" s="33"/>
      <c r="T79" s="33"/>
      <c r="U79" s="33"/>
      <c r="V79" s="36"/>
      <c r="W79" s="33"/>
      <c r="X79" s="33"/>
      <c r="Y79" s="33"/>
      <c r="Z79" s="33"/>
    </row>
    <row r="80" s="10" customFormat="1" spans="1:26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32"/>
      <c r="P80" s="33"/>
      <c r="Q80" s="33"/>
      <c r="R80" s="33"/>
      <c r="S80" s="33"/>
      <c r="T80" s="33"/>
      <c r="U80" s="33"/>
      <c r="V80" s="36"/>
      <c r="W80" s="33"/>
      <c r="X80" s="33"/>
      <c r="Y80" s="33"/>
      <c r="Z80" s="33"/>
    </row>
    <row r="81" s="10" customFormat="1" spans="1:26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32"/>
      <c r="P81" s="33"/>
      <c r="Q81" s="33"/>
      <c r="R81" s="33"/>
      <c r="S81" s="33"/>
      <c r="T81" s="33"/>
      <c r="U81" s="33"/>
      <c r="V81" s="36"/>
      <c r="W81" s="33"/>
      <c r="X81" s="33"/>
      <c r="Y81" s="33"/>
      <c r="Z81" s="33"/>
    </row>
    <row r="82" s="10" customFormat="1" spans="1:26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32"/>
      <c r="P82" s="33"/>
      <c r="Q82" s="33"/>
      <c r="R82" s="33"/>
      <c r="S82" s="33"/>
      <c r="T82" s="33"/>
      <c r="U82" s="33"/>
      <c r="V82" s="36"/>
      <c r="W82" s="33"/>
      <c r="X82" s="33"/>
      <c r="Y82" s="33"/>
      <c r="Z82" s="33"/>
    </row>
    <row r="83" s="10" customFormat="1" spans="1:26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32"/>
      <c r="P83" s="33"/>
      <c r="Q83" s="33"/>
      <c r="R83" s="33"/>
      <c r="S83" s="33"/>
      <c r="T83" s="33"/>
      <c r="U83" s="33"/>
      <c r="V83" s="36"/>
      <c r="W83" s="33"/>
      <c r="X83" s="33"/>
      <c r="Y83" s="33"/>
      <c r="Z83" s="33"/>
    </row>
    <row r="84" s="10" customFormat="1" spans="1:26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32"/>
      <c r="P84" s="33"/>
      <c r="Q84" s="33"/>
      <c r="R84" s="33"/>
      <c r="S84" s="33"/>
      <c r="T84" s="33"/>
      <c r="U84" s="33"/>
      <c r="V84" s="36"/>
      <c r="W84" s="33"/>
      <c r="X84" s="33"/>
      <c r="Y84" s="33"/>
      <c r="Z84" s="33"/>
    </row>
    <row r="85" spans="3:27"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32"/>
      <c r="P85" s="33"/>
      <c r="Q85" s="33"/>
      <c r="R85" s="33"/>
      <c r="S85" s="33"/>
      <c r="T85" s="33"/>
      <c r="U85" s="33"/>
      <c r="V85" s="36"/>
      <c r="W85" s="33"/>
      <c r="X85" s="38"/>
      <c r="Y85" s="38"/>
      <c r="Z85" s="38"/>
      <c r="AA85" s="39">
        <f t="shared" ref="AA85:AA130" si="0">P85-R85</f>
        <v>0</v>
      </c>
    </row>
    <row r="86" spans="3:27"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32"/>
      <c r="P86" s="33"/>
      <c r="Q86" s="33"/>
      <c r="R86" s="33"/>
      <c r="S86" s="33"/>
      <c r="T86" s="33"/>
      <c r="U86" s="33"/>
      <c r="V86" s="36"/>
      <c r="W86" s="33"/>
      <c r="X86" s="38"/>
      <c r="Y86" s="38"/>
      <c r="Z86" s="38"/>
      <c r="AA86" s="39">
        <f t="shared" si="0"/>
        <v>0</v>
      </c>
    </row>
    <row r="87" spans="3:27"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32"/>
      <c r="P87" s="33"/>
      <c r="Q87" s="33"/>
      <c r="R87" s="33"/>
      <c r="S87" s="33"/>
      <c r="T87" s="33"/>
      <c r="U87" s="33"/>
      <c r="V87" s="36"/>
      <c r="W87" s="33"/>
      <c r="X87" s="38"/>
      <c r="Y87" s="38"/>
      <c r="Z87" s="38"/>
      <c r="AA87" s="39">
        <f t="shared" si="0"/>
        <v>0</v>
      </c>
    </row>
    <row r="88" spans="3:27"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32"/>
      <c r="P88" s="33"/>
      <c r="Q88" s="33"/>
      <c r="R88" s="33"/>
      <c r="S88" s="33"/>
      <c r="T88" s="33"/>
      <c r="U88" s="33"/>
      <c r="V88" s="36"/>
      <c r="W88" s="33"/>
      <c r="X88" s="38"/>
      <c r="Y88" s="38"/>
      <c r="Z88" s="38"/>
      <c r="AA88" s="39">
        <f t="shared" si="0"/>
        <v>0</v>
      </c>
    </row>
    <row r="89" spans="3:27"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32"/>
      <c r="P89" s="33"/>
      <c r="Q89" s="33"/>
      <c r="R89" s="33"/>
      <c r="S89" s="33"/>
      <c r="T89" s="33"/>
      <c r="U89" s="33"/>
      <c r="V89" s="36"/>
      <c r="W89" s="33"/>
      <c r="X89" s="38"/>
      <c r="Y89" s="38"/>
      <c r="Z89" s="38"/>
      <c r="AA89" s="39">
        <f t="shared" si="0"/>
        <v>0</v>
      </c>
    </row>
    <row r="90" spans="3:27"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32"/>
      <c r="P90" s="33"/>
      <c r="Q90" s="33"/>
      <c r="R90" s="33"/>
      <c r="S90" s="33"/>
      <c r="T90" s="33"/>
      <c r="U90" s="33"/>
      <c r="V90" s="36"/>
      <c r="W90" s="33"/>
      <c r="X90" s="38"/>
      <c r="Y90" s="38"/>
      <c r="Z90" s="38"/>
      <c r="AA90" s="39">
        <f t="shared" si="0"/>
        <v>0</v>
      </c>
    </row>
    <row r="91" spans="3:27"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32"/>
      <c r="P91" s="33"/>
      <c r="Q91" s="33"/>
      <c r="R91" s="33"/>
      <c r="S91" s="33"/>
      <c r="T91" s="33"/>
      <c r="U91" s="33"/>
      <c r="V91" s="36"/>
      <c r="W91" s="33"/>
      <c r="X91" s="38"/>
      <c r="Y91" s="38"/>
      <c r="Z91" s="38"/>
      <c r="AA91" s="39">
        <f t="shared" si="0"/>
        <v>0</v>
      </c>
    </row>
    <row r="92" spans="3:27"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32"/>
      <c r="P92" s="33"/>
      <c r="Q92" s="33"/>
      <c r="R92" s="33"/>
      <c r="S92" s="33"/>
      <c r="T92" s="33"/>
      <c r="U92" s="33"/>
      <c r="V92" s="36"/>
      <c r="W92" s="33"/>
      <c r="X92" s="38"/>
      <c r="Y92" s="38"/>
      <c r="Z92" s="38"/>
      <c r="AA92" s="39">
        <f t="shared" si="0"/>
        <v>0</v>
      </c>
    </row>
    <row r="93" spans="3:27"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32"/>
      <c r="P93" s="33"/>
      <c r="Q93" s="33"/>
      <c r="R93" s="33"/>
      <c r="S93" s="33"/>
      <c r="T93" s="33"/>
      <c r="U93" s="33"/>
      <c r="V93" s="36"/>
      <c r="W93" s="33"/>
      <c r="X93" s="38"/>
      <c r="Y93" s="38"/>
      <c r="Z93" s="38"/>
      <c r="AA93" s="39">
        <f t="shared" si="0"/>
        <v>0</v>
      </c>
    </row>
    <row r="94" spans="3:27"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32"/>
      <c r="P94" s="33"/>
      <c r="Q94" s="33"/>
      <c r="R94" s="33"/>
      <c r="S94" s="33"/>
      <c r="T94" s="33"/>
      <c r="U94" s="33"/>
      <c r="V94" s="36"/>
      <c r="W94" s="33"/>
      <c r="X94" s="38"/>
      <c r="Y94" s="38"/>
      <c r="Z94" s="38"/>
      <c r="AA94" s="39">
        <f t="shared" si="0"/>
        <v>0</v>
      </c>
    </row>
    <row r="95" spans="3:27"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32"/>
      <c r="P95" s="33"/>
      <c r="Q95" s="33"/>
      <c r="R95" s="33"/>
      <c r="S95" s="33"/>
      <c r="T95" s="33"/>
      <c r="U95" s="33"/>
      <c r="V95" s="36"/>
      <c r="W95" s="33"/>
      <c r="X95" s="38"/>
      <c r="Y95" s="38"/>
      <c r="Z95" s="38"/>
      <c r="AA95" s="39">
        <f t="shared" si="0"/>
        <v>0</v>
      </c>
    </row>
    <row r="96" spans="3:27"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32"/>
      <c r="P96" s="33"/>
      <c r="Q96" s="33"/>
      <c r="R96" s="33"/>
      <c r="S96" s="33"/>
      <c r="T96" s="33"/>
      <c r="U96" s="33"/>
      <c r="V96" s="36"/>
      <c r="W96" s="33"/>
      <c r="X96" s="38"/>
      <c r="Y96" s="38"/>
      <c r="Z96" s="38"/>
      <c r="AA96" s="39">
        <f t="shared" si="0"/>
        <v>0</v>
      </c>
    </row>
    <row r="97" spans="3:27"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32"/>
      <c r="P97" s="33"/>
      <c r="Q97" s="33"/>
      <c r="R97" s="33"/>
      <c r="S97" s="33"/>
      <c r="T97" s="33"/>
      <c r="U97" s="33"/>
      <c r="V97" s="36"/>
      <c r="W97" s="33"/>
      <c r="X97" s="38"/>
      <c r="Y97" s="38"/>
      <c r="Z97" s="38"/>
      <c r="AA97" s="39">
        <f t="shared" si="0"/>
        <v>0</v>
      </c>
    </row>
    <row r="98" spans="3:27"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32"/>
      <c r="P98" s="33"/>
      <c r="Q98" s="33"/>
      <c r="R98" s="33"/>
      <c r="S98" s="33"/>
      <c r="T98" s="33"/>
      <c r="U98" s="33"/>
      <c r="V98" s="36"/>
      <c r="W98" s="33"/>
      <c r="X98" s="38"/>
      <c r="Y98" s="38"/>
      <c r="Z98" s="38"/>
      <c r="AA98" s="39">
        <f t="shared" si="0"/>
        <v>0</v>
      </c>
    </row>
    <row r="99" spans="3:27"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32"/>
      <c r="P99" s="33"/>
      <c r="Q99" s="33"/>
      <c r="R99" s="33"/>
      <c r="S99" s="33"/>
      <c r="T99" s="33"/>
      <c r="U99" s="33"/>
      <c r="V99" s="36"/>
      <c r="W99" s="33"/>
      <c r="X99" s="38"/>
      <c r="Y99" s="38"/>
      <c r="Z99" s="38"/>
      <c r="AA99" s="39">
        <f t="shared" si="0"/>
        <v>0</v>
      </c>
    </row>
    <row r="100" spans="3:27"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32"/>
      <c r="P100" s="33"/>
      <c r="Q100" s="33"/>
      <c r="R100" s="33"/>
      <c r="S100" s="33"/>
      <c r="T100" s="33"/>
      <c r="U100" s="33"/>
      <c r="V100" s="36"/>
      <c r="W100" s="33"/>
      <c r="X100" s="38"/>
      <c r="Y100" s="38"/>
      <c r="Z100" s="38"/>
      <c r="AA100" s="39">
        <f t="shared" si="0"/>
        <v>0</v>
      </c>
    </row>
    <row r="101" spans="3:27"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32"/>
      <c r="P101" s="33"/>
      <c r="Q101" s="33"/>
      <c r="R101" s="33"/>
      <c r="S101" s="33"/>
      <c r="T101" s="33"/>
      <c r="U101" s="33"/>
      <c r="V101" s="36"/>
      <c r="W101" s="33"/>
      <c r="X101" s="38"/>
      <c r="Y101" s="38"/>
      <c r="Z101" s="38"/>
      <c r="AA101" s="39">
        <f t="shared" si="0"/>
        <v>0</v>
      </c>
    </row>
    <row r="102" spans="3:27"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32"/>
      <c r="P102" s="33"/>
      <c r="Q102" s="33"/>
      <c r="R102" s="33"/>
      <c r="S102" s="33"/>
      <c r="T102" s="33"/>
      <c r="U102" s="33"/>
      <c r="V102" s="36"/>
      <c r="W102" s="33"/>
      <c r="X102" s="38"/>
      <c r="Y102" s="38"/>
      <c r="Z102" s="38"/>
      <c r="AA102" s="39">
        <f t="shared" si="0"/>
        <v>0</v>
      </c>
    </row>
    <row r="103" spans="3:27"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32"/>
      <c r="P103" s="33"/>
      <c r="Q103" s="33"/>
      <c r="R103" s="33"/>
      <c r="S103" s="33"/>
      <c r="T103" s="33"/>
      <c r="U103" s="33"/>
      <c r="V103" s="36"/>
      <c r="W103" s="33"/>
      <c r="X103" s="38"/>
      <c r="Y103" s="38"/>
      <c r="Z103" s="38"/>
      <c r="AA103" s="39">
        <f t="shared" si="0"/>
        <v>0</v>
      </c>
    </row>
    <row r="104" spans="3:27"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32"/>
      <c r="P104" s="33"/>
      <c r="Q104" s="33"/>
      <c r="R104" s="33"/>
      <c r="S104" s="33"/>
      <c r="T104" s="33"/>
      <c r="U104" s="33"/>
      <c r="V104" s="36"/>
      <c r="W104" s="33"/>
      <c r="X104" s="38"/>
      <c r="Y104" s="38"/>
      <c r="Z104" s="38"/>
      <c r="AA104" s="39">
        <f t="shared" si="0"/>
        <v>0</v>
      </c>
    </row>
    <row r="105" spans="3:27"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32"/>
      <c r="P105" s="33"/>
      <c r="Q105" s="33"/>
      <c r="R105" s="33"/>
      <c r="S105" s="33"/>
      <c r="T105" s="33"/>
      <c r="U105" s="33"/>
      <c r="V105" s="36"/>
      <c r="W105" s="33"/>
      <c r="X105" s="38"/>
      <c r="Y105" s="38"/>
      <c r="Z105" s="38"/>
      <c r="AA105" s="39">
        <f t="shared" si="0"/>
        <v>0</v>
      </c>
    </row>
    <row r="106" spans="3:27"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32"/>
      <c r="P106" s="33"/>
      <c r="Q106" s="33"/>
      <c r="R106" s="33"/>
      <c r="S106" s="33"/>
      <c r="T106" s="33"/>
      <c r="U106" s="33"/>
      <c r="V106" s="36"/>
      <c r="W106" s="33"/>
      <c r="X106" s="38"/>
      <c r="Y106" s="38"/>
      <c r="Z106" s="38"/>
      <c r="AA106" s="39">
        <f t="shared" si="0"/>
        <v>0</v>
      </c>
    </row>
    <row r="107" spans="3:27"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32"/>
      <c r="P107" s="33"/>
      <c r="Q107" s="33"/>
      <c r="R107" s="33"/>
      <c r="S107" s="33"/>
      <c r="T107" s="33"/>
      <c r="U107" s="33"/>
      <c r="V107" s="36"/>
      <c r="W107" s="33"/>
      <c r="X107" s="38"/>
      <c r="Y107" s="38"/>
      <c r="Z107" s="38"/>
      <c r="AA107" s="39">
        <f t="shared" si="0"/>
        <v>0</v>
      </c>
    </row>
    <row r="108" spans="3:27"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32"/>
      <c r="P108" s="33"/>
      <c r="Q108" s="33"/>
      <c r="R108" s="33"/>
      <c r="S108" s="33"/>
      <c r="T108" s="33"/>
      <c r="U108" s="33"/>
      <c r="V108" s="36"/>
      <c r="W108" s="33"/>
      <c r="X108" s="38"/>
      <c r="Y108" s="38"/>
      <c r="Z108" s="38"/>
      <c r="AA108" s="39">
        <f t="shared" si="0"/>
        <v>0</v>
      </c>
    </row>
    <row r="109" spans="3:27"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32"/>
      <c r="P109" s="33"/>
      <c r="Q109" s="33"/>
      <c r="R109" s="33"/>
      <c r="S109" s="33"/>
      <c r="T109" s="33"/>
      <c r="U109" s="33"/>
      <c r="V109" s="36"/>
      <c r="W109" s="33"/>
      <c r="X109" s="38"/>
      <c r="Y109" s="38"/>
      <c r="Z109" s="38"/>
      <c r="AA109" s="39">
        <f t="shared" si="0"/>
        <v>0</v>
      </c>
    </row>
    <row r="110" spans="3:27"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32"/>
      <c r="P110" s="33"/>
      <c r="Q110" s="33"/>
      <c r="R110" s="33"/>
      <c r="S110" s="33"/>
      <c r="T110" s="33"/>
      <c r="U110" s="33"/>
      <c r="V110" s="36"/>
      <c r="W110" s="33"/>
      <c r="X110" s="38"/>
      <c r="Y110" s="38"/>
      <c r="Z110" s="38"/>
      <c r="AA110" s="39">
        <f t="shared" si="0"/>
        <v>0</v>
      </c>
    </row>
    <row r="111" spans="3:27"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32"/>
      <c r="P111" s="33"/>
      <c r="Q111" s="33"/>
      <c r="R111" s="33"/>
      <c r="S111" s="33"/>
      <c r="T111" s="33"/>
      <c r="U111" s="33"/>
      <c r="V111" s="36"/>
      <c r="W111" s="33"/>
      <c r="X111" s="38"/>
      <c r="Y111" s="38"/>
      <c r="Z111" s="38"/>
      <c r="AA111" s="39">
        <f t="shared" si="0"/>
        <v>0</v>
      </c>
    </row>
    <row r="112" spans="3:27"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32"/>
      <c r="P112" s="33"/>
      <c r="Q112" s="33"/>
      <c r="R112" s="33"/>
      <c r="S112" s="33"/>
      <c r="T112" s="33"/>
      <c r="U112" s="33"/>
      <c r="V112" s="36"/>
      <c r="W112" s="33"/>
      <c r="X112" s="38"/>
      <c r="Y112" s="38"/>
      <c r="Z112" s="38"/>
      <c r="AA112" s="39">
        <f t="shared" si="0"/>
        <v>0</v>
      </c>
    </row>
    <row r="113" spans="3:27"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32"/>
      <c r="P113" s="33"/>
      <c r="Q113" s="33"/>
      <c r="R113" s="33"/>
      <c r="S113" s="33"/>
      <c r="T113" s="33"/>
      <c r="U113" s="33"/>
      <c r="V113" s="36"/>
      <c r="W113" s="33"/>
      <c r="X113" s="38"/>
      <c r="Y113" s="38"/>
      <c r="Z113" s="38"/>
      <c r="AA113" s="39">
        <f t="shared" si="0"/>
        <v>0</v>
      </c>
    </row>
    <row r="114" spans="3:27"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32"/>
      <c r="P114" s="33"/>
      <c r="Q114" s="33"/>
      <c r="R114" s="33"/>
      <c r="S114" s="33"/>
      <c r="T114" s="33"/>
      <c r="U114" s="33"/>
      <c r="V114" s="36"/>
      <c r="W114" s="33"/>
      <c r="X114" s="38"/>
      <c r="Y114" s="38"/>
      <c r="Z114" s="38"/>
      <c r="AA114" s="39">
        <f t="shared" si="0"/>
        <v>0</v>
      </c>
    </row>
    <row r="115" spans="3:27"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32"/>
      <c r="P115" s="33"/>
      <c r="Q115" s="33"/>
      <c r="R115" s="33"/>
      <c r="S115" s="33"/>
      <c r="T115" s="33"/>
      <c r="U115" s="33"/>
      <c r="V115" s="36"/>
      <c r="W115" s="33"/>
      <c r="X115" s="38"/>
      <c r="Y115" s="38"/>
      <c r="Z115" s="38"/>
      <c r="AA115" s="39">
        <f t="shared" si="0"/>
        <v>0</v>
      </c>
    </row>
    <row r="116" spans="3:27"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32"/>
      <c r="P116" s="33"/>
      <c r="Q116" s="33"/>
      <c r="R116" s="33"/>
      <c r="S116" s="33"/>
      <c r="T116" s="33"/>
      <c r="U116" s="33"/>
      <c r="V116" s="36"/>
      <c r="W116" s="33"/>
      <c r="X116" s="38"/>
      <c r="Y116" s="38"/>
      <c r="Z116" s="38"/>
      <c r="AA116" s="39">
        <f t="shared" si="0"/>
        <v>0</v>
      </c>
    </row>
    <row r="117" spans="3:27"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32"/>
      <c r="P117" s="33"/>
      <c r="Q117" s="33"/>
      <c r="R117" s="33"/>
      <c r="S117" s="33"/>
      <c r="T117" s="33"/>
      <c r="U117" s="33"/>
      <c r="V117" s="36"/>
      <c r="W117" s="33"/>
      <c r="X117" s="38"/>
      <c r="Y117" s="38"/>
      <c r="Z117" s="38"/>
      <c r="AA117" s="39">
        <f t="shared" si="0"/>
        <v>0</v>
      </c>
    </row>
    <row r="118" spans="3:27"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32"/>
      <c r="P118" s="33"/>
      <c r="Q118" s="33"/>
      <c r="R118" s="33"/>
      <c r="S118" s="33"/>
      <c r="T118" s="33"/>
      <c r="U118" s="33"/>
      <c r="V118" s="36"/>
      <c r="W118" s="33"/>
      <c r="X118" s="38"/>
      <c r="Y118" s="38"/>
      <c r="Z118" s="38"/>
      <c r="AA118" s="39">
        <f t="shared" si="0"/>
        <v>0</v>
      </c>
    </row>
    <row r="119" spans="3:27"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32"/>
      <c r="P119" s="33"/>
      <c r="Q119" s="33"/>
      <c r="R119" s="33"/>
      <c r="S119" s="33"/>
      <c r="T119" s="33"/>
      <c r="U119" s="33"/>
      <c r="V119" s="36"/>
      <c r="W119" s="33"/>
      <c r="X119" s="38"/>
      <c r="Y119" s="38"/>
      <c r="Z119" s="38"/>
      <c r="AA119" s="39">
        <f t="shared" si="0"/>
        <v>0</v>
      </c>
    </row>
    <row r="120" spans="3:27"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32"/>
      <c r="P120" s="33"/>
      <c r="Q120" s="33"/>
      <c r="R120" s="33"/>
      <c r="S120" s="33"/>
      <c r="T120" s="33"/>
      <c r="U120" s="33"/>
      <c r="V120" s="36"/>
      <c r="W120" s="33"/>
      <c r="X120" s="38"/>
      <c r="Y120" s="38"/>
      <c r="Z120" s="38"/>
      <c r="AA120" s="39">
        <f t="shared" si="0"/>
        <v>0</v>
      </c>
    </row>
    <row r="121" spans="3:27"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32"/>
      <c r="P121" s="33"/>
      <c r="Q121" s="33"/>
      <c r="R121" s="33"/>
      <c r="S121" s="33"/>
      <c r="T121" s="33"/>
      <c r="U121" s="33"/>
      <c r="V121" s="36"/>
      <c r="W121" s="33"/>
      <c r="X121" s="38"/>
      <c r="Y121" s="38"/>
      <c r="Z121" s="38"/>
      <c r="AA121" s="39">
        <f t="shared" si="0"/>
        <v>0</v>
      </c>
    </row>
    <row r="122" spans="3:27"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32"/>
      <c r="P122" s="33"/>
      <c r="Q122" s="33"/>
      <c r="R122" s="33"/>
      <c r="S122" s="33"/>
      <c r="T122" s="33"/>
      <c r="U122" s="33"/>
      <c r="V122" s="36"/>
      <c r="W122" s="33"/>
      <c r="X122" s="38"/>
      <c r="Y122" s="38"/>
      <c r="Z122" s="38"/>
      <c r="AA122" s="39">
        <f t="shared" si="0"/>
        <v>0</v>
      </c>
    </row>
    <row r="123" spans="3:27"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32"/>
      <c r="P123" s="33"/>
      <c r="Q123" s="33"/>
      <c r="R123" s="33"/>
      <c r="S123" s="33"/>
      <c r="T123" s="33"/>
      <c r="U123" s="33"/>
      <c r="V123" s="36"/>
      <c r="W123" s="33"/>
      <c r="X123" s="38"/>
      <c r="Y123" s="38"/>
      <c r="Z123" s="38"/>
      <c r="AA123" s="39">
        <f t="shared" si="0"/>
        <v>0</v>
      </c>
    </row>
    <row r="124" spans="3:27"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32"/>
      <c r="P124" s="33"/>
      <c r="Q124" s="33"/>
      <c r="R124" s="33"/>
      <c r="S124" s="33"/>
      <c r="T124" s="33"/>
      <c r="U124" s="33"/>
      <c r="V124" s="36"/>
      <c r="W124" s="33"/>
      <c r="X124" s="38"/>
      <c r="Y124" s="38"/>
      <c r="Z124" s="38"/>
      <c r="AA124" s="39">
        <f t="shared" si="0"/>
        <v>0</v>
      </c>
    </row>
    <row r="125" spans="3:27"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32"/>
      <c r="P125" s="33"/>
      <c r="Q125" s="33"/>
      <c r="R125" s="33"/>
      <c r="S125" s="33"/>
      <c r="T125" s="33"/>
      <c r="U125" s="33"/>
      <c r="V125" s="36"/>
      <c r="W125" s="33"/>
      <c r="X125" s="38"/>
      <c r="Y125" s="38"/>
      <c r="Z125" s="38"/>
      <c r="AA125" s="39">
        <f t="shared" si="0"/>
        <v>0</v>
      </c>
    </row>
    <row r="126" spans="3:27"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32"/>
      <c r="P126" s="33"/>
      <c r="Q126" s="33"/>
      <c r="R126" s="33"/>
      <c r="S126" s="33"/>
      <c r="T126" s="33"/>
      <c r="U126" s="33"/>
      <c r="V126" s="36"/>
      <c r="W126" s="33"/>
      <c r="X126" s="38"/>
      <c r="Y126" s="38"/>
      <c r="Z126" s="38"/>
      <c r="AA126" s="39">
        <f t="shared" si="0"/>
        <v>0</v>
      </c>
    </row>
    <row r="127" spans="3:27"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32"/>
      <c r="P127" s="33"/>
      <c r="Q127" s="33"/>
      <c r="R127" s="33"/>
      <c r="S127" s="33"/>
      <c r="T127" s="33"/>
      <c r="U127" s="33"/>
      <c r="V127" s="36"/>
      <c r="W127" s="33"/>
      <c r="X127" s="38"/>
      <c r="Y127" s="38"/>
      <c r="Z127" s="38"/>
      <c r="AA127" s="39">
        <f t="shared" si="0"/>
        <v>0</v>
      </c>
    </row>
    <row r="128" spans="3:27"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32"/>
      <c r="P128" s="33"/>
      <c r="Q128" s="33"/>
      <c r="R128" s="33"/>
      <c r="S128" s="33"/>
      <c r="T128" s="33"/>
      <c r="U128" s="33"/>
      <c r="V128" s="36"/>
      <c r="W128" s="33"/>
      <c r="X128" s="38"/>
      <c r="Y128" s="38"/>
      <c r="Z128" s="38"/>
      <c r="AA128" s="39">
        <f t="shared" si="0"/>
        <v>0</v>
      </c>
    </row>
    <row r="129" spans="3:27"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32"/>
      <c r="P129" s="33"/>
      <c r="Q129" s="33"/>
      <c r="R129" s="33"/>
      <c r="S129" s="33"/>
      <c r="T129" s="33"/>
      <c r="U129" s="33"/>
      <c r="V129" s="36"/>
      <c r="W129" s="33"/>
      <c r="X129" s="38"/>
      <c r="Y129" s="38"/>
      <c r="Z129" s="38"/>
      <c r="AA129" s="39">
        <f t="shared" si="0"/>
        <v>0</v>
      </c>
    </row>
    <row r="130" spans="3:27"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32"/>
      <c r="P130" s="33"/>
      <c r="Q130" s="33"/>
      <c r="R130" s="33"/>
      <c r="S130" s="33"/>
      <c r="T130" s="33"/>
      <c r="U130" s="33"/>
      <c r="V130" s="36"/>
      <c r="W130" s="33"/>
      <c r="X130" s="38"/>
      <c r="Y130" s="38"/>
      <c r="Z130" s="38"/>
      <c r="AA130" s="39">
        <f t="shared" si="0"/>
        <v>0</v>
      </c>
    </row>
    <row r="131" spans="3:27"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32"/>
      <c r="P131" s="33"/>
      <c r="Q131" s="33"/>
      <c r="R131" s="33"/>
      <c r="S131" s="33"/>
      <c r="T131" s="33"/>
      <c r="U131" s="33"/>
      <c r="V131" s="36"/>
      <c r="W131" s="33"/>
      <c r="X131" s="38"/>
      <c r="Y131" s="38"/>
      <c r="Z131" s="38"/>
      <c r="AA131" s="39">
        <f t="shared" ref="AA131:AA164" si="1">P131-R131</f>
        <v>0</v>
      </c>
    </row>
    <row r="132" spans="3:27"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32"/>
      <c r="P132" s="33"/>
      <c r="Q132" s="33"/>
      <c r="R132" s="33"/>
      <c r="S132" s="33"/>
      <c r="T132" s="33"/>
      <c r="U132" s="33"/>
      <c r="V132" s="36"/>
      <c r="W132" s="33"/>
      <c r="X132" s="38"/>
      <c r="Y132" s="38"/>
      <c r="Z132" s="38"/>
      <c r="AA132" s="39">
        <f t="shared" si="1"/>
        <v>0</v>
      </c>
    </row>
    <row r="133" spans="3:27"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32"/>
      <c r="P133" s="33"/>
      <c r="Q133" s="33"/>
      <c r="R133" s="33"/>
      <c r="S133" s="33"/>
      <c r="T133" s="33"/>
      <c r="U133" s="33"/>
      <c r="V133" s="36"/>
      <c r="W133" s="33"/>
      <c r="X133" s="38"/>
      <c r="Y133" s="38"/>
      <c r="Z133" s="38"/>
      <c r="AA133" s="39">
        <f t="shared" si="1"/>
        <v>0</v>
      </c>
    </row>
    <row r="134" spans="3:27"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32"/>
      <c r="P134" s="33"/>
      <c r="Q134" s="33"/>
      <c r="R134" s="33"/>
      <c r="S134" s="33"/>
      <c r="T134" s="33"/>
      <c r="U134" s="33"/>
      <c r="V134" s="36"/>
      <c r="W134" s="33"/>
      <c r="X134" s="38"/>
      <c r="Y134" s="38"/>
      <c r="Z134" s="38"/>
      <c r="AA134" s="39">
        <f t="shared" si="1"/>
        <v>0</v>
      </c>
    </row>
    <row r="135" spans="3:27"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32"/>
      <c r="P135" s="33"/>
      <c r="Q135" s="33"/>
      <c r="R135" s="33"/>
      <c r="S135" s="33"/>
      <c r="T135" s="33"/>
      <c r="U135" s="33"/>
      <c r="V135" s="36"/>
      <c r="W135" s="33"/>
      <c r="X135" s="38"/>
      <c r="Y135" s="38"/>
      <c r="Z135" s="38"/>
      <c r="AA135" s="39">
        <f t="shared" si="1"/>
        <v>0</v>
      </c>
    </row>
    <row r="136" spans="3:27"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32"/>
      <c r="P136" s="33"/>
      <c r="Q136" s="33"/>
      <c r="R136" s="33"/>
      <c r="S136" s="33"/>
      <c r="T136" s="33"/>
      <c r="U136" s="33"/>
      <c r="V136" s="36"/>
      <c r="W136" s="33"/>
      <c r="X136" s="38"/>
      <c r="Y136" s="38"/>
      <c r="Z136" s="38"/>
      <c r="AA136" s="39">
        <f t="shared" si="1"/>
        <v>0</v>
      </c>
    </row>
    <row r="137" spans="3:27"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32"/>
      <c r="P137" s="33"/>
      <c r="Q137" s="33"/>
      <c r="R137" s="33"/>
      <c r="S137" s="33"/>
      <c r="T137" s="33"/>
      <c r="U137" s="33"/>
      <c r="V137" s="36"/>
      <c r="W137" s="33"/>
      <c r="X137" s="38"/>
      <c r="Y137" s="38"/>
      <c r="Z137" s="38"/>
      <c r="AA137" s="39">
        <f t="shared" si="1"/>
        <v>0</v>
      </c>
    </row>
    <row r="138" spans="3:27"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32"/>
      <c r="P138" s="33"/>
      <c r="Q138" s="33"/>
      <c r="R138" s="33"/>
      <c r="S138" s="33"/>
      <c r="T138" s="33"/>
      <c r="U138" s="33"/>
      <c r="V138" s="36"/>
      <c r="W138" s="33"/>
      <c r="X138" s="38"/>
      <c r="Y138" s="38"/>
      <c r="Z138" s="38"/>
      <c r="AA138" s="39">
        <f t="shared" si="1"/>
        <v>0</v>
      </c>
    </row>
    <row r="139" spans="27:27">
      <c r="AA139" s="39">
        <f t="shared" si="1"/>
        <v>0</v>
      </c>
    </row>
    <row r="140" spans="27:27">
      <c r="AA140" s="39">
        <f t="shared" si="1"/>
        <v>0</v>
      </c>
    </row>
    <row r="141" spans="27:27">
      <c r="AA141" s="39">
        <f t="shared" si="1"/>
        <v>0</v>
      </c>
    </row>
    <row r="142" spans="27:27">
      <c r="AA142" s="39">
        <f t="shared" si="1"/>
        <v>0</v>
      </c>
    </row>
    <row r="143" spans="27:27">
      <c r="AA143" s="39">
        <f t="shared" si="1"/>
        <v>0</v>
      </c>
    </row>
    <row r="144" spans="27:27">
      <c r="AA144" s="39">
        <f t="shared" si="1"/>
        <v>0</v>
      </c>
    </row>
    <row r="145" spans="27:27">
      <c r="AA145" s="39">
        <f t="shared" si="1"/>
        <v>0</v>
      </c>
    </row>
    <row r="146" spans="27:27">
      <c r="AA146" s="39">
        <f t="shared" si="1"/>
        <v>0</v>
      </c>
    </row>
    <row r="147" spans="27:27">
      <c r="AA147" s="39">
        <f t="shared" si="1"/>
        <v>0</v>
      </c>
    </row>
    <row r="148" spans="27:27">
      <c r="AA148" s="39">
        <f t="shared" si="1"/>
        <v>0</v>
      </c>
    </row>
    <row r="149" spans="27:27">
      <c r="AA149" s="39">
        <f t="shared" si="1"/>
        <v>0</v>
      </c>
    </row>
    <row r="150" spans="27:27">
      <c r="AA150" s="39">
        <f t="shared" si="1"/>
        <v>0</v>
      </c>
    </row>
    <row r="151" spans="27:27">
      <c r="AA151" s="39">
        <f t="shared" si="1"/>
        <v>0</v>
      </c>
    </row>
    <row r="152" spans="27:27">
      <c r="AA152" s="39">
        <f t="shared" si="1"/>
        <v>0</v>
      </c>
    </row>
    <row r="153" spans="27:27">
      <c r="AA153" s="39">
        <f t="shared" si="1"/>
        <v>0</v>
      </c>
    </row>
    <row r="154" spans="27:27">
      <c r="AA154" s="39">
        <f t="shared" si="1"/>
        <v>0</v>
      </c>
    </row>
    <row r="155" spans="27:27">
      <c r="AA155" s="39">
        <f t="shared" si="1"/>
        <v>0</v>
      </c>
    </row>
    <row r="156" spans="27:27">
      <c r="AA156" s="39">
        <f t="shared" si="1"/>
        <v>0</v>
      </c>
    </row>
    <row r="157" spans="27:27">
      <c r="AA157" s="39">
        <f t="shared" si="1"/>
        <v>0</v>
      </c>
    </row>
    <row r="158" spans="27:27">
      <c r="AA158" s="39">
        <f t="shared" si="1"/>
        <v>0</v>
      </c>
    </row>
    <row r="159" spans="27:27">
      <c r="AA159" s="39">
        <f t="shared" si="1"/>
        <v>0</v>
      </c>
    </row>
    <row r="160" spans="27:27">
      <c r="AA160" s="39">
        <f t="shared" si="1"/>
        <v>0</v>
      </c>
    </row>
    <row r="161" spans="27:27">
      <c r="AA161" s="39">
        <f t="shared" si="1"/>
        <v>0</v>
      </c>
    </row>
    <row r="162" spans="27:27">
      <c r="AA162" s="39">
        <f t="shared" si="1"/>
        <v>0</v>
      </c>
    </row>
    <row r="163" spans="27:27">
      <c r="AA163" s="39">
        <f t="shared" si="1"/>
        <v>0</v>
      </c>
    </row>
    <row r="164" spans="27:27">
      <c r="AA164" s="39">
        <f t="shared" si="1"/>
        <v>0</v>
      </c>
    </row>
    <row r="165" spans="27:27">
      <c r="AA165" s="39"/>
    </row>
    <row r="166" spans="27:27">
      <c r="AA166" s="39"/>
    </row>
    <row r="167" spans="27:27">
      <c r="AA167" s="39"/>
    </row>
    <row r="168" spans="27:27">
      <c r="AA168" s="39"/>
    </row>
    <row r="169" spans="27:27">
      <c r="AA169" s="39"/>
    </row>
  </sheetData>
  <autoFilter xmlns:etc="http://www.wps.cn/officeDocument/2017/etCustomData" ref="D1:W169" etc:filterBottomFollowUsedRange="0">
    <extLst/>
  </autoFilter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I3355"/>
  <sheetViews>
    <sheetView topLeftCell="A3296" workbookViewId="0">
      <selection activeCell="E3355" sqref="E3355:F3355"/>
    </sheetView>
  </sheetViews>
  <sheetFormatPr defaultColWidth="11.6666666666667" defaultRowHeight="15.75"/>
  <cols>
    <col min="4" max="4" width="45" customWidth="1"/>
    <col min="6" max="6" width="14.3333333333333" customWidth="1"/>
  </cols>
  <sheetData>
    <row r="1" spans="1:9">
      <c r="A1" s="11" t="s">
        <v>3175</v>
      </c>
      <c r="B1" s="11" t="s">
        <v>618</v>
      </c>
      <c r="C1" s="11" t="s">
        <v>3176</v>
      </c>
      <c r="D1" s="11" t="s">
        <v>627</v>
      </c>
      <c r="E1" s="11" t="s">
        <v>633</v>
      </c>
      <c r="F1" s="12" t="s">
        <v>3177</v>
      </c>
      <c r="G1" s="11" t="s">
        <v>3178</v>
      </c>
      <c r="H1" s="11" t="s">
        <v>3179</v>
      </c>
      <c r="I1" t="s">
        <v>2998</v>
      </c>
    </row>
    <row r="2" spans="1:8">
      <c r="A2" s="13" t="s">
        <v>3180</v>
      </c>
      <c r="B2" s="13">
        <v>1000049</v>
      </c>
      <c r="C2" s="13" t="s">
        <v>641</v>
      </c>
      <c r="D2" s="13" t="s">
        <v>536</v>
      </c>
      <c r="E2" s="13">
        <v>1</v>
      </c>
      <c r="F2" s="13" t="s">
        <v>640</v>
      </c>
      <c r="G2" s="13" t="s">
        <v>641</v>
      </c>
      <c r="H2" s="13" t="s">
        <v>700</v>
      </c>
    </row>
    <row r="3" spans="1:8">
      <c r="A3" s="13" t="s">
        <v>3180</v>
      </c>
      <c r="B3" s="13">
        <v>1000052</v>
      </c>
      <c r="C3" s="13" t="s">
        <v>641</v>
      </c>
      <c r="D3" s="13" t="s">
        <v>3181</v>
      </c>
      <c r="E3" s="13">
        <v>1</v>
      </c>
      <c r="F3" s="13" t="s">
        <v>640</v>
      </c>
      <c r="G3" s="13" t="s">
        <v>3182</v>
      </c>
      <c r="H3" s="13" t="s">
        <v>3183</v>
      </c>
    </row>
    <row r="4" spans="1:8">
      <c r="A4" s="13" t="s">
        <v>3180</v>
      </c>
      <c r="B4" s="13">
        <v>1000063</v>
      </c>
      <c r="C4" s="13" t="s">
        <v>641</v>
      </c>
      <c r="D4" s="13" t="s">
        <v>3184</v>
      </c>
      <c r="E4" s="13">
        <v>2</v>
      </c>
      <c r="F4" s="13" t="s">
        <v>671</v>
      </c>
      <c r="G4" s="13" t="s">
        <v>678</v>
      </c>
      <c r="H4" s="13" t="s">
        <v>641</v>
      </c>
    </row>
    <row r="5" spans="1:8">
      <c r="A5" s="13" t="s">
        <v>3180</v>
      </c>
      <c r="B5" s="13">
        <v>1000096</v>
      </c>
      <c r="C5" s="13" t="s">
        <v>641</v>
      </c>
      <c r="D5" s="13" t="s">
        <v>524</v>
      </c>
      <c r="E5" s="13">
        <v>1</v>
      </c>
      <c r="F5" s="13" t="s">
        <v>640</v>
      </c>
      <c r="G5" s="13" t="s">
        <v>641</v>
      </c>
      <c r="H5" s="13" t="s">
        <v>641</v>
      </c>
    </row>
    <row r="6" spans="1:8">
      <c r="A6" s="13" t="s">
        <v>3180</v>
      </c>
      <c r="B6" s="13">
        <v>1000098</v>
      </c>
      <c r="C6" s="13" t="s">
        <v>641</v>
      </c>
      <c r="D6" s="13" t="s">
        <v>3185</v>
      </c>
      <c r="E6" s="13">
        <v>1</v>
      </c>
      <c r="F6" s="13" t="s">
        <v>640</v>
      </c>
      <c r="G6" s="13" t="s">
        <v>641</v>
      </c>
      <c r="H6" s="13" t="s">
        <v>700</v>
      </c>
    </row>
    <row r="7" spans="1:8">
      <c r="A7" s="13" t="s">
        <v>3180</v>
      </c>
      <c r="B7" s="13">
        <v>1000103</v>
      </c>
      <c r="C7" s="13" t="s">
        <v>641</v>
      </c>
      <c r="D7" s="13" t="s">
        <v>205</v>
      </c>
      <c r="E7" s="13">
        <v>1</v>
      </c>
      <c r="F7" s="13" t="s">
        <v>640</v>
      </c>
      <c r="G7" s="13" t="s">
        <v>3186</v>
      </c>
      <c r="H7" s="13" t="s">
        <v>3187</v>
      </c>
    </row>
    <row r="8" spans="1:8">
      <c r="A8" s="13" t="s">
        <v>3180</v>
      </c>
      <c r="B8" s="13">
        <v>1000106</v>
      </c>
      <c r="C8" s="13" t="s">
        <v>641</v>
      </c>
      <c r="D8" s="13" t="s">
        <v>3188</v>
      </c>
      <c r="E8" s="13">
        <v>1</v>
      </c>
      <c r="F8" s="13" t="s">
        <v>642</v>
      </c>
      <c r="G8" s="13" t="s">
        <v>641</v>
      </c>
      <c r="H8" s="13" t="s">
        <v>641</v>
      </c>
    </row>
    <row r="9" spans="1:8">
      <c r="A9" s="13" t="s">
        <v>3180</v>
      </c>
      <c r="B9" s="13">
        <v>1000132</v>
      </c>
      <c r="C9" s="13" t="s">
        <v>641</v>
      </c>
      <c r="D9" s="13" t="s">
        <v>320</v>
      </c>
      <c r="E9" s="13">
        <v>1</v>
      </c>
      <c r="F9" s="13" t="s">
        <v>640</v>
      </c>
      <c r="G9" s="13" t="s">
        <v>641</v>
      </c>
      <c r="H9" s="13" t="s">
        <v>700</v>
      </c>
    </row>
    <row r="10" spans="1:8">
      <c r="A10" s="13" t="s">
        <v>3180</v>
      </c>
      <c r="B10" s="13">
        <v>1000233</v>
      </c>
      <c r="C10" s="13" t="s">
        <v>641</v>
      </c>
      <c r="D10" s="13" t="s">
        <v>762</v>
      </c>
      <c r="E10" s="13">
        <v>1</v>
      </c>
      <c r="F10" s="13" t="s">
        <v>640</v>
      </c>
      <c r="G10" s="13" t="s">
        <v>641</v>
      </c>
      <c r="H10" s="13" t="s">
        <v>700</v>
      </c>
    </row>
    <row r="11" spans="1:9">
      <c r="A11" s="13" t="s">
        <v>3180</v>
      </c>
      <c r="B11" s="13">
        <v>1000529</v>
      </c>
      <c r="C11" s="13" t="s">
        <v>641</v>
      </c>
      <c r="D11" s="13" t="s">
        <v>3189</v>
      </c>
      <c r="E11" s="13">
        <v>1</v>
      </c>
      <c r="F11" s="13" t="s">
        <v>649</v>
      </c>
      <c r="G11" s="13" t="s">
        <v>641</v>
      </c>
      <c r="H11" s="13" t="s">
        <v>700</v>
      </c>
      <c r="I11" s="13" t="s">
        <v>650</v>
      </c>
    </row>
    <row r="12" spans="1:8">
      <c r="A12" s="13" t="s">
        <v>3180</v>
      </c>
      <c r="B12" s="13">
        <v>1001049</v>
      </c>
      <c r="C12" s="13" t="s">
        <v>641</v>
      </c>
      <c r="D12" s="13" t="s">
        <v>3190</v>
      </c>
      <c r="E12" s="13">
        <v>1</v>
      </c>
      <c r="F12" s="13" t="s">
        <v>640</v>
      </c>
      <c r="G12" s="13" t="s">
        <v>641</v>
      </c>
      <c r="H12" s="13" t="s">
        <v>735</v>
      </c>
    </row>
    <row r="13" spans="1:8">
      <c r="A13" s="13" t="s">
        <v>3180</v>
      </c>
      <c r="B13" s="13">
        <v>1001170</v>
      </c>
      <c r="C13" s="13" t="s">
        <v>641</v>
      </c>
      <c r="D13" s="13" t="s">
        <v>764</v>
      </c>
      <c r="E13" s="13">
        <v>1</v>
      </c>
      <c r="F13" s="13" t="s">
        <v>642</v>
      </c>
      <c r="G13" s="13" t="s">
        <v>641</v>
      </c>
      <c r="H13" s="13" t="s">
        <v>641</v>
      </c>
    </row>
    <row r="14" spans="1:8">
      <c r="A14" s="13" t="s">
        <v>3180</v>
      </c>
      <c r="B14" s="13">
        <v>1001268</v>
      </c>
      <c r="C14" s="13" t="s">
        <v>641</v>
      </c>
      <c r="D14" s="13" t="s">
        <v>765</v>
      </c>
      <c r="E14" s="13">
        <v>1</v>
      </c>
      <c r="F14" s="13" t="s">
        <v>640</v>
      </c>
      <c r="G14" s="13" t="s">
        <v>641</v>
      </c>
      <c r="H14" s="13" t="s">
        <v>641</v>
      </c>
    </row>
    <row r="15" spans="1:8">
      <c r="A15" s="13" t="s">
        <v>3180</v>
      </c>
      <c r="B15" s="13">
        <v>1001413</v>
      </c>
      <c r="C15" s="13" t="s">
        <v>641</v>
      </c>
      <c r="D15" s="13" t="s">
        <v>148</v>
      </c>
      <c r="E15" s="13">
        <v>1</v>
      </c>
      <c r="F15" s="13" t="s">
        <v>642</v>
      </c>
      <c r="G15" s="13" t="s">
        <v>641</v>
      </c>
      <c r="H15" s="13" t="s">
        <v>641</v>
      </c>
    </row>
    <row r="16" spans="1:8">
      <c r="A16" s="13" t="s">
        <v>3180</v>
      </c>
      <c r="B16" s="13">
        <v>1003028</v>
      </c>
      <c r="C16" s="13" t="s">
        <v>641</v>
      </c>
      <c r="D16" s="13" t="s">
        <v>376</v>
      </c>
      <c r="E16" s="13">
        <v>1</v>
      </c>
      <c r="F16" s="13" t="s">
        <v>644</v>
      </c>
      <c r="G16" s="13" t="s">
        <v>641</v>
      </c>
      <c r="H16" s="13" t="s">
        <v>700</v>
      </c>
    </row>
    <row r="17" spans="1:8">
      <c r="A17" s="13" t="s">
        <v>3180</v>
      </c>
      <c r="B17" s="13">
        <v>1004576</v>
      </c>
      <c r="C17" s="13" t="s">
        <v>641</v>
      </c>
      <c r="D17" s="13" t="s">
        <v>503</v>
      </c>
      <c r="E17" s="13">
        <v>1</v>
      </c>
      <c r="F17" s="13" t="s">
        <v>640</v>
      </c>
      <c r="G17" s="13" t="s">
        <v>641</v>
      </c>
      <c r="H17" s="13" t="s">
        <v>700</v>
      </c>
    </row>
    <row r="18" spans="1:8">
      <c r="A18" s="13" t="s">
        <v>3180</v>
      </c>
      <c r="B18" s="13">
        <v>1012802</v>
      </c>
      <c r="C18" s="13" t="s">
        <v>641</v>
      </c>
      <c r="D18" s="13" t="s">
        <v>3191</v>
      </c>
      <c r="E18" s="13">
        <v>1</v>
      </c>
      <c r="F18" s="13" t="s">
        <v>640</v>
      </c>
      <c r="G18" s="13" t="s">
        <v>3182</v>
      </c>
      <c r="H18" s="13" t="s">
        <v>3183</v>
      </c>
    </row>
    <row r="19" spans="1:8">
      <c r="A19" s="13" t="s">
        <v>3180</v>
      </c>
      <c r="B19" s="13">
        <v>1500009</v>
      </c>
      <c r="C19" s="13" t="s">
        <v>641</v>
      </c>
      <c r="D19" s="13" t="s">
        <v>504</v>
      </c>
      <c r="E19" s="13">
        <v>1</v>
      </c>
      <c r="F19" s="13" t="s">
        <v>640</v>
      </c>
      <c r="G19" s="13" t="s">
        <v>641</v>
      </c>
      <c r="H19" s="13" t="s">
        <v>641</v>
      </c>
    </row>
    <row r="20" spans="1:8">
      <c r="A20" s="13" t="s">
        <v>3180</v>
      </c>
      <c r="B20" s="13">
        <v>1500032</v>
      </c>
      <c r="C20" s="13" t="s">
        <v>641</v>
      </c>
      <c r="D20" s="13" t="s">
        <v>559</v>
      </c>
      <c r="E20" s="13">
        <v>1</v>
      </c>
      <c r="F20" s="13" t="s">
        <v>640</v>
      </c>
      <c r="G20" s="13" t="s">
        <v>641</v>
      </c>
      <c r="H20" s="13" t="s">
        <v>641</v>
      </c>
    </row>
    <row r="21" spans="1:8">
      <c r="A21" s="13" t="s">
        <v>3180</v>
      </c>
      <c r="B21" s="13">
        <v>1500058</v>
      </c>
      <c r="C21" s="13" t="s">
        <v>641</v>
      </c>
      <c r="D21" s="13" t="s">
        <v>766</v>
      </c>
      <c r="E21" s="13">
        <v>1</v>
      </c>
      <c r="F21" s="13" t="s">
        <v>644</v>
      </c>
      <c r="G21" s="13" t="s">
        <v>641</v>
      </c>
      <c r="H21" s="13" t="s">
        <v>641</v>
      </c>
    </row>
    <row r="22" spans="1:8">
      <c r="A22" s="13" t="s">
        <v>3180</v>
      </c>
      <c r="B22" s="13">
        <v>1500059</v>
      </c>
      <c r="C22" s="13" t="s">
        <v>641</v>
      </c>
      <c r="D22" s="13" t="s">
        <v>72</v>
      </c>
      <c r="E22" s="13">
        <v>1</v>
      </c>
      <c r="F22" s="13" t="s">
        <v>644</v>
      </c>
      <c r="G22" s="13" t="s">
        <v>641</v>
      </c>
      <c r="H22" s="13" t="s">
        <v>641</v>
      </c>
    </row>
    <row r="23" spans="1:8">
      <c r="A23" s="13" t="s">
        <v>3180</v>
      </c>
      <c r="B23" s="13">
        <v>1500091</v>
      </c>
      <c r="C23" s="13" t="s">
        <v>641</v>
      </c>
      <c r="D23" s="13" t="s">
        <v>767</v>
      </c>
      <c r="E23" s="13">
        <v>2</v>
      </c>
      <c r="F23" s="13" t="s">
        <v>654</v>
      </c>
      <c r="G23" s="13" t="s">
        <v>641</v>
      </c>
      <c r="H23" s="13" t="s">
        <v>641</v>
      </c>
    </row>
    <row r="24" spans="1:8">
      <c r="A24" s="13" t="s">
        <v>3180</v>
      </c>
      <c r="B24" s="13">
        <v>1500352</v>
      </c>
      <c r="C24" s="13" t="s">
        <v>641</v>
      </c>
      <c r="D24" s="13" t="s">
        <v>769</v>
      </c>
      <c r="E24" s="13">
        <v>1</v>
      </c>
      <c r="F24" s="13" t="s">
        <v>640</v>
      </c>
      <c r="G24" s="13" t="s">
        <v>641</v>
      </c>
      <c r="H24" s="13" t="s">
        <v>641</v>
      </c>
    </row>
    <row r="25" spans="1:8">
      <c r="A25" s="13" t="s">
        <v>3180</v>
      </c>
      <c r="B25" s="13">
        <v>1500381</v>
      </c>
      <c r="C25" s="13" t="s">
        <v>641</v>
      </c>
      <c r="D25" s="13" t="s">
        <v>770</v>
      </c>
      <c r="E25" s="13">
        <v>1</v>
      </c>
      <c r="F25" s="13" t="s">
        <v>656</v>
      </c>
      <c r="G25" s="13" t="s">
        <v>2445</v>
      </c>
      <c r="H25" s="13" t="s">
        <v>3187</v>
      </c>
    </row>
    <row r="26" spans="1:8">
      <c r="A26" s="13" t="s">
        <v>3180</v>
      </c>
      <c r="B26" s="13">
        <v>1500383</v>
      </c>
      <c r="C26" s="13" t="s">
        <v>641</v>
      </c>
      <c r="D26" s="13" t="s">
        <v>3192</v>
      </c>
      <c r="E26" s="13">
        <v>1</v>
      </c>
      <c r="F26" s="13" t="s">
        <v>656</v>
      </c>
      <c r="G26" s="13" t="s">
        <v>2445</v>
      </c>
      <c r="H26" s="13" t="s">
        <v>3193</v>
      </c>
    </row>
    <row r="27" spans="1:8">
      <c r="A27" s="13" t="s">
        <v>3180</v>
      </c>
      <c r="B27" s="13">
        <v>1500387</v>
      </c>
      <c r="C27" s="13" t="s">
        <v>641</v>
      </c>
      <c r="D27" s="13" t="s">
        <v>3194</v>
      </c>
      <c r="E27" s="13">
        <v>1</v>
      </c>
      <c r="F27" s="13" t="s">
        <v>656</v>
      </c>
      <c r="G27" s="13" t="s">
        <v>2445</v>
      </c>
      <c r="H27" s="13" t="s">
        <v>3187</v>
      </c>
    </row>
    <row r="28" spans="1:8">
      <c r="A28" s="13" t="s">
        <v>3180</v>
      </c>
      <c r="B28" s="13">
        <v>1500529</v>
      </c>
      <c r="C28" s="13" t="s">
        <v>641</v>
      </c>
      <c r="D28" s="13" t="s">
        <v>293</v>
      </c>
      <c r="E28" s="13">
        <v>1</v>
      </c>
      <c r="F28" s="13" t="s">
        <v>646</v>
      </c>
      <c r="G28" s="13" t="s">
        <v>2452</v>
      </c>
      <c r="H28" s="13" t="s">
        <v>641</v>
      </c>
    </row>
    <row r="29" spans="1:8">
      <c r="A29" s="13" t="s">
        <v>3180</v>
      </c>
      <c r="B29" s="13">
        <v>1500612</v>
      </c>
      <c r="C29" s="13" t="s">
        <v>641</v>
      </c>
      <c r="D29" s="13" t="s">
        <v>470</v>
      </c>
      <c r="E29" s="13">
        <v>1</v>
      </c>
      <c r="F29" s="13" t="s">
        <v>640</v>
      </c>
      <c r="G29" s="13" t="s">
        <v>641</v>
      </c>
      <c r="H29" s="13" t="s">
        <v>641</v>
      </c>
    </row>
    <row r="30" spans="1:8">
      <c r="A30" s="13" t="s">
        <v>3180</v>
      </c>
      <c r="B30" s="13">
        <v>1500674</v>
      </c>
      <c r="C30" s="13" t="s">
        <v>641</v>
      </c>
      <c r="D30" s="13" t="s">
        <v>3195</v>
      </c>
      <c r="E30" s="13">
        <v>1</v>
      </c>
      <c r="F30" s="13" t="s">
        <v>642</v>
      </c>
      <c r="G30" s="13" t="s">
        <v>641</v>
      </c>
      <c r="H30" s="13" t="s">
        <v>641</v>
      </c>
    </row>
    <row r="31" spans="1:8">
      <c r="A31" s="13" t="s">
        <v>3180</v>
      </c>
      <c r="B31" s="13">
        <v>1500675</v>
      </c>
      <c r="C31" s="13" t="s">
        <v>641</v>
      </c>
      <c r="D31" s="13" t="s">
        <v>773</v>
      </c>
      <c r="E31" s="13">
        <v>1</v>
      </c>
      <c r="F31" s="13" t="s">
        <v>642</v>
      </c>
      <c r="G31" s="13" t="s">
        <v>641</v>
      </c>
      <c r="H31" s="13" t="s">
        <v>641</v>
      </c>
    </row>
    <row r="32" spans="1:8">
      <c r="A32" s="13" t="s">
        <v>3180</v>
      </c>
      <c r="B32" s="13">
        <v>1500676</v>
      </c>
      <c r="C32" s="13" t="s">
        <v>641</v>
      </c>
      <c r="D32" s="13" t="s">
        <v>774</v>
      </c>
      <c r="E32" s="13">
        <v>1</v>
      </c>
      <c r="F32" s="13" t="s">
        <v>642</v>
      </c>
      <c r="G32" s="13" t="s">
        <v>641</v>
      </c>
      <c r="H32" s="13" t="s">
        <v>641</v>
      </c>
    </row>
    <row r="33" spans="1:8">
      <c r="A33" s="13" t="s">
        <v>3180</v>
      </c>
      <c r="B33" s="13">
        <v>1500677</v>
      </c>
      <c r="C33" s="13" t="s">
        <v>641</v>
      </c>
      <c r="D33" s="13" t="s">
        <v>378</v>
      </c>
      <c r="E33" s="13">
        <v>1</v>
      </c>
      <c r="F33" s="13" t="s">
        <v>642</v>
      </c>
      <c r="G33" s="13" t="s">
        <v>641</v>
      </c>
      <c r="H33" s="13" t="s">
        <v>641</v>
      </c>
    </row>
    <row r="34" spans="1:9">
      <c r="A34" s="13" t="s">
        <v>3180</v>
      </c>
      <c r="B34" s="13">
        <v>1500678</v>
      </c>
      <c r="C34" s="13" t="s">
        <v>641</v>
      </c>
      <c r="D34" s="13" t="s">
        <v>382</v>
      </c>
      <c r="E34" s="13">
        <v>1</v>
      </c>
      <c r="F34" s="13" t="s">
        <v>640</v>
      </c>
      <c r="G34" s="13" t="s">
        <v>641</v>
      </c>
      <c r="H34" s="13" t="s">
        <v>641</v>
      </c>
      <c r="I34" t="s">
        <v>3196</v>
      </c>
    </row>
    <row r="35" spans="1:8">
      <c r="A35" s="13" t="s">
        <v>3180</v>
      </c>
      <c r="B35" s="13">
        <v>1500679</v>
      </c>
      <c r="C35" s="13" t="s">
        <v>641</v>
      </c>
      <c r="D35" s="13" t="s">
        <v>451</v>
      </c>
      <c r="E35" s="13">
        <v>1</v>
      </c>
      <c r="F35" s="13" t="s">
        <v>642</v>
      </c>
      <c r="G35" s="13" t="s">
        <v>641</v>
      </c>
      <c r="H35" s="13" t="s">
        <v>641</v>
      </c>
    </row>
    <row r="36" spans="1:8">
      <c r="A36" s="13" t="s">
        <v>3180</v>
      </c>
      <c r="B36" s="13">
        <v>1500680</v>
      </c>
      <c r="C36" s="13" t="s">
        <v>641</v>
      </c>
      <c r="D36" s="13" t="s">
        <v>228</v>
      </c>
      <c r="E36" s="13">
        <v>1</v>
      </c>
      <c r="F36" s="13" t="s">
        <v>642</v>
      </c>
      <c r="G36" s="13" t="s">
        <v>641</v>
      </c>
      <c r="H36" s="13" t="s">
        <v>641</v>
      </c>
    </row>
    <row r="37" spans="1:9">
      <c r="A37" s="13" t="s">
        <v>3180</v>
      </c>
      <c r="B37" s="13">
        <v>1500681</v>
      </c>
      <c r="C37" s="13" t="s">
        <v>641</v>
      </c>
      <c r="D37" s="13" t="s">
        <v>156</v>
      </c>
      <c r="E37" s="13">
        <v>1</v>
      </c>
      <c r="F37" s="13" t="s">
        <v>649</v>
      </c>
      <c r="G37" s="13" t="s">
        <v>641</v>
      </c>
      <c r="H37" s="13" t="s">
        <v>641</v>
      </c>
      <c r="I37" s="13" t="s">
        <v>650</v>
      </c>
    </row>
    <row r="38" spans="1:8">
      <c r="A38" s="13" t="s">
        <v>3180</v>
      </c>
      <c r="B38" s="13">
        <v>1500682</v>
      </c>
      <c r="C38" s="13" t="s">
        <v>641</v>
      </c>
      <c r="D38" s="13" t="s">
        <v>303</v>
      </c>
      <c r="E38" s="13">
        <v>1</v>
      </c>
      <c r="F38" s="13" t="s">
        <v>642</v>
      </c>
      <c r="G38" s="13" t="s">
        <v>641</v>
      </c>
      <c r="H38" s="13" t="s">
        <v>641</v>
      </c>
    </row>
    <row r="39" spans="1:8">
      <c r="A39" s="13" t="s">
        <v>3180</v>
      </c>
      <c r="B39" s="13">
        <v>1500683</v>
      </c>
      <c r="C39" s="13" t="s">
        <v>641</v>
      </c>
      <c r="D39" s="13" t="s">
        <v>3197</v>
      </c>
      <c r="E39" s="13">
        <v>1</v>
      </c>
      <c r="F39" s="13" t="s">
        <v>642</v>
      </c>
      <c r="G39" s="13" t="s">
        <v>641</v>
      </c>
      <c r="H39" s="13" t="s">
        <v>641</v>
      </c>
    </row>
    <row r="40" spans="1:8">
      <c r="A40" s="13" t="s">
        <v>3180</v>
      </c>
      <c r="B40" s="13">
        <v>1500684</v>
      </c>
      <c r="C40" s="13" t="s">
        <v>641</v>
      </c>
      <c r="D40" s="13" t="s">
        <v>312</v>
      </c>
      <c r="E40" s="13">
        <v>1</v>
      </c>
      <c r="F40" s="13" t="s">
        <v>642</v>
      </c>
      <c r="G40" s="13" t="s">
        <v>641</v>
      </c>
      <c r="H40" s="13" t="s">
        <v>641</v>
      </c>
    </row>
    <row r="41" spans="1:8">
      <c r="A41" s="13" t="s">
        <v>3180</v>
      </c>
      <c r="B41" s="13">
        <v>1500685</v>
      </c>
      <c r="C41" s="13" t="s">
        <v>641</v>
      </c>
      <c r="D41" s="13" t="s">
        <v>383</v>
      </c>
      <c r="E41" s="13">
        <v>1</v>
      </c>
      <c r="F41" s="13" t="s">
        <v>642</v>
      </c>
      <c r="G41" s="13" t="s">
        <v>641</v>
      </c>
      <c r="H41" s="13" t="s">
        <v>641</v>
      </c>
    </row>
    <row r="42" spans="1:8">
      <c r="A42" s="13" t="s">
        <v>3180</v>
      </c>
      <c r="B42" s="13">
        <v>1500686</v>
      </c>
      <c r="C42" s="13" t="s">
        <v>641</v>
      </c>
      <c r="D42" s="13" t="s">
        <v>380</v>
      </c>
      <c r="E42" s="13">
        <v>1</v>
      </c>
      <c r="F42" s="13" t="s">
        <v>642</v>
      </c>
      <c r="G42" s="13" t="s">
        <v>641</v>
      </c>
      <c r="H42" s="13" t="s">
        <v>641</v>
      </c>
    </row>
    <row r="43" spans="1:8">
      <c r="A43" s="13" t="s">
        <v>3180</v>
      </c>
      <c r="B43" s="13">
        <v>1500687</v>
      </c>
      <c r="C43" s="13" t="s">
        <v>641</v>
      </c>
      <c r="D43" s="13" t="s">
        <v>386</v>
      </c>
      <c r="E43" s="13">
        <v>1</v>
      </c>
      <c r="F43" s="13" t="s">
        <v>644</v>
      </c>
      <c r="G43" s="13" t="s">
        <v>641</v>
      </c>
      <c r="H43" s="13" t="s">
        <v>641</v>
      </c>
    </row>
    <row r="44" spans="1:8">
      <c r="A44" s="13" t="s">
        <v>3180</v>
      </c>
      <c r="B44" s="13">
        <v>1500688</v>
      </c>
      <c r="C44" s="13" t="s">
        <v>641</v>
      </c>
      <c r="D44" s="13" t="s">
        <v>651</v>
      </c>
      <c r="E44" s="13">
        <v>1</v>
      </c>
      <c r="F44" s="13" t="s">
        <v>642</v>
      </c>
      <c r="G44" s="13" t="s">
        <v>641</v>
      </c>
      <c r="H44" s="13" t="s">
        <v>641</v>
      </c>
    </row>
    <row r="45" spans="1:8">
      <c r="A45" s="13" t="s">
        <v>3180</v>
      </c>
      <c r="B45" s="13">
        <v>1500689</v>
      </c>
      <c r="C45" s="13" t="s">
        <v>641</v>
      </c>
      <c r="D45" s="13" t="s">
        <v>775</v>
      </c>
      <c r="E45" s="13">
        <v>2</v>
      </c>
      <c r="F45" s="13" t="s">
        <v>654</v>
      </c>
      <c r="G45" s="13" t="s">
        <v>641</v>
      </c>
      <c r="H45" s="13" t="s">
        <v>641</v>
      </c>
    </row>
    <row r="46" spans="1:8">
      <c r="A46" s="13" t="s">
        <v>3180</v>
      </c>
      <c r="B46" s="13">
        <v>1500690</v>
      </c>
      <c r="C46" s="13" t="s">
        <v>641</v>
      </c>
      <c r="D46" s="13" t="s">
        <v>776</v>
      </c>
      <c r="E46" s="13">
        <v>2</v>
      </c>
      <c r="F46" s="13" t="s">
        <v>654</v>
      </c>
      <c r="G46" s="13" t="s">
        <v>641</v>
      </c>
      <c r="H46" s="13" t="s">
        <v>641</v>
      </c>
    </row>
    <row r="47" spans="1:8">
      <c r="A47" s="13" t="s">
        <v>3180</v>
      </c>
      <c r="B47" s="13">
        <v>1500691</v>
      </c>
      <c r="C47" s="13" t="s">
        <v>641</v>
      </c>
      <c r="D47" s="13" t="s">
        <v>777</v>
      </c>
      <c r="E47" s="13">
        <v>1</v>
      </c>
      <c r="F47" s="13" t="s">
        <v>642</v>
      </c>
      <c r="G47" s="13" t="s">
        <v>641</v>
      </c>
      <c r="H47" s="13" t="s">
        <v>641</v>
      </c>
    </row>
    <row r="48" spans="1:8">
      <c r="A48" s="13" t="s">
        <v>3180</v>
      </c>
      <c r="B48" s="13">
        <v>1500692</v>
      </c>
      <c r="C48" s="13" t="s">
        <v>641</v>
      </c>
      <c r="D48" s="13" t="s">
        <v>778</v>
      </c>
      <c r="E48" s="13">
        <v>1</v>
      </c>
      <c r="F48" s="13" t="s">
        <v>642</v>
      </c>
      <c r="G48" s="13" t="s">
        <v>641</v>
      </c>
      <c r="H48" s="13" t="s">
        <v>641</v>
      </c>
    </row>
    <row r="49" spans="1:8">
      <c r="A49" s="13" t="s">
        <v>3180</v>
      </c>
      <c r="B49" s="13">
        <v>1500694</v>
      </c>
      <c r="C49" s="13" t="s">
        <v>641</v>
      </c>
      <c r="D49" s="13" t="s">
        <v>652</v>
      </c>
      <c r="E49" s="13">
        <v>2</v>
      </c>
      <c r="F49" s="13" t="s">
        <v>654</v>
      </c>
      <c r="G49" s="13" t="s">
        <v>641</v>
      </c>
      <c r="H49" s="13" t="s">
        <v>641</v>
      </c>
    </row>
    <row r="50" spans="1:8">
      <c r="A50" s="13" t="s">
        <v>3180</v>
      </c>
      <c r="B50" s="13">
        <v>1500695</v>
      </c>
      <c r="C50" s="13" t="s">
        <v>641</v>
      </c>
      <c r="D50" s="13" t="s">
        <v>424</v>
      </c>
      <c r="E50" s="13">
        <v>2</v>
      </c>
      <c r="F50" s="13" t="s">
        <v>654</v>
      </c>
      <c r="G50" s="13" t="s">
        <v>641</v>
      </c>
      <c r="H50" s="13" t="s">
        <v>641</v>
      </c>
    </row>
    <row r="51" spans="1:8">
      <c r="A51" s="13" t="s">
        <v>3180</v>
      </c>
      <c r="B51" s="13">
        <v>1500696</v>
      </c>
      <c r="C51" s="13" t="s">
        <v>641</v>
      </c>
      <c r="D51" s="13" t="s">
        <v>780</v>
      </c>
      <c r="E51" s="13">
        <v>2</v>
      </c>
      <c r="F51" s="13" t="s">
        <v>654</v>
      </c>
      <c r="G51" s="13" t="s">
        <v>641</v>
      </c>
      <c r="H51" s="13" t="s">
        <v>641</v>
      </c>
    </row>
    <row r="52" spans="1:8">
      <c r="A52" s="13" t="s">
        <v>3180</v>
      </c>
      <c r="B52" s="13">
        <v>1500697</v>
      </c>
      <c r="C52" s="13" t="s">
        <v>641</v>
      </c>
      <c r="D52" s="13" t="s">
        <v>781</v>
      </c>
      <c r="E52" s="13">
        <v>1</v>
      </c>
      <c r="F52" s="13" t="s">
        <v>642</v>
      </c>
      <c r="G52" s="13" t="s">
        <v>641</v>
      </c>
      <c r="H52" s="13" t="s">
        <v>641</v>
      </c>
    </row>
    <row r="53" spans="1:8">
      <c r="A53" s="13" t="s">
        <v>3180</v>
      </c>
      <c r="B53" s="13">
        <v>1500698</v>
      </c>
      <c r="C53" s="13" t="s">
        <v>641</v>
      </c>
      <c r="D53" s="13" t="s">
        <v>782</v>
      </c>
      <c r="E53" s="13">
        <v>1</v>
      </c>
      <c r="F53" s="13" t="s">
        <v>642</v>
      </c>
      <c r="G53" s="13" t="s">
        <v>641</v>
      </c>
      <c r="H53" s="13" t="s">
        <v>641</v>
      </c>
    </row>
    <row r="54" spans="1:8">
      <c r="A54" s="13" t="s">
        <v>3180</v>
      </c>
      <c r="B54" s="13">
        <v>1500699</v>
      </c>
      <c r="C54" s="13" t="s">
        <v>641</v>
      </c>
      <c r="D54" s="13" t="s">
        <v>783</v>
      </c>
      <c r="E54" s="13">
        <v>1</v>
      </c>
      <c r="F54" s="13" t="s">
        <v>642</v>
      </c>
      <c r="G54" s="13" t="s">
        <v>641</v>
      </c>
      <c r="H54" s="13" t="s">
        <v>641</v>
      </c>
    </row>
    <row r="55" spans="1:8">
      <c r="A55" s="13" t="s">
        <v>3180</v>
      </c>
      <c r="B55" s="13">
        <v>1500700</v>
      </c>
      <c r="C55" s="13" t="s">
        <v>641</v>
      </c>
      <c r="D55" s="13" t="s">
        <v>119</v>
      </c>
      <c r="E55" s="13">
        <v>1</v>
      </c>
      <c r="F55" s="13" t="s">
        <v>642</v>
      </c>
      <c r="G55" s="13" t="s">
        <v>641</v>
      </c>
      <c r="H55" s="13" t="s">
        <v>641</v>
      </c>
    </row>
    <row r="56" spans="1:8">
      <c r="A56" s="13" t="s">
        <v>3180</v>
      </c>
      <c r="B56" s="13">
        <v>1500701</v>
      </c>
      <c r="C56" s="13" t="s">
        <v>641</v>
      </c>
      <c r="D56" s="13" t="s">
        <v>192</v>
      </c>
      <c r="E56" s="13">
        <v>1</v>
      </c>
      <c r="F56" s="13" t="s">
        <v>642</v>
      </c>
      <c r="G56" s="13" t="s">
        <v>641</v>
      </c>
      <c r="H56" s="13" t="s">
        <v>641</v>
      </c>
    </row>
    <row r="57" spans="1:8">
      <c r="A57" s="13" t="s">
        <v>3180</v>
      </c>
      <c r="B57" s="13">
        <v>1500702</v>
      </c>
      <c r="C57" s="13" t="s">
        <v>641</v>
      </c>
      <c r="D57" s="13" t="s">
        <v>784</v>
      </c>
      <c r="E57" s="13">
        <v>1</v>
      </c>
      <c r="F57" s="13" t="s">
        <v>642</v>
      </c>
      <c r="G57" s="13" t="s">
        <v>641</v>
      </c>
      <c r="H57" s="13" t="s">
        <v>641</v>
      </c>
    </row>
    <row r="58" spans="1:8">
      <c r="A58" s="13" t="s">
        <v>3180</v>
      </c>
      <c r="B58" s="13">
        <v>1500703</v>
      </c>
      <c r="C58" s="13" t="s">
        <v>641</v>
      </c>
      <c r="D58" s="13" t="s">
        <v>226</v>
      </c>
      <c r="E58" s="13">
        <v>1</v>
      </c>
      <c r="F58" s="13" t="s">
        <v>642</v>
      </c>
      <c r="G58" s="13" t="s">
        <v>641</v>
      </c>
      <c r="H58" s="13" t="s">
        <v>641</v>
      </c>
    </row>
    <row r="59" spans="1:8">
      <c r="A59" s="13" t="s">
        <v>3180</v>
      </c>
      <c r="B59" s="13">
        <v>1500704</v>
      </c>
      <c r="C59" s="13" t="s">
        <v>641</v>
      </c>
      <c r="D59" s="13" t="s">
        <v>509</v>
      </c>
      <c r="E59" s="13">
        <v>1</v>
      </c>
      <c r="F59" s="13" t="s">
        <v>642</v>
      </c>
      <c r="G59" s="13" t="s">
        <v>641</v>
      </c>
      <c r="H59" s="13" t="s">
        <v>641</v>
      </c>
    </row>
    <row r="60" spans="1:8">
      <c r="A60" s="13" t="s">
        <v>3180</v>
      </c>
      <c r="B60" s="13">
        <v>1500705</v>
      </c>
      <c r="C60" s="13" t="s">
        <v>641</v>
      </c>
      <c r="D60" s="13" t="s">
        <v>785</v>
      </c>
      <c r="E60" s="13">
        <v>1</v>
      </c>
      <c r="F60" s="13" t="s">
        <v>642</v>
      </c>
      <c r="G60" s="13" t="s">
        <v>641</v>
      </c>
      <c r="H60" s="13" t="s">
        <v>641</v>
      </c>
    </row>
    <row r="61" spans="1:8">
      <c r="A61" s="13" t="s">
        <v>3180</v>
      </c>
      <c r="B61" s="13">
        <v>1500706</v>
      </c>
      <c r="C61" s="13" t="s">
        <v>641</v>
      </c>
      <c r="D61" s="13" t="s">
        <v>786</v>
      </c>
      <c r="E61" s="13">
        <v>1</v>
      </c>
      <c r="F61" s="13" t="s">
        <v>642</v>
      </c>
      <c r="G61" s="13" t="s">
        <v>641</v>
      </c>
      <c r="H61" s="13" t="s">
        <v>641</v>
      </c>
    </row>
    <row r="62" spans="1:8">
      <c r="A62" s="13" t="s">
        <v>3180</v>
      </c>
      <c r="B62" s="13">
        <v>1500707</v>
      </c>
      <c r="C62" s="13" t="s">
        <v>641</v>
      </c>
      <c r="D62" s="13" t="s">
        <v>787</v>
      </c>
      <c r="E62" s="13">
        <v>1</v>
      </c>
      <c r="F62" s="13" t="s">
        <v>642</v>
      </c>
      <c r="G62" s="13" t="s">
        <v>641</v>
      </c>
      <c r="H62" s="13" t="s">
        <v>641</v>
      </c>
    </row>
    <row r="63" spans="1:8">
      <c r="A63" s="13" t="s">
        <v>3180</v>
      </c>
      <c r="B63" s="13">
        <v>1500708</v>
      </c>
      <c r="C63" s="13" t="s">
        <v>641</v>
      </c>
      <c r="D63" s="13" t="s">
        <v>3198</v>
      </c>
      <c r="E63" s="13">
        <v>1</v>
      </c>
      <c r="F63" s="13" t="s">
        <v>649</v>
      </c>
      <c r="G63" s="13" t="s">
        <v>641</v>
      </c>
      <c r="H63" s="13" t="s">
        <v>641</v>
      </c>
    </row>
    <row r="64" spans="1:8">
      <c r="A64" s="13" t="s">
        <v>3180</v>
      </c>
      <c r="B64" s="13">
        <v>1500709</v>
      </c>
      <c r="C64" s="13" t="s">
        <v>641</v>
      </c>
      <c r="D64" s="13" t="s">
        <v>788</v>
      </c>
      <c r="E64" s="13">
        <v>1</v>
      </c>
      <c r="F64" s="13" t="s">
        <v>642</v>
      </c>
      <c r="G64" s="13" t="s">
        <v>641</v>
      </c>
      <c r="H64" s="13" t="s">
        <v>641</v>
      </c>
    </row>
    <row r="65" spans="1:8">
      <c r="A65" s="13" t="s">
        <v>3180</v>
      </c>
      <c r="B65" s="13">
        <v>1500710</v>
      </c>
      <c r="C65" s="13" t="s">
        <v>641</v>
      </c>
      <c r="D65" s="13" t="s">
        <v>307</v>
      </c>
      <c r="E65" s="13">
        <v>1</v>
      </c>
      <c r="F65" s="13" t="s">
        <v>649</v>
      </c>
      <c r="G65" s="13" t="s">
        <v>641</v>
      </c>
      <c r="H65" s="13" t="s">
        <v>641</v>
      </c>
    </row>
    <row r="66" spans="1:8">
      <c r="A66" s="13" t="s">
        <v>3180</v>
      </c>
      <c r="B66" s="13">
        <v>1500711</v>
      </c>
      <c r="C66" s="13" t="s">
        <v>641</v>
      </c>
      <c r="D66" s="13" t="s">
        <v>789</v>
      </c>
      <c r="E66" s="13">
        <v>1</v>
      </c>
      <c r="F66" s="13" t="s">
        <v>642</v>
      </c>
      <c r="G66" s="13" t="s">
        <v>641</v>
      </c>
      <c r="H66" s="13" t="s">
        <v>641</v>
      </c>
    </row>
    <row r="67" spans="1:8">
      <c r="A67" s="13" t="s">
        <v>3180</v>
      </c>
      <c r="B67" s="13">
        <v>1500712</v>
      </c>
      <c r="C67" s="13" t="s">
        <v>641</v>
      </c>
      <c r="D67" s="13" t="s">
        <v>256</v>
      </c>
      <c r="E67" s="13">
        <v>1</v>
      </c>
      <c r="F67" s="13" t="s">
        <v>642</v>
      </c>
      <c r="G67" s="13" t="s">
        <v>641</v>
      </c>
      <c r="H67" s="13" t="s">
        <v>641</v>
      </c>
    </row>
    <row r="68" spans="1:8">
      <c r="A68" s="13" t="s">
        <v>3180</v>
      </c>
      <c r="B68" s="13">
        <v>1500713</v>
      </c>
      <c r="C68" s="13" t="s">
        <v>641</v>
      </c>
      <c r="D68" s="13" t="s">
        <v>233</v>
      </c>
      <c r="E68" s="13">
        <v>1</v>
      </c>
      <c r="F68" s="13" t="s">
        <v>656</v>
      </c>
      <c r="G68" s="13" t="s">
        <v>641</v>
      </c>
      <c r="H68" s="13" t="s">
        <v>641</v>
      </c>
    </row>
    <row r="69" spans="1:8">
      <c r="A69" s="13" t="s">
        <v>3180</v>
      </c>
      <c r="B69" s="13">
        <v>1500714</v>
      </c>
      <c r="C69" s="13" t="s">
        <v>641</v>
      </c>
      <c r="D69" s="13" t="s">
        <v>790</v>
      </c>
      <c r="E69" s="13">
        <v>1</v>
      </c>
      <c r="F69" s="13" t="s">
        <v>656</v>
      </c>
      <c r="G69" s="13" t="s">
        <v>641</v>
      </c>
      <c r="H69" s="13" t="s">
        <v>641</v>
      </c>
    </row>
    <row r="70" spans="1:8">
      <c r="A70" s="13" t="s">
        <v>3180</v>
      </c>
      <c r="B70" s="13">
        <v>1500715</v>
      </c>
      <c r="C70" s="13" t="s">
        <v>641</v>
      </c>
      <c r="D70" s="13" t="s">
        <v>3199</v>
      </c>
      <c r="E70" s="13">
        <v>1</v>
      </c>
      <c r="F70" s="13" t="s">
        <v>649</v>
      </c>
      <c r="G70" s="13" t="s">
        <v>641</v>
      </c>
      <c r="H70" s="13" t="s">
        <v>641</v>
      </c>
    </row>
    <row r="71" spans="1:8">
      <c r="A71" s="13" t="s">
        <v>3180</v>
      </c>
      <c r="B71" s="13">
        <v>1500716</v>
      </c>
      <c r="C71" s="13" t="s">
        <v>641</v>
      </c>
      <c r="D71" s="13" t="s">
        <v>792</v>
      </c>
      <c r="E71" s="13">
        <v>1</v>
      </c>
      <c r="F71" s="13" t="s">
        <v>649</v>
      </c>
      <c r="G71" s="13" t="s">
        <v>641</v>
      </c>
      <c r="H71" s="13" t="s">
        <v>641</v>
      </c>
    </row>
    <row r="72" spans="1:8">
      <c r="A72" s="13" t="s">
        <v>3180</v>
      </c>
      <c r="B72" s="13">
        <v>1500717</v>
      </c>
      <c r="C72" s="13" t="s">
        <v>641</v>
      </c>
      <c r="D72" s="13" t="s">
        <v>793</v>
      </c>
      <c r="E72" s="13">
        <v>1</v>
      </c>
      <c r="F72" s="13" t="s">
        <v>649</v>
      </c>
      <c r="G72" s="13" t="s">
        <v>641</v>
      </c>
      <c r="H72" s="13" t="s">
        <v>641</v>
      </c>
    </row>
    <row r="73" spans="1:8">
      <c r="A73" s="13" t="s">
        <v>3180</v>
      </c>
      <c r="B73" s="13">
        <v>1500718</v>
      </c>
      <c r="C73" s="13" t="s">
        <v>641</v>
      </c>
      <c r="D73" s="13" t="s">
        <v>794</v>
      </c>
      <c r="E73" s="13">
        <v>1</v>
      </c>
      <c r="F73" s="13" t="s">
        <v>649</v>
      </c>
      <c r="G73" s="13" t="s">
        <v>641</v>
      </c>
      <c r="H73" s="13" t="s">
        <v>641</v>
      </c>
    </row>
    <row r="74" spans="1:8">
      <c r="A74" s="13" t="s">
        <v>3180</v>
      </c>
      <c r="B74" s="13">
        <v>1500719</v>
      </c>
      <c r="C74" s="13" t="s">
        <v>641</v>
      </c>
      <c r="D74" s="13" t="s">
        <v>795</v>
      </c>
      <c r="E74" s="13">
        <v>1</v>
      </c>
      <c r="F74" s="13" t="s">
        <v>649</v>
      </c>
      <c r="G74" s="13" t="s">
        <v>641</v>
      </c>
      <c r="H74" s="13" t="s">
        <v>641</v>
      </c>
    </row>
    <row r="75" spans="1:8">
      <c r="A75" s="13" t="s">
        <v>3180</v>
      </c>
      <c r="B75" s="13">
        <v>1500720</v>
      </c>
      <c r="C75" s="13" t="s">
        <v>641</v>
      </c>
      <c r="D75" s="13" t="s">
        <v>796</v>
      </c>
      <c r="E75" s="13">
        <v>1</v>
      </c>
      <c r="F75" s="13" t="s">
        <v>656</v>
      </c>
      <c r="G75" s="13" t="s">
        <v>641</v>
      </c>
      <c r="H75" s="13" t="s">
        <v>641</v>
      </c>
    </row>
    <row r="76" spans="1:8">
      <c r="A76" s="13" t="s">
        <v>3180</v>
      </c>
      <c r="B76" s="13">
        <v>1500721</v>
      </c>
      <c r="C76" s="13" t="s">
        <v>641</v>
      </c>
      <c r="D76" s="13" t="s">
        <v>657</v>
      </c>
      <c r="E76" s="13">
        <v>1</v>
      </c>
      <c r="F76" s="13" t="s">
        <v>656</v>
      </c>
      <c r="G76" s="13" t="s">
        <v>641</v>
      </c>
      <c r="H76" s="13" t="s">
        <v>641</v>
      </c>
    </row>
    <row r="77" spans="1:8">
      <c r="A77" s="13" t="s">
        <v>3180</v>
      </c>
      <c r="B77" s="13">
        <v>1500722</v>
      </c>
      <c r="C77" s="13" t="s">
        <v>641</v>
      </c>
      <c r="D77" s="13" t="s">
        <v>797</v>
      </c>
      <c r="E77" s="13">
        <v>1</v>
      </c>
      <c r="F77" s="13" t="s">
        <v>640</v>
      </c>
      <c r="G77" s="13" t="s">
        <v>641</v>
      </c>
      <c r="H77" s="13" t="s">
        <v>641</v>
      </c>
    </row>
    <row r="78" spans="1:8">
      <c r="A78" s="13" t="s">
        <v>3180</v>
      </c>
      <c r="B78" s="13">
        <v>1500723</v>
      </c>
      <c r="C78" s="13" t="s">
        <v>641</v>
      </c>
      <c r="D78" s="13" t="s">
        <v>3200</v>
      </c>
      <c r="E78" s="13">
        <v>1</v>
      </c>
      <c r="F78" s="13" t="s">
        <v>656</v>
      </c>
      <c r="G78" s="13" t="s">
        <v>2445</v>
      </c>
      <c r="H78" s="13" t="s">
        <v>641</v>
      </c>
    </row>
    <row r="79" spans="1:8">
      <c r="A79" s="13" t="s">
        <v>3180</v>
      </c>
      <c r="B79" s="13">
        <v>1500724</v>
      </c>
      <c r="C79" s="13" t="s">
        <v>641</v>
      </c>
      <c r="D79" s="13" t="s">
        <v>3201</v>
      </c>
      <c r="E79" s="13">
        <v>1</v>
      </c>
      <c r="F79" s="13" t="s">
        <v>656</v>
      </c>
      <c r="G79" s="13" t="s">
        <v>2445</v>
      </c>
      <c r="H79" s="13" t="s">
        <v>641</v>
      </c>
    </row>
    <row r="80" spans="1:8">
      <c r="A80" s="13" t="s">
        <v>3180</v>
      </c>
      <c r="B80" s="13">
        <v>1500725</v>
      </c>
      <c r="C80" s="13" t="s">
        <v>641</v>
      </c>
      <c r="D80" s="13" t="s">
        <v>514</v>
      </c>
      <c r="E80" s="13">
        <v>1</v>
      </c>
      <c r="F80" s="13" t="s">
        <v>656</v>
      </c>
      <c r="G80" s="13" t="s">
        <v>641</v>
      </c>
      <c r="H80" s="13" t="s">
        <v>641</v>
      </c>
    </row>
    <row r="81" spans="1:8">
      <c r="A81" s="13" t="s">
        <v>3180</v>
      </c>
      <c r="B81" s="13">
        <v>1500726</v>
      </c>
      <c r="C81" s="13" t="s">
        <v>641</v>
      </c>
      <c r="D81" s="13" t="s">
        <v>798</v>
      </c>
      <c r="E81" s="13">
        <v>1</v>
      </c>
      <c r="F81" s="13" t="s">
        <v>656</v>
      </c>
      <c r="G81" s="13" t="s">
        <v>641</v>
      </c>
      <c r="H81" s="13" t="s">
        <v>641</v>
      </c>
    </row>
    <row r="82" spans="1:8">
      <c r="A82" s="13" t="s">
        <v>3180</v>
      </c>
      <c r="B82" s="13">
        <v>1500727</v>
      </c>
      <c r="C82" s="13" t="s">
        <v>641</v>
      </c>
      <c r="D82" s="13" t="s">
        <v>799</v>
      </c>
      <c r="E82" s="13">
        <v>1</v>
      </c>
      <c r="F82" s="13" t="s">
        <v>640</v>
      </c>
      <c r="G82" s="13" t="s">
        <v>641</v>
      </c>
      <c r="H82" s="13" t="s">
        <v>641</v>
      </c>
    </row>
    <row r="83" spans="1:8">
      <c r="A83" s="13" t="s">
        <v>3180</v>
      </c>
      <c r="B83" s="13">
        <v>1500728</v>
      </c>
      <c r="C83" s="13" t="s">
        <v>641</v>
      </c>
      <c r="D83" s="13" t="s">
        <v>313</v>
      </c>
      <c r="E83" s="13">
        <v>1</v>
      </c>
      <c r="F83" s="13" t="s">
        <v>640</v>
      </c>
      <c r="G83" s="13" t="s">
        <v>3186</v>
      </c>
      <c r="H83" s="13" t="s">
        <v>641</v>
      </c>
    </row>
    <row r="84" spans="1:8">
      <c r="A84" s="13" t="s">
        <v>3180</v>
      </c>
      <c r="B84" s="13">
        <v>1500729</v>
      </c>
      <c r="C84" s="13" t="s">
        <v>641</v>
      </c>
      <c r="D84" s="13" t="s">
        <v>800</v>
      </c>
      <c r="E84" s="13">
        <v>1</v>
      </c>
      <c r="F84" s="13" t="s">
        <v>649</v>
      </c>
      <c r="G84" s="13" t="s">
        <v>641</v>
      </c>
      <c r="H84" s="13" t="s">
        <v>641</v>
      </c>
    </row>
    <row r="85" spans="1:8">
      <c r="A85" s="13" t="s">
        <v>3180</v>
      </c>
      <c r="B85" s="13">
        <v>1500730</v>
      </c>
      <c r="C85" s="13" t="s">
        <v>641</v>
      </c>
      <c r="D85" s="13" t="s">
        <v>582</v>
      </c>
      <c r="E85" s="13">
        <v>1</v>
      </c>
      <c r="F85" s="13" t="s">
        <v>642</v>
      </c>
      <c r="G85" s="13" t="s">
        <v>641</v>
      </c>
      <c r="H85" s="13" t="s">
        <v>641</v>
      </c>
    </row>
    <row r="86" spans="1:8">
      <c r="A86" s="13" t="s">
        <v>3180</v>
      </c>
      <c r="B86" s="13">
        <v>1500731</v>
      </c>
      <c r="C86" s="13" t="s">
        <v>641</v>
      </c>
      <c r="D86" s="13" t="s">
        <v>801</v>
      </c>
      <c r="E86" s="13">
        <v>1</v>
      </c>
      <c r="F86" s="13" t="s">
        <v>642</v>
      </c>
      <c r="G86" s="13" t="s">
        <v>641</v>
      </c>
      <c r="H86" s="13" t="s">
        <v>641</v>
      </c>
    </row>
    <row r="87" spans="1:8">
      <c r="A87" s="13" t="s">
        <v>3180</v>
      </c>
      <c r="B87" s="13">
        <v>1500732</v>
      </c>
      <c r="C87" s="13" t="s">
        <v>641</v>
      </c>
      <c r="D87" s="13" t="s">
        <v>560</v>
      </c>
      <c r="E87" s="13">
        <v>1</v>
      </c>
      <c r="F87" s="13" t="s">
        <v>649</v>
      </c>
      <c r="G87" s="13" t="s">
        <v>641</v>
      </c>
      <c r="H87" s="13" t="s">
        <v>641</v>
      </c>
    </row>
    <row r="88" spans="1:8">
      <c r="A88" s="13" t="s">
        <v>3180</v>
      </c>
      <c r="B88" s="13">
        <v>1500733</v>
      </c>
      <c r="C88" s="13" t="s">
        <v>641</v>
      </c>
      <c r="D88" s="13" t="s">
        <v>803</v>
      </c>
      <c r="E88" s="13">
        <v>1</v>
      </c>
      <c r="F88" s="13" t="s">
        <v>656</v>
      </c>
      <c r="G88" s="13" t="s">
        <v>641</v>
      </c>
      <c r="H88" s="13" t="s">
        <v>641</v>
      </c>
    </row>
    <row r="89" spans="1:8">
      <c r="A89" s="13" t="s">
        <v>3180</v>
      </c>
      <c r="B89" s="13">
        <v>1500734</v>
      </c>
      <c r="C89" s="13" t="s">
        <v>641</v>
      </c>
      <c r="D89" s="13" t="s">
        <v>588</v>
      </c>
      <c r="E89" s="13">
        <v>1</v>
      </c>
      <c r="F89" s="13" t="s">
        <v>656</v>
      </c>
      <c r="G89" s="13" t="s">
        <v>641</v>
      </c>
      <c r="H89" s="13" t="s">
        <v>641</v>
      </c>
    </row>
    <row r="90" spans="1:8">
      <c r="A90" s="13" t="s">
        <v>3180</v>
      </c>
      <c r="B90" s="13">
        <v>1500735</v>
      </c>
      <c r="C90" s="13" t="s">
        <v>641</v>
      </c>
      <c r="D90" s="13" t="s">
        <v>804</v>
      </c>
      <c r="E90" s="13">
        <v>1</v>
      </c>
      <c r="F90" s="13" t="s">
        <v>656</v>
      </c>
      <c r="G90" s="13" t="s">
        <v>641</v>
      </c>
      <c r="H90" s="13" t="s">
        <v>641</v>
      </c>
    </row>
    <row r="91" spans="1:8">
      <c r="A91" s="13" t="s">
        <v>3180</v>
      </c>
      <c r="B91" s="13">
        <v>1500736</v>
      </c>
      <c r="C91" s="13" t="s">
        <v>641</v>
      </c>
      <c r="D91" s="13" t="s">
        <v>350</v>
      </c>
      <c r="E91" s="13">
        <v>1</v>
      </c>
      <c r="F91" s="13" t="s">
        <v>656</v>
      </c>
      <c r="G91" s="13" t="s">
        <v>641</v>
      </c>
      <c r="H91" s="13" t="s">
        <v>641</v>
      </c>
    </row>
    <row r="92" spans="1:8">
      <c r="A92" s="13" t="s">
        <v>3180</v>
      </c>
      <c r="B92" s="13">
        <v>1500737</v>
      </c>
      <c r="C92" s="13" t="s">
        <v>641</v>
      </c>
      <c r="D92" s="13" t="s">
        <v>400</v>
      </c>
      <c r="E92" s="13">
        <v>1</v>
      </c>
      <c r="F92" s="13" t="s">
        <v>646</v>
      </c>
      <c r="G92" s="13" t="s">
        <v>641</v>
      </c>
      <c r="H92" s="13" t="s">
        <v>641</v>
      </c>
    </row>
    <row r="93" spans="1:8">
      <c r="A93" s="13" t="s">
        <v>3180</v>
      </c>
      <c r="B93" s="13">
        <v>1500738</v>
      </c>
      <c r="C93" s="13" t="s">
        <v>641</v>
      </c>
      <c r="D93" s="13" t="s">
        <v>528</v>
      </c>
      <c r="E93" s="13">
        <v>1</v>
      </c>
      <c r="F93" s="13" t="s">
        <v>642</v>
      </c>
      <c r="G93" s="13" t="s">
        <v>2437</v>
      </c>
      <c r="H93" s="13" t="s">
        <v>641</v>
      </c>
    </row>
    <row r="94" spans="1:8">
      <c r="A94" s="13" t="s">
        <v>3180</v>
      </c>
      <c r="B94" s="13">
        <v>1500739</v>
      </c>
      <c r="C94" s="13" t="s">
        <v>641</v>
      </c>
      <c r="D94" s="13" t="s">
        <v>805</v>
      </c>
      <c r="E94" s="13">
        <v>1</v>
      </c>
      <c r="F94" s="13" t="s">
        <v>642</v>
      </c>
      <c r="G94" s="13" t="s">
        <v>2437</v>
      </c>
      <c r="H94" s="13" t="s">
        <v>641</v>
      </c>
    </row>
    <row r="95" spans="1:8">
      <c r="A95" s="13" t="s">
        <v>3180</v>
      </c>
      <c r="B95" s="13">
        <v>1500740</v>
      </c>
      <c r="C95" s="13" t="s">
        <v>641</v>
      </c>
      <c r="D95" s="13" t="s">
        <v>315</v>
      </c>
      <c r="E95" s="13">
        <v>1</v>
      </c>
      <c r="F95" s="13" t="s">
        <v>642</v>
      </c>
      <c r="G95" s="13" t="s">
        <v>2437</v>
      </c>
      <c r="H95" s="13" t="s">
        <v>641</v>
      </c>
    </row>
    <row r="96" spans="1:8">
      <c r="A96" s="13" t="s">
        <v>3180</v>
      </c>
      <c r="B96" s="13">
        <v>1500741</v>
      </c>
      <c r="C96" s="13" t="s">
        <v>641</v>
      </c>
      <c r="D96" s="13" t="s">
        <v>396</v>
      </c>
      <c r="E96" s="13">
        <v>1</v>
      </c>
      <c r="F96" s="13" t="s">
        <v>642</v>
      </c>
      <c r="G96" s="13" t="s">
        <v>2437</v>
      </c>
      <c r="H96" s="13" t="s">
        <v>641</v>
      </c>
    </row>
    <row r="97" spans="1:8">
      <c r="A97" s="13" t="s">
        <v>3180</v>
      </c>
      <c r="B97" s="13">
        <v>1500742</v>
      </c>
      <c r="C97" s="13" t="s">
        <v>641</v>
      </c>
      <c r="D97" s="13" t="s">
        <v>806</v>
      </c>
      <c r="E97" s="13">
        <v>1</v>
      </c>
      <c r="F97" s="13" t="s">
        <v>642</v>
      </c>
      <c r="G97" s="13" t="s">
        <v>2437</v>
      </c>
      <c r="H97" s="13" t="s">
        <v>641</v>
      </c>
    </row>
    <row r="98" spans="1:8">
      <c r="A98" s="13" t="s">
        <v>3180</v>
      </c>
      <c r="B98" s="13">
        <v>1500743</v>
      </c>
      <c r="C98" s="13" t="s">
        <v>641</v>
      </c>
      <c r="D98" s="13" t="s">
        <v>423</v>
      </c>
      <c r="E98" s="13">
        <v>1</v>
      </c>
      <c r="F98" s="13" t="s">
        <v>656</v>
      </c>
      <c r="G98" s="13" t="s">
        <v>641</v>
      </c>
      <c r="H98" s="13" t="s">
        <v>641</v>
      </c>
    </row>
    <row r="99" spans="1:8">
      <c r="A99" s="13" t="s">
        <v>3180</v>
      </c>
      <c r="B99" s="13">
        <v>1500744</v>
      </c>
      <c r="C99" s="13" t="s">
        <v>641</v>
      </c>
      <c r="D99" s="13" t="s">
        <v>807</v>
      </c>
      <c r="E99" s="13">
        <v>2</v>
      </c>
      <c r="F99" s="13" t="s">
        <v>654</v>
      </c>
      <c r="G99" s="13" t="s">
        <v>641</v>
      </c>
      <c r="H99" s="13" t="s">
        <v>641</v>
      </c>
    </row>
    <row r="100" spans="1:8">
      <c r="A100" s="13" t="s">
        <v>3180</v>
      </c>
      <c r="B100" s="13">
        <v>1500745</v>
      </c>
      <c r="C100" s="13" t="s">
        <v>641</v>
      </c>
      <c r="D100" s="13" t="s">
        <v>488</v>
      </c>
      <c r="E100" s="13">
        <v>1</v>
      </c>
      <c r="F100" s="13" t="s">
        <v>656</v>
      </c>
      <c r="G100" s="13" t="s">
        <v>641</v>
      </c>
      <c r="H100" s="13" t="s">
        <v>641</v>
      </c>
    </row>
    <row r="101" spans="1:8">
      <c r="A101" s="13" t="s">
        <v>3180</v>
      </c>
      <c r="B101" s="13">
        <v>1500746</v>
      </c>
      <c r="C101" s="13" t="s">
        <v>641</v>
      </c>
      <c r="D101" s="13" t="s">
        <v>808</v>
      </c>
      <c r="E101" s="13">
        <v>2</v>
      </c>
      <c r="F101" s="13" t="s">
        <v>654</v>
      </c>
      <c r="G101" s="13" t="s">
        <v>641</v>
      </c>
      <c r="H101" s="13" t="s">
        <v>641</v>
      </c>
    </row>
    <row r="102" spans="1:8">
      <c r="A102" s="13" t="s">
        <v>3180</v>
      </c>
      <c r="B102" s="13">
        <v>1500747</v>
      </c>
      <c r="C102" s="13" t="s">
        <v>641</v>
      </c>
      <c r="D102" s="13" t="s">
        <v>809</v>
      </c>
      <c r="E102" s="13">
        <v>2</v>
      </c>
      <c r="F102" s="13" t="s">
        <v>654</v>
      </c>
      <c r="G102" s="13" t="s">
        <v>641</v>
      </c>
      <c r="H102" s="13" t="s">
        <v>641</v>
      </c>
    </row>
    <row r="103" spans="1:8">
      <c r="A103" s="13" t="s">
        <v>3180</v>
      </c>
      <c r="B103" s="13">
        <v>1500748</v>
      </c>
      <c r="C103" s="13" t="s">
        <v>641</v>
      </c>
      <c r="D103" s="13" t="s">
        <v>810</v>
      </c>
      <c r="E103" s="13">
        <v>1</v>
      </c>
      <c r="F103" s="13" t="s">
        <v>644</v>
      </c>
      <c r="G103" s="13" t="s">
        <v>641</v>
      </c>
      <c r="H103" s="13" t="s">
        <v>641</v>
      </c>
    </row>
    <row r="104" spans="1:8">
      <c r="A104" s="13" t="s">
        <v>3180</v>
      </c>
      <c r="B104" s="13">
        <v>1500749</v>
      </c>
      <c r="C104" s="13" t="s">
        <v>641</v>
      </c>
      <c r="D104" s="13" t="s">
        <v>586</v>
      </c>
      <c r="E104" s="13">
        <v>1</v>
      </c>
      <c r="F104" s="13" t="s">
        <v>656</v>
      </c>
      <c r="G104" s="13" t="s">
        <v>641</v>
      </c>
      <c r="H104" s="13" t="s">
        <v>641</v>
      </c>
    </row>
    <row r="105" spans="1:8">
      <c r="A105" s="13" t="s">
        <v>3180</v>
      </c>
      <c r="B105" s="13">
        <v>1500750</v>
      </c>
      <c r="C105" s="13" t="s">
        <v>641</v>
      </c>
      <c r="D105" s="13" t="s">
        <v>661</v>
      </c>
      <c r="E105" s="13">
        <v>1</v>
      </c>
      <c r="F105" s="13" t="s">
        <v>656</v>
      </c>
      <c r="G105" s="13" t="s">
        <v>641</v>
      </c>
      <c r="H105" s="13" t="s">
        <v>641</v>
      </c>
    </row>
    <row r="106" spans="1:8">
      <c r="A106" s="13" t="s">
        <v>3180</v>
      </c>
      <c r="B106" s="13">
        <v>1500751</v>
      </c>
      <c r="C106" s="13" t="s">
        <v>641</v>
      </c>
      <c r="D106" s="13" t="s">
        <v>811</v>
      </c>
      <c r="E106" s="13">
        <v>1</v>
      </c>
      <c r="F106" s="13" t="s">
        <v>656</v>
      </c>
      <c r="G106" s="13" t="s">
        <v>641</v>
      </c>
      <c r="H106" s="13" t="s">
        <v>641</v>
      </c>
    </row>
    <row r="107" spans="1:8">
      <c r="A107" s="13" t="s">
        <v>3180</v>
      </c>
      <c r="B107" s="13">
        <v>1500752</v>
      </c>
      <c r="C107" s="13" t="s">
        <v>641</v>
      </c>
      <c r="D107" s="13" t="s">
        <v>291</v>
      </c>
      <c r="E107" s="13">
        <v>1</v>
      </c>
      <c r="F107" s="13" t="s">
        <v>656</v>
      </c>
      <c r="G107" s="13" t="s">
        <v>641</v>
      </c>
      <c r="H107" s="13" t="s">
        <v>641</v>
      </c>
    </row>
    <row r="108" spans="1:8">
      <c r="A108" s="13" t="s">
        <v>3180</v>
      </c>
      <c r="B108" s="13">
        <v>1500753</v>
      </c>
      <c r="C108" s="13" t="s">
        <v>641</v>
      </c>
      <c r="D108" s="13" t="s">
        <v>75</v>
      </c>
      <c r="E108" s="13">
        <v>1</v>
      </c>
      <c r="F108" s="13" t="s">
        <v>640</v>
      </c>
      <c r="G108" s="13" t="s">
        <v>641</v>
      </c>
      <c r="H108" s="13" t="s">
        <v>641</v>
      </c>
    </row>
    <row r="109" spans="1:8">
      <c r="A109" s="13" t="s">
        <v>3180</v>
      </c>
      <c r="B109" s="13">
        <v>1500754</v>
      </c>
      <c r="C109" s="13" t="s">
        <v>641</v>
      </c>
      <c r="D109" s="13" t="s">
        <v>553</v>
      </c>
      <c r="E109" s="13">
        <v>1</v>
      </c>
      <c r="F109" s="13" t="s">
        <v>640</v>
      </c>
      <c r="G109" s="13" t="s">
        <v>641</v>
      </c>
      <c r="H109" s="13" t="s">
        <v>641</v>
      </c>
    </row>
    <row r="110" spans="1:8">
      <c r="A110" s="13" t="s">
        <v>3180</v>
      </c>
      <c r="B110" s="13">
        <v>1500755</v>
      </c>
      <c r="C110" s="13" t="s">
        <v>641</v>
      </c>
      <c r="D110" s="13" t="s">
        <v>399</v>
      </c>
      <c r="E110" s="13">
        <v>1</v>
      </c>
      <c r="F110" s="13" t="s">
        <v>656</v>
      </c>
      <c r="G110" s="13" t="s">
        <v>641</v>
      </c>
      <c r="H110" s="13" t="s">
        <v>641</v>
      </c>
    </row>
    <row r="111" spans="1:8">
      <c r="A111" s="13" t="s">
        <v>3180</v>
      </c>
      <c r="B111" s="13">
        <v>1500756</v>
      </c>
      <c r="C111" s="13" t="s">
        <v>641</v>
      </c>
      <c r="D111" s="13" t="s">
        <v>812</v>
      </c>
      <c r="E111" s="13">
        <v>1</v>
      </c>
      <c r="F111" s="13" t="s">
        <v>656</v>
      </c>
      <c r="G111" s="13" t="s">
        <v>641</v>
      </c>
      <c r="H111" s="13" t="s">
        <v>641</v>
      </c>
    </row>
    <row r="112" spans="1:8">
      <c r="A112" s="13" t="s">
        <v>3180</v>
      </c>
      <c r="B112" s="13">
        <v>1500757</v>
      </c>
      <c r="C112" s="13" t="s">
        <v>641</v>
      </c>
      <c r="D112" s="13" t="s">
        <v>813</v>
      </c>
      <c r="E112" s="13">
        <v>1</v>
      </c>
      <c r="F112" s="13" t="s">
        <v>656</v>
      </c>
      <c r="G112" s="13" t="s">
        <v>641</v>
      </c>
      <c r="H112" s="13" t="s">
        <v>641</v>
      </c>
    </row>
    <row r="113" spans="1:8">
      <c r="A113" s="13" t="s">
        <v>3180</v>
      </c>
      <c r="B113" s="13">
        <v>1500758</v>
      </c>
      <c r="C113" s="13" t="s">
        <v>641</v>
      </c>
      <c r="D113" s="13" t="s">
        <v>493</v>
      </c>
      <c r="E113" s="13">
        <v>1</v>
      </c>
      <c r="F113" s="13" t="s">
        <v>656</v>
      </c>
      <c r="G113" s="13" t="s">
        <v>641</v>
      </c>
      <c r="H113" s="13" t="s">
        <v>641</v>
      </c>
    </row>
    <row r="114" spans="1:8">
      <c r="A114" s="13" t="s">
        <v>3180</v>
      </c>
      <c r="B114" s="13">
        <v>1500759</v>
      </c>
      <c r="C114" s="13" t="s">
        <v>641</v>
      </c>
      <c r="D114" s="13" t="s">
        <v>814</v>
      </c>
      <c r="E114" s="13">
        <v>1</v>
      </c>
      <c r="F114" s="13" t="s">
        <v>656</v>
      </c>
      <c r="G114" s="13" t="s">
        <v>641</v>
      </c>
      <c r="H114" s="13" t="s">
        <v>641</v>
      </c>
    </row>
    <row r="115" spans="1:8">
      <c r="A115" s="13" t="s">
        <v>3180</v>
      </c>
      <c r="B115" s="13">
        <v>1500760</v>
      </c>
      <c r="C115" s="13" t="s">
        <v>641</v>
      </c>
      <c r="D115" s="13" t="s">
        <v>815</v>
      </c>
      <c r="E115" s="13">
        <v>1</v>
      </c>
      <c r="F115" s="13" t="s">
        <v>656</v>
      </c>
      <c r="G115" s="13" t="s">
        <v>641</v>
      </c>
      <c r="H115" s="13" t="s">
        <v>641</v>
      </c>
    </row>
    <row r="116" spans="1:8">
      <c r="A116" s="13" t="s">
        <v>3180</v>
      </c>
      <c r="B116" s="13">
        <v>1500761</v>
      </c>
      <c r="C116" s="13" t="s">
        <v>641</v>
      </c>
      <c r="D116" s="13" t="s">
        <v>816</v>
      </c>
      <c r="E116" s="13">
        <v>1</v>
      </c>
      <c r="F116" s="13" t="s">
        <v>656</v>
      </c>
      <c r="G116" s="13" t="s">
        <v>641</v>
      </c>
      <c r="H116" s="13" t="s">
        <v>641</v>
      </c>
    </row>
    <row r="117" spans="1:8">
      <c r="A117" s="13" t="s">
        <v>3180</v>
      </c>
      <c r="B117" s="13">
        <v>1500762</v>
      </c>
      <c r="C117" s="13" t="s">
        <v>641</v>
      </c>
      <c r="D117" s="13" t="s">
        <v>817</v>
      </c>
      <c r="E117" s="13">
        <v>1</v>
      </c>
      <c r="F117" s="13" t="s">
        <v>656</v>
      </c>
      <c r="G117" s="13" t="s">
        <v>641</v>
      </c>
      <c r="H117" s="13" t="s">
        <v>641</v>
      </c>
    </row>
    <row r="118" spans="1:8">
      <c r="A118" s="13" t="s">
        <v>3180</v>
      </c>
      <c r="B118" s="13">
        <v>1500763</v>
      </c>
      <c r="C118" s="13" t="s">
        <v>641</v>
      </c>
      <c r="D118" s="13" t="s">
        <v>818</v>
      </c>
      <c r="E118" s="13">
        <v>1</v>
      </c>
      <c r="F118" s="13" t="s">
        <v>656</v>
      </c>
      <c r="G118" s="13" t="s">
        <v>641</v>
      </c>
      <c r="H118" s="13" t="s">
        <v>641</v>
      </c>
    </row>
    <row r="119" spans="1:8">
      <c r="A119" s="13" t="s">
        <v>3180</v>
      </c>
      <c r="B119" s="13">
        <v>1500764</v>
      </c>
      <c r="C119" s="13" t="s">
        <v>641</v>
      </c>
      <c r="D119" s="13" t="s">
        <v>406</v>
      </c>
      <c r="E119" s="13">
        <v>1</v>
      </c>
      <c r="F119" s="13" t="s">
        <v>656</v>
      </c>
      <c r="G119" s="13" t="s">
        <v>641</v>
      </c>
      <c r="H119" s="13" t="s">
        <v>641</v>
      </c>
    </row>
    <row r="120" spans="1:8">
      <c r="A120" s="13" t="s">
        <v>3180</v>
      </c>
      <c r="B120" s="13">
        <v>1500765</v>
      </c>
      <c r="C120" s="13" t="s">
        <v>641</v>
      </c>
      <c r="D120" s="13" t="s">
        <v>465</v>
      </c>
      <c r="E120" s="13">
        <v>1</v>
      </c>
      <c r="F120" s="13" t="s">
        <v>656</v>
      </c>
      <c r="G120" s="13" t="s">
        <v>641</v>
      </c>
      <c r="H120" s="13" t="s">
        <v>641</v>
      </c>
    </row>
    <row r="121" spans="1:8">
      <c r="A121" s="13" t="s">
        <v>3180</v>
      </c>
      <c r="B121" s="13">
        <v>1500766</v>
      </c>
      <c r="C121" s="13" t="s">
        <v>641</v>
      </c>
      <c r="D121" s="13" t="s">
        <v>512</v>
      </c>
      <c r="E121" s="13">
        <v>1</v>
      </c>
      <c r="F121" s="13" t="s">
        <v>640</v>
      </c>
      <c r="G121" s="13" t="s">
        <v>641</v>
      </c>
      <c r="H121" s="13" t="s">
        <v>641</v>
      </c>
    </row>
    <row r="122" spans="1:8">
      <c r="A122" s="13" t="s">
        <v>3180</v>
      </c>
      <c r="B122" s="13">
        <v>1500768</v>
      </c>
      <c r="C122" s="13" t="s">
        <v>641</v>
      </c>
      <c r="D122" s="13" t="s">
        <v>662</v>
      </c>
      <c r="E122" s="13">
        <v>2</v>
      </c>
      <c r="F122" s="13" t="s">
        <v>654</v>
      </c>
      <c r="G122" s="13" t="s">
        <v>654</v>
      </c>
      <c r="H122" s="13" t="s">
        <v>3183</v>
      </c>
    </row>
    <row r="123" spans="1:9">
      <c r="A123" s="13" t="s">
        <v>3180</v>
      </c>
      <c r="B123" s="13">
        <v>1500769</v>
      </c>
      <c r="C123" s="13" t="s">
        <v>641</v>
      </c>
      <c r="D123" s="13" t="s">
        <v>416</v>
      </c>
      <c r="E123" s="13">
        <v>1</v>
      </c>
      <c r="F123" s="13" t="s">
        <v>644</v>
      </c>
      <c r="G123" s="13" t="s">
        <v>641</v>
      </c>
      <c r="H123" s="13" t="s">
        <v>641</v>
      </c>
      <c r="I123" t="s">
        <v>3196</v>
      </c>
    </row>
    <row r="124" spans="1:8">
      <c r="A124" s="13" t="s">
        <v>3180</v>
      </c>
      <c r="B124" s="13">
        <v>1500770</v>
      </c>
      <c r="C124" s="13" t="s">
        <v>641</v>
      </c>
      <c r="D124" s="13" t="s">
        <v>457</v>
      </c>
      <c r="E124" s="13">
        <v>1</v>
      </c>
      <c r="F124" s="13" t="s">
        <v>640</v>
      </c>
      <c r="G124" s="13" t="s">
        <v>3186</v>
      </c>
      <c r="H124" s="13" t="s">
        <v>641</v>
      </c>
    </row>
    <row r="125" spans="1:8">
      <c r="A125" s="13" t="s">
        <v>3180</v>
      </c>
      <c r="B125" s="13">
        <v>1500771</v>
      </c>
      <c r="C125" s="13" t="s">
        <v>641</v>
      </c>
      <c r="D125" s="13" t="s">
        <v>497</v>
      </c>
      <c r="E125" s="13">
        <v>1</v>
      </c>
      <c r="F125" s="13" t="s">
        <v>640</v>
      </c>
      <c r="G125" s="13" t="s">
        <v>3186</v>
      </c>
      <c r="H125" s="13" t="s">
        <v>641</v>
      </c>
    </row>
    <row r="126" spans="1:8">
      <c r="A126" s="13" t="s">
        <v>3180</v>
      </c>
      <c r="B126" s="13">
        <v>1500772</v>
      </c>
      <c r="C126" s="13" t="s">
        <v>641</v>
      </c>
      <c r="D126" s="13" t="s">
        <v>492</v>
      </c>
      <c r="E126" s="13">
        <v>1</v>
      </c>
      <c r="F126" s="13" t="s">
        <v>640</v>
      </c>
      <c r="G126" s="13" t="s">
        <v>641</v>
      </c>
      <c r="H126" s="13" t="s">
        <v>641</v>
      </c>
    </row>
    <row r="127" spans="1:8">
      <c r="A127" s="13" t="s">
        <v>3180</v>
      </c>
      <c r="B127" s="13">
        <v>1500773</v>
      </c>
      <c r="C127" s="13" t="s">
        <v>641</v>
      </c>
      <c r="D127" s="13" t="s">
        <v>820</v>
      </c>
      <c r="E127" s="13">
        <v>1</v>
      </c>
      <c r="F127" s="13" t="s">
        <v>640</v>
      </c>
      <c r="G127" s="13" t="s">
        <v>641</v>
      </c>
      <c r="H127" s="13" t="s">
        <v>641</v>
      </c>
    </row>
    <row r="128" spans="1:8">
      <c r="A128" s="13" t="s">
        <v>3180</v>
      </c>
      <c r="B128" s="13">
        <v>1500774</v>
      </c>
      <c r="C128" s="13" t="s">
        <v>641</v>
      </c>
      <c r="D128" s="13" t="s">
        <v>288</v>
      </c>
      <c r="E128" s="13">
        <v>1</v>
      </c>
      <c r="F128" s="13" t="s">
        <v>640</v>
      </c>
      <c r="G128" s="13" t="s">
        <v>641</v>
      </c>
      <c r="H128" s="13" t="s">
        <v>641</v>
      </c>
    </row>
    <row r="129" spans="1:8">
      <c r="A129" s="13" t="s">
        <v>3180</v>
      </c>
      <c r="B129" s="13">
        <v>1500775</v>
      </c>
      <c r="C129" s="13" t="s">
        <v>641</v>
      </c>
      <c r="D129" s="13" t="s">
        <v>266</v>
      </c>
      <c r="E129" s="13">
        <v>1</v>
      </c>
      <c r="F129" s="13" t="s">
        <v>640</v>
      </c>
      <c r="G129" s="13" t="s">
        <v>641</v>
      </c>
      <c r="H129" s="13" t="s">
        <v>641</v>
      </c>
    </row>
    <row r="130" spans="1:8">
      <c r="A130" s="13" t="s">
        <v>3180</v>
      </c>
      <c r="B130" s="13">
        <v>1500776</v>
      </c>
      <c r="C130" s="13" t="s">
        <v>641</v>
      </c>
      <c r="D130" s="13" t="s">
        <v>308</v>
      </c>
      <c r="E130" s="13">
        <v>1</v>
      </c>
      <c r="F130" s="13" t="s">
        <v>640</v>
      </c>
      <c r="G130" s="13" t="s">
        <v>641</v>
      </c>
      <c r="H130" s="13" t="s">
        <v>641</v>
      </c>
    </row>
    <row r="131" spans="1:8">
      <c r="A131" s="13" t="s">
        <v>3180</v>
      </c>
      <c r="B131" s="13">
        <v>1500777</v>
      </c>
      <c r="C131" s="13" t="s">
        <v>641</v>
      </c>
      <c r="D131" s="13" t="s">
        <v>821</v>
      </c>
      <c r="E131" s="13">
        <v>1</v>
      </c>
      <c r="F131" s="13" t="s">
        <v>640</v>
      </c>
      <c r="G131" s="13" t="s">
        <v>641</v>
      </c>
      <c r="H131" s="13" t="s">
        <v>641</v>
      </c>
    </row>
    <row r="132" spans="1:8">
      <c r="A132" s="13" t="s">
        <v>3180</v>
      </c>
      <c r="B132" s="13">
        <v>1500778</v>
      </c>
      <c r="C132" s="13" t="s">
        <v>641</v>
      </c>
      <c r="D132" s="13" t="s">
        <v>299</v>
      </c>
      <c r="E132" s="13">
        <v>1</v>
      </c>
      <c r="F132" s="13" t="s">
        <v>640</v>
      </c>
      <c r="G132" s="13" t="s">
        <v>3186</v>
      </c>
      <c r="H132" s="13" t="s">
        <v>641</v>
      </c>
    </row>
    <row r="133" spans="1:8">
      <c r="A133" s="13" t="s">
        <v>3180</v>
      </c>
      <c r="B133" s="13">
        <v>1500779</v>
      </c>
      <c r="C133" s="13" t="s">
        <v>641</v>
      </c>
      <c r="D133" s="13" t="s">
        <v>822</v>
      </c>
      <c r="E133" s="13">
        <v>1</v>
      </c>
      <c r="F133" s="13" t="s">
        <v>640</v>
      </c>
      <c r="G133" s="13" t="s">
        <v>641</v>
      </c>
      <c r="H133" s="13" t="s">
        <v>641</v>
      </c>
    </row>
    <row r="134" spans="1:8">
      <c r="A134" s="13" t="s">
        <v>3180</v>
      </c>
      <c r="B134" s="13">
        <v>1500780</v>
      </c>
      <c r="C134" s="13" t="s">
        <v>641</v>
      </c>
      <c r="D134" s="13" t="s">
        <v>664</v>
      </c>
      <c r="E134" s="13">
        <v>1</v>
      </c>
      <c r="F134" s="13" t="s">
        <v>640</v>
      </c>
      <c r="G134" s="13" t="s">
        <v>641</v>
      </c>
      <c r="H134" s="13" t="s">
        <v>641</v>
      </c>
    </row>
    <row r="135" spans="1:8">
      <c r="A135" s="13" t="s">
        <v>3180</v>
      </c>
      <c r="B135" s="13">
        <v>1500781</v>
      </c>
      <c r="C135" s="13" t="s">
        <v>641</v>
      </c>
      <c r="D135" s="13" t="s">
        <v>170</v>
      </c>
      <c r="E135" s="13">
        <v>1</v>
      </c>
      <c r="F135" s="13" t="s">
        <v>642</v>
      </c>
      <c r="G135" s="13" t="s">
        <v>2437</v>
      </c>
      <c r="H135" s="13" t="s">
        <v>641</v>
      </c>
    </row>
    <row r="136" spans="1:8">
      <c r="A136" s="13" t="s">
        <v>3180</v>
      </c>
      <c r="B136" s="13">
        <v>1500782</v>
      </c>
      <c r="C136" s="13" t="s">
        <v>641</v>
      </c>
      <c r="D136" s="13" t="s">
        <v>823</v>
      </c>
      <c r="E136" s="13">
        <v>2</v>
      </c>
      <c r="F136" s="13" t="s">
        <v>654</v>
      </c>
      <c r="G136" s="13" t="s">
        <v>641</v>
      </c>
      <c r="H136" s="13" t="s">
        <v>641</v>
      </c>
    </row>
    <row r="137" spans="1:8">
      <c r="A137" s="13" t="s">
        <v>3180</v>
      </c>
      <c r="B137" s="13">
        <v>1500783</v>
      </c>
      <c r="C137" s="13" t="s">
        <v>641</v>
      </c>
      <c r="D137" s="13" t="s">
        <v>665</v>
      </c>
      <c r="E137" s="13">
        <v>2</v>
      </c>
      <c r="F137" s="13" t="s">
        <v>654</v>
      </c>
      <c r="G137" s="13" t="s">
        <v>641</v>
      </c>
      <c r="H137" s="13" t="s">
        <v>641</v>
      </c>
    </row>
    <row r="138" spans="1:8">
      <c r="A138" s="13" t="s">
        <v>3180</v>
      </c>
      <c r="B138" s="13">
        <v>1500784</v>
      </c>
      <c r="C138" s="13" t="s">
        <v>641</v>
      </c>
      <c r="D138" s="13" t="s">
        <v>511</v>
      </c>
      <c r="E138" s="13">
        <v>1</v>
      </c>
      <c r="F138" s="13" t="s">
        <v>646</v>
      </c>
      <c r="G138" s="13" t="s">
        <v>641</v>
      </c>
      <c r="H138" s="13" t="s">
        <v>641</v>
      </c>
    </row>
    <row r="139" spans="1:8">
      <c r="A139" s="13" t="s">
        <v>3180</v>
      </c>
      <c r="B139" s="13">
        <v>1500785</v>
      </c>
      <c r="C139" s="13" t="s">
        <v>641</v>
      </c>
      <c r="D139" s="13" t="s">
        <v>587</v>
      </c>
      <c r="E139" s="13">
        <v>1</v>
      </c>
      <c r="F139" s="13" t="s">
        <v>656</v>
      </c>
      <c r="G139" s="13" t="s">
        <v>641</v>
      </c>
      <c r="H139" s="13" t="s">
        <v>641</v>
      </c>
    </row>
    <row r="140" spans="1:8">
      <c r="A140" s="13" t="s">
        <v>3180</v>
      </c>
      <c r="B140" s="13">
        <v>1500786</v>
      </c>
      <c r="C140" s="13" t="s">
        <v>641</v>
      </c>
      <c r="D140" s="13" t="s">
        <v>824</v>
      </c>
      <c r="E140" s="13">
        <v>1</v>
      </c>
      <c r="F140" s="13" t="s">
        <v>640</v>
      </c>
      <c r="G140" s="13" t="s">
        <v>641</v>
      </c>
      <c r="H140" s="13" t="s">
        <v>641</v>
      </c>
    </row>
    <row r="141" spans="1:8">
      <c r="A141" s="13" t="s">
        <v>3180</v>
      </c>
      <c r="B141" s="13">
        <v>1500787</v>
      </c>
      <c r="C141" s="13" t="s">
        <v>641</v>
      </c>
      <c r="D141" s="13" t="s">
        <v>825</v>
      </c>
      <c r="E141" s="13">
        <v>1</v>
      </c>
      <c r="F141" s="13" t="s">
        <v>640</v>
      </c>
      <c r="G141" s="13" t="s">
        <v>641</v>
      </c>
      <c r="H141" s="13" t="s">
        <v>641</v>
      </c>
    </row>
    <row r="142" spans="1:8">
      <c r="A142" s="13" t="s">
        <v>3180</v>
      </c>
      <c r="B142" s="13">
        <v>1500788</v>
      </c>
      <c r="C142" s="13" t="s">
        <v>641</v>
      </c>
      <c r="D142" s="13" t="s">
        <v>666</v>
      </c>
      <c r="E142" s="13">
        <v>1</v>
      </c>
      <c r="F142" s="13" t="s">
        <v>640</v>
      </c>
      <c r="G142" s="13" t="s">
        <v>641</v>
      </c>
      <c r="H142" s="13" t="s">
        <v>641</v>
      </c>
    </row>
    <row r="143" spans="1:8">
      <c r="A143" s="13" t="s">
        <v>3180</v>
      </c>
      <c r="B143" s="13">
        <v>1500789</v>
      </c>
      <c r="C143" s="13" t="s">
        <v>641</v>
      </c>
      <c r="D143" s="13" t="s">
        <v>826</v>
      </c>
      <c r="E143" s="13">
        <v>1</v>
      </c>
      <c r="F143" s="13" t="s">
        <v>656</v>
      </c>
      <c r="G143" s="13" t="s">
        <v>641</v>
      </c>
      <c r="H143" s="13" t="s">
        <v>641</v>
      </c>
    </row>
    <row r="144" spans="1:8">
      <c r="A144" s="13" t="s">
        <v>3180</v>
      </c>
      <c r="B144" s="13">
        <v>1500790</v>
      </c>
      <c r="C144" s="13" t="s">
        <v>641</v>
      </c>
      <c r="D144" s="13" t="s">
        <v>827</v>
      </c>
      <c r="E144" s="13">
        <v>1</v>
      </c>
      <c r="F144" s="13" t="s">
        <v>640</v>
      </c>
      <c r="G144" s="13" t="s">
        <v>3186</v>
      </c>
      <c r="H144" s="13" t="s">
        <v>641</v>
      </c>
    </row>
    <row r="145" spans="1:8">
      <c r="A145" s="13" t="s">
        <v>3180</v>
      </c>
      <c r="B145" s="13">
        <v>1500791</v>
      </c>
      <c r="C145" s="13" t="s">
        <v>641</v>
      </c>
      <c r="D145" s="13" t="s">
        <v>828</v>
      </c>
      <c r="E145" s="13">
        <v>1</v>
      </c>
      <c r="F145" s="13" t="s">
        <v>640</v>
      </c>
      <c r="G145" s="13" t="s">
        <v>3186</v>
      </c>
      <c r="H145" s="13" t="s">
        <v>641</v>
      </c>
    </row>
    <row r="146" spans="1:8">
      <c r="A146" s="13" t="s">
        <v>3180</v>
      </c>
      <c r="B146" s="13">
        <v>1500792</v>
      </c>
      <c r="C146" s="13" t="s">
        <v>641</v>
      </c>
      <c r="D146" s="13" t="s">
        <v>3202</v>
      </c>
      <c r="E146" s="13">
        <v>1</v>
      </c>
      <c r="F146" s="13" t="s">
        <v>646</v>
      </c>
      <c r="G146" s="13" t="s">
        <v>2627</v>
      </c>
      <c r="H146" s="13" t="s">
        <v>641</v>
      </c>
    </row>
    <row r="147" spans="1:8">
      <c r="A147" s="13" t="s">
        <v>3180</v>
      </c>
      <c r="B147" s="13">
        <v>1500793</v>
      </c>
      <c r="C147" s="13" t="s">
        <v>641</v>
      </c>
      <c r="D147" s="13" t="s">
        <v>829</v>
      </c>
      <c r="E147" s="13">
        <v>1</v>
      </c>
      <c r="F147" s="13" t="s">
        <v>640</v>
      </c>
      <c r="G147" s="13" t="s">
        <v>3186</v>
      </c>
      <c r="H147" s="13" t="s">
        <v>641</v>
      </c>
    </row>
    <row r="148" spans="1:8">
      <c r="A148" s="13" t="s">
        <v>3180</v>
      </c>
      <c r="B148" s="13">
        <v>1500794</v>
      </c>
      <c r="C148" s="13" t="s">
        <v>641</v>
      </c>
      <c r="D148" s="13" t="s">
        <v>830</v>
      </c>
      <c r="E148" s="13">
        <v>1</v>
      </c>
      <c r="F148" s="13" t="s">
        <v>640</v>
      </c>
      <c r="G148" s="13" t="s">
        <v>641</v>
      </c>
      <c r="H148" s="13" t="s">
        <v>641</v>
      </c>
    </row>
    <row r="149" spans="1:8">
      <c r="A149" s="13" t="s">
        <v>3180</v>
      </c>
      <c r="B149" s="13">
        <v>1500795</v>
      </c>
      <c r="C149" s="13" t="s">
        <v>641</v>
      </c>
      <c r="D149" s="13" t="s">
        <v>491</v>
      </c>
      <c r="E149" s="13">
        <v>1</v>
      </c>
      <c r="F149" s="13" t="s">
        <v>640</v>
      </c>
      <c r="G149" s="13" t="s">
        <v>641</v>
      </c>
      <c r="H149" s="13" t="s">
        <v>641</v>
      </c>
    </row>
    <row r="150" spans="1:8">
      <c r="A150" s="13" t="s">
        <v>3180</v>
      </c>
      <c r="B150" s="13">
        <v>1500796</v>
      </c>
      <c r="C150" s="13" t="s">
        <v>641</v>
      </c>
      <c r="D150" s="13" t="s">
        <v>831</v>
      </c>
      <c r="E150" s="13">
        <v>1</v>
      </c>
      <c r="F150" s="13" t="s">
        <v>649</v>
      </c>
      <c r="G150" s="13" t="s">
        <v>641</v>
      </c>
      <c r="H150" s="13" t="s">
        <v>641</v>
      </c>
    </row>
    <row r="151" spans="1:8">
      <c r="A151" s="13" t="s">
        <v>3180</v>
      </c>
      <c r="B151" s="13">
        <v>1500797</v>
      </c>
      <c r="C151" s="13" t="s">
        <v>641</v>
      </c>
      <c r="D151" s="13" t="s">
        <v>319</v>
      </c>
      <c r="E151" s="13">
        <v>1</v>
      </c>
      <c r="F151" s="13" t="s">
        <v>640</v>
      </c>
      <c r="G151" s="13" t="s">
        <v>641</v>
      </c>
      <c r="H151" s="13" t="s">
        <v>641</v>
      </c>
    </row>
    <row r="152" spans="1:8">
      <c r="A152" s="13" t="s">
        <v>3180</v>
      </c>
      <c r="B152" s="13">
        <v>1500798</v>
      </c>
      <c r="C152" s="13" t="s">
        <v>641</v>
      </c>
      <c r="D152" s="13" t="s">
        <v>832</v>
      </c>
      <c r="E152" s="13">
        <v>1</v>
      </c>
      <c r="F152" s="13" t="s">
        <v>649</v>
      </c>
      <c r="G152" s="13" t="s">
        <v>641</v>
      </c>
      <c r="H152" s="13" t="s">
        <v>641</v>
      </c>
    </row>
    <row r="153" spans="1:8">
      <c r="A153" s="13" t="s">
        <v>3180</v>
      </c>
      <c r="B153" s="13">
        <v>1500799</v>
      </c>
      <c r="C153" s="13" t="s">
        <v>641</v>
      </c>
      <c r="D153" s="13" t="s">
        <v>3203</v>
      </c>
      <c r="E153" s="13">
        <v>1</v>
      </c>
      <c r="F153" s="13" t="s">
        <v>640</v>
      </c>
      <c r="G153" s="13" t="s">
        <v>3186</v>
      </c>
      <c r="H153" s="13" t="s">
        <v>641</v>
      </c>
    </row>
    <row r="154" spans="1:8">
      <c r="A154" s="13" t="s">
        <v>3180</v>
      </c>
      <c r="B154" s="13">
        <v>1500800</v>
      </c>
      <c r="C154" s="13" t="s">
        <v>641</v>
      </c>
      <c r="D154" s="13" t="s">
        <v>834</v>
      </c>
      <c r="E154" s="13">
        <v>1</v>
      </c>
      <c r="F154" s="13" t="s">
        <v>644</v>
      </c>
      <c r="G154" s="13" t="s">
        <v>3204</v>
      </c>
      <c r="H154" s="13" t="s">
        <v>641</v>
      </c>
    </row>
    <row r="155" spans="1:8">
      <c r="A155" s="13" t="s">
        <v>3180</v>
      </c>
      <c r="B155" s="13">
        <v>1500801</v>
      </c>
      <c r="C155" s="13" t="s">
        <v>641</v>
      </c>
      <c r="D155" s="13" t="s">
        <v>835</v>
      </c>
      <c r="E155" s="13">
        <v>1</v>
      </c>
      <c r="F155" s="13" t="s">
        <v>656</v>
      </c>
      <c r="G155" s="13" t="s">
        <v>641</v>
      </c>
      <c r="H155" s="13" t="s">
        <v>641</v>
      </c>
    </row>
    <row r="156" spans="1:8">
      <c r="A156" s="13" t="s">
        <v>3180</v>
      </c>
      <c r="B156" s="13">
        <v>1500802</v>
      </c>
      <c r="C156" s="13" t="s">
        <v>641</v>
      </c>
      <c r="D156" s="13" t="s">
        <v>605</v>
      </c>
      <c r="E156" s="13">
        <v>1</v>
      </c>
      <c r="F156" s="13" t="s">
        <v>656</v>
      </c>
      <c r="G156" s="13" t="s">
        <v>641</v>
      </c>
      <c r="H156" s="13" t="s">
        <v>641</v>
      </c>
    </row>
    <row r="157" spans="1:8">
      <c r="A157" s="13" t="s">
        <v>3180</v>
      </c>
      <c r="B157" s="13">
        <v>1500803</v>
      </c>
      <c r="C157" s="13" t="s">
        <v>641</v>
      </c>
      <c r="D157" s="13" t="s">
        <v>836</v>
      </c>
      <c r="E157" s="13">
        <v>1</v>
      </c>
      <c r="F157" s="13" t="s">
        <v>640</v>
      </c>
      <c r="G157" s="13" t="s">
        <v>3186</v>
      </c>
      <c r="H157" s="13" t="s">
        <v>641</v>
      </c>
    </row>
    <row r="158" spans="1:8">
      <c r="A158" s="13" t="s">
        <v>3180</v>
      </c>
      <c r="B158" s="13">
        <v>1500804</v>
      </c>
      <c r="C158" s="13" t="s">
        <v>641</v>
      </c>
      <c r="D158" s="13" t="s">
        <v>837</v>
      </c>
      <c r="E158" s="13">
        <v>1</v>
      </c>
      <c r="F158" s="13" t="s">
        <v>640</v>
      </c>
      <c r="G158" s="13" t="s">
        <v>3186</v>
      </c>
      <c r="H158" s="13" t="s">
        <v>641</v>
      </c>
    </row>
    <row r="159" spans="1:8">
      <c r="A159" s="13" t="s">
        <v>3180</v>
      </c>
      <c r="B159" s="13">
        <v>1500805</v>
      </c>
      <c r="C159" s="13" t="s">
        <v>641</v>
      </c>
      <c r="D159" s="13" t="s">
        <v>3205</v>
      </c>
      <c r="E159" s="13">
        <v>1</v>
      </c>
      <c r="F159" s="13" t="s">
        <v>640</v>
      </c>
      <c r="G159" s="13" t="s">
        <v>3186</v>
      </c>
      <c r="H159" s="13" t="s">
        <v>641</v>
      </c>
    </row>
    <row r="160" spans="1:8">
      <c r="A160" s="13" t="s">
        <v>3180</v>
      </c>
      <c r="B160" s="13">
        <v>1500806</v>
      </c>
      <c r="C160" s="13" t="s">
        <v>641</v>
      </c>
      <c r="D160" s="13" t="s">
        <v>3206</v>
      </c>
      <c r="E160" s="13">
        <v>2</v>
      </c>
      <c r="F160" s="13" t="s">
        <v>654</v>
      </c>
      <c r="G160" s="13" t="s">
        <v>641</v>
      </c>
      <c r="H160" s="13" t="s">
        <v>641</v>
      </c>
    </row>
    <row r="161" spans="1:8">
      <c r="A161" s="13" t="s">
        <v>3180</v>
      </c>
      <c r="B161" s="13">
        <v>1500807</v>
      </c>
      <c r="C161" s="13" t="s">
        <v>641</v>
      </c>
      <c r="D161" s="13" t="s">
        <v>838</v>
      </c>
      <c r="E161" s="13">
        <v>1</v>
      </c>
      <c r="F161" s="13" t="s">
        <v>640</v>
      </c>
      <c r="G161" s="13" t="s">
        <v>3186</v>
      </c>
      <c r="H161" s="13" t="s">
        <v>641</v>
      </c>
    </row>
    <row r="162" spans="1:8">
      <c r="A162" s="13" t="s">
        <v>3180</v>
      </c>
      <c r="B162" s="13">
        <v>1500808</v>
      </c>
      <c r="C162" s="13" t="s">
        <v>641</v>
      </c>
      <c r="D162" s="13" t="s">
        <v>839</v>
      </c>
      <c r="E162" s="13">
        <v>1</v>
      </c>
      <c r="F162" s="13" t="s">
        <v>640</v>
      </c>
      <c r="G162" s="13" t="s">
        <v>3186</v>
      </c>
      <c r="H162" s="13" t="s">
        <v>641</v>
      </c>
    </row>
    <row r="163" spans="1:8">
      <c r="A163" s="13" t="s">
        <v>3180</v>
      </c>
      <c r="B163" s="13">
        <v>1500809</v>
      </c>
      <c r="C163" s="13" t="s">
        <v>641</v>
      </c>
      <c r="D163" s="13" t="s">
        <v>840</v>
      </c>
      <c r="E163" s="13">
        <v>1</v>
      </c>
      <c r="F163" s="13" t="s">
        <v>640</v>
      </c>
      <c r="G163" s="13" t="s">
        <v>3186</v>
      </c>
      <c r="H163" s="13" t="s">
        <v>641</v>
      </c>
    </row>
    <row r="164" spans="1:8">
      <c r="A164" s="13" t="s">
        <v>3180</v>
      </c>
      <c r="B164" s="13">
        <v>1500810</v>
      </c>
      <c r="C164" s="13" t="s">
        <v>641</v>
      </c>
      <c r="D164" s="13" t="s">
        <v>572</v>
      </c>
      <c r="E164" s="13">
        <v>1</v>
      </c>
      <c r="F164" s="13" t="s">
        <v>640</v>
      </c>
      <c r="G164" s="13" t="s">
        <v>3186</v>
      </c>
      <c r="H164" s="13" t="s">
        <v>641</v>
      </c>
    </row>
    <row r="165" spans="1:8">
      <c r="A165" s="13" t="s">
        <v>3180</v>
      </c>
      <c r="B165" s="13">
        <v>1500811</v>
      </c>
      <c r="C165" s="13" t="s">
        <v>641</v>
      </c>
      <c r="D165" s="13" t="s">
        <v>481</v>
      </c>
      <c r="E165" s="13">
        <v>1</v>
      </c>
      <c r="F165" s="13" t="s">
        <v>640</v>
      </c>
      <c r="G165" s="13" t="s">
        <v>3186</v>
      </c>
      <c r="H165" s="13" t="s">
        <v>641</v>
      </c>
    </row>
    <row r="166" spans="1:8">
      <c r="A166" s="13" t="s">
        <v>3180</v>
      </c>
      <c r="B166" s="13">
        <v>1500812</v>
      </c>
      <c r="C166" s="13" t="s">
        <v>641</v>
      </c>
      <c r="D166" s="13" t="s">
        <v>394</v>
      </c>
      <c r="E166" s="13">
        <v>1</v>
      </c>
      <c r="F166" s="13" t="s">
        <v>640</v>
      </c>
      <c r="G166" s="13" t="s">
        <v>641</v>
      </c>
      <c r="H166" s="13" t="s">
        <v>641</v>
      </c>
    </row>
    <row r="167" spans="1:8">
      <c r="A167" s="13" t="s">
        <v>3180</v>
      </c>
      <c r="B167" s="13">
        <v>1500813</v>
      </c>
      <c r="C167" s="13" t="s">
        <v>641</v>
      </c>
      <c r="D167" s="13" t="s">
        <v>841</v>
      </c>
      <c r="E167" s="13">
        <v>1</v>
      </c>
      <c r="F167" s="13" t="s">
        <v>649</v>
      </c>
      <c r="G167" s="13" t="s">
        <v>641</v>
      </c>
      <c r="H167" s="13" t="s">
        <v>641</v>
      </c>
    </row>
    <row r="168" spans="1:8">
      <c r="A168" s="13" t="s">
        <v>3180</v>
      </c>
      <c r="B168" s="13">
        <v>1500814</v>
      </c>
      <c r="C168" s="13" t="s">
        <v>641</v>
      </c>
      <c r="D168" s="13" t="s">
        <v>842</v>
      </c>
      <c r="E168" s="13">
        <v>1</v>
      </c>
      <c r="F168" s="13" t="s">
        <v>640</v>
      </c>
      <c r="G168" s="13" t="s">
        <v>641</v>
      </c>
      <c r="H168" s="13" t="s">
        <v>641</v>
      </c>
    </row>
    <row r="169" spans="1:8">
      <c r="A169" s="13" t="s">
        <v>3180</v>
      </c>
      <c r="B169" s="13">
        <v>1500815</v>
      </c>
      <c r="C169" s="13" t="s">
        <v>641</v>
      </c>
      <c r="D169" s="13" t="s">
        <v>667</v>
      </c>
      <c r="E169" s="13">
        <v>1</v>
      </c>
      <c r="F169" s="13" t="s">
        <v>649</v>
      </c>
      <c r="G169" s="13" t="s">
        <v>3207</v>
      </c>
      <c r="H169" s="13" t="s">
        <v>641</v>
      </c>
    </row>
    <row r="170" spans="1:8">
      <c r="A170" s="13" t="s">
        <v>3180</v>
      </c>
      <c r="B170" s="13">
        <v>1500816</v>
      </c>
      <c r="C170" s="13" t="s">
        <v>641</v>
      </c>
      <c r="D170" s="13" t="s">
        <v>604</v>
      </c>
      <c r="E170" s="13">
        <v>1</v>
      </c>
      <c r="F170" s="13" t="s">
        <v>640</v>
      </c>
      <c r="G170" s="13" t="s">
        <v>3186</v>
      </c>
      <c r="H170" s="13" t="s">
        <v>641</v>
      </c>
    </row>
    <row r="171" spans="1:8">
      <c r="A171" s="13" t="s">
        <v>3180</v>
      </c>
      <c r="B171" s="13">
        <v>1500817</v>
      </c>
      <c r="C171" s="13" t="s">
        <v>641</v>
      </c>
      <c r="D171" s="13" t="s">
        <v>564</v>
      </c>
      <c r="E171" s="13">
        <v>1</v>
      </c>
      <c r="F171" s="13" t="s">
        <v>640</v>
      </c>
      <c r="G171" s="13" t="s">
        <v>641</v>
      </c>
      <c r="H171" s="13" t="s">
        <v>641</v>
      </c>
    </row>
    <row r="172" spans="1:8">
      <c r="A172" s="13" t="s">
        <v>3180</v>
      </c>
      <c r="B172" s="13">
        <v>1500818</v>
      </c>
      <c r="C172" s="13" t="s">
        <v>641</v>
      </c>
      <c r="D172" s="13" t="s">
        <v>417</v>
      </c>
      <c r="E172" s="13">
        <v>1</v>
      </c>
      <c r="F172" s="13" t="s">
        <v>649</v>
      </c>
      <c r="G172" s="13" t="s">
        <v>641</v>
      </c>
      <c r="H172" s="13" t="s">
        <v>641</v>
      </c>
    </row>
    <row r="173" spans="1:8">
      <c r="A173" s="13" t="s">
        <v>3180</v>
      </c>
      <c r="B173" s="13">
        <v>1500819</v>
      </c>
      <c r="C173" s="13" t="s">
        <v>641</v>
      </c>
      <c r="D173" s="13" t="s">
        <v>843</v>
      </c>
      <c r="E173" s="13">
        <v>1</v>
      </c>
      <c r="F173" s="13" t="s">
        <v>640</v>
      </c>
      <c r="G173" s="13" t="s">
        <v>3186</v>
      </c>
      <c r="H173" s="13" t="s">
        <v>641</v>
      </c>
    </row>
    <row r="174" spans="1:8">
      <c r="A174" s="13" t="s">
        <v>3180</v>
      </c>
      <c r="B174" s="13">
        <v>1500820</v>
      </c>
      <c r="C174" s="13" t="s">
        <v>641</v>
      </c>
      <c r="D174" s="13" t="s">
        <v>360</v>
      </c>
      <c r="E174" s="13">
        <v>1</v>
      </c>
      <c r="F174" s="13" t="s">
        <v>649</v>
      </c>
      <c r="G174" s="13" t="s">
        <v>641</v>
      </c>
      <c r="H174" s="13" t="s">
        <v>641</v>
      </c>
    </row>
    <row r="175" spans="1:8">
      <c r="A175" s="13" t="s">
        <v>3180</v>
      </c>
      <c r="B175" s="13">
        <v>1500821</v>
      </c>
      <c r="C175" s="13" t="s">
        <v>641</v>
      </c>
      <c r="D175" s="13" t="s">
        <v>189</v>
      </c>
      <c r="E175" s="13">
        <v>1</v>
      </c>
      <c r="F175" s="13" t="s">
        <v>649</v>
      </c>
      <c r="G175" s="13" t="s">
        <v>641</v>
      </c>
      <c r="H175" s="13" t="s">
        <v>641</v>
      </c>
    </row>
    <row r="176" spans="1:8">
      <c r="A176" s="13" t="s">
        <v>3180</v>
      </c>
      <c r="B176" s="13">
        <v>1500822</v>
      </c>
      <c r="C176" s="13" t="s">
        <v>641</v>
      </c>
      <c r="D176" s="13" t="s">
        <v>464</v>
      </c>
      <c r="E176" s="13">
        <v>1</v>
      </c>
      <c r="F176" s="13" t="s">
        <v>649</v>
      </c>
      <c r="G176" s="13" t="s">
        <v>641</v>
      </c>
      <c r="H176" s="13" t="s">
        <v>641</v>
      </c>
    </row>
    <row r="177" spans="1:8">
      <c r="A177" s="13" t="s">
        <v>3180</v>
      </c>
      <c r="B177" s="13">
        <v>1500823</v>
      </c>
      <c r="C177" s="13" t="s">
        <v>641</v>
      </c>
      <c r="D177" s="13" t="s">
        <v>844</v>
      </c>
      <c r="E177" s="13">
        <v>1</v>
      </c>
      <c r="F177" s="13" t="s">
        <v>640</v>
      </c>
      <c r="G177" s="13" t="s">
        <v>641</v>
      </c>
      <c r="H177" s="13" t="s">
        <v>641</v>
      </c>
    </row>
    <row r="178" spans="1:8">
      <c r="A178" s="13" t="s">
        <v>3180</v>
      </c>
      <c r="B178" s="13">
        <v>1500824</v>
      </c>
      <c r="C178" s="13" t="s">
        <v>641</v>
      </c>
      <c r="D178" s="13" t="s">
        <v>3208</v>
      </c>
      <c r="E178" s="13">
        <v>2</v>
      </c>
      <c r="F178" s="13" t="s">
        <v>654</v>
      </c>
      <c r="G178" s="13" t="s">
        <v>641</v>
      </c>
      <c r="H178" s="13" t="s">
        <v>641</v>
      </c>
    </row>
    <row r="179" spans="1:8">
      <c r="A179" s="13" t="s">
        <v>3180</v>
      </c>
      <c r="B179" s="13">
        <v>1500825</v>
      </c>
      <c r="C179" s="13" t="s">
        <v>641</v>
      </c>
      <c r="D179" s="13" t="s">
        <v>300</v>
      </c>
      <c r="E179" s="13">
        <v>1</v>
      </c>
      <c r="F179" s="13" t="s">
        <v>642</v>
      </c>
      <c r="G179" s="13" t="s">
        <v>641</v>
      </c>
      <c r="H179" s="13" t="s">
        <v>641</v>
      </c>
    </row>
    <row r="180" spans="1:8">
      <c r="A180" s="13" t="s">
        <v>3180</v>
      </c>
      <c r="B180" s="13">
        <v>1500826</v>
      </c>
      <c r="C180" s="13" t="s">
        <v>641</v>
      </c>
      <c r="D180" s="13" t="s">
        <v>289</v>
      </c>
      <c r="E180" s="13">
        <v>1</v>
      </c>
      <c r="F180" s="13" t="s">
        <v>656</v>
      </c>
      <c r="G180" s="13" t="s">
        <v>641</v>
      </c>
      <c r="H180" s="13" t="s">
        <v>641</v>
      </c>
    </row>
    <row r="181" spans="1:8">
      <c r="A181" s="13" t="s">
        <v>3180</v>
      </c>
      <c r="B181" s="13">
        <v>1500827</v>
      </c>
      <c r="C181" s="13" t="s">
        <v>641</v>
      </c>
      <c r="D181" s="13" t="s">
        <v>294</v>
      </c>
      <c r="E181" s="13">
        <v>1</v>
      </c>
      <c r="F181" s="13" t="s">
        <v>644</v>
      </c>
      <c r="G181" s="13" t="s">
        <v>641</v>
      </c>
      <c r="H181" s="13" t="s">
        <v>641</v>
      </c>
    </row>
    <row r="182" spans="1:8">
      <c r="A182" s="13" t="s">
        <v>3180</v>
      </c>
      <c r="B182" s="13">
        <v>1500828</v>
      </c>
      <c r="C182" s="13" t="s">
        <v>641</v>
      </c>
      <c r="D182" s="13" t="s">
        <v>207</v>
      </c>
      <c r="E182" s="13">
        <v>1</v>
      </c>
      <c r="F182" s="13" t="s">
        <v>644</v>
      </c>
      <c r="G182" s="13" t="s">
        <v>641</v>
      </c>
      <c r="H182" s="13" t="s">
        <v>641</v>
      </c>
    </row>
    <row r="183" spans="1:8">
      <c r="A183" s="13" t="s">
        <v>3180</v>
      </c>
      <c r="B183" s="13">
        <v>1500829</v>
      </c>
      <c r="C183" s="13" t="s">
        <v>641</v>
      </c>
      <c r="D183" s="13" t="s">
        <v>222</v>
      </c>
      <c r="E183" s="13">
        <v>1</v>
      </c>
      <c r="F183" s="13" t="s">
        <v>640</v>
      </c>
      <c r="G183" s="13" t="s">
        <v>3186</v>
      </c>
      <c r="H183" s="13" t="s">
        <v>641</v>
      </c>
    </row>
    <row r="184" spans="1:8">
      <c r="A184" s="13" t="s">
        <v>3180</v>
      </c>
      <c r="B184" s="13">
        <v>1500830</v>
      </c>
      <c r="C184" s="13" t="s">
        <v>641</v>
      </c>
      <c r="D184" s="13" t="s">
        <v>845</v>
      </c>
      <c r="E184" s="13">
        <v>1</v>
      </c>
      <c r="F184" s="13" t="s">
        <v>640</v>
      </c>
      <c r="G184" s="13" t="s">
        <v>3186</v>
      </c>
      <c r="H184" s="13" t="s">
        <v>641</v>
      </c>
    </row>
    <row r="185" spans="1:8">
      <c r="A185" s="13" t="s">
        <v>3180</v>
      </c>
      <c r="B185" s="13">
        <v>1500831</v>
      </c>
      <c r="C185" s="13" t="s">
        <v>641</v>
      </c>
      <c r="D185" s="13" t="s">
        <v>480</v>
      </c>
      <c r="E185" s="13">
        <v>1</v>
      </c>
      <c r="F185" s="13" t="s">
        <v>640</v>
      </c>
      <c r="G185" s="13" t="s">
        <v>3186</v>
      </c>
      <c r="H185" s="13" t="s">
        <v>641</v>
      </c>
    </row>
    <row r="186" spans="1:8">
      <c r="A186" s="13" t="s">
        <v>3180</v>
      </c>
      <c r="B186" s="13">
        <v>1500832</v>
      </c>
      <c r="C186" s="13" t="s">
        <v>641</v>
      </c>
      <c r="D186" s="13" t="s">
        <v>846</v>
      </c>
      <c r="E186" s="13">
        <v>1</v>
      </c>
      <c r="F186" s="13" t="s">
        <v>640</v>
      </c>
      <c r="G186" s="13" t="s">
        <v>3186</v>
      </c>
      <c r="H186" s="13" t="s">
        <v>641</v>
      </c>
    </row>
    <row r="187" spans="1:8">
      <c r="A187" s="13" t="s">
        <v>3180</v>
      </c>
      <c r="B187" s="13">
        <v>1500833</v>
      </c>
      <c r="C187" s="13" t="s">
        <v>641</v>
      </c>
      <c r="D187" s="13" t="s">
        <v>429</v>
      </c>
      <c r="E187" s="13">
        <v>1</v>
      </c>
      <c r="F187" s="13" t="s">
        <v>640</v>
      </c>
      <c r="G187" s="13" t="s">
        <v>3186</v>
      </c>
      <c r="H187" s="13" t="s">
        <v>641</v>
      </c>
    </row>
    <row r="188" spans="1:8">
      <c r="A188" s="13" t="s">
        <v>3180</v>
      </c>
      <c r="B188" s="13">
        <v>1500834</v>
      </c>
      <c r="C188" s="13" t="s">
        <v>641</v>
      </c>
      <c r="D188" s="13" t="s">
        <v>421</v>
      </c>
      <c r="E188" s="13">
        <v>1</v>
      </c>
      <c r="F188" s="13" t="s">
        <v>640</v>
      </c>
      <c r="G188" s="13" t="s">
        <v>3186</v>
      </c>
      <c r="H188" s="13" t="s">
        <v>641</v>
      </c>
    </row>
    <row r="189" spans="1:8">
      <c r="A189" s="13" t="s">
        <v>3180</v>
      </c>
      <c r="B189" s="13">
        <v>1500835</v>
      </c>
      <c r="C189" s="13" t="s">
        <v>641</v>
      </c>
      <c r="D189" s="13" t="s">
        <v>569</v>
      </c>
      <c r="E189" s="13">
        <v>1</v>
      </c>
      <c r="F189" s="13" t="s">
        <v>640</v>
      </c>
      <c r="G189" s="13" t="s">
        <v>3186</v>
      </c>
      <c r="H189" s="13" t="s">
        <v>641</v>
      </c>
    </row>
    <row r="190" spans="1:8">
      <c r="A190" s="13" t="s">
        <v>3180</v>
      </c>
      <c r="B190" s="13">
        <v>1500836</v>
      </c>
      <c r="C190" s="13" t="s">
        <v>641</v>
      </c>
      <c r="D190" s="13" t="s">
        <v>847</v>
      </c>
      <c r="E190" s="13">
        <v>1</v>
      </c>
      <c r="F190" s="13" t="s">
        <v>644</v>
      </c>
      <c r="G190" s="13" t="s">
        <v>641</v>
      </c>
      <c r="H190" s="13" t="s">
        <v>641</v>
      </c>
    </row>
    <row r="191" spans="1:8">
      <c r="A191" s="13" t="s">
        <v>3180</v>
      </c>
      <c r="B191" s="13">
        <v>1500837</v>
      </c>
      <c r="C191" s="13" t="s">
        <v>641</v>
      </c>
      <c r="D191" s="13" t="s">
        <v>231</v>
      </c>
      <c r="E191" s="13">
        <v>1</v>
      </c>
      <c r="F191" s="13" t="s">
        <v>644</v>
      </c>
      <c r="G191" s="13" t="s">
        <v>641</v>
      </c>
      <c r="H191" s="13" t="s">
        <v>641</v>
      </c>
    </row>
    <row r="192" spans="1:8">
      <c r="A192" s="13" t="s">
        <v>3180</v>
      </c>
      <c r="B192" s="13">
        <v>1500838</v>
      </c>
      <c r="C192" s="13" t="s">
        <v>641</v>
      </c>
      <c r="D192" s="13" t="s">
        <v>232</v>
      </c>
      <c r="E192" s="13">
        <v>1</v>
      </c>
      <c r="F192" s="13" t="s">
        <v>640</v>
      </c>
      <c r="G192" s="13" t="s">
        <v>3182</v>
      </c>
      <c r="H192" s="13" t="s">
        <v>3183</v>
      </c>
    </row>
    <row r="193" spans="1:8">
      <c r="A193" s="13" t="s">
        <v>3180</v>
      </c>
      <c r="B193" s="13">
        <v>1500839</v>
      </c>
      <c r="C193" s="13" t="s">
        <v>641</v>
      </c>
      <c r="D193" s="13" t="s">
        <v>848</v>
      </c>
      <c r="E193" s="13">
        <v>1</v>
      </c>
      <c r="F193" s="13" t="s">
        <v>640</v>
      </c>
      <c r="G193" s="13" t="s">
        <v>641</v>
      </c>
      <c r="H193" s="13" t="s">
        <v>641</v>
      </c>
    </row>
    <row r="194" spans="1:8">
      <c r="A194" s="13" t="s">
        <v>3180</v>
      </c>
      <c r="B194" s="13">
        <v>1500840</v>
      </c>
      <c r="C194" s="13" t="s">
        <v>641</v>
      </c>
      <c r="D194" s="13" t="s">
        <v>98</v>
      </c>
      <c r="E194" s="13">
        <v>1</v>
      </c>
      <c r="F194" s="13" t="s">
        <v>640</v>
      </c>
      <c r="G194" s="13" t="s">
        <v>641</v>
      </c>
      <c r="H194" s="13" t="s">
        <v>641</v>
      </c>
    </row>
    <row r="195" spans="1:8">
      <c r="A195" s="13" t="s">
        <v>3180</v>
      </c>
      <c r="B195" s="13">
        <v>1500841</v>
      </c>
      <c r="C195" s="13" t="s">
        <v>641</v>
      </c>
      <c r="D195" s="13" t="s">
        <v>414</v>
      </c>
      <c r="E195" s="13">
        <v>1</v>
      </c>
      <c r="F195" s="13" t="s">
        <v>640</v>
      </c>
      <c r="G195" s="13" t="s">
        <v>641</v>
      </c>
      <c r="H195" s="13" t="s">
        <v>641</v>
      </c>
    </row>
    <row r="196" spans="1:8">
      <c r="A196" s="13" t="s">
        <v>3180</v>
      </c>
      <c r="B196" s="13">
        <v>1500842</v>
      </c>
      <c r="C196" s="13" t="s">
        <v>641</v>
      </c>
      <c r="D196" s="13" t="s">
        <v>185</v>
      </c>
      <c r="E196" s="13">
        <v>1</v>
      </c>
      <c r="F196" s="13" t="s">
        <v>640</v>
      </c>
      <c r="G196" s="13" t="s">
        <v>641</v>
      </c>
      <c r="H196" s="13" t="s">
        <v>641</v>
      </c>
    </row>
    <row r="197" spans="1:8">
      <c r="A197" s="13" t="s">
        <v>3180</v>
      </c>
      <c r="B197" s="13">
        <v>1500843</v>
      </c>
      <c r="C197" s="13" t="s">
        <v>641</v>
      </c>
      <c r="D197" s="13" t="s">
        <v>443</v>
      </c>
      <c r="E197" s="13">
        <v>1</v>
      </c>
      <c r="F197" s="13" t="s">
        <v>644</v>
      </c>
      <c r="G197" s="13" t="s">
        <v>641</v>
      </c>
      <c r="H197" s="13" t="s">
        <v>641</v>
      </c>
    </row>
    <row r="198" spans="1:8">
      <c r="A198" s="13" t="s">
        <v>3180</v>
      </c>
      <c r="B198" s="13">
        <v>1500844</v>
      </c>
      <c r="C198" s="13" t="s">
        <v>641</v>
      </c>
      <c r="D198" s="13" t="s">
        <v>136</v>
      </c>
      <c r="E198" s="13">
        <v>1</v>
      </c>
      <c r="F198" s="13" t="s">
        <v>640</v>
      </c>
      <c r="G198" s="13" t="s">
        <v>641</v>
      </c>
      <c r="H198" s="13" t="s">
        <v>641</v>
      </c>
    </row>
    <row r="199" spans="1:8">
      <c r="A199" s="13" t="s">
        <v>3180</v>
      </c>
      <c r="B199" s="13">
        <v>1500845</v>
      </c>
      <c r="C199" s="13" t="s">
        <v>641</v>
      </c>
      <c r="D199" s="13" t="s">
        <v>215</v>
      </c>
      <c r="E199" s="13">
        <v>1</v>
      </c>
      <c r="F199" s="13" t="s">
        <v>640</v>
      </c>
      <c r="G199" s="13" t="s">
        <v>641</v>
      </c>
      <c r="H199" s="13" t="s">
        <v>641</v>
      </c>
    </row>
    <row r="200" spans="1:8">
      <c r="A200" s="13" t="s">
        <v>3180</v>
      </c>
      <c r="B200" s="13">
        <v>1500846</v>
      </c>
      <c r="C200" s="13" t="s">
        <v>641</v>
      </c>
      <c r="D200" s="13" t="s">
        <v>418</v>
      </c>
      <c r="E200" s="13">
        <v>1</v>
      </c>
      <c r="F200" s="13" t="s">
        <v>642</v>
      </c>
      <c r="G200" s="13" t="s">
        <v>641</v>
      </c>
      <c r="H200" s="13" t="s">
        <v>641</v>
      </c>
    </row>
    <row r="201" spans="1:8">
      <c r="A201" s="13" t="s">
        <v>3180</v>
      </c>
      <c r="B201" s="13">
        <v>1500847</v>
      </c>
      <c r="C201" s="13" t="s">
        <v>641</v>
      </c>
      <c r="D201" s="13" t="s">
        <v>609</v>
      </c>
      <c r="E201" s="13">
        <v>1</v>
      </c>
      <c r="F201" s="13" t="s">
        <v>640</v>
      </c>
      <c r="G201" s="13" t="s">
        <v>641</v>
      </c>
      <c r="H201" s="13" t="s">
        <v>641</v>
      </c>
    </row>
    <row r="202" spans="1:8">
      <c r="A202" s="13" t="s">
        <v>3180</v>
      </c>
      <c r="B202" s="13">
        <v>1500848</v>
      </c>
      <c r="C202" s="13" t="s">
        <v>641</v>
      </c>
      <c r="D202" s="13" t="s">
        <v>849</v>
      </c>
      <c r="E202" s="13">
        <v>1</v>
      </c>
      <c r="F202" s="13" t="s">
        <v>644</v>
      </c>
      <c r="G202" s="13" t="s">
        <v>641</v>
      </c>
      <c r="H202" s="13" t="s">
        <v>641</v>
      </c>
    </row>
    <row r="203" spans="1:8">
      <c r="A203" s="13" t="s">
        <v>3180</v>
      </c>
      <c r="B203" s="13">
        <v>1500849</v>
      </c>
      <c r="C203" s="13" t="s">
        <v>641</v>
      </c>
      <c r="D203" s="13" t="s">
        <v>462</v>
      </c>
      <c r="E203" s="13">
        <v>1</v>
      </c>
      <c r="F203" s="13" t="s">
        <v>640</v>
      </c>
      <c r="G203" s="13" t="s">
        <v>641</v>
      </c>
      <c r="H203" s="13" t="s">
        <v>641</v>
      </c>
    </row>
    <row r="204" spans="1:8">
      <c r="A204" s="13" t="s">
        <v>3180</v>
      </c>
      <c r="B204" s="13">
        <v>1500850</v>
      </c>
      <c r="C204" s="13" t="s">
        <v>641</v>
      </c>
      <c r="D204" s="13" t="s">
        <v>850</v>
      </c>
      <c r="E204" s="13">
        <v>1</v>
      </c>
      <c r="F204" s="13" t="s">
        <v>640</v>
      </c>
      <c r="G204" s="13" t="s">
        <v>641</v>
      </c>
      <c r="H204" s="13" t="s">
        <v>641</v>
      </c>
    </row>
    <row r="205" spans="1:8">
      <c r="A205" s="13" t="s">
        <v>3180</v>
      </c>
      <c r="B205" s="13">
        <v>1500852</v>
      </c>
      <c r="C205" s="13" t="s">
        <v>641</v>
      </c>
      <c r="D205" s="13" t="s">
        <v>851</v>
      </c>
      <c r="E205" s="13">
        <v>1</v>
      </c>
      <c r="F205" s="13" t="s">
        <v>656</v>
      </c>
      <c r="G205" s="13" t="s">
        <v>641</v>
      </c>
      <c r="H205" s="13" t="s">
        <v>641</v>
      </c>
    </row>
    <row r="206" spans="1:8">
      <c r="A206" s="13" t="s">
        <v>3180</v>
      </c>
      <c r="B206" s="13">
        <v>1500853</v>
      </c>
      <c r="C206" s="13" t="s">
        <v>641</v>
      </c>
      <c r="D206" s="13" t="s">
        <v>3209</v>
      </c>
      <c r="E206" s="13">
        <v>1</v>
      </c>
      <c r="F206" s="13" t="s">
        <v>656</v>
      </c>
      <c r="G206" s="13" t="s">
        <v>641</v>
      </c>
      <c r="H206" s="13" t="s">
        <v>641</v>
      </c>
    </row>
    <row r="207" spans="1:8">
      <c r="A207" s="13" t="s">
        <v>3180</v>
      </c>
      <c r="B207" s="13">
        <v>1500854</v>
      </c>
      <c r="C207" s="13" t="s">
        <v>641</v>
      </c>
      <c r="D207" s="13" t="s">
        <v>852</v>
      </c>
      <c r="E207" s="13">
        <v>1</v>
      </c>
      <c r="F207" s="13" t="s">
        <v>656</v>
      </c>
      <c r="G207" s="13" t="s">
        <v>641</v>
      </c>
      <c r="H207" s="13" t="s">
        <v>641</v>
      </c>
    </row>
    <row r="208" spans="1:8">
      <c r="A208" s="13" t="s">
        <v>3180</v>
      </c>
      <c r="B208" s="13">
        <v>1500855</v>
      </c>
      <c r="C208" s="13" t="s">
        <v>641</v>
      </c>
      <c r="D208" s="13" t="s">
        <v>853</v>
      </c>
      <c r="E208" s="13">
        <v>1</v>
      </c>
      <c r="F208" s="13" t="s">
        <v>656</v>
      </c>
      <c r="G208" s="13" t="s">
        <v>641</v>
      </c>
      <c r="H208" s="13" t="s">
        <v>641</v>
      </c>
    </row>
    <row r="209" spans="1:8">
      <c r="A209" s="13" t="s">
        <v>3180</v>
      </c>
      <c r="B209" s="13">
        <v>1500856</v>
      </c>
      <c r="C209" s="13" t="s">
        <v>641</v>
      </c>
      <c r="D209" s="13" t="s">
        <v>178</v>
      </c>
      <c r="E209" s="13">
        <v>1</v>
      </c>
      <c r="F209" s="13" t="s">
        <v>656</v>
      </c>
      <c r="G209" s="13" t="s">
        <v>641</v>
      </c>
      <c r="H209" s="13" t="s">
        <v>641</v>
      </c>
    </row>
    <row r="210" spans="1:8">
      <c r="A210" s="13" t="s">
        <v>3180</v>
      </c>
      <c r="B210" s="13">
        <v>1500857</v>
      </c>
      <c r="C210" s="13" t="s">
        <v>641</v>
      </c>
      <c r="D210" s="13" t="s">
        <v>854</v>
      </c>
      <c r="E210" s="13">
        <v>1</v>
      </c>
      <c r="F210" s="13" t="s">
        <v>656</v>
      </c>
      <c r="G210" s="13" t="s">
        <v>641</v>
      </c>
      <c r="H210" s="13" t="s">
        <v>641</v>
      </c>
    </row>
    <row r="211" spans="1:8">
      <c r="A211" s="13" t="s">
        <v>3180</v>
      </c>
      <c r="B211" s="13">
        <v>1500858</v>
      </c>
      <c r="C211" s="13" t="s">
        <v>641</v>
      </c>
      <c r="D211" s="13" t="s">
        <v>3210</v>
      </c>
      <c r="E211" s="13">
        <v>1</v>
      </c>
      <c r="F211" s="13" t="s">
        <v>656</v>
      </c>
      <c r="G211" s="13" t="s">
        <v>641</v>
      </c>
      <c r="H211" s="13" t="s">
        <v>641</v>
      </c>
    </row>
    <row r="212" spans="1:8">
      <c r="A212" s="13" t="s">
        <v>3180</v>
      </c>
      <c r="B212" s="13">
        <v>1500859</v>
      </c>
      <c r="C212" s="13" t="s">
        <v>641</v>
      </c>
      <c r="D212" s="13" t="s">
        <v>855</v>
      </c>
      <c r="E212" s="13">
        <v>1</v>
      </c>
      <c r="F212" s="13" t="s">
        <v>656</v>
      </c>
      <c r="G212" s="13" t="s">
        <v>641</v>
      </c>
      <c r="H212" s="13" t="s">
        <v>641</v>
      </c>
    </row>
    <row r="213" spans="1:8">
      <c r="A213" s="13" t="s">
        <v>3180</v>
      </c>
      <c r="B213" s="13">
        <v>1500860</v>
      </c>
      <c r="C213" s="13" t="s">
        <v>641</v>
      </c>
      <c r="D213" s="13" t="s">
        <v>142</v>
      </c>
      <c r="E213" s="13">
        <v>1</v>
      </c>
      <c r="F213" s="13" t="s">
        <v>642</v>
      </c>
      <c r="G213" s="13" t="s">
        <v>641</v>
      </c>
      <c r="H213" s="13" t="s">
        <v>641</v>
      </c>
    </row>
    <row r="214" spans="1:8">
      <c r="A214" s="13" t="s">
        <v>3180</v>
      </c>
      <c r="B214" s="13">
        <v>1500861</v>
      </c>
      <c r="C214" s="13" t="s">
        <v>641</v>
      </c>
      <c r="D214" s="13" t="s">
        <v>599</v>
      </c>
      <c r="E214" s="13">
        <v>1</v>
      </c>
      <c r="F214" s="13" t="s">
        <v>642</v>
      </c>
      <c r="G214" s="13" t="s">
        <v>641</v>
      </c>
      <c r="H214" s="13" t="s">
        <v>641</v>
      </c>
    </row>
    <row r="215" spans="1:8">
      <c r="A215" s="13" t="s">
        <v>3180</v>
      </c>
      <c r="B215" s="13">
        <v>1500862</v>
      </c>
      <c r="C215" s="13" t="s">
        <v>641</v>
      </c>
      <c r="D215" s="13" t="s">
        <v>472</v>
      </c>
      <c r="E215" s="13">
        <v>1</v>
      </c>
      <c r="F215" s="13" t="s">
        <v>640</v>
      </c>
      <c r="G215" s="13" t="s">
        <v>641</v>
      </c>
      <c r="H215" s="13" t="s">
        <v>641</v>
      </c>
    </row>
    <row r="216" spans="1:8">
      <c r="A216" s="13" t="s">
        <v>3180</v>
      </c>
      <c r="B216" s="13">
        <v>1500863</v>
      </c>
      <c r="C216" s="13" t="s">
        <v>641</v>
      </c>
      <c r="D216" s="13" t="s">
        <v>856</v>
      </c>
      <c r="E216" s="13">
        <v>1</v>
      </c>
      <c r="F216" s="13" t="s">
        <v>640</v>
      </c>
      <c r="G216" s="13" t="s">
        <v>641</v>
      </c>
      <c r="H216" s="13" t="s">
        <v>641</v>
      </c>
    </row>
    <row r="217" spans="1:8">
      <c r="A217" s="13" t="s">
        <v>3180</v>
      </c>
      <c r="B217" s="13">
        <v>1500864</v>
      </c>
      <c r="C217" s="13" t="s">
        <v>641</v>
      </c>
      <c r="D217" s="13" t="s">
        <v>857</v>
      </c>
      <c r="E217" s="13">
        <v>1</v>
      </c>
      <c r="F217" s="13" t="s">
        <v>640</v>
      </c>
      <c r="G217" s="13" t="s">
        <v>641</v>
      </c>
      <c r="H217" s="13" t="s">
        <v>641</v>
      </c>
    </row>
    <row r="218" spans="1:8">
      <c r="A218" s="13" t="s">
        <v>3180</v>
      </c>
      <c r="B218" s="13">
        <v>1500865</v>
      </c>
      <c r="C218" s="13" t="s">
        <v>641</v>
      </c>
      <c r="D218" s="13" t="s">
        <v>344</v>
      </c>
      <c r="E218" s="13">
        <v>1</v>
      </c>
      <c r="F218" s="13" t="s">
        <v>640</v>
      </c>
      <c r="G218" s="13" t="s">
        <v>641</v>
      </c>
      <c r="H218" s="13" t="s">
        <v>641</v>
      </c>
    </row>
    <row r="219" spans="1:8">
      <c r="A219" s="13" t="s">
        <v>3180</v>
      </c>
      <c r="B219" s="13">
        <v>1500866</v>
      </c>
      <c r="C219" s="13" t="s">
        <v>641</v>
      </c>
      <c r="D219" s="13" t="s">
        <v>3211</v>
      </c>
      <c r="E219" s="13">
        <v>1</v>
      </c>
      <c r="F219" s="13" t="s">
        <v>640</v>
      </c>
      <c r="G219" s="13" t="s">
        <v>641</v>
      </c>
      <c r="H219" s="13" t="s">
        <v>641</v>
      </c>
    </row>
    <row r="220" spans="1:8">
      <c r="A220" s="13" t="s">
        <v>3180</v>
      </c>
      <c r="B220" s="13">
        <v>1500867</v>
      </c>
      <c r="C220" s="13" t="s">
        <v>641</v>
      </c>
      <c r="D220" s="13" t="s">
        <v>210</v>
      </c>
      <c r="E220" s="13">
        <v>1</v>
      </c>
      <c r="F220" s="13" t="s">
        <v>640</v>
      </c>
      <c r="G220" s="13" t="s">
        <v>641</v>
      </c>
      <c r="H220" s="13" t="s">
        <v>641</v>
      </c>
    </row>
    <row r="221" spans="1:8">
      <c r="A221" s="13" t="s">
        <v>3180</v>
      </c>
      <c r="B221" s="13">
        <v>1500868</v>
      </c>
      <c r="C221" s="13" t="s">
        <v>641</v>
      </c>
      <c r="D221" s="13" t="s">
        <v>668</v>
      </c>
      <c r="E221" s="13">
        <v>1</v>
      </c>
      <c r="F221" s="13" t="s">
        <v>640</v>
      </c>
      <c r="G221" s="13" t="s">
        <v>641</v>
      </c>
      <c r="H221" s="13" t="s">
        <v>641</v>
      </c>
    </row>
    <row r="222" spans="1:8">
      <c r="A222" s="13" t="s">
        <v>3180</v>
      </c>
      <c r="B222" s="13">
        <v>1500869</v>
      </c>
      <c r="C222" s="13" t="s">
        <v>641</v>
      </c>
      <c r="D222" s="13" t="s">
        <v>858</v>
      </c>
      <c r="E222" s="13">
        <v>1</v>
      </c>
      <c r="F222" s="13" t="s">
        <v>640</v>
      </c>
      <c r="G222" s="13" t="s">
        <v>641</v>
      </c>
      <c r="H222" s="13" t="s">
        <v>641</v>
      </c>
    </row>
    <row r="223" spans="1:8">
      <c r="A223" s="13" t="s">
        <v>3180</v>
      </c>
      <c r="B223" s="13">
        <v>1500870</v>
      </c>
      <c r="C223" s="13" t="s">
        <v>641</v>
      </c>
      <c r="D223" s="13" t="s">
        <v>859</v>
      </c>
      <c r="E223" s="13">
        <v>1</v>
      </c>
      <c r="F223" s="13" t="s">
        <v>640</v>
      </c>
      <c r="G223" s="13" t="s">
        <v>641</v>
      </c>
      <c r="H223" s="13" t="s">
        <v>641</v>
      </c>
    </row>
    <row r="224" spans="1:8">
      <c r="A224" s="13" t="s">
        <v>3180</v>
      </c>
      <c r="B224" s="13">
        <v>1500871</v>
      </c>
      <c r="C224" s="13" t="s">
        <v>641</v>
      </c>
      <c r="D224" s="13" t="s">
        <v>860</v>
      </c>
      <c r="E224" s="13">
        <v>1</v>
      </c>
      <c r="F224" s="13" t="s">
        <v>640</v>
      </c>
      <c r="G224" s="13" t="s">
        <v>641</v>
      </c>
      <c r="H224" s="13" t="s">
        <v>641</v>
      </c>
    </row>
    <row r="225" spans="1:8">
      <c r="A225" s="13" t="s">
        <v>3180</v>
      </c>
      <c r="B225" s="13">
        <v>1500872</v>
      </c>
      <c r="C225" s="13" t="s">
        <v>641</v>
      </c>
      <c r="D225" s="13" t="s">
        <v>297</v>
      </c>
      <c r="E225" s="13">
        <v>1</v>
      </c>
      <c r="F225" s="13" t="s">
        <v>640</v>
      </c>
      <c r="G225" s="13" t="s">
        <v>641</v>
      </c>
      <c r="H225" s="13" t="s">
        <v>641</v>
      </c>
    </row>
    <row r="226" spans="1:8">
      <c r="A226" s="13" t="s">
        <v>3180</v>
      </c>
      <c r="B226" s="13">
        <v>1500873</v>
      </c>
      <c r="C226" s="13" t="s">
        <v>641</v>
      </c>
      <c r="D226" s="13" t="s">
        <v>583</v>
      </c>
      <c r="E226" s="13">
        <v>1</v>
      </c>
      <c r="F226" s="13" t="s">
        <v>640</v>
      </c>
      <c r="G226" s="13" t="s">
        <v>641</v>
      </c>
      <c r="H226" s="13" t="s">
        <v>641</v>
      </c>
    </row>
    <row r="227" spans="1:8">
      <c r="A227" s="13" t="s">
        <v>3180</v>
      </c>
      <c r="B227" s="13">
        <v>1500874</v>
      </c>
      <c r="C227" s="13" t="s">
        <v>641</v>
      </c>
      <c r="D227" s="13" t="s">
        <v>861</v>
      </c>
      <c r="E227" s="13">
        <v>1</v>
      </c>
      <c r="F227" s="13" t="s">
        <v>649</v>
      </c>
      <c r="G227" s="13" t="s">
        <v>641</v>
      </c>
      <c r="H227" s="13" t="s">
        <v>641</v>
      </c>
    </row>
    <row r="228" spans="1:8">
      <c r="A228" s="13" t="s">
        <v>3180</v>
      </c>
      <c r="B228" s="13">
        <v>1500875</v>
      </c>
      <c r="C228" s="13" t="s">
        <v>641</v>
      </c>
      <c r="D228" s="13" t="s">
        <v>862</v>
      </c>
      <c r="E228" s="13">
        <v>1</v>
      </c>
      <c r="F228" s="13" t="s">
        <v>640</v>
      </c>
      <c r="G228" s="13" t="s">
        <v>641</v>
      </c>
      <c r="H228" s="13" t="s">
        <v>641</v>
      </c>
    </row>
    <row r="229" spans="1:8">
      <c r="A229" s="13" t="s">
        <v>3180</v>
      </c>
      <c r="B229" s="13">
        <v>1500876</v>
      </c>
      <c r="C229" s="13" t="s">
        <v>641</v>
      </c>
      <c r="D229" s="13" t="s">
        <v>863</v>
      </c>
      <c r="E229" s="13">
        <v>1</v>
      </c>
      <c r="F229" s="13" t="s">
        <v>640</v>
      </c>
      <c r="G229" s="13" t="s">
        <v>641</v>
      </c>
      <c r="H229" s="13" t="s">
        <v>641</v>
      </c>
    </row>
    <row r="230" spans="1:8">
      <c r="A230" s="13" t="s">
        <v>3180</v>
      </c>
      <c r="B230" s="13">
        <v>1500877</v>
      </c>
      <c r="C230" s="13" t="s">
        <v>641</v>
      </c>
      <c r="D230" s="13" t="s">
        <v>557</v>
      </c>
      <c r="E230" s="13">
        <v>1</v>
      </c>
      <c r="F230" s="13" t="s">
        <v>640</v>
      </c>
      <c r="G230" s="13" t="s">
        <v>641</v>
      </c>
      <c r="H230" s="13" t="s">
        <v>641</v>
      </c>
    </row>
    <row r="231" spans="1:8">
      <c r="A231" s="13" t="s">
        <v>3180</v>
      </c>
      <c r="B231" s="13">
        <v>1500878</v>
      </c>
      <c r="C231" s="13" t="s">
        <v>641</v>
      </c>
      <c r="D231" s="13" t="s">
        <v>531</v>
      </c>
      <c r="E231" s="13">
        <v>1</v>
      </c>
      <c r="F231" s="13" t="s">
        <v>640</v>
      </c>
      <c r="G231" s="13" t="s">
        <v>641</v>
      </c>
      <c r="H231" s="13" t="s">
        <v>641</v>
      </c>
    </row>
    <row r="232" spans="1:8">
      <c r="A232" s="13" t="s">
        <v>3180</v>
      </c>
      <c r="B232" s="13">
        <v>1500879</v>
      </c>
      <c r="C232" s="13" t="s">
        <v>641</v>
      </c>
      <c r="D232" s="13" t="s">
        <v>401</v>
      </c>
      <c r="E232" s="13">
        <v>1</v>
      </c>
      <c r="F232" s="13" t="s">
        <v>640</v>
      </c>
      <c r="G232" s="13" t="s">
        <v>641</v>
      </c>
      <c r="H232" s="13" t="s">
        <v>641</v>
      </c>
    </row>
    <row r="233" spans="1:8">
      <c r="A233" s="13" t="s">
        <v>3180</v>
      </c>
      <c r="B233" s="13">
        <v>1500880</v>
      </c>
      <c r="C233" s="13" t="s">
        <v>641</v>
      </c>
      <c r="D233" s="13" t="s">
        <v>561</v>
      </c>
      <c r="E233" s="13">
        <v>1</v>
      </c>
      <c r="F233" s="13" t="s">
        <v>640</v>
      </c>
      <c r="G233" s="13" t="s">
        <v>641</v>
      </c>
      <c r="H233" s="13" t="s">
        <v>641</v>
      </c>
    </row>
    <row r="234" spans="1:8">
      <c r="A234" s="13" t="s">
        <v>3180</v>
      </c>
      <c r="B234" s="13">
        <v>1500881</v>
      </c>
      <c r="C234" s="13" t="s">
        <v>641</v>
      </c>
      <c r="D234" s="13" t="s">
        <v>362</v>
      </c>
      <c r="E234" s="13">
        <v>1</v>
      </c>
      <c r="F234" s="13" t="s">
        <v>649</v>
      </c>
      <c r="G234" s="13" t="s">
        <v>641</v>
      </c>
      <c r="H234" s="13" t="s">
        <v>641</v>
      </c>
    </row>
    <row r="235" spans="1:8">
      <c r="A235" s="13" t="s">
        <v>3180</v>
      </c>
      <c r="B235" s="13">
        <v>1500882</v>
      </c>
      <c r="C235" s="13" t="s">
        <v>641</v>
      </c>
      <c r="D235" s="13" t="s">
        <v>70</v>
      </c>
      <c r="E235" s="13">
        <v>1</v>
      </c>
      <c r="F235" s="13" t="s">
        <v>644</v>
      </c>
      <c r="G235" s="13" t="s">
        <v>641</v>
      </c>
      <c r="H235" s="13" t="s">
        <v>641</v>
      </c>
    </row>
    <row r="236" spans="1:8">
      <c r="A236" s="13" t="s">
        <v>3180</v>
      </c>
      <c r="B236" s="13">
        <v>1500883</v>
      </c>
      <c r="C236" s="13" t="s">
        <v>641</v>
      </c>
      <c r="D236" s="13" t="s">
        <v>563</v>
      </c>
      <c r="E236" s="13">
        <v>1</v>
      </c>
      <c r="F236" s="13" t="s">
        <v>642</v>
      </c>
      <c r="G236" s="13" t="s">
        <v>641</v>
      </c>
      <c r="H236" s="13" t="s">
        <v>641</v>
      </c>
    </row>
    <row r="237" spans="1:8">
      <c r="A237" s="13" t="s">
        <v>3180</v>
      </c>
      <c r="B237" s="13">
        <v>1500884</v>
      </c>
      <c r="C237" s="13" t="s">
        <v>641</v>
      </c>
      <c r="D237" s="13" t="s">
        <v>292</v>
      </c>
      <c r="E237" s="13">
        <v>1</v>
      </c>
      <c r="F237" s="13" t="s">
        <v>642</v>
      </c>
      <c r="G237" s="13" t="s">
        <v>641</v>
      </c>
      <c r="H237" s="13" t="s">
        <v>641</v>
      </c>
    </row>
    <row r="238" spans="1:8">
      <c r="A238" s="13" t="s">
        <v>3180</v>
      </c>
      <c r="B238" s="13">
        <v>1500885</v>
      </c>
      <c r="C238" s="13" t="s">
        <v>641</v>
      </c>
      <c r="D238" s="13" t="s">
        <v>864</v>
      </c>
      <c r="E238" s="13">
        <v>1</v>
      </c>
      <c r="F238" s="13" t="s">
        <v>640</v>
      </c>
      <c r="G238" s="13" t="s">
        <v>641</v>
      </c>
      <c r="H238" s="13" t="s">
        <v>641</v>
      </c>
    </row>
    <row r="239" spans="1:8">
      <c r="A239" s="13" t="s">
        <v>3180</v>
      </c>
      <c r="B239" s="13">
        <v>1500886</v>
      </c>
      <c r="C239" s="13" t="s">
        <v>641</v>
      </c>
      <c r="D239" s="13" t="s">
        <v>865</v>
      </c>
      <c r="E239" s="13">
        <v>1</v>
      </c>
      <c r="F239" s="13" t="s">
        <v>642</v>
      </c>
      <c r="G239" s="13" t="s">
        <v>641</v>
      </c>
      <c r="H239" s="13" t="s">
        <v>641</v>
      </c>
    </row>
    <row r="240" spans="1:8">
      <c r="A240" s="13" t="s">
        <v>3180</v>
      </c>
      <c r="B240" s="13">
        <v>1500887</v>
      </c>
      <c r="C240" s="13" t="s">
        <v>641</v>
      </c>
      <c r="D240" s="13" t="s">
        <v>866</v>
      </c>
      <c r="E240" s="13">
        <v>1</v>
      </c>
      <c r="F240" s="13" t="s">
        <v>640</v>
      </c>
      <c r="G240" s="13" t="s">
        <v>641</v>
      </c>
      <c r="H240" s="13" t="s">
        <v>641</v>
      </c>
    </row>
    <row r="241" spans="1:8">
      <c r="A241" s="13" t="s">
        <v>3180</v>
      </c>
      <c r="B241" s="13">
        <v>1500888</v>
      </c>
      <c r="C241" s="13" t="s">
        <v>641</v>
      </c>
      <c r="D241" s="13" t="s">
        <v>867</v>
      </c>
      <c r="E241" s="13">
        <v>1</v>
      </c>
      <c r="F241" s="13" t="s">
        <v>640</v>
      </c>
      <c r="G241" s="13" t="s">
        <v>641</v>
      </c>
      <c r="H241" s="13" t="s">
        <v>641</v>
      </c>
    </row>
    <row r="242" spans="1:8">
      <c r="A242" s="13" t="s">
        <v>3180</v>
      </c>
      <c r="B242" s="13">
        <v>1500890</v>
      </c>
      <c r="C242" s="13" t="s">
        <v>641</v>
      </c>
      <c r="D242" s="13" t="s">
        <v>868</v>
      </c>
      <c r="E242" s="13">
        <v>1</v>
      </c>
      <c r="F242" s="13" t="s">
        <v>640</v>
      </c>
      <c r="G242" s="13" t="s">
        <v>641</v>
      </c>
      <c r="H242" s="13" t="s">
        <v>641</v>
      </c>
    </row>
    <row r="243" spans="1:8">
      <c r="A243" s="13" t="s">
        <v>3180</v>
      </c>
      <c r="B243" s="13">
        <v>1500891</v>
      </c>
      <c r="C243" s="13" t="s">
        <v>641</v>
      </c>
      <c r="D243" s="13" t="s">
        <v>432</v>
      </c>
      <c r="E243" s="13">
        <v>1</v>
      </c>
      <c r="F243" s="13" t="s">
        <v>656</v>
      </c>
      <c r="G243" s="13" t="s">
        <v>641</v>
      </c>
      <c r="H243" s="13" t="s">
        <v>641</v>
      </c>
    </row>
    <row r="244" spans="1:8">
      <c r="A244" s="13" t="s">
        <v>3180</v>
      </c>
      <c r="B244" s="13">
        <v>1500892</v>
      </c>
      <c r="C244" s="13" t="s">
        <v>641</v>
      </c>
      <c r="D244" s="13" t="s">
        <v>869</v>
      </c>
      <c r="E244" s="13">
        <v>1</v>
      </c>
      <c r="F244" s="13" t="s">
        <v>656</v>
      </c>
      <c r="G244" s="13" t="s">
        <v>641</v>
      </c>
      <c r="H244" s="13" t="s">
        <v>641</v>
      </c>
    </row>
    <row r="245" spans="1:8">
      <c r="A245" s="13" t="s">
        <v>3180</v>
      </c>
      <c r="B245" s="13">
        <v>1500893</v>
      </c>
      <c r="C245" s="13" t="s">
        <v>641</v>
      </c>
      <c r="D245" s="13" t="s">
        <v>3212</v>
      </c>
      <c r="E245" s="13">
        <v>1</v>
      </c>
      <c r="F245" s="13" t="s">
        <v>640</v>
      </c>
      <c r="G245" s="13" t="s">
        <v>641</v>
      </c>
      <c r="H245" s="13" t="s">
        <v>641</v>
      </c>
    </row>
    <row r="246" spans="1:8">
      <c r="A246" s="13" t="s">
        <v>3180</v>
      </c>
      <c r="B246" s="13">
        <v>1500894</v>
      </c>
      <c r="C246" s="13" t="s">
        <v>641</v>
      </c>
      <c r="D246" s="13" t="s">
        <v>870</v>
      </c>
      <c r="E246" s="13">
        <v>1</v>
      </c>
      <c r="F246" s="13" t="s">
        <v>640</v>
      </c>
      <c r="G246" s="13" t="s">
        <v>641</v>
      </c>
      <c r="H246" s="13" t="s">
        <v>641</v>
      </c>
    </row>
    <row r="247" spans="1:8">
      <c r="A247" s="13" t="s">
        <v>3180</v>
      </c>
      <c r="B247" s="13">
        <v>1500895</v>
      </c>
      <c r="C247" s="13" t="s">
        <v>641</v>
      </c>
      <c r="D247" s="13" t="s">
        <v>871</v>
      </c>
      <c r="E247" s="13">
        <v>1</v>
      </c>
      <c r="F247" s="13" t="s">
        <v>644</v>
      </c>
      <c r="G247" s="13" t="s">
        <v>641</v>
      </c>
      <c r="H247" s="13" t="s">
        <v>641</v>
      </c>
    </row>
    <row r="248" spans="1:8">
      <c r="A248" s="13" t="s">
        <v>3180</v>
      </c>
      <c r="B248" s="13">
        <v>1500896</v>
      </c>
      <c r="C248" s="13" t="s">
        <v>641</v>
      </c>
      <c r="D248" s="13" t="s">
        <v>77</v>
      </c>
      <c r="E248" s="13">
        <v>1</v>
      </c>
      <c r="F248" s="13" t="s">
        <v>646</v>
      </c>
      <c r="G248" s="13" t="s">
        <v>641</v>
      </c>
      <c r="H248" s="13" t="s">
        <v>641</v>
      </c>
    </row>
    <row r="249" spans="1:8">
      <c r="A249" s="13" t="s">
        <v>3180</v>
      </c>
      <c r="B249" s="13">
        <v>1500897</v>
      </c>
      <c r="C249" s="13" t="s">
        <v>641</v>
      </c>
      <c r="D249" s="13" t="s">
        <v>334</v>
      </c>
      <c r="E249" s="13">
        <v>1</v>
      </c>
      <c r="F249" s="13" t="s">
        <v>646</v>
      </c>
      <c r="G249" s="13" t="s">
        <v>641</v>
      </c>
      <c r="H249" s="13" t="s">
        <v>641</v>
      </c>
    </row>
    <row r="250" spans="1:8">
      <c r="A250" s="13" t="s">
        <v>3180</v>
      </c>
      <c r="B250" s="13">
        <v>1500898</v>
      </c>
      <c r="C250" s="13" t="s">
        <v>641</v>
      </c>
      <c r="D250" s="13" t="s">
        <v>872</v>
      </c>
      <c r="E250" s="13">
        <v>1</v>
      </c>
      <c r="F250" s="13" t="s">
        <v>646</v>
      </c>
      <c r="G250" s="13" t="s">
        <v>641</v>
      </c>
      <c r="H250" s="13" t="s">
        <v>641</v>
      </c>
    </row>
    <row r="251" spans="1:8">
      <c r="A251" s="13" t="s">
        <v>3180</v>
      </c>
      <c r="B251" s="13">
        <v>1500899</v>
      </c>
      <c r="C251" s="13" t="s">
        <v>641</v>
      </c>
      <c r="D251" s="13" t="s">
        <v>873</v>
      </c>
      <c r="E251" s="13">
        <v>1</v>
      </c>
      <c r="F251" s="13" t="s">
        <v>646</v>
      </c>
      <c r="G251" s="13" t="s">
        <v>641</v>
      </c>
      <c r="H251" s="13" t="s">
        <v>641</v>
      </c>
    </row>
    <row r="252" spans="1:8">
      <c r="A252" s="13" t="s">
        <v>3180</v>
      </c>
      <c r="B252" s="13">
        <v>1500900</v>
      </c>
      <c r="C252" s="13" t="s">
        <v>641</v>
      </c>
      <c r="D252" s="13" t="s">
        <v>874</v>
      </c>
      <c r="E252" s="13">
        <v>1</v>
      </c>
      <c r="F252" s="13" t="s">
        <v>646</v>
      </c>
      <c r="G252" s="13" t="s">
        <v>641</v>
      </c>
      <c r="H252" s="13" t="s">
        <v>641</v>
      </c>
    </row>
    <row r="253" spans="1:8">
      <c r="A253" s="13" t="s">
        <v>3180</v>
      </c>
      <c r="B253" s="13">
        <v>1500901</v>
      </c>
      <c r="C253" s="13" t="s">
        <v>641</v>
      </c>
      <c r="D253" s="13" t="s">
        <v>875</v>
      </c>
      <c r="E253" s="13">
        <v>1</v>
      </c>
      <c r="F253" s="13" t="s">
        <v>646</v>
      </c>
      <c r="G253" s="13" t="s">
        <v>641</v>
      </c>
      <c r="H253" s="13" t="s">
        <v>641</v>
      </c>
    </row>
    <row r="254" spans="1:8">
      <c r="A254" s="13" t="s">
        <v>3180</v>
      </c>
      <c r="B254" s="13">
        <v>1500902</v>
      </c>
      <c r="C254" s="13" t="s">
        <v>641</v>
      </c>
      <c r="D254" s="13" t="s">
        <v>164</v>
      </c>
      <c r="E254" s="13">
        <v>1</v>
      </c>
      <c r="F254" s="13" t="s">
        <v>646</v>
      </c>
      <c r="G254" s="13" t="s">
        <v>641</v>
      </c>
      <c r="H254" s="13" t="s">
        <v>641</v>
      </c>
    </row>
    <row r="255" spans="1:8">
      <c r="A255" s="13" t="s">
        <v>3180</v>
      </c>
      <c r="B255" s="13">
        <v>1500903</v>
      </c>
      <c r="C255" s="13" t="s">
        <v>641</v>
      </c>
      <c r="D255" s="13" t="s">
        <v>91</v>
      </c>
      <c r="E255" s="13">
        <v>1</v>
      </c>
      <c r="F255" s="13" t="s">
        <v>646</v>
      </c>
      <c r="G255" s="13" t="s">
        <v>641</v>
      </c>
      <c r="H255" s="13" t="s">
        <v>641</v>
      </c>
    </row>
    <row r="256" spans="1:8">
      <c r="A256" s="13" t="s">
        <v>3180</v>
      </c>
      <c r="B256" s="13">
        <v>1500905</v>
      </c>
      <c r="C256" s="13" t="s">
        <v>641</v>
      </c>
      <c r="D256" s="13" t="s">
        <v>876</v>
      </c>
      <c r="E256" s="13">
        <v>1</v>
      </c>
      <c r="F256" s="13" t="s">
        <v>646</v>
      </c>
      <c r="G256" s="13" t="s">
        <v>641</v>
      </c>
      <c r="H256" s="13" t="s">
        <v>641</v>
      </c>
    </row>
    <row r="257" spans="1:8">
      <c r="A257" s="13" t="s">
        <v>3180</v>
      </c>
      <c r="B257" s="13">
        <v>1500906</v>
      </c>
      <c r="C257" s="13" t="s">
        <v>641</v>
      </c>
      <c r="D257" s="13" t="s">
        <v>877</v>
      </c>
      <c r="E257" s="13">
        <v>1</v>
      </c>
      <c r="F257" s="13" t="s">
        <v>646</v>
      </c>
      <c r="G257" s="13" t="s">
        <v>641</v>
      </c>
      <c r="H257" s="13" t="s">
        <v>641</v>
      </c>
    </row>
    <row r="258" spans="1:8">
      <c r="A258" s="13" t="s">
        <v>3180</v>
      </c>
      <c r="B258" s="13">
        <v>1500907</v>
      </c>
      <c r="C258" s="13" t="s">
        <v>641</v>
      </c>
      <c r="D258" s="13" t="s">
        <v>3213</v>
      </c>
      <c r="E258" s="13">
        <v>1</v>
      </c>
      <c r="F258" s="13" t="s">
        <v>646</v>
      </c>
      <c r="G258" s="13" t="s">
        <v>641</v>
      </c>
      <c r="H258" s="13" t="s">
        <v>641</v>
      </c>
    </row>
    <row r="259" spans="1:8">
      <c r="A259" s="13" t="s">
        <v>3180</v>
      </c>
      <c r="B259" s="13">
        <v>1500908</v>
      </c>
      <c r="C259" s="13" t="s">
        <v>641</v>
      </c>
      <c r="D259" s="13" t="s">
        <v>878</v>
      </c>
      <c r="E259" s="13">
        <v>1</v>
      </c>
      <c r="F259" s="13" t="s">
        <v>646</v>
      </c>
      <c r="G259" s="13" t="s">
        <v>641</v>
      </c>
      <c r="H259" s="13" t="s">
        <v>641</v>
      </c>
    </row>
    <row r="260" spans="1:8">
      <c r="A260" s="13" t="s">
        <v>3180</v>
      </c>
      <c r="B260" s="13">
        <v>1500909</v>
      </c>
      <c r="C260" s="13" t="s">
        <v>641</v>
      </c>
      <c r="D260" s="13" t="s">
        <v>879</v>
      </c>
      <c r="E260" s="13">
        <v>1</v>
      </c>
      <c r="F260" s="13" t="s">
        <v>646</v>
      </c>
      <c r="G260" s="13" t="s">
        <v>641</v>
      </c>
      <c r="H260" s="13" t="s">
        <v>641</v>
      </c>
    </row>
    <row r="261" spans="1:8">
      <c r="A261" s="13" t="s">
        <v>3180</v>
      </c>
      <c r="B261" s="13">
        <v>1500910</v>
      </c>
      <c r="C261" s="13" t="s">
        <v>641</v>
      </c>
      <c r="D261" s="13" t="s">
        <v>880</v>
      </c>
      <c r="E261" s="13">
        <v>1</v>
      </c>
      <c r="F261" s="13" t="s">
        <v>646</v>
      </c>
      <c r="G261" s="13" t="s">
        <v>641</v>
      </c>
      <c r="H261" s="13" t="s">
        <v>641</v>
      </c>
    </row>
    <row r="262" spans="1:8">
      <c r="A262" s="13" t="s">
        <v>3180</v>
      </c>
      <c r="B262" s="13">
        <v>1500911</v>
      </c>
      <c r="C262" s="13" t="s">
        <v>641</v>
      </c>
      <c r="D262" s="13" t="s">
        <v>31</v>
      </c>
      <c r="E262" s="13">
        <v>1</v>
      </c>
      <c r="F262" s="13" t="s">
        <v>646</v>
      </c>
      <c r="G262" s="13" t="s">
        <v>641</v>
      </c>
      <c r="H262" s="13" t="s">
        <v>641</v>
      </c>
    </row>
    <row r="263" spans="1:8">
      <c r="A263" s="13" t="s">
        <v>3180</v>
      </c>
      <c r="B263" s="13">
        <v>1500912</v>
      </c>
      <c r="C263" s="13" t="s">
        <v>641</v>
      </c>
      <c r="D263" s="13" t="s">
        <v>3214</v>
      </c>
      <c r="E263" s="13">
        <v>1</v>
      </c>
      <c r="F263" s="13" t="s">
        <v>646</v>
      </c>
      <c r="G263" s="13" t="s">
        <v>641</v>
      </c>
      <c r="H263" s="13" t="s">
        <v>641</v>
      </c>
    </row>
    <row r="264" spans="1:8">
      <c r="A264" s="13" t="s">
        <v>3180</v>
      </c>
      <c r="B264" s="13">
        <v>1500913</v>
      </c>
      <c r="C264" s="13" t="s">
        <v>641</v>
      </c>
      <c r="D264" s="13" t="s">
        <v>881</v>
      </c>
      <c r="E264" s="13">
        <v>1</v>
      </c>
      <c r="F264" s="13" t="s">
        <v>646</v>
      </c>
      <c r="G264" s="13" t="s">
        <v>641</v>
      </c>
      <c r="H264" s="13" t="s">
        <v>641</v>
      </c>
    </row>
    <row r="265" spans="1:8">
      <c r="A265" s="13" t="s">
        <v>3180</v>
      </c>
      <c r="B265" s="13">
        <v>1500914</v>
      </c>
      <c r="C265" s="13" t="s">
        <v>641</v>
      </c>
      <c r="D265" s="13" t="s">
        <v>3215</v>
      </c>
      <c r="E265" s="13">
        <v>1</v>
      </c>
      <c r="F265" s="13" t="s">
        <v>646</v>
      </c>
      <c r="G265" s="13" t="s">
        <v>641</v>
      </c>
      <c r="H265" s="13" t="s">
        <v>641</v>
      </c>
    </row>
    <row r="266" spans="1:8">
      <c r="A266" s="13" t="s">
        <v>3180</v>
      </c>
      <c r="B266" s="13">
        <v>1500915</v>
      </c>
      <c r="C266" s="13" t="s">
        <v>641</v>
      </c>
      <c r="D266" s="13" t="s">
        <v>882</v>
      </c>
      <c r="E266" s="13">
        <v>1</v>
      </c>
      <c r="F266" s="13" t="s">
        <v>646</v>
      </c>
      <c r="G266" s="13" t="s">
        <v>641</v>
      </c>
      <c r="H266" s="13" t="s">
        <v>641</v>
      </c>
    </row>
    <row r="267" spans="1:8">
      <c r="A267" s="13" t="s">
        <v>3180</v>
      </c>
      <c r="B267" s="13">
        <v>1500916</v>
      </c>
      <c r="C267" s="13" t="s">
        <v>641</v>
      </c>
      <c r="D267" s="13" t="s">
        <v>883</v>
      </c>
      <c r="E267" s="13">
        <v>1</v>
      </c>
      <c r="F267" s="13" t="s">
        <v>646</v>
      </c>
      <c r="G267" s="13" t="s">
        <v>641</v>
      </c>
      <c r="H267" s="13" t="s">
        <v>641</v>
      </c>
    </row>
    <row r="268" spans="1:8">
      <c r="A268" s="13" t="s">
        <v>3180</v>
      </c>
      <c r="B268" s="13">
        <v>1500917</v>
      </c>
      <c r="C268" s="13" t="s">
        <v>641</v>
      </c>
      <c r="D268" s="13" t="s">
        <v>3216</v>
      </c>
      <c r="E268" s="13">
        <v>1</v>
      </c>
      <c r="F268" s="13" t="s">
        <v>646</v>
      </c>
      <c r="G268" s="13" t="s">
        <v>641</v>
      </c>
      <c r="H268" s="13" t="s">
        <v>641</v>
      </c>
    </row>
    <row r="269" spans="1:8">
      <c r="A269" s="13" t="s">
        <v>3180</v>
      </c>
      <c r="B269" s="13">
        <v>1500918</v>
      </c>
      <c r="C269" s="13" t="s">
        <v>641</v>
      </c>
      <c r="D269" s="13" t="s">
        <v>375</v>
      </c>
      <c r="E269" s="13">
        <v>1</v>
      </c>
      <c r="F269" s="13" t="s">
        <v>646</v>
      </c>
      <c r="G269" s="13" t="s">
        <v>641</v>
      </c>
      <c r="H269" s="13" t="s">
        <v>641</v>
      </c>
    </row>
    <row r="270" spans="1:8">
      <c r="A270" s="13" t="s">
        <v>3180</v>
      </c>
      <c r="B270" s="13">
        <v>1500919</v>
      </c>
      <c r="C270" s="13" t="s">
        <v>641</v>
      </c>
      <c r="D270" s="13" t="s">
        <v>54</v>
      </c>
      <c r="E270" s="13">
        <v>2</v>
      </c>
      <c r="F270" s="13" t="s">
        <v>671</v>
      </c>
      <c r="G270" s="13" t="s">
        <v>672</v>
      </c>
      <c r="H270" s="13" t="s">
        <v>641</v>
      </c>
    </row>
    <row r="271" spans="1:8">
      <c r="A271" s="13" t="s">
        <v>3180</v>
      </c>
      <c r="B271" s="13">
        <v>1500920</v>
      </c>
      <c r="C271" s="13" t="s">
        <v>641</v>
      </c>
      <c r="D271" s="13" t="s">
        <v>71</v>
      </c>
      <c r="E271" s="13">
        <v>2</v>
      </c>
      <c r="F271" s="13" t="s">
        <v>671</v>
      </c>
      <c r="G271" s="13" t="s">
        <v>672</v>
      </c>
      <c r="H271" s="13" t="s">
        <v>641</v>
      </c>
    </row>
    <row r="272" spans="1:8">
      <c r="A272" s="13" t="s">
        <v>3180</v>
      </c>
      <c r="B272" s="13">
        <v>1500921</v>
      </c>
      <c r="C272" s="13" t="s">
        <v>641</v>
      </c>
      <c r="D272" s="13" t="s">
        <v>3217</v>
      </c>
      <c r="E272" s="13">
        <v>2</v>
      </c>
      <c r="F272" s="13" t="s">
        <v>671</v>
      </c>
      <c r="G272" s="13" t="s">
        <v>672</v>
      </c>
      <c r="H272" s="13" t="s">
        <v>641</v>
      </c>
    </row>
    <row r="273" spans="1:8">
      <c r="A273" s="13" t="s">
        <v>3180</v>
      </c>
      <c r="B273" s="13">
        <v>1500922</v>
      </c>
      <c r="C273" s="13" t="s">
        <v>641</v>
      </c>
      <c r="D273" s="13" t="s">
        <v>884</v>
      </c>
      <c r="E273" s="13">
        <v>2</v>
      </c>
      <c r="F273" s="13" t="s">
        <v>671</v>
      </c>
      <c r="G273" s="13" t="s">
        <v>672</v>
      </c>
      <c r="H273" s="13" t="s">
        <v>641</v>
      </c>
    </row>
    <row r="274" spans="1:8">
      <c r="A274" s="13" t="s">
        <v>3180</v>
      </c>
      <c r="B274" s="13">
        <v>1500923</v>
      </c>
      <c r="C274" s="13" t="s">
        <v>641</v>
      </c>
      <c r="D274" s="13" t="s">
        <v>250</v>
      </c>
      <c r="E274" s="13">
        <v>2</v>
      </c>
      <c r="F274" s="13" t="s">
        <v>671</v>
      </c>
      <c r="G274" s="13" t="s">
        <v>672</v>
      </c>
      <c r="H274" s="13" t="s">
        <v>641</v>
      </c>
    </row>
    <row r="275" spans="1:8">
      <c r="A275" s="13" t="s">
        <v>3180</v>
      </c>
      <c r="B275" s="13">
        <v>1500924</v>
      </c>
      <c r="C275" s="13" t="s">
        <v>641</v>
      </c>
      <c r="D275" s="13" t="s">
        <v>328</v>
      </c>
      <c r="E275" s="13">
        <v>2</v>
      </c>
      <c r="F275" s="13" t="s">
        <v>671</v>
      </c>
      <c r="G275" s="13" t="s">
        <v>672</v>
      </c>
      <c r="H275" s="13" t="s">
        <v>641</v>
      </c>
    </row>
    <row r="276" spans="1:8">
      <c r="A276" s="13" t="s">
        <v>3180</v>
      </c>
      <c r="B276" s="13">
        <v>1500925</v>
      </c>
      <c r="C276" s="13" t="s">
        <v>641</v>
      </c>
      <c r="D276" s="13" t="s">
        <v>290</v>
      </c>
      <c r="E276" s="13">
        <v>2</v>
      </c>
      <c r="F276" s="13" t="s">
        <v>671</v>
      </c>
      <c r="G276" s="13" t="s">
        <v>672</v>
      </c>
      <c r="H276" s="13" t="s">
        <v>641</v>
      </c>
    </row>
    <row r="277" spans="1:8">
      <c r="A277" s="13" t="s">
        <v>3180</v>
      </c>
      <c r="B277" s="13">
        <v>1500926</v>
      </c>
      <c r="C277" s="13" t="s">
        <v>641</v>
      </c>
      <c r="D277" s="13" t="s">
        <v>3218</v>
      </c>
      <c r="E277" s="13">
        <v>2</v>
      </c>
      <c r="F277" s="13" t="s">
        <v>671</v>
      </c>
      <c r="G277" s="13" t="s">
        <v>672</v>
      </c>
      <c r="H277" s="13" t="s">
        <v>641</v>
      </c>
    </row>
    <row r="278" spans="1:8">
      <c r="A278" s="13" t="s">
        <v>3180</v>
      </c>
      <c r="B278" s="13">
        <v>1500927</v>
      </c>
      <c r="C278" s="13" t="s">
        <v>641</v>
      </c>
      <c r="D278" s="13" t="s">
        <v>885</v>
      </c>
      <c r="E278" s="13">
        <v>2</v>
      </c>
      <c r="F278" s="13" t="s">
        <v>671</v>
      </c>
      <c r="G278" s="13" t="s">
        <v>672</v>
      </c>
      <c r="H278" s="13" t="s">
        <v>641</v>
      </c>
    </row>
    <row r="279" spans="1:8">
      <c r="A279" s="13" t="s">
        <v>3180</v>
      </c>
      <c r="B279" s="13">
        <v>1500928</v>
      </c>
      <c r="C279" s="13" t="s">
        <v>641</v>
      </c>
      <c r="D279" s="13" t="s">
        <v>886</v>
      </c>
      <c r="E279" s="13">
        <v>2</v>
      </c>
      <c r="F279" s="13" t="s">
        <v>671</v>
      </c>
      <c r="G279" s="13" t="s">
        <v>672</v>
      </c>
      <c r="H279" s="13" t="s">
        <v>641</v>
      </c>
    </row>
    <row r="280" spans="1:8">
      <c r="A280" s="13" t="s">
        <v>3180</v>
      </c>
      <c r="B280" s="13">
        <v>1500929</v>
      </c>
      <c r="C280" s="13" t="s">
        <v>641</v>
      </c>
      <c r="D280" s="13" t="s">
        <v>3219</v>
      </c>
      <c r="E280" s="13">
        <v>2</v>
      </c>
      <c r="F280" s="13" t="s">
        <v>671</v>
      </c>
      <c r="G280" s="13" t="s">
        <v>678</v>
      </c>
      <c r="H280" s="13" t="s">
        <v>641</v>
      </c>
    </row>
    <row r="281" spans="1:8">
      <c r="A281" s="13" t="s">
        <v>3180</v>
      </c>
      <c r="B281" s="13">
        <v>1500930</v>
      </c>
      <c r="C281" s="13" t="s">
        <v>641</v>
      </c>
      <c r="D281" s="13" t="s">
        <v>3220</v>
      </c>
      <c r="E281" s="13">
        <v>2</v>
      </c>
      <c r="F281" s="13" t="s">
        <v>671</v>
      </c>
      <c r="G281" s="13" t="s">
        <v>678</v>
      </c>
      <c r="H281" s="13" t="s">
        <v>641</v>
      </c>
    </row>
    <row r="282" spans="1:8">
      <c r="A282" s="13" t="s">
        <v>3180</v>
      </c>
      <c r="B282" s="13">
        <v>1500931</v>
      </c>
      <c r="C282" s="13" t="s">
        <v>641</v>
      </c>
      <c r="D282" s="13" t="s">
        <v>887</v>
      </c>
      <c r="E282" s="13">
        <v>2</v>
      </c>
      <c r="F282" s="13" t="s">
        <v>671</v>
      </c>
      <c r="G282" s="13" t="s">
        <v>678</v>
      </c>
      <c r="H282" s="13" t="s">
        <v>641</v>
      </c>
    </row>
    <row r="283" spans="1:8">
      <c r="A283" s="13" t="s">
        <v>3180</v>
      </c>
      <c r="B283" s="13">
        <v>1500932</v>
      </c>
      <c r="C283" s="13" t="s">
        <v>641</v>
      </c>
      <c r="D283" s="13" t="s">
        <v>888</v>
      </c>
      <c r="E283" s="13">
        <v>2</v>
      </c>
      <c r="F283" s="13" t="s">
        <v>671</v>
      </c>
      <c r="G283" s="13" t="s">
        <v>678</v>
      </c>
      <c r="H283" s="13" t="s">
        <v>641</v>
      </c>
    </row>
    <row r="284" spans="1:8">
      <c r="A284" s="13" t="s">
        <v>3180</v>
      </c>
      <c r="B284" s="13">
        <v>1500933</v>
      </c>
      <c r="C284" s="13" t="s">
        <v>641</v>
      </c>
      <c r="D284" s="13" t="s">
        <v>3221</v>
      </c>
      <c r="E284" s="13">
        <v>2</v>
      </c>
      <c r="F284" s="13" t="s">
        <v>671</v>
      </c>
      <c r="G284" s="13" t="s">
        <v>678</v>
      </c>
      <c r="H284" s="13" t="s">
        <v>641</v>
      </c>
    </row>
    <row r="285" spans="1:8">
      <c r="A285" s="13" t="s">
        <v>3180</v>
      </c>
      <c r="B285" s="13">
        <v>1500934</v>
      </c>
      <c r="C285" s="13" t="s">
        <v>641</v>
      </c>
      <c r="D285" s="13" t="s">
        <v>3221</v>
      </c>
      <c r="E285" s="13">
        <v>2</v>
      </c>
      <c r="F285" s="13" t="s">
        <v>671</v>
      </c>
      <c r="G285" s="13" t="s">
        <v>678</v>
      </c>
      <c r="H285" s="13" t="s">
        <v>641</v>
      </c>
    </row>
    <row r="286" spans="1:8">
      <c r="A286" s="13" t="s">
        <v>3180</v>
      </c>
      <c r="B286" s="13">
        <v>1500935</v>
      </c>
      <c r="C286" s="13" t="s">
        <v>641</v>
      </c>
      <c r="D286" s="13" t="s">
        <v>889</v>
      </c>
      <c r="E286" s="13">
        <v>1</v>
      </c>
      <c r="F286" s="13" t="s">
        <v>642</v>
      </c>
      <c r="G286" s="13" t="s">
        <v>641</v>
      </c>
      <c r="H286" s="13" t="s">
        <v>641</v>
      </c>
    </row>
    <row r="287" spans="1:8">
      <c r="A287" s="13" t="s">
        <v>3180</v>
      </c>
      <c r="B287" s="13">
        <v>1500936</v>
      </c>
      <c r="C287" s="13" t="s">
        <v>641</v>
      </c>
      <c r="D287" s="13" t="s">
        <v>890</v>
      </c>
      <c r="E287" s="13">
        <v>1</v>
      </c>
      <c r="F287" s="13" t="s">
        <v>640</v>
      </c>
      <c r="G287" s="13" t="s">
        <v>641</v>
      </c>
      <c r="H287" s="13" t="s">
        <v>641</v>
      </c>
    </row>
    <row r="288" spans="1:8">
      <c r="A288" s="13" t="s">
        <v>3180</v>
      </c>
      <c r="B288" s="13">
        <v>1500937</v>
      </c>
      <c r="C288" s="13" t="s">
        <v>641</v>
      </c>
      <c r="D288" s="13" t="s">
        <v>891</v>
      </c>
      <c r="E288" s="13">
        <v>2</v>
      </c>
      <c r="F288" s="13" t="s">
        <v>671</v>
      </c>
      <c r="G288" s="13" t="s">
        <v>672</v>
      </c>
      <c r="H288" s="13" t="s">
        <v>641</v>
      </c>
    </row>
    <row r="289" spans="1:8">
      <c r="A289" s="13" t="s">
        <v>3180</v>
      </c>
      <c r="B289" s="13">
        <v>1500938</v>
      </c>
      <c r="C289" s="13" t="s">
        <v>641</v>
      </c>
      <c r="D289" s="13" t="s">
        <v>353</v>
      </c>
      <c r="E289" s="13">
        <v>2</v>
      </c>
      <c r="F289" s="13" t="s">
        <v>671</v>
      </c>
      <c r="G289" s="13" t="s">
        <v>672</v>
      </c>
      <c r="H289" s="13" t="s">
        <v>641</v>
      </c>
    </row>
    <row r="290" spans="1:8">
      <c r="A290" s="13" t="s">
        <v>3180</v>
      </c>
      <c r="B290" s="13">
        <v>1500939</v>
      </c>
      <c r="C290" s="13" t="s">
        <v>641</v>
      </c>
      <c r="D290" s="13" t="s">
        <v>892</v>
      </c>
      <c r="E290" s="13">
        <v>2</v>
      </c>
      <c r="F290" s="13" t="s">
        <v>671</v>
      </c>
      <c r="G290" s="13" t="s">
        <v>678</v>
      </c>
      <c r="H290" s="13" t="s">
        <v>641</v>
      </c>
    </row>
    <row r="291" spans="1:8">
      <c r="A291" s="13" t="s">
        <v>3180</v>
      </c>
      <c r="B291" s="13">
        <v>1500940</v>
      </c>
      <c r="C291" s="13" t="s">
        <v>641</v>
      </c>
      <c r="D291" s="13" t="s">
        <v>893</v>
      </c>
      <c r="E291" s="13">
        <v>2</v>
      </c>
      <c r="F291" s="13" t="s">
        <v>671</v>
      </c>
      <c r="G291" s="13" t="s">
        <v>678</v>
      </c>
      <c r="H291" s="13" t="s">
        <v>641</v>
      </c>
    </row>
    <row r="292" spans="1:8">
      <c r="A292" s="13" t="s">
        <v>3180</v>
      </c>
      <c r="B292" s="13">
        <v>1500941</v>
      </c>
      <c r="C292" s="13" t="s">
        <v>641</v>
      </c>
      <c r="D292" s="13" t="s">
        <v>3222</v>
      </c>
      <c r="E292" s="13">
        <v>2</v>
      </c>
      <c r="F292" s="13" t="s">
        <v>671</v>
      </c>
      <c r="G292" s="13" t="s">
        <v>676</v>
      </c>
      <c r="H292" s="13" t="s">
        <v>641</v>
      </c>
    </row>
    <row r="293" spans="1:8">
      <c r="A293" s="13" t="s">
        <v>3180</v>
      </c>
      <c r="B293" s="13">
        <v>1500942</v>
      </c>
      <c r="C293" s="13" t="s">
        <v>641</v>
      </c>
      <c r="D293" s="13" t="s">
        <v>3223</v>
      </c>
      <c r="E293" s="13">
        <v>2</v>
      </c>
      <c r="F293" s="13" t="s">
        <v>671</v>
      </c>
      <c r="G293" s="13" t="s">
        <v>676</v>
      </c>
      <c r="H293" s="13" t="s">
        <v>641</v>
      </c>
    </row>
    <row r="294" spans="1:8">
      <c r="A294" s="13" t="s">
        <v>3180</v>
      </c>
      <c r="B294" s="13">
        <v>1500943</v>
      </c>
      <c r="C294" s="13" t="s">
        <v>641</v>
      </c>
      <c r="D294" s="13" t="s">
        <v>894</v>
      </c>
      <c r="E294" s="13">
        <v>2</v>
      </c>
      <c r="F294" s="13" t="s">
        <v>671</v>
      </c>
      <c r="G294" s="13" t="s">
        <v>676</v>
      </c>
      <c r="H294" s="13" t="s">
        <v>641</v>
      </c>
    </row>
    <row r="295" spans="1:8">
      <c r="A295" s="13" t="s">
        <v>3180</v>
      </c>
      <c r="B295" s="13">
        <v>1500944</v>
      </c>
      <c r="C295" s="13" t="s">
        <v>641</v>
      </c>
      <c r="D295" s="13" t="s">
        <v>673</v>
      </c>
      <c r="E295" s="13">
        <v>2</v>
      </c>
      <c r="F295" s="13" t="s">
        <v>671</v>
      </c>
      <c r="G295" s="13" t="s">
        <v>676</v>
      </c>
      <c r="H295" s="13" t="s">
        <v>641</v>
      </c>
    </row>
    <row r="296" spans="1:8">
      <c r="A296" s="13" t="s">
        <v>3180</v>
      </c>
      <c r="B296" s="13">
        <v>1500945</v>
      </c>
      <c r="C296" s="13" t="s">
        <v>641</v>
      </c>
      <c r="D296" s="13" t="s">
        <v>895</v>
      </c>
      <c r="E296" s="13">
        <v>2</v>
      </c>
      <c r="F296" s="13" t="s">
        <v>671</v>
      </c>
      <c r="G296" s="13" t="s">
        <v>677</v>
      </c>
      <c r="H296" s="13" t="s">
        <v>641</v>
      </c>
    </row>
    <row r="297" spans="1:8">
      <c r="A297" s="13" t="s">
        <v>3180</v>
      </c>
      <c r="B297" s="13">
        <v>1500946</v>
      </c>
      <c r="C297" s="13" t="s">
        <v>641</v>
      </c>
      <c r="D297" s="13" t="s">
        <v>3224</v>
      </c>
      <c r="E297" s="13">
        <v>2</v>
      </c>
      <c r="F297" s="13" t="s">
        <v>671</v>
      </c>
      <c r="G297" s="13" t="s">
        <v>677</v>
      </c>
      <c r="H297" s="13" t="s">
        <v>641</v>
      </c>
    </row>
    <row r="298" spans="1:8">
      <c r="A298" s="13" t="s">
        <v>3180</v>
      </c>
      <c r="B298" s="13">
        <v>1500947</v>
      </c>
      <c r="C298" s="13" t="s">
        <v>641</v>
      </c>
      <c r="D298" s="13" t="s">
        <v>3225</v>
      </c>
      <c r="E298" s="13">
        <v>2</v>
      </c>
      <c r="F298" s="13" t="s">
        <v>671</v>
      </c>
      <c r="G298" s="13" t="s">
        <v>677</v>
      </c>
      <c r="H298" s="13" t="s">
        <v>641</v>
      </c>
    </row>
    <row r="299" spans="1:8">
      <c r="A299" s="13" t="s">
        <v>3180</v>
      </c>
      <c r="B299" s="13">
        <v>1500948</v>
      </c>
      <c r="C299" s="13" t="s">
        <v>641</v>
      </c>
      <c r="D299" s="13" t="s">
        <v>896</v>
      </c>
      <c r="E299" s="13">
        <v>2</v>
      </c>
      <c r="F299" s="13" t="s">
        <v>671</v>
      </c>
      <c r="G299" s="13" t="s">
        <v>677</v>
      </c>
      <c r="H299" s="13" t="s">
        <v>641</v>
      </c>
    </row>
    <row r="300" spans="1:8">
      <c r="A300" s="13" t="s">
        <v>3180</v>
      </c>
      <c r="B300" s="13">
        <v>1500949</v>
      </c>
      <c r="C300" s="13" t="s">
        <v>641</v>
      </c>
      <c r="D300" s="13" t="s">
        <v>897</v>
      </c>
      <c r="E300" s="13">
        <v>2</v>
      </c>
      <c r="F300" s="13" t="s">
        <v>671</v>
      </c>
      <c r="G300" s="13" t="s">
        <v>677</v>
      </c>
      <c r="H300" s="13" t="s">
        <v>641</v>
      </c>
    </row>
    <row r="301" spans="1:8">
      <c r="A301" s="13" t="s">
        <v>3180</v>
      </c>
      <c r="B301" s="13">
        <v>1500950</v>
      </c>
      <c r="C301" s="13" t="s">
        <v>641</v>
      </c>
      <c r="D301" s="13" t="s">
        <v>898</v>
      </c>
      <c r="E301" s="13">
        <v>2</v>
      </c>
      <c r="F301" s="13" t="s">
        <v>671</v>
      </c>
      <c r="G301" s="13" t="s">
        <v>677</v>
      </c>
      <c r="H301" s="13" t="s">
        <v>641</v>
      </c>
    </row>
    <row r="302" spans="1:8">
      <c r="A302" s="13" t="s">
        <v>3180</v>
      </c>
      <c r="B302" s="13">
        <v>1500951</v>
      </c>
      <c r="C302" s="13" t="s">
        <v>641</v>
      </c>
      <c r="D302" s="13" t="s">
        <v>899</v>
      </c>
      <c r="E302" s="13">
        <v>2</v>
      </c>
      <c r="F302" s="13" t="s">
        <v>671</v>
      </c>
      <c r="G302" s="13" t="s">
        <v>677</v>
      </c>
      <c r="H302" s="13" t="s">
        <v>641</v>
      </c>
    </row>
    <row r="303" spans="1:8">
      <c r="A303" s="13" t="s">
        <v>3180</v>
      </c>
      <c r="B303" s="13">
        <v>1500952</v>
      </c>
      <c r="C303" s="13" t="s">
        <v>641</v>
      </c>
      <c r="D303" s="13" t="s">
        <v>900</v>
      </c>
      <c r="E303" s="13">
        <v>2</v>
      </c>
      <c r="F303" s="13" t="s">
        <v>671</v>
      </c>
      <c r="G303" s="13" t="s">
        <v>677</v>
      </c>
      <c r="H303" s="13" t="s">
        <v>641</v>
      </c>
    </row>
    <row r="304" spans="1:8">
      <c r="A304" s="13" t="s">
        <v>3180</v>
      </c>
      <c r="B304" s="13">
        <v>1500953</v>
      </c>
      <c r="C304" s="13" t="s">
        <v>641</v>
      </c>
      <c r="D304" s="13" t="s">
        <v>901</v>
      </c>
      <c r="E304" s="13">
        <v>2</v>
      </c>
      <c r="F304" s="13" t="s">
        <v>671</v>
      </c>
      <c r="G304" s="13" t="s">
        <v>677</v>
      </c>
      <c r="H304" s="13" t="s">
        <v>641</v>
      </c>
    </row>
    <row r="305" spans="1:8">
      <c r="A305" s="13" t="s">
        <v>3180</v>
      </c>
      <c r="B305" s="13">
        <v>1500954</v>
      </c>
      <c r="C305" s="13" t="s">
        <v>641</v>
      </c>
      <c r="D305" s="13" t="s">
        <v>902</v>
      </c>
      <c r="E305" s="13">
        <v>2</v>
      </c>
      <c r="F305" s="13" t="s">
        <v>671</v>
      </c>
      <c r="G305" s="13" t="s">
        <v>677</v>
      </c>
      <c r="H305" s="13" t="s">
        <v>641</v>
      </c>
    </row>
    <row r="306" spans="1:8">
      <c r="A306" s="13" t="s">
        <v>3180</v>
      </c>
      <c r="B306" s="13">
        <v>1500955</v>
      </c>
      <c r="C306" s="13" t="s">
        <v>641</v>
      </c>
      <c r="D306" s="13" t="s">
        <v>903</v>
      </c>
      <c r="E306" s="13">
        <v>2</v>
      </c>
      <c r="F306" s="13" t="s">
        <v>671</v>
      </c>
      <c r="G306" s="13" t="s">
        <v>677</v>
      </c>
      <c r="H306" s="13" t="s">
        <v>641</v>
      </c>
    </row>
    <row r="307" spans="1:8">
      <c r="A307" s="13" t="s">
        <v>3180</v>
      </c>
      <c r="B307" s="13">
        <v>1500956</v>
      </c>
      <c r="C307" s="13" t="s">
        <v>641</v>
      </c>
      <c r="D307" s="13" t="s">
        <v>3226</v>
      </c>
      <c r="E307" s="13">
        <v>2</v>
      </c>
      <c r="F307" s="13" t="s">
        <v>671</v>
      </c>
      <c r="G307" s="13" t="s">
        <v>677</v>
      </c>
      <c r="H307" s="13" t="s">
        <v>641</v>
      </c>
    </row>
    <row r="308" spans="1:8">
      <c r="A308" s="13" t="s">
        <v>3180</v>
      </c>
      <c r="B308" s="13">
        <v>1500957</v>
      </c>
      <c r="C308" s="13" t="s">
        <v>641</v>
      </c>
      <c r="D308" s="13" t="s">
        <v>206</v>
      </c>
      <c r="E308" s="13">
        <v>2</v>
      </c>
      <c r="F308" s="13" t="s">
        <v>671</v>
      </c>
      <c r="G308" s="13" t="s">
        <v>677</v>
      </c>
      <c r="H308" s="13" t="s">
        <v>641</v>
      </c>
    </row>
    <row r="309" spans="1:8">
      <c r="A309" s="13" t="s">
        <v>3180</v>
      </c>
      <c r="B309" s="13">
        <v>1500958</v>
      </c>
      <c r="C309" s="13" t="s">
        <v>641</v>
      </c>
      <c r="D309" s="13" t="s">
        <v>3227</v>
      </c>
      <c r="E309" s="13">
        <v>2</v>
      </c>
      <c r="F309" s="13" t="s">
        <v>696</v>
      </c>
      <c r="G309" s="13" t="s">
        <v>641</v>
      </c>
      <c r="H309" s="13" t="s">
        <v>641</v>
      </c>
    </row>
    <row r="310" spans="1:8">
      <c r="A310" s="13" t="s">
        <v>3180</v>
      </c>
      <c r="B310" s="13">
        <v>1500959</v>
      </c>
      <c r="C310" s="13" t="s">
        <v>641</v>
      </c>
      <c r="D310" s="13" t="s">
        <v>904</v>
      </c>
      <c r="E310" s="13">
        <v>2</v>
      </c>
      <c r="F310" s="13" t="s">
        <v>671</v>
      </c>
      <c r="G310" s="13" t="s">
        <v>678</v>
      </c>
      <c r="H310" s="13" t="s">
        <v>641</v>
      </c>
    </row>
    <row r="311" spans="1:8">
      <c r="A311" s="13" t="s">
        <v>3180</v>
      </c>
      <c r="B311" s="13">
        <v>1500960</v>
      </c>
      <c r="C311" s="13" t="s">
        <v>641</v>
      </c>
      <c r="D311" s="13" t="s">
        <v>183</v>
      </c>
      <c r="E311" s="13">
        <v>2</v>
      </c>
      <c r="F311" s="13" t="s">
        <v>671</v>
      </c>
      <c r="G311" s="13" t="s">
        <v>678</v>
      </c>
      <c r="H311" s="13" t="s">
        <v>641</v>
      </c>
    </row>
    <row r="312" spans="1:8">
      <c r="A312" s="13" t="s">
        <v>3180</v>
      </c>
      <c r="B312" s="13">
        <v>1500961</v>
      </c>
      <c r="C312" s="13" t="s">
        <v>641</v>
      </c>
      <c r="D312" s="13" t="s">
        <v>332</v>
      </c>
      <c r="E312" s="13">
        <v>2</v>
      </c>
      <c r="F312" s="13" t="s">
        <v>671</v>
      </c>
      <c r="G312" s="13" t="s">
        <v>678</v>
      </c>
      <c r="H312" s="13" t="s">
        <v>641</v>
      </c>
    </row>
    <row r="313" spans="1:8">
      <c r="A313" s="13" t="s">
        <v>3180</v>
      </c>
      <c r="B313" s="13">
        <v>1500962</v>
      </c>
      <c r="C313" s="13" t="s">
        <v>641</v>
      </c>
      <c r="D313" s="13" t="s">
        <v>3228</v>
      </c>
      <c r="E313" s="13">
        <v>2</v>
      </c>
      <c r="F313" s="13" t="s">
        <v>671</v>
      </c>
      <c r="G313" s="13" t="s">
        <v>677</v>
      </c>
      <c r="H313" s="13" t="s">
        <v>641</v>
      </c>
    </row>
    <row r="314" spans="1:8">
      <c r="A314" s="13" t="s">
        <v>3180</v>
      </c>
      <c r="B314" s="13">
        <v>1500963</v>
      </c>
      <c r="C314" s="13" t="s">
        <v>641</v>
      </c>
      <c r="D314" s="13" t="s">
        <v>238</v>
      </c>
      <c r="E314" s="13">
        <v>2</v>
      </c>
      <c r="F314" s="13" t="s">
        <v>671</v>
      </c>
      <c r="G314" s="13" t="s">
        <v>677</v>
      </c>
      <c r="H314" s="13" t="s">
        <v>641</v>
      </c>
    </row>
    <row r="315" spans="1:8">
      <c r="A315" s="13" t="s">
        <v>3180</v>
      </c>
      <c r="B315" s="13">
        <v>1500964</v>
      </c>
      <c r="C315" s="13" t="s">
        <v>641</v>
      </c>
      <c r="D315" s="13" t="s">
        <v>905</v>
      </c>
      <c r="E315" s="13">
        <v>2</v>
      </c>
      <c r="F315" s="13" t="s">
        <v>671</v>
      </c>
      <c r="G315" s="13" t="s">
        <v>677</v>
      </c>
      <c r="H315" s="13" t="s">
        <v>641</v>
      </c>
    </row>
    <row r="316" spans="1:8">
      <c r="A316" s="13" t="s">
        <v>3180</v>
      </c>
      <c r="B316" s="13">
        <v>1500965</v>
      </c>
      <c r="C316" s="13" t="s">
        <v>641</v>
      </c>
      <c r="D316" s="13" t="s">
        <v>906</v>
      </c>
      <c r="E316" s="13">
        <v>2</v>
      </c>
      <c r="F316" s="13" t="s">
        <v>671</v>
      </c>
      <c r="G316" s="13" t="s">
        <v>677</v>
      </c>
      <c r="H316" s="13" t="s">
        <v>641</v>
      </c>
    </row>
    <row r="317" spans="1:8">
      <c r="A317" s="13" t="s">
        <v>3180</v>
      </c>
      <c r="B317" s="13">
        <v>1500966</v>
      </c>
      <c r="C317" s="13" t="s">
        <v>641</v>
      </c>
      <c r="D317" s="13" t="s">
        <v>3229</v>
      </c>
      <c r="E317" s="13">
        <v>2</v>
      </c>
      <c r="F317" s="13" t="s">
        <v>671</v>
      </c>
      <c r="G317" s="13" t="s">
        <v>678</v>
      </c>
      <c r="H317" s="13" t="s">
        <v>641</v>
      </c>
    </row>
    <row r="318" spans="1:8">
      <c r="A318" s="13" t="s">
        <v>3180</v>
      </c>
      <c r="B318" s="13">
        <v>1500967</v>
      </c>
      <c r="C318" s="13" t="s">
        <v>641</v>
      </c>
      <c r="D318" s="13" t="s">
        <v>3230</v>
      </c>
      <c r="E318" s="13">
        <v>2</v>
      </c>
      <c r="F318" s="13" t="s">
        <v>671</v>
      </c>
      <c r="G318" s="13" t="s">
        <v>678</v>
      </c>
      <c r="H318" s="13" t="s">
        <v>641</v>
      </c>
    </row>
    <row r="319" spans="1:8">
      <c r="A319" s="13" t="s">
        <v>3180</v>
      </c>
      <c r="B319" s="13">
        <v>1500968</v>
      </c>
      <c r="C319" s="13" t="s">
        <v>641</v>
      </c>
      <c r="D319" s="13" t="s">
        <v>907</v>
      </c>
      <c r="E319" s="13">
        <v>2</v>
      </c>
      <c r="F319" s="13" t="s">
        <v>671</v>
      </c>
      <c r="G319" s="13" t="s">
        <v>678</v>
      </c>
      <c r="H319" s="13" t="s">
        <v>641</v>
      </c>
    </row>
    <row r="320" spans="1:8">
      <c r="A320" s="13" t="s">
        <v>3180</v>
      </c>
      <c r="B320" s="13">
        <v>1500969</v>
      </c>
      <c r="C320" s="13" t="s">
        <v>641</v>
      </c>
      <c r="D320" s="13" t="s">
        <v>516</v>
      </c>
      <c r="E320" s="13">
        <v>2</v>
      </c>
      <c r="F320" s="13" t="s">
        <v>671</v>
      </c>
      <c r="G320" s="13" t="s">
        <v>678</v>
      </c>
      <c r="H320" s="13" t="s">
        <v>641</v>
      </c>
    </row>
    <row r="321" spans="1:8">
      <c r="A321" s="13" t="s">
        <v>3180</v>
      </c>
      <c r="B321" s="13">
        <v>1500970</v>
      </c>
      <c r="C321" s="13" t="s">
        <v>641</v>
      </c>
      <c r="D321" s="13" t="s">
        <v>908</v>
      </c>
      <c r="E321" s="13">
        <v>2</v>
      </c>
      <c r="F321" s="13" t="s">
        <v>654</v>
      </c>
      <c r="G321" s="13" t="s">
        <v>641</v>
      </c>
      <c r="H321" s="13" t="s">
        <v>641</v>
      </c>
    </row>
    <row r="322" spans="1:8">
      <c r="A322" s="13" t="s">
        <v>3180</v>
      </c>
      <c r="B322" s="13">
        <v>1500971</v>
      </c>
      <c r="C322" s="13" t="s">
        <v>641</v>
      </c>
      <c r="D322" s="13" t="s">
        <v>3231</v>
      </c>
      <c r="E322" s="13">
        <v>1</v>
      </c>
      <c r="F322" s="13" t="s">
        <v>646</v>
      </c>
      <c r="G322" s="13" t="s">
        <v>641</v>
      </c>
      <c r="H322" s="13" t="s">
        <v>641</v>
      </c>
    </row>
    <row r="323" spans="1:8">
      <c r="A323" s="13" t="s">
        <v>3180</v>
      </c>
      <c r="B323" s="13">
        <v>1500972</v>
      </c>
      <c r="C323" s="13" t="s">
        <v>641</v>
      </c>
      <c r="D323" s="13" t="s">
        <v>909</v>
      </c>
      <c r="E323" s="13">
        <v>2</v>
      </c>
      <c r="F323" s="13" t="s">
        <v>654</v>
      </c>
      <c r="G323" s="13" t="s">
        <v>641</v>
      </c>
      <c r="H323" s="13" t="s">
        <v>641</v>
      </c>
    </row>
    <row r="324" spans="1:8">
      <c r="A324" s="13" t="s">
        <v>3180</v>
      </c>
      <c r="B324" s="13">
        <v>1500973</v>
      </c>
      <c r="C324" s="13" t="s">
        <v>641</v>
      </c>
      <c r="D324" s="13" t="s">
        <v>3232</v>
      </c>
      <c r="E324" s="13">
        <v>2</v>
      </c>
      <c r="F324" s="13" t="s">
        <v>654</v>
      </c>
      <c r="G324" s="13" t="s">
        <v>641</v>
      </c>
      <c r="H324" s="13" t="s">
        <v>641</v>
      </c>
    </row>
    <row r="325" spans="1:8">
      <c r="A325" s="13" t="s">
        <v>3180</v>
      </c>
      <c r="B325" s="13">
        <v>1500974</v>
      </c>
      <c r="C325" s="13" t="s">
        <v>641</v>
      </c>
      <c r="D325" s="13" t="s">
        <v>3233</v>
      </c>
      <c r="E325" s="13">
        <v>2</v>
      </c>
      <c r="F325" s="13" t="s">
        <v>654</v>
      </c>
      <c r="G325" s="13" t="s">
        <v>641</v>
      </c>
      <c r="H325" s="13" t="s">
        <v>641</v>
      </c>
    </row>
    <row r="326" spans="1:8">
      <c r="A326" s="13" t="s">
        <v>3180</v>
      </c>
      <c r="B326" s="13">
        <v>1500975</v>
      </c>
      <c r="C326" s="13" t="s">
        <v>641</v>
      </c>
      <c r="D326" s="13" t="s">
        <v>910</v>
      </c>
      <c r="E326" s="13">
        <v>1</v>
      </c>
      <c r="F326" s="13" t="s">
        <v>638</v>
      </c>
      <c r="G326" s="13" t="s">
        <v>641</v>
      </c>
      <c r="H326" s="13" t="s">
        <v>641</v>
      </c>
    </row>
    <row r="327" spans="1:8">
      <c r="A327" s="13" t="s">
        <v>3180</v>
      </c>
      <c r="B327" s="13">
        <v>1500976</v>
      </c>
      <c r="C327" s="13" t="s">
        <v>641</v>
      </c>
      <c r="D327" s="13" t="s">
        <v>911</v>
      </c>
      <c r="E327" s="13">
        <v>1</v>
      </c>
      <c r="F327" s="13" t="s">
        <v>638</v>
      </c>
      <c r="G327" s="13" t="s">
        <v>641</v>
      </c>
      <c r="H327" s="13" t="s">
        <v>641</v>
      </c>
    </row>
    <row r="328" spans="1:8">
      <c r="A328" s="13" t="s">
        <v>3180</v>
      </c>
      <c r="B328" s="13">
        <v>1500977</v>
      </c>
      <c r="C328" s="13" t="s">
        <v>641</v>
      </c>
      <c r="D328" s="13" t="s">
        <v>912</v>
      </c>
      <c r="E328" s="13">
        <v>1</v>
      </c>
      <c r="F328" s="13" t="s">
        <v>644</v>
      </c>
      <c r="G328" s="13" t="s">
        <v>641</v>
      </c>
      <c r="H328" s="13" t="s">
        <v>641</v>
      </c>
    </row>
    <row r="329" spans="1:8">
      <c r="A329" s="13" t="s">
        <v>3180</v>
      </c>
      <c r="B329" s="13">
        <v>1500978</v>
      </c>
      <c r="C329" s="13" t="s">
        <v>641</v>
      </c>
      <c r="D329" s="13" t="s">
        <v>913</v>
      </c>
      <c r="E329" s="13">
        <v>2</v>
      </c>
      <c r="F329" s="13" t="s">
        <v>671</v>
      </c>
      <c r="G329" s="13" t="s">
        <v>676</v>
      </c>
      <c r="H329" s="13" t="s">
        <v>641</v>
      </c>
    </row>
    <row r="330" spans="1:8">
      <c r="A330" s="13" t="s">
        <v>3180</v>
      </c>
      <c r="B330" s="13">
        <v>1500979</v>
      </c>
      <c r="C330" s="13" t="s">
        <v>641</v>
      </c>
      <c r="D330" s="13" t="s">
        <v>65</v>
      </c>
      <c r="E330" s="13">
        <v>2</v>
      </c>
      <c r="F330" s="13" t="s">
        <v>671</v>
      </c>
      <c r="G330" s="13" t="s">
        <v>677</v>
      </c>
      <c r="H330" s="13" t="s">
        <v>641</v>
      </c>
    </row>
    <row r="331" spans="1:8">
      <c r="A331" s="13" t="s">
        <v>3180</v>
      </c>
      <c r="B331" s="13">
        <v>1500980</v>
      </c>
      <c r="C331" s="13" t="s">
        <v>641</v>
      </c>
      <c r="D331" s="13" t="s">
        <v>526</v>
      </c>
      <c r="E331" s="13">
        <v>1</v>
      </c>
      <c r="F331" s="13" t="s">
        <v>656</v>
      </c>
      <c r="G331" s="13" t="s">
        <v>641</v>
      </c>
      <c r="H331" s="13" t="s">
        <v>641</v>
      </c>
    </row>
    <row r="332" spans="1:8">
      <c r="A332" s="13" t="s">
        <v>3180</v>
      </c>
      <c r="B332" s="13">
        <v>1500981</v>
      </c>
      <c r="C332" s="13" t="s">
        <v>641</v>
      </c>
      <c r="D332" s="13" t="s">
        <v>914</v>
      </c>
      <c r="E332" s="13">
        <v>1</v>
      </c>
      <c r="F332" s="13" t="s">
        <v>644</v>
      </c>
      <c r="G332" s="13" t="s">
        <v>641</v>
      </c>
      <c r="H332" s="13" t="s">
        <v>641</v>
      </c>
    </row>
    <row r="333" spans="1:8">
      <c r="A333" s="13" t="s">
        <v>3180</v>
      </c>
      <c r="B333" s="13">
        <v>1500982</v>
      </c>
      <c r="C333" s="13" t="s">
        <v>641</v>
      </c>
      <c r="D333" s="13" t="s">
        <v>441</v>
      </c>
      <c r="E333" s="13">
        <v>2</v>
      </c>
      <c r="F333" s="13" t="s">
        <v>654</v>
      </c>
      <c r="G333" s="13" t="s">
        <v>641</v>
      </c>
      <c r="H333" s="13" t="s">
        <v>641</v>
      </c>
    </row>
    <row r="334" spans="1:8">
      <c r="A334" s="13" t="s">
        <v>3180</v>
      </c>
      <c r="B334" s="13">
        <v>1500983</v>
      </c>
      <c r="C334" s="13" t="s">
        <v>641</v>
      </c>
      <c r="D334" s="13" t="s">
        <v>550</v>
      </c>
      <c r="E334" s="13">
        <v>2</v>
      </c>
      <c r="F334" s="13" t="s">
        <v>654</v>
      </c>
      <c r="G334" s="13" t="s">
        <v>641</v>
      </c>
      <c r="H334" s="13" t="s">
        <v>641</v>
      </c>
    </row>
    <row r="335" spans="1:8">
      <c r="A335" s="13" t="s">
        <v>3180</v>
      </c>
      <c r="B335" s="13">
        <v>1500984</v>
      </c>
      <c r="C335" s="13" t="s">
        <v>641</v>
      </c>
      <c r="D335" s="13" t="s">
        <v>75</v>
      </c>
      <c r="E335" s="13">
        <v>1</v>
      </c>
      <c r="F335" s="13" t="s">
        <v>640</v>
      </c>
      <c r="G335" s="13" t="s">
        <v>641</v>
      </c>
      <c r="H335" s="13" t="s">
        <v>641</v>
      </c>
    </row>
    <row r="336" spans="1:8">
      <c r="A336" s="13" t="s">
        <v>3180</v>
      </c>
      <c r="B336" s="13">
        <v>1500985</v>
      </c>
      <c r="C336" s="13" t="s">
        <v>641</v>
      </c>
      <c r="D336" s="13" t="s">
        <v>3234</v>
      </c>
      <c r="E336" s="13">
        <v>1</v>
      </c>
      <c r="F336" s="13" t="s">
        <v>640</v>
      </c>
      <c r="G336" s="13" t="s">
        <v>641</v>
      </c>
      <c r="H336" s="13" t="s">
        <v>641</v>
      </c>
    </row>
    <row r="337" spans="1:8">
      <c r="A337" s="13" t="s">
        <v>3180</v>
      </c>
      <c r="B337" s="13">
        <v>1500986</v>
      </c>
      <c r="C337" s="13" t="s">
        <v>641</v>
      </c>
      <c r="D337" s="13" t="s">
        <v>915</v>
      </c>
      <c r="E337" s="13">
        <v>1</v>
      </c>
      <c r="F337" s="13" t="s">
        <v>656</v>
      </c>
      <c r="G337" s="13" t="s">
        <v>641</v>
      </c>
      <c r="H337" s="13" t="s">
        <v>641</v>
      </c>
    </row>
    <row r="338" spans="1:8">
      <c r="A338" s="13" t="s">
        <v>3180</v>
      </c>
      <c r="B338" s="13">
        <v>1500987</v>
      </c>
      <c r="C338" s="13" t="s">
        <v>641</v>
      </c>
      <c r="D338" s="13" t="s">
        <v>500</v>
      </c>
      <c r="E338" s="13">
        <v>1</v>
      </c>
      <c r="F338" s="13" t="s">
        <v>656</v>
      </c>
      <c r="G338" s="13" t="s">
        <v>641</v>
      </c>
      <c r="H338" s="13" t="s">
        <v>641</v>
      </c>
    </row>
    <row r="339" spans="1:8">
      <c r="A339" s="13" t="s">
        <v>3180</v>
      </c>
      <c r="B339" s="13">
        <v>1500988</v>
      </c>
      <c r="C339" s="13" t="s">
        <v>641</v>
      </c>
      <c r="D339" s="13" t="s">
        <v>916</v>
      </c>
      <c r="E339" s="13">
        <v>1</v>
      </c>
      <c r="F339" s="13" t="s">
        <v>656</v>
      </c>
      <c r="G339" s="13" t="s">
        <v>641</v>
      </c>
      <c r="H339" s="13" t="s">
        <v>641</v>
      </c>
    </row>
    <row r="340" spans="1:8">
      <c r="A340" s="13" t="s">
        <v>3180</v>
      </c>
      <c r="B340" s="13">
        <v>1500989</v>
      </c>
      <c r="C340" s="13" t="s">
        <v>641</v>
      </c>
      <c r="D340" s="13" t="s">
        <v>917</v>
      </c>
      <c r="E340" s="13">
        <v>1</v>
      </c>
      <c r="F340" s="13" t="s">
        <v>656</v>
      </c>
      <c r="G340" s="13" t="s">
        <v>641</v>
      </c>
      <c r="H340" s="13" t="s">
        <v>641</v>
      </c>
    </row>
    <row r="341" spans="1:8">
      <c r="A341" s="13" t="s">
        <v>3180</v>
      </c>
      <c r="B341" s="13">
        <v>1500990</v>
      </c>
      <c r="C341" s="13" t="s">
        <v>641</v>
      </c>
      <c r="D341" s="13" t="s">
        <v>918</v>
      </c>
      <c r="E341" s="13">
        <v>1</v>
      </c>
      <c r="F341" s="13" t="s">
        <v>649</v>
      </c>
      <c r="G341" s="13" t="s">
        <v>641</v>
      </c>
      <c r="H341" s="13" t="s">
        <v>641</v>
      </c>
    </row>
    <row r="342" spans="1:8">
      <c r="A342" s="13" t="s">
        <v>3180</v>
      </c>
      <c r="B342" s="13">
        <v>1500991</v>
      </c>
      <c r="C342" s="13" t="s">
        <v>641</v>
      </c>
      <c r="D342" s="13" t="s">
        <v>3235</v>
      </c>
      <c r="E342" s="13">
        <v>1</v>
      </c>
      <c r="F342" s="13" t="s">
        <v>640</v>
      </c>
      <c r="G342" s="13" t="s">
        <v>641</v>
      </c>
      <c r="H342" s="13" t="s">
        <v>641</v>
      </c>
    </row>
    <row r="343" spans="1:8">
      <c r="A343" s="13" t="s">
        <v>3180</v>
      </c>
      <c r="B343" s="13">
        <v>1500995</v>
      </c>
      <c r="C343" s="13" t="s">
        <v>641</v>
      </c>
      <c r="D343" s="13" t="s">
        <v>919</v>
      </c>
      <c r="E343" s="13">
        <v>1</v>
      </c>
      <c r="F343" s="13" t="s">
        <v>642</v>
      </c>
      <c r="G343" s="13" t="s">
        <v>641</v>
      </c>
      <c r="H343" s="13" t="s">
        <v>641</v>
      </c>
    </row>
    <row r="344" spans="1:8">
      <c r="A344" s="13" t="s">
        <v>3180</v>
      </c>
      <c r="B344" s="13">
        <v>1500996</v>
      </c>
      <c r="C344" s="13" t="s">
        <v>641</v>
      </c>
      <c r="D344" s="13" t="s">
        <v>454</v>
      </c>
      <c r="E344" s="13">
        <v>1</v>
      </c>
      <c r="F344" s="13" t="s">
        <v>642</v>
      </c>
      <c r="G344" s="13" t="s">
        <v>641</v>
      </c>
      <c r="H344" s="13" t="s">
        <v>641</v>
      </c>
    </row>
    <row r="345" spans="1:8">
      <c r="A345" s="13" t="s">
        <v>3180</v>
      </c>
      <c r="B345" s="13">
        <v>1500997</v>
      </c>
      <c r="C345" s="13" t="s">
        <v>641</v>
      </c>
      <c r="D345" s="13" t="s">
        <v>920</v>
      </c>
      <c r="E345" s="13">
        <v>1</v>
      </c>
      <c r="F345" s="13" t="s">
        <v>642</v>
      </c>
      <c r="G345" s="13" t="s">
        <v>641</v>
      </c>
      <c r="H345" s="13" t="s">
        <v>641</v>
      </c>
    </row>
    <row r="346" spans="1:8">
      <c r="A346" s="13" t="s">
        <v>3180</v>
      </c>
      <c r="B346" s="13">
        <v>1500998</v>
      </c>
      <c r="C346" s="13" t="s">
        <v>641</v>
      </c>
      <c r="D346" s="13" t="s">
        <v>592</v>
      </c>
      <c r="E346" s="13">
        <v>1</v>
      </c>
      <c r="F346" s="13" t="s">
        <v>640</v>
      </c>
      <c r="G346" s="13" t="s">
        <v>641</v>
      </c>
      <c r="H346" s="13" t="s">
        <v>641</v>
      </c>
    </row>
    <row r="347" spans="1:8">
      <c r="A347" s="13" t="s">
        <v>3180</v>
      </c>
      <c r="B347" s="13">
        <v>1500999</v>
      </c>
      <c r="C347" s="13" t="s">
        <v>641</v>
      </c>
      <c r="D347" s="13" t="s">
        <v>921</v>
      </c>
      <c r="E347" s="13">
        <v>1</v>
      </c>
      <c r="F347" s="13" t="s">
        <v>646</v>
      </c>
      <c r="G347" s="13" t="s">
        <v>641</v>
      </c>
      <c r="H347" s="13" t="s">
        <v>641</v>
      </c>
    </row>
    <row r="348" spans="1:8">
      <c r="A348" s="13" t="s">
        <v>3180</v>
      </c>
      <c r="B348" s="13">
        <v>1501000</v>
      </c>
      <c r="C348" s="13" t="s">
        <v>641</v>
      </c>
      <c r="D348" s="13" t="s">
        <v>64</v>
      </c>
      <c r="E348" s="13">
        <v>2</v>
      </c>
      <c r="F348" s="13" t="s">
        <v>671</v>
      </c>
      <c r="G348" s="13" t="s">
        <v>677</v>
      </c>
      <c r="H348" s="13" t="s">
        <v>641</v>
      </c>
    </row>
    <row r="349" spans="1:8">
      <c r="A349" s="13" t="s">
        <v>3180</v>
      </c>
      <c r="B349" s="13">
        <v>1501001</v>
      </c>
      <c r="C349" s="13" t="s">
        <v>641</v>
      </c>
      <c r="D349" s="13" t="s">
        <v>141</v>
      </c>
      <c r="E349" s="13">
        <v>2</v>
      </c>
      <c r="F349" s="13" t="s">
        <v>671</v>
      </c>
      <c r="G349" s="13" t="s">
        <v>677</v>
      </c>
      <c r="H349" s="13" t="s">
        <v>641</v>
      </c>
    </row>
    <row r="350" spans="1:8">
      <c r="A350" s="13" t="s">
        <v>3180</v>
      </c>
      <c r="B350" s="13">
        <v>1501002</v>
      </c>
      <c r="C350" s="13" t="s">
        <v>641</v>
      </c>
      <c r="D350" s="13" t="s">
        <v>922</v>
      </c>
      <c r="E350" s="13">
        <v>2</v>
      </c>
      <c r="F350" s="13" t="s">
        <v>671</v>
      </c>
      <c r="G350" s="13" t="s">
        <v>677</v>
      </c>
      <c r="H350" s="13" t="s">
        <v>641</v>
      </c>
    </row>
    <row r="351" spans="1:8">
      <c r="A351" s="13" t="s">
        <v>3180</v>
      </c>
      <c r="B351" s="13">
        <v>1501003</v>
      </c>
      <c r="C351" s="13" t="s">
        <v>641</v>
      </c>
      <c r="D351" s="13" t="s">
        <v>923</v>
      </c>
      <c r="E351" s="13">
        <v>2</v>
      </c>
      <c r="F351" s="13" t="s">
        <v>671</v>
      </c>
      <c r="G351" s="13" t="s">
        <v>677</v>
      </c>
      <c r="H351" s="13" t="s">
        <v>641</v>
      </c>
    </row>
    <row r="352" spans="1:8">
      <c r="A352" s="13" t="s">
        <v>3180</v>
      </c>
      <c r="B352" s="13">
        <v>1501004</v>
      </c>
      <c r="C352" s="13" t="s">
        <v>641</v>
      </c>
      <c r="D352" s="13" t="s">
        <v>3236</v>
      </c>
      <c r="E352" s="13">
        <v>2</v>
      </c>
      <c r="F352" s="13" t="s">
        <v>671</v>
      </c>
      <c r="G352" s="13" t="s">
        <v>677</v>
      </c>
      <c r="H352" s="13" t="s">
        <v>641</v>
      </c>
    </row>
    <row r="353" spans="1:8">
      <c r="A353" s="13" t="s">
        <v>3180</v>
      </c>
      <c r="B353" s="13">
        <v>1501005</v>
      </c>
      <c r="C353" s="13" t="s">
        <v>641</v>
      </c>
      <c r="D353" s="13" t="s">
        <v>3237</v>
      </c>
      <c r="E353" s="13">
        <v>2</v>
      </c>
      <c r="F353" s="13" t="s">
        <v>671</v>
      </c>
      <c r="G353" s="13" t="s">
        <v>677</v>
      </c>
      <c r="H353" s="13" t="s">
        <v>641</v>
      </c>
    </row>
    <row r="354" spans="1:8">
      <c r="A354" s="13" t="s">
        <v>3180</v>
      </c>
      <c r="B354" s="13">
        <v>1501006</v>
      </c>
      <c r="C354" s="13" t="s">
        <v>641</v>
      </c>
      <c r="D354" s="13" t="s">
        <v>3238</v>
      </c>
      <c r="E354" s="13">
        <v>2</v>
      </c>
      <c r="F354" s="13" t="s">
        <v>671</v>
      </c>
      <c r="G354" s="13" t="s">
        <v>677</v>
      </c>
      <c r="H354" s="13" t="s">
        <v>641</v>
      </c>
    </row>
    <row r="355" spans="1:8">
      <c r="A355" s="13" t="s">
        <v>3180</v>
      </c>
      <c r="B355" s="13">
        <v>1501007</v>
      </c>
      <c r="C355" s="13" t="s">
        <v>641</v>
      </c>
      <c r="D355" s="13" t="s">
        <v>268</v>
      </c>
      <c r="E355" s="13">
        <v>2</v>
      </c>
      <c r="F355" s="13" t="s">
        <v>671</v>
      </c>
      <c r="G355" s="13" t="s">
        <v>677</v>
      </c>
      <c r="H355" s="13" t="s">
        <v>641</v>
      </c>
    </row>
    <row r="356" spans="1:8">
      <c r="A356" s="13" t="s">
        <v>3180</v>
      </c>
      <c r="B356" s="13">
        <v>1501008</v>
      </c>
      <c r="C356" s="13" t="s">
        <v>641</v>
      </c>
      <c r="D356" s="13" t="s">
        <v>679</v>
      </c>
      <c r="E356" s="13">
        <v>2</v>
      </c>
      <c r="F356" s="13" t="s">
        <v>671</v>
      </c>
      <c r="G356" s="13" t="s">
        <v>677</v>
      </c>
      <c r="H356" s="13" t="s">
        <v>641</v>
      </c>
    </row>
    <row r="357" spans="1:8">
      <c r="A357" s="13" t="s">
        <v>3180</v>
      </c>
      <c r="B357" s="13">
        <v>1501009</v>
      </c>
      <c r="C357" s="13" t="s">
        <v>641</v>
      </c>
      <c r="D357" s="13" t="s">
        <v>680</v>
      </c>
      <c r="E357" s="13">
        <v>2</v>
      </c>
      <c r="F357" s="13" t="s">
        <v>671</v>
      </c>
      <c r="G357" s="13" t="s">
        <v>672</v>
      </c>
      <c r="H357" s="13" t="s">
        <v>641</v>
      </c>
    </row>
    <row r="358" spans="1:8">
      <c r="A358" s="13" t="s">
        <v>3180</v>
      </c>
      <c r="B358" s="13">
        <v>1501010</v>
      </c>
      <c r="C358" s="13" t="s">
        <v>641</v>
      </c>
      <c r="D358" s="13" t="s">
        <v>60</v>
      </c>
      <c r="E358" s="13">
        <v>2</v>
      </c>
      <c r="F358" s="13" t="s">
        <v>671</v>
      </c>
      <c r="G358" s="13" t="s">
        <v>672</v>
      </c>
      <c r="H358" s="13" t="s">
        <v>641</v>
      </c>
    </row>
    <row r="359" spans="1:8">
      <c r="A359" s="13" t="s">
        <v>3180</v>
      </c>
      <c r="B359" s="13">
        <v>1501011</v>
      </c>
      <c r="C359" s="13" t="s">
        <v>641</v>
      </c>
      <c r="D359" s="13" t="s">
        <v>924</v>
      </c>
      <c r="E359" s="13">
        <v>1</v>
      </c>
      <c r="F359" s="13" t="s">
        <v>642</v>
      </c>
      <c r="G359" s="13" t="s">
        <v>641</v>
      </c>
      <c r="H359" s="13" t="s">
        <v>641</v>
      </c>
    </row>
    <row r="360" spans="1:8">
      <c r="A360" s="13" t="s">
        <v>3180</v>
      </c>
      <c r="B360" s="13">
        <v>1501012</v>
      </c>
      <c r="C360" s="13" t="s">
        <v>641</v>
      </c>
      <c r="D360" s="13" t="s">
        <v>925</v>
      </c>
      <c r="E360" s="13">
        <v>1</v>
      </c>
      <c r="F360" s="13" t="s">
        <v>642</v>
      </c>
      <c r="G360" s="13" t="s">
        <v>641</v>
      </c>
      <c r="H360" s="13" t="s">
        <v>641</v>
      </c>
    </row>
    <row r="361" spans="1:8">
      <c r="A361" s="13" t="s">
        <v>3180</v>
      </c>
      <c r="B361" s="13">
        <v>1501013</v>
      </c>
      <c r="C361" s="13" t="s">
        <v>641</v>
      </c>
      <c r="D361" s="13" t="s">
        <v>190</v>
      </c>
      <c r="E361" s="13">
        <v>1</v>
      </c>
      <c r="F361" s="13" t="s">
        <v>642</v>
      </c>
      <c r="G361" s="13" t="s">
        <v>641</v>
      </c>
      <c r="H361" s="13" t="s">
        <v>641</v>
      </c>
    </row>
    <row r="362" spans="1:8">
      <c r="A362" s="13" t="s">
        <v>3180</v>
      </c>
      <c r="B362" s="13">
        <v>1501014</v>
      </c>
      <c r="C362" s="13" t="s">
        <v>641</v>
      </c>
      <c r="D362" s="13" t="s">
        <v>926</v>
      </c>
      <c r="E362" s="13">
        <v>1</v>
      </c>
      <c r="F362" s="13" t="s">
        <v>642</v>
      </c>
      <c r="G362" s="13" t="s">
        <v>641</v>
      </c>
      <c r="H362" s="13" t="s">
        <v>641</v>
      </c>
    </row>
    <row r="363" spans="1:8">
      <c r="A363" s="13" t="s">
        <v>3180</v>
      </c>
      <c r="B363" s="13">
        <v>1501015</v>
      </c>
      <c r="C363" s="13" t="s">
        <v>641</v>
      </c>
      <c r="D363" s="13" t="s">
        <v>927</v>
      </c>
      <c r="E363" s="13">
        <v>1</v>
      </c>
      <c r="F363" s="13" t="s">
        <v>640</v>
      </c>
      <c r="G363" s="13" t="s">
        <v>641</v>
      </c>
      <c r="H363" s="13" t="s">
        <v>641</v>
      </c>
    </row>
    <row r="364" spans="1:8">
      <c r="A364" s="13" t="s">
        <v>3180</v>
      </c>
      <c r="B364" s="13">
        <v>1501016</v>
      </c>
      <c r="C364" s="13" t="s">
        <v>641</v>
      </c>
      <c r="D364" s="13" t="s">
        <v>928</v>
      </c>
      <c r="E364" s="13">
        <v>1</v>
      </c>
      <c r="F364" s="13" t="s">
        <v>640</v>
      </c>
      <c r="G364" s="13" t="s">
        <v>641</v>
      </c>
      <c r="H364" s="13" t="s">
        <v>641</v>
      </c>
    </row>
    <row r="365" spans="1:8">
      <c r="A365" s="13" t="s">
        <v>3180</v>
      </c>
      <c r="B365" s="13">
        <v>1501017</v>
      </c>
      <c r="C365" s="13" t="s">
        <v>641</v>
      </c>
      <c r="D365" s="13" t="s">
        <v>3239</v>
      </c>
      <c r="E365" s="13">
        <v>1</v>
      </c>
      <c r="F365" s="13" t="s">
        <v>640</v>
      </c>
      <c r="G365" s="13" t="s">
        <v>641</v>
      </c>
      <c r="H365" s="13" t="s">
        <v>641</v>
      </c>
    </row>
    <row r="366" spans="1:8">
      <c r="A366" s="13" t="s">
        <v>3180</v>
      </c>
      <c r="B366" s="13">
        <v>1501018</v>
      </c>
      <c r="C366" s="13" t="s">
        <v>641</v>
      </c>
      <c r="D366" s="13" t="s">
        <v>3240</v>
      </c>
      <c r="E366" s="13">
        <v>1</v>
      </c>
      <c r="F366" s="13" t="s">
        <v>640</v>
      </c>
      <c r="G366" s="13" t="s">
        <v>3186</v>
      </c>
      <c r="H366" s="13" t="s">
        <v>641</v>
      </c>
    </row>
    <row r="367" spans="1:8">
      <c r="A367" s="13" t="s">
        <v>3180</v>
      </c>
      <c r="B367" s="13">
        <v>1501019</v>
      </c>
      <c r="C367" s="13" t="s">
        <v>641</v>
      </c>
      <c r="D367" s="13" t="s">
        <v>3241</v>
      </c>
      <c r="E367" s="13">
        <v>1</v>
      </c>
      <c r="F367" s="13" t="s">
        <v>640</v>
      </c>
      <c r="G367" s="13" t="s">
        <v>3186</v>
      </c>
      <c r="H367" s="13" t="s">
        <v>641</v>
      </c>
    </row>
    <row r="368" spans="1:8">
      <c r="A368" s="13" t="s">
        <v>3180</v>
      </c>
      <c r="B368" s="13">
        <v>1501020</v>
      </c>
      <c r="C368" s="13" t="s">
        <v>641</v>
      </c>
      <c r="D368" s="13" t="s">
        <v>929</v>
      </c>
      <c r="E368" s="13">
        <v>1</v>
      </c>
      <c r="F368" s="13" t="s">
        <v>640</v>
      </c>
      <c r="G368" s="13" t="s">
        <v>641</v>
      </c>
      <c r="H368" s="13" t="s">
        <v>641</v>
      </c>
    </row>
    <row r="369" spans="1:8">
      <c r="A369" s="13" t="s">
        <v>3180</v>
      </c>
      <c r="B369" s="13">
        <v>1501021</v>
      </c>
      <c r="C369" s="13" t="s">
        <v>641</v>
      </c>
      <c r="D369" s="13" t="s">
        <v>930</v>
      </c>
      <c r="E369" s="13">
        <v>2</v>
      </c>
      <c r="F369" s="13" t="s">
        <v>654</v>
      </c>
      <c r="G369" s="13" t="s">
        <v>641</v>
      </c>
      <c r="H369" s="13" t="s">
        <v>641</v>
      </c>
    </row>
    <row r="370" spans="1:8">
      <c r="A370" s="13" t="s">
        <v>3180</v>
      </c>
      <c r="B370" s="13">
        <v>1501022</v>
      </c>
      <c r="C370" s="13" t="s">
        <v>641</v>
      </c>
      <c r="D370" s="13" t="s">
        <v>3242</v>
      </c>
      <c r="E370" s="13">
        <v>1</v>
      </c>
      <c r="F370" s="13" t="s">
        <v>656</v>
      </c>
      <c r="G370" s="13" t="s">
        <v>641</v>
      </c>
      <c r="H370" s="13" t="s">
        <v>641</v>
      </c>
    </row>
    <row r="371" spans="1:8">
      <c r="A371" s="13" t="s">
        <v>3180</v>
      </c>
      <c r="B371" s="13">
        <v>1501023</v>
      </c>
      <c r="C371" s="13" t="s">
        <v>641</v>
      </c>
      <c r="D371" s="13" t="s">
        <v>931</v>
      </c>
      <c r="E371" s="13">
        <v>1</v>
      </c>
      <c r="F371" s="13" t="s">
        <v>656</v>
      </c>
      <c r="G371" s="13" t="s">
        <v>641</v>
      </c>
      <c r="H371" s="13" t="s">
        <v>641</v>
      </c>
    </row>
    <row r="372" spans="1:8">
      <c r="A372" s="13" t="s">
        <v>3180</v>
      </c>
      <c r="B372" s="13">
        <v>1501024</v>
      </c>
      <c r="C372" s="13" t="s">
        <v>641</v>
      </c>
      <c r="D372" s="13" t="s">
        <v>932</v>
      </c>
      <c r="E372" s="13">
        <v>1</v>
      </c>
      <c r="F372" s="13" t="s">
        <v>656</v>
      </c>
      <c r="G372" s="13" t="s">
        <v>641</v>
      </c>
      <c r="H372" s="13" t="s">
        <v>641</v>
      </c>
    </row>
    <row r="373" spans="1:8">
      <c r="A373" s="13" t="s">
        <v>3180</v>
      </c>
      <c r="B373" s="13">
        <v>1501025</v>
      </c>
      <c r="C373" s="13" t="s">
        <v>641</v>
      </c>
      <c r="D373" s="13" t="s">
        <v>450</v>
      </c>
      <c r="E373" s="13">
        <v>1</v>
      </c>
      <c r="F373" s="13" t="s">
        <v>640</v>
      </c>
      <c r="G373" s="13" t="s">
        <v>641</v>
      </c>
      <c r="H373" s="13" t="s">
        <v>641</v>
      </c>
    </row>
    <row r="374" spans="1:8">
      <c r="A374" s="13" t="s">
        <v>3180</v>
      </c>
      <c r="B374" s="13">
        <v>1501026</v>
      </c>
      <c r="C374" s="13" t="s">
        <v>641</v>
      </c>
      <c r="D374" s="13" t="s">
        <v>933</v>
      </c>
      <c r="E374" s="13">
        <v>1</v>
      </c>
      <c r="F374" s="13" t="s">
        <v>656</v>
      </c>
      <c r="G374" s="13" t="s">
        <v>641</v>
      </c>
      <c r="H374" s="13" t="s">
        <v>641</v>
      </c>
    </row>
    <row r="375" spans="1:8">
      <c r="A375" s="13" t="s">
        <v>3180</v>
      </c>
      <c r="B375" s="13">
        <v>1501028</v>
      </c>
      <c r="C375" s="13" t="s">
        <v>641</v>
      </c>
      <c r="D375" s="13" t="s">
        <v>934</v>
      </c>
      <c r="E375" s="13">
        <v>1</v>
      </c>
      <c r="F375" s="13" t="s">
        <v>656</v>
      </c>
      <c r="G375" s="13" t="s">
        <v>641</v>
      </c>
      <c r="H375" s="13" t="s">
        <v>641</v>
      </c>
    </row>
    <row r="376" spans="1:8">
      <c r="A376" s="13" t="s">
        <v>3180</v>
      </c>
      <c r="B376" s="13">
        <v>1501029</v>
      </c>
      <c r="C376" s="13" t="s">
        <v>641</v>
      </c>
      <c r="D376" s="13" t="s">
        <v>456</v>
      </c>
      <c r="E376" s="13">
        <v>1</v>
      </c>
      <c r="F376" s="13" t="s">
        <v>640</v>
      </c>
      <c r="G376" s="13" t="s">
        <v>641</v>
      </c>
      <c r="H376" s="13" t="s">
        <v>641</v>
      </c>
    </row>
    <row r="377" spans="1:8">
      <c r="A377" s="13" t="s">
        <v>3180</v>
      </c>
      <c r="B377" s="13">
        <v>1501030</v>
      </c>
      <c r="C377" s="13" t="s">
        <v>641</v>
      </c>
      <c r="D377" s="13" t="s">
        <v>935</v>
      </c>
      <c r="E377" s="13">
        <v>1</v>
      </c>
      <c r="F377" s="13" t="s">
        <v>640</v>
      </c>
      <c r="G377" s="13" t="s">
        <v>641</v>
      </c>
      <c r="H377" s="13" t="s">
        <v>641</v>
      </c>
    </row>
    <row r="378" spans="1:8">
      <c r="A378" s="13" t="s">
        <v>3180</v>
      </c>
      <c r="B378" s="13">
        <v>1501031</v>
      </c>
      <c r="C378" s="13" t="s">
        <v>641</v>
      </c>
      <c r="D378" s="13" t="s">
        <v>936</v>
      </c>
      <c r="E378" s="13">
        <v>1</v>
      </c>
      <c r="F378" s="13" t="s">
        <v>640</v>
      </c>
      <c r="G378" s="13" t="s">
        <v>3186</v>
      </c>
      <c r="H378" s="13" t="s">
        <v>641</v>
      </c>
    </row>
    <row r="379" spans="1:8">
      <c r="A379" s="13" t="s">
        <v>3180</v>
      </c>
      <c r="B379" s="13">
        <v>1501032</v>
      </c>
      <c r="C379" s="13" t="s">
        <v>641</v>
      </c>
      <c r="D379" s="13" t="s">
        <v>458</v>
      </c>
      <c r="E379" s="13">
        <v>1</v>
      </c>
      <c r="F379" s="13" t="s">
        <v>640</v>
      </c>
      <c r="G379" s="13" t="s">
        <v>641</v>
      </c>
      <c r="H379" s="13" t="s">
        <v>641</v>
      </c>
    </row>
    <row r="380" spans="1:8">
      <c r="A380" s="13" t="s">
        <v>3180</v>
      </c>
      <c r="B380" s="13">
        <v>1501034</v>
      </c>
      <c r="C380" s="13" t="s">
        <v>641</v>
      </c>
      <c r="D380" s="13" t="s">
        <v>681</v>
      </c>
      <c r="E380" s="13">
        <v>2</v>
      </c>
      <c r="F380" s="13" t="s">
        <v>671</v>
      </c>
      <c r="G380" s="13" t="s">
        <v>678</v>
      </c>
      <c r="H380" s="13" t="s">
        <v>684</v>
      </c>
    </row>
    <row r="381" spans="1:8">
      <c r="A381" s="13" t="s">
        <v>3180</v>
      </c>
      <c r="B381" s="13">
        <v>1501037</v>
      </c>
      <c r="C381" s="13" t="s">
        <v>641</v>
      </c>
      <c r="D381" s="13" t="s">
        <v>937</v>
      </c>
      <c r="E381" s="13">
        <v>1</v>
      </c>
      <c r="F381" s="13" t="s">
        <v>656</v>
      </c>
      <c r="G381" s="13" t="s">
        <v>641</v>
      </c>
      <c r="H381" s="13" t="s">
        <v>641</v>
      </c>
    </row>
    <row r="382" spans="1:8">
      <c r="A382" s="13" t="s">
        <v>3180</v>
      </c>
      <c r="B382" s="13">
        <v>1501038</v>
      </c>
      <c r="C382" s="13" t="s">
        <v>641</v>
      </c>
      <c r="D382" s="13" t="s">
        <v>938</v>
      </c>
      <c r="E382" s="13">
        <v>1</v>
      </c>
      <c r="F382" s="13" t="s">
        <v>646</v>
      </c>
      <c r="G382" s="13" t="s">
        <v>641</v>
      </c>
      <c r="H382" s="13" t="s">
        <v>641</v>
      </c>
    </row>
    <row r="383" spans="1:8">
      <c r="A383" s="13" t="s">
        <v>3180</v>
      </c>
      <c r="B383" s="13">
        <v>1501039</v>
      </c>
      <c r="C383" s="13" t="s">
        <v>641</v>
      </c>
      <c r="D383" s="13" t="s">
        <v>939</v>
      </c>
      <c r="E383" s="13">
        <v>2</v>
      </c>
      <c r="F383" s="13" t="s">
        <v>654</v>
      </c>
      <c r="G383" s="13" t="s">
        <v>641</v>
      </c>
      <c r="H383" s="13" t="s">
        <v>641</v>
      </c>
    </row>
    <row r="384" spans="1:8">
      <c r="A384" s="13" t="s">
        <v>3180</v>
      </c>
      <c r="B384" s="13">
        <v>1501040</v>
      </c>
      <c r="C384" s="13" t="s">
        <v>641</v>
      </c>
      <c r="D384" s="13" t="s">
        <v>940</v>
      </c>
      <c r="E384" s="13">
        <v>1</v>
      </c>
      <c r="F384" s="13" t="s">
        <v>649</v>
      </c>
      <c r="G384" s="13" t="s">
        <v>641</v>
      </c>
      <c r="H384" s="13" t="s">
        <v>641</v>
      </c>
    </row>
    <row r="385" spans="1:8">
      <c r="A385" s="13" t="s">
        <v>3180</v>
      </c>
      <c r="B385" s="13">
        <v>1501041</v>
      </c>
      <c r="C385" s="13" t="s">
        <v>641</v>
      </c>
      <c r="D385" s="13" t="s">
        <v>941</v>
      </c>
      <c r="E385" s="13">
        <v>2</v>
      </c>
      <c r="F385" s="13" t="s">
        <v>654</v>
      </c>
      <c r="G385" s="13" t="s">
        <v>641</v>
      </c>
      <c r="H385" s="13" t="s">
        <v>641</v>
      </c>
    </row>
    <row r="386" spans="1:8">
      <c r="A386" s="13" t="s">
        <v>3180</v>
      </c>
      <c r="B386" s="13">
        <v>1501042</v>
      </c>
      <c r="C386" s="13" t="s">
        <v>641</v>
      </c>
      <c r="D386" s="13" t="s">
        <v>942</v>
      </c>
      <c r="E386" s="13">
        <v>1</v>
      </c>
      <c r="F386" s="13" t="s">
        <v>642</v>
      </c>
      <c r="G386" s="13" t="s">
        <v>641</v>
      </c>
      <c r="H386" s="13" t="s">
        <v>641</v>
      </c>
    </row>
    <row r="387" spans="1:8">
      <c r="A387" s="13" t="s">
        <v>3180</v>
      </c>
      <c r="B387" s="13">
        <v>1501043</v>
      </c>
      <c r="C387" s="13" t="s">
        <v>641</v>
      </c>
      <c r="D387" s="13" t="s">
        <v>203</v>
      </c>
      <c r="E387" s="13">
        <v>1</v>
      </c>
      <c r="F387" s="13" t="s">
        <v>644</v>
      </c>
      <c r="G387" s="13" t="s">
        <v>641</v>
      </c>
      <c r="H387" s="13" t="s">
        <v>641</v>
      </c>
    </row>
    <row r="388" spans="1:8">
      <c r="A388" s="13" t="s">
        <v>3180</v>
      </c>
      <c r="B388" s="13">
        <v>1501044</v>
      </c>
      <c r="C388" s="13" t="s">
        <v>641</v>
      </c>
      <c r="D388" s="13" t="s">
        <v>943</v>
      </c>
      <c r="E388" s="13">
        <v>1</v>
      </c>
      <c r="F388" s="13" t="s">
        <v>640</v>
      </c>
      <c r="G388" s="13" t="s">
        <v>641</v>
      </c>
      <c r="H388" s="13" t="s">
        <v>641</v>
      </c>
    </row>
    <row r="389" spans="1:8">
      <c r="A389" s="13" t="s">
        <v>3180</v>
      </c>
      <c r="B389" s="13">
        <v>1501045</v>
      </c>
      <c r="C389" s="13" t="s">
        <v>641</v>
      </c>
      <c r="D389" s="13" t="s">
        <v>685</v>
      </c>
      <c r="E389" s="13">
        <v>1</v>
      </c>
      <c r="F389" s="13" t="s">
        <v>649</v>
      </c>
      <c r="G389" s="13" t="s">
        <v>641</v>
      </c>
      <c r="H389" s="13" t="s">
        <v>641</v>
      </c>
    </row>
    <row r="390" spans="1:8">
      <c r="A390" s="13" t="s">
        <v>3180</v>
      </c>
      <c r="B390" s="13">
        <v>1501047</v>
      </c>
      <c r="C390" s="13" t="s">
        <v>641</v>
      </c>
      <c r="D390" s="13" t="s">
        <v>444</v>
      </c>
      <c r="E390" s="13">
        <v>1</v>
      </c>
      <c r="F390" s="13" t="s">
        <v>649</v>
      </c>
      <c r="G390" s="13" t="s">
        <v>641</v>
      </c>
      <c r="H390" s="13" t="s">
        <v>641</v>
      </c>
    </row>
    <row r="391" spans="1:8">
      <c r="A391" s="13" t="s">
        <v>3180</v>
      </c>
      <c r="B391" s="13">
        <v>1501048</v>
      </c>
      <c r="C391" s="13" t="s">
        <v>641</v>
      </c>
      <c r="D391" s="13" t="s">
        <v>945</v>
      </c>
      <c r="E391" s="13">
        <v>1</v>
      </c>
      <c r="F391" s="13" t="s">
        <v>640</v>
      </c>
      <c r="G391" s="13" t="s">
        <v>641</v>
      </c>
      <c r="H391" s="13" t="s">
        <v>641</v>
      </c>
    </row>
    <row r="392" spans="1:8">
      <c r="A392" s="13" t="s">
        <v>3180</v>
      </c>
      <c r="B392" s="13">
        <v>1501049</v>
      </c>
      <c r="C392" s="13" t="s">
        <v>641</v>
      </c>
      <c r="D392" s="13" t="s">
        <v>946</v>
      </c>
      <c r="E392" s="13">
        <v>1</v>
      </c>
      <c r="F392" s="13" t="s">
        <v>644</v>
      </c>
      <c r="G392" s="13" t="s">
        <v>641</v>
      </c>
      <c r="H392" s="13" t="s">
        <v>641</v>
      </c>
    </row>
    <row r="393" spans="1:8">
      <c r="A393" s="13" t="s">
        <v>3180</v>
      </c>
      <c r="B393" s="13">
        <v>1501050</v>
      </c>
      <c r="C393" s="13" t="s">
        <v>641</v>
      </c>
      <c r="D393" s="13" t="s">
        <v>947</v>
      </c>
      <c r="E393" s="13">
        <v>1</v>
      </c>
      <c r="F393" s="13" t="s">
        <v>644</v>
      </c>
      <c r="G393" s="13" t="s">
        <v>641</v>
      </c>
      <c r="H393" s="13" t="s">
        <v>641</v>
      </c>
    </row>
    <row r="394" spans="1:8">
      <c r="A394" s="13" t="s">
        <v>3180</v>
      </c>
      <c r="B394" s="13">
        <v>1501051</v>
      </c>
      <c r="C394" s="13" t="s">
        <v>641</v>
      </c>
      <c r="D394" s="13" t="s">
        <v>948</v>
      </c>
      <c r="E394" s="13">
        <v>1</v>
      </c>
      <c r="F394" s="13" t="s">
        <v>644</v>
      </c>
      <c r="G394" s="13" t="s">
        <v>641</v>
      </c>
      <c r="H394" s="13" t="s">
        <v>641</v>
      </c>
    </row>
    <row r="395" spans="1:8">
      <c r="A395" s="13" t="s">
        <v>3180</v>
      </c>
      <c r="B395" s="13">
        <v>1501052</v>
      </c>
      <c r="C395" s="13" t="s">
        <v>641</v>
      </c>
      <c r="D395" s="13" t="s">
        <v>949</v>
      </c>
      <c r="E395" s="13">
        <v>1</v>
      </c>
      <c r="F395" s="13" t="s">
        <v>644</v>
      </c>
      <c r="G395" s="13" t="s">
        <v>641</v>
      </c>
      <c r="H395" s="13" t="s">
        <v>641</v>
      </c>
    </row>
    <row r="396" spans="1:8">
      <c r="A396" s="13" t="s">
        <v>3180</v>
      </c>
      <c r="B396" s="13">
        <v>1501053</v>
      </c>
      <c r="C396" s="13" t="s">
        <v>641</v>
      </c>
      <c r="D396" s="13" t="s">
        <v>950</v>
      </c>
      <c r="E396" s="13">
        <v>1</v>
      </c>
      <c r="F396" s="13" t="s">
        <v>649</v>
      </c>
      <c r="G396" s="13" t="s">
        <v>641</v>
      </c>
      <c r="H396" s="13" t="s">
        <v>641</v>
      </c>
    </row>
    <row r="397" spans="1:8">
      <c r="A397" s="13" t="s">
        <v>3180</v>
      </c>
      <c r="B397" s="13">
        <v>1501054</v>
      </c>
      <c r="C397" s="13" t="s">
        <v>641</v>
      </c>
      <c r="D397" s="13" t="s">
        <v>951</v>
      </c>
      <c r="E397" s="13">
        <v>1</v>
      </c>
      <c r="F397" s="13" t="s">
        <v>642</v>
      </c>
      <c r="G397" s="13" t="s">
        <v>641</v>
      </c>
      <c r="H397" s="13" t="s">
        <v>641</v>
      </c>
    </row>
    <row r="398" spans="1:8">
      <c r="A398" s="13" t="s">
        <v>3180</v>
      </c>
      <c r="B398" s="13">
        <v>1501055</v>
      </c>
      <c r="C398" s="13" t="s">
        <v>641</v>
      </c>
      <c r="D398" s="13" t="s">
        <v>589</v>
      </c>
      <c r="E398" s="13">
        <v>1</v>
      </c>
      <c r="F398" s="13" t="s">
        <v>649</v>
      </c>
      <c r="G398" s="13" t="s">
        <v>641</v>
      </c>
      <c r="H398" s="13" t="s">
        <v>641</v>
      </c>
    </row>
    <row r="399" spans="1:8">
      <c r="A399" s="13" t="s">
        <v>3180</v>
      </c>
      <c r="B399" s="13">
        <v>1501056</v>
      </c>
      <c r="C399" s="13" t="s">
        <v>641</v>
      </c>
      <c r="D399" s="13" t="s">
        <v>952</v>
      </c>
      <c r="E399" s="13">
        <v>1</v>
      </c>
      <c r="F399" s="13" t="s">
        <v>646</v>
      </c>
      <c r="G399" s="13" t="s">
        <v>641</v>
      </c>
      <c r="H399" s="13" t="s">
        <v>641</v>
      </c>
    </row>
    <row r="400" spans="1:8">
      <c r="A400" s="13" t="s">
        <v>3180</v>
      </c>
      <c r="B400" s="13">
        <v>1501057</v>
      </c>
      <c r="C400" s="13" t="s">
        <v>641</v>
      </c>
      <c r="D400" s="13" t="s">
        <v>953</v>
      </c>
      <c r="E400" s="13">
        <v>1</v>
      </c>
      <c r="F400" s="13" t="s">
        <v>646</v>
      </c>
      <c r="G400" s="13" t="s">
        <v>641</v>
      </c>
      <c r="H400" s="13" t="s">
        <v>641</v>
      </c>
    </row>
    <row r="401" spans="1:8">
      <c r="A401" s="13" t="s">
        <v>3180</v>
      </c>
      <c r="B401" s="13">
        <v>1501059</v>
      </c>
      <c r="C401" s="13" t="s">
        <v>641</v>
      </c>
      <c r="D401" s="13" t="s">
        <v>954</v>
      </c>
      <c r="E401" s="13">
        <v>1</v>
      </c>
      <c r="F401" s="13" t="s">
        <v>640</v>
      </c>
      <c r="G401" s="13" t="s">
        <v>641</v>
      </c>
      <c r="H401" s="13" t="s">
        <v>641</v>
      </c>
    </row>
    <row r="402" spans="1:8">
      <c r="A402" s="13" t="s">
        <v>3180</v>
      </c>
      <c r="B402" s="13">
        <v>1501060</v>
      </c>
      <c r="C402" s="13" t="s">
        <v>641</v>
      </c>
      <c r="D402" s="13" t="s">
        <v>955</v>
      </c>
      <c r="E402" s="13">
        <v>1</v>
      </c>
      <c r="F402" s="13" t="s">
        <v>640</v>
      </c>
      <c r="G402" s="13" t="s">
        <v>641</v>
      </c>
      <c r="H402" s="13" t="s">
        <v>641</v>
      </c>
    </row>
    <row r="403" spans="1:8">
      <c r="A403" s="13" t="s">
        <v>3180</v>
      </c>
      <c r="B403" s="13">
        <v>1501063</v>
      </c>
      <c r="C403" s="13" t="s">
        <v>641</v>
      </c>
      <c r="D403" s="13" t="s">
        <v>956</v>
      </c>
      <c r="E403" s="13">
        <v>1</v>
      </c>
      <c r="F403" s="13" t="s">
        <v>640</v>
      </c>
      <c r="G403" s="13" t="s">
        <v>641</v>
      </c>
      <c r="H403" s="13" t="s">
        <v>641</v>
      </c>
    </row>
    <row r="404" spans="1:8">
      <c r="A404" s="13" t="s">
        <v>3180</v>
      </c>
      <c r="B404" s="13">
        <v>1501065</v>
      </c>
      <c r="C404" s="13" t="s">
        <v>641</v>
      </c>
      <c r="D404" s="13" t="s">
        <v>958</v>
      </c>
      <c r="E404" s="13">
        <v>1</v>
      </c>
      <c r="F404" s="13" t="s">
        <v>640</v>
      </c>
      <c r="G404" s="13" t="s">
        <v>641</v>
      </c>
      <c r="H404" s="13" t="s">
        <v>641</v>
      </c>
    </row>
    <row r="405" spans="1:8">
      <c r="A405" s="13" t="s">
        <v>3180</v>
      </c>
      <c r="B405" s="13">
        <v>1501066</v>
      </c>
      <c r="C405" s="13" t="s">
        <v>641</v>
      </c>
      <c r="D405" s="13" t="s">
        <v>959</v>
      </c>
      <c r="E405" s="13">
        <v>1</v>
      </c>
      <c r="F405" s="13" t="s">
        <v>646</v>
      </c>
      <c r="G405" s="13" t="s">
        <v>641</v>
      </c>
      <c r="H405" s="13" t="s">
        <v>641</v>
      </c>
    </row>
    <row r="406" spans="1:8">
      <c r="A406" s="13" t="s">
        <v>3180</v>
      </c>
      <c r="B406" s="13">
        <v>1501067</v>
      </c>
      <c r="C406" s="13" t="s">
        <v>641</v>
      </c>
      <c r="D406" s="13" t="s">
        <v>960</v>
      </c>
      <c r="E406" s="13">
        <v>1</v>
      </c>
      <c r="F406" s="13" t="s">
        <v>646</v>
      </c>
      <c r="G406" s="13" t="s">
        <v>641</v>
      </c>
      <c r="H406" s="13" t="s">
        <v>641</v>
      </c>
    </row>
    <row r="407" spans="1:8">
      <c r="A407" s="13" t="s">
        <v>3180</v>
      </c>
      <c r="B407" s="13">
        <v>1501068</v>
      </c>
      <c r="C407" s="13" t="s">
        <v>641</v>
      </c>
      <c r="D407" s="13" t="s">
        <v>961</v>
      </c>
      <c r="E407" s="13">
        <v>1</v>
      </c>
      <c r="F407" s="13" t="s">
        <v>656</v>
      </c>
      <c r="G407" s="13" t="s">
        <v>641</v>
      </c>
      <c r="H407" s="13" t="s">
        <v>641</v>
      </c>
    </row>
    <row r="408" spans="1:8">
      <c r="A408" s="13" t="s">
        <v>3180</v>
      </c>
      <c r="B408" s="13">
        <v>1501069</v>
      </c>
      <c r="C408" s="13" t="s">
        <v>641</v>
      </c>
      <c r="D408" s="13" t="s">
        <v>962</v>
      </c>
      <c r="E408" s="13">
        <v>1</v>
      </c>
      <c r="F408" s="13" t="s">
        <v>640</v>
      </c>
      <c r="G408" s="13" t="s">
        <v>641</v>
      </c>
      <c r="H408" s="13" t="s">
        <v>641</v>
      </c>
    </row>
    <row r="409" spans="1:8">
      <c r="A409" s="13" t="s">
        <v>3180</v>
      </c>
      <c r="B409" s="13">
        <v>1501070</v>
      </c>
      <c r="C409" s="13" t="s">
        <v>641</v>
      </c>
      <c r="D409" s="13" t="s">
        <v>3243</v>
      </c>
      <c r="E409" s="13">
        <v>1</v>
      </c>
      <c r="F409" s="13" t="s">
        <v>640</v>
      </c>
      <c r="G409" s="13" t="s">
        <v>641</v>
      </c>
      <c r="H409" s="13" t="s">
        <v>641</v>
      </c>
    </row>
    <row r="410" spans="1:8">
      <c r="A410" s="13" t="s">
        <v>3180</v>
      </c>
      <c r="B410" s="13">
        <v>1501151</v>
      </c>
      <c r="C410" s="13" t="s">
        <v>641</v>
      </c>
      <c r="D410" s="13" t="s">
        <v>964</v>
      </c>
      <c r="E410" s="13">
        <v>2</v>
      </c>
      <c r="F410" s="13" t="s">
        <v>654</v>
      </c>
      <c r="G410" s="13" t="s">
        <v>641</v>
      </c>
      <c r="H410" s="13" t="s">
        <v>641</v>
      </c>
    </row>
    <row r="411" spans="1:8">
      <c r="A411" s="13" t="s">
        <v>3180</v>
      </c>
      <c r="B411" s="13">
        <v>1501154</v>
      </c>
      <c r="C411" s="13" t="s">
        <v>641</v>
      </c>
      <c r="D411" s="13" t="s">
        <v>143</v>
      </c>
      <c r="E411" s="13">
        <v>1</v>
      </c>
      <c r="F411" s="13" t="s">
        <v>640</v>
      </c>
      <c r="G411" s="13" t="s">
        <v>641</v>
      </c>
      <c r="H411" s="13" t="s">
        <v>641</v>
      </c>
    </row>
    <row r="412" spans="1:8">
      <c r="A412" s="13" t="s">
        <v>3180</v>
      </c>
      <c r="B412" s="13">
        <v>1501155</v>
      </c>
      <c r="C412" s="13" t="s">
        <v>641</v>
      </c>
      <c r="D412" s="13" t="s">
        <v>428</v>
      </c>
      <c r="E412" s="13">
        <v>1</v>
      </c>
      <c r="F412" s="13" t="s">
        <v>640</v>
      </c>
      <c r="G412" s="13" t="s">
        <v>641</v>
      </c>
      <c r="H412" s="13" t="s">
        <v>641</v>
      </c>
    </row>
    <row r="413" spans="1:8">
      <c r="A413" s="13" t="s">
        <v>3180</v>
      </c>
      <c r="B413" s="13">
        <v>1501158</v>
      </c>
      <c r="C413" s="13" t="s">
        <v>641</v>
      </c>
      <c r="D413" s="13" t="s">
        <v>965</v>
      </c>
      <c r="E413" s="13">
        <v>1</v>
      </c>
      <c r="F413" s="13" t="s">
        <v>642</v>
      </c>
      <c r="G413" s="13" t="s">
        <v>641</v>
      </c>
      <c r="H413" s="13" t="s">
        <v>641</v>
      </c>
    </row>
    <row r="414" spans="1:8">
      <c r="A414" s="13" t="s">
        <v>3180</v>
      </c>
      <c r="B414" s="13">
        <v>1501159</v>
      </c>
      <c r="C414" s="13" t="s">
        <v>641</v>
      </c>
      <c r="D414" s="13" t="s">
        <v>374</v>
      </c>
      <c r="E414" s="13">
        <v>1</v>
      </c>
      <c r="F414" s="13" t="s">
        <v>642</v>
      </c>
      <c r="G414" s="13" t="s">
        <v>641</v>
      </c>
      <c r="H414" s="13" t="s">
        <v>641</v>
      </c>
    </row>
    <row r="415" spans="1:8">
      <c r="A415" s="13" t="s">
        <v>3180</v>
      </c>
      <c r="B415" s="13">
        <v>1501160</v>
      </c>
      <c r="C415" s="13" t="s">
        <v>641</v>
      </c>
      <c r="D415" s="13" t="s">
        <v>184</v>
      </c>
      <c r="E415" s="13">
        <v>2</v>
      </c>
      <c r="F415" s="13" t="s">
        <v>654</v>
      </c>
      <c r="G415" s="13" t="s">
        <v>654</v>
      </c>
      <c r="H415" s="13" t="s">
        <v>3183</v>
      </c>
    </row>
    <row r="416" spans="1:8">
      <c r="A416" s="13" t="s">
        <v>3180</v>
      </c>
      <c r="B416" s="13">
        <v>1501161</v>
      </c>
      <c r="C416" s="13" t="s">
        <v>641</v>
      </c>
      <c r="D416" s="13" t="s">
        <v>69</v>
      </c>
      <c r="E416" s="13">
        <v>1</v>
      </c>
      <c r="F416" s="13" t="s">
        <v>640</v>
      </c>
      <c r="G416" s="13" t="s">
        <v>641</v>
      </c>
      <c r="H416" s="13" t="s">
        <v>641</v>
      </c>
    </row>
    <row r="417" spans="1:8">
      <c r="A417" s="13" t="s">
        <v>3180</v>
      </c>
      <c r="B417" s="13">
        <v>1501165</v>
      </c>
      <c r="C417" s="13" t="s">
        <v>641</v>
      </c>
      <c r="D417" s="13" t="s">
        <v>686</v>
      </c>
      <c r="E417" s="13">
        <v>2</v>
      </c>
      <c r="F417" s="13" t="s">
        <v>671</v>
      </c>
      <c r="G417" s="13" t="s">
        <v>672</v>
      </c>
      <c r="H417" s="13" t="s">
        <v>641</v>
      </c>
    </row>
    <row r="418" spans="1:8">
      <c r="A418" s="13" t="s">
        <v>3180</v>
      </c>
      <c r="B418" s="13">
        <v>1501166</v>
      </c>
      <c r="C418" s="13" t="s">
        <v>641</v>
      </c>
      <c r="D418" s="13" t="s">
        <v>966</v>
      </c>
      <c r="E418" s="13">
        <v>1</v>
      </c>
      <c r="F418" s="13" t="s">
        <v>642</v>
      </c>
      <c r="G418" s="13" t="s">
        <v>641</v>
      </c>
      <c r="H418" s="13" t="s">
        <v>641</v>
      </c>
    </row>
    <row r="419" spans="1:8">
      <c r="A419" s="13" t="s">
        <v>3180</v>
      </c>
      <c r="B419" s="13">
        <v>1501167</v>
      </c>
      <c r="C419" s="13" t="s">
        <v>641</v>
      </c>
      <c r="D419" s="13" t="s">
        <v>967</v>
      </c>
      <c r="E419" s="13">
        <v>1</v>
      </c>
      <c r="F419" s="13" t="s">
        <v>649</v>
      </c>
      <c r="G419" s="13" t="s">
        <v>641</v>
      </c>
      <c r="H419" s="13" t="s">
        <v>641</v>
      </c>
    </row>
    <row r="420" spans="1:8">
      <c r="A420" s="13" t="s">
        <v>3180</v>
      </c>
      <c r="B420" s="13">
        <v>1501168</v>
      </c>
      <c r="C420" s="13" t="s">
        <v>641</v>
      </c>
      <c r="D420" s="13" t="s">
        <v>405</v>
      </c>
      <c r="E420" s="13">
        <v>1</v>
      </c>
      <c r="F420" s="13" t="s">
        <v>640</v>
      </c>
      <c r="G420" s="13" t="s">
        <v>641</v>
      </c>
      <c r="H420" s="13" t="s">
        <v>641</v>
      </c>
    </row>
    <row r="421" spans="1:8">
      <c r="A421" s="13" t="s">
        <v>3180</v>
      </c>
      <c r="B421" s="13">
        <v>1501169</v>
      </c>
      <c r="C421" s="13" t="s">
        <v>641</v>
      </c>
      <c r="D421" s="13" t="s">
        <v>968</v>
      </c>
      <c r="E421" s="13">
        <v>1</v>
      </c>
      <c r="F421" s="13" t="s">
        <v>642</v>
      </c>
      <c r="G421" s="13" t="s">
        <v>641</v>
      </c>
      <c r="H421" s="13" t="s">
        <v>641</v>
      </c>
    </row>
    <row r="422" spans="1:8">
      <c r="A422" s="13" t="s">
        <v>3180</v>
      </c>
      <c r="B422" s="13">
        <v>1501170</v>
      </c>
      <c r="C422" s="13" t="s">
        <v>641</v>
      </c>
      <c r="D422" s="13" t="s">
        <v>969</v>
      </c>
      <c r="E422" s="13">
        <v>1</v>
      </c>
      <c r="F422" s="13" t="s">
        <v>642</v>
      </c>
      <c r="G422" s="13" t="s">
        <v>641</v>
      </c>
      <c r="H422" s="13" t="s">
        <v>641</v>
      </c>
    </row>
    <row r="423" spans="1:8">
      <c r="A423" s="13" t="s">
        <v>3180</v>
      </c>
      <c r="B423" s="13">
        <v>1501171</v>
      </c>
      <c r="C423" s="13" t="s">
        <v>641</v>
      </c>
      <c r="D423" s="13" t="s">
        <v>970</v>
      </c>
      <c r="E423" s="13">
        <v>1</v>
      </c>
      <c r="F423" s="13" t="s">
        <v>642</v>
      </c>
      <c r="G423" s="13" t="s">
        <v>641</v>
      </c>
      <c r="H423" s="13" t="s">
        <v>641</v>
      </c>
    </row>
    <row r="424" spans="1:8">
      <c r="A424" s="13" t="s">
        <v>3180</v>
      </c>
      <c r="B424" s="13">
        <v>1501172</v>
      </c>
      <c r="C424" s="13" t="s">
        <v>641</v>
      </c>
      <c r="D424" s="13" t="s">
        <v>971</v>
      </c>
      <c r="E424" s="13">
        <v>1</v>
      </c>
      <c r="F424" s="13" t="s">
        <v>640</v>
      </c>
      <c r="G424" s="13" t="s">
        <v>641</v>
      </c>
      <c r="H424" s="13" t="s">
        <v>641</v>
      </c>
    </row>
    <row r="425" spans="1:8">
      <c r="A425" s="13" t="s">
        <v>3180</v>
      </c>
      <c r="B425" s="13">
        <v>1501174</v>
      </c>
      <c r="C425" s="13" t="s">
        <v>641</v>
      </c>
      <c r="D425" s="13" t="s">
        <v>972</v>
      </c>
      <c r="E425" s="13">
        <v>1</v>
      </c>
      <c r="F425" s="13" t="s">
        <v>640</v>
      </c>
      <c r="G425" s="13" t="s">
        <v>641</v>
      </c>
      <c r="H425" s="13" t="s">
        <v>641</v>
      </c>
    </row>
    <row r="426" spans="1:8">
      <c r="A426" s="13" t="s">
        <v>3180</v>
      </c>
      <c r="B426" s="13">
        <v>1501175</v>
      </c>
      <c r="C426" s="13" t="s">
        <v>641</v>
      </c>
      <c r="D426" s="13" t="s">
        <v>973</v>
      </c>
      <c r="E426" s="13">
        <v>2</v>
      </c>
      <c r="F426" s="13" t="s">
        <v>671</v>
      </c>
      <c r="G426" s="13" t="s">
        <v>678</v>
      </c>
      <c r="H426" s="13" t="s">
        <v>641</v>
      </c>
    </row>
    <row r="427" spans="1:8">
      <c r="A427" s="13" t="s">
        <v>3180</v>
      </c>
      <c r="B427" s="13">
        <v>1501178</v>
      </c>
      <c r="C427" s="13" t="s">
        <v>641</v>
      </c>
      <c r="D427" s="13" t="s">
        <v>295</v>
      </c>
      <c r="E427" s="13">
        <v>1</v>
      </c>
      <c r="F427" s="13" t="s">
        <v>646</v>
      </c>
      <c r="G427" s="13" t="s">
        <v>641</v>
      </c>
      <c r="H427" s="13" t="s">
        <v>641</v>
      </c>
    </row>
    <row r="428" spans="1:8">
      <c r="A428" s="13" t="s">
        <v>3180</v>
      </c>
      <c r="B428" s="13">
        <v>1501179</v>
      </c>
      <c r="C428" s="13" t="s">
        <v>641</v>
      </c>
      <c r="D428" s="13" t="s">
        <v>974</v>
      </c>
      <c r="E428" s="13">
        <v>2</v>
      </c>
      <c r="F428" s="13" t="s">
        <v>654</v>
      </c>
      <c r="G428" s="13" t="s">
        <v>641</v>
      </c>
      <c r="H428" s="13" t="s">
        <v>641</v>
      </c>
    </row>
    <row r="429" spans="1:8">
      <c r="A429" s="13" t="s">
        <v>3180</v>
      </c>
      <c r="B429" s="13">
        <v>1501180</v>
      </c>
      <c r="C429" s="13" t="s">
        <v>641</v>
      </c>
      <c r="D429" s="13" t="s">
        <v>975</v>
      </c>
      <c r="E429" s="13">
        <v>1</v>
      </c>
      <c r="F429" s="13" t="s">
        <v>656</v>
      </c>
      <c r="G429" s="13" t="s">
        <v>2445</v>
      </c>
      <c r="H429" s="13" t="s">
        <v>641</v>
      </c>
    </row>
    <row r="430" spans="1:8">
      <c r="A430" s="13" t="s">
        <v>3180</v>
      </c>
      <c r="B430" s="13">
        <v>1501181</v>
      </c>
      <c r="C430" s="13" t="s">
        <v>641</v>
      </c>
      <c r="D430" s="13" t="s">
        <v>976</v>
      </c>
      <c r="E430" s="13">
        <v>1</v>
      </c>
      <c r="F430" s="13" t="s">
        <v>656</v>
      </c>
      <c r="G430" s="13" t="s">
        <v>641</v>
      </c>
      <c r="H430" s="13" t="s">
        <v>641</v>
      </c>
    </row>
    <row r="431" spans="1:8">
      <c r="A431" s="13" t="s">
        <v>3180</v>
      </c>
      <c r="B431" s="13">
        <v>1501190</v>
      </c>
      <c r="C431" s="13" t="s">
        <v>641</v>
      </c>
      <c r="D431" s="13" t="s">
        <v>499</v>
      </c>
      <c r="E431" s="13">
        <v>1</v>
      </c>
      <c r="F431" s="13" t="s">
        <v>649</v>
      </c>
      <c r="G431" s="13" t="s">
        <v>3207</v>
      </c>
      <c r="H431" s="13" t="s">
        <v>641</v>
      </c>
    </row>
    <row r="432" spans="1:8">
      <c r="A432" s="13" t="s">
        <v>3180</v>
      </c>
      <c r="B432" s="13">
        <v>1501191</v>
      </c>
      <c r="C432" s="13" t="s">
        <v>641</v>
      </c>
      <c r="D432" s="13" t="s">
        <v>977</v>
      </c>
      <c r="E432" s="13">
        <v>1</v>
      </c>
      <c r="F432" s="13" t="s">
        <v>649</v>
      </c>
      <c r="G432" s="13" t="s">
        <v>641</v>
      </c>
      <c r="H432" s="13" t="s">
        <v>641</v>
      </c>
    </row>
    <row r="433" spans="1:8">
      <c r="A433" s="13" t="s">
        <v>3180</v>
      </c>
      <c r="B433" s="13">
        <v>1501192</v>
      </c>
      <c r="C433" s="13" t="s">
        <v>641</v>
      </c>
      <c r="D433" s="13" t="s">
        <v>498</v>
      </c>
      <c r="E433" s="13">
        <v>1</v>
      </c>
      <c r="F433" s="13" t="s">
        <v>649</v>
      </c>
      <c r="G433" s="13" t="s">
        <v>3207</v>
      </c>
      <c r="H433" s="13" t="s">
        <v>641</v>
      </c>
    </row>
    <row r="434" spans="1:8">
      <c r="A434" s="13" t="s">
        <v>3180</v>
      </c>
      <c r="B434" s="13">
        <v>1501193</v>
      </c>
      <c r="C434" s="13" t="s">
        <v>641</v>
      </c>
      <c r="D434" s="13" t="s">
        <v>35</v>
      </c>
      <c r="E434" s="13">
        <v>1</v>
      </c>
      <c r="F434" s="13" t="s">
        <v>642</v>
      </c>
      <c r="G434" s="13" t="s">
        <v>641</v>
      </c>
      <c r="H434" s="13" t="s">
        <v>641</v>
      </c>
    </row>
    <row r="435" spans="1:8">
      <c r="A435" s="13" t="s">
        <v>3180</v>
      </c>
      <c r="B435" s="13">
        <v>1501194</v>
      </c>
      <c r="C435" s="13" t="s">
        <v>641</v>
      </c>
      <c r="D435" s="13" t="s">
        <v>3244</v>
      </c>
      <c r="E435" s="13">
        <v>1</v>
      </c>
      <c r="F435" s="13" t="s">
        <v>649</v>
      </c>
      <c r="G435" s="13" t="s">
        <v>641</v>
      </c>
      <c r="H435" s="13" t="s">
        <v>641</v>
      </c>
    </row>
    <row r="436" spans="1:8">
      <c r="A436" s="13" t="s">
        <v>3180</v>
      </c>
      <c r="B436" s="13">
        <v>1501195</v>
      </c>
      <c r="C436" s="13" t="s">
        <v>641</v>
      </c>
      <c r="D436" s="13" t="s">
        <v>3245</v>
      </c>
      <c r="E436" s="13">
        <v>1</v>
      </c>
      <c r="F436" s="13" t="s">
        <v>649</v>
      </c>
      <c r="G436" s="13" t="s">
        <v>3207</v>
      </c>
      <c r="H436" s="13" t="s">
        <v>3246</v>
      </c>
    </row>
    <row r="437" spans="1:8">
      <c r="A437" s="13" t="s">
        <v>3180</v>
      </c>
      <c r="B437" s="13">
        <v>1501196</v>
      </c>
      <c r="C437" s="13" t="s">
        <v>641</v>
      </c>
      <c r="D437" s="13" t="s">
        <v>3247</v>
      </c>
      <c r="E437" s="13">
        <v>1</v>
      </c>
      <c r="F437" s="13" t="s">
        <v>656</v>
      </c>
      <c r="G437" s="13" t="s">
        <v>641</v>
      </c>
      <c r="H437" s="13" t="s">
        <v>641</v>
      </c>
    </row>
    <row r="438" spans="1:8">
      <c r="A438" s="13" t="s">
        <v>3180</v>
      </c>
      <c r="B438" s="13">
        <v>1501197</v>
      </c>
      <c r="C438" s="13" t="s">
        <v>641</v>
      </c>
      <c r="D438" s="13" t="s">
        <v>3248</v>
      </c>
      <c r="E438" s="13">
        <v>1</v>
      </c>
      <c r="F438" s="13" t="s">
        <v>656</v>
      </c>
      <c r="G438" s="13" t="s">
        <v>641</v>
      </c>
      <c r="H438" s="13" t="s">
        <v>641</v>
      </c>
    </row>
    <row r="439" spans="1:8">
      <c r="A439" s="13" t="s">
        <v>3180</v>
      </c>
      <c r="B439" s="13">
        <v>1501198</v>
      </c>
      <c r="C439" s="13" t="s">
        <v>641</v>
      </c>
      <c r="D439" s="13" t="s">
        <v>3249</v>
      </c>
      <c r="E439" s="13">
        <v>1</v>
      </c>
      <c r="F439" s="13" t="s">
        <v>640</v>
      </c>
      <c r="G439" s="13" t="s">
        <v>641</v>
      </c>
      <c r="H439" s="13" t="s">
        <v>641</v>
      </c>
    </row>
    <row r="440" spans="1:8">
      <c r="A440" s="13" t="s">
        <v>3180</v>
      </c>
      <c r="B440" s="13">
        <v>1501199</v>
      </c>
      <c r="C440" s="13" t="s">
        <v>641</v>
      </c>
      <c r="D440" s="13" t="s">
        <v>3250</v>
      </c>
      <c r="E440" s="13">
        <v>1</v>
      </c>
      <c r="F440" s="13" t="s">
        <v>656</v>
      </c>
      <c r="G440" s="13" t="s">
        <v>641</v>
      </c>
      <c r="H440" s="13" t="s">
        <v>641</v>
      </c>
    </row>
    <row r="441" spans="1:8">
      <c r="A441" s="13" t="s">
        <v>3180</v>
      </c>
      <c r="B441" s="13">
        <v>1501200</v>
      </c>
      <c r="C441" s="13" t="s">
        <v>641</v>
      </c>
      <c r="D441" s="13" t="s">
        <v>3251</v>
      </c>
      <c r="E441" s="13">
        <v>1</v>
      </c>
      <c r="F441" s="13" t="s">
        <v>646</v>
      </c>
      <c r="G441" s="13" t="s">
        <v>641</v>
      </c>
      <c r="H441" s="13" t="s">
        <v>641</v>
      </c>
    </row>
    <row r="442" spans="1:8">
      <c r="A442" s="13" t="s">
        <v>3180</v>
      </c>
      <c r="B442" s="13">
        <v>1501201</v>
      </c>
      <c r="C442" s="13" t="s">
        <v>641</v>
      </c>
      <c r="D442" s="13" t="s">
        <v>3252</v>
      </c>
      <c r="E442" s="13">
        <v>2</v>
      </c>
      <c r="F442" s="13" t="s">
        <v>654</v>
      </c>
      <c r="G442" s="13" t="s">
        <v>641</v>
      </c>
      <c r="H442" s="13" t="s">
        <v>641</v>
      </c>
    </row>
    <row r="443" spans="1:8">
      <c r="A443" s="13" t="s">
        <v>3180</v>
      </c>
      <c r="B443" s="13">
        <v>1501202</v>
      </c>
      <c r="C443" s="13" t="s">
        <v>641</v>
      </c>
      <c r="D443" s="13" t="s">
        <v>3253</v>
      </c>
      <c r="E443" s="13">
        <v>1</v>
      </c>
      <c r="F443" s="13" t="s">
        <v>656</v>
      </c>
      <c r="G443" s="13" t="s">
        <v>641</v>
      </c>
      <c r="H443" s="13" t="s">
        <v>641</v>
      </c>
    </row>
    <row r="444" spans="1:8">
      <c r="A444" s="13" t="s">
        <v>3180</v>
      </c>
      <c r="B444" s="13">
        <v>1501203</v>
      </c>
      <c r="C444" s="13" t="s">
        <v>641</v>
      </c>
      <c r="D444" s="13" t="s">
        <v>3254</v>
      </c>
      <c r="E444" s="13">
        <v>1</v>
      </c>
      <c r="F444" s="13" t="s">
        <v>656</v>
      </c>
      <c r="G444" s="13" t="s">
        <v>641</v>
      </c>
      <c r="H444" s="13" t="s">
        <v>641</v>
      </c>
    </row>
    <row r="445" spans="1:8">
      <c r="A445" s="13" t="s">
        <v>3180</v>
      </c>
      <c r="B445" s="13">
        <v>1501204</v>
      </c>
      <c r="C445" s="13" t="s">
        <v>641</v>
      </c>
      <c r="D445" s="13" t="s">
        <v>3255</v>
      </c>
      <c r="E445" s="13">
        <v>1</v>
      </c>
      <c r="F445" s="13" t="s">
        <v>656</v>
      </c>
      <c r="G445" s="13" t="s">
        <v>641</v>
      </c>
      <c r="H445" s="13" t="s">
        <v>641</v>
      </c>
    </row>
    <row r="446" spans="1:8">
      <c r="A446" s="13" t="s">
        <v>3180</v>
      </c>
      <c r="B446" s="13">
        <v>1501205</v>
      </c>
      <c r="C446" s="13" t="s">
        <v>641</v>
      </c>
      <c r="D446" s="13" t="s">
        <v>3256</v>
      </c>
      <c r="E446" s="13">
        <v>1</v>
      </c>
      <c r="F446" s="13" t="s">
        <v>656</v>
      </c>
      <c r="G446" s="13" t="s">
        <v>641</v>
      </c>
      <c r="H446" s="13" t="s">
        <v>641</v>
      </c>
    </row>
    <row r="447" spans="1:8">
      <c r="A447" s="13" t="s">
        <v>3180</v>
      </c>
      <c r="B447" s="13">
        <v>1501206</v>
      </c>
      <c r="C447" s="13" t="s">
        <v>641</v>
      </c>
      <c r="D447" s="13" t="s">
        <v>3257</v>
      </c>
      <c r="E447" s="13">
        <v>1</v>
      </c>
      <c r="F447" s="13" t="s">
        <v>656</v>
      </c>
      <c r="G447" s="13" t="s">
        <v>641</v>
      </c>
      <c r="H447" s="13" t="s">
        <v>641</v>
      </c>
    </row>
    <row r="448" spans="1:8">
      <c r="A448" s="13" t="s">
        <v>3180</v>
      </c>
      <c r="B448" s="13">
        <v>1501207</v>
      </c>
      <c r="C448" s="13" t="s">
        <v>641</v>
      </c>
      <c r="D448" s="13" t="s">
        <v>978</v>
      </c>
      <c r="E448" s="13">
        <v>1</v>
      </c>
      <c r="F448" s="13" t="s">
        <v>656</v>
      </c>
      <c r="G448" s="13" t="s">
        <v>641</v>
      </c>
      <c r="H448" s="13" t="s">
        <v>641</v>
      </c>
    </row>
    <row r="449" spans="1:8">
      <c r="A449" s="13" t="s">
        <v>3180</v>
      </c>
      <c r="B449" s="13">
        <v>1501208</v>
      </c>
      <c r="C449" s="13" t="s">
        <v>641</v>
      </c>
      <c r="D449" s="13" t="s">
        <v>3258</v>
      </c>
      <c r="E449" s="13">
        <v>1</v>
      </c>
      <c r="F449" s="13" t="s">
        <v>656</v>
      </c>
      <c r="G449" s="13" t="s">
        <v>641</v>
      </c>
      <c r="H449" s="13" t="s">
        <v>641</v>
      </c>
    </row>
    <row r="450" spans="1:8">
      <c r="A450" s="13" t="s">
        <v>3180</v>
      </c>
      <c r="B450" s="13">
        <v>1501209</v>
      </c>
      <c r="C450" s="13" t="s">
        <v>641</v>
      </c>
      <c r="D450" s="13" t="s">
        <v>3259</v>
      </c>
      <c r="E450" s="13">
        <v>1</v>
      </c>
      <c r="F450" s="13" t="s">
        <v>640</v>
      </c>
      <c r="G450" s="13" t="s">
        <v>641</v>
      </c>
      <c r="H450" s="13" t="s">
        <v>641</v>
      </c>
    </row>
    <row r="451" spans="1:8">
      <c r="A451" s="13" t="s">
        <v>3180</v>
      </c>
      <c r="B451" s="13">
        <v>1501210</v>
      </c>
      <c r="C451" s="13" t="s">
        <v>641</v>
      </c>
      <c r="D451" s="13" t="s">
        <v>3260</v>
      </c>
      <c r="E451" s="13">
        <v>1</v>
      </c>
      <c r="F451" s="13" t="s">
        <v>640</v>
      </c>
      <c r="G451" s="13" t="s">
        <v>641</v>
      </c>
      <c r="H451" s="13" t="s">
        <v>641</v>
      </c>
    </row>
    <row r="452" spans="1:8">
      <c r="A452" s="13" t="s">
        <v>3180</v>
      </c>
      <c r="B452" s="13">
        <v>1501211</v>
      </c>
      <c r="C452" s="13" t="s">
        <v>641</v>
      </c>
      <c r="D452" s="13" t="s">
        <v>3261</v>
      </c>
      <c r="E452" s="13">
        <v>1</v>
      </c>
      <c r="F452" s="13" t="s">
        <v>640</v>
      </c>
      <c r="G452" s="13" t="s">
        <v>641</v>
      </c>
      <c r="H452" s="13" t="s">
        <v>641</v>
      </c>
    </row>
    <row r="453" spans="1:8">
      <c r="A453" s="13" t="s">
        <v>3180</v>
      </c>
      <c r="B453" s="13">
        <v>1501212</v>
      </c>
      <c r="C453" s="13" t="s">
        <v>641</v>
      </c>
      <c r="D453" s="13" t="s">
        <v>3262</v>
      </c>
      <c r="E453" s="13">
        <v>1</v>
      </c>
      <c r="F453" s="13" t="s">
        <v>640</v>
      </c>
      <c r="G453" s="13" t="s">
        <v>641</v>
      </c>
      <c r="H453" s="13" t="s">
        <v>641</v>
      </c>
    </row>
    <row r="454" spans="1:8">
      <c r="A454" s="13" t="s">
        <v>3180</v>
      </c>
      <c r="B454" s="13">
        <v>1501213</v>
      </c>
      <c r="C454" s="13" t="s">
        <v>641</v>
      </c>
      <c r="D454" s="13" t="s">
        <v>3263</v>
      </c>
      <c r="E454" s="13">
        <v>1</v>
      </c>
      <c r="F454" s="13" t="s">
        <v>640</v>
      </c>
      <c r="G454" s="13" t="s">
        <v>641</v>
      </c>
      <c r="H454" s="13" t="s">
        <v>641</v>
      </c>
    </row>
    <row r="455" spans="1:8">
      <c r="A455" s="13" t="s">
        <v>3180</v>
      </c>
      <c r="B455" s="13">
        <v>1501214</v>
      </c>
      <c r="C455" s="13" t="s">
        <v>641</v>
      </c>
      <c r="D455" s="13" t="s">
        <v>979</v>
      </c>
      <c r="E455" s="13">
        <v>1</v>
      </c>
      <c r="F455" s="13" t="s">
        <v>649</v>
      </c>
      <c r="G455" s="13" t="s">
        <v>641</v>
      </c>
      <c r="H455" s="13" t="s">
        <v>641</v>
      </c>
    </row>
    <row r="456" spans="1:8">
      <c r="A456" s="13" t="s">
        <v>3180</v>
      </c>
      <c r="B456" s="13">
        <v>1501215</v>
      </c>
      <c r="C456" s="13" t="s">
        <v>641</v>
      </c>
      <c r="D456" s="13" t="s">
        <v>3264</v>
      </c>
      <c r="E456" s="13">
        <v>1</v>
      </c>
      <c r="F456" s="13" t="s">
        <v>640</v>
      </c>
      <c r="G456" s="13" t="s">
        <v>641</v>
      </c>
      <c r="H456" s="13" t="s">
        <v>641</v>
      </c>
    </row>
    <row r="457" spans="1:8">
      <c r="A457" s="13" t="s">
        <v>3180</v>
      </c>
      <c r="B457" s="13">
        <v>1501216</v>
      </c>
      <c r="C457" s="13" t="s">
        <v>641</v>
      </c>
      <c r="D457" s="13" t="s">
        <v>3265</v>
      </c>
      <c r="E457" s="13">
        <v>1</v>
      </c>
      <c r="F457" s="13" t="s">
        <v>640</v>
      </c>
      <c r="G457" s="13" t="s">
        <v>641</v>
      </c>
      <c r="H457" s="13" t="s">
        <v>735</v>
      </c>
    </row>
    <row r="458" spans="1:8">
      <c r="A458" s="13" t="s">
        <v>3180</v>
      </c>
      <c r="B458" s="13">
        <v>1501217</v>
      </c>
      <c r="C458" s="13" t="s">
        <v>641</v>
      </c>
      <c r="D458" s="13" t="s">
        <v>3266</v>
      </c>
      <c r="E458" s="13">
        <v>1</v>
      </c>
      <c r="F458" s="13" t="s">
        <v>640</v>
      </c>
      <c r="G458" s="13" t="s">
        <v>641</v>
      </c>
      <c r="H458" s="13" t="s">
        <v>641</v>
      </c>
    </row>
    <row r="459" spans="1:8">
      <c r="A459" s="13" t="s">
        <v>3180</v>
      </c>
      <c r="B459" s="13">
        <v>1501218</v>
      </c>
      <c r="C459" s="13" t="s">
        <v>641</v>
      </c>
      <c r="D459" s="13" t="s">
        <v>980</v>
      </c>
      <c r="E459" s="13">
        <v>1</v>
      </c>
      <c r="F459" s="13" t="s">
        <v>644</v>
      </c>
      <c r="G459" s="13" t="s">
        <v>641</v>
      </c>
      <c r="H459" s="13" t="s">
        <v>641</v>
      </c>
    </row>
    <row r="460" spans="1:8">
      <c r="A460" s="13" t="s">
        <v>3180</v>
      </c>
      <c r="B460" s="13">
        <v>1501219</v>
      </c>
      <c r="C460" s="13" t="s">
        <v>641</v>
      </c>
      <c r="D460" s="13" t="s">
        <v>3267</v>
      </c>
      <c r="E460" s="13">
        <v>1</v>
      </c>
      <c r="F460" s="13" t="s">
        <v>640</v>
      </c>
      <c r="G460" s="13" t="s">
        <v>641</v>
      </c>
      <c r="H460" s="13" t="s">
        <v>641</v>
      </c>
    </row>
    <row r="461" spans="1:8">
      <c r="A461" s="13" t="s">
        <v>3180</v>
      </c>
      <c r="B461" s="13">
        <v>1501220</v>
      </c>
      <c r="C461" s="13" t="s">
        <v>641</v>
      </c>
      <c r="D461" s="13" t="s">
        <v>3268</v>
      </c>
      <c r="E461" s="13">
        <v>1</v>
      </c>
      <c r="F461" s="13" t="s">
        <v>640</v>
      </c>
      <c r="G461" s="13" t="s">
        <v>641</v>
      </c>
      <c r="H461" s="13" t="s">
        <v>641</v>
      </c>
    </row>
    <row r="462" spans="1:8">
      <c r="A462" s="13" t="s">
        <v>3180</v>
      </c>
      <c r="B462" s="13">
        <v>1501221</v>
      </c>
      <c r="C462" s="13" t="s">
        <v>641</v>
      </c>
      <c r="D462" s="13" t="s">
        <v>3269</v>
      </c>
      <c r="E462" s="13">
        <v>1</v>
      </c>
      <c r="F462" s="13" t="s">
        <v>644</v>
      </c>
      <c r="G462" s="13" t="s">
        <v>641</v>
      </c>
      <c r="H462" s="13" t="s">
        <v>641</v>
      </c>
    </row>
    <row r="463" spans="1:8">
      <c r="A463" s="13" t="s">
        <v>3180</v>
      </c>
      <c r="B463" s="13">
        <v>1501222</v>
      </c>
      <c r="C463" s="13" t="s">
        <v>641</v>
      </c>
      <c r="D463" s="13" t="s">
        <v>3270</v>
      </c>
      <c r="E463" s="13">
        <v>1</v>
      </c>
      <c r="F463" s="13" t="s">
        <v>656</v>
      </c>
      <c r="G463" s="13" t="s">
        <v>641</v>
      </c>
      <c r="H463" s="13" t="s">
        <v>641</v>
      </c>
    </row>
    <row r="464" spans="1:8">
      <c r="A464" s="13" t="s">
        <v>3180</v>
      </c>
      <c r="B464" s="13">
        <v>1501223</v>
      </c>
      <c r="C464" s="13" t="s">
        <v>641</v>
      </c>
      <c r="D464" s="13" t="s">
        <v>981</v>
      </c>
      <c r="E464" s="13">
        <v>1</v>
      </c>
      <c r="F464" s="13" t="s">
        <v>656</v>
      </c>
      <c r="G464" s="13" t="s">
        <v>641</v>
      </c>
      <c r="H464" s="13" t="s">
        <v>641</v>
      </c>
    </row>
    <row r="465" spans="1:8">
      <c r="A465" s="13" t="s">
        <v>3180</v>
      </c>
      <c r="B465" s="13">
        <v>1501224</v>
      </c>
      <c r="C465" s="13" t="s">
        <v>641</v>
      </c>
      <c r="D465" s="13" t="s">
        <v>3271</v>
      </c>
      <c r="E465" s="13">
        <v>1</v>
      </c>
      <c r="F465" s="13" t="s">
        <v>656</v>
      </c>
      <c r="G465" s="13" t="s">
        <v>641</v>
      </c>
      <c r="H465" s="13" t="s">
        <v>641</v>
      </c>
    </row>
    <row r="466" spans="1:8">
      <c r="A466" s="13" t="s">
        <v>3180</v>
      </c>
      <c r="B466" s="13">
        <v>1501225</v>
      </c>
      <c r="C466" s="13" t="s">
        <v>641</v>
      </c>
      <c r="D466" s="13" t="s">
        <v>982</v>
      </c>
      <c r="E466" s="13">
        <v>1</v>
      </c>
      <c r="F466" s="13" t="s">
        <v>656</v>
      </c>
      <c r="G466" s="13" t="s">
        <v>641</v>
      </c>
      <c r="H466" s="13" t="s">
        <v>641</v>
      </c>
    </row>
    <row r="467" spans="1:8">
      <c r="A467" s="13" t="s">
        <v>3180</v>
      </c>
      <c r="B467" s="13">
        <v>1501226</v>
      </c>
      <c r="C467" s="13" t="s">
        <v>641</v>
      </c>
      <c r="D467" s="13" t="s">
        <v>3272</v>
      </c>
      <c r="E467" s="13">
        <v>1</v>
      </c>
      <c r="F467" s="13" t="s">
        <v>640</v>
      </c>
      <c r="G467" s="13" t="s">
        <v>641</v>
      </c>
      <c r="H467" s="13" t="s">
        <v>641</v>
      </c>
    </row>
    <row r="468" spans="1:8">
      <c r="A468" s="13" t="s">
        <v>3180</v>
      </c>
      <c r="B468" s="13">
        <v>1501227</v>
      </c>
      <c r="C468" s="13" t="s">
        <v>641</v>
      </c>
      <c r="D468" s="13" t="s">
        <v>983</v>
      </c>
      <c r="E468" s="13">
        <v>1</v>
      </c>
      <c r="F468" s="13" t="s">
        <v>640</v>
      </c>
      <c r="G468" s="13" t="s">
        <v>641</v>
      </c>
      <c r="H468" s="13" t="s">
        <v>641</v>
      </c>
    </row>
    <row r="469" spans="1:8">
      <c r="A469" s="13" t="s">
        <v>3180</v>
      </c>
      <c r="B469" s="13">
        <v>1501228</v>
      </c>
      <c r="C469" s="13" t="s">
        <v>641</v>
      </c>
      <c r="D469" s="13" t="s">
        <v>3273</v>
      </c>
      <c r="E469" s="13">
        <v>1</v>
      </c>
      <c r="F469" s="13" t="s">
        <v>640</v>
      </c>
      <c r="G469" s="13" t="s">
        <v>641</v>
      </c>
      <c r="H469" s="13" t="s">
        <v>641</v>
      </c>
    </row>
    <row r="470" spans="1:8">
      <c r="A470" s="13" t="s">
        <v>3180</v>
      </c>
      <c r="B470" s="13">
        <v>1501229</v>
      </c>
      <c r="C470" s="13" t="s">
        <v>641</v>
      </c>
      <c r="D470" s="13" t="s">
        <v>3274</v>
      </c>
      <c r="E470" s="13">
        <v>1</v>
      </c>
      <c r="F470" s="13" t="s">
        <v>649</v>
      </c>
      <c r="G470" s="13" t="s">
        <v>641</v>
      </c>
      <c r="H470" s="13" t="s">
        <v>641</v>
      </c>
    </row>
    <row r="471" spans="1:8">
      <c r="A471" s="13" t="s">
        <v>3180</v>
      </c>
      <c r="B471" s="13">
        <v>1501230</v>
      </c>
      <c r="C471" s="13" t="s">
        <v>641</v>
      </c>
      <c r="D471" s="13" t="s">
        <v>3275</v>
      </c>
      <c r="E471" s="13">
        <v>1</v>
      </c>
      <c r="F471" s="13" t="s">
        <v>640</v>
      </c>
      <c r="G471" s="13" t="s">
        <v>641</v>
      </c>
      <c r="H471" s="13" t="s">
        <v>641</v>
      </c>
    </row>
    <row r="472" spans="1:8">
      <c r="A472" s="13" t="s">
        <v>3180</v>
      </c>
      <c r="B472" s="13">
        <v>1501231</v>
      </c>
      <c r="C472" s="13" t="s">
        <v>641</v>
      </c>
      <c r="D472" s="13" t="s">
        <v>3276</v>
      </c>
      <c r="E472" s="13">
        <v>1</v>
      </c>
      <c r="F472" s="13" t="s">
        <v>640</v>
      </c>
      <c r="G472" s="13" t="s">
        <v>641</v>
      </c>
      <c r="H472" s="13" t="s">
        <v>641</v>
      </c>
    </row>
    <row r="473" spans="1:8">
      <c r="A473" s="13" t="s">
        <v>3180</v>
      </c>
      <c r="B473" s="13">
        <v>1501232</v>
      </c>
      <c r="C473" s="13" t="s">
        <v>641</v>
      </c>
      <c r="D473" s="13" t="s">
        <v>3277</v>
      </c>
      <c r="E473" s="13">
        <v>1</v>
      </c>
      <c r="F473" s="13" t="s">
        <v>649</v>
      </c>
      <c r="G473" s="13" t="s">
        <v>641</v>
      </c>
      <c r="H473" s="13" t="s">
        <v>641</v>
      </c>
    </row>
    <row r="474" spans="1:8">
      <c r="A474" s="13" t="s">
        <v>3180</v>
      </c>
      <c r="B474" s="13">
        <v>1501233</v>
      </c>
      <c r="C474" s="13" t="s">
        <v>641</v>
      </c>
      <c r="D474" s="13" t="s">
        <v>3278</v>
      </c>
      <c r="E474" s="13">
        <v>1</v>
      </c>
      <c r="F474" s="13" t="s">
        <v>642</v>
      </c>
      <c r="G474" s="13" t="s">
        <v>641</v>
      </c>
      <c r="H474" s="13" t="s">
        <v>641</v>
      </c>
    </row>
    <row r="475" spans="1:8">
      <c r="A475" s="13" t="s">
        <v>3180</v>
      </c>
      <c r="B475" s="13">
        <v>1501234</v>
      </c>
      <c r="C475" s="13" t="s">
        <v>641</v>
      </c>
      <c r="D475" s="13" t="s">
        <v>3279</v>
      </c>
      <c r="E475" s="13">
        <v>1</v>
      </c>
      <c r="F475" s="13" t="s">
        <v>642</v>
      </c>
      <c r="G475" s="13" t="s">
        <v>641</v>
      </c>
      <c r="H475" s="13" t="s">
        <v>641</v>
      </c>
    </row>
    <row r="476" spans="1:8">
      <c r="A476" s="13" t="s">
        <v>3180</v>
      </c>
      <c r="B476" s="13">
        <v>1501235</v>
      </c>
      <c r="C476" s="13" t="s">
        <v>641</v>
      </c>
      <c r="D476" s="13" t="s">
        <v>984</v>
      </c>
      <c r="E476" s="13">
        <v>1</v>
      </c>
      <c r="F476" s="13" t="s">
        <v>642</v>
      </c>
      <c r="G476" s="13" t="s">
        <v>641</v>
      </c>
      <c r="H476" s="13" t="s">
        <v>641</v>
      </c>
    </row>
    <row r="477" spans="1:8">
      <c r="A477" s="13" t="s">
        <v>3180</v>
      </c>
      <c r="B477" s="13">
        <v>1501236</v>
      </c>
      <c r="C477" s="13" t="s">
        <v>641</v>
      </c>
      <c r="D477" s="13" t="s">
        <v>985</v>
      </c>
      <c r="E477" s="13">
        <v>1</v>
      </c>
      <c r="F477" s="13" t="s">
        <v>640</v>
      </c>
      <c r="G477" s="13" t="s">
        <v>641</v>
      </c>
      <c r="H477" s="13" t="s">
        <v>641</v>
      </c>
    </row>
    <row r="478" spans="1:8">
      <c r="A478" s="13" t="s">
        <v>3180</v>
      </c>
      <c r="B478" s="13">
        <v>1501237</v>
      </c>
      <c r="C478" s="13" t="s">
        <v>641</v>
      </c>
      <c r="D478" s="13" t="s">
        <v>3280</v>
      </c>
      <c r="E478" s="13">
        <v>1</v>
      </c>
      <c r="F478" s="13" t="s">
        <v>656</v>
      </c>
      <c r="G478" s="13" t="s">
        <v>641</v>
      </c>
      <c r="H478" s="13" t="s">
        <v>641</v>
      </c>
    </row>
    <row r="479" spans="1:8">
      <c r="A479" s="13" t="s">
        <v>3180</v>
      </c>
      <c r="B479" s="13">
        <v>1501238</v>
      </c>
      <c r="C479" s="13" t="s">
        <v>641</v>
      </c>
      <c r="D479" s="13" t="s">
        <v>3281</v>
      </c>
      <c r="E479" s="13">
        <v>1</v>
      </c>
      <c r="F479" s="13" t="s">
        <v>649</v>
      </c>
      <c r="G479" s="13" t="s">
        <v>641</v>
      </c>
      <c r="H479" s="13" t="s">
        <v>641</v>
      </c>
    </row>
    <row r="480" spans="1:8">
      <c r="A480" s="13" t="s">
        <v>3180</v>
      </c>
      <c r="B480" s="13">
        <v>1501239</v>
      </c>
      <c r="C480" s="13" t="s">
        <v>641</v>
      </c>
      <c r="D480" s="13" t="s">
        <v>3282</v>
      </c>
      <c r="E480" s="13">
        <v>1</v>
      </c>
      <c r="F480" s="13" t="s">
        <v>640</v>
      </c>
      <c r="G480" s="13" t="s">
        <v>641</v>
      </c>
      <c r="H480" s="13" t="s">
        <v>641</v>
      </c>
    </row>
    <row r="481" spans="1:8">
      <c r="A481" s="13" t="s">
        <v>3180</v>
      </c>
      <c r="B481" s="13">
        <v>1501240</v>
      </c>
      <c r="C481" s="13" t="s">
        <v>641</v>
      </c>
      <c r="D481" s="13" t="s">
        <v>3283</v>
      </c>
      <c r="E481" s="13">
        <v>1</v>
      </c>
      <c r="F481" s="13" t="s">
        <v>642</v>
      </c>
      <c r="G481" s="13" t="s">
        <v>641</v>
      </c>
      <c r="H481" s="13" t="s">
        <v>641</v>
      </c>
    </row>
    <row r="482" spans="1:8">
      <c r="A482" s="13" t="s">
        <v>3180</v>
      </c>
      <c r="B482" s="13">
        <v>1501241</v>
      </c>
      <c r="C482" s="13" t="s">
        <v>641</v>
      </c>
      <c r="D482" s="13" t="s">
        <v>3284</v>
      </c>
      <c r="E482" s="13">
        <v>1</v>
      </c>
      <c r="F482" s="13" t="s">
        <v>649</v>
      </c>
      <c r="G482" s="13" t="s">
        <v>641</v>
      </c>
      <c r="H482" s="13" t="s">
        <v>641</v>
      </c>
    </row>
    <row r="483" spans="1:8">
      <c r="A483" s="13" t="s">
        <v>3180</v>
      </c>
      <c r="B483" s="13">
        <v>1501242</v>
      </c>
      <c r="C483" s="13" t="s">
        <v>641</v>
      </c>
      <c r="D483" s="13" t="s">
        <v>3285</v>
      </c>
      <c r="E483" s="13">
        <v>1</v>
      </c>
      <c r="F483" s="13" t="s">
        <v>644</v>
      </c>
      <c r="G483" s="13" t="s">
        <v>641</v>
      </c>
      <c r="H483" s="13" t="s">
        <v>641</v>
      </c>
    </row>
    <row r="484" spans="1:8">
      <c r="A484" s="13" t="s">
        <v>3180</v>
      </c>
      <c r="B484" s="13">
        <v>1501243</v>
      </c>
      <c r="C484" s="13" t="s">
        <v>641</v>
      </c>
      <c r="D484" s="13" t="s">
        <v>986</v>
      </c>
      <c r="E484" s="13">
        <v>1</v>
      </c>
      <c r="F484" s="13" t="s">
        <v>640</v>
      </c>
      <c r="G484" s="13" t="s">
        <v>641</v>
      </c>
      <c r="H484" s="13" t="s">
        <v>641</v>
      </c>
    </row>
    <row r="485" spans="1:8">
      <c r="A485" s="13" t="s">
        <v>3180</v>
      </c>
      <c r="B485" s="13">
        <v>1501244</v>
      </c>
      <c r="C485" s="13" t="s">
        <v>641</v>
      </c>
      <c r="D485" s="13" t="s">
        <v>3286</v>
      </c>
      <c r="E485" s="13">
        <v>1</v>
      </c>
      <c r="F485" s="13" t="s">
        <v>649</v>
      </c>
      <c r="G485" s="13" t="s">
        <v>641</v>
      </c>
      <c r="H485" s="13" t="s">
        <v>641</v>
      </c>
    </row>
    <row r="486" spans="1:8">
      <c r="A486" s="13" t="s">
        <v>3180</v>
      </c>
      <c r="B486" s="13">
        <v>1501245</v>
      </c>
      <c r="C486" s="13" t="s">
        <v>641</v>
      </c>
      <c r="D486" s="13" t="s">
        <v>3287</v>
      </c>
      <c r="E486" s="13">
        <v>1</v>
      </c>
      <c r="F486" s="13" t="s">
        <v>640</v>
      </c>
      <c r="G486" s="13" t="s">
        <v>641</v>
      </c>
      <c r="H486" s="13" t="s">
        <v>641</v>
      </c>
    </row>
    <row r="487" spans="1:8">
      <c r="A487" s="13" t="s">
        <v>3180</v>
      </c>
      <c r="B487" s="13">
        <v>1501246</v>
      </c>
      <c r="C487" s="13" t="s">
        <v>641</v>
      </c>
      <c r="D487" s="13" t="s">
        <v>987</v>
      </c>
      <c r="E487" s="13">
        <v>1</v>
      </c>
      <c r="F487" s="13" t="s">
        <v>649</v>
      </c>
      <c r="G487" s="13" t="s">
        <v>641</v>
      </c>
      <c r="H487" s="13" t="s">
        <v>641</v>
      </c>
    </row>
    <row r="488" spans="1:8">
      <c r="A488" s="13" t="s">
        <v>3180</v>
      </c>
      <c r="B488" s="13">
        <v>1501247</v>
      </c>
      <c r="C488" s="13" t="s">
        <v>641</v>
      </c>
      <c r="D488" s="13" t="s">
        <v>3288</v>
      </c>
      <c r="E488" s="13">
        <v>1</v>
      </c>
      <c r="F488" s="13" t="s">
        <v>640</v>
      </c>
      <c r="G488" s="13" t="s">
        <v>641</v>
      </c>
      <c r="H488" s="13" t="s">
        <v>641</v>
      </c>
    </row>
    <row r="489" spans="1:8">
      <c r="A489" s="13" t="s">
        <v>3180</v>
      </c>
      <c r="B489" s="13">
        <v>1501248</v>
      </c>
      <c r="C489" s="13" t="s">
        <v>641</v>
      </c>
      <c r="D489" s="13" t="s">
        <v>3289</v>
      </c>
      <c r="E489" s="13">
        <v>1</v>
      </c>
      <c r="F489" s="13" t="s">
        <v>642</v>
      </c>
      <c r="G489" s="13" t="s">
        <v>641</v>
      </c>
      <c r="H489" s="13" t="s">
        <v>641</v>
      </c>
    </row>
    <row r="490" spans="1:8">
      <c r="A490" s="13" t="s">
        <v>3180</v>
      </c>
      <c r="B490" s="13">
        <v>1501249</v>
      </c>
      <c r="C490" s="13" t="s">
        <v>641</v>
      </c>
      <c r="D490" s="13" t="s">
        <v>3249</v>
      </c>
      <c r="E490" s="13">
        <v>1</v>
      </c>
      <c r="F490" s="13" t="s">
        <v>640</v>
      </c>
      <c r="G490" s="13" t="s">
        <v>641</v>
      </c>
      <c r="H490" s="13" t="s">
        <v>641</v>
      </c>
    </row>
    <row r="491" spans="1:8">
      <c r="A491" s="13" t="s">
        <v>3180</v>
      </c>
      <c r="B491" s="13">
        <v>1501250</v>
      </c>
      <c r="C491" s="13" t="s">
        <v>641</v>
      </c>
      <c r="D491" s="13" t="s">
        <v>3290</v>
      </c>
      <c r="E491" s="13">
        <v>2</v>
      </c>
      <c r="F491" s="13" t="s">
        <v>671</v>
      </c>
      <c r="G491" s="13" t="s">
        <v>677</v>
      </c>
      <c r="H491" s="13" t="s">
        <v>641</v>
      </c>
    </row>
    <row r="492" spans="1:8">
      <c r="A492" s="13" t="s">
        <v>3180</v>
      </c>
      <c r="B492" s="13">
        <v>1501251</v>
      </c>
      <c r="C492" s="13" t="s">
        <v>641</v>
      </c>
      <c r="D492" s="13" t="s">
        <v>988</v>
      </c>
      <c r="E492" s="13">
        <v>1</v>
      </c>
      <c r="F492" s="13" t="s">
        <v>642</v>
      </c>
      <c r="G492" s="13" t="s">
        <v>641</v>
      </c>
      <c r="H492" s="13" t="s">
        <v>641</v>
      </c>
    </row>
    <row r="493" spans="1:8">
      <c r="A493" s="13" t="s">
        <v>3180</v>
      </c>
      <c r="B493" s="13">
        <v>1501252</v>
      </c>
      <c r="C493" s="13" t="s">
        <v>641</v>
      </c>
      <c r="D493" s="13" t="s">
        <v>3291</v>
      </c>
      <c r="E493" s="13">
        <v>1</v>
      </c>
      <c r="F493" s="13" t="s">
        <v>644</v>
      </c>
      <c r="G493" s="13" t="s">
        <v>641</v>
      </c>
      <c r="H493" s="13" t="s">
        <v>641</v>
      </c>
    </row>
    <row r="494" spans="1:8">
      <c r="A494" s="13" t="s">
        <v>3180</v>
      </c>
      <c r="B494" s="13">
        <v>1501253</v>
      </c>
      <c r="C494" s="13" t="s">
        <v>641</v>
      </c>
      <c r="D494" s="13" t="s">
        <v>385</v>
      </c>
      <c r="E494" s="13">
        <v>1</v>
      </c>
      <c r="F494" s="13" t="s">
        <v>642</v>
      </c>
      <c r="G494" s="13" t="s">
        <v>641</v>
      </c>
      <c r="H494" s="13" t="s">
        <v>641</v>
      </c>
    </row>
    <row r="495" spans="1:9">
      <c r="A495" s="13" t="s">
        <v>3180</v>
      </c>
      <c r="B495" s="13">
        <v>1501254</v>
      </c>
      <c r="C495" s="13" t="s">
        <v>641</v>
      </c>
      <c r="D495" s="13" t="s">
        <v>3292</v>
      </c>
      <c r="E495" s="13">
        <v>1</v>
      </c>
      <c r="F495" s="13" t="s">
        <v>640</v>
      </c>
      <c r="G495" s="13" t="s">
        <v>641</v>
      </c>
      <c r="H495" s="13" t="s">
        <v>641</v>
      </c>
      <c r="I495" t="s">
        <v>3196</v>
      </c>
    </row>
    <row r="496" spans="1:8">
      <c r="A496" s="13" t="s">
        <v>3180</v>
      </c>
      <c r="B496" s="13">
        <v>1501255</v>
      </c>
      <c r="C496" s="13" t="s">
        <v>641</v>
      </c>
      <c r="D496" s="13" t="s">
        <v>989</v>
      </c>
      <c r="E496" s="13">
        <v>1</v>
      </c>
      <c r="F496" s="13" t="s">
        <v>642</v>
      </c>
      <c r="G496" s="13" t="s">
        <v>641</v>
      </c>
      <c r="H496" s="13" t="s">
        <v>641</v>
      </c>
    </row>
    <row r="497" spans="1:8">
      <c r="A497" s="13" t="s">
        <v>3180</v>
      </c>
      <c r="B497" s="13">
        <v>1501258</v>
      </c>
      <c r="C497" s="13" t="s">
        <v>641</v>
      </c>
      <c r="D497" s="13" t="s">
        <v>3293</v>
      </c>
      <c r="E497" s="13">
        <v>1</v>
      </c>
      <c r="F497" s="13" t="s">
        <v>640</v>
      </c>
      <c r="G497" s="13" t="s">
        <v>641</v>
      </c>
      <c r="H497" s="13" t="s">
        <v>641</v>
      </c>
    </row>
    <row r="498" spans="1:8">
      <c r="A498" s="13" t="s">
        <v>3180</v>
      </c>
      <c r="B498" s="13">
        <v>1501259</v>
      </c>
      <c r="C498" s="13" t="s">
        <v>641</v>
      </c>
      <c r="D498" s="13" t="s">
        <v>3294</v>
      </c>
      <c r="E498" s="13">
        <v>1</v>
      </c>
      <c r="F498" s="13" t="s">
        <v>640</v>
      </c>
      <c r="G498" s="13" t="s">
        <v>641</v>
      </c>
      <c r="H498" s="13" t="s">
        <v>641</v>
      </c>
    </row>
    <row r="499" spans="1:8">
      <c r="A499" s="13" t="s">
        <v>3180</v>
      </c>
      <c r="B499" s="13">
        <v>1501260</v>
      </c>
      <c r="C499" s="13" t="s">
        <v>641</v>
      </c>
      <c r="D499" s="13" t="s">
        <v>3295</v>
      </c>
      <c r="E499" s="13">
        <v>1</v>
      </c>
      <c r="F499" s="13" t="s">
        <v>640</v>
      </c>
      <c r="G499" s="13" t="s">
        <v>641</v>
      </c>
      <c r="H499" s="13" t="s">
        <v>641</v>
      </c>
    </row>
    <row r="500" spans="1:8">
      <c r="A500" s="13" t="s">
        <v>3180</v>
      </c>
      <c r="B500" s="13">
        <v>1501262</v>
      </c>
      <c r="C500" s="13" t="s">
        <v>641</v>
      </c>
      <c r="D500" s="13" t="s">
        <v>3296</v>
      </c>
      <c r="E500" s="13">
        <v>1</v>
      </c>
      <c r="F500" s="13" t="s">
        <v>642</v>
      </c>
      <c r="G500" s="13" t="s">
        <v>641</v>
      </c>
      <c r="H500" s="13" t="s">
        <v>641</v>
      </c>
    </row>
    <row r="501" spans="1:8">
      <c r="A501" s="13" t="s">
        <v>3180</v>
      </c>
      <c r="B501" s="13">
        <v>1501263</v>
      </c>
      <c r="C501" s="13" t="s">
        <v>641</v>
      </c>
      <c r="D501" s="13" t="s">
        <v>3297</v>
      </c>
      <c r="E501" s="13">
        <v>1</v>
      </c>
      <c r="F501" s="13" t="s">
        <v>649</v>
      </c>
      <c r="G501" s="13" t="s">
        <v>641</v>
      </c>
      <c r="H501" s="13" t="s">
        <v>3298</v>
      </c>
    </row>
    <row r="502" spans="1:8">
      <c r="A502" s="13" t="s">
        <v>3180</v>
      </c>
      <c r="B502" s="13">
        <v>1501264</v>
      </c>
      <c r="C502" s="13" t="s">
        <v>641</v>
      </c>
      <c r="D502" s="13" t="s">
        <v>3299</v>
      </c>
      <c r="E502" s="13">
        <v>1</v>
      </c>
      <c r="F502" s="13" t="s">
        <v>644</v>
      </c>
      <c r="G502" s="13" t="s">
        <v>641</v>
      </c>
      <c r="H502" s="13" t="s">
        <v>641</v>
      </c>
    </row>
    <row r="503" spans="1:8">
      <c r="A503" s="13" t="s">
        <v>3180</v>
      </c>
      <c r="B503" s="13">
        <v>1501265</v>
      </c>
      <c r="C503" s="13" t="s">
        <v>641</v>
      </c>
      <c r="D503" s="13" t="s">
        <v>3300</v>
      </c>
      <c r="E503" s="13">
        <v>1</v>
      </c>
      <c r="F503" s="13" t="s">
        <v>640</v>
      </c>
      <c r="G503" s="13" t="s">
        <v>641</v>
      </c>
      <c r="H503" s="13" t="s">
        <v>641</v>
      </c>
    </row>
    <row r="504" spans="1:8">
      <c r="A504" s="13" t="s">
        <v>3180</v>
      </c>
      <c r="B504" s="13">
        <v>1501266</v>
      </c>
      <c r="C504" s="13" t="s">
        <v>641</v>
      </c>
      <c r="D504" s="13" t="s">
        <v>3301</v>
      </c>
      <c r="E504" s="13">
        <v>1</v>
      </c>
      <c r="F504" s="13" t="s">
        <v>642</v>
      </c>
      <c r="G504" s="13" t="s">
        <v>641</v>
      </c>
      <c r="H504" s="13" t="s">
        <v>641</v>
      </c>
    </row>
    <row r="505" spans="1:8">
      <c r="A505" s="13" t="s">
        <v>3180</v>
      </c>
      <c r="B505" s="13">
        <v>1501269</v>
      </c>
      <c r="C505" s="13" t="s">
        <v>641</v>
      </c>
      <c r="D505" s="13" t="s">
        <v>990</v>
      </c>
      <c r="E505" s="13">
        <v>2</v>
      </c>
      <c r="F505" s="13" t="s">
        <v>654</v>
      </c>
      <c r="G505" s="13" t="s">
        <v>641</v>
      </c>
      <c r="H505" s="13" t="s">
        <v>641</v>
      </c>
    </row>
    <row r="506" spans="1:8">
      <c r="A506" s="13" t="s">
        <v>3180</v>
      </c>
      <c r="B506" s="13">
        <v>1501270</v>
      </c>
      <c r="C506" s="13" t="s">
        <v>641</v>
      </c>
      <c r="D506" s="13" t="s">
        <v>991</v>
      </c>
      <c r="E506" s="13">
        <v>2</v>
      </c>
      <c r="F506" s="13" t="s">
        <v>654</v>
      </c>
      <c r="G506" s="13" t="s">
        <v>641</v>
      </c>
      <c r="H506" s="13" t="s">
        <v>641</v>
      </c>
    </row>
    <row r="507" spans="1:9">
      <c r="A507" s="13" t="s">
        <v>3180</v>
      </c>
      <c r="B507" s="13">
        <v>1501271</v>
      </c>
      <c r="C507" s="13" t="s">
        <v>641</v>
      </c>
      <c r="D507" s="13" t="s">
        <v>992</v>
      </c>
      <c r="E507" s="13">
        <v>2</v>
      </c>
      <c r="F507" s="13" t="s">
        <v>654</v>
      </c>
      <c r="G507" s="13" t="s">
        <v>641</v>
      </c>
      <c r="H507" s="13" t="s">
        <v>641</v>
      </c>
      <c r="I507" t="s">
        <v>3196</v>
      </c>
    </row>
    <row r="508" spans="1:8">
      <c r="A508" s="13" t="s">
        <v>3180</v>
      </c>
      <c r="B508" s="13">
        <v>1501272</v>
      </c>
      <c r="C508" s="13" t="s">
        <v>641</v>
      </c>
      <c r="D508" s="13" t="s">
        <v>3302</v>
      </c>
      <c r="E508" s="13">
        <v>1</v>
      </c>
      <c r="F508" s="13" t="s">
        <v>642</v>
      </c>
      <c r="G508" s="13" t="s">
        <v>641</v>
      </c>
      <c r="H508" s="13" t="s">
        <v>641</v>
      </c>
    </row>
    <row r="509" spans="1:8">
      <c r="A509" s="13" t="s">
        <v>3180</v>
      </c>
      <c r="B509" s="13">
        <v>1501273</v>
      </c>
      <c r="C509" s="13" t="s">
        <v>641</v>
      </c>
      <c r="D509" s="13" t="s">
        <v>993</v>
      </c>
      <c r="E509" s="13">
        <v>1</v>
      </c>
      <c r="F509" s="13" t="s">
        <v>649</v>
      </c>
      <c r="G509" s="13" t="s">
        <v>641</v>
      </c>
      <c r="H509" s="13" t="s">
        <v>641</v>
      </c>
    </row>
    <row r="510" spans="1:8">
      <c r="A510" s="13" t="s">
        <v>3180</v>
      </c>
      <c r="B510" s="13">
        <v>1501274</v>
      </c>
      <c r="C510" s="13" t="s">
        <v>641</v>
      </c>
      <c r="D510" s="13" t="s">
        <v>3303</v>
      </c>
      <c r="E510" s="13">
        <v>1</v>
      </c>
      <c r="F510" s="13" t="s">
        <v>649</v>
      </c>
      <c r="G510" s="13" t="s">
        <v>641</v>
      </c>
      <c r="H510" s="13" t="s">
        <v>641</v>
      </c>
    </row>
    <row r="511" spans="1:8">
      <c r="A511" s="13" t="s">
        <v>3180</v>
      </c>
      <c r="B511" s="13">
        <v>1501275</v>
      </c>
      <c r="C511" s="13" t="s">
        <v>641</v>
      </c>
      <c r="D511" s="13" t="s">
        <v>510</v>
      </c>
      <c r="E511" s="13">
        <v>1</v>
      </c>
      <c r="F511" s="13" t="s">
        <v>642</v>
      </c>
      <c r="G511" s="13" t="s">
        <v>641</v>
      </c>
      <c r="H511" s="13" t="s">
        <v>641</v>
      </c>
    </row>
    <row r="512" spans="1:8">
      <c r="A512" s="13" t="s">
        <v>3180</v>
      </c>
      <c r="B512" s="13">
        <v>1501276</v>
      </c>
      <c r="C512" s="13" t="s">
        <v>641</v>
      </c>
      <c r="D512" s="13" t="s">
        <v>994</v>
      </c>
      <c r="E512" s="13">
        <v>1</v>
      </c>
      <c r="F512" s="13" t="s">
        <v>656</v>
      </c>
      <c r="G512" s="13" t="s">
        <v>641</v>
      </c>
      <c r="H512" s="13" t="s">
        <v>641</v>
      </c>
    </row>
    <row r="513" spans="1:8">
      <c r="A513" s="13" t="s">
        <v>3180</v>
      </c>
      <c r="B513" s="13">
        <v>1501277</v>
      </c>
      <c r="C513" s="13" t="s">
        <v>641</v>
      </c>
      <c r="D513" s="13" t="s">
        <v>995</v>
      </c>
      <c r="E513" s="13">
        <v>1</v>
      </c>
      <c r="F513" s="13" t="s">
        <v>644</v>
      </c>
      <c r="G513" s="13" t="s">
        <v>641</v>
      </c>
      <c r="H513" s="13" t="s">
        <v>641</v>
      </c>
    </row>
    <row r="514" spans="1:8">
      <c r="A514" s="13" t="s">
        <v>3180</v>
      </c>
      <c r="B514" s="13">
        <v>1501279</v>
      </c>
      <c r="C514" s="13" t="s">
        <v>641</v>
      </c>
      <c r="D514" s="13" t="s">
        <v>427</v>
      </c>
      <c r="E514" s="13">
        <v>1</v>
      </c>
      <c r="F514" s="13" t="s">
        <v>646</v>
      </c>
      <c r="G514" s="13" t="s">
        <v>641</v>
      </c>
      <c r="H514" s="13" t="s">
        <v>641</v>
      </c>
    </row>
    <row r="515" spans="1:8">
      <c r="A515" s="13" t="s">
        <v>3180</v>
      </c>
      <c r="B515" s="13">
        <v>1501280</v>
      </c>
      <c r="C515" s="13" t="s">
        <v>641</v>
      </c>
      <c r="D515" s="13" t="s">
        <v>996</v>
      </c>
      <c r="E515" s="13">
        <v>1</v>
      </c>
      <c r="F515" s="13" t="s">
        <v>640</v>
      </c>
      <c r="G515" s="13" t="s">
        <v>641</v>
      </c>
      <c r="H515" s="13" t="s">
        <v>641</v>
      </c>
    </row>
    <row r="516" spans="1:8">
      <c r="A516" s="13" t="s">
        <v>3180</v>
      </c>
      <c r="B516" s="13">
        <v>1501283</v>
      </c>
      <c r="C516" s="13" t="s">
        <v>641</v>
      </c>
      <c r="D516" s="13" t="s">
        <v>998</v>
      </c>
      <c r="E516" s="13">
        <v>1</v>
      </c>
      <c r="F516" s="13" t="s">
        <v>642</v>
      </c>
      <c r="G516" s="13" t="s">
        <v>641</v>
      </c>
      <c r="H516" s="13" t="s">
        <v>641</v>
      </c>
    </row>
    <row r="517" spans="1:9">
      <c r="A517" s="13" t="s">
        <v>3180</v>
      </c>
      <c r="B517" s="13">
        <v>1501284</v>
      </c>
      <c r="C517" s="13" t="s">
        <v>641</v>
      </c>
      <c r="D517" s="13" t="s">
        <v>3304</v>
      </c>
      <c r="E517" s="13">
        <v>1</v>
      </c>
      <c r="F517" s="13" t="s">
        <v>644</v>
      </c>
      <c r="G517" s="13" t="s">
        <v>641</v>
      </c>
      <c r="H517" s="13" t="s">
        <v>641</v>
      </c>
      <c r="I517" t="s">
        <v>3196</v>
      </c>
    </row>
    <row r="518" spans="1:8">
      <c r="A518" s="13" t="s">
        <v>3180</v>
      </c>
      <c r="B518" s="13">
        <v>1501286</v>
      </c>
      <c r="C518" s="13" t="s">
        <v>641</v>
      </c>
      <c r="D518" s="13" t="s">
        <v>999</v>
      </c>
      <c r="E518" s="13">
        <v>1</v>
      </c>
      <c r="F518" s="13" t="s">
        <v>642</v>
      </c>
      <c r="G518" s="13" t="s">
        <v>641</v>
      </c>
      <c r="H518" s="13" t="s">
        <v>641</v>
      </c>
    </row>
    <row r="519" spans="1:8">
      <c r="A519" s="13" t="s">
        <v>3180</v>
      </c>
      <c r="B519" s="13">
        <v>1501287</v>
      </c>
      <c r="C519" s="13" t="s">
        <v>641</v>
      </c>
      <c r="D519" s="13" t="s">
        <v>1000</v>
      </c>
      <c r="E519" s="13">
        <v>1</v>
      </c>
      <c r="F519" s="13" t="s">
        <v>644</v>
      </c>
      <c r="G519" s="13" t="s">
        <v>641</v>
      </c>
      <c r="H519" s="13" t="s">
        <v>641</v>
      </c>
    </row>
    <row r="520" spans="1:8">
      <c r="A520" s="13" t="s">
        <v>3180</v>
      </c>
      <c r="B520" s="13">
        <v>1501288</v>
      </c>
      <c r="C520" s="13" t="s">
        <v>641</v>
      </c>
      <c r="D520" s="13" t="s">
        <v>687</v>
      </c>
      <c r="E520" s="13">
        <v>1</v>
      </c>
      <c r="F520" s="13" t="s">
        <v>640</v>
      </c>
      <c r="G520" s="13" t="s">
        <v>641</v>
      </c>
      <c r="H520" s="13" t="s">
        <v>641</v>
      </c>
    </row>
    <row r="521" spans="1:8">
      <c r="A521" s="13" t="s">
        <v>3180</v>
      </c>
      <c r="B521" s="13">
        <v>1501289</v>
      </c>
      <c r="C521" s="13" t="s">
        <v>641</v>
      </c>
      <c r="D521" s="13" t="s">
        <v>1001</v>
      </c>
      <c r="E521" s="13">
        <v>1</v>
      </c>
      <c r="F521" s="13" t="s">
        <v>642</v>
      </c>
      <c r="G521" s="13" t="s">
        <v>641</v>
      </c>
      <c r="H521" s="13" t="s">
        <v>641</v>
      </c>
    </row>
    <row r="522" spans="1:8">
      <c r="A522" s="13" t="s">
        <v>3180</v>
      </c>
      <c r="B522" s="13">
        <v>1501409</v>
      </c>
      <c r="C522" s="13" t="s">
        <v>641</v>
      </c>
      <c r="D522" s="13" t="s">
        <v>3305</v>
      </c>
      <c r="E522" s="13">
        <v>1</v>
      </c>
      <c r="F522" s="13" t="s">
        <v>656</v>
      </c>
      <c r="G522" s="13" t="s">
        <v>641</v>
      </c>
      <c r="H522" s="13" t="s">
        <v>641</v>
      </c>
    </row>
    <row r="523" spans="1:8">
      <c r="A523" s="13" t="s">
        <v>3180</v>
      </c>
      <c r="B523" s="13">
        <v>1501410</v>
      </c>
      <c r="C523" s="13" t="s">
        <v>641</v>
      </c>
      <c r="D523" s="13" t="s">
        <v>1002</v>
      </c>
      <c r="E523" s="13">
        <v>1</v>
      </c>
      <c r="F523" s="13" t="s">
        <v>656</v>
      </c>
      <c r="G523" s="13" t="s">
        <v>641</v>
      </c>
      <c r="H523" s="13" t="s">
        <v>641</v>
      </c>
    </row>
    <row r="524" spans="1:8">
      <c r="A524" s="13" t="s">
        <v>3180</v>
      </c>
      <c r="B524" s="13">
        <v>1501411</v>
      </c>
      <c r="C524" s="13" t="s">
        <v>641</v>
      </c>
      <c r="D524" s="13" t="s">
        <v>688</v>
      </c>
      <c r="E524" s="13">
        <v>2</v>
      </c>
      <c r="F524" s="13" t="s">
        <v>654</v>
      </c>
      <c r="G524" s="13" t="s">
        <v>641</v>
      </c>
      <c r="H524" s="13" t="s">
        <v>641</v>
      </c>
    </row>
    <row r="525" spans="1:8">
      <c r="A525" s="13" t="s">
        <v>3180</v>
      </c>
      <c r="B525" s="13">
        <v>1501412</v>
      </c>
      <c r="C525" s="13" t="s">
        <v>641</v>
      </c>
      <c r="D525" s="13" t="s">
        <v>3306</v>
      </c>
      <c r="E525" s="13">
        <v>1</v>
      </c>
      <c r="F525" s="13" t="s">
        <v>642</v>
      </c>
      <c r="G525" s="13" t="s">
        <v>641</v>
      </c>
      <c r="H525" s="13" t="s">
        <v>641</v>
      </c>
    </row>
    <row r="526" spans="1:8">
      <c r="A526" s="13" t="s">
        <v>3180</v>
      </c>
      <c r="B526" s="13">
        <v>1501413</v>
      </c>
      <c r="C526" s="13" t="s">
        <v>641</v>
      </c>
      <c r="D526" s="13" t="s">
        <v>1003</v>
      </c>
      <c r="E526" s="13">
        <v>1</v>
      </c>
      <c r="F526" s="13" t="s">
        <v>642</v>
      </c>
      <c r="G526" s="13" t="s">
        <v>641</v>
      </c>
      <c r="H526" s="13" t="s">
        <v>641</v>
      </c>
    </row>
    <row r="527" spans="1:8">
      <c r="A527" s="13" t="s">
        <v>3180</v>
      </c>
      <c r="B527" s="13">
        <v>1501477</v>
      </c>
      <c r="C527" s="13" t="s">
        <v>641</v>
      </c>
      <c r="D527" s="13" t="s">
        <v>1004</v>
      </c>
      <c r="E527" s="13">
        <v>1</v>
      </c>
      <c r="F527" s="13" t="s">
        <v>646</v>
      </c>
      <c r="G527" s="13" t="s">
        <v>641</v>
      </c>
      <c r="H527" s="13" t="s">
        <v>641</v>
      </c>
    </row>
    <row r="528" spans="1:8">
      <c r="A528" s="13" t="s">
        <v>3180</v>
      </c>
      <c r="B528" s="13">
        <v>1501540</v>
      </c>
      <c r="C528" s="13" t="s">
        <v>641</v>
      </c>
      <c r="D528" s="13" t="s">
        <v>1005</v>
      </c>
      <c r="E528" s="13">
        <v>2</v>
      </c>
      <c r="F528" s="13" t="s">
        <v>654</v>
      </c>
      <c r="G528" s="13" t="s">
        <v>641</v>
      </c>
      <c r="H528" s="13" t="s">
        <v>3298</v>
      </c>
    </row>
    <row r="529" spans="1:8">
      <c r="A529" s="13" t="s">
        <v>3180</v>
      </c>
      <c r="B529" s="13">
        <v>1501586</v>
      </c>
      <c r="C529" s="13" t="s">
        <v>641</v>
      </c>
      <c r="D529" s="13" t="s">
        <v>1006</v>
      </c>
      <c r="E529" s="13">
        <v>1</v>
      </c>
      <c r="F529" s="13" t="s">
        <v>642</v>
      </c>
      <c r="G529" s="13" t="s">
        <v>641</v>
      </c>
      <c r="H529" s="13" t="s">
        <v>641</v>
      </c>
    </row>
    <row r="530" spans="1:8">
      <c r="A530" s="13" t="s">
        <v>3180</v>
      </c>
      <c r="B530" s="13">
        <v>1501587</v>
      </c>
      <c r="C530" s="13" t="s">
        <v>641</v>
      </c>
      <c r="D530" s="13" t="s">
        <v>1007</v>
      </c>
      <c r="E530" s="13">
        <v>1</v>
      </c>
      <c r="F530" s="13" t="s">
        <v>642</v>
      </c>
      <c r="G530" s="13" t="s">
        <v>641</v>
      </c>
      <c r="H530" s="13" t="s">
        <v>641</v>
      </c>
    </row>
    <row r="531" spans="1:8">
      <c r="A531" s="13" t="s">
        <v>3180</v>
      </c>
      <c r="B531" s="13">
        <v>1501588</v>
      </c>
      <c r="C531" s="13" t="s">
        <v>641</v>
      </c>
      <c r="D531" s="13" t="s">
        <v>1008</v>
      </c>
      <c r="E531" s="13">
        <v>1</v>
      </c>
      <c r="F531" s="13" t="s">
        <v>642</v>
      </c>
      <c r="G531" s="13" t="s">
        <v>641</v>
      </c>
      <c r="H531" s="13" t="s">
        <v>641</v>
      </c>
    </row>
    <row r="532" spans="1:8">
      <c r="A532" s="13" t="s">
        <v>3180</v>
      </c>
      <c r="B532" s="13">
        <v>1501589</v>
      </c>
      <c r="C532" s="13" t="s">
        <v>641</v>
      </c>
      <c r="D532" s="13" t="s">
        <v>391</v>
      </c>
      <c r="E532" s="13">
        <v>1</v>
      </c>
      <c r="F532" s="13" t="s">
        <v>642</v>
      </c>
      <c r="G532" s="13" t="s">
        <v>641</v>
      </c>
      <c r="H532" s="13" t="s">
        <v>641</v>
      </c>
    </row>
    <row r="533" spans="1:8">
      <c r="A533" s="13" t="s">
        <v>3180</v>
      </c>
      <c r="B533" s="13">
        <v>1501590</v>
      </c>
      <c r="C533" s="13" t="s">
        <v>641</v>
      </c>
      <c r="D533" s="13" t="s">
        <v>3307</v>
      </c>
      <c r="E533" s="13">
        <v>1</v>
      </c>
      <c r="F533" s="13" t="s">
        <v>649</v>
      </c>
      <c r="G533" s="13" t="s">
        <v>641</v>
      </c>
      <c r="H533" s="13" t="s">
        <v>641</v>
      </c>
    </row>
    <row r="534" spans="1:8">
      <c r="A534" s="13" t="s">
        <v>3180</v>
      </c>
      <c r="B534" s="13">
        <v>1501591</v>
      </c>
      <c r="C534" s="13" t="s">
        <v>641</v>
      </c>
      <c r="D534" s="13" t="s">
        <v>3308</v>
      </c>
      <c r="E534" s="13">
        <v>1</v>
      </c>
      <c r="F534" s="13" t="s">
        <v>649</v>
      </c>
      <c r="G534" s="13" t="s">
        <v>641</v>
      </c>
      <c r="H534" s="13" t="s">
        <v>641</v>
      </c>
    </row>
    <row r="535" spans="1:8">
      <c r="A535" s="13" t="s">
        <v>3180</v>
      </c>
      <c r="B535" s="13">
        <v>1501593</v>
      </c>
      <c r="C535" s="13" t="s">
        <v>641</v>
      </c>
      <c r="D535" s="13" t="s">
        <v>1009</v>
      </c>
      <c r="E535" s="13">
        <v>2</v>
      </c>
      <c r="F535" s="13" t="s">
        <v>654</v>
      </c>
      <c r="G535" s="13" t="s">
        <v>654</v>
      </c>
      <c r="H535" s="13" t="s">
        <v>641</v>
      </c>
    </row>
    <row r="536" spans="1:8">
      <c r="A536" s="13" t="s">
        <v>3180</v>
      </c>
      <c r="B536" s="13">
        <v>1501594</v>
      </c>
      <c r="C536" s="13" t="s">
        <v>641</v>
      </c>
      <c r="D536" s="13" t="s">
        <v>445</v>
      </c>
      <c r="E536" s="13">
        <v>2</v>
      </c>
      <c r="F536" s="13" t="s">
        <v>654</v>
      </c>
      <c r="G536" s="13" t="s">
        <v>654</v>
      </c>
      <c r="H536" s="13" t="s">
        <v>641</v>
      </c>
    </row>
    <row r="537" spans="1:8">
      <c r="A537" s="13" t="s">
        <v>3180</v>
      </c>
      <c r="B537" s="13">
        <v>1501595</v>
      </c>
      <c r="C537" s="13" t="s">
        <v>641</v>
      </c>
      <c r="D537" s="13" t="s">
        <v>1010</v>
      </c>
      <c r="E537" s="13">
        <v>1</v>
      </c>
      <c r="F537" s="13" t="s">
        <v>642</v>
      </c>
      <c r="G537" s="13" t="s">
        <v>641</v>
      </c>
      <c r="H537" s="13" t="s">
        <v>641</v>
      </c>
    </row>
    <row r="538" spans="1:8">
      <c r="A538" s="13" t="s">
        <v>3180</v>
      </c>
      <c r="B538" s="13">
        <v>1501596</v>
      </c>
      <c r="C538" s="13" t="s">
        <v>641</v>
      </c>
      <c r="D538" s="13" t="s">
        <v>1011</v>
      </c>
      <c r="E538" s="13">
        <v>2</v>
      </c>
      <c r="F538" s="13" t="s">
        <v>654</v>
      </c>
      <c r="G538" s="13" t="s">
        <v>641</v>
      </c>
      <c r="H538" s="13" t="s">
        <v>641</v>
      </c>
    </row>
    <row r="539" spans="1:8">
      <c r="A539" s="13" t="s">
        <v>3180</v>
      </c>
      <c r="B539" s="13">
        <v>1501607</v>
      </c>
      <c r="C539" s="13" t="s">
        <v>641</v>
      </c>
      <c r="D539" s="13" t="s">
        <v>3309</v>
      </c>
      <c r="E539" s="13">
        <v>1</v>
      </c>
      <c r="F539" s="13" t="s">
        <v>642</v>
      </c>
      <c r="G539" s="13" t="s">
        <v>641</v>
      </c>
      <c r="H539" s="13" t="s">
        <v>641</v>
      </c>
    </row>
    <row r="540" spans="1:8">
      <c r="A540" s="13" t="s">
        <v>3180</v>
      </c>
      <c r="B540" s="13">
        <v>1501608</v>
      </c>
      <c r="C540" s="13" t="s">
        <v>641</v>
      </c>
      <c r="D540" s="13" t="s">
        <v>590</v>
      </c>
      <c r="E540" s="13">
        <v>1</v>
      </c>
      <c r="F540" s="13" t="s">
        <v>642</v>
      </c>
      <c r="G540" s="13" t="s">
        <v>641</v>
      </c>
      <c r="H540" s="13" t="s">
        <v>641</v>
      </c>
    </row>
    <row r="541" spans="1:8">
      <c r="A541" s="13" t="s">
        <v>3180</v>
      </c>
      <c r="B541" s="13">
        <v>1501609</v>
      </c>
      <c r="C541" s="13" t="s">
        <v>641</v>
      </c>
      <c r="D541" s="13" t="s">
        <v>3310</v>
      </c>
      <c r="E541" s="13">
        <v>1</v>
      </c>
      <c r="F541" s="13" t="s">
        <v>640</v>
      </c>
      <c r="G541" s="13" t="s">
        <v>3186</v>
      </c>
      <c r="H541" s="13" t="s">
        <v>641</v>
      </c>
    </row>
    <row r="542" spans="1:8">
      <c r="A542" s="13" t="s">
        <v>3180</v>
      </c>
      <c r="B542" s="13">
        <v>1501610</v>
      </c>
      <c r="C542" s="13" t="s">
        <v>641</v>
      </c>
      <c r="D542" s="13" t="s">
        <v>461</v>
      </c>
      <c r="E542" s="13">
        <v>1</v>
      </c>
      <c r="F542" s="13" t="s">
        <v>642</v>
      </c>
      <c r="G542" s="13" t="s">
        <v>641</v>
      </c>
      <c r="H542" s="13" t="s">
        <v>641</v>
      </c>
    </row>
    <row r="543" spans="1:8">
      <c r="A543" s="13" t="s">
        <v>3180</v>
      </c>
      <c r="B543" s="13">
        <v>1501611</v>
      </c>
      <c r="C543" s="13" t="s">
        <v>641</v>
      </c>
      <c r="D543" s="13" t="s">
        <v>1012</v>
      </c>
      <c r="E543" s="13">
        <v>1</v>
      </c>
      <c r="F543" s="13" t="s">
        <v>642</v>
      </c>
      <c r="G543" s="13" t="s">
        <v>641</v>
      </c>
      <c r="H543" s="13" t="s">
        <v>641</v>
      </c>
    </row>
    <row r="544" spans="1:8">
      <c r="A544" s="13" t="s">
        <v>3180</v>
      </c>
      <c r="B544" s="13">
        <v>1501612</v>
      </c>
      <c r="C544" s="13" t="s">
        <v>641</v>
      </c>
      <c r="D544" s="13" t="s">
        <v>1013</v>
      </c>
      <c r="E544" s="13">
        <v>1</v>
      </c>
      <c r="F544" s="13" t="s">
        <v>656</v>
      </c>
      <c r="G544" s="13" t="s">
        <v>641</v>
      </c>
      <c r="H544" s="13" t="s">
        <v>641</v>
      </c>
    </row>
    <row r="545" spans="1:8">
      <c r="A545" s="13" t="s">
        <v>3180</v>
      </c>
      <c r="B545" s="13">
        <v>1501613</v>
      </c>
      <c r="C545" s="13" t="s">
        <v>641</v>
      </c>
      <c r="D545" s="13" t="s">
        <v>3311</v>
      </c>
      <c r="E545" s="13">
        <v>1</v>
      </c>
      <c r="F545" s="13" t="s">
        <v>649</v>
      </c>
      <c r="G545" s="13" t="s">
        <v>641</v>
      </c>
      <c r="H545" s="13" t="s">
        <v>641</v>
      </c>
    </row>
    <row r="546" spans="1:8">
      <c r="A546" s="13" t="s">
        <v>3180</v>
      </c>
      <c r="B546" s="13">
        <v>1501614</v>
      </c>
      <c r="C546" s="13" t="s">
        <v>641</v>
      </c>
      <c r="D546" s="13" t="s">
        <v>3312</v>
      </c>
      <c r="E546" s="13">
        <v>1</v>
      </c>
      <c r="F546" s="13" t="s">
        <v>649</v>
      </c>
      <c r="G546" s="13" t="s">
        <v>641</v>
      </c>
      <c r="H546" s="13" t="s">
        <v>641</v>
      </c>
    </row>
    <row r="547" spans="1:8">
      <c r="A547" s="13" t="s">
        <v>3180</v>
      </c>
      <c r="B547" s="13">
        <v>1501617</v>
      </c>
      <c r="C547" s="13" t="s">
        <v>641</v>
      </c>
      <c r="D547" s="13" t="s">
        <v>387</v>
      </c>
      <c r="E547" s="13">
        <v>2</v>
      </c>
      <c r="F547" s="13" t="s">
        <v>654</v>
      </c>
      <c r="G547" s="13" t="s">
        <v>654</v>
      </c>
      <c r="H547" s="13" t="s">
        <v>641</v>
      </c>
    </row>
    <row r="548" spans="1:8">
      <c r="A548" s="13" t="s">
        <v>3180</v>
      </c>
      <c r="B548" s="13">
        <v>1501618</v>
      </c>
      <c r="C548" s="13" t="s">
        <v>641</v>
      </c>
      <c r="D548" s="13" t="s">
        <v>265</v>
      </c>
      <c r="E548" s="13">
        <v>1</v>
      </c>
      <c r="F548" s="13" t="s">
        <v>644</v>
      </c>
      <c r="G548" s="13" t="s">
        <v>641</v>
      </c>
      <c r="H548" s="13" t="s">
        <v>641</v>
      </c>
    </row>
    <row r="549" spans="1:8">
      <c r="A549" s="13" t="s">
        <v>3180</v>
      </c>
      <c r="B549" s="13">
        <v>1501619</v>
      </c>
      <c r="C549" s="13" t="s">
        <v>641</v>
      </c>
      <c r="D549" s="13" t="s">
        <v>1014</v>
      </c>
      <c r="E549" s="13">
        <v>2</v>
      </c>
      <c r="F549" s="13" t="s">
        <v>654</v>
      </c>
      <c r="G549" s="13" t="s">
        <v>654</v>
      </c>
      <c r="H549" s="13" t="s">
        <v>641</v>
      </c>
    </row>
    <row r="550" spans="1:8">
      <c r="A550" s="13" t="s">
        <v>3180</v>
      </c>
      <c r="B550" s="13">
        <v>1501620</v>
      </c>
      <c r="C550" s="13" t="s">
        <v>641</v>
      </c>
      <c r="D550" s="13" t="s">
        <v>3313</v>
      </c>
      <c r="E550" s="13">
        <v>2</v>
      </c>
      <c r="F550" s="13" t="s">
        <v>654</v>
      </c>
      <c r="G550" s="13" t="s">
        <v>654</v>
      </c>
      <c r="H550" s="13" t="s">
        <v>641</v>
      </c>
    </row>
    <row r="551" spans="1:8">
      <c r="A551" s="13" t="s">
        <v>3180</v>
      </c>
      <c r="B551" s="13">
        <v>1501623</v>
      </c>
      <c r="C551" s="13" t="s">
        <v>641</v>
      </c>
      <c r="D551" s="13" t="s">
        <v>1015</v>
      </c>
      <c r="E551" s="13">
        <v>2</v>
      </c>
      <c r="F551" s="13" t="s">
        <v>654</v>
      </c>
      <c r="G551" s="13" t="s">
        <v>654</v>
      </c>
      <c r="H551" s="13" t="s">
        <v>641</v>
      </c>
    </row>
    <row r="552" spans="1:8">
      <c r="A552" s="13" t="s">
        <v>3180</v>
      </c>
      <c r="B552" s="13">
        <v>1501626</v>
      </c>
      <c r="C552" s="13" t="s">
        <v>641</v>
      </c>
      <c r="D552" s="13" t="s">
        <v>689</v>
      </c>
      <c r="E552" s="13">
        <v>2</v>
      </c>
      <c r="F552" s="13" t="s">
        <v>654</v>
      </c>
      <c r="G552" s="13" t="s">
        <v>654</v>
      </c>
      <c r="H552" s="13" t="s">
        <v>641</v>
      </c>
    </row>
    <row r="553" spans="1:8">
      <c r="A553" s="13" t="s">
        <v>3180</v>
      </c>
      <c r="B553" s="13">
        <v>1501627</v>
      </c>
      <c r="C553" s="13" t="s">
        <v>641</v>
      </c>
      <c r="D553" s="13" t="s">
        <v>1016</v>
      </c>
      <c r="E553" s="13">
        <v>2</v>
      </c>
      <c r="F553" s="13" t="s">
        <v>654</v>
      </c>
      <c r="G553" s="13" t="s">
        <v>654</v>
      </c>
      <c r="H553" s="13" t="s">
        <v>641</v>
      </c>
    </row>
    <row r="554" spans="1:8">
      <c r="A554" s="13" t="s">
        <v>3180</v>
      </c>
      <c r="B554" s="13">
        <v>1501628</v>
      </c>
      <c r="C554" s="13" t="s">
        <v>641</v>
      </c>
      <c r="D554" s="13" t="s">
        <v>584</v>
      </c>
      <c r="E554" s="13">
        <v>1</v>
      </c>
      <c r="F554" s="13" t="s">
        <v>642</v>
      </c>
      <c r="G554" s="13" t="s">
        <v>641</v>
      </c>
      <c r="H554" s="13" t="s">
        <v>641</v>
      </c>
    </row>
    <row r="555" spans="1:8">
      <c r="A555" s="13" t="s">
        <v>3180</v>
      </c>
      <c r="B555" s="13">
        <v>1501629</v>
      </c>
      <c r="C555" s="13" t="s">
        <v>641</v>
      </c>
      <c r="D555" s="13" t="s">
        <v>3314</v>
      </c>
      <c r="E555" s="13">
        <v>1</v>
      </c>
      <c r="F555" s="13" t="s">
        <v>642</v>
      </c>
      <c r="G555" s="13" t="s">
        <v>641</v>
      </c>
      <c r="H555" s="13" t="s">
        <v>641</v>
      </c>
    </row>
    <row r="556" spans="1:8">
      <c r="A556" s="13" t="s">
        <v>3180</v>
      </c>
      <c r="B556" s="13">
        <v>1501630</v>
      </c>
      <c r="C556" s="13" t="s">
        <v>641</v>
      </c>
      <c r="D556" s="13" t="s">
        <v>3315</v>
      </c>
      <c r="E556" s="13">
        <v>1</v>
      </c>
      <c r="F556" s="13" t="s">
        <v>649</v>
      </c>
      <c r="G556" s="13" t="s">
        <v>641</v>
      </c>
      <c r="H556" s="13" t="s">
        <v>641</v>
      </c>
    </row>
    <row r="557" spans="1:8">
      <c r="A557" s="13" t="s">
        <v>3180</v>
      </c>
      <c r="B557" s="13">
        <v>1501631</v>
      </c>
      <c r="C557" s="13" t="s">
        <v>641</v>
      </c>
      <c r="D557" s="13" t="s">
        <v>1017</v>
      </c>
      <c r="E557" s="13">
        <v>1</v>
      </c>
      <c r="F557" s="13" t="s">
        <v>656</v>
      </c>
      <c r="G557" s="13" t="s">
        <v>641</v>
      </c>
      <c r="H557" s="13" t="s">
        <v>641</v>
      </c>
    </row>
    <row r="558" spans="1:8">
      <c r="A558" s="13" t="s">
        <v>3180</v>
      </c>
      <c r="B558" s="13">
        <v>1501632</v>
      </c>
      <c r="C558" s="13" t="s">
        <v>641</v>
      </c>
      <c r="D558" s="13" t="s">
        <v>1018</v>
      </c>
      <c r="E558" s="13">
        <v>1</v>
      </c>
      <c r="F558" s="13" t="s">
        <v>642</v>
      </c>
      <c r="G558" s="13" t="s">
        <v>641</v>
      </c>
      <c r="H558" s="13" t="s">
        <v>641</v>
      </c>
    </row>
    <row r="559" spans="1:8">
      <c r="A559" s="13" t="s">
        <v>3180</v>
      </c>
      <c r="B559" s="13">
        <v>1501633</v>
      </c>
      <c r="C559" s="13" t="s">
        <v>641</v>
      </c>
      <c r="D559" s="13" t="s">
        <v>433</v>
      </c>
      <c r="E559" s="13">
        <v>1</v>
      </c>
      <c r="F559" s="13" t="s">
        <v>656</v>
      </c>
      <c r="G559" s="13" t="s">
        <v>641</v>
      </c>
      <c r="H559" s="13" t="s">
        <v>641</v>
      </c>
    </row>
    <row r="560" spans="1:8">
      <c r="A560" s="13" t="s">
        <v>3180</v>
      </c>
      <c r="B560" s="13">
        <v>1501634</v>
      </c>
      <c r="C560" s="13" t="s">
        <v>641</v>
      </c>
      <c r="D560" s="13" t="s">
        <v>139</v>
      </c>
      <c r="E560" s="13">
        <v>1</v>
      </c>
      <c r="F560" s="13" t="s">
        <v>649</v>
      </c>
      <c r="G560" s="13" t="s">
        <v>641</v>
      </c>
      <c r="H560" s="13" t="s">
        <v>641</v>
      </c>
    </row>
    <row r="561" spans="1:8">
      <c r="A561" s="13" t="s">
        <v>3180</v>
      </c>
      <c r="B561" s="13">
        <v>1501635</v>
      </c>
      <c r="C561" s="13" t="s">
        <v>641</v>
      </c>
      <c r="D561" s="13" t="s">
        <v>608</v>
      </c>
      <c r="E561" s="13">
        <v>1</v>
      </c>
      <c r="F561" s="13" t="s">
        <v>642</v>
      </c>
      <c r="G561" s="13" t="s">
        <v>641</v>
      </c>
      <c r="H561" s="13" t="s">
        <v>641</v>
      </c>
    </row>
    <row r="562" spans="1:8">
      <c r="A562" s="13" t="s">
        <v>3180</v>
      </c>
      <c r="B562" s="13">
        <v>1501636</v>
      </c>
      <c r="C562" s="13" t="s">
        <v>641</v>
      </c>
      <c r="D562" s="13" t="s">
        <v>3316</v>
      </c>
      <c r="E562" s="13">
        <v>1</v>
      </c>
      <c r="F562" s="13" t="s">
        <v>656</v>
      </c>
      <c r="G562" s="13" t="s">
        <v>2445</v>
      </c>
      <c r="H562" s="13" t="s">
        <v>3187</v>
      </c>
    </row>
    <row r="563" spans="1:8">
      <c r="A563" s="13" t="s">
        <v>3180</v>
      </c>
      <c r="B563" s="13">
        <v>1501637</v>
      </c>
      <c r="C563" s="13" t="s">
        <v>641</v>
      </c>
      <c r="D563" s="13" t="s">
        <v>1019</v>
      </c>
      <c r="E563" s="13">
        <v>1</v>
      </c>
      <c r="F563" s="13" t="s">
        <v>642</v>
      </c>
      <c r="G563" s="13" t="s">
        <v>641</v>
      </c>
      <c r="H563" s="13" t="s">
        <v>641</v>
      </c>
    </row>
    <row r="564" spans="1:8">
      <c r="A564" s="13" t="s">
        <v>3180</v>
      </c>
      <c r="B564" s="13">
        <v>1501638</v>
      </c>
      <c r="C564" s="13" t="s">
        <v>641</v>
      </c>
      <c r="D564" s="13" t="s">
        <v>1020</v>
      </c>
      <c r="E564" s="13">
        <v>1</v>
      </c>
      <c r="F564" s="13" t="s">
        <v>642</v>
      </c>
      <c r="G564" s="13" t="s">
        <v>641</v>
      </c>
      <c r="H564" s="13" t="s">
        <v>641</v>
      </c>
    </row>
    <row r="565" spans="1:8">
      <c r="A565" s="13" t="s">
        <v>3180</v>
      </c>
      <c r="B565" s="13">
        <v>1501639</v>
      </c>
      <c r="C565" s="13" t="s">
        <v>641</v>
      </c>
      <c r="D565" s="13" t="s">
        <v>3317</v>
      </c>
      <c r="E565" s="13">
        <v>1</v>
      </c>
      <c r="F565" s="13" t="s">
        <v>642</v>
      </c>
      <c r="G565" s="13" t="s">
        <v>641</v>
      </c>
      <c r="H565" s="13" t="s">
        <v>641</v>
      </c>
    </row>
    <row r="566" spans="1:8">
      <c r="A566" s="13" t="s">
        <v>3180</v>
      </c>
      <c r="B566" s="13">
        <v>1501640</v>
      </c>
      <c r="C566" s="13" t="s">
        <v>641</v>
      </c>
      <c r="D566" s="13" t="s">
        <v>336</v>
      </c>
      <c r="E566" s="13">
        <v>1</v>
      </c>
      <c r="F566" s="13" t="s">
        <v>656</v>
      </c>
      <c r="G566" s="13" t="s">
        <v>641</v>
      </c>
      <c r="H566" s="13" t="s">
        <v>641</v>
      </c>
    </row>
    <row r="567" spans="1:8">
      <c r="A567" s="13" t="s">
        <v>3180</v>
      </c>
      <c r="B567" s="13">
        <v>1501641</v>
      </c>
      <c r="C567" s="13" t="s">
        <v>641</v>
      </c>
      <c r="D567" s="13" t="s">
        <v>1021</v>
      </c>
      <c r="E567" s="13">
        <v>1</v>
      </c>
      <c r="F567" s="13" t="s">
        <v>642</v>
      </c>
      <c r="G567" s="13" t="s">
        <v>641</v>
      </c>
      <c r="H567" s="13" t="s">
        <v>641</v>
      </c>
    </row>
    <row r="568" spans="1:8">
      <c r="A568" s="13" t="s">
        <v>3180</v>
      </c>
      <c r="B568" s="13">
        <v>1501646</v>
      </c>
      <c r="C568" s="13" t="s">
        <v>641</v>
      </c>
      <c r="D568" s="13" t="s">
        <v>267</v>
      </c>
      <c r="E568" s="13">
        <v>1</v>
      </c>
      <c r="F568" s="13" t="s">
        <v>644</v>
      </c>
      <c r="G568" s="13" t="s">
        <v>641</v>
      </c>
      <c r="H568" s="13" t="s">
        <v>641</v>
      </c>
    </row>
    <row r="569" spans="1:8">
      <c r="A569" s="13" t="s">
        <v>3180</v>
      </c>
      <c r="B569" s="13">
        <v>1501647</v>
      </c>
      <c r="C569" s="13" t="s">
        <v>641</v>
      </c>
      <c r="D569" s="13" t="s">
        <v>1022</v>
      </c>
      <c r="E569" s="13">
        <v>1</v>
      </c>
      <c r="F569" s="13" t="s">
        <v>642</v>
      </c>
      <c r="G569" s="13" t="s">
        <v>641</v>
      </c>
      <c r="H569" s="13" t="s">
        <v>641</v>
      </c>
    </row>
    <row r="570" spans="1:8">
      <c r="A570" s="13" t="s">
        <v>3180</v>
      </c>
      <c r="B570" s="13">
        <v>1501650</v>
      </c>
      <c r="C570" s="13" t="s">
        <v>641</v>
      </c>
      <c r="D570" s="13" t="s">
        <v>3318</v>
      </c>
      <c r="E570" s="13">
        <v>1</v>
      </c>
      <c r="F570" s="13" t="s">
        <v>646</v>
      </c>
      <c r="G570" s="13" t="s">
        <v>641</v>
      </c>
      <c r="H570" s="13" t="s">
        <v>700</v>
      </c>
    </row>
    <row r="571" spans="1:8">
      <c r="A571" s="13" t="s">
        <v>3180</v>
      </c>
      <c r="B571" s="13">
        <v>1501651</v>
      </c>
      <c r="C571" s="13" t="s">
        <v>641</v>
      </c>
      <c r="D571" s="13" t="s">
        <v>690</v>
      </c>
      <c r="E571" s="13">
        <v>1</v>
      </c>
      <c r="F571" s="13" t="s">
        <v>649</v>
      </c>
      <c r="G571" s="13" t="s">
        <v>641</v>
      </c>
      <c r="H571" s="13" t="s">
        <v>641</v>
      </c>
    </row>
    <row r="572" spans="1:8">
      <c r="A572" s="13" t="s">
        <v>3180</v>
      </c>
      <c r="B572" s="13">
        <v>1501652</v>
      </c>
      <c r="C572" s="13" t="s">
        <v>641</v>
      </c>
      <c r="D572" s="13" t="s">
        <v>496</v>
      </c>
      <c r="E572" s="13">
        <v>1</v>
      </c>
      <c r="F572" s="13" t="s">
        <v>640</v>
      </c>
      <c r="G572" s="13" t="s">
        <v>641</v>
      </c>
      <c r="H572" s="13" t="s">
        <v>641</v>
      </c>
    </row>
    <row r="573" spans="1:8">
      <c r="A573" s="13" t="s">
        <v>3180</v>
      </c>
      <c r="B573" s="13">
        <v>1501653</v>
      </c>
      <c r="C573" s="13" t="s">
        <v>641</v>
      </c>
      <c r="D573" s="13" t="s">
        <v>1023</v>
      </c>
      <c r="E573" s="13">
        <v>2</v>
      </c>
      <c r="F573" s="13" t="s">
        <v>654</v>
      </c>
      <c r="G573" s="13" t="s">
        <v>641</v>
      </c>
      <c r="H573" s="13" t="s">
        <v>641</v>
      </c>
    </row>
    <row r="574" spans="1:8">
      <c r="A574" s="13" t="s">
        <v>3180</v>
      </c>
      <c r="B574" s="13">
        <v>1501654</v>
      </c>
      <c r="C574" s="13" t="s">
        <v>641</v>
      </c>
      <c r="D574" s="13" t="s">
        <v>1024</v>
      </c>
      <c r="E574" s="13">
        <v>1</v>
      </c>
      <c r="F574" s="13" t="s">
        <v>640</v>
      </c>
      <c r="G574" s="13" t="s">
        <v>641</v>
      </c>
      <c r="H574" s="13" t="s">
        <v>641</v>
      </c>
    </row>
    <row r="575" spans="1:8">
      <c r="A575" s="13" t="s">
        <v>3180</v>
      </c>
      <c r="B575" s="13">
        <v>1501655</v>
      </c>
      <c r="C575" s="13" t="s">
        <v>641</v>
      </c>
      <c r="D575" s="13" t="s">
        <v>1025</v>
      </c>
      <c r="E575" s="13">
        <v>1</v>
      </c>
      <c r="F575" s="13" t="s">
        <v>649</v>
      </c>
      <c r="G575" s="13" t="s">
        <v>641</v>
      </c>
      <c r="H575" s="13" t="s">
        <v>641</v>
      </c>
    </row>
    <row r="576" spans="1:8">
      <c r="A576" s="13" t="s">
        <v>3180</v>
      </c>
      <c r="B576" s="13">
        <v>1501656</v>
      </c>
      <c r="C576" s="13" t="s">
        <v>641</v>
      </c>
      <c r="D576" s="13" t="s">
        <v>3319</v>
      </c>
      <c r="E576" s="13">
        <v>1</v>
      </c>
      <c r="F576" s="13" t="s">
        <v>638</v>
      </c>
      <c r="G576" s="13" t="s">
        <v>641</v>
      </c>
      <c r="H576" s="13" t="s">
        <v>641</v>
      </c>
    </row>
    <row r="577" spans="1:8">
      <c r="A577" s="13" t="s">
        <v>3180</v>
      </c>
      <c r="B577" s="13">
        <v>1501657</v>
      </c>
      <c r="C577" s="13" t="s">
        <v>641</v>
      </c>
      <c r="D577" s="13" t="s">
        <v>3320</v>
      </c>
      <c r="E577" s="13">
        <v>1</v>
      </c>
      <c r="F577" s="13" t="s">
        <v>642</v>
      </c>
      <c r="G577" s="13" t="s">
        <v>641</v>
      </c>
      <c r="H577" s="13" t="s">
        <v>641</v>
      </c>
    </row>
    <row r="578" spans="1:8">
      <c r="A578" s="13" t="s">
        <v>3180</v>
      </c>
      <c r="B578" s="13">
        <v>1501665</v>
      </c>
      <c r="C578" s="13" t="s">
        <v>641</v>
      </c>
      <c r="D578" s="13" t="s">
        <v>3321</v>
      </c>
      <c r="E578" s="13">
        <v>1</v>
      </c>
      <c r="F578" s="13" t="s">
        <v>656</v>
      </c>
      <c r="G578" s="13" t="s">
        <v>641</v>
      </c>
      <c r="H578" s="13" t="s">
        <v>641</v>
      </c>
    </row>
    <row r="579" spans="1:8">
      <c r="A579" s="13" t="s">
        <v>3180</v>
      </c>
      <c r="B579" s="13">
        <v>1501666</v>
      </c>
      <c r="C579" s="13" t="s">
        <v>641</v>
      </c>
      <c r="D579" s="13" t="s">
        <v>1026</v>
      </c>
      <c r="E579" s="13">
        <v>2</v>
      </c>
      <c r="F579" s="13" t="s">
        <v>654</v>
      </c>
      <c r="G579" s="13" t="s">
        <v>641</v>
      </c>
      <c r="H579" s="13" t="s">
        <v>641</v>
      </c>
    </row>
    <row r="580" spans="1:8">
      <c r="A580" s="13" t="s">
        <v>3180</v>
      </c>
      <c r="B580" s="13">
        <v>1501667</v>
      </c>
      <c r="C580" s="13" t="s">
        <v>641</v>
      </c>
      <c r="D580" s="13" t="s">
        <v>3322</v>
      </c>
      <c r="E580" s="13">
        <v>1</v>
      </c>
      <c r="F580" s="13" t="s">
        <v>644</v>
      </c>
      <c r="G580" s="13" t="s">
        <v>641</v>
      </c>
      <c r="H580" s="13" t="s">
        <v>641</v>
      </c>
    </row>
    <row r="581" spans="1:8">
      <c r="A581" s="13" t="s">
        <v>3180</v>
      </c>
      <c r="B581" s="13">
        <v>1501668</v>
      </c>
      <c r="C581" s="13" t="s">
        <v>641</v>
      </c>
      <c r="D581" s="13" t="s">
        <v>3323</v>
      </c>
      <c r="E581" s="13">
        <v>2</v>
      </c>
      <c r="F581" s="13" t="s">
        <v>654</v>
      </c>
      <c r="G581" s="13" t="s">
        <v>654</v>
      </c>
      <c r="H581" s="13" t="s">
        <v>641</v>
      </c>
    </row>
    <row r="582" spans="1:8">
      <c r="A582" s="13" t="s">
        <v>3180</v>
      </c>
      <c r="B582" s="13">
        <v>1501669</v>
      </c>
      <c r="C582" s="13" t="s">
        <v>641</v>
      </c>
      <c r="D582" s="13" t="s">
        <v>3324</v>
      </c>
      <c r="E582" s="13">
        <v>1</v>
      </c>
      <c r="F582" s="13" t="s">
        <v>656</v>
      </c>
      <c r="G582" s="13" t="s">
        <v>641</v>
      </c>
      <c r="H582" s="13" t="s">
        <v>641</v>
      </c>
    </row>
    <row r="583" spans="1:8">
      <c r="A583" s="13" t="s">
        <v>3180</v>
      </c>
      <c r="B583" s="13">
        <v>1501670</v>
      </c>
      <c r="C583" s="13" t="s">
        <v>641</v>
      </c>
      <c r="D583" s="13" t="s">
        <v>3325</v>
      </c>
      <c r="E583" s="13">
        <v>1</v>
      </c>
      <c r="F583" s="13" t="s">
        <v>644</v>
      </c>
      <c r="G583" s="13" t="s">
        <v>641</v>
      </c>
      <c r="H583" s="13" t="s">
        <v>641</v>
      </c>
    </row>
    <row r="584" spans="1:8">
      <c r="A584" s="13" t="s">
        <v>3180</v>
      </c>
      <c r="B584" s="13">
        <v>1501671</v>
      </c>
      <c r="C584" s="13" t="s">
        <v>641</v>
      </c>
      <c r="D584" s="13" t="s">
        <v>3326</v>
      </c>
      <c r="E584" s="13">
        <v>1</v>
      </c>
      <c r="F584" s="13" t="s">
        <v>656</v>
      </c>
      <c r="G584" s="13" t="s">
        <v>2445</v>
      </c>
      <c r="H584" s="13" t="s">
        <v>3187</v>
      </c>
    </row>
    <row r="585" spans="1:8">
      <c r="A585" s="13" t="s">
        <v>3180</v>
      </c>
      <c r="B585" s="13">
        <v>1501672</v>
      </c>
      <c r="C585" s="13" t="s">
        <v>641</v>
      </c>
      <c r="D585" s="13" t="s">
        <v>1027</v>
      </c>
      <c r="E585" s="13">
        <v>1</v>
      </c>
      <c r="F585" s="13" t="s">
        <v>642</v>
      </c>
      <c r="G585" s="13" t="s">
        <v>641</v>
      </c>
      <c r="H585" s="13" t="s">
        <v>641</v>
      </c>
    </row>
    <row r="586" spans="1:8">
      <c r="A586" s="13" t="s">
        <v>3180</v>
      </c>
      <c r="B586" s="13">
        <v>1501673</v>
      </c>
      <c r="C586" s="13" t="s">
        <v>641</v>
      </c>
      <c r="D586" s="13" t="s">
        <v>3327</v>
      </c>
      <c r="E586" s="13">
        <v>1</v>
      </c>
      <c r="F586" s="13" t="s">
        <v>642</v>
      </c>
      <c r="G586" s="13" t="s">
        <v>641</v>
      </c>
      <c r="H586" s="13" t="s">
        <v>641</v>
      </c>
    </row>
    <row r="587" spans="1:8">
      <c r="A587" s="13" t="s">
        <v>3180</v>
      </c>
      <c r="B587" s="13">
        <v>1501681</v>
      </c>
      <c r="C587" s="13" t="s">
        <v>641</v>
      </c>
      <c r="D587" s="13" t="s">
        <v>3328</v>
      </c>
      <c r="E587" s="13">
        <v>1</v>
      </c>
      <c r="F587" s="13" t="s">
        <v>656</v>
      </c>
      <c r="G587" s="13" t="s">
        <v>3207</v>
      </c>
      <c r="H587" s="13" t="s">
        <v>641</v>
      </c>
    </row>
    <row r="588" spans="1:8">
      <c r="A588" s="13" t="s">
        <v>3180</v>
      </c>
      <c r="B588" s="13">
        <v>1501682</v>
      </c>
      <c r="C588" s="13" t="s">
        <v>641</v>
      </c>
      <c r="D588" s="13" t="s">
        <v>3329</v>
      </c>
      <c r="E588" s="13">
        <v>1</v>
      </c>
      <c r="F588" s="13" t="s">
        <v>642</v>
      </c>
      <c r="G588" s="13" t="s">
        <v>641</v>
      </c>
      <c r="H588" s="13" t="s">
        <v>641</v>
      </c>
    </row>
    <row r="589" spans="1:8">
      <c r="A589" s="13" t="s">
        <v>3180</v>
      </c>
      <c r="B589" s="13">
        <v>1501683</v>
      </c>
      <c r="C589" s="13" t="s">
        <v>641</v>
      </c>
      <c r="D589" s="13" t="s">
        <v>3330</v>
      </c>
      <c r="E589" s="13">
        <v>1</v>
      </c>
      <c r="F589" s="14" t="s">
        <v>642</v>
      </c>
      <c r="G589" s="13" t="s">
        <v>641</v>
      </c>
      <c r="H589" s="13" t="s">
        <v>641</v>
      </c>
    </row>
    <row r="590" spans="1:8">
      <c r="A590" s="13" t="s">
        <v>3180</v>
      </c>
      <c r="B590" s="13">
        <v>1501684</v>
      </c>
      <c r="C590" s="13" t="s">
        <v>641</v>
      </c>
      <c r="D590" s="13" t="s">
        <v>3331</v>
      </c>
      <c r="E590" s="13">
        <v>1</v>
      </c>
      <c r="F590" s="13" t="s">
        <v>642</v>
      </c>
      <c r="G590" s="13" t="s">
        <v>641</v>
      </c>
      <c r="H590" s="13" t="s">
        <v>641</v>
      </c>
    </row>
    <row r="591" spans="1:8">
      <c r="A591" s="13" t="s">
        <v>3180</v>
      </c>
      <c r="B591" s="13">
        <v>1501685</v>
      </c>
      <c r="C591" s="13" t="s">
        <v>641</v>
      </c>
      <c r="D591" s="13" t="s">
        <v>3332</v>
      </c>
      <c r="E591" s="13">
        <v>1</v>
      </c>
      <c r="F591" s="13" t="s">
        <v>642</v>
      </c>
      <c r="G591" s="13" t="s">
        <v>641</v>
      </c>
      <c r="H591" s="13" t="s">
        <v>641</v>
      </c>
    </row>
    <row r="592" spans="1:8">
      <c r="A592" s="13" t="s">
        <v>3180</v>
      </c>
      <c r="B592" s="13">
        <v>1501686</v>
      </c>
      <c r="C592" s="13" t="s">
        <v>641</v>
      </c>
      <c r="D592" s="13" t="s">
        <v>3333</v>
      </c>
      <c r="E592" s="13">
        <v>1</v>
      </c>
      <c r="F592" s="13" t="s">
        <v>649</v>
      </c>
      <c r="G592" s="13" t="s">
        <v>641</v>
      </c>
      <c r="H592" s="13" t="s">
        <v>641</v>
      </c>
    </row>
    <row r="593" spans="1:8">
      <c r="A593" s="13" t="s">
        <v>3180</v>
      </c>
      <c r="B593" s="13">
        <v>1501688</v>
      </c>
      <c r="C593" s="13" t="s">
        <v>641</v>
      </c>
      <c r="D593" s="13" t="s">
        <v>1028</v>
      </c>
      <c r="E593" s="13">
        <v>1</v>
      </c>
      <c r="F593" s="13" t="s">
        <v>640</v>
      </c>
      <c r="G593" s="13" t="s">
        <v>641</v>
      </c>
      <c r="H593" s="13" t="s">
        <v>641</v>
      </c>
    </row>
    <row r="594" spans="1:8">
      <c r="A594" s="13" t="s">
        <v>3180</v>
      </c>
      <c r="B594" s="13">
        <v>1501695</v>
      </c>
      <c r="C594" s="13" t="s">
        <v>641</v>
      </c>
      <c r="D594" s="13" t="s">
        <v>1029</v>
      </c>
      <c r="E594" s="13">
        <v>1</v>
      </c>
      <c r="F594" s="13" t="s">
        <v>642</v>
      </c>
      <c r="G594" s="13" t="s">
        <v>641</v>
      </c>
      <c r="H594" s="13" t="s">
        <v>641</v>
      </c>
    </row>
    <row r="595" spans="1:8">
      <c r="A595" s="13" t="s">
        <v>3180</v>
      </c>
      <c r="B595" s="13">
        <v>1501696</v>
      </c>
      <c r="C595" s="13" t="s">
        <v>641</v>
      </c>
      <c r="D595" s="13" t="s">
        <v>361</v>
      </c>
      <c r="E595" s="13">
        <v>1</v>
      </c>
      <c r="F595" s="13" t="s">
        <v>656</v>
      </c>
      <c r="G595" s="13" t="s">
        <v>641</v>
      </c>
      <c r="H595" s="13" t="s">
        <v>641</v>
      </c>
    </row>
    <row r="596" spans="1:8">
      <c r="A596" s="13" t="s">
        <v>3180</v>
      </c>
      <c r="B596" s="13">
        <v>1501697</v>
      </c>
      <c r="C596" s="13" t="s">
        <v>641</v>
      </c>
      <c r="D596" s="13" t="s">
        <v>1030</v>
      </c>
      <c r="E596" s="13">
        <v>1</v>
      </c>
      <c r="F596" s="13" t="s">
        <v>642</v>
      </c>
      <c r="G596" s="13" t="s">
        <v>641</v>
      </c>
      <c r="H596" s="13" t="s">
        <v>641</v>
      </c>
    </row>
    <row r="597" spans="1:8">
      <c r="A597" s="13" t="s">
        <v>3180</v>
      </c>
      <c r="B597" s="13">
        <v>1501698</v>
      </c>
      <c r="C597" s="13" t="s">
        <v>641</v>
      </c>
      <c r="D597" s="13" t="s">
        <v>3334</v>
      </c>
      <c r="E597" s="13">
        <v>1</v>
      </c>
      <c r="F597" s="13" t="s">
        <v>642</v>
      </c>
      <c r="G597" s="13" t="s">
        <v>641</v>
      </c>
      <c r="H597" s="13" t="s">
        <v>641</v>
      </c>
    </row>
    <row r="598" spans="1:8">
      <c r="A598" s="13" t="s">
        <v>3180</v>
      </c>
      <c r="B598" s="13">
        <v>1501699</v>
      </c>
      <c r="C598" s="13" t="s">
        <v>641</v>
      </c>
      <c r="D598" s="13" t="s">
        <v>1031</v>
      </c>
      <c r="E598" s="13">
        <v>1</v>
      </c>
      <c r="F598" s="13" t="s">
        <v>642</v>
      </c>
      <c r="G598" s="13" t="s">
        <v>641</v>
      </c>
      <c r="H598" s="13" t="s">
        <v>641</v>
      </c>
    </row>
    <row r="599" spans="1:8">
      <c r="A599" s="13" t="s">
        <v>3180</v>
      </c>
      <c r="B599" s="13">
        <v>1501701</v>
      </c>
      <c r="C599" s="13" t="s">
        <v>641</v>
      </c>
      <c r="D599" s="13" t="s">
        <v>467</v>
      </c>
      <c r="E599" s="13">
        <v>1</v>
      </c>
      <c r="F599" s="13" t="s">
        <v>642</v>
      </c>
      <c r="G599" s="13" t="s">
        <v>641</v>
      </c>
      <c r="H599" s="13" t="s">
        <v>641</v>
      </c>
    </row>
    <row r="600" spans="1:8">
      <c r="A600" s="13" t="s">
        <v>3180</v>
      </c>
      <c r="B600" s="13">
        <v>1501702</v>
      </c>
      <c r="C600" s="13" t="s">
        <v>641</v>
      </c>
      <c r="D600" s="13" t="s">
        <v>466</v>
      </c>
      <c r="E600" s="13">
        <v>1</v>
      </c>
      <c r="F600" s="13" t="s">
        <v>649</v>
      </c>
      <c r="G600" s="13" t="s">
        <v>641</v>
      </c>
      <c r="H600" s="13" t="s">
        <v>641</v>
      </c>
    </row>
    <row r="601" spans="1:8">
      <c r="A601" s="13" t="s">
        <v>3180</v>
      </c>
      <c r="B601" s="13">
        <v>1501703</v>
      </c>
      <c r="C601" s="13" t="s">
        <v>641</v>
      </c>
      <c r="D601" s="13" t="s">
        <v>1032</v>
      </c>
      <c r="E601" s="13">
        <v>1</v>
      </c>
      <c r="F601" s="13" t="s">
        <v>640</v>
      </c>
      <c r="G601" s="13" t="s">
        <v>641</v>
      </c>
      <c r="H601" s="13" t="s">
        <v>641</v>
      </c>
    </row>
    <row r="602" spans="1:8">
      <c r="A602" s="13" t="s">
        <v>3180</v>
      </c>
      <c r="B602" s="13">
        <v>1501704</v>
      </c>
      <c r="C602" s="13" t="s">
        <v>641</v>
      </c>
      <c r="D602" s="13" t="s">
        <v>3335</v>
      </c>
      <c r="E602" s="13">
        <v>2</v>
      </c>
      <c r="F602" s="13" t="s">
        <v>654</v>
      </c>
      <c r="G602" s="13" t="s">
        <v>654</v>
      </c>
      <c r="H602" s="13" t="s">
        <v>641</v>
      </c>
    </row>
    <row r="603" spans="1:8">
      <c r="A603" s="13" t="s">
        <v>3180</v>
      </c>
      <c r="B603" s="13">
        <v>1501705</v>
      </c>
      <c r="C603" s="13" t="s">
        <v>641</v>
      </c>
      <c r="D603" s="13" t="s">
        <v>3336</v>
      </c>
      <c r="E603" s="13">
        <v>1</v>
      </c>
      <c r="F603" s="13" t="s">
        <v>649</v>
      </c>
      <c r="G603" s="13" t="s">
        <v>641</v>
      </c>
      <c r="H603" s="13" t="s">
        <v>641</v>
      </c>
    </row>
    <row r="604" spans="1:8">
      <c r="A604" s="13" t="s">
        <v>3180</v>
      </c>
      <c r="B604" s="13">
        <v>1501706</v>
      </c>
      <c r="C604" s="13" t="s">
        <v>641</v>
      </c>
      <c r="D604" s="13" t="s">
        <v>1033</v>
      </c>
      <c r="E604" s="13">
        <v>1</v>
      </c>
      <c r="F604" s="13" t="s">
        <v>649</v>
      </c>
      <c r="G604" s="13" t="s">
        <v>641</v>
      </c>
      <c r="H604" s="13" t="s">
        <v>641</v>
      </c>
    </row>
    <row r="605" spans="1:8">
      <c r="A605" s="13" t="s">
        <v>3180</v>
      </c>
      <c r="B605" s="13">
        <v>1501707</v>
      </c>
      <c r="C605" s="13" t="s">
        <v>641</v>
      </c>
      <c r="D605" s="13" t="s">
        <v>1034</v>
      </c>
      <c r="E605" s="13">
        <v>1</v>
      </c>
      <c r="F605" s="13" t="s">
        <v>649</v>
      </c>
      <c r="G605" s="13" t="s">
        <v>641</v>
      </c>
      <c r="H605" s="13" t="s">
        <v>641</v>
      </c>
    </row>
    <row r="606" spans="1:8">
      <c r="A606" s="13" t="s">
        <v>3180</v>
      </c>
      <c r="B606" s="13">
        <v>1501708</v>
      </c>
      <c r="C606" s="13" t="s">
        <v>641</v>
      </c>
      <c r="D606" s="13" t="s">
        <v>1035</v>
      </c>
      <c r="E606" s="13">
        <v>1</v>
      </c>
      <c r="F606" s="13" t="s">
        <v>644</v>
      </c>
      <c r="G606" s="13" t="s">
        <v>3204</v>
      </c>
      <c r="H606" s="13" t="s">
        <v>641</v>
      </c>
    </row>
    <row r="607" spans="1:8">
      <c r="A607" s="13" t="s">
        <v>3180</v>
      </c>
      <c r="B607" s="13">
        <v>1501709</v>
      </c>
      <c r="C607" s="13" t="s">
        <v>641</v>
      </c>
      <c r="D607" s="13" t="s">
        <v>3337</v>
      </c>
      <c r="E607" s="13">
        <v>1</v>
      </c>
      <c r="F607" s="13" t="s">
        <v>640</v>
      </c>
      <c r="G607" s="13" t="s">
        <v>641</v>
      </c>
      <c r="H607" s="13" t="s">
        <v>641</v>
      </c>
    </row>
    <row r="608" spans="1:8">
      <c r="A608" s="13" t="s">
        <v>3180</v>
      </c>
      <c r="B608" s="13">
        <v>1501710</v>
      </c>
      <c r="C608" s="13" t="s">
        <v>641</v>
      </c>
      <c r="D608" s="13" t="s">
        <v>301</v>
      </c>
      <c r="E608" s="13">
        <v>1</v>
      </c>
      <c r="F608" s="13" t="s">
        <v>649</v>
      </c>
      <c r="G608" s="13" t="s">
        <v>3207</v>
      </c>
      <c r="H608" s="13" t="s">
        <v>641</v>
      </c>
    </row>
    <row r="609" spans="1:8">
      <c r="A609" s="13" t="s">
        <v>3180</v>
      </c>
      <c r="B609" s="13">
        <v>1501711</v>
      </c>
      <c r="C609" s="13" t="s">
        <v>641</v>
      </c>
      <c r="D609" s="13" t="s">
        <v>1036</v>
      </c>
      <c r="E609" s="13">
        <v>1</v>
      </c>
      <c r="F609" s="13" t="s">
        <v>649</v>
      </c>
      <c r="G609" s="13" t="s">
        <v>641</v>
      </c>
      <c r="H609" s="13" t="s">
        <v>641</v>
      </c>
    </row>
    <row r="610" spans="1:8">
      <c r="A610" s="13" t="s">
        <v>3180</v>
      </c>
      <c r="B610" s="13">
        <v>1501712</v>
      </c>
      <c r="C610" s="13" t="s">
        <v>641</v>
      </c>
      <c r="D610" s="13" t="s">
        <v>1037</v>
      </c>
      <c r="E610" s="13">
        <v>1</v>
      </c>
      <c r="F610" s="13" t="s">
        <v>649</v>
      </c>
      <c r="G610" s="13" t="s">
        <v>641</v>
      </c>
      <c r="H610" s="13" t="s">
        <v>641</v>
      </c>
    </row>
    <row r="611" spans="1:8">
      <c r="A611" s="13" t="s">
        <v>3180</v>
      </c>
      <c r="B611" s="13">
        <v>1501713</v>
      </c>
      <c r="C611" s="13" t="s">
        <v>641</v>
      </c>
      <c r="D611" s="13" t="s">
        <v>1038</v>
      </c>
      <c r="E611" s="13">
        <v>1</v>
      </c>
      <c r="F611" s="13" t="s">
        <v>649</v>
      </c>
      <c r="G611" s="13" t="s">
        <v>641</v>
      </c>
      <c r="H611" s="13" t="s">
        <v>641</v>
      </c>
    </row>
    <row r="612" spans="1:8">
      <c r="A612" s="13" t="s">
        <v>3180</v>
      </c>
      <c r="B612" s="13">
        <v>1501714</v>
      </c>
      <c r="C612" s="13" t="s">
        <v>641</v>
      </c>
      <c r="D612" s="13" t="s">
        <v>1039</v>
      </c>
      <c r="E612" s="13">
        <v>1</v>
      </c>
      <c r="F612" s="13" t="s">
        <v>649</v>
      </c>
      <c r="G612" s="13" t="s">
        <v>641</v>
      </c>
      <c r="H612" s="13" t="s">
        <v>641</v>
      </c>
    </row>
    <row r="613" spans="1:8">
      <c r="A613" s="13" t="s">
        <v>3180</v>
      </c>
      <c r="B613" s="13">
        <v>1501730</v>
      </c>
      <c r="C613" s="13" t="s">
        <v>641</v>
      </c>
      <c r="D613" s="13" t="s">
        <v>3338</v>
      </c>
      <c r="E613" s="13">
        <v>1</v>
      </c>
      <c r="F613" s="13" t="s">
        <v>640</v>
      </c>
      <c r="G613" s="13" t="s">
        <v>3186</v>
      </c>
      <c r="H613" s="13" t="s">
        <v>3339</v>
      </c>
    </row>
    <row r="614" spans="1:8">
      <c r="A614" s="13" t="s">
        <v>3180</v>
      </c>
      <c r="B614" s="13">
        <v>1501769</v>
      </c>
      <c r="C614" s="13" t="s">
        <v>641</v>
      </c>
      <c r="D614" s="13" t="s">
        <v>3340</v>
      </c>
      <c r="E614" s="13">
        <v>1</v>
      </c>
      <c r="F614" s="13" t="s">
        <v>656</v>
      </c>
      <c r="G614" s="13" t="s">
        <v>641</v>
      </c>
      <c r="H614" s="13" t="s">
        <v>735</v>
      </c>
    </row>
    <row r="615" spans="1:8">
      <c r="A615" s="13" t="s">
        <v>3180</v>
      </c>
      <c r="B615" s="13">
        <v>3001426</v>
      </c>
      <c r="C615" s="13" t="s">
        <v>641</v>
      </c>
      <c r="D615" s="13" t="s">
        <v>1041</v>
      </c>
      <c r="E615" s="13">
        <v>1</v>
      </c>
      <c r="F615" s="13" t="s">
        <v>640</v>
      </c>
      <c r="G615" s="13" t="s">
        <v>641</v>
      </c>
      <c r="H615" s="13" t="s">
        <v>641</v>
      </c>
    </row>
    <row r="616" spans="1:8">
      <c r="A616" s="13" t="s">
        <v>3180</v>
      </c>
      <c r="B616" s="13">
        <v>3001462</v>
      </c>
      <c r="C616" s="13" t="s">
        <v>641</v>
      </c>
      <c r="D616" s="13" t="s">
        <v>3341</v>
      </c>
      <c r="E616" s="13">
        <v>1</v>
      </c>
      <c r="F616" s="13" t="s">
        <v>640</v>
      </c>
      <c r="G616" s="13" t="s">
        <v>641</v>
      </c>
      <c r="H616" s="13" t="s">
        <v>641</v>
      </c>
    </row>
    <row r="617" spans="1:8">
      <c r="A617" s="13" t="s">
        <v>3180</v>
      </c>
      <c r="B617" s="13">
        <v>3001866</v>
      </c>
      <c r="C617" s="13" t="s">
        <v>641</v>
      </c>
      <c r="D617" s="13" t="s">
        <v>1042</v>
      </c>
      <c r="E617" s="13">
        <v>1</v>
      </c>
      <c r="F617" s="13" t="s">
        <v>642</v>
      </c>
      <c r="G617" s="13" t="s">
        <v>641</v>
      </c>
      <c r="H617" s="13" t="s">
        <v>641</v>
      </c>
    </row>
    <row r="618" spans="1:8">
      <c r="A618" s="13" t="s">
        <v>3180</v>
      </c>
      <c r="B618" s="13">
        <v>3002745</v>
      </c>
      <c r="C618" s="13" t="s">
        <v>641</v>
      </c>
      <c r="D618" s="13" t="s">
        <v>410</v>
      </c>
      <c r="E618" s="13">
        <v>1</v>
      </c>
      <c r="F618" s="13" t="s">
        <v>644</v>
      </c>
      <c r="G618" s="13" t="s">
        <v>641</v>
      </c>
      <c r="H618" s="13" t="s">
        <v>641</v>
      </c>
    </row>
    <row r="619" spans="1:8">
      <c r="A619" s="13" t="s">
        <v>3180</v>
      </c>
      <c r="B619" s="13">
        <v>3002747</v>
      </c>
      <c r="C619" s="13" t="s">
        <v>641</v>
      </c>
      <c r="D619" s="13" t="s">
        <v>258</v>
      </c>
      <c r="E619" s="13">
        <v>1</v>
      </c>
      <c r="F619" s="13" t="s">
        <v>644</v>
      </c>
      <c r="G619" s="13" t="s">
        <v>641</v>
      </c>
      <c r="H619" s="13" t="s">
        <v>641</v>
      </c>
    </row>
    <row r="620" spans="1:8">
      <c r="A620" s="13" t="s">
        <v>3180</v>
      </c>
      <c r="B620" s="13">
        <v>3002753</v>
      </c>
      <c r="C620" s="13" t="s">
        <v>641</v>
      </c>
      <c r="D620" s="13" t="s">
        <v>1043</v>
      </c>
      <c r="E620" s="13">
        <v>1</v>
      </c>
      <c r="F620" s="13" t="s">
        <v>644</v>
      </c>
      <c r="G620" s="13" t="s">
        <v>641</v>
      </c>
      <c r="H620" s="13" t="s">
        <v>641</v>
      </c>
    </row>
    <row r="621" spans="1:8">
      <c r="A621" s="13" t="s">
        <v>3180</v>
      </c>
      <c r="B621" s="13">
        <v>3002757</v>
      </c>
      <c r="C621" s="13" t="s">
        <v>641</v>
      </c>
      <c r="D621" s="13" t="s">
        <v>1044</v>
      </c>
      <c r="E621" s="13">
        <v>1</v>
      </c>
      <c r="F621" s="13" t="s">
        <v>644</v>
      </c>
      <c r="G621" s="13" t="s">
        <v>641</v>
      </c>
      <c r="H621" s="13" t="s">
        <v>641</v>
      </c>
    </row>
    <row r="622" spans="1:8">
      <c r="A622" s="13" t="s">
        <v>3180</v>
      </c>
      <c r="B622" s="13">
        <v>3002759</v>
      </c>
      <c r="C622" s="13" t="s">
        <v>641</v>
      </c>
      <c r="D622" s="13" t="s">
        <v>1045</v>
      </c>
      <c r="E622" s="13">
        <v>1</v>
      </c>
      <c r="F622" s="13" t="s">
        <v>644</v>
      </c>
      <c r="G622" s="13" t="s">
        <v>641</v>
      </c>
      <c r="H622" s="13" t="s">
        <v>641</v>
      </c>
    </row>
    <row r="623" spans="1:8">
      <c r="A623" s="13" t="s">
        <v>3180</v>
      </c>
      <c r="B623" s="13">
        <v>3002761</v>
      </c>
      <c r="C623" s="13" t="s">
        <v>641</v>
      </c>
      <c r="D623" s="13" t="s">
        <v>1046</v>
      </c>
      <c r="E623" s="13">
        <v>1</v>
      </c>
      <c r="F623" s="13" t="s">
        <v>644</v>
      </c>
      <c r="G623" s="13" t="s">
        <v>641</v>
      </c>
      <c r="H623" s="13" t="s">
        <v>641</v>
      </c>
    </row>
    <row r="624" spans="1:8">
      <c r="A624" s="13" t="s">
        <v>3180</v>
      </c>
      <c r="B624" s="13">
        <v>3003393</v>
      </c>
      <c r="C624" s="13" t="s">
        <v>641</v>
      </c>
      <c r="D624" s="13" t="s">
        <v>349</v>
      </c>
      <c r="E624" s="13">
        <v>1</v>
      </c>
      <c r="F624" s="13" t="s">
        <v>644</v>
      </c>
      <c r="G624" s="13" t="s">
        <v>641</v>
      </c>
      <c r="H624" s="13" t="s">
        <v>641</v>
      </c>
    </row>
    <row r="625" spans="1:8">
      <c r="A625" s="13" t="s">
        <v>3180</v>
      </c>
      <c r="B625" s="13">
        <v>3003607</v>
      </c>
      <c r="C625" s="13" t="s">
        <v>641</v>
      </c>
      <c r="D625" s="13" t="s">
        <v>1047</v>
      </c>
      <c r="E625" s="13">
        <v>1</v>
      </c>
      <c r="F625" s="13" t="s">
        <v>638</v>
      </c>
      <c r="G625" s="13" t="s">
        <v>3342</v>
      </c>
      <c r="H625" s="13" t="s">
        <v>641</v>
      </c>
    </row>
    <row r="626" spans="1:8">
      <c r="A626" s="13" t="s">
        <v>3180</v>
      </c>
      <c r="B626" s="13">
        <v>3003610</v>
      </c>
      <c r="C626" s="13" t="s">
        <v>641</v>
      </c>
      <c r="D626" s="13" t="s">
        <v>1048</v>
      </c>
      <c r="E626" s="13">
        <v>1</v>
      </c>
      <c r="F626" s="13" t="s">
        <v>638</v>
      </c>
      <c r="G626" s="13" t="s">
        <v>3342</v>
      </c>
      <c r="H626" s="13" t="s">
        <v>641</v>
      </c>
    </row>
    <row r="627" spans="1:8">
      <c r="A627" s="13" t="s">
        <v>3180</v>
      </c>
      <c r="B627" s="13">
        <v>3003683</v>
      </c>
      <c r="C627" s="13" t="s">
        <v>641</v>
      </c>
      <c r="D627" s="13" t="s">
        <v>1049</v>
      </c>
      <c r="E627" s="13">
        <v>1</v>
      </c>
      <c r="F627" s="13" t="s">
        <v>644</v>
      </c>
      <c r="G627" s="13" t="s">
        <v>3204</v>
      </c>
      <c r="H627" s="13" t="s">
        <v>641</v>
      </c>
    </row>
    <row r="628" spans="1:8">
      <c r="A628" s="13" t="s">
        <v>3180</v>
      </c>
      <c r="B628" s="13">
        <v>3500110</v>
      </c>
      <c r="C628" s="13" t="s">
        <v>641</v>
      </c>
      <c r="D628" s="13" t="s">
        <v>3343</v>
      </c>
      <c r="E628" s="13">
        <v>1</v>
      </c>
      <c r="F628" s="13" t="s">
        <v>640</v>
      </c>
      <c r="G628" s="13" t="s">
        <v>641</v>
      </c>
      <c r="H628" s="13" t="s">
        <v>641</v>
      </c>
    </row>
    <row r="629" spans="1:8">
      <c r="A629" s="13" t="s">
        <v>3180</v>
      </c>
      <c r="B629" s="13">
        <v>3500122</v>
      </c>
      <c r="C629" s="13" t="s">
        <v>641</v>
      </c>
      <c r="D629" s="13" t="s">
        <v>3344</v>
      </c>
      <c r="E629" s="13">
        <v>1</v>
      </c>
      <c r="F629" s="13" t="s">
        <v>640</v>
      </c>
      <c r="G629" s="13" t="s">
        <v>641</v>
      </c>
      <c r="H629" s="13" t="s">
        <v>641</v>
      </c>
    </row>
    <row r="630" spans="1:8">
      <c r="A630" s="13" t="s">
        <v>3180</v>
      </c>
      <c r="B630" s="13">
        <v>3500123</v>
      </c>
      <c r="C630" s="13" t="s">
        <v>641</v>
      </c>
      <c r="D630" s="13" t="s">
        <v>3345</v>
      </c>
      <c r="E630" s="13">
        <v>1</v>
      </c>
      <c r="F630" s="13" t="s">
        <v>640</v>
      </c>
      <c r="G630" s="13" t="s">
        <v>641</v>
      </c>
      <c r="H630" s="13" t="s">
        <v>641</v>
      </c>
    </row>
    <row r="631" spans="1:8">
      <c r="A631" s="13" t="s">
        <v>3180</v>
      </c>
      <c r="B631" s="13">
        <v>3500124</v>
      </c>
      <c r="C631" s="13" t="s">
        <v>641</v>
      </c>
      <c r="D631" s="13" t="s">
        <v>3346</v>
      </c>
      <c r="E631" s="13">
        <v>1</v>
      </c>
      <c r="F631" s="13" t="s">
        <v>640</v>
      </c>
      <c r="G631" s="13" t="s">
        <v>641</v>
      </c>
      <c r="H631" s="13" t="s">
        <v>641</v>
      </c>
    </row>
    <row r="632" spans="1:8">
      <c r="A632" s="13" t="s">
        <v>3180</v>
      </c>
      <c r="B632" s="13">
        <v>3500125</v>
      </c>
      <c r="C632" s="13" t="s">
        <v>641</v>
      </c>
      <c r="D632" s="13" t="s">
        <v>3347</v>
      </c>
      <c r="E632" s="13">
        <v>1</v>
      </c>
      <c r="F632" s="13" t="s">
        <v>640</v>
      </c>
      <c r="G632" s="13" t="s">
        <v>641</v>
      </c>
      <c r="H632" s="13" t="s">
        <v>641</v>
      </c>
    </row>
    <row r="633" spans="1:8">
      <c r="A633" s="13" t="s">
        <v>3180</v>
      </c>
      <c r="B633" s="13">
        <v>3500126</v>
      </c>
      <c r="C633" s="13" t="s">
        <v>641</v>
      </c>
      <c r="D633" s="13" t="s">
        <v>3348</v>
      </c>
      <c r="E633" s="13">
        <v>1</v>
      </c>
      <c r="F633" s="13" t="s">
        <v>640</v>
      </c>
      <c r="G633" s="13" t="s">
        <v>641</v>
      </c>
      <c r="H633" s="13" t="s">
        <v>641</v>
      </c>
    </row>
    <row r="634" spans="1:8">
      <c r="A634" s="13" t="s">
        <v>3180</v>
      </c>
      <c r="B634" s="13">
        <v>3500127</v>
      </c>
      <c r="C634" s="13" t="s">
        <v>641</v>
      </c>
      <c r="D634" s="13" t="s">
        <v>3349</v>
      </c>
      <c r="E634" s="13">
        <v>1</v>
      </c>
      <c r="F634" s="13" t="s">
        <v>640</v>
      </c>
      <c r="G634" s="13" t="s">
        <v>641</v>
      </c>
      <c r="H634" s="13" t="s">
        <v>641</v>
      </c>
    </row>
    <row r="635" spans="1:8">
      <c r="A635" s="13" t="s">
        <v>3180</v>
      </c>
      <c r="B635" s="13">
        <v>3500128</v>
      </c>
      <c r="C635" s="13" t="s">
        <v>641</v>
      </c>
      <c r="D635" s="13" t="s">
        <v>3350</v>
      </c>
      <c r="E635" s="13">
        <v>1</v>
      </c>
      <c r="F635" s="13" t="s">
        <v>640</v>
      </c>
      <c r="G635" s="13" t="s">
        <v>641</v>
      </c>
      <c r="H635" s="13" t="s">
        <v>641</v>
      </c>
    </row>
    <row r="636" spans="1:8">
      <c r="A636" s="13" t="s">
        <v>3180</v>
      </c>
      <c r="B636" s="13">
        <v>3500129</v>
      </c>
      <c r="C636" s="13" t="s">
        <v>641</v>
      </c>
      <c r="D636" s="13" t="s">
        <v>3351</v>
      </c>
      <c r="E636" s="13">
        <v>1</v>
      </c>
      <c r="F636" s="13" t="s">
        <v>649</v>
      </c>
      <c r="G636" s="13" t="s">
        <v>641</v>
      </c>
      <c r="H636" s="13" t="s">
        <v>641</v>
      </c>
    </row>
    <row r="637" spans="1:8">
      <c r="A637" s="13" t="s">
        <v>3180</v>
      </c>
      <c r="B637" s="13">
        <v>3500130</v>
      </c>
      <c r="C637" s="13" t="s">
        <v>641</v>
      </c>
      <c r="D637" s="13" t="s">
        <v>3352</v>
      </c>
      <c r="E637" s="13">
        <v>1</v>
      </c>
      <c r="F637" s="13" t="s">
        <v>642</v>
      </c>
      <c r="G637" s="13" t="s">
        <v>641</v>
      </c>
      <c r="H637" s="13" t="s">
        <v>641</v>
      </c>
    </row>
    <row r="638" spans="1:8">
      <c r="A638" s="13" t="s">
        <v>3180</v>
      </c>
      <c r="B638" s="13">
        <v>3500131</v>
      </c>
      <c r="C638" s="13" t="s">
        <v>641</v>
      </c>
      <c r="D638" s="13" t="s">
        <v>3353</v>
      </c>
      <c r="E638" s="13">
        <v>1</v>
      </c>
      <c r="F638" s="13" t="s">
        <v>642</v>
      </c>
      <c r="G638" s="13" t="s">
        <v>641</v>
      </c>
      <c r="H638" s="13" t="s">
        <v>641</v>
      </c>
    </row>
    <row r="639" spans="1:8">
      <c r="A639" s="13" t="s">
        <v>3180</v>
      </c>
      <c r="B639" s="13">
        <v>3500132</v>
      </c>
      <c r="C639" s="13" t="s">
        <v>641</v>
      </c>
      <c r="D639" s="13" t="s">
        <v>3354</v>
      </c>
      <c r="E639" s="13">
        <v>1</v>
      </c>
      <c r="F639" s="13" t="s">
        <v>642</v>
      </c>
      <c r="G639" s="13" t="s">
        <v>641</v>
      </c>
      <c r="H639" s="13" t="s">
        <v>641</v>
      </c>
    </row>
    <row r="640" spans="1:8">
      <c r="A640" s="13" t="s">
        <v>3180</v>
      </c>
      <c r="B640" s="13">
        <v>3500133</v>
      </c>
      <c r="C640" s="13" t="s">
        <v>641</v>
      </c>
      <c r="D640" s="13" t="s">
        <v>3355</v>
      </c>
      <c r="E640" s="13">
        <v>1</v>
      </c>
      <c r="F640" s="13" t="s">
        <v>642</v>
      </c>
      <c r="G640" s="13" t="s">
        <v>641</v>
      </c>
      <c r="H640" s="13" t="s">
        <v>641</v>
      </c>
    </row>
    <row r="641" spans="1:8">
      <c r="A641" s="13" t="s">
        <v>3180</v>
      </c>
      <c r="B641" s="13">
        <v>3500134</v>
      </c>
      <c r="C641" s="13" t="s">
        <v>641</v>
      </c>
      <c r="D641" s="13" t="s">
        <v>3356</v>
      </c>
      <c r="E641" s="13">
        <v>1</v>
      </c>
      <c r="F641" s="13" t="s">
        <v>642</v>
      </c>
      <c r="G641" s="13" t="s">
        <v>641</v>
      </c>
      <c r="H641" s="13" t="s">
        <v>641</v>
      </c>
    </row>
    <row r="642" spans="1:8">
      <c r="A642" s="13" t="s">
        <v>3180</v>
      </c>
      <c r="B642" s="13">
        <v>3500135</v>
      </c>
      <c r="C642" s="13" t="s">
        <v>641</v>
      </c>
      <c r="D642" s="13" t="s">
        <v>3357</v>
      </c>
      <c r="E642" s="13">
        <v>1</v>
      </c>
      <c r="F642" s="13" t="s">
        <v>642</v>
      </c>
      <c r="G642" s="13" t="s">
        <v>641</v>
      </c>
      <c r="H642" s="13" t="s">
        <v>641</v>
      </c>
    </row>
    <row r="643" spans="1:8">
      <c r="A643" s="13" t="s">
        <v>3180</v>
      </c>
      <c r="B643" s="13">
        <v>3500136</v>
      </c>
      <c r="C643" s="13" t="s">
        <v>641</v>
      </c>
      <c r="D643" s="13" t="s">
        <v>3358</v>
      </c>
      <c r="E643" s="13">
        <v>1</v>
      </c>
      <c r="F643" s="13" t="s">
        <v>642</v>
      </c>
      <c r="G643" s="13" t="s">
        <v>641</v>
      </c>
      <c r="H643" s="13" t="s">
        <v>641</v>
      </c>
    </row>
    <row r="644" spans="1:8">
      <c r="A644" s="13" t="s">
        <v>3180</v>
      </c>
      <c r="B644" s="13">
        <v>3500137</v>
      </c>
      <c r="C644" s="13" t="s">
        <v>641</v>
      </c>
      <c r="D644" s="13" t="s">
        <v>3359</v>
      </c>
      <c r="E644" s="13">
        <v>1</v>
      </c>
      <c r="F644" s="13" t="s">
        <v>642</v>
      </c>
      <c r="G644" s="13" t="s">
        <v>641</v>
      </c>
      <c r="H644" s="13" t="s">
        <v>641</v>
      </c>
    </row>
    <row r="645" spans="1:8">
      <c r="A645" s="13" t="s">
        <v>3180</v>
      </c>
      <c r="B645" s="13">
        <v>3500138</v>
      </c>
      <c r="C645" s="13" t="s">
        <v>641</v>
      </c>
      <c r="D645" s="13" t="s">
        <v>3360</v>
      </c>
      <c r="E645" s="13">
        <v>1</v>
      </c>
      <c r="F645" s="13" t="s">
        <v>644</v>
      </c>
      <c r="G645" s="13" t="s">
        <v>641</v>
      </c>
      <c r="H645" s="13" t="s">
        <v>641</v>
      </c>
    </row>
    <row r="646" spans="1:8">
      <c r="A646" s="13" t="s">
        <v>3180</v>
      </c>
      <c r="B646" s="13">
        <v>3500139</v>
      </c>
      <c r="C646" s="13" t="s">
        <v>641</v>
      </c>
      <c r="D646" s="13" t="s">
        <v>3361</v>
      </c>
      <c r="E646" s="13">
        <v>1</v>
      </c>
      <c r="F646" s="13" t="s">
        <v>642</v>
      </c>
      <c r="G646" s="13" t="s">
        <v>641</v>
      </c>
      <c r="H646" s="13" t="s">
        <v>641</v>
      </c>
    </row>
    <row r="647" spans="1:8">
      <c r="A647" s="13" t="s">
        <v>3180</v>
      </c>
      <c r="B647" s="13">
        <v>3500140</v>
      </c>
      <c r="C647" s="13" t="s">
        <v>641</v>
      </c>
      <c r="D647" s="13" t="s">
        <v>3362</v>
      </c>
      <c r="E647" s="13">
        <v>1</v>
      </c>
      <c r="F647" s="13" t="s">
        <v>642</v>
      </c>
      <c r="G647" s="13" t="s">
        <v>641</v>
      </c>
      <c r="H647" s="13" t="s">
        <v>641</v>
      </c>
    </row>
    <row r="648" spans="1:8">
      <c r="A648" s="13" t="s">
        <v>3180</v>
      </c>
      <c r="B648" s="13">
        <v>3500141</v>
      </c>
      <c r="C648" s="13" t="s">
        <v>641</v>
      </c>
      <c r="D648" s="13" t="s">
        <v>3363</v>
      </c>
      <c r="E648" s="13">
        <v>2</v>
      </c>
      <c r="F648" s="13" t="s">
        <v>654</v>
      </c>
      <c r="G648" s="13" t="s">
        <v>641</v>
      </c>
      <c r="H648" s="13" t="s">
        <v>641</v>
      </c>
    </row>
    <row r="649" spans="1:8">
      <c r="A649" s="13" t="s">
        <v>3180</v>
      </c>
      <c r="B649" s="13">
        <v>3500142</v>
      </c>
      <c r="C649" s="13" t="s">
        <v>641</v>
      </c>
      <c r="D649" s="13" t="s">
        <v>3364</v>
      </c>
      <c r="E649" s="13">
        <v>1</v>
      </c>
      <c r="F649" s="13" t="s">
        <v>642</v>
      </c>
      <c r="G649" s="13" t="s">
        <v>641</v>
      </c>
      <c r="H649" s="13" t="s">
        <v>641</v>
      </c>
    </row>
    <row r="650" spans="1:8">
      <c r="A650" s="13" t="s">
        <v>3180</v>
      </c>
      <c r="B650" s="13">
        <v>3500143</v>
      </c>
      <c r="C650" s="13" t="s">
        <v>641</v>
      </c>
      <c r="D650" s="13" t="s">
        <v>3365</v>
      </c>
      <c r="E650" s="13">
        <v>1</v>
      </c>
      <c r="F650" s="13" t="s">
        <v>644</v>
      </c>
      <c r="G650" s="13" t="s">
        <v>641</v>
      </c>
      <c r="H650" s="13" t="s">
        <v>641</v>
      </c>
    </row>
    <row r="651" spans="1:8">
      <c r="A651" s="13" t="s">
        <v>3180</v>
      </c>
      <c r="B651" s="13">
        <v>3500144</v>
      </c>
      <c r="C651" s="13" t="s">
        <v>641</v>
      </c>
      <c r="D651" s="13" t="s">
        <v>3366</v>
      </c>
      <c r="E651" s="13">
        <v>1</v>
      </c>
      <c r="F651" s="13" t="s">
        <v>642</v>
      </c>
      <c r="G651" s="13" t="s">
        <v>641</v>
      </c>
      <c r="H651" s="13" t="s">
        <v>641</v>
      </c>
    </row>
    <row r="652" spans="1:8">
      <c r="A652" s="13" t="s">
        <v>3180</v>
      </c>
      <c r="B652" s="13">
        <v>3500145</v>
      </c>
      <c r="C652" s="13" t="s">
        <v>641</v>
      </c>
      <c r="D652" s="13" t="s">
        <v>1052</v>
      </c>
      <c r="E652" s="13">
        <v>1</v>
      </c>
      <c r="F652" s="13" t="s">
        <v>642</v>
      </c>
      <c r="G652" s="13" t="s">
        <v>641</v>
      </c>
      <c r="H652" s="13" t="s">
        <v>641</v>
      </c>
    </row>
    <row r="653" spans="1:8">
      <c r="A653" s="13" t="s">
        <v>3180</v>
      </c>
      <c r="B653" s="13">
        <v>3500146</v>
      </c>
      <c r="C653" s="13" t="s">
        <v>641</v>
      </c>
      <c r="D653" s="13" t="s">
        <v>3367</v>
      </c>
      <c r="E653" s="13">
        <v>1</v>
      </c>
      <c r="F653" s="13" t="s">
        <v>642</v>
      </c>
      <c r="G653" s="13" t="s">
        <v>641</v>
      </c>
      <c r="H653" s="13" t="s">
        <v>641</v>
      </c>
    </row>
    <row r="654" spans="1:8">
      <c r="A654" s="13" t="s">
        <v>3180</v>
      </c>
      <c r="B654" s="13">
        <v>3500147</v>
      </c>
      <c r="C654" s="13" t="s">
        <v>641</v>
      </c>
      <c r="D654" s="13" t="s">
        <v>3368</v>
      </c>
      <c r="E654" s="13">
        <v>1</v>
      </c>
      <c r="F654" s="13" t="s">
        <v>642</v>
      </c>
      <c r="G654" s="13" t="s">
        <v>641</v>
      </c>
      <c r="H654" s="13" t="s">
        <v>641</v>
      </c>
    </row>
    <row r="655" spans="1:8">
      <c r="A655" s="13" t="s">
        <v>3180</v>
      </c>
      <c r="B655" s="13">
        <v>3500205</v>
      </c>
      <c r="C655" s="13" t="s">
        <v>641</v>
      </c>
      <c r="D655" s="13" t="s">
        <v>1053</v>
      </c>
      <c r="E655" s="13">
        <v>1</v>
      </c>
      <c r="F655" s="13" t="s">
        <v>644</v>
      </c>
      <c r="G655" s="13" t="s">
        <v>3204</v>
      </c>
      <c r="H655" s="13" t="s">
        <v>641</v>
      </c>
    </row>
    <row r="656" spans="1:8">
      <c r="A656" s="13" t="s">
        <v>3180</v>
      </c>
      <c r="B656" s="13">
        <v>3500304</v>
      </c>
      <c r="C656" s="13" t="s">
        <v>641</v>
      </c>
      <c r="D656" s="13" t="s">
        <v>1054</v>
      </c>
      <c r="E656" s="13">
        <v>1</v>
      </c>
      <c r="F656" s="13" t="s">
        <v>649</v>
      </c>
      <c r="G656" s="13" t="s">
        <v>3207</v>
      </c>
      <c r="H656" s="13" t="s">
        <v>3187</v>
      </c>
    </row>
    <row r="657" spans="1:8">
      <c r="A657" s="13" t="s">
        <v>3180</v>
      </c>
      <c r="B657" s="13">
        <v>3702999</v>
      </c>
      <c r="C657" s="13" t="s">
        <v>641</v>
      </c>
      <c r="D657" s="13" t="s">
        <v>3369</v>
      </c>
      <c r="E657" s="13">
        <v>1</v>
      </c>
      <c r="F657" s="13" t="s">
        <v>642</v>
      </c>
      <c r="G657" s="13" t="s">
        <v>641</v>
      </c>
      <c r="H657" s="13" t="s">
        <v>641</v>
      </c>
    </row>
    <row r="658" spans="1:8">
      <c r="A658" s="13" t="s">
        <v>3180</v>
      </c>
      <c r="B658" s="13">
        <v>3704390</v>
      </c>
      <c r="C658" s="13" t="s">
        <v>641</v>
      </c>
      <c r="D658" s="13" t="s">
        <v>1055</v>
      </c>
      <c r="E658" s="13">
        <v>1</v>
      </c>
      <c r="F658" s="13" t="s">
        <v>649</v>
      </c>
      <c r="G658" s="13" t="s">
        <v>3186</v>
      </c>
      <c r="H658" s="13" t="s">
        <v>3187</v>
      </c>
    </row>
    <row r="659" spans="1:8">
      <c r="A659" s="13" t="s">
        <v>3180</v>
      </c>
      <c r="B659" s="13">
        <v>3704782</v>
      </c>
      <c r="C659" s="13" t="s">
        <v>641</v>
      </c>
      <c r="D659" s="13" t="s">
        <v>3370</v>
      </c>
      <c r="E659" s="13">
        <v>1</v>
      </c>
      <c r="F659" s="13" t="s">
        <v>642</v>
      </c>
      <c r="G659" s="13" t="s">
        <v>641</v>
      </c>
      <c r="H659" s="13" t="s">
        <v>641</v>
      </c>
    </row>
    <row r="660" spans="1:8">
      <c r="A660" s="13" t="s">
        <v>3180</v>
      </c>
      <c r="B660" s="13">
        <v>3711593</v>
      </c>
      <c r="C660" s="13" t="s">
        <v>641</v>
      </c>
      <c r="D660" s="13" t="s">
        <v>3371</v>
      </c>
      <c r="E660" s="13">
        <v>1</v>
      </c>
      <c r="F660" s="13" t="s">
        <v>656</v>
      </c>
      <c r="G660" s="13" t="s">
        <v>2445</v>
      </c>
      <c r="H660" s="13" t="s">
        <v>3372</v>
      </c>
    </row>
    <row r="661" spans="1:8">
      <c r="A661" s="13" t="s">
        <v>3180</v>
      </c>
      <c r="B661" s="13">
        <v>4000004</v>
      </c>
      <c r="C661" s="13" t="s">
        <v>641</v>
      </c>
      <c r="D661" s="13" t="s">
        <v>252</v>
      </c>
      <c r="E661" s="13">
        <v>2</v>
      </c>
      <c r="F661" s="13" t="s">
        <v>709</v>
      </c>
      <c r="G661" s="13" t="s">
        <v>3373</v>
      </c>
      <c r="H661" s="13" t="s">
        <v>641</v>
      </c>
    </row>
    <row r="662" spans="1:8">
      <c r="A662" s="13" t="s">
        <v>3180</v>
      </c>
      <c r="B662" s="13">
        <v>4000022</v>
      </c>
      <c r="C662" s="13" t="s">
        <v>641</v>
      </c>
      <c r="D662" s="13" t="s">
        <v>1056</v>
      </c>
      <c r="E662" s="13">
        <v>2</v>
      </c>
      <c r="F662" s="13" t="s">
        <v>709</v>
      </c>
      <c r="G662" s="13" t="s">
        <v>3374</v>
      </c>
      <c r="H662" s="13" t="s">
        <v>641</v>
      </c>
    </row>
    <row r="663" spans="1:8">
      <c r="A663" s="13" t="s">
        <v>3180</v>
      </c>
      <c r="B663" s="13">
        <v>4000058</v>
      </c>
      <c r="C663" s="13" t="s">
        <v>641</v>
      </c>
      <c r="D663" s="13" t="s">
        <v>1057</v>
      </c>
      <c r="E663" s="13">
        <v>2</v>
      </c>
      <c r="F663" s="13" t="s">
        <v>671</v>
      </c>
      <c r="G663" s="13" t="s">
        <v>677</v>
      </c>
      <c r="H663" s="13" t="s">
        <v>641</v>
      </c>
    </row>
    <row r="664" spans="1:8">
      <c r="A664" s="13" t="s">
        <v>3180</v>
      </c>
      <c r="B664" s="13">
        <v>4000062</v>
      </c>
      <c r="C664" s="13" t="s">
        <v>641</v>
      </c>
      <c r="D664" s="13" t="s">
        <v>3375</v>
      </c>
      <c r="E664" s="13">
        <v>2</v>
      </c>
      <c r="F664" s="13" t="s">
        <v>671</v>
      </c>
      <c r="G664" s="13" t="s">
        <v>677</v>
      </c>
      <c r="H664" s="13" t="s">
        <v>641</v>
      </c>
    </row>
    <row r="665" spans="1:8">
      <c r="A665" s="13" t="s">
        <v>3180</v>
      </c>
      <c r="B665" s="13">
        <v>4000065</v>
      </c>
      <c r="C665" s="13" t="s">
        <v>641</v>
      </c>
      <c r="D665" s="13" t="s">
        <v>1058</v>
      </c>
      <c r="E665" s="13">
        <v>2</v>
      </c>
      <c r="F665" s="13" t="s">
        <v>671</v>
      </c>
      <c r="G665" s="13" t="s">
        <v>677</v>
      </c>
      <c r="H665" s="13" t="s">
        <v>641</v>
      </c>
    </row>
    <row r="666" spans="1:8">
      <c r="A666" s="13" t="s">
        <v>3180</v>
      </c>
      <c r="B666" s="13">
        <v>4000068</v>
      </c>
      <c r="C666" s="13" t="s">
        <v>641</v>
      </c>
      <c r="D666" s="13" t="s">
        <v>1059</v>
      </c>
      <c r="E666" s="13">
        <v>2</v>
      </c>
      <c r="F666" s="13" t="s">
        <v>671</v>
      </c>
      <c r="G666" s="13" t="s">
        <v>677</v>
      </c>
      <c r="H666" s="13" t="s">
        <v>641</v>
      </c>
    </row>
    <row r="667" spans="1:8">
      <c r="A667" s="13" t="s">
        <v>3180</v>
      </c>
      <c r="B667" s="13">
        <v>4000083</v>
      </c>
      <c r="C667" s="13" t="s">
        <v>641</v>
      </c>
      <c r="D667" s="13" t="s">
        <v>3376</v>
      </c>
      <c r="E667" s="13">
        <v>2</v>
      </c>
      <c r="F667" s="13" t="s">
        <v>671</v>
      </c>
      <c r="G667" s="13" t="s">
        <v>678</v>
      </c>
      <c r="H667" s="13" t="s">
        <v>641</v>
      </c>
    </row>
    <row r="668" spans="1:8">
      <c r="A668" s="13" t="s">
        <v>3180</v>
      </c>
      <c r="B668" s="13">
        <v>4000097</v>
      </c>
      <c r="C668" s="13" t="s">
        <v>641</v>
      </c>
      <c r="D668" s="13" t="s">
        <v>1060</v>
      </c>
      <c r="E668" s="13">
        <v>2</v>
      </c>
      <c r="F668" s="13" t="s">
        <v>696</v>
      </c>
      <c r="G668" s="13" t="s">
        <v>641</v>
      </c>
      <c r="H668" s="13" t="s">
        <v>641</v>
      </c>
    </row>
    <row r="669" spans="1:8">
      <c r="A669" s="13" t="s">
        <v>3180</v>
      </c>
      <c r="B669" s="13">
        <v>4000116</v>
      </c>
      <c r="C669" s="13" t="s">
        <v>641</v>
      </c>
      <c r="D669" s="13" t="s">
        <v>1061</v>
      </c>
      <c r="E669" s="13">
        <v>2</v>
      </c>
      <c r="F669" s="13" t="s">
        <v>671</v>
      </c>
      <c r="G669" s="13" t="s">
        <v>677</v>
      </c>
      <c r="H669" s="13" t="s">
        <v>641</v>
      </c>
    </row>
    <row r="670" spans="1:8">
      <c r="A670" s="13" t="s">
        <v>3180</v>
      </c>
      <c r="B670" s="13">
        <v>4000121</v>
      </c>
      <c r="C670" s="13" t="s">
        <v>641</v>
      </c>
      <c r="D670" s="13" t="s">
        <v>3377</v>
      </c>
      <c r="E670" s="13">
        <v>2</v>
      </c>
      <c r="F670" s="13" t="s">
        <v>671</v>
      </c>
      <c r="G670" s="13" t="s">
        <v>678</v>
      </c>
      <c r="H670" s="13" t="s">
        <v>641</v>
      </c>
    </row>
    <row r="671" spans="1:8">
      <c r="A671" s="13" t="s">
        <v>3180</v>
      </c>
      <c r="B671" s="13">
        <v>4000122</v>
      </c>
      <c r="C671" s="13" t="s">
        <v>641</v>
      </c>
      <c r="D671" s="13" t="s">
        <v>3378</v>
      </c>
      <c r="E671" s="13">
        <v>2</v>
      </c>
      <c r="F671" s="13" t="s">
        <v>671</v>
      </c>
      <c r="G671" s="13" t="s">
        <v>678</v>
      </c>
      <c r="H671" s="13" t="s">
        <v>641</v>
      </c>
    </row>
    <row r="672" spans="1:8">
      <c r="A672" s="13" t="s">
        <v>3180</v>
      </c>
      <c r="B672" s="13">
        <v>4000128</v>
      </c>
      <c r="C672" s="13" t="s">
        <v>641</v>
      </c>
      <c r="D672" s="13" t="s">
        <v>1062</v>
      </c>
      <c r="E672" s="13">
        <v>2</v>
      </c>
      <c r="F672" s="13" t="s">
        <v>671</v>
      </c>
      <c r="G672" s="13" t="s">
        <v>677</v>
      </c>
      <c r="H672" s="13" t="s">
        <v>641</v>
      </c>
    </row>
    <row r="673" spans="1:8">
      <c r="A673" s="13" t="s">
        <v>3180</v>
      </c>
      <c r="B673" s="13">
        <v>4000136</v>
      </c>
      <c r="C673" s="13" t="s">
        <v>641</v>
      </c>
      <c r="D673" s="13" t="s">
        <v>2312</v>
      </c>
      <c r="E673" s="13">
        <v>2</v>
      </c>
      <c r="F673" s="13" t="s">
        <v>671</v>
      </c>
      <c r="G673" s="13" t="s">
        <v>678</v>
      </c>
      <c r="H673" s="13" t="s">
        <v>641</v>
      </c>
    </row>
    <row r="674" spans="1:8">
      <c r="A674" s="13" t="s">
        <v>3180</v>
      </c>
      <c r="B674" s="13">
        <v>4000157</v>
      </c>
      <c r="C674" s="13" t="s">
        <v>641</v>
      </c>
      <c r="D674" s="13" t="s">
        <v>420</v>
      </c>
      <c r="E674" s="13">
        <v>2</v>
      </c>
      <c r="F674" s="13" t="s">
        <v>671</v>
      </c>
      <c r="G674" s="13" t="s">
        <v>678</v>
      </c>
      <c r="H674" s="13" t="s">
        <v>641</v>
      </c>
    </row>
    <row r="675" spans="1:8">
      <c r="A675" s="13" t="s">
        <v>3180</v>
      </c>
      <c r="B675" s="13">
        <v>4000178</v>
      </c>
      <c r="C675" s="13" t="s">
        <v>641</v>
      </c>
      <c r="D675" s="13" t="s">
        <v>3379</v>
      </c>
      <c r="E675" s="13">
        <v>2</v>
      </c>
      <c r="F675" s="13" t="s">
        <v>671</v>
      </c>
      <c r="G675" s="13" t="s">
        <v>678</v>
      </c>
      <c r="H675" s="13" t="s">
        <v>641</v>
      </c>
    </row>
    <row r="676" spans="1:8">
      <c r="A676" s="13" t="s">
        <v>3180</v>
      </c>
      <c r="B676" s="13">
        <v>4000188</v>
      </c>
      <c r="C676" s="13" t="s">
        <v>641</v>
      </c>
      <c r="D676" s="13" t="s">
        <v>3380</v>
      </c>
      <c r="E676" s="13">
        <v>2</v>
      </c>
      <c r="F676" s="13" t="s">
        <v>671</v>
      </c>
      <c r="G676" s="13" t="s">
        <v>677</v>
      </c>
      <c r="H676" s="13" t="s">
        <v>641</v>
      </c>
    </row>
    <row r="677" spans="1:8">
      <c r="A677" s="13" t="s">
        <v>3180</v>
      </c>
      <c r="B677" s="13">
        <v>4000190</v>
      </c>
      <c r="C677" s="13" t="s">
        <v>641</v>
      </c>
      <c r="D677" s="13" t="s">
        <v>3381</v>
      </c>
      <c r="E677" s="13">
        <v>2</v>
      </c>
      <c r="F677" s="13" t="s">
        <v>671</v>
      </c>
      <c r="G677" s="13" t="s">
        <v>678</v>
      </c>
      <c r="H677" s="13" t="s">
        <v>641</v>
      </c>
    </row>
    <row r="678" spans="1:8">
      <c r="A678" s="13" t="s">
        <v>3180</v>
      </c>
      <c r="B678" s="13">
        <v>4000246</v>
      </c>
      <c r="C678" s="13" t="s">
        <v>641</v>
      </c>
      <c r="D678" s="13" t="s">
        <v>1063</v>
      </c>
      <c r="E678" s="13">
        <v>2</v>
      </c>
      <c r="F678" s="13" t="s">
        <v>671</v>
      </c>
      <c r="G678" s="13" t="s">
        <v>678</v>
      </c>
      <c r="H678" s="13" t="s">
        <v>641</v>
      </c>
    </row>
    <row r="679" spans="1:8">
      <c r="A679" s="13" t="s">
        <v>3180</v>
      </c>
      <c r="B679" s="13">
        <v>4000254</v>
      </c>
      <c r="C679" s="13" t="s">
        <v>641</v>
      </c>
      <c r="D679" s="13" t="s">
        <v>1064</v>
      </c>
      <c r="E679" s="13">
        <v>2</v>
      </c>
      <c r="F679" s="13" t="s">
        <v>671</v>
      </c>
      <c r="G679" s="13" t="s">
        <v>677</v>
      </c>
      <c r="H679" s="13" t="s">
        <v>641</v>
      </c>
    </row>
    <row r="680" spans="1:8">
      <c r="A680" s="13" t="s">
        <v>3180</v>
      </c>
      <c r="B680" s="13">
        <v>4000267</v>
      </c>
      <c r="C680" s="13" t="s">
        <v>641</v>
      </c>
      <c r="D680" s="13" t="s">
        <v>1065</v>
      </c>
      <c r="E680" s="13">
        <v>2</v>
      </c>
      <c r="F680" s="13" t="s">
        <v>696</v>
      </c>
      <c r="G680" s="13" t="s">
        <v>641</v>
      </c>
      <c r="H680" s="13" t="s">
        <v>641</v>
      </c>
    </row>
    <row r="681" spans="1:8">
      <c r="A681" s="13" t="s">
        <v>3180</v>
      </c>
      <c r="B681" s="13">
        <v>4000268</v>
      </c>
      <c r="C681" s="13" t="s">
        <v>641</v>
      </c>
      <c r="D681" s="13" t="s">
        <v>1066</v>
      </c>
      <c r="E681" s="13">
        <v>2</v>
      </c>
      <c r="F681" s="13" t="s">
        <v>696</v>
      </c>
      <c r="G681" s="13" t="s">
        <v>641</v>
      </c>
      <c r="H681" s="13" t="s">
        <v>641</v>
      </c>
    </row>
    <row r="682" spans="1:8">
      <c r="A682" s="13" t="s">
        <v>3180</v>
      </c>
      <c r="B682" s="13">
        <v>4000269</v>
      </c>
      <c r="C682" s="13" t="s">
        <v>641</v>
      </c>
      <c r="D682" s="13" t="s">
        <v>1067</v>
      </c>
      <c r="E682" s="13">
        <v>2</v>
      </c>
      <c r="F682" s="13" t="s">
        <v>696</v>
      </c>
      <c r="G682" s="13" t="s">
        <v>641</v>
      </c>
      <c r="H682" s="13" t="s">
        <v>641</v>
      </c>
    </row>
    <row r="683" spans="1:8">
      <c r="A683" s="13" t="s">
        <v>3180</v>
      </c>
      <c r="B683" s="13">
        <v>4000270</v>
      </c>
      <c r="C683" s="13" t="s">
        <v>641</v>
      </c>
      <c r="D683" s="13" t="s">
        <v>1068</v>
      </c>
      <c r="E683" s="13">
        <v>2</v>
      </c>
      <c r="F683" s="13" t="s">
        <v>696</v>
      </c>
      <c r="G683" s="13" t="s">
        <v>641</v>
      </c>
      <c r="H683" s="13" t="s">
        <v>641</v>
      </c>
    </row>
    <row r="684" spans="1:8">
      <c r="A684" s="13" t="s">
        <v>3180</v>
      </c>
      <c r="B684" s="13">
        <v>4000271</v>
      </c>
      <c r="C684" s="13" t="s">
        <v>641</v>
      </c>
      <c r="D684" s="13" t="s">
        <v>1069</v>
      </c>
      <c r="E684" s="13">
        <v>2</v>
      </c>
      <c r="F684" s="13" t="s">
        <v>696</v>
      </c>
      <c r="G684" s="13" t="s">
        <v>641</v>
      </c>
      <c r="H684" s="13" t="s">
        <v>641</v>
      </c>
    </row>
    <row r="685" spans="1:8">
      <c r="A685" s="13" t="s">
        <v>3180</v>
      </c>
      <c r="B685" s="13">
        <v>4000272</v>
      </c>
      <c r="C685" s="13" t="s">
        <v>641</v>
      </c>
      <c r="D685" s="13" t="s">
        <v>1070</v>
      </c>
      <c r="E685" s="13">
        <v>2</v>
      </c>
      <c r="F685" s="13" t="s">
        <v>696</v>
      </c>
      <c r="G685" s="13" t="s">
        <v>641</v>
      </c>
      <c r="H685" s="13" t="s">
        <v>641</v>
      </c>
    </row>
    <row r="686" spans="1:8">
      <c r="A686" s="13" t="s">
        <v>3180</v>
      </c>
      <c r="B686" s="13">
        <v>4000274</v>
      </c>
      <c r="C686" s="13" t="s">
        <v>641</v>
      </c>
      <c r="D686" s="13" t="s">
        <v>1071</v>
      </c>
      <c r="E686" s="13">
        <v>2</v>
      </c>
      <c r="F686" s="13" t="s">
        <v>696</v>
      </c>
      <c r="G686" s="13" t="s">
        <v>641</v>
      </c>
      <c r="H686" s="13" t="s">
        <v>641</v>
      </c>
    </row>
    <row r="687" spans="1:8">
      <c r="A687" s="13" t="s">
        <v>3180</v>
      </c>
      <c r="B687" s="13">
        <v>4000275</v>
      </c>
      <c r="C687" s="13" t="s">
        <v>641</v>
      </c>
      <c r="D687" s="13" t="s">
        <v>1072</v>
      </c>
      <c r="E687" s="13">
        <v>2</v>
      </c>
      <c r="F687" s="13" t="s">
        <v>696</v>
      </c>
      <c r="G687" s="13" t="s">
        <v>641</v>
      </c>
      <c r="H687" s="13" t="s">
        <v>641</v>
      </c>
    </row>
    <row r="688" spans="1:8">
      <c r="A688" s="13" t="s">
        <v>3180</v>
      </c>
      <c r="B688" s="13">
        <v>4000276</v>
      </c>
      <c r="C688" s="13" t="s">
        <v>641</v>
      </c>
      <c r="D688" s="13" t="s">
        <v>1073</v>
      </c>
      <c r="E688" s="13">
        <v>2</v>
      </c>
      <c r="F688" s="13" t="s">
        <v>696</v>
      </c>
      <c r="G688" s="13" t="s">
        <v>641</v>
      </c>
      <c r="H688" s="13" t="s">
        <v>641</v>
      </c>
    </row>
    <row r="689" spans="1:8">
      <c r="A689" s="13" t="s">
        <v>3180</v>
      </c>
      <c r="B689" s="13">
        <v>4000277</v>
      </c>
      <c r="C689" s="13" t="s">
        <v>641</v>
      </c>
      <c r="D689" s="13" t="s">
        <v>1074</v>
      </c>
      <c r="E689" s="13">
        <v>2</v>
      </c>
      <c r="F689" s="13" t="s">
        <v>696</v>
      </c>
      <c r="G689" s="13" t="s">
        <v>641</v>
      </c>
      <c r="H689" s="13" t="s">
        <v>641</v>
      </c>
    </row>
    <row r="690" spans="1:8">
      <c r="A690" s="13" t="s">
        <v>3180</v>
      </c>
      <c r="B690" s="13">
        <v>4000278</v>
      </c>
      <c r="C690" s="13" t="s">
        <v>641</v>
      </c>
      <c r="D690" s="13" t="s">
        <v>1075</v>
      </c>
      <c r="E690" s="13">
        <v>2</v>
      </c>
      <c r="F690" s="13" t="s">
        <v>696</v>
      </c>
      <c r="G690" s="13" t="s">
        <v>641</v>
      </c>
      <c r="H690" s="13" t="s">
        <v>641</v>
      </c>
    </row>
    <row r="691" spans="1:8">
      <c r="A691" s="13" t="s">
        <v>3180</v>
      </c>
      <c r="B691" s="13">
        <v>4000279</v>
      </c>
      <c r="C691" s="13" t="s">
        <v>641</v>
      </c>
      <c r="D691" s="13" t="s">
        <v>1076</v>
      </c>
      <c r="E691" s="13">
        <v>2</v>
      </c>
      <c r="F691" s="13" t="s">
        <v>696</v>
      </c>
      <c r="G691" s="13" t="s">
        <v>641</v>
      </c>
      <c r="H691" s="13" t="s">
        <v>641</v>
      </c>
    </row>
    <row r="692" spans="1:8">
      <c r="A692" s="13" t="s">
        <v>3180</v>
      </c>
      <c r="B692" s="13">
        <v>4000280</v>
      </c>
      <c r="C692" s="13" t="s">
        <v>641</v>
      </c>
      <c r="D692" s="13" t="s">
        <v>1077</v>
      </c>
      <c r="E692" s="13">
        <v>2</v>
      </c>
      <c r="F692" s="13" t="s">
        <v>696</v>
      </c>
      <c r="G692" s="13" t="s">
        <v>641</v>
      </c>
      <c r="H692" s="13" t="s">
        <v>641</v>
      </c>
    </row>
    <row r="693" spans="1:8">
      <c r="A693" s="13" t="s">
        <v>3180</v>
      </c>
      <c r="B693" s="13">
        <v>4000281</v>
      </c>
      <c r="C693" s="13" t="s">
        <v>641</v>
      </c>
      <c r="D693" s="13" t="s">
        <v>1078</v>
      </c>
      <c r="E693" s="13">
        <v>2</v>
      </c>
      <c r="F693" s="13" t="s">
        <v>696</v>
      </c>
      <c r="G693" s="13" t="s">
        <v>641</v>
      </c>
      <c r="H693" s="13" t="s">
        <v>641</v>
      </c>
    </row>
    <row r="694" spans="1:8">
      <c r="A694" s="13" t="s">
        <v>3180</v>
      </c>
      <c r="B694" s="13">
        <v>4000282</v>
      </c>
      <c r="C694" s="13" t="s">
        <v>641</v>
      </c>
      <c r="D694" s="13" t="s">
        <v>1079</v>
      </c>
      <c r="E694" s="13">
        <v>2</v>
      </c>
      <c r="F694" s="13" t="s">
        <v>696</v>
      </c>
      <c r="G694" s="13" t="s">
        <v>641</v>
      </c>
      <c r="H694" s="13" t="s">
        <v>641</v>
      </c>
    </row>
    <row r="695" spans="1:8">
      <c r="A695" s="13" t="s">
        <v>3180</v>
      </c>
      <c r="B695" s="13">
        <v>4000283</v>
      </c>
      <c r="C695" s="13" t="s">
        <v>641</v>
      </c>
      <c r="D695" s="13" t="s">
        <v>1080</v>
      </c>
      <c r="E695" s="13">
        <v>2</v>
      </c>
      <c r="F695" s="13" t="s">
        <v>696</v>
      </c>
      <c r="G695" s="13" t="s">
        <v>641</v>
      </c>
      <c r="H695" s="13" t="s">
        <v>641</v>
      </c>
    </row>
    <row r="696" spans="1:8">
      <c r="A696" s="13" t="s">
        <v>3180</v>
      </c>
      <c r="B696" s="13">
        <v>4000284</v>
      </c>
      <c r="C696" s="13" t="s">
        <v>641</v>
      </c>
      <c r="D696" s="13" t="s">
        <v>1081</v>
      </c>
      <c r="E696" s="13">
        <v>2</v>
      </c>
      <c r="F696" s="13" t="s">
        <v>696</v>
      </c>
      <c r="G696" s="13" t="s">
        <v>641</v>
      </c>
      <c r="H696" s="13" t="s">
        <v>641</v>
      </c>
    </row>
    <row r="697" spans="1:8">
      <c r="A697" s="13" t="s">
        <v>3180</v>
      </c>
      <c r="B697" s="13">
        <v>4000291</v>
      </c>
      <c r="C697" s="13" t="s">
        <v>641</v>
      </c>
      <c r="D697" s="13" t="s">
        <v>1082</v>
      </c>
      <c r="E697" s="13">
        <v>2</v>
      </c>
      <c r="F697" s="13" t="s">
        <v>696</v>
      </c>
      <c r="G697" s="13" t="s">
        <v>641</v>
      </c>
      <c r="H697" s="13" t="s">
        <v>641</v>
      </c>
    </row>
    <row r="698" spans="1:8">
      <c r="A698" s="13" t="s">
        <v>3180</v>
      </c>
      <c r="B698" s="13">
        <v>4000314</v>
      </c>
      <c r="C698" s="13" t="s">
        <v>641</v>
      </c>
      <c r="D698" s="13" t="s">
        <v>3382</v>
      </c>
      <c r="E698" s="13">
        <v>2</v>
      </c>
      <c r="F698" s="13" t="s">
        <v>671</v>
      </c>
      <c r="G698" s="13" t="s">
        <v>678</v>
      </c>
      <c r="H698" s="13" t="s">
        <v>641</v>
      </c>
    </row>
    <row r="699" spans="1:8">
      <c r="A699" s="13" t="s">
        <v>3180</v>
      </c>
      <c r="B699" s="13">
        <v>4000323</v>
      </c>
      <c r="C699" s="13" t="s">
        <v>641</v>
      </c>
      <c r="D699" s="13" t="s">
        <v>1083</v>
      </c>
      <c r="E699" s="13">
        <v>2</v>
      </c>
      <c r="F699" s="13" t="s">
        <v>671</v>
      </c>
      <c r="G699" s="13" t="s">
        <v>678</v>
      </c>
      <c r="H699" s="13" t="s">
        <v>641</v>
      </c>
    </row>
    <row r="700" spans="1:8">
      <c r="A700" s="13" t="s">
        <v>3180</v>
      </c>
      <c r="B700" s="13">
        <v>4000324</v>
      </c>
      <c r="C700" s="13" t="s">
        <v>641</v>
      </c>
      <c r="D700" s="13" t="s">
        <v>1084</v>
      </c>
      <c r="E700" s="13">
        <v>2</v>
      </c>
      <c r="F700" s="13" t="s">
        <v>696</v>
      </c>
      <c r="G700" s="13" t="s">
        <v>641</v>
      </c>
      <c r="H700" s="13" t="s">
        <v>641</v>
      </c>
    </row>
    <row r="701" spans="1:8">
      <c r="A701" s="13" t="s">
        <v>3180</v>
      </c>
      <c r="B701" s="13">
        <v>4000325</v>
      </c>
      <c r="C701" s="13" t="s">
        <v>641</v>
      </c>
      <c r="D701" s="13" t="s">
        <v>1085</v>
      </c>
      <c r="E701" s="13">
        <v>2</v>
      </c>
      <c r="F701" s="13" t="s">
        <v>671</v>
      </c>
      <c r="G701" s="13" t="s">
        <v>672</v>
      </c>
      <c r="H701" s="13" t="s">
        <v>641</v>
      </c>
    </row>
    <row r="702" spans="1:8">
      <c r="A702" s="13" t="s">
        <v>3180</v>
      </c>
      <c r="B702" s="13">
        <v>4000349</v>
      </c>
      <c r="C702" s="13" t="s">
        <v>641</v>
      </c>
      <c r="D702" s="13" t="s">
        <v>1086</v>
      </c>
      <c r="E702" s="13">
        <v>2</v>
      </c>
      <c r="F702" s="13" t="s">
        <v>671</v>
      </c>
      <c r="G702" s="13" t="s">
        <v>677</v>
      </c>
      <c r="H702" s="13" t="s">
        <v>641</v>
      </c>
    </row>
    <row r="703" spans="1:8">
      <c r="A703" s="13" t="s">
        <v>3180</v>
      </c>
      <c r="B703" s="13">
        <v>4000360</v>
      </c>
      <c r="C703" s="13" t="s">
        <v>641</v>
      </c>
      <c r="D703" s="13" t="s">
        <v>1087</v>
      </c>
      <c r="E703" s="13">
        <v>2</v>
      </c>
      <c r="F703" s="13" t="s">
        <v>671</v>
      </c>
      <c r="G703" s="13" t="s">
        <v>672</v>
      </c>
      <c r="H703" s="13" t="s">
        <v>641</v>
      </c>
    </row>
    <row r="704" spans="1:8">
      <c r="A704" s="13" t="s">
        <v>3180</v>
      </c>
      <c r="B704" s="13">
        <v>4000361</v>
      </c>
      <c r="C704" s="13" t="s">
        <v>641</v>
      </c>
      <c r="D704" s="13" t="s">
        <v>1088</v>
      </c>
      <c r="E704" s="13">
        <v>2</v>
      </c>
      <c r="F704" s="13" t="s">
        <v>671</v>
      </c>
      <c r="G704" s="13" t="s">
        <v>672</v>
      </c>
      <c r="H704" s="13" t="s">
        <v>641</v>
      </c>
    </row>
    <row r="705" spans="1:8">
      <c r="A705" s="13" t="s">
        <v>3180</v>
      </c>
      <c r="B705" s="13">
        <v>4000364</v>
      </c>
      <c r="C705" s="13" t="s">
        <v>641</v>
      </c>
      <c r="D705" s="13" t="s">
        <v>3383</v>
      </c>
      <c r="E705" s="13">
        <v>2</v>
      </c>
      <c r="F705" s="13" t="s">
        <v>671</v>
      </c>
      <c r="G705" s="13" t="s">
        <v>672</v>
      </c>
      <c r="H705" s="13" t="s">
        <v>641</v>
      </c>
    </row>
    <row r="706" spans="1:8">
      <c r="A706" s="13" t="s">
        <v>3180</v>
      </c>
      <c r="B706" s="13">
        <v>4000365</v>
      </c>
      <c r="C706" s="13" t="s">
        <v>641</v>
      </c>
      <c r="D706" s="13" t="s">
        <v>1089</v>
      </c>
      <c r="E706" s="13">
        <v>2</v>
      </c>
      <c r="F706" s="13" t="s">
        <v>671</v>
      </c>
      <c r="G706" s="13" t="s">
        <v>672</v>
      </c>
      <c r="H706" s="13" t="s">
        <v>641</v>
      </c>
    </row>
    <row r="707" spans="1:8">
      <c r="A707" s="13" t="s">
        <v>3180</v>
      </c>
      <c r="B707" s="13">
        <v>4000373</v>
      </c>
      <c r="C707" s="13" t="s">
        <v>641</v>
      </c>
      <c r="D707" s="13" t="s">
        <v>1892</v>
      </c>
      <c r="E707" s="13">
        <v>2</v>
      </c>
      <c r="F707" s="13" t="s">
        <v>696</v>
      </c>
      <c r="G707" s="13" t="s">
        <v>641</v>
      </c>
      <c r="H707" s="13" t="s">
        <v>641</v>
      </c>
    </row>
    <row r="708" spans="1:8">
      <c r="A708" s="13" t="s">
        <v>3180</v>
      </c>
      <c r="B708" s="13">
        <v>4000374</v>
      </c>
      <c r="C708" s="13" t="s">
        <v>641</v>
      </c>
      <c r="D708" s="13" t="s">
        <v>1891</v>
      </c>
      <c r="E708" s="13">
        <v>2</v>
      </c>
      <c r="F708" s="13" t="s">
        <v>696</v>
      </c>
      <c r="G708" s="13" t="s">
        <v>641</v>
      </c>
      <c r="H708" s="13" t="s">
        <v>641</v>
      </c>
    </row>
    <row r="709" spans="1:8">
      <c r="A709" s="13" t="s">
        <v>3180</v>
      </c>
      <c r="B709" s="13">
        <v>4000375</v>
      </c>
      <c r="C709" s="13" t="s">
        <v>641</v>
      </c>
      <c r="D709" s="13" t="s">
        <v>1090</v>
      </c>
      <c r="E709" s="13">
        <v>2</v>
      </c>
      <c r="F709" s="13" t="s">
        <v>696</v>
      </c>
      <c r="G709" s="13" t="s">
        <v>641</v>
      </c>
      <c r="H709" s="13" t="s">
        <v>641</v>
      </c>
    </row>
    <row r="710" spans="1:8">
      <c r="A710" s="13" t="s">
        <v>3180</v>
      </c>
      <c r="B710" s="13">
        <v>4000376</v>
      </c>
      <c r="C710" s="13" t="s">
        <v>641</v>
      </c>
      <c r="D710" s="13" t="s">
        <v>1091</v>
      </c>
      <c r="E710" s="13">
        <v>2</v>
      </c>
      <c r="F710" s="13" t="s">
        <v>696</v>
      </c>
      <c r="G710" s="13" t="s">
        <v>641</v>
      </c>
      <c r="H710" s="13" t="s">
        <v>641</v>
      </c>
    </row>
    <row r="711" spans="1:8">
      <c r="A711" s="13" t="s">
        <v>3180</v>
      </c>
      <c r="B711" s="13">
        <v>4000378</v>
      </c>
      <c r="C711" s="13" t="s">
        <v>641</v>
      </c>
      <c r="D711" s="13" t="s">
        <v>3384</v>
      </c>
      <c r="E711" s="13">
        <v>2</v>
      </c>
      <c r="F711" s="13" t="s">
        <v>696</v>
      </c>
      <c r="G711" s="13" t="s">
        <v>641</v>
      </c>
      <c r="H711" s="13" t="s">
        <v>641</v>
      </c>
    </row>
    <row r="712" spans="1:8">
      <c r="A712" s="13" t="s">
        <v>3180</v>
      </c>
      <c r="B712" s="13">
        <v>4000381</v>
      </c>
      <c r="C712" s="13" t="s">
        <v>641</v>
      </c>
      <c r="D712" s="13" t="s">
        <v>1092</v>
      </c>
      <c r="E712" s="13">
        <v>2</v>
      </c>
      <c r="F712" s="13" t="s">
        <v>671</v>
      </c>
      <c r="G712" s="13" t="s">
        <v>677</v>
      </c>
      <c r="H712" s="13" t="s">
        <v>641</v>
      </c>
    </row>
    <row r="713" spans="1:8">
      <c r="A713" s="13" t="s">
        <v>3180</v>
      </c>
      <c r="B713" s="13">
        <v>4000383</v>
      </c>
      <c r="C713" s="13" t="s">
        <v>641</v>
      </c>
      <c r="D713" s="13" t="s">
        <v>1093</v>
      </c>
      <c r="E713" s="13">
        <v>2</v>
      </c>
      <c r="F713" s="13" t="s">
        <v>671</v>
      </c>
      <c r="G713" s="13" t="s">
        <v>677</v>
      </c>
      <c r="H713" s="13" t="s">
        <v>641</v>
      </c>
    </row>
    <row r="714" spans="1:8">
      <c r="A714" s="13" t="s">
        <v>3180</v>
      </c>
      <c r="B714" s="13">
        <v>4000400</v>
      </c>
      <c r="C714" s="13" t="s">
        <v>641</v>
      </c>
      <c r="D714" s="13" t="s">
        <v>1094</v>
      </c>
      <c r="E714" s="13">
        <v>2</v>
      </c>
      <c r="F714" s="13" t="s">
        <v>671</v>
      </c>
      <c r="G714" s="13" t="s">
        <v>677</v>
      </c>
      <c r="H714" s="13" t="s">
        <v>641</v>
      </c>
    </row>
    <row r="715" spans="1:8">
      <c r="A715" s="13" t="s">
        <v>3180</v>
      </c>
      <c r="B715" s="13">
        <v>4000411</v>
      </c>
      <c r="C715" s="13" t="s">
        <v>641</v>
      </c>
      <c r="D715" s="13" t="s">
        <v>1095</v>
      </c>
      <c r="E715" s="13">
        <v>2</v>
      </c>
      <c r="F715" s="13" t="s">
        <v>671</v>
      </c>
      <c r="G715" s="13" t="s">
        <v>3385</v>
      </c>
      <c r="H715" s="13" t="s">
        <v>641</v>
      </c>
    </row>
    <row r="716" spans="1:8">
      <c r="A716" s="13" t="s">
        <v>3180</v>
      </c>
      <c r="B716" s="13">
        <v>4000417</v>
      </c>
      <c r="C716" s="13" t="s">
        <v>641</v>
      </c>
      <c r="D716" s="13" t="s">
        <v>3386</v>
      </c>
      <c r="E716" s="13">
        <v>2</v>
      </c>
      <c r="F716" s="13" t="s">
        <v>671</v>
      </c>
      <c r="G716" s="13" t="s">
        <v>672</v>
      </c>
      <c r="H716" s="13" t="s">
        <v>641</v>
      </c>
    </row>
    <row r="717" spans="1:8">
      <c r="A717" s="13" t="s">
        <v>3180</v>
      </c>
      <c r="B717" s="13">
        <v>4000437</v>
      </c>
      <c r="C717" s="13" t="s">
        <v>641</v>
      </c>
      <c r="D717" s="13" t="s">
        <v>1096</v>
      </c>
      <c r="E717" s="13">
        <v>2</v>
      </c>
      <c r="F717" s="13" t="s">
        <v>671</v>
      </c>
      <c r="G717" s="13" t="s">
        <v>678</v>
      </c>
      <c r="H717" s="13" t="s">
        <v>641</v>
      </c>
    </row>
    <row r="718" spans="1:8">
      <c r="A718" s="13" t="s">
        <v>3180</v>
      </c>
      <c r="B718" s="13">
        <v>4000448</v>
      </c>
      <c r="C718" s="13" t="s">
        <v>641</v>
      </c>
      <c r="D718" s="13" t="s">
        <v>1097</v>
      </c>
      <c r="E718" s="13">
        <v>2</v>
      </c>
      <c r="F718" s="13" t="s">
        <v>671</v>
      </c>
      <c r="G718" s="13" t="s">
        <v>677</v>
      </c>
      <c r="H718" s="13" t="s">
        <v>641</v>
      </c>
    </row>
    <row r="719" spans="1:8">
      <c r="A719" s="13" t="s">
        <v>3180</v>
      </c>
      <c r="B719" s="13">
        <v>4000455</v>
      </c>
      <c r="C719" s="13" t="s">
        <v>641</v>
      </c>
      <c r="D719" s="13" t="s">
        <v>3387</v>
      </c>
      <c r="E719" s="13">
        <v>1</v>
      </c>
      <c r="F719" s="13" t="s">
        <v>642</v>
      </c>
      <c r="G719" s="13" t="s">
        <v>641</v>
      </c>
      <c r="H719" s="13" t="s">
        <v>641</v>
      </c>
    </row>
    <row r="720" spans="1:8">
      <c r="A720" s="13" t="s">
        <v>3180</v>
      </c>
      <c r="B720" s="13">
        <v>4000465</v>
      </c>
      <c r="C720" s="13" t="s">
        <v>641</v>
      </c>
      <c r="D720" s="13" t="s">
        <v>330</v>
      </c>
      <c r="E720" s="13">
        <v>2</v>
      </c>
      <c r="F720" s="13" t="s">
        <v>671</v>
      </c>
      <c r="G720" s="13" t="s">
        <v>672</v>
      </c>
      <c r="H720" s="13" t="s">
        <v>641</v>
      </c>
    </row>
    <row r="721" spans="1:8">
      <c r="A721" s="13" t="s">
        <v>3180</v>
      </c>
      <c r="B721" s="13">
        <v>4000466</v>
      </c>
      <c r="C721" s="13" t="s">
        <v>641</v>
      </c>
      <c r="D721" s="13" t="s">
        <v>3388</v>
      </c>
      <c r="E721" s="13">
        <v>2</v>
      </c>
      <c r="F721" s="13" t="s">
        <v>671</v>
      </c>
      <c r="G721" s="13" t="s">
        <v>672</v>
      </c>
      <c r="H721" s="13" t="s">
        <v>641</v>
      </c>
    </row>
    <row r="722" spans="1:8">
      <c r="A722" s="13" t="s">
        <v>3180</v>
      </c>
      <c r="B722" s="13">
        <v>4000492</v>
      </c>
      <c r="C722" s="13" t="s">
        <v>641</v>
      </c>
      <c r="D722" s="13" t="s">
        <v>3389</v>
      </c>
      <c r="E722" s="13">
        <v>2</v>
      </c>
      <c r="F722" s="13" t="s">
        <v>696</v>
      </c>
      <c r="G722" s="13" t="s">
        <v>641</v>
      </c>
      <c r="H722" s="13" t="s">
        <v>641</v>
      </c>
    </row>
    <row r="723" spans="1:8">
      <c r="A723" s="13" t="s">
        <v>3180</v>
      </c>
      <c r="B723" s="13">
        <v>4000493</v>
      </c>
      <c r="C723" s="13" t="s">
        <v>641</v>
      </c>
      <c r="D723" s="13" t="s">
        <v>3390</v>
      </c>
      <c r="E723" s="13">
        <v>2</v>
      </c>
      <c r="F723" s="13" t="s">
        <v>696</v>
      </c>
      <c r="G723" s="13" t="s">
        <v>641</v>
      </c>
      <c r="H723" s="13" t="s">
        <v>641</v>
      </c>
    </row>
    <row r="724" spans="1:8">
      <c r="A724" s="13" t="s">
        <v>3180</v>
      </c>
      <c r="B724" s="13">
        <v>4000494</v>
      </c>
      <c r="C724" s="13" t="s">
        <v>641</v>
      </c>
      <c r="D724" s="13" t="s">
        <v>3391</v>
      </c>
      <c r="E724" s="13">
        <v>2</v>
      </c>
      <c r="F724" s="13" t="s">
        <v>696</v>
      </c>
      <c r="G724" s="13" t="s">
        <v>641</v>
      </c>
      <c r="H724" s="13" t="s">
        <v>641</v>
      </c>
    </row>
    <row r="725" spans="1:8">
      <c r="A725" s="13" t="s">
        <v>3180</v>
      </c>
      <c r="B725" s="13">
        <v>4000495</v>
      </c>
      <c r="C725" s="13" t="s">
        <v>641</v>
      </c>
      <c r="D725" s="13" t="s">
        <v>3392</v>
      </c>
      <c r="E725" s="13">
        <v>2</v>
      </c>
      <c r="F725" s="13" t="s">
        <v>696</v>
      </c>
      <c r="G725" s="13" t="s">
        <v>641</v>
      </c>
      <c r="H725" s="13" t="s">
        <v>641</v>
      </c>
    </row>
    <row r="726" spans="1:8">
      <c r="A726" s="13" t="s">
        <v>3180</v>
      </c>
      <c r="B726" s="13">
        <v>4000534</v>
      </c>
      <c r="C726" s="13" t="s">
        <v>641</v>
      </c>
      <c r="D726" s="13" t="s">
        <v>1098</v>
      </c>
      <c r="E726" s="13">
        <v>2</v>
      </c>
      <c r="F726" s="13" t="s">
        <v>671</v>
      </c>
      <c r="G726" s="13" t="s">
        <v>677</v>
      </c>
      <c r="H726" s="13" t="s">
        <v>641</v>
      </c>
    </row>
    <row r="727" spans="1:8">
      <c r="A727" s="13" t="s">
        <v>3180</v>
      </c>
      <c r="B727" s="13">
        <v>4000556</v>
      </c>
      <c r="C727" s="13" t="s">
        <v>641</v>
      </c>
      <c r="D727" s="13" t="s">
        <v>3393</v>
      </c>
      <c r="E727" s="13">
        <v>2</v>
      </c>
      <c r="F727" s="13" t="s">
        <v>671</v>
      </c>
      <c r="G727" s="13" t="s">
        <v>678</v>
      </c>
      <c r="H727" s="13" t="s">
        <v>641</v>
      </c>
    </row>
    <row r="728" spans="1:8">
      <c r="A728" s="13" t="s">
        <v>3180</v>
      </c>
      <c r="B728" s="13">
        <v>4000559</v>
      </c>
      <c r="C728" s="13" t="s">
        <v>641</v>
      </c>
      <c r="D728" s="13" t="s">
        <v>3394</v>
      </c>
      <c r="E728" s="13">
        <v>2</v>
      </c>
      <c r="F728" s="13" t="s">
        <v>696</v>
      </c>
      <c r="G728" s="13" t="s">
        <v>641</v>
      </c>
      <c r="H728" s="13" t="s">
        <v>641</v>
      </c>
    </row>
    <row r="729" spans="1:8">
      <c r="A729" s="13" t="s">
        <v>3180</v>
      </c>
      <c r="B729" s="13">
        <v>4000560</v>
      </c>
      <c r="C729" s="13" t="s">
        <v>641</v>
      </c>
      <c r="D729" s="13" t="s">
        <v>1099</v>
      </c>
      <c r="E729" s="13">
        <v>2</v>
      </c>
      <c r="F729" s="13" t="s">
        <v>696</v>
      </c>
      <c r="G729" s="13" t="s">
        <v>641</v>
      </c>
      <c r="H729" s="13" t="s">
        <v>641</v>
      </c>
    </row>
    <row r="730" spans="1:8">
      <c r="A730" s="13" t="s">
        <v>3180</v>
      </c>
      <c r="B730" s="13">
        <v>4000566</v>
      </c>
      <c r="C730" s="13" t="s">
        <v>641</v>
      </c>
      <c r="D730" s="13" t="s">
        <v>3395</v>
      </c>
      <c r="E730" s="13">
        <v>2</v>
      </c>
      <c r="F730" s="13" t="s">
        <v>671</v>
      </c>
      <c r="G730" s="13" t="s">
        <v>677</v>
      </c>
      <c r="H730" s="13" t="s">
        <v>641</v>
      </c>
    </row>
    <row r="731" spans="1:8">
      <c r="A731" s="13" t="s">
        <v>3180</v>
      </c>
      <c r="B731" s="13">
        <v>4000607</v>
      </c>
      <c r="C731" s="13" t="s">
        <v>641</v>
      </c>
      <c r="D731" s="13" t="s">
        <v>1100</v>
      </c>
      <c r="E731" s="13">
        <v>2</v>
      </c>
      <c r="F731" s="13" t="s">
        <v>671</v>
      </c>
      <c r="G731" s="13" t="s">
        <v>677</v>
      </c>
      <c r="H731" s="13" t="s">
        <v>641</v>
      </c>
    </row>
    <row r="732" spans="1:8">
      <c r="A732" s="13" t="s">
        <v>3180</v>
      </c>
      <c r="B732" s="13">
        <v>4000608</v>
      </c>
      <c r="C732" s="13" t="s">
        <v>641</v>
      </c>
      <c r="D732" s="13" t="s">
        <v>1101</v>
      </c>
      <c r="E732" s="13">
        <v>2</v>
      </c>
      <c r="F732" s="13" t="s">
        <v>671</v>
      </c>
      <c r="G732" s="13" t="s">
        <v>677</v>
      </c>
      <c r="H732" s="13" t="s">
        <v>641</v>
      </c>
    </row>
    <row r="733" spans="1:8">
      <c r="A733" s="13" t="s">
        <v>3180</v>
      </c>
      <c r="B733" s="13">
        <v>4000617</v>
      </c>
      <c r="C733" s="13" t="s">
        <v>641</v>
      </c>
      <c r="D733" s="13" t="s">
        <v>1102</v>
      </c>
      <c r="E733" s="13">
        <v>2</v>
      </c>
      <c r="F733" s="13" t="s">
        <v>671</v>
      </c>
      <c r="G733" s="13" t="s">
        <v>677</v>
      </c>
      <c r="H733" s="13" t="s">
        <v>641</v>
      </c>
    </row>
    <row r="734" spans="1:8">
      <c r="A734" s="13" t="s">
        <v>3180</v>
      </c>
      <c r="B734" s="13">
        <v>4000618</v>
      </c>
      <c r="C734" s="13" t="s">
        <v>641</v>
      </c>
      <c r="D734" s="13" t="s">
        <v>3396</v>
      </c>
      <c r="E734" s="13">
        <v>2</v>
      </c>
      <c r="F734" s="13" t="s">
        <v>709</v>
      </c>
      <c r="G734" s="13" t="s">
        <v>641</v>
      </c>
      <c r="H734" s="13" t="s">
        <v>641</v>
      </c>
    </row>
    <row r="735" spans="1:8">
      <c r="A735" s="13" t="s">
        <v>3180</v>
      </c>
      <c r="B735" s="13">
        <v>4000623</v>
      </c>
      <c r="C735" s="13" t="s">
        <v>641</v>
      </c>
      <c r="D735" s="13" t="s">
        <v>3397</v>
      </c>
      <c r="E735" s="13">
        <v>2</v>
      </c>
      <c r="F735" s="13" t="s">
        <v>671</v>
      </c>
      <c r="G735" s="13" t="s">
        <v>672</v>
      </c>
      <c r="H735" s="13" t="s">
        <v>3187</v>
      </c>
    </row>
    <row r="736" spans="1:8">
      <c r="A736" s="13" t="s">
        <v>3180</v>
      </c>
      <c r="B736" s="13">
        <v>4000624</v>
      </c>
      <c r="C736" s="13" t="s">
        <v>641</v>
      </c>
      <c r="D736" s="13" t="s">
        <v>3398</v>
      </c>
      <c r="E736" s="13">
        <v>2</v>
      </c>
      <c r="F736" s="13" t="s">
        <v>671</v>
      </c>
      <c r="G736" s="13" t="s">
        <v>672</v>
      </c>
      <c r="H736" s="13" t="s">
        <v>3187</v>
      </c>
    </row>
    <row r="737" spans="1:8">
      <c r="A737" s="13" t="s">
        <v>3180</v>
      </c>
      <c r="B737" s="13">
        <v>4000625</v>
      </c>
      <c r="C737" s="13" t="s">
        <v>641</v>
      </c>
      <c r="D737" s="13" t="s">
        <v>3399</v>
      </c>
      <c r="E737" s="13">
        <v>2</v>
      </c>
      <c r="F737" s="13" t="s">
        <v>671</v>
      </c>
      <c r="G737" s="13" t="s">
        <v>678</v>
      </c>
      <c r="H737" s="13" t="s">
        <v>3187</v>
      </c>
    </row>
    <row r="738" spans="1:8">
      <c r="A738" s="13" t="s">
        <v>3180</v>
      </c>
      <c r="B738" s="13">
        <v>4000631</v>
      </c>
      <c r="C738" s="13" t="s">
        <v>641</v>
      </c>
      <c r="D738" s="13" t="s">
        <v>3400</v>
      </c>
      <c r="E738" s="13">
        <v>2</v>
      </c>
      <c r="F738" s="13" t="s">
        <v>709</v>
      </c>
      <c r="G738" s="13" t="s">
        <v>641</v>
      </c>
      <c r="H738" s="13" t="s">
        <v>641</v>
      </c>
    </row>
    <row r="739" spans="1:8">
      <c r="A739" s="13" t="s">
        <v>3180</v>
      </c>
      <c r="B739" s="13">
        <v>4000633</v>
      </c>
      <c r="C739" s="13" t="s">
        <v>641</v>
      </c>
      <c r="D739" s="13" t="s">
        <v>3401</v>
      </c>
      <c r="E739" s="13">
        <v>2</v>
      </c>
      <c r="F739" s="13" t="s">
        <v>671</v>
      </c>
      <c r="G739" s="13" t="s">
        <v>677</v>
      </c>
      <c r="H739" s="13" t="s">
        <v>641</v>
      </c>
    </row>
    <row r="740" spans="1:8">
      <c r="A740" s="13" t="s">
        <v>3180</v>
      </c>
      <c r="B740" s="13">
        <v>4000635</v>
      </c>
      <c r="C740" s="13" t="s">
        <v>641</v>
      </c>
      <c r="D740" s="13" t="s">
        <v>130</v>
      </c>
      <c r="E740" s="13">
        <v>1</v>
      </c>
      <c r="F740" s="13" t="s">
        <v>646</v>
      </c>
      <c r="G740" s="13" t="s">
        <v>641</v>
      </c>
      <c r="H740" s="13" t="s">
        <v>641</v>
      </c>
    </row>
    <row r="741" spans="1:8">
      <c r="A741" s="13" t="s">
        <v>3180</v>
      </c>
      <c r="B741" s="13">
        <v>4000640</v>
      </c>
      <c r="C741" s="13" t="s">
        <v>641</v>
      </c>
      <c r="D741" s="13" t="s">
        <v>95</v>
      </c>
      <c r="E741" s="13">
        <v>2</v>
      </c>
      <c r="F741" s="13" t="s">
        <v>671</v>
      </c>
      <c r="G741" s="13" t="s">
        <v>676</v>
      </c>
      <c r="H741" s="13" t="s">
        <v>641</v>
      </c>
    </row>
    <row r="742" spans="1:8">
      <c r="A742" s="13" t="s">
        <v>3180</v>
      </c>
      <c r="B742" s="13">
        <v>4000642</v>
      </c>
      <c r="C742" s="13" t="s">
        <v>641</v>
      </c>
      <c r="D742" s="13" t="s">
        <v>63</v>
      </c>
      <c r="E742" s="13">
        <v>2</v>
      </c>
      <c r="F742" s="13" t="s">
        <v>671</v>
      </c>
      <c r="G742" s="13" t="s">
        <v>676</v>
      </c>
      <c r="H742" s="13" t="s">
        <v>641</v>
      </c>
    </row>
    <row r="743" spans="1:8">
      <c r="A743" s="13" t="s">
        <v>3180</v>
      </c>
      <c r="B743" s="13">
        <v>4000643</v>
      </c>
      <c r="C743" s="13" t="s">
        <v>641</v>
      </c>
      <c r="D743" s="13" t="s">
        <v>1103</v>
      </c>
      <c r="E743" s="13">
        <v>2</v>
      </c>
      <c r="F743" s="13" t="s">
        <v>671</v>
      </c>
      <c r="G743" s="13" t="s">
        <v>676</v>
      </c>
      <c r="H743" s="13" t="s">
        <v>641</v>
      </c>
    </row>
    <row r="744" spans="1:8">
      <c r="A744" s="13" t="s">
        <v>3180</v>
      </c>
      <c r="B744" s="13">
        <v>4000644</v>
      </c>
      <c r="C744" s="13" t="s">
        <v>641</v>
      </c>
      <c r="D744" s="13" t="s">
        <v>3402</v>
      </c>
      <c r="E744" s="13">
        <v>2</v>
      </c>
      <c r="F744" s="13" t="s">
        <v>671</v>
      </c>
      <c r="G744" s="13" t="s">
        <v>676</v>
      </c>
      <c r="H744" s="13" t="s">
        <v>641</v>
      </c>
    </row>
    <row r="745" spans="1:8">
      <c r="A745" s="13" t="s">
        <v>3180</v>
      </c>
      <c r="B745" s="13">
        <v>4000654</v>
      </c>
      <c r="C745" s="13" t="s">
        <v>641</v>
      </c>
      <c r="D745" s="13" t="s">
        <v>1104</v>
      </c>
      <c r="E745" s="13">
        <v>2</v>
      </c>
      <c r="F745" s="13" t="s">
        <v>671</v>
      </c>
      <c r="G745" s="13" t="s">
        <v>677</v>
      </c>
      <c r="H745" s="13" t="s">
        <v>641</v>
      </c>
    </row>
    <row r="746" spans="1:8">
      <c r="A746" s="13" t="s">
        <v>3180</v>
      </c>
      <c r="B746" s="13">
        <v>4000655</v>
      </c>
      <c r="C746" s="13" t="s">
        <v>641</v>
      </c>
      <c r="D746" s="13" t="s">
        <v>1105</v>
      </c>
      <c r="E746" s="13">
        <v>2</v>
      </c>
      <c r="F746" s="13" t="s">
        <v>671</v>
      </c>
      <c r="G746" s="13" t="s">
        <v>677</v>
      </c>
      <c r="H746" s="13" t="s">
        <v>641</v>
      </c>
    </row>
    <row r="747" spans="1:8">
      <c r="A747" s="13" t="s">
        <v>3180</v>
      </c>
      <c r="B747" s="13">
        <v>4000678</v>
      </c>
      <c r="C747" s="13" t="s">
        <v>641</v>
      </c>
      <c r="D747" s="13" t="s">
        <v>1106</v>
      </c>
      <c r="E747" s="13">
        <v>2</v>
      </c>
      <c r="F747" s="13" t="s">
        <v>696</v>
      </c>
      <c r="G747" s="13" t="s">
        <v>641</v>
      </c>
      <c r="H747" s="13" t="s">
        <v>641</v>
      </c>
    </row>
    <row r="748" spans="1:8">
      <c r="A748" s="13" t="s">
        <v>3180</v>
      </c>
      <c r="B748" s="13">
        <v>4000683</v>
      </c>
      <c r="C748" s="13" t="s">
        <v>641</v>
      </c>
      <c r="D748" s="13" t="s">
        <v>3403</v>
      </c>
      <c r="E748" s="13">
        <v>2</v>
      </c>
      <c r="F748" s="13" t="s">
        <v>671</v>
      </c>
      <c r="G748" s="13" t="s">
        <v>3385</v>
      </c>
      <c r="H748" s="13" t="s">
        <v>641</v>
      </c>
    </row>
    <row r="749" spans="1:8">
      <c r="A749" s="13" t="s">
        <v>3180</v>
      </c>
      <c r="B749" s="13">
        <v>4000685</v>
      </c>
      <c r="C749" s="13" t="s">
        <v>641</v>
      </c>
      <c r="D749" s="13" t="s">
        <v>3404</v>
      </c>
      <c r="E749" s="13">
        <v>2</v>
      </c>
      <c r="F749" s="13" t="s">
        <v>671</v>
      </c>
      <c r="G749" s="13" t="s">
        <v>672</v>
      </c>
      <c r="H749" s="13" t="s">
        <v>641</v>
      </c>
    </row>
    <row r="750" spans="1:8">
      <c r="A750" s="13" t="s">
        <v>3180</v>
      </c>
      <c r="B750" s="13">
        <v>4000691</v>
      </c>
      <c r="C750" s="13" t="s">
        <v>641</v>
      </c>
      <c r="D750" s="13" t="s">
        <v>1107</v>
      </c>
      <c r="E750" s="13">
        <v>2</v>
      </c>
      <c r="F750" s="13" t="s">
        <v>671</v>
      </c>
      <c r="G750" s="13" t="s">
        <v>672</v>
      </c>
      <c r="H750" s="13" t="s">
        <v>641</v>
      </c>
    </row>
    <row r="751" spans="1:8">
      <c r="A751" s="13" t="s">
        <v>3180</v>
      </c>
      <c r="B751" s="13">
        <v>4000692</v>
      </c>
      <c r="C751" s="13" t="s">
        <v>641</v>
      </c>
      <c r="D751" s="13" t="s">
        <v>1898</v>
      </c>
      <c r="E751" s="13">
        <v>2</v>
      </c>
      <c r="F751" s="13" t="s">
        <v>671</v>
      </c>
      <c r="G751" s="13" t="s">
        <v>678</v>
      </c>
      <c r="H751" s="13" t="s">
        <v>641</v>
      </c>
    </row>
    <row r="752" spans="1:8">
      <c r="A752" s="13" t="s">
        <v>3180</v>
      </c>
      <c r="B752" s="13">
        <v>4000707</v>
      </c>
      <c r="C752" s="13" t="s">
        <v>641</v>
      </c>
      <c r="D752" s="13" t="s">
        <v>1108</v>
      </c>
      <c r="E752" s="13">
        <v>2</v>
      </c>
      <c r="F752" s="13" t="s">
        <v>671</v>
      </c>
      <c r="G752" s="13" t="s">
        <v>672</v>
      </c>
      <c r="H752" s="13" t="s">
        <v>641</v>
      </c>
    </row>
    <row r="753" spans="1:8">
      <c r="A753" s="13" t="s">
        <v>3180</v>
      </c>
      <c r="B753" s="13">
        <v>4000724</v>
      </c>
      <c r="C753" s="13" t="s">
        <v>641</v>
      </c>
      <c r="D753" s="13" t="s">
        <v>1109</v>
      </c>
      <c r="E753" s="13">
        <v>2</v>
      </c>
      <c r="F753" s="13" t="s">
        <v>671</v>
      </c>
      <c r="G753" s="13" t="s">
        <v>678</v>
      </c>
      <c r="H753" s="13" t="s">
        <v>641</v>
      </c>
    </row>
    <row r="754" spans="1:8">
      <c r="A754" s="13" t="s">
        <v>3180</v>
      </c>
      <c r="B754" s="13">
        <v>4000749</v>
      </c>
      <c r="C754" s="13" t="s">
        <v>641</v>
      </c>
      <c r="D754" s="13" t="s">
        <v>1110</v>
      </c>
      <c r="E754" s="13">
        <v>2</v>
      </c>
      <c r="F754" s="13" t="s">
        <v>671</v>
      </c>
      <c r="G754" s="13" t="s">
        <v>678</v>
      </c>
      <c r="H754" s="13" t="s">
        <v>641</v>
      </c>
    </row>
    <row r="755" spans="1:8">
      <c r="A755" s="13" t="s">
        <v>3180</v>
      </c>
      <c r="B755" s="13">
        <v>4000756</v>
      </c>
      <c r="C755" s="13" t="s">
        <v>641</v>
      </c>
      <c r="D755" s="13" t="s">
        <v>1111</v>
      </c>
      <c r="E755" s="13">
        <v>2</v>
      </c>
      <c r="F755" s="13" t="s">
        <v>671</v>
      </c>
      <c r="G755" s="13" t="s">
        <v>678</v>
      </c>
      <c r="H755" s="13" t="s">
        <v>641</v>
      </c>
    </row>
    <row r="756" spans="1:8">
      <c r="A756" s="13" t="s">
        <v>3180</v>
      </c>
      <c r="B756" s="13">
        <v>4000757</v>
      </c>
      <c r="C756" s="13" t="s">
        <v>641</v>
      </c>
      <c r="D756" s="13" t="s">
        <v>1112</v>
      </c>
      <c r="E756" s="13">
        <v>2</v>
      </c>
      <c r="F756" s="13" t="s">
        <v>671</v>
      </c>
      <c r="G756" s="13" t="s">
        <v>677</v>
      </c>
      <c r="H756" s="13" t="s">
        <v>641</v>
      </c>
    </row>
    <row r="757" spans="1:8">
      <c r="A757" s="13" t="s">
        <v>3180</v>
      </c>
      <c r="B757" s="13">
        <v>4000768</v>
      </c>
      <c r="C757" s="13" t="s">
        <v>641</v>
      </c>
      <c r="D757" s="13" t="s">
        <v>3405</v>
      </c>
      <c r="E757" s="13">
        <v>2</v>
      </c>
      <c r="F757" s="13" t="s">
        <v>709</v>
      </c>
      <c r="G757" s="13" t="s">
        <v>641</v>
      </c>
      <c r="H757" s="13" t="s">
        <v>3187</v>
      </c>
    </row>
    <row r="758" spans="1:8">
      <c r="A758" s="13" t="s">
        <v>3180</v>
      </c>
      <c r="B758" s="13">
        <v>4000770</v>
      </c>
      <c r="C758" s="13" t="s">
        <v>641</v>
      </c>
      <c r="D758" s="13" t="s">
        <v>1113</v>
      </c>
      <c r="E758" s="13">
        <v>2</v>
      </c>
      <c r="F758" s="13" t="s">
        <v>671</v>
      </c>
      <c r="G758" s="13" t="s">
        <v>678</v>
      </c>
      <c r="H758" s="13" t="s">
        <v>641</v>
      </c>
    </row>
    <row r="759" spans="1:8">
      <c r="A759" s="13" t="s">
        <v>3180</v>
      </c>
      <c r="B759" s="13">
        <v>4000778</v>
      </c>
      <c r="C759" s="13" t="s">
        <v>641</v>
      </c>
      <c r="D759" s="13" t="s">
        <v>3406</v>
      </c>
      <c r="E759" s="13">
        <v>2</v>
      </c>
      <c r="F759" s="13" t="s">
        <v>671</v>
      </c>
      <c r="G759" s="13" t="s">
        <v>678</v>
      </c>
      <c r="H759" s="13" t="s">
        <v>641</v>
      </c>
    </row>
    <row r="760" spans="1:8">
      <c r="A760" s="13" t="s">
        <v>3180</v>
      </c>
      <c r="B760" s="13">
        <v>4000805</v>
      </c>
      <c r="C760" s="13" t="s">
        <v>641</v>
      </c>
      <c r="D760" s="13" t="s">
        <v>1114</v>
      </c>
      <c r="E760" s="13">
        <v>2</v>
      </c>
      <c r="F760" s="13" t="s">
        <v>671</v>
      </c>
      <c r="G760" s="13" t="s">
        <v>678</v>
      </c>
      <c r="H760" s="13" t="s">
        <v>641</v>
      </c>
    </row>
    <row r="761" spans="1:8">
      <c r="A761" s="13" t="s">
        <v>3180</v>
      </c>
      <c r="B761" s="13">
        <v>4000806</v>
      </c>
      <c r="C761" s="13" t="s">
        <v>641</v>
      </c>
      <c r="D761" s="13" t="s">
        <v>3407</v>
      </c>
      <c r="E761" s="13">
        <v>2</v>
      </c>
      <c r="F761" s="13" t="s">
        <v>671</v>
      </c>
      <c r="G761" s="13" t="s">
        <v>678</v>
      </c>
      <c r="H761" s="13" t="s">
        <v>641</v>
      </c>
    </row>
    <row r="762" spans="1:8">
      <c r="A762" s="13" t="s">
        <v>3180</v>
      </c>
      <c r="B762" s="13">
        <v>4000811</v>
      </c>
      <c r="C762" s="13" t="s">
        <v>641</v>
      </c>
      <c r="D762" s="13" t="s">
        <v>1884</v>
      </c>
      <c r="E762" s="13">
        <v>2</v>
      </c>
      <c r="F762" s="13" t="s">
        <v>671</v>
      </c>
      <c r="G762" s="13" t="s">
        <v>677</v>
      </c>
      <c r="H762" s="13" t="s">
        <v>641</v>
      </c>
    </row>
    <row r="763" spans="1:8">
      <c r="A763" s="13" t="s">
        <v>3180</v>
      </c>
      <c r="B763" s="13">
        <v>4000830</v>
      </c>
      <c r="C763" s="13" t="s">
        <v>641</v>
      </c>
      <c r="D763" s="13" t="s">
        <v>1115</v>
      </c>
      <c r="E763" s="13">
        <v>2</v>
      </c>
      <c r="F763" s="13" t="s">
        <v>671</v>
      </c>
      <c r="G763" s="13" t="s">
        <v>677</v>
      </c>
      <c r="H763" s="13" t="s">
        <v>641</v>
      </c>
    </row>
    <row r="764" spans="1:8">
      <c r="A764" s="13" t="s">
        <v>3180</v>
      </c>
      <c r="B764" s="13">
        <v>4001018</v>
      </c>
      <c r="C764" s="13" t="s">
        <v>641</v>
      </c>
      <c r="D764" s="13" t="s">
        <v>3408</v>
      </c>
      <c r="E764" s="13">
        <v>1</v>
      </c>
      <c r="F764" s="13" t="s">
        <v>646</v>
      </c>
      <c r="G764" s="13" t="s">
        <v>641</v>
      </c>
      <c r="H764" s="13" t="s">
        <v>700</v>
      </c>
    </row>
    <row r="765" spans="1:8">
      <c r="A765" s="13" t="s">
        <v>3180</v>
      </c>
      <c r="B765" s="13">
        <v>4001081</v>
      </c>
      <c r="C765" s="13" t="s">
        <v>641</v>
      </c>
      <c r="D765" s="13" t="s">
        <v>3409</v>
      </c>
      <c r="E765" s="13">
        <v>1</v>
      </c>
      <c r="F765" s="13" t="s">
        <v>646</v>
      </c>
      <c r="G765" s="13" t="s">
        <v>641</v>
      </c>
      <c r="H765" s="13" t="s">
        <v>3298</v>
      </c>
    </row>
    <row r="766" spans="1:8">
      <c r="A766" s="13" t="s">
        <v>3180</v>
      </c>
      <c r="B766" s="13">
        <v>4001146</v>
      </c>
      <c r="C766" s="13" t="s">
        <v>641</v>
      </c>
      <c r="D766" s="13" t="s">
        <v>1116</v>
      </c>
      <c r="E766" s="13">
        <v>1</v>
      </c>
      <c r="F766" s="13" t="s">
        <v>640</v>
      </c>
      <c r="G766" s="13" t="s">
        <v>641</v>
      </c>
      <c r="H766" s="13" t="s">
        <v>641</v>
      </c>
    </row>
    <row r="767" spans="1:8">
      <c r="A767" s="13" t="s">
        <v>3180</v>
      </c>
      <c r="B767" s="13">
        <v>4001192</v>
      </c>
      <c r="C767" s="13" t="s">
        <v>641</v>
      </c>
      <c r="D767" s="13" t="s">
        <v>3410</v>
      </c>
      <c r="E767" s="13">
        <v>1</v>
      </c>
      <c r="F767" s="13" t="s">
        <v>640</v>
      </c>
      <c r="G767" s="13" t="s">
        <v>641</v>
      </c>
      <c r="H767" s="13" t="s">
        <v>3298</v>
      </c>
    </row>
    <row r="768" spans="1:8">
      <c r="A768" s="13" t="s">
        <v>3180</v>
      </c>
      <c r="B768" s="13">
        <v>4001212</v>
      </c>
      <c r="C768" s="13" t="s">
        <v>641</v>
      </c>
      <c r="D768" s="13" t="s">
        <v>1117</v>
      </c>
      <c r="E768" s="13">
        <v>2</v>
      </c>
      <c r="F768" s="13" t="s">
        <v>671</v>
      </c>
      <c r="G768" s="13" t="s">
        <v>678</v>
      </c>
      <c r="H768" s="13" t="s">
        <v>641</v>
      </c>
    </row>
    <row r="769" spans="1:8">
      <c r="A769" s="13" t="s">
        <v>3180</v>
      </c>
      <c r="B769" s="13">
        <v>4001340</v>
      </c>
      <c r="C769" s="13" t="s">
        <v>641</v>
      </c>
      <c r="D769" s="13" t="s">
        <v>3411</v>
      </c>
      <c r="E769" s="13">
        <v>2</v>
      </c>
      <c r="F769" s="13" t="s">
        <v>696</v>
      </c>
      <c r="G769" s="13" t="s">
        <v>641</v>
      </c>
      <c r="H769" s="13" t="s">
        <v>641</v>
      </c>
    </row>
    <row r="770" spans="1:8">
      <c r="A770" s="13" t="s">
        <v>3180</v>
      </c>
      <c r="B770" s="13">
        <v>4001341</v>
      </c>
      <c r="C770" s="13" t="s">
        <v>641</v>
      </c>
      <c r="D770" s="13" t="s">
        <v>3412</v>
      </c>
      <c r="E770" s="13">
        <v>2</v>
      </c>
      <c r="F770" s="13" t="s">
        <v>696</v>
      </c>
      <c r="G770" s="13" t="s">
        <v>641</v>
      </c>
      <c r="H770" s="13" t="s">
        <v>641</v>
      </c>
    </row>
    <row r="771" spans="1:8">
      <c r="A771" s="13" t="s">
        <v>3180</v>
      </c>
      <c r="B771" s="13">
        <v>4001342</v>
      </c>
      <c r="C771" s="13" t="s">
        <v>641</v>
      </c>
      <c r="D771" s="13" t="s">
        <v>3413</v>
      </c>
      <c r="E771" s="13">
        <v>2</v>
      </c>
      <c r="F771" s="13" t="s">
        <v>696</v>
      </c>
      <c r="G771" s="13" t="s">
        <v>641</v>
      </c>
      <c r="H771" s="13" t="s">
        <v>641</v>
      </c>
    </row>
    <row r="772" spans="1:8">
      <c r="A772" s="13" t="s">
        <v>3180</v>
      </c>
      <c r="B772" s="13">
        <v>4001343</v>
      </c>
      <c r="C772" s="13" t="s">
        <v>641</v>
      </c>
      <c r="D772" s="13" t="s">
        <v>3414</v>
      </c>
      <c r="E772" s="13">
        <v>2</v>
      </c>
      <c r="F772" s="13" t="s">
        <v>696</v>
      </c>
      <c r="G772" s="13" t="s">
        <v>641</v>
      </c>
      <c r="H772" s="13" t="s">
        <v>641</v>
      </c>
    </row>
    <row r="773" spans="1:8">
      <c r="A773" s="13" t="s">
        <v>3180</v>
      </c>
      <c r="B773" s="13">
        <v>4001344</v>
      </c>
      <c r="C773" s="13" t="s">
        <v>641</v>
      </c>
      <c r="D773" s="13" t="s">
        <v>3415</v>
      </c>
      <c r="E773" s="13">
        <v>2</v>
      </c>
      <c r="F773" s="13" t="s">
        <v>696</v>
      </c>
      <c r="G773" s="13" t="s">
        <v>641</v>
      </c>
      <c r="H773" s="13" t="s">
        <v>641</v>
      </c>
    </row>
    <row r="774" spans="1:8">
      <c r="A774" s="13" t="s">
        <v>3180</v>
      </c>
      <c r="B774" s="13">
        <v>4001345</v>
      </c>
      <c r="C774" s="13" t="s">
        <v>641</v>
      </c>
      <c r="D774" s="13" t="s">
        <v>3416</v>
      </c>
      <c r="E774" s="13">
        <v>2</v>
      </c>
      <c r="F774" s="13" t="s">
        <v>696</v>
      </c>
      <c r="G774" s="13" t="s">
        <v>641</v>
      </c>
      <c r="H774" s="13" t="s">
        <v>641</v>
      </c>
    </row>
    <row r="775" spans="1:8">
      <c r="A775" s="13" t="s">
        <v>3180</v>
      </c>
      <c r="B775" s="13">
        <v>4001346</v>
      </c>
      <c r="C775" s="13" t="s">
        <v>641</v>
      </c>
      <c r="D775" s="13" t="s">
        <v>3417</v>
      </c>
      <c r="E775" s="13">
        <v>2</v>
      </c>
      <c r="F775" s="13" t="s">
        <v>696</v>
      </c>
      <c r="G775" s="13" t="s">
        <v>641</v>
      </c>
      <c r="H775" s="13" t="s">
        <v>641</v>
      </c>
    </row>
    <row r="776" spans="1:8">
      <c r="A776" s="13" t="s">
        <v>3180</v>
      </c>
      <c r="B776" s="13">
        <v>4001347</v>
      </c>
      <c r="C776" s="13" t="s">
        <v>641</v>
      </c>
      <c r="D776" s="13" t="s">
        <v>3418</v>
      </c>
      <c r="E776" s="13">
        <v>2</v>
      </c>
      <c r="F776" s="13" t="s">
        <v>696</v>
      </c>
      <c r="G776" s="13" t="s">
        <v>641</v>
      </c>
      <c r="H776" s="13" t="s">
        <v>641</v>
      </c>
    </row>
    <row r="777" spans="1:8">
      <c r="A777" s="13" t="s">
        <v>3180</v>
      </c>
      <c r="B777" s="13">
        <v>4001348</v>
      </c>
      <c r="C777" s="13" t="s">
        <v>641</v>
      </c>
      <c r="D777" s="13" t="s">
        <v>1118</v>
      </c>
      <c r="E777" s="13">
        <v>2</v>
      </c>
      <c r="F777" s="13" t="s">
        <v>696</v>
      </c>
      <c r="G777" s="13" t="s">
        <v>641</v>
      </c>
      <c r="H777" s="13" t="s">
        <v>641</v>
      </c>
    </row>
    <row r="778" spans="1:8">
      <c r="A778" s="13" t="s">
        <v>3180</v>
      </c>
      <c r="B778" s="13">
        <v>4001349</v>
      </c>
      <c r="C778" s="13" t="s">
        <v>641</v>
      </c>
      <c r="D778" s="13" t="s">
        <v>1119</v>
      </c>
      <c r="E778" s="13">
        <v>2</v>
      </c>
      <c r="F778" s="13" t="s">
        <v>696</v>
      </c>
      <c r="G778" s="13" t="s">
        <v>641</v>
      </c>
      <c r="H778" s="13" t="s">
        <v>641</v>
      </c>
    </row>
    <row r="779" spans="1:8">
      <c r="A779" s="13" t="s">
        <v>3180</v>
      </c>
      <c r="B779" s="13">
        <v>4001350</v>
      </c>
      <c r="C779" s="13" t="s">
        <v>641</v>
      </c>
      <c r="D779" s="13" t="s">
        <v>3419</v>
      </c>
      <c r="E779" s="13">
        <v>2</v>
      </c>
      <c r="F779" s="13" t="s">
        <v>696</v>
      </c>
      <c r="G779" s="13" t="s">
        <v>641</v>
      </c>
      <c r="H779" s="13" t="s">
        <v>641</v>
      </c>
    </row>
    <row r="780" spans="1:8">
      <c r="A780" s="13" t="s">
        <v>3180</v>
      </c>
      <c r="B780" s="13">
        <v>4001351</v>
      </c>
      <c r="C780" s="13" t="s">
        <v>641</v>
      </c>
      <c r="D780" s="13" t="s">
        <v>1120</v>
      </c>
      <c r="E780" s="13">
        <v>2</v>
      </c>
      <c r="F780" s="13" t="s">
        <v>696</v>
      </c>
      <c r="G780" s="13" t="s">
        <v>641</v>
      </c>
      <c r="H780" s="13" t="s">
        <v>641</v>
      </c>
    </row>
    <row r="781" spans="1:8">
      <c r="A781" s="13" t="s">
        <v>3180</v>
      </c>
      <c r="B781" s="13">
        <v>4001386</v>
      </c>
      <c r="C781" s="13" t="s">
        <v>641</v>
      </c>
      <c r="D781" s="13" t="s">
        <v>1121</v>
      </c>
      <c r="E781" s="13">
        <v>2</v>
      </c>
      <c r="F781" s="13" t="s">
        <v>696</v>
      </c>
      <c r="G781" s="13" t="s">
        <v>641</v>
      </c>
      <c r="H781" s="13" t="s">
        <v>641</v>
      </c>
    </row>
    <row r="782" spans="1:8">
      <c r="A782" s="13" t="s">
        <v>3180</v>
      </c>
      <c r="B782" s="13">
        <v>4001387</v>
      </c>
      <c r="C782" s="13" t="s">
        <v>641</v>
      </c>
      <c r="D782" s="13" t="s">
        <v>1122</v>
      </c>
      <c r="E782" s="13">
        <v>2</v>
      </c>
      <c r="F782" s="13" t="s">
        <v>696</v>
      </c>
      <c r="G782" s="13" t="s">
        <v>641</v>
      </c>
      <c r="H782" s="13" t="s">
        <v>641</v>
      </c>
    </row>
    <row r="783" spans="1:8">
      <c r="A783" s="13" t="s">
        <v>3180</v>
      </c>
      <c r="B783" s="13">
        <v>4001388</v>
      </c>
      <c r="C783" s="13" t="s">
        <v>641</v>
      </c>
      <c r="D783" s="13" t="s">
        <v>1123</v>
      </c>
      <c r="E783" s="13">
        <v>2</v>
      </c>
      <c r="F783" s="13" t="s">
        <v>696</v>
      </c>
      <c r="G783" s="13" t="s">
        <v>641</v>
      </c>
      <c r="H783" s="13" t="s">
        <v>641</v>
      </c>
    </row>
    <row r="784" spans="1:8">
      <c r="A784" s="13" t="s">
        <v>3180</v>
      </c>
      <c r="B784" s="13">
        <v>4001389</v>
      </c>
      <c r="C784" s="13" t="s">
        <v>641</v>
      </c>
      <c r="D784" s="13" t="s">
        <v>1124</v>
      </c>
      <c r="E784" s="13">
        <v>2</v>
      </c>
      <c r="F784" s="13" t="s">
        <v>696</v>
      </c>
      <c r="G784" s="13" t="s">
        <v>641</v>
      </c>
      <c r="H784" s="13" t="s">
        <v>641</v>
      </c>
    </row>
    <row r="785" spans="1:8">
      <c r="A785" s="13" t="s">
        <v>3180</v>
      </c>
      <c r="B785" s="13">
        <v>4001390</v>
      </c>
      <c r="C785" s="13" t="s">
        <v>641</v>
      </c>
      <c r="D785" s="13" t="s">
        <v>1125</v>
      </c>
      <c r="E785" s="13">
        <v>2</v>
      </c>
      <c r="F785" s="13" t="s">
        <v>696</v>
      </c>
      <c r="G785" s="13" t="s">
        <v>641</v>
      </c>
      <c r="H785" s="13" t="s">
        <v>641</v>
      </c>
    </row>
    <row r="786" spans="1:8">
      <c r="A786" s="13" t="s">
        <v>3180</v>
      </c>
      <c r="B786" s="13">
        <v>4001501</v>
      </c>
      <c r="C786" s="13" t="s">
        <v>641</v>
      </c>
      <c r="D786" s="13" t="s">
        <v>3420</v>
      </c>
      <c r="E786" s="13">
        <v>1</v>
      </c>
      <c r="F786" s="13" t="s">
        <v>640</v>
      </c>
      <c r="G786" s="13" t="s">
        <v>641</v>
      </c>
      <c r="H786" s="13" t="s">
        <v>641</v>
      </c>
    </row>
    <row r="787" spans="1:8">
      <c r="A787" s="13" t="s">
        <v>3180</v>
      </c>
      <c r="B787" s="13">
        <v>4001650</v>
      </c>
      <c r="C787" s="13" t="s">
        <v>641</v>
      </c>
      <c r="D787" s="13" t="s">
        <v>3421</v>
      </c>
      <c r="E787" s="13">
        <v>1</v>
      </c>
      <c r="F787" s="13" t="s">
        <v>642</v>
      </c>
      <c r="G787" s="13" t="s">
        <v>641</v>
      </c>
      <c r="H787" s="13" t="s">
        <v>700</v>
      </c>
    </row>
    <row r="788" spans="1:8">
      <c r="A788" s="13" t="s">
        <v>3180</v>
      </c>
      <c r="B788" s="13">
        <v>4001653</v>
      </c>
      <c r="C788" s="13" t="s">
        <v>641</v>
      </c>
      <c r="D788" s="13" t="s">
        <v>3422</v>
      </c>
      <c r="E788" s="13">
        <v>2</v>
      </c>
      <c r="F788" s="13" t="s">
        <v>696</v>
      </c>
      <c r="G788" s="13" t="s">
        <v>641</v>
      </c>
      <c r="H788" s="13" t="s">
        <v>641</v>
      </c>
    </row>
    <row r="789" spans="1:8">
      <c r="A789" s="13" t="s">
        <v>3180</v>
      </c>
      <c r="B789" s="13">
        <v>4001725</v>
      </c>
      <c r="C789" s="13" t="s">
        <v>641</v>
      </c>
      <c r="D789" s="13" t="s">
        <v>1126</v>
      </c>
      <c r="E789" s="13">
        <v>2</v>
      </c>
      <c r="F789" s="13" t="s">
        <v>671</v>
      </c>
      <c r="G789" s="13" t="s">
        <v>677</v>
      </c>
      <c r="H789" s="13" t="s">
        <v>641</v>
      </c>
    </row>
    <row r="790" spans="1:8">
      <c r="A790" s="13" t="s">
        <v>3180</v>
      </c>
      <c r="B790" s="13">
        <v>4001742</v>
      </c>
      <c r="C790" s="13" t="s">
        <v>641</v>
      </c>
      <c r="D790" s="13" t="s">
        <v>693</v>
      </c>
      <c r="E790" s="13">
        <v>2</v>
      </c>
      <c r="F790" s="13" t="s">
        <v>671</v>
      </c>
      <c r="G790" s="13" t="s">
        <v>678</v>
      </c>
      <c r="H790" s="13" t="s">
        <v>641</v>
      </c>
    </row>
    <row r="791" spans="1:8">
      <c r="A791" s="13" t="s">
        <v>3180</v>
      </c>
      <c r="B791" s="13">
        <v>4001778</v>
      </c>
      <c r="C791" s="13" t="s">
        <v>641</v>
      </c>
      <c r="D791" s="13" t="s">
        <v>1127</v>
      </c>
      <c r="E791" s="13">
        <v>2</v>
      </c>
      <c r="F791" s="13" t="s">
        <v>696</v>
      </c>
      <c r="G791" s="13" t="s">
        <v>641</v>
      </c>
      <c r="H791" s="13" t="s">
        <v>641</v>
      </c>
    </row>
    <row r="792" spans="1:8">
      <c r="A792" s="13" t="s">
        <v>3180</v>
      </c>
      <c r="B792" s="13">
        <v>4001980</v>
      </c>
      <c r="C792" s="13" t="s">
        <v>641</v>
      </c>
      <c r="D792" s="13" t="s">
        <v>1128</v>
      </c>
      <c r="E792" s="13">
        <v>2</v>
      </c>
      <c r="F792" s="13" t="s">
        <v>671</v>
      </c>
      <c r="G792" s="13" t="s">
        <v>678</v>
      </c>
      <c r="H792" s="13" t="s">
        <v>641</v>
      </c>
    </row>
    <row r="793" spans="1:8">
      <c r="A793" s="13" t="s">
        <v>3180</v>
      </c>
      <c r="B793" s="13">
        <v>4001981</v>
      </c>
      <c r="C793" s="13" t="s">
        <v>641</v>
      </c>
      <c r="D793" s="13" t="s">
        <v>3423</v>
      </c>
      <c r="E793" s="13">
        <v>2</v>
      </c>
      <c r="F793" s="13" t="s">
        <v>671</v>
      </c>
      <c r="G793" s="13" t="s">
        <v>678</v>
      </c>
      <c r="H793" s="13" t="s">
        <v>641</v>
      </c>
    </row>
    <row r="794" spans="1:8">
      <c r="A794" s="13" t="s">
        <v>3180</v>
      </c>
      <c r="B794" s="13">
        <v>4002261</v>
      </c>
      <c r="C794" s="13" t="s">
        <v>641</v>
      </c>
      <c r="D794" s="13" t="s">
        <v>3424</v>
      </c>
      <c r="E794" s="13">
        <v>2</v>
      </c>
      <c r="F794" s="13" t="s">
        <v>671</v>
      </c>
      <c r="G794" s="13" t="s">
        <v>677</v>
      </c>
      <c r="H794" s="13" t="s">
        <v>641</v>
      </c>
    </row>
    <row r="795" spans="1:8">
      <c r="A795" s="13" t="s">
        <v>3180</v>
      </c>
      <c r="B795" s="13">
        <v>4002362</v>
      </c>
      <c r="C795" s="13" t="s">
        <v>641</v>
      </c>
      <c r="D795" s="13" t="s">
        <v>1129</v>
      </c>
      <c r="E795" s="13">
        <v>2</v>
      </c>
      <c r="F795" s="13" t="s">
        <v>671</v>
      </c>
      <c r="G795" s="13" t="s">
        <v>3385</v>
      </c>
      <c r="H795" s="13" t="s">
        <v>641</v>
      </c>
    </row>
    <row r="796" spans="1:8">
      <c r="A796" s="13" t="s">
        <v>3180</v>
      </c>
      <c r="B796" s="13">
        <v>4002409</v>
      </c>
      <c r="C796" s="13" t="s">
        <v>641</v>
      </c>
      <c r="D796" s="13" t="s">
        <v>1130</v>
      </c>
      <c r="E796" s="13">
        <v>2</v>
      </c>
      <c r="F796" s="13" t="s">
        <v>696</v>
      </c>
      <c r="G796" s="13" t="s">
        <v>641</v>
      </c>
      <c r="H796" s="13" t="s">
        <v>641</v>
      </c>
    </row>
    <row r="797" spans="1:8">
      <c r="A797" s="13" t="s">
        <v>3180</v>
      </c>
      <c r="B797" s="13">
        <v>4002410</v>
      </c>
      <c r="C797" s="13" t="s">
        <v>641</v>
      </c>
      <c r="D797" s="13" t="s">
        <v>1131</v>
      </c>
      <c r="E797" s="13">
        <v>2</v>
      </c>
      <c r="F797" s="13" t="s">
        <v>696</v>
      </c>
      <c r="G797" s="13" t="s">
        <v>641</v>
      </c>
      <c r="H797" s="13" t="s">
        <v>641</v>
      </c>
    </row>
    <row r="798" spans="1:8">
      <c r="A798" s="13" t="s">
        <v>3180</v>
      </c>
      <c r="B798" s="13">
        <v>4002481</v>
      </c>
      <c r="C798" s="13" t="s">
        <v>641</v>
      </c>
      <c r="D798" s="13" t="s">
        <v>1132</v>
      </c>
      <c r="E798" s="13">
        <v>1</v>
      </c>
      <c r="F798" s="13" t="s">
        <v>642</v>
      </c>
      <c r="G798" s="13" t="s">
        <v>641</v>
      </c>
      <c r="H798" s="13" t="s">
        <v>641</v>
      </c>
    </row>
    <row r="799" spans="1:8">
      <c r="A799" s="13" t="s">
        <v>3180</v>
      </c>
      <c r="B799" s="13">
        <v>4002573</v>
      </c>
      <c r="C799" s="13" t="s">
        <v>641</v>
      </c>
      <c r="D799" s="13" t="s">
        <v>1133</v>
      </c>
      <c r="E799" s="13">
        <v>2</v>
      </c>
      <c r="F799" s="13" t="s">
        <v>671</v>
      </c>
      <c r="G799" s="13" t="s">
        <v>677</v>
      </c>
      <c r="H799" s="13" t="s">
        <v>641</v>
      </c>
    </row>
    <row r="800" spans="1:8">
      <c r="A800" s="13" t="s">
        <v>3180</v>
      </c>
      <c r="B800" s="13">
        <v>4002705</v>
      </c>
      <c r="C800" s="13" t="s">
        <v>641</v>
      </c>
      <c r="D800" s="13" t="s">
        <v>1134</v>
      </c>
      <c r="E800" s="13">
        <v>2</v>
      </c>
      <c r="F800" s="13" t="s">
        <v>671</v>
      </c>
      <c r="G800" s="13" t="s">
        <v>677</v>
      </c>
      <c r="H800" s="13" t="s">
        <v>641</v>
      </c>
    </row>
    <row r="801" spans="1:8">
      <c r="A801" s="13" t="s">
        <v>3180</v>
      </c>
      <c r="B801" s="13">
        <v>4002706</v>
      </c>
      <c r="C801" s="13" t="s">
        <v>641</v>
      </c>
      <c r="D801" s="13" t="s">
        <v>1135</v>
      </c>
      <c r="E801" s="13">
        <v>2</v>
      </c>
      <c r="F801" s="13" t="s">
        <v>671</v>
      </c>
      <c r="G801" s="13" t="s">
        <v>678</v>
      </c>
      <c r="H801" s="13" t="s">
        <v>641</v>
      </c>
    </row>
    <row r="802" spans="1:8">
      <c r="A802" s="13" t="s">
        <v>3180</v>
      </c>
      <c r="B802" s="13">
        <v>4002707</v>
      </c>
      <c r="C802" s="13" t="s">
        <v>641</v>
      </c>
      <c r="D802" s="13" t="s">
        <v>1136</v>
      </c>
      <c r="E802" s="13">
        <v>2</v>
      </c>
      <c r="F802" s="13" t="s">
        <v>671</v>
      </c>
      <c r="G802" s="13" t="s">
        <v>677</v>
      </c>
      <c r="H802" s="13" t="s">
        <v>641</v>
      </c>
    </row>
    <row r="803" spans="1:8">
      <c r="A803" s="13" t="s">
        <v>3180</v>
      </c>
      <c r="B803" s="13">
        <v>4002708</v>
      </c>
      <c r="C803" s="13" t="s">
        <v>641</v>
      </c>
      <c r="D803" s="13" t="s">
        <v>1137</v>
      </c>
      <c r="E803" s="13">
        <v>2</v>
      </c>
      <c r="F803" s="13" t="s">
        <v>671</v>
      </c>
      <c r="G803" s="13" t="s">
        <v>677</v>
      </c>
      <c r="H803" s="13" t="s">
        <v>641</v>
      </c>
    </row>
    <row r="804" spans="1:8">
      <c r="A804" s="13" t="s">
        <v>3180</v>
      </c>
      <c r="B804" s="13">
        <v>4002769</v>
      </c>
      <c r="C804" s="13" t="s">
        <v>641</v>
      </c>
      <c r="D804" s="13" t="s">
        <v>3425</v>
      </c>
      <c r="E804" s="13">
        <v>2</v>
      </c>
      <c r="F804" s="13" t="s">
        <v>696</v>
      </c>
      <c r="G804" s="13" t="s">
        <v>641</v>
      </c>
      <c r="H804" s="13" t="s">
        <v>641</v>
      </c>
    </row>
    <row r="805" spans="1:8">
      <c r="A805" s="13" t="s">
        <v>3180</v>
      </c>
      <c r="B805" s="13">
        <v>4002770</v>
      </c>
      <c r="C805" s="13" t="s">
        <v>641</v>
      </c>
      <c r="D805" s="13" t="s">
        <v>3426</v>
      </c>
      <c r="E805" s="13">
        <v>2</v>
      </c>
      <c r="F805" s="13" t="s">
        <v>696</v>
      </c>
      <c r="G805" s="13" t="s">
        <v>641</v>
      </c>
      <c r="H805" s="13" t="s">
        <v>641</v>
      </c>
    </row>
    <row r="806" spans="1:8">
      <c r="A806" s="13" t="s">
        <v>3180</v>
      </c>
      <c r="B806" s="13">
        <v>4002771</v>
      </c>
      <c r="C806" s="13" t="s">
        <v>641</v>
      </c>
      <c r="D806" s="13" t="s">
        <v>3427</v>
      </c>
      <c r="E806" s="13">
        <v>2</v>
      </c>
      <c r="F806" s="13" t="s">
        <v>696</v>
      </c>
      <c r="G806" s="13" t="s">
        <v>641</v>
      </c>
      <c r="H806" s="13" t="s">
        <v>641</v>
      </c>
    </row>
    <row r="807" spans="1:8">
      <c r="A807" s="13" t="s">
        <v>3180</v>
      </c>
      <c r="B807" s="13">
        <v>4002772</v>
      </c>
      <c r="C807" s="13" t="s">
        <v>641</v>
      </c>
      <c r="D807" s="13" t="s">
        <v>3428</v>
      </c>
      <c r="E807" s="13">
        <v>2</v>
      </c>
      <c r="F807" s="13" t="s">
        <v>696</v>
      </c>
      <c r="G807" s="13" t="s">
        <v>641</v>
      </c>
      <c r="H807" s="13" t="s">
        <v>641</v>
      </c>
    </row>
    <row r="808" spans="1:8">
      <c r="A808" s="13" t="s">
        <v>3180</v>
      </c>
      <c r="B808" s="13">
        <v>4002773</v>
      </c>
      <c r="C808" s="13" t="s">
        <v>641</v>
      </c>
      <c r="D808" s="13" t="s">
        <v>3429</v>
      </c>
      <c r="E808" s="13">
        <v>2</v>
      </c>
      <c r="F808" s="13" t="s">
        <v>696</v>
      </c>
      <c r="G808" s="13" t="s">
        <v>641</v>
      </c>
      <c r="H808" s="13" t="s">
        <v>641</v>
      </c>
    </row>
    <row r="809" spans="1:8">
      <c r="A809" s="13" t="s">
        <v>3180</v>
      </c>
      <c r="B809" s="13">
        <v>4002775</v>
      </c>
      <c r="C809" s="13" t="s">
        <v>641</v>
      </c>
      <c r="D809" s="13" t="s">
        <v>3430</v>
      </c>
      <c r="E809" s="13">
        <v>2</v>
      </c>
      <c r="F809" s="13" t="s">
        <v>696</v>
      </c>
      <c r="G809" s="13" t="s">
        <v>641</v>
      </c>
      <c r="H809" s="13" t="s">
        <v>641</v>
      </c>
    </row>
    <row r="810" spans="1:8">
      <c r="A810" s="13" t="s">
        <v>3180</v>
      </c>
      <c r="B810" s="13">
        <v>4002776</v>
      </c>
      <c r="C810" s="13" t="s">
        <v>641</v>
      </c>
      <c r="D810" s="13" t="s">
        <v>3431</v>
      </c>
      <c r="E810" s="13">
        <v>2</v>
      </c>
      <c r="F810" s="13" t="s">
        <v>696</v>
      </c>
      <c r="G810" s="13" t="s">
        <v>641</v>
      </c>
      <c r="H810" s="13" t="s">
        <v>641</v>
      </c>
    </row>
    <row r="811" spans="1:8">
      <c r="A811" s="13" t="s">
        <v>3180</v>
      </c>
      <c r="B811" s="13">
        <v>4002777</v>
      </c>
      <c r="C811" s="13" t="s">
        <v>641</v>
      </c>
      <c r="D811" s="13" t="s">
        <v>3432</v>
      </c>
      <c r="E811" s="13">
        <v>2</v>
      </c>
      <c r="F811" s="13" t="s">
        <v>696</v>
      </c>
      <c r="G811" s="13" t="s">
        <v>641</v>
      </c>
      <c r="H811" s="13" t="s">
        <v>641</v>
      </c>
    </row>
    <row r="812" spans="1:8">
      <c r="A812" s="13" t="s">
        <v>3180</v>
      </c>
      <c r="B812" s="13">
        <v>4002778</v>
      </c>
      <c r="C812" s="13" t="s">
        <v>641</v>
      </c>
      <c r="D812" s="13" t="s">
        <v>3433</v>
      </c>
      <c r="E812" s="13">
        <v>2</v>
      </c>
      <c r="F812" s="13" t="s">
        <v>696</v>
      </c>
      <c r="G812" s="13" t="s">
        <v>641</v>
      </c>
      <c r="H812" s="13" t="s">
        <v>641</v>
      </c>
    </row>
    <row r="813" spans="1:8">
      <c r="A813" s="13" t="s">
        <v>3180</v>
      </c>
      <c r="B813" s="13">
        <v>4002797</v>
      </c>
      <c r="C813" s="13" t="s">
        <v>641</v>
      </c>
      <c r="D813" s="13" t="s">
        <v>1138</v>
      </c>
      <c r="E813" s="13">
        <v>2</v>
      </c>
      <c r="F813" s="13" t="s">
        <v>671</v>
      </c>
      <c r="G813" s="13" t="s">
        <v>677</v>
      </c>
      <c r="H813" s="13" t="s">
        <v>641</v>
      </c>
    </row>
    <row r="814" spans="1:8">
      <c r="A814" s="13" t="s">
        <v>3180</v>
      </c>
      <c r="B814" s="13">
        <v>4003066</v>
      </c>
      <c r="C814" s="13" t="s">
        <v>641</v>
      </c>
      <c r="D814" s="13" t="s">
        <v>549</v>
      </c>
      <c r="E814" s="13">
        <v>1</v>
      </c>
      <c r="F814" s="13" t="s">
        <v>646</v>
      </c>
      <c r="G814" s="13" t="s">
        <v>641</v>
      </c>
      <c r="H814" s="13" t="s">
        <v>641</v>
      </c>
    </row>
    <row r="815" spans="1:8">
      <c r="A815" s="13" t="s">
        <v>3180</v>
      </c>
      <c r="B815" s="13">
        <v>4003088</v>
      </c>
      <c r="C815" s="13" t="s">
        <v>641</v>
      </c>
      <c r="D815" s="13" t="s">
        <v>3434</v>
      </c>
      <c r="E815" s="13">
        <v>2</v>
      </c>
      <c r="F815" s="13" t="s">
        <v>671</v>
      </c>
      <c r="G815" s="13" t="s">
        <v>678</v>
      </c>
      <c r="H815" s="13" t="s">
        <v>641</v>
      </c>
    </row>
    <row r="816" spans="1:8">
      <c r="A816" s="13" t="s">
        <v>3180</v>
      </c>
      <c r="B816" s="13">
        <v>4003137</v>
      </c>
      <c r="C816" s="13" t="s">
        <v>641</v>
      </c>
      <c r="D816" s="13" t="s">
        <v>1140</v>
      </c>
      <c r="E816" s="13">
        <v>2</v>
      </c>
      <c r="F816" s="13" t="s">
        <v>671</v>
      </c>
      <c r="G816" s="13" t="s">
        <v>678</v>
      </c>
      <c r="H816" s="13" t="s">
        <v>641</v>
      </c>
    </row>
    <row r="817" spans="1:8">
      <c r="A817" s="13" t="s">
        <v>3180</v>
      </c>
      <c r="B817" s="13">
        <v>4003219</v>
      </c>
      <c r="C817" s="13" t="s">
        <v>641</v>
      </c>
      <c r="D817" s="13" t="s">
        <v>3435</v>
      </c>
      <c r="E817" s="13">
        <v>1</v>
      </c>
      <c r="F817" s="13" t="s">
        <v>642</v>
      </c>
      <c r="G817" s="13" t="s">
        <v>641</v>
      </c>
      <c r="H817" s="13" t="s">
        <v>700</v>
      </c>
    </row>
    <row r="818" spans="1:8">
      <c r="A818" s="13" t="s">
        <v>3180</v>
      </c>
      <c r="B818" s="13">
        <v>4003246</v>
      </c>
      <c r="C818" s="13" t="s">
        <v>641</v>
      </c>
      <c r="D818" s="13" t="s">
        <v>61</v>
      </c>
      <c r="E818" s="13">
        <v>2</v>
      </c>
      <c r="F818" s="13" t="s">
        <v>671</v>
      </c>
      <c r="G818" s="13" t="s">
        <v>678</v>
      </c>
      <c r="H818" s="13" t="s">
        <v>641</v>
      </c>
    </row>
    <row r="819" spans="1:8">
      <c r="A819" s="13" t="s">
        <v>3180</v>
      </c>
      <c r="B819" s="13">
        <v>4003265</v>
      </c>
      <c r="C819" s="13" t="s">
        <v>641</v>
      </c>
      <c r="D819" s="13" t="s">
        <v>3436</v>
      </c>
      <c r="E819" s="13">
        <v>2</v>
      </c>
      <c r="F819" s="13" t="s">
        <v>696</v>
      </c>
      <c r="G819" s="13" t="s">
        <v>641</v>
      </c>
      <c r="H819" s="13" t="s">
        <v>641</v>
      </c>
    </row>
    <row r="820" spans="1:8">
      <c r="A820" s="13" t="s">
        <v>3180</v>
      </c>
      <c r="B820" s="13">
        <v>4003266</v>
      </c>
      <c r="C820" s="13" t="s">
        <v>641</v>
      </c>
      <c r="D820" s="13" t="s">
        <v>3437</v>
      </c>
      <c r="E820" s="13">
        <v>2</v>
      </c>
      <c r="F820" s="13" t="s">
        <v>696</v>
      </c>
      <c r="G820" s="13" t="s">
        <v>641</v>
      </c>
      <c r="H820" s="13" t="s">
        <v>641</v>
      </c>
    </row>
    <row r="821" spans="1:8">
      <c r="A821" s="13" t="s">
        <v>3180</v>
      </c>
      <c r="B821" s="13">
        <v>4003267</v>
      </c>
      <c r="C821" s="13" t="s">
        <v>641</v>
      </c>
      <c r="D821" s="13" t="s">
        <v>3438</v>
      </c>
      <c r="E821" s="13">
        <v>2</v>
      </c>
      <c r="F821" s="13" t="s">
        <v>696</v>
      </c>
      <c r="G821" s="13" t="s">
        <v>641</v>
      </c>
      <c r="H821" s="13" t="s">
        <v>641</v>
      </c>
    </row>
    <row r="822" spans="1:8">
      <c r="A822" s="13" t="s">
        <v>3180</v>
      </c>
      <c r="B822" s="13">
        <v>4003270</v>
      </c>
      <c r="C822" s="13" t="s">
        <v>641</v>
      </c>
      <c r="D822" s="13" t="s">
        <v>3439</v>
      </c>
      <c r="E822" s="13">
        <v>2</v>
      </c>
      <c r="F822" s="13" t="s">
        <v>696</v>
      </c>
      <c r="G822" s="13" t="s">
        <v>641</v>
      </c>
      <c r="H822" s="13" t="s">
        <v>641</v>
      </c>
    </row>
    <row r="823" spans="1:8">
      <c r="A823" s="13" t="s">
        <v>3180</v>
      </c>
      <c r="B823" s="13">
        <v>4003271</v>
      </c>
      <c r="C823" s="13" t="s">
        <v>641</v>
      </c>
      <c r="D823" s="13" t="s">
        <v>1887</v>
      </c>
      <c r="E823" s="13">
        <v>2</v>
      </c>
      <c r="F823" s="13" t="s">
        <v>696</v>
      </c>
      <c r="G823" s="13" t="s">
        <v>641</v>
      </c>
      <c r="H823" s="13" t="s">
        <v>641</v>
      </c>
    </row>
    <row r="824" spans="1:8">
      <c r="A824" s="13" t="s">
        <v>3180</v>
      </c>
      <c r="B824" s="13">
        <v>4003272</v>
      </c>
      <c r="C824" s="13" t="s">
        <v>641</v>
      </c>
      <c r="D824" s="13" t="s">
        <v>1888</v>
      </c>
      <c r="E824" s="13">
        <v>2</v>
      </c>
      <c r="F824" s="13" t="s">
        <v>696</v>
      </c>
      <c r="G824" s="13" t="s">
        <v>641</v>
      </c>
      <c r="H824" s="13" t="s">
        <v>641</v>
      </c>
    </row>
    <row r="825" spans="1:8">
      <c r="A825" s="13" t="s">
        <v>3180</v>
      </c>
      <c r="B825" s="13">
        <v>4003273</v>
      </c>
      <c r="C825" s="13" t="s">
        <v>641</v>
      </c>
      <c r="D825" s="13" t="s">
        <v>1889</v>
      </c>
      <c r="E825" s="13">
        <v>2</v>
      </c>
      <c r="F825" s="13" t="s">
        <v>696</v>
      </c>
      <c r="G825" s="13" t="s">
        <v>641</v>
      </c>
      <c r="H825" s="13" t="s">
        <v>641</v>
      </c>
    </row>
    <row r="826" spans="1:8">
      <c r="A826" s="13" t="s">
        <v>3180</v>
      </c>
      <c r="B826" s="13">
        <v>4003276</v>
      </c>
      <c r="C826" s="13" t="s">
        <v>641</v>
      </c>
      <c r="D826" s="13" t="s">
        <v>3440</v>
      </c>
      <c r="E826" s="13">
        <v>2</v>
      </c>
      <c r="F826" s="13" t="s">
        <v>696</v>
      </c>
      <c r="G826" s="13" t="s">
        <v>641</v>
      </c>
      <c r="H826" s="13" t="s">
        <v>641</v>
      </c>
    </row>
    <row r="827" spans="1:8">
      <c r="A827" s="13" t="s">
        <v>3180</v>
      </c>
      <c r="B827" s="13">
        <v>4003277</v>
      </c>
      <c r="C827" s="13" t="s">
        <v>641</v>
      </c>
      <c r="D827" s="13" t="s">
        <v>3441</v>
      </c>
      <c r="E827" s="13">
        <v>2</v>
      </c>
      <c r="F827" s="13" t="s">
        <v>696</v>
      </c>
      <c r="G827" s="13" t="s">
        <v>641</v>
      </c>
      <c r="H827" s="13" t="s">
        <v>641</v>
      </c>
    </row>
    <row r="828" spans="1:8">
      <c r="A828" s="13" t="s">
        <v>3180</v>
      </c>
      <c r="B828" s="13">
        <v>4003278</v>
      </c>
      <c r="C828" s="13" t="s">
        <v>641</v>
      </c>
      <c r="D828" s="13" t="s">
        <v>3442</v>
      </c>
      <c r="E828" s="13">
        <v>2</v>
      </c>
      <c r="F828" s="13" t="s">
        <v>696</v>
      </c>
      <c r="G828" s="13" t="s">
        <v>641</v>
      </c>
      <c r="H828" s="13" t="s">
        <v>641</v>
      </c>
    </row>
    <row r="829" spans="1:8">
      <c r="A829" s="13" t="s">
        <v>3180</v>
      </c>
      <c r="B829" s="13">
        <v>4003308</v>
      </c>
      <c r="C829" s="13" t="s">
        <v>641</v>
      </c>
      <c r="D829" s="13" t="s">
        <v>1894</v>
      </c>
      <c r="E829" s="13">
        <v>2</v>
      </c>
      <c r="F829" s="13" t="s">
        <v>696</v>
      </c>
      <c r="G829" s="13" t="s">
        <v>641</v>
      </c>
      <c r="H829" s="13" t="s">
        <v>641</v>
      </c>
    </row>
    <row r="830" spans="1:8">
      <c r="A830" s="13" t="s">
        <v>3180</v>
      </c>
      <c r="B830" s="13">
        <v>4003365</v>
      </c>
      <c r="C830" s="13" t="s">
        <v>641</v>
      </c>
      <c r="D830" s="13" t="s">
        <v>1141</v>
      </c>
      <c r="E830" s="13">
        <v>2</v>
      </c>
      <c r="F830" s="13" t="s">
        <v>671</v>
      </c>
      <c r="G830" s="13" t="s">
        <v>678</v>
      </c>
      <c r="H830" s="13" t="s">
        <v>641</v>
      </c>
    </row>
    <row r="831" spans="1:8">
      <c r="A831" s="13" t="s">
        <v>3180</v>
      </c>
      <c r="B831" s="13">
        <v>4003366</v>
      </c>
      <c r="C831" s="13" t="s">
        <v>641</v>
      </c>
      <c r="D831" s="13" t="s">
        <v>3443</v>
      </c>
      <c r="E831" s="13">
        <v>2</v>
      </c>
      <c r="F831" s="13" t="s">
        <v>671</v>
      </c>
      <c r="G831" s="13" t="s">
        <v>677</v>
      </c>
      <c r="H831" s="13" t="s">
        <v>641</v>
      </c>
    </row>
    <row r="832" spans="1:8">
      <c r="A832" s="13" t="s">
        <v>3180</v>
      </c>
      <c r="B832" s="13">
        <v>4003367</v>
      </c>
      <c r="C832" s="13" t="s">
        <v>641</v>
      </c>
      <c r="D832" s="13" t="s">
        <v>3444</v>
      </c>
      <c r="E832" s="13">
        <v>2</v>
      </c>
      <c r="F832" s="13" t="s">
        <v>671</v>
      </c>
      <c r="G832" s="13" t="s">
        <v>677</v>
      </c>
      <c r="H832" s="13" t="s">
        <v>641</v>
      </c>
    </row>
    <row r="833" spans="1:8">
      <c r="A833" s="13" t="s">
        <v>3180</v>
      </c>
      <c r="B833" s="13">
        <v>4003438</v>
      </c>
      <c r="C833" s="13" t="s">
        <v>641</v>
      </c>
      <c r="D833" s="13" t="s">
        <v>3445</v>
      </c>
      <c r="E833" s="13">
        <v>2</v>
      </c>
      <c r="F833" s="13" t="s">
        <v>696</v>
      </c>
      <c r="G833" s="13" t="s">
        <v>641</v>
      </c>
      <c r="H833" s="13" t="s">
        <v>641</v>
      </c>
    </row>
    <row r="834" spans="1:8">
      <c r="A834" s="13" t="s">
        <v>3180</v>
      </c>
      <c r="B834" s="13">
        <v>4003455</v>
      </c>
      <c r="C834" s="13" t="s">
        <v>641</v>
      </c>
      <c r="D834" s="13" t="s">
        <v>1142</v>
      </c>
      <c r="E834" s="13">
        <v>2</v>
      </c>
      <c r="F834" s="13" t="s">
        <v>696</v>
      </c>
      <c r="G834" s="13" t="s">
        <v>641</v>
      </c>
      <c r="H834" s="13" t="s">
        <v>641</v>
      </c>
    </row>
    <row r="835" spans="1:8">
      <c r="A835" s="13" t="s">
        <v>3180</v>
      </c>
      <c r="B835" s="13">
        <v>4003456</v>
      </c>
      <c r="C835" s="13" t="s">
        <v>641</v>
      </c>
      <c r="D835" s="13" t="s">
        <v>1143</v>
      </c>
      <c r="E835" s="13">
        <v>2</v>
      </c>
      <c r="F835" s="13" t="s">
        <v>696</v>
      </c>
      <c r="G835" s="13" t="s">
        <v>641</v>
      </c>
      <c r="H835" s="13" t="s">
        <v>641</v>
      </c>
    </row>
    <row r="836" spans="1:8">
      <c r="A836" s="13" t="s">
        <v>3180</v>
      </c>
      <c r="B836" s="13">
        <v>4003457</v>
      </c>
      <c r="C836" s="13" t="s">
        <v>641</v>
      </c>
      <c r="D836" s="13" t="s">
        <v>1144</v>
      </c>
      <c r="E836" s="13">
        <v>2</v>
      </c>
      <c r="F836" s="13" t="s">
        <v>696</v>
      </c>
      <c r="G836" s="13" t="s">
        <v>641</v>
      </c>
      <c r="H836" s="13" t="s">
        <v>641</v>
      </c>
    </row>
    <row r="837" spans="1:8">
      <c r="A837" s="13" t="s">
        <v>3180</v>
      </c>
      <c r="B837" s="13">
        <v>4003458</v>
      </c>
      <c r="C837" s="13" t="s">
        <v>641</v>
      </c>
      <c r="D837" s="13" t="s">
        <v>3446</v>
      </c>
      <c r="E837" s="13">
        <v>2</v>
      </c>
      <c r="F837" s="13" t="s">
        <v>696</v>
      </c>
      <c r="G837" s="13" t="s">
        <v>641</v>
      </c>
      <c r="H837" s="13" t="s">
        <v>641</v>
      </c>
    </row>
    <row r="838" spans="1:8">
      <c r="A838" s="13" t="s">
        <v>3180</v>
      </c>
      <c r="B838" s="13">
        <v>4003461</v>
      </c>
      <c r="C838" s="13" t="s">
        <v>641</v>
      </c>
      <c r="D838" s="13" t="s">
        <v>1145</v>
      </c>
      <c r="E838" s="13">
        <v>2</v>
      </c>
      <c r="F838" s="13" t="s">
        <v>671</v>
      </c>
      <c r="G838" s="13" t="s">
        <v>678</v>
      </c>
      <c r="H838" s="13" t="s">
        <v>641</v>
      </c>
    </row>
    <row r="839" spans="1:8">
      <c r="A839" s="13" t="s">
        <v>3180</v>
      </c>
      <c r="B839" s="13">
        <v>4003626</v>
      </c>
      <c r="C839" s="13" t="s">
        <v>641</v>
      </c>
      <c r="D839" s="13" t="s">
        <v>1146</v>
      </c>
      <c r="E839" s="13">
        <v>2</v>
      </c>
      <c r="F839" s="13" t="s">
        <v>696</v>
      </c>
      <c r="G839" s="13" t="s">
        <v>641</v>
      </c>
      <c r="H839" s="13" t="s">
        <v>641</v>
      </c>
    </row>
    <row r="840" spans="1:8">
      <c r="A840" s="13" t="s">
        <v>3180</v>
      </c>
      <c r="B840" s="13">
        <v>4003823</v>
      </c>
      <c r="C840" s="13" t="s">
        <v>641</v>
      </c>
      <c r="D840" s="13" t="s">
        <v>3447</v>
      </c>
      <c r="E840" s="13">
        <v>2</v>
      </c>
      <c r="F840" s="13" t="s">
        <v>671</v>
      </c>
      <c r="G840" s="13" t="s">
        <v>678</v>
      </c>
      <c r="H840" s="13" t="s">
        <v>641</v>
      </c>
    </row>
    <row r="841" spans="1:8">
      <c r="A841" s="13" t="s">
        <v>3180</v>
      </c>
      <c r="B841" s="13">
        <v>4003824</v>
      </c>
      <c r="C841" s="13" t="s">
        <v>641</v>
      </c>
      <c r="D841" s="13" t="s">
        <v>3448</v>
      </c>
      <c r="E841" s="13">
        <v>2</v>
      </c>
      <c r="F841" s="13" t="s">
        <v>671</v>
      </c>
      <c r="G841" s="13" t="s">
        <v>678</v>
      </c>
      <c r="H841" s="13" t="s">
        <v>641</v>
      </c>
    </row>
    <row r="842" spans="1:8">
      <c r="A842" s="13" t="s">
        <v>3180</v>
      </c>
      <c r="B842" s="13">
        <v>4003825</v>
      </c>
      <c r="C842" s="13" t="s">
        <v>641</v>
      </c>
      <c r="D842" s="13" t="s">
        <v>3449</v>
      </c>
      <c r="E842" s="13">
        <v>2</v>
      </c>
      <c r="F842" s="13" t="s">
        <v>671</v>
      </c>
      <c r="G842" s="13" t="s">
        <v>678</v>
      </c>
      <c r="H842" s="13" t="s">
        <v>641</v>
      </c>
    </row>
    <row r="843" spans="1:8">
      <c r="A843" s="13" t="s">
        <v>3180</v>
      </c>
      <c r="B843" s="13">
        <v>4003826</v>
      </c>
      <c r="C843" s="13" t="s">
        <v>641</v>
      </c>
      <c r="D843" s="13" t="s">
        <v>1147</v>
      </c>
      <c r="E843" s="13">
        <v>2</v>
      </c>
      <c r="F843" s="13" t="s">
        <v>671</v>
      </c>
      <c r="G843" s="13" t="s">
        <v>678</v>
      </c>
      <c r="H843" s="13" t="s">
        <v>641</v>
      </c>
    </row>
    <row r="844" spans="1:8">
      <c r="A844" s="13" t="s">
        <v>3180</v>
      </c>
      <c r="B844" s="13">
        <v>4003828</v>
      </c>
      <c r="C844" s="13" t="s">
        <v>641</v>
      </c>
      <c r="D844" s="13" t="s">
        <v>1148</v>
      </c>
      <c r="E844" s="13">
        <v>2</v>
      </c>
      <c r="F844" s="13" t="s">
        <v>671</v>
      </c>
      <c r="G844" s="13" t="s">
        <v>678</v>
      </c>
      <c r="H844" s="13" t="s">
        <v>641</v>
      </c>
    </row>
    <row r="845" spans="1:8">
      <c r="A845" s="13" t="s">
        <v>3180</v>
      </c>
      <c r="B845" s="13">
        <v>4003865</v>
      </c>
      <c r="C845" s="13" t="s">
        <v>641</v>
      </c>
      <c r="D845" s="13" t="s">
        <v>3450</v>
      </c>
      <c r="E845" s="13">
        <v>2</v>
      </c>
      <c r="F845" s="13" t="s">
        <v>671</v>
      </c>
      <c r="G845" s="13" t="s">
        <v>678</v>
      </c>
      <c r="H845" s="13" t="s">
        <v>3187</v>
      </c>
    </row>
    <row r="846" spans="1:8">
      <c r="A846" s="13" t="s">
        <v>3180</v>
      </c>
      <c r="B846" s="13">
        <v>4003870</v>
      </c>
      <c r="C846" s="13" t="s">
        <v>641</v>
      </c>
      <c r="D846" s="13" t="s">
        <v>3451</v>
      </c>
      <c r="E846" s="13">
        <v>2</v>
      </c>
      <c r="F846" s="13" t="s">
        <v>671</v>
      </c>
      <c r="G846" s="13" t="s">
        <v>678</v>
      </c>
      <c r="H846" s="13" t="s">
        <v>641</v>
      </c>
    </row>
    <row r="847" spans="1:8">
      <c r="A847" s="13" t="s">
        <v>3180</v>
      </c>
      <c r="B847" s="13">
        <v>4003873</v>
      </c>
      <c r="C847" s="13" t="s">
        <v>641</v>
      </c>
      <c r="D847" s="13" t="s">
        <v>1149</v>
      </c>
      <c r="E847" s="13">
        <v>2</v>
      </c>
      <c r="F847" s="13" t="s">
        <v>671</v>
      </c>
      <c r="G847" s="13" t="s">
        <v>678</v>
      </c>
      <c r="H847" s="13" t="s">
        <v>641</v>
      </c>
    </row>
    <row r="848" spans="1:8">
      <c r="A848" s="13" t="s">
        <v>3180</v>
      </c>
      <c r="B848" s="13">
        <v>4003874</v>
      </c>
      <c r="C848" s="13" t="s">
        <v>641</v>
      </c>
      <c r="D848" s="13" t="s">
        <v>1150</v>
      </c>
      <c r="E848" s="13">
        <v>2</v>
      </c>
      <c r="F848" s="13" t="s">
        <v>671</v>
      </c>
      <c r="G848" s="13" t="s">
        <v>678</v>
      </c>
      <c r="H848" s="13" t="s">
        <v>641</v>
      </c>
    </row>
    <row r="849" spans="1:8">
      <c r="A849" s="13" t="s">
        <v>3180</v>
      </c>
      <c r="B849" s="13">
        <v>4003895</v>
      </c>
      <c r="C849" s="13" t="s">
        <v>641</v>
      </c>
      <c r="D849" s="13" t="s">
        <v>3452</v>
      </c>
      <c r="E849" s="13">
        <v>2</v>
      </c>
      <c r="F849" s="13" t="s">
        <v>696</v>
      </c>
      <c r="G849" s="13" t="s">
        <v>641</v>
      </c>
      <c r="H849" s="13" t="s">
        <v>641</v>
      </c>
    </row>
    <row r="850" spans="1:8">
      <c r="A850" s="13" t="s">
        <v>3180</v>
      </c>
      <c r="B850" s="13">
        <v>4003896</v>
      </c>
      <c r="C850" s="13" t="s">
        <v>641</v>
      </c>
      <c r="D850" s="13" t="s">
        <v>3453</v>
      </c>
      <c r="E850" s="13">
        <v>2</v>
      </c>
      <c r="F850" s="13" t="s">
        <v>696</v>
      </c>
      <c r="G850" s="13" t="s">
        <v>641</v>
      </c>
      <c r="H850" s="13" t="s">
        <v>641</v>
      </c>
    </row>
    <row r="851" spans="1:8">
      <c r="A851" s="13" t="s">
        <v>3180</v>
      </c>
      <c r="B851" s="13">
        <v>4003897</v>
      </c>
      <c r="C851" s="13" t="s">
        <v>641</v>
      </c>
      <c r="D851" s="13" t="s">
        <v>3454</v>
      </c>
      <c r="E851" s="13">
        <v>2</v>
      </c>
      <c r="F851" s="13" t="s">
        <v>696</v>
      </c>
      <c r="G851" s="13" t="s">
        <v>641</v>
      </c>
      <c r="H851" s="13" t="s">
        <v>641</v>
      </c>
    </row>
    <row r="852" spans="1:8">
      <c r="A852" s="13" t="s">
        <v>3180</v>
      </c>
      <c r="B852" s="13">
        <v>4003898</v>
      </c>
      <c r="C852" s="13" t="s">
        <v>641</v>
      </c>
      <c r="D852" s="13" t="s">
        <v>1151</v>
      </c>
      <c r="E852" s="13">
        <v>2</v>
      </c>
      <c r="F852" s="13" t="s">
        <v>696</v>
      </c>
      <c r="G852" s="13" t="s">
        <v>641</v>
      </c>
      <c r="H852" s="13" t="s">
        <v>641</v>
      </c>
    </row>
    <row r="853" spans="1:8">
      <c r="A853" s="13" t="s">
        <v>3180</v>
      </c>
      <c r="B853" s="13">
        <v>4003899</v>
      </c>
      <c r="C853" s="13" t="s">
        <v>641</v>
      </c>
      <c r="D853" s="13" t="s">
        <v>1152</v>
      </c>
      <c r="E853" s="13">
        <v>2</v>
      </c>
      <c r="F853" s="13" t="s">
        <v>696</v>
      </c>
      <c r="G853" s="13" t="s">
        <v>641</v>
      </c>
      <c r="H853" s="13" t="s">
        <v>641</v>
      </c>
    </row>
    <row r="854" spans="1:8">
      <c r="A854" s="13" t="s">
        <v>3180</v>
      </c>
      <c r="B854" s="13">
        <v>4003900</v>
      </c>
      <c r="C854" s="13" t="s">
        <v>641</v>
      </c>
      <c r="D854" s="13" t="s">
        <v>1153</v>
      </c>
      <c r="E854" s="13">
        <v>2</v>
      </c>
      <c r="F854" s="13" t="s">
        <v>696</v>
      </c>
      <c r="G854" s="13" t="s">
        <v>641</v>
      </c>
      <c r="H854" s="13" t="s">
        <v>641</v>
      </c>
    </row>
    <row r="855" spans="1:8">
      <c r="A855" s="13" t="s">
        <v>3180</v>
      </c>
      <c r="B855" s="13">
        <v>4003913</v>
      </c>
      <c r="C855" s="13" t="s">
        <v>641</v>
      </c>
      <c r="D855" s="13" t="s">
        <v>3455</v>
      </c>
      <c r="E855" s="13">
        <v>2</v>
      </c>
      <c r="F855" s="13" t="s">
        <v>671</v>
      </c>
      <c r="G855" s="13" t="s">
        <v>678</v>
      </c>
      <c r="H855" s="13" t="s">
        <v>641</v>
      </c>
    </row>
    <row r="856" spans="1:8">
      <c r="A856" s="13" t="s">
        <v>3180</v>
      </c>
      <c r="B856" s="13">
        <v>4003921</v>
      </c>
      <c r="C856" s="13" t="s">
        <v>641</v>
      </c>
      <c r="D856" s="13" t="s">
        <v>3456</v>
      </c>
      <c r="E856" s="13">
        <v>2</v>
      </c>
      <c r="F856" s="13" t="s">
        <v>671</v>
      </c>
      <c r="G856" s="13" t="s">
        <v>677</v>
      </c>
      <c r="H856" s="13" t="s">
        <v>641</v>
      </c>
    </row>
    <row r="857" spans="1:8">
      <c r="A857" s="13" t="s">
        <v>3180</v>
      </c>
      <c r="B857" s="13">
        <v>4003923</v>
      </c>
      <c r="C857" s="13" t="s">
        <v>641</v>
      </c>
      <c r="D857" s="13" t="s">
        <v>3457</v>
      </c>
      <c r="E857" s="13">
        <v>2</v>
      </c>
      <c r="F857" s="13" t="s">
        <v>671</v>
      </c>
      <c r="G857" s="13" t="s">
        <v>678</v>
      </c>
      <c r="H857" s="13" t="s">
        <v>641</v>
      </c>
    </row>
    <row r="858" spans="1:8">
      <c r="A858" s="13" t="s">
        <v>3180</v>
      </c>
      <c r="B858" s="13">
        <v>4003924</v>
      </c>
      <c r="C858" s="13" t="s">
        <v>641</v>
      </c>
      <c r="D858" s="13" t="s">
        <v>3458</v>
      </c>
      <c r="E858" s="13">
        <v>2</v>
      </c>
      <c r="F858" s="13" t="s">
        <v>671</v>
      </c>
      <c r="G858" s="13" t="s">
        <v>678</v>
      </c>
      <c r="H858" s="13" t="s">
        <v>641</v>
      </c>
    </row>
    <row r="859" spans="1:8">
      <c r="A859" s="13" t="s">
        <v>3180</v>
      </c>
      <c r="B859" s="13">
        <v>4003925</v>
      </c>
      <c r="C859" s="13" t="s">
        <v>641</v>
      </c>
      <c r="D859" s="13" t="s">
        <v>3459</v>
      </c>
      <c r="E859" s="13">
        <v>2</v>
      </c>
      <c r="F859" s="13" t="s">
        <v>671</v>
      </c>
      <c r="G859" s="13" t="s">
        <v>678</v>
      </c>
      <c r="H859" s="13" t="s">
        <v>641</v>
      </c>
    </row>
    <row r="860" spans="1:8">
      <c r="A860" s="13" t="s">
        <v>3180</v>
      </c>
      <c r="B860" s="13">
        <v>4003929</v>
      </c>
      <c r="C860" s="13" t="s">
        <v>641</v>
      </c>
      <c r="D860" s="13" t="s">
        <v>1154</v>
      </c>
      <c r="E860" s="13">
        <v>2</v>
      </c>
      <c r="F860" s="13" t="s">
        <v>671</v>
      </c>
      <c r="G860" s="13" t="s">
        <v>678</v>
      </c>
      <c r="H860" s="13" t="s">
        <v>641</v>
      </c>
    </row>
    <row r="861" spans="1:8">
      <c r="A861" s="13" t="s">
        <v>3180</v>
      </c>
      <c r="B861" s="13">
        <v>4003930</v>
      </c>
      <c r="C861" s="13" t="s">
        <v>641</v>
      </c>
      <c r="D861" s="13" t="s">
        <v>1155</v>
      </c>
      <c r="E861" s="13">
        <v>2</v>
      </c>
      <c r="F861" s="13" t="s">
        <v>671</v>
      </c>
      <c r="G861" s="13" t="s">
        <v>677</v>
      </c>
      <c r="H861" s="13" t="s">
        <v>641</v>
      </c>
    </row>
    <row r="862" spans="1:8">
      <c r="A862" s="13" t="s">
        <v>3180</v>
      </c>
      <c r="B862" s="13">
        <v>4003958</v>
      </c>
      <c r="C862" s="13" t="s">
        <v>641</v>
      </c>
      <c r="D862" s="13" t="s">
        <v>1156</v>
      </c>
      <c r="E862" s="13">
        <v>2</v>
      </c>
      <c r="F862" s="13" t="s">
        <v>671</v>
      </c>
      <c r="G862" s="13" t="s">
        <v>678</v>
      </c>
      <c r="H862" s="13" t="s">
        <v>641</v>
      </c>
    </row>
    <row r="863" spans="1:8">
      <c r="A863" s="13" t="s">
        <v>3180</v>
      </c>
      <c r="B863" s="13">
        <v>4003988</v>
      </c>
      <c r="C863" s="13" t="s">
        <v>641</v>
      </c>
      <c r="D863" s="13" t="s">
        <v>1157</v>
      </c>
      <c r="E863" s="13">
        <v>2</v>
      </c>
      <c r="F863" s="13" t="s">
        <v>671</v>
      </c>
      <c r="G863" s="13" t="s">
        <v>678</v>
      </c>
      <c r="H863" s="13" t="s">
        <v>641</v>
      </c>
    </row>
    <row r="864" spans="1:8">
      <c r="A864" s="13" t="s">
        <v>3180</v>
      </c>
      <c r="B864" s="13">
        <v>4004082</v>
      </c>
      <c r="C864" s="13" t="s">
        <v>641</v>
      </c>
      <c r="D864" s="13" t="s">
        <v>1158</v>
      </c>
      <c r="E864" s="13">
        <v>2</v>
      </c>
      <c r="F864" s="13" t="s">
        <v>671</v>
      </c>
      <c r="G864" s="13" t="s">
        <v>678</v>
      </c>
      <c r="H864" s="13" t="s">
        <v>641</v>
      </c>
    </row>
    <row r="865" spans="1:8">
      <c r="A865" s="13" t="s">
        <v>3180</v>
      </c>
      <c r="B865" s="13">
        <v>4004134</v>
      </c>
      <c r="C865" s="13" t="s">
        <v>641</v>
      </c>
      <c r="D865" s="13" t="s">
        <v>3460</v>
      </c>
      <c r="E865" s="13">
        <v>1</v>
      </c>
      <c r="F865" s="13" t="s">
        <v>646</v>
      </c>
      <c r="G865" s="13" t="s">
        <v>641</v>
      </c>
      <c r="H865" s="13" t="s">
        <v>641</v>
      </c>
    </row>
    <row r="866" spans="1:8">
      <c r="A866" s="13" t="s">
        <v>3180</v>
      </c>
      <c r="B866" s="13">
        <v>4004362</v>
      </c>
      <c r="C866" s="13" t="s">
        <v>641</v>
      </c>
      <c r="D866" s="13" t="s">
        <v>3461</v>
      </c>
      <c r="E866" s="13">
        <v>2</v>
      </c>
      <c r="F866" s="13" t="s">
        <v>671</v>
      </c>
      <c r="G866" s="13" t="s">
        <v>677</v>
      </c>
      <c r="H866" s="13" t="s">
        <v>641</v>
      </c>
    </row>
    <row r="867" spans="1:8">
      <c r="A867" s="13" t="s">
        <v>3180</v>
      </c>
      <c r="B867" s="13">
        <v>4004365</v>
      </c>
      <c r="C867" s="13" t="s">
        <v>641</v>
      </c>
      <c r="D867" s="13" t="s">
        <v>3462</v>
      </c>
      <c r="E867" s="13">
        <v>2</v>
      </c>
      <c r="F867" s="13" t="s">
        <v>671</v>
      </c>
      <c r="G867" s="13" t="s">
        <v>678</v>
      </c>
      <c r="H867" s="13" t="s">
        <v>641</v>
      </c>
    </row>
    <row r="868" spans="1:8">
      <c r="A868" s="13" t="s">
        <v>3180</v>
      </c>
      <c r="B868" s="13">
        <v>4004369</v>
      </c>
      <c r="C868" s="13" t="s">
        <v>641</v>
      </c>
      <c r="D868" s="13" t="s">
        <v>1159</v>
      </c>
      <c r="E868" s="13">
        <v>2</v>
      </c>
      <c r="F868" s="13" t="s">
        <v>671</v>
      </c>
      <c r="G868" s="13" t="s">
        <v>677</v>
      </c>
      <c r="H868" s="13" t="s">
        <v>641</v>
      </c>
    </row>
    <row r="869" spans="1:8">
      <c r="A869" s="13" t="s">
        <v>3180</v>
      </c>
      <c r="B869" s="13">
        <v>4004371</v>
      </c>
      <c r="C869" s="13" t="s">
        <v>641</v>
      </c>
      <c r="D869" s="13" t="s">
        <v>3463</v>
      </c>
      <c r="E869" s="13">
        <v>2</v>
      </c>
      <c r="F869" s="13" t="s">
        <v>671</v>
      </c>
      <c r="G869" s="13" t="s">
        <v>677</v>
      </c>
      <c r="H869" s="13" t="s">
        <v>641</v>
      </c>
    </row>
    <row r="870" spans="1:8">
      <c r="A870" s="13" t="s">
        <v>3180</v>
      </c>
      <c r="B870" s="13">
        <v>4004379</v>
      </c>
      <c r="C870" s="13" t="s">
        <v>641</v>
      </c>
      <c r="D870" s="13" t="s">
        <v>1160</v>
      </c>
      <c r="E870" s="13">
        <v>2</v>
      </c>
      <c r="F870" s="13" t="s">
        <v>671</v>
      </c>
      <c r="G870" s="13" t="s">
        <v>677</v>
      </c>
      <c r="H870" s="13" t="s">
        <v>641</v>
      </c>
    </row>
    <row r="871" spans="1:8">
      <c r="A871" s="13" t="s">
        <v>3180</v>
      </c>
      <c r="B871" s="13">
        <v>4004382</v>
      </c>
      <c r="C871" s="13" t="s">
        <v>641</v>
      </c>
      <c r="D871" s="13" t="s">
        <v>1161</v>
      </c>
      <c r="E871" s="13">
        <v>2</v>
      </c>
      <c r="F871" s="13" t="s">
        <v>671</v>
      </c>
      <c r="G871" s="13" t="s">
        <v>677</v>
      </c>
      <c r="H871" s="13" t="s">
        <v>641</v>
      </c>
    </row>
    <row r="872" spans="1:8">
      <c r="A872" s="13" t="s">
        <v>3180</v>
      </c>
      <c r="B872" s="13">
        <v>4004392</v>
      </c>
      <c r="C872" s="13" t="s">
        <v>641</v>
      </c>
      <c r="D872" s="13" t="s">
        <v>1162</v>
      </c>
      <c r="E872" s="13">
        <v>2</v>
      </c>
      <c r="F872" s="13" t="s">
        <v>671</v>
      </c>
      <c r="G872" s="13" t="s">
        <v>678</v>
      </c>
      <c r="H872" s="13" t="s">
        <v>641</v>
      </c>
    </row>
    <row r="873" spans="1:8">
      <c r="A873" s="13" t="s">
        <v>3180</v>
      </c>
      <c r="B873" s="13">
        <v>4004393</v>
      </c>
      <c r="C873" s="13" t="s">
        <v>641</v>
      </c>
      <c r="D873" s="13" t="s">
        <v>1815</v>
      </c>
      <c r="E873" s="13">
        <v>2</v>
      </c>
      <c r="F873" s="13" t="s">
        <v>671</v>
      </c>
      <c r="G873" s="13" t="s">
        <v>678</v>
      </c>
      <c r="H873" s="13" t="s">
        <v>3187</v>
      </c>
    </row>
    <row r="874" spans="1:8">
      <c r="A874" s="13" t="s">
        <v>3180</v>
      </c>
      <c r="B874" s="13">
        <v>4004399</v>
      </c>
      <c r="C874" s="13" t="s">
        <v>641</v>
      </c>
      <c r="D874" s="13" t="s">
        <v>1163</v>
      </c>
      <c r="E874" s="13">
        <v>2</v>
      </c>
      <c r="F874" s="13" t="s">
        <v>671</v>
      </c>
      <c r="G874" s="13" t="s">
        <v>678</v>
      </c>
      <c r="H874" s="13" t="s">
        <v>641</v>
      </c>
    </row>
    <row r="875" spans="1:8">
      <c r="A875" s="13" t="s">
        <v>3180</v>
      </c>
      <c r="B875" s="13">
        <v>4004407</v>
      </c>
      <c r="C875" s="13" t="s">
        <v>641</v>
      </c>
      <c r="D875" s="13" t="s">
        <v>3464</v>
      </c>
      <c r="E875" s="13">
        <v>2</v>
      </c>
      <c r="F875" s="13" t="s">
        <v>671</v>
      </c>
      <c r="G875" s="13" t="s">
        <v>677</v>
      </c>
      <c r="H875" s="13" t="s">
        <v>641</v>
      </c>
    </row>
    <row r="876" spans="1:8">
      <c r="A876" s="13" t="s">
        <v>3180</v>
      </c>
      <c r="B876" s="13">
        <v>4004409</v>
      </c>
      <c r="C876" s="13" t="s">
        <v>641</v>
      </c>
      <c r="D876" s="13" t="s">
        <v>1164</v>
      </c>
      <c r="E876" s="13">
        <v>2</v>
      </c>
      <c r="F876" s="13" t="s">
        <v>671</v>
      </c>
      <c r="G876" s="13" t="s">
        <v>677</v>
      </c>
      <c r="H876" s="13" t="s">
        <v>641</v>
      </c>
    </row>
    <row r="877" spans="1:8">
      <c r="A877" s="13" t="s">
        <v>3180</v>
      </c>
      <c r="B877" s="13">
        <v>4004419</v>
      </c>
      <c r="C877" s="13" t="s">
        <v>641</v>
      </c>
      <c r="D877" s="13" t="s">
        <v>1165</v>
      </c>
      <c r="E877" s="13">
        <v>2</v>
      </c>
      <c r="F877" s="13" t="s">
        <v>696</v>
      </c>
      <c r="G877" s="13" t="s">
        <v>641</v>
      </c>
      <c r="H877" s="13" t="s">
        <v>641</v>
      </c>
    </row>
    <row r="878" spans="1:8">
      <c r="A878" s="13" t="s">
        <v>3180</v>
      </c>
      <c r="B878" s="13">
        <v>4004420</v>
      </c>
      <c r="C878" s="13" t="s">
        <v>641</v>
      </c>
      <c r="D878" s="13" t="s">
        <v>3465</v>
      </c>
      <c r="E878" s="13">
        <v>2</v>
      </c>
      <c r="F878" s="13" t="s">
        <v>696</v>
      </c>
      <c r="G878" s="13" t="s">
        <v>641</v>
      </c>
      <c r="H878" s="13" t="s">
        <v>641</v>
      </c>
    </row>
    <row r="879" spans="1:8">
      <c r="A879" s="13" t="s">
        <v>3180</v>
      </c>
      <c r="B879" s="13">
        <v>4004501</v>
      </c>
      <c r="C879" s="13" t="s">
        <v>641</v>
      </c>
      <c r="D879" s="13" t="s">
        <v>3466</v>
      </c>
      <c r="E879" s="13">
        <v>2</v>
      </c>
      <c r="F879" s="13" t="s">
        <v>671</v>
      </c>
      <c r="G879" s="13" t="s">
        <v>678</v>
      </c>
      <c r="H879" s="13" t="s">
        <v>641</v>
      </c>
    </row>
    <row r="880" spans="1:8">
      <c r="A880" s="13" t="s">
        <v>3180</v>
      </c>
      <c r="B880" s="13">
        <v>4004507</v>
      </c>
      <c r="C880" s="13" t="s">
        <v>641</v>
      </c>
      <c r="D880" s="13" t="s">
        <v>1166</v>
      </c>
      <c r="E880" s="13">
        <v>1</v>
      </c>
      <c r="F880" s="13" t="s">
        <v>640</v>
      </c>
      <c r="G880" s="13" t="s">
        <v>3342</v>
      </c>
      <c r="H880" s="13" t="s">
        <v>641</v>
      </c>
    </row>
    <row r="881" spans="1:8">
      <c r="A881" s="13" t="s">
        <v>3180</v>
      </c>
      <c r="B881" s="13">
        <v>4004540</v>
      </c>
      <c r="C881" s="13" t="s">
        <v>641</v>
      </c>
      <c r="D881" s="13" t="s">
        <v>1167</v>
      </c>
      <c r="E881" s="13">
        <v>1</v>
      </c>
      <c r="F881" s="13" t="s">
        <v>646</v>
      </c>
      <c r="G881" s="13" t="s">
        <v>641</v>
      </c>
      <c r="H881" s="13" t="s">
        <v>641</v>
      </c>
    </row>
    <row r="882" spans="1:8">
      <c r="A882" s="13" t="s">
        <v>3180</v>
      </c>
      <c r="B882" s="13">
        <v>4004609</v>
      </c>
      <c r="C882" s="13" t="s">
        <v>641</v>
      </c>
      <c r="D882" s="13" t="s">
        <v>431</v>
      </c>
      <c r="E882" s="13">
        <v>2</v>
      </c>
      <c r="F882" s="13" t="s">
        <v>671</v>
      </c>
      <c r="G882" s="13" t="s">
        <v>678</v>
      </c>
      <c r="H882" s="13" t="s">
        <v>641</v>
      </c>
    </row>
    <row r="883" spans="1:8">
      <c r="A883" s="13" t="s">
        <v>3180</v>
      </c>
      <c r="B883" s="13">
        <v>4004680</v>
      </c>
      <c r="C883" s="13" t="s">
        <v>641</v>
      </c>
      <c r="D883" s="13" t="s">
        <v>3467</v>
      </c>
      <c r="E883" s="13">
        <v>2</v>
      </c>
      <c r="F883" s="13" t="s">
        <v>671</v>
      </c>
      <c r="G883" s="13" t="s">
        <v>678</v>
      </c>
      <c r="H883" s="13" t="s">
        <v>641</v>
      </c>
    </row>
    <row r="884" spans="1:8">
      <c r="A884" s="13" t="s">
        <v>3180</v>
      </c>
      <c r="B884" s="13">
        <v>4004681</v>
      </c>
      <c r="C884" s="13" t="s">
        <v>641</v>
      </c>
      <c r="D884" s="13" t="s">
        <v>3468</v>
      </c>
      <c r="E884" s="13">
        <v>2</v>
      </c>
      <c r="F884" s="13" t="s">
        <v>671</v>
      </c>
      <c r="G884" s="13" t="s">
        <v>678</v>
      </c>
      <c r="H884" s="13" t="s">
        <v>641</v>
      </c>
    </row>
    <row r="885" spans="1:8">
      <c r="A885" s="13" t="s">
        <v>3180</v>
      </c>
      <c r="B885" s="13">
        <v>4004683</v>
      </c>
      <c r="C885" s="13" t="s">
        <v>641</v>
      </c>
      <c r="D885" s="13" t="s">
        <v>3469</v>
      </c>
      <c r="E885" s="13">
        <v>2</v>
      </c>
      <c r="F885" s="13" t="s">
        <v>671</v>
      </c>
      <c r="G885" s="13" t="s">
        <v>678</v>
      </c>
      <c r="H885" s="13" t="s">
        <v>641</v>
      </c>
    </row>
    <row r="886" spans="1:8">
      <c r="A886" s="13" t="s">
        <v>3180</v>
      </c>
      <c r="B886" s="13">
        <v>4004684</v>
      </c>
      <c r="C886" s="13" t="s">
        <v>641</v>
      </c>
      <c r="D886" s="13" t="s">
        <v>3470</v>
      </c>
      <c r="E886" s="13">
        <v>2</v>
      </c>
      <c r="F886" s="13" t="s">
        <v>671</v>
      </c>
      <c r="G886" s="13" t="s">
        <v>678</v>
      </c>
      <c r="H886" s="13" t="s">
        <v>641</v>
      </c>
    </row>
    <row r="887" spans="1:8">
      <c r="A887" s="13" t="s">
        <v>3180</v>
      </c>
      <c r="B887" s="13">
        <v>4004686</v>
      </c>
      <c r="C887" s="13" t="s">
        <v>641</v>
      </c>
      <c r="D887" s="13" t="s">
        <v>3471</v>
      </c>
      <c r="E887" s="13">
        <v>2</v>
      </c>
      <c r="F887" s="13" t="s">
        <v>671</v>
      </c>
      <c r="G887" s="13" t="s">
        <v>678</v>
      </c>
      <c r="H887" s="13" t="s">
        <v>641</v>
      </c>
    </row>
    <row r="888" spans="1:8">
      <c r="A888" s="13" t="s">
        <v>3180</v>
      </c>
      <c r="B888" s="13">
        <v>4004688</v>
      </c>
      <c r="C888" s="13" t="s">
        <v>641</v>
      </c>
      <c r="D888" s="13" t="s">
        <v>3472</v>
      </c>
      <c r="E888" s="13">
        <v>2</v>
      </c>
      <c r="F888" s="13" t="s">
        <v>671</v>
      </c>
      <c r="G888" s="13" t="s">
        <v>678</v>
      </c>
      <c r="H888" s="13" t="s">
        <v>641</v>
      </c>
    </row>
    <row r="889" spans="1:8">
      <c r="A889" s="13" t="s">
        <v>3180</v>
      </c>
      <c r="B889" s="13">
        <v>4004691</v>
      </c>
      <c r="C889" s="13" t="s">
        <v>641</v>
      </c>
      <c r="D889" s="13" t="s">
        <v>3473</v>
      </c>
      <c r="E889" s="13">
        <v>2</v>
      </c>
      <c r="F889" s="13" t="s">
        <v>671</v>
      </c>
      <c r="G889" s="13" t="s">
        <v>678</v>
      </c>
      <c r="H889" s="13" t="s">
        <v>641</v>
      </c>
    </row>
    <row r="890" spans="1:8">
      <c r="A890" s="13" t="s">
        <v>3180</v>
      </c>
      <c r="B890" s="13">
        <v>4004692</v>
      </c>
      <c r="C890" s="13" t="s">
        <v>641</v>
      </c>
      <c r="D890" s="13" t="s">
        <v>3474</v>
      </c>
      <c r="E890" s="13">
        <v>2</v>
      </c>
      <c r="F890" s="13" t="s">
        <v>671</v>
      </c>
      <c r="G890" s="13" t="s">
        <v>678</v>
      </c>
      <c r="H890" s="13" t="s">
        <v>641</v>
      </c>
    </row>
    <row r="891" spans="1:8">
      <c r="A891" s="13" t="s">
        <v>3180</v>
      </c>
      <c r="B891" s="13">
        <v>4004695</v>
      </c>
      <c r="C891" s="13" t="s">
        <v>641</v>
      </c>
      <c r="D891" s="13" t="s">
        <v>3475</v>
      </c>
      <c r="E891" s="13">
        <v>2</v>
      </c>
      <c r="F891" s="13" t="s">
        <v>671</v>
      </c>
      <c r="G891" s="13" t="s">
        <v>678</v>
      </c>
      <c r="H891" s="13" t="s">
        <v>641</v>
      </c>
    </row>
    <row r="892" spans="1:8">
      <c r="A892" s="13" t="s">
        <v>3180</v>
      </c>
      <c r="B892" s="13">
        <v>4004696</v>
      </c>
      <c r="C892" s="13" t="s">
        <v>641</v>
      </c>
      <c r="D892" s="13" t="s">
        <v>3476</v>
      </c>
      <c r="E892" s="13">
        <v>2</v>
      </c>
      <c r="F892" s="13" t="s">
        <v>671</v>
      </c>
      <c r="G892" s="13" t="s">
        <v>678</v>
      </c>
      <c r="H892" s="13" t="s">
        <v>641</v>
      </c>
    </row>
    <row r="893" spans="1:8">
      <c r="A893" s="13" t="s">
        <v>3180</v>
      </c>
      <c r="B893" s="13">
        <v>4004697</v>
      </c>
      <c r="C893" s="13" t="s">
        <v>641</v>
      </c>
      <c r="D893" s="13" t="s">
        <v>3477</v>
      </c>
      <c r="E893" s="13">
        <v>2</v>
      </c>
      <c r="F893" s="13" t="s">
        <v>671</v>
      </c>
      <c r="G893" s="13" t="s">
        <v>678</v>
      </c>
      <c r="H893" s="13" t="s">
        <v>641</v>
      </c>
    </row>
    <row r="894" spans="1:8">
      <c r="A894" s="13" t="s">
        <v>3180</v>
      </c>
      <c r="B894" s="13">
        <v>4004698</v>
      </c>
      <c r="C894" s="13" t="s">
        <v>641</v>
      </c>
      <c r="D894" s="13" t="s">
        <v>3478</v>
      </c>
      <c r="E894" s="13">
        <v>2</v>
      </c>
      <c r="F894" s="13" t="s">
        <v>671</v>
      </c>
      <c r="G894" s="13" t="s">
        <v>678</v>
      </c>
      <c r="H894" s="13" t="s">
        <v>641</v>
      </c>
    </row>
    <row r="895" spans="1:8">
      <c r="A895" s="13" t="s">
        <v>3180</v>
      </c>
      <c r="B895" s="13">
        <v>4004702</v>
      </c>
      <c r="C895" s="13" t="s">
        <v>641</v>
      </c>
      <c r="D895" s="13" t="s">
        <v>3479</v>
      </c>
      <c r="E895" s="13">
        <v>2</v>
      </c>
      <c r="F895" s="13" t="s">
        <v>671</v>
      </c>
      <c r="G895" s="13" t="s">
        <v>678</v>
      </c>
      <c r="H895" s="13" t="s">
        <v>641</v>
      </c>
    </row>
    <row r="896" spans="1:8">
      <c r="A896" s="13" t="s">
        <v>3180</v>
      </c>
      <c r="B896" s="13">
        <v>4004703</v>
      </c>
      <c r="C896" s="13" t="s">
        <v>641</v>
      </c>
      <c r="D896" s="13" t="s">
        <v>3480</v>
      </c>
      <c r="E896" s="13">
        <v>2</v>
      </c>
      <c r="F896" s="13" t="s">
        <v>671</v>
      </c>
      <c r="G896" s="13" t="s">
        <v>678</v>
      </c>
      <c r="H896" s="13" t="s">
        <v>641</v>
      </c>
    </row>
    <row r="897" spans="1:8">
      <c r="A897" s="13" t="s">
        <v>3180</v>
      </c>
      <c r="B897" s="13">
        <v>4004705</v>
      </c>
      <c r="C897" s="13" t="s">
        <v>641</v>
      </c>
      <c r="D897" s="13" t="s">
        <v>3481</v>
      </c>
      <c r="E897" s="13">
        <v>2</v>
      </c>
      <c r="F897" s="13" t="s">
        <v>671</v>
      </c>
      <c r="G897" s="13" t="s">
        <v>678</v>
      </c>
      <c r="H897" s="13" t="s">
        <v>641</v>
      </c>
    </row>
    <row r="898" spans="1:8">
      <c r="A898" s="13" t="s">
        <v>3180</v>
      </c>
      <c r="B898" s="13">
        <v>4004708</v>
      </c>
      <c r="C898" s="13" t="s">
        <v>641</v>
      </c>
      <c r="D898" s="13" t="s">
        <v>3482</v>
      </c>
      <c r="E898" s="13">
        <v>2</v>
      </c>
      <c r="F898" s="13" t="s">
        <v>671</v>
      </c>
      <c r="G898" s="13" t="s">
        <v>678</v>
      </c>
      <c r="H898" s="13" t="s">
        <v>641</v>
      </c>
    </row>
    <row r="899" spans="1:8">
      <c r="A899" s="13" t="s">
        <v>3180</v>
      </c>
      <c r="B899" s="13">
        <v>4004711</v>
      </c>
      <c r="C899" s="13" t="s">
        <v>641</v>
      </c>
      <c r="D899" s="13" t="s">
        <v>3483</v>
      </c>
      <c r="E899" s="13">
        <v>2</v>
      </c>
      <c r="F899" s="13" t="s">
        <v>671</v>
      </c>
      <c r="G899" s="13" t="s">
        <v>678</v>
      </c>
      <c r="H899" s="13" t="s">
        <v>641</v>
      </c>
    </row>
    <row r="900" spans="1:8">
      <c r="A900" s="13" t="s">
        <v>3180</v>
      </c>
      <c r="B900" s="13">
        <v>4004757</v>
      </c>
      <c r="C900" s="13" t="s">
        <v>641</v>
      </c>
      <c r="D900" s="13" t="s">
        <v>1168</v>
      </c>
      <c r="E900" s="13">
        <v>1</v>
      </c>
      <c r="F900" s="13" t="s">
        <v>640</v>
      </c>
      <c r="G900" s="13" t="s">
        <v>3186</v>
      </c>
      <c r="H900" s="13" t="s">
        <v>641</v>
      </c>
    </row>
    <row r="901" spans="1:8">
      <c r="A901" s="13" t="s">
        <v>3180</v>
      </c>
      <c r="B901" s="13">
        <v>4004794</v>
      </c>
      <c r="C901" s="13" t="s">
        <v>641</v>
      </c>
      <c r="D901" s="13" t="s">
        <v>3484</v>
      </c>
      <c r="E901" s="13">
        <v>2</v>
      </c>
      <c r="F901" s="13" t="s">
        <v>671</v>
      </c>
      <c r="G901" s="13" t="s">
        <v>678</v>
      </c>
      <c r="H901" s="13" t="s">
        <v>641</v>
      </c>
    </row>
    <row r="902" spans="1:8">
      <c r="A902" s="13" t="s">
        <v>3180</v>
      </c>
      <c r="B902" s="13">
        <v>4004795</v>
      </c>
      <c r="C902" s="13" t="s">
        <v>641</v>
      </c>
      <c r="D902" s="13" t="s">
        <v>3485</v>
      </c>
      <c r="E902" s="13">
        <v>2</v>
      </c>
      <c r="F902" s="13" t="s">
        <v>671</v>
      </c>
      <c r="G902" s="13" t="s">
        <v>678</v>
      </c>
      <c r="H902" s="13" t="s">
        <v>3187</v>
      </c>
    </row>
    <row r="903" spans="1:8">
      <c r="A903" s="13" t="s">
        <v>3180</v>
      </c>
      <c r="B903" s="13">
        <v>4004835</v>
      </c>
      <c r="C903" s="13" t="s">
        <v>641</v>
      </c>
      <c r="D903" s="13" t="s">
        <v>1169</v>
      </c>
      <c r="E903" s="13">
        <v>2</v>
      </c>
      <c r="F903" s="13" t="s">
        <v>671</v>
      </c>
      <c r="G903" s="13" t="s">
        <v>677</v>
      </c>
      <c r="H903" s="13" t="s">
        <v>641</v>
      </c>
    </row>
    <row r="904" spans="1:8">
      <c r="A904" s="13" t="s">
        <v>3180</v>
      </c>
      <c r="B904" s="13">
        <v>4004881</v>
      </c>
      <c r="C904" s="13" t="s">
        <v>641</v>
      </c>
      <c r="D904" s="13" t="s">
        <v>1170</v>
      </c>
      <c r="E904" s="13">
        <v>2</v>
      </c>
      <c r="F904" s="13" t="s">
        <v>671</v>
      </c>
      <c r="G904" s="13" t="s">
        <v>678</v>
      </c>
      <c r="H904" s="13" t="s">
        <v>641</v>
      </c>
    </row>
    <row r="905" spans="1:8">
      <c r="A905" s="13" t="s">
        <v>3180</v>
      </c>
      <c r="B905" s="13">
        <v>4004966</v>
      </c>
      <c r="C905" s="13" t="s">
        <v>641</v>
      </c>
      <c r="D905" s="13" t="s">
        <v>352</v>
      </c>
      <c r="E905" s="13">
        <v>2</v>
      </c>
      <c r="F905" s="13" t="s">
        <v>671</v>
      </c>
      <c r="G905" s="13" t="s">
        <v>678</v>
      </c>
      <c r="H905" s="13" t="s">
        <v>641</v>
      </c>
    </row>
    <row r="906" spans="1:8">
      <c r="A906" s="13" t="s">
        <v>3180</v>
      </c>
      <c r="B906" s="13">
        <v>4005047</v>
      </c>
      <c r="C906" s="13" t="s">
        <v>641</v>
      </c>
      <c r="D906" s="13" t="s">
        <v>1171</v>
      </c>
      <c r="E906" s="13">
        <v>2</v>
      </c>
      <c r="F906" s="13" t="s">
        <v>671</v>
      </c>
      <c r="G906" s="13" t="s">
        <v>678</v>
      </c>
      <c r="H906" s="13" t="s">
        <v>641</v>
      </c>
    </row>
    <row r="907" spans="1:8">
      <c r="A907" s="13" t="s">
        <v>3180</v>
      </c>
      <c r="B907" s="13">
        <v>4005063</v>
      </c>
      <c r="C907" s="13" t="s">
        <v>641</v>
      </c>
      <c r="D907" s="13" t="s">
        <v>1172</v>
      </c>
      <c r="E907" s="13">
        <v>2</v>
      </c>
      <c r="F907" s="13" t="s">
        <v>671</v>
      </c>
      <c r="G907" s="13" t="s">
        <v>677</v>
      </c>
      <c r="H907" s="13" t="s">
        <v>641</v>
      </c>
    </row>
    <row r="908" spans="1:8">
      <c r="A908" s="13" t="s">
        <v>3180</v>
      </c>
      <c r="B908" s="13">
        <v>4005110</v>
      </c>
      <c r="C908" s="13" t="s">
        <v>641</v>
      </c>
      <c r="D908" s="13" t="s">
        <v>1173</v>
      </c>
      <c r="E908" s="13">
        <v>2</v>
      </c>
      <c r="F908" s="13" t="s">
        <v>671</v>
      </c>
      <c r="G908" s="13" t="s">
        <v>677</v>
      </c>
      <c r="H908" s="13" t="s">
        <v>641</v>
      </c>
    </row>
    <row r="909" spans="1:8">
      <c r="A909" s="13" t="s">
        <v>3180</v>
      </c>
      <c r="B909" s="13">
        <v>4005112</v>
      </c>
      <c r="C909" s="13" t="s">
        <v>641</v>
      </c>
      <c r="D909" s="13" t="s">
        <v>1174</v>
      </c>
      <c r="E909" s="13">
        <v>2</v>
      </c>
      <c r="F909" s="13" t="s">
        <v>671</v>
      </c>
      <c r="G909" s="13" t="s">
        <v>678</v>
      </c>
      <c r="H909" s="13" t="s">
        <v>641</v>
      </c>
    </row>
    <row r="910" spans="1:8">
      <c r="A910" s="13" t="s">
        <v>3180</v>
      </c>
      <c r="B910" s="13">
        <v>4005146</v>
      </c>
      <c r="C910" s="13" t="s">
        <v>641</v>
      </c>
      <c r="D910" s="13" t="s">
        <v>1175</v>
      </c>
      <c r="E910" s="13">
        <v>2</v>
      </c>
      <c r="F910" s="13" t="s">
        <v>671</v>
      </c>
      <c r="G910" s="13" t="s">
        <v>678</v>
      </c>
      <c r="H910" s="13" t="s">
        <v>641</v>
      </c>
    </row>
    <row r="911" spans="1:8">
      <c r="A911" s="13" t="s">
        <v>3180</v>
      </c>
      <c r="B911" s="13">
        <v>4005397</v>
      </c>
      <c r="C911" s="13" t="s">
        <v>641</v>
      </c>
      <c r="D911" s="13" t="s">
        <v>3486</v>
      </c>
      <c r="E911" s="13">
        <v>2</v>
      </c>
      <c r="F911" s="13" t="s">
        <v>671</v>
      </c>
      <c r="G911" s="13" t="s">
        <v>678</v>
      </c>
      <c r="H911" s="13" t="s">
        <v>3187</v>
      </c>
    </row>
    <row r="912" spans="1:8">
      <c r="A912" s="13" t="s">
        <v>3180</v>
      </c>
      <c r="B912" s="13">
        <v>4005398</v>
      </c>
      <c r="C912" s="13" t="s">
        <v>641</v>
      </c>
      <c r="D912" s="13" t="s">
        <v>3487</v>
      </c>
      <c r="E912" s="13">
        <v>2</v>
      </c>
      <c r="F912" s="13" t="s">
        <v>671</v>
      </c>
      <c r="G912" s="13" t="s">
        <v>678</v>
      </c>
      <c r="H912" s="13" t="s">
        <v>641</v>
      </c>
    </row>
    <row r="913" spans="1:8">
      <c r="A913" s="13" t="s">
        <v>3180</v>
      </c>
      <c r="B913" s="13">
        <v>4005399</v>
      </c>
      <c r="C913" s="13" t="s">
        <v>641</v>
      </c>
      <c r="D913" s="13" t="s">
        <v>3488</v>
      </c>
      <c r="E913" s="13">
        <v>2</v>
      </c>
      <c r="F913" s="13" t="s">
        <v>671</v>
      </c>
      <c r="G913" s="13" t="s">
        <v>678</v>
      </c>
      <c r="H913" s="13" t="s">
        <v>641</v>
      </c>
    </row>
    <row r="914" spans="1:8">
      <c r="A914" s="13" t="s">
        <v>3180</v>
      </c>
      <c r="B914" s="13">
        <v>4005400</v>
      </c>
      <c r="C914" s="13" t="s">
        <v>641</v>
      </c>
      <c r="D914" s="13" t="s">
        <v>1176</v>
      </c>
      <c r="E914" s="13">
        <v>2</v>
      </c>
      <c r="F914" s="13" t="s">
        <v>671</v>
      </c>
      <c r="G914" s="13" t="s">
        <v>678</v>
      </c>
      <c r="H914" s="13" t="s">
        <v>641</v>
      </c>
    </row>
    <row r="915" spans="1:8">
      <c r="A915" s="13" t="s">
        <v>3180</v>
      </c>
      <c r="B915" s="13">
        <v>4005402</v>
      </c>
      <c r="C915" s="13" t="s">
        <v>641</v>
      </c>
      <c r="D915" s="13" t="s">
        <v>1177</v>
      </c>
      <c r="E915" s="13">
        <v>2</v>
      </c>
      <c r="F915" s="13" t="s">
        <v>671</v>
      </c>
      <c r="G915" s="13" t="s">
        <v>678</v>
      </c>
      <c r="H915" s="13" t="s">
        <v>641</v>
      </c>
    </row>
    <row r="916" spans="1:8">
      <c r="A916" s="13" t="s">
        <v>3180</v>
      </c>
      <c r="B916" s="13">
        <v>4005403</v>
      </c>
      <c r="C916" s="13" t="s">
        <v>641</v>
      </c>
      <c r="D916" s="13" t="s">
        <v>1178</v>
      </c>
      <c r="E916" s="13">
        <v>2</v>
      </c>
      <c r="F916" s="13" t="s">
        <v>671</v>
      </c>
      <c r="G916" s="13" t="s">
        <v>678</v>
      </c>
      <c r="H916" s="13" t="s">
        <v>641</v>
      </c>
    </row>
    <row r="917" spans="1:8">
      <c r="A917" s="13" t="s">
        <v>3180</v>
      </c>
      <c r="B917" s="13">
        <v>4005404</v>
      </c>
      <c r="C917" s="13" t="s">
        <v>641</v>
      </c>
      <c r="D917" s="13" t="s">
        <v>1179</v>
      </c>
      <c r="E917" s="13">
        <v>2</v>
      </c>
      <c r="F917" s="13" t="s">
        <v>671</v>
      </c>
      <c r="G917" s="13" t="s">
        <v>678</v>
      </c>
      <c r="H917" s="13" t="s">
        <v>641</v>
      </c>
    </row>
    <row r="918" spans="1:8">
      <c r="A918" s="13" t="s">
        <v>3180</v>
      </c>
      <c r="B918" s="13">
        <v>4005465</v>
      </c>
      <c r="C918" s="13" t="s">
        <v>641</v>
      </c>
      <c r="D918" s="13" t="s">
        <v>577</v>
      </c>
      <c r="E918" s="13">
        <v>1</v>
      </c>
      <c r="F918" s="13" t="s">
        <v>640</v>
      </c>
      <c r="G918" s="13" t="s">
        <v>3186</v>
      </c>
      <c r="H918" s="13" t="s">
        <v>684</v>
      </c>
    </row>
    <row r="919" spans="1:8">
      <c r="A919" s="13" t="s">
        <v>3180</v>
      </c>
      <c r="B919" s="13">
        <v>4005552</v>
      </c>
      <c r="C919" s="13" t="s">
        <v>641</v>
      </c>
      <c r="D919" s="13" t="s">
        <v>1182</v>
      </c>
      <c r="E919" s="13">
        <v>2</v>
      </c>
      <c r="F919" s="13" t="s">
        <v>671</v>
      </c>
      <c r="G919" s="13" t="s">
        <v>678</v>
      </c>
      <c r="H919" s="13" t="s">
        <v>641</v>
      </c>
    </row>
    <row r="920" spans="1:8">
      <c r="A920" s="13" t="s">
        <v>3180</v>
      </c>
      <c r="B920" s="13">
        <v>4005742</v>
      </c>
      <c r="C920" s="13" t="s">
        <v>641</v>
      </c>
      <c r="D920" s="13" t="s">
        <v>1183</v>
      </c>
      <c r="E920" s="13">
        <v>1</v>
      </c>
      <c r="F920" s="13" t="s">
        <v>649</v>
      </c>
      <c r="G920" s="13" t="s">
        <v>641</v>
      </c>
      <c r="H920" s="13" t="s">
        <v>641</v>
      </c>
    </row>
    <row r="921" spans="1:8">
      <c r="A921" s="13" t="s">
        <v>3180</v>
      </c>
      <c r="B921" s="13">
        <v>4005893</v>
      </c>
      <c r="C921" s="13" t="s">
        <v>641</v>
      </c>
      <c r="D921" s="13" t="s">
        <v>1184</v>
      </c>
      <c r="E921" s="13">
        <v>2</v>
      </c>
      <c r="F921" s="13" t="s">
        <v>671</v>
      </c>
      <c r="G921" s="13" t="s">
        <v>678</v>
      </c>
      <c r="H921" s="13" t="s">
        <v>641</v>
      </c>
    </row>
    <row r="922" spans="1:8">
      <c r="A922" s="13" t="s">
        <v>3180</v>
      </c>
      <c r="B922" s="13">
        <v>4005959</v>
      </c>
      <c r="C922" s="13" t="s">
        <v>641</v>
      </c>
      <c r="D922" s="13" t="s">
        <v>1185</v>
      </c>
      <c r="E922" s="13">
        <v>2</v>
      </c>
      <c r="F922" s="13" t="s">
        <v>671</v>
      </c>
      <c r="G922" s="13" t="s">
        <v>677</v>
      </c>
      <c r="H922" s="13" t="s">
        <v>641</v>
      </c>
    </row>
    <row r="923" spans="1:8">
      <c r="A923" s="13" t="s">
        <v>3180</v>
      </c>
      <c r="B923" s="13">
        <v>4005960</v>
      </c>
      <c r="C923" s="13" t="s">
        <v>641</v>
      </c>
      <c r="D923" s="13" t="s">
        <v>371</v>
      </c>
      <c r="E923" s="13">
        <v>2</v>
      </c>
      <c r="F923" s="13" t="s">
        <v>671</v>
      </c>
      <c r="G923" s="13" t="s">
        <v>677</v>
      </c>
      <c r="H923" s="13" t="s">
        <v>641</v>
      </c>
    </row>
    <row r="924" spans="1:8">
      <c r="A924" s="13" t="s">
        <v>3180</v>
      </c>
      <c r="B924" s="13">
        <v>4005961</v>
      </c>
      <c r="C924" s="13" t="s">
        <v>641</v>
      </c>
      <c r="D924" s="13" t="s">
        <v>370</v>
      </c>
      <c r="E924" s="13">
        <v>2</v>
      </c>
      <c r="F924" s="13" t="s">
        <v>671</v>
      </c>
      <c r="G924" s="13" t="s">
        <v>677</v>
      </c>
      <c r="H924" s="13" t="s">
        <v>641</v>
      </c>
    </row>
    <row r="925" spans="1:8">
      <c r="A925" s="13" t="s">
        <v>3180</v>
      </c>
      <c r="B925" s="13">
        <v>4005962</v>
      </c>
      <c r="C925" s="13" t="s">
        <v>641</v>
      </c>
      <c r="D925" s="13" t="s">
        <v>1186</v>
      </c>
      <c r="E925" s="13">
        <v>2</v>
      </c>
      <c r="F925" s="13" t="s">
        <v>671</v>
      </c>
      <c r="G925" s="13" t="s">
        <v>677</v>
      </c>
      <c r="H925" s="13" t="s">
        <v>641</v>
      </c>
    </row>
    <row r="926" spans="1:8">
      <c r="A926" s="13" t="s">
        <v>3180</v>
      </c>
      <c r="B926" s="13">
        <v>4005963</v>
      </c>
      <c r="C926" s="13" t="s">
        <v>641</v>
      </c>
      <c r="D926" s="13" t="s">
        <v>1187</v>
      </c>
      <c r="E926" s="13">
        <v>2</v>
      </c>
      <c r="F926" s="13" t="s">
        <v>671</v>
      </c>
      <c r="G926" s="13" t="s">
        <v>677</v>
      </c>
      <c r="H926" s="13" t="s">
        <v>641</v>
      </c>
    </row>
    <row r="927" spans="1:8">
      <c r="A927" s="13" t="s">
        <v>3180</v>
      </c>
      <c r="B927" s="13">
        <v>4005964</v>
      </c>
      <c r="C927" s="13" t="s">
        <v>641</v>
      </c>
      <c r="D927" s="13" t="s">
        <v>1188</v>
      </c>
      <c r="E927" s="13">
        <v>2</v>
      </c>
      <c r="F927" s="13" t="s">
        <v>671</v>
      </c>
      <c r="G927" s="13" t="s">
        <v>677</v>
      </c>
      <c r="H927" s="13" t="s">
        <v>641</v>
      </c>
    </row>
    <row r="928" spans="1:8">
      <c r="A928" s="13" t="s">
        <v>3180</v>
      </c>
      <c r="B928" s="13">
        <v>4005965</v>
      </c>
      <c r="C928" s="13" t="s">
        <v>641</v>
      </c>
      <c r="D928" s="13" t="s">
        <v>1902</v>
      </c>
      <c r="E928" s="13">
        <v>2</v>
      </c>
      <c r="F928" s="13" t="s">
        <v>671</v>
      </c>
      <c r="G928" s="13" t="s">
        <v>677</v>
      </c>
      <c r="H928" s="13" t="s">
        <v>641</v>
      </c>
    </row>
    <row r="929" spans="1:8">
      <c r="A929" s="13" t="s">
        <v>3180</v>
      </c>
      <c r="B929" s="13">
        <v>4005966</v>
      </c>
      <c r="C929" s="13" t="s">
        <v>641</v>
      </c>
      <c r="D929" s="13" t="s">
        <v>612</v>
      </c>
      <c r="E929" s="13">
        <v>2</v>
      </c>
      <c r="F929" s="13" t="s">
        <v>671</v>
      </c>
      <c r="G929" s="13" t="s">
        <v>677</v>
      </c>
      <c r="H929" s="13" t="s">
        <v>641</v>
      </c>
    </row>
    <row r="930" spans="1:8">
      <c r="A930" s="13" t="s">
        <v>3180</v>
      </c>
      <c r="B930" s="13">
        <v>4005967</v>
      </c>
      <c r="C930" s="13" t="s">
        <v>641</v>
      </c>
      <c r="D930" s="13" t="s">
        <v>3489</v>
      </c>
      <c r="E930" s="13">
        <v>2</v>
      </c>
      <c r="F930" s="13" t="s">
        <v>671</v>
      </c>
      <c r="G930" s="13" t="s">
        <v>677</v>
      </c>
      <c r="H930" s="13" t="s">
        <v>641</v>
      </c>
    </row>
    <row r="931" spans="1:8">
      <c r="A931" s="13" t="s">
        <v>3180</v>
      </c>
      <c r="B931" s="13">
        <v>4005968</v>
      </c>
      <c r="C931" s="13" t="s">
        <v>641</v>
      </c>
      <c r="D931" s="13" t="s">
        <v>1189</v>
      </c>
      <c r="E931" s="13">
        <v>2</v>
      </c>
      <c r="F931" s="13" t="s">
        <v>671</v>
      </c>
      <c r="G931" s="13" t="s">
        <v>677</v>
      </c>
      <c r="H931" s="13" t="s">
        <v>641</v>
      </c>
    </row>
    <row r="932" spans="1:8">
      <c r="A932" s="13" t="s">
        <v>3180</v>
      </c>
      <c r="B932" s="13">
        <v>4005969</v>
      </c>
      <c r="C932" s="13" t="s">
        <v>641</v>
      </c>
      <c r="D932" s="13" t="s">
        <v>1190</v>
      </c>
      <c r="E932" s="13">
        <v>2</v>
      </c>
      <c r="F932" s="13" t="s">
        <v>671</v>
      </c>
      <c r="G932" s="13" t="s">
        <v>677</v>
      </c>
      <c r="H932" s="13" t="s">
        <v>641</v>
      </c>
    </row>
    <row r="933" spans="1:8">
      <c r="A933" s="13" t="s">
        <v>3180</v>
      </c>
      <c r="B933" s="13">
        <v>4005970</v>
      </c>
      <c r="C933" s="13" t="s">
        <v>641</v>
      </c>
      <c r="D933" s="13" t="s">
        <v>502</v>
      </c>
      <c r="E933" s="13">
        <v>2</v>
      </c>
      <c r="F933" s="13" t="s">
        <v>671</v>
      </c>
      <c r="G933" s="13" t="s">
        <v>677</v>
      </c>
      <c r="H933" s="13" t="s">
        <v>641</v>
      </c>
    </row>
    <row r="934" spans="1:8">
      <c r="A934" s="13" t="s">
        <v>3180</v>
      </c>
      <c r="B934" s="13">
        <v>4005971</v>
      </c>
      <c r="C934" s="13" t="s">
        <v>641</v>
      </c>
      <c r="D934" s="13" t="s">
        <v>1191</v>
      </c>
      <c r="E934" s="13">
        <v>2</v>
      </c>
      <c r="F934" s="13" t="s">
        <v>671</v>
      </c>
      <c r="G934" s="13" t="s">
        <v>677</v>
      </c>
      <c r="H934" s="13" t="s">
        <v>641</v>
      </c>
    </row>
    <row r="935" spans="1:8">
      <c r="A935" s="13" t="s">
        <v>3180</v>
      </c>
      <c r="B935" s="13">
        <v>4005972</v>
      </c>
      <c r="C935" s="13" t="s">
        <v>641</v>
      </c>
      <c r="D935" s="13" t="s">
        <v>565</v>
      </c>
      <c r="E935" s="13">
        <v>2</v>
      </c>
      <c r="F935" s="13" t="s">
        <v>671</v>
      </c>
      <c r="G935" s="13" t="s">
        <v>677</v>
      </c>
      <c r="H935" s="13" t="s">
        <v>641</v>
      </c>
    </row>
    <row r="936" spans="1:8">
      <c r="A936" s="13" t="s">
        <v>3180</v>
      </c>
      <c r="B936" s="13">
        <v>4005973</v>
      </c>
      <c r="C936" s="13" t="s">
        <v>641</v>
      </c>
      <c r="D936" s="13" t="s">
        <v>1192</v>
      </c>
      <c r="E936" s="13">
        <v>2</v>
      </c>
      <c r="F936" s="13" t="s">
        <v>671</v>
      </c>
      <c r="G936" s="13" t="s">
        <v>677</v>
      </c>
      <c r="H936" s="13" t="s">
        <v>641</v>
      </c>
    </row>
    <row r="937" spans="1:8">
      <c r="A937" s="13" t="s">
        <v>3180</v>
      </c>
      <c r="B937" s="13">
        <v>4005974</v>
      </c>
      <c r="C937" s="13" t="s">
        <v>641</v>
      </c>
      <c r="D937" s="13" t="s">
        <v>3490</v>
      </c>
      <c r="E937" s="13">
        <v>2</v>
      </c>
      <c r="F937" s="13" t="s">
        <v>671</v>
      </c>
      <c r="G937" s="13" t="s">
        <v>677</v>
      </c>
      <c r="H937" s="13" t="s">
        <v>641</v>
      </c>
    </row>
    <row r="938" spans="1:8">
      <c r="A938" s="13" t="s">
        <v>3180</v>
      </c>
      <c r="B938" s="13">
        <v>4005996</v>
      </c>
      <c r="C938" s="13" t="s">
        <v>641</v>
      </c>
      <c r="D938" s="13" t="s">
        <v>1193</v>
      </c>
      <c r="E938" s="13">
        <v>2</v>
      </c>
      <c r="F938" s="13" t="s">
        <v>671</v>
      </c>
      <c r="G938" s="13" t="s">
        <v>677</v>
      </c>
      <c r="H938" s="13" t="s">
        <v>641</v>
      </c>
    </row>
    <row r="939" spans="1:8">
      <c r="A939" s="13" t="s">
        <v>3180</v>
      </c>
      <c r="B939" s="13">
        <v>4005997</v>
      </c>
      <c r="C939" s="13" t="s">
        <v>641</v>
      </c>
      <c r="D939" s="13" t="s">
        <v>1194</v>
      </c>
      <c r="E939" s="13">
        <v>2</v>
      </c>
      <c r="F939" s="13" t="s">
        <v>671</v>
      </c>
      <c r="G939" s="13" t="s">
        <v>677</v>
      </c>
      <c r="H939" s="13" t="s">
        <v>641</v>
      </c>
    </row>
    <row r="940" spans="1:8">
      <c r="A940" s="13" t="s">
        <v>3180</v>
      </c>
      <c r="B940" s="13">
        <v>4005998</v>
      </c>
      <c r="C940" s="13" t="s">
        <v>641</v>
      </c>
      <c r="D940" s="13" t="s">
        <v>3491</v>
      </c>
      <c r="E940" s="13">
        <v>2</v>
      </c>
      <c r="F940" s="13" t="s">
        <v>671</v>
      </c>
      <c r="G940" s="13" t="s">
        <v>677</v>
      </c>
      <c r="H940" s="13" t="s">
        <v>641</v>
      </c>
    </row>
    <row r="941" spans="1:8">
      <c r="A941" s="13" t="s">
        <v>3180</v>
      </c>
      <c r="B941" s="13">
        <v>4005999</v>
      </c>
      <c r="C941" s="13" t="s">
        <v>641</v>
      </c>
      <c r="D941" s="13" t="s">
        <v>1195</v>
      </c>
      <c r="E941" s="13">
        <v>2</v>
      </c>
      <c r="F941" s="13" t="s">
        <v>671</v>
      </c>
      <c r="G941" s="13" t="s">
        <v>677</v>
      </c>
      <c r="H941" s="13" t="s">
        <v>641</v>
      </c>
    </row>
    <row r="942" spans="1:8">
      <c r="A942" s="13" t="s">
        <v>3180</v>
      </c>
      <c r="B942" s="13">
        <v>4006002</v>
      </c>
      <c r="C942" s="13" t="s">
        <v>641</v>
      </c>
      <c r="D942" s="13" t="s">
        <v>1196</v>
      </c>
      <c r="E942" s="13">
        <v>2</v>
      </c>
      <c r="F942" s="13" t="s">
        <v>671</v>
      </c>
      <c r="G942" s="13" t="s">
        <v>677</v>
      </c>
      <c r="H942" s="13" t="s">
        <v>641</v>
      </c>
    </row>
    <row r="943" spans="1:8">
      <c r="A943" s="13" t="s">
        <v>3180</v>
      </c>
      <c r="B943" s="13">
        <v>4006010</v>
      </c>
      <c r="C943" s="13" t="s">
        <v>641</v>
      </c>
      <c r="D943" s="13" t="s">
        <v>3492</v>
      </c>
      <c r="E943" s="13">
        <v>2</v>
      </c>
      <c r="F943" s="13" t="s">
        <v>671</v>
      </c>
      <c r="G943" s="13" t="s">
        <v>677</v>
      </c>
      <c r="H943" s="13" t="s">
        <v>641</v>
      </c>
    </row>
    <row r="944" spans="1:8">
      <c r="A944" s="13" t="s">
        <v>3180</v>
      </c>
      <c r="B944" s="13">
        <v>4006015</v>
      </c>
      <c r="C944" s="13" t="s">
        <v>641</v>
      </c>
      <c r="D944" s="13" t="s">
        <v>1197</v>
      </c>
      <c r="E944" s="13">
        <v>2</v>
      </c>
      <c r="F944" s="13" t="s">
        <v>671</v>
      </c>
      <c r="G944" s="13" t="s">
        <v>678</v>
      </c>
      <c r="H944" s="13" t="s">
        <v>641</v>
      </c>
    </row>
    <row r="945" spans="1:8">
      <c r="A945" s="13" t="s">
        <v>3180</v>
      </c>
      <c r="B945" s="13">
        <v>4006175</v>
      </c>
      <c r="C945" s="13" t="s">
        <v>641</v>
      </c>
      <c r="D945" s="13" t="s">
        <v>3493</v>
      </c>
      <c r="E945" s="13">
        <v>2</v>
      </c>
      <c r="F945" s="13" t="s">
        <v>671</v>
      </c>
      <c r="G945" s="13" t="s">
        <v>678</v>
      </c>
      <c r="H945" s="13" t="s">
        <v>641</v>
      </c>
    </row>
    <row r="946" spans="1:8">
      <c r="A946" s="13" t="s">
        <v>3180</v>
      </c>
      <c r="B946" s="13">
        <v>4006181</v>
      </c>
      <c r="C946" s="13" t="s">
        <v>641</v>
      </c>
      <c r="D946" s="13" t="s">
        <v>3494</v>
      </c>
      <c r="E946" s="13">
        <v>2</v>
      </c>
      <c r="F946" s="13" t="s">
        <v>671</v>
      </c>
      <c r="G946" s="13" t="s">
        <v>678</v>
      </c>
      <c r="H946" s="13" t="s">
        <v>641</v>
      </c>
    </row>
    <row r="947" spans="1:8">
      <c r="A947" s="13" t="s">
        <v>3180</v>
      </c>
      <c r="B947" s="13">
        <v>4006188</v>
      </c>
      <c r="C947" s="13" t="s">
        <v>641</v>
      </c>
      <c r="D947" s="13" t="s">
        <v>262</v>
      </c>
      <c r="E947" s="13">
        <v>2</v>
      </c>
      <c r="F947" s="13" t="s">
        <v>696</v>
      </c>
      <c r="G947" s="13" t="s">
        <v>641</v>
      </c>
      <c r="H947" s="13" t="s">
        <v>641</v>
      </c>
    </row>
    <row r="948" spans="1:8">
      <c r="A948" s="13" t="s">
        <v>3180</v>
      </c>
      <c r="B948" s="13">
        <v>4006189</v>
      </c>
      <c r="C948" s="13" t="s">
        <v>641</v>
      </c>
      <c r="D948" s="13" t="s">
        <v>263</v>
      </c>
      <c r="E948" s="13">
        <v>2</v>
      </c>
      <c r="F948" s="13" t="s">
        <v>696</v>
      </c>
      <c r="G948" s="13" t="s">
        <v>641</v>
      </c>
      <c r="H948" s="13" t="s">
        <v>641</v>
      </c>
    </row>
    <row r="949" spans="1:8">
      <c r="A949" s="13" t="s">
        <v>3180</v>
      </c>
      <c r="B949" s="13">
        <v>4006190</v>
      </c>
      <c r="C949" s="13" t="s">
        <v>641</v>
      </c>
      <c r="D949" s="13" t="s">
        <v>1198</v>
      </c>
      <c r="E949" s="13">
        <v>2</v>
      </c>
      <c r="F949" s="13" t="s">
        <v>696</v>
      </c>
      <c r="G949" s="13" t="s">
        <v>641</v>
      </c>
      <c r="H949" s="13" t="s">
        <v>641</v>
      </c>
    </row>
    <row r="950" spans="1:8">
      <c r="A950" s="13" t="s">
        <v>3180</v>
      </c>
      <c r="B950" s="13">
        <v>4006191</v>
      </c>
      <c r="C950" s="13" t="s">
        <v>641</v>
      </c>
      <c r="D950" s="13" t="s">
        <v>1199</v>
      </c>
      <c r="E950" s="13">
        <v>2</v>
      </c>
      <c r="F950" s="13" t="s">
        <v>696</v>
      </c>
      <c r="G950" s="13" t="s">
        <v>641</v>
      </c>
      <c r="H950" s="13" t="s">
        <v>641</v>
      </c>
    </row>
    <row r="951" spans="1:8">
      <c r="A951" s="13" t="s">
        <v>3180</v>
      </c>
      <c r="B951" s="13">
        <v>4006192</v>
      </c>
      <c r="C951" s="13" t="s">
        <v>641</v>
      </c>
      <c r="D951" s="13" t="s">
        <v>1200</v>
      </c>
      <c r="E951" s="13">
        <v>2</v>
      </c>
      <c r="F951" s="13" t="s">
        <v>696</v>
      </c>
      <c r="G951" s="13" t="s">
        <v>641</v>
      </c>
      <c r="H951" s="13" t="s">
        <v>641</v>
      </c>
    </row>
    <row r="952" spans="1:8">
      <c r="A952" s="13" t="s">
        <v>3180</v>
      </c>
      <c r="B952" s="13">
        <v>4006193</v>
      </c>
      <c r="C952" s="13" t="s">
        <v>641</v>
      </c>
      <c r="D952" s="13" t="s">
        <v>3495</v>
      </c>
      <c r="E952" s="13">
        <v>2</v>
      </c>
      <c r="F952" s="13" t="s">
        <v>696</v>
      </c>
      <c r="G952" s="13" t="s">
        <v>641</v>
      </c>
      <c r="H952" s="13" t="s">
        <v>641</v>
      </c>
    </row>
    <row r="953" spans="1:8">
      <c r="A953" s="13" t="s">
        <v>3180</v>
      </c>
      <c r="B953" s="13">
        <v>4006194</v>
      </c>
      <c r="C953" s="13" t="s">
        <v>641</v>
      </c>
      <c r="D953" s="13" t="s">
        <v>1201</v>
      </c>
      <c r="E953" s="13">
        <v>2</v>
      </c>
      <c r="F953" s="13" t="s">
        <v>671</v>
      </c>
      <c r="G953" s="13" t="s">
        <v>3385</v>
      </c>
      <c r="H953" s="13" t="s">
        <v>641</v>
      </c>
    </row>
    <row r="954" spans="1:8">
      <c r="A954" s="13" t="s">
        <v>3180</v>
      </c>
      <c r="B954" s="13">
        <v>4006195</v>
      </c>
      <c r="C954" s="13" t="s">
        <v>641</v>
      </c>
      <c r="D954" s="13" t="s">
        <v>1202</v>
      </c>
      <c r="E954" s="13">
        <v>2</v>
      </c>
      <c r="F954" s="13" t="s">
        <v>671</v>
      </c>
      <c r="G954" s="13" t="s">
        <v>3385</v>
      </c>
      <c r="H954" s="13" t="s">
        <v>641</v>
      </c>
    </row>
    <row r="955" spans="1:8">
      <c r="A955" s="13" t="s">
        <v>3180</v>
      </c>
      <c r="B955" s="13">
        <v>4006196</v>
      </c>
      <c r="C955" s="13" t="s">
        <v>641</v>
      </c>
      <c r="D955" s="13" t="s">
        <v>1203</v>
      </c>
      <c r="E955" s="13">
        <v>2</v>
      </c>
      <c r="F955" s="13" t="s">
        <v>671</v>
      </c>
      <c r="G955" s="13" t="s">
        <v>3385</v>
      </c>
      <c r="H955" s="13" t="s">
        <v>641</v>
      </c>
    </row>
    <row r="956" spans="1:8">
      <c r="A956" s="13" t="s">
        <v>3180</v>
      </c>
      <c r="B956" s="13">
        <v>4006197</v>
      </c>
      <c r="C956" s="13" t="s">
        <v>641</v>
      </c>
      <c r="D956" s="13" t="s">
        <v>1204</v>
      </c>
      <c r="E956" s="13">
        <v>2</v>
      </c>
      <c r="F956" s="13" t="s">
        <v>671</v>
      </c>
      <c r="G956" s="13" t="s">
        <v>3385</v>
      </c>
      <c r="H956" s="13" t="s">
        <v>641</v>
      </c>
    </row>
    <row r="957" spans="1:8">
      <c r="A957" s="13" t="s">
        <v>3180</v>
      </c>
      <c r="B957" s="13">
        <v>4006198</v>
      </c>
      <c r="C957" s="13" t="s">
        <v>641</v>
      </c>
      <c r="D957" s="13" t="s">
        <v>1205</v>
      </c>
      <c r="E957" s="13">
        <v>2</v>
      </c>
      <c r="F957" s="13" t="s">
        <v>671</v>
      </c>
      <c r="G957" s="13" t="s">
        <v>3385</v>
      </c>
      <c r="H957" s="13" t="s">
        <v>641</v>
      </c>
    </row>
    <row r="958" spans="1:8">
      <c r="A958" s="13" t="s">
        <v>3180</v>
      </c>
      <c r="B958" s="13">
        <v>4006279</v>
      </c>
      <c r="C958" s="13" t="s">
        <v>641</v>
      </c>
      <c r="D958" s="13" t="s">
        <v>1206</v>
      </c>
      <c r="E958" s="13">
        <v>2</v>
      </c>
      <c r="F958" s="13" t="s">
        <v>671</v>
      </c>
      <c r="G958" s="13" t="s">
        <v>678</v>
      </c>
      <c r="H958" s="13" t="s">
        <v>641</v>
      </c>
    </row>
    <row r="959" spans="1:8">
      <c r="A959" s="13" t="s">
        <v>3180</v>
      </c>
      <c r="B959" s="13">
        <v>4006288</v>
      </c>
      <c r="C959" s="13" t="s">
        <v>641</v>
      </c>
      <c r="D959" s="13" t="s">
        <v>3496</v>
      </c>
      <c r="E959" s="13">
        <v>2</v>
      </c>
      <c r="F959" s="13" t="s">
        <v>671</v>
      </c>
      <c r="G959" s="13" t="s">
        <v>678</v>
      </c>
      <c r="H959" s="13" t="s">
        <v>641</v>
      </c>
    </row>
    <row r="960" spans="1:8">
      <c r="A960" s="13" t="s">
        <v>3180</v>
      </c>
      <c r="B960" s="13">
        <v>4006326</v>
      </c>
      <c r="C960" s="13" t="s">
        <v>641</v>
      </c>
      <c r="D960" s="13" t="s">
        <v>1207</v>
      </c>
      <c r="E960" s="13">
        <v>2</v>
      </c>
      <c r="F960" s="13" t="s">
        <v>671</v>
      </c>
      <c r="G960" s="13" t="s">
        <v>677</v>
      </c>
      <c r="H960" s="13" t="s">
        <v>641</v>
      </c>
    </row>
    <row r="961" spans="1:8">
      <c r="A961" s="13" t="s">
        <v>3180</v>
      </c>
      <c r="B961" s="13">
        <v>4006356</v>
      </c>
      <c r="C961" s="13" t="s">
        <v>641</v>
      </c>
      <c r="D961" s="13" t="s">
        <v>1208</v>
      </c>
      <c r="E961" s="13">
        <v>2</v>
      </c>
      <c r="F961" s="13" t="s">
        <v>671</v>
      </c>
      <c r="G961" s="13" t="s">
        <v>677</v>
      </c>
      <c r="H961" s="13" t="s">
        <v>641</v>
      </c>
    </row>
    <row r="962" spans="1:8">
      <c r="A962" s="13" t="s">
        <v>3180</v>
      </c>
      <c r="B962" s="13">
        <v>4006406</v>
      </c>
      <c r="C962" s="13" t="s">
        <v>641</v>
      </c>
      <c r="D962" s="13" t="s">
        <v>1209</v>
      </c>
      <c r="E962" s="13">
        <v>2</v>
      </c>
      <c r="F962" s="13" t="s">
        <v>671</v>
      </c>
      <c r="G962" s="13" t="s">
        <v>677</v>
      </c>
      <c r="H962" s="13" t="s">
        <v>641</v>
      </c>
    </row>
    <row r="963" spans="1:8">
      <c r="A963" s="13" t="s">
        <v>3180</v>
      </c>
      <c r="B963" s="13">
        <v>4006474</v>
      </c>
      <c r="C963" s="13" t="s">
        <v>641</v>
      </c>
      <c r="D963" s="13" t="s">
        <v>3497</v>
      </c>
      <c r="E963" s="13">
        <v>2</v>
      </c>
      <c r="F963" s="13" t="s">
        <v>671</v>
      </c>
      <c r="G963" s="13" t="s">
        <v>678</v>
      </c>
      <c r="H963" s="13" t="s">
        <v>641</v>
      </c>
    </row>
    <row r="964" spans="1:8">
      <c r="A964" s="13" t="s">
        <v>3180</v>
      </c>
      <c r="B964" s="13">
        <v>4006524</v>
      </c>
      <c r="C964" s="13" t="s">
        <v>641</v>
      </c>
      <c r="D964" s="13" t="s">
        <v>1210</v>
      </c>
      <c r="E964" s="13">
        <v>2</v>
      </c>
      <c r="F964" s="13" t="s">
        <v>696</v>
      </c>
      <c r="G964" s="13" t="s">
        <v>641</v>
      </c>
      <c r="H964" s="13" t="s">
        <v>641</v>
      </c>
    </row>
    <row r="965" spans="1:8">
      <c r="A965" s="13" t="s">
        <v>3180</v>
      </c>
      <c r="B965" s="13">
        <v>4006562</v>
      </c>
      <c r="C965" s="13" t="s">
        <v>641</v>
      </c>
      <c r="D965" s="13" t="s">
        <v>3498</v>
      </c>
      <c r="E965" s="13">
        <v>1</v>
      </c>
      <c r="F965" s="13" t="s">
        <v>642</v>
      </c>
      <c r="G965" s="13" t="s">
        <v>641</v>
      </c>
      <c r="H965" s="13" t="s">
        <v>700</v>
      </c>
    </row>
    <row r="966" spans="1:8">
      <c r="A966" s="13" t="s">
        <v>3180</v>
      </c>
      <c r="B966" s="13">
        <v>4006600</v>
      </c>
      <c r="C966" s="13" t="s">
        <v>641</v>
      </c>
      <c r="D966" s="13" t="s">
        <v>1211</v>
      </c>
      <c r="E966" s="13">
        <v>1</v>
      </c>
      <c r="F966" s="13" t="s">
        <v>646</v>
      </c>
      <c r="G966" s="13" t="s">
        <v>641</v>
      </c>
      <c r="H966" s="13" t="s">
        <v>641</v>
      </c>
    </row>
    <row r="967" spans="1:8">
      <c r="A967" s="13" t="s">
        <v>3180</v>
      </c>
      <c r="B967" s="13">
        <v>4006602</v>
      </c>
      <c r="C967" s="13" t="s">
        <v>641</v>
      </c>
      <c r="D967" s="13" t="s">
        <v>1212</v>
      </c>
      <c r="E967" s="13">
        <v>1</v>
      </c>
      <c r="F967" s="13" t="s">
        <v>640</v>
      </c>
      <c r="G967" s="13" t="s">
        <v>641</v>
      </c>
      <c r="H967" s="13" t="s">
        <v>3298</v>
      </c>
    </row>
    <row r="968" spans="1:8">
      <c r="A968" s="13" t="s">
        <v>3180</v>
      </c>
      <c r="B968" s="13">
        <v>4007426</v>
      </c>
      <c r="C968" s="13" t="s">
        <v>641</v>
      </c>
      <c r="D968" s="13" t="s">
        <v>3499</v>
      </c>
      <c r="E968" s="13">
        <v>1</v>
      </c>
      <c r="F968" s="13" t="s">
        <v>649</v>
      </c>
      <c r="G968" s="13" t="s">
        <v>641</v>
      </c>
      <c r="H968" s="13" t="s">
        <v>641</v>
      </c>
    </row>
    <row r="969" spans="1:8">
      <c r="A969" s="13" t="s">
        <v>3180</v>
      </c>
      <c r="B969" s="13">
        <v>4016756</v>
      </c>
      <c r="C969" s="13" t="s">
        <v>641</v>
      </c>
      <c r="D969" s="13" t="s">
        <v>3500</v>
      </c>
      <c r="E969" s="13">
        <v>2</v>
      </c>
      <c r="F969" s="13" t="s">
        <v>671</v>
      </c>
      <c r="G969" s="13" t="s">
        <v>678</v>
      </c>
      <c r="H969" s="13" t="s">
        <v>641</v>
      </c>
    </row>
    <row r="970" spans="1:8">
      <c r="A970" s="13" t="s">
        <v>3180</v>
      </c>
      <c r="B970" s="13">
        <v>4016814</v>
      </c>
      <c r="C970" s="13" t="s">
        <v>641</v>
      </c>
      <c r="D970" s="13" t="s">
        <v>1214</v>
      </c>
      <c r="E970" s="13">
        <v>2</v>
      </c>
      <c r="F970" s="13" t="s">
        <v>671</v>
      </c>
      <c r="G970" s="13" t="s">
        <v>677</v>
      </c>
      <c r="H970" s="13" t="s">
        <v>641</v>
      </c>
    </row>
    <row r="971" spans="1:8">
      <c r="A971" s="13" t="s">
        <v>3180</v>
      </c>
      <c r="B971" s="13">
        <v>4016918</v>
      </c>
      <c r="C971" s="13" t="s">
        <v>641</v>
      </c>
      <c r="D971" s="13" t="s">
        <v>3501</v>
      </c>
      <c r="E971" s="13">
        <v>2</v>
      </c>
      <c r="F971" s="13" t="s">
        <v>671</v>
      </c>
      <c r="G971" s="13" t="s">
        <v>678</v>
      </c>
      <c r="H971" s="13" t="s">
        <v>3187</v>
      </c>
    </row>
    <row r="972" spans="1:8">
      <c r="A972" s="13" t="s">
        <v>3180</v>
      </c>
      <c r="B972" s="13">
        <v>4016939</v>
      </c>
      <c r="C972" s="13" t="s">
        <v>641</v>
      </c>
      <c r="D972" s="13" t="s">
        <v>3502</v>
      </c>
      <c r="E972" s="13">
        <v>2</v>
      </c>
      <c r="F972" s="13" t="s">
        <v>671</v>
      </c>
      <c r="G972" s="13" t="s">
        <v>677</v>
      </c>
      <c r="H972" s="13" t="s">
        <v>641</v>
      </c>
    </row>
    <row r="973" spans="1:8">
      <c r="A973" s="13" t="s">
        <v>3180</v>
      </c>
      <c r="B973" s="13">
        <v>4016955</v>
      </c>
      <c r="C973" s="13" t="s">
        <v>641</v>
      </c>
      <c r="D973" s="13" t="s">
        <v>3503</v>
      </c>
      <c r="E973" s="13">
        <v>2</v>
      </c>
      <c r="F973" s="13" t="s">
        <v>696</v>
      </c>
      <c r="G973" s="13" t="s">
        <v>641</v>
      </c>
      <c r="H973" s="13" t="s">
        <v>641</v>
      </c>
    </row>
    <row r="974" spans="1:8">
      <c r="A974" s="13" t="s">
        <v>3180</v>
      </c>
      <c r="B974" s="13">
        <v>4016956</v>
      </c>
      <c r="C974" s="13" t="s">
        <v>641</v>
      </c>
      <c r="D974" s="13" t="s">
        <v>1215</v>
      </c>
      <c r="E974" s="13">
        <v>2</v>
      </c>
      <c r="F974" s="13" t="s">
        <v>696</v>
      </c>
      <c r="G974" s="13" t="s">
        <v>641</v>
      </c>
      <c r="H974" s="13" t="s">
        <v>641</v>
      </c>
    </row>
    <row r="975" spans="1:8">
      <c r="A975" s="13" t="s">
        <v>3180</v>
      </c>
      <c r="B975" s="13">
        <v>4016957</v>
      </c>
      <c r="C975" s="13" t="s">
        <v>641</v>
      </c>
      <c r="D975" s="13" t="s">
        <v>1216</v>
      </c>
      <c r="E975" s="13">
        <v>2</v>
      </c>
      <c r="F975" s="13" t="s">
        <v>696</v>
      </c>
      <c r="G975" s="13" t="s">
        <v>641</v>
      </c>
      <c r="H975" s="13" t="s">
        <v>641</v>
      </c>
    </row>
    <row r="976" spans="1:8">
      <c r="A976" s="13" t="s">
        <v>3180</v>
      </c>
      <c r="B976" s="13">
        <v>4016958</v>
      </c>
      <c r="C976" s="13" t="s">
        <v>641</v>
      </c>
      <c r="D976" s="13" t="s">
        <v>1217</v>
      </c>
      <c r="E976" s="13">
        <v>2</v>
      </c>
      <c r="F976" s="13" t="s">
        <v>696</v>
      </c>
      <c r="G976" s="13" t="s">
        <v>641</v>
      </c>
      <c r="H976" s="13" t="s">
        <v>641</v>
      </c>
    </row>
    <row r="977" spans="1:8">
      <c r="A977" s="13" t="s">
        <v>3180</v>
      </c>
      <c r="B977" s="13">
        <v>4016959</v>
      </c>
      <c r="C977" s="13" t="s">
        <v>641</v>
      </c>
      <c r="D977" s="13" t="s">
        <v>1218</v>
      </c>
      <c r="E977" s="13">
        <v>2</v>
      </c>
      <c r="F977" s="13" t="s">
        <v>696</v>
      </c>
      <c r="G977" s="13" t="s">
        <v>641</v>
      </c>
      <c r="H977" s="13" t="s">
        <v>641</v>
      </c>
    </row>
    <row r="978" spans="1:8">
      <c r="A978" s="13" t="s">
        <v>3180</v>
      </c>
      <c r="B978" s="13">
        <v>4016960</v>
      </c>
      <c r="C978" s="13" t="s">
        <v>641</v>
      </c>
      <c r="D978" s="13" t="s">
        <v>1219</v>
      </c>
      <c r="E978" s="13">
        <v>2</v>
      </c>
      <c r="F978" s="13" t="s">
        <v>696</v>
      </c>
      <c r="G978" s="13" t="s">
        <v>641</v>
      </c>
      <c r="H978" s="13" t="s">
        <v>641</v>
      </c>
    </row>
    <row r="979" spans="1:8">
      <c r="A979" s="13" t="s">
        <v>3180</v>
      </c>
      <c r="B979" s="13">
        <v>4016961</v>
      </c>
      <c r="C979" s="13" t="s">
        <v>641</v>
      </c>
      <c r="D979" s="13" t="s">
        <v>1220</v>
      </c>
      <c r="E979" s="13">
        <v>2</v>
      </c>
      <c r="F979" s="13" t="s">
        <v>696</v>
      </c>
      <c r="G979" s="13" t="s">
        <v>641</v>
      </c>
      <c r="H979" s="13" t="s">
        <v>641</v>
      </c>
    </row>
    <row r="980" spans="1:8">
      <c r="A980" s="13" t="s">
        <v>3180</v>
      </c>
      <c r="B980" s="13">
        <v>4016962</v>
      </c>
      <c r="C980" s="13" t="s">
        <v>641</v>
      </c>
      <c r="D980" s="13" t="s">
        <v>1221</v>
      </c>
      <c r="E980" s="13">
        <v>2</v>
      </c>
      <c r="F980" s="13" t="s">
        <v>696</v>
      </c>
      <c r="G980" s="13" t="s">
        <v>641</v>
      </c>
      <c r="H980" s="13" t="s">
        <v>641</v>
      </c>
    </row>
    <row r="981" spans="1:8">
      <c r="A981" s="13" t="s">
        <v>3180</v>
      </c>
      <c r="B981" s="13">
        <v>4016963</v>
      </c>
      <c r="C981" s="13" t="s">
        <v>641</v>
      </c>
      <c r="D981" s="13" t="s">
        <v>1222</v>
      </c>
      <c r="E981" s="13">
        <v>2</v>
      </c>
      <c r="F981" s="13" t="s">
        <v>696</v>
      </c>
      <c r="G981" s="13" t="s">
        <v>641</v>
      </c>
      <c r="H981" s="13" t="s">
        <v>641</v>
      </c>
    </row>
    <row r="982" spans="1:8">
      <c r="A982" s="13" t="s">
        <v>3180</v>
      </c>
      <c r="B982" s="13">
        <v>4016964</v>
      </c>
      <c r="C982" s="13" t="s">
        <v>641</v>
      </c>
      <c r="D982" s="13" t="s">
        <v>1223</v>
      </c>
      <c r="E982" s="13">
        <v>2</v>
      </c>
      <c r="F982" s="13" t="s">
        <v>696</v>
      </c>
      <c r="G982" s="13" t="s">
        <v>641</v>
      </c>
      <c r="H982" s="13" t="s">
        <v>641</v>
      </c>
    </row>
    <row r="983" spans="1:8">
      <c r="A983" s="13" t="s">
        <v>3180</v>
      </c>
      <c r="B983" s="13">
        <v>4016965</v>
      </c>
      <c r="C983" s="13" t="s">
        <v>641</v>
      </c>
      <c r="D983" s="13" t="s">
        <v>1224</v>
      </c>
      <c r="E983" s="13">
        <v>2</v>
      </c>
      <c r="F983" s="13" t="s">
        <v>696</v>
      </c>
      <c r="G983" s="13" t="s">
        <v>641</v>
      </c>
      <c r="H983" s="13" t="s">
        <v>641</v>
      </c>
    </row>
    <row r="984" spans="1:8">
      <c r="A984" s="13" t="s">
        <v>3180</v>
      </c>
      <c r="B984" s="13">
        <v>4016966</v>
      </c>
      <c r="C984" s="13" t="s">
        <v>641</v>
      </c>
      <c r="D984" s="13" t="s">
        <v>1225</v>
      </c>
      <c r="E984" s="13">
        <v>2</v>
      </c>
      <c r="F984" s="13" t="s">
        <v>696</v>
      </c>
      <c r="G984" s="13" t="s">
        <v>641</v>
      </c>
      <c r="H984" s="13" t="s">
        <v>641</v>
      </c>
    </row>
    <row r="985" spans="1:8">
      <c r="A985" s="13" t="s">
        <v>3180</v>
      </c>
      <c r="B985" s="13">
        <v>4016967</v>
      </c>
      <c r="C985" s="13" t="s">
        <v>641</v>
      </c>
      <c r="D985" s="13" t="s">
        <v>1226</v>
      </c>
      <c r="E985" s="13">
        <v>2</v>
      </c>
      <c r="F985" s="13" t="s">
        <v>696</v>
      </c>
      <c r="G985" s="13" t="s">
        <v>641</v>
      </c>
      <c r="H985" s="13" t="s">
        <v>641</v>
      </c>
    </row>
    <row r="986" spans="1:8">
      <c r="A986" s="13" t="s">
        <v>3180</v>
      </c>
      <c r="B986" s="13">
        <v>4016969</v>
      </c>
      <c r="C986" s="13" t="s">
        <v>641</v>
      </c>
      <c r="D986" s="13" t="s">
        <v>1227</v>
      </c>
      <c r="E986" s="13">
        <v>2</v>
      </c>
      <c r="F986" s="13" t="s">
        <v>696</v>
      </c>
      <c r="G986" s="13" t="s">
        <v>641</v>
      </c>
      <c r="H986" s="13" t="s">
        <v>641</v>
      </c>
    </row>
    <row r="987" spans="1:8">
      <c r="A987" s="13" t="s">
        <v>3180</v>
      </c>
      <c r="B987" s="13">
        <v>4016979</v>
      </c>
      <c r="C987" s="13" t="s">
        <v>641</v>
      </c>
      <c r="D987" s="13" t="s">
        <v>3504</v>
      </c>
      <c r="E987" s="13">
        <v>2</v>
      </c>
      <c r="F987" s="13" t="s">
        <v>671</v>
      </c>
      <c r="G987" s="13" t="s">
        <v>678</v>
      </c>
      <c r="H987" s="13" t="s">
        <v>641</v>
      </c>
    </row>
    <row r="988" spans="1:8">
      <c r="A988" s="13" t="s">
        <v>3180</v>
      </c>
      <c r="B988" s="13">
        <v>4017016</v>
      </c>
      <c r="C988" s="13" t="s">
        <v>641</v>
      </c>
      <c r="D988" s="13" t="s">
        <v>1829</v>
      </c>
      <c r="E988" s="13">
        <v>2</v>
      </c>
      <c r="F988" s="13" t="s">
        <v>671</v>
      </c>
      <c r="G988" s="13" t="s">
        <v>677</v>
      </c>
      <c r="H988" s="13" t="s">
        <v>641</v>
      </c>
    </row>
    <row r="989" spans="1:8">
      <c r="A989" s="13" t="s">
        <v>3180</v>
      </c>
      <c r="B989" s="13">
        <v>4017075</v>
      </c>
      <c r="C989" s="13" t="s">
        <v>641</v>
      </c>
      <c r="D989" s="13" t="s">
        <v>118</v>
      </c>
      <c r="E989" s="13">
        <v>1</v>
      </c>
      <c r="F989" s="13" t="s">
        <v>640</v>
      </c>
      <c r="G989" s="13" t="s">
        <v>641</v>
      </c>
      <c r="H989" s="13" t="s">
        <v>641</v>
      </c>
    </row>
    <row r="990" spans="1:8">
      <c r="A990" s="13" t="s">
        <v>3180</v>
      </c>
      <c r="B990" s="13">
        <v>4017401</v>
      </c>
      <c r="C990" s="13" t="s">
        <v>641</v>
      </c>
      <c r="D990" s="13" t="s">
        <v>1228</v>
      </c>
      <c r="E990" s="13">
        <v>2</v>
      </c>
      <c r="F990" s="13" t="s">
        <v>671</v>
      </c>
      <c r="G990" s="13" t="s">
        <v>678</v>
      </c>
      <c r="H990" s="13" t="s">
        <v>641</v>
      </c>
    </row>
    <row r="991" spans="1:8">
      <c r="A991" s="13" t="s">
        <v>3180</v>
      </c>
      <c r="B991" s="13">
        <v>4017402</v>
      </c>
      <c r="C991" s="13" t="s">
        <v>641</v>
      </c>
      <c r="D991" s="13" t="s">
        <v>1229</v>
      </c>
      <c r="E991" s="13">
        <v>2</v>
      </c>
      <c r="F991" s="13" t="s">
        <v>671</v>
      </c>
      <c r="G991" s="13" t="s">
        <v>678</v>
      </c>
      <c r="H991" s="13" t="s">
        <v>641</v>
      </c>
    </row>
    <row r="992" spans="1:8">
      <c r="A992" s="13" t="s">
        <v>3180</v>
      </c>
      <c r="B992" s="13">
        <v>4017430</v>
      </c>
      <c r="C992" s="13" t="s">
        <v>641</v>
      </c>
      <c r="D992" s="13" t="s">
        <v>1230</v>
      </c>
      <c r="E992" s="13">
        <v>2</v>
      </c>
      <c r="F992" s="13" t="s">
        <v>671</v>
      </c>
      <c r="G992" s="13" t="s">
        <v>678</v>
      </c>
      <c r="H992" s="13" t="s">
        <v>641</v>
      </c>
    </row>
    <row r="993" spans="1:8">
      <c r="A993" s="13" t="s">
        <v>3180</v>
      </c>
      <c r="B993" s="13">
        <v>4017463</v>
      </c>
      <c r="C993" s="13" t="s">
        <v>641</v>
      </c>
      <c r="D993" s="13" t="s">
        <v>3505</v>
      </c>
      <c r="E993" s="13">
        <v>2</v>
      </c>
      <c r="F993" s="13" t="s">
        <v>671</v>
      </c>
      <c r="G993" s="13" t="s">
        <v>678</v>
      </c>
      <c r="H993" s="13" t="s">
        <v>641</v>
      </c>
    </row>
    <row r="994" spans="1:8">
      <c r="A994" s="13" t="s">
        <v>3180</v>
      </c>
      <c r="B994" s="13">
        <v>4017478</v>
      </c>
      <c r="C994" s="13" t="s">
        <v>641</v>
      </c>
      <c r="D994" s="13" t="s">
        <v>1231</v>
      </c>
      <c r="E994" s="13">
        <v>2</v>
      </c>
      <c r="F994" s="13" t="s">
        <v>671</v>
      </c>
      <c r="G994" s="13" t="s">
        <v>678</v>
      </c>
      <c r="H994" s="13" t="s">
        <v>641</v>
      </c>
    </row>
    <row r="995" spans="1:8">
      <c r="A995" s="13" t="s">
        <v>3180</v>
      </c>
      <c r="B995" s="13">
        <v>4017545</v>
      </c>
      <c r="C995" s="13" t="s">
        <v>641</v>
      </c>
      <c r="D995" s="13" t="s">
        <v>3506</v>
      </c>
      <c r="E995" s="13">
        <v>2</v>
      </c>
      <c r="F995" s="13" t="s">
        <v>671</v>
      </c>
      <c r="G995" s="13" t="s">
        <v>678</v>
      </c>
      <c r="H995" s="13" t="s">
        <v>3187</v>
      </c>
    </row>
    <row r="996" spans="1:8">
      <c r="A996" s="13" t="s">
        <v>3180</v>
      </c>
      <c r="B996" s="13">
        <v>4017570</v>
      </c>
      <c r="C996" s="13" t="s">
        <v>641</v>
      </c>
      <c r="D996" s="13" t="s">
        <v>3507</v>
      </c>
      <c r="E996" s="13">
        <v>1</v>
      </c>
      <c r="F996" s="13" t="s">
        <v>642</v>
      </c>
      <c r="G996" s="13" t="s">
        <v>3508</v>
      </c>
      <c r="H996" s="13" t="s">
        <v>3183</v>
      </c>
    </row>
    <row r="997" spans="1:8">
      <c r="A997" s="13" t="s">
        <v>3180</v>
      </c>
      <c r="B997" s="13">
        <v>4017604</v>
      </c>
      <c r="C997" s="13" t="s">
        <v>641</v>
      </c>
      <c r="D997" s="13" t="s">
        <v>3509</v>
      </c>
      <c r="E997" s="13">
        <v>2</v>
      </c>
      <c r="F997" s="13" t="s">
        <v>671</v>
      </c>
      <c r="G997" s="13" t="s">
        <v>678</v>
      </c>
      <c r="H997" s="13" t="s">
        <v>641</v>
      </c>
    </row>
    <row r="998" spans="1:8">
      <c r="A998" s="13" t="s">
        <v>3180</v>
      </c>
      <c r="B998" s="13">
        <v>4017662</v>
      </c>
      <c r="C998" s="13" t="s">
        <v>641</v>
      </c>
      <c r="D998" s="13" t="s">
        <v>3510</v>
      </c>
      <c r="E998" s="13">
        <v>2</v>
      </c>
      <c r="F998" s="13" t="s">
        <v>671</v>
      </c>
      <c r="G998" s="13" t="s">
        <v>677</v>
      </c>
      <c r="H998" s="13" t="s">
        <v>641</v>
      </c>
    </row>
    <row r="999" spans="1:8">
      <c r="A999" s="13" t="s">
        <v>3180</v>
      </c>
      <c r="B999" s="13">
        <v>4017685</v>
      </c>
      <c r="C999" s="13" t="s">
        <v>641</v>
      </c>
      <c r="D999" s="13" t="s">
        <v>1232</v>
      </c>
      <c r="E999" s="13">
        <v>2</v>
      </c>
      <c r="F999" s="13" t="s">
        <v>671</v>
      </c>
      <c r="G999" s="13" t="s">
        <v>678</v>
      </c>
      <c r="H999" s="13" t="s">
        <v>641</v>
      </c>
    </row>
    <row r="1000" spans="1:8">
      <c r="A1000" s="13" t="s">
        <v>3180</v>
      </c>
      <c r="B1000" s="13">
        <v>4017686</v>
      </c>
      <c r="C1000" s="13" t="s">
        <v>641</v>
      </c>
      <c r="D1000" s="13" t="s">
        <v>1233</v>
      </c>
      <c r="E1000" s="13">
        <v>2</v>
      </c>
      <c r="F1000" s="13" t="s">
        <v>671</v>
      </c>
      <c r="G1000" s="13" t="s">
        <v>678</v>
      </c>
      <c r="H1000" s="13" t="s">
        <v>641</v>
      </c>
    </row>
    <row r="1001" spans="1:8">
      <c r="A1001" s="13" t="s">
        <v>3180</v>
      </c>
      <c r="B1001" s="13">
        <v>4017687</v>
      </c>
      <c r="C1001" s="13" t="s">
        <v>641</v>
      </c>
      <c r="D1001" s="13" t="s">
        <v>1234</v>
      </c>
      <c r="E1001" s="13">
        <v>2</v>
      </c>
      <c r="F1001" s="13" t="s">
        <v>671</v>
      </c>
      <c r="G1001" s="13" t="s">
        <v>678</v>
      </c>
      <c r="H1001" s="13" t="s">
        <v>641</v>
      </c>
    </row>
    <row r="1002" spans="1:8">
      <c r="A1002" s="13" t="s">
        <v>3180</v>
      </c>
      <c r="B1002" s="13">
        <v>4017688</v>
      </c>
      <c r="C1002" s="13" t="s">
        <v>641</v>
      </c>
      <c r="D1002" s="13" t="s">
        <v>1897</v>
      </c>
      <c r="E1002" s="13">
        <v>2</v>
      </c>
      <c r="F1002" s="13" t="s">
        <v>671</v>
      </c>
      <c r="G1002" s="13" t="s">
        <v>678</v>
      </c>
      <c r="H1002" s="13" t="s">
        <v>641</v>
      </c>
    </row>
    <row r="1003" spans="1:8">
      <c r="A1003" s="13" t="s">
        <v>3180</v>
      </c>
      <c r="B1003" s="13">
        <v>4017689</v>
      </c>
      <c r="C1003" s="13" t="s">
        <v>641</v>
      </c>
      <c r="D1003" s="13" t="s">
        <v>1235</v>
      </c>
      <c r="E1003" s="13">
        <v>2</v>
      </c>
      <c r="F1003" s="13" t="s">
        <v>671</v>
      </c>
      <c r="G1003" s="13" t="s">
        <v>678</v>
      </c>
      <c r="H1003" s="13" t="s">
        <v>641</v>
      </c>
    </row>
    <row r="1004" spans="1:8">
      <c r="A1004" s="13" t="s">
        <v>3180</v>
      </c>
      <c r="B1004" s="13">
        <v>4017690</v>
      </c>
      <c r="C1004" s="13" t="s">
        <v>641</v>
      </c>
      <c r="D1004" s="13" t="s">
        <v>1236</v>
      </c>
      <c r="E1004" s="13">
        <v>2</v>
      </c>
      <c r="F1004" s="13" t="s">
        <v>671</v>
      </c>
      <c r="G1004" s="13" t="s">
        <v>678</v>
      </c>
      <c r="H1004" s="13" t="s">
        <v>641</v>
      </c>
    </row>
    <row r="1005" spans="1:8">
      <c r="A1005" s="13" t="s">
        <v>3180</v>
      </c>
      <c r="B1005" s="13">
        <v>4017699</v>
      </c>
      <c r="C1005" s="13" t="s">
        <v>641</v>
      </c>
      <c r="D1005" s="13" t="s">
        <v>1237</v>
      </c>
      <c r="E1005" s="13">
        <v>2</v>
      </c>
      <c r="F1005" s="13" t="s">
        <v>671</v>
      </c>
      <c r="G1005" s="13" t="s">
        <v>677</v>
      </c>
      <c r="H1005" s="13" t="s">
        <v>641</v>
      </c>
    </row>
    <row r="1006" spans="1:8">
      <c r="A1006" s="13" t="s">
        <v>3180</v>
      </c>
      <c r="B1006" s="13">
        <v>4017700</v>
      </c>
      <c r="C1006" s="13" t="s">
        <v>641</v>
      </c>
      <c r="D1006" s="13" t="s">
        <v>1238</v>
      </c>
      <c r="E1006" s="13">
        <v>2</v>
      </c>
      <c r="F1006" s="13" t="s">
        <v>671</v>
      </c>
      <c r="G1006" s="13" t="s">
        <v>677</v>
      </c>
      <c r="H1006" s="13" t="s">
        <v>641</v>
      </c>
    </row>
    <row r="1007" spans="1:8">
      <c r="A1007" s="13" t="s">
        <v>3180</v>
      </c>
      <c r="B1007" s="13">
        <v>4017701</v>
      </c>
      <c r="C1007" s="13" t="s">
        <v>641</v>
      </c>
      <c r="D1007" s="13" t="s">
        <v>1239</v>
      </c>
      <c r="E1007" s="13">
        <v>2</v>
      </c>
      <c r="F1007" s="13" t="s">
        <v>696</v>
      </c>
      <c r="G1007" s="13" t="s">
        <v>641</v>
      </c>
      <c r="H1007" s="13" t="s">
        <v>641</v>
      </c>
    </row>
    <row r="1008" spans="1:8">
      <c r="A1008" s="13" t="s">
        <v>3180</v>
      </c>
      <c r="B1008" s="13">
        <v>4017702</v>
      </c>
      <c r="C1008" s="13" t="s">
        <v>641</v>
      </c>
      <c r="D1008" s="13" t="s">
        <v>1240</v>
      </c>
      <c r="E1008" s="13">
        <v>2</v>
      </c>
      <c r="F1008" s="13" t="s">
        <v>696</v>
      </c>
      <c r="G1008" s="13" t="s">
        <v>641</v>
      </c>
      <c r="H1008" s="13" t="s">
        <v>641</v>
      </c>
    </row>
    <row r="1009" spans="1:8">
      <c r="A1009" s="13" t="s">
        <v>3180</v>
      </c>
      <c r="B1009" s="13">
        <v>4017703</v>
      </c>
      <c r="C1009" s="13" t="s">
        <v>641</v>
      </c>
      <c r="D1009" s="13" t="s">
        <v>1241</v>
      </c>
      <c r="E1009" s="13">
        <v>2</v>
      </c>
      <c r="F1009" s="13" t="s">
        <v>696</v>
      </c>
      <c r="G1009" s="13" t="s">
        <v>641</v>
      </c>
      <c r="H1009" s="13" t="s">
        <v>641</v>
      </c>
    </row>
    <row r="1010" spans="1:8">
      <c r="A1010" s="13" t="s">
        <v>3180</v>
      </c>
      <c r="B1010" s="13">
        <v>4017704</v>
      </c>
      <c r="C1010" s="13" t="s">
        <v>641</v>
      </c>
      <c r="D1010" s="13" t="s">
        <v>1242</v>
      </c>
      <c r="E1010" s="13">
        <v>2</v>
      </c>
      <c r="F1010" s="13" t="s">
        <v>696</v>
      </c>
      <c r="G1010" s="13" t="s">
        <v>641</v>
      </c>
      <c r="H1010" s="13" t="s">
        <v>641</v>
      </c>
    </row>
    <row r="1011" spans="1:8">
      <c r="A1011" s="13" t="s">
        <v>3180</v>
      </c>
      <c r="B1011" s="13">
        <v>4017705</v>
      </c>
      <c r="C1011" s="13" t="s">
        <v>641</v>
      </c>
      <c r="D1011" s="13" t="s">
        <v>1243</v>
      </c>
      <c r="E1011" s="13">
        <v>2</v>
      </c>
      <c r="F1011" s="13" t="s">
        <v>696</v>
      </c>
      <c r="G1011" s="13" t="s">
        <v>641</v>
      </c>
      <c r="H1011" s="13" t="s">
        <v>641</v>
      </c>
    </row>
    <row r="1012" spans="1:8">
      <c r="A1012" s="13" t="s">
        <v>3180</v>
      </c>
      <c r="B1012" s="13">
        <v>4017706</v>
      </c>
      <c r="C1012" s="13" t="s">
        <v>641</v>
      </c>
      <c r="D1012" s="13" t="s">
        <v>1244</v>
      </c>
      <c r="E1012" s="13">
        <v>2</v>
      </c>
      <c r="F1012" s="13" t="s">
        <v>696</v>
      </c>
      <c r="G1012" s="13" t="s">
        <v>641</v>
      </c>
      <c r="H1012" s="13" t="s">
        <v>641</v>
      </c>
    </row>
    <row r="1013" spans="1:8">
      <c r="A1013" s="13" t="s">
        <v>3180</v>
      </c>
      <c r="B1013" s="13">
        <v>4017707</v>
      </c>
      <c r="C1013" s="13" t="s">
        <v>641</v>
      </c>
      <c r="D1013" s="13" t="s">
        <v>1245</v>
      </c>
      <c r="E1013" s="13">
        <v>2</v>
      </c>
      <c r="F1013" s="13" t="s">
        <v>696</v>
      </c>
      <c r="G1013" s="13" t="s">
        <v>641</v>
      </c>
      <c r="H1013" s="13" t="s">
        <v>641</v>
      </c>
    </row>
    <row r="1014" spans="1:8">
      <c r="A1014" s="13" t="s">
        <v>3180</v>
      </c>
      <c r="B1014" s="13">
        <v>4017708</v>
      </c>
      <c r="C1014" s="13" t="s">
        <v>641</v>
      </c>
      <c r="D1014" s="13" t="s">
        <v>1246</v>
      </c>
      <c r="E1014" s="13">
        <v>2</v>
      </c>
      <c r="F1014" s="13" t="s">
        <v>696</v>
      </c>
      <c r="G1014" s="13" t="s">
        <v>641</v>
      </c>
      <c r="H1014" s="13" t="s">
        <v>641</v>
      </c>
    </row>
    <row r="1015" spans="1:8">
      <c r="A1015" s="13" t="s">
        <v>3180</v>
      </c>
      <c r="B1015" s="13">
        <v>4017709</v>
      </c>
      <c r="C1015" s="13" t="s">
        <v>641</v>
      </c>
      <c r="D1015" s="13" t="s">
        <v>1247</v>
      </c>
      <c r="E1015" s="13">
        <v>2</v>
      </c>
      <c r="F1015" s="13" t="s">
        <v>696</v>
      </c>
      <c r="G1015" s="13" t="s">
        <v>641</v>
      </c>
      <c r="H1015" s="13" t="s">
        <v>641</v>
      </c>
    </row>
    <row r="1016" spans="1:8">
      <c r="A1016" s="13" t="s">
        <v>3180</v>
      </c>
      <c r="B1016" s="13">
        <v>4017710</v>
      </c>
      <c r="C1016" s="13" t="s">
        <v>641</v>
      </c>
      <c r="D1016" s="13" t="s">
        <v>1248</v>
      </c>
      <c r="E1016" s="13">
        <v>2</v>
      </c>
      <c r="F1016" s="13" t="s">
        <v>696</v>
      </c>
      <c r="G1016" s="13" t="s">
        <v>641</v>
      </c>
      <c r="H1016" s="13" t="s">
        <v>641</v>
      </c>
    </row>
    <row r="1017" spans="1:8">
      <c r="A1017" s="13" t="s">
        <v>3180</v>
      </c>
      <c r="B1017" s="13">
        <v>4017711</v>
      </c>
      <c r="C1017" s="13" t="s">
        <v>641</v>
      </c>
      <c r="D1017" s="13" t="s">
        <v>1249</v>
      </c>
      <c r="E1017" s="13">
        <v>2</v>
      </c>
      <c r="F1017" s="13" t="s">
        <v>696</v>
      </c>
      <c r="G1017" s="13" t="s">
        <v>641</v>
      </c>
      <c r="H1017" s="13" t="s">
        <v>641</v>
      </c>
    </row>
    <row r="1018" spans="1:8">
      <c r="A1018" s="13" t="s">
        <v>3180</v>
      </c>
      <c r="B1018" s="13">
        <v>4017712</v>
      </c>
      <c r="C1018" s="13" t="s">
        <v>641</v>
      </c>
      <c r="D1018" s="13" t="s">
        <v>1250</v>
      </c>
      <c r="E1018" s="13">
        <v>2</v>
      </c>
      <c r="F1018" s="13" t="s">
        <v>696</v>
      </c>
      <c r="G1018" s="13" t="s">
        <v>641</v>
      </c>
      <c r="H1018" s="13" t="s">
        <v>641</v>
      </c>
    </row>
    <row r="1019" spans="1:8">
      <c r="A1019" s="13" t="s">
        <v>3180</v>
      </c>
      <c r="B1019" s="13">
        <v>4017713</v>
      </c>
      <c r="C1019" s="13" t="s">
        <v>641</v>
      </c>
      <c r="D1019" s="13" t="s">
        <v>1251</v>
      </c>
      <c r="E1019" s="13">
        <v>2</v>
      </c>
      <c r="F1019" s="13" t="s">
        <v>696</v>
      </c>
      <c r="G1019" s="13" t="s">
        <v>641</v>
      </c>
      <c r="H1019" s="13" t="s">
        <v>641</v>
      </c>
    </row>
    <row r="1020" spans="1:8">
      <c r="A1020" s="13" t="s">
        <v>3180</v>
      </c>
      <c r="B1020" s="13">
        <v>4017714</v>
      </c>
      <c r="C1020" s="13" t="s">
        <v>641</v>
      </c>
      <c r="D1020" s="13" t="s">
        <v>1252</v>
      </c>
      <c r="E1020" s="13">
        <v>2</v>
      </c>
      <c r="F1020" s="13" t="s">
        <v>696</v>
      </c>
      <c r="G1020" s="13" t="s">
        <v>641</v>
      </c>
      <c r="H1020" s="13" t="s">
        <v>641</v>
      </c>
    </row>
    <row r="1021" spans="1:8">
      <c r="A1021" s="13" t="s">
        <v>3180</v>
      </c>
      <c r="B1021" s="13">
        <v>4017737</v>
      </c>
      <c r="C1021" s="13" t="s">
        <v>641</v>
      </c>
      <c r="D1021" s="13" t="s">
        <v>1253</v>
      </c>
      <c r="E1021" s="13">
        <v>2</v>
      </c>
      <c r="F1021" s="13" t="s">
        <v>671</v>
      </c>
      <c r="G1021" s="13" t="s">
        <v>678</v>
      </c>
      <c r="H1021" s="13" t="s">
        <v>641</v>
      </c>
    </row>
    <row r="1022" spans="1:8">
      <c r="A1022" s="13" t="s">
        <v>3180</v>
      </c>
      <c r="B1022" s="13">
        <v>4017811</v>
      </c>
      <c r="C1022" s="13" t="s">
        <v>641</v>
      </c>
      <c r="D1022" s="13" t="s">
        <v>3511</v>
      </c>
      <c r="E1022" s="13">
        <v>2</v>
      </c>
      <c r="F1022" s="13" t="s">
        <v>671</v>
      </c>
      <c r="G1022" s="13" t="s">
        <v>678</v>
      </c>
      <c r="H1022" s="13" t="s">
        <v>3187</v>
      </c>
    </row>
    <row r="1023" spans="1:8">
      <c r="A1023" s="13" t="s">
        <v>3180</v>
      </c>
      <c r="B1023" s="13">
        <v>4017892</v>
      </c>
      <c r="C1023" s="13" t="s">
        <v>641</v>
      </c>
      <c r="D1023" s="13" t="s">
        <v>253</v>
      </c>
      <c r="E1023" s="13">
        <v>1</v>
      </c>
      <c r="F1023" s="13" t="s">
        <v>649</v>
      </c>
      <c r="G1023" s="13" t="s">
        <v>641</v>
      </c>
      <c r="H1023" s="13" t="s">
        <v>3298</v>
      </c>
    </row>
    <row r="1024" spans="1:8">
      <c r="A1024" s="13" t="s">
        <v>3180</v>
      </c>
      <c r="B1024" s="13">
        <v>4017941</v>
      </c>
      <c r="C1024" s="13" t="s">
        <v>641</v>
      </c>
      <c r="D1024" s="13" t="s">
        <v>1254</v>
      </c>
      <c r="E1024" s="13">
        <v>2</v>
      </c>
      <c r="F1024" s="13" t="s">
        <v>671</v>
      </c>
      <c r="G1024" s="13" t="s">
        <v>677</v>
      </c>
      <c r="H1024" s="13" t="s">
        <v>641</v>
      </c>
    </row>
    <row r="1025" spans="1:8">
      <c r="A1025" s="13" t="s">
        <v>3180</v>
      </c>
      <c r="B1025" s="13">
        <v>4017958</v>
      </c>
      <c r="C1025" s="13" t="s">
        <v>641</v>
      </c>
      <c r="D1025" s="13" t="s">
        <v>3512</v>
      </c>
      <c r="E1025" s="13">
        <v>2</v>
      </c>
      <c r="F1025" s="13" t="s">
        <v>671</v>
      </c>
      <c r="G1025" s="13" t="s">
        <v>677</v>
      </c>
      <c r="H1025" s="13" t="s">
        <v>641</v>
      </c>
    </row>
    <row r="1026" spans="1:8">
      <c r="A1026" s="13" t="s">
        <v>3180</v>
      </c>
      <c r="B1026" s="13">
        <v>4018001</v>
      </c>
      <c r="C1026" s="13" t="s">
        <v>641</v>
      </c>
      <c r="D1026" s="13" t="s">
        <v>1823</v>
      </c>
      <c r="E1026" s="13">
        <v>2</v>
      </c>
      <c r="F1026" s="13" t="s">
        <v>671</v>
      </c>
      <c r="G1026" s="13" t="s">
        <v>678</v>
      </c>
      <c r="H1026" s="13" t="s">
        <v>641</v>
      </c>
    </row>
    <row r="1027" spans="1:8">
      <c r="A1027" s="13" t="s">
        <v>3180</v>
      </c>
      <c r="B1027" s="13">
        <v>4018011</v>
      </c>
      <c r="C1027" s="13" t="s">
        <v>641</v>
      </c>
      <c r="D1027" s="13" t="s">
        <v>3513</v>
      </c>
      <c r="E1027" s="13">
        <v>2</v>
      </c>
      <c r="F1027" s="13" t="s">
        <v>671</v>
      </c>
      <c r="G1027" s="13" t="s">
        <v>678</v>
      </c>
      <c r="H1027" s="13" t="s">
        <v>3187</v>
      </c>
    </row>
    <row r="1028" spans="1:8">
      <c r="A1028" s="13" t="s">
        <v>3180</v>
      </c>
      <c r="B1028" s="13">
        <v>4018053</v>
      </c>
      <c r="C1028" s="13" t="s">
        <v>641</v>
      </c>
      <c r="D1028" s="13" t="s">
        <v>1256</v>
      </c>
      <c r="E1028" s="13">
        <v>2</v>
      </c>
      <c r="F1028" s="13" t="s">
        <v>671</v>
      </c>
      <c r="G1028" s="13" t="s">
        <v>678</v>
      </c>
      <c r="H1028" s="13" t="s">
        <v>641</v>
      </c>
    </row>
    <row r="1029" spans="1:8">
      <c r="A1029" s="13" t="s">
        <v>3180</v>
      </c>
      <c r="B1029" s="13">
        <v>4018055</v>
      </c>
      <c r="C1029" s="13" t="s">
        <v>641</v>
      </c>
      <c r="D1029" s="13" t="s">
        <v>1257</v>
      </c>
      <c r="E1029" s="13">
        <v>2</v>
      </c>
      <c r="F1029" s="13" t="s">
        <v>671</v>
      </c>
      <c r="G1029" s="13" t="s">
        <v>678</v>
      </c>
      <c r="H1029" s="13" t="s">
        <v>641</v>
      </c>
    </row>
    <row r="1030" spans="1:8">
      <c r="A1030" s="13" t="s">
        <v>3180</v>
      </c>
      <c r="B1030" s="13">
        <v>4018204</v>
      </c>
      <c r="C1030" s="13" t="s">
        <v>641</v>
      </c>
      <c r="D1030" s="13" t="s">
        <v>3514</v>
      </c>
      <c r="E1030" s="13">
        <v>2</v>
      </c>
      <c r="F1030" s="13" t="s">
        <v>671</v>
      </c>
      <c r="G1030" s="13" t="s">
        <v>678</v>
      </c>
      <c r="H1030" s="13" t="s">
        <v>3187</v>
      </c>
    </row>
    <row r="1031" spans="1:8">
      <c r="A1031" s="13" t="s">
        <v>3180</v>
      </c>
      <c r="B1031" s="13">
        <v>4018205</v>
      </c>
      <c r="C1031" s="13" t="s">
        <v>641</v>
      </c>
      <c r="D1031" s="13" t="s">
        <v>3515</v>
      </c>
      <c r="E1031" s="13">
        <v>2</v>
      </c>
      <c r="F1031" s="13" t="s">
        <v>671</v>
      </c>
      <c r="G1031" s="13" t="s">
        <v>678</v>
      </c>
      <c r="H1031" s="13" t="s">
        <v>3187</v>
      </c>
    </row>
    <row r="1032" spans="1:8">
      <c r="A1032" s="13" t="s">
        <v>3180</v>
      </c>
      <c r="B1032" s="13">
        <v>4018209</v>
      </c>
      <c r="C1032" s="13" t="s">
        <v>641</v>
      </c>
      <c r="D1032" s="13" t="s">
        <v>3516</v>
      </c>
      <c r="E1032" s="13">
        <v>2</v>
      </c>
      <c r="F1032" s="13" t="s">
        <v>671</v>
      </c>
      <c r="G1032" s="13" t="s">
        <v>677</v>
      </c>
      <c r="H1032" s="13" t="s">
        <v>641</v>
      </c>
    </row>
    <row r="1033" spans="1:8">
      <c r="A1033" s="13" t="s">
        <v>3180</v>
      </c>
      <c r="B1033" s="13">
        <v>4018283</v>
      </c>
      <c r="C1033" s="13" t="s">
        <v>641</v>
      </c>
      <c r="D1033" s="13" t="s">
        <v>3517</v>
      </c>
      <c r="E1033" s="13">
        <v>2</v>
      </c>
      <c r="F1033" s="13" t="s">
        <v>671</v>
      </c>
      <c r="G1033" s="13" t="s">
        <v>678</v>
      </c>
      <c r="H1033" s="13" t="s">
        <v>641</v>
      </c>
    </row>
    <row r="1034" spans="1:8">
      <c r="A1034" s="13" t="s">
        <v>3180</v>
      </c>
      <c r="B1034" s="13">
        <v>4018284</v>
      </c>
      <c r="C1034" s="13" t="s">
        <v>641</v>
      </c>
      <c r="D1034" s="13" t="s">
        <v>1258</v>
      </c>
      <c r="E1034" s="13">
        <v>2</v>
      </c>
      <c r="F1034" s="13" t="s">
        <v>671</v>
      </c>
      <c r="G1034" s="13" t="s">
        <v>678</v>
      </c>
      <c r="H1034" s="13" t="s">
        <v>641</v>
      </c>
    </row>
    <row r="1035" spans="1:8">
      <c r="A1035" s="13" t="s">
        <v>3180</v>
      </c>
      <c r="B1035" s="13">
        <v>4018295</v>
      </c>
      <c r="C1035" s="13" t="s">
        <v>641</v>
      </c>
      <c r="D1035" s="13" t="s">
        <v>3518</v>
      </c>
      <c r="E1035" s="13">
        <v>2</v>
      </c>
      <c r="F1035" s="13" t="s">
        <v>696</v>
      </c>
      <c r="G1035" s="13" t="s">
        <v>641</v>
      </c>
      <c r="H1035" s="13" t="s">
        <v>641</v>
      </c>
    </row>
    <row r="1036" spans="1:8">
      <c r="A1036" s="13" t="s">
        <v>3180</v>
      </c>
      <c r="B1036" s="13">
        <v>4018296</v>
      </c>
      <c r="C1036" s="13" t="s">
        <v>641</v>
      </c>
      <c r="D1036" s="13" t="s">
        <v>1876</v>
      </c>
      <c r="E1036" s="13">
        <v>2</v>
      </c>
      <c r="F1036" s="13" t="s">
        <v>696</v>
      </c>
      <c r="G1036" s="13" t="s">
        <v>641</v>
      </c>
      <c r="H1036" s="13" t="s">
        <v>641</v>
      </c>
    </row>
    <row r="1037" spans="1:8">
      <c r="A1037" s="13" t="s">
        <v>3180</v>
      </c>
      <c r="B1037" s="13">
        <v>4018332</v>
      </c>
      <c r="C1037" s="13" t="s">
        <v>641</v>
      </c>
      <c r="D1037" s="13" t="s">
        <v>3519</v>
      </c>
      <c r="E1037" s="13">
        <v>2</v>
      </c>
      <c r="F1037" s="13" t="s">
        <v>671</v>
      </c>
      <c r="G1037" s="13" t="s">
        <v>678</v>
      </c>
      <c r="H1037" s="13" t="s">
        <v>641</v>
      </c>
    </row>
    <row r="1038" spans="1:8">
      <c r="A1038" s="13" t="s">
        <v>3180</v>
      </c>
      <c r="B1038" s="13">
        <v>4018379</v>
      </c>
      <c r="C1038" s="13" t="s">
        <v>641</v>
      </c>
      <c r="D1038" s="13" t="s">
        <v>543</v>
      </c>
      <c r="E1038" s="13">
        <v>2</v>
      </c>
      <c r="F1038" s="13" t="s">
        <v>671</v>
      </c>
      <c r="G1038" s="13" t="s">
        <v>678</v>
      </c>
      <c r="H1038" s="13" t="s">
        <v>641</v>
      </c>
    </row>
    <row r="1039" spans="1:8">
      <c r="A1039" s="13" t="s">
        <v>3180</v>
      </c>
      <c r="B1039" s="13">
        <v>4018381</v>
      </c>
      <c r="C1039" s="13" t="s">
        <v>641</v>
      </c>
      <c r="D1039" s="13" t="s">
        <v>3520</v>
      </c>
      <c r="E1039" s="13">
        <v>2</v>
      </c>
      <c r="F1039" s="13" t="s">
        <v>671</v>
      </c>
      <c r="G1039" s="13" t="s">
        <v>678</v>
      </c>
      <c r="H1039" s="13" t="s">
        <v>641</v>
      </c>
    </row>
    <row r="1040" spans="1:8">
      <c r="A1040" s="13" t="s">
        <v>3180</v>
      </c>
      <c r="B1040" s="13">
        <v>4018583</v>
      </c>
      <c r="C1040" s="13" t="s">
        <v>641</v>
      </c>
      <c r="D1040" s="13" t="s">
        <v>2314</v>
      </c>
      <c r="E1040" s="13">
        <v>2</v>
      </c>
      <c r="F1040" s="13" t="s">
        <v>671</v>
      </c>
      <c r="G1040" s="13" t="s">
        <v>678</v>
      </c>
      <c r="H1040" s="13" t="s">
        <v>3187</v>
      </c>
    </row>
    <row r="1041" spans="1:8">
      <c r="A1041" s="13" t="s">
        <v>3180</v>
      </c>
      <c r="B1041" s="13">
        <v>4018584</v>
      </c>
      <c r="C1041" s="13" t="s">
        <v>641</v>
      </c>
      <c r="D1041" s="13" t="s">
        <v>2315</v>
      </c>
      <c r="E1041" s="13">
        <v>2</v>
      </c>
      <c r="F1041" s="13" t="s">
        <v>671</v>
      </c>
      <c r="G1041" s="13" t="s">
        <v>678</v>
      </c>
      <c r="H1041" s="13" t="s">
        <v>3187</v>
      </c>
    </row>
    <row r="1042" spans="1:8">
      <c r="A1042" s="13" t="s">
        <v>3180</v>
      </c>
      <c r="B1042" s="13">
        <v>4018585</v>
      </c>
      <c r="C1042" s="13" t="s">
        <v>641</v>
      </c>
      <c r="D1042" s="13" t="s">
        <v>1260</v>
      </c>
      <c r="E1042" s="13">
        <v>2</v>
      </c>
      <c r="F1042" s="13" t="s">
        <v>671</v>
      </c>
      <c r="G1042" s="13" t="s">
        <v>678</v>
      </c>
      <c r="H1042" s="13" t="s">
        <v>641</v>
      </c>
    </row>
    <row r="1043" spans="1:8">
      <c r="A1043" s="13" t="s">
        <v>3180</v>
      </c>
      <c r="B1043" s="13">
        <v>4018586</v>
      </c>
      <c r="C1043" s="13" t="s">
        <v>641</v>
      </c>
      <c r="D1043" s="13" t="s">
        <v>1261</v>
      </c>
      <c r="E1043" s="13">
        <v>2</v>
      </c>
      <c r="F1043" s="13" t="s">
        <v>671</v>
      </c>
      <c r="G1043" s="13" t="s">
        <v>678</v>
      </c>
      <c r="H1043" s="13" t="s">
        <v>641</v>
      </c>
    </row>
    <row r="1044" spans="1:8">
      <c r="A1044" s="13" t="s">
        <v>3180</v>
      </c>
      <c r="B1044" s="13">
        <v>4018587</v>
      </c>
      <c r="C1044" s="13" t="s">
        <v>641</v>
      </c>
      <c r="D1044" s="13" t="s">
        <v>1262</v>
      </c>
      <c r="E1044" s="13">
        <v>2</v>
      </c>
      <c r="F1044" s="13" t="s">
        <v>671</v>
      </c>
      <c r="G1044" s="13" t="s">
        <v>678</v>
      </c>
      <c r="H1044" s="13" t="s">
        <v>641</v>
      </c>
    </row>
    <row r="1045" spans="1:8">
      <c r="A1045" s="13" t="s">
        <v>3180</v>
      </c>
      <c r="B1045" s="13">
        <v>4018677</v>
      </c>
      <c r="C1045" s="13" t="s">
        <v>641</v>
      </c>
      <c r="D1045" s="13" t="s">
        <v>3521</v>
      </c>
      <c r="E1045" s="13">
        <v>2</v>
      </c>
      <c r="F1045" s="13" t="s">
        <v>671</v>
      </c>
      <c r="G1045" s="13" t="s">
        <v>678</v>
      </c>
      <c r="H1045" s="13" t="s">
        <v>641</v>
      </c>
    </row>
    <row r="1046" spans="1:8">
      <c r="A1046" s="13" t="s">
        <v>3180</v>
      </c>
      <c r="B1046" s="13">
        <v>4018767</v>
      </c>
      <c r="C1046" s="13" t="s">
        <v>641</v>
      </c>
      <c r="D1046" s="13" t="s">
        <v>448</v>
      </c>
      <c r="E1046" s="13">
        <v>1</v>
      </c>
      <c r="F1046" s="13" t="s">
        <v>640</v>
      </c>
      <c r="G1046" s="13" t="s">
        <v>3186</v>
      </c>
      <c r="H1046" s="13" t="s">
        <v>641</v>
      </c>
    </row>
    <row r="1047" spans="1:8">
      <c r="A1047" s="13" t="s">
        <v>3180</v>
      </c>
      <c r="B1047" s="13">
        <v>4018807</v>
      </c>
      <c r="C1047" s="13" t="s">
        <v>641</v>
      </c>
      <c r="D1047" s="13" t="s">
        <v>1263</v>
      </c>
      <c r="E1047" s="13">
        <v>2</v>
      </c>
      <c r="F1047" s="13" t="s">
        <v>671</v>
      </c>
      <c r="G1047" s="13" t="s">
        <v>678</v>
      </c>
      <c r="H1047" s="13" t="s">
        <v>641</v>
      </c>
    </row>
    <row r="1048" spans="1:8">
      <c r="A1048" s="13" t="s">
        <v>3180</v>
      </c>
      <c r="B1048" s="13">
        <v>4018811</v>
      </c>
      <c r="C1048" s="13" t="s">
        <v>641</v>
      </c>
      <c r="D1048" s="13" t="s">
        <v>1264</v>
      </c>
      <c r="E1048" s="13">
        <v>2</v>
      </c>
      <c r="F1048" s="13" t="s">
        <v>671</v>
      </c>
      <c r="G1048" s="13" t="s">
        <v>677</v>
      </c>
      <c r="H1048" s="13" t="s">
        <v>641</v>
      </c>
    </row>
    <row r="1049" spans="1:8">
      <c r="A1049" s="13" t="s">
        <v>3180</v>
      </c>
      <c r="B1049" s="13">
        <v>4018861</v>
      </c>
      <c r="C1049" s="13" t="s">
        <v>641</v>
      </c>
      <c r="D1049" s="13" t="s">
        <v>1265</v>
      </c>
      <c r="E1049" s="13">
        <v>2</v>
      </c>
      <c r="F1049" s="13" t="s">
        <v>696</v>
      </c>
      <c r="G1049" s="13" t="s">
        <v>641</v>
      </c>
      <c r="H1049" s="13" t="s">
        <v>641</v>
      </c>
    </row>
    <row r="1050" spans="1:8">
      <c r="A1050" s="13" t="s">
        <v>3180</v>
      </c>
      <c r="B1050" s="13">
        <v>4018968</v>
      </c>
      <c r="C1050" s="13" t="s">
        <v>641</v>
      </c>
      <c r="D1050" s="13" t="s">
        <v>419</v>
      </c>
      <c r="E1050" s="13">
        <v>2</v>
      </c>
      <c r="F1050" s="13" t="s">
        <v>671</v>
      </c>
      <c r="G1050" s="13" t="s">
        <v>678</v>
      </c>
      <c r="H1050" s="13" t="s">
        <v>641</v>
      </c>
    </row>
    <row r="1051" spans="1:8">
      <c r="A1051" s="13" t="s">
        <v>3180</v>
      </c>
      <c r="B1051" s="13">
        <v>4019089</v>
      </c>
      <c r="C1051" s="13" t="s">
        <v>641</v>
      </c>
      <c r="D1051" s="13" t="s">
        <v>310</v>
      </c>
      <c r="E1051" s="13">
        <v>1</v>
      </c>
      <c r="F1051" s="13" t="s">
        <v>646</v>
      </c>
      <c r="G1051" s="13" t="s">
        <v>641</v>
      </c>
      <c r="H1051" s="13" t="s">
        <v>641</v>
      </c>
    </row>
    <row r="1052" spans="1:8">
      <c r="A1052" s="13" t="s">
        <v>3180</v>
      </c>
      <c r="B1052" s="13">
        <v>4019135</v>
      </c>
      <c r="C1052" s="13" t="s">
        <v>641</v>
      </c>
      <c r="D1052" s="13" t="s">
        <v>3522</v>
      </c>
      <c r="E1052" s="13">
        <v>2</v>
      </c>
      <c r="F1052" s="13" t="s">
        <v>671</v>
      </c>
      <c r="G1052" s="13" t="s">
        <v>678</v>
      </c>
      <c r="H1052" s="13" t="s">
        <v>641</v>
      </c>
    </row>
    <row r="1053" spans="1:8">
      <c r="A1053" s="13" t="s">
        <v>3180</v>
      </c>
      <c r="B1053" s="13">
        <v>4019253</v>
      </c>
      <c r="C1053" s="13" t="s">
        <v>641</v>
      </c>
      <c r="D1053" s="13" t="s">
        <v>3523</v>
      </c>
      <c r="E1053" s="13">
        <v>2</v>
      </c>
      <c r="F1053" s="13" t="s">
        <v>696</v>
      </c>
      <c r="G1053" s="13" t="s">
        <v>641</v>
      </c>
      <c r="H1053" s="13" t="s">
        <v>641</v>
      </c>
    </row>
    <row r="1054" spans="1:8">
      <c r="A1054" s="13" t="s">
        <v>3180</v>
      </c>
      <c r="B1054" s="13">
        <v>4019269</v>
      </c>
      <c r="C1054" s="13" t="s">
        <v>641</v>
      </c>
      <c r="D1054" s="13" t="s">
        <v>3524</v>
      </c>
      <c r="E1054" s="13">
        <v>2</v>
      </c>
      <c r="F1054" s="13" t="s">
        <v>671</v>
      </c>
      <c r="G1054" s="13" t="s">
        <v>678</v>
      </c>
      <c r="H1054" s="13" t="s">
        <v>641</v>
      </c>
    </row>
    <row r="1055" spans="1:8">
      <c r="A1055" s="13" t="s">
        <v>3180</v>
      </c>
      <c r="B1055" s="13">
        <v>4019274</v>
      </c>
      <c r="C1055" s="13" t="s">
        <v>641</v>
      </c>
      <c r="D1055" s="13" t="s">
        <v>1266</v>
      </c>
      <c r="E1055" s="13">
        <v>2</v>
      </c>
      <c r="F1055" s="13" t="s">
        <v>671</v>
      </c>
      <c r="G1055" s="13" t="s">
        <v>678</v>
      </c>
      <c r="H1055" s="13" t="s">
        <v>641</v>
      </c>
    </row>
    <row r="1056" spans="1:8">
      <c r="A1056" s="13" t="s">
        <v>3180</v>
      </c>
      <c r="B1056" s="13">
        <v>4019536</v>
      </c>
      <c r="C1056" s="13" t="s">
        <v>641</v>
      </c>
      <c r="D1056" s="13" t="s">
        <v>1267</v>
      </c>
      <c r="E1056" s="13">
        <v>2</v>
      </c>
      <c r="F1056" s="13" t="s">
        <v>671</v>
      </c>
      <c r="G1056" s="13" t="s">
        <v>677</v>
      </c>
      <c r="H1056" s="13" t="s">
        <v>641</v>
      </c>
    </row>
    <row r="1057" spans="1:8">
      <c r="A1057" s="13" t="s">
        <v>3180</v>
      </c>
      <c r="B1057" s="13">
        <v>4019548</v>
      </c>
      <c r="C1057" s="13" t="s">
        <v>641</v>
      </c>
      <c r="D1057" s="13" t="s">
        <v>1268</v>
      </c>
      <c r="E1057" s="13">
        <v>2</v>
      </c>
      <c r="F1057" s="13" t="s">
        <v>671</v>
      </c>
      <c r="G1057" s="13" t="s">
        <v>678</v>
      </c>
      <c r="H1057" s="13" t="s">
        <v>641</v>
      </c>
    </row>
    <row r="1058" spans="1:8">
      <c r="A1058" s="13" t="s">
        <v>3180</v>
      </c>
      <c r="B1058" s="13">
        <v>4019549</v>
      </c>
      <c r="C1058" s="13" t="s">
        <v>641</v>
      </c>
      <c r="D1058" s="13" t="s">
        <v>3525</v>
      </c>
      <c r="E1058" s="13">
        <v>2</v>
      </c>
      <c r="F1058" s="13" t="s">
        <v>671</v>
      </c>
      <c r="G1058" s="13" t="s">
        <v>678</v>
      </c>
      <c r="H1058" s="13" t="s">
        <v>641</v>
      </c>
    </row>
    <row r="1059" spans="1:8">
      <c r="A1059" s="13" t="s">
        <v>3180</v>
      </c>
      <c r="B1059" s="13">
        <v>4019550</v>
      </c>
      <c r="C1059" s="13" t="s">
        <v>641</v>
      </c>
      <c r="D1059" s="13" t="s">
        <v>3526</v>
      </c>
      <c r="E1059" s="13">
        <v>2</v>
      </c>
      <c r="F1059" s="13" t="s">
        <v>671</v>
      </c>
      <c r="G1059" s="13" t="s">
        <v>678</v>
      </c>
      <c r="H1059" s="13" t="s">
        <v>641</v>
      </c>
    </row>
    <row r="1060" spans="1:8">
      <c r="A1060" s="13" t="s">
        <v>3180</v>
      </c>
      <c r="B1060" s="13">
        <v>4019551</v>
      </c>
      <c r="C1060" s="13" t="s">
        <v>641</v>
      </c>
      <c r="D1060" s="13" t="s">
        <v>3527</v>
      </c>
      <c r="E1060" s="13">
        <v>2</v>
      </c>
      <c r="F1060" s="13" t="s">
        <v>671</v>
      </c>
      <c r="G1060" s="13" t="s">
        <v>678</v>
      </c>
      <c r="H1060" s="13" t="s">
        <v>641</v>
      </c>
    </row>
    <row r="1061" spans="1:8">
      <c r="A1061" s="13" t="s">
        <v>3180</v>
      </c>
      <c r="B1061" s="13">
        <v>4019552</v>
      </c>
      <c r="C1061" s="13" t="s">
        <v>641</v>
      </c>
      <c r="D1061" s="13" t="s">
        <v>3528</v>
      </c>
      <c r="E1061" s="13">
        <v>2</v>
      </c>
      <c r="F1061" s="13" t="s">
        <v>671</v>
      </c>
      <c r="G1061" s="13" t="s">
        <v>678</v>
      </c>
      <c r="H1061" s="13" t="s">
        <v>641</v>
      </c>
    </row>
    <row r="1062" spans="1:8">
      <c r="A1062" s="13" t="s">
        <v>3180</v>
      </c>
      <c r="B1062" s="13">
        <v>4019659</v>
      </c>
      <c r="C1062" s="13" t="s">
        <v>641</v>
      </c>
      <c r="D1062" s="13" t="s">
        <v>1269</v>
      </c>
      <c r="E1062" s="13">
        <v>2</v>
      </c>
      <c r="F1062" s="13" t="s">
        <v>671</v>
      </c>
      <c r="G1062" s="13" t="s">
        <v>678</v>
      </c>
      <c r="H1062" s="13" t="s">
        <v>641</v>
      </c>
    </row>
    <row r="1063" spans="1:8">
      <c r="A1063" s="13" t="s">
        <v>3180</v>
      </c>
      <c r="B1063" s="13">
        <v>4019681</v>
      </c>
      <c r="C1063" s="13" t="s">
        <v>641</v>
      </c>
      <c r="D1063" s="13" t="s">
        <v>1270</v>
      </c>
      <c r="E1063" s="13">
        <v>2</v>
      </c>
      <c r="F1063" s="13" t="s">
        <v>671</v>
      </c>
      <c r="G1063" s="13" t="s">
        <v>678</v>
      </c>
      <c r="H1063" s="13" t="s">
        <v>641</v>
      </c>
    </row>
    <row r="1064" spans="1:8">
      <c r="A1064" s="13" t="s">
        <v>3180</v>
      </c>
      <c r="B1064" s="13">
        <v>4019686</v>
      </c>
      <c r="C1064" s="13" t="s">
        <v>641</v>
      </c>
      <c r="D1064" s="13" t="s">
        <v>1271</v>
      </c>
      <c r="E1064" s="13">
        <v>2</v>
      </c>
      <c r="F1064" s="13" t="s">
        <v>671</v>
      </c>
      <c r="G1064" s="13" t="s">
        <v>677</v>
      </c>
      <c r="H1064" s="13" t="s">
        <v>641</v>
      </c>
    </row>
    <row r="1065" spans="1:8">
      <c r="A1065" s="13" t="s">
        <v>3180</v>
      </c>
      <c r="B1065" s="13">
        <v>4019738</v>
      </c>
      <c r="C1065" s="13" t="s">
        <v>641</v>
      </c>
      <c r="D1065" s="13" t="s">
        <v>3529</v>
      </c>
      <c r="E1065" s="13">
        <v>2</v>
      </c>
      <c r="F1065" s="13" t="s">
        <v>671</v>
      </c>
      <c r="G1065" s="13" t="s">
        <v>677</v>
      </c>
      <c r="H1065" s="13" t="s">
        <v>641</v>
      </c>
    </row>
    <row r="1066" spans="1:8">
      <c r="A1066" s="13" t="s">
        <v>3180</v>
      </c>
      <c r="B1066" s="13">
        <v>4019934</v>
      </c>
      <c r="C1066" s="13" t="s">
        <v>641</v>
      </c>
      <c r="D1066" s="13" t="s">
        <v>1273</v>
      </c>
      <c r="E1066" s="13">
        <v>2</v>
      </c>
      <c r="F1066" s="13" t="s">
        <v>671</v>
      </c>
      <c r="G1066" s="13" t="s">
        <v>677</v>
      </c>
      <c r="H1066" s="13" t="s">
        <v>641</v>
      </c>
    </row>
    <row r="1067" spans="1:8">
      <c r="A1067" s="13" t="s">
        <v>3180</v>
      </c>
      <c r="B1067" s="13">
        <v>4019935</v>
      </c>
      <c r="C1067" s="13" t="s">
        <v>641</v>
      </c>
      <c r="D1067" s="13" t="s">
        <v>449</v>
      </c>
      <c r="E1067" s="13">
        <v>2</v>
      </c>
      <c r="F1067" s="13" t="s">
        <v>671</v>
      </c>
      <c r="G1067" s="13" t="s">
        <v>677</v>
      </c>
      <c r="H1067" s="13" t="s">
        <v>641</v>
      </c>
    </row>
    <row r="1068" spans="1:8">
      <c r="A1068" s="13" t="s">
        <v>3180</v>
      </c>
      <c r="B1068" s="13">
        <v>4020091</v>
      </c>
      <c r="C1068" s="13" t="s">
        <v>641</v>
      </c>
      <c r="D1068" s="13" t="s">
        <v>529</v>
      </c>
      <c r="E1068" s="13">
        <v>1</v>
      </c>
      <c r="F1068" s="13" t="s">
        <v>642</v>
      </c>
      <c r="G1068" s="13" t="s">
        <v>2437</v>
      </c>
      <c r="H1068" s="13" t="s">
        <v>641</v>
      </c>
    </row>
    <row r="1069" spans="1:8">
      <c r="A1069" s="13" t="s">
        <v>3180</v>
      </c>
      <c r="B1069" s="13">
        <v>4020092</v>
      </c>
      <c r="C1069" s="13" t="s">
        <v>641</v>
      </c>
      <c r="D1069" s="13" t="s">
        <v>220</v>
      </c>
      <c r="E1069" s="13">
        <v>2</v>
      </c>
      <c r="F1069" s="13" t="s">
        <v>671</v>
      </c>
      <c r="G1069" s="13" t="s">
        <v>677</v>
      </c>
      <c r="H1069" s="13" t="s">
        <v>641</v>
      </c>
    </row>
    <row r="1070" spans="1:8">
      <c r="A1070" s="13" t="s">
        <v>3180</v>
      </c>
      <c r="B1070" s="13">
        <v>4020386</v>
      </c>
      <c r="C1070" s="13" t="s">
        <v>641</v>
      </c>
      <c r="D1070" s="13" t="s">
        <v>255</v>
      </c>
      <c r="E1070" s="13">
        <v>2</v>
      </c>
      <c r="F1070" s="13" t="s">
        <v>671</v>
      </c>
      <c r="G1070" s="13" t="s">
        <v>678</v>
      </c>
      <c r="H1070" s="13" t="s">
        <v>641</v>
      </c>
    </row>
    <row r="1071" spans="1:8">
      <c r="A1071" s="13" t="s">
        <v>3180</v>
      </c>
      <c r="B1071" s="13">
        <v>4020394</v>
      </c>
      <c r="C1071" s="13" t="s">
        <v>641</v>
      </c>
      <c r="D1071" s="13" t="s">
        <v>1277</v>
      </c>
      <c r="E1071" s="13">
        <v>1</v>
      </c>
      <c r="F1071" s="13" t="s">
        <v>642</v>
      </c>
      <c r="G1071" s="13" t="s">
        <v>2437</v>
      </c>
      <c r="H1071" s="13" t="s">
        <v>641</v>
      </c>
    </row>
    <row r="1072" spans="1:8">
      <c r="A1072" s="13" t="s">
        <v>3180</v>
      </c>
      <c r="B1072" s="13">
        <v>4020496</v>
      </c>
      <c r="C1072" s="13" t="s">
        <v>641</v>
      </c>
      <c r="D1072" s="13" t="s">
        <v>3530</v>
      </c>
      <c r="E1072" s="13">
        <v>1</v>
      </c>
      <c r="F1072" s="13" t="s">
        <v>646</v>
      </c>
      <c r="G1072" s="13" t="s">
        <v>641</v>
      </c>
      <c r="H1072" s="13" t="s">
        <v>641</v>
      </c>
    </row>
    <row r="1073" spans="1:8">
      <c r="A1073" s="13" t="s">
        <v>3180</v>
      </c>
      <c r="B1073" s="13">
        <v>4020588</v>
      </c>
      <c r="C1073" s="13" t="s">
        <v>641</v>
      </c>
      <c r="D1073" s="13" t="s">
        <v>3531</v>
      </c>
      <c r="E1073" s="13">
        <v>1</v>
      </c>
      <c r="F1073" s="13" t="s">
        <v>640</v>
      </c>
      <c r="G1073" s="13" t="s">
        <v>3186</v>
      </c>
      <c r="H1073" s="13" t="s">
        <v>641</v>
      </c>
    </row>
    <row r="1074" spans="1:8">
      <c r="A1074" s="13" t="s">
        <v>3180</v>
      </c>
      <c r="B1074" s="13">
        <v>4020602</v>
      </c>
      <c r="C1074" s="13" t="s">
        <v>641</v>
      </c>
      <c r="D1074" s="13" t="s">
        <v>87</v>
      </c>
      <c r="E1074" s="13">
        <v>2</v>
      </c>
      <c r="F1074" s="13" t="s">
        <v>696</v>
      </c>
      <c r="G1074" s="13" t="s">
        <v>641</v>
      </c>
      <c r="H1074" s="13" t="s">
        <v>641</v>
      </c>
    </row>
    <row r="1075" spans="1:8">
      <c r="A1075" s="13" t="s">
        <v>3180</v>
      </c>
      <c r="B1075" s="13">
        <v>4020610</v>
      </c>
      <c r="C1075" s="13" t="s">
        <v>641</v>
      </c>
      <c r="D1075" s="13" t="s">
        <v>1278</v>
      </c>
      <c r="E1075" s="13">
        <v>2</v>
      </c>
      <c r="F1075" s="13" t="s">
        <v>696</v>
      </c>
      <c r="G1075" s="13" t="s">
        <v>641</v>
      </c>
      <c r="H1075" s="13" t="s">
        <v>641</v>
      </c>
    </row>
    <row r="1076" spans="1:8">
      <c r="A1076" s="13" t="s">
        <v>3180</v>
      </c>
      <c r="B1076" s="13">
        <v>4020611</v>
      </c>
      <c r="C1076" s="13" t="s">
        <v>641</v>
      </c>
      <c r="D1076" s="13" t="s">
        <v>1279</v>
      </c>
      <c r="E1076" s="13">
        <v>2</v>
      </c>
      <c r="F1076" s="13" t="s">
        <v>696</v>
      </c>
      <c r="G1076" s="13" t="s">
        <v>641</v>
      </c>
      <c r="H1076" s="13" t="s">
        <v>641</v>
      </c>
    </row>
    <row r="1077" spans="1:8">
      <c r="A1077" s="13" t="s">
        <v>3180</v>
      </c>
      <c r="B1077" s="13">
        <v>4020612</v>
      </c>
      <c r="C1077" s="13" t="s">
        <v>641</v>
      </c>
      <c r="D1077" s="13" t="s">
        <v>1280</v>
      </c>
      <c r="E1077" s="13">
        <v>2</v>
      </c>
      <c r="F1077" s="13" t="s">
        <v>696</v>
      </c>
      <c r="G1077" s="13" t="s">
        <v>641</v>
      </c>
      <c r="H1077" s="13" t="s">
        <v>641</v>
      </c>
    </row>
    <row r="1078" spans="1:8">
      <c r="A1078" s="13" t="s">
        <v>3180</v>
      </c>
      <c r="B1078" s="13">
        <v>4020614</v>
      </c>
      <c r="C1078" s="13" t="s">
        <v>641</v>
      </c>
      <c r="D1078" s="13" t="s">
        <v>3532</v>
      </c>
      <c r="E1078" s="13">
        <v>2</v>
      </c>
      <c r="F1078" s="13" t="s">
        <v>696</v>
      </c>
      <c r="G1078" s="13" t="s">
        <v>3533</v>
      </c>
      <c r="H1078" s="13" t="s">
        <v>641</v>
      </c>
    </row>
    <row r="1079" spans="1:8">
      <c r="A1079" s="13" t="s">
        <v>3180</v>
      </c>
      <c r="B1079" s="13">
        <v>4020615</v>
      </c>
      <c r="C1079" s="13" t="s">
        <v>641</v>
      </c>
      <c r="D1079" s="13" t="s">
        <v>1281</v>
      </c>
      <c r="E1079" s="13">
        <v>2</v>
      </c>
      <c r="F1079" s="13" t="s">
        <v>696</v>
      </c>
      <c r="G1079" s="13" t="s">
        <v>641</v>
      </c>
      <c r="H1079" s="13" t="s">
        <v>641</v>
      </c>
    </row>
    <row r="1080" spans="1:8">
      <c r="A1080" s="13" t="s">
        <v>3180</v>
      </c>
      <c r="B1080" s="13">
        <v>4020616</v>
      </c>
      <c r="C1080" s="13" t="s">
        <v>641</v>
      </c>
      <c r="D1080" s="13" t="s">
        <v>1282</v>
      </c>
      <c r="E1080" s="13">
        <v>2</v>
      </c>
      <c r="F1080" s="13" t="s">
        <v>696</v>
      </c>
      <c r="G1080" s="13" t="s">
        <v>641</v>
      </c>
      <c r="H1080" s="13" t="s">
        <v>641</v>
      </c>
    </row>
    <row r="1081" spans="1:8">
      <c r="A1081" s="13" t="s">
        <v>3180</v>
      </c>
      <c r="B1081" s="13">
        <v>4020617</v>
      </c>
      <c r="C1081" s="13" t="s">
        <v>641</v>
      </c>
      <c r="D1081" s="13" t="s">
        <v>1283</v>
      </c>
      <c r="E1081" s="13">
        <v>2</v>
      </c>
      <c r="F1081" s="13" t="s">
        <v>696</v>
      </c>
      <c r="G1081" s="13" t="s">
        <v>641</v>
      </c>
      <c r="H1081" s="13" t="s">
        <v>641</v>
      </c>
    </row>
    <row r="1082" spans="1:8">
      <c r="A1082" s="13" t="s">
        <v>3180</v>
      </c>
      <c r="B1082" s="13">
        <v>4020620</v>
      </c>
      <c r="C1082" s="13" t="s">
        <v>641</v>
      </c>
      <c r="D1082" s="13" t="s">
        <v>2286</v>
      </c>
      <c r="E1082" s="13">
        <v>2</v>
      </c>
      <c r="F1082" s="13" t="s">
        <v>696</v>
      </c>
      <c r="G1082" s="13" t="s">
        <v>3533</v>
      </c>
      <c r="H1082" s="13" t="s">
        <v>3193</v>
      </c>
    </row>
    <row r="1083" spans="1:8">
      <c r="A1083" s="13" t="s">
        <v>3180</v>
      </c>
      <c r="B1083" s="13">
        <v>4020625</v>
      </c>
      <c r="C1083" s="13" t="s">
        <v>641</v>
      </c>
      <c r="D1083" s="13" t="s">
        <v>1284</v>
      </c>
      <c r="E1083" s="13">
        <v>2</v>
      </c>
      <c r="F1083" s="13" t="s">
        <v>696</v>
      </c>
      <c r="G1083" s="13" t="s">
        <v>641</v>
      </c>
      <c r="H1083" s="13" t="s">
        <v>641</v>
      </c>
    </row>
    <row r="1084" spans="1:8">
      <c r="A1084" s="13" t="s">
        <v>3180</v>
      </c>
      <c r="B1084" s="13">
        <v>4020626</v>
      </c>
      <c r="C1084" s="13" t="s">
        <v>641</v>
      </c>
      <c r="D1084" s="13" t="s">
        <v>1285</v>
      </c>
      <c r="E1084" s="13">
        <v>2</v>
      </c>
      <c r="F1084" s="13" t="s">
        <v>696</v>
      </c>
      <c r="G1084" s="13" t="s">
        <v>641</v>
      </c>
      <c r="H1084" s="13" t="s">
        <v>641</v>
      </c>
    </row>
    <row r="1085" spans="1:8">
      <c r="A1085" s="13" t="s">
        <v>3180</v>
      </c>
      <c r="B1085" s="13">
        <v>4020656</v>
      </c>
      <c r="C1085" s="13" t="s">
        <v>641</v>
      </c>
      <c r="D1085" s="13" t="s">
        <v>1286</v>
      </c>
      <c r="E1085" s="13">
        <v>2</v>
      </c>
      <c r="F1085" s="13" t="s">
        <v>671</v>
      </c>
      <c r="G1085" s="13" t="s">
        <v>677</v>
      </c>
      <c r="H1085" s="13" t="s">
        <v>641</v>
      </c>
    </row>
    <row r="1086" spans="1:8">
      <c r="A1086" s="13" t="s">
        <v>3180</v>
      </c>
      <c r="B1086" s="13">
        <v>4020663</v>
      </c>
      <c r="C1086" s="13" t="s">
        <v>641</v>
      </c>
      <c r="D1086" s="13" t="s">
        <v>1287</v>
      </c>
      <c r="E1086" s="13">
        <v>2</v>
      </c>
      <c r="F1086" s="13" t="s">
        <v>671</v>
      </c>
      <c r="G1086" s="13" t="s">
        <v>678</v>
      </c>
      <c r="H1086" s="13" t="s">
        <v>641</v>
      </c>
    </row>
    <row r="1087" spans="1:8">
      <c r="A1087" s="13" t="s">
        <v>3180</v>
      </c>
      <c r="B1087" s="13">
        <v>4020719</v>
      </c>
      <c r="C1087" s="13" t="s">
        <v>641</v>
      </c>
      <c r="D1087" s="13" t="s">
        <v>530</v>
      </c>
      <c r="E1087" s="13">
        <v>1</v>
      </c>
      <c r="F1087" s="13" t="s">
        <v>649</v>
      </c>
      <c r="G1087" s="13" t="s">
        <v>3207</v>
      </c>
      <c r="H1087" s="13" t="s">
        <v>641</v>
      </c>
    </row>
    <row r="1088" spans="1:8">
      <c r="A1088" s="13" t="s">
        <v>3180</v>
      </c>
      <c r="B1088" s="13">
        <v>4020737</v>
      </c>
      <c r="C1088" s="13" t="s">
        <v>641</v>
      </c>
      <c r="D1088" s="13" t="s">
        <v>739</v>
      </c>
      <c r="E1088" s="13">
        <v>2</v>
      </c>
      <c r="F1088" s="13" t="s">
        <v>671</v>
      </c>
      <c r="G1088" s="13" t="s">
        <v>678</v>
      </c>
      <c r="H1088" s="13" t="s">
        <v>641</v>
      </c>
    </row>
    <row r="1089" spans="1:8">
      <c r="A1089" s="13" t="s">
        <v>3180</v>
      </c>
      <c r="B1089" s="13">
        <v>4020783</v>
      </c>
      <c r="C1089" s="13" t="s">
        <v>641</v>
      </c>
      <c r="D1089" s="13" t="s">
        <v>1288</v>
      </c>
      <c r="E1089" s="13">
        <v>2</v>
      </c>
      <c r="F1089" s="13" t="s">
        <v>709</v>
      </c>
      <c r="G1089" s="13" t="s">
        <v>3374</v>
      </c>
      <c r="H1089" s="13" t="s">
        <v>641</v>
      </c>
    </row>
    <row r="1090" spans="1:8">
      <c r="A1090" s="13" t="s">
        <v>3180</v>
      </c>
      <c r="B1090" s="13">
        <v>4021325</v>
      </c>
      <c r="C1090" s="13" t="s">
        <v>641</v>
      </c>
      <c r="D1090" s="13" t="s">
        <v>140</v>
      </c>
      <c r="E1090" s="13">
        <v>2</v>
      </c>
      <c r="F1090" s="13" t="s">
        <v>671</v>
      </c>
      <c r="G1090" s="13" t="s">
        <v>677</v>
      </c>
      <c r="H1090" s="13" t="s">
        <v>641</v>
      </c>
    </row>
    <row r="1091" spans="1:8">
      <c r="A1091" s="13" t="s">
        <v>3180</v>
      </c>
      <c r="B1091" s="13">
        <v>4021460</v>
      </c>
      <c r="C1091" s="13" t="s">
        <v>641</v>
      </c>
      <c r="D1091" s="13" t="s">
        <v>1289</v>
      </c>
      <c r="E1091" s="13">
        <v>2</v>
      </c>
      <c r="F1091" s="13" t="s">
        <v>671</v>
      </c>
      <c r="G1091" s="13" t="s">
        <v>678</v>
      </c>
      <c r="H1091" s="13" t="s">
        <v>641</v>
      </c>
    </row>
    <row r="1092" spans="1:8">
      <c r="A1092" s="13" t="s">
        <v>3180</v>
      </c>
      <c r="B1092" s="13">
        <v>4021461</v>
      </c>
      <c r="C1092" s="13" t="s">
        <v>641</v>
      </c>
      <c r="D1092" s="13" t="s">
        <v>1290</v>
      </c>
      <c r="E1092" s="13">
        <v>2</v>
      </c>
      <c r="F1092" s="13" t="s">
        <v>671</v>
      </c>
      <c r="G1092" s="13" t="s">
        <v>678</v>
      </c>
      <c r="H1092" s="13" t="s">
        <v>641</v>
      </c>
    </row>
    <row r="1093" spans="1:8">
      <c r="A1093" s="13" t="s">
        <v>3180</v>
      </c>
      <c r="B1093" s="13">
        <v>4021462</v>
      </c>
      <c r="C1093" s="13" t="s">
        <v>641</v>
      </c>
      <c r="D1093" s="13" t="s">
        <v>1291</v>
      </c>
      <c r="E1093" s="13">
        <v>2</v>
      </c>
      <c r="F1093" s="13" t="s">
        <v>671</v>
      </c>
      <c r="G1093" s="13" t="s">
        <v>678</v>
      </c>
      <c r="H1093" s="13" t="s">
        <v>641</v>
      </c>
    </row>
    <row r="1094" spans="1:8">
      <c r="A1094" s="13" t="s">
        <v>3180</v>
      </c>
      <c r="B1094" s="13">
        <v>4021478</v>
      </c>
      <c r="C1094" s="13" t="s">
        <v>641</v>
      </c>
      <c r="D1094" s="13" t="s">
        <v>3534</v>
      </c>
      <c r="E1094" s="13">
        <v>2</v>
      </c>
      <c r="F1094" s="13" t="s">
        <v>671</v>
      </c>
      <c r="G1094" s="13" t="s">
        <v>678</v>
      </c>
      <c r="H1094" s="13" t="s">
        <v>641</v>
      </c>
    </row>
    <row r="1095" spans="1:8">
      <c r="A1095" s="13" t="s">
        <v>3180</v>
      </c>
      <c r="B1095" s="13">
        <v>4021486</v>
      </c>
      <c r="C1095" s="13" t="s">
        <v>641</v>
      </c>
      <c r="D1095" s="13" t="s">
        <v>162</v>
      </c>
      <c r="E1095" s="13">
        <v>2</v>
      </c>
      <c r="F1095" s="13" t="s">
        <v>671</v>
      </c>
      <c r="G1095" s="13" t="s">
        <v>677</v>
      </c>
      <c r="H1095" s="13" t="s">
        <v>641</v>
      </c>
    </row>
    <row r="1096" spans="1:8">
      <c r="A1096" s="13" t="s">
        <v>3180</v>
      </c>
      <c r="B1096" s="13">
        <v>4021512</v>
      </c>
      <c r="C1096" s="13" t="s">
        <v>641</v>
      </c>
      <c r="D1096" s="13" t="s">
        <v>1292</v>
      </c>
      <c r="E1096" s="13">
        <v>1</v>
      </c>
      <c r="F1096" s="13" t="s">
        <v>656</v>
      </c>
      <c r="G1096" s="13" t="s">
        <v>641</v>
      </c>
      <c r="H1096" s="13" t="s">
        <v>641</v>
      </c>
    </row>
    <row r="1097" spans="1:8">
      <c r="A1097" s="13" t="s">
        <v>3180</v>
      </c>
      <c r="B1097" s="13">
        <v>4021513</v>
      </c>
      <c r="C1097" s="13" t="s">
        <v>641</v>
      </c>
      <c r="D1097" s="13" t="s">
        <v>1293</v>
      </c>
      <c r="E1097" s="13">
        <v>1</v>
      </c>
      <c r="F1097" s="13" t="s">
        <v>656</v>
      </c>
      <c r="G1097" s="13" t="s">
        <v>641</v>
      </c>
      <c r="H1097" s="13" t="s">
        <v>641</v>
      </c>
    </row>
    <row r="1098" spans="1:8">
      <c r="A1098" s="13" t="s">
        <v>3180</v>
      </c>
      <c r="B1098" s="13">
        <v>4021514</v>
      </c>
      <c r="C1098" s="13" t="s">
        <v>641</v>
      </c>
      <c r="D1098" s="13" t="s">
        <v>1294</v>
      </c>
      <c r="E1098" s="13">
        <v>1</v>
      </c>
      <c r="F1098" s="13" t="s">
        <v>640</v>
      </c>
      <c r="G1098" s="13" t="s">
        <v>641</v>
      </c>
      <c r="H1098" s="13" t="s">
        <v>641</v>
      </c>
    </row>
    <row r="1099" spans="1:8">
      <c r="A1099" s="13" t="s">
        <v>3180</v>
      </c>
      <c r="B1099" s="13">
        <v>4021515</v>
      </c>
      <c r="C1099" s="13" t="s">
        <v>641</v>
      </c>
      <c r="D1099" s="13" t="s">
        <v>1295</v>
      </c>
      <c r="E1099" s="13">
        <v>1</v>
      </c>
      <c r="F1099" s="13" t="s">
        <v>644</v>
      </c>
      <c r="G1099" s="13" t="s">
        <v>641</v>
      </c>
      <c r="H1099" s="13" t="s">
        <v>641</v>
      </c>
    </row>
    <row r="1100" spans="1:8">
      <c r="A1100" s="13" t="s">
        <v>3180</v>
      </c>
      <c r="B1100" s="13">
        <v>4021516</v>
      </c>
      <c r="C1100" s="13" t="s">
        <v>641</v>
      </c>
      <c r="D1100" s="13" t="s">
        <v>1296</v>
      </c>
      <c r="E1100" s="13">
        <v>1</v>
      </c>
      <c r="F1100" s="13" t="s">
        <v>640</v>
      </c>
      <c r="G1100" s="13" t="s">
        <v>641</v>
      </c>
      <c r="H1100" s="13" t="s">
        <v>641</v>
      </c>
    </row>
    <row r="1101" spans="1:8">
      <c r="A1101" s="13" t="s">
        <v>3180</v>
      </c>
      <c r="B1101" s="13">
        <v>4021517</v>
      </c>
      <c r="C1101" s="13" t="s">
        <v>641</v>
      </c>
      <c r="D1101" s="13" t="s">
        <v>1297</v>
      </c>
      <c r="E1101" s="13">
        <v>1</v>
      </c>
      <c r="F1101" s="13" t="s">
        <v>656</v>
      </c>
      <c r="G1101" s="13" t="s">
        <v>641</v>
      </c>
      <c r="H1101" s="13" t="s">
        <v>641</v>
      </c>
    </row>
    <row r="1102" spans="1:8">
      <c r="A1102" s="13" t="s">
        <v>3180</v>
      </c>
      <c r="B1102" s="13">
        <v>4021518</v>
      </c>
      <c r="C1102" s="13" t="s">
        <v>641</v>
      </c>
      <c r="D1102" s="13" t="s">
        <v>1298</v>
      </c>
      <c r="E1102" s="13">
        <v>1</v>
      </c>
      <c r="F1102" s="13" t="s">
        <v>656</v>
      </c>
      <c r="G1102" s="13" t="s">
        <v>641</v>
      </c>
      <c r="H1102" s="13" t="s">
        <v>641</v>
      </c>
    </row>
    <row r="1103" spans="1:8">
      <c r="A1103" s="13" t="s">
        <v>3180</v>
      </c>
      <c r="B1103" s="13">
        <v>4021625</v>
      </c>
      <c r="C1103" s="13" t="s">
        <v>641</v>
      </c>
      <c r="D1103" s="13" t="s">
        <v>1300</v>
      </c>
      <c r="E1103" s="13">
        <v>2</v>
      </c>
      <c r="F1103" s="13" t="s">
        <v>671</v>
      </c>
      <c r="G1103" s="13" t="s">
        <v>677</v>
      </c>
      <c r="H1103" s="13" t="s">
        <v>641</v>
      </c>
    </row>
    <row r="1104" spans="1:8">
      <c r="A1104" s="13" t="s">
        <v>3180</v>
      </c>
      <c r="B1104" s="13">
        <v>4021686</v>
      </c>
      <c r="C1104" s="13" t="s">
        <v>641</v>
      </c>
      <c r="D1104" s="13" t="s">
        <v>1301</v>
      </c>
      <c r="E1104" s="13">
        <v>2</v>
      </c>
      <c r="F1104" s="13" t="s">
        <v>671</v>
      </c>
      <c r="G1104" s="13" t="s">
        <v>677</v>
      </c>
      <c r="H1104" s="13" t="s">
        <v>3535</v>
      </c>
    </row>
    <row r="1105" spans="1:8">
      <c r="A1105" s="13" t="s">
        <v>3180</v>
      </c>
      <c r="B1105" s="13">
        <v>4021961</v>
      </c>
      <c r="C1105" s="13" t="s">
        <v>641</v>
      </c>
      <c r="D1105" s="13" t="s">
        <v>1302</v>
      </c>
      <c r="E1105" s="13">
        <v>2</v>
      </c>
      <c r="F1105" s="13" t="s">
        <v>696</v>
      </c>
      <c r="G1105" s="13" t="s">
        <v>641</v>
      </c>
      <c r="H1105" s="13" t="s">
        <v>641</v>
      </c>
    </row>
    <row r="1106" spans="1:8">
      <c r="A1106" s="13" t="s">
        <v>3180</v>
      </c>
      <c r="B1106" s="13">
        <v>4022118</v>
      </c>
      <c r="C1106" s="13" t="s">
        <v>641</v>
      </c>
      <c r="D1106" s="13" t="s">
        <v>1303</v>
      </c>
      <c r="E1106" s="13">
        <v>2</v>
      </c>
      <c r="F1106" s="13" t="s">
        <v>671</v>
      </c>
      <c r="G1106" s="13" t="s">
        <v>678</v>
      </c>
      <c r="H1106" s="13" t="s">
        <v>3187</v>
      </c>
    </row>
    <row r="1107" spans="1:8">
      <c r="A1107" s="13" t="s">
        <v>3180</v>
      </c>
      <c r="B1107" s="13">
        <v>4022120</v>
      </c>
      <c r="C1107" s="13" t="s">
        <v>641</v>
      </c>
      <c r="D1107" s="13" t="s">
        <v>3536</v>
      </c>
      <c r="E1107" s="13">
        <v>2</v>
      </c>
      <c r="F1107" s="13" t="s">
        <v>671</v>
      </c>
      <c r="G1107" s="13" t="s">
        <v>678</v>
      </c>
      <c r="H1107" s="13" t="s">
        <v>3187</v>
      </c>
    </row>
    <row r="1108" spans="1:8">
      <c r="A1108" s="13" t="s">
        <v>3180</v>
      </c>
      <c r="B1108" s="13">
        <v>4022151</v>
      </c>
      <c r="C1108" s="13" t="s">
        <v>641</v>
      </c>
      <c r="D1108" s="13" t="s">
        <v>1304</v>
      </c>
      <c r="E1108" s="13">
        <v>2</v>
      </c>
      <c r="F1108" s="13" t="s">
        <v>671</v>
      </c>
      <c r="G1108" s="13" t="s">
        <v>678</v>
      </c>
      <c r="H1108" s="13" t="s">
        <v>641</v>
      </c>
    </row>
    <row r="1109" spans="1:8">
      <c r="A1109" s="13" t="s">
        <v>3180</v>
      </c>
      <c r="B1109" s="13">
        <v>4022234</v>
      </c>
      <c r="C1109" s="13" t="s">
        <v>641</v>
      </c>
      <c r="D1109" s="13" t="s">
        <v>1305</v>
      </c>
      <c r="E1109" s="13">
        <v>2</v>
      </c>
      <c r="F1109" s="13" t="s">
        <v>671</v>
      </c>
      <c r="G1109" s="13" t="s">
        <v>678</v>
      </c>
      <c r="H1109" s="13" t="s">
        <v>641</v>
      </c>
    </row>
    <row r="1110" spans="1:8">
      <c r="A1110" s="13" t="s">
        <v>3180</v>
      </c>
      <c r="B1110" s="13">
        <v>4022235</v>
      </c>
      <c r="C1110" s="13" t="s">
        <v>641</v>
      </c>
      <c r="D1110" s="13" t="s">
        <v>1306</v>
      </c>
      <c r="E1110" s="13">
        <v>2</v>
      </c>
      <c r="F1110" s="13" t="s">
        <v>671</v>
      </c>
      <c r="G1110" s="13" t="s">
        <v>678</v>
      </c>
      <c r="H1110" s="13" t="s">
        <v>641</v>
      </c>
    </row>
    <row r="1111" spans="1:8">
      <c r="A1111" s="13" t="s">
        <v>3180</v>
      </c>
      <c r="B1111" s="13">
        <v>4022237</v>
      </c>
      <c r="C1111" s="13" t="s">
        <v>641</v>
      </c>
      <c r="D1111" s="13" t="s">
        <v>1307</v>
      </c>
      <c r="E1111" s="13">
        <v>2</v>
      </c>
      <c r="F1111" s="13" t="s">
        <v>671</v>
      </c>
      <c r="G1111" s="13" t="s">
        <v>678</v>
      </c>
      <c r="H1111" s="13" t="s">
        <v>641</v>
      </c>
    </row>
    <row r="1112" spans="1:8">
      <c r="A1112" s="13" t="s">
        <v>3180</v>
      </c>
      <c r="B1112" s="13">
        <v>4022555</v>
      </c>
      <c r="C1112" s="13" t="s">
        <v>641</v>
      </c>
      <c r="D1112" s="13" t="s">
        <v>1308</v>
      </c>
      <c r="E1112" s="13">
        <v>2</v>
      </c>
      <c r="F1112" s="13" t="s">
        <v>671</v>
      </c>
      <c r="G1112" s="13" t="s">
        <v>678</v>
      </c>
      <c r="H1112" s="13" t="s">
        <v>641</v>
      </c>
    </row>
    <row r="1113" spans="1:8">
      <c r="A1113" s="13" t="s">
        <v>3180</v>
      </c>
      <c r="B1113" s="13">
        <v>4022625</v>
      </c>
      <c r="C1113" s="13" t="s">
        <v>641</v>
      </c>
      <c r="D1113" s="13" t="s">
        <v>28</v>
      </c>
      <c r="E1113" s="13">
        <v>2</v>
      </c>
      <c r="F1113" s="13" t="s">
        <v>671</v>
      </c>
      <c r="G1113" s="13" t="s">
        <v>672</v>
      </c>
      <c r="H1113" s="13" t="s">
        <v>3339</v>
      </c>
    </row>
    <row r="1114" spans="1:8">
      <c r="A1114" s="13" t="s">
        <v>3180</v>
      </c>
      <c r="B1114" s="13">
        <v>4022681</v>
      </c>
      <c r="C1114" s="13" t="s">
        <v>641</v>
      </c>
      <c r="D1114" s="13" t="s">
        <v>1309</v>
      </c>
      <c r="E1114" s="13">
        <v>2</v>
      </c>
      <c r="F1114" s="13" t="s">
        <v>671</v>
      </c>
      <c r="G1114" s="13" t="s">
        <v>677</v>
      </c>
      <c r="H1114" s="13" t="s">
        <v>641</v>
      </c>
    </row>
    <row r="1115" spans="1:8">
      <c r="A1115" s="13" t="s">
        <v>3180</v>
      </c>
      <c r="B1115" s="13">
        <v>4022682</v>
      </c>
      <c r="C1115" s="13" t="s">
        <v>641</v>
      </c>
      <c r="D1115" s="13" t="s">
        <v>1310</v>
      </c>
      <c r="E1115" s="13">
        <v>2</v>
      </c>
      <c r="F1115" s="13" t="s">
        <v>671</v>
      </c>
      <c r="G1115" s="13" t="s">
        <v>677</v>
      </c>
      <c r="H1115" s="13" t="s">
        <v>641</v>
      </c>
    </row>
    <row r="1116" spans="1:8">
      <c r="A1116" s="13" t="s">
        <v>3180</v>
      </c>
      <c r="B1116" s="13">
        <v>4022847</v>
      </c>
      <c r="C1116" s="13" t="s">
        <v>641</v>
      </c>
      <c r="D1116" s="13" t="s">
        <v>1311</v>
      </c>
      <c r="E1116" s="13">
        <v>2</v>
      </c>
      <c r="F1116" s="13" t="s">
        <v>671</v>
      </c>
      <c r="G1116" s="13" t="s">
        <v>678</v>
      </c>
      <c r="H1116" s="13" t="s">
        <v>641</v>
      </c>
    </row>
    <row r="1117" spans="1:8">
      <c r="A1117" s="13" t="s">
        <v>3180</v>
      </c>
      <c r="B1117" s="13">
        <v>4022848</v>
      </c>
      <c r="C1117" s="13" t="s">
        <v>641</v>
      </c>
      <c r="D1117" s="13" t="s">
        <v>1312</v>
      </c>
      <c r="E1117" s="13">
        <v>2</v>
      </c>
      <c r="F1117" s="13" t="s">
        <v>671</v>
      </c>
      <c r="G1117" s="13" t="s">
        <v>678</v>
      </c>
      <c r="H1117" s="13" t="s">
        <v>641</v>
      </c>
    </row>
    <row r="1118" spans="1:8">
      <c r="A1118" s="13" t="s">
        <v>3180</v>
      </c>
      <c r="B1118" s="13">
        <v>4023284</v>
      </c>
      <c r="C1118" s="13" t="s">
        <v>641</v>
      </c>
      <c r="D1118" s="13" t="s">
        <v>3537</v>
      </c>
      <c r="E1118" s="13">
        <v>1</v>
      </c>
      <c r="F1118" s="13" t="s">
        <v>646</v>
      </c>
      <c r="G1118" s="13" t="s">
        <v>641</v>
      </c>
      <c r="H1118" s="13" t="s">
        <v>3193</v>
      </c>
    </row>
    <row r="1119" spans="1:8">
      <c r="A1119" s="13" t="s">
        <v>3180</v>
      </c>
      <c r="B1119" s="13">
        <v>4024013</v>
      </c>
      <c r="C1119" s="13" t="s">
        <v>641</v>
      </c>
      <c r="D1119" s="13" t="s">
        <v>1313</v>
      </c>
      <c r="E1119" s="13">
        <v>2</v>
      </c>
      <c r="F1119" s="13" t="s">
        <v>671</v>
      </c>
      <c r="G1119" s="13" t="s">
        <v>678</v>
      </c>
      <c r="H1119" s="13" t="s">
        <v>641</v>
      </c>
    </row>
    <row r="1120" spans="1:8">
      <c r="A1120" s="13" t="s">
        <v>3180</v>
      </c>
      <c r="B1120" s="13">
        <v>4024119</v>
      </c>
      <c r="C1120" s="13" t="s">
        <v>641</v>
      </c>
      <c r="D1120" s="13" t="s">
        <v>397</v>
      </c>
      <c r="E1120" s="13">
        <v>2</v>
      </c>
      <c r="F1120" s="13" t="s">
        <v>671</v>
      </c>
      <c r="G1120" s="13" t="s">
        <v>677</v>
      </c>
      <c r="H1120" s="13" t="s">
        <v>641</v>
      </c>
    </row>
    <row r="1121" spans="1:8">
      <c r="A1121" s="13" t="s">
        <v>3180</v>
      </c>
      <c r="B1121" s="13">
        <v>4024680</v>
      </c>
      <c r="C1121" s="13" t="s">
        <v>641</v>
      </c>
      <c r="D1121" s="13" t="s">
        <v>3538</v>
      </c>
      <c r="E1121" s="13">
        <v>1</v>
      </c>
      <c r="F1121" s="13" t="s">
        <v>640</v>
      </c>
      <c r="G1121" s="13" t="s">
        <v>3186</v>
      </c>
      <c r="H1121" s="13" t="s">
        <v>3187</v>
      </c>
    </row>
    <row r="1122" spans="1:8">
      <c r="A1122" s="13" t="s">
        <v>3180</v>
      </c>
      <c r="B1122" s="13">
        <v>4025880</v>
      </c>
      <c r="C1122" s="13" t="s">
        <v>641</v>
      </c>
      <c r="D1122" s="13" t="s">
        <v>1314</v>
      </c>
      <c r="E1122" s="13">
        <v>2</v>
      </c>
      <c r="F1122" s="13" t="s">
        <v>709</v>
      </c>
      <c r="G1122" s="13" t="s">
        <v>3374</v>
      </c>
      <c r="H1122" s="13" t="s">
        <v>641</v>
      </c>
    </row>
    <row r="1123" spans="1:8">
      <c r="A1123" s="13" t="s">
        <v>3180</v>
      </c>
      <c r="B1123" s="13">
        <v>4026435</v>
      </c>
      <c r="C1123" s="13" t="s">
        <v>641</v>
      </c>
      <c r="D1123" s="13" t="s">
        <v>1315</v>
      </c>
      <c r="E1123" s="13">
        <v>2</v>
      </c>
      <c r="F1123" s="13" t="s">
        <v>709</v>
      </c>
      <c r="G1123" s="13" t="s">
        <v>3374</v>
      </c>
      <c r="H1123" s="13" t="s">
        <v>684</v>
      </c>
    </row>
    <row r="1124" spans="1:8">
      <c r="A1124" s="13" t="s">
        <v>3180</v>
      </c>
      <c r="B1124" s="13">
        <v>4026438</v>
      </c>
      <c r="C1124" s="13" t="s">
        <v>641</v>
      </c>
      <c r="D1124" s="13" t="s">
        <v>1316</v>
      </c>
      <c r="E1124" s="13">
        <v>2</v>
      </c>
      <c r="F1124" s="13" t="s">
        <v>709</v>
      </c>
      <c r="G1124" s="13" t="s">
        <v>3374</v>
      </c>
      <c r="H1124" s="13" t="s">
        <v>641</v>
      </c>
    </row>
    <row r="1125" spans="1:8">
      <c r="A1125" s="13" t="s">
        <v>3180</v>
      </c>
      <c r="B1125" s="13">
        <v>4026441</v>
      </c>
      <c r="C1125" s="13" t="s">
        <v>641</v>
      </c>
      <c r="D1125" s="13" t="s">
        <v>1317</v>
      </c>
      <c r="E1125" s="13">
        <v>2</v>
      </c>
      <c r="F1125" s="13" t="s">
        <v>709</v>
      </c>
      <c r="G1125" s="13" t="s">
        <v>3374</v>
      </c>
      <c r="H1125" s="13" t="s">
        <v>641</v>
      </c>
    </row>
    <row r="1126" spans="1:8">
      <c r="A1126" s="13" t="s">
        <v>3180</v>
      </c>
      <c r="B1126" s="13">
        <v>4026797</v>
      </c>
      <c r="C1126" s="13" t="s">
        <v>641</v>
      </c>
      <c r="D1126" s="13" t="s">
        <v>123</v>
      </c>
      <c r="E1126" s="13">
        <v>1</v>
      </c>
      <c r="F1126" s="13" t="s">
        <v>656</v>
      </c>
      <c r="G1126" s="13" t="s">
        <v>641</v>
      </c>
      <c r="H1126" s="13" t="s">
        <v>735</v>
      </c>
    </row>
    <row r="1127" spans="1:8">
      <c r="A1127" s="13" t="s">
        <v>3180</v>
      </c>
      <c r="B1127" s="13">
        <v>4027192</v>
      </c>
      <c r="C1127" s="13" t="s">
        <v>641</v>
      </c>
      <c r="D1127" s="13" t="s">
        <v>1997</v>
      </c>
      <c r="E1127" s="13">
        <v>2</v>
      </c>
      <c r="F1127" s="13" t="s">
        <v>709</v>
      </c>
      <c r="G1127" s="13" t="s">
        <v>3373</v>
      </c>
      <c r="H1127" s="13" t="s">
        <v>641</v>
      </c>
    </row>
    <row r="1128" spans="1:8">
      <c r="A1128" s="13" t="s">
        <v>3180</v>
      </c>
      <c r="B1128" s="13">
        <v>4027193</v>
      </c>
      <c r="C1128" s="13" t="s">
        <v>641</v>
      </c>
      <c r="D1128" s="13" t="s">
        <v>1996</v>
      </c>
      <c r="E1128" s="13">
        <v>2</v>
      </c>
      <c r="F1128" s="13" t="s">
        <v>709</v>
      </c>
      <c r="G1128" s="13" t="s">
        <v>3373</v>
      </c>
      <c r="H1128" s="13" t="s">
        <v>641</v>
      </c>
    </row>
    <row r="1129" spans="1:8">
      <c r="A1129" s="13" t="s">
        <v>3180</v>
      </c>
      <c r="B1129" s="13">
        <v>4027274</v>
      </c>
      <c r="C1129" s="13" t="s">
        <v>641</v>
      </c>
      <c r="D1129" s="13" t="s">
        <v>1321</v>
      </c>
      <c r="E1129" s="13">
        <v>2</v>
      </c>
      <c r="F1129" s="13" t="s">
        <v>709</v>
      </c>
      <c r="G1129" s="13" t="s">
        <v>641</v>
      </c>
      <c r="H1129" s="13" t="s">
        <v>3298</v>
      </c>
    </row>
    <row r="1130" spans="1:8">
      <c r="A1130" s="13" t="s">
        <v>3180</v>
      </c>
      <c r="B1130" s="13">
        <v>4027320</v>
      </c>
      <c r="C1130" s="13" t="s">
        <v>641</v>
      </c>
      <c r="D1130" s="13" t="s">
        <v>3539</v>
      </c>
      <c r="E1130" s="13">
        <v>2</v>
      </c>
      <c r="F1130" s="13" t="s">
        <v>671</v>
      </c>
      <c r="G1130" s="13" t="s">
        <v>678</v>
      </c>
      <c r="H1130" s="13" t="s">
        <v>3183</v>
      </c>
    </row>
    <row r="1131" spans="1:8">
      <c r="A1131" s="13" t="s">
        <v>3180</v>
      </c>
      <c r="B1131" s="13">
        <v>4027518</v>
      </c>
      <c r="C1131" s="13" t="s">
        <v>641</v>
      </c>
      <c r="D1131" s="13" t="s">
        <v>1324</v>
      </c>
      <c r="E1131" s="13">
        <v>2</v>
      </c>
      <c r="F1131" s="13" t="s">
        <v>709</v>
      </c>
      <c r="G1131" s="13" t="s">
        <v>641</v>
      </c>
      <c r="H1131" s="13" t="s">
        <v>3535</v>
      </c>
    </row>
    <row r="1132" spans="1:8">
      <c r="A1132" s="13" t="s">
        <v>3180</v>
      </c>
      <c r="B1132" s="13">
        <v>4027519</v>
      </c>
      <c r="C1132" s="13" t="s">
        <v>641</v>
      </c>
      <c r="D1132" s="13" t="s">
        <v>1325</v>
      </c>
      <c r="E1132" s="13">
        <v>2</v>
      </c>
      <c r="F1132" s="13" t="s">
        <v>709</v>
      </c>
      <c r="G1132" s="13" t="s">
        <v>3374</v>
      </c>
      <c r="H1132" s="13" t="s">
        <v>641</v>
      </c>
    </row>
    <row r="1133" spans="1:8">
      <c r="A1133" s="13" t="s">
        <v>3180</v>
      </c>
      <c r="B1133" s="13">
        <v>4027530</v>
      </c>
      <c r="C1133" s="13" t="s">
        <v>641</v>
      </c>
      <c r="D1133" s="13" t="s">
        <v>1326</v>
      </c>
      <c r="E1133" s="13">
        <v>1</v>
      </c>
      <c r="F1133" s="13" t="s">
        <v>649</v>
      </c>
      <c r="G1133" s="13" t="s">
        <v>3207</v>
      </c>
      <c r="H1133" s="13" t="s">
        <v>641</v>
      </c>
    </row>
    <row r="1134" spans="1:8">
      <c r="A1134" s="13" t="s">
        <v>3180</v>
      </c>
      <c r="B1134" s="13">
        <v>4027972</v>
      </c>
      <c r="C1134" s="13" t="s">
        <v>641</v>
      </c>
      <c r="D1134" s="13" t="s">
        <v>1327</v>
      </c>
      <c r="E1134" s="13">
        <v>1</v>
      </c>
      <c r="F1134" s="13" t="s">
        <v>646</v>
      </c>
      <c r="G1134" s="13" t="s">
        <v>641</v>
      </c>
      <c r="H1134" s="13" t="s">
        <v>641</v>
      </c>
    </row>
    <row r="1135" spans="1:8">
      <c r="A1135" s="13" t="s">
        <v>3180</v>
      </c>
      <c r="B1135" s="13">
        <v>4028022</v>
      </c>
      <c r="C1135" s="13" t="s">
        <v>641</v>
      </c>
      <c r="D1135" s="13" t="s">
        <v>3540</v>
      </c>
      <c r="E1135" s="13">
        <v>2</v>
      </c>
      <c r="F1135" s="13" t="s">
        <v>671</v>
      </c>
      <c r="G1135" s="13" t="s">
        <v>678</v>
      </c>
      <c r="H1135" s="13" t="s">
        <v>641</v>
      </c>
    </row>
    <row r="1136" spans="1:8">
      <c r="A1136" s="13" t="s">
        <v>3180</v>
      </c>
      <c r="B1136" s="13">
        <v>4028096</v>
      </c>
      <c r="C1136" s="13" t="s">
        <v>641</v>
      </c>
      <c r="D1136" s="13" t="s">
        <v>699</v>
      </c>
      <c r="E1136" s="13">
        <v>2</v>
      </c>
      <c r="F1136" s="13" t="s">
        <v>671</v>
      </c>
      <c r="G1136" s="13" t="s">
        <v>677</v>
      </c>
      <c r="H1136" s="13" t="s">
        <v>700</v>
      </c>
    </row>
    <row r="1137" spans="1:8">
      <c r="A1137" s="13" t="s">
        <v>3180</v>
      </c>
      <c r="B1137" s="13">
        <v>4028263</v>
      </c>
      <c r="C1137" s="13" t="s">
        <v>641</v>
      </c>
      <c r="D1137" s="13" t="s">
        <v>1328</v>
      </c>
      <c r="E1137" s="13">
        <v>2</v>
      </c>
      <c r="F1137" s="13" t="s">
        <v>709</v>
      </c>
      <c r="G1137" s="13" t="s">
        <v>641</v>
      </c>
      <c r="H1137" s="13" t="s">
        <v>684</v>
      </c>
    </row>
    <row r="1138" spans="1:8">
      <c r="A1138" s="13" t="s">
        <v>3180</v>
      </c>
      <c r="B1138" s="13">
        <v>4028265</v>
      </c>
      <c r="C1138" s="13" t="s">
        <v>641</v>
      </c>
      <c r="D1138" s="13" t="s">
        <v>1329</v>
      </c>
      <c r="E1138" s="13">
        <v>2</v>
      </c>
      <c r="F1138" s="13" t="s">
        <v>709</v>
      </c>
      <c r="G1138" s="13" t="s">
        <v>3374</v>
      </c>
      <c r="H1138" s="13" t="s">
        <v>3246</v>
      </c>
    </row>
    <row r="1139" spans="1:8">
      <c r="A1139" s="13" t="s">
        <v>3180</v>
      </c>
      <c r="B1139" s="13">
        <v>4028266</v>
      </c>
      <c r="C1139" s="13" t="s">
        <v>641</v>
      </c>
      <c r="D1139" s="13" t="s">
        <v>1330</v>
      </c>
      <c r="E1139" s="13">
        <v>2</v>
      </c>
      <c r="F1139" s="13" t="s">
        <v>709</v>
      </c>
      <c r="G1139" s="13" t="s">
        <v>3374</v>
      </c>
      <c r="H1139" s="13" t="s">
        <v>3246</v>
      </c>
    </row>
    <row r="1140" spans="1:8">
      <c r="A1140" s="13" t="s">
        <v>3180</v>
      </c>
      <c r="B1140" s="13">
        <v>4028267</v>
      </c>
      <c r="C1140" s="13" t="s">
        <v>641</v>
      </c>
      <c r="D1140" s="13" t="s">
        <v>1331</v>
      </c>
      <c r="E1140" s="13">
        <v>2</v>
      </c>
      <c r="F1140" s="13" t="s">
        <v>709</v>
      </c>
      <c r="G1140" s="13" t="s">
        <v>3374</v>
      </c>
      <c r="H1140" s="13" t="s">
        <v>3246</v>
      </c>
    </row>
    <row r="1141" spans="1:8">
      <c r="A1141" s="13" t="s">
        <v>3180</v>
      </c>
      <c r="B1141" s="13">
        <v>4028268</v>
      </c>
      <c r="C1141" s="13" t="s">
        <v>641</v>
      </c>
      <c r="D1141" s="13" t="s">
        <v>3541</v>
      </c>
      <c r="E1141" s="13">
        <v>2</v>
      </c>
      <c r="F1141" s="13" t="s">
        <v>709</v>
      </c>
      <c r="G1141" s="13" t="s">
        <v>709</v>
      </c>
      <c r="H1141" s="13" t="s">
        <v>3183</v>
      </c>
    </row>
    <row r="1142" spans="1:8">
      <c r="A1142" s="13" t="s">
        <v>3180</v>
      </c>
      <c r="B1142" s="13">
        <v>4028284</v>
      </c>
      <c r="C1142" s="13" t="s">
        <v>641</v>
      </c>
      <c r="D1142" s="13" t="s">
        <v>3542</v>
      </c>
      <c r="E1142" s="13">
        <v>1</v>
      </c>
      <c r="F1142" s="13" t="s">
        <v>640</v>
      </c>
      <c r="G1142" s="13" t="s">
        <v>641</v>
      </c>
      <c r="H1142" s="13" t="s">
        <v>735</v>
      </c>
    </row>
    <row r="1143" spans="1:8">
      <c r="A1143" s="13" t="s">
        <v>3180</v>
      </c>
      <c r="B1143" s="13">
        <v>4028463</v>
      </c>
      <c r="C1143" s="13" t="s">
        <v>641</v>
      </c>
      <c r="D1143" s="13" t="s">
        <v>3543</v>
      </c>
      <c r="E1143" s="13">
        <v>1</v>
      </c>
      <c r="F1143" s="13" t="s">
        <v>646</v>
      </c>
      <c r="G1143" s="13" t="s">
        <v>2627</v>
      </c>
      <c r="H1143" s="13" t="s">
        <v>641</v>
      </c>
    </row>
    <row r="1144" spans="1:8">
      <c r="A1144" s="13" t="s">
        <v>3180</v>
      </c>
      <c r="B1144" s="13">
        <v>4029189</v>
      </c>
      <c r="C1144" s="13" t="s">
        <v>641</v>
      </c>
      <c r="D1144" s="13" t="s">
        <v>1332</v>
      </c>
      <c r="E1144" s="13">
        <v>2</v>
      </c>
      <c r="F1144" s="13" t="s">
        <v>709</v>
      </c>
      <c r="G1144" s="13" t="s">
        <v>3374</v>
      </c>
      <c r="H1144" s="13" t="s">
        <v>3246</v>
      </c>
    </row>
    <row r="1145" spans="1:8">
      <c r="A1145" s="13" t="s">
        <v>3180</v>
      </c>
      <c r="B1145" s="13">
        <v>4029644</v>
      </c>
      <c r="C1145" s="13" t="s">
        <v>641</v>
      </c>
      <c r="D1145" s="13" t="s">
        <v>1333</v>
      </c>
      <c r="E1145" s="13">
        <v>2</v>
      </c>
      <c r="F1145" s="13" t="s">
        <v>709</v>
      </c>
      <c r="G1145" s="13" t="s">
        <v>641</v>
      </c>
      <c r="H1145" s="13" t="s">
        <v>684</v>
      </c>
    </row>
    <row r="1146" spans="1:8">
      <c r="A1146" s="13" t="s">
        <v>3180</v>
      </c>
      <c r="B1146" s="13">
        <v>4030926</v>
      </c>
      <c r="C1146" s="13" t="s">
        <v>641</v>
      </c>
      <c r="D1146" s="13" t="s">
        <v>240</v>
      </c>
      <c r="E1146" s="13">
        <v>2</v>
      </c>
      <c r="F1146" s="13" t="s">
        <v>671</v>
      </c>
      <c r="G1146" s="13" t="s">
        <v>672</v>
      </c>
      <c r="H1146" s="13" t="s">
        <v>3183</v>
      </c>
    </row>
    <row r="1147" spans="1:8">
      <c r="A1147" s="13" t="s">
        <v>3180</v>
      </c>
      <c r="B1147" s="13">
        <v>4031291</v>
      </c>
      <c r="C1147" s="13" t="s">
        <v>641</v>
      </c>
      <c r="D1147" s="13" t="s">
        <v>1334</v>
      </c>
      <c r="E1147" s="13">
        <v>2</v>
      </c>
      <c r="F1147" s="13" t="s">
        <v>671</v>
      </c>
      <c r="G1147" s="13" t="s">
        <v>677</v>
      </c>
      <c r="H1147" s="13" t="s">
        <v>700</v>
      </c>
    </row>
    <row r="1148" spans="1:8">
      <c r="A1148" s="13" t="s">
        <v>3180</v>
      </c>
      <c r="B1148" s="13">
        <v>4031674</v>
      </c>
      <c r="C1148" s="13" t="s">
        <v>641</v>
      </c>
      <c r="D1148" s="13" t="s">
        <v>1335</v>
      </c>
      <c r="E1148" s="13">
        <v>2</v>
      </c>
      <c r="F1148" s="13" t="s">
        <v>709</v>
      </c>
      <c r="G1148" s="13" t="s">
        <v>641</v>
      </c>
      <c r="H1148" s="13" t="s">
        <v>684</v>
      </c>
    </row>
    <row r="1149" spans="1:8">
      <c r="A1149" s="13" t="s">
        <v>3180</v>
      </c>
      <c r="B1149" s="13">
        <v>4032091</v>
      </c>
      <c r="C1149" s="13" t="s">
        <v>641</v>
      </c>
      <c r="D1149" s="13" t="s">
        <v>1336</v>
      </c>
      <c r="E1149" s="13">
        <v>2</v>
      </c>
      <c r="F1149" s="13" t="s">
        <v>671</v>
      </c>
      <c r="G1149" s="13" t="s">
        <v>677</v>
      </c>
      <c r="H1149" s="13" t="s">
        <v>700</v>
      </c>
    </row>
    <row r="1150" spans="1:8">
      <c r="A1150" s="13" t="s">
        <v>3180</v>
      </c>
      <c r="B1150" s="13">
        <v>4032395</v>
      </c>
      <c r="C1150" s="13" t="s">
        <v>641</v>
      </c>
      <c r="D1150" s="13" t="s">
        <v>1337</v>
      </c>
      <c r="E1150" s="13">
        <v>1</v>
      </c>
      <c r="F1150" s="13" t="s">
        <v>649</v>
      </c>
      <c r="G1150" s="13" t="s">
        <v>641</v>
      </c>
      <c r="H1150" s="13" t="s">
        <v>735</v>
      </c>
    </row>
    <row r="1151" spans="1:8">
      <c r="A1151" s="13" t="s">
        <v>3180</v>
      </c>
      <c r="B1151" s="13">
        <v>4032431</v>
      </c>
      <c r="C1151" s="13" t="s">
        <v>641</v>
      </c>
      <c r="D1151" s="13" t="s">
        <v>3544</v>
      </c>
      <c r="E1151" s="13">
        <v>2</v>
      </c>
      <c r="F1151" s="13" t="s">
        <v>709</v>
      </c>
      <c r="G1151" s="13" t="s">
        <v>709</v>
      </c>
      <c r="H1151" s="13" t="s">
        <v>3183</v>
      </c>
    </row>
    <row r="1152" spans="1:8">
      <c r="A1152" s="13" t="s">
        <v>3180</v>
      </c>
      <c r="B1152" s="13">
        <v>4032432</v>
      </c>
      <c r="C1152" s="13" t="s">
        <v>641</v>
      </c>
      <c r="D1152" s="13" t="s">
        <v>3545</v>
      </c>
      <c r="E1152" s="13">
        <v>2</v>
      </c>
      <c r="F1152" s="13" t="s">
        <v>709</v>
      </c>
      <c r="G1152" s="13" t="s">
        <v>709</v>
      </c>
      <c r="H1152" s="13" t="s">
        <v>3183</v>
      </c>
    </row>
    <row r="1153" spans="1:8">
      <c r="A1153" s="13" t="s">
        <v>3180</v>
      </c>
      <c r="B1153" s="13">
        <v>4034021</v>
      </c>
      <c r="C1153" s="13" t="s">
        <v>641</v>
      </c>
      <c r="D1153" s="13" t="s">
        <v>3546</v>
      </c>
      <c r="E1153" s="13">
        <v>1</v>
      </c>
      <c r="F1153" s="13" t="s">
        <v>640</v>
      </c>
      <c r="G1153" s="13" t="s">
        <v>3186</v>
      </c>
      <c r="H1153" s="13" t="s">
        <v>3372</v>
      </c>
    </row>
    <row r="1154" spans="1:8">
      <c r="A1154" s="13" t="s">
        <v>3180</v>
      </c>
      <c r="B1154" s="13">
        <v>4034397</v>
      </c>
      <c r="C1154" s="13" t="s">
        <v>641</v>
      </c>
      <c r="D1154" s="13" t="s">
        <v>223</v>
      </c>
      <c r="E1154" s="13">
        <v>1</v>
      </c>
      <c r="F1154" s="13" t="s">
        <v>640</v>
      </c>
      <c r="G1154" s="13" t="s">
        <v>641</v>
      </c>
      <c r="H1154" s="13" t="s">
        <v>700</v>
      </c>
    </row>
    <row r="1155" spans="1:8">
      <c r="A1155" s="13" t="s">
        <v>3180</v>
      </c>
      <c r="B1155" s="13">
        <v>4035101</v>
      </c>
      <c r="C1155" s="13" t="s">
        <v>641</v>
      </c>
      <c r="D1155" s="13" t="s">
        <v>1339</v>
      </c>
      <c r="E1155" s="13">
        <v>2</v>
      </c>
      <c r="F1155" s="13" t="s">
        <v>709</v>
      </c>
      <c r="G1155" s="13" t="s">
        <v>709</v>
      </c>
      <c r="H1155" s="13" t="s">
        <v>3183</v>
      </c>
    </row>
    <row r="1156" spans="1:8">
      <c r="A1156" s="13" t="s">
        <v>3180</v>
      </c>
      <c r="B1156" s="13">
        <v>4035147</v>
      </c>
      <c r="C1156" s="13" t="s">
        <v>641</v>
      </c>
      <c r="D1156" s="13" t="s">
        <v>3547</v>
      </c>
      <c r="E1156" s="13">
        <v>2</v>
      </c>
      <c r="F1156" s="13" t="s">
        <v>709</v>
      </c>
      <c r="G1156" s="13" t="s">
        <v>709</v>
      </c>
      <c r="H1156" s="13" t="s">
        <v>3183</v>
      </c>
    </row>
    <row r="1157" spans="1:8">
      <c r="A1157" s="13" t="s">
        <v>3180</v>
      </c>
      <c r="B1157" s="13">
        <v>4035153</v>
      </c>
      <c r="C1157" s="13" t="s">
        <v>641</v>
      </c>
      <c r="D1157" s="13" t="s">
        <v>3548</v>
      </c>
      <c r="E1157" s="13">
        <v>2</v>
      </c>
      <c r="F1157" s="13" t="s">
        <v>709</v>
      </c>
      <c r="G1157" s="13" t="s">
        <v>709</v>
      </c>
      <c r="H1157" s="13" t="s">
        <v>3183</v>
      </c>
    </row>
    <row r="1158" spans="1:8">
      <c r="A1158" s="13" t="s">
        <v>3180</v>
      </c>
      <c r="B1158" s="13">
        <v>4039738</v>
      </c>
      <c r="C1158" s="13" t="s">
        <v>641</v>
      </c>
      <c r="D1158" s="13" t="s">
        <v>1343</v>
      </c>
      <c r="E1158" s="13">
        <v>1</v>
      </c>
      <c r="F1158" s="13" t="s">
        <v>656</v>
      </c>
      <c r="G1158" s="13" t="s">
        <v>2445</v>
      </c>
      <c r="H1158" s="13" t="s">
        <v>641</v>
      </c>
    </row>
    <row r="1159" spans="1:8">
      <c r="A1159" s="13" t="s">
        <v>3180</v>
      </c>
      <c r="B1159" s="13">
        <v>4039739</v>
      </c>
      <c r="C1159" s="13" t="s">
        <v>641</v>
      </c>
      <c r="D1159" s="13" t="s">
        <v>230</v>
      </c>
      <c r="E1159" s="13">
        <v>1</v>
      </c>
      <c r="F1159" s="13" t="s">
        <v>644</v>
      </c>
      <c r="G1159" s="13" t="s">
        <v>641</v>
      </c>
      <c r="H1159" s="13" t="s">
        <v>641</v>
      </c>
    </row>
    <row r="1160" spans="1:8">
      <c r="A1160" s="13" t="s">
        <v>3180</v>
      </c>
      <c r="B1160" s="13">
        <v>4039740</v>
      </c>
      <c r="C1160" s="13" t="s">
        <v>641</v>
      </c>
      <c r="D1160" s="13" t="s">
        <v>1344</v>
      </c>
      <c r="E1160" s="13">
        <v>1</v>
      </c>
      <c r="F1160" s="13" t="s">
        <v>644</v>
      </c>
      <c r="G1160" s="13" t="s">
        <v>641</v>
      </c>
      <c r="H1160" s="13" t="s">
        <v>641</v>
      </c>
    </row>
    <row r="1161" spans="1:8">
      <c r="A1161" s="13" t="s">
        <v>3180</v>
      </c>
      <c r="B1161" s="13">
        <v>4041178</v>
      </c>
      <c r="C1161" s="13" t="s">
        <v>641</v>
      </c>
      <c r="D1161" s="13" t="s">
        <v>3549</v>
      </c>
      <c r="E1161" s="13">
        <v>1</v>
      </c>
      <c r="F1161" s="13" t="s">
        <v>649</v>
      </c>
      <c r="G1161" s="13" t="s">
        <v>3207</v>
      </c>
      <c r="H1161" s="13" t="s">
        <v>3339</v>
      </c>
    </row>
    <row r="1162" spans="1:8">
      <c r="A1162" s="13" t="s">
        <v>3180</v>
      </c>
      <c r="B1162" s="13">
        <v>4041179</v>
      </c>
      <c r="C1162" s="13" t="s">
        <v>641</v>
      </c>
      <c r="D1162" s="13" t="s">
        <v>1349</v>
      </c>
      <c r="E1162" s="13">
        <v>1</v>
      </c>
      <c r="F1162" s="13" t="s">
        <v>644</v>
      </c>
      <c r="G1162" s="13" t="s">
        <v>2458</v>
      </c>
      <c r="H1162" s="13" t="s">
        <v>3183</v>
      </c>
    </row>
    <row r="1163" spans="1:8">
      <c r="A1163" s="13" t="s">
        <v>3180</v>
      </c>
      <c r="B1163" s="13">
        <v>4202787</v>
      </c>
      <c r="C1163" s="13" t="s">
        <v>641</v>
      </c>
      <c r="D1163" s="13" t="s">
        <v>1362</v>
      </c>
      <c r="E1163" s="13">
        <v>1</v>
      </c>
      <c r="F1163" s="13" t="s">
        <v>640</v>
      </c>
      <c r="G1163" s="13" t="s">
        <v>641</v>
      </c>
      <c r="H1163" s="13" t="s">
        <v>641</v>
      </c>
    </row>
    <row r="1164" spans="1:8">
      <c r="A1164" s="13" t="s">
        <v>3180</v>
      </c>
      <c r="B1164" s="13">
        <v>4203804</v>
      </c>
      <c r="C1164" s="13" t="s">
        <v>641</v>
      </c>
      <c r="D1164" s="13" t="s">
        <v>3550</v>
      </c>
      <c r="E1164" s="13">
        <v>1</v>
      </c>
      <c r="F1164" s="13" t="s">
        <v>642</v>
      </c>
      <c r="G1164" s="13" t="s">
        <v>3508</v>
      </c>
      <c r="H1164" s="13" t="s">
        <v>3183</v>
      </c>
    </row>
    <row r="1165" spans="1:8">
      <c r="A1165" s="13" t="s">
        <v>3180</v>
      </c>
      <c r="B1165" s="13">
        <v>4204498</v>
      </c>
      <c r="C1165" s="13" t="s">
        <v>641</v>
      </c>
      <c r="D1165" s="13" t="s">
        <v>1363</v>
      </c>
      <c r="E1165" s="13">
        <v>1</v>
      </c>
      <c r="F1165" s="13" t="s">
        <v>646</v>
      </c>
      <c r="G1165" s="13" t="s">
        <v>641</v>
      </c>
      <c r="H1165" s="13" t="s">
        <v>3187</v>
      </c>
    </row>
    <row r="1166" spans="1:8">
      <c r="A1166" s="13" t="s">
        <v>3180</v>
      </c>
      <c r="B1166" s="13">
        <v>4209333</v>
      </c>
      <c r="C1166" s="13" t="s">
        <v>641</v>
      </c>
      <c r="D1166" s="13" t="s">
        <v>152</v>
      </c>
      <c r="E1166" s="13">
        <v>2</v>
      </c>
      <c r="F1166" s="13" t="s">
        <v>671</v>
      </c>
      <c r="G1166" s="13" t="s">
        <v>672</v>
      </c>
      <c r="H1166" s="13" t="s">
        <v>641</v>
      </c>
    </row>
    <row r="1167" spans="1:8">
      <c r="A1167" s="13" t="s">
        <v>3180</v>
      </c>
      <c r="B1167" s="13">
        <v>4209662</v>
      </c>
      <c r="C1167" s="13" t="s">
        <v>641</v>
      </c>
      <c r="D1167" s="13" t="s">
        <v>1365</v>
      </c>
      <c r="E1167" s="13">
        <v>1</v>
      </c>
      <c r="F1167" s="13" t="s">
        <v>646</v>
      </c>
      <c r="G1167" s="13" t="s">
        <v>641</v>
      </c>
      <c r="H1167" s="13" t="s">
        <v>735</v>
      </c>
    </row>
    <row r="1168" spans="1:8">
      <c r="A1168" s="13" t="s">
        <v>3180</v>
      </c>
      <c r="B1168" s="13">
        <v>4214955</v>
      </c>
      <c r="C1168" s="13" t="s">
        <v>641</v>
      </c>
      <c r="D1168" s="13" t="s">
        <v>1367</v>
      </c>
      <c r="E1168" s="13">
        <v>1</v>
      </c>
      <c r="F1168" s="13" t="s">
        <v>656</v>
      </c>
      <c r="G1168" s="13" t="s">
        <v>2445</v>
      </c>
      <c r="H1168" s="13" t="s">
        <v>684</v>
      </c>
    </row>
    <row r="1169" spans="1:8">
      <c r="A1169" s="13" t="s">
        <v>3180</v>
      </c>
      <c r="B1169" s="13">
        <v>4229333</v>
      </c>
      <c r="C1169" s="13" t="s">
        <v>641</v>
      </c>
      <c r="D1169" s="13" t="s">
        <v>3551</v>
      </c>
      <c r="E1169" s="13">
        <v>1</v>
      </c>
      <c r="F1169" s="13" t="s">
        <v>642</v>
      </c>
      <c r="G1169" s="13" t="s">
        <v>2437</v>
      </c>
      <c r="H1169" s="13" t="s">
        <v>3187</v>
      </c>
    </row>
    <row r="1170" spans="1:8">
      <c r="A1170" s="13" t="s">
        <v>3180</v>
      </c>
      <c r="B1170" s="13">
        <v>4232353</v>
      </c>
      <c r="C1170" s="13" t="s">
        <v>641</v>
      </c>
      <c r="D1170" s="13" t="s">
        <v>3552</v>
      </c>
      <c r="E1170" s="13">
        <v>1</v>
      </c>
      <c r="F1170" s="13" t="s">
        <v>649</v>
      </c>
      <c r="G1170" s="13" t="s">
        <v>3207</v>
      </c>
      <c r="H1170" s="13" t="s">
        <v>3193</v>
      </c>
    </row>
    <row r="1171" spans="1:8">
      <c r="A1171" s="13" t="s">
        <v>3180</v>
      </c>
      <c r="B1171" s="13">
        <v>4236727</v>
      </c>
      <c r="C1171" s="13" t="s">
        <v>641</v>
      </c>
      <c r="D1171" s="13" t="s">
        <v>3553</v>
      </c>
      <c r="E1171" s="13">
        <v>1</v>
      </c>
      <c r="F1171" s="13" t="s">
        <v>644</v>
      </c>
      <c r="G1171" s="13" t="s">
        <v>3204</v>
      </c>
      <c r="H1171" s="13" t="s">
        <v>641</v>
      </c>
    </row>
    <row r="1172" spans="1:8">
      <c r="A1172" s="13" t="s">
        <v>3180</v>
      </c>
      <c r="B1172" s="13">
        <v>4500011</v>
      </c>
      <c r="C1172" s="13" t="s">
        <v>641</v>
      </c>
      <c r="D1172" s="13" t="s">
        <v>1368</v>
      </c>
      <c r="E1172" s="13">
        <v>1</v>
      </c>
      <c r="F1172" s="13" t="s">
        <v>646</v>
      </c>
      <c r="G1172" s="13" t="s">
        <v>641</v>
      </c>
      <c r="H1172" s="13" t="s">
        <v>641</v>
      </c>
    </row>
    <row r="1173" spans="1:8">
      <c r="A1173" s="13" t="s">
        <v>3180</v>
      </c>
      <c r="B1173" s="13">
        <v>4500044</v>
      </c>
      <c r="C1173" s="13" t="s">
        <v>641</v>
      </c>
      <c r="D1173" s="13" t="s">
        <v>2435</v>
      </c>
      <c r="E1173" s="13">
        <v>1</v>
      </c>
      <c r="F1173" s="13" t="s">
        <v>642</v>
      </c>
      <c r="G1173" s="13" t="s">
        <v>641</v>
      </c>
      <c r="H1173" s="13" t="s">
        <v>641</v>
      </c>
    </row>
    <row r="1174" spans="1:8">
      <c r="A1174" s="13" t="s">
        <v>3180</v>
      </c>
      <c r="B1174" s="13">
        <v>4500067</v>
      </c>
      <c r="C1174" s="13" t="s">
        <v>641</v>
      </c>
      <c r="D1174" s="13" t="s">
        <v>455</v>
      </c>
      <c r="E1174" s="13">
        <v>1</v>
      </c>
      <c r="F1174" s="13" t="s">
        <v>642</v>
      </c>
      <c r="G1174" s="13" t="s">
        <v>641</v>
      </c>
      <c r="H1174" s="13" t="s">
        <v>641</v>
      </c>
    </row>
    <row r="1175" spans="1:8">
      <c r="A1175" s="13" t="s">
        <v>3180</v>
      </c>
      <c r="B1175" s="13">
        <v>4500295</v>
      </c>
      <c r="C1175" s="13" t="s">
        <v>641</v>
      </c>
      <c r="D1175" s="13" t="s">
        <v>1370</v>
      </c>
      <c r="E1175" s="13">
        <v>1</v>
      </c>
      <c r="F1175" s="13" t="s">
        <v>642</v>
      </c>
      <c r="G1175" s="13" t="s">
        <v>641</v>
      </c>
      <c r="H1175" s="13" t="s">
        <v>641</v>
      </c>
    </row>
    <row r="1176" spans="1:8">
      <c r="A1176" s="13" t="s">
        <v>3180</v>
      </c>
      <c r="B1176" s="13">
        <v>4500367</v>
      </c>
      <c r="C1176" s="13" t="s">
        <v>641</v>
      </c>
      <c r="D1176" s="13" t="s">
        <v>3554</v>
      </c>
      <c r="E1176" s="13">
        <v>1</v>
      </c>
      <c r="F1176" s="13" t="s">
        <v>640</v>
      </c>
      <c r="G1176" s="13" t="s">
        <v>3186</v>
      </c>
      <c r="H1176" s="13" t="s">
        <v>641</v>
      </c>
    </row>
    <row r="1177" spans="1:8">
      <c r="A1177" s="13" t="s">
        <v>3180</v>
      </c>
      <c r="B1177" s="13">
        <v>4500711</v>
      </c>
      <c r="C1177" s="13" t="s">
        <v>641</v>
      </c>
      <c r="D1177" s="13" t="s">
        <v>1371</v>
      </c>
      <c r="E1177" s="13">
        <v>1</v>
      </c>
      <c r="F1177" s="13" t="s">
        <v>642</v>
      </c>
      <c r="G1177" s="13" t="s">
        <v>641</v>
      </c>
      <c r="H1177" s="13" t="s">
        <v>641</v>
      </c>
    </row>
    <row r="1178" spans="1:8">
      <c r="A1178" s="13" t="s">
        <v>3180</v>
      </c>
      <c r="B1178" s="13">
        <v>4500860</v>
      </c>
      <c r="C1178" s="13" t="s">
        <v>641</v>
      </c>
      <c r="D1178" s="13" t="s">
        <v>3555</v>
      </c>
      <c r="E1178" s="13">
        <v>1</v>
      </c>
      <c r="F1178" s="13" t="s">
        <v>656</v>
      </c>
      <c r="G1178" s="13" t="s">
        <v>3556</v>
      </c>
      <c r="H1178" s="13" t="s">
        <v>3183</v>
      </c>
    </row>
    <row r="1179" spans="1:8">
      <c r="A1179" s="13" t="s">
        <v>3180</v>
      </c>
      <c r="B1179" s="13">
        <v>4500958</v>
      </c>
      <c r="C1179" s="13" t="s">
        <v>641</v>
      </c>
      <c r="D1179" s="13" t="s">
        <v>3557</v>
      </c>
      <c r="E1179" s="13">
        <v>1</v>
      </c>
      <c r="F1179" s="13" t="s">
        <v>642</v>
      </c>
      <c r="G1179" s="13" t="s">
        <v>641</v>
      </c>
      <c r="H1179" s="13" t="s">
        <v>684</v>
      </c>
    </row>
    <row r="1180" spans="1:8">
      <c r="A1180" s="13" t="s">
        <v>3180</v>
      </c>
      <c r="B1180" s="13">
        <v>4501023</v>
      </c>
      <c r="C1180" s="13" t="s">
        <v>641</v>
      </c>
      <c r="D1180" s="13" t="s">
        <v>3558</v>
      </c>
      <c r="E1180" s="13">
        <v>1</v>
      </c>
      <c r="F1180" s="13" t="s">
        <v>642</v>
      </c>
      <c r="G1180" s="13" t="s">
        <v>2437</v>
      </c>
      <c r="H1180" s="13" t="s">
        <v>641</v>
      </c>
    </row>
    <row r="1181" spans="1:8">
      <c r="A1181" s="13" t="s">
        <v>3180</v>
      </c>
      <c r="B1181" s="13">
        <v>4501123</v>
      </c>
      <c r="C1181" s="13" t="s">
        <v>641</v>
      </c>
      <c r="D1181" s="13" t="s">
        <v>3559</v>
      </c>
      <c r="E1181" s="13">
        <v>1</v>
      </c>
      <c r="F1181" s="13" t="s">
        <v>642</v>
      </c>
      <c r="G1181" s="13" t="s">
        <v>641</v>
      </c>
      <c r="H1181" s="13" t="s">
        <v>641</v>
      </c>
    </row>
    <row r="1182" spans="1:8">
      <c r="A1182" s="13" t="s">
        <v>3180</v>
      </c>
      <c r="B1182" s="13">
        <v>4501135</v>
      </c>
      <c r="C1182" s="13" t="s">
        <v>641</v>
      </c>
      <c r="D1182" s="13" t="s">
        <v>548</v>
      </c>
      <c r="E1182" s="13">
        <v>1</v>
      </c>
      <c r="F1182" s="13" t="s">
        <v>642</v>
      </c>
      <c r="G1182" s="13" t="s">
        <v>641</v>
      </c>
      <c r="H1182" s="13" t="s">
        <v>641</v>
      </c>
    </row>
    <row r="1183" spans="1:8">
      <c r="A1183" s="13" t="s">
        <v>3180</v>
      </c>
      <c r="B1183" s="13">
        <v>4501697</v>
      </c>
      <c r="C1183" s="13" t="s">
        <v>641</v>
      </c>
      <c r="D1183" s="13" t="s">
        <v>3560</v>
      </c>
      <c r="E1183" s="13">
        <v>2</v>
      </c>
      <c r="F1183" s="13" t="s">
        <v>654</v>
      </c>
      <c r="G1183" s="13" t="s">
        <v>654</v>
      </c>
      <c r="H1183" s="13" t="s">
        <v>3183</v>
      </c>
    </row>
    <row r="1184" spans="1:8">
      <c r="A1184" s="13" t="s">
        <v>3180</v>
      </c>
      <c r="B1184" s="13">
        <v>4501745</v>
      </c>
      <c r="C1184" s="13" t="s">
        <v>641</v>
      </c>
      <c r="D1184" s="13" t="s">
        <v>1373</v>
      </c>
      <c r="E1184" s="13">
        <v>1</v>
      </c>
      <c r="F1184" s="13" t="s">
        <v>656</v>
      </c>
      <c r="G1184" s="13" t="s">
        <v>2445</v>
      </c>
      <c r="H1184" s="13" t="s">
        <v>641</v>
      </c>
    </row>
    <row r="1185" spans="1:8">
      <c r="A1185" s="13" t="s">
        <v>3180</v>
      </c>
      <c r="B1185" s="13">
        <v>4501829</v>
      </c>
      <c r="C1185" s="13" t="s">
        <v>641</v>
      </c>
      <c r="D1185" s="13" t="s">
        <v>1374</v>
      </c>
      <c r="E1185" s="13">
        <v>1</v>
      </c>
      <c r="F1185" s="13" t="s">
        <v>642</v>
      </c>
      <c r="G1185" s="13" t="s">
        <v>641</v>
      </c>
      <c r="H1185" s="13" t="s">
        <v>641</v>
      </c>
    </row>
    <row r="1186" spans="1:8">
      <c r="A1186" s="13" t="s">
        <v>3180</v>
      </c>
      <c r="B1186" s="13">
        <v>4501856</v>
      </c>
      <c r="C1186" s="13" t="s">
        <v>641</v>
      </c>
      <c r="D1186" s="13" t="s">
        <v>1375</v>
      </c>
      <c r="E1186" s="13">
        <v>1</v>
      </c>
      <c r="F1186" s="13" t="s">
        <v>649</v>
      </c>
      <c r="G1186" s="13" t="s">
        <v>641</v>
      </c>
      <c r="H1186" s="13" t="s">
        <v>641</v>
      </c>
    </row>
    <row r="1187" spans="1:8">
      <c r="A1187" s="13" t="s">
        <v>3180</v>
      </c>
      <c r="B1187" s="13">
        <v>4501947</v>
      </c>
      <c r="C1187" s="13" t="s">
        <v>641</v>
      </c>
      <c r="D1187" s="13" t="s">
        <v>221</v>
      </c>
      <c r="E1187" s="13">
        <v>1</v>
      </c>
      <c r="F1187" s="13" t="s">
        <v>640</v>
      </c>
      <c r="G1187" s="13" t="s">
        <v>3186</v>
      </c>
      <c r="H1187" s="13" t="s">
        <v>641</v>
      </c>
    </row>
    <row r="1188" spans="1:8">
      <c r="A1188" s="13" t="s">
        <v>3180</v>
      </c>
      <c r="B1188" s="13">
        <v>4501956</v>
      </c>
      <c r="C1188" s="13" t="s">
        <v>641</v>
      </c>
      <c r="D1188" s="13" t="s">
        <v>1377</v>
      </c>
      <c r="E1188" s="13">
        <v>1</v>
      </c>
      <c r="F1188" s="13" t="s">
        <v>644</v>
      </c>
      <c r="G1188" s="13" t="s">
        <v>3204</v>
      </c>
      <c r="H1188" s="13" t="s">
        <v>3246</v>
      </c>
    </row>
    <row r="1189" spans="1:8">
      <c r="A1189" s="13" t="s">
        <v>3180</v>
      </c>
      <c r="B1189" s="13">
        <v>4501960</v>
      </c>
      <c r="C1189" s="13" t="s">
        <v>641</v>
      </c>
      <c r="D1189" s="13" t="s">
        <v>575</v>
      </c>
      <c r="E1189" s="13">
        <v>1</v>
      </c>
      <c r="F1189" s="13" t="s">
        <v>640</v>
      </c>
      <c r="G1189" s="13" t="s">
        <v>641</v>
      </c>
      <c r="H1189" s="13" t="s">
        <v>641</v>
      </c>
    </row>
    <row r="1190" spans="1:8">
      <c r="A1190" s="13" t="s">
        <v>3180</v>
      </c>
      <c r="B1190" s="13">
        <v>4501962</v>
      </c>
      <c r="C1190" s="13" t="s">
        <v>641</v>
      </c>
      <c r="D1190" s="13" t="s">
        <v>1378</v>
      </c>
      <c r="E1190" s="13">
        <v>1</v>
      </c>
      <c r="F1190" s="13" t="s">
        <v>646</v>
      </c>
      <c r="G1190" s="13" t="s">
        <v>641</v>
      </c>
      <c r="H1190" s="13" t="s">
        <v>641</v>
      </c>
    </row>
    <row r="1191" spans="1:8">
      <c r="A1191" s="13" t="s">
        <v>3180</v>
      </c>
      <c r="B1191" s="13">
        <v>4501989</v>
      </c>
      <c r="C1191" s="13" t="s">
        <v>641</v>
      </c>
      <c r="D1191" s="13" t="s">
        <v>168</v>
      </c>
      <c r="E1191" s="13">
        <v>1</v>
      </c>
      <c r="F1191" s="13" t="s">
        <v>640</v>
      </c>
      <c r="G1191" s="13" t="s">
        <v>641</v>
      </c>
      <c r="H1191" s="13" t="s">
        <v>641</v>
      </c>
    </row>
    <row r="1192" spans="1:8">
      <c r="A1192" s="13" t="s">
        <v>3180</v>
      </c>
      <c r="B1192" s="13">
        <v>4502048</v>
      </c>
      <c r="C1192" s="13" t="s">
        <v>641</v>
      </c>
      <c r="D1192" s="13" t="s">
        <v>157</v>
      </c>
      <c r="E1192" s="13">
        <v>1</v>
      </c>
      <c r="F1192" s="13" t="s">
        <v>642</v>
      </c>
      <c r="G1192" s="13" t="s">
        <v>641</v>
      </c>
      <c r="H1192" s="13" t="s">
        <v>700</v>
      </c>
    </row>
    <row r="1193" spans="1:8">
      <c r="A1193" s="13" t="s">
        <v>3180</v>
      </c>
      <c r="B1193" s="13">
        <v>4502064</v>
      </c>
      <c r="C1193" s="13" t="s">
        <v>641</v>
      </c>
      <c r="D1193" s="13" t="s">
        <v>3561</v>
      </c>
      <c r="E1193" s="13">
        <v>1</v>
      </c>
      <c r="F1193" s="13" t="s">
        <v>644</v>
      </c>
      <c r="G1193" s="13" t="s">
        <v>641</v>
      </c>
      <c r="H1193" s="13" t="s">
        <v>641</v>
      </c>
    </row>
    <row r="1194" spans="1:8">
      <c r="A1194" s="13" t="s">
        <v>3180</v>
      </c>
      <c r="B1194" s="13">
        <v>4502065</v>
      </c>
      <c r="C1194" s="13" t="s">
        <v>641</v>
      </c>
      <c r="D1194" s="13" t="s">
        <v>3562</v>
      </c>
      <c r="E1194" s="13">
        <v>1</v>
      </c>
      <c r="F1194" s="13" t="s">
        <v>656</v>
      </c>
      <c r="G1194" s="13" t="s">
        <v>641</v>
      </c>
      <c r="H1194" s="13" t="s">
        <v>700</v>
      </c>
    </row>
    <row r="1195" spans="1:8">
      <c r="A1195" s="13" t="s">
        <v>3180</v>
      </c>
      <c r="B1195" s="13">
        <v>4502082</v>
      </c>
      <c r="C1195" s="13" t="s">
        <v>641</v>
      </c>
      <c r="D1195" s="13" t="s">
        <v>1380</v>
      </c>
      <c r="E1195" s="13">
        <v>1</v>
      </c>
      <c r="F1195" s="13" t="s">
        <v>649</v>
      </c>
      <c r="G1195" s="13" t="s">
        <v>641</v>
      </c>
      <c r="H1195" s="13" t="s">
        <v>641</v>
      </c>
    </row>
    <row r="1196" spans="1:8">
      <c r="A1196" s="13" t="s">
        <v>3180</v>
      </c>
      <c r="B1196" s="13">
        <v>4502090</v>
      </c>
      <c r="C1196" s="13" t="s">
        <v>641</v>
      </c>
      <c r="D1196" s="13" t="s">
        <v>1381</v>
      </c>
      <c r="E1196" s="13">
        <v>1</v>
      </c>
      <c r="F1196" s="13" t="s">
        <v>642</v>
      </c>
      <c r="G1196" s="13" t="s">
        <v>641</v>
      </c>
      <c r="H1196" s="13" t="s">
        <v>641</v>
      </c>
    </row>
    <row r="1197" spans="1:8">
      <c r="A1197" s="13" t="s">
        <v>3180</v>
      </c>
      <c r="B1197" s="13">
        <v>4502101</v>
      </c>
      <c r="C1197" s="13" t="s">
        <v>641</v>
      </c>
      <c r="D1197" s="13" t="s">
        <v>701</v>
      </c>
      <c r="E1197" s="13">
        <v>1</v>
      </c>
      <c r="F1197" s="13" t="s">
        <v>646</v>
      </c>
      <c r="G1197" s="13" t="s">
        <v>2627</v>
      </c>
      <c r="H1197" s="13" t="s">
        <v>3187</v>
      </c>
    </row>
    <row r="1198" spans="1:8">
      <c r="A1198" s="13" t="s">
        <v>3180</v>
      </c>
      <c r="B1198" s="13">
        <v>4502140</v>
      </c>
      <c r="C1198" s="13" t="s">
        <v>641</v>
      </c>
      <c r="D1198" s="13" t="s">
        <v>78</v>
      </c>
      <c r="E1198" s="13">
        <v>1</v>
      </c>
      <c r="F1198" s="13" t="s">
        <v>644</v>
      </c>
      <c r="G1198" s="13" t="s">
        <v>3204</v>
      </c>
      <c r="H1198" s="13" t="s">
        <v>3246</v>
      </c>
    </row>
    <row r="1199" spans="1:8">
      <c r="A1199" s="13" t="s">
        <v>3180</v>
      </c>
      <c r="B1199" s="13">
        <v>4502142</v>
      </c>
      <c r="C1199" s="13" t="s">
        <v>641</v>
      </c>
      <c r="D1199" s="13" t="s">
        <v>1382</v>
      </c>
      <c r="E1199" s="13">
        <v>2</v>
      </c>
      <c r="F1199" s="13" t="s">
        <v>654</v>
      </c>
      <c r="G1199" s="13" t="s">
        <v>641</v>
      </c>
      <c r="H1199" s="13" t="s">
        <v>641</v>
      </c>
    </row>
    <row r="1200" spans="1:8">
      <c r="A1200" s="13" t="s">
        <v>3180</v>
      </c>
      <c r="B1200" s="13">
        <v>4502148</v>
      </c>
      <c r="C1200" s="13" t="s">
        <v>641</v>
      </c>
      <c r="D1200" s="13" t="s">
        <v>3563</v>
      </c>
      <c r="E1200" s="13">
        <v>1</v>
      </c>
      <c r="F1200" s="13" t="s">
        <v>646</v>
      </c>
      <c r="G1200" s="13" t="s">
        <v>641</v>
      </c>
      <c r="H1200" s="13" t="s">
        <v>735</v>
      </c>
    </row>
    <row r="1201" spans="1:8">
      <c r="A1201" s="13" t="s">
        <v>3180</v>
      </c>
      <c r="B1201" s="13">
        <v>4502166</v>
      </c>
      <c r="C1201" s="13" t="s">
        <v>641</v>
      </c>
      <c r="D1201" s="13" t="s">
        <v>3564</v>
      </c>
      <c r="E1201" s="13">
        <v>1</v>
      </c>
      <c r="F1201" s="13" t="s">
        <v>640</v>
      </c>
      <c r="G1201" s="13" t="s">
        <v>641</v>
      </c>
      <c r="H1201" s="13" t="s">
        <v>700</v>
      </c>
    </row>
    <row r="1202" spans="1:8">
      <c r="A1202" s="13" t="s">
        <v>3180</v>
      </c>
      <c r="B1202" s="13">
        <v>4502193</v>
      </c>
      <c r="C1202" s="13" t="s">
        <v>641</v>
      </c>
      <c r="D1202" s="13" t="s">
        <v>999</v>
      </c>
      <c r="E1202" s="13">
        <v>1</v>
      </c>
      <c r="F1202" s="13" t="s">
        <v>642</v>
      </c>
      <c r="G1202" s="13" t="s">
        <v>641</v>
      </c>
      <c r="H1202" s="13" t="s">
        <v>641</v>
      </c>
    </row>
    <row r="1203" spans="1:8">
      <c r="A1203" s="13" t="s">
        <v>3180</v>
      </c>
      <c r="B1203" s="13">
        <v>4502198</v>
      </c>
      <c r="C1203" s="13" t="s">
        <v>641</v>
      </c>
      <c r="D1203" s="13" t="s">
        <v>3565</v>
      </c>
      <c r="E1203" s="13">
        <v>1</v>
      </c>
      <c r="F1203" s="13" t="s">
        <v>656</v>
      </c>
      <c r="G1203" s="13" t="s">
        <v>641</v>
      </c>
      <c r="H1203" s="13" t="s">
        <v>641</v>
      </c>
    </row>
    <row r="1204" spans="1:8">
      <c r="A1204" s="13" t="s">
        <v>3180</v>
      </c>
      <c r="B1204" s="13">
        <v>4502210</v>
      </c>
      <c r="C1204" s="13" t="s">
        <v>641</v>
      </c>
      <c r="D1204" s="13" t="s">
        <v>1383</v>
      </c>
      <c r="E1204" s="13">
        <v>1</v>
      </c>
      <c r="F1204" s="13" t="s">
        <v>642</v>
      </c>
      <c r="G1204" s="13" t="s">
        <v>3508</v>
      </c>
      <c r="H1204" s="13" t="s">
        <v>3183</v>
      </c>
    </row>
    <row r="1205" spans="1:8">
      <c r="A1205" s="13" t="s">
        <v>3180</v>
      </c>
      <c r="B1205" s="13">
        <v>4502226</v>
      </c>
      <c r="C1205" s="13" t="s">
        <v>641</v>
      </c>
      <c r="D1205" s="13" t="s">
        <v>562</v>
      </c>
      <c r="E1205" s="13">
        <v>1</v>
      </c>
      <c r="F1205" s="13" t="s">
        <v>642</v>
      </c>
      <c r="G1205" s="13" t="s">
        <v>641</v>
      </c>
      <c r="H1205" s="13" t="s">
        <v>641</v>
      </c>
    </row>
    <row r="1206" spans="1:8">
      <c r="A1206" s="13" t="s">
        <v>3180</v>
      </c>
      <c r="B1206" s="13">
        <v>4502234</v>
      </c>
      <c r="C1206" s="13" t="s">
        <v>641</v>
      </c>
      <c r="D1206" s="13" t="s">
        <v>413</v>
      </c>
      <c r="E1206" s="13">
        <v>1</v>
      </c>
      <c r="F1206" s="13" t="s">
        <v>644</v>
      </c>
      <c r="G1206" s="13" t="s">
        <v>641</v>
      </c>
      <c r="H1206" s="13" t="s">
        <v>641</v>
      </c>
    </row>
    <row r="1207" spans="1:8">
      <c r="A1207" s="13" t="s">
        <v>3180</v>
      </c>
      <c r="B1207" s="13">
        <v>4502257</v>
      </c>
      <c r="C1207" s="13" t="s">
        <v>641</v>
      </c>
      <c r="D1207" s="13" t="s">
        <v>483</v>
      </c>
      <c r="E1207" s="13">
        <v>1</v>
      </c>
      <c r="F1207" s="13" t="s">
        <v>640</v>
      </c>
      <c r="G1207" s="13" t="s">
        <v>641</v>
      </c>
      <c r="H1207" s="13" t="s">
        <v>641</v>
      </c>
    </row>
    <row r="1208" spans="1:8">
      <c r="A1208" s="13" t="s">
        <v>3180</v>
      </c>
      <c r="B1208" s="13">
        <v>4502260</v>
      </c>
      <c r="C1208" s="13" t="s">
        <v>641</v>
      </c>
      <c r="D1208" s="13" t="s">
        <v>3566</v>
      </c>
      <c r="E1208" s="13">
        <v>2</v>
      </c>
      <c r="F1208" s="13" t="s">
        <v>671</v>
      </c>
      <c r="G1208" s="13" t="s">
        <v>676</v>
      </c>
      <c r="H1208" s="13" t="s">
        <v>641</v>
      </c>
    </row>
    <row r="1209" spans="1:8">
      <c r="A1209" s="13" t="s">
        <v>3180</v>
      </c>
      <c r="B1209" s="13">
        <v>4502287</v>
      </c>
      <c r="C1209" s="13" t="s">
        <v>641</v>
      </c>
      <c r="D1209" s="13" t="s">
        <v>422</v>
      </c>
      <c r="E1209" s="13">
        <v>1</v>
      </c>
      <c r="F1209" s="13" t="s">
        <v>656</v>
      </c>
      <c r="G1209" s="13" t="s">
        <v>641</v>
      </c>
      <c r="H1209" s="13" t="s">
        <v>641</v>
      </c>
    </row>
    <row r="1210" spans="1:8">
      <c r="A1210" s="13" t="s">
        <v>3180</v>
      </c>
      <c r="B1210" s="13">
        <v>4502308</v>
      </c>
      <c r="C1210" s="13" t="s">
        <v>641</v>
      </c>
      <c r="D1210" s="13" t="s">
        <v>3567</v>
      </c>
      <c r="E1210" s="13">
        <v>1</v>
      </c>
      <c r="F1210" s="13" t="s">
        <v>646</v>
      </c>
      <c r="G1210" s="13" t="s">
        <v>641</v>
      </c>
      <c r="H1210" s="13" t="s">
        <v>735</v>
      </c>
    </row>
    <row r="1211" spans="1:8">
      <c r="A1211" s="13" t="s">
        <v>3180</v>
      </c>
      <c r="B1211" s="13">
        <v>4502382</v>
      </c>
      <c r="C1211" s="13" t="s">
        <v>641</v>
      </c>
      <c r="D1211" s="13" t="s">
        <v>187</v>
      </c>
      <c r="E1211" s="13">
        <v>1</v>
      </c>
      <c r="F1211" s="13" t="s">
        <v>656</v>
      </c>
      <c r="G1211" s="13" t="s">
        <v>641</v>
      </c>
      <c r="H1211" s="13" t="s">
        <v>641</v>
      </c>
    </row>
    <row r="1212" spans="1:8">
      <c r="A1212" s="13" t="s">
        <v>3180</v>
      </c>
      <c r="B1212" s="13">
        <v>4502395</v>
      </c>
      <c r="C1212" s="13" t="s">
        <v>641</v>
      </c>
      <c r="D1212" s="13" t="s">
        <v>542</v>
      </c>
      <c r="E1212" s="13">
        <v>1</v>
      </c>
      <c r="F1212" s="13" t="s">
        <v>640</v>
      </c>
      <c r="G1212" s="13" t="s">
        <v>641</v>
      </c>
      <c r="H1212" s="13" t="s">
        <v>641</v>
      </c>
    </row>
    <row r="1213" spans="1:8">
      <c r="A1213" s="13" t="s">
        <v>3180</v>
      </c>
      <c r="B1213" s="13">
        <v>4502397</v>
      </c>
      <c r="C1213" s="13" t="s">
        <v>641</v>
      </c>
      <c r="D1213" s="13" t="s">
        <v>1384</v>
      </c>
      <c r="E1213" s="13">
        <v>1</v>
      </c>
      <c r="F1213" s="13" t="s">
        <v>656</v>
      </c>
      <c r="G1213" s="13" t="s">
        <v>641</v>
      </c>
      <c r="H1213" s="13" t="s">
        <v>641</v>
      </c>
    </row>
    <row r="1214" spans="1:8">
      <c r="A1214" s="13" t="s">
        <v>3180</v>
      </c>
      <c r="B1214" s="13">
        <v>4502465</v>
      </c>
      <c r="C1214" s="13" t="s">
        <v>641</v>
      </c>
      <c r="D1214" s="13" t="s">
        <v>556</v>
      </c>
      <c r="E1214" s="13">
        <v>1</v>
      </c>
      <c r="F1214" s="13" t="s">
        <v>640</v>
      </c>
      <c r="G1214" s="13" t="s">
        <v>641</v>
      </c>
      <c r="H1214" s="13" t="s">
        <v>641</v>
      </c>
    </row>
    <row r="1215" spans="1:8">
      <c r="A1215" s="13" t="s">
        <v>3180</v>
      </c>
      <c r="B1215" s="13">
        <v>4502520</v>
      </c>
      <c r="C1215" s="13" t="s">
        <v>641</v>
      </c>
      <c r="D1215" s="13" t="s">
        <v>3568</v>
      </c>
      <c r="E1215" s="13">
        <v>1</v>
      </c>
      <c r="F1215" s="13" t="s">
        <v>640</v>
      </c>
      <c r="G1215" s="13" t="s">
        <v>3186</v>
      </c>
      <c r="H1215" s="13" t="s">
        <v>641</v>
      </c>
    </row>
    <row r="1216" spans="1:8">
      <c r="A1216" s="13" t="s">
        <v>3180</v>
      </c>
      <c r="B1216" s="13">
        <v>4502622</v>
      </c>
      <c r="C1216" s="13" t="s">
        <v>641</v>
      </c>
      <c r="D1216" s="13" t="s">
        <v>539</v>
      </c>
      <c r="E1216" s="13">
        <v>1</v>
      </c>
      <c r="F1216" s="13" t="s">
        <v>656</v>
      </c>
      <c r="G1216" s="13" t="s">
        <v>641</v>
      </c>
      <c r="H1216" s="13" t="s">
        <v>641</v>
      </c>
    </row>
    <row r="1217" spans="1:8">
      <c r="A1217" s="13" t="s">
        <v>3180</v>
      </c>
      <c r="B1217" s="13">
        <v>4502787</v>
      </c>
      <c r="C1217" s="13" t="s">
        <v>641</v>
      </c>
      <c r="D1217" s="13" t="s">
        <v>3569</v>
      </c>
      <c r="E1217" s="13">
        <v>1</v>
      </c>
      <c r="F1217" s="13" t="s">
        <v>642</v>
      </c>
      <c r="G1217" s="13" t="s">
        <v>641</v>
      </c>
      <c r="H1217" s="13" t="s">
        <v>735</v>
      </c>
    </row>
    <row r="1218" spans="1:8">
      <c r="A1218" s="13" t="s">
        <v>3180</v>
      </c>
      <c r="B1218" s="13">
        <v>4503041</v>
      </c>
      <c r="C1218" s="13" t="s">
        <v>641</v>
      </c>
      <c r="D1218" s="13" t="s">
        <v>3570</v>
      </c>
      <c r="E1218" s="13">
        <v>2</v>
      </c>
      <c r="F1218" s="13" t="s">
        <v>671</v>
      </c>
      <c r="G1218" s="13" t="s">
        <v>678</v>
      </c>
      <c r="H1218" s="13" t="s">
        <v>641</v>
      </c>
    </row>
    <row r="1219" spans="1:8">
      <c r="A1219" s="13" t="s">
        <v>3180</v>
      </c>
      <c r="B1219" s="13">
        <v>4503166</v>
      </c>
      <c r="C1219" s="13" t="s">
        <v>641</v>
      </c>
      <c r="D1219" s="13" t="s">
        <v>3571</v>
      </c>
      <c r="E1219" s="13">
        <v>1</v>
      </c>
      <c r="F1219" s="13" t="s">
        <v>656</v>
      </c>
      <c r="G1219" s="13" t="s">
        <v>641</v>
      </c>
      <c r="H1219" s="13" t="s">
        <v>641</v>
      </c>
    </row>
    <row r="1220" spans="1:8">
      <c r="A1220" s="13" t="s">
        <v>3180</v>
      </c>
      <c r="B1220" s="13">
        <v>4503426</v>
      </c>
      <c r="C1220" s="13" t="s">
        <v>641</v>
      </c>
      <c r="D1220" s="13" t="s">
        <v>3572</v>
      </c>
      <c r="E1220" s="13">
        <v>1</v>
      </c>
      <c r="F1220" s="13" t="s">
        <v>640</v>
      </c>
      <c r="G1220" s="13" t="s">
        <v>3186</v>
      </c>
      <c r="H1220" s="13" t="s">
        <v>3193</v>
      </c>
    </row>
    <row r="1221" spans="1:8">
      <c r="A1221" s="13" t="s">
        <v>3180</v>
      </c>
      <c r="B1221" s="13">
        <v>4503430</v>
      </c>
      <c r="C1221" s="13" t="s">
        <v>641</v>
      </c>
      <c r="D1221" s="13" t="s">
        <v>3573</v>
      </c>
      <c r="E1221" s="13">
        <v>1</v>
      </c>
      <c r="F1221" s="13" t="s">
        <v>642</v>
      </c>
      <c r="G1221" s="13" t="s">
        <v>641</v>
      </c>
      <c r="H1221" s="13" t="s">
        <v>641</v>
      </c>
    </row>
    <row r="1222" spans="1:8">
      <c r="A1222" s="13" t="s">
        <v>3180</v>
      </c>
      <c r="B1222" s="13">
        <v>4503433</v>
      </c>
      <c r="C1222" s="13" t="s">
        <v>641</v>
      </c>
      <c r="D1222" s="13" t="s">
        <v>702</v>
      </c>
      <c r="E1222" s="13">
        <v>1</v>
      </c>
      <c r="F1222" s="13" t="s">
        <v>642</v>
      </c>
      <c r="G1222" s="13" t="s">
        <v>641</v>
      </c>
      <c r="H1222" s="13" t="s">
        <v>641</v>
      </c>
    </row>
    <row r="1223" spans="1:8">
      <c r="A1223" s="13" t="s">
        <v>3180</v>
      </c>
      <c r="B1223" s="13">
        <v>4503456</v>
      </c>
      <c r="C1223" s="13" t="s">
        <v>641</v>
      </c>
      <c r="D1223" s="13" t="s">
        <v>1387</v>
      </c>
      <c r="E1223" s="13">
        <v>1</v>
      </c>
      <c r="F1223" s="13" t="s">
        <v>640</v>
      </c>
      <c r="G1223" s="13" t="s">
        <v>641</v>
      </c>
      <c r="H1223" s="13" t="s">
        <v>641</v>
      </c>
    </row>
    <row r="1224" spans="1:8">
      <c r="A1224" s="13" t="s">
        <v>3180</v>
      </c>
      <c r="B1224" s="13">
        <v>4503466</v>
      </c>
      <c r="C1224" s="13" t="s">
        <v>641</v>
      </c>
      <c r="D1224" s="13" t="s">
        <v>3574</v>
      </c>
      <c r="E1224" s="13">
        <v>1</v>
      </c>
      <c r="F1224" s="13" t="s">
        <v>642</v>
      </c>
      <c r="G1224" s="13" t="s">
        <v>641</v>
      </c>
      <c r="H1224" s="13" t="s">
        <v>641</v>
      </c>
    </row>
    <row r="1225" spans="1:8">
      <c r="A1225" s="13" t="s">
        <v>3180</v>
      </c>
      <c r="B1225" s="13">
        <v>4503547</v>
      </c>
      <c r="C1225" s="13" t="s">
        <v>641</v>
      </c>
      <c r="D1225" s="13" t="s">
        <v>3575</v>
      </c>
      <c r="E1225" s="13">
        <v>1</v>
      </c>
      <c r="F1225" s="13" t="s">
        <v>640</v>
      </c>
      <c r="G1225" s="13" t="s">
        <v>641</v>
      </c>
      <c r="H1225" s="13" t="s">
        <v>641</v>
      </c>
    </row>
    <row r="1226" spans="1:8">
      <c r="A1226" s="13" t="s">
        <v>3180</v>
      </c>
      <c r="B1226" s="13">
        <v>4503595</v>
      </c>
      <c r="C1226" s="13" t="s">
        <v>641</v>
      </c>
      <c r="D1226" s="13" t="s">
        <v>616</v>
      </c>
      <c r="E1226" s="13">
        <v>1</v>
      </c>
      <c r="F1226" s="13" t="s">
        <v>642</v>
      </c>
      <c r="G1226" s="13" t="s">
        <v>641</v>
      </c>
      <c r="H1226" s="13" t="s">
        <v>641</v>
      </c>
    </row>
    <row r="1227" spans="1:8">
      <c r="A1227" s="13" t="s">
        <v>3180</v>
      </c>
      <c r="B1227" s="13">
        <v>4503600</v>
      </c>
      <c r="C1227" s="13" t="s">
        <v>641</v>
      </c>
      <c r="D1227" s="13" t="s">
        <v>3576</v>
      </c>
      <c r="E1227" s="13">
        <v>2</v>
      </c>
      <c r="F1227" s="13" t="s">
        <v>654</v>
      </c>
      <c r="G1227" s="13" t="s">
        <v>654</v>
      </c>
      <c r="H1227" s="13" t="s">
        <v>3183</v>
      </c>
    </row>
    <row r="1228" spans="1:8">
      <c r="A1228" s="13" t="s">
        <v>3180</v>
      </c>
      <c r="B1228" s="13">
        <v>4503604</v>
      </c>
      <c r="C1228" s="13" t="s">
        <v>641</v>
      </c>
      <c r="D1228" s="13" t="s">
        <v>116</v>
      </c>
      <c r="E1228" s="13">
        <v>1</v>
      </c>
      <c r="F1228" s="13" t="s">
        <v>656</v>
      </c>
      <c r="G1228" s="13" t="s">
        <v>641</v>
      </c>
      <c r="H1228" s="13" t="s">
        <v>641</v>
      </c>
    </row>
    <row r="1229" spans="1:8">
      <c r="A1229" s="13" t="s">
        <v>3180</v>
      </c>
      <c r="B1229" s="13">
        <v>4503613</v>
      </c>
      <c r="C1229" s="13" t="s">
        <v>641</v>
      </c>
      <c r="D1229" s="13" t="s">
        <v>1388</v>
      </c>
      <c r="E1229" s="13">
        <v>1</v>
      </c>
      <c r="F1229" s="13" t="s">
        <v>656</v>
      </c>
      <c r="G1229" s="13" t="s">
        <v>641</v>
      </c>
      <c r="H1229" s="13" t="s">
        <v>700</v>
      </c>
    </row>
    <row r="1230" spans="1:8">
      <c r="A1230" s="13" t="s">
        <v>3180</v>
      </c>
      <c r="B1230" s="13">
        <v>4503646</v>
      </c>
      <c r="C1230" s="13" t="s">
        <v>641</v>
      </c>
      <c r="D1230" s="13" t="s">
        <v>1391</v>
      </c>
      <c r="E1230" s="13">
        <v>1</v>
      </c>
      <c r="F1230" s="13" t="s">
        <v>646</v>
      </c>
      <c r="G1230" s="13" t="s">
        <v>641</v>
      </c>
      <c r="H1230" s="13" t="s">
        <v>641</v>
      </c>
    </row>
    <row r="1231" spans="1:8">
      <c r="A1231" s="13" t="s">
        <v>3180</v>
      </c>
      <c r="B1231" s="13">
        <v>4503787</v>
      </c>
      <c r="C1231" s="13" t="s">
        <v>641</v>
      </c>
      <c r="D1231" s="13" t="s">
        <v>3577</v>
      </c>
      <c r="E1231" s="13">
        <v>2</v>
      </c>
      <c r="F1231" s="13" t="s">
        <v>654</v>
      </c>
      <c r="G1231" s="13" t="s">
        <v>654</v>
      </c>
      <c r="H1231" s="13" t="s">
        <v>641</v>
      </c>
    </row>
    <row r="1232" spans="1:8">
      <c r="A1232" s="13" t="s">
        <v>3180</v>
      </c>
      <c r="B1232" s="13">
        <v>4503838</v>
      </c>
      <c r="C1232" s="13" t="s">
        <v>641</v>
      </c>
      <c r="D1232" s="13" t="s">
        <v>1392</v>
      </c>
      <c r="E1232" s="13">
        <v>1</v>
      </c>
      <c r="F1232" s="13" t="s">
        <v>642</v>
      </c>
      <c r="G1232" s="13" t="s">
        <v>641</v>
      </c>
      <c r="H1232" s="13" t="s">
        <v>641</v>
      </c>
    </row>
    <row r="1233" spans="1:8">
      <c r="A1233" s="13" t="s">
        <v>3180</v>
      </c>
      <c r="B1233" s="13">
        <v>4503933</v>
      </c>
      <c r="C1233" s="13" t="s">
        <v>641</v>
      </c>
      <c r="D1233" s="13" t="s">
        <v>3578</v>
      </c>
      <c r="E1233" s="13">
        <v>1</v>
      </c>
      <c r="F1233" s="13" t="s">
        <v>640</v>
      </c>
      <c r="G1233" s="13" t="s">
        <v>641</v>
      </c>
      <c r="H1233" s="13" t="s">
        <v>641</v>
      </c>
    </row>
    <row r="1234" spans="1:8">
      <c r="A1234" s="13" t="s">
        <v>3180</v>
      </c>
      <c r="B1234" s="13">
        <v>4503951</v>
      </c>
      <c r="C1234" s="13" t="s">
        <v>641</v>
      </c>
      <c r="D1234" s="13" t="s">
        <v>316</v>
      </c>
      <c r="E1234" s="13">
        <v>1</v>
      </c>
      <c r="F1234" s="13" t="s">
        <v>646</v>
      </c>
      <c r="G1234" s="13" t="s">
        <v>641</v>
      </c>
      <c r="H1234" s="13" t="s">
        <v>641</v>
      </c>
    </row>
    <row r="1235" spans="1:8">
      <c r="A1235" s="13" t="s">
        <v>3180</v>
      </c>
      <c r="B1235" s="13">
        <v>4504089</v>
      </c>
      <c r="C1235" s="13" t="s">
        <v>641</v>
      </c>
      <c r="D1235" s="13" t="s">
        <v>1393</v>
      </c>
      <c r="E1235" s="13">
        <v>1</v>
      </c>
      <c r="F1235" s="13" t="s">
        <v>642</v>
      </c>
      <c r="G1235" s="13" t="s">
        <v>641</v>
      </c>
      <c r="H1235" s="13" t="s">
        <v>641</v>
      </c>
    </row>
    <row r="1236" spans="1:8">
      <c r="A1236" s="13" t="s">
        <v>3180</v>
      </c>
      <c r="B1236" s="13">
        <v>4504144</v>
      </c>
      <c r="C1236" s="13" t="s">
        <v>641</v>
      </c>
      <c r="D1236" s="13" t="s">
        <v>1394</v>
      </c>
      <c r="E1236" s="13">
        <v>1</v>
      </c>
      <c r="F1236" s="13" t="s">
        <v>640</v>
      </c>
      <c r="G1236" s="13" t="s">
        <v>641</v>
      </c>
      <c r="H1236" s="13" t="s">
        <v>641</v>
      </c>
    </row>
    <row r="1237" spans="1:8">
      <c r="A1237" s="13" t="s">
        <v>3180</v>
      </c>
      <c r="B1237" s="13">
        <v>4504167</v>
      </c>
      <c r="C1237" s="13" t="s">
        <v>641</v>
      </c>
      <c r="D1237" s="13" t="s">
        <v>389</v>
      </c>
      <c r="E1237" s="13">
        <v>1</v>
      </c>
      <c r="F1237" s="13" t="s">
        <v>644</v>
      </c>
      <c r="G1237" s="13" t="s">
        <v>641</v>
      </c>
      <c r="H1237" s="13" t="s">
        <v>641</v>
      </c>
    </row>
    <row r="1238" spans="1:8">
      <c r="A1238" s="13" t="s">
        <v>3180</v>
      </c>
      <c r="B1238" s="13">
        <v>4504174</v>
      </c>
      <c r="C1238" s="13" t="s">
        <v>641</v>
      </c>
      <c r="D1238" s="13" t="s">
        <v>1395</v>
      </c>
      <c r="E1238" s="13">
        <v>1</v>
      </c>
      <c r="F1238" s="13" t="s">
        <v>640</v>
      </c>
      <c r="G1238" s="13" t="s">
        <v>641</v>
      </c>
      <c r="H1238" s="13" t="s">
        <v>641</v>
      </c>
    </row>
    <row r="1239" spans="1:8">
      <c r="A1239" s="13" t="s">
        <v>3180</v>
      </c>
      <c r="B1239" s="13">
        <v>4504355</v>
      </c>
      <c r="C1239" s="13" t="s">
        <v>641</v>
      </c>
      <c r="D1239" s="13" t="s">
        <v>1396</v>
      </c>
      <c r="E1239" s="13">
        <v>1</v>
      </c>
      <c r="F1239" s="13" t="s">
        <v>640</v>
      </c>
      <c r="G1239" s="13" t="s">
        <v>641</v>
      </c>
      <c r="H1239" s="13" t="s">
        <v>641</v>
      </c>
    </row>
    <row r="1240" spans="1:8">
      <c r="A1240" s="13" t="s">
        <v>3180</v>
      </c>
      <c r="B1240" s="13">
        <v>4504376</v>
      </c>
      <c r="C1240" s="13" t="s">
        <v>641</v>
      </c>
      <c r="D1240" s="13" t="s">
        <v>3579</v>
      </c>
      <c r="E1240" s="13">
        <v>1</v>
      </c>
      <c r="F1240" s="13" t="s">
        <v>642</v>
      </c>
      <c r="G1240" s="13" t="s">
        <v>3580</v>
      </c>
      <c r="H1240" s="13" t="s">
        <v>641</v>
      </c>
    </row>
    <row r="1241" spans="1:8">
      <c r="A1241" s="13" t="s">
        <v>3180</v>
      </c>
      <c r="B1241" s="13">
        <v>4504515</v>
      </c>
      <c r="C1241" s="13" t="s">
        <v>641</v>
      </c>
      <c r="D1241" s="13" t="s">
        <v>1397</v>
      </c>
      <c r="E1241" s="13">
        <v>1</v>
      </c>
      <c r="F1241" s="13" t="s">
        <v>640</v>
      </c>
      <c r="G1241" s="13" t="s">
        <v>641</v>
      </c>
      <c r="H1241" s="13" t="s">
        <v>641</v>
      </c>
    </row>
    <row r="1242" spans="1:8">
      <c r="A1242" s="13" t="s">
        <v>3180</v>
      </c>
      <c r="B1242" s="13">
        <v>4504529</v>
      </c>
      <c r="C1242" s="13" t="s">
        <v>641</v>
      </c>
      <c r="D1242" s="13" t="s">
        <v>3581</v>
      </c>
      <c r="E1242" s="13">
        <v>1</v>
      </c>
      <c r="F1242" s="13" t="s">
        <v>640</v>
      </c>
      <c r="G1242" s="13" t="s">
        <v>3582</v>
      </c>
      <c r="H1242" s="13" t="s">
        <v>641</v>
      </c>
    </row>
    <row r="1243" spans="1:8">
      <c r="A1243" s="13" t="s">
        <v>3180</v>
      </c>
      <c r="B1243" s="13">
        <v>4504673</v>
      </c>
      <c r="C1243" s="13" t="s">
        <v>641</v>
      </c>
      <c r="D1243" s="13" t="s">
        <v>521</v>
      </c>
      <c r="E1243" s="13">
        <v>1</v>
      </c>
      <c r="F1243" s="13" t="s">
        <v>642</v>
      </c>
      <c r="G1243" s="13" t="s">
        <v>641</v>
      </c>
      <c r="H1243" s="13" t="s">
        <v>641</v>
      </c>
    </row>
    <row r="1244" spans="1:8">
      <c r="A1244" s="13" t="s">
        <v>3180</v>
      </c>
      <c r="B1244" s="13">
        <v>4504794</v>
      </c>
      <c r="C1244" s="13" t="s">
        <v>641</v>
      </c>
      <c r="D1244" s="13" t="s">
        <v>552</v>
      </c>
      <c r="E1244" s="13">
        <v>1</v>
      </c>
      <c r="F1244" s="13" t="s">
        <v>656</v>
      </c>
      <c r="G1244" s="13" t="s">
        <v>641</v>
      </c>
      <c r="H1244" s="13" t="s">
        <v>641</v>
      </c>
    </row>
    <row r="1245" spans="1:8">
      <c r="A1245" s="13" t="s">
        <v>3180</v>
      </c>
      <c r="B1245" s="13">
        <v>4504795</v>
      </c>
      <c r="C1245" s="13" t="s">
        <v>641</v>
      </c>
      <c r="D1245" s="13" t="s">
        <v>1398</v>
      </c>
      <c r="E1245" s="13">
        <v>1</v>
      </c>
      <c r="F1245" s="13" t="s">
        <v>640</v>
      </c>
      <c r="G1245" s="13" t="s">
        <v>641</v>
      </c>
      <c r="H1245" s="13" t="s">
        <v>641</v>
      </c>
    </row>
    <row r="1246" spans="1:8">
      <c r="A1246" s="13" t="s">
        <v>3180</v>
      </c>
      <c r="B1246" s="13">
        <v>4504796</v>
      </c>
      <c r="C1246" s="13" t="s">
        <v>641</v>
      </c>
      <c r="D1246" s="13" t="s">
        <v>474</v>
      </c>
      <c r="E1246" s="13">
        <v>2</v>
      </c>
      <c r="F1246" s="13" t="s">
        <v>654</v>
      </c>
      <c r="G1246" s="13" t="s">
        <v>641</v>
      </c>
      <c r="H1246" s="13" t="s">
        <v>641</v>
      </c>
    </row>
    <row r="1247" spans="1:8">
      <c r="A1247" s="13" t="s">
        <v>3180</v>
      </c>
      <c r="B1247" s="13">
        <v>4504813</v>
      </c>
      <c r="C1247" s="13" t="s">
        <v>641</v>
      </c>
      <c r="D1247" s="13" t="s">
        <v>1399</v>
      </c>
      <c r="E1247" s="13">
        <v>2</v>
      </c>
      <c r="F1247" s="13" t="s">
        <v>671</v>
      </c>
      <c r="G1247" s="13" t="s">
        <v>672</v>
      </c>
      <c r="H1247" s="13" t="s">
        <v>641</v>
      </c>
    </row>
    <row r="1248" spans="1:8">
      <c r="A1248" s="13" t="s">
        <v>3180</v>
      </c>
      <c r="B1248" s="13">
        <v>4504814</v>
      </c>
      <c r="C1248" s="13" t="s">
        <v>641</v>
      </c>
      <c r="D1248" s="13" t="s">
        <v>1400</v>
      </c>
      <c r="E1248" s="13">
        <v>2</v>
      </c>
      <c r="F1248" s="13" t="s">
        <v>671</v>
      </c>
      <c r="G1248" s="13" t="s">
        <v>678</v>
      </c>
      <c r="H1248" s="13" t="s">
        <v>641</v>
      </c>
    </row>
    <row r="1249" spans="1:8">
      <c r="A1249" s="13" t="s">
        <v>3180</v>
      </c>
      <c r="B1249" s="13">
        <v>4504815</v>
      </c>
      <c r="C1249" s="13" t="s">
        <v>641</v>
      </c>
      <c r="D1249" s="13" t="s">
        <v>1401</v>
      </c>
      <c r="E1249" s="13">
        <v>2</v>
      </c>
      <c r="F1249" s="13" t="s">
        <v>671</v>
      </c>
      <c r="G1249" s="13" t="s">
        <v>677</v>
      </c>
      <c r="H1249" s="13" t="s">
        <v>641</v>
      </c>
    </row>
    <row r="1250" spans="1:8">
      <c r="A1250" s="13" t="s">
        <v>3180</v>
      </c>
      <c r="B1250" s="13">
        <v>4504845</v>
      </c>
      <c r="C1250" s="13" t="s">
        <v>641</v>
      </c>
      <c r="D1250" s="13" t="s">
        <v>703</v>
      </c>
      <c r="E1250" s="13">
        <v>2</v>
      </c>
      <c r="F1250" s="13" t="s">
        <v>654</v>
      </c>
      <c r="G1250" s="13" t="s">
        <v>641</v>
      </c>
      <c r="H1250" s="13" t="s">
        <v>641</v>
      </c>
    </row>
    <row r="1251" spans="1:8">
      <c r="A1251" s="13" t="s">
        <v>3180</v>
      </c>
      <c r="B1251" s="13">
        <v>4504846</v>
      </c>
      <c r="C1251" s="13" t="s">
        <v>641</v>
      </c>
      <c r="D1251" s="13" t="s">
        <v>595</v>
      </c>
      <c r="E1251" s="13">
        <v>2</v>
      </c>
      <c r="F1251" s="13" t="s">
        <v>649</v>
      </c>
      <c r="G1251" s="13" t="s">
        <v>641</v>
      </c>
      <c r="H1251" s="13" t="s">
        <v>641</v>
      </c>
    </row>
    <row r="1252" spans="1:8">
      <c r="A1252" s="13" t="s">
        <v>3180</v>
      </c>
      <c r="B1252" s="13">
        <v>4504865</v>
      </c>
      <c r="C1252" s="13" t="s">
        <v>641</v>
      </c>
      <c r="D1252" s="13" t="s">
        <v>1402</v>
      </c>
      <c r="E1252" s="13">
        <v>1</v>
      </c>
      <c r="F1252" s="13" t="s">
        <v>642</v>
      </c>
      <c r="G1252" s="13" t="s">
        <v>641</v>
      </c>
      <c r="H1252" s="13" t="s">
        <v>641</v>
      </c>
    </row>
    <row r="1253" spans="1:8">
      <c r="A1253" s="13" t="s">
        <v>3180</v>
      </c>
      <c r="B1253" s="13">
        <v>4504874</v>
      </c>
      <c r="C1253" s="13" t="s">
        <v>641</v>
      </c>
      <c r="D1253" s="13" t="s">
        <v>704</v>
      </c>
      <c r="E1253" s="13">
        <v>1</v>
      </c>
      <c r="F1253" s="13" t="s">
        <v>640</v>
      </c>
      <c r="G1253" s="13" t="s">
        <v>641</v>
      </c>
      <c r="H1253" s="13" t="s">
        <v>641</v>
      </c>
    </row>
    <row r="1254" spans="1:8">
      <c r="A1254" s="13" t="s">
        <v>3180</v>
      </c>
      <c r="B1254" s="13">
        <v>4504879</v>
      </c>
      <c r="C1254" s="13" t="s">
        <v>641</v>
      </c>
      <c r="D1254" s="13" t="s">
        <v>1403</v>
      </c>
      <c r="E1254" s="13">
        <v>1</v>
      </c>
      <c r="F1254" s="13" t="s">
        <v>644</v>
      </c>
      <c r="G1254" s="13" t="s">
        <v>641</v>
      </c>
      <c r="H1254" s="13" t="s">
        <v>641</v>
      </c>
    </row>
    <row r="1255" spans="1:8">
      <c r="A1255" s="13" t="s">
        <v>3180</v>
      </c>
      <c r="B1255" s="13">
        <v>4504962</v>
      </c>
      <c r="C1255" s="13" t="s">
        <v>641</v>
      </c>
      <c r="D1255" s="13" t="s">
        <v>3583</v>
      </c>
      <c r="E1255" s="13">
        <v>1</v>
      </c>
      <c r="F1255" s="13" t="s">
        <v>656</v>
      </c>
      <c r="G1255" s="13" t="s">
        <v>641</v>
      </c>
      <c r="H1255" s="13" t="s">
        <v>641</v>
      </c>
    </row>
    <row r="1256" spans="1:8">
      <c r="A1256" s="13" t="s">
        <v>3180</v>
      </c>
      <c r="B1256" s="13">
        <v>4505163</v>
      </c>
      <c r="C1256" s="13" t="s">
        <v>641</v>
      </c>
      <c r="D1256" s="13" t="s">
        <v>117</v>
      </c>
      <c r="E1256" s="13">
        <v>1</v>
      </c>
      <c r="F1256" s="13" t="s">
        <v>644</v>
      </c>
      <c r="G1256" s="13" t="s">
        <v>641</v>
      </c>
      <c r="H1256" s="13" t="s">
        <v>641</v>
      </c>
    </row>
    <row r="1257" spans="1:8">
      <c r="A1257" s="13" t="s">
        <v>3180</v>
      </c>
      <c r="B1257" s="13">
        <v>4505354</v>
      </c>
      <c r="C1257" s="13" t="s">
        <v>641</v>
      </c>
      <c r="D1257" s="13" t="s">
        <v>3584</v>
      </c>
      <c r="E1257" s="13">
        <v>1</v>
      </c>
      <c r="F1257" s="13" t="s">
        <v>640</v>
      </c>
      <c r="G1257" s="13" t="s">
        <v>3186</v>
      </c>
      <c r="H1257" s="13" t="s">
        <v>3187</v>
      </c>
    </row>
    <row r="1258" spans="1:8">
      <c r="A1258" s="13" t="s">
        <v>3180</v>
      </c>
      <c r="B1258" s="13">
        <v>4505392</v>
      </c>
      <c r="C1258" s="13" t="s">
        <v>641</v>
      </c>
      <c r="D1258" s="13" t="s">
        <v>1404</v>
      </c>
      <c r="E1258" s="13">
        <v>2</v>
      </c>
      <c r="F1258" s="13" t="s">
        <v>671</v>
      </c>
      <c r="G1258" s="13" t="s">
        <v>678</v>
      </c>
      <c r="H1258" s="13" t="s">
        <v>641</v>
      </c>
    </row>
    <row r="1259" spans="1:8">
      <c r="A1259" s="13" t="s">
        <v>3180</v>
      </c>
      <c r="B1259" s="13">
        <v>4505395</v>
      </c>
      <c r="C1259" s="13" t="s">
        <v>641</v>
      </c>
      <c r="D1259" s="13" t="s">
        <v>354</v>
      </c>
      <c r="E1259" s="13">
        <v>2</v>
      </c>
      <c r="F1259" s="13" t="s">
        <v>671</v>
      </c>
      <c r="G1259" s="13" t="s">
        <v>677</v>
      </c>
      <c r="H1259" s="13" t="s">
        <v>641</v>
      </c>
    </row>
    <row r="1260" spans="1:8">
      <c r="A1260" s="13" t="s">
        <v>3180</v>
      </c>
      <c r="B1260" s="13">
        <v>4505396</v>
      </c>
      <c r="C1260" s="13" t="s">
        <v>641</v>
      </c>
      <c r="D1260" s="13" t="s">
        <v>355</v>
      </c>
      <c r="E1260" s="13">
        <v>2</v>
      </c>
      <c r="F1260" s="13" t="s">
        <v>671</v>
      </c>
      <c r="G1260" s="13" t="s">
        <v>677</v>
      </c>
      <c r="H1260" s="13" t="s">
        <v>641</v>
      </c>
    </row>
    <row r="1261" spans="1:8">
      <c r="A1261" s="13" t="s">
        <v>3180</v>
      </c>
      <c r="B1261" s="13">
        <v>4505397</v>
      </c>
      <c r="C1261" s="13" t="s">
        <v>641</v>
      </c>
      <c r="D1261" s="13" t="s">
        <v>154</v>
      </c>
      <c r="E1261" s="13">
        <v>2</v>
      </c>
      <c r="F1261" s="13" t="s">
        <v>671</v>
      </c>
      <c r="G1261" s="13" t="s">
        <v>677</v>
      </c>
      <c r="H1261" s="13" t="s">
        <v>641</v>
      </c>
    </row>
    <row r="1262" spans="1:8">
      <c r="A1262" s="13" t="s">
        <v>3180</v>
      </c>
      <c r="B1262" s="13">
        <v>4505398</v>
      </c>
      <c r="C1262" s="13" t="s">
        <v>641</v>
      </c>
      <c r="D1262" s="13" t="s">
        <v>217</v>
      </c>
      <c r="E1262" s="13">
        <v>2</v>
      </c>
      <c r="F1262" s="13" t="s">
        <v>671</v>
      </c>
      <c r="G1262" s="13" t="s">
        <v>677</v>
      </c>
      <c r="H1262" s="13" t="s">
        <v>641</v>
      </c>
    </row>
    <row r="1263" spans="1:8">
      <c r="A1263" s="13" t="s">
        <v>3180</v>
      </c>
      <c r="B1263" s="13">
        <v>4505399</v>
      </c>
      <c r="C1263" s="13" t="s">
        <v>641</v>
      </c>
      <c r="D1263" s="13" t="s">
        <v>1405</v>
      </c>
      <c r="E1263" s="13">
        <v>2</v>
      </c>
      <c r="F1263" s="13" t="s">
        <v>671</v>
      </c>
      <c r="G1263" s="13" t="s">
        <v>672</v>
      </c>
      <c r="H1263" s="13" t="s">
        <v>641</v>
      </c>
    </row>
    <row r="1264" spans="1:8">
      <c r="A1264" s="13" t="s">
        <v>3180</v>
      </c>
      <c r="B1264" s="13">
        <v>4505469</v>
      </c>
      <c r="C1264" s="13" t="s">
        <v>641</v>
      </c>
      <c r="D1264" s="13" t="s">
        <v>1406</v>
      </c>
      <c r="E1264" s="13">
        <v>2</v>
      </c>
      <c r="F1264" s="13" t="s">
        <v>671</v>
      </c>
      <c r="G1264" s="13" t="s">
        <v>678</v>
      </c>
      <c r="H1264" s="13" t="s">
        <v>641</v>
      </c>
    </row>
    <row r="1265" spans="1:8">
      <c r="A1265" s="13" t="s">
        <v>3180</v>
      </c>
      <c r="B1265" s="13">
        <v>4505486</v>
      </c>
      <c r="C1265" s="13" t="s">
        <v>641</v>
      </c>
      <c r="D1265" s="13" t="s">
        <v>3585</v>
      </c>
      <c r="E1265" s="13">
        <v>1</v>
      </c>
      <c r="F1265" s="13" t="s">
        <v>640</v>
      </c>
      <c r="G1265" s="13" t="s">
        <v>3186</v>
      </c>
      <c r="H1265" s="13" t="s">
        <v>3187</v>
      </c>
    </row>
    <row r="1266" spans="1:8">
      <c r="A1266" s="13" t="s">
        <v>3180</v>
      </c>
      <c r="B1266" s="13">
        <v>4505678</v>
      </c>
      <c r="C1266" s="13" t="s">
        <v>641</v>
      </c>
      <c r="D1266" s="13" t="s">
        <v>1409</v>
      </c>
      <c r="E1266" s="13">
        <v>1</v>
      </c>
      <c r="F1266" s="13" t="s">
        <v>640</v>
      </c>
      <c r="G1266" s="13" t="s">
        <v>641</v>
      </c>
      <c r="H1266" s="13" t="s">
        <v>641</v>
      </c>
    </row>
    <row r="1267" spans="1:8">
      <c r="A1267" s="13" t="s">
        <v>3180</v>
      </c>
      <c r="B1267" s="13">
        <v>4505862</v>
      </c>
      <c r="C1267" s="13" t="s">
        <v>641</v>
      </c>
      <c r="D1267" s="13" t="s">
        <v>1410</v>
      </c>
      <c r="E1267" s="13">
        <v>1</v>
      </c>
      <c r="F1267" s="13" t="s">
        <v>646</v>
      </c>
      <c r="G1267" s="13" t="s">
        <v>641</v>
      </c>
      <c r="H1267" s="13" t="s">
        <v>641</v>
      </c>
    </row>
    <row r="1268" spans="1:8">
      <c r="A1268" s="13" t="s">
        <v>3180</v>
      </c>
      <c r="B1268" s="13">
        <v>4505863</v>
      </c>
      <c r="C1268" s="13" t="s">
        <v>641</v>
      </c>
      <c r="D1268" s="13" t="s">
        <v>1411</v>
      </c>
      <c r="E1268" s="13">
        <v>1</v>
      </c>
      <c r="F1268" s="13" t="s">
        <v>646</v>
      </c>
      <c r="G1268" s="13" t="s">
        <v>641</v>
      </c>
      <c r="H1268" s="13" t="s">
        <v>641</v>
      </c>
    </row>
    <row r="1269" spans="1:8">
      <c r="A1269" s="13" t="s">
        <v>3180</v>
      </c>
      <c r="B1269" s="13">
        <v>4505864</v>
      </c>
      <c r="C1269" s="13" t="s">
        <v>641</v>
      </c>
      <c r="D1269" s="13" t="s">
        <v>132</v>
      </c>
      <c r="E1269" s="13">
        <v>2</v>
      </c>
      <c r="F1269" s="13" t="s">
        <v>671</v>
      </c>
      <c r="G1269" s="13" t="s">
        <v>677</v>
      </c>
      <c r="H1269" s="13" t="s">
        <v>641</v>
      </c>
    </row>
    <row r="1270" spans="1:8">
      <c r="A1270" s="13" t="s">
        <v>3180</v>
      </c>
      <c r="B1270" s="13">
        <v>4505865</v>
      </c>
      <c r="C1270" s="13" t="s">
        <v>641</v>
      </c>
      <c r="D1270" s="13" t="s">
        <v>165</v>
      </c>
      <c r="E1270" s="13">
        <v>2</v>
      </c>
      <c r="F1270" s="13" t="s">
        <v>671</v>
      </c>
      <c r="G1270" s="13" t="s">
        <v>677</v>
      </c>
      <c r="H1270" s="13" t="s">
        <v>641</v>
      </c>
    </row>
    <row r="1271" spans="1:8">
      <c r="A1271" s="13" t="s">
        <v>3180</v>
      </c>
      <c r="B1271" s="13">
        <v>4505866</v>
      </c>
      <c r="C1271" s="13" t="s">
        <v>641</v>
      </c>
      <c r="D1271" s="13" t="s">
        <v>1412</v>
      </c>
      <c r="E1271" s="13">
        <v>2</v>
      </c>
      <c r="F1271" s="13" t="s">
        <v>671</v>
      </c>
      <c r="G1271" s="13" t="s">
        <v>677</v>
      </c>
      <c r="H1271" s="13" t="s">
        <v>641</v>
      </c>
    </row>
    <row r="1272" spans="1:8">
      <c r="A1272" s="13" t="s">
        <v>3180</v>
      </c>
      <c r="B1272" s="13">
        <v>4505867</v>
      </c>
      <c r="C1272" s="13" t="s">
        <v>641</v>
      </c>
      <c r="D1272" s="13" t="s">
        <v>1413</v>
      </c>
      <c r="E1272" s="13">
        <v>2</v>
      </c>
      <c r="F1272" s="13" t="s">
        <v>671</v>
      </c>
      <c r="G1272" s="13" t="s">
        <v>678</v>
      </c>
      <c r="H1272" s="13" t="s">
        <v>641</v>
      </c>
    </row>
    <row r="1273" spans="1:8">
      <c r="A1273" s="13" t="s">
        <v>3180</v>
      </c>
      <c r="B1273" s="13">
        <v>4505868</v>
      </c>
      <c r="C1273" s="13" t="s">
        <v>641</v>
      </c>
      <c r="D1273" s="13" t="s">
        <v>1414</v>
      </c>
      <c r="E1273" s="13">
        <v>2</v>
      </c>
      <c r="F1273" s="13" t="s">
        <v>671</v>
      </c>
      <c r="G1273" s="13" t="s">
        <v>672</v>
      </c>
      <c r="H1273" s="13" t="s">
        <v>641</v>
      </c>
    </row>
    <row r="1274" spans="1:8">
      <c r="A1274" s="13" t="s">
        <v>3180</v>
      </c>
      <c r="B1274" s="13">
        <v>4505883</v>
      </c>
      <c r="C1274" s="13" t="s">
        <v>641</v>
      </c>
      <c r="D1274" s="13" t="s">
        <v>1415</v>
      </c>
      <c r="E1274" s="13">
        <v>2</v>
      </c>
      <c r="F1274" s="13" t="s">
        <v>671</v>
      </c>
      <c r="G1274" s="13" t="s">
        <v>672</v>
      </c>
      <c r="H1274" s="13" t="s">
        <v>641</v>
      </c>
    </row>
    <row r="1275" spans="1:8">
      <c r="A1275" s="13" t="s">
        <v>3180</v>
      </c>
      <c r="B1275" s="13">
        <v>4505920</v>
      </c>
      <c r="C1275" s="13" t="s">
        <v>641</v>
      </c>
      <c r="D1275" s="13" t="s">
        <v>425</v>
      </c>
      <c r="E1275" s="13">
        <v>1</v>
      </c>
      <c r="F1275" s="13" t="s">
        <v>640</v>
      </c>
      <c r="G1275" s="13" t="s">
        <v>641</v>
      </c>
      <c r="H1275" s="13" t="s">
        <v>641</v>
      </c>
    </row>
    <row r="1276" spans="1:8">
      <c r="A1276" s="13" t="s">
        <v>3180</v>
      </c>
      <c r="B1276" s="13">
        <v>4505987</v>
      </c>
      <c r="C1276" s="13" t="s">
        <v>641</v>
      </c>
      <c r="D1276" s="13" t="s">
        <v>1416</v>
      </c>
      <c r="E1276" s="13">
        <v>1</v>
      </c>
      <c r="F1276" s="13" t="s">
        <v>640</v>
      </c>
      <c r="G1276" s="13" t="s">
        <v>641</v>
      </c>
      <c r="H1276" s="13" t="s">
        <v>641</v>
      </c>
    </row>
    <row r="1277" spans="1:8">
      <c r="A1277" s="13" t="s">
        <v>3180</v>
      </c>
      <c r="B1277" s="13">
        <v>4505988</v>
      </c>
      <c r="C1277" s="13" t="s">
        <v>641</v>
      </c>
      <c r="D1277" s="13" t="s">
        <v>1417</v>
      </c>
      <c r="E1277" s="13">
        <v>1</v>
      </c>
      <c r="F1277" s="13" t="s">
        <v>640</v>
      </c>
      <c r="G1277" s="13" t="s">
        <v>641</v>
      </c>
      <c r="H1277" s="13" t="s">
        <v>641</v>
      </c>
    </row>
    <row r="1278" spans="1:8">
      <c r="A1278" s="13" t="s">
        <v>3180</v>
      </c>
      <c r="B1278" s="13">
        <v>4505989</v>
      </c>
      <c r="C1278" s="13" t="s">
        <v>641</v>
      </c>
      <c r="D1278" s="13" t="s">
        <v>1418</v>
      </c>
      <c r="E1278" s="13">
        <v>2</v>
      </c>
      <c r="F1278" s="13" t="s">
        <v>671</v>
      </c>
      <c r="G1278" s="13" t="s">
        <v>677</v>
      </c>
      <c r="H1278" s="13" t="s">
        <v>641</v>
      </c>
    </row>
    <row r="1279" spans="1:8">
      <c r="A1279" s="13" t="s">
        <v>3180</v>
      </c>
      <c r="B1279" s="13">
        <v>4505990</v>
      </c>
      <c r="C1279" s="13" t="s">
        <v>641</v>
      </c>
      <c r="D1279" s="13" t="s">
        <v>1419</v>
      </c>
      <c r="E1279" s="13">
        <v>2</v>
      </c>
      <c r="F1279" s="13" t="s">
        <v>671</v>
      </c>
      <c r="G1279" s="13" t="s">
        <v>677</v>
      </c>
      <c r="H1279" s="13" t="s">
        <v>641</v>
      </c>
    </row>
    <row r="1280" spans="1:8">
      <c r="A1280" s="13" t="s">
        <v>3180</v>
      </c>
      <c r="B1280" s="13">
        <v>4505991</v>
      </c>
      <c r="C1280" s="13" t="s">
        <v>641</v>
      </c>
      <c r="D1280" s="13" t="s">
        <v>1420</v>
      </c>
      <c r="E1280" s="13">
        <v>2</v>
      </c>
      <c r="F1280" s="13" t="s">
        <v>671</v>
      </c>
      <c r="G1280" s="13" t="s">
        <v>677</v>
      </c>
      <c r="H1280" s="13" t="s">
        <v>641</v>
      </c>
    </row>
    <row r="1281" spans="1:8">
      <c r="A1281" s="13" t="s">
        <v>3180</v>
      </c>
      <c r="B1281" s="13">
        <v>4505992</v>
      </c>
      <c r="C1281" s="13" t="s">
        <v>641</v>
      </c>
      <c r="D1281" s="13" t="s">
        <v>179</v>
      </c>
      <c r="E1281" s="13">
        <v>1</v>
      </c>
      <c r="F1281" s="13" t="s">
        <v>646</v>
      </c>
      <c r="G1281" s="13" t="s">
        <v>641</v>
      </c>
      <c r="H1281" s="13" t="s">
        <v>641</v>
      </c>
    </row>
    <row r="1282" spans="1:8">
      <c r="A1282" s="13" t="s">
        <v>3180</v>
      </c>
      <c r="B1282" s="13">
        <v>4506012</v>
      </c>
      <c r="C1282" s="13" t="s">
        <v>641</v>
      </c>
      <c r="D1282" s="13" t="s">
        <v>1421</v>
      </c>
      <c r="E1282" s="13">
        <v>2</v>
      </c>
      <c r="F1282" s="13" t="s">
        <v>671</v>
      </c>
      <c r="G1282" s="13" t="s">
        <v>678</v>
      </c>
      <c r="H1282" s="13" t="s">
        <v>641</v>
      </c>
    </row>
    <row r="1283" spans="1:8">
      <c r="A1283" s="13" t="s">
        <v>3180</v>
      </c>
      <c r="B1283" s="13">
        <v>4506099</v>
      </c>
      <c r="C1283" s="13" t="s">
        <v>641</v>
      </c>
      <c r="D1283" s="13" t="s">
        <v>3586</v>
      </c>
      <c r="E1283" s="13">
        <v>1</v>
      </c>
      <c r="F1283" s="13" t="s">
        <v>638</v>
      </c>
      <c r="G1283" s="13" t="s">
        <v>641</v>
      </c>
      <c r="H1283" s="13" t="s">
        <v>735</v>
      </c>
    </row>
    <row r="1284" spans="1:8">
      <c r="A1284" s="13" t="s">
        <v>3180</v>
      </c>
      <c r="B1284" s="13">
        <v>4506191</v>
      </c>
      <c r="C1284" s="13" t="s">
        <v>641</v>
      </c>
      <c r="D1284" s="13" t="s">
        <v>3587</v>
      </c>
      <c r="E1284" s="13">
        <v>1</v>
      </c>
      <c r="F1284" s="13" t="s">
        <v>640</v>
      </c>
      <c r="G1284" s="13" t="s">
        <v>641</v>
      </c>
      <c r="H1284" s="13" t="s">
        <v>641</v>
      </c>
    </row>
    <row r="1285" spans="1:8">
      <c r="A1285" s="13" t="s">
        <v>3180</v>
      </c>
      <c r="B1285" s="13">
        <v>4506356</v>
      </c>
      <c r="C1285" s="13" t="s">
        <v>641</v>
      </c>
      <c r="D1285" s="13" t="s">
        <v>485</v>
      </c>
      <c r="E1285" s="13">
        <v>1</v>
      </c>
      <c r="F1285" s="13" t="s">
        <v>656</v>
      </c>
      <c r="G1285" s="13" t="s">
        <v>641</v>
      </c>
      <c r="H1285" s="13" t="s">
        <v>641</v>
      </c>
    </row>
    <row r="1286" spans="1:8">
      <c r="A1286" s="13" t="s">
        <v>3180</v>
      </c>
      <c r="B1286" s="13">
        <v>4506357</v>
      </c>
      <c r="C1286" s="13" t="s">
        <v>641</v>
      </c>
      <c r="D1286" s="13" t="s">
        <v>1422</v>
      </c>
      <c r="E1286" s="13">
        <v>1</v>
      </c>
      <c r="F1286" s="13" t="s">
        <v>642</v>
      </c>
      <c r="G1286" s="13" t="s">
        <v>641</v>
      </c>
      <c r="H1286" s="13" t="s">
        <v>641</v>
      </c>
    </row>
    <row r="1287" spans="1:8">
      <c r="A1287" s="13" t="s">
        <v>3180</v>
      </c>
      <c r="B1287" s="13">
        <v>4506457</v>
      </c>
      <c r="C1287" s="13" t="s">
        <v>641</v>
      </c>
      <c r="D1287" s="13" t="s">
        <v>1423</v>
      </c>
      <c r="E1287" s="13">
        <v>1</v>
      </c>
      <c r="F1287" s="13" t="s">
        <v>638</v>
      </c>
      <c r="G1287" s="13" t="s">
        <v>641</v>
      </c>
      <c r="H1287" s="13" t="s">
        <v>641</v>
      </c>
    </row>
    <row r="1288" spans="1:8">
      <c r="A1288" s="13" t="s">
        <v>3180</v>
      </c>
      <c r="B1288" s="13">
        <v>4506458</v>
      </c>
      <c r="C1288" s="13" t="s">
        <v>641</v>
      </c>
      <c r="D1288" s="13" t="s">
        <v>1424</v>
      </c>
      <c r="E1288" s="13">
        <v>1</v>
      </c>
      <c r="F1288" s="13" t="s">
        <v>638</v>
      </c>
      <c r="G1288" s="13" t="s">
        <v>641</v>
      </c>
      <c r="H1288" s="13" t="s">
        <v>641</v>
      </c>
    </row>
    <row r="1289" spans="1:8">
      <c r="A1289" s="13" t="s">
        <v>3180</v>
      </c>
      <c r="B1289" s="13">
        <v>4506459</v>
      </c>
      <c r="C1289" s="13" t="s">
        <v>641</v>
      </c>
      <c r="D1289" s="13" t="s">
        <v>1425</v>
      </c>
      <c r="E1289" s="13">
        <v>2</v>
      </c>
      <c r="F1289" s="13" t="s">
        <v>671</v>
      </c>
      <c r="G1289" s="13" t="s">
        <v>677</v>
      </c>
      <c r="H1289" s="13" t="s">
        <v>641</v>
      </c>
    </row>
    <row r="1290" spans="1:8">
      <c r="A1290" s="13" t="s">
        <v>3180</v>
      </c>
      <c r="B1290" s="13">
        <v>4506551</v>
      </c>
      <c r="C1290" s="13" t="s">
        <v>641</v>
      </c>
      <c r="D1290" s="13" t="s">
        <v>3588</v>
      </c>
      <c r="E1290" s="13">
        <v>2</v>
      </c>
      <c r="F1290" s="13" t="s">
        <v>671</v>
      </c>
      <c r="G1290" s="13" t="s">
        <v>678</v>
      </c>
      <c r="H1290" s="13" t="s">
        <v>641</v>
      </c>
    </row>
    <row r="1291" spans="1:8">
      <c r="A1291" s="13" t="s">
        <v>3180</v>
      </c>
      <c r="B1291" s="13">
        <v>4506552</v>
      </c>
      <c r="C1291" s="13" t="s">
        <v>641</v>
      </c>
      <c r="D1291" s="13" t="s">
        <v>3589</v>
      </c>
      <c r="E1291" s="13">
        <v>2</v>
      </c>
      <c r="F1291" s="13" t="s">
        <v>671</v>
      </c>
      <c r="G1291" s="13" t="s">
        <v>677</v>
      </c>
      <c r="H1291" s="13" t="s">
        <v>641</v>
      </c>
    </row>
    <row r="1292" spans="1:8">
      <c r="A1292" s="13" t="s">
        <v>3180</v>
      </c>
      <c r="B1292" s="13">
        <v>4506553</v>
      </c>
      <c r="C1292" s="13" t="s">
        <v>641</v>
      </c>
      <c r="D1292" s="13" t="s">
        <v>3590</v>
      </c>
      <c r="E1292" s="13">
        <v>2</v>
      </c>
      <c r="F1292" s="13" t="s">
        <v>671</v>
      </c>
      <c r="G1292" s="13" t="s">
        <v>677</v>
      </c>
      <c r="H1292" s="13" t="s">
        <v>641</v>
      </c>
    </row>
    <row r="1293" spans="1:8">
      <c r="A1293" s="13" t="s">
        <v>3180</v>
      </c>
      <c r="B1293" s="13">
        <v>4506554</v>
      </c>
      <c r="C1293" s="13" t="s">
        <v>641</v>
      </c>
      <c r="D1293" s="13" t="s">
        <v>1426</v>
      </c>
      <c r="E1293" s="13">
        <v>2</v>
      </c>
      <c r="F1293" s="13" t="s">
        <v>671</v>
      </c>
      <c r="G1293" s="13" t="s">
        <v>677</v>
      </c>
      <c r="H1293" s="13" t="s">
        <v>641</v>
      </c>
    </row>
    <row r="1294" spans="1:8">
      <c r="A1294" s="13" t="s">
        <v>3180</v>
      </c>
      <c r="B1294" s="13">
        <v>4506555</v>
      </c>
      <c r="C1294" s="13" t="s">
        <v>641</v>
      </c>
      <c r="D1294" s="13" t="s">
        <v>68</v>
      </c>
      <c r="E1294" s="13">
        <v>2</v>
      </c>
      <c r="F1294" s="13" t="s">
        <v>671</v>
      </c>
      <c r="G1294" s="13" t="s">
        <v>677</v>
      </c>
      <c r="H1294" s="13" t="s">
        <v>641</v>
      </c>
    </row>
    <row r="1295" spans="1:8">
      <c r="A1295" s="13" t="s">
        <v>3180</v>
      </c>
      <c r="B1295" s="13">
        <v>4506556</v>
      </c>
      <c r="C1295" s="13" t="s">
        <v>641</v>
      </c>
      <c r="D1295" s="13" t="s">
        <v>3591</v>
      </c>
      <c r="E1295" s="13">
        <v>2</v>
      </c>
      <c r="F1295" s="13" t="s">
        <v>671</v>
      </c>
      <c r="G1295" s="13" t="s">
        <v>678</v>
      </c>
      <c r="H1295" s="13" t="s">
        <v>641</v>
      </c>
    </row>
    <row r="1296" spans="1:8">
      <c r="A1296" s="13" t="s">
        <v>3180</v>
      </c>
      <c r="B1296" s="13">
        <v>4506557</v>
      </c>
      <c r="C1296" s="13" t="s">
        <v>641</v>
      </c>
      <c r="D1296" s="13" t="s">
        <v>3592</v>
      </c>
      <c r="E1296" s="13">
        <v>2</v>
      </c>
      <c r="F1296" s="13" t="s">
        <v>671</v>
      </c>
      <c r="G1296" s="13" t="s">
        <v>678</v>
      </c>
      <c r="H1296" s="13" t="s">
        <v>641</v>
      </c>
    </row>
    <row r="1297" spans="1:8">
      <c r="A1297" s="13" t="s">
        <v>3180</v>
      </c>
      <c r="B1297" s="13">
        <v>4506558</v>
      </c>
      <c r="C1297" s="13" t="s">
        <v>641</v>
      </c>
      <c r="D1297" s="13" t="s">
        <v>3593</v>
      </c>
      <c r="E1297" s="13">
        <v>2</v>
      </c>
      <c r="F1297" s="13" t="s">
        <v>671</v>
      </c>
      <c r="G1297" s="13" t="s">
        <v>677</v>
      </c>
      <c r="H1297" s="13" t="s">
        <v>641</v>
      </c>
    </row>
    <row r="1298" spans="1:8">
      <c r="A1298" s="13" t="s">
        <v>3180</v>
      </c>
      <c r="B1298" s="13">
        <v>4506559</v>
      </c>
      <c r="C1298" s="13" t="s">
        <v>641</v>
      </c>
      <c r="D1298" s="13" t="s">
        <v>3594</v>
      </c>
      <c r="E1298" s="13">
        <v>2</v>
      </c>
      <c r="F1298" s="13" t="s">
        <v>671</v>
      </c>
      <c r="G1298" s="13" t="s">
        <v>677</v>
      </c>
      <c r="H1298" s="13" t="s">
        <v>641</v>
      </c>
    </row>
    <row r="1299" spans="1:8">
      <c r="A1299" s="13" t="s">
        <v>3180</v>
      </c>
      <c r="B1299" s="13">
        <v>4506560</v>
      </c>
      <c r="C1299" s="13" t="s">
        <v>641</v>
      </c>
      <c r="D1299" s="13" t="s">
        <v>3595</v>
      </c>
      <c r="E1299" s="13">
        <v>2</v>
      </c>
      <c r="F1299" s="13" t="s">
        <v>671</v>
      </c>
      <c r="G1299" s="13" t="s">
        <v>677</v>
      </c>
      <c r="H1299" s="13" t="s">
        <v>641</v>
      </c>
    </row>
    <row r="1300" spans="1:8">
      <c r="A1300" s="13" t="s">
        <v>3180</v>
      </c>
      <c r="B1300" s="13">
        <v>4506561</v>
      </c>
      <c r="C1300" s="13" t="s">
        <v>641</v>
      </c>
      <c r="D1300" s="13" t="s">
        <v>3596</v>
      </c>
      <c r="E1300" s="13">
        <v>2</v>
      </c>
      <c r="F1300" s="13" t="s">
        <v>671</v>
      </c>
      <c r="G1300" s="13" t="s">
        <v>677</v>
      </c>
      <c r="H1300" s="13" t="s">
        <v>641</v>
      </c>
    </row>
    <row r="1301" spans="1:8">
      <c r="A1301" s="13" t="s">
        <v>3180</v>
      </c>
      <c r="B1301" s="13">
        <v>4506562</v>
      </c>
      <c r="C1301" s="13" t="s">
        <v>641</v>
      </c>
      <c r="D1301" s="13" t="s">
        <v>3597</v>
      </c>
      <c r="E1301" s="13">
        <v>2</v>
      </c>
      <c r="F1301" s="13" t="s">
        <v>671</v>
      </c>
      <c r="G1301" s="13" t="s">
        <v>677</v>
      </c>
      <c r="H1301" s="13" t="s">
        <v>641</v>
      </c>
    </row>
    <row r="1302" spans="1:8">
      <c r="A1302" s="13" t="s">
        <v>3180</v>
      </c>
      <c r="B1302" s="13">
        <v>4506563</v>
      </c>
      <c r="C1302" s="13" t="s">
        <v>641</v>
      </c>
      <c r="D1302" s="13" t="s">
        <v>3598</v>
      </c>
      <c r="E1302" s="13">
        <v>2</v>
      </c>
      <c r="F1302" s="13" t="s">
        <v>671</v>
      </c>
      <c r="G1302" s="13" t="s">
        <v>676</v>
      </c>
      <c r="H1302" s="13" t="s">
        <v>641</v>
      </c>
    </row>
    <row r="1303" spans="1:8">
      <c r="A1303" s="13" t="s">
        <v>3180</v>
      </c>
      <c r="B1303" s="13">
        <v>4506591</v>
      </c>
      <c r="C1303" s="13" t="s">
        <v>641</v>
      </c>
      <c r="D1303" s="13" t="s">
        <v>3599</v>
      </c>
      <c r="E1303" s="13">
        <v>1</v>
      </c>
      <c r="F1303" s="13" t="s">
        <v>656</v>
      </c>
      <c r="G1303" s="13" t="s">
        <v>641</v>
      </c>
      <c r="H1303" s="13" t="s">
        <v>3298</v>
      </c>
    </row>
    <row r="1304" spans="1:8">
      <c r="A1304" s="13" t="s">
        <v>3180</v>
      </c>
      <c r="B1304" s="13">
        <v>4506631</v>
      </c>
      <c r="C1304" s="13" t="s">
        <v>641</v>
      </c>
      <c r="D1304" s="13" t="s">
        <v>3600</v>
      </c>
      <c r="E1304" s="13">
        <v>2</v>
      </c>
      <c r="F1304" s="13" t="s">
        <v>671</v>
      </c>
      <c r="G1304" s="13" t="s">
        <v>672</v>
      </c>
      <c r="H1304" s="13" t="s">
        <v>641</v>
      </c>
    </row>
    <row r="1305" spans="1:8">
      <c r="A1305" s="13" t="s">
        <v>3180</v>
      </c>
      <c r="B1305" s="13">
        <v>4506632</v>
      </c>
      <c r="C1305" s="13" t="s">
        <v>641</v>
      </c>
      <c r="D1305" s="13" t="s">
        <v>94</v>
      </c>
      <c r="E1305" s="13">
        <v>2</v>
      </c>
      <c r="F1305" s="13" t="s">
        <v>671</v>
      </c>
      <c r="G1305" s="13" t="s">
        <v>672</v>
      </c>
      <c r="H1305" s="13" t="s">
        <v>641</v>
      </c>
    </row>
    <row r="1306" spans="1:8">
      <c r="A1306" s="13" t="s">
        <v>3180</v>
      </c>
      <c r="B1306" s="13">
        <v>4506826</v>
      </c>
      <c r="C1306" s="13" t="s">
        <v>641</v>
      </c>
      <c r="D1306" s="13" t="s">
        <v>1427</v>
      </c>
      <c r="E1306" s="13">
        <v>1</v>
      </c>
      <c r="F1306" s="13" t="s">
        <v>640</v>
      </c>
      <c r="G1306" s="13" t="s">
        <v>3186</v>
      </c>
      <c r="H1306" s="13" t="s">
        <v>641</v>
      </c>
    </row>
    <row r="1307" spans="1:8">
      <c r="A1307" s="13" t="s">
        <v>3180</v>
      </c>
      <c r="B1307" s="13">
        <v>4506827</v>
      </c>
      <c r="C1307" s="13" t="s">
        <v>641</v>
      </c>
      <c r="D1307" s="13" t="s">
        <v>3601</v>
      </c>
      <c r="E1307" s="13">
        <v>2</v>
      </c>
      <c r="F1307" s="13" t="s">
        <v>671</v>
      </c>
      <c r="G1307" s="13" t="s">
        <v>677</v>
      </c>
      <c r="H1307" s="13" t="s">
        <v>641</v>
      </c>
    </row>
    <row r="1308" spans="1:8">
      <c r="A1308" s="13" t="s">
        <v>3180</v>
      </c>
      <c r="B1308" s="13">
        <v>4506948</v>
      </c>
      <c r="C1308" s="13" t="s">
        <v>641</v>
      </c>
      <c r="D1308" s="13" t="s">
        <v>1429</v>
      </c>
      <c r="E1308" s="13">
        <v>1</v>
      </c>
      <c r="F1308" s="13" t="s">
        <v>646</v>
      </c>
      <c r="G1308" s="13" t="s">
        <v>641</v>
      </c>
      <c r="H1308" s="13" t="s">
        <v>641</v>
      </c>
    </row>
    <row r="1309" spans="1:8">
      <c r="A1309" s="13" t="s">
        <v>3180</v>
      </c>
      <c r="B1309" s="13">
        <v>4506949</v>
      </c>
      <c r="C1309" s="13" t="s">
        <v>641</v>
      </c>
      <c r="D1309" s="13" t="s">
        <v>1430</v>
      </c>
      <c r="E1309" s="13">
        <v>1</v>
      </c>
      <c r="F1309" s="13" t="s">
        <v>646</v>
      </c>
      <c r="G1309" s="13" t="s">
        <v>641</v>
      </c>
      <c r="H1309" s="13" t="s">
        <v>641</v>
      </c>
    </row>
    <row r="1310" spans="1:8">
      <c r="A1310" s="13" t="s">
        <v>3180</v>
      </c>
      <c r="B1310" s="13">
        <v>4506950</v>
      </c>
      <c r="C1310" s="13" t="s">
        <v>641</v>
      </c>
      <c r="D1310" s="13" t="s">
        <v>1431</v>
      </c>
      <c r="E1310" s="13">
        <v>1</v>
      </c>
      <c r="F1310" s="13" t="s">
        <v>646</v>
      </c>
      <c r="G1310" s="13" t="s">
        <v>641</v>
      </c>
      <c r="H1310" s="13" t="s">
        <v>641</v>
      </c>
    </row>
    <row r="1311" spans="1:8">
      <c r="A1311" s="13" t="s">
        <v>3180</v>
      </c>
      <c r="B1311" s="13">
        <v>4506951</v>
      </c>
      <c r="C1311" s="13" t="s">
        <v>641</v>
      </c>
      <c r="D1311" s="13" t="s">
        <v>3602</v>
      </c>
      <c r="E1311" s="13">
        <v>2</v>
      </c>
      <c r="F1311" s="13" t="s">
        <v>671</v>
      </c>
      <c r="G1311" s="13" t="s">
        <v>677</v>
      </c>
      <c r="H1311" s="13" t="s">
        <v>641</v>
      </c>
    </row>
    <row r="1312" spans="1:8">
      <c r="A1312" s="13" t="s">
        <v>3180</v>
      </c>
      <c r="B1312" s="13">
        <v>4507030</v>
      </c>
      <c r="C1312" s="13" t="s">
        <v>641</v>
      </c>
      <c r="D1312" s="13" t="s">
        <v>1432</v>
      </c>
      <c r="E1312" s="13">
        <v>1</v>
      </c>
      <c r="F1312" s="13" t="s">
        <v>646</v>
      </c>
      <c r="G1312" s="13" t="s">
        <v>641</v>
      </c>
      <c r="H1312" s="13" t="s">
        <v>641</v>
      </c>
    </row>
    <row r="1313" spans="1:8">
      <c r="A1313" s="13" t="s">
        <v>3180</v>
      </c>
      <c r="B1313" s="13">
        <v>4507035</v>
      </c>
      <c r="C1313" s="13" t="s">
        <v>641</v>
      </c>
      <c r="D1313" s="13" t="s">
        <v>1434</v>
      </c>
      <c r="E1313" s="13">
        <v>1</v>
      </c>
      <c r="F1313" s="13" t="s">
        <v>646</v>
      </c>
      <c r="G1313" s="13" t="s">
        <v>641</v>
      </c>
      <c r="H1313" s="13" t="s">
        <v>641</v>
      </c>
    </row>
    <row r="1314" spans="1:8">
      <c r="A1314" s="13" t="s">
        <v>3180</v>
      </c>
      <c r="B1314" s="13">
        <v>4507213</v>
      </c>
      <c r="C1314" s="13" t="s">
        <v>641</v>
      </c>
      <c r="D1314" s="13" t="s">
        <v>1435</v>
      </c>
      <c r="E1314" s="13">
        <v>1</v>
      </c>
      <c r="F1314" s="13" t="s">
        <v>646</v>
      </c>
      <c r="G1314" s="13" t="s">
        <v>641</v>
      </c>
      <c r="H1314" s="13" t="s">
        <v>641</v>
      </c>
    </row>
    <row r="1315" spans="1:8">
      <c r="A1315" s="13" t="s">
        <v>3180</v>
      </c>
      <c r="B1315" s="13">
        <v>4507214</v>
      </c>
      <c r="C1315" s="13" t="s">
        <v>641</v>
      </c>
      <c r="D1315" s="13" t="s">
        <v>1436</v>
      </c>
      <c r="E1315" s="13">
        <v>1</v>
      </c>
      <c r="F1315" s="13" t="s">
        <v>646</v>
      </c>
      <c r="G1315" s="13" t="s">
        <v>641</v>
      </c>
      <c r="H1315" s="13" t="s">
        <v>641</v>
      </c>
    </row>
    <row r="1316" spans="1:8">
      <c r="A1316" s="13" t="s">
        <v>3180</v>
      </c>
      <c r="B1316" s="13">
        <v>4507215</v>
      </c>
      <c r="C1316" s="13" t="s">
        <v>641</v>
      </c>
      <c r="D1316" s="13" t="s">
        <v>1437</v>
      </c>
      <c r="E1316" s="13">
        <v>1</v>
      </c>
      <c r="F1316" s="13" t="s">
        <v>646</v>
      </c>
      <c r="G1316" s="13" t="s">
        <v>641</v>
      </c>
      <c r="H1316" s="13" t="s">
        <v>641</v>
      </c>
    </row>
    <row r="1317" spans="1:8">
      <c r="A1317" s="13" t="s">
        <v>3180</v>
      </c>
      <c r="B1317" s="13">
        <v>4507216</v>
      </c>
      <c r="C1317" s="13" t="s">
        <v>641</v>
      </c>
      <c r="D1317" s="13" t="s">
        <v>554</v>
      </c>
      <c r="E1317" s="13">
        <v>1</v>
      </c>
      <c r="F1317" s="13" t="s">
        <v>646</v>
      </c>
      <c r="G1317" s="13" t="s">
        <v>641</v>
      </c>
      <c r="H1317" s="13" t="s">
        <v>641</v>
      </c>
    </row>
    <row r="1318" spans="1:8">
      <c r="A1318" s="13" t="s">
        <v>3180</v>
      </c>
      <c r="B1318" s="13">
        <v>4507217</v>
      </c>
      <c r="C1318" s="13" t="s">
        <v>641</v>
      </c>
      <c r="D1318" s="13" t="s">
        <v>1438</v>
      </c>
      <c r="E1318" s="13">
        <v>1</v>
      </c>
      <c r="F1318" s="13" t="s">
        <v>646</v>
      </c>
      <c r="G1318" s="13" t="s">
        <v>641</v>
      </c>
      <c r="H1318" s="13" t="s">
        <v>641</v>
      </c>
    </row>
    <row r="1319" spans="1:8">
      <c r="A1319" s="13" t="s">
        <v>3180</v>
      </c>
      <c r="B1319" s="13">
        <v>4507235</v>
      </c>
      <c r="C1319" s="13" t="s">
        <v>641</v>
      </c>
      <c r="D1319" s="13" t="s">
        <v>3603</v>
      </c>
      <c r="E1319" s="13">
        <v>2</v>
      </c>
      <c r="F1319" s="13" t="s">
        <v>671</v>
      </c>
      <c r="G1319" s="13" t="s">
        <v>677</v>
      </c>
      <c r="H1319" s="13" t="s">
        <v>641</v>
      </c>
    </row>
    <row r="1320" spans="1:8">
      <c r="A1320" s="13" t="s">
        <v>3180</v>
      </c>
      <c r="B1320" s="13">
        <v>4507249</v>
      </c>
      <c r="C1320" s="13" t="s">
        <v>641</v>
      </c>
      <c r="D1320" s="13" t="s">
        <v>3604</v>
      </c>
      <c r="E1320" s="13">
        <v>1</v>
      </c>
      <c r="F1320" s="13" t="s">
        <v>656</v>
      </c>
      <c r="G1320" s="13" t="s">
        <v>641</v>
      </c>
      <c r="H1320" s="13" t="s">
        <v>700</v>
      </c>
    </row>
    <row r="1321" spans="1:8">
      <c r="A1321" s="13" t="s">
        <v>3180</v>
      </c>
      <c r="B1321" s="13">
        <v>4507378</v>
      </c>
      <c r="C1321" s="13" t="s">
        <v>641</v>
      </c>
      <c r="D1321" s="13" t="s">
        <v>1439</v>
      </c>
      <c r="E1321" s="13">
        <v>1</v>
      </c>
      <c r="F1321" s="13" t="s">
        <v>638</v>
      </c>
      <c r="G1321" s="13" t="s">
        <v>641</v>
      </c>
      <c r="H1321" s="13" t="s">
        <v>641</v>
      </c>
    </row>
    <row r="1322" spans="1:8">
      <c r="A1322" s="13" t="s">
        <v>3180</v>
      </c>
      <c r="B1322" s="13">
        <v>4507379</v>
      </c>
      <c r="C1322" s="13" t="s">
        <v>641</v>
      </c>
      <c r="D1322" s="13" t="s">
        <v>1440</v>
      </c>
      <c r="E1322" s="13">
        <v>1</v>
      </c>
      <c r="F1322" s="13" t="s">
        <v>638</v>
      </c>
      <c r="G1322" s="13" t="s">
        <v>641</v>
      </c>
      <c r="H1322" s="13" t="s">
        <v>641</v>
      </c>
    </row>
    <row r="1323" spans="1:8">
      <c r="A1323" s="13" t="s">
        <v>3180</v>
      </c>
      <c r="B1323" s="13">
        <v>4507380</v>
      </c>
      <c r="C1323" s="13" t="s">
        <v>641</v>
      </c>
      <c r="D1323" s="13" t="s">
        <v>1441</v>
      </c>
      <c r="E1323" s="13">
        <v>1</v>
      </c>
      <c r="F1323" s="13" t="s">
        <v>638</v>
      </c>
      <c r="G1323" s="13" t="s">
        <v>641</v>
      </c>
      <c r="H1323" s="13" t="s">
        <v>641</v>
      </c>
    </row>
    <row r="1324" spans="1:8">
      <c r="A1324" s="13" t="s">
        <v>3180</v>
      </c>
      <c r="B1324" s="13">
        <v>4507381</v>
      </c>
      <c r="C1324" s="13" t="s">
        <v>641</v>
      </c>
      <c r="D1324" s="13" t="s">
        <v>3605</v>
      </c>
      <c r="E1324" s="13">
        <v>1</v>
      </c>
      <c r="F1324" s="13" t="s">
        <v>644</v>
      </c>
      <c r="G1324" s="13" t="s">
        <v>641</v>
      </c>
      <c r="H1324" s="13" t="s">
        <v>641</v>
      </c>
    </row>
    <row r="1325" spans="1:8">
      <c r="A1325" s="13" t="s">
        <v>3180</v>
      </c>
      <c r="B1325" s="13">
        <v>4507958</v>
      </c>
      <c r="C1325" s="13" t="s">
        <v>641</v>
      </c>
      <c r="D1325" s="13" t="s">
        <v>1442</v>
      </c>
      <c r="E1325" s="13">
        <v>2</v>
      </c>
      <c r="F1325" s="13" t="s">
        <v>709</v>
      </c>
      <c r="G1325" s="13" t="s">
        <v>3374</v>
      </c>
      <c r="H1325" s="13" t="s">
        <v>641</v>
      </c>
    </row>
    <row r="1326" spans="1:8">
      <c r="A1326" s="13" t="s">
        <v>3180</v>
      </c>
      <c r="B1326" s="13">
        <v>4507959</v>
      </c>
      <c r="C1326" s="13" t="s">
        <v>641</v>
      </c>
      <c r="D1326" s="13" t="s">
        <v>1443</v>
      </c>
      <c r="E1326" s="13">
        <v>2</v>
      </c>
      <c r="F1326" s="13" t="s">
        <v>709</v>
      </c>
      <c r="G1326" s="13" t="s">
        <v>3374</v>
      </c>
      <c r="H1326" s="13" t="s">
        <v>641</v>
      </c>
    </row>
    <row r="1327" spans="1:8">
      <c r="A1327" s="13" t="s">
        <v>3180</v>
      </c>
      <c r="B1327" s="13">
        <v>4508025</v>
      </c>
      <c r="C1327" s="13" t="s">
        <v>641</v>
      </c>
      <c r="D1327" s="13" t="s">
        <v>1444</v>
      </c>
      <c r="E1327" s="13">
        <v>2</v>
      </c>
      <c r="F1327" s="13" t="s">
        <v>671</v>
      </c>
      <c r="G1327" s="13" t="s">
        <v>677</v>
      </c>
      <c r="H1327" s="13" t="s">
        <v>641</v>
      </c>
    </row>
    <row r="1328" spans="1:8">
      <c r="A1328" s="13" t="s">
        <v>3180</v>
      </c>
      <c r="B1328" s="13">
        <v>4508027</v>
      </c>
      <c r="C1328" s="13" t="s">
        <v>641</v>
      </c>
      <c r="D1328" s="13" t="s">
        <v>1446</v>
      </c>
      <c r="E1328" s="13">
        <v>1</v>
      </c>
      <c r="F1328" s="13" t="s">
        <v>640</v>
      </c>
      <c r="G1328" s="13" t="s">
        <v>3186</v>
      </c>
      <c r="H1328" s="13" t="s">
        <v>641</v>
      </c>
    </row>
    <row r="1329" spans="1:8">
      <c r="A1329" s="13" t="s">
        <v>3180</v>
      </c>
      <c r="B1329" s="13">
        <v>4508028</v>
      </c>
      <c r="C1329" s="13" t="s">
        <v>641</v>
      </c>
      <c r="D1329" s="13" t="s">
        <v>1447</v>
      </c>
      <c r="E1329" s="13">
        <v>1</v>
      </c>
      <c r="F1329" s="13" t="s">
        <v>640</v>
      </c>
      <c r="G1329" s="13" t="s">
        <v>3186</v>
      </c>
      <c r="H1329" s="13" t="s">
        <v>641</v>
      </c>
    </row>
    <row r="1330" spans="1:8">
      <c r="A1330" s="13" t="s">
        <v>3180</v>
      </c>
      <c r="B1330" s="13">
        <v>4508029</v>
      </c>
      <c r="C1330" s="13" t="s">
        <v>641</v>
      </c>
      <c r="D1330" s="13" t="s">
        <v>1448</v>
      </c>
      <c r="E1330" s="13">
        <v>1</v>
      </c>
      <c r="F1330" s="13" t="s">
        <v>640</v>
      </c>
      <c r="G1330" s="13" t="s">
        <v>3186</v>
      </c>
      <c r="H1330" s="13" t="s">
        <v>641</v>
      </c>
    </row>
    <row r="1331" spans="1:8">
      <c r="A1331" s="13" t="s">
        <v>3180</v>
      </c>
      <c r="B1331" s="13">
        <v>4508030</v>
      </c>
      <c r="C1331" s="13" t="s">
        <v>641</v>
      </c>
      <c r="D1331" s="13" t="s">
        <v>1449</v>
      </c>
      <c r="E1331" s="13">
        <v>2</v>
      </c>
      <c r="F1331" s="13" t="s">
        <v>654</v>
      </c>
      <c r="G1331" s="13" t="s">
        <v>654</v>
      </c>
      <c r="H1331" s="13" t="s">
        <v>641</v>
      </c>
    </row>
    <row r="1332" spans="1:8">
      <c r="A1332" s="13" t="s">
        <v>3180</v>
      </c>
      <c r="B1332" s="13">
        <v>4508031</v>
      </c>
      <c r="C1332" s="13" t="s">
        <v>641</v>
      </c>
      <c r="D1332" s="13" t="s">
        <v>1450</v>
      </c>
      <c r="E1332" s="13">
        <v>1</v>
      </c>
      <c r="F1332" s="13" t="s">
        <v>640</v>
      </c>
      <c r="G1332" s="13" t="s">
        <v>641</v>
      </c>
      <c r="H1332" s="13" t="s">
        <v>641</v>
      </c>
    </row>
    <row r="1333" spans="1:8">
      <c r="A1333" s="13" t="s">
        <v>3180</v>
      </c>
      <c r="B1333" s="13">
        <v>4508094</v>
      </c>
      <c r="C1333" s="13" t="s">
        <v>641</v>
      </c>
      <c r="D1333" s="13" t="s">
        <v>1451</v>
      </c>
      <c r="E1333" s="13">
        <v>2</v>
      </c>
      <c r="F1333" s="13" t="s">
        <v>709</v>
      </c>
      <c r="G1333" s="13" t="s">
        <v>3374</v>
      </c>
      <c r="H1333" s="13" t="s">
        <v>641</v>
      </c>
    </row>
    <row r="1334" spans="1:8">
      <c r="A1334" s="13" t="s">
        <v>3180</v>
      </c>
      <c r="B1334" s="13">
        <v>4508142</v>
      </c>
      <c r="C1334" s="13" t="s">
        <v>641</v>
      </c>
      <c r="D1334" s="13" t="s">
        <v>1453</v>
      </c>
      <c r="E1334" s="13">
        <v>1</v>
      </c>
      <c r="F1334" s="13" t="s">
        <v>640</v>
      </c>
      <c r="G1334" s="13" t="s">
        <v>641</v>
      </c>
      <c r="H1334" s="13" t="s">
        <v>641</v>
      </c>
    </row>
    <row r="1335" spans="1:8">
      <c r="A1335" s="13" t="s">
        <v>3180</v>
      </c>
      <c r="B1335" s="13">
        <v>4508252</v>
      </c>
      <c r="C1335" s="13" t="s">
        <v>641</v>
      </c>
      <c r="D1335" s="13" t="s">
        <v>3606</v>
      </c>
      <c r="E1335" s="13">
        <v>2</v>
      </c>
      <c r="F1335" s="13" t="s">
        <v>671</v>
      </c>
      <c r="G1335" s="13" t="s">
        <v>676</v>
      </c>
      <c r="H1335" s="13" t="s">
        <v>641</v>
      </c>
    </row>
    <row r="1336" spans="1:8">
      <c r="A1336" s="13" t="s">
        <v>3180</v>
      </c>
      <c r="B1336" s="13">
        <v>4508253</v>
      </c>
      <c r="C1336" s="13" t="s">
        <v>641</v>
      </c>
      <c r="D1336" s="13" t="s">
        <v>1454</v>
      </c>
      <c r="E1336" s="13">
        <v>2</v>
      </c>
      <c r="F1336" s="13" t="s">
        <v>671</v>
      </c>
      <c r="G1336" s="13" t="s">
        <v>676</v>
      </c>
      <c r="H1336" s="13" t="s">
        <v>641</v>
      </c>
    </row>
    <row r="1337" spans="1:8">
      <c r="A1337" s="13" t="s">
        <v>3180</v>
      </c>
      <c r="B1337" s="13">
        <v>4508254</v>
      </c>
      <c r="C1337" s="13" t="s">
        <v>641</v>
      </c>
      <c r="D1337" s="13" t="s">
        <v>1455</v>
      </c>
      <c r="E1337" s="13">
        <v>2</v>
      </c>
      <c r="F1337" s="13" t="s">
        <v>671</v>
      </c>
      <c r="G1337" s="13" t="s">
        <v>676</v>
      </c>
      <c r="H1337" s="13" t="s">
        <v>641</v>
      </c>
    </row>
    <row r="1338" spans="1:8">
      <c r="A1338" s="13" t="s">
        <v>3180</v>
      </c>
      <c r="B1338" s="13">
        <v>4508255</v>
      </c>
      <c r="C1338" s="13" t="s">
        <v>641</v>
      </c>
      <c r="D1338" s="13" t="s">
        <v>1456</v>
      </c>
      <c r="E1338" s="13">
        <v>1</v>
      </c>
      <c r="F1338" s="13" t="s">
        <v>646</v>
      </c>
      <c r="G1338" s="13" t="s">
        <v>641</v>
      </c>
      <c r="H1338" s="13" t="s">
        <v>641</v>
      </c>
    </row>
    <row r="1339" spans="1:8">
      <c r="A1339" s="13" t="s">
        <v>3180</v>
      </c>
      <c r="B1339" s="13">
        <v>4508256</v>
      </c>
      <c r="C1339" s="13" t="s">
        <v>641</v>
      </c>
      <c r="D1339" s="13" t="s">
        <v>224</v>
      </c>
      <c r="E1339" s="13">
        <v>1</v>
      </c>
      <c r="F1339" s="13" t="s">
        <v>640</v>
      </c>
      <c r="G1339" s="13" t="s">
        <v>3186</v>
      </c>
      <c r="H1339" s="13" t="s">
        <v>641</v>
      </c>
    </row>
    <row r="1340" spans="1:8">
      <c r="A1340" s="13" t="s">
        <v>3180</v>
      </c>
      <c r="B1340" s="13">
        <v>4508257</v>
      </c>
      <c r="C1340" s="13" t="s">
        <v>641</v>
      </c>
      <c r="D1340" s="13" t="s">
        <v>3607</v>
      </c>
      <c r="E1340" s="13">
        <v>1</v>
      </c>
      <c r="F1340" s="13" t="s">
        <v>646</v>
      </c>
      <c r="G1340" s="13" t="s">
        <v>641</v>
      </c>
      <c r="H1340" s="13" t="s">
        <v>641</v>
      </c>
    </row>
    <row r="1341" spans="1:8">
      <c r="A1341" s="13" t="s">
        <v>3180</v>
      </c>
      <c r="B1341" s="13">
        <v>4508359</v>
      </c>
      <c r="C1341" s="13" t="s">
        <v>641</v>
      </c>
      <c r="D1341" s="13" t="s">
        <v>1457</v>
      </c>
      <c r="E1341" s="13">
        <v>1</v>
      </c>
      <c r="F1341" s="13" t="s">
        <v>640</v>
      </c>
      <c r="G1341" s="13" t="s">
        <v>641</v>
      </c>
      <c r="H1341" s="13" t="s">
        <v>3298</v>
      </c>
    </row>
    <row r="1342" spans="1:8">
      <c r="A1342" s="13" t="s">
        <v>3180</v>
      </c>
      <c r="B1342" s="13">
        <v>4508566</v>
      </c>
      <c r="C1342" s="13" t="s">
        <v>641</v>
      </c>
      <c r="D1342" s="13" t="s">
        <v>1458</v>
      </c>
      <c r="E1342" s="13">
        <v>2</v>
      </c>
      <c r="F1342" s="13" t="s">
        <v>671</v>
      </c>
      <c r="G1342" s="13" t="s">
        <v>672</v>
      </c>
      <c r="H1342" s="13" t="s">
        <v>641</v>
      </c>
    </row>
    <row r="1343" spans="1:8">
      <c r="A1343" s="13" t="s">
        <v>3180</v>
      </c>
      <c r="B1343" s="13">
        <v>4508567</v>
      </c>
      <c r="C1343" s="13" t="s">
        <v>641</v>
      </c>
      <c r="D1343" s="13" t="s">
        <v>3608</v>
      </c>
      <c r="E1343" s="13">
        <v>1</v>
      </c>
      <c r="F1343" s="13" t="s">
        <v>646</v>
      </c>
      <c r="G1343" s="13" t="s">
        <v>641</v>
      </c>
      <c r="H1343" s="13" t="s">
        <v>641</v>
      </c>
    </row>
    <row r="1344" spans="1:8">
      <c r="A1344" s="13" t="s">
        <v>3180</v>
      </c>
      <c r="B1344" s="13">
        <v>4508568</v>
      </c>
      <c r="C1344" s="13" t="s">
        <v>641</v>
      </c>
      <c r="D1344" s="13" t="s">
        <v>3609</v>
      </c>
      <c r="E1344" s="13">
        <v>1</v>
      </c>
      <c r="F1344" s="13" t="s">
        <v>646</v>
      </c>
      <c r="G1344" s="13" t="s">
        <v>641</v>
      </c>
      <c r="H1344" s="13" t="s">
        <v>641</v>
      </c>
    </row>
    <row r="1345" spans="1:8">
      <c r="A1345" s="13" t="s">
        <v>3180</v>
      </c>
      <c r="B1345" s="13">
        <v>4508569</v>
      </c>
      <c r="C1345" s="13" t="s">
        <v>641</v>
      </c>
      <c r="D1345" s="13" t="s">
        <v>3610</v>
      </c>
      <c r="E1345" s="13">
        <v>2</v>
      </c>
      <c r="F1345" s="13" t="s">
        <v>671</v>
      </c>
      <c r="G1345" s="13" t="s">
        <v>677</v>
      </c>
      <c r="H1345" s="13" t="s">
        <v>641</v>
      </c>
    </row>
    <row r="1346" spans="1:8">
      <c r="A1346" s="13" t="s">
        <v>3180</v>
      </c>
      <c r="B1346" s="13">
        <v>4508646</v>
      </c>
      <c r="C1346" s="13" t="s">
        <v>641</v>
      </c>
      <c r="D1346" s="13" t="s">
        <v>1053</v>
      </c>
      <c r="E1346" s="13">
        <v>1</v>
      </c>
      <c r="F1346" s="13" t="s">
        <v>644</v>
      </c>
      <c r="G1346" s="13" t="s">
        <v>3611</v>
      </c>
      <c r="H1346" s="13" t="s">
        <v>3187</v>
      </c>
    </row>
    <row r="1347" spans="1:8">
      <c r="A1347" s="13" t="s">
        <v>3180</v>
      </c>
      <c r="B1347" s="13">
        <v>4508691</v>
      </c>
      <c r="C1347" s="13" t="s">
        <v>641</v>
      </c>
      <c r="D1347" s="13" t="s">
        <v>1459</v>
      </c>
      <c r="E1347" s="13">
        <v>2</v>
      </c>
      <c r="F1347" s="13" t="s">
        <v>671</v>
      </c>
      <c r="G1347" s="13" t="s">
        <v>677</v>
      </c>
      <c r="H1347" s="13" t="s">
        <v>641</v>
      </c>
    </row>
    <row r="1348" spans="1:8">
      <c r="A1348" s="13" t="s">
        <v>3180</v>
      </c>
      <c r="B1348" s="13">
        <v>4509062</v>
      </c>
      <c r="C1348" s="13" t="s">
        <v>641</v>
      </c>
      <c r="D1348" s="13" t="s">
        <v>3612</v>
      </c>
      <c r="E1348" s="13">
        <v>1</v>
      </c>
      <c r="F1348" s="13" t="s">
        <v>646</v>
      </c>
      <c r="G1348" s="13" t="s">
        <v>641</v>
      </c>
      <c r="H1348" s="13" t="s">
        <v>641</v>
      </c>
    </row>
    <row r="1349" spans="1:8">
      <c r="A1349" s="13" t="s">
        <v>3180</v>
      </c>
      <c r="B1349" s="13">
        <v>4509063</v>
      </c>
      <c r="C1349" s="13" t="s">
        <v>641</v>
      </c>
      <c r="D1349" s="13" t="s">
        <v>3613</v>
      </c>
      <c r="E1349" s="13">
        <v>2</v>
      </c>
      <c r="F1349" s="13" t="s">
        <v>671</v>
      </c>
      <c r="G1349" s="13" t="s">
        <v>678</v>
      </c>
      <c r="H1349" s="13" t="s">
        <v>641</v>
      </c>
    </row>
    <row r="1350" spans="1:8">
      <c r="A1350" s="13" t="s">
        <v>3180</v>
      </c>
      <c r="B1350" s="13">
        <v>4509064</v>
      </c>
      <c r="C1350" s="13" t="s">
        <v>641</v>
      </c>
      <c r="D1350" s="13" t="s">
        <v>3614</v>
      </c>
      <c r="E1350" s="13">
        <v>2</v>
      </c>
      <c r="F1350" s="13" t="s">
        <v>671</v>
      </c>
      <c r="G1350" s="13" t="s">
        <v>678</v>
      </c>
      <c r="H1350" s="13" t="s">
        <v>641</v>
      </c>
    </row>
    <row r="1351" spans="1:8">
      <c r="A1351" s="13" t="s">
        <v>3180</v>
      </c>
      <c r="B1351" s="13">
        <v>4509067</v>
      </c>
      <c r="C1351" s="13" t="s">
        <v>641</v>
      </c>
      <c r="D1351" s="13" t="s">
        <v>1461</v>
      </c>
      <c r="E1351" s="13">
        <v>2</v>
      </c>
      <c r="F1351" s="13" t="s">
        <v>671</v>
      </c>
      <c r="G1351" s="13" t="s">
        <v>677</v>
      </c>
      <c r="H1351" s="13" t="s">
        <v>641</v>
      </c>
    </row>
    <row r="1352" spans="1:8">
      <c r="A1352" s="13" t="s">
        <v>3180</v>
      </c>
      <c r="B1352" s="13">
        <v>4509253</v>
      </c>
      <c r="C1352" s="13" t="s">
        <v>641</v>
      </c>
      <c r="D1352" s="13" t="s">
        <v>1463</v>
      </c>
      <c r="E1352" s="13">
        <v>2</v>
      </c>
      <c r="F1352" s="13" t="s">
        <v>709</v>
      </c>
      <c r="G1352" s="13" t="s">
        <v>3374</v>
      </c>
      <c r="H1352" s="13" t="s">
        <v>641</v>
      </c>
    </row>
    <row r="1353" spans="1:8">
      <c r="A1353" s="13" t="s">
        <v>3180</v>
      </c>
      <c r="B1353" s="13">
        <v>4509269</v>
      </c>
      <c r="C1353" s="13" t="s">
        <v>641</v>
      </c>
      <c r="D1353" s="13" t="s">
        <v>1464</v>
      </c>
      <c r="E1353" s="13">
        <v>2</v>
      </c>
      <c r="F1353" s="13" t="s">
        <v>671</v>
      </c>
      <c r="G1353" s="13" t="s">
        <v>677</v>
      </c>
      <c r="H1353" s="13" t="s">
        <v>641</v>
      </c>
    </row>
    <row r="1354" spans="1:8">
      <c r="A1354" s="13" t="s">
        <v>3180</v>
      </c>
      <c r="B1354" s="13">
        <v>4509270</v>
      </c>
      <c r="C1354" s="13" t="s">
        <v>641</v>
      </c>
      <c r="D1354" s="13" t="s">
        <v>1465</v>
      </c>
      <c r="E1354" s="13">
        <v>2</v>
      </c>
      <c r="F1354" s="13" t="s">
        <v>671</v>
      </c>
      <c r="G1354" s="13" t="s">
        <v>677</v>
      </c>
      <c r="H1354" s="13" t="s">
        <v>641</v>
      </c>
    </row>
    <row r="1355" spans="1:8">
      <c r="A1355" s="13" t="s">
        <v>3180</v>
      </c>
      <c r="B1355" s="13">
        <v>4509348</v>
      </c>
      <c r="C1355" s="13" t="s">
        <v>641</v>
      </c>
      <c r="D1355" s="13" t="s">
        <v>3615</v>
      </c>
      <c r="E1355" s="13">
        <v>2</v>
      </c>
      <c r="F1355" s="13" t="s">
        <v>671</v>
      </c>
      <c r="G1355" s="13" t="s">
        <v>678</v>
      </c>
      <c r="H1355" s="13" t="s">
        <v>641</v>
      </c>
    </row>
    <row r="1356" spans="1:8">
      <c r="A1356" s="13" t="s">
        <v>3180</v>
      </c>
      <c r="B1356" s="13">
        <v>4509349</v>
      </c>
      <c r="C1356" s="13" t="s">
        <v>641</v>
      </c>
      <c r="D1356" s="13" t="s">
        <v>3616</v>
      </c>
      <c r="E1356" s="13">
        <v>2</v>
      </c>
      <c r="F1356" s="13" t="s">
        <v>671</v>
      </c>
      <c r="G1356" s="13" t="s">
        <v>678</v>
      </c>
      <c r="H1356" s="13" t="s">
        <v>641</v>
      </c>
    </row>
    <row r="1357" spans="1:8">
      <c r="A1357" s="13" t="s">
        <v>3180</v>
      </c>
      <c r="B1357" s="13">
        <v>4509350</v>
      </c>
      <c r="C1357" s="13" t="s">
        <v>641</v>
      </c>
      <c r="D1357" s="13" t="s">
        <v>1466</v>
      </c>
      <c r="E1357" s="13">
        <v>2</v>
      </c>
      <c r="F1357" s="13" t="s">
        <v>671</v>
      </c>
      <c r="G1357" s="13" t="s">
        <v>678</v>
      </c>
      <c r="H1357" s="13" t="s">
        <v>641</v>
      </c>
    </row>
    <row r="1358" spans="1:8">
      <c r="A1358" s="13" t="s">
        <v>3180</v>
      </c>
      <c r="B1358" s="13">
        <v>4509685</v>
      </c>
      <c r="C1358" s="13" t="s">
        <v>641</v>
      </c>
      <c r="D1358" s="13" t="s">
        <v>1467</v>
      </c>
      <c r="E1358" s="13">
        <v>2</v>
      </c>
      <c r="F1358" s="13" t="s">
        <v>671</v>
      </c>
      <c r="G1358" s="13" t="s">
        <v>677</v>
      </c>
      <c r="H1358" s="13" t="s">
        <v>641</v>
      </c>
    </row>
    <row r="1359" spans="1:8">
      <c r="A1359" s="13" t="s">
        <v>3180</v>
      </c>
      <c r="B1359" s="13">
        <v>4509686</v>
      </c>
      <c r="C1359" s="13" t="s">
        <v>641</v>
      </c>
      <c r="D1359" s="13" t="s">
        <v>1468</v>
      </c>
      <c r="E1359" s="13">
        <v>1</v>
      </c>
      <c r="F1359" s="13" t="s">
        <v>649</v>
      </c>
      <c r="G1359" s="13" t="s">
        <v>641</v>
      </c>
      <c r="H1359" s="13" t="s">
        <v>641</v>
      </c>
    </row>
    <row r="1360" spans="1:8">
      <c r="A1360" s="13" t="s">
        <v>3180</v>
      </c>
      <c r="B1360" s="13">
        <v>4509687</v>
      </c>
      <c r="C1360" s="13" t="s">
        <v>641</v>
      </c>
      <c r="D1360" s="13" t="s">
        <v>1469</v>
      </c>
      <c r="E1360" s="13">
        <v>1</v>
      </c>
      <c r="F1360" s="13" t="s">
        <v>640</v>
      </c>
      <c r="G1360" s="13" t="s">
        <v>641</v>
      </c>
      <c r="H1360" s="13" t="s">
        <v>641</v>
      </c>
    </row>
    <row r="1361" spans="1:8">
      <c r="A1361" s="13" t="s">
        <v>3180</v>
      </c>
      <c r="B1361" s="13">
        <v>4509688</v>
      </c>
      <c r="C1361" s="13" t="s">
        <v>641</v>
      </c>
      <c r="D1361" s="13" t="s">
        <v>1470</v>
      </c>
      <c r="E1361" s="13">
        <v>1</v>
      </c>
      <c r="F1361" s="13" t="s">
        <v>640</v>
      </c>
      <c r="G1361" s="13" t="s">
        <v>641</v>
      </c>
      <c r="H1361" s="13" t="s">
        <v>641</v>
      </c>
    </row>
    <row r="1362" spans="1:8">
      <c r="A1362" s="13" t="s">
        <v>3180</v>
      </c>
      <c r="B1362" s="13">
        <v>4509689</v>
      </c>
      <c r="C1362" s="13" t="s">
        <v>641</v>
      </c>
      <c r="D1362" s="13" t="s">
        <v>1471</v>
      </c>
      <c r="E1362" s="13">
        <v>1</v>
      </c>
      <c r="F1362" s="13" t="s">
        <v>640</v>
      </c>
      <c r="G1362" s="13" t="s">
        <v>641</v>
      </c>
      <c r="H1362" s="13" t="s">
        <v>641</v>
      </c>
    </row>
    <row r="1363" spans="1:8">
      <c r="A1363" s="13" t="s">
        <v>3180</v>
      </c>
      <c r="B1363" s="13">
        <v>4509690</v>
      </c>
      <c r="C1363" s="13" t="s">
        <v>641</v>
      </c>
      <c r="D1363" s="13" t="s">
        <v>3617</v>
      </c>
      <c r="E1363" s="13">
        <v>2</v>
      </c>
      <c r="F1363" s="13" t="s">
        <v>654</v>
      </c>
      <c r="G1363" s="13" t="s">
        <v>641</v>
      </c>
      <c r="H1363" s="13" t="s">
        <v>641</v>
      </c>
    </row>
    <row r="1364" spans="1:8">
      <c r="A1364" s="13" t="s">
        <v>3180</v>
      </c>
      <c r="B1364" s="13">
        <v>4509691</v>
      </c>
      <c r="C1364" s="13" t="s">
        <v>641</v>
      </c>
      <c r="D1364" s="13" t="s">
        <v>3618</v>
      </c>
      <c r="E1364" s="13">
        <v>2</v>
      </c>
      <c r="F1364" s="13" t="s">
        <v>671</v>
      </c>
      <c r="G1364" s="13" t="s">
        <v>677</v>
      </c>
      <c r="H1364" s="13" t="s">
        <v>641</v>
      </c>
    </row>
    <row r="1365" spans="1:8">
      <c r="A1365" s="13" t="s">
        <v>3180</v>
      </c>
      <c r="B1365" s="13">
        <v>4509692</v>
      </c>
      <c r="C1365" s="13" t="s">
        <v>641</v>
      </c>
      <c r="D1365" s="13" t="s">
        <v>3619</v>
      </c>
      <c r="E1365" s="13">
        <v>2</v>
      </c>
      <c r="F1365" s="13" t="s">
        <v>671</v>
      </c>
      <c r="G1365" s="13" t="s">
        <v>677</v>
      </c>
      <c r="H1365" s="13" t="s">
        <v>641</v>
      </c>
    </row>
    <row r="1366" spans="1:8">
      <c r="A1366" s="13" t="s">
        <v>3180</v>
      </c>
      <c r="B1366" s="13">
        <v>4509700</v>
      </c>
      <c r="C1366" s="13" t="s">
        <v>641</v>
      </c>
      <c r="D1366" s="13" t="s">
        <v>1472</v>
      </c>
      <c r="E1366" s="13">
        <v>2</v>
      </c>
      <c r="F1366" s="13" t="s">
        <v>671</v>
      </c>
      <c r="G1366" s="13" t="s">
        <v>678</v>
      </c>
      <c r="H1366" s="13" t="s">
        <v>641</v>
      </c>
    </row>
    <row r="1367" spans="1:8">
      <c r="A1367" s="13" t="s">
        <v>3180</v>
      </c>
      <c r="B1367" s="13">
        <v>4509701</v>
      </c>
      <c r="C1367" s="13" t="s">
        <v>641</v>
      </c>
      <c r="D1367" s="13" t="s">
        <v>1473</v>
      </c>
      <c r="E1367" s="13">
        <v>2</v>
      </c>
      <c r="F1367" s="13" t="s">
        <v>671</v>
      </c>
      <c r="G1367" s="13" t="s">
        <v>678</v>
      </c>
      <c r="H1367" s="13" t="s">
        <v>641</v>
      </c>
    </row>
    <row r="1368" spans="1:8">
      <c r="A1368" s="13" t="s">
        <v>3180</v>
      </c>
      <c r="B1368" s="13">
        <v>4509702</v>
      </c>
      <c r="C1368" s="13" t="s">
        <v>641</v>
      </c>
      <c r="D1368" s="13" t="s">
        <v>1474</v>
      </c>
      <c r="E1368" s="13">
        <v>2</v>
      </c>
      <c r="F1368" s="13" t="s">
        <v>671</v>
      </c>
      <c r="G1368" s="13" t="s">
        <v>678</v>
      </c>
      <c r="H1368" s="13" t="s">
        <v>641</v>
      </c>
    </row>
    <row r="1369" spans="1:8">
      <c r="A1369" s="13" t="s">
        <v>3180</v>
      </c>
      <c r="B1369" s="13">
        <v>4509889</v>
      </c>
      <c r="C1369" s="13" t="s">
        <v>641</v>
      </c>
      <c r="D1369" s="13" t="s">
        <v>1475</v>
      </c>
      <c r="E1369" s="13">
        <v>2</v>
      </c>
      <c r="F1369" s="13" t="s">
        <v>671</v>
      </c>
      <c r="G1369" s="13" t="s">
        <v>678</v>
      </c>
      <c r="H1369" s="13" t="s">
        <v>684</v>
      </c>
    </row>
    <row r="1370" spans="1:8">
      <c r="A1370" s="13" t="s">
        <v>3180</v>
      </c>
      <c r="B1370" s="13">
        <v>4509894</v>
      </c>
      <c r="C1370" s="13" t="s">
        <v>641</v>
      </c>
      <c r="D1370" s="13" t="s">
        <v>1476</v>
      </c>
      <c r="E1370" s="13">
        <v>1</v>
      </c>
      <c r="F1370" s="13" t="s">
        <v>644</v>
      </c>
      <c r="G1370" s="13" t="s">
        <v>641</v>
      </c>
      <c r="H1370" s="13" t="s">
        <v>641</v>
      </c>
    </row>
    <row r="1371" spans="1:8">
      <c r="A1371" s="13" t="s">
        <v>3180</v>
      </c>
      <c r="B1371" s="13">
        <v>4509936</v>
      </c>
      <c r="C1371" s="13" t="s">
        <v>641</v>
      </c>
      <c r="D1371" s="13" t="s">
        <v>1477</v>
      </c>
      <c r="E1371" s="13">
        <v>1</v>
      </c>
      <c r="F1371" s="13" t="s">
        <v>646</v>
      </c>
      <c r="G1371" s="13" t="s">
        <v>641</v>
      </c>
      <c r="H1371" s="13" t="s">
        <v>641</v>
      </c>
    </row>
    <row r="1372" spans="1:8">
      <c r="A1372" s="13" t="s">
        <v>3180</v>
      </c>
      <c r="B1372" s="13">
        <v>4509938</v>
      </c>
      <c r="C1372" s="13" t="s">
        <v>641</v>
      </c>
      <c r="D1372" s="13" t="s">
        <v>3620</v>
      </c>
      <c r="E1372" s="13">
        <v>1</v>
      </c>
      <c r="F1372" s="13" t="s">
        <v>640</v>
      </c>
      <c r="G1372" s="13" t="s">
        <v>3186</v>
      </c>
      <c r="H1372" s="13" t="s">
        <v>641</v>
      </c>
    </row>
    <row r="1373" spans="1:8">
      <c r="A1373" s="13" t="s">
        <v>3180</v>
      </c>
      <c r="B1373" s="13">
        <v>4510003</v>
      </c>
      <c r="C1373" s="13" t="s">
        <v>641</v>
      </c>
      <c r="D1373" s="13" t="s">
        <v>3621</v>
      </c>
      <c r="E1373" s="13">
        <v>2</v>
      </c>
      <c r="F1373" s="13" t="s">
        <v>671</v>
      </c>
      <c r="G1373" s="13" t="s">
        <v>678</v>
      </c>
      <c r="H1373" s="13" t="s">
        <v>641</v>
      </c>
    </row>
    <row r="1374" spans="1:8">
      <c r="A1374" s="13" t="s">
        <v>3180</v>
      </c>
      <c r="B1374" s="13">
        <v>4510004</v>
      </c>
      <c r="C1374" s="13" t="s">
        <v>641</v>
      </c>
      <c r="D1374" s="13" t="s">
        <v>3622</v>
      </c>
      <c r="E1374" s="13">
        <v>1</v>
      </c>
      <c r="F1374" s="13" t="s">
        <v>640</v>
      </c>
      <c r="G1374" s="13" t="s">
        <v>3186</v>
      </c>
      <c r="H1374" s="13" t="s">
        <v>641</v>
      </c>
    </row>
    <row r="1375" spans="1:8">
      <c r="A1375" s="13" t="s">
        <v>3180</v>
      </c>
      <c r="B1375" s="13">
        <v>4510005</v>
      </c>
      <c r="C1375" s="13" t="s">
        <v>641</v>
      </c>
      <c r="D1375" s="13" t="s">
        <v>3623</v>
      </c>
      <c r="E1375" s="13">
        <v>1</v>
      </c>
      <c r="F1375" s="13" t="s">
        <v>640</v>
      </c>
      <c r="G1375" s="13" t="s">
        <v>3186</v>
      </c>
      <c r="H1375" s="13" t="s">
        <v>641</v>
      </c>
    </row>
    <row r="1376" spans="1:8">
      <c r="A1376" s="13" t="s">
        <v>3180</v>
      </c>
      <c r="B1376" s="13">
        <v>4510006</v>
      </c>
      <c r="C1376" s="13" t="s">
        <v>641</v>
      </c>
      <c r="D1376" s="13" t="s">
        <v>434</v>
      </c>
      <c r="E1376" s="13">
        <v>1</v>
      </c>
      <c r="F1376" s="13" t="s">
        <v>644</v>
      </c>
      <c r="G1376" s="13" t="s">
        <v>641</v>
      </c>
      <c r="H1376" s="13" t="s">
        <v>641</v>
      </c>
    </row>
    <row r="1377" spans="1:8">
      <c r="A1377" s="13" t="s">
        <v>3180</v>
      </c>
      <c r="B1377" s="13">
        <v>4510049</v>
      </c>
      <c r="C1377" s="13" t="s">
        <v>641</v>
      </c>
      <c r="D1377" s="13" t="s">
        <v>3624</v>
      </c>
      <c r="E1377" s="13">
        <v>1</v>
      </c>
      <c r="F1377" s="13" t="s">
        <v>644</v>
      </c>
      <c r="G1377" s="13" t="s">
        <v>3204</v>
      </c>
      <c r="H1377" s="13" t="s">
        <v>3187</v>
      </c>
    </row>
    <row r="1378" spans="1:8">
      <c r="A1378" s="13" t="s">
        <v>3180</v>
      </c>
      <c r="B1378" s="13">
        <v>4510060</v>
      </c>
      <c r="C1378" s="13" t="s">
        <v>641</v>
      </c>
      <c r="D1378" s="13" t="s">
        <v>1478</v>
      </c>
      <c r="E1378" s="13">
        <v>1</v>
      </c>
      <c r="F1378" s="13" t="s">
        <v>646</v>
      </c>
      <c r="G1378" s="13" t="s">
        <v>641</v>
      </c>
      <c r="H1378" s="13" t="s">
        <v>641</v>
      </c>
    </row>
    <row r="1379" spans="1:8">
      <c r="A1379" s="13" t="s">
        <v>3180</v>
      </c>
      <c r="B1379" s="13">
        <v>4510248</v>
      </c>
      <c r="C1379" s="13" t="s">
        <v>641</v>
      </c>
      <c r="D1379" s="13" t="s">
        <v>3625</v>
      </c>
      <c r="E1379" s="13">
        <v>1</v>
      </c>
      <c r="F1379" s="13" t="s">
        <v>640</v>
      </c>
      <c r="G1379" s="13" t="s">
        <v>3186</v>
      </c>
      <c r="H1379" s="13" t="s">
        <v>641</v>
      </c>
    </row>
    <row r="1380" spans="1:8">
      <c r="A1380" s="13" t="s">
        <v>3180</v>
      </c>
      <c r="B1380" s="13">
        <v>4510249</v>
      </c>
      <c r="C1380" s="13" t="s">
        <v>641</v>
      </c>
      <c r="D1380" s="13" t="s">
        <v>1479</v>
      </c>
      <c r="E1380" s="13">
        <v>1</v>
      </c>
      <c r="F1380" s="13" t="s">
        <v>646</v>
      </c>
      <c r="G1380" s="13" t="s">
        <v>641</v>
      </c>
      <c r="H1380" s="13" t="s">
        <v>641</v>
      </c>
    </row>
    <row r="1381" spans="1:8">
      <c r="A1381" s="13" t="s">
        <v>3180</v>
      </c>
      <c r="B1381" s="13">
        <v>4510251</v>
      </c>
      <c r="C1381" s="13" t="s">
        <v>641</v>
      </c>
      <c r="D1381" s="13" t="s">
        <v>437</v>
      </c>
      <c r="E1381" s="13">
        <v>1</v>
      </c>
      <c r="F1381" s="13" t="s">
        <v>649</v>
      </c>
      <c r="G1381" s="13" t="s">
        <v>641</v>
      </c>
      <c r="H1381" s="13" t="s">
        <v>641</v>
      </c>
    </row>
    <row r="1382" spans="1:8">
      <c r="A1382" s="13" t="s">
        <v>3180</v>
      </c>
      <c r="B1382" s="13">
        <v>4510315</v>
      </c>
      <c r="C1382" s="13" t="s">
        <v>641</v>
      </c>
      <c r="D1382" s="13" t="s">
        <v>3626</v>
      </c>
      <c r="E1382" s="13">
        <v>1</v>
      </c>
      <c r="F1382" s="13" t="s">
        <v>646</v>
      </c>
      <c r="G1382" s="13" t="s">
        <v>641</v>
      </c>
      <c r="H1382" s="13" t="s">
        <v>641</v>
      </c>
    </row>
    <row r="1383" spans="1:8">
      <c r="A1383" s="13" t="s">
        <v>3180</v>
      </c>
      <c r="B1383" s="13">
        <v>4510316</v>
      </c>
      <c r="C1383" s="13" t="s">
        <v>641</v>
      </c>
      <c r="D1383" s="13" t="s">
        <v>3627</v>
      </c>
      <c r="E1383" s="13">
        <v>1</v>
      </c>
      <c r="F1383" s="13" t="s">
        <v>642</v>
      </c>
      <c r="G1383" s="13" t="s">
        <v>641</v>
      </c>
      <c r="H1383" s="13" t="s">
        <v>641</v>
      </c>
    </row>
    <row r="1384" spans="1:8">
      <c r="A1384" s="13" t="s">
        <v>3180</v>
      </c>
      <c r="B1384" s="13">
        <v>4510491</v>
      </c>
      <c r="C1384" s="13" t="s">
        <v>641</v>
      </c>
      <c r="D1384" s="13" t="s">
        <v>135</v>
      </c>
      <c r="E1384" s="13">
        <v>1</v>
      </c>
      <c r="F1384" s="13" t="s">
        <v>642</v>
      </c>
      <c r="G1384" s="13" t="s">
        <v>641</v>
      </c>
      <c r="H1384" s="13" t="s">
        <v>641</v>
      </c>
    </row>
    <row r="1385" spans="1:8">
      <c r="A1385" s="13" t="s">
        <v>3180</v>
      </c>
      <c r="B1385" s="13">
        <v>4510556</v>
      </c>
      <c r="C1385" s="13" t="s">
        <v>641</v>
      </c>
      <c r="D1385" s="13" t="s">
        <v>1480</v>
      </c>
      <c r="E1385" s="13">
        <v>1</v>
      </c>
      <c r="F1385" s="13" t="s">
        <v>646</v>
      </c>
      <c r="G1385" s="13" t="s">
        <v>641</v>
      </c>
      <c r="H1385" s="13" t="s">
        <v>641</v>
      </c>
    </row>
    <row r="1386" spans="1:8">
      <c r="A1386" s="13" t="s">
        <v>3180</v>
      </c>
      <c r="B1386" s="13">
        <v>4510557</v>
      </c>
      <c r="C1386" s="13" t="s">
        <v>641</v>
      </c>
      <c r="D1386" s="13" t="s">
        <v>1481</v>
      </c>
      <c r="E1386" s="13">
        <v>2</v>
      </c>
      <c r="F1386" s="13" t="s">
        <v>671</v>
      </c>
      <c r="G1386" s="13" t="s">
        <v>677</v>
      </c>
      <c r="H1386" s="13" t="s">
        <v>641</v>
      </c>
    </row>
    <row r="1387" spans="1:8">
      <c r="A1387" s="13" t="s">
        <v>3180</v>
      </c>
      <c r="B1387" s="13">
        <v>4510655</v>
      </c>
      <c r="C1387" s="13" t="s">
        <v>641</v>
      </c>
      <c r="D1387" s="13" t="s">
        <v>1482</v>
      </c>
      <c r="E1387" s="13">
        <v>1</v>
      </c>
      <c r="F1387" s="13" t="s">
        <v>642</v>
      </c>
      <c r="G1387" s="13" t="s">
        <v>641</v>
      </c>
      <c r="H1387" s="13" t="s">
        <v>641</v>
      </c>
    </row>
    <row r="1388" spans="1:8">
      <c r="A1388" s="13" t="s">
        <v>3180</v>
      </c>
      <c r="B1388" s="13">
        <v>4510656</v>
      </c>
      <c r="C1388" s="13" t="s">
        <v>641</v>
      </c>
      <c r="D1388" s="13" t="s">
        <v>707</v>
      </c>
      <c r="E1388" s="13">
        <v>1</v>
      </c>
      <c r="F1388" s="13" t="s">
        <v>642</v>
      </c>
      <c r="G1388" s="13" t="s">
        <v>641</v>
      </c>
      <c r="H1388" s="13" t="s">
        <v>641</v>
      </c>
    </row>
    <row r="1389" spans="1:8">
      <c r="A1389" s="13" t="s">
        <v>3180</v>
      </c>
      <c r="B1389" s="13">
        <v>4510657</v>
      </c>
      <c r="C1389" s="13" t="s">
        <v>641</v>
      </c>
      <c r="D1389" s="13" t="s">
        <v>3628</v>
      </c>
      <c r="E1389" s="13">
        <v>1</v>
      </c>
      <c r="F1389" s="13" t="s">
        <v>656</v>
      </c>
      <c r="G1389" s="13" t="s">
        <v>641</v>
      </c>
      <c r="H1389" s="13" t="s">
        <v>641</v>
      </c>
    </row>
    <row r="1390" spans="1:8">
      <c r="A1390" s="13" t="s">
        <v>3180</v>
      </c>
      <c r="B1390" s="13">
        <v>4510694</v>
      </c>
      <c r="C1390" s="13" t="s">
        <v>641</v>
      </c>
      <c r="D1390" s="13" t="s">
        <v>79</v>
      </c>
      <c r="E1390" s="13">
        <v>1</v>
      </c>
      <c r="F1390" s="13" t="s">
        <v>640</v>
      </c>
      <c r="G1390" s="13" t="s">
        <v>3186</v>
      </c>
      <c r="H1390" s="13" t="s">
        <v>641</v>
      </c>
    </row>
    <row r="1391" spans="1:8">
      <c r="A1391" s="13" t="s">
        <v>3180</v>
      </c>
      <c r="B1391" s="13">
        <v>4510740</v>
      </c>
      <c r="C1391" s="13" t="s">
        <v>641</v>
      </c>
      <c r="D1391" s="13" t="s">
        <v>3629</v>
      </c>
      <c r="E1391" s="13">
        <v>1</v>
      </c>
      <c r="F1391" s="13" t="s">
        <v>642</v>
      </c>
      <c r="G1391" s="13" t="s">
        <v>641</v>
      </c>
      <c r="H1391" s="13" t="s">
        <v>641</v>
      </c>
    </row>
    <row r="1392" spans="1:8">
      <c r="A1392" s="13" t="s">
        <v>3180</v>
      </c>
      <c r="B1392" s="13">
        <v>4510759</v>
      </c>
      <c r="C1392" s="13" t="s">
        <v>641</v>
      </c>
      <c r="D1392" s="13" t="s">
        <v>1483</v>
      </c>
      <c r="E1392" s="13">
        <v>1</v>
      </c>
      <c r="F1392" s="13" t="s">
        <v>642</v>
      </c>
      <c r="G1392" s="13" t="s">
        <v>641</v>
      </c>
      <c r="H1392" s="13" t="s">
        <v>641</v>
      </c>
    </row>
    <row r="1393" spans="1:8">
      <c r="A1393" s="13" t="s">
        <v>3180</v>
      </c>
      <c r="B1393" s="13">
        <v>4510760</v>
      </c>
      <c r="C1393" s="13" t="s">
        <v>641</v>
      </c>
      <c r="D1393" s="13" t="s">
        <v>131</v>
      </c>
      <c r="E1393" s="13">
        <v>2</v>
      </c>
      <c r="F1393" s="13" t="s">
        <v>671</v>
      </c>
      <c r="G1393" s="13" t="s">
        <v>676</v>
      </c>
      <c r="H1393" s="13" t="s">
        <v>641</v>
      </c>
    </row>
    <row r="1394" spans="1:8">
      <c r="A1394" s="13" t="s">
        <v>3180</v>
      </c>
      <c r="B1394" s="13">
        <v>4510961</v>
      </c>
      <c r="C1394" s="13" t="s">
        <v>641</v>
      </c>
      <c r="D1394" s="13" t="s">
        <v>3630</v>
      </c>
      <c r="E1394" s="13">
        <v>1</v>
      </c>
      <c r="F1394" s="13" t="s">
        <v>646</v>
      </c>
      <c r="G1394" s="13" t="s">
        <v>641</v>
      </c>
      <c r="H1394" s="13" t="s">
        <v>641</v>
      </c>
    </row>
    <row r="1395" spans="1:8">
      <c r="A1395" s="13" t="s">
        <v>3180</v>
      </c>
      <c r="B1395" s="13">
        <v>4511046</v>
      </c>
      <c r="C1395" s="13" t="s">
        <v>641</v>
      </c>
      <c r="D1395" s="13" t="s">
        <v>1484</v>
      </c>
      <c r="E1395" s="13">
        <v>2</v>
      </c>
      <c r="F1395" s="13" t="s">
        <v>671</v>
      </c>
      <c r="G1395" s="13" t="s">
        <v>678</v>
      </c>
      <c r="H1395" s="13" t="s">
        <v>641</v>
      </c>
    </row>
    <row r="1396" spans="1:8">
      <c r="A1396" s="13" t="s">
        <v>3180</v>
      </c>
      <c r="B1396" s="13">
        <v>4511168</v>
      </c>
      <c r="C1396" s="13" t="s">
        <v>641</v>
      </c>
      <c r="D1396" s="13" t="s">
        <v>3631</v>
      </c>
      <c r="E1396" s="13">
        <v>1</v>
      </c>
      <c r="F1396" s="13" t="s">
        <v>642</v>
      </c>
      <c r="G1396" s="13" t="s">
        <v>641</v>
      </c>
      <c r="H1396" s="13" t="s">
        <v>735</v>
      </c>
    </row>
    <row r="1397" spans="1:8">
      <c r="A1397" s="13" t="s">
        <v>3180</v>
      </c>
      <c r="B1397" s="13">
        <v>4511455</v>
      </c>
      <c r="C1397" s="13" t="s">
        <v>641</v>
      </c>
      <c r="D1397" s="13" t="s">
        <v>3632</v>
      </c>
      <c r="E1397" s="13">
        <v>1</v>
      </c>
      <c r="F1397" s="13" t="s">
        <v>642</v>
      </c>
      <c r="G1397" s="13" t="s">
        <v>641</v>
      </c>
      <c r="H1397" s="13" t="s">
        <v>641</v>
      </c>
    </row>
    <row r="1398" spans="1:8">
      <c r="A1398" s="13" t="s">
        <v>3180</v>
      </c>
      <c r="B1398" s="13">
        <v>4511558</v>
      </c>
      <c r="C1398" s="13" t="s">
        <v>641</v>
      </c>
      <c r="D1398" s="13" t="s">
        <v>1485</v>
      </c>
      <c r="E1398" s="13">
        <v>1</v>
      </c>
      <c r="F1398" s="13" t="s">
        <v>646</v>
      </c>
      <c r="G1398" s="13" t="s">
        <v>641</v>
      </c>
      <c r="H1398" s="13" t="s">
        <v>641</v>
      </c>
    </row>
    <row r="1399" spans="1:8">
      <c r="A1399" s="13" t="s">
        <v>3180</v>
      </c>
      <c r="B1399" s="13">
        <v>4511559</v>
      </c>
      <c r="C1399" s="13" t="s">
        <v>641</v>
      </c>
      <c r="D1399" s="13" t="s">
        <v>1486</v>
      </c>
      <c r="E1399" s="13">
        <v>1</v>
      </c>
      <c r="F1399" s="13" t="s">
        <v>646</v>
      </c>
      <c r="G1399" s="13" t="s">
        <v>641</v>
      </c>
      <c r="H1399" s="13" t="s">
        <v>641</v>
      </c>
    </row>
    <row r="1400" spans="1:8">
      <c r="A1400" s="13" t="s">
        <v>3180</v>
      </c>
      <c r="B1400" s="13">
        <v>4511560</v>
      </c>
      <c r="C1400" s="13" t="s">
        <v>641</v>
      </c>
      <c r="D1400" s="13" t="s">
        <v>3633</v>
      </c>
      <c r="E1400" s="13">
        <v>1</v>
      </c>
      <c r="F1400" s="13" t="s">
        <v>644</v>
      </c>
      <c r="G1400" s="13" t="s">
        <v>641</v>
      </c>
      <c r="H1400" s="13" t="s">
        <v>641</v>
      </c>
    </row>
    <row r="1401" spans="1:8">
      <c r="A1401" s="13" t="s">
        <v>3180</v>
      </c>
      <c r="B1401" s="13">
        <v>4511626</v>
      </c>
      <c r="C1401" s="13" t="s">
        <v>641</v>
      </c>
      <c r="D1401" s="13" t="s">
        <v>3634</v>
      </c>
      <c r="E1401" s="13">
        <v>1</v>
      </c>
      <c r="F1401" s="13" t="s">
        <v>644</v>
      </c>
      <c r="G1401" s="13" t="s">
        <v>641</v>
      </c>
      <c r="H1401" s="13" t="s">
        <v>641</v>
      </c>
    </row>
    <row r="1402" spans="1:8">
      <c r="A1402" s="13" t="s">
        <v>3180</v>
      </c>
      <c r="B1402" s="13">
        <v>4511627</v>
      </c>
      <c r="C1402" s="13" t="s">
        <v>641</v>
      </c>
      <c r="D1402" s="13" t="s">
        <v>3635</v>
      </c>
      <c r="E1402" s="13">
        <v>1</v>
      </c>
      <c r="F1402" s="13" t="s">
        <v>642</v>
      </c>
      <c r="G1402" s="13" t="s">
        <v>641</v>
      </c>
      <c r="H1402" s="13" t="s">
        <v>641</v>
      </c>
    </row>
    <row r="1403" spans="1:8">
      <c r="A1403" s="13" t="s">
        <v>3180</v>
      </c>
      <c r="B1403" s="13">
        <v>4511628</v>
      </c>
      <c r="C1403" s="13" t="s">
        <v>641</v>
      </c>
      <c r="D1403" s="13" t="s">
        <v>1487</v>
      </c>
      <c r="E1403" s="13">
        <v>1</v>
      </c>
      <c r="F1403" s="13" t="s">
        <v>640</v>
      </c>
      <c r="G1403" s="13" t="s">
        <v>3186</v>
      </c>
      <c r="H1403" s="13" t="s">
        <v>641</v>
      </c>
    </row>
    <row r="1404" spans="1:8">
      <c r="A1404" s="13" t="s">
        <v>3180</v>
      </c>
      <c r="B1404" s="13">
        <v>4511629</v>
      </c>
      <c r="C1404" s="13" t="s">
        <v>641</v>
      </c>
      <c r="D1404" s="13" t="s">
        <v>1488</v>
      </c>
      <c r="E1404" s="13">
        <v>1</v>
      </c>
      <c r="F1404" s="13" t="s">
        <v>640</v>
      </c>
      <c r="G1404" s="13" t="s">
        <v>3186</v>
      </c>
      <c r="H1404" s="13" t="s">
        <v>641</v>
      </c>
    </row>
    <row r="1405" spans="1:8">
      <c r="A1405" s="13" t="s">
        <v>3180</v>
      </c>
      <c r="B1405" s="13">
        <v>4511630</v>
      </c>
      <c r="C1405" s="13" t="s">
        <v>641</v>
      </c>
      <c r="D1405" s="13" t="s">
        <v>1489</v>
      </c>
      <c r="E1405" s="13">
        <v>1</v>
      </c>
      <c r="F1405" s="13" t="s">
        <v>640</v>
      </c>
      <c r="G1405" s="13" t="s">
        <v>3186</v>
      </c>
      <c r="H1405" s="13" t="s">
        <v>641</v>
      </c>
    </row>
    <row r="1406" spans="1:8">
      <c r="A1406" s="13" t="s">
        <v>3180</v>
      </c>
      <c r="B1406" s="13">
        <v>4511631</v>
      </c>
      <c r="C1406" s="13" t="s">
        <v>641</v>
      </c>
      <c r="D1406" s="13" t="s">
        <v>1490</v>
      </c>
      <c r="E1406" s="13">
        <v>1</v>
      </c>
      <c r="F1406" s="13" t="s">
        <v>640</v>
      </c>
      <c r="G1406" s="13" t="s">
        <v>3186</v>
      </c>
      <c r="H1406" s="13" t="s">
        <v>641</v>
      </c>
    </row>
    <row r="1407" spans="1:8">
      <c r="A1407" s="13" t="s">
        <v>3180</v>
      </c>
      <c r="B1407" s="13">
        <v>4511632</v>
      </c>
      <c r="C1407" s="13" t="s">
        <v>641</v>
      </c>
      <c r="D1407" s="13" t="s">
        <v>1491</v>
      </c>
      <c r="E1407" s="13">
        <v>1</v>
      </c>
      <c r="F1407" s="13" t="s">
        <v>656</v>
      </c>
      <c r="G1407" s="13" t="s">
        <v>641</v>
      </c>
      <c r="H1407" s="13" t="s">
        <v>641</v>
      </c>
    </row>
    <row r="1408" spans="1:8">
      <c r="A1408" s="13" t="s">
        <v>3180</v>
      </c>
      <c r="B1408" s="13">
        <v>4511662</v>
      </c>
      <c r="C1408" s="13" t="s">
        <v>641</v>
      </c>
      <c r="D1408" s="13" t="s">
        <v>1492</v>
      </c>
      <c r="E1408" s="13">
        <v>1</v>
      </c>
      <c r="F1408" s="13" t="s">
        <v>644</v>
      </c>
      <c r="G1408" s="13" t="s">
        <v>641</v>
      </c>
      <c r="H1408" s="13" t="s">
        <v>641</v>
      </c>
    </row>
    <row r="1409" spans="1:8">
      <c r="A1409" s="13" t="s">
        <v>3180</v>
      </c>
      <c r="B1409" s="13">
        <v>4511839</v>
      </c>
      <c r="C1409" s="13" t="s">
        <v>641</v>
      </c>
      <c r="D1409" s="13" t="s">
        <v>3636</v>
      </c>
      <c r="E1409" s="13">
        <v>1</v>
      </c>
      <c r="F1409" s="13" t="s">
        <v>640</v>
      </c>
      <c r="G1409" s="13" t="s">
        <v>3186</v>
      </c>
      <c r="H1409" s="13" t="s">
        <v>3187</v>
      </c>
    </row>
    <row r="1410" spans="1:8">
      <c r="A1410" s="13" t="s">
        <v>3180</v>
      </c>
      <c r="B1410" s="13">
        <v>4511876</v>
      </c>
      <c r="C1410" s="13" t="s">
        <v>641</v>
      </c>
      <c r="D1410" s="13" t="s">
        <v>1495</v>
      </c>
      <c r="E1410" s="13">
        <v>1</v>
      </c>
      <c r="F1410" s="13" t="s">
        <v>640</v>
      </c>
      <c r="G1410" s="13" t="s">
        <v>3186</v>
      </c>
      <c r="H1410" s="13" t="s">
        <v>3246</v>
      </c>
    </row>
    <row r="1411" spans="1:8">
      <c r="A1411" s="13" t="s">
        <v>3180</v>
      </c>
      <c r="B1411" s="13">
        <v>4511982</v>
      </c>
      <c r="C1411" s="13" t="s">
        <v>641</v>
      </c>
      <c r="D1411" s="13" t="s">
        <v>1496</v>
      </c>
      <c r="E1411" s="13">
        <v>2</v>
      </c>
      <c r="F1411" s="13" t="s">
        <v>671</v>
      </c>
      <c r="G1411" s="13" t="s">
        <v>677</v>
      </c>
      <c r="H1411" s="13" t="s">
        <v>641</v>
      </c>
    </row>
    <row r="1412" spans="1:8">
      <c r="A1412" s="13" t="s">
        <v>3180</v>
      </c>
      <c r="B1412" s="13">
        <v>4511983</v>
      </c>
      <c r="C1412" s="13" t="s">
        <v>641</v>
      </c>
      <c r="D1412" s="13" t="s">
        <v>1497</v>
      </c>
      <c r="E1412" s="13">
        <v>2</v>
      </c>
      <c r="F1412" s="13" t="s">
        <v>671</v>
      </c>
      <c r="G1412" s="13" t="s">
        <v>677</v>
      </c>
      <c r="H1412" s="13" t="s">
        <v>641</v>
      </c>
    </row>
    <row r="1413" spans="1:8">
      <c r="A1413" s="13" t="s">
        <v>3180</v>
      </c>
      <c r="B1413" s="13">
        <v>4511984</v>
      </c>
      <c r="C1413" s="13" t="s">
        <v>641</v>
      </c>
      <c r="D1413" s="13" t="s">
        <v>1498</v>
      </c>
      <c r="E1413" s="13">
        <v>2</v>
      </c>
      <c r="F1413" s="13" t="s">
        <v>671</v>
      </c>
      <c r="G1413" s="13" t="s">
        <v>677</v>
      </c>
      <c r="H1413" s="13" t="s">
        <v>641</v>
      </c>
    </row>
    <row r="1414" spans="1:8">
      <c r="A1414" s="13" t="s">
        <v>3180</v>
      </c>
      <c r="B1414" s="13">
        <v>4511985</v>
      </c>
      <c r="C1414" s="13" t="s">
        <v>641</v>
      </c>
      <c r="D1414" s="13" t="s">
        <v>1499</v>
      </c>
      <c r="E1414" s="13">
        <v>2</v>
      </c>
      <c r="F1414" s="13" t="s">
        <v>671</v>
      </c>
      <c r="G1414" s="13" t="s">
        <v>677</v>
      </c>
      <c r="H1414" s="13" t="s">
        <v>641</v>
      </c>
    </row>
    <row r="1415" spans="1:8">
      <c r="A1415" s="13" t="s">
        <v>3180</v>
      </c>
      <c r="B1415" s="13">
        <v>4511986</v>
      </c>
      <c r="C1415" s="13" t="s">
        <v>641</v>
      </c>
      <c r="D1415" s="13" t="s">
        <v>1500</v>
      </c>
      <c r="E1415" s="13">
        <v>2</v>
      </c>
      <c r="F1415" s="13" t="s">
        <v>671</v>
      </c>
      <c r="G1415" s="13" t="s">
        <v>677</v>
      </c>
      <c r="H1415" s="13" t="s">
        <v>641</v>
      </c>
    </row>
    <row r="1416" spans="1:8">
      <c r="A1416" s="13" t="s">
        <v>3180</v>
      </c>
      <c r="B1416" s="13">
        <v>4511987</v>
      </c>
      <c r="C1416" s="13" t="s">
        <v>641</v>
      </c>
      <c r="D1416" s="13" t="s">
        <v>1501</v>
      </c>
      <c r="E1416" s="13">
        <v>2</v>
      </c>
      <c r="F1416" s="13" t="s">
        <v>671</v>
      </c>
      <c r="G1416" s="13" t="s">
        <v>677</v>
      </c>
      <c r="H1416" s="13" t="s">
        <v>641</v>
      </c>
    </row>
    <row r="1417" spans="1:8">
      <c r="A1417" s="13" t="s">
        <v>3180</v>
      </c>
      <c r="B1417" s="13">
        <v>4511988</v>
      </c>
      <c r="C1417" s="13" t="s">
        <v>641</v>
      </c>
      <c r="D1417" s="13" t="s">
        <v>1502</v>
      </c>
      <c r="E1417" s="13">
        <v>2</v>
      </c>
      <c r="F1417" s="13" t="s">
        <v>671</v>
      </c>
      <c r="G1417" s="13" t="s">
        <v>677</v>
      </c>
      <c r="H1417" s="13" t="s">
        <v>641</v>
      </c>
    </row>
    <row r="1418" spans="1:8">
      <c r="A1418" s="13" t="s">
        <v>3180</v>
      </c>
      <c r="B1418" s="13">
        <v>4511989</v>
      </c>
      <c r="C1418" s="13" t="s">
        <v>641</v>
      </c>
      <c r="D1418" s="13" t="s">
        <v>1503</v>
      </c>
      <c r="E1418" s="13">
        <v>2</v>
      </c>
      <c r="F1418" s="13" t="s">
        <v>671</v>
      </c>
      <c r="G1418" s="13" t="s">
        <v>677</v>
      </c>
      <c r="H1418" s="13" t="s">
        <v>641</v>
      </c>
    </row>
    <row r="1419" spans="1:8">
      <c r="A1419" s="13" t="s">
        <v>3180</v>
      </c>
      <c r="B1419" s="13">
        <v>4511990</v>
      </c>
      <c r="C1419" s="13" t="s">
        <v>641</v>
      </c>
      <c r="D1419" s="13" t="s">
        <v>1504</v>
      </c>
      <c r="E1419" s="13">
        <v>2</v>
      </c>
      <c r="F1419" s="13" t="s">
        <v>671</v>
      </c>
      <c r="G1419" s="13" t="s">
        <v>677</v>
      </c>
      <c r="H1419" s="13" t="s">
        <v>641</v>
      </c>
    </row>
    <row r="1420" spans="1:8">
      <c r="A1420" s="13" t="s">
        <v>3180</v>
      </c>
      <c r="B1420" s="13">
        <v>4511991</v>
      </c>
      <c r="C1420" s="13" t="s">
        <v>641</v>
      </c>
      <c r="D1420" s="13" t="s">
        <v>1505</v>
      </c>
      <c r="E1420" s="13">
        <v>2</v>
      </c>
      <c r="F1420" s="13" t="s">
        <v>671</v>
      </c>
      <c r="G1420" s="13" t="s">
        <v>677</v>
      </c>
      <c r="H1420" s="13" t="s">
        <v>641</v>
      </c>
    </row>
    <row r="1421" spans="1:8">
      <c r="A1421" s="13" t="s">
        <v>3180</v>
      </c>
      <c r="B1421" s="13">
        <v>4512070</v>
      </c>
      <c r="C1421" s="13" t="s">
        <v>641</v>
      </c>
      <c r="D1421" s="13" t="s">
        <v>1506</v>
      </c>
      <c r="E1421" s="13">
        <v>1</v>
      </c>
      <c r="F1421" s="13" t="s">
        <v>646</v>
      </c>
      <c r="G1421" s="13" t="s">
        <v>641</v>
      </c>
      <c r="H1421" s="13" t="s">
        <v>641</v>
      </c>
    </row>
    <row r="1422" spans="1:8">
      <c r="A1422" s="13" t="s">
        <v>3180</v>
      </c>
      <c r="B1422" s="13">
        <v>4512071</v>
      </c>
      <c r="C1422" s="13" t="s">
        <v>641</v>
      </c>
      <c r="D1422" s="13" t="s">
        <v>1507</v>
      </c>
      <c r="E1422" s="13">
        <v>1</v>
      </c>
      <c r="F1422" s="13" t="s">
        <v>642</v>
      </c>
      <c r="G1422" s="13" t="s">
        <v>641</v>
      </c>
      <c r="H1422" s="13" t="s">
        <v>641</v>
      </c>
    </row>
    <row r="1423" spans="1:8">
      <c r="A1423" s="13" t="s">
        <v>3180</v>
      </c>
      <c r="B1423" s="13">
        <v>4512072</v>
      </c>
      <c r="C1423" s="13" t="s">
        <v>641</v>
      </c>
      <c r="D1423" s="13" t="s">
        <v>1508</v>
      </c>
      <c r="E1423" s="13">
        <v>1</v>
      </c>
      <c r="F1423" s="13" t="s">
        <v>646</v>
      </c>
      <c r="G1423" s="13" t="s">
        <v>641</v>
      </c>
      <c r="H1423" s="13" t="s">
        <v>641</v>
      </c>
    </row>
    <row r="1424" spans="1:8">
      <c r="A1424" s="13" t="s">
        <v>3180</v>
      </c>
      <c r="B1424" s="13">
        <v>4512073</v>
      </c>
      <c r="C1424" s="13" t="s">
        <v>641</v>
      </c>
      <c r="D1424" s="13" t="s">
        <v>1509</v>
      </c>
      <c r="E1424" s="13">
        <v>1</v>
      </c>
      <c r="F1424" s="13" t="s">
        <v>640</v>
      </c>
      <c r="G1424" s="13" t="s">
        <v>641</v>
      </c>
      <c r="H1424" s="13" t="s">
        <v>641</v>
      </c>
    </row>
    <row r="1425" spans="1:8">
      <c r="A1425" s="13" t="s">
        <v>3180</v>
      </c>
      <c r="B1425" s="13">
        <v>4512074</v>
      </c>
      <c r="C1425" s="13" t="s">
        <v>641</v>
      </c>
      <c r="D1425" s="13" t="s">
        <v>1510</v>
      </c>
      <c r="E1425" s="13">
        <v>1</v>
      </c>
      <c r="F1425" s="13" t="s">
        <v>640</v>
      </c>
      <c r="G1425" s="13" t="s">
        <v>641</v>
      </c>
      <c r="H1425" s="13" t="s">
        <v>641</v>
      </c>
    </row>
    <row r="1426" spans="1:8">
      <c r="A1426" s="13" t="s">
        <v>3180</v>
      </c>
      <c r="B1426" s="13">
        <v>4512199</v>
      </c>
      <c r="C1426" s="13" t="s">
        <v>641</v>
      </c>
      <c r="D1426" s="13" t="s">
        <v>1511</v>
      </c>
      <c r="E1426" s="13">
        <v>1</v>
      </c>
      <c r="F1426" s="13" t="s">
        <v>642</v>
      </c>
      <c r="G1426" s="13" t="s">
        <v>641</v>
      </c>
      <c r="H1426" s="13" t="s">
        <v>641</v>
      </c>
    </row>
    <row r="1427" spans="1:8">
      <c r="A1427" s="13" t="s">
        <v>3180</v>
      </c>
      <c r="B1427" s="13">
        <v>4512200</v>
      </c>
      <c r="C1427" s="13" t="s">
        <v>641</v>
      </c>
      <c r="D1427" s="13" t="s">
        <v>3637</v>
      </c>
      <c r="E1427" s="13">
        <v>1</v>
      </c>
      <c r="F1427" s="13" t="s">
        <v>640</v>
      </c>
      <c r="G1427" s="13" t="s">
        <v>641</v>
      </c>
      <c r="H1427" s="13" t="s">
        <v>641</v>
      </c>
    </row>
    <row r="1428" spans="1:8">
      <c r="A1428" s="13" t="s">
        <v>3180</v>
      </c>
      <c r="B1428" s="13">
        <v>4512201</v>
      </c>
      <c r="C1428" s="13" t="s">
        <v>641</v>
      </c>
      <c r="D1428" s="13" t="s">
        <v>1512</v>
      </c>
      <c r="E1428" s="13">
        <v>1</v>
      </c>
      <c r="F1428" s="13" t="s">
        <v>642</v>
      </c>
      <c r="G1428" s="13" t="s">
        <v>641</v>
      </c>
      <c r="H1428" s="13" t="s">
        <v>641</v>
      </c>
    </row>
    <row r="1429" spans="1:8">
      <c r="A1429" s="13" t="s">
        <v>3180</v>
      </c>
      <c r="B1429" s="13">
        <v>4512202</v>
      </c>
      <c r="C1429" s="13" t="s">
        <v>641</v>
      </c>
      <c r="D1429" s="13" t="s">
        <v>1513</v>
      </c>
      <c r="E1429" s="13">
        <v>1</v>
      </c>
      <c r="F1429" s="13" t="s">
        <v>649</v>
      </c>
      <c r="G1429" s="13" t="s">
        <v>641</v>
      </c>
      <c r="H1429" s="13" t="s">
        <v>641</v>
      </c>
    </row>
    <row r="1430" spans="1:8">
      <c r="A1430" s="13" t="s">
        <v>3180</v>
      </c>
      <c r="B1430" s="13">
        <v>4512203</v>
      </c>
      <c r="C1430" s="13" t="s">
        <v>641</v>
      </c>
      <c r="D1430" s="13" t="s">
        <v>1514</v>
      </c>
      <c r="E1430" s="13">
        <v>1</v>
      </c>
      <c r="F1430" s="13" t="s">
        <v>640</v>
      </c>
      <c r="G1430" s="13" t="s">
        <v>641</v>
      </c>
      <c r="H1430" s="13" t="s">
        <v>641</v>
      </c>
    </row>
    <row r="1431" spans="1:8">
      <c r="A1431" s="13" t="s">
        <v>3180</v>
      </c>
      <c r="B1431" s="13">
        <v>4512204</v>
      </c>
      <c r="C1431" s="13" t="s">
        <v>641</v>
      </c>
      <c r="D1431" s="13" t="s">
        <v>1515</v>
      </c>
      <c r="E1431" s="13">
        <v>1</v>
      </c>
      <c r="F1431" s="13" t="s">
        <v>640</v>
      </c>
      <c r="G1431" s="13" t="s">
        <v>641</v>
      </c>
      <c r="H1431" s="13" t="s">
        <v>641</v>
      </c>
    </row>
    <row r="1432" spans="1:8">
      <c r="A1432" s="13" t="s">
        <v>3180</v>
      </c>
      <c r="B1432" s="13">
        <v>4512205</v>
      </c>
      <c r="C1432" s="13" t="s">
        <v>641</v>
      </c>
      <c r="D1432" s="13" t="s">
        <v>395</v>
      </c>
      <c r="E1432" s="13">
        <v>1</v>
      </c>
      <c r="F1432" s="13" t="s">
        <v>640</v>
      </c>
      <c r="G1432" s="13" t="s">
        <v>641</v>
      </c>
      <c r="H1432" s="13" t="s">
        <v>641</v>
      </c>
    </row>
    <row r="1433" spans="1:8">
      <c r="A1433" s="13" t="s">
        <v>3180</v>
      </c>
      <c r="B1433" s="13">
        <v>4512206</v>
      </c>
      <c r="C1433" s="13" t="s">
        <v>641</v>
      </c>
      <c r="D1433" s="13" t="s">
        <v>1516</v>
      </c>
      <c r="E1433" s="13">
        <v>1</v>
      </c>
      <c r="F1433" s="13" t="s">
        <v>646</v>
      </c>
      <c r="G1433" s="13" t="s">
        <v>641</v>
      </c>
      <c r="H1433" s="13" t="s">
        <v>641</v>
      </c>
    </row>
    <row r="1434" spans="1:8">
      <c r="A1434" s="13" t="s">
        <v>3180</v>
      </c>
      <c r="B1434" s="13">
        <v>4512252</v>
      </c>
      <c r="C1434" s="13" t="s">
        <v>641</v>
      </c>
      <c r="D1434" s="13" t="s">
        <v>3638</v>
      </c>
      <c r="E1434" s="13">
        <v>1</v>
      </c>
      <c r="F1434" s="13" t="s">
        <v>656</v>
      </c>
      <c r="G1434" s="13" t="s">
        <v>641</v>
      </c>
      <c r="H1434" s="13" t="s">
        <v>735</v>
      </c>
    </row>
    <row r="1435" spans="1:8">
      <c r="A1435" s="13" t="s">
        <v>3180</v>
      </c>
      <c r="B1435" s="13">
        <v>4512261</v>
      </c>
      <c r="C1435" s="13" t="s">
        <v>641</v>
      </c>
      <c r="D1435" s="13" t="s">
        <v>489</v>
      </c>
      <c r="E1435" s="13">
        <v>1</v>
      </c>
      <c r="F1435" s="13" t="s">
        <v>640</v>
      </c>
      <c r="G1435" s="13" t="s">
        <v>641</v>
      </c>
      <c r="H1435" s="13" t="s">
        <v>641</v>
      </c>
    </row>
    <row r="1436" spans="1:8">
      <c r="A1436" s="13" t="s">
        <v>3180</v>
      </c>
      <c r="B1436" s="13">
        <v>4512262</v>
      </c>
      <c r="C1436" s="13" t="s">
        <v>641</v>
      </c>
      <c r="D1436" s="13" t="s">
        <v>1517</v>
      </c>
      <c r="E1436" s="13">
        <v>1</v>
      </c>
      <c r="F1436" s="13" t="s">
        <v>656</v>
      </c>
      <c r="G1436" s="13" t="s">
        <v>641</v>
      </c>
      <c r="H1436" s="13" t="s">
        <v>641</v>
      </c>
    </row>
    <row r="1437" spans="1:8">
      <c r="A1437" s="13" t="s">
        <v>3180</v>
      </c>
      <c r="B1437" s="13">
        <v>4512263</v>
      </c>
      <c r="C1437" s="13" t="s">
        <v>641</v>
      </c>
      <c r="D1437" s="13" t="s">
        <v>3639</v>
      </c>
      <c r="E1437" s="13">
        <v>1</v>
      </c>
      <c r="F1437" s="13" t="s">
        <v>640</v>
      </c>
      <c r="G1437" s="13" t="s">
        <v>641</v>
      </c>
      <c r="H1437" s="13" t="s">
        <v>641</v>
      </c>
    </row>
    <row r="1438" spans="1:8">
      <c r="A1438" s="13" t="s">
        <v>3180</v>
      </c>
      <c r="B1438" s="13">
        <v>4512264</v>
      </c>
      <c r="C1438" s="13" t="s">
        <v>641</v>
      </c>
      <c r="D1438" s="13" t="s">
        <v>126</v>
      </c>
      <c r="E1438" s="13">
        <v>1</v>
      </c>
      <c r="F1438" s="13" t="s">
        <v>656</v>
      </c>
      <c r="G1438" s="13" t="s">
        <v>641</v>
      </c>
      <c r="H1438" s="13" t="s">
        <v>641</v>
      </c>
    </row>
    <row r="1439" spans="1:8">
      <c r="A1439" s="13" t="s">
        <v>3180</v>
      </c>
      <c r="B1439" s="13">
        <v>4512265</v>
      </c>
      <c r="C1439" s="13" t="s">
        <v>641</v>
      </c>
      <c r="D1439" s="13" t="s">
        <v>3640</v>
      </c>
      <c r="E1439" s="13">
        <v>1</v>
      </c>
      <c r="F1439" s="13" t="s">
        <v>656</v>
      </c>
      <c r="G1439" s="13" t="s">
        <v>641</v>
      </c>
      <c r="H1439" s="13" t="s">
        <v>641</v>
      </c>
    </row>
    <row r="1440" spans="1:8">
      <c r="A1440" s="13" t="s">
        <v>3180</v>
      </c>
      <c r="B1440" s="13">
        <v>4512267</v>
      </c>
      <c r="C1440" s="13" t="s">
        <v>641</v>
      </c>
      <c r="D1440" s="13" t="s">
        <v>1518</v>
      </c>
      <c r="E1440" s="13">
        <v>1</v>
      </c>
      <c r="F1440" s="13" t="s">
        <v>640</v>
      </c>
      <c r="G1440" s="13" t="s">
        <v>3186</v>
      </c>
      <c r="H1440" s="13" t="s">
        <v>641</v>
      </c>
    </row>
    <row r="1441" spans="1:8">
      <c r="A1441" s="13" t="s">
        <v>3180</v>
      </c>
      <c r="B1441" s="13">
        <v>4512276</v>
      </c>
      <c r="C1441" s="13" t="s">
        <v>641</v>
      </c>
      <c r="D1441" s="13" t="s">
        <v>3641</v>
      </c>
      <c r="E1441" s="13">
        <v>1</v>
      </c>
      <c r="F1441" s="13" t="s">
        <v>642</v>
      </c>
      <c r="G1441" s="13" t="s">
        <v>641</v>
      </c>
      <c r="H1441" s="13" t="s">
        <v>641</v>
      </c>
    </row>
    <row r="1442" spans="1:8">
      <c r="A1442" s="13" t="s">
        <v>3180</v>
      </c>
      <c r="B1442" s="13">
        <v>4512295</v>
      </c>
      <c r="C1442" s="13" t="s">
        <v>641</v>
      </c>
      <c r="D1442" s="13" t="s">
        <v>1519</v>
      </c>
      <c r="E1442" s="13">
        <v>1</v>
      </c>
      <c r="F1442" s="13" t="s">
        <v>646</v>
      </c>
      <c r="G1442" s="13" t="s">
        <v>641</v>
      </c>
      <c r="H1442" s="13" t="s">
        <v>641</v>
      </c>
    </row>
    <row r="1443" spans="1:8">
      <c r="A1443" s="13" t="s">
        <v>3180</v>
      </c>
      <c r="B1443" s="13">
        <v>4512296</v>
      </c>
      <c r="C1443" s="13" t="s">
        <v>641</v>
      </c>
      <c r="D1443" s="13" t="s">
        <v>1520</v>
      </c>
      <c r="E1443" s="13">
        <v>1</v>
      </c>
      <c r="F1443" s="13" t="s">
        <v>646</v>
      </c>
      <c r="G1443" s="13" t="s">
        <v>641</v>
      </c>
      <c r="H1443" s="13" t="s">
        <v>641</v>
      </c>
    </row>
    <row r="1444" spans="1:8">
      <c r="A1444" s="13" t="s">
        <v>3180</v>
      </c>
      <c r="B1444" s="13">
        <v>4512427</v>
      </c>
      <c r="C1444" s="13" t="s">
        <v>641</v>
      </c>
      <c r="D1444" s="13" t="s">
        <v>3642</v>
      </c>
      <c r="E1444" s="13">
        <v>1</v>
      </c>
      <c r="F1444" s="13" t="s">
        <v>640</v>
      </c>
      <c r="G1444" s="13" t="s">
        <v>641</v>
      </c>
      <c r="H1444" s="13" t="s">
        <v>641</v>
      </c>
    </row>
    <row r="1445" spans="1:8">
      <c r="A1445" s="13" t="s">
        <v>3180</v>
      </c>
      <c r="B1445" s="13">
        <v>4512428</v>
      </c>
      <c r="C1445" s="13" t="s">
        <v>641</v>
      </c>
      <c r="D1445" s="13" t="s">
        <v>227</v>
      </c>
      <c r="E1445" s="13">
        <v>1</v>
      </c>
      <c r="F1445" s="13" t="s">
        <v>642</v>
      </c>
      <c r="G1445" s="13" t="s">
        <v>641</v>
      </c>
      <c r="H1445" s="13" t="s">
        <v>641</v>
      </c>
    </row>
    <row r="1446" spans="1:8">
      <c r="A1446" s="13" t="s">
        <v>3180</v>
      </c>
      <c r="B1446" s="13">
        <v>4512429</v>
      </c>
      <c r="C1446" s="13" t="s">
        <v>641</v>
      </c>
      <c r="D1446" s="13" t="s">
        <v>1521</v>
      </c>
      <c r="E1446" s="13">
        <v>1</v>
      </c>
      <c r="F1446" s="13" t="s">
        <v>649</v>
      </c>
      <c r="G1446" s="13" t="s">
        <v>641</v>
      </c>
      <c r="H1446" s="13" t="s">
        <v>641</v>
      </c>
    </row>
    <row r="1447" spans="1:8">
      <c r="A1447" s="13" t="s">
        <v>3180</v>
      </c>
      <c r="B1447" s="13">
        <v>4512430</v>
      </c>
      <c r="C1447" s="13" t="s">
        <v>641</v>
      </c>
      <c r="D1447" s="13" t="s">
        <v>1522</v>
      </c>
      <c r="E1447" s="13">
        <v>1</v>
      </c>
      <c r="F1447" s="13" t="s">
        <v>642</v>
      </c>
      <c r="G1447" s="13" t="s">
        <v>641</v>
      </c>
      <c r="H1447" s="13" t="s">
        <v>641</v>
      </c>
    </row>
    <row r="1448" spans="1:8">
      <c r="A1448" s="13" t="s">
        <v>3180</v>
      </c>
      <c r="B1448" s="13">
        <v>4512431</v>
      </c>
      <c r="C1448" s="13" t="s">
        <v>641</v>
      </c>
      <c r="D1448" s="13" t="s">
        <v>1523</v>
      </c>
      <c r="E1448" s="13">
        <v>1</v>
      </c>
      <c r="F1448" s="13" t="s">
        <v>656</v>
      </c>
      <c r="G1448" s="13" t="s">
        <v>641</v>
      </c>
      <c r="H1448" s="13" t="s">
        <v>641</v>
      </c>
    </row>
    <row r="1449" spans="1:8">
      <c r="A1449" s="13" t="s">
        <v>3180</v>
      </c>
      <c r="B1449" s="13">
        <v>4512432</v>
      </c>
      <c r="C1449" s="13" t="s">
        <v>641</v>
      </c>
      <c r="D1449" s="13" t="s">
        <v>1524</v>
      </c>
      <c r="E1449" s="13">
        <v>1</v>
      </c>
      <c r="F1449" s="13" t="s">
        <v>640</v>
      </c>
      <c r="G1449" s="13" t="s">
        <v>641</v>
      </c>
      <c r="H1449" s="13" t="s">
        <v>641</v>
      </c>
    </row>
    <row r="1450" spans="1:8">
      <c r="A1450" s="13" t="s">
        <v>3180</v>
      </c>
      <c r="B1450" s="13">
        <v>4512433</v>
      </c>
      <c r="C1450" s="13" t="s">
        <v>641</v>
      </c>
      <c r="D1450" s="13" t="s">
        <v>1525</v>
      </c>
      <c r="E1450" s="13">
        <v>1</v>
      </c>
      <c r="F1450" s="13" t="s">
        <v>640</v>
      </c>
      <c r="G1450" s="13" t="s">
        <v>641</v>
      </c>
      <c r="H1450" s="13" t="s">
        <v>641</v>
      </c>
    </row>
    <row r="1451" spans="1:8">
      <c r="A1451" s="13" t="s">
        <v>3180</v>
      </c>
      <c r="B1451" s="13">
        <v>4512434</v>
      </c>
      <c r="C1451" s="13" t="s">
        <v>641</v>
      </c>
      <c r="D1451" s="13" t="s">
        <v>270</v>
      </c>
      <c r="E1451" s="13">
        <v>1</v>
      </c>
      <c r="F1451" s="13" t="s">
        <v>640</v>
      </c>
      <c r="G1451" s="13" t="s">
        <v>641</v>
      </c>
      <c r="H1451" s="13" t="s">
        <v>641</v>
      </c>
    </row>
    <row r="1452" spans="1:8">
      <c r="A1452" s="13" t="s">
        <v>3180</v>
      </c>
      <c r="B1452" s="13">
        <v>4512435</v>
      </c>
      <c r="C1452" s="13" t="s">
        <v>641</v>
      </c>
      <c r="D1452" s="13" t="s">
        <v>1526</v>
      </c>
      <c r="E1452" s="13">
        <v>2</v>
      </c>
      <c r="F1452" s="13" t="s">
        <v>671</v>
      </c>
      <c r="G1452" s="13" t="s">
        <v>678</v>
      </c>
      <c r="H1452" s="13" t="s">
        <v>641</v>
      </c>
    </row>
    <row r="1453" spans="1:8">
      <c r="A1453" s="13" t="s">
        <v>3180</v>
      </c>
      <c r="B1453" s="13">
        <v>4512437</v>
      </c>
      <c r="C1453" s="13" t="s">
        <v>641</v>
      </c>
      <c r="D1453" s="13" t="s">
        <v>3643</v>
      </c>
      <c r="E1453" s="13">
        <v>1</v>
      </c>
      <c r="F1453" s="13" t="s">
        <v>646</v>
      </c>
      <c r="G1453" s="13" t="s">
        <v>641</v>
      </c>
      <c r="H1453" s="13" t="s">
        <v>641</v>
      </c>
    </row>
    <row r="1454" spans="1:8">
      <c r="A1454" s="13" t="s">
        <v>3180</v>
      </c>
      <c r="B1454" s="13">
        <v>4512438</v>
      </c>
      <c r="C1454" s="13" t="s">
        <v>641</v>
      </c>
      <c r="D1454" s="13" t="s">
        <v>3644</v>
      </c>
      <c r="E1454" s="13">
        <v>1</v>
      </c>
      <c r="F1454" s="13" t="s">
        <v>642</v>
      </c>
      <c r="G1454" s="13" t="s">
        <v>641</v>
      </c>
      <c r="H1454" s="13" t="s">
        <v>641</v>
      </c>
    </row>
    <row r="1455" spans="1:8">
      <c r="A1455" s="13" t="s">
        <v>3180</v>
      </c>
      <c r="B1455" s="13">
        <v>4512439</v>
      </c>
      <c r="C1455" s="13" t="s">
        <v>641</v>
      </c>
      <c r="D1455" s="13" t="s">
        <v>3645</v>
      </c>
      <c r="E1455" s="13">
        <v>1</v>
      </c>
      <c r="F1455" s="13" t="s">
        <v>649</v>
      </c>
      <c r="G1455" s="13" t="s">
        <v>641</v>
      </c>
      <c r="H1455" s="13" t="s">
        <v>700</v>
      </c>
    </row>
    <row r="1456" spans="1:8">
      <c r="A1456" s="13" t="s">
        <v>3180</v>
      </c>
      <c r="B1456" s="13">
        <v>4512440</v>
      </c>
      <c r="C1456" s="13" t="s">
        <v>641</v>
      </c>
      <c r="D1456" s="13" t="s">
        <v>1527</v>
      </c>
      <c r="E1456" s="13">
        <v>1</v>
      </c>
      <c r="F1456" s="13" t="s">
        <v>640</v>
      </c>
      <c r="G1456" s="13" t="s">
        <v>3186</v>
      </c>
      <c r="H1456" s="13" t="s">
        <v>641</v>
      </c>
    </row>
    <row r="1457" spans="1:8">
      <c r="A1457" s="13" t="s">
        <v>3180</v>
      </c>
      <c r="B1457" s="13">
        <v>4512441</v>
      </c>
      <c r="C1457" s="13" t="s">
        <v>641</v>
      </c>
      <c r="D1457" s="13" t="s">
        <v>3646</v>
      </c>
      <c r="E1457" s="13">
        <v>1</v>
      </c>
      <c r="F1457" s="13" t="s">
        <v>640</v>
      </c>
      <c r="G1457" s="13" t="s">
        <v>3186</v>
      </c>
      <c r="H1457" s="13" t="s">
        <v>641</v>
      </c>
    </row>
    <row r="1458" spans="1:8">
      <c r="A1458" s="13" t="s">
        <v>3180</v>
      </c>
      <c r="B1458" s="13">
        <v>4512442</v>
      </c>
      <c r="C1458" s="13" t="s">
        <v>641</v>
      </c>
      <c r="D1458" s="13" t="s">
        <v>3647</v>
      </c>
      <c r="E1458" s="13">
        <v>1</v>
      </c>
      <c r="F1458" s="13" t="s">
        <v>640</v>
      </c>
      <c r="G1458" s="13" t="s">
        <v>3186</v>
      </c>
      <c r="H1458" s="13" t="s">
        <v>641</v>
      </c>
    </row>
    <row r="1459" spans="1:8">
      <c r="A1459" s="13" t="s">
        <v>3180</v>
      </c>
      <c r="B1459" s="13">
        <v>4512443</v>
      </c>
      <c r="C1459" s="13" t="s">
        <v>641</v>
      </c>
      <c r="D1459" s="13" t="s">
        <v>3648</v>
      </c>
      <c r="E1459" s="13">
        <v>1</v>
      </c>
      <c r="F1459" s="13" t="s">
        <v>640</v>
      </c>
      <c r="G1459" s="13" t="s">
        <v>3186</v>
      </c>
      <c r="H1459" s="13" t="s">
        <v>641</v>
      </c>
    </row>
    <row r="1460" spans="1:8">
      <c r="A1460" s="13" t="s">
        <v>3180</v>
      </c>
      <c r="B1460" s="13">
        <v>4512444</v>
      </c>
      <c r="C1460" s="13" t="s">
        <v>641</v>
      </c>
      <c r="D1460" s="13" t="s">
        <v>3649</v>
      </c>
      <c r="E1460" s="13">
        <v>1</v>
      </c>
      <c r="F1460" s="13" t="s">
        <v>640</v>
      </c>
      <c r="G1460" s="13" t="s">
        <v>3186</v>
      </c>
      <c r="H1460" s="13" t="s">
        <v>641</v>
      </c>
    </row>
    <row r="1461" spans="1:8">
      <c r="A1461" s="13" t="s">
        <v>3180</v>
      </c>
      <c r="B1461" s="13">
        <v>4512475</v>
      </c>
      <c r="C1461" s="13" t="s">
        <v>641</v>
      </c>
      <c r="D1461" s="13" t="s">
        <v>1528</v>
      </c>
      <c r="E1461" s="13">
        <v>1</v>
      </c>
      <c r="F1461" s="13" t="s">
        <v>649</v>
      </c>
      <c r="G1461" s="13" t="s">
        <v>641</v>
      </c>
      <c r="H1461" s="13" t="s">
        <v>641</v>
      </c>
    </row>
    <row r="1462" spans="1:8">
      <c r="A1462" s="13" t="s">
        <v>3180</v>
      </c>
      <c r="B1462" s="13">
        <v>4512476</v>
      </c>
      <c r="C1462" s="13" t="s">
        <v>641</v>
      </c>
      <c r="D1462" s="13" t="s">
        <v>1529</v>
      </c>
      <c r="E1462" s="13">
        <v>1</v>
      </c>
      <c r="F1462" s="13" t="s">
        <v>649</v>
      </c>
      <c r="G1462" s="13" t="s">
        <v>641</v>
      </c>
      <c r="H1462" s="13" t="s">
        <v>641</v>
      </c>
    </row>
    <row r="1463" spans="1:8">
      <c r="A1463" s="13" t="s">
        <v>3180</v>
      </c>
      <c r="B1463" s="13">
        <v>4512509</v>
      </c>
      <c r="C1463" s="13" t="s">
        <v>641</v>
      </c>
      <c r="D1463" s="13" t="s">
        <v>708</v>
      </c>
      <c r="E1463" s="13">
        <v>1</v>
      </c>
      <c r="F1463" s="13" t="s">
        <v>649</v>
      </c>
      <c r="G1463" s="13" t="s">
        <v>641</v>
      </c>
      <c r="H1463" s="13" t="s">
        <v>641</v>
      </c>
    </row>
    <row r="1464" spans="1:8">
      <c r="A1464" s="13" t="s">
        <v>3180</v>
      </c>
      <c r="B1464" s="13">
        <v>4512615</v>
      </c>
      <c r="C1464" s="13" t="s">
        <v>641</v>
      </c>
      <c r="D1464" s="13" t="s">
        <v>3650</v>
      </c>
      <c r="E1464" s="13">
        <v>2</v>
      </c>
      <c r="F1464" s="13" t="s">
        <v>671</v>
      </c>
      <c r="G1464" s="13" t="s">
        <v>678</v>
      </c>
      <c r="H1464" s="13" t="s">
        <v>641</v>
      </c>
    </row>
    <row r="1465" spans="1:8">
      <c r="A1465" s="13" t="s">
        <v>3180</v>
      </c>
      <c r="B1465" s="13">
        <v>4512677</v>
      </c>
      <c r="C1465" s="13" t="s">
        <v>641</v>
      </c>
      <c r="D1465" s="13" t="s">
        <v>1530</v>
      </c>
      <c r="E1465" s="13">
        <v>1</v>
      </c>
      <c r="F1465" s="13" t="s">
        <v>646</v>
      </c>
      <c r="G1465" s="13" t="s">
        <v>641</v>
      </c>
      <c r="H1465" s="13" t="s">
        <v>641</v>
      </c>
    </row>
    <row r="1466" spans="1:8">
      <c r="A1466" s="13" t="s">
        <v>3180</v>
      </c>
      <c r="B1466" s="13">
        <v>4512678</v>
      </c>
      <c r="C1466" s="13" t="s">
        <v>641</v>
      </c>
      <c r="D1466" s="13" t="s">
        <v>1531</v>
      </c>
      <c r="E1466" s="13">
        <v>1</v>
      </c>
      <c r="F1466" s="13" t="s">
        <v>640</v>
      </c>
      <c r="G1466" s="13" t="s">
        <v>3186</v>
      </c>
      <c r="H1466" s="13" t="s">
        <v>641</v>
      </c>
    </row>
    <row r="1467" spans="1:8">
      <c r="A1467" s="13" t="s">
        <v>3180</v>
      </c>
      <c r="B1467" s="13">
        <v>4512679</v>
      </c>
      <c r="C1467" s="13" t="s">
        <v>641</v>
      </c>
      <c r="D1467" s="13" t="s">
        <v>1532</v>
      </c>
      <c r="E1467" s="13">
        <v>1</v>
      </c>
      <c r="F1467" s="13" t="s">
        <v>649</v>
      </c>
      <c r="G1467" s="13" t="s">
        <v>641</v>
      </c>
      <c r="H1467" s="13" t="s">
        <v>641</v>
      </c>
    </row>
    <row r="1468" spans="1:8">
      <c r="A1468" s="13" t="s">
        <v>3180</v>
      </c>
      <c r="B1468" s="13">
        <v>4512680</v>
      </c>
      <c r="C1468" s="13" t="s">
        <v>641</v>
      </c>
      <c r="D1468" s="13" t="s">
        <v>436</v>
      </c>
      <c r="E1468" s="13">
        <v>1</v>
      </c>
      <c r="F1468" s="13" t="s">
        <v>642</v>
      </c>
      <c r="G1468" s="13" t="s">
        <v>641</v>
      </c>
      <c r="H1468" s="13" t="s">
        <v>641</v>
      </c>
    </row>
    <row r="1469" spans="1:8">
      <c r="A1469" s="13" t="s">
        <v>3180</v>
      </c>
      <c r="B1469" s="13">
        <v>4512681</v>
      </c>
      <c r="C1469" s="13" t="s">
        <v>641</v>
      </c>
      <c r="D1469" s="13" t="s">
        <v>1533</v>
      </c>
      <c r="E1469" s="13">
        <v>1</v>
      </c>
      <c r="F1469" s="13" t="s">
        <v>656</v>
      </c>
      <c r="G1469" s="13" t="s">
        <v>641</v>
      </c>
      <c r="H1469" s="13" t="s">
        <v>641</v>
      </c>
    </row>
    <row r="1470" spans="1:8">
      <c r="A1470" s="13" t="s">
        <v>3180</v>
      </c>
      <c r="B1470" s="13">
        <v>4512682</v>
      </c>
      <c r="C1470" s="13" t="s">
        <v>641</v>
      </c>
      <c r="D1470" s="13" t="s">
        <v>1534</v>
      </c>
      <c r="E1470" s="13">
        <v>1</v>
      </c>
      <c r="F1470" s="13" t="s">
        <v>642</v>
      </c>
      <c r="G1470" s="13" t="s">
        <v>641</v>
      </c>
      <c r="H1470" s="13" t="s">
        <v>641</v>
      </c>
    </row>
    <row r="1471" spans="1:8">
      <c r="A1471" s="13" t="s">
        <v>3180</v>
      </c>
      <c r="B1471" s="13">
        <v>4512683</v>
      </c>
      <c r="C1471" s="13" t="s">
        <v>641</v>
      </c>
      <c r="D1471" s="13" t="s">
        <v>257</v>
      </c>
      <c r="E1471" s="13">
        <v>1</v>
      </c>
      <c r="F1471" s="13" t="s">
        <v>649</v>
      </c>
      <c r="G1471" s="13" t="s">
        <v>641</v>
      </c>
      <c r="H1471" s="13" t="s">
        <v>641</v>
      </c>
    </row>
    <row r="1472" spans="1:8">
      <c r="A1472" s="13" t="s">
        <v>3180</v>
      </c>
      <c r="B1472" s="13">
        <v>4512684</v>
      </c>
      <c r="C1472" s="13" t="s">
        <v>641</v>
      </c>
      <c r="D1472" s="13" t="s">
        <v>1535</v>
      </c>
      <c r="E1472" s="13">
        <v>1</v>
      </c>
      <c r="F1472" s="13" t="s">
        <v>642</v>
      </c>
      <c r="G1472" s="13" t="s">
        <v>641</v>
      </c>
      <c r="H1472" s="13" t="s">
        <v>641</v>
      </c>
    </row>
    <row r="1473" spans="1:8">
      <c r="A1473" s="13" t="s">
        <v>3180</v>
      </c>
      <c r="B1473" s="13">
        <v>4512685</v>
      </c>
      <c r="C1473" s="13" t="s">
        <v>641</v>
      </c>
      <c r="D1473" s="13" t="s">
        <v>1536</v>
      </c>
      <c r="E1473" s="13">
        <v>1</v>
      </c>
      <c r="F1473" s="13" t="s">
        <v>642</v>
      </c>
      <c r="G1473" s="13" t="s">
        <v>641</v>
      </c>
      <c r="H1473" s="13" t="s">
        <v>641</v>
      </c>
    </row>
    <row r="1474" spans="1:8">
      <c r="A1474" s="13" t="s">
        <v>3180</v>
      </c>
      <c r="B1474" s="13">
        <v>4512727</v>
      </c>
      <c r="C1474" s="13" t="s">
        <v>641</v>
      </c>
      <c r="D1474" s="13" t="s">
        <v>3651</v>
      </c>
      <c r="E1474" s="13">
        <v>1</v>
      </c>
      <c r="F1474" s="13" t="s">
        <v>642</v>
      </c>
      <c r="G1474" s="13" t="s">
        <v>641</v>
      </c>
      <c r="H1474" s="13" t="s">
        <v>3187</v>
      </c>
    </row>
    <row r="1475" spans="1:8">
      <c r="A1475" s="13" t="s">
        <v>3180</v>
      </c>
      <c r="B1475" s="13">
        <v>4512733</v>
      </c>
      <c r="C1475" s="13" t="s">
        <v>641</v>
      </c>
      <c r="D1475" s="13" t="s">
        <v>3652</v>
      </c>
      <c r="E1475" s="13">
        <v>1</v>
      </c>
      <c r="F1475" s="13" t="s">
        <v>649</v>
      </c>
      <c r="G1475" s="13" t="s">
        <v>3207</v>
      </c>
      <c r="H1475" s="13" t="s">
        <v>684</v>
      </c>
    </row>
    <row r="1476" spans="1:8">
      <c r="A1476" s="13" t="s">
        <v>3180</v>
      </c>
      <c r="B1476" s="13">
        <v>4512863</v>
      </c>
      <c r="C1476" s="13" t="s">
        <v>641</v>
      </c>
      <c r="D1476" s="13" t="s">
        <v>3653</v>
      </c>
      <c r="E1476" s="13">
        <v>1</v>
      </c>
      <c r="F1476" s="13" t="s">
        <v>642</v>
      </c>
      <c r="G1476" s="13" t="s">
        <v>641</v>
      </c>
      <c r="H1476" s="13" t="s">
        <v>641</v>
      </c>
    </row>
    <row r="1477" spans="1:8">
      <c r="A1477" s="13" t="s">
        <v>3180</v>
      </c>
      <c r="B1477" s="13">
        <v>4512865</v>
      </c>
      <c r="C1477" s="13" t="s">
        <v>641</v>
      </c>
      <c r="D1477" s="13" t="s">
        <v>314</v>
      </c>
      <c r="E1477" s="13">
        <v>1</v>
      </c>
      <c r="F1477" s="13" t="s">
        <v>649</v>
      </c>
      <c r="G1477" s="13" t="s">
        <v>641</v>
      </c>
      <c r="H1477" s="13" t="s">
        <v>641</v>
      </c>
    </row>
    <row r="1478" spans="1:8">
      <c r="A1478" s="13" t="s">
        <v>3180</v>
      </c>
      <c r="B1478" s="13">
        <v>4512866</v>
      </c>
      <c r="C1478" s="13" t="s">
        <v>641</v>
      </c>
      <c r="D1478" s="13" t="s">
        <v>1537</v>
      </c>
      <c r="E1478" s="13">
        <v>2</v>
      </c>
      <c r="F1478" s="13" t="s">
        <v>671</v>
      </c>
      <c r="G1478" s="13" t="s">
        <v>676</v>
      </c>
      <c r="H1478" s="13" t="s">
        <v>641</v>
      </c>
    </row>
    <row r="1479" spans="1:8">
      <c r="A1479" s="13" t="s">
        <v>3180</v>
      </c>
      <c r="B1479" s="13">
        <v>4512888</v>
      </c>
      <c r="C1479" s="13" t="s">
        <v>641</v>
      </c>
      <c r="D1479" s="13" t="s">
        <v>614</v>
      </c>
      <c r="E1479" s="13">
        <v>1</v>
      </c>
      <c r="F1479" s="13" t="s">
        <v>656</v>
      </c>
      <c r="G1479" s="13" t="s">
        <v>641</v>
      </c>
      <c r="H1479" s="13" t="s">
        <v>641</v>
      </c>
    </row>
    <row r="1480" spans="1:8">
      <c r="A1480" s="13" t="s">
        <v>3180</v>
      </c>
      <c r="B1480" s="13">
        <v>4512926</v>
      </c>
      <c r="C1480" s="13" t="s">
        <v>641</v>
      </c>
      <c r="D1480" s="13" t="s">
        <v>1538</v>
      </c>
      <c r="E1480" s="13">
        <v>1</v>
      </c>
      <c r="F1480" s="13" t="s">
        <v>640</v>
      </c>
      <c r="G1480" s="13" t="s">
        <v>641</v>
      </c>
      <c r="H1480" s="13" t="s">
        <v>641</v>
      </c>
    </row>
    <row r="1481" spans="1:8">
      <c r="A1481" s="13" t="s">
        <v>3180</v>
      </c>
      <c r="B1481" s="13">
        <v>4513019</v>
      </c>
      <c r="C1481" s="13" t="s">
        <v>641</v>
      </c>
      <c r="D1481" s="13" t="s">
        <v>144</v>
      </c>
      <c r="E1481" s="13">
        <v>1</v>
      </c>
      <c r="F1481" s="13" t="s">
        <v>640</v>
      </c>
      <c r="G1481" s="13" t="s">
        <v>641</v>
      </c>
      <c r="H1481" s="13" t="s">
        <v>641</v>
      </c>
    </row>
    <row r="1482" spans="1:8">
      <c r="A1482" s="13" t="s">
        <v>3180</v>
      </c>
      <c r="B1482" s="13">
        <v>4513020</v>
      </c>
      <c r="C1482" s="13" t="s">
        <v>641</v>
      </c>
      <c r="D1482" s="13" t="s">
        <v>3654</v>
      </c>
      <c r="E1482" s="13">
        <v>1</v>
      </c>
      <c r="F1482" s="13" t="s">
        <v>640</v>
      </c>
      <c r="G1482" s="13" t="s">
        <v>3186</v>
      </c>
      <c r="H1482" s="13" t="s">
        <v>641</v>
      </c>
    </row>
    <row r="1483" spans="1:8">
      <c r="A1483" s="13" t="s">
        <v>3180</v>
      </c>
      <c r="B1483" s="13">
        <v>4513154</v>
      </c>
      <c r="C1483" s="13" t="s">
        <v>641</v>
      </c>
      <c r="D1483" s="13" t="s">
        <v>1539</v>
      </c>
      <c r="E1483" s="13">
        <v>1</v>
      </c>
      <c r="F1483" s="13" t="s">
        <v>644</v>
      </c>
      <c r="G1483" s="13"/>
      <c r="H1483" s="13" t="s">
        <v>3655</v>
      </c>
    </row>
    <row r="1484" spans="1:8">
      <c r="A1484" s="13" t="s">
        <v>3180</v>
      </c>
      <c r="B1484" s="13">
        <v>4513243</v>
      </c>
      <c r="C1484" s="13" t="s">
        <v>641</v>
      </c>
      <c r="D1484" s="13" t="s">
        <v>1540</v>
      </c>
      <c r="E1484" s="13">
        <v>1</v>
      </c>
      <c r="F1484" s="13" t="s">
        <v>656</v>
      </c>
      <c r="G1484" s="13" t="s">
        <v>2445</v>
      </c>
      <c r="H1484" s="13" t="s">
        <v>641</v>
      </c>
    </row>
    <row r="1485" spans="1:8">
      <c r="A1485" s="13" t="s">
        <v>3180</v>
      </c>
      <c r="B1485" s="13">
        <v>4513296</v>
      </c>
      <c r="C1485" s="13" t="s">
        <v>641</v>
      </c>
      <c r="D1485" s="13" t="s">
        <v>601</v>
      </c>
      <c r="E1485" s="13">
        <v>1</v>
      </c>
      <c r="F1485" s="13" t="s">
        <v>642</v>
      </c>
      <c r="G1485" s="13" t="s">
        <v>641</v>
      </c>
      <c r="H1485" s="13" t="s">
        <v>641</v>
      </c>
    </row>
    <row r="1486" spans="1:8">
      <c r="A1486" s="13" t="s">
        <v>3180</v>
      </c>
      <c r="B1486" s="13">
        <v>4513389</v>
      </c>
      <c r="C1486" s="13" t="s">
        <v>641</v>
      </c>
      <c r="D1486" s="13" t="s">
        <v>3656</v>
      </c>
      <c r="E1486" s="13">
        <v>1</v>
      </c>
      <c r="F1486" s="13" t="s">
        <v>656</v>
      </c>
      <c r="G1486" s="13" t="s">
        <v>3556</v>
      </c>
      <c r="H1486" s="13" t="s">
        <v>3183</v>
      </c>
    </row>
    <row r="1487" spans="1:8">
      <c r="A1487" s="13" t="s">
        <v>3180</v>
      </c>
      <c r="B1487" s="13">
        <v>4513407</v>
      </c>
      <c r="C1487" s="13" t="s">
        <v>641</v>
      </c>
      <c r="D1487" s="13" t="s">
        <v>1541</v>
      </c>
      <c r="E1487" s="13">
        <v>1</v>
      </c>
      <c r="F1487" s="13" t="s">
        <v>649</v>
      </c>
      <c r="G1487" s="13" t="s">
        <v>3207</v>
      </c>
      <c r="H1487" s="13" t="s">
        <v>641</v>
      </c>
    </row>
    <row r="1488" spans="1:8">
      <c r="A1488" s="13" t="s">
        <v>3180</v>
      </c>
      <c r="B1488" s="13">
        <v>4513454</v>
      </c>
      <c r="C1488" s="13" t="s">
        <v>641</v>
      </c>
      <c r="D1488" s="13" t="s">
        <v>1542</v>
      </c>
      <c r="E1488" s="13">
        <v>1</v>
      </c>
      <c r="F1488" s="13" t="s">
        <v>656</v>
      </c>
      <c r="G1488" s="13" t="s">
        <v>641</v>
      </c>
      <c r="H1488" s="13" t="s">
        <v>641</v>
      </c>
    </row>
    <row r="1489" spans="1:8">
      <c r="A1489" s="13" t="s">
        <v>3180</v>
      </c>
      <c r="B1489" s="13">
        <v>4513501</v>
      </c>
      <c r="C1489" s="13" t="s">
        <v>641</v>
      </c>
      <c r="D1489" s="13" t="s">
        <v>343</v>
      </c>
      <c r="E1489" s="13">
        <v>1</v>
      </c>
      <c r="F1489" s="13" t="s">
        <v>656</v>
      </c>
      <c r="G1489" s="13" t="s">
        <v>2445</v>
      </c>
      <c r="H1489" s="13" t="s">
        <v>641</v>
      </c>
    </row>
    <row r="1490" spans="1:8">
      <c r="A1490" s="13" t="s">
        <v>3180</v>
      </c>
      <c r="B1490" s="13">
        <v>4513502</v>
      </c>
      <c r="C1490" s="13" t="s">
        <v>641</v>
      </c>
      <c r="D1490" s="13" t="s">
        <v>3657</v>
      </c>
      <c r="E1490" s="13">
        <v>1</v>
      </c>
      <c r="F1490" s="13" t="s">
        <v>656</v>
      </c>
      <c r="G1490" s="13" t="s">
        <v>2445</v>
      </c>
      <c r="H1490" s="13" t="s">
        <v>3187</v>
      </c>
    </row>
    <row r="1491" spans="1:8">
      <c r="A1491" s="13" t="s">
        <v>3180</v>
      </c>
      <c r="B1491" s="13">
        <v>4513503</v>
      </c>
      <c r="C1491" s="13" t="s">
        <v>641</v>
      </c>
      <c r="D1491" s="13" t="s">
        <v>426</v>
      </c>
      <c r="E1491" s="13">
        <v>2</v>
      </c>
      <c r="F1491" s="13" t="s">
        <v>654</v>
      </c>
      <c r="G1491" s="13" t="s">
        <v>654</v>
      </c>
      <c r="H1491" s="13" t="s">
        <v>641</v>
      </c>
    </row>
    <row r="1492" spans="1:8">
      <c r="A1492" s="13" t="s">
        <v>3180</v>
      </c>
      <c r="B1492" s="13">
        <v>4513524</v>
      </c>
      <c r="C1492" s="13" t="s">
        <v>641</v>
      </c>
      <c r="D1492" s="13" t="s">
        <v>3658</v>
      </c>
      <c r="E1492" s="13">
        <v>1</v>
      </c>
      <c r="F1492" s="13" t="s">
        <v>640</v>
      </c>
      <c r="G1492" s="13" t="s">
        <v>641</v>
      </c>
      <c r="H1492" s="13" t="s">
        <v>3187</v>
      </c>
    </row>
    <row r="1493" spans="1:8">
      <c r="A1493" s="13" t="s">
        <v>3180</v>
      </c>
      <c r="B1493" s="13">
        <v>4513525</v>
      </c>
      <c r="C1493" s="13" t="s">
        <v>641</v>
      </c>
      <c r="D1493" s="13" t="s">
        <v>3659</v>
      </c>
      <c r="E1493" s="13">
        <v>1</v>
      </c>
      <c r="F1493" s="13" t="s">
        <v>640</v>
      </c>
      <c r="G1493" s="13" t="s">
        <v>641</v>
      </c>
      <c r="H1493" s="13" t="s">
        <v>3187</v>
      </c>
    </row>
    <row r="1494" spans="1:8">
      <c r="A1494" s="13" t="s">
        <v>3180</v>
      </c>
      <c r="B1494" s="13">
        <v>4513526</v>
      </c>
      <c r="C1494" s="13" t="s">
        <v>641</v>
      </c>
      <c r="D1494" s="13" t="s">
        <v>3660</v>
      </c>
      <c r="E1494" s="13">
        <v>1</v>
      </c>
      <c r="F1494" s="13" t="s">
        <v>640</v>
      </c>
      <c r="G1494" s="13" t="s">
        <v>3186</v>
      </c>
      <c r="H1494" s="13" t="s">
        <v>3187</v>
      </c>
    </row>
    <row r="1495" spans="1:8">
      <c r="A1495" s="13" t="s">
        <v>3180</v>
      </c>
      <c r="B1495" s="13">
        <v>4513528</v>
      </c>
      <c r="C1495" s="13" t="s">
        <v>641</v>
      </c>
      <c r="D1495" s="13" t="s">
        <v>3661</v>
      </c>
      <c r="E1495" s="13">
        <v>1</v>
      </c>
      <c r="F1495" s="13" t="s">
        <v>656</v>
      </c>
      <c r="G1495" s="13" t="s">
        <v>641</v>
      </c>
      <c r="H1495" s="13" t="s">
        <v>3298</v>
      </c>
    </row>
    <row r="1496" spans="1:8">
      <c r="A1496" s="13" t="s">
        <v>3180</v>
      </c>
      <c r="B1496" s="13">
        <v>4513607</v>
      </c>
      <c r="C1496" s="13" t="s">
        <v>641</v>
      </c>
      <c r="D1496" s="13" t="s">
        <v>3662</v>
      </c>
      <c r="E1496" s="13">
        <v>2</v>
      </c>
      <c r="F1496" s="13" t="s">
        <v>654</v>
      </c>
      <c r="G1496" s="13" t="s">
        <v>641</v>
      </c>
      <c r="H1496" s="13" t="s">
        <v>641</v>
      </c>
    </row>
    <row r="1497" spans="1:8">
      <c r="A1497" s="13" t="s">
        <v>3180</v>
      </c>
      <c r="B1497" s="13">
        <v>4513623</v>
      </c>
      <c r="C1497" s="13" t="s">
        <v>641</v>
      </c>
      <c r="D1497" s="13" t="s">
        <v>3663</v>
      </c>
      <c r="E1497" s="13">
        <v>1</v>
      </c>
      <c r="F1497" s="13" t="s">
        <v>642</v>
      </c>
      <c r="G1497" s="13" t="s">
        <v>2437</v>
      </c>
      <c r="H1497" s="13" t="s">
        <v>641</v>
      </c>
    </row>
    <row r="1498" spans="1:8">
      <c r="A1498" s="13" t="s">
        <v>3180</v>
      </c>
      <c r="B1498" s="13">
        <v>4513624</v>
      </c>
      <c r="C1498" s="13" t="s">
        <v>641</v>
      </c>
      <c r="D1498" s="13" t="s">
        <v>3664</v>
      </c>
      <c r="E1498" s="13">
        <v>2</v>
      </c>
      <c r="F1498" s="13" t="s">
        <v>709</v>
      </c>
      <c r="G1498" s="13" t="s">
        <v>641</v>
      </c>
      <c r="H1498" s="13" t="s">
        <v>3298</v>
      </c>
    </row>
    <row r="1499" spans="1:8">
      <c r="A1499" s="13" t="s">
        <v>3180</v>
      </c>
      <c r="B1499" s="13">
        <v>4513625</v>
      </c>
      <c r="C1499" s="13" t="s">
        <v>641</v>
      </c>
      <c r="D1499" s="13" t="s">
        <v>3665</v>
      </c>
      <c r="E1499" s="13">
        <v>2</v>
      </c>
      <c r="F1499" s="13" t="s">
        <v>671</v>
      </c>
      <c r="G1499" s="13" t="s">
        <v>678</v>
      </c>
      <c r="H1499" s="13" t="s">
        <v>641</v>
      </c>
    </row>
    <row r="1500" spans="1:8">
      <c r="A1500" s="13" t="s">
        <v>3180</v>
      </c>
      <c r="B1500" s="13">
        <v>4513626</v>
      </c>
      <c r="C1500" s="13" t="s">
        <v>641</v>
      </c>
      <c r="D1500" s="13" t="s">
        <v>326</v>
      </c>
      <c r="E1500" s="13">
        <v>1</v>
      </c>
      <c r="F1500" s="13" t="s">
        <v>649</v>
      </c>
      <c r="G1500" s="13" t="s">
        <v>641</v>
      </c>
      <c r="H1500" s="13" t="s">
        <v>641</v>
      </c>
    </row>
    <row r="1501" spans="1:8">
      <c r="A1501" s="13" t="s">
        <v>3180</v>
      </c>
      <c r="B1501" s="13">
        <v>4513627</v>
      </c>
      <c r="C1501" s="13" t="s">
        <v>641</v>
      </c>
      <c r="D1501" s="13" t="s">
        <v>1543</v>
      </c>
      <c r="E1501" s="13">
        <v>1</v>
      </c>
      <c r="F1501" s="13" t="s">
        <v>640</v>
      </c>
      <c r="G1501" s="13" t="s">
        <v>3186</v>
      </c>
      <c r="H1501" s="13" t="s">
        <v>3535</v>
      </c>
    </row>
    <row r="1502" spans="1:8">
      <c r="A1502" s="13" t="s">
        <v>3180</v>
      </c>
      <c r="B1502" s="13">
        <v>4513628</v>
      </c>
      <c r="C1502" s="13" t="s">
        <v>641</v>
      </c>
      <c r="D1502" s="13" t="s">
        <v>3666</v>
      </c>
      <c r="E1502" s="13">
        <v>1</v>
      </c>
      <c r="F1502" s="13" t="s">
        <v>656</v>
      </c>
      <c r="G1502" s="13" t="s">
        <v>2445</v>
      </c>
      <c r="H1502" s="13" t="s">
        <v>641</v>
      </c>
    </row>
    <row r="1503" spans="1:8">
      <c r="A1503" s="13" t="s">
        <v>3180</v>
      </c>
      <c r="B1503" s="13">
        <v>4513629</v>
      </c>
      <c r="C1503" s="13" t="s">
        <v>641</v>
      </c>
      <c r="D1503" s="13" t="s">
        <v>1544</v>
      </c>
      <c r="E1503" s="13">
        <v>1</v>
      </c>
      <c r="F1503" s="13" t="s">
        <v>656</v>
      </c>
      <c r="G1503" s="13" t="s">
        <v>2445</v>
      </c>
      <c r="H1503" s="13" t="s">
        <v>641</v>
      </c>
    </row>
    <row r="1504" spans="1:8">
      <c r="A1504" s="13" t="s">
        <v>3180</v>
      </c>
      <c r="B1504" s="13">
        <v>4513630</v>
      </c>
      <c r="C1504" s="13" t="s">
        <v>641</v>
      </c>
      <c r="D1504" s="13" t="s">
        <v>1545</v>
      </c>
      <c r="E1504" s="13">
        <v>1</v>
      </c>
      <c r="F1504" s="13" t="s">
        <v>642</v>
      </c>
      <c r="G1504" s="13" t="s">
        <v>2437</v>
      </c>
      <c r="H1504" s="13" t="s">
        <v>641</v>
      </c>
    </row>
    <row r="1505" spans="1:8">
      <c r="A1505" s="13" t="s">
        <v>3180</v>
      </c>
      <c r="B1505" s="13">
        <v>4513631</v>
      </c>
      <c r="C1505" s="13" t="s">
        <v>641</v>
      </c>
      <c r="D1505" s="13" t="s">
        <v>1546</v>
      </c>
      <c r="E1505" s="13">
        <v>2</v>
      </c>
      <c r="F1505" s="13" t="s">
        <v>671</v>
      </c>
      <c r="G1505" s="13" t="s">
        <v>677</v>
      </c>
      <c r="H1505" s="13" t="s">
        <v>3187</v>
      </c>
    </row>
    <row r="1506" spans="1:8">
      <c r="A1506" s="13" t="s">
        <v>3180</v>
      </c>
      <c r="B1506" s="13">
        <v>4513639</v>
      </c>
      <c r="C1506" s="13" t="s">
        <v>641</v>
      </c>
      <c r="D1506" s="13" t="s">
        <v>27</v>
      </c>
      <c r="E1506" s="13">
        <v>2</v>
      </c>
      <c r="F1506" s="13" t="s">
        <v>671</v>
      </c>
      <c r="G1506" s="13" t="s">
        <v>677</v>
      </c>
      <c r="H1506" s="13" t="s">
        <v>641</v>
      </c>
    </row>
    <row r="1507" spans="1:8">
      <c r="A1507" s="13" t="s">
        <v>3180</v>
      </c>
      <c r="B1507" s="13">
        <v>4513679</v>
      </c>
      <c r="C1507" s="13" t="s">
        <v>641</v>
      </c>
      <c r="D1507" s="13" t="s">
        <v>1547</v>
      </c>
      <c r="E1507" s="13">
        <v>2</v>
      </c>
      <c r="F1507" s="13" t="s">
        <v>654</v>
      </c>
      <c r="G1507" s="13" t="s">
        <v>641</v>
      </c>
      <c r="H1507" s="13" t="s">
        <v>641</v>
      </c>
    </row>
    <row r="1508" spans="1:8">
      <c r="A1508" s="13" t="s">
        <v>3180</v>
      </c>
      <c r="B1508" s="13">
        <v>4513750</v>
      </c>
      <c r="C1508" s="13" t="s">
        <v>641</v>
      </c>
      <c r="D1508" s="13" t="s">
        <v>3667</v>
      </c>
      <c r="E1508" s="13">
        <v>2</v>
      </c>
      <c r="F1508" s="13" t="s">
        <v>671</v>
      </c>
      <c r="G1508" s="13" t="s">
        <v>672</v>
      </c>
      <c r="H1508" s="13" t="s">
        <v>641</v>
      </c>
    </row>
    <row r="1509" spans="1:8">
      <c r="A1509" s="13" t="s">
        <v>3180</v>
      </c>
      <c r="B1509" s="13">
        <v>4513751</v>
      </c>
      <c r="C1509" s="13" t="s">
        <v>641</v>
      </c>
      <c r="D1509" s="13" t="s">
        <v>3668</v>
      </c>
      <c r="E1509" s="13">
        <v>1</v>
      </c>
      <c r="F1509" s="13" t="s">
        <v>640</v>
      </c>
      <c r="G1509" s="13" t="s">
        <v>3186</v>
      </c>
      <c r="H1509" s="13" t="s">
        <v>641</v>
      </c>
    </row>
    <row r="1510" spans="1:8">
      <c r="A1510" s="13" t="s">
        <v>3180</v>
      </c>
      <c r="B1510" s="13">
        <v>4513752</v>
      </c>
      <c r="C1510" s="13" t="s">
        <v>641</v>
      </c>
      <c r="D1510" s="13" t="s">
        <v>3669</v>
      </c>
      <c r="E1510" s="13">
        <v>1</v>
      </c>
      <c r="F1510" s="13" t="s">
        <v>640</v>
      </c>
      <c r="G1510" s="13" t="s">
        <v>3186</v>
      </c>
      <c r="H1510" s="13" t="s">
        <v>641</v>
      </c>
    </row>
    <row r="1511" spans="1:8">
      <c r="A1511" s="13" t="s">
        <v>3180</v>
      </c>
      <c r="B1511" s="13">
        <v>4513782</v>
      </c>
      <c r="C1511" s="13" t="s">
        <v>641</v>
      </c>
      <c r="D1511" s="13" t="s">
        <v>3670</v>
      </c>
      <c r="E1511" s="13">
        <v>1</v>
      </c>
      <c r="F1511" s="13" t="s">
        <v>642</v>
      </c>
      <c r="G1511" s="13" t="s">
        <v>2437</v>
      </c>
      <c r="H1511" s="13" t="s">
        <v>641</v>
      </c>
    </row>
    <row r="1512" spans="1:8">
      <c r="A1512" s="13" t="s">
        <v>3180</v>
      </c>
      <c r="B1512" s="13">
        <v>4513812</v>
      </c>
      <c r="C1512" s="13" t="s">
        <v>641</v>
      </c>
      <c r="D1512" s="13" t="s">
        <v>3671</v>
      </c>
      <c r="E1512" s="13">
        <v>1</v>
      </c>
      <c r="F1512" s="13" t="s">
        <v>640</v>
      </c>
      <c r="G1512" s="13" t="s">
        <v>3186</v>
      </c>
      <c r="H1512" s="13" t="s">
        <v>641</v>
      </c>
    </row>
    <row r="1513" spans="1:8">
      <c r="A1513" s="13" t="s">
        <v>3180</v>
      </c>
      <c r="B1513" s="13">
        <v>4513823</v>
      </c>
      <c r="C1513" s="13" t="s">
        <v>641</v>
      </c>
      <c r="D1513" s="13" t="s">
        <v>1548</v>
      </c>
      <c r="E1513" s="13">
        <v>1</v>
      </c>
      <c r="F1513" s="13" t="s">
        <v>646</v>
      </c>
      <c r="G1513" s="13" t="s">
        <v>2627</v>
      </c>
      <c r="H1513" s="13" t="s">
        <v>641</v>
      </c>
    </row>
    <row r="1514" spans="1:8">
      <c r="A1514" s="13" t="s">
        <v>3180</v>
      </c>
      <c r="B1514" s="13">
        <v>4513824</v>
      </c>
      <c r="C1514" s="13" t="s">
        <v>641</v>
      </c>
      <c r="D1514" s="13" t="s">
        <v>1549</v>
      </c>
      <c r="E1514" s="13">
        <v>1</v>
      </c>
      <c r="F1514" s="13" t="s">
        <v>656</v>
      </c>
      <c r="G1514" s="13" t="s">
        <v>2445</v>
      </c>
      <c r="H1514" s="13" t="s">
        <v>641</v>
      </c>
    </row>
    <row r="1515" spans="1:8">
      <c r="A1515" s="13" t="s">
        <v>3180</v>
      </c>
      <c r="B1515" s="13">
        <v>4513825</v>
      </c>
      <c r="C1515" s="13" t="s">
        <v>641</v>
      </c>
      <c r="D1515" s="13" t="s">
        <v>1550</v>
      </c>
      <c r="E1515" s="13">
        <v>1</v>
      </c>
      <c r="F1515" s="13" t="s">
        <v>649</v>
      </c>
      <c r="G1515" s="13" t="s">
        <v>3207</v>
      </c>
      <c r="H1515" s="13" t="s">
        <v>641</v>
      </c>
    </row>
    <row r="1516" spans="1:8">
      <c r="A1516" s="13" t="s">
        <v>3180</v>
      </c>
      <c r="B1516" s="13">
        <v>4513826</v>
      </c>
      <c r="C1516" s="13" t="s">
        <v>641</v>
      </c>
      <c r="D1516" s="13" t="s">
        <v>1551</v>
      </c>
      <c r="E1516" s="13">
        <v>1</v>
      </c>
      <c r="F1516" s="13" t="s">
        <v>646</v>
      </c>
      <c r="G1516" s="13" t="s">
        <v>2627</v>
      </c>
      <c r="H1516" s="13" t="s">
        <v>641</v>
      </c>
    </row>
    <row r="1517" spans="1:8">
      <c r="A1517" s="13" t="s">
        <v>3180</v>
      </c>
      <c r="B1517" s="13">
        <v>4513827</v>
      </c>
      <c r="C1517" s="13" t="s">
        <v>641</v>
      </c>
      <c r="D1517" s="13" t="s">
        <v>1552</v>
      </c>
      <c r="E1517" s="13">
        <v>1</v>
      </c>
      <c r="F1517" s="13" t="s">
        <v>640</v>
      </c>
      <c r="G1517" s="13" t="s">
        <v>3186</v>
      </c>
      <c r="H1517" s="13" t="s">
        <v>641</v>
      </c>
    </row>
    <row r="1518" spans="1:8">
      <c r="A1518" s="13" t="s">
        <v>3180</v>
      </c>
      <c r="B1518" s="13">
        <v>4513872</v>
      </c>
      <c r="C1518" s="13" t="s">
        <v>641</v>
      </c>
      <c r="D1518" s="13" t="s">
        <v>1553</v>
      </c>
      <c r="E1518" s="13">
        <v>1</v>
      </c>
      <c r="F1518" s="13" t="s">
        <v>646</v>
      </c>
      <c r="G1518" s="13" t="s">
        <v>2627</v>
      </c>
      <c r="H1518" s="13" t="s">
        <v>3187</v>
      </c>
    </row>
    <row r="1519" spans="1:8">
      <c r="A1519" s="13" t="s">
        <v>3180</v>
      </c>
      <c r="B1519" s="13">
        <v>4513995</v>
      </c>
      <c r="C1519" s="13" t="s">
        <v>641</v>
      </c>
      <c r="D1519" s="13" t="s">
        <v>1554</v>
      </c>
      <c r="E1519" s="13">
        <v>1</v>
      </c>
      <c r="F1519" s="13" t="s">
        <v>656</v>
      </c>
      <c r="G1519" s="13" t="s">
        <v>2445</v>
      </c>
      <c r="H1519" s="13" t="s">
        <v>641</v>
      </c>
    </row>
    <row r="1520" spans="1:8">
      <c r="A1520" s="13" t="s">
        <v>3180</v>
      </c>
      <c r="B1520" s="13">
        <v>4513996</v>
      </c>
      <c r="C1520" s="13" t="s">
        <v>641</v>
      </c>
      <c r="D1520" s="13" t="s">
        <v>3672</v>
      </c>
      <c r="E1520" s="13">
        <v>1</v>
      </c>
      <c r="F1520" s="13" t="s">
        <v>656</v>
      </c>
      <c r="G1520" s="13" t="s">
        <v>2445</v>
      </c>
      <c r="H1520" s="13" t="s">
        <v>641</v>
      </c>
    </row>
    <row r="1521" spans="1:8">
      <c r="A1521" s="13" t="s">
        <v>3180</v>
      </c>
      <c r="B1521" s="13">
        <v>4513997</v>
      </c>
      <c r="C1521" s="13" t="s">
        <v>641</v>
      </c>
      <c r="D1521" s="13" t="s">
        <v>1555</v>
      </c>
      <c r="E1521" s="13">
        <v>1</v>
      </c>
      <c r="F1521" s="13" t="s">
        <v>649</v>
      </c>
      <c r="G1521" s="13" t="s">
        <v>3207</v>
      </c>
      <c r="H1521" s="13" t="s">
        <v>641</v>
      </c>
    </row>
    <row r="1522" spans="1:8">
      <c r="A1522" s="13" t="s">
        <v>3180</v>
      </c>
      <c r="B1522" s="13">
        <v>4513999</v>
      </c>
      <c r="C1522" s="13" t="s">
        <v>641</v>
      </c>
      <c r="D1522" s="13" t="s">
        <v>3673</v>
      </c>
      <c r="E1522" s="13">
        <v>1</v>
      </c>
      <c r="F1522" s="13" t="s">
        <v>649</v>
      </c>
      <c r="G1522" s="13" t="s">
        <v>3207</v>
      </c>
      <c r="H1522" s="13" t="s">
        <v>3193</v>
      </c>
    </row>
    <row r="1523" spans="1:8">
      <c r="A1523" s="13" t="s">
        <v>3180</v>
      </c>
      <c r="B1523" s="13">
        <v>4514000</v>
      </c>
      <c r="C1523" s="13" t="s">
        <v>641</v>
      </c>
      <c r="D1523" s="13" t="s">
        <v>3674</v>
      </c>
      <c r="E1523" s="13">
        <v>1</v>
      </c>
      <c r="F1523" s="13" t="s">
        <v>649</v>
      </c>
      <c r="G1523" s="13" t="s">
        <v>3207</v>
      </c>
      <c r="H1523" s="13" t="s">
        <v>3193</v>
      </c>
    </row>
    <row r="1524" spans="1:8">
      <c r="A1524" s="13" t="s">
        <v>3180</v>
      </c>
      <c r="B1524" s="13">
        <v>4514001</v>
      </c>
      <c r="C1524" s="13" t="s">
        <v>641</v>
      </c>
      <c r="D1524" s="13" t="s">
        <v>3675</v>
      </c>
      <c r="E1524" s="13">
        <v>2</v>
      </c>
      <c r="F1524" s="13" t="s">
        <v>709</v>
      </c>
      <c r="G1524" s="13" t="s">
        <v>641</v>
      </c>
      <c r="H1524" s="13" t="s">
        <v>641</v>
      </c>
    </row>
    <row r="1525" spans="1:8">
      <c r="A1525" s="13" t="s">
        <v>3180</v>
      </c>
      <c r="B1525" s="13">
        <v>4514167</v>
      </c>
      <c r="C1525" s="13" t="s">
        <v>641</v>
      </c>
      <c r="D1525" s="13" t="s">
        <v>3676</v>
      </c>
      <c r="E1525" s="13">
        <v>1</v>
      </c>
      <c r="F1525" s="13" t="s">
        <v>640</v>
      </c>
      <c r="G1525" s="13" t="s">
        <v>3186</v>
      </c>
      <c r="H1525" s="13" t="s">
        <v>3187</v>
      </c>
    </row>
    <row r="1526" spans="1:8">
      <c r="A1526" s="13" t="s">
        <v>3180</v>
      </c>
      <c r="B1526" s="13">
        <v>4514168</v>
      </c>
      <c r="C1526" s="13" t="s">
        <v>641</v>
      </c>
      <c r="D1526" s="13" t="s">
        <v>3677</v>
      </c>
      <c r="E1526" s="13">
        <v>1</v>
      </c>
      <c r="F1526" s="13" t="s">
        <v>640</v>
      </c>
      <c r="G1526" s="13" t="s">
        <v>3186</v>
      </c>
      <c r="H1526" s="13" t="s">
        <v>3187</v>
      </c>
    </row>
    <row r="1527" spans="1:8">
      <c r="A1527" s="13" t="s">
        <v>3180</v>
      </c>
      <c r="B1527" s="13">
        <v>4514209</v>
      </c>
      <c r="C1527" s="13" t="s">
        <v>641</v>
      </c>
      <c r="D1527" s="13" t="s">
        <v>3678</v>
      </c>
      <c r="E1527" s="13">
        <v>1</v>
      </c>
      <c r="F1527" s="13" t="s">
        <v>646</v>
      </c>
      <c r="G1527" s="13" t="s">
        <v>2627</v>
      </c>
      <c r="H1527" s="13" t="s">
        <v>3187</v>
      </c>
    </row>
    <row r="1528" spans="1:8">
      <c r="A1528" s="13" t="s">
        <v>3180</v>
      </c>
      <c r="B1528" s="13">
        <v>4514210</v>
      </c>
      <c r="C1528" s="13" t="s">
        <v>641</v>
      </c>
      <c r="D1528" s="13" t="s">
        <v>3679</v>
      </c>
      <c r="E1528" s="13">
        <v>1</v>
      </c>
      <c r="F1528" s="13" t="s">
        <v>649</v>
      </c>
      <c r="G1528" s="13" t="s">
        <v>3207</v>
      </c>
      <c r="H1528" s="13" t="s">
        <v>3193</v>
      </c>
    </row>
    <row r="1529" spans="1:8">
      <c r="A1529" s="13" t="s">
        <v>3180</v>
      </c>
      <c r="B1529" s="13">
        <v>4514211</v>
      </c>
      <c r="C1529" s="13" t="s">
        <v>641</v>
      </c>
      <c r="D1529" s="13" t="s">
        <v>3680</v>
      </c>
      <c r="E1529" s="13">
        <v>2</v>
      </c>
      <c r="F1529" s="13" t="s">
        <v>671</v>
      </c>
      <c r="G1529" s="13" t="s">
        <v>678</v>
      </c>
      <c r="H1529" s="13" t="s">
        <v>3187</v>
      </c>
    </row>
    <row r="1530" spans="1:8">
      <c r="A1530" s="13" t="s">
        <v>3180</v>
      </c>
      <c r="B1530" s="13">
        <v>4514212</v>
      </c>
      <c r="C1530" s="13" t="s">
        <v>641</v>
      </c>
      <c r="D1530" s="13" t="s">
        <v>3681</v>
      </c>
      <c r="E1530" s="13">
        <v>1</v>
      </c>
      <c r="F1530" s="13" t="s">
        <v>642</v>
      </c>
      <c r="G1530" s="13" t="s">
        <v>2437</v>
      </c>
      <c r="H1530" s="13" t="s">
        <v>3193</v>
      </c>
    </row>
    <row r="1531" spans="1:8">
      <c r="A1531" s="13" t="s">
        <v>3180</v>
      </c>
      <c r="B1531" s="13">
        <v>4514213</v>
      </c>
      <c r="C1531" s="13" t="s">
        <v>641</v>
      </c>
      <c r="D1531" s="13" t="s">
        <v>3682</v>
      </c>
      <c r="E1531" s="13">
        <v>1</v>
      </c>
      <c r="F1531" s="13" t="s">
        <v>640</v>
      </c>
      <c r="G1531" s="13" t="s">
        <v>3186</v>
      </c>
      <c r="H1531" s="13" t="s">
        <v>3187</v>
      </c>
    </row>
    <row r="1532" spans="1:8">
      <c r="A1532" s="13" t="s">
        <v>3180</v>
      </c>
      <c r="B1532" s="13">
        <v>4514214</v>
      </c>
      <c r="C1532" s="13" t="s">
        <v>641</v>
      </c>
      <c r="D1532" s="13" t="s">
        <v>1558</v>
      </c>
      <c r="E1532" s="13">
        <v>1</v>
      </c>
      <c r="F1532" s="13" t="s">
        <v>646</v>
      </c>
      <c r="G1532" s="13" t="s">
        <v>2627</v>
      </c>
      <c r="H1532" s="13" t="s">
        <v>641</v>
      </c>
    </row>
    <row r="1533" spans="1:8">
      <c r="A1533" s="13" t="s">
        <v>3180</v>
      </c>
      <c r="B1533" s="13">
        <v>4514284</v>
      </c>
      <c r="C1533" s="13" t="s">
        <v>641</v>
      </c>
      <c r="D1533" s="13" t="s">
        <v>149</v>
      </c>
      <c r="E1533" s="13">
        <v>2</v>
      </c>
      <c r="F1533" s="13" t="s">
        <v>709</v>
      </c>
      <c r="G1533" s="13" t="s">
        <v>641</v>
      </c>
      <c r="H1533" s="13" t="s">
        <v>641</v>
      </c>
    </row>
    <row r="1534" spans="1:8">
      <c r="A1534" s="13" t="s">
        <v>3180</v>
      </c>
      <c r="B1534" s="13">
        <v>4514406</v>
      </c>
      <c r="C1534" s="13" t="s">
        <v>641</v>
      </c>
      <c r="D1534" s="13" t="s">
        <v>1559</v>
      </c>
      <c r="E1534" s="13">
        <v>1</v>
      </c>
      <c r="F1534" s="13" t="s">
        <v>649</v>
      </c>
      <c r="G1534" s="13" t="s">
        <v>3207</v>
      </c>
      <c r="H1534" s="13" t="s">
        <v>3187</v>
      </c>
    </row>
    <row r="1535" spans="1:8">
      <c r="A1535" s="13" t="s">
        <v>3180</v>
      </c>
      <c r="B1535" s="13">
        <v>4514407</v>
      </c>
      <c r="C1535" s="13" t="s">
        <v>641</v>
      </c>
      <c r="D1535" s="13" t="s">
        <v>1560</v>
      </c>
      <c r="E1535" s="13">
        <v>2</v>
      </c>
      <c r="F1535" s="13" t="s">
        <v>654</v>
      </c>
      <c r="G1535" s="13" t="s">
        <v>654</v>
      </c>
      <c r="H1535" s="13" t="s">
        <v>3246</v>
      </c>
    </row>
    <row r="1536" spans="1:8">
      <c r="A1536" s="13" t="s">
        <v>3180</v>
      </c>
      <c r="B1536" s="13">
        <v>4514408</v>
      </c>
      <c r="C1536" s="13" t="s">
        <v>641</v>
      </c>
      <c r="D1536" s="13" t="s">
        <v>1561</v>
      </c>
      <c r="E1536" s="13">
        <v>1</v>
      </c>
      <c r="F1536" s="13" t="s">
        <v>642</v>
      </c>
      <c r="G1536" s="13" t="s">
        <v>2437</v>
      </c>
      <c r="H1536" s="13" t="s">
        <v>3187</v>
      </c>
    </row>
    <row r="1537" spans="1:8">
      <c r="A1537" s="13" t="s">
        <v>3180</v>
      </c>
      <c r="B1537" s="13">
        <v>4514409</v>
      </c>
      <c r="C1537" s="13" t="s">
        <v>641</v>
      </c>
      <c r="D1537" s="13" t="s">
        <v>1562</v>
      </c>
      <c r="E1537" s="13">
        <v>1</v>
      </c>
      <c r="F1537" s="13" t="s">
        <v>642</v>
      </c>
      <c r="G1537" s="13" t="s">
        <v>2437</v>
      </c>
      <c r="H1537" s="13" t="s">
        <v>3187</v>
      </c>
    </row>
    <row r="1538" spans="1:8">
      <c r="A1538" s="13" t="s">
        <v>3180</v>
      </c>
      <c r="B1538" s="13">
        <v>4514410</v>
      </c>
      <c r="C1538" s="13" t="s">
        <v>641</v>
      </c>
      <c r="D1538" s="13" t="s">
        <v>373</v>
      </c>
      <c r="E1538" s="13">
        <v>1</v>
      </c>
      <c r="F1538" s="13" t="s">
        <v>644</v>
      </c>
      <c r="G1538" s="13" t="s">
        <v>3204</v>
      </c>
      <c r="H1538" s="13" t="s">
        <v>3187</v>
      </c>
    </row>
    <row r="1539" spans="1:8">
      <c r="A1539" s="13" t="s">
        <v>3180</v>
      </c>
      <c r="B1539" s="13">
        <v>4514411</v>
      </c>
      <c r="C1539" s="13" t="s">
        <v>641</v>
      </c>
      <c r="D1539" s="13" t="s">
        <v>1563</v>
      </c>
      <c r="E1539" s="13">
        <v>1</v>
      </c>
      <c r="F1539" s="13" t="s">
        <v>642</v>
      </c>
      <c r="G1539" s="13" t="s">
        <v>2437</v>
      </c>
      <c r="H1539" s="13" t="s">
        <v>3187</v>
      </c>
    </row>
    <row r="1540" spans="1:8">
      <c r="A1540" s="13" t="s">
        <v>3180</v>
      </c>
      <c r="B1540" s="13">
        <v>4514412</v>
      </c>
      <c r="C1540" s="13" t="s">
        <v>641</v>
      </c>
      <c r="D1540" s="13" t="s">
        <v>1564</v>
      </c>
      <c r="E1540" s="13">
        <v>1</v>
      </c>
      <c r="F1540" s="13" t="s">
        <v>656</v>
      </c>
      <c r="G1540" s="13" t="s">
        <v>2445</v>
      </c>
      <c r="H1540" s="13" t="s">
        <v>3187</v>
      </c>
    </row>
    <row r="1541" spans="1:8">
      <c r="A1541" s="13" t="s">
        <v>3180</v>
      </c>
      <c r="B1541" s="13">
        <v>4514434</v>
      </c>
      <c r="C1541" s="13" t="s">
        <v>641</v>
      </c>
      <c r="D1541" s="13" t="s">
        <v>1565</v>
      </c>
      <c r="E1541" s="13">
        <v>2</v>
      </c>
      <c r="F1541" s="13" t="s">
        <v>671</v>
      </c>
      <c r="G1541" s="13" t="s">
        <v>672</v>
      </c>
      <c r="H1541" s="13" t="s">
        <v>3187</v>
      </c>
    </row>
    <row r="1542" spans="1:8">
      <c r="A1542" s="13" t="s">
        <v>3180</v>
      </c>
      <c r="B1542" s="13">
        <v>4514435</v>
      </c>
      <c r="C1542" s="13" t="s">
        <v>641</v>
      </c>
      <c r="D1542" s="13" t="s">
        <v>1566</v>
      </c>
      <c r="E1542" s="13">
        <v>1</v>
      </c>
      <c r="F1542" s="13" t="s">
        <v>642</v>
      </c>
      <c r="G1542" s="13" t="s">
        <v>2437</v>
      </c>
      <c r="H1542" s="13" t="s">
        <v>684</v>
      </c>
    </row>
    <row r="1543" spans="1:8">
      <c r="A1543" s="13" t="s">
        <v>3180</v>
      </c>
      <c r="B1543" s="13">
        <v>4514436</v>
      </c>
      <c r="C1543" s="13" t="s">
        <v>641</v>
      </c>
      <c r="D1543" s="13" t="s">
        <v>1567</v>
      </c>
      <c r="E1543" s="13">
        <v>1</v>
      </c>
      <c r="F1543" s="13" t="s">
        <v>642</v>
      </c>
      <c r="G1543" s="13" t="s">
        <v>2437</v>
      </c>
      <c r="H1543" s="13" t="s">
        <v>3187</v>
      </c>
    </row>
    <row r="1544" spans="1:8">
      <c r="A1544" s="13" t="s">
        <v>3180</v>
      </c>
      <c r="B1544" s="13">
        <v>4514537</v>
      </c>
      <c r="C1544" s="13" t="s">
        <v>641</v>
      </c>
      <c r="D1544" s="13" t="s">
        <v>1568</v>
      </c>
      <c r="E1544" s="13">
        <v>1</v>
      </c>
      <c r="F1544" s="13" t="s">
        <v>656</v>
      </c>
      <c r="G1544" s="13" t="s">
        <v>2445</v>
      </c>
      <c r="H1544" s="13" t="s">
        <v>3187</v>
      </c>
    </row>
    <row r="1545" spans="1:8">
      <c r="A1545" s="13" t="s">
        <v>3180</v>
      </c>
      <c r="B1545" s="13">
        <v>4514538</v>
      </c>
      <c r="C1545" s="13" t="s">
        <v>641</v>
      </c>
      <c r="D1545" s="13" t="s">
        <v>517</v>
      </c>
      <c r="E1545" s="13">
        <v>1</v>
      </c>
      <c r="F1545" s="13" t="s">
        <v>656</v>
      </c>
      <c r="G1545" s="13" t="s">
        <v>2445</v>
      </c>
      <c r="H1545" s="13" t="s">
        <v>3187</v>
      </c>
    </row>
    <row r="1546" spans="1:8">
      <c r="A1546" s="13" t="s">
        <v>3180</v>
      </c>
      <c r="B1546" s="13">
        <v>4514539</v>
      </c>
      <c r="C1546" s="13" t="s">
        <v>641</v>
      </c>
      <c r="D1546" s="13" t="s">
        <v>412</v>
      </c>
      <c r="E1546" s="13">
        <v>1</v>
      </c>
      <c r="F1546" s="13" t="s">
        <v>644</v>
      </c>
      <c r="G1546" s="13" t="s">
        <v>641</v>
      </c>
      <c r="H1546" s="13" t="s">
        <v>3187</v>
      </c>
    </row>
    <row r="1547" spans="1:8">
      <c r="A1547" s="13" t="s">
        <v>3180</v>
      </c>
      <c r="B1547" s="13">
        <v>4514540</v>
      </c>
      <c r="C1547" s="13" t="s">
        <v>641</v>
      </c>
      <c r="D1547" s="13" t="s">
        <v>1569</v>
      </c>
      <c r="E1547" s="13">
        <v>2</v>
      </c>
      <c r="F1547" s="13" t="s">
        <v>654</v>
      </c>
      <c r="G1547" s="13" t="s">
        <v>654</v>
      </c>
      <c r="H1547" s="13" t="s">
        <v>641</v>
      </c>
    </row>
    <row r="1548" spans="1:8">
      <c r="A1548" s="13" t="s">
        <v>3180</v>
      </c>
      <c r="B1548" s="13">
        <v>4514541</v>
      </c>
      <c r="C1548" s="13" t="s">
        <v>641</v>
      </c>
      <c r="D1548" s="13" t="s">
        <v>3683</v>
      </c>
      <c r="E1548" s="13">
        <v>1</v>
      </c>
      <c r="F1548" s="13" t="s">
        <v>640</v>
      </c>
      <c r="G1548" s="13" t="s">
        <v>3186</v>
      </c>
      <c r="H1548" s="13" t="s">
        <v>3187</v>
      </c>
    </row>
    <row r="1549" spans="1:8">
      <c r="A1549" s="13" t="s">
        <v>3180</v>
      </c>
      <c r="B1549" s="13">
        <v>4514542</v>
      </c>
      <c r="C1549" s="13" t="s">
        <v>641</v>
      </c>
      <c r="D1549" s="13" t="s">
        <v>3684</v>
      </c>
      <c r="E1549" s="13">
        <v>1</v>
      </c>
      <c r="F1549" s="13" t="s">
        <v>646</v>
      </c>
      <c r="G1549" s="13" t="s">
        <v>2627</v>
      </c>
      <c r="H1549" s="13" t="s">
        <v>641</v>
      </c>
    </row>
    <row r="1550" spans="1:8">
      <c r="A1550" s="13" t="s">
        <v>3180</v>
      </c>
      <c r="B1550" s="13">
        <v>4514543</v>
      </c>
      <c r="C1550" s="13" t="s">
        <v>641</v>
      </c>
      <c r="D1550" s="13" t="s">
        <v>3685</v>
      </c>
      <c r="E1550" s="13">
        <v>1</v>
      </c>
      <c r="F1550" s="13" t="s">
        <v>649</v>
      </c>
      <c r="G1550" s="13" t="s">
        <v>3207</v>
      </c>
      <c r="H1550" s="13" t="s">
        <v>641</v>
      </c>
    </row>
    <row r="1551" spans="1:8">
      <c r="A1551" s="13" t="s">
        <v>3180</v>
      </c>
      <c r="B1551" s="13">
        <v>4514559</v>
      </c>
      <c r="C1551" s="13" t="s">
        <v>641</v>
      </c>
      <c r="D1551" s="13" t="s">
        <v>3686</v>
      </c>
      <c r="E1551" s="13">
        <v>1</v>
      </c>
      <c r="F1551" s="13" t="s">
        <v>642</v>
      </c>
      <c r="G1551" s="13" t="s">
        <v>2437</v>
      </c>
      <c r="H1551" s="13" t="s">
        <v>3187</v>
      </c>
    </row>
    <row r="1552" spans="1:8">
      <c r="A1552" s="13" t="s">
        <v>3180</v>
      </c>
      <c r="B1552" s="13">
        <v>4514602</v>
      </c>
      <c r="C1552" s="13" t="s">
        <v>641</v>
      </c>
      <c r="D1552" s="13" t="s">
        <v>486</v>
      </c>
      <c r="E1552" s="13">
        <v>1</v>
      </c>
      <c r="F1552" s="13" t="s">
        <v>644</v>
      </c>
      <c r="G1552" s="13" t="s">
        <v>3204</v>
      </c>
      <c r="H1552" s="13" t="s">
        <v>641</v>
      </c>
    </row>
    <row r="1553" spans="1:8">
      <c r="A1553" s="13" t="s">
        <v>3180</v>
      </c>
      <c r="B1553" s="13">
        <v>4514640</v>
      </c>
      <c r="C1553" s="13" t="s">
        <v>641</v>
      </c>
      <c r="D1553" s="13" t="s">
        <v>1570</v>
      </c>
      <c r="E1553" s="13">
        <v>2</v>
      </c>
      <c r="F1553" s="13" t="s">
        <v>671</v>
      </c>
      <c r="G1553" s="13" t="s">
        <v>677</v>
      </c>
      <c r="H1553" s="13" t="s">
        <v>3246</v>
      </c>
    </row>
    <row r="1554" spans="1:8">
      <c r="A1554" s="13" t="s">
        <v>3180</v>
      </c>
      <c r="B1554" s="13">
        <v>4514642</v>
      </c>
      <c r="C1554" s="13" t="s">
        <v>641</v>
      </c>
      <c r="D1554" s="13" t="s">
        <v>3687</v>
      </c>
      <c r="E1554" s="13">
        <v>1</v>
      </c>
      <c r="F1554" s="13" t="s">
        <v>649</v>
      </c>
      <c r="G1554" s="13" t="s">
        <v>641</v>
      </c>
      <c r="H1554" s="13" t="s">
        <v>641</v>
      </c>
    </row>
    <row r="1555" spans="1:8">
      <c r="A1555" s="13" t="s">
        <v>3180</v>
      </c>
      <c r="B1555" s="13">
        <v>4514743</v>
      </c>
      <c r="C1555" s="13" t="s">
        <v>641</v>
      </c>
      <c r="D1555" s="13" t="s">
        <v>3688</v>
      </c>
      <c r="E1555" s="13">
        <v>1</v>
      </c>
      <c r="F1555" s="13" t="s">
        <v>642</v>
      </c>
      <c r="G1555" s="13" t="s">
        <v>641</v>
      </c>
      <c r="H1555" s="13" t="s">
        <v>641</v>
      </c>
    </row>
    <row r="1556" spans="1:8">
      <c r="A1556" s="13" t="s">
        <v>3180</v>
      </c>
      <c r="B1556" s="13">
        <v>4514744</v>
      </c>
      <c r="C1556" s="13" t="s">
        <v>641</v>
      </c>
      <c r="D1556" s="13" t="s">
        <v>57</v>
      </c>
      <c r="E1556" s="13">
        <v>1</v>
      </c>
      <c r="F1556" s="13" t="s">
        <v>640</v>
      </c>
      <c r="G1556" s="13" t="s">
        <v>3186</v>
      </c>
      <c r="H1556" s="13" t="s">
        <v>641</v>
      </c>
    </row>
    <row r="1557" spans="1:8">
      <c r="A1557" s="13" t="s">
        <v>3180</v>
      </c>
      <c r="B1557" s="13">
        <v>4514783</v>
      </c>
      <c r="C1557" s="13" t="s">
        <v>641</v>
      </c>
      <c r="D1557" s="13" t="s">
        <v>3689</v>
      </c>
      <c r="E1557" s="13">
        <v>1</v>
      </c>
      <c r="F1557" s="13" t="s">
        <v>640</v>
      </c>
      <c r="G1557" s="13" t="s">
        <v>3186</v>
      </c>
      <c r="H1557" s="13" t="s">
        <v>641</v>
      </c>
    </row>
    <row r="1558" spans="1:8">
      <c r="A1558" s="13" t="s">
        <v>3180</v>
      </c>
      <c r="B1558" s="13">
        <v>4514784</v>
      </c>
      <c r="C1558" s="13" t="s">
        <v>641</v>
      </c>
      <c r="D1558" s="13" t="s">
        <v>3690</v>
      </c>
      <c r="E1558" s="13">
        <v>1</v>
      </c>
      <c r="F1558" s="13" t="s">
        <v>642</v>
      </c>
      <c r="G1558" s="13" t="s">
        <v>641</v>
      </c>
      <c r="H1558" s="13" t="s">
        <v>641</v>
      </c>
    </row>
    <row r="1559" spans="1:8">
      <c r="A1559" s="13" t="s">
        <v>3180</v>
      </c>
      <c r="B1559" s="13">
        <v>4514785</v>
      </c>
      <c r="C1559" s="13" t="s">
        <v>641</v>
      </c>
      <c r="D1559" s="13" t="s">
        <v>3691</v>
      </c>
      <c r="E1559" s="13">
        <v>1</v>
      </c>
      <c r="F1559" s="13" t="s">
        <v>644</v>
      </c>
      <c r="G1559" s="13" t="s">
        <v>641</v>
      </c>
      <c r="H1559" s="13" t="s">
        <v>641</v>
      </c>
    </row>
    <row r="1560" spans="1:8">
      <c r="A1560" s="13" t="s">
        <v>3180</v>
      </c>
      <c r="B1560" s="13">
        <v>4514924</v>
      </c>
      <c r="C1560" s="13" t="s">
        <v>641</v>
      </c>
      <c r="D1560" s="13" t="s">
        <v>585</v>
      </c>
      <c r="E1560" s="13">
        <v>1</v>
      </c>
      <c r="F1560" s="13" t="s">
        <v>642</v>
      </c>
      <c r="G1560" s="13" t="s">
        <v>2437</v>
      </c>
      <c r="H1560" s="13" t="s">
        <v>641</v>
      </c>
    </row>
    <row r="1561" spans="1:8">
      <c r="A1561" s="13" t="s">
        <v>3180</v>
      </c>
      <c r="B1561" s="13">
        <v>4514925</v>
      </c>
      <c r="C1561" s="13" t="s">
        <v>641</v>
      </c>
      <c r="D1561" s="13" t="s">
        <v>3692</v>
      </c>
      <c r="E1561" s="13">
        <v>1</v>
      </c>
      <c r="F1561" s="13" t="s">
        <v>640</v>
      </c>
      <c r="G1561" s="13" t="s">
        <v>641</v>
      </c>
      <c r="H1561" s="13" t="s">
        <v>3298</v>
      </c>
    </row>
    <row r="1562" spans="1:8">
      <c r="A1562" s="13" t="s">
        <v>3180</v>
      </c>
      <c r="B1562" s="13">
        <v>4514926</v>
      </c>
      <c r="C1562" s="13" t="s">
        <v>641</v>
      </c>
      <c r="D1562" s="13" t="s">
        <v>3693</v>
      </c>
      <c r="E1562" s="13">
        <v>1</v>
      </c>
      <c r="F1562" s="13" t="s">
        <v>644</v>
      </c>
      <c r="G1562" s="13" t="s">
        <v>641</v>
      </c>
      <c r="H1562" s="13" t="s">
        <v>641</v>
      </c>
    </row>
    <row r="1563" spans="1:8">
      <c r="A1563" s="13" t="s">
        <v>3180</v>
      </c>
      <c r="B1563" s="13">
        <v>4515072</v>
      </c>
      <c r="C1563" s="13" t="s">
        <v>641</v>
      </c>
      <c r="D1563" s="13" t="s">
        <v>3694</v>
      </c>
      <c r="E1563" s="13">
        <v>1</v>
      </c>
      <c r="F1563" s="13" t="s">
        <v>640</v>
      </c>
      <c r="G1563" s="13" t="s">
        <v>3186</v>
      </c>
      <c r="H1563" s="13" t="s">
        <v>641</v>
      </c>
    </row>
    <row r="1564" spans="1:8">
      <c r="A1564" s="13" t="s">
        <v>3180</v>
      </c>
      <c r="B1564" s="13">
        <v>4515073</v>
      </c>
      <c r="C1564" s="13" t="s">
        <v>641</v>
      </c>
      <c r="D1564" s="13" t="s">
        <v>3695</v>
      </c>
      <c r="E1564" s="13">
        <v>2</v>
      </c>
      <c r="F1564" s="13" t="s">
        <v>671</v>
      </c>
      <c r="G1564" s="13" t="s">
        <v>677</v>
      </c>
      <c r="H1564" s="13" t="s">
        <v>641</v>
      </c>
    </row>
    <row r="1565" spans="1:8">
      <c r="A1565" s="13" t="s">
        <v>3180</v>
      </c>
      <c r="B1565" s="13">
        <v>4515200</v>
      </c>
      <c r="C1565" s="13" t="s">
        <v>641</v>
      </c>
      <c r="D1565" s="13" t="s">
        <v>3696</v>
      </c>
      <c r="E1565" s="13">
        <v>1</v>
      </c>
      <c r="F1565" s="13" t="s">
        <v>649</v>
      </c>
      <c r="G1565" s="13" t="s">
        <v>3207</v>
      </c>
      <c r="H1565" s="13" t="s">
        <v>641</v>
      </c>
    </row>
    <row r="1566" spans="1:8">
      <c r="A1566" s="13" t="s">
        <v>3180</v>
      </c>
      <c r="B1566" s="13">
        <v>4515229</v>
      </c>
      <c r="C1566" s="13" t="s">
        <v>641</v>
      </c>
      <c r="D1566" s="13" t="s">
        <v>3697</v>
      </c>
      <c r="E1566" s="13">
        <v>1</v>
      </c>
      <c r="F1566" s="13" t="s">
        <v>642</v>
      </c>
      <c r="G1566" s="13" t="s">
        <v>2437</v>
      </c>
      <c r="H1566" s="13" t="s">
        <v>684</v>
      </c>
    </row>
    <row r="1567" spans="1:8">
      <c r="A1567" s="13" t="s">
        <v>3180</v>
      </c>
      <c r="B1567" s="13">
        <v>4515230</v>
      </c>
      <c r="C1567" s="13" t="s">
        <v>641</v>
      </c>
      <c r="D1567" s="13" t="s">
        <v>3698</v>
      </c>
      <c r="E1567" s="13">
        <v>1</v>
      </c>
      <c r="F1567" s="13" t="s">
        <v>640</v>
      </c>
      <c r="G1567" s="13" t="s">
        <v>3186</v>
      </c>
      <c r="H1567" s="13" t="s">
        <v>684</v>
      </c>
    </row>
    <row r="1568" spans="1:8">
      <c r="A1568" s="13" t="s">
        <v>3180</v>
      </c>
      <c r="B1568" s="13">
        <v>4515231</v>
      </c>
      <c r="C1568" s="13" t="s">
        <v>641</v>
      </c>
      <c r="D1568" s="13" t="s">
        <v>1571</v>
      </c>
      <c r="E1568" s="13">
        <v>1</v>
      </c>
      <c r="F1568" s="13" t="s">
        <v>656</v>
      </c>
      <c r="G1568" s="13" t="s">
        <v>2445</v>
      </c>
      <c r="H1568" s="13" t="s">
        <v>641</v>
      </c>
    </row>
    <row r="1569" spans="1:8">
      <c r="A1569" s="13" t="s">
        <v>3180</v>
      </c>
      <c r="B1569" s="13">
        <v>4515311</v>
      </c>
      <c r="C1569" s="13" t="s">
        <v>641</v>
      </c>
      <c r="D1569" s="13" t="s">
        <v>1572</v>
      </c>
      <c r="E1569" s="13">
        <v>2</v>
      </c>
      <c r="F1569" s="13" t="s">
        <v>654</v>
      </c>
      <c r="G1569" s="13" t="s">
        <v>641</v>
      </c>
      <c r="H1569" s="13" t="s">
        <v>641</v>
      </c>
    </row>
    <row r="1570" spans="1:8">
      <c r="A1570" s="13" t="s">
        <v>3180</v>
      </c>
      <c r="B1570" s="13">
        <v>4515419</v>
      </c>
      <c r="C1570" s="13" t="s">
        <v>641</v>
      </c>
      <c r="D1570" s="13" t="s">
        <v>158</v>
      </c>
      <c r="E1570" s="13">
        <v>1</v>
      </c>
      <c r="F1570" s="13" t="s">
        <v>642</v>
      </c>
      <c r="G1570" s="13" t="s">
        <v>2437</v>
      </c>
      <c r="H1570" s="13" t="s">
        <v>641</v>
      </c>
    </row>
    <row r="1571" spans="1:8">
      <c r="A1571" s="13" t="s">
        <v>3180</v>
      </c>
      <c r="B1571" s="13">
        <v>4515420</v>
      </c>
      <c r="C1571" s="13" t="s">
        <v>641</v>
      </c>
      <c r="D1571" s="13" t="s">
        <v>1573</v>
      </c>
      <c r="E1571" s="13">
        <v>1</v>
      </c>
      <c r="F1571" s="13" t="s">
        <v>644</v>
      </c>
      <c r="G1571" s="13" t="s">
        <v>3204</v>
      </c>
      <c r="H1571" s="13" t="s">
        <v>641</v>
      </c>
    </row>
    <row r="1572" spans="1:8">
      <c r="A1572" s="13" t="s">
        <v>3180</v>
      </c>
      <c r="B1572" s="13">
        <v>4515457</v>
      </c>
      <c r="C1572" s="13" t="s">
        <v>641</v>
      </c>
      <c r="D1572" s="13" t="s">
        <v>1574</v>
      </c>
      <c r="E1572" s="13">
        <v>1</v>
      </c>
      <c r="F1572" s="13" t="s">
        <v>649</v>
      </c>
      <c r="G1572" s="13" t="s">
        <v>3207</v>
      </c>
      <c r="H1572" s="13" t="s">
        <v>3246</v>
      </c>
    </row>
    <row r="1573" spans="1:8">
      <c r="A1573" s="13" t="s">
        <v>3180</v>
      </c>
      <c r="B1573" s="13">
        <v>4515458</v>
      </c>
      <c r="C1573" s="13" t="s">
        <v>641</v>
      </c>
      <c r="D1573" s="13" t="s">
        <v>515</v>
      </c>
      <c r="E1573" s="13">
        <v>1</v>
      </c>
      <c r="F1573" s="13" t="s">
        <v>656</v>
      </c>
      <c r="G1573" s="13" t="s">
        <v>2445</v>
      </c>
      <c r="H1573" s="13" t="s">
        <v>3246</v>
      </c>
    </row>
    <row r="1574" spans="1:8">
      <c r="A1574" s="13" t="s">
        <v>3180</v>
      </c>
      <c r="B1574" s="13">
        <v>4515459</v>
      </c>
      <c r="C1574" s="13" t="s">
        <v>641</v>
      </c>
      <c r="D1574" s="13" t="s">
        <v>3699</v>
      </c>
      <c r="E1574" s="13">
        <v>1</v>
      </c>
      <c r="F1574" s="13" t="s">
        <v>640</v>
      </c>
      <c r="G1574" s="13" t="s">
        <v>641</v>
      </c>
      <c r="H1574" s="13" t="s">
        <v>700</v>
      </c>
    </row>
    <row r="1575" spans="1:8">
      <c r="A1575" s="13" t="s">
        <v>3180</v>
      </c>
      <c r="B1575" s="13">
        <v>4515468</v>
      </c>
      <c r="C1575" s="13" t="s">
        <v>641</v>
      </c>
      <c r="D1575" s="13" t="s">
        <v>236</v>
      </c>
      <c r="E1575" s="13">
        <v>1</v>
      </c>
      <c r="F1575" s="13" t="s">
        <v>642</v>
      </c>
      <c r="G1575" s="13" t="s">
        <v>2437</v>
      </c>
      <c r="H1575" s="13" t="s">
        <v>3246</v>
      </c>
    </row>
    <row r="1576" spans="1:8">
      <c r="A1576" s="13" t="s">
        <v>3180</v>
      </c>
      <c r="B1576" s="13">
        <v>4515469</v>
      </c>
      <c r="C1576" s="13" t="s">
        <v>641</v>
      </c>
      <c r="D1576" s="13" t="s">
        <v>1575</v>
      </c>
      <c r="E1576" s="13">
        <v>1</v>
      </c>
      <c r="F1576" s="13" t="s">
        <v>640</v>
      </c>
      <c r="G1576" s="13" t="s">
        <v>3186</v>
      </c>
      <c r="H1576" s="13" t="s">
        <v>641</v>
      </c>
    </row>
    <row r="1577" spans="1:8">
      <c r="A1577" s="13" t="s">
        <v>3180</v>
      </c>
      <c r="B1577" s="13">
        <v>4515861</v>
      </c>
      <c r="C1577" s="13" t="s">
        <v>641</v>
      </c>
      <c r="D1577" s="13" t="s">
        <v>372</v>
      </c>
      <c r="E1577" s="13">
        <v>1</v>
      </c>
      <c r="F1577" s="13" t="s">
        <v>642</v>
      </c>
      <c r="G1577" s="13" t="s">
        <v>2437</v>
      </c>
      <c r="H1577" s="13" t="s">
        <v>641</v>
      </c>
    </row>
    <row r="1578" spans="1:8">
      <c r="A1578" s="13" t="s">
        <v>3180</v>
      </c>
      <c r="B1578" s="13">
        <v>4515862</v>
      </c>
      <c r="C1578" s="13" t="s">
        <v>641</v>
      </c>
      <c r="D1578" s="13" t="s">
        <v>430</v>
      </c>
      <c r="E1578" s="13">
        <v>2</v>
      </c>
      <c r="F1578" s="13" t="s">
        <v>654</v>
      </c>
      <c r="G1578" s="13" t="s">
        <v>654</v>
      </c>
      <c r="H1578" s="13" t="s">
        <v>3246</v>
      </c>
    </row>
    <row r="1579" spans="1:8">
      <c r="A1579" s="13" t="s">
        <v>3180</v>
      </c>
      <c r="B1579" s="13">
        <v>4515863</v>
      </c>
      <c r="C1579" s="13" t="s">
        <v>641</v>
      </c>
      <c r="D1579" s="13" t="s">
        <v>606</v>
      </c>
      <c r="E1579" s="13">
        <v>1</v>
      </c>
      <c r="F1579" s="13" t="s">
        <v>644</v>
      </c>
      <c r="G1579" s="13" t="s">
        <v>3204</v>
      </c>
      <c r="H1579" s="13" t="s">
        <v>3246</v>
      </c>
    </row>
    <row r="1580" spans="1:8">
      <c r="A1580" s="13" t="s">
        <v>3180</v>
      </c>
      <c r="B1580" s="13">
        <v>4515865</v>
      </c>
      <c r="C1580" s="13" t="s">
        <v>641</v>
      </c>
      <c r="D1580" s="13" t="s">
        <v>3700</v>
      </c>
      <c r="E1580" s="13">
        <v>1</v>
      </c>
      <c r="F1580" s="13" t="s">
        <v>642</v>
      </c>
      <c r="G1580" s="13" t="s">
        <v>2437</v>
      </c>
      <c r="H1580" s="13" t="s">
        <v>3246</v>
      </c>
    </row>
    <row r="1581" spans="1:8">
      <c r="A1581" s="13" t="s">
        <v>3180</v>
      </c>
      <c r="B1581" s="13">
        <v>4515909</v>
      </c>
      <c r="C1581" s="13" t="s">
        <v>641</v>
      </c>
      <c r="D1581" s="13" t="s">
        <v>3701</v>
      </c>
      <c r="E1581" s="13">
        <v>1</v>
      </c>
      <c r="F1581" s="13" t="s">
        <v>646</v>
      </c>
      <c r="G1581" s="13" t="s">
        <v>2627</v>
      </c>
      <c r="H1581" s="13" t="s">
        <v>3246</v>
      </c>
    </row>
    <row r="1582" spans="1:8">
      <c r="A1582" s="13" t="s">
        <v>3180</v>
      </c>
      <c r="B1582" s="13">
        <v>4515910</v>
      </c>
      <c r="C1582" s="13" t="s">
        <v>641</v>
      </c>
      <c r="D1582" s="13" t="s">
        <v>3702</v>
      </c>
      <c r="E1582" s="13">
        <v>1</v>
      </c>
      <c r="F1582" s="13" t="s">
        <v>646</v>
      </c>
      <c r="G1582" s="13" t="s">
        <v>2627</v>
      </c>
      <c r="H1582" s="13" t="s">
        <v>3246</v>
      </c>
    </row>
    <row r="1583" spans="1:8">
      <c r="A1583" s="13" t="s">
        <v>3180</v>
      </c>
      <c r="B1583" s="13">
        <v>4515914</v>
      </c>
      <c r="C1583" s="13" t="s">
        <v>641</v>
      </c>
      <c r="D1583" s="13" t="s">
        <v>1577</v>
      </c>
      <c r="E1583" s="13">
        <v>1</v>
      </c>
      <c r="F1583" s="13" t="s">
        <v>640</v>
      </c>
      <c r="G1583" s="13" t="s">
        <v>641</v>
      </c>
      <c r="H1583" s="13" t="s">
        <v>3246</v>
      </c>
    </row>
    <row r="1584" spans="1:8">
      <c r="A1584" s="13" t="s">
        <v>3180</v>
      </c>
      <c r="B1584" s="13">
        <v>4516018</v>
      </c>
      <c r="C1584" s="13" t="s">
        <v>641</v>
      </c>
      <c r="D1584" s="13" t="s">
        <v>1578</v>
      </c>
      <c r="E1584" s="13">
        <v>2</v>
      </c>
      <c r="F1584" s="13" t="s">
        <v>671</v>
      </c>
      <c r="G1584" s="13" t="s">
        <v>677</v>
      </c>
      <c r="H1584" s="13" t="s">
        <v>3246</v>
      </c>
    </row>
    <row r="1585" spans="1:8">
      <c r="A1585" s="13" t="s">
        <v>3180</v>
      </c>
      <c r="B1585" s="13">
        <v>4516019</v>
      </c>
      <c r="C1585" s="13" t="s">
        <v>641</v>
      </c>
      <c r="D1585" s="13" t="s">
        <v>1579</v>
      </c>
      <c r="E1585" s="13">
        <v>2</v>
      </c>
      <c r="F1585" s="13" t="s">
        <v>671</v>
      </c>
      <c r="G1585" s="13" t="s">
        <v>677</v>
      </c>
      <c r="H1585" s="13" t="s">
        <v>3246</v>
      </c>
    </row>
    <row r="1586" spans="1:8">
      <c r="A1586" s="13" t="s">
        <v>3180</v>
      </c>
      <c r="B1586" s="13">
        <v>4516085</v>
      </c>
      <c r="C1586" s="13" t="s">
        <v>641</v>
      </c>
      <c r="D1586" s="13" t="s">
        <v>1581</v>
      </c>
      <c r="E1586" s="13">
        <v>1</v>
      </c>
      <c r="F1586" s="13" t="s">
        <v>640</v>
      </c>
      <c r="G1586" s="13" t="s">
        <v>3186</v>
      </c>
      <c r="H1586" s="13" t="s">
        <v>3246</v>
      </c>
    </row>
    <row r="1587" spans="1:8">
      <c r="A1587" s="13" t="s">
        <v>3180</v>
      </c>
      <c r="B1587" s="13">
        <v>4516086</v>
      </c>
      <c r="C1587" s="13" t="s">
        <v>641</v>
      </c>
      <c r="D1587" s="13" t="s">
        <v>1582</v>
      </c>
      <c r="E1587" s="13">
        <v>2</v>
      </c>
      <c r="F1587" s="13" t="s">
        <v>671</v>
      </c>
      <c r="G1587" s="13" t="s">
        <v>677</v>
      </c>
      <c r="H1587" s="13" t="s">
        <v>3246</v>
      </c>
    </row>
    <row r="1588" spans="1:8">
      <c r="A1588" s="13" t="s">
        <v>3180</v>
      </c>
      <c r="B1588" s="13">
        <v>4516087</v>
      </c>
      <c r="C1588" s="13" t="s">
        <v>641</v>
      </c>
      <c r="D1588" s="13" t="s">
        <v>1583</v>
      </c>
      <c r="E1588" s="13">
        <v>2</v>
      </c>
      <c r="F1588" s="13" t="s">
        <v>671</v>
      </c>
      <c r="G1588" s="13" t="s">
        <v>678</v>
      </c>
      <c r="H1588" s="13" t="s">
        <v>3246</v>
      </c>
    </row>
    <row r="1589" spans="1:8">
      <c r="A1589" s="13" t="s">
        <v>3180</v>
      </c>
      <c r="B1589" s="13">
        <v>4516088</v>
      </c>
      <c r="C1589" s="13" t="s">
        <v>641</v>
      </c>
      <c r="D1589" s="13" t="s">
        <v>579</v>
      </c>
      <c r="E1589" s="13">
        <v>1</v>
      </c>
      <c r="F1589" s="13" t="s">
        <v>656</v>
      </c>
      <c r="G1589" s="13" t="s">
        <v>2445</v>
      </c>
      <c r="H1589" s="13" t="s">
        <v>3246</v>
      </c>
    </row>
    <row r="1590" spans="1:8">
      <c r="A1590" s="13" t="s">
        <v>3180</v>
      </c>
      <c r="B1590" s="13">
        <v>4516089</v>
      </c>
      <c r="C1590" s="13" t="s">
        <v>641</v>
      </c>
      <c r="D1590" s="13" t="s">
        <v>3703</v>
      </c>
      <c r="E1590" s="13">
        <v>1</v>
      </c>
      <c r="F1590" s="13" t="s">
        <v>642</v>
      </c>
      <c r="G1590" s="13" t="s">
        <v>641</v>
      </c>
      <c r="H1590" s="13" t="s">
        <v>3246</v>
      </c>
    </row>
    <row r="1591" spans="1:8">
      <c r="A1591" s="13" t="s">
        <v>3180</v>
      </c>
      <c r="B1591" s="13">
        <v>4516090</v>
      </c>
      <c r="C1591" s="13" t="s">
        <v>641</v>
      </c>
      <c r="D1591" s="13" t="s">
        <v>447</v>
      </c>
      <c r="E1591" s="13">
        <v>1</v>
      </c>
      <c r="F1591" s="13" t="s">
        <v>644</v>
      </c>
      <c r="G1591" s="13" t="s">
        <v>3204</v>
      </c>
      <c r="H1591" s="13" t="s">
        <v>684</v>
      </c>
    </row>
    <row r="1592" spans="1:8">
      <c r="A1592" s="13" t="s">
        <v>3180</v>
      </c>
      <c r="B1592" s="13">
        <v>4516141</v>
      </c>
      <c r="C1592" s="13" t="s">
        <v>641</v>
      </c>
      <c r="D1592" s="13" t="s">
        <v>1584</v>
      </c>
      <c r="E1592" s="13">
        <v>1</v>
      </c>
      <c r="F1592" s="13" t="s">
        <v>649</v>
      </c>
      <c r="G1592" s="13" t="s">
        <v>3207</v>
      </c>
      <c r="H1592" s="13" t="s">
        <v>3246</v>
      </c>
    </row>
    <row r="1593" spans="1:8">
      <c r="A1593" s="13" t="s">
        <v>3180</v>
      </c>
      <c r="B1593" s="13">
        <v>4516142</v>
      </c>
      <c r="C1593" s="13" t="s">
        <v>641</v>
      </c>
      <c r="D1593" s="13" t="s">
        <v>1585</v>
      </c>
      <c r="E1593" s="13">
        <v>1</v>
      </c>
      <c r="F1593" s="13" t="s">
        <v>649</v>
      </c>
      <c r="G1593" s="13" t="s">
        <v>3207</v>
      </c>
      <c r="H1593" s="13" t="s">
        <v>3246</v>
      </c>
    </row>
    <row r="1594" spans="1:8">
      <c r="A1594" s="13" t="s">
        <v>3180</v>
      </c>
      <c r="B1594" s="13">
        <v>4516164</v>
      </c>
      <c r="C1594" s="13" t="s">
        <v>641</v>
      </c>
      <c r="D1594" s="13" t="s">
        <v>1586</v>
      </c>
      <c r="E1594" s="13">
        <v>1</v>
      </c>
      <c r="F1594" s="13" t="s">
        <v>649</v>
      </c>
      <c r="G1594" s="13" t="s">
        <v>3207</v>
      </c>
      <c r="H1594" s="13" t="s">
        <v>684</v>
      </c>
    </row>
    <row r="1595" spans="1:8">
      <c r="A1595" s="13" t="s">
        <v>3180</v>
      </c>
      <c r="B1595" s="13">
        <v>4516165</v>
      </c>
      <c r="C1595" s="13" t="s">
        <v>641</v>
      </c>
      <c r="D1595" s="13" t="s">
        <v>1587</v>
      </c>
      <c r="E1595" s="13">
        <v>1</v>
      </c>
      <c r="F1595" s="13" t="s">
        <v>649</v>
      </c>
      <c r="G1595" s="13" t="s">
        <v>3207</v>
      </c>
      <c r="H1595" s="13" t="s">
        <v>3535</v>
      </c>
    </row>
    <row r="1596" spans="1:8">
      <c r="A1596" s="13" t="s">
        <v>3180</v>
      </c>
      <c r="B1596" s="13">
        <v>4516166</v>
      </c>
      <c r="C1596" s="13" t="s">
        <v>641</v>
      </c>
      <c r="D1596" s="13" t="s">
        <v>1588</v>
      </c>
      <c r="E1596" s="13">
        <v>1</v>
      </c>
      <c r="F1596" s="13" t="s">
        <v>642</v>
      </c>
      <c r="G1596" s="13" t="s">
        <v>2437</v>
      </c>
      <c r="H1596" s="13" t="s">
        <v>684</v>
      </c>
    </row>
    <row r="1597" spans="1:8">
      <c r="A1597" s="13" t="s">
        <v>3180</v>
      </c>
      <c r="B1597" s="13">
        <v>4516280</v>
      </c>
      <c r="C1597" s="13" t="s">
        <v>641</v>
      </c>
      <c r="D1597" s="13" t="s">
        <v>3704</v>
      </c>
      <c r="E1597" s="13">
        <v>1</v>
      </c>
      <c r="F1597" s="13" t="s">
        <v>642</v>
      </c>
      <c r="G1597" s="13" t="s">
        <v>2437</v>
      </c>
      <c r="H1597" s="13" t="s">
        <v>684</v>
      </c>
    </row>
    <row r="1598" spans="1:8">
      <c r="A1598" s="13" t="s">
        <v>3180</v>
      </c>
      <c r="B1598" s="13">
        <v>4516299</v>
      </c>
      <c r="C1598" s="13" t="s">
        <v>641</v>
      </c>
      <c r="D1598" s="13" t="s">
        <v>522</v>
      </c>
      <c r="E1598" s="13">
        <v>1</v>
      </c>
      <c r="F1598" s="13" t="s">
        <v>656</v>
      </c>
      <c r="G1598" s="13" t="s">
        <v>2445</v>
      </c>
      <c r="H1598" s="13" t="s">
        <v>684</v>
      </c>
    </row>
    <row r="1599" spans="1:8">
      <c r="A1599" s="13" t="s">
        <v>3180</v>
      </c>
      <c r="B1599" s="13">
        <v>4516300</v>
      </c>
      <c r="C1599" s="13" t="s">
        <v>641</v>
      </c>
      <c r="D1599" s="13" t="s">
        <v>1590</v>
      </c>
      <c r="E1599" s="13">
        <v>1</v>
      </c>
      <c r="F1599" s="13" t="s">
        <v>649</v>
      </c>
      <c r="G1599" s="13" t="s">
        <v>3207</v>
      </c>
      <c r="H1599" s="13" t="s">
        <v>684</v>
      </c>
    </row>
    <row r="1600" spans="1:8">
      <c r="A1600" s="13" t="s">
        <v>3180</v>
      </c>
      <c r="B1600" s="13">
        <v>4516301</v>
      </c>
      <c r="C1600" s="13" t="s">
        <v>641</v>
      </c>
      <c r="D1600" s="13" t="s">
        <v>369</v>
      </c>
      <c r="E1600" s="13">
        <v>1</v>
      </c>
      <c r="F1600" s="13" t="s">
        <v>649</v>
      </c>
      <c r="G1600" s="13" t="s">
        <v>3207</v>
      </c>
      <c r="H1600" s="13" t="s">
        <v>684</v>
      </c>
    </row>
    <row r="1601" spans="1:8">
      <c r="A1601" s="13" t="s">
        <v>3180</v>
      </c>
      <c r="B1601" s="13">
        <v>4516315</v>
      </c>
      <c r="C1601" s="13" t="s">
        <v>641</v>
      </c>
      <c r="D1601" s="13" t="s">
        <v>1591</v>
      </c>
      <c r="E1601" s="13">
        <v>1</v>
      </c>
      <c r="F1601" s="13" t="s">
        <v>640</v>
      </c>
      <c r="G1601" s="13" t="s">
        <v>641</v>
      </c>
      <c r="H1601" s="13" t="s">
        <v>684</v>
      </c>
    </row>
    <row r="1602" spans="1:8">
      <c r="A1602" s="13" t="s">
        <v>3180</v>
      </c>
      <c r="B1602" s="13">
        <v>4516316</v>
      </c>
      <c r="C1602" s="13" t="s">
        <v>641</v>
      </c>
      <c r="D1602" s="13" t="s">
        <v>1592</v>
      </c>
      <c r="E1602" s="13">
        <v>1</v>
      </c>
      <c r="F1602" s="13" t="s">
        <v>640</v>
      </c>
      <c r="G1602" s="13" t="s">
        <v>3186</v>
      </c>
      <c r="H1602" s="13" t="s">
        <v>684</v>
      </c>
    </row>
    <row r="1603" spans="1:8">
      <c r="A1603" s="13" t="s">
        <v>3180</v>
      </c>
      <c r="B1603" s="13">
        <v>4516317</v>
      </c>
      <c r="C1603" s="13" t="s">
        <v>641</v>
      </c>
      <c r="D1603" s="13" t="s">
        <v>1593</v>
      </c>
      <c r="E1603" s="13">
        <v>1</v>
      </c>
      <c r="F1603" s="13" t="s">
        <v>644</v>
      </c>
      <c r="G1603" s="13" t="s">
        <v>3204</v>
      </c>
      <c r="H1603" s="13" t="s">
        <v>684</v>
      </c>
    </row>
    <row r="1604" spans="1:8">
      <c r="A1604" s="13" t="s">
        <v>3180</v>
      </c>
      <c r="B1604" s="13">
        <v>4516318</v>
      </c>
      <c r="C1604" s="13" t="s">
        <v>641</v>
      </c>
      <c r="D1604" s="13" t="s">
        <v>1594</v>
      </c>
      <c r="E1604" s="13">
        <v>1</v>
      </c>
      <c r="F1604" s="13" t="s">
        <v>644</v>
      </c>
      <c r="G1604" s="13" t="s">
        <v>3204</v>
      </c>
      <c r="H1604" s="13" t="s">
        <v>684</v>
      </c>
    </row>
    <row r="1605" spans="1:8">
      <c r="A1605" s="13" t="s">
        <v>3180</v>
      </c>
      <c r="B1605" s="13">
        <v>4516321</v>
      </c>
      <c r="C1605" s="13" t="s">
        <v>641</v>
      </c>
      <c r="D1605" s="13" t="s">
        <v>245</v>
      </c>
      <c r="E1605" s="13">
        <v>2</v>
      </c>
      <c r="F1605" s="13" t="s">
        <v>671</v>
      </c>
      <c r="G1605" s="13" t="s">
        <v>678</v>
      </c>
      <c r="H1605" s="13" t="s">
        <v>684</v>
      </c>
    </row>
    <row r="1606" spans="1:8">
      <c r="A1606" s="13" t="s">
        <v>3180</v>
      </c>
      <c r="B1606" s="13">
        <v>4516322</v>
      </c>
      <c r="C1606" s="13" t="s">
        <v>641</v>
      </c>
      <c r="D1606" s="13" t="s">
        <v>247</v>
      </c>
      <c r="E1606" s="13">
        <v>2</v>
      </c>
      <c r="F1606" s="13" t="s">
        <v>671</v>
      </c>
      <c r="G1606" s="13" t="s">
        <v>678</v>
      </c>
      <c r="H1606" s="13" t="s">
        <v>684</v>
      </c>
    </row>
    <row r="1607" spans="1:8">
      <c r="A1607" s="13" t="s">
        <v>3180</v>
      </c>
      <c r="B1607" s="13">
        <v>4516323</v>
      </c>
      <c r="C1607" s="13" t="s">
        <v>641</v>
      </c>
      <c r="D1607" s="13" t="s">
        <v>169</v>
      </c>
      <c r="E1607" s="13">
        <v>2</v>
      </c>
      <c r="F1607" s="13" t="s">
        <v>671</v>
      </c>
      <c r="G1607" s="13" t="s">
        <v>678</v>
      </c>
      <c r="H1607" s="13" t="s">
        <v>684</v>
      </c>
    </row>
    <row r="1608" spans="1:8">
      <c r="A1608" s="13" t="s">
        <v>3180</v>
      </c>
      <c r="B1608" s="13">
        <v>4516324</v>
      </c>
      <c r="C1608" s="13" t="s">
        <v>641</v>
      </c>
      <c r="D1608" s="13" t="s">
        <v>1595</v>
      </c>
      <c r="E1608" s="13">
        <v>1</v>
      </c>
      <c r="F1608" s="13" t="s">
        <v>642</v>
      </c>
      <c r="G1608" s="13" t="s">
        <v>2437</v>
      </c>
      <c r="H1608" s="13" t="s">
        <v>684</v>
      </c>
    </row>
    <row r="1609" spans="1:8">
      <c r="A1609" s="13" t="s">
        <v>3180</v>
      </c>
      <c r="B1609" s="13">
        <v>4516364</v>
      </c>
      <c r="C1609" s="13" t="s">
        <v>641</v>
      </c>
      <c r="D1609" s="13" t="s">
        <v>1596</v>
      </c>
      <c r="E1609" s="13">
        <v>1</v>
      </c>
      <c r="F1609" s="13" t="s">
        <v>642</v>
      </c>
      <c r="G1609" s="13" t="s">
        <v>2437</v>
      </c>
      <c r="H1609" s="13" t="s">
        <v>684</v>
      </c>
    </row>
    <row r="1610" spans="1:8">
      <c r="A1610" s="13" t="s">
        <v>3180</v>
      </c>
      <c r="B1610" s="13">
        <v>4516365</v>
      </c>
      <c r="C1610" s="13" t="s">
        <v>641</v>
      </c>
      <c r="D1610" s="13" t="s">
        <v>1597</v>
      </c>
      <c r="E1610" s="13">
        <v>1</v>
      </c>
      <c r="F1610" s="13" t="s">
        <v>656</v>
      </c>
      <c r="G1610" s="13" t="s">
        <v>641</v>
      </c>
      <c r="H1610" s="13" t="s">
        <v>684</v>
      </c>
    </row>
    <row r="1611" spans="1:8">
      <c r="A1611" s="13" t="s">
        <v>3180</v>
      </c>
      <c r="B1611" s="13">
        <v>4516391</v>
      </c>
      <c r="C1611" s="13" t="s">
        <v>641</v>
      </c>
      <c r="D1611" s="13" t="s">
        <v>1598</v>
      </c>
      <c r="E1611" s="13">
        <v>2</v>
      </c>
      <c r="F1611" s="13" t="s">
        <v>654</v>
      </c>
      <c r="G1611" s="13" t="s">
        <v>641</v>
      </c>
      <c r="H1611" s="13" t="s">
        <v>684</v>
      </c>
    </row>
    <row r="1612" spans="1:8">
      <c r="A1612" s="13" t="s">
        <v>3180</v>
      </c>
      <c r="B1612" s="13">
        <v>4516405</v>
      </c>
      <c r="C1612" s="13" t="s">
        <v>641</v>
      </c>
      <c r="D1612" s="13" t="s">
        <v>3705</v>
      </c>
      <c r="E1612" s="13">
        <v>1</v>
      </c>
      <c r="F1612" s="13" t="s">
        <v>649</v>
      </c>
      <c r="G1612" s="13" t="s">
        <v>641</v>
      </c>
      <c r="H1612" s="13" t="s">
        <v>3298</v>
      </c>
    </row>
    <row r="1613" spans="1:8">
      <c r="A1613" s="13" t="s">
        <v>3180</v>
      </c>
      <c r="B1613" s="13">
        <v>4516408</v>
      </c>
      <c r="C1613" s="13" t="s">
        <v>641</v>
      </c>
      <c r="D1613" s="13" t="s">
        <v>506</v>
      </c>
      <c r="E1613" s="13">
        <v>1</v>
      </c>
      <c r="F1613" s="13" t="s">
        <v>646</v>
      </c>
      <c r="G1613" s="13" t="s">
        <v>2627</v>
      </c>
      <c r="H1613" s="13" t="s">
        <v>684</v>
      </c>
    </row>
    <row r="1614" spans="1:8">
      <c r="A1614" s="13" t="s">
        <v>3180</v>
      </c>
      <c r="B1614" s="13">
        <v>4516409</v>
      </c>
      <c r="C1614" s="13" t="s">
        <v>641</v>
      </c>
      <c r="D1614" s="13" t="s">
        <v>1599</v>
      </c>
      <c r="E1614" s="13">
        <v>2</v>
      </c>
      <c r="F1614" s="13" t="s">
        <v>671</v>
      </c>
      <c r="G1614" s="13" t="s">
        <v>678</v>
      </c>
      <c r="H1614" s="13" t="s">
        <v>684</v>
      </c>
    </row>
    <row r="1615" spans="1:8">
      <c r="A1615" s="13" t="s">
        <v>3180</v>
      </c>
      <c r="B1615" s="13">
        <v>4516410</v>
      </c>
      <c r="C1615" s="13" t="s">
        <v>641</v>
      </c>
      <c r="D1615" s="13" t="s">
        <v>710</v>
      </c>
      <c r="E1615" s="13">
        <v>2</v>
      </c>
      <c r="F1615" s="13" t="s">
        <v>671</v>
      </c>
      <c r="G1615" s="13" t="s">
        <v>678</v>
      </c>
      <c r="H1615" s="13" t="s">
        <v>684</v>
      </c>
    </row>
    <row r="1616" spans="1:8">
      <c r="A1616" s="13" t="s">
        <v>3180</v>
      </c>
      <c r="B1616" s="13">
        <v>4516492</v>
      </c>
      <c r="C1616" s="13" t="s">
        <v>641</v>
      </c>
      <c r="D1616" s="13" t="s">
        <v>3706</v>
      </c>
      <c r="E1616" s="13">
        <v>1</v>
      </c>
      <c r="F1616" s="14" t="s">
        <v>642</v>
      </c>
      <c r="G1616" s="13" t="s">
        <v>3508</v>
      </c>
      <c r="H1616" s="13" t="s">
        <v>3183</v>
      </c>
    </row>
    <row r="1617" spans="1:8">
      <c r="A1617" s="13" t="s">
        <v>3180</v>
      </c>
      <c r="B1617" s="13">
        <v>4516544</v>
      </c>
      <c r="C1617" s="13" t="s">
        <v>641</v>
      </c>
      <c r="D1617" s="13" t="s">
        <v>3707</v>
      </c>
      <c r="E1617" s="13">
        <v>1</v>
      </c>
      <c r="F1617" s="13" t="s">
        <v>649</v>
      </c>
      <c r="G1617" s="13" t="s">
        <v>3207</v>
      </c>
      <c r="H1617" s="13" t="s">
        <v>684</v>
      </c>
    </row>
    <row r="1618" spans="1:8">
      <c r="A1618" s="13" t="s">
        <v>3180</v>
      </c>
      <c r="B1618" s="13">
        <v>4516613</v>
      </c>
      <c r="C1618" s="13" t="s">
        <v>641</v>
      </c>
      <c r="D1618" s="13" t="s">
        <v>3708</v>
      </c>
      <c r="E1618" s="13">
        <v>1</v>
      </c>
      <c r="F1618" s="13" t="s">
        <v>656</v>
      </c>
      <c r="G1618" s="13" t="s">
        <v>2445</v>
      </c>
      <c r="H1618" s="13" t="s">
        <v>3372</v>
      </c>
    </row>
    <row r="1619" spans="1:8">
      <c r="A1619" s="13" t="s">
        <v>3180</v>
      </c>
      <c r="B1619" s="13">
        <v>4516630</v>
      </c>
      <c r="C1619" s="13" t="s">
        <v>641</v>
      </c>
      <c r="D1619" s="13" t="s">
        <v>1601</v>
      </c>
      <c r="E1619" s="13">
        <v>1</v>
      </c>
      <c r="F1619" s="13" t="s">
        <v>642</v>
      </c>
      <c r="G1619" s="13" t="s">
        <v>641</v>
      </c>
      <c r="H1619" s="13" t="s">
        <v>684</v>
      </c>
    </row>
    <row r="1620" spans="1:8">
      <c r="A1620" s="13" t="s">
        <v>3180</v>
      </c>
      <c r="B1620" s="13">
        <v>4516632</v>
      </c>
      <c r="C1620" s="13" t="s">
        <v>641</v>
      </c>
      <c r="D1620" s="13" t="s">
        <v>3709</v>
      </c>
      <c r="E1620" s="13">
        <v>1</v>
      </c>
      <c r="F1620" s="13" t="s">
        <v>646</v>
      </c>
      <c r="G1620" s="13" t="s">
        <v>2627</v>
      </c>
      <c r="H1620" s="13" t="s">
        <v>684</v>
      </c>
    </row>
    <row r="1621" spans="1:8">
      <c r="A1621" s="13" t="s">
        <v>3180</v>
      </c>
      <c r="B1621" s="13">
        <v>4516633</v>
      </c>
      <c r="C1621" s="13" t="s">
        <v>641</v>
      </c>
      <c r="D1621" s="13" t="s">
        <v>3710</v>
      </c>
      <c r="E1621" s="13">
        <v>1</v>
      </c>
      <c r="F1621" s="13" t="s">
        <v>644</v>
      </c>
      <c r="G1621" s="13" t="s">
        <v>3204</v>
      </c>
      <c r="H1621" s="13" t="s">
        <v>684</v>
      </c>
    </row>
    <row r="1622" spans="1:8">
      <c r="A1622" s="13" t="s">
        <v>3180</v>
      </c>
      <c r="B1622" s="13">
        <v>4516634</v>
      </c>
      <c r="C1622" s="13" t="s">
        <v>641</v>
      </c>
      <c r="D1622" s="13" t="s">
        <v>3711</v>
      </c>
      <c r="E1622" s="13">
        <v>1</v>
      </c>
      <c r="F1622" s="13" t="s">
        <v>649</v>
      </c>
      <c r="G1622" s="13" t="s">
        <v>641</v>
      </c>
      <c r="H1622" s="13" t="s">
        <v>684</v>
      </c>
    </row>
    <row r="1623" spans="1:8">
      <c r="A1623" s="13" t="s">
        <v>3180</v>
      </c>
      <c r="B1623" s="13">
        <v>4516749</v>
      </c>
      <c r="C1623" s="13" t="s">
        <v>641</v>
      </c>
      <c r="D1623" s="13" t="s">
        <v>3712</v>
      </c>
      <c r="E1623" s="13">
        <v>1</v>
      </c>
      <c r="F1623" s="13" t="s">
        <v>649</v>
      </c>
      <c r="G1623" s="13" t="s">
        <v>641</v>
      </c>
      <c r="H1623" s="13" t="s">
        <v>735</v>
      </c>
    </row>
    <row r="1624" spans="1:8">
      <c r="A1624" s="13" t="s">
        <v>3180</v>
      </c>
      <c r="B1624" s="13">
        <v>4516762</v>
      </c>
      <c r="C1624" s="13" t="s">
        <v>641</v>
      </c>
      <c r="D1624" s="13" t="s">
        <v>471</v>
      </c>
      <c r="E1624" s="13">
        <v>1</v>
      </c>
      <c r="F1624" s="13" t="s">
        <v>640</v>
      </c>
      <c r="G1624" s="13" t="s">
        <v>3186</v>
      </c>
      <c r="H1624" s="13" t="s">
        <v>641</v>
      </c>
    </row>
    <row r="1625" spans="1:8">
      <c r="A1625" s="13" t="s">
        <v>3180</v>
      </c>
      <c r="B1625" s="13">
        <v>4516830</v>
      </c>
      <c r="C1625" s="13" t="s">
        <v>641</v>
      </c>
      <c r="D1625" s="13" t="s">
        <v>409</v>
      </c>
      <c r="E1625" s="13">
        <v>2</v>
      </c>
      <c r="F1625" s="13" t="s">
        <v>654</v>
      </c>
      <c r="G1625" s="13" t="s">
        <v>641</v>
      </c>
      <c r="H1625" s="13" t="s">
        <v>3535</v>
      </c>
    </row>
    <row r="1626" spans="1:8">
      <c r="A1626" s="13" t="s">
        <v>3180</v>
      </c>
      <c r="B1626" s="13">
        <v>4516857</v>
      </c>
      <c r="C1626" s="13" t="s">
        <v>641</v>
      </c>
      <c r="D1626" s="13" t="s">
        <v>3713</v>
      </c>
      <c r="E1626" s="13">
        <v>1</v>
      </c>
      <c r="F1626" s="13" t="s">
        <v>646</v>
      </c>
      <c r="G1626" s="13" t="s">
        <v>641</v>
      </c>
      <c r="H1626" s="13" t="s">
        <v>3298</v>
      </c>
    </row>
    <row r="1627" spans="1:8">
      <c r="A1627" s="13" t="s">
        <v>3180</v>
      </c>
      <c r="B1627" s="13">
        <v>4516991</v>
      </c>
      <c r="C1627" s="13" t="s">
        <v>641</v>
      </c>
      <c r="D1627" s="13" t="s">
        <v>3714</v>
      </c>
      <c r="E1627" s="13">
        <v>2</v>
      </c>
      <c r="F1627" s="13" t="s">
        <v>671</v>
      </c>
      <c r="G1627" s="13" t="s">
        <v>672</v>
      </c>
      <c r="H1627" s="13" t="s">
        <v>641</v>
      </c>
    </row>
    <row r="1628" spans="1:8">
      <c r="A1628" s="13" t="s">
        <v>3180</v>
      </c>
      <c r="B1628" s="13">
        <v>4516992</v>
      </c>
      <c r="C1628" s="13" t="s">
        <v>641</v>
      </c>
      <c r="D1628" s="13" t="s">
        <v>356</v>
      </c>
      <c r="E1628" s="13">
        <v>1</v>
      </c>
      <c r="F1628" s="13" t="s">
        <v>642</v>
      </c>
      <c r="G1628" s="13" t="s">
        <v>2437</v>
      </c>
      <c r="H1628" s="13" t="s">
        <v>3535</v>
      </c>
    </row>
    <row r="1629" spans="1:8">
      <c r="A1629" s="13" t="s">
        <v>3180</v>
      </c>
      <c r="B1629" s="13">
        <v>4516993</v>
      </c>
      <c r="C1629" s="13" t="s">
        <v>641</v>
      </c>
      <c r="D1629" s="13" t="s">
        <v>3715</v>
      </c>
      <c r="E1629" s="13">
        <v>1</v>
      </c>
      <c r="F1629" s="13" t="s">
        <v>642</v>
      </c>
      <c r="G1629" s="13" t="s">
        <v>2437</v>
      </c>
      <c r="H1629" s="13" t="s">
        <v>3535</v>
      </c>
    </row>
    <row r="1630" spans="1:8">
      <c r="A1630" s="13" t="s">
        <v>3180</v>
      </c>
      <c r="B1630" s="13">
        <v>4516994</v>
      </c>
      <c r="C1630" s="13" t="s">
        <v>641</v>
      </c>
      <c r="D1630" s="13" t="s">
        <v>392</v>
      </c>
      <c r="E1630" s="13">
        <v>1</v>
      </c>
      <c r="F1630" s="13" t="s">
        <v>642</v>
      </c>
      <c r="G1630" s="13" t="s">
        <v>2437</v>
      </c>
      <c r="H1630" s="13" t="s">
        <v>3535</v>
      </c>
    </row>
    <row r="1631" spans="1:8">
      <c r="A1631" s="13" t="s">
        <v>3180</v>
      </c>
      <c r="B1631" s="13">
        <v>4516995</v>
      </c>
      <c r="C1631" s="13" t="s">
        <v>641</v>
      </c>
      <c r="D1631" s="13" t="s">
        <v>1604</v>
      </c>
      <c r="E1631" s="13">
        <v>1</v>
      </c>
      <c r="F1631" s="13" t="s">
        <v>642</v>
      </c>
      <c r="G1631" s="13" t="s">
        <v>2437</v>
      </c>
      <c r="H1631" s="13" t="s">
        <v>3535</v>
      </c>
    </row>
    <row r="1632" spans="1:8">
      <c r="A1632" s="13" t="s">
        <v>3180</v>
      </c>
      <c r="B1632" s="13">
        <v>4517055</v>
      </c>
      <c r="C1632" s="13" t="s">
        <v>641</v>
      </c>
      <c r="D1632" s="13" t="s">
        <v>175</v>
      </c>
      <c r="E1632" s="13">
        <v>1</v>
      </c>
      <c r="F1632" s="13" t="s">
        <v>640</v>
      </c>
      <c r="G1632" s="13" t="s">
        <v>3186</v>
      </c>
      <c r="H1632" s="13" t="s">
        <v>3186</v>
      </c>
    </row>
    <row r="1633" spans="1:8">
      <c r="A1633" s="13" t="s">
        <v>3180</v>
      </c>
      <c r="B1633" s="13">
        <v>4517136</v>
      </c>
      <c r="C1633" s="13" t="s">
        <v>641</v>
      </c>
      <c r="D1633" s="13" t="s">
        <v>1605</v>
      </c>
      <c r="E1633" s="13">
        <v>1</v>
      </c>
      <c r="F1633" s="13" t="s">
        <v>640</v>
      </c>
      <c r="G1633" s="13" t="s">
        <v>3186</v>
      </c>
      <c r="H1633" s="13" t="s">
        <v>3535</v>
      </c>
    </row>
    <row r="1634" spans="1:8">
      <c r="A1634" s="13" t="s">
        <v>3180</v>
      </c>
      <c r="B1634" s="13">
        <v>4517137</v>
      </c>
      <c r="C1634" s="13" t="s">
        <v>641</v>
      </c>
      <c r="D1634" s="13" t="s">
        <v>1606</v>
      </c>
      <c r="E1634" s="13">
        <v>2</v>
      </c>
      <c r="F1634" s="13" t="s">
        <v>671</v>
      </c>
      <c r="G1634" s="13" t="s">
        <v>677</v>
      </c>
      <c r="H1634" s="13" t="s">
        <v>700</v>
      </c>
    </row>
    <row r="1635" spans="1:8">
      <c r="A1635" s="13" t="s">
        <v>3180</v>
      </c>
      <c r="B1635" s="13">
        <v>4517138</v>
      </c>
      <c r="C1635" s="13" t="s">
        <v>641</v>
      </c>
      <c r="D1635" s="13" t="s">
        <v>1607</v>
      </c>
      <c r="E1635" s="13">
        <v>2</v>
      </c>
      <c r="F1635" s="13" t="s">
        <v>671</v>
      </c>
      <c r="G1635" s="13" t="s">
        <v>678</v>
      </c>
      <c r="H1635" s="13" t="s">
        <v>3298</v>
      </c>
    </row>
    <row r="1636" spans="1:8">
      <c r="A1636" s="13" t="s">
        <v>3180</v>
      </c>
      <c r="B1636" s="13">
        <v>4517139</v>
      </c>
      <c r="C1636" s="13" t="s">
        <v>641</v>
      </c>
      <c r="D1636" s="13" t="s">
        <v>1608</v>
      </c>
      <c r="E1636" s="13">
        <v>1</v>
      </c>
      <c r="F1636" s="13" t="s">
        <v>644</v>
      </c>
      <c r="G1636" s="13" t="s">
        <v>3204</v>
      </c>
      <c r="H1636" s="13" t="s">
        <v>3535</v>
      </c>
    </row>
    <row r="1637" spans="1:8">
      <c r="A1637" s="13" t="s">
        <v>3180</v>
      </c>
      <c r="B1637" s="13">
        <v>4517140</v>
      </c>
      <c r="C1637" s="13" t="s">
        <v>641</v>
      </c>
      <c r="D1637" s="13" t="s">
        <v>1609</v>
      </c>
      <c r="E1637" s="13">
        <v>2</v>
      </c>
      <c r="F1637" s="13" t="s">
        <v>709</v>
      </c>
      <c r="G1637" s="13" t="s">
        <v>641</v>
      </c>
      <c r="H1637" s="13" t="s">
        <v>3535</v>
      </c>
    </row>
    <row r="1638" spans="1:8">
      <c r="A1638" s="13" t="s">
        <v>3180</v>
      </c>
      <c r="B1638" s="13">
        <v>4517152</v>
      </c>
      <c r="C1638" s="13" t="s">
        <v>641</v>
      </c>
      <c r="D1638" s="13" t="s">
        <v>1610</v>
      </c>
      <c r="E1638" s="13">
        <v>2</v>
      </c>
      <c r="F1638" s="13" t="s">
        <v>654</v>
      </c>
      <c r="G1638" s="13" t="s">
        <v>641</v>
      </c>
      <c r="H1638" s="13" t="s">
        <v>641</v>
      </c>
    </row>
    <row r="1639" spans="1:8">
      <c r="A1639" s="13" t="s">
        <v>3180</v>
      </c>
      <c r="B1639" s="13">
        <v>4517153</v>
      </c>
      <c r="C1639" s="13" t="s">
        <v>641</v>
      </c>
      <c r="D1639" s="13" t="s">
        <v>3716</v>
      </c>
      <c r="E1639" s="13">
        <v>2</v>
      </c>
      <c r="F1639" s="13" t="s">
        <v>671</v>
      </c>
      <c r="G1639" s="13" t="s">
        <v>672</v>
      </c>
      <c r="H1639" s="13" t="s">
        <v>3535</v>
      </c>
    </row>
    <row r="1640" spans="1:8">
      <c r="A1640" s="13" t="s">
        <v>3180</v>
      </c>
      <c r="B1640" s="13">
        <v>4517154</v>
      </c>
      <c r="C1640" s="13" t="s">
        <v>641</v>
      </c>
      <c r="D1640" s="13" t="s">
        <v>3717</v>
      </c>
      <c r="E1640" s="13">
        <v>2</v>
      </c>
      <c r="F1640" s="13" t="s">
        <v>671</v>
      </c>
      <c r="G1640" s="13" t="s">
        <v>677</v>
      </c>
      <c r="H1640" s="13" t="s">
        <v>3535</v>
      </c>
    </row>
    <row r="1641" spans="1:8">
      <c r="A1641" s="13" t="s">
        <v>3180</v>
      </c>
      <c r="B1641" s="13">
        <v>4517157</v>
      </c>
      <c r="C1641" s="13" t="s">
        <v>641</v>
      </c>
      <c r="D1641" s="13" t="s">
        <v>3718</v>
      </c>
      <c r="E1641" s="13">
        <v>2</v>
      </c>
      <c r="F1641" s="13" t="s">
        <v>671</v>
      </c>
      <c r="G1641" s="13" t="s">
        <v>672</v>
      </c>
      <c r="H1641" s="13" t="s">
        <v>3535</v>
      </c>
    </row>
    <row r="1642" spans="1:8">
      <c r="A1642" s="13" t="s">
        <v>3180</v>
      </c>
      <c r="B1642" s="13">
        <v>4517273</v>
      </c>
      <c r="C1642" s="13" t="s">
        <v>641</v>
      </c>
      <c r="D1642" s="13" t="s">
        <v>186</v>
      </c>
      <c r="E1642" s="13">
        <v>1</v>
      </c>
      <c r="F1642" s="13" t="s">
        <v>640</v>
      </c>
      <c r="G1642" s="13" t="s">
        <v>3186</v>
      </c>
      <c r="H1642" s="13" t="s">
        <v>3535</v>
      </c>
    </row>
    <row r="1643" spans="1:8">
      <c r="A1643" s="13" t="s">
        <v>3180</v>
      </c>
      <c r="B1643" s="13">
        <v>4517418</v>
      </c>
      <c r="C1643" s="13" t="s">
        <v>641</v>
      </c>
      <c r="D1643" s="13" t="s">
        <v>1612</v>
      </c>
      <c r="E1643" s="13">
        <v>1</v>
      </c>
      <c r="F1643" s="13" t="s">
        <v>642</v>
      </c>
      <c r="G1643" s="13" t="s">
        <v>2437</v>
      </c>
      <c r="H1643" s="13" t="s">
        <v>3535</v>
      </c>
    </row>
    <row r="1644" spans="1:8">
      <c r="A1644" s="13" t="s">
        <v>3180</v>
      </c>
      <c r="B1644" s="13">
        <v>4517421</v>
      </c>
      <c r="C1644" s="13" t="s">
        <v>641</v>
      </c>
      <c r="D1644" s="13" t="s">
        <v>3719</v>
      </c>
      <c r="E1644" s="13">
        <v>1</v>
      </c>
      <c r="F1644" s="13" t="s">
        <v>646</v>
      </c>
      <c r="G1644" s="13" t="s">
        <v>641</v>
      </c>
      <c r="H1644" s="13" t="s">
        <v>700</v>
      </c>
    </row>
    <row r="1645" spans="1:8">
      <c r="A1645" s="13" t="s">
        <v>3180</v>
      </c>
      <c r="B1645" s="13">
        <v>4517423</v>
      </c>
      <c r="C1645" s="13" t="s">
        <v>641</v>
      </c>
      <c r="D1645" s="13" t="s">
        <v>3720</v>
      </c>
      <c r="E1645" s="13">
        <v>1</v>
      </c>
      <c r="F1645" s="13" t="s">
        <v>640</v>
      </c>
      <c r="G1645" s="13" t="s">
        <v>3186</v>
      </c>
      <c r="H1645" s="13" t="s">
        <v>3535</v>
      </c>
    </row>
    <row r="1646" spans="1:8">
      <c r="A1646" s="13" t="s">
        <v>3180</v>
      </c>
      <c r="B1646" s="13">
        <v>4517474</v>
      </c>
      <c r="C1646" s="13" t="s">
        <v>641</v>
      </c>
      <c r="D1646" s="13" t="s">
        <v>3721</v>
      </c>
      <c r="E1646" s="13">
        <v>1</v>
      </c>
      <c r="F1646" s="13" t="s">
        <v>649</v>
      </c>
      <c r="G1646" s="13" t="s">
        <v>641</v>
      </c>
      <c r="H1646" s="13" t="s">
        <v>3298</v>
      </c>
    </row>
    <row r="1647" spans="1:8">
      <c r="A1647" s="13" t="s">
        <v>3180</v>
      </c>
      <c r="B1647" s="13">
        <v>4517476</v>
      </c>
      <c r="C1647" s="13" t="s">
        <v>641</v>
      </c>
      <c r="D1647" s="13" t="s">
        <v>3722</v>
      </c>
      <c r="E1647" s="13">
        <v>1</v>
      </c>
      <c r="F1647" s="13" t="s">
        <v>644</v>
      </c>
      <c r="G1647" s="13" t="s">
        <v>641</v>
      </c>
      <c r="H1647" s="13" t="s">
        <v>641</v>
      </c>
    </row>
    <row r="1648" spans="1:8">
      <c r="A1648" s="13" t="s">
        <v>3180</v>
      </c>
      <c r="B1648" s="13">
        <v>4517519</v>
      </c>
      <c r="C1648" s="13" t="s">
        <v>641</v>
      </c>
      <c r="D1648" s="13" t="s">
        <v>3723</v>
      </c>
      <c r="E1648" s="13">
        <v>1</v>
      </c>
      <c r="F1648" s="13" t="s">
        <v>649</v>
      </c>
      <c r="G1648" s="13" t="s">
        <v>3207</v>
      </c>
      <c r="H1648" s="13" t="s">
        <v>3535</v>
      </c>
    </row>
    <row r="1649" spans="1:8">
      <c r="A1649" s="13" t="s">
        <v>3180</v>
      </c>
      <c r="B1649" s="13">
        <v>4517520</v>
      </c>
      <c r="C1649" s="13" t="s">
        <v>641</v>
      </c>
      <c r="D1649" s="13" t="s">
        <v>440</v>
      </c>
      <c r="E1649" s="13">
        <v>1</v>
      </c>
      <c r="F1649" s="13" t="s">
        <v>656</v>
      </c>
      <c r="G1649" s="13" t="s">
        <v>641</v>
      </c>
      <c r="H1649" s="13" t="s">
        <v>3298</v>
      </c>
    </row>
    <row r="1650" spans="1:8">
      <c r="A1650" s="13" t="s">
        <v>3180</v>
      </c>
      <c r="B1650" s="13">
        <v>4517521</v>
      </c>
      <c r="C1650" s="13" t="s">
        <v>641</v>
      </c>
      <c r="D1650" s="13" t="s">
        <v>3724</v>
      </c>
      <c r="E1650" s="13">
        <v>2</v>
      </c>
      <c r="F1650" s="13" t="s">
        <v>671</v>
      </c>
      <c r="G1650" s="13" t="s">
        <v>678</v>
      </c>
      <c r="H1650" s="13" t="s">
        <v>3298</v>
      </c>
    </row>
    <row r="1651" spans="1:8">
      <c r="A1651" s="13" t="s">
        <v>3180</v>
      </c>
      <c r="B1651" s="13">
        <v>4517522</v>
      </c>
      <c r="C1651" s="13" t="s">
        <v>641</v>
      </c>
      <c r="D1651" s="13" t="s">
        <v>3725</v>
      </c>
      <c r="E1651" s="13">
        <v>2</v>
      </c>
      <c r="F1651" s="13" t="s">
        <v>671</v>
      </c>
      <c r="G1651" s="13" t="s">
        <v>678</v>
      </c>
      <c r="H1651" s="13" t="s">
        <v>3535</v>
      </c>
    </row>
    <row r="1652" spans="1:8">
      <c r="A1652" s="13" t="s">
        <v>3180</v>
      </c>
      <c r="B1652" s="13">
        <v>4517551</v>
      </c>
      <c r="C1652" s="13" t="s">
        <v>641</v>
      </c>
      <c r="D1652" s="13" t="s">
        <v>3726</v>
      </c>
      <c r="E1652" s="13">
        <v>1</v>
      </c>
      <c r="F1652" s="13" t="s">
        <v>640</v>
      </c>
      <c r="G1652" s="13" t="s">
        <v>3186</v>
      </c>
      <c r="H1652" s="13" t="s">
        <v>3535</v>
      </c>
    </row>
    <row r="1653" spans="1:8">
      <c r="A1653" s="13" t="s">
        <v>3180</v>
      </c>
      <c r="B1653" s="13">
        <v>4517567</v>
      </c>
      <c r="C1653" s="13" t="s">
        <v>641</v>
      </c>
      <c r="D1653" s="13" t="s">
        <v>3727</v>
      </c>
      <c r="E1653" s="13">
        <v>1</v>
      </c>
      <c r="F1653" s="13" t="s">
        <v>656</v>
      </c>
      <c r="G1653" s="13" t="s">
        <v>641</v>
      </c>
      <c r="H1653" s="13" t="s">
        <v>641</v>
      </c>
    </row>
    <row r="1654" spans="1:8">
      <c r="A1654" s="13" t="s">
        <v>3180</v>
      </c>
      <c r="B1654" s="13">
        <v>4517585</v>
      </c>
      <c r="C1654" s="13" t="s">
        <v>641</v>
      </c>
      <c r="D1654" s="13" t="s">
        <v>3728</v>
      </c>
      <c r="E1654" s="13">
        <v>2</v>
      </c>
      <c r="F1654" s="13" t="s">
        <v>671</v>
      </c>
      <c r="G1654" s="13" t="s">
        <v>677</v>
      </c>
      <c r="H1654" s="13" t="s">
        <v>3298</v>
      </c>
    </row>
    <row r="1655" spans="1:8">
      <c r="A1655" s="13" t="s">
        <v>3180</v>
      </c>
      <c r="B1655" s="13">
        <v>4517586</v>
      </c>
      <c r="C1655" s="13" t="s">
        <v>641</v>
      </c>
      <c r="D1655" s="13" t="s">
        <v>3729</v>
      </c>
      <c r="E1655" s="13">
        <v>2</v>
      </c>
      <c r="F1655" s="13" t="s">
        <v>671</v>
      </c>
      <c r="G1655" s="13" t="s">
        <v>677</v>
      </c>
      <c r="H1655" s="13" t="s">
        <v>3298</v>
      </c>
    </row>
    <row r="1656" spans="1:8">
      <c r="A1656" s="13" t="s">
        <v>3180</v>
      </c>
      <c r="B1656" s="13">
        <v>4517587</v>
      </c>
      <c r="C1656" s="13" t="s">
        <v>641</v>
      </c>
      <c r="D1656" s="13" t="s">
        <v>1613</v>
      </c>
      <c r="E1656" s="13">
        <v>1</v>
      </c>
      <c r="F1656" s="13" t="s">
        <v>656</v>
      </c>
      <c r="G1656" s="13" t="s">
        <v>641</v>
      </c>
      <c r="H1656" s="13" t="s">
        <v>3298</v>
      </c>
    </row>
    <row r="1657" spans="1:8">
      <c r="A1657" s="13" t="s">
        <v>3180</v>
      </c>
      <c r="B1657" s="13">
        <v>4517588</v>
      </c>
      <c r="C1657" s="13" t="s">
        <v>641</v>
      </c>
      <c r="D1657" s="13" t="s">
        <v>1614</v>
      </c>
      <c r="E1657" s="13">
        <v>2</v>
      </c>
      <c r="F1657" s="13" t="s">
        <v>709</v>
      </c>
      <c r="G1657" s="13" t="s">
        <v>641</v>
      </c>
      <c r="H1657" s="13" t="s">
        <v>3298</v>
      </c>
    </row>
    <row r="1658" spans="1:8">
      <c r="A1658" s="13" t="s">
        <v>3180</v>
      </c>
      <c r="B1658" s="13">
        <v>4517589</v>
      </c>
      <c r="C1658" s="13" t="s">
        <v>641</v>
      </c>
      <c r="D1658" s="13" t="s">
        <v>3730</v>
      </c>
      <c r="E1658" s="13">
        <v>1</v>
      </c>
      <c r="F1658" s="13" t="s">
        <v>640</v>
      </c>
      <c r="G1658" s="13" t="s">
        <v>641</v>
      </c>
      <c r="H1658" s="13" t="s">
        <v>3298</v>
      </c>
    </row>
    <row r="1659" spans="1:8">
      <c r="A1659" s="13" t="s">
        <v>3180</v>
      </c>
      <c r="B1659" s="13">
        <v>4517590</v>
      </c>
      <c r="C1659" s="13" t="s">
        <v>641</v>
      </c>
      <c r="D1659" s="13" t="s">
        <v>3731</v>
      </c>
      <c r="E1659" s="13">
        <v>1</v>
      </c>
      <c r="F1659" s="13" t="s">
        <v>640</v>
      </c>
      <c r="G1659" s="13" t="s">
        <v>641</v>
      </c>
      <c r="H1659" s="13" t="s">
        <v>3298</v>
      </c>
    </row>
    <row r="1660" spans="1:8">
      <c r="A1660" s="13" t="s">
        <v>3180</v>
      </c>
      <c r="B1660" s="13">
        <v>4517591</v>
      </c>
      <c r="C1660" s="13" t="s">
        <v>641</v>
      </c>
      <c r="D1660" s="13" t="s">
        <v>3732</v>
      </c>
      <c r="E1660" s="13">
        <v>1</v>
      </c>
      <c r="F1660" s="13" t="s">
        <v>640</v>
      </c>
      <c r="G1660" s="13" t="s">
        <v>641</v>
      </c>
      <c r="H1660" s="13" t="s">
        <v>3298</v>
      </c>
    </row>
    <row r="1661" spans="1:8">
      <c r="A1661" s="13" t="s">
        <v>3180</v>
      </c>
      <c r="B1661" s="13">
        <v>4517592</v>
      </c>
      <c r="C1661" s="13" t="s">
        <v>641</v>
      </c>
      <c r="D1661" s="13" t="s">
        <v>3733</v>
      </c>
      <c r="E1661" s="13">
        <v>1</v>
      </c>
      <c r="F1661" s="13" t="s">
        <v>640</v>
      </c>
      <c r="G1661" s="13" t="s">
        <v>641</v>
      </c>
      <c r="H1661" s="13" t="s">
        <v>3298</v>
      </c>
    </row>
    <row r="1662" spans="1:8">
      <c r="A1662" s="13" t="s">
        <v>3180</v>
      </c>
      <c r="B1662" s="13">
        <v>4517611</v>
      </c>
      <c r="C1662" s="13" t="s">
        <v>641</v>
      </c>
      <c r="D1662" s="13" t="s">
        <v>1615</v>
      </c>
      <c r="E1662" s="13">
        <v>1</v>
      </c>
      <c r="F1662" s="13" t="s">
        <v>646</v>
      </c>
      <c r="G1662" s="13" t="s">
        <v>641</v>
      </c>
      <c r="H1662" s="13" t="s">
        <v>3298</v>
      </c>
    </row>
    <row r="1663" spans="1:8">
      <c r="A1663" s="13" t="s">
        <v>3180</v>
      </c>
      <c r="B1663" s="13">
        <v>4517624</v>
      </c>
      <c r="C1663" s="13" t="s">
        <v>641</v>
      </c>
      <c r="D1663" s="13" t="s">
        <v>3734</v>
      </c>
      <c r="E1663" s="13">
        <v>2</v>
      </c>
      <c r="F1663" s="13" t="s">
        <v>709</v>
      </c>
      <c r="G1663" s="13" t="s">
        <v>641</v>
      </c>
      <c r="H1663" s="13" t="s">
        <v>3298</v>
      </c>
    </row>
    <row r="1664" spans="1:8">
      <c r="A1664" s="13" t="s">
        <v>3180</v>
      </c>
      <c r="B1664" s="13">
        <v>4517625</v>
      </c>
      <c r="C1664" s="13" t="s">
        <v>641</v>
      </c>
      <c r="D1664" s="13" t="s">
        <v>3735</v>
      </c>
      <c r="E1664" s="13">
        <v>1</v>
      </c>
      <c r="F1664" s="13" t="s">
        <v>640</v>
      </c>
      <c r="G1664" s="13" t="s">
        <v>641</v>
      </c>
      <c r="H1664" s="13" t="s">
        <v>3298</v>
      </c>
    </row>
    <row r="1665" spans="1:8">
      <c r="A1665" s="13" t="s">
        <v>3180</v>
      </c>
      <c r="B1665" s="13">
        <v>4517626</v>
      </c>
      <c r="C1665" s="13" t="s">
        <v>641</v>
      </c>
      <c r="D1665" s="13" t="s">
        <v>3736</v>
      </c>
      <c r="E1665" s="13">
        <v>2</v>
      </c>
      <c r="F1665" s="13" t="s">
        <v>709</v>
      </c>
      <c r="G1665" s="13" t="s">
        <v>641</v>
      </c>
      <c r="H1665" s="13" t="s">
        <v>3298</v>
      </c>
    </row>
    <row r="1666" spans="1:8">
      <c r="A1666" s="13" t="s">
        <v>3180</v>
      </c>
      <c r="B1666" s="13">
        <v>4517627</v>
      </c>
      <c r="C1666" s="13" t="s">
        <v>641</v>
      </c>
      <c r="D1666" s="13" t="s">
        <v>1616</v>
      </c>
      <c r="E1666" s="13">
        <v>1</v>
      </c>
      <c r="F1666" s="13" t="s">
        <v>642</v>
      </c>
      <c r="G1666" s="13" t="s">
        <v>641</v>
      </c>
      <c r="H1666" s="13" t="s">
        <v>3298</v>
      </c>
    </row>
    <row r="1667" spans="1:8">
      <c r="A1667" s="13" t="s">
        <v>3180</v>
      </c>
      <c r="B1667" s="13">
        <v>4517628</v>
      </c>
      <c r="C1667" s="13" t="s">
        <v>641</v>
      </c>
      <c r="D1667" s="13" t="s">
        <v>1617</v>
      </c>
      <c r="E1667" s="13">
        <v>1</v>
      </c>
      <c r="F1667" s="13" t="s">
        <v>646</v>
      </c>
      <c r="G1667" s="13" t="s">
        <v>641</v>
      </c>
      <c r="H1667" s="13" t="s">
        <v>3298</v>
      </c>
    </row>
    <row r="1668" spans="1:8">
      <c r="A1668" s="13" t="s">
        <v>3180</v>
      </c>
      <c r="B1668" s="13">
        <v>4517629</v>
      </c>
      <c r="C1668" s="13" t="s">
        <v>641</v>
      </c>
      <c r="D1668" s="13" t="s">
        <v>1618</v>
      </c>
      <c r="E1668" s="13">
        <v>1</v>
      </c>
      <c r="F1668" s="13" t="s">
        <v>646</v>
      </c>
      <c r="G1668" s="13" t="s">
        <v>641</v>
      </c>
      <c r="H1668" s="13" t="s">
        <v>3298</v>
      </c>
    </row>
    <row r="1669" spans="1:8">
      <c r="A1669" s="13" t="s">
        <v>3180</v>
      </c>
      <c r="B1669" s="13">
        <v>4517655</v>
      </c>
      <c r="C1669" s="13" t="s">
        <v>641</v>
      </c>
      <c r="D1669" s="13" t="s">
        <v>3737</v>
      </c>
      <c r="E1669" s="13">
        <v>1</v>
      </c>
      <c r="F1669" s="13" t="s">
        <v>656</v>
      </c>
      <c r="G1669" s="13" t="s">
        <v>641</v>
      </c>
      <c r="H1669" s="13" t="s">
        <v>735</v>
      </c>
    </row>
    <row r="1670" spans="1:8">
      <c r="A1670" s="13" t="s">
        <v>3180</v>
      </c>
      <c r="B1670" s="13">
        <v>4517698</v>
      </c>
      <c r="C1670" s="13" t="s">
        <v>641</v>
      </c>
      <c r="D1670" s="13" t="s">
        <v>3738</v>
      </c>
      <c r="E1670" s="13">
        <v>2</v>
      </c>
      <c r="F1670" s="13" t="s">
        <v>654</v>
      </c>
      <c r="G1670" s="13" t="s">
        <v>641</v>
      </c>
      <c r="H1670" s="13" t="s">
        <v>3298</v>
      </c>
    </row>
    <row r="1671" spans="1:8">
      <c r="A1671" s="13" t="s">
        <v>3180</v>
      </c>
      <c r="B1671" s="13">
        <v>4517699</v>
      </c>
      <c r="C1671" s="13" t="s">
        <v>641</v>
      </c>
      <c r="D1671" s="13" t="s">
        <v>3739</v>
      </c>
      <c r="E1671" s="13">
        <v>1</v>
      </c>
      <c r="F1671" s="13" t="s">
        <v>644</v>
      </c>
      <c r="G1671" s="13" t="s">
        <v>641</v>
      </c>
      <c r="H1671" s="13" t="s">
        <v>3298</v>
      </c>
    </row>
    <row r="1672" spans="1:8">
      <c r="A1672" s="13" t="s">
        <v>3180</v>
      </c>
      <c r="B1672" s="13">
        <v>4517700</v>
      </c>
      <c r="C1672" s="13" t="s">
        <v>641</v>
      </c>
      <c r="D1672" s="13" t="s">
        <v>3740</v>
      </c>
      <c r="E1672" s="13">
        <v>1</v>
      </c>
      <c r="F1672" s="13" t="s">
        <v>642</v>
      </c>
      <c r="G1672" s="13" t="s">
        <v>641</v>
      </c>
      <c r="H1672" s="13" t="s">
        <v>3298</v>
      </c>
    </row>
    <row r="1673" spans="1:8">
      <c r="A1673" s="13" t="s">
        <v>3180</v>
      </c>
      <c r="B1673" s="13">
        <v>4517701</v>
      </c>
      <c r="C1673" s="13" t="s">
        <v>641</v>
      </c>
      <c r="D1673" s="13" t="s">
        <v>3741</v>
      </c>
      <c r="E1673" s="13">
        <v>1</v>
      </c>
      <c r="F1673" s="13" t="s">
        <v>656</v>
      </c>
      <c r="G1673" s="13" t="s">
        <v>641</v>
      </c>
      <c r="H1673" s="13" t="s">
        <v>700</v>
      </c>
    </row>
    <row r="1674" spans="1:8">
      <c r="A1674" s="13" t="s">
        <v>3180</v>
      </c>
      <c r="B1674" s="13">
        <v>4517713</v>
      </c>
      <c r="C1674" s="13" t="s">
        <v>641</v>
      </c>
      <c r="D1674" s="13" t="s">
        <v>3742</v>
      </c>
      <c r="E1674" s="13">
        <v>2</v>
      </c>
      <c r="F1674" s="13" t="s">
        <v>654</v>
      </c>
      <c r="G1674" s="13" t="s">
        <v>641</v>
      </c>
      <c r="H1674" s="13" t="s">
        <v>641</v>
      </c>
    </row>
    <row r="1675" spans="1:8">
      <c r="A1675" s="13" t="s">
        <v>3180</v>
      </c>
      <c r="B1675" s="13">
        <v>4517714</v>
      </c>
      <c r="C1675" s="13" t="s">
        <v>641</v>
      </c>
      <c r="D1675" s="13" t="s">
        <v>3743</v>
      </c>
      <c r="E1675" s="13">
        <v>2</v>
      </c>
      <c r="F1675" s="13" t="s">
        <v>654</v>
      </c>
      <c r="G1675" s="13" t="s">
        <v>641</v>
      </c>
      <c r="H1675" s="13" t="s">
        <v>641</v>
      </c>
    </row>
    <row r="1676" spans="1:8">
      <c r="A1676" s="13" t="s">
        <v>3180</v>
      </c>
      <c r="B1676" s="13">
        <v>4517715</v>
      </c>
      <c r="C1676" s="13" t="s">
        <v>641</v>
      </c>
      <c r="D1676" s="13" t="s">
        <v>505</v>
      </c>
      <c r="E1676" s="13">
        <v>1</v>
      </c>
      <c r="F1676" s="13" t="s">
        <v>642</v>
      </c>
      <c r="G1676" s="13" t="s">
        <v>641</v>
      </c>
      <c r="H1676" s="13" t="s">
        <v>3298</v>
      </c>
    </row>
    <row r="1677" spans="1:8">
      <c r="A1677" s="13" t="s">
        <v>3180</v>
      </c>
      <c r="B1677" s="13">
        <v>4517731</v>
      </c>
      <c r="C1677" s="13" t="s">
        <v>641</v>
      </c>
      <c r="D1677" s="13" t="s">
        <v>1619</v>
      </c>
      <c r="E1677" s="13">
        <v>2</v>
      </c>
      <c r="F1677" s="13" t="s">
        <v>671</v>
      </c>
      <c r="G1677" s="13" t="s">
        <v>672</v>
      </c>
      <c r="H1677" s="13" t="s">
        <v>3298</v>
      </c>
    </row>
    <row r="1678" spans="1:8">
      <c r="A1678" s="13" t="s">
        <v>3180</v>
      </c>
      <c r="B1678" s="13">
        <v>4517732</v>
      </c>
      <c r="C1678" s="13" t="s">
        <v>641</v>
      </c>
      <c r="D1678" s="13" t="s">
        <v>1620</v>
      </c>
      <c r="E1678" s="13">
        <v>1</v>
      </c>
      <c r="F1678" s="13" t="s">
        <v>656</v>
      </c>
      <c r="G1678" s="13" t="s">
        <v>641</v>
      </c>
      <c r="H1678" s="13" t="s">
        <v>3298</v>
      </c>
    </row>
    <row r="1679" spans="1:8">
      <c r="A1679" s="13" t="s">
        <v>3180</v>
      </c>
      <c r="B1679" s="13">
        <v>4517768</v>
      </c>
      <c r="C1679" s="13" t="s">
        <v>641</v>
      </c>
      <c r="D1679" s="13" t="s">
        <v>3744</v>
      </c>
      <c r="E1679" s="13">
        <v>1</v>
      </c>
      <c r="F1679" s="14" t="s">
        <v>646</v>
      </c>
      <c r="G1679" s="13" t="s">
        <v>3745</v>
      </c>
      <c r="H1679" s="13" t="s">
        <v>3183</v>
      </c>
    </row>
    <row r="1680" spans="1:8">
      <c r="A1680" s="13" t="s">
        <v>3180</v>
      </c>
      <c r="B1680" s="13">
        <v>4517798</v>
      </c>
      <c r="C1680" s="13" t="s">
        <v>641</v>
      </c>
      <c r="D1680" s="13" t="s">
        <v>3746</v>
      </c>
      <c r="E1680" s="13">
        <v>2</v>
      </c>
      <c r="F1680" s="13" t="s">
        <v>671</v>
      </c>
      <c r="G1680" s="13" t="s">
        <v>672</v>
      </c>
      <c r="H1680" s="13" t="s">
        <v>641</v>
      </c>
    </row>
    <row r="1681" spans="1:8">
      <c r="A1681" s="13" t="s">
        <v>3180</v>
      </c>
      <c r="B1681" s="13">
        <v>4517800</v>
      </c>
      <c r="C1681" s="13" t="s">
        <v>641</v>
      </c>
      <c r="D1681" s="13" t="s">
        <v>714</v>
      </c>
      <c r="E1681" s="13">
        <v>1</v>
      </c>
      <c r="F1681" s="13" t="s">
        <v>656</v>
      </c>
      <c r="G1681" s="13" t="s">
        <v>641</v>
      </c>
      <c r="H1681" s="13" t="s">
        <v>3298</v>
      </c>
    </row>
    <row r="1682" spans="1:8">
      <c r="A1682" s="13" t="s">
        <v>3180</v>
      </c>
      <c r="B1682" s="13">
        <v>4517828</v>
      </c>
      <c r="C1682" s="13" t="s">
        <v>641</v>
      </c>
      <c r="D1682" s="13" t="s">
        <v>3747</v>
      </c>
      <c r="E1682" s="13">
        <v>2</v>
      </c>
      <c r="F1682" s="13" t="s">
        <v>671</v>
      </c>
      <c r="G1682" s="13" t="s">
        <v>677</v>
      </c>
      <c r="H1682" s="13" t="s">
        <v>3298</v>
      </c>
    </row>
    <row r="1683" spans="1:8">
      <c r="A1683" s="13" t="s">
        <v>3180</v>
      </c>
      <c r="B1683" s="13">
        <v>4517829</v>
      </c>
      <c r="C1683" s="13" t="s">
        <v>641</v>
      </c>
      <c r="D1683" s="13" t="s">
        <v>3748</v>
      </c>
      <c r="E1683" s="13">
        <v>1</v>
      </c>
      <c r="F1683" s="13" t="s">
        <v>644</v>
      </c>
      <c r="G1683" s="13" t="s">
        <v>641</v>
      </c>
      <c r="H1683" s="13" t="s">
        <v>3298</v>
      </c>
    </row>
    <row r="1684" spans="1:8">
      <c r="A1684" s="13" t="s">
        <v>3180</v>
      </c>
      <c r="B1684" s="13">
        <v>4517839</v>
      </c>
      <c r="C1684" s="13" t="s">
        <v>641</v>
      </c>
      <c r="D1684" s="13" t="s">
        <v>3749</v>
      </c>
      <c r="E1684" s="13">
        <v>1</v>
      </c>
      <c r="F1684" s="13" t="s">
        <v>649</v>
      </c>
      <c r="G1684" s="13" t="s">
        <v>641</v>
      </c>
      <c r="H1684" s="13" t="s">
        <v>3298</v>
      </c>
    </row>
    <row r="1685" spans="1:8">
      <c r="A1685" s="13" t="s">
        <v>3180</v>
      </c>
      <c r="B1685" s="13">
        <v>4517858</v>
      </c>
      <c r="C1685" s="13" t="s">
        <v>641</v>
      </c>
      <c r="D1685" s="13" t="s">
        <v>3750</v>
      </c>
      <c r="E1685" s="13">
        <v>1</v>
      </c>
      <c r="F1685" s="13" t="s">
        <v>649</v>
      </c>
      <c r="G1685" s="13" t="s">
        <v>641</v>
      </c>
      <c r="H1685" s="13" t="s">
        <v>3298</v>
      </c>
    </row>
    <row r="1686" spans="1:8">
      <c r="A1686" s="13" t="s">
        <v>3180</v>
      </c>
      <c r="B1686" s="13">
        <v>4517859</v>
      </c>
      <c r="C1686" s="13" t="s">
        <v>641</v>
      </c>
      <c r="D1686" s="13" t="s">
        <v>3751</v>
      </c>
      <c r="E1686" s="13">
        <v>1</v>
      </c>
      <c r="F1686" s="13" t="s">
        <v>640</v>
      </c>
      <c r="G1686" s="13" t="s">
        <v>641</v>
      </c>
      <c r="H1686" s="13" t="s">
        <v>641</v>
      </c>
    </row>
    <row r="1687" spans="1:8">
      <c r="A1687" s="13" t="s">
        <v>3180</v>
      </c>
      <c r="B1687" s="13">
        <v>4517948</v>
      </c>
      <c r="C1687" s="13" t="s">
        <v>641</v>
      </c>
      <c r="D1687" s="13" t="s">
        <v>3752</v>
      </c>
      <c r="E1687" s="13">
        <v>2</v>
      </c>
      <c r="F1687" s="13" t="s">
        <v>709</v>
      </c>
      <c r="G1687" s="13" t="s">
        <v>641</v>
      </c>
      <c r="H1687" s="13" t="s">
        <v>641</v>
      </c>
    </row>
    <row r="1688" spans="1:8">
      <c r="A1688" s="13" t="s">
        <v>3180</v>
      </c>
      <c r="B1688" s="13">
        <v>4517949</v>
      </c>
      <c r="C1688" s="13" t="s">
        <v>641</v>
      </c>
      <c r="D1688" s="13" t="s">
        <v>3753</v>
      </c>
      <c r="E1688" s="13">
        <v>1</v>
      </c>
      <c r="F1688" s="13" t="s">
        <v>640</v>
      </c>
      <c r="G1688" s="13" t="s">
        <v>641</v>
      </c>
      <c r="H1688" s="13" t="s">
        <v>641</v>
      </c>
    </row>
    <row r="1689" spans="1:8">
      <c r="A1689" s="13" t="s">
        <v>3180</v>
      </c>
      <c r="B1689" s="13">
        <v>4517979</v>
      </c>
      <c r="C1689" s="13" t="s">
        <v>641</v>
      </c>
      <c r="D1689" s="13" t="s">
        <v>3754</v>
      </c>
      <c r="E1689" s="13">
        <v>1</v>
      </c>
      <c r="F1689" s="13" t="s">
        <v>640</v>
      </c>
      <c r="G1689" s="13" t="s">
        <v>641</v>
      </c>
      <c r="H1689" s="13" t="s">
        <v>641</v>
      </c>
    </row>
    <row r="1690" spans="1:8">
      <c r="A1690" s="13" t="s">
        <v>3180</v>
      </c>
      <c r="B1690" s="13">
        <v>4517980</v>
      </c>
      <c r="C1690" s="13" t="s">
        <v>641</v>
      </c>
      <c r="D1690" s="13" t="s">
        <v>1621</v>
      </c>
      <c r="E1690" s="13">
        <v>1</v>
      </c>
      <c r="F1690" s="13" t="s">
        <v>656</v>
      </c>
      <c r="G1690" s="13" t="s">
        <v>641</v>
      </c>
      <c r="H1690" s="13" t="s">
        <v>641</v>
      </c>
    </row>
    <row r="1691" spans="1:8">
      <c r="A1691" s="13" t="s">
        <v>3180</v>
      </c>
      <c r="B1691" s="13">
        <v>4517994</v>
      </c>
      <c r="C1691" s="13" t="s">
        <v>641</v>
      </c>
      <c r="D1691" s="13" t="s">
        <v>327</v>
      </c>
      <c r="E1691" s="13">
        <v>2</v>
      </c>
      <c r="F1691" s="13" t="s">
        <v>671</v>
      </c>
      <c r="G1691" s="13" t="s">
        <v>677</v>
      </c>
      <c r="H1691" s="13" t="s">
        <v>641</v>
      </c>
    </row>
    <row r="1692" spans="1:8">
      <c r="A1692" s="13" t="s">
        <v>3180</v>
      </c>
      <c r="B1692" s="13">
        <v>4518001</v>
      </c>
      <c r="C1692" s="13" t="s">
        <v>641</v>
      </c>
      <c r="D1692" s="13" t="s">
        <v>3755</v>
      </c>
      <c r="E1692" s="13">
        <v>1</v>
      </c>
      <c r="F1692" s="13" t="s">
        <v>656</v>
      </c>
      <c r="G1692" s="13" t="s">
        <v>641</v>
      </c>
      <c r="H1692" s="13" t="s">
        <v>641</v>
      </c>
    </row>
    <row r="1693" spans="1:8">
      <c r="A1693" s="13" t="s">
        <v>3180</v>
      </c>
      <c r="B1693" s="13">
        <v>4518002</v>
      </c>
      <c r="C1693" s="13" t="s">
        <v>641</v>
      </c>
      <c r="D1693" s="13" t="s">
        <v>3756</v>
      </c>
      <c r="E1693" s="13">
        <v>1</v>
      </c>
      <c r="F1693" s="13" t="s">
        <v>640</v>
      </c>
      <c r="G1693" s="13" t="s">
        <v>3186</v>
      </c>
      <c r="H1693" s="13" t="s">
        <v>3339</v>
      </c>
    </row>
    <row r="1694" spans="1:8">
      <c r="A1694" s="13" t="s">
        <v>3180</v>
      </c>
      <c r="B1694" s="13">
        <v>4518003</v>
      </c>
      <c r="C1694" s="13" t="s">
        <v>641</v>
      </c>
      <c r="D1694" s="13" t="s">
        <v>3757</v>
      </c>
      <c r="E1694" s="13">
        <v>1</v>
      </c>
      <c r="F1694" s="13" t="s">
        <v>640</v>
      </c>
      <c r="G1694" s="13" t="s">
        <v>641</v>
      </c>
      <c r="H1694" s="13" t="s">
        <v>735</v>
      </c>
    </row>
    <row r="1695" spans="1:8">
      <c r="A1695" s="13" t="s">
        <v>3180</v>
      </c>
      <c r="B1695" s="13">
        <v>4518005</v>
      </c>
      <c r="C1695" s="13" t="s">
        <v>641</v>
      </c>
      <c r="D1695" s="13" t="s">
        <v>3758</v>
      </c>
      <c r="E1695" s="13">
        <v>1</v>
      </c>
      <c r="F1695" s="13" t="s">
        <v>642</v>
      </c>
      <c r="G1695" s="13" t="s">
        <v>641</v>
      </c>
      <c r="H1695" s="13" t="s">
        <v>641</v>
      </c>
    </row>
    <row r="1696" spans="1:8">
      <c r="A1696" s="13" t="s">
        <v>3180</v>
      </c>
      <c r="B1696" s="13">
        <v>4518006</v>
      </c>
      <c r="C1696" s="13" t="s">
        <v>641</v>
      </c>
      <c r="D1696" s="13" t="s">
        <v>3759</v>
      </c>
      <c r="E1696" s="13">
        <v>1</v>
      </c>
      <c r="F1696" s="13" t="s">
        <v>656</v>
      </c>
      <c r="G1696" s="13" t="s">
        <v>641</v>
      </c>
      <c r="H1696" s="13" t="s">
        <v>641</v>
      </c>
    </row>
    <row r="1697" spans="1:8">
      <c r="A1697" s="13" t="s">
        <v>3180</v>
      </c>
      <c r="B1697" s="13">
        <v>4518007</v>
      </c>
      <c r="C1697" s="13" t="s">
        <v>641</v>
      </c>
      <c r="D1697" s="13" t="s">
        <v>3760</v>
      </c>
      <c r="E1697" s="13">
        <v>1</v>
      </c>
      <c r="F1697" s="13" t="s">
        <v>644</v>
      </c>
      <c r="G1697" s="13" t="s">
        <v>641</v>
      </c>
      <c r="H1697" s="13" t="s">
        <v>641</v>
      </c>
    </row>
    <row r="1698" spans="1:8">
      <c r="A1698" s="13" t="s">
        <v>3180</v>
      </c>
      <c r="B1698" s="13">
        <v>4518008</v>
      </c>
      <c r="C1698" s="13" t="s">
        <v>641</v>
      </c>
      <c r="D1698" s="13" t="s">
        <v>3761</v>
      </c>
      <c r="E1698" s="13">
        <v>2</v>
      </c>
      <c r="F1698" s="13" t="s">
        <v>671</v>
      </c>
      <c r="G1698" s="13" t="s">
        <v>672</v>
      </c>
      <c r="H1698" s="13" t="s">
        <v>641</v>
      </c>
    </row>
    <row r="1699" spans="1:8">
      <c r="A1699" s="13" t="s">
        <v>3180</v>
      </c>
      <c r="B1699" s="13">
        <v>4518034</v>
      </c>
      <c r="C1699" s="13" t="s">
        <v>641</v>
      </c>
      <c r="D1699" s="13" t="s">
        <v>1622</v>
      </c>
      <c r="E1699" s="13">
        <v>1</v>
      </c>
      <c r="F1699" s="13" t="s">
        <v>646</v>
      </c>
      <c r="G1699" s="13" t="s">
        <v>641</v>
      </c>
      <c r="H1699" s="13" t="s">
        <v>700</v>
      </c>
    </row>
    <row r="1700" spans="1:8">
      <c r="A1700" s="13" t="s">
        <v>3180</v>
      </c>
      <c r="B1700" s="13">
        <v>4518043</v>
      </c>
      <c r="C1700" s="13" t="s">
        <v>641</v>
      </c>
      <c r="D1700" s="13" t="s">
        <v>3762</v>
      </c>
      <c r="E1700" s="13">
        <v>1</v>
      </c>
      <c r="F1700" s="13" t="s">
        <v>656</v>
      </c>
      <c r="G1700" s="13" t="s">
        <v>641</v>
      </c>
      <c r="H1700" s="13" t="s">
        <v>641</v>
      </c>
    </row>
    <row r="1701" spans="1:8">
      <c r="A1701" s="13" t="s">
        <v>3180</v>
      </c>
      <c r="B1701" s="13">
        <v>4518044</v>
      </c>
      <c r="C1701" s="13" t="s">
        <v>641</v>
      </c>
      <c r="D1701" s="13" t="s">
        <v>3763</v>
      </c>
      <c r="E1701" s="13">
        <v>1</v>
      </c>
      <c r="F1701" s="13" t="s">
        <v>640</v>
      </c>
      <c r="G1701" s="13" t="s">
        <v>641</v>
      </c>
      <c r="H1701" s="13" t="s">
        <v>641</v>
      </c>
    </row>
    <row r="1702" spans="1:8">
      <c r="A1702" s="13" t="s">
        <v>3180</v>
      </c>
      <c r="B1702" s="13">
        <v>4518045</v>
      </c>
      <c r="C1702" s="13" t="s">
        <v>641</v>
      </c>
      <c r="D1702" s="13" t="s">
        <v>3764</v>
      </c>
      <c r="E1702" s="13">
        <v>2</v>
      </c>
      <c r="F1702" s="13" t="s">
        <v>671</v>
      </c>
      <c r="G1702" s="13" t="s">
        <v>678</v>
      </c>
      <c r="H1702" s="13" t="s">
        <v>700</v>
      </c>
    </row>
    <row r="1703" spans="1:8">
      <c r="A1703" s="13" t="s">
        <v>3180</v>
      </c>
      <c r="B1703" s="13">
        <v>4518046</v>
      </c>
      <c r="C1703" s="13" t="s">
        <v>641</v>
      </c>
      <c r="D1703" s="13" t="s">
        <v>3765</v>
      </c>
      <c r="E1703" s="13">
        <v>1</v>
      </c>
      <c r="F1703" s="13" t="s">
        <v>640</v>
      </c>
      <c r="G1703" s="13" t="s">
        <v>641</v>
      </c>
      <c r="H1703" s="13" t="s">
        <v>641</v>
      </c>
    </row>
    <row r="1704" spans="1:8">
      <c r="A1704" s="13" t="s">
        <v>3180</v>
      </c>
      <c r="B1704" s="13">
        <v>4518047</v>
      </c>
      <c r="C1704" s="13" t="s">
        <v>641</v>
      </c>
      <c r="D1704" s="13" t="s">
        <v>3766</v>
      </c>
      <c r="E1704" s="13">
        <v>1</v>
      </c>
      <c r="F1704" s="13" t="s">
        <v>649</v>
      </c>
      <c r="G1704" s="13" t="s">
        <v>641</v>
      </c>
      <c r="H1704" s="13" t="s">
        <v>700</v>
      </c>
    </row>
    <row r="1705" spans="1:8">
      <c r="A1705" s="13" t="s">
        <v>3180</v>
      </c>
      <c r="B1705" s="13">
        <v>4518048</v>
      </c>
      <c r="C1705" s="13" t="s">
        <v>641</v>
      </c>
      <c r="D1705" s="13" t="s">
        <v>1623</v>
      </c>
      <c r="E1705" s="13">
        <v>1</v>
      </c>
      <c r="F1705" s="13" t="s">
        <v>656</v>
      </c>
      <c r="G1705" s="13" t="s">
        <v>641</v>
      </c>
      <c r="H1705" s="13" t="s">
        <v>641</v>
      </c>
    </row>
    <row r="1706" spans="1:8">
      <c r="A1706" s="13" t="s">
        <v>3180</v>
      </c>
      <c r="B1706" s="13">
        <v>4518049</v>
      </c>
      <c r="C1706" s="13" t="s">
        <v>641</v>
      </c>
      <c r="D1706" s="13" t="s">
        <v>3767</v>
      </c>
      <c r="E1706" s="13">
        <v>2</v>
      </c>
      <c r="F1706" s="13" t="s">
        <v>671</v>
      </c>
      <c r="G1706" s="13" t="s">
        <v>677</v>
      </c>
      <c r="H1706" s="13" t="s">
        <v>641</v>
      </c>
    </row>
    <row r="1707" spans="1:8">
      <c r="A1707" s="13" t="s">
        <v>3180</v>
      </c>
      <c r="B1707" s="13">
        <v>4518050</v>
      </c>
      <c r="C1707" s="13" t="s">
        <v>641</v>
      </c>
      <c r="D1707" s="13" t="s">
        <v>3768</v>
      </c>
      <c r="E1707" s="13">
        <v>1</v>
      </c>
      <c r="F1707" s="13" t="s">
        <v>640</v>
      </c>
      <c r="G1707" s="13" t="s">
        <v>641</v>
      </c>
      <c r="H1707" s="13" t="s">
        <v>641</v>
      </c>
    </row>
    <row r="1708" spans="1:8">
      <c r="A1708" s="13" t="s">
        <v>3180</v>
      </c>
      <c r="B1708" s="13">
        <v>4518106</v>
      </c>
      <c r="C1708" s="13" t="s">
        <v>641</v>
      </c>
      <c r="D1708" s="13" t="s">
        <v>540</v>
      </c>
      <c r="E1708" s="13">
        <v>1</v>
      </c>
      <c r="F1708" s="13" t="s">
        <v>642</v>
      </c>
      <c r="G1708" s="13" t="s">
        <v>641</v>
      </c>
      <c r="H1708" s="13" t="s">
        <v>641</v>
      </c>
    </row>
    <row r="1709" spans="1:8">
      <c r="A1709" s="13" t="s">
        <v>3180</v>
      </c>
      <c r="B1709" s="13">
        <v>4518107</v>
      </c>
      <c r="C1709" s="13" t="s">
        <v>641</v>
      </c>
      <c r="D1709" s="13" t="s">
        <v>3769</v>
      </c>
      <c r="E1709" s="13">
        <v>1</v>
      </c>
      <c r="F1709" s="13" t="s">
        <v>640</v>
      </c>
      <c r="G1709" s="13" t="s">
        <v>641</v>
      </c>
      <c r="H1709" s="13" t="s">
        <v>641</v>
      </c>
    </row>
    <row r="1710" spans="1:8">
      <c r="A1710" s="13" t="s">
        <v>3180</v>
      </c>
      <c r="B1710" s="13">
        <v>4518108</v>
      </c>
      <c r="C1710" s="13" t="s">
        <v>641</v>
      </c>
      <c r="D1710" s="13" t="s">
        <v>3770</v>
      </c>
      <c r="E1710" s="13">
        <v>1</v>
      </c>
      <c r="F1710" s="13" t="s">
        <v>649</v>
      </c>
      <c r="G1710" s="13" t="s">
        <v>641</v>
      </c>
      <c r="H1710" s="13" t="s">
        <v>641</v>
      </c>
    </row>
    <row r="1711" spans="1:8">
      <c r="A1711" s="13" t="s">
        <v>3180</v>
      </c>
      <c r="B1711" s="13">
        <v>4518124</v>
      </c>
      <c r="C1711" s="13" t="s">
        <v>641</v>
      </c>
      <c r="D1711" s="13" t="s">
        <v>513</v>
      </c>
      <c r="E1711" s="13">
        <v>2</v>
      </c>
      <c r="F1711" s="13" t="s">
        <v>709</v>
      </c>
      <c r="G1711" s="13" t="s">
        <v>641</v>
      </c>
      <c r="H1711" s="13" t="s">
        <v>641</v>
      </c>
    </row>
    <row r="1712" spans="1:8">
      <c r="A1712" s="13" t="s">
        <v>3180</v>
      </c>
      <c r="B1712" s="13">
        <v>4518125</v>
      </c>
      <c r="C1712" s="13" t="s">
        <v>641</v>
      </c>
      <c r="D1712" s="13" t="s">
        <v>3771</v>
      </c>
      <c r="E1712" s="13">
        <v>2</v>
      </c>
      <c r="F1712" s="13" t="s">
        <v>709</v>
      </c>
      <c r="G1712" s="13" t="s">
        <v>641</v>
      </c>
      <c r="H1712" s="13" t="s">
        <v>641</v>
      </c>
    </row>
    <row r="1713" spans="1:8">
      <c r="A1713" s="13" t="s">
        <v>3180</v>
      </c>
      <c r="B1713" s="13">
        <v>4518126</v>
      </c>
      <c r="C1713" s="13" t="s">
        <v>641</v>
      </c>
      <c r="D1713" s="13" t="s">
        <v>3772</v>
      </c>
      <c r="E1713" s="13">
        <v>2</v>
      </c>
      <c r="F1713" s="13" t="s">
        <v>709</v>
      </c>
      <c r="G1713" s="13" t="s">
        <v>641</v>
      </c>
      <c r="H1713" s="13" t="s">
        <v>641</v>
      </c>
    </row>
    <row r="1714" spans="1:8">
      <c r="A1714" s="13" t="s">
        <v>3180</v>
      </c>
      <c r="B1714" s="13">
        <v>4518127</v>
      </c>
      <c r="C1714" s="13" t="s">
        <v>641</v>
      </c>
      <c r="D1714" s="13" t="s">
        <v>3773</v>
      </c>
      <c r="E1714" s="13">
        <v>2</v>
      </c>
      <c r="F1714" s="13" t="s">
        <v>709</v>
      </c>
      <c r="G1714" s="13" t="s">
        <v>641</v>
      </c>
      <c r="H1714" s="13" t="s">
        <v>641</v>
      </c>
    </row>
    <row r="1715" spans="1:8">
      <c r="A1715" s="13" t="s">
        <v>3180</v>
      </c>
      <c r="B1715" s="13">
        <v>4518128</v>
      </c>
      <c r="C1715" s="13" t="s">
        <v>641</v>
      </c>
      <c r="D1715" s="13" t="s">
        <v>3774</v>
      </c>
      <c r="E1715" s="13">
        <v>2</v>
      </c>
      <c r="F1715" s="13" t="s">
        <v>671</v>
      </c>
      <c r="G1715" s="13" t="s">
        <v>672</v>
      </c>
      <c r="H1715" s="13" t="s">
        <v>641</v>
      </c>
    </row>
    <row r="1716" spans="1:8">
      <c r="A1716" s="13" t="s">
        <v>3180</v>
      </c>
      <c r="B1716" s="13">
        <v>4518129</v>
      </c>
      <c r="C1716" s="13" t="s">
        <v>641</v>
      </c>
      <c r="D1716" s="13" t="s">
        <v>1624</v>
      </c>
      <c r="E1716" s="13">
        <v>1</v>
      </c>
      <c r="F1716" s="13" t="s">
        <v>646</v>
      </c>
      <c r="G1716" s="13" t="s">
        <v>641</v>
      </c>
      <c r="H1716" s="13" t="s">
        <v>700</v>
      </c>
    </row>
    <row r="1717" spans="1:8">
      <c r="A1717" s="13" t="s">
        <v>3180</v>
      </c>
      <c r="B1717" s="13">
        <v>4518130</v>
      </c>
      <c r="C1717" s="13" t="s">
        <v>641</v>
      </c>
      <c r="D1717" s="13" t="s">
        <v>1625</v>
      </c>
      <c r="E1717" s="13">
        <v>1</v>
      </c>
      <c r="F1717" s="13" t="s">
        <v>646</v>
      </c>
      <c r="G1717" s="13" t="s">
        <v>641</v>
      </c>
      <c r="H1717" s="13" t="s">
        <v>700</v>
      </c>
    </row>
    <row r="1718" spans="1:8">
      <c r="A1718" s="13" t="s">
        <v>3180</v>
      </c>
      <c r="B1718" s="13">
        <v>4518131</v>
      </c>
      <c r="C1718" s="13" t="s">
        <v>641</v>
      </c>
      <c r="D1718" s="13" t="s">
        <v>50</v>
      </c>
      <c r="E1718" s="13">
        <v>1</v>
      </c>
      <c r="F1718" s="13" t="s">
        <v>646</v>
      </c>
      <c r="G1718" s="13" t="s">
        <v>641</v>
      </c>
      <c r="H1718" s="13" t="s">
        <v>700</v>
      </c>
    </row>
    <row r="1719" spans="1:8">
      <c r="A1719" s="13" t="s">
        <v>3180</v>
      </c>
      <c r="B1719" s="13">
        <v>4518132</v>
      </c>
      <c r="C1719" s="13" t="s">
        <v>641</v>
      </c>
      <c r="D1719" s="13" t="s">
        <v>1626</v>
      </c>
      <c r="E1719" s="13">
        <v>1</v>
      </c>
      <c r="F1719" s="13" t="s">
        <v>646</v>
      </c>
      <c r="G1719" s="13" t="s">
        <v>641</v>
      </c>
      <c r="H1719" s="13" t="s">
        <v>700</v>
      </c>
    </row>
    <row r="1720" spans="1:8">
      <c r="A1720" s="13" t="s">
        <v>3180</v>
      </c>
      <c r="B1720" s="13">
        <v>4518133</v>
      </c>
      <c r="C1720" s="13" t="s">
        <v>641</v>
      </c>
      <c r="D1720" s="13" t="s">
        <v>1627</v>
      </c>
      <c r="E1720" s="13">
        <v>1</v>
      </c>
      <c r="F1720" s="13" t="s">
        <v>646</v>
      </c>
      <c r="G1720" s="13" t="s">
        <v>641</v>
      </c>
      <c r="H1720" s="13" t="s">
        <v>641</v>
      </c>
    </row>
    <row r="1721" spans="1:8">
      <c r="A1721" s="13" t="s">
        <v>3180</v>
      </c>
      <c r="B1721" s="13">
        <v>4518135</v>
      </c>
      <c r="C1721" s="13" t="s">
        <v>641</v>
      </c>
      <c r="D1721" s="13" t="s">
        <v>3775</v>
      </c>
      <c r="E1721" s="13">
        <v>1</v>
      </c>
      <c r="F1721" s="13" t="s">
        <v>646</v>
      </c>
      <c r="G1721" s="13" t="s">
        <v>641</v>
      </c>
      <c r="H1721" s="13" t="s">
        <v>700</v>
      </c>
    </row>
    <row r="1722" spans="1:8">
      <c r="A1722" s="13" t="s">
        <v>3180</v>
      </c>
      <c r="B1722" s="13">
        <v>4518174</v>
      </c>
      <c r="C1722" s="13" t="s">
        <v>641</v>
      </c>
      <c r="D1722" s="13" t="s">
        <v>3776</v>
      </c>
      <c r="E1722" s="13">
        <v>1</v>
      </c>
      <c r="F1722" s="13" t="s">
        <v>649</v>
      </c>
      <c r="G1722" s="13" t="s">
        <v>641</v>
      </c>
      <c r="H1722" s="13" t="s">
        <v>641</v>
      </c>
    </row>
    <row r="1723" spans="1:8">
      <c r="A1723" s="13" t="s">
        <v>3180</v>
      </c>
      <c r="B1723" s="13">
        <v>4518186</v>
      </c>
      <c r="C1723" s="13" t="s">
        <v>641</v>
      </c>
      <c r="D1723" s="13" t="s">
        <v>3777</v>
      </c>
      <c r="E1723" s="13">
        <v>2</v>
      </c>
      <c r="F1723" s="13" t="s">
        <v>671</v>
      </c>
      <c r="G1723" s="13" t="s">
        <v>672</v>
      </c>
      <c r="H1723" s="13" t="s">
        <v>641</v>
      </c>
    </row>
    <row r="1724" spans="1:8">
      <c r="A1724" s="13" t="s">
        <v>3180</v>
      </c>
      <c r="B1724" s="13">
        <v>4518194</v>
      </c>
      <c r="C1724" s="13" t="s">
        <v>641</v>
      </c>
      <c r="D1724" s="13" t="s">
        <v>3778</v>
      </c>
      <c r="E1724" s="13">
        <v>1</v>
      </c>
      <c r="F1724" s="13" t="s">
        <v>646</v>
      </c>
      <c r="G1724" s="13" t="s">
        <v>641</v>
      </c>
      <c r="H1724" s="13" t="s">
        <v>641</v>
      </c>
    </row>
    <row r="1725" spans="1:8">
      <c r="A1725" s="13" t="s">
        <v>3180</v>
      </c>
      <c r="B1725" s="13">
        <v>4518211</v>
      </c>
      <c r="C1725" s="13" t="s">
        <v>641</v>
      </c>
      <c r="D1725" s="13" t="s">
        <v>1628</v>
      </c>
      <c r="E1725" s="13">
        <v>1</v>
      </c>
      <c r="F1725" s="13" t="s">
        <v>640</v>
      </c>
      <c r="G1725" s="13" t="s">
        <v>641</v>
      </c>
      <c r="H1725" s="13" t="s">
        <v>641</v>
      </c>
    </row>
    <row r="1726" spans="1:8">
      <c r="A1726" s="13" t="s">
        <v>3180</v>
      </c>
      <c r="B1726" s="13">
        <v>4518222</v>
      </c>
      <c r="C1726" s="13" t="s">
        <v>641</v>
      </c>
      <c r="D1726" s="13" t="s">
        <v>3779</v>
      </c>
      <c r="E1726" s="13">
        <v>2</v>
      </c>
      <c r="F1726" s="13" t="s">
        <v>709</v>
      </c>
      <c r="G1726" s="13" t="s">
        <v>641</v>
      </c>
      <c r="H1726" s="13" t="s">
        <v>641</v>
      </c>
    </row>
    <row r="1727" spans="1:8">
      <c r="A1727" s="13" t="s">
        <v>3180</v>
      </c>
      <c r="B1727" s="13">
        <v>4518250</v>
      </c>
      <c r="C1727" s="13" t="s">
        <v>641</v>
      </c>
      <c r="D1727" s="13" t="s">
        <v>3780</v>
      </c>
      <c r="E1727" s="13">
        <v>1</v>
      </c>
      <c r="F1727" s="13" t="s">
        <v>656</v>
      </c>
      <c r="G1727" s="13" t="s">
        <v>641</v>
      </c>
      <c r="H1727" s="13" t="s">
        <v>641</v>
      </c>
    </row>
    <row r="1728" spans="1:8">
      <c r="A1728" s="13" t="s">
        <v>3180</v>
      </c>
      <c r="B1728" s="13">
        <v>4518251</v>
      </c>
      <c r="C1728" s="13" t="s">
        <v>641</v>
      </c>
      <c r="D1728" s="13" t="s">
        <v>1629</v>
      </c>
      <c r="E1728" s="13">
        <v>2</v>
      </c>
      <c r="F1728" s="13" t="s">
        <v>671</v>
      </c>
      <c r="G1728" s="13" t="s">
        <v>677</v>
      </c>
      <c r="H1728" s="13" t="s">
        <v>641</v>
      </c>
    </row>
    <row r="1729" spans="1:8">
      <c r="A1729" s="13" t="s">
        <v>3180</v>
      </c>
      <c r="B1729" s="13">
        <v>4518288</v>
      </c>
      <c r="C1729" s="13" t="s">
        <v>641</v>
      </c>
      <c r="D1729" s="13" t="s">
        <v>518</v>
      </c>
      <c r="E1729" s="13">
        <v>1</v>
      </c>
      <c r="F1729" s="13" t="s">
        <v>656</v>
      </c>
      <c r="G1729" s="13" t="s">
        <v>641</v>
      </c>
      <c r="H1729" s="13" t="s">
        <v>641</v>
      </c>
    </row>
    <row r="1730" spans="1:8">
      <c r="A1730" s="13" t="s">
        <v>3180</v>
      </c>
      <c r="B1730" s="13">
        <v>4518307</v>
      </c>
      <c r="C1730" s="13" t="s">
        <v>641</v>
      </c>
      <c r="D1730" s="13" t="s">
        <v>248</v>
      </c>
      <c r="E1730" s="13">
        <v>1</v>
      </c>
      <c r="F1730" s="13" t="s">
        <v>646</v>
      </c>
      <c r="G1730" s="13" t="s">
        <v>641</v>
      </c>
      <c r="H1730" s="13" t="s">
        <v>641</v>
      </c>
    </row>
    <row r="1731" spans="1:8">
      <c r="A1731" s="13" t="s">
        <v>3180</v>
      </c>
      <c r="B1731" s="13">
        <v>4518309</v>
      </c>
      <c r="C1731" s="13" t="s">
        <v>641</v>
      </c>
      <c r="D1731" s="13" t="s">
        <v>1631</v>
      </c>
      <c r="E1731" s="13">
        <v>1</v>
      </c>
      <c r="F1731" s="13" t="s">
        <v>644</v>
      </c>
      <c r="G1731" s="13" t="s">
        <v>641</v>
      </c>
      <c r="H1731" s="13" t="s">
        <v>735</v>
      </c>
    </row>
    <row r="1732" spans="1:8">
      <c r="A1732" s="13" t="s">
        <v>3180</v>
      </c>
      <c r="B1732" s="13">
        <v>4518310</v>
      </c>
      <c r="C1732" s="13" t="s">
        <v>641</v>
      </c>
      <c r="D1732" s="13" t="s">
        <v>3781</v>
      </c>
      <c r="E1732" s="13">
        <v>2</v>
      </c>
      <c r="F1732" s="13" t="s">
        <v>654</v>
      </c>
      <c r="G1732" s="13" t="s">
        <v>641</v>
      </c>
      <c r="H1732" s="13" t="s">
        <v>641</v>
      </c>
    </row>
    <row r="1733" spans="1:8">
      <c r="A1733" s="13" t="s">
        <v>3180</v>
      </c>
      <c r="B1733" s="13">
        <v>4518371</v>
      </c>
      <c r="C1733" s="13" t="s">
        <v>641</v>
      </c>
      <c r="D1733" s="13" t="s">
        <v>1632</v>
      </c>
      <c r="E1733" s="13">
        <v>1</v>
      </c>
      <c r="F1733" s="13" t="s">
        <v>644</v>
      </c>
      <c r="G1733" s="13" t="s">
        <v>641</v>
      </c>
      <c r="H1733" s="13" t="s">
        <v>735</v>
      </c>
    </row>
    <row r="1734" spans="1:8">
      <c r="A1734" s="13" t="s">
        <v>3180</v>
      </c>
      <c r="B1734" s="13">
        <v>4518372</v>
      </c>
      <c r="C1734" s="13" t="s">
        <v>641</v>
      </c>
      <c r="D1734" s="13" t="s">
        <v>715</v>
      </c>
      <c r="E1734" s="13">
        <v>1</v>
      </c>
      <c r="F1734" s="13" t="s">
        <v>640</v>
      </c>
      <c r="G1734" s="13" t="s">
        <v>641</v>
      </c>
      <c r="H1734" s="13" t="s">
        <v>641</v>
      </c>
    </row>
    <row r="1735" spans="1:8">
      <c r="A1735" s="13" t="s">
        <v>3180</v>
      </c>
      <c r="B1735" s="13">
        <v>4518373</v>
      </c>
      <c r="C1735" s="13" t="s">
        <v>641</v>
      </c>
      <c r="D1735" s="13" t="s">
        <v>3782</v>
      </c>
      <c r="E1735" s="13">
        <v>1</v>
      </c>
      <c r="F1735" s="13" t="s">
        <v>640</v>
      </c>
      <c r="G1735" s="13" t="s">
        <v>641</v>
      </c>
      <c r="H1735" s="13" t="s">
        <v>641</v>
      </c>
    </row>
    <row r="1736" spans="1:8">
      <c r="A1736" s="13" t="s">
        <v>3180</v>
      </c>
      <c r="B1736" s="13">
        <v>4518374</v>
      </c>
      <c r="C1736" s="13" t="s">
        <v>641</v>
      </c>
      <c r="D1736" s="13" t="s">
        <v>3783</v>
      </c>
      <c r="E1736" s="13">
        <v>1</v>
      </c>
      <c r="F1736" s="13" t="s">
        <v>656</v>
      </c>
      <c r="G1736" s="13" t="s">
        <v>641</v>
      </c>
      <c r="H1736" s="13" t="s">
        <v>641</v>
      </c>
    </row>
    <row r="1737" spans="1:8">
      <c r="A1737" s="13" t="s">
        <v>3180</v>
      </c>
      <c r="B1737" s="13">
        <v>4518375</v>
      </c>
      <c r="C1737" s="13" t="s">
        <v>641</v>
      </c>
      <c r="D1737" s="13" t="s">
        <v>1633</v>
      </c>
      <c r="E1737" s="13">
        <v>2</v>
      </c>
      <c r="F1737" s="13" t="s">
        <v>671</v>
      </c>
      <c r="G1737" s="13" t="s">
        <v>678</v>
      </c>
      <c r="H1737" s="13" t="s">
        <v>700</v>
      </c>
    </row>
    <row r="1738" spans="1:8">
      <c r="A1738" s="13" t="s">
        <v>3180</v>
      </c>
      <c r="B1738" s="13">
        <v>4518421</v>
      </c>
      <c r="C1738" s="13" t="s">
        <v>641</v>
      </c>
      <c r="D1738" s="13" t="s">
        <v>3784</v>
      </c>
      <c r="E1738" s="13">
        <v>1</v>
      </c>
      <c r="F1738" s="13" t="s">
        <v>649</v>
      </c>
      <c r="G1738" s="13" t="s">
        <v>641</v>
      </c>
      <c r="H1738" s="13" t="s">
        <v>735</v>
      </c>
    </row>
    <row r="1739" spans="1:8">
      <c r="A1739" s="13" t="s">
        <v>3180</v>
      </c>
      <c r="B1739" s="13">
        <v>4518423</v>
      </c>
      <c r="C1739" s="13" t="s">
        <v>641</v>
      </c>
      <c r="D1739" s="13" t="s">
        <v>3785</v>
      </c>
      <c r="E1739" s="13">
        <v>1</v>
      </c>
      <c r="F1739" s="13" t="s">
        <v>640</v>
      </c>
      <c r="G1739" s="13" t="s">
        <v>641</v>
      </c>
      <c r="H1739" s="13" t="s">
        <v>735</v>
      </c>
    </row>
    <row r="1740" spans="1:8">
      <c r="A1740" s="13" t="s">
        <v>3180</v>
      </c>
      <c r="B1740" s="13">
        <v>4518424</v>
      </c>
      <c r="C1740" s="13" t="s">
        <v>641</v>
      </c>
      <c r="D1740" s="13" t="s">
        <v>3786</v>
      </c>
      <c r="E1740" s="13">
        <v>2</v>
      </c>
      <c r="F1740" s="13" t="s">
        <v>671</v>
      </c>
      <c r="G1740" s="13" t="s">
        <v>678</v>
      </c>
      <c r="H1740" s="13" t="s">
        <v>3183</v>
      </c>
    </row>
    <row r="1741" spans="1:8">
      <c r="A1741" s="13" t="s">
        <v>3180</v>
      </c>
      <c r="B1741" s="13">
        <v>4518425</v>
      </c>
      <c r="C1741" s="13" t="s">
        <v>641</v>
      </c>
      <c r="D1741" s="13" t="s">
        <v>3787</v>
      </c>
      <c r="E1741" s="13">
        <v>2</v>
      </c>
      <c r="F1741" s="13" t="s">
        <v>671</v>
      </c>
      <c r="G1741" s="13" t="s">
        <v>677</v>
      </c>
      <c r="H1741" s="13" t="s">
        <v>735</v>
      </c>
    </row>
    <row r="1742" spans="1:8">
      <c r="A1742" s="13" t="s">
        <v>3180</v>
      </c>
      <c r="B1742" s="13">
        <v>4518426</v>
      </c>
      <c r="C1742" s="13" t="s">
        <v>641</v>
      </c>
      <c r="D1742" s="13" t="s">
        <v>3788</v>
      </c>
      <c r="E1742" s="13">
        <v>2</v>
      </c>
      <c r="F1742" s="13" t="s">
        <v>671</v>
      </c>
      <c r="G1742" s="13" t="s">
        <v>677</v>
      </c>
      <c r="H1742" s="13" t="s">
        <v>735</v>
      </c>
    </row>
    <row r="1743" spans="1:8">
      <c r="A1743" s="13" t="s">
        <v>3180</v>
      </c>
      <c r="B1743" s="13">
        <v>4518428</v>
      </c>
      <c r="C1743" s="13" t="s">
        <v>641</v>
      </c>
      <c r="D1743" s="13" t="s">
        <v>3789</v>
      </c>
      <c r="E1743" s="13">
        <v>2</v>
      </c>
      <c r="F1743" s="13" t="s">
        <v>671</v>
      </c>
      <c r="G1743" s="13" t="s">
        <v>676</v>
      </c>
      <c r="H1743" s="13" t="s">
        <v>735</v>
      </c>
    </row>
    <row r="1744" spans="1:8">
      <c r="A1744" s="13" t="s">
        <v>3180</v>
      </c>
      <c r="B1744" s="13">
        <v>4518430</v>
      </c>
      <c r="C1744" s="13" t="s">
        <v>641</v>
      </c>
      <c r="D1744" s="13" t="s">
        <v>3790</v>
      </c>
      <c r="E1744" s="13">
        <v>1</v>
      </c>
      <c r="F1744" s="13" t="s">
        <v>649</v>
      </c>
      <c r="G1744" s="13" t="s">
        <v>2455</v>
      </c>
      <c r="H1744" s="13" t="s">
        <v>3183</v>
      </c>
    </row>
    <row r="1745" spans="1:8">
      <c r="A1745" s="13" t="s">
        <v>3180</v>
      </c>
      <c r="B1745" s="13">
        <v>4518431</v>
      </c>
      <c r="C1745" s="13" t="s">
        <v>641</v>
      </c>
      <c r="D1745" s="13" t="s">
        <v>3791</v>
      </c>
      <c r="E1745" s="13">
        <v>1</v>
      </c>
      <c r="F1745" s="13" t="s">
        <v>640</v>
      </c>
      <c r="G1745" s="13" t="s">
        <v>3186</v>
      </c>
      <c r="H1745" s="13" t="s">
        <v>641</v>
      </c>
    </row>
    <row r="1746" spans="1:8">
      <c r="A1746" s="13" t="s">
        <v>3180</v>
      </c>
      <c r="B1746" s="13">
        <v>4518434</v>
      </c>
      <c r="C1746" s="13" t="s">
        <v>641</v>
      </c>
      <c r="D1746" s="13" t="s">
        <v>3792</v>
      </c>
      <c r="E1746" s="13">
        <v>1</v>
      </c>
      <c r="F1746" s="13" t="s">
        <v>656</v>
      </c>
      <c r="G1746" s="13" t="s">
        <v>2445</v>
      </c>
      <c r="H1746" s="13" t="s">
        <v>3372</v>
      </c>
    </row>
    <row r="1747" spans="1:8">
      <c r="A1747" s="13" t="s">
        <v>3180</v>
      </c>
      <c r="B1747" s="13">
        <v>4518453</v>
      </c>
      <c r="C1747" s="13" t="s">
        <v>641</v>
      </c>
      <c r="D1747" s="13" t="s">
        <v>1636</v>
      </c>
      <c r="E1747" s="13">
        <v>1</v>
      </c>
      <c r="F1747" s="13" t="s">
        <v>640</v>
      </c>
      <c r="G1747" s="13" t="s">
        <v>641</v>
      </c>
      <c r="H1747" s="13" t="s">
        <v>735</v>
      </c>
    </row>
    <row r="1748" spans="1:8">
      <c r="A1748" s="13" t="s">
        <v>3180</v>
      </c>
      <c r="B1748" s="13">
        <v>4518454</v>
      </c>
      <c r="C1748" s="13" t="s">
        <v>641</v>
      </c>
      <c r="D1748" s="13" t="s">
        <v>3793</v>
      </c>
      <c r="E1748" s="13">
        <v>2</v>
      </c>
      <c r="F1748" s="13" t="s">
        <v>671</v>
      </c>
      <c r="G1748" s="13" t="s">
        <v>678</v>
      </c>
      <c r="H1748" s="13" t="s">
        <v>735</v>
      </c>
    </row>
    <row r="1749" spans="1:8">
      <c r="A1749" s="13" t="s">
        <v>3180</v>
      </c>
      <c r="B1749" s="13">
        <v>4518488</v>
      </c>
      <c r="C1749" s="13" t="s">
        <v>641</v>
      </c>
      <c r="D1749" s="13" t="s">
        <v>337</v>
      </c>
      <c r="E1749" s="13">
        <v>1</v>
      </c>
      <c r="F1749" s="13" t="s">
        <v>656</v>
      </c>
      <c r="G1749" s="13" t="s">
        <v>3556</v>
      </c>
      <c r="H1749" s="13" t="s">
        <v>3183</v>
      </c>
    </row>
    <row r="1750" spans="1:8">
      <c r="A1750" s="13" t="s">
        <v>3180</v>
      </c>
      <c r="B1750" s="13">
        <v>4518636</v>
      </c>
      <c r="C1750" s="13" t="s">
        <v>641</v>
      </c>
      <c r="D1750" s="13" t="s">
        <v>3794</v>
      </c>
      <c r="E1750" s="13">
        <v>1</v>
      </c>
      <c r="F1750" s="13" t="s">
        <v>640</v>
      </c>
      <c r="G1750" s="13" t="s">
        <v>641</v>
      </c>
      <c r="H1750" s="13" t="s">
        <v>735</v>
      </c>
    </row>
    <row r="1751" spans="1:8">
      <c r="A1751" s="13" t="s">
        <v>3180</v>
      </c>
      <c r="B1751" s="13">
        <v>4518658</v>
      </c>
      <c r="C1751" s="13" t="s">
        <v>641</v>
      </c>
      <c r="D1751" s="13" t="s">
        <v>3795</v>
      </c>
      <c r="E1751" s="13">
        <v>2</v>
      </c>
      <c r="F1751" s="13" t="s">
        <v>671</v>
      </c>
      <c r="G1751" s="13" t="s">
        <v>672</v>
      </c>
      <c r="H1751" s="13" t="s">
        <v>735</v>
      </c>
    </row>
    <row r="1752" spans="1:8">
      <c r="A1752" s="13" t="s">
        <v>3180</v>
      </c>
      <c r="B1752" s="13">
        <v>4518668</v>
      </c>
      <c r="C1752" s="13" t="s">
        <v>641</v>
      </c>
      <c r="D1752" s="13" t="s">
        <v>155</v>
      </c>
      <c r="E1752" s="13">
        <v>1</v>
      </c>
      <c r="F1752" s="13" t="s">
        <v>646</v>
      </c>
      <c r="G1752" s="13" t="s">
        <v>641</v>
      </c>
      <c r="H1752" s="13" t="s">
        <v>641</v>
      </c>
    </row>
    <row r="1753" spans="1:8">
      <c r="A1753" s="13" t="s">
        <v>3180</v>
      </c>
      <c r="B1753" s="13">
        <v>4518750</v>
      </c>
      <c r="C1753" s="13" t="s">
        <v>641</v>
      </c>
      <c r="D1753" s="13" t="s">
        <v>3796</v>
      </c>
      <c r="E1753" s="13">
        <v>1</v>
      </c>
      <c r="F1753" s="13" t="s">
        <v>640</v>
      </c>
      <c r="G1753" s="13" t="s">
        <v>641</v>
      </c>
      <c r="H1753" s="13" t="s">
        <v>735</v>
      </c>
    </row>
    <row r="1754" spans="1:8">
      <c r="A1754" s="13" t="s">
        <v>3180</v>
      </c>
      <c r="B1754" s="13">
        <v>4518751</v>
      </c>
      <c r="C1754" s="13" t="s">
        <v>641</v>
      </c>
      <c r="D1754" s="13" t="s">
        <v>1637</v>
      </c>
      <c r="E1754" s="13">
        <v>1</v>
      </c>
      <c r="F1754" s="13" t="s">
        <v>640</v>
      </c>
      <c r="G1754" s="13" t="s">
        <v>641</v>
      </c>
      <c r="H1754" s="13" t="s">
        <v>735</v>
      </c>
    </row>
    <row r="1755" spans="1:8">
      <c r="A1755" s="13" t="s">
        <v>3180</v>
      </c>
      <c r="B1755" s="13">
        <v>4518766</v>
      </c>
      <c r="C1755" s="13" t="s">
        <v>641</v>
      </c>
      <c r="D1755" s="13" t="s">
        <v>3797</v>
      </c>
      <c r="E1755" s="13">
        <v>2</v>
      </c>
      <c r="F1755" s="13" t="s">
        <v>671</v>
      </c>
      <c r="G1755" s="13" t="s">
        <v>672</v>
      </c>
      <c r="H1755" s="13" t="s">
        <v>735</v>
      </c>
    </row>
    <row r="1756" spans="1:8">
      <c r="A1756" s="13" t="s">
        <v>3180</v>
      </c>
      <c r="B1756" s="13">
        <v>4518829</v>
      </c>
      <c r="C1756" s="13" t="s">
        <v>641</v>
      </c>
      <c r="D1756" s="13" t="s">
        <v>3798</v>
      </c>
      <c r="E1756" s="13">
        <v>1</v>
      </c>
      <c r="F1756" s="13" t="s">
        <v>644</v>
      </c>
      <c r="G1756" s="13" t="s">
        <v>641</v>
      </c>
      <c r="H1756" s="13" t="s">
        <v>735</v>
      </c>
    </row>
    <row r="1757" spans="1:8">
      <c r="A1757" s="13" t="s">
        <v>3180</v>
      </c>
      <c r="B1757" s="13">
        <v>4518830</v>
      </c>
      <c r="C1757" s="13" t="s">
        <v>641</v>
      </c>
      <c r="D1757" s="13" t="s">
        <v>3799</v>
      </c>
      <c r="E1757" s="13">
        <v>1</v>
      </c>
      <c r="F1757" s="13" t="s">
        <v>640</v>
      </c>
      <c r="G1757" s="13" t="s">
        <v>641</v>
      </c>
      <c r="H1757" s="13" t="s">
        <v>735</v>
      </c>
    </row>
    <row r="1758" spans="1:8">
      <c r="A1758" s="13" t="s">
        <v>3180</v>
      </c>
      <c r="B1758" s="13">
        <v>4518831</v>
      </c>
      <c r="C1758" s="13" t="s">
        <v>641</v>
      </c>
      <c r="D1758" s="13" t="s">
        <v>3800</v>
      </c>
      <c r="E1758" s="13">
        <v>2</v>
      </c>
      <c r="F1758" s="13" t="s">
        <v>671</v>
      </c>
      <c r="G1758" s="13" t="s">
        <v>677</v>
      </c>
      <c r="H1758" s="13" t="s">
        <v>735</v>
      </c>
    </row>
    <row r="1759" spans="1:8">
      <c r="A1759" s="13" t="s">
        <v>3180</v>
      </c>
      <c r="B1759" s="13">
        <v>4518853</v>
      </c>
      <c r="C1759" s="13" t="s">
        <v>641</v>
      </c>
      <c r="D1759" s="13" t="s">
        <v>3801</v>
      </c>
      <c r="E1759" s="13">
        <v>1</v>
      </c>
      <c r="F1759" s="13" t="s">
        <v>640</v>
      </c>
      <c r="G1759" s="13" t="s">
        <v>641</v>
      </c>
      <c r="H1759" s="13" t="s">
        <v>735</v>
      </c>
    </row>
    <row r="1760" spans="1:8">
      <c r="A1760" s="13" t="s">
        <v>3180</v>
      </c>
      <c r="B1760" s="13">
        <v>4518854</v>
      </c>
      <c r="C1760" s="13" t="s">
        <v>641</v>
      </c>
      <c r="D1760" s="13" t="s">
        <v>3802</v>
      </c>
      <c r="E1760" s="13">
        <v>2</v>
      </c>
      <c r="F1760" s="13" t="s">
        <v>671</v>
      </c>
      <c r="G1760" s="13" t="s">
        <v>678</v>
      </c>
      <c r="H1760" s="13" t="s">
        <v>735</v>
      </c>
    </row>
    <row r="1761" spans="1:8">
      <c r="A1761" s="13" t="s">
        <v>3180</v>
      </c>
      <c r="B1761" s="13">
        <v>4518888</v>
      </c>
      <c r="C1761" s="13" t="s">
        <v>641</v>
      </c>
      <c r="D1761" s="13" t="s">
        <v>3803</v>
      </c>
      <c r="E1761" s="13">
        <v>1</v>
      </c>
      <c r="F1761" s="13" t="s">
        <v>646</v>
      </c>
      <c r="G1761" s="13" t="s">
        <v>3804</v>
      </c>
      <c r="H1761" s="13" t="s">
        <v>641</v>
      </c>
    </row>
    <row r="1762" spans="1:8">
      <c r="A1762" s="13" t="s">
        <v>3180</v>
      </c>
      <c r="B1762" s="13">
        <v>4518890</v>
      </c>
      <c r="C1762" s="13" t="s">
        <v>641</v>
      </c>
      <c r="D1762" s="13" t="s">
        <v>237</v>
      </c>
      <c r="E1762" s="13">
        <v>1</v>
      </c>
      <c r="F1762" s="13" t="s">
        <v>646</v>
      </c>
      <c r="G1762" s="13" t="s">
        <v>2627</v>
      </c>
      <c r="H1762" s="13" t="s">
        <v>3372</v>
      </c>
    </row>
    <row r="1763" spans="1:8">
      <c r="A1763" s="13" t="s">
        <v>3180</v>
      </c>
      <c r="B1763" s="13">
        <v>4518891</v>
      </c>
      <c r="C1763" s="13" t="s">
        <v>641</v>
      </c>
      <c r="D1763" s="13" t="s">
        <v>3805</v>
      </c>
      <c r="E1763" s="13">
        <v>1</v>
      </c>
      <c r="F1763" s="13" t="s">
        <v>646</v>
      </c>
      <c r="G1763" s="13" t="s">
        <v>641</v>
      </c>
      <c r="H1763" s="13" t="s">
        <v>641</v>
      </c>
    </row>
    <row r="1764" spans="1:8">
      <c r="A1764" s="13" t="s">
        <v>3180</v>
      </c>
      <c r="B1764" s="13">
        <v>4518902</v>
      </c>
      <c r="C1764" s="13" t="s">
        <v>641</v>
      </c>
      <c r="D1764" s="13" t="s">
        <v>49</v>
      </c>
      <c r="E1764" s="13">
        <v>1</v>
      </c>
      <c r="F1764" s="13" t="s">
        <v>646</v>
      </c>
      <c r="G1764" s="13" t="s">
        <v>641</v>
      </c>
      <c r="H1764" s="13" t="s">
        <v>641</v>
      </c>
    </row>
    <row r="1765" spans="1:8">
      <c r="A1765" s="13" t="s">
        <v>3180</v>
      </c>
      <c r="B1765" s="13">
        <v>4518903</v>
      </c>
      <c r="C1765" s="13" t="s">
        <v>641</v>
      </c>
      <c r="D1765" s="13" t="s">
        <v>3806</v>
      </c>
      <c r="E1765" s="13">
        <v>1</v>
      </c>
      <c r="F1765" s="13" t="s">
        <v>640</v>
      </c>
      <c r="G1765" s="13" t="s">
        <v>3186</v>
      </c>
      <c r="H1765" s="13" t="s">
        <v>3372</v>
      </c>
    </row>
    <row r="1766" spans="1:8">
      <c r="A1766" s="13" t="s">
        <v>3180</v>
      </c>
      <c r="B1766" s="13">
        <v>4518904</v>
      </c>
      <c r="C1766" s="13" t="s">
        <v>641</v>
      </c>
      <c r="D1766" s="13" t="s">
        <v>188</v>
      </c>
      <c r="E1766" s="13">
        <v>1</v>
      </c>
      <c r="F1766" s="13" t="s">
        <v>640</v>
      </c>
      <c r="G1766" s="13" t="s">
        <v>641</v>
      </c>
      <c r="H1766" s="13" t="s">
        <v>641</v>
      </c>
    </row>
    <row r="1767" spans="1:8">
      <c r="A1767" s="13" t="s">
        <v>3180</v>
      </c>
      <c r="B1767" s="13">
        <v>4518928</v>
      </c>
      <c r="C1767" s="13" t="s">
        <v>641</v>
      </c>
      <c r="D1767" s="13" t="s">
        <v>1638</v>
      </c>
      <c r="E1767" s="13">
        <v>1</v>
      </c>
      <c r="F1767" s="13" t="s">
        <v>646</v>
      </c>
      <c r="G1767" s="13" t="s">
        <v>641</v>
      </c>
      <c r="H1767" s="13" t="s">
        <v>641</v>
      </c>
    </row>
    <row r="1768" spans="1:8">
      <c r="A1768" s="13" t="s">
        <v>3180</v>
      </c>
      <c r="B1768" s="13">
        <v>4519015</v>
      </c>
      <c r="C1768" s="13" t="s">
        <v>641</v>
      </c>
      <c r="D1768" s="13" t="s">
        <v>3807</v>
      </c>
      <c r="E1768" s="13">
        <v>2</v>
      </c>
      <c r="F1768" s="13" t="s">
        <v>671</v>
      </c>
      <c r="G1768" s="13" t="s">
        <v>678</v>
      </c>
      <c r="H1768" s="13" t="s">
        <v>641</v>
      </c>
    </row>
    <row r="1769" spans="1:8">
      <c r="A1769" s="13" t="s">
        <v>3180</v>
      </c>
      <c r="B1769" s="13">
        <v>4519016</v>
      </c>
      <c r="C1769" s="13" t="s">
        <v>641</v>
      </c>
      <c r="D1769" s="13" t="s">
        <v>3808</v>
      </c>
      <c r="E1769" s="13">
        <v>2</v>
      </c>
      <c r="F1769" s="13" t="s">
        <v>671</v>
      </c>
      <c r="G1769" s="13" t="s">
        <v>678</v>
      </c>
      <c r="H1769" s="13" t="s">
        <v>3372</v>
      </c>
    </row>
    <row r="1770" spans="1:8">
      <c r="A1770" s="13" t="s">
        <v>3180</v>
      </c>
      <c r="B1770" s="13">
        <v>4519017</v>
      </c>
      <c r="C1770" s="13" t="s">
        <v>641</v>
      </c>
      <c r="D1770" s="13" t="s">
        <v>3809</v>
      </c>
      <c r="E1770" s="13">
        <v>2</v>
      </c>
      <c r="F1770" s="13" t="s">
        <v>671</v>
      </c>
      <c r="G1770" s="13" t="s">
        <v>678</v>
      </c>
      <c r="H1770" s="13" t="s">
        <v>3372</v>
      </c>
    </row>
    <row r="1771" spans="1:8">
      <c r="A1771" s="13" t="s">
        <v>3180</v>
      </c>
      <c r="B1771" s="13">
        <v>4519018</v>
      </c>
      <c r="C1771" s="13" t="s">
        <v>641</v>
      </c>
      <c r="D1771" s="13" t="s">
        <v>3810</v>
      </c>
      <c r="E1771" s="13">
        <v>2</v>
      </c>
      <c r="F1771" s="13" t="s">
        <v>671</v>
      </c>
      <c r="G1771" s="13" t="s">
        <v>678</v>
      </c>
      <c r="H1771" s="13" t="s">
        <v>641</v>
      </c>
    </row>
    <row r="1772" spans="1:8">
      <c r="A1772" s="13" t="s">
        <v>3180</v>
      </c>
      <c r="B1772" s="13">
        <v>4519019</v>
      </c>
      <c r="C1772" s="13" t="s">
        <v>641</v>
      </c>
      <c r="D1772" s="13" t="s">
        <v>3811</v>
      </c>
      <c r="E1772" s="13">
        <v>2</v>
      </c>
      <c r="F1772" s="13" t="s">
        <v>671</v>
      </c>
      <c r="G1772" s="13" t="s">
        <v>678</v>
      </c>
      <c r="H1772" s="13" t="s">
        <v>3372</v>
      </c>
    </row>
    <row r="1773" spans="1:8">
      <c r="A1773" s="13" t="s">
        <v>3180</v>
      </c>
      <c r="B1773" s="13">
        <v>4519066</v>
      </c>
      <c r="C1773" s="13" t="s">
        <v>641</v>
      </c>
      <c r="D1773" s="13" t="s">
        <v>3812</v>
      </c>
      <c r="E1773" s="13">
        <v>2</v>
      </c>
      <c r="F1773" s="13" t="s">
        <v>709</v>
      </c>
      <c r="G1773" s="13" t="s">
        <v>709</v>
      </c>
      <c r="H1773" s="13" t="s">
        <v>3183</v>
      </c>
    </row>
    <row r="1774" spans="1:8">
      <c r="A1774" s="13" t="s">
        <v>3180</v>
      </c>
      <c r="B1774" s="13">
        <v>4519067</v>
      </c>
      <c r="C1774" s="13" t="s">
        <v>641</v>
      </c>
      <c r="D1774" s="13" t="s">
        <v>3813</v>
      </c>
      <c r="E1774" s="13">
        <v>2</v>
      </c>
      <c r="F1774" s="13" t="s">
        <v>709</v>
      </c>
      <c r="G1774" s="13" t="s">
        <v>709</v>
      </c>
      <c r="H1774" s="13" t="s">
        <v>3183</v>
      </c>
    </row>
    <row r="1775" spans="1:8">
      <c r="A1775" s="13" t="s">
        <v>3180</v>
      </c>
      <c r="B1775" s="13">
        <v>4519068</v>
      </c>
      <c r="C1775" s="13" t="s">
        <v>641</v>
      </c>
      <c r="D1775" s="13" t="s">
        <v>3814</v>
      </c>
      <c r="E1775" s="13">
        <v>2</v>
      </c>
      <c r="F1775" s="13" t="s">
        <v>709</v>
      </c>
      <c r="G1775" s="13" t="s">
        <v>709</v>
      </c>
      <c r="H1775" s="13" t="s">
        <v>3183</v>
      </c>
    </row>
    <row r="1776" spans="1:8">
      <c r="A1776" s="13" t="s">
        <v>3180</v>
      </c>
      <c r="B1776" s="13">
        <v>4519069</v>
      </c>
      <c r="C1776" s="13" t="s">
        <v>641</v>
      </c>
      <c r="D1776" s="13" t="s">
        <v>3815</v>
      </c>
      <c r="E1776" s="13">
        <v>2</v>
      </c>
      <c r="F1776" s="13" t="s">
        <v>709</v>
      </c>
      <c r="G1776" s="13" t="s">
        <v>709</v>
      </c>
      <c r="H1776" s="13" t="s">
        <v>3183</v>
      </c>
    </row>
    <row r="1777" spans="1:8">
      <c r="A1777" s="13" t="s">
        <v>3180</v>
      </c>
      <c r="B1777" s="13">
        <v>4519077</v>
      </c>
      <c r="C1777" s="13" t="s">
        <v>641</v>
      </c>
      <c r="D1777" s="13" t="s">
        <v>3816</v>
      </c>
      <c r="E1777" s="13">
        <v>2</v>
      </c>
      <c r="F1777" s="13" t="s">
        <v>671</v>
      </c>
      <c r="G1777" s="13" t="s">
        <v>678</v>
      </c>
      <c r="H1777" s="13" t="s">
        <v>641</v>
      </c>
    </row>
    <row r="1778" spans="1:8">
      <c r="A1778" s="13" t="s">
        <v>3180</v>
      </c>
      <c r="B1778" s="13">
        <v>4519078</v>
      </c>
      <c r="C1778" s="13" t="s">
        <v>641</v>
      </c>
      <c r="D1778" s="13" t="s">
        <v>3817</v>
      </c>
      <c r="E1778" s="13">
        <v>1</v>
      </c>
      <c r="F1778" s="13" t="s">
        <v>646</v>
      </c>
      <c r="G1778" s="13" t="s">
        <v>641</v>
      </c>
      <c r="H1778" s="13" t="s">
        <v>641</v>
      </c>
    </row>
    <row r="1779" spans="1:8">
      <c r="A1779" s="13" t="s">
        <v>3180</v>
      </c>
      <c r="B1779" s="13">
        <v>4519087</v>
      </c>
      <c r="C1779" s="13" t="s">
        <v>641</v>
      </c>
      <c r="D1779" s="13" t="s">
        <v>3818</v>
      </c>
      <c r="E1779" s="13">
        <v>1</v>
      </c>
      <c r="F1779" s="13" t="s">
        <v>644</v>
      </c>
      <c r="G1779" s="13" t="s">
        <v>641</v>
      </c>
      <c r="H1779" s="13" t="s">
        <v>641</v>
      </c>
    </row>
    <row r="1780" spans="1:8">
      <c r="A1780" s="13" t="s">
        <v>3180</v>
      </c>
      <c r="B1780" s="13">
        <v>4519096</v>
      </c>
      <c r="C1780" s="13" t="s">
        <v>641</v>
      </c>
      <c r="D1780" s="13" t="s">
        <v>3819</v>
      </c>
      <c r="E1780" s="13">
        <v>1</v>
      </c>
      <c r="F1780" s="13" t="s">
        <v>640</v>
      </c>
      <c r="G1780" s="13" t="s">
        <v>641</v>
      </c>
      <c r="H1780" s="13" t="s">
        <v>641</v>
      </c>
    </row>
    <row r="1781" spans="1:8">
      <c r="A1781" s="13" t="s">
        <v>3180</v>
      </c>
      <c r="B1781" s="13">
        <v>4519121</v>
      </c>
      <c r="C1781" s="13" t="s">
        <v>641</v>
      </c>
      <c r="D1781" s="13" t="s">
        <v>3820</v>
      </c>
      <c r="E1781" s="13">
        <v>1</v>
      </c>
      <c r="F1781" s="13" t="s">
        <v>640</v>
      </c>
      <c r="G1781" s="13" t="s">
        <v>3186</v>
      </c>
      <c r="H1781" s="13" t="s">
        <v>3372</v>
      </c>
    </row>
    <row r="1782" spans="1:8">
      <c r="A1782" s="13" t="s">
        <v>3180</v>
      </c>
      <c r="B1782" s="13">
        <v>4519135</v>
      </c>
      <c r="C1782" s="13" t="s">
        <v>641</v>
      </c>
      <c r="D1782" s="13" t="s">
        <v>3821</v>
      </c>
      <c r="E1782" s="13">
        <v>1</v>
      </c>
      <c r="F1782" s="13" t="s">
        <v>644</v>
      </c>
      <c r="G1782" s="13" t="s">
        <v>641</v>
      </c>
      <c r="H1782" s="13" t="s">
        <v>641</v>
      </c>
    </row>
    <row r="1783" spans="1:8">
      <c r="A1783" s="13" t="s">
        <v>3180</v>
      </c>
      <c r="B1783" s="13">
        <v>4519166</v>
      </c>
      <c r="C1783" s="13" t="s">
        <v>641</v>
      </c>
      <c r="D1783" s="13" t="s">
        <v>3822</v>
      </c>
      <c r="E1783" s="13">
        <v>1</v>
      </c>
      <c r="F1783" s="13" t="s">
        <v>646</v>
      </c>
      <c r="G1783" s="13" t="s">
        <v>2627</v>
      </c>
      <c r="H1783" s="13" t="s">
        <v>641</v>
      </c>
    </row>
    <row r="1784" spans="1:8">
      <c r="A1784" s="13" t="s">
        <v>3180</v>
      </c>
      <c r="B1784" s="13">
        <v>4519167</v>
      </c>
      <c r="C1784" s="13" t="s">
        <v>641</v>
      </c>
      <c r="D1784" s="13" t="s">
        <v>3823</v>
      </c>
      <c r="E1784" s="13">
        <v>1</v>
      </c>
      <c r="F1784" s="13" t="s">
        <v>649</v>
      </c>
      <c r="G1784" s="13" t="s">
        <v>641</v>
      </c>
      <c r="H1784" s="13" t="s">
        <v>641</v>
      </c>
    </row>
    <row r="1785" spans="1:8">
      <c r="A1785" s="13" t="s">
        <v>3180</v>
      </c>
      <c r="B1785" s="13">
        <v>4519171</v>
      </c>
      <c r="C1785" s="13" t="s">
        <v>641</v>
      </c>
      <c r="D1785" s="13" t="s">
        <v>191</v>
      </c>
      <c r="E1785" s="13">
        <v>1</v>
      </c>
      <c r="F1785" s="13" t="s">
        <v>642</v>
      </c>
      <c r="G1785" s="13" t="s">
        <v>641</v>
      </c>
      <c r="H1785" s="13" t="s">
        <v>641</v>
      </c>
    </row>
    <row r="1786" spans="1:8">
      <c r="A1786" s="13" t="s">
        <v>3180</v>
      </c>
      <c r="B1786" s="13">
        <v>4519172</v>
      </c>
      <c r="C1786" s="13" t="s">
        <v>641</v>
      </c>
      <c r="D1786" s="13" t="s">
        <v>1640</v>
      </c>
      <c r="E1786" s="13">
        <v>1</v>
      </c>
      <c r="F1786" s="13" t="s">
        <v>644</v>
      </c>
      <c r="G1786" s="13" t="s">
        <v>2458</v>
      </c>
      <c r="H1786" s="13" t="s">
        <v>3183</v>
      </c>
    </row>
    <row r="1787" spans="1:8">
      <c r="A1787" s="13" t="s">
        <v>3180</v>
      </c>
      <c r="B1787" s="13">
        <v>4519173</v>
      </c>
      <c r="C1787" s="13" t="s">
        <v>641</v>
      </c>
      <c r="D1787" s="13" t="s">
        <v>1641</v>
      </c>
      <c r="E1787" s="13">
        <v>1</v>
      </c>
      <c r="F1787" s="13" t="s">
        <v>640</v>
      </c>
      <c r="G1787" s="13" t="s">
        <v>3182</v>
      </c>
      <c r="H1787" s="13" t="s">
        <v>3183</v>
      </c>
    </row>
    <row r="1788" spans="1:8">
      <c r="A1788" s="13" t="s">
        <v>3180</v>
      </c>
      <c r="B1788" s="13">
        <v>4519180</v>
      </c>
      <c r="C1788" s="13" t="s">
        <v>641</v>
      </c>
      <c r="D1788" s="13" t="s">
        <v>1642</v>
      </c>
      <c r="E1788" s="13">
        <v>1</v>
      </c>
      <c r="F1788" s="13" t="s">
        <v>640</v>
      </c>
      <c r="G1788" s="13" t="s">
        <v>3186</v>
      </c>
      <c r="H1788" s="13" t="s">
        <v>3372</v>
      </c>
    </row>
    <row r="1789" spans="1:8">
      <c r="A1789" s="13" t="s">
        <v>3180</v>
      </c>
      <c r="B1789" s="13">
        <v>4519181</v>
      </c>
      <c r="C1789" s="13" t="s">
        <v>641</v>
      </c>
      <c r="D1789" s="13" t="s">
        <v>3824</v>
      </c>
      <c r="E1789" s="13">
        <v>1</v>
      </c>
      <c r="F1789" s="13" t="s">
        <v>640</v>
      </c>
      <c r="G1789" s="13" t="s">
        <v>3186</v>
      </c>
      <c r="H1789" s="13" t="s">
        <v>3372</v>
      </c>
    </row>
    <row r="1790" spans="1:8">
      <c r="A1790" s="13" t="s">
        <v>3180</v>
      </c>
      <c r="B1790" s="13">
        <v>4519182</v>
      </c>
      <c r="C1790" s="13" t="s">
        <v>641</v>
      </c>
      <c r="D1790" s="13" t="s">
        <v>1643</v>
      </c>
      <c r="E1790" s="13">
        <v>1</v>
      </c>
      <c r="F1790" s="13" t="s">
        <v>640</v>
      </c>
      <c r="G1790" s="13" t="s">
        <v>3186</v>
      </c>
      <c r="H1790" s="13" t="s">
        <v>3372</v>
      </c>
    </row>
    <row r="1791" spans="1:8">
      <c r="A1791" s="13" t="s">
        <v>3180</v>
      </c>
      <c r="B1791" s="13">
        <v>4519183</v>
      </c>
      <c r="C1791" s="13" t="s">
        <v>641</v>
      </c>
      <c r="D1791" s="13" t="s">
        <v>716</v>
      </c>
      <c r="E1791" s="13">
        <v>1</v>
      </c>
      <c r="F1791" s="13" t="s">
        <v>640</v>
      </c>
      <c r="G1791" s="13" t="s">
        <v>641</v>
      </c>
      <c r="H1791" s="13" t="s">
        <v>641</v>
      </c>
    </row>
    <row r="1792" spans="1:8">
      <c r="A1792" s="13" t="s">
        <v>3180</v>
      </c>
      <c r="B1792" s="13">
        <v>4519184</v>
      </c>
      <c r="C1792" s="13" t="s">
        <v>641</v>
      </c>
      <c r="D1792" s="13" t="s">
        <v>1644</v>
      </c>
      <c r="E1792" s="13">
        <v>1</v>
      </c>
      <c r="F1792" s="13" t="s">
        <v>640</v>
      </c>
      <c r="G1792" s="13" t="s">
        <v>641</v>
      </c>
      <c r="H1792" s="13" t="s">
        <v>641</v>
      </c>
    </row>
    <row r="1793" spans="1:8">
      <c r="A1793" s="13" t="s">
        <v>3180</v>
      </c>
      <c r="B1793" s="13">
        <v>4519197</v>
      </c>
      <c r="C1793" s="13" t="s">
        <v>641</v>
      </c>
      <c r="D1793" s="13" t="s">
        <v>3825</v>
      </c>
      <c r="E1793" s="13">
        <v>1</v>
      </c>
      <c r="F1793" s="13" t="s">
        <v>646</v>
      </c>
      <c r="G1793" s="13" t="s">
        <v>3745</v>
      </c>
      <c r="H1793" s="13" t="s">
        <v>3183</v>
      </c>
    </row>
    <row r="1794" spans="1:8">
      <c r="A1794" s="13" t="s">
        <v>3180</v>
      </c>
      <c r="B1794" s="13">
        <v>4519198</v>
      </c>
      <c r="C1794" s="13" t="s">
        <v>641</v>
      </c>
      <c r="D1794" s="13" t="s">
        <v>3826</v>
      </c>
      <c r="E1794" s="13">
        <v>2</v>
      </c>
      <c r="F1794" s="13" t="s">
        <v>654</v>
      </c>
      <c r="G1794" s="13" t="s">
        <v>641</v>
      </c>
      <c r="H1794" s="13" t="s">
        <v>641</v>
      </c>
    </row>
    <row r="1795" spans="1:8">
      <c r="A1795" s="13" t="s">
        <v>3180</v>
      </c>
      <c r="B1795" s="13">
        <v>4519199</v>
      </c>
      <c r="C1795" s="13" t="s">
        <v>641</v>
      </c>
      <c r="D1795" s="13" t="s">
        <v>3827</v>
      </c>
      <c r="E1795" s="13">
        <v>2</v>
      </c>
      <c r="F1795" s="13" t="s">
        <v>654</v>
      </c>
      <c r="G1795" s="13" t="s">
        <v>641</v>
      </c>
      <c r="H1795" s="13" t="s">
        <v>641</v>
      </c>
    </row>
    <row r="1796" spans="1:8">
      <c r="A1796" s="13" t="s">
        <v>3180</v>
      </c>
      <c r="B1796" s="13">
        <v>4519200</v>
      </c>
      <c r="C1796" s="13" t="s">
        <v>641</v>
      </c>
      <c r="D1796" s="13" t="s">
        <v>3828</v>
      </c>
      <c r="E1796" s="13">
        <v>2</v>
      </c>
      <c r="F1796" s="13" t="s">
        <v>654</v>
      </c>
      <c r="G1796" s="13" t="s">
        <v>641</v>
      </c>
      <c r="H1796" s="13" t="s">
        <v>641</v>
      </c>
    </row>
    <row r="1797" spans="1:8">
      <c r="A1797" s="13" t="s">
        <v>3180</v>
      </c>
      <c r="B1797" s="13">
        <v>4519224</v>
      </c>
      <c r="C1797" s="13" t="s">
        <v>641</v>
      </c>
      <c r="D1797" s="13" t="s">
        <v>318</v>
      </c>
      <c r="E1797" s="13">
        <v>1</v>
      </c>
      <c r="F1797" s="13" t="s">
        <v>644</v>
      </c>
      <c r="G1797" s="13" t="s">
        <v>3204</v>
      </c>
      <c r="H1797" s="13" t="s">
        <v>641</v>
      </c>
    </row>
    <row r="1798" spans="1:8">
      <c r="A1798" s="13" t="s">
        <v>3180</v>
      </c>
      <c r="B1798" s="13">
        <v>4519304</v>
      </c>
      <c r="C1798" s="13" t="s">
        <v>641</v>
      </c>
      <c r="D1798" s="13" t="s">
        <v>3829</v>
      </c>
      <c r="E1798" s="13">
        <v>1</v>
      </c>
      <c r="F1798" s="13" t="s">
        <v>646</v>
      </c>
      <c r="G1798" s="13" t="s">
        <v>3745</v>
      </c>
      <c r="H1798" s="13" t="s">
        <v>3183</v>
      </c>
    </row>
    <row r="1799" spans="1:8">
      <c r="A1799" s="13" t="s">
        <v>3180</v>
      </c>
      <c r="B1799" s="13">
        <v>4519343</v>
      </c>
      <c r="C1799" s="13" t="s">
        <v>641</v>
      </c>
      <c r="D1799" s="13" t="s">
        <v>3830</v>
      </c>
      <c r="E1799" s="13">
        <v>2</v>
      </c>
      <c r="F1799" s="13" t="s">
        <v>654</v>
      </c>
      <c r="G1799" s="13" t="s">
        <v>654</v>
      </c>
      <c r="H1799" s="13" t="s">
        <v>3183</v>
      </c>
    </row>
    <row r="1800" spans="1:8">
      <c r="A1800" s="13" t="s">
        <v>3180</v>
      </c>
      <c r="B1800" s="13">
        <v>4519344</v>
      </c>
      <c r="C1800" s="13" t="s">
        <v>641</v>
      </c>
      <c r="D1800" s="13" t="s">
        <v>3831</v>
      </c>
      <c r="E1800" s="13">
        <v>2</v>
      </c>
      <c r="F1800" s="13" t="s">
        <v>654</v>
      </c>
      <c r="G1800" s="13" t="s">
        <v>654</v>
      </c>
      <c r="H1800" s="13" t="s">
        <v>3183</v>
      </c>
    </row>
    <row r="1801" spans="1:8">
      <c r="A1801" s="13" t="s">
        <v>3180</v>
      </c>
      <c r="B1801" s="13">
        <v>4519345</v>
      </c>
      <c r="C1801" s="13" t="s">
        <v>641</v>
      </c>
      <c r="D1801" s="13" t="s">
        <v>3832</v>
      </c>
      <c r="E1801" s="13">
        <v>1</v>
      </c>
      <c r="F1801" s="13" t="s">
        <v>646</v>
      </c>
      <c r="G1801" s="13" t="s">
        <v>3745</v>
      </c>
      <c r="H1801" s="13" t="s">
        <v>3183</v>
      </c>
    </row>
    <row r="1802" spans="1:8">
      <c r="A1802" s="13" t="s">
        <v>3180</v>
      </c>
      <c r="B1802" s="13">
        <v>4519346</v>
      </c>
      <c r="C1802" s="13" t="s">
        <v>641</v>
      </c>
      <c r="D1802" s="13" t="s">
        <v>1646</v>
      </c>
      <c r="E1802" s="13">
        <v>1</v>
      </c>
      <c r="F1802" s="13" t="s">
        <v>640</v>
      </c>
      <c r="G1802" s="13" t="s">
        <v>3182</v>
      </c>
      <c r="H1802" s="13" t="s">
        <v>3183</v>
      </c>
    </row>
    <row r="1803" spans="1:8">
      <c r="A1803" s="13" t="s">
        <v>3180</v>
      </c>
      <c r="B1803" s="13">
        <v>4519347</v>
      </c>
      <c r="C1803" s="13" t="s">
        <v>641</v>
      </c>
      <c r="D1803" s="13" t="s">
        <v>3833</v>
      </c>
      <c r="E1803" s="13">
        <v>1</v>
      </c>
      <c r="F1803" s="13" t="s">
        <v>649</v>
      </c>
      <c r="G1803" s="13" t="s">
        <v>3508</v>
      </c>
      <c r="H1803" s="13" t="s">
        <v>3183</v>
      </c>
    </row>
    <row r="1804" spans="1:8">
      <c r="A1804" s="13" t="s">
        <v>3180</v>
      </c>
      <c r="B1804" s="13">
        <v>4519386</v>
      </c>
      <c r="C1804" s="13" t="s">
        <v>641</v>
      </c>
      <c r="D1804" s="13" t="s">
        <v>3834</v>
      </c>
      <c r="E1804" s="13">
        <v>1</v>
      </c>
      <c r="F1804" s="13" t="s">
        <v>640</v>
      </c>
      <c r="G1804" s="13" t="s">
        <v>3182</v>
      </c>
      <c r="H1804" s="13" t="s">
        <v>3183</v>
      </c>
    </row>
    <row r="1805" spans="1:8">
      <c r="A1805" s="13" t="s">
        <v>3180</v>
      </c>
      <c r="B1805" s="13">
        <v>4519457</v>
      </c>
      <c r="C1805" s="13" t="s">
        <v>641</v>
      </c>
      <c r="D1805" s="13" t="s">
        <v>3835</v>
      </c>
      <c r="E1805" s="13">
        <v>1</v>
      </c>
      <c r="F1805" s="13" t="s">
        <v>646</v>
      </c>
      <c r="G1805" s="13" t="s">
        <v>3745</v>
      </c>
      <c r="H1805" s="13" t="s">
        <v>3183</v>
      </c>
    </row>
    <row r="1806" spans="1:8">
      <c r="A1806" s="13" t="s">
        <v>3180</v>
      </c>
      <c r="B1806" s="13">
        <v>4519463</v>
      </c>
      <c r="C1806" s="13" t="s">
        <v>641</v>
      </c>
      <c r="D1806" s="13" t="s">
        <v>3836</v>
      </c>
      <c r="E1806" s="13">
        <v>1</v>
      </c>
      <c r="F1806" s="13" t="s">
        <v>640</v>
      </c>
      <c r="G1806" s="13" t="s">
        <v>3182</v>
      </c>
      <c r="H1806" s="13" t="s">
        <v>3183</v>
      </c>
    </row>
    <row r="1807" spans="1:8">
      <c r="A1807" s="13" t="s">
        <v>3180</v>
      </c>
      <c r="B1807" s="13">
        <v>4519464</v>
      </c>
      <c r="C1807" s="13" t="s">
        <v>641</v>
      </c>
      <c r="D1807" s="13" t="s">
        <v>3837</v>
      </c>
      <c r="E1807" s="13">
        <v>1</v>
      </c>
      <c r="F1807" s="13" t="s">
        <v>646</v>
      </c>
      <c r="G1807" s="13" t="s">
        <v>3745</v>
      </c>
      <c r="H1807" s="13" t="s">
        <v>3183</v>
      </c>
    </row>
    <row r="1808" spans="1:8">
      <c r="A1808" s="13" t="s">
        <v>3180</v>
      </c>
      <c r="B1808" s="13">
        <v>4519465</v>
      </c>
      <c r="C1808" s="13" t="s">
        <v>641</v>
      </c>
      <c r="D1808" s="13" t="s">
        <v>1647</v>
      </c>
      <c r="E1808" s="13">
        <v>1</v>
      </c>
      <c r="F1808" s="13" t="s">
        <v>649</v>
      </c>
      <c r="G1808" s="13" t="s">
        <v>2455</v>
      </c>
      <c r="H1808" s="13" t="s">
        <v>3183</v>
      </c>
    </row>
    <row r="1809" spans="1:8">
      <c r="A1809" s="13" t="s">
        <v>3180</v>
      </c>
      <c r="B1809" s="13">
        <v>4519466</v>
      </c>
      <c r="C1809" s="13" t="s">
        <v>641</v>
      </c>
      <c r="D1809" s="13" t="s">
        <v>1648</v>
      </c>
      <c r="E1809" s="13">
        <v>1</v>
      </c>
      <c r="F1809" s="13" t="s">
        <v>649</v>
      </c>
      <c r="G1809" s="13" t="s">
        <v>709</v>
      </c>
      <c r="H1809" s="13" t="s">
        <v>3183</v>
      </c>
    </row>
    <row r="1810" spans="1:8">
      <c r="A1810" s="13" t="s">
        <v>3180</v>
      </c>
      <c r="B1810" s="13">
        <v>4519513</v>
      </c>
      <c r="C1810" s="13" t="s">
        <v>641</v>
      </c>
      <c r="D1810" s="13" t="s">
        <v>3838</v>
      </c>
      <c r="E1810" s="13">
        <v>2</v>
      </c>
      <c r="F1810" s="13" t="s">
        <v>709</v>
      </c>
      <c r="G1810" s="13" t="s">
        <v>709</v>
      </c>
      <c r="H1810" s="13" t="s">
        <v>3183</v>
      </c>
    </row>
    <row r="1811" spans="1:8">
      <c r="A1811" s="13" t="s">
        <v>3180</v>
      </c>
      <c r="B1811" s="13">
        <v>4519579</v>
      </c>
      <c r="C1811" s="13" t="s">
        <v>641</v>
      </c>
      <c r="D1811" s="13" t="s">
        <v>3839</v>
      </c>
      <c r="E1811" s="13">
        <v>2</v>
      </c>
      <c r="F1811" s="13" t="s">
        <v>671</v>
      </c>
      <c r="G1811" s="13" t="s">
        <v>677</v>
      </c>
      <c r="H1811" s="13" t="s">
        <v>3183</v>
      </c>
    </row>
    <row r="1812" spans="1:8">
      <c r="A1812" s="13" t="s">
        <v>3180</v>
      </c>
      <c r="B1812" s="13">
        <v>4519581</v>
      </c>
      <c r="C1812" s="13" t="s">
        <v>641</v>
      </c>
      <c r="D1812" s="13" t="s">
        <v>3840</v>
      </c>
      <c r="E1812" s="13">
        <v>1</v>
      </c>
      <c r="F1812" s="13" t="s">
        <v>644</v>
      </c>
      <c r="G1812" s="13" t="s">
        <v>641</v>
      </c>
      <c r="H1812" s="13" t="s">
        <v>3183</v>
      </c>
    </row>
    <row r="1813" spans="1:8">
      <c r="A1813" s="13" t="s">
        <v>3180</v>
      </c>
      <c r="B1813" s="13">
        <v>4519783</v>
      </c>
      <c r="C1813" s="13" t="s">
        <v>641</v>
      </c>
      <c r="D1813" s="13" t="s">
        <v>3841</v>
      </c>
      <c r="E1813" s="13">
        <v>2</v>
      </c>
      <c r="F1813" s="13" t="s">
        <v>671</v>
      </c>
      <c r="G1813" s="13" t="s">
        <v>641</v>
      </c>
      <c r="H1813" s="13" t="s">
        <v>3339</v>
      </c>
    </row>
    <row r="1814" spans="1:8">
      <c r="A1814" s="13" t="s">
        <v>3180</v>
      </c>
      <c r="B1814" s="13">
        <v>4519784</v>
      </c>
      <c r="C1814" s="13" t="s">
        <v>641</v>
      </c>
      <c r="D1814" s="13" t="s">
        <v>3842</v>
      </c>
      <c r="E1814" s="13">
        <v>1</v>
      </c>
      <c r="F1814" s="13" t="s">
        <v>644</v>
      </c>
      <c r="G1814" s="13" t="s">
        <v>3204</v>
      </c>
      <c r="H1814" s="13" t="s">
        <v>3339</v>
      </c>
    </row>
    <row r="1815" spans="1:8">
      <c r="A1815" s="13" t="s">
        <v>3180</v>
      </c>
      <c r="B1815" s="13">
        <v>4519828</v>
      </c>
      <c r="C1815" s="13" t="s">
        <v>641</v>
      </c>
      <c r="D1815" s="13" t="s">
        <v>1649</v>
      </c>
      <c r="E1815" s="13">
        <v>2</v>
      </c>
      <c r="F1815" s="13" t="s">
        <v>671</v>
      </c>
      <c r="G1815" s="13" t="s">
        <v>641</v>
      </c>
      <c r="H1815" s="13" t="s">
        <v>3339</v>
      </c>
    </row>
    <row r="1816" spans="1:8">
      <c r="A1816" s="13" t="s">
        <v>3180</v>
      </c>
      <c r="B1816" s="13">
        <v>4519858</v>
      </c>
      <c r="C1816" s="13" t="s">
        <v>641</v>
      </c>
      <c r="D1816" s="13" t="s">
        <v>3843</v>
      </c>
      <c r="E1816" s="13">
        <v>1</v>
      </c>
      <c r="F1816" s="14" t="s">
        <v>642</v>
      </c>
      <c r="G1816" s="13" t="s">
        <v>2437</v>
      </c>
      <c r="H1816" s="13" t="s">
        <v>3339</v>
      </c>
    </row>
    <row r="1817" spans="1:8">
      <c r="A1817" s="13" t="s">
        <v>3180</v>
      </c>
      <c r="B1817" s="13">
        <v>4519874</v>
      </c>
      <c r="C1817" s="13" t="s">
        <v>641</v>
      </c>
      <c r="D1817" s="13" t="s">
        <v>3844</v>
      </c>
      <c r="E1817" s="13">
        <v>2</v>
      </c>
      <c r="F1817" s="13" t="s">
        <v>671</v>
      </c>
      <c r="G1817" s="13" t="s">
        <v>641</v>
      </c>
      <c r="H1817" s="13" t="s">
        <v>3339</v>
      </c>
    </row>
    <row r="1818" spans="1:8">
      <c r="A1818" s="13" t="s">
        <v>3180</v>
      </c>
      <c r="B1818" s="13">
        <v>4519878</v>
      </c>
      <c r="C1818" s="13" t="s">
        <v>641</v>
      </c>
      <c r="D1818" s="13" t="s">
        <v>3845</v>
      </c>
      <c r="E1818" s="13">
        <v>2</v>
      </c>
      <c r="F1818" s="13" t="s">
        <v>671</v>
      </c>
      <c r="G1818" s="13" t="s">
        <v>641</v>
      </c>
      <c r="H1818" s="13" t="s">
        <v>3339</v>
      </c>
    </row>
    <row r="1819" spans="1:8">
      <c r="A1819" s="13" t="s">
        <v>3180</v>
      </c>
      <c r="B1819" s="13">
        <v>4519928</v>
      </c>
      <c r="C1819" s="13" t="s">
        <v>641</v>
      </c>
      <c r="D1819" s="13" t="s">
        <v>3846</v>
      </c>
      <c r="E1819" s="13">
        <v>1</v>
      </c>
      <c r="F1819" s="13" t="s">
        <v>649</v>
      </c>
      <c r="G1819" s="13" t="s">
        <v>3207</v>
      </c>
      <c r="H1819" s="13" t="s">
        <v>3339</v>
      </c>
    </row>
    <row r="1820" spans="1:8">
      <c r="A1820" s="13" t="s">
        <v>3180</v>
      </c>
      <c r="B1820" s="13">
        <v>4519959</v>
      </c>
      <c r="C1820" s="13" t="s">
        <v>641</v>
      </c>
      <c r="D1820" s="13" t="s">
        <v>3847</v>
      </c>
      <c r="E1820" s="13">
        <v>1</v>
      </c>
      <c r="F1820" s="13" t="s">
        <v>640</v>
      </c>
      <c r="G1820" s="13" t="s">
        <v>3186</v>
      </c>
      <c r="H1820" s="13" t="s">
        <v>3339</v>
      </c>
    </row>
    <row r="1821" spans="1:8">
      <c r="A1821" s="13" t="s">
        <v>3180</v>
      </c>
      <c r="B1821" s="13">
        <v>4519966</v>
      </c>
      <c r="C1821" s="13" t="s">
        <v>641</v>
      </c>
      <c r="D1821" s="13" t="s">
        <v>3848</v>
      </c>
      <c r="E1821" s="13">
        <v>1</v>
      </c>
      <c r="F1821" s="13" t="s">
        <v>646</v>
      </c>
      <c r="G1821" s="13" t="s">
        <v>2627</v>
      </c>
      <c r="H1821" s="13" t="s">
        <v>3339</v>
      </c>
    </row>
    <row r="1822" spans="1:8">
      <c r="A1822" s="13" t="s">
        <v>3180</v>
      </c>
      <c r="B1822" s="13">
        <v>4520264</v>
      </c>
      <c r="C1822" s="13" t="s">
        <v>641</v>
      </c>
      <c r="D1822" s="13" t="s">
        <v>3849</v>
      </c>
      <c r="E1822" s="13">
        <v>1</v>
      </c>
      <c r="F1822" s="13" t="s">
        <v>646</v>
      </c>
      <c r="G1822" s="13" t="s">
        <v>2627</v>
      </c>
      <c r="H1822" s="13" t="s">
        <v>3339</v>
      </c>
    </row>
    <row r="1823" spans="1:8">
      <c r="A1823" s="13" t="s">
        <v>3180</v>
      </c>
      <c r="B1823" s="13">
        <v>4600064</v>
      </c>
      <c r="C1823" s="13" t="s">
        <v>641</v>
      </c>
      <c r="D1823" s="13" t="s">
        <v>567</v>
      </c>
      <c r="E1823" s="13">
        <v>1</v>
      </c>
      <c r="F1823" s="13" t="s">
        <v>646</v>
      </c>
      <c r="G1823" s="13" t="s">
        <v>641</v>
      </c>
      <c r="H1823" s="13" t="s">
        <v>641</v>
      </c>
    </row>
    <row r="1824" spans="1:8">
      <c r="A1824" s="13" t="s">
        <v>3180</v>
      </c>
      <c r="B1824" s="13">
        <v>4600065</v>
      </c>
      <c r="C1824" s="13" t="s">
        <v>641</v>
      </c>
      <c r="D1824" s="13" t="s">
        <v>566</v>
      </c>
      <c r="E1824" s="13">
        <v>1</v>
      </c>
      <c r="F1824" s="13" t="s">
        <v>646</v>
      </c>
      <c r="G1824" s="13" t="s">
        <v>641</v>
      </c>
      <c r="H1824" s="13" t="s">
        <v>641</v>
      </c>
    </row>
    <row r="1825" spans="1:8">
      <c r="A1825" s="13" t="s">
        <v>3180</v>
      </c>
      <c r="B1825" s="13">
        <v>4600078</v>
      </c>
      <c r="C1825" s="13" t="s">
        <v>641</v>
      </c>
      <c r="D1825" s="13" t="s">
        <v>3850</v>
      </c>
      <c r="E1825" s="13">
        <v>2</v>
      </c>
      <c r="F1825" s="13" t="s">
        <v>671</v>
      </c>
      <c r="G1825" s="13" t="s">
        <v>678</v>
      </c>
      <c r="H1825" s="13" t="s">
        <v>641</v>
      </c>
    </row>
    <row r="1826" spans="1:8">
      <c r="A1826" s="13" t="s">
        <v>3180</v>
      </c>
      <c r="B1826" s="13">
        <v>4700605</v>
      </c>
      <c r="C1826" s="13" t="s">
        <v>641</v>
      </c>
      <c r="D1826" s="13" t="s">
        <v>1771</v>
      </c>
      <c r="E1826" s="13">
        <v>1</v>
      </c>
      <c r="F1826" s="13" t="s">
        <v>640</v>
      </c>
      <c r="G1826" s="13" t="s">
        <v>641</v>
      </c>
      <c r="H1826" s="13" t="s">
        <v>641</v>
      </c>
    </row>
    <row r="1827" spans="1:8">
      <c r="A1827" s="13" t="s">
        <v>3180</v>
      </c>
      <c r="B1827" s="13">
        <v>4700877</v>
      </c>
      <c r="C1827" s="13" t="s">
        <v>641</v>
      </c>
      <c r="D1827" s="13" t="s">
        <v>3851</v>
      </c>
      <c r="E1827" s="13">
        <v>2</v>
      </c>
      <c r="F1827" s="13" t="s">
        <v>671</v>
      </c>
      <c r="G1827" s="13" t="s">
        <v>677</v>
      </c>
      <c r="H1827" s="13" t="s">
        <v>3187</v>
      </c>
    </row>
    <row r="1828" spans="1:8">
      <c r="A1828" s="13" t="s">
        <v>3180</v>
      </c>
      <c r="B1828" s="13">
        <v>4700912</v>
      </c>
      <c r="C1828" s="13" t="s">
        <v>641</v>
      </c>
      <c r="D1828" s="13" t="s">
        <v>1772</v>
      </c>
      <c r="E1828" s="13">
        <v>2</v>
      </c>
      <c r="F1828" s="13" t="s">
        <v>671</v>
      </c>
      <c r="G1828" s="13" t="s">
        <v>677</v>
      </c>
      <c r="H1828" s="13" t="s">
        <v>641</v>
      </c>
    </row>
    <row r="1829" spans="1:8">
      <c r="A1829" s="13" t="s">
        <v>3180</v>
      </c>
      <c r="B1829" s="13">
        <v>4701288</v>
      </c>
      <c r="C1829" s="13" t="s">
        <v>641</v>
      </c>
      <c r="D1829" s="13" t="s">
        <v>134</v>
      </c>
      <c r="E1829" s="13">
        <v>1</v>
      </c>
      <c r="F1829" s="13" t="s">
        <v>646</v>
      </c>
      <c r="G1829" s="13" t="s">
        <v>641</v>
      </c>
      <c r="H1829" s="13" t="s">
        <v>641</v>
      </c>
    </row>
    <row r="1830" spans="1:8">
      <c r="A1830" s="13" t="s">
        <v>3180</v>
      </c>
      <c r="B1830" s="13">
        <v>4701475</v>
      </c>
      <c r="C1830" s="13" t="s">
        <v>641</v>
      </c>
      <c r="D1830" s="13" t="s">
        <v>1773</v>
      </c>
      <c r="E1830" s="13">
        <v>2</v>
      </c>
      <c r="F1830" s="13" t="s">
        <v>671</v>
      </c>
      <c r="G1830" s="13" t="s">
        <v>677</v>
      </c>
      <c r="H1830" s="13" t="s">
        <v>641</v>
      </c>
    </row>
    <row r="1831" spans="1:8">
      <c r="A1831" s="13" t="s">
        <v>3180</v>
      </c>
      <c r="B1831" s="13">
        <v>4702189</v>
      </c>
      <c r="C1831" s="13" t="s">
        <v>641</v>
      </c>
      <c r="D1831" s="13" t="s">
        <v>1774</v>
      </c>
      <c r="E1831" s="13">
        <v>1</v>
      </c>
      <c r="F1831" s="13" t="s">
        <v>642</v>
      </c>
      <c r="G1831" s="13" t="s">
        <v>2437</v>
      </c>
      <c r="H1831" s="13" t="s">
        <v>3187</v>
      </c>
    </row>
    <row r="1832" spans="1:8">
      <c r="A1832" s="13" t="s">
        <v>3180</v>
      </c>
      <c r="B1832" s="13">
        <v>4702451</v>
      </c>
      <c r="C1832" s="13" t="s">
        <v>641</v>
      </c>
      <c r="D1832" s="13" t="s">
        <v>535</v>
      </c>
      <c r="E1832" s="13">
        <v>1</v>
      </c>
      <c r="F1832" s="13" t="s">
        <v>649</v>
      </c>
      <c r="G1832" s="13" t="s">
        <v>641</v>
      </c>
      <c r="H1832" s="13" t="s">
        <v>641</v>
      </c>
    </row>
    <row r="1833" spans="1:8">
      <c r="A1833" s="13" t="s">
        <v>3180</v>
      </c>
      <c r="B1833" s="13">
        <v>4702611</v>
      </c>
      <c r="C1833" s="13" t="s">
        <v>641</v>
      </c>
      <c r="D1833" s="13" t="s">
        <v>734</v>
      </c>
      <c r="E1833" s="13">
        <v>1</v>
      </c>
      <c r="F1833" s="13" t="s">
        <v>640</v>
      </c>
      <c r="G1833" s="13" t="s">
        <v>641</v>
      </c>
      <c r="H1833" s="13" t="s">
        <v>735</v>
      </c>
    </row>
    <row r="1834" spans="1:8">
      <c r="A1834" s="13" t="s">
        <v>3180</v>
      </c>
      <c r="B1834" s="13">
        <v>4702613</v>
      </c>
      <c r="C1834" s="13" t="s">
        <v>641</v>
      </c>
      <c r="D1834" s="13" t="s">
        <v>1775</v>
      </c>
      <c r="E1834" s="13">
        <v>1</v>
      </c>
      <c r="F1834" s="13" t="s">
        <v>642</v>
      </c>
      <c r="G1834" s="13" t="s">
        <v>2437</v>
      </c>
      <c r="H1834" s="13" t="s">
        <v>641</v>
      </c>
    </row>
    <row r="1835" spans="1:8">
      <c r="A1835" s="13" t="s">
        <v>3180</v>
      </c>
      <c r="B1835" s="13">
        <v>4702743</v>
      </c>
      <c r="C1835" s="13" t="s">
        <v>641</v>
      </c>
      <c r="D1835" s="13" t="s">
        <v>3852</v>
      </c>
      <c r="E1835" s="13">
        <v>1</v>
      </c>
      <c r="F1835" s="13" t="s">
        <v>640</v>
      </c>
      <c r="G1835" s="13" t="s">
        <v>641</v>
      </c>
      <c r="H1835" s="13" t="s">
        <v>3298</v>
      </c>
    </row>
    <row r="1836" spans="1:8">
      <c r="A1836" s="13" t="s">
        <v>3180</v>
      </c>
      <c r="B1836" s="13">
        <v>4702771</v>
      </c>
      <c r="C1836" s="13" t="s">
        <v>641</v>
      </c>
      <c r="D1836" s="13" t="s">
        <v>558</v>
      </c>
      <c r="E1836" s="13">
        <v>1</v>
      </c>
      <c r="F1836" s="13" t="s">
        <v>640</v>
      </c>
      <c r="G1836" s="13" t="s">
        <v>3186</v>
      </c>
      <c r="H1836" s="13" t="s">
        <v>641</v>
      </c>
    </row>
    <row r="1837" spans="1:8">
      <c r="A1837" s="13" t="s">
        <v>3180</v>
      </c>
      <c r="B1837" s="13">
        <v>4702852</v>
      </c>
      <c r="C1837" s="13" t="s">
        <v>641</v>
      </c>
      <c r="D1837" s="13" t="s">
        <v>453</v>
      </c>
      <c r="E1837" s="13">
        <v>1</v>
      </c>
      <c r="F1837" s="13" t="s">
        <v>642</v>
      </c>
      <c r="G1837" s="13" t="s">
        <v>641</v>
      </c>
      <c r="H1837" s="13" t="s">
        <v>641</v>
      </c>
    </row>
    <row r="1838" spans="1:8">
      <c r="A1838" s="13" t="s">
        <v>3180</v>
      </c>
      <c r="B1838" s="13">
        <v>4702883</v>
      </c>
      <c r="C1838" s="13" t="s">
        <v>641</v>
      </c>
      <c r="D1838" s="13" t="s">
        <v>1776</v>
      </c>
      <c r="E1838" s="13">
        <v>1</v>
      </c>
      <c r="F1838" s="14" t="s">
        <v>646</v>
      </c>
      <c r="G1838" s="13" t="s">
        <v>641</v>
      </c>
      <c r="H1838" s="13" t="s">
        <v>641</v>
      </c>
    </row>
    <row r="1839" spans="1:8">
      <c r="A1839" s="13" t="s">
        <v>3180</v>
      </c>
      <c r="B1839" s="13">
        <v>4702884</v>
      </c>
      <c r="C1839" s="13" t="s">
        <v>641</v>
      </c>
      <c r="D1839" s="13" t="s">
        <v>3853</v>
      </c>
      <c r="E1839" s="13">
        <v>1</v>
      </c>
      <c r="F1839" s="13" t="s">
        <v>646</v>
      </c>
      <c r="G1839" s="13" t="s">
        <v>2627</v>
      </c>
      <c r="H1839" s="13" t="s">
        <v>3372</v>
      </c>
    </row>
    <row r="1840" spans="1:8">
      <c r="A1840" s="13" t="s">
        <v>3180</v>
      </c>
      <c r="B1840" s="13">
        <v>4704580</v>
      </c>
      <c r="C1840" s="13" t="s">
        <v>641</v>
      </c>
      <c r="D1840" s="13" t="s">
        <v>3854</v>
      </c>
      <c r="E1840" s="13">
        <v>1</v>
      </c>
      <c r="F1840" s="13" t="s">
        <v>640</v>
      </c>
      <c r="G1840" s="13" t="s">
        <v>3186</v>
      </c>
      <c r="H1840" s="13" t="s">
        <v>641</v>
      </c>
    </row>
    <row r="1841" spans="1:8">
      <c r="A1841" s="13" t="s">
        <v>3180</v>
      </c>
      <c r="B1841" s="13">
        <v>4709126</v>
      </c>
      <c r="C1841" s="13" t="s">
        <v>641</v>
      </c>
      <c r="D1841" s="13" t="s">
        <v>1781</v>
      </c>
      <c r="E1841" s="13">
        <v>1</v>
      </c>
      <c r="F1841" s="13" t="s">
        <v>640</v>
      </c>
      <c r="G1841" s="13" t="s">
        <v>641</v>
      </c>
      <c r="H1841" s="13" t="s">
        <v>641</v>
      </c>
    </row>
    <row r="1842" spans="1:8">
      <c r="A1842" s="13" t="s">
        <v>3180</v>
      </c>
      <c r="B1842" s="13">
        <v>4711147</v>
      </c>
      <c r="C1842" s="13" t="s">
        <v>641</v>
      </c>
      <c r="D1842" s="13" t="s">
        <v>1782</v>
      </c>
      <c r="E1842" s="13">
        <v>1</v>
      </c>
      <c r="F1842" s="13" t="s">
        <v>649</v>
      </c>
      <c r="G1842" s="13" t="s">
        <v>641</v>
      </c>
      <c r="H1842" s="13" t="s">
        <v>3187</v>
      </c>
    </row>
    <row r="1843" spans="1:8">
      <c r="A1843" s="13" t="s">
        <v>3180</v>
      </c>
      <c r="B1843" s="13">
        <v>4712118</v>
      </c>
      <c r="C1843" s="13" t="s">
        <v>641</v>
      </c>
      <c r="D1843" s="13" t="s">
        <v>459</v>
      </c>
      <c r="E1843" s="13">
        <v>1</v>
      </c>
      <c r="F1843" s="13" t="s">
        <v>640</v>
      </c>
      <c r="G1843" s="13" t="s">
        <v>641</v>
      </c>
      <c r="H1843" s="13" t="s">
        <v>641</v>
      </c>
    </row>
    <row r="1844" spans="1:8">
      <c r="A1844" s="13" t="s">
        <v>3180</v>
      </c>
      <c r="B1844" s="13">
        <v>4712140</v>
      </c>
      <c r="C1844" s="13" t="s">
        <v>641</v>
      </c>
      <c r="D1844" s="13" t="s">
        <v>736</v>
      </c>
      <c r="E1844" s="13">
        <v>1</v>
      </c>
      <c r="F1844" s="13" t="s">
        <v>640</v>
      </c>
      <c r="G1844" s="13" t="s">
        <v>641</v>
      </c>
      <c r="H1844" s="13" t="s">
        <v>641</v>
      </c>
    </row>
    <row r="1845" spans="1:8">
      <c r="A1845" s="13" t="s">
        <v>3180</v>
      </c>
      <c r="B1845" s="13">
        <v>4713437</v>
      </c>
      <c r="C1845" s="13" t="s">
        <v>641</v>
      </c>
      <c r="D1845" s="13" t="s">
        <v>3855</v>
      </c>
      <c r="E1845" s="13">
        <v>1</v>
      </c>
      <c r="F1845" s="13" t="s">
        <v>640</v>
      </c>
      <c r="G1845" s="13" t="s">
        <v>2437</v>
      </c>
      <c r="H1845" s="13" t="s">
        <v>641</v>
      </c>
    </row>
    <row r="1846" spans="1:8">
      <c r="A1846" s="13" t="s">
        <v>3180</v>
      </c>
      <c r="B1846" s="13">
        <v>4713833</v>
      </c>
      <c r="C1846" s="13" t="s">
        <v>641</v>
      </c>
      <c r="D1846" s="13" t="s">
        <v>1783</v>
      </c>
      <c r="E1846" s="13">
        <v>2</v>
      </c>
      <c r="F1846" s="13" t="s">
        <v>671</v>
      </c>
      <c r="G1846" s="13" t="s">
        <v>677</v>
      </c>
      <c r="H1846" s="13" t="s">
        <v>641</v>
      </c>
    </row>
    <row r="1847" spans="1:8">
      <c r="A1847" s="13" t="s">
        <v>3180</v>
      </c>
      <c r="B1847" s="13">
        <v>4714519</v>
      </c>
      <c r="C1847" s="13" t="s">
        <v>641</v>
      </c>
      <c r="D1847" s="13" t="s">
        <v>3856</v>
      </c>
      <c r="E1847" s="13">
        <v>1</v>
      </c>
      <c r="F1847" s="13" t="s">
        <v>640</v>
      </c>
      <c r="G1847" s="13" t="s">
        <v>641</v>
      </c>
      <c r="H1847" s="13" t="s">
        <v>641</v>
      </c>
    </row>
    <row r="1848" spans="1:8">
      <c r="A1848" s="13" t="s">
        <v>3180</v>
      </c>
      <c r="B1848" s="13">
        <v>4714551</v>
      </c>
      <c r="C1848" s="13" t="s">
        <v>641</v>
      </c>
      <c r="D1848" s="13" t="s">
        <v>1784</v>
      </c>
      <c r="E1848" s="13">
        <v>1</v>
      </c>
      <c r="F1848" s="13" t="s">
        <v>640</v>
      </c>
      <c r="G1848" s="13" t="s">
        <v>3186</v>
      </c>
      <c r="H1848" s="13" t="s">
        <v>641</v>
      </c>
    </row>
    <row r="1849" spans="1:8">
      <c r="A1849" s="13" t="s">
        <v>3180</v>
      </c>
      <c r="B1849" s="13">
        <v>4715418</v>
      </c>
      <c r="C1849" s="13" t="s">
        <v>641</v>
      </c>
      <c r="D1849" s="13" t="s">
        <v>3857</v>
      </c>
      <c r="E1849" s="13">
        <v>2</v>
      </c>
      <c r="F1849" s="13" t="s">
        <v>671</v>
      </c>
      <c r="G1849" s="13" t="s">
        <v>678</v>
      </c>
      <c r="H1849" s="13" t="s">
        <v>641</v>
      </c>
    </row>
    <row r="1850" spans="1:8">
      <c r="A1850" s="13" t="s">
        <v>3180</v>
      </c>
      <c r="B1850" s="13">
        <v>4716754</v>
      </c>
      <c r="C1850" s="13" t="s">
        <v>641</v>
      </c>
      <c r="D1850" s="13" t="s">
        <v>1787</v>
      </c>
      <c r="E1850" s="13">
        <v>1</v>
      </c>
      <c r="F1850" s="13" t="s">
        <v>649</v>
      </c>
      <c r="G1850" s="13" t="s">
        <v>641</v>
      </c>
      <c r="H1850" s="13" t="s">
        <v>641</v>
      </c>
    </row>
    <row r="1851" spans="1:8">
      <c r="A1851" s="13" t="s">
        <v>3180</v>
      </c>
      <c r="B1851" s="13">
        <v>4717150</v>
      </c>
      <c r="C1851" s="13" t="s">
        <v>641</v>
      </c>
      <c r="D1851" s="13" t="s">
        <v>404</v>
      </c>
      <c r="E1851" s="13">
        <v>1</v>
      </c>
      <c r="F1851" s="13" t="s">
        <v>640</v>
      </c>
      <c r="G1851" s="13" t="s">
        <v>641</v>
      </c>
      <c r="H1851" s="13" t="s">
        <v>641</v>
      </c>
    </row>
    <row r="1852" spans="1:8">
      <c r="A1852" s="13" t="s">
        <v>3180</v>
      </c>
      <c r="B1852" s="13">
        <v>4717239</v>
      </c>
      <c r="C1852" s="13" t="s">
        <v>641</v>
      </c>
      <c r="D1852" s="13" t="s">
        <v>1788</v>
      </c>
      <c r="E1852" s="13">
        <v>2</v>
      </c>
      <c r="F1852" s="13" t="s">
        <v>671</v>
      </c>
      <c r="G1852" s="13" t="s">
        <v>677</v>
      </c>
      <c r="H1852" s="13" t="s">
        <v>641</v>
      </c>
    </row>
    <row r="1853" spans="1:8">
      <c r="A1853" s="13" t="s">
        <v>3180</v>
      </c>
      <c r="B1853" s="13">
        <v>4717533</v>
      </c>
      <c r="C1853" s="13" t="s">
        <v>641</v>
      </c>
      <c r="D1853" s="13" t="s">
        <v>737</v>
      </c>
      <c r="E1853" s="13">
        <v>2</v>
      </c>
      <c r="F1853" s="13" t="s">
        <v>654</v>
      </c>
      <c r="G1853" s="13" t="s">
        <v>641</v>
      </c>
      <c r="H1853" s="13" t="s">
        <v>641</v>
      </c>
    </row>
    <row r="1854" spans="1:8">
      <c r="A1854" s="13" t="s">
        <v>3180</v>
      </c>
      <c r="B1854" s="13">
        <v>4718666</v>
      </c>
      <c r="C1854" s="13" t="s">
        <v>641</v>
      </c>
      <c r="D1854" s="13" t="s">
        <v>3858</v>
      </c>
      <c r="E1854" s="13">
        <v>1</v>
      </c>
      <c r="F1854" s="13" t="s">
        <v>640</v>
      </c>
      <c r="G1854" s="13" t="s">
        <v>641</v>
      </c>
      <c r="H1854" s="13" t="s">
        <v>641</v>
      </c>
    </row>
    <row r="1855" spans="1:8">
      <c r="A1855" s="13" t="s">
        <v>3180</v>
      </c>
      <c r="B1855" s="13">
        <v>4720684</v>
      </c>
      <c r="C1855" s="13" t="s">
        <v>641</v>
      </c>
      <c r="D1855" s="13" t="s">
        <v>3859</v>
      </c>
      <c r="E1855" s="13">
        <v>1</v>
      </c>
      <c r="F1855" s="13" t="s">
        <v>642</v>
      </c>
      <c r="G1855" s="13" t="s">
        <v>2437</v>
      </c>
      <c r="H1855" s="13" t="s">
        <v>641</v>
      </c>
    </row>
    <row r="1856" spans="1:8">
      <c r="A1856" s="13" t="s">
        <v>3180</v>
      </c>
      <c r="B1856" s="13">
        <v>4721390</v>
      </c>
      <c r="C1856" s="13" t="s">
        <v>641</v>
      </c>
      <c r="D1856" s="13" t="s">
        <v>3860</v>
      </c>
      <c r="E1856" s="13">
        <v>1</v>
      </c>
      <c r="F1856" s="13" t="s">
        <v>649</v>
      </c>
      <c r="G1856" s="13" t="s">
        <v>3207</v>
      </c>
      <c r="H1856" s="13" t="s">
        <v>3339</v>
      </c>
    </row>
    <row r="1857" spans="1:8">
      <c r="A1857" s="13" t="s">
        <v>3180</v>
      </c>
      <c r="B1857" s="13">
        <v>4721391</v>
      </c>
      <c r="C1857" s="13" t="s">
        <v>641</v>
      </c>
      <c r="D1857" s="13" t="s">
        <v>3861</v>
      </c>
      <c r="E1857" s="13">
        <v>1</v>
      </c>
      <c r="F1857" s="13" t="s">
        <v>649</v>
      </c>
      <c r="G1857" s="13" t="s">
        <v>3207</v>
      </c>
      <c r="H1857" s="13" t="s">
        <v>3339</v>
      </c>
    </row>
    <row r="1858" spans="1:8">
      <c r="A1858" s="13" t="s">
        <v>3180</v>
      </c>
      <c r="B1858" s="13">
        <v>4722217</v>
      </c>
      <c r="C1858" s="13" t="s">
        <v>641</v>
      </c>
      <c r="D1858" s="13" t="s">
        <v>1789</v>
      </c>
      <c r="E1858" s="13">
        <v>1</v>
      </c>
      <c r="F1858" s="13" t="s">
        <v>638</v>
      </c>
      <c r="G1858" s="13" t="s">
        <v>641</v>
      </c>
      <c r="H1858" s="13" t="s">
        <v>641</v>
      </c>
    </row>
    <row r="1859" spans="1:8">
      <c r="A1859" s="13" t="s">
        <v>3180</v>
      </c>
      <c r="B1859" s="13">
        <v>4722322</v>
      </c>
      <c r="C1859" s="13" t="s">
        <v>641</v>
      </c>
      <c r="D1859" s="13" t="s">
        <v>1881</v>
      </c>
      <c r="E1859" s="13">
        <v>2</v>
      </c>
      <c r="F1859" s="13" t="s">
        <v>671</v>
      </c>
      <c r="G1859" s="13" t="s">
        <v>677</v>
      </c>
      <c r="H1859" s="13" t="s">
        <v>641</v>
      </c>
    </row>
    <row r="1860" spans="1:8">
      <c r="A1860" s="13" t="s">
        <v>3180</v>
      </c>
      <c r="B1860" s="13">
        <v>4722451</v>
      </c>
      <c r="C1860" s="13" t="s">
        <v>641</v>
      </c>
      <c r="D1860" s="13" t="s">
        <v>3862</v>
      </c>
      <c r="E1860" s="13">
        <v>1</v>
      </c>
      <c r="F1860" s="13" t="s">
        <v>640</v>
      </c>
      <c r="G1860" s="13" t="s">
        <v>641</v>
      </c>
      <c r="H1860" s="13" t="s">
        <v>735</v>
      </c>
    </row>
    <row r="1861" spans="1:8">
      <c r="A1861" s="13" t="s">
        <v>3180</v>
      </c>
      <c r="B1861" s="13">
        <v>4723323</v>
      </c>
      <c r="C1861" s="13" t="s">
        <v>641</v>
      </c>
      <c r="D1861" s="13" t="s">
        <v>3863</v>
      </c>
      <c r="E1861" s="13">
        <v>2</v>
      </c>
      <c r="F1861" s="13" t="s">
        <v>671</v>
      </c>
      <c r="G1861" s="13" t="s">
        <v>677</v>
      </c>
      <c r="H1861" s="13" t="s">
        <v>641</v>
      </c>
    </row>
    <row r="1862" spans="1:8">
      <c r="A1862" s="13" t="s">
        <v>3180</v>
      </c>
      <c r="B1862" s="13">
        <v>4723811</v>
      </c>
      <c r="C1862" s="13" t="s">
        <v>641</v>
      </c>
      <c r="D1862" s="13" t="s">
        <v>306</v>
      </c>
      <c r="E1862" s="13">
        <v>1</v>
      </c>
      <c r="F1862" s="13" t="s">
        <v>640</v>
      </c>
      <c r="G1862" s="13" t="s">
        <v>641</v>
      </c>
      <c r="H1862" s="13" t="s">
        <v>641</v>
      </c>
    </row>
    <row r="1863" spans="1:8">
      <c r="A1863" s="13" t="s">
        <v>3180</v>
      </c>
      <c r="B1863" s="13">
        <v>4725356</v>
      </c>
      <c r="C1863" s="13" t="s">
        <v>641</v>
      </c>
      <c r="D1863" s="13" t="s">
        <v>3864</v>
      </c>
      <c r="E1863" s="13">
        <v>1</v>
      </c>
      <c r="F1863" s="13" t="s">
        <v>640</v>
      </c>
      <c r="G1863" s="13" t="s">
        <v>3182</v>
      </c>
      <c r="H1863" s="13" t="s">
        <v>3183</v>
      </c>
    </row>
    <row r="1864" spans="1:8">
      <c r="A1864" s="13" t="s">
        <v>3180</v>
      </c>
      <c r="B1864" s="13">
        <v>4726198</v>
      </c>
      <c r="C1864" s="13" t="s">
        <v>641</v>
      </c>
      <c r="D1864" s="13" t="s">
        <v>351</v>
      </c>
      <c r="E1864" s="13">
        <v>1</v>
      </c>
      <c r="F1864" s="13" t="s">
        <v>642</v>
      </c>
      <c r="G1864" s="13" t="s">
        <v>2437</v>
      </c>
      <c r="H1864" s="13" t="s">
        <v>641</v>
      </c>
    </row>
    <row r="1865" spans="1:8">
      <c r="A1865" s="13" t="s">
        <v>3180</v>
      </c>
      <c r="B1865" s="13">
        <v>4726378</v>
      </c>
      <c r="C1865" s="13" t="s">
        <v>641</v>
      </c>
      <c r="D1865" s="13" t="s">
        <v>3865</v>
      </c>
      <c r="E1865" s="13">
        <v>1</v>
      </c>
      <c r="F1865" s="13" t="s">
        <v>649</v>
      </c>
      <c r="G1865" s="13" t="s">
        <v>641</v>
      </c>
      <c r="H1865" s="13" t="s">
        <v>3298</v>
      </c>
    </row>
    <row r="1866" spans="1:8">
      <c r="A1866" s="13" t="s">
        <v>3180</v>
      </c>
      <c r="B1866" s="13">
        <v>4727592</v>
      </c>
      <c r="C1866" s="13" t="s">
        <v>641</v>
      </c>
      <c r="D1866" s="13" t="s">
        <v>322</v>
      </c>
      <c r="E1866" s="13">
        <v>1</v>
      </c>
      <c r="F1866" s="13" t="s">
        <v>640</v>
      </c>
      <c r="G1866" s="13" t="s">
        <v>641</v>
      </c>
      <c r="H1866" s="13" t="s">
        <v>641</v>
      </c>
    </row>
    <row r="1867" spans="1:8">
      <c r="A1867" s="13" t="s">
        <v>3180</v>
      </c>
      <c r="B1867" s="13">
        <v>4730717</v>
      </c>
      <c r="C1867" s="13" t="s">
        <v>641</v>
      </c>
      <c r="D1867" s="13" t="s">
        <v>3866</v>
      </c>
      <c r="E1867" s="13">
        <v>2</v>
      </c>
      <c r="F1867" s="13" t="s">
        <v>671</v>
      </c>
      <c r="G1867" s="13" t="s">
        <v>678</v>
      </c>
      <c r="H1867" s="13" t="s">
        <v>3187</v>
      </c>
    </row>
    <row r="1868" spans="1:8">
      <c r="A1868" s="13" t="s">
        <v>3180</v>
      </c>
      <c r="B1868" s="13">
        <v>4732717</v>
      </c>
      <c r="C1868" s="13" t="s">
        <v>641</v>
      </c>
      <c r="D1868" s="13" t="s">
        <v>1791</v>
      </c>
      <c r="E1868" s="13">
        <v>1</v>
      </c>
      <c r="F1868" s="13" t="s">
        <v>642</v>
      </c>
      <c r="G1868" s="13" t="s">
        <v>2437</v>
      </c>
      <c r="H1868" s="13" t="s">
        <v>3187</v>
      </c>
    </row>
    <row r="1869" spans="1:8">
      <c r="A1869" s="13" t="s">
        <v>3180</v>
      </c>
      <c r="B1869" s="13">
        <v>4733120</v>
      </c>
      <c r="C1869" s="13" t="s">
        <v>641</v>
      </c>
      <c r="D1869" s="13" t="s">
        <v>204</v>
      </c>
      <c r="E1869" s="13">
        <v>1</v>
      </c>
      <c r="F1869" s="13" t="s">
        <v>640</v>
      </c>
      <c r="G1869" s="13" t="s">
        <v>641</v>
      </c>
      <c r="H1869" s="13" t="s">
        <v>641</v>
      </c>
    </row>
    <row r="1870" spans="1:8">
      <c r="A1870" s="13" t="s">
        <v>3180</v>
      </c>
      <c r="B1870" s="13">
        <v>4734736</v>
      </c>
      <c r="C1870" s="13" t="s">
        <v>641</v>
      </c>
      <c r="D1870" s="13" t="s">
        <v>3867</v>
      </c>
      <c r="E1870" s="13">
        <v>2</v>
      </c>
      <c r="F1870" s="13" t="s">
        <v>671</v>
      </c>
      <c r="G1870" s="13" t="s">
        <v>678</v>
      </c>
      <c r="H1870" s="13" t="s">
        <v>641</v>
      </c>
    </row>
    <row r="1871" spans="1:8">
      <c r="A1871" s="13" t="s">
        <v>3180</v>
      </c>
      <c r="B1871" s="13">
        <v>4734737</v>
      </c>
      <c r="C1871" s="13" t="s">
        <v>641</v>
      </c>
      <c r="D1871" s="13" t="s">
        <v>3868</v>
      </c>
      <c r="E1871" s="13">
        <v>2</v>
      </c>
      <c r="F1871" s="13" t="s">
        <v>671</v>
      </c>
      <c r="G1871" s="13" t="s">
        <v>678</v>
      </c>
      <c r="H1871" s="13" t="s">
        <v>641</v>
      </c>
    </row>
    <row r="1872" spans="1:8">
      <c r="A1872" s="13" t="s">
        <v>3180</v>
      </c>
      <c r="B1872" s="13">
        <v>4735156</v>
      </c>
      <c r="C1872" s="13" t="s">
        <v>641</v>
      </c>
      <c r="D1872" s="13" t="s">
        <v>576</v>
      </c>
      <c r="E1872" s="13">
        <v>1</v>
      </c>
      <c r="F1872" s="13" t="s">
        <v>640</v>
      </c>
      <c r="G1872" s="13" t="s">
        <v>3186</v>
      </c>
      <c r="H1872" s="13" t="s">
        <v>3187</v>
      </c>
    </row>
    <row r="1873" spans="1:8">
      <c r="A1873" s="13" t="s">
        <v>3180</v>
      </c>
      <c r="B1873" s="13">
        <v>4736013</v>
      </c>
      <c r="C1873" s="13" t="s">
        <v>641</v>
      </c>
      <c r="D1873" s="13" t="s">
        <v>1793</v>
      </c>
      <c r="E1873" s="13">
        <v>2</v>
      </c>
      <c r="F1873" s="13" t="s">
        <v>696</v>
      </c>
      <c r="G1873" s="13" t="s">
        <v>641</v>
      </c>
      <c r="H1873" s="13" t="s">
        <v>641</v>
      </c>
    </row>
    <row r="1874" spans="1:8">
      <c r="A1874" s="13" t="s">
        <v>3180</v>
      </c>
      <c r="B1874" s="13">
        <v>4736014</v>
      </c>
      <c r="C1874" s="13" t="s">
        <v>641</v>
      </c>
      <c r="D1874" s="13" t="s">
        <v>1794</v>
      </c>
      <c r="E1874" s="13">
        <v>2</v>
      </c>
      <c r="F1874" s="13" t="s">
        <v>696</v>
      </c>
      <c r="G1874" s="13" t="s">
        <v>641</v>
      </c>
      <c r="H1874" s="13" t="s">
        <v>641</v>
      </c>
    </row>
    <row r="1875" spans="1:8">
      <c r="A1875" s="13" t="s">
        <v>3180</v>
      </c>
      <c r="B1875" s="13">
        <v>4736015</v>
      </c>
      <c r="C1875" s="13" t="s">
        <v>641</v>
      </c>
      <c r="D1875" s="13" t="s">
        <v>1795</v>
      </c>
      <c r="E1875" s="13">
        <v>2</v>
      </c>
      <c r="F1875" s="13" t="s">
        <v>696</v>
      </c>
      <c r="G1875" s="13" t="s">
        <v>641</v>
      </c>
      <c r="H1875" s="13" t="s">
        <v>641</v>
      </c>
    </row>
    <row r="1876" spans="1:8">
      <c r="A1876" s="13" t="s">
        <v>3180</v>
      </c>
      <c r="B1876" s="13">
        <v>4736016</v>
      </c>
      <c r="C1876" s="13" t="s">
        <v>641</v>
      </c>
      <c r="D1876" s="13" t="s">
        <v>1796</v>
      </c>
      <c r="E1876" s="13">
        <v>2</v>
      </c>
      <c r="F1876" s="13" t="s">
        <v>696</v>
      </c>
      <c r="G1876" s="13" t="s">
        <v>641</v>
      </c>
      <c r="H1876" s="13" t="s">
        <v>641</v>
      </c>
    </row>
    <row r="1877" spans="1:8">
      <c r="A1877" s="13" t="s">
        <v>3180</v>
      </c>
      <c r="B1877" s="13">
        <v>4736017</v>
      </c>
      <c r="C1877" s="13" t="s">
        <v>641</v>
      </c>
      <c r="D1877" s="13" t="s">
        <v>1797</v>
      </c>
      <c r="E1877" s="13">
        <v>2</v>
      </c>
      <c r="F1877" s="13" t="s">
        <v>696</v>
      </c>
      <c r="G1877" s="13" t="s">
        <v>641</v>
      </c>
      <c r="H1877" s="13" t="s">
        <v>641</v>
      </c>
    </row>
    <row r="1878" spans="1:8">
      <c r="A1878" s="13" t="s">
        <v>3180</v>
      </c>
      <c r="B1878" s="13">
        <v>4736018</v>
      </c>
      <c r="C1878" s="13" t="s">
        <v>641</v>
      </c>
      <c r="D1878" s="13" t="s">
        <v>1798</v>
      </c>
      <c r="E1878" s="13">
        <v>2</v>
      </c>
      <c r="F1878" s="13" t="s">
        <v>696</v>
      </c>
      <c r="G1878" s="13" t="s">
        <v>641</v>
      </c>
      <c r="H1878" s="13" t="s">
        <v>641</v>
      </c>
    </row>
    <row r="1879" spans="1:8">
      <c r="A1879" s="13" t="s">
        <v>3180</v>
      </c>
      <c r="B1879" s="13">
        <v>4736020</v>
      </c>
      <c r="C1879" s="13" t="s">
        <v>641</v>
      </c>
      <c r="D1879" s="13" t="s">
        <v>3869</v>
      </c>
      <c r="E1879" s="13">
        <v>2</v>
      </c>
      <c r="F1879" s="13" t="s">
        <v>696</v>
      </c>
      <c r="G1879" s="13" t="s">
        <v>641</v>
      </c>
      <c r="H1879" s="13" t="s">
        <v>641</v>
      </c>
    </row>
    <row r="1880" spans="1:8">
      <c r="A1880" s="13" t="s">
        <v>3180</v>
      </c>
      <c r="B1880" s="13">
        <v>4736021</v>
      </c>
      <c r="C1880" s="13" t="s">
        <v>641</v>
      </c>
      <c r="D1880" s="13" t="s">
        <v>1799</v>
      </c>
      <c r="E1880" s="13">
        <v>2</v>
      </c>
      <c r="F1880" s="13" t="s">
        <v>696</v>
      </c>
      <c r="G1880" s="13" t="s">
        <v>641</v>
      </c>
      <c r="H1880" s="13" t="s">
        <v>641</v>
      </c>
    </row>
    <row r="1881" spans="1:8">
      <c r="A1881" s="13" t="s">
        <v>3180</v>
      </c>
      <c r="B1881" s="13">
        <v>4736022</v>
      </c>
      <c r="C1881" s="13" t="s">
        <v>641</v>
      </c>
      <c r="D1881" s="13" t="s">
        <v>1800</v>
      </c>
      <c r="E1881" s="13">
        <v>2</v>
      </c>
      <c r="F1881" s="13" t="s">
        <v>696</v>
      </c>
      <c r="G1881" s="13" t="s">
        <v>641</v>
      </c>
      <c r="H1881" s="13" t="s">
        <v>641</v>
      </c>
    </row>
    <row r="1882" spans="1:8">
      <c r="A1882" s="13" t="s">
        <v>3180</v>
      </c>
      <c r="B1882" s="13">
        <v>4736023</v>
      </c>
      <c r="C1882" s="13" t="s">
        <v>641</v>
      </c>
      <c r="D1882" s="13" t="s">
        <v>1801</v>
      </c>
      <c r="E1882" s="13">
        <v>2</v>
      </c>
      <c r="F1882" s="13" t="s">
        <v>696</v>
      </c>
      <c r="G1882" s="13" t="s">
        <v>641</v>
      </c>
      <c r="H1882" s="13" t="s">
        <v>641</v>
      </c>
    </row>
    <row r="1883" spans="1:8">
      <c r="A1883" s="13" t="s">
        <v>3180</v>
      </c>
      <c r="B1883" s="13">
        <v>4736024</v>
      </c>
      <c r="C1883" s="13" t="s">
        <v>641</v>
      </c>
      <c r="D1883" s="13" t="s">
        <v>1802</v>
      </c>
      <c r="E1883" s="13">
        <v>2</v>
      </c>
      <c r="F1883" s="13" t="s">
        <v>696</v>
      </c>
      <c r="G1883" s="13" t="s">
        <v>641</v>
      </c>
      <c r="H1883" s="13" t="s">
        <v>641</v>
      </c>
    </row>
    <row r="1884" spans="1:8">
      <c r="A1884" s="13" t="s">
        <v>3180</v>
      </c>
      <c r="B1884" s="13">
        <v>4736025</v>
      </c>
      <c r="C1884" s="13" t="s">
        <v>641</v>
      </c>
      <c r="D1884" s="13" t="s">
        <v>1803</v>
      </c>
      <c r="E1884" s="13">
        <v>2</v>
      </c>
      <c r="F1884" s="13" t="s">
        <v>696</v>
      </c>
      <c r="G1884" s="13" t="s">
        <v>641</v>
      </c>
      <c r="H1884" s="13" t="s">
        <v>641</v>
      </c>
    </row>
    <row r="1885" spans="1:8">
      <c r="A1885" s="13" t="s">
        <v>3180</v>
      </c>
      <c r="B1885" s="13">
        <v>4736254</v>
      </c>
      <c r="C1885" s="13" t="s">
        <v>641</v>
      </c>
      <c r="D1885" s="13" t="s">
        <v>1804</v>
      </c>
      <c r="E1885" s="13">
        <v>2</v>
      </c>
      <c r="F1885" s="13" t="s">
        <v>671</v>
      </c>
      <c r="G1885" s="13" t="s">
        <v>678</v>
      </c>
      <c r="H1885" s="13" t="s">
        <v>641</v>
      </c>
    </row>
    <row r="1886" spans="1:8">
      <c r="A1886" s="13" t="s">
        <v>3180</v>
      </c>
      <c r="B1886" s="13">
        <v>4740140</v>
      </c>
      <c r="C1886" s="13" t="s">
        <v>641</v>
      </c>
      <c r="D1886" s="13" t="s">
        <v>234</v>
      </c>
      <c r="E1886" s="13">
        <v>1</v>
      </c>
      <c r="F1886" s="13" t="s">
        <v>642</v>
      </c>
      <c r="G1886" s="13" t="s">
        <v>641</v>
      </c>
      <c r="H1886" s="13" t="s">
        <v>641</v>
      </c>
    </row>
    <row r="1887" spans="1:8">
      <c r="A1887" s="13" t="s">
        <v>3180</v>
      </c>
      <c r="B1887" s="13">
        <v>4740580</v>
      </c>
      <c r="C1887" s="13" t="s">
        <v>641</v>
      </c>
      <c r="D1887" s="13" t="s">
        <v>1805</v>
      </c>
      <c r="E1887" s="13">
        <v>1</v>
      </c>
      <c r="F1887" s="13" t="s">
        <v>649</v>
      </c>
      <c r="G1887" s="13" t="s">
        <v>641</v>
      </c>
      <c r="H1887" s="13" t="s">
        <v>641</v>
      </c>
    </row>
    <row r="1888" spans="1:8">
      <c r="A1888" s="13" t="s">
        <v>3180</v>
      </c>
      <c r="B1888" s="13">
        <v>4741265</v>
      </c>
      <c r="C1888" s="13" t="s">
        <v>641</v>
      </c>
      <c r="D1888" s="13" t="s">
        <v>1806</v>
      </c>
      <c r="E1888" s="13">
        <v>1</v>
      </c>
      <c r="F1888" s="13" t="s">
        <v>640</v>
      </c>
      <c r="G1888" s="13" t="s">
        <v>641</v>
      </c>
      <c r="H1888" s="13" t="s">
        <v>641</v>
      </c>
    </row>
    <row r="1889" spans="1:8">
      <c r="A1889" s="13" t="s">
        <v>3180</v>
      </c>
      <c r="B1889" s="13">
        <v>4743716</v>
      </c>
      <c r="C1889" s="13" t="s">
        <v>641</v>
      </c>
      <c r="D1889" s="13" t="s">
        <v>1808</v>
      </c>
      <c r="E1889" s="13">
        <v>1</v>
      </c>
      <c r="F1889" s="13" t="s">
        <v>642</v>
      </c>
      <c r="G1889" s="13" t="s">
        <v>641</v>
      </c>
      <c r="H1889" s="13" t="s">
        <v>641</v>
      </c>
    </row>
    <row r="1890" spans="1:8">
      <c r="A1890" s="13" t="s">
        <v>3180</v>
      </c>
      <c r="B1890" s="13">
        <v>4747434</v>
      </c>
      <c r="C1890" s="13" t="s">
        <v>641</v>
      </c>
      <c r="D1890" s="13" t="s">
        <v>3870</v>
      </c>
      <c r="E1890" s="13">
        <v>1</v>
      </c>
      <c r="F1890" s="13" t="s">
        <v>640</v>
      </c>
      <c r="G1890" s="13" t="s">
        <v>641</v>
      </c>
      <c r="H1890" s="13" t="s">
        <v>3298</v>
      </c>
    </row>
    <row r="1891" spans="1:8">
      <c r="A1891" s="13" t="s">
        <v>3180</v>
      </c>
      <c r="B1891" s="13">
        <v>4752855</v>
      </c>
      <c r="C1891" s="13" t="s">
        <v>641</v>
      </c>
      <c r="D1891" s="13" t="s">
        <v>1809</v>
      </c>
      <c r="E1891" s="13">
        <v>2</v>
      </c>
      <c r="F1891" s="13" t="s">
        <v>654</v>
      </c>
      <c r="G1891" s="13" t="s">
        <v>641</v>
      </c>
      <c r="H1891" s="13" t="s">
        <v>641</v>
      </c>
    </row>
    <row r="1892" spans="1:8">
      <c r="A1892" s="13" t="s">
        <v>3180</v>
      </c>
      <c r="B1892" s="13">
        <v>4759016</v>
      </c>
      <c r="C1892" s="13" t="s">
        <v>641</v>
      </c>
      <c r="D1892" s="13" t="s">
        <v>3871</v>
      </c>
      <c r="E1892" s="13">
        <v>1</v>
      </c>
      <c r="F1892" s="13" t="s">
        <v>640</v>
      </c>
      <c r="G1892" s="13" t="s">
        <v>641</v>
      </c>
      <c r="H1892" s="13" t="s">
        <v>641</v>
      </c>
    </row>
    <row r="1893" spans="1:8">
      <c r="A1893" s="13" t="s">
        <v>3180</v>
      </c>
      <c r="B1893" s="13">
        <v>4762230</v>
      </c>
      <c r="C1893" s="13" t="s">
        <v>641</v>
      </c>
      <c r="D1893" s="13" t="s">
        <v>1812</v>
      </c>
      <c r="E1893" s="13">
        <v>1</v>
      </c>
      <c r="F1893" s="13" t="s">
        <v>640</v>
      </c>
      <c r="G1893" s="13" t="s">
        <v>641</v>
      </c>
      <c r="H1893" s="13" t="s">
        <v>641</v>
      </c>
    </row>
    <row r="1894" spans="1:8">
      <c r="A1894" s="13" t="s">
        <v>3180</v>
      </c>
      <c r="B1894" s="13">
        <v>4764057</v>
      </c>
      <c r="C1894" s="13" t="s">
        <v>641</v>
      </c>
      <c r="D1894" s="13" t="s">
        <v>3872</v>
      </c>
      <c r="E1894" s="13">
        <v>1</v>
      </c>
      <c r="F1894" s="13" t="s">
        <v>640</v>
      </c>
      <c r="G1894" s="13" t="s">
        <v>3186</v>
      </c>
      <c r="H1894" s="13" t="s">
        <v>641</v>
      </c>
    </row>
    <row r="1895" spans="1:8">
      <c r="A1895" s="13" t="s">
        <v>3180</v>
      </c>
      <c r="B1895" s="13">
        <v>4766730</v>
      </c>
      <c r="C1895" s="13" t="s">
        <v>641</v>
      </c>
      <c r="D1895" s="13" t="s">
        <v>3873</v>
      </c>
      <c r="E1895" s="13">
        <v>2</v>
      </c>
      <c r="F1895" s="13" t="s">
        <v>671</v>
      </c>
      <c r="G1895" s="13" t="s">
        <v>677</v>
      </c>
      <c r="H1895" s="13" t="s">
        <v>641</v>
      </c>
    </row>
    <row r="1896" spans="1:8">
      <c r="A1896" s="13" t="s">
        <v>3180</v>
      </c>
      <c r="B1896" s="13">
        <v>4768284</v>
      </c>
      <c r="C1896" s="13" t="s">
        <v>641</v>
      </c>
      <c r="D1896" s="13" t="s">
        <v>1814</v>
      </c>
      <c r="E1896" s="13">
        <v>1</v>
      </c>
      <c r="F1896" s="13" t="s">
        <v>646</v>
      </c>
      <c r="G1896" s="13" t="s">
        <v>641</v>
      </c>
      <c r="H1896" s="13" t="s">
        <v>641</v>
      </c>
    </row>
    <row r="1897" spans="1:8">
      <c r="A1897" s="13" t="s">
        <v>3180</v>
      </c>
      <c r="B1897" s="13">
        <v>8000018</v>
      </c>
      <c r="C1897" s="13" t="s">
        <v>641</v>
      </c>
      <c r="D1897" s="13" t="s">
        <v>3874</v>
      </c>
      <c r="E1897" s="13">
        <v>2</v>
      </c>
      <c r="F1897" s="13" t="s">
        <v>671</v>
      </c>
      <c r="G1897" s="13" t="s">
        <v>678</v>
      </c>
      <c r="H1897" s="13" t="s">
        <v>3187</v>
      </c>
    </row>
    <row r="1898" spans="1:8">
      <c r="A1898" s="13" t="s">
        <v>3180</v>
      </c>
      <c r="B1898" s="13">
        <v>8000030</v>
      </c>
      <c r="C1898" s="13" t="s">
        <v>641</v>
      </c>
      <c r="D1898" s="13" t="s">
        <v>3875</v>
      </c>
      <c r="E1898" s="13">
        <v>2</v>
      </c>
      <c r="F1898" s="13" t="s">
        <v>671</v>
      </c>
      <c r="G1898" s="13" t="s">
        <v>672</v>
      </c>
      <c r="H1898" s="13" t="s">
        <v>3187</v>
      </c>
    </row>
    <row r="1899" spans="1:8">
      <c r="A1899" s="13" t="s">
        <v>3180</v>
      </c>
      <c r="B1899" s="13">
        <v>8000031</v>
      </c>
      <c r="C1899" s="13" t="s">
        <v>641</v>
      </c>
      <c r="D1899" s="13" t="s">
        <v>3876</v>
      </c>
      <c r="E1899" s="13">
        <v>2</v>
      </c>
      <c r="F1899" s="13" t="s">
        <v>671</v>
      </c>
      <c r="G1899" s="13" t="s">
        <v>672</v>
      </c>
      <c r="H1899" s="13" t="s">
        <v>3187</v>
      </c>
    </row>
    <row r="1900" spans="1:8">
      <c r="A1900" s="13" t="s">
        <v>3180</v>
      </c>
      <c r="B1900" s="13">
        <v>8000035</v>
      </c>
      <c r="C1900" s="13" t="s">
        <v>641</v>
      </c>
      <c r="D1900" s="13" t="s">
        <v>1819</v>
      </c>
      <c r="E1900" s="13">
        <v>2</v>
      </c>
      <c r="F1900" s="13" t="s">
        <v>671</v>
      </c>
      <c r="G1900" s="13" t="s">
        <v>677</v>
      </c>
      <c r="H1900" s="13" t="s">
        <v>3187</v>
      </c>
    </row>
    <row r="1901" spans="1:8">
      <c r="A1901" s="13" t="s">
        <v>3180</v>
      </c>
      <c r="B1901" s="13">
        <v>8000036</v>
      </c>
      <c r="C1901" s="13" t="s">
        <v>641</v>
      </c>
      <c r="D1901" s="13" t="s">
        <v>3877</v>
      </c>
      <c r="E1901" s="13">
        <v>2</v>
      </c>
      <c r="F1901" s="13" t="s">
        <v>671</v>
      </c>
      <c r="G1901" s="13" t="s">
        <v>677</v>
      </c>
      <c r="H1901" s="13" t="s">
        <v>641</v>
      </c>
    </row>
    <row r="1902" spans="1:8">
      <c r="A1902" s="13" t="s">
        <v>3180</v>
      </c>
      <c r="B1902" s="13">
        <v>8000053</v>
      </c>
      <c r="C1902" s="13" t="s">
        <v>641</v>
      </c>
      <c r="D1902" s="13" t="s">
        <v>3878</v>
      </c>
      <c r="E1902" s="13">
        <v>2</v>
      </c>
      <c r="F1902" s="13" t="s">
        <v>671</v>
      </c>
      <c r="G1902" s="13" t="s">
        <v>677</v>
      </c>
      <c r="H1902" s="13" t="s">
        <v>641</v>
      </c>
    </row>
    <row r="1903" spans="1:8">
      <c r="A1903" s="13" t="s">
        <v>3180</v>
      </c>
      <c r="B1903" s="13">
        <v>8000060</v>
      </c>
      <c r="C1903" s="13" t="s">
        <v>641</v>
      </c>
      <c r="D1903" s="13" t="s">
        <v>3879</v>
      </c>
      <c r="E1903" s="13">
        <v>2</v>
      </c>
      <c r="F1903" s="13" t="s">
        <v>671</v>
      </c>
      <c r="G1903" s="13" t="s">
        <v>677</v>
      </c>
      <c r="H1903" s="13" t="s">
        <v>3187</v>
      </c>
    </row>
    <row r="1904" spans="1:8">
      <c r="A1904" s="13" t="s">
        <v>3180</v>
      </c>
      <c r="B1904" s="13">
        <v>8000067</v>
      </c>
      <c r="C1904" s="13" t="s">
        <v>641</v>
      </c>
      <c r="D1904" s="13" t="s">
        <v>3880</v>
      </c>
      <c r="E1904" s="13">
        <v>2</v>
      </c>
      <c r="F1904" s="13" t="s">
        <v>671</v>
      </c>
      <c r="G1904" s="13" t="s">
        <v>677</v>
      </c>
      <c r="H1904" s="13" t="s">
        <v>641</v>
      </c>
    </row>
    <row r="1905" spans="1:8">
      <c r="A1905" s="13" t="s">
        <v>3180</v>
      </c>
      <c r="B1905" s="13">
        <v>8000086</v>
      </c>
      <c r="C1905" s="13" t="s">
        <v>641</v>
      </c>
      <c r="D1905" s="13" t="s">
        <v>1821</v>
      </c>
      <c r="E1905" s="13">
        <v>2</v>
      </c>
      <c r="F1905" s="13" t="s">
        <v>671</v>
      </c>
      <c r="G1905" s="13" t="s">
        <v>677</v>
      </c>
      <c r="H1905" s="13" t="s">
        <v>641</v>
      </c>
    </row>
    <row r="1906" spans="1:8">
      <c r="A1906" s="13" t="s">
        <v>3180</v>
      </c>
      <c r="B1906" s="13">
        <v>8000093</v>
      </c>
      <c r="C1906" s="13" t="s">
        <v>641</v>
      </c>
      <c r="D1906" s="13" t="s">
        <v>3881</v>
      </c>
      <c r="E1906" s="13">
        <v>2</v>
      </c>
      <c r="F1906" s="13" t="s">
        <v>671</v>
      </c>
      <c r="G1906" s="13" t="s">
        <v>678</v>
      </c>
      <c r="H1906" s="13" t="s">
        <v>641</v>
      </c>
    </row>
    <row r="1907" spans="1:8">
      <c r="A1907" s="13" t="s">
        <v>3180</v>
      </c>
      <c r="B1907" s="13">
        <v>8000101</v>
      </c>
      <c r="C1907" s="13" t="s">
        <v>641</v>
      </c>
      <c r="D1907" s="13" t="s">
        <v>3882</v>
      </c>
      <c r="E1907" s="13">
        <v>2</v>
      </c>
      <c r="F1907" s="13" t="s">
        <v>671</v>
      </c>
      <c r="G1907" s="13" t="s">
        <v>678</v>
      </c>
      <c r="H1907" s="13" t="s">
        <v>641</v>
      </c>
    </row>
    <row r="1908" spans="1:8">
      <c r="A1908" s="13" t="s">
        <v>3180</v>
      </c>
      <c r="B1908" s="13">
        <v>8000102</v>
      </c>
      <c r="C1908" s="13" t="s">
        <v>641</v>
      </c>
      <c r="D1908" s="13" t="s">
        <v>3883</v>
      </c>
      <c r="E1908" s="13">
        <v>2</v>
      </c>
      <c r="F1908" s="13" t="s">
        <v>671</v>
      </c>
      <c r="G1908" s="13" t="s">
        <v>678</v>
      </c>
      <c r="H1908" s="13" t="s">
        <v>641</v>
      </c>
    </row>
    <row r="1909" spans="1:8">
      <c r="A1909" s="13" t="s">
        <v>3180</v>
      </c>
      <c r="B1909" s="13">
        <v>8000105</v>
      </c>
      <c r="C1909" s="13" t="s">
        <v>641</v>
      </c>
      <c r="D1909" s="13" t="s">
        <v>3884</v>
      </c>
      <c r="E1909" s="13">
        <v>2</v>
      </c>
      <c r="F1909" s="13" t="s">
        <v>671</v>
      </c>
      <c r="G1909" s="13" t="s">
        <v>678</v>
      </c>
      <c r="H1909" s="13" t="s">
        <v>3187</v>
      </c>
    </row>
    <row r="1910" spans="1:8">
      <c r="A1910" s="13" t="s">
        <v>3180</v>
      </c>
      <c r="B1910" s="13">
        <v>8000125</v>
      </c>
      <c r="C1910" s="13" t="s">
        <v>641</v>
      </c>
      <c r="D1910" s="13" t="s">
        <v>3885</v>
      </c>
      <c r="E1910" s="13">
        <v>2</v>
      </c>
      <c r="F1910" s="13" t="s">
        <v>671</v>
      </c>
      <c r="G1910" s="13" t="s">
        <v>677</v>
      </c>
      <c r="H1910" s="13" t="s">
        <v>641</v>
      </c>
    </row>
    <row r="1911" spans="1:8">
      <c r="A1911" s="13" t="s">
        <v>3180</v>
      </c>
      <c r="B1911" s="13">
        <v>8000134</v>
      </c>
      <c r="C1911" s="13" t="s">
        <v>641</v>
      </c>
      <c r="D1911" s="13" t="s">
        <v>1823</v>
      </c>
      <c r="E1911" s="13">
        <v>2</v>
      </c>
      <c r="F1911" s="13" t="s">
        <v>671</v>
      </c>
      <c r="G1911" s="13" t="s">
        <v>678</v>
      </c>
      <c r="H1911" s="13" t="s">
        <v>641</v>
      </c>
    </row>
    <row r="1912" spans="1:8">
      <c r="A1912" s="13" t="s">
        <v>3180</v>
      </c>
      <c r="B1912" s="13">
        <v>8000138</v>
      </c>
      <c r="C1912" s="13" t="s">
        <v>641</v>
      </c>
      <c r="D1912" s="13" t="s">
        <v>3886</v>
      </c>
      <c r="E1912" s="13">
        <v>2</v>
      </c>
      <c r="F1912" s="13" t="s">
        <v>671</v>
      </c>
      <c r="G1912" s="13" t="s">
        <v>677</v>
      </c>
      <c r="H1912" s="13" t="s">
        <v>641</v>
      </c>
    </row>
    <row r="1913" spans="1:8">
      <c r="A1913" s="13" t="s">
        <v>3180</v>
      </c>
      <c r="B1913" s="13">
        <v>8000139</v>
      </c>
      <c r="C1913" s="13" t="s">
        <v>641</v>
      </c>
      <c r="D1913" s="13" t="s">
        <v>1824</v>
      </c>
      <c r="E1913" s="13">
        <v>2</v>
      </c>
      <c r="F1913" s="13" t="s">
        <v>671</v>
      </c>
      <c r="G1913" s="13" t="s">
        <v>677</v>
      </c>
      <c r="H1913" s="13" t="s">
        <v>641</v>
      </c>
    </row>
    <row r="1914" spans="1:8">
      <c r="A1914" s="13" t="s">
        <v>3180</v>
      </c>
      <c r="B1914" s="13">
        <v>8000140</v>
      </c>
      <c r="C1914" s="13" t="s">
        <v>641</v>
      </c>
      <c r="D1914" s="13" t="s">
        <v>1825</v>
      </c>
      <c r="E1914" s="13">
        <v>2</v>
      </c>
      <c r="F1914" s="13" t="s">
        <v>671</v>
      </c>
      <c r="G1914" s="13" t="s">
        <v>677</v>
      </c>
      <c r="H1914" s="13" t="s">
        <v>641</v>
      </c>
    </row>
    <row r="1915" spans="1:8">
      <c r="A1915" s="13" t="s">
        <v>3180</v>
      </c>
      <c r="B1915" s="13">
        <v>8000145</v>
      </c>
      <c r="C1915" s="13" t="s">
        <v>641</v>
      </c>
      <c r="D1915" s="13" t="s">
        <v>3887</v>
      </c>
      <c r="E1915" s="13">
        <v>2</v>
      </c>
      <c r="F1915" s="13" t="s">
        <v>671</v>
      </c>
      <c r="G1915" s="13" t="s">
        <v>678</v>
      </c>
      <c r="H1915" s="13" t="s">
        <v>641</v>
      </c>
    </row>
    <row r="1916" spans="1:8">
      <c r="A1916" s="13" t="s">
        <v>3180</v>
      </c>
      <c r="B1916" s="13">
        <v>8000149</v>
      </c>
      <c r="C1916" s="13" t="s">
        <v>641</v>
      </c>
      <c r="D1916" s="13" t="s">
        <v>1826</v>
      </c>
      <c r="E1916" s="13">
        <v>2</v>
      </c>
      <c r="F1916" s="13" t="s">
        <v>671</v>
      </c>
      <c r="G1916" s="13" t="s">
        <v>678</v>
      </c>
      <c r="H1916" s="13" t="s">
        <v>3187</v>
      </c>
    </row>
    <row r="1917" spans="1:8">
      <c r="A1917" s="13" t="s">
        <v>3180</v>
      </c>
      <c r="B1917" s="13">
        <v>8000152</v>
      </c>
      <c r="C1917" s="13" t="s">
        <v>641</v>
      </c>
      <c r="D1917" s="13" t="s">
        <v>1827</v>
      </c>
      <c r="E1917" s="13">
        <v>2</v>
      </c>
      <c r="F1917" s="13" t="s">
        <v>671</v>
      </c>
      <c r="G1917" s="13" t="s">
        <v>677</v>
      </c>
      <c r="H1917" s="13" t="s">
        <v>641</v>
      </c>
    </row>
    <row r="1918" spans="1:8">
      <c r="A1918" s="13" t="s">
        <v>3180</v>
      </c>
      <c r="B1918" s="13">
        <v>8000808</v>
      </c>
      <c r="C1918" s="13" t="s">
        <v>641</v>
      </c>
      <c r="D1918" s="13" t="s">
        <v>1828</v>
      </c>
      <c r="E1918" s="13">
        <v>2</v>
      </c>
      <c r="F1918" s="13" t="s">
        <v>671</v>
      </c>
      <c r="G1918" s="13" t="s">
        <v>677</v>
      </c>
      <c r="H1918" s="13" t="s">
        <v>641</v>
      </c>
    </row>
    <row r="1919" spans="1:8">
      <c r="A1919" s="13" t="s">
        <v>3180</v>
      </c>
      <c r="B1919" s="13">
        <v>8001295</v>
      </c>
      <c r="C1919" s="13" t="s">
        <v>641</v>
      </c>
      <c r="D1919" s="13" t="s">
        <v>3888</v>
      </c>
      <c r="E1919" s="13">
        <v>2</v>
      </c>
      <c r="F1919" s="13" t="s">
        <v>671</v>
      </c>
      <c r="G1919" s="13" t="s">
        <v>678</v>
      </c>
      <c r="H1919" s="13" t="s">
        <v>641</v>
      </c>
    </row>
    <row r="1920" spans="1:8">
      <c r="A1920" s="13" t="s">
        <v>3180</v>
      </c>
      <c r="B1920" s="13">
        <v>8001296</v>
      </c>
      <c r="C1920" s="13" t="s">
        <v>641</v>
      </c>
      <c r="D1920" s="13" t="s">
        <v>1830</v>
      </c>
      <c r="E1920" s="13">
        <v>2</v>
      </c>
      <c r="F1920" s="13" t="s">
        <v>671</v>
      </c>
      <c r="G1920" s="13" t="s">
        <v>678</v>
      </c>
      <c r="H1920" s="13" t="s">
        <v>641</v>
      </c>
    </row>
    <row r="1921" spans="1:8">
      <c r="A1921" s="13" t="s">
        <v>3180</v>
      </c>
      <c r="B1921" s="13">
        <v>8001314</v>
      </c>
      <c r="C1921" s="13" t="s">
        <v>641</v>
      </c>
      <c r="D1921" s="13" t="s">
        <v>1833</v>
      </c>
      <c r="E1921" s="13">
        <v>2</v>
      </c>
      <c r="F1921" s="13" t="s">
        <v>671</v>
      </c>
      <c r="G1921" s="13" t="s">
        <v>677</v>
      </c>
      <c r="H1921" s="13" t="s">
        <v>641</v>
      </c>
    </row>
    <row r="1922" spans="1:8">
      <c r="A1922" s="13" t="s">
        <v>3180</v>
      </c>
      <c r="B1922" s="13">
        <v>8001315</v>
      </c>
      <c r="C1922" s="13" t="s">
        <v>641</v>
      </c>
      <c r="D1922" s="13" t="s">
        <v>3889</v>
      </c>
      <c r="E1922" s="13">
        <v>2</v>
      </c>
      <c r="F1922" s="13" t="s">
        <v>671</v>
      </c>
      <c r="G1922" s="13" t="s">
        <v>677</v>
      </c>
      <c r="H1922" s="13" t="s">
        <v>641</v>
      </c>
    </row>
    <row r="1923" spans="1:8">
      <c r="A1923" s="13" t="s">
        <v>3180</v>
      </c>
      <c r="B1923" s="13">
        <v>8001319</v>
      </c>
      <c r="C1923" s="13" t="s">
        <v>641</v>
      </c>
      <c r="D1923" s="13" t="s">
        <v>1834</v>
      </c>
      <c r="E1923" s="13">
        <v>2</v>
      </c>
      <c r="F1923" s="13" t="s">
        <v>671</v>
      </c>
      <c r="G1923" s="13" t="s">
        <v>677</v>
      </c>
      <c r="H1923" s="13" t="s">
        <v>641</v>
      </c>
    </row>
    <row r="1924" spans="1:8">
      <c r="A1924" s="13" t="s">
        <v>3180</v>
      </c>
      <c r="B1924" s="13">
        <v>8001601</v>
      </c>
      <c r="C1924" s="13" t="s">
        <v>641</v>
      </c>
      <c r="D1924" s="13" t="s">
        <v>1836</v>
      </c>
      <c r="E1924" s="13">
        <v>2</v>
      </c>
      <c r="F1924" s="13" t="s">
        <v>671</v>
      </c>
      <c r="G1924" s="13" t="s">
        <v>678</v>
      </c>
      <c r="H1924" s="13" t="s">
        <v>641</v>
      </c>
    </row>
    <row r="1925" spans="1:8">
      <c r="A1925" s="13" t="s">
        <v>3180</v>
      </c>
      <c r="B1925" s="13">
        <v>8001636</v>
      </c>
      <c r="C1925" s="13" t="s">
        <v>641</v>
      </c>
      <c r="D1925" s="13" t="s">
        <v>3890</v>
      </c>
      <c r="E1925" s="13">
        <v>2</v>
      </c>
      <c r="F1925" s="13" t="s">
        <v>671</v>
      </c>
      <c r="G1925" s="13" t="s">
        <v>678</v>
      </c>
      <c r="H1925" s="13" t="s">
        <v>641</v>
      </c>
    </row>
    <row r="1926" spans="1:8">
      <c r="A1926" s="13" t="s">
        <v>3180</v>
      </c>
      <c r="B1926" s="13">
        <v>8001653</v>
      </c>
      <c r="C1926" s="13" t="s">
        <v>641</v>
      </c>
      <c r="D1926" s="13" t="s">
        <v>1837</v>
      </c>
      <c r="E1926" s="13">
        <v>2</v>
      </c>
      <c r="F1926" s="13" t="s">
        <v>671</v>
      </c>
      <c r="G1926" s="13" t="s">
        <v>678</v>
      </c>
      <c r="H1926" s="13" t="s">
        <v>641</v>
      </c>
    </row>
    <row r="1927" spans="1:8">
      <c r="A1927" s="13" t="s">
        <v>3180</v>
      </c>
      <c r="B1927" s="13">
        <v>8001711</v>
      </c>
      <c r="C1927" s="13" t="s">
        <v>641</v>
      </c>
      <c r="D1927" s="13" t="s">
        <v>3891</v>
      </c>
      <c r="E1927" s="13">
        <v>2</v>
      </c>
      <c r="F1927" s="13" t="s">
        <v>671</v>
      </c>
      <c r="G1927" s="13" t="s">
        <v>678</v>
      </c>
      <c r="H1927" s="13" t="s">
        <v>641</v>
      </c>
    </row>
    <row r="1928" spans="1:8">
      <c r="A1928" s="13" t="s">
        <v>3180</v>
      </c>
      <c r="B1928" s="13">
        <v>8001713</v>
      </c>
      <c r="C1928" s="13" t="s">
        <v>641</v>
      </c>
      <c r="D1928" s="13" t="s">
        <v>3892</v>
      </c>
      <c r="E1928" s="13">
        <v>2</v>
      </c>
      <c r="F1928" s="13" t="s">
        <v>671</v>
      </c>
      <c r="G1928" s="13" t="s">
        <v>678</v>
      </c>
      <c r="H1928" s="13" t="s">
        <v>641</v>
      </c>
    </row>
    <row r="1929" spans="1:8">
      <c r="A1929" s="13" t="s">
        <v>3180</v>
      </c>
      <c r="B1929" s="13">
        <v>8001735</v>
      </c>
      <c r="C1929" s="13" t="s">
        <v>641</v>
      </c>
      <c r="D1929" s="13" t="s">
        <v>3893</v>
      </c>
      <c r="E1929" s="13">
        <v>2</v>
      </c>
      <c r="F1929" s="13" t="s">
        <v>671</v>
      </c>
      <c r="G1929" s="13" t="s">
        <v>678</v>
      </c>
      <c r="H1929" s="13" t="s">
        <v>641</v>
      </c>
    </row>
    <row r="1930" spans="1:8">
      <c r="A1930" s="13" t="s">
        <v>3180</v>
      </c>
      <c r="B1930" s="13">
        <v>8001746</v>
      </c>
      <c r="C1930" s="13" t="s">
        <v>641</v>
      </c>
      <c r="D1930" s="13" t="s">
        <v>1838</v>
      </c>
      <c r="E1930" s="13">
        <v>2</v>
      </c>
      <c r="F1930" s="13" t="s">
        <v>671</v>
      </c>
      <c r="G1930" s="13" t="s">
        <v>678</v>
      </c>
      <c r="H1930" s="13" t="s">
        <v>641</v>
      </c>
    </row>
    <row r="1931" spans="1:8">
      <c r="A1931" s="13" t="s">
        <v>3180</v>
      </c>
      <c r="B1931" s="13">
        <v>8002381</v>
      </c>
      <c r="C1931" s="13" t="s">
        <v>641</v>
      </c>
      <c r="D1931" s="13" t="s">
        <v>3894</v>
      </c>
      <c r="E1931" s="13">
        <v>2</v>
      </c>
      <c r="F1931" s="13" t="s">
        <v>671</v>
      </c>
      <c r="G1931" s="13" t="s">
        <v>678</v>
      </c>
      <c r="H1931" s="13" t="s">
        <v>641</v>
      </c>
    </row>
    <row r="1932" spans="1:8">
      <c r="A1932" s="13" t="s">
        <v>3180</v>
      </c>
      <c r="B1932" s="13">
        <v>8003017</v>
      </c>
      <c r="C1932" s="13" t="s">
        <v>641</v>
      </c>
      <c r="D1932" s="13" t="s">
        <v>1842</v>
      </c>
      <c r="E1932" s="13">
        <v>2</v>
      </c>
      <c r="F1932" s="13" t="s">
        <v>671</v>
      </c>
      <c r="G1932" s="13" t="s">
        <v>678</v>
      </c>
      <c r="H1932" s="13" t="s">
        <v>641</v>
      </c>
    </row>
    <row r="1933" spans="1:8">
      <c r="A1933" s="13" t="s">
        <v>3180</v>
      </c>
      <c r="B1933" s="13">
        <v>8003019</v>
      </c>
      <c r="C1933" s="13" t="s">
        <v>641</v>
      </c>
      <c r="D1933" s="13" t="s">
        <v>1843</v>
      </c>
      <c r="E1933" s="13">
        <v>2</v>
      </c>
      <c r="F1933" s="13" t="s">
        <v>671</v>
      </c>
      <c r="G1933" s="13" t="s">
        <v>678</v>
      </c>
      <c r="H1933" s="13" t="s">
        <v>641</v>
      </c>
    </row>
    <row r="1934" spans="1:8">
      <c r="A1934" s="13" t="s">
        <v>3180</v>
      </c>
      <c r="B1934" s="13">
        <v>8003068</v>
      </c>
      <c r="C1934" s="13" t="s">
        <v>641</v>
      </c>
      <c r="D1934" s="13" t="s">
        <v>1844</v>
      </c>
      <c r="E1934" s="13">
        <v>2</v>
      </c>
      <c r="F1934" s="13" t="s">
        <v>671</v>
      </c>
      <c r="G1934" s="13" t="s">
        <v>678</v>
      </c>
      <c r="H1934" s="13" t="s">
        <v>641</v>
      </c>
    </row>
    <row r="1935" spans="1:8">
      <c r="A1935" s="13" t="s">
        <v>3180</v>
      </c>
      <c r="B1935" s="13">
        <v>8003094</v>
      </c>
      <c r="C1935" s="13" t="s">
        <v>641</v>
      </c>
      <c r="D1935" s="13" t="s">
        <v>3895</v>
      </c>
      <c r="E1935" s="13">
        <v>2</v>
      </c>
      <c r="F1935" s="13" t="s">
        <v>671</v>
      </c>
      <c r="G1935" s="13" t="s">
        <v>678</v>
      </c>
      <c r="H1935" s="13" t="s">
        <v>641</v>
      </c>
    </row>
    <row r="1936" spans="1:8">
      <c r="A1936" s="13" t="s">
        <v>3180</v>
      </c>
      <c r="B1936" s="13">
        <v>8003109</v>
      </c>
      <c r="C1936" s="13" t="s">
        <v>641</v>
      </c>
      <c r="D1936" s="13" t="s">
        <v>3896</v>
      </c>
      <c r="E1936" s="13">
        <v>2</v>
      </c>
      <c r="F1936" s="13" t="s">
        <v>671</v>
      </c>
      <c r="G1936" s="13" t="s">
        <v>678</v>
      </c>
      <c r="H1936" s="13" t="s">
        <v>641</v>
      </c>
    </row>
    <row r="1937" spans="1:8">
      <c r="A1937" s="13" t="s">
        <v>3180</v>
      </c>
      <c r="B1937" s="13">
        <v>8003110</v>
      </c>
      <c r="C1937" s="13" t="s">
        <v>641</v>
      </c>
      <c r="D1937" s="13" t="s">
        <v>3897</v>
      </c>
      <c r="E1937" s="13">
        <v>2</v>
      </c>
      <c r="F1937" s="13" t="s">
        <v>671</v>
      </c>
      <c r="G1937" s="13" t="s">
        <v>678</v>
      </c>
      <c r="H1937" s="13" t="s">
        <v>641</v>
      </c>
    </row>
    <row r="1938" spans="1:8">
      <c r="A1938" s="13" t="s">
        <v>3180</v>
      </c>
      <c r="B1938" s="13">
        <v>8003112</v>
      </c>
      <c r="C1938" s="13" t="s">
        <v>641</v>
      </c>
      <c r="D1938" s="13" t="s">
        <v>3898</v>
      </c>
      <c r="E1938" s="13">
        <v>2</v>
      </c>
      <c r="F1938" s="13" t="s">
        <v>671</v>
      </c>
      <c r="G1938" s="13" t="s">
        <v>678</v>
      </c>
      <c r="H1938" s="13" t="s">
        <v>641</v>
      </c>
    </row>
    <row r="1939" spans="1:8">
      <c r="A1939" s="13" t="s">
        <v>3180</v>
      </c>
      <c r="B1939" s="13">
        <v>8003113</v>
      </c>
      <c r="C1939" s="13" t="s">
        <v>641</v>
      </c>
      <c r="D1939" s="13" t="s">
        <v>3899</v>
      </c>
      <c r="E1939" s="13">
        <v>2</v>
      </c>
      <c r="F1939" s="13" t="s">
        <v>671</v>
      </c>
      <c r="G1939" s="13" t="s">
        <v>678</v>
      </c>
      <c r="H1939" s="13" t="s">
        <v>641</v>
      </c>
    </row>
    <row r="1940" spans="1:8">
      <c r="A1940" s="13" t="s">
        <v>3180</v>
      </c>
      <c r="B1940" s="13">
        <v>8003114</v>
      </c>
      <c r="C1940" s="13" t="s">
        <v>641</v>
      </c>
      <c r="D1940" s="13" t="s">
        <v>3900</v>
      </c>
      <c r="E1940" s="13">
        <v>2</v>
      </c>
      <c r="F1940" s="13" t="s">
        <v>671</v>
      </c>
      <c r="G1940" s="13" t="s">
        <v>678</v>
      </c>
      <c r="H1940" s="13" t="s">
        <v>641</v>
      </c>
    </row>
    <row r="1941" spans="1:8">
      <c r="A1941" s="13" t="s">
        <v>3180</v>
      </c>
      <c r="B1941" s="13">
        <v>8003116</v>
      </c>
      <c r="C1941" s="13" t="s">
        <v>641</v>
      </c>
      <c r="D1941" s="13" t="s">
        <v>3901</v>
      </c>
      <c r="E1941" s="13">
        <v>2</v>
      </c>
      <c r="F1941" s="13" t="s">
        <v>671</v>
      </c>
      <c r="G1941" s="13" t="s">
        <v>678</v>
      </c>
      <c r="H1941" s="13" t="s">
        <v>641</v>
      </c>
    </row>
    <row r="1942" spans="1:8">
      <c r="A1942" s="13" t="s">
        <v>3180</v>
      </c>
      <c r="B1942" s="13">
        <v>8003117</v>
      </c>
      <c r="C1942" s="13" t="s">
        <v>641</v>
      </c>
      <c r="D1942" s="13" t="s">
        <v>3902</v>
      </c>
      <c r="E1942" s="13">
        <v>2</v>
      </c>
      <c r="F1942" s="13" t="s">
        <v>671</v>
      </c>
      <c r="G1942" s="13" t="s">
        <v>678</v>
      </c>
      <c r="H1942" s="13" t="s">
        <v>641</v>
      </c>
    </row>
    <row r="1943" spans="1:8">
      <c r="A1943" s="13" t="s">
        <v>3180</v>
      </c>
      <c r="B1943" s="13">
        <v>8003118</v>
      </c>
      <c r="C1943" s="13" t="s">
        <v>641</v>
      </c>
      <c r="D1943" s="13" t="s">
        <v>3903</v>
      </c>
      <c r="E1943" s="13">
        <v>2</v>
      </c>
      <c r="F1943" s="13" t="s">
        <v>671</v>
      </c>
      <c r="G1943" s="13" t="s">
        <v>678</v>
      </c>
      <c r="H1943" s="13" t="s">
        <v>641</v>
      </c>
    </row>
    <row r="1944" spans="1:8">
      <c r="A1944" s="13" t="s">
        <v>3180</v>
      </c>
      <c r="B1944" s="13">
        <v>8003119</v>
      </c>
      <c r="C1944" s="13" t="s">
        <v>641</v>
      </c>
      <c r="D1944" s="13" t="s">
        <v>3904</v>
      </c>
      <c r="E1944" s="13">
        <v>2</v>
      </c>
      <c r="F1944" s="13" t="s">
        <v>671</v>
      </c>
      <c r="G1944" s="13" t="s">
        <v>678</v>
      </c>
      <c r="H1944" s="13" t="s">
        <v>641</v>
      </c>
    </row>
    <row r="1945" spans="1:8">
      <c r="A1945" s="13" t="s">
        <v>3180</v>
      </c>
      <c r="B1945" s="13">
        <v>8003121</v>
      </c>
      <c r="C1945" s="13" t="s">
        <v>641</v>
      </c>
      <c r="D1945" s="13" t="s">
        <v>3905</v>
      </c>
      <c r="E1945" s="13">
        <v>2</v>
      </c>
      <c r="F1945" s="13" t="s">
        <v>671</v>
      </c>
      <c r="G1945" s="13" t="s">
        <v>678</v>
      </c>
      <c r="H1945" s="13" t="s">
        <v>641</v>
      </c>
    </row>
    <row r="1946" spans="1:8">
      <c r="A1946" s="13" t="s">
        <v>3180</v>
      </c>
      <c r="B1946" s="13">
        <v>8003122</v>
      </c>
      <c r="C1946" s="13" t="s">
        <v>641</v>
      </c>
      <c r="D1946" s="13" t="s">
        <v>3906</v>
      </c>
      <c r="E1946" s="13">
        <v>2</v>
      </c>
      <c r="F1946" s="13" t="s">
        <v>671</v>
      </c>
      <c r="G1946" s="13" t="s">
        <v>678</v>
      </c>
      <c r="H1946" s="13" t="s">
        <v>641</v>
      </c>
    </row>
    <row r="1947" spans="1:8">
      <c r="A1947" s="13" t="s">
        <v>3180</v>
      </c>
      <c r="B1947" s="13">
        <v>8003123</v>
      </c>
      <c r="C1947" s="13" t="s">
        <v>641</v>
      </c>
      <c r="D1947" s="13" t="s">
        <v>3907</v>
      </c>
      <c r="E1947" s="13">
        <v>2</v>
      </c>
      <c r="F1947" s="13" t="s">
        <v>671</v>
      </c>
      <c r="G1947" s="13" t="s">
        <v>678</v>
      </c>
      <c r="H1947" s="13" t="s">
        <v>641</v>
      </c>
    </row>
    <row r="1948" spans="1:8">
      <c r="A1948" s="13" t="s">
        <v>3180</v>
      </c>
      <c r="B1948" s="13">
        <v>8003124</v>
      </c>
      <c r="C1948" s="13" t="s">
        <v>641</v>
      </c>
      <c r="D1948" s="13" t="s">
        <v>3908</v>
      </c>
      <c r="E1948" s="13">
        <v>2</v>
      </c>
      <c r="F1948" s="13" t="s">
        <v>671</v>
      </c>
      <c r="G1948" s="13" t="s">
        <v>678</v>
      </c>
      <c r="H1948" s="13" t="s">
        <v>641</v>
      </c>
    </row>
    <row r="1949" spans="1:8">
      <c r="A1949" s="13" t="s">
        <v>3180</v>
      </c>
      <c r="B1949" s="13">
        <v>8003125</v>
      </c>
      <c r="C1949" s="13" t="s">
        <v>641</v>
      </c>
      <c r="D1949" s="13" t="s">
        <v>3909</v>
      </c>
      <c r="E1949" s="13">
        <v>2</v>
      </c>
      <c r="F1949" s="13" t="s">
        <v>671</v>
      </c>
      <c r="G1949" s="13" t="s">
        <v>678</v>
      </c>
      <c r="H1949" s="13" t="s">
        <v>641</v>
      </c>
    </row>
    <row r="1950" spans="1:8">
      <c r="A1950" s="13" t="s">
        <v>3180</v>
      </c>
      <c r="B1950" s="13">
        <v>8003128</v>
      </c>
      <c r="C1950" s="13" t="s">
        <v>641</v>
      </c>
      <c r="D1950" s="13" t="s">
        <v>3910</v>
      </c>
      <c r="E1950" s="13">
        <v>2</v>
      </c>
      <c r="F1950" s="13" t="s">
        <v>671</v>
      </c>
      <c r="G1950" s="13" t="s">
        <v>678</v>
      </c>
      <c r="H1950" s="13" t="s">
        <v>641</v>
      </c>
    </row>
    <row r="1951" spans="1:8">
      <c r="A1951" s="13" t="s">
        <v>3180</v>
      </c>
      <c r="B1951" s="13">
        <v>8003131</v>
      </c>
      <c r="C1951" s="13" t="s">
        <v>641</v>
      </c>
      <c r="D1951" s="13" t="s">
        <v>3911</v>
      </c>
      <c r="E1951" s="13">
        <v>2</v>
      </c>
      <c r="F1951" s="13" t="s">
        <v>671</v>
      </c>
      <c r="G1951" s="13" t="s">
        <v>678</v>
      </c>
      <c r="H1951" s="13" t="s">
        <v>641</v>
      </c>
    </row>
    <row r="1952" spans="1:8">
      <c r="A1952" s="13" t="s">
        <v>3180</v>
      </c>
      <c r="B1952" s="13">
        <v>8003132</v>
      </c>
      <c r="C1952" s="13" t="s">
        <v>641</v>
      </c>
      <c r="D1952" s="13" t="s">
        <v>3912</v>
      </c>
      <c r="E1952" s="13">
        <v>2</v>
      </c>
      <c r="F1952" s="13" t="s">
        <v>671</v>
      </c>
      <c r="G1952" s="13" t="s">
        <v>678</v>
      </c>
      <c r="H1952" s="13" t="s">
        <v>641</v>
      </c>
    </row>
    <row r="1953" spans="1:8">
      <c r="A1953" s="13" t="s">
        <v>3180</v>
      </c>
      <c r="B1953" s="13">
        <v>8003133</v>
      </c>
      <c r="C1953" s="13" t="s">
        <v>641</v>
      </c>
      <c r="D1953" s="13" t="s">
        <v>3913</v>
      </c>
      <c r="E1953" s="13">
        <v>2</v>
      </c>
      <c r="F1953" s="13" t="s">
        <v>671</v>
      </c>
      <c r="G1953" s="13" t="s">
        <v>678</v>
      </c>
      <c r="H1953" s="13" t="s">
        <v>641</v>
      </c>
    </row>
    <row r="1954" spans="1:8">
      <c r="A1954" s="13" t="s">
        <v>3180</v>
      </c>
      <c r="B1954" s="13">
        <v>8003135</v>
      </c>
      <c r="C1954" s="13" t="s">
        <v>641</v>
      </c>
      <c r="D1954" s="13" t="s">
        <v>3914</v>
      </c>
      <c r="E1954" s="13">
        <v>2</v>
      </c>
      <c r="F1954" s="13" t="s">
        <v>671</v>
      </c>
      <c r="G1954" s="13" t="s">
        <v>678</v>
      </c>
      <c r="H1954" s="13" t="s">
        <v>641</v>
      </c>
    </row>
    <row r="1955" spans="1:8">
      <c r="A1955" s="13" t="s">
        <v>3180</v>
      </c>
      <c r="B1955" s="13">
        <v>8003138</v>
      </c>
      <c r="C1955" s="13" t="s">
        <v>641</v>
      </c>
      <c r="D1955" s="13" t="s">
        <v>3915</v>
      </c>
      <c r="E1955" s="13">
        <v>2</v>
      </c>
      <c r="F1955" s="13" t="s">
        <v>671</v>
      </c>
      <c r="G1955" s="13" t="s">
        <v>678</v>
      </c>
      <c r="H1955" s="13" t="s">
        <v>641</v>
      </c>
    </row>
    <row r="1956" spans="1:8">
      <c r="A1956" s="13" t="s">
        <v>3180</v>
      </c>
      <c r="B1956" s="13">
        <v>8003139</v>
      </c>
      <c r="C1956" s="13" t="s">
        <v>641</v>
      </c>
      <c r="D1956" s="13" t="s">
        <v>3916</v>
      </c>
      <c r="E1956" s="13">
        <v>2</v>
      </c>
      <c r="F1956" s="13" t="s">
        <v>671</v>
      </c>
      <c r="G1956" s="13" t="s">
        <v>678</v>
      </c>
      <c r="H1956" s="13" t="s">
        <v>641</v>
      </c>
    </row>
    <row r="1957" spans="1:8">
      <c r="A1957" s="13" t="s">
        <v>3180</v>
      </c>
      <c r="B1957" s="13">
        <v>8003140</v>
      </c>
      <c r="C1957" s="13" t="s">
        <v>641</v>
      </c>
      <c r="D1957" s="13" t="s">
        <v>3917</v>
      </c>
      <c r="E1957" s="13">
        <v>2</v>
      </c>
      <c r="F1957" s="13" t="s">
        <v>671</v>
      </c>
      <c r="G1957" s="13" t="s">
        <v>678</v>
      </c>
      <c r="H1957" s="13" t="s">
        <v>641</v>
      </c>
    </row>
    <row r="1958" spans="1:8">
      <c r="A1958" s="13" t="s">
        <v>3180</v>
      </c>
      <c r="B1958" s="13">
        <v>8003141</v>
      </c>
      <c r="C1958" s="13" t="s">
        <v>641</v>
      </c>
      <c r="D1958" s="13" t="s">
        <v>3918</v>
      </c>
      <c r="E1958" s="13">
        <v>2</v>
      </c>
      <c r="F1958" s="13" t="s">
        <v>671</v>
      </c>
      <c r="G1958" s="13" t="s">
        <v>678</v>
      </c>
      <c r="H1958" s="13" t="s">
        <v>641</v>
      </c>
    </row>
    <row r="1959" spans="1:8">
      <c r="A1959" s="13" t="s">
        <v>3180</v>
      </c>
      <c r="B1959" s="13">
        <v>8003142</v>
      </c>
      <c r="C1959" s="13" t="s">
        <v>641</v>
      </c>
      <c r="D1959" s="13" t="s">
        <v>3919</v>
      </c>
      <c r="E1959" s="13">
        <v>2</v>
      </c>
      <c r="F1959" s="13" t="s">
        <v>671</v>
      </c>
      <c r="G1959" s="13" t="s">
        <v>678</v>
      </c>
      <c r="H1959" s="13" t="s">
        <v>641</v>
      </c>
    </row>
    <row r="1960" spans="1:8">
      <c r="A1960" s="13" t="s">
        <v>3180</v>
      </c>
      <c r="B1960" s="13">
        <v>8003143</v>
      </c>
      <c r="C1960" s="13" t="s">
        <v>641</v>
      </c>
      <c r="D1960" s="13" t="s">
        <v>3920</v>
      </c>
      <c r="E1960" s="13">
        <v>2</v>
      </c>
      <c r="F1960" s="13" t="s">
        <v>671</v>
      </c>
      <c r="G1960" s="13" t="s">
        <v>678</v>
      </c>
      <c r="H1960" s="13" t="s">
        <v>641</v>
      </c>
    </row>
    <row r="1961" spans="1:8">
      <c r="A1961" s="13" t="s">
        <v>3180</v>
      </c>
      <c r="B1961" s="13">
        <v>8003147</v>
      </c>
      <c r="C1961" s="13" t="s">
        <v>641</v>
      </c>
      <c r="D1961" s="13" t="s">
        <v>3921</v>
      </c>
      <c r="E1961" s="13">
        <v>2</v>
      </c>
      <c r="F1961" s="13" t="s">
        <v>671</v>
      </c>
      <c r="G1961" s="13" t="s">
        <v>678</v>
      </c>
      <c r="H1961" s="13" t="s">
        <v>641</v>
      </c>
    </row>
    <row r="1962" spans="1:8">
      <c r="A1962" s="13" t="s">
        <v>3180</v>
      </c>
      <c r="B1962" s="13">
        <v>8003150</v>
      </c>
      <c r="C1962" s="13" t="s">
        <v>641</v>
      </c>
      <c r="D1962" s="13" t="s">
        <v>3922</v>
      </c>
      <c r="E1962" s="13">
        <v>2</v>
      </c>
      <c r="F1962" s="13" t="s">
        <v>671</v>
      </c>
      <c r="G1962" s="13" t="s">
        <v>678</v>
      </c>
      <c r="H1962" s="13" t="s">
        <v>641</v>
      </c>
    </row>
    <row r="1963" spans="1:8">
      <c r="A1963" s="13" t="s">
        <v>3180</v>
      </c>
      <c r="B1963" s="13">
        <v>8003196</v>
      </c>
      <c r="C1963" s="13" t="s">
        <v>641</v>
      </c>
      <c r="D1963" s="13" t="s">
        <v>3923</v>
      </c>
      <c r="E1963" s="13">
        <v>2</v>
      </c>
      <c r="F1963" s="13" t="s">
        <v>671</v>
      </c>
      <c r="G1963" s="13" t="s">
        <v>678</v>
      </c>
      <c r="H1963" s="13" t="s">
        <v>641</v>
      </c>
    </row>
    <row r="1964" spans="1:8">
      <c r="A1964" s="13" t="s">
        <v>3180</v>
      </c>
      <c r="B1964" s="13">
        <v>8003197</v>
      </c>
      <c r="C1964" s="13" t="s">
        <v>641</v>
      </c>
      <c r="D1964" s="13" t="s">
        <v>3924</v>
      </c>
      <c r="E1964" s="13">
        <v>2</v>
      </c>
      <c r="F1964" s="13" t="s">
        <v>671</v>
      </c>
      <c r="G1964" s="13" t="s">
        <v>678</v>
      </c>
      <c r="H1964" s="13" t="s">
        <v>641</v>
      </c>
    </row>
    <row r="1965" spans="1:8">
      <c r="A1965" s="13" t="s">
        <v>3180</v>
      </c>
      <c r="B1965" s="13">
        <v>8003198</v>
      </c>
      <c r="C1965" s="13" t="s">
        <v>641</v>
      </c>
      <c r="D1965" s="13" t="s">
        <v>3925</v>
      </c>
      <c r="E1965" s="13">
        <v>2</v>
      </c>
      <c r="F1965" s="13" t="s">
        <v>671</v>
      </c>
      <c r="G1965" s="13" t="s">
        <v>678</v>
      </c>
      <c r="H1965" s="13" t="s">
        <v>641</v>
      </c>
    </row>
    <row r="1966" spans="1:8">
      <c r="A1966" s="13" t="s">
        <v>3180</v>
      </c>
      <c r="B1966" s="13">
        <v>8003203</v>
      </c>
      <c r="C1966" s="13" t="s">
        <v>641</v>
      </c>
      <c r="D1966" s="13" t="s">
        <v>3926</v>
      </c>
      <c r="E1966" s="13">
        <v>2</v>
      </c>
      <c r="F1966" s="13" t="s">
        <v>671</v>
      </c>
      <c r="G1966" s="13" t="s">
        <v>678</v>
      </c>
      <c r="H1966" s="13" t="s">
        <v>641</v>
      </c>
    </row>
    <row r="1967" spans="1:8">
      <c r="A1967" s="13" t="s">
        <v>3180</v>
      </c>
      <c r="B1967" s="13">
        <v>8003210</v>
      </c>
      <c r="C1967" s="13" t="s">
        <v>641</v>
      </c>
      <c r="D1967" s="13" t="s">
        <v>3927</v>
      </c>
      <c r="E1967" s="13">
        <v>2</v>
      </c>
      <c r="F1967" s="13" t="s">
        <v>671</v>
      </c>
      <c r="G1967" s="13" t="s">
        <v>678</v>
      </c>
      <c r="H1967" s="13" t="s">
        <v>641</v>
      </c>
    </row>
    <row r="1968" spans="1:8">
      <c r="A1968" s="13" t="s">
        <v>3180</v>
      </c>
      <c r="B1968" s="13">
        <v>8003212</v>
      </c>
      <c r="C1968" s="13" t="s">
        <v>641</v>
      </c>
      <c r="D1968" s="13" t="s">
        <v>3928</v>
      </c>
      <c r="E1968" s="13">
        <v>2</v>
      </c>
      <c r="F1968" s="13" t="s">
        <v>671</v>
      </c>
      <c r="G1968" s="13" t="s">
        <v>678</v>
      </c>
      <c r="H1968" s="13" t="s">
        <v>641</v>
      </c>
    </row>
    <row r="1969" spans="1:8">
      <c r="A1969" s="13" t="s">
        <v>3180</v>
      </c>
      <c r="B1969" s="13">
        <v>8003213</v>
      </c>
      <c r="C1969" s="13" t="s">
        <v>641</v>
      </c>
      <c r="D1969" s="13" t="s">
        <v>3929</v>
      </c>
      <c r="E1969" s="13">
        <v>2</v>
      </c>
      <c r="F1969" s="13" t="s">
        <v>671</v>
      </c>
      <c r="G1969" s="13" t="s">
        <v>678</v>
      </c>
      <c r="H1969" s="13" t="s">
        <v>641</v>
      </c>
    </row>
    <row r="1970" spans="1:8">
      <c r="A1970" s="13" t="s">
        <v>3180</v>
      </c>
      <c r="B1970" s="13">
        <v>8003215</v>
      </c>
      <c r="C1970" s="13" t="s">
        <v>641</v>
      </c>
      <c r="D1970" s="13" t="s">
        <v>3930</v>
      </c>
      <c r="E1970" s="13">
        <v>2</v>
      </c>
      <c r="F1970" s="13" t="s">
        <v>671</v>
      </c>
      <c r="G1970" s="13" t="s">
        <v>678</v>
      </c>
      <c r="H1970" s="13" t="s">
        <v>641</v>
      </c>
    </row>
    <row r="1971" spans="1:8">
      <c r="A1971" s="13" t="s">
        <v>3180</v>
      </c>
      <c r="B1971" s="13">
        <v>8003217</v>
      </c>
      <c r="C1971" s="13" t="s">
        <v>641</v>
      </c>
      <c r="D1971" s="13" t="s">
        <v>3931</v>
      </c>
      <c r="E1971" s="13">
        <v>2</v>
      </c>
      <c r="F1971" s="13" t="s">
        <v>671</v>
      </c>
      <c r="G1971" s="13" t="s">
        <v>678</v>
      </c>
      <c r="H1971" s="13" t="s">
        <v>641</v>
      </c>
    </row>
    <row r="1972" spans="1:8">
      <c r="A1972" s="13" t="s">
        <v>3180</v>
      </c>
      <c r="B1972" s="13">
        <v>8003219</v>
      </c>
      <c r="C1972" s="13" t="s">
        <v>641</v>
      </c>
      <c r="D1972" s="13" t="s">
        <v>3932</v>
      </c>
      <c r="E1972" s="13">
        <v>2</v>
      </c>
      <c r="F1972" s="13" t="s">
        <v>671</v>
      </c>
      <c r="G1972" s="13" t="s">
        <v>678</v>
      </c>
      <c r="H1972" s="13" t="s">
        <v>641</v>
      </c>
    </row>
    <row r="1973" spans="1:8">
      <c r="A1973" s="13" t="s">
        <v>3180</v>
      </c>
      <c r="B1973" s="13">
        <v>8003225</v>
      </c>
      <c r="C1973" s="13" t="s">
        <v>641</v>
      </c>
      <c r="D1973" s="13" t="s">
        <v>3933</v>
      </c>
      <c r="E1973" s="13">
        <v>2</v>
      </c>
      <c r="F1973" s="13" t="s">
        <v>671</v>
      </c>
      <c r="G1973" s="13" t="s">
        <v>678</v>
      </c>
      <c r="H1973" s="13" t="s">
        <v>641</v>
      </c>
    </row>
    <row r="1974" spans="1:8">
      <c r="A1974" s="13" t="s">
        <v>3180</v>
      </c>
      <c r="B1974" s="13">
        <v>8003243</v>
      </c>
      <c r="C1974" s="13" t="s">
        <v>641</v>
      </c>
      <c r="D1974" s="13" t="s">
        <v>3934</v>
      </c>
      <c r="E1974" s="13">
        <v>2</v>
      </c>
      <c r="F1974" s="13" t="s">
        <v>671</v>
      </c>
      <c r="G1974" s="13" t="s">
        <v>678</v>
      </c>
      <c r="H1974" s="13" t="s">
        <v>641</v>
      </c>
    </row>
    <row r="1975" spans="1:8">
      <c r="A1975" s="13" t="s">
        <v>3180</v>
      </c>
      <c r="B1975" s="13">
        <v>8003267</v>
      </c>
      <c r="C1975" s="13" t="s">
        <v>641</v>
      </c>
      <c r="D1975" s="13" t="s">
        <v>3935</v>
      </c>
      <c r="E1975" s="13">
        <v>2</v>
      </c>
      <c r="F1975" s="13" t="s">
        <v>671</v>
      </c>
      <c r="G1975" s="13" t="s">
        <v>678</v>
      </c>
      <c r="H1975" s="13" t="s">
        <v>641</v>
      </c>
    </row>
    <row r="1976" spans="1:8">
      <c r="A1976" s="13" t="s">
        <v>3180</v>
      </c>
      <c r="B1976" s="13">
        <v>8003468</v>
      </c>
      <c r="C1976" s="13" t="s">
        <v>641</v>
      </c>
      <c r="D1976" s="13" t="s">
        <v>3936</v>
      </c>
      <c r="E1976" s="13">
        <v>2</v>
      </c>
      <c r="F1976" s="13" t="s">
        <v>671</v>
      </c>
      <c r="G1976" s="13" t="s">
        <v>641</v>
      </c>
      <c r="H1976" s="13" t="s">
        <v>3339</v>
      </c>
    </row>
    <row r="1977" spans="1:8">
      <c r="A1977" s="13" t="s">
        <v>3180</v>
      </c>
      <c r="B1977" s="13">
        <v>8003574</v>
      </c>
      <c r="C1977" s="13" t="s">
        <v>641</v>
      </c>
      <c r="D1977" s="13" t="s">
        <v>3937</v>
      </c>
      <c r="E1977" s="13">
        <v>2</v>
      </c>
      <c r="F1977" s="13" t="s">
        <v>671</v>
      </c>
      <c r="G1977" s="13" t="s">
        <v>678</v>
      </c>
      <c r="H1977" s="13" t="s">
        <v>641</v>
      </c>
    </row>
    <row r="1978" spans="1:8">
      <c r="A1978" s="13" t="s">
        <v>3180</v>
      </c>
      <c r="B1978" s="13">
        <v>8003668</v>
      </c>
      <c r="C1978" s="13" t="s">
        <v>641</v>
      </c>
      <c r="D1978" s="13" t="s">
        <v>3938</v>
      </c>
      <c r="E1978" s="13">
        <v>2</v>
      </c>
      <c r="F1978" s="13" t="s">
        <v>671</v>
      </c>
      <c r="G1978" s="13" t="s">
        <v>678</v>
      </c>
      <c r="H1978" s="13" t="s">
        <v>641</v>
      </c>
    </row>
    <row r="1979" spans="1:8">
      <c r="A1979" s="13" t="s">
        <v>3180</v>
      </c>
      <c r="B1979" s="13">
        <v>8003669</v>
      </c>
      <c r="C1979" s="13" t="s">
        <v>641</v>
      </c>
      <c r="D1979" s="13" t="s">
        <v>3939</v>
      </c>
      <c r="E1979" s="13">
        <v>2</v>
      </c>
      <c r="F1979" s="13" t="s">
        <v>671</v>
      </c>
      <c r="G1979" s="13" t="s">
        <v>678</v>
      </c>
      <c r="H1979" s="13" t="s">
        <v>641</v>
      </c>
    </row>
    <row r="1980" spans="1:8">
      <c r="A1980" s="13" t="s">
        <v>3180</v>
      </c>
      <c r="B1980" s="13">
        <v>8003671</v>
      </c>
      <c r="C1980" s="13" t="s">
        <v>641</v>
      </c>
      <c r="D1980" s="13" t="s">
        <v>3940</v>
      </c>
      <c r="E1980" s="13">
        <v>2</v>
      </c>
      <c r="F1980" s="13" t="s">
        <v>671</v>
      </c>
      <c r="G1980" s="13" t="s">
        <v>678</v>
      </c>
      <c r="H1980" s="13" t="s">
        <v>641</v>
      </c>
    </row>
    <row r="1981" spans="1:8">
      <c r="A1981" s="13" t="s">
        <v>3180</v>
      </c>
      <c r="B1981" s="13">
        <v>8003672</v>
      </c>
      <c r="C1981" s="13" t="s">
        <v>641</v>
      </c>
      <c r="D1981" s="13" t="s">
        <v>3941</v>
      </c>
      <c r="E1981" s="13">
        <v>2</v>
      </c>
      <c r="F1981" s="13" t="s">
        <v>671</v>
      </c>
      <c r="G1981" s="13" t="s">
        <v>678</v>
      </c>
      <c r="H1981" s="13" t="s">
        <v>641</v>
      </c>
    </row>
    <row r="1982" spans="1:8">
      <c r="A1982" s="13" t="s">
        <v>3180</v>
      </c>
      <c r="B1982" s="13">
        <v>8003673</v>
      </c>
      <c r="C1982" s="13" t="s">
        <v>641</v>
      </c>
      <c r="D1982" s="13" t="s">
        <v>1848</v>
      </c>
      <c r="E1982" s="13">
        <v>2</v>
      </c>
      <c r="F1982" s="13" t="s">
        <v>671</v>
      </c>
      <c r="G1982" s="13" t="s">
        <v>677</v>
      </c>
      <c r="H1982" s="13" t="s">
        <v>641</v>
      </c>
    </row>
    <row r="1983" spans="1:8">
      <c r="A1983" s="13" t="s">
        <v>3180</v>
      </c>
      <c r="B1983" s="13">
        <v>8003674</v>
      </c>
      <c r="C1983" s="13" t="s">
        <v>641</v>
      </c>
      <c r="D1983" s="13" t="s">
        <v>3942</v>
      </c>
      <c r="E1983" s="13">
        <v>2</v>
      </c>
      <c r="F1983" s="13" t="s">
        <v>671</v>
      </c>
      <c r="G1983" s="13" t="s">
        <v>678</v>
      </c>
      <c r="H1983" s="13" t="s">
        <v>641</v>
      </c>
    </row>
    <row r="1984" spans="1:8">
      <c r="A1984" s="13" t="s">
        <v>3180</v>
      </c>
      <c r="B1984" s="13">
        <v>8003917</v>
      </c>
      <c r="C1984" s="13" t="s">
        <v>641</v>
      </c>
      <c r="D1984" s="13" t="s">
        <v>3943</v>
      </c>
      <c r="E1984" s="13">
        <v>2</v>
      </c>
      <c r="F1984" s="13" t="s">
        <v>671</v>
      </c>
      <c r="G1984" s="13" t="s">
        <v>678</v>
      </c>
      <c r="H1984" s="13" t="s">
        <v>641</v>
      </c>
    </row>
    <row r="1985" spans="1:8">
      <c r="A1985" s="13" t="s">
        <v>3180</v>
      </c>
      <c r="B1985" s="13">
        <v>8003918</v>
      </c>
      <c r="C1985" s="13" t="s">
        <v>641</v>
      </c>
      <c r="D1985" s="13" t="s">
        <v>3944</v>
      </c>
      <c r="E1985" s="13">
        <v>2</v>
      </c>
      <c r="F1985" s="13" t="s">
        <v>671</v>
      </c>
      <c r="G1985" s="13" t="s">
        <v>678</v>
      </c>
      <c r="H1985" s="13" t="s">
        <v>641</v>
      </c>
    </row>
    <row r="1986" spans="1:8">
      <c r="A1986" s="13" t="s">
        <v>3180</v>
      </c>
      <c r="B1986" s="13">
        <v>8003920</v>
      </c>
      <c r="C1986" s="13" t="s">
        <v>641</v>
      </c>
      <c r="D1986" s="13" t="s">
        <v>3945</v>
      </c>
      <c r="E1986" s="13">
        <v>2</v>
      </c>
      <c r="F1986" s="13" t="s">
        <v>671</v>
      </c>
      <c r="G1986" s="13" t="s">
        <v>678</v>
      </c>
      <c r="H1986" s="13" t="s">
        <v>641</v>
      </c>
    </row>
    <row r="1987" spans="1:8">
      <c r="A1987" s="13" t="s">
        <v>3180</v>
      </c>
      <c r="B1987" s="13">
        <v>8003921</v>
      </c>
      <c r="C1987" s="13" t="s">
        <v>641</v>
      </c>
      <c r="D1987" s="13" t="s">
        <v>3946</v>
      </c>
      <c r="E1987" s="13">
        <v>2</v>
      </c>
      <c r="F1987" s="13" t="s">
        <v>671</v>
      </c>
      <c r="G1987" s="13" t="s">
        <v>678</v>
      </c>
      <c r="H1987" s="13" t="s">
        <v>641</v>
      </c>
    </row>
    <row r="1988" spans="1:8">
      <c r="A1988" s="13" t="s">
        <v>3180</v>
      </c>
      <c r="B1988" s="13">
        <v>8003923</v>
      </c>
      <c r="C1988" s="13" t="s">
        <v>641</v>
      </c>
      <c r="D1988" s="13" t="s">
        <v>3947</v>
      </c>
      <c r="E1988" s="13">
        <v>2</v>
      </c>
      <c r="F1988" s="13" t="s">
        <v>671</v>
      </c>
      <c r="G1988" s="13" t="s">
        <v>678</v>
      </c>
      <c r="H1988" s="13" t="s">
        <v>641</v>
      </c>
    </row>
    <row r="1989" spans="1:8">
      <c r="A1989" s="13" t="s">
        <v>3180</v>
      </c>
      <c r="B1989" s="13">
        <v>8005073</v>
      </c>
      <c r="C1989" s="13" t="s">
        <v>641</v>
      </c>
      <c r="D1989" s="13" t="s">
        <v>3948</v>
      </c>
      <c r="E1989" s="13">
        <v>2</v>
      </c>
      <c r="F1989" s="13" t="s">
        <v>671</v>
      </c>
      <c r="G1989" s="13" t="s">
        <v>678</v>
      </c>
      <c r="H1989" s="13" t="s">
        <v>641</v>
      </c>
    </row>
    <row r="1990" spans="1:8">
      <c r="A1990" s="13" t="s">
        <v>3180</v>
      </c>
      <c r="B1990" s="13">
        <v>8005075</v>
      </c>
      <c r="C1990" s="13" t="s">
        <v>641</v>
      </c>
      <c r="D1990" s="13" t="s">
        <v>3949</v>
      </c>
      <c r="E1990" s="13">
        <v>2</v>
      </c>
      <c r="F1990" s="13" t="s">
        <v>671</v>
      </c>
      <c r="G1990" s="13" t="s">
        <v>678</v>
      </c>
      <c r="H1990" s="13" t="s">
        <v>641</v>
      </c>
    </row>
    <row r="1991" spans="1:8">
      <c r="A1991" s="13" t="s">
        <v>3180</v>
      </c>
      <c r="B1991" s="13">
        <v>8005231</v>
      </c>
      <c r="C1991" s="13" t="s">
        <v>641</v>
      </c>
      <c r="D1991" s="13" t="s">
        <v>3950</v>
      </c>
      <c r="E1991" s="13">
        <v>2</v>
      </c>
      <c r="F1991" s="13" t="s">
        <v>671</v>
      </c>
      <c r="G1991" s="13" t="s">
        <v>678</v>
      </c>
      <c r="H1991" s="13" t="s">
        <v>641</v>
      </c>
    </row>
    <row r="1992" spans="1:8">
      <c r="A1992" s="13" t="s">
        <v>3180</v>
      </c>
      <c r="B1992" s="13">
        <v>8005342</v>
      </c>
      <c r="C1992" s="13" t="s">
        <v>641</v>
      </c>
      <c r="D1992" s="13" t="s">
        <v>1850</v>
      </c>
      <c r="E1992" s="13">
        <v>2</v>
      </c>
      <c r="F1992" s="13" t="s">
        <v>671</v>
      </c>
      <c r="G1992" s="13" t="s">
        <v>678</v>
      </c>
      <c r="H1992" s="13" t="s">
        <v>641</v>
      </c>
    </row>
    <row r="1993" spans="1:8">
      <c r="A1993" s="13" t="s">
        <v>3180</v>
      </c>
      <c r="B1993" s="13">
        <v>8005362</v>
      </c>
      <c r="C1993" s="13" t="s">
        <v>641</v>
      </c>
      <c r="D1993" s="13" t="s">
        <v>3951</v>
      </c>
      <c r="E1993" s="13">
        <v>2</v>
      </c>
      <c r="F1993" s="13" t="s">
        <v>671</v>
      </c>
      <c r="G1993" s="13" t="s">
        <v>677</v>
      </c>
      <c r="H1993" s="13" t="s">
        <v>641</v>
      </c>
    </row>
    <row r="1994" spans="1:8">
      <c r="A1994" s="13" t="s">
        <v>3180</v>
      </c>
      <c r="B1994" s="13">
        <v>8005363</v>
      </c>
      <c r="C1994" s="13" t="s">
        <v>641</v>
      </c>
      <c r="D1994" s="13" t="s">
        <v>1851</v>
      </c>
      <c r="E1994" s="13">
        <v>2</v>
      </c>
      <c r="F1994" s="13" t="s">
        <v>671</v>
      </c>
      <c r="G1994" s="13" t="s">
        <v>677</v>
      </c>
      <c r="H1994" s="13" t="s">
        <v>641</v>
      </c>
    </row>
    <row r="1995" spans="1:8">
      <c r="A1995" s="13" t="s">
        <v>3180</v>
      </c>
      <c r="B1995" s="13">
        <v>8005364</v>
      </c>
      <c r="C1995" s="13" t="s">
        <v>641</v>
      </c>
      <c r="D1995" s="13" t="s">
        <v>3952</v>
      </c>
      <c r="E1995" s="13">
        <v>2</v>
      </c>
      <c r="F1995" s="13" t="s">
        <v>671</v>
      </c>
      <c r="G1995" s="13" t="s">
        <v>677</v>
      </c>
      <c r="H1995" s="13" t="s">
        <v>641</v>
      </c>
    </row>
    <row r="1996" spans="1:8">
      <c r="A1996" s="13" t="s">
        <v>3180</v>
      </c>
      <c r="B1996" s="13">
        <v>8005366</v>
      </c>
      <c r="C1996" s="13" t="s">
        <v>641</v>
      </c>
      <c r="D1996" s="13" t="s">
        <v>1852</v>
      </c>
      <c r="E1996" s="13">
        <v>2</v>
      </c>
      <c r="F1996" s="13" t="s">
        <v>671</v>
      </c>
      <c r="G1996" s="13" t="s">
        <v>677</v>
      </c>
      <c r="H1996" s="13" t="s">
        <v>641</v>
      </c>
    </row>
    <row r="1997" spans="1:8">
      <c r="A1997" s="13" t="s">
        <v>3180</v>
      </c>
      <c r="B1997" s="13">
        <v>8005467</v>
      </c>
      <c r="C1997" s="13" t="s">
        <v>641</v>
      </c>
      <c r="D1997" s="13" t="s">
        <v>129</v>
      </c>
      <c r="E1997" s="13">
        <v>2</v>
      </c>
      <c r="F1997" s="13" t="s">
        <v>696</v>
      </c>
      <c r="G1997" s="13" t="s">
        <v>641</v>
      </c>
      <c r="H1997" s="13" t="s">
        <v>641</v>
      </c>
    </row>
    <row r="1998" spans="1:8">
      <c r="A1998" s="13" t="s">
        <v>3180</v>
      </c>
      <c r="B1998" s="13">
        <v>8005468</v>
      </c>
      <c r="C1998" s="13" t="s">
        <v>641</v>
      </c>
      <c r="D1998" s="13" t="s">
        <v>104</v>
      </c>
      <c r="E1998" s="13">
        <v>2</v>
      </c>
      <c r="F1998" s="13" t="s">
        <v>696</v>
      </c>
      <c r="G1998" s="13" t="s">
        <v>641</v>
      </c>
      <c r="H1998" s="13" t="s">
        <v>641</v>
      </c>
    </row>
    <row r="1999" spans="1:8">
      <c r="A1999" s="13" t="s">
        <v>3180</v>
      </c>
      <c r="B1999" s="13">
        <v>8005469</v>
      </c>
      <c r="C1999" s="13" t="s">
        <v>641</v>
      </c>
      <c r="D1999" s="13" t="s">
        <v>103</v>
      </c>
      <c r="E1999" s="13">
        <v>2</v>
      </c>
      <c r="F1999" s="13" t="s">
        <v>696</v>
      </c>
      <c r="G1999" s="13" t="s">
        <v>641</v>
      </c>
      <c r="H1999" s="13" t="s">
        <v>641</v>
      </c>
    </row>
    <row r="2000" spans="1:8">
      <c r="A2000" s="13" t="s">
        <v>3180</v>
      </c>
      <c r="B2000" s="13">
        <v>8005470</v>
      </c>
      <c r="C2000" s="13" t="s">
        <v>641</v>
      </c>
      <c r="D2000" s="13" t="s">
        <v>100</v>
      </c>
      <c r="E2000" s="13">
        <v>2</v>
      </c>
      <c r="F2000" s="13" t="s">
        <v>696</v>
      </c>
      <c r="G2000" s="13" t="s">
        <v>641</v>
      </c>
      <c r="H2000" s="13" t="s">
        <v>641</v>
      </c>
    </row>
    <row r="2001" spans="1:8">
      <c r="A2001" s="13" t="s">
        <v>3180</v>
      </c>
      <c r="B2001" s="13">
        <v>8005471</v>
      </c>
      <c r="C2001" s="13" t="s">
        <v>641</v>
      </c>
      <c r="D2001" s="13" t="s">
        <v>105</v>
      </c>
      <c r="E2001" s="13">
        <v>2</v>
      </c>
      <c r="F2001" s="13" t="s">
        <v>696</v>
      </c>
      <c r="G2001" s="13" t="s">
        <v>641</v>
      </c>
      <c r="H2001" s="13" t="s">
        <v>641</v>
      </c>
    </row>
    <row r="2002" spans="1:8">
      <c r="A2002" s="13" t="s">
        <v>3180</v>
      </c>
      <c r="B2002" s="13">
        <v>8005472</v>
      </c>
      <c r="C2002" s="13" t="s">
        <v>641</v>
      </c>
      <c r="D2002" s="13" t="s">
        <v>106</v>
      </c>
      <c r="E2002" s="13">
        <v>2</v>
      </c>
      <c r="F2002" s="13" t="s">
        <v>696</v>
      </c>
      <c r="G2002" s="13" t="s">
        <v>641</v>
      </c>
      <c r="H2002" s="13" t="s">
        <v>641</v>
      </c>
    </row>
    <row r="2003" spans="1:8">
      <c r="A2003" s="13" t="s">
        <v>3180</v>
      </c>
      <c r="B2003" s="13">
        <v>8005473</v>
      </c>
      <c r="C2003" s="13" t="s">
        <v>641</v>
      </c>
      <c r="D2003" s="13" t="s">
        <v>107</v>
      </c>
      <c r="E2003" s="13">
        <v>2</v>
      </c>
      <c r="F2003" s="13" t="s">
        <v>696</v>
      </c>
      <c r="G2003" s="13" t="s">
        <v>641</v>
      </c>
      <c r="H2003" s="13" t="s">
        <v>641</v>
      </c>
    </row>
    <row r="2004" spans="1:8">
      <c r="A2004" s="13" t="s">
        <v>3180</v>
      </c>
      <c r="B2004" s="13">
        <v>8005474</v>
      </c>
      <c r="C2004" s="13" t="s">
        <v>641</v>
      </c>
      <c r="D2004" s="13" t="s">
        <v>108</v>
      </c>
      <c r="E2004" s="13">
        <v>2</v>
      </c>
      <c r="F2004" s="13" t="s">
        <v>696</v>
      </c>
      <c r="G2004" s="13" t="s">
        <v>641</v>
      </c>
      <c r="H2004" s="13" t="s">
        <v>641</v>
      </c>
    </row>
    <row r="2005" spans="1:8">
      <c r="A2005" s="13" t="s">
        <v>3180</v>
      </c>
      <c r="B2005" s="13">
        <v>8005475</v>
      </c>
      <c r="C2005" s="13" t="s">
        <v>641</v>
      </c>
      <c r="D2005" s="13" t="s">
        <v>1853</v>
      </c>
      <c r="E2005" s="13">
        <v>2</v>
      </c>
      <c r="F2005" s="13" t="s">
        <v>696</v>
      </c>
      <c r="G2005" s="13" t="s">
        <v>641</v>
      </c>
      <c r="H2005" s="13" t="s">
        <v>641</v>
      </c>
    </row>
    <row r="2006" spans="1:8">
      <c r="A2006" s="13" t="s">
        <v>3180</v>
      </c>
      <c r="B2006" s="13">
        <v>8005476</v>
      </c>
      <c r="C2006" s="13" t="s">
        <v>641</v>
      </c>
      <c r="D2006" s="13" t="s">
        <v>1854</v>
      </c>
      <c r="E2006" s="13">
        <v>2</v>
      </c>
      <c r="F2006" s="13" t="s">
        <v>696</v>
      </c>
      <c r="G2006" s="13" t="s">
        <v>641</v>
      </c>
      <c r="H2006" s="13" t="s">
        <v>641</v>
      </c>
    </row>
    <row r="2007" spans="1:8">
      <c r="A2007" s="13" t="s">
        <v>3180</v>
      </c>
      <c r="B2007" s="13">
        <v>8005477</v>
      </c>
      <c r="C2007" s="13" t="s">
        <v>641</v>
      </c>
      <c r="D2007" s="13" t="s">
        <v>1855</v>
      </c>
      <c r="E2007" s="13">
        <v>2</v>
      </c>
      <c r="F2007" s="13" t="s">
        <v>696</v>
      </c>
      <c r="G2007" s="13" t="s">
        <v>641</v>
      </c>
      <c r="H2007" s="13" t="s">
        <v>641</v>
      </c>
    </row>
    <row r="2008" spans="1:8">
      <c r="A2008" s="13" t="s">
        <v>3180</v>
      </c>
      <c r="B2008" s="13">
        <v>8005478</v>
      </c>
      <c r="C2008" s="13" t="s">
        <v>641</v>
      </c>
      <c r="D2008" s="13" t="s">
        <v>1856</v>
      </c>
      <c r="E2008" s="13">
        <v>2</v>
      </c>
      <c r="F2008" s="13" t="s">
        <v>696</v>
      </c>
      <c r="G2008" s="13" t="s">
        <v>641</v>
      </c>
      <c r="H2008" s="13" t="s">
        <v>641</v>
      </c>
    </row>
    <row r="2009" spans="1:8">
      <c r="A2009" s="13" t="s">
        <v>3180</v>
      </c>
      <c r="B2009" s="13">
        <v>8005479</v>
      </c>
      <c r="C2009" s="13" t="s">
        <v>641</v>
      </c>
      <c r="D2009" s="13" t="s">
        <v>1857</v>
      </c>
      <c r="E2009" s="13">
        <v>2</v>
      </c>
      <c r="F2009" s="13" t="s">
        <v>696</v>
      </c>
      <c r="G2009" s="13" t="s">
        <v>641</v>
      </c>
      <c r="H2009" s="13" t="s">
        <v>641</v>
      </c>
    </row>
    <row r="2010" spans="1:8">
      <c r="A2010" s="13" t="s">
        <v>3180</v>
      </c>
      <c r="B2010" s="13">
        <v>8005480</v>
      </c>
      <c r="C2010" s="13" t="s">
        <v>641</v>
      </c>
      <c r="D2010" s="13" t="s">
        <v>1858</v>
      </c>
      <c r="E2010" s="13">
        <v>2</v>
      </c>
      <c r="F2010" s="13" t="s">
        <v>696</v>
      </c>
      <c r="G2010" s="13" t="s">
        <v>641</v>
      </c>
      <c r="H2010" s="13" t="s">
        <v>641</v>
      </c>
    </row>
    <row r="2011" spans="1:8">
      <c r="A2011" s="13" t="s">
        <v>3180</v>
      </c>
      <c r="B2011" s="13">
        <v>8005481</v>
      </c>
      <c r="C2011" s="13" t="s">
        <v>641</v>
      </c>
      <c r="D2011" s="13" t="s">
        <v>3953</v>
      </c>
      <c r="E2011" s="13">
        <v>2</v>
      </c>
      <c r="F2011" s="13" t="s">
        <v>696</v>
      </c>
      <c r="G2011" s="13" t="s">
        <v>3533</v>
      </c>
      <c r="H2011" s="13" t="s">
        <v>3193</v>
      </c>
    </row>
    <row r="2012" spans="1:8">
      <c r="A2012" s="13" t="s">
        <v>3180</v>
      </c>
      <c r="B2012" s="13">
        <v>8005489</v>
      </c>
      <c r="C2012" s="13" t="s">
        <v>641</v>
      </c>
      <c r="D2012" s="13" t="s">
        <v>3954</v>
      </c>
      <c r="E2012" s="13">
        <v>2</v>
      </c>
      <c r="F2012" s="13" t="s">
        <v>696</v>
      </c>
      <c r="G2012" s="13" t="s">
        <v>696</v>
      </c>
      <c r="H2012" s="13" t="s">
        <v>3183</v>
      </c>
    </row>
    <row r="2013" spans="1:8">
      <c r="A2013" s="13" t="s">
        <v>3180</v>
      </c>
      <c r="B2013" s="13">
        <v>8005512</v>
      </c>
      <c r="C2013" s="13" t="s">
        <v>641</v>
      </c>
      <c r="D2013" s="13" t="s">
        <v>1870</v>
      </c>
      <c r="E2013" s="13">
        <v>2</v>
      </c>
      <c r="F2013" s="13" t="s">
        <v>696</v>
      </c>
      <c r="G2013" s="13" t="s">
        <v>641</v>
      </c>
      <c r="H2013" s="13" t="s">
        <v>641</v>
      </c>
    </row>
    <row r="2014" spans="1:8">
      <c r="A2014" s="13" t="s">
        <v>3180</v>
      </c>
      <c r="B2014" s="13">
        <v>8005513</v>
      </c>
      <c r="C2014" s="13" t="s">
        <v>641</v>
      </c>
      <c r="D2014" s="13" t="s">
        <v>3955</v>
      </c>
      <c r="E2014" s="13">
        <v>2</v>
      </c>
      <c r="F2014" s="13" t="s">
        <v>696</v>
      </c>
      <c r="G2014" s="13" t="s">
        <v>641</v>
      </c>
      <c r="H2014" s="13" t="s">
        <v>641</v>
      </c>
    </row>
    <row r="2015" spans="1:8">
      <c r="A2015" s="13" t="s">
        <v>3180</v>
      </c>
      <c r="B2015" s="13">
        <v>8005518</v>
      </c>
      <c r="C2015" s="13" t="s">
        <v>641</v>
      </c>
      <c r="D2015" s="13" t="s">
        <v>1871</v>
      </c>
      <c r="E2015" s="13">
        <v>2</v>
      </c>
      <c r="F2015" s="13" t="s">
        <v>696</v>
      </c>
      <c r="G2015" s="13" t="s">
        <v>641</v>
      </c>
      <c r="H2015" s="13" t="s">
        <v>641</v>
      </c>
    </row>
    <row r="2016" spans="1:8">
      <c r="A2016" s="13" t="s">
        <v>3180</v>
      </c>
      <c r="B2016" s="13">
        <v>8005549</v>
      </c>
      <c r="C2016" s="13" t="s">
        <v>641</v>
      </c>
      <c r="D2016" s="13" t="s">
        <v>1872</v>
      </c>
      <c r="E2016" s="13">
        <v>2</v>
      </c>
      <c r="F2016" s="13" t="s">
        <v>696</v>
      </c>
      <c r="G2016" s="13" t="s">
        <v>641</v>
      </c>
      <c r="H2016" s="13" t="s">
        <v>641</v>
      </c>
    </row>
    <row r="2017" spans="1:8">
      <c r="A2017" s="13" t="s">
        <v>3180</v>
      </c>
      <c r="B2017" s="13">
        <v>8005582</v>
      </c>
      <c r="C2017" s="13" t="s">
        <v>641</v>
      </c>
      <c r="D2017" s="13" t="s">
        <v>1873</v>
      </c>
      <c r="E2017" s="13">
        <v>2</v>
      </c>
      <c r="F2017" s="13" t="s">
        <v>671</v>
      </c>
      <c r="G2017" s="13" t="s">
        <v>678</v>
      </c>
      <c r="H2017" s="13" t="s">
        <v>641</v>
      </c>
    </row>
    <row r="2018" spans="1:8">
      <c r="A2018" s="13" t="s">
        <v>3180</v>
      </c>
      <c r="B2018" s="13">
        <v>8005584</v>
      </c>
      <c r="C2018" s="13" t="s">
        <v>641</v>
      </c>
      <c r="D2018" s="13" t="s">
        <v>1874</v>
      </c>
      <c r="E2018" s="13">
        <v>2</v>
      </c>
      <c r="F2018" s="13" t="s">
        <v>671</v>
      </c>
      <c r="G2018" s="13" t="s">
        <v>677</v>
      </c>
      <c r="H2018" s="13" t="s">
        <v>641</v>
      </c>
    </row>
    <row r="2019" spans="1:8">
      <c r="A2019" s="13" t="s">
        <v>3180</v>
      </c>
      <c r="B2019" s="13">
        <v>8005585</v>
      </c>
      <c r="C2019" s="13" t="s">
        <v>641</v>
      </c>
      <c r="D2019" s="13" t="s">
        <v>1875</v>
      </c>
      <c r="E2019" s="13">
        <v>2</v>
      </c>
      <c r="F2019" s="13" t="s">
        <v>671</v>
      </c>
      <c r="G2019" s="13" t="s">
        <v>677</v>
      </c>
      <c r="H2019" s="13" t="s">
        <v>641</v>
      </c>
    </row>
    <row r="2020" spans="1:8">
      <c r="A2020" s="13" t="s">
        <v>3180</v>
      </c>
      <c r="B2020" s="13">
        <v>8005952</v>
      </c>
      <c r="C2020" s="13" t="s">
        <v>641</v>
      </c>
      <c r="D2020" s="13" t="s">
        <v>1164</v>
      </c>
      <c r="E2020" s="13">
        <v>2</v>
      </c>
      <c r="F2020" s="13" t="s">
        <v>671</v>
      </c>
      <c r="G2020" s="13" t="s">
        <v>678</v>
      </c>
      <c r="H2020" s="13" t="s">
        <v>641</v>
      </c>
    </row>
    <row r="2021" spans="1:8">
      <c r="A2021" s="13" t="s">
        <v>3180</v>
      </c>
      <c r="B2021" s="13">
        <v>8005953</v>
      </c>
      <c r="C2021" s="13" t="s">
        <v>641</v>
      </c>
      <c r="D2021" s="13" t="s">
        <v>3956</v>
      </c>
      <c r="E2021" s="13">
        <v>2</v>
      </c>
      <c r="F2021" s="13" t="s">
        <v>671</v>
      </c>
      <c r="G2021" s="13" t="s">
        <v>678</v>
      </c>
      <c r="H2021" s="13" t="s">
        <v>3187</v>
      </c>
    </row>
    <row r="2022" spans="1:8">
      <c r="A2022" s="13" t="s">
        <v>3180</v>
      </c>
      <c r="B2022" s="13">
        <v>8005954</v>
      </c>
      <c r="C2022" s="13" t="s">
        <v>641</v>
      </c>
      <c r="D2022" s="13" t="s">
        <v>1161</v>
      </c>
      <c r="E2022" s="13">
        <v>2</v>
      </c>
      <c r="F2022" s="13" t="s">
        <v>671</v>
      </c>
      <c r="G2022" s="13" t="s">
        <v>678</v>
      </c>
      <c r="H2022" s="13" t="s">
        <v>641</v>
      </c>
    </row>
    <row r="2023" spans="1:8">
      <c r="A2023" s="13" t="s">
        <v>3180</v>
      </c>
      <c r="B2023" s="13">
        <v>8005955</v>
      </c>
      <c r="C2023" s="13" t="s">
        <v>641</v>
      </c>
      <c r="D2023" s="13" t="s">
        <v>3957</v>
      </c>
      <c r="E2023" s="13">
        <v>2</v>
      </c>
      <c r="F2023" s="13" t="s">
        <v>671</v>
      </c>
      <c r="G2023" s="13" t="s">
        <v>678</v>
      </c>
      <c r="H2023" s="13" t="s">
        <v>641</v>
      </c>
    </row>
    <row r="2024" spans="1:8">
      <c r="A2024" s="13" t="s">
        <v>3180</v>
      </c>
      <c r="B2024" s="13">
        <v>8006016</v>
      </c>
      <c r="C2024" s="13" t="s">
        <v>641</v>
      </c>
      <c r="D2024" s="13" t="s">
        <v>3958</v>
      </c>
      <c r="E2024" s="13">
        <v>2</v>
      </c>
      <c r="F2024" s="13" t="s">
        <v>671</v>
      </c>
      <c r="G2024" s="13" t="s">
        <v>678</v>
      </c>
      <c r="H2024" s="13" t="s">
        <v>641</v>
      </c>
    </row>
    <row r="2025" spans="1:8">
      <c r="A2025" s="13" t="s">
        <v>3180</v>
      </c>
      <c r="B2025" s="13">
        <v>8006019</v>
      </c>
      <c r="C2025" s="13" t="s">
        <v>641</v>
      </c>
      <c r="D2025" s="13" t="s">
        <v>3959</v>
      </c>
      <c r="E2025" s="13">
        <v>2</v>
      </c>
      <c r="F2025" s="13" t="s">
        <v>671</v>
      </c>
      <c r="G2025" s="13" t="s">
        <v>678</v>
      </c>
      <c r="H2025" s="13" t="s">
        <v>641</v>
      </c>
    </row>
    <row r="2026" spans="1:8">
      <c r="A2026" s="13" t="s">
        <v>3180</v>
      </c>
      <c r="B2026" s="13">
        <v>8006043</v>
      </c>
      <c r="C2026" s="13" t="s">
        <v>641</v>
      </c>
      <c r="D2026" s="13" t="s">
        <v>3960</v>
      </c>
      <c r="E2026" s="13">
        <v>2</v>
      </c>
      <c r="F2026" s="13" t="s">
        <v>671</v>
      </c>
      <c r="G2026" s="13" t="s">
        <v>678</v>
      </c>
      <c r="H2026" s="13" t="s">
        <v>641</v>
      </c>
    </row>
    <row r="2027" spans="1:8">
      <c r="A2027" s="13" t="s">
        <v>3180</v>
      </c>
      <c r="B2027" s="13">
        <v>8006049</v>
      </c>
      <c r="C2027" s="13" t="s">
        <v>641</v>
      </c>
      <c r="D2027" s="13" t="s">
        <v>3961</v>
      </c>
      <c r="E2027" s="13">
        <v>2</v>
      </c>
      <c r="F2027" s="13" t="s">
        <v>671</v>
      </c>
      <c r="G2027" s="13" t="s">
        <v>678</v>
      </c>
      <c r="H2027" s="13" t="s">
        <v>641</v>
      </c>
    </row>
    <row r="2028" spans="1:8">
      <c r="A2028" s="13" t="s">
        <v>3180</v>
      </c>
      <c r="B2028" s="13">
        <v>8006296</v>
      </c>
      <c r="C2028" s="13" t="s">
        <v>641</v>
      </c>
      <c r="D2028" s="13" t="s">
        <v>3962</v>
      </c>
      <c r="E2028" s="13">
        <v>2</v>
      </c>
      <c r="F2028" s="13" t="s">
        <v>671</v>
      </c>
      <c r="G2028" s="13" t="s">
        <v>678</v>
      </c>
      <c r="H2028" s="13" t="s">
        <v>641</v>
      </c>
    </row>
    <row r="2029" spans="1:8">
      <c r="A2029" s="13" t="s">
        <v>3180</v>
      </c>
      <c r="B2029" s="13">
        <v>8006870</v>
      </c>
      <c r="C2029" s="13" t="s">
        <v>641</v>
      </c>
      <c r="D2029" s="13" t="s">
        <v>109</v>
      </c>
      <c r="E2029" s="13">
        <v>2</v>
      </c>
      <c r="F2029" s="13" t="s">
        <v>696</v>
      </c>
      <c r="G2029" s="13" t="s">
        <v>641</v>
      </c>
      <c r="H2029" s="13" t="s">
        <v>641</v>
      </c>
    </row>
    <row r="2030" spans="1:8">
      <c r="A2030" s="13" t="s">
        <v>3180</v>
      </c>
      <c r="B2030" s="13">
        <v>8006871</v>
      </c>
      <c r="C2030" s="13" t="s">
        <v>641</v>
      </c>
      <c r="D2030" s="13" t="s">
        <v>110</v>
      </c>
      <c r="E2030" s="13">
        <v>2</v>
      </c>
      <c r="F2030" s="13" t="s">
        <v>696</v>
      </c>
      <c r="G2030" s="13" t="s">
        <v>641</v>
      </c>
      <c r="H2030" s="13" t="s">
        <v>641</v>
      </c>
    </row>
    <row r="2031" spans="1:8">
      <c r="A2031" s="13" t="s">
        <v>3180</v>
      </c>
      <c r="B2031" s="13">
        <v>8006872</v>
      </c>
      <c r="C2031" s="13" t="s">
        <v>641</v>
      </c>
      <c r="D2031" s="13" t="s">
        <v>112</v>
      </c>
      <c r="E2031" s="13">
        <v>2</v>
      </c>
      <c r="F2031" s="13" t="s">
        <v>696</v>
      </c>
      <c r="G2031" s="13" t="s">
        <v>641</v>
      </c>
      <c r="H2031" s="13" t="s">
        <v>641</v>
      </c>
    </row>
    <row r="2032" spans="1:8">
      <c r="A2032" s="13" t="s">
        <v>3180</v>
      </c>
      <c r="B2032" s="13">
        <v>8006873</v>
      </c>
      <c r="C2032" s="13" t="s">
        <v>641</v>
      </c>
      <c r="D2032" s="13" t="s">
        <v>113</v>
      </c>
      <c r="E2032" s="13">
        <v>2</v>
      </c>
      <c r="F2032" s="13" t="s">
        <v>696</v>
      </c>
      <c r="G2032" s="13" t="s">
        <v>641</v>
      </c>
      <c r="H2032" s="13" t="s">
        <v>641</v>
      </c>
    </row>
    <row r="2033" spans="1:8">
      <c r="A2033" s="13" t="s">
        <v>3180</v>
      </c>
      <c r="B2033" s="13">
        <v>8006874</v>
      </c>
      <c r="C2033" s="13" t="s">
        <v>641</v>
      </c>
      <c r="D2033" s="13" t="s">
        <v>114</v>
      </c>
      <c r="E2033" s="13">
        <v>2</v>
      </c>
      <c r="F2033" s="13" t="s">
        <v>696</v>
      </c>
      <c r="G2033" s="13" t="s">
        <v>641</v>
      </c>
      <c r="H2033" s="13" t="s">
        <v>641</v>
      </c>
    </row>
    <row r="2034" spans="1:8">
      <c r="A2034" s="13" t="s">
        <v>3180</v>
      </c>
      <c r="B2034" s="13">
        <v>8006875</v>
      </c>
      <c r="C2034" s="13" t="s">
        <v>641</v>
      </c>
      <c r="D2034" s="13" t="s">
        <v>115</v>
      </c>
      <c r="E2034" s="13">
        <v>2</v>
      </c>
      <c r="F2034" s="13" t="s">
        <v>696</v>
      </c>
      <c r="G2034" s="13" t="s">
        <v>641</v>
      </c>
      <c r="H2034" s="13" t="s">
        <v>641</v>
      </c>
    </row>
    <row r="2035" spans="1:8">
      <c r="A2035" s="13" t="s">
        <v>3180</v>
      </c>
      <c r="B2035" s="13">
        <v>8006876</v>
      </c>
      <c r="C2035" s="13" t="s">
        <v>641</v>
      </c>
      <c r="D2035" s="13" t="s">
        <v>1877</v>
      </c>
      <c r="E2035" s="13">
        <v>2</v>
      </c>
      <c r="F2035" s="13" t="s">
        <v>696</v>
      </c>
      <c r="G2035" s="13" t="s">
        <v>641</v>
      </c>
      <c r="H2035" s="13" t="s">
        <v>641</v>
      </c>
    </row>
    <row r="2036" spans="1:8">
      <c r="A2036" s="13" t="s">
        <v>3180</v>
      </c>
      <c r="B2036" s="13">
        <v>8006877</v>
      </c>
      <c r="C2036" s="13" t="s">
        <v>641</v>
      </c>
      <c r="D2036" s="13" t="s">
        <v>3963</v>
      </c>
      <c r="E2036" s="13">
        <v>2</v>
      </c>
      <c r="F2036" s="13" t="s">
        <v>696</v>
      </c>
      <c r="G2036" s="13" t="s">
        <v>641</v>
      </c>
      <c r="H2036" s="13" t="s">
        <v>641</v>
      </c>
    </row>
    <row r="2037" spans="1:8">
      <c r="A2037" s="13" t="s">
        <v>3180</v>
      </c>
      <c r="B2037" s="13">
        <v>8006878</v>
      </c>
      <c r="C2037" s="13" t="s">
        <v>641</v>
      </c>
      <c r="D2037" s="13" t="s">
        <v>1878</v>
      </c>
      <c r="E2037" s="13">
        <v>2</v>
      </c>
      <c r="F2037" s="13" t="s">
        <v>696</v>
      </c>
      <c r="G2037" s="13" t="s">
        <v>641</v>
      </c>
      <c r="H2037" s="13" t="s">
        <v>641</v>
      </c>
    </row>
    <row r="2038" spans="1:8">
      <c r="A2038" s="13" t="s">
        <v>3180</v>
      </c>
      <c r="B2038" s="13">
        <v>8006879</v>
      </c>
      <c r="C2038" s="13" t="s">
        <v>641</v>
      </c>
      <c r="D2038" s="13" t="s">
        <v>3964</v>
      </c>
      <c r="E2038" s="13">
        <v>2</v>
      </c>
      <c r="F2038" s="13" t="s">
        <v>696</v>
      </c>
      <c r="G2038" s="13" t="s">
        <v>641</v>
      </c>
      <c r="H2038" s="13" t="s">
        <v>641</v>
      </c>
    </row>
    <row r="2039" spans="1:8">
      <c r="A2039" s="13" t="s">
        <v>3180</v>
      </c>
      <c r="B2039" s="13">
        <v>8006880</v>
      </c>
      <c r="C2039" s="13" t="s">
        <v>641</v>
      </c>
      <c r="D2039" s="13" t="s">
        <v>3965</v>
      </c>
      <c r="E2039" s="13">
        <v>2</v>
      </c>
      <c r="F2039" s="13" t="s">
        <v>696</v>
      </c>
      <c r="G2039" s="13" t="s">
        <v>641</v>
      </c>
      <c r="H2039" s="13" t="s">
        <v>641</v>
      </c>
    </row>
    <row r="2040" spans="1:8">
      <c r="A2040" s="13" t="s">
        <v>3180</v>
      </c>
      <c r="B2040" s="13">
        <v>8008594</v>
      </c>
      <c r="C2040" s="13" t="s">
        <v>641</v>
      </c>
      <c r="D2040" s="13" t="s">
        <v>1794</v>
      </c>
      <c r="E2040" s="13">
        <v>2</v>
      </c>
      <c r="F2040" s="13" t="s">
        <v>696</v>
      </c>
      <c r="G2040" s="13" t="s">
        <v>696</v>
      </c>
      <c r="H2040" s="13" t="s">
        <v>3183</v>
      </c>
    </row>
    <row r="2041" spans="1:8">
      <c r="A2041" s="13" t="s">
        <v>3180</v>
      </c>
      <c r="B2041" s="13">
        <v>8008595</v>
      </c>
      <c r="C2041" s="13" t="s">
        <v>641</v>
      </c>
      <c r="D2041" s="13" t="s">
        <v>1795</v>
      </c>
      <c r="E2041" s="13">
        <v>2</v>
      </c>
      <c r="F2041" s="13" t="s">
        <v>696</v>
      </c>
      <c r="G2041" s="13" t="s">
        <v>3533</v>
      </c>
      <c r="H2041" s="13" t="s">
        <v>641</v>
      </c>
    </row>
    <row r="2042" spans="1:8">
      <c r="A2042" s="13" t="s">
        <v>3180</v>
      </c>
      <c r="B2042" s="13">
        <v>8008599</v>
      </c>
      <c r="C2042" s="13" t="s">
        <v>641</v>
      </c>
      <c r="D2042" s="13" t="s">
        <v>1800</v>
      </c>
      <c r="E2042" s="13">
        <v>2</v>
      </c>
      <c r="F2042" s="13" t="s">
        <v>696</v>
      </c>
      <c r="G2042" s="13" t="s">
        <v>3533</v>
      </c>
      <c r="H2042" s="13" t="s">
        <v>641</v>
      </c>
    </row>
    <row r="2043" spans="1:8">
      <c r="A2043" s="13" t="s">
        <v>3180</v>
      </c>
      <c r="B2043" s="13">
        <v>8008600</v>
      </c>
      <c r="C2043" s="13" t="s">
        <v>641</v>
      </c>
      <c r="D2043" s="13" t="s">
        <v>1801</v>
      </c>
      <c r="E2043" s="13">
        <v>2</v>
      </c>
      <c r="F2043" s="13" t="s">
        <v>696</v>
      </c>
      <c r="G2043" s="13" t="s">
        <v>3533</v>
      </c>
      <c r="H2043" s="13" t="s">
        <v>641</v>
      </c>
    </row>
    <row r="2044" spans="1:8">
      <c r="A2044" s="13" t="s">
        <v>3180</v>
      </c>
      <c r="B2044" s="13">
        <v>8008601</v>
      </c>
      <c r="C2044" s="13" t="s">
        <v>641</v>
      </c>
      <c r="D2044" s="13" t="s">
        <v>1802</v>
      </c>
      <c r="E2044" s="13">
        <v>2</v>
      </c>
      <c r="F2044" s="13" t="s">
        <v>696</v>
      </c>
      <c r="G2044" s="13" t="s">
        <v>3533</v>
      </c>
      <c r="H2044" s="13" t="s">
        <v>641</v>
      </c>
    </row>
    <row r="2045" spans="1:8">
      <c r="A2045" s="13" t="s">
        <v>3180</v>
      </c>
      <c r="B2045" s="13">
        <v>8008602</v>
      </c>
      <c r="C2045" s="13" t="s">
        <v>641</v>
      </c>
      <c r="D2045" s="13" t="s">
        <v>1803</v>
      </c>
      <c r="E2045" s="13">
        <v>2</v>
      </c>
      <c r="F2045" s="13" t="s">
        <v>696</v>
      </c>
      <c r="G2045" s="13" t="s">
        <v>3533</v>
      </c>
      <c r="H2045" s="13" t="s">
        <v>3193</v>
      </c>
    </row>
    <row r="2046" spans="1:8">
      <c r="A2046" s="13" t="s">
        <v>3180</v>
      </c>
      <c r="B2046" s="13">
        <v>8008603</v>
      </c>
      <c r="C2046" s="13" t="s">
        <v>641</v>
      </c>
      <c r="D2046" s="13" t="s">
        <v>1265</v>
      </c>
      <c r="E2046" s="13">
        <v>2</v>
      </c>
      <c r="F2046" s="13" t="s">
        <v>696</v>
      </c>
      <c r="G2046" s="13" t="s">
        <v>641</v>
      </c>
      <c r="H2046" s="13" t="s">
        <v>641</v>
      </c>
    </row>
    <row r="2047" spans="1:8">
      <c r="A2047" s="13" t="s">
        <v>3180</v>
      </c>
      <c r="B2047" s="13">
        <v>8008634</v>
      </c>
      <c r="C2047" s="13" t="s">
        <v>641</v>
      </c>
      <c r="D2047" s="13" t="s">
        <v>3503</v>
      </c>
      <c r="E2047" s="13">
        <v>2</v>
      </c>
      <c r="F2047" s="13" t="s">
        <v>696</v>
      </c>
      <c r="G2047" s="13" t="s">
        <v>3533</v>
      </c>
      <c r="H2047" s="13" t="s">
        <v>3193</v>
      </c>
    </row>
    <row r="2048" spans="1:8">
      <c r="A2048" s="13" t="s">
        <v>3180</v>
      </c>
      <c r="B2048" s="13">
        <v>8008635</v>
      </c>
      <c r="C2048" s="13" t="s">
        <v>641</v>
      </c>
      <c r="D2048" s="13" t="s">
        <v>1215</v>
      </c>
      <c r="E2048" s="13">
        <v>2</v>
      </c>
      <c r="F2048" s="13" t="s">
        <v>696</v>
      </c>
      <c r="G2048" s="13" t="s">
        <v>3533</v>
      </c>
      <c r="H2048" s="13" t="s">
        <v>641</v>
      </c>
    </row>
    <row r="2049" spans="1:8">
      <c r="A2049" s="13" t="s">
        <v>3180</v>
      </c>
      <c r="B2049" s="13">
        <v>8008636</v>
      </c>
      <c r="C2049" s="13" t="s">
        <v>641</v>
      </c>
      <c r="D2049" s="13" t="s">
        <v>1216</v>
      </c>
      <c r="E2049" s="13">
        <v>2</v>
      </c>
      <c r="F2049" s="13" t="s">
        <v>696</v>
      </c>
      <c r="G2049" s="13" t="s">
        <v>3533</v>
      </c>
      <c r="H2049" s="13" t="s">
        <v>641</v>
      </c>
    </row>
    <row r="2050" spans="1:8">
      <c r="A2050" s="13" t="s">
        <v>3180</v>
      </c>
      <c r="B2050" s="13">
        <v>8008637</v>
      </c>
      <c r="C2050" s="13" t="s">
        <v>641</v>
      </c>
      <c r="D2050" s="13" t="s">
        <v>1217</v>
      </c>
      <c r="E2050" s="13">
        <v>2</v>
      </c>
      <c r="F2050" s="13" t="s">
        <v>696</v>
      </c>
      <c r="G2050" s="13" t="s">
        <v>3533</v>
      </c>
      <c r="H2050" s="13" t="s">
        <v>641</v>
      </c>
    </row>
    <row r="2051" spans="1:8">
      <c r="A2051" s="13" t="s">
        <v>3180</v>
      </c>
      <c r="B2051" s="13">
        <v>8008656</v>
      </c>
      <c r="C2051" s="13" t="s">
        <v>641</v>
      </c>
      <c r="D2051" s="13" t="s">
        <v>1065</v>
      </c>
      <c r="E2051" s="13">
        <v>2</v>
      </c>
      <c r="F2051" s="13" t="s">
        <v>696</v>
      </c>
      <c r="G2051" s="13" t="s">
        <v>3533</v>
      </c>
      <c r="H2051" s="13" t="s">
        <v>3193</v>
      </c>
    </row>
    <row r="2052" spans="1:8">
      <c r="A2052" s="13" t="s">
        <v>3180</v>
      </c>
      <c r="B2052" s="13">
        <v>8008657</v>
      </c>
      <c r="C2052" s="13" t="s">
        <v>641</v>
      </c>
      <c r="D2052" s="13" t="s">
        <v>1067</v>
      </c>
      <c r="E2052" s="13">
        <v>2</v>
      </c>
      <c r="F2052" s="13" t="s">
        <v>696</v>
      </c>
      <c r="G2052" s="13" t="s">
        <v>3533</v>
      </c>
      <c r="H2052" s="13" t="s">
        <v>3193</v>
      </c>
    </row>
    <row r="2053" spans="1:8">
      <c r="A2053" s="13" t="s">
        <v>3180</v>
      </c>
      <c r="B2053" s="13">
        <v>8008658</v>
      </c>
      <c r="C2053" s="13" t="s">
        <v>641</v>
      </c>
      <c r="D2053" s="13" t="s">
        <v>1068</v>
      </c>
      <c r="E2053" s="13">
        <v>2</v>
      </c>
      <c r="F2053" s="13" t="s">
        <v>696</v>
      </c>
      <c r="G2053" s="13" t="s">
        <v>3533</v>
      </c>
      <c r="H2053" s="13" t="s">
        <v>3193</v>
      </c>
    </row>
    <row r="2054" spans="1:8">
      <c r="A2054" s="13" t="s">
        <v>3180</v>
      </c>
      <c r="B2054" s="13">
        <v>8008659</v>
      </c>
      <c r="C2054" s="13" t="s">
        <v>641</v>
      </c>
      <c r="D2054" s="13" t="s">
        <v>1120</v>
      </c>
      <c r="E2054" s="13">
        <v>2</v>
      </c>
      <c r="F2054" s="13" t="s">
        <v>696</v>
      </c>
      <c r="G2054" s="13" t="s">
        <v>3533</v>
      </c>
      <c r="H2054" s="13" t="s">
        <v>3193</v>
      </c>
    </row>
    <row r="2055" spans="1:8">
      <c r="A2055" s="13" t="s">
        <v>3180</v>
      </c>
      <c r="B2055" s="13">
        <v>8008665</v>
      </c>
      <c r="C2055" s="13" t="s">
        <v>641</v>
      </c>
      <c r="D2055" s="13" t="s">
        <v>1121</v>
      </c>
      <c r="E2055" s="13">
        <v>2</v>
      </c>
      <c r="F2055" s="13" t="s">
        <v>696</v>
      </c>
      <c r="G2055" s="13" t="s">
        <v>696</v>
      </c>
      <c r="H2055" s="13" t="s">
        <v>3183</v>
      </c>
    </row>
    <row r="2056" spans="1:8">
      <c r="A2056" s="13" t="s">
        <v>3180</v>
      </c>
      <c r="B2056" s="13">
        <v>8008666</v>
      </c>
      <c r="C2056" s="13" t="s">
        <v>641</v>
      </c>
      <c r="D2056" s="13" t="s">
        <v>1122</v>
      </c>
      <c r="E2056" s="13">
        <v>2</v>
      </c>
      <c r="F2056" s="13" t="s">
        <v>696</v>
      </c>
      <c r="G2056" s="13" t="s">
        <v>3533</v>
      </c>
      <c r="H2056" s="13" t="s">
        <v>3193</v>
      </c>
    </row>
    <row r="2057" spans="1:8">
      <c r="A2057" s="13" t="s">
        <v>3180</v>
      </c>
      <c r="B2057" s="13">
        <v>8008667</v>
      </c>
      <c r="C2057" s="13" t="s">
        <v>641</v>
      </c>
      <c r="D2057" s="13" t="s">
        <v>1123</v>
      </c>
      <c r="E2057" s="13">
        <v>2</v>
      </c>
      <c r="F2057" s="13" t="s">
        <v>696</v>
      </c>
      <c r="G2057" s="13" t="s">
        <v>3533</v>
      </c>
      <c r="H2057" s="13" t="s">
        <v>3193</v>
      </c>
    </row>
    <row r="2058" spans="1:8">
      <c r="A2058" s="13" t="s">
        <v>3180</v>
      </c>
      <c r="B2058" s="13">
        <v>8008668</v>
      </c>
      <c r="C2058" s="13" t="s">
        <v>641</v>
      </c>
      <c r="D2058" s="13" t="s">
        <v>1124</v>
      </c>
      <c r="E2058" s="13">
        <v>2</v>
      </c>
      <c r="F2058" s="13" t="s">
        <v>696</v>
      </c>
      <c r="G2058" s="13" t="s">
        <v>641</v>
      </c>
      <c r="H2058" s="13" t="s">
        <v>641</v>
      </c>
    </row>
    <row r="2059" spans="1:8">
      <c r="A2059" s="13" t="s">
        <v>3180</v>
      </c>
      <c r="B2059" s="13">
        <v>8008669</v>
      </c>
      <c r="C2059" s="13" t="s">
        <v>641</v>
      </c>
      <c r="D2059" s="13" t="s">
        <v>1125</v>
      </c>
      <c r="E2059" s="13">
        <v>2</v>
      </c>
      <c r="F2059" s="13" t="s">
        <v>696</v>
      </c>
      <c r="G2059" s="13" t="s">
        <v>3533</v>
      </c>
      <c r="H2059" s="13" t="s">
        <v>641</v>
      </c>
    </row>
    <row r="2060" spans="1:8">
      <c r="A2060" s="13" t="s">
        <v>3180</v>
      </c>
      <c r="B2060" s="13">
        <v>8008671</v>
      </c>
      <c r="C2060" s="13" t="s">
        <v>641</v>
      </c>
      <c r="D2060" s="13" t="s">
        <v>1891</v>
      </c>
      <c r="E2060" s="13">
        <v>2</v>
      </c>
      <c r="F2060" s="13" t="s">
        <v>696</v>
      </c>
      <c r="G2060" s="13" t="s">
        <v>696</v>
      </c>
      <c r="H2060" s="13" t="s">
        <v>3183</v>
      </c>
    </row>
    <row r="2061" spans="1:8">
      <c r="A2061" s="13" t="s">
        <v>3180</v>
      </c>
      <c r="B2061" s="13">
        <v>8008672</v>
      </c>
      <c r="C2061" s="13" t="s">
        <v>641</v>
      </c>
      <c r="D2061" s="13" t="s">
        <v>1892</v>
      </c>
      <c r="E2061" s="13">
        <v>2</v>
      </c>
      <c r="F2061" s="13" t="s">
        <v>696</v>
      </c>
      <c r="G2061" s="13" t="s">
        <v>696</v>
      </c>
      <c r="H2061" s="13" t="s">
        <v>3183</v>
      </c>
    </row>
    <row r="2062" spans="1:8">
      <c r="A2062" s="13" t="s">
        <v>3180</v>
      </c>
      <c r="B2062" s="13">
        <v>8008673</v>
      </c>
      <c r="C2062" s="13" t="s">
        <v>641</v>
      </c>
      <c r="D2062" s="13" t="s">
        <v>1090</v>
      </c>
      <c r="E2062" s="13">
        <v>2</v>
      </c>
      <c r="F2062" s="13" t="s">
        <v>696</v>
      </c>
      <c r="G2062" s="13" t="s">
        <v>3533</v>
      </c>
      <c r="H2062" s="13" t="s">
        <v>641</v>
      </c>
    </row>
    <row r="2063" spans="1:8">
      <c r="A2063" s="13" t="s">
        <v>3180</v>
      </c>
      <c r="B2063" s="13">
        <v>8008718</v>
      </c>
      <c r="C2063" s="13" t="s">
        <v>641</v>
      </c>
      <c r="D2063" s="13" t="s">
        <v>1793</v>
      </c>
      <c r="E2063" s="13">
        <v>2</v>
      </c>
      <c r="F2063" s="13" t="s">
        <v>696</v>
      </c>
      <c r="G2063" s="13" t="s">
        <v>696</v>
      </c>
      <c r="H2063" s="13" t="s">
        <v>3183</v>
      </c>
    </row>
    <row r="2064" spans="1:8">
      <c r="A2064" s="13" t="s">
        <v>3180</v>
      </c>
      <c r="B2064" s="13">
        <v>8008719</v>
      </c>
      <c r="C2064" s="13" t="s">
        <v>641</v>
      </c>
      <c r="D2064" s="13" t="s">
        <v>1796</v>
      </c>
      <c r="E2064" s="13">
        <v>2</v>
      </c>
      <c r="F2064" s="13" t="s">
        <v>696</v>
      </c>
      <c r="G2064" s="13" t="s">
        <v>3533</v>
      </c>
      <c r="H2064" s="13" t="s">
        <v>641</v>
      </c>
    </row>
    <row r="2065" spans="1:8">
      <c r="A2065" s="13" t="s">
        <v>3180</v>
      </c>
      <c r="B2065" s="13">
        <v>8008720</v>
      </c>
      <c r="C2065" s="13" t="s">
        <v>641</v>
      </c>
      <c r="D2065" s="13" t="s">
        <v>1797</v>
      </c>
      <c r="E2065" s="13">
        <v>2</v>
      </c>
      <c r="F2065" s="13" t="s">
        <v>696</v>
      </c>
      <c r="G2065" s="13" t="s">
        <v>3533</v>
      </c>
      <c r="H2065" s="13" t="s">
        <v>641</v>
      </c>
    </row>
    <row r="2066" spans="1:8">
      <c r="A2066" s="13" t="s">
        <v>3180</v>
      </c>
      <c r="B2066" s="13">
        <v>8008721</v>
      </c>
      <c r="C2066" s="13" t="s">
        <v>641</v>
      </c>
      <c r="D2066" s="13" t="s">
        <v>1798</v>
      </c>
      <c r="E2066" s="13">
        <v>2</v>
      </c>
      <c r="F2066" s="13" t="s">
        <v>696</v>
      </c>
      <c r="G2066" s="13" t="s">
        <v>3533</v>
      </c>
      <c r="H2066" s="13" t="s">
        <v>641</v>
      </c>
    </row>
    <row r="2067" spans="1:8">
      <c r="A2067" s="13" t="s">
        <v>3180</v>
      </c>
      <c r="B2067" s="13">
        <v>8008722</v>
      </c>
      <c r="C2067" s="13" t="s">
        <v>641</v>
      </c>
      <c r="D2067" s="13" t="s">
        <v>87</v>
      </c>
      <c r="E2067" s="13">
        <v>2</v>
      </c>
      <c r="F2067" s="13" t="s">
        <v>696</v>
      </c>
      <c r="G2067" s="13" t="s">
        <v>696</v>
      </c>
      <c r="H2067" s="13" t="s">
        <v>3183</v>
      </c>
    </row>
    <row r="2068" spans="1:8">
      <c r="A2068" s="13" t="s">
        <v>3180</v>
      </c>
      <c r="B2068" s="13">
        <v>8008723</v>
      </c>
      <c r="C2068" s="13" t="s">
        <v>641</v>
      </c>
      <c r="D2068" s="13" t="s">
        <v>1302</v>
      </c>
      <c r="E2068" s="13">
        <v>2</v>
      </c>
      <c r="F2068" s="13" t="s">
        <v>696</v>
      </c>
      <c r="G2068" s="13" t="s">
        <v>3533</v>
      </c>
      <c r="H2068" s="13" t="s">
        <v>3193</v>
      </c>
    </row>
    <row r="2069" spans="1:8">
      <c r="A2069" s="13" t="s">
        <v>3180</v>
      </c>
      <c r="B2069" s="13">
        <v>8008728</v>
      </c>
      <c r="C2069" s="13" t="s">
        <v>641</v>
      </c>
      <c r="D2069" s="13" t="s">
        <v>1118</v>
      </c>
      <c r="E2069" s="13">
        <v>2</v>
      </c>
      <c r="F2069" s="13" t="s">
        <v>696</v>
      </c>
      <c r="G2069" s="13" t="s">
        <v>3533</v>
      </c>
      <c r="H2069" s="13" t="s">
        <v>3193</v>
      </c>
    </row>
    <row r="2070" spans="1:8">
      <c r="A2070" s="13" t="s">
        <v>3180</v>
      </c>
      <c r="B2070" s="13">
        <v>8008729</v>
      </c>
      <c r="C2070" s="13" t="s">
        <v>641</v>
      </c>
      <c r="D2070" s="13" t="s">
        <v>1073</v>
      </c>
      <c r="E2070" s="13">
        <v>2</v>
      </c>
      <c r="F2070" s="13" t="s">
        <v>696</v>
      </c>
      <c r="G2070" s="13" t="s">
        <v>3533</v>
      </c>
      <c r="H2070" s="13" t="s">
        <v>3193</v>
      </c>
    </row>
    <row r="2071" spans="1:8">
      <c r="A2071" s="13" t="s">
        <v>3180</v>
      </c>
      <c r="B2071" s="13">
        <v>8008732</v>
      </c>
      <c r="C2071" s="13" t="s">
        <v>641</v>
      </c>
      <c r="D2071" s="13" t="s">
        <v>1130</v>
      </c>
      <c r="E2071" s="13">
        <v>2</v>
      </c>
      <c r="F2071" s="13" t="s">
        <v>696</v>
      </c>
      <c r="G2071" s="13" t="s">
        <v>641</v>
      </c>
      <c r="H2071" s="13" t="s">
        <v>641</v>
      </c>
    </row>
    <row r="2072" spans="1:8">
      <c r="A2072" s="13" t="s">
        <v>3180</v>
      </c>
      <c r="B2072" s="13">
        <v>8008733</v>
      </c>
      <c r="C2072" s="13" t="s">
        <v>641</v>
      </c>
      <c r="D2072" s="13" t="s">
        <v>1165</v>
      </c>
      <c r="E2072" s="13">
        <v>2</v>
      </c>
      <c r="F2072" s="13" t="s">
        <v>696</v>
      </c>
      <c r="G2072" s="13" t="s">
        <v>641</v>
      </c>
      <c r="H2072" s="13" t="s">
        <v>641</v>
      </c>
    </row>
    <row r="2073" spans="1:8">
      <c r="A2073" s="13" t="s">
        <v>3180</v>
      </c>
      <c r="B2073" s="13">
        <v>8008735</v>
      </c>
      <c r="C2073" s="13" t="s">
        <v>641</v>
      </c>
      <c r="D2073" s="13" t="s">
        <v>1075</v>
      </c>
      <c r="E2073" s="13">
        <v>2</v>
      </c>
      <c r="F2073" s="13" t="s">
        <v>696</v>
      </c>
      <c r="G2073" s="13" t="s">
        <v>3533</v>
      </c>
      <c r="H2073" s="13" t="s">
        <v>3193</v>
      </c>
    </row>
    <row r="2074" spans="1:8">
      <c r="A2074" s="13" t="s">
        <v>3180</v>
      </c>
      <c r="B2074" s="13">
        <v>8008736</v>
      </c>
      <c r="C2074" s="13" t="s">
        <v>641</v>
      </c>
      <c r="D2074" s="13" t="s">
        <v>1076</v>
      </c>
      <c r="E2074" s="13">
        <v>2</v>
      </c>
      <c r="F2074" s="13" t="s">
        <v>696</v>
      </c>
      <c r="G2074" s="13" t="s">
        <v>3533</v>
      </c>
      <c r="H2074" s="13" t="s">
        <v>3193</v>
      </c>
    </row>
    <row r="2075" spans="1:8">
      <c r="A2075" s="13" t="s">
        <v>3180</v>
      </c>
      <c r="B2075" s="13">
        <v>8008737</v>
      </c>
      <c r="C2075" s="13" t="s">
        <v>641</v>
      </c>
      <c r="D2075" s="13" t="s">
        <v>1119</v>
      </c>
      <c r="E2075" s="13">
        <v>2</v>
      </c>
      <c r="F2075" s="13" t="s">
        <v>696</v>
      </c>
      <c r="G2075" s="13" t="s">
        <v>696</v>
      </c>
      <c r="H2075" s="13" t="s">
        <v>3183</v>
      </c>
    </row>
    <row r="2076" spans="1:8">
      <c r="A2076" s="13" t="s">
        <v>3180</v>
      </c>
      <c r="B2076" s="13">
        <v>8008747</v>
      </c>
      <c r="C2076" s="13" t="s">
        <v>641</v>
      </c>
      <c r="D2076" s="13" t="s">
        <v>1091</v>
      </c>
      <c r="E2076" s="13">
        <v>2</v>
      </c>
      <c r="F2076" s="13" t="s">
        <v>696</v>
      </c>
      <c r="G2076" s="13" t="s">
        <v>3533</v>
      </c>
      <c r="H2076" s="13" t="s">
        <v>641</v>
      </c>
    </row>
    <row r="2077" spans="1:8">
      <c r="A2077" s="13" t="s">
        <v>3180</v>
      </c>
      <c r="B2077" s="13">
        <v>8008748</v>
      </c>
      <c r="C2077" s="13" t="s">
        <v>641</v>
      </c>
      <c r="D2077" s="13" t="s">
        <v>1894</v>
      </c>
      <c r="E2077" s="13">
        <v>2</v>
      </c>
      <c r="F2077" s="13" t="s">
        <v>696</v>
      </c>
      <c r="G2077" s="13" t="s">
        <v>641</v>
      </c>
      <c r="H2077" s="13" t="s">
        <v>641</v>
      </c>
    </row>
    <row r="2078" spans="1:8">
      <c r="A2078" s="13" t="s">
        <v>3180</v>
      </c>
      <c r="B2078" s="13">
        <v>8008768</v>
      </c>
      <c r="C2078" s="13" t="s">
        <v>641</v>
      </c>
      <c r="D2078" s="13" t="s">
        <v>1227</v>
      </c>
      <c r="E2078" s="13">
        <v>2</v>
      </c>
      <c r="F2078" s="13" t="s">
        <v>696</v>
      </c>
      <c r="G2078" s="13" t="s">
        <v>3533</v>
      </c>
      <c r="H2078" s="13" t="s">
        <v>641</v>
      </c>
    </row>
    <row r="2079" spans="1:8">
      <c r="A2079" s="13" t="s">
        <v>3180</v>
      </c>
      <c r="B2079" s="13">
        <v>8008774</v>
      </c>
      <c r="C2079" s="13" t="s">
        <v>641</v>
      </c>
      <c r="D2079" s="13" t="s">
        <v>1218</v>
      </c>
      <c r="E2079" s="13">
        <v>2</v>
      </c>
      <c r="F2079" s="13" t="s">
        <v>696</v>
      </c>
      <c r="G2079" s="13" t="s">
        <v>3533</v>
      </c>
      <c r="H2079" s="13" t="s">
        <v>641</v>
      </c>
    </row>
    <row r="2080" spans="1:8">
      <c r="A2080" s="13" t="s">
        <v>3180</v>
      </c>
      <c r="B2080" s="13">
        <v>8008775</v>
      </c>
      <c r="C2080" s="13" t="s">
        <v>641</v>
      </c>
      <c r="D2080" s="13" t="s">
        <v>1219</v>
      </c>
      <c r="E2080" s="13">
        <v>2</v>
      </c>
      <c r="F2080" s="13" t="s">
        <v>696</v>
      </c>
      <c r="G2080" s="13" t="s">
        <v>3533</v>
      </c>
      <c r="H2080" s="13" t="s">
        <v>3193</v>
      </c>
    </row>
    <row r="2081" spans="1:8">
      <c r="A2081" s="13" t="s">
        <v>3180</v>
      </c>
      <c r="B2081" s="13">
        <v>8008777</v>
      </c>
      <c r="C2081" s="13" t="s">
        <v>641</v>
      </c>
      <c r="D2081" s="13" t="s">
        <v>1221</v>
      </c>
      <c r="E2081" s="13">
        <v>2</v>
      </c>
      <c r="F2081" s="13" t="s">
        <v>696</v>
      </c>
      <c r="G2081" s="13" t="s">
        <v>3533</v>
      </c>
      <c r="H2081" s="13" t="s">
        <v>641</v>
      </c>
    </row>
    <row r="2082" spans="1:8">
      <c r="A2082" s="13" t="s">
        <v>3180</v>
      </c>
      <c r="B2082" s="13">
        <v>8008778</v>
      </c>
      <c r="C2082" s="13" t="s">
        <v>641</v>
      </c>
      <c r="D2082" s="13" t="s">
        <v>1222</v>
      </c>
      <c r="E2082" s="13">
        <v>2</v>
      </c>
      <c r="F2082" s="13" t="s">
        <v>696</v>
      </c>
      <c r="G2082" s="13" t="s">
        <v>3533</v>
      </c>
      <c r="H2082" s="13" t="s">
        <v>641</v>
      </c>
    </row>
    <row r="2083" spans="1:8">
      <c r="A2083" s="13" t="s">
        <v>3180</v>
      </c>
      <c r="B2083" s="13">
        <v>8008779</v>
      </c>
      <c r="C2083" s="13" t="s">
        <v>641</v>
      </c>
      <c r="D2083" s="13" t="s">
        <v>1223</v>
      </c>
      <c r="E2083" s="13">
        <v>2</v>
      </c>
      <c r="F2083" s="13" t="s">
        <v>696</v>
      </c>
      <c r="G2083" s="13" t="s">
        <v>3533</v>
      </c>
      <c r="H2083" s="13" t="s">
        <v>641</v>
      </c>
    </row>
    <row r="2084" spans="1:8">
      <c r="A2084" s="13" t="s">
        <v>3180</v>
      </c>
      <c r="B2084" s="13">
        <v>8008780</v>
      </c>
      <c r="C2084" s="13" t="s">
        <v>641</v>
      </c>
      <c r="D2084" s="13" t="s">
        <v>1224</v>
      </c>
      <c r="E2084" s="13">
        <v>2</v>
      </c>
      <c r="F2084" s="13" t="s">
        <v>696</v>
      </c>
      <c r="G2084" s="13" t="s">
        <v>3533</v>
      </c>
      <c r="H2084" s="13" t="s">
        <v>641</v>
      </c>
    </row>
    <row r="2085" spans="1:8">
      <c r="A2085" s="13" t="s">
        <v>3180</v>
      </c>
      <c r="B2085" s="13">
        <v>8008781</v>
      </c>
      <c r="C2085" s="13" t="s">
        <v>641</v>
      </c>
      <c r="D2085" s="13" t="s">
        <v>1225</v>
      </c>
      <c r="E2085" s="13">
        <v>2</v>
      </c>
      <c r="F2085" s="13" t="s">
        <v>696</v>
      </c>
      <c r="G2085" s="13" t="s">
        <v>3533</v>
      </c>
      <c r="H2085" s="13" t="s">
        <v>641</v>
      </c>
    </row>
    <row r="2086" spans="1:8">
      <c r="A2086" s="13" t="s">
        <v>3180</v>
      </c>
      <c r="B2086" s="13">
        <v>8008782</v>
      </c>
      <c r="C2086" s="13" t="s">
        <v>641</v>
      </c>
      <c r="D2086" s="13" t="s">
        <v>1226</v>
      </c>
      <c r="E2086" s="13">
        <v>2</v>
      </c>
      <c r="F2086" s="13" t="s">
        <v>696</v>
      </c>
      <c r="G2086" s="13" t="s">
        <v>3533</v>
      </c>
      <c r="H2086" s="13" t="s">
        <v>641</v>
      </c>
    </row>
    <row r="2087" spans="1:8">
      <c r="A2087" s="13" t="s">
        <v>3180</v>
      </c>
      <c r="B2087" s="13">
        <v>8008800</v>
      </c>
      <c r="C2087" s="13" t="s">
        <v>641</v>
      </c>
      <c r="D2087" s="13" t="s">
        <v>1895</v>
      </c>
      <c r="E2087" s="13">
        <v>2</v>
      </c>
      <c r="F2087" s="13" t="s">
        <v>671</v>
      </c>
      <c r="G2087" s="13" t="s">
        <v>677</v>
      </c>
      <c r="H2087" s="13" t="s">
        <v>700</v>
      </c>
    </row>
    <row r="2088" spans="1:8">
      <c r="A2088" s="13" t="s">
        <v>3180</v>
      </c>
      <c r="B2088" s="13">
        <v>8009567</v>
      </c>
      <c r="C2088" s="13" t="s">
        <v>641</v>
      </c>
      <c r="D2088" s="13" t="s">
        <v>502</v>
      </c>
      <c r="E2088" s="13">
        <v>2</v>
      </c>
      <c r="F2088" s="13" t="s">
        <v>671</v>
      </c>
      <c r="G2088" s="13" t="s">
        <v>677</v>
      </c>
      <c r="H2088" s="13" t="s">
        <v>3339</v>
      </c>
    </row>
    <row r="2089" spans="1:8">
      <c r="A2089" s="13" t="s">
        <v>3180</v>
      </c>
      <c r="B2089" s="13">
        <v>8009580</v>
      </c>
      <c r="C2089" s="13" t="s">
        <v>641</v>
      </c>
      <c r="D2089" s="13" t="s">
        <v>1903</v>
      </c>
      <c r="E2089" s="13">
        <v>2</v>
      </c>
      <c r="F2089" s="13" t="s">
        <v>671</v>
      </c>
      <c r="G2089" s="13" t="s">
        <v>677</v>
      </c>
      <c r="H2089" s="13" t="s">
        <v>3535</v>
      </c>
    </row>
    <row r="2090" spans="1:8">
      <c r="A2090" s="13" t="s">
        <v>3180</v>
      </c>
      <c r="B2090" s="13">
        <v>8009586</v>
      </c>
      <c r="C2090" s="13" t="s">
        <v>641</v>
      </c>
      <c r="D2090" s="13" t="s">
        <v>1905</v>
      </c>
      <c r="E2090" s="13">
        <v>2</v>
      </c>
      <c r="F2090" s="13" t="s">
        <v>671</v>
      </c>
      <c r="G2090" s="13" t="s">
        <v>677</v>
      </c>
      <c r="H2090" s="13" t="s">
        <v>3246</v>
      </c>
    </row>
    <row r="2091" spans="1:8">
      <c r="A2091" s="13" t="s">
        <v>3180</v>
      </c>
      <c r="B2091" s="13">
        <v>8009587</v>
      </c>
      <c r="C2091" s="13" t="s">
        <v>641</v>
      </c>
      <c r="D2091" s="13" t="s">
        <v>1906</v>
      </c>
      <c r="E2091" s="13">
        <v>2</v>
      </c>
      <c r="F2091" s="13" t="s">
        <v>671</v>
      </c>
      <c r="G2091" s="13" t="s">
        <v>677</v>
      </c>
      <c r="H2091" s="13" t="s">
        <v>641</v>
      </c>
    </row>
    <row r="2092" spans="1:8">
      <c r="A2092" s="13" t="s">
        <v>3180</v>
      </c>
      <c r="B2092" s="13">
        <v>8009588</v>
      </c>
      <c r="C2092" s="13" t="s">
        <v>641</v>
      </c>
      <c r="D2092" s="13" t="s">
        <v>1907</v>
      </c>
      <c r="E2092" s="13">
        <v>2</v>
      </c>
      <c r="F2092" s="13" t="s">
        <v>671</v>
      </c>
      <c r="G2092" s="13" t="s">
        <v>677</v>
      </c>
      <c r="H2092" s="13" t="s">
        <v>3246</v>
      </c>
    </row>
    <row r="2093" spans="1:8">
      <c r="A2093" s="13" t="s">
        <v>3180</v>
      </c>
      <c r="B2093" s="13">
        <v>8009589</v>
      </c>
      <c r="C2093" s="13" t="s">
        <v>641</v>
      </c>
      <c r="D2093" s="13" t="s">
        <v>1908</v>
      </c>
      <c r="E2093" s="13">
        <v>2</v>
      </c>
      <c r="F2093" s="13" t="s">
        <v>671</v>
      </c>
      <c r="G2093" s="13" t="s">
        <v>677</v>
      </c>
      <c r="H2093" s="13" t="s">
        <v>641</v>
      </c>
    </row>
    <row r="2094" spans="1:8">
      <c r="A2094" s="13" t="s">
        <v>3180</v>
      </c>
      <c r="B2094" s="13">
        <v>8009590</v>
      </c>
      <c r="C2094" s="13" t="s">
        <v>641</v>
      </c>
      <c r="D2094" s="13" t="s">
        <v>1909</v>
      </c>
      <c r="E2094" s="13">
        <v>2</v>
      </c>
      <c r="F2094" s="13" t="s">
        <v>671</v>
      </c>
      <c r="G2094" s="13" t="s">
        <v>677</v>
      </c>
      <c r="H2094" s="13" t="s">
        <v>3246</v>
      </c>
    </row>
    <row r="2095" spans="1:8">
      <c r="A2095" s="13" t="s">
        <v>3180</v>
      </c>
      <c r="B2095" s="13">
        <v>8009591</v>
      </c>
      <c r="C2095" s="13" t="s">
        <v>641</v>
      </c>
      <c r="D2095" s="13" t="s">
        <v>3966</v>
      </c>
      <c r="E2095" s="13">
        <v>2</v>
      </c>
      <c r="F2095" s="13" t="s">
        <v>671</v>
      </c>
      <c r="G2095" s="13" t="s">
        <v>677</v>
      </c>
      <c r="H2095" s="13" t="s">
        <v>3246</v>
      </c>
    </row>
    <row r="2096" spans="1:8">
      <c r="A2096" s="13" t="s">
        <v>3180</v>
      </c>
      <c r="B2096" s="13">
        <v>8009592</v>
      </c>
      <c r="C2096" s="13" t="s">
        <v>641</v>
      </c>
      <c r="D2096" s="13" t="s">
        <v>1911</v>
      </c>
      <c r="E2096" s="13">
        <v>2</v>
      </c>
      <c r="F2096" s="13" t="s">
        <v>671</v>
      </c>
      <c r="G2096" s="13" t="s">
        <v>677</v>
      </c>
      <c r="H2096" s="13" t="s">
        <v>641</v>
      </c>
    </row>
    <row r="2097" spans="1:8">
      <c r="A2097" s="13" t="s">
        <v>3180</v>
      </c>
      <c r="B2097" s="13">
        <v>8009593</v>
      </c>
      <c r="C2097" s="13" t="s">
        <v>641</v>
      </c>
      <c r="D2097" s="13" t="s">
        <v>1912</v>
      </c>
      <c r="E2097" s="13">
        <v>2</v>
      </c>
      <c r="F2097" s="13" t="s">
        <v>671</v>
      </c>
      <c r="G2097" s="13" t="s">
        <v>677</v>
      </c>
      <c r="H2097" s="13" t="s">
        <v>641</v>
      </c>
    </row>
    <row r="2098" spans="1:8">
      <c r="A2098" s="13" t="s">
        <v>3180</v>
      </c>
      <c r="B2098" s="13">
        <v>8009594</v>
      </c>
      <c r="C2098" s="13" t="s">
        <v>641</v>
      </c>
      <c r="D2098" s="13" t="s">
        <v>1913</v>
      </c>
      <c r="E2098" s="13">
        <v>2</v>
      </c>
      <c r="F2098" s="13" t="s">
        <v>671</v>
      </c>
      <c r="G2098" s="13" t="s">
        <v>677</v>
      </c>
      <c r="H2098" s="13" t="s">
        <v>641</v>
      </c>
    </row>
    <row r="2099" spans="1:8">
      <c r="A2099" s="13" t="s">
        <v>3180</v>
      </c>
      <c r="B2099" s="13">
        <v>8009595</v>
      </c>
      <c r="C2099" s="13" t="s">
        <v>641</v>
      </c>
      <c r="D2099" s="13" t="s">
        <v>1914</v>
      </c>
      <c r="E2099" s="13">
        <v>2</v>
      </c>
      <c r="F2099" s="13" t="s">
        <v>671</v>
      </c>
      <c r="G2099" s="13" t="s">
        <v>677</v>
      </c>
      <c r="H2099" s="13" t="s">
        <v>641</v>
      </c>
    </row>
    <row r="2100" spans="1:8">
      <c r="A2100" s="13" t="s">
        <v>3180</v>
      </c>
      <c r="B2100" s="13">
        <v>8009991</v>
      </c>
      <c r="C2100" s="13" t="s">
        <v>641</v>
      </c>
      <c r="D2100" s="13" t="s">
        <v>1918</v>
      </c>
      <c r="E2100" s="13">
        <v>2</v>
      </c>
      <c r="F2100" s="13" t="s">
        <v>709</v>
      </c>
      <c r="G2100" s="13" t="s">
        <v>641</v>
      </c>
      <c r="H2100" s="13" t="s">
        <v>684</v>
      </c>
    </row>
    <row r="2101" spans="1:8">
      <c r="A2101" s="13" t="s">
        <v>3180</v>
      </c>
      <c r="B2101" s="13">
        <v>8009993</v>
      </c>
      <c r="C2101" s="13" t="s">
        <v>641</v>
      </c>
      <c r="D2101" s="13" t="s">
        <v>1920</v>
      </c>
      <c r="E2101" s="13">
        <v>2</v>
      </c>
      <c r="F2101" s="13" t="s">
        <v>709</v>
      </c>
      <c r="G2101" s="13" t="s">
        <v>641</v>
      </c>
      <c r="H2101" s="13" t="s">
        <v>700</v>
      </c>
    </row>
    <row r="2102" spans="1:8">
      <c r="A2102" s="13" t="s">
        <v>3180</v>
      </c>
      <c r="B2102" s="13">
        <v>8010022</v>
      </c>
      <c r="C2102" s="13" t="s">
        <v>641</v>
      </c>
      <c r="D2102" s="13" t="s">
        <v>1924</v>
      </c>
      <c r="E2102" s="13">
        <v>2</v>
      </c>
      <c r="F2102" s="13" t="s">
        <v>671</v>
      </c>
      <c r="G2102" s="13" t="s">
        <v>677</v>
      </c>
      <c r="H2102" s="13" t="s">
        <v>641</v>
      </c>
    </row>
    <row r="2103" spans="1:8">
      <c r="A2103" s="13" t="s">
        <v>3180</v>
      </c>
      <c r="B2103" s="13">
        <v>8010182</v>
      </c>
      <c r="C2103" s="13" t="s">
        <v>641</v>
      </c>
      <c r="D2103" s="13" t="s">
        <v>1929</v>
      </c>
      <c r="E2103" s="13">
        <v>2</v>
      </c>
      <c r="F2103" s="13" t="s">
        <v>709</v>
      </c>
      <c r="G2103" s="13" t="s">
        <v>3342</v>
      </c>
      <c r="H2103" s="13" t="s">
        <v>684</v>
      </c>
    </row>
    <row r="2104" spans="1:8">
      <c r="A2104" s="13" t="s">
        <v>3180</v>
      </c>
      <c r="B2104" s="13">
        <v>8010193</v>
      </c>
      <c r="C2104" s="13" t="s">
        <v>641</v>
      </c>
      <c r="D2104" s="13" t="s">
        <v>1930</v>
      </c>
      <c r="E2104" s="13">
        <v>2</v>
      </c>
      <c r="F2104" s="13" t="s">
        <v>709</v>
      </c>
      <c r="G2104" s="13" t="s">
        <v>3342</v>
      </c>
      <c r="H2104" s="13" t="s">
        <v>684</v>
      </c>
    </row>
    <row r="2105" spans="1:8">
      <c r="A2105" s="13" t="s">
        <v>3180</v>
      </c>
      <c r="B2105" s="13">
        <v>8010194</v>
      </c>
      <c r="C2105" s="13" t="s">
        <v>641</v>
      </c>
      <c r="D2105" s="13" t="s">
        <v>1931</v>
      </c>
      <c r="E2105" s="13">
        <v>2</v>
      </c>
      <c r="F2105" s="13" t="s">
        <v>709</v>
      </c>
      <c r="G2105" s="13" t="s">
        <v>3342</v>
      </c>
      <c r="H2105" s="13" t="s">
        <v>684</v>
      </c>
    </row>
    <row r="2106" spans="1:8">
      <c r="A2106" s="13" t="s">
        <v>3180</v>
      </c>
      <c r="B2106" s="13">
        <v>8010197</v>
      </c>
      <c r="C2106" s="13" t="s">
        <v>641</v>
      </c>
      <c r="D2106" s="13" t="s">
        <v>1932</v>
      </c>
      <c r="E2106" s="13">
        <v>2</v>
      </c>
      <c r="F2106" s="13" t="s">
        <v>709</v>
      </c>
      <c r="G2106" s="13" t="s">
        <v>3374</v>
      </c>
      <c r="H2106" s="13" t="s">
        <v>684</v>
      </c>
    </row>
    <row r="2107" spans="1:8">
      <c r="A2107" s="13" t="s">
        <v>3180</v>
      </c>
      <c r="B2107" s="13">
        <v>8010290</v>
      </c>
      <c r="C2107" s="13" t="s">
        <v>641</v>
      </c>
      <c r="D2107" s="13" t="s">
        <v>1933</v>
      </c>
      <c r="E2107" s="13">
        <v>2</v>
      </c>
      <c r="F2107" s="13" t="s">
        <v>671</v>
      </c>
      <c r="G2107" s="13" t="s">
        <v>677</v>
      </c>
      <c r="H2107" s="13" t="s">
        <v>641</v>
      </c>
    </row>
    <row r="2108" spans="1:8">
      <c r="A2108" s="13" t="s">
        <v>3180</v>
      </c>
      <c r="B2108" s="13">
        <v>8010295</v>
      </c>
      <c r="C2108" s="13" t="s">
        <v>641</v>
      </c>
      <c r="D2108" s="13" t="s">
        <v>1936</v>
      </c>
      <c r="E2108" s="13">
        <v>2</v>
      </c>
      <c r="F2108" s="13" t="s">
        <v>709</v>
      </c>
      <c r="G2108" s="13" t="s">
        <v>641</v>
      </c>
      <c r="H2108" s="13" t="s">
        <v>641</v>
      </c>
    </row>
    <row r="2109" spans="1:8">
      <c r="A2109" s="13" t="s">
        <v>3180</v>
      </c>
      <c r="B2109" s="13">
        <v>8010296</v>
      </c>
      <c r="C2109" s="13" t="s">
        <v>641</v>
      </c>
      <c r="D2109" s="13" t="s">
        <v>1937</v>
      </c>
      <c r="E2109" s="13">
        <v>2</v>
      </c>
      <c r="F2109" s="13" t="s">
        <v>709</v>
      </c>
      <c r="G2109" s="13" t="s">
        <v>641</v>
      </c>
      <c r="H2109" s="13" t="s">
        <v>641</v>
      </c>
    </row>
    <row r="2110" spans="1:8">
      <c r="A2110" s="13" t="s">
        <v>3180</v>
      </c>
      <c r="B2110" s="13">
        <v>8010297</v>
      </c>
      <c r="C2110" s="13" t="s">
        <v>641</v>
      </c>
      <c r="D2110" s="13" t="s">
        <v>1938</v>
      </c>
      <c r="E2110" s="13">
        <v>2</v>
      </c>
      <c r="F2110" s="13" t="s">
        <v>709</v>
      </c>
      <c r="G2110" s="13" t="s">
        <v>641</v>
      </c>
      <c r="H2110" s="13" t="s">
        <v>641</v>
      </c>
    </row>
    <row r="2111" spans="1:8">
      <c r="A2111" s="13" t="s">
        <v>3180</v>
      </c>
      <c r="B2111" s="13">
        <v>8010298</v>
      </c>
      <c r="C2111" s="13" t="s">
        <v>641</v>
      </c>
      <c r="D2111" s="13" t="s">
        <v>1939</v>
      </c>
      <c r="E2111" s="13">
        <v>2</v>
      </c>
      <c r="F2111" s="13" t="s">
        <v>709</v>
      </c>
      <c r="G2111" s="13" t="s">
        <v>641</v>
      </c>
      <c r="H2111" s="13" t="s">
        <v>641</v>
      </c>
    </row>
    <row r="2112" spans="1:8">
      <c r="A2112" s="13" t="s">
        <v>3180</v>
      </c>
      <c r="B2112" s="13">
        <v>8010299</v>
      </c>
      <c r="C2112" s="13" t="s">
        <v>641</v>
      </c>
      <c r="D2112" s="13" t="s">
        <v>1940</v>
      </c>
      <c r="E2112" s="13">
        <v>2</v>
      </c>
      <c r="F2112" s="13" t="s">
        <v>709</v>
      </c>
      <c r="G2112" s="13" t="s">
        <v>641</v>
      </c>
      <c r="H2112" s="13" t="s">
        <v>641</v>
      </c>
    </row>
    <row r="2113" spans="1:8">
      <c r="A2113" s="13" t="s">
        <v>3180</v>
      </c>
      <c r="B2113" s="13">
        <v>8010300</v>
      </c>
      <c r="C2113" s="13" t="s">
        <v>641</v>
      </c>
      <c r="D2113" s="13" t="s">
        <v>1941</v>
      </c>
      <c r="E2113" s="13">
        <v>2</v>
      </c>
      <c r="F2113" s="13" t="s">
        <v>709</v>
      </c>
      <c r="G2113" s="13" t="s">
        <v>641</v>
      </c>
      <c r="H2113" s="13" t="s">
        <v>641</v>
      </c>
    </row>
    <row r="2114" spans="1:8">
      <c r="A2114" s="13" t="s">
        <v>3180</v>
      </c>
      <c r="B2114" s="13">
        <v>8010301</v>
      </c>
      <c r="C2114" s="13" t="s">
        <v>641</v>
      </c>
      <c r="D2114" s="13" t="s">
        <v>1942</v>
      </c>
      <c r="E2114" s="13">
        <v>2</v>
      </c>
      <c r="F2114" s="13" t="s">
        <v>709</v>
      </c>
      <c r="G2114" s="13" t="s">
        <v>641</v>
      </c>
      <c r="H2114" s="13" t="s">
        <v>641</v>
      </c>
    </row>
    <row r="2115" spans="1:8">
      <c r="A2115" s="13" t="s">
        <v>3180</v>
      </c>
      <c r="B2115" s="13">
        <v>8010302</v>
      </c>
      <c r="C2115" s="13" t="s">
        <v>641</v>
      </c>
      <c r="D2115" s="13" t="s">
        <v>1943</v>
      </c>
      <c r="E2115" s="13">
        <v>2</v>
      </c>
      <c r="F2115" s="13" t="s">
        <v>709</v>
      </c>
      <c r="G2115" s="13" t="s">
        <v>641</v>
      </c>
      <c r="H2115" s="13" t="s">
        <v>641</v>
      </c>
    </row>
    <row r="2116" spans="1:8">
      <c r="A2116" s="13" t="s">
        <v>3180</v>
      </c>
      <c r="B2116" s="13">
        <v>8010303</v>
      </c>
      <c r="C2116" s="13" t="s">
        <v>641</v>
      </c>
      <c r="D2116" s="13" t="s">
        <v>1944</v>
      </c>
      <c r="E2116" s="13">
        <v>2</v>
      </c>
      <c r="F2116" s="13" t="s">
        <v>671</v>
      </c>
      <c r="G2116" s="13" t="s">
        <v>677</v>
      </c>
      <c r="H2116" s="13" t="s">
        <v>641</v>
      </c>
    </row>
    <row r="2117" spans="1:8">
      <c r="A2117" s="13" t="s">
        <v>3180</v>
      </c>
      <c r="B2117" s="13">
        <v>8010370</v>
      </c>
      <c r="C2117" s="13" t="s">
        <v>641</v>
      </c>
      <c r="D2117" s="13" t="s">
        <v>1946</v>
      </c>
      <c r="E2117" s="13">
        <v>2</v>
      </c>
      <c r="F2117" s="13" t="s">
        <v>671</v>
      </c>
      <c r="G2117" s="13" t="s">
        <v>677</v>
      </c>
      <c r="H2117" s="13" t="s">
        <v>641</v>
      </c>
    </row>
    <row r="2118" spans="1:8">
      <c r="A2118" s="13" t="s">
        <v>3180</v>
      </c>
      <c r="B2118" s="13">
        <v>8010381</v>
      </c>
      <c r="C2118" s="13" t="s">
        <v>641</v>
      </c>
      <c r="D2118" s="13" t="s">
        <v>1947</v>
      </c>
      <c r="E2118" s="13">
        <v>2</v>
      </c>
      <c r="F2118" s="13" t="s">
        <v>671</v>
      </c>
      <c r="G2118" s="13" t="s">
        <v>677</v>
      </c>
      <c r="H2118" s="13" t="s">
        <v>641</v>
      </c>
    </row>
    <row r="2119" spans="1:8">
      <c r="A2119" s="13" t="s">
        <v>3180</v>
      </c>
      <c r="B2119" s="13">
        <v>8010414</v>
      </c>
      <c r="C2119" s="13" t="s">
        <v>641</v>
      </c>
      <c r="D2119" s="13" t="s">
        <v>3967</v>
      </c>
      <c r="E2119" s="13">
        <v>2</v>
      </c>
      <c r="F2119" s="13" t="s">
        <v>709</v>
      </c>
      <c r="G2119" s="13" t="s">
        <v>709</v>
      </c>
      <c r="H2119" s="13" t="s">
        <v>3183</v>
      </c>
    </row>
    <row r="2120" spans="1:8">
      <c r="A2120" s="13" t="s">
        <v>3180</v>
      </c>
      <c r="B2120" s="13">
        <v>8010415</v>
      </c>
      <c r="C2120" s="13" t="s">
        <v>641</v>
      </c>
      <c r="D2120" s="13" t="s">
        <v>3968</v>
      </c>
      <c r="E2120" s="13">
        <v>2</v>
      </c>
      <c r="F2120" s="13" t="s">
        <v>709</v>
      </c>
      <c r="G2120" s="13" t="s">
        <v>709</v>
      </c>
      <c r="H2120" s="13" t="s">
        <v>3183</v>
      </c>
    </row>
    <row r="2121" spans="1:8">
      <c r="A2121" s="13" t="s">
        <v>3180</v>
      </c>
      <c r="B2121" s="13">
        <v>8010416</v>
      </c>
      <c r="C2121" s="13" t="s">
        <v>641</v>
      </c>
      <c r="D2121" s="13" t="s">
        <v>3969</v>
      </c>
      <c r="E2121" s="13">
        <v>2</v>
      </c>
      <c r="F2121" s="13" t="s">
        <v>709</v>
      </c>
      <c r="G2121" s="13" t="s">
        <v>709</v>
      </c>
      <c r="H2121" s="13" t="s">
        <v>3183</v>
      </c>
    </row>
    <row r="2122" spans="1:8">
      <c r="A2122" s="13" t="s">
        <v>3180</v>
      </c>
      <c r="B2122" s="13">
        <v>8010417</v>
      </c>
      <c r="C2122" s="13" t="s">
        <v>641</v>
      </c>
      <c r="D2122" s="13" t="s">
        <v>3970</v>
      </c>
      <c r="E2122" s="13">
        <v>2</v>
      </c>
      <c r="F2122" s="13" t="s">
        <v>709</v>
      </c>
      <c r="G2122" s="13" t="s">
        <v>709</v>
      </c>
      <c r="H2122" s="13" t="s">
        <v>3183</v>
      </c>
    </row>
    <row r="2123" spans="1:8">
      <c r="A2123" s="13" t="s">
        <v>3180</v>
      </c>
      <c r="B2123" s="13">
        <v>8010418</v>
      </c>
      <c r="C2123" s="13" t="s">
        <v>641</v>
      </c>
      <c r="D2123" s="13" t="s">
        <v>3971</v>
      </c>
      <c r="E2123" s="13">
        <v>2</v>
      </c>
      <c r="F2123" s="13" t="s">
        <v>709</v>
      </c>
      <c r="G2123" s="13" t="s">
        <v>709</v>
      </c>
      <c r="H2123" s="13" t="s">
        <v>3183</v>
      </c>
    </row>
    <row r="2124" spans="1:8">
      <c r="A2124" s="13" t="s">
        <v>3180</v>
      </c>
      <c r="B2124" s="13">
        <v>8010487</v>
      </c>
      <c r="C2124" s="13" t="s">
        <v>641</v>
      </c>
      <c r="D2124" s="13" t="s">
        <v>1949</v>
      </c>
      <c r="E2124" s="13">
        <v>2</v>
      </c>
      <c r="F2124" s="13" t="s">
        <v>671</v>
      </c>
      <c r="G2124" s="13" t="s">
        <v>677</v>
      </c>
      <c r="H2124" s="13" t="s">
        <v>641</v>
      </c>
    </row>
    <row r="2125" spans="1:8">
      <c r="A2125" s="13" t="s">
        <v>3180</v>
      </c>
      <c r="B2125" s="13">
        <v>8010499</v>
      </c>
      <c r="C2125" s="13" t="s">
        <v>641</v>
      </c>
      <c r="D2125" s="13" t="s">
        <v>1950</v>
      </c>
      <c r="E2125" s="13">
        <v>2</v>
      </c>
      <c r="F2125" s="13" t="s">
        <v>709</v>
      </c>
      <c r="G2125" s="13" t="s">
        <v>641</v>
      </c>
      <c r="H2125" s="13" t="s">
        <v>3339</v>
      </c>
    </row>
    <row r="2126" spans="1:8">
      <c r="A2126" s="13" t="s">
        <v>3180</v>
      </c>
      <c r="B2126" s="13">
        <v>8010500</v>
      </c>
      <c r="C2126" s="13" t="s">
        <v>641</v>
      </c>
      <c r="D2126" s="13" t="s">
        <v>1951</v>
      </c>
      <c r="E2126" s="13">
        <v>2</v>
      </c>
      <c r="F2126" s="13" t="s">
        <v>709</v>
      </c>
      <c r="G2126" s="13" t="s">
        <v>641</v>
      </c>
      <c r="H2126" s="13" t="s">
        <v>3339</v>
      </c>
    </row>
    <row r="2127" spans="1:8">
      <c r="A2127" s="13" t="s">
        <v>3180</v>
      </c>
      <c r="B2127" s="13">
        <v>8010502</v>
      </c>
      <c r="C2127" s="13" t="s">
        <v>641</v>
      </c>
      <c r="D2127" s="13" t="s">
        <v>1952</v>
      </c>
      <c r="E2127" s="13">
        <v>2</v>
      </c>
      <c r="F2127" s="13" t="s">
        <v>709</v>
      </c>
      <c r="G2127" s="13" t="s">
        <v>709</v>
      </c>
      <c r="H2127" s="13" t="s">
        <v>3183</v>
      </c>
    </row>
    <row r="2128" spans="1:8">
      <c r="A2128" s="13" t="s">
        <v>3180</v>
      </c>
      <c r="B2128" s="13">
        <v>8010511</v>
      </c>
      <c r="C2128" s="13" t="s">
        <v>641</v>
      </c>
      <c r="D2128" s="13" t="s">
        <v>1953</v>
      </c>
      <c r="E2128" s="13">
        <v>2</v>
      </c>
      <c r="F2128" s="13" t="s">
        <v>671</v>
      </c>
      <c r="G2128" s="13" t="s">
        <v>677</v>
      </c>
      <c r="H2128" s="13" t="s">
        <v>3183</v>
      </c>
    </row>
    <row r="2129" spans="1:8">
      <c r="A2129" s="13" t="s">
        <v>3180</v>
      </c>
      <c r="B2129" s="13">
        <v>8010544</v>
      </c>
      <c r="C2129" s="13" t="s">
        <v>641</v>
      </c>
      <c r="D2129" s="13" t="s">
        <v>3972</v>
      </c>
      <c r="E2129" s="13">
        <v>2</v>
      </c>
      <c r="F2129" s="13" t="s">
        <v>696</v>
      </c>
      <c r="G2129" s="13" t="s">
        <v>641</v>
      </c>
      <c r="H2129" s="13" t="s">
        <v>3339</v>
      </c>
    </row>
    <row r="2130" spans="1:8">
      <c r="A2130" s="13" t="s">
        <v>3180</v>
      </c>
      <c r="B2130" s="13">
        <v>8010545</v>
      </c>
      <c r="C2130" s="13" t="s">
        <v>641</v>
      </c>
      <c r="D2130" s="13" t="s">
        <v>3973</v>
      </c>
      <c r="E2130" s="13">
        <v>2</v>
      </c>
      <c r="F2130" s="13" t="s">
        <v>696</v>
      </c>
      <c r="G2130" s="13" t="s">
        <v>641</v>
      </c>
      <c r="H2130" s="13" t="s">
        <v>3339</v>
      </c>
    </row>
    <row r="2131" spans="1:8">
      <c r="A2131" s="13" t="s">
        <v>3180</v>
      </c>
      <c r="B2131" s="13">
        <v>8010546</v>
      </c>
      <c r="C2131" s="13" t="s">
        <v>641</v>
      </c>
      <c r="D2131" s="13" t="s">
        <v>3974</v>
      </c>
      <c r="E2131" s="13">
        <v>2</v>
      </c>
      <c r="F2131" s="13" t="s">
        <v>696</v>
      </c>
      <c r="G2131" s="13" t="s">
        <v>641</v>
      </c>
      <c r="H2131" s="13" t="s">
        <v>3339</v>
      </c>
    </row>
    <row r="2132" spans="1:8">
      <c r="A2132" s="13" t="s">
        <v>3180</v>
      </c>
      <c r="B2132" s="13">
        <v>8010547</v>
      </c>
      <c r="C2132" s="13" t="s">
        <v>641</v>
      </c>
      <c r="D2132" s="13" t="s">
        <v>3975</v>
      </c>
      <c r="E2132" s="13">
        <v>2</v>
      </c>
      <c r="F2132" s="13" t="s">
        <v>696</v>
      </c>
      <c r="G2132" s="13" t="s">
        <v>641</v>
      </c>
      <c r="H2132" s="13" t="s">
        <v>3339</v>
      </c>
    </row>
    <row r="2133" spans="1:8">
      <c r="A2133" s="13" t="s">
        <v>3180</v>
      </c>
      <c r="B2133" s="13">
        <v>8010548</v>
      </c>
      <c r="C2133" s="13" t="s">
        <v>641</v>
      </c>
      <c r="D2133" s="13" t="s">
        <v>3976</v>
      </c>
      <c r="E2133" s="13">
        <v>2</v>
      </c>
      <c r="F2133" s="13" t="s">
        <v>696</v>
      </c>
      <c r="G2133" s="13" t="s">
        <v>641</v>
      </c>
      <c r="H2133" s="13" t="s">
        <v>3339</v>
      </c>
    </row>
    <row r="2134" spans="1:8">
      <c r="A2134" s="13" t="s">
        <v>3180</v>
      </c>
      <c r="B2134" s="13">
        <v>8010549</v>
      </c>
      <c r="C2134" s="13" t="s">
        <v>641</v>
      </c>
      <c r="D2134" s="13" t="s">
        <v>3977</v>
      </c>
      <c r="E2134" s="13">
        <v>2</v>
      </c>
      <c r="F2134" s="13" t="s">
        <v>696</v>
      </c>
      <c r="G2134" s="13" t="s">
        <v>641</v>
      </c>
      <c r="H2134" s="13" t="s">
        <v>3339</v>
      </c>
    </row>
    <row r="2135" spans="1:8">
      <c r="A2135" s="13" t="s">
        <v>3180</v>
      </c>
      <c r="B2135" s="13">
        <v>8700663</v>
      </c>
      <c r="C2135" s="13" t="s">
        <v>641</v>
      </c>
      <c r="D2135" s="13" t="s">
        <v>2251</v>
      </c>
      <c r="E2135" s="13">
        <v>2</v>
      </c>
      <c r="F2135" s="13" t="s">
        <v>671</v>
      </c>
      <c r="G2135" s="13" t="s">
        <v>678</v>
      </c>
      <c r="H2135" s="13" t="s">
        <v>641</v>
      </c>
    </row>
    <row r="2136" spans="1:8">
      <c r="A2136" s="13" t="s">
        <v>3180</v>
      </c>
      <c r="B2136" s="13">
        <v>8702100</v>
      </c>
      <c r="C2136" s="13" t="s">
        <v>641</v>
      </c>
      <c r="D2136" s="13" t="s">
        <v>2253</v>
      </c>
      <c r="E2136" s="13">
        <v>2</v>
      </c>
      <c r="F2136" s="13" t="s">
        <v>671</v>
      </c>
      <c r="G2136" s="13" t="s">
        <v>678</v>
      </c>
      <c r="H2136" s="13" t="s">
        <v>641</v>
      </c>
    </row>
    <row r="2137" spans="1:8">
      <c r="A2137" s="13" t="s">
        <v>3180</v>
      </c>
      <c r="B2137" s="13">
        <v>8702484</v>
      </c>
      <c r="C2137" s="13" t="s">
        <v>641</v>
      </c>
      <c r="D2137" s="13" t="s">
        <v>2255</v>
      </c>
      <c r="E2137" s="13">
        <v>2</v>
      </c>
      <c r="F2137" s="13" t="s">
        <v>671</v>
      </c>
      <c r="G2137" s="13" t="s">
        <v>678</v>
      </c>
      <c r="H2137" s="13" t="s">
        <v>641</v>
      </c>
    </row>
    <row r="2138" spans="1:8">
      <c r="A2138" s="13" t="s">
        <v>3180</v>
      </c>
      <c r="B2138" s="13">
        <v>8702485</v>
      </c>
      <c r="C2138" s="13" t="s">
        <v>641</v>
      </c>
      <c r="D2138" s="13" t="s">
        <v>2256</v>
      </c>
      <c r="E2138" s="13">
        <v>2</v>
      </c>
      <c r="F2138" s="13" t="s">
        <v>671</v>
      </c>
      <c r="G2138" s="13" t="s">
        <v>678</v>
      </c>
      <c r="H2138" s="13" t="s">
        <v>641</v>
      </c>
    </row>
    <row r="2139" spans="1:8">
      <c r="A2139" s="13" t="s">
        <v>3180</v>
      </c>
      <c r="B2139" s="13">
        <v>8702486</v>
      </c>
      <c r="C2139" s="13" t="s">
        <v>641</v>
      </c>
      <c r="D2139" s="13" t="s">
        <v>2257</v>
      </c>
      <c r="E2139" s="13">
        <v>2</v>
      </c>
      <c r="F2139" s="13" t="s">
        <v>671</v>
      </c>
      <c r="G2139" s="13" t="s">
        <v>678</v>
      </c>
      <c r="H2139" s="13" t="s">
        <v>641</v>
      </c>
    </row>
    <row r="2140" spans="1:8">
      <c r="A2140" s="13" t="s">
        <v>3180</v>
      </c>
      <c r="B2140" s="13">
        <v>8702487</v>
      </c>
      <c r="C2140" s="13" t="s">
        <v>641</v>
      </c>
      <c r="D2140" s="13" t="s">
        <v>2258</v>
      </c>
      <c r="E2140" s="13">
        <v>2</v>
      </c>
      <c r="F2140" s="13" t="s">
        <v>671</v>
      </c>
      <c r="G2140" s="13" t="s">
        <v>678</v>
      </c>
      <c r="H2140" s="13" t="s">
        <v>641</v>
      </c>
    </row>
    <row r="2141" spans="1:8">
      <c r="A2141" s="13" t="s">
        <v>3180</v>
      </c>
      <c r="B2141" s="13">
        <v>8702488</v>
      </c>
      <c r="C2141" s="13" t="s">
        <v>641</v>
      </c>
      <c r="D2141" s="13" t="s">
        <v>2259</v>
      </c>
      <c r="E2141" s="13">
        <v>2</v>
      </c>
      <c r="F2141" s="13" t="s">
        <v>671</v>
      </c>
      <c r="G2141" s="13" t="s">
        <v>678</v>
      </c>
      <c r="H2141" s="13" t="s">
        <v>641</v>
      </c>
    </row>
    <row r="2142" spans="1:8">
      <c r="A2142" s="13" t="s">
        <v>3180</v>
      </c>
      <c r="B2142" s="13">
        <v>8702489</v>
      </c>
      <c r="C2142" s="13" t="s">
        <v>641</v>
      </c>
      <c r="D2142" s="13" t="s">
        <v>2260</v>
      </c>
      <c r="E2142" s="13">
        <v>2</v>
      </c>
      <c r="F2142" s="13" t="s">
        <v>709</v>
      </c>
      <c r="G2142" s="13" t="s">
        <v>3373</v>
      </c>
      <c r="H2142" s="13" t="s">
        <v>641</v>
      </c>
    </row>
    <row r="2143" spans="1:8">
      <c r="A2143" s="13" t="s">
        <v>3180</v>
      </c>
      <c r="B2143" s="13">
        <v>8702490</v>
      </c>
      <c r="C2143" s="13" t="s">
        <v>641</v>
      </c>
      <c r="D2143" s="13" t="s">
        <v>2261</v>
      </c>
      <c r="E2143" s="13">
        <v>2</v>
      </c>
      <c r="F2143" s="13" t="s">
        <v>709</v>
      </c>
      <c r="G2143" s="13" t="s">
        <v>3373</v>
      </c>
      <c r="H2143" s="13" t="s">
        <v>641</v>
      </c>
    </row>
    <row r="2144" spans="1:8">
      <c r="A2144" s="13" t="s">
        <v>3180</v>
      </c>
      <c r="B2144" s="13">
        <v>8702491</v>
      </c>
      <c r="C2144" s="13" t="s">
        <v>641</v>
      </c>
      <c r="D2144" s="13" t="s">
        <v>2262</v>
      </c>
      <c r="E2144" s="13">
        <v>2</v>
      </c>
      <c r="F2144" s="13" t="s">
        <v>709</v>
      </c>
      <c r="G2144" s="13" t="s">
        <v>3373</v>
      </c>
      <c r="H2144" s="13" t="s">
        <v>641</v>
      </c>
    </row>
    <row r="2145" spans="1:8">
      <c r="A2145" s="13" t="s">
        <v>3180</v>
      </c>
      <c r="B2145" s="13">
        <v>8702492</v>
      </c>
      <c r="C2145" s="13" t="s">
        <v>641</v>
      </c>
      <c r="D2145" s="13" t="s">
        <v>2263</v>
      </c>
      <c r="E2145" s="13">
        <v>2</v>
      </c>
      <c r="F2145" s="13" t="s">
        <v>709</v>
      </c>
      <c r="G2145" s="13" t="s">
        <v>3373</v>
      </c>
      <c r="H2145" s="13" t="s">
        <v>641</v>
      </c>
    </row>
    <row r="2146" spans="1:8">
      <c r="A2146" s="13" t="s">
        <v>3180</v>
      </c>
      <c r="B2146" s="13">
        <v>8702495</v>
      </c>
      <c r="C2146" s="13" t="s">
        <v>641</v>
      </c>
      <c r="D2146" s="13" t="s">
        <v>2264</v>
      </c>
      <c r="E2146" s="13">
        <v>2</v>
      </c>
      <c r="F2146" s="13" t="s">
        <v>709</v>
      </c>
      <c r="G2146" s="13" t="s">
        <v>3373</v>
      </c>
      <c r="H2146" s="13" t="s">
        <v>641</v>
      </c>
    </row>
    <row r="2147" spans="1:8">
      <c r="A2147" s="13" t="s">
        <v>3180</v>
      </c>
      <c r="B2147" s="13">
        <v>8702496</v>
      </c>
      <c r="C2147" s="13" t="s">
        <v>641</v>
      </c>
      <c r="D2147" s="13" t="s">
        <v>2265</v>
      </c>
      <c r="E2147" s="13">
        <v>2</v>
      </c>
      <c r="F2147" s="13" t="s">
        <v>709</v>
      </c>
      <c r="G2147" s="13" t="s">
        <v>3373</v>
      </c>
      <c r="H2147" s="13" t="s">
        <v>641</v>
      </c>
    </row>
    <row r="2148" spans="1:8">
      <c r="A2148" s="13" t="s">
        <v>3180</v>
      </c>
      <c r="B2148" s="13">
        <v>8702497</v>
      </c>
      <c r="C2148" s="13" t="s">
        <v>641</v>
      </c>
      <c r="D2148" s="13" t="s">
        <v>3978</v>
      </c>
      <c r="E2148" s="13">
        <v>2</v>
      </c>
      <c r="F2148" s="13" t="s">
        <v>671</v>
      </c>
      <c r="G2148" s="13" t="s">
        <v>678</v>
      </c>
      <c r="H2148" s="13" t="s">
        <v>641</v>
      </c>
    </row>
    <row r="2149" spans="1:8">
      <c r="A2149" s="13" t="s">
        <v>3180</v>
      </c>
      <c r="B2149" s="13">
        <v>8702511</v>
      </c>
      <c r="C2149" s="13" t="s">
        <v>641</v>
      </c>
      <c r="D2149" s="13" t="s">
        <v>3979</v>
      </c>
      <c r="E2149" s="13">
        <v>2</v>
      </c>
      <c r="F2149" s="13" t="s">
        <v>671</v>
      </c>
      <c r="G2149" s="13" t="s">
        <v>678</v>
      </c>
      <c r="H2149" s="13" t="s">
        <v>641</v>
      </c>
    </row>
    <row r="2150" spans="1:8">
      <c r="A2150" s="13" t="s">
        <v>3180</v>
      </c>
      <c r="B2150" s="13">
        <v>8702589</v>
      </c>
      <c r="C2150" s="13" t="s">
        <v>641</v>
      </c>
      <c r="D2150" s="13" t="s">
        <v>2266</v>
      </c>
      <c r="E2150" s="13">
        <v>2</v>
      </c>
      <c r="F2150" s="13" t="s">
        <v>709</v>
      </c>
      <c r="G2150" s="13" t="s">
        <v>3373</v>
      </c>
      <c r="H2150" s="13" t="s">
        <v>641</v>
      </c>
    </row>
    <row r="2151" spans="1:8">
      <c r="A2151" s="13" t="s">
        <v>3180</v>
      </c>
      <c r="B2151" s="13">
        <v>8702659</v>
      </c>
      <c r="C2151" s="13" t="s">
        <v>641</v>
      </c>
      <c r="D2151" s="13" t="s">
        <v>2267</v>
      </c>
      <c r="E2151" s="13">
        <v>2</v>
      </c>
      <c r="F2151" s="13" t="s">
        <v>709</v>
      </c>
      <c r="G2151" s="13" t="s">
        <v>3373</v>
      </c>
      <c r="H2151" s="13" t="s">
        <v>641</v>
      </c>
    </row>
    <row r="2152" spans="1:8">
      <c r="A2152" s="13" t="s">
        <v>3180</v>
      </c>
      <c r="B2152" s="13">
        <v>8702660</v>
      </c>
      <c r="C2152" s="13" t="s">
        <v>641</v>
      </c>
      <c r="D2152" s="13" t="s">
        <v>2268</v>
      </c>
      <c r="E2152" s="13">
        <v>2</v>
      </c>
      <c r="F2152" s="13" t="s">
        <v>709</v>
      </c>
      <c r="G2152" s="13" t="s">
        <v>3373</v>
      </c>
      <c r="H2152" s="13" t="s">
        <v>641</v>
      </c>
    </row>
    <row r="2153" spans="1:8">
      <c r="A2153" s="13" t="s">
        <v>3180</v>
      </c>
      <c r="B2153" s="13">
        <v>8702661</v>
      </c>
      <c r="C2153" s="13" t="s">
        <v>641</v>
      </c>
      <c r="D2153" s="13" t="s">
        <v>2269</v>
      </c>
      <c r="E2153" s="13">
        <v>2</v>
      </c>
      <c r="F2153" s="13" t="s">
        <v>709</v>
      </c>
      <c r="G2153" s="13" t="s">
        <v>3373</v>
      </c>
      <c r="H2153" s="13" t="s">
        <v>641</v>
      </c>
    </row>
    <row r="2154" spans="1:8">
      <c r="A2154" s="13" t="s">
        <v>3180</v>
      </c>
      <c r="B2154" s="13">
        <v>8702676</v>
      </c>
      <c r="C2154" s="13" t="s">
        <v>641</v>
      </c>
      <c r="D2154" s="13" t="s">
        <v>1082</v>
      </c>
      <c r="E2154" s="13">
        <v>2</v>
      </c>
      <c r="F2154" s="13" t="s">
        <v>696</v>
      </c>
      <c r="G2154" s="13" t="s">
        <v>3533</v>
      </c>
      <c r="H2154" s="13" t="s">
        <v>641</v>
      </c>
    </row>
    <row r="2155" spans="1:8">
      <c r="A2155" s="13" t="s">
        <v>3180</v>
      </c>
      <c r="B2155" s="13">
        <v>8702708</v>
      </c>
      <c r="C2155" s="13" t="s">
        <v>641</v>
      </c>
      <c r="D2155" s="13" t="s">
        <v>2270</v>
      </c>
      <c r="E2155" s="13">
        <v>2</v>
      </c>
      <c r="F2155" s="13" t="s">
        <v>709</v>
      </c>
      <c r="G2155" s="13" t="s">
        <v>3373</v>
      </c>
      <c r="H2155" s="13" t="s">
        <v>641</v>
      </c>
    </row>
    <row r="2156" spans="1:8">
      <c r="A2156" s="13" t="s">
        <v>3180</v>
      </c>
      <c r="B2156" s="13">
        <v>8702715</v>
      </c>
      <c r="C2156" s="13" t="s">
        <v>641</v>
      </c>
      <c r="D2156" s="13" t="s">
        <v>2271</v>
      </c>
      <c r="E2156" s="13">
        <v>2</v>
      </c>
      <c r="F2156" s="13" t="s">
        <v>709</v>
      </c>
      <c r="G2156" s="13" t="s">
        <v>3373</v>
      </c>
      <c r="H2156" s="13" t="s">
        <v>641</v>
      </c>
    </row>
    <row r="2157" spans="1:8">
      <c r="A2157" s="13" t="s">
        <v>3180</v>
      </c>
      <c r="B2157" s="13">
        <v>8702808</v>
      </c>
      <c r="C2157" s="13" t="s">
        <v>641</v>
      </c>
      <c r="D2157" s="13" t="s">
        <v>2272</v>
      </c>
      <c r="E2157" s="13">
        <v>2</v>
      </c>
      <c r="F2157" s="13" t="s">
        <v>671</v>
      </c>
      <c r="G2157" s="13" t="s">
        <v>677</v>
      </c>
      <c r="H2157" s="13" t="s">
        <v>3187</v>
      </c>
    </row>
    <row r="2158" spans="1:8">
      <c r="A2158" s="13" t="s">
        <v>3180</v>
      </c>
      <c r="B2158" s="13">
        <v>8702835</v>
      </c>
      <c r="C2158" s="13" t="s">
        <v>641</v>
      </c>
      <c r="D2158" s="13" t="s">
        <v>2273</v>
      </c>
      <c r="E2158" s="13">
        <v>2</v>
      </c>
      <c r="F2158" s="13" t="s">
        <v>709</v>
      </c>
      <c r="G2158" s="13" t="s">
        <v>3373</v>
      </c>
      <c r="H2158" s="13" t="s">
        <v>641</v>
      </c>
    </row>
    <row r="2159" spans="1:8">
      <c r="A2159" s="13" t="s">
        <v>3180</v>
      </c>
      <c r="B2159" s="13">
        <v>8702836</v>
      </c>
      <c r="C2159" s="13" t="s">
        <v>641</v>
      </c>
      <c r="D2159" s="13" t="s">
        <v>3980</v>
      </c>
      <c r="E2159" s="13">
        <v>2</v>
      </c>
      <c r="F2159" s="13" t="s">
        <v>709</v>
      </c>
      <c r="G2159" s="13" t="s">
        <v>3373</v>
      </c>
      <c r="H2159" s="13" t="s">
        <v>641</v>
      </c>
    </row>
    <row r="2160" spans="1:8">
      <c r="A2160" s="13" t="s">
        <v>3180</v>
      </c>
      <c r="B2160" s="13">
        <v>8702837</v>
      </c>
      <c r="C2160" s="13" t="s">
        <v>641</v>
      </c>
      <c r="D2160" s="13" t="s">
        <v>2275</v>
      </c>
      <c r="E2160" s="13">
        <v>2</v>
      </c>
      <c r="F2160" s="13" t="s">
        <v>709</v>
      </c>
      <c r="G2160" s="13" t="s">
        <v>3373</v>
      </c>
      <c r="H2160" s="13" t="s">
        <v>641</v>
      </c>
    </row>
    <row r="2161" spans="1:8">
      <c r="A2161" s="13" t="s">
        <v>3180</v>
      </c>
      <c r="B2161" s="13">
        <v>8702839</v>
      </c>
      <c r="C2161" s="13" t="s">
        <v>641</v>
      </c>
      <c r="D2161" s="13" t="s">
        <v>2276</v>
      </c>
      <c r="E2161" s="13">
        <v>2</v>
      </c>
      <c r="F2161" s="13" t="s">
        <v>709</v>
      </c>
      <c r="G2161" s="13" t="s">
        <v>3373</v>
      </c>
      <c r="H2161" s="13" t="s">
        <v>641</v>
      </c>
    </row>
    <row r="2162" spans="1:8">
      <c r="A2162" s="13" t="s">
        <v>3180</v>
      </c>
      <c r="B2162" s="13">
        <v>8702840</v>
      </c>
      <c r="C2162" s="13" t="s">
        <v>641</v>
      </c>
      <c r="D2162" s="13" t="s">
        <v>2277</v>
      </c>
      <c r="E2162" s="13">
        <v>2</v>
      </c>
      <c r="F2162" s="13" t="s">
        <v>709</v>
      </c>
      <c r="G2162" s="13" t="s">
        <v>3373</v>
      </c>
      <c r="H2162" s="13" t="s">
        <v>641</v>
      </c>
    </row>
    <row r="2163" spans="1:8">
      <c r="A2163" s="13" t="s">
        <v>3180</v>
      </c>
      <c r="B2163" s="13">
        <v>8703238</v>
      </c>
      <c r="C2163" s="13" t="s">
        <v>641</v>
      </c>
      <c r="D2163" s="13" t="s">
        <v>2278</v>
      </c>
      <c r="E2163" s="13">
        <v>2</v>
      </c>
      <c r="F2163" s="13" t="s">
        <v>709</v>
      </c>
      <c r="G2163" s="13" t="s">
        <v>3373</v>
      </c>
      <c r="H2163" s="13" t="s">
        <v>641</v>
      </c>
    </row>
    <row r="2164" spans="1:8">
      <c r="A2164" s="13" t="s">
        <v>3180</v>
      </c>
      <c r="B2164" s="13">
        <v>8703239</v>
      </c>
      <c r="C2164" s="13" t="s">
        <v>641</v>
      </c>
      <c r="D2164" s="13" t="s">
        <v>2279</v>
      </c>
      <c r="E2164" s="13">
        <v>2</v>
      </c>
      <c r="F2164" s="13" t="s">
        <v>709</v>
      </c>
      <c r="G2164" s="13" t="s">
        <v>3373</v>
      </c>
      <c r="H2164" s="13" t="s">
        <v>641</v>
      </c>
    </row>
    <row r="2165" spans="1:8">
      <c r="A2165" s="13" t="s">
        <v>3180</v>
      </c>
      <c r="B2165" s="13">
        <v>8703240</v>
      </c>
      <c r="C2165" s="13" t="s">
        <v>641</v>
      </c>
      <c r="D2165" s="13" t="s">
        <v>2280</v>
      </c>
      <c r="E2165" s="13">
        <v>2</v>
      </c>
      <c r="F2165" s="13" t="s">
        <v>709</v>
      </c>
      <c r="G2165" s="13" t="s">
        <v>3373</v>
      </c>
      <c r="H2165" s="13" t="s">
        <v>641</v>
      </c>
    </row>
    <row r="2166" spans="1:8">
      <c r="A2166" s="13" t="s">
        <v>3180</v>
      </c>
      <c r="B2166" s="13">
        <v>8703267</v>
      </c>
      <c r="C2166" s="13" t="s">
        <v>641</v>
      </c>
      <c r="D2166" s="13" t="s">
        <v>2282</v>
      </c>
      <c r="E2166" s="13">
        <v>2</v>
      </c>
      <c r="F2166" s="13" t="s">
        <v>671</v>
      </c>
      <c r="G2166" s="13" t="s">
        <v>677</v>
      </c>
      <c r="H2166" s="13" t="s">
        <v>641</v>
      </c>
    </row>
    <row r="2167" spans="1:8">
      <c r="A2167" s="13" t="s">
        <v>3180</v>
      </c>
      <c r="B2167" s="13">
        <v>8703271</v>
      </c>
      <c r="C2167" s="13" t="s">
        <v>641</v>
      </c>
      <c r="D2167" s="13" t="s">
        <v>3981</v>
      </c>
      <c r="E2167" s="13">
        <v>2</v>
      </c>
      <c r="F2167" s="13" t="s">
        <v>696</v>
      </c>
      <c r="G2167" s="13" t="s">
        <v>641</v>
      </c>
      <c r="H2167" s="13" t="s">
        <v>641</v>
      </c>
    </row>
    <row r="2168" spans="1:8">
      <c r="A2168" s="13" t="s">
        <v>3180</v>
      </c>
      <c r="B2168" s="13">
        <v>8703272</v>
      </c>
      <c r="C2168" s="13" t="s">
        <v>641</v>
      </c>
      <c r="D2168" s="13" t="s">
        <v>1278</v>
      </c>
      <c r="E2168" s="13">
        <v>2</v>
      </c>
      <c r="F2168" s="13" t="s">
        <v>696</v>
      </c>
      <c r="G2168" s="13" t="s">
        <v>641</v>
      </c>
      <c r="H2168" s="13" t="s">
        <v>641</v>
      </c>
    </row>
    <row r="2169" spans="1:8">
      <c r="A2169" s="13" t="s">
        <v>3180</v>
      </c>
      <c r="B2169" s="13">
        <v>8703273</v>
      </c>
      <c r="C2169" s="13" t="s">
        <v>641</v>
      </c>
      <c r="D2169" s="13" t="s">
        <v>1279</v>
      </c>
      <c r="E2169" s="13">
        <v>2</v>
      </c>
      <c r="F2169" s="13" t="s">
        <v>696</v>
      </c>
      <c r="G2169" s="13" t="s">
        <v>641</v>
      </c>
      <c r="H2169" s="13" t="s">
        <v>641</v>
      </c>
    </row>
    <row r="2170" spans="1:8">
      <c r="A2170" s="13" t="s">
        <v>3180</v>
      </c>
      <c r="B2170" s="13">
        <v>8703274</v>
      </c>
      <c r="C2170" s="13" t="s">
        <v>641</v>
      </c>
      <c r="D2170" s="13" t="s">
        <v>1280</v>
      </c>
      <c r="E2170" s="13">
        <v>2</v>
      </c>
      <c r="F2170" s="13" t="s">
        <v>696</v>
      </c>
      <c r="G2170" s="13" t="s">
        <v>641</v>
      </c>
      <c r="H2170" s="13" t="s">
        <v>641</v>
      </c>
    </row>
    <row r="2171" spans="1:8">
      <c r="A2171" s="13" t="s">
        <v>3180</v>
      </c>
      <c r="B2171" s="13">
        <v>8703276</v>
      </c>
      <c r="C2171" s="13" t="s">
        <v>641</v>
      </c>
      <c r="D2171" s="13" t="s">
        <v>3532</v>
      </c>
      <c r="E2171" s="13">
        <v>2</v>
      </c>
      <c r="F2171" s="13" t="s">
        <v>696</v>
      </c>
      <c r="G2171" s="13" t="s">
        <v>641</v>
      </c>
      <c r="H2171" s="13" t="s">
        <v>641</v>
      </c>
    </row>
    <row r="2172" spans="1:8">
      <c r="A2172" s="13" t="s">
        <v>3180</v>
      </c>
      <c r="B2172" s="13">
        <v>8703277</v>
      </c>
      <c r="C2172" s="13" t="s">
        <v>641</v>
      </c>
      <c r="D2172" s="13" t="s">
        <v>1281</v>
      </c>
      <c r="E2172" s="13">
        <v>2</v>
      </c>
      <c r="F2172" s="13" t="s">
        <v>696</v>
      </c>
      <c r="G2172" s="13" t="s">
        <v>641</v>
      </c>
      <c r="H2172" s="13" t="s">
        <v>641</v>
      </c>
    </row>
    <row r="2173" spans="1:8">
      <c r="A2173" s="13" t="s">
        <v>3180</v>
      </c>
      <c r="B2173" s="13">
        <v>8703278</v>
      </c>
      <c r="C2173" s="13" t="s">
        <v>641</v>
      </c>
      <c r="D2173" s="13" t="s">
        <v>1282</v>
      </c>
      <c r="E2173" s="13">
        <v>2</v>
      </c>
      <c r="F2173" s="13" t="s">
        <v>696</v>
      </c>
      <c r="G2173" s="13" t="s">
        <v>3533</v>
      </c>
      <c r="H2173" s="13" t="s">
        <v>684</v>
      </c>
    </row>
    <row r="2174" spans="1:8">
      <c r="A2174" s="13" t="s">
        <v>3180</v>
      </c>
      <c r="B2174" s="13">
        <v>8703279</v>
      </c>
      <c r="C2174" s="13" t="s">
        <v>641</v>
      </c>
      <c r="D2174" s="13" t="s">
        <v>1283</v>
      </c>
      <c r="E2174" s="13">
        <v>2</v>
      </c>
      <c r="F2174" s="13" t="s">
        <v>696</v>
      </c>
      <c r="G2174" s="13" t="s">
        <v>3533</v>
      </c>
      <c r="H2174" s="13" t="s">
        <v>684</v>
      </c>
    </row>
    <row r="2175" spans="1:8">
      <c r="A2175" s="13" t="s">
        <v>3180</v>
      </c>
      <c r="B2175" s="13">
        <v>8703280</v>
      </c>
      <c r="C2175" s="13" t="s">
        <v>641</v>
      </c>
      <c r="D2175" s="13" t="s">
        <v>2283</v>
      </c>
      <c r="E2175" s="13">
        <v>2</v>
      </c>
      <c r="F2175" s="13" t="s">
        <v>696</v>
      </c>
      <c r="G2175" s="13" t="s">
        <v>3533</v>
      </c>
      <c r="H2175" s="13" t="s">
        <v>684</v>
      </c>
    </row>
    <row r="2176" spans="1:8">
      <c r="A2176" s="13" t="s">
        <v>3180</v>
      </c>
      <c r="B2176" s="13">
        <v>8703281</v>
      </c>
      <c r="C2176" s="13" t="s">
        <v>641</v>
      </c>
      <c r="D2176" s="13" t="s">
        <v>2284</v>
      </c>
      <c r="E2176" s="13">
        <v>2</v>
      </c>
      <c r="F2176" s="13" t="s">
        <v>696</v>
      </c>
      <c r="G2176" s="13" t="s">
        <v>641</v>
      </c>
      <c r="H2176" s="13" t="s">
        <v>641</v>
      </c>
    </row>
    <row r="2177" spans="1:8">
      <c r="A2177" s="13" t="s">
        <v>3180</v>
      </c>
      <c r="B2177" s="13">
        <v>8703284</v>
      </c>
      <c r="C2177" s="13" t="s">
        <v>641</v>
      </c>
      <c r="D2177" s="13" t="s">
        <v>3982</v>
      </c>
      <c r="E2177" s="13">
        <v>2</v>
      </c>
      <c r="F2177" s="13" t="s">
        <v>696</v>
      </c>
      <c r="G2177" s="13" t="s">
        <v>696</v>
      </c>
      <c r="H2177" s="13" t="s">
        <v>3183</v>
      </c>
    </row>
    <row r="2178" spans="1:8">
      <c r="A2178" s="13" t="s">
        <v>3180</v>
      </c>
      <c r="B2178" s="13">
        <v>8703285</v>
      </c>
      <c r="C2178" s="13" t="s">
        <v>641</v>
      </c>
      <c r="D2178" s="13" t="s">
        <v>3983</v>
      </c>
      <c r="E2178" s="13">
        <v>2</v>
      </c>
      <c r="F2178" s="13" t="s">
        <v>696</v>
      </c>
      <c r="G2178" s="13" t="s">
        <v>3207</v>
      </c>
      <c r="H2178" s="13" t="s">
        <v>3339</v>
      </c>
    </row>
    <row r="2179" spans="1:8">
      <c r="A2179" s="13" t="s">
        <v>3180</v>
      </c>
      <c r="B2179" s="13">
        <v>8703287</v>
      </c>
      <c r="C2179" s="13" t="s">
        <v>641</v>
      </c>
      <c r="D2179" s="13" t="s">
        <v>3984</v>
      </c>
      <c r="E2179" s="13">
        <v>2</v>
      </c>
      <c r="F2179" s="13" t="s">
        <v>696</v>
      </c>
      <c r="G2179" s="13" t="s">
        <v>641</v>
      </c>
      <c r="H2179" s="13" t="s">
        <v>641</v>
      </c>
    </row>
    <row r="2180" spans="1:8">
      <c r="A2180" s="13" t="s">
        <v>3180</v>
      </c>
      <c r="B2180" s="13">
        <v>8703288</v>
      </c>
      <c r="C2180" s="13" t="s">
        <v>641</v>
      </c>
      <c r="D2180" s="13" t="s">
        <v>1284</v>
      </c>
      <c r="E2180" s="13">
        <v>2</v>
      </c>
      <c r="F2180" s="13" t="s">
        <v>696</v>
      </c>
      <c r="G2180" s="13" t="s">
        <v>641</v>
      </c>
      <c r="H2180" s="13" t="s">
        <v>641</v>
      </c>
    </row>
    <row r="2181" spans="1:8">
      <c r="A2181" s="13" t="s">
        <v>3180</v>
      </c>
      <c r="B2181" s="13">
        <v>8703289</v>
      </c>
      <c r="C2181" s="13" t="s">
        <v>641</v>
      </c>
      <c r="D2181" s="13" t="s">
        <v>1285</v>
      </c>
      <c r="E2181" s="13">
        <v>2</v>
      </c>
      <c r="F2181" s="13" t="s">
        <v>696</v>
      </c>
      <c r="G2181" s="13" t="s">
        <v>696</v>
      </c>
      <c r="H2181" s="13" t="s">
        <v>3183</v>
      </c>
    </row>
    <row r="2182" spans="1:8">
      <c r="A2182" s="13" t="s">
        <v>3180</v>
      </c>
      <c r="B2182" s="13">
        <v>8703290</v>
      </c>
      <c r="C2182" s="13" t="s">
        <v>641</v>
      </c>
      <c r="D2182" s="13" t="s">
        <v>2287</v>
      </c>
      <c r="E2182" s="13">
        <v>2</v>
      </c>
      <c r="F2182" s="13" t="s">
        <v>696</v>
      </c>
      <c r="G2182" s="13" t="s">
        <v>3533</v>
      </c>
      <c r="H2182" s="13" t="s">
        <v>684</v>
      </c>
    </row>
    <row r="2183" spans="1:8">
      <c r="A2183" s="13" t="s">
        <v>3180</v>
      </c>
      <c r="B2183" s="13">
        <v>8703291</v>
      </c>
      <c r="C2183" s="13" t="s">
        <v>641</v>
      </c>
      <c r="D2183" s="13" t="s">
        <v>2288</v>
      </c>
      <c r="E2183" s="13">
        <v>2</v>
      </c>
      <c r="F2183" s="13" t="s">
        <v>696</v>
      </c>
      <c r="G2183" s="13" t="s">
        <v>3533</v>
      </c>
      <c r="H2183" s="13" t="s">
        <v>684</v>
      </c>
    </row>
    <row r="2184" spans="1:8">
      <c r="A2184" s="13" t="s">
        <v>3180</v>
      </c>
      <c r="B2184" s="13">
        <v>8703292</v>
      </c>
      <c r="C2184" s="13" t="s">
        <v>641</v>
      </c>
      <c r="D2184" s="13" t="s">
        <v>3985</v>
      </c>
      <c r="E2184" s="13">
        <v>2</v>
      </c>
      <c r="F2184" s="13" t="s">
        <v>696</v>
      </c>
      <c r="G2184" s="13" t="s">
        <v>696</v>
      </c>
      <c r="H2184" s="13" t="s">
        <v>3183</v>
      </c>
    </row>
    <row r="2185" spans="1:8">
      <c r="A2185" s="13" t="s">
        <v>3180</v>
      </c>
      <c r="B2185" s="13">
        <v>8703404</v>
      </c>
      <c r="C2185" s="13" t="s">
        <v>641</v>
      </c>
      <c r="D2185" s="13" t="s">
        <v>3986</v>
      </c>
      <c r="E2185" s="13">
        <v>2</v>
      </c>
      <c r="F2185" s="13" t="s">
        <v>671</v>
      </c>
      <c r="G2185" s="13" t="s">
        <v>677</v>
      </c>
      <c r="H2185" s="13" t="s">
        <v>641</v>
      </c>
    </row>
    <row r="2186" spans="1:8">
      <c r="A2186" s="13" t="s">
        <v>3180</v>
      </c>
      <c r="B2186" s="13">
        <v>8703542</v>
      </c>
      <c r="C2186" s="13" t="s">
        <v>641</v>
      </c>
      <c r="D2186" s="13" t="s">
        <v>42</v>
      </c>
      <c r="E2186" s="13">
        <v>2</v>
      </c>
      <c r="F2186" s="13" t="s">
        <v>671</v>
      </c>
      <c r="G2186" s="13" t="s">
        <v>677</v>
      </c>
      <c r="H2186" s="13" t="s">
        <v>641</v>
      </c>
    </row>
    <row r="2187" spans="1:8">
      <c r="A2187" s="13" t="s">
        <v>3180</v>
      </c>
      <c r="B2187" s="13">
        <v>8703545</v>
      </c>
      <c r="C2187" s="13" t="s">
        <v>641</v>
      </c>
      <c r="D2187" s="13" t="s">
        <v>2299</v>
      </c>
      <c r="E2187" s="13">
        <v>2</v>
      </c>
      <c r="F2187" s="13" t="s">
        <v>671</v>
      </c>
      <c r="G2187" s="13" t="s">
        <v>677</v>
      </c>
      <c r="H2187" s="13" t="s">
        <v>641</v>
      </c>
    </row>
    <row r="2188" spans="1:8">
      <c r="A2188" s="13" t="s">
        <v>3180</v>
      </c>
      <c r="B2188" s="13">
        <v>8703546</v>
      </c>
      <c r="C2188" s="13" t="s">
        <v>641</v>
      </c>
      <c r="D2188" s="13" t="s">
        <v>2300</v>
      </c>
      <c r="E2188" s="13">
        <v>2</v>
      </c>
      <c r="F2188" s="13" t="s">
        <v>671</v>
      </c>
      <c r="G2188" s="13" t="s">
        <v>678</v>
      </c>
      <c r="H2188" s="13" t="s">
        <v>641</v>
      </c>
    </row>
    <row r="2189" spans="1:8">
      <c r="A2189" s="13" t="s">
        <v>3180</v>
      </c>
      <c r="B2189" s="13">
        <v>8703589</v>
      </c>
      <c r="C2189" s="13" t="s">
        <v>641</v>
      </c>
      <c r="D2189" s="13" t="s">
        <v>3987</v>
      </c>
      <c r="E2189" s="13">
        <v>2</v>
      </c>
      <c r="F2189" s="13" t="s">
        <v>709</v>
      </c>
      <c r="G2189" s="13" t="s">
        <v>709</v>
      </c>
      <c r="H2189" s="13" t="s">
        <v>3183</v>
      </c>
    </row>
    <row r="2190" spans="1:8">
      <c r="A2190" s="13" t="s">
        <v>3180</v>
      </c>
      <c r="B2190" s="13">
        <v>8703590</v>
      </c>
      <c r="C2190" s="13" t="s">
        <v>641</v>
      </c>
      <c r="D2190" s="13" t="s">
        <v>3988</v>
      </c>
      <c r="E2190" s="13">
        <v>2</v>
      </c>
      <c r="F2190" s="13" t="s">
        <v>709</v>
      </c>
      <c r="G2190" s="13" t="s">
        <v>709</v>
      </c>
      <c r="H2190" s="13" t="s">
        <v>3183</v>
      </c>
    </row>
    <row r="2191" spans="1:8">
      <c r="A2191" s="13" t="s">
        <v>3180</v>
      </c>
      <c r="B2191" s="13">
        <v>3000759</v>
      </c>
      <c r="C2191" s="13"/>
      <c r="D2191" s="13" t="s">
        <v>347</v>
      </c>
      <c r="E2191" s="13">
        <v>1</v>
      </c>
      <c r="F2191" s="13" t="s">
        <v>644</v>
      </c>
      <c r="G2191" s="13"/>
      <c r="H2191" s="13" t="s">
        <v>719</v>
      </c>
    </row>
    <row r="2192" spans="1:8">
      <c r="A2192" s="13" t="s">
        <v>3180</v>
      </c>
      <c r="B2192" s="13">
        <v>4520420</v>
      </c>
      <c r="C2192" s="13"/>
      <c r="D2192" s="13" t="s">
        <v>3989</v>
      </c>
      <c r="E2192" s="13">
        <v>1</v>
      </c>
      <c r="F2192" s="13" t="s">
        <v>656</v>
      </c>
      <c r="G2192" s="13"/>
      <c r="H2192" s="13" t="s">
        <v>719</v>
      </c>
    </row>
    <row r="2193" spans="1:8">
      <c r="A2193" s="13" t="s">
        <v>3180</v>
      </c>
      <c r="B2193" s="13">
        <v>4520222</v>
      </c>
      <c r="C2193" s="13"/>
      <c r="D2193" s="13" t="s">
        <v>415</v>
      </c>
      <c r="E2193" s="13">
        <v>1</v>
      </c>
      <c r="F2193" s="13" t="s">
        <v>646</v>
      </c>
      <c r="G2193" s="13"/>
      <c r="H2193" s="13" t="s">
        <v>719</v>
      </c>
    </row>
    <row r="2194" spans="1:8">
      <c r="A2194" s="13" t="s">
        <v>3180</v>
      </c>
      <c r="B2194" s="13">
        <v>8702823</v>
      </c>
      <c r="C2194" s="13"/>
      <c r="D2194" s="13" t="s">
        <v>3990</v>
      </c>
      <c r="E2194" s="13">
        <v>2</v>
      </c>
      <c r="F2194" s="13" t="s">
        <v>696</v>
      </c>
      <c r="G2194" s="13"/>
      <c r="H2194" s="13" t="s">
        <v>719</v>
      </c>
    </row>
    <row r="2195" spans="1:8">
      <c r="A2195" s="13" t="s">
        <v>3180</v>
      </c>
      <c r="B2195" s="13">
        <v>4520457</v>
      </c>
      <c r="C2195" s="13"/>
      <c r="D2195" s="13" t="s">
        <v>482</v>
      </c>
      <c r="E2195" s="13">
        <v>1</v>
      </c>
      <c r="F2195" s="13" t="s">
        <v>646</v>
      </c>
      <c r="G2195" s="13"/>
      <c r="H2195" s="13" t="s">
        <v>719</v>
      </c>
    </row>
    <row r="2196" spans="1:8">
      <c r="A2196" s="13" t="s">
        <v>3180</v>
      </c>
      <c r="B2196" s="13">
        <v>4520458</v>
      </c>
      <c r="C2196" s="13"/>
      <c r="D2196" s="13" t="s">
        <v>342</v>
      </c>
      <c r="E2196" s="13">
        <v>1</v>
      </c>
      <c r="F2196" s="13" t="s">
        <v>646</v>
      </c>
      <c r="G2196" s="13"/>
      <c r="H2196" s="13" t="s">
        <v>719</v>
      </c>
    </row>
    <row r="2197" spans="1:8">
      <c r="A2197" s="13" t="s">
        <v>3180</v>
      </c>
      <c r="B2197" s="13">
        <v>4520605</v>
      </c>
      <c r="C2197" s="13"/>
      <c r="D2197" s="13" t="s">
        <v>3991</v>
      </c>
      <c r="E2197" s="13">
        <v>1</v>
      </c>
      <c r="F2197" s="13" t="s">
        <v>638</v>
      </c>
      <c r="G2197" s="13"/>
      <c r="H2197" s="13" t="s">
        <v>719</v>
      </c>
    </row>
    <row r="2198" spans="1:8">
      <c r="A2198" s="15" t="s">
        <v>3180</v>
      </c>
      <c r="B2198">
        <v>4712142</v>
      </c>
      <c r="D2198" t="s">
        <v>3992</v>
      </c>
      <c r="E2198" s="15">
        <v>1</v>
      </c>
      <c r="F2198" s="13" t="s">
        <v>640</v>
      </c>
      <c r="G2198" s="16"/>
      <c r="H2198" s="15" t="s">
        <v>719</v>
      </c>
    </row>
    <row r="2199" spans="1:8">
      <c r="A2199" s="15" t="s">
        <v>3180</v>
      </c>
      <c r="B2199">
        <v>4520352</v>
      </c>
      <c r="D2199" t="s">
        <v>3993</v>
      </c>
      <c r="E2199" s="15">
        <v>1</v>
      </c>
      <c r="F2199" s="13" t="s">
        <v>638</v>
      </c>
      <c r="H2199" s="15" t="s">
        <v>719</v>
      </c>
    </row>
    <row r="2200" spans="1:8">
      <c r="A2200" s="15" t="s">
        <v>3180</v>
      </c>
      <c r="B2200">
        <v>4520337</v>
      </c>
      <c r="D2200" t="s">
        <v>3994</v>
      </c>
      <c r="E2200" s="15">
        <v>1</v>
      </c>
      <c r="F2200" s="13" t="s">
        <v>638</v>
      </c>
      <c r="H2200" s="15" t="s">
        <v>719</v>
      </c>
    </row>
    <row r="2201" spans="1:8">
      <c r="A2201" s="15" t="s">
        <v>3180</v>
      </c>
      <c r="B2201">
        <v>8011005</v>
      </c>
      <c r="D2201" t="s">
        <v>3995</v>
      </c>
      <c r="E2201" s="15">
        <v>2</v>
      </c>
      <c r="F2201" t="s">
        <v>671</v>
      </c>
      <c r="H2201" s="15" t="s">
        <v>719</v>
      </c>
    </row>
    <row r="2202" spans="1:8">
      <c r="A2202" s="15" t="s">
        <v>3180</v>
      </c>
      <c r="B2202">
        <v>4727478</v>
      </c>
      <c r="D2202" t="s">
        <v>208</v>
      </c>
      <c r="E2202" s="15">
        <v>1</v>
      </c>
      <c r="F2202" t="s">
        <v>642</v>
      </c>
      <c r="H2202" s="15" t="s">
        <v>719</v>
      </c>
    </row>
    <row r="2203" spans="1:9">
      <c r="A2203" s="15" t="s">
        <v>3180</v>
      </c>
      <c r="B2203">
        <v>4511130</v>
      </c>
      <c r="D2203" t="s">
        <v>325</v>
      </c>
      <c r="E2203" s="13">
        <v>1</v>
      </c>
      <c r="F2203" s="13" t="s">
        <v>644</v>
      </c>
      <c r="H2203" s="15" t="s">
        <v>719</v>
      </c>
      <c r="I2203" t="s">
        <v>3196</v>
      </c>
    </row>
    <row r="2204" spans="1:8">
      <c r="A2204" s="15" t="s">
        <v>3180</v>
      </c>
      <c r="B2204">
        <v>8011007</v>
      </c>
      <c r="D2204" t="s">
        <v>3996</v>
      </c>
      <c r="E2204" s="15">
        <v>2</v>
      </c>
      <c r="F2204" t="s">
        <v>671</v>
      </c>
      <c r="H2204" s="15" t="s">
        <v>719</v>
      </c>
    </row>
    <row r="2205" spans="1:8">
      <c r="A2205" s="15" t="s">
        <v>3180</v>
      </c>
      <c r="B2205">
        <v>4514475</v>
      </c>
      <c r="D2205" t="s">
        <v>3997</v>
      </c>
      <c r="E2205" s="15">
        <v>1</v>
      </c>
      <c r="F2205" t="s">
        <v>646</v>
      </c>
      <c r="H2205" s="15" t="s">
        <v>719</v>
      </c>
    </row>
    <row r="2206" spans="1:8">
      <c r="A2206" s="15" t="s">
        <v>3180</v>
      </c>
      <c r="B2206">
        <v>4042400</v>
      </c>
      <c r="D2206" t="s">
        <v>3998</v>
      </c>
      <c r="E2206" s="15">
        <v>1</v>
      </c>
      <c r="F2206" t="s">
        <v>646</v>
      </c>
      <c r="H2206" s="15" t="s">
        <v>719</v>
      </c>
    </row>
    <row r="2207" spans="1:8">
      <c r="A2207" s="17" t="s">
        <v>3180</v>
      </c>
      <c r="B2207">
        <v>4004145</v>
      </c>
      <c r="D2207" t="s">
        <v>3999</v>
      </c>
      <c r="E2207" s="15">
        <v>1</v>
      </c>
      <c r="F2207" t="s">
        <v>642</v>
      </c>
      <c r="H2207" s="15" t="s">
        <v>719</v>
      </c>
    </row>
    <row r="2208" spans="1:8">
      <c r="A2208" s="15" t="s">
        <v>3180</v>
      </c>
      <c r="B2208">
        <v>4520604</v>
      </c>
      <c r="D2208" t="s">
        <v>1654</v>
      </c>
      <c r="E2208" s="15">
        <v>2</v>
      </c>
      <c r="F2208" t="s">
        <v>709</v>
      </c>
      <c r="H2208" s="15" t="s">
        <v>719</v>
      </c>
    </row>
    <row r="2209" spans="1:8">
      <c r="A2209" s="15" t="s">
        <v>3180</v>
      </c>
      <c r="B2209">
        <v>8703676</v>
      </c>
      <c r="D2209" t="s">
        <v>4000</v>
      </c>
      <c r="E2209" s="15">
        <v>2</v>
      </c>
      <c r="F2209" t="s">
        <v>709</v>
      </c>
      <c r="H2209" s="15" t="s">
        <v>719</v>
      </c>
    </row>
    <row r="2210" spans="1:8">
      <c r="A2210" s="15" t="s">
        <v>3180</v>
      </c>
      <c r="B2210">
        <v>8703679</v>
      </c>
      <c r="D2210" t="s">
        <v>4001</v>
      </c>
      <c r="E2210" s="15">
        <v>2</v>
      </c>
      <c r="F2210" t="s">
        <v>709</v>
      </c>
      <c r="G2210" s="15"/>
      <c r="H2210" s="15" t="s">
        <v>719</v>
      </c>
    </row>
    <row r="2211" spans="1:8">
      <c r="A2211" s="15" t="s">
        <v>3180</v>
      </c>
      <c r="B2211">
        <v>8703673</v>
      </c>
      <c r="D2211" t="s">
        <v>4002</v>
      </c>
      <c r="E2211" s="15">
        <v>2</v>
      </c>
      <c r="F2211" t="s">
        <v>709</v>
      </c>
      <c r="G2211" s="15"/>
      <c r="H2211" s="15" t="s">
        <v>719</v>
      </c>
    </row>
    <row r="2212" spans="1:8">
      <c r="A2212" s="15" t="s">
        <v>3180</v>
      </c>
      <c r="B2212">
        <v>8703672</v>
      </c>
      <c r="D2212" t="s">
        <v>4003</v>
      </c>
      <c r="E2212" s="15">
        <v>2</v>
      </c>
      <c r="F2212" t="s">
        <v>709</v>
      </c>
      <c r="G2212" s="15"/>
      <c r="H2212" s="15" t="s">
        <v>719</v>
      </c>
    </row>
    <row r="2213" spans="1:8">
      <c r="A2213" s="15" t="s">
        <v>3180</v>
      </c>
      <c r="B2213">
        <v>8703680</v>
      </c>
      <c r="D2213" t="s">
        <v>4004</v>
      </c>
      <c r="E2213" s="15">
        <v>2</v>
      </c>
      <c r="F2213" t="s">
        <v>709</v>
      </c>
      <c r="G2213" s="15"/>
      <c r="H2213" s="15" t="s">
        <v>719</v>
      </c>
    </row>
    <row r="2214" spans="1:8">
      <c r="A2214" s="15" t="s">
        <v>3180</v>
      </c>
      <c r="B2214">
        <v>8703677</v>
      </c>
      <c r="D2214" t="s">
        <v>4005</v>
      </c>
      <c r="E2214" s="15">
        <v>2</v>
      </c>
      <c r="F2214" t="s">
        <v>709</v>
      </c>
      <c r="G2214" s="15"/>
      <c r="H2214" s="15" t="s">
        <v>719</v>
      </c>
    </row>
    <row r="2215" spans="1:8">
      <c r="A2215" s="15" t="s">
        <v>3180</v>
      </c>
      <c r="B2215">
        <v>8703678</v>
      </c>
      <c r="D2215" t="s">
        <v>4006</v>
      </c>
      <c r="E2215" s="15">
        <v>2</v>
      </c>
      <c r="F2215" t="s">
        <v>709</v>
      </c>
      <c r="G2215" s="15"/>
      <c r="H2215" s="15" t="s">
        <v>719</v>
      </c>
    </row>
    <row r="2216" spans="1:8">
      <c r="A2216" s="15" t="s">
        <v>3180</v>
      </c>
      <c r="B2216">
        <v>8009128</v>
      </c>
      <c r="D2216" t="s">
        <v>4007</v>
      </c>
      <c r="E2216" s="15">
        <v>2</v>
      </c>
      <c r="F2216" t="s">
        <v>671</v>
      </c>
      <c r="G2216" s="15"/>
      <c r="H2216" s="15" t="s">
        <v>719</v>
      </c>
    </row>
    <row r="2217" spans="1:8">
      <c r="A2217" s="15" t="s">
        <v>3180</v>
      </c>
      <c r="B2217">
        <v>4520336</v>
      </c>
      <c r="D2217" t="s">
        <v>1652</v>
      </c>
      <c r="E2217" s="15">
        <v>1</v>
      </c>
      <c r="F2217" s="13" t="s">
        <v>649</v>
      </c>
      <c r="G2217" s="15"/>
      <c r="H2217" s="15" t="s">
        <v>719</v>
      </c>
    </row>
    <row r="2218" spans="1:8">
      <c r="A2218" s="15" t="s">
        <v>3180</v>
      </c>
      <c r="B2218">
        <v>4501668</v>
      </c>
      <c r="D2218" t="s">
        <v>251</v>
      </c>
      <c r="E2218" s="15">
        <v>2</v>
      </c>
      <c r="F2218" t="s">
        <v>671</v>
      </c>
      <c r="G2218" s="15"/>
      <c r="H2218" s="15" t="s">
        <v>719</v>
      </c>
    </row>
    <row r="2219" spans="1:8">
      <c r="A2219" s="15" t="s">
        <v>3180</v>
      </c>
      <c r="B2219">
        <v>4034970</v>
      </c>
      <c r="D2219" t="s">
        <v>2056</v>
      </c>
      <c r="E2219" s="15">
        <v>2</v>
      </c>
      <c r="F2219" t="s">
        <v>671</v>
      </c>
      <c r="G2219" s="15"/>
      <c r="H2219" s="15" t="s">
        <v>719</v>
      </c>
    </row>
    <row r="2220" spans="1:8">
      <c r="A2220" s="15" t="s">
        <v>3180</v>
      </c>
      <c r="B2220">
        <v>4520559</v>
      </c>
      <c r="D2220" t="s">
        <v>718</v>
      </c>
      <c r="E2220" s="15">
        <v>2</v>
      </c>
      <c r="F2220" t="s">
        <v>654</v>
      </c>
      <c r="G2220" s="15"/>
      <c r="H2220" s="15" t="s">
        <v>719</v>
      </c>
    </row>
    <row r="2221" spans="1:8">
      <c r="A2221" s="15" t="s">
        <v>3180</v>
      </c>
      <c r="B2221">
        <v>4520300</v>
      </c>
      <c r="D2221" t="s">
        <v>4008</v>
      </c>
      <c r="E2221" s="15">
        <v>1</v>
      </c>
      <c r="F2221" t="s">
        <v>640</v>
      </c>
      <c r="G2221" s="15"/>
      <c r="H2221" s="15" t="s">
        <v>719</v>
      </c>
    </row>
    <row r="2222" ht="16.5" spans="1:8">
      <c r="A2222" s="15" t="s">
        <v>3180</v>
      </c>
      <c r="B2222">
        <v>4518109</v>
      </c>
      <c r="D2222" t="s">
        <v>4009</v>
      </c>
      <c r="E2222" s="15">
        <v>1</v>
      </c>
      <c r="F2222" s="13" t="s">
        <v>709</v>
      </c>
      <c r="G2222" s="18"/>
      <c r="H2222" s="15" t="s">
        <v>719</v>
      </c>
    </row>
    <row r="2223" ht="16.5" spans="1:8">
      <c r="A2223" s="15" t="s">
        <v>3180</v>
      </c>
      <c r="B2223">
        <v>4520536</v>
      </c>
      <c r="D2223" t="s">
        <v>4010</v>
      </c>
      <c r="E2223" s="15">
        <v>1</v>
      </c>
      <c r="F2223" s="13" t="s">
        <v>638</v>
      </c>
      <c r="G2223" s="18"/>
      <c r="H2223" s="15" t="s">
        <v>719</v>
      </c>
    </row>
    <row r="2224" ht="16.5" spans="1:8">
      <c r="A2224" s="15" t="s">
        <v>3180</v>
      </c>
      <c r="B2224">
        <v>4520537</v>
      </c>
      <c r="D2224" t="s">
        <v>4011</v>
      </c>
      <c r="E2224" s="15">
        <v>1</v>
      </c>
      <c r="F2224" s="13" t="s">
        <v>638</v>
      </c>
      <c r="G2224" s="18"/>
      <c r="H2224" s="15" t="s">
        <v>719</v>
      </c>
    </row>
    <row r="2225" ht="16.5" spans="1:8">
      <c r="A2225" s="15" t="s">
        <v>3180</v>
      </c>
      <c r="B2225">
        <v>4506445</v>
      </c>
      <c r="D2225" t="s">
        <v>4012</v>
      </c>
      <c r="E2225" s="15">
        <v>1</v>
      </c>
      <c r="F2225" t="s">
        <v>646</v>
      </c>
      <c r="G2225" s="18"/>
      <c r="H2225" s="15" t="s">
        <v>719</v>
      </c>
    </row>
    <row r="2226" ht="16.5" spans="1:8">
      <c r="A2226" s="15" t="s">
        <v>3180</v>
      </c>
      <c r="B2226">
        <v>8703674</v>
      </c>
      <c r="D2226" t="s">
        <v>4013</v>
      </c>
      <c r="E2226" s="15">
        <v>2</v>
      </c>
      <c r="F2226" t="s">
        <v>709</v>
      </c>
      <c r="G2226" s="18"/>
      <c r="H2226" s="15" t="s">
        <v>719</v>
      </c>
    </row>
    <row r="2227" ht="16.5" spans="1:8">
      <c r="A2227" s="15" t="s">
        <v>3180</v>
      </c>
      <c r="B2227">
        <v>8011006</v>
      </c>
      <c r="D2227" t="s">
        <v>4014</v>
      </c>
      <c r="E2227" s="15">
        <v>2</v>
      </c>
      <c r="F2227" t="s">
        <v>671</v>
      </c>
      <c r="G2227" s="18"/>
      <c r="H2227" s="15" t="s">
        <v>719</v>
      </c>
    </row>
    <row r="2228" ht="16.5" spans="1:8">
      <c r="A2228" s="15" t="s">
        <v>3180</v>
      </c>
      <c r="B2228">
        <v>8007089</v>
      </c>
      <c r="D2228" t="s">
        <v>1882</v>
      </c>
      <c r="E2228" s="15">
        <v>2</v>
      </c>
      <c r="F2228" t="s">
        <v>671</v>
      </c>
      <c r="G2228" s="18"/>
      <c r="H2228" s="15" t="s">
        <v>719</v>
      </c>
    </row>
    <row r="2229" ht="16.5" spans="1:8">
      <c r="A2229" s="15" t="s">
        <v>3180</v>
      </c>
      <c r="B2229">
        <v>8002188</v>
      </c>
      <c r="D2229" t="s">
        <v>4015</v>
      </c>
      <c r="E2229" s="15">
        <v>2</v>
      </c>
      <c r="F2229" t="s">
        <v>671</v>
      </c>
      <c r="G2229" s="18"/>
      <c r="H2229" s="15" t="s">
        <v>719</v>
      </c>
    </row>
    <row r="2230" ht="16.5" spans="1:8">
      <c r="A2230" s="15" t="s">
        <v>3180</v>
      </c>
      <c r="B2230">
        <v>4022974</v>
      </c>
      <c r="D2230" t="s">
        <v>4016</v>
      </c>
      <c r="E2230" s="15">
        <v>1</v>
      </c>
      <c r="F2230" t="s">
        <v>656</v>
      </c>
      <c r="G2230" s="18"/>
      <c r="H2230" s="15" t="s">
        <v>719</v>
      </c>
    </row>
    <row r="2231" ht="16.5" spans="1:8">
      <c r="A2231" s="15" t="s">
        <v>3180</v>
      </c>
      <c r="B2231">
        <v>8703286</v>
      </c>
      <c r="D2231" t="s">
        <v>4017</v>
      </c>
      <c r="E2231" s="15">
        <v>2</v>
      </c>
      <c r="F2231" t="s">
        <v>696</v>
      </c>
      <c r="G2231" s="18"/>
      <c r="H2231" s="15" t="s">
        <v>719</v>
      </c>
    </row>
    <row r="2232" ht="16.5" spans="1:8">
      <c r="A2232" s="15" t="s">
        <v>3180</v>
      </c>
      <c r="B2232">
        <v>4035149</v>
      </c>
      <c r="D2232" t="s">
        <v>4018</v>
      </c>
      <c r="E2232" s="15">
        <v>2</v>
      </c>
      <c r="F2232" t="s">
        <v>709</v>
      </c>
      <c r="G2232" s="18"/>
      <c r="H2232" s="15" t="s">
        <v>721</v>
      </c>
    </row>
    <row r="2233" ht="16.5" spans="1:8">
      <c r="A2233" s="15" t="s">
        <v>3180</v>
      </c>
      <c r="B2233">
        <v>4035152</v>
      </c>
      <c r="D2233" t="s">
        <v>4019</v>
      </c>
      <c r="E2233" s="15">
        <v>2</v>
      </c>
      <c r="F2233" t="s">
        <v>709</v>
      </c>
      <c r="G2233" s="18"/>
      <c r="H2233" s="15" t="s">
        <v>721</v>
      </c>
    </row>
    <row r="2234" ht="16.5" spans="1:8">
      <c r="A2234" s="15" t="s">
        <v>3180</v>
      </c>
      <c r="B2234">
        <v>4505516</v>
      </c>
      <c r="D2234" t="s">
        <v>1408</v>
      </c>
      <c r="E2234" s="15">
        <v>1</v>
      </c>
      <c r="F2234" t="s">
        <v>640</v>
      </c>
      <c r="G2234" s="18"/>
      <c r="H2234" s="15" t="s">
        <v>721</v>
      </c>
    </row>
    <row r="2235" ht="16.5" spans="1:8">
      <c r="A2235" s="15" t="s">
        <v>3180</v>
      </c>
      <c r="B2235">
        <v>4520647</v>
      </c>
      <c r="D2235" t="s">
        <v>1656</v>
      </c>
      <c r="E2235" s="15">
        <v>1</v>
      </c>
      <c r="F2235" t="s">
        <v>644</v>
      </c>
      <c r="G2235" s="18"/>
      <c r="H2235" s="15" t="s">
        <v>721</v>
      </c>
    </row>
    <row r="2236" ht="16.5" spans="1:8">
      <c r="A2236" s="15" t="s">
        <v>3180</v>
      </c>
      <c r="B2236">
        <v>4520817</v>
      </c>
      <c r="D2236" t="s">
        <v>1657</v>
      </c>
      <c r="E2236" s="15">
        <v>1</v>
      </c>
      <c r="F2236" t="s">
        <v>644</v>
      </c>
      <c r="G2236" s="18"/>
      <c r="H2236" s="15" t="s">
        <v>721</v>
      </c>
    </row>
    <row r="2237" ht="16.5" spans="1:8">
      <c r="A2237" s="15" t="s">
        <v>3180</v>
      </c>
      <c r="B2237">
        <v>4520818</v>
      </c>
      <c r="D2237" t="s">
        <v>1658</v>
      </c>
      <c r="E2237" s="15">
        <v>1</v>
      </c>
      <c r="F2237" t="s">
        <v>644</v>
      </c>
      <c r="G2237" s="18"/>
      <c r="H2237" s="15" t="s">
        <v>721</v>
      </c>
    </row>
    <row r="2238" ht="16.5" spans="1:8">
      <c r="A2238" s="15" t="s">
        <v>3180</v>
      </c>
      <c r="B2238">
        <v>4520874</v>
      </c>
      <c r="D2238" t="s">
        <v>1659</v>
      </c>
      <c r="E2238" s="15">
        <v>1</v>
      </c>
      <c r="F2238" t="s">
        <v>649</v>
      </c>
      <c r="G2238" s="18"/>
      <c r="H2238" s="15" t="s">
        <v>721</v>
      </c>
    </row>
    <row r="2239" ht="16.5" spans="1:8">
      <c r="A2239" s="15" t="s">
        <v>3180</v>
      </c>
      <c r="B2239">
        <v>4520928</v>
      </c>
      <c r="D2239" t="s">
        <v>388</v>
      </c>
      <c r="E2239" s="15">
        <v>1</v>
      </c>
      <c r="F2239" t="s">
        <v>644</v>
      </c>
      <c r="G2239" s="18"/>
      <c r="H2239" s="15" t="s">
        <v>721</v>
      </c>
    </row>
    <row r="2240" ht="16.5" spans="1:8">
      <c r="A2240" s="15" t="s">
        <v>3180</v>
      </c>
      <c r="B2240">
        <v>8011001</v>
      </c>
      <c r="D2240" t="s">
        <v>39</v>
      </c>
      <c r="E2240" s="15">
        <v>2</v>
      </c>
      <c r="F2240" s="13" t="s">
        <v>671</v>
      </c>
      <c r="G2240" s="18"/>
      <c r="H2240" s="15" t="s">
        <v>721</v>
      </c>
    </row>
    <row r="2241" spans="1:8">
      <c r="A2241" s="15" t="s">
        <v>3180</v>
      </c>
      <c r="B2241" s="10">
        <v>8703544</v>
      </c>
      <c r="C2241" s="19"/>
      <c r="D2241" s="19" t="s">
        <v>2298</v>
      </c>
      <c r="E2241" s="20">
        <v>2</v>
      </c>
      <c r="F2241" s="19" t="s">
        <v>671</v>
      </c>
      <c r="G2241" t="s">
        <v>677</v>
      </c>
      <c r="H2241" t="s">
        <v>721</v>
      </c>
    </row>
    <row r="2242" spans="1:8">
      <c r="A2242" s="15" t="s">
        <v>3180</v>
      </c>
      <c r="B2242" s="10">
        <v>4520875</v>
      </c>
      <c r="C2242" s="19"/>
      <c r="D2242" s="19" t="s">
        <v>4020</v>
      </c>
      <c r="E2242" s="20">
        <v>1</v>
      </c>
      <c r="F2242" s="19" t="s">
        <v>649</v>
      </c>
      <c r="H2242" t="s">
        <v>721</v>
      </c>
    </row>
    <row r="2243" spans="1:8">
      <c r="A2243" s="15" t="s">
        <v>3180</v>
      </c>
      <c r="B2243" s="10">
        <v>4520927</v>
      </c>
      <c r="C2243" s="19"/>
      <c r="D2243" s="19" t="s">
        <v>4021</v>
      </c>
      <c r="E2243" s="20">
        <v>1</v>
      </c>
      <c r="F2243" s="19" t="s">
        <v>649</v>
      </c>
      <c r="H2243" t="s">
        <v>721</v>
      </c>
    </row>
    <row r="2244" spans="1:8">
      <c r="A2244" s="15" t="s">
        <v>3180</v>
      </c>
      <c r="B2244" s="10">
        <v>4521238</v>
      </c>
      <c r="C2244" s="19"/>
      <c r="D2244" s="19" t="s">
        <v>225</v>
      </c>
      <c r="E2244" s="20">
        <v>1</v>
      </c>
      <c r="F2244" s="13" t="s">
        <v>642</v>
      </c>
      <c r="H2244" t="s">
        <v>721</v>
      </c>
    </row>
    <row r="2245" spans="1:8">
      <c r="A2245" s="15" t="s">
        <v>3180</v>
      </c>
      <c r="B2245" s="10">
        <v>4521297</v>
      </c>
      <c r="C2245" s="19"/>
      <c r="D2245" s="19" t="s">
        <v>4022</v>
      </c>
      <c r="E2245" s="20">
        <v>2</v>
      </c>
      <c r="F2245" s="13" t="s">
        <v>671</v>
      </c>
      <c r="G2245" t="s">
        <v>676</v>
      </c>
      <c r="H2245" t="s">
        <v>721</v>
      </c>
    </row>
    <row r="2246" spans="1:8">
      <c r="A2246" s="15" t="s">
        <v>3180</v>
      </c>
      <c r="B2246" s="10">
        <v>4521298</v>
      </c>
      <c r="C2246" s="19"/>
      <c r="D2246" s="19" t="s">
        <v>4023</v>
      </c>
      <c r="E2246" s="20">
        <v>2</v>
      </c>
      <c r="F2246" s="13" t="s">
        <v>671</v>
      </c>
      <c r="G2246" t="s">
        <v>676</v>
      </c>
      <c r="H2246" t="s">
        <v>721</v>
      </c>
    </row>
    <row r="2247" spans="1:8">
      <c r="A2247" s="15" t="s">
        <v>3180</v>
      </c>
      <c r="B2247" s="10">
        <v>4735649</v>
      </c>
      <c r="C2247" s="19"/>
      <c r="D2247" s="19" t="s">
        <v>4024</v>
      </c>
      <c r="E2247" s="20">
        <v>1</v>
      </c>
      <c r="F2247" s="19" t="s">
        <v>640</v>
      </c>
      <c r="H2247" t="s">
        <v>721</v>
      </c>
    </row>
    <row r="2248" spans="1:8">
      <c r="A2248" s="15" t="s">
        <v>3180</v>
      </c>
      <c r="B2248" s="10">
        <v>8009568</v>
      </c>
      <c r="C2248" s="19"/>
      <c r="D2248" s="19" t="s">
        <v>1902</v>
      </c>
      <c r="E2248" s="20">
        <v>2</v>
      </c>
      <c r="F2248" s="13" t="s">
        <v>671</v>
      </c>
      <c r="G2248" t="s">
        <v>677</v>
      </c>
      <c r="H2248" t="s">
        <v>721</v>
      </c>
    </row>
    <row r="2249" spans="1:8">
      <c r="A2249" s="15" t="s">
        <v>3180</v>
      </c>
      <c r="B2249" s="10">
        <v>8703675</v>
      </c>
      <c r="C2249" s="19"/>
      <c r="D2249" s="19" t="s">
        <v>4025</v>
      </c>
      <c r="E2249" s="20">
        <v>2</v>
      </c>
      <c r="F2249" s="19" t="s">
        <v>709</v>
      </c>
      <c r="H2249" t="s">
        <v>721</v>
      </c>
    </row>
    <row r="2250" spans="1:8">
      <c r="A2250" s="15" t="s">
        <v>3180</v>
      </c>
      <c r="B2250" s="10">
        <v>4521039</v>
      </c>
      <c r="C2250" s="19"/>
      <c r="D2250" s="19" t="s">
        <v>4026</v>
      </c>
      <c r="E2250" s="20">
        <v>1</v>
      </c>
      <c r="F2250" s="19" t="s">
        <v>640</v>
      </c>
      <c r="H2250" t="s">
        <v>721</v>
      </c>
    </row>
    <row r="2251" spans="1:8">
      <c r="A2251" s="15" t="s">
        <v>3180</v>
      </c>
      <c r="B2251" s="10">
        <v>4521239</v>
      </c>
      <c r="C2251" s="19"/>
      <c r="D2251" s="19" t="s">
        <v>4027</v>
      </c>
      <c r="E2251" s="20">
        <v>1</v>
      </c>
      <c r="F2251" t="s">
        <v>640</v>
      </c>
      <c r="H2251" t="s">
        <v>721</v>
      </c>
    </row>
    <row r="2252" spans="1:8">
      <c r="A2252" s="15" t="s">
        <v>3180</v>
      </c>
      <c r="B2252" s="10">
        <v>4521260</v>
      </c>
      <c r="C2252" s="19"/>
      <c r="D2252" s="19" t="s">
        <v>43</v>
      </c>
      <c r="E2252" s="20">
        <v>1</v>
      </c>
      <c r="F2252" s="19" t="s">
        <v>640</v>
      </c>
      <c r="H2252" t="s">
        <v>721</v>
      </c>
    </row>
    <row r="2253" spans="1:8">
      <c r="A2253" s="15" t="s">
        <v>3180</v>
      </c>
      <c r="B2253" s="10">
        <v>4751479</v>
      </c>
      <c r="C2253" s="19"/>
      <c r="D2253" s="19" t="s">
        <v>738</v>
      </c>
      <c r="E2253" s="20">
        <v>1</v>
      </c>
      <c r="F2253" s="19" t="s">
        <v>640</v>
      </c>
      <c r="H2253" t="s">
        <v>721</v>
      </c>
    </row>
    <row r="2254" spans="1:8">
      <c r="A2254" s="15" t="s">
        <v>3180</v>
      </c>
      <c r="B2254" s="10">
        <v>4503602</v>
      </c>
      <c r="C2254" s="19"/>
      <c r="D2254" s="19" t="s">
        <v>4028</v>
      </c>
      <c r="E2254" s="20">
        <v>1</v>
      </c>
      <c r="F2254" s="13" t="s">
        <v>649</v>
      </c>
      <c r="H2254" t="s">
        <v>721</v>
      </c>
    </row>
    <row r="2255" spans="1:8">
      <c r="A2255" s="15" t="s">
        <v>3180</v>
      </c>
      <c r="B2255" s="10">
        <v>4521247</v>
      </c>
      <c r="C2255" s="19"/>
      <c r="D2255" s="19" t="s">
        <v>4029</v>
      </c>
      <c r="E2255" s="20">
        <v>1</v>
      </c>
      <c r="F2255" s="19" t="s">
        <v>649</v>
      </c>
      <c r="H2255" t="s">
        <v>721</v>
      </c>
    </row>
    <row r="2256" spans="1:8">
      <c r="A2256" s="15" t="s">
        <v>3180</v>
      </c>
      <c r="B2256" s="10">
        <v>4521367</v>
      </c>
      <c r="C2256" s="19"/>
      <c r="D2256" s="19" t="s">
        <v>4030</v>
      </c>
      <c r="E2256" s="20">
        <v>1</v>
      </c>
      <c r="F2256" s="19" t="s">
        <v>640</v>
      </c>
      <c r="H2256" t="s">
        <v>721</v>
      </c>
    </row>
    <row r="2257" spans="1:8">
      <c r="A2257" s="15" t="s">
        <v>3180</v>
      </c>
      <c r="B2257" s="10">
        <v>4726762</v>
      </c>
      <c r="C2257" s="19"/>
      <c r="D2257" s="19" t="s">
        <v>4031</v>
      </c>
      <c r="E2257" s="20">
        <v>1</v>
      </c>
      <c r="F2257" s="19" t="s">
        <v>644</v>
      </c>
      <c r="H2257" t="s">
        <v>721</v>
      </c>
    </row>
    <row r="2258" spans="1:8">
      <c r="A2258" s="15" t="s">
        <v>3180</v>
      </c>
      <c r="B2258" s="10">
        <v>8703543</v>
      </c>
      <c r="C2258" s="19"/>
      <c r="D2258" s="19" t="s">
        <v>90</v>
      </c>
      <c r="E2258" s="20">
        <v>2</v>
      </c>
      <c r="F2258" s="19" t="s">
        <v>671</v>
      </c>
      <c r="G2258" t="s">
        <v>677</v>
      </c>
      <c r="H2258" t="s">
        <v>721</v>
      </c>
    </row>
    <row r="2259" spans="1:8">
      <c r="A2259" s="15" t="s">
        <v>3180</v>
      </c>
      <c r="B2259" s="10">
        <v>4518212</v>
      </c>
      <c r="C2259" s="19"/>
      <c r="D2259" s="19" t="s">
        <v>4032</v>
      </c>
      <c r="E2259" s="20">
        <v>1</v>
      </c>
      <c r="F2259" s="13" t="s">
        <v>649</v>
      </c>
      <c r="H2259" t="s">
        <v>721</v>
      </c>
    </row>
    <row r="2260" spans="1:8">
      <c r="A2260" s="15" t="s">
        <v>3180</v>
      </c>
      <c r="B2260" s="10">
        <v>4521391</v>
      </c>
      <c r="C2260" s="19"/>
      <c r="D2260" s="19" t="s">
        <v>4033</v>
      </c>
      <c r="E2260" s="20">
        <v>1</v>
      </c>
      <c r="F2260" s="13" t="s">
        <v>644</v>
      </c>
      <c r="H2260" t="s">
        <v>721</v>
      </c>
    </row>
    <row r="2261" spans="1:8">
      <c r="A2261" s="15" t="s">
        <v>3180</v>
      </c>
      <c r="B2261" s="10">
        <v>4001840</v>
      </c>
      <c r="C2261" s="19"/>
      <c r="D2261" s="19" t="s">
        <v>4034</v>
      </c>
      <c r="E2261" s="20">
        <v>2</v>
      </c>
      <c r="F2261" s="13" t="s">
        <v>671</v>
      </c>
      <c r="H2261" t="s">
        <v>4035</v>
      </c>
    </row>
    <row r="2262" spans="1:8">
      <c r="A2262" s="15" t="s">
        <v>3180</v>
      </c>
      <c r="B2262" s="10">
        <v>4028940</v>
      </c>
      <c r="C2262" s="19"/>
      <c r="D2262" s="19" t="s">
        <v>4036</v>
      </c>
      <c r="E2262" s="20">
        <v>2</v>
      </c>
      <c r="F2262" s="13" t="s">
        <v>671</v>
      </c>
      <c r="H2262" t="s">
        <v>4035</v>
      </c>
    </row>
    <row r="2263" spans="1:8">
      <c r="A2263" s="15" t="s">
        <v>3180</v>
      </c>
      <c r="B2263" s="10">
        <v>8010139</v>
      </c>
      <c r="C2263" s="19"/>
      <c r="D2263" s="19" t="s">
        <v>1927</v>
      </c>
      <c r="E2263" s="20">
        <v>2</v>
      </c>
      <c r="F2263" s="19" t="s">
        <v>671</v>
      </c>
      <c r="H2263" t="s">
        <v>4035</v>
      </c>
    </row>
    <row r="2264" spans="1:8">
      <c r="A2264" s="15" t="s">
        <v>3180</v>
      </c>
      <c r="B2264" s="10">
        <v>8009581</v>
      </c>
      <c r="C2264" s="19"/>
      <c r="D2264" s="19" t="s">
        <v>4037</v>
      </c>
      <c r="E2264" s="20">
        <v>2</v>
      </c>
      <c r="F2264" s="19" t="s">
        <v>671</v>
      </c>
      <c r="H2264" t="s">
        <v>4035</v>
      </c>
    </row>
    <row r="2265" spans="1:8">
      <c r="A2265" s="15" t="s">
        <v>3180</v>
      </c>
      <c r="B2265" s="10">
        <v>8702809</v>
      </c>
      <c r="C2265" s="19"/>
      <c r="D2265" s="19" t="s">
        <v>1163</v>
      </c>
      <c r="E2265" s="20">
        <v>2</v>
      </c>
      <c r="F2265" s="19" t="s">
        <v>671</v>
      </c>
      <c r="H2265" t="s">
        <v>4035</v>
      </c>
    </row>
    <row r="2266" spans="1:8">
      <c r="A2266" s="15" t="s">
        <v>3180</v>
      </c>
      <c r="B2266" s="10">
        <v>4035151</v>
      </c>
      <c r="C2266" s="19"/>
      <c r="D2266" s="19" t="s">
        <v>4038</v>
      </c>
      <c r="E2266" s="20">
        <v>2</v>
      </c>
      <c r="F2266" s="19" t="s">
        <v>709</v>
      </c>
      <c r="H2266" t="s">
        <v>4035</v>
      </c>
    </row>
    <row r="2267" spans="1:8">
      <c r="A2267" s="15" t="s">
        <v>3180</v>
      </c>
      <c r="B2267" s="10">
        <v>4036098</v>
      </c>
      <c r="C2267" s="19"/>
      <c r="D2267" s="19" t="s">
        <v>19</v>
      </c>
      <c r="E2267" s="20">
        <v>2</v>
      </c>
      <c r="F2267" s="19" t="s">
        <v>671</v>
      </c>
      <c r="H2267" t="s">
        <v>4035</v>
      </c>
    </row>
    <row r="2268" spans="1:8">
      <c r="A2268" s="15" t="s">
        <v>3180</v>
      </c>
      <c r="B2268" s="10">
        <v>4521820</v>
      </c>
      <c r="C2268" s="19"/>
      <c r="D2268" s="19" t="s">
        <v>4039</v>
      </c>
      <c r="E2268" s="20">
        <v>1</v>
      </c>
      <c r="F2268" s="19" t="s">
        <v>649</v>
      </c>
      <c r="H2268" t="s">
        <v>4035</v>
      </c>
    </row>
    <row r="2269" spans="1:8">
      <c r="A2269" s="15" t="s">
        <v>3180</v>
      </c>
      <c r="B2269">
        <v>4514787</v>
      </c>
      <c r="D2269" t="s">
        <v>4040</v>
      </c>
      <c r="E2269" s="20">
        <v>1</v>
      </c>
      <c r="F2269" s="19" t="s">
        <v>656</v>
      </c>
      <c r="H2269" t="s">
        <v>4035</v>
      </c>
    </row>
    <row r="2270" spans="1:8">
      <c r="A2270" s="15" t="s">
        <v>3180</v>
      </c>
      <c r="B2270" s="1">
        <v>4021537</v>
      </c>
      <c r="D2270" t="s">
        <v>235</v>
      </c>
      <c r="E2270" s="21">
        <v>2</v>
      </c>
      <c r="F2270" s="15" t="s">
        <v>671</v>
      </c>
      <c r="H2270" t="s">
        <v>4035</v>
      </c>
    </row>
    <row r="2271" ht="16.5" spans="1:8">
      <c r="A2271" s="15" t="s">
        <v>3180</v>
      </c>
      <c r="B2271" s="22">
        <v>8011035</v>
      </c>
      <c r="C2271" s="23"/>
      <c r="D2271" s="24" t="s">
        <v>1965</v>
      </c>
      <c r="E2271" s="21">
        <v>2</v>
      </c>
      <c r="F2271" s="15" t="s">
        <v>709</v>
      </c>
      <c r="H2271" t="s">
        <v>4035</v>
      </c>
    </row>
    <row r="2272" ht="16.5" spans="1:8">
      <c r="A2272" s="15" t="s">
        <v>3180</v>
      </c>
      <c r="B2272" s="22">
        <v>8011034</v>
      </c>
      <c r="C2272" s="23"/>
      <c r="D2272" s="24" t="s">
        <v>1964</v>
      </c>
      <c r="E2272" s="21">
        <v>2</v>
      </c>
      <c r="F2272" s="15" t="s">
        <v>709</v>
      </c>
      <c r="H2272" t="s">
        <v>4035</v>
      </c>
    </row>
    <row r="2273" ht="16.5" spans="1:8">
      <c r="A2273" s="15" t="s">
        <v>3180</v>
      </c>
      <c r="B2273" s="22">
        <v>8011045</v>
      </c>
      <c r="C2273" s="23"/>
      <c r="D2273" s="24" t="s">
        <v>1975</v>
      </c>
      <c r="E2273" s="21">
        <v>2</v>
      </c>
      <c r="F2273" s="15" t="s">
        <v>709</v>
      </c>
      <c r="H2273" t="s">
        <v>4035</v>
      </c>
    </row>
    <row r="2274" ht="16.5" spans="1:8">
      <c r="A2274" s="15" t="s">
        <v>3180</v>
      </c>
      <c r="B2274" s="22">
        <v>8011044</v>
      </c>
      <c r="C2274" s="23"/>
      <c r="D2274" s="24" t="s">
        <v>1974</v>
      </c>
      <c r="E2274" s="21">
        <v>2</v>
      </c>
      <c r="F2274" s="15" t="s">
        <v>709</v>
      </c>
      <c r="H2274" t="s">
        <v>4035</v>
      </c>
    </row>
    <row r="2275" ht="16.5" spans="1:8">
      <c r="A2275" s="15" t="s">
        <v>3180</v>
      </c>
      <c r="B2275" s="22">
        <v>8011041</v>
      </c>
      <c r="C2275" s="23"/>
      <c r="D2275" s="24" t="s">
        <v>1971</v>
      </c>
      <c r="E2275" s="21">
        <v>2</v>
      </c>
      <c r="F2275" s="15" t="s">
        <v>709</v>
      </c>
      <c r="H2275" t="s">
        <v>4035</v>
      </c>
    </row>
    <row r="2276" ht="16.5" spans="1:8">
      <c r="A2276" s="15" t="s">
        <v>3180</v>
      </c>
      <c r="B2276" s="22">
        <v>8011037</v>
      </c>
      <c r="C2276" s="23"/>
      <c r="D2276" s="24" t="s">
        <v>1967</v>
      </c>
      <c r="E2276" s="21">
        <v>2</v>
      </c>
      <c r="F2276" s="15" t="s">
        <v>709</v>
      </c>
      <c r="H2276" t="s">
        <v>4035</v>
      </c>
    </row>
    <row r="2277" ht="16.5" spans="1:8">
      <c r="A2277" s="15" t="s">
        <v>3180</v>
      </c>
      <c r="B2277" s="22">
        <v>8011033</v>
      </c>
      <c r="C2277" s="23"/>
      <c r="D2277" s="24" t="s">
        <v>1963</v>
      </c>
      <c r="E2277" s="21">
        <v>2</v>
      </c>
      <c r="F2277" s="15" t="s">
        <v>709</v>
      </c>
      <c r="H2277" t="s">
        <v>4035</v>
      </c>
    </row>
    <row r="2278" ht="16.5" spans="1:8">
      <c r="A2278" s="15" t="s">
        <v>3180</v>
      </c>
      <c r="B2278" s="22">
        <v>8011047</v>
      </c>
      <c r="C2278" s="23"/>
      <c r="D2278" s="24" t="s">
        <v>1977</v>
      </c>
      <c r="E2278" s="21">
        <v>2</v>
      </c>
      <c r="F2278" s="15" t="s">
        <v>709</v>
      </c>
      <c r="H2278" t="s">
        <v>4035</v>
      </c>
    </row>
    <row r="2279" ht="16.5" spans="1:8">
      <c r="A2279" s="15" t="s">
        <v>3180</v>
      </c>
      <c r="B2279" s="22">
        <v>8011040</v>
      </c>
      <c r="C2279" s="23"/>
      <c r="D2279" s="24" t="s">
        <v>1970</v>
      </c>
      <c r="E2279" s="21">
        <v>2</v>
      </c>
      <c r="F2279" s="15" t="s">
        <v>709</v>
      </c>
      <c r="H2279" t="s">
        <v>4035</v>
      </c>
    </row>
    <row r="2280" ht="16.5" spans="1:8">
      <c r="A2280" s="15" t="s">
        <v>3180</v>
      </c>
      <c r="B2280" s="22">
        <v>8011046</v>
      </c>
      <c r="C2280" s="23"/>
      <c r="D2280" s="24" t="s">
        <v>1976</v>
      </c>
      <c r="E2280" s="21">
        <v>2</v>
      </c>
      <c r="F2280" s="15" t="s">
        <v>709</v>
      </c>
      <c r="H2280" t="s">
        <v>4035</v>
      </c>
    </row>
    <row r="2281" ht="16.5" spans="1:8">
      <c r="A2281" s="15" t="s">
        <v>3180</v>
      </c>
      <c r="B2281" s="22">
        <v>8011036</v>
      </c>
      <c r="C2281" s="23"/>
      <c r="D2281" s="24" t="s">
        <v>1966</v>
      </c>
      <c r="E2281" s="21">
        <v>2</v>
      </c>
      <c r="F2281" s="15" t="s">
        <v>709</v>
      </c>
      <c r="H2281" t="s">
        <v>4035</v>
      </c>
    </row>
    <row r="2282" ht="16.5" spans="1:8">
      <c r="A2282" s="15" t="s">
        <v>3180</v>
      </c>
      <c r="B2282" s="22">
        <v>8011043</v>
      </c>
      <c r="C2282" s="23"/>
      <c r="D2282" s="24" t="s">
        <v>1973</v>
      </c>
      <c r="E2282" s="21">
        <v>2</v>
      </c>
      <c r="F2282" s="15" t="s">
        <v>709</v>
      </c>
      <c r="H2282" t="s">
        <v>4035</v>
      </c>
    </row>
    <row r="2283" ht="16.5" spans="1:8">
      <c r="A2283" s="15" t="s">
        <v>3180</v>
      </c>
      <c r="B2283" s="22">
        <v>8011042</v>
      </c>
      <c r="C2283" s="23"/>
      <c r="D2283" s="24" t="s">
        <v>1972</v>
      </c>
      <c r="E2283" s="21">
        <v>2</v>
      </c>
      <c r="F2283" s="15" t="s">
        <v>709</v>
      </c>
      <c r="H2283" t="s">
        <v>4035</v>
      </c>
    </row>
    <row r="2284" ht="16.5" spans="1:8">
      <c r="A2284" s="15" t="s">
        <v>3180</v>
      </c>
      <c r="B2284" s="22">
        <v>8011039</v>
      </c>
      <c r="C2284" s="23"/>
      <c r="D2284" s="24" t="s">
        <v>1969</v>
      </c>
      <c r="E2284" s="21">
        <v>2</v>
      </c>
      <c r="F2284" s="15" t="s">
        <v>709</v>
      </c>
      <c r="H2284" t="s">
        <v>4035</v>
      </c>
    </row>
    <row r="2285" ht="16.5" spans="1:8">
      <c r="A2285" s="15" t="s">
        <v>3180</v>
      </c>
      <c r="B2285" s="22">
        <v>8011038</v>
      </c>
      <c r="C2285" s="23"/>
      <c r="D2285" s="24" t="s">
        <v>1968</v>
      </c>
      <c r="E2285" s="21">
        <v>2</v>
      </c>
      <c r="F2285" s="15" t="s">
        <v>709</v>
      </c>
      <c r="H2285" t="s">
        <v>4035</v>
      </c>
    </row>
    <row r="2286" ht="16.5" spans="1:8">
      <c r="A2286" s="15" t="s">
        <v>3180</v>
      </c>
      <c r="B2286" s="22">
        <v>8011061</v>
      </c>
      <c r="C2286" s="23"/>
      <c r="D2286" s="24" t="s">
        <v>4041</v>
      </c>
      <c r="E2286" s="21">
        <v>2</v>
      </c>
      <c r="F2286" s="15" t="s">
        <v>709</v>
      </c>
      <c r="H2286" t="s">
        <v>4035</v>
      </c>
    </row>
    <row r="2287" ht="16.5" spans="1:8">
      <c r="A2287" s="15" t="s">
        <v>3180</v>
      </c>
      <c r="B2287" s="22">
        <v>8011060</v>
      </c>
      <c r="C2287" s="23"/>
      <c r="D2287" s="23" t="s">
        <v>4042</v>
      </c>
      <c r="E2287" s="21">
        <v>2</v>
      </c>
      <c r="F2287" s="15" t="s">
        <v>709</v>
      </c>
      <c r="H2287" t="s">
        <v>4035</v>
      </c>
    </row>
    <row r="2288" ht="16.5" spans="1:8">
      <c r="A2288" s="15" t="s">
        <v>3180</v>
      </c>
      <c r="B2288" s="22">
        <v>4521903</v>
      </c>
      <c r="C2288" s="23"/>
      <c r="D2288" s="23" t="s">
        <v>4043</v>
      </c>
      <c r="E2288" s="21">
        <v>1</v>
      </c>
      <c r="F2288" s="15" t="s">
        <v>646</v>
      </c>
      <c r="H2288" t="s">
        <v>4035</v>
      </c>
    </row>
    <row r="2289" ht="16.5" spans="1:8">
      <c r="A2289" s="15" t="s">
        <v>3180</v>
      </c>
      <c r="B2289" s="22">
        <v>4513582</v>
      </c>
      <c r="C2289" s="23"/>
      <c r="D2289" s="24" t="s">
        <v>4044</v>
      </c>
      <c r="E2289" s="21">
        <v>1</v>
      </c>
      <c r="F2289" s="15" t="s">
        <v>646</v>
      </c>
      <c r="H2289" t="s">
        <v>4035</v>
      </c>
    </row>
    <row r="2290" ht="16.5" spans="1:8">
      <c r="A2290" s="15" t="s">
        <v>3180</v>
      </c>
      <c r="B2290" s="22">
        <v>4521901</v>
      </c>
      <c r="C2290" s="23"/>
      <c r="D2290" s="24" t="s">
        <v>4045</v>
      </c>
      <c r="E2290" s="21">
        <v>1</v>
      </c>
      <c r="F2290" s="15" t="s">
        <v>640</v>
      </c>
      <c r="H2290" t="s">
        <v>4035</v>
      </c>
    </row>
    <row r="2291" ht="16.5" spans="1:8">
      <c r="A2291" s="15" t="s">
        <v>3180</v>
      </c>
      <c r="B2291" s="22">
        <v>4035148</v>
      </c>
      <c r="C2291" s="23"/>
      <c r="D2291" s="24" t="s">
        <v>4046</v>
      </c>
      <c r="E2291" s="21">
        <v>2</v>
      </c>
      <c r="F2291" s="15" t="s">
        <v>709</v>
      </c>
      <c r="H2291" t="s">
        <v>4035</v>
      </c>
    </row>
    <row r="2292" ht="16.5" spans="1:8">
      <c r="A2292" s="15" t="s">
        <v>3180</v>
      </c>
      <c r="B2292" s="22">
        <v>4521819</v>
      </c>
      <c r="C2292" s="23"/>
      <c r="D2292" s="24" t="s">
        <v>4047</v>
      </c>
      <c r="E2292" s="21">
        <v>1</v>
      </c>
      <c r="F2292" s="15" t="s">
        <v>642</v>
      </c>
      <c r="H2292" t="s">
        <v>4035</v>
      </c>
    </row>
    <row r="2293" ht="16.5" spans="1:8">
      <c r="A2293" s="15" t="s">
        <v>3180</v>
      </c>
      <c r="B2293" s="22">
        <v>4521876</v>
      </c>
      <c r="C2293" s="23"/>
      <c r="D2293" s="23" t="s">
        <v>4048</v>
      </c>
      <c r="E2293" s="21">
        <v>1</v>
      </c>
      <c r="F2293" s="15" t="s">
        <v>640</v>
      </c>
      <c r="H2293" t="s">
        <v>4035</v>
      </c>
    </row>
    <row r="2294" ht="16.5" spans="1:8">
      <c r="A2294" s="15" t="s">
        <v>3180</v>
      </c>
      <c r="B2294" s="22">
        <v>8002245</v>
      </c>
      <c r="C2294" s="23"/>
      <c r="D2294" s="24" t="s">
        <v>1841</v>
      </c>
      <c r="E2294" s="21">
        <v>2</v>
      </c>
      <c r="F2294" s="15" t="s">
        <v>671</v>
      </c>
      <c r="H2294" t="s">
        <v>4035</v>
      </c>
    </row>
    <row r="2295" ht="16.5" spans="1:8">
      <c r="A2295" s="15" t="s">
        <v>3180</v>
      </c>
      <c r="B2295" s="22">
        <v>1500523</v>
      </c>
      <c r="C2295" s="23"/>
      <c r="D2295" s="23" t="s">
        <v>771</v>
      </c>
      <c r="E2295" s="21">
        <v>1</v>
      </c>
      <c r="F2295" s="15" t="s">
        <v>644</v>
      </c>
      <c r="H2295" t="s">
        <v>4035</v>
      </c>
    </row>
    <row r="2296" ht="16.5" spans="1:8">
      <c r="A2296" s="15" t="s">
        <v>3180</v>
      </c>
      <c r="B2296" s="22">
        <v>4521532</v>
      </c>
      <c r="C2296" s="23"/>
      <c r="D2296" s="24" t="s">
        <v>4049</v>
      </c>
      <c r="E2296" s="21">
        <v>2</v>
      </c>
      <c r="F2296" s="15" t="s">
        <v>654</v>
      </c>
      <c r="H2296" t="s">
        <v>4035</v>
      </c>
    </row>
    <row r="2297" ht="16.5" spans="1:8">
      <c r="A2297" s="15" t="s">
        <v>3180</v>
      </c>
      <c r="B2297" s="22">
        <v>4521900</v>
      </c>
      <c r="C2297" s="23"/>
      <c r="D2297" s="24" t="s">
        <v>1662</v>
      </c>
      <c r="E2297" s="21">
        <v>1</v>
      </c>
      <c r="F2297" s="15" t="s">
        <v>646</v>
      </c>
      <c r="H2297" t="s">
        <v>4035</v>
      </c>
    </row>
    <row r="2298" ht="16.5" spans="1:8">
      <c r="A2298" s="15" t="s">
        <v>3180</v>
      </c>
      <c r="B2298" s="22">
        <v>4521715</v>
      </c>
      <c r="C2298" s="23"/>
      <c r="D2298" s="24" t="s">
        <v>1661</v>
      </c>
      <c r="E2298" s="21">
        <v>1</v>
      </c>
      <c r="F2298" s="15" t="s">
        <v>656</v>
      </c>
      <c r="H2298" t="s">
        <v>4035</v>
      </c>
    </row>
    <row r="2299" ht="16.5" spans="1:8">
      <c r="A2299" s="15" t="s">
        <v>3180</v>
      </c>
      <c r="B2299" s="22">
        <v>4516631</v>
      </c>
      <c r="C2299" s="23"/>
      <c r="D2299" s="24" t="s">
        <v>713</v>
      </c>
      <c r="E2299" s="21">
        <v>2</v>
      </c>
      <c r="F2299" s="15" t="s">
        <v>654</v>
      </c>
      <c r="H2299" t="s">
        <v>4035</v>
      </c>
    </row>
    <row r="2300" ht="16.5" spans="1:8">
      <c r="A2300" s="15" t="s">
        <v>3180</v>
      </c>
      <c r="B2300" s="22">
        <v>8006869</v>
      </c>
      <c r="C2300" s="23"/>
      <c r="D2300" s="24" t="s">
        <v>111</v>
      </c>
      <c r="E2300" s="21">
        <v>2</v>
      </c>
      <c r="F2300" s="15" t="s">
        <v>696</v>
      </c>
      <c r="H2300" t="s">
        <v>4035</v>
      </c>
    </row>
    <row r="2301" ht="16.5" spans="1:8">
      <c r="A2301" s="15" t="s">
        <v>3180</v>
      </c>
      <c r="B2301" s="22">
        <v>4521822</v>
      </c>
      <c r="C2301" s="23"/>
      <c r="D2301" s="24" t="s">
        <v>4050</v>
      </c>
      <c r="E2301" s="21">
        <v>2</v>
      </c>
      <c r="F2301" s="15" t="s">
        <v>671</v>
      </c>
      <c r="H2301" t="s">
        <v>4035</v>
      </c>
    </row>
    <row r="2302" ht="16.5" spans="1:8">
      <c r="A2302" s="24" t="s">
        <v>3180</v>
      </c>
      <c r="B2302" s="22">
        <v>4521821</v>
      </c>
      <c r="C2302" s="23"/>
      <c r="D2302" s="24" t="s">
        <v>4051</v>
      </c>
      <c r="E2302" s="22">
        <v>2</v>
      </c>
      <c r="F2302" s="24" t="s">
        <v>671</v>
      </c>
      <c r="H2302" t="s">
        <v>4035</v>
      </c>
    </row>
    <row r="2303" ht="16.5" spans="1:8">
      <c r="A2303" s="24" t="s">
        <v>3180</v>
      </c>
      <c r="B2303" s="22">
        <v>4521902</v>
      </c>
      <c r="C2303" s="23"/>
      <c r="D2303" s="24" t="s">
        <v>1663</v>
      </c>
      <c r="E2303" s="22">
        <v>1</v>
      </c>
      <c r="F2303" s="24" t="s">
        <v>640</v>
      </c>
      <c r="H2303" t="s">
        <v>4035</v>
      </c>
    </row>
    <row r="2304" ht="16.5" spans="1:8">
      <c r="A2304" s="24" t="s">
        <v>3180</v>
      </c>
      <c r="B2304" s="22">
        <v>4521379</v>
      </c>
      <c r="C2304" s="23"/>
      <c r="D2304" s="24" t="s">
        <v>4052</v>
      </c>
      <c r="E2304" s="22">
        <v>1</v>
      </c>
      <c r="F2304" s="24" t="s">
        <v>646</v>
      </c>
      <c r="H2304" t="s">
        <v>4035</v>
      </c>
    </row>
    <row r="2305" ht="16.5" spans="1:8">
      <c r="A2305" s="24" t="s">
        <v>3180</v>
      </c>
      <c r="B2305" s="22">
        <v>4044510</v>
      </c>
      <c r="C2305" s="23"/>
      <c r="D2305" s="24" t="s">
        <v>4053</v>
      </c>
      <c r="E2305" s="22">
        <v>2</v>
      </c>
      <c r="F2305" s="24" t="s">
        <v>654</v>
      </c>
      <c r="H2305" t="s">
        <v>4035</v>
      </c>
    </row>
    <row r="2306" ht="16.5" spans="1:8">
      <c r="A2306" s="24" t="s">
        <v>3180</v>
      </c>
      <c r="B2306" s="22">
        <v>4521904</v>
      </c>
      <c r="C2306" s="23"/>
      <c r="D2306" s="24" t="s">
        <v>4054</v>
      </c>
      <c r="E2306" s="22">
        <v>1</v>
      </c>
      <c r="F2306" s="24" t="s">
        <v>640</v>
      </c>
      <c r="H2306" t="s">
        <v>4035</v>
      </c>
    </row>
    <row r="2307" ht="16.5" spans="1:8">
      <c r="A2307" s="24" t="s">
        <v>3180</v>
      </c>
      <c r="B2307" s="22">
        <v>4501740</v>
      </c>
      <c r="C2307" s="23"/>
      <c r="D2307" s="24" t="s">
        <v>1372</v>
      </c>
      <c r="E2307" s="22">
        <v>1</v>
      </c>
      <c r="F2307" s="24" t="s">
        <v>642</v>
      </c>
      <c r="H2307" t="s">
        <v>4035</v>
      </c>
    </row>
    <row r="2308" ht="16.5" spans="1:8">
      <c r="A2308" s="24" t="s">
        <v>3180</v>
      </c>
      <c r="B2308" s="22">
        <v>4513698</v>
      </c>
      <c r="C2308" s="23"/>
      <c r="D2308" s="24" t="s">
        <v>4055</v>
      </c>
      <c r="E2308" s="22">
        <v>2</v>
      </c>
      <c r="F2308" s="24" t="s">
        <v>671</v>
      </c>
      <c r="H2308" t="s">
        <v>4035</v>
      </c>
    </row>
    <row r="2309" ht="16.5" spans="1:8">
      <c r="A2309" s="24" t="s">
        <v>3180</v>
      </c>
      <c r="B2309" s="22">
        <v>4505975</v>
      </c>
      <c r="C2309" s="23"/>
      <c r="D2309" s="24" t="s">
        <v>4056</v>
      </c>
      <c r="E2309" s="22">
        <v>2</v>
      </c>
      <c r="F2309" s="24" t="s">
        <v>671</v>
      </c>
      <c r="H2309" t="s">
        <v>4035</v>
      </c>
    </row>
    <row r="2310" ht="16.5" spans="1:8">
      <c r="A2310" s="24" t="s">
        <v>3180</v>
      </c>
      <c r="B2310" s="22">
        <v>4510496</v>
      </c>
      <c r="C2310" s="23"/>
      <c r="D2310" s="24" t="s">
        <v>4057</v>
      </c>
      <c r="E2310" s="22">
        <v>2</v>
      </c>
      <c r="F2310" s="24" t="s">
        <v>671</v>
      </c>
      <c r="H2310" t="s">
        <v>4035</v>
      </c>
    </row>
    <row r="2311" ht="16.5" spans="1:8">
      <c r="A2311" s="24" t="s">
        <v>3180</v>
      </c>
      <c r="B2311" s="22">
        <v>8005491</v>
      </c>
      <c r="C2311" s="23"/>
      <c r="D2311" s="24" t="s">
        <v>1860</v>
      </c>
      <c r="E2311" s="22">
        <v>2</v>
      </c>
      <c r="F2311" s="24" t="s">
        <v>696</v>
      </c>
      <c r="H2311" t="s">
        <v>4035</v>
      </c>
    </row>
    <row r="2312" ht="16.5" spans="1:8">
      <c r="A2312" s="24" t="s">
        <v>3180</v>
      </c>
      <c r="B2312" s="22">
        <v>8005494</v>
      </c>
      <c r="C2312" s="23"/>
      <c r="D2312" s="24" t="s">
        <v>1863</v>
      </c>
      <c r="E2312" s="22">
        <v>2</v>
      </c>
      <c r="F2312" s="24" t="s">
        <v>696</v>
      </c>
      <c r="H2312" t="s">
        <v>4035</v>
      </c>
    </row>
    <row r="2313" ht="16.5" spans="1:8">
      <c r="A2313" s="24" t="s">
        <v>3180</v>
      </c>
      <c r="B2313" s="22">
        <v>8005499</v>
      </c>
      <c r="C2313" s="23"/>
      <c r="D2313" s="24" t="s">
        <v>1865</v>
      </c>
      <c r="E2313" s="22">
        <v>2</v>
      </c>
      <c r="F2313" s="24" t="s">
        <v>696</v>
      </c>
      <c r="H2313" t="s">
        <v>4035</v>
      </c>
    </row>
    <row r="2314" ht="16.5" spans="1:8">
      <c r="A2314" s="24" t="s">
        <v>3180</v>
      </c>
      <c r="B2314" s="22">
        <v>8005498</v>
      </c>
      <c r="C2314" s="23"/>
      <c r="D2314" s="24" t="s">
        <v>4058</v>
      </c>
      <c r="E2314" s="22">
        <v>2</v>
      </c>
      <c r="F2314" s="24" t="s">
        <v>696</v>
      </c>
      <c r="H2314" t="s">
        <v>4035</v>
      </c>
    </row>
    <row r="2315" ht="16.5" spans="1:8">
      <c r="A2315" s="24" t="s">
        <v>3180</v>
      </c>
      <c r="B2315" s="22">
        <v>4700925</v>
      </c>
      <c r="C2315" s="23"/>
      <c r="D2315" s="24" t="s">
        <v>4059</v>
      </c>
      <c r="E2315" s="22">
        <v>2</v>
      </c>
      <c r="F2315" s="24" t="s">
        <v>671</v>
      </c>
      <c r="H2315" t="s">
        <v>4035</v>
      </c>
    </row>
    <row r="2316" ht="16.5" spans="1:8">
      <c r="A2316" s="24" t="s">
        <v>3180</v>
      </c>
      <c r="B2316" s="22">
        <v>8005726</v>
      </c>
      <c r="C2316" s="23"/>
      <c r="D2316" s="24" t="s">
        <v>4060</v>
      </c>
      <c r="E2316" s="22">
        <v>2</v>
      </c>
      <c r="F2316" s="24" t="s">
        <v>696</v>
      </c>
      <c r="H2316" t="s">
        <v>4035</v>
      </c>
    </row>
    <row r="2317" ht="16.5" spans="1:8">
      <c r="A2317" s="24" t="s">
        <v>3180</v>
      </c>
      <c r="B2317" s="22">
        <v>4020619</v>
      </c>
      <c r="C2317" s="23"/>
      <c r="D2317" s="24" t="s">
        <v>2285</v>
      </c>
      <c r="E2317" s="22">
        <v>2</v>
      </c>
      <c r="F2317" s="24" t="s">
        <v>696</v>
      </c>
      <c r="H2317" t="s">
        <v>4035</v>
      </c>
    </row>
    <row r="2318" ht="16.5" spans="1:8">
      <c r="A2318" s="24" t="s">
        <v>3180</v>
      </c>
      <c r="B2318" s="22">
        <v>4517392</v>
      </c>
      <c r="C2318" s="23"/>
      <c r="D2318" s="24" t="s">
        <v>4061</v>
      </c>
      <c r="E2318" s="22">
        <v>2</v>
      </c>
      <c r="F2318" s="24" t="s">
        <v>671</v>
      </c>
      <c r="H2318" t="s">
        <v>4035</v>
      </c>
    </row>
    <row r="2319" ht="16.5" spans="1:8">
      <c r="A2319" s="24" t="s">
        <v>3180</v>
      </c>
      <c r="B2319" s="22">
        <v>1700286</v>
      </c>
      <c r="C2319" s="23"/>
      <c r="D2319" s="24" t="s">
        <v>4062</v>
      </c>
      <c r="E2319" s="22">
        <v>1</v>
      </c>
      <c r="F2319" s="24" t="s">
        <v>640</v>
      </c>
      <c r="H2319" t="s">
        <v>4035</v>
      </c>
    </row>
    <row r="2320" ht="16.5" spans="1:8">
      <c r="A2320" s="24" t="s">
        <v>3180</v>
      </c>
      <c r="B2320" s="22">
        <v>4506865</v>
      </c>
      <c r="C2320" s="23"/>
      <c r="D2320" s="24" t="s">
        <v>4063</v>
      </c>
      <c r="E2320" s="22">
        <v>2</v>
      </c>
      <c r="F2320" s="24" t="s">
        <v>671</v>
      </c>
      <c r="H2320" t="s">
        <v>4035</v>
      </c>
    </row>
    <row r="2321" ht="16.5" spans="1:8">
      <c r="A2321" s="24" t="s">
        <v>3180</v>
      </c>
      <c r="B2321" s="22">
        <v>4519020</v>
      </c>
      <c r="C2321" s="23"/>
      <c r="D2321" s="24" t="s">
        <v>4064</v>
      </c>
      <c r="E2321" s="22">
        <v>2</v>
      </c>
      <c r="F2321" s="24" t="s">
        <v>671</v>
      </c>
      <c r="H2321" t="s">
        <v>4035</v>
      </c>
    </row>
    <row r="2322" ht="16.5" spans="1:8">
      <c r="A2322" s="24" t="s">
        <v>3180</v>
      </c>
      <c r="B2322" s="22">
        <v>4516832</v>
      </c>
      <c r="C2322" s="23"/>
      <c r="D2322" s="24" t="s">
        <v>4065</v>
      </c>
      <c r="E2322" s="22">
        <v>1</v>
      </c>
      <c r="F2322" s="24" t="s">
        <v>642</v>
      </c>
      <c r="H2322" t="s">
        <v>4035</v>
      </c>
    </row>
    <row r="2323" ht="16.5" spans="1:8">
      <c r="A2323" s="24" t="s">
        <v>3180</v>
      </c>
      <c r="B2323" s="22">
        <v>4521526</v>
      </c>
      <c r="C2323" s="23"/>
      <c r="D2323" s="24" t="s">
        <v>4066</v>
      </c>
      <c r="E2323" s="22">
        <v>1</v>
      </c>
      <c r="F2323" s="24" t="s">
        <v>642</v>
      </c>
      <c r="H2323" t="s">
        <v>4035</v>
      </c>
    </row>
    <row r="2324" ht="16.5" spans="1:8">
      <c r="A2324" s="24" t="s">
        <v>3180</v>
      </c>
      <c r="B2324" s="22">
        <v>4521241</v>
      </c>
      <c r="C2324" s="23"/>
      <c r="D2324" s="24" t="s">
        <v>4067</v>
      </c>
      <c r="E2324" s="22">
        <v>1</v>
      </c>
      <c r="F2324" s="24" t="s">
        <v>646</v>
      </c>
      <c r="H2324" t="s">
        <v>4035</v>
      </c>
    </row>
    <row r="2325" ht="16.5" spans="1:8">
      <c r="A2325" s="24" t="s">
        <v>3180</v>
      </c>
      <c r="B2325" s="22">
        <v>4506734</v>
      </c>
      <c r="C2325" s="23"/>
      <c r="D2325" s="24" t="s">
        <v>4068</v>
      </c>
      <c r="E2325" s="22">
        <v>2</v>
      </c>
      <c r="F2325" s="24" t="s">
        <v>644</v>
      </c>
      <c r="H2325" t="s">
        <v>4035</v>
      </c>
    </row>
    <row r="2326" ht="16.5" spans="1:8">
      <c r="A2326" s="24" t="s">
        <v>3180</v>
      </c>
      <c r="B2326" s="22">
        <v>4506401</v>
      </c>
      <c r="C2326" s="23"/>
      <c r="D2326" s="24" t="s">
        <v>4069</v>
      </c>
      <c r="E2326" s="22">
        <v>1</v>
      </c>
      <c r="F2326" s="24" t="s">
        <v>640</v>
      </c>
      <c r="H2326" t="s">
        <v>4035</v>
      </c>
    </row>
    <row r="2327" ht="16.5" spans="1:8">
      <c r="A2327" s="24" t="s">
        <v>3180</v>
      </c>
      <c r="B2327" s="22">
        <v>4501867</v>
      </c>
      <c r="C2327" s="23"/>
      <c r="D2327" s="24" t="s">
        <v>4070</v>
      </c>
      <c r="E2327" s="22">
        <v>1</v>
      </c>
      <c r="F2327" s="24" t="s">
        <v>640</v>
      </c>
      <c r="H2327" t="s">
        <v>4035</v>
      </c>
    </row>
    <row r="2328" ht="16.5" spans="1:8">
      <c r="A2328" s="24" t="s">
        <v>3180</v>
      </c>
      <c r="B2328" s="22">
        <v>4521246</v>
      </c>
      <c r="C2328" s="23"/>
      <c r="D2328" s="24" t="s">
        <v>460</v>
      </c>
      <c r="E2328" s="22">
        <v>1</v>
      </c>
      <c r="F2328" s="24" t="s">
        <v>642</v>
      </c>
      <c r="H2328" t="s">
        <v>4035</v>
      </c>
    </row>
    <row r="2329" ht="16.5" spans="1:8">
      <c r="A2329" s="24" t="s">
        <v>3180</v>
      </c>
      <c r="B2329" s="22">
        <v>4019568</v>
      </c>
      <c r="C2329" s="23"/>
      <c r="D2329" s="24" t="s">
        <v>4071</v>
      </c>
      <c r="E2329" s="22">
        <v>2</v>
      </c>
      <c r="F2329" s="24" t="s">
        <v>671</v>
      </c>
      <c r="H2329" t="s">
        <v>4035</v>
      </c>
    </row>
    <row r="2330" ht="16.5" spans="1:8">
      <c r="A2330" s="24" t="s">
        <v>3180</v>
      </c>
      <c r="B2330" s="22">
        <v>4019564</v>
      </c>
      <c r="C2330" s="23"/>
      <c r="D2330" s="24" t="s">
        <v>4072</v>
      </c>
      <c r="E2330" s="22">
        <v>2</v>
      </c>
      <c r="F2330" s="24" t="s">
        <v>671</v>
      </c>
      <c r="H2330" t="s">
        <v>4035</v>
      </c>
    </row>
    <row r="2331" ht="16.5" spans="1:8">
      <c r="A2331" s="24" t="s">
        <v>3180</v>
      </c>
      <c r="B2331" s="22">
        <v>4019567</v>
      </c>
      <c r="C2331" s="23"/>
      <c r="D2331" s="24" t="s">
        <v>4073</v>
      </c>
      <c r="E2331" s="22">
        <v>2</v>
      </c>
      <c r="F2331" s="24" t="s">
        <v>671</v>
      </c>
      <c r="H2331" t="s">
        <v>4035</v>
      </c>
    </row>
    <row r="2332" ht="16.5" spans="1:8">
      <c r="A2332" s="24" t="s">
        <v>3180</v>
      </c>
      <c r="B2332" s="22">
        <v>4019566</v>
      </c>
      <c r="C2332" s="23"/>
      <c r="D2332" s="24" t="s">
        <v>4074</v>
      </c>
      <c r="E2332" s="22">
        <v>2</v>
      </c>
      <c r="F2332" s="24" t="s">
        <v>671</v>
      </c>
      <c r="H2332" t="s">
        <v>4035</v>
      </c>
    </row>
    <row r="2333" ht="16.5" spans="1:8">
      <c r="A2333" s="24" t="s">
        <v>3180</v>
      </c>
      <c r="B2333" s="22">
        <v>4019565</v>
      </c>
      <c r="C2333" s="23"/>
      <c r="D2333" s="24" t="s">
        <v>4075</v>
      </c>
      <c r="E2333" s="22">
        <v>2</v>
      </c>
      <c r="F2333" s="24" t="s">
        <v>671</v>
      </c>
      <c r="H2333" t="s">
        <v>4035</v>
      </c>
    </row>
    <row r="2334" ht="16.5" spans="1:8">
      <c r="A2334" s="24" t="s">
        <v>3180</v>
      </c>
      <c r="B2334" s="22">
        <v>4516831</v>
      </c>
      <c r="C2334" s="23"/>
      <c r="D2334" s="24" t="s">
        <v>4076</v>
      </c>
      <c r="E2334" s="22">
        <v>1</v>
      </c>
      <c r="F2334" s="24" t="s">
        <v>642</v>
      </c>
      <c r="H2334" t="s">
        <v>4035</v>
      </c>
    </row>
    <row r="2335" ht="16.5" spans="1:8">
      <c r="A2335" s="24" t="s">
        <v>3180</v>
      </c>
      <c r="B2335" s="22">
        <v>8702804</v>
      </c>
      <c r="C2335" s="23"/>
      <c r="D2335" s="24" t="s">
        <v>1162</v>
      </c>
      <c r="E2335" s="22">
        <v>2</v>
      </c>
      <c r="F2335" s="24" t="s">
        <v>671</v>
      </c>
      <c r="H2335" t="s">
        <v>4035</v>
      </c>
    </row>
    <row r="2336" ht="16.5" spans="1:8">
      <c r="A2336" s="24" t="s">
        <v>3180</v>
      </c>
      <c r="B2336" s="22">
        <v>3001584</v>
      </c>
      <c r="C2336" s="23"/>
      <c r="D2336" s="24" t="s">
        <v>4077</v>
      </c>
      <c r="E2336" s="22">
        <v>1</v>
      </c>
      <c r="F2336" s="24" t="s">
        <v>640</v>
      </c>
      <c r="H2336" t="s">
        <v>4035</v>
      </c>
    </row>
    <row r="2337" ht="16.5" spans="1:8">
      <c r="A2337" s="24" t="s">
        <v>3180</v>
      </c>
      <c r="B2337" s="22">
        <v>4522303</v>
      </c>
      <c r="C2337" s="23"/>
      <c r="D2337" s="24" t="s">
        <v>4078</v>
      </c>
      <c r="E2337" s="22">
        <v>2</v>
      </c>
      <c r="F2337" s="24" t="s">
        <v>671</v>
      </c>
      <c r="H2337" t="s">
        <v>723</v>
      </c>
    </row>
    <row r="2338" ht="16.5" spans="1:8">
      <c r="A2338" s="24" t="s">
        <v>3180</v>
      </c>
      <c r="B2338" s="22">
        <v>4522217</v>
      </c>
      <c r="C2338" s="23"/>
      <c r="D2338" s="24" t="s">
        <v>4079</v>
      </c>
      <c r="E2338" s="22">
        <v>1</v>
      </c>
      <c r="F2338" s="24" t="s">
        <v>642</v>
      </c>
      <c r="H2338" t="s">
        <v>723</v>
      </c>
    </row>
    <row r="2339" ht="16.5" spans="1:8">
      <c r="A2339" s="24" t="s">
        <v>3180</v>
      </c>
      <c r="B2339" s="22">
        <v>4522187</v>
      </c>
      <c r="C2339" s="23"/>
      <c r="D2339" s="24" t="s">
        <v>1664</v>
      </c>
      <c r="E2339" s="22">
        <v>1</v>
      </c>
      <c r="F2339" s="24" t="s">
        <v>640</v>
      </c>
      <c r="H2339" t="s">
        <v>723</v>
      </c>
    </row>
    <row r="2340" ht="16.5" spans="1:8">
      <c r="A2340" s="24" t="s">
        <v>3180</v>
      </c>
      <c r="B2340" s="22">
        <v>8001985</v>
      </c>
      <c r="C2340" s="23"/>
      <c r="D2340" s="24" t="s">
        <v>1840</v>
      </c>
      <c r="E2340" s="22">
        <v>2</v>
      </c>
      <c r="F2340" s="24" t="s">
        <v>671</v>
      </c>
      <c r="H2340" t="s">
        <v>723</v>
      </c>
    </row>
    <row r="2341" ht="16.5" spans="1:8">
      <c r="A2341" s="24" t="s">
        <v>3180</v>
      </c>
      <c r="B2341" s="22">
        <v>8010318</v>
      </c>
      <c r="C2341" s="23"/>
      <c r="D2341" s="24" t="s">
        <v>1945</v>
      </c>
      <c r="E2341" s="22">
        <v>2</v>
      </c>
      <c r="F2341" s="24" t="s">
        <v>671</v>
      </c>
      <c r="H2341" t="s">
        <v>723</v>
      </c>
    </row>
    <row r="2342" ht="16.5" spans="1:8">
      <c r="A2342" s="24" t="s">
        <v>3180</v>
      </c>
      <c r="B2342" s="22">
        <v>8011354</v>
      </c>
      <c r="C2342" s="23"/>
      <c r="D2342" s="24" t="s">
        <v>1991</v>
      </c>
      <c r="E2342" s="22">
        <v>2</v>
      </c>
      <c r="F2342" s="24" t="s">
        <v>671</v>
      </c>
      <c r="H2342" t="s">
        <v>723</v>
      </c>
    </row>
    <row r="2343" ht="16.5" spans="1:8">
      <c r="A2343" s="24" t="s">
        <v>3180</v>
      </c>
      <c r="B2343" s="22">
        <v>8005286</v>
      </c>
      <c r="C2343" s="23"/>
      <c r="D2343" s="24" t="s">
        <v>1849</v>
      </c>
      <c r="E2343" s="22">
        <v>2</v>
      </c>
      <c r="F2343" s="24" t="s">
        <v>671</v>
      </c>
      <c r="H2343" t="s">
        <v>723</v>
      </c>
    </row>
    <row r="2344" ht="16.5" spans="1:8">
      <c r="A2344" s="24" t="s">
        <v>3180</v>
      </c>
      <c r="B2344" s="22">
        <v>8011026</v>
      </c>
      <c r="C2344" s="23"/>
      <c r="D2344" s="24" t="s">
        <v>1962</v>
      </c>
      <c r="E2344" s="22">
        <v>2</v>
      </c>
      <c r="F2344" s="24" t="s">
        <v>671</v>
      </c>
      <c r="H2344" t="s">
        <v>723</v>
      </c>
    </row>
    <row r="2345" ht="16.5" spans="1:8">
      <c r="A2345" s="24" t="s">
        <v>3180</v>
      </c>
      <c r="B2345" s="22">
        <v>8011025</v>
      </c>
      <c r="C2345" s="23"/>
      <c r="D2345" s="24" t="s">
        <v>1961</v>
      </c>
      <c r="E2345" s="22">
        <v>2</v>
      </c>
      <c r="F2345" s="24" t="s">
        <v>671</v>
      </c>
      <c r="H2345" t="s">
        <v>723</v>
      </c>
    </row>
    <row r="2346" ht="16.5" spans="1:8">
      <c r="A2346" s="24" t="s">
        <v>3180</v>
      </c>
      <c r="B2346" s="22">
        <v>8011024</v>
      </c>
      <c r="C2346" s="23"/>
      <c r="D2346" s="24" t="s">
        <v>1960</v>
      </c>
      <c r="E2346" s="22">
        <v>2</v>
      </c>
      <c r="F2346" s="24" t="s">
        <v>671</v>
      </c>
      <c r="H2346" t="s">
        <v>723</v>
      </c>
    </row>
    <row r="2347" ht="16.5" spans="1:8">
      <c r="A2347" s="23" t="s">
        <v>3180</v>
      </c>
      <c r="B2347" s="22">
        <v>8011023</v>
      </c>
      <c r="C2347" s="23"/>
      <c r="D2347" s="23" t="s">
        <v>1959</v>
      </c>
      <c r="E2347" s="22">
        <v>2</v>
      </c>
      <c r="F2347" s="24" t="s">
        <v>671</v>
      </c>
      <c r="H2347" t="s">
        <v>723</v>
      </c>
    </row>
    <row r="2348" ht="16.5" spans="1:8">
      <c r="A2348" s="23" t="s">
        <v>3180</v>
      </c>
      <c r="B2348" s="22">
        <v>4522222</v>
      </c>
      <c r="C2348" s="23"/>
      <c r="D2348" s="23" t="s">
        <v>4080</v>
      </c>
      <c r="E2348" s="22">
        <v>1</v>
      </c>
      <c r="F2348" s="24" t="s">
        <v>649</v>
      </c>
      <c r="H2348" t="s">
        <v>723</v>
      </c>
    </row>
    <row r="2349" ht="16.5" spans="1:8">
      <c r="A2349" s="23" t="s">
        <v>3180</v>
      </c>
      <c r="B2349" s="22">
        <v>8703817</v>
      </c>
      <c r="C2349" s="23"/>
      <c r="D2349" s="23" t="s">
        <v>2303</v>
      </c>
      <c r="E2349" s="22">
        <v>2</v>
      </c>
      <c r="F2349" s="24" t="s">
        <v>671</v>
      </c>
      <c r="H2349" t="s">
        <v>723</v>
      </c>
    </row>
    <row r="2350" ht="16.5" spans="1:8">
      <c r="A2350" s="23" t="s">
        <v>3180</v>
      </c>
      <c r="B2350" s="22">
        <v>8703819</v>
      </c>
      <c r="C2350" s="23"/>
      <c r="D2350" s="23" t="s">
        <v>2305</v>
      </c>
      <c r="E2350" s="22">
        <v>2</v>
      </c>
      <c r="F2350" s="24" t="s">
        <v>671</v>
      </c>
      <c r="H2350" t="s">
        <v>723</v>
      </c>
    </row>
    <row r="2351" ht="16.5" spans="1:8">
      <c r="A2351" s="23" t="s">
        <v>3180</v>
      </c>
      <c r="B2351" s="22">
        <v>4520471</v>
      </c>
      <c r="C2351" s="23"/>
      <c r="D2351" s="23" t="s">
        <v>4081</v>
      </c>
      <c r="E2351" s="22">
        <v>2</v>
      </c>
      <c r="F2351" s="24" t="s">
        <v>671</v>
      </c>
      <c r="H2351" t="s">
        <v>723</v>
      </c>
    </row>
    <row r="2352" ht="16.5" spans="1:8">
      <c r="A2352" s="23" t="s">
        <v>3180</v>
      </c>
      <c r="B2352" s="22">
        <v>4522496</v>
      </c>
      <c r="C2352" s="23"/>
      <c r="D2352" s="23" t="s">
        <v>4082</v>
      </c>
      <c r="E2352" s="22">
        <v>1</v>
      </c>
      <c r="F2352" s="24" t="s">
        <v>649</v>
      </c>
      <c r="H2352" t="s">
        <v>723</v>
      </c>
    </row>
    <row r="2353" ht="16.5" spans="1:8">
      <c r="A2353" s="23" t="s">
        <v>3180</v>
      </c>
      <c r="B2353" s="22">
        <v>8703818</v>
      </c>
      <c r="C2353" s="23"/>
      <c r="D2353" s="23" t="s">
        <v>2304</v>
      </c>
      <c r="E2353" s="22">
        <v>2</v>
      </c>
      <c r="F2353" s="24" t="s">
        <v>671</v>
      </c>
      <c r="H2353" t="s">
        <v>723</v>
      </c>
    </row>
    <row r="2354" ht="16.5" spans="1:8">
      <c r="A2354" s="23" t="s">
        <v>3180</v>
      </c>
      <c r="B2354" s="22">
        <v>4522451</v>
      </c>
      <c r="C2354" s="23"/>
      <c r="D2354" s="23" t="s">
        <v>1674</v>
      </c>
      <c r="E2354" s="22">
        <v>2</v>
      </c>
      <c r="F2354" s="24" t="s">
        <v>671</v>
      </c>
      <c r="H2354" t="s">
        <v>723</v>
      </c>
    </row>
    <row r="2355" ht="16.5" spans="1:8">
      <c r="A2355" s="23" t="s">
        <v>3180</v>
      </c>
      <c r="B2355" s="22">
        <v>8703110</v>
      </c>
      <c r="C2355" s="23"/>
      <c r="D2355" s="23" t="s">
        <v>611</v>
      </c>
      <c r="E2355" s="22">
        <v>2</v>
      </c>
      <c r="F2355" s="24" t="s">
        <v>671</v>
      </c>
      <c r="H2355" t="s">
        <v>723</v>
      </c>
    </row>
    <row r="2356" ht="16.5" spans="1:8">
      <c r="A2356" s="23" t="s">
        <v>3180</v>
      </c>
      <c r="B2356" s="22">
        <v>4522273</v>
      </c>
      <c r="C2356" s="23"/>
      <c r="D2356" s="23" t="s">
        <v>4083</v>
      </c>
      <c r="E2356" s="22">
        <v>1</v>
      </c>
      <c r="F2356" s="24" t="s">
        <v>640</v>
      </c>
      <c r="H2356" t="s">
        <v>723</v>
      </c>
    </row>
    <row r="2357" ht="16.5" spans="1:8">
      <c r="A2357" s="23" t="s">
        <v>3180</v>
      </c>
      <c r="B2357" s="22">
        <v>8703820</v>
      </c>
      <c r="C2357" s="23"/>
      <c r="D2357" s="23" t="s">
        <v>2306</v>
      </c>
      <c r="E2357" s="22">
        <v>2</v>
      </c>
      <c r="F2357" s="24" t="s">
        <v>671</v>
      </c>
      <c r="H2357" t="s">
        <v>723</v>
      </c>
    </row>
    <row r="2358" ht="16.5" spans="1:8">
      <c r="A2358" s="23" t="s">
        <v>3180</v>
      </c>
      <c r="B2358" s="22">
        <v>8703823</v>
      </c>
      <c r="C2358" s="23"/>
      <c r="D2358" s="23" t="s">
        <v>2307</v>
      </c>
      <c r="E2358" s="22">
        <v>2</v>
      </c>
      <c r="F2358" s="24" t="s">
        <v>709</v>
      </c>
      <c r="H2358" t="s">
        <v>723</v>
      </c>
    </row>
    <row r="2359" ht="16.5" spans="1:8">
      <c r="A2359" s="23" t="s">
        <v>3180</v>
      </c>
      <c r="B2359" s="22">
        <v>4034350</v>
      </c>
      <c r="C2359" s="23"/>
      <c r="D2359" s="23" t="s">
        <v>1338</v>
      </c>
      <c r="E2359" s="22">
        <v>2</v>
      </c>
      <c r="F2359" s="24" t="s">
        <v>671</v>
      </c>
      <c r="H2359" t="s">
        <v>723</v>
      </c>
    </row>
    <row r="2360" ht="16.5" spans="1:8">
      <c r="A2360" s="23" t="s">
        <v>3180</v>
      </c>
      <c r="B2360" s="22">
        <v>4511705</v>
      </c>
      <c r="C2360" s="23"/>
      <c r="D2360" s="23" t="s">
        <v>1494</v>
      </c>
      <c r="E2360" s="22">
        <v>2</v>
      </c>
      <c r="F2360" s="24" t="s">
        <v>671</v>
      </c>
      <c r="H2360" t="s">
        <v>723</v>
      </c>
    </row>
    <row r="2361" ht="16.5" spans="1:8">
      <c r="A2361" s="23" t="s">
        <v>3180</v>
      </c>
      <c r="B2361" s="22">
        <v>8007550</v>
      </c>
      <c r="C2361" s="23"/>
      <c r="D2361" s="23" t="s">
        <v>1885</v>
      </c>
      <c r="E2361" s="22">
        <v>2</v>
      </c>
      <c r="F2361" s="24" t="s">
        <v>671</v>
      </c>
      <c r="H2361" t="s">
        <v>723</v>
      </c>
    </row>
    <row r="2362" ht="16.5" spans="1:8">
      <c r="A2362" s="23" t="s">
        <v>3180</v>
      </c>
      <c r="B2362" s="22">
        <v>4522452</v>
      </c>
      <c r="C2362" s="23"/>
      <c r="D2362" s="23" t="s">
        <v>1675</v>
      </c>
      <c r="E2362" s="22">
        <v>2</v>
      </c>
      <c r="F2362" s="24" t="s">
        <v>671</v>
      </c>
      <c r="H2362" t="s">
        <v>723</v>
      </c>
    </row>
    <row r="2363" ht="16.5" spans="1:8">
      <c r="A2363" s="23" t="s">
        <v>3180</v>
      </c>
      <c r="B2363" s="22">
        <v>4522337</v>
      </c>
      <c r="C2363" s="23"/>
      <c r="D2363" s="23" t="s">
        <v>4084</v>
      </c>
      <c r="E2363" s="22">
        <v>1</v>
      </c>
      <c r="F2363" s="24" t="s">
        <v>640</v>
      </c>
      <c r="H2363" t="s">
        <v>723</v>
      </c>
    </row>
    <row r="2364" ht="16.5" spans="1:8">
      <c r="A2364" s="23" t="s">
        <v>3180</v>
      </c>
      <c r="B2364" s="22">
        <v>4522221</v>
      </c>
      <c r="C2364" s="23"/>
      <c r="D2364" s="23" t="s">
        <v>4085</v>
      </c>
      <c r="E2364" s="22">
        <v>1</v>
      </c>
      <c r="F2364" s="24" t="s">
        <v>640</v>
      </c>
      <c r="H2364" t="s">
        <v>723</v>
      </c>
    </row>
    <row r="2365" ht="16.5" spans="1:8">
      <c r="A2365" s="23" t="s">
        <v>3180</v>
      </c>
      <c r="B2365" s="22">
        <v>8010069</v>
      </c>
      <c r="C2365" s="23"/>
      <c r="D2365" s="23" t="s">
        <v>1926</v>
      </c>
      <c r="E2365" s="22">
        <v>2</v>
      </c>
      <c r="F2365" s="24" t="s">
        <v>671</v>
      </c>
      <c r="H2365" t="s">
        <v>723</v>
      </c>
    </row>
    <row r="2366" ht="16.5" spans="1:8">
      <c r="A2366" s="23" t="s">
        <v>3180</v>
      </c>
      <c r="B2366" s="22">
        <v>8010068</v>
      </c>
      <c r="C2366" s="23"/>
      <c r="D2366" s="23" t="s">
        <v>1925</v>
      </c>
      <c r="E2366" s="22">
        <v>2</v>
      </c>
      <c r="F2366" s="24" t="s">
        <v>671</v>
      </c>
      <c r="H2366" t="s">
        <v>723</v>
      </c>
    </row>
    <row r="2367" ht="16.5" spans="1:8">
      <c r="A2367" s="23" t="s">
        <v>3180</v>
      </c>
      <c r="B2367" s="22">
        <v>4521214</v>
      </c>
      <c r="C2367" s="23"/>
      <c r="D2367" s="23" t="s">
        <v>4086</v>
      </c>
      <c r="E2367" s="22">
        <v>1</v>
      </c>
      <c r="F2367" s="24" t="s">
        <v>640</v>
      </c>
      <c r="H2367" t="s">
        <v>723</v>
      </c>
    </row>
    <row r="2368" ht="16.5" spans="1:8">
      <c r="A2368" s="23" t="s">
        <v>3180</v>
      </c>
      <c r="B2368" s="22">
        <v>4522237</v>
      </c>
      <c r="C2368" s="23"/>
      <c r="D2368" s="23" t="s">
        <v>1666</v>
      </c>
      <c r="E2368" s="22">
        <v>1</v>
      </c>
      <c r="F2368" s="24" t="s">
        <v>640</v>
      </c>
      <c r="H2368" t="s">
        <v>723</v>
      </c>
    </row>
    <row r="2369" ht="16.5" spans="1:8">
      <c r="A2369" s="23" t="s">
        <v>3180</v>
      </c>
      <c r="B2369" s="22">
        <v>4522463</v>
      </c>
      <c r="C2369" s="23"/>
      <c r="D2369" s="23" t="s">
        <v>1677</v>
      </c>
      <c r="E2369" s="22">
        <v>2</v>
      </c>
      <c r="F2369" s="24" t="s">
        <v>671</v>
      </c>
      <c r="H2369" t="s">
        <v>723</v>
      </c>
    </row>
    <row r="2370" ht="16.5" spans="1:8">
      <c r="A2370" s="23" t="s">
        <v>3180</v>
      </c>
      <c r="B2370" s="22">
        <v>4522243</v>
      </c>
      <c r="C2370" s="23"/>
      <c r="D2370" s="23" t="s">
        <v>1672</v>
      </c>
      <c r="E2370" s="22">
        <v>1</v>
      </c>
      <c r="F2370" s="24" t="s">
        <v>640</v>
      </c>
      <c r="H2370" t="s">
        <v>723</v>
      </c>
    </row>
    <row r="2371" ht="16.5" spans="1:8">
      <c r="A2371" s="23" t="s">
        <v>3180</v>
      </c>
      <c r="B2371" s="22">
        <v>4522219</v>
      </c>
      <c r="C2371" s="23"/>
      <c r="D2371" s="23" t="s">
        <v>4087</v>
      </c>
      <c r="E2371" s="22">
        <v>1</v>
      </c>
      <c r="F2371" s="24" t="s">
        <v>640</v>
      </c>
      <c r="H2371" t="s">
        <v>723</v>
      </c>
    </row>
    <row r="2372" ht="16.5" spans="1:8">
      <c r="A2372" s="23" t="s">
        <v>3180</v>
      </c>
      <c r="B2372" s="22">
        <v>4522279</v>
      </c>
      <c r="C2372" s="23"/>
      <c r="D2372" s="23" t="s">
        <v>4088</v>
      </c>
      <c r="E2372" s="22">
        <v>1</v>
      </c>
      <c r="F2372" s="24" t="s">
        <v>640</v>
      </c>
      <c r="H2372" t="s">
        <v>723</v>
      </c>
    </row>
    <row r="2373" ht="16.5" spans="1:8">
      <c r="A2373" s="23" t="s">
        <v>3180</v>
      </c>
      <c r="B2373" s="22">
        <v>4522238</v>
      </c>
      <c r="C2373" s="23"/>
      <c r="D2373" s="23" t="s">
        <v>1667</v>
      </c>
      <c r="E2373" s="22">
        <v>1</v>
      </c>
      <c r="F2373" s="24" t="s">
        <v>640</v>
      </c>
      <c r="H2373" t="s">
        <v>723</v>
      </c>
    </row>
    <row r="2374" ht="16.5" spans="1:8">
      <c r="A2374" s="23" t="s">
        <v>3180</v>
      </c>
      <c r="B2374" s="22">
        <v>4522278</v>
      </c>
      <c r="C2374" s="23"/>
      <c r="D2374" s="23" t="s">
        <v>4089</v>
      </c>
      <c r="E2374" s="22">
        <v>1</v>
      </c>
      <c r="F2374" s="24" t="s">
        <v>640</v>
      </c>
      <c r="H2374" t="s">
        <v>723</v>
      </c>
    </row>
    <row r="2375" ht="16.5" spans="1:8">
      <c r="A2375" s="23" t="s">
        <v>3180</v>
      </c>
      <c r="B2375" s="22">
        <v>4522281</v>
      </c>
      <c r="C2375" s="23"/>
      <c r="D2375" s="23" t="s">
        <v>4090</v>
      </c>
      <c r="E2375" s="22">
        <v>1</v>
      </c>
      <c r="F2375" s="24" t="s">
        <v>640</v>
      </c>
      <c r="H2375" t="s">
        <v>723</v>
      </c>
    </row>
    <row r="2376" ht="16.5" spans="1:8">
      <c r="A2376" s="23" t="s">
        <v>3180</v>
      </c>
      <c r="B2376" s="22">
        <v>4522274</v>
      </c>
      <c r="C2376" s="23"/>
      <c r="D2376" s="23" t="s">
        <v>4091</v>
      </c>
      <c r="E2376" s="22">
        <v>1</v>
      </c>
      <c r="F2376" s="24" t="s">
        <v>640</v>
      </c>
      <c r="H2376" t="s">
        <v>723</v>
      </c>
    </row>
    <row r="2377" ht="16.5" spans="1:8">
      <c r="A2377" s="23" t="s">
        <v>3180</v>
      </c>
      <c r="B2377" s="22">
        <v>4522239</v>
      </c>
      <c r="C2377" s="23"/>
      <c r="D2377" s="23" t="s">
        <v>1668</v>
      </c>
      <c r="E2377" s="22">
        <v>1</v>
      </c>
      <c r="F2377" s="24" t="s">
        <v>640</v>
      </c>
      <c r="H2377" t="s">
        <v>723</v>
      </c>
    </row>
    <row r="2378" ht="16.5" spans="1:8">
      <c r="A2378" s="23" t="s">
        <v>3180</v>
      </c>
      <c r="B2378" s="22">
        <v>4522453</v>
      </c>
      <c r="C2378" s="23"/>
      <c r="D2378" s="23" t="s">
        <v>1676</v>
      </c>
      <c r="E2378" s="22">
        <v>2</v>
      </c>
      <c r="F2378" s="24" t="s">
        <v>671</v>
      </c>
      <c r="H2378" t="s">
        <v>723</v>
      </c>
    </row>
    <row r="2379" ht="16.5" spans="1:8">
      <c r="A2379" s="23" t="s">
        <v>3180</v>
      </c>
      <c r="B2379" s="22">
        <v>4522276</v>
      </c>
      <c r="C2379" s="23"/>
      <c r="D2379" s="23" t="s">
        <v>4092</v>
      </c>
      <c r="E2379" s="22">
        <v>1</v>
      </c>
      <c r="F2379" s="24" t="s">
        <v>640</v>
      </c>
      <c r="H2379" t="s">
        <v>723</v>
      </c>
    </row>
    <row r="2380" ht="16.5" spans="1:8">
      <c r="A2380" s="23" t="s">
        <v>3180</v>
      </c>
      <c r="B2380" s="22">
        <v>4522277</v>
      </c>
      <c r="C2380" s="23"/>
      <c r="D2380" s="23" t="s">
        <v>722</v>
      </c>
      <c r="E2380" s="22">
        <v>1</v>
      </c>
      <c r="F2380" s="24" t="s">
        <v>640</v>
      </c>
      <c r="H2380" t="s">
        <v>723</v>
      </c>
    </row>
    <row r="2381" ht="16.5" spans="1:8">
      <c r="A2381" s="23" t="s">
        <v>3180</v>
      </c>
      <c r="B2381" s="22">
        <v>4516710</v>
      </c>
      <c r="C2381" s="23"/>
      <c r="D2381" s="23" t="s">
        <v>1602</v>
      </c>
      <c r="E2381" s="22">
        <v>2</v>
      </c>
      <c r="F2381" s="24" t="s">
        <v>671</v>
      </c>
      <c r="H2381" t="s">
        <v>723</v>
      </c>
    </row>
    <row r="2382" ht="16.5" spans="1:8">
      <c r="A2382" s="23" t="s">
        <v>3180</v>
      </c>
      <c r="B2382" s="22">
        <v>4520112</v>
      </c>
      <c r="C2382" s="23"/>
      <c r="D2382" s="23" t="s">
        <v>4093</v>
      </c>
      <c r="E2382" s="22">
        <v>1</v>
      </c>
      <c r="F2382" s="24" t="s">
        <v>640</v>
      </c>
      <c r="H2382" t="s">
        <v>723</v>
      </c>
    </row>
    <row r="2383" ht="16.5" spans="1:8">
      <c r="A2383" s="23" t="s">
        <v>3180</v>
      </c>
      <c r="B2383" s="22">
        <v>4522242</v>
      </c>
      <c r="C2383" s="23"/>
      <c r="D2383" s="23" t="s">
        <v>1671</v>
      </c>
      <c r="E2383" s="22">
        <v>1</v>
      </c>
      <c r="F2383" s="24" t="s">
        <v>640</v>
      </c>
      <c r="H2383" t="s">
        <v>723</v>
      </c>
    </row>
    <row r="2384" ht="16.5" spans="1:8">
      <c r="A2384" s="23" t="s">
        <v>3180</v>
      </c>
      <c r="B2384" s="22">
        <v>4522241</v>
      </c>
      <c r="C2384" s="23"/>
      <c r="D2384" s="23" t="s">
        <v>1670</v>
      </c>
      <c r="E2384" s="22">
        <v>1</v>
      </c>
      <c r="F2384" s="24" t="s">
        <v>640</v>
      </c>
      <c r="H2384" t="s">
        <v>723</v>
      </c>
    </row>
    <row r="2385" ht="16.5" spans="1:8">
      <c r="A2385" s="23" t="s">
        <v>3180</v>
      </c>
      <c r="B2385" s="22">
        <v>4522240</v>
      </c>
      <c r="C2385" s="23"/>
      <c r="D2385" s="23" t="s">
        <v>1669</v>
      </c>
      <c r="E2385" s="22">
        <v>1</v>
      </c>
      <c r="F2385" s="24" t="s">
        <v>640</v>
      </c>
      <c r="H2385" t="s">
        <v>723</v>
      </c>
    </row>
    <row r="2386" ht="16.5" spans="1:8">
      <c r="A2386" s="23" t="s">
        <v>3180</v>
      </c>
      <c r="B2386" s="22">
        <v>4522275</v>
      </c>
      <c r="C2386" s="23"/>
      <c r="D2386" s="23" t="s">
        <v>4094</v>
      </c>
      <c r="E2386" s="22">
        <v>1</v>
      </c>
      <c r="F2386" s="24" t="s">
        <v>640</v>
      </c>
      <c r="H2386" t="s">
        <v>723</v>
      </c>
    </row>
    <row r="2387" ht="16.5" spans="1:8">
      <c r="A2387" s="23" t="s">
        <v>3180</v>
      </c>
      <c r="B2387" s="22">
        <v>4522236</v>
      </c>
      <c r="C2387" s="23"/>
      <c r="D2387" s="23" t="s">
        <v>1665</v>
      </c>
      <c r="E2387" s="22">
        <v>1</v>
      </c>
      <c r="F2387" s="24" t="s">
        <v>640</v>
      </c>
      <c r="H2387" t="s">
        <v>723</v>
      </c>
    </row>
    <row r="2388" ht="16.5" spans="1:8">
      <c r="A2388" s="23" t="s">
        <v>3180</v>
      </c>
      <c r="B2388" s="22">
        <v>4522280</v>
      </c>
      <c r="C2388" s="23"/>
      <c r="D2388" s="23" t="s">
        <v>4095</v>
      </c>
      <c r="E2388" s="22">
        <v>1</v>
      </c>
      <c r="F2388" s="24" t="s">
        <v>640</v>
      </c>
      <c r="H2388" t="s">
        <v>723</v>
      </c>
    </row>
    <row r="2389" ht="16.5" spans="1:8">
      <c r="A2389" s="23" t="s">
        <v>3180</v>
      </c>
      <c r="B2389" s="22">
        <v>4522450</v>
      </c>
      <c r="C2389" s="23"/>
      <c r="D2389" s="23" t="s">
        <v>1673</v>
      </c>
      <c r="E2389" s="22">
        <v>1</v>
      </c>
      <c r="F2389" s="24" t="s">
        <v>644</v>
      </c>
      <c r="H2389" t="s">
        <v>723</v>
      </c>
    </row>
    <row r="2390" ht="16.5" spans="1:8">
      <c r="A2390" s="23" t="s">
        <v>3180</v>
      </c>
      <c r="B2390" s="22">
        <v>8011345</v>
      </c>
      <c r="C2390" s="23"/>
      <c r="D2390" s="23" t="s">
        <v>1990</v>
      </c>
      <c r="E2390" s="22">
        <v>2</v>
      </c>
      <c r="F2390" s="24" t="s">
        <v>709</v>
      </c>
      <c r="H2390" t="s">
        <v>723</v>
      </c>
    </row>
    <row r="2391" ht="16.5" spans="1:8">
      <c r="A2391" s="23" t="s">
        <v>3180</v>
      </c>
      <c r="B2391" s="22">
        <v>4522272</v>
      </c>
      <c r="C2391" s="23"/>
      <c r="D2391" s="23" t="s">
        <v>4096</v>
      </c>
      <c r="E2391" s="22">
        <v>1</v>
      </c>
      <c r="F2391" s="24" t="s">
        <v>642</v>
      </c>
      <c r="H2391" t="s">
        <v>723</v>
      </c>
    </row>
    <row r="2392" ht="16.5" spans="1:8">
      <c r="A2392" s="23" t="s">
        <v>3180</v>
      </c>
      <c r="B2392" s="22">
        <v>8003193</v>
      </c>
      <c r="C2392" s="23"/>
      <c r="D2392" s="23" t="s">
        <v>1847</v>
      </c>
      <c r="E2392" s="22">
        <v>2</v>
      </c>
      <c r="F2392" s="24" t="s">
        <v>671</v>
      </c>
      <c r="H2392" t="s">
        <v>723</v>
      </c>
    </row>
    <row r="2393" ht="16.5" spans="1:8">
      <c r="A2393" s="23" t="s">
        <v>3180</v>
      </c>
      <c r="B2393" s="22">
        <v>8003192</v>
      </c>
      <c r="C2393" s="23"/>
      <c r="D2393" s="23" t="s">
        <v>1846</v>
      </c>
      <c r="E2393" s="22">
        <v>2</v>
      </c>
      <c r="F2393" s="24" t="s">
        <v>671</v>
      </c>
      <c r="H2393" t="s">
        <v>723</v>
      </c>
    </row>
    <row r="2394" ht="16.5" spans="1:8">
      <c r="A2394" s="23" t="s">
        <v>3180</v>
      </c>
      <c r="B2394" s="22">
        <v>4508088</v>
      </c>
      <c r="C2394" s="23"/>
      <c r="D2394" s="23" t="s">
        <v>4097</v>
      </c>
      <c r="E2394" s="22">
        <v>1</v>
      </c>
      <c r="F2394" s="24" t="s">
        <v>646</v>
      </c>
      <c r="H2394" t="s">
        <v>723</v>
      </c>
    </row>
    <row r="2395" ht="16.5" spans="1:8">
      <c r="A2395" s="23" t="s">
        <v>3180</v>
      </c>
      <c r="B2395" s="22">
        <v>8011245</v>
      </c>
      <c r="C2395" s="23"/>
      <c r="D2395" s="23" t="s">
        <v>1979</v>
      </c>
      <c r="E2395" s="22">
        <v>2</v>
      </c>
      <c r="F2395" s="24" t="s">
        <v>709</v>
      </c>
      <c r="H2395" t="s">
        <v>723</v>
      </c>
    </row>
    <row r="2396" ht="16.5" spans="1:8">
      <c r="A2396" s="23" t="s">
        <v>3180</v>
      </c>
      <c r="B2396" s="22">
        <v>8010775</v>
      </c>
      <c r="C2396" s="23"/>
      <c r="D2396" s="23" t="s">
        <v>1955</v>
      </c>
      <c r="E2396" s="22">
        <v>2</v>
      </c>
      <c r="F2396" s="24" t="s">
        <v>671</v>
      </c>
      <c r="H2396" t="s">
        <v>723</v>
      </c>
    </row>
    <row r="2397" ht="16.5" spans="1:8">
      <c r="A2397" s="23" t="s">
        <v>3180</v>
      </c>
      <c r="B2397" s="22">
        <v>4522218</v>
      </c>
      <c r="C2397" s="23"/>
      <c r="D2397" s="23" t="s">
        <v>4098</v>
      </c>
      <c r="E2397" s="22">
        <v>1</v>
      </c>
      <c r="F2397" s="24" t="s">
        <v>646</v>
      </c>
      <c r="H2397" t="s">
        <v>723</v>
      </c>
    </row>
    <row r="2398" ht="16.5" spans="1:8">
      <c r="A2398" s="23" t="s">
        <v>3180</v>
      </c>
      <c r="B2398" s="22">
        <v>4006137</v>
      </c>
      <c r="C2398" s="23"/>
      <c r="D2398" s="23" t="s">
        <v>4099</v>
      </c>
      <c r="E2398" s="22">
        <v>1</v>
      </c>
      <c r="F2398" s="24" t="s">
        <v>642</v>
      </c>
      <c r="H2398" t="s">
        <v>723</v>
      </c>
    </row>
    <row r="2399" ht="16.5" spans="1:8">
      <c r="A2399" s="23" t="s">
        <v>3180</v>
      </c>
      <c r="B2399" s="22">
        <v>4716623</v>
      </c>
      <c r="C2399" s="23"/>
      <c r="D2399" s="23" t="s">
        <v>4100</v>
      </c>
      <c r="E2399" s="22">
        <v>1</v>
      </c>
      <c r="F2399" s="24" t="s">
        <v>642</v>
      </c>
      <c r="H2399" t="s">
        <v>723</v>
      </c>
    </row>
    <row r="2400" ht="16.5" spans="1:8">
      <c r="A2400" s="23" t="s">
        <v>3180</v>
      </c>
      <c r="B2400" s="22">
        <v>1001928</v>
      </c>
      <c r="C2400" s="23"/>
      <c r="D2400" s="23" t="s">
        <v>4101</v>
      </c>
      <c r="E2400" s="22">
        <v>1</v>
      </c>
      <c r="F2400" s="24" t="s">
        <v>644</v>
      </c>
      <c r="H2400" t="s">
        <v>723</v>
      </c>
    </row>
    <row r="2401" ht="16.5" spans="1:8">
      <c r="A2401" s="23" t="s">
        <v>3180</v>
      </c>
      <c r="B2401" s="22">
        <v>4519142</v>
      </c>
      <c r="C2401" s="23"/>
      <c r="D2401" s="23" t="s">
        <v>4102</v>
      </c>
      <c r="E2401" s="22">
        <v>1</v>
      </c>
      <c r="F2401" s="24" t="s">
        <v>644</v>
      </c>
      <c r="H2401" t="s">
        <v>723</v>
      </c>
    </row>
    <row r="2402" ht="16.5" spans="1:8">
      <c r="A2402" s="23" t="s">
        <v>3180</v>
      </c>
      <c r="B2402" s="22">
        <v>4522083</v>
      </c>
      <c r="C2402" s="23"/>
      <c r="D2402" s="23" t="s">
        <v>4103</v>
      </c>
      <c r="E2402" s="22">
        <v>1</v>
      </c>
      <c r="F2402" s="24" t="s">
        <v>646</v>
      </c>
      <c r="H2402" t="s">
        <v>723</v>
      </c>
    </row>
    <row r="2403" ht="16.5" spans="1:8">
      <c r="A2403" s="23" t="s">
        <v>3180</v>
      </c>
      <c r="B2403" s="22" t="s">
        <v>4104</v>
      </c>
      <c r="C2403" s="23"/>
      <c r="D2403" s="23" t="s">
        <v>4105</v>
      </c>
      <c r="E2403" s="22">
        <v>2</v>
      </c>
      <c r="F2403" s="24" t="s">
        <v>671</v>
      </c>
      <c r="H2403" t="s">
        <v>723</v>
      </c>
    </row>
    <row r="2404" ht="16.5" spans="1:8">
      <c r="A2404" s="23" t="s">
        <v>3180</v>
      </c>
      <c r="B2404" s="22">
        <v>4522651</v>
      </c>
      <c r="C2404" s="23"/>
      <c r="D2404" s="23" t="s">
        <v>4106</v>
      </c>
      <c r="E2404" s="22">
        <v>1</v>
      </c>
      <c r="F2404" s="24" t="s">
        <v>644</v>
      </c>
      <c r="H2404" t="s">
        <v>4107</v>
      </c>
    </row>
    <row r="2405" ht="16.5" spans="1:8">
      <c r="A2405" s="23" t="s">
        <v>3180</v>
      </c>
      <c r="B2405" s="22">
        <v>4522623</v>
      </c>
      <c r="C2405" s="23"/>
      <c r="D2405" s="23" t="s">
        <v>4108</v>
      </c>
      <c r="E2405" s="22">
        <v>1</v>
      </c>
      <c r="F2405" s="24" t="s">
        <v>644</v>
      </c>
      <c r="H2405" t="s">
        <v>4107</v>
      </c>
    </row>
    <row r="2406" ht="16.5" spans="1:8">
      <c r="A2406" s="23" t="s">
        <v>3180</v>
      </c>
      <c r="B2406" s="22">
        <v>4523036</v>
      </c>
      <c r="C2406" s="23"/>
      <c r="D2406" s="23" t="s">
        <v>1687</v>
      </c>
      <c r="E2406" s="22">
        <v>1</v>
      </c>
      <c r="F2406" s="24" t="s">
        <v>644</v>
      </c>
      <c r="H2406" t="s">
        <v>4107</v>
      </c>
    </row>
    <row r="2407" ht="16.5" spans="1:8">
      <c r="A2407" s="23" t="s">
        <v>3180</v>
      </c>
      <c r="B2407" s="22">
        <v>4234358</v>
      </c>
      <c r="C2407" s="23"/>
      <c r="D2407" s="23" t="s">
        <v>4109</v>
      </c>
      <c r="E2407" s="22">
        <v>1</v>
      </c>
      <c r="F2407" s="24" t="s">
        <v>644</v>
      </c>
      <c r="H2407" t="s">
        <v>4107</v>
      </c>
    </row>
    <row r="2408" ht="16.5" spans="1:8">
      <c r="A2408" s="23" t="s">
        <v>3180</v>
      </c>
      <c r="B2408" s="22">
        <v>1501763</v>
      </c>
      <c r="C2408" s="23"/>
      <c r="D2408" s="23" t="s">
        <v>4110</v>
      </c>
      <c r="E2408" s="22">
        <v>1</v>
      </c>
      <c r="F2408" s="24" t="s">
        <v>644</v>
      </c>
      <c r="H2408" t="s">
        <v>4107</v>
      </c>
    </row>
    <row r="2409" ht="16.5" spans="1:8">
      <c r="A2409" s="23" t="s">
        <v>3180</v>
      </c>
      <c r="B2409" s="22">
        <v>1001832</v>
      </c>
      <c r="C2409" s="23"/>
      <c r="D2409" s="23" t="s">
        <v>4111</v>
      </c>
      <c r="E2409" s="22">
        <v>1</v>
      </c>
      <c r="F2409" s="24" t="s">
        <v>644</v>
      </c>
      <c r="H2409" t="s">
        <v>4107</v>
      </c>
    </row>
    <row r="2410" ht="16.5" spans="1:8">
      <c r="A2410" s="23" t="s">
        <v>3180</v>
      </c>
      <c r="B2410" s="22">
        <v>4522812</v>
      </c>
      <c r="C2410" s="23"/>
      <c r="D2410" s="23" t="s">
        <v>1683</v>
      </c>
      <c r="E2410" s="22">
        <v>1</v>
      </c>
      <c r="F2410" s="24" t="s">
        <v>642</v>
      </c>
      <c r="H2410" t="s">
        <v>4107</v>
      </c>
    </row>
    <row r="2411" ht="16.5" spans="1:8">
      <c r="A2411" s="23" t="s">
        <v>3180</v>
      </c>
      <c r="B2411" s="22">
        <v>4522609</v>
      </c>
      <c r="C2411" s="23"/>
      <c r="D2411" s="23" t="s">
        <v>1680</v>
      </c>
      <c r="E2411" s="22">
        <v>1</v>
      </c>
      <c r="F2411" s="24" t="s">
        <v>642</v>
      </c>
      <c r="H2411" t="s">
        <v>4107</v>
      </c>
    </row>
    <row r="2412" ht="16.5" spans="1:8">
      <c r="A2412" s="23" t="s">
        <v>3180</v>
      </c>
      <c r="B2412" s="22">
        <v>4522462</v>
      </c>
      <c r="C2412" s="23"/>
      <c r="D2412" s="23" t="s">
        <v>311</v>
      </c>
      <c r="E2412" s="22">
        <v>1</v>
      </c>
      <c r="F2412" s="24" t="s">
        <v>642</v>
      </c>
      <c r="H2412" t="s">
        <v>4107</v>
      </c>
    </row>
    <row r="2413" ht="16.5" spans="1:8">
      <c r="A2413" s="23" t="s">
        <v>3180</v>
      </c>
      <c r="B2413" s="22">
        <v>4522688</v>
      </c>
      <c r="C2413" s="23"/>
      <c r="D2413" s="23" t="s">
        <v>4112</v>
      </c>
      <c r="E2413" s="22">
        <v>1</v>
      </c>
      <c r="F2413" s="24" t="s">
        <v>646</v>
      </c>
      <c r="H2413" t="s">
        <v>4107</v>
      </c>
    </row>
    <row r="2414" spans="1:8">
      <c r="A2414" t="s">
        <v>3180</v>
      </c>
      <c r="B2414">
        <v>4522689</v>
      </c>
      <c r="D2414" t="s">
        <v>4113</v>
      </c>
      <c r="E2414">
        <v>1</v>
      </c>
      <c r="F2414" t="s">
        <v>646</v>
      </c>
      <c r="H2414" t="s">
        <v>4107</v>
      </c>
    </row>
    <row r="2415" spans="1:8">
      <c r="A2415" t="s">
        <v>3180</v>
      </c>
      <c r="B2415">
        <v>4517772</v>
      </c>
      <c r="D2415" t="s">
        <v>4114</v>
      </c>
      <c r="E2415">
        <v>1</v>
      </c>
      <c r="F2415" t="s">
        <v>646</v>
      </c>
      <c r="H2415" t="s">
        <v>4107</v>
      </c>
    </row>
    <row r="2416" spans="1:8">
      <c r="A2416" t="s">
        <v>3180</v>
      </c>
      <c r="B2416">
        <v>4520320</v>
      </c>
      <c r="D2416" t="s">
        <v>4115</v>
      </c>
      <c r="E2416">
        <v>1</v>
      </c>
      <c r="F2416" t="s">
        <v>646</v>
      </c>
      <c r="H2416" t="s">
        <v>4107</v>
      </c>
    </row>
    <row r="2417" spans="1:8">
      <c r="A2417" t="s">
        <v>3180</v>
      </c>
      <c r="B2417">
        <v>4522271</v>
      </c>
      <c r="D2417" t="s">
        <v>4116</v>
      </c>
      <c r="E2417">
        <v>1</v>
      </c>
      <c r="F2417" t="s">
        <v>646</v>
      </c>
      <c r="H2417" t="s">
        <v>4107</v>
      </c>
    </row>
    <row r="2418" spans="1:8">
      <c r="A2418" t="s">
        <v>3180</v>
      </c>
      <c r="B2418">
        <v>4506908</v>
      </c>
      <c r="D2418" t="s">
        <v>4117</v>
      </c>
      <c r="E2418">
        <v>1</v>
      </c>
      <c r="F2418" t="s">
        <v>646</v>
      </c>
      <c r="H2418" t="s">
        <v>4107</v>
      </c>
    </row>
    <row r="2419" spans="1:8">
      <c r="A2419" t="s">
        <v>3180</v>
      </c>
      <c r="B2419">
        <v>4519535</v>
      </c>
      <c r="D2419" t="s">
        <v>4118</v>
      </c>
      <c r="E2419">
        <v>1</v>
      </c>
      <c r="F2419" t="s">
        <v>646</v>
      </c>
      <c r="H2419" t="s">
        <v>4107</v>
      </c>
    </row>
    <row r="2420" spans="1:8">
      <c r="A2420" t="s">
        <v>3180</v>
      </c>
      <c r="B2420">
        <v>4516078</v>
      </c>
      <c r="D2420" t="s">
        <v>1580</v>
      </c>
      <c r="E2420">
        <v>1</v>
      </c>
      <c r="F2420" t="s">
        <v>646</v>
      </c>
      <c r="H2420" t="s">
        <v>4107</v>
      </c>
    </row>
    <row r="2421" spans="1:8">
      <c r="A2421" t="s">
        <v>3180</v>
      </c>
      <c r="B2421">
        <v>4521078</v>
      </c>
      <c r="D2421" t="s">
        <v>4119</v>
      </c>
      <c r="E2421">
        <v>1</v>
      </c>
      <c r="F2421" t="s">
        <v>646</v>
      </c>
      <c r="H2421" t="s">
        <v>4107</v>
      </c>
    </row>
    <row r="2422" spans="1:8">
      <c r="A2422" t="s">
        <v>3180</v>
      </c>
      <c r="B2422">
        <v>4504115</v>
      </c>
      <c r="D2422" t="s">
        <v>4120</v>
      </c>
      <c r="E2422">
        <v>1</v>
      </c>
      <c r="F2422" t="s">
        <v>646</v>
      </c>
      <c r="H2422" t="s">
        <v>4107</v>
      </c>
    </row>
    <row r="2423" spans="1:8">
      <c r="A2423" t="s">
        <v>3180</v>
      </c>
      <c r="B2423">
        <v>4516939</v>
      </c>
      <c r="D2423" t="s">
        <v>4121</v>
      </c>
      <c r="E2423">
        <v>1</v>
      </c>
      <c r="F2423" t="s">
        <v>646</v>
      </c>
      <c r="H2423" t="s">
        <v>4107</v>
      </c>
    </row>
    <row r="2424" spans="1:8">
      <c r="A2424" t="s">
        <v>3180</v>
      </c>
      <c r="B2424">
        <v>4514416</v>
      </c>
      <c r="D2424" t="s">
        <v>4122</v>
      </c>
      <c r="E2424">
        <v>1</v>
      </c>
      <c r="F2424" t="s">
        <v>646</v>
      </c>
      <c r="H2424" t="s">
        <v>4107</v>
      </c>
    </row>
    <row r="2425" spans="1:8">
      <c r="A2425" t="s">
        <v>3180</v>
      </c>
      <c r="B2425">
        <v>4521079</v>
      </c>
      <c r="D2425" t="s">
        <v>4123</v>
      </c>
      <c r="E2425">
        <v>1</v>
      </c>
      <c r="F2425" t="s">
        <v>646</v>
      </c>
      <c r="H2425" t="s">
        <v>4107</v>
      </c>
    </row>
    <row r="2426" spans="1:8">
      <c r="A2426" t="s">
        <v>3180</v>
      </c>
      <c r="B2426">
        <v>4516076</v>
      </c>
      <c r="D2426" t="s">
        <v>4124</v>
      </c>
      <c r="E2426">
        <v>1</v>
      </c>
      <c r="F2426" t="s">
        <v>646</v>
      </c>
      <c r="H2426" t="s">
        <v>4107</v>
      </c>
    </row>
    <row r="2427" spans="1:8">
      <c r="A2427" t="s">
        <v>3180</v>
      </c>
      <c r="B2427">
        <v>4521084</v>
      </c>
      <c r="D2427" t="s">
        <v>4125</v>
      </c>
      <c r="E2427">
        <v>1</v>
      </c>
      <c r="F2427" t="s">
        <v>646</v>
      </c>
      <c r="H2427" t="s">
        <v>4107</v>
      </c>
    </row>
    <row r="2428" spans="1:8">
      <c r="A2428" t="s">
        <v>3180</v>
      </c>
      <c r="B2428">
        <v>4521081</v>
      </c>
      <c r="D2428" t="s">
        <v>4126</v>
      </c>
      <c r="E2428">
        <v>1</v>
      </c>
      <c r="F2428" t="s">
        <v>646</v>
      </c>
      <c r="H2428" t="s">
        <v>4107</v>
      </c>
    </row>
    <row r="2429" spans="1:8">
      <c r="A2429" t="s">
        <v>3180</v>
      </c>
      <c r="B2429">
        <v>4502012</v>
      </c>
      <c r="D2429" t="s">
        <v>1379</v>
      </c>
      <c r="E2429">
        <v>1</v>
      </c>
      <c r="F2429" t="s">
        <v>646</v>
      </c>
      <c r="H2429" t="s">
        <v>4107</v>
      </c>
    </row>
    <row r="2430" spans="1:8">
      <c r="A2430" t="s">
        <v>3180</v>
      </c>
      <c r="B2430">
        <v>4502015</v>
      </c>
      <c r="D2430" t="s">
        <v>4127</v>
      </c>
      <c r="E2430">
        <v>1</v>
      </c>
      <c r="F2430" t="s">
        <v>646</v>
      </c>
      <c r="H2430" t="s">
        <v>4107</v>
      </c>
    </row>
    <row r="2431" spans="1:8">
      <c r="A2431" t="s">
        <v>3180</v>
      </c>
      <c r="B2431">
        <v>4521086</v>
      </c>
      <c r="D2431" t="s">
        <v>4128</v>
      </c>
      <c r="E2431">
        <v>1</v>
      </c>
      <c r="F2431" t="s">
        <v>646</v>
      </c>
      <c r="H2431" t="s">
        <v>4107</v>
      </c>
    </row>
    <row r="2432" spans="1:8">
      <c r="A2432" t="s">
        <v>3180</v>
      </c>
      <c r="B2432">
        <v>4521083</v>
      </c>
      <c r="D2432" t="s">
        <v>1660</v>
      </c>
      <c r="E2432">
        <v>1</v>
      </c>
      <c r="F2432" t="s">
        <v>640</v>
      </c>
      <c r="H2432" t="s">
        <v>4107</v>
      </c>
    </row>
    <row r="2433" spans="1:8">
      <c r="A2433" t="s">
        <v>3180</v>
      </c>
      <c r="B2433">
        <v>4521082</v>
      </c>
      <c r="D2433" t="s">
        <v>4129</v>
      </c>
      <c r="E2433">
        <v>1</v>
      </c>
      <c r="F2433" t="s">
        <v>640</v>
      </c>
      <c r="H2433" t="s">
        <v>4107</v>
      </c>
    </row>
    <row r="2434" spans="1:8">
      <c r="A2434" t="s">
        <v>3180</v>
      </c>
      <c r="B2434">
        <v>4521085</v>
      </c>
      <c r="D2434" t="s">
        <v>4130</v>
      </c>
      <c r="E2434">
        <v>1</v>
      </c>
      <c r="F2434" t="s">
        <v>646</v>
      </c>
      <c r="H2434" t="s">
        <v>4107</v>
      </c>
    </row>
    <row r="2435" spans="1:8">
      <c r="A2435" t="s">
        <v>3180</v>
      </c>
      <c r="B2435">
        <v>4521077</v>
      </c>
      <c r="D2435" t="s">
        <v>4131</v>
      </c>
      <c r="E2435">
        <v>1</v>
      </c>
      <c r="F2435" t="s">
        <v>646</v>
      </c>
      <c r="H2435" t="s">
        <v>4107</v>
      </c>
    </row>
    <row r="2436" spans="1:8">
      <c r="A2436" t="s">
        <v>3180</v>
      </c>
      <c r="B2436">
        <v>4520296</v>
      </c>
      <c r="D2436" t="s">
        <v>4132</v>
      </c>
      <c r="E2436">
        <v>1</v>
      </c>
      <c r="F2436" t="s">
        <v>646</v>
      </c>
      <c r="H2436" t="s">
        <v>4107</v>
      </c>
    </row>
    <row r="2437" spans="1:8">
      <c r="A2437" t="s">
        <v>3180</v>
      </c>
      <c r="B2437">
        <v>4518919</v>
      </c>
      <c r="D2437" t="s">
        <v>4133</v>
      </c>
      <c r="E2437">
        <v>1</v>
      </c>
      <c r="F2437" t="s">
        <v>640</v>
      </c>
      <c r="H2437" t="s">
        <v>4107</v>
      </c>
    </row>
    <row r="2438" spans="1:8">
      <c r="A2438" t="s">
        <v>3180</v>
      </c>
      <c r="B2438">
        <v>3013391</v>
      </c>
      <c r="D2438" t="s">
        <v>4134</v>
      </c>
      <c r="E2438">
        <v>1</v>
      </c>
      <c r="F2438" t="s">
        <v>646</v>
      </c>
      <c r="H2438" t="s">
        <v>4107</v>
      </c>
    </row>
    <row r="2439" spans="1:8">
      <c r="A2439" t="s">
        <v>3180</v>
      </c>
      <c r="B2439">
        <v>4521087</v>
      </c>
      <c r="D2439" t="s">
        <v>4135</v>
      </c>
      <c r="E2439">
        <v>1</v>
      </c>
      <c r="F2439" t="s">
        <v>646</v>
      </c>
      <c r="H2439" t="s">
        <v>4107</v>
      </c>
    </row>
    <row r="2440" spans="1:8">
      <c r="A2440" t="s">
        <v>3180</v>
      </c>
      <c r="B2440">
        <v>4521677</v>
      </c>
      <c r="D2440" t="s">
        <v>4136</v>
      </c>
      <c r="E2440">
        <v>1</v>
      </c>
      <c r="F2440" t="s">
        <v>646</v>
      </c>
      <c r="H2440" t="s">
        <v>4107</v>
      </c>
    </row>
    <row r="2441" spans="1:8">
      <c r="A2441" t="s">
        <v>3180</v>
      </c>
      <c r="B2441">
        <v>4522792</v>
      </c>
      <c r="D2441" t="s">
        <v>1682</v>
      </c>
      <c r="E2441">
        <v>1</v>
      </c>
      <c r="F2441" t="s">
        <v>656</v>
      </c>
      <c r="H2441" t="s">
        <v>4107</v>
      </c>
    </row>
    <row r="2442" spans="1:8">
      <c r="A2442" t="s">
        <v>3180</v>
      </c>
      <c r="B2442">
        <v>1501724</v>
      </c>
      <c r="D2442" t="s">
        <v>4137</v>
      </c>
      <c r="E2442">
        <v>1</v>
      </c>
      <c r="F2442" t="s">
        <v>656</v>
      </c>
      <c r="H2442" t="s">
        <v>4107</v>
      </c>
    </row>
    <row r="2443" spans="1:8">
      <c r="A2443" t="s">
        <v>3180</v>
      </c>
      <c r="B2443">
        <v>4024349</v>
      </c>
      <c r="D2443" t="s">
        <v>4138</v>
      </c>
      <c r="E2443">
        <v>1</v>
      </c>
      <c r="F2443" t="s">
        <v>656</v>
      </c>
      <c r="H2443" t="s">
        <v>4107</v>
      </c>
    </row>
    <row r="2444" spans="1:8">
      <c r="A2444" t="s">
        <v>3180</v>
      </c>
      <c r="B2444">
        <v>4521497</v>
      </c>
      <c r="D2444" t="s">
        <v>4139</v>
      </c>
      <c r="E2444">
        <v>1</v>
      </c>
      <c r="F2444" t="s">
        <v>656</v>
      </c>
      <c r="H2444" t="s">
        <v>4107</v>
      </c>
    </row>
    <row r="2445" spans="1:8">
      <c r="A2445" t="s">
        <v>3180</v>
      </c>
      <c r="B2445">
        <v>4507683</v>
      </c>
      <c r="D2445" t="s">
        <v>4140</v>
      </c>
      <c r="E2445">
        <v>1</v>
      </c>
      <c r="F2445" t="s">
        <v>656</v>
      </c>
      <c r="H2445" t="s">
        <v>4107</v>
      </c>
    </row>
    <row r="2446" spans="1:8">
      <c r="A2446" t="s">
        <v>3180</v>
      </c>
      <c r="B2446">
        <v>4799856</v>
      </c>
      <c r="D2446" t="s">
        <v>4141</v>
      </c>
      <c r="E2446">
        <v>1</v>
      </c>
      <c r="F2446" t="s">
        <v>656</v>
      </c>
      <c r="H2446" t="s">
        <v>4107</v>
      </c>
    </row>
    <row r="2447" spans="1:8">
      <c r="A2447" t="s">
        <v>3180</v>
      </c>
      <c r="B2447">
        <v>4020546</v>
      </c>
      <c r="D2447" t="s">
        <v>4142</v>
      </c>
      <c r="E2447">
        <v>1</v>
      </c>
      <c r="F2447" t="s">
        <v>656</v>
      </c>
      <c r="H2447" t="s">
        <v>4107</v>
      </c>
    </row>
    <row r="2448" spans="1:8">
      <c r="A2448" t="s">
        <v>3180</v>
      </c>
      <c r="B2448">
        <v>4521397</v>
      </c>
      <c r="D2448" t="s">
        <v>4143</v>
      </c>
      <c r="E2448">
        <v>1</v>
      </c>
      <c r="F2448" t="s">
        <v>656</v>
      </c>
      <c r="H2448" t="s">
        <v>4107</v>
      </c>
    </row>
    <row r="2449" spans="1:8">
      <c r="A2449" t="s">
        <v>3180</v>
      </c>
      <c r="B2449">
        <v>4520893</v>
      </c>
      <c r="D2449" t="s">
        <v>720</v>
      </c>
      <c r="E2449">
        <v>1</v>
      </c>
      <c r="F2449" t="s">
        <v>656</v>
      </c>
      <c r="H2449" t="s">
        <v>4107</v>
      </c>
    </row>
    <row r="2450" spans="1:8">
      <c r="A2450" t="s">
        <v>3180</v>
      </c>
      <c r="B2450">
        <v>4522850</v>
      </c>
      <c r="D2450" t="s">
        <v>4144</v>
      </c>
      <c r="E2450">
        <v>1</v>
      </c>
      <c r="F2450" t="s">
        <v>656</v>
      </c>
      <c r="H2450" t="s">
        <v>4107</v>
      </c>
    </row>
    <row r="2451" spans="1:8">
      <c r="A2451" t="s">
        <v>3180</v>
      </c>
      <c r="B2451">
        <v>4521399</v>
      </c>
      <c r="D2451" t="s">
        <v>4145</v>
      </c>
      <c r="E2451">
        <v>1</v>
      </c>
      <c r="F2451" t="s">
        <v>656</v>
      </c>
      <c r="H2451" t="s">
        <v>4107</v>
      </c>
    </row>
    <row r="2452" spans="1:8">
      <c r="A2452" t="s">
        <v>3180</v>
      </c>
      <c r="B2452">
        <v>1501278</v>
      </c>
      <c r="D2452" t="s">
        <v>4146</v>
      </c>
      <c r="E2452">
        <v>1</v>
      </c>
      <c r="F2452" t="s">
        <v>649</v>
      </c>
      <c r="H2452" t="s">
        <v>4107</v>
      </c>
    </row>
    <row r="2453" spans="1:8">
      <c r="A2453" t="s">
        <v>3180</v>
      </c>
      <c r="B2453">
        <v>4522604</v>
      </c>
      <c r="D2453" t="s">
        <v>218</v>
      </c>
      <c r="E2453">
        <v>1</v>
      </c>
      <c r="F2453" t="s">
        <v>649</v>
      </c>
      <c r="H2453" t="s">
        <v>4107</v>
      </c>
    </row>
    <row r="2454" spans="1:8">
      <c r="A2454" t="s">
        <v>3180</v>
      </c>
      <c r="B2454">
        <v>4523079</v>
      </c>
      <c r="D2454" t="s">
        <v>4147</v>
      </c>
      <c r="E2454">
        <v>1</v>
      </c>
      <c r="F2454" t="s">
        <v>649</v>
      </c>
      <c r="H2454" t="s">
        <v>4107</v>
      </c>
    </row>
    <row r="2455" spans="1:8">
      <c r="A2455" t="s">
        <v>3180</v>
      </c>
      <c r="B2455">
        <v>4716452</v>
      </c>
      <c r="D2455" t="s">
        <v>1786</v>
      </c>
      <c r="E2455">
        <v>1</v>
      </c>
      <c r="F2455" t="s">
        <v>649</v>
      </c>
      <c r="H2455" t="s">
        <v>4107</v>
      </c>
    </row>
    <row r="2456" spans="1:8">
      <c r="A2456" t="s">
        <v>3180</v>
      </c>
      <c r="B2456">
        <v>4523075</v>
      </c>
      <c r="D2456" t="s">
        <v>4148</v>
      </c>
      <c r="E2456">
        <v>1</v>
      </c>
      <c r="F2456" t="s">
        <v>649</v>
      </c>
      <c r="H2456" t="s">
        <v>4107</v>
      </c>
    </row>
    <row r="2457" spans="1:8">
      <c r="A2457" t="s">
        <v>3180</v>
      </c>
      <c r="B2457">
        <v>4522852</v>
      </c>
      <c r="D2457" t="s">
        <v>4149</v>
      </c>
      <c r="E2457">
        <v>1</v>
      </c>
      <c r="F2457" t="s">
        <v>649</v>
      </c>
      <c r="H2457" t="s">
        <v>4107</v>
      </c>
    </row>
    <row r="2458" spans="1:8">
      <c r="A2458" t="s">
        <v>3180</v>
      </c>
      <c r="B2458">
        <v>4516962</v>
      </c>
      <c r="D2458" t="s">
        <v>4150</v>
      </c>
      <c r="E2458">
        <v>1</v>
      </c>
      <c r="F2458" t="s">
        <v>649</v>
      </c>
      <c r="H2458" t="s">
        <v>4107</v>
      </c>
    </row>
    <row r="2459" spans="1:8">
      <c r="A2459" t="s">
        <v>3180</v>
      </c>
      <c r="B2459">
        <v>4522445</v>
      </c>
      <c r="D2459" t="s">
        <v>147</v>
      </c>
      <c r="E2459">
        <v>1</v>
      </c>
      <c r="F2459" t="s">
        <v>649</v>
      </c>
      <c r="H2459" t="s">
        <v>4107</v>
      </c>
    </row>
    <row r="2460" spans="1:8">
      <c r="A2460" t="s">
        <v>3180</v>
      </c>
      <c r="B2460">
        <v>4522909</v>
      </c>
      <c r="D2460" t="s">
        <v>4151</v>
      </c>
      <c r="E2460">
        <v>1</v>
      </c>
      <c r="F2460" t="s">
        <v>649</v>
      </c>
      <c r="H2460" t="s">
        <v>4107</v>
      </c>
    </row>
    <row r="2461" spans="1:8">
      <c r="A2461" t="s">
        <v>3180</v>
      </c>
      <c r="B2461">
        <v>4522444</v>
      </c>
      <c r="D2461" t="s">
        <v>487</v>
      </c>
      <c r="E2461">
        <v>1</v>
      </c>
      <c r="F2461" t="s">
        <v>649</v>
      </c>
      <c r="H2461" t="s">
        <v>4107</v>
      </c>
    </row>
    <row r="2462" spans="1:8">
      <c r="A2462" t="s">
        <v>3180</v>
      </c>
      <c r="B2462">
        <v>4522607</v>
      </c>
      <c r="D2462" t="s">
        <v>1678</v>
      </c>
      <c r="E2462">
        <v>1</v>
      </c>
      <c r="F2462" t="s">
        <v>640</v>
      </c>
      <c r="H2462" t="s">
        <v>4107</v>
      </c>
    </row>
    <row r="2463" spans="1:8">
      <c r="A2463" t="s">
        <v>3180</v>
      </c>
      <c r="B2463">
        <v>4523080</v>
      </c>
      <c r="D2463" t="s">
        <v>4152</v>
      </c>
      <c r="E2463">
        <v>1</v>
      </c>
      <c r="F2463" t="s">
        <v>656</v>
      </c>
      <c r="H2463" t="s">
        <v>4107</v>
      </c>
    </row>
    <row r="2464" spans="1:8">
      <c r="A2464" t="s">
        <v>3180</v>
      </c>
      <c r="B2464">
        <v>4522608</v>
      </c>
      <c r="D2464" t="s">
        <v>1679</v>
      </c>
      <c r="E2464">
        <v>1</v>
      </c>
      <c r="F2464" t="s">
        <v>640</v>
      </c>
      <c r="H2464" t="s">
        <v>4107</v>
      </c>
    </row>
    <row r="2465" spans="1:8">
      <c r="A2465" t="s">
        <v>3180</v>
      </c>
      <c r="B2465">
        <v>4522783</v>
      </c>
      <c r="D2465" t="s">
        <v>1681</v>
      </c>
      <c r="E2465">
        <v>1</v>
      </c>
      <c r="F2465" t="s">
        <v>640</v>
      </c>
      <c r="H2465" t="s">
        <v>4107</v>
      </c>
    </row>
    <row r="2466" spans="1:8">
      <c r="A2466" t="s">
        <v>3180</v>
      </c>
      <c r="B2466">
        <v>1001675</v>
      </c>
      <c r="D2466" t="s">
        <v>4153</v>
      </c>
      <c r="E2466">
        <v>1</v>
      </c>
      <c r="F2466" t="s">
        <v>640</v>
      </c>
      <c r="H2466" t="s">
        <v>4107</v>
      </c>
    </row>
    <row r="2467" spans="1:8">
      <c r="A2467" t="s">
        <v>3180</v>
      </c>
      <c r="B2467">
        <v>4522854</v>
      </c>
      <c r="D2467" t="s">
        <v>4154</v>
      </c>
      <c r="E2467">
        <v>1</v>
      </c>
      <c r="F2467" t="s">
        <v>640</v>
      </c>
      <c r="H2467" t="s">
        <v>4107</v>
      </c>
    </row>
    <row r="2468" spans="1:8">
      <c r="A2468" t="s">
        <v>3180</v>
      </c>
      <c r="B2468">
        <v>4519584</v>
      </c>
      <c r="D2468" t="s">
        <v>4155</v>
      </c>
      <c r="E2468">
        <v>1</v>
      </c>
      <c r="F2468" t="s">
        <v>640</v>
      </c>
      <c r="H2468" t="s">
        <v>4107</v>
      </c>
    </row>
    <row r="2469" spans="1:8">
      <c r="A2469" t="s">
        <v>3180</v>
      </c>
      <c r="B2469">
        <v>4521296</v>
      </c>
      <c r="D2469" t="s">
        <v>4156</v>
      </c>
      <c r="E2469">
        <v>1</v>
      </c>
      <c r="F2469" t="s">
        <v>640</v>
      </c>
      <c r="H2469" t="s">
        <v>4107</v>
      </c>
    </row>
    <row r="2470" spans="1:8">
      <c r="A2470" t="s">
        <v>3180</v>
      </c>
      <c r="B2470">
        <v>4521525</v>
      </c>
      <c r="D2470" t="s">
        <v>4157</v>
      </c>
      <c r="E2470">
        <v>1</v>
      </c>
      <c r="F2470" t="s">
        <v>640</v>
      </c>
      <c r="H2470" t="s">
        <v>4107</v>
      </c>
    </row>
    <row r="2471" spans="1:8">
      <c r="A2471" t="s">
        <v>3180</v>
      </c>
      <c r="B2471">
        <v>4521579</v>
      </c>
      <c r="D2471" t="s">
        <v>4158</v>
      </c>
      <c r="E2471">
        <v>1</v>
      </c>
      <c r="F2471" t="s">
        <v>640</v>
      </c>
      <c r="H2471" t="s">
        <v>4107</v>
      </c>
    </row>
    <row r="2472" spans="1:8">
      <c r="A2472" t="s">
        <v>3180</v>
      </c>
      <c r="B2472">
        <v>4521694</v>
      </c>
      <c r="D2472" t="s">
        <v>4159</v>
      </c>
      <c r="E2472">
        <v>1</v>
      </c>
      <c r="F2472" t="s">
        <v>640</v>
      </c>
      <c r="H2472" t="s">
        <v>4107</v>
      </c>
    </row>
    <row r="2473" spans="1:8">
      <c r="A2473" t="s">
        <v>3180</v>
      </c>
      <c r="B2473">
        <v>4521294</v>
      </c>
      <c r="D2473" t="s">
        <v>4160</v>
      </c>
      <c r="E2473">
        <v>1</v>
      </c>
      <c r="F2473" t="s">
        <v>640</v>
      </c>
      <c r="H2473" t="s">
        <v>4107</v>
      </c>
    </row>
    <row r="2474" spans="1:8">
      <c r="A2474" t="s">
        <v>3180</v>
      </c>
      <c r="B2474">
        <v>4522215</v>
      </c>
      <c r="D2474" t="s">
        <v>4161</v>
      </c>
      <c r="E2474">
        <v>1</v>
      </c>
      <c r="F2474" t="s">
        <v>640</v>
      </c>
      <c r="H2474" t="s">
        <v>4107</v>
      </c>
    </row>
    <row r="2475" spans="1:8">
      <c r="A2475" t="s">
        <v>3180</v>
      </c>
      <c r="B2475">
        <v>4521295</v>
      </c>
      <c r="D2475" t="s">
        <v>4162</v>
      </c>
      <c r="E2475">
        <v>1</v>
      </c>
      <c r="F2475" t="s">
        <v>640</v>
      </c>
      <c r="H2475" t="s">
        <v>4107</v>
      </c>
    </row>
    <row r="2476" spans="1:8">
      <c r="A2476" t="s">
        <v>3180</v>
      </c>
      <c r="B2476">
        <v>4735658</v>
      </c>
      <c r="D2476" t="s">
        <v>4163</v>
      </c>
      <c r="E2476">
        <v>1</v>
      </c>
      <c r="F2476" t="s">
        <v>640</v>
      </c>
      <c r="H2476" t="s">
        <v>4107</v>
      </c>
    </row>
    <row r="2477" spans="1:8">
      <c r="A2477" t="s">
        <v>3180</v>
      </c>
      <c r="B2477">
        <v>4521400</v>
      </c>
      <c r="D2477" t="s">
        <v>4164</v>
      </c>
      <c r="E2477">
        <v>1</v>
      </c>
      <c r="F2477" t="s">
        <v>640</v>
      </c>
      <c r="H2477" t="s">
        <v>4107</v>
      </c>
    </row>
    <row r="2478" spans="1:8">
      <c r="A2478" t="s">
        <v>3180</v>
      </c>
      <c r="B2478">
        <v>4019361</v>
      </c>
      <c r="D2478" t="s">
        <v>4165</v>
      </c>
      <c r="E2478">
        <v>1</v>
      </c>
      <c r="F2478" t="s">
        <v>640</v>
      </c>
      <c r="H2478" t="s">
        <v>4107</v>
      </c>
    </row>
    <row r="2479" spans="1:8">
      <c r="A2479" t="s">
        <v>3180</v>
      </c>
      <c r="B2479">
        <v>1501465</v>
      </c>
      <c r="D2479" t="s">
        <v>4166</v>
      </c>
      <c r="E2479">
        <v>1</v>
      </c>
      <c r="F2479" t="s">
        <v>640</v>
      </c>
      <c r="H2479" t="s">
        <v>4107</v>
      </c>
    </row>
    <row r="2480" spans="1:8">
      <c r="A2480" t="s">
        <v>3180</v>
      </c>
      <c r="B2480">
        <v>8703245</v>
      </c>
      <c r="D2480" t="s">
        <v>2281</v>
      </c>
      <c r="E2480">
        <v>2</v>
      </c>
      <c r="F2480" t="s">
        <v>709</v>
      </c>
      <c r="H2480" t="s">
        <v>4107</v>
      </c>
    </row>
    <row r="2481" spans="1:8">
      <c r="A2481" t="s">
        <v>3180</v>
      </c>
      <c r="B2481">
        <v>8703379</v>
      </c>
      <c r="D2481" t="s">
        <v>2292</v>
      </c>
      <c r="E2481">
        <v>2</v>
      </c>
      <c r="F2481" t="s">
        <v>709</v>
      </c>
      <c r="H2481" t="s">
        <v>4107</v>
      </c>
    </row>
    <row r="2482" spans="1:8">
      <c r="A2482" t="s">
        <v>3180</v>
      </c>
      <c r="B2482">
        <v>8006881</v>
      </c>
      <c r="D2482" t="s">
        <v>1879</v>
      </c>
      <c r="E2482">
        <v>2</v>
      </c>
      <c r="F2482" t="s">
        <v>696</v>
      </c>
      <c r="H2482" t="s">
        <v>4107</v>
      </c>
    </row>
    <row r="2483" spans="1:8">
      <c r="A2483" t="s">
        <v>3180</v>
      </c>
      <c r="B2483">
        <v>8006882</v>
      </c>
      <c r="D2483" t="s">
        <v>1880</v>
      </c>
      <c r="E2483">
        <v>2</v>
      </c>
      <c r="F2483" t="s">
        <v>696</v>
      </c>
      <c r="H2483" t="s">
        <v>4107</v>
      </c>
    </row>
    <row r="2484" spans="1:8">
      <c r="A2484" t="s">
        <v>3180</v>
      </c>
      <c r="B2484">
        <v>8005492</v>
      </c>
      <c r="D2484" t="s">
        <v>1861</v>
      </c>
      <c r="E2484">
        <v>2</v>
      </c>
      <c r="F2484" t="s">
        <v>696</v>
      </c>
      <c r="H2484" t="s">
        <v>4107</v>
      </c>
    </row>
    <row r="2485" spans="1:8">
      <c r="A2485" t="s">
        <v>3180</v>
      </c>
      <c r="B2485">
        <v>8005493</v>
      </c>
      <c r="D2485" t="s">
        <v>1862</v>
      </c>
      <c r="E2485">
        <v>2</v>
      </c>
      <c r="F2485" t="s">
        <v>696</v>
      </c>
      <c r="H2485" t="s">
        <v>4107</v>
      </c>
    </row>
    <row r="2486" spans="1:8">
      <c r="A2486" t="s">
        <v>3180</v>
      </c>
      <c r="B2486">
        <v>8005500</v>
      </c>
      <c r="D2486" t="s">
        <v>1866</v>
      </c>
      <c r="E2486">
        <v>2</v>
      </c>
      <c r="F2486" t="s">
        <v>696</v>
      </c>
      <c r="H2486" t="s">
        <v>4107</v>
      </c>
    </row>
    <row r="2487" spans="1:8">
      <c r="A2487" t="s">
        <v>3180</v>
      </c>
      <c r="B2487">
        <v>8005501</v>
      </c>
      <c r="D2487" t="s">
        <v>1867</v>
      </c>
      <c r="E2487">
        <v>2</v>
      </c>
      <c r="F2487" t="s">
        <v>696</v>
      </c>
      <c r="H2487" t="s">
        <v>4107</v>
      </c>
    </row>
    <row r="2488" spans="1:8">
      <c r="A2488" t="s">
        <v>3180</v>
      </c>
      <c r="B2488">
        <v>8005502</v>
      </c>
      <c r="D2488" t="s">
        <v>1868</v>
      </c>
      <c r="E2488">
        <v>2</v>
      </c>
      <c r="F2488" t="s">
        <v>696</v>
      </c>
      <c r="H2488" t="s">
        <v>4107</v>
      </c>
    </row>
    <row r="2489" spans="1:8">
      <c r="A2489" t="s">
        <v>3180</v>
      </c>
      <c r="B2489">
        <v>8008776</v>
      </c>
      <c r="D2489" t="s">
        <v>1220</v>
      </c>
      <c r="E2489">
        <v>2</v>
      </c>
      <c r="F2489" t="s">
        <v>696</v>
      </c>
      <c r="H2489" t="s">
        <v>4107</v>
      </c>
    </row>
    <row r="2490" spans="1:8">
      <c r="A2490" t="s">
        <v>3180</v>
      </c>
      <c r="B2490">
        <v>8005727</v>
      </c>
      <c r="D2490" t="s">
        <v>4167</v>
      </c>
      <c r="E2490">
        <v>2</v>
      </c>
      <c r="F2490" t="s">
        <v>696</v>
      </c>
      <c r="H2490" t="s">
        <v>4107</v>
      </c>
    </row>
    <row r="2491" spans="1:8">
      <c r="A2491" t="s">
        <v>3180</v>
      </c>
      <c r="B2491">
        <v>8005728</v>
      </c>
      <c r="D2491" t="s">
        <v>4168</v>
      </c>
      <c r="E2491">
        <v>2</v>
      </c>
      <c r="F2491" t="s">
        <v>696</v>
      </c>
      <c r="H2491" t="s">
        <v>4107</v>
      </c>
    </row>
    <row r="2492" spans="1:8">
      <c r="A2492" t="s">
        <v>3180</v>
      </c>
      <c r="B2492">
        <v>8005734</v>
      </c>
      <c r="D2492" t="s">
        <v>4169</v>
      </c>
      <c r="E2492">
        <v>2</v>
      </c>
      <c r="F2492" t="s">
        <v>696</v>
      </c>
      <c r="H2492" t="s">
        <v>4107</v>
      </c>
    </row>
    <row r="2493" spans="1:8">
      <c r="A2493" t="s">
        <v>3180</v>
      </c>
      <c r="B2493">
        <v>8005735</v>
      </c>
      <c r="D2493" t="s">
        <v>4170</v>
      </c>
      <c r="E2493">
        <v>2</v>
      </c>
      <c r="F2493" t="s">
        <v>696</v>
      </c>
      <c r="H2493" t="s">
        <v>4107</v>
      </c>
    </row>
    <row r="2494" spans="1:8">
      <c r="A2494" t="s">
        <v>3180</v>
      </c>
      <c r="B2494">
        <v>8005736</v>
      </c>
      <c r="D2494" t="s">
        <v>4171</v>
      </c>
      <c r="E2494">
        <v>2</v>
      </c>
      <c r="F2494" t="s">
        <v>696</v>
      </c>
      <c r="H2494" t="s">
        <v>4107</v>
      </c>
    </row>
    <row r="2495" spans="1:8">
      <c r="A2495" t="s">
        <v>3180</v>
      </c>
      <c r="B2495">
        <v>4020621</v>
      </c>
      <c r="D2495" t="s">
        <v>3982</v>
      </c>
      <c r="E2495">
        <v>2</v>
      </c>
      <c r="F2495" t="s">
        <v>696</v>
      </c>
      <c r="H2495" t="s">
        <v>4107</v>
      </c>
    </row>
    <row r="2496" spans="1:8">
      <c r="A2496" t="s">
        <v>3180</v>
      </c>
      <c r="B2496">
        <v>4020627</v>
      </c>
      <c r="D2496" t="s">
        <v>2287</v>
      </c>
      <c r="E2496">
        <v>2</v>
      </c>
      <c r="F2496" t="s">
        <v>696</v>
      </c>
      <c r="H2496" t="s">
        <v>4107</v>
      </c>
    </row>
    <row r="2497" spans="1:8">
      <c r="A2497" t="s">
        <v>3180</v>
      </c>
      <c r="B2497">
        <v>4020628</v>
      </c>
      <c r="D2497" t="s">
        <v>2288</v>
      </c>
      <c r="E2497">
        <v>2</v>
      </c>
      <c r="F2497" t="s">
        <v>696</v>
      </c>
      <c r="H2497" t="s">
        <v>4107</v>
      </c>
    </row>
    <row r="2498" spans="1:8">
      <c r="A2498" t="s">
        <v>3180</v>
      </c>
      <c r="B2498">
        <v>4243573</v>
      </c>
      <c r="D2498" t="s">
        <v>4172</v>
      </c>
      <c r="E2498">
        <v>2</v>
      </c>
      <c r="F2498" t="s">
        <v>671</v>
      </c>
      <c r="H2498" t="s">
        <v>4107</v>
      </c>
    </row>
    <row r="2499" spans="1:8">
      <c r="A2499" t="s">
        <v>3180</v>
      </c>
      <c r="B2499">
        <v>8703812</v>
      </c>
      <c r="D2499" t="s">
        <v>2302</v>
      </c>
      <c r="E2499">
        <v>2</v>
      </c>
      <c r="F2499" t="s">
        <v>671</v>
      </c>
      <c r="H2499" t="s">
        <v>4107</v>
      </c>
    </row>
    <row r="2500" spans="1:8">
      <c r="A2500" t="s">
        <v>3180</v>
      </c>
      <c r="B2500">
        <v>4523078</v>
      </c>
      <c r="D2500" t="s">
        <v>4173</v>
      </c>
      <c r="E2500">
        <v>2</v>
      </c>
      <c r="F2500" t="s">
        <v>671</v>
      </c>
      <c r="H2500" t="s">
        <v>4107</v>
      </c>
    </row>
    <row r="2501" spans="1:8">
      <c r="A2501" t="s">
        <v>3180</v>
      </c>
      <c r="B2501">
        <v>4505293</v>
      </c>
      <c r="D2501" t="s">
        <v>4174</v>
      </c>
      <c r="E2501">
        <v>2</v>
      </c>
      <c r="F2501" t="s">
        <v>671</v>
      </c>
      <c r="H2501" t="s">
        <v>4107</v>
      </c>
    </row>
    <row r="2502" spans="1:8">
      <c r="A2502" t="s">
        <v>3180</v>
      </c>
      <c r="B2502">
        <v>4522708</v>
      </c>
      <c r="D2502" t="s">
        <v>4175</v>
      </c>
      <c r="E2502">
        <v>2</v>
      </c>
      <c r="F2502" t="s">
        <v>671</v>
      </c>
      <c r="H2502" t="s">
        <v>4107</v>
      </c>
    </row>
    <row r="2503" spans="1:8">
      <c r="A2503" t="s">
        <v>3180</v>
      </c>
      <c r="B2503">
        <v>4522709</v>
      </c>
      <c r="D2503" t="s">
        <v>4176</v>
      </c>
      <c r="E2503">
        <v>2</v>
      </c>
      <c r="F2503" t="s">
        <v>671</v>
      </c>
      <c r="H2503" t="s">
        <v>4107</v>
      </c>
    </row>
    <row r="2504" spans="1:8">
      <c r="A2504" t="s">
        <v>3180</v>
      </c>
      <c r="B2504">
        <v>4517797</v>
      </c>
      <c r="D2504" t="s">
        <v>4177</v>
      </c>
      <c r="E2504">
        <v>2</v>
      </c>
      <c r="F2504" t="s">
        <v>671</v>
      </c>
      <c r="H2504" t="s">
        <v>4107</v>
      </c>
    </row>
    <row r="2505" spans="1:8">
      <c r="A2505" t="s">
        <v>3180</v>
      </c>
      <c r="B2505">
        <v>8010849</v>
      </c>
      <c r="D2505" t="s">
        <v>4178</v>
      </c>
      <c r="E2505">
        <v>2</v>
      </c>
      <c r="F2505" t="s">
        <v>671</v>
      </c>
      <c r="H2505" t="s">
        <v>4107</v>
      </c>
    </row>
    <row r="2506" spans="1:8">
      <c r="A2506" t="s">
        <v>3180</v>
      </c>
      <c r="B2506">
        <v>4740216</v>
      </c>
      <c r="D2506" t="s">
        <v>4179</v>
      </c>
      <c r="E2506">
        <v>2</v>
      </c>
      <c r="F2506" t="s">
        <v>671</v>
      </c>
      <c r="H2506" t="s">
        <v>4107</v>
      </c>
    </row>
    <row r="2507" spans="1:8">
      <c r="A2507" t="s">
        <v>3180</v>
      </c>
      <c r="B2507">
        <v>4017095</v>
      </c>
      <c r="D2507" t="s">
        <v>4180</v>
      </c>
      <c r="E2507">
        <v>2</v>
      </c>
      <c r="F2507" t="s">
        <v>671</v>
      </c>
      <c r="H2507" t="s">
        <v>4107</v>
      </c>
    </row>
    <row r="2508" spans="1:8">
      <c r="A2508" t="s">
        <v>3180</v>
      </c>
      <c r="B2508">
        <v>4521293</v>
      </c>
      <c r="D2508" t="s">
        <v>4181</v>
      </c>
      <c r="E2508">
        <v>2</v>
      </c>
      <c r="F2508" t="s">
        <v>671</v>
      </c>
      <c r="H2508" t="s">
        <v>4107</v>
      </c>
    </row>
    <row r="2509" spans="1:8">
      <c r="A2509" t="s">
        <v>3180</v>
      </c>
      <c r="B2509">
        <v>4716627</v>
      </c>
      <c r="D2509" t="s">
        <v>4182</v>
      </c>
      <c r="E2509">
        <v>2</v>
      </c>
      <c r="F2509" t="s">
        <v>671</v>
      </c>
      <c r="H2509" t="s">
        <v>4107</v>
      </c>
    </row>
    <row r="2510" spans="1:8">
      <c r="A2510" t="s">
        <v>3180</v>
      </c>
      <c r="B2510">
        <v>4716626</v>
      </c>
      <c r="D2510" t="s">
        <v>4183</v>
      </c>
      <c r="E2510">
        <v>2</v>
      </c>
      <c r="F2510" t="s">
        <v>671</v>
      </c>
      <c r="H2510" t="s">
        <v>4107</v>
      </c>
    </row>
    <row r="2511" spans="1:8">
      <c r="A2511" t="s">
        <v>3180</v>
      </c>
      <c r="B2511">
        <v>8010402</v>
      </c>
      <c r="D2511" t="s">
        <v>1948</v>
      </c>
      <c r="E2511">
        <v>2</v>
      </c>
      <c r="F2511" t="s">
        <v>671</v>
      </c>
      <c r="H2511" t="s">
        <v>4107</v>
      </c>
    </row>
    <row r="2512" spans="1:8">
      <c r="A2512" t="s">
        <v>3180</v>
      </c>
      <c r="B2512">
        <v>4521689</v>
      </c>
      <c r="D2512" t="s">
        <v>4184</v>
      </c>
      <c r="E2512">
        <v>2</v>
      </c>
      <c r="F2512" t="s">
        <v>671</v>
      </c>
      <c r="H2512" t="s">
        <v>4107</v>
      </c>
    </row>
    <row r="2513" spans="1:8">
      <c r="A2513" t="s">
        <v>3180</v>
      </c>
      <c r="B2513">
        <v>4522317</v>
      </c>
      <c r="D2513" t="s">
        <v>4185</v>
      </c>
      <c r="E2513">
        <v>2</v>
      </c>
      <c r="F2513" t="s">
        <v>671</v>
      </c>
      <c r="H2513" t="s">
        <v>4107</v>
      </c>
    </row>
    <row r="2514" spans="1:8">
      <c r="A2514" t="s">
        <v>3180</v>
      </c>
      <c r="B2514">
        <v>4521290</v>
      </c>
      <c r="D2514" t="s">
        <v>4186</v>
      </c>
      <c r="E2514">
        <v>2</v>
      </c>
      <c r="F2514" t="s">
        <v>671</v>
      </c>
      <c r="H2514" t="s">
        <v>4107</v>
      </c>
    </row>
    <row r="2515" spans="1:8">
      <c r="A2515" t="s">
        <v>3180</v>
      </c>
      <c r="B2515">
        <v>4521396</v>
      </c>
      <c r="D2515" t="s">
        <v>4187</v>
      </c>
      <c r="E2515">
        <v>2</v>
      </c>
      <c r="F2515" t="s">
        <v>671</v>
      </c>
      <c r="H2515" t="s">
        <v>4107</v>
      </c>
    </row>
    <row r="2516" spans="1:8">
      <c r="A2516" t="s">
        <v>3180</v>
      </c>
      <c r="B2516">
        <v>4521291</v>
      </c>
      <c r="D2516" t="s">
        <v>4188</v>
      </c>
      <c r="E2516">
        <v>2</v>
      </c>
      <c r="F2516" t="s">
        <v>671</v>
      </c>
      <c r="H2516" t="s">
        <v>4107</v>
      </c>
    </row>
    <row r="2517" spans="1:8">
      <c r="A2517" t="s">
        <v>3180</v>
      </c>
      <c r="B2517">
        <v>8703790</v>
      </c>
      <c r="D2517" t="s">
        <v>4189</v>
      </c>
      <c r="E2517">
        <v>2</v>
      </c>
      <c r="F2517" t="s">
        <v>671</v>
      </c>
      <c r="H2517" t="s">
        <v>4107</v>
      </c>
    </row>
    <row r="2518" spans="1:8">
      <c r="A2518" t="s">
        <v>3180</v>
      </c>
      <c r="B2518">
        <v>4025417</v>
      </c>
      <c r="D2518" t="s">
        <v>4190</v>
      </c>
      <c r="E2518">
        <v>2</v>
      </c>
      <c r="F2518" t="s">
        <v>671</v>
      </c>
      <c r="H2518" t="s">
        <v>4107</v>
      </c>
    </row>
    <row r="2519" spans="1:8">
      <c r="A2519" t="s">
        <v>3180</v>
      </c>
      <c r="B2519">
        <v>4521690</v>
      </c>
      <c r="D2519" t="s">
        <v>4191</v>
      </c>
      <c r="E2519">
        <v>2</v>
      </c>
      <c r="F2519" t="s">
        <v>671</v>
      </c>
      <c r="H2519" t="s">
        <v>4107</v>
      </c>
    </row>
    <row r="2520" spans="1:8">
      <c r="A2520" t="s">
        <v>3180</v>
      </c>
      <c r="B2520">
        <v>4521691</v>
      </c>
      <c r="D2520" t="s">
        <v>4192</v>
      </c>
      <c r="E2520">
        <v>2</v>
      </c>
      <c r="F2520" t="s">
        <v>671</v>
      </c>
      <c r="H2520" t="s">
        <v>4107</v>
      </c>
    </row>
    <row r="2521" spans="1:8">
      <c r="A2521" t="s">
        <v>3180</v>
      </c>
      <c r="B2521">
        <v>4004394</v>
      </c>
      <c r="D2521" t="s">
        <v>1817</v>
      </c>
      <c r="E2521">
        <v>2</v>
      </c>
      <c r="F2521" t="s">
        <v>671</v>
      </c>
      <c r="H2521" t="s">
        <v>4107</v>
      </c>
    </row>
    <row r="2522" spans="1:8">
      <c r="A2522" t="s">
        <v>3180</v>
      </c>
      <c r="B2522">
        <v>4519617</v>
      </c>
      <c r="D2522" t="s">
        <v>4193</v>
      </c>
      <c r="E2522">
        <v>2</v>
      </c>
      <c r="F2522" t="s">
        <v>671</v>
      </c>
      <c r="H2522" t="s">
        <v>4107</v>
      </c>
    </row>
    <row r="2523" spans="1:8">
      <c r="A2523" t="s">
        <v>3180</v>
      </c>
      <c r="B2523">
        <v>4519618</v>
      </c>
      <c r="D2523" t="s">
        <v>4194</v>
      </c>
      <c r="E2523">
        <v>2</v>
      </c>
      <c r="F2523" t="s">
        <v>671</v>
      </c>
      <c r="H2523" t="s">
        <v>4107</v>
      </c>
    </row>
    <row r="2524" spans="1:8">
      <c r="A2524" t="s">
        <v>3180</v>
      </c>
      <c r="B2524">
        <v>4521394</v>
      </c>
      <c r="D2524" t="s">
        <v>4195</v>
      </c>
      <c r="E2524">
        <v>2</v>
      </c>
      <c r="F2524" t="s">
        <v>671</v>
      </c>
      <c r="H2524" t="s">
        <v>4107</v>
      </c>
    </row>
    <row r="2525" spans="1:8">
      <c r="A2525" t="s">
        <v>3180</v>
      </c>
      <c r="B2525">
        <v>4518233</v>
      </c>
      <c r="D2525" t="s">
        <v>4196</v>
      </c>
      <c r="E2525">
        <v>2</v>
      </c>
      <c r="F2525" t="s">
        <v>671</v>
      </c>
      <c r="H2525" t="s">
        <v>4107</v>
      </c>
    </row>
    <row r="2526" spans="1:8">
      <c r="A2526" t="s">
        <v>3180</v>
      </c>
      <c r="B2526">
        <v>4521259</v>
      </c>
      <c r="D2526" t="s">
        <v>4197</v>
      </c>
      <c r="E2526">
        <v>2</v>
      </c>
      <c r="F2526" t="s">
        <v>671</v>
      </c>
      <c r="H2526" t="s">
        <v>4107</v>
      </c>
    </row>
    <row r="2527" spans="1:8">
      <c r="A2527" t="s">
        <v>3180</v>
      </c>
      <c r="B2527">
        <v>4726628</v>
      </c>
      <c r="D2527" t="s">
        <v>4198</v>
      </c>
      <c r="E2527">
        <v>2</v>
      </c>
      <c r="F2527" t="s">
        <v>671</v>
      </c>
      <c r="H2527" t="s">
        <v>4107</v>
      </c>
    </row>
    <row r="2528" spans="1:8">
      <c r="A2528" t="s">
        <v>3180</v>
      </c>
      <c r="B2528">
        <v>4521292</v>
      </c>
      <c r="D2528" t="s">
        <v>4199</v>
      </c>
      <c r="E2528">
        <v>2</v>
      </c>
      <c r="F2528" t="s">
        <v>671</v>
      </c>
      <c r="H2528" t="s">
        <v>4107</v>
      </c>
    </row>
    <row r="2529" spans="1:8">
      <c r="A2529" t="s">
        <v>3180</v>
      </c>
      <c r="B2529">
        <v>8010291</v>
      </c>
      <c r="D2529" t="s">
        <v>1934</v>
      </c>
      <c r="E2529">
        <v>2</v>
      </c>
      <c r="F2529" t="s">
        <v>671</v>
      </c>
      <c r="H2529" t="s">
        <v>4107</v>
      </c>
    </row>
    <row r="2530" spans="1:8">
      <c r="A2530" t="s">
        <v>3180</v>
      </c>
      <c r="B2530">
        <v>8010292</v>
      </c>
      <c r="D2530" t="s">
        <v>1935</v>
      </c>
      <c r="E2530">
        <v>2</v>
      </c>
      <c r="F2530" t="s">
        <v>671</v>
      </c>
      <c r="H2530" t="s">
        <v>4107</v>
      </c>
    </row>
    <row r="2531" spans="1:8">
      <c r="A2531" t="s">
        <v>3180</v>
      </c>
      <c r="B2531">
        <v>4004834</v>
      </c>
      <c r="D2531" t="s">
        <v>4200</v>
      </c>
      <c r="E2531">
        <v>2</v>
      </c>
      <c r="F2531" t="s">
        <v>671</v>
      </c>
      <c r="H2531" t="s">
        <v>4107</v>
      </c>
    </row>
    <row r="2532" spans="1:8">
      <c r="A2532" t="s">
        <v>3180</v>
      </c>
      <c r="B2532">
        <v>4518234</v>
      </c>
      <c r="D2532" t="s">
        <v>4201</v>
      </c>
      <c r="E2532">
        <v>2</v>
      </c>
      <c r="F2532" t="s">
        <v>671</v>
      </c>
      <c r="H2532" t="s">
        <v>4107</v>
      </c>
    </row>
    <row r="2533" spans="1:8">
      <c r="A2533" t="s">
        <v>3180</v>
      </c>
      <c r="B2533">
        <v>4506114</v>
      </c>
      <c r="D2533" t="s">
        <v>4202</v>
      </c>
      <c r="E2533">
        <v>2</v>
      </c>
      <c r="F2533" t="s">
        <v>671</v>
      </c>
      <c r="H2533" t="s">
        <v>4107</v>
      </c>
    </row>
    <row r="2534" spans="1:8">
      <c r="A2534" t="s">
        <v>3180</v>
      </c>
      <c r="B2534">
        <v>4506982</v>
      </c>
      <c r="D2534" t="s">
        <v>4203</v>
      </c>
      <c r="E2534">
        <v>1</v>
      </c>
      <c r="F2534" t="s">
        <v>644</v>
      </c>
      <c r="H2534" t="s">
        <v>4204</v>
      </c>
    </row>
    <row r="2535" spans="1:8">
      <c r="A2535" t="s">
        <v>3180</v>
      </c>
      <c r="B2535">
        <v>4523250</v>
      </c>
      <c r="D2535" t="s">
        <v>1688</v>
      </c>
      <c r="E2535">
        <v>1</v>
      </c>
      <c r="F2535" t="s">
        <v>644</v>
      </c>
      <c r="H2535" t="s">
        <v>4204</v>
      </c>
    </row>
    <row r="2536" spans="1:8">
      <c r="A2536" t="s">
        <v>3180</v>
      </c>
      <c r="B2536">
        <v>4523572</v>
      </c>
      <c r="D2536" t="s">
        <v>523</v>
      </c>
      <c r="E2536">
        <v>1</v>
      </c>
      <c r="F2536" t="s">
        <v>644</v>
      </c>
      <c r="H2536" t="s">
        <v>4204</v>
      </c>
    </row>
    <row r="2537" spans="1:8">
      <c r="A2537" t="s">
        <v>3180</v>
      </c>
      <c r="B2537">
        <v>4523571</v>
      </c>
      <c r="D2537" t="s">
        <v>603</v>
      </c>
      <c r="E2537">
        <v>1</v>
      </c>
      <c r="F2537" t="s">
        <v>644</v>
      </c>
      <c r="H2537" t="s">
        <v>4204</v>
      </c>
    </row>
    <row r="2538" spans="1:8">
      <c r="A2538" t="s">
        <v>3180</v>
      </c>
      <c r="B2538">
        <v>4523366</v>
      </c>
      <c r="D2538" t="s">
        <v>4205</v>
      </c>
      <c r="E2538">
        <v>1</v>
      </c>
      <c r="F2538" t="s">
        <v>642</v>
      </c>
      <c r="H2538" t="s">
        <v>4204</v>
      </c>
    </row>
    <row r="2539" spans="1:8">
      <c r="A2539" t="s">
        <v>3180</v>
      </c>
      <c r="B2539">
        <v>4703100</v>
      </c>
      <c r="D2539" t="s">
        <v>1777</v>
      </c>
      <c r="E2539">
        <v>1</v>
      </c>
      <c r="F2539" t="s">
        <v>642</v>
      </c>
      <c r="H2539" t="s">
        <v>4204</v>
      </c>
    </row>
    <row r="2540" spans="1:8">
      <c r="A2540" t="s">
        <v>3180</v>
      </c>
      <c r="B2540">
        <v>4518173</v>
      </c>
      <c r="D2540" t="s">
        <v>4206</v>
      </c>
      <c r="E2540">
        <v>1</v>
      </c>
      <c r="F2540" t="s">
        <v>642</v>
      </c>
      <c r="H2540" t="s">
        <v>4204</v>
      </c>
    </row>
    <row r="2541" spans="1:8">
      <c r="A2541" t="s">
        <v>3180</v>
      </c>
      <c r="B2541">
        <v>4522916</v>
      </c>
      <c r="D2541" t="s">
        <v>173</v>
      </c>
      <c r="E2541">
        <v>1</v>
      </c>
      <c r="F2541" t="s">
        <v>642</v>
      </c>
      <c r="H2541" t="s">
        <v>4204</v>
      </c>
    </row>
    <row r="2542" spans="1:8">
      <c r="A2542" t="s">
        <v>3180</v>
      </c>
      <c r="B2542">
        <v>4504042</v>
      </c>
      <c r="D2542" t="s">
        <v>4207</v>
      </c>
      <c r="E2542">
        <v>1</v>
      </c>
      <c r="F2542" t="s">
        <v>642</v>
      </c>
      <c r="H2542" t="s">
        <v>4204</v>
      </c>
    </row>
    <row r="2543" spans="1:8">
      <c r="A2543" t="s">
        <v>3180</v>
      </c>
      <c r="B2543">
        <v>4007440</v>
      </c>
      <c r="D2543" t="s">
        <v>4208</v>
      </c>
      <c r="E2543">
        <v>1</v>
      </c>
      <c r="F2543" t="s">
        <v>642</v>
      </c>
      <c r="H2543" t="s">
        <v>4204</v>
      </c>
    </row>
    <row r="2544" spans="1:8">
      <c r="A2544" t="s">
        <v>3180</v>
      </c>
      <c r="B2544">
        <v>4523619</v>
      </c>
      <c r="D2544" t="s">
        <v>4209</v>
      </c>
      <c r="E2544">
        <v>1</v>
      </c>
      <c r="F2544" t="s">
        <v>638</v>
      </c>
      <c r="H2544" t="s">
        <v>4204</v>
      </c>
    </row>
    <row r="2545" spans="1:8">
      <c r="A2545" t="s">
        <v>3180</v>
      </c>
      <c r="B2545">
        <v>1501694</v>
      </c>
      <c r="D2545" t="s">
        <v>4210</v>
      </c>
      <c r="E2545">
        <v>1</v>
      </c>
      <c r="F2545" t="s">
        <v>638</v>
      </c>
      <c r="H2545" t="s">
        <v>4204</v>
      </c>
    </row>
    <row r="2546" spans="1:8">
      <c r="A2546" t="s">
        <v>3180</v>
      </c>
      <c r="B2546">
        <v>4522855</v>
      </c>
      <c r="D2546" t="s">
        <v>4211</v>
      </c>
      <c r="E2546">
        <v>1</v>
      </c>
      <c r="F2546" t="s">
        <v>656</v>
      </c>
      <c r="H2546" t="s">
        <v>4204</v>
      </c>
    </row>
    <row r="2547" spans="1:8">
      <c r="A2547" t="s">
        <v>3180</v>
      </c>
      <c r="B2547">
        <v>4514786</v>
      </c>
      <c r="D2547" t="s">
        <v>4212</v>
      </c>
      <c r="E2547">
        <v>1</v>
      </c>
      <c r="F2547" t="s">
        <v>656</v>
      </c>
      <c r="H2547" t="s">
        <v>4204</v>
      </c>
    </row>
    <row r="2548" spans="1:8">
      <c r="A2548" t="s">
        <v>3180</v>
      </c>
      <c r="B2548">
        <v>4522917</v>
      </c>
      <c r="D2548" t="s">
        <v>1686</v>
      </c>
      <c r="E2548">
        <v>1</v>
      </c>
      <c r="F2548" t="s">
        <v>649</v>
      </c>
      <c r="H2548" t="s">
        <v>4204</v>
      </c>
    </row>
    <row r="2549" spans="1:8">
      <c r="A2549" t="s">
        <v>3180</v>
      </c>
      <c r="B2549">
        <v>4523471</v>
      </c>
      <c r="D2549" t="s">
        <v>4213</v>
      </c>
      <c r="E2549">
        <v>1</v>
      </c>
      <c r="F2549" t="s">
        <v>649</v>
      </c>
      <c r="H2549" t="s">
        <v>4204</v>
      </c>
    </row>
    <row r="2550" spans="1:8">
      <c r="A2550" t="s">
        <v>3180</v>
      </c>
      <c r="B2550">
        <v>4523076</v>
      </c>
      <c r="D2550" t="s">
        <v>4214</v>
      </c>
      <c r="E2550">
        <v>1</v>
      </c>
      <c r="F2550" t="s">
        <v>649</v>
      </c>
      <c r="H2550" t="s">
        <v>4204</v>
      </c>
    </row>
    <row r="2551" spans="1:8">
      <c r="A2551" t="s">
        <v>3180</v>
      </c>
      <c r="B2551">
        <v>4732730</v>
      </c>
      <c r="D2551" t="s">
        <v>4215</v>
      </c>
      <c r="E2551">
        <v>1</v>
      </c>
      <c r="F2551" t="s">
        <v>649</v>
      </c>
      <c r="H2551" t="s">
        <v>4204</v>
      </c>
    </row>
    <row r="2552" spans="1:8">
      <c r="A2552" t="s">
        <v>3180</v>
      </c>
      <c r="B2552">
        <v>4523077</v>
      </c>
      <c r="D2552" t="s">
        <v>4216</v>
      </c>
      <c r="E2552">
        <v>1</v>
      </c>
      <c r="F2552" t="s">
        <v>649</v>
      </c>
      <c r="H2552" t="s">
        <v>4204</v>
      </c>
    </row>
    <row r="2553" spans="1:8">
      <c r="A2553" t="s">
        <v>3180</v>
      </c>
      <c r="B2553">
        <v>4523357</v>
      </c>
      <c r="D2553" t="s">
        <v>568</v>
      </c>
      <c r="E2553">
        <v>1</v>
      </c>
      <c r="F2553" t="s">
        <v>649</v>
      </c>
      <c r="H2553" t="s">
        <v>4204</v>
      </c>
    </row>
    <row r="2554" spans="1:8">
      <c r="A2554" t="s">
        <v>3180</v>
      </c>
      <c r="B2554">
        <v>4045663</v>
      </c>
      <c r="D2554" t="s">
        <v>4217</v>
      </c>
      <c r="E2554">
        <v>1</v>
      </c>
      <c r="F2554" t="s">
        <v>640</v>
      </c>
      <c r="H2554" t="s">
        <v>4204</v>
      </c>
    </row>
    <row r="2555" spans="1:8">
      <c r="A2555" t="s">
        <v>3180</v>
      </c>
      <c r="B2555">
        <v>4045664</v>
      </c>
      <c r="D2555" t="s">
        <v>4218</v>
      </c>
      <c r="E2555">
        <v>1</v>
      </c>
      <c r="F2555" t="s">
        <v>640</v>
      </c>
      <c r="H2555" t="s">
        <v>4204</v>
      </c>
    </row>
    <row r="2556" spans="1:8">
      <c r="A2556" t="s">
        <v>3180</v>
      </c>
      <c r="B2556">
        <v>4003676</v>
      </c>
      <c r="D2556" t="s">
        <v>4219</v>
      </c>
      <c r="E2556">
        <v>1</v>
      </c>
      <c r="F2556" t="s">
        <v>640</v>
      </c>
      <c r="H2556" t="s">
        <v>4204</v>
      </c>
    </row>
    <row r="2557" spans="1:8">
      <c r="A2557" t="s">
        <v>3180</v>
      </c>
      <c r="B2557">
        <v>4519528</v>
      </c>
      <c r="D2557" t="s">
        <v>4220</v>
      </c>
      <c r="E2557">
        <v>1</v>
      </c>
      <c r="F2557" t="s">
        <v>640</v>
      </c>
      <c r="H2557" t="s">
        <v>4204</v>
      </c>
    </row>
    <row r="2558" spans="1:8">
      <c r="A2558" t="s">
        <v>3180</v>
      </c>
      <c r="B2558">
        <v>4523358</v>
      </c>
      <c r="D2558" t="s">
        <v>4221</v>
      </c>
      <c r="E2558">
        <v>1</v>
      </c>
      <c r="F2558" t="s">
        <v>640</v>
      </c>
      <c r="H2558" t="s">
        <v>4204</v>
      </c>
    </row>
    <row r="2559" spans="1:8">
      <c r="A2559" t="s">
        <v>3180</v>
      </c>
      <c r="B2559">
        <v>4523622</v>
      </c>
      <c r="D2559" t="s">
        <v>4222</v>
      </c>
      <c r="E2559">
        <v>1</v>
      </c>
      <c r="F2559" t="s">
        <v>640</v>
      </c>
      <c r="H2559" t="s">
        <v>4204</v>
      </c>
    </row>
    <row r="2560" spans="1:8">
      <c r="A2560" t="s">
        <v>3180</v>
      </c>
      <c r="B2560">
        <v>4523620</v>
      </c>
      <c r="D2560" t="s">
        <v>4223</v>
      </c>
      <c r="E2560">
        <v>1</v>
      </c>
      <c r="F2560" t="s">
        <v>640</v>
      </c>
      <c r="H2560" t="s">
        <v>4204</v>
      </c>
    </row>
    <row r="2561" spans="1:8">
      <c r="A2561" t="s">
        <v>3180</v>
      </c>
      <c r="B2561">
        <v>4035150</v>
      </c>
      <c r="D2561" t="s">
        <v>4224</v>
      </c>
      <c r="E2561">
        <v>2</v>
      </c>
      <c r="F2561" t="s">
        <v>709</v>
      </c>
      <c r="H2561" t="s">
        <v>4204</v>
      </c>
    </row>
    <row r="2562" spans="1:8">
      <c r="A2562" t="s">
        <v>3180</v>
      </c>
      <c r="B2562">
        <v>4040829</v>
      </c>
      <c r="D2562" t="s">
        <v>357</v>
      </c>
      <c r="E2562">
        <v>2</v>
      </c>
      <c r="F2562" t="s">
        <v>709</v>
      </c>
      <c r="H2562" t="s">
        <v>4204</v>
      </c>
    </row>
    <row r="2563" spans="1:8">
      <c r="A2563" t="s">
        <v>3180</v>
      </c>
      <c r="B2563">
        <v>4038572</v>
      </c>
      <c r="D2563" t="s">
        <v>1341</v>
      </c>
      <c r="E2563">
        <v>2</v>
      </c>
      <c r="F2563" t="s">
        <v>709</v>
      </c>
      <c r="H2563" t="s">
        <v>4204</v>
      </c>
    </row>
    <row r="2564" spans="1:8">
      <c r="A2564" t="s">
        <v>3180</v>
      </c>
      <c r="B2564">
        <v>4518427</v>
      </c>
      <c r="D2564" t="s">
        <v>4225</v>
      </c>
      <c r="E2564">
        <v>2</v>
      </c>
      <c r="F2564" t="s">
        <v>671</v>
      </c>
      <c r="H2564" t="s">
        <v>4204</v>
      </c>
    </row>
    <row r="2565" spans="1:8">
      <c r="A2565" t="s">
        <v>3180</v>
      </c>
      <c r="B2565">
        <v>4519088</v>
      </c>
      <c r="D2565" t="s">
        <v>4226</v>
      </c>
      <c r="E2565">
        <v>2</v>
      </c>
      <c r="F2565" t="s">
        <v>671</v>
      </c>
      <c r="H2565" t="s">
        <v>4204</v>
      </c>
    </row>
    <row r="2566" spans="1:8">
      <c r="A2566" t="s">
        <v>3180</v>
      </c>
      <c r="B2566">
        <v>4523299</v>
      </c>
      <c r="D2566" t="s">
        <v>4227</v>
      </c>
      <c r="E2566">
        <v>2</v>
      </c>
      <c r="F2566" t="s">
        <v>671</v>
      </c>
      <c r="H2566" t="s">
        <v>4204</v>
      </c>
    </row>
    <row r="2567" spans="1:8">
      <c r="A2567" t="s">
        <v>3180</v>
      </c>
      <c r="B2567">
        <v>4523470</v>
      </c>
      <c r="D2567" t="s">
        <v>4228</v>
      </c>
      <c r="E2567">
        <v>2</v>
      </c>
      <c r="F2567" t="s">
        <v>671</v>
      </c>
      <c r="H2567" t="s">
        <v>4204</v>
      </c>
    </row>
    <row r="2568" spans="1:8">
      <c r="A2568" t="s">
        <v>3180</v>
      </c>
      <c r="B2568">
        <v>4702109</v>
      </c>
      <c r="D2568" t="s">
        <v>4229</v>
      </c>
      <c r="E2568">
        <v>2</v>
      </c>
      <c r="F2568" t="s">
        <v>654</v>
      </c>
      <c r="H2568" t="s">
        <v>4204</v>
      </c>
    </row>
    <row r="2569" spans="1:8">
      <c r="A2569" t="s">
        <v>3180</v>
      </c>
      <c r="B2569">
        <v>4524230</v>
      </c>
      <c r="D2569" t="s">
        <v>1694</v>
      </c>
      <c r="E2569">
        <v>1</v>
      </c>
      <c r="F2569" t="s">
        <v>644</v>
      </c>
      <c r="H2569" t="s">
        <v>724</v>
      </c>
    </row>
    <row r="2570" spans="1:8">
      <c r="A2570" t="s">
        <v>3180</v>
      </c>
      <c r="B2570">
        <v>4523787</v>
      </c>
      <c r="D2570" t="s">
        <v>1692</v>
      </c>
      <c r="E2570">
        <v>1</v>
      </c>
      <c r="F2570" t="s">
        <v>644</v>
      </c>
      <c r="H2570" t="s">
        <v>724</v>
      </c>
    </row>
    <row r="2571" spans="1:8">
      <c r="A2571" t="s">
        <v>3180</v>
      </c>
      <c r="B2571">
        <v>4523583</v>
      </c>
      <c r="D2571" t="s">
        <v>1691</v>
      </c>
      <c r="E2571">
        <v>1</v>
      </c>
      <c r="F2571" t="s">
        <v>644</v>
      </c>
      <c r="H2571" t="s">
        <v>724</v>
      </c>
    </row>
    <row r="2572" spans="1:8">
      <c r="A2572" t="s">
        <v>3180</v>
      </c>
      <c r="B2572">
        <v>4522918</v>
      </c>
      <c r="D2572" t="s">
        <v>159</v>
      </c>
      <c r="E2572">
        <v>1</v>
      </c>
      <c r="F2572" t="s">
        <v>642</v>
      </c>
      <c r="H2572" t="s">
        <v>724</v>
      </c>
    </row>
    <row r="2573" spans="1:8">
      <c r="A2573" t="s">
        <v>3180</v>
      </c>
      <c r="B2573">
        <v>4523956</v>
      </c>
      <c r="D2573" t="s">
        <v>302</v>
      </c>
      <c r="E2573">
        <v>1</v>
      </c>
      <c r="F2573" t="s">
        <v>642</v>
      </c>
      <c r="H2573" t="s">
        <v>724</v>
      </c>
    </row>
    <row r="2574" spans="1:8">
      <c r="A2574" t="s">
        <v>3180</v>
      </c>
      <c r="B2574">
        <v>4713536</v>
      </c>
      <c r="D2574" t="s">
        <v>4230</v>
      </c>
      <c r="E2574" s="13">
        <v>1</v>
      </c>
      <c r="F2574" t="s">
        <v>646</v>
      </c>
      <c r="H2574" t="s">
        <v>724</v>
      </c>
    </row>
    <row r="2575" spans="1:8">
      <c r="A2575" t="s">
        <v>3180</v>
      </c>
      <c r="B2575">
        <v>4524043</v>
      </c>
      <c r="D2575" t="s">
        <v>4231</v>
      </c>
      <c r="E2575" s="13">
        <v>1</v>
      </c>
      <c r="F2575" t="s">
        <v>638</v>
      </c>
      <c r="H2575" t="s">
        <v>724</v>
      </c>
    </row>
    <row r="2576" spans="1:8">
      <c r="A2576" t="s">
        <v>3180</v>
      </c>
      <c r="B2576">
        <v>4507009</v>
      </c>
      <c r="D2576" t="s">
        <v>4232</v>
      </c>
      <c r="E2576" s="13">
        <v>1</v>
      </c>
      <c r="F2576" t="s">
        <v>649</v>
      </c>
      <c r="H2576" t="s">
        <v>724</v>
      </c>
    </row>
    <row r="2577" spans="1:8">
      <c r="A2577" t="s">
        <v>3180</v>
      </c>
      <c r="B2577">
        <v>4523815</v>
      </c>
      <c r="D2577" t="s">
        <v>4233</v>
      </c>
      <c r="E2577" s="13">
        <v>1</v>
      </c>
      <c r="F2577" t="s">
        <v>649</v>
      </c>
      <c r="H2577" t="s">
        <v>724</v>
      </c>
    </row>
    <row r="2578" spans="1:8">
      <c r="A2578" t="s">
        <v>3180</v>
      </c>
      <c r="B2578">
        <v>4511411</v>
      </c>
      <c r="D2578" t="s">
        <v>4234</v>
      </c>
      <c r="E2578" s="13">
        <v>1</v>
      </c>
      <c r="F2578" t="s">
        <v>649</v>
      </c>
      <c r="H2578" t="s">
        <v>724</v>
      </c>
    </row>
    <row r="2579" spans="1:8">
      <c r="A2579" t="s">
        <v>3180</v>
      </c>
      <c r="B2579">
        <v>4523800</v>
      </c>
      <c r="D2579" t="s">
        <v>323</v>
      </c>
      <c r="E2579" s="13">
        <v>1</v>
      </c>
      <c r="F2579" t="s">
        <v>640</v>
      </c>
      <c r="H2579" t="s">
        <v>724</v>
      </c>
    </row>
    <row r="2580" spans="1:8">
      <c r="A2580" t="s">
        <v>3180</v>
      </c>
      <c r="B2580">
        <v>4028302</v>
      </c>
      <c r="D2580" t="s">
        <v>365</v>
      </c>
      <c r="E2580" s="13">
        <v>1</v>
      </c>
      <c r="F2580" t="s">
        <v>640</v>
      </c>
      <c r="H2580" t="s">
        <v>724</v>
      </c>
    </row>
    <row r="2581" spans="1:8">
      <c r="A2581" t="s">
        <v>3180</v>
      </c>
      <c r="B2581">
        <v>4018353</v>
      </c>
      <c r="D2581" t="s">
        <v>1259</v>
      </c>
      <c r="E2581">
        <v>1</v>
      </c>
      <c r="F2581" t="s">
        <v>640</v>
      </c>
      <c r="H2581" t="s">
        <v>724</v>
      </c>
    </row>
    <row r="2582" spans="1:8">
      <c r="A2582" t="s">
        <v>3180</v>
      </c>
      <c r="B2582">
        <v>4519245</v>
      </c>
      <c r="D2582" t="s">
        <v>1645</v>
      </c>
      <c r="E2582">
        <v>1</v>
      </c>
      <c r="F2582" t="s">
        <v>640</v>
      </c>
      <c r="H2582" t="s">
        <v>724</v>
      </c>
    </row>
    <row r="2583" spans="1:8">
      <c r="A2583" t="s">
        <v>3180</v>
      </c>
      <c r="B2583">
        <v>4524044</v>
      </c>
      <c r="D2583" t="s">
        <v>4235</v>
      </c>
      <c r="E2583">
        <v>1</v>
      </c>
      <c r="F2583" t="s">
        <v>640</v>
      </c>
      <c r="H2583" t="s">
        <v>724</v>
      </c>
    </row>
    <row r="2584" spans="1:8">
      <c r="A2584" t="s">
        <v>3180</v>
      </c>
      <c r="B2584">
        <v>4524231</v>
      </c>
      <c r="D2584" t="s">
        <v>4236</v>
      </c>
      <c r="E2584">
        <v>1</v>
      </c>
      <c r="F2584" t="s">
        <v>640</v>
      </c>
      <c r="H2584" t="s">
        <v>724</v>
      </c>
    </row>
    <row r="2585" spans="1:8">
      <c r="A2585" t="s">
        <v>3180</v>
      </c>
      <c r="B2585">
        <v>8011631</v>
      </c>
      <c r="D2585" t="s">
        <v>2008</v>
      </c>
      <c r="E2585">
        <v>2</v>
      </c>
      <c r="F2585" t="s">
        <v>709</v>
      </c>
      <c r="H2585" t="s">
        <v>724</v>
      </c>
    </row>
    <row r="2586" spans="1:8">
      <c r="A2586" t="s">
        <v>3180</v>
      </c>
      <c r="B2586">
        <v>8011630</v>
      </c>
      <c r="D2586" t="s">
        <v>2007</v>
      </c>
      <c r="E2586">
        <v>2</v>
      </c>
      <c r="F2586" t="s">
        <v>709</v>
      </c>
      <c r="H2586" t="s">
        <v>724</v>
      </c>
    </row>
    <row r="2587" spans="1:8">
      <c r="A2587" t="s">
        <v>3180</v>
      </c>
      <c r="B2587">
        <v>8011626</v>
      </c>
      <c r="D2587" t="s">
        <v>2003</v>
      </c>
      <c r="E2587">
        <v>2</v>
      </c>
      <c r="F2587" t="s">
        <v>709</v>
      </c>
      <c r="H2587" t="s">
        <v>724</v>
      </c>
    </row>
    <row r="2588" spans="1:8">
      <c r="A2588" t="s">
        <v>3180</v>
      </c>
      <c r="B2588">
        <v>8011632</v>
      </c>
      <c r="D2588" t="s">
        <v>2009</v>
      </c>
      <c r="E2588">
        <v>2</v>
      </c>
      <c r="F2588" t="s">
        <v>709</v>
      </c>
      <c r="H2588" t="s">
        <v>724</v>
      </c>
    </row>
    <row r="2589" spans="1:8">
      <c r="A2589" t="s">
        <v>3180</v>
      </c>
      <c r="B2589">
        <v>8011628</v>
      </c>
      <c r="D2589" t="s">
        <v>2005</v>
      </c>
      <c r="E2589">
        <v>2</v>
      </c>
      <c r="F2589" t="s">
        <v>709</v>
      </c>
      <c r="H2589" t="s">
        <v>724</v>
      </c>
    </row>
    <row r="2590" spans="1:8">
      <c r="A2590" t="s">
        <v>3180</v>
      </c>
      <c r="B2590">
        <v>8011627</v>
      </c>
      <c r="D2590" t="s">
        <v>2004</v>
      </c>
      <c r="E2590">
        <v>2</v>
      </c>
      <c r="F2590" t="s">
        <v>709</v>
      </c>
      <c r="H2590" t="s">
        <v>724</v>
      </c>
    </row>
    <row r="2591" spans="1:8">
      <c r="A2591" t="s">
        <v>3180</v>
      </c>
      <c r="B2591">
        <v>8011704</v>
      </c>
      <c r="D2591" t="s">
        <v>2011</v>
      </c>
      <c r="E2591">
        <v>2</v>
      </c>
      <c r="F2591" t="s">
        <v>709</v>
      </c>
      <c r="H2591" t="s">
        <v>724</v>
      </c>
    </row>
    <row r="2592" spans="1:8">
      <c r="A2592" t="s">
        <v>3180</v>
      </c>
      <c r="B2592">
        <v>8011728</v>
      </c>
      <c r="D2592" t="s">
        <v>600</v>
      </c>
      <c r="E2592">
        <v>2</v>
      </c>
      <c r="F2592" t="s">
        <v>709</v>
      </c>
      <c r="H2592" t="s">
        <v>724</v>
      </c>
    </row>
    <row r="2593" spans="1:8">
      <c r="A2593" t="s">
        <v>3180</v>
      </c>
      <c r="B2593">
        <v>8011625</v>
      </c>
      <c r="D2593" t="s">
        <v>2002</v>
      </c>
      <c r="E2593">
        <v>2</v>
      </c>
      <c r="F2593" t="s">
        <v>709</v>
      </c>
      <c r="H2593" t="s">
        <v>724</v>
      </c>
    </row>
    <row r="2594" spans="1:8">
      <c r="A2594" t="s">
        <v>3180</v>
      </c>
      <c r="B2594">
        <v>8011624</v>
      </c>
      <c r="D2594" t="s">
        <v>2001</v>
      </c>
      <c r="E2594">
        <v>2</v>
      </c>
      <c r="F2594" t="s">
        <v>709</v>
      </c>
      <c r="H2594" t="s">
        <v>724</v>
      </c>
    </row>
    <row r="2595" spans="1:8">
      <c r="A2595" t="s">
        <v>3180</v>
      </c>
      <c r="B2595">
        <v>4038573</v>
      </c>
      <c r="D2595" t="s">
        <v>1342</v>
      </c>
      <c r="E2595">
        <v>2</v>
      </c>
      <c r="F2595" t="s">
        <v>709</v>
      </c>
      <c r="H2595" t="s">
        <v>724</v>
      </c>
    </row>
    <row r="2596" spans="1:8">
      <c r="A2596" t="s">
        <v>3180</v>
      </c>
      <c r="B2596">
        <v>4039887</v>
      </c>
      <c r="D2596" t="s">
        <v>1346</v>
      </c>
      <c r="E2596">
        <v>2</v>
      </c>
      <c r="F2596" t="s">
        <v>709</v>
      </c>
      <c r="H2596" t="s">
        <v>724</v>
      </c>
    </row>
    <row r="2597" spans="1:8">
      <c r="A2597" t="s">
        <v>3180</v>
      </c>
      <c r="B2597">
        <v>4508791</v>
      </c>
      <c r="D2597" t="s">
        <v>4237</v>
      </c>
      <c r="E2597">
        <v>2</v>
      </c>
      <c r="F2597" t="s">
        <v>709</v>
      </c>
      <c r="H2597" t="s">
        <v>724</v>
      </c>
    </row>
    <row r="2598" spans="1:8">
      <c r="A2598" t="s">
        <v>3180</v>
      </c>
      <c r="B2598">
        <v>4524232</v>
      </c>
      <c r="D2598" t="s">
        <v>4238</v>
      </c>
      <c r="E2598">
        <v>2</v>
      </c>
      <c r="F2598" t="s">
        <v>709</v>
      </c>
      <c r="H2598" t="s">
        <v>724</v>
      </c>
    </row>
    <row r="2599" spans="1:8">
      <c r="A2599" t="s">
        <v>3180</v>
      </c>
      <c r="B2599">
        <v>8011344</v>
      </c>
      <c r="D2599" t="s">
        <v>1989</v>
      </c>
      <c r="E2599">
        <v>2</v>
      </c>
      <c r="F2599" t="s">
        <v>709</v>
      </c>
      <c r="H2599" t="s">
        <v>724</v>
      </c>
    </row>
    <row r="2600" spans="1:8">
      <c r="A2600" t="s">
        <v>3180</v>
      </c>
      <c r="B2600">
        <v>8011729</v>
      </c>
      <c r="D2600" t="s">
        <v>2012</v>
      </c>
      <c r="E2600">
        <v>2</v>
      </c>
      <c r="F2600" t="s">
        <v>696</v>
      </c>
      <c r="H2600" t="s">
        <v>724</v>
      </c>
    </row>
    <row r="2601" spans="1:8">
      <c r="A2601" t="s">
        <v>3180</v>
      </c>
      <c r="B2601">
        <v>8005490</v>
      </c>
      <c r="D2601" t="s">
        <v>1859</v>
      </c>
      <c r="E2601">
        <v>2</v>
      </c>
      <c r="F2601" t="s">
        <v>696</v>
      </c>
      <c r="H2601" t="s">
        <v>724</v>
      </c>
    </row>
    <row r="2602" spans="1:8">
      <c r="A2602" t="s">
        <v>3180</v>
      </c>
      <c r="B2602">
        <v>8005495</v>
      </c>
      <c r="D2602" t="s">
        <v>1864</v>
      </c>
      <c r="E2602">
        <v>2</v>
      </c>
      <c r="F2602" t="s">
        <v>696</v>
      </c>
      <c r="H2602" t="s">
        <v>724</v>
      </c>
    </row>
    <row r="2603" spans="1:8">
      <c r="A2603" t="s">
        <v>3180</v>
      </c>
      <c r="B2603">
        <v>8005503</v>
      </c>
      <c r="D2603" t="s">
        <v>1869</v>
      </c>
      <c r="E2603">
        <v>2</v>
      </c>
      <c r="F2603" t="s">
        <v>696</v>
      </c>
      <c r="H2603" t="s">
        <v>724</v>
      </c>
    </row>
    <row r="2604" spans="1:8">
      <c r="A2604" t="s">
        <v>3180</v>
      </c>
      <c r="B2604">
        <v>8008670</v>
      </c>
      <c r="D2604" t="s">
        <v>1890</v>
      </c>
      <c r="E2604">
        <v>2</v>
      </c>
      <c r="F2604" t="s">
        <v>696</v>
      </c>
      <c r="H2604" t="s">
        <v>724</v>
      </c>
    </row>
    <row r="2605" spans="1:8">
      <c r="A2605" t="s">
        <v>3180</v>
      </c>
      <c r="B2605">
        <v>8011480</v>
      </c>
      <c r="D2605" t="s">
        <v>1206</v>
      </c>
      <c r="E2605">
        <v>2</v>
      </c>
      <c r="F2605" t="s">
        <v>696</v>
      </c>
      <c r="H2605" t="s">
        <v>724</v>
      </c>
    </row>
    <row r="2606" spans="1:8">
      <c r="A2606" t="s">
        <v>3180</v>
      </c>
      <c r="B2606">
        <v>8703283</v>
      </c>
      <c r="D2606" t="s">
        <v>2286</v>
      </c>
      <c r="E2606">
        <v>2</v>
      </c>
      <c r="F2606" t="s">
        <v>696</v>
      </c>
      <c r="H2606" t="s">
        <v>724</v>
      </c>
    </row>
    <row r="2607" spans="1:8">
      <c r="A2607" t="s">
        <v>3180</v>
      </c>
      <c r="B2607">
        <v>8703282</v>
      </c>
      <c r="D2607" t="s">
        <v>2285</v>
      </c>
      <c r="E2607">
        <v>2</v>
      </c>
      <c r="F2607" t="s">
        <v>696</v>
      </c>
      <c r="H2607" t="s">
        <v>724</v>
      </c>
    </row>
    <row r="2608" spans="1:8">
      <c r="A2608" t="s">
        <v>3180</v>
      </c>
      <c r="B2608">
        <v>8000811</v>
      </c>
      <c r="D2608" t="s">
        <v>1829</v>
      </c>
      <c r="E2608">
        <v>2</v>
      </c>
      <c r="F2608" t="s">
        <v>671</v>
      </c>
      <c r="H2608" t="s">
        <v>724</v>
      </c>
    </row>
    <row r="2609" spans="1:8">
      <c r="A2609" t="s">
        <v>3180</v>
      </c>
      <c r="B2609">
        <v>8010148</v>
      </c>
      <c r="D2609" t="s">
        <v>1928</v>
      </c>
      <c r="E2609">
        <v>2</v>
      </c>
      <c r="F2609" t="s">
        <v>671</v>
      </c>
      <c r="H2609" t="s">
        <v>724</v>
      </c>
    </row>
    <row r="2610" spans="1:8">
      <c r="A2610" t="s">
        <v>3180</v>
      </c>
      <c r="B2610">
        <v>4741979</v>
      </c>
      <c r="D2610" t="s">
        <v>1807</v>
      </c>
      <c r="E2610">
        <v>2</v>
      </c>
      <c r="F2610" t="s">
        <v>671</v>
      </c>
      <c r="H2610" t="s">
        <v>724</v>
      </c>
    </row>
    <row r="2611" spans="1:8">
      <c r="A2611" t="s">
        <v>3180</v>
      </c>
      <c r="B2611">
        <v>4724199</v>
      </c>
      <c r="D2611" t="s">
        <v>1790</v>
      </c>
      <c r="E2611">
        <v>2</v>
      </c>
      <c r="F2611" t="s">
        <v>671</v>
      </c>
      <c r="H2611" t="s">
        <v>724</v>
      </c>
    </row>
    <row r="2612" spans="1:8">
      <c r="A2612" t="s">
        <v>3180</v>
      </c>
      <c r="B2612">
        <v>8009121</v>
      </c>
      <c r="D2612" t="s">
        <v>1897</v>
      </c>
      <c r="E2612">
        <v>2</v>
      </c>
      <c r="F2612" t="s">
        <v>671</v>
      </c>
      <c r="H2612" t="s">
        <v>724</v>
      </c>
    </row>
    <row r="2613" spans="1:8">
      <c r="A2613" t="s">
        <v>3180</v>
      </c>
      <c r="B2613">
        <v>8011629</v>
      </c>
      <c r="D2613" t="s">
        <v>2006</v>
      </c>
      <c r="E2613">
        <v>2</v>
      </c>
      <c r="F2613" t="s">
        <v>671</v>
      </c>
      <c r="H2613" t="s">
        <v>724</v>
      </c>
    </row>
    <row r="2614" spans="1:8">
      <c r="A2614" t="s">
        <v>3180</v>
      </c>
      <c r="B2614">
        <v>8007090</v>
      </c>
      <c r="D2614" t="s">
        <v>1883</v>
      </c>
      <c r="E2614">
        <v>2</v>
      </c>
      <c r="F2614" t="s">
        <v>671</v>
      </c>
      <c r="H2614" t="s">
        <v>724</v>
      </c>
    </row>
    <row r="2615" spans="1:8">
      <c r="A2615" t="s">
        <v>3180</v>
      </c>
      <c r="B2615">
        <v>8007924</v>
      </c>
      <c r="D2615" t="s">
        <v>1886</v>
      </c>
      <c r="E2615">
        <v>2</v>
      </c>
      <c r="F2615" t="s">
        <v>671</v>
      </c>
      <c r="H2615" t="s">
        <v>724</v>
      </c>
    </row>
    <row r="2616" spans="1:8">
      <c r="A2616" t="s">
        <v>3180</v>
      </c>
      <c r="B2616">
        <v>8000044</v>
      </c>
      <c r="D2616" t="s">
        <v>1820</v>
      </c>
      <c r="E2616">
        <v>2</v>
      </c>
      <c r="F2616" t="s">
        <v>671</v>
      </c>
      <c r="H2616" t="s">
        <v>724</v>
      </c>
    </row>
    <row r="2617" spans="1:8">
      <c r="A2617" t="s">
        <v>3180</v>
      </c>
      <c r="B2617">
        <v>8000026</v>
      </c>
      <c r="D2617" t="s">
        <v>1818</v>
      </c>
      <c r="E2617">
        <v>2</v>
      </c>
      <c r="F2617" t="s">
        <v>671</v>
      </c>
      <c r="H2617" t="s">
        <v>724</v>
      </c>
    </row>
    <row r="2618" spans="1:8">
      <c r="A2618" t="s">
        <v>3180</v>
      </c>
      <c r="B2618">
        <v>4523469</v>
      </c>
      <c r="D2618" t="s">
        <v>1690</v>
      </c>
      <c r="E2618">
        <v>2</v>
      </c>
      <c r="F2618" t="s">
        <v>671</v>
      </c>
      <c r="H2618" t="s">
        <v>724</v>
      </c>
    </row>
    <row r="2619" spans="1:8">
      <c r="A2619" t="s">
        <v>3180</v>
      </c>
      <c r="B2619">
        <v>8008315</v>
      </c>
      <c r="D2619" t="s">
        <v>1058</v>
      </c>
      <c r="E2619">
        <v>2</v>
      </c>
      <c r="F2619" t="s">
        <v>671</v>
      </c>
      <c r="H2619" t="s">
        <v>724</v>
      </c>
    </row>
    <row r="2620" spans="1:8">
      <c r="A2620" t="s">
        <v>3180</v>
      </c>
      <c r="B2620">
        <v>8000019</v>
      </c>
      <c r="D2620" t="s">
        <v>1815</v>
      </c>
      <c r="E2620">
        <v>2</v>
      </c>
      <c r="F2620" t="s">
        <v>671</v>
      </c>
      <c r="H2620" t="s">
        <v>724</v>
      </c>
    </row>
    <row r="2621" spans="1:8">
      <c r="A2621" t="s">
        <v>3180</v>
      </c>
      <c r="B2621">
        <v>8000020</v>
      </c>
      <c r="D2621" t="s">
        <v>1816</v>
      </c>
      <c r="E2621">
        <v>2</v>
      </c>
      <c r="F2621" t="s">
        <v>671</v>
      </c>
      <c r="H2621" t="s">
        <v>724</v>
      </c>
    </row>
    <row r="2622" spans="1:8">
      <c r="A2622" t="s">
        <v>3180</v>
      </c>
      <c r="B2622">
        <v>8000022</v>
      </c>
      <c r="D2622" t="s">
        <v>1817</v>
      </c>
      <c r="E2622">
        <v>2</v>
      </c>
      <c r="F2622" t="s">
        <v>671</v>
      </c>
      <c r="H2622" t="s">
        <v>724</v>
      </c>
    </row>
    <row r="2623" spans="1:8">
      <c r="A2623" t="s">
        <v>3180</v>
      </c>
      <c r="B2623">
        <v>8009144</v>
      </c>
      <c r="D2623" t="s">
        <v>1898</v>
      </c>
      <c r="E2623">
        <v>2</v>
      </c>
      <c r="F2623" t="s">
        <v>671</v>
      </c>
      <c r="H2623" t="s">
        <v>724</v>
      </c>
    </row>
    <row r="2624" spans="1:8">
      <c r="A2624" t="s">
        <v>3180</v>
      </c>
      <c r="B2624">
        <v>4519880</v>
      </c>
      <c r="D2624" t="s">
        <v>1651</v>
      </c>
      <c r="E2624">
        <v>2</v>
      </c>
      <c r="F2624" t="s">
        <v>671</v>
      </c>
      <c r="H2624" t="s">
        <v>724</v>
      </c>
    </row>
    <row r="2625" spans="1:8">
      <c r="A2625" t="s">
        <v>3180</v>
      </c>
      <c r="B2625">
        <v>8007083</v>
      </c>
      <c r="D2625" t="s">
        <v>1881</v>
      </c>
      <c r="E2625">
        <v>2</v>
      </c>
      <c r="F2625" t="s">
        <v>671</v>
      </c>
      <c r="H2625" t="s">
        <v>724</v>
      </c>
    </row>
    <row r="2626" spans="1:8">
      <c r="A2626" t="s">
        <v>3180</v>
      </c>
      <c r="B2626">
        <v>8000116</v>
      </c>
      <c r="D2626" t="s">
        <v>1822</v>
      </c>
      <c r="E2626">
        <v>2</v>
      </c>
      <c r="F2626" t="s">
        <v>671</v>
      </c>
      <c r="H2626" t="s">
        <v>724</v>
      </c>
    </row>
    <row r="2627" spans="1:8">
      <c r="A2627" t="s">
        <v>3180</v>
      </c>
      <c r="B2627">
        <v>4027124</v>
      </c>
      <c r="D2627" t="s">
        <v>1318</v>
      </c>
      <c r="E2627">
        <v>2</v>
      </c>
      <c r="F2627" t="s">
        <v>671</v>
      </c>
      <c r="H2627" t="s">
        <v>724</v>
      </c>
    </row>
    <row r="2628" spans="1:8">
      <c r="A2628" t="s">
        <v>3180</v>
      </c>
      <c r="B2628">
        <v>8703541</v>
      </c>
      <c r="D2628" t="s">
        <v>2297</v>
      </c>
      <c r="E2628">
        <v>2</v>
      </c>
      <c r="F2628" t="s">
        <v>671</v>
      </c>
      <c r="H2628" t="s">
        <v>724</v>
      </c>
    </row>
    <row r="2629" spans="1:8">
      <c r="A2629" t="s">
        <v>3180</v>
      </c>
      <c r="B2629">
        <v>4506870</v>
      </c>
      <c r="D2629" t="s">
        <v>1428</v>
      </c>
      <c r="E2629">
        <v>2</v>
      </c>
      <c r="F2629" t="s">
        <v>671</v>
      </c>
      <c r="H2629" t="s">
        <v>724</v>
      </c>
    </row>
    <row r="2630" spans="1:8">
      <c r="A2630" t="s">
        <v>3180</v>
      </c>
      <c r="B2630">
        <v>8009514</v>
      </c>
      <c r="D2630" t="s">
        <v>1901</v>
      </c>
      <c r="E2630">
        <v>2</v>
      </c>
      <c r="F2630" t="s">
        <v>671</v>
      </c>
      <c r="H2630" t="s">
        <v>724</v>
      </c>
    </row>
    <row r="2631" spans="1:8">
      <c r="A2631" t="s">
        <v>3180</v>
      </c>
      <c r="B2631">
        <v>4017948</v>
      </c>
      <c r="D2631" t="s">
        <v>1255</v>
      </c>
      <c r="E2631">
        <v>2</v>
      </c>
      <c r="F2631" t="s">
        <v>671</v>
      </c>
      <c r="H2631" t="s">
        <v>724</v>
      </c>
    </row>
    <row r="2632" spans="1:8">
      <c r="A2632" t="s">
        <v>3180</v>
      </c>
      <c r="B2632">
        <v>8011337</v>
      </c>
      <c r="D2632" t="s">
        <v>1988</v>
      </c>
      <c r="E2632">
        <v>2</v>
      </c>
      <c r="F2632" t="s">
        <v>671</v>
      </c>
      <c r="H2632" t="s">
        <v>724</v>
      </c>
    </row>
    <row r="2633" spans="1:8">
      <c r="A2633" t="s">
        <v>3180</v>
      </c>
      <c r="B2633">
        <v>8009143</v>
      </c>
      <c r="D2633" t="s">
        <v>1135</v>
      </c>
      <c r="E2633">
        <v>2</v>
      </c>
      <c r="F2633" t="s">
        <v>671</v>
      </c>
      <c r="H2633" t="s">
        <v>724</v>
      </c>
    </row>
    <row r="2634" spans="1:8">
      <c r="A2634" t="s">
        <v>3180</v>
      </c>
      <c r="B2634">
        <v>4518943</v>
      </c>
      <c r="D2634" t="s">
        <v>1639</v>
      </c>
      <c r="E2634">
        <v>2</v>
      </c>
      <c r="F2634" t="s">
        <v>671</v>
      </c>
      <c r="H2634" t="s">
        <v>724</v>
      </c>
    </row>
    <row r="2635" spans="1:8">
      <c r="A2635" t="s">
        <v>3180</v>
      </c>
      <c r="B2635">
        <v>4001138</v>
      </c>
      <c r="D2635" t="s">
        <v>4239</v>
      </c>
      <c r="E2635">
        <v>2</v>
      </c>
      <c r="F2635" t="s">
        <v>654</v>
      </c>
      <c r="H2635" t="s">
        <v>724</v>
      </c>
    </row>
    <row r="2636" spans="1:8">
      <c r="A2636" t="s">
        <v>3180</v>
      </c>
      <c r="B2636">
        <v>1501486</v>
      </c>
      <c r="C2636" t="s">
        <v>641</v>
      </c>
      <c r="D2636" t="s">
        <v>4240</v>
      </c>
      <c r="E2636">
        <v>1</v>
      </c>
      <c r="F2636" t="s">
        <v>644</v>
      </c>
      <c r="H2636" t="s">
        <v>4241</v>
      </c>
    </row>
    <row r="2637" spans="1:8">
      <c r="A2637" t="s">
        <v>3180</v>
      </c>
      <c r="B2637">
        <v>4524554</v>
      </c>
      <c r="C2637" t="s">
        <v>641</v>
      </c>
      <c r="D2637" t="s">
        <v>1697</v>
      </c>
      <c r="E2637">
        <v>1</v>
      </c>
      <c r="F2637" t="s">
        <v>642</v>
      </c>
      <c r="H2637" t="s">
        <v>4241</v>
      </c>
    </row>
    <row r="2638" spans="1:8">
      <c r="A2638" t="s">
        <v>3180</v>
      </c>
      <c r="B2638">
        <v>4521130</v>
      </c>
      <c r="C2638" t="s">
        <v>641</v>
      </c>
      <c r="D2638" t="s">
        <v>4242</v>
      </c>
      <c r="E2638">
        <v>1</v>
      </c>
      <c r="F2638" t="s">
        <v>642</v>
      </c>
      <c r="H2638" t="s">
        <v>4241</v>
      </c>
    </row>
    <row r="2639" spans="1:8">
      <c r="A2639" t="s">
        <v>3180</v>
      </c>
      <c r="B2639">
        <v>4524710</v>
      </c>
      <c r="C2639" t="s">
        <v>641</v>
      </c>
      <c r="D2639" t="s">
        <v>1700</v>
      </c>
      <c r="E2639">
        <v>1</v>
      </c>
      <c r="F2639" t="s">
        <v>642</v>
      </c>
      <c r="H2639" t="s">
        <v>4241</v>
      </c>
    </row>
    <row r="2640" spans="1:8">
      <c r="A2640" t="s">
        <v>3180</v>
      </c>
      <c r="B2640">
        <v>4524689</v>
      </c>
      <c r="C2640" t="s">
        <v>641</v>
      </c>
      <c r="D2640" t="s">
        <v>4243</v>
      </c>
      <c r="E2640">
        <v>1</v>
      </c>
      <c r="F2640" t="s">
        <v>640</v>
      </c>
      <c r="H2640" t="s">
        <v>4241</v>
      </c>
    </row>
    <row r="2641" spans="1:8">
      <c r="A2641" t="s">
        <v>3180</v>
      </c>
      <c r="B2641">
        <v>4524688</v>
      </c>
      <c r="C2641" t="s">
        <v>641</v>
      </c>
      <c r="D2641" t="s">
        <v>4244</v>
      </c>
      <c r="E2641">
        <v>1</v>
      </c>
      <c r="F2641" t="s">
        <v>640</v>
      </c>
      <c r="H2641" t="s">
        <v>4241</v>
      </c>
    </row>
    <row r="2642" spans="1:8">
      <c r="A2642" t="s">
        <v>3180</v>
      </c>
      <c r="B2642">
        <v>4733325</v>
      </c>
      <c r="C2642" t="s">
        <v>641</v>
      </c>
      <c r="D2642" t="s">
        <v>339</v>
      </c>
      <c r="E2642">
        <v>1</v>
      </c>
      <c r="F2642" t="s">
        <v>646</v>
      </c>
      <c r="H2642" t="s">
        <v>4241</v>
      </c>
    </row>
    <row r="2643" spans="1:8">
      <c r="A2643" t="s">
        <v>3180</v>
      </c>
      <c r="B2643">
        <v>4502863</v>
      </c>
      <c r="C2643" t="s">
        <v>641</v>
      </c>
      <c r="D2643" t="s">
        <v>340</v>
      </c>
      <c r="E2643">
        <v>1</v>
      </c>
      <c r="F2643" t="s">
        <v>646</v>
      </c>
      <c r="H2643" t="s">
        <v>4241</v>
      </c>
    </row>
    <row r="2644" spans="1:8">
      <c r="A2644" t="s">
        <v>3180</v>
      </c>
      <c r="B2644">
        <v>4520558</v>
      </c>
      <c r="C2644" t="s">
        <v>641</v>
      </c>
      <c r="D2644" t="s">
        <v>346</v>
      </c>
      <c r="E2644">
        <v>1</v>
      </c>
      <c r="F2644" t="s">
        <v>646</v>
      </c>
      <c r="H2644" t="s">
        <v>4241</v>
      </c>
    </row>
    <row r="2645" spans="1:8">
      <c r="A2645" t="s">
        <v>3180</v>
      </c>
      <c r="B2645">
        <v>4524660</v>
      </c>
      <c r="C2645" t="s">
        <v>641</v>
      </c>
      <c r="D2645" t="s">
        <v>1699</v>
      </c>
      <c r="E2645">
        <v>1</v>
      </c>
      <c r="F2645" t="s">
        <v>646</v>
      </c>
      <c r="H2645" t="s">
        <v>4241</v>
      </c>
    </row>
    <row r="2646" spans="1:8">
      <c r="A2646" t="s">
        <v>3180</v>
      </c>
      <c r="B2646">
        <v>4524377</v>
      </c>
      <c r="C2646" t="s">
        <v>641</v>
      </c>
      <c r="D2646" t="s">
        <v>4245</v>
      </c>
      <c r="E2646">
        <v>1</v>
      </c>
      <c r="F2646" t="s">
        <v>638</v>
      </c>
      <c r="H2646" t="s">
        <v>4241</v>
      </c>
    </row>
    <row r="2647" spans="1:8">
      <c r="A2647" t="s">
        <v>3180</v>
      </c>
      <c r="B2647">
        <v>4505490</v>
      </c>
      <c r="C2647" t="s">
        <v>641</v>
      </c>
      <c r="D2647" t="s">
        <v>1407</v>
      </c>
      <c r="E2647">
        <v>2</v>
      </c>
      <c r="F2647" t="s">
        <v>654</v>
      </c>
      <c r="H2647" t="s">
        <v>4241</v>
      </c>
    </row>
    <row r="2648" spans="1:8">
      <c r="A2648" t="s">
        <v>3180</v>
      </c>
      <c r="B2648">
        <v>4765891</v>
      </c>
      <c r="C2648" t="s">
        <v>641</v>
      </c>
      <c r="D2648" t="s">
        <v>124</v>
      </c>
      <c r="E2648">
        <v>1</v>
      </c>
      <c r="F2648" t="s">
        <v>656</v>
      </c>
      <c r="H2648" t="s">
        <v>4241</v>
      </c>
    </row>
    <row r="2649" spans="1:8">
      <c r="A2649" t="s">
        <v>3180</v>
      </c>
      <c r="B2649">
        <v>4524613</v>
      </c>
      <c r="C2649" t="s">
        <v>641</v>
      </c>
      <c r="D2649" t="s">
        <v>133</v>
      </c>
      <c r="E2649">
        <v>1</v>
      </c>
      <c r="F2649" t="s">
        <v>656</v>
      </c>
      <c r="H2649" t="s">
        <v>4241</v>
      </c>
    </row>
    <row r="2650" spans="1:8">
      <c r="A2650" t="s">
        <v>3180</v>
      </c>
      <c r="B2650">
        <v>4758252</v>
      </c>
      <c r="C2650" t="s">
        <v>641</v>
      </c>
      <c r="D2650" t="s">
        <v>1810</v>
      </c>
      <c r="E2650">
        <v>1</v>
      </c>
      <c r="F2650" t="s">
        <v>649</v>
      </c>
      <c r="H2650" t="s">
        <v>4241</v>
      </c>
    </row>
    <row r="2651" spans="1:8">
      <c r="A2651" t="s">
        <v>3180</v>
      </c>
      <c r="B2651">
        <v>4524485</v>
      </c>
      <c r="C2651" t="s">
        <v>641</v>
      </c>
      <c r="D2651" t="s">
        <v>1696</v>
      </c>
      <c r="E2651">
        <v>1</v>
      </c>
      <c r="F2651" t="s">
        <v>649</v>
      </c>
      <c r="H2651" t="s">
        <v>4241</v>
      </c>
    </row>
    <row r="2652" spans="1:8">
      <c r="A2652" t="s">
        <v>3180</v>
      </c>
      <c r="B2652">
        <v>4503474</v>
      </c>
      <c r="C2652" t="s">
        <v>641</v>
      </c>
      <c r="D2652" t="s">
        <v>393</v>
      </c>
      <c r="E2652">
        <v>1</v>
      </c>
      <c r="F2652" t="s">
        <v>649</v>
      </c>
      <c r="H2652" t="s">
        <v>4241</v>
      </c>
    </row>
    <row r="2653" spans="1:8">
      <c r="A2653" t="s">
        <v>3180</v>
      </c>
      <c r="B2653">
        <v>1500253</v>
      </c>
      <c r="C2653" t="s">
        <v>641</v>
      </c>
      <c r="D2653" t="s">
        <v>768</v>
      </c>
      <c r="E2653">
        <v>1</v>
      </c>
      <c r="F2653" t="s">
        <v>640</v>
      </c>
      <c r="H2653" t="s">
        <v>4241</v>
      </c>
    </row>
    <row r="2654" spans="1:8">
      <c r="A2654" t="s">
        <v>3180</v>
      </c>
      <c r="B2654">
        <v>4524708</v>
      </c>
      <c r="C2654" t="s">
        <v>641</v>
      </c>
      <c r="D2654" t="s">
        <v>4246</v>
      </c>
      <c r="E2654">
        <v>1</v>
      </c>
      <c r="F2654" t="s">
        <v>640</v>
      </c>
      <c r="H2654" t="s">
        <v>4241</v>
      </c>
    </row>
    <row r="2655" spans="1:8">
      <c r="A2655" t="s">
        <v>3180</v>
      </c>
      <c r="B2655">
        <v>4524709</v>
      </c>
      <c r="C2655" t="s">
        <v>641</v>
      </c>
      <c r="D2655" t="s">
        <v>4247</v>
      </c>
      <c r="E2655">
        <v>1</v>
      </c>
      <c r="F2655" t="s">
        <v>640</v>
      </c>
      <c r="H2655" t="s">
        <v>4241</v>
      </c>
    </row>
    <row r="2656" spans="1:8">
      <c r="A2656" t="s">
        <v>3180</v>
      </c>
      <c r="B2656">
        <v>4524659</v>
      </c>
      <c r="C2656" t="s">
        <v>641</v>
      </c>
      <c r="D2656" t="s">
        <v>4248</v>
      </c>
      <c r="E2656">
        <v>1</v>
      </c>
      <c r="F2656" t="s">
        <v>640</v>
      </c>
      <c r="H2656" t="s">
        <v>4241</v>
      </c>
    </row>
    <row r="2657" spans="1:8">
      <c r="A2657" t="s">
        <v>3180</v>
      </c>
      <c r="B2657">
        <v>4026239</v>
      </c>
      <c r="C2657" t="s">
        <v>641</v>
      </c>
      <c r="D2657" t="s">
        <v>4249</v>
      </c>
      <c r="E2657">
        <v>1</v>
      </c>
      <c r="F2657" t="s">
        <v>640</v>
      </c>
      <c r="H2657" t="s">
        <v>4241</v>
      </c>
    </row>
    <row r="2658" spans="1:8">
      <c r="A2658" t="s">
        <v>3180</v>
      </c>
      <c r="B2658">
        <v>4516990</v>
      </c>
      <c r="C2658" t="s">
        <v>641</v>
      </c>
      <c r="D2658" t="s">
        <v>175</v>
      </c>
      <c r="E2658">
        <v>1</v>
      </c>
      <c r="F2658" t="s">
        <v>640</v>
      </c>
      <c r="H2658" t="s">
        <v>4241</v>
      </c>
    </row>
    <row r="2659" spans="1:8">
      <c r="A2659" t="s">
        <v>3180</v>
      </c>
      <c r="B2659">
        <v>1000266</v>
      </c>
      <c r="C2659" t="s">
        <v>641</v>
      </c>
      <c r="D2659" t="s">
        <v>763</v>
      </c>
      <c r="E2659">
        <v>1</v>
      </c>
      <c r="F2659" t="s">
        <v>640</v>
      </c>
      <c r="H2659" t="s">
        <v>4241</v>
      </c>
    </row>
    <row r="2660" spans="1:8">
      <c r="A2660" t="s">
        <v>3180</v>
      </c>
      <c r="B2660">
        <v>1500889</v>
      </c>
      <c r="C2660" t="s">
        <v>641</v>
      </c>
      <c r="D2660" t="s">
        <v>473</v>
      </c>
      <c r="E2660">
        <v>1</v>
      </c>
      <c r="F2660" t="s">
        <v>640</v>
      </c>
      <c r="H2660" t="s">
        <v>4241</v>
      </c>
    </row>
    <row r="2661" spans="1:8">
      <c r="A2661" t="s">
        <v>3180</v>
      </c>
      <c r="B2661">
        <v>4503081</v>
      </c>
      <c r="C2661" t="s">
        <v>641</v>
      </c>
      <c r="D2661" t="s">
        <v>1386</v>
      </c>
      <c r="E2661">
        <v>1</v>
      </c>
      <c r="F2661" t="s">
        <v>640</v>
      </c>
      <c r="H2661" t="s">
        <v>4241</v>
      </c>
    </row>
    <row r="2662" spans="1:8">
      <c r="A2662" t="s">
        <v>3180</v>
      </c>
      <c r="B2662">
        <v>4028719</v>
      </c>
      <c r="C2662" t="s">
        <v>641</v>
      </c>
      <c r="D2662" t="s">
        <v>533</v>
      </c>
      <c r="E2662">
        <v>1</v>
      </c>
      <c r="F2662" t="s">
        <v>640</v>
      </c>
      <c r="H2662" t="s">
        <v>4241</v>
      </c>
    </row>
    <row r="2663" spans="1:8">
      <c r="A2663" t="s">
        <v>3180</v>
      </c>
      <c r="B2663">
        <v>4519341</v>
      </c>
      <c r="C2663" t="s">
        <v>641</v>
      </c>
      <c r="D2663" t="s">
        <v>717</v>
      </c>
      <c r="E2663">
        <v>1</v>
      </c>
      <c r="F2663" t="s">
        <v>640</v>
      </c>
      <c r="H2663" t="s">
        <v>4241</v>
      </c>
    </row>
    <row r="2664" spans="1:8">
      <c r="A2664" t="s">
        <v>3180</v>
      </c>
      <c r="B2664">
        <v>4522606</v>
      </c>
      <c r="C2664" t="s">
        <v>641</v>
      </c>
      <c r="D2664" t="s">
        <v>594</v>
      </c>
      <c r="E2664">
        <v>1</v>
      </c>
      <c r="F2664" t="s">
        <v>640</v>
      </c>
      <c r="H2664" t="s">
        <v>4241</v>
      </c>
    </row>
    <row r="2665" spans="1:8">
      <c r="A2665" t="s">
        <v>3180</v>
      </c>
      <c r="B2665">
        <v>1501282</v>
      </c>
      <c r="C2665" t="s">
        <v>641</v>
      </c>
      <c r="D2665" t="s">
        <v>597</v>
      </c>
      <c r="E2665">
        <v>1</v>
      </c>
      <c r="F2665" t="s">
        <v>642</v>
      </c>
      <c r="H2665" t="s">
        <v>4241</v>
      </c>
    </row>
    <row r="2666" spans="1:8">
      <c r="A2666" t="s">
        <v>3180</v>
      </c>
      <c r="B2666">
        <v>8011282</v>
      </c>
      <c r="C2666" t="s">
        <v>641</v>
      </c>
      <c r="D2666" t="s">
        <v>1983</v>
      </c>
      <c r="E2666">
        <v>2</v>
      </c>
      <c r="F2666" t="s">
        <v>709</v>
      </c>
      <c r="H2666" t="s">
        <v>4241</v>
      </c>
    </row>
    <row r="2667" spans="1:8">
      <c r="A2667" t="s">
        <v>3180</v>
      </c>
      <c r="B2667">
        <v>8011336</v>
      </c>
      <c r="C2667" t="s">
        <v>641</v>
      </c>
      <c r="D2667" t="s">
        <v>1987</v>
      </c>
      <c r="E2667">
        <v>2</v>
      </c>
      <c r="F2667" t="s">
        <v>709</v>
      </c>
      <c r="H2667" t="s">
        <v>4241</v>
      </c>
    </row>
    <row r="2668" spans="1:8">
      <c r="A2668" t="s">
        <v>3180</v>
      </c>
      <c r="B2668">
        <v>8011811</v>
      </c>
      <c r="C2668" t="s">
        <v>641</v>
      </c>
      <c r="D2668" t="s">
        <v>2029</v>
      </c>
      <c r="E2668">
        <v>2</v>
      </c>
      <c r="F2668" t="s">
        <v>709</v>
      </c>
      <c r="H2668" t="s">
        <v>4241</v>
      </c>
    </row>
    <row r="2669" spans="1:8">
      <c r="A2669" t="s">
        <v>3180</v>
      </c>
      <c r="B2669">
        <v>8011809</v>
      </c>
      <c r="C2669" t="s">
        <v>641</v>
      </c>
      <c r="D2669" t="s">
        <v>2027</v>
      </c>
      <c r="E2669">
        <v>2</v>
      </c>
      <c r="F2669" t="s">
        <v>709</v>
      </c>
      <c r="H2669" t="s">
        <v>4241</v>
      </c>
    </row>
    <row r="2670" spans="1:8">
      <c r="A2670" t="s">
        <v>3180</v>
      </c>
      <c r="B2670">
        <v>8011810</v>
      </c>
      <c r="C2670" t="s">
        <v>641</v>
      </c>
      <c r="D2670" t="s">
        <v>2028</v>
      </c>
      <c r="E2670">
        <v>2</v>
      </c>
      <c r="F2670" t="s">
        <v>709</v>
      </c>
      <c r="H2670" t="s">
        <v>4241</v>
      </c>
    </row>
    <row r="2671" spans="1:8">
      <c r="A2671" t="s">
        <v>3180</v>
      </c>
      <c r="B2671">
        <v>8011807</v>
      </c>
      <c r="C2671" t="s">
        <v>641</v>
      </c>
      <c r="D2671" t="s">
        <v>2025</v>
      </c>
      <c r="E2671">
        <v>2</v>
      </c>
      <c r="F2671" t="s">
        <v>709</v>
      </c>
      <c r="H2671" t="s">
        <v>4241</v>
      </c>
    </row>
    <row r="2672" spans="1:8">
      <c r="A2672" t="s">
        <v>3180</v>
      </c>
      <c r="B2672">
        <v>8011808</v>
      </c>
      <c r="C2672" t="s">
        <v>641</v>
      </c>
      <c r="D2672" t="s">
        <v>2026</v>
      </c>
      <c r="E2672">
        <v>2</v>
      </c>
      <c r="F2672" t="s">
        <v>709</v>
      </c>
      <c r="H2672" t="s">
        <v>4241</v>
      </c>
    </row>
    <row r="2673" spans="1:8">
      <c r="A2673" t="s">
        <v>3180</v>
      </c>
      <c r="B2673">
        <v>8703709</v>
      </c>
      <c r="C2673" t="s">
        <v>641</v>
      </c>
      <c r="D2673" t="s">
        <v>2301</v>
      </c>
      <c r="E2673">
        <v>2</v>
      </c>
      <c r="F2673" t="s">
        <v>709</v>
      </c>
      <c r="H2673" t="s">
        <v>4241</v>
      </c>
    </row>
    <row r="2674" spans="1:8">
      <c r="A2674" t="s">
        <v>3180</v>
      </c>
      <c r="B2674">
        <v>8704126</v>
      </c>
      <c r="C2674" t="s">
        <v>641</v>
      </c>
      <c r="D2674" t="s">
        <v>2324</v>
      </c>
      <c r="E2674">
        <v>2</v>
      </c>
      <c r="F2674" t="s">
        <v>709</v>
      </c>
      <c r="H2674" t="s">
        <v>4241</v>
      </c>
    </row>
    <row r="2675" spans="1:8">
      <c r="A2675" t="s">
        <v>3180</v>
      </c>
      <c r="B2675">
        <v>4042598</v>
      </c>
      <c r="C2675" t="s">
        <v>641</v>
      </c>
      <c r="D2675" t="s">
        <v>1351</v>
      </c>
      <c r="E2675">
        <v>2</v>
      </c>
      <c r="F2675" t="s">
        <v>709</v>
      </c>
      <c r="H2675" t="s">
        <v>4241</v>
      </c>
    </row>
    <row r="2676" spans="1:8">
      <c r="A2676" t="s">
        <v>3180</v>
      </c>
      <c r="B2676">
        <v>4040828</v>
      </c>
      <c r="C2676" t="s">
        <v>641</v>
      </c>
      <c r="D2676" t="s">
        <v>1348</v>
      </c>
      <c r="E2676">
        <v>2</v>
      </c>
      <c r="F2676" t="s">
        <v>709</v>
      </c>
      <c r="H2676" t="s">
        <v>4241</v>
      </c>
    </row>
    <row r="2677" spans="1:8">
      <c r="A2677" t="s">
        <v>3180</v>
      </c>
      <c r="B2677">
        <v>8011636</v>
      </c>
      <c r="C2677" t="s">
        <v>641</v>
      </c>
      <c r="D2677" t="s">
        <v>2010</v>
      </c>
      <c r="E2677">
        <v>2</v>
      </c>
      <c r="F2677" t="s">
        <v>709</v>
      </c>
      <c r="H2677" t="s">
        <v>4241</v>
      </c>
    </row>
    <row r="2678" spans="1:8">
      <c r="A2678" t="s">
        <v>3180</v>
      </c>
      <c r="B2678">
        <v>8011064</v>
      </c>
      <c r="C2678" t="s">
        <v>641</v>
      </c>
      <c r="D2678" t="s">
        <v>1978</v>
      </c>
      <c r="E2678">
        <v>2</v>
      </c>
      <c r="F2678" t="s">
        <v>709</v>
      </c>
      <c r="H2678" t="s">
        <v>4241</v>
      </c>
    </row>
    <row r="2679" spans="1:8">
      <c r="A2679" t="s">
        <v>3180</v>
      </c>
      <c r="B2679">
        <v>4039888</v>
      </c>
      <c r="C2679" t="s">
        <v>641</v>
      </c>
      <c r="D2679" t="s">
        <v>1347</v>
      </c>
      <c r="E2679">
        <v>2</v>
      </c>
      <c r="F2679" t="s">
        <v>709</v>
      </c>
      <c r="H2679" t="s">
        <v>4241</v>
      </c>
    </row>
    <row r="2680" spans="1:8">
      <c r="A2680" t="s">
        <v>3180</v>
      </c>
      <c r="B2680">
        <v>8011734</v>
      </c>
      <c r="C2680" t="s">
        <v>641</v>
      </c>
      <c r="D2680" t="s">
        <v>2016</v>
      </c>
      <c r="E2680">
        <v>2</v>
      </c>
      <c r="F2680" t="s">
        <v>696</v>
      </c>
      <c r="H2680" t="s">
        <v>4241</v>
      </c>
    </row>
    <row r="2681" spans="1:8">
      <c r="A2681" t="s">
        <v>3180</v>
      </c>
      <c r="B2681">
        <v>8011736</v>
      </c>
      <c r="C2681" t="s">
        <v>641</v>
      </c>
      <c r="D2681" t="s">
        <v>2018</v>
      </c>
      <c r="E2681">
        <v>2</v>
      </c>
      <c r="F2681" t="s">
        <v>696</v>
      </c>
      <c r="H2681" t="s">
        <v>4241</v>
      </c>
    </row>
    <row r="2682" spans="1:8">
      <c r="A2682" t="s">
        <v>3180</v>
      </c>
      <c r="B2682">
        <v>8011738</v>
      </c>
      <c r="C2682" t="s">
        <v>641</v>
      </c>
      <c r="D2682" t="s">
        <v>2020</v>
      </c>
      <c r="E2682">
        <v>2</v>
      </c>
      <c r="F2682" t="s">
        <v>696</v>
      </c>
      <c r="H2682" t="s">
        <v>4241</v>
      </c>
    </row>
    <row r="2683" spans="1:8">
      <c r="A2683" t="s">
        <v>3180</v>
      </c>
      <c r="B2683">
        <v>8011733</v>
      </c>
      <c r="C2683" t="s">
        <v>641</v>
      </c>
      <c r="D2683" t="s">
        <v>2015</v>
      </c>
      <c r="E2683">
        <v>2</v>
      </c>
      <c r="F2683" t="s">
        <v>696</v>
      </c>
      <c r="H2683" t="s">
        <v>4241</v>
      </c>
    </row>
    <row r="2684" spans="1:8">
      <c r="A2684" t="s">
        <v>3180</v>
      </c>
      <c r="B2684">
        <v>8011735</v>
      </c>
      <c r="C2684" t="s">
        <v>641</v>
      </c>
      <c r="D2684" t="s">
        <v>2017</v>
      </c>
      <c r="E2684">
        <v>2</v>
      </c>
      <c r="F2684" t="s">
        <v>696</v>
      </c>
      <c r="H2684" t="s">
        <v>4241</v>
      </c>
    </row>
    <row r="2685" spans="1:8">
      <c r="A2685" t="s">
        <v>3180</v>
      </c>
      <c r="B2685">
        <v>8011737</v>
      </c>
      <c r="C2685" t="s">
        <v>641</v>
      </c>
      <c r="D2685" t="s">
        <v>2019</v>
      </c>
      <c r="E2685">
        <v>2</v>
      </c>
      <c r="F2685" t="s">
        <v>696</v>
      </c>
      <c r="H2685" t="s">
        <v>4241</v>
      </c>
    </row>
    <row r="2686" spans="1:8">
      <c r="A2686" t="s">
        <v>3180</v>
      </c>
      <c r="B2686">
        <v>8011732</v>
      </c>
      <c r="C2686" t="s">
        <v>641</v>
      </c>
      <c r="D2686" t="s">
        <v>2014</v>
      </c>
      <c r="E2686">
        <v>2</v>
      </c>
      <c r="F2686" t="s">
        <v>696</v>
      </c>
      <c r="H2686" t="s">
        <v>4241</v>
      </c>
    </row>
    <row r="2687" spans="1:8">
      <c r="A2687" t="s">
        <v>3180</v>
      </c>
      <c r="B2687">
        <v>8011731</v>
      </c>
      <c r="C2687" t="s">
        <v>641</v>
      </c>
      <c r="D2687" t="s">
        <v>2013</v>
      </c>
      <c r="E2687">
        <v>2</v>
      </c>
      <c r="F2687" t="s">
        <v>696</v>
      </c>
      <c r="H2687" t="s">
        <v>4241</v>
      </c>
    </row>
    <row r="2688" spans="1:8">
      <c r="A2688" t="s">
        <v>3180</v>
      </c>
      <c r="B2688">
        <v>8703945</v>
      </c>
      <c r="C2688" t="s">
        <v>641</v>
      </c>
      <c r="D2688" t="s">
        <v>2312</v>
      </c>
      <c r="E2688">
        <v>2</v>
      </c>
      <c r="F2688" t="s">
        <v>671</v>
      </c>
      <c r="H2688" t="s">
        <v>4241</v>
      </c>
    </row>
    <row r="2689" spans="1:8">
      <c r="A2689" t="s">
        <v>3180</v>
      </c>
      <c r="B2689">
        <v>8011746</v>
      </c>
      <c r="C2689" t="s">
        <v>641</v>
      </c>
      <c r="D2689" t="s">
        <v>2023</v>
      </c>
      <c r="E2689">
        <v>2</v>
      </c>
      <c r="F2689" t="s">
        <v>671</v>
      </c>
      <c r="H2689" t="s">
        <v>4241</v>
      </c>
    </row>
    <row r="2690" spans="1:8">
      <c r="A2690" t="s">
        <v>3180</v>
      </c>
      <c r="B2690">
        <v>8011743</v>
      </c>
      <c r="C2690" t="s">
        <v>641</v>
      </c>
      <c r="D2690" t="s">
        <v>2022</v>
      </c>
      <c r="E2690">
        <v>2</v>
      </c>
      <c r="F2690" t="s">
        <v>671</v>
      </c>
      <c r="H2690" t="s">
        <v>4241</v>
      </c>
    </row>
    <row r="2691" spans="1:8">
      <c r="A2691" t="s">
        <v>3180</v>
      </c>
      <c r="B2691">
        <v>4704097</v>
      </c>
      <c r="C2691" t="s">
        <v>641</v>
      </c>
      <c r="D2691" t="s">
        <v>1778</v>
      </c>
      <c r="E2691">
        <v>2</v>
      </c>
      <c r="F2691" t="s">
        <v>671</v>
      </c>
      <c r="H2691" t="s">
        <v>4241</v>
      </c>
    </row>
    <row r="2692" spans="1:8">
      <c r="A2692" t="s">
        <v>3180</v>
      </c>
      <c r="B2692">
        <v>4519875</v>
      </c>
      <c r="C2692" t="s">
        <v>641</v>
      </c>
      <c r="D2692" t="s">
        <v>4250</v>
      </c>
      <c r="E2692">
        <v>2</v>
      </c>
      <c r="F2692" t="s">
        <v>671</v>
      </c>
      <c r="H2692" t="s">
        <v>4241</v>
      </c>
    </row>
    <row r="2693" spans="1:8">
      <c r="A2693" t="s">
        <v>3180</v>
      </c>
      <c r="B2693">
        <v>8703997</v>
      </c>
      <c r="C2693" t="s">
        <v>641</v>
      </c>
      <c r="D2693" t="s">
        <v>2314</v>
      </c>
      <c r="E2693">
        <v>2</v>
      </c>
      <c r="F2693" t="s">
        <v>671</v>
      </c>
      <c r="H2693" t="s">
        <v>4241</v>
      </c>
    </row>
    <row r="2694" spans="1:8">
      <c r="A2694" t="s">
        <v>3180</v>
      </c>
      <c r="B2694">
        <v>8703998</v>
      </c>
      <c r="C2694" t="s">
        <v>641</v>
      </c>
      <c r="D2694" t="s">
        <v>2315</v>
      </c>
      <c r="E2694">
        <v>2</v>
      </c>
      <c r="F2694" t="s">
        <v>671</v>
      </c>
      <c r="H2694" t="s">
        <v>4241</v>
      </c>
    </row>
    <row r="2695" spans="1:8">
      <c r="A2695" t="s">
        <v>3180</v>
      </c>
      <c r="B2695">
        <v>8001299</v>
      </c>
      <c r="C2695" t="s">
        <v>641</v>
      </c>
      <c r="D2695" t="s">
        <v>1832</v>
      </c>
      <c r="E2695">
        <v>2</v>
      </c>
      <c r="F2695" t="s">
        <v>671</v>
      </c>
      <c r="H2695" t="s">
        <v>4241</v>
      </c>
    </row>
    <row r="2696" spans="1:8">
      <c r="A2696" t="s">
        <v>3180</v>
      </c>
      <c r="B2696">
        <v>8011583</v>
      </c>
      <c r="C2696" t="s">
        <v>641</v>
      </c>
      <c r="D2696" t="s">
        <v>2000</v>
      </c>
      <c r="E2696">
        <v>2</v>
      </c>
      <c r="F2696" t="s">
        <v>671</v>
      </c>
      <c r="H2696" t="s">
        <v>4241</v>
      </c>
    </row>
    <row r="2697" spans="1:8">
      <c r="A2697" t="s">
        <v>3180</v>
      </c>
      <c r="B2697">
        <v>8011582</v>
      </c>
      <c r="C2697" t="s">
        <v>641</v>
      </c>
      <c r="D2697" t="s">
        <v>1999</v>
      </c>
      <c r="E2697">
        <v>2</v>
      </c>
      <c r="F2697" t="s">
        <v>671</v>
      </c>
      <c r="H2697" t="s">
        <v>4241</v>
      </c>
    </row>
    <row r="2698" spans="1:8">
      <c r="A2698" t="s">
        <v>3180</v>
      </c>
      <c r="B2698">
        <v>8703884</v>
      </c>
      <c r="C2698" t="s">
        <v>641</v>
      </c>
      <c r="D2698" t="s">
        <v>2309</v>
      </c>
      <c r="E2698">
        <v>2</v>
      </c>
      <c r="F2698" t="s">
        <v>671</v>
      </c>
      <c r="H2698" t="s">
        <v>4241</v>
      </c>
    </row>
    <row r="2699" spans="1:8">
      <c r="A2699" t="s">
        <v>3180</v>
      </c>
      <c r="B2699">
        <v>4035184</v>
      </c>
      <c r="C2699" t="s">
        <v>641</v>
      </c>
      <c r="D2699" t="s">
        <v>1340</v>
      </c>
      <c r="E2699">
        <v>2</v>
      </c>
      <c r="F2699" t="s">
        <v>671</v>
      </c>
      <c r="H2699" t="s">
        <v>4241</v>
      </c>
    </row>
    <row r="2700" spans="1:8">
      <c r="A2700" t="s">
        <v>3180</v>
      </c>
      <c r="B2700">
        <v>4524393</v>
      </c>
      <c r="C2700" t="s">
        <v>641</v>
      </c>
      <c r="D2700" t="s">
        <v>1695</v>
      </c>
      <c r="E2700">
        <v>2</v>
      </c>
      <c r="F2700" t="s">
        <v>671</v>
      </c>
      <c r="H2700" t="s">
        <v>4241</v>
      </c>
    </row>
    <row r="2701" spans="1:8">
      <c r="A2701" t="s">
        <v>3180</v>
      </c>
      <c r="B2701">
        <v>8011368</v>
      </c>
      <c r="C2701" t="s">
        <v>641</v>
      </c>
      <c r="D2701" t="s">
        <v>1992</v>
      </c>
      <c r="E2701">
        <v>2</v>
      </c>
      <c r="F2701" t="s">
        <v>671</v>
      </c>
      <c r="H2701" t="s">
        <v>4241</v>
      </c>
    </row>
    <row r="2702" spans="1:8">
      <c r="A2702" t="s">
        <v>3180</v>
      </c>
      <c r="B2702">
        <v>4021526</v>
      </c>
      <c r="C2702" t="s">
        <v>641</v>
      </c>
      <c r="D2702" t="s">
        <v>463</v>
      </c>
      <c r="E2702">
        <v>2</v>
      </c>
      <c r="F2702" t="s">
        <v>671</v>
      </c>
      <c r="H2702" t="s">
        <v>4241</v>
      </c>
    </row>
    <row r="2703" spans="1:8">
      <c r="A2703" t="s">
        <v>3180</v>
      </c>
      <c r="B2703">
        <v>4515864</v>
      </c>
      <c r="C2703" t="s">
        <v>641</v>
      </c>
      <c r="D2703" t="s">
        <v>1576</v>
      </c>
      <c r="E2703">
        <v>2</v>
      </c>
      <c r="F2703" t="s">
        <v>654</v>
      </c>
      <c r="H2703" t="s">
        <v>4241</v>
      </c>
    </row>
    <row r="2704" spans="1:8">
      <c r="A2704" t="s">
        <v>3180</v>
      </c>
      <c r="B2704">
        <v>1000035</v>
      </c>
      <c r="D2704" t="s">
        <v>4251</v>
      </c>
      <c r="E2704">
        <v>1</v>
      </c>
      <c r="F2704" t="s">
        <v>644</v>
      </c>
      <c r="H2704" t="s">
        <v>4252</v>
      </c>
    </row>
    <row r="2705" spans="1:8">
      <c r="A2705" t="s">
        <v>3180</v>
      </c>
      <c r="B2705">
        <v>4514134</v>
      </c>
      <c r="D2705" t="s">
        <v>1557</v>
      </c>
      <c r="E2705">
        <v>1</v>
      </c>
      <c r="F2705" t="s">
        <v>644</v>
      </c>
      <c r="H2705" t="s">
        <v>4252</v>
      </c>
    </row>
    <row r="2706" spans="1:8">
      <c r="A2706" t="s">
        <v>3180</v>
      </c>
      <c r="B2706">
        <v>4520557</v>
      </c>
      <c r="D2706" t="s">
        <v>1653</v>
      </c>
      <c r="E2706">
        <v>1</v>
      </c>
      <c r="F2706" t="s">
        <v>644</v>
      </c>
      <c r="H2706" t="s">
        <v>4252</v>
      </c>
    </row>
    <row r="2707" spans="1:8">
      <c r="A2707" t="s">
        <v>3180</v>
      </c>
      <c r="B2707">
        <v>4502187</v>
      </c>
      <c r="D2707" t="s">
        <v>607</v>
      </c>
      <c r="E2707">
        <v>1</v>
      </c>
      <c r="F2707" t="s">
        <v>642</v>
      </c>
      <c r="H2707" t="s">
        <v>4252</v>
      </c>
    </row>
    <row r="2708" spans="1:8">
      <c r="A2708" t="s">
        <v>3180</v>
      </c>
      <c r="B2708">
        <v>4018965</v>
      </c>
      <c r="D2708" t="s">
        <v>613</v>
      </c>
      <c r="E2708">
        <v>1</v>
      </c>
      <c r="F2708" t="s">
        <v>642</v>
      </c>
      <c r="H2708" t="s">
        <v>4252</v>
      </c>
    </row>
    <row r="2709" spans="1:8">
      <c r="A2709" t="s">
        <v>3180</v>
      </c>
      <c r="B2709">
        <v>4525419</v>
      </c>
      <c r="D2709" t="s">
        <v>580</v>
      </c>
      <c r="E2709">
        <v>1</v>
      </c>
      <c r="F2709" t="s">
        <v>642</v>
      </c>
      <c r="H2709" t="s">
        <v>4252</v>
      </c>
    </row>
    <row r="2710" spans="1:8">
      <c r="A2710" t="s">
        <v>3180</v>
      </c>
      <c r="B2710">
        <v>1501281</v>
      </c>
      <c r="D2710" t="s">
        <v>997</v>
      </c>
      <c r="E2710">
        <v>1</v>
      </c>
      <c r="F2710" t="s">
        <v>642</v>
      </c>
      <c r="H2710" t="s">
        <v>4252</v>
      </c>
    </row>
    <row r="2711" spans="1:8">
      <c r="A2711" t="s">
        <v>3180</v>
      </c>
      <c r="B2711">
        <v>4508988</v>
      </c>
      <c r="D2711" t="s">
        <v>1460</v>
      </c>
      <c r="E2711">
        <v>1</v>
      </c>
      <c r="F2711" t="s">
        <v>642</v>
      </c>
      <c r="H2711" t="s">
        <v>4252</v>
      </c>
    </row>
    <row r="2712" spans="1:8">
      <c r="A2712" t="s">
        <v>3180</v>
      </c>
      <c r="B2712">
        <v>4522915</v>
      </c>
      <c r="D2712" t="s">
        <v>1685</v>
      </c>
      <c r="E2712">
        <v>1</v>
      </c>
      <c r="F2712" t="s">
        <v>642</v>
      </c>
      <c r="H2712" t="s">
        <v>4252</v>
      </c>
    </row>
    <row r="2713" spans="1:8">
      <c r="A2713" t="s">
        <v>3180</v>
      </c>
      <c r="B2713">
        <v>4525278</v>
      </c>
      <c r="D2713" t="s">
        <v>1708</v>
      </c>
      <c r="E2713">
        <v>1</v>
      </c>
      <c r="F2713" t="s">
        <v>646</v>
      </c>
      <c r="H2713" t="s">
        <v>4252</v>
      </c>
    </row>
    <row r="2714" spans="1:8">
      <c r="A2714" t="s">
        <v>3180</v>
      </c>
      <c r="B2714">
        <v>4524933</v>
      </c>
      <c r="D2714" t="s">
        <v>598</v>
      </c>
      <c r="E2714">
        <v>1</v>
      </c>
      <c r="F2714" t="s">
        <v>646</v>
      </c>
      <c r="H2714" t="s">
        <v>4252</v>
      </c>
    </row>
    <row r="2715" spans="1:8">
      <c r="A2715" t="s">
        <v>3180</v>
      </c>
      <c r="B2715">
        <v>4503486</v>
      </c>
      <c r="D2715" t="s">
        <v>551</v>
      </c>
      <c r="E2715">
        <v>1</v>
      </c>
      <c r="F2715" t="s">
        <v>646</v>
      </c>
      <c r="H2715" t="s">
        <v>4252</v>
      </c>
    </row>
    <row r="2716" spans="1:8">
      <c r="A2716" t="s">
        <v>3180</v>
      </c>
      <c r="B2716">
        <v>4525058</v>
      </c>
      <c r="D2716" t="s">
        <v>1702</v>
      </c>
      <c r="E2716">
        <v>1</v>
      </c>
      <c r="F2716" t="s">
        <v>646</v>
      </c>
      <c r="H2716" t="s">
        <v>4252</v>
      </c>
    </row>
    <row r="2717" spans="1:8">
      <c r="A2717" t="s">
        <v>3180</v>
      </c>
      <c r="B2717">
        <v>4525250</v>
      </c>
      <c r="D2717" t="s">
        <v>120</v>
      </c>
      <c r="E2717">
        <v>1</v>
      </c>
      <c r="F2717" t="s">
        <v>646</v>
      </c>
      <c r="H2717" t="s">
        <v>4252</v>
      </c>
    </row>
    <row r="2718" spans="1:8">
      <c r="A2718" t="s">
        <v>3180</v>
      </c>
      <c r="B2718">
        <v>4525187</v>
      </c>
      <c r="D2718" t="s">
        <v>484</v>
      </c>
      <c r="E2718">
        <v>1</v>
      </c>
      <c r="F2718" t="s">
        <v>646</v>
      </c>
      <c r="H2718" t="s">
        <v>4252</v>
      </c>
    </row>
    <row r="2719" spans="1:8">
      <c r="A2719" t="s">
        <v>3180</v>
      </c>
      <c r="B2719">
        <v>1500904</v>
      </c>
      <c r="D2719" t="s">
        <v>545</v>
      </c>
      <c r="E2719">
        <v>1</v>
      </c>
      <c r="F2719" t="s">
        <v>646</v>
      </c>
      <c r="H2719" t="s">
        <v>4252</v>
      </c>
    </row>
    <row r="2720" spans="1:8">
      <c r="A2720" t="s">
        <v>3180</v>
      </c>
      <c r="B2720">
        <v>4715950</v>
      </c>
      <c r="D2720" t="s">
        <v>1785</v>
      </c>
      <c r="E2720">
        <v>1</v>
      </c>
      <c r="F2720" t="s">
        <v>656</v>
      </c>
      <c r="H2720" t="s">
        <v>4252</v>
      </c>
    </row>
    <row r="2721" spans="1:8">
      <c r="A2721" t="s">
        <v>3180</v>
      </c>
      <c r="B2721">
        <v>4501869</v>
      </c>
      <c r="D2721" t="s">
        <v>1376</v>
      </c>
      <c r="E2721">
        <v>1</v>
      </c>
      <c r="F2721" t="s">
        <v>656</v>
      </c>
      <c r="H2721" t="s">
        <v>4252</v>
      </c>
    </row>
    <row r="2722" spans="1:8">
      <c r="A2722" t="s">
        <v>3180</v>
      </c>
      <c r="B2722">
        <v>4525418</v>
      </c>
      <c r="D2722" t="s">
        <v>4253</v>
      </c>
      <c r="E2722">
        <v>1</v>
      </c>
      <c r="F2722" t="s">
        <v>649</v>
      </c>
      <c r="H2722" t="s">
        <v>4252</v>
      </c>
    </row>
    <row r="2723" spans="1:8">
      <c r="A2723" t="s">
        <v>3180</v>
      </c>
      <c r="B2723">
        <v>4525251</v>
      </c>
      <c r="D2723" t="s">
        <v>1707</v>
      </c>
      <c r="E2723">
        <v>1</v>
      </c>
      <c r="F2723" t="s">
        <v>649</v>
      </c>
      <c r="H2723" t="s">
        <v>4252</v>
      </c>
    </row>
    <row r="2724" spans="1:8">
      <c r="A2724" t="s">
        <v>3180</v>
      </c>
      <c r="B2724">
        <v>4522605</v>
      </c>
      <c r="D2724" t="s">
        <v>4254</v>
      </c>
      <c r="E2724">
        <v>1</v>
      </c>
      <c r="F2724" t="s">
        <v>649</v>
      </c>
      <c r="H2724" t="s">
        <v>4252</v>
      </c>
    </row>
    <row r="2725" spans="1:8">
      <c r="A2725" t="s">
        <v>3180</v>
      </c>
      <c r="B2725">
        <v>4513318</v>
      </c>
      <c r="D2725" t="s">
        <v>4255</v>
      </c>
      <c r="E2725">
        <v>1</v>
      </c>
      <c r="F2725" t="s">
        <v>649</v>
      </c>
      <c r="H2725" t="s">
        <v>4252</v>
      </c>
    </row>
    <row r="2726" spans="1:8">
      <c r="A2726" t="s">
        <v>3180</v>
      </c>
      <c r="B2726">
        <v>8012177</v>
      </c>
      <c r="D2726" t="s">
        <v>2039</v>
      </c>
      <c r="E2726">
        <v>1</v>
      </c>
      <c r="F2726" t="s">
        <v>649</v>
      </c>
      <c r="H2726" t="s">
        <v>4252</v>
      </c>
    </row>
    <row r="2727" spans="1:8">
      <c r="A2727" t="s">
        <v>3180</v>
      </c>
      <c r="B2727">
        <v>4513998</v>
      </c>
      <c r="D2727" t="s">
        <v>1556</v>
      </c>
      <c r="E2727">
        <v>1</v>
      </c>
      <c r="F2727" t="s">
        <v>649</v>
      </c>
      <c r="H2727" t="s">
        <v>4252</v>
      </c>
    </row>
    <row r="2728" spans="1:8">
      <c r="A2728" t="s">
        <v>3180</v>
      </c>
      <c r="B2728">
        <v>4525315</v>
      </c>
      <c r="D2728" t="s">
        <v>4256</v>
      </c>
      <c r="E2728">
        <v>1</v>
      </c>
      <c r="F2728" t="s">
        <v>640</v>
      </c>
      <c r="H2728" t="s">
        <v>4252</v>
      </c>
    </row>
    <row r="2729" spans="1:8">
      <c r="A2729" t="s">
        <v>3180</v>
      </c>
      <c r="B2729">
        <v>4524884</v>
      </c>
      <c r="D2729" t="s">
        <v>4257</v>
      </c>
      <c r="E2729">
        <v>1</v>
      </c>
      <c r="F2729" t="s">
        <v>640</v>
      </c>
      <c r="H2729" t="s">
        <v>4252</v>
      </c>
    </row>
    <row r="2730" spans="1:8">
      <c r="A2730" t="s">
        <v>3180</v>
      </c>
      <c r="B2730">
        <v>4525015</v>
      </c>
      <c r="D2730" t="s">
        <v>1701</v>
      </c>
      <c r="E2730">
        <v>1</v>
      </c>
      <c r="F2730" t="s">
        <v>640</v>
      </c>
      <c r="H2730" t="s">
        <v>4252</v>
      </c>
    </row>
    <row r="2731" spans="1:8">
      <c r="A2731" t="s">
        <v>3180</v>
      </c>
      <c r="B2731">
        <v>1501285</v>
      </c>
      <c r="D2731" t="s">
        <v>321</v>
      </c>
      <c r="E2731">
        <v>1</v>
      </c>
      <c r="F2731" t="s">
        <v>640</v>
      </c>
      <c r="H2731" t="s">
        <v>4252</v>
      </c>
    </row>
    <row r="2732" spans="1:8">
      <c r="A2732" t="s">
        <v>3180</v>
      </c>
      <c r="B2732">
        <v>1500851</v>
      </c>
      <c r="D2732" t="s">
        <v>364</v>
      </c>
      <c r="E2732">
        <v>1</v>
      </c>
      <c r="F2732" t="s">
        <v>640</v>
      </c>
      <c r="H2732" t="s">
        <v>4252</v>
      </c>
    </row>
    <row r="2733" spans="1:8">
      <c r="A2733" t="s">
        <v>3180</v>
      </c>
      <c r="B2733">
        <v>4525186</v>
      </c>
      <c r="D2733" t="s">
        <v>1705</v>
      </c>
      <c r="E2733">
        <v>1</v>
      </c>
      <c r="F2733" t="s">
        <v>640</v>
      </c>
      <c r="H2733" t="s">
        <v>4252</v>
      </c>
    </row>
    <row r="2734" spans="1:8">
      <c r="A2734" t="s">
        <v>3180</v>
      </c>
      <c r="B2734">
        <v>4001969</v>
      </c>
      <c r="D2734" t="s">
        <v>469</v>
      </c>
      <c r="E2734">
        <v>1</v>
      </c>
      <c r="F2734" t="s">
        <v>640</v>
      </c>
      <c r="H2734" t="s">
        <v>4252</v>
      </c>
    </row>
    <row r="2735" spans="1:8">
      <c r="A2735" t="s">
        <v>3180</v>
      </c>
      <c r="B2735">
        <v>4503644</v>
      </c>
      <c r="D2735" t="s">
        <v>1390</v>
      </c>
      <c r="E2735">
        <v>1</v>
      </c>
      <c r="F2735" t="s">
        <v>640</v>
      </c>
      <c r="H2735" t="s">
        <v>4252</v>
      </c>
    </row>
    <row r="2736" spans="1:8">
      <c r="A2736" t="s">
        <v>3180</v>
      </c>
      <c r="B2736">
        <v>4518452</v>
      </c>
      <c r="D2736" t="s">
        <v>1635</v>
      </c>
      <c r="E2736">
        <v>1</v>
      </c>
      <c r="F2736" t="s">
        <v>640</v>
      </c>
      <c r="H2736" t="s">
        <v>4252</v>
      </c>
    </row>
    <row r="2737" spans="1:8">
      <c r="A2737" t="s">
        <v>3180</v>
      </c>
      <c r="B2737">
        <v>4525188</v>
      </c>
      <c r="D2737" t="s">
        <v>1706</v>
      </c>
      <c r="E2737">
        <v>1</v>
      </c>
      <c r="F2737" t="s">
        <v>640</v>
      </c>
      <c r="H2737" t="s">
        <v>4252</v>
      </c>
    </row>
    <row r="2738" spans="1:8">
      <c r="A2738" t="s">
        <v>3180</v>
      </c>
      <c r="B2738">
        <v>4525417</v>
      </c>
      <c r="D2738" t="s">
        <v>1710</v>
      </c>
      <c r="E2738">
        <v>1</v>
      </c>
      <c r="F2738" t="s">
        <v>640</v>
      </c>
      <c r="H2738" t="s">
        <v>4252</v>
      </c>
    </row>
    <row r="2739" spans="1:8">
      <c r="A2739" t="s">
        <v>3180</v>
      </c>
      <c r="B2739">
        <v>1501058</v>
      </c>
      <c r="D2739" t="s">
        <v>541</v>
      </c>
      <c r="E2739">
        <v>1</v>
      </c>
      <c r="F2739" t="s">
        <v>640</v>
      </c>
      <c r="H2739" t="s">
        <v>4252</v>
      </c>
    </row>
    <row r="2740" spans="1:8">
      <c r="A2740" t="s">
        <v>3180</v>
      </c>
      <c r="B2740">
        <v>8012008</v>
      </c>
      <c r="D2740" t="s">
        <v>2037</v>
      </c>
      <c r="E2740">
        <v>2</v>
      </c>
      <c r="F2740" t="s">
        <v>709</v>
      </c>
      <c r="H2740" t="s">
        <v>4252</v>
      </c>
    </row>
    <row r="2741" spans="1:8">
      <c r="A2741" t="s">
        <v>3180</v>
      </c>
      <c r="B2741">
        <v>4027517</v>
      </c>
      <c r="D2741" t="s">
        <v>1323</v>
      </c>
      <c r="E2741">
        <v>2</v>
      </c>
      <c r="F2741" t="s">
        <v>709</v>
      </c>
      <c r="H2741" t="s">
        <v>4252</v>
      </c>
    </row>
    <row r="2742" spans="1:8">
      <c r="A2742" t="s">
        <v>3180</v>
      </c>
      <c r="B2742">
        <v>8703833</v>
      </c>
      <c r="D2742" t="s">
        <v>2308</v>
      </c>
      <c r="E2742">
        <v>2</v>
      </c>
      <c r="F2742" t="s">
        <v>709</v>
      </c>
      <c r="H2742" t="s">
        <v>4252</v>
      </c>
    </row>
    <row r="2743" spans="1:8">
      <c r="A2743" t="s">
        <v>3180</v>
      </c>
      <c r="B2743">
        <v>8011273</v>
      </c>
      <c r="D2743" t="s">
        <v>1982</v>
      </c>
      <c r="E2743">
        <v>2</v>
      </c>
      <c r="F2743" t="s">
        <v>709</v>
      </c>
      <c r="H2743" t="s">
        <v>4252</v>
      </c>
    </row>
    <row r="2744" spans="1:8">
      <c r="A2744" t="s">
        <v>3180</v>
      </c>
      <c r="B2744">
        <v>8005864</v>
      </c>
      <c r="D2744" t="s">
        <v>241</v>
      </c>
      <c r="E2744">
        <v>2</v>
      </c>
      <c r="F2744" t="s">
        <v>671</v>
      </c>
      <c r="H2744" t="s">
        <v>4252</v>
      </c>
    </row>
    <row r="2745" spans="1:8">
      <c r="A2745" t="s">
        <v>3180</v>
      </c>
      <c r="B2745">
        <v>8704084</v>
      </c>
      <c r="D2745" t="s">
        <v>2321</v>
      </c>
      <c r="E2745">
        <v>2</v>
      </c>
      <c r="F2745" t="s">
        <v>671</v>
      </c>
      <c r="H2745" t="s">
        <v>4252</v>
      </c>
    </row>
    <row r="2746" spans="1:8">
      <c r="A2746" t="s">
        <v>3180</v>
      </c>
      <c r="B2746">
        <v>8003070</v>
      </c>
      <c r="D2746" t="s">
        <v>1845</v>
      </c>
      <c r="E2746">
        <v>2</v>
      </c>
      <c r="F2746" t="s">
        <v>671</v>
      </c>
      <c r="H2746" t="s">
        <v>4252</v>
      </c>
    </row>
    <row r="2747" spans="1:8">
      <c r="A2747" t="s">
        <v>3180</v>
      </c>
      <c r="B2747">
        <v>8012013</v>
      </c>
      <c r="D2747" t="s">
        <v>2038</v>
      </c>
      <c r="E2747">
        <v>2</v>
      </c>
      <c r="F2747" t="s">
        <v>671</v>
      </c>
      <c r="H2747" t="s">
        <v>4252</v>
      </c>
    </row>
    <row r="2748" spans="1:8">
      <c r="A2748" t="s">
        <v>3180</v>
      </c>
      <c r="B2748">
        <v>8702396</v>
      </c>
      <c r="D2748" t="s">
        <v>2254</v>
      </c>
      <c r="E2748">
        <v>2</v>
      </c>
      <c r="F2748" t="s">
        <v>671</v>
      </c>
      <c r="H2748" t="s">
        <v>4252</v>
      </c>
    </row>
    <row r="2749" spans="1:8">
      <c r="A2749" t="s">
        <v>3180</v>
      </c>
      <c r="B2749">
        <v>4006187</v>
      </c>
      <c r="D2749" t="s">
        <v>259</v>
      </c>
      <c r="E2749">
        <v>2</v>
      </c>
      <c r="F2749" t="s">
        <v>671</v>
      </c>
      <c r="H2749" t="s">
        <v>4252</v>
      </c>
    </row>
    <row r="2750" spans="1:8">
      <c r="A2750" t="s">
        <v>3180</v>
      </c>
      <c r="B2750">
        <v>4524484</v>
      </c>
      <c r="D2750" t="s">
        <v>216</v>
      </c>
      <c r="E2750">
        <v>2</v>
      </c>
      <c r="F2750" t="s">
        <v>671</v>
      </c>
      <c r="H2750" t="s">
        <v>4252</v>
      </c>
    </row>
    <row r="2751" spans="1:8">
      <c r="A2751" t="s">
        <v>3180</v>
      </c>
      <c r="B2751">
        <v>4506565</v>
      </c>
      <c r="D2751" t="s">
        <v>4258</v>
      </c>
      <c r="E2751">
        <v>2</v>
      </c>
      <c r="F2751" t="s">
        <v>671</v>
      </c>
      <c r="H2751" t="s">
        <v>4252</v>
      </c>
    </row>
    <row r="2752" spans="1:8">
      <c r="A2752" t="s">
        <v>3180</v>
      </c>
      <c r="B2752">
        <v>4506564</v>
      </c>
      <c r="D2752" t="s">
        <v>4259</v>
      </c>
      <c r="E2752">
        <v>2</v>
      </c>
      <c r="F2752" t="s">
        <v>671</v>
      </c>
      <c r="H2752" t="s">
        <v>4252</v>
      </c>
    </row>
    <row r="2753" spans="1:8">
      <c r="A2753" t="s">
        <v>3180</v>
      </c>
      <c r="B2753">
        <v>1501715</v>
      </c>
      <c r="D2753" t="s">
        <v>1040</v>
      </c>
      <c r="E2753">
        <v>2</v>
      </c>
      <c r="F2753" t="s">
        <v>654</v>
      </c>
      <c r="H2753" t="s">
        <v>4252</v>
      </c>
    </row>
    <row r="2754" spans="1:8">
      <c r="A2754" t="s">
        <v>3180</v>
      </c>
      <c r="B2754">
        <v>1500767</v>
      </c>
      <c r="D2754" t="s">
        <v>819</v>
      </c>
      <c r="E2754">
        <v>2</v>
      </c>
      <c r="F2754" t="s">
        <v>654</v>
      </c>
      <c r="H2754" t="s">
        <v>4252</v>
      </c>
    </row>
    <row r="2755" spans="1:9">
      <c r="A2755" t="s">
        <v>3180</v>
      </c>
      <c r="B2755">
        <v>4505756</v>
      </c>
      <c r="D2755" t="s">
        <v>390</v>
      </c>
      <c r="E2755" s="13">
        <v>1</v>
      </c>
      <c r="F2755" s="13" t="s">
        <v>649</v>
      </c>
      <c r="H2755" t="s">
        <v>4252</v>
      </c>
      <c r="I2755" t="s">
        <v>3196</v>
      </c>
    </row>
    <row r="2756" spans="1:8">
      <c r="A2756" t="s">
        <v>3180</v>
      </c>
      <c r="B2756">
        <v>1501027</v>
      </c>
      <c r="D2756" t="s">
        <v>574</v>
      </c>
      <c r="E2756">
        <v>2</v>
      </c>
      <c r="F2756" t="s">
        <v>654</v>
      </c>
      <c r="H2756" t="s">
        <v>4252</v>
      </c>
    </row>
    <row r="2757" ht="16.5" spans="1:8">
      <c r="A2757" t="s">
        <v>3180</v>
      </c>
      <c r="B2757">
        <v>1500693</v>
      </c>
      <c r="D2757" t="s">
        <v>779</v>
      </c>
      <c r="E2757">
        <v>2</v>
      </c>
      <c r="F2757" s="24" t="s">
        <v>649</v>
      </c>
      <c r="H2757" t="s">
        <v>4252</v>
      </c>
    </row>
    <row r="2758" spans="1:8">
      <c r="A2758" t="s">
        <v>3180</v>
      </c>
      <c r="B2758">
        <v>4520629</v>
      </c>
      <c r="D2758" t="s">
        <v>1655</v>
      </c>
      <c r="E2758">
        <v>1</v>
      </c>
      <c r="F2758" t="s">
        <v>642</v>
      </c>
      <c r="H2758" t="s">
        <v>4260</v>
      </c>
    </row>
    <row r="2759" spans="1:8">
      <c r="A2759" t="s">
        <v>3180</v>
      </c>
      <c r="B2759">
        <v>4526243</v>
      </c>
      <c r="D2759" t="s">
        <v>596</v>
      </c>
      <c r="E2759">
        <v>1</v>
      </c>
      <c r="F2759" t="s">
        <v>642</v>
      </c>
      <c r="H2759" t="s">
        <v>4260</v>
      </c>
    </row>
    <row r="2760" spans="1:8">
      <c r="A2760" t="s">
        <v>3180</v>
      </c>
      <c r="B2760">
        <v>4526523</v>
      </c>
      <c r="D2760" t="s">
        <v>4261</v>
      </c>
      <c r="E2760">
        <v>1</v>
      </c>
      <c r="F2760" t="s">
        <v>642</v>
      </c>
      <c r="H2760" t="s">
        <v>4260</v>
      </c>
    </row>
    <row r="2761" spans="1:8">
      <c r="A2761" t="s">
        <v>3180</v>
      </c>
      <c r="B2761">
        <v>4526244</v>
      </c>
      <c r="D2761" t="s">
        <v>377</v>
      </c>
      <c r="E2761">
        <v>1</v>
      </c>
      <c r="F2761" t="s">
        <v>642</v>
      </c>
      <c r="H2761" t="s">
        <v>4260</v>
      </c>
    </row>
    <row r="2762" spans="1:8">
      <c r="A2762" t="s">
        <v>3180</v>
      </c>
      <c r="B2762">
        <v>4511954</v>
      </c>
      <c r="D2762" t="s">
        <v>4262</v>
      </c>
      <c r="E2762">
        <v>1</v>
      </c>
      <c r="F2762" t="s">
        <v>646</v>
      </c>
      <c r="H2762" t="s">
        <v>4260</v>
      </c>
    </row>
    <row r="2763" spans="1:8">
      <c r="A2763" t="s">
        <v>3180</v>
      </c>
      <c r="B2763">
        <v>4526260</v>
      </c>
      <c r="D2763" t="s">
        <v>366</v>
      </c>
      <c r="E2763">
        <v>1</v>
      </c>
      <c r="F2763" t="s">
        <v>646</v>
      </c>
      <c r="H2763" t="s">
        <v>4260</v>
      </c>
    </row>
    <row r="2764" spans="1:8">
      <c r="A2764" t="s">
        <v>3180</v>
      </c>
      <c r="B2764">
        <v>4526258</v>
      </c>
      <c r="D2764" t="s">
        <v>368</v>
      </c>
      <c r="E2764">
        <v>1</v>
      </c>
      <c r="F2764" t="s">
        <v>646</v>
      </c>
      <c r="H2764" t="s">
        <v>4260</v>
      </c>
    </row>
    <row r="2765" spans="1:8">
      <c r="A2765" t="s">
        <v>3180</v>
      </c>
      <c r="B2765">
        <v>4526259</v>
      </c>
      <c r="D2765" t="s">
        <v>367</v>
      </c>
      <c r="E2765">
        <v>1</v>
      </c>
      <c r="F2765" t="s">
        <v>646</v>
      </c>
      <c r="H2765" t="s">
        <v>4260</v>
      </c>
    </row>
    <row r="2766" spans="1:8">
      <c r="A2766" t="s">
        <v>3180</v>
      </c>
      <c r="B2766">
        <v>4005512</v>
      </c>
      <c r="D2766" t="s">
        <v>1181</v>
      </c>
      <c r="E2766">
        <v>1</v>
      </c>
      <c r="F2766" t="s">
        <v>656</v>
      </c>
      <c r="H2766" t="s">
        <v>4260</v>
      </c>
    </row>
    <row r="2767" spans="1:8">
      <c r="A2767" t="s">
        <v>3180</v>
      </c>
      <c r="B2767">
        <v>4005663</v>
      </c>
      <c r="D2767" t="s">
        <v>4263</v>
      </c>
      <c r="E2767">
        <v>1</v>
      </c>
      <c r="F2767" t="s">
        <v>656</v>
      </c>
      <c r="H2767" t="s">
        <v>4260</v>
      </c>
    </row>
    <row r="2768" spans="1:8">
      <c r="A2768" t="s">
        <v>3180</v>
      </c>
      <c r="B2768">
        <v>4526022</v>
      </c>
      <c r="D2768" t="s">
        <v>4264</v>
      </c>
      <c r="E2768">
        <v>1</v>
      </c>
      <c r="F2768" t="s">
        <v>649</v>
      </c>
      <c r="H2768" t="s">
        <v>4260</v>
      </c>
    </row>
    <row r="2769" spans="1:8">
      <c r="A2769" t="s">
        <v>3180</v>
      </c>
      <c r="B2769">
        <v>4526522</v>
      </c>
      <c r="D2769" t="s">
        <v>4265</v>
      </c>
      <c r="E2769">
        <v>1</v>
      </c>
      <c r="F2769" t="s">
        <v>649</v>
      </c>
      <c r="H2769" t="s">
        <v>4260</v>
      </c>
    </row>
    <row r="2770" spans="1:8">
      <c r="A2770" t="s">
        <v>3180</v>
      </c>
      <c r="B2770">
        <v>4777178</v>
      </c>
      <c r="D2770" t="s">
        <v>4266</v>
      </c>
      <c r="E2770">
        <v>1</v>
      </c>
      <c r="F2770" t="s">
        <v>649</v>
      </c>
      <c r="H2770" t="s">
        <v>4260</v>
      </c>
    </row>
    <row r="2771" spans="1:8">
      <c r="A2771" t="s">
        <v>3180</v>
      </c>
      <c r="B2771">
        <v>4526021</v>
      </c>
      <c r="D2771" t="s">
        <v>4267</v>
      </c>
      <c r="E2771">
        <v>1</v>
      </c>
      <c r="F2771" t="s">
        <v>649</v>
      </c>
      <c r="H2771" t="s">
        <v>4260</v>
      </c>
    </row>
    <row r="2772" spans="1:8">
      <c r="A2772" t="s">
        <v>3180</v>
      </c>
      <c r="B2772">
        <v>4526242</v>
      </c>
      <c r="D2772" t="s">
        <v>570</v>
      </c>
      <c r="E2772">
        <v>1</v>
      </c>
      <c r="F2772" t="s">
        <v>649</v>
      </c>
      <c r="H2772" t="s">
        <v>4260</v>
      </c>
    </row>
    <row r="2773" spans="1:8">
      <c r="A2773" t="s">
        <v>3180</v>
      </c>
      <c r="B2773">
        <v>4526546</v>
      </c>
      <c r="D2773" t="s">
        <v>4268</v>
      </c>
      <c r="E2773">
        <v>1</v>
      </c>
      <c r="F2773" t="s">
        <v>649</v>
      </c>
      <c r="H2773" t="s">
        <v>4260</v>
      </c>
    </row>
    <row r="2774" spans="1:8">
      <c r="A2774" t="s">
        <v>3180</v>
      </c>
      <c r="B2774">
        <v>4526020</v>
      </c>
      <c r="D2774" t="s">
        <v>4269</v>
      </c>
      <c r="E2774">
        <v>1</v>
      </c>
      <c r="F2774" t="s">
        <v>649</v>
      </c>
      <c r="H2774" t="s">
        <v>4260</v>
      </c>
    </row>
    <row r="2775" spans="1:8">
      <c r="A2775" t="s">
        <v>3180</v>
      </c>
      <c r="B2775">
        <v>4526499</v>
      </c>
      <c r="D2775" t="s">
        <v>4270</v>
      </c>
      <c r="E2775">
        <v>1</v>
      </c>
      <c r="F2775" t="s">
        <v>640</v>
      </c>
      <c r="H2775" t="s">
        <v>4260</v>
      </c>
    </row>
    <row r="2776" spans="1:8">
      <c r="A2776" t="s">
        <v>3180</v>
      </c>
      <c r="B2776">
        <v>4526545</v>
      </c>
      <c r="D2776" t="s">
        <v>4271</v>
      </c>
      <c r="E2776">
        <v>1</v>
      </c>
      <c r="F2776" t="s">
        <v>649</v>
      </c>
      <c r="H2776" t="s">
        <v>4260</v>
      </c>
    </row>
    <row r="2777" spans="1:8">
      <c r="A2777" t="s">
        <v>3180</v>
      </c>
      <c r="B2777">
        <v>4526524</v>
      </c>
      <c r="D2777" t="s">
        <v>4272</v>
      </c>
      <c r="E2777">
        <v>1</v>
      </c>
      <c r="F2777" t="s">
        <v>640</v>
      </c>
      <c r="H2777" t="s">
        <v>4260</v>
      </c>
    </row>
    <row r="2778" spans="1:8">
      <c r="A2778" t="s">
        <v>3180</v>
      </c>
      <c r="B2778">
        <v>4526500</v>
      </c>
      <c r="D2778" t="s">
        <v>4273</v>
      </c>
      <c r="E2778">
        <v>1</v>
      </c>
      <c r="F2778" t="s">
        <v>640</v>
      </c>
      <c r="H2778" t="s">
        <v>4260</v>
      </c>
    </row>
    <row r="2779" spans="1:8">
      <c r="A2779" t="s">
        <v>3180</v>
      </c>
      <c r="B2779">
        <v>4526365</v>
      </c>
      <c r="D2779" t="s">
        <v>4274</v>
      </c>
      <c r="E2779">
        <v>1</v>
      </c>
      <c r="F2779" t="s">
        <v>640</v>
      </c>
      <c r="H2779" t="s">
        <v>4260</v>
      </c>
    </row>
    <row r="2780" spans="1:8">
      <c r="A2780" t="s">
        <v>3180</v>
      </c>
      <c r="B2780">
        <v>1500648</v>
      </c>
      <c r="D2780" t="s">
        <v>772</v>
      </c>
      <c r="E2780">
        <v>1</v>
      </c>
      <c r="F2780" t="s">
        <v>640</v>
      </c>
      <c r="H2780" t="s">
        <v>4260</v>
      </c>
    </row>
    <row r="2781" spans="1:8">
      <c r="A2781" t="s">
        <v>3180</v>
      </c>
      <c r="B2781">
        <v>4526526</v>
      </c>
      <c r="D2781" t="s">
        <v>4275</v>
      </c>
      <c r="E2781">
        <v>1</v>
      </c>
      <c r="F2781" t="s">
        <v>640</v>
      </c>
      <c r="H2781" t="s">
        <v>4260</v>
      </c>
    </row>
    <row r="2782" spans="1:8">
      <c r="A2782" t="s">
        <v>3180</v>
      </c>
      <c r="B2782">
        <v>4526366</v>
      </c>
      <c r="D2782" t="s">
        <v>4276</v>
      </c>
      <c r="E2782">
        <v>1</v>
      </c>
      <c r="F2782" t="s">
        <v>640</v>
      </c>
      <c r="H2782" t="s">
        <v>4260</v>
      </c>
    </row>
    <row r="2783" spans="1:8">
      <c r="A2783" t="s">
        <v>3180</v>
      </c>
      <c r="B2783">
        <v>4760385</v>
      </c>
      <c r="D2783" t="s">
        <v>1811</v>
      </c>
      <c r="E2783">
        <v>1</v>
      </c>
      <c r="F2783" t="s">
        <v>640</v>
      </c>
      <c r="H2783" t="s">
        <v>4260</v>
      </c>
    </row>
    <row r="2784" spans="1:8">
      <c r="A2784" t="s">
        <v>3180</v>
      </c>
      <c r="B2784">
        <v>4526525</v>
      </c>
      <c r="D2784" t="s">
        <v>4277</v>
      </c>
      <c r="E2784">
        <v>1</v>
      </c>
      <c r="F2784" t="s">
        <v>640</v>
      </c>
      <c r="H2784" t="s">
        <v>4260</v>
      </c>
    </row>
    <row r="2785" spans="1:8">
      <c r="A2785" t="s">
        <v>3180</v>
      </c>
      <c r="B2785">
        <v>8013407</v>
      </c>
      <c r="D2785" t="s">
        <v>2100</v>
      </c>
      <c r="E2785">
        <v>2</v>
      </c>
      <c r="F2785" t="s">
        <v>709</v>
      </c>
      <c r="H2785" t="s">
        <v>4260</v>
      </c>
    </row>
    <row r="2786" spans="1:8">
      <c r="A2786" t="s">
        <v>3180</v>
      </c>
      <c r="B2786">
        <v>8013121</v>
      </c>
      <c r="D2786" t="s">
        <v>2081</v>
      </c>
      <c r="E2786">
        <v>2</v>
      </c>
      <c r="F2786" t="s">
        <v>709</v>
      </c>
      <c r="H2786" t="s">
        <v>4260</v>
      </c>
    </row>
    <row r="2787" spans="1:8">
      <c r="A2787" t="s">
        <v>3180</v>
      </c>
      <c r="B2787">
        <v>8013119</v>
      </c>
      <c r="D2787" t="s">
        <v>2079</v>
      </c>
      <c r="E2787">
        <v>2</v>
      </c>
      <c r="F2787" t="s">
        <v>709</v>
      </c>
      <c r="H2787" t="s">
        <v>4260</v>
      </c>
    </row>
    <row r="2788" spans="1:8">
      <c r="A2788" t="s">
        <v>3180</v>
      </c>
      <c r="B2788">
        <v>8011496</v>
      </c>
      <c r="D2788" t="s">
        <v>463</v>
      </c>
      <c r="E2788">
        <v>2</v>
      </c>
      <c r="F2788" t="s">
        <v>709</v>
      </c>
      <c r="H2788" t="s">
        <v>4260</v>
      </c>
    </row>
    <row r="2789" spans="1:8">
      <c r="A2789" t="s">
        <v>3180</v>
      </c>
      <c r="B2789">
        <v>8013120</v>
      </c>
      <c r="D2789" t="s">
        <v>2080</v>
      </c>
      <c r="E2789">
        <v>2</v>
      </c>
      <c r="F2789" t="s">
        <v>709</v>
      </c>
      <c r="H2789" t="s">
        <v>4260</v>
      </c>
    </row>
    <row r="2790" spans="1:8">
      <c r="A2790" t="s">
        <v>3180</v>
      </c>
      <c r="B2790">
        <v>8013774</v>
      </c>
      <c r="D2790" t="s">
        <v>2128</v>
      </c>
      <c r="E2790">
        <v>2</v>
      </c>
      <c r="F2790" t="s">
        <v>709</v>
      </c>
      <c r="H2790" t="s">
        <v>4260</v>
      </c>
    </row>
    <row r="2791" spans="1:8">
      <c r="A2791" t="s">
        <v>3180</v>
      </c>
      <c r="B2791">
        <v>8013769</v>
      </c>
      <c r="D2791" t="s">
        <v>2123</v>
      </c>
      <c r="E2791">
        <v>2</v>
      </c>
      <c r="F2791" t="s">
        <v>709</v>
      </c>
      <c r="H2791" t="s">
        <v>4260</v>
      </c>
    </row>
    <row r="2792" spans="1:8">
      <c r="A2792" t="s">
        <v>3180</v>
      </c>
      <c r="B2792">
        <v>8013766</v>
      </c>
      <c r="D2792" t="s">
        <v>2120</v>
      </c>
      <c r="E2792">
        <v>2</v>
      </c>
      <c r="F2792" t="s">
        <v>709</v>
      </c>
      <c r="H2792" t="s">
        <v>4260</v>
      </c>
    </row>
    <row r="2793" spans="1:8">
      <c r="A2793" t="s">
        <v>3180</v>
      </c>
      <c r="B2793">
        <v>8013770</v>
      </c>
      <c r="D2793" t="s">
        <v>2124</v>
      </c>
      <c r="E2793">
        <v>2</v>
      </c>
      <c r="F2793" t="s">
        <v>709</v>
      </c>
      <c r="H2793" t="s">
        <v>4260</v>
      </c>
    </row>
    <row r="2794" spans="1:8">
      <c r="A2794" t="s">
        <v>3180</v>
      </c>
      <c r="B2794">
        <v>8013771</v>
      </c>
      <c r="D2794" t="s">
        <v>2125</v>
      </c>
      <c r="E2794">
        <v>2</v>
      </c>
      <c r="F2794" t="s">
        <v>709</v>
      </c>
      <c r="H2794" t="s">
        <v>4260</v>
      </c>
    </row>
    <row r="2795" spans="1:8">
      <c r="A2795" t="s">
        <v>3180</v>
      </c>
      <c r="B2795">
        <v>8013768</v>
      </c>
      <c r="D2795" t="s">
        <v>2122</v>
      </c>
      <c r="E2795">
        <v>2</v>
      </c>
      <c r="F2795" t="s">
        <v>709</v>
      </c>
      <c r="H2795" t="s">
        <v>4260</v>
      </c>
    </row>
    <row r="2796" spans="1:8">
      <c r="A2796" t="s">
        <v>3180</v>
      </c>
      <c r="B2796">
        <v>8013773</v>
      </c>
      <c r="D2796" t="s">
        <v>2127</v>
      </c>
      <c r="E2796">
        <v>2</v>
      </c>
      <c r="F2796" t="s">
        <v>709</v>
      </c>
      <c r="H2796" t="s">
        <v>4260</v>
      </c>
    </row>
    <row r="2797" spans="1:8">
      <c r="A2797" t="s">
        <v>3180</v>
      </c>
      <c r="B2797">
        <v>8013765</v>
      </c>
      <c r="D2797" t="s">
        <v>2119</v>
      </c>
      <c r="E2797">
        <v>2</v>
      </c>
      <c r="F2797" t="s">
        <v>709</v>
      </c>
      <c r="H2797" t="s">
        <v>4260</v>
      </c>
    </row>
    <row r="2798" spans="1:8">
      <c r="A2798" t="s">
        <v>3180</v>
      </c>
      <c r="B2798">
        <v>8013772</v>
      </c>
      <c r="D2798" t="s">
        <v>2126</v>
      </c>
      <c r="E2798">
        <v>2</v>
      </c>
      <c r="F2798" t="s">
        <v>709</v>
      </c>
      <c r="H2798" t="s">
        <v>4260</v>
      </c>
    </row>
    <row r="2799" spans="1:8">
      <c r="A2799" t="s">
        <v>3180</v>
      </c>
      <c r="B2799">
        <v>8013767</v>
      </c>
      <c r="D2799" t="s">
        <v>2121</v>
      </c>
      <c r="E2799">
        <v>2</v>
      </c>
      <c r="F2799" t="s">
        <v>709</v>
      </c>
      <c r="H2799" t="s">
        <v>4260</v>
      </c>
    </row>
    <row r="2800" spans="1:8">
      <c r="A2800" t="s">
        <v>3180</v>
      </c>
      <c r="B2800">
        <v>8013775</v>
      </c>
      <c r="D2800" t="s">
        <v>2129</v>
      </c>
      <c r="E2800">
        <v>2</v>
      </c>
      <c r="F2800" t="s">
        <v>709</v>
      </c>
      <c r="H2800" t="s">
        <v>4260</v>
      </c>
    </row>
    <row r="2801" spans="1:8">
      <c r="A2801" t="s">
        <v>3180</v>
      </c>
      <c r="B2801">
        <v>8009663</v>
      </c>
      <c r="D2801" t="s">
        <v>1916</v>
      </c>
      <c r="E2801">
        <v>2</v>
      </c>
      <c r="F2801" t="s">
        <v>709</v>
      </c>
      <c r="H2801" t="s">
        <v>4260</v>
      </c>
    </row>
    <row r="2802" spans="1:8">
      <c r="A2802" t="s">
        <v>3180</v>
      </c>
      <c r="B2802">
        <v>8011335</v>
      </c>
      <c r="D2802" t="s">
        <v>1986</v>
      </c>
      <c r="E2802">
        <v>2</v>
      </c>
      <c r="F2802" t="s">
        <v>709</v>
      </c>
      <c r="H2802" t="s">
        <v>4260</v>
      </c>
    </row>
    <row r="2803" spans="1:8">
      <c r="A2803" t="s">
        <v>3180</v>
      </c>
      <c r="B2803">
        <v>8011334</v>
      </c>
      <c r="D2803" t="s">
        <v>1985</v>
      </c>
      <c r="E2803">
        <v>2</v>
      </c>
      <c r="F2803" t="s">
        <v>709</v>
      </c>
      <c r="H2803" t="s">
        <v>4260</v>
      </c>
    </row>
    <row r="2804" spans="1:8">
      <c r="A2804" t="s">
        <v>3180</v>
      </c>
      <c r="B2804">
        <v>8013433</v>
      </c>
      <c r="D2804" t="s">
        <v>2107</v>
      </c>
      <c r="E2804">
        <v>2</v>
      </c>
      <c r="F2804" t="s">
        <v>709</v>
      </c>
      <c r="H2804" t="s">
        <v>4260</v>
      </c>
    </row>
    <row r="2805" spans="1:8">
      <c r="A2805" t="s">
        <v>3180</v>
      </c>
      <c r="B2805">
        <v>8013409</v>
      </c>
      <c r="D2805" t="s">
        <v>2102</v>
      </c>
      <c r="E2805">
        <v>2</v>
      </c>
      <c r="F2805" t="s">
        <v>709</v>
      </c>
      <c r="H2805" t="s">
        <v>4260</v>
      </c>
    </row>
    <row r="2806" spans="1:8">
      <c r="A2806" t="s">
        <v>3180</v>
      </c>
      <c r="B2806">
        <v>8013431</v>
      </c>
      <c r="D2806" t="s">
        <v>2106</v>
      </c>
      <c r="E2806">
        <v>2</v>
      </c>
      <c r="F2806" t="s">
        <v>709</v>
      </c>
      <c r="H2806" t="s">
        <v>4260</v>
      </c>
    </row>
    <row r="2807" spans="1:8">
      <c r="A2807" t="s">
        <v>3180</v>
      </c>
      <c r="B2807">
        <v>8013408</v>
      </c>
      <c r="D2807" t="s">
        <v>2101</v>
      </c>
      <c r="E2807">
        <v>2</v>
      </c>
      <c r="F2807" t="s">
        <v>709</v>
      </c>
      <c r="H2807" t="s">
        <v>4260</v>
      </c>
    </row>
    <row r="2808" spans="1:8">
      <c r="A2808" t="s">
        <v>3180</v>
      </c>
      <c r="B2808">
        <v>8013437</v>
      </c>
      <c r="D2808" t="s">
        <v>2111</v>
      </c>
      <c r="E2808">
        <v>2</v>
      </c>
      <c r="F2808" t="s">
        <v>709</v>
      </c>
      <c r="H2808" t="s">
        <v>4260</v>
      </c>
    </row>
    <row r="2809" spans="1:8">
      <c r="A2809" t="s">
        <v>3180</v>
      </c>
      <c r="B2809">
        <v>8703532</v>
      </c>
      <c r="D2809" t="s">
        <v>2296</v>
      </c>
      <c r="E2809">
        <v>2</v>
      </c>
      <c r="F2809" t="s">
        <v>709</v>
      </c>
      <c r="H2809" t="s">
        <v>4260</v>
      </c>
    </row>
    <row r="2810" spans="1:8">
      <c r="A2810" t="s">
        <v>3180</v>
      </c>
      <c r="B2810">
        <v>8012413</v>
      </c>
      <c r="D2810" t="s">
        <v>2074</v>
      </c>
      <c r="E2810">
        <v>2</v>
      </c>
      <c r="F2810" t="s">
        <v>709</v>
      </c>
      <c r="H2810" t="s">
        <v>4260</v>
      </c>
    </row>
    <row r="2811" spans="1:8">
      <c r="A2811" t="s">
        <v>3180</v>
      </c>
      <c r="B2811">
        <v>8009118</v>
      </c>
      <c r="D2811" t="s">
        <v>1232</v>
      </c>
      <c r="E2811">
        <v>2</v>
      </c>
      <c r="F2811" t="s">
        <v>671</v>
      </c>
      <c r="H2811" t="s">
        <v>4260</v>
      </c>
    </row>
    <row r="2812" spans="1:8">
      <c r="A2812" t="s">
        <v>3180</v>
      </c>
      <c r="B2812">
        <v>8009119</v>
      </c>
      <c r="D2812" t="s">
        <v>1233</v>
      </c>
      <c r="E2812">
        <v>2</v>
      </c>
      <c r="F2812" t="s">
        <v>671</v>
      </c>
      <c r="H2812" t="s">
        <v>4260</v>
      </c>
    </row>
    <row r="2813" spans="1:8">
      <c r="A2813" t="s">
        <v>3180</v>
      </c>
      <c r="B2813">
        <v>8009120</v>
      </c>
      <c r="D2813" t="s">
        <v>1234</v>
      </c>
      <c r="E2813">
        <v>2</v>
      </c>
      <c r="F2813" t="s">
        <v>671</v>
      </c>
      <c r="H2813" t="s">
        <v>4260</v>
      </c>
    </row>
    <row r="2814" spans="1:8">
      <c r="A2814" t="s">
        <v>3180</v>
      </c>
      <c r="B2814">
        <v>8011414</v>
      </c>
      <c r="D2814" t="s">
        <v>95</v>
      </c>
      <c r="E2814">
        <v>2</v>
      </c>
      <c r="F2814" t="s">
        <v>671</v>
      </c>
      <c r="H2814" t="s">
        <v>4260</v>
      </c>
    </row>
    <row r="2815" spans="1:8">
      <c r="A2815" t="s">
        <v>3180</v>
      </c>
      <c r="B2815">
        <v>8011499</v>
      </c>
      <c r="D2815" t="s">
        <v>1257</v>
      </c>
      <c r="E2815">
        <v>2</v>
      </c>
      <c r="F2815" t="s">
        <v>671</v>
      </c>
      <c r="H2815" t="s">
        <v>4260</v>
      </c>
    </row>
    <row r="2816" spans="1:8">
      <c r="A2816" t="s">
        <v>3180</v>
      </c>
      <c r="B2816">
        <v>8013252</v>
      </c>
      <c r="D2816" t="s">
        <v>2082</v>
      </c>
      <c r="E2816">
        <v>2</v>
      </c>
      <c r="F2816" t="s">
        <v>671</v>
      </c>
      <c r="H2816" t="s">
        <v>4260</v>
      </c>
    </row>
    <row r="2817" spans="1:8">
      <c r="A2817" t="s">
        <v>3180</v>
      </c>
      <c r="B2817">
        <v>8013253</v>
      </c>
      <c r="D2817" t="s">
        <v>2083</v>
      </c>
      <c r="E2817">
        <v>2</v>
      </c>
      <c r="F2817" t="s">
        <v>671</v>
      </c>
      <c r="H2817" t="s">
        <v>4260</v>
      </c>
    </row>
    <row r="2818" spans="1:8">
      <c r="A2818" t="s">
        <v>3180</v>
      </c>
      <c r="B2818">
        <v>8013255</v>
      </c>
      <c r="D2818" t="s">
        <v>2084</v>
      </c>
      <c r="E2818">
        <v>2</v>
      </c>
      <c r="F2818" t="s">
        <v>671</v>
      </c>
      <c r="H2818" t="s">
        <v>4260</v>
      </c>
    </row>
    <row r="2819" spans="1:8">
      <c r="A2819" t="s">
        <v>3180</v>
      </c>
      <c r="B2819">
        <v>8013256</v>
      </c>
      <c r="D2819" t="s">
        <v>2085</v>
      </c>
      <c r="E2819">
        <v>2</v>
      </c>
      <c r="F2819" t="s">
        <v>671</v>
      </c>
      <c r="H2819" t="s">
        <v>4260</v>
      </c>
    </row>
    <row r="2820" spans="1:8">
      <c r="A2820" t="s">
        <v>3180</v>
      </c>
      <c r="B2820">
        <v>8013257</v>
      </c>
      <c r="D2820" t="s">
        <v>2086</v>
      </c>
      <c r="E2820">
        <v>2</v>
      </c>
      <c r="F2820" t="s">
        <v>671</v>
      </c>
      <c r="H2820" t="s">
        <v>4260</v>
      </c>
    </row>
    <row r="2821" spans="1:8">
      <c r="A2821" t="s">
        <v>3180</v>
      </c>
      <c r="B2821">
        <v>8013263</v>
      </c>
      <c r="D2821" t="s">
        <v>2088</v>
      </c>
      <c r="E2821">
        <v>2</v>
      </c>
      <c r="F2821" t="s">
        <v>671</v>
      </c>
      <c r="H2821" t="s">
        <v>4260</v>
      </c>
    </row>
    <row r="2822" spans="1:8">
      <c r="A2822" t="s">
        <v>3180</v>
      </c>
      <c r="B2822">
        <v>8013264</v>
      </c>
      <c r="D2822" t="s">
        <v>2089</v>
      </c>
      <c r="E2822">
        <v>2</v>
      </c>
      <c r="F2822" t="s">
        <v>671</v>
      </c>
      <c r="H2822" t="s">
        <v>4260</v>
      </c>
    </row>
    <row r="2823" spans="1:8">
      <c r="A2823" t="s">
        <v>3180</v>
      </c>
      <c r="B2823">
        <v>8013265</v>
      </c>
      <c r="D2823" t="s">
        <v>2090</v>
      </c>
      <c r="E2823">
        <v>2</v>
      </c>
      <c r="F2823" t="s">
        <v>671</v>
      </c>
      <c r="H2823" t="s">
        <v>4260</v>
      </c>
    </row>
    <row r="2824" spans="1:8">
      <c r="A2824" t="s">
        <v>3180</v>
      </c>
      <c r="B2824">
        <v>8013434</v>
      </c>
      <c r="D2824" t="s">
        <v>2108</v>
      </c>
      <c r="E2824">
        <v>2</v>
      </c>
      <c r="F2824" t="s">
        <v>671</v>
      </c>
      <c r="H2824" t="s">
        <v>4260</v>
      </c>
    </row>
    <row r="2825" spans="1:8">
      <c r="A2825" t="s">
        <v>3180</v>
      </c>
      <c r="B2825">
        <v>8013267</v>
      </c>
      <c r="D2825" t="s">
        <v>2091</v>
      </c>
      <c r="E2825">
        <v>2</v>
      </c>
      <c r="F2825" t="s">
        <v>671</v>
      </c>
      <c r="H2825" t="s">
        <v>4260</v>
      </c>
    </row>
    <row r="2826" spans="1:8">
      <c r="A2826" t="s">
        <v>3180</v>
      </c>
      <c r="B2826">
        <v>4526395</v>
      </c>
      <c r="D2826" t="s">
        <v>1716</v>
      </c>
      <c r="E2826">
        <v>2</v>
      </c>
      <c r="F2826" t="s">
        <v>671</v>
      </c>
      <c r="H2826" t="s">
        <v>4260</v>
      </c>
    </row>
    <row r="2827" spans="1:8">
      <c r="A2827" t="s">
        <v>3180</v>
      </c>
      <c r="B2827">
        <v>8011974</v>
      </c>
      <c r="D2827" t="s">
        <v>2032</v>
      </c>
      <c r="E2827">
        <v>2</v>
      </c>
      <c r="F2827" t="s">
        <v>671</v>
      </c>
      <c r="H2827" t="s">
        <v>4260</v>
      </c>
    </row>
    <row r="2828" spans="1:8">
      <c r="A2828" t="s">
        <v>3180</v>
      </c>
      <c r="B2828">
        <v>8013415</v>
      </c>
      <c r="D2828" t="s">
        <v>2105</v>
      </c>
      <c r="E2828">
        <v>2</v>
      </c>
      <c r="F2828" t="s">
        <v>671</v>
      </c>
      <c r="H2828" t="s">
        <v>4260</v>
      </c>
    </row>
    <row r="2829" spans="1:8">
      <c r="A2829" t="s">
        <v>3180</v>
      </c>
      <c r="B2829">
        <v>8013414</v>
      </c>
      <c r="D2829" t="s">
        <v>2104</v>
      </c>
      <c r="E2829">
        <v>2</v>
      </c>
      <c r="F2829" t="s">
        <v>671</v>
      </c>
      <c r="H2829" t="s">
        <v>4260</v>
      </c>
    </row>
    <row r="2830" spans="1:8">
      <c r="A2830" t="s">
        <v>3180</v>
      </c>
      <c r="B2830">
        <v>8703512</v>
      </c>
      <c r="D2830" t="s">
        <v>2295</v>
      </c>
      <c r="E2830">
        <v>2</v>
      </c>
      <c r="F2830" t="s">
        <v>671</v>
      </c>
      <c r="H2830" t="s">
        <v>4260</v>
      </c>
    </row>
    <row r="2831" spans="1:8">
      <c r="A2831" t="s">
        <v>3180</v>
      </c>
      <c r="B2831">
        <v>4526576</v>
      </c>
      <c r="D2831" t="s">
        <v>4278</v>
      </c>
      <c r="E2831">
        <v>2</v>
      </c>
      <c r="F2831" t="s">
        <v>671</v>
      </c>
      <c r="H2831" t="s">
        <v>4260</v>
      </c>
    </row>
    <row r="2832" spans="1:8">
      <c r="A2832" t="s">
        <v>3180</v>
      </c>
      <c r="B2832">
        <v>8704093</v>
      </c>
      <c r="D2832" t="s">
        <v>140</v>
      </c>
      <c r="E2832">
        <v>2</v>
      </c>
      <c r="F2832" t="s">
        <v>671</v>
      </c>
      <c r="H2832" t="s">
        <v>4260</v>
      </c>
    </row>
    <row r="2833" spans="1:8">
      <c r="A2833" t="s">
        <v>3180</v>
      </c>
      <c r="B2833">
        <v>8011407</v>
      </c>
      <c r="D2833" t="s">
        <v>1194</v>
      </c>
      <c r="E2833">
        <v>2</v>
      </c>
      <c r="F2833" t="s">
        <v>671</v>
      </c>
      <c r="H2833" t="s">
        <v>4260</v>
      </c>
    </row>
    <row r="2834" spans="1:8">
      <c r="A2834" t="s">
        <v>3180</v>
      </c>
      <c r="B2834">
        <v>8013260</v>
      </c>
      <c r="D2834" t="s">
        <v>2087</v>
      </c>
      <c r="E2834">
        <v>2</v>
      </c>
      <c r="F2834" t="s">
        <v>671</v>
      </c>
      <c r="H2834" t="s">
        <v>4260</v>
      </c>
    </row>
    <row r="2835" spans="1:8">
      <c r="A2835" t="s">
        <v>3180</v>
      </c>
      <c r="B2835">
        <v>8013435</v>
      </c>
      <c r="D2835" t="s">
        <v>2109</v>
      </c>
      <c r="E2835">
        <v>2</v>
      </c>
      <c r="F2835" t="s">
        <v>671</v>
      </c>
      <c r="H2835" t="s">
        <v>4260</v>
      </c>
    </row>
    <row r="2836" spans="1:8">
      <c r="A2836" t="s">
        <v>3180</v>
      </c>
      <c r="B2836">
        <v>8013269</v>
      </c>
      <c r="D2836" t="s">
        <v>2092</v>
      </c>
      <c r="E2836">
        <v>2</v>
      </c>
      <c r="F2836" t="s">
        <v>671</v>
      </c>
      <c r="H2836" t="s">
        <v>4260</v>
      </c>
    </row>
    <row r="2837" spans="1:8">
      <c r="A2837" t="s">
        <v>3180</v>
      </c>
      <c r="B2837">
        <v>8009865</v>
      </c>
      <c r="D2837" t="s">
        <v>1917</v>
      </c>
      <c r="E2837">
        <v>2</v>
      </c>
      <c r="F2837" t="s">
        <v>671</v>
      </c>
      <c r="H2837" t="s">
        <v>4260</v>
      </c>
    </row>
    <row r="2838" spans="1:8">
      <c r="A2838" t="s">
        <v>3180</v>
      </c>
      <c r="B2838">
        <v>8011445</v>
      </c>
      <c r="D2838" t="s">
        <v>352</v>
      </c>
      <c r="E2838">
        <v>2</v>
      </c>
      <c r="F2838" t="s">
        <v>671</v>
      </c>
      <c r="H2838" t="s">
        <v>4260</v>
      </c>
    </row>
    <row r="2839" spans="1:8">
      <c r="A2839" t="s">
        <v>3180</v>
      </c>
      <c r="B2839">
        <v>8013118</v>
      </c>
      <c r="D2839" t="s">
        <v>2078</v>
      </c>
      <c r="E2839">
        <v>2</v>
      </c>
      <c r="F2839" t="s">
        <v>671</v>
      </c>
      <c r="H2839" t="s">
        <v>4260</v>
      </c>
    </row>
    <row r="2840" spans="1:8">
      <c r="A2840" t="s">
        <v>3180</v>
      </c>
      <c r="B2840">
        <v>4526332</v>
      </c>
      <c r="D2840" t="s">
        <v>727</v>
      </c>
      <c r="E2840">
        <v>2</v>
      </c>
      <c r="F2840" t="s">
        <v>654</v>
      </c>
      <c r="H2840" t="s">
        <v>4260</v>
      </c>
    </row>
    <row r="2841" spans="1:8">
      <c r="A2841" t="s">
        <v>3180</v>
      </c>
      <c r="B2841">
        <v>4508026</v>
      </c>
      <c r="D2841" t="s">
        <v>1445</v>
      </c>
      <c r="E2841">
        <v>2</v>
      </c>
      <c r="F2841" t="s">
        <v>654</v>
      </c>
      <c r="H2841" t="s">
        <v>4260</v>
      </c>
    </row>
    <row r="2842" spans="1:8">
      <c r="A2842" t="s">
        <v>3180</v>
      </c>
      <c r="B2842">
        <v>4525536</v>
      </c>
      <c r="D2842" t="s">
        <v>4279</v>
      </c>
      <c r="E2842">
        <v>1</v>
      </c>
      <c r="F2842" t="s">
        <v>644</v>
      </c>
      <c r="H2842" t="s">
        <v>726</v>
      </c>
    </row>
    <row r="2843" spans="1:8">
      <c r="A2843" t="s">
        <v>3180</v>
      </c>
      <c r="B2843">
        <v>4525314</v>
      </c>
      <c r="D2843" t="s">
        <v>571</v>
      </c>
      <c r="E2843">
        <v>1</v>
      </c>
      <c r="F2843" t="s">
        <v>644</v>
      </c>
      <c r="H2843" t="s">
        <v>726</v>
      </c>
    </row>
    <row r="2844" spans="1:8">
      <c r="A2844" t="s">
        <v>3180</v>
      </c>
      <c r="B2844">
        <v>4503619</v>
      </c>
      <c r="D2844" t="s">
        <v>1389</v>
      </c>
      <c r="E2844">
        <v>1</v>
      </c>
      <c r="F2844" t="s">
        <v>642</v>
      </c>
      <c r="H2844" t="s">
        <v>726</v>
      </c>
    </row>
    <row r="2845" spans="1:8">
      <c r="A2845" t="s">
        <v>3180</v>
      </c>
      <c r="B2845">
        <v>4026781</v>
      </c>
      <c r="D2845" t="s">
        <v>438</v>
      </c>
      <c r="E2845">
        <v>1</v>
      </c>
      <c r="F2845" t="s">
        <v>638</v>
      </c>
      <c r="H2845" t="s">
        <v>726</v>
      </c>
    </row>
    <row r="2846" spans="1:8">
      <c r="A2846" t="s">
        <v>3180</v>
      </c>
      <c r="B2846">
        <v>4525313</v>
      </c>
      <c r="D2846" t="s">
        <v>725</v>
      </c>
      <c r="E2846">
        <v>1</v>
      </c>
      <c r="F2846" t="s">
        <v>638</v>
      </c>
      <c r="H2846" t="s">
        <v>726</v>
      </c>
    </row>
    <row r="2847" spans="1:8">
      <c r="A2847" t="s">
        <v>3180</v>
      </c>
      <c r="B2847">
        <v>4504051</v>
      </c>
      <c r="D2847" t="s">
        <v>4280</v>
      </c>
      <c r="E2847">
        <v>1</v>
      </c>
      <c r="F2847" t="s">
        <v>656</v>
      </c>
      <c r="H2847" t="s">
        <v>726</v>
      </c>
    </row>
    <row r="2848" spans="1:8">
      <c r="A2848" t="s">
        <v>3180</v>
      </c>
      <c r="B2848">
        <v>4733029</v>
      </c>
      <c r="D2848" t="s">
        <v>501</v>
      </c>
      <c r="E2848">
        <v>1</v>
      </c>
      <c r="F2848" t="s">
        <v>4281</v>
      </c>
      <c r="H2848" t="s">
        <v>726</v>
      </c>
    </row>
    <row r="2849" spans="1:8">
      <c r="A2849" t="s">
        <v>3180</v>
      </c>
      <c r="B2849">
        <v>4522914</v>
      </c>
      <c r="D2849" t="s">
        <v>1684</v>
      </c>
      <c r="E2849">
        <v>1</v>
      </c>
      <c r="F2849" t="s">
        <v>649</v>
      </c>
      <c r="H2849" t="s">
        <v>726</v>
      </c>
    </row>
    <row r="2850" spans="1:8">
      <c r="A2850" t="s">
        <v>3180</v>
      </c>
      <c r="B2850">
        <v>4525879</v>
      </c>
      <c r="D2850" t="s">
        <v>4282</v>
      </c>
      <c r="E2850">
        <v>1</v>
      </c>
      <c r="F2850" t="s">
        <v>649</v>
      </c>
      <c r="H2850" t="s">
        <v>726</v>
      </c>
    </row>
    <row r="2851" spans="1:8">
      <c r="A2851" t="s">
        <v>3180</v>
      </c>
      <c r="B2851">
        <v>4525880</v>
      </c>
      <c r="D2851" t="s">
        <v>4283</v>
      </c>
      <c r="E2851">
        <v>1</v>
      </c>
      <c r="F2851" t="s">
        <v>649</v>
      </c>
      <c r="H2851" t="s">
        <v>726</v>
      </c>
    </row>
    <row r="2852" spans="1:8">
      <c r="A2852" t="s">
        <v>3180</v>
      </c>
      <c r="B2852">
        <v>4733101</v>
      </c>
      <c r="D2852" t="s">
        <v>4284</v>
      </c>
      <c r="E2852">
        <v>1</v>
      </c>
      <c r="F2852" t="s">
        <v>649</v>
      </c>
      <c r="H2852" t="s">
        <v>726</v>
      </c>
    </row>
    <row r="2853" spans="1:8">
      <c r="A2853" t="s">
        <v>3180</v>
      </c>
      <c r="B2853">
        <v>4525873</v>
      </c>
      <c r="D2853" t="s">
        <v>1713</v>
      </c>
      <c r="E2853">
        <v>1</v>
      </c>
      <c r="F2853" t="s">
        <v>649</v>
      </c>
      <c r="H2853" t="s">
        <v>726</v>
      </c>
    </row>
    <row r="2854" spans="1:8">
      <c r="A2854" t="s">
        <v>3180</v>
      </c>
      <c r="B2854">
        <v>4525535</v>
      </c>
      <c r="D2854" t="s">
        <v>4285</v>
      </c>
      <c r="E2854">
        <v>1</v>
      </c>
      <c r="F2854" t="s">
        <v>640</v>
      </c>
      <c r="H2854" t="s">
        <v>726</v>
      </c>
    </row>
    <row r="2855" spans="1:8">
      <c r="A2855" t="s">
        <v>3180</v>
      </c>
      <c r="B2855">
        <v>4516500</v>
      </c>
      <c r="D2855" t="s">
        <v>1600</v>
      </c>
      <c r="E2855">
        <v>1</v>
      </c>
      <c r="F2855" t="s">
        <v>640</v>
      </c>
      <c r="H2855" t="s">
        <v>726</v>
      </c>
    </row>
    <row r="2856" spans="1:8">
      <c r="A2856" t="s">
        <v>3180</v>
      </c>
      <c r="B2856">
        <v>4525836</v>
      </c>
      <c r="D2856" t="s">
        <v>1711</v>
      </c>
      <c r="E2856">
        <v>1</v>
      </c>
      <c r="F2856" t="s">
        <v>649</v>
      </c>
      <c r="H2856" t="s">
        <v>726</v>
      </c>
    </row>
    <row r="2857" spans="1:8">
      <c r="A2857" t="s">
        <v>3180</v>
      </c>
      <c r="B2857">
        <v>8013406</v>
      </c>
      <c r="D2857" t="s">
        <v>2099</v>
      </c>
      <c r="E2857">
        <v>2</v>
      </c>
      <c r="F2857" t="s">
        <v>709</v>
      </c>
      <c r="H2857" t="s">
        <v>726</v>
      </c>
    </row>
    <row r="2858" spans="1:8">
      <c r="A2858" t="s">
        <v>3180</v>
      </c>
      <c r="B2858">
        <v>8013404</v>
      </c>
      <c r="D2858" t="s">
        <v>2097</v>
      </c>
      <c r="E2858">
        <v>2</v>
      </c>
      <c r="F2858" t="s">
        <v>709</v>
      </c>
      <c r="H2858" t="s">
        <v>726</v>
      </c>
    </row>
    <row r="2859" spans="1:8">
      <c r="A2859" t="s">
        <v>3180</v>
      </c>
      <c r="B2859">
        <v>4020152</v>
      </c>
      <c r="D2859" t="s">
        <v>1275</v>
      </c>
      <c r="E2859">
        <v>2</v>
      </c>
      <c r="F2859" t="s">
        <v>709</v>
      </c>
      <c r="H2859" t="s">
        <v>726</v>
      </c>
    </row>
    <row r="2860" spans="1:8">
      <c r="A2860" t="s">
        <v>3180</v>
      </c>
      <c r="B2860">
        <v>8703406</v>
      </c>
      <c r="D2860" t="s">
        <v>2293</v>
      </c>
      <c r="E2860">
        <v>2</v>
      </c>
      <c r="F2860" t="s">
        <v>709</v>
      </c>
      <c r="H2860" t="s">
        <v>726</v>
      </c>
    </row>
    <row r="2861" spans="1:8">
      <c r="A2861" t="s">
        <v>3180</v>
      </c>
      <c r="B2861">
        <v>8011333</v>
      </c>
      <c r="D2861" t="s">
        <v>1984</v>
      </c>
      <c r="E2861">
        <v>2</v>
      </c>
      <c r="F2861" t="s">
        <v>709</v>
      </c>
      <c r="H2861" t="s">
        <v>726</v>
      </c>
    </row>
    <row r="2862" spans="1:8">
      <c r="A2862" t="s">
        <v>3180</v>
      </c>
      <c r="B2862">
        <v>8703362</v>
      </c>
      <c r="D2862" t="s">
        <v>2289</v>
      </c>
      <c r="E2862">
        <v>2</v>
      </c>
      <c r="F2862" t="s">
        <v>709</v>
      </c>
      <c r="H2862" t="s">
        <v>726</v>
      </c>
    </row>
    <row r="2863" spans="1:8">
      <c r="A2863" t="s">
        <v>3180</v>
      </c>
      <c r="B2863">
        <v>8011495</v>
      </c>
      <c r="D2863" t="s">
        <v>252</v>
      </c>
      <c r="E2863">
        <v>2</v>
      </c>
      <c r="F2863" t="s">
        <v>709</v>
      </c>
      <c r="H2863" t="s">
        <v>726</v>
      </c>
    </row>
    <row r="2864" spans="1:8">
      <c r="A2864" t="s">
        <v>3180</v>
      </c>
      <c r="B2864">
        <v>8011987</v>
      </c>
      <c r="D2864" t="s">
        <v>2035</v>
      </c>
      <c r="E2864">
        <v>2</v>
      </c>
      <c r="F2864" t="s">
        <v>709</v>
      </c>
      <c r="H2864" t="s">
        <v>726</v>
      </c>
    </row>
    <row r="2865" spans="1:8">
      <c r="A2865" t="s">
        <v>3180</v>
      </c>
      <c r="B2865">
        <v>8011271</v>
      </c>
      <c r="D2865" t="s">
        <v>1981</v>
      </c>
      <c r="E2865">
        <v>2</v>
      </c>
      <c r="F2865" t="s">
        <v>709</v>
      </c>
      <c r="H2865" t="s">
        <v>726</v>
      </c>
    </row>
    <row r="2866" spans="1:8">
      <c r="A2866" t="s">
        <v>3180</v>
      </c>
      <c r="B2866">
        <v>8012464</v>
      </c>
      <c r="D2866" t="s">
        <v>398</v>
      </c>
      <c r="E2866">
        <v>2</v>
      </c>
      <c r="F2866" t="s">
        <v>709</v>
      </c>
      <c r="H2866" t="s">
        <v>726</v>
      </c>
    </row>
    <row r="2867" spans="1:8">
      <c r="A2867" t="s">
        <v>3180</v>
      </c>
      <c r="B2867">
        <v>8013401</v>
      </c>
      <c r="D2867" t="s">
        <v>2094</v>
      </c>
      <c r="E2867">
        <v>2</v>
      </c>
      <c r="F2867" t="s">
        <v>709</v>
      </c>
      <c r="H2867" t="s">
        <v>726</v>
      </c>
    </row>
    <row r="2868" spans="1:8">
      <c r="A2868" t="s">
        <v>3180</v>
      </c>
      <c r="B2868">
        <v>4211857</v>
      </c>
      <c r="D2868" t="s">
        <v>1366</v>
      </c>
      <c r="E2868">
        <v>2</v>
      </c>
      <c r="F2868" t="s">
        <v>709</v>
      </c>
      <c r="H2868" t="s">
        <v>726</v>
      </c>
    </row>
    <row r="2869" spans="1:8">
      <c r="A2869" t="s">
        <v>3180</v>
      </c>
      <c r="B2869">
        <v>4020151</v>
      </c>
      <c r="D2869" t="s">
        <v>1274</v>
      </c>
      <c r="E2869">
        <v>2</v>
      </c>
      <c r="F2869" t="s">
        <v>709</v>
      </c>
      <c r="H2869" t="s">
        <v>726</v>
      </c>
    </row>
    <row r="2870" spans="1:8">
      <c r="A2870" t="s">
        <v>3180</v>
      </c>
      <c r="B2870">
        <v>8013402</v>
      </c>
      <c r="D2870" t="s">
        <v>2095</v>
      </c>
      <c r="E2870">
        <v>2</v>
      </c>
      <c r="F2870" t="s">
        <v>709</v>
      </c>
      <c r="H2870" t="s">
        <v>726</v>
      </c>
    </row>
    <row r="2871" spans="1:8">
      <c r="A2871" t="s">
        <v>3180</v>
      </c>
      <c r="B2871">
        <v>8704109</v>
      </c>
      <c r="D2871" t="s">
        <v>2323</v>
      </c>
      <c r="E2871">
        <v>2</v>
      </c>
      <c r="F2871" t="s">
        <v>709</v>
      </c>
      <c r="H2871" t="s">
        <v>726</v>
      </c>
    </row>
    <row r="2872" spans="1:8">
      <c r="A2872" t="s">
        <v>3180</v>
      </c>
      <c r="B2872">
        <v>8012188</v>
      </c>
      <c r="D2872" t="s">
        <v>2046</v>
      </c>
      <c r="E2872">
        <v>2</v>
      </c>
      <c r="F2872" t="s">
        <v>709</v>
      </c>
      <c r="H2872" t="s">
        <v>726</v>
      </c>
    </row>
    <row r="2873" spans="1:8">
      <c r="A2873" t="s">
        <v>3180</v>
      </c>
      <c r="B2873">
        <v>8012189</v>
      </c>
      <c r="D2873" t="s">
        <v>2047</v>
      </c>
      <c r="E2873">
        <v>2</v>
      </c>
      <c r="F2873" t="s">
        <v>709</v>
      </c>
      <c r="H2873" t="s">
        <v>726</v>
      </c>
    </row>
    <row r="2874" spans="1:8">
      <c r="A2874" t="s">
        <v>3180</v>
      </c>
      <c r="B2874">
        <v>8011803</v>
      </c>
      <c r="D2874" t="s">
        <v>2024</v>
      </c>
      <c r="E2874">
        <v>2</v>
      </c>
      <c r="F2874" t="s">
        <v>709</v>
      </c>
      <c r="H2874" t="s">
        <v>726</v>
      </c>
    </row>
    <row r="2875" spans="1:8">
      <c r="A2875" t="s">
        <v>3180</v>
      </c>
      <c r="B2875">
        <v>8012182</v>
      </c>
      <c r="D2875" t="s">
        <v>2040</v>
      </c>
      <c r="E2875">
        <v>2</v>
      </c>
      <c r="F2875" t="s">
        <v>709</v>
      </c>
      <c r="H2875" t="s">
        <v>726</v>
      </c>
    </row>
    <row r="2876" spans="1:8">
      <c r="A2876" t="s">
        <v>3180</v>
      </c>
      <c r="B2876">
        <v>8012186</v>
      </c>
      <c r="D2876" t="s">
        <v>2044</v>
      </c>
      <c r="E2876">
        <v>2</v>
      </c>
      <c r="F2876" t="s">
        <v>709</v>
      </c>
      <c r="H2876" t="s">
        <v>726</v>
      </c>
    </row>
    <row r="2877" spans="1:8">
      <c r="A2877" t="s">
        <v>3180</v>
      </c>
      <c r="B2877">
        <v>8012183</v>
      </c>
      <c r="D2877" t="s">
        <v>2041</v>
      </c>
      <c r="E2877">
        <v>2</v>
      </c>
      <c r="F2877" t="s">
        <v>709</v>
      </c>
      <c r="H2877" t="s">
        <v>726</v>
      </c>
    </row>
    <row r="2878" spans="1:8">
      <c r="A2878" t="s">
        <v>3180</v>
      </c>
      <c r="B2878">
        <v>4020153</v>
      </c>
      <c r="D2878" t="s">
        <v>1276</v>
      </c>
      <c r="E2878">
        <v>2</v>
      </c>
      <c r="F2878" t="s">
        <v>709</v>
      </c>
      <c r="H2878" t="s">
        <v>726</v>
      </c>
    </row>
    <row r="2879" spans="1:8">
      <c r="A2879" t="s">
        <v>3180</v>
      </c>
      <c r="B2879">
        <v>8010915</v>
      </c>
      <c r="D2879" t="s">
        <v>1957</v>
      </c>
      <c r="E2879">
        <v>2</v>
      </c>
      <c r="F2879" t="s">
        <v>709</v>
      </c>
      <c r="H2879" t="s">
        <v>726</v>
      </c>
    </row>
    <row r="2880" spans="1:8">
      <c r="A2880" t="s">
        <v>3180</v>
      </c>
      <c r="B2880">
        <v>8011493</v>
      </c>
      <c r="D2880" t="s">
        <v>1299</v>
      </c>
      <c r="E2880">
        <v>2</v>
      </c>
      <c r="F2880" t="s">
        <v>709</v>
      </c>
      <c r="H2880" t="s">
        <v>726</v>
      </c>
    </row>
    <row r="2881" spans="1:8">
      <c r="A2881" t="s">
        <v>3180</v>
      </c>
      <c r="B2881">
        <v>8011986</v>
      </c>
      <c r="D2881" t="s">
        <v>2034</v>
      </c>
      <c r="E2881">
        <v>2</v>
      </c>
      <c r="F2881" t="s">
        <v>709</v>
      </c>
      <c r="H2881" t="s">
        <v>726</v>
      </c>
    </row>
    <row r="2882" spans="1:8">
      <c r="A2882" t="s">
        <v>3180</v>
      </c>
      <c r="B2882">
        <v>8009662</v>
      </c>
      <c r="D2882" t="s">
        <v>1915</v>
      </c>
      <c r="E2882">
        <v>2</v>
      </c>
      <c r="F2882" t="s">
        <v>709</v>
      </c>
      <c r="H2882" t="s">
        <v>726</v>
      </c>
    </row>
    <row r="2883" spans="1:8">
      <c r="A2883" t="s">
        <v>3180</v>
      </c>
      <c r="B2883">
        <v>8012192</v>
      </c>
      <c r="D2883" t="s">
        <v>2051</v>
      </c>
      <c r="E2883">
        <v>2</v>
      </c>
      <c r="F2883" t="s">
        <v>709</v>
      </c>
      <c r="H2883" t="s">
        <v>726</v>
      </c>
    </row>
    <row r="2884" spans="1:8">
      <c r="A2884" t="s">
        <v>3180</v>
      </c>
      <c r="B2884">
        <v>8011397</v>
      </c>
      <c r="D2884" t="s">
        <v>1993</v>
      </c>
      <c r="E2884">
        <v>2</v>
      </c>
      <c r="F2884" t="s">
        <v>709</v>
      </c>
      <c r="H2884" t="s">
        <v>726</v>
      </c>
    </row>
    <row r="2885" spans="1:8">
      <c r="A2885" t="s">
        <v>3180</v>
      </c>
      <c r="B2885">
        <v>4042597</v>
      </c>
      <c r="D2885" t="s">
        <v>1350</v>
      </c>
      <c r="E2885">
        <v>2</v>
      </c>
      <c r="F2885" t="s">
        <v>709</v>
      </c>
      <c r="H2885" t="s">
        <v>726</v>
      </c>
    </row>
    <row r="2886" spans="1:8">
      <c r="A2886" t="s">
        <v>3180</v>
      </c>
      <c r="B2886">
        <v>8011985</v>
      </c>
      <c r="D2886" t="s">
        <v>2033</v>
      </c>
      <c r="E2886">
        <v>2</v>
      </c>
      <c r="F2886" t="s">
        <v>709</v>
      </c>
      <c r="H2886" t="s">
        <v>726</v>
      </c>
    </row>
    <row r="2887" spans="1:8">
      <c r="A2887" t="s">
        <v>3180</v>
      </c>
      <c r="B2887">
        <v>8012191</v>
      </c>
      <c r="D2887" t="s">
        <v>2050</v>
      </c>
      <c r="E2887">
        <v>2</v>
      </c>
      <c r="F2887" t="s">
        <v>709</v>
      </c>
      <c r="H2887" t="s">
        <v>726</v>
      </c>
    </row>
    <row r="2888" spans="1:8">
      <c r="A2888" t="s">
        <v>3180</v>
      </c>
      <c r="B2888">
        <v>8703496</v>
      </c>
      <c r="D2888" t="s">
        <v>2294</v>
      </c>
      <c r="E2888">
        <v>2</v>
      </c>
      <c r="F2888" t="s">
        <v>709</v>
      </c>
      <c r="H2888" t="s">
        <v>726</v>
      </c>
    </row>
    <row r="2889" spans="1:8">
      <c r="A2889" t="s">
        <v>3180</v>
      </c>
      <c r="B2889">
        <v>8012190</v>
      </c>
      <c r="D2889" t="s">
        <v>2048</v>
      </c>
      <c r="E2889">
        <v>2</v>
      </c>
      <c r="F2889" t="s">
        <v>709</v>
      </c>
      <c r="H2889" t="s">
        <v>726</v>
      </c>
    </row>
    <row r="2890" spans="1:8">
      <c r="A2890" t="s">
        <v>3180</v>
      </c>
      <c r="B2890">
        <v>8703378</v>
      </c>
      <c r="D2890" t="s">
        <v>2291</v>
      </c>
      <c r="E2890">
        <v>2</v>
      </c>
      <c r="F2890" t="s">
        <v>709</v>
      </c>
      <c r="H2890" t="s">
        <v>726</v>
      </c>
    </row>
    <row r="2891" spans="1:8">
      <c r="A2891" t="s">
        <v>3180</v>
      </c>
      <c r="B2891">
        <v>8012184</v>
      </c>
      <c r="D2891" t="s">
        <v>2042</v>
      </c>
      <c r="E2891">
        <v>2</v>
      </c>
      <c r="F2891" t="s">
        <v>709</v>
      </c>
      <c r="H2891" t="s">
        <v>726</v>
      </c>
    </row>
    <row r="2892" spans="1:8">
      <c r="A2892" t="s">
        <v>3180</v>
      </c>
      <c r="B2892">
        <v>8012185</v>
      </c>
      <c r="D2892" t="s">
        <v>2043</v>
      </c>
      <c r="E2892">
        <v>2</v>
      </c>
      <c r="F2892" t="s">
        <v>709</v>
      </c>
      <c r="H2892" t="s">
        <v>726</v>
      </c>
    </row>
    <row r="2893" spans="1:8">
      <c r="A2893" t="s">
        <v>3180</v>
      </c>
      <c r="B2893">
        <v>8703377</v>
      </c>
      <c r="D2893" t="s">
        <v>2290</v>
      </c>
      <c r="E2893">
        <v>2</v>
      </c>
      <c r="F2893" t="s">
        <v>709</v>
      </c>
      <c r="H2893" t="s">
        <v>726</v>
      </c>
    </row>
    <row r="2894" spans="1:8">
      <c r="A2894" t="s">
        <v>3180</v>
      </c>
      <c r="B2894">
        <v>8011433</v>
      </c>
      <c r="D2894" t="s">
        <v>1994</v>
      </c>
      <c r="E2894">
        <v>2</v>
      </c>
      <c r="F2894" t="s">
        <v>709</v>
      </c>
      <c r="H2894" t="s">
        <v>726</v>
      </c>
    </row>
    <row r="2895" spans="1:8">
      <c r="A2895" t="s">
        <v>3180</v>
      </c>
      <c r="B2895">
        <v>8011991</v>
      </c>
      <c r="D2895" t="s">
        <v>2036</v>
      </c>
      <c r="E2895">
        <v>2</v>
      </c>
      <c r="F2895" t="s">
        <v>709</v>
      </c>
      <c r="H2895" t="s">
        <v>726</v>
      </c>
    </row>
    <row r="2896" spans="1:8">
      <c r="A2896" t="s">
        <v>3180</v>
      </c>
      <c r="B2896">
        <v>4525837</v>
      </c>
      <c r="D2896" t="s">
        <v>1712</v>
      </c>
      <c r="E2896">
        <v>2</v>
      </c>
      <c r="F2896" t="s">
        <v>709</v>
      </c>
      <c r="H2896" t="s">
        <v>726</v>
      </c>
    </row>
    <row r="2897" spans="1:8">
      <c r="A2897" t="s">
        <v>3180</v>
      </c>
      <c r="B2897">
        <v>8010698</v>
      </c>
      <c r="D2897" t="s">
        <v>1954</v>
      </c>
      <c r="E2897">
        <v>2</v>
      </c>
      <c r="F2897" t="s">
        <v>709</v>
      </c>
      <c r="H2897" t="s">
        <v>726</v>
      </c>
    </row>
    <row r="2898" spans="1:8">
      <c r="A2898" t="s">
        <v>3180</v>
      </c>
      <c r="B2898">
        <v>8012193</v>
      </c>
      <c r="D2898" t="s">
        <v>2052</v>
      </c>
      <c r="E2898">
        <v>2</v>
      </c>
      <c r="F2898" t="s">
        <v>709</v>
      </c>
      <c r="H2898" t="s">
        <v>726</v>
      </c>
    </row>
    <row r="2899" spans="1:8">
      <c r="A2899" t="s">
        <v>3180</v>
      </c>
      <c r="B2899">
        <v>8013405</v>
      </c>
      <c r="D2899" t="s">
        <v>2098</v>
      </c>
      <c r="E2899">
        <v>2</v>
      </c>
      <c r="F2899" t="s">
        <v>709</v>
      </c>
      <c r="H2899" t="s">
        <v>726</v>
      </c>
    </row>
    <row r="2900" spans="1:8">
      <c r="A2900" t="s">
        <v>3180</v>
      </c>
      <c r="B2900">
        <v>8011510</v>
      </c>
      <c r="D2900" t="s">
        <v>1996</v>
      </c>
      <c r="E2900">
        <v>2</v>
      </c>
      <c r="F2900" t="s">
        <v>709</v>
      </c>
      <c r="H2900" t="s">
        <v>726</v>
      </c>
    </row>
    <row r="2901" spans="1:8">
      <c r="A2901" t="s">
        <v>3180</v>
      </c>
      <c r="B2901">
        <v>8011511</v>
      </c>
      <c r="D2901" t="s">
        <v>1997</v>
      </c>
      <c r="E2901">
        <v>2</v>
      </c>
      <c r="F2901" t="s">
        <v>709</v>
      </c>
      <c r="H2901" t="s">
        <v>726</v>
      </c>
    </row>
    <row r="2902" spans="1:8">
      <c r="A2902" t="s">
        <v>3180</v>
      </c>
      <c r="B2902">
        <v>8012187</v>
      </c>
      <c r="D2902" t="s">
        <v>2045</v>
      </c>
      <c r="E2902">
        <v>2</v>
      </c>
      <c r="F2902" t="s">
        <v>709</v>
      </c>
      <c r="H2902" t="s">
        <v>726</v>
      </c>
    </row>
    <row r="2903" spans="1:8">
      <c r="A2903" t="s">
        <v>3180</v>
      </c>
      <c r="B2903">
        <v>8012395</v>
      </c>
      <c r="D2903" t="s">
        <v>2069</v>
      </c>
      <c r="E2903">
        <v>2</v>
      </c>
      <c r="F2903" t="s">
        <v>696</v>
      </c>
      <c r="H2903" t="s">
        <v>726</v>
      </c>
    </row>
    <row r="2904" spans="1:8">
      <c r="A2904" t="s">
        <v>3180</v>
      </c>
      <c r="B2904">
        <v>8012396</v>
      </c>
      <c r="D2904" t="s">
        <v>2070</v>
      </c>
      <c r="E2904">
        <v>2</v>
      </c>
      <c r="F2904" t="s">
        <v>696</v>
      </c>
      <c r="H2904" t="s">
        <v>726</v>
      </c>
    </row>
    <row r="2905" spans="1:8">
      <c r="A2905" t="s">
        <v>3180</v>
      </c>
      <c r="B2905">
        <v>8012397</v>
      </c>
      <c r="D2905" t="s">
        <v>2071</v>
      </c>
      <c r="E2905">
        <v>2</v>
      </c>
      <c r="F2905" t="s">
        <v>696</v>
      </c>
      <c r="H2905" t="s">
        <v>726</v>
      </c>
    </row>
    <row r="2906" spans="1:8">
      <c r="A2906" t="s">
        <v>3180</v>
      </c>
      <c r="B2906">
        <v>8012393</v>
      </c>
      <c r="D2906" t="s">
        <v>2067</v>
      </c>
      <c r="E2906">
        <v>2</v>
      </c>
      <c r="F2906" t="s">
        <v>696</v>
      </c>
      <c r="H2906" t="s">
        <v>726</v>
      </c>
    </row>
    <row r="2907" spans="1:8">
      <c r="A2907" t="s">
        <v>3180</v>
      </c>
      <c r="B2907">
        <v>8012392</v>
      </c>
      <c r="D2907" t="s">
        <v>2066</v>
      </c>
      <c r="E2907">
        <v>2</v>
      </c>
      <c r="F2907" t="s">
        <v>696</v>
      </c>
      <c r="H2907" t="s">
        <v>726</v>
      </c>
    </row>
    <row r="2908" spans="1:8">
      <c r="A2908" t="s">
        <v>3180</v>
      </c>
      <c r="B2908">
        <v>8012394</v>
      </c>
      <c r="D2908" t="s">
        <v>2068</v>
      </c>
      <c r="E2908">
        <v>2</v>
      </c>
      <c r="F2908" t="s">
        <v>696</v>
      </c>
      <c r="H2908" t="s">
        <v>726</v>
      </c>
    </row>
    <row r="2909" spans="1:8">
      <c r="A2909" t="s">
        <v>3180</v>
      </c>
      <c r="B2909">
        <v>8012389</v>
      </c>
      <c r="D2909" t="s">
        <v>2063</v>
      </c>
      <c r="E2909">
        <v>2</v>
      </c>
      <c r="F2909" t="s">
        <v>696</v>
      </c>
      <c r="H2909" t="s">
        <v>726</v>
      </c>
    </row>
    <row r="2910" spans="1:8">
      <c r="A2910" t="s">
        <v>3180</v>
      </c>
      <c r="B2910">
        <v>8012390</v>
      </c>
      <c r="D2910" t="s">
        <v>2064</v>
      </c>
      <c r="E2910">
        <v>2</v>
      </c>
      <c r="F2910" t="s">
        <v>696</v>
      </c>
      <c r="H2910" t="s">
        <v>726</v>
      </c>
    </row>
    <row r="2911" spans="1:8">
      <c r="A2911" t="s">
        <v>3180</v>
      </c>
      <c r="B2911">
        <v>8012391</v>
      </c>
      <c r="D2911" t="s">
        <v>2065</v>
      </c>
      <c r="E2911">
        <v>2</v>
      </c>
      <c r="F2911" t="s">
        <v>696</v>
      </c>
      <c r="H2911" t="s">
        <v>726</v>
      </c>
    </row>
    <row r="2912" spans="1:8">
      <c r="A2912" t="s">
        <v>3180</v>
      </c>
      <c r="B2912">
        <v>8012387</v>
      </c>
      <c r="D2912" t="s">
        <v>2061</v>
      </c>
      <c r="E2912">
        <v>2</v>
      </c>
      <c r="F2912" t="s">
        <v>696</v>
      </c>
      <c r="H2912" t="s">
        <v>726</v>
      </c>
    </row>
    <row r="2913" spans="1:8">
      <c r="A2913" t="s">
        <v>3180</v>
      </c>
      <c r="B2913">
        <v>8012388</v>
      </c>
      <c r="D2913" t="s">
        <v>2062</v>
      </c>
      <c r="E2913">
        <v>2</v>
      </c>
      <c r="F2913" t="s">
        <v>696</v>
      </c>
      <c r="H2913" t="s">
        <v>726</v>
      </c>
    </row>
    <row r="2914" spans="1:8">
      <c r="A2914" t="s">
        <v>3180</v>
      </c>
      <c r="B2914">
        <v>8008731</v>
      </c>
      <c r="D2914" t="s">
        <v>1072</v>
      </c>
      <c r="E2914">
        <v>2</v>
      </c>
      <c r="F2914" t="s">
        <v>696</v>
      </c>
      <c r="H2914" t="s">
        <v>726</v>
      </c>
    </row>
    <row r="2915" spans="1:8">
      <c r="A2915" t="s">
        <v>3180</v>
      </c>
      <c r="B2915">
        <v>8012407</v>
      </c>
      <c r="D2915" t="s">
        <v>193</v>
      </c>
      <c r="E2915">
        <v>2</v>
      </c>
      <c r="F2915" t="s">
        <v>696</v>
      </c>
      <c r="H2915" t="s">
        <v>726</v>
      </c>
    </row>
    <row r="2916" spans="1:8">
      <c r="A2916" t="s">
        <v>3180</v>
      </c>
      <c r="B2916">
        <v>8012408</v>
      </c>
      <c r="D2916" t="s">
        <v>194</v>
      </c>
      <c r="E2916">
        <v>2</v>
      </c>
      <c r="F2916" t="s">
        <v>696</v>
      </c>
      <c r="H2916" t="s">
        <v>726</v>
      </c>
    </row>
    <row r="2917" spans="1:8">
      <c r="A2917" t="s">
        <v>3180</v>
      </c>
      <c r="B2917">
        <v>8012409</v>
      </c>
      <c r="D2917" t="s">
        <v>2073</v>
      </c>
      <c r="E2917">
        <v>2</v>
      </c>
      <c r="F2917" t="s">
        <v>696</v>
      </c>
      <c r="H2917" t="s">
        <v>726</v>
      </c>
    </row>
    <row r="2918" spans="1:8">
      <c r="A2918" t="s">
        <v>3180</v>
      </c>
      <c r="B2918">
        <v>8012405</v>
      </c>
      <c r="D2918" t="s">
        <v>195</v>
      </c>
      <c r="E2918">
        <v>2</v>
      </c>
      <c r="F2918" t="s">
        <v>696</v>
      </c>
      <c r="H2918" t="s">
        <v>726</v>
      </c>
    </row>
    <row r="2919" spans="1:8">
      <c r="A2919" t="s">
        <v>3180</v>
      </c>
      <c r="B2919">
        <v>8012404</v>
      </c>
      <c r="D2919" t="s">
        <v>196</v>
      </c>
      <c r="E2919">
        <v>2</v>
      </c>
      <c r="F2919" t="s">
        <v>696</v>
      </c>
      <c r="H2919" t="s">
        <v>726</v>
      </c>
    </row>
    <row r="2920" spans="1:8">
      <c r="A2920" t="s">
        <v>3180</v>
      </c>
      <c r="B2920">
        <v>8012406</v>
      </c>
      <c r="D2920" t="s">
        <v>197</v>
      </c>
      <c r="E2920">
        <v>2</v>
      </c>
      <c r="F2920" t="s">
        <v>696</v>
      </c>
      <c r="H2920" t="s">
        <v>726</v>
      </c>
    </row>
    <row r="2921" spans="1:8">
      <c r="A2921" t="s">
        <v>3180</v>
      </c>
      <c r="B2921">
        <v>8012401</v>
      </c>
      <c r="D2921" t="s">
        <v>198</v>
      </c>
      <c r="E2921">
        <v>2</v>
      </c>
      <c r="F2921" t="s">
        <v>696</v>
      </c>
      <c r="H2921" t="s">
        <v>726</v>
      </c>
    </row>
    <row r="2922" spans="1:8">
      <c r="A2922" t="s">
        <v>3180</v>
      </c>
      <c r="B2922">
        <v>8012402</v>
      </c>
      <c r="D2922" t="s">
        <v>199</v>
      </c>
      <c r="E2922">
        <v>2</v>
      </c>
      <c r="F2922" t="s">
        <v>696</v>
      </c>
      <c r="H2922" t="s">
        <v>726</v>
      </c>
    </row>
    <row r="2923" spans="1:8">
      <c r="A2923" t="s">
        <v>3180</v>
      </c>
      <c r="B2923">
        <v>8012403</v>
      </c>
      <c r="D2923" t="s">
        <v>200</v>
      </c>
      <c r="E2923">
        <v>2</v>
      </c>
      <c r="F2923" t="s">
        <v>696</v>
      </c>
      <c r="H2923" t="s">
        <v>726</v>
      </c>
    </row>
    <row r="2924" spans="1:8">
      <c r="A2924" t="s">
        <v>3180</v>
      </c>
      <c r="B2924">
        <v>8012399</v>
      </c>
      <c r="D2924" t="s">
        <v>201</v>
      </c>
      <c r="E2924">
        <v>2</v>
      </c>
      <c r="F2924" t="s">
        <v>696</v>
      </c>
      <c r="H2924" t="s">
        <v>726</v>
      </c>
    </row>
    <row r="2925" spans="1:8">
      <c r="A2925" t="s">
        <v>3180</v>
      </c>
      <c r="B2925">
        <v>8012400</v>
      </c>
      <c r="D2925" t="s">
        <v>202</v>
      </c>
      <c r="E2925">
        <v>2</v>
      </c>
      <c r="F2925" t="s">
        <v>696</v>
      </c>
      <c r="H2925" t="s">
        <v>726</v>
      </c>
    </row>
    <row r="2926" spans="1:8">
      <c r="A2926" t="s">
        <v>3180</v>
      </c>
      <c r="B2926">
        <v>8012385</v>
      </c>
      <c r="D2926" t="s">
        <v>2059</v>
      </c>
      <c r="E2926">
        <v>2</v>
      </c>
      <c r="F2926" t="s">
        <v>696</v>
      </c>
      <c r="H2926" t="s">
        <v>726</v>
      </c>
    </row>
    <row r="2927" spans="1:8">
      <c r="A2927" t="s">
        <v>3180</v>
      </c>
      <c r="B2927">
        <v>8012398</v>
      </c>
      <c r="D2927" t="s">
        <v>2072</v>
      </c>
      <c r="E2927">
        <v>2</v>
      </c>
      <c r="F2927" t="s">
        <v>696</v>
      </c>
      <c r="H2927" t="s">
        <v>726</v>
      </c>
    </row>
    <row r="2928" spans="1:8">
      <c r="A2928" t="s">
        <v>3180</v>
      </c>
      <c r="B2928">
        <v>8012384</v>
      </c>
      <c r="D2928" t="s">
        <v>2058</v>
      </c>
      <c r="E2928">
        <v>2</v>
      </c>
      <c r="F2928" t="s">
        <v>696</v>
      </c>
      <c r="H2928" t="s">
        <v>726</v>
      </c>
    </row>
    <row r="2929" spans="1:8">
      <c r="A2929" t="s">
        <v>3180</v>
      </c>
      <c r="B2929">
        <v>8013403</v>
      </c>
      <c r="D2929" t="s">
        <v>2096</v>
      </c>
      <c r="E2929">
        <v>2</v>
      </c>
      <c r="F2929" t="s">
        <v>696</v>
      </c>
      <c r="H2929" t="s">
        <v>726</v>
      </c>
    </row>
    <row r="2930" spans="1:8">
      <c r="A2930" t="s">
        <v>3180</v>
      </c>
      <c r="B2930">
        <v>8012383</v>
      </c>
      <c r="D2930" t="s">
        <v>2057</v>
      </c>
      <c r="E2930">
        <v>2</v>
      </c>
      <c r="F2930" t="s">
        <v>696</v>
      </c>
      <c r="H2930" t="s">
        <v>726</v>
      </c>
    </row>
    <row r="2931" spans="1:8">
      <c r="A2931" t="s">
        <v>3180</v>
      </c>
      <c r="B2931">
        <v>8012386</v>
      </c>
      <c r="D2931" t="s">
        <v>2060</v>
      </c>
      <c r="E2931">
        <v>2</v>
      </c>
      <c r="F2931" t="s">
        <v>696</v>
      </c>
      <c r="H2931" t="s">
        <v>726</v>
      </c>
    </row>
    <row r="2932" spans="1:8">
      <c r="A2932" t="s">
        <v>3180</v>
      </c>
      <c r="B2932">
        <v>8011896</v>
      </c>
      <c r="D2932" t="s">
        <v>2030</v>
      </c>
      <c r="E2932">
        <v>2</v>
      </c>
      <c r="F2932" t="s">
        <v>696</v>
      </c>
      <c r="H2932" t="s">
        <v>726</v>
      </c>
    </row>
    <row r="2933" spans="1:8">
      <c r="A2933" t="s">
        <v>3180</v>
      </c>
      <c r="B2933">
        <v>8008966</v>
      </c>
      <c r="D2933" t="s">
        <v>283</v>
      </c>
      <c r="E2933">
        <v>2</v>
      </c>
      <c r="F2933" t="s">
        <v>696</v>
      </c>
      <c r="H2933" t="s">
        <v>726</v>
      </c>
    </row>
    <row r="2934" spans="1:8">
      <c r="A2934" t="s">
        <v>3180</v>
      </c>
      <c r="B2934">
        <v>8008967</v>
      </c>
      <c r="D2934" t="s">
        <v>284</v>
      </c>
      <c r="E2934">
        <v>2</v>
      </c>
      <c r="F2934" t="s">
        <v>696</v>
      </c>
      <c r="H2934" t="s">
        <v>726</v>
      </c>
    </row>
    <row r="2935" spans="1:8">
      <c r="A2935" t="s">
        <v>3180</v>
      </c>
      <c r="B2935">
        <v>8008968</v>
      </c>
      <c r="D2935" t="s">
        <v>285</v>
      </c>
      <c r="E2935">
        <v>2</v>
      </c>
      <c r="F2935" t="s">
        <v>696</v>
      </c>
      <c r="H2935" t="s">
        <v>726</v>
      </c>
    </row>
    <row r="2936" spans="1:8">
      <c r="A2936" t="s">
        <v>3180</v>
      </c>
      <c r="B2936">
        <v>8008990</v>
      </c>
      <c r="D2936" t="s">
        <v>1896</v>
      </c>
      <c r="E2936">
        <v>2</v>
      </c>
      <c r="F2936" t="s">
        <v>696</v>
      </c>
      <c r="H2936" t="s">
        <v>726</v>
      </c>
    </row>
    <row r="2937" spans="1:8">
      <c r="A2937" t="s">
        <v>3180</v>
      </c>
      <c r="B2937">
        <v>8001298</v>
      </c>
      <c r="D2937" t="s">
        <v>1831</v>
      </c>
      <c r="E2937">
        <v>2</v>
      </c>
      <c r="F2937" t="s">
        <v>671</v>
      </c>
      <c r="H2937" t="s">
        <v>726</v>
      </c>
    </row>
    <row r="2938" spans="1:8">
      <c r="A2938" t="s">
        <v>3180</v>
      </c>
      <c r="B2938">
        <v>8012428</v>
      </c>
      <c r="D2938" t="s">
        <v>2075</v>
      </c>
      <c r="E2938">
        <v>2</v>
      </c>
      <c r="F2938" t="s">
        <v>671</v>
      </c>
      <c r="H2938" t="s">
        <v>726</v>
      </c>
    </row>
    <row r="2939" spans="1:8">
      <c r="A2939" t="s">
        <v>3180</v>
      </c>
      <c r="B2939">
        <v>8011941</v>
      </c>
      <c r="D2939" t="s">
        <v>2031</v>
      </c>
      <c r="E2939">
        <v>2</v>
      </c>
      <c r="F2939" t="s">
        <v>671</v>
      </c>
      <c r="H2939" t="s">
        <v>726</v>
      </c>
    </row>
    <row r="2940" spans="1:8">
      <c r="A2940" t="s">
        <v>3180</v>
      </c>
      <c r="B2940">
        <v>4519877</v>
      </c>
      <c r="D2940" t="s">
        <v>4286</v>
      </c>
      <c r="E2940">
        <v>2</v>
      </c>
      <c r="F2940" t="s">
        <v>671</v>
      </c>
      <c r="H2940" t="s">
        <v>726</v>
      </c>
    </row>
    <row r="2941" spans="1:8">
      <c r="A2941" t="s">
        <v>3180</v>
      </c>
      <c r="B2941">
        <v>4518429</v>
      </c>
      <c r="D2941" t="s">
        <v>4287</v>
      </c>
      <c r="E2941">
        <v>2</v>
      </c>
      <c r="F2941" t="s">
        <v>671</v>
      </c>
      <c r="H2941" t="s">
        <v>726</v>
      </c>
    </row>
    <row r="2942" spans="1:8">
      <c r="A2942" t="s">
        <v>3180</v>
      </c>
      <c r="B2942">
        <v>4523957</v>
      </c>
      <c r="D2942" t="s">
        <v>1693</v>
      </c>
      <c r="E2942">
        <v>2</v>
      </c>
      <c r="F2942" t="s">
        <v>654</v>
      </c>
      <c r="H2942" t="s">
        <v>726</v>
      </c>
    </row>
    <row r="2943" spans="1:8">
      <c r="A2943" t="s">
        <v>3180</v>
      </c>
      <c r="B2943">
        <v>4004097</v>
      </c>
      <c r="D2943" t="s">
        <v>4288</v>
      </c>
      <c r="E2943">
        <v>1</v>
      </c>
      <c r="F2943" t="s">
        <v>642</v>
      </c>
      <c r="H2943" t="s">
        <v>4260</v>
      </c>
    </row>
    <row r="2944" spans="1:8">
      <c r="A2944" t="s">
        <v>3180</v>
      </c>
      <c r="B2944">
        <v>4522851</v>
      </c>
      <c r="D2944" t="s">
        <v>4289</v>
      </c>
      <c r="E2944">
        <v>1</v>
      </c>
      <c r="F2944" t="s">
        <v>642</v>
      </c>
      <c r="H2944" t="s">
        <v>4290</v>
      </c>
    </row>
    <row r="2945" spans="1:8">
      <c r="A2945" t="s">
        <v>3180</v>
      </c>
      <c r="B2945">
        <v>4500070</v>
      </c>
      <c r="D2945" t="s">
        <v>1369</v>
      </c>
      <c r="E2945">
        <v>1</v>
      </c>
      <c r="F2945" t="s">
        <v>642</v>
      </c>
      <c r="H2945" t="s">
        <v>4290</v>
      </c>
    </row>
    <row r="2946" spans="1:8">
      <c r="A2946" t="s">
        <v>3180</v>
      </c>
      <c r="B2946">
        <v>4526781</v>
      </c>
      <c r="D2946" t="s">
        <v>4291</v>
      </c>
      <c r="E2946">
        <v>1</v>
      </c>
      <c r="F2946" t="s">
        <v>642</v>
      </c>
      <c r="H2946" t="s">
        <v>4290</v>
      </c>
    </row>
    <row r="2947" spans="1:8">
      <c r="A2947" t="s">
        <v>3180</v>
      </c>
      <c r="B2947">
        <v>4526756</v>
      </c>
      <c r="D2947" t="s">
        <v>4292</v>
      </c>
      <c r="E2947">
        <v>1</v>
      </c>
      <c r="F2947" t="s">
        <v>646</v>
      </c>
      <c r="H2947" t="s">
        <v>4290</v>
      </c>
    </row>
    <row r="2948" spans="1:8">
      <c r="A2948" t="s">
        <v>3180</v>
      </c>
      <c r="B2948">
        <v>4515975</v>
      </c>
      <c r="D2948" t="s">
        <v>58</v>
      </c>
      <c r="E2948">
        <v>1</v>
      </c>
      <c r="F2948" t="s">
        <v>646</v>
      </c>
      <c r="H2948" t="s">
        <v>4290</v>
      </c>
    </row>
    <row r="2949" spans="1:8">
      <c r="A2949" t="s">
        <v>3180</v>
      </c>
      <c r="B2949">
        <v>4516242</v>
      </c>
      <c r="D2949" t="s">
        <v>86</v>
      </c>
      <c r="E2949">
        <v>1</v>
      </c>
      <c r="F2949" t="s">
        <v>646</v>
      </c>
      <c r="H2949" t="s">
        <v>4290</v>
      </c>
    </row>
    <row r="2950" spans="1:8">
      <c r="A2950" t="s">
        <v>3180</v>
      </c>
      <c r="B2950">
        <v>4526643</v>
      </c>
      <c r="D2950" t="s">
        <v>729</v>
      </c>
      <c r="E2950">
        <v>1</v>
      </c>
      <c r="F2950" t="s">
        <v>646</v>
      </c>
      <c r="H2950" t="s">
        <v>4290</v>
      </c>
    </row>
    <row r="2951" spans="1:8">
      <c r="A2951" t="s">
        <v>3180</v>
      </c>
      <c r="B2951">
        <v>4526645</v>
      </c>
      <c r="D2951" t="s">
        <v>167</v>
      </c>
      <c r="E2951">
        <v>1</v>
      </c>
      <c r="F2951" t="s">
        <v>646</v>
      </c>
      <c r="H2951" t="s">
        <v>4290</v>
      </c>
    </row>
    <row r="2952" spans="1:8">
      <c r="A2952" t="s">
        <v>3180</v>
      </c>
      <c r="B2952">
        <v>4526647</v>
      </c>
      <c r="D2952" t="s">
        <v>286</v>
      </c>
      <c r="E2952">
        <v>1</v>
      </c>
      <c r="F2952" t="s">
        <v>646</v>
      </c>
      <c r="H2952" t="s">
        <v>4290</v>
      </c>
    </row>
    <row r="2953" spans="1:8">
      <c r="A2953" t="s">
        <v>3180</v>
      </c>
      <c r="B2953">
        <v>4526640</v>
      </c>
      <c r="D2953" t="s">
        <v>1717</v>
      </c>
      <c r="E2953">
        <v>1</v>
      </c>
      <c r="F2953" t="s">
        <v>646</v>
      </c>
      <c r="H2953" t="s">
        <v>4290</v>
      </c>
    </row>
    <row r="2954" spans="1:8">
      <c r="A2954" t="s">
        <v>3180</v>
      </c>
      <c r="B2954">
        <v>4526757</v>
      </c>
      <c r="D2954" t="s">
        <v>309</v>
      </c>
      <c r="E2954">
        <v>1</v>
      </c>
      <c r="F2954" t="s">
        <v>646</v>
      </c>
      <c r="H2954" t="s">
        <v>4290</v>
      </c>
    </row>
    <row r="2955" spans="1:8">
      <c r="A2955" t="s">
        <v>3180</v>
      </c>
      <c r="B2955">
        <v>4526642</v>
      </c>
      <c r="D2955" t="s">
        <v>1719</v>
      </c>
      <c r="E2955">
        <v>1</v>
      </c>
      <c r="F2955" t="s">
        <v>646</v>
      </c>
      <c r="H2955" t="s">
        <v>4290</v>
      </c>
    </row>
    <row r="2956" spans="1:8">
      <c r="A2956" t="s">
        <v>3180</v>
      </c>
      <c r="B2956">
        <v>4526646</v>
      </c>
      <c r="D2956" t="s">
        <v>442</v>
      </c>
      <c r="E2956">
        <v>1</v>
      </c>
      <c r="F2956" t="s">
        <v>646</v>
      </c>
      <c r="H2956" t="s">
        <v>4290</v>
      </c>
    </row>
    <row r="2957" spans="1:8">
      <c r="A2957" t="s">
        <v>3180</v>
      </c>
      <c r="B2957">
        <v>4526641</v>
      </c>
      <c r="D2957" t="s">
        <v>1718</v>
      </c>
      <c r="E2957">
        <v>1</v>
      </c>
      <c r="F2957" t="s">
        <v>646</v>
      </c>
      <c r="H2957" t="s">
        <v>4290</v>
      </c>
    </row>
    <row r="2958" spans="1:8">
      <c r="A2958" t="s">
        <v>3180</v>
      </c>
      <c r="B2958">
        <v>4522226</v>
      </c>
      <c r="D2958" t="s">
        <v>490</v>
      </c>
      <c r="E2958">
        <v>1</v>
      </c>
      <c r="F2958" t="s">
        <v>646</v>
      </c>
      <c r="H2958" t="s">
        <v>4290</v>
      </c>
    </row>
    <row r="2959" spans="1:8">
      <c r="A2959" t="s">
        <v>3180</v>
      </c>
      <c r="B2959">
        <v>4526644</v>
      </c>
      <c r="D2959" t="s">
        <v>495</v>
      </c>
      <c r="E2959">
        <v>1</v>
      </c>
      <c r="F2959" t="s">
        <v>646</v>
      </c>
      <c r="H2959" t="s">
        <v>4290</v>
      </c>
    </row>
    <row r="2960" spans="1:8">
      <c r="A2960" t="s">
        <v>3180</v>
      </c>
      <c r="B2960">
        <v>4716131</v>
      </c>
      <c r="D2960" t="s">
        <v>538</v>
      </c>
      <c r="E2960">
        <v>1</v>
      </c>
      <c r="F2960" t="s">
        <v>646</v>
      </c>
      <c r="H2960" t="s">
        <v>4290</v>
      </c>
    </row>
    <row r="2961" spans="1:8">
      <c r="A2961" t="s">
        <v>3180</v>
      </c>
      <c r="B2961">
        <v>4502553</v>
      </c>
      <c r="D2961" t="s">
        <v>1385</v>
      </c>
      <c r="E2961">
        <v>1</v>
      </c>
      <c r="F2961" t="s">
        <v>656</v>
      </c>
      <c r="H2961" t="s">
        <v>4290</v>
      </c>
    </row>
    <row r="2962" spans="1:8">
      <c r="A2962" t="s">
        <v>3180</v>
      </c>
      <c r="B2962">
        <v>4526364</v>
      </c>
      <c r="D2962" t="s">
        <v>4293</v>
      </c>
      <c r="E2962">
        <v>1</v>
      </c>
      <c r="F2962" t="s">
        <v>649</v>
      </c>
      <c r="H2962" t="s">
        <v>4290</v>
      </c>
    </row>
    <row r="2963" spans="1:8">
      <c r="A2963" t="s">
        <v>3180</v>
      </c>
      <c r="B2963">
        <v>4526758</v>
      </c>
      <c r="D2963" t="s">
        <v>1720</v>
      </c>
      <c r="E2963">
        <v>1</v>
      </c>
      <c r="F2963" t="s">
        <v>649</v>
      </c>
      <c r="H2963" t="s">
        <v>4290</v>
      </c>
    </row>
    <row r="2964" spans="1:8">
      <c r="A2964" t="s">
        <v>3180</v>
      </c>
      <c r="B2964">
        <v>4526023</v>
      </c>
      <c r="D2964" t="s">
        <v>4294</v>
      </c>
      <c r="E2964">
        <v>1</v>
      </c>
      <c r="F2964" t="s">
        <v>640</v>
      </c>
      <c r="H2964" t="s">
        <v>4290</v>
      </c>
    </row>
    <row r="2965" spans="1:8">
      <c r="A2965" t="s">
        <v>3180</v>
      </c>
      <c r="B2965">
        <v>4526943</v>
      </c>
      <c r="D2965" t="s">
        <v>1721</v>
      </c>
      <c r="E2965">
        <v>1</v>
      </c>
      <c r="F2965" t="s">
        <v>640</v>
      </c>
      <c r="H2965" t="s">
        <v>4290</v>
      </c>
    </row>
    <row r="2966" spans="1:8">
      <c r="A2966" t="s">
        <v>3180</v>
      </c>
      <c r="B2966">
        <v>4205721</v>
      </c>
      <c r="D2966" t="s">
        <v>544</v>
      </c>
      <c r="E2966">
        <v>1</v>
      </c>
      <c r="F2966" t="s">
        <v>640</v>
      </c>
      <c r="H2966" t="s">
        <v>4290</v>
      </c>
    </row>
    <row r="2967" spans="1:8">
      <c r="A2967" t="s">
        <v>3180</v>
      </c>
      <c r="B2967">
        <v>4526991</v>
      </c>
      <c r="D2967" t="s">
        <v>1722</v>
      </c>
      <c r="E2967">
        <v>1</v>
      </c>
      <c r="F2967" t="s">
        <v>640</v>
      </c>
      <c r="H2967" t="s">
        <v>4290</v>
      </c>
    </row>
    <row r="2968" spans="1:8">
      <c r="A2968" t="s">
        <v>3180</v>
      </c>
      <c r="B2968">
        <v>4722288</v>
      </c>
      <c r="D2968" t="s">
        <v>468</v>
      </c>
      <c r="E2968">
        <v>1</v>
      </c>
      <c r="F2968" t="s">
        <v>640</v>
      </c>
      <c r="H2968" t="s">
        <v>4290</v>
      </c>
    </row>
    <row r="2969" spans="1:8">
      <c r="A2969" t="s">
        <v>3180</v>
      </c>
      <c r="B2969">
        <v>8013779</v>
      </c>
      <c r="D2969" t="s">
        <v>2133</v>
      </c>
      <c r="E2969">
        <v>2</v>
      </c>
      <c r="F2969" t="s">
        <v>709</v>
      </c>
      <c r="H2969" t="s">
        <v>4290</v>
      </c>
    </row>
    <row r="2970" spans="1:8">
      <c r="A2970" t="s">
        <v>3180</v>
      </c>
      <c r="B2970">
        <v>8013117</v>
      </c>
      <c r="D2970" t="s">
        <v>2077</v>
      </c>
      <c r="E2970">
        <v>2</v>
      </c>
      <c r="F2970" t="s">
        <v>709</v>
      </c>
      <c r="H2970" t="s">
        <v>4290</v>
      </c>
    </row>
    <row r="2971" spans="1:8">
      <c r="A2971" t="s">
        <v>3180</v>
      </c>
      <c r="B2971">
        <v>8013448</v>
      </c>
      <c r="D2971" t="s">
        <v>2115</v>
      </c>
      <c r="E2971">
        <v>2</v>
      </c>
      <c r="F2971" t="s">
        <v>709</v>
      </c>
      <c r="H2971" t="s">
        <v>4290</v>
      </c>
    </row>
    <row r="2972" spans="1:8">
      <c r="A2972" t="s">
        <v>3180</v>
      </c>
      <c r="B2972">
        <v>8013783</v>
      </c>
      <c r="D2972" t="s">
        <v>2137</v>
      </c>
      <c r="E2972">
        <v>2</v>
      </c>
      <c r="F2972" t="s">
        <v>709</v>
      </c>
      <c r="H2972" t="s">
        <v>4290</v>
      </c>
    </row>
    <row r="2973" spans="1:8">
      <c r="A2973" t="s">
        <v>3180</v>
      </c>
      <c r="B2973">
        <v>4526942</v>
      </c>
      <c r="D2973" t="s">
        <v>4295</v>
      </c>
      <c r="E2973">
        <v>2</v>
      </c>
      <c r="F2973" t="s">
        <v>709</v>
      </c>
      <c r="H2973" t="s">
        <v>4290</v>
      </c>
    </row>
    <row r="2974" spans="1:8">
      <c r="A2974" t="s">
        <v>3180</v>
      </c>
      <c r="B2974">
        <v>4526941</v>
      </c>
      <c r="D2974" t="s">
        <v>4296</v>
      </c>
      <c r="E2974">
        <v>2</v>
      </c>
      <c r="F2974" t="s">
        <v>709</v>
      </c>
      <c r="H2974" t="s">
        <v>4290</v>
      </c>
    </row>
    <row r="2975" spans="1:8">
      <c r="A2975" t="s">
        <v>3180</v>
      </c>
      <c r="B2975">
        <v>4526940</v>
      </c>
      <c r="D2975" t="s">
        <v>4297</v>
      </c>
      <c r="E2975">
        <v>2</v>
      </c>
      <c r="F2975" t="s">
        <v>709</v>
      </c>
      <c r="H2975" t="s">
        <v>4290</v>
      </c>
    </row>
    <row r="2976" spans="1:8">
      <c r="A2976" t="s">
        <v>3180</v>
      </c>
      <c r="B2976">
        <v>8013413</v>
      </c>
      <c r="D2976" t="s">
        <v>2103</v>
      </c>
      <c r="E2976">
        <v>2</v>
      </c>
      <c r="F2976" t="s">
        <v>671</v>
      </c>
      <c r="H2976" t="s">
        <v>4290</v>
      </c>
    </row>
    <row r="2977" spans="1:8">
      <c r="A2977" t="s">
        <v>3180</v>
      </c>
      <c r="B2977">
        <v>4521395</v>
      </c>
      <c r="D2977" t="s">
        <v>4298</v>
      </c>
      <c r="E2977">
        <v>2</v>
      </c>
      <c r="F2977" t="s">
        <v>671</v>
      </c>
      <c r="H2977" t="s">
        <v>4290</v>
      </c>
    </row>
    <row r="2978" spans="1:8">
      <c r="A2978" t="s">
        <v>3180</v>
      </c>
      <c r="B2978">
        <v>4526367</v>
      </c>
      <c r="D2978" t="s">
        <v>728</v>
      </c>
      <c r="E2978">
        <v>2</v>
      </c>
      <c r="F2978" t="s">
        <v>671</v>
      </c>
      <c r="H2978" t="s">
        <v>4290</v>
      </c>
    </row>
    <row r="2979" spans="1:8">
      <c r="A2979" t="s">
        <v>3180</v>
      </c>
      <c r="B2979">
        <v>4520920</v>
      </c>
      <c r="D2979" t="s">
        <v>615</v>
      </c>
      <c r="E2979">
        <v>1</v>
      </c>
      <c r="F2979" t="s">
        <v>646</v>
      </c>
      <c r="H2979" t="s">
        <v>4290</v>
      </c>
    </row>
    <row r="2980" spans="1:8">
      <c r="A2980" t="s">
        <v>3180</v>
      </c>
      <c r="B2980">
        <v>4526639</v>
      </c>
      <c r="D2980" t="s">
        <v>602</v>
      </c>
      <c r="E2980">
        <v>1</v>
      </c>
      <c r="F2980" t="s">
        <v>642</v>
      </c>
      <c r="H2980" t="s">
        <v>4299</v>
      </c>
    </row>
    <row r="2981" spans="1:8">
      <c r="A2981" t="s">
        <v>3180</v>
      </c>
      <c r="B2981">
        <v>4527570</v>
      </c>
      <c r="D2981" t="s">
        <v>296</v>
      </c>
      <c r="E2981">
        <v>1</v>
      </c>
      <c r="F2981" t="s">
        <v>646</v>
      </c>
      <c r="H2981" t="s">
        <v>4299</v>
      </c>
    </row>
    <row r="2982" spans="1:8">
      <c r="A2982" t="s">
        <v>3180</v>
      </c>
      <c r="B2982">
        <v>4527571</v>
      </c>
      <c r="D2982" t="s">
        <v>1729</v>
      </c>
      <c r="E2982">
        <v>1</v>
      </c>
      <c r="F2982" t="s">
        <v>646</v>
      </c>
      <c r="H2982" t="s">
        <v>4299</v>
      </c>
    </row>
    <row r="2983" spans="1:8">
      <c r="A2983" t="s">
        <v>3180</v>
      </c>
      <c r="B2983">
        <v>4704409</v>
      </c>
      <c r="D2983" t="s">
        <v>479</v>
      </c>
      <c r="E2983">
        <v>1</v>
      </c>
      <c r="F2983" t="s">
        <v>646</v>
      </c>
      <c r="H2983" t="s">
        <v>4299</v>
      </c>
    </row>
    <row r="2984" spans="1:8">
      <c r="A2984" t="s">
        <v>3180</v>
      </c>
      <c r="B2984">
        <v>4518422</v>
      </c>
      <c r="D2984" t="s">
        <v>1634</v>
      </c>
      <c r="E2984">
        <v>1</v>
      </c>
      <c r="F2984" t="s">
        <v>656</v>
      </c>
      <c r="H2984" t="s">
        <v>4299</v>
      </c>
    </row>
    <row r="2985" spans="1:8">
      <c r="A2985" t="s">
        <v>3180</v>
      </c>
      <c r="B2985">
        <v>4527520</v>
      </c>
      <c r="D2985" t="s">
        <v>1728</v>
      </c>
      <c r="E2985">
        <v>1</v>
      </c>
      <c r="F2985" t="s">
        <v>649</v>
      </c>
      <c r="H2985" t="s">
        <v>4299</v>
      </c>
    </row>
    <row r="2986" spans="1:8">
      <c r="A2986" t="s">
        <v>3180</v>
      </c>
      <c r="B2986">
        <v>4527259</v>
      </c>
      <c r="D2986" t="s">
        <v>1724</v>
      </c>
      <c r="E2986">
        <v>1</v>
      </c>
      <c r="F2986" t="s">
        <v>640</v>
      </c>
      <c r="H2986" t="s">
        <v>4299</v>
      </c>
    </row>
    <row r="2987" spans="1:8">
      <c r="A2987" t="s">
        <v>3180</v>
      </c>
      <c r="B2987">
        <v>4527260</v>
      </c>
      <c r="D2987" t="s">
        <v>4300</v>
      </c>
      <c r="E2987">
        <v>1</v>
      </c>
      <c r="F2987" t="s">
        <v>640</v>
      </c>
      <c r="H2987" t="s">
        <v>4299</v>
      </c>
    </row>
    <row r="2988" spans="1:8">
      <c r="A2988" t="s">
        <v>3180</v>
      </c>
      <c r="B2988">
        <v>8012514</v>
      </c>
      <c r="D2988" t="s">
        <v>2076</v>
      </c>
      <c r="E2988">
        <v>2</v>
      </c>
      <c r="F2988" t="s">
        <v>709</v>
      </c>
      <c r="H2988" t="s">
        <v>4299</v>
      </c>
    </row>
    <row r="2989" spans="1:8">
      <c r="A2989" t="s">
        <v>3180</v>
      </c>
      <c r="B2989">
        <v>8014294</v>
      </c>
      <c r="D2989" t="s">
        <v>2144</v>
      </c>
      <c r="E2989">
        <v>2</v>
      </c>
      <c r="F2989" t="s">
        <v>709</v>
      </c>
      <c r="H2989" t="s">
        <v>4299</v>
      </c>
    </row>
    <row r="2990" spans="1:8">
      <c r="A2990" t="s">
        <v>3180</v>
      </c>
      <c r="B2990">
        <v>8014295</v>
      </c>
      <c r="D2990" t="s">
        <v>2145</v>
      </c>
      <c r="E2990">
        <v>2</v>
      </c>
      <c r="F2990" t="s">
        <v>709</v>
      </c>
      <c r="H2990" t="s">
        <v>4299</v>
      </c>
    </row>
    <row r="2991" spans="1:8">
      <c r="A2991" t="s">
        <v>3180</v>
      </c>
      <c r="B2991">
        <v>8014302</v>
      </c>
      <c r="D2991" t="s">
        <v>2152</v>
      </c>
      <c r="E2991">
        <v>2</v>
      </c>
      <c r="F2991" t="s">
        <v>709</v>
      </c>
      <c r="H2991" t="s">
        <v>4299</v>
      </c>
    </row>
    <row r="2992" spans="1:8">
      <c r="A2992" t="s">
        <v>3180</v>
      </c>
      <c r="B2992">
        <v>8014304</v>
      </c>
      <c r="D2992" t="s">
        <v>2153</v>
      </c>
      <c r="E2992">
        <v>2</v>
      </c>
      <c r="F2992" t="s">
        <v>709</v>
      </c>
      <c r="H2992" t="s">
        <v>4299</v>
      </c>
    </row>
    <row r="2993" spans="1:8">
      <c r="A2993" t="s">
        <v>3180</v>
      </c>
      <c r="B2993">
        <v>8014305</v>
      </c>
      <c r="D2993" t="s">
        <v>2154</v>
      </c>
      <c r="E2993">
        <v>2</v>
      </c>
      <c r="F2993" t="s">
        <v>709</v>
      </c>
      <c r="H2993" t="s">
        <v>4299</v>
      </c>
    </row>
    <row r="2994" spans="1:8">
      <c r="A2994" t="s">
        <v>3180</v>
      </c>
      <c r="B2994">
        <v>4023572</v>
      </c>
      <c r="D2994" t="s">
        <v>243</v>
      </c>
      <c r="E2994">
        <v>2</v>
      </c>
      <c r="F2994" t="s">
        <v>671</v>
      </c>
      <c r="H2994" t="s">
        <v>4299</v>
      </c>
    </row>
    <row r="2995" spans="1:8">
      <c r="A2995" t="s">
        <v>3180</v>
      </c>
      <c r="B2995">
        <v>4524610</v>
      </c>
      <c r="D2995" t="s">
        <v>1698</v>
      </c>
      <c r="E2995">
        <v>2</v>
      </c>
      <c r="F2995" t="s">
        <v>671</v>
      </c>
      <c r="H2995" t="s">
        <v>4299</v>
      </c>
    </row>
    <row r="2996" spans="1:8">
      <c r="A2996" t="s">
        <v>3180</v>
      </c>
      <c r="B2996">
        <v>4527139</v>
      </c>
      <c r="D2996" t="s">
        <v>507</v>
      </c>
      <c r="E2996">
        <v>2</v>
      </c>
      <c r="F2996" t="s">
        <v>671</v>
      </c>
      <c r="H2996" t="s">
        <v>4299</v>
      </c>
    </row>
    <row r="2997" spans="1:8">
      <c r="A2997" t="s">
        <v>3180</v>
      </c>
      <c r="B2997">
        <v>4716070</v>
      </c>
      <c r="D2997" t="s">
        <v>4301</v>
      </c>
      <c r="E2997">
        <v>2</v>
      </c>
      <c r="F2997" t="s">
        <v>671</v>
      </c>
      <c r="H2997" t="s">
        <v>4299</v>
      </c>
    </row>
    <row r="2998" spans="1:8">
      <c r="A2998" t="s">
        <v>3180</v>
      </c>
      <c r="B2998">
        <v>8009582</v>
      </c>
      <c r="D2998" t="s">
        <v>1207</v>
      </c>
      <c r="E2998">
        <v>2</v>
      </c>
      <c r="F2998" t="s">
        <v>671</v>
      </c>
      <c r="H2998" t="s">
        <v>4299</v>
      </c>
    </row>
    <row r="2999" spans="1:8">
      <c r="A2999" t="s">
        <v>3180</v>
      </c>
      <c r="B2999">
        <v>8011489</v>
      </c>
      <c r="D2999" t="s">
        <v>1204</v>
      </c>
      <c r="E2999">
        <v>2</v>
      </c>
      <c r="F2999" t="s">
        <v>671</v>
      </c>
      <c r="H2999" t="s">
        <v>4299</v>
      </c>
    </row>
    <row r="3000" spans="1:8">
      <c r="A3000" t="s">
        <v>3180</v>
      </c>
      <c r="B3000">
        <v>8011501</v>
      </c>
      <c r="D3000" t="s">
        <v>420</v>
      </c>
      <c r="E3000">
        <v>2</v>
      </c>
      <c r="F3000" t="s">
        <v>671</v>
      </c>
      <c r="H3000" t="s">
        <v>4299</v>
      </c>
    </row>
    <row r="3001" spans="1:8">
      <c r="A3001" t="s">
        <v>3180</v>
      </c>
      <c r="B3001">
        <v>8703948</v>
      </c>
      <c r="D3001" t="s">
        <v>2313</v>
      </c>
      <c r="E3001">
        <v>2</v>
      </c>
      <c r="F3001" t="s">
        <v>671</v>
      </c>
      <c r="H3001" t="s">
        <v>4299</v>
      </c>
    </row>
    <row r="3002" spans="1:8">
      <c r="A3002" t="s">
        <v>3180</v>
      </c>
      <c r="B3002">
        <v>8704080</v>
      </c>
      <c r="D3002" t="s">
        <v>543</v>
      </c>
      <c r="E3002">
        <v>2</v>
      </c>
      <c r="F3002" t="s">
        <v>671</v>
      </c>
      <c r="H3002" t="s">
        <v>4299</v>
      </c>
    </row>
    <row r="3003" spans="1:8">
      <c r="A3003" t="s">
        <v>3180</v>
      </c>
      <c r="B3003">
        <v>3008087</v>
      </c>
      <c r="D3003" t="s">
        <v>1050</v>
      </c>
      <c r="E3003">
        <v>1</v>
      </c>
      <c r="F3003" t="s">
        <v>644</v>
      </c>
      <c r="H3003" t="s">
        <v>4302</v>
      </c>
    </row>
    <row r="3004" spans="1:8">
      <c r="A3004" t="s">
        <v>3180</v>
      </c>
      <c r="B3004">
        <v>4527852</v>
      </c>
      <c r="D3004" t="s">
        <v>1739</v>
      </c>
      <c r="E3004">
        <v>1</v>
      </c>
      <c r="F3004" t="s">
        <v>644</v>
      </c>
      <c r="H3004" t="s">
        <v>4302</v>
      </c>
    </row>
    <row r="3005" spans="1:8">
      <c r="A3005" t="s">
        <v>3180</v>
      </c>
      <c r="B3005">
        <v>4509073</v>
      </c>
      <c r="D3005" t="s">
        <v>16</v>
      </c>
      <c r="E3005">
        <v>1</v>
      </c>
      <c r="F3005" t="s">
        <v>644</v>
      </c>
      <c r="H3005" t="s">
        <v>4302</v>
      </c>
    </row>
    <row r="3006" spans="1:8">
      <c r="A3006" t="s">
        <v>3180</v>
      </c>
      <c r="B3006">
        <v>4527262</v>
      </c>
      <c r="D3006" t="s">
        <v>1726</v>
      </c>
      <c r="E3006">
        <v>1</v>
      </c>
      <c r="F3006" t="s">
        <v>642</v>
      </c>
      <c r="H3006" t="s">
        <v>4302</v>
      </c>
    </row>
    <row r="3007" spans="1:8">
      <c r="A3007" t="s">
        <v>3180</v>
      </c>
      <c r="B3007">
        <v>4527853</v>
      </c>
      <c r="D3007" t="s">
        <v>4303</v>
      </c>
      <c r="E3007">
        <v>1</v>
      </c>
      <c r="F3007" t="s">
        <v>642</v>
      </c>
      <c r="H3007" t="s">
        <v>4302</v>
      </c>
    </row>
    <row r="3008" spans="1:8">
      <c r="A3008" t="s">
        <v>3180</v>
      </c>
      <c r="B3008">
        <v>4527763</v>
      </c>
      <c r="D3008" t="s">
        <v>1735</v>
      </c>
      <c r="E3008">
        <v>1</v>
      </c>
      <c r="F3008" t="s">
        <v>646</v>
      </c>
      <c r="H3008" t="s">
        <v>4302</v>
      </c>
    </row>
    <row r="3009" spans="1:8">
      <c r="A3009" t="s">
        <v>3180</v>
      </c>
      <c r="B3009">
        <v>4527569</v>
      </c>
      <c r="D3009" t="s">
        <v>4304</v>
      </c>
      <c r="E3009">
        <v>1</v>
      </c>
      <c r="F3009" t="s">
        <v>646</v>
      </c>
      <c r="H3009" t="s">
        <v>4302</v>
      </c>
    </row>
    <row r="3010" spans="1:8">
      <c r="A3010" t="s">
        <v>3180</v>
      </c>
      <c r="B3010">
        <v>1501094</v>
      </c>
      <c r="D3010" t="s">
        <v>4305</v>
      </c>
      <c r="E3010">
        <v>1</v>
      </c>
      <c r="F3010" t="s">
        <v>646</v>
      </c>
      <c r="H3010" t="s">
        <v>4302</v>
      </c>
    </row>
    <row r="3011" spans="1:8">
      <c r="A3011" t="s">
        <v>3180</v>
      </c>
      <c r="B3011">
        <v>4528214</v>
      </c>
      <c r="D3011" t="s">
        <v>4306</v>
      </c>
      <c r="E3011">
        <v>1</v>
      </c>
      <c r="F3011" t="s">
        <v>646</v>
      </c>
      <c r="H3011" t="s">
        <v>4302</v>
      </c>
    </row>
    <row r="3012" spans="1:8">
      <c r="A3012" t="s">
        <v>3180</v>
      </c>
      <c r="B3012">
        <v>4528216</v>
      </c>
      <c r="D3012" t="s">
        <v>4307</v>
      </c>
      <c r="E3012">
        <v>1</v>
      </c>
      <c r="F3012" t="s">
        <v>646</v>
      </c>
      <c r="H3012" t="s">
        <v>4302</v>
      </c>
    </row>
    <row r="3013" spans="1:8">
      <c r="A3013" t="s">
        <v>3180</v>
      </c>
      <c r="B3013">
        <v>4528215</v>
      </c>
      <c r="D3013" t="s">
        <v>4308</v>
      </c>
      <c r="E3013">
        <v>1</v>
      </c>
      <c r="F3013" t="s">
        <v>646</v>
      </c>
      <c r="H3013" t="s">
        <v>4302</v>
      </c>
    </row>
    <row r="3014" spans="1:8">
      <c r="A3014" t="s">
        <v>3180</v>
      </c>
      <c r="B3014">
        <v>4528217</v>
      </c>
      <c r="D3014" t="s">
        <v>4309</v>
      </c>
      <c r="E3014">
        <v>1</v>
      </c>
      <c r="F3014" t="s">
        <v>646</v>
      </c>
      <c r="H3014" t="s">
        <v>4302</v>
      </c>
    </row>
    <row r="3015" spans="1:8">
      <c r="A3015" t="s">
        <v>3180</v>
      </c>
      <c r="B3015">
        <v>4526495</v>
      </c>
      <c r="D3015" t="s">
        <v>4310</v>
      </c>
      <c r="E3015">
        <v>1</v>
      </c>
      <c r="F3015" t="s">
        <v>646</v>
      </c>
      <c r="H3015" t="s">
        <v>4302</v>
      </c>
    </row>
    <row r="3016" spans="1:8">
      <c r="A3016" t="s">
        <v>3180</v>
      </c>
      <c r="B3016">
        <v>4528213</v>
      </c>
      <c r="D3016" t="s">
        <v>4311</v>
      </c>
      <c r="E3016">
        <v>1</v>
      </c>
      <c r="F3016" t="s">
        <v>646</v>
      </c>
      <c r="H3016" t="s">
        <v>4302</v>
      </c>
    </row>
    <row r="3017" spans="1:8">
      <c r="A3017" t="s">
        <v>3180</v>
      </c>
      <c r="B3017">
        <v>4743292</v>
      </c>
      <c r="D3017" t="s">
        <v>4312</v>
      </c>
      <c r="E3017">
        <v>1</v>
      </c>
      <c r="F3017" t="s">
        <v>646</v>
      </c>
      <c r="H3017" t="s">
        <v>4302</v>
      </c>
    </row>
    <row r="3018" spans="1:8">
      <c r="A3018" t="s">
        <v>3180</v>
      </c>
      <c r="B3018">
        <v>4527328</v>
      </c>
      <c r="D3018" t="s">
        <v>4313</v>
      </c>
      <c r="E3018">
        <v>1</v>
      </c>
      <c r="F3018" t="s">
        <v>646</v>
      </c>
      <c r="H3018" t="s">
        <v>4302</v>
      </c>
    </row>
    <row r="3019" spans="1:8">
      <c r="A3019" t="s">
        <v>3180</v>
      </c>
      <c r="B3019">
        <v>4500745</v>
      </c>
      <c r="D3019" t="s">
        <v>4314</v>
      </c>
      <c r="E3019">
        <v>1</v>
      </c>
      <c r="F3019" t="s">
        <v>646</v>
      </c>
      <c r="H3019" t="s">
        <v>4302</v>
      </c>
    </row>
    <row r="3020" spans="1:8">
      <c r="A3020" t="s">
        <v>3180</v>
      </c>
      <c r="B3020">
        <v>4024321</v>
      </c>
      <c r="D3020" t="s">
        <v>4315</v>
      </c>
      <c r="E3020">
        <v>1</v>
      </c>
      <c r="F3020" t="s">
        <v>646</v>
      </c>
      <c r="H3020" t="s">
        <v>4302</v>
      </c>
    </row>
    <row r="3021" spans="1:8">
      <c r="A3021" t="s">
        <v>3180</v>
      </c>
      <c r="B3021">
        <v>4005720</v>
      </c>
      <c r="D3021" t="s">
        <v>4316</v>
      </c>
      <c r="E3021">
        <v>1</v>
      </c>
      <c r="F3021" t="s">
        <v>646</v>
      </c>
      <c r="H3021" t="s">
        <v>4302</v>
      </c>
    </row>
    <row r="3022" spans="1:8">
      <c r="A3022" t="s">
        <v>3180</v>
      </c>
      <c r="B3022">
        <v>4527327</v>
      </c>
      <c r="D3022" t="s">
        <v>4317</v>
      </c>
      <c r="E3022">
        <v>1</v>
      </c>
      <c r="F3022" t="s">
        <v>656</v>
      </c>
      <c r="H3022" t="s">
        <v>4302</v>
      </c>
    </row>
    <row r="3023" spans="1:8">
      <c r="A3023" t="s">
        <v>3180</v>
      </c>
      <c r="B3023">
        <v>4526759</v>
      </c>
      <c r="D3023" t="s">
        <v>359</v>
      </c>
      <c r="E3023">
        <v>1</v>
      </c>
      <c r="F3023" t="s">
        <v>656</v>
      </c>
      <c r="H3023" t="s">
        <v>4302</v>
      </c>
    </row>
    <row r="3024" spans="1:8">
      <c r="A3024" t="s">
        <v>3180</v>
      </c>
      <c r="B3024">
        <v>4527137</v>
      </c>
      <c r="D3024" t="s">
        <v>1723</v>
      </c>
      <c r="E3024">
        <v>1</v>
      </c>
      <c r="F3024" t="s">
        <v>656</v>
      </c>
      <c r="H3024" t="s">
        <v>4302</v>
      </c>
    </row>
    <row r="3025" spans="1:8">
      <c r="A3025" t="s">
        <v>3180</v>
      </c>
      <c r="B3025">
        <v>4527138</v>
      </c>
      <c r="D3025" t="s">
        <v>730</v>
      </c>
      <c r="E3025">
        <v>1</v>
      </c>
      <c r="F3025" t="s">
        <v>649</v>
      </c>
      <c r="H3025" t="s">
        <v>4302</v>
      </c>
    </row>
    <row r="3026" spans="1:8">
      <c r="A3026" t="s">
        <v>3180</v>
      </c>
      <c r="B3026">
        <v>4527339</v>
      </c>
      <c r="D3026" t="s">
        <v>4318</v>
      </c>
      <c r="E3026">
        <v>1</v>
      </c>
      <c r="F3026" t="s">
        <v>649</v>
      </c>
      <c r="H3026" t="s">
        <v>4302</v>
      </c>
    </row>
    <row r="3027" spans="1:8">
      <c r="A3027" t="s">
        <v>3180</v>
      </c>
      <c r="B3027">
        <v>4527592</v>
      </c>
      <c r="D3027" t="s">
        <v>4319</v>
      </c>
      <c r="E3027">
        <v>1</v>
      </c>
      <c r="F3027" t="s">
        <v>649</v>
      </c>
      <c r="H3027" t="s">
        <v>4302</v>
      </c>
    </row>
    <row r="3028" spans="1:8">
      <c r="A3028" t="s">
        <v>3180</v>
      </c>
      <c r="B3028">
        <v>4527261</v>
      </c>
      <c r="D3028" t="s">
        <v>1725</v>
      </c>
      <c r="E3028">
        <v>1</v>
      </c>
      <c r="F3028" t="s">
        <v>649</v>
      </c>
      <c r="H3028" t="s">
        <v>4302</v>
      </c>
    </row>
    <row r="3029" spans="1:8">
      <c r="A3029" t="s">
        <v>3180</v>
      </c>
      <c r="B3029">
        <v>4506594</v>
      </c>
      <c r="D3029" t="s">
        <v>4320</v>
      </c>
      <c r="E3029">
        <v>1</v>
      </c>
      <c r="F3029" t="s">
        <v>642</v>
      </c>
      <c r="H3029" t="s">
        <v>4302</v>
      </c>
    </row>
    <row r="3030" spans="1:8">
      <c r="A3030" t="s">
        <v>3180</v>
      </c>
      <c r="B3030">
        <v>4516771</v>
      </c>
      <c r="D3030" t="s">
        <v>1603</v>
      </c>
      <c r="E3030">
        <v>1</v>
      </c>
      <c r="F3030" t="s">
        <v>640</v>
      </c>
      <c r="H3030" t="s">
        <v>4302</v>
      </c>
    </row>
    <row r="3031" spans="1:8">
      <c r="A3031" t="s">
        <v>3180</v>
      </c>
      <c r="B3031">
        <v>4004440</v>
      </c>
      <c r="D3031" t="s">
        <v>593</v>
      </c>
      <c r="E3031">
        <v>1</v>
      </c>
      <c r="F3031" t="s">
        <v>640</v>
      </c>
      <c r="H3031" t="s">
        <v>4302</v>
      </c>
    </row>
    <row r="3032" spans="1:8">
      <c r="A3032" t="s">
        <v>3180</v>
      </c>
      <c r="B3032">
        <v>4502195</v>
      </c>
      <c r="D3032" t="s">
        <v>4321</v>
      </c>
      <c r="E3032">
        <v>1</v>
      </c>
      <c r="F3032" t="s">
        <v>640</v>
      </c>
      <c r="H3032" t="s">
        <v>4302</v>
      </c>
    </row>
    <row r="3033" spans="1:8">
      <c r="A3033" t="s">
        <v>3180</v>
      </c>
      <c r="B3033">
        <v>8704102</v>
      </c>
      <c r="D3033" t="s">
        <v>2322</v>
      </c>
      <c r="E3033">
        <v>2</v>
      </c>
      <c r="F3033" t="s">
        <v>671</v>
      </c>
      <c r="H3033" t="s">
        <v>4302</v>
      </c>
    </row>
    <row r="3034" spans="1:8">
      <c r="A3034" t="s">
        <v>3180</v>
      </c>
      <c r="B3034">
        <v>8007136</v>
      </c>
      <c r="D3034" t="s">
        <v>1214</v>
      </c>
      <c r="E3034">
        <v>2</v>
      </c>
      <c r="F3034" t="s">
        <v>671</v>
      </c>
      <c r="H3034" t="s">
        <v>4302</v>
      </c>
    </row>
    <row r="3035" spans="1:8">
      <c r="A3035" t="s">
        <v>3180</v>
      </c>
      <c r="B3035">
        <v>8014323</v>
      </c>
      <c r="D3035" t="s">
        <v>2170</v>
      </c>
      <c r="E3035">
        <v>2</v>
      </c>
      <c r="F3035" t="s">
        <v>671</v>
      </c>
      <c r="H3035" t="s">
        <v>4302</v>
      </c>
    </row>
    <row r="3036" spans="1:8">
      <c r="A3036" t="s">
        <v>3180</v>
      </c>
      <c r="B3036">
        <v>8014319</v>
      </c>
      <c r="D3036" t="s">
        <v>2166</v>
      </c>
      <c r="E3036">
        <v>2</v>
      </c>
      <c r="F3036" t="s">
        <v>671</v>
      </c>
      <c r="H3036" t="s">
        <v>4302</v>
      </c>
    </row>
    <row r="3037" spans="1:8">
      <c r="A3037" t="s">
        <v>3180</v>
      </c>
      <c r="B3037">
        <v>8014322</v>
      </c>
      <c r="D3037" t="s">
        <v>2169</v>
      </c>
      <c r="E3037">
        <v>2</v>
      </c>
      <c r="F3037" t="s">
        <v>671</v>
      </c>
      <c r="H3037" t="s">
        <v>4302</v>
      </c>
    </row>
    <row r="3038" spans="1:8">
      <c r="A3038" t="s">
        <v>3180</v>
      </c>
      <c r="B3038">
        <v>8006649</v>
      </c>
      <c r="D3038" t="s">
        <v>1085</v>
      </c>
      <c r="E3038">
        <v>2</v>
      </c>
      <c r="F3038" t="s">
        <v>671</v>
      </c>
      <c r="H3038" t="s">
        <v>4302</v>
      </c>
    </row>
    <row r="3039" spans="1:8">
      <c r="A3039" t="s">
        <v>3180</v>
      </c>
      <c r="B3039">
        <v>8014316</v>
      </c>
      <c r="D3039" t="s">
        <v>2163</v>
      </c>
      <c r="E3039">
        <v>2</v>
      </c>
      <c r="F3039" t="s">
        <v>671</v>
      </c>
      <c r="H3039" t="s">
        <v>4302</v>
      </c>
    </row>
    <row r="3040" spans="1:8">
      <c r="A3040" t="s">
        <v>3180</v>
      </c>
      <c r="B3040">
        <v>8014324</v>
      </c>
      <c r="D3040" t="s">
        <v>2171</v>
      </c>
      <c r="E3040">
        <v>2</v>
      </c>
      <c r="F3040" t="s">
        <v>671</v>
      </c>
      <c r="H3040" t="s">
        <v>4302</v>
      </c>
    </row>
    <row r="3041" spans="1:8">
      <c r="A3041" t="s">
        <v>3180</v>
      </c>
      <c r="B3041">
        <v>8014308</v>
      </c>
      <c r="D3041" t="s">
        <v>2157</v>
      </c>
      <c r="E3041">
        <v>2</v>
      </c>
      <c r="F3041" t="s">
        <v>671</v>
      </c>
      <c r="H3041" t="s">
        <v>4302</v>
      </c>
    </row>
    <row r="3042" spans="1:8">
      <c r="A3042" t="s">
        <v>3180</v>
      </c>
      <c r="B3042">
        <v>8014463</v>
      </c>
      <c r="D3042" t="s">
        <v>2193</v>
      </c>
      <c r="E3042">
        <v>2</v>
      </c>
      <c r="F3042" t="s">
        <v>671</v>
      </c>
      <c r="H3042" t="s">
        <v>4302</v>
      </c>
    </row>
    <row r="3043" spans="1:8">
      <c r="A3043" t="s">
        <v>3180</v>
      </c>
      <c r="B3043">
        <v>4528087</v>
      </c>
      <c r="D3043" t="s">
        <v>1741</v>
      </c>
      <c r="E3043">
        <v>2</v>
      </c>
      <c r="F3043" t="s">
        <v>671</v>
      </c>
      <c r="H3043" t="s">
        <v>4302</v>
      </c>
    </row>
    <row r="3044" spans="1:8">
      <c r="A3044" t="s">
        <v>3180</v>
      </c>
      <c r="B3044">
        <v>8014325</v>
      </c>
      <c r="D3044" t="s">
        <v>2172</v>
      </c>
      <c r="E3044">
        <v>2</v>
      </c>
      <c r="F3044" t="s">
        <v>671</v>
      </c>
      <c r="H3044" t="s">
        <v>4302</v>
      </c>
    </row>
    <row r="3045" spans="1:8">
      <c r="A3045" t="s">
        <v>3180</v>
      </c>
      <c r="B3045">
        <v>8014321</v>
      </c>
      <c r="D3045" t="s">
        <v>2168</v>
      </c>
      <c r="E3045">
        <v>2</v>
      </c>
      <c r="F3045" t="s">
        <v>671</v>
      </c>
      <c r="H3045" t="s">
        <v>4302</v>
      </c>
    </row>
    <row r="3046" spans="1:8">
      <c r="A3046" t="s">
        <v>3180</v>
      </c>
      <c r="B3046">
        <v>8014311</v>
      </c>
      <c r="D3046" t="s">
        <v>2159</v>
      </c>
      <c r="E3046">
        <v>2</v>
      </c>
      <c r="F3046" t="s">
        <v>671</v>
      </c>
      <c r="H3046" t="s">
        <v>4302</v>
      </c>
    </row>
    <row r="3047" spans="1:8">
      <c r="A3047" t="s">
        <v>3180</v>
      </c>
      <c r="B3047">
        <v>8014326</v>
      </c>
      <c r="D3047" t="s">
        <v>2173</v>
      </c>
      <c r="E3047">
        <v>2</v>
      </c>
      <c r="F3047" t="s">
        <v>671</v>
      </c>
      <c r="H3047" t="s">
        <v>4302</v>
      </c>
    </row>
    <row r="3048" spans="1:8">
      <c r="A3048" t="s">
        <v>3180</v>
      </c>
      <c r="B3048">
        <v>8014315</v>
      </c>
      <c r="D3048" t="s">
        <v>2162</v>
      </c>
      <c r="E3048">
        <v>2</v>
      </c>
      <c r="F3048" t="s">
        <v>671</v>
      </c>
      <c r="H3048" t="s">
        <v>4302</v>
      </c>
    </row>
    <row r="3049" spans="1:8">
      <c r="A3049" t="s">
        <v>3180</v>
      </c>
      <c r="B3049">
        <v>8703791</v>
      </c>
      <c r="D3049" t="s">
        <v>251</v>
      </c>
      <c r="E3049">
        <v>2</v>
      </c>
      <c r="F3049" t="s">
        <v>671</v>
      </c>
      <c r="H3049" t="s">
        <v>4302</v>
      </c>
    </row>
    <row r="3050" spans="1:8">
      <c r="A3050" t="s">
        <v>3180</v>
      </c>
      <c r="B3050">
        <v>8013523</v>
      </c>
      <c r="D3050" t="s">
        <v>2118</v>
      </c>
      <c r="E3050">
        <v>2</v>
      </c>
      <c r="F3050" t="s">
        <v>671</v>
      </c>
      <c r="H3050" t="s">
        <v>4302</v>
      </c>
    </row>
    <row r="3051" spans="1:8">
      <c r="A3051" t="s">
        <v>3180</v>
      </c>
      <c r="B3051">
        <v>8009579</v>
      </c>
      <c r="D3051" t="s">
        <v>1185</v>
      </c>
      <c r="E3051">
        <v>2</v>
      </c>
      <c r="F3051" t="s">
        <v>671</v>
      </c>
      <c r="H3051" t="s">
        <v>4302</v>
      </c>
    </row>
    <row r="3052" spans="1:8">
      <c r="A3052" t="s">
        <v>3180</v>
      </c>
      <c r="B3052">
        <v>8011416</v>
      </c>
      <c r="D3052" t="s">
        <v>63</v>
      </c>
      <c r="E3052">
        <v>2</v>
      </c>
      <c r="F3052" t="s">
        <v>671</v>
      </c>
      <c r="H3052" t="s">
        <v>4302</v>
      </c>
    </row>
    <row r="3053" spans="1:8">
      <c r="A3053" t="s">
        <v>3180</v>
      </c>
      <c r="B3053">
        <v>8014293</v>
      </c>
      <c r="D3053" t="s">
        <v>2143</v>
      </c>
      <c r="E3053">
        <v>2</v>
      </c>
      <c r="F3053" t="s">
        <v>671</v>
      </c>
      <c r="H3053" t="s">
        <v>4302</v>
      </c>
    </row>
    <row r="3054" spans="1:8">
      <c r="A3054" t="s">
        <v>3180</v>
      </c>
      <c r="B3054">
        <v>8014320</v>
      </c>
      <c r="D3054" t="s">
        <v>2167</v>
      </c>
      <c r="E3054">
        <v>2</v>
      </c>
      <c r="F3054" t="s">
        <v>671</v>
      </c>
      <c r="H3054" t="s">
        <v>4302</v>
      </c>
    </row>
    <row r="3055" spans="1:8">
      <c r="A3055" t="s">
        <v>3180</v>
      </c>
      <c r="B3055">
        <v>8704091</v>
      </c>
      <c r="D3055" t="s">
        <v>220</v>
      </c>
      <c r="E3055">
        <v>2</v>
      </c>
      <c r="F3055" t="s">
        <v>671</v>
      </c>
      <c r="H3055" t="s">
        <v>4302</v>
      </c>
    </row>
    <row r="3056" spans="1:8">
      <c r="A3056" t="s">
        <v>3180</v>
      </c>
      <c r="B3056">
        <v>8703897</v>
      </c>
      <c r="D3056" t="s">
        <v>2310</v>
      </c>
      <c r="E3056">
        <v>2</v>
      </c>
      <c r="F3056" t="s">
        <v>671</v>
      </c>
      <c r="H3056" t="s">
        <v>4302</v>
      </c>
    </row>
    <row r="3057" spans="1:8">
      <c r="A3057" t="s">
        <v>3180</v>
      </c>
      <c r="B3057">
        <v>8703898</v>
      </c>
      <c r="D3057" t="s">
        <v>2311</v>
      </c>
      <c r="E3057">
        <v>2</v>
      </c>
      <c r="F3057" t="s">
        <v>671</v>
      </c>
      <c r="H3057" t="s">
        <v>4302</v>
      </c>
    </row>
    <row r="3058" spans="1:8">
      <c r="A3058" t="s">
        <v>3180</v>
      </c>
      <c r="B3058">
        <v>8007135</v>
      </c>
      <c r="D3058" t="s">
        <v>1884</v>
      </c>
      <c r="E3058">
        <v>2</v>
      </c>
      <c r="F3058" t="s">
        <v>671</v>
      </c>
      <c r="H3058" t="s">
        <v>4302</v>
      </c>
    </row>
    <row r="3059" spans="1:8">
      <c r="A3059" t="s">
        <v>3180</v>
      </c>
      <c r="B3059">
        <v>8704021</v>
      </c>
      <c r="D3059" t="s">
        <v>2319</v>
      </c>
      <c r="E3059">
        <v>2</v>
      </c>
      <c r="F3059" t="s">
        <v>671</v>
      </c>
      <c r="H3059" t="s">
        <v>4302</v>
      </c>
    </row>
    <row r="3060" spans="1:8">
      <c r="A3060" t="s">
        <v>3180</v>
      </c>
      <c r="B3060">
        <v>8704096</v>
      </c>
      <c r="D3060" t="s">
        <v>28</v>
      </c>
      <c r="E3060">
        <v>2</v>
      </c>
      <c r="F3060" t="s">
        <v>671</v>
      </c>
      <c r="H3060" t="s">
        <v>4302</v>
      </c>
    </row>
    <row r="3061" spans="1:8">
      <c r="A3061" t="s">
        <v>3180</v>
      </c>
      <c r="B3061">
        <v>8704095</v>
      </c>
      <c r="D3061" t="s">
        <v>240</v>
      </c>
      <c r="E3061">
        <v>2</v>
      </c>
      <c r="F3061" t="s">
        <v>671</v>
      </c>
      <c r="H3061" t="s">
        <v>4302</v>
      </c>
    </row>
    <row r="3062" spans="1:8">
      <c r="A3062" t="s">
        <v>3180</v>
      </c>
      <c r="B3062">
        <v>8009573</v>
      </c>
      <c r="D3062" t="s">
        <v>370</v>
      </c>
      <c r="E3062">
        <v>2</v>
      </c>
      <c r="F3062" t="s">
        <v>671</v>
      </c>
      <c r="H3062" t="s">
        <v>4302</v>
      </c>
    </row>
    <row r="3063" spans="1:8">
      <c r="A3063" t="s">
        <v>3180</v>
      </c>
      <c r="B3063">
        <v>8013780</v>
      </c>
      <c r="D3063" t="s">
        <v>2134</v>
      </c>
      <c r="E3063">
        <v>2</v>
      </c>
      <c r="F3063" t="s">
        <v>671</v>
      </c>
      <c r="H3063" t="s">
        <v>4302</v>
      </c>
    </row>
    <row r="3064" spans="1:8">
      <c r="A3064" t="s">
        <v>3180</v>
      </c>
      <c r="B3064">
        <v>8014313</v>
      </c>
      <c r="D3064" t="s">
        <v>2160</v>
      </c>
      <c r="E3064">
        <v>2</v>
      </c>
      <c r="F3064" t="s">
        <v>671</v>
      </c>
      <c r="H3064" t="s">
        <v>4302</v>
      </c>
    </row>
    <row r="3065" spans="1:8">
      <c r="A3065" t="s">
        <v>3180</v>
      </c>
      <c r="B3065">
        <v>8014314</v>
      </c>
      <c r="D3065" t="s">
        <v>2161</v>
      </c>
      <c r="E3065">
        <v>2</v>
      </c>
      <c r="F3065" t="s">
        <v>671</v>
      </c>
      <c r="H3065" t="s">
        <v>4302</v>
      </c>
    </row>
    <row r="3066" spans="1:8">
      <c r="A3066" t="s">
        <v>3180</v>
      </c>
      <c r="B3066">
        <v>8014328</v>
      </c>
      <c r="D3066" t="s">
        <v>2175</v>
      </c>
      <c r="E3066">
        <v>2</v>
      </c>
      <c r="F3066" t="s">
        <v>671</v>
      </c>
      <c r="H3066" t="s">
        <v>4302</v>
      </c>
    </row>
    <row r="3067" spans="1:8">
      <c r="A3067" t="s">
        <v>3180</v>
      </c>
      <c r="B3067">
        <v>8009566</v>
      </c>
      <c r="D3067" t="s">
        <v>1190</v>
      </c>
      <c r="E3067">
        <v>2</v>
      </c>
      <c r="F3067" t="s">
        <v>671</v>
      </c>
      <c r="H3067" t="s">
        <v>4302</v>
      </c>
    </row>
    <row r="3068" spans="1:8">
      <c r="A3068" t="s">
        <v>3180</v>
      </c>
      <c r="B3068">
        <v>8009571</v>
      </c>
      <c r="D3068" t="s">
        <v>1189</v>
      </c>
      <c r="E3068">
        <v>2</v>
      </c>
      <c r="F3068" t="s">
        <v>671</v>
      </c>
      <c r="H3068" t="s">
        <v>4302</v>
      </c>
    </row>
    <row r="3069" spans="1:8">
      <c r="A3069" t="s">
        <v>3180</v>
      </c>
      <c r="B3069">
        <v>8014464</v>
      </c>
      <c r="D3069" t="s">
        <v>2194</v>
      </c>
      <c r="E3069">
        <v>2</v>
      </c>
      <c r="F3069" t="s">
        <v>671</v>
      </c>
      <c r="H3069" t="s">
        <v>4302</v>
      </c>
    </row>
    <row r="3070" spans="1:8">
      <c r="A3070" t="s">
        <v>3180</v>
      </c>
      <c r="B3070">
        <v>8013442</v>
      </c>
      <c r="D3070" t="s">
        <v>2112</v>
      </c>
      <c r="E3070">
        <v>2</v>
      </c>
      <c r="F3070" t="s">
        <v>671</v>
      </c>
      <c r="H3070" t="s">
        <v>4302</v>
      </c>
    </row>
    <row r="3071" spans="1:8">
      <c r="A3071" t="s">
        <v>3180</v>
      </c>
      <c r="B3071">
        <v>8704009</v>
      </c>
      <c r="D3071" t="s">
        <v>2317</v>
      </c>
      <c r="E3071">
        <v>2</v>
      </c>
      <c r="F3071" t="s">
        <v>671</v>
      </c>
      <c r="H3071" t="s">
        <v>4302</v>
      </c>
    </row>
    <row r="3072" spans="1:8">
      <c r="A3072" t="s">
        <v>3180</v>
      </c>
      <c r="B3072">
        <v>8009583</v>
      </c>
      <c r="D3072" t="s">
        <v>1904</v>
      </c>
      <c r="E3072">
        <v>2</v>
      </c>
      <c r="F3072" t="s">
        <v>671</v>
      </c>
      <c r="H3072" t="s">
        <v>4302</v>
      </c>
    </row>
    <row r="3073" spans="1:8">
      <c r="A3073" t="s">
        <v>3180</v>
      </c>
      <c r="B3073">
        <v>8009575</v>
      </c>
      <c r="D3073" t="s">
        <v>1191</v>
      </c>
      <c r="E3073">
        <v>2</v>
      </c>
      <c r="F3073" t="s">
        <v>671</v>
      </c>
      <c r="H3073" t="s">
        <v>4302</v>
      </c>
    </row>
    <row r="3074" spans="1:8">
      <c r="A3074" t="s">
        <v>3180</v>
      </c>
      <c r="B3074">
        <v>8009576</v>
      </c>
      <c r="D3074" t="s">
        <v>565</v>
      </c>
      <c r="E3074">
        <v>2</v>
      </c>
      <c r="F3074" t="s">
        <v>671</v>
      </c>
      <c r="H3074" t="s">
        <v>4302</v>
      </c>
    </row>
    <row r="3075" spans="1:8">
      <c r="A3075" t="s">
        <v>3180</v>
      </c>
      <c r="B3075">
        <v>8013782</v>
      </c>
      <c r="D3075" t="s">
        <v>2136</v>
      </c>
      <c r="E3075">
        <v>2</v>
      </c>
      <c r="F3075" t="s">
        <v>671</v>
      </c>
      <c r="H3075" t="s">
        <v>4302</v>
      </c>
    </row>
    <row r="3076" spans="1:8">
      <c r="A3076" t="s">
        <v>3180</v>
      </c>
      <c r="B3076">
        <v>8014309</v>
      </c>
      <c r="D3076" t="s">
        <v>2158</v>
      </c>
      <c r="E3076">
        <v>2</v>
      </c>
      <c r="F3076" t="s">
        <v>671</v>
      </c>
      <c r="H3076" t="s">
        <v>4302</v>
      </c>
    </row>
    <row r="3077" spans="1:8">
      <c r="A3077" t="s">
        <v>3180</v>
      </c>
      <c r="B3077">
        <v>8011403</v>
      </c>
      <c r="D3077" t="s">
        <v>1148</v>
      </c>
      <c r="E3077">
        <v>2</v>
      </c>
      <c r="F3077" t="s">
        <v>671</v>
      </c>
      <c r="H3077" t="s">
        <v>4302</v>
      </c>
    </row>
    <row r="3078" spans="1:8">
      <c r="A3078" t="s">
        <v>3180</v>
      </c>
      <c r="B3078">
        <v>8703999</v>
      </c>
      <c r="D3078" t="s">
        <v>1262</v>
      </c>
      <c r="E3078">
        <v>2</v>
      </c>
      <c r="F3078" t="s">
        <v>671</v>
      </c>
      <c r="H3078" t="s">
        <v>4302</v>
      </c>
    </row>
    <row r="3079" spans="1:8">
      <c r="A3079" t="s">
        <v>3180</v>
      </c>
      <c r="B3079">
        <v>8704000</v>
      </c>
      <c r="D3079" t="s">
        <v>1261</v>
      </c>
      <c r="E3079">
        <v>2</v>
      </c>
      <c r="F3079" t="s">
        <v>671</v>
      </c>
      <c r="H3079" t="s">
        <v>4302</v>
      </c>
    </row>
    <row r="3080" spans="1:8">
      <c r="A3080" t="s">
        <v>3180</v>
      </c>
      <c r="B3080">
        <v>8014292</v>
      </c>
      <c r="D3080" t="s">
        <v>2142</v>
      </c>
      <c r="E3080">
        <v>2</v>
      </c>
      <c r="F3080" t="s">
        <v>709</v>
      </c>
      <c r="H3080" t="s">
        <v>4302</v>
      </c>
    </row>
    <row r="3081" spans="1:8">
      <c r="A3081" t="s">
        <v>3180</v>
      </c>
      <c r="B3081">
        <v>8014291</v>
      </c>
      <c r="D3081" t="s">
        <v>2141</v>
      </c>
      <c r="E3081">
        <v>2</v>
      </c>
      <c r="F3081" t="s">
        <v>709</v>
      </c>
      <c r="H3081" t="s">
        <v>4302</v>
      </c>
    </row>
    <row r="3082" spans="1:8">
      <c r="A3082" t="s">
        <v>3180</v>
      </c>
      <c r="B3082">
        <v>8014298</v>
      </c>
      <c r="D3082" t="s">
        <v>2148</v>
      </c>
      <c r="E3082">
        <v>2</v>
      </c>
      <c r="F3082" t="s">
        <v>709</v>
      </c>
      <c r="H3082" t="s">
        <v>4302</v>
      </c>
    </row>
    <row r="3083" spans="1:8">
      <c r="A3083" t="s">
        <v>3180</v>
      </c>
      <c r="B3083">
        <v>8014297</v>
      </c>
      <c r="D3083" t="s">
        <v>2147</v>
      </c>
      <c r="E3083">
        <v>2</v>
      </c>
      <c r="F3083" t="s">
        <v>709</v>
      </c>
      <c r="H3083" t="s">
        <v>4302</v>
      </c>
    </row>
    <row r="3084" spans="1:8">
      <c r="A3084" t="s">
        <v>3180</v>
      </c>
      <c r="B3084">
        <v>8014301</v>
      </c>
      <c r="D3084" t="s">
        <v>2151</v>
      </c>
      <c r="E3084">
        <v>2</v>
      </c>
      <c r="F3084" t="s">
        <v>709</v>
      </c>
      <c r="H3084" t="s">
        <v>4302</v>
      </c>
    </row>
    <row r="3085" spans="1:8">
      <c r="A3085" t="s">
        <v>3180</v>
      </c>
      <c r="B3085">
        <v>8014299</v>
      </c>
      <c r="D3085" t="s">
        <v>2149</v>
      </c>
      <c r="E3085">
        <v>2</v>
      </c>
      <c r="F3085" t="s">
        <v>709</v>
      </c>
      <c r="H3085" t="s">
        <v>4302</v>
      </c>
    </row>
    <row r="3086" spans="1:8">
      <c r="A3086" t="s">
        <v>3180</v>
      </c>
      <c r="B3086">
        <v>8014300</v>
      </c>
      <c r="D3086" t="s">
        <v>2150</v>
      </c>
      <c r="E3086">
        <v>2</v>
      </c>
      <c r="F3086" t="s">
        <v>709</v>
      </c>
      <c r="H3086" t="s">
        <v>4302</v>
      </c>
    </row>
    <row r="3087" spans="1:8">
      <c r="A3087" t="s">
        <v>3180</v>
      </c>
      <c r="B3087">
        <v>8014296</v>
      </c>
      <c r="D3087" t="s">
        <v>2146</v>
      </c>
      <c r="E3087">
        <v>2</v>
      </c>
      <c r="F3087" t="s">
        <v>709</v>
      </c>
      <c r="H3087" t="s">
        <v>4302</v>
      </c>
    </row>
    <row r="3088" spans="1:8">
      <c r="A3088" t="s">
        <v>3180</v>
      </c>
      <c r="B3088">
        <v>8014307</v>
      </c>
      <c r="D3088" t="s">
        <v>2156</v>
      </c>
      <c r="E3088">
        <v>2</v>
      </c>
      <c r="F3088" t="s">
        <v>709</v>
      </c>
      <c r="H3088" t="s">
        <v>4302</v>
      </c>
    </row>
    <row r="3089" spans="1:8">
      <c r="A3089" t="s">
        <v>3180</v>
      </c>
      <c r="B3089">
        <v>8014306</v>
      </c>
      <c r="D3089" t="s">
        <v>2155</v>
      </c>
      <c r="E3089">
        <v>2</v>
      </c>
      <c r="F3089" t="s">
        <v>709</v>
      </c>
      <c r="H3089" t="s">
        <v>4302</v>
      </c>
    </row>
    <row r="3090" spans="1:8">
      <c r="A3090" t="s">
        <v>3180</v>
      </c>
      <c r="B3090">
        <v>8013449</v>
      </c>
      <c r="D3090" t="s">
        <v>2116</v>
      </c>
      <c r="E3090">
        <v>2</v>
      </c>
      <c r="F3090" t="s">
        <v>709</v>
      </c>
      <c r="H3090" t="s">
        <v>4302</v>
      </c>
    </row>
    <row r="3091" spans="1:8">
      <c r="A3091" t="s">
        <v>3180</v>
      </c>
      <c r="B3091">
        <v>8013503</v>
      </c>
      <c r="D3091" t="s">
        <v>2117</v>
      </c>
      <c r="E3091">
        <v>2</v>
      </c>
      <c r="F3091" t="s">
        <v>709</v>
      </c>
      <c r="H3091" t="s">
        <v>4302</v>
      </c>
    </row>
    <row r="3092" spans="1:8">
      <c r="A3092" t="s">
        <v>3180</v>
      </c>
      <c r="B3092">
        <v>8013778</v>
      </c>
      <c r="D3092" t="s">
        <v>2132</v>
      </c>
      <c r="E3092">
        <v>2</v>
      </c>
      <c r="F3092" t="s">
        <v>709</v>
      </c>
      <c r="H3092" t="s">
        <v>4302</v>
      </c>
    </row>
    <row r="3093" spans="1:8">
      <c r="A3093" t="s">
        <v>3180</v>
      </c>
      <c r="B3093">
        <v>8013776</v>
      </c>
      <c r="D3093" t="s">
        <v>2130</v>
      </c>
      <c r="E3093">
        <v>2</v>
      </c>
      <c r="F3093" t="s">
        <v>709</v>
      </c>
      <c r="H3093" t="s">
        <v>4302</v>
      </c>
    </row>
    <row r="3094" spans="1:8">
      <c r="A3094" t="s">
        <v>3180</v>
      </c>
      <c r="B3094">
        <v>8013777</v>
      </c>
      <c r="D3094" t="s">
        <v>2131</v>
      </c>
      <c r="E3094">
        <v>2</v>
      </c>
      <c r="F3094" t="s">
        <v>709</v>
      </c>
      <c r="H3094" t="s">
        <v>4302</v>
      </c>
    </row>
    <row r="3095" spans="1:8">
      <c r="A3095" t="s">
        <v>3180</v>
      </c>
      <c r="B3095">
        <v>8013446</v>
      </c>
      <c r="D3095" t="s">
        <v>2114</v>
      </c>
      <c r="E3095">
        <v>2</v>
      </c>
      <c r="F3095" t="s">
        <v>709</v>
      </c>
      <c r="H3095" t="s">
        <v>4302</v>
      </c>
    </row>
    <row r="3096" spans="1:8">
      <c r="A3096" t="s">
        <v>3180</v>
      </c>
      <c r="B3096">
        <v>8013785</v>
      </c>
      <c r="D3096" t="s">
        <v>2139</v>
      </c>
      <c r="E3096">
        <v>2</v>
      </c>
      <c r="F3096" t="s">
        <v>709</v>
      </c>
      <c r="H3096" t="s">
        <v>4302</v>
      </c>
    </row>
    <row r="3097" spans="1:8">
      <c r="A3097" t="s">
        <v>3180</v>
      </c>
      <c r="B3097">
        <v>8013781</v>
      </c>
      <c r="D3097" t="s">
        <v>2135</v>
      </c>
      <c r="E3097">
        <v>2</v>
      </c>
      <c r="F3097" t="s">
        <v>709</v>
      </c>
      <c r="H3097" t="s">
        <v>4302</v>
      </c>
    </row>
    <row r="3098" spans="1:8">
      <c r="A3098" t="s">
        <v>3180</v>
      </c>
      <c r="B3098">
        <v>8013784</v>
      </c>
      <c r="D3098" t="s">
        <v>2138</v>
      </c>
      <c r="E3098">
        <v>2</v>
      </c>
      <c r="F3098" t="s">
        <v>709</v>
      </c>
      <c r="H3098" t="s">
        <v>4302</v>
      </c>
    </row>
    <row r="3099" spans="1:8">
      <c r="A3099" t="s">
        <v>3180</v>
      </c>
      <c r="B3099">
        <v>8013445</v>
      </c>
      <c r="D3099" t="s">
        <v>2113</v>
      </c>
      <c r="E3099">
        <v>2</v>
      </c>
      <c r="F3099" t="s">
        <v>709</v>
      </c>
      <c r="H3099" t="s">
        <v>4302</v>
      </c>
    </row>
    <row r="3100" spans="1:8">
      <c r="A3100" t="s">
        <v>3180</v>
      </c>
      <c r="B3100">
        <v>4521693</v>
      </c>
      <c r="D3100" t="s">
        <v>4322</v>
      </c>
      <c r="E3100">
        <v>1</v>
      </c>
      <c r="F3100" t="s">
        <v>642</v>
      </c>
      <c r="H3100" t="s">
        <v>4302</v>
      </c>
    </row>
    <row r="3101" spans="1:8">
      <c r="A3101" t="s">
        <v>3180</v>
      </c>
      <c r="B3101">
        <v>4513252</v>
      </c>
      <c r="D3101" t="s">
        <v>4323</v>
      </c>
      <c r="E3101">
        <v>1</v>
      </c>
      <c r="F3101" t="s">
        <v>656</v>
      </c>
      <c r="H3101" t="s">
        <v>4302</v>
      </c>
    </row>
    <row r="3102" spans="1:8">
      <c r="A3102" t="s">
        <v>3180</v>
      </c>
      <c r="B3102">
        <v>4527904</v>
      </c>
      <c r="D3102" t="s">
        <v>4324</v>
      </c>
      <c r="E3102">
        <v>1</v>
      </c>
      <c r="F3102" t="s">
        <v>640</v>
      </c>
      <c r="H3102" t="s">
        <v>4302</v>
      </c>
    </row>
    <row r="3103" spans="1:8">
      <c r="A3103" t="s">
        <v>3180</v>
      </c>
      <c r="B3103">
        <v>4526638</v>
      </c>
      <c r="D3103" t="s">
        <v>4325</v>
      </c>
      <c r="E3103">
        <v>1</v>
      </c>
      <c r="F3103" t="s">
        <v>640</v>
      </c>
      <c r="H3103" t="s">
        <v>4302</v>
      </c>
    </row>
    <row r="3104" spans="1:8">
      <c r="A3104" t="s">
        <v>3180</v>
      </c>
      <c r="B3104">
        <v>4789582</v>
      </c>
      <c r="D3104" t="s">
        <v>4326</v>
      </c>
      <c r="E3104">
        <v>1</v>
      </c>
      <c r="F3104" t="s">
        <v>640</v>
      </c>
      <c r="H3104" t="s">
        <v>4302</v>
      </c>
    </row>
    <row r="3105" spans="1:8">
      <c r="A3105" t="s">
        <v>3180</v>
      </c>
      <c r="B3105">
        <v>8014327</v>
      </c>
      <c r="D3105" t="s">
        <v>2174</v>
      </c>
      <c r="E3105">
        <v>2</v>
      </c>
      <c r="F3105" t="s">
        <v>671</v>
      </c>
      <c r="H3105" t="s">
        <v>4302</v>
      </c>
    </row>
    <row r="3106" spans="1:8">
      <c r="A3106" t="s">
        <v>3180</v>
      </c>
      <c r="B3106">
        <v>8014318</v>
      </c>
      <c r="D3106" t="s">
        <v>2165</v>
      </c>
      <c r="E3106">
        <v>2</v>
      </c>
      <c r="F3106" t="s">
        <v>671</v>
      </c>
      <c r="H3106" t="s">
        <v>4302</v>
      </c>
    </row>
    <row r="3107" spans="1:8">
      <c r="A3107" t="s">
        <v>3180</v>
      </c>
      <c r="B3107">
        <v>8014317</v>
      </c>
      <c r="D3107" t="s">
        <v>2164</v>
      </c>
      <c r="E3107">
        <v>2</v>
      </c>
      <c r="F3107" t="s">
        <v>671</v>
      </c>
      <c r="H3107" t="s">
        <v>4302</v>
      </c>
    </row>
    <row r="3108" spans="1:8">
      <c r="A3108" t="s">
        <v>3180</v>
      </c>
      <c r="B3108">
        <v>8014329</v>
      </c>
      <c r="D3108" t="s">
        <v>2176</v>
      </c>
      <c r="E3108">
        <v>2</v>
      </c>
      <c r="F3108" t="s">
        <v>671</v>
      </c>
      <c r="H3108" t="s">
        <v>4302</v>
      </c>
    </row>
    <row r="3109" spans="1:8">
      <c r="A3109" t="s">
        <v>3180</v>
      </c>
      <c r="B3109">
        <v>4519879</v>
      </c>
      <c r="D3109" t="s">
        <v>4327</v>
      </c>
      <c r="E3109">
        <v>2</v>
      </c>
      <c r="F3109" t="s">
        <v>671</v>
      </c>
      <c r="H3109" t="s">
        <v>4302</v>
      </c>
    </row>
    <row r="3110" spans="1:8">
      <c r="A3110" t="s">
        <v>3180</v>
      </c>
      <c r="B3110">
        <v>4527923</v>
      </c>
      <c r="D3110" t="s">
        <v>4328</v>
      </c>
      <c r="E3110">
        <v>2</v>
      </c>
      <c r="F3110" t="s">
        <v>671</v>
      </c>
      <c r="H3110" t="s">
        <v>4302</v>
      </c>
    </row>
    <row r="3111" spans="1:8">
      <c r="A3111" t="s">
        <v>3180</v>
      </c>
      <c r="B3111">
        <v>4527906</v>
      </c>
      <c r="D3111" t="s">
        <v>4329</v>
      </c>
      <c r="E3111">
        <v>2</v>
      </c>
      <c r="F3111" t="s">
        <v>671</v>
      </c>
      <c r="H3111" t="s">
        <v>4302</v>
      </c>
    </row>
    <row r="3112" spans="1:8">
      <c r="A3112" t="s">
        <v>3180</v>
      </c>
      <c r="B3112">
        <v>4527905</v>
      </c>
      <c r="D3112" t="s">
        <v>4330</v>
      </c>
      <c r="E3112">
        <v>2</v>
      </c>
      <c r="F3112" t="s">
        <v>671</v>
      </c>
      <c r="H3112" t="s">
        <v>4302</v>
      </c>
    </row>
    <row r="3113" spans="1:8">
      <c r="A3113" t="s">
        <v>3180</v>
      </c>
      <c r="B3113">
        <v>8012381</v>
      </c>
      <c r="D3113" t="s">
        <v>2056</v>
      </c>
      <c r="E3113">
        <v>2</v>
      </c>
      <c r="F3113" t="s">
        <v>671</v>
      </c>
      <c r="H3113" t="s">
        <v>4302</v>
      </c>
    </row>
    <row r="3114" spans="1:8">
      <c r="A3114" t="s">
        <v>3180</v>
      </c>
      <c r="B3114">
        <v>4527807</v>
      </c>
      <c r="D3114" t="s">
        <v>4331</v>
      </c>
      <c r="E3114">
        <v>2</v>
      </c>
      <c r="F3114" t="s">
        <v>654</v>
      </c>
      <c r="H3114" t="s">
        <v>4302</v>
      </c>
    </row>
    <row r="3115" spans="1:8">
      <c r="A3115" t="s">
        <v>3180</v>
      </c>
      <c r="B3115">
        <v>4527480</v>
      </c>
      <c r="D3115" t="s">
        <v>1727</v>
      </c>
      <c r="E3115">
        <v>1</v>
      </c>
      <c r="F3115" t="s">
        <v>644</v>
      </c>
      <c r="H3115" t="s">
        <v>4332</v>
      </c>
    </row>
    <row r="3116" spans="1:8">
      <c r="A3116" t="s">
        <v>3180</v>
      </c>
      <c r="B3116">
        <v>3007923</v>
      </c>
      <c r="D3116" t="s">
        <v>358</v>
      </c>
      <c r="E3116">
        <v>1</v>
      </c>
      <c r="F3116" t="s">
        <v>644</v>
      </c>
      <c r="H3116" t="s">
        <v>4332</v>
      </c>
    </row>
    <row r="3117" spans="1:8">
      <c r="A3117" t="s">
        <v>3180</v>
      </c>
      <c r="B3117">
        <v>4527758</v>
      </c>
      <c r="D3117" t="s">
        <v>1732</v>
      </c>
      <c r="E3117">
        <v>1</v>
      </c>
      <c r="F3117" t="s">
        <v>644</v>
      </c>
      <c r="H3117" t="s">
        <v>4332</v>
      </c>
    </row>
    <row r="3118" spans="1:8">
      <c r="A3118" t="s">
        <v>3180</v>
      </c>
      <c r="B3118">
        <v>4527808</v>
      </c>
      <c r="D3118" t="s">
        <v>1737</v>
      </c>
      <c r="E3118">
        <v>1</v>
      </c>
      <c r="F3118" t="s">
        <v>644</v>
      </c>
      <c r="H3118" t="s">
        <v>4332</v>
      </c>
    </row>
    <row r="3119" spans="1:8">
      <c r="A3119" t="s">
        <v>3180</v>
      </c>
      <c r="B3119">
        <v>4735139</v>
      </c>
      <c r="D3119" t="s">
        <v>335</v>
      </c>
      <c r="E3119">
        <v>1</v>
      </c>
      <c r="F3119" t="s">
        <v>642</v>
      </c>
      <c r="H3119" t="s">
        <v>4332</v>
      </c>
    </row>
    <row r="3120" spans="1:8">
      <c r="A3120" t="s">
        <v>3180</v>
      </c>
      <c r="B3120">
        <v>4509249</v>
      </c>
      <c r="D3120" t="s">
        <v>706</v>
      </c>
      <c r="E3120">
        <v>1</v>
      </c>
      <c r="F3120" t="s">
        <v>642</v>
      </c>
      <c r="H3120" t="s">
        <v>4332</v>
      </c>
    </row>
    <row r="3121" spans="1:8">
      <c r="A3121" t="s">
        <v>3180</v>
      </c>
      <c r="B3121">
        <v>4526284</v>
      </c>
      <c r="D3121" t="s">
        <v>99</v>
      </c>
      <c r="E3121">
        <v>1</v>
      </c>
      <c r="F3121" t="s">
        <v>646</v>
      </c>
      <c r="H3121" t="s">
        <v>4332</v>
      </c>
    </row>
    <row r="3122" spans="1:8">
      <c r="A3122" t="s">
        <v>3180</v>
      </c>
      <c r="B3122">
        <v>4505451</v>
      </c>
      <c r="D3122" t="s">
        <v>47</v>
      </c>
      <c r="E3122">
        <v>1</v>
      </c>
      <c r="F3122" t="s">
        <v>646</v>
      </c>
      <c r="H3122" t="s">
        <v>4332</v>
      </c>
    </row>
    <row r="3123" spans="1:8">
      <c r="A3123" t="s">
        <v>3180</v>
      </c>
      <c r="B3123">
        <v>4519833</v>
      </c>
      <c r="D3123" t="s">
        <v>1650</v>
      </c>
      <c r="E3123">
        <v>1</v>
      </c>
      <c r="F3123" t="s">
        <v>646</v>
      </c>
      <c r="H3123" t="s">
        <v>4332</v>
      </c>
    </row>
    <row r="3124" spans="1:8">
      <c r="A3124" t="s">
        <v>3180</v>
      </c>
      <c r="B3124">
        <v>4505448</v>
      </c>
      <c r="D3124" t="s">
        <v>48</v>
      </c>
      <c r="E3124">
        <v>1</v>
      </c>
      <c r="F3124" t="s">
        <v>646</v>
      </c>
      <c r="H3124" t="s">
        <v>4332</v>
      </c>
    </row>
    <row r="3125" spans="1:8">
      <c r="A3125" t="s">
        <v>3180</v>
      </c>
      <c r="B3125">
        <v>4527826</v>
      </c>
      <c r="D3125" t="s">
        <v>1738</v>
      </c>
      <c r="E3125">
        <v>1</v>
      </c>
      <c r="F3125" t="s">
        <v>646</v>
      </c>
      <c r="H3125" t="s">
        <v>4332</v>
      </c>
    </row>
    <row r="3126" spans="1:8">
      <c r="A3126" t="s">
        <v>3180</v>
      </c>
      <c r="B3126">
        <v>4528292</v>
      </c>
      <c r="D3126" t="s">
        <v>52</v>
      </c>
      <c r="E3126">
        <v>1</v>
      </c>
      <c r="F3126" t="s">
        <v>646</v>
      </c>
      <c r="H3126" t="s">
        <v>4332</v>
      </c>
    </row>
    <row r="3127" spans="1:8">
      <c r="A3127" t="s">
        <v>3180</v>
      </c>
      <c r="B3127">
        <v>4528291</v>
      </c>
      <c r="D3127" t="s">
        <v>53</v>
      </c>
      <c r="E3127">
        <v>1</v>
      </c>
      <c r="F3127" t="s">
        <v>646</v>
      </c>
      <c r="H3127" t="s">
        <v>4332</v>
      </c>
    </row>
    <row r="3128" spans="1:8">
      <c r="A3128" t="s">
        <v>3180</v>
      </c>
      <c r="B3128">
        <v>4528183</v>
      </c>
      <c r="D3128" t="s">
        <v>59</v>
      </c>
      <c r="E3128">
        <v>1</v>
      </c>
      <c r="F3128" t="s">
        <v>646</v>
      </c>
      <c r="H3128" t="s">
        <v>4332</v>
      </c>
    </row>
    <row r="3129" spans="1:8">
      <c r="A3129" t="s">
        <v>3180</v>
      </c>
      <c r="B3129">
        <v>4527696</v>
      </c>
      <c r="D3129" t="s">
        <v>125</v>
      </c>
      <c r="E3129">
        <v>1</v>
      </c>
      <c r="F3129" t="s">
        <v>646</v>
      </c>
      <c r="H3129" t="s">
        <v>4332</v>
      </c>
    </row>
    <row r="3130" spans="1:8">
      <c r="A3130" t="s">
        <v>3180</v>
      </c>
      <c r="B3130">
        <v>4528801</v>
      </c>
      <c r="D3130" t="s">
        <v>180</v>
      </c>
      <c r="E3130">
        <v>1</v>
      </c>
      <c r="F3130" t="s">
        <v>646</v>
      </c>
      <c r="H3130" t="s">
        <v>4332</v>
      </c>
    </row>
    <row r="3131" spans="1:8">
      <c r="A3131" t="s">
        <v>3180</v>
      </c>
      <c r="B3131">
        <v>4527764</v>
      </c>
      <c r="D3131" t="s">
        <v>287</v>
      </c>
      <c r="E3131">
        <v>1</v>
      </c>
      <c r="F3131" t="s">
        <v>646</v>
      </c>
      <c r="H3131" t="s">
        <v>4332</v>
      </c>
    </row>
    <row r="3132" spans="1:8">
      <c r="A3132" t="s">
        <v>3180</v>
      </c>
      <c r="B3132">
        <v>4516239</v>
      </c>
      <c r="D3132" t="s">
        <v>1589</v>
      </c>
      <c r="E3132">
        <v>1</v>
      </c>
      <c r="F3132" t="s">
        <v>646</v>
      </c>
      <c r="H3132" t="s">
        <v>4332</v>
      </c>
    </row>
    <row r="3133" spans="1:8">
      <c r="A3133" t="s">
        <v>3180</v>
      </c>
      <c r="B3133">
        <v>4527884</v>
      </c>
      <c r="D3133" t="s">
        <v>494</v>
      </c>
      <c r="E3133">
        <v>1</v>
      </c>
      <c r="F3133" t="s">
        <v>646</v>
      </c>
      <c r="H3133" t="s">
        <v>4332</v>
      </c>
    </row>
    <row r="3134" spans="1:8">
      <c r="A3134" t="s">
        <v>3180</v>
      </c>
      <c r="B3134">
        <v>4527761</v>
      </c>
      <c r="D3134" t="s">
        <v>731</v>
      </c>
      <c r="E3134">
        <v>1</v>
      </c>
      <c r="F3134" t="s">
        <v>646</v>
      </c>
      <c r="H3134" t="s">
        <v>4332</v>
      </c>
    </row>
    <row r="3135" spans="1:8">
      <c r="A3135" t="s">
        <v>3180</v>
      </c>
      <c r="B3135">
        <v>4528554</v>
      </c>
      <c r="D3135" t="s">
        <v>298</v>
      </c>
      <c r="E3135">
        <v>1</v>
      </c>
      <c r="F3135" t="s">
        <v>646</v>
      </c>
      <c r="H3135" t="s">
        <v>4332</v>
      </c>
    </row>
    <row r="3136" spans="1:8">
      <c r="A3136" t="s">
        <v>3180</v>
      </c>
      <c r="B3136">
        <v>4528886</v>
      </c>
      <c r="D3136" t="s">
        <v>4333</v>
      </c>
      <c r="E3136">
        <v>1</v>
      </c>
      <c r="F3136" t="s">
        <v>646</v>
      </c>
      <c r="H3136" t="s">
        <v>4332</v>
      </c>
    </row>
    <row r="3137" spans="1:8">
      <c r="A3137" t="s">
        <v>3180</v>
      </c>
      <c r="B3137">
        <v>4528449</v>
      </c>
      <c r="D3137" t="s">
        <v>4334</v>
      </c>
      <c r="E3137">
        <v>1</v>
      </c>
      <c r="F3137" t="s">
        <v>646</v>
      </c>
      <c r="H3137" t="s">
        <v>4332</v>
      </c>
    </row>
    <row r="3138" spans="1:8">
      <c r="A3138" t="s">
        <v>3180</v>
      </c>
      <c r="B3138">
        <v>4528887</v>
      </c>
      <c r="D3138" t="s">
        <v>4335</v>
      </c>
      <c r="E3138">
        <v>1</v>
      </c>
      <c r="F3138" t="s">
        <v>646</v>
      </c>
      <c r="H3138" t="s">
        <v>4332</v>
      </c>
    </row>
    <row r="3139" spans="1:8">
      <c r="A3139" t="s">
        <v>3180</v>
      </c>
      <c r="B3139">
        <v>4207919</v>
      </c>
      <c r="D3139" t="s">
        <v>4336</v>
      </c>
      <c r="E3139">
        <v>1</v>
      </c>
      <c r="F3139" t="s">
        <v>646</v>
      </c>
      <c r="H3139" t="s">
        <v>4332</v>
      </c>
    </row>
    <row r="3140" spans="1:8">
      <c r="A3140" t="s">
        <v>3180</v>
      </c>
      <c r="B3140">
        <v>4528206</v>
      </c>
      <c r="D3140" t="s">
        <v>338</v>
      </c>
      <c r="E3140">
        <v>1</v>
      </c>
      <c r="F3140" t="s">
        <v>656</v>
      </c>
      <c r="H3140" t="s">
        <v>4332</v>
      </c>
    </row>
    <row r="3141" spans="1:8">
      <c r="A3141" t="s">
        <v>3180</v>
      </c>
      <c r="B3141">
        <v>4501959</v>
      </c>
      <c r="D3141" t="s">
        <v>573</v>
      </c>
      <c r="E3141">
        <v>1</v>
      </c>
      <c r="F3141" t="s">
        <v>656</v>
      </c>
      <c r="H3141" t="s">
        <v>4332</v>
      </c>
    </row>
    <row r="3142" spans="1:8">
      <c r="A3142" t="s">
        <v>3180</v>
      </c>
      <c r="B3142">
        <v>4019343</v>
      </c>
      <c r="D3142" t="s">
        <v>214</v>
      </c>
      <c r="E3142">
        <v>1</v>
      </c>
      <c r="F3142" t="s">
        <v>649</v>
      </c>
      <c r="H3142" t="s">
        <v>4332</v>
      </c>
    </row>
    <row r="3143" spans="1:8">
      <c r="A3143" t="s">
        <v>3180</v>
      </c>
      <c r="B3143">
        <v>4528802</v>
      </c>
      <c r="D3143" t="s">
        <v>1748</v>
      </c>
      <c r="E3143">
        <v>1</v>
      </c>
      <c r="F3143" t="s">
        <v>649</v>
      </c>
      <c r="H3143" t="s">
        <v>4332</v>
      </c>
    </row>
    <row r="3144" spans="1:8">
      <c r="A3144" t="s">
        <v>3180</v>
      </c>
      <c r="B3144">
        <v>3010923</v>
      </c>
      <c r="D3144" t="s">
        <v>691</v>
      </c>
      <c r="E3144">
        <v>1</v>
      </c>
      <c r="F3144" t="s">
        <v>649</v>
      </c>
      <c r="H3144" t="s">
        <v>4332</v>
      </c>
    </row>
    <row r="3145" spans="1:8">
      <c r="A3145" t="s">
        <v>3180</v>
      </c>
      <c r="B3145">
        <v>4528591</v>
      </c>
      <c r="D3145" t="s">
        <v>1746</v>
      </c>
      <c r="E3145">
        <v>1</v>
      </c>
      <c r="F3145" t="s">
        <v>649</v>
      </c>
      <c r="H3145" t="s">
        <v>4332</v>
      </c>
    </row>
    <row r="3146" spans="1:8">
      <c r="A3146" t="s">
        <v>3180</v>
      </c>
      <c r="B3146">
        <v>4527669</v>
      </c>
      <c r="D3146" t="s">
        <v>508</v>
      </c>
      <c r="E3146">
        <v>1</v>
      </c>
      <c r="F3146" t="s">
        <v>649</v>
      </c>
      <c r="H3146" t="s">
        <v>4332</v>
      </c>
    </row>
    <row r="3147" spans="1:8">
      <c r="A3147" t="s">
        <v>3180</v>
      </c>
      <c r="B3147">
        <v>4005469</v>
      </c>
      <c r="D3147" t="s">
        <v>1180</v>
      </c>
      <c r="E3147">
        <v>1</v>
      </c>
      <c r="F3147" t="s">
        <v>649</v>
      </c>
      <c r="H3147" t="s">
        <v>4332</v>
      </c>
    </row>
    <row r="3148" spans="1:8">
      <c r="A3148" t="s">
        <v>3180</v>
      </c>
      <c r="B3148">
        <v>4528086</v>
      </c>
      <c r="D3148" t="s">
        <v>732</v>
      </c>
      <c r="E3148">
        <v>1</v>
      </c>
      <c r="F3148" t="s">
        <v>640</v>
      </c>
      <c r="H3148" t="s">
        <v>4332</v>
      </c>
    </row>
    <row r="3149" spans="1:8">
      <c r="A3149" t="s">
        <v>3180</v>
      </c>
      <c r="B3149">
        <v>4527695</v>
      </c>
      <c r="D3149" t="s">
        <v>1731</v>
      </c>
      <c r="E3149">
        <v>1</v>
      </c>
      <c r="F3149" t="s">
        <v>640</v>
      </c>
      <c r="H3149" t="s">
        <v>4332</v>
      </c>
    </row>
    <row r="3150" spans="1:8">
      <c r="A3150" t="s">
        <v>3180</v>
      </c>
      <c r="B3150">
        <v>4525059</v>
      </c>
      <c r="D3150" t="s">
        <v>1703</v>
      </c>
      <c r="E3150">
        <v>1</v>
      </c>
      <c r="F3150" t="s">
        <v>640</v>
      </c>
      <c r="H3150" t="s">
        <v>4332</v>
      </c>
    </row>
    <row r="3151" spans="1:8">
      <c r="A3151" t="s">
        <v>3180</v>
      </c>
      <c r="B3151">
        <v>4525060</v>
      </c>
      <c r="D3151" t="s">
        <v>1704</v>
      </c>
      <c r="E3151">
        <v>1</v>
      </c>
      <c r="F3151" t="s">
        <v>640</v>
      </c>
      <c r="H3151" t="s">
        <v>4332</v>
      </c>
    </row>
    <row r="3152" spans="1:8">
      <c r="A3152" t="s">
        <v>3180</v>
      </c>
      <c r="B3152">
        <v>4527976</v>
      </c>
      <c r="D3152" t="s">
        <v>1740</v>
      </c>
      <c r="E3152">
        <v>1</v>
      </c>
      <c r="F3152" t="s">
        <v>640</v>
      </c>
      <c r="H3152" t="s">
        <v>4332</v>
      </c>
    </row>
    <row r="3153" spans="1:8">
      <c r="A3153" t="s">
        <v>3180</v>
      </c>
      <c r="B3153">
        <v>4008995</v>
      </c>
      <c r="D3153" t="s">
        <v>1213</v>
      </c>
      <c r="E3153">
        <v>1</v>
      </c>
      <c r="F3153" t="s">
        <v>640</v>
      </c>
      <c r="H3153" t="s">
        <v>4332</v>
      </c>
    </row>
    <row r="3154" spans="1:8">
      <c r="A3154" t="s">
        <v>3180</v>
      </c>
      <c r="B3154">
        <v>4528450</v>
      </c>
      <c r="D3154" t="s">
        <v>4337</v>
      </c>
      <c r="E3154">
        <v>1</v>
      </c>
      <c r="F3154" t="s">
        <v>640</v>
      </c>
      <c r="H3154" t="s">
        <v>4332</v>
      </c>
    </row>
    <row r="3155" spans="1:8">
      <c r="A3155" t="s">
        <v>3180</v>
      </c>
      <c r="B3155">
        <v>4024474</v>
      </c>
      <c r="D3155" t="s">
        <v>324</v>
      </c>
      <c r="E3155">
        <v>1</v>
      </c>
      <c r="F3155" t="s">
        <v>640</v>
      </c>
      <c r="H3155" t="s">
        <v>4332</v>
      </c>
    </row>
    <row r="3156" spans="1:8">
      <c r="A3156" t="s">
        <v>3180</v>
      </c>
      <c r="B3156">
        <v>8013516</v>
      </c>
      <c r="D3156" t="s">
        <v>1355</v>
      </c>
      <c r="E3156">
        <v>2</v>
      </c>
      <c r="F3156" t="s">
        <v>709</v>
      </c>
      <c r="H3156" t="s">
        <v>4332</v>
      </c>
    </row>
    <row r="3157" spans="1:8">
      <c r="A3157" t="s">
        <v>3180</v>
      </c>
      <c r="B3157">
        <v>4528182</v>
      </c>
      <c r="D3157" t="s">
        <v>1742</v>
      </c>
      <c r="E3157">
        <v>2</v>
      </c>
      <c r="F3157" t="s">
        <v>709</v>
      </c>
      <c r="H3157" t="s">
        <v>4332</v>
      </c>
    </row>
    <row r="3158" spans="1:8">
      <c r="A3158" t="s">
        <v>3180</v>
      </c>
      <c r="B3158">
        <v>8014401</v>
      </c>
      <c r="D3158" t="s">
        <v>2181</v>
      </c>
      <c r="E3158">
        <v>2</v>
      </c>
      <c r="F3158" t="s">
        <v>709</v>
      </c>
      <c r="H3158" t="s">
        <v>4332</v>
      </c>
    </row>
    <row r="3159" spans="1:8">
      <c r="A3159" t="s">
        <v>3180</v>
      </c>
      <c r="B3159">
        <v>8014404</v>
      </c>
      <c r="D3159" t="s">
        <v>2184</v>
      </c>
      <c r="E3159">
        <v>2</v>
      </c>
      <c r="F3159" t="s">
        <v>709</v>
      </c>
      <c r="H3159" t="s">
        <v>4332</v>
      </c>
    </row>
    <row r="3160" spans="1:8">
      <c r="A3160" t="s">
        <v>3180</v>
      </c>
      <c r="B3160">
        <v>8014398</v>
      </c>
      <c r="D3160" t="s">
        <v>2178</v>
      </c>
      <c r="E3160">
        <v>2</v>
      </c>
      <c r="F3160" t="s">
        <v>709</v>
      </c>
      <c r="H3160" t="s">
        <v>4332</v>
      </c>
    </row>
    <row r="3161" spans="1:8">
      <c r="A3161" t="s">
        <v>3180</v>
      </c>
      <c r="B3161">
        <v>8014402</v>
      </c>
      <c r="D3161" t="s">
        <v>2182</v>
      </c>
      <c r="E3161">
        <v>2</v>
      </c>
      <c r="F3161" t="s">
        <v>709</v>
      </c>
      <c r="H3161" t="s">
        <v>4332</v>
      </c>
    </row>
    <row r="3162" spans="1:8">
      <c r="A3162" t="s">
        <v>3180</v>
      </c>
      <c r="B3162">
        <v>8014400</v>
      </c>
      <c r="D3162" t="s">
        <v>2180</v>
      </c>
      <c r="E3162">
        <v>2</v>
      </c>
      <c r="F3162" t="s">
        <v>709</v>
      </c>
      <c r="H3162" t="s">
        <v>4332</v>
      </c>
    </row>
    <row r="3163" spans="1:8">
      <c r="A3163" t="s">
        <v>3180</v>
      </c>
      <c r="B3163">
        <v>8014399</v>
      </c>
      <c r="D3163" t="s">
        <v>2179</v>
      </c>
      <c r="E3163">
        <v>2</v>
      </c>
      <c r="F3163" t="s">
        <v>709</v>
      </c>
      <c r="H3163" t="s">
        <v>4332</v>
      </c>
    </row>
    <row r="3164" spans="1:8">
      <c r="A3164" t="s">
        <v>3180</v>
      </c>
      <c r="B3164">
        <v>8014403</v>
      </c>
      <c r="D3164" t="s">
        <v>2183</v>
      </c>
      <c r="E3164">
        <v>2</v>
      </c>
      <c r="F3164" t="s">
        <v>709</v>
      </c>
      <c r="H3164" t="s">
        <v>4332</v>
      </c>
    </row>
    <row r="3165" spans="1:8">
      <c r="A3165" t="s">
        <v>3180</v>
      </c>
      <c r="B3165">
        <v>8014469</v>
      </c>
      <c r="D3165" t="s">
        <v>2198</v>
      </c>
      <c r="E3165">
        <v>2</v>
      </c>
      <c r="F3165" t="s">
        <v>709</v>
      </c>
      <c r="H3165" t="s">
        <v>4332</v>
      </c>
    </row>
    <row r="3166" spans="1:8">
      <c r="A3166" t="s">
        <v>3180</v>
      </c>
      <c r="B3166">
        <v>8014406</v>
      </c>
      <c r="D3166" t="s">
        <v>2186</v>
      </c>
      <c r="E3166">
        <v>2</v>
      </c>
      <c r="F3166" t="s">
        <v>709</v>
      </c>
      <c r="H3166" t="s">
        <v>4332</v>
      </c>
    </row>
    <row r="3167" spans="1:8">
      <c r="A3167" t="s">
        <v>3180</v>
      </c>
      <c r="B3167">
        <v>8014405</v>
      </c>
      <c r="D3167" t="s">
        <v>2185</v>
      </c>
      <c r="E3167">
        <v>2</v>
      </c>
      <c r="F3167" t="s">
        <v>709</v>
      </c>
      <c r="H3167" t="s">
        <v>4332</v>
      </c>
    </row>
    <row r="3168" spans="1:8">
      <c r="A3168" t="s">
        <v>3180</v>
      </c>
      <c r="B3168">
        <v>3011716</v>
      </c>
      <c r="D3168" t="s">
        <v>1051</v>
      </c>
      <c r="E3168">
        <v>2</v>
      </c>
      <c r="F3168" t="s">
        <v>709</v>
      </c>
      <c r="H3168" t="s">
        <v>4332</v>
      </c>
    </row>
    <row r="3169" spans="1:8">
      <c r="A3169" t="s">
        <v>3180</v>
      </c>
      <c r="B3169">
        <v>8014467</v>
      </c>
      <c r="D3169" t="s">
        <v>2197</v>
      </c>
      <c r="E3169">
        <v>2</v>
      </c>
      <c r="F3169" t="s">
        <v>709</v>
      </c>
      <c r="H3169" t="s">
        <v>4332</v>
      </c>
    </row>
    <row r="3170" spans="1:8">
      <c r="A3170" t="s">
        <v>3180</v>
      </c>
      <c r="B3170">
        <v>4527789</v>
      </c>
      <c r="D3170" t="s">
        <v>1736</v>
      </c>
      <c r="E3170">
        <v>2</v>
      </c>
      <c r="F3170" t="s">
        <v>709</v>
      </c>
      <c r="H3170" t="s">
        <v>4332</v>
      </c>
    </row>
    <row r="3171" spans="1:8">
      <c r="A3171" t="s">
        <v>3180</v>
      </c>
      <c r="B3171">
        <v>8012284</v>
      </c>
      <c r="D3171" t="s">
        <v>209</v>
      </c>
      <c r="E3171">
        <v>2</v>
      </c>
      <c r="F3171" t="s">
        <v>709</v>
      </c>
      <c r="H3171" t="s">
        <v>4332</v>
      </c>
    </row>
    <row r="3172" spans="1:8">
      <c r="A3172" t="s">
        <v>3180</v>
      </c>
      <c r="B3172">
        <v>8008741</v>
      </c>
      <c r="D3172" t="s">
        <v>1077</v>
      </c>
      <c r="E3172">
        <v>2</v>
      </c>
      <c r="F3172" t="s">
        <v>696</v>
      </c>
      <c r="H3172" t="s">
        <v>4332</v>
      </c>
    </row>
    <row r="3173" spans="1:8">
      <c r="A3173" t="s">
        <v>3180</v>
      </c>
      <c r="B3173">
        <v>8008742</v>
      </c>
      <c r="D3173" t="s">
        <v>1080</v>
      </c>
      <c r="E3173">
        <v>2</v>
      </c>
      <c r="F3173" t="s">
        <v>696</v>
      </c>
      <c r="H3173" t="s">
        <v>4332</v>
      </c>
    </row>
    <row r="3174" spans="1:8">
      <c r="A3174" t="s">
        <v>3180</v>
      </c>
      <c r="B3174">
        <v>8008743</v>
      </c>
      <c r="D3174" t="s">
        <v>1081</v>
      </c>
      <c r="E3174">
        <v>2</v>
      </c>
      <c r="F3174" t="s">
        <v>696</v>
      </c>
      <c r="H3174" t="s">
        <v>4332</v>
      </c>
    </row>
    <row r="3175" spans="1:8">
      <c r="A3175" t="s">
        <v>3180</v>
      </c>
      <c r="B3175">
        <v>8008744</v>
      </c>
      <c r="D3175" t="s">
        <v>1131</v>
      </c>
      <c r="E3175">
        <v>2</v>
      </c>
      <c r="F3175" t="s">
        <v>696</v>
      </c>
      <c r="H3175" t="s">
        <v>4332</v>
      </c>
    </row>
    <row r="3176" spans="1:8">
      <c r="A3176" t="s">
        <v>3180</v>
      </c>
      <c r="B3176">
        <v>8008745</v>
      </c>
      <c r="D3176" t="s">
        <v>1893</v>
      </c>
      <c r="E3176">
        <v>2</v>
      </c>
      <c r="F3176" t="s">
        <v>696</v>
      </c>
      <c r="H3176" t="s">
        <v>4332</v>
      </c>
    </row>
    <row r="3177" spans="1:8">
      <c r="A3177" t="s">
        <v>3180</v>
      </c>
      <c r="B3177">
        <v>8008730</v>
      </c>
      <c r="D3177" t="s">
        <v>1071</v>
      </c>
      <c r="E3177">
        <v>2</v>
      </c>
      <c r="F3177" t="s">
        <v>696</v>
      </c>
      <c r="H3177" t="s">
        <v>4332</v>
      </c>
    </row>
    <row r="3178" spans="1:8">
      <c r="A3178" t="s">
        <v>3180</v>
      </c>
      <c r="B3178">
        <v>8011739</v>
      </c>
      <c r="D3178" t="s">
        <v>2021</v>
      </c>
      <c r="E3178">
        <v>2</v>
      </c>
      <c r="F3178" t="s">
        <v>696</v>
      </c>
      <c r="H3178" t="s">
        <v>4332</v>
      </c>
    </row>
    <row r="3179" spans="1:8">
      <c r="A3179" t="s">
        <v>3180</v>
      </c>
      <c r="B3179">
        <v>8011411</v>
      </c>
      <c r="D3179" t="s">
        <v>161</v>
      </c>
      <c r="E3179">
        <v>2</v>
      </c>
      <c r="F3179" t="s">
        <v>671</v>
      </c>
      <c r="H3179" t="s">
        <v>4332</v>
      </c>
    </row>
    <row r="3180" spans="1:8">
      <c r="A3180" t="s">
        <v>3180</v>
      </c>
      <c r="B3180">
        <v>8011398</v>
      </c>
      <c r="D3180" t="s">
        <v>739</v>
      </c>
      <c r="E3180">
        <v>2</v>
      </c>
      <c r="F3180" t="s">
        <v>671</v>
      </c>
      <c r="H3180" t="s">
        <v>4332</v>
      </c>
    </row>
    <row r="3181" spans="1:8">
      <c r="A3181" t="s">
        <v>3180</v>
      </c>
      <c r="B3181">
        <v>4527151</v>
      </c>
      <c r="D3181" t="s">
        <v>4338</v>
      </c>
      <c r="E3181">
        <v>2</v>
      </c>
      <c r="F3181" t="s">
        <v>671</v>
      </c>
      <c r="H3181" t="s">
        <v>4332</v>
      </c>
    </row>
    <row r="3182" spans="1:8">
      <c r="A3182" t="s">
        <v>3180</v>
      </c>
      <c r="B3182">
        <v>8704092</v>
      </c>
      <c r="D3182" t="s">
        <v>449</v>
      </c>
      <c r="E3182">
        <v>2</v>
      </c>
      <c r="F3182" t="s">
        <v>671</v>
      </c>
      <c r="H3182" t="s">
        <v>4332</v>
      </c>
    </row>
    <row r="3183" spans="1:8">
      <c r="A3183" t="s">
        <v>3180</v>
      </c>
      <c r="B3183">
        <v>8011401</v>
      </c>
      <c r="D3183" t="s">
        <v>27</v>
      </c>
      <c r="E3183">
        <v>2</v>
      </c>
      <c r="F3183" t="s">
        <v>671</v>
      </c>
      <c r="H3183" t="s">
        <v>4332</v>
      </c>
    </row>
    <row r="3184" spans="1:8">
      <c r="A3184" t="s">
        <v>3180</v>
      </c>
      <c r="B3184">
        <v>8011286</v>
      </c>
      <c r="D3184" t="s">
        <v>19</v>
      </c>
      <c r="E3184">
        <v>2</v>
      </c>
      <c r="F3184" t="s">
        <v>671</v>
      </c>
      <c r="H3184" t="s">
        <v>4332</v>
      </c>
    </row>
    <row r="3185" spans="1:8">
      <c r="A3185" t="s">
        <v>3180</v>
      </c>
      <c r="B3185">
        <v>8014397</v>
      </c>
      <c r="D3185" t="s">
        <v>2177</v>
      </c>
      <c r="E3185">
        <v>2</v>
      </c>
      <c r="F3185" t="s">
        <v>671</v>
      </c>
      <c r="H3185" t="s">
        <v>4332</v>
      </c>
    </row>
    <row r="3186" spans="1:8">
      <c r="A3186" t="s">
        <v>3180</v>
      </c>
      <c r="B3186">
        <v>8014465</v>
      </c>
      <c r="D3186" t="s">
        <v>2195</v>
      </c>
      <c r="E3186">
        <v>2</v>
      </c>
      <c r="F3186" t="s">
        <v>671</v>
      </c>
      <c r="H3186" t="s">
        <v>4332</v>
      </c>
    </row>
    <row r="3187" spans="1:8">
      <c r="A3187" t="s">
        <v>3180</v>
      </c>
      <c r="B3187">
        <v>8014466</v>
      </c>
      <c r="D3187" t="s">
        <v>2196</v>
      </c>
      <c r="E3187">
        <v>2</v>
      </c>
      <c r="F3187" t="s">
        <v>671</v>
      </c>
      <c r="H3187" t="s">
        <v>4332</v>
      </c>
    </row>
    <row r="3188" spans="1:8">
      <c r="A3188" t="s">
        <v>3180</v>
      </c>
      <c r="B3188">
        <v>8014460</v>
      </c>
      <c r="D3188" t="s">
        <v>2190</v>
      </c>
      <c r="E3188">
        <v>2</v>
      </c>
      <c r="F3188" t="s">
        <v>671</v>
      </c>
      <c r="H3188" t="s">
        <v>4332</v>
      </c>
    </row>
    <row r="3189" spans="1:8">
      <c r="A3189" t="s">
        <v>3180</v>
      </c>
      <c r="B3189">
        <v>8014459</v>
      </c>
      <c r="D3189" t="s">
        <v>2189</v>
      </c>
      <c r="E3189">
        <v>2</v>
      </c>
      <c r="F3189" t="s">
        <v>671</v>
      </c>
      <c r="H3189" t="s">
        <v>4332</v>
      </c>
    </row>
    <row r="3190" spans="1:8">
      <c r="A3190" t="s">
        <v>3180</v>
      </c>
      <c r="B3190">
        <v>8010884</v>
      </c>
      <c r="D3190" t="s">
        <v>1956</v>
      </c>
      <c r="E3190">
        <v>2</v>
      </c>
      <c r="F3190" t="s">
        <v>671</v>
      </c>
      <c r="H3190" t="s">
        <v>4332</v>
      </c>
    </row>
    <row r="3191" spans="1:8">
      <c r="A3191" t="s">
        <v>3180</v>
      </c>
      <c r="B3191">
        <v>4528269</v>
      </c>
      <c r="D3191" t="s">
        <v>1744</v>
      </c>
      <c r="E3191">
        <v>2</v>
      </c>
      <c r="F3191" t="s">
        <v>671</v>
      </c>
      <c r="H3191" t="s">
        <v>4332</v>
      </c>
    </row>
    <row r="3192" spans="1:8">
      <c r="A3192" t="s">
        <v>3180</v>
      </c>
      <c r="B3192">
        <v>8014408</v>
      </c>
      <c r="D3192" t="s">
        <v>2188</v>
      </c>
      <c r="E3192">
        <v>2</v>
      </c>
      <c r="F3192" t="s">
        <v>671</v>
      </c>
      <c r="H3192" t="s">
        <v>4332</v>
      </c>
    </row>
    <row r="3193" spans="1:8">
      <c r="A3193" t="s">
        <v>3180</v>
      </c>
      <c r="B3193">
        <v>8014407</v>
      </c>
      <c r="D3193" t="s">
        <v>2187</v>
      </c>
      <c r="E3193">
        <v>2</v>
      </c>
      <c r="F3193" t="s">
        <v>671</v>
      </c>
      <c r="H3193" t="s">
        <v>4332</v>
      </c>
    </row>
    <row r="3194" spans="1:8">
      <c r="A3194" t="s">
        <v>3180</v>
      </c>
      <c r="B3194">
        <v>8014461</v>
      </c>
      <c r="D3194" t="s">
        <v>2191</v>
      </c>
      <c r="E3194">
        <v>2</v>
      </c>
      <c r="F3194" t="s">
        <v>671</v>
      </c>
      <c r="H3194" t="s">
        <v>4332</v>
      </c>
    </row>
    <row r="3195" spans="1:8">
      <c r="A3195" t="s">
        <v>3180</v>
      </c>
      <c r="B3195">
        <v>8014462</v>
      </c>
      <c r="D3195" t="s">
        <v>2192</v>
      </c>
      <c r="E3195">
        <v>2</v>
      </c>
      <c r="F3195" t="s">
        <v>671</v>
      </c>
      <c r="H3195" t="s">
        <v>4332</v>
      </c>
    </row>
    <row r="3196" spans="1:8">
      <c r="A3196" t="s">
        <v>3180</v>
      </c>
      <c r="B3196">
        <v>8001886</v>
      </c>
      <c r="D3196" t="s">
        <v>1839</v>
      </c>
      <c r="E3196">
        <v>2</v>
      </c>
      <c r="F3196" t="s">
        <v>671</v>
      </c>
      <c r="H3196" t="s">
        <v>4332</v>
      </c>
    </row>
    <row r="3197" spans="1:8">
      <c r="A3197" t="s">
        <v>3180</v>
      </c>
      <c r="B3197">
        <v>8011881</v>
      </c>
      <c r="D3197" t="s">
        <v>1140</v>
      </c>
      <c r="E3197">
        <v>2</v>
      </c>
      <c r="F3197" t="s">
        <v>671</v>
      </c>
      <c r="H3197" t="s">
        <v>4332</v>
      </c>
    </row>
    <row r="3198" spans="1:8">
      <c r="A3198" t="s">
        <v>3180</v>
      </c>
      <c r="B3198">
        <v>8011880</v>
      </c>
      <c r="D3198" t="s">
        <v>1063</v>
      </c>
      <c r="E3198">
        <v>2</v>
      </c>
      <c r="F3198" t="s">
        <v>671</v>
      </c>
      <c r="H3198" t="s">
        <v>4332</v>
      </c>
    </row>
    <row r="3199" spans="1:8">
      <c r="A3199" t="s">
        <v>3180</v>
      </c>
      <c r="B3199">
        <v>8013273</v>
      </c>
      <c r="D3199" t="s">
        <v>2093</v>
      </c>
      <c r="E3199">
        <v>2</v>
      </c>
      <c r="F3199" t="s">
        <v>671</v>
      </c>
      <c r="H3199" t="s">
        <v>4332</v>
      </c>
    </row>
    <row r="3200" spans="1:8">
      <c r="A3200" t="s">
        <v>3180</v>
      </c>
      <c r="B3200">
        <v>8013731</v>
      </c>
      <c r="D3200" t="s">
        <v>345</v>
      </c>
      <c r="E3200">
        <v>2</v>
      </c>
      <c r="F3200" t="s">
        <v>671</v>
      </c>
      <c r="H3200" t="s">
        <v>4332</v>
      </c>
    </row>
    <row r="3201" spans="1:8">
      <c r="A3201" t="s">
        <v>3180</v>
      </c>
      <c r="B3201">
        <v>8013732</v>
      </c>
      <c r="D3201" t="s">
        <v>741</v>
      </c>
      <c r="E3201">
        <v>2</v>
      </c>
      <c r="F3201" t="s">
        <v>671</v>
      </c>
      <c r="H3201" t="s">
        <v>4332</v>
      </c>
    </row>
    <row r="3202" spans="1:8">
      <c r="A3202" t="s">
        <v>3180</v>
      </c>
      <c r="B3202">
        <v>8011257</v>
      </c>
      <c r="D3202" t="s">
        <v>1980</v>
      </c>
      <c r="E3202">
        <v>2</v>
      </c>
      <c r="F3202" t="s">
        <v>671</v>
      </c>
      <c r="H3202" t="s">
        <v>4332</v>
      </c>
    </row>
    <row r="3203" spans="1:8">
      <c r="A3203" t="s">
        <v>3180</v>
      </c>
      <c r="B3203">
        <v>8012259</v>
      </c>
      <c r="D3203" t="s">
        <v>2054</v>
      </c>
      <c r="E3203">
        <v>2</v>
      </c>
      <c r="F3203" t="s">
        <v>671</v>
      </c>
      <c r="H3203" t="s">
        <v>4332</v>
      </c>
    </row>
    <row r="3204" spans="1:8">
      <c r="A3204" t="s">
        <v>3180</v>
      </c>
      <c r="B3204">
        <v>8011447</v>
      </c>
      <c r="D3204" t="s">
        <v>61</v>
      </c>
      <c r="E3204">
        <v>2</v>
      </c>
      <c r="F3204" t="s">
        <v>671</v>
      </c>
      <c r="H3204" t="s">
        <v>4332</v>
      </c>
    </row>
    <row r="3205" spans="1:8">
      <c r="A3205" t="s">
        <v>3180</v>
      </c>
      <c r="B3205">
        <v>8011561</v>
      </c>
      <c r="D3205" t="s">
        <v>1998</v>
      </c>
      <c r="E3205">
        <v>2</v>
      </c>
      <c r="F3205" t="s">
        <v>671</v>
      </c>
      <c r="H3205" t="s">
        <v>4332</v>
      </c>
    </row>
    <row r="3206" spans="1:8">
      <c r="A3206" t="s">
        <v>3180</v>
      </c>
      <c r="B3206">
        <v>4504241</v>
      </c>
      <c r="D3206" t="s">
        <v>4339</v>
      </c>
      <c r="E3206">
        <v>2</v>
      </c>
      <c r="F3206" t="s">
        <v>671</v>
      </c>
      <c r="H3206" t="s">
        <v>4332</v>
      </c>
    </row>
    <row r="3207" spans="1:8">
      <c r="A3207" t="s">
        <v>3180</v>
      </c>
      <c r="B3207">
        <v>8703972</v>
      </c>
      <c r="D3207" t="s">
        <v>1101</v>
      </c>
      <c r="E3207">
        <v>2</v>
      </c>
      <c r="F3207" t="s">
        <v>671</v>
      </c>
      <c r="H3207" t="s">
        <v>4332</v>
      </c>
    </row>
    <row r="3208" spans="1:8">
      <c r="A3208" t="s">
        <v>3180</v>
      </c>
      <c r="B3208">
        <v>8703971</v>
      </c>
      <c r="D3208" t="s">
        <v>1094</v>
      </c>
      <c r="E3208">
        <v>2</v>
      </c>
      <c r="F3208" t="s">
        <v>671</v>
      </c>
      <c r="H3208" t="s">
        <v>4332</v>
      </c>
    </row>
    <row r="3209" spans="1:8">
      <c r="A3209" t="s">
        <v>3180</v>
      </c>
      <c r="B3209">
        <v>8010886</v>
      </c>
      <c r="D3209" t="s">
        <v>166</v>
      </c>
      <c r="E3209">
        <v>2</v>
      </c>
      <c r="F3209" t="s">
        <v>671</v>
      </c>
      <c r="H3209" t="s">
        <v>4332</v>
      </c>
    </row>
    <row r="3210" spans="1:8">
      <c r="A3210" t="s">
        <v>3180</v>
      </c>
      <c r="B3210">
        <v>8704074</v>
      </c>
      <c r="D3210" t="s">
        <v>1133</v>
      </c>
      <c r="E3210">
        <v>2</v>
      </c>
      <c r="F3210" t="s">
        <v>671</v>
      </c>
      <c r="H3210" t="s">
        <v>4332</v>
      </c>
    </row>
    <row r="3211" spans="1:8">
      <c r="A3211" t="s">
        <v>3180</v>
      </c>
      <c r="B3211">
        <v>4005164</v>
      </c>
      <c r="D3211" t="s">
        <v>4340</v>
      </c>
      <c r="E3211">
        <v>2</v>
      </c>
      <c r="F3211" t="s">
        <v>671</v>
      </c>
      <c r="H3211" t="s">
        <v>4332</v>
      </c>
    </row>
    <row r="3212" spans="1:8">
      <c r="A3212" t="s">
        <v>3180</v>
      </c>
      <c r="B3212">
        <v>8012353</v>
      </c>
      <c r="D3212" t="s">
        <v>2055</v>
      </c>
      <c r="E3212">
        <v>2</v>
      </c>
      <c r="F3212" t="s">
        <v>671</v>
      </c>
      <c r="H3212" t="s">
        <v>4332</v>
      </c>
    </row>
    <row r="3213" spans="1:8">
      <c r="A3213" t="s">
        <v>3180</v>
      </c>
      <c r="B3213">
        <v>8012354</v>
      </c>
      <c r="D3213" t="s">
        <v>610</v>
      </c>
      <c r="E3213">
        <v>2</v>
      </c>
      <c r="F3213" t="s">
        <v>671</v>
      </c>
      <c r="H3213" t="s">
        <v>4332</v>
      </c>
    </row>
    <row r="3214" spans="1:8">
      <c r="A3214" t="s">
        <v>3180</v>
      </c>
      <c r="B3214">
        <v>4528290</v>
      </c>
      <c r="D3214" t="s">
        <v>4341</v>
      </c>
      <c r="E3214">
        <v>2</v>
      </c>
      <c r="F3214" t="s">
        <v>671</v>
      </c>
      <c r="H3214" t="s">
        <v>4332</v>
      </c>
    </row>
    <row r="3215" spans="1:8">
      <c r="A3215" t="s">
        <v>3180</v>
      </c>
      <c r="B3215">
        <v>4527760</v>
      </c>
      <c r="D3215" t="s">
        <v>1733</v>
      </c>
      <c r="E3215">
        <v>2</v>
      </c>
      <c r="F3215" t="s">
        <v>654</v>
      </c>
      <c r="H3215" t="s">
        <v>4332</v>
      </c>
    </row>
    <row r="3216" spans="1:8">
      <c r="A3216" t="s">
        <v>3180</v>
      </c>
      <c r="B3216">
        <v>4529427</v>
      </c>
      <c r="D3216" t="s">
        <v>4342</v>
      </c>
      <c r="E3216">
        <v>1</v>
      </c>
      <c r="F3216" t="s">
        <v>644</v>
      </c>
      <c r="H3216" t="s">
        <v>4343</v>
      </c>
    </row>
    <row r="3217" spans="1:8">
      <c r="A3217" t="s">
        <v>3180</v>
      </c>
      <c r="B3217">
        <v>1501760</v>
      </c>
      <c r="D3217" t="s">
        <v>4344</v>
      </c>
      <c r="E3217">
        <v>1</v>
      </c>
      <c r="F3217" t="s">
        <v>644</v>
      </c>
      <c r="H3217" t="s">
        <v>4343</v>
      </c>
    </row>
    <row r="3218" spans="1:8">
      <c r="A3218" t="s">
        <v>3180</v>
      </c>
      <c r="B3218">
        <v>4529428</v>
      </c>
      <c r="D3218" t="s">
        <v>4345</v>
      </c>
      <c r="E3218">
        <v>1</v>
      </c>
      <c r="F3218" t="s">
        <v>644</v>
      </c>
      <c r="H3218" t="s">
        <v>4343</v>
      </c>
    </row>
    <row r="3219" spans="1:8">
      <c r="A3219" t="s">
        <v>3180</v>
      </c>
      <c r="B3219">
        <v>4529356</v>
      </c>
      <c r="D3219" t="s">
        <v>4346</v>
      </c>
      <c r="E3219">
        <v>1</v>
      </c>
      <c r="F3219" t="s">
        <v>644</v>
      </c>
      <c r="H3219" t="s">
        <v>4343</v>
      </c>
    </row>
    <row r="3220" spans="1:8">
      <c r="A3220" t="s">
        <v>3180</v>
      </c>
      <c r="B3220">
        <v>4529162</v>
      </c>
      <c r="D3220" t="s">
        <v>1751</v>
      </c>
      <c r="E3220">
        <v>1</v>
      </c>
      <c r="F3220" t="s">
        <v>644</v>
      </c>
      <c r="H3220" t="s">
        <v>4343</v>
      </c>
    </row>
    <row r="3221" spans="1:8">
      <c r="A3221" t="s">
        <v>3180</v>
      </c>
      <c r="B3221">
        <v>4528572</v>
      </c>
      <c r="D3221" t="s">
        <v>4347</v>
      </c>
      <c r="E3221">
        <v>1</v>
      </c>
      <c r="F3221" t="s">
        <v>644</v>
      </c>
      <c r="H3221" t="s">
        <v>4343</v>
      </c>
    </row>
    <row r="3222" spans="1:8">
      <c r="A3222" t="s">
        <v>3180</v>
      </c>
      <c r="B3222">
        <v>4525597</v>
      </c>
      <c r="D3222" t="s">
        <v>4348</v>
      </c>
      <c r="E3222">
        <v>1</v>
      </c>
      <c r="F3222" t="s">
        <v>642</v>
      </c>
      <c r="H3222" t="s">
        <v>4343</v>
      </c>
    </row>
    <row r="3223" spans="1:8">
      <c r="A3223" t="s">
        <v>3180</v>
      </c>
      <c r="B3223">
        <v>4528885</v>
      </c>
      <c r="D3223" t="s">
        <v>4349</v>
      </c>
      <c r="E3223">
        <v>1</v>
      </c>
      <c r="F3223" t="s">
        <v>642</v>
      </c>
      <c r="H3223" t="s">
        <v>4343</v>
      </c>
    </row>
    <row r="3224" spans="1:8">
      <c r="A3224" t="s">
        <v>3180</v>
      </c>
      <c r="B3224">
        <v>4529103</v>
      </c>
      <c r="D3224" t="s">
        <v>305</v>
      </c>
      <c r="E3224">
        <v>1</v>
      </c>
      <c r="F3224" t="s">
        <v>646</v>
      </c>
      <c r="H3224" t="s">
        <v>4343</v>
      </c>
    </row>
    <row r="3225" spans="1:8">
      <c r="A3225" t="s">
        <v>3180</v>
      </c>
      <c r="B3225">
        <v>4529104</v>
      </c>
      <c r="D3225" t="s">
        <v>475</v>
      </c>
      <c r="E3225">
        <v>1</v>
      </c>
      <c r="F3225" t="s">
        <v>646</v>
      </c>
      <c r="H3225" t="s">
        <v>4343</v>
      </c>
    </row>
    <row r="3226" spans="1:8">
      <c r="A3226" t="s">
        <v>3180</v>
      </c>
      <c r="B3226">
        <v>4048872</v>
      </c>
      <c r="D3226" t="s">
        <v>121</v>
      </c>
      <c r="E3226">
        <v>1</v>
      </c>
      <c r="F3226" t="s">
        <v>646</v>
      </c>
      <c r="H3226" t="s">
        <v>4343</v>
      </c>
    </row>
    <row r="3227" spans="1:8">
      <c r="A3227" t="s">
        <v>3180</v>
      </c>
      <c r="B3227">
        <v>4529110</v>
      </c>
      <c r="D3227" t="s">
        <v>4350</v>
      </c>
      <c r="E3227">
        <v>1</v>
      </c>
      <c r="F3227" t="s">
        <v>656</v>
      </c>
      <c r="H3227" t="s">
        <v>4343</v>
      </c>
    </row>
    <row r="3228" spans="1:8">
      <c r="A3228" t="s">
        <v>3180</v>
      </c>
      <c r="B3228">
        <v>4529355</v>
      </c>
      <c r="D3228" t="s">
        <v>4351</v>
      </c>
      <c r="E3228">
        <v>1</v>
      </c>
      <c r="F3228" t="s">
        <v>656</v>
      </c>
      <c r="H3228" t="s">
        <v>4343</v>
      </c>
    </row>
    <row r="3229" spans="1:8">
      <c r="A3229" t="s">
        <v>3180</v>
      </c>
      <c r="B3229">
        <v>4043713</v>
      </c>
      <c r="D3229" t="s">
        <v>122</v>
      </c>
      <c r="E3229">
        <v>1</v>
      </c>
      <c r="F3229" t="s">
        <v>649</v>
      </c>
      <c r="H3229" t="s">
        <v>4343</v>
      </c>
    </row>
    <row r="3230" spans="1:8">
      <c r="A3230" t="s">
        <v>3180</v>
      </c>
      <c r="B3230">
        <v>4526577</v>
      </c>
      <c r="D3230" t="s">
        <v>4352</v>
      </c>
      <c r="E3230">
        <v>1</v>
      </c>
      <c r="F3230" t="s">
        <v>649</v>
      </c>
      <c r="H3230" t="s">
        <v>4343</v>
      </c>
    </row>
    <row r="3231" spans="1:8">
      <c r="A3231" t="s">
        <v>3180</v>
      </c>
      <c r="B3231">
        <v>4528995</v>
      </c>
      <c r="D3231" t="s">
        <v>1749</v>
      </c>
      <c r="E3231">
        <v>1</v>
      </c>
      <c r="F3231" t="s">
        <v>649</v>
      </c>
      <c r="H3231" t="s">
        <v>4343</v>
      </c>
    </row>
    <row r="3232" spans="1:8">
      <c r="A3232" t="s">
        <v>3180</v>
      </c>
      <c r="B3232">
        <v>4529111</v>
      </c>
      <c r="D3232" t="s">
        <v>1750</v>
      </c>
      <c r="E3232">
        <v>1</v>
      </c>
      <c r="F3232" t="s">
        <v>649</v>
      </c>
      <c r="H3232" t="s">
        <v>4343</v>
      </c>
    </row>
    <row r="3233" spans="1:8">
      <c r="A3233" t="s">
        <v>3180</v>
      </c>
      <c r="B3233">
        <v>4529330</v>
      </c>
      <c r="D3233" t="s">
        <v>1753</v>
      </c>
      <c r="E3233">
        <v>1</v>
      </c>
      <c r="F3233" t="s">
        <v>649</v>
      </c>
      <c r="H3233" t="s">
        <v>4343</v>
      </c>
    </row>
    <row r="3234" spans="1:8">
      <c r="A3234" t="s">
        <v>3180</v>
      </c>
      <c r="B3234">
        <v>4528268</v>
      </c>
      <c r="D3234" t="s">
        <v>1743</v>
      </c>
      <c r="E3234">
        <v>1</v>
      </c>
      <c r="F3234" t="s">
        <v>640</v>
      </c>
      <c r="H3234" t="s">
        <v>4343</v>
      </c>
    </row>
    <row r="3235" spans="1:8">
      <c r="A3235" t="s">
        <v>3180</v>
      </c>
      <c r="B3235">
        <v>4529179</v>
      </c>
      <c r="D3235" t="s">
        <v>1752</v>
      </c>
      <c r="E3235">
        <v>1</v>
      </c>
      <c r="F3235" t="s">
        <v>640</v>
      </c>
      <c r="H3235" t="s">
        <v>4343</v>
      </c>
    </row>
    <row r="3236" spans="1:8">
      <c r="A3236" t="s">
        <v>3180</v>
      </c>
      <c r="B3236">
        <v>4528903</v>
      </c>
      <c r="D3236" t="s">
        <v>4353</v>
      </c>
      <c r="E3236">
        <v>2</v>
      </c>
      <c r="F3236" t="s">
        <v>709</v>
      </c>
      <c r="H3236" t="s">
        <v>4343</v>
      </c>
    </row>
    <row r="3237" spans="1:8">
      <c r="A3237" t="s">
        <v>3180</v>
      </c>
      <c r="B3237">
        <v>8014686</v>
      </c>
      <c r="D3237" t="s">
        <v>22</v>
      </c>
      <c r="E3237">
        <v>2</v>
      </c>
      <c r="F3237" t="s">
        <v>709</v>
      </c>
      <c r="H3237" t="s">
        <v>4343</v>
      </c>
    </row>
    <row r="3238" spans="1:8">
      <c r="A3238" t="s">
        <v>3180</v>
      </c>
      <c r="B3238">
        <v>8014689</v>
      </c>
      <c r="D3238" t="s">
        <v>23</v>
      </c>
      <c r="E3238">
        <v>2</v>
      </c>
      <c r="F3238" t="s">
        <v>709</v>
      </c>
      <c r="H3238" t="s">
        <v>4343</v>
      </c>
    </row>
    <row r="3239" spans="1:8">
      <c r="A3239" t="s">
        <v>3180</v>
      </c>
      <c r="B3239">
        <v>8014688</v>
      </c>
      <c r="D3239" t="s">
        <v>745</v>
      </c>
      <c r="E3239">
        <v>2</v>
      </c>
      <c r="F3239" t="s">
        <v>709</v>
      </c>
      <c r="H3239" t="s">
        <v>4343</v>
      </c>
    </row>
    <row r="3240" spans="1:8">
      <c r="A3240" t="s">
        <v>3180</v>
      </c>
      <c r="B3240">
        <v>8014633</v>
      </c>
      <c r="D3240" t="s">
        <v>2215</v>
      </c>
      <c r="E3240">
        <v>2</v>
      </c>
      <c r="F3240" t="s">
        <v>709</v>
      </c>
      <c r="H3240" t="s">
        <v>4343</v>
      </c>
    </row>
    <row r="3241" spans="1:8">
      <c r="A3241" t="s">
        <v>3180</v>
      </c>
      <c r="B3241">
        <v>8014693</v>
      </c>
      <c r="D3241" t="s">
        <v>2224</v>
      </c>
      <c r="E3241">
        <v>2</v>
      </c>
      <c r="F3241" t="s">
        <v>709</v>
      </c>
      <c r="H3241" t="s">
        <v>4343</v>
      </c>
    </row>
    <row r="3242" spans="1:8">
      <c r="A3242" t="s">
        <v>3180</v>
      </c>
      <c r="B3242">
        <v>8014695</v>
      </c>
      <c r="D3242" t="s">
        <v>2226</v>
      </c>
      <c r="E3242">
        <v>2</v>
      </c>
      <c r="F3242" t="s">
        <v>709</v>
      </c>
      <c r="H3242" t="s">
        <v>4343</v>
      </c>
    </row>
    <row r="3243" spans="1:8">
      <c r="A3243" t="s">
        <v>3180</v>
      </c>
      <c r="B3243">
        <v>8014623</v>
      </c>
      <c r="D3243" t="s">
        <v>2210</v>
      </c>
      <c r="E3243">
        <v>2</v>
      </c>
      <c r="F3243" t="s">
        <v>709</v>
      </c>
      <c r="H3243" t="s">
        <v>4343</v>
      </c>
    </row>
    <row r="3244" spans="1:8">
      <c r="A3244" t="s">
        <v>3180</v>
      </c>
      <c r="B3244">
        <v>8014595</v>
      </c>
      <c r="D3244" t="s">
        <v>2204</v>
      </c>
      <c r="E3244">
        <v>2</v>
      </c>
      <c r="F3244" t="s">
        <v>709</v>
      </c>
      <c r="H3244" t="s">
        <v>4343</v>
      </c>
    </row>
    <row r="3245" spans="1:8">
      <c r="A3245" t="s">
        <v>3180</v>
      </c>
      <c r="B3245">
        <v>8014621</v>
      </c>
      <c r="D3245" t="s">
        <v>24</v>
      </c>
      <c r="E3245">
        <v>2</v>
      </c>
      <c r="F3245" t="s">
        <v>709</v>
      </c>
      <c r="H3245" t="s">
        <v>4343</v>
      </c>
    </row>
    <row r="3246" spans="1:8">
      <c r="A3246" t="s">
        <v>3180</v>
      </c>
      <c r="B3246">
        <v>8014634</v>
      </c>
      <c r="D3246" t="s">
        <v>2216</v>
      </c>
      <c r="E3246">
        <v>2</v>
      </c>
      <c r="F3246" t="s">
        <v>709</v>
      </c>
      <c r="H3246" t="s">
        <v>4343</v>
      </c>
    </row>
    <row r="3247" spans="1:8">
      <c r="A3247" t="s">
        <v>3180</v>
      </c>
      <c r="B3247">
        <v>8014635</v>
      </c>
      <c r="D3247" t="s">
        <v>2217</v>
      </c>
      <c r="E3247">
        <v>2</v>
      </c>
      <c r="F3247" t="s">
        <v>709</v>
      </c>
      <c r="H3247" t="s">
        <v>4343</v>
      </c>
    </row>
    <row r="3248" spans="1:8">
      <c r="A3248" t="s">
        <v>3180</v>
      </c>
      <c r="B3248">
        <v>8014636</v>
      </c>
      <c r="D3248" t="s">
        <v>2218</v>
      </c>
      <c r="E3248">
        <v>2</v>
      </c>
      <c r="F3248" t="s">
        <v>709</v>
      </c>
      <c r="H3248" t="s">
        <v>4343</v>
      </c>
    </row>
    <row r="3249" spans="1:8">
      <c r="A3249" t="s">
        <v>3180</v>
      </c>
      <c r="B3249">
        <v>4044999</v>
      </c>
      <c r="D3249" t="s">
        <v>1353</v>
      </c>
      <c r="E3249">
        <v>2</v>
      </c>
      <c r="F3249" t="s">
        <v>709</v>
      </c>
      <c r="H3249" t="s">
        <v>4343</v>
      </c>
    </row>
    <row r="3250" spans="1:8">
      <c r="A3250" t="s">
        <v>3180</v>
      </c>
      <c r="B3250">
        <v>8012285</v>
      </c>
      <c r="D3250" t="s">
        <v>1353</v>
      </c>
      <c r="E3250">
        <v>2</v>
      </c>
      <c r="F3250" t="s">
        <v>709</v>
      </c>
      <c r="H3250" t="s">
        <v>4343</v>
      </c>
    </row>
    <row r="3251" spans="1:8">
      <c r="A3251" t="s">
        <v>3180</v>
      </c>
      <c r="B3251">
        <v>8014685</v>
      </c>
      <c r="D3251" t="s">
        <v>2221</v>
      </c>
      <c r="E3251">
        <v>2</v>
      </c>
      <c r="F3251" t="s">
        <v>709</v>
      </c>
      <c r="H3251" t="s">
        <v>4343</v>
      </c>
    </row>
    <row r="3252" spans="1:8">
      <c r="A3252" t="s">
        <v>3180</v>
      </c>
      <c r="B3252">
        <v>8014684</v>
      </c>
      <c r="D3252" t="s">
        <v>2220</v>
      </c>
      <c r="E3252">
        <v>2</v>
      </c>
      <c r="F3252" t="s">
        <v>709</v>
      </c>
      <c r="H3252" t="s">
        <v>4343</v>
      </c>
    </row>
    <row r="3253" spans="1:8">
      <c r="A3253" t="s">
        <v>3180</v>
      </c>
      <c r="B3253">
        <v>8014631</v>
      </c>
      <c r="D3253" t="s">
        <v>2213</v>
      </c>
      <c r="E3253">
        <v>2</v>
      </c>
      <c r="F3253" t="s">
        <v>709</v>
      </c>
      <c r="H3253" t="s">
        <v>4343</v>
      </c>
    </row>
    <row r="3254" spans="1:8">
      <c r="A3254" t="s">
        <v>3180</v>
      </c>
      <c r="B3254">
        <v>8014632</v>
      </c>
      <c r="D3254" t="s">
        <v>2214</v>
      </c>
      <c r="E3254">
        <v>2</v>
      </c>
      <c r="F3254" t="s">
        <v>709</v>
      </c>
      <c r="H3254" t="s">
        <v>4343</v>
      </c>
    </row>
    <row r="3255" spans="1:8">
      <c r="A3255" t="s">
        <v>3180</v>
      </c>
      <c r="B3255">
        <v>8014690</v>
      </c>
      <c r="D3255" t="s">
        <v>746</v>
      </c>
      <c r="E3255">
        <v>2</v>
      </c>
      <c r="F3255" t="s">
        <v>709</v>
      </c>
      <c r="H3255" t="s">
        <v>4343</v>
      </c>
    </row>
    <row r="3256" spans="1:8">
      <c r="A3256" t="s">
        <v>3180</v>
      </c>
      <c r="B3256">
        <v>8014696</v>
      </c>
      <c r="D3256" t="s">
        <v>2227</v>
      </c>
      <c r="E3256">
        <v>2</v>
      </c>
      <c r="F3256" t="s">
        <v>709</v>
      </c>
      <c r="H3256" t="s">
        <v>4343</v>
      </c>
    </row>
    <row r="3257" spans="1:8">
      <c r="A3257" t="s">
        <v>3180</v>
      </c>
      <c r="B3257">
        <v>8014594</v>
      </c>
      <c r="D3257" t="s">
        <v>2203</v>
      </c>
      <c r="E3257">
        <v>2</v>
      </c>
      <c r="F3257" t="s">
        <v>709</v>
      </c>
      <c r="H3257" t="s">
        <v>4343</v>
      </c>
    </row>
    <row r="3258" spans="1:8">
      <c r="A3258" t="s">
        <v>3180</v>
      </c>
      <c r="B3258">
        <v>8014599</v>
      </c>
      <c r="D3258" t="s">
        <v>2208</v>
      </c>
      <c r="E3258">
        <v>2</v>
      </c>
      <c r="F3258" t="s">
        <v>709</v>
      </c>
      <c r="H3258" t="s">
        <v>4343</v>
      </c>
    </row>
    <row r="3259" spans="1:8">
      <c r="A3259" t="s">
        <v>3180</v>
      </c>
      <c r="B3259">
        <v>8014687</v>
      </c>
      <c r="D3259" t="s">
        <v>2222</v>
      </c>
      <c r="E3259">
        <v>2</v>
      </c>
      <c r="F3259" t="s">
        <v>709</v>
      </c>
      <c r="H3259" t="s">
        <v>4343</v>
      </c>
    </row>
    <row r="3260" spans="1:8">
      <c r="A3260" t="s">
        <v>3180</v>
      </c>
      <c r="B3260">
        <v>8014503</v>
      </c>
      <c r="D3260" t="s">
        <v>2201</v>
      </c>
      <c r="E3260">
        <v>2</v>
      </c>
      <c r="F3260" t="s">
        <v>709</v>
      </c>
      <c r="H3260" t="s">
        <v>4343</v>
      </c>
    </row>
    <row r="3261" spans="1:8">
      <c r="A3261" t="s">
        <v>3180</v>
      </c>
      <c r="B3261">
        <v>8014504</v>
      </c>
      <c r="D3261" t="s">
        <v>2202</v>
      </c>
      <c r="E3261">
        <v>2</v>
      </c>
      <c r="F3261" t="s">
        <v>709</v>
      </c>
      <c r="H3261" t="s">
        <v>4343</v>
      </c>
    </row>
    <row r="3262" spans="1:8">
      <c r="A3262" t="s">
        <v>3180</v>
      </c>
      <c r="B3262">
        <v>8014694</v>
      </c>
      <c r="D3262" t="s">
        <v>2225</v>
      </c>
      <c r="E3262">
        <v>2</v>
      </c>
      <c r="F3262" t="s">
        <v>709</v>
      </c>
      <c r="H3262" t="s">
        <v>4343</v>
      </c>
    </row>
    <row r="3263" spans="1:8">
      <c r="A3263" t="s">
        <v>3180</v>
      </c>
      <c r="B3263">
        <v>8014598</v>
      </c>
      <c r="D3263" t="s">
        <v>2207</v>
      </c>
      <c r="E3263">
        <v>2</v>
      </c>
      <c r="F3263" t="s">
        <v>709</v>
      </c>
      <c r="H3263" t="s">
        <v>4343</v>
      </c>
    </row>
    <row r="3264" spans="1:8">
      <c r="A3264" t="s">
        <v>3180</v>
      </c>
      <c r="B3264">
        <v>8014596</v>
      </c>
      <c r="D3264" t="s">
        <v>2205</v>
      </c>
      <c r="E3264">
        <v>2</v>
      </c>
      <c r="F3264" t="s">
        <v>709</v>
      </c>
      <c r="H3264" t="s">
        <v>4343</v>
      </c>
    </row>
    <row r="3265" spans="1:8">
      <c r="A3265" t="s">
        <v>3180</v>
      </c>
      <c r="B3265">
        <v>8014691</v>
      </c>
      <c r="D3265" t="s">
        <v>747</v>
      </c>
      <c r="E3265">
        <v>2</v>
      </c>
      <c r="F3265" t="s">
        <v>709</v>
      </c>
      <c r="H3265" t="s">
        <v>4343</v>
      </c>
    </row>
    <row r="3266" spans="1:8">
      <c r="A3266" t="s">
        <v>3180</v>
      </c>
      <c r="B3266">
        <v>8014692</v>
      </c>
      <c r="D3266" t="s">
        <v>2223</v>
      </c>
      <c r="E3266">
        <v>2</v>
      </c>
      <c r="F3266" t="s">
        <v>709</v>
      </c>
      <c r="H3266" t="s">
        <v>4343</v>
      </c>
    </row>
    <row r="3267" spans="1:8">
      <c r="A3267" t="s">
        <v>3180</v>
      </c>
      <c r="B3267">
        <v>8011002</v>
      </c>
      <c r="D3267" t="s">
        <v>1958</v>
      </c>
      <c r="E3267">
        <v>2</v>
      </c>
      <c r="F3267" t="s">
        <v>671</v>
      </c>
      <c r="H3267" t="s">
        <v>4343</v>
      </c>
    </row>
    <row r="3268" spans="1:8">
      <c r="A3268" t="s">
        <v>3180</v>
      </c>
      <c r="B3268">
        <v>8704101</v>
      </c>
      <c r="D3268" t="s">
        <v>4354</v>
      </c>
      <c r="E3268">
        <v>2</v>
      </c>
      <c r="F3268" t="s">
        <v>671</v>
      </c>
      <c r="H3268" t="s">
        <v>4343</v>
      </c>
    </row>
    <row r="3269" spans="1:8">
      <c r="A3269" t="s">
        <v>3180</v>
      </c>
      <c r="B3269">
        <v>8704127</v>
      </c>
      <c r="D3269" t="s">
        <v>2325</v>
      </c>
      <c r="E3269">
        <v>2</v>
      </c>
      <c r="F3269" t="s">
        <v>671</v>
      </c>
      <c r="H3269" t="s">
        <v>4343</v>
      </c>
    </row>
    <row r="3270" spans="1:8">
      <c r="A3270" t="s">
        <v>3180</v>
      </c>
      <c r="B3270">
        <v>8704128</v>
      </c>
      <c r="D3270" t="s">
        <v>2326</v>
      </c>
      <c r="E3270">
        <v>2</v>
      </c>
      <c r="F3270" t="s">
        <v>671</v>
      </c>
      <c r="H3270" t="s">
        <v>4343</v>
      </c>
    </row>
    <row r="3271" spans="1:8">
      <c r="A3271" t="s">
        <v>3180</v>
      </c>
      <c r="B3271">
        <v>8010883</v>
      </c>
      <c r="D3271" t="s">
        <v>525</v>
      </c>
      <c r="E3271">
        <v>2</v>
      </c>
      <c r="F3271" t="s">
        <v>671</v>
      </c>
      <c r="H3271" t="s">
        <v>4343</v>
      </c>
    </row>
    <row r="3272" spans="1:8">
      <c r="A3272" t="s">
        <v>3180</v>
      </c>
      <c r="B3272">
        <v>8014622</v>
      </c>
      <c r="D3272" t="s">
        <v>2209</v>
      </c>
      <c r="E3272">
        <v>2</v>
      </c>
      <c r="F3272" t="s">
        <v>671</v>
      </c>
      <c r="H3272" t="s">
        <v>4343</v>
      </c>
    </row>
    <row r="3273" spans="1:8">
      <c r="A3273" t="s">
        <v>3180</v>
      </c>
      <c r="B3273">
        <v>8704129</v>
      </c>
      <c r="D3273" t="s">
        <v>2327</v>
      </c>
      <c r="E3273">
        <v>2</v>
      </c>
      <c r="F3273" t="s">
        <v>671</v>
      </c>
      <c r="H3273" t="s">
        <v>4343</v>
      </c>
    </row>
    <row r="3274" spans="1:8">
      <c r="A3274" t="s">
        <v>3180</v>
      </c>
      <c r="B3274">
        <v>8014637</v>
      </c>
      <c r="D3274" t="s">
        <v>2219</v>
      </c>
      <c r="E3274">
        <v>2</v>
      </c>
      <c r="F3274" t="s">
        <v>671</v>
      </c>
      <c r="H3274" t="s">
        <v>4343</v>
      </c>
    </row>
    <row r="3275" spans="1:8">
      <c r="A3275" t="s">
        <v>3180</v>
      </c>
      <c r="B3275">
        <v>8704070</v>
      </c>
      <c r="D3275" t="s">
        <v>162</v>
      </c>
      <c r="E3275">
        <v>2</v>
      </c>
      <c r="F3275" t="s">
        <v>671</v>
      </c>
      <c r="H3275" t="s">
        <v>4343</v>
      </c>
    </row>
    <row r="3276" spans="1:8">
      <c r="A3276" t="s">
        <v>3180</v>
      </c>
      <c r="B3276">
        <v>8012346</v>
      </c>
      <c r="D3276" t="s">
        <v>242</v>
      </c>
      <c r="E3276">
        <v>2</v>
      </c>
      <c r="F3276" t="s">
        <v>671</v>
      </c>
      <c r="H3276" t="s">
        <v>4343</v>
      </c>
    </row>
    <row r="3277" spans="1:8">
      <c r="A3277" t="s">
        <v>3180</v>
      </c>
      <c r="B3277">
        <v>8014597</v>
      </c>
      <c r="D3277" t="s">
        <v>2206</v>
      </c>
      <c r="E3277">
        <v>2</v>
      </c>
      <c r="F3277" t="s">
        <v>671</v>
      </c>
      <c r="H3277" t="s">
        <v>4343</v>
      </c>
    </row>
    <row r="3278" spans="1:8">
      <c r="A3278" t="s">
        <v>3180</v>
      </c>
      <c r="B3278">
        <v>8014628</v>
      </c>
      <c r="D3278" t="s">
        <v>2211</v>
      </c>
      <c r="E3278">
        <v>2</v>
      </c>
      <c r="F3278" t="s">
        <v>671</v>
      </c>
      <c r="H3278" t="s">
        <v>4343</v>
      </c>
    </row>
    <row r="3279" spans="1:8">
      <c r="A3279" t="s">
        <v>3180</v>
      </c>
      <c r="B3279">
        <v>8014629</v>
      </c>
      <c r="D3279" t="s">
        <v>2212</v>
      </c>
      <c r="E3279">
        <v>2</v>
      </c>
      <c r="F3279" t="s">
        <v>671</v>
      </c>
      <c r="H3279" t="s">
        <v>4343</v>
      </c>
    </row>
    <row r="3280" spans="1:8">
      <c r="A3280" t="s">
        <v>3180</v>
      </c>
      <c r="B3280">
        <v>8014480</v>
      </c>
      <c r="D3280" t="s">
        <v>2199</v>
      </c>
      <c r="E3280">
        <v>2</v>
      </c>
      <c r="F3280" t="s">
        <v>671</v>
      </c>
      <c r="H3280" t="s">
        <v>4343</v>
      </c>
    </row>
    <row r="3281" spans="1:8">
      <c r="A3281" t="s">
        <v>3180</v>
      </c>
      <c r="B3281">
        <v>4528446</v>
      </c>
      <c r="D3281" t="s">
        <v>4355</v>
      </c>
      <c r="E3281">
        <v>2</v>
      </c>
      <c r="F3281" t="s">
        <v>654</v>
      </c>
      <c r="H3281" t="s">
        <v>4343</v>
      </c>
    </row>
    <row r="3282" spans="1:8">
      <c r="A3282" t="s">
        <v>3180</v>
      </c>
      <c r="B3282">
        <v>4501165</v>
      </c>
      <c r="D3282" t="s">
        <v>4356</v>
      </c>
      <c r="E3282">
        <v>2</v>
      </c>
      <c r="F3282" t="s">
        <v>654</v>
      </c>
      <c r="H3282" t="s">
        <v>4343</v>
      </c>
    </row>
    <row r="3283" spans="1:8">
      <c r="A3283" t="s">
        <v>3180</v>
      </c>
      <c r="B3283">
        <v>4734146</v>
      </c>
      <c r="D3283" t="s">
        <v>581</v>
      </c>
      <c r="E3283">
        <v>1</v>
      </c>
      <c r="F3283" t="s">
        <v>642</v>
      </c>
      <c r="H3283" t="s">
        <v>4357</v>
      </c>
    </row>
    <row r="3284" spans="1:8">
      <c r="A3284" t="s">
        <v>3180</v>
      </c>
      <c r="B3284">
        <v>4505985</v>
      </c>
      <c r="D3284" t="s">
        <v>705</v>
      </c>
      <c r="E3284">
        <v>1</v>
      </c>
      <c r="F3284" t="s">
        <v>646</v>
      </c>
      <c r="H3284" t="s">
        <v>4357</v>
      </c>
    </row>
    <row r="3285" spans="1:8">
      <c r="A3285" t="s">
        <v>3180</v>
      </c>
      <c r="B3285">
        <v>4529794</v>
      </c>
      <c r="D3285" t="s">
        <v>182</v>
      </c>
      <c r="E3285">
        <v>1</v>
      </c>
      <c r="F3285" t="s">
        <v>646</v>
      </c>
      <c r="H3285" t="s">
        <v>4357</v>
      </c>
    </row>
    <row r="3286" spans="1:8">
      <c r="A3286" t="s">
        <v>3180</v>
      </c>
      <c r="B3286">
        <v>4529359</v>
      </c>
      <c r="D3286" t="s">
        <v>4358</v>
      </c>
      <c r="E3286">
        <v>1</v>
      </c>
      <c r="F3286" t="s">
        <v>646</v>
      </c>
      <c r="H3286" t="s">
        <v>4357</v>
      </c>
    </row>
    <row r="3287" spans="1:8">
      <c r="A3287" t="s">
        <v>3180</v>
      </c>
      <c r="B3287">
        <v>4529357</v>
      </c>
      <c r="D3287" t="s">
        <v>4359</v>
      </c>
      <c r="E3287">
        <v>1</v>
      </c>
      <c r="F3287" t="s">
        <v>646</v>
      </c>
      <c r="H3287" t="s">
        <v>4357</v>
      </c>
    </row>
    <row r="3288" spans="1:8">
      <c r="A3288" t="s">
        <v>3180</v>
      </c>
      <c r="B3288">
        <v>4529361</v>
      </c>
      <c r="D3288" t="s">
        <v>4360</v>
      </c>
      <c r="E3288">
        <v>1</v>
      </c>
      <c r="F3288" t="s">
        <v>646</v>
      </c>
      <c r="H3288" t="s">
        <v>4357</v>
      </c>
    </row>
    <row r="3289" spans="1:8">
      <c r="A3289" t="s">
        <v>3180</v>
      </c>
      <c r="B3289">
        <v>4529696</v>
      </c>
      <c r="D3289" t="s">
        <v>4361</v>
      </c>
      <c r="E3289">
        <v>1</v>
      </c>
      <c r="F3289" t="s">
        <v>646</v>
      </c>
      <c r="H3289" t="s">
        <v>4357</v>
      </c>
    </row>
    <row r="3290" spans="1:8">
      <c r="A3290" t="s">
        <v>3180</v>
      </c>
      <c r="B3290">
        <v>4529360</v>
      </c>
      <c r="D3290" t="s">
        <v>4362</v>
      </c>
      <c r="E3290">
        <v>1</v>
      </c>
      <c r="F3290" t="s">
        <v>646</v>
      </c>
      <c r="H3290" t="s">
        <v>4357</v>
      </c>
    </row>
    <row r="3291" spans="1:8">
      <c r="A3291" t="s">
        <v>3180</v>
      </c>
      <c r="B3291">
        <v>4529695</v>
      </c>
      <c r="D3291" t="s">
        <v>4363</v>
      </c>
      <c r="E3291">
        <v>1</v>
      </c>
      <c r="F3291" t="s">
        <v>646</v>
      </c>
      <c r="H3291" t="s">
        <v>4357</v>
      </c>
    </row>
    <row r="3292" spans="1:8">
      <c r="A3292" t="s">
        <v>3180</v>
      </c>
      <c r="B3292">
        <v>4529795</v>
      </c>
      <c r="D3292" t="s">
        <v>4364</v>
      </c>
      <c r="E3292">
        <v>1</v>
      </c>
      <c r="F3292" t="s">
        <v>646</v>
      </c>
      <c r="H3292" t="s">
        <v>4357</v>
      </c>
    </row>
    <row r="3293" spans="1:8">
      <c r="A3293" t="s">
        <v>3180</v>
      </c>
      <c r="B3293">
        <v>4529984</v>
      </c>
      <c r="D3293" t="s">
        <v>4365</v>
      </c>
      <c r="E3293">
        <v>1</v>
      </c>
      <c r="F3293" t="s">
        <v>656</v>
      </c>
      <c r="H3293" t="s">
        <v>4357</v>
      </c>
    </row>
    <row r="3294" spans="1:8">
      <c r="A3294" t="s">
        <v>3180</v>
      </c>
      <c r="B3294">
        <v>4528996</v>
      </c>
      <c r="D3294" t="s">
        <v>4366</v>
      </c>
      <c r="E3294">
        <v>1</v>
      </c>
      <c r="F3294" t="s">
        <v>649</v>
      </c>
      <c r="H3294" t="s">
        <v>4357</v>
      </c>
    </row>
    <row r="3295" spans="1:8">
      <c r="A3295" t="s">
        <v>3180</v>
      </c>
      <c r="B3295">
        <v>4529522</v>
      </c>
      <c r="D3295" t="s">
        <v>4367</v>
      </c>
      <c r="E3295">
        <v>1</v>
      </c>
      <c r="F3295" t="s">
        <v>649</v>
      </c>
      <c r="H3295" t="s">
        <v>4357</v>
      </c>
    </row>
    <row r="3296" spans="1:8">
      <c r="A3296" t="s">
        <v>3180</v>
      </c>
      <c r="B3296">
        <v>4529955</v>
      </c>
      <c r="D3296" t="s">
        <v>4368</v>
      </c>
      <c r="E3296">
        <v>1</v>
      </c>
      <c r="F3296" t="s">
        <v>649</v>
      </c>
      <c r="H3296" t="s">
        <v>4357</v>
      </c>
    </row>
    <row r="3297" spans="1:8">
      <c r="A3297" t="s">
        <v>3180</v>
      </c>
      <c r="B3297">
        <v>4529926</v>
      </c>
      <c r="D3297" t="s">
        <v>254</v>
      </c>
      <c r="E3297">
        <v>1</v>
      </c>
      <c r="F3297" t="s">
        <v>640</v>
      </c>
      <c r="H3297" t="s">
        <v>4357</v>
      </c>
    </row>
    <row r="3298" spans="1:8">
      <c r="A3298" t="s">
        <v>3180</v>
      </c>
      <c r="B3298">
        <v>1500649</v>
      </c>
      <c r="D3298" t="s">
        <v>4369</v>
      </c>
      <c r="E3298">
        <v>1</v>
      </c>
      <c r="F3298" t="s">
        <v>640</v>
      </c>
      <c r="H3298" t="s">
        <v>4357</v>
      </c>
    </row>
    <row r="3299" spans="1:8">
      <c r="A3299" t="s">
        <v>3180</v>
      </c>
      <c r="B3299">
        <v>8014497</v>
      </c>
      <c r="D3299" t="s">
        <v>742</v>
      </c>
      <c r="E3299">
        <v>2</v>
      </c>
      <c r="F3299" t="s">
        <v>709</v>
      </c>
      <c r="H3299" t="s">
        <v>4357</v>
      </c>
    </row>
    <row r="3300" spans="1:8">
      <c r="A3300" t="s">
        <v>3180</v>
      </c>
      <c r="B3300">
        <v>8014498</v>
      </c>
      <c r="D3300" t="s">
        <v>271</v>
      </c>
      <c r="E3300">
        <v>2</v>
      </c>
      <c r="F3300" t="s">
        <v>709</v>
      </c>
      <c r="H3300" t="s">
        <v>4357</v>
      </c>
    </row>
    <row r="3301" spans="1:8">
      <c r="A3301" t="s">
        <v>3180</v>
      </c>
      <c r="B3301">
        <v>4043241</v>
      </c>
      <c r="D3301" t="s">
        <v>1352</v>
      </c>
      <c r="E3301">
        <v>2</v>
      </c>
      <c r="F3301" t="s">
        <v>709</v>
      </c>
      <c r="H3301" t="s">
        <v>4357</v>
      </c>
    </row>
    <row r="3302" spans="1:8">
      <c r="A3302" t="s">
        <v>3180</v>
      </c>
      <c r="B3302">
        <v>8009818</v>
      </c>
      <c r="D3302" t="s">
        <v>276</v>
      </c>
      <c r="E3302">
        <v>2</v>
      </c>
      <c r="F3302" t="s">
        <v>696</v>
      </c>
      <c r="H3302" t="s">
        <v>4357</v>
      </c>
    </row>
    <row r="3303" spans="1:8">
      <c r="A3303" t="s">
        <v>3180</v>
      </c>
      <c r="B3303">
        <v>8009754</v>
      </c>
      <c r="D3303" t="s">
        <v>277</v>
      </c>
      <c r="E3303">
        <v>2</v>
      </c>
      <c r="F3303" t="s">
        <v>696</v>
      </c>
      <c r="H3303" t="s">
        <v>4357</v>
      </c>
    </row>
    <row r="3304" spans="1:8">
      <c r="A3304" t="s">
        <v>3180</v>
      </c>
      <c r="B3304">
        <v>8009817</v>
      </c>
      <c r="D3304" t="s">
        <v>278</v>
      </c>
      <c r="E3304">
        <v>2</v>
      </c>
      <c r="F3304" t="s">
        <v>696</v>
      </c>
      <c r="H3304" t="s">
        <v>4357</v>
      </c>
    </row>
    <row r="3305" spans="1:8">
      <c r="A3305" t="s">
        <v>3180</v>
      </c>
      <c r="B3305">
        <v>4529698</v>
      </c>
      <c r="D3305" t="s">
        <v>62</v>
      </c>
      <c r="E3305">
        <v>2</v>
      </c>
      <c r="F3305" t="s">
        <v>671</v>
      </c>
      <c r="H3305" t="s">
        <v>4357</v>
      </c>
    </row>
    <row r="3306" spans="1:8">
      <c r="A3306" t="s">
        <v>3180</v>
      </c>
      <c r="B3306">
        <v>4529643</v>
      </c>
      <c r="D3306" t="s">
        <v>246</v>
      </c>
      <c r="E3306">
        <v>2</v>
      </c>
      <c r="F3306" t="s">
        <v>671</v>
      </c>
      <c r="H3306" t="s">
        <v>4357</v>
      </c>
    </row>
    <row r="3307" spans="1:8">
      <c r="A3307" t="s">
        <v>3180</v>
      </c>
      <c r="B3307">
        <v>4529642</v>
      </c>
      <c r="D3307" t="s">
        <v>239</v>
      </c>
      <c r="E3307">
        <v>2</v>
      </c>
      <c r="F3307" t="s">
        <v>671</v>
      </c>
      <c r="H3307" t="s">
        <v>4357</v>
      </c>
    </row>
    <row r="3308" spans="1:8">
      <c r="A3308" t="s">
        <v>3180</v>
      </c>
      <c r="B3308">
        <v>4529697</v>
      </c>
      <c r="D3308" t="s">
        <v>4370</v>
      </c>
      <c r="E3308">
        <v>2</v>
      </c>
      <c r="F3308" t="s">
        <v>671</v>
      </c>
      <c r="H3308" t="s">
        <v>4357</v>
      </c>
    </row>
    <row r="3309" spans="1:8">
      <c r="A3309" t="s">
        <v>3180</v>
      </c>
      <c r="B3309">
        <v>8703827</v>
      </c>
      <c r="D3309" t="s">
        <v>1270</v>
      </c>
      <c r="E3309">
        <v>2</v>
      </c>
      <c r="F3309" t="s">
        <v>671</v>
      </c>
      <c r="H3309" t="s">
        <v>4357</v>
      </c>
    </row>
    <row r="3310" spans="1:8">
      <c r="A3310" t="s">
        <v>3180</v>
      </c>
      <c r="B3310">
        <v>8700706</v>
      </c>
      <c r="D3310" t="s">
        <v>2252</v>
      </c>
      <c r="E3310">
        <v>2</v>
      </c>
      <c r="F3310" t="s">
        <v>671</v>
      </c>
      <c r="H3310" t="s">
        <v>4357</v>
      </c>
    </row>
    <row r="3311" spans="1:8">
      <c r="A3311" t="s">
        <v>3180</v>
      </c>
      <c r="B3311">
        <v>4529331</v>
      </c>
      <c r="D3311" t="s">
        <v>439</v>
      </c>
      <c r="E3311">
        <v>2</v>
      </c>
      <c r="F3311" t="s">
        <v>654</v>
      </c>
      <c r="H3311" t="s">
        <v>4357</v>
      </c>
    </row>
    <row r="3312" spans="1:8">
      <c r="A3312" t="s">
        <v>3180</v>
      </c>
      <c r="B3312">
        <v>4516196</v>
      </c>
      <c r="D3312" t="s">
        <v>4371</v>
      </c>
      <c r="E3312">
        <v>1</v>
      </c>
      <c r="F3312" t="s">
        <v>644</v>
      </c>
      <c r="H3312" t="s">
        <v>4357</v>
      </c>
    </row>
    <row r="3313" spans="1:8">
      <c r="A3313" t="s">
        <v>3180</v>
      </c>
      <c r="B3313">
        <v>4529796</v>
      </c>
      <c r="D3313" t="s">
        <v>4372</v>
      </c>
      <c r="E3313">
        <v>1</v>
      </c>
      <c r="F3313" t="s">
        <v>644</v>
      </c>
      <c r="H3313" t="s">
        <v>4357</v>
      </c>
    </row>
    <row r="3314" spans="2:6">
      <c r="B3314">
        <v>4530323</v>
      </c>
      <c r="D3314" t="s">
        <v>264</v>
      </c>
      <c r="E3314">
        <v>2</v>
      </c>
      <c r="F3314" t="s">
        <v>671</v>
      </c>
    </row>
    <row r="3315" spans="2:6">
      <c r="B3315">
        <v>8015125</v>
      </c>
      <c r="D3315" t="s">
        <v>363</v>
      </c>
      <c r="E3315">
        <v>2</v>
      </c>
      <c r="F3315" t="s">
        <v>671</v>
      </c>
    </row>
    <row r="3316" spans="2:6">
      <c r="B3316">
        <v>4530206</v>
      </c>
      <c r="D3316" t="s">
        <v>211</v>
      </c>
      <c r="E3316">
        <v>2</v>
      </c>
      <c r="F3316" t="s">
        <v>671</v>
      </c>
    </row>
    <row r="3317" spans="2:6">
      <c r="B3317">
        <v>4530197</v>
      </c>
      <c r="D3317" t="s">
        <v>76</v>
      </c>
      <c r="E3317">
        <v>1</v>
      </c>
      <c r="F3317" t="s">
        <v>649</v>
      </c>
    </row>
    <row r="3318" spans="2:6">
      <c r="B3318">
        <v>8015100</v>
      </c>
      <c r="D3318" t="s">
        <v>80</v>
      </c>
      <c r="E3318">
        <v>2</v>
      </c>
      <c r="F3318" t="s">
        <v>709</v>
      </c>
    </row>
    <row r="3319" spans="2:6">
      <c r="B3319">
        <v>8015096</v>
      </c>
      <c r="D3319" t="s">
        <v>81</v>
      </c>
      <c r="E3319">
        <v>2</v>
      </c>
      <c r="F3319" t="s">
        <v>709</v>
      </c>
    </row>
    <row r="3320" spans="2:6">
      <c r="B3320">
        <v>8015093</v>
      </c>
      <c r="D3320" t="s">
        <v>82</v>
      </c>
      <c r="E3320">
        <v>2</v>
      </c>
      <c r="F3320" t="s">
        <v>709</v>
      </c>
    </row>
    <row r="3321" spans="2:6">
      <c r="B3321">
        <v>8015092</v>
      </c>
      <c r="D3321" t="s">
        <v>83</v>
      </c>
      <c r="E3321">
        <v>2</v>
      </c>
      <c r="F3321" t="s">
        <v>709</v>
      </c>
    </row>
    <row r="3322" spans="2:6">
      <c r="B3322">
        <v>8015094</v>
      </c>
      <c r="D3322" t="s">
        <v>84</v>
      </c>
      <c r="E3322">
        <v>2</v>
      </c>
      <c r="F3322" t="s">
        <v>709</v>
      </c>
    </row>
    <row r="3323" spans="2:6">
      <c r="B3323">
        <v>8015097</v>
      </c>
      <c r="D3323" t="s">
        <v>85</v>
      </c>
      <c r="E3323">
        <v>2</v>
      </c>
      <c r="F3323" t="s">
        <v>709</v>
      </c>
    </row>
    <row r="3324" spans="2:6">
      <c r="B3324">
        <v>8014496</v>
      </c>
      <c r="D3324" t="s">
        <v>163</v>
      </c>
      <c r="E3324">
        <v>2</v>
      </c>
      <c r="F3324" t="s">
        <v>709</v>
      </c>
    </row>
    <row r="3325" spans="2:6">
      <c r="B3325">
        <v>4530204</v>
      </c>
      <c r="D3325" t="s">
        <v>174</v>
      </c>
      <c r="E3325">
        <v>1</v>
      </c>
      <c r="F3325" t="s">
        <v>640</v>
      </c>
    </row>
    <row r="3326" spans="2:6">
      <c r="B3326">
        <v>4044998</v>
      </c>
      <c r="D3326" t="s">
        <v>209</v>
      </c>
      <c r="E3326">
        <v>2</v>
      </c>
      <c r="F3326" t="s">
        <v>709</v>
      </c>
    </row>
    <row r="3327" spans="2:6">
      <c r="B3327">
        <v>4514318</v>
      </c>
      <c r="D3327" t="s">
        <v>331</v>
      </c>
      <c r="E3327">
        <v>2</v>
      </c>
      <c r="F3327" t="s">
        <v>671</v>
      </c>
    </row>
    <row r="3328" spans="2:6">
      <c r="B3328">
        <v>4711978</v>
      </c>
      <c r="D3328" t="s">
        <v>219</v>
      </c>
      <c r="E3328">
        <v>1</v>
      </c>
      <c r="F3328" t="s">
        <v>649</v>
      </c>
    </row>
    <row r="3329" spans="2:6">
      <c r="B3329">
        <v>4529863</v>
      </c>
      <c r="D3329" t="s">
        <v>229</v>
      </c>
      <c r="E3329">
        <v>1</v>
      </c>
      <c r="F3329" t="s">
        <v>642</v>
      </c>
    </row>
    <row r="3330" spans="2:6">
      <c r="B3330">
        <v>4530324</v>
      </c>
      <c r="D3330" t="s">
        <v>244</v>
      </c>
      <c r="E3330">
        <v>2</v>
      </c>
      <c r="F3330" t="s">
        <v>671</v>
      </c>
    </row>
    <row r="3331" spans="2:6">
      <c r="B3331">
        <v>4046656</v>
      </c>
      <c r="D3331" t="s">
        <v>249</v>
      </c>
      <c r="E3331">
        <v>1</v>
      </c>
      <c r="F3331" t="s">
        <v>649</v>
      </c>
    </row>
    <row r="3332" spans="2:6">
      <c r="B3332">
        <v>4530016</v>
      </c>
      <c r="D3332" t="s">
        <v>269</v>
      </c>
      <c r="E3332">
        <v>1</v>
      </c>
      <c r="F3332" t="s">
        <v>649</v>
      </c>
    </row>
    <row r="3333" spans="2:6">
      <c r="B3333">
        <v>8009670</v>
      </c>
      <c r="D3333" t="s">
        <v>272</v>
      </c>
      <c r="E3333">
        <v>2</v>
      </c>
      <c r="F3333" t="s">
        <v>696</v>
      </c>
    </row>
    <row r="3334" spans="2:6">
      <c r="B3334">
        <v>8009669</v>
      </c>
      <c r="D3334" t="s">
        <v>273</v>
      </c>
      <c r="E3334">
        <v>2</v>
      </c>
      <c r="F3334" t="s">
        <v>696</v>
      </c>
    </row>
    <row r="3335" spans="2:6">
      <c r="B3335">
        <v>8009668</v>
      </c>
      <c r="D3335" t="s">
        <v>274</v>
      </c>
      <c r="E3335">
        <v>2</v>
      </c>
      <c r="F3335" t="s">
        <v>696</v>
      </c>
    </row>
    <row r="3336" spans="2:6">
      <c r="B3336">
        <v>8009667</v>
      </c>
      <c r="D3336" t="s">
        <v>275</v>
      </c>
      <c r="E3336">
        <v>2</v>
      </c>
      <c r="F3336" t="s">
        <v>696</v>
      </c>
    </row>
    <row r="3337" spans="2:6">
      <c r="B3337">
        <v>8008962</v>
      </c>
      <c r="D3337" t="s">
        <v>279</v>
      </c>
      <c r="E3337">
        <v>2</v>
      </c>
      <c r="F3337" t="s">
        <v>696</v>
      </c>
    </row>
    <row r="3338" spans="2:6">
      <c r="B3338">
        <v>8008963</v>
      </c>
      <c r="D3338" t="s">
        <v>280</v>
      </c>
      <c r="E3338">
        <v>2</v>
      </c>
      <c r="F3338" t="s">
        <v>696</v>
      </c>
    </row>
    <row r="3339" spans="2:6">
      <c r="B3339">
        <v>8008964</v>
      </c>
      <c r="D3339" t="s">
        <v>281</v>
      </c>
      <c r="E3339">
        <v>2</v>
      </c>
      <c r="F3339" t="s">
        <v>696</v>
      </c>
    </row>
    <row r="3340" spans="2:6">
      <c r="B3340">
        <v>8008965</v>
      </c>
      <c r="D3340" t="s">
        <v>282</v>
      </c>
      <c r="E3340">
        <v>2</v>
      </c>
      <c r="F3340" t="s">
        <v>696</v>
      </c>
    </row>
    <row r="3341" spans="2:6">
      <c r="B3341">
        <v>4530906</v>
      </c>
      <c r="D3341" t="s">
        <v>304</v>
      </c>
      <c r="E3341">
        <v>1</v>
      </c>
      <c r="F3341" t="s">
        <v>646</v>
      </c>
    </row>
    <row r="3342" spans="2:6">
      <c r="B3342">
        <v>4528555</v>
      </c>
      <c r="D3342" t="s">
        <v>532</v>
      </c>
      <c r="E3342">
        <v>2</v>
      </c>
      <c r="F3342" t="s">
        <v>671</v>
      </c>
    </row>
    <row r="3343" spans="2:6">
      <c r="B3343">
        <v>4524272</v>
      </c>
      <c r="D3343" t="s">
        <v>333</v>
      </c>
      <c r="E3343">
        <v>2</v>
      </c>
      <c r="F3343" t="s">
        <v>671</v>
      </c>
    </row>
    <row r="3344" spans="2:6">
      <c r="B3344">
        <v>4040830</v>
      </c>
      <c r="D3344" t="s">
        <v>384</v>
      </c>
      <c r="E3344">
        <v>2</v>
      </c>
      <c r="F3344" t="s">
        <v>709</v>
      </c>
    </row>
    <row r="3345" spans="2:6">
      <c r="B3345">
        <v>4027275</v>
      </c>
      <c r="D3345" t="s">
        <v>547</v>
      </c>
      <c r="E3345">
        <v>2</v>
      </c>
      <c r="F3345" t="s">
        <v>671</v>
      </c>
    </row>
    <row r="3346" spans="2:6">
      <c r="B3346">
        <v>3010356</v>
      </c>
      <c r="D3346" t="s">
        <v>435</v>
      </c>
      <c r="E3346">
        <v>1</v>
      </c>
      <c r="F3346" t="s">
        <v>656</v>
      </c>
    </row>
    <row r="3347" spans="2:6">
      <c r="B3347">
        <v>8010071</v>
      </c>
      <c r="D3347" t="s">
        <v>329</v>
      </c>
      <c r="E3347">
        <v>2</v>
      </c>
      <c r="F3347" t="s">
        <v>671</v>
      </c>
    </row>
    <row r="3348" spans="2:6">
      <c r="B3348">
        <v>4530630</v>
      </c>
      <c r="D3348" t="s">
        <v>476</v>
      </c>
      <c r="E3348">
        <v>1</v>
      </c>
      <c r="F3348" t="s">
        <v>646</v>
      </c>
    </row>
    <row r="3349" spans="2:6">
      <c r="B3349">
        <v>4530199</v>
      </c>
      <c r="D3349" t="s">
        <v>527</v>
      </c>
      <c r="E3349">
        <v>1</v>
      </c>
      <c r="F3349" t="s">
        <v>656</v>
      </c>
    </row>
    <row r="3350" spans="2:6">
      <c r="B3350">
        <v>4530732</v>
      </c>
      <c r="D3350" t="s">
        <v>534</v>
      </c>
      <c r="E3350">
        <v>1</v>
      </c>
      <c r="F3350" t="s">
        <v>646</v>
      </c>
    </row>
    <row r="3351" spans="2:6">
      <c r="B3351">
        <v>4530198</v>
      </c>
      <c r="D3351" t="s">
        <v>537</v>
      </c>
      <c r="E3351">
        <v>1</v>
      </c>
      <c r="F3351" t="s">
        <v>649</v>
      </c>
    </row>
    <row r="3352" spans="2:6">
      <c r="B3352">
        <v>4530675</v>
      </c>
      <c r="D3352" t="s">
        <v>546</v>
      </c>
      <c r="E3352">
        <v>1</v>
      </c>
      <c r="F3352" t="s">
        <v>646</v>
      </c>
    </row>
    <row r="3353" spans="2:6">
      <c r="B3353">
        <v>8014825</v>
      </c>
      <c r="D3353" t="s">
        <v>153</v>
      </c>
      <c r="E3353">
        <v>2</v>
      </c>
      <c r="F3353" t="s">
        <v>671</v>
      </c>
    </row>
    <row r="3354" spans="2:6">
      <c r="B3354">
        <v>8014500</v>
      </c>
      <c r="D3354" t="s">
        <v>578</v>
      </c>
      <c r="E3354">
        <v>2</v>
      </c>
      <c r="F3354" t="s">
        <v>709</v>
      </c>
    </row>
    <row r="3355" spans="2:6">
      <c r="B3355">
        <v>4530878</v>
      </c>
      <c r="D3355" t="s">
        <v>591</v>
      </c>
      <c r="E3355">
        <v>1</v>
      </c>
      <c r="F3355" t="s">
        <v>649</v>
      </c>
    </row>
  </sheetData>
  <conditionalFormatting sqref="B1:B65536">
    <cfRule type="duplicateValues" dxfId="3" priority="1"/>
    <cfRule type="duplicateValues" dxfId="3" priority="2"/>
    <cfRule type="duplicateValues" dxfId="3" priority="3"/>
    <cfRule type="duplicateValues" dxfId="3" priority="4"/>
    <cfRule type="duplicateValues" dxfId="3" priority="5"/>
    <cfRule type="duplicateValues" dxfId="3" priority="6"/>
  </conditionalFormatting>
  <conditionalFormatting sqref="B2270:B2413">
    <cfRule type="duplicateValues" dxfId="3" priority="7" stopIfTrue="1"/>
    <cfRule type="duplicateValues" dxfId="3" priority="8" stopIfTrue="1"/>
  </conditionalFormatting>
  <conditionalFormatting sqref="C2270:C2413">
    <cfRule type="expression" dxfId="1" priority="9" stopIfTrue="1">
      <formula>AND(COUNTIF($C$1:$C$9376,C2270)+COUNTIF($C$9384:$C$65307,C2270)&gt;1,NOT(ISBLANK(C2270)))</formula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18"/>
  <sheetViews>
    <sheetView topLeftCell="A82" workbookViewId="0">
      <selection activeCell="B11" sqref="B11"/>
    </sheetView>
  </sheetViews>
  <sheetFormatPr defaultColWidth="11" defaultRowHeight="15.75" outlineLevelCol="1"/>
  <cols>
    <col min="1" max="1" width="8.83333333333333" style="10"/>
  </cols>
  <sheetData>
    <row r="1" spans="1:2">
      <c r="A1" s="10" t="s">
        <v>2430</v>
      </c>
      <c r="B1" t="s">
        <v>631</v>
      </c>
    </row>
    <row r="2" spans="1:2">
      <c r="A2" s="10" t="s">
        <v>2588</v>
      </c>
      <c r="B2">
        <v>1</v>
      </c>
    </row>
    <row r="3" spans="1:2">
      <c r="A3" s="10" t="s">
        <v>2436</v>
      </c>
      <c r="B3">
        <v>1</v>
      </c>
    </row>
    <row r="4" spans="1:2">
      <c r="A4" s="10" t="s">
        <v>2436</v>
      </c>
      <c r="B4">
        <v>1</v>
      </c>
    </row>
    <row r="5" spans="1:2">
      <c r="A5" s="10" t="s">
        <v>2653</v>
      </c>
      <c r="B5">
        <v>1</v>
      </c>
    </row>
    <row r="6" spans="1:2">
      <c r="A6" s="10" t="s">
        <v>4373</v>
      </c>
      <c r="B6">
        <v>1</v>
      </c>
    </row>
    <row r="7" spans="1:2">
      <c r="A7" s="10" t="s">
        <v>2653</v>
      </c>
      <c r="B7">
        <v>1</v>
      </c>
    </row>
    <row r="8" spans="1:2">
      <c r="A8" s="10" t="s">
        <v>2436</v>
      </c>
      <c r="B8">
        <v>1</v>
      </c>
    </row>
    <row r="9" spans="1:2">
      <c r="A9" s="10" t="s">
        <v>2450</v>
      </c>
      <c r="B9">
        <v>1</v>
      </c>
    </row>
    <row r="10" spans="1:2">
      <c r="A10" s="10" t="s">
        <v>2436</v>
      </c>
      <c r="B10">
        <v>1</v>
      </c>
    </row>
    <row r="11" spans="1:2">
      <c r="A11" s="10" t="s">
        <v>2450</v>
      </c>
      <c r="B11">
        <v>1</v>
      </c>
    </row>
    <row r="12" spans="1:2">
      <c r="A12" s="10" t="s">
        <v>2440</v>
      </c>
      <c r="B12">
        <v>0.5</v>
      </c>
    </row>
    <row r="13" spans="1:2">
      <c r="A13" s="10" t="s">
        <v>2436</v>
      </c>
      <c r="B13">
        <v>1</v>
      </c>
    </row>
    <row r="14" spans="1:2">
      <c r="A14" s="10" t="s">
        <v>2436</v>
      </c>
      <c r="B14">
        <v>1</v>
      </c>
    </row>
    <row r="15" spans="1:2">
      <c r="A15" s="10" t="s">
        <v>2436</v>
      </c>
      <c r="B15">
        <v>1</v>
      </c>
    </row>
    <row r="16" spans="1:2">
      <c r="A16" s="10" t="s">
        <v>2436</v>
      </c>
      <c r="B16">
        <v>1</v>
      </c>
    </row>
    <row r="17" spans="1:2">
      <c r="A17" s="10" t="s">
        <v>2436</v>
      </c>
      <c r="B17">
        <v>1</v>
      </c>
    </row>
    <row r="18" spans="1:2">
      <c r="A18" s="10" t="s">
        <v>2436</v>
      </c>
      <c r="B18">
        <v>1</v>
      </c>
    </row>
    <row r="19" spans="1:2">
      <c r="A19" s="10" t="s">
        <v>2436</v>
      </c>
      <c r="B19">
        <v>1</v>
      </c>
    </row>
    <row r="20" spans="1:2">
      <c r="A20" s="10" t="s">
        <v>2450</v>
      </c>
      <c r="B20">
        <v>1</v>
      </c>
    </row>
    <row r="21" spans="1:2">
      <c r="A21" s="10" t="s">
        <v>2450</v>
      </c>
      <c r="B21">
        <v>1</v>
      </c>
    </row>
    <row r="22" spans="1:2">
      <c r="A22" s="10" t="s">
        <v>2436</v>
      </c>
      <c r="B22">
        <v>1</v>
      </c>
    </row>
    <row r="23" spans="1:2">
      <c r="A23" s="10" t="s">
        <v>2436</v>
      </c>
      <c r="B23">
        <v>1</v>
      </c>
    </row>
    <row r="24" spans="1:2">
      <c r="A24" s="10" t="s">
        <v>2450</v>
      </c>
      <c r="B24">
        <v>1</v>
      </c>
    </row>
    <row r="25" spans="1:2">
      <c r="A25" s="10" t="s">
        <v>2457</v>
      </c>
      <c r="B25">
        <v>2</v>
      </c>
    </row>
    <row r="26" spans="1:2">
      <c r="A26" s="10" t="s">
        <v>2460</v>
      </c>
      <c r="B26">
        <v>1</v>
      </c>
    </row>
    <row r="27" spans="1:2">
      <c r="A27" s="10" t="s">
        <v>2436</v>
      </c>
      <c r="B27">
        <v>1</v>
      </c>
    </row>
    <row r="28" spans="1:2">
      <c r="A28" s="10" t="s">
        <v>2440</v>
      </c>
      <c r="B28">
        <v>0.5</v>
      </c>
    </row>
    <row r="29" spans="1:2">
      <c r="A29" s="10" t="s">
        <v>2436</v>
      </c>
      <c r="B29">
        <v>1</v>
      </c>
    </row>
    <row r="30" spans="1:2">
      <c r="A30" s="10" t="s">
        <v>2436</v>
      </c>
      <c r="B30">
        <v>1</v>
      </c>
    </row>
    <row r="31" spans="1:2">
      <c r="A31" s="10" t="s">
        <v>2440</v>
      </c>
      <c r="B31">
        <v>0.5</v>
      </c>
    </row>
    <row r="32" spans="1:2">
      <c r="A32" s="10" t="s">
        <v>2436</v>
      </c>
      <c r="B32">
        <v>1</v>
      </c>
    </row>
    <row r="33" spans="1:2">
      <c r="A33" s="10" t="s">
        <v>2436</v>
      </c>
      <c r="B33">
        <v>1</v>
      </c>
    </row>
    <row r="34" spans="1:2">
      <c r="A34" s="10" t="s">
        <v>2436</v>
      </c>
      <c r="B34">
        <v>1</v>
      </c>
    </row>
    <row r="35" spans="1:2">
      <c r="A35" s="10" t="s">
        <v>2436</v>
      </c>
      <c r="B35">
        <v>1</v>
      </c>
    </row>
    <row r="36" spans="1:2">
      <c r="A36" s="10" t="s">
        <v>2436</v>
      </c>
      <c r="B36">
        <v>1</v>
      </c>
    </row>
    <row r="37" spans="1:2">
      <c r="A37" s="10" t="s">
        <v>2436</v>
      </c>
      <c r="B37">
        <v>1</v>
      </c>
    </row>
    <row r="38" spans="1:2">
      <c r="A38" s="10" t="s">
        <v>2436</v>
      </c>
      <c r="B38">
        <v>1</v>
      </c>
    </row>
    <row r="39" spans="1:2">
      <c r="A39" s="10" t="s">
        <v>2436</v>
      </c>
      <c r="B39">
        <v>1</v>
      </c>
    </row>
    <row r="40" spans="1:2">
      <c r="A40" s="10" t="s">
        <v>40</v>
      </c>
      <c r="B40">
        <v>1</v>
      </c>
    </row>
    <row r="41" spans="1:2">
      <c r="A41" s="10" t="s">
        <v>2436</v>
      </c>
      <c r="B41">
        <v>1</v>
      </c>
    </row>
    <row r="42" spans="1:2">
      <c r="A42" s="10" t="s">
        <v>2436</v>
      </c>
      <c r="B42">
        <v>1</v>
      </c>
    </row>
    <row r="43" spans="1:2">
      <c r="A43" s="10" t="s">
        <v>2436</v>
      </c>
      <c r="B43">
        <v>1</v>
      </c>
    </row>
    <row r="44" spans="1:2">
      <c r="A44" s="10" t="s">
        <v>2436</v>
      </c>
      <c r="B44">
        <v>1</v>
      </c>
    </row>
    <row r="45" spans="1:2">
      <c r="A45" s="10" t="s">
        <v>2436</v>
      </c>
      <c r="B45">
        <v>1</v>
      </c>
    </row>
    <row r="46" spans="1:2">
      <c r="A46" s="10" t="s">
        <v>2436</v>
      </c>
      <c r="B46">
        <v>1</v>
      </c>
    </row>
    <row r="47" spans="1:2">
      <c r="A47" s="10" t="s">
        <v>2450</v>
      </c>
      <c r="B47">
        <v>1</v>
      </c>
    </row>
    <row r="48" spans="1:2">
      <c r="A48" s="10" t="s">
        <v>2436</v>
      </c>
      <c r="B48">
        <v>1</v>
      </c>
    </row>
    <row r="49" spans="1:2">
      <c r="A49" s="10" t="s">
        <v>2436</v>
      </c>
      <c r="B49">
        <v>1</v>
      </c>
    </row>
    <row r="50" spans="1:2">
      <c r="A50" s="10" t="s">
        <v>2436</v>
      </c>
      <c r="B50">
        <v>1</v>
      </c>
    </row>
    <row r="51" spans="1:2">
      <c r="A51" s="10" t="s">
        <v>2436</v>
      </c>
      <c r="B51">
        <v>1</v>
      </c>
    </row>
    <row r="52" spans="1:2">
      <c r="A52" s="10" t="s">
        <v>2436</v>
      </c>
      <c r="B52">
        <v>1</v>
      </c>
    </row>
    <row r="53" spans="1:2">
      <c r="A53" s="10" t="s">
        <v>2436</v>
      </c>
      <c r="B53">
        <v>1</v>
      </c>
    </row>
    <row r="54" spans="1:2">
      <c r="A54" s="10" t="s">
        <v>2436</v>
      </c>
      <c r="B54">
        <v>1</v>
      </c>
    </row>
    <row r="55" spans="1:2">
      <c r="A55" s="10" t="s">
        <v>2436</v>
      </c>
      <c r="B55">
        <v>1</v>
      </c>
    </row>
    <row r="56" spans="1:2">
      <c r="A56" s="10" t="s">
        <v>2436</v>
      </c>
      <c r="B56">
        <v>1</v>
      </c>
    </row>
    <row r="57" spans="1:2">
      <c r="A57" s="10" t="s">
        <v>2436</v>
      </c>
      <c r="B57">
        <v>1</v>
      </c>
    </row>
    <row r="58" spans="1:2">
      <c r="A58" s="10" t="s">
        <v>2436</v>
      </c>
      <c r="B58">
        <v>1</v>
      </c>
    </row>
    <row r="59" spans="1:2">
      <c r="A59" s="10" t="s">
        <v>2436</v>
      </c>
      <c r="B59">
        <v>1</v>
      </c>
    </row>
    <row r="60" spans="1:2">
      <c r="A60" s="10" t="s">
        <v>2436</v>
      </c>
      <c r="B60">
        <v>1</v>
      </c>
    </row>
    <row r="61" spans="1:2">
      <c r="A61" s="10" t="s">
        <v>2436</v>
      </c>
      <c r="B61">
        <v>1</v>
      </c>
    </row>
    <row r="62" spans="1:2">
      <c r="A62" s="10" t="s">
        <v>2436</v>
      </c>
      <c r="B62">
        <v>1</v>
      </c>
    </row>
    <row r="63" spans="1:2">
      <c r="A63" s="10" t="s">
        <v>2436</v>
      </c>
      <c r="B63">
        <v>1</v>
      </c>
    </row>
    <row r="64" spans="1:2">
      <c r="A64" s="10" t="s">
        <v>2436</v>
      </c>
      <c r="B64">
        <v>1</v>
      </c>
    </row>
    <row r="65" spans="1:2">
      <c r="A65" s="10" t="s">
        <v>2436</v>
      </c>
      <c r="B65">
        <v>1</v>
      </c>
    </row>
    <row r="66" spans="1:2">
      <c r="A66" s="10" t="s">
        <v>2436</v>
      </c>
      <c r="B66">
        <v>1</v>
      </c>
    </row>
    <row r="67" spans="1:2">
      <c r="A67" s="10" t="s">
        <v>2436</v>
      </c>
      <c r="B67">
        <v>1</v>
      </c>
    </row>
    <row r="68" spans="1:2">
      <c r="A68" s="10" t="s">
        <v>2436</v>
      </c>
      <c r="B68">
        <v>1</v>
      </c>
    </row>
    <row r="69" spans="1:2">
      <c r="A69" s="10" t="s">
        <v>2436</v>
      </c>
      <c r="B69">
        <v>1</v>
      </c>
    </row>
    <row r="70" spans="1:2">
      <c r="A70" s="10" t="s">
        <v>2436</v>
      </c>
      <c r="B70">
        <v>1</v>
      </c>
    </row>
    <row r="71" spans="1:2">
      <c r="A71" s="10" t="s">
        <v>2436</v>
      </c>
      <c r="B71">
        <v>1</v>
      </c>
    </row>
    <row r="72" spans="1:2">
      <c r="A72" s="10" t="s">
        <v>2436</v>
      </c>
      <c r="B72">
        <v>1</v>
      </c>
    </row>
    <row r="73" spans="1:2">
      <c r="A73" s="10" t="s">
        <v>2450</v>
      </c>
      <c r="B73">
        <v>1</v>
      </c>
    </row>
    <row r="74" spans="1:2">
      <c r="A74" s="10" t="s">
        <v>2450</v>
      </c>
      <c r="B74">
        <v>1</v>
      </c>
    </row>
    <row r="75" spans="1:2">
      <c r="A75" s="10" t="s">
        <v>2436</v>
      </c>
      <c r="B75">
        <v>1</v>
      </c>
    </row>
    <row r="76" spans="1:2">
      <c r="A76" s="10" t="s">
        <v>2436</v>
      </c>
      <c r="B76">
        <v>1</v>
      </c>
    </row>
    <row r="77" spans="1:2">
      <c r="A77" s="10" t="s">
        <v>2454</v>
      </c>
      <c r="B77">
        <v>1</v>
      </c>
    </row>
    <row r="78" spans="1:2">
      <c r="A78" s="10" t="s">
        <v>2436</v>
      </c>
      <c r="B78">
        <v>1</v>
      </c>
    </row>
    <row r="79" spans="1:2">
      <c r="A79" s="10" t="s">
        <v>2436</v>
      </c>
      <c r="B79">
        <v>1</v>
      </c>
    </row>
    <row r="80" spans="1:2">
      <c r="A80" s="10" t="s">
        <v>2457</v>
      </c>
      <c r="B80">
        <v>2</v>
      </c>
    </row>
    <row r="81" spans="1:2">
      <c r="A81" s="10" t="s">
        <v>2460</v>
      </c>
      <c r="B81">
        <v>1</v>
      </c>
    </row>
    <row r="82" spans="1:2">
      <c r="A82" s="10" t="s">
        <v>20</v>
      </c>
      <c r="B82">
        <v>1</v>
      </c>
    </row>
    <row r="83" spans="1:2">
      <c r="A83" s="10" t="s">
        <v>2436</v>
      </c>
      <c r="B83">
        <v>1</v>
      </c>
    </row>
    <row r="84" spans="1:2">
      <c r="A84" s="10" t="s">
        <v>2436</v>
      </c>
      <c r="B84">
        <v>1</v>
      </c>
    </row>
    <row r="85" spans="1:2">
      <c r="A85" s="10" t="s">
        <v>2436</v>
      </c>
      <c r="B85">
        <v>1</v>
      </c>
    </row>
    <row r="86" spans="1:2">
      <c r="A86" s="10" t="s">
        <v>2507</v>
      </c>
      <c r="B86">
        <v>4</v>
      </c>
    </row>
    <row r="87" spans="1:2">
      <c r="A87" s="10" t="s">
        <v>2457</v>
      </c>
      <c r="B87">
        <v>2</v>
      </c>
    </row>
    <row r="88" spans="1:2">
      <c r="A88" s="10" t="s">
        <v>2460</v>
      </c>
      <c r="B88">
        <v>1</v>
      </c>
    </row>
    <row r="89" spans="1:2">
      <c r="A89" s="10" t="s">
        <v>2436</v>
      </c>
      <c r="B89">
        <v>1</v>
      </c>
    </row>
    <row r="90" spans="1:2">
      <c r="A90" s="10" t="s">
        <v>2450</v>
      </c>
      <c r="B90">
        <v>1</v>
      </c>
    </row>
    <row r="91" spans="1:2">
      <c r="A91" s="10" t="s">
        <v>2436</v>
      </c>
      <c r="B91">
        <v>1</v>
      </c>
    </row>
    <row r="92" spans="1:2">
      <c r="A92" s="10" t="s">
        <v>2507</v>
      </c>
      <c r="B92">
        <v>4</v>
      </c>
    </row>
    <row r="93" spans="1:2">
      <c r="A93" s="10" t="s">
        <v>2457</v>
      </c>
      <c r="B93">
        <v>2</v>
      </c>
    </row>
    <row r="94" spans="1:2">
      <c r="A94" s="10" t="s">
        <v>2460</v>
      </c>
      <c r="B94">
        <v>1</v>
      </c>
    </row>
    <row r="95" spans="1:2">
      <c r="A95" s="10" t="s">
        <v>2436</v>
      </c>
      <c r="B95">
        <v>1</v>
      </c>
    </row>
    <row r="96" spans="1:2">
      <c r="A96" s="10" t="s">
        <v>2436</v>
      </c>
      <c r="B96">
        <v>1</v>
      </c>
    </row>
    <row r="97" spans="1:2">
      <c r="A97" s="10" t="s">
        <v>2517</v>
      </c>
      <c r="B97">
        <v>1</v>
      </c>
    </row>
    <row r="98" spans="1:2">
      <c r="A98" s="10" t="s">
        <v>2517</v>
      </c>
      <c r="B98">
        <v>1</v>
      </c>
    </row>
    <row r="99" spans="1:2">
      <c r="A99" s="10" t="s">
        <v>2436</v>
      </c>
      <c r="B99">
        <v>1</v>
      </c>
    </row>
    <row r="100" spans="1:2">
      <c r="A100" s="10" t="s">
        <v>2436</v>
      </c>
      <c r="B100">
        <v>1</v>
      </c>
    </row>
    <row r="101" spans="1:2">
      <c r="A101" s="10" t="s">
        <v>2436</v>
      </c>
      <c r="B101">
        <v>1</v>
      </c>
    </row>
    <row r="102" spans="1:2">
      <c r="A102" s="10" t="s">
        <v>2436</v>
      </c>
      <c r="B102">
        <v>1</v>
      </c>
    </row>
    <row r="103" spans="1:2">
      <c r="A103" s="10" t="s">
        <v>2457</v>
      </c>
      <c r="B103">
        <v>2</v>
      </c>
    </row>
    <row r="104" spans="1:2">
      <c r="A104" s="10" t="s">
        <v>2460</v>
      </c>
      <c r="B104">
        <v>1</v>
      </c>
    </row>
    <row r="105" spans="1:2">
      <c r="A105" s="10" t="s">
        <v>20</v>
      </c>
      <c r="B105">
        <v>1</v>
      </c>
    </row>
    <row r="106" spans="1:2">
      <c r="A106" s="10" t="s">
        <v>2454</v>
      </c>
      <c r="B106">
        <v>1</v>
      </c>
    </row>
    <row r="107" spans="1:2">
      <c r="A107" s="10" t="s">
        <v>2457</v>
      </c>
      <c r="B107">
        <v>2</v>
      </c>
    </row>
    <row r="108" spans="1:2">
      <c r="A108" s="10" t="s">
        <v>2460</v>
      </c>
      <c r="B108">
        <v>1</v>
      </c>
    </row>
    <row r="109" spans="1:2">
      <c r="A109" s="10" t="s">
        <v>2436</v>
      </c>
      <c r="B109">
        <v>1</v>
      </c>
    </row>
    <row r="110" spans="1:2">
      <c r="A110" s="10" t="s">
        <v>2436</v>
      </c>
      <c r="B110">
        <v>1</v>
      </c>
    </row>
    <row r="111" spans="1:2">
      <c r="A111" s="10" t="s">
        <v>2436</v>
      </c>
      <c r="B111">
        <v>1</v>
      </c>
    </row>
    <row r="112" spans="1:2">
      <c r="A112" s="10" t="s">
        <v>2436</v>
      </c>
      <c r="B112">
        <v>1</v>
      </c>
    </row>
    <row r="113" spans="1:2">
      <c r="A113" s="10" t="s">
        <v>2440</v>
      </c>
      <c r="B113">
        <v>0.5</v>
      </c>
    </row>
    <row r="114" spans="1:2">
      <c r="A114" s="10" t="s">
        <v>2436</v>
      </c>
      <c r="B114">
        <v>1</v>
      </c>
    </row>
    <row r="115" spans="1:2">
      <c r="A115" s="10" t="s">
        <v>2436</v>
      </c>
      <c r="B115">
        <v>1</v>
      </c>
    </row>
    <row r="116" spans="1:2">
      <c r="A116" s="10" t="s">
        <v>2457</v>
      </c>
      <c r="B116">
        <v>2</v>
      </c>
    </row>
    <row r="117" spans="1:2">
      <c r="A117" s="10" t="s">
        <v>2460</v>
      </c>
      <c r="B117">
        <v>1</v>
      </c>
    </row>
    <row r="118" spans="1:2">
      <c r="A118" s="10" t="s">
        <v>2436</v>
      </c>
      <c r="B118">
        <v>1</v>
      </c>
    </row>
    <row r="119" spans="1:2">
      <c r="A119" s="10" t="s">
        <v>2436</v>
      </c>
      <c r="B119">
        <v>1</v>
      </c>
    </row>
    <row r="120" spans="1:2">
      <c r="A120" s="10" t="s">
        <v>2440</v>
      </c>
      <c r="B120">
        <v>0.5</v>
      </c>
    </row>
    <row r="121" spans="1:2">
      <c r="A121" s="10" t="s">
        <v>2436</v>
      </c>
      <c r="B121">
        <v>1</v>
      </c>
    </row>
    <row r="122" spans="1:2">
      <c r="A122" s="10" t="s">
        <v>2436</v>
      </c>
      <c r="B122">
        <v>1</v>
      </c>
    </row>
    <row r="123" spans="1:2">
      <c r="A123" s="10" t="s">
        <v>3166</v>
      </c>
      <c r="B123">
        <v>1</v>
      </c>
    </row>
    <row r="124" spans="1:2">
      <c r="A124" s="10" t="s">
        <v>2672</v>
      </c>
      <c r="B124">
        <v>1</v>
      </c>
    </row>
    <row r="125" spans="1:2">
      <c r="A125" s="10" t="s">
        <v>2450</v>
      </c>
      <c r="B125">
        <v>1</v>
      </c>
    </row>
    <row r="126" spans="1:2">
      <c r="A126" s="10" t="s">
        <v>2436</v>
      </c>
      <c r="B126">
        <v>1</v>
      </c>
    </row>
    <row r="127" spans="1:2">
      <c r="A127" s="10" t="s">
        <v>2436</v>
      </c>
      <c r="B127">
        <v>1</v>
      </c>
    </row>
    <row r="128" spans="1:2">
      <c r="A128" s="10" t="s">
        <v>2436</v>
      </c>
      <c r="B128">
        <v>1</v>
      </c>
    </row>
    <row r="129" spans="1:2">
      <c r="A129" s="10" t="s">
        <v>2436</v>
      </c>
      <c r="B129">
        <v>1</v>
      </c>
    </row>
    <row r="130" spans="1:2">
      <c r="A130" s="10" t="s">
        <v>2457</v>
      </c>
      <c r="B130">
        <v>2</v>
      </c>
    </row>
    <row r="131" spans="1:2">
      <c r="A131" s="10" t="s">
        <v>2460</v>
      </c>
      <c r="B131">
        <v>1</v>
      </c>
    </row>
    <row r="132" spans="1:2">
      <c r="A132" s="10" t="s">
        <v>2436</v>
      </c>
      <c r="B132">
        <v>1</v>
      </c>
    </row>
    <row r="133" spans="1:2">
      <c r="A133" s="10" t="s">
        <v>2436</v>
      </c>
      <c r="B133">
        <v>1</v>
      </c>
    </row>
    <row r="134" spans="1:2">
      <c r="A134" s="10" t="s">
        <v>2450</v>
      </c>
      <c r="B134">
        <v>1</v>
      </c>
    </row>
    <row r="135" spans="1:2">
      <c r="A135" s="10" t="s">
        <v>2436</v>
      </c>
      <c r="B135">
        <v>1</v>
      </c>
    </row>
    <row r="136" spans="1:2">
      <c r="A136" s="10" t="s">
        <v>2450</v>
      </c>
      <c r="B136">
        <v>1</v>
      </c>
    </row>
    <row r="137" spans="1:2">
      <c r="A137" s="10" t="s">
        <v>2436</v>
      </c>
      <c r="B137">
        <v>1</v>
      </c>
    </row>
    <row r="138" spans="1:2">
      <c r="A138" s="10" t="s">
        <v>2436</v>
      </c>
      <c r="B138">
        <v>1</v>
      </c>
    </row>
    <row r="139" spans="1:2">
      <c r="A139" s="10" t="s">
        <v>2436</v>
      </c>
      <c r="B139">
        <v>1</v>
      </c>
    </row>
    <row r="140" spans="1:2">
      <c r="A140" s="10" t="s">
        <v>2436</v>
      </c>
      <c r="B140">
        <v>1</v>
      </c>
    </row>
    <row r="141" spans="1:2">
      <c r="A141" s="10" t="s">
        <v>2436</v>
      </c>
      <c r="B141">
        <v>1</v>
      </c>
    </row>
    <row r="142" spans="1:2">
      <c r="A142" s="10" t="s">
        <v>2436</v>
      </c>
      <c r="B142">
        <v>1</v>
      </c>
    </row>
    <row r="143" spans="1:2">
      <c r="A143" s="10" t="s">
        <v>2436</v>
      </c>
      <c r="B143">
        <v>1</v>
      </c>
    </row>
    <row r="144" spans="1:2">
      <c r="A144" s="10" t="s">
        <v>2436</v>
      </c>
      <c r="B144">
        <v>1</v>
      </c>
    </row>
    <row r="145" spans="1:2">
      <c r="A145" s="10" t="s">
        <v>2457</v>
      </c>
      <c r="B145">
        <v>2</v>
      </c>
    </row>
    <row r="146" spans="1:2">
      <c r="A146" s="10" t="s">
        <v>2460</v>
      </c>
      <c r="B146">
        <v>1</v>
      </c>
    </row>
    <row r="147" spans="1:2">
      <c r="A147" s="10" t="s">
        <v>2457</v>
      </c>
      <c r="B147">
        <v>2</v>
      </c>
    </row>
    <row r="148" spans="1:2">
      <c r="A148" s="10" t="s">
        <v>2460</v>
      </c>
      <c r="B148">
        <v>1</v>
      </c>
    </row>
    <row r="149" spans="1:2">
      <c r="A149" s="10" t="s">
        <v>2436</v>
      </c>
      <c r="B149">
        <v>1</v>
      </c>
    </row>
    <row r="150" spans="1:2">
      <c r="A150" s="10" t="s">
        <v>2436</v>
      </c>
      <c r="B150">
        <v>1</v>
      </c>
    </row>
    <row r="151" spans="1:2">
      <c r="A151" s="10" t="s">
        <v>2653</v>
      </c>
      <c r="B151">
        <v>1</v>
      </c>
    </row>
    <row r="152" spans="1:2">
      <c r="A152" s="10" t="s">
        <v>2436</v>
      </c>
      <c r="B152">
        <v>1</v>
      </c>
    </row>
    <row r="153" spans="1:2">
      <c r="A153" s="10" t="s">
        <v>2626</v>
      </c>
      <c r="B153">
        <v>1</v>
      </c>
    </row>
    <row r="154" spans="1:2">
      <c r="A154" s="10" t="s">
        <v>2450</v>
      </c>
      <c r="B154">
        <v>1</v>
      </c>
    </row>
    <row r="155" spans="1:2">
      <c r="A155" s="10" t="s">
        <v>2436</v>
      </c>
      <c r="B155">
        <v>1</v>
      </c>
    </row>
    <row r="156" spans="1:2">
      <c r="A156" s="10" t="s">
        <v>2626</v>
      </c>
      <c r="B156">
        <v>1</v>
      </c>
    </row>
    <row r="157" spans="1:2">
      <c r="A157" s="10" t="s">
        <v>2436</v>
      </c>
      <c r="B157">
        <v>1</v>
      </c>
    </row>
    <row r="158" spans="1:2">
      <c r="A158" s="10" t="s">
        <v>2672</v>
      </c>
      <c r="B158">
        <v>1</v>
      </c>
    </row>
    <row r="159" spans="1:2">
      <c r="A159" s="10" t="s">
        <v>2450</v>
      </c>
      <c r="B159">
        <v>1</v>
      </c>
    </row>
    <row r="160" spans="1:2">
      <c r="A160" s="10" t="s">
        <v>2436</v>
      </c>
      <c r="B160">
        <v>1</v>
      </c>
    </row>
    <row r="161" spans="1:2">
      <c r="A161" s="10" t="s">
        <v>2436</v>
      </c>
      <c r="B161">
        <v>1</v>
      </c>
    </row>
    <row r="162" spans="1:2">
      <c r="A162" s="10" t="s">
        <v>2436</v>
      </c>
      <c r="B162">
        <v>1</v>
      </c>
    </row>
    <row r="163" spans="1:2">
      <c r="A163" s="10" t="s">
        <v>2436</v>
      </c>
      <c r="B163">
        <v>1</v>
      </c>
    </row>
    <row r="164" spans="1:2">
      <c r="A164" s="10" t="s">
        <v>2436</v>
      </c>
      <c r="B164">
        <v>1</v>
      </c>
    </row>
    <row r="165" spans="1:2">
      <c r="A165" s="10" t="s">
        <v>2436</v>
      </c>
      <c r="B165">
        <v>1</v>
      </c>
    </row>
    <row r="166" spans="1:2">
      <c r="A166" s="10" t="s">
        <v>2436</v>
      </c>
      <c r="B166">
        <v>1</v>
      </c>
    </row>
    <row r="167" spans="1:2">
      <c r="A167" s="10" t="s">
        <v>2450</v>
      </c>
      <c r="B167">
        <v>1</v>
      </c>
    </row>
    <row r="168" spans="1:2">
      <c r="A168" s="10" t="s">
        <v>2450</v>
      </c>
      <c r="B168">
        <v>1</v>
      </c>
    </row>
    <row r="169" spans="1:2">
      <c r="A169" s="10" t="s">
        <v>2436</v>
      </c>
      <c r="B169">
        <v>1</v>
      </c>
    </row>
    <row r="170" spans="1:2">
      <c r="A170" s="10" t="s">
        <v>2450</v>
      </c>
      <c r="B170">
        <v>1</v>
      </c>
    </row>
    <row r="171" spans="1:2">
      <c r="A171" s="10" t="s">
        <v>2436</v>
      </c>
      <c r="B171">
        <v>1</v>
      </c>
    </row>
    <row r="172" spans="1:2">
      <c r="A172" s="10" t="s">
        <v>2440</v>
      </c>
      <c r="B172">
        <v>0.5</v>
      </c>
    </row>
    <row r="173" spans="1:2">
      <c r="A173" s="10" t="s">
        <v>2436</v>
      </c>
      <c r="B173">
        <v>1</v>
      </c>
    </row>
    <row r="174" spans="1:2">
      <c r="A174" s="10" t="s">
        <v>2436</v>
      </c>
      <c r="B174">
        <v>1</v>
      </c>
    </row>
    <row r="175" spans="1:2">
      <c r="A175" s="10" t="s">
        <v>2440</v>
      </c>
      <c r="B175">
        <v>0.5</v>
      </c>
    </row>
    <row r="176" spans="1:2">
      <c r="A176" s="10" t="s">
        <v>2436</v>
      </c>
      <c r="B176">
        <v>1</v>
      </c>
    </row>
    <row r="177" spans="1:2">
      <c r="A177" s="10" t="s">
        <v>2436</v>
      </c>
      <c r="B177">
        <v>1</v>
      </c>
    </row>
    <row r="178" spans="1:2">
      <c r="A178" s="10" t="s">
        <v>2450</v>
      </c>
      <c r="B178">
        <v>1</v>
      </c>
    </row>
    <row r="179" spans="1:2">
      <c r="A179" s="10" t="s">
        <v>2436</v>
      </c>
      <c r="B179">
        <v>1</v>
      </c>
    </row>
    <row r="180" spans="1:2">
      <c r="A180" s="10" t="s">
        <v>2436</v>
      </c>
      <c r="B180">
        <v>1</v>
      </c>
    </row>
    <row r="181" spans="1:2">
      <c r="A181" s="10" t="s">
        <v>2436</v>
      </c>
      <c r="B181">
        <v>1</v>
      </c>
    </row>
    <row r="182" spans="1:2">
      <c r="A182" s="10" t="s">
        <v>2436</v>
      </c>
      <c r="B182">
        <v>1</v>
      </c>
    </row>
    <row r="183" spans="1:2">
      <c r="A183" s="10" t="s">
        <v>2436</v>
      </c>
      <c r="B183">
        <v>1</v>
      </c>
    </row>
    <row r="184" spans="1:2">
      <c r="A184" s="10" t="s">
        <v>2436</v>
      </c>
      <c r="B184">
        <v>1</v>
      </c>
    </row>
    <row r="185" spans="1:2">
      <c r="A185" s="10" t="s">
        <v>40</v>
      </c>
      <c r="B185">
        <v>1</v>
      </c>
    </row>
    <row r="186" spans="1:2">
      <c r="A186" s="10" t="s">
        <v>2436</v>
      </c>
      <c r="B186">
        <v>1</v>
      </c>
    </row>
    <row r="187" spans="1:2">
      <c r="A187" s="10" t="s">
        <v>2436</v>
      </c>
      <c r="B187">
        <v>1</v>
      </c>
    </row>
    <row r="188" spans="1:2">
      <c r="A188" s="10" t="s">
        <v>2436</v>
      </c>
      <c r="B188">
        <v>1</v>
      </c>
    </row>
    <row r="189" spans="1:2">
      <c r="A189" s="10" t="s">
        <v>2436</v>
      </c>
      <c r="B189">
        <v>1</v>
      </c>
    </row>
    <row r="190" spans="1:2">
      <c r="A190" s="10" t="s">
        <v>2436</v>
      </c>
      <c r="B190">
        <v>1</v>
      </c>
    </row>
    <row r="191" spans="1:2">
      <c r="A191" s="10" t="s">
        <v>2436</v>
      </c>
      <c r="B191">
        <v>1</v>
      </c>
    </row>
    <row r="192" spans="1:2">
      <c r="A192" s="10" t="s">
        <v>2436</v>
      </c>
      <c r="B192">
        <v>1</v>
      </c>
    </row>
    <row r="193" spans="1:2">
      <c r="A193" s="10" t="s">
        <v>2436</v>
      </c>
      <c r="B193">
        <v>1</v>
      </c>
    </row>
    <row r="194" spans="1:2">
      <c r="A194" s="10" t="s">
        <v>2436</v>
      </c>
      <c r="B194">
        <v>1</v>
      </c>
    </row>
    <row r="195" spans="1:2">
      <c r="A195" s="10" t="s">
        <v>2436</v>
      </c>
      <c r="B195">
        <v>1</v>
      </c>
    </row>
    <row r="196" spans="1:2">
      <c r="A196" s="10" t="s">
        <v>2436</v>
      </c>
      <c r="B196">
        <v>1</v>
      </c>
    </row>
    <row r="197" spans="1:2">
      <c r="A197" s="10" t="s">
        <v>2436</v>
      </c>
      <c r="B197">
        <v>1</v>
      </c>
    </row>
    <row r="198" spans="1:2">
      <c r="A198" s="10" t="s">
        <v>2436</v>
      </c>
      <c r="B198">
        <v>1</v>
      </c>
    </row>
    <row r="199" spans="1:2">
      <c r="A199" s="10" t="s">
        <v>2436</v>
      </c>
      <c r="B199">
        <v>1</v>
      </c>
    </row>
    <row r="200" spans="1:2">
      <c r="A200" s="10" t="s">
        <v>2436</v>
      </c>
      <c r="B200">
        <v>1</v>
      </c>
    </row>
    <row r="201" spans="1:2">
      <c r="A201" s="10" t="s">
        <v>2436</v>
      </c>
      <c r="B201">
        <v>1</v>
      </c>
    </row>
    <row r="202" spans="1:2">
      <c r="A202" s="10" t="s">
        <v>2436</v>
      </c>
      <c r="B202">
        <v>1</v>
      </c>
    </row>
    <row r="203" spans="1:2">
      <c r="A203" s="10" t="s">
        <v>2436</v>
      </c>
      <c r="B203">
        <v>1</v>
      </c>
    </row>
    <row r="204" spans="1:2">
      <c r="A204" s="10" t="s">
        <v>2436</v>
      </c>
      <c r="B204">
        <v>1</v>
      </c>
    </row>
    <row r="205" spans="1:2">
      <c r="A205" s="10" t="s">
        <v>2436</v>
      </c>
      <c r="B205">
        <v>1</v>
      </c>
    </row>
    <row r="206" spans="1:2">
      <c r="A206" s="10" t="s">
        <v>2436</v>
      </c>
      <c r="B206">
        <v>1</v>
      </c>
    </row>
    <row r="207" spans="1:2">
      <c r="A207" s="10" t="s">
        <v>2436</v>
      </c>
      <c r="B207">
        <v>1</v>
      </c>
    </row>
    <row r="208" spans="1:2">
      <c r="A208" s="10" t="s">
        <v>2436</v>
      </c>
      <c r="B208">
        <v>1</v>
      </c>
    </row>
    <row r="209" spans="1:2">
      <c r="A209" s="10" t="s">
        <v>2436</v>
      </c>
      <c r="B209">
        <v>1</v>
      </c>
    </row>
    <row r="210" spans="1:2">
      <c r="A210" s="10" t="s">
        <v>2436</v>
      </c>
      <c r="B210">
        <v>1</v>
      </c>
    </row>
    <row r="211" spans="1:2">
      <c r="A211" s="10" t="s">
        <v>2436</v>
      </c>
      <c r="B211">
        <v>1</v>
      </c>
    </row>
    <row r="212" spans="1:2">
      <c r="A212" s="10" t="s">
        <v>2436</v>
      </c>
      <c r="B212">
        <v>1</v>
      </c>
    </row>
    <row r="213" spans="1:2">
      <c r="A213" s="10" t="s">
        <v>2436</v>
      </c>
      <c r="B213">
        <v>1</v>
      </c>
    </row>
    <row r="214" spans="1:2">
      <c r="A214" s="10" t="s">
        <v>2436</v>
      </c>
      <c r="B214">
        <v>1</v>
      </c>
    </row>
    <row r="215" spans="1:2">
      <c r="A215" s="10" t="s">
        <v>2436</v>
      </c>
      <c r="B215">
        <v>1</v>
      </c>
    </row>
    <row r="216" spans="1:2">
      <c r="A216" s="10" t="s">
        <v>2436</v>
      </c>
      <c r="B216">
        <v>1</v>
      </c>
    </row>
    <row r="217" spans="1:2">
      <c r="A217" s="10" t="s">
        <v>2436</v>
      </c>
      <c r="B217">
        <v>1</v>
      </c>
    </row>
    <row r="218" spans="1:2">
      <c r="A218" s="10" t="s">
        <v>2436</v>
      </c>
      <c r="B218">
        <v>1</v>
      </c>
    </row>
    <row r="219" spans="1:2">
      <c r="A219" s="10" t="s">
        <v>2436</v>
      </c>
      <c r="B219">
        <v>1</v>
      </c>
    </row>
    <row r="220" spans="1:2">
      <c r="A220" s="10" t="s">
        <v>2450</v>
      </c>
      <c r="B220">
        <v>1</v>
      </c>
    </row>
    <row r="221" spans="1:2">
      <c r="A221" s="10" t="s">
        <v>2450</v>
      </c>
      <c r="B221">
        <v>1</v>
      </c>
    </row>
    <row r="222" spans="1:2">
      <c r="A222" s="10" t="s">
        <v>2436</v>
      </c>
      <c r="B222">
        <v>1</v>
      </c>
    </row>
    <row r="223" spans="1:2">
      <c r="A223" s="10" t="s">
        <v>2436</v>
      </c>
      <c r="B223">
        <v>1</v>
      </c>
    </row>
    <row r="224" spans="1:2">
      <c r="A224" s="10" t="s">
        <v>2454</v>
      </c>
      <c r="B224">
        <v>1</v>
      </c>
    </row>
    <row r="225" spans="1:2">
      <c r="A225" s="10" t="s">
        <v>2436</v>
      </c>
      <c r="B225">
        <v>1</v>
      </c>
    </row>
    <row r="226" spans="1:2">
      <c r="A226" s="10" t="s">
        <v>2436</v>
      </c>
      <c r="B226">
        <v>1</v>
      </c>
    </row>
    <row r="227" spans="1:2">
      <c r="A227" s="10" t="s">
        <v>2436</v>
      </c>
      <c r="B227">
        <v>1</v>
      </c>
    </row>
    <row r="228" spans="1:2">
      <c r="A228" s="10" t="s">
        <v>2457</v>
      </c>
      <c r="B228">
        <v>2</v>
      </c>
    </row>
    <row r="229" spans="1:2">
      <c r="A229" s="10" t="s">
        <v>2460</v>
      </c>
      <c r="B229">
        <v>1</v>
      </c>
    </row>
    <row r="230" spans="1:2">
      <c r="A230" s="10" t="s">
        <v>2436</v>
      </c>
      <c r="B230">
        <v>1</v>
      </c>
    </row>
    <row r="231" spans="1:2">
      <c r="A231" s="10" t="s">
        <v>2436</v>
      </c>
      <c r="B231">
        <v>1</v>
      </c>
    </row>
    <row r="232" spans="1:2">
      <c r="A232" s="10" t="s">
        <v>2436</v>
      </c>
      <c r="B232">
        <v>1</v>
      </c>
    </row>
    <row r="233" spans="1:2">
      <c r="A233" s="10" t="s">
        <v>2436</v>
      </c>
      <c r="B233">
        <v>1</v>
      </c>
    </row>
    <row r="234" spans="1:2">
      <c r="A234" s="10" t="s">
        <v>2457</v>
      </c>
      <c r="B234">
        <v>2</v>
      </c>
    </row>
    <row r="235" spans="1:2">
      <c r="A235" s="10" t="s">
        <v>2460</v>
      </c>
      <c r="B235">
        <v>1</v>
      </c>
    </row>
    <row r="236" spans="1:2">
      <c r="A236" s="10" t="s">
        <v>32</v>
      </c>
      <c r="B236">
        <v>1</v>
      </c>
    </row>
    <row r="237" spans="1:2">
      <c r="A237" s="10" t="s">
        <v>2436</v>
      </c>
      <c r="B237">
        <v>1</v>
      </c>
    </row>
    <row r="238" spans="1:2">
      <c r="A238" s="10" t="s">
        <v>2450</v>
      </c>
      <c r="B238">
        <v>1</v>
      </c>
    </row>
    <row r="239" spans="1:2">
      <c r="A239" s="10" t="s">
        <v>2436</v>
      </c>
      <c r="B239">
        <v>1</v>
      </c>
    </row>
    <row r="240" spans="1:2">
      <c r="A240" s="10" t="s">
        <v>20</v>
      </c>
      <c r="B240">
        <v>1</v>
      </c>
    </row>
    <row r="241" spans="1:2">
      <c r="A241" s="10" t="s">
        <v>2457</v>
      </c>
      <c r="B241">
        <v>2</v>
      </c>
    </row>
    <row r="242" spans="1:2">
      <c r="A242" s="10" t="s">
        <v>2460</v>
      </c>
      <c r="B242">
        <v>1</v>
      </c>
    </row>
    <row r="243" spans="1:2">
      <c r="A243" s="10" t="s">
        <v>2436</v>
      </c>
      <c r="B243">
        <v>1</v>
      </c>
    </row>
    <row r="244" spans="1:2">
      <c r="A244" s="10" t="s">
        <v>2436</v>
      </c>
      <c r="B244">
        <v>1</v>
      </c>
    </row>
    <row r="245" spans="1:2">
      <c r="A245" s="10" t="s">
        <v>2517</v>
      </c>
      <c r="B245">
        <v>1</v>
      </c>
    </row>
    <row r="246" spans="1:2">
      <c r="A246" s="10" t="s">
        <v>2517</v>
      </c>
      <c r="B246">
        <v>1</v>
      </c>
    </row>
    <row r="247" spans="1:2">
      <c r="A247" s="10" t="s">
        <v>2436</v>
      </c>
      <c r="B247">
        <v>1</v>
      </c>
    </row>
    <row r="248" spans="1:2">
      <c r="A248" s="10" t="s">
        <v>2436</v>
      </c>
      <c r="B248">
        <v>1</v>
      </c>
    </row>
    <row r="249" spans="1:2">
      <c r="A249" s="10" t="s">
        <v>2436</v>
      </c>
      <c r="B249">
        <v>1</v>
      </c>
    </row>
    <row r="250" spans="1:2">
      <c r="A250" s="10" t="s">
        <v>2436</v>
      </c>
      <c r="B250">
        <v>1</v>
      </c>
    </row>
    <row r="251" spans="1:2">
      <c r="A251" s="10" t="s">
        <v>2436</v>
      </c>
      <c r="B251">
        <v>1</v>
      </c>
    </row>
    <row r="252" spans="1:2">
      <c r="A252" s="10" t="s">
        <v>2457</v>
      </c>
      <c r="B252">
        <v>2</v>
      </c>
    </row>
    <row r="253" spans="1:2">
      <c r="A253" s="10" t="s">
        <v>2460</v>
      </c>
      <c r="B253">
        <v>1</v>
      </c>
    </row>
    <row r="254" spans="1:2">
      <c r="A254" s="10" t="s">
        <v>20</v>
      </c>
      <c r="B254">
        <v>1</v>
      </c>
    </row>
    <row r="255" spans="1:2">
      <c r="A255" s="10" t="s">
        <v>2454</v>
      </c>
      <c r="B255">
        <v>1</v>
      </c>
    </row>
    <row r="256" spans="1:2">
      <c r="A256" s="10" t="s">
        <v>2457</v>
      </c>
      <c r="B256">
        <v>2</v>
      </c>
    </row>
    <row r="257" spans="1:2">
      <c r="A257" s="10" t="s">
        <v>2460</v>
      </c>
      <c r="B257">
        <v>1</v>
      </c>
    </row>
    <row r="258" spans="1:2">
      <c r="A258" s="10" t="s">
        <v>2436</v>
      </c>
      <c r="B258">
        <v>1</v>
      </c>
    </row>
    <row r="259" spans="1:2">
      <c r="A259" s="10" t="s">
        <v>2436</v>
      </c>
      <c r="B259">
        <v>1</v>
      </c>
    </row>
    <row r="260" spans="1:2">
      <c r="A260" s="10" t="s">
        <v>2436</v>
      </c>
      <c r="B260">
        <v>1</v>
      </c>
    </row>
    <row r="261" spans="1:2">
      <c r="A261" s="10" t="s">
        <v>2436</v>
      </c>
      <c r="B261">
        <v>1</v>
      </c>
    </row>
    <row r="262" spans="1:2">
      <c r="A262" s="10" t="s">
        <v>2436</v>
      </c>
      <c r="B262">
        <v>1</v>
      </c>
    </row>
    <row r="263" spans="1:2">
      <c r="A263" s="10" t="s">
        <v>2440</v>
      </c>
      <c r="B263">
        <v>0.5</v>
      </c>
    </row>
    <row r="264" spans="1:2">
      <c r="A264" s="10" t="s">
        <v>2436</v>
      </c>
      <c r="B264">
        <v>1</v>
      </c>
    </row>
    <row r="265" spans="1:2">
      <c r="A265" s="10" t="s">
        <v>2436</v>
      </c>
      <c r="B265">
        <v>1</v>
      </c>
    </row>
    <row r="266" spans="1:2">
      <c r="A266" s="10" t="s">
        <v>2507</v>
      </c>
      <c r="B266">
        <v>4</v>
      </c>
    </row>
    <row r="267" spans="1:2">
      <c r="A267" s="10" t="s">
        <v>2457</v>
      </c>
      <c r="B267">
        <v>2</v>
      </c>
    </row>
    <row r="268" spans="1:2">
      <c r="A268" s="10" t="s">
        <v>2460</v>
      </c>
      <c r="B268">
        <v>1</v>
      </c>
    </row>
    <row r="269" spans="1:2">
      <c r="A269" s="10" t="s">
        <v>2436</v>
      </c>
      <c r="B269">
        <v>1</v>
      </c>
    </row>
    <row r="270" spans="1:2">
      <c r="A270" s="10" t="s">
        <v>2436</v>
      </c>
      <c r="B270">
        <v>1</v>
      </c>
    </row>
    <row r="271" spans="1:2">
      <c r="A271" s="10" t="s">
        <v>2440</v>
      </c>
      <c r="B271">
        <v>0.5</v>
      </c>
    </row>
    <row r="272" spans="1:2">
      <c r="A272" s="10" t="s">
        <v>2436</v>
      </c>
      <c r="B272">
        <v>1</v>
      </c>
    </row>
    <row r="273" spans="1:2">
      <c r="A273" s="10" t="s">
        <v>2436</v>
      </c>
      <c r="B273">
        <v>1</v>
      </c>
    </row>
    <row r="274" spans="1:2">
      <c r="A274" s="10" t="s">
        <v>3166</v>
      </c>
      <c r="B274">
        <v>1</v>
      </c>
    </row>
    <row r="275" spans="1:2">
      <c r="A275" s="10" t="s">
        <v>2450</v>
      </c>
      <c r="B275">
        <v>1</v>
      </c>
    </row>
    <row r="276" spans="1:2">
      <c r="A276" s="10" t="s">
        <v>2436</v>
      </c>
      <c r="B276">
        <v>1</v>
      </c>
    </row>
    <row r="277" spans="1:2">
      <c r="A277" s="10" t="s">
        <v>2436</v>
      </c>
      <c r="B277">
        <v>1</v>
      </c>
    </row>
    <row r="278" spans="1:2">
      <c r="A278" s="10" t="s">
        <v>2436</v>
      </c>
      <c r="B278">
        <v>1</v>
      </c>
    </row>
    <row r="279" spans="1:2">
      <c r="A279" s="10" t="s">
        <v>2436</v>
      </c>
      <c r="B279">
        <v>1</v>
      </c>
    </row>
    <row r="280" spans="1:2">
      <c r="A280" s="10" t="s">
        <v>2436</v>
      </c>
      <c r="B280">
        <v>1</v>
      </c>
    </row>
    <row r="281" spans="1:2">
      <c r="A281" s="10" t="s">
        <v>2460</v>
      </c>
      <c r="B281">
        <v>1</v>
      </c>
    </row>
    <row r="282" spans="1:2">
      <c r="A282" s="10" t="s">
        <v>2436</v>
      </c>
      <c r="B282">
        <v>1</v>
      </c>
    </row>
    <row r="283" spans="1:2">
      <c r="A283" s="10" t="s">
        <v>2436</v>
      </c>
      <c r="B283">
        <v>1</v>
      </c>
    </row>
    <row r="284" spans="1:2">
      <c r="A284" s="10" t="s">
        <v>2450</v>
      </c>
      <c r="B284">
        <v>1</v>
      </c>
    </row>
    <row r="285" spans="1:2">
      <c r="A285" s="10" t="s">
        <v>2436</v>
      </c>
      <c r="B285">
        <v>1</v>
      </c>
    </row>
    <row r="286" spans="1:2">
      <c r="A286" s="10" t="s">
        <v>2672</v>
      </c>
      <c r="B286">
        <v>1</v>
      </c>
    </row>
    <row r="287" spans="1:2">
      <c r="A287" s="10" t="s">
        <v>2450</v>
      </c>
      <c r="B287">
        <v>1</v>
      </c>
    </row>
    <row r="288" spans="1:2">
      <c r="A288" s="10" t="s">
        <v>2436</v>
      </c>
      <c r="B288">
        <v>1</v>
      </c>
    </row>
    <row r="289" spans="1:2">
      <c r="A289" s="10" t="s">
        <v>2436</v>
      </c>
      <c r="B289">
        <v>1</v>
      </c>
    </row>
    <row r="290" spans="1:2">
      <c r="A290" s="10" t="s">
        <v>2436</v>
      </c>
      <c r="B290">
        <v>1</v>
      </c>
    </row>
    <row r="291" spans="1:2">
      <c r="A291" s="10" t="s">
        <v>2436</v>
      </c>
      <c r="B291">
        <v>1</v>
      </c>
    </row>
    <row r="292" spans="1:2">
      <c r="A292" s="10" t="s">
        <v>2436</v>
      </c>
      <c r="B292">
        <v>1</v>
      </c>
    </row>
    <row r="293" spans="1:2">
      <c r="A293" s="10" t="s">
        <v>2436</v>
      </c>
      <c r="B293">
        <v>1</v>
      </c>
    </row>
    <row r="294" spans="1:2">
      <c r="A294" s="10" t="s">
        <v>2436</v>
      </c>
      <c r="B294">
        <v>1</v>
      </c>
    </row>
    <row r="295" spans="1:2">
      <c r="A295" s="10" t="s">
        <v>2507</v>
      </c>
      <c r="B295">
        <v>4</v>
      </c>
    </row>
    <row r="296" spans="1:2">
      <c r="A296" s="10" t="s">
        <v>2457</v>
      </c>
      <c r="B296">
        <v>2</v>
      </c>
    </row>
    <row r="297" spans="1:2">
      <c r="A297" s="10" t="s">
        <v>2460</v>
      </c>
      <c r="B297">
        <v>1</v>
      </c>
    </row>
    <row r="298" spans="1:2">
      <c r="A298" s="10" t="s">
        <v>2457</v>
      </c>
      <c r="B298">
        <v>2</v>
      </c>
    </row>
    <row r="299" spans="1:2">
      <c r="A299" s="10" t="s">
        <v>2436</v>
      </c>
      <c r="B299">
        <v>1</v>
      </c>
    </row>
    <row r="300" spans="1:2">
      <c r="A300" s="10" t="s">
        <v>145</v>
      </c>
      <c r="B300">
        <v>1</v>
      </c>
    </row>
    <row r="301" spans="1:2">
      <c r="A301" s="10" t="s">
        <v>2436</v>
      </c>
      <c r="B301">
        <v>1</v>
      </c>
    </row>
    <row r="302" spans="1:2">
      <c r="A302" s="10" t="s">
        <v>2653</v>
      </c>
      <c r="B302">
        <v>1</v>
      </c>
    </row>
    <row r="303" spans="1:2">
      <c r="A303" s="10" t="s">
        <v>2436</v>
      </c>
      <c r="B303">
        <v>1</v>
      </c>
    </row>
    <row r="304" spans="1:2">
      <c r="A304" s="10" t="s">
        <v>2626</v>
      </c>
      <c r="B304">
        <v>1</v>
      </c>
    </row>
    <row r="305" spans="1:2">
      <c r="A305" s="10" t="s">
        <v>2450</v>
      </c>
      <c r="B305">
        <v>1</v>
      </c>
    </row>
    <row r="306" spans="1:2">
      <c r="A306" s="10" t="s">
        <v>2626</v>
      </c>
      <c r="B306">
        <v>1</v>
      </c>
    </row>
    <row r="307" spans="1:2">
      <c r="A307" s="10" t="s">
        <v>2436</v>
      </c>
      <c r="B307">
        <v>1</v>
      </c>
    </row>
    <row r="308" spans="1:2">
      <c r="A308" s="10" t="s">
        <v>2440</v>
      </c>
      <c r="B308">
        <v>0.5</v>
      </c>
    </row>
    <row r="309" spans="1:2">
      <c r="A309" s="10" t="s">
        <v>2436</v>
      </c>
      <c r="B309">
        <v>1</v>
      </c>
    </row>
    <row r="310" spans="1:2">
      <c r="A310" s="10" t="s">
        <v>2436</v>
      </c>
      <c r="B310">
        <v>1</v>
      </c>
    </row>
    <row r="311" spans="1:2">
      <c r="A311" s="10" t="s">
        <v>2436</v>
      </c>
      <c r="B311">
        <v>1</v>
      </c>
    </row>
    <row r="312" spans="1:2">
      <c r="A312" s="10" t="s">
        <v>2436</v>
      </c>
      <c r="B312">
        <v>1</v>
      </c>
    </row>
    <row r="313" spans="1:2">
      <c r="A313" s="10" t="s">
        <v>2436</v>
      </c>
      <c r="B313">
        <v>1</v>
      </c>
    </row>
    <row r="314" spans="1:2">
      <c r="A314" s="10" t="s">
        <v>2436</v>
      </c>
      <c r="B314">
        <v>1</v>
      </c>
    </row>
    <row r="315" spans="1:2">
      <c r="A315" s="10" t="s">
        <v>2436</v>
      </c>
      <c r="B315">
        <v>1</v>
      </c>
    </row>
    <row r="316" spans="1:2">
      <c r="A316" s="10" t="s">
        <v>2436</v>
      </c>
      <c r="B316">
        <v>1</v>
      </c>
    </row>
    <row r="317" spans="1:2">
      <c r="A317" s="10" t="s">
        <v>2507</v>
      </c>
      <c r="B317">
        <v>4</v>
      </c>
    </row>
    <row r="318" spans="1:2">
      <c r="A318" s="10" t="s">
        <v>2457</v>
      </c>
      <c r="B318">
        <v>2</v>
      </c>
    </row>
    <row r="319" spans="1:2">
      <c r="A319" s="10" t="s">
        <v>2460</v>
      </c>
      <c r="B319">
        <v>1</v>
      </c>
    </row>
    <row r="320" spans="1:2">
      <c r="A320" s="10" t="s">
        <v>2436</v>
      </c>
      <c r="B320">
        <v>1</v>
      </c>
    </row>
    <row r="321" spans="1:2">
      <c r="A321" s="10" t="s">
        <v>2440</v>
      </c>
      <c r="B321">
        <v>0.5</v>
      </c>
    </row>
    <row r="322" spans="1:2">
      <c r="A322" s="10" t="s">
        <v>2436</v>
      </c>
      <c r="B322">
        <v>1</v>
      </c>
    </row>
    <row r="323" spans="1:2">
      <c r="A323" s="10" t="s">
        <v>2436</v>
      </c>
      <c r="B323">
        <v>1</v>
      </c>
    </row>
    <row r="324" spans="1:2">
      <c r="A324" s="10" t="s">
        <v>2440</v>
      </c>
      <c r="B324">
        <v>0.5</v>
      </c>
    </row>
    <row r="325" spans="1:2">
      <c r="A325" s="10" t="s">
        <v>2450</v>
      </c>
      <c r="B325">
        <v>1</v>
      </c>
    </row>
    <row r="326" spans="1:2">
      <c r="A326" s="10" t="s">
        <v>2436</v>
      </c>
      <c r="B326">
        <v>1</v>
      </c>
    </row>
    <row r="327" spans="1:2">
      <c r="A327" s="10" t="s">
        <v>2436</v>
      </c>
      <c r="B327">
        <v>1</v>
      </c>
    </row>
    <row r="328" spans="1:2">
      <c r="A328" s="10" t="s">
        <v>2436</v>
      </c>
      <c r="B328">
        <v>1</v>
      </c>
    </row>
    <row r="329" spans="1:2">
      <c r="A329" s="10" t="s">
        <v>2436</v>
      </c>
      <c r="B329">
        <v>1</v>
      </c>
    </row>
    <row r="330" spans="1:2">
      <c r="A330" s="10" t="s">
        <v>2436</v>
      </c>
      <c r="B330">
        <v>1</v>
      </c>
    </row>
    <row r="331" spans="1:2">
      <c r="A331" s="10" t="s">
        <v>2436</v>
      </c>
      <c r="B331">
        <v>1</v>
      </c>
    </row>
    <row r="332" spans="1:2">
      <c r="A332" s="10" t="s">
        <v>2436</v>
      </c>
      <c r="B332">
        <v>1</v>
      </c>
    </row>
    <row r="333" spans="1:2">
      <c r="A333" s="10" t="s">
        <v>40</v>
      </c>
      <c r="B333">
        <v>1</v>
      </c>
    </row>
    <row r="334" spans="1:2">
      <c r="A334" s="10" t="s">
        <v>2436</v>
      </c>
      <c r="B334">
        <v>1</v>
      </c>
    </row>
    <row r="335" spans="1:2">
      <c r="A335" s="10" t="s">
        <v>2436</v>
      </c>
      <c r="B335">
        <v>1</v>
      </c>
    </row>
    <row r="336" spans="1:2">
      <c r="A336" s="10" t="s">
        <v>2436</v>
      </c>
      <c r="B336">
        <v>1</v>
      </c>
    </row>
    <row r="337" spans="1:2">
      <c r="A337" s="10" t="s">
        <v>2436</v>
      </c>
      <c r="B337">
        <v>1</v>
      </c>
    </row>
    <row r="338" spans="1:2">
      <c r="A338" s="10" t="s">
        <v>2436</v>
      </c>
      <c r="B338">
        <v>1</v>
      </c>
    </row>
    <row r="339" spans="1:2">
      <c r="A339" s="10" t="s">
        <v>2436</v>
      </c>
      <c r="B339">
        <v>1</v>
      </c>
    </row>
    <row r="340" spans="1:2">
      <c r="A340" s="10" t="s">
        <v>2450</v>
      </c>
      <c r="B340">
        <v>1</v>
      </c>
    </row>
    <row r="341" spans="1:2">
      <c r="A341" s="10" t="s">
        <v>2436</v>
      </c>
      <c r="B341">
        <v>1</v>
      </c>
    </row>
    <row r="342" spans="1:2">
      <c r="A342" s="10" t="s">
        <v>2436</v>
      </c>
      <c r="B342">
        <v>1</v>
      </c>
    </row>
    <row r="343" spans="1:2">
      <c r="A343" s="10" t="s">
        <v>2436</v>
      </c>
      <c r="B343">
        <v>1</v>
      </c>
    </row>
    <row r="344" spans="1:2">
      <c r="A344" s="10" t="s">
        <v>2436</v>
      </c>
      <c r="B344">
        <v>1</v>
      </c>
    </row>
    <row r="345" spans="1:2">
      <c r="A345" s="10" t="s">
        <v>2436</v>
      </c>
      <c r="B345">
        <v>1</v>
      </c>
    </row>
    <row r="346" spans="1:2">
      <c r="A346" s="10" t="s">
        <v>2436</v>
      </c>
      <c r="B346">
        <v>1</v>
      </c>
    </row>
    <row r="347" spans="1:2">
      <c r="A347" s="10" t="s">
        <v>2436</v>
      </c>
      <c r="B347">
        <v>1</v>
      </c>
    </row>
    <row r="348" spans="1:2">
      <c r="A348" s="10" t="s">
        <v>2436</v>
      </c>
      <c r="B348">
        <v>1</v>
      </c>
    </row>
    <row r="349" spans="1:2">
      <c r="A349" s="10" t="s">
        <v>2436</v>
      </c>
      <c r="B349">
        <v>1</v>
      </c>
    </row>
    <row r="350" spans="1:2">
      <c r="A350" s="10" t="s">
        <v>2436</v>
      </c>
      <c r="B350">
        <v>1</v>
      </c>
    </row>
    <row r="351" spans="1:2">
      <c r="A351" s="10" t="s">
        <v>2436</v>
      </c>
      <c r="B351">
        <v>1</v>
      </c>
    </row>
    <row r="352" spans="1:2">
      <c r="A352" s="10" t="s">
        <v>2436</v>
      </c>
      <c r="B352">
        <v>1</v>
      </c>
    </row>
    <row r="353" spans="1:2">
      <c r="A353" s="10" t="s">
        <v>2436</v>
      </c>
      <c r="B353">
        <v>1</v>
      </c>
    </row>
    <row r="354" spans="1:2">
      <c r="A354" s="10" t="s">
        <v>2436</v>
      </c>
      <c r="B354">
        <v>1</v>
      </c>
    </row>
    <row r="355" spans="1:2">
      <c r="A355" s="10" t="s">
        <v>2436</v>
      </c>
      <c r="B355">
        <v>1</v>
      </c>
    </row>
    <row r="356" spans="1:2">
      <c r="A356" s="10" t="s">
        <v>2436</v>
      </c>
      <c r="B356">
        <v>1</v>
      </c>
    </row>
    <row r="357" spans="1:2">
      <c r="A357" s="10" t="s">
        <v>2436</v>
      </c>
      <c r="B357">
        <v>1</v>
      </c>
    </row>
    <row r="358" spans="1:2">
      <c r="A358" s="10" t="s">
        <v>2454</v>
      </c>
      <c r="B358">
        <v>1</v>
      </c>
    </row>
    <row r="359" spans="1:2">
      <c r="A359" s="10" t="s">
        <v>2436</v>
      </c>
      <c r="B359">
        <v>1</v>
      </c>
    </row>
    <row r="360" spans="1:2">
      <c r="A360" s="10" t="s">
        <v>2436</v>
      </c>
      <c r="B360">
        <v>1</v>
      </c>
    </row>
    <row r="361" spans="1:2">
      <c r="A361" s="10" t="s">
        <v>2457</v>
      </c>
      <c r="B361">
        <v>2</v>
      </c>
    </row>
    <row r="362" spans="1:2">
      <c r="A362" s="10" t="s">
        <v>2460</v>
      </c>
      <c r="B362">
        <v>1</v>
      </c>
    </row>
    <row r="363" spans="1:2">
      <c r="A363" s="10" t="s">
        <v>20</v>
      </c>
      <c r="B363">
        <v>1</v>
      </c>
    </row>
    <row r="364" spans="1:2">
      <c r="A364" s="10" t="s">
        <v>2436</v>
      </c>
      <c r="B364">
        <v>1</v>
      </c>
    </row>
    <row r="365" spans="1:2">
      <c r="A365" s="10" t="s">
        <v>2436</v>
      </c>
      <c r="B365">
        <v>1</v>
      </c>
    </row>
    <row r="366" spans="1:2">
      <c r="A366" s="10" t="s">
        <v>2436</v>
      </c>
      <c r="B366">
        <v>1</v>
      </c>
    </row>
    <row r="367" spans="1:2">
      <c r="A367" s="10" t="s">
        <v>2436</v>
      </c>
      <c r="B367">
        <v>1</v>
      </c>
    </row>
    <row r="368" spans="1:2">
      <c r="A368" s="10" t="s">
        <v>2507</v>
      </c>
      <c r="B368">
        <v>4</v>
      </c>
    </row>
    <row r="369" spans="1:2">
      <c r="A369" s="10" t="s">
        <v>2457</v>
      </c>
      <c r="B369">
        <v>2</v>
      </c>
    </row>
    <row r="370" spans="1:2">
      <c r="A370" s="10" t="s">
        <v>2460</v>
      </c>
      <c r="B370">
        <v>1</v>
      </c>
    </row>
    <row r="371" spans="1:2">
      <c r="A371" s="10" t="s">
        <v>2436</v>
      </c>
      <c r="B371">
        <v>1</v>
      </c>
    </row>
    <row r="372" spans="1:2">
      <c r="A372" s="10" t="s">
        <v>2450</v>
      </c>
      <c r="B372">
        <v>1</v>
      </c>
    </row>
    <row r="373" spans="1:2">
      <c r="A373" s="10" t="s">
        <v>2436</v>
      </c>
      <c r="B373">
        <v>1</v>
      </c>
    </row>
    <row r="374" spans="1:2">
      <c r="A374" s="10" t="s">
        <v>20</v>
      </c>
      <c r="B374">
        <v>1</v>
      </c>
    </row>
    <row r="375" spans="1:2">
      <c r="A375" s="10" t="s">
        <v>2507</v>
      </c>
      <c r="B375">
        <v>4</v>
      </c>
    </row>
    <row r="376" spans="1:2">
      <c r="A376" s="10" t="s">
        <v>2457</v>
      </c>
      <c r="B376">
        <v>2</v>
      </c>
    </row>
    <row r="377" spans="1:2">
      <c r="A377" s="10" t="s">
        <v>2460</v>
      </c>
      <c r="B377">
        <v>1</v>
      </c>
    </row>
    <row r="378" spans="1:2">
      <c r="A378" s="10" t="s">
        <v>2436</v>
      </c>
      <c r="B378">
        <v>1</v>
      </c>
    </row>
    <row r="379" spans="1:2">
      <c r="A379" s="10" t="s">
        <v>2436</v>
      </c>
      <c r="B379">
        <v>1</v>
      </c>
    </row>
    <row r="380" spans="1:2">
      <c r="A380" s="10" t="s">
        <v>2517</v>
      </c>
      <c r="B380">
        <v>1</v>
      </c>
    </row>
    <row r="381" spans="1:2">
      <c r="A381" s="10" t="s">
        <v>2436</v>
      </c>
      <c r="B381">
        <v>1</v>
      </c>
    </row>
    <row r="382" spans="1:2">
      <c r="A382" s="10" t="s">
        <v>2436</v>
      </c>
      <c r="B382">
        <v>1</v>
      </c>
    </row>
    <row r="383" spans="1:2">
      <c r="A383" s="10" t="s">
        <v>2436</v>
      </c>
      <c r="B383">
        <v>1</v>
      </c>
    </row>
    <row r="384" spans="1:2">
      <c r="A384" s="10" t="s">
        <v>2436</v>
      </c>
      <c r="B384">
        <v>1</v>
      </c>
    </row>
    <row r="385" spans="1:2">
      <c r="A385" s="10" t="s">
        <v>2436</v>
      </c>
      <c r="B385">
        <v>1</v>
      </c>
    </row>
    <row r="386" spans="1:2">
      <c r="A386" s="10" t="s">
        <v>2507</v>
      </c>
      <c r="B386">
        <v>4</v>
      </c>
    </row>
    <row r="387" spans="1:2">
      <c r="A387" s="10" t="s">
        <v>2457</v>
      </c>
      <c r="B387">
        <v>2</v>
      </c>
    </row>
    <row r="388" spans="1:2">
      <c r="A388" s="10" t="s">
        <v>2460</v>
      </c>
      <c r="B388">
        <v>1</v>
      </c>
    </row>
    <row r="389" spans="1:2">
      <c r="A389" s="10" t="s">
        <v>20</v>
      </c>
      <c r="B389">
        <v>1</v>
      </c>
    </row>
    <row r="390" spans="1:2">
      <c r="A390" s="10" t="s">
        <v>2457</v>
      </c>
      <c r="B390">
        <v>2</v>
      </c>
    </row>
    <row r="391" spans="1:2">
      <c r="A391" s="10" t="s">
        <v>2460</v>
      </c>
      <c r="B391">
        <v>1</v>
      </c>
    </row>
    <row r="392" spans="1:2">
      <c r="A392" s="10" t="s">
        <v>2436</v>
      </c>
      <c r="B392">
        <v>1</v>
      </c>
    </row>
    <row r="393" spans="1:2">
      <c r="A393" s="10" t="s">
        <v>2436</v>
      </c>
      <c r="B393">
        <v>1</v>
      </c>
    </row>
    <row r="394" spans="1:2">
      <c r="A394" s="10" t="s">
        <v>2436</v>
      </c>
      <c r="B394">
        <v>1</v>
      </c>
    </row>
    <row r="395" spans="1:2">
      <c r="A395" s="10" t="s">
        <v>2436</v>
      </c>
      <c r="B395">
        <v>1</v>
      </c>
    </row>
    <row r="396" spans="1:2">
      <c r="A396" s="10" t="s">
        <v>2436</v>
      </c>
      <c r="B396">
        <v>1</v>
      </c>
    </row>
    <row r="397" spans="1:2">
      <c r="A397" s="10" t="s">
        <v>2440</v>
      </c>
      <c r="B397">
        <v>0.5</v>
      </c>
    </row>
    <row r="398" spans="1:2">
      <c r="A398" s="10" t="s">
        <v>2436</v>
      </c>
      <c r="B398">
        <v>1</v>
      </c>
    </row>
    <row r="399" spans="1:2">
      <c r="A399" s="10" t="s">
        <v>2436</v>
      </c>
      <c r="B399">
        <v>1</v>
      </c>
    </row>
    <row r="400" spans="1:2">
      <c r="A400" s="10" t="s">
        <v>2457</v>
      </c>
      <c r="B400">
        <v>2</v>
      </c>
    </row>
    <row r="401" spans="1:2">
      <c r="A401" s="10" t="s">
        <v>2460</v>
      </c>
      <c r="B401">
        <v>1</v>
      </c>
    </row>
    <row r="402" spans="1:2">
      <c r="A402" s="10" t="s">
        <v>2436</v>
      </c>
      <c r="B402">
        <v>1</v>
      </c>
    </row>
    <row r="403" spans="1:2">
      <c r="A403" s="10" t="s">
        <v>2436</v>
      </c>
      <c r="B403">
        <v>1</v>
      </c>
    </row>
    <row r="404" spans="1:2">
      <c r="A404" s="10" t="s">
        <v>2440</v>
      </c>
      <c r="B404">
        <v>0.5</v>
      </c>
    </row>
    <row r="405" spans="1:2">
      <c r="A405" s="10" t="s">
        <v>2436</v>
      </c>
      <c r="B405">
        <v>1</v>
      </c>
    </row>
    <row r="406" spans="1:2">
      <c r="A406" s="10" t="s">
        <v>2436</v>
      </c>
      <c r="B406">
        <v>1</v>
      </c>
    </row>
    <row r="407" spans="1:2">
      <c r="A407" s="10" t="s">
        <v>3166</v>
      </c>
      <c r="B407">
        <v>1</v>
      </c>
    </row>
    <row r="408" spans="1:2">
      <c r="A408" s="10" t="s">
        <v>2672</v>
      </c>
      <c r="B408">
        <v>1</v>
      </c>
    </row>
    <row r="409" spans="1:2">
      <c r="A409" s="10" t="s">
        <v>2450</v>
      </c>
      <c r="B409">
        <v>1</v>
      </c>
    </row>
    <row r="410" spans="1:2">
      <c r="A410" s="10" t="s">
        <v>2436</v>
      </c>
      <c r="B410">
        <v>1</v>
      </c>
    </row>
    <row r="411" spans="1:2">
      <c r="A411" s="10" t="s">
        <v>2436</v>
      </c>
      <c r="B411">
        <v>1</v>
      </c>
    </row>
    <row r="412" spans="1:2">
      <c r="A412" s="10" t="s">
        <v>2436</v>
      </c>
      <c r="B412">
        <v>1</v>
      </c>
    </row>
    <row r="413" spans="1:2">
      <c r="A413" s="10" t="s">
        <v>2436</v>
      </c>
      <c r="B413">
        <v>1</v>
      </c>
    </row>
    <row r="414" spans="1:2">
      <c r="A414" s="10" t="s">
        <v>2460</v>
      </c>
      <c r="B414">
        <v>1</v>
      </c>
    </row>
    <row r="415" spans="1:2">
      <c r="A415" s="10" t="s">
        <v>2436</v>
      </c>
      <c r="B415">
        <v>1</v>
      </c>
    </row>
    <row r="416" spans="1:2">
      <c r="A416" s="10" t="s">
        <v>2436</v>
      </c>
      <c r="B416">
        <v>1</v>
      </c>
    </row>
    <row r="417" spans="1:2">
      <c r="A417" s="10" t="s">
        <v>2436</v>
      </c>
      <c r="B417">
        <v>1</v>
      </c>
    </row>
    <row r="418" spans="1:2">
      <c r="A418" s="10" t="s">
        <v>2436</v>
      </c>
      <c r="B418">
        <v>1</v>
      </c>
    </row>
    <row r="419" spans="1:2">
      <c r="A419" s="10" t="s">
        <v>2450</v>
      </c>
      <c r="B419">
        <v>1</v>
      </c>
    </row>
    <row r="420" spans="1:2">
      <c r="A420" s="10" t="s">
        <v>2436</v>
      </c>
      <c r="B420">
        <v>1</v>
      </c>
    </row>
    <row r="421" spans="1:2">
      <c r="A421" s="10" t="s">
        <v>2436</v>
      </c>
      <c r="B421">
        <v>1</v>
      </c>
    </row>
    <row r="422" spans="1:2">
      <c r="A422" s="10" t="s">
        <v>2436</v>
      </c>
      <c r="B422">
        <v>1</v>
      </c>
    </row>
    <row r="423" spans="1:2">
      <c r="A423" s="10" t="s">
        <v>2436</v>
      </c>
      <c r="B423">
        <v>1</v>
      </c>
    </row>
    <row r="424" spans="1:2">
      <c r="A424" s="10" t="s">
        <v>2436</v>
      </c>
      <c r="B424">
        <v>1</v>
      </c>
    </row>
    <row r="425" spans="1:2">
      <c r="A425" s="10" t="s">
        <v>2436</v>
      </c>
      <c r="B425">
        <v>1</v>
      </c>
    </row>
    <row r="426" spans="1:2">
      <c r="A426" s="10" t="s">
        <v>2436</v>
      </c>
      <c r="B426">
        <v>1</v>
      </c>
    </row>
    <row r="427" spans="1:2">
      <c r="A427" s="10" t="s">
        <v>2436</v>
      </c>
      <c r="B427">
        <v>1</v>
      </c>
    </row>
    <row r="428" spans="1:2">
      <c r="A428" s="10" t="s">
        <v>2507</v>
      </c>
      <c r="B428">
        <v>4</v>
      </c>
    </row>
    <row r="429" spans="1:2">
      <c r="A429" s="10" t="s">
        <v>2457</v>
      </c>
      <c r="B429">
        <v>2</v>
      </c>
    </row>
    <row r="430" spans="1:2">
      <c r="A430" s="10" t="s">
        <v>2460</v>
      </c>
      <c r="B430">
        <v>1</v>
      </c>
    </row>
    <row r="431" spans="1:2">
      <c r="A431" s="10" t="s">
        <v>2457</v>
      </c>
      <c r="B431">
        <v>2</v>
      </c>
    </row>
    <row r="432" spans="1:2">
      <c r="A432" s="10" t="s">
        <v>2460</v>
      </c>
      <c r="B432">
        <v>1</v>
      </c>
    </row>
    <row r="433" spans="1:2">
      <c r="A433" s="10" t="s">
        <v>2436</v>
      </c>
      <c r="B433">
        <v>1</v>
      </c>
    </row>
    <row r="434" spans="1:2">
      <c r="A434" s="10" t="s">
        <v>2436</v>
      </c>
      <c r="B434">
        <v>1</v>
      </c>
    </row>
    <row r="435" spans="1:2">
      <c r="A435" s="10" t="s">
        <v>4373</v>
      </c>
      <c r="B435">
        <v>1</v>
      </c>
    </row>
    <row r="436" spans="1:2">
      <c r="A436" s="10" t="s">
        <v>2436</v>
      </c>
      <c r="B436">
        <v>1</v>
      </c>
    </row>
    <row r="437" spans="1:2">
      <c r="A437" s="10" t="s">
        <v>2588</v>
      </c>
      <c r="B437">
        <v>1</v>
      </c>
    </row>
    <row r="438" spans="1:2">
      <c r="A438" s="10" t="s">
        <v>2626</v>
      </c>
      <c r="B438">
        <v>1</v>
      </c>
    </row>
    <row r="439" spans="1:2">
      <c r="A439" s="10" t="s">
        <v>2450</v>
      </c>
      <c r="B439">
        <v>1</v>
      </c>
    </row>
    <row r="440" spans="1:2">
      <c r="A440" s="10" t="s">
        <v>2626</v>
      </c>
      <c r="B440">
        <v>1</v>
      </c>
    </row>
    <row r="441" spans="1:2">
      <c r="A441" s="10" t="s">
        <v>2436</v>
      </c>
      <c r="B441">
        <v>1</v>
      </c>
    </row>
    <row r="442" spans="1:2">
      <c r="A442" s="10" t="s">
        <v>2450</v>
      </c>
      <c r="B442">
        <v>1</v>
      </c>
    </row>
    <row r="443" spans="1:2">
      <c r="A443" s="10" t="s">
        <v>2440</v>
      </c>
      <c r="B443">
        <v>0.5</v>
      </c>
    </row>
    <row r="444" spans="1:2">
      <c r="A444" s="10" t="s">
        <v>2436</v>
      </c>
      <c r="B444">
        <v>1</v>
      </c>
    </row>
    <row r="445" spans="1:2">
      <c r="A445" s="10" t="s">
        <v>2436</v>
      </c>
      <c r="B445">
        <v>1</v>
      </c>
    </row>
    <row r="446" spans="1:2">
      <c r="A446" s="10" t="s">
        <v>2436</v>
      </c>
      <c r="B446">
        <v>1</v>
      </c>
    </row>
    <row r="447" spans="1:2">
      <c r="A447" s="10" t="s">
        <v>2436</v>
      </c>
      <c r="B447">
        <v>1</v>
      </c>
    </row>
    <row r="448" spans="1:2">
      <c r="A448" s="10" t="s">
        <v>2436</v>
      </c>
      <c r="B448">
        <v>1</v>
      </c>
    </row>
    <row r="449" spans="1:2">
      <c r="A449" s="10" t="s">
        <v>2436</v>
      </c>
      <c r="B449">
        <v>1</v>
      </c>
    </row>
    <row r="450" spans="1:2">
      <c r="A450" s="10" t="s">
        <v>2436</v>
      </c>
      <c r="B450">
        <v>1</v>
      </c>
    </row>
    <row r="451" spans="1:2">
      <c r="A451" s="10" t="s">
        <v>2436</v>
      </c>
      <c r="B451">
        <v>1</v>
      </c>
    </row>
    <row r="452" spans="1:2">
      <c r="A452" s="10" t="s">
        <v>2436</v>
      </c>
      <c r="B452">
        <v>1</v>
      </c>
    </row>
    <row r="453" spans="1:2">
      <c r="A453" s="10" t="s">
        <v>2672</v>
      </c>
      <c r="B453">
        <v>1</v>
      </c>
    </row>
    <row r="454" spans="1:2">
      <c r="A454" s="10" t="s">
        <v>2450</v>
      </c>
      <c r="B454">
        <v>1</v>
      </c>
    </row>
    <row r="455" spans="1:2">
      <c r="A455" s="10" t="s">
        <v>2450</v>
      </c>
      <c r="B455">
        <v>1</v>
      </c>
    </row>
    <row r="456" spans="1:2">
      <c r="A456" s="10" t="s">
        <v>2436</v>
      </c>
      <c r="B456">
        <v>1</v>
      </c>
    </row>
    <row r="457" spans="1:2">
      <c r="A457" s="10" t="s">
        <v>2436</v>
      </c>
      <c r="B457">
        <v>1</v>
      </c>
    </row>
    <row r="458" spans="1:2">
      <c r="A458" s="10" t="s">
        <v>2672</v>
      </c>
      <c r="B458">
        <v>1</v>
      </c>
    </row>
    <row r="459" spans="1:2">
      <c r="A459" s="10" t="s">
        <v>2450</v>
      </c>
      <c r="B459">
        <v>1</v>
      </c>
    </row>
    <row r="460" spans="1:2">
      <c r="A460" s="10" t="s">
        <v>2457</v>
      </c>
      <c r="B460">
        <v>2</v>
      </c>
    </row>
    <row r="461" spans="1:2">
      <c r="A461" s="10" t="s">
        <v>2460</v>
      </c>
      <c r="B461">
        <v>1</v>
      </c>
    </row>
    <row r="462" spans="1:2">
      <c r="A462" s="10" t="s">
        <v>2436</v>
      </c>
      <c r="B462">
        <v>1</v>
      </c>
    </row>
    <row r="463" spans="1:2">
      <c r="A463" s="10" t="s">
        <v>2436</v>
      </c>
      <c r="B463">
        <v>1</v>
      </c>
    </row>
    <row r="464" spans="1:2">
      <c r="A464" s="10" t="s">
        <v>2440</v>
      </c>
      <c r="B464">
        <v>0.5</v>
      </c>
    </row>
    <row r="465" spans="1:2">
      <c r="A465" s="10" t="s">
        <v>2436</v>
      </c>
      <c r="B465">
        <v>1</v>
      </c>
    </row>
    <row r="466" spans="1:2">
      <c r="A466" s="10" t="s">
        <v>2436</v>
      </c>
      <c r="B466">
        <v>1</v>
      </c>
    </row>
    <row r="467" spans="1:2">
      <c r="A467" s="10" t="s">
        <v>2440</v>
      </c>
      <c r="B467">
        <v>0.5</v>
      </c>
    </row>
    <row r="468" spans="1:2">
      <c r="A468" s="10" t="s">
        <v>2436</v>
      </c>
      <c r="B468">
        <v>1</v>
      </c>
    </row>
    <row r="469" spans="1:2">
      <c r="A469" s="10" t="s">
        <v>2436</v>
      </c>
      <c r="B469">
        <v>1</v>
      </c>
    </row>
    <row r="470" spans="1:2">
      <c r="A470" s="10" t="s">
        <v>2672</v>
      </c>
      <c r="B470">
        <v>1</v>
      </c>
    </row>
    <row r="471" spans="1:2">
      <c r="A471" s="10" t="s">
        <v>2450</v>
      </c>
      <c r="B471">
        <v>1</v>
      </c>
    </row>
    <row r="472" spans="1:2">
      <c r="A472" s="10" t="s">
        <v>2436</v>
      </c>
      <c r="B472">
        <v>1</v>
      </c>
    </row>
    <row r="473" spans="1:2">
      <c r="A473" s="10" t="s">
        <v>2436</v>
      </c>
      <c r="B473">
        <v>1</v>
      </c>
    </row>
    <row r="474" spans="1:2">
      <c r="A474" s="10" t="s">
        <v>2436</v>
      </c>
      <c r="B474">
        <v>1</v>
      </c>
    </row>
    <row r="475" spans="1:2">
      <c r="A475" s="10" t="s">
        <v>2436</v>
      </c>
      <c r="B475">
        <v>1</v>
      </c>
    </row>
    <row r="476" spans="1:2">
      <c r="A476" s="10" t="s">
        <v>2436</v>
      </c>
      <c r="B476">
        <v>1</v>
      </c>
    </row>
    <row r="477" spans="1:2">
      <c r="A477" s="10" t="s">
        <v>2436</v>
      </c>
      <c r="B477">
        <v>1</v>
      </c>
    </row>
    <row r="478" spans="1:2">
      <c r="A478" s="10" t="s">
        <v>40</v>
      </c>
      <c r="B478">
        <v>1</v>
      </c>
    </row>
    <row r="479" spans="1:2">
      <c r="A479" s="10" t="s">
        <v>2436</v>
      </c>
      <c r="B479">
        <v>1</v>
      </c>
    </row>
    <row r="480" spans="1:2">
      <c r="A480" s="10" t="s">
        <v>2436</v>
      </c>
      <c r="B480">
        <v>1</v>
      </c>
    </row>
    <row r="481" spans="1:2">
      <c r="A481" s="10" t="s">
        <v>2436</v>
      </c>
      <c r="B481">
        <v>1</v>
      </c>
    </row>
    <row r="482" spans="1:2">
      <c r="A482" s="10" t="s">
        <v>2436</v>
      </c>
      <c r="B482">
        <v>1</v>
      </c>
    </row>
    <row r="483" spans="1:2">
      <c r="A483" s="10" t="s">
        <v>2436</v>
      </c>
      <c r="B483">
        <v>1</v>
      </c>
    </row>
    <row r="484" spans="1:2">
      <c r="A484" s="10" t="s">
        <v>2436</v>
      </c>
      <c r="B484">
        <v>1</v>
      </c>
    </row>
    <row r="485" spans="1:2">
      <c r="A485" s="10" t="s">
        <v>2672</v>
      </c>
      <c r="B485">
        <v>1</v>
      </c>
    </row>
    <row r="486" spans="1:2">
      <c r="A486" s="10" t="s">
        <v>2450</v>
      </c>
      <c r="B486">
        <v>1</v>
      </c>
    </row>
    <row r="487" spans="1:2">
      <c r="A487" s="10" t="s">
        <v>2436</v>
      </c>
      <c r="B487">
        <v>1</v>
      </c>
    </row>
    <row r="488" spans="1:2">
      <c r="A488" s="10" t="s">
        <v>2436</v>
      </c>
      <c r="B488">
        <v>1</v>
      </c>
    </row>
    <row r="489" spans="1:2">
      <c r="A489" s="10" t="s">
        <v>2436</v>
      </c>
      <c r="B489">
        <v>1</v>
      </c>
    </row>
    <row r="490" spans="1:2">
      <c r="A490" s="10" t="s">
        <v>2436</v>
      </c>
      <c r="B490">
        <v>1</v>
      </c>
    </row>
    <row r="491" spans="1:2">
      <c r="A491" s="10" t="s">
        <v>2436</v>
      </c>
      <c r="B491">
        <v>1</v>
      </c>
    </row>
    <row r="492" spans="1:2">
      <c r="A492" s="10" t="s">
        <v>2436</v>
      </c>
      <c r="B492">
        <v>1</v>
      </c>
    </row>
    <row r="493" spans="1:2">
      <c r="A493" s="10" t="s">
        <v>2436</v>
      </c>
      <c r="B493">
        <v>1</v>
      </c>
    </row>
    <row r="494" spans="1:2">
      <c r="A494" s="10" t="s">
        <v>2436</v>
      </c>
      <c r="B494">
        <v>1</v>
      </c>
    </row>
    <row r="495" spans="1:2">
      <c r="A495" s="10" t="s">
        <v>2436</v>
      </c>
      <c r="B495">
        <v>1</v>
      </c>
    </row>
    <row r="496" spans="1:2">
      <c r="A496" s="10" t="s">
        <v>2436</v>
      </c>
      <c r="B496">
        <v>1</v>
      </c>
    </row>
    <row r="497" spans="1:2">
      <c r="A497" s="10" t="s">
        <v>2436</v>
      </c>
      <c r="B497">
        <v>1</v>
      </c>
    </row>
    <row r="498" spans="1:2">
      <c r="A498" s="10" t="s">
        <v>2436</v>
      </c>
      <c r="B498">
        <v>1</v>
      </c>
    </row>
    <row r="499" spans="1:2">
      <c r="A499" s="10" t="s">
        <v>2436</v>
      </c>
      <c r="B499">
        <v>1</v>
      </c>
    </row>
    <row r="500" spans="1:2">
      <c r="A500" s="10" t="s">
        <v>2436</v>
      </c>
      <c r="B500">
        <v>1</v>
      </c>
    </row>
    <row r="501" spans="1:2">
      <c r="A501" s="10" t="s">
        <v>2436</v>
      </c>
      <c r="B501">
        <v>1</v>
      </c>
    </row>
    <row r="502" spans="1:2">
      <c r="A502" s="10" t="s">
        <v>2436</v>
      </c>
      <c r="B502">
        <v>1</v>
      </c>
    </row>
    <row r="503" spans="1:2">
      <c r="A503" s="10" t="s">
        <v>2672</v>
      </c>
      <c r="B503">
        <v>1</v>
      </c>
    </row>
    <row r="504" spans="1:2">
      <c r="A504" s="10" t="s">
        <v>2450</v>
      </c>
      <c r="B504">
        <v>1</v>
      </c>
    </row>
    <row r="505" spans="1:2">
      <c r="A505" s="10" t="s">
        <v>2436</v>
      </c>
      <c r="B505">
        <v>1</v>
      </c>
    </row>
    <row r="506" spans="1:2">
      <c r="A506" s="10" t="s">
        <v>2436</v>
      </c>
      <c r="B506">
        <v>1</v>
      </c>
    </row>
    <row r="507" spans="1:2">
      <c r="A507" s="10" t="s">
        <v>2454</v>
      </c>
      <c r="B507">
        <v>1</v>
      </c>
    </row>
    <row r="508" spans="1:2">
      <c r="A508" s="10" t="s">
        <v>2436</v>
      </c>
      <c r="B508">
        <v>1</v>
      </c>
    </row>
    <row r="509" spans="1:2">
      <c r="A509" s="10" t="s">
        <v>2436</v>
      </c>
      <c r="B509">
        <v>1</v>
      </c>
    </row>
    <row r="510" spans="1:2">
      <c r="A510" s="10" t="s">
        <v>2436</v>
      </c>
      <c r="B510">
        <v>1</v>
      </c>
    </row>
    <row r="511" spans="1:2">
      <c r="A511" s="10" t="s">
        <v>2457</v>
      </c>
      <c r="B511">
        <v>2</v>
      </c>
    </row>
    <row r="512" spans="1:2">
      <c r="A512" s="10" t="s">
        <v>2460</v>
      </c>
      <c r="B512">
        <v>1</v>
      </c>
    </row>
    <row r="513" spans="1:2">
      <c r="A513" s="10" t="s">
        <v>20</v>
      </c>
      <c r="B513">
        <v>1</v>
      </c>
    </row>
    <row r="514" spans="1:2">
      <c r="A514" s="10" t="s">
        <v>2436</v>
      </c>
      <c r="B514">
        <v>1</v>
      </c>
    </row>
    <row r="515" spans="1:2">
      <c r="A515" s="10" t="s">
        <v>2436</v>
      </c>
      <c r="B515">
        <v>1</v>
      </c>
    </row>
    <row r="516" spans="1:2">
      <c r="A516" s="10" t="s">
        <v>2436</v>
      </c>
      <c r="B516">
        <v>1</v>
      </c>
    </row>
    <row r="517" spans="1:2">
      <c r="A517" s="10" t="s">
        <v>2436</v>
      </c>
      <c r="B517">
        <v>1</v>
      </c>
    </row>
    <row r="518" spans="1:2">
      <c r="A518" s="10" t="s">
        <v>2457</v>
      </c>
      <c r="B518">
        <v>2</v>
      </c>
    </row>
    <row r="519" spans="1:2">
      <c r="A519" s="10" t="s">
        <v>2460</v>
      </c>
      <c r="B519">
        <v>1</v>
      </c>
    </row>
    <row r="520" spans="1:2">
      <c r="A520" s="10" t="s">
        <v>2436</v>
      </c>
      <c r="B520">
        <v>1</v>
      </c>
    </row>
    <row r="521" spans="1:2">
      <c r="A521" s="10" t="s">
        <v>2450</v>
      </c>
      <c r="B521">
        <v>1</v>
      </c>
    </row>
    <row r="522" spans="1:2">
      <c r="A522" s="10" t="s">
        <v>2436</v>
      </c>
      <c r="B522">
        <v>1</v>
      </c>
    </row>
    <row r="523" spans="1:2">
      <c r="A523" s="10" t="s">
        <v>20</v>
      </c>
      <c r="B523">
        <v>1</v>
      </c>
    </row>
    <row r="524" spans="1:2">
      <c r="A524" s="10" t="s">
        <v>2507</v>
      </c>
      <c r="B524">
        <v>4</v>
      </c>
    </row>
    <row r="525" spans="1:2">
      <c r="A525" s="10" t="s">
        <v>2457</v>
      </c>
      <c r="B525">
        <v>2</v>
      </c>
    </row>
    <row r="526" spans="1:2">
      <c r="A526" s="10" t="s">
        <v>2460</v>
      </c>
      <c r="B526">
        <v>1</v>
      </c>
    </row>
    <row r="527" spans="1:2">
      <c r="A527" s="10" t="s">
        <v>2436</v>
      </c>
      <c r="B527">
        <v>1</v>
      </c>
    </row>
    <row r="528" spans="1:2">
      <c r="A528" s="10" t="s">
        <v>2436</v>
      </c>
      <c r="B528">
        <v>1</v>
      </c>
    </row>
    <row r="529" spans="1:2">
      <c r="A529" s="10" t="s">
        <v>32</v>
      </c>
      <c r="B529">
        <v>1</v>
      </c>
    </row>
    <row r="530" spans="1:2">
      <c r="A530" s="10" t="s">
        <v>2626</v>
      </c>
      <c r="B530">
        <v>1</v>
      </c>
    </row>
    <row r="531" spans="1:2">
      <c r="A531" s="10" t="s">
        <v>2517</v>
      </c>
      <c r="B531">
        <v>1</v>
      </c>
    </row>
    <row r="532" spans="1:2">
      <c r="A532" s="10" t="s">
        <v>2517</v>
      </c>
      <c r="B532">
        <v>1</v>
      </c>
    </row>
    <row r="533" spans="1:2">
      <c r="A533" s="10" t="s">
        <v>2436</v>
      </c>
      <c r="B533">
        <v>1</v>
      </c>
    </row>
    <row r="534" spans="1:2">
      <c r="A534" s="10" t="s">
        <v>2436</v>
      </c>
      <c r="B534">
        <v>1</v>
      </c>
    </row>
    <row r="535" spans="1:2">
      <c r="A535" s="10" t="s">
        <v>2436</v>
      </c>
      <c r="B535">
        <v>1</v>
      </c>
    </row>
    <row r="536" spans="1:2">
      <c r="A536" s="10" t="s">
        <v>2436</v>
      </c>
      <c r="B536">
        <v>1</v>
      </c>
    </row>
    <row r="537" spans="1:2">
      <c r="A537" s="10" t="s">
        <v>2436</v>
      </c>
      <c r="B537">
        <v>1</v>
      </c>
    </row>
    <row r="538" spans="1:2">
      <c r="A538" s="10" t="s">
        <v>2457</v>
      </c>
      <c r="B538">
        <v>2</v>
      </c>
    </row>
    <row r="539" spans="1:2">
      <c r="A539" s="10" t="s">
        <v>2460</v>
      </c>
      <c r="B539">
        <v>1</v>
      </c>
    </row>
    <row r="540" spans="1:2">
      <c r="A540" s="10" t="s">
        <v>20</v>
      </c>
      <c r="B540">
        <v>1</v>
      </c>
    </row>
    <row r="541" spans="1:2">
      <c r="A541" s="10" t="s">
        <v>2454</v>
      </c>
      <c r="B541">
        <v>1</v>
      </c>
    </row>
    <row r="542" spans="1:2">
      <c r="A542" s="10" t="s">
        <v>2507</v>
      </c>
      <c r="B542">
        <v>4</v>
      </c>
    </row>
    <row r="543" spans="1:2">
      <c r="A543" s="10" t="s">
        <v>2457</v>
      </c>
      <c r="B543">
        <v>2</v>
      </c>
    </row>
    <row r="544" spans="1:2">
      <c r="A544" s="10" t="s">
        <v>2460</v>
      </c>
      <c r="B544">
        <v>1</v>
      </c>
    </row>
    <row r="545" spans="1:2">
      <c r="A545" s="10" t="s">
        <v>2436</v>
      </c>
      <c r="B545">
        <v>1</v>
      </c>
    </row>
    <row r="546" spans="1:2">
      <c r="A546" s="10" t="s">
        <v>2436</v>
      </c>
      <c r="B546">
        <v>1</v>
      </c>
    </row>
    <row r="547" spans="1:2">
      <c r="A547" s="10" t="s">
        <v>2436</v>
      </c>
      <c r="B547">
        <v>1</v>
      </c>
    </row>
    <row r="548" spans="1:2">
      <c r="A548" s="10" t="s">
        <v>2436</v>
      </c>
      <c r="B548">
        <v>1</v>
      </c>
    </row>
    <row r="549" spans="1:2">
      <c r="A549" s="10" t="s">
        <v>2436</v>
      </c>
      <c r="B549">
        <v>1</v>
      </c>
    </row>
    <row r="550" spans="1:2">
      <c r="A550" s="10" t="s">
        <v>2440</v>
      </c>
      <c r="B550">
        <v>0.5</v>
      </c>
    </row>
    <row r="551" spans="1:2">
      <c r="A551" s="10" t="s">
        <v>2436</v>
      </c>
      <c r="B551">
        <v>1</v>
      </c>
    </row>
    <row r="552" spans="1:2">
      <c r="A552" s="10" t="s">
        <v>2436</v>
      </c>
      <c r="B552">
        <v>1</v>
      </c>
    </row>
    <row r="553" spans="1:2">
      <c r="A553" s="10" t="s">
        <v>2457</v>
      </c>
      <c r="B553">
        <v>2</v>
      </c>
    </row>
    <row r="554" spans="1:2">
      <c r="A554" s="10" t="s">
        <v>2460</v>
      </c>
      <c r="B554">
        <v>1</v>
      </c>
    </row>
    <row r="555" spans="1:2">
      <c r="A555" s="10" t="s">
        <v>2436</v>
      </c>
      <c r="B555">
        <v>1</v>
      </c>
    </row>
    <row r="556" spans="1:2">
      <c r="A556" s="10" t="s">
        <v>2436</v>
      </c>
      <c r="B556">
        <v>1</v>
      </c>
    </row>
    <row r="557" spans="1:2">
      <c r="A557" s="10" t="s">
        <v>2440</v>
      </c>
      <c r="B557">
        <v>0.5</v>
      </c>
    </row>
    <row r="558" spans="1:2">
      <c r="A558" s="10" t="s">
        <v>2436</v>
      </c>
      <c r="B558">
        <v>1</v>
      </c>
    </row>
    <row r="559" spans="1:2">
      <c r="A559" s="10" t="s">
        <v>2436</v>
      </c>
      <c r="B559">
        <v>1</v>
      </c>
    </row>
    <row r="560" spans="1:2">
      <c r="A560" s="10" t="s">
        <v>3166</v>
      </c>
      <c r="B560">
        <v>1</v>
      </c>
    </row>
    <row r="561" spans="1:2">
      <c r="A561" s="10" t="s">
        <v>2450</v>
      </c>
      <c r="B561">
        <v>1</v>
      </c>
    </row>
    <row r="562" spans="1:2">
      <c r="A562" s="10" t="s">
        <v>2436</v>
      </c>
      <c r="B562">
        <v>1</v>
      </c>
    </row>
    <row r="563" spans="1:2">
      <c r="A563" s="10" t="s">
        <v>2436</v>
      </c>
      <c r="B563">
        <v>1</v>
      </c>
    </row>
    <row r="564" spans="1:2">
      <c r="A564" s="10" t="s">
        <v>2436</v>
      </c>
      <c r="B564">
        <v>1</v>
      </c>
    </row>
    <row r="565" spans="1:2">
      <c r="A565" s="10" t="s">
        <v>2436</v>
      </c>
      <c r="B565">
        <v>1</v>
      </c>
    </row>
    <row r="566" spans="1:2">
      <c r="A566" s="10" t="s">
        <v>2457</v>
      </c>
      <c r="B566">
        <v>2</v>
      </c>
    </row>
    <row r="567" spans="1:2">
      <c r="A567" s="10" t="s">
        <v>2460</v>
      </c>
      <c r="B567">
        <v>1</v>
      </c>
    </row>
    <row r="568" spans="1:2">
      <c r="A568" s="10" t="s">
        <v>2436</v>
      </c>
      <c r="B568">
        <v>1</v>
      </c>
    </row>
    <row r="569" spans="1:2">
      <c r="A569" s="10" t="s">
        <v>2436</v>
      </c>
      <c r="B569">
        <v>1</v>
      </c>
    </row>
    <row r="570" spans="1:2">
      <c r="A570" s="10" t="s">
        <v>2450</v>
      </c>
      <c r="B570">
        <v>1</v>
      </c>
    </row>
    <row r="571" spans="1:2">
      <c r="A571" s="10" t="s">
        <v>2436</v>
      </c>
      <c r="B571">
        <v>1</v>
      </c>
    </row>
    <row r="572" spans="1:2">
      <c r="A572" s="10" t="s">
        <v>2450</v>
      </c>
      <c r="B572">
        <v>1</v>
      </c>
    </row>
    <row r="573" spans="1:2">
      <c r="A573" s="10" t="s">
        <v>2436</v>
      </c>
      <c r="B573">
        <v>1</v>
      </c>
    </row>
    <row r="574" spans="1:2">
      <c r="A574" s="10" t="s">
        <v>2436</v>
      </c>
      <c r="B574">
        <v>1</v>
      </c>
    </row>
    <row r="575" spans="1:2">
      <c r="A575" s="10" t="s">
        <v>2436</v>
      </c>
      <c r="B575">
        <v>1</v>
      </c>
    </row>
    <row r="576" spans="1:2">
      <c r="A576" s="10" t="s">
        <v>2436</v>
      </c>
      <c r="B576">
        <v>1</v>
      </c>
    </row>
    <row r="577" spans="1:2">
      <c r="A577" s="10" t="s">
        <v>2436</v>
      </c>
      <c r="B577">
        <v>1</v>
      </c>
    </row>
    <row r="578" spans="1:2">
      <c r="A578" s="10" t="s">
        <v>2436</v>
      </c>
      <c r="B578">
        <v>1</v>
      </c>
    </row>
    <row r="579" spans="1:2">
      <c r="A579" s="10" t="s">
        <v>2436</v>
      </c>
      <c r="B579">
        <v>1</v>
      </c>
    </row>
    <row r="580" spans="1:2">
      <c r="A580" s="10" t="s">
        <v>2436</v>
      </c>
      <c r="B580">
        <v>1</v>
      </c>
    </row>
    <row r="581" spans="1:2">
      <c r="A581" s="10" t="s">
        <v>2457</v>
      </c>
      <c r="B581">
        <v>2</v>
      </c>
    </row>
    <row r="582" spans="1:2">
      <c r="A582" s="10" t="s">
        <v>2460</v>
      </c>
      <c r="B582">
        <v>1</v>
      </c>
    </row>
    <row r="583" spans="1:2">
      <c r="A583" s="10" t="s">
        <v>2457</v>
      </c>
      <c r="B583">
        <v>2</v>
      </c>
    </row>
    <row r="584" spans="1:2">
      <c r="A584" s="10" t="s">
        <v>2460</v>
      </c>
      <c r="B584">
        <v>1</v>
      </c>
    </row>
    <row r="585" spans="1:2">
      <c r="A585" s="10" t="s">
        <v>2588</v>
      </c>
      <c r="B585">
        <v>1</v>
      </c>
    </row>
    <row r="586" spans="1:2">
      <c r="A586" s="10" t="s">
        <v>2436</v>
      </c>
      <c r="B586">
        <v>1</v>
      </c>
    </row>
    <row r="587" spans="1:2">
      <c r="A587" s="10" t="s">
        <v>2436</v>
      </c>
      <c r="B587">
        <v>1</v>
      </c>
    </row>
    <row r="588" spans="1:2">
      <c r="A588" s="10" t="s">
        <v>4373</v>
      </c>
      <c r="B588">
        <v>1</v>
      </c>
    </row>
    <row r="589" spans="1:2">
      <c r="A589" s="10" t="s">
        <v>2653</v>
      </c>
      <c r="B589">
        <v>1</v>
      </c>
    </row>
    <row r="590" spans="1:2">
      <c r="A590" s="10" t="s">
        <v>2436</v>
      </c>
      <c r="B590">
        <v>1</v>
      </c>
    </row>
    <row r="591" spans="1:2">
      <c r="A591" s="10" t="s">
        <v>2588</v>
      </c>
      <c r="B591">
        <v>1</v>
      </c>
    </row>
    <row r="592" spans="1:2">
      <c r="A592" s="10" t="s">
        <v>2672</v>
      </c>
      <c r="B592">
        <v>1</v>
      </c>
    </row>
    <row r="593" spans="1:2">
      <c r="A593" s="10" t="s">
        <v>2436</v>
      </c>
      <c r="B593">
        <v>1</v>
      </c>
    </row>
    <row r="594" spans="1:2">
      <c r="A594" s="10" t="s">
        <v>2626</v>
      </c>
      <c r="B594">
        <v>1</v>
      </c>
    </row>
    <row r="595" spans="1:2">
      <c r="A595" s="10" t="s">
        <v>2436</v>
      </c>
      <c r="B595">
        <v>1</v>
      </c>
    </row>
    <row r="596" spans="1:2">
      <c r="A596" s="10" t="s">
        <v>2440</v>
      </c>
      <c r="B596">
        <v>0.5</v>
      </c>
    </row>
    <row r="597" spans="1:2">
      <c r="A597" s="10" t="s">
        <v>2436</v>
      </c>
      <c r="B597">
        <v>1</v>
      </c>
    </row>
    <row r="598" spans="1:2">
      <c r="A598" s="10" t="s">
        <v>2436</v>
      </c>
      <c r="B598">
        <v>1</v>
      </c>
    </row>
    <row r="599" spans="1:2">
      <c r="A599" s="10" t="s">
        <v>2436</v>
      </c>
      <c r="B599">
        <v>1</v>
      </c>
    </row>
    <row r="600" spans="1:2">
      <c r="A600" s="10" t="s">
        <v>2436</v>
      </c>
      <c r="B600">
        <v>1</v>
      </c>
    </row>
    <row r="601" spans="1:2">
      <c r="A601" s="10" t="s">
        <v>2436</v>
      </c>
      <c r="B601">
        <v>1</v>
      </c>
    </row>
    <row r="602" spans="1:2">
      <c r="A602" s="10" t="s">
        <v>2436</v>
      </c>
      <c r="B602">
        <v>1</v>
      </c>
    </row>
    <row r="603" spans="1:2">
      <c r="A603" s="10" t="s">
        <v>2436</v>
      </c>
      <c r="B603">
        <v>1</v>
      </c>
    </row>
    <row r="604" spans="1:2">
      <c r="A604" s="10" t="s">
        <v>2436</v>
      </c>
      <c r="B604">
        <v>1</v>
      </c>
    </row>
    <row r="605" spans="1:2">
      <c r="A605" s="10" t="s">
        <v>2672</v>
      </c>
      <c r="B605">
        <v>1</v>
      </c>
    </row>
    <row r="606" spans="1:2">
      <c r="A606" s="10" t="s">
        <v>2450</v>
      </c>
      <c r="B606">
        <v>1</v>
      </c>
    </row>
    <row r="607" spans="1:2">
      <c r="A607" s="10" t="s">
        <v>2450</v>
      </c>
      <c r="B607">
        <v>1</v>
      </c>
    </row>
    <row r="608" spans="1:2">
      <c r="A608" s="10" t="s">
        <v>2450</v>
      </c>
      <c r="B608">
        <v>1</v>
      </c>
    </row>
    <row r="609" spans="1:2">
      <c r="A609" s="10" t="s">
        <v>2436</v>
      </c>
      <c r="B609">
        <v>1</v>
      </c>
    </row>
    <row r="610" spans="1:2">
      <c r="A610" s="10" t="s">
        <v>2436</v>
      </c>
      <c r="B610">
        <v>1</v>
      </c>
    </row>
    <row r="611" spans="1:2">
      <c r="A611" s="10" t="s">
        <v>2450</v>
      </c>
      <c r="B611">
        <v>1</v>
      </c>
    </row>
    <row r="612" spans="1:2">
      <c r="A612" s="10" t="s">
        <v>2507</v>
      </c>
      <c r="B612">
        <v>4</v>
      </c>
    </row>
    <row r="613" spans="1:2">
      <c r="A613" s="10" t="s">
        <v>2457</v>
      </c>
      <c r="B613">
        <v>2</v>
      </c>
    </row>
    <row r="614" spans="1:2">
      <c r="A614" s="10" t="s">
        <v>2460</v>
      </c>
      <c r="B614">
        <v>1</v>
      </c>
    </row>
    <row r="615" spans="1:2">
      <c r="A615" s="10" t="s">
        <v>2436</v>
      </c>
      <c r="B615">
        <v>1</v>
      </c>
    </row>
    <row r="616" spans="1:2">
      <c r="A616" s="10" t="s">
        <v>2436</v>
      </c>
      <c r="B616">
        <v>1</v>
      </c>
    </row>
    <row r="617" spans="1:2">
      <c r="A617" s="10" t="s">
        <v>2440</v>
      </c>
      <c r="B617">
        <v>0.5</v>
      </c>
    </row>
    <row r="618" spans="1:2">
      <c r="A618" s="10" t="s">
        <v>2436</v>
      </c>
      <c r="B618">
        <v>1</v>
      </c>
    </row>
    <row r="619" spans="1:2">
      <c r="A619" s="10" t="s">
        <v>2436</v>
      </c>
      <c r="B619">
        <v>1</v>
      </c>
    </row>
    <row r="620" spans="1:2">
      <c r="A620" s="10" t="s">
        <v>2440</v>
      </c>
      <c r="B620">
        <v>0.5</v>
      </c>
    </row>
    <row r="621" spans="1:2">
      <c r="A621" s="10" t="s">
        <v>2436</v>
      </c>
      <c r="B621">
        <v>1</v>
      </c>
    </row>
    <row r="622" spans="1:2">
      <c r="A622" s="10" t="s">
        <v>2436</v>
      </c>
      <c r="B622">
        <v>1</v>
      </c>
    </row>
    <row r="623" spans="1:2">
      <c r="A623" s="10" t="s">
        <v>2450</v>
      </c>
      <c r="B623">
        <v>1</v>
      </c>
    </row>
    <row r="624" spans="1:2">
      <c r="A624" s="10" t="s">
        <v>2436</v>
      </c>
      <c r="B624">
        <v>1</v>
      </c>
    </row>
    <row r="625" spans="1:2">
      <c r="A625" s="10" t="s">
        <v>2436</v>
      </c>
      <c r="B625">
        <v>1</v>
      </c>
    </row>
    <row r="626" spans="1:2">
      <c r="A626" s="10" t="s">
        <v>2436</v>
      </c>
      <c r="B626">
        <v>1</v>
      </c>
    </row>
    <row r="627" spans="1:2">
      <c r="A627" s="10" t="s">
        <v>2436</v>
      </c>
      <c r="B627">
        <v>1</v>
      </c>
    </row>
    <row r="628" spans="1:2">
      <c r="A628" s="10" t="s">
        <v>2436</v>
      </c>
      <c r="B628">
        <v>1</v>
      </c>
    </row>
    <row r="629" spans="1:2">
      <c r="A629" s="10" t="s">
        <v>2436</v>
      </c>
      <c r="B629">
        <v>1</v>
      </c>
    </row>
    <row r="630" spans="1:2">
      <c r="A630" s="10" t="s">
        <v>40</v>
      </c>
      <c r="B630">
        <v>1</v>
      </c>
    </row>
    <row r="631" spans="1:2">
      <c r="A631" s="10" t="s">
        <v>2436</v>
      </c>
      <c r="B631">
        <v>1</v>
      </c>
    </row>
    <row r="632" spans="1:2">
      <c r="A632" s="10" t="s">
        <v>2436</v>
      </c>
      <c r="B632">
        <v>1</v>
      </c>
    </row>
    <row r="633" spans="1:2">
      <c r="A633" s="10" t="s">
        <v>2436</v>
      </c>
      <c r="B633">
        <v>1</v>
      </c>
    </row>
    <row r="634" spans="1:2">
      <c r="A634" s="10" t="s">
        <v>2436</v>
      </c>
      <c r="B634">
        <v>1</v>
      </c>
    </row>
    <row r="635" spans="1:2">
      <c r="A635" s="10" t="s">
        <v>2436</v>
      </c>
      <c r="B635">
        <v>1</v>
      </c>
    </row>
    <row r="636" spans="1:2">
      <c r="A636" s="10" t="s">
        <v>2436</v>
      </c>
      <c r="B636">
        <v>1</v>
      </c>
    </row>
    <row r="637" spans="1:2">
      <c r="A637" s="10" t="s">
        <v>2450</v>
      </c>
      <c r="B637">
        <v>1</v>
      </c>
    </row>
    <row r="638" spans="1:2">
      <c r="A638" s="10" t="s">
        <v>2436</v>
      </c>
      <c r="B638">
        <v>1</v>
      </c>
    </row>
    <row r="639" spans="1:2">
      <c r="A639" s="10" t="s">
        <v>2436</v>
      </c>
      <c r="B639">
        <v>1</v>
      </c>
    </row>
    <row r="640" spans="1:2">
      <c r="A640" s="10" t="s">
        <v>2436</v>
      </c>
      <c r="B640">
        <v>1</v>
      </c>
    </row>
    <row r="641" spans="1:2">
      <c r="A641" s="10" t="s">
        <v>2436</v>
      </c>
      <c r="B641">
        <v>1</v>
      </c>
    </row>
    <row r="642" spans="1:2">
      <c r="A642" s="10" t="s">
        <v>2436</v>
      </c>
      <c r="B642">
        <v>1</v>
      </c>
    </row>
    <row r="643" spans="1:2">
      <c r="A643" s="10" t="s">
        <v>2436</v>
      </c>
      <c r="B643">
        <v>1</v>
      </c>
    </row>
    <row r="644" spans="1:2">
      <c r="A644" s="10" t="s">
        <v>2436</v>
      </c>
      <c r="B644">
        <v>1</v>
      </c>
    </row>
    <row r="645" spans="1:2">
      <c r="A645" s="10" t="s">
        <v>2436</v>
      </c>
      <c r="B645">
        <v>1</v>
      </c>
    </row>
    <row r="646" spans="1:2">
      <c r="A646" s="10" t="s">
        <v>2436</v>
      </c>
      <c r="B646">
        <v>1</v>
      </c>
    </row>
    <row r="647" spans="1:2">
      <c r="A647" s="10" t="s">
        <v>2436</v>
      </c>
      <c r="B647">
        <v>1</v>
      </c>
    </row>
    <row r="648" spans="1:2">
      <c r="A648" s="10" t="s">
        <v>2436</v>
      </c>
      <c r="B648">
        <v>1</v>
      </c>
    </row>
    <row r="649" spans="1:2">
      <c r="A649" s="10" t="s">
        <v>2436</v>
      </c>
      <c r="B649">
        <v>1</v>
      </c>
    </row>
    <row r="650" spans="1:2">
      <c r="A650" s="10" t="s">
        <v>2436</v>
      </c>
      <c r="B650">
        <v>1</v>
      </c>
    </row>
    <row r="651" spans="1:2">
      <c r="A651" s="10" t="s">
        <v>2436</v>
      </c>
      <c r="B651">
        <v>1</v>
      </c>
    </row>
    <row r="652" spans="1:2">
      <c r="A652" s="10" t="s">
        <v>2436</v>
      </c>
      <c r="B652">
        <v>1</v>
      </c>
    </row>
    <row r="653" spans="1:2">
      <c r="A653" s="10" t="s">
        <v>2436</v>
      </c>
      <c r="B653">
        <v>1</v>
      </c>
    </row>
    <row r="654" spans="1:2">
      <c r="A654" s="10" t="s">
        <v>2436</v>
      </c>
      <c r="B654">
        <v>1</v>
      </c>
    </row>
    <row r="655" spans="1:2">
      <c r="A655" s="10" t="s">
        <v>2436</v>
      </c>
      <c r="B655">
        <v>1</v>
      </c>
    </row>
    <row r="656" spans="1:2">
      <c r="A656" s="10" t="s">
        <v>2450</v>
      </c>
      <c r="B656">
        <v>1</v>
      </c>
    </row>
    <row r="657" spans="1:2">
      <c r="A657" s="10" t="s">
        <v>2672</v>
      </c>
      <c r="B657">
        <v>1</v>
      </c>
    </row>
    <row r="658" spans="1:2">
      <c r="A658" s="10" t="s">
        <v>2450</v>
      </c>
      <c r="B658">
        <v>1</v>
      </c>
    </row>
    <row r="659" spans="1:2">
      <c r="A659" s="10" t="s">
        <v>2436</v>
      </c>
      <c r="B659">
        <v>1</v>
      </c>
    </row>
    <row r="660" spans="1:2">
      <c r="A660" s="10" t="s">
        <v>2436</v>
      </c>
      <c r="B660">
        <v>1</v>
      </c>
    </row>
    <row r="661" spans="1:2">
      <c r="A661" s="10" t="s">
        <v>2454</v>
      </c>
      <c r="B661">
        <v>1</v>
      </c>
    </row>
    <row r="662" spans="1:2">
      <c r="A662" s="10" t="s">
        <v>2436</v>
      </c>
      <c r="B662">
        <v>1</v>
      </c>
    </row>
    <row r="663" spans="1:2">
      <c r="A663" s="10" t="s">
        <v>2436</v>
      </c>
      <c r="B663">
        <v>1</v>
      </c>
    </row>
    <row r="664" spans="1:2">
      <c r="A664" s="10" t="s">
        <v>2436</v>
      </c>
      <c r="B664">
        <v>1</v>
      </c>
    </row>
    <row r="665" spans="1:2">
      <c r="A665" s="10" t="s">
        <v>2457</v>
      </c>
      <c r="B665">
        <v>2</v>
      </c>
    </row>
    <row r="666" spans="1:2">
      <c r="A666" s="10" t="s">
        <v>2460</v>
      </c>
      <c r="B666">
        <v>1</v>
      </c>
    </row>
    <row r="667" spans="1:2">
      <c r="A667" s="10" t="s">
        <v>20</v>
      </c>
      <c r="B667">
        <v>1</v>
      </c>
    </row>
    <row r="668" spans="1:2">
      <c r="A668" s="10" t="s">
        <v>2436</v>
      </c>
      <c r="B668">
        <v>1</v>
      </c>
    </row>
    <row r="669" spans="1:2">
      <c r="A669" s="10" t="s">
        <v>2436</v>
      </c>
      <c r="B669">
        <v>1</v>
      </c>
    </row>
    <row r="670" spans="1:2">
      <c r="A670" s="10" t="s">
        <v>2436</v>
      </c>
      <c r="B670">
        <v>1</v>
      </c>
    </row>
    <row r="671" spans="1:2">
      <c r="A671" s="10" t="s">
        <v>2436</v>
      </c>
      <c r="B671">
        <v>1</v>
      </c>
    </row>
    <row r="672" spans="1:2">
      <c r="A672" s="10" t="s">
        <v>2457</v>
      </c>
      <c r="B672">
        <v>2</v>
      </c>
    </row>
    <row r="673" spans="1:2">
      <c r="A673" s="10" t="s">
        <v>2460</v>
      </c>
      <c r="B673">
        <v>1</v>
      </c>
    </row>
    <row r="674" spans="1:2">
      <c r="A674" s="10" t="s">
        <v>32</v>
      </c>
      <c r="B674">
        <v>1</v>
      </c>
    </row>
    <row r="675" spans="1:2">
      <c r="A675" s="10" t="s">
        <v>2436</v>
      </c>
      <c r="B675">
        <v>1</v>
      </c>
    </row>
    <row r="676" spans="1:2">
      <c r="A676" s="10" t="s">
        <v>2450</v>
      </c>
      <c r="B676">
        <v>1</v>
      </c>
    </row>
    <row r="677" spans="1:2">
      <c r="A677" s="10" t="s">
        <v>2436</v>
      </c>
      <c r="B677">
        <v>1</v>
      </c>
    </row>
    <row r="678" spans="1:2">
      <c r="A678" s="10" t="s">
        <v>20</v>
      </c>
      <c r="B678">
        <v>1</v>
      </c>
    </row>
    <row r="679" spans="1:2">
      <c r="A679" s="10" t="s">
        <v>2507</v>
      </c>
      <c r="B679">
        <v>4</v>
      </c>
    </row>
    <row r="680" spans="1:2">
      <c r="A680" s="10" t="s">
        <v>2457</v>
      </c>
      <c r="B680">
        <v>2</v>
      </c>
    </row>
    <row r="681" spans="1:2">
      <c r="A681" s="10" t="s">
        <v>2460</v>
      </c>
      <c r="B681">
        <v>1</v>
      </c>
    </row>
    <row r="682" spans="1:2">
      <c r="A682" s="10" t="s">
        <v>2436</v>
      </c>
      <c r="B682">
        <v>1</v>
      </c>
    </row>
    <row r="683" spans="1:2">
      <c r="A683" s="10" t="s">
        <v>2436</v>
      </c>
      <c r="B683">
        <v>1</v>
      </c>
    </row>
    <row r="684" spans="1:2">
      <c r="A684" s="10" t="s">
        <v>2517</v>
      </c>
      <c r="B684">
        <v>1</v>
      </c>
    </row>
    <row r="685" spans="1:2">
      <c r="A685" s="10" t="s">
        <v>2517</v>
      </c>
      <c r="B685">
        <v>1</v>
      </c>
    </row>
    <row r="686" spans="1:2">
      <c r="A686" s="10" t="s">
        <v>2436</v>
      </c>
      <c r="B686">
        <v>1</v>
      </c>
    </row>
    <row r="687" spans="1:2">
      <c r="A687" s="10" t="s">
        <v>2436</v>
      </c>
      <c r="B687">
        <v>1</v>
      </c>
    </row>
    <row r="688" spans="1:2">
      <c r="A688" s="10" t="s">
        <v>2436</v>
      </c>
      <c r="B688">
        <v>1</v>
      </c>
    </row>
    <row r="689" spans="1:2">
      <c r="A689" s="10" t="s">
        <v>2436</v>
      </c>
      <c r="B689">
        <v>1</v>
      </c>
    </row>
    <row r="690" spans="1:2">
      <c r="A690" s="10" t="s">
        <v>2436</v>
      </c>
      <c r="B690">
        <v>1</v>
      </c>
    </row>
    <row r="691" spans="1:2">
      <c r="A691" s="10" t="s">
        <v>2457</v>
      </c>
      <c r="B691">
        <v>2</v>
      </c>
    </row>
    <row r="692" spans="1:2">
      <c r="A692" s="10" t="s">
        <v>2460</v>
      </c>
      <c r="B692">
        <v>1</v>
      </c>
    </row>
    <row r="693" spans="1:2">
      <c r="A693" s="10" t="s">
        <v>20</v>
      </c>
      <c r="B693">
        <v>1</v>
      </c>
    </row>
    <row r="694" spans="1:2">
      <c r="A694" s="10" t="s">
        <v>2454</v>
      </c>
      <c r="B694">
        <v>1</v>
      </c>
    </row>
    <row r="695" spans="1:2">
      <c r="A695" s="10" t="s">
        <v>2457</v>
      </c>
      <c r="B695">
        <v>2</v>
      </c>
    </row>
    <row r="696" spans="1:2">
      <c r="A696" s="10" t="s">
        <v>2460</v>
      </c>
      <c r="B696">
        <v>1</v>
      </c>
    </row>
    <row r="697" spans="1:2">
      <c r="A697" s="10" t="s">
        <v>2436</v>
      </c>
      <c r="B697">
        <v>1</v>
      </c>
    </row>
    <row r="698" spans="1:2">
      <c r="A698" s="10" t="s">
        <v>2436</v>
      </c>
      <c r="B698">
        <v>1</v>
      </c>
    </row>
    <row r="699" spans="1:2">
      <c r="A699" s="10" t="s">
        <v>2436</v>
      </c>
      <c r="B699">
        <v>1</v>
      </c>
    </row>
    <row r="700" spans="1:2">
      <c r="A700" s="10" t="s">
        <v>2436</v>
      </c>
      <c r="B700">
        <v>1</v>
      </c>
    </row>
    <row r="701" spans="1:2">
      <c r="A701" s="10" t="s">
        <v>2436</v>
      </c>
      <c r="B701">
        <v>1</v>
      </c>
    </row>
    <row r="702" spans="1:2">
      <c r="A702" s="10" t="s">
        <v>2440</v>
      </c>
      <c r="B702">
        <v>0.5</v>
      </c>
    </row>
    <row r="703" spans="1:2">
      <c r="A703" s="10" t="s">
        <v>2436</v>
      </c>
      <c r="B703">
        <v>1</v>
      </c>
    </row>
    <row r="704" spans="1:2">
      <c r="A704" s="10" t="s">
        <v>2436</v>
      </c>
      <c r="B704">
        <v>1</v>
      </c>
    </row>
    <row r="705" spans="1:2">
      <c r="A705" s="10" t="s">
        <v>2457</v>
      </c>
      <c r="B705">
        <v>2</v>
      </c>
    </row>
    <row r="706" spans="1:2">
      <c r="A706" s="10" t="s">
        <v>2460</v>
      </c>
      <c r="B706">
        <v>1</v>
      </c>
    </row>
    <row r="707" spans="1:2">
      <c r="A707" s="10" t="s">
        <v>2436</v>
      </c>
      <c r="B707">
        <v>1</v>
      </c>
    </row>
    <row r="708" spans="1:2">
      <c r="A708" s="10" t="s">
        <v>2436</v>
      </c>
      <c r="B708">
        <v>1</v>
      </c>
    </row>
    <row r="709" spans="1:2">
      <c r="A709" s="10" t="s">
        <v>2440</v>
      </c>
      <c r="B709">
        <v>0.5</v>
      </c>
    </row>
    <row r="710" spans="1:2">
      <c r="A710" s="10" t="s">
        <v>2436</v>
      </c>
      <c r="B710">
        <v>1</v>
      </c>
    </row>
    <row r="711" spans="1:2">
      <c r="A711" s="10" t="s">
        <v>2436</v>
      </c>
      <c r="B711">
        <v>1</v>
      </c>
    </row>
    <row r="712" spans="1:2">
      <c r="A712" s="10" t="s">
        <v>3166</v>
      </c>
      <c r="B712">
        <v>1</v>
      </c>
    </row>
    <row r="713" spans="1:2">
      <c r="A713" s="10" t="s">
        <v>2672</v>
      </c>
      <c r="B713">
        <v>1</v>
      </c>
    </row>
    <row r="714" spans="1:2">
      <c r="A714" s="10" t="s">
        <v>2450</v>
      </c>
      <c r="B714">
        <v>1</v>
      </c>
    </row>
    <row r="715" spans="1:2">
      <c r="A715" s="10" t="s">
        <v>2436</v>
      </c>
      <c r="B715">
        <v>1</v>
      </c>
    </row>
    <row r="716" spans="1:2">
      <c r="A716" s="10" t="s">
        <v>2436</v>
      </c>
      <c r="B716">
        <v>1</v>
      </c>
    </row>
    <row r="717" spans="1:2">
      <c r="A717" s="10" t="s">
        <v>2436</v>
      </c>
      <c r="B717">
        <v>1</v>
      </c>
    </row>
    <row r="718" spans="1:2">
      <c r="A718" s="10" t="s">
        <v>2436</v>
      </c>
      <c r="B718">
        <v>1</v>
      </c>
    </row>
    <row r="719" spans="1:2">
      <c r="A719" s="10" t="s">
        <v>2436</v>
      </c>
      <c r="B719">
        <v>1</v>
      </c>
    </row>
    <row r="720" spans="1:2">
      <c r="A720" s="10" t="s">
        <v>2436</v>
      </c>
      <c r="B720">
        <v>1</v>
      </c>
    </row>
    <row r="721" spans="1:2">
      <c r="A721" s="10" t="s">
        <v>2457</v>
      </c>
      <c r="B721">
        <v>2</v>
      </c>
    </row>
    <row r="722" spans="1:2">
      <c r="A722" s="10" t="s">
        <v>2460</v>
      </c>
      <c r="B722">
        <v>1</v>
      </c>
    </row>
    <row r="723" spans="1:2">
      <c r="A723" s="10" t="s">
        <v>2436</v>
      </c>
      <c r="B723">
        <v>1</v>
      </c>
    </row>
    <row r="724" spans="1:2">
      <c r="A724" s="10" t="s">
        <v>2436</v>
      </c>
      <c r="B724">
        <v>1</v>
      </c>
    </row>
    <row r="725" spans="1:2">
      <c r="A725" s="10" t="s">
        <v>2436</v>
      </c>
      <c r="B725">
        <v>1</v>
      </c>
    </row>
    <row r="726" spans="1:2">
      <c r="A726" s="10" t="s">
        <v>2450</v>
      </c>
      <c r="B726">
        <v>1</v>
      </c>
    </row>
    <row r="727" spans="1:2">
      <c r="A727" s="10" t="s">
        <v>2436</v>
      </c>
      <c r="B727">
        <v>1</v>
      </c>
    </row>
    <row r="728" spans="1:2">
      <c r="A728" s="10" t="s">
        <v>2450</v>
      </c>
      <c r="B728">
        <v>1</v>
      </c>
    </row>
    <row r="729" spans="1:2">
      <c r="A729" s="10" t="s">
        <v>2436</v>
      </c>
      <c r="B729">
        <v>1</v>
      </c>
    </row>
    <row r="730" spans="1:2">
      <c r="A730" s="10" t="s">
        <v>2436</v>
      </c>
      <c r="B730">
        <v>1</v>
      </c>
    </row>
    <row r="731" spans="1:2">
      <c r="A731" s="10" t="s">
        <v>2436</v>
      </c>
      <c r="B731">
        <v>1</v>
      </c>
    </row>
    <row r="732" spans="1:2">
      <c r="A732" s="10" t="s">
        <v>2436</v>
      </c>
      <c r="B732">
        <v>1</v>
      </c>
    </row>
    <row r="733" spans="1:2">
      <c r="A733" s="10" t="s">
        <v>2436</v>
      </c>
      <c r="B733">
        <v>1</v>
      </c>
    </row>
    <row r="734" spans="1:2">
      <c r="A734" s="10" t="s">
        <v>2436</v>
      </c>
      <c r="B734">
        <v>1</v>
      </c>
    </row>
    <row r="735" spans="1:2">
      <c r="A735" s="10" t="s">
        <v>2436</v>
      </c>
      <c r="B735">
        <v>1</v>
      </c>
    </row>
    <row r="736" spans="1:2">
      <c r="A736" s="10" t="s">
        <v>2436</v>
      </c>
      <c r="B736">
        <v>1</v>
      </c>
    </row>
    <row r="737" spans="1:2">
      <c r="A737" s="10" t="s">
        <v>2457</v>
      </c>
      <c r="B737">
        <v>2</v>
      </c>
    </row>
    <row r="738" spans="1:2">
      <c r="A738" s="10" t="s">
        <v>2460</v>
      </c>
      <c r="B738">
        <v>1</v>
      </c>
    </row>
    <row r="739" spans="1:2">
      <c r="A739" s="10" t="s">
        <v>2507</v>
      </c>
      <c r="B739">
        <v>4</v>
      </c>
    </row>
    <row r="740" spans="1:2">
      <c r="A740" s="10" t="s">
        <v>2457</v>
      </c>
      <c r="B740">
        <v>2</v>
      </c>
    </row>
    <row r="741" spans="1:2">
      <c r="A741" s="10" t="s">
        <v>2460</v>
      </c>
      <c r="B741">
        <v>1</v>
      </c>
    </row>
    <row r="742" spans="1:2">
      <c r="A742" s="10" t="s">
        <v>2436</v>
      </c>
      <c r="B742">
        <v>1</v>
      </c>
    </row>
    <row r="743" spans="1:2">
      <c r="A743" s="10" t="s">
        <v>145</v>
      </c>
      <c r="B743">
        <v>1</v>
      </c>
    </row>
    <row r="744" spans="1:2">
      <c r="A744" s="10" t="s">
        <v>2653</v>
      </c>
      <c r="B744">
        <v>1</v>
      </c>
    </row>
    <row r="745" spans="1:2">
      <c r="A745" s="10" t="s">
        <v>2436</v>
      </c>
      <c r="B745">
        <v>1</v>
      </c>
    </row>
    <row r="746" spans="1:2">
      <c r="A746" s="10" t="s">
        <v>2517</v>
      </c>
      <c r="B746">
        <v>1</v>
      </c>
    </row>
    <row r="747" spans="1:2">
      <c r="A747" s="10" t="s">
        <v>2653</v>
      </c>
      <c r="B747">
        <v>1</v>
      </c>
    </row>
    <row r="748" spans="1:2">
      <c r="A748" s="10" t="s">
        <v>4373</v>
      </c>
      <c r="B748">
        <v>1</v>
      </c>
    </row>
    <row r="749" spans="1:2">
      <c r="A749" s="10" t="s">
        <v>2653</v>
      </c>
      <c r="B749">
        <v>1</v>
      </c>
    </row>
    <row r="750" spans="1:2">
      <c r="A750" s="10" t="s">
        <v>2436</v>
      </c>
      <c r="B750">
        <v>1</v>
      </c>
    </row>
    <row r="751" spans="1:2">
      <c r="A751" s="10" t="s">
        <v>2588</v>
      </c>
      <c r="B751">
        <v>1</v>
      </c>
    </row>
    <row r="752" spans="1:2">
      <c r="A752" s="10" t="s">
        <v>2450</v>
      </c>
      <c r="B752">
        <v>1</v>
      </c>
    </row>
    <row r="753" spans="1:2">
      <c r="A753" s="10" t="s">
        <v>2626</v>
      </c>
      <c r="B753">
        <v>1</v>
      </c>
    </row>
    <row r="754" spans="1:2">
      <c r="A754" s="10" t="s">
        <v>2436</v>
      </c>
      <c r="B754">
        <v>1</v>
      </c>
    </row>
    <row r="755" spans="1:2">
      <c r="A755" s="10" t="s">
        <v>2672</v>
      </c>
      <c r="B755">
        <v>1</v>
      </c>
    </row>
    <row r="756" spans="1:2">
      <c r="A756" s="10" t="s">
        <v>2440</v>
      </c>
      <c r="B756">
        <v>0.5</v>
      </c>
    </row>
    <row r="757" spans="1:2">
      <c r="A757" s="10" t="s">
        <v>2436</v>
      </c>
      <c r="B757">
        <v>1</v>
      </c>
    </row>
    <row r="758" spans="1:2">
      <c r="A758" s="10" t="s">
        <v>2436</v>
      </c>
      <c r="B758">
        <v>1</v>
      </c>
    </row>
    <row r="759" spans="1:2">
      <c r="A759" s="10" t="s">
        <v>2436</v>
      </c>
      <c r="B759">
        <v>1</v>
      </c>
    </row>
    <row r="760" spans="1:2">
      <c r="A760" s="10" t="s">
        <v>2436</v>
      </c>
      <c r="B760">
        <v>1</v>
      </c>
    </row>
    <row r="761" spans="1:2">
      <c r="A761" s="10" t="s">
        <v>2436</v>
      </c>
      <c r="B761">
        <v>1</v>
      </c>
    </row>
    <row r="762" spans="1:2">
      <c r="A762" s="10" t="s">
        <v>2436</v>
      </c>
      <c r="B762">
        <v>1</v>
      </c>
    </row>
    <row r="763" spans="1:2">
      <c r="A763" s="10" t="s">
        <v>2436</v>
      </c>
      <c r="B763">
        <v>1</v>
      </c>
    </row>
    <row r="764" spans="1:2">
      <c r="A764" s="10" t="s">
        <v>2436</v>
      </c>
      <c r="B764">
        <v>1</v>
      </c>
    </row>
    <row r="765" spans="1:2">
      <c r="A765" s="10" t="s">
        <v>2436</v>
      </c>
      <c r="B765">
        <v>1</v>
      </c>
    </row>
    <row r="766" spans="1:2">
      <c r="A766" s="10" t="s">
        <v>2450</v>
      </c>
      <c r="B766">
        <v>1</v>
      </c>
    </row>
    <row r="767" spans="1:2">
      <c r="A767" s="10" t="s">
        <v>2450</v>
      </c>
      <c r="B767">
        <v>1</v>
      </c>
    </row>
    <row r="768" spans="1:2">
      <c r="A768" s="10" t="s">
        <v>2436</v>
      </c>
      <c r="B768">
        <v>1</v>
      </c>
    </row>
    <row r="769" spans="1:2">
      <c r="A769" s="10" t="s">
        <v>2436</v>
      </c>
      <c r="B769">
        <v>1</v>
      </c>
    </row>
    <row r="770" spans="1:2">
      <c r="A770" s="10" t="s">
        <v>2450</v>
      </c>
      <c r="B770">
        <v>1</v>
      </c>
    </row>
    <row r="771" spans="1:2">
      <c r="A771" s="10" t="s">
        <v>2457</v>
      </c>
      <c r="B771">
        <v>2</v>
      </c>
    </row>
    <row r="772" spans="1:2">
      <c r="A772" s="10" t="s">
        <v>2460</v>
      </c>
      <c r="B772">
        <v>1</v>
      </c>
    </row>
    <row r="773" spans="1:2">
      <c r="A773" s="10" t="s">
        <v>2436</v>
      </c>
      <c r="B773">
        <v>1</v>
      </c>
    </row>
    <row r="774" spans="1:2">
      <c r="A774" s="10" t="s">
        <v>2436</v>
      </c>
      <c r="B774">
        <v>1</v>
      </c>
    </row>
    <row r="775" spans="1:2">
      <c r="A775" s="10" t="s">
        <v>2440</v>
      </c>
      <c r="B775">
        <v>0.5</v>
      </c>
    </row>
    <row r="776" spans="1:2">
      <c r="A776" s="10" t="s">
        <v>2436</v>
      </c>
      <c r="B776">
        <v>1</v>
      </c>
    </row>
    <row r="777" spans="1:2">
      <c r="A777" s="10" t="s">
        <v>2436</v>
      </c>
      <c r="B777">
        <v>1</v>
      </c>
    </row>
    <row r="778" spans="1:2">
      <c r="A778" s="10" t="s">
        <v>2440</v>
      </c>
      <c r="B778">
        <v>0.5</v>
      </c>
    </row>
    <row r="779" spans="1:2">
      <c r="A779" s="10" t="s">
        <v>2450</v>
      </c>
      <c r="B779">
        <v>1</v>
      </c>
    </row>
    <row r="780" spans="1:2">
      <c r="A780" s="10" t="s">
        <v>2436</v>
      </c>
      <c r="B780">
        <v>1</v>
      </c>
    </row>
    <row r="781" spans="1:2">
      <c r="A781" s="10" t="s">
        <v>2436</v>
      </c>
      <c r="B781">
        <v>1</v>
      </c>
    </row>
    <row r="782" spans="1:2">
      <c r="A782" s="10" t="s">
        <v>2436</v>
      </c>
      <c r="B782">
        <v>1</v>
      </c>
    </row>
    <row r="783" spans="1:2">
      <c r="A783" s="10" t="s">
        <v>2436</v>
      </c>
      <c r="B783">
        <v>1</v>
      </c>
    </row>
    <row r="784" spans="1:2">
      <c r="A784" s="10" t="s">
        <v>2436</v>
      </c>
      <c r="B784">
        <v>1</v>
      </c>
    </row>
    <row r="785" spans="1:2">
      <c r="A785" s="10" t="s">
        <v>2436</v>
      </c>
      <c r="B785">
        <v>1</v>
      </c>
    </row>
    <row r="786" spans="1:2">
      <c r="A786" s="10" t="s">
        <v>2436</v>
      </c>
      <c r="B786">
        <v>1</v>
      </c>
    </row>
    <row r="787" spans="1:2">
      <c r="A787" s="10" t="s">
        <v>2436</v>
      </c>
      <c r="B787">
        <v>1</v>
      </c>
    </row>
    <row r="788" spans="1:2">
      <c r="A788" s="10" t="s">
        <v>40</v>
      </c>
      <c r="B788">
        <v>1</v>
      </c>
    </row>
    <row r="789" spans="1:2">
      <c r="A789" s="10" t="s">
        <v>2436</v>
      </c>
      <c r="B789">
        <v>1</v>
      </c>
    </row>
    <row r="790" spans="1:2">
      <c r="A790" s="10" t="s">
        <v>2436</v>
      </c>
      <c r="B790">
        <v>1</v>
      </c>
    </row>
    <row r="791" spans="1:2">
      <c r="A791" s="10" t="s">
        <v>2436</v>
      </c>
      <c r="B791">
        <v>1</v>
      </c>
    </row>
    <row r="792" spans="1:2">
      <c r="A792" s="10" t="s">
        <v>2436</v>
      </c>
      <c r="B792">
        <v>1</v>
      </c>
    </row>
    <row r="793" spans="1:2">
      <c r="A793" s="10" t="s">
        <v>2436</v>
      </c>
      <c r="B793">
        <v>1</v>
      </c>
    </row>
    <row r="794" spans="1:2">
      <c r="A794" s="10" t="s">
        <v>2436</v>
      </c>
      <c r="B794">
        <v>1</v>
      </c>
    </row>
    <row r="795" spans="1:2">
      <c r="A795" s="10" t="s">
        <v>2436</v>
      </c>
      <c r="B795">
        <v>1</v>
      </c>
    </row>
    <row r="796" spans="1:2">
      <c r="A796" s="10" t="s">
        <v>2436</v>
      </c>
      <c r="B796">
        <v>1</v>
      </c>
    </row>
    <row r="797" spans="1:2">
      <c r="A797" s="10" t="s">
        <v>2436</v>
      </c>
      <c r="B797">
        <v>1</v>
      </c>
    </row>
    <row r="798" spans="1:2">
      <c r="A798" s="10" t="s">
        <v>2436</v>
      </c>
      <c r="B798">
        <v>1</v>
      </c>
    </row>
    <row r="799" spans="1:2">
      <c r="A799" s="10" t="s">
        <v>2436</v>
      </c>
      <c r="B799">
        <v>1</v>
      </c>
    </row>
    <row r="800" spans="1:2">
      <c r="A800" s="10" t="s">
        <v>2436</v>
      </c>
      <c r="B800">
        <v>1</v>
      </c>
    </row>
    <row r="801" spans="1:2">
      <c r="A801" s="10" t="s">
        <v>2436</v>
      </c>
      <c r="B801">
        <v>1</v>
      </c>
    </row>
    <row r="802" spans="1:2">
      <c r="A802" s="10" t="s">
        <v>2436</v>
      </c>
      <c r="B802">
        <v>1</v>
      </c>
    </row>
    <row r="803" spans="1:2">
      <c r="A803" s="10" t="s">
        <v>2436</v>
      </c>
      <c r="B803">
        <v>1</v>
      </c>
    </row>
    <row r="804" spans="1:2">
      <c r="A804" s="10" t="s">
        <v>2436</v>
      </c>
      <c r="B804">
        <v>1</v>
      </c>
    </row>
    <row r="805" spans="1:2">
      <c r="A805" s="10" t="s">
        <v>2436</v>
      </c>
      <c r="B805">
        <v>1</v>
      </c>
    </row>
    <row r="806" spans="1:2">
      <c r="A806" s="10" t="s">
        <v>2436</v>
      </c>
      <c r="B806">
        <v>1</v>
      </c>
    </row>
    <row r="807" spans="1:2">
      <c r="A807" s="10" t="s">
        <v>2436</v>
      </c>
      <c r="B807">
        <v>1</v>
      </c>
    </row>
    <row r="808" spans="1:2">
      <c r="A808" s="10" t="s">
        <v>2436</v>
      </c>
      <c r="B808">
        <v>1</v>
      </c>
    </row>
    <row r="809" spans="1:2">
      <c r="A809" s="10" t="s">
        <v>2436</v>
      </c>
      <c r="B809">
        <v>1</v>
      </c>
    </row>
    <row r="810" spans="1:2">
      <c r="A810" s="10" t="s">
        <v>2436</v>
      </c>
      <c r="B810">
        <v>1</v>
      </c>
    </row>
    <row r="811" spans="1:2">
      <c r="A811" s="10" t="s">
        <v>2436</v>
      </c>
      <c r="B811">
        <v>1</v>
      </c>
    </row>
    <row r="812" spans="1:2">
      <c r="A812" s="10" t="s">
        <v>2436</v>
      </c>
      <c r="B812">
        <v>1</v>
      </c>
    </row>
    <row r="813" spans="1:2">
      <c r="A813" s="10" t="s">
        <v>2436</v>
      </c>
      <c r="B813">
        <v>1</v>
      </c>
    </row>
    <row r="814" spans="1:2">
      <c r="A814" s="10" t="s">
        <v>2436</v>
      </c>
      <c r="B814">
        <v>1</v>
      </c>
    </row>
    <row r="815" spans="1:2">
      <c r="A815" s="10" t="s">
        <v>2450</v>
      </c>
      <c r="B815">
        <v>1</v>
      </c>
    </row>
    <row r="816" spans="1:2">
      <c r="A816" s="10" t="s">
        <v>2450</v>
      </c>
      <c r="B816">
        <v>1</v>
      </c>
    </row>
    <row r="817" spans="1:2">
      <c r="A817" s="10" t="s">
        <v>2436</v>
      </c>
      <c r="B817">
        <v>1</v>
      </c>
    </row>
    <row r="818" spans="1:2">
      <c r="A818" s="10" t="s">
        <v>2436</v>
      </c>
      <c r="B818">
        <v>1</v>
      </c>
    </row>
    <row r="819" spans="1:2">
      <c r="A819" s="10" t="s">
        <v>2454</v>
      </c>
      <c r="B819">
        <v>1</v>
      </c>
    </row>
    <row r="820" spans="1:2">
      <c r="A820" s="10" t="s">
        <v>2436</v>
      </c>
      <c r="B820">
        <v>1</v>
      </c>
    </row>
    <row r="821" spans="1:2">
      <c r="A821" s="10" t="s">
        <v>2436</v>
      </c>
      <c r="B821">
        <v>1</v>
      </c>
    </row>
    <row r="822" spans="1:2">
      <c r="A822" s="10" t="s">
        <v>2436</v>
      </c>
      <c r="B822">
        <v>1</v>
      </c>
    </row>
    <row r="823" spans="1:2">
      <c r="A823" s="10" t="s">
        <v>2457</v>
      </c>
      <c r="B823">
        <v>2</v>
      </c>
    </row>
    <row r="824" spans="1:2">
      <c r="A824" s="10" t="s">
        <v>2460</v>
      </c>
      <c r="B824">
        <v>1</v>
      </c>
    </row>
    <row r="825" spans="1:2">
      <c r="A825" s="10" t="s">
        <v>20</v>
      </c>
      <c r="B825">
        <v>1</v>
      </c>
    </row>
    <row r="826" spans="1:2">
      <c r="A826" s="10" t="s">
        <v>2436</v>
      </c>
      <c r="B826">
        <v>1</v>
      </c>
    </row>
    <row r="827" spans="1:2">
      <c r="A827" s="10" t="s">
        <v>2436</v>
      </c>
      <c r="B827">
        <v>1</v>
      </c>
    </row>
    <row r="828" spans="1:2">
      <c r="A828" s="10" t="s">
        <v>2436</v>
      </c>
      <c r="B828">
        <v>1</v>
      </c>
    </row>
    <row r="829" spans="1:2">
      <c r="A829" s="10" t="s">
        <v>2436</v>
      </c>
      <c r="B829">
        <v>1</v>
      </c>
    </row>
    <row r="830" spans="1:2">
      <c r="A830" s="10" t="s">
        <v>2457</v>
      </c>
      <c r="B830">
        <v>2</v>
      </c>
    </row>
    <row r="831" spans="1:2">
      <c r="A831" s="10" t="s">
        <v>2460</v>
      </c>
      <c r="B831">
        <v>1</v>
      </c>
    </row>
    <row r="832" spans="1:2">
      <c r="A832" s="10" t="s">
        <v>2436</v>
      </c>
      <c r="B832">
        <v>1</v>
      </c>
    </row>
    <row r="833" spans="1:2">
      <c r="A833" s="10" t="s">
        <v>2450</v>
      </c>
      <c r="B833">
        <v>1</v>
      </c>
    </row>
    <row r="834" spans="1:2">
      <c r="A834" s="10" t="s">
        <v>2436</v>
      </c>
      <c r="B834">
        <v>1</v>
      </c>
    </row>
    <row r="835" spans="1:2">
      <c r="A835" s="10" t="s">
        <v>2507</v>
      </c>
      <c r="B835">
        <v>4</v>
      </c>
    </row>
    <row r="836" spans="1:2">
      <c r="A836" s="10" t="s">
        <v>2457</v>
      </c>
      <c r="B836">
        <v>2</v>
      </c>
    </row>
    <row r="837" spans="1:2">
      <c r="A837" s="10" t="s">
        <v>2460</v>
      </c>
      <c r="B837">
        <v>1</v>
      </c>
    </row>
    <row r="838" spans="1:2">
      <c r="A838" s="10" t="s">
        <v>2436</v>
      </c>
      <c r="B838">
        <v>1</v>
      </c>
    </row>
    <row r="839" spans="1:2">
      <c r="A839" s="10" t="s">
        <v>2436</v>
      </c>
      <c r="B839">
        <v>1</v>
      </c>
    </row>
    <row r="840" spans="1:2">
      <c r="A840" s="10" t="s">
        <v>2517</v>
      </c>
      <c r="B840">
        <v>1</v>
      </c>
    </row>
    <row r="841" spans="1:2">
      <c r="A841" s="10" t="s">
        <v>2517</v>
      </c>
      <c r="B841">
        <v>1</v>
      </c>
    </row>
    <row r="842" spans="1:2">
      <c r="A842" s="10" t="s">
        <v>2436</v>
      </c>
      <c r="B842">
        <v>1</v>
      </c>
    </row>
    <row r="843" spans="1:2">
      <c r="A843" s="10" t="s">
        <v>2436</v>
      </c>
      <c r="B843">
        <v>1</v>
      </c>
    </row>
    <row r="844" spans="1:2">
      <c r="A844" s="10" t="s">
        <v>2436</v>
      </c>
      <c r="B844">
        <v>1</v>
      </c>
    </row>
    <row r="845" spans="1:2">
      <c r="A845" s="10" t="s">
        <v>2436</v>
      </c>
      <c r="B845">
        <v>1</v>
      </c>
    </row>
    <row r="846" spans="1:2">
      <c r="A846" s="10" t="s">
        <v>2436</v>
      </c>
      <c r="B846">
        <v>1</v>
      </c>
    </row>
    <row r="847" spans="1:2">
      <c r="A847" s="10" t="s">
        <v>2457</v>
      </c>
      <c r="B847">
        <v>2</v>
      </c>
    </row>
    <row r="848" spans="1:2">
      <c r="A848" s="10" t="s">
        <v>2460</v>
      </c>
      <c r="B848">
        <v>1</v>
      </c>
    </row>
    <row r="849" spans="1:2">
      <c r="A849" s="10" t="s">
        <v>20</v>
      </c>
      <c r="B849">
        <v>1</v>
      </c>
    </row>
    <row r="850" spans="1:2">
      <c r="A850" s="10" t="s">
        <v>2454</v>
      </c>
      <c r="B850">
        <v>1</v>
      </c>
    </row>
    <row r="851" spans="1:2">
      <c r="A851" s="10" t="s">
        <v>2457</v>
      </c>
      <c r="B851">
        <v>2</v>
      </c>
    </row>
    <row r="852" spans="1:2">
      <c r="A852" s="10" t="s">
        <v>2460</v>
      </c>
      <c r="B852">
        <v>1</v>
      </c>
    </row>
    <row r="853" spans="1:2">
      <c r="A853" s="10" t="s">
        <v>2436</v>
      </c>
      <c r="B853">
        <v>1</v>
      </c>
    </row>
    <row r="854" spans="1:2">
      <c r="A854" s="10" t="s">
        <v>2436</v>
      </c>
      <c r="B854">
        <v>1</v>
      </c>
    </row>
    <row r="855" spans="1:2">
      <c r="A855" s="10" t="s">
        <v>2436</v>
      </c>
      <c r="B855">
        <v>1</v>
      </c>
    </row>
    <row r="856" spans="1:2">
      <c r="A856" s="10" t="s">
        <v>2436</v>
      </c>
      <c r="B856">
        <v>1</v>
      </c>
    </row>
    <row r="857" spans="1:2">
      <c r="A857" s="10" t="s">
        <v>2436</v>
      </c>
      <c r="B857">
        <v>1</v>
      </c>
    </row>
    <row r="858" spans="1:2">
      <c r="A858" s="10" t="s">
        <v>2440</v>
      </c>
      <c r="B858">
        <v>0.5</v>
      </c>
    </row>
    <row r="859" spans="1:2">
      <c r="A859" s="10" t="s">
        <v>2436</v>
      </c>
      <c r="B859">
        <v>1</v>
      </c>
    </row>
    <row r="860" spans="1:2">
      <c r="A860" s="10" t="s">
        <v>2436</v>
      </c>
      <c r="B860">
        <v>1</v>
      </c>
    </row>
    <row r="861" spans="1:2">
      <c r="A861" s="10" t="s">
        <v>2457</v>
      </c>
      <c r="B861">
        <v>2</v>
      </c>
    </row>
    <row r="862" spans="1:2">
      <c r="A862" s="10" t="s">
        <v>2460</v>
      </c>
      <c r="B862">
        <v>1</v>
      </c>
    </row>
    <row r="863" spans="1:2">
      <c r="A863" s="10" t="s">
        <v>2436</v>
      </c>
      <c r="B863">
        <v>1</v>
      </c>
    </row>
    <row r="864" spans="1:2">
      <c r="A864" s="10" t="s">
        <v>2436</v>
      </c>
      <c r="B864">
        <v>1</v>
      </c>
    </row>
    <row r="865" spans="1:2">
      <c r="A865" s="10" t="s">
        <v>2440</v>
      </c>
      <c r="B865">
        <v>0.5</v>
      </c>
    </row>
    <row r="866" spans="1:2">
      <c r="A866" s="10" t="s">
        <v>2436</v>
      </c>
      <c r="B866">
        <v>1</v>
      </c>
    </row>
    <row r="867" spans="1:2">
      <c r="A867" s="10" t="s">
        <v>2436</v>
      </c>
      <c r="B867">
        <v>1</v>
      </c>
    </row>
    <row r="868" spans="1:2">
      <c r="A868" s="10" t="s">
        <v>3166</v>
      </c>
      <c r="B868">
        <v>1</v>
      </c>
    </row>
    <row r="869" spans="1:2">
      <c r="A869" s="10" t="s">
        <v>2450</v>
      </c>
      <c r="B869">
        <v>1</v>
      </c>
    </row>
    <row r="870" spans="1:2">
      <c r="A870" s="10" t="s">
        <v>2436</v>
      </c>
      <c r="B870">
        <v>1</v>
      </c>
    </row>
    <row r="871" spans="1:2">
      <c r="A871" s="10" t="s">
        <v>2436</v>
      </c>
      <c r="B871">
        <v>1</v>
      </c>
    </row>
    <row r="872" spans="1:2">
      <c r="A872" s="10" t="s">
        <v>2436</v>
      </c>
      <c r="B872">
        <v>1</v>
      </c>
    </row>
    <row r="873" spans="1:2">
      <c r="A873" s="10" t="s">
        <v>2436</v>
      </c>
      <c r="B873">
        <v>1</v>
      </c>
    </row>
    <row r="874" spans="1:2">
      <c r="A874" s="10" t="s">
        <v>2457</v>
      </c>
      <c r="B874">
        <v>2</v>
      </c>
    </row>
    <row r="875" spans="1:2">
      <c r="A875" s="10" t="s">
        <v>2460</v>
      </c>
      <c r="B875">
        <v>1</v>
      </c>
    </row>
    <row r="876" spans="1:2">
      <c r="A876" s="10" t="s">
        <v>2436</v>
      </c>
      <c r="B876">
        <v>1</v>
      </c>
    </row>
    <row r="877" spans="1:2">
      <c r="A877" s="10" t="s">
        <v>2436</v>
      </c>
      <c r="B877">
        <v>1</v>
      </c>
    </row>
    <row r="878" spans="1:2">
      <c r="A878" s="10" t="s">
        <v>2450</v>
      </c>
      <c r="B878">
        <v>1</v>
      </c>
    </row>
    <row r="879" spans="1:2">
      <c r="A879" s="10" t="s">
        <v>2436</v>
      </c>
      <c r="B879">
        <v>1</v>
      </c>
    </row>
    <row r="880" spans="1:2">
      <c r="A880" s="10" t="s">
        <v>2450</v>
      </c>
      <c r="B880">
        <v>1</v>
      </c>
    </row>
    <row r="881" spans="1:2">
      <c r="A881" s="10" t="s">
        <v>2436</v>
      </c>
      <c r="B881">
        <v>1</v>
      </c>
    </row>
    <row r="882" spans="1:2">
      <c r="A882" s="10" t="s">
        <v>2436</v>
      </c>
      <c r="B882">
        <v>1</v>
      </c>
    </row>
    <row r="883" spans="1:2">
      <c r="A883" s="10" t="s">
        <v>2436</v>
      </c>
      <c r="B883">
        <v>1</v>
      </c>
    </row>
    <row r="884" spans="1:2">
      <c r="A884" s="10" t="s">
        <v>2436</v>
      </c>
      <c r="B884">
        <v>1</v>
      </c>
    </row>
    <row r="885" spans="1:2">
      <c r="A885" s="10" t="s">
        <v>2436</v>
      </c>
      <c r="B885">
        <v>1</v>
      </c>
    </row>
    <row r="886" spans="1:2">
      <c r="A886" s="10" t="s">
        <v>2436</v>
      </c>
      <c r="B886">
        <v>1</v>
      </c>
    </row>
    <row r="887" spans="1:2">
      <c r="A887" s="10" t="s">
        <v>2436</v>
      </c>
      <c r="B887">
        <v>1</v>
      </c>
    </row>
    <row r="888" spans="1:2">
      <c r="A888" s="10" t="s">
        <v>2436</v>
      </c>
      <c r="B888">
        <v>1</v>
      </c>
    </row>
    <row r="889" spans="1:2">
      <c r="A889" s="10" t="s">
        <v>2457</v>
      </c>
      <c r="B889">
        <v>2</v>
      </c>
    </row>
    <row r="890" spans="1:2">
      <c r="A890" s="10" t="s">
        <v>2460</v>
      </c>
      <c r="B890">
        <v>1</v>
      </c>
    </row>
    <row r="891" spans="1:2">
      <c r="A891" s="10" t="s">
        <v>2457</v>
      </c>
      <c r="B891">
        <v>2</v>
      </c>
    </row>
    <row r="892" spans="1:2">
      <c r="A892" s="10" t="s">
        <v>2460</v>
      </c>
      <c r="B892">
        <v>1</v>
      </c>
    </row>
    <row r="893" spans="1:2">
      <c r="A893" s="10" t="s">
        <v>2436</v>
      </c>
      <c r="B893">
        <v>1</v>
      </c>
    </row>
    <row r="894" spans="1:2">
      <c r="A894" s="10" t="s">
        <v>32</v>
      </c>
      <c r="B894">
        <v>1</v>
      </c>
    </row>
    <row r="895" spans="1:2">
      <c r="A895" s="10" t="s">
        <v>2436</v>
      </c>
      <c r="B895">
        <v>1</v>
      </c>
    </row>
    <row r="896" spans="1:2">
      <c r="A896" s="10" t="s">
        <v>2517</v>
      </c>
      <c r="B896">
        <v>1</v>
      </c>
    </row>
    <row r="897" spans="1:2">
      <c r="A897" s="10" t="s">
        <v>2653</v>
      </c>
      <c r="B897">
        <v>1</v>
      </c>
    </row>
    <row r="898" spans="1:2">
      <c r="A898" s="10" t="s">
        <v>4373</v>
      </c>
      <c r="B898">
        <v>1</v>
      </c>
    </row>
    <row r="899" spans="1:2">
      <c r="A899" s="10" t="s">
        <v>2653</v>
      </c>
      <c r="B899">
        <v>1</v>
      </c>
    </row>
    <row r="900" spans="1:2">
      <c r="A900" s="10" t="s">
        <v>2436</v>
      </c>
      <c r="B900">
        <v>1</v>
      </c>
    </row>
    <row r="901" spans="1:2">
      <c r="A901" s="10" t="s">
        <v>2588</v>
      </c>
      <c r="B901">
        <v>1</v>
      </c>
    </row>
    <row r="902" spans="1:2">
      <c r="A902" s="10" t="s">
        <v>2626</v>
      </c>
      <c r="B902">
        <v>1</v>
      </c>
    </row>
    <row r="903" spans="1:2">
      <c r="A903" s="10" t="s">
        <v>2626</v>
      </c>
      <c r="B903">
        <v>1</v>
      </c>
    </row>
    <row r="904" spans="1:2">
      <c r="A904" s="10" t="s">
        <v>2436</v>
      </c>
      <c r="B904">
        <v>1</v>
      </c>
    </row>
    <row r="905" spans="1:2">
      <c r="A905" s="10" t="s">
        <v>2440</v>
      </c>
      <c r="B905">
        <v>0.5</v>
      </c>
    </row>
    <row r="906" spans="1:2">
      <c r="A906" s="10" t="s">
        <v>2436</v>
      </c>
      <c r="B906">
        <v>1</v>
      </c>
    </row>
    <row r="907" spans="1:2">
      <c r="A907" s="10" t="s">
        <v>2436</v>
      </c>
      <c r="B907">
        <v>1</v>
      </c>
    </row>
    <row r="908" spans="1:2">
      <c r="A908" s="10" t="s">
        <v>2436</v>
      </c>
      <c r="B908">
        <v>1</v>
      </c>
    </row>
    <row r="909" spans="1:2">
      <c r="A909" s="10" t="s">
        <v>2436</v>
      </c>
      <c r="B909">
        <v>1</v>
      </c>
    </row>
    <row r="910" spans="1:2">
      <c r="A910" s="10" t="s">
        <v>2436</v>
      </c>
      <c r="B910">
        <v>1</v>
      </c>
    </row>
    <row r="911" spans="1:2">
      <c r="A911" s="10" t="s">
        <v>2436</v>
      </c>
      <c r="B911">
        <v>1</v>
      </c>
    </row>
    <row r="912" spans="1:2">
      <c r="A912" s="10" t="s">
        <v>2436</v>
      </c>
      <c r="B912">
        <v>1</v>
      </c>
    </row>
    <row r="913" spans="1:2">
      <c r="A913" s="10" t="s">
        <v>2436</v>
      </c>
      <c r="B913">
        <v>1</v>
      </c>
    </row>
    <row r="914" spans="1:2">
      <c r="A914" s="10" t="s">
        <v>2672</v>
      </c>
      <c r="B914">
        <v>1</v>
      </c>
    </row>
    <row r="915" spans="1:2">
      <c r="A915" s="10" t="s">
        <v>2450</v>
      </c>
      <c r="B915">
        <v>1</v>
      </c>
    </row>
    <row r="916" spans="1:2">
      <c r="A916" s="10" t="s">
        <v>2436</v>
      </c>
      <c r="B916">
        <v>1</v>
      </c>
    </row>
    <row r="917" spans="1:2">
      <c r="A917" s="10" t="s">
        <v>2436</v>
      </c>
      <c r="B917">
        <v>1</v>
      </c>
    </row>
    <row r="918" spans="1:2">
      <c r="A918" s="10" t="s">
        <v>2672</v>
      </c>
      <c r="B918">
        <v>1</v>
      </c>
    </row>
    <row r="919" spans="1:2">
      <c r="A919" s="10" t="s">
        <v>2450</v>
      </c>
      <c r="B919">
        <v>1</v>
      </c>
    </row>
    <row r="920" spans="1:2">
      <c r="A920" s="10" t="s">
        <v>2457</v>
      </c>
      <c r="B920">
        <v>2</v>
      </c>
    </row>
    <row r="921" spans="1:2">
      <c r="A921" s="10" t="s">
        <v>2460</v>
      </c>
      <c r="B921">
        <v>1</v>
      </c>
    </row>
    <row r="922" spans="1:2">
      <c r="A922" s="10" t="s">
        <v>2436</v>
      </c>
      <c r="B922">
        <v>1</v>
      </c>
    </row>
    <row r="923" spans="1:2">
      <c r="A923" s="10" t="s">
        <v>2436</v>
      </c>
      <c r="B923">
        <v>1</v>
      </c>
    </row>
    <row r="924" spans="1:2">
      <c r="A924" s="10" t="s">
        <v>2440</v>
      </c>
      <c r="B924">
        <v>0.5</v>
      </c>
    </row>
    <row r="925" spans="1:2">
      <c r="A925" s="10" t="s">
        <v>2436</v>
      </c>
      <c r="B925">
        <v>1</v>
      </c>
    </row>
    <row r="926" spans="1:2">
      <c r="A926" s="10" t="s">
        <v>2436</v>
      </c>
      <c r="B926">
        <v>1</v>
      </c>
    </row>
    <row r="927" spans="1:2">
      <c r="A927" s="10" t="s">
        <v>2440</v>
      </c>
      <c r="B927">
        <v>0.5</v>
      </c>
    </row>
    <row r="928" spans="1:2">
      <c r="A928" s="10" t="s">
        <v>2436</v>
      </c>
      <c r="B928">
        <v>1</v>
      </c>
    </row>
    <row r="929" spans="1:2">
      <c r="A929" s="10" t="s">
        <v>2436</v>
      </c>
      <c r="B929">
        <v>1</v>
      </c>
    </row>
    <row r="930" spans="1:2">
      <c r="A930" s="10" t="s">
        <v>2436</v>
      </c>
      <c r="B930">
        <v>1</v>
      </c>
    </row>
    <row r="931" spans="1:2">
      <c r="A931" s="10" t="s">
        <v>2436</v>
      </c>
      <c r="B931">
        <v>1</v>
      </c>
    </row>
    <row r="932" spans="1:2">
      <c r="A932" s="10" t="s">
        <v>2436</v>
      </c>
      <c r="B932">
        <v>1</v>
      </c>
    </row>
    <row r="933" spans="1:2">
      <c r="A933" s="10" t="s">
        <v>2436</v>
      </c>
      <c r="B933">
        <v>1</v>
      </c>
    </row>
    <row r="934" spans="1:2">
      <c r="A934" s="10" t="s">
        <v>2436</v>
      </c>
      <c r="B934">
        <v>1</v>
      </c>
    </row>
    <row r="935" spans="1:2">
      <c r="A935" s="10" t="s">
        <v>2436</v>
      </c>
      <c r="B935">
        <v>1</v>
      </c>
    </row>
    <row r="936" spans="1:2">
      <c r="A936" s="10" t="s">
        <v>40</v>
      </c>
      <c r="B936">
        <v>1</v>
      </c>
    </row>
    <row r="937" spans="1:2">
      <c r="A937" s="10" t="s">
        <v>2436</v>
      </c>
      <c r="B937">
        <v>1</v>
      </c>
    </row>
    <row r="938" spans="1:2">
      <c r="A938" s="10" t="s">
        <v>2436</v>
      </c>
      <c r="B938">
        <v>1</v>
      </c>
    </row>
    <row r="939" spans="1:2">
      <c r="A939" s="10" t="s">
        <v>2436</v>
      </c>
      <c r="B939">
        <v>1</v>
      </c>
    </row>
    <row r="940" spans="1:2">
      <c r="A940" s="10" t="s">
        <v>2436</v>
      </c>
      <c r="B940">
        <v>1</v>
      </c>
    </row>
    <row r="941" spans="1:2">
      <c r="A941" s="10" t="s">
        <v>2436</v>
      </c>
      <c r="B941">
        <v>1</v>
      </c>
    </row>
    <row r="942" spans="1:2">
      <c r="A942" s="10" t="s">
        <v>2436</v>
      </c>
      <c r="B942">
        <v>1</v>
      </c>
    </row>
    <row r="943" spans="1:2">
      <c r="A943" s="10" t="s">
        <v>2436</v>
      </c>
      <c r="B943">
        <v>1</v>
      </c>
    </row>
    <row r="944" spans="1:2">
      <c r="A944" s="10" t="s">
        <v>2436</v>
      </c>
      <c r="B944">
        <v>1</v>
      </c>
    </row>
    <row r="945" spans="1:2">
      <c r="A945" s="10" t="s">
        <v>2436</v>
      </c>
      <c r="B945">
        <v>1</v>
      </c>
    </row>
    <row r="946" spans="1:2">
      <c r="A946" s="10" t="s">
        <v>2436</v>
      </c>
      <c r="B946">
        <v>1</v>
      </c>
    </row>
    <row r="947" spans="1:2">
      <c r="A947" s="10" t="s">
        <v>2436</v>
      </c>
      <c r="B947">
        <v>1</v>
      </c>
    </row>
    <row r="948" spans="1:2">
      <c r="A948" s="10" t="s">
        <v>2436</v>
      </c>
      <c r="B948">
        <v>1</v>
      </c>
    </row>
    <row r="949" spans="1:2">
      <c r="A949" s="10" t="s">
        <v>2436</v>
      </c>
      <c r="B949">
        <v>1</v>
      </c>
    </row>
    <row r="950" spans="1:2">
      <c r="A950" s="10" t="s">
        <v>2436</v>
      </c>
      <c r="B950">
        <v>1</v>
      </c>
    </row>
    <row r="951" spans="1:2">
      <c r="A951" s="10" t="s">
        <v>2436</v>
      </c>
      <c r="B951">
        <v>1</v>
      </c>
    </row>
    <row r="952" spans="1:2">
      <c r="A952" s="10" t="s">
        <v>2436</v>
      </c>
      <c r="B952">
        <v>1</v>
      </c>
    </row>
    <row r="953" spans="1:2">
      <c r="A953" s="10" t="s">
        <v>2436</v>
      </c>
      <c r="B953">
        <v>1</v>
      </c>
    </row>
    <row r="954" spans="1:2">
      <c r="A954" s="10" t="s">
        <v>2436</v>
      </c>
      <c r="B954">
        <v>1</v>
      </c>
    </row>
    <row r="955" spans="1:2">
      <c r="A955" s="10" t="s">
        <v>2436</v>
      </c>
      <c r="B955">
        <v>1</v>
      </c>
    </row>
    <row r="956" spans="1:2">
      <c r="A956" s="10" t="s">
        <v>2436</v>
      </c>
      <c r="B956">
        <v>1</v>
      </c>
    </row>
    <row r="957" spans="1:2">
      <c r="A957" s="10" t="s">
        <v>2436</v>
      </c>
      <c r="B957">
        <v>1</v>
      </c>
    </row>
    <row r="958" spans="1:2">
      <c r="A958" s="10" t="s">
        <v>2436</v>
      </c>
      <c r="B958">
        <v>1</v>
      </c>
    </row>
    <row r="959" spans="1:2">
      <c r="A959" s="10" t="s">
        <v>2436</v>
      </c>
      <c r="B959">
        <v>1</v>
      </c>
    </row>
    <row r="960" spans="1:2">
      <c r="A960" s="10" t="s">
        <v>2436</v>
      </c>
      <c r="B960">
        <v>1</v>
      </c>
    </row>
    <row r="961" spans="1:2">
      <c r="A961" s="10" t="s">
        <v>2436</v>
      </c>
      <c r="B961">
        <v>1</v>
      </c>
    </row>
    <row r="962" spans="1:2">
      <c r="A962" s="10" t="s">
        <v>2436</v>
      </c>
      <c r="B962">
        <v>1</v>
      </c>
    </row>
    <row r="963" spans="1:2">
      <c r="A963" s="10" t="s">
        <v>2436</v>
      </c>
      <c r="B963">
        <v>1</v>
      </c>
    </row>
    <row r="964" spans="1:2">
      <c r="A964" s="10" t="s">
        <v>2436</v>
      </c>
      <c r="B964">
        <v>1</v>
      </c>
    </row>
    <row r="965" spans="1:2">
      <c r="A965" s="10" t="s">
        <v>2436</v>
      </c>
      <c r="B965">
        <v>1</v>
      </c>
    </row>
    <row r="966" spans="1:2">
      <c r="A966" s="10" t="s">
        <v>2436</v>
      </c>
      <c r="B966">
        <v>1</v>
      </c>
    </row>
    <row r="967" spans="1:2">
      <c r="A967" s="10" t="s">
        <v>2436</v>
      </c>
      <c r="B967">
        <v>1</v>
      </c>
    </row>
    <row r="968" spans="1:2">
      <c r="A968" s="10" t="s">
        <v>2436</v>
      </c>
      <c r="B968">
        <v>1</v>
      </c>
    </row>
    <row r="969" spans="1:2">
      <c r="A969" s="10" t="s">
        <v>2450</v>
      </c>
      <c r="B969">
        <v>1</v>
      </c>
    </row>
    <row r="970" spans="1:2">
      <c r="A970" s="10" t="s">
        <v>2450</v>
      </c>
      <c r="B970">
        <v>1</v>
      </c>
    </row>
    <row r="971" spans="1:2">
      <c r="A971" s="10" t="s">
        <v>2436</v>
      </c>
      <c r="B971">
        <v>1</v>
      </c>
    </row>
    <row r="972" spans="1:2">
      <c r="A972" s="10" t="s">
        <v>2436</v>
      </c>
      <c r="B972">
        <v>1</v>
      </c>
    </row>
    <row r="973" spans="1:2">
      <c r="A973" s="10" t="s">
        <v>2454</v>
      </c>
      <c r="B973">
        <v>1</v>
      </c>
    </row>
    <row r="974" spans="1:2">
      <c r="A974" s="10" t="s">
        <v>2436</v>
      </c>
      <c r="B974">
        <v>1</v>
      </c>
    </row>
    <row r="975" spans="1:2">
      <c r="A975" s="10" t="s">
        <v>2436</v>
      </c>
      <c r="B975">
        <v>1</v>
      </c>
    </row>
    <row r="976" spans="1:2">
      <c r="A976" s="10" t="s">
        <v>2457</v>
      </c>
      <c r="B976">
        <v>2</v>
      </c>
    </row>
    <row r="977" spans="1:2">
      <c r="A977" s="10" t="s">
        <v>2460</v>
      </c>
      <c r="B977">
        <v>1</v>
      </c>
    </row>
    <row r="978" spans="1:2">
      <c r="A978" s="10" t="s">
        <v>20</v>
      </c>
      <c r="B978">
        <v>1</v>
      </c>
    </row>
    <row r="979" spans="1:2">
      <c r="A979" s="10" t="s">
        <v>2436</v>
      </c>
      <c r="B979">
        <v>1</v>
      </c>
    </row>
    <row r="980" spans="1:2">
      <c r="A980" s="10" t="s">
        <v>2436</v>
      </c>
      <c r="B980">
        <v>1</v>
      </c>
    </row>
    <row r="981" spans="1:2">
      <c r="A981" s="10" t="s">
        <v>2436</v>
      </c>
      <c r="B981">
        <v>1</v>
      </c>
    </row>
    <row r="982" spans="1:2">
      <c r="A982" s="10" t="s">
        <v>2436</v>
      </c>
      <c r="B982">
        <v>1</v>
      </c>
    </row>
    <row r="983" spans="1:2">
      <c r="A983" s="10" t="s">
        <v>2507</v>
      </c>
      <c r="B983">
        <v>4</v>
      </c>
    </row>
    <row r="984" spans="1:2">
      <c r="A984" s="10" t="s">
        <v>2457</v>
      </c>
      <c r="B984">
        <v>2</v>
      </c>
    </row>
    <row r="985" spans="1:2">
      <c r="A985" s="10" t="s">
        <v>2460</v>
      </c>
      <c r="B985">
        <v>1</v>
      </c>
    </row>
    <row r="986" spans="1:2">
      <c r="A986" s="10" t="s">
        <v>2436</v>
      </c>
      <c r="B986">
        <v>1</v>
      </c>
    </row>
    <row r="987" spans="1:2">
      <c r="A987" s="10" t="s">
        <v>2436</v>
      </c>
      <c r="B987">
        <v>1</v>
      </c>
    </row>
    <row r="988" spans="1:2">
      <c r="A988" s="10" t="s">
        <v>20</v>
      </c>
      <c r="B988">
        <v>1</v>
      </c>
    </row>
    <row r="989" spans="1:2">
      <c r="A989" s="10" t="s">
        <v>2457</v>
      </c>
      <c r="B989">
        <v>2</v>
      </c>
    </row>
    <row r="990" spans="1:2">
      <c r="A990" s="10" t="s">
        <v>2460</v>
      </c>
      <c r="B990">
        <v>1</v>
      </c>
    </row>
    <row r="991" spans="1:2">
      <c r="A991" s="10" t="s">
        <v>2436</v>
      </c>
      <c r="B991">
        <v>1</v>
      </c>
    </row>
    <row r="992" spans="1:2">
      <c r="A992" s="10" t="s">
        <v>2436</v>
      </c>
      <c r="B992">
        <v>1</v>
      </c>
    </row>
    <row r="993" spans="1:2">
      <c r="A993" s="10" t="s">
        <v>32</v>
      </c>
      <c r="B993">
        <v>1</v>
      </c>
    </row>
    <row r="994" spans="1:2">
      <c r="A994" s="10" t="s">
        <v>2517</v>
      </c>
      <c r="B994">
        <v>1</v>
      </c>
    </row>
    <row r="995" spans="1:2">
      <c r="A995" s="10" t="s">
        <v>2517</v>
      </c>
      <c r="B995">
        <v>1</v>
      </c>
    </row>
    <row r="996" spans="1:2">
      <c r="A996" s="10" t="s">
        <v>2436</v>
      </c>
      <c r="B996">
        <v>1</v>
      </c>
    </row>
    <row r="997" spans="1:2">
      <c r="A997" s="10" t="s">
        <v>2436</v>
      </c>
      <c r="B997">
        <v>1</v>
      </c>
    </row>
    <row r="998" spans="1:2">
      <c r="A998" s="10" t="s">
        <v>2436</v>
      </c>
      <c r="B998">
        <v>1</v>
      </c>
    </row>
    <row r="999" spans="1:2">
      <c r="A999" s="10" t="s">
        <v>2436</v>
      </c>
      <c r="B999">
        <v>1</v>
      </c>
    </row>
    <row r="1000" spans="1:2">
      <c r="A1000" s="10" t="s">
        <v>2436</v>
      </c>
      <c r="B1000">
        <v>1</v>
      </c>
    </row>
    <row r="1001" spans="1:2">
      <c r="A1001" s="10" t="s">
        <v>2457</v>
      </c>
      <c r="B1001">
        <v>2</v>
      </c>
    </row>
    <row r="1002" spans="1:2">
      <c r="A1002" s="10" t="s">
        <v>2460</v>
      </c>
      <c r="B1002">
        <v>1</v>
      </c>
    </row>
    <row r="1003" spans="1:2">
      <c r="A1003" s="10" t="s">
        <v>20</v>
      </c>
      <c r="B1003">
        <v>1</v>
      </c>
    </row>
    <row r="1004" spans="1:2">
      <c r="A1004" s="10" t="s">
        <v>2454</v>
      </c>
      <c r="B1004">
        <v>1</v>
      </c>
    </row>
    <row r="1005" spans="1:2">
      <c r="A1005" s="10" t="s">
        <v>2457</v>
      </c>
      <c r="B1005">
        <v>2</v>
      </c>
    </row>
    <row r="1006" spans="1:2">
      <c r="A1006" s="10" t="s">
        <v>2460</v>
      </c>
      <c r="B1006">
        <v>1</v>
      </c>
    </row>
    <row r="1007" spans="1:2">
      <c r="A1007" s="10" t="s">
        <v>2436</v>
      </c>
      <c r="B1007">
        <v>1</v>
      </c>
    </row>
    <row r="1008" spans="1:2">
      <c r="A1008" s="10" t="s">
        <v>2436</v>
      </c>
      <c r="B1008">
        <v>1</v>
      </c>
    </row>
    <row r="1009" spans="1:2">
      <c r="A1009" s="10" t="s">
        <v>2436</v>
      </c>
      <c r="B1009">
        <v>1</v>
      </c>
    </row>
    <row r="1010" spans="1:2">
      <c r="A1010" s="10" t="s">
        <v>2436</v>
      </c>
      <c r="B1010">
        <v>1</v>
      </c>
    </row>
    <row r="1011" spans="1:2">
      <c r="A1011" s="10" t="s">
        <v>2436</v>
      </c>
      <c r="B1011">
        <v>1</v>
      </c>
    </row>
    <row r="1012" spans="1:2">
      <c r="A1012" s="10" t="s">
        <v>2440</v>
      </c>
      <c r="B1012">
        <v>0.5</v>
      </c>
    </row>
    <row r="1013" spans="1:2">
      <c r="A1013" s="10" t="s">
        <v>2436</v>
      </c>
      <c r="B1013">
        <v>1</v>
      </c>
    </row>
    <row r="1014" spans="1:2">
      <c r="A1014" s="10" t="s">
        <v>2436</v>
      </c>
      <c r="B1014">
        <v>1</v>
      </c>
    </row>
    <row r="1015" spans="1:2">
      <c r="A1015" s="10" t="s">
        <v>2457</v>
      </c>
      <c r="B1015">
        <v>2</v>
      </c>
    </row>
    <row r="1016" spans="1:2">
      <c r="A1016" s="10" t="s">
        <v>2460</v>
      </c>
      <c r="B1016">
        <v>1</v>
      </c>
    </row>
    <row r="1017" spans="1:2">
      <c r="A1017" s="10" t="s">
        <v>2436</v>
      </c>
      <c r="B1017">
        <v>1</v>
      </c>
    </row>
    <row r="1018" spans="1:2">
      <c r="A1018" s="10" t="s">
        <v>2436</v>
      </c>
      <c r="B1018">
        <v>1</v>
      </c>
    </row>
    <row r="1019" spans="1:2">
      <c r="A1019" s="10" t="s">
        <v>2440</v>
      </c>
      <c r="B1019">
        <v>0.5</v>
      </c>
    </row>
    <row r="1020" spans="1:2">
      <c r="A1020" s="10" t="s">
        <v>2436</v>
      </c>
      <c r="B1020">
        <v>1</v>
      </c>
    </row>
    <row r="1021" spans="1:2">
      <c r="A1021" s="10" t="s">
        <v>2436</v>
      </c>
      <c r="B1021">
        <v>1</v>
      </c>
    </row>
    <row r="1022" spans="1:2">
      <c r="A1022" s="10" t="s">
        <v>3166</v>
      </c>
      <c r="B1022">
        <v>1</v>
      </c>
    </row>
    <row r="1023" spans="1:2">
      <c r="A1023" s="10" t="s">
        <v>2672</v>
      </c>
      <c r="B1023">
        <v>1</v>
      </c>
    </row>
    <row r="1024" spans="1:2">
      <c r="A1024" s="10" t="s">
        <v>2436</v>
      </c>
      <c r="B1024">
        <v>1</v>
      </c>
    </row>
    <row r="1025" spans="1:2">
      <c r="A1025" s="10" t="s">
        <v>2436</v>
      </c>
      <c r="B1025">
        <v>1</v>
      </c>
    </row>
    <row r="1026" spans="1:2">
      <c r="A1026" s="10" t="s">
        <v>2436</v>
      </c>
      <c r="B1026">
        <v>1</v>
      </c>
    </row>
    <row r="1027" spans="1:2">
      <c r="A1027" s="10" t="s">
        <v>2436</v>
      </c>
      <c r="B1027">
        <v>1</v>
      </c>
    </row>
    <row r="1028" spans="1:2">
      <c r="A1028" s="10" t="s">
        <v>2457</v>
      </c>
      <c r="B1028">
        <v>2</v>
      </c>
    </row>
    <row r="1029" spans="1:2">
      <c r="A1029" s="10" t="s">
        <v>2460</v>
      </c>
      <c r="B1029">
        <v>1</v>
      </c>
    </row>
    <row r="1030" spans="1:2">
      <c r="A1030" s="10" t="s">
        <v>2436</v>
      </c>
      <c r="B1030">
        <v>1</v>
      </c>
    </row>
    <row r="1031" spans="1:2">
      <c r="A1031" s="10" t="s">
        <v>2436</v>
      </c>
      <c r="B1031">
        <v>1</v>
      </c>
    </row>
    <row r="1032" spans="1:2">
      <c r="A1032" s="10" t="s">
        <v>2436</v>
      </c>
      <c r="B1032">
        <v>1</v>
      </c>
    </row>
    <row r="1033" spans="1:2">
      <c r="A1033" s="10" t="s">
        <v>2450</v>
      </c>
      <c r="B1033">
        <v>1</v>
      </c>
    </row>
    <row r="1034" spans="1:2">
      <c r="A1034" s="10" t="s">
        <v>2436</v>
      </c>
      <c r="B1034">
        <v>1</v>
      </c>
    </row>
    <row r="1035" spans="1:2">
      <c r="A1035" s="10" t="s">
        <v>2450</v>
      </c>
      <c r="B1035">
        <v>1</v>
      </c>
    </row>
    <row r="1036" spans="1:2">
      <c r="A1036" s="10" t="s">
        <v>2436</v>
      </c>
      <c r="B1036">
        <v>1</v>
      </c>
    </row>
    <row r="1037" spans="1:2">
      <c r="A1037" s="10" t="s">
        <v>2436</v>
      </c>
      <c r="B1037">
        <v>1</v>
      </c>
    </row>
    <row r="1038" spans="1:2">
      <c r="A1038" s="10" t="s">
        <v>2436</v>
      </c>
      <c r="B1038">
        <v>1</v>
      </c>
    </row>
    <row r="1039" spans="1:2">
      <c r="A1039" s="10" t="s">
        <v>2436</v>
      </c>
      <c r="B1039">
        <v>1</v>
      </c>
    </row>
    <row r="1040" spans="1:2">
      <c r="A1040" s="10" t="s">
        <v>2436</v>
      </c>
      <c r="B1040">
        <v>1</v>
      </c>
    </row>
    <row r="1041" spans="1:2">
      <c r="A1041" s="10" t="s">
        <v>2436</v>
      </c>
      <c r="B1041">
        <v>1</v>
      </c>
    </row>
    <row r="1042" spans="1:2">
      <c r="A1042" s="10" t="s">
        <v>2436</v>
      </c>
      <c r="B1042">
        <v>1</v>
      </c>
    </row>
    <row r="1043" spans="1:2">
      <c r="A1043" s="10" t="s">
        <v>2436</v>
      </c>
      <c r="B1043">
        <v>1</v>
      </c>
    </row>
    <row r="1044" spans="1:2">
      <c r="A1044" s="10" t="s">
        <v>2457</v>
      </c>
      <c r="B1044">
        <v>2</v>
      </c>
    </row>
    <row r="1045" spans="1:2">
      <c r="A1045" s="10" t="s">
        <v>2460</v>
      </c>
      <c r="B1045">
        <v>1</v>
      </c>
    </row>
    <row r="1046" spans="1:2">
      <c r="A1046" s="10" t="s">
        <v>2457</v>
      </c>
      <c r="B1046">
        <v>2</v>
      </c>
    </row>
    <row r="1047" spans="1:2">
      <c r="A1047" s="10" t="s">
        <v>2460</v>
      </c>
      <c r="B1047">
        <v>1</v>
      </c>
    </row>
    <row r="1048" spans="1:2">
      <c r="A1048" s="10" t="s">
        <v>2436</v>
      </c>
      <c r="B1048">
        <v>1</v>
      </c>
    </row>
    <row r="1049" spans="1:2">
      <c r="A1049" s="10" t="s">
        <v>2436</v>
      </c>
      <c r="B1049">
        <v>1</v>
      </c>
    </row>
    <row r="1050" spans="1:2">
      <c r="A1050" s="10" t="s">
        <v>2517</v>
      </c>
      <c r="B1050">
        <v>1</v>
      </c>
    </row>
    <row r="1051" spans="1:2">
      <c r="A1051" s="10" t="s">
        <v>2653</v>
      </c>
      <c r="B1051">
        <v>1</v>
      </c>
    </row>
    <row r="1052" spans="1:2">
      <c r="A1052" s="10" t="s">
        <v>4373</v>
      </c>
      <c r="B1052">
        <v>1</v>
      </c>
    </row>
    <row r="1053" spans="1:2">
      <c r="A1053" s="10" t="s">
        <v>2653</v>
      </c>
      <c r="B1053">
        <v>1</v>
      </c>
    </row>
    <row r="1054" spans="1:2">
      <c r="A1054" s="10" t="s">
        <v>2436</v>
      </c>
      <c r="B1054">
        <v>1</v>
      </c>
    </row>
    <row r="1055" spans="1:2">
      <c r="A1055" s="10" t="s">
        <v>2588</v>
      </c>
      <c r="B1055">
        <v>1</v>
      </c>
    </row>
    <row r="1056" spans="1:2">
      <c r="A1056" s="10" t="s">
        <v>2626</v>
      </c>
      <c r="B1056">
        <v>1</v>
      </c>
    </row>
    <row r="1057" spans="1:2">
      <c r="A1057" s="10" t="s">
        <v>2436</v>
      </c>
      <c r="B1057">
        <v>1</v>
      </c>
    </row>
    <row r="1058" spans="1:2">
      <c r="A1058" s="10" t="s">
        <v>2672</v>
      </c>
      <c r="B1058">
        <v>1</v>
      </c>
    </row>
    <row r="1059" spans="1:2">
      <c r="A1059" s="10" t="s">
        <v>2440</v>
      </c>
      <c r="B1059">
        <v>0.5</v>
      </c>
    </row>
    <row r="1060" spans="1:2">
      <c r="A1060" s="10" t="s">
        <v>2436</v>
      </c>
      <c r="B1060">
        <v>1</v>
      </c>
    </row>
    <row r="1061" spans="1:2">
      <c r="A1061" s="10" t="s">
        <v>2436</v>
      </c>
      <c r="B1061">
        <v>1</v>
      </c>
    </row>
    <row r="1062" spans="1:2">
      <c r="A1062" s="10" t="s">
        <v>2436</v>
      </c>
      <c r="B1062">
        <v>1</v>
      </c>
    </row>
    <row r="1063" spans="1:2">
      <c r="A1063" s="10" t="s">
        <v>2436</v>
      </c>
      <c r="B1063">
        <v>1</v>
      </c>
    </row>
    <row r="1064" spans="1:2">
      <c r="A1064" s="10" t="s">
        <v>2436</v>
      </c>
      <c r="B1064">
        <v>1</v>
      </c>
    </row>
    <row r="1065" spans="1:2">
      <c r="A1065" s="10" t="s">
        <v>2436</v>
      </c>
      <c r="B1065">
        <v>1</v>
      </c>
    </row>
    <row r="1066" spans="1:2">
      <c r="A1066" s="10" t="s">
        <v>2436</v>
      </c>
      <c r="B1066">
        <v>1</v>
      </c>
    </row>
    <row r="1067" spans="1:2">
      <c r="A1067" s="10" t="s">
        <v>2436</v>
      </c>
      <c r="B1067">
        <v>1</v>
      </c>
    </row>
    <row r="1068" spans="1:2">
      <c r="A1068" s="10" t="s">
        <v>2450</v>
      </c>
      <c r="B1068">
        <v>1</v>
      </c>
    </row>
    <row r="1069" spans="1:2">
      <c r="A1069" s="10" t="s">
        <v>2436</v>
      </c>
      <c r="B1069">
        <v>1</v>
      </c>
    </row>
    <row r="1070" spans="1:2">
      <c r="A1070" s="10" t="s">
        <v>2436</v>
      </c>
      <c r="B1070">
        <v>1</v>
      </c>
    </row>
    <row r="1071" spans="1:2">
      <c r="A1071" s="10" t="s">
        <v>2460</v>
      </c>
      <c r="B1071">
        <v>1</v>
      </c>
    </row>
    <row r="1072" spans="1:2">
      <c r="A1072" s="10" t="s">
        <v>2436</v>
      </c>
      <c r="B1072">
        <v>1</v>
      </c>
    </row>
    <row r="1073" spans="1:2">
      <c r="A1073" s="10" t="s">
        <v>2436</v>
      </c>
      <c r="B1073">
        <v>1</v>
      </c>
    </row>
    <row r="1074" spans="1:2">
      <c r="A1074" s="10" t="s">
        <v>2440</v>
      </c>
      <c r="B1074">
        <v>0.5</v>
      </c>
    </row>
    <row r="1075" spans="1:2">
      <c r="A1075" s="10" t="s">
        <v>2436</v>
      </c>
      <c r="B1075">
        <v>1</v>
      </c>
    </row>
    <row r="1076" spans="1:2">
      <c r="A1076" s="10" t="s">
        <v>2436</v>
      </c>
      <c r="B1076">
        <v>1</v>
      </c>
    </row>
    <row r="1077" spans="1:2">
      <c r="A1077" s="10" t="s">
        <v>2440</v>
      </c>
      <c r="B1077">
        <v>0.5</v>
      </c>
    </row>
    <row r="1078" spans="1:2">
      <c r="A1078" s="10" t="s">
        <v>2450</v>
      </c>
      <c r="B1078">
        <v>1</v>
      </c>
    </row>
    <row r="1079" spans="1:2">
      <c r="A1079" s="10" t="s">
        <v>2436</v>
      </c>
      <c r="B1079">
        <v>1</v>
      </c>
    </row>
    <row r="1080" spans="1:2">
      <c r="A1080" s="10" t="s">
        <v>2436</v>
      </c>
      <c r="B1080">
        <v>1</v>
      </c>
    </row>
    <row r="1081" spans="1:2">
      <c r="A1081" s="10" t="s">
        <v>2450</v>
      </c>
      <c r="B1081">
        <v>1</v>
      </c>
    </row>
    <row r="1082" spans="1:2">
      <c r="A1082" s="10" t="s">
        <v>2436</v>
      </c>
      <c r="B1082">
        <v>1</v>
      </c>
    </row>
    <row r="1083" spans="1:2">
      <c r="A1083" s="10" t="s">
        <v>2436</v>
      </c>
      <c r="B1083">
        <v>1</v>
      </c>
    </row>
    <row r="1084" spans="1:2">
      <c r="A1084" s="10" t="s">
        <v>2436</v>
      </c>
      <c r="B1084">
        <v>1</v>
      </c>
    </row>
    <row r="1085" spans="1:2">
      <c r="A1085" s="10" t="s">
        <v>2436</v>
      </c>
      <c r="B1085">
        <v>1</v>
      </c>
    </row>
    <row r="1086" spans="1:2">
      <c r="A1086" s="10" t="s">
        <v>2436</v>
      </c>
      <c r="B1086">
        <v>1</v>
      </c>
    </row>
    <row r="1087" spans="1:2">
      <c r="A1087" s="10" t="s">
        <v>40</v>
      </c>
      <c r="B1087">
        <v>1</v>
      </c>
    </row>
    <row r="1088" spans="1:2">
      <c r="A1088" s="10" t="s">
        <v>2436</v>
      </c>
      <c r="B1088">
        <v>1</v>
      </c>
    </row>
    <row r="1089" spans="1:2">
      <c r="A1089" s="10" t="s">
        <v>2436</v>
      </c>
      <c r="B1089">
        <v>1</v>
      </c>
    </row>
    <row r="1090" spans="1:2">
      <c r="A1090" s="10" t="s">
        <v>2436</v>
      </c>
      <c r="B1090">
        <v>1</v>
      </c>
    </row>
    <row r="1091" spans="1:2">
      <c r="A1091" s="10" t="s">
        <v>2436</v>
      </c>
      <c r="B1091">
        <v>1</v>
      </c>
    </row>
    <row r="1092" spans="1:2">
      <c r="A1092" s="10" t="s">
        <v>2436</v>
      </c>
      <c r="B1092">
        <v>1</v>
      </c>
    </row>
    <row r="1093" spans="1:2">
      <c r="A1093" s="10" t="s">
        <v>2436</v>
      </c>
      <c r="B1093">
        <v>1</v>
      </c>
    </row>
    <row r="1094" spans="1:2">
      <c r="A1094" s="10" t="s">
        <v>2436</v>
      </c>
      <c r="B1094">
        <v>1</v>
      </c>
    </row>
    <row r="1095" spans="1:2">
      <c r="A1095" s="10" t="s">
        <v>2450</v>
      </c>
      <c r="B1095">
        <v>1</v>
      </c>
    </row>
    <row r="1096" spans="1:2">
      <c r="A1096" s="10" t="s">
        <v>2436</v>
      </c>
      <c r="B1096">
        <v>1</v>
      </c>
    </row>
    <row r="1097" spans="1:2">
      <c r="A1097" s="10" t="s">
        <v>2436</v>
      </c>
      <c r="B1097">
        <v>1</v>
      </c>
    </row>
    <row r="1098" spans="1:2">
      <c r="A1098" s="10" t="s">
        <v>2436</v>
      </c>
      <c r="B1098">
        <v>1</v>
      </c>
    </row>
    <row r="1099" spans="1:2">
      <c r="A1099" s="10" t="s">
        <v>2436</v>
      </c>
      <c r="B1099">
        <v>1</v>
      </c>
    </row>
    <row r="1100" spans="1:2">
      <c r="A1100" s="10" t="s">
        <v>2436</v>
      </c>
      <c r="B1100">
        <v>1</v>
      </c>
    </row>
    <row r="1101" spans="1:2">
      <c r="A1101" s="10" t="s">
        <v>2436</v>
      </c>
      <c r="B1101">
        <v>1</v>
      </c>
    </row>
    <row r="1102" spans="1:2">
      <c r="A1102" s="10" t="s">
        <v>2436</v>
      </c>
      <c r="B1102">
        <v>1</v>
      </c>
    </row>
    <row r="1103" spans="1:2">
      <c r="A1103" s="10" t="s">
        <v>2436</v>
      </c>
      <c r="B1103">
        <v>1</v>
      </c>
    </row>
    <row r="1104" spans="1:2">
      <c r="A1104" s="10" t="s">
        <v>2436</v>
      </c>
      <c r="B1104">
        <v>1</v>
      </c>
    </row>
    <row r="1105" spans="1:2">
      <c r="A1105" s="10" t="s">
        <v>2436</v>
      </c>
      <c r="B1105">
        <v>1</v>
      </c>
    </row>
    <row r="1106" spans="1:2">
      <c r="A1106" s="10" t="s">
        <v>2436</v>
      </c>
      <c r="B1106">
        <v>1</v>
      </c>
    </row>
    <row r="1107" spans="1:2">
      <c r="A1107" s="10" t="s">
        <v>2436</v>
      </c>
      <c r="B1107">
        <v>1</v>
      </c>
    </row>
    <row r="1108" spans="1:2">
      <c r="A1108" s="10" t="s">
        <v>2436</v>
      </c>
      <c r="B1108">
        <v>1</v>
      </c>
    </row>
    <row r="1109" spans="1:2">
      <c r="A1109" s="10" t="s">
        <v>2436</v>
      </c>
      <c r="B1109">
        <v>1</v>
      </c>
    </row>
    <row r="1110" spans="1:2">
      <c r="A1110" s="10" t="s">
        <v>2436</v>
      </c>
      <c r="B1110">
        <v>1</v>
      </c>
    </row>
    <row r="1111" spans="1:2">
      <c r="A1111" s="10" t="s">
        <v>2450</v>
      </c>
      <c r="B1111">
        <v>1</v>
      </c>
    </row>
    <row r="1112" spans="1:2">
      <c r="A1112" s="10" t="s">
        <v>2450</v>
      </c>
      <c r="B1112">
        <v>1</v>
      </c>
    </row>
    <row r="1113" spans="1:2">
      <c r="A1113" s="10" t="s">
        <v>2436</v>
      </c>
      <c r="B1113">
        <v>1</v>
      </c>
    </row>
    <row r="1114" spans="1:2">
      <c r="A1114" s="10" t="s">
        <v>2436</v>
      </c>
      <c r="B1114">
        <v>1</v>
      </c>
    </row>
    <row r="1115" spans="1:2">
      <c r="A1115" s="10" t="s">
        <v>2454</v>
      </c>
      <c r="B1115">
        <v>1</v>
      </c>
    </row>
    <row r="1116" spans="1:2">
      <c r="A1116" s="10" t="s">
        <v>2436</v>
      </c>
      <c r="B1116">
        <v>1</v>
      </c>
    </row>
    <row r="1117" spans="1:2">
      <c r="A1117" s="10" t="s">
        <v>2436</v>
      </c>
      <c r="B1117">
        <v>1</v>
      </c>
    </row>
    <row r="1118" spans="1:2">
      <c r="A1118" s="10" t="s">
        <v>2436</v>
      </c>
      <c r="B1118">
        <v>1</v>
      </c>
    </row>
    <row r="1119" spans="1:2">
      <c r="A1119" s="10" t="s">
        <v>2457</v>
      </c>
      <c r="B1119">
        <v>2</v>
      </c>
    </row>
    <row r="1120" spans="1:2">
      <c r="A1120" s="10" t="s">
        <v>2460</v>
      </c>
      <c r="B1120">
        <v>1</v>
      </c>
    </row>
    <row r="1121" spans="1:2">
      <c r="A1121" s="10" t="s">
        <v>20</v>
      </c>
      <c r="B1121">
        <v>1</v>
      </c>
    </row>
    <row r="1122" spans="1:2">
      <c r="A1122" s="10" t="s">
        <v>2436</v>
      </c>
      <c r="B1122">
        <v>1</v>
      </c>
    </row>
    <row r="1123" spans="1:2">
      <c r="A1123" s="10" t="s">
        <v>2436</v>
      </c>
      <c r="B1123">
        <v>1</v>
      </c>
    </row>
    <row r="1124" spans="1:2">
      <c r="A1124" s="10" t="s">
        <v>2436</v>
      </c>
      <c r="B1124">
        <v>1</v>
      </c>
    </row>
    <row r="1125" spans="1:2">
      <c r="A1125" s="10" t="s">
        <v>2436</v>
      </c>
      <c r="B1125">
        <v>1</v>
      </c>
    </row>
    <row r="1126" spans="1:2">
      <c r="A1126" s="10" t="s">
        <v>2457</v>
      </c>
      <c r="B1126">
        <v>2</v>
      </c>
    </row>
    <row r="1127" spans="1:2">
      <c r="A1127" s="10" t="s">
        <v>2460</v>
      </c>
      <c r="B1127">
        <v>1</v>
      </c>
    </row>
    <row r="1128" spans="1:2">
      <c r="A1128" s="10" t="s">
        <v>2436</v>
      </c>
      <c r="B1128">
        <v>1</v>
      </c>
    </row>
    <row r="1129" spans="1:2">
      <c r="A1129" s="10" t="s">
        <v>2450</v>
      </c>
      <c r="B1129">
        <v>1</v>
      </c>
    </row>
    <row r="1130" spans="1:2">
      <c r="A1130" s="10" t="s">
        <v>2436</v>
      </c>
      <c r="B1130">
        <v>1</v>
      </c>
    </row>
    <row r="1131" spans="1:2">
      <c r="A1131" s="10" t="s">
        <v>2457</v>
      </c>
      <c r="B1131">
        <v>2</v>
      </c>
    </row>
    <row r="1132" spans="1:2">
      <c r="A1132" s="10" t="s">
        <v>2460</v>
      </c>
      <c r="B1132">
        <v>1</v>
      </c>
    </row>
    <row r="1133" spans="1:2">
      <c r="A1133" s="10" t="s">
        <v>2436</v>
      </c>
      <c r="B1133">
        <v>1</v>
      </c>
    </row>
    <row r="1134" spans="1:2">
      <c r="A1134" s="10" t="s">
        <v>2436</v>
      </c>
      <c r="B1134">
        <v>1</v>
      </c>
    </row>
    <row r="1135" spans="1:2">
      <c r="A1135" s="10" t="s">
        <v>32</v>
      </c>
      <c r="B1135">
        <v>1</v>
      </c>
    </row>
    <row r="1136" spans="1:2">
      <c r="A1136" s="10" t="s">
        <v>2626</v>
      </c>
      <c r="B1136">
        <v>1</v>
      </c>
    </row>
    <row r="1137" spans="1:2">
      <c r="A1137" s="10" t="s">
        <v>2517</v>
      </c>
      <c r="B1137">
        <v>1</v>
      </c>
    </row>
    <row r="1138" spans="1:2">
      <c r="A1138" s="10" t="s">
        <v>2517</v>
      </c>
      <c r="B1138">
        <v>1</v>
      </c>
    </row>
    <row r="1139" spans="1:2">
      <c r="A1139" s="10" t="s">
        <v>2436</v>
      </c>
      <c r="B1139">
        <v>1</v>
      </c>
    </row>
    <row r="1140" spans="1:2">
      <c r="A1140" s="10" t="s">
        <v>2436</v>
      </c>
      <c r="B1140">
        <v>1</v>
      </c>
    </row>
    <row r="1141" spans="1:2">
      <c r="A1141" s="10" t="s">
        <v>2436</v>
      </c>
      <c r="B1141">
        <v>1</v>
      </c>
    </row>
    <row r="1142" spans="1:2">
      <c r="A1142" s="10" t="s">
        <v>2436</v>
      </c>
      <c r="B1142">
        <v>1</v>
      </c>
    </row>
    <row r="1143" spans="1:2">
      <c r="A1143" s="10" t="s">
        <v>2457</v>
      </c>
      <c r="B1143">
        <v>2</v>
      </c>
    </row>
    <row r="1144" spans="1:2">
      <c r="A1144" s="10" t="s">
        <v>2460</v>
      </c>
      <c r="B1144">
        <v>1</v>
      </c>
    </row>
    <row r="1145" spans="1:2">
      <c r="A1145" s="10" t="s">
        <v>20</v>
      </c>
      <c r="B1145">
        <v>1</v>
      </c>
    </row>
    <row r="1146" spans="1:2">
      <c r="A1146" s="10" t="s">
        <v>2454</v>
      </c>
      <c r="B1146">
        <v>1</v>
      </c>
    </row>
    <row r="1147" spans="1:2">
      <c r="A1147" s="10" t="s">
        <v>2457</v>
      </c>
      <c r="B1147">
        <v>2</v>
      </c>
    </row>
    <row r="1148" spans="1:2">
      <c r="A1148" s="10" t="s">
        <v>2460</v>
      </c>
      <c r="B1148">
        <v>1</v>
      </c>
    </row>
    <row r="1149" spans="1:2">
      <c r="A1149" s="10" t="s">
        <v>2436</v>
      </c>
      <c r="B1149">
        <v>1</v>
      </c>
    </row>
    <row r="1150" spans="1:2">
      <c r="A1150" s="10" t="s">
        <v>2436</v>
      </c>
      <c r="B1150">
        <v>1</v>
      </c>
    </row>
    <row r="1151" spans="1:2">
      <c r="A1151" s="10" t="s">
        <v>2436</v>
      </c>
      <c r="B1151">
        <v>1</v>
      </c>
    </row>
    <row r="1152" spans="1:2">
      <c r="A1152" s="10" t="s">
        <v>2436</v>
      </c>
      <c r="B1152">
        <v>1</v>
      </c>
    </row>
    <row r="1153" spans="1:2">
      <c r="A1153" s="10" t="s">
        <v>2436</v>
      </c>
      <c r="B1153">
        <v>1</v>
      </c>
    </row>
    <row r="1154" spans="1:2">
      <c r="A1154" s="10" t="s">
        <v>2440</v>
      </c>
      <c r="B1154">
        <v>0.5</v>
      </c>
    </row>
    <row r="1155" spans="1:2">
      <c r="A1155" s="10" t="s">
        <v>2436</v>
      </c>
      <c r="B1155">
        <v>1</v>
      </c>
    </row>
    <row r="1156" spans="1:2">
      <c r="A1156" s="10" t="s">
        <v>2436</v>
      </c>
      <c r="B1156">
        <v>1</v>
      </c>
    </row>
    <row r="1157" spans="1:2">
      <c r="A1157" s="10" t="s">
        <v>2457</v>
      </c>
      <c r="B1157">
        <v>2</v>
      </c>
    </row>
    <row r="1158" spans="1:2">
      <c r="A1158" s="10" t="s">
        <v>2460</v>
      </c>
      <c r="B1158">
        <v>1</v>
      </c>
    </row>
    <row r="1159" spans="1:2">
      <c r="A1159" s="10" t="s">
        <v>2436</v>
      </c>
      <c r="B1159">
        <v>1</v>
      </c>
    </row>
    <row r="1160" spans="1:2">
      <c r="A1160" s="10" t="s">
        <v>2436</v>
      </c>
      <c r="B1160">
        <v>1</v>
      </c>
    </row>
    <row r="1161" spans="1:2">
      <c r="A1161" s="10" t="s">
        <v>2436</v>
      </c>
      <c r="B1161">
        <v>1</v>
      </c>
    </row>
    <row r="1162" spans="1:2">
      <c r="A1162" s="10" t="s">
        <v>3166</v>
      </c>
      <c r="B1162">
        <v>1</v>
      </c>
    </row>
    <row r="1163" spans="1:2">
      <c r="A1163" s="10" t="s">
        <v>2672</v>
      </c>
      <c r="B1163">
        <v>1</v>
      </c>
    </row>
    <row r="1164" spans="1:2">
      <c r="A1164" s="10" t="s">
        <v>2450</v>
      </c>
      <c r="B1164">
        <v>1</v>
      </c>
    </row>
    <row r="1165" spans="1:2">
      <c r="A1165" s="10" t="s">
        <v>2436</v>
      </c>
      <c r="B1165">
        <v>1</v>
      </c>
    </row>
    <row r="1166" spans="1:2">
      <c r="A1166" s="10" t="s">
        <v>2436</v>
      </c>
      <c r="B1166">
        <v>1</v>
      </c>
    </row>
    <row r="1167" spans="1:2">
      <c r="A1167" s="10" t="s">
        <v>2436</v>
      </c>
      <c r="B1167">
        <v>1</v>
      </c>
    </row>
    <row r="1168" spans="1:2">
      <c r="A1168" s="10" t="s">
        <v>2436</v>
      </c>
      <c r="B1168">
        <v>1</v>
      </c>
    </row>
    <row r="1169" spans="1:2">
      <c r="A1169" s="10" t="s">
        <v>2457</v>
      </c>
      <c r="B1169">
        <v>2</v>
      </c>
    </row>
    <row r="1170" spans="1:2">
      <c r="A1170" s="10" t="s">
        <v>2460</v>
      </c>
      <c r="B1170">
        <v>1</v>
      </c>
    </row>
    <row r="1171" spans="1:2">
      <c r="A1171" s="10" t="s">
        <v>2436</v>
      </c>
      <c r="B1171">
        <v>1</v>
      </c>
    </row>
    <row r="1172" spans="1:2">
      <c r="A1172" s="10" t="s">
        <v>2436</v>
      </c>
      <c r="B1172">
        <v>1</v>
      </c>
    </row>
    <row r="1173" spans="1:2">
      <c r="A1173" s="10" t="s">
        <v>2450</v>
      </c>
      <c r="B1173">
        <v>1</v>
      </c>
    </row>
    <row r="1174" spans="1:2">
      <c r="A1174" s="10" t="s">
        <v>2436</v>
      </c>
      <c r="B1174">
        <v>1</v>
      </c>
    </row>
    <row r="1175" spans="1:2">
      <c r="A1175" s="10" t="s">
        <v>2450</v>
      </c>
      <c r="B1175">
        <v>1</v>
      </c>
    </row>
    <row r="1176" spans="1:2">
      <c r="A1176" s="10" t="s">
        <v>2436</v>
      </c>
      <c r="B1176">
        <v>1</v>
      </c>
    </row>
    <row r="1177" spans="1:2">
      <c r="A1177" s="10" t="s">
        <v>2436</v>
      </c>
      <c r="B1177">
        <v>1</v>
      </c>
    </row>
    <row r="1178" spans="1:2">
      <c r="A1178" s="10" t="s">
        <v>2436</v>
      </c>
      <c r="B1178">
        <v>1</v>
      </c>
    </row>
    <row r="1179" spans="1:2">
      <c r="A1179" s="10" t="s">
        <v>2436</v>
      </c>
      <c r="B1179">
        <v>1</v>
      </c>
    </row>
    <row r="1180" spans="1:2">
      <c r="A1180" s="10" t="s">
        <v>2436</v>
      </c>
      <c r="B1180">
        <v>1</v>
      </c>
    </row>
    <row r="1181" spans="1:2">
      <c r="A1181" s="10" t="s">
        <v>2436</v>
      </c>
      <c r="B1181">
        <v>1</v>
      </c>
    </row>
    <row r="1182" spans="1:2">
      <c r="A1182" s="10" t="s">
        <v>2436</v>
      </c>
      <c r="B1182">
        <v>1</v>
      </c>
    </row>
    <row r="1183" spans="1:2">
      <c r="A1183" s="10" t="s">
        <v>2436</v>
      </c>
      <c r="B1183">
        <v>1</v>
      </c>
    </row>
    <row r="1184" spans="1:2">
      <c r="A1184" s="10" t="s">
        <v>2457</v>
      </c>
      <c r="B1184">
        <v>2</v>
      </c>
    </row>
    <row r="1185" spans="1:2">
      <c r="A1185" s="10" t="s">
        <v>2460</v>
      </c>
      <c r="B1185">
        <v>1</v>
      </c>
    </row>
    <row r="1186" spans="1:2">
      <c r="A1186" s="10" t="s">
        <v>2457</v>
      </c>
      <c r="B1186">
        <v>2</v>
      </c>
    </row>
    <row r="1187" spans="1:2">
      <c r="A1187" s="10" t="s">
        <v>2460</v>
      </c>
      <c r="B1187">
        <v>1</v>
      </c>
    </row>
    <row r="1188" spans="1:2">
      <c r="A1188" s="10" t="s">
        <v>2436</v>
      </c>
      <c r="B1188">
        <v>1</v>
      </c>
    </row>
    <row r="1189" spans="1:2">
      <c r="A1189" s="10" t="s">
        <v>32</v>
      </c>
      <c r="B1189">
        <v>1</v>
      </c>
    </row>
    <row r="1190" spans="1:2">
      <c r="A1190" s="10" t="s">
        <v>2436</v>
      </c>
      <c r="B1190">
        <v>1</v>
      </c>
    </row>
    <row r="1191" spans="1:2">
      <c r="A1191" s="10" t="s">
        <v>2517</v>
      </c>
      <c r="B1191">
        <v>1</v>
      </c>
    </row>
    <row r="1192" spans="1:2">
      <c r="A1192" s="10" t="s">
        <v>2653</v>
      </c>
      <c r="B1192">
        <v>1</v>
      </c>
    </row>
    <row r="1193" spans="1:2">
      <c r="A1193" s="10" t="s">
        <v>2653</v>
      </c>
      <c r="B1193">
        <v>1</v>
      </c>
    </row>
    <row r="1194" spans="1:2">
      <c r="A1194" s="10" t="s">
        <v>2588</v>
      </c>
      <c r="B1194">
        <v>1</v>
      </c>
    </row>
    <row r="1195" spans="1:2">
      <c r="A1195" s="10" t="s">
        <v>2626</v>
      </c>
      <c r="B1195">
        <v>1</v>
      </c>
    </row>
    <row r="1196" spans="1:2">
      <c r="A1196" s="10" t="s">
        <v>2450</v>
      </c>
      <c r="B1196">
        <v>1</v>
      </c>
    </row>
    <row r="1197" spans="1:2">
      <c r="A1197" s="10" t="s">
        <v>2436</v>
      </c>
      <c r="B1197">
        <v>1</v>
      </c>
    </row>
    <row r="1198" spans="1:2">
      <c r="A1198" s="10" t="s">
        <v>2436</v>
      </c>
      <c r="B1198">
        <v>1</v>
      </c>
    </row>
    <row r="1199" spans="1:2">
      <c r="A1199" s="10" t="s">
        <v>2672</v>
      </c>
      <c r="B1199">
        <v>1</v>
      </c>
    </row>
    <row r="1200" spans="1:2">
      <c r="A1200" s="10" t="s">
        <v>2440</v>
      </c>
      <c r="B1200">
        <v>0.5</v>
      </c>
    </row>
    <row r="1201" spans="1:2">
      <c r="A1201" s="10" t="s">
        <v>2436</v>
      </c>
      <c r="B1201">
        <v>1</v>
      </c>
    </row>
    <row r="1202" spans="1:2">
      <c r="A1202" s="10" t="s">
        <v>2436</v>
      </c>
      <c r="B1202">
        <v>1</v>
      </c>
    </row>
    <row r="1203" spans="1:2">
      <c r="A1203" s="10" t="s">
        <v>2436</v>
      </c>
      <c r="B1203">
        <v>1</v>
      </c>
    </row>
    <row r="1204" spans="1:2">
      <c r="A1204" s="10" t="s">
        <v>2436</v>
      </c>
      <c r="B1204">
        <v>1</v>
      </c>
    </row>
    <row r="1205" spans="1:2">
      <c r="A1205" s="10" t="s">
        <v>2436</v>
      </c>
      <c r="B1205">
        <v>1</v>
      </c>
    </row>
    <row r="1206" spans="1:2">
      <c r="A1206" s="10" t="s">
        <v>2436</v>
      </c>
      <c r="B1206">
        <v>1</v>
      </c>
    </row>
    <row r="1207" spans="1:2">
      <c r="A1207" s="10" t="s">
        <v>2436</v>
      </c>
      <c r="B1207">
        <v>1</v>
      </c>
    </row>
    <row r="1208" spans="1:2">
      <c r="A1208" s="10" t="s">
        <v>2450</v>
      </c>
      <c r="B1208">
        <v>1</v>
      </c>
    </row>
    <row r="1209" spans="1:2">
      <c r="A1209" s="10" t="s">
        <v>2436</v>
      </c>
      <c r="B1209">
        <v>1</v>
      </c>
    </row>
    <row r="1210" spans="1:2">
      <c r="A1210" s="10" t="s">
        <v>2436</v>
      </c>
      <c r="B1210">
        <v>1</v>
      </c>
    </row>
    <row r="1211" spans="1:2">
      <c r="A1211" s="10" t="s">
        <v>2450</v>
      </c>
      <c r="B1211">
        <v>1</v>
      </c>
    </row>
    <row r="1212" spans="1:2">
      <c r="A1212" s="10" t="s">
        <v>2457</v>
      </c>
      <c r="B1212">
        <v>2</v>
      </c>
    </row>
    <row r="1213" spans="1:2">
      <c r="A1213" s="10" t="s">
        <v>2460</v>
      </c>
      <c r="B1213">
        <v>1</v>
      </c>
    </row>
    <row r="1214" spans="1:2">
      <c r="A1214" s="10" t="s">
        <v>2436</v>
      </c>
      <c r="B1214">
        <v>1</v>
      </c>
    </row>
    <row r="1215" spans="1:2">
      <c r="A1215" s="10" t="s">
        <v>2436</v>
      </c>
      <c r="B1215">
        <v>1</v>
      </c>
    </row>
    <row r="1216" spans="1:2">
      <c r="A1216" s="10" t="s">
        <v>2440</v>
      </c>
      <c r="B1216">
        <v>0.5</v>
      </c>
    </row>
    <row r="1217" spans="1:2">
      <c r="A1217" s="10" t="s">
        <v>2436</v>
      </c>
      <c r="B1217">
        <v>1</v>
      </c>
    </row>
    <row r="1218" spans="1:2">
      <c r="A1218" s="10" t="s">
        <v>2436</v>
      </c>
      <c r="B1218">
        <v>1</v>
      </c>
    </row>
    <row r="1219" spans="1:2">
      <c r="A1219" s="10" t="s">
        <v>2440</v>
      </c>
      <c r="B1219">
        <v>0.5</v>
      </c>
    </row>
    <row r="1220" spans="1:2">
      <c r="A1220" s="10" t="s">
        <v>2436</v>
      </c>
      <c r="B1220">
        <v>1</v>
      </c>
    </row>
    <row r="1221" spans="1:2">
      <c r="A1221" s="10" t="s">
        <v>2436</v>
      </c>
      <c r="B1221">
        <v>1</v>
      </c>
    </row>
    <row r="1222" spans="1:2">
      <c r="A1222" s="10" t="s">
        <v>2436</v>
      </c>
      <c r="B1222">
        <v>1</v>
      </c>
    </row>
    <row r="1223" spans="1:2">
      <c r="A1223" s="10" t="s">
        <v>2436</v>
      </c>
      <c r="B1223">
        <v>1</v>
      </c>
    </row>
    <row r="1224" spans="1:2">
      <c r="A1224" s="10" t="s">
        <v>2436</v>
      </c>
      <c r="B1224">
        <v>1</v>
      </c>
    </row>
    <row r="1225" spans="1:2">
      <c r="A1225" s="10" t="s">
        <v>2436</v>
      </c>
      <c r="B1225">
        <v>1</v>
      </c>
    </row>
    <row r="1226" spans="1:2">
      <c r="A1226" s="10" t="s">
        <v>2436</v>
      </c>
      <c r="B1226">
        <v>1</v>
      </c>
    </row>
    <row r="1227" spans="1:2">
      <c r="A1227" s="10" t="s">
        <v>2436</v>
      </c>
      <c r="B1227">
        <v>1</v>
      </c>
    </row>
    <row r="1228" spans="1:2">
      <c r="A1228" s="10" t="s">
        <v>40</v>
      </c>
      <c r="B1228">
        <v>1</v>
      </c>
    </row>
    <row r="1229" spans="1:2">
      <c r="A1229" s="10" t="s">
        <v>2436</v>
      </c>
      <c r="B1229">
        <v>1</v>
      </c>
    </row>
    <row r="1230" spans="1:2">
      <c r="A1230" s="10" t="s">
        <v>2436</v>
      </c>
      <c r="B1230">
        <v>1</v>
      </c>
    </row>
    <row r="1231" spans="1:2">
      <c r="A1231" s="10" t="s">
        <v>2436</v>
      </c>
      <c r="B1231">
        <v>1</v>
      </c>
    </row>
    <row r="1232" spans="1:2">
      <c r="A1232" s="10" t="s">
        <v>2436</v>
      </c>
      <c r="B1232">
        <v>1</v>
      </c>
    </row>
    <row r="1233" spans="1:2">
      <c r="A1233" s="10" t="s">
        <v>2436</v>
      </c>
      <c r="B1233">
        <v>1</v>
      </c>
    </row>
    <row r="1234" spans="1:2">
      <c r="A1234" s="10" t="s">
        <v>2436</v>
      </c>
      <c r="B1234">
        <v>1</v>
      </c>
    </row>
    <row r="1235" spans="1:2">
      <c r="A1235" s="10" t="s">
        <v>2450</v>
      </c>
      <c r="B1235">
        <v>1</v>
      </c>
    </row>
    <row r="1236" spans="1:2">
      <c r="A1236" s="10" t="s">
        <v>2436</v>
      </c>
      <c r="B1236">
        <v>1</v>
      </c>
    </row>
    <row r="1237" spans="1:2">
      <c r="A1237" s="10" t="s">
        <v>2436</v>
      </c>
      <c r="B1237">
        <v>1</v>
      </c>
    </row>
    <row r="1238" spans="1:2">
      <c r="A1238" s="10" t="s">
        <v>2436</v>
      </c>
      <c r="B1238">
        <v>1</v>
      </c>
    </row>
    <row r="1239" spans="1:2">
      <c r="A1239" s="10" t="s">
        <v>2436</v>
      </c>
      <c r="B1239">
        <v>1</v>
      </c>
    </row>
    <row r="1240" spans="1:2">
      <c r="A1240" s="10" t="s">
        <v>2436</v>
      </c>
      <c r="B1240">
        <v>1</v>
      </c>
    </row>
    <row r="1241" spans="1:2">
      <c r="A1241" s="10" t="s">
        <v>2436</v>
      </c>
      <c r="B1241">
        <v>1</v>
      </c>
    </row>
    <row r="1242" spans="1:2">
      <c r="A1242" s="10" t="s">
        <v>2436</v>
      </c>
      <c r="B1242">
        <v>1</v>
      </c>
    </row>
    <row r="1243" spans="1:2">
      <c r="A1243" s="10" t="s">
        <v>2436</v>
      </c>
      <c r="B1243">
        <v>1</v>
      </c>
    </row>
    <row r="1244" spans="1:2">
      <c r="A1244" s="10" t="s">
        <v>2436</v>
      </c>
      <c r="B1244">
        <v>1</v>
      </c>
    </row>
    <row r="1245" spans="1:2">
      <c r="A1245" s="10" t="s">
        <v>2436</v>
      </c>
      <c r="B1245">
        <v>1</v>
      </c>
    </row>
    <row r="1246" spans="1:2">
      <c r="A1246" s="10" t="s">
        <v>2436</v>
      </c>
      <c r="B1246">
        <v>1</v>
      </c>
    </row>
    <row r="1247" spans="1:2">
      <c r="A1247" s="10" t="s">
        <v>2436</v>
      </c>
      <c r="B1247">
        <v>1</v>
      </c>
    </row>
    <row r="1248" spans="1:2">
      <c r="A1248" s="10" t="s">
        <v>2436</v>
      </c>
      <c r="B1248">
        <v>1</v>
      </c>
    </row>
    <row r="1249" spans="1:2">
      <c r="A1249" s="10" t="s">
        <v>2436</v>
      </c>
      <c r="B1249">
        <v>1</v>
      </c>
    </row>
    <row r="1250" spans="1:2">
      <c r="A1250" s="10" t="s">
        <v>2436</v>
      </c>
      <c r="B1250">
        <v>1</v>
      </c>
    </row>
    <row r="1251" spans="1:2">
      <c r="A1251" s="10" t="s">
        <v>2436</v>
      </c>
      <c r="B1251">
        <v>1</v>
      </c>
    </row>
    <row r="1252" spans="1:2">
      <c r="A1252" s="10" t="s">
        <v>2436</v>
      </c>
      <c r="B1252">
        <v>1</v>
      </c>
    </row>
    <row r="1253" spans="1:2">
      <c r="A1253" s="10" t="s">
        <v>2436</v>
      </c>
      <c r="B1253">
        <v>1</v>
      </c>
    </row>
    <row r="1254" spans="1:2">
      <c r="A1254" s="10" t="s">
        <v>2450</v>
      </c>
      <c r="B1254">
        <v>1</v>
      </c>
    </row>
    <row r="1255" spans="1:2">
      <c r="A1255" s="10" t="s">
        <v>2436</v>
      </c>
      <c r="B1255">
        <v>1</v>
      </c>
    </row>
    <row r="1256" spans="1:2">
      <c r="A1256" s="10" t="s">
        <v>2436</v>
      </c>
      <c r="B1256">
        <v>1</v>
      </c>
    </row>
    <row r="1257" spans="1:2">
      <c r="A1257" s="10" t="s">
        <v>2454</v>
      </c>
      <c r="B1257">
        <v>1</v>
      </c>
    </row>
    <row r="1258" spans="1:2">
      <c r="A1258" s="10" t="s">
        <v>2436</v>
      </c>
      <c r="B1258">
        <v>1</v>
      </c>
    </row>
    <row r="1259" spans="1:2">
      <c r="A1259" s="10" t="s">
        <v>2436</v>
      </c>
      <c r="B1259">
        <v>1</v>
      </c>
    </row>
    <row r="1260" spans="1:2">
      <c r="A1260" s="10" t="s">
        <v>2436</v>
      </c>
      <c r="B1260">
        <v>1</v>
      </c>
    </row>
    <row r="1261" spans="1:2">
      <c r="A1261" s="10" t="s">
        <v>2457</v>
      </c>
      <c r="B1261">
        <v>2</v>
      </c>
    </row>
    <row r="1262" spans="1:2">
      <c r="A1262" s="10" t="s">
        <v>2460</v>
      </c>
      <c r="B1262">
        <v>1</v>
      </c>
    </row>
    <row r="1263" spans="1:2">
      <c r="A1263" s="10" t="s">
        <v>2436</v>
      </c>
      <c r="B1263">
        <v>1</v>
      </c>
    </row>
    <row r="1264" spans="1:2">
      <c r="A1264" s="10" t="s">
        <v>2436</v>
      </c>
      <c r="B1264">
        <v>1</v>
      </c>
    </row>
    <row r="1265" spans="1:2">
      <c r="A1265" s="10" t="s">
        <v>2436</v>
      </c>
      <c r="B1265">
        <v>1</v>
      </c>
    </row>
    <row r="1266" spans="1:2">
      <c r="A1266" s="10" t="s">
        <v>2436</v>
      </c>
      <c r="B1266">
        <v>1</v>
      </c>
    </row>
    <row r="1267" spans="1:2">
      <c r="A1267" s="10" t="s">
        <v>2507</v>
      </c>
      <c r="B1267">
        <v>4</v>
      </c>
    </row>
    <row r="1268" spans="1:2">
      <c r="A1268" s="10" t="s">
        <v>2457</v>
      </c>
      <c r="B1268">
        <v>2</v>
      </c>
    </row>
    <row r="1269" spans="1:2">
      <c r="A1269" s="10" t="s">
        <v>2460</v>
      </c>
      <c r="B1269">
        <v>1</v>
      </c>
    </row>
    <row r="1270" spans="1:2">
      <c r="A1270" s="10" t="s">
        <v>2436</v>
      </c>
      <c r="B1270">
        <v>1</v>
      </c>
    </row>
    <row r="1271" spans="1:2">
      <c r="A1271" s="10" t="s">
        <v>2436</v>
      </c>
      <c r="B1271">
        <v>1</v>
      </c>
    </row>
    <row r="1272" spans="1:2">
      <c r="A1272" s="10" t="s">
        <v>2507</v>
      </c>
      <c r="B1272">
        <v>4</v>
      </c>
    </row>
    <row r="1273" spans="1:2">
      <c r="A1273" s="10" t="s">
        <v>2457</v>
      </c>
      <c r="B1273">
        <v>2</v>
      </c>
    </row>
    <row r="1274" spans="1:2">
      <c r="A1274" s="10" t="s">
        <v>2460</v>
      </c>
      <c r="B1274">
        <v>1</v>
      </c>
    </row>
    <row r="1275" spans="1:2">
      <c r="A1275" s="10" t="s">
        <v>2436</v>
      </c>
      <c r="B1275">
        <v>1</v>
      </c>
    </row>
    <row r="1276" spans="1:2">
      <c r="A1276" s="10" t="s">
        <v>2436</v>
      </c>
      <c r="B1276">
        <v>1</v>
      </c>
    </row>
    <row r="1277" spans="1:2">
      <c r="A1277" s="10" t="s">
        <v>2517</v>
      </c>
      <c r="B1277">
        <v>1</v>
      </c>
    </row>
    <row r="1278" spans="1:2">
      <c r="A1278" s="10" t="s">
        <v>2517</v>
      </c>
      <c r="B1278">
        <v>1</v>
      </c>
    </row>
    <row r="1279" spans="1:2">
      <c r="A1279" s="10" t="s">
        <v>2436</v>
      </c>
      <c r="B1279">
        <v>1</v>
      </c>
    </row>
    <row r="1280" spans="1:2">
      <c r="A1280" s="10" t="s">
        <v>2436</v>
      </c>
      <c r="B1280">
        <v>1</v>
      </c>
    </row>
    <row r="1281" spans="1:2">
      <c r="A1281" s="10" t="s">
        <v>2436</v>
      </c>
      <c r="B1281">
        <v>1</v>
      </c>
    </row>
    <row r="1282" spans="1:2">
      <c r="A1282" s="10" t="s">
        <v>2436</v>
      </c>
      <c r="B1282">
        <v>1</v>
      </c>
    </row>
    <row r="1283" spans="1:2">
      <c r="A1283" s="10" t="s">
        <v>2436</v>
      </c>
      <c r="B1283">
        <v>1</v>
      </c>
    </row>
    <row r="1284" spans="1:2">
      <c r="A1284" s="10" t="s">
        <v>2457</v>
      </c>
      <c r="B1284">
        <v>2</v>
      </c>
    </row>
    <row r="1285" spans="1:2">
      <c r="A1285" s="10" t="s">
        <v>2460</v>
      </c>
      <c r="B1285">
        <v>1</v>
      </c>
    </row>
    <row r="1286" spans="1:2">
      <c r="A1286" s="10" t="s">
        <v>20</v>
      </c>
      <c r="B1286">
        <v>1</v>
      </c>
    </row>
    <row r="1287" spans="1:2">
      <c r="A1287" s="10" t="s">
        <v>2454</v>
      </c>
      <c r="B1287">
        <v>1</v>
      </c>
    </row>
    <row r="1288" spans="1:2">
      <c r="A1288" s="10" t="s">
        <v>2457</v>
      </c>
      <c r="B1288">
        <v>2</v>
      </c>
    </row>
    <row r="1289" spans="1:2">
      <c r="A1289" s="10" t="s">
        <v>2460</v>
      </c>
      <c r="B1289">
        <v>1</v>
      </c>
    </row>
    <row r="1290" spans="1:2">
      <c r="A1290" s="10" t="s">
        <v>2436</v>
      </c>
      <c r="B1290">
        <v>1</v>
      </c>
    </row>
    <row r="1291" spans="1:2">
      <c r="A1291" s="10" t="s">
        <v>2436</v>
      </c>
      <c r="B1291">
        <v>1</v>
      </c>
    </row>
    <row r="1292" spans="1:2">
      <c r="A1292" s="10" t="s">
        <v>2436</v>
      </c>
      <c r="B1292">
        <v>1</v>
      </c>
    </row>
    <row r="1293" spans="1:2">
      <c r="A1293" s="10" t="s">
        <v>2436</v>
      </c>
      <c r="B1293">
        <v>1</v>
      </c>
    </row>
    <row r="1294" spans="1:2">
      <c r="A1294" s="10" t="s">
        <v>2436</v>
      </c>
      <c r="B1294">
        <v>1</v>
      </c>
    </row>
    <row r="1295" spans="1:2">
      <c r="A1295" s="10" t="s">
        <v>2440</v>
      </c>
      <c r="B1295">
        <v>0.5</v>
      </c>
    </row>
    <row r="1296" spans="1:2">
      <c r="A1296" s="10" t="s">
        <v>2436</v>
      </c>
      <c r="B1296">
        <v>1</v>
      </c>
    </row>
    <row r="1297" spans="1:2">
      <c r="A1297" s="10" t="s">
        <v>2436</v>
      </c>
      <c r="B1297">
        <v>1</v>
      </c>
    </row>
    <row r="1298" spans="1:2">
      <c r="A1298" s="10" t="s">
        <v>2457</v>
      </c>
      <c r="B1298">
        <v>2</v>
      </c>
    </row>
    <row r="1299" spans="1:2">
      <c r="A1299" s="10" t="s">
        <v>2436</v>
      </c>
      <c r="B1299">
        <v>1</v>
      </c>
    </row>
    <row r="1300" spans="1:2">
      <c r="A1300" s="10" t="s">
        <v>2436</v>
      </c>
      <c r="B1300">
        <v>1</v>
      </c>
    </row>
    <row r="1301" spans="1:2">
      <c r="A1301" s="10" t="s">
        <v>2440</v>
      </c>
      <c r="B1301">
        <v>0.5</v>
      </c>
    </row>
    <row r="1302" spans="1:2">
      <c r="A1302" s="10" t="s">
        <v>2436</v>
      </c>
      <c r="B1302">
        <v>1</v>
      </c>
    </row>
    <row r="1303" spans="1:2">
      <c r="A1303" s="10" t="s">
        <v>2436</v>
      </c>
      <c r="B1303">
        <v>1</v>
      </c>
    </row>
    <row r="1304" spans="1:2">
      <c r="A1304" s="10" t="s">
        <v>3166</v>
      </c>
      <c r="B1304">
        <v>1</v>
      </c>
    </row>
    <row r="1305" spans="1:2">
      <c r="A1305" s="10" t="s">
        <v>2436</v>
      </c>
      <c r="B1305">
        <v>1</v>
      </c>
    </row>
    <row r="1306" spans="1:2">
      <c r="A1306" s="10" t="s">
        <v>2436</v>
      </c>
      <c r="B1306">
        <v>1</v>
      </c>
    </row>
    <row r="1307" spans="1:2">
      <c r="A1307" s="10" t="s">
        <v>2436</v>
      </c>
      <c r="B1307">
        <v>1</v>
      </c>
    </row>
    <row r="1308" spans="1:2">
      <c r="A1308" s="10" t="s">
        <v>2457</v>
      </c>
      <c r="B1308">
        <v>2</v>
      </c>
    </row>
    <row r="1309" spans="1:2">
      <c r="A1309" s="10" t="s">
        <v>2460</v>
      </c>
      <c r="B1309">
        <v>1</v>
      </c>
    </row>
    <row r="1310" spans="1:2">
      <c r="A1310" s="10" t="s">
        <v>2436</v>
      </c>
      <c r="B1310">
        <v>1</v>
      </c>
    </row>
    <row r="1311" spans="1:2">
      <c r="A1311" s="10" t="s">
        <v>2436</v>
      </c>
      <c r="B1311">
        <v>1</v>
      </c>
    </row>
    <row r="1312" spans="1:2">
      <c r="A1312" s="10" t="s">
        <v>2436</v>
      </c>
      <c r="B1312">
        <v>1</v>
      </c>
    </row>
    <row r="1313" spans="1:2">
      <c r="A1313" s="10" t="s">
        <v>2450</v>
      </c>
      <c r="B1313">
        <v>1</v>
      </c>
    </row>
    <row r="1314" spans="1:2">
      <c r="A1314" s="10" t="s">
        <v>2436</v>
      </c>
      <c r="B1314">
        <v>1</v>
      </c>
    </row>
    <row r="1315" spans="1:2">
      <c r="A1315" s="10" t="s">
        <v>2436</v>
      </c>
      <c r="B1315">
        <v>1</v>
      </c>
    </row>
    <row r="1316" spans="1:2">
      <c r="A1316" s="10" t="s">
        <v>2436</v>
      </c>
      <c r="B1316">
        <v>1</v>
      </c>
    </row>
    <row r="1317" spans="1:2">
      <c r="A1317" s="10" t="s">
        <v>2436</v>
      </c>
      <c r="B1317">
        <v>1</v>
      </c>
    </row>
    <row r="1318" spans="1:2">
      <c r="A1318" s="10" t="s">
        <v>2436</v>
      </c>
      <c r="B1318">
        <v>1</v>
      </c>
    </row>
    <row r="1319" spans="1:2">
      <c r="A1319" s="10" t="s">
        <v>2436</v>
      </c>
      <c r="B1319">
        <v>1</v>
      </c>
    </row>
    <row r="1320" spans="1:2">
      <c r="A1320" s="10" t="s">
        <v>2436</v>
      </c>
      <c r="B1320">
        <v>1</v>
      </c>
    </row>
    <row r="1321" spans="1:2">
      <c r="A1321" s="10" t="s">
        <v>2436</v>
      </c>
      <c r="B1321">
        <v>1</v>
      </c>
    </row>
    <row r="1322" spans="1:2">
      <c r="A1322" s="10" t="s">
        <v>2457</v>
      </c>
      <c r="B1322">
        <v>2</v>
      </c>
    </row>
    <row r="1323" spans="1:2">
      <c r="A1323" s="10" t="s">
        <v>2460</v>
      </c>
      <c r="B1323">
        <v>1</v>
      </c>
    </row>
    <row r="1324" spans="1:2">
      <c r="A1324" s="10" t="s">
        <v>2457</v>
      </c>
      <c r="B1324">
        <v>2</v>
      </c>
    </row>
    <row r="1325" spans="1:2">
      <c r="A1325" s="10" t="s">
        <v>2460</v>
      </c>
      <c r="B1325">
        <v>1</v>
      </c>
    </row>
    <row r="1326" spans="1:2">
      <c r="A1326" s="10" t="s">
        <v>2588</v>
      </c>
      <c r="B1326">
        <v>1</v>
      </c>
    </row>
    <row r="1327" spans="1:2">
      <c r="A1327" s="10" t="s">
        <v>2436</v>
      </c>
      <c r="B1327">
        <v>1</v>
      </c>
    </row>
    <row r="1328" spans="1:2">
      <c r="A1328" s="10" t="s">
        <v>32</v>
      </c>
      <c r="B1328">
        <v>1</v>
      </c>
    </row>
    <row r="1329" spans="1:2">
      <c r="A1329" s="10" t="s">
        <v>2436</v>
      </c>
      <c r="B1329">
        <v>1</v>
      </c>
    </row>
    <row r="1330" spans="1:2">
      <c r="A1330" s="10" t="s">
        <v>2517</v>
      </c>
      <c r="B1330">
        <v>1</v>
      </c>
    </row>
    <row r="1331" spans="1:2">
      <c r="A1331" s="10" t="s">
        <v>2653</v>
      </c>
      <c r="B1331">
        <v>1</v>
      </c>
    </row>
    <row r="1332" spans="1:2">
      <c r="A1332" s="10" t="s">
        <v>4373</v>
      </c>
      <c r="B1332">
        <v>1</v>
      </c>
    </row>
    <row r="1333" spans="1:2">
      <c r="A1333" s="10" t="s">
        <v>2653</v>
      </c>
      <c r="B1333">
        <v>1</v>
      </c>
    </row>
    <row r="1334" spans="1:2">
      <c r="A1334" s="10" t="s">
        <v>2436</v>
      </c>
      <c r="B1334">
        <v>1</v>
      </c>
    </row>
    <row r="1335" spans="1:2">
      <c r="A1335" s="10" t="s">
        <v>2588</v>
      </c>
      <c r="B1335">
        <v>1</v>
      </c>
    </row>
    <row r="1336" spans="1:2">
      <c r="A1336" s="10" t="s">
        <v>2450</v>
      </c>
      <c r="B1336">
        <v>1</v>
      </c>
    </row>
    <row r="1337" spans="1:2">
      <c r="A1337" s="10" t="s">
        <v>2436</v>
      </c>
      <c r="B1337">
        <v>1</v>
      </c>
    </row>
    <row r="1338" spans="1:2">
      <c r="A1338" s="10" t="s">
        <v>2436</v>
      </c>
      <c r="B1338">
        <v>1</v>
      </c>
    </row>
    <row r="1339" spans="1:2">
      <c r="A1339" s="10" t="s">
        <v>2436</v>
      </c>
      <c r="B1339">
        <v>1</v>
      </c>
    </row>
    <row r="1340" spans="1:2">
      <c r="A1340" s="10" t="s">
        <v>2436</v>
      </c>
      <c r="B1340">
        <v>1</v>
      </c>
    </row>
    <row r="1341" spans="1:2">
      <c r="A1341" s="10" t="s">
        <v>2436</v>
      </c>
      <c r="B1341">
        <v>1</v>
      </c>
    </row>
    <row r="1342" spans="1:2">
      <c r="A1342" s="10" t="s">
        <v>2436</v>
      </c>
      <c r="B1342">
        <v>1</v>
      </c>
    </row>
    <row r="1343" spans="1:2">
      <c r="A1343" s="10" t="s">
        <v>2436</v>
      </c>
      <c r="B1343">
        <v>1</v>
      </c>
    </row>
    <row r="1344" spans="1:2">
      <c r="A1344" s="10" t="s">
        <v>2436</v>
      </c>
      <c r="B1344">
        <v>1</v>
      </c>
    </row>
    <row r="1345" spans="1:2">
      <c r="A1345" s="10" t="s">
        <v>2436</v>
      </c>
      <c r="B1345">
        <v>1</v>
      </c>
    </row>
    <row r="1346" spans="1:2">
      <c r="A1346" s="10" t="s">
        <v>2436</v>
      </c>
      <c r="B1346">
        <v>1</v>
      </c>
    </row>
    <row r="1347" spans="1:2">
      <c r="A1347" s="10" t="s">
        <v>2436</v>
      </c>
      <c r="B1347">
        <v>1</v>
      </c>
    </row>
    <row r="1348" spans="1:2">
      <c r="A1348" s="10" t="s">
        <v>2450</v>
      </c>
      <c r="B1348">
        <v>1</v>
      </c>
    </row>
    <row r="1349" spans="1:2">
      <c r="A1349" s="10" t="s">
        <v>2450</v>
      </c>
      <c r="B1349">
        <v>1</v>
      </c>
    </row>
    <row r="1350" spans="1:2">
      <c r="A1350" s="10" t="s">
        <v>2450</v>
      </c>
      <c r="B1350">
        <v>1</v>
      </c>
    </row>
    <row r="1351" spans="1:2">
      <c r="A1351" s="10" t="s">
        <v>2436</v>
      </c>
      <c r="B1351">
        <v>1</v>
      </c>
    </row>
    <row r="1352" spans="1:2">
      <c r="A1352" s="10" t="s">
        <v>2436</v>
      </c>
      <c r="B1352">
        <v>1</v>
      </c>
    </row>
    <row r="1353" spans="1:2">
      <c r="A1353" s="10" t="s">
        <v>2450</v>
      </c>
      <c r="B1353">
        <v>1</v>
      </c>
    </row>
    <row r="1354" spans="1:2">
      <c r="A1354" s="10" t="s">
        <v>2460</v>
      </c>
      <c r="B1354">
        <v>1</v>
      </c>
    </row>
    <row r="1355" spans="1:2">
      <c r="A1355" s="10" t="s">
        <v>2436</v>
      </c>
      <c r="B1355">
        <v>1</v>
      </c>
    </row>
    <row r="1356" spans="1:2">
      <c r="A1356" s="10" t="s">
        <v>2436</v>
      </c>
      <c r="B1356">
        <v>1</v>
      </c>
    </row>
    <row r="1357" spans="1:2">
      <c r="A1357" s="10" t="s">
        <v>2440</v>
      </c>
      <c r="B1357">
        <v>0.5</v>
      </c>
    </row>
    <row r="1358" spans="1:2">
      <c r="A1358" s="10" t="s">
        <v>2436</v>
      </c>
      <c r="B1358">
        <v>1</v>
      </c>
    </row>
    <row r="1359" spans="1:2">
      <c r="A1359" s="10" t="s">
        <v>2436</v>
      </c>
      <c r="B1359">
        <v>1</v>
      </c>
    </row>
    <row r="1360" spans="1:2">
      <c r="A1360" s="10" t="s">
        <v>2440</v>
      </c>
      <c r="B1360">
        <v>0.5</v>
      </c>
    </row>
    <row r="1361" spans="1:2">
      <c r="A1361" s="10" t="s">
        <v>2450</v>
      </c>
      <c r="B1361">
        <v>1</v>
      </c>
    </row>
    <row r="1362" spans="1:2">
      <c r="A1362" s="10" t="s">
        <v>2436</v>
      </c>
      <c r="B1362">
        <v>1</v>
      </c>
    </row>
    <row r="1363" spans="1:2">
      <c r="A1363" s="10" t="s">
        <v>2436</v>
      </c>
      <c r="B1363">
        <v>1</v>
      </c>
    </row>
    <row r="1364" spans="1:2">
      <c r="A1364" s="10" t="s">
        <v>2436</v>
      </c>
      <c r="B1364">
        <v>1</v>
      </c>
    </row>
    <row r="1365" spans="1:2">
      <c r="A1365" s="10" t="s">
        <v>2436</v>
      </c>
      <c r="B1365">
        <v>1</v>
      </c>
    </row>
    <row r="1366" spans="1:2">
      <c r="A1366" s="10" t="s">
        <v>2436</v>
      </c>
      <c r="B1366">
        <v>1</v>
      </c>
    </row>
    <row r="1367" spans="1:2">
      <c r="A1367" s="10" t="s">
        <v>2436</v>
      </c>
      <c r="B1367">
        <v>1</v>
      </c>
    </row>
    <row r="1368" spans="1:2">
      <c r="A1368" s="10" t="s">
        <v>2436</v>
      </c>
      <c r="B1368">
        <v>1</v>
      </c>
    </row>
    <row r="1369" spans="1:2">
      <c r="A1369" s="10" t="s">
        <v>40</v>
      </c>
      <c r="B1369">
        <v>1</v>
      </c>
    </row>
    <row r="1370" spans="1:2">
      <c r="A1370" s="10" t="s">
        <v>2436</v>
      </c>
      <c r="B1370">
        <v>1</v>
      </c>
    </row>
    <row r="1371" spans="1:2">
      <c r="A1371" s="10" t="s">
        <v>2436</v>
      </c>
      <c r="B1371">
        <v>1</v>
      </c>
    </row>
    <row r="1372" spans="1:2">
      <c r="A1372" s="10" t="s">
        <v>2436</v>
      </c>
      <c r="B1372">
        <v>1</v>
      </c>
    </row>
    <row r="1373" spans="1:2">
      <c r="A1373" s="10" t="s">
        <v>2436</v>
      </c>
      <c r="B1373">
        <v>1</v>
      </c>
    </row>
    <row r="1374" spans="1:2">
      <c r="A1374" s="10" t="s">
        <v>2436</v>
      </c>
      <c r="B1374">
        <v>1</v>
      </c>
    </row>
    <row r="1375" spans="1:2">
      <c r="A1375" s="10" t="s">
        <v>2436</v>
      </c>
      <c r="B1375">
        <v>1</v>
      </c>
    </row>
    <row r="1376" spans="1:2">
      <c r="A1376" s="10" t="s">
        <v>2450</v>
      </c>
      <c r="B1376">
        <v>1</v>
      </c>
    </row>
    <row r="1377" spans="1:2">
      <c r="A1377" s="10" t="s">
        <v>2436</v>
      </c>
      <c r="B1377">
        <v>1</v>
      </c>
    </row>
    <row r="1378" spans="1:2">
      <c r="A1378" s="10" t="s">
        <v>2436</v>
      </c>
      <c r="B1378">
        <v>1</v>
      </c>
    </row>
    <row r="1379" spans="1:2">
      <c r="A1379" s="10" t="s">
        <v>2436</v>
      </c>
      <c r="B1379">
        <v>1</v>
      </c>
    </row>
    <row r="1380" spans="1:2">
      <c r="A1380" s="10" t="s">
        <v>2436</v>
      </c>
      <c r="B1380">
        <v>1</v>
      </c>
    </row>
    <row r="1381" spans="1:2">
      <c r="A1381" s="10" t="s">
        <v>2436</v>
      </c>
      <c r="B1381">
        <v>1</v>
      </c>
    </row>
    <row r="1382" spans="1:2">
      <c r="A1382" s="10" t="s">
        <v>2436</v>
      </c>
      <c r="B1382">
        <v>1</v>
      </c>
    </row>
    <row r="1383" spans="1:2">
      <c r="A1383" s="10" t="s">
        <v>2436</v>
      </c>
      <c r="B1383">
        <v>1</v>
      </c>
    </row>
    <row r="1384" spans="1:2">
      <c r="A1384" s="10" t="s">
        <v>2436</v>
      </c>
      <c r="B1384">
        <v>1</v>
      </c>
    </row>
    <row r="1385" spans="1:2">
      <c r="A1385" s="10" t="s">
        <v>2436</v>
      </c>
      <c r="B1385">
        <v>1</v>
      </c>
    </row>
    <row r="1386" spans="1:2">
      <c r="A1386" s="10" t="s">
        <v>2436</v>
      </c>
      <c r="B1386">
        <v>1</v>
      </c>
    </row>
    <row r="1387" spans="1:2">
      <c r="A1387" s="10" t="s">
        <v>2436</v>
      </c>
      <c r="B1387">
        <v>1</v>
      </c>
    </row>
    <row r="1388" spans="1:2">
      <c r="A1388" s="10" t="s">
        <v>2436</v>
      </c>
      <c r="B1388">
        <v>1</v>
      </c>
    </row>
    <row r="1389" spans="1:2">
      <c r="A1389" s="10" t="s">
        <v>2436</v>
      </c>
      <c r="B1389">
        <v>1</v>
      </c>
    </row>
    <row r="1390" spans="1:2">
      <c r="A1390" s="10" t="s">
        <v>2436</v>
      </c>
      <c r="B1390">
        <v>1</v>
      </c>
    </row>
    <row r="1391" spans="1:2">
      <c r="A1391" s="10" t="s">
        <v>2436</v>
      </c>
      <c r="B1391">
        <v>1</v>
      </c>
    </row>
    <row r="1392" spans="1:2">
      <c r="A1392" s="10" t="s">
        <v>2436</v>
      </c>
      <c r="B1392">
        <v>1</v>
      </c>
    </row>
    <row r="1393" spans="1:2">
      <c r="A1393" s="10" t="s">
        <v>2436</v>
      </c>
      <c r="B1393">
        <v>1</v>
      </c>
    </row>
    <row r="1394" spans="1:2">
      <c r="A1394" s="10" t="s">
        <v>2436</v>
      </c>
      <c r="B1394">
        <v>1</v>
      </c>
    </row>
    <row r="1395" spans="1:2">
      <c r="A1395" s="10" t="s">
        <v>2436</v>
      </c>
      <c r="B1395">
        <v>1</v>
      </c>
    </row>
    <row r="1396" spans="1:2">
      <c r="A1396" s="10" t="s">
        <v>2436</v>
      </c>
      <c r="B1396">
        <v>1</v>
      </c>
    </row>
    <row r="1397" spans="1:2">
      <c r="A1397" s="10" t="s">
        <v>2436</v>
      </c>
      <c r="B1397">
        <v>1</v>
      </c>
    </row>
    <row r="1398" spans="1:2">
      <c r="A1398" s="10" t="s">
        <v>2450</v>
      </c>
      <c r="B1398">
        <v>1</v>
      </c>
    </row>
    <row r="1399" spans="1:2">
      <c r="A1399" s="10" t="s">
        <v>2436</v>
      </c>
      <c r="B1399">
        <v>1</v>
      </c>
    </row>
    <row r="1400" spans="1:2">
      <c r="A1400" s="10" t="s">
        <v>2454</v>
      </c>
      <c r="B1400">
        <v>1</v>
      </c>
    </row>
    <row r="1401" spans="1:2">
      <c r="A1401" s="10" t="s">
        <v>2436</v>
      </c>
      <c r="B1401">
        <v>1</v>
      </c>
    </row>
    <row r="1402" spans="1:2">
      <c r="A1402" s="10" t="s">
        <v>2436</v>
      </c>
      <c r="B1402">
        <v>1</v>
      </c>
    </row>
    <row r="1403" spans="1:2">
      <c r="A1403" s="10" t="s">
        <v>2436</v>
      </c>
      <c r="B1403">
        <v>1</v>
      </c>
    </row>
    <row r="1404" spans="1:2">
      <c r="A1404" s="10" t="s">
        <v>2457</v>
      </c>
      <c r="B1404">
        <v>2</v>
      </c>
    </row>
    <row r="1405" spans="1:2">
      <c r="A1405" s="10" t="s">
        <v>2460</v>
      </c>
      <c r="B1405">
        <v>1</v>
      </c>
    </row>
    <row r="1406" spans="1:2">
      <c r="A1406" s="10" t="s">
        <v>20</v>
      </c>
      <c r="B1406">
        <v>1</v>
      </c>
    </row>
    <row r="1407" spans="1:2">
      <c r="A1407" s="10" t="s">
        <v>2436</v>
      </c>
      <c r="B1407">
        <v>1</v>
      </c>
    </row>
    <row r="1408" spans="1:2">
      <c r="A1408" s="10" t="s">
        <v>2436</v>
      </c>
      <c r="B1408">
        <v>1</v>
      </c>
    </row>
    <row r="1409" spans="1:2">
      <c r="A1409" s="10" t="s">
        <v>2436</v>
      </c>
      <c r="B1409">
        <v>1</v>
      </c>
    </row>
    <row r="1410" spans="1:2">
      <c r="A1410" s="10" t="s">
        <v>2436</v>
      </c>
      <c r="B1410">
        <v>1</v>
      </c>
    </row>
    <row r="1411" spans="1:2">
      <c r="A1411" s="10" t="s">
        <v>2507</v>
      </c>
      <c r="B1411">
        <v>4</v>
      </c>
    </row>
    <row r="1412" spans="1:2">
      <c r="A1412" s="10" t="s">
        <v>2457</v>
      </c>
      <c r="B1412">
        <v>2</v>
      </c>
    </row>
    <row r="1413" spans="1:2">
      <c r="A1413" s="10" t="s">
        <v>2460</v>
      </c>
      <c r="B1413">
        <v>1</v>
      </c>
    </row>
    <row r="1414" spans="1:2">
      <c r="A1414" s="10" t="s">
        <v>2436</v>
      </c>
      <c r="B1414">
        <v>1</v>
      </c>
    </row>
    <row r="1415" spans="1:2">
      <c r="A1415" s="10" t="s">
        <v>2450</v>
      </c>
      <c r="B1415">
        <v>1</v>
      </c>
    </row>
    <row r="1416" spans="1:2">
      <c r="A1416" s="10" t="s">
        <v>2436</v>
      </c>
      <c r="B1416">
        <v>1</v>
      </c>
    </row>
    <row r="1417" spans="1:2">
      <c r="A1417" s="10" t="s">
        <v>2507</v>
      </c>
      <c r="B1417">
        <v>4</v>
      </c>
    </row>
    <row r="1418" spans="1:2">
      <c r="A1418" s="10" t="s">
        <v>2457</v>
      </c>
      <c r="B1418">
        <v>2</v>
      </c>
    </row>
    <row r="1419" spans="1:2">
      <c r="A1419" s="10" t="s">
        <v>2460</v>
      </c>
      <c r="B1419">
        <v>1</v>
      </c>
    </row>
    <row r="1420" spans="1:2">
      <c r="A1420" s="10" t="s">
        <v>2436</v>
      </c>
      <c r="B1420">
        <v>1</v>
      </c>
    </row>
    <row r="1421" spans="1:2">
      <c r="A1421" s="10" t="s">
        <v>2436</v>
      </c>
      <c r="B1421">
        <v>1</v>
      </c>
    </row>
    <row r="1422" spans="1:2">
      <c r="A1422" s="10" t="s">
        <v>2517</v>
      </c>
      <c r="B1422">
        <v>1</v>
      </c>
    </row>
    <row r="1423" spans="1:2">
      <c r="A1423" s="10" t="s">
        <v>2517</v>
      </c>
      <c r="B1423">
        <v>1</v>
      </c>
    </row>
    <row r="1424" spans="1:2">
      <c r="A1424" s="10" t="s">
        <v>2436</v>
      </c>
      <c r="B1424">
        <v>1</v>
      </c>
    </row>
    <row r="1425" spans="1:2">
      <c r="A1425" s="10" t="s">
        <v>2436</v>
      </c>
      <c r="B1425">
        <v>1</v>
      </c>
    </row>
    <row r="1426" spans="1:2">
      <c r="A1426" s="10" t="s">
        <v>2436</v>
      </c>
      <c r="B1426">
        <v>1</v>
      </c>
    </row>
    <row r="1427" spans="1:2">
      <c r="A1427" s="10" t="s">
        <v>2436</v>
      </c>
      <c r="B1427">
        <v>1</v>
      </c>
    </row>
    <row r="1428" spans="1:2">
      <c r="A1428" s="10" t="s">
        <v>2436</v>
      </c>
      <c r="B1428">
        <v>1</v>
      </c>
    </row>
    <row r="1429" spans="1:2">
      <c r="A1429" s="10" t="s">
        <v>2457</v>
      </c>
      <c r="B1429">
        <v>2</v>
      </c>
    </row>
    <row r="1430" spans="1:2">
      <c r="A1430" s="10" t="s">
        <v>2460</v>
      </c>
      <c r="B1430">
        <v>1</v>
      </c>
    </row>
    <row r="1431" spans="1:2">
      <c r="A1431" s="10" t="s">
        <v>20</v>
      </c>
      <c r="B1431">
        <v>1</v>
      </c>
    </row>
    <row r="1432" spans="1:2">
      <c r="A1432" s="10" t="s">
        <v>2454</v>
      </c>
      <c r="B1432">
        <v>1</v>
      </c>
    </row>
    <row r="1433" spans="1:2">
      <c r="A1433" s="10" t="s">
        <v>2457</v>
      </c>
      <c r="B1433">
        <v>2</v>
      </c>
    </row>
    <row r="1434" spans="1:2">
      <c r="A1434" s="10" t="s">
        <v>2460</v>
      </c>
      <c r="B1434">
        <v>1</v>
      </c>
    </row>
    <row r="1435" spans="1:2">
      <c r="A1435" s="10" t="s">
        <v>2436</v>
      </c>
      <c r="B1435">
        <v>1</v>
      </c>
    </row>
    <row r="1436" spans="1:2">
      <c r="A1436" s="10" t="s">
        <v>2436</v>
      </c>
      <c r="B1436">
        <v>1</v>
      </c>
    </row>
    <row r="1437" spans="1:2">
      <c r="A1437" s="10" t="s">
        <v>2436</v>
      </c>
      <c r="B1437">
        <v>1</v>
      </c>
    </row>
    <row r="1438" spans="1:2">
      <c r="A1438" s="10" t="s">
        <v>2436</v>
      </c>
      <c r="B1438">
        <v>1</v>
      </c>
    </row>
    <row r="1439" spans="1:2">
      <c r="A1439" s="10" t="s">
        <v>2436</v>
      </c>
      <c r="B1439">
        <v>1</v>
      </c>
    </row>
    <row r="1440" spans="1:2">
      <c r="A1440" s="10" t="s">
        <v>2440</v>
      </c>
      <c r="B1440">
        <v>0.5</v>
      </c>
    </row>
    <row r="1441" spans="1:2">
      <c r="A1441" s="10" t="s">
        <v>2436</v>
      </c>
      <c r="B1441">
        <v>1</v>
      </c>
    </row>
    <row r="1442" spans="1:2">
      <c r="A1442" s="10" t="s">
        <v>2436</v>
      </c>
      <c r="B1442">
        <v>1</v>
      </c>
    </row>
    <row r="1443" spans="1:2">
      <c r="A1443" s="10" t="s">
        <v>2457</v>
      </c>
      <c r="B1443">
        <v>2</v>
      </c>
    </row>
    <row r="1444" spans="1:2">
      <c r="A1444" s="10" t="s">
        <v>2460</v>
      </c>
      <c r="B1444">
        <v>1</v>
      </c>
    </row>
    <row r="1445" spans="1:2">
      <c r="A1445" s="10" t="s">
        <v>2436</v>
      </c>
      <c r="B1445">
        <v>1</v>
      </c>
    </row>
    <row r="1446" spans="1:2">
      <c r="A1446" s="10" t="s">
        <v>2436</v>
      </c>
      <c r="B1446">
        <v>1</v>
      </c>
    </row>
    <row r="1447" spans="1:2">
      <c r="A1447" s="10" t="s">
        <v>2440</v>
      </c>
      <c r="B1447">
        <v>0.5</v>
      </c>
    </row>
    <row r="1448" spans="1:2">
      <c r="A1448" s="10" t="s">
        <v>2436</v>
      </c>
      <c r="B1448">
        <v>1</v>
      </c>
    </row>
    <row r="1449" spans="1:2">
      <c r="A1449" s="10" t="s">
        <v>2436</v>
      </c>
      <c r="B1449">
        <v>1</v>
      </c>
    </row>
    <row r="1450" spans="1:2">
      <c r="A1450" s="10" t="s">
        <v>3166</v>
      </c>
      <c r="B1450">
        <v>1</v>
      </c>
    </row>
    <row r="1451" spans="1:2">
      <c r="A1451" s="10" t="s">
        <v>2672</v>
      </c>
      <c r="B1451">
        <v>1</v>
      </c>
    </row>
    <row r="1452" spans="1:2">
      <c r="A1452" s="10" t="s">
        <v>2450</v>
      </c>
      <c r="B1452">
        <v>1</v>
      </c>
    </row>
    <row r="1453" spans="1:2">
      <c r="A1453" s="10" t="s">
        <v>2436</v>
      </c>
      <c r="B1453">
        <v>1</v>
      </c>
    </row>
    <row r="1454" spans="1:2">
      <c r="A1454" s="10" t="s">
        <v>2436</v>
      </c>
      <c r="B1454">
        <v>1</v>
      </c>
    </row>
    <row r="1455" spans="1:2">
      <c r="A1455" s="10" t="s">
        <v>2436</v>
      </c>
      <c r="B1455">
        <v>1</v>
      </c>
    </row>
    <row r="1456" spans="1:2">
      <c r="A1456" s="10" t="s">
        <v>2436</v>
      </c>
      <c r="B1456">
        <v>1</v>
      </c>
    </row>
    <row r="1457" spans="1:2">
      <c r="A1457" s="10" t="s">
        <v>2460</v>
      </c>
      <c r="B1457">
        <v>1</v>
      </c>
    </row>
    <row r="1458" spans="1:2">
      <c r="A1458" s="10" t="s">
        <v>2436</v>
      </c>
      <c r="B1458">
        <v>1</v>
      </c>
    </row>
    <row r="1459" spans="1:2">
      <c r="A1459" s="10" t="s">
        <v>2436</v>
      </c>
      <c r="B1459">
        <v>1</v>
      </c>
    </row>
    <row r="1460" spans="1:2">
      <c r="A1460" s="10" t="s">
        <v>2436</v>
      </c>
      <c r="B1460">
        <v>1</v>
      </c>
    </row>
    <row r="1461" spans="1:2">
      <c r="A1461" s="10" t="s">
        <v>2450</v>
      </c>
      <c r="B1461">
        <v>1</v>
      </c>
    </row>
    <row r="1462" spans="1:2">
      <c r="A1462" s="10" t="s">
        <v>2436</v>
      </c>
      <c r="B1462">
        <v>1</v>
      </c>
    </row>
    <row r="1463" spans="1:2">
      <c r="A1463" s="10" t="s">
        <v>2450</v>
      </c>
      <c r="B1463">
        <v>1</v>
      </c>
    </row>
    <row r="1464" spans="1:2">
      <c r="A1464" s="10" t="s">
        <v>2436</v>
      </c>
      <c r="B1464">
        <v>1</v>
      </c>
    </row>
    <row r="1465" spans="1:2">
      <c r="A1465" s="10" t="s">
        <v>2436</v>
      </c>
      <c r="B1465">
        <v>1</v>
      </c>
    </row>
    <row r="1466" spans="1:2">
      <c r="A1466" s="10" t="s">
        <v>2436</v>
      </c>
      <c r="B1466">
        <v>1</v>
      </c>
    </row>
    <row r="1467" spans="1:2">
      <c r="A1467" s="10" t="s">
        <v>2436</v>
      </c>
      <c r="B1467">
        <v>1</v>
      </c>
    </row>
    <row r="1468" spans="1:2">
      <c r="A1468" s="10" t="s">
        <v>2436</v>
      </c>
      <c r="B1468">
        <v>1</v>
      </c>
    </row>
    <row r="1469" spans="1:2">
      <c r="A1469" s="10" t="s">
        <v>2436</v>
      </c>
      <c r="B1469">
        <v>1</v>
      </c>
    </row>
    <row r="1470" spans="1:2">
      <c r="A1470" s="10" t="s">
        <v>2457</v>
      </c>
      <c r="B1470">
        <v>2</v>
      </c>
    </row>
    <row r="1471" spans="1:2">
      <c r="A1471" s="10" t="s">
        <v>2460</v>
      </c>
      <c r="B1471">
        <v>1</v>
      </c>
    </row>
    <row r="1472" spans="1:2">
      <c r="A1472" s="10" t="s">
        <v>2457</v>
      </c>
      <c r="B1472">
        <v>2</v>
      </c>
    </row>
    <row r="1473" spans="1:2">
      <c r="A1473" s="10" t="s">
        <v>2460</v>
      </c>
      <c r="B1473">
        <v>1</v>
      </c>
    </row>
    <row r="1474" spans="1:2">
      <c r="A1474" s="10" t="s">
        <v>2588</v>
      </c>
      <c r="B1474">
        <v>1</v>
      </c>
    </row>
    <row r="1475" spans="1:2">
      <c r="A1475" s="10" t="s">
        <v>2436</v>
      </c>
      <c r="B1475">
        <v>1</v>
      </c>
    </row>
    <row r="1476" spans="1:2">
      <c r="A1476" s="10" t="s">
        <v>32</v>
      </c>
      <c r="B1476">
        <v>1</v>
      </c>
    </row>
    <row r="1477" spans="1:2">
      <c r="A1477" s="10" t="s">
        <v>2436</v>
      </c>
      <c r="B1477">
        <v>1</v>
      </c>
    </row>
    <row r="1478" spans="1:2">
      <c r="A1478" s="10" t="s">
        <v>2653</v>
      </c>
      <c r="B1478">
        <v>1</v>
      </c>
    </row>
    <row r="1479" spans="1:2">
      <c r="A1479" s="10" t="s">
        <v>2653</v>
      </c>
      <c r="B1479">
        <v>1</v>
      </c>
    </row>
    <row r="1480" spans="1:2">
      <c r="A1480" s="10" t="s">
        <v>2436</v>
      </c>
      <c r="B1480">
        <v>1</v>
      </c>
    </row>
    <row r="1481" spans="1:2">
      <c r="A1481" s="10" t="s">
        <v>2588</v>
      </c>
      <c r="B1481">
        <v>1</v>
      </c>
    </row>
    <row r="1482" spans="1:2">
      <c r="A1482" s="10" t="s">
        <v>2626</v>
      </c>
      <c r="B1482">
        <v>1</v>
      </c>
    </row>
    <row r="1483" spans="1:2">
      <c r="A1483" s="10" t="s">
        <v>2436</v>
      </c>
      <c r="B1483">
        <v>1</v>
      </c>
    </row>
    <row r="1484" spans="1:2">
      <c r="A1484" s="10" t="s">
        <v>2440</v>
      </c>
      <c r="B1484">
        <v>0.5</v>
      </c>
    </row>
    <row r="1485" spans="1:2">
      <c r="A1485" s="10" t="s">
        <v>2436</v>
      </c>
      <c r="B1485">
        <v>1</v>
      </c>
    </row>
    <row r="1486" spans="1:2">
      <c r="A1486" s="10" t="s">
        <v>2436</v>
      </c>
      <c r="B1486">
        <v>1</v>
      </c>
    </row>
    <row r="1487" spans="1:2">
      <c r="A1487" s="10" t="s">
        <v>2436</v>
      </c>
      <c r="B1487">
        <v>1</v>
      </c>
    </row>
    <row r="1488" spans="1:2">
      <c r="A1488" s="10" t="s">
        <v>2436</v>
      </c>
      <c r="B1488">
        <v>1</v>
      </c>
    </row>
    <row r="1489" spans="1:2">
      <c r="A1489" s="10" t="s">
        <v>2436</v>
      </c>
      <c r="B1489">
        <v>1</v>
      </c>
    </row>
    <row r="1490" spans="1:2">
      <c r="A1490" s="10" t="s">
        <v>2436</v>
      </c>
      <c r="B1490">
        <v>1</v>
      </c>
    </row>
    <row r="1491" spans="1:2">
      <c r="A1491" s="10" t="s">
        <v>2436</v>
      </c>
      <c r="B1491">
        <v>1</v>
      </c>
    </row>
    <row r="1492" spans="1:2">
      <c r="A1492" s="10" t="s">
        <v>2436</v>
      </c>
      <c r="B1492">
        <v>1</v>
      </c>
    </row>
    <row r="1493" spans="1:2">
      <c r="A1493" s="10" t="s">
        <v>2436</v>
      </c>
      <c r="B1493">
        <v>1</v>
      </c>
    </row>
    <row r="1494" spans="1:2">
      <c r="A1494" s="10" t="s">
        <v>2450</v>
      </c>
      <c r="B1494">
        <v>1</v>
      </c>
    </row>
    <row r="1495" spans="1:2">
      <c r="A1495" s="10" t="s">
        <v>2450</v>
      </c>
      <c r="B1495">
        <v>1</v>
      </c>
    </row>
    <row r="1496" spans="1:2">
      <c r="A1496" s="10" t="s">
        <v>2450</v>
      </c>
      <c r="B1496">
        <v>1</v>
      </c>
    </row>
    <row r="1497" spans="1:2">
      <c r="A1497" s="10" t="s">
        <v>2436</v>
      </c>
      <c r="B1497">
        <v>1</v>
      </c>
    </row>
    <row r="1498" spans="1:2">
      <c r="A1498" s="10" t="s">
        <v>2436</v>
      </c>
      <c r="B1498">
        <v>1</v>
      </c>
    </row>
    <row r="1499" spans="1:2">
      <c r="A1499" s="10" t="s">
        <v>2450</v>
      </c>
      <c r="B1499">
        <v>1</v>
      </c>
    </row>
    <row r="1500" spans="1:2">
      <c r="A1500" s="10" t="s">
        <v>2457</v>
      </c>
      <c r="B1500">
        <v>2</v>
      </c>
    </row>
    <row r="1501" spans="1:2">
      <c r="A1501" s="10" t="s">
        <v>2460</v>
      </c>
      <c r="B1501">
        <v>1</v>
      </c>
    </row>
    <row r="1502" spans="1:2">
      <c r="A1502" s="10" t="s">
        <v>2436</v>
      </c>
      <c r="B1502">
        <v>1</v>
      </c>
    </row>
    <row r="1503" spans="1:2">
      <c r="A1503" s="10" t="s">
        <v>2436</v>
      </c>
      <c r="B1503">
        <v>1</v>
      </c>
    </row>
    <row r="1504" spans="1:2">
      <c r="A1504" s="10" t="s">
        <v>2440</v>
      </c>
      <c r="B1504">
        <v>0.5</v>
      </c>
    </row>
    <row r="1505" spans="1:2">
      <c r="A1505" s="10" t="s">
        <v>2436</v>
      </c>
      <c r="B1505">
        <v>1</v>
      </c>
    </row>
    <row r="1506" spans="1:2">
      <c r="A1506" s="10" t="s">
        <v>2436</v>
      </c>
      <c r="B1506">
        <v>1</v>
      </c>
    </row>
    <row r="1507" spans="1:2">
      <c r="A1507" s="10" t="s">
        <v>2440</v>
      </c>
      <c r="B1507">
        <v>0.5</v>
      </c>
    </row>
    <row r="1508" spans="1:2">
      <c r="A1508" s="10" t="s">
        <v>2450</v>
      </c>
      <c r="B1508">
        <v>1</v>
      </c>
    </row>
    <row r="1509" spans="1:2">
      <c r="A1509" s="10" t="s">
        <v>2436</v>
      </c>
      <c r="B1509">
        <v>1</v>
      </c>
    </row>
    <row r="1510" spans="1:2">
      <c r="A1510" s="10" t="s">
        <v>2436</v>
      </c>
      <c r="B1510">
        <v>1</v>
      </c>
    </row>
    <row r="1511" spans="1:2">
      <c r="A1511" s="10" t="s">
        <v>2436</v>
      </c>
      <c r="B1511">
        <v>1</v>
      </c>
    </row>
    <row r="1512" spans="1:2">
      <c r="A1512" s="10" t="s">
        <v>2436</v>
      </c>
      <c r="B1512">
        <v>1</v>
      </c>
    </row>
    <row r="1513" spans="1:2">
      <c r="A1513" s="10" t="s">
        <v>2436</v>
      </c>
      <c r="B1513">
        <v>1</v>
      </c>
    </row>
    <row r="1514" spans="1:2">
      <c r="A1514" s="10" t="s">
        <v>2436</v>
      </c>
      <c r="B1514">
        <v>1</v>
      </c>
    </row>
    <row r="1515" spans="1:2">
      <c r="A1515" s="10" t="s">
        <v>2436</v>
      </c>
      <c r="B1515">
        <v>1</v>
      </c>
    </row>
    <row r="1516" spans="1:2">
      <c r="A1516" s="10" t="s">
        <v>2436</v>
      </c>
      <c r="B1516">
        <v>1</v>
      </c>
    </row>
    <row r="1517" spans="1:2">
      <c r="A1517" s="10" t="s">
        <v>40</v>
      </c>
      <c r="B1517">
        <v>1</v>
      </c>
    </row>
    <row r="1518" spans="1:2">
      <c r="A1518" s="10" t="s">
        <v>2436</v>
      </c>
      <c r="B1518">
        <v>1</v>
      </c>
    </row>
    <row r="1519" spans="1:2">
      <c r="A1519" s="10" t="s">
        <v>2436</v>
      </c>
      <c r="B1519">
        <v>1</v>
      </c>
    </row>
    <row r="1520" spans="1:2">
      <c r="A1520" s="10" t="s">
        <v>2436</v>
      </c>
      <c r="B1520">
        <v>1</v>
      </c>
    </row>
    <row r="1521" spans="1:2">
      <c r="A1521" s="10" t="s">
        <v>2436</v>
      </c>
      <c r="B1521">
        <v>1</v>
      </c>
    </row>
    <row r="1522" spans="1:2">
      <c r="A1522" s="10" t="s">
        <v>2436</v>
      </c>
      <c r="B1522">
        <v>1</v>
      </c>
    </row>
    <row r="1523" spans="1:2">
      <c r="A1523" s="10" t="s">
        <v>2436</v>
      </c>
      <c r="B1523">
        <v>1</v>
      </c>
    </row>
    <row r="1524" spans="1:2">
      <c r="A1524" s="10" t="s">
        <v>2450</v>
      </c>
      <c r="B1524">
        <v>1</v>
      </c>
    </row>
    <row r="1525" spans="1:2">
      <c r="A1525" s="10" t="s">
        <v>2436</v>
      </c>
      <c r="B1525">
        <v>1</v>
      </c>
    </row>
    <row r="1526" spans="1:2">
      <c r="A1526" s="10" t="s">
        <v>2436</v>
      </c>
      <c r="B1526">
        <v>1</v>
      </c>
    </row>
    <row r="1527" spans="1:2">
      <c r="A1527" s="10" t="s">
        <v>2436</v>
      </c>
      <c r="B1527">
        <v>1</v>
      </c>
    </row>
    <row r="1528" spans="1:2">
      <c r="A1528" s="10" t="s">
        <v>2436</v>
      </c>
      <c r="B1528">
        <v>1</v>
      </c>
    </row>
    <row r="1529" spans="1:2">
      <c r="A1529" s="10" t="s">
        <v>2436</v>
      </c>
      <c r="B1529">
        <v>1</v>
      </c>
    </row>
    <row r="1530" spans="1:2">
      <c r="A1530" s="10" t="s">
        <v>2436</v>
      </c>
      <c r="B1530">
        <v>1</v>
      </c>
    </row>
    <row r="1531" spans="1:2">
      <c r="A1531" s="10" t="s">
        <v>2436</v>
      </c>
      <c r="B1531">
        <v>1</v>
      </c>
    </row>
    <row r="1532" spans="1:2">
      <c r="A1532" s="10" t="s">
        <v>2436</v>
      </c>
      <c r="B1532">
        <v>1</v>
      </c>
    </row>
    <row r="1533" spans="1:2">
      <c r="A1533" s="10" t="s">
        <v>2436</v>
      </c>
      <c r="B1533">
        <v>1</v>
      </c>
    </row>
    <row r="1534" spans="1:2">
      <c r="A1534" s="10" t="s">
        <v>2436</v>
      </c>
      <c r="B1534">
        <v>1</v>
      </c>
    </row>
    <row r="1535" spans="1:2">
      <c r="A1535" s="10" t="s">
        <v>2436</v>
      </c>
      <c r="B1535">
        <v>1</v>
      </c>
    </row>
    <row r="1536" spans="1:2">
      <c r="A1536" s="10" t="s">
        <v>2436</v>
      </c>
      <c r="B1536">
        <v>1</v>
      </c>
    </row>
    <row r="1537" spans="1:2">
      <c r="A1537" s="10" t="s">
        <v>2436</v>
      </c>
      <c r="B1537">
        <v>1</v>
      </c>
    </row>
    <row r="1538" spans="1:2">
      <c r="A1538" s="10" t="s">
        <v>2436</v>
      </c>
      <c r="B1538">
        <v>1</v>
      </c>
    </row>
    <row r="1539" spans="1:2">
      <c r="A1539" s="10" t="s">
        <v>2436</v>
      </c>
      <c r="B1539">
        <v>1</v>
      </c>
    </row>
    <row r="1540" spans="1:2">
      <c r="A1540" s="10" t="s">
        <v>2436</v>
      </c>
      <c r="B1540">
        <v>1</v>
      </c>
    </row>
    <row r="1541" spans="1:2">
      <c r="A1541" s="10" t="s">
        <v>2436</v>
      </c>
      <c r="B1541">
        <v>1</v>
      </c>
    </row>
    <row r="1542" spans="1:2">
      <c r="A1542" s="10" t="s">
        <v>2436</v>
      </c>
      <c r="B1542">
        <v>1</v>
      </c>
    </row>
    <row r="1543" spans="1:2">
      <c r="A1543" s="10" t="s">
        <v>2436</v>
      </c>
      <c r="B1543">
        <v>1</v>
      </c>
    </row>
    <row r="1544" spans="1:2">
      <c r="A1544" s="10" t="s">
        <v>2436</v>
      </c>
      <c r="B1544">
        <v>1</v>
      </c>
    </row>
    <row r="1545" spans="1:2">
      <c r="A1545" s="10" t="s">
        <v>2436</v>
      </c>
      <c r="B1545">
        <v>1</v>
      </c>
    </row>
    <row r="1546" spans="1:2">
      <c r="A1546" s="10" t="s">
        <v>2436</v>
      </c>
      <c r="B1546">
        <v>1</v>
      </c>
    </row>
    <row r="1547" spans="1:2">
      <c r="A1547" s="10" t="s">
        <v>2436</v>
      </c>
      <c r="B1547">
        <v>1</v>
      </c>
    </row>
    <row r="1548" spans="1:2">
      <c r="A1548" s="10" t="s">
        <v>2436</v>
      </c>
      <c r="B1548">
        <v>1</v>
      </c>
    </row>
    <row r="1549" spans="1:2">
      <c r="A1549" s="10" t="s">
        <v>2450</v>
      </c>
      <c r="B1549">
        <v>1</v>
      </c>
    </row>
    <row r="1550" spans="1:2">
      <c r="A1550" s="10" t="s">
        <v>2672</v>
      </c>
      <c r="B1550">
        <v>1</v>
      </c>
    </row>
    <row r="1551" spans="1:2">
      <c r="A1551" s="10" t="s">
        <v>2450</v>
      </c>
      <c r="B1551">
        <v>1</v>
      </c>
    </row>
    <row r="1552" spans="1:2">
      <c r="A1552" s="10" t="s">
        <v>2436</v>
      </c>
      <c r="B1552">
        <v>1</v>
      </c>
    </row>
    <row r="1553" spans="1:2">
      <c r="A1553" s="10" t="s">
        <v>2436</v>
      </c>
      <c r="B1553">
        <v>1</v>
      </c>
    </row>
    <row r="1554" spans="1:2">
      <c r="A1554" s="10" t="s">
        <v>2454</v>
      </c>
      <c r="B1554">
        <v>1</v>
      </c>
    </row>
    <row r="1555" spans="1:2">
      <c r="A1555" s="10" t="s">
        <v>2436</v>
      </c>
      <c r="B1555">
        <v>1</v>
      </c>
    </row>
    <row r="1556" spans="1:2">
      <c r="A1556" s="10" t="s">
        <v>2436</v>
      </c>
      <c r="B1556">
        <v>1</v>
      </c>
    </row>
    <row r="1557" spans="1:2">
      <c r="A1557" s="10" t="s">
        <v>2457</v>
      </c>
      <c r="B1557">
        <v>2</v>
      </c>
    </row>
    <row r="1558" spans="1:2">
      <c r="A1558" s="10" t="s">
        <v>2460</v>
      </c>
      <c r="B1558">
        <v>1</v>
      </c>
    </row>
    <row r="1559" spans="1:2">
      <c r="A1559" s="10" t="s">
        <v>20</v>
      </c>
      <c r="B1559">
        <v>1</v>
      </c>
    </row>
    <row r="1560" spans="1:2">
      <c r="A1560" s="10" t="s">
        <v>2436</v>
      </c>
      <c r="B1560">
        <v>1</v>
      </c>
    </row>
    <row r="1561" spans="1:2">
      <c r="A1561" s="10" t="s">
        <v>2436</v>
      </c>
      <c r="B1561">
        <v>1</v>
      </c>
    </row>
    <row r="1562" spans="1:2">
      <c r="A1562" s="10" t="s">
        <v>2436</v>
      </c>
      <c r="B1562">
        <v>1</v>
      </c>
    </row>
    <row r="1563" spans="1:2">
      <c r="A1563" s="10" t="s">
        <v>2436</v>
      </c>
      <c r="B1563">
        <v>1</v>
      </c>
    </row>
    <row r="1564" spans="1:2">
      <c r="A1564" s="10" t="s">
        <v>2457</v>
      </c>
      <c r="B1564">
        <v>2</v>
      </c>
    </row>
    <row r="1565" spans="1:2">
      <c r="A1565" s="10" t="s">
        <v>2460</v>
      </c>
      <c r="B1565">
        <v>1</v>
      </c>
    </row>
    <row r="1566" spans="1:2">
      <c r="A1566" s="10" t="s">
        <v>2436</v>
      </c>
      <c r="B1566">
        <v>1</v>
      </c>
    </row>
    <row r="1567" spans="1:2">
      <c r="A1567" s="10" t="s">
        <v>2450</v>
      </c>
      <c r="B1567">
        <v>1</v>
      </c>
    </row>
    <row r="1568" spans="1:2">
      <c r="A1568" s="10" t="s">
        <v>2436</v>
      </c>
      <c r="B1568">
        <v>1</v>
      </c>
    </row>
    <row r="1569" spans="1:2">
      <c r="A1569" s="10" t="s">
        <v>20</v>
      </c>
      <c r="B1569">
        <v>1</v>
      </c>
    </row>
    <row r="1570" spans="1:2">
      <c r="A1570" s="10" t="s">
        <v>2457</v>
      </c>
      <c r="B1570">
        <v>2</v>
      </c>
    </row>
    <row r="1571" spans="1:2">
      <c r="A1571" s="10" t="s">
        <v>2460</v>
      </c>
      <c r="B1571">
        <v>1</v>
      </c>
    </row>
    <row r="1572" spans="1:2">
      <c r="A1572" s="10" t="s">
        <v>2436</v>
      </c>
      <c r="B1572">
        <v>1</v>
      </c>
    </row>
    <row r="1573" spans="1:2">
      <c r="A1573" s="10" t="s">
        <v>2436</v>
      </c>
      <c r="B1573">
        <v>1</v>
      </c>
    </row>
    <row r="1574" spans="1:2">
      <c r="A1574" s="10" t="s">
        <v>32</v>
      </c>
      <c r="B1574">
        <v>1</v>
      </c>
    </row>
    <row r="1575" spans="1:2">
      <c r="A1575" s="10" t="s">
        <v>2517</v>
      </c>
      <c r="B1575">
        <v>1</v>
      </c>
    </row>
    <row r="1576" spans="1:2">
      <c r="A1576" s="10" t="s">
        <v>2517</v>
      </c>
      <c r="B1576">
        <v>1</v>
      </c>
    </row>
    <row r="1577" spans="1:2">
      <c r="A1577" s="10" t="s">
        <v>2436</v>
      </c>
      <c r="B1577">
        <v>1</v>
      </c>
    </row>
    <row r="1578" spans="1:2">
      <c r="A1578" s="10" t="s">
        <v>2436</v>
      </c>
      <c r="B1578">
        <v>1</v>
      </c>
    </row>
    <row r="1579" spans="1:2">
      <c r="A1579" s="10" t="s">
        <v>2436</v>
      </c>
      <c r="B1579">
        <v>1</v>
      </c>
    </row>
    <row r="1580" spans="1:2">
      <c r="A1580" s="10" t="s">
        <v>2436</v>
      </c>
      <c r="B1580">
        <v>1</v>
      </c>
    </row>
    <row r="1581" spans="1:2">
      <c r="A1581" s="10" t="s">
        <v>2436</v>
      </c>
      <c r="B1581">
        <v>1</v>
      </c>
    </row>
    <row r="1582" spans="1:2">
      <c r="A1582" s="10" t="s">
        <v>2457</v>
      </c>
      <c r="B1582">
        <v>2</v>
      </c>
    </row>
    <row r="1583" spans="1:2">
      <c r="A1583" s="10" t="s">
        <v>2460</v>
      </c>
      <c r="B1583">
        <v>1</v>
      </c>
    </row>
    <row r="1584" spans="1:2">
      <c r="A1584" s="10" t="s">
        <v>20</v>
      </c>
      <c r="B1584">
        <v>1</v>
      </c>
    </row>
    <row r="1585" spans="1:2">
      <c r="A1585" s="10" t="s">
        <v>2454</v>
      </c>
      <c r="B1585">
        <v>1</v>
      </c>
    </row>
    <row r="1586" spans="1:2">
      <c r="A1586" s="10" t="s">
        <v>2507</v>
      </c>
      <c r="B1586">
        <v>4</v>
      </c>
    </row>
    <row r="1587" spans="1:2">
      <c r="A1587" s="10" t="s">
        <v>2457</v>
      </c>
      <c r="B1587">
        <v>2</v>
      </c>
    </row>
    <row r="1588" spans="1:2">
      <c r="A1588" s="10" t="s">
        <v>2460</v>
      </c>
      <c r="B1588">
        <v>1</v>
      </c>
    </row>
    <row r="1589" spans="1:2">
      <c r="A1589" s="10" t="s">
        <v>2436</v>
      </c>
      <c r="B1589">
        <v>1</v>
      </c>
    </row>
    <row r="1590" spans="1:2">
      <c r="A1590" s="10" t="s">
        <v>2436</v>
      </c>
      <c r="B1590">
        <v>1</v>
      </c>
    </row>
    <row r="1591" spans="1:2">
      <c r="A1591" s="10" t="s">
        <v>2436</v>
      </c>
      <c r="B1591">
        <v>1</v>
      </c>
    </row>
    <row r="1592" spans="1:2">
      <c r="A1592" s="10" t="s">
        <v>2436</v>
      </c>
      <c r="B1592">
        <v>1</v>
      </c>
    </row>
    <row r="1593" spans="1:2">
      <c r="A1593" s="10" t="s">
        <v>2436</v>
      </c>
      <c r="B1593">
        <v>1</v>
      </c>
    </row>
    <row r="1594" spans="1:2">
      <c r="A1594" s="10" t="s">
        <v>2440</v>
      </c>
      <c r="B1594">
        <v>0.5</v>
      </c>
    </row>
    <row r="1595" spans="1:2">
      <c r="A1595" s="10" t="s">
        <v>2436</v>
      </c>
      <c r="B1595">
        <v>1</v>
      </c>
    </row>
    <row r="1596" spans="1:2">
      <c r="A1596" s="10" t="s">
        <v>2436</v>
      </c>
      <c r="B1596">
        <v>1</v>
      </c>
    </row>
    <row r="1597" spans="1:2">
      <c r="A1597" s="10" t="s">
        <v>2457</v>
      </c>
      <c r="B1597">
        <v>2</v>
      </c>
    </row>
    <row r="1598" spans="1:2">
      <c r="A1598" s="10" t="s">
        <v>2460</v>
      </c>
      <c r="B1598">
        <v>1</v>
      </c>
    </row>
    <row r="1599" spans="1:2">
      <c r="A1599" s="10" t="s">
        <v>2436</v>
      </c>
      <c r="B1599">
        <v>1</v>
      </c>
    </row>
    <row r="1600" spans="1:2">
      <c r="A1600" s="10" t="s">
        <v>2436</v>
      </c>
      <c r="B1600">
        <v>1</v>
      </c>
    </row>
    <row r="1601" spans="1:2">
      <c r="A1601" s="10" t="s">
        <v>2440</v>
      </c>
      <c r="B1601">
        <v>0.5</v>
      </c>
    </row>
    <row r="1602" spans="1:2">
      <c r="A1602" s="10" t="s">
        <v>2436</v>
      </c>
      <c r="B1602">
        <v>1</v>
      </c>
    </row>
    <row r="1603" spans="1:2">
      <c r="A1603" s="10" t="s">
        <v>2436</v>
      </c>
      <c r="B1603">
        <v>1</v>
      </c>
    </row>
    <row r="1604" spans="1:2">
      <c r="A1604" s="10" t="s">
        <v>3166</v>
      </c>
      <c r="B1604">
        <v>1</v>
      </c>
    </row>
    <row r="1605" spans="1:2">
      <c r="A1605" s="10" t="s">
        <v>2672</v>
      </c>
      <c r="B1605">
        <v>1</v>
      </c>
    </row>
    <row r="1606" spans="1:2">
      <c r="A1606" s="10" t="s">
        <v>2450</v>
      </c>
      <c r="B1606">
        <v>1</v>
      </c>
    </row>
    <row r="1607" spans="1:2">
      <c r="A1607" s="10" t="s">
        <v>2436</v>
      </c>
      <c r="B1607">
        <v>1</v>
      </c>
    </row>
    <row r="1608" spans="1:2">
      <c r="A1608" s="10" t="s">
        <v>2436</v>
      </c>
      <c r="B1608">
        <v>1</v>
      </c>
    </row>
    <row r="1609" spans="1:2">
      <c r="A1609" s="10" t="s">
        <v>2436</v>
      </c>
      <c r="B1609">
        <v>1</v>
      </c>
    </row>
    <row r="1610" spans="1:2">
      <c r="A1610" s="10" t="s">
        <v>2436</v>
      </c>
      <c r="B1610">
        <v>1</v>
      </c>
    </row>
    <row r="1611" spans="1:2">
      <c r="A1611" s="10" t="s">
        <v>2436</v>
      </c>
      <c r="B1611">
        <v>1</v>
      </c>
    </row>
    <row r="1612" spans="1:2">
      <c r="A1612" s="10" t="s">
        <v>2457</v>
      </c>
      <c r="B1612">
        <v>2</v>
      </c>
    </row>
    <row r="1613" spans="1:2">
      <c r="A1613" s="10" t="s">
        <v>2460</v>
      </c>
      <c r="B1613">
        <v>1</v>
      </c>
    </row>
    <row r="1614" spans="1:2">
      <c r="A1614" s="10" t="s">
        <v>2436</v>
      </c>
      <c r="B1614">
        <v>1</v>
      </c>
    </row>
    <row r="1615" spans="1:2">
      <c r="A1615" s="10" t="s">
        <v>2436</v>
      </c>
      <c r="B1615">
        <v>1</v>
      </c>
    </row>
    <row r="1616" spans="1:2">
      <c r="A1616" s="10" t="s">
        <v>2436</v>
      </c>
      <c r="B1616">
        <v>1</v>
      </c>
    </row>
    <row r="1617" spans="1:2">
      <c r="A1617" s="10" t="s">
        <v>2450</v>
      </c>
      <c r="B1617">
        <v>1</v>
      </c>
    </row>
    <row r="1618" spans="1:2">
      <c r="A1618" s="10" t="s">
        <v>2436</v>
      </c>
      <c r="B1618">
        <v>1</v>
      </c>
    </row>
    <row r="1619" spans="1:2">
      <c r="A1619" s="10" t="s">
        <v>2450</v>
      </c>
      <c r="B1619">
        <v>1</v>
      </c>
    </row>
    <row r="1620" spans="1:2">
      <c r="A1620" s="10" t="s">
        <v>2436</v>
      </c>
      <c r="B1620">
        <v>1</v>
      </c>
    </row>
    <row r="1621" spans="1:2">
      <c r="A1621" s="10" t="s">
        <v>2436</v>
      </c>
      <c r="B1621">
        <v>1</v>
      </c>
    </row>
    <row r="1622" spans="1:2">
      <c r="A1622" s="10" t="s">
        <v>2436</v>
      </c>
      <c r="B1622">
        <v>1</v>
      </c>
    </row>
    <row r="1623" spans="1:2">
      <c r="A1623" s="10" t="s">
        <v>2436</v>
      </c>
      <c r="B1623">
        <v>1</v>
      </c>
    </row>
    <row r="1624" spans="1:2">
      <c r="A1624" s="10" t="s">
        <v>2436</v>
      </c>
      <c r="B1624">
        <v>1</v>
      </c>
    </row>
    <row r="1625" spans="1:2">
      <c r="A1625" s="10" t="s">
        <v>2436</v>
      </c>
      <c r="B1625">
        <v>1</v>
      </c>
    </row>
    <row r="1626" spans="1:2">
      <c r="A1626" s="10" t="s">
        <v>2436</v>
      </c>
      <c r="B1626">
        <v>1</v>
      </c>
    </row>
    <row r="1627" spans="1:2">
      <c r="A1627" s="10" t="s">
        <v>2436</v>
      </c>
      <c r="B1627">
        <v>1</v>
      </c>
    </row>
    <row r="1628" spans="1:2">
      <c r="A1628" s="10" t="s">
        <v>2457</v>
      </c>
      <c r="B1628">
        <v>2</v>
      </c>
    </row>
    <row r="1629" spans="1:2">
      <c r="A1629" s="10" t="s">
        <v>2460</v>
      </c>
      <c r="B1629">
        <v>1</v>
      </c>
    </row>
    <row r="1630" spans="1:2">
      <c r="A1630" s="10" t="s">
        <v>2457</v>
      </c>
      <c r="B1630">
        <v>2</v>
      </c>
    </row>
    <row r="1631" spans="1:2">
      <c r="A1631" s="10" t="s">
        <v>2460</v>
      </c>
      <c r="B1631">
        <v>1</v>
      </c>
    </row>
    <row r="1632" spans="1:2">
      <c r="A1632" s="10" t="s">
        <v>2436</v>
      </c>
      <c r="B1632">
        <v>1</v>
      </c>
    </row>
    <row r="1633" spans="1:2">
      <c r="A1633" s="10" t="s">
        <v>2653</v>
      </c>
      <c r="B1633">
        <v>1</v>
      </c>
    </row>
    <row r="1634" spans="1:2">
      <c r="A1634" s="10" t="s">
        <v>2436</v>
      </c>
      <c r="B1634">
        <v>1</v>
      </c>
    </row>
    <row r="1635" spans="1:2">
      <c r="A1635" s="10" t="s">
        <v>2653</v>
      </c>
      <c r="B1635">
        <v>1</v>
      </c>
    </row>
    <row r="1636" spans="1:2">
      <c r="A1636" s="10" t="s">
        <v>4373</v>
      </c>
      <c r="B1636">
        <v>1</v>
      </c>
    </row>
    <row r="1637" spans="1:2">
      <c r="A1637" s="10" t="s">
        <v>2653</v>
      </c>
      <c r="B1637">
        <v>1</v>
      </c>
    </row>
    <row r="1638" spans="1:2">
      <c r="A1638" s="10" t="s">
        <v>2436</v>
      </c>
      <c r="B1638">
        <v>1</v>
      </c>
    </row>
    <row r="1639" spans="1:2">
      <c r="A1639" s="10" t="s">
        <v>2588</v>
      </c>
      <c r="B1639">
        <v>1</v>
      </c>
    </row>
    <row r="1640" spans="1:2">
      <c r="A1640" s="10" t="s">
        <v>2626</v>
      </c>
      <c r="B1640">
        <v>1</v>
      </c>
    </row>
    <row r="1641" spans="1:2">
      <c r="A1641" s="10" t="s">
        <v>2450</v>
      </c>
      <c r="B1641">
        <v>1</v>
      </c>
    </row>
    <row r="1642" spans="1:2">
      <c r="A1642" s="10" t="s">
        <v>2436</v>
      </c>
      <c r="B1642">
        <v>1</v>
      </c>
    </row>
    <row r="1643" spans="1:2">
      <c r="A1643" s="10" t="s">
        <v>2626</v>
      </c>
      <c r="B1643">
        <v>1</v>
      </c>
    </row>
    <row r="1644" spans="1:2">
      <c r="A1644" s="10" t="s">
        <v>2436</v>
      </c>
      <c r="B1644">
        <v>1</v>
      </c>
    </row>
    <row r="1645" spans="1:2">
      <c r="A1645" s="10" t="s">
        <v>2440</v>
      </c>
      <c r="B1645">
        <v>0.5</v>
      </c>
    </row>
    <row r="1646" spans="1:2">
      <c r="A1646" s="10" t="s">
        <v>2436</v>
      </c>
      <c r="B1646">
        <v>1</v>
      </c>
    </row>
    <row r="1647" spans="1:2">
      <c r="A1647" s="10" t="s">
        <v>2436</v>
      </c>
      <c r="B1647">
        <v>1</v>
      </c>
    </row>
    <row r="1648" spans="1:2">
      <c r="A1648" s="10" t="s">
        <v>2436</v>
      </c>
      <c r="B1648">
        <v>1</v>
      </c>
    </row>
    <row r="1649" spans="1:2">
      <c r="A1649" s="10" t="s">
        <v>2436</v>
      </c>
      <c r="B1649">
        <v>1</v>
      </c>
    </row>
    <row r="1650" spans="1:2">
      <c r="A1650" s="10" t="s">
        <v>2436</v>
      </c>
      <c r="B1650">
        <v>1</v>
      </c>
    </row>
    <row r="1651" spans="1:2">
      <c r="A1651" s="10" t="s">
        <v>2436</v>
      </c>
      <c r="B1651">
        <v>1</v>
      </c>
    </row>
    <row r="1652" spans="1:2">
      <c r="A1652" s="10" t="s">
        <v>2436</v>
      </c>
      <c r="B1652">
        <v>1</v>
      </c>
    </row>
    <row r="1653" spans="1:2">
      <c r="A1653" s="10" t="s">
        <v>2436</v>
      </c>
      <c r="B1653">
        <v>1</v>
      </c>
    </row>
    <row r="1654" spans="1:2">
      <c r="A1654" s="10" t="s">
        <v>2672</v>
      </c>
      <c r="B1654">
        <v>1</v>
      </c>
    </row>
    <row r="1655" spans="1:2">
      <c r="A1655" s="10" t="s">
        <v>2450</v>
      </c>
      <c r="B1655">
        <v>1</v>
      </c>
    </row>
    <row r="1656" spans="1:2">
      <c r="A1656" s="10" t="s">
        <v>2450</v>
      </c>
      <c r="B1656">
        <v>1</v>
      </c>
    </row>
    <row r="1657" spans="1:2">
      <c r="A1657" s="10" t="s">
        <v>2450</v>
      </c>
      <c r="B1657">
        <v>1</v>
      </c>
    </row>
    <row r="1658" spans="1:2">
      <c r="A1658" s="10" t="s">
        <v>2436</v>
      </c>
      <c r="B1658">
        <v>1</v>
      </c>
    </row>
    <row r="1659" spans="1:2">
      <c r="A1659" s="10" t="s">
        <v>2436</v>
      </c>
      <c r="B1659">
        <v>1</v>
      </c>
    </row>
    <row r="1660" spans="1:2">
      <c r="A1660" s="10" t="s">
        <v>2457</v>
      </c>
      <c r="B1660">
        <v>2</v>
      </c>
    </row>
    <row r="1661" spans="1:2">
      <c r="A1661" s="10" t="s">
        <v>2460</v>
      </c>
      <c r="B1661">
        <v>1</v>
      </c>
    </row>
    <row r="1662" spans="1:2">
      <c r="A1662" s="10" t="s">
        <v>2436</v>
      </c>
      <c r="B1662">
        <v>1</v>
      </c>
    </row>
    <row r="1663" spans="1:2">
      <c r="A1663" s="10" t="s">
        <v>2436</v>
      </c>
      <c r="B1663">
        <v>1</v>
      </c>
    </row>
    <row r="1664" spans="1:2">
      <c r="A1664" s="10" t="s">
        <v>2440</v>
      </c>
      <c r="B1664">
        <v>0.5</v>
      </c>
    </row>
    <row r="1665" spans="1:2">
      <c r="A1665" s="10" t="s">
        <v>2436</v>
      </c>
      <c r="B1665">
        <v>1</v>
      </c>
    </row>
    <row r="1666" spans="1:2">
      <c r="A1666" s="10" t="s">
        <v>2436</v>
      </c>
      <c r="B1666">
        <v>1</v>
      </c>
    </row>
    <row r="1667" spans="1:2">
      <c r="A1667" s="10" t="s">
        <v>2440</v>
      </c>
      <c r="B1667">
        <v>0.5</v>
      </c>
    </row>
    <row r="1668" spans="1:2">
      <c r="A1668" s="10" t="s">
        <v>2436</v>
      </c>
      <c r="B1668">
        <v>1</v>
      </c>
    </row>
    <row r="1669" spans="1:2">
      <c r="A1669" s="10" t="s">
        <v>2436</v>
      </c>
      <c r="B1669">
        <v>1</v>
      </c>
    </row>
    <row r="1670" spans="1:2">
      <c r="A1670" s="10" t="s">
        <v>2672</v>
      </c>
      <c r="B1670">
        <v>1</v>
      </c>
    </row>
    <row r="1671" spans="1:2">
      <c r="A1671" s="10" t="s">
        <v>2436</v>
      </c>
      <c r="B1671">
        <v>1</v>
      </c>
    </row>
    <row r="1672" spans="1:2">
      <c r="A1672" s="10" t="s">
        <v>2436</v>
      </c>
      <c r="B1672">
        <v>1</v>
      </c>
    </row>
    <row r="1673" spans="1:2">
      <c r="A1673" s="10" t="s">
        <v>2436</v>
      </c>
      <c r="B1673">
        <v>1</v>
      </c>
    </row>
    <row r="1674" spans="1:2">
      <c r="A1674" s="10" t="s">
        <v>2436</v>
      </c>
      <c r="B1674">
        <v>1</v>
      </c>
    </row>
    <row r="1675" spans="1:2">
      <c r="A1675" s="10" t="s">
        <v>2436</v>
      </c>
      <c r="B1675">
        <v>1</v>
      </c>
    </row>
    <row r="1676" spans="1:2">
      <c r="A1676" s="10" t="s">
        <v>2436</v>
      </c>
      <c r="B1676">
        <v>1</v>
      </c>
    </row>
    <row r="1677" spans="1:2">
      <c r="A1677" s="10" t="s">
        <v>40</v>
      </c>
      <c r="B1677">
        <v>1</v>
      </c>
    </row>
    <row r="1678" spans="1:2">
      <c r="A1678" s="10" t="s">
        <v>2436</v>
      </c>
      <c r="B1678">
        <v>1</v>
      </c>
    </row>
    <row r="1679" spans="1:2">
      <c r="A1679" s="10" t="s">
        <v>2436</v>
      </c>
      <c r="B1679">
        <v>1</v>
      </c>
    </row>
    <row r="1680" spans="1:2">
      <c r="A1680" s="10" t="s">
        <v>2436</v>
      </c>
      <c r="B1680">
        <v>1</v>
      </c>
    </row>
    <row r="1681" spans="1:2">
      <c r="A1681" s="10" t="s">
        <v>2436</v>
      </c>
      <c r="B1681">
        <v>1</v>
      </c>
    </row>
    <row r="1682" spans="1:2">
      <c r="A1682" s="10" t="s">
        <v>2436</v>
      </c>
      <c r="B1682">
        <v>1</v>
      </c>
    </row>
    <row r="1683" spans="1:2">
      <c r="A1683" s="10" t="s">
        <v>2436</v>
      </c>
      <c r="B1683">
        <v>1</v>
      </c>
    </row>
    <row r="1684" spans="1:2">
      <c r="A1684" s="10" t="s">
        <v>2436</v>
      </c>
      <c r="B1684">
        <v>1</v>
      </c>
    </row>
    <row r="1685" spans="1:2">
      <c r="A1685" s="10" t="s">
        <v>2450</v>
      </c>
      <c r="B1685">
        <v>1</v>
      </c>
    </row>
    <row r="1686" spans="1:2">
      <c r="A1686" s="10" t="s">
        <v>2436</v>
      </c>
      <c r="B1686">
        <v>1</v>
      </c>
    </row>
    <row r="1687" spans="1:2">
      <c r="A1687" s="10" t="s">
        <v>2436</v>
      </c>
      <c r="B1687">
        <v>1</v>
      </c>
    </row>
    <row r="1688" spans="1:2">
      <c r="A1688" s="10" t="s">
        <v>2436</v>
      </c>
      <c r="B1688">
        <v>1</v>
      </c>
    </row>
    <row r="1689" spans="1:2">
      <c r="A1689" s="10" t="s">
        <v>2436</v>
      </c>
      <c r="B1689">
        <v>1</v>
      </c>
    </row>
    <row r="1690" spans="1:2">
      <c r="A1690" s="10" t="s">
        <v>2436</v>
      </c>
      <c r="B1690">
        <v>1</v>
      </c>
    </row>
    <row r="1691" spans="1:2">
      <c r="A1691" s="10" t="s">
        <v>2436</v>
      </c>
      <c r="B1691">
        <v>1</v>
      </c>
    </row>
    <row r="1692" spans="1:2">
      <c r="A1692" s="10" t="s">
        <v>2436</v>
      </c>
      <c r="B1692">
        <v>1</v>
      </c>
    </row>
    <row r="1693" spans="1:2">
      <c r="A1693" s="10" t="s">
        <v>2436</v>
      </c>
      <c r="B1693">
        <v>1</v>
      </c>
    </row>
    <row r="1694" spans="1:2">
      <c r="A1694" s="10" t="s">
        <v>2436</v>
      </c>
      <c r="B1694">
        <v>1</v>
      </c>
    </row>
    <row r="1695" spans="1:2">
      <c r="A1695" s="10" t="s">
        <v>2672</v>
      </c>
      <c r="B1695">
        <v>1</v>
      </c>
    </row>
    <row r="1696" spans="1:2">
      <c r="A1696" s="10" t="s">
        <v>2450</v>
      </c>
      <c r="B1696">
        <v>1</v>
      </c>
    </row>
    <row r="1697" spans="1:2">
      <c r="A1697" s="10" t="s">
        <v>2626</v>
      </c>
      <c r="B1697">
        <v>1</v>
      </c>
    </row>
    <row r="1698" spans="1:2">
      <c r="A1698" s="10" t="s">
        <v>2436</v>
      </c>
      <c r="B1698">
        <v>1</v>
      </c>
    </row>
    <row r="1699" spans="1:2">
      <c r="A1699" s="10" t="s">
        <v>2436</v>
      </c>
      <c r="B1699">
        <v>1</v>
      </c>
    </row>
    <row r="1700" spans="1:2">
      <c r="A1700" s="10" t="s">
        <v>2454</v>
      </c>
      <c r="B1700">
        <v>1</v>
      </c>
    </row>
    <row r="1701" spans="1:2">
      <c r="A1701" s="10" t="s">
        <v>2436</v>
      </c>
      <c r="B1701">
        <v>1</v>
      </c>
    </row>
    <row r="1702" spans="1:2">
      <c r="A1702" s="10" t="s">
        <v>2436</v>
      </c>
      <c r="B1702">
        <v>1</v>
      </c>
    </row>
    <row r="1703" spans="1:2">
      <c r="A1703" s="10" t="s">
        <v>2457</v>
      </c>
      <c r="B1703">
        <v>2</v>
      </c>
    </row>
    <row r="1704" spans="1:2">
      <c r="A1704" s="10" t="s">
        <v>2460</v>
      </c>
      <c r="B1704">
        <v>1</v>
      </c>
    </row>
    <row r="1705" spans="1:2">
      <c r="A1705" s="10" t="s">
        <v>20</v>
      </c>
      <c r="B1705">
        <v>1</v>
      </c>
    </row>
    <row r="1706" spans="1:2">
      <c r="A1706" s="10" t="s">
        <v>2436</v>
      </c>
      <c r="B1706">
        <v>1</v>
      </c>
    </row>
    <row r="1707" spans="1:2">
      <c r="A1707" s="10" t="s">
        <v>2436</v>
      </c>
      <c r="B1707">
        <v>1</v>
      </c>
    </row>
    <row r="1708" spans="1:2">
      <c r="A1708" s="10" t="s">
        <v>2436</v>
      </c>
      <c r="B1708">
        <v>1</v>
      </c>
    </row>
    <row r="1709" spans="1:2">
      <c r="A1709" s="10" t="s">
        <v>2436</v>
      </c>
      <c r="B1709">
        <v>1</v>
      </c>
    </row>
    <row r="1710" spans="1:2">
      <c r="A1710" s="10" t="s">
        <v>2457</v>
      </c>
      <c r="B1710">
        <v>2</v>
      </c>
    </row>
    <row r="1711" spans="1:2">
      <c r="A1711" s="10" t="s">
        <v>2460</v>
      </c>
      <c r="B1711">
        <v>1</v>
      </c>
    </row>
    <row r="1712" spans="1:2">
      <c r="A1712" s="10" t="s">
        <v>2436</v>
      </c>
      <c r="B1712">
        <v>1</v>
      </c>
    </row>
    <row r="1713" spans="1:2">
      <c r="A1713" s="10" t="s">
        <v>2450</v>
      </c>
      <c r="B1713">
        <v>1</v>
      </c>
    </row>
    <row r="1714" spans="1:2">
      <c r="A1714" s="10" t="s">
        <v>2436</v>
      </c>
      <c r="B1714">
        <v>1</v>
      </c>
    </row>
    <row r="1715" spans="1:2">
      <c r="A1715" s="10" t="s">
        <v>20</v>
      </c>
      <c r="B1715">
        <v>1</v>
      </c>
    </row>
    <row r="1716" spans="1:2">
      <c r="A1716" s="10" t="s">
        <v>2507</v>
      </c>
      <c r="B1716">
        <v>4</v>
      </c>
    </row>
    <row r="1717" spans="1:2">
      <c r="A1717" s="10" t="s">
        <v>2457</v>
      </c>
      <c r="B1717">
        <v>2</v>
      </c>
    </row>
    <row r="1718" spans="1:2">
      <c r="A1718" s="10" t="s">
        <v>2460</v>
      </c>
      <c r="B1718">
        <v>1</v>
      </c>
    </row>
    <row r="1719" spans="1:2">
      <c r="A1719" s="10" t="s">
        <v>2436</v>
      </c>
      <c r="B1719">
        <v>1</v>
      </c>
    </row>
    <row r="1720" spans="1:2">
      <c r="A1720" s="10" t="s">
        <v>2436</v>
      </c>
      <c r="B1720">
        <v>1</v>
      </c>
    </row>
    <row r="1721" spans="1:2">
      <c r="A1721" s="10" t="s">
        <v>32</v>
      </c>
      <c r="B1721">
        <v>1</v>
      </c>
    </row>
    <row r="1722" spans="1:2">
      <c r="A1722" s="10" t="s">
        <v>2517</v>
      </c>
      <c r="B1722">
        <v>1</v>
      </c>
    </row>
    <row r="1723" spans="1:2">
      <c r="A1723" s="10" t="s">
        <v>2517</v>
      </c>
      <c r="B1723">
        <v>1</v>
      </c>
    </row>
    <row r="1724" spans="1:2">
      <c r="A1724" s="10" t="s">
        <v>2436</v>
      </c>
      <c r="B1724">
        <v>1</v>
      </c>
    </row>
    <row r="1725" spans="1:2">
      <c r="A1725" s="10" t="s">
        <v>2436</v>
      </c>
      <c r="B1725">
        <v>1</v>
      </c>
    </row>
    <row r="1726" spans="1:2">
      <c r="A1726" s="10" t="s">
        <v>2436</v>
      </c>
      <c r="B1726">
        <v>1</v>
      </c>
    </row>
    <row r="1727" spans="1:2">
      <c r="A1727" s="10" t="s">
        <v>2436</v>
      </c>
      <c r="B1727">
        <v>1</v>
      </c>
    </row>
    <row r="1728" spans="1:2">
      <c r="A1728" s="10" t="s">
        <v>2436</v>
      </c>
      <c r="B1728">
        <v>1</v>
      </c>
    </row>
    <row r="1729" spans="1:2">
      <c r="A1729" s="10" t="s">
        <v>2436</v>
      </c>
      <c r="B1729">
        <v>1</v>
      </c>
    </row>
    <row r="1730" spans="1:2">
      <c r="A1730" s="10" t="s">
        <v>2457</v>
      </c>
      <c r="B1730">
        <v>2</v>
      </c>
    </row>
    <row r="1731" spans="1:2">
      <c r="A1731" s="10" t="s">
        <v>2460</v>
      </c>
      <c r="B1731">
        <v>1</v>
      </c>
    </row>
    <row r="1732" spans="1:2">
      <c r="A1732" s="10" t="s">
        <v>20</v>
      </c>
      <c r="B1732">
        <v>1</v>
      </c>
    </row>
    <row r="1733" spans="1:2">
      <c r="A1733" s="10" t="s">
        <v>2454</v>
      </c>
      <c r="B1733">
        <v>1</v>
      </c>
    </row>
    <row r="1734" spans="1:2">
      <c r="A1734" s="10" t="s">
        <v>2507</v>
      </c>
      <c r="B1734">
        <v>4</v>
      </c>
    </row>
    <row r="1735" spans="1:2">
      <c r="A1735" s="10" t="s">
        <v>2457</v>
      </c>
      <c r="B1735">
        <v>2</v>
      </c>
    </row>
    <row r="1736" spans="1:2">
      <c r="A1736" s="10" t="s">
        <v>2460</v>
      </c>
      <c r="B1736">
        <v>1</v>
      </c>
    </row>
    <row r="1737" spans="1:2">
      <c r="A1737" s="10" t="s">
        <v>2436</v>
      </c>
      <c r="B1737">
        <v>1</v>
      </c>
    </row>
    <row r="1738" spans="1:2">
      <c r="A1738" s="10" t="s">
        <v>2436</v>
      </c>
      <c r="B1738">
        <v>1</v>
      </c>
    </row>
    <row r="1739" spans="1:2">
      <c r="A1739" s="10" t="s">
        <v>2436</v>
      </c>
      <c r="B1739">
        <v>1</v>
      </c>
    </row>
    <row r="1740" spans="1:2">
      <c r="A1740" s="10" t="s">
        <v>2436</v>
      </c>
      <c r="B1740">
        <v>1</v>
      </c>
    </row>
    <row r="1741" spans="1:2">
      <c r="A1741" s="10" t="s">
        <v>2436</v>
      </c>
      <c r="B1741">
        <v>1</v>
      </c>
    </row>
    <row r="1742" spans="1:2">
      <c r="A1742" s="10" t="s">
        <v>2440</v>
      </c>
      <c r="B1742">
        <v>0.5</v>
      </c>
    </row>
    <row r="1743" spans="1:2">
      <c r="A1743" s="10" t="s">
        <v>2436</v>
      </c>
      <c r="B1743">
        <v>1</v>
      </c>
    </row>
    <row r="1744" spans="1:2">
      <c r="A1744" s="10" t="s">
        <v>2436</v>
      </c>
      <c r="B1744">
        <v>1</v>
      </c>
    </row>
    <row r="1745" spans="1:2">
      <c r="A1745" s="10" t="s">
        <v>2457</v>
      </c>
      <c r="B1745">
        <v>2</v>
      </c>
    </row>
    <row r="1746" spans="1:2">
      <c r="A1746" s="10" t="s">
        <v>2460</v>
      </c>
      <c r="B1746">
        <v>1</v>
      </c>
    </row>
    <row r="1747" spans="1:2">
      <c r="A1747" s="10" t="s">
        <v>2436</v>
      </c>
      <c r="B1747">
        <v>1</v>
      </c>
    </row>
    <row r="1748" spans="1:2">
      <c r="A1748" s="10" t="s">
        <v>2436</v>
      </c>
      <c r="B1748">
        <v>1</v>
      </c>
    </row>
    <row r="1749" spans="1:2">
      <c r="A1749" s="10" t="s">
        <v>2440</v>
      </c>
      <c r="B1749">
        <v>0.5</v>
      </c>
    </row>
    <row r="1750" spans="1:2">
      <c r="A1750" s="10" t="s">
        <v>2436</v>
      </c>
      <c r="B1750">
        <v>1</v>
      </c>
    </row>
    <row r="1751" spans="1:2">
      <c r="A1751" s="10" t="s">
        <v>2436</v>
      </c>
      <c r="B1751">
        <v>1</v>
      </c>
    </row>
    <row r="1752" spans="1:2">
      <c r="A1752" s="10" t="s">
        <v>3166</v>
      </c>
      <c r="B1752">
        <v>1</v>
      </c>
    </row>
    <row r="1753" spans="1:2">
      <c r="A1753" s="10" t="s">
        <v>2450</v>
      </c>
      <c r="B1753">
        <v>1</v>
      </c>
    </row>
    <row r="1754" spans="1:2">
      <c r="A1754" s="10" t="s">
        <v>2436</v>
      </c>
      <c r="B1754">
        <v>1</v>
      </c>
    </row>
    <row r="1755" spans="1:2">
      <c r="A1755" s="10" t="s">
        <v>2436</v>
      </c>
      <c r="B1755">
        <v>1</v>
      </c>
    </row>
    <row r="1756" spans="1:2">
      <c r="A1756" s="10" t="s">
        <v>2436</v>
      </c>
      <c r="B1756">
        <v>1</v>
      </c>
    </row>
    <row r="1757" spans="1:2">
      <c r="A1757" s="10" t="s">
        <v>2436</v>
      </c>
      <c r="B1757">
        <v>1</v>
      </c>
    </row>
    <row r="1758" spans="1:2">
      <c r="A1758" s="10" t="s">
        <v>2436</v>
      </c>
      <c r="B1758">
        <v>1</v>
      </c>
    </row>
    <row r="1759" spans="1:2">
      <c r="A1759" s="10" t="s">
        <v>2436</v>
      </c>
      <c r="B1759">
        <v>1</v>
      </c>
    </row>
    <row r="1760" spans="1:2">
      <c r="A1760" s="10" t="s">
        <v>2457</v>
      </c>
      <c r="B1760">
        <v>2</v>
      </c>
    </row>
    <row r="1761" spans="1:2">
      <c r="A1761" s="10" t="s">
        <v>2460</v>
      </c>
      <c r="B1761">
        <v>1</v>
      </c>
    </row>
    <row r="1762" spans="1:2">
      <c r="A1762" s="10" t="s">
        <v>2436</v>
      </c>
      <c r="B1762">
        <v>1</v>
      </c>
    </row>
    <row r="1763" spans="1:2">
      <c r="A1763" s="10" t="s">
        <v>2436</v>
      </c>
      <c r="B1763">
        <v>1</v>
      </c>
    </row>
    <row r="1764" spans="1:2">
      <c r="A1764" s="10" t="s">
        <v>2436</v>
      </c>
      <c r="B1764">
        <v>1</v>
      </c>
    </row>
    <row r="1765" spans="1:2">
      <c r="A1765" s="10" t="s">
        <v>2450</v>
      </c>
      <c r="B1765">
        <v>1</v>
      </c>
    </row>
    <row r="1766" spans="1:2">
      <c r="A1766" s="10" t="s">
        <v>2436</v>
      </c>
      <c r="B1766">
        <v>1</v>
      </c>
    </row>
    <row r="1767" spans="1:2">
      <c r="A1767" s="10" t="s">
        <v>2672</v>
      </c>
      <c r="B1767">
        <v>1</v>
      </c>
    </row>
    <row r="1768" spans="1:2">
      <c r="A1768" s="10" t="s">
        <v>2450</v>
      </c>
      <c r="B1768">
        <v>1</v>
      </c>
    </row>
    <row r="1769" spans="1:2">
      <c r="A1769" s="10" t="s">
        <v>2436</v>
      </c>
      <c r="B1769">
        <v>1</v>
      </c>
    </row>
    <row r="1770" spans="1:2">
      <c r="A1770" s="10" t="s">
        <v>2436</v>
      </c>
      <c r="B1770">
        <v>1</v>
      </c>
    </row>
    <row r="1771" spans="1:2">
      <c r="A1771" s="10" t="s">
        <v>2436</v>
      </c>
      <c r="B1771">
        <v>1</v>
      </c>
    </row>
    <row r="1772" spans="1:2">
      <c r="A1772" s="10" t="s">
        <v>2436</v>
      </c>
      <c r="B1772">
        <v>1</v>
      </c>
    </row>
    <row r="1773" spans="1:2">
      <c r="A1773" s="10" t="s">
        <v>2436</v>
      </c>
      <c r="B1773">
        <v>1</v>
      </c>
    </row>
    <row r="1774" spans="1:2">
      <c r="A1774" s="10" t="s">
        <v>2436</v>
      </c>
      <c r="B1774">
        <v>1</v>
      </c>
    </row>
    <row r="1775" spans="1:2">
      <c r="A1775" s="10" t="s">
        <v>2436</v>
      </c>
      <c r="B1775">
        <v>1</v>
      </c>
    </row>
    <row r="1776" spans="1:2">
      <c r="A1776" s="10" t="s">
        <v>2436</v>
      </c>
      <c r="B1776">
        <v>1</v>
      </c>
    </row>
    <row r="1777" spans="1:2">
      <c r="A1777" s="10" t="s">
        <v>2457</v>
      </c>
      <c r="B1777">
        <v>2</v>
      </c>
    </row>
    <row r="1778" spans="1:2">
      <c r="A1778" s="10" t="s">
        <v>2460</v>
      </c>
      <c r="B1778">
        <v>1</v>
      </c>
    </row>
    <row r="1779" spans="1:2">
      <c r="A1779" s="10" t="s">
        <v>2457</v>
      </c>
      <c r="B1779">
        <v>2</v>
      </c>
    </row>
    <row r="1780" spans="1:2">
      <c r="A1780" s="10" t="s">
        <v>2460</v>
      </c>
      <c r="B1780">
        <v>1</v>
      </c>
    </row>
    <row r="1781" spans="1:2">
      <c r="A1781" s="10" t="s">
        <v>2588</v>
      </c>
      <c r="B1781">
        <v>1</v>
      </c>
    </row>
    <row r="1782" spans="1:2">
      <c r="A1782" s="10" t="s">
        <v>2436</v>
      </c>
      <c r="B1782">
        <v>1</v>
      </c>
    </row>
    <row r="1783" spans="1:2">
      <c r="A1783" s="10" t="s">
        <v>2436</v>
      </c>
      <c r="B1783">
        <v>1</v>
      </c>
    </row>
    <row r="1784" spans="1:2">
      <c r="A1784" s="10" t="s">
        <v>4373</v>
      </c>
      <c r="B1784">
        <v>1</v>
      </c>
    </row>
    <row r="1785" spans="1:2">
      <c r="A1785" s="10" t="s">
        <v>2653</v>
      </c>
      <c r="B1785">
        <v>1</v>
      </c>
    </row>
    <row r="1786" spans="1:2">
      <c r="A1786" s="10" t="s">
        <v>2436</v>
      </c>
      <c r="B1786">
        <v>1</v>
      </c>
    </row>
    <row r="1787" spans="1:2">
      <c r="A1787" s="10" t="s">
        <v>2588</v>
      </c>
      <c r="B1787">
        <v>1</v>
      </c>
    </row>
    <row r="1788" spans="1:2">
      <c r="A1788" s="10" t="s">
        <v>2626</v>
      </c>
      <c r="B1788">
        <v>1</v>
      </c>
    </row>
    <row r="1789" spans="1:2">
      <c r="A1789" s="10" t="s">
        <v>2672</v>
      </c>
      <c r="B1789">
        <v>1</v>
      </c>
    </row>
    <row r="1790" spans="1:2">
      <c r="A1790" s="10" t="s">
        <v>2450</v>
      </c>
      <c r="B1790">
        <v>1</v>
      </c>
    </row>
    <row r="1791" spans="1:2">
      <c r="A1791" s="10" t="s">
        <v>2436</v>
      </c>
      <c r="B1791">
        <v>1</v>
      </c>
    </row>
    <row r="1792" spans="1:2">
      <c r="A1792" s="10" t="s">
        <v>2450</v>
      </c>
      <c r="B1792">
        <v>1</v>
      </c>
    </row>
    <row r="1793" spans="1:2">
      <c r="A1793" s="10" t="s">
        <v>2440</v>
      </c>
      <c r="B1793">
        <v>0.5</v>
      </c>
    </row>
    <row r="1794" spans="1:2">
      <c r="A1794" s="10" t="s">
        <v>2436</v>
      </c>
      <c r="B1794">
        <v>1</v>
      </c>
    </row>
    <row r="1795" spans="1:2">
      <c r="A1795" s="10" t="s">
        <v>2436</v>
      </c>
      <c r="B1795">
        <v>1</v>
      </c>
    </row>
    <row r="1796" spans="1:2">
      <c r="A1796" s="10" t="s">
        <v>2436</v>
      </c>
      <c r="B1796">
        <v>1</v>
      </c>
    </row>
    <row r="1797" spans="1:2">
      <c r="A1797" s="10" t="s">
        <v>2436</v>
      </c>
      <c r="B1797">
        <v>1</v>
      </c>
    </row>
    <row r="1798" spans="1:2">
      <c r="A1798" s="10" t="s">
        <v>2436</v>
      </c>
      <c r="B1798">
        <v>1</v>
      </c>
    </row>
    <row r="1799" spans="1:2">
      <c r="A1799" s="10" t="s">
        <v>2436</v>
      </c>
      <c r="B1799">
        <v>1</v>
      </c>
    </row>
    <row r="1800" spans="1:2">
      <c r="A1800" s="10" t="s">
        <v>2436</v>
      </c>
      <c r="B1800">
        <v>1</v>
      </c>
    </row>
    <row r="1801" spans="1:2">
      <c r="A1801" s="10" t="s">
        <v>2436</v>
      </c>
      <c r="B1801">
        <v>1</v>
      </c>
    </row>
    <row r="1802" spans="1:2">
      <c r="A1802" s="10" t="s">
        <v>2672</v>
      </c>
      <c r="B1802">
        <v>1</v>
      </c>
    </row>
    <row r="1803" spans="1:2">
      <c r="A1803" s="10" t="s">
        <v>2450</v>
      </c>
      <c r="B1803">
        <v>1</v>
      </c>
    </row>
    <row r="1804" spans="1:2">
      <c r="A1804" s="10" t="s">
        <v>2450</v>
      </c>
      <c r="B1804">
        <v>1</v>
      </c>
    </row>
    <row r="1805" spans="1:2">
      <c r="A1805" s="10" t="s">
        <v>2436</v>
      </c>
      <c r="B1805">
        <v>1</v>
      </c>
    </row>
    <row r="1806" spans="1:2">
      <c r="A1806" s="10" t="s">
        <v>2436</v>
      </c>
      <c r="B1806">
        <v>1</v>
      </c>
    </row>
    <row r="1807" spans="1:2">
      <c r="A1807" s="10" t="s">
        <v>2450</v>
      </c>
      <c r="B1807">
        <v>1</v>
      </c>
    </row>
    <row r="1808" spans="1:2">
      <c r="A1808" s="10" t="s">
        <v>2457</v>
      </c>
      <c r="B1808">
        <v>2</v>
      </c>
    </row>
    <row r="1809" spans="1:2">
      <c r="A1809" s="10" t="s">
        <v>2460</v>
      </c>
      <c r="B1809">
        <v>1</v>
      </c>
    </row>
    <row r="1810" spans="1:2">
      <c r="A1810" s="10" t="s">
        <v>2436</v>
      </c>
      <c r="B1810">
        <v>1</v>
      </c>
    </row>
    <row r="1811" spans="1:2">
      <c r="A1811" s="10" t="s">
        <v>2436</v>
      </c>
      <c r="B1811">
        <v>1</v>
      </c>
    </row>
    <row r="1812" spans="1:2">
      <c r="A1812" s="10" t="s">
        <v>2440</v>
      </c>
      <c r="B1812">
        <v>0.5</v>
      </c>
    </row>
    <row r="1813" spans="1:2">
      <c r="A1813" s="10" t="s">
        <v>2436</v>
      </c>
      <c r="B1813">
        <v>1</v>
      </c>
    </row>
    <row r="1814" spans="1:2">
      <c r="A1814" s="10" t="s">
        <v>2436</v>
      </c>
      <c r="B1814">
        <v>1</v>
      </c>
    </row>
    <row r="1815" spans="1:2">
      <c r="A1815" s="10" t="s">
        <v>2440</v>
      </c>
      <c r="B1815">
        <v>0.5</v>
      </c>
    </row>
    <row r="1816" spans="1:2">
      <c r="A1816" s="10" t="s">
        <v>2450</v>
      </c>
      <c r="B1816">
        <v>1</v>
      </c>
    </row>
    <row r="1817" spans="1:2">
      <c r="A1817" s="10" t="s">
        <v>2436</v>
      </c>
      <c r="B1817">
        <v>1</v>
      </c>
    </row>
    <row r="1818" spans="1:2">
      <c r="A1818" s="10" t="s">
        <v>2436</v>
      </c>
      <c r="B1818">
        <v>1</v>
      </c>
    </row>
    <row r="1819" spans="1:2">
      <c r="A1819" s="10" t="s">
        <v>2450</v>
      </c>
      <c r="B1819">
        <v>1</v>
      </c>
    </row>
    <row r="1820" spans="1:2">
      <c r="A1820" s="10" t="s">
        <v>2436</v>
      </c>
      <c r="B1820">
        <v>1</v>
      </c>
    </row>
    <row r="1821" spans="1:2">
      <c r="A1821" s="10" t="s">
        <v>2436</v>
      </c>
      <c r="B1821">
        <v>1</v>
      </c>
    </row>
    <row r="1822" spans="1:2">
      <c r="A1822" s="10" t="s">
        <v>2436</v>
      </c>
      <c r="B1822">
        <v>1</v>
      </c>
    </row>
    <row r="1823" spans="1:2">
      <c r="A1823" s="10" t="s">
        <v>2436</v>
      </c>
      <c r="B1823">
        <v>1</v>
      </c>
    </row>
    <row r="1824" spans="1:2">
      <c r="A1824" s="10" t="s">
        <v>2436</v>
      </c>
      <c r="B1824">
        <v>1</v>
      </c>
    </row>
    <row r="1825" spans="1:2">
      <c r="A1825" s="10" t="s">
        <v>2436</v>
      </c>
      <c r="B1825">
        <v>1</v>
      </c>
    </row>
    <row r="1826" spans="1:2">
      <c r="A1826" s="10" t="s">
        <v>40</v>
      </c>
      <c r="B1826">
        <v>1</v>
      </c>
    </row>
    <row r="1827" spans="1:2">
      <c r="A1827" s="10" t="s">
        <v>2436</v>
      </c>
      <c r="B1827">
        <v>1</v>
      </c>
    </row>
    <row r="1828" spans="1:2">
      <c r="A1828" s="10" t="s">
        <v>2436</v>
      </c>
      <c r="B1828">
        <v>1</v>
      </c>
    </row>
    <row r="1829" spans="1:2">
      <c r="A1829" s="10" t="s">
        <v>2436</v>
      </c>
      <c r="B1829">
        <v>1</v>
      </c>
    </row>
    <row r="1830" spans="1:2">
      <c r="A1830" s="10" t="s">
        <v>2436</v>
      </c>
      <c r="B1830">
        <v>1</v>
      </c>
    </row>
    <row r="1831" spans="1:2">
      <c r="A1831" s="10" t="s">
        <v>2436</v>
      </c>
      <c r="B1831">
        <v>1</v>
      </c>
    </row>
    <row r="1832" spans="1:2">
      <c r="A1832" s="10" t="s">
        <v>2436</v>
      </c>
      <c r="B1832">
        <v>1</v>
      </c>
    </row>
    <row r="1833" spans="1:2">
      <c r="A1833" s="10" t="s">
        <v>2436</v>
      </c>
      <c r="B1833">
        <v>1</v>
      </c>
    </row>
    <row r="1834" spans="1:2">
      <c r="A1834" s="10" t="s">
        <v>2450</v>
      </c>
      <c r="B1834">
        <v>1</v>
      </c>
    </row>
    <row r="1835" spans="1:2">
      <c r="A1835" s="10" t="s">
        <v>2436</v>
      </c>
      <c r="B1835">
        <v>1</v>
      </c>
    </row>
    <row r="1836" spans="1:2">
      <c r="A1836" s="10" t="s">
        <v>2436</v>
      </c>
      <c r="B1836">
        <v>1</v>
      </c>
    </row>
    <row r="1837" spans="1:2">
      <c r="A1837" s="10" t="s">
        <v>2436</v>
      </c>
      <c r="B1837">
        <v>1</v>
      </c>
    </row>
    <row r="1838" spans="1:2">
      <c r="A1838" s="10" t="s">
        <v>2436</v>
      </c>
      <c r="B1838">
        <v>1</v>
      </c>
    </row>
    <row r="1839" spans="1:2">
      <c r="A1839" s="10" t="s">
        <v>2436</v>
      </c>
      <c r="B1839">
        <v>1</v>
      </c>
    </row>
    <row r="1840" spans="1:2">
      <c r="A1840" s="10" t="s">
        <v>2436</v>
      </c>
      <c r="B1840">
        <v>1</v>
      </c>
    </row>
    <row r="1841" spans="1:2">
      <c r="A1841" s="10" t="s">
        <v>2436</v>
      </c>
      <c r="B1841">
        <v>1</v>
      </c>
    </row>
    <row r="1842" spans="1:2">
      <c r="A1842" s="10" t="s">
        <v>2436</v>
      </c>
      <c r="B1842">
        <v>1</v>
      </c>
    </row>
    <row r="1843" spans="1:2">
      <c r="A1843" s="10" t="s">
        <v>2436</v>
      </c>
      <c r="B1843">
        <v>1</v>
      </c>
    </row>
    <row r="1844" spans="1:2">
      <c r="A1844" s="10" t="s">
        <v>2436</v>
      </c>
      <c r="B1844">
        <v>1</v>
      </c>
    </row>
    <row r="1845" spans="1:2">
      <c r="A1845" s="10" t="s">
        <v>2436</v>
      </c>
      <c r="B1845">
        <v>1</v>
      </c>
    </row>
    <row r="1846" spans="1:2">
      <c r="A1846" s="10" t="s">
        <v>2436</v>
      </c>
      <c r="B1846">
        <v>1</v>
      </c>
    </row>
    <row r="1847" spans="1:2">
      <c r="A1847" s="10" t="s">
        <v>2436</v>
      </c>
      <c r="B1847">
        <v>1</v>
      </c>
    </row>
    <row r="1848" spans="1:2">
      <c r="A1848" s="10" t="s">
        <v>2436</v>
      </c>
      <c r="B1848">
        <v>1</v>
      </c>
    </row>
    <row r="1849" spans="1:2">
      <c r="A1849" s="10" t="s">
        <v>2436</v>
      </c>
      <c r="B1849">
        <v>1</v>
      </c>
    </row>
    <row r="1850" spans="1:2">
      <c r="A1850" s="10" t="s">
        <v>2436</v>
      </c>
      <c r="B1850">
        <v>1</v>
      </c>
    </row>
    <row r="1851" spans="1:2">
      <c r="A1851" s="10" t="s">
        <v>2450</v>
      </c>
      <c r="B1851">
        <v>1</v>
      </c>
    </row>
    <row r="1852" spans="1:2">
      <c r="A1852" s="10" t="s">
        <v>2672</v>
      </c>
      <c r="B1852">
        <v>1</v>
      </c>
    </row>
    <row r="1853" spans="1:2">
      <c r="A1853" s="10" t="s">
        <v>2450</v>
      </c>
      <c r="B1853">
        <v>1</v>
      </c>
    </row>
    <row r="1854" spans="1:2">
      <c r="A1854" s="10" t="s">
        <v>2436</v>
      </c>
      <c r="B1854">
        <v>1</v>
      </c>
    </row>
    <row r="1855" spans="1:2">
      <c r="A1855" s="10" t="s">
        <v>2436</v>
      </c>
      <c r="B1855">
        <v>1</v>
      </c>
    </row>
    <row r="1856" spans="1:2">
      <c r="A1856" s="10" t="s">
        <v>2454</v>
      </c>
      <c r="B1856">
        <v>1</v>
      </c>
    </row>
    <row r="1857" spans="1:2">
      <c r="A1857" s="10" t="s">
        <v>2436</v>
      </c>
      <c r="B1857">
        <v>1</v>
      </c>
    </row>
    <row r="1858" spans="1:2">
      <c r="A1858" s="10" t="s">
        <v>2436</v>
      </c>
      <c r="B1858">
        <v>1</v>
      </c>
    </row>
    <row r="1859" spans="1:2">
      <c r="A1859" s="10" t="s">
        <v>2436</v>
      </c>
      <c r="B1859">
        <v>1</v>
      </c>
    </row>
    <row r="1860" spans="1:2">
      <c r="A1860" s="10" t="s">
        <v>2457</v>
      </c>
      <c r="B1860">
        <v>2</v>
      </c>
    </row>
    <row r="1861" spans="1:2">
      <c r="A1861" s="10" t="s">
        <v>2460</v>
      </c>
      <c r="B1861">
        <v>1</v>
      </c>
    </row>
    <row r="1862" spans="1:2">
      <c r="A1862" s="10" t="s">
        <v>20</v>
      </c>
      <c r="B1862">
        <v>1</v>
      </c>
    </row>
    <row r="1863" spans="1:2">
      <c r="A1863" s="10" t="s">
        <v>2436</v>
      </c>
      <c r="B1863">
        <v>1</v>
      </c>
    </row>
    <row r="1864" spans="1:2">
      <c r="A1864" s="10" t="s">
        <v>2436</v>
      </c>
      <c r="B1864">
        <v>1</v>
      </c>
    </row>
    <row r="1865" spans="1:2">
      <c r="A1865" s="10" t="s">
        <v>2436</v>
      </c>
      <c r="B1865">
        <v>1</v>
      </c>
    </row>
    <row r="1866" spans="1:2">
      <c r="A1866" s="10" t="s">
        <v>2436</v>
      </c>
      <c r="B1866">
        <v>1</v>
      </c>
    </row>
    <row r="1867" spans="1:2">
      <c r="A1867" s="10" t="s">
        <v>2507</v>
      </c>
      <c r="B1867">
        <v>4</v>
      </c>
    </row>
    <row r="1868" spans="1:2">
      <c r="A1868" s="10" t="s">
        <v>2457</v>
      </c>
      <c r="B1868">
        <v>2</v>
      </c>
    </row>
    <row r="1869" spans="1:2">
      <c r="A1869" s="10" t="s">
        <v>2460</v>
      </c>
      <c r="B1869">
        <v>1</v>
      </c>
    </row>
    <row r="1870" spans="1:2">
      <c r="A1870" s="10" t="s">
        <v>2436</v>
      </c>
      <c r="B1870">
        <v>1</v>
      </c>
    </row>
    <row r="1871" spans="1:2">
      <c r="A1871" s="10" t="s">
        <v>2450</v>
      </c>
      <c r="B1871">
        <v>1</v>
      </c>
    </row>
    <row r="1872" spans="1:2">
      <c r="A1872" s="10" t="s">
        <v>2436</v>
      </c>
      <c r="B1872">
        <v>1</v>
      </c>
    </row>
    <row r="1873" spans="1:2">
      <c r="A1873" s="10" t="s">
        <v>20</v>
      </c>
      <c r="B1873">
        <v>1</v>
      </c>
    </row>
    <row r="1874" spans="1:2">
      <c r="A1874" s="10" t="s">
        <v>2507</v>
      </c>
      <c r="B1874">
        <v>4</v>
      </c>
    </row>
    <row r="1875" spans="1:2">
      <c r="A1875" s="10" t="s">
        <v>2457</v>
      </c>
      <c r="B1875">
        <v>2</v>
      </c>
    </row>
    <row r="1876" spans="1:2">
      <c r="A1876" s="10" t="s">
        <v>2460</v>
      </c>
      <c r="B1876">
        <v>1</v>
      </c>
    </row>
    <row r="1877" spans="1:2">
      <c r="A1877" s="10" t="s">
        <v>2436</v>
      </c>
      <c r="B1877">
        <v>1</v>
      </c>
    </row>
    <row r="1878" spans="1:2">
      <c r="A1878" s="10" t="s">
        <v>2436</v>
      </c>
      <c r="B1878">
        <v>1</v>
      </c>
    </row>
    <row r="1879" spans="1:2">
      <c r="A1879" s="10" t="s">
        <v>2517</v>
      </c>
      <c r="B1879">
        <v>1</v>
      </c>
    </row>
    <row r="1880" spans="1:2">
      <c r="A1880" s="10" t="s">
        <v>2517</v>
      </c>
      <c r="B1880">
        <v>1</v>
      </c>
    </row>
    <row r="1881" spans="1:2">
      <c r="A1881" s="10" t="s">
        <v>2436</v>
      </c>
      <c r="B1881">
        <v>1</v>
      </c>
    </row>
    <row r="1882" spans="1:2">
      <c r="A1882" s="10" t="s">
        <v>2436</v>
      </c>
      <c r="B1882">
        <v>1</v>
      </c>
    </row>
    <row r="1883" spans="1:2">
      <c r="A1883" s="10" t="s">
        <v>2436</v>
      </c>
      <c r="B1883">
        <v>1</v>
      </c>
    </row>
    <row r="1884" spans="1:2">
      <c r="A1884" s="10" t="s">
        <v>2436</v>
      </c>
      <c r="B1884">
        <v>1</v>
      </c>
    </row>
    <row r="1885" spans="1:2">
      <c r="A1885" s="10" t="s">
        <v>2436</v>
      </c>
      <c r="B1885">
        <v>1</v>
      </c>
    </row>
    <row r="1886" spans="1:2">
      <c r="A1886" s="10" t="s">
        <v>2436</v>
      </c>
      <c r="B1886">
        <v>1</v>
      </c>
    </row>
    <row r="1887" spans="1:2">
      <c r="A1887" s="10" t="s">
        <v>2457</v>
      </c>
      <c r="B1887">
        <v>2</v>
      </c>
    </row>
    <row r="1888" spans="1:2">
      <c r="A1888" s="10" t="s">
        <v>2460</v>
      </c>
      <c r="B1888">
        <v>1</v>
      </c>
    </row>
    <row r="1889" spans="1:2">
      <c r="A1889" s="10" t="s">
        <v>20</v>
      </c>
      <c r="B1889">
        <v>1</v>
      </c>
    </row>
    <row r="1890" spans="1:2">
      <c r="A1890" s="10" t="s">
        <v>2454</v>
      </c>
      <c r="B1890">
        <v>1</v>
      </c>
    </row>
    <row r="1891" spans="1:2">
      <c r="A1891" s="10" t="s">
        <v>2457</v>
      </c>
      <c r="B1891">
        <v>2</v>
      </c>
    </row>
    <row r="1892" spans="1:2">
      <c r="A1892" s="10" t="s">
        <v>2460</v>
      </c>
      <c r="B1892">
        <v>1</v>
      </c>
    </row>
    <row r="1893" spans="1:2">
      <c r="A1893" s="10" t="s">
        <v>2436</v>
      </c>
      <c r="B1893">
        <v>1</v>
      </c>
    </row>
    <row r="1894" spans="1:2">
      <c r="A1894" s="10" t="s">
        <v>2436</v>
      </c>
      <c r="B1894">
        <v>1</v>
      </c>
    </row>
    <row r="1895" spans="1:2">
      <c r="A1895" s="10" t="s">
        <v>2436</v>
      </c>
      <c r="B1895">
        <v>1</v>
      </c>
    </row>
    <row r="1896" spans="1:2">
      <c r="A1896" s="10" t="s">
        <v>2436</v>
      </c>
      <c r="B1896">
        <v>1</v>
      </c>
    </row>
    <row r="1897" spans="1:2">
      <c r="A1897" s="10" t="s">
        <v>2436</v>
      </c>
      <c r="B1897">
        <v>1</v>
      </c>
    </row>
    <row r="1898" spans="1:2">
      <c r="A1898" s="10" t="s">
        <v>2440</v>
      </c>
      <c r="B1898">
        <v>0.5</v>
      </c>
    </row>
    <row r="1899" spans="1:2">
      <c r="A1899" s="10" t="s">
        <v>2436</v>
      </c>
      <c r="B1899">
        <v>1</v>
      </c>
    </row>
    <row r="1900" spans="1:2">
      <c r="A1900" s="10" t="s">
        <v>2436</v>
      </c>
      <c r="B1900">
        <v>1</v>
      </c>
    </row>
    <row r="1901" spans="1:2">
      <c r="A1901" s="10" t="s">
        <v>2457</v>
      </c>
      <c r="B1901">
        <v>2</v>
      </c>
    </row>
    <row r="1902" spans="1:2">
      <c r="A1902" s="10" t="s">
        <v>2460</v>
      </c>
      <c r="B1902">
        <v>1</v>
      </c>
    </row>
    <row r="1903" spans="1:2">
      <c r="A1903" s="10" t="s">
        <v>2436</v>
      </c>
      <c r="B1903">
        <v>1</v>
      </c>
    </row>
    <row r="1904" spans="1:2">
      <c r="A1904" s="10" t="s">
        <v>2436</v>
      </c>
      <c r="B1904">
        <v>1</v>
      </c>
    </row>
    <row r="1905" spans="1:2">
      <c r="A1905" s="10" t="s">
        <v>2440</v>
      </c>
      <c r="B1905">
        <v>0.5</v>
      </c>
    </row>
    <row r="1906" spans="1:2">
      <c r="A1906" s="10" t="s">
        <v>2436</v>
      </c>
      <c r="B1906">
        <v>1</v>
      </c>
    </row>
    <row r="1907" spans="1:2">
      <c r="A1907" s="10" t="s">
        <v>2436</v>
      </c>
      <c r="B1907">
        <v>1</v>
      </c>
    </row>
    <row r="1908" spans="1:2">
      <c r="A1908" s="10" t="s">
        <v>3166</v>
      </c>
      <c r="B1908">
        <v>1</v>
      </c>
    </row>
    <row r="1909" spans="1:2">
      <c r="A1909" s="10" t="s">
        <v>2450</v>
      </c>
      <c r="B1909">
        <v>1</v>
      </c>
    </row>
    <row r="1910" spans="1:2">
      <c r="A1910" s="10" t="s">
        <v>2436</v>
      </c>
      <c r="B1910">
        <v>1</v>
      </c>
    </row>
    <row r="1911" spans="1:2">
      <c r="A1911" s="10" t="s">
        <v>2436</v>
      </c>
      <c r="B1911">
        <v>1</v>
      </c>
    </row>
    <row r="1912" spans="1:2">
      <c r="A1912" s="10" t="s">
        <v>2436</v>
      </c>
      <c r="B1912">
        <v>1</v>
      </c>
    </row>
    <row r="1913" spans="1:2">
      <c r="A1913" s="10" t="s">
        <v>2436</v>
      </c>
      <c r="B1913">
        <v>1</v>
      </c>
    </row>
    <row r="1914" spans="1:2">
      <c r="A1914" s="10" t="s">
        <v>2457</v>
      </c>
      <c r="B1914">
        <v>2</v>
      </c>
    </row>
    <row r="1915" spans="1:2">
      <c r="A1915" s="10" t="s">
        <v>2460</v>
      </c>
      <c r="B1915">
        <v>1</v>
      </c>
    </row>
    <row r="1916" spans="1:2">
      <c r="A1916" s="10" t="s">
        <v>2436</v>
      </c>
      <c r="B1916">
        <v>1</v>
      </c>
    </row>
    <row r="1917" spans="1:2">
      <c r="A1917" s="10" t="s">
        <v>2436</v>
      </c>
      <c r="B1917">
        <v>1</v>
      </c>
    </row>
    <row r="1918" spans="1:2">
      <c r="A1918" s="10" t="s">
        <v>2436</v>
      </c>
      <c r="B1918">
        <v>1</v>
      </c>
    </row>
    <row r="1919" spans="1:2">
      <c r="A1919" s="10" t="s">
        <v>2450</v>
      </c>
      <c r="B1919">
        <v>1</v>
      </c>
    </row>
    <row r="1920" spans="1:2">
      <c r="A1920" s="10" t="s">
        <v>2450</v>
      </c>
      <c r="B1920">
        <v>1</v>
      </c>
    </row>
    <row r="1921" spans="1:2">
      <c r="A1921" s="10" t="s">
        <v>2436</v>
      </c>
      <c r="B1921">
        <v>1</v>
      </c>
    </row>
    <row r="1922" spans="1:2">
      <c r="A1922" s="10" t="s">
        <v>2436</v>
      </c>
      <c r="B1922">
        <v>1</v>
      </c>
    </row>
    <row r="1923" spans="1:2">
      <c r="A1923" s="10" t="s">
        <v>2436</v>
      </c>
      <c r="B1923">
        <v>1</v>
      </c>
    </row>
    <row r="1924" spans="1:2">
      <c r="A1924" s="10" t="s">
        <v>2436</v>
      </c>
      <c r="B1924">
        <v>1</v>
      </c>
    </row>
    <row r="1925" spans="1:2">
      <c r="A1925" s="10" t="s">
        <v>2436</v>
      </c>
      <c r="B1925">
        <v>1</v>
      </c>
    </row>
    <row r="1926" spans="1:2">
      <c r="A1926" s="10" t="s">
        <v>2436</v>
      </c>
      <c r="B1926">
        <v>1</v>
      </c>
    </row>
    <row r="1927" spans="1:2">
      <c r="A1927" s="10" t="s">
        <v>2436</v>
      </c>
      <c r="B1927">
        <v>1</v>
      </c>
    </row>
    <row r="1928" spans="1:2">
      <c r="A1928" s="10" t="s">
        <v>2436</v>
      </c>
      <c r="B1928">
        <v>1</v>
      </c>
    </row>
    <row r="1929" spans="1:2">
      <c r="A1929" s="10" t="s">
        <v>2457</v>
      </c>
      <c r="B1929">
        <v>2</v>
      </c>
    </row>
    <row r="1930" spans="1:2">
      <c r="A1930" s="10" t="s">
        <v>2460</v>
      </c>
      <c r="B1930">
        <v>1</v>
      </c>
    </row>
    <row r="1931" spans="1:2">
      <c r="A1931" s="10" t="s">
        <v>2507</v>
      </c>
      <c r="B1931">
        <v>4</v>
      </c>
    </row>
    <row r="1932" spans="1:2">
      <c r="A1932" s="10" t="s">
        <v>2457</v>
      </c>
      <c r="B1932">
        <v>2</v>
      </c>
    </row>
    <row r="1933" spans="1:2">
      <c r="A1933" s="10" t="s">
        <v>2460</v>
      </c>
      <c r="B1933">
        <v>1</v>
      </c>
    </row>
    <row r="1934" spans="1:2">
      <c r="A1934" s="10" t="s">
        <v>2588</v>
      </c>
      <c r="B1934">
        <v>1</v>
      </c>
    </row>
    <row r="1935" spans="1:2">
      <c r="A1935" s="10" t="s">
        <v>2436</v>
      </c>
      <c r="B1935">
        <v>1</v>
      </c>
    </row>
    <row r="1936" spans="1:2">
      <c r="A1936" s="10" t="s">
        <v>2436</v>
      </c>
      <c r="B1936">
        <v>1</v>
      </c>
    </row>
    <row r="1937" spans="1:2">
      <c r="A1937" s="10" t="s">
        <v>2517</v>
      </c>
      <c r="B1937">
        <v>1</v>
      </c>
    </row>
    <row r="1938" spans="1:2">
      <c r="A1938" s="10" t="s">
        <v>4373</v>
      </c>
      <c r="B1938">
        <v>1</v>
      </c>
    </row>
    <row r="1939" spans="1:2">
      <c r="A1939" s="10" t="s">
        <v>2653</v>
      </c>
      <c r="B1939">
        <v>1</v>
      </c>
    </row>
    <row r="1940" spans="1:2">
      <c r="A1940" s="10" t="s">
        <v>2436</v>
      </c>
      <c r="B1940">
        <v>1</v>
      </c>
    </row>
    <row r="1941" spans="1:2">
      <c r="A1941" s="10" t="s">
        <v>2588</v>
      </c>
      <c r="B1941">
        <v>1</v>
      </c>
    </row>
    <row r="1942" spans="1:2">
      <c r="A1942" s="10" t="s">
        <v>2450</v>
      </c>
      <c r="B1942">
        <v>1</v>
      </c>
    </row>
    <row r="1943" spans="1:2">
      <c r="A1943" s="10" t="s">
        <v>2436</v>
      </c>
      <c r="B1943">
        <v>1</v>
      </c>
    </row>
    <row r="1944" spans="1:2">
      <c r="A1944" s="10" t="s">
        <v>2436</v>
      </c>
      <c r="B1944">
        <v>1</v>
      </c>
    </row>
    <row r="1945" spans="1:2">
      <c r="A1945" s="10" t="s">
        <v>2672</v>
      </c>
      <c r="B1945">
        <v>1</v>
      </c>
    </row>
    <row r="1946" spans="1:2">
      <c r="A1946" s="10" t="s">
        <v>2440</v>
      </c>
      <c r="B1946">
        <v>0.5</v>
      </c>
    </row>
    <row r="1947" spans="1:2">
      <c r="A1947" s="10" t="s">
        <v>2436</v>
      </c>
      <c r="B1947">
        <v>1</v>
      </c>
    </row>
    <row r="1948" spans="1:2">
      <c r="A1948" s="10" t="s">
        <v>2436</v>
      </c>
      <c r="B1948">
        <v>1</v>
      </c>
    </row>
    <row r="1949" spans="1:2">
      <c r="A1949" s="10" t="s">
        <v>2436</v>
      </c>
      <c r="B1949">
        <v>1</v>
      </c>
    </row>
    <row r="1950" spans="1:2">
      <c r="A1950" s="10" t="s">
        <v>2436</v>
      </c>
      <c r="B1950">
        <v>1</v>
      </c>
    </row>
    <row r="1951" spans="1:2">
      <c r="A1951" s="10" t="s">
        <v>2436</v>
      </c>
      <c r="B1951">
        <v>1</v>
      </c>
    </row>
    <row r="1952" spans="1:2">
      <c r="A1952" s="10" t="s">
        <v>2436</v>
      </c>
      <c r="B1952">
        <v>1</v>
      </c>
    </row>
    <row r="1953" spans="1:2">
      <c r="A1953" s="10" t="s">
        <v>2436</v>
      </c>
      <c r="B1953">
        <v>1</v>
      </c>
    </row>
    <row r="1954" spans="1:2">
      <c r="A1954" s="10" t="s">
        <v>2436</v>
      </c>
      <c r="B1954">
        <v>1</v>
      </c>
    </row>
    <row r="1955" spans="1:2">
      <c r="A1955" s="10" t="s">
        <v>2450</v>
      </c>
      <c r="B1955">
        <v>1</v>
      </c>
    </row>
    <row r="1956" spans="1:2">
      <c r="A1956" s="10" t="s">
        <v>2450</v>
      </c>
      <c r="B1956">
        <v>1</v>
      </c>
    </row>
    <row r="1957" spans="1:2">
      <c r="A1957" s="10" t="s">
        <v>2450</v>
      </c>
      <c r="B1957">
        <v>1</v>
      </c>
    </row>
    <row r="1958" spans="1:2">
      <c r="A1958" s="10" t="s">
        <v>2436</v>
      </c>
      <c r="B1958">
        <v>1</v>
      </c>
    </row>
    <row r="1959" spans="1:2">
      <c r="A1959" s="10" t="s">
        <v>2436</v>
      </c>
      <c r="B1959">
        <v>1</v>
      </c>
    </row>
    <row r="1960" spans="1:2">
      <c r="A1960" s="10" t="s">
        <v>2450</v>
      </c>
      <c r="B1960">
        <v>1</v>
      </c>
    </row>
    <row r="1961" spans="1:2">
      <c r="A1961" s="10" t="s">
        <v>2507</v>
      </c>
      <c r="B1961">
        <v>4</v>
      </c>
    </row>
    <row r="1962" spans="1:2">
      <c r="A1962" s="10" t="s">
        <v>2457</v>
      </c>
      <c r="B1962">
        <v>2</v>
      </c>
    </row>
    <row r="1963" spans="1:2">
      <c r="A1963" s="10" t="s">
        <v>2460</v>
      </c>
      <c r="B1963">
        <v>1</v>
      </c>
    </row>
    <row r="1964" spans="1:2">
      <c r="A1964" s="10" t="s">
        <v>2436</v>
      </c>
      <c r="B1964">
        <v>1</v>
      </c>
    </row>
    <row r="1965" spans="1:2">
      <c r="A1965" s="10" t="s">
        <v>2436</v>
      </c>
      <c r="B1965">
        <v>1</v>
      </c>
    </row>
    <row r="1966" spans="1:2">
      <c r="A1966" s="10" t="s">
        <v>2440</v>
      </c>
      <c r="B1966">
        <v>0.5</v>
      </c>
    </row>
    <row r="1967" spans="1:2">
      <c r="A1967" s="10" t="s">
        <v>2436</v>
      </c>
      <c r="B1967">
        <v>1</v>
      </c>
    </row>
    <row r="1968" spans="1:2">
      <c r="A1968" s="10" t="s">
        <v>2436</v>
      </c>
      <c r="B1968">
        <v>1</v>
      </c>
    </row>
    <row r="1969" spans="1:2">
      <c r="A1969" s="10" t="s">
        <v>2440</v>
      </c>
      <c r="B1969">
        <v>0.5</v>
      </c>
    </row>
    <row r="1970" spans="1:2">
      <c r="A1970" s="10" t="s">
        <v>2436</v>
      </c>
      <c r="B1970">
        <v>1</v>
      </c>
    </row>
    <row r="1971" spans="1:2">
      <c r="A1971" s="10" t="s">
        <v>2436</v>
      </c>
      <c r="B1971">
        <v>1</v>
      </c>
    </row>
    <row r="1972" spans="1:2">
      <c r="A1972" s="10" t="s">
        <v>2436</v>
      </c>
      <c r="B1972">
        <v>1</v>
      </c>
    </row>
    <row r="1973" spans="1:2">
      <c r="A1973" s="10" t="s">
        <v>2436</v>
      </c>
      <c r="B1973">
        <v>1</v>
      </c>
    </row>
    <row r="1974" spans="1:2">
      <c r="A1974" s="10" t="s">
        <v>2436</v>
      </c>
      <c r="B1974">
        <v>1</v>
      </c>
    </row>
    <row r="1975" spans="1:2">
      <c r="A1975" s="10" t="s">
        <v>2436</v>
      </c>
      <c r="B1975">
        <v>1</v>
      </c>
    </row>
    <row r="1976" spans="1:2">
      <c r="A1976" s="10" t="s">
        <v>2436</v>
      </c>
      <c r="B1976">
        <v>1</v>
      </c>
    </row>
    <row r="1977" spans="1:2">
      <c r="A1977" s="10" t="s">
        <v>2436</v>
      </c>
      <c r="B1977">
        <v>1</v>
      </c>
    </row>
    <row r="1978" spans="1:2">
      <c r="A1978" s="10" t="s">
        <v>40</v>
      </c>
      <c r="B1978">
        <v>1</v>
      </c>
    </row>
    <row r="1979" spans="1:2">
      <c r="A1979" s="10" t="s">
        <v>2436</v>
      </c>
      <c r="B1979">
        <v>1</v>
      </c>
    </row>
    <row r="1980" spans="1:2">
      <c r="A1980" s="10" t="s">
        <v>2436</v>
      </c>
      <c r="B1980">
        <v>1</v>
      </c>
    </row>
    <row r="1981" spans="1:2">
      <c r="A1981" s="10" t="s">
        <v>2436</v>
      </c>
      <c r="B1981">
        <v>1</v>
      </c>
    </row>
    <row r="1982" spans="1:2">
      <c r="A1982" s="10" t="s">
        <v>2436</v>
      </c>
      <c r="B1982">
        <v>1</v>
      </c>
    </row>
    <row r="1983" spans="1:2">
      <c r="A1983" s="10" t="s">
        <v>2436</v>
      </c>
      <c r="B1983">
        <v>1</v>
      </c>
    </row>
    <row r="1984" spans="1:2">
      <c r="A1984" s="10" t="s">
        <v>2436</v>
      </c>
      <c r="B1984">
        <v>1</v>
      </c>
    </row>
    <row r="1985" spans="1:2">
      <c r="A1985" s="10" t="s">
        <v>2436</v>
      </c>
      <c r="B1985">
        <v>1</v>
      </c>
    </row>
    <row r="1986" spans="1:2">
      <c r="A1986" s="10" t="s">
        <v>2450</v>
      </c>
      <c r="B1986">
        <v>1</v>
      </c>
    </row>
    <row r="1987" spans="1:2">
      <c r="A1987" s="10" t="s">
        <v>2436</v>
      </c>
      <c r="B1987">
        <v>1</v>
      </c>
    </row>
    <row r="1988" spans="1:2">
      <c r="A1988" s="10" t="s">
        <v>2436</v>
      </c>
      <c r="B1988">
        <v>1</v>
      </c>
    </row>
    <row r="1989" spans="1:2">
      <c r="A1989" s="10" t="s">
        <v>2436</v>
      </c>
      <c r="B1989">
        <v>1</v>
      </c>
    </row>
    <row r="1990" spans="1:2">
      <c r="A1990" s="10" t="s">
        <v>2436</v>
      </c>
      <c r="B1990">
        <v>1</v>
      </c>
    </row>
    <row r="1991" spans="1:2">
      <c r="A1991" s="10" t="s">
        <v>2436</v>
      </c>
      <c r="B1991">
        <v>1</v>
      </c>
    </row>
    <row r="1992" spans="1:2">
      <c r="A1992" s="10" t="s">
        <v>2436</v>
      </c>
      <c r="B1992">
        <v>1</v>
      </c>
    </row>
    <row r="1993" spans="1:2">
      <c r="A1993" s="10" t="s">
        <v>2436</v>
      </c>
      <c r="B1993">
        <v>1</v>
      </c>
    </row>
    <row r="1994" spans="1:2">
      <c r="A1994" s="10" t="s">
        <v>2436</v>
      </c>
      <c r="B1994">
        <v>1</v>
      </c>
    </row>
    <row r="1995" spans="1:2">
      <c r="A1995" s="10" t="s">
        <v>2436</v>
      </c>
      <c r="B1995">
        <v>1</v>
      </c>
    </row>
    <row r="1996" spans="1:2">
      <c r="A1996" s="10" t="s">
        <v>2436</v>
      </c>
      <c r="B1996">
        <v>1</v>
      </c>
    </row>
    <row r="1997" spans="1:2">
      <c r="A1997" s="10" t="s">
        <v>2436</v>
      </c>
      <c r="B1997">
        <v>1</v>
      </c>
    </row>
    <row r="1998" spans="1:2">
      <c r="A1998" s="10" t="s">
        <v>2436</v>
      </c>
      <c r="B1998">
        <v>1</v>
      </c>
    </row>
    <row r="1999" spans="1:2">
      <c r="A1999" s="10" t="s">
        <v>2436</v>
      </c>
      <c r="B1999">
        <v>1</v>
      </c>
    </row>
    <row r="2000" spans="1:2">
      <c r="A2000" s="10" t="s">
        <v>2436</v>
      </c>
      <c r="B2000">
        <v>1</v>
      </c>
    </row>
    <row r="2001" spans="1:2">
      <c r="A2001" s="10" t="s">
        <v>2436</v>
      </c>
      <c r="B2001">
        <v>1</v>
      </c>
    </row>
    <row r="2002" spans="1:2">
      <c r="A2002" s="10" t="s">
        <v>2450</v>
      </c>
      <c r="B2002">
        <v>1</v>
      </c>
    </row>
    <row r="2003" spans="1:2">
      <c r="A2003" s="10" t="s">
        <v>2450</v>
      </c>
      <c r="B2003">
        <v>1</v>
      </c>
    </row>
    <row r="2004" spans="1:2">
      <c r="A2004" s="10" t="s">
        <v>2436</v>
      </c>
      <c r="B2004">
        <v>1</v>
      </c>
    </row>
    <row r="2005" spans="1:2">
      <c r="A2005" s="10" t="s">
        <v>2436</v>
      </c>
      <c r="B2005">
        <v>1</v>
      </c>
    </row>
    <row r="2006" spans="1:2">
      <c r="A2006" s="10" t="s">
        <v>2436</v>
      </c>
      <c r="B2006">
        <v>1</v>
      </c>
    </row>
    <row r="2007" spans="1:2">
      <c r="A2007" s="10" t="s">
        <v>2436</v>
      </c>
      <c r="B2007">
        <v>1</v>
      </c>
    </row>
    <row r="2008" spans="1:2">
      <c r="A2008" s="10" t="s">
        <v>2436</v>
      </c>
      <c r="B2008">
        <v>1</v>
      </c>
    </row>
    <row r="2009" spans="1:2">
      <c r="A2009" s="10" t="s">
        <v>2457</v>
      </c>
      <c r="B2009">
        <v>2</v>
      </c>
    </row>
    <row r="2010" spans="1:2">
      <c r="A2010" s="10" t="s">
        <v>2460</v>
      </c>
      <c r="B2010">
        <v>1</v>
      </c>
    </row>
    <row r="2011" spans="1:2">
      <c r="A2011" s="10" t="s">
        <v>20</v>
      </c>
      <c r="B2011">
        <v>1</v>
      </c>
    </row>
    <row r="2012" spans="1:2">
      <c r="A2012" s="10" t="s">
        <v>2436</v>
      </c>
      <c r="B2012">
        <v>1</v>
      </c>
    </row>
    <row r="2013" spans="1:2">
      <c r="A2013" s="10" t="s">
        <v>2436</v>
      </c>
      <c r="B2013">
        <v>1</v>
      </c>
    </row>
    <row r="2014" spans="1:2">
      <c r="A2014" s="10" t="s">
        <v>2436</v>
      </c>
      <c r="B2014">
        <v>1</v>
      </c>
    </row>
    <row r="2015" spans="1:2">
      <c r="A2015" s="10" t="s">
        <v>2436</v>
      </c>
      <c r="B2015">
        <v>1</v>
      </c>
    </row>
    <row r="2016" spans="1:2">
      <c r="A2016" s="10" t="s">
        <v>2457</v>
      </c>
      <c r="B2016">
        <v>2</v>
      </c>
    </row>
    <row r="2017" spans="1:2">
      <c r="A2017" s="10" t="s">
        <v>2460</v>
      </c>
      <c r="B2017">
        <v>1</v>
      </c>
    </row>
    <row r="2018" spans="1:2">
      <c r="A2018" s="10" t="s">
        <v>2436</v>
      </c>
      <c r="B2018">
        <v>1</v>
      </c>
    </row>
    <row r="2019" spans="1:2">
      <c r="A2019" s="10" t="s">
        <v>2436</v>
      </c>
      <c r="B2019">
        <v>1</v>
      </c>
    </row>
    <row r="2020" spans="1:2">
      <c r="A2020" s="10" t="s">
        <v>20</v>
      </c>
      <c r="B2020">
        <v>1</v>
      </c>
    </row>
    <row r="2021" spans="1:2">
      <c r="A2021" s="10" t="s">
        <v>2457</v>
      </c>
      <c r="B2021">
        <v>2</v>
      </c>
    </row>
    <row r="2022" spans="1:2">
      <c r="A2022" s="10" t="s">
        <v>2460</v>
      </c>
      <c r="B2022">
        <v>1</v>
      </c>
    </row>
    <row r="2023" spans="1:2">
      <c r="A2023" s="10" t="s">
        <v>2436</v>
      </c>
      <c r="B2023">
        <v>1</v>
      </c>
    </row>
    <row r="2024" spans="1:2">
      <c r="A2024" s="10" t="s">
        <v>2436</v>
      </c>
      <c r="B2024">
        <v>1</v>
      </c>
    </row>
    <row r="2025" spans="1:2">
      <c r="A2025" s="10" t="s">
        <v>2517</v>
      </c>
      <c r="B2025">
        <v>1</v>
      </c>
    </row>
    <row r="2026" spans="1:2">
      <c r="A2026" s="10" t="s">
        <v>2517</v>
      </c>
      <c r="B2026">
        <v>1</v>
      </c>
    </row>
    <row r="2027" spans="1:2">
      <c r="A2027" s="10" t="s">
        <v>2436</v>
      </c>
      <c r="B2027">
        <v>1</v>
      </c>
    </row>
    <row r="2028" spans="1:2">
      <c r="A2028" s="10" t="s">
        <v>2436</v>
      </c>
      <c r="B2028">
        <v>1</v>
      </c>
    </row>
    <row r="2029" spans="1:2">
      <c r="A2029" s="10" t="s">
        <v>2436</v>
      </c>
      <c r="B2029">
        <v>1</v>
      </c>
    </row>
    <row r="2030" spans="1:2">
      <c r="A2030" s="10" t="s">
        <v>2436</v>
      </c>
      <c r="B2030">
        <v>1</v>
      </c>
    </row>
    <row r="2031" spans="1:2">
      <c r="A2031" s="10" t="s">
        <v>2436</v>
      </c>
      <c r="B2031">
        <v>1</v>
      </c>
    </row>
    <row r="2032" spans="1:2">
      <c r="A2032" s="10" t="s">
        <v>2436</v>
      </c>
      <c r="B2032">
        <v>1</v>
      </c>
    </row>
    <row r="2033" spans="1:2">
      <c r="A2033" s="10" t="s">
        <v>2457</v>
      </c>
      <c r="B2033">
        <v>2</v>
      </c>
    </row>
    <row r="2034" spans="1:2">
      <c r="A2034" s="10" t="s">
        <v>2460</v>
      </c>
      <c r="B2034">
        <v>1</v>
      </c>
    </row>
    <row r="2035" spans="1:2">
      <c r="A2035" s="10" t="s">
        <v>20</v>
      </c>
      <c r="B2035">
        <v>1</v>
      </c>
    </row>
    <row r="2036" spans="1:2">
      <c r="A2036" s="10" t="s">
        <v>2454</v>
      </c>
      <c r="B2036">
        <v>1</v>
      </c>
    </row>
    <row r="2037" spans="1:2">
      <c r="A2037" s="10" t="s">
        <v>2457</v>
      </c>
      <c r="B2037">
        <v>2</v>
      </c>
    </row>
    <row r="2038" spans="1:2">
      <c r="A2038" s="10" t="s">
        <v>2460</v>
      </c>
      <c r="B2038">
        <v>1</v>
      </c>
    </row>
    <row r="2039" spans="1:2">
      <c r="A2039" s="10" t="s">
        <v>2436</v>
      </c>
      <c r="B2039">
        <v>1</v>
      </c>
    </row>
    <row r="2040" spans="1:2">
      <c r="A2040" s="10" t="s">
        <v>2436</v>
      </c>
      <c r="B2040">
        <v>1</v>
      </c>
    </row>
    <row r="2041" spans="1:2">
      <c r="A2041" s="10" t="s">
        <v>2436</v>
      </c>
      <c r="B2041">
        <v>1</v>
      </c>
    </row>
    <row r="2042" spans="1:2">
      <c r="A2042" s="10" t="s">
        <v>2436</v>
      </c>
      <c r="B2042">
        <v>1</v>
      </c>
    </row>
    <row r="2043" spans="1:2">
      <c r="A2043" s="10" t="s">
        <v>2436</v>
      </c>
      <c r="B2043">
        <v>1</v>
      </c>
    </row>
    <row r="2044" spans="1:2">
      <c r="A2044" s="10" t="s">
        <v>2440</v>
      </c>
      <c r="B2044">
        <v>0.5</v>
      </c>
    </row>
    <row r="2045" spans="1:2">
      <c r="A2045" s="10" t="s">
        <v>2436</v>
      </c>
      <c r="B2045">
        <v>1</v>
      </c>
    </row>
    <row r="2046" spans="1:2">
      <c r="A2046" s="10" t="s">
        <v>2436</v>
      </c>
      <c r="B2046">
        <v>1</v>
      </c>
    </row>
    <row r="2047" spans="1:2">
      <c r="A2047" s="10" t="s">
        <v>2457</v>
      </c>
      <c r="B2047">
        <v>2</v>
      </c>
    </row>
    <row r="2048" spans="1:2">
      <c r="A2048" s="10" t="s">
        <v>2460</v>
      </c>
      <c r="B2048">
        <v>1</v>
      </c>
    </row>
    <row r="2049" spans="1:2">
      <c r="A2049" s="10" t="s">
        <v>2436</v>
      </c>
      <c r="B2049">
        <v>1</v>
      </c>
    </row>
    <row r="2050" spans="1:2">
      <c r="A2050" s="10" t="s">
        <v>2436</v>
      </c>
      <c r="B2050">
        <v>1</v>
      </c>
    </row>
    <row r="2051" spans="1:2">
      <c r="A2051" s="10" t="s">
        <v>2440</v>
      </c>
      <c r="B2051">
        <v>0.5</v>
      </c>
    </row>
    <row r="2052" spans="1:2">
      <c r="A2052" s="10" t="s">
        <v>2436</v>
      </c>
      <c r="B2052">
        <v>1</v>
      </c>
    </row>
    <row r="2053" spans="1:2">
      <c r="A2053" s="10" t="s">
        <v>2436</v>
      </c>
      <c r="B2053">
        <v>1</v>
      </c>
    </row>
    <row r="2054" spans="1:2">
      <c r="A2054" s="10" t="s">
        <v>3166</v>
      </c>
      <c r="B2054">
        <v>1</v>
      </c>
    </row>
    <row r="2055" spans="1:2">
      <c r="A2055" s="10" t="s">
        <v>2450</v>
      </c>
      <c r="B2055">
        <v>1</v>
      </c>
    </row>
    <row r="2056" spans="1:2">
      <c r="A2056" s="10" t="s">
        <v>2436</v>
      </c>
      <c r="B2056">
        <v>1</v>
      </c>
    </row>
    <row r="2057" spans="1:2">
      <c r="A2057" s="10" t="s">
        <v>2436</v>
      </c>
      <c r="B2057">
        <v>1</v>
      </c>
    </row>
    <row r="2058" spans="1:2">
      <c r="A2058" s="10" t="s">
        <v>2436</v>
      </c>
      <c r="B2058">
        <v>1</v>
      </c>
    </row>
    <row r="2059" spans="1:2">
      <c r="A2059" s="10" t="s">
        <v>2436</v>
      </c>
      <c r="B2059">
        <v>1</v>
      </c>
    </row>
    <row r="2060" spans="1:2">
      <c r="A2060" s="10" t="s">
        <v>2436</v>
      </c>
      <c r="B2060">
        <v>1</v>
      </c>
    </row>
    <row r="2061" spans="1:2">
      <c r="A2061" s="10" t="s">
        <v>2457</v>
      </c>
      <c r="B2061">
        <v>2</v>
      </c>
    </row>
    <row r="2062" spans="1:2">
      <c r="A2062" s="10" t="s">
        <v>2460</v>
      </c>
      <c r="B2062">
        <v>1</v>
      </c>
    </row>
    <row r="2063" spans="1:2">
      <c r="A2063" s="10" t="s">
        <v>2436</v>
      </c>
      <c r="B2063">
        <v>1</v>
      </c>
    </row>
    <row r="2064" spans="1:2">
      <c r="A2064" s="10" t="s">
        <v>2436</v>
      </c>
      <c r="B2064">
        <v>1</v>
      </c>
    </row>
    <row r="2065" spans="1:2">
      <c r="A2065" s="10" t="s">
        <v>2450</v>
      </c>
      <c r="B2065">
        <v>1</v>
      </c>
    </row>
    <row r="2066" spans="1:2">
      <c r="A2066" s="10" t="s">
        <v>2436</v>
      </c>
      <c r="B2066">
        <v>1</v>
      </c>
    </row>
    <row r="2067" spans="1:2">
      <c r="A2067" s="10" t="s">
        <v>2450</v>
      </c>
      <c r="B2067">
        <v>1</v>
      </c>
    </row>
    <row r="2068" spans="1:2">
      <c r="A2068" s="10" t="s">
        <v>2436</v>
      </c>
      <c r="B2068">
        <v>1</v>
      </c>
    </row>
    <row r="2069" spans="1:2">
      <c r="A2069" s="10" t="s">
        <v>2436</v>
      </c>
      <c r="B2069">
        <v>1</v>
      </c>
    </row>
    <row r="2070" spans="1:2">
      <c r="A2070" s="10" t="s">
        <v>2436</v>
      </c>
      <c r="B2070">
        <v>1</v>
      </c>
    </row>
    <row r="2071" spans="1:2">
      <c r="A2071" s="10" t="s">
        <v>2436</v>
      </c>
      <c r="B2071">
        <v>1</v>
      </c>
    </row>
    <row r="2072" spans="1:2">
      <c r="A2072" s="10" t="s">
        <v>2436</v>
      </c>
      <c r="B2072">
        <v>1</v>
      </c>
    </row>
    <row r="2073" spans="1:2">
      <c r="A2073" s="10" t="s">
        <v>2436</v>
      </c>
      <c r="B2073">
        <v>1</v>
      </c>
    </row>
    <row r="2074" spans="1:2">
      <c r="A2074" s="10" t="s">
        <v>2436</v>
      </c>
      <c r="B2074">
        <v>1</v>
      </c>
    </row>
    <row r="2075" spans="1:2">
      <c r="A2075" s="10" t="s">
        <v>2436</v>
      </c>
      <c r="B2075">
        <v>1</v>
      </c>
    </row>
    <row r="2076" spans="1:2">
      <c r="A2076" s="10" t="s">
        <v>2457</v>
      </c>
      <c r="B2076">
        <v>2</v>
      </c>
    </row>
    <row r="2077" spans="1:2">
      <c r="A2077" s="10" t="s">
        <v>2460</v>
      </c>
      <c r="B2077">
        <v>1</v>
      </c>
    </row>
    <row r="2078" spans="1:2">
      <c r="A2078" s="10" t="s">
        <v>2457</v>
      </c>
      <c r="B2078">
        <v>2</v>
      </c>
    </row>
    <row r="2079" spans="1:2">
      <c r="A2079" s="10" t="s">
        <v>2460</v>
      </c>
      <c r="B2079">
        <v>1</v>
      </c>
    </row>
    <row r="2080" spans="1:2">
      <c r="A2080" s="10" t="s">
        <v>2588</v>
      </c>
      <c r="B2080">
        <v>1</v>
      </c>
    </row>
    <row r="2081" spans="1:2">
      <c r="A2081" s="10" t="s">
        <v>2436</v>
      </c>
      <c r="B2081">
        <v>1</v>
      </c>
    </row>
    <row r="2082" spans="1:2">
      <c r="A2082" s="10" t="s">
        <v>2653</v>
      </c>
      <c r="B2082">
        <v>1</v>
      </c>
    </row>
    <row r="2083" spans="1:2">
      <c r="A2083" s="10" t="s">
        <v>2436</v>
      </c>
      <c r="B2083">
        <v>1</v>
      </c>
    </row>
    <row r="2084" spans="1:2">
      <c r="A2084" s="10" t="s">
        <v>2517</v>
      </c>
      <c r="B2084">
        <v>1</v>
      </c>
    </row>
    <row r="2085" spans="1:2">
      <c r="A2085" s="10" t="s">
        <v>2436</v>
      </c>
      <c r="B2085">
        <v>1</v>
      </c>
    </row>
    <row r="2086" spans="1:2">
      <c r="A2086" s="10" t="s">
        <v>2588</v>
      </c>
      <c r="B2086">
        <v>1</v>
      </c>
    </row>
    <row r="2087" spans="1:2">
      <c r="A2087" s="10" t="s">
        <v>2450</v>
      </c>
      <c r="B2087">
        <v>1</v>
      </c>
    </row>
    <row r="2088" spans="1:2">
      <c r="A2088" s="10" t="s">
        <v>2436</v>
      </c>
      <c r="B2088">
        <v>1</v>
      </c>
    </row>
    <row r="2089" spans="1:2">
      <c r="A2089" s="10" t="s">
        <v>2626</v>
      </c>
      <c r="B2089">
        <v>1</v>
      </c>
    </row>
    <row r="2090" spans="1:2">
      <c r="A2090" s="10" t="s">
        <v>2436</v>
      </c>
      <c r="B2090">
        <v>1</v>
      </c>
    </row>
    <row r="2091" spans="1:2">
      <c r="A2091" s="10" t="s">
        <v>2672</v>
      </c>
      <c r="B2091">
        <v>1</v>
      </c>
    </row>
    <row r="2092" spans="1:2">
      <c r="A2092" s="10" t="s">
        <v>2450</v>
      </c>
      <c r="B2092">
        <v>1</v>
      </c>
    </row>
    <row r="2093" spans="1:2">
      <c r="A2093" s="10" t="s">
        <v>2440</v>
      </c>
      <c r="B2093">
        <v>0.5</v>
      </c>
    </row>
    <row r="2094" spans="1:2">
      <c r="A2094" s="10" t="s">
        <v>2436</v>
      </c>
      <c r="B2094">
        <v>1</v>
      </c>
    </row>
    <row r="2095" spans="1:2">
      <c r="A2095" s="10" t="s">
        <v>2436</v>
      </c>
      <c r="B2095">
        <v>1</v>
      </c>
    </row>
    <row r="2096" spans="1:2">
      <c r="A2096" s="10" t="s">
        <v>2436</v>
      </c>
      <c r="B2096">
        <v>1</v>
      </c>
    </row>
    <row r="2097" spans="1:2">
      <c r="A2097" s="10" t="s">
        <v>2436</v>
      </c>
      <c r="B2097">
        <v>1</v>
      </c>
    </row>
    <row r="2098" spans="1:2">
      <c r="A2098" s="10" t="s">
        <v>2436</v>
      </c>
      <c r="B2098">
        <v>1</v>
      </c>
    </row>
    <row r="2099" spans="1:2">
      <c r="A2099" s="10" t="s">
        <v>2436</v>
      </c>
      <c r="B2099">
        <v>1</v>
      </c>
    </row>
    <row r="2100" spans="1:2">
      <c r="A2100" s="10" t="s">
        <v>2436</v>
      </c>
      <c r="B2100">
        <v>1</v>
      </c>
    </row>
    <row r="2101" spans="1:2">
      <c r="A2101" s="10" t="s">
        <v>2436</v>
      </c>
      <c r="B2101">
        <v>1</v>
      </c>
    </row>
    <row r="2102" spans="1:2">
      <c r="A2102" s="10" t="s">
        <v>2450</v>
      </c>
      <c r="B2102">
        <v>1</v>
      </c>
    </row>
    <row r="2103" spans="1:2">
      <c r="A2103" s="10" t="s">
        <v>2450</v>
      </c>
      <c r="B2103">
        <v>1</v>
      </c>
    </row>
    <row r="2104" spans="1:2">
      <c r="A2104" s="10" t="s">
        <v>2436</v>
      </c>
      <c r="B2104">
        <v>1</v>
      </c>
    </row>
    <row r="2105" spans="1:2">
      <c r="A2105" s="10" t="s">
        <v>2436</v>
      </c>
      <c r="B2105">
        <v>1</v>
      </c>
    </row>
    <row r="2106" spans="1:2">
      <c r="A2106" s="10" t="s">
        <v>2450</v>
      </c>
      <c r="B2106">
        <v>1</v>
      </c>
    </row>
    <row r="2107" spans="1:2">
      <c r="A2107" s="10" t="s">
        <v>2457</v>
      </c>
      <c r="B2107">
        <v>2</v>
      </c>
    </row>
    <row r="2108" spans="1:2">
      <c r="A2108" s="10" t="s">
        <v>2460</v>
      </c>
      <c r="B2108">
        <v>1</v>
      </c>
    </row>
    <row r="2109" spans="1:2">
      <c r="A2109" s="10" t="s">
        <v>2436</v>
      </c>
      <c r="B2109">
        <v>1</v>
      </c>
    </row>
    <row r="2110" spans="1:2">
      <c r="A2110" s="10" t="s">
        <v>2436</v>
      </c>
      <c r="B2110">
        <v>1</v>
      </c>
    </row>
    <row r="2111" spans="1:2">
      <c r="A2111" s="10" t="s">
        <v>2440</v>
      </c>
      <c r="B2111">
        <v>0.5</v>
      </c>
    </row>
    <row r="2112" spans="1:2">
      <c r="A2112" s="10" t="s">
        <v>2436</v>
      </c>
      <c r="B2112">
        <v>1</v>
      </c>
    </row>
    <row r="2113" spans="1:2">
      <c r="A2113" s="10" t="s">
        <v>2436</v>
      </c>
      <c r="B2113">
        <v>1</v>
      </c>
    </row>
    <row r="2114" spans="1:2">
      <c r="A2114" s="10" t="s">
        <v>2440</v>
      </c>
      <c r="B2114">
        <v>0.5</v>
      </c>
    </row>
    <row r="2115" spans="1:2">
      <c r="A2115" s="10" t="s">
        <v>2450</v>
      </c>
      <c r="B2115">
        <v>1</v>
      </c>
    </row>
    <row r="2116" spans="1:2">
      <c r="A2116" s="10" t="s">
        <v>2436</v>
      </c>
      <c r="B2116">
        <v>1</v>
      </c>
    </row>
    <row r="2117" spans="1:2">
      <c r="A2117" s="10" t="s">
        <v>2436</v>
      </c>
      <c r="B2117">
        <v>1</v>
      </c>
    </row>
    <row r="2118" spans="1:2">
      <c r="A2118" s="10" t="s">
        <v>2450</v>
      </c>
      <c r="B2118">
        <v>1</v>
      </c>
    </row>
    <row r="2119" spans="1:2">
      <c r="A2119" s="10" t="s">
        <v>2436</v>
      </c>
      <c r="B2119">
        <v>1</v>
      </c>
    </row>
    <row r="2120" spans="1:2">
      <c r="A2120" s="10" t="s">
        <v>2436</v>
      </c>
      <c r="B2120">
        <v>1</v>
      </c>
    </row>
    <row r="2121" spans="1:2">
      <c r="A2121" s="10" t="s">
        <v>2436</v>
      </c>
      <c r="B2121">
        <v>1</v>
      </c>
    </row>
    <row r="2122" spans="1:2">
      <c r="A2122" s="10" t="s">
        <v>2436</v>
      </c>
      <c r="B2122">
        <v>1</v>
      </c>
    </row>
    <row r="2123" spans="1:2">
      <c r="A2123" s="10" t="s">
        <v>2436</v>
      </c>
      <c r="B2123">
        <v>1</v>
      </c>
    </row>
    <row r="2124" spans="1:2">
      <c r="A2124" s="10" t="s">
        <v>2436</v>
      </c>
      <c r="B2124">
        <v>1</v>
      </c>
    </row>
    <row r="2125" spans="1:2">
      <c r="A2125" s="10" t="s">
        <v>40</v>
      </c>
      <c r="B2125">
        <v>1</v>
      </c>
    </row>
    <row r="2126" spans="1:2">
      <c r="A2126" s="10" t="s">
        <v>2436</v>
      </c>
      <c r="B2126">
        <v>1</v>
      </c>
    </row>
    <row r="2127" spans="1:2">
      <c r="A2127" s="10" t="s">
        <v>2436</v>
      </c>
      <c r="B2127">
        <v>1</v>
      </c>
    </row>
    <row r="2128" spans="1:2">
      <c r="A2128" s="10" t="s">
        <v>2436</v>
      </c>
      <c r="B2128">
        <v>1</v>
      </c>
    </row>
    <row r="2129" spans="1:2">
      <c r="A2129" s="10" t="s">
        <v>2436</v>
      </c>
      <c r="B2129">
        <v>1</v>
      </c>
    </row>
    <row r="2130" spans="1:2">
      <c r="A2130" s="10" t="s">
        <v>2436</v>
      </c>
      <c r="B2130">
        <v>1</v>
      </c>
    </row>
    <row r="2131" spans="1:2">
      <c r="A2131" s="10" t="s">
        <v>2436</v>
      </c>
      <c r="B2131">
        <v>1</v>
      </c>
    </row>
    <row r="2132" spans="1:2">
      <c r="A2132" s="10" t="s">
        <v>2436</v>
      </c>
      <c r="B2132">
        <v>1</v>
      </c>
    </row>
    <row r="2133" spans="1:2">
      <c r="A2133" s="10" t="s">
        <v>2450</v>
      </c>
      <c r="B2133">
        <v>1</v>
      </c>
    </row>
    <row r="2134" spans="1:2">
      <c r="A2134" s="10" t="s">
        <v>2436</v>
      </c>
      <c r="B2134">
        <v>1</v>
      </c>
    </row>
    <row r="2135" spans="1:2">
      <c r="A2135" s="10" t="s">
        <v>2436</v>
      </c>
      <c r="B2135">
        <v>1</v>
      </c>
    </row>
    <row r="2136" spans="1:2">
      <c r="A2136" s="10" t="s">
        <v>2436</v>
      </c>
      <c r="B2136">
        <v>1</v>
      </c>
    </row>
    <row r="2137" spans="1:2">
      <c r="A2137" s="10" t="s">
        <v>2436</v>
      </c>
      <c r="B2137">
        <v>1</v>
      </c>
    </row>
    <row r="2138" spans="1:2">
      <c r="A2138" s="10" t="s">
        <v>2436</v>
      </c>
      <c r="B2138">
        <v>1</v>
      </c>
    </row>
    <row r="2139" spans="1:2">
      <c r="A2139" s="10" t="s">
        <v>2436</v>
      </c>
      <c r="B2139">
        <v>1</v>
      </c>
    </row>
    <row r="2140" spans="1:2">
      <c r="A2140" s="10" t="s">
        <v>2436</v>
      </c>
      <c r="B2140">
        <v>1</v>
      </c>
    </row>
    <row r="2141" spans="1:2">
      <c r="A2141" s="10" t="s">
        <v>2436</v>
      </c>
      <c r="B2141">
        <v>1</v>
      </c>
    </row>
    <row r="2142" spans="1:2">
      <c r="A2142" s="10" t="s">
        <v>2436</v>
      </c>
      <c r="B2142">
        <v>1</v>
      </c>
    </row>
    <row r="2143" spans="1:2">
      <c r="A2143" s="10" t="s">
        <v>2436</v>
      </c>
      <c r="B2143">
        <v>1</v>
      </c>
    </row>
    <row r="2144" spans="1:2">
      <c r="A2144" s="10" t="s">
        <v>2436</v>
      </c>
      <c r="B2144">
        <v>1</v>
      </c>
    </row>
    <row r="2145" spans="1:2">
      <c r="A2145" s="10" t="s">
        <v>2436</v>
      </c>
      <c r="B2145">
        <v>1</v>
      </c>
    </row>
    <row r="2146" spans="1:2">
      <c r="A2146" s="10" t="s">
        <v>2436</v>
      </c>
      <c r="B2146">
        <v>1</v>
      </c>
    </row>
    <row r="2147" spans="1:2">
      <c r="A2147" s="10" t="s">
        <v>2436</v>
      </c>
      <c r="B2147">
        <v>1</v>
      </c>
    </row>
    <row r="2148" spans="1:2">
      <c r="A2148" s="10" t="s">
        <v>2436</v>
      </c>
      <c r="B2148">
        <v>1</v>
      </c>
    </row>
    <row r="2149" spans="1:2">
      <c r="A2149" s="10" t="s">
        <v>2436</v>
      </c>
      <c r="B2149">
        <v>1</v>
      </c>
    </row>
    <row r="2150" spans="1:2">
      <c r="A2150" s="10" t="s">
        <v>2436</v>
      </c>
      <c r="B2150">
        <v>1</v>
      </c>
    </row>
    <row r="2151" spans="1:2">
      <c r="A2151" s="10" t="s">
        <v>2436</v>
      </c>
      <c r="B2151">
        <v>1</v>
      </c>
    </row>
    <row r="2152" spans="1:2">
      <c r="A2152" s="10" t="s">
        <v>2436</v>
      </c>
      <c r="B2152">
        <v>1</v>
      </c>
    </row>
    <row r="2153" spans="1:2">
      <c r="A2153" s="10" t="s">
        <v>2436</v>
      </c>
      <c r="B2153">
        <v>1</v>
      </c>
    </row>
    <row r="2154" spans="1:2">
      <c r="A2154" s="10" t="s">
        <v>2450</v>
      </c>
      <c r="B2154">
        <v>1</v>
      </c>
    </row>
    <row r="2155" spans="1:2">
      <c r="A2155" s="10" t="s">
        <v>2626</v>
      </c>
      <c r="B2155">
        <v>1</v>
      </c>
    </row>
    <row r="2156" spans="1:2">
      <c r="A2156" s="10" t="s">
        <v>2436</v>
      </c>
      <c r="B2156">
        <v>1</v>
      </c>
    </row>
    <row r="2157" spans="1:2">
      <c r="A2157" s="10" t="s">
        <v>2436</v>
      </c>
      <c r="B2157">
        <v>1</v>
      </c>
    </row>
    <row r="2158" spans="1:2">
      <c r="A2158" s="10" t="s">
        <v>2436</v>
      </c>
      <c r="B2158">
        <v>1</v>
      </c>
    </row>
    <row r="2159" spans="1:2">
      <c r="A2159" s="10" t="s">
        <v>2436</v>
      </c>
      <c r="B2159">
        <v>1</v>
      </c>
    </row>
    <row r="2160" spans="1:2">
      <c r="A2160" s="10" t="s">
        <v>2436</v>
      </c>
      <c r="B2160">
        <v>1</v>
      </c>
    </row>
    <row r="2161" spans="1:2">
      <c r="A2161" s="10" t="s">
        <v>2457</v>
      </c>
      <c r="B2161">
        <v>2</v>
      </c>
    </row>
    <row r="2162" spans="1:2">
      <c r="A2162" s="10" t="s">
        <v>2460</v>
      </c>
      <c r="B2162">
        <v>1</v>
      </c>
    </row>
    <row r="2163" spans="1:2">
      <c r="A2163" s="10" t="s">
        <v>20</v>
      </c>
      <c r="B2163">
        <v>1</v>
      </c>
    </row>
    <row r="2164" spans="1:2">
      <c r="A2164" s="10" t="s">
        <v>2436</v>
      </c>
      <c r="B2164">
        <v>1</v>
      </c>
    </row>
    <row r="2165" spans="1:2">
      <c r="A2165" s="10" t="s">
        <v>2436</v>
      </c>
      <c r="B2165">
        <v>1</v>
      </c>
    </row>
    <row r="2166" spans="1:2">
      <c r="A2166" s="10" t="s">
        <v>2436</v>
      </c>
      <c r="B2166">
        <v>1</v>
      </c>
    </row>
    <row r="2167" spans="1:2">
      <c r="A2167" s="10" t="s">
        <v>2436</v>
      </c>
      <c r="B2167">
        <v>1</v>
      </c>
    </row>
    <row r="2168" spans="1:2">
      <c r="A2168" s="10" t="s">
        <v>2457</v>
      </c>
      <c r="B2168">
        <v>2</v>
      </c>
    </row>
    <row r="2169" spans="1:2">
      <c r="A2169" s="10" t="s">
        <v>2460</v>
      </c>
      <c r="B2169">
        <v>1</v>
      </c>
    </row>
    <row r="2170" spans="1:2">
      <c r="A2170" s="10" t="s">
        <v>2436</v>
      </c>
      <c r="B2170">
        <v>1</v>
      </c>
    </row>
    <row r="2171" spans="1:2">
      <c r="A2171" s="10" t="s">
        <v>2450</v>
      </c>
      <c r="B2171">
        <v>1</v>
      </c>
    </row>
    <row r="2172" spans="1:2">
      <c r="A2172" s="10" t="s">
        <v>2436</v>
      </c>
      <c r="B2172">
        <v>1</v>
      </c>
    </row>
    <row r="2173" spans="1:2">
      <c r="A2173" s="10" t="s">
        <v>2457</v>
      </c>
      <c r="B2173">
        <v>2</v>
      </c>
    </row>
    <row r="2174" spans="1:2">
      <c r="A2174" s="10" t="s">
        <v>2460</v>
      </c>
      <c r="B2174">
        <v>1</v>
      </c>
    </row>
    <row r="2175" spans="1:2">
      <c r="A2175" s="10" t="s">
        <v>2436</v>
      </c>
      <c r="B2175">
        <v>1</v>
      </c>
    </row>
    <row r="2176" spans="1:2">
      <c r="A2176" s="10" t="s">
        <v>2436</v>
      </c>
      <c r="B2176">
        <v>1</v>
      </c>
    </row>
    <row r="2177" spans="1:2">
      <c r="A2177" s="10" t="s">
        <v>32</v>
      </c>
      <c r="B2177">
        <v>1</v>
      </c>
    </row>
    <row r="2178" spans="1:2">
      <c r="A2178" s="10" t="s">
        <v>2517</v>
      </c>
      <c r="B2178">
        <v>1</v>
      </c>
    </row>
    <row r="2179" spans="1:2">
      <c r="A2179" s="10" t="s">
        <v>2517</v>
      </c>
      <c r="B2179">
        <v>1</v>
      </c>
    </row>
    <row r="2180" spans="1:2">
      <c r="A2180" s="10" t="s">
        <v>2436</v>
      </c>
      <c r="B2180">
        <v>1</v>
      </c>
    </row>
    <row r="2181" spans="1:2">
      <c r="A2181" s="10" t="s">
        <v>2436</v>
      </c>
      <c r="B2181">
        <v>1</v>
      </c>
    </row>
    <row r="2182" spans="1:2">
      <c r="A2182" s="10" t="s">
        <v>2436</v>
      </c>
      <c r="B2182">
        <v>1</v>
      </c>
    </row>
    <row r="2183" spans="1:2">
      <c r="A2183" s="10" t="s">
        <v>2436</v>
      </c>
      <c r="B2183">
        <v>1</v>
      </c>
    </row>
    <row r="2184" spans="1:2">
      <c r="A2184" s="10" t="s">
        <v>2436</v>
      </c>
      <c r="B2184">
        <v>1</v>
      </c>
    </row>
    <row r="2185" spans="1:2">
      <c r="A2185" s="10" t="s">
        <v>2436</v>
      </c>
      <c r="B2185">
        <v>1</v>
      </c>
    </row>
    <row r="2186" spans="1:2">
      <c r="A2186" s="10" t="s">
        <v>2457</v>
      </c>
      <c r="B2186">
        <v>2</v>
      </c>
    </row>
    <row r="2187" spans="1:2">
      <c r="A2187" s="10" t="s">
        <v>2460</v>
      </c>
      <c r="B2187">
        <v>1</v>
      </c>
    </row>
    <row r="2188" spans="1:2">
      <c r="A2188" s="10" t="s">
        <v>2454</v>
      </c>
      <c r="B2188">
        <v>1</v>
      </c>
    </row>
    <row r="2189" spans="1:2">
      <c r="A2189" s="10" t="s">
        <v>2457</v>
      </c>
      <c r="B2189">
        <v>2</v>
      </c>
    </row>
    <row r="2190" spans="1:2">
      <c r="A2190" s="10" t="s">
        <v>2460</v>
      </c>
      <c r="B2190">
        <v>1</v>
      </c>
    </row>
    <row r="2191" spans="1:2">
      <c r="A2191" s="10" t="s">
        <v>2436</v>
      </c>
      <c r="B2191">
        <v>1</v>
      </c>
    </row>
    <row r="2192" spans="1:2">
      <c r="A2192" s="10" t="s">
        <v>2436</v>
      </c>
      <c r="B2192">
        <v>1</v>
      </c>
    </row>
    <row r="2193" spans="1:2">
      <c r="A2193" s="10" t="s">
        <v>2436</v>
      </c>
      <c r="B2193">
        <v>1</v>
      </c>
    </row>
    <row r="2194" spans="1:2">
      <c r="A2194" s="10" t="s">
        <v>2436</v>
      </c>
      <c r="B2194">
        <v>1</v>
      </c>
    </row>
    <row r="2195" spans="1:2">
      <c r="A2195" s="10" t="s">
        <v>2436</v>
      </c>
      <c r="B2195">
        <v>1</v>
      </c>
    </row>
    <row r="2196" spans="1:2">
      <c r="A2196" s="10" t="s">
        <v>2440</v>
      </c>
      <c r="B2196">
        <v>0.5</v>
      </c>
    </row>
    <row r="2197" spans="1:2">
      <c r="A2197" s="10" t="s">
        <v>2436</v>
      </c>
      <c r="B2197">
        <v>1</v>
      </c>
    </row>
    <row r="2198" spans="1:2">
      <c r="A2198" s="10" t="s">
        <v>2436</v>
      </c>
      <c r="B2198">
        <v>1</v>
      </c>
    </row>
    <row r="2199" spans="1:2">
      <c r="A2199" s="10" t="s">
        <v>2457</v>
      </c>
      <c r="B2199">
        <v>2</v>
      </c>
    </row>
    <row r="2200" spans="1:2">
      <c r="A2200" s="10" t="s">
        <v>2460</v>
      </c>
      <c r="B2200">
        <v>1</v>
      </c>
    </row>
    <row r="2201" spans="1:2">
      <c r="A2201" s="10" t="s">
        <v>2436</v>
      </c>
      <c r="B2201">
        <v>1</v>
      </c>
    </row>
    <row r="2202" spans="1:2">
      <c r="A2202" s="10" t="s">
        <v>2436</v>
      </c>
      <c r="B2202">
        <v>1</v>
      </c>
    </row>
    <row r="2203" spans="1:2">
      <c r="A2203" s="10" t="s">
        <v>2440</v>
      </c>
      <c r="B2203">
        <v>0.5</v>
      </c>
    </row>
    <row r="2204" spans="1:2">
      <c r="A2204" s="10" t="s">
        <v>2436</v>
      </c>
      <c r="B2204">
        <v>1</v>
      </c>
    </row>
    <row r="2205" spans="1:2">
      <c r="A2205" s="10" t="s">
        <v>2436</v>
      </c>
      <c r="B2205">
        <v>1</v>
      </c>
    </row>
    <row r="2206" spans="1:2">
      <c r="A2206" s="10" t="s">
        <v>3166</v>
      </c>
      <c r="B2206">
        <v>1</v>
      </c>
    </row>
    <row r="2207" spans="1:2">
      <c r="A2207" s="10" t="s">
        <v>2672</v>
      </c>
      <c r="B2207">
        <v>1</v>
      </c>
    </row>
    <row r="2208" spans="1:2">
      <c r="A2208" s="10" t="s">
        <v>2450</v>
      </c>
      <c r="B2208">
        <v>1</v>
      </c>
    </row>
    <row r="2209" spans="1:2">
      <c r="A2209" s="10" t="s">
        <v>2436</v>
      </c>
      <c r="B2209">
        <v>1</v>
      </c>
    </row>
    <row r="2210" spans="1:2">
      <c r="A2210" s="10" t="s">
        <v>2436</v>
      </c>
      <c r="B2210">
        <v>1</v>
      </c>
    </row>
    <row r="2211" spans="1:2">
      <c r="A2211" s="10" t="s">
        <v>2436</v>
      </c>
      <c r="B2211">
        <v>1</v>
      </c>
    </row>
    <row r="2212" spans="1:2">
      <c r="A2212" s="10" t="s">
        <v>2436</v>
      </c>
      <c r="B2212">
        <v>1</v>
      </c>
    </row>
    <row r="2213" spans="1:2">
      <c r="A2213" s="10" t="s">
        <v>2457</v>
      </c>
      <c r="B2213">
        <v>2</v>
      </c>
    </row>
    <row r="2214" spans="1:2">
      <c r="A2214" s="10" t="s">
        <v>2460</v>
      </c>
      <c r="B2214">
        <v>1</v>
      </c>
    </row>
    <row r="2215" spans="1:2">
      <c r="A2215" s="10" t="s">
        <v>2436</v>
      </c>
      <c r="B2215">
        <v>1</v>
      </c>
    </row>
    <row r="2216" spans="1:2">
      <c r="A2216" s="10" t="s">
        <v>2436</v>
      </c>
      <c r="B2216">
        <v>1</v>
      </c>
    </row>
    <row r="2217" spans="1:2">
      <c r="A2217" s="10" t="s">
        <v>2436</v>
      </c>
      <c r="B2217">
        <v>1</v>
      </c>
    </row>
    <row r="2218" spans="1:2">
      <c r="A2218" s="10" t="s">
        <v>2436</v>
      </c>
      <c r="B2218">
        <v>1</v>
      </c>
    </row>
    <row r="2219" spans="1:2">
      <c r="A2219" s="10" t="s">
        <v>2450</v>
      </c>
      <c r="B2219">
        <v>1</v>
      </c>
    </row>
    <row r="2220" spans="1:2">
      <c r="A2220" s="10" t="s">
        <v>2436</v>
      </c>
      <c r="B2220">
        <v>1</v>
      </c>
    </row>
    <row r="2221" spans="1:2">
      <c r="A2221" s="10" t="s">
        <v>2436</v>
      </c>
      <c r="B2221">
        <v>1</v>
      </c>
    </row>
    <row r="2222" spans="1:2">
      <c r="A2222" s="10" t="s">
        <v>2436</v>
      </c>
      <c r="B2222">
        <v>1</v>
      </c>
    </row>
    <row r="2223" spans="1:2">
      <c r="A2223" s="10" t="s">
        <v>2436</v>
      </c>
      <c r="B2223">
        <v>1</v>
      </c>
    </row>
    <row r="2224" spans="1:2">
      <c r="A2224" s="10" t="s">
        <v>2436</v>
      </c>
      <c r="B2224">
        <v>1</v>
      </c>
    </row>
    <row r="2225" spans="1:2">
      <c r="A2225" s="10" t="s">
        <v>2436</v>
      </c>
      <c r="B2225">
        <v>1</v>
      </c>
    </row>
    <row r="2226" spans="1:2">
      <c r="A2226" s="10" t="s">
        <v>2436</v>
      </c>
      <c r="B2226">
        <v>1</v>
      </c>
    </row>
    <row r="2227" spans="1:2">
      <c r="A2227" s="10" t="s">
        <v>2436</v>
      </c>
      <c r="B2227">
        <v>1</v>
      </c>
    </row>
    <row r="2228" spans="1:2">
      <c r="A2228" s="10" t="s">
        <v>2507</v>
      </c>
      <c r="B2228">
        <v>4</v>
      </c>
    </row>
    <row r="2229" spans="1:2">
      <c r="A2229" s="10" t="s">
        <v>2457</v>
      </c>
      <c r="B2229">
        <v>2</v>
      </c>
    </row>
    <row r="2230" spans="1:2">
      <c r="A2230" s="10" t="s">
        <v>2460</v>
      </c>
      <c r="B2230">
        <v>1</v>
      </c>
    </row>
    <row r="2231" spans="1:2">
      <c r="A2231" s="10" t="s">
        <v>2457</v>
      </c>
      <c r="B2231">
        <v>2</v>
      </c>
    </row>
    <row r="2232" spans="1:2">
      <c r="A2232" s="10" t="s">
        <v>2460</v>
      </c>
      <c r="B2232">
        <v>1</v>
      </c>
    </row>
    <row r="2233" spans="1:2">
      <c r="A2233" s="10" t="s">
        <v>2436</v>
      </c>
      <c r="B2233">
        <v>1</v>
      </c>
    </row>
    <row r="2234" spans="1:2">
      <c r="A2234" s="10" t="s">
        <v>2436</v>
      </c>
      <c r="B2234">
        <v>1</v>
      </c>
    </row>
    <row r="2235" spans="1:2">
      <c r="A2235" s="10" t="s">
        <v>4373</v>
      </c>
      <c r="B2235">
        <v>1</v>
      </c>
    </row>
    <row r="2236" spans="1:2">
      <c r="A2236" s="10" t="s">
        <v>2653</v>
      </c>
      <c r="B2236">
        <v>1</v>
      </c>
    </row>
    <row r="2237" spans="1:2">
      <c r="A2237" s="10" t="s">
        <v>2436</v>
      </c>
      <c r="B2237">
        <v>1</v>
      </c>
    </row>
    <row r="2238" spans="1:2">
      <c r="A2238" s="10" t="s">
        <v>2588</v>
      </c>
      <c r="B2238">
        <v>1</v>
      </c>
    </row>
    <row r="2239" spans="1:2">
      <c r="A2239" s="10" t="s">
        <v>2626</v>
      </c>
      <c r="B2239">
        <v>1</v>
      </c>
    </row>
    <row r="2240" spans="1:2">
      <c r="A2240" s="10" t="s">
        <v>2450</v>
      </c>
      <c r="B2240">
        <v>1</v>
      </c>
    </row>
    <row r="2241" spans="1:2">
      <c r="A2241" s="10" t="s">
        <v>2436</v>
      </c>
      <c r="B2241">
        <v>1</v>
      </c>
    </row>
    <row r="2242" spans="1:2">
      <c r="A2242" s="10" t="s">
        <v>2626</v>
      </c>
      <c r="B2242">
        <v>1</v>
      </c>
    </row>
    <row r="2243" spans="1:2">
      <c r="A2243" s="10" t="s">
        <v>2436</v>
      </c>
      <c r="B2243">
        <v>1</v>
      </c>
    </row>
    <row r="2244" spans="1:2">
      <c r="A2244" s="10" t="s">
        <v>2440</v>
      </c>
      <c r="B2244">
        <v>0.5</v>
      </c>
    </row>
    <row r="2245" spans="1:2">
      <c r="A2245" s="10" t="s">
        <v>2436</v>
      </c>
      <c r="B2245">
        <v>1</v>
      </c>
    </row>
    <row r="2246" spans="1:2">
      <c r="A2246" s="10" t="s">
        <v>2436</v>
      </c>
      <c r="B2246">
        <v>1</v>
      </c>
    </row>
    <row r="2247" spans="1:2">
      <c r="A2247" s="10" t="s">
        <v>2436</v>
      </c>
      <c r="B2247">
        <v>1</v>
      </c>
    </row>
    <row r="2248" spans="1:2">
      <c r="A2248" s="10" t="s">
        <v>2436</v>
      </c>
      <c r="B2248">
        <v>1</v>
      </c>
    </row>
    <row r="2249" spans="1:2">
      <c r="A2249" s="10" t="s">
        <v>2436</v>
      </c>
      <c r="B2249">
        <v>1</v>
      </c>
    </row>
    <row r="2250" spans="1:2">
      <c r="A2250" s="10" t="s">
        <v>2436</v>
      </c>
      <c r="B2250">
        <v>1</v>
      </c>
    </row>
    <row r="2251" spans="1:2">
      <c r="A2251" s="10" t="s">
        <v>2436</v>
      </c>
      <c r="B2251">
        <v>1</v>
      </c>
    </row>
    <row r="2252" spans="1:2">
      <c r="A2252" s="10" t="s">
        <v>2450</v>
      </c>
      <c r="B2252">
        <v>1</v>
      </c>
    </row>
    <row r="2253" spans="1:2">
      <c r="A2253" s="10" t="s">
        <v>2450</v>
      </c>
      <c r="B2253">
        <v>1</v>
      </c>
    </row>
    <row r="2254" spans="1:2">
      <c r="A2254" s="10" t="s">
        <v>2450</v>
      </c>
      <c r="B2254">
        <v>1</v>
      </c>
    </row>
    <row r="2255" spans="1:2">
      <c r="A2255" s="10" t="s">
        <v>2436</v>
      </c>
      <c r="B2255">
        <v>1</v>
      </c>
    </row>
    <row r="2256" spans="1:2">
      <c r="A2256" s="10" t="s">
        <v>2436</v>
      </c>
      <c r="B2256">
        <v>1</v>
      </c>
    </row>
    <row r="2257" spans="1:2">
      <c r="A2257" s="10" t="s">
        <v>2450</v>
      </c>
      <c r="B2257">
        <v>1</v>
      </c>
    </row>
    <row r="2258" spans="1:2">
      <c r="A2258" s="10" t="s">
        <v>2457</v>
      </c>
      <c r="B2258">
        <v>2</v>
      </c>
    </row>
    <row r="2259" spans="1:2">
      <c r="A2259" s="10" t="s">
        <v>2460</v>
      </c>
      <c r="B2259">
        <v>1</v>
      </c>
    </row>
    <row r="2260" spans="1:2">
      <c r="A2260" s="10" t="s">
        <v>2436</v>
      </c>
      <c r="B2260">
        <v>1</v>
      </c>
    </row>
    <row r="2261" spans="1:2">
      <c r="A2261" s="10" t="s">
        <v>2436</v>
      </c>
      <c r="B2261">
        <v>1</v>
      </c>
    </row>
    <row r="2262" spans="1:2">
      <c r="A2262" s="10" t="s">
        <v>2440</v>
      </c>
      <c r="B2262">
        <v>0.5</v>
      </c>
    </row>
    <row r="2263" spans="1:2">
      <c r="A2263" s="10" t="s">
        <v>2436</v>
      </c>
      <c r="B2263">
        <v>1</v>
      </c>
    </row>
    <row r="2264" spans="1:2">
      <c r="A2264" s="10" t="s">
        <v>2436</v>
      </c>
      <c r="B2264">
        <v>1</v>
      </c>
    </row>
    <row r="2265" spans="1:2">
      <c r="A2265" s="10" t="s">
        <v>2440</v>
      </c>
      <c r="B2265">
        <v>0.5</v>
      </c>
    </row>
    <row r="2266" spans="1:2">
      <c r="A2266" s="10" t="s">
        <v>2436</v>
      </c>
      <c r="B2266">
        <v>1</v>
      </c>
    </row>
    <row r="2267" spans="1:2">
      <c r="A2267" s="10" t="s">
        <v>2436</v>
      </c>
      <c r="B2267">
        <v>1</v>
      </c>
    </row>
    <row r="2268" spans="1:2">
      <c r="A2268" s="10" t="s">
        <v>2436</v>
      </c>
      <c r="B2268">
        <v>1</v>
      </c>
    </row>
    <row r="2269" spans="1:2">
      <c r="A2269" s="10" t="s">
        <v>2436</v>
      </c>
      <c r="B2269">
        <v>1</v>
      </c>
    </row>
    <row r="2270" spans="1:2">
      <c r="A2270" s="10" t="s">
        <v>2436</v>
      </c>
      <c r="B2270">
        <v>1</v>
      </c>
    </row>
    <row r="2271" spans="1:2">
      <c r="A2271" s="10" t="s">
        <v>2436</v>
      </c>
      <c r="B2271">
        <v>1</v>
      </c>
    </row>
    <row r="2272" spans="1:2">
      <c r="A2272" s="10" t="s">
        <v>2436</v>
      </c>
      <c r="B2272">
        <v>1</v>
      </c>
    </row>
    <row r="2273" spans="1:2">
      <c r="A2273" s="10" t="s">
        <v>2436</v>
      </c>
      <c r="B2273">
        <v>1</v>
      </c>
    </row>
    <row r="2274" spans="1:2">
      <c r="A2274" s="10" t="s">
        <v>40</v>
      </c>
      <c r="B2274">
        <v>1</v>
      </c>
    </row>
    <row r="2275" spans="1:2">
      <c r="A2275" s="10" t="s">
        <v>2436</v>
      </c>
      <c r="B2275">
        <v>1</v>
      </c>
    </row>
    <row r="2276" spans="1:2">
      <c r="A2276" s="10" t="s">
        <v>2436</v>
      </c>
      <c r="B2276">
        <v>1</v>
      </c>
    </row>
    <row r="2277" spans="1:2">
      <c r="A2277" s="10" t="s">
        <v>2436</v>
      </c>
      <c r="B2277">
        <v>1</v>
      </c>
    </row>
    <row r="2278" spans="1:2">
      <c r="A2278" s="10" t="s">
        <v>2436</v>
      </c>
      <c r="B2278">
        <v>1</v>
      </c>
    </row>
    <row r="2279" spans="1:2">
      <c r="A2279" s="10" t="s">
        <v>2436</v>
      </c>
      <c r="B2279">
        <v>1</v>
      </c>
    </row>
    <row r="2280" spans="1:2">
      <c r="A2280" s="10" t="s">
        <v>2436</v>
      </c>
      <c r="B2280">
        <v>1</v>
      </c>
    </row>
    <row r="2281" spans="1:2">
      <c r="A2281" s="10" t="s">
        <v>2436</v>
      </c>
      <c r="B2281">
        <v>1</v>
      </c>
    </row>
    <row r="2282" spans="1:2">
      <c r="A2282" s="10" t="s">
        <v>32</v>
      </c>
      <c r="B2282">
        <v>1</v>
      </c>
    </row>
    <row r="2283" spans="1:2">
      <c r="A2283" s="10" t="s">
        <v>2450</v>
      </c>
      <c r="B2283">
        <v>1</v>
      </c>
    </row>
    <row r="2284" spans="1:2">
      <c r="A2284" s="10" t="s">
        <v>2436</v>
      </c>
      <c r="B2284">
        <v>1</v>
      </c>
    </row>
    <row r="2285" spans="1:2">
      <c r="A2285" s="10" t="s">
        <v>2436</v>
      </c>
      <c r="B2285">
        <v>1</v>
      </c>
    </row>
    <row r="2286" spans="1:2">
      <c r="A2286" s="10" t="s">
        <v>2436</v>
      </c>
      <c r="B2286">
        <v>1</v>
      </c>
    </row>
    <row r="2287" spans="1:2">
      <c r="A2287" s="10" t="s">
        <v>2436</v>
      </c>
      <c r="B2287">
        <v>1</v>
      </c>
    </row>
    <row r="2288" spans="1:2">
      <c r="A2288" s="10" t="s">
        <v>2436</v>
      </c>
      <c r="B2288">
        <v>1</v>
      </c>
    </row>
    <row r="2289" spans="1:2">
      <c r="A2289" s="10" t="s">
        <v>2436</v>
      </c>
      <c r="B2289">
        <v>1</v>
      </c>
    </row>
    <row r="2290" spans="1:2">
      <c r="A2290" s="10" t="s">
        <v>2436</v>
      </c>
      <c r="B2290">
        <v>1</v>
      </c>
    </row>
    <row r="2291" spans="1:2">
      <c r="A2291" s="10" t="s">
        <v>2436</v>
      </c>
      <c r="B2291">
        <v>1</v>
      </c>
    </row>
    <row r="2292" spans="1:2">
      <c r="A2292" s="10" t="s">
        <v>2436</v>
      </c>
      <c r="B2292">
        <v>1</v>
      </c>
    </row>
    <row r="2293" spans="1:2">
      <c r="A2293" s="10" t="s">
        <v>2436</v>
      </c>
      <c r="B2293">
        <v>1</v>
      </c>
    </row>
    <row r="2294" spans="1:2">
      <c r="A2294" s="10" t="s">
        <v>2436</v>
      </c>
      <c r="B2294">
        <v>1</v>
      </c>
    </row>
    <row r="2295" spans="1:2">
      <c r="A2295" s="10" t="s">
        <v>2436</v>
      </c>
      <c r="B2295">
        <v>1</v>
      </c>
    </row>
    <row r="2296" spans="1:2">
      <c r="A2296" s="10" t="s">
        <v>2436</v>
      </c>
      <c r="B2296">
        <v>1</v>
      </c>
    </row>
    <row r="2297" spans="1:2">
      <c r="A2297" s="10" t="s">
        <v>2436</v>
      </c>
      <c r="B2297">
        <v>1</v>
      </c>
    </row>
    <row r="2298" spans="1:2">
      <c r="A2298" s="10" t="s">
        <v>2436</v>
      </c>
      <c r="B2298">
        <v>1</v>
      </c>
    </row>
    <row r="2299" spans="1:2">
      <c r="A2299" s="10" t="s">
        <v>2436</v>
      </c>
      <c r="B2299">
        <v>1</v>
      </c>
    </row>
    <row r="2300" spans="1:2">
      <c r="A2300" s="10" t="s">
        <v>2436</v>
      </c>
      <c r="B2300">
        <v>1</v>
      </c>
    </row>
    <row r="2301" spans="1:2">
      <c r="A2301" s="10" t="s">
        <v>2436</v>
      </c>
      <c r="B2301">
        <v>1</v>
      </c>
    </row>
    <row r="2302" spans="1:2">
      <c r="A2302" s="10" t="s">
        <v>2436</v>
      </c>
      <c r="B2302">
        <v>1</v>
      </c>
    </row>
    <row r="2303" spans="1:2">
      <c r="A2303" s="10" t="s">
        <v>2436</v>
      </c>
      <c r="B2303">
        <v>1</v>
      </c>
    </row>
    <row r="2304" spans="1:2">
      <c r="A2304" s="10" t="s">
        <v>2436</v>
      </c>
      <c r="B2304">
        <v>1</v>
      </c>
    </row>
    <row r="2305" spans="1:2">
      <c r="A2305" s="10" t="s">
        <v>2436</v>
      </c>
      <c r="B2305">
        <v>1</v>
      </c>
    </row>
    <row r="2306" spans="1:2">
      <c r="A2306" s="10" t="s">
        <v>2436</v>
      </c>
      <c r="B2306">
        <v>1</v>
      </c>
    </row>
    <row r="2307" spans="1:2">
      <c r="A2307" s="10" t="s">
        <v>2450</v>
      </c>
      <c r="B2307">
        <v>1</v>
      </c>
    </row>
    <row r="2308" spans="1:2">
      <c r="A2308" s="10" t="s">
        <v>2450</v>
      </c>
      <c r="B2308">
        <v>1</v>
      </c>
    </row>
    <row r="2309" spans="1:2">
      <c r="A2309" s="10" t="s">
        <v>2436</v>
      </c>
      <c r="B2309">
        <v>1</v>
      </c>
    </row>
    <row r="2310" spans="1:2">
      <c r="A2310" s="10" t="s">
        <v>2436</v>
      </c>
      <c r="B2310">
        <v>1</v>
      </c>
    </row>
    <row r="2311" spans="1:2">
      <c r="A2311" s="10" t="s">
        <v>2436</v>
      </c>
      <c r="B2311">
        <v>1</v>
      </c>
    </row>
    <row r="2312" spans="1:2">
      <c r="A2312" s="10" t="s">
        <v>2436</v>
      </c>
      <c r="B2312">
        <v>1</v>
      </c>
    </row>
    <row r="2313" spans="1:2">
      <c r="A2313" s="10" t="s">
        <v>2457</v>
      </c>
      <c r="B2313">
        <v>2</v>
      </c>
    </row>
    <row r="2314" spans="1:2">
      <c r="A2314" s="10" t="s">
        <v>2460</v>
      </c>
      <c r="B2314">
        <v>1</v>
      </c>
    </row>
    <row r="2315" spans="1:2">
      <c r="A2315" s="10" t="s">
        <v>20</v>
      </c>
      <c r="B2315">
        <v>1</v>
      </c>
    </row>
    <row r="2316" spans="1:2">
      <c r="A2316" s="10" t="s">
        <v>2436</v>
      </c>
      <c r="B2316">
        <v>1</v>
      </c>
    </row>
    <row r="2317" spans="1:2">
      <c r="A2317" s="10" t="s">
        <v>2436</v>
      </c>
      <c r="B2317">
        <v>1</v>
      </c>
    </row>
    <row r="2318" spans="1:2">
      <c r="A2318" s="10" t="s">
        <v>2436</v>
      </c>
      <c r="B2318">
        <v>1</v>
      </c>
    </row>
    <row r="2319" spans="1:2">
      <c r="A2319" s="10" t="s">
        <v>2436</v>
      </c>
      <c r="B2319">
        <v>1</v>
      </c>
    </row>
    <row r="2320" spans="1:2">
      <c r="A2320" s="10" t="s">
        <v>2507</v>
      </c>
      <c r="B2320">
        <v>4</v>
      </c>
    </row>
    <row r="2321" spans="1:2">
      <c r="A2321" s="10" t="s">
        <v>2457</v>
      </c>
      <c r="B2321">
        <v>2</v>
      </c>
    </row>
    <row r="2322" spans="1:2">
      <c r="A2322" s="10" t="s">
        <v>2460</v>
      </c>
      <c r="B2322">
        <v>1</v>
      </c>
    </row>
    <row r="2323" spans="1:2">
      <c r="A2323" s="10" t="s">
        <v>2436</v>
      </c>
      <c r="B2323">
        <v>1</v>
      </c>
    </row>
    <row r="2324" spans="1:2">
      <c r="A2324" s="10" t="s">
        <v>2436</v>
      </c>
      <c r="B2324">
        <v>1</v>
      </c>
    </row>
    <row r="2325" spans="1:2">
      <c r="A2325" s="10" t="s">
        <v>20</v>
      </c>
      <c r="B2325">
        <v>1</v>
      </c>
    </row>
    <row r="2326" spans="1:2">
      <c r="A2326" s="10" t="s">
        <v>2507</v>
      </c>
      <c r="B2326">
        <v>4</v>
      </c>
    </row>
    <row r="2327" spans="1:2">
      <c r="A2327" s="10" t="s">
        <v>2457</v>
      </c>
      <c r="B2327">
        <v>2</v>
      </c>
    </row>
    <row r="2328" spans="1:2">
      <c r="A2328" s="10" t="s">
        <v>2460</v>
      </c>
      <c r="B2328">
        <v>1</v>
      </c>
    </row>
    <row r="2329" spans="1:2">
      <c r="A2329" s="10" t="s">
        <v>2436</v>
      </c>
      <c r="B2329">
        <v>1</v>
      </c>
    </row>
    <row r="2330" spans="1:2">
      <c r="A2330" s="10" t="s">
        <v>2436</v>
      </c>
      <c r="B2330">
        <v>1</v>
      </c>
    </row>
    <row r="2331" spans="1:2">
      <c r="A2331" s="10" t="s">
        <v>2517</v>
      </c>
      <c r="B2331">
        <v>1</v>
      </c>
    </row>
    <row r="2332" spans="1:2">
      <c r="A2332" s="10" t="s">
        <v>2517</v>
      </c>
      <c r="B2332">
        <v>1</v>
      </c>
    </row>
    <row r="2333" spans="1:2">
      <c r="A2333" s="10" t="s">
        <v>2436</v>
      </c>
      <c r="B2333">
        <v>1</v>
      </c>
    </row>
    <row r="2334" spans="1:2">
      <c r="A2334" s="10" t="s">
        <v>2436</v>
      </c>
      <c r="B2334">
        <v>1</v>
      </c>
    </row>
    <row r="2335" spans="1:2">
      <c r="A2335" s="10" t="s">
        <v>2436</v>
      </c>
      <c r="B2335">
        <v>1</v>
      </c>
    </row>
    <row r="2336" spans="1:2">
      <c r="A2336" s="10" t="s">
        <v>2436</v>
      </c>
      <c r="B2336">
        <v>1</v>
      </c>
    </row>
    <row r="2337" spans="1:2">
      <c r="A2337" s="10" t="s">
        <v>2436</v>
      </c>
      <c r="B2337">
        <v>1</v>
      </c>
    </row>
    <row r="2338" spans="1:2">
      <c r="A2338" s="10" t="s">
        <v>2436</v>
      </c>
      <c r="B2338">
        <v>1</v>
      </c>
    </row>
    <row r="2339" spans="1:2">
      <c r="A2339" s="10" t="s">
        <v>2457</v>
      </c>
      <c r="B2339">
        <v>2</v>
      </c>
    </row>
    <row r="2340" spans="1:2">
      <c r="A2340" s="10" t="s">
        <v>2460</v>
      </c>
      <c r="B2340">
        <v>1</v>
      </c>
    </row>
    <row r="2341" spans="1:2">
      <c r="A2341" s="10" t="s">
        <v>20</v>
      </c>
      <c r="B2341">
        <v>1</v>
      </c>
    </row>
    <row r="2342" spans="1:2">
      <c r="A2342" s="10" t="s">
        <v>2454</v>
      </c>
      <c r="B2342">
        <v>1</v>
      </c>
    </row>
    <row r="2343" spans="1:2">
      <c r="A2343" s="10" t="s">
        <v>2457</v>
      </c>
      <c r="B2343">
        <v>2</v>
      </c>
    </row>
    <row r="2344" spans="1:2">
      <c r="A2344" s="10" t="s">
        <v>2460</v>
      </c>
      <c r="B2344">
        <v>1</v>
      </c>
    </row>
    <row r="2345" spans="1:2">
      <c r="A2345" s="10" t="s">
        <v>2436</v>
      </c>
      <c r="B2345">
        <v>1</v>
      </c>
    </row>
    <row r="2346" spans="1:2">
      <c r="A2346" s="10" t="s">
        <v>2436</v>
      </c>
      <c r="B2346">
        <v>1</v>
      </c>
    </row>
    <row r="2347" spans="1:2">
      <c r="A2347" s="10" t="s">
        <v>2436</v>
      </c>
      <c r="B2347">
        <v>1</v>
      </c>
    </row>
    <row r="2348" spans="1:2">
      <c r="A2348" s="10" t="s">
        <v>2436</v>
      </c>
      <c r="B2348">
        <v>1</v>
      </c>
    </row>
    <row r="2349" spans="1:2">
      <c r="A2349" s="10" t="s">
        <v>2436</v>
      </c>
      <c r="B2349">
        <v>1</v>
      </c>
    </row>
    <row r="2350" spans="1:2">
      <c r="A2350" s="10" t="s">
        <v>2440</v>
      </c>
      <c r="B2350">
        <v>0.5</v>
      </c>
    </row>
    <row r="2351" spans="1:2">
      <c r="A2351" s="10" t="s">
        <v>2436</v>
      </c>
      <c r="B2351">
        <v>1</v>
      </c>
    </row>
    <row r="2352" spans="1:2">
      <c r="A2352" s="10" t="s">
        <v>2436</v>
      </c>
      <c r="B2352">
        <v>1</v>
      </c>
    </row>
    <row r="2353" spans="1:2">
      <c r="A2353" s="10" t="s">
        <v>2507</v>
      </c>
      <c r="B2353">
        <v>4</v>
      </c>
    </row>
    <row r="2354" spans="1:2">
      <c r="A2354" s="10" t="s">
        <v>2457</v>
      </c>
      <c r="B2354">
        <v>2</v>
      </c>
    </row>
    <row r="2355" spans="1:2">
      <c r="A2355" s="10" t="s">
        <v>2460</v>
      </c>
      <c r="B2355">
        <v>1</v>
      </c>
    </row>
    <row r="2356" spans="1:2">
      <c r="A2356" s="10" t="s">
        <v>2436</v>
      </c>
      <c r="B2356">
        <v>1</v>
      </c>
    </row>
    <row r="2357" spans="1:2">
      <c r="A2357" s="10" t="s">
        <v>2436</v>
      </c>
      <c r="B2357">
        <v>1</v>
      </c>
    </row>
    <row r="2358" spans="1:2">
      <c r="A2358" s="10" t="s">
        <v>2440</v>
      </c>
      <c r="B2358">
        <v>0.5</v>
      </c>
    </row>
    <row r="2359" spans="1:2">
      <c r="A2359" s="10" t="s">
        <v>2436</v>
      </c>
      <c r="B2359">
        <v>1</v>
      </c>
    </row>
    <row r="2360" spans="1:2">
      <c r="A2360" s="10" t="s">
        <v>2436</v>
      </c>
      <c r="B2360">
        <v>1</v>
      </c>
    </row>
    <row r="2361" spans="1:2">
      <c r="A2361" s="10" t="s">
        <v>3166</v>
      </c>
      <c r="B2361">
        <v>1</v>
      </c>
    </row>
    <row r="2362" spans="1:2">
      <c r="A2362" s="10" t="s">
        <v>2450</v>
      </c>
      <c r="B2362">
        <v>1</v>
      </c>
    </row>
    <row r="2363" spans="1:2">
      <c r="A2363" s="10" t="s">
        <v>2436</v>
      </c>
      <c r="B2363">
        <v>1</v>
      </c>
    </row>
    <row r="2364" spans="1:2">
      <c r="A2364" s="10" t="s">
        <v>2436</v>
      </c>
      <c r="B2364">
        <v>1</v>
      </c>
    </row>
    <row r="2365" spans="1:2">
      <c r="A2365" s="10" t="s">
        <v>2436</v>
      </c>
      <c r="B2365">
        <v>1</v>
      </c>
    </row>
    <row r="2366" spans="1:2">
      <c r="A2366" s="10" t="s">
        <v>2436</v>
      </c>
      <c r="B2366">
        <v>1</v>
      </c>
    </row>
    <row r="2367" spans="1:2">
      <c r="A2367" s="10" t="s">
        <v>2436</v>
      </c>
      <c r="B2367">
        <v>1</v>
      </c>
    </row>
    <row r="2368" spans="1:2">
      <c r="A2368" s="10" t="s">
        <v>2457</v>
      </c>
      <c r="B2368">
        <v>2</v>
      </c>
    </row>
    <row r="2369" spans="1:2">
      <c r="A2369" s="10" t="s">
        <v>2460</v>
      </c>
      <c r="B2369">
        <v>1</v>
      </c>
    </row>
    <row r="2370" spans="1:2">
      <c r="A2370" s="10" t="s">
        <v>2436</v>
      </c>
      <c r="B2370">
        <v>1</v>
      </c>
    </row>
    <row r="2371" spans="1:2">
      <c r="A2371" s="10" t="s">
        <v>2436</v>
      </c>
      <c r="B2371">
        <v>1</v>
      </c>
    </row>
    <row r="2372" spans="1:2">
      <c r="A2372" s="10" t="s">
        <v>2436</v>
      </c>
      <c r="B2372">
        <v>1</v>
      </c>
    </row>
    <row r="2373" spans="1:2">
      <c r="A2373" s="10" t="s">
        <v>2450</v>
      </c>
      <c r="B2373">
        <v>1</v>
      </c>
    </row>
    <row r="2374" spans="1:2">
      <c r="A2374" s="10" t="s">
        <v>2436</v>
      </c>
      <c r="B2374">
        <v>1</v>
      </c>
    </row>
    <row r="2375" spans="1:2">
      <c r="A2375" s="10" t="s">
        <v>2450</v>
      </c>
      <c r="B2375">
        <v>1</v>
      </c>
    </row>
    <row r="2376" spans="1:2">
      <c r="A2376" s="10" t="s">
        <v>2436</v>
      </c>
      <c r="B2376">
        <v>1</v>
      </c>
    </row>
    <row r="2377" spans="1:2">
      <c r="A2377" s="10" t="s">
        <v>2436</v>
      </c>
      <c r="B2377">
        <v>1</v>
      </c>
    </row>
    <row r="2378" spans="1:2">
      <c r="A2378" s="10" t="s">
        <v>2436</v>
      </c>
      <c r="B2378">
        <v>1</v>
      </c>
    </row>
    <row r="2379" spans="1:2">
      <c r="A2379" s="10" t="s">
        <v>2436</v>
      </c>
      <c r="B2379">
        <v>1</v>
      </c>
    </row>
    <row r="2380" spans="1:2">
      <c r="A2380" s="10" t="s">
        <v>2436</v>
      </c>
      <c r="B2380">
        <v>1</v>
      </c>
    </row>
    <row r="2381" spans="1:2">
      <c r="A2381" s="10" t="s">
        <v>2436</v>
      </c>
      <c r="B2381">
        <v>1</v>
      </c>
    </row>
    <row r="2382" spans="1:2">
      <c r="A2382" s="10" t="s">
        <v>2436</v>
      </c>
      <c r="B2382">
        <v>1</v>
      </c>
    </row>
    <row r="2383" spans="1:2">
      <c r="A2383" s="10" t="s">
        <v>2436</v>
      </c>
      <c r="B2383">
        <v>1</v>
      </c>
    </row>
    <row r="2384" spans="1:2">
      <c r="A2384" s="10" t="s">
        <v>2457</v>
      </c>
      <c r="B2384">
        <v>2</v>
      </c>
    </row>
    <row r="2385" spans="1:2">
      <c r="A2385" s="10" t="s">
        <v>2460</v>
      </c>
      <c r="B2385">
        <v>1</v>
      </c>
    </row>
    <row r="2386" spans="1:2">
      <c r="A2386" s="10" t="s">
        <v>2457</v>
      </c>
      <c r="B2386">
        <v>2</v>
      </c>
    </row>
    <row r="2387" spans="1:2">
      <c r="A2387" s="10" t="s">
        <v>2460</v>
      </c>
      <c r="B2387">
        <v>1</v>
      </c>
    </row>
    <row r="2388" spans="1:2">
      <c r="A2388" s="10" t="s">
        <v>2436</v>
      </c>
      <c r="B2388">
        <v>1</v>
      </c>
    </row>
    <row r="2389" spans="1:2">
      <c r="A2389" s="10" t="s">
        <v>2436</v>
      </c>
      <c r="B2389">
        <v>1</v>
      </c>
    </row>
    <row r="2390" spans="1:2">
      <c r="A2390" s="10" t="s">
        <v>2517</v>
      </c>
      <c r="B2390">
        <v>1</v>
      </c>
    </row>
    <row r="2391" spans="1:2">
      <c r="A2391" s="10" t="s">
        <v>4373</v>
      </c>
      <c r="B2391">
        <v>1</v>
      </c>
    </row>
    <row r="2392" spans="1:2">
      <c r="A2392" s="10" t="s">
        <v>2653</v>
      </c>
      <c r="B2392">
        <v>1</v>
      </c>
    </row>
    <row r="2393" spans="1:2">
      <c r="A2393" s="10" t="s">
        <v>2436</v>
      </c>
      <c r="B2393">
        <v>1</v>
      </c>
    </row>
    <row r="2394" spans="1:2">
      <c r="A2394" s="10" t="s">
        <v>2588</v>
      </c>
      <c r="B2394">
        <v>1</v>
      </c>
    </row>
    <row r="2395" spans="1:2">
      <c r="A2395" s="10" t="s">
        <v>2450</v>
      </c>
      <c r="B2395">
        <v>1</v>
      </c>
    </row>
    <row r="2396" spans="1:2">
      <c r="A2396" s="10" t="s">
        <v>2626</v>
      </c>
      <c r="B2396">
        <v>1</v>
      </c>
    </row>
    <row r="2397" spans="1:2">
      <c r="A2397" s="10" t="s">
        <v>2672</v>
      </c>
      <c r="B2397">
        <v>1</v>
      </c>
    </row>
    <row r="2398" spans="1:2">
      <c r="A2398" s="10" t="s">
        <v>2450</v>
      </c>
      <c r="B2398">
        <v>1</v>
      </c>
    </row>
    <row r="2399" spans="1:2">
      <c r="A2399" s="10" t="s">
        <v>2440</v>
      </c>
      <c r="B2399">
        <v>0.5</v>
      </c>
    </row>
    <row r="2400" spans="1:2">
      <c r="A2400" s="10" t="s">
        <v>2436</v>
      </c>
      <c r="B2400">
        <v>1</v>
      </c>
    </row>
    <row r="2401" spans="1:2">
      <c r="A2401" s="10" t="s">
        <v>2436</v>
      </c>
      <c r="B2401">
        <v>1</v>
      </c>
    </row>
    <row r="2402" spans="1:2">
      <c r="A2402" s="10" t="s">
        <v>2436</v>
      </c>
      <c r="B2402">
        <v>1</v>
      </c>
    </row>
    <row r="2403" spans="1:2">
      <c r="A2403" s="10" t="s">
        <v>2436</v>
      </c>
      <c r="B2403">
        <v>1</v>
      </c>
    </row>
    <row r="2404" spans="1:2">
      <c r="A2404" s="10" t="s">
        <v>2436</v>
      </c>
      <c r="B2404">
        <v>1</v>
      </c>
    </row>
    <row r="2405" spans="1:2">
      <c r="A2405" s="10" t="s">
        <v>2436</v>
      </c>
      <c r="B2405">
        <v>1</v>
      </c>
    </row>
    <row r="2406" spans="1:2">
      <c r="A2406" s="10" t="s">
        <v>2450</v>
      </c>
      <c r="B2406">
        <v>1</v>
      </c>
    </row>
    <row r="2407" spans="1:2">
      <c r="A2407" s="10" t="s">
        <v>2450</v>
      </c>
      <c r="B2407">
        <v>1</v>
      </c>
    </row>
    <row r="2408" spans="1:2">
      <c r="A2408" s="10" t="s">
        <v>2436</v>
      </c>
      <c r="B2408">
        <v>1</v>
      </c>
    </row>
    <row r="2409" spans="1:2">
      <c r="A2409" s="10" t="s">
        <v>2436</v>
      </c>
      <c r="B2409">
        <v>1</v>
      </c>
    </row>
    <row r="2410" spans="1:2">
      <c r="A2410" s="10" t="s">
        <v>2450</v>
      </c>
      <c r="B2410">
        <v>1</v>
      </c>
    </row>
    <row r="2411" spans="1:2">
      <c r="A2411" s="10" t="s">
        <v>2507</v>
      </c>
      <c r="B2411">
        <v>4</v>
      </c>
    </row>
    <row r="2412" spans="1:2">
      <c r="A2412" s="10" t="s">
        <v>2457</v>
      </c>
      <c r="B2412">
        <v>2</v>
      </c>
    </row>
    <row r="2413" spans="1:2">
      <c r="A2413" s="10" t="s">
        <v>2460</v>
      </c>
      <c r="B2413">
        <v>1</v>
      </c>
    </row>
    <row r="2414" spans="1:2">
      <c r="A2414" s="10" t="s">
        <v>2436</v>
      </c>
      <c r="B2414">
        <v>1</v>
      </c>
    </row>
    <row r="2415" spans="1:2">
      <c r="A2415" s="10" t="s">
        <v>2436</v>
      </c>
      <c r="B2415">
        <v>1</v>
      </c>
    </row>
    <row r="2416" spans="1:2">
      <c r="A2416" s="10" t="s">
        <v>2440</v>
      </c>
      <c r="B2416">
        <v>0.5</v>
      </c>
    </row>
    <row r="2417" spans="1:2">
      <c r="A2417" s="10" t="s">
        <v>2436</v>
      </c>
      <c r="B2417">
        <v>1</v>
      </c>
    </row>
    <row r="2418" spans="1:2">
      <c r="A2418" s="10" t="s">
        <v>2436</v>
      </c>
      <c r="B2418">
        <v>1</v>
      </c>
    </row>
    <row r="2419" spans="1:2">
      <c r="A2419" s="10" t="s">
        <v>2440</v>
      </c>
      <c r="B2419">
        <v>0.5</v>
      </c>
    </row>
    <row r="2420" spans="1:2">
      <c r="A2420" s="10" t="s">
        <v>2436</v>
      </c>
      <c r="B2420">
        <v>1</v>
      </c>
    </row>
    <row r="2421" spans="1:2">
      <c r="A2421" s="10" t="s">
        <v>2436</v>
      </c>
      <c r="B2421">
        <v>1</v>
      </c>
    </row>
    <row r="2422" spans="1:2">
      <c r="A2422" s="10" t="s">
        <v>2436</v>
      </c>
      <c r="B2422">
        <v>1</v>
      </c>
    </row>
    <row r="2423" spans="1:2">
      <c r="A2423" s="10" t="s">
        <v>2436</v>
      </c>
      <c r="B2423">
        <v>1</v>
      </c>
    </row>
    <row r="2424" spans="1:2">
      <c r="A2424" s="10" t="s">
        <v>2436</v>
      </c>
      <c r="B2424">
        <v>1</v>
      </c>
    </row>
    <row r="2425" spans="1:2">
      <c r="A2425" s="10" t="s">
        <v>2436</v>
      </c>
      <c r="B2425">
        <v>1</v>
      </c>
    </row>
    <row r="2426" spans="1:2">
      <c r="A2426" s="10" t="s">
        <v>2436</v>
      </c>
      <c r="B2426">
        <v>1</v>
      </c>
    </row>
    <row r="2427" spans="1:2">
      <c r="A2427" s="10" t="s">
        <v>40</v>
      </c>
      <c r="B2427">
        <v>1</v>
      </c>
    </row>
    <row r="2428" spans="1:2">
      <c r="A2428" s="10" t="s">
        <v>2436</v>
      </c>
      <c r="B2428">
        <v>1</v>
      </c>
    </row>
    <row r="2429" spans="1:2">
      <c r="A2429" s="10" t="s">
        <v>2436</v>
      </c>
      <c r="B2429">
        <v>1</v>
      </c>
    </row>
    <row r="2430" spans="1:2">
      <c r="A2430" s="10" t="s">
        <v>2436</v>
      </c>
      <c r="B2430">
        <v>1</v>
      </c>
    </row>
    <row r="2431" spans="1:2">
      <c r="A2431" s="10" t="s">
        <v>2436</v>
      </c>
      <c r="B2431">
        <v>1</v>
      </c>
    </row>
    <row r="2432" spans="1:2">
      <c r="A2432" s="10" t="s">
        <v>2436</v>
      </c>
      <c r="B2432">
        <v>1</v>
      </c>
    </row>
    <row r="2433" spans="1:2">
      <c r="A2433" s="10" t="s">
        <v>2436</v>
      </c>
      <c r="B2433">
        <v>1</v>
      </c>
    </row>
    <row r="2434" spans="1:2">
      <c r="A2434" s="10" t="s">
        <v>2436</v>
      </c>
      <c r="B2434">
        <v>1</v>
      </c>
    </row>
    <row r="2435" spans="1:2">
      <c r="A2435" s="10" t="s">
        <v>32</v>
      </c>
      <c r="B2435">
        <v>1</v>
      </c>
    </row>
    <row r="2436" spans="1:2">
      <c r="A2436" s="10" t="s">
        <v>2436</v>
      </c>
      <c r="B2436">
        <v>1</v>
      </c>
    </row>
    <row r="2437" spans="1:2">
      <c r="A2437" s="10" t="s">
        <v>2436</v>
      </c>
      <c r="B2437">
        <v>1</v>
      </c>
    </row>
    <row r="2438" spans="1:2">
      <c r="A2438" s="10" t="s">
        <v>2436</v>
      </c>
      <c r="B2438">
        <v>1</v>
      </c>
    </row>
    <row r="2439" spans="1:2">
      <c r="A2439" s="10" t="s">
        <v>2436</v>
      </c>
      <c r="B2439">
        <v>1</v>
      </c>
    </row>
    <row r="2440" spans="1:2">
      <c r="A2440" s="10" t="s">
        <v>2436</v>
      </c>
      <c r="B2440">
        <v>1</v>
      </c>
    </row>
    <row r="2441" spans="1:2">
      <c r="A2441" s="10" t="s">
        <v>2436</v>
      </c>
      <c r="B2441">
        <v>1</v>
      </c>
    </row>
    <row r="2442" spans="1:2">
      <c r="A2442" s="10" t="s">
        <v>2436</v>
      </c>
      <c r="B2442">
        <v>1</v>
      </c>
    </row>
    <row r="2443" spans="1:2">
      <c r="A2443" s="10" t="s">
        <v>2436</v>
      </c>
      <c r="B2443">
        <v>1</v>
      </c>
    </row>
    <row r="2444" spans="1:2">
      <c r="A2444" s="10" t="s">
        <v>2436</v>
      </c>
      <c r="B2444">
        <v>1</v>
      </c>
    </row>
    <row r="2445" spans="1:2">
      <c r="A2445" s="10" t="s">
        <v>2436</v>
      </c>
      <c r="B2445">
        <v>1</v>
      </c>
    </row>
    <row r="2446" spans="1:2">
      <c r="A2446" s="10" t="s">
        <v>2436</v>
      </c>
      <c r="B2446">
        <v>1</v>
      </c>
    </row>
    <row r="2447" spans="1:2">
      <c r="A2447" s="10" t="s">
        <v>2436</v>
      </c>
      <c r="B2447">
        <v>1</v>
      </c>
    </row>
    <row r="2448" spans="1:2">
      <c r="A2448" s="10" t="s">
        <v>2450</v>
      </c>
      <c r="B2448">
        <v>1</v>
      </c>
    </row>
    <row r="2449" spans="1:2">
      <c r="A2449" s="10" t="s">
        <v>2436</v>
      </c>
      <c r="B2449">
        <v>1</v>
      </c>
    </row>
    <row r="2450" spans="1:2">
      <c r="A2450" s="10" t="s">
        <v>2436</v>
      </c>
      <c r="B2450">
        <v>1</v>
      </c>
    </row>
    <row r="2451" spans="1:2">
      <c r="A2451" s="10" t="s">
        <v>2436</v>
      </c>
      <c r="B2451">
        <v>1</v>
      </c>
    </row>
    <row r="2452" spans="1:2">
      <c r="A2452" s="10" t="s">
        <v>2436</v>
      </c>
      <c r="B2452">
        <v>1</v>
      </c>
    </row>
    <row r="2453" spans="1:2">
      <c r="A2453" s="10" t="s">
        <v>2457</v>
      </c>
      <c r="B2453">
        <v>2</v>
      </c>
    </row>
    <row r="2454" spans="1:2">
      <c r="A2454" s="10" t="s">
        <v>2460</v>
      </c>
      <c r="B2454">
        <v>1</v>
      </c>
    </row>
    <row r="2455" spans="1:2">
      <c r="A2455" s="10" t="s">
        <v>20</v>
      </c>
      <c r="B2455">
        <v>1</v>
      </c>
    </row>
    <row r="2456" spans="1:2">
      <c r="A2456" s="10" t="s">
        <v>2436</v>
      </c>
      <c r="B2456">
        <v>1</v>
      </c>
    </row>
    <row r="2457" spans="1:2">
      <c r="A2457" s="10" t="s">
        <v>2626</v>
      </c>
      <c r="B2457">
        <v>1</v>
      </c>
    </row>
    <row r="2458" spans="1:2">
      <c r="A2458" s="10" t="s">
        <v>2436</v>
      </c>
      <c r="B2458">
        <v>1</v>
      </c>
    </row>
    <row r="2459" spans="1:2">
      <c r="A2459" s="10" t="s">
        <v>2436</v>
      </c>
      <c r="B2459">
        <v>1</v>
      </c>
    </row>
    <row r="2460" spans="1:2">
      <c r="A2460" s="10" t="s">
        <v>2436</v>
      </c>
      <c r="B2460">
        <v>1</v>
      </c>
    </row>
    <row r="2461" spans="1:2">
      <c r="A2461" s="10" t="s">
        <v>2507</v>
      </c>
      <c r="B2461">
        <v>4</v>
      </c>
    </row>
    <row r="2462" spans="1:2">
      <c r="A2462" s="10" t="s">
        <v>2457</v>
      </c>
      <c r="B2462">
        <v>2</v>
      </c>
    </row>
    <row r="2463" spans="1:2">
      <c r="A2463" s="10" t="s">
        <v>2460</v>
      </c>
      <c r="B2463">
        <v>1</v>
      </c>
    </row>
    <row r="2464" spans="1:2">
      <c r="A2464" s="10" t="s">
        <v>2436</v>
      </c>
      <c r="B2464">
        <v>1</v>
      </c>
    </row>
    <row r="2465" spans="1:2">
      <c r="A2465" s="10" t="s">
        <v>2450</v>
      </c>
      <c r="B2465">
        <v>1</v>
      </c>
    </row>
    <row r="2466" spans="1:2">
      <c r="A2466" s="10" t="s">
        <v>2436</v>
      </c>
      <c r="B2466">
        <v>1</v>
      </c>
    </row>
    <row r="2467" spans="1:2">
      <c r="A2467" s="10" t="s">
        <v>20</v>
      </c>
      <c r="B2467">
        <v>1</v>
      </c>
    </row>
    <row r="2468" spans="1:2">
      <c r="A2468" s="10" t="s">
        <v>2507</v>
      </c>
      <c r="B2468">
        <v>4</v>
      </c>
    </row>
    <row r="2469" spans="1:2">
      <c r="A2469" s="10" t="s">
        <v>2457</v>
      </c>
      <c r="B2469">
        <v>2</v>
      </c>
    </row>
    <row r="2470" spans="1:2">
      <c r="A2470" s="10" t="s">
        <v>2460</v>
      </c>
      <c r="B2470">
        <v>1</v>
      </c>
    </row>
    <row r="2471" spans="1:2">
      <c r="A2471" s="10" t="s">
        <v>2436</v>
      </c>
      <c r="B2471">
        <v>1</v>
      </c>
    </row>
    <row r="2472" spans="1:2">
      <c r="A2472" s="10" t="s">
        <v>2436</v>
      </c>
      <c r="B2472">
        <v>1</v>
      </c>
    </row>
    <row r="2473" spans="1:2">
      <c r="A2473" s="10" t="s">
        <v>2517</v>
      </c>
      <c r="B2473">
        <v>1</v>
      </c>
    </row>
    <row r="2474" spans="1:2">
      <c r="A2474" s="10" t="s">
        <v>2517</v>
      </c>
      <c r="B2474">
        <v>1</v>
      </c>
    </row>
    <row r="2475" spans="1:2">
      <c r="A2475" s="10" t="s">
        <v>2436</v>
      </c>
      <c r="B2475">
        <v>1</v>
      </c>
    </row>
    <row r="2476" spans="1:2">
      <c r="A2476" s="10" t="s">
        <v>2436</v>
      </c>
      <c r="B2476">
        <v>1</v>
      </c>
    </row>
    <row r="2477" spans="1:2">
      <c r="A2477" s="10" t="s">
        <v>2436</v>
      </c>
      <c r="B2477">
        <v>1</v>
      </c>
    </row>
    <row r="2478" spans="1:2">
      <c r="A2478" s="10" t="s">
        <v>2436</v>
      </c>
      <c r="B2478">
        <v>1</v>
      </c>
    </row>
    <row r="2479" spans="1:2">
      <c r="A2479" s="10" t="s">
        <v>2436</v>
      </c>
      <c r="B2479">
        <v>1</v>
      </c>
    </row>
    <row r="2480" spans="1:2">
      <c r="A2480" s="10" t="s">
        <v>2436</v>
      </c>
      <c r="B2480">
        <v>1</v>
      </c>
    </row>
    <row r="2481" spans="1:2">
      <c r="A2481" s="10" t="s">
        <v>2457</v>
      </c>
      <c r="B2481">
        <v>2</v>
      </c>
    </row>
    <row r="2482" spans="1:2">
      <c r="A2482" s="10" t="s">
        <v>2460</v>
      </c>
      <c r="B2482">
        <v>1</v>
      </c>
    </row>
    <row r="2483" spans="1:2">
      <c r="A2483" s="10" t="s">
        <v>20</v>
      </c>
      <c r="B2483">
        <v>1</v>
      </c>
    </row>
    <row r="2484" spans="1:2">
      <c r="A2484" s="10" t="s">
        <v>2454</v>
      </c>
      <c r="B2484">
        <v>1</v>
      </c>
    </row>
    <row r="2485" spans="1:2">
      <c r="A2485" s="10" t="s">
        <v>2436</v>
      </c>
      <c r="B2485">
        <v>1</v>
      </c>
    </row>
    <row r="2486" spans="1:2">
      <c r="A2486" s="10" t="s">
        <v>2436</v>
      </c>
      <c r="B2486">
        <v>1</v>
      </c>
    </row>
    <row r="2487" spans="1:2">
      <c r="A2487" s="10" t="s">
        <v>2436</v>
      </c>
      <c r="B2487">
        <v>1</v>
      </c>
    </row>
    <row r="2488" spans="1:2">
      <c r="A2488" s="10" t="s">
        <v>2436</v>
      </c>
      <c r="B2488">
        <v>1</v>
      </c>
    </row>
    <row r="2489" spans="1:2">
      <c r="A2489" s="10" t="s">
        <v>2440</v>
      </c>
      <c r="B2489">
        <v>0.5</v>
      </c>
    </row>
    <row r="2490" spans="1:2">
      <c r="A2490" s="10" t="s">
        <v>2436</v>
      </c>
      <c r="B2490">
        <v>1</v>
      </c>
    </row>
    <row r="2491" spans="1:2">
      <c r="A2491" s="10" t="s">
        <v>2436</v>
      </c>
      <c r="B2491">
        <v>1</v>
      </c>
    </row>
    <row r="2492" spans="1:2">
      <c r="A2492" s="10" t="s">
        <v>2457</v>
      </c>
      <c r="B2492">
        <v>2</v>
      </c>
    </row>
    <row r="2493" spans="1:2">
      <c r="A2493" s="10" t="s">
        <v>2460</v>
      </c>
      <c r="B2493">
        <v>1</v>
      </c>
    </row>
    <row r="2494" spans="1:2">
      <c r="A2494" s="10" t="s">
        <v>2436</v>
      </c>
      <c r="B2494">
        <v>1</v>
      </c>
    </row>
    <row r="2495" spans="1:2">
      <c r="A2495" s="10" t="s">
        <v>2440</v>
      </c>
      <c r="B2495">
        <v>0.5</v>
      </c>
    </row>
    <row r="2496" spans="1:2">
      <c r="A2496" s="10" t="s">
        <v>2436</v>
      </c>
      <c r="B2496">
        <v>1</v>
      </c>
    </row>
    <row r="2497" spans="1:2">
      <c r="A2497" s="10" t="s">
        <v>2436</v>
      </c>
      <c r="B2497">
        <v>1</v>
      </c>
    </row>
    <row r="2498" spans="1:2">
      <c r="A2498" s="10" t="s">
        <v>3166</v>
      </c>
      <c r="B2498">
        <v>1</v>
      </c>
    </row>
    <row r="2499" spans="1:2">
      <c r="A2499" s="10" t="s">
        <v>2450</v>
      </c>
      <c r="B2499">
        <v>1</v>
      </c>
    </row>
    <row r="2500" spans="1:2">
      <c r="A2500" s="10" t="s">
        <v>2436</v>
      </c>
      <c r="B2500">
        <v>1</v>
      </c>
    </row>
    <row r="2501" spans="1:2">
      <c r="A2501" s="10" t="s">
        <v>2436</v>
      </c>
      <c r="B2501">
        <v>1</v>
      </c>
    </row>
    <row r="2502" spans="1:2">
      <c r="A2502" s="10" t="s">
        <v>2436</v>
      </c>
      <c r="B2502">
        <v>1</v>
      </c>
    </row>
    <row r="2503" spans="1:2">
      <c r="A2503" s="10" t="s">
        <v>2436</v>
      </c>
      <c r="B2503">
        <v>1</v>
      </c>
    </row>
    <row r="2504" spans="1:2">
      <c r="A2504" s="10" t="s">
        <v>2460</v>
      </c>
      <c r="B2504">
        <v>1</v>
      </c>
    </row>
    <row r="2505" spans="1:2">
      <c r="A2505" s="10" t="s">
        <v>2436</v>
      </c>
      <c r="B2505">
        <v>1</v>
      </c>
    </row>
    <row r="2506" spans="1:2">
      <c r="A2506" s="10" t="s">
        <v>2436</v>
      </c>
      <c r="B2506">
        <v>1</v>
      </c>
    </row>
    <row r="2507" spans="1:2">
      <c r="A2507" s="10" t="s">
        <v>2436</v>
      </c>
      <c r="B2507">
        <v>1</v>
      </c>
    </row>
    <row r="2508" spans="1:2">
      <c r="A2508" s="10" t="s">
        <v>2672</v>
      </c>
      <c r="B2508">
        <v>1</v>
      </c>
    </row>
    <row r="2509" spans="1:2">
      <c r="A2509" s="10" t="s">
        <v>2450</v>
      </c>
      <c r="B2509">
        <v>1</v>
      </c>
    </row>
    <row r="2510" spans="1:2">
      <c r="A2510" s="10" t="s">
        <v>2436</v>
      </c>
      <c r="B2510">
        <v>1</v>
      </c>
    </row>
    <row r="2511" spans="1:2">
      <c r="A2511" s="10" t="s">
        <v>2436</v>
      </c>
      <c r="B2511">
        <v>1</v>
      </c>
    </row>
    <row r="2512" spans="1:2">
      <c r="A2512" s="10" t="s">
        <v>2436</v>
      </c>
      <c r="B2512">
        <v>1</v>
      </c>
    </row>
    <row r="2513" spans="1:2">
      <c r="A2513" s="10" t="s">
        <v>2436</v>
      </c>
      <c r="B2513">
        <v>1</v>
      </c>
    </row>
    <row r="2514" spans="1:2">
      <c r="A2514" s="10" t="s">
        <v>2436</v>
      </c>
      <c r="B2514">
        <v>1</v>
      </c>
    </row>
    <row r="2515" spans="1:2">
      <c r="A2515" s="10" t="s">
        <v>2436</v>
      </c>
      <c r="B2515">
        <v>1</v>
      </c>
    </row>
    <row r="2516" spans="1:2">
      <c r="A2516" s="10" t="s">
        <v>2436</v>
      </c>
      <c r="B2516">
        <v>1</v>
      </c>
    </row>
    <row r="2517" spans="1:2">
      <c r="A2517" s="10" t="s">
        <v>2507</v>
      </c>
      <c r="B2517">
        <v>4</v>
      </c>
    </row>
    <row r="2518" spans="1:2">
      <c r="A2518" s="10" t="s">
        <v>2457</v>
      </c>
      <c r="B2518">
        <v>2</v>
      </c>
    </row>
    <row r="2519" spans="1:2">
      <c r="A2519" s="10" t="s">
        <v>2460</v>
      </c>
      <c r="B2519">
        <v>1</v>
      </c>
    </row>
    <row r="2520" spans="1:2">
      <c r="A2520" s="10" t="s">
        <v>2457</v>
      </c>
      <c r="B2520">
        <v>2</v>
      </c>
    </row>
    <row r="2521" spans="1:2">
      <c r="A2521" s="10" t="s">
        <v>2460</v>
      </c>
      <c r="B2521">
        <v>1</v>
      </c>
    </row>
    <row r="2522" spans="1:2">
      <c r="A2522" s="10" t="s">
        <v>2588</v>
      </c>
      <c r="B2522">
        <v>1</v>
      </c>
    </row>
    <row r="2523" spans="1:2">
      <c r="A2523" s="10" t="s">
        <v>2436</v>
      </c>
      <c r="B2523">
        <v>1</v>
      </c>
    </row>
    <row r="2524" spans="1:2">
      <c r="A2524" s="10" t="s">
        <v>145</v>
      </c>
      <c r="B2524">
        <v>1</v>
      </c>
    </row>
    <row r="2525" spans="1:2">
      <c r="A2525" s="10" t="s">
        <v>2436</v>
      </c>
      <c r="B2525">
        <v>1</v>
      </c>
    </row>
    <row r="2526" spans="1:2">
      <c r="A2526" s="10" t="s">
        <v>2517</v>
      </c>
      <c r="B2526">
        <v>1</v>
      </c>
    </row>
    <row r="2527" spans="1:2">
      <c r="A2527" s="10" t="s">
        <v>2653</v>
      </c>
      <c r="B2527">
        <v>1</v>
      </c>
    </row>
    <row r="2528" spans="1:2">
      <c r="A2528" s="10" t="s">
        <v>2653</v>
      </c>
      <c r="B2528">
        <v>1</v>
      </c>
    </row>
    <row r="2529" spans="1:2">
      <c r="A2529" s="10" t="s">
        <v>2436</v>
      </c>
      <c r="B2529">
        <v>1</v>
      </c>
    </row>
    <row r="2530" spans="1:2">
      <c r="A2530" s="10" t="s">
        <v>2588</v>
      </c>
      <c r="B2530">
        <v>1</v>
      </c>
    </row>
    <row r="2531" spans="1:2">
      <c r="A2531" s="10" t="s">
        <v>2450</v>
      </c>
      <c r="B2531">
        <v>1</v>
      </c>
    </row>
    <row r="2532" spans="1:2">
      <c r="A2532" s="10" t="s">
        <v>2436</v>
      </c>
      <c r="B2532">
        <v>1</v>
      </c>
    </row>
    <row r="2533" spans="1:2">
      <c r="A2533" s="10" t="s">
        <v>2450</v>
      </c>
      <c r="B2533">
        <v>1</v>
      </c>
    </row>
    <row r="2534" spans="1:2">
      <c r="A2534" s="10" t="s">
        <v>2440</v>
      </c>
      <c r="B2534">
        <v>0.5</v>
      </c>
    </row>
    <row r="2535" spans="1:2">
      <c r="A2535" s="10" t="s">
        <v>2436</v>
      </c>
      <c r="B2535">
        <v>1</v>
      </c>
    </row>
    <row r="2536" spans="1:2">
      <c r="A2536" s="10" t="s">
        <v>2436</v>
      </c>
      <c r="B2536">
        <v>1</v>
      </c>
    </row>
    <row r="2537" spans="1:2">
      <c r="A2537" s="10" t="s">
        <v>2436</v>
      </c>
      <c r="B2537">
        <v>1</v>
      </c>
    </row>
    <row r="2538" spans="1:2">
      <c r="A2538" s="10" t="s">
        <v>2436</v>
      </c>
      <c r="B2538">
        <v>1</v>
      </c>
    </row>
    <row r="2539" spans="1:2">
      <c r="A2539" s="10" t="s">
        <v>2436</v>
      </c>
      <c r="B2539">
        <v>1</v>
      </c>
    </row>
    <row r="2540" spans="1:2">
      <c r="A2540" s="10" t="s">
        <v>2436</v>
      </c>
      <c r="B2540">
        <v>1</v>
      </c>
    </row>
    <row r="2541" spans="1:2">
      <c r="A2541" s="10" t="s">
        <v>2436</v>
      </c>
      <c r="B2541">
        <v>1</v>
      </c>
    </row>
    <row r="2542" spans="1:2">
      <c r="A2542" s="10" t="s">
        <v>2436</v>
      </c>
      <c r="B2542">
        <v>1</v>
      </c>
    </row>
    <row r="2543" spans="1:2">
      <c r="A2543" s="10" t="s">
        <v>2436</v>
      </c>
      <c r="B2543">
        <v>1</v>
      </c>
    </row>
    <row r="2544" spans="1:2">
      <c r="A2544" s="10" t="s">
        <v>2450</v>
      </c>
      <c r="B2544">
        <v>1</v>
      </c>
    </row>
    <row r="2545" spans="1:2">
      <c r="A2545" s="10" t="s">
        <v>2436</v>
      </c>
      <c r="B2545">
        <v>1</v>
      </c>
    </row>
    <row r="2546" spans="1:2">
      <c r="A2546" s="10" t="s">
        <v>2436</v>
      </c>
      <c r="B2546">
        <v>1</v>
      </c>
    </row>
    <row r="2547" spans="1:2">
      <c r="A2547" s="10" t="s">
        <v>2450</v>
      </c>
      <c r="B2547">
        <v>1</v>
      </c>
    </row>
    <row r="2548" spans="1:2">
      <c r="A2548" s="10" t="s">
        <v>2457</v>
      </c>
      <c r="B2548">
        <v>2</v>
      </c>
    </row>
    <row r="2549" spans="1:2">
      <c r="A2549" s="10" t="s">
        <v>2460</v>
      </c>
      <c r="B2549">
        <v>1</v>
      </c>
    </row>
    <row r="2550" spans="1:2">
      <c r="A2550" s="10" t="s">
        <v>2436</v>
      </c>
      <c r="B2550">
        <v>1</v>
      </c>
    </row>
    <row r="2551" spans="1:2">
      <c r="A2551" s="10" t="s">
        <v>2436</v>
      </c>
      <c r="B2551">
        <v>1</v>
      </c>
    </row>
    <row r="2552" spans="1:2">
      <c r="A2552" s="10" t="s">
        <v>2440</v>
      </c>
      <c r="B2552">
        <v>0.5</v>
      </c>
    </row>
    <row r="2553" spans="1:2">
      <c r="A2553" s="10" t="s">
        <v>2436</v>
      </c>
      <c r="B2553">
        <v>1</v>
      </c>
    </row>
    <row r="2554" spans="1:2">
      <c r="A2554" s="10" t="s">
        <v>2436</v>
      </c>
      <c r="B2554">
        <v>1</v>
      </c>
    </row>
    <row r="2555" spans="1:2">
      <c r="A2555" s="10" t="s">
        <v>2440</v>
      </c>
      <c r="B2555">
        <v>0.5</v>
      </c>
    </row>
    <row r="2556" spans="1:2">
      <c r="A2556" s="10" t="s">
        <v>2672</v>
      </c>
      <c r="B2556">
        <v>1</v>
      </c>
    </row>
    <row r="2557" spans="1:2">
      <c r="A2557" s="10" t="s">
        <v>2450</v>
      </c>
      <c r="B2557">
        <v>1</v>
      </c>
    </row>
    <row r="2558" spans="1:2">
      <c r="A2558" s="10" t="s">
        <v>2436</v>
      </c>
      <c r="B2558">
        <v>1</v>
      </c>
    </row>
    <row r="2559" spans="1:2">
      <c r="A2559" s="10" t="s">
        <v>2436</v>
      </c>
      <c r="B2559">
        <v>1</v>
      </c>
    </row>
    <row r="2560" spans="1:2">
      <c r="A2560" s="10" t="s">
        <v>2450</v>
      </c>
      <c r="B2560">
        <v>1</v>
      </c>
    </row>
    <row r="2561" spans="1:2">
      <c r="A2561" s="10" t="s">
        <v>2436</v>
      </c>
      <c r="B2561">
        <v>1</v>
      </c>
    </row>
    <row r="2562" spans="1:2">
      <c r="A2562" s="10" t="s">
        <v>2436</v>
      </c>
      <c r="B2562">
        <v>1</v>
      </c>
    </row>
    <row r="2563" spans="1:2">
      <c r="A2563" s="10" t="s">
        <v>2436</v>
      </c>
      <c r="B2563">
        <v>1</v>
      </c>
    </row>
    <row r="2564" spans="1:2">
      <c r="A2564" s="10" t="s">
        <v>2436</v>
      </c>
      <c r="B2564">
        <v>1</v>
      </c>
    </row>
    <row r="2565" spans="1:2">
      <c r="A2565" s="10" t="s">
        <v>2436</v>
      </c>
      <c r="B2565">
        <v>1</v>
      </c>
    </row>
    <row r="2566" spans="1:2">
      <c r="A2566" s="10" t="s">
        <v>2436</v>
      </c>
      <c r="B2566">
        <v>1</v>
      </c>
    </row>
    <row r="2567" spans="1:2">
      <c r="A2567" s="10" t="s">
        <v>40</v>
      </c>
      <c r="B2567">
        <v>1</v>
      </c>
    </row>
    <row r="2568" spans="1:2">
      <c r="A2568" s="10" t="s">
        <v>2436</v>
      </c>
      <c r="B2568">
        <v>1</v>
      </c>
    </row>
    <row r="2569" spans="1:2">
      <c r="A2569" s="10" t="s">
        <v>2436</v>
      </c>
      <c r="B2569">
        <v>1</v>
      </c>
    </row>
    <row r="2570" spans="1:2">
      <c r="A2570" s="10" t="s">
        <v>2436</v>
      </c>
      <c r="B2570">
        <v>1</v>
      </c>
    </row>
    <row r="2571" spans="1:2">
      <c r="A2571" s="10" t="s">
        <v>2436</v>
      </c>
      <c r="B2571">
        <v>1</v>
      </c>
    </row>
    <row r="2572" spans="1:2">
      <c r="A2572" s="10" t="s">
        <v>2436</v>
      </c>
      <c r="B2572">
        <v>1</v>
      </c>
    </row>
    <row r="2573" spans="1:2">
      <c r="A2573" s="10" t="s">
        <v>2436</v>
      </c>
      <c r="B2573">
        <v>1</v>
      </c>
    </row>
    <row r="2574" spans="1:2">
      <c r="A2574" s="10" t="s">
        <v>2436</v>
      </c>
      <c r="B2574">
        <v>1</v>
      </c>
    </row>
    <row r="2575" spans="1:2">
      <c r="A2575" s="10" t="s">
        <v>32</v>
      </c>
      <c r="B2575">
        <v>1</v>
      </c>
    </row>
    <row r="2576" spans="1:2">
      <c r="A2576" s="10" t="s">
        <v>2436</v>
      </c>
      <c r="B2576">
        <v>1</v>
      </c>
    </row>
    <row r="2577" spans="1:2">
      <c r="A2577" s="10" t="s">
        <v>2436</v>
      </c>
      <c r="B2577">
        <v>1</v>
      </c>
    </row>
    <row r="2578" spans="1:2">
      <c r="A2578" s="10" t="s">
        <v>2436</v>
      </c>
      <c r="B2578">
        <v>1</v>
      </c>
    </row>
    <row r="2579" spans="1:2">
      <c r="A2579" s="10" t="s">
        <v>2436</v>
      </c>
      <c r="B2579">
        <v>1</v>
      </c>
    </row>
    <row r="2580" spans="1:2">
      <c r="A2580" s="10" t="s">
        <v>2436</v>
      </c>
      <c r="B2580">
        <v>1</v>
      </c>
    </row>
    <row r="2581" spans="1:2">
      <c r="A2581" s="10" t="s">
        <v>2436</v>
      </c>
      <c r="B2581">
        <v>1</v>
      </c>
    </row>
    <row r="2582" spans="1:2">
      <c r="A2582" s="10" t="s">
        <v>2436</v>
      </c>
      <c r="B2582">
        <v>1</v>
      </c>
    </row>
    <row r="2583" spans="1:2">
      <c r="A2583" s="10" t="s">
        <v>2436</v>
      </c>
      <c r="B2583">
        <v>1</v>
      </c>
    </row>
    <row r="2584" spans="1:2">
      <c r="A2584" s="10" t="s">
        <v>2436</v>
      </c>
      <c r="B2584">
        <v>1</v>
      </c>
    </row>
    <row r="2585" spans="1:2">
      <c r="A2585" s="10" t="s">
        <v>2436</v>
      </c>
      <c r="B2585">
        <v>1</v>
      </c>
    </row>
    <row r="2586" spans="1:2">
      <c r="A2586" s="10" t="s">
        <v>2436</v>
      </c>
      <c r="B2586">
        <v>1</v>
      </c>
    </row>
    <row r="2587" spans="1:2">
      <c r="A2587" s="10" t="s">
        <v>2436</v>
      </c>
      <c r="B2587">
        <v>1</v>
      </c>
    </row>
    <row r="2588" spans="1:2">
      <c r="A2588" s="10" t="s">
        <v>2436</v>
      </c>
      <c r="B2588">
        <v>1</v>
      </c>
    </row>
    <row r="2589" spans="1:2">
      <c r="A2589" s="10" t="s">
        <v>2436</v>
      </c>
      <c r="B2589">
        <v>1</v>
      </c>
    </row>
    <row r="2590" spans="1:2">
      <c r="A2590" s="10" t="s">
        <v>2436</v>
      </c>
      <c r="B2590">
        <v>1</v>
      </c>
    </row>
    <row r="2591" spans="1:2">
      <c r="A2591" s="10" t="s">
        <v>2450</v>
      </c>
      <c r="B2591">
        <v>1</v>
      </c>
    </row>
    <row r="2592" spans="1:2">
      <c r="A2592" s="10" t="s">
        <v>2436</v>
      </c>
      <c r="B2592">
        <v>1</v>
      </c>
    </row>
    <row r="2593" spans="1:2">
      <c r="A2593" s="10" t="s">
        <v>2436</v>
      </c>
      <c r="B2593">
        <v>1</v>
      </c>
    </row>
    <row r="2594" spans="1:2">
      <c r="A2594" s="10" t="s">
        <v>2436</v>
      </c>
      <c r="B2594">
        <v>1</v>
      </c>
    </row>
    <row r="2595" spans="1:2">
      <c r="A2595" s="10" t="s">
        <v>2436</v>
      </c>
      <c r="B2595">
        <v>1</v>
      </c>
    </row>
    <row r="2596" spans="1:2">
      <c r="A2596" s="10" t="s">
        <v>2457</v>
      </c>
      <c r="B2596">
        <v>2</v>
      </c>
    </row>
    <row r="2597" spans="1:2">
      <c r="A2597" s="10" t="s">
        <v>2460</v>
      </c>
      <c r="B2597">
        <v>1</v>
      </c>
    </row>
    <row r="2598" spans="1:2">
      <c r="A2598" s="10" t="s">
        <v>20</v>
      </c>
      <c r="B2598">
        <v>1</v>
      </c>
    </row>
    <row r="2599" spans="1:2">
      <c r="A2599" s="10" t="s">
        <v>2436</v>
      </c>
      <c r="B2599">
        <v>1</v>
      </c>
    </row>
    <row r="2600" spans="1:2">
      <c r="A2600" s="10" t="s">
        <v>2626</v>
      </c>
      <c r="B2600">
        <v>1</v>
      </c>
    </row>
    <row r="2601" spans="1:2">
      <c r="A2601" s="10" t="s">
        <v>2436</v>
      </c>
      <c r="B2601">
        <v>1</v>
      </c>
    </row>
    <row r="2602" spans="1:2">
      <c r="A2602" s="10" t="s">
        <v>2436</v>
      </c>
      <c r="B2602">
        <v>1</v>
      </c>
    </row>
    <row r="2603" spans="1:2">
      <c r="A2603" s="10" t="s">
        <v>2436</v>
      </c>
      <c r="B2603">
        <v>1</v>
      </c>
    </row>
    <row r="2604" spans="1:2">
      <c r="A2604" s="10" t="s">
        <v>2457</v>
      </c>
      <c r="B2604">
        <v>2</v>
      </c>
    </row>
    <row r="2605" spans="1:2">
      <c r="A2605" s="10" t="s">
        <v>2460</v>
      </c>
      <c r="B2605">
        <v>1</v>
      </c>
    </row>
    <row r="2606" spans="1:2">
      <c r="A2606" s="10" t="s">
        <v>2436</v>
      </c>
      <c r="B2606">
        <v>1</v>
      </c>
    </row>
    <row r="2607" spans="1:2">
      <c r="A2607" s="10" t="s">
        <v>2450</v>
      </c>
      <c r="B2607">
        <v>1</v>
      </c>
    </row>
    <row r="2608" spans="1:2">
      <c r="A2608" s="10" t="s">
        <v>2436</v>
      </c>
      <c r="B2608">
        <v>1</v>
      </c>
    </row>
    <row r="2609" spans="1:2">
      <c r="A2609" s="10" t="s">
        <v>20</v>
      </c>
      <c r="B2609">
        <v>1</v>
      </c>
    </row>
    <row r="2610" spans="1:2">
      <c r="A2610" s="10" t="s">
        <v>2507</v>
      </c>
      <c r="B2610">
        <v>4</v>
      </c>
    </row>
    <row r="2611" spans="1:2">
      <c r="A2611" s="10" t="s">
        <v>2457</v>
      </c>
      <c r="B2611">
        <v>2</v>
      </c>
    </row>
    <row r="2612" spans="1:2">
      <c r="A2612" s="10" t="s">
        <v>2460</v>
      </c>
      <c r="B2612">
        <v>1</v>
      </c>
    </row>
    <row r="2613" spans="1:2">
      <c r="A2613" s="10" t="s">
        <v>2436</v>
      </c>
      <c r="B2613">
        <v>1</v>
      </c>
    </row>
    <row r="2614" spans="1:2">
      <c r="A2614" s="10" t="s">
        <v>2436</v>
      </c>
      <c r="B2614">
        <v>1</v>
      </c>
    </row>
    <row r="2615" spans="1:2">
      <c r="A2615" s="10" t="s">
        <v>2517</v>
      </c>
      <c r="B2615">
        <v>1</v>
      </c>
    </row>
    <row r="2616" spans="1:2">
      <c r="A2616" s="10" t="s">
        <v>2517</v>
      </c>
      <c r="B2616">
        <v>1</v>
      </c>
    </row>
    <row r="2617" spans="1:2">
      <c r="A2617" s="10" t="s">
        <v>2436</v>
      </c>
      <c r="B2617">
        <v>1</v>
      </c>
    </row>
    <row r="2618" spans="1:2">
      <c r="A2618" s="10" t="s">
        <v>2436</v>
      </c>
      <c r="B2618">
        <v>1</v>
      </c>
    </row>
    <row r="2619" spans="1:2">
      <c r="A2619" s="10" t="s">
        <v>2436</v>
      </c>
      <c r="B2619">
        <v>1</v>
      </c>
    </row>
    <row r="2620" spans="1:2">
      <c r="A2620" s="10" t="s">
        <v>2436</v>
      </c>
      <c r="B2620">
        <v>1</v>
      </c>
    </row>
    <row r="2621" spans="1:2">
      <c r="A2621" s="10" t="s">
        <v>2436</v>
      </c>
      <c r="B2621">
        <v>1</v>
      </c>
    </row>
    <row r="2622" spans="1:2">
      <c r="A2622" s="10" t="s">
        <v>2436</v>
      </c>
      <c r="B2622">
        <v>1</v>
      </c>
    </row>
    <row r="2623" spans="1:2">
      <c r="A2623" s="10" t="s">
        <v>2457</v>
      </c>
      <c r="B2623">
        <v>2</v>
      </c>
    </row>
    <row r="2624" spans="1:2">
      <c r="A2624" s="10" t="s">
        <v>2460</v>
      </c>
      <c r="B2624">
        <v>1</v>
      </c>
    </row>
    <row r="2625" spans="1:2">
      <c r="A2625" s="10" t="s">
        <v>20</v>
      </c>
      <c r="B2625">
        <v>1</v>
      </c>
    </row>
    <row r="2626" spans="1:2">
      <c r="A2626" s="10" t="s">
        <v>2454</v>
      </c>
      <c r="B2626">
        <v>1</v>
      </c>
    </row>
    <row r="2627" spans="1:2">
      <c r="A2627" s="10" t="s">
        <v>2457</v>
      </c>
      <c r="B2627">
        <v>2</v>
      </c>
    </row>
    <row r="2628" spans="1:2">
      <c r="A2628" s="10" t="s">
        <v>2460</v>
      </c>
      <c r="B2628">
        <v>1</v>
      </c>
    </row>
    <row r="2629" spans="1:2">
      <c r="A2629" s="10" t="s">
        <v>2436</v>
      </c>
      <c r="B2629">
        <v>1</v>
      </c>
    </row>
    <row r="2630" spans="1:2">
      <c r="A2630" s="10" t="s">
        <v>2436</v>
      </c>
      <c r="B2630">
        <v>1</v>
      </c>
    </row>
    <row r="2631" spans="1:2">
      <c r="A2631" s="10" t="s">
        <v>2436</v>
      </c>
      <c r="B2631">
        <v>1</v>
      </c>
    </row>
    <row r="2632" spans="1:2">
      <c r="A2632" s="10" t="s">
        <v>2436</v>
      </c>
      <c r="B2632">
        <v>1</v>
      </c>
    </row>
    <row r="2633" spans="1:2">
      <c r="A2633" s="10" t="s">
        <v>2436</v>
      </c>
      <c r="B2633">
        <v>1</v>
      </c>
    </row>
    <row r="2634" spans="1:2">
      <c r="A2634" s="10" t="s">
        <v>2440</v>
      </c>
      <c r="B2634">
        <v>0.5</v>
      </c>
    </row>
    <row r="2635" spans="1:2">
      <c r="A2635" s="10" t="s">
        <v>2436</v>
      </c>
      <c r="B2635">
        <v>1</v>
      </c>
    </row>
    <row r="2636" spans="1:2">
      <c r="A2636" s="10" t="s">
        <v>2436</v>
      </c>
      <c r="B2636">
        <v>1</v>
      </c>
    </row>
    <row r="2637" spans="1:2">
      <c r="A2637" s="10" t="s">
        <v>2457</v>
      </c>
      <c r="B2637">
        <v>2</v>
      </c>
    </row>
    <row r="2638" spans="1:2">
      <c r="A2638" s="10" t="s">
        <v>2460</v>
      </c>
      <c r="B2638">
        <v>1</v>
      </c>
    </row>
    <row r="2639" spans="1:2">
      <c r="A2639" s="10" t="s">
        <v>2436</v>
      </c>
      <c r="B2639">
        <v>1</v>
      </c>
    </row>
    <row r="2640" spans="1:2">
      <c r="A2640" s="10" t="s">
        <v>2436</v>
      </c>
      <c r="B2640">
        <v>1</v>
      </c>
    </row>
    <row r="2641" spans="1:2">
      <c r="A2641" s="10" t="s">
        <v>2440</v>
      </c>
      <c r="B2641">
        <v>0.5</v>
      </c>
    </row>
    <row r="2642" spans="1:2">
      <c r="A2642" s="10" t="s">
        <v>2436</v>
      </c>
      <c r="B2642">
        <v>1</v>
      </c>
    </row>
    <row r="2643" spans="1:2">
      <c r="A2643" s="10" t="s">
        <v>2436</v>
      </c>
      <c r="B2643">
        <v>1</v>
      </c>
    </row>
    <row r="2644" spans="1:2">
      <c r="A2644" s="10" t="s">
        <v>3166</v>
      </c>
      <c r="B2644">
        <v>1</v>
      </c>
    </row>
    <row r="2645" spans="1:2">
      <c r="A2645" s="10" t="s">
        <v>2672</v>
      </c>
      <c r="B2645">
        <v>1</v>
      </c>
    </row>
    <row r="2646" spans="1:2">
      <c r="A2646" s="10" t="s">
        <v>2450</v>
      </c>
      <c r="B2646">
        <v>1</v>
      </c>
    </row>
    <row r="2647" spans="1:2">
      <c r="A2647" s="10" t="s">
        <v>2436</v>
      </c>
      <c r="B2647">
        <v>1</v>
      </c>
    </row>
    <row r="2648" spans="1:2">
      <c r="A2648" s="10" t="s">
        <v>2436</v>
      </c>
      <c r="B2648">
        <v>1</v>
      </c>
    </row>
    <row r="2649" spans="1:2">
      <c r="A2649" s="10" t="s">
        <v>2436</v>
      </c>
      <c r="B2649">
        <v>1</v>
      </c>
    </row>
    <row r="2650" spans="1:2">
      <c r="A2650" s="10" t="s">
        <v>2436</v>
      </c>
      <c r="B2650">
        <v>1</v>
      </c>
    </row>
    <row r="2651" spans="1:2">
      <c r="A2651" s="10" t="s">
        <v>2436</v>
      </c>
      <c r="B2651">
        <v>1</v>
      </c>
    </row>
    <row r="2652" spans="1:2">
      <c r="A2652" s="10" t="s">
        <v>2436</v>
      </c>
      <c r="B2652">
        <v>1</v>
      </c>
    </row>
    <row r="2653" spans="1:2">
      <c r="A2653" s="10" t="s">
        <v>2436</v>
      </c>
      <c r="B2653">
        <v>1</v>
      </c>
    </row>
    <row r="2654" spans="1:2">
      <c r="A2654" s="10" t="s">
        <v>2436</v>
      </c>
      <c r="B2654">
        <v>1</v>
      </c>
    </row>
    <row r="2655" spans="1:2">
      <c r="A2655" s="10" t="s">
        <v>2457</v>
      </c>
      <c r="B2655">
        <v>2</v>
      </c>
    </row>
    <row r="2656" spans="1:2">
      <c r="A2656" s="10" t="s">
        <v>2460</v>
      </c>
      <c r="B2656">
        <v>1</v>
      </c>
    </row>
    <row r="2657" spans="1:2">
      <c r="A2657" s="10" t="s">
        <v>2436</v>
      </c>
      <c r="B2657">
        <v>1</v>
      </c>
    </row>
    <row r="2658" spans="1:2">
      <c r="A2658" s="10" t="s">
        <v>2436</v>
      </c>
      <c r="B2658">
        <v>1</v>
      </c>
    </row>
    <row r="2659" spans="1:2">
      <c r="A2659" s="10" t="s">
        <v>2436</v>
      </c>
      <c r="B2659">
        <v>1</v>
      </c>
    </row>
    <row r="2660" spans="1:2">
      <c r="A2660" s="10" t="s">
        <v>2450</v>
      </c>
      <c r="B2660">
        <v>1</v>
      </c>
    </row>
    <row r="2661" spans="1:2">
      <c r="A2661" s="10" t="s">
        <v>2436</v>
      </c>
      <c r="B2661">
        <v>1</v>
      </c>
    </row>
    <row r="2662" spans="1:2">
      <c r="A2662" s="10" t="s">
        <v>2450</v>
      </c>
      <c r="B2662">
        <v>1</v>
      </c>
    </row>
    <row r="2663" spans="1:2">
      <c r="A2663" s="10" t="s">
        <v>2436</v>
      </c>
      <c r="B2663">
        <v>1</v>
      </c>
    </row>
    <row r="2664" spans="1:2">
      <c r="A2664" s="10" t="s">
        <v>2436</v>
      </c>
      <c r="B2664">
        <v>1</v>
      </c>
    </row>
    <row r="2665" spans="1:2">
      <c r="A2665" s="10" t="s">
        <v>2436</v>
      </c>
      <c r="B2665">
        <v>1</v>
      </c>
    </row>
    <row r="2666" spans="1:2">
      <c r="A2666" s="10" t="s">
        <v>2436</v>
      </c>
      <c r="B2666">
        <v>1</v>
      </c>
    </row>
    <row r="2667" spans="1:2">
      <c r="A2667" s="10" t="s">
        <v>2436</v>
      </c>
      <c r="B2667">
        <v>1</v>
      </c>
    </row>
    <row r="2668" spans="1:2">
      <c r="A2668" s="10" t="s">
        <v>2436</v>
      </c>
      <c r="B2668">
        <v>1</v>
      </c>
    </row>
    <row r="2669" spans="1:2">
      <c r="A2669" s="10" t="s">
        <v>2436</v>
      </c>
      <c r="B2669">
        <v>1</v>
      </c>
    </row>
    <row r="2670" spans="1:2">
      <c r="A2670" s="10" t="s">
        <v>2436</v>
      </c>
      <c r="B2670">
        <v>1</v>
      </c>
    </row>
    <row r="2671" spans="1:2">
      <c r="A2671" s="10" t="s">
        <v>2457</v>
      </c>
      <c r="B2671">
        <v>2</v>
      </c>
    </row>
    <row r="2672" spans="1:2">
      <c r="A2672" s="10" t="s">
        <v>2460</v>
      </c>
      <c r="B2672">
        <v>1</v>
      </c>
    </row>
    <row r="2673" spans="1:2">
      <c r="A2673" s="10" t="s">
        <v>2457</v>
      </c>
      <c r="B2673">
        <v>2</v>
      </c>
    </row>
    <row r="2674" spans="1:2">
      <c r="A2674" s="10" t="s">
        <v>2460</v>
      </c>
      <c r="B2674">
        <v>1</v>
      </c>
    </row>
    <row r="2675" spans="1:2">
      <c r="A2675" s="10" t="s">
        <v>2436</v>
      </c>
      <c r="B2675">
        <v>1</v>
      </c>
    </row>
    <row r="2676" spans="1:2">
      <c r="A2676" s="10" t="s">
        <v>2436</v>
      </c>
      <c r="B2676">
        <v>1</v>
      </c>
    </row>
    <row r="2677" spans="1:2">
      <c r="A2677" s="10" t="s">
        <v>2653</v>
      </c>
      <c r="B2677">
        <v>1</v>
      </c>
    </row>
    <row r="2678" spans="1:2">
      <c r="A2678" s="10" t="s">
        <v>4373</v>
      </c>
      <c r="B2678">
        <v>1</v>
      </c>
    </row>
    <row r="2679" spans="1:2">
      <c r="A2679" s="10" t="s">
        <v>2653</v>
      </c>
      <c r="B2679">
        <v>1</v>
      </c>
    </row>
    <row r="2680" spans="1:2">
      <c r="A2680" s="10" t="s">
        <v>2436</v>
      </c>
      <c r="B2680">
        <v>1</v>
      </c>
    </row>
    <row r="2681" spans="1:2">
      <c r="A2681" s="10" t="s">
        <v>2588</v>
      </c>
      <c r="B2681">
        <v>1</v>
      </c>
    </row>
    <row r="2682" spans="1:2">
      <c r="A2682" s="10" t="s">
        <v>2626</v>
      </c>
      <c r="B2682">
        <v>1</v>
      </c>
    </row>
    <row r="2683" spans="1:2">
      <c r="A2683" s="10" t="s">
        <v>2436</v>
      </c>
      <c r="B2683">
        <v>1</v>
      </c>
    </row>
    <row r="2684" spans="1:2">
      <c r="A2684" s="10" t="s">
        <v>2626</v>
      </c>
      <c r="B2684">
        <v>1</v>
      </c>
    </row>
    <row r="2685" spans="1:2">
      <c r="A2685" s="10" t="s">
        <v>2436</v>
      </c>
      <c r="B2685">
        <v>1</v>
      </c>
    </row>
    <row r="2686" spans="1:2">
      <c r="A2686" s="10" t="s">
        <v>2440</v>
      </c>
      <c r="B2686">
        <v>0.5</v>
      </c>
    </row>
    <row r="2687" spans="1:2">
      <c r="A2687" s="10" t="s">
        <v>2436</v>
      </c>
      <c r="B2687">
        <v>1</v>
      </c>
    </row>
    <row r="2688" spans="1:2">
      <c r="A2688" s="10" t="s">
        <v>2436</v>
      </c>
      <c r="B2688">
        <v>1</v>
      </c>
    </row>
    <row r="2689" spans="1:2">
      <c r="A2689" s="10" t="s">
        <v>2436</v>
      </c>
      <c r="B2689">
        <v>1</v>
      </c>
    </row>
    <row r="2690" spans="1:2">
      <c r="A2690" s="10" t="s">
        <v>2436</v>
      </c>
      <c r="B2690">
        <v>1</v>
      </c>
    </row>
    <row r="2691" spans="1:2">
      <c r="A2691" s="10" t="s">
        <v>2436</v>
      </c>
      <c r="B2691">
        <v>1</v>
      </c>
    </row>
    <row r="2692" spans="1:2">
      <c r="A2692" s="10" t="s">
        <v>2436</v>
      </c>
      <c r="B2692">
        <v>1</v>
      </c>
    </row>
    <row r="2693" spans="1:2">
      <c r="A2693" s="10" t="s">
        <v>2436</v>
      </c>
      <c r="B2693">
        <v>1</v>
      </c>
    </row>
    <row r="2694" spans="1:2">
      <c r="A2694" s="10" t="s">
        <v>2436</v>
      </c>
      <c r="B2694">
        <v>1</v>
      </c>
    </row>
    <row r="2695" spans="1:2">
      <c r="A2695" s="10" t="s">
        <v>2450</v>
      </c>
      <c r="B2695">
        <v>1</v>
      </c>
    </row>
    <row r="2696" spans="1:2">
      <c r="A2696" s="10" t="s">
        <v>2450</v>
      </c>
      <c r="B2696">
        <v>1</v>
      </c>
    </row>
    <row r="2697" spans="1:2">
      <c r="A2697" s="10" t="s">
        <v>2436</v>
      </c>
      <c r="B2697">
        <v>1</v>
      </c>
    </row>
    <row r="2698" spans="1:2">
      <c r="A2698" s="10" t="s">
        <v>2436</v>
      </c>
      <c r="B2698">
        <v>1</v>
      </c>
    </row>
    <row r="2699" spans="1:2">
      <c r="A2699" s="10" t="s">
        <v>2672</v>
      </c>
      <c r="B2699">
        <v>1</v>
      </c>
    </row>
    <row r="2700" spans="1:2">
      <c r="A2700" s="10" t="s">
        <v>2450</v>
      </c>
      <c r="B2700">
        <v>1</v>
      </c>
    </row>
    <row r="2701" spans="1:2">
      <c r="A2701" s="10" t="s">
        <v>2507</v>
      </c>
      <c r="B2701">
        <v>4</v>
      </c>
    </row>
    <row r="2702" spans="1:2">
      <c r="A2702" s="10" t="s">
        <v>2457</v>
      </c>
      <c r="B2702">
        <v>2</v>
      </c>
    </row>
    <row r="2703" spans="1:2">
      <c r="A2703" s="10" t="s">
        <v>2460</v>
      </c>
      <c r="B2703">
        <v>1</v>
      </c>
    </row>
    <row r="2704" spans="1:2">
      <c r="A2704" s="10" t="s">
        <v>2436</v>
      </c>
      <c r="B2704">
        <v>1</v>
      </c>
    </row>
    <row r="2705" spans="1:2">
      <c r="A2705" s="10" t="s">
        <v>2436</v>
      </c>
      <c r="B2705">
        <v>1</v>
      </c>
    </row>
    <row r="2706" spans="1:2">
      <c r="A2706" s="10" t="s">
        <v>2440</v>
      </c>
      <c r="B2706">
        <v>0.5</v>
      </c>
    </row>
    <row r="2707" spans="1:2">
      <c r="A2707" s="10" t="s">
        <v>2436</v>
      </c>
      <c r="B2707">
        <v>1</v>
      </c>
    </row>
    <row r="2708" spans="1:2">
      <c r="A2708" s="10" t="s">
        <v>2436</v>
      </c>
      <c r="B2708">
        <v>1</v>
      </c>
    </row>
    <row r="2709" spans="1:2">
      <c r="A2709" s="10" t="s">
        <v>2440</v>
      </c>
      <c r="B2709">
        <v>0.5</v>
      </c>
    </row>
    <row r="2710" spans="1:2">
      <c r="A2710" s="10" t="s">
        <v>2436</v>
      </c>
      <c r="B2710">
        <v>1</v>
      </c>
    </row>
    <row r="2711" spans="1:2">
      <c r="A2711" s="10" t="s">
        <v>2436</v>
      </c>
      <c r="B2711">
        <v>1</v>
      </c>
    </row>
    <row r="2712" spans="1:2">
      <c r="A2712" s="10" t="s">
        <v>2436</v>
      </c>
      <c r="B2712">
        <v>1</v>
      </c>
    </row>
    <row r="2713" spans="1:2">
      <c r="A2713" s="10" t="s">
        <v>2436</v>
      </c>
      <c r="B2713">
        <v>1</v>
      </c>
    </row>
    <row r="2714" spans="1:2">
      <c r="A2714" s="10" t="s">
        <v>2436</v>
      </c>
      <c r="B2714">
        <v>1</v>
      </c>
    </row>
    <row r="2715" spans="1:2">
      <c r="A2715" s="10" t="s">
        <v>2436</v>
      </c>
      <c r="B2715">
        <v>1</v>
      </c>
    </row>
    <row r="2716" spans="1:2">
      <c r="A2716" s="10" t="s">
        <v>2436</v>
      </c>
      <c r="B2716">
        <v>1</v>
      </c>
    </row>
    <row r="2717" spans="1:2">
      <c r="A2717" s="10" t="s">
        <v>2436</v>
      </c>
      <c r="B2717">
        <v>1</v>
      </c>
    </row>
    <row r="2718" spans="1:2">
      <c r="A2718" s="10" t="s">
        <v>40</v>
      </c>
      <c r="B2718">
        <v>1</v>
      </c>
    </row>
    <row r="2719" spans="1:2">
      <c r="A2719" s="10" t="s">
        <v>2436</v>
      </c>
      <c r="B2719">
        <v>1</v>
      </c>
    </row>
    <row r="2720" spans="1:2">
      <c r="A2720" s="10" t="s">
        <v>2436</v>
      </c>
      <c r="B2720">
        <v>1</v>
      </c>
    </row>
    <row r="2721" spans="1:2">
      <c r="A2721" s="10" t="s">
        <v>2436</v>
      </c>
      <c r="B2721">
        <v>1</v>
      </c>
    </row>
    <row r="2722" spans="1:2">
      <c r="A2722" s="10" t="s">
        <v>2436</v>
      </c>
      <c r="B2722">
        <v>1</v>
      </c>
    </row>
    <row r="2723" spans="1:2">
      <c r="A2723" s="10" t="s">
        <v>2436</v>
      </c>
      <c r="B2723">
        <v>1</v>
      </c>
    </row>
    <row r="2724" spans="1:2">
      <c r="A2724" s="10" t="s">
        <v>2436</v>
      </c>
      <c r="B2724">
        <v>1</v>
      </c>
    </row>
    <row r="2725" spans="1:2">
      <c r="A2725" s="10" t="s">
        <v>2436</v>
      </c>
      <c r="B2725">
        <v>1</v>
      </c>
    </row>
    <row r="2726" spans="1:2">
      <c r="A2726" s="10" t="s">
        <v>32</v>
      </c>
      <c r="B2726">
        <v>1</v>
      </c>
    </row>
    <row r="2727" spans="1:2">
      <c r="A2727" s="10" t="s">
        <v>2436</v>
      </c>
      <c r="B2727">
        <v>1</v>
      </c>
    </row>
    <row r="2728" spans="1:2">
      <c r="A2728" s="10" t="s">
        <v>2436</v>
      </c>
      <c r="B2728">
        <v>1</v>
      </c>
    </row>
    <row r="2729" spans="1:2">
      <c r="A2729" s="10" t="s">
        <v>2436</v>
      </c>
      <c r="B2729">
        <v>1</v>
      </c>
    </row>
    <row r="2730" spans="1:2">
      <c r="A2730" s="10" t="s">
        <v>2436</v>
      </c>
      <c r="B2730">
        <v>1</v>
      </c>
    </row>
    <row r="2731" spans="1:2">
      <c r="A2731" s="10" t="s">
        <v>2436</v>
      </c>
      <c r="B2731">
        <v>1</v>
      </c>
    </row>
    <row r="2732" spans="1:2">
      <c r="A2732" s="10" t="s">
        <v>2436</v>
      </c>
      <c r="B2732">
        <v>1</v>
      </c>
    </row>
    <row r="2733" spans="1:2">
      <c r="A2733" s="10" t="s">
        <v>2436</v>
      </c>
      <c r="B2733">
        <v>1</v>
      </c>
    </row>
    <row r="2734" spans="1:2">
      <c r="A2734" s="10" t="s">
        <v>2436</v>
      </c>
      <c r="B2734">
        <v>1</v>
      </c>
    </row>
    <row r="2735" spans="1:2">
      <c r="A2735" s="10" t="s">
        <v>2436</v>
      </c>
      <c r="B2735">
        <v>1</v>
      </c>
    </row>
    <row r="2736" spans="1:2">
      <c r="A2736" s="10" t="s">
        <v>2436</v>
      </c>
      <c r="B2736">
        <v>1</v>
      </c>
    </row>
    <row r="2737" spans="1:2">
      <c r="A2737" s="10" t="s">
        <v>2436</v>
      </c>
      <c r="B2737">
        <v>1</v>
      </c>
    </row>
    <row r="2738" spans="1:2">
      <c r="A2738" s="10" t="s">
        <v>2436</v>
      </c>
      <c r="B2738">
        <v>1</v>
      </c>
    </row>
    <row r="2739" spans="1:2">
      <c r="A2739" s="10" t="s">
        <v>2436</v>
      </c>
      <c r="B2739">
        <v>1</v>
      </c>
    </row>
    <row r="2740" spans="1:2">
      <c r="A2740" s="10" t="s">
        <v>2436</v>
      </c>
      <c r="B2740">
        <v>1</v>
      </c>
    </row>
    <row r="2741" spans="1:2">
      <c r="A2741" s="10" t="s">
        <v>2436</v>
      </c>
      <c r="B2741">
        <v>1</v>
      </c>
    </row>
    <row r="2742" spans="1:2">
      <c r="A2742" s="10" t="s">
        <v>2436</v>
      </c>
      <c r="B2742">
        <v>1</v>
      </c>
    </row>
    <row r="2743" spans="1:2">
      <c r="A2743" s="10" t="s">
        <v>2436</v>
      </c>
      <c r="B2743">
        <v>1</v>
      </c>
    </row>
    <row r="2744" spans="1:2">
      <c r="A2744" s="10" t="s">
        <v>2450</v>
      </c>
      <c r="B2744">
        <v>1</v>
      </c>
    </row>
    <row r="2745" spans="1:2">
      <c r="A2745" s="10" t="s">
        <v>2450</v>
      </c>
      <c r="B2745">
        <v>1</v>
      </c>
    </row>
    <row r="2746" spans="1:2">
      <c r="A2746" s="10" t="s">
        <v>2436</v>
      </c>
      <c r="B2746">
        <v>1</v>
      </c>
    </row>
    <row r="2747" spans="1:2">
      <c r="A2747" s="10" t="s">
        <v>2436</v>
      </c>
      <c r="B2747">
        <v>1</v>
      </c>
    </row>
    <row r="2748" spans="1:2">
      <c r="A2748" s="10" t="s">
        <v>2436</v>
      </c>
      <c r="B2748">
        <v>1</v>
      </c>
    </row>
    <row r="2749" spans="1:2">
      <c r="A2749" s="10" t="s">
        <v>2436</v>
      </c>
      <c r="B2749">
        <v>1</v>
      </c>
    </row>
    <row r="2750" spans="1:2">
      <c r="A2750" s="10" t="s">
        <v>2436</v>
      </c>
      <c r="B2750">
        <v>1</v>
      </c>
    </row>
    <row r="2751" spans="1:2">
      <c r="A2751" s="10" t="s">
        <v>2457</v>
      </c>
      <c r="B2751">
        <v>2</v>
      </c>
    </row>
    <row r="2752" spans="1:2">
      <c r="A2752" s="10" t="s">
        <v>2460</v>
      </c>
      <c r="B2752">
        <v>1</v>
      </c>
    </row>
    <row r="2753" spans="1:2">
      <c r="A2753" s="10" t="s">
        <v>20</v>
      </c>
      <c r="B2753">
        <v>1</v>
      </c>
    </row>
    <row r="2754" spans="1:2">
      <c r="A2754" s="10" t="s">
        <v>2436</v>
      </c>
      <c r="B2754">
        <v>1</v>
      </c>
    </row>
    <row r="2755" spans="1:2">
      <c r="A2755" s="10" t="s">
        <v>2626</v>
      </c>
      <c r="B2755">
        <v>1</v>
      </c>
    </row>
    <row r="2756" spans="1:2">
      <c r="A2756" s="10" t="s">
        <v>2436</v>
      </c>
      <c r="B2756">
        <v>1</v>
      </c>
    </row>
    <row r="2757" spans="1:2">
      <c r="A2757" s="10" t="s">
        <v>2436</v>
      </c>
      <c r="B2757">
        <v>1</v>
      </c>
    </row>
    <row r="2758" spans="1:2">
      <c r="A2758" s="10" t="s">
        <v>2436</v>
      </c>
      <c r="B2758">
        <v>1</v>
      </c>
    </row>
    <row r="2759" spans="1:2">
      <c r="A2759" s="10" t="s">
        <v>2507</v>
      </c>
      <c r="B2759">
        <v>4</v>
      </c>
    </row>
    <row r="2760" spans="1:2">
      <c r="A2760" s="10" t="s">
        <v>2457</v>
      </c>
      <c r="B2760">
        <v>2</v>
      </c>
    </row>
    <row r="2761" spans="1:2">
      <c r="A2761" s="10" t="s">
        <v>2460</v>
      </c>
      <c r="B2761">
        <v>1</v>
      </c>
    </row>
    <row r="2762" spans="1:2">
      <c r="A2762" s="10" t="s">
        <v>2436</v>
      </c>
      <c r="B2762">
        <v>1</v>
      </c>
    </row>
    <row r="2763" spans="1:2">
      <c r="A2763" s="10" t="s">
        <v>2450</v>
      </c>
      <c r="B2763">
        <v>1</v>
      </c>
    </row>
    <row r="2764" spans="1:2">
      <c r="A2764" s="10" t="s">
        <v>2436</v>
      </c>
      <c r="B2764">
        <v>1</v>
      </c>
    </row>
    <row r="2765" spans="1:2">
      <c r="A2765" s="10" t="s">
        <v>20</v>
      </c>
      <c r="B2765">
        <v>1</v>
      </c>
    </row>
    <row r="2766" spans="1:2">
      <c r="A2766" s="10" t="s">
        <v>2507</v>
      </c>
      <c r="B2766">
        <v>4</v>
      </c>
    </row>
    <row r="2767" spans="1:2">
      <c r="A2767" s="10" t="s">
        <v>2457</v>
      </c>
      <c r="B2767">
        <v>2</v>
      </c>
    </row>
    <row r="2768" spans="1:2">
      <c r="A2768" s="10" t="s">
        <v>2460</v>
      </c>
      <c r="B2768">
        <v>1</v>
      </c>
    </row>
    <row r="2769" spans="1:2">
      <c r="A2769" s="10" t="s">
        <v>2436</v>
      </c>
      <c r="B2769">
        <v>1</v>
      </c>
    </row>
    <row r="2770" spans="1:2">
      <c r="A2770" s="10" t="s">
        <v>2436</v>
      </c>
      <c r="B2770">
        <v>1</v>
      </c>
    </row>
    <row r="2771" spans="1:2">
      <c r="A2771" s="10" t="s">
        <v>2517</v>
      </c>
      <c r="B2771">
        <v>1</v>
      </c>
    </row>
    <row r="2772" spans="1:2">
      <c r="A2772" s="10" t="s">
        <v>2517</v>
      </c>
      <c r="B2772">
        <v>1</v>
      </c>
    </row>
    <row r="2773" spans="1:2">
      <c r="A2773" s="10" t="s">
        <v>2436</v>
      </c>
      <c r="B2773">
        <v>1</v>
      </c>
    </row>
    <row r="2774" spans="1:2">
      <c r="A2774" s="10" t="s">
        <v>2436</v>
      </c>
      <c r="B2774">
        <v>1</v>
      </c>
    </row>
    <row r="2775" spans="1:2">
      <c r="A2775" s="10" t="s">
        <v>2436</v>
      </c>
      <c r="B2775">
        <v>1</v>
      </c>
    </row>
    <row r="2776" spans="1:2">
      <c r="A2776" s="10" t="s">
        <v>2436</v>
      </c>
      <c r="B2776">
        <v>1</v>
      </c>
    </row>
    <row r="2777" spans="1:2">
      <c r="A2777" s="10" t="s">
        <v>2436</v>
      </c>
      <c r="B2777">
        <v>1</v>
      </c>
    </row>
    <row r="2778" spans="1:2">
      <c r="A2778" s="10" t="s">
        <v>2436</v>
      </c>
      <c r="B2778">
        <v>1</v>
      </c>
    </row>
    <row r="2779" spans="1:2">
      <c r="A2779" s="10" t="s">
        <v>2457</v>
      </c>
      <c r="B2779">
        <v>2</v>
      </c>
    </row>
    <row r="2780" spans="1:2">
      <c r="A2780" s="10" t="s">
        <v>2460</v>
      </c>
      <c r="B2780">
        <v>1</v>
      </c>
    </row>
    <row r="2781" spans="1:2">
      <c r="A2781" s="10" t="s">
        <v>20</v>
      </c>
      <c r="B2781">
        <v>1</v>
      </c>
    </row>
    <row r="2782" spans="1:2">
      <c r="A2782" s="10" t="s">
        <v>2454</v>
      </c>
      <c r="B2782">
        <v>1</v>
      </c>
    </row>
    <row r="2783" spans="1:2">
      <c r="A2783" s="10" t="s">
        <v>2507</v>
      </c>
      <c r="B2783">
        <v>4</v>
      </c>
    </row>
    <row r="2784" spans="1:2">
      <c r="A2784" s="10" t="s">
        <v>2457</v>
      </c>
      <c r="B2784">
        <v>2</v>
      </c>
    </row>
    <row r="2785" spans="1:2">
      <c r="A2785" s="10" t="s">
        <v>2460</v>
      </c>
      <c r="B2785">
        <v>1</v>
      </c>
    </row>
    <row r="2786" spans="1:2">
      <c r="A2786" s="10" t="s">
        <v>2436</v>
      </c>
      <c r="B2786">
        <v>1</v>
      </c>
    </row>
    <row r="2787" spans="1:2">
      <c r="A2787" s="10" t="s">
        <v>2436</v>
      </c>
      <c r="B2787">
        <v>1</v>
      </c>
    </row>
    <row r="2788" spans="1:2">
      <c r="A2788" s="10" t="s">
        <v>2436</v>
      </c>
      <c r="B2788">
        <v>1</v>
      </c>
    </row>
    <row r="2789" spans="1:2">
      <c r="A2789" s="10" t="s">
        <v>2436</v>
      </c>
      <c r="B2789">
        <v>1</v>
      </c>
    </row>
    <row r="2790" spans="1:2">
      <c r="A2790" s="10" t="s">
        <v>2436</v>
      </c>
      <c r="B2790">
        <v>1</v>
      </c>
    </row>
    <row r="2791" spans="1:2">
      <c r="A2791" s="10" t="s">
        <v>2440</v>
      </c>
      <c r="B2791">
        <v>0.5</v>
      </c>
    </row>
    <row r="2792" spans="1:2">
      <c r="A2792" s="10" t="s">
        <v>2436</v>
      </c>
      <c r="B2792">
        <v>1</v>
      </c>
    </row>
    <row r="2793" spans="1:2">
      <c r="A2793" s="10" t="s">
        <v>2436</v>
      </c>
      <c r="B2793">
        <v>1</v>
      </c>
    </row>
    <row r="2794" spans="1:2">
      <c r="A2794" s="10" t="s">
        <v>2457</v>
      </c>
      <c r="B2794">
        <v>2</v>
      </c>
    </row>
    <row r="2795" spans="1:2">
      <c r="A2795" s="10" t="s">
        <v>2460</v>
      </c>
      <c r="B2795">
        <v>1</v>
      </c>
    </row>
    <row r="2796" spans="1:2">
      <c r="A2796" s="10" t="s">
        <v>2436</v>
      </c>
      <c r="B2796">
        <v>1</v>
      </c>
    </row>
    <row r="2797" spans="1:2">
      <c r="A2797" s="10" t="s">
        <v>2436</v>
      </c>
      <c r="B2797">
        <v>1</v>
      </c>
    </row>
    <row r="2798" spans="1:2">
      <c r="A2798" s="10" t="s">
        <v>2440</v>
      </c>
      <c r="B2798">
        <v>0.5</v>
      </c>
    </row>
    <row r="2799" spans="1:2">
      <c r="A2799" s="10" t="s">
        <v>2436</v>
      </c>
      <c r="B2799">
        <v>1</v>
      </c>
    </row>
    <row r="2800" spans="1:2">
      <c r="A2800" s="10" t="s">
        <v>2436</v>
      </c>
      <c r="B2800">
        <v>1</v>
      </c>
    </row>
    <row r="2801" spans="1:2">
      <c r="A2801" s="10" t="s">
        <v>3166</v>
      </c>
      <c r="B2801">
        <v>1</v>
      </c>
    </row>
    <row r="2802" spans="1:2">
      <c r="A2802" s="10" t="s">
        <v>2672</v>
      </c>
      <c r="B2802">
        <v>1</v>
      </c>
    </row>
    <row r="2803" spans="1:2">
      <c r="A2803" s="10" t="s">
        <v>2450</v>
      </c>
      <c r="B2803">
        <v>1</v>
      </c>
    </row>
    <row r="2804" spans="1:2">
      <c r="A2804" s="10" t="s">
        <v>2436</v>
      </c>
      <c r="B2804">
        <v>1</v>
      </c>
    </row>
    <row r="2805" spans="1:2">
      <c r="A2805" s="10" t="s">
        <v>2436</v>
      </c>
      <c r="B2805">
        <v>1</v>
      </c>
    </row>
    <row r="2806" spans="1:2">
      <c r="A2806" s="10" t="s">
        <v>2436</v>
      </c>
      <c r="B2806">
        <v>1</v>
      </c>
    </row>
    <row r="2807" spans="1:2">
      <c r="A2807" s="10" t="s">
        <v>2436</v>
      </c>
      <c r="B2807">
        <v>1</v>
      </c>
    </row>
    <row r="2808" spans="1:2">
      <c r="A2808" s="10" t="s">
        <v>2436</v>
      </c>
      <c r="B2808">
        <v>1</v>
      </c>
    </row>
    <row r="2809" spans="1:2">
      <c r="A2809" s="10" t="s">
        <v>2436</v>
      </c>
      <c r="B2809">
        <v>1</v>
      </c>
    </row>
    <row r="2810" spans="1:2">
      <c r="A2810" s="10" t="s">
        <v>2436</v>
      </c>
      <c r="B2810">
        <v>1</v>
      </c>
    </row>
    <row r="2811" spans="1:2">
      <c r="A2811" s="10" t="s">
        <v>2457</v>
      </c>
      <c r="B2811">
        <v>2</v>
      </c>
    </row>
    <row r="2812" spans="1:2">
      <c r="A2812" s="10" t="s">
        <v>2460</v>
      </c>
      <c r="B2812">
        <v>1</v>
      </c>
    </row>
    <row r="2813" spans="1:2">
      <c r="A2813" s="10" t="s">
        <v>2436</v>
      </c>
      <c r="B2813">
        <v>1</v>
      </c>
    </row>
    <row r="2814" spans="1:2">
      <c r="A2814" s="10" t="s">
        <v>2436</v>
      </c>
      <c r="B2814">
        <v>1</v>
      </c>
    </row>
    <row r="2815" spans="1:2">
      <c r="A2815" s="10" t="s">
        <v>2436</v>
      </c>
      <c r="B2815">
        <v>1</v>
      </c>
    </row>
    <row r="2816" spans="1:2">
      <c r="A2816" s="10" t="s">
        <v>2436</v>
      </c>
      <c r="B2816">
        <v>1</v>
      </c>
    </row>
    <row r="2817" spans="1:2">
      <c r="A2817" s="10" t="s">
        <v>2450</v>
      </c>
      <c r="B2817">
        <v>1</v>
      </c>
    </row>
    <row r="2818" spans="1:2">
      <c r="A2818" s="10" t="s">
        <v>2436</v>
      </c>
      <c r="B2818">
        <v>1</v>
      </c>
    </row>
    <row r="2819" spans="1:2">
      <c r="A2819" s="10" t="s">
        <v>2436</v>
      </c>
      <c r="B2819">
        <v>1</v>
      </c>
    </row>
    <row r="2820" spans="1:2">
      <c r="A2820" s="10" t="s">
        <v>2436</v>
      </c>
      <c r="B2820">
        <v>1</v>
      </c>
    </row>
    <row r="2821" spans="1:2">
      <c r="A2821" s="10" t="s">
        <v>2436</v>
      </c>
      <c r="B2821">
        <v>1</v>
      </c>
    </row>
    <row r="2822" spans="1:2">
      <c r="A2822" s="10" t="s">
        <v>2436</v>
      </c>
      <c r="B2822">
        <v>1</v>
      </c>
    </row>
    <row r="2823" spans="1:2">
      <c r="A2823" s="10" t="s">
        <v>2436</v>
      </c>
      <c r="B2823">
        <v>1</v>
      </c>
    </row>
    <row r="2824" spans="1:2">
      <c r="A2824" s="10" t="s">
        <v>2436</v>
      </c>
      <c r="B2824">
        <v>1</v>
      </c>
    </row>
    <row r="2825" spans="1:2">
      <c r="A2825" s="10" t="s">
        <v>2436</v>
      </c>
      <c r="B2825">
        <v>1</v>
      </c>
    </row>
    <row r="2826" spans="1:2">
      <c r="A2826" s="10" t="s">
        <v>2507</v>
      </c>
      <c r="B2826">
        <v>4</v>
      </c>
    </row>
    <row r="2827" spans="1:2">
      <c r="A2827" s="10" t="s">
        <v>2457</v>
      </c>
      <c r="B2827">
        <v>2</v>
      </c>
    </row>
    <row r="2828" spans="1:2">
      <c r="A2828" s="10" t="s">
        <v>2460</v>
      </c>
      <c r="B2828">
        <v>1</v>
      </c>
    </row>
    <row r="2829" spans="1:2">
      <c r="A2829" s="10" t="s">
        <v>2457</v>
      </c>
      <c r="B2829">
        <v>2</v>
      </c>
    </row>
    <row r="2830" spans="1:2">
      <c r="A2830" s="10" t="s">
        <v>2460</v>
      </c>
      <c r="B2830">
        <v>1</v>
      </c>
    </row>
    <row r="2831" spans="1:2">
      <c r="A2831" s="10" t="s">
        <v>2588</v>
      </c>
      <c r="B2831">
        <v>1</v>
      </c>
    </row>
    <row r="2832" spans="1:2">
      <c r="A2832" s="10" t="s">
        <v>2436</v>
      </c>
      <c r="B2832">
        <v>1</v>
      </c>
    </row>
    <row r="2833" spans="1:2">
      <c r="A2833" s="10" t="s">
        <v>145</v>
      </c>
      <c r="B2833">
        <v>1</v>
      </c>
    </row>
    <row r="2834" spans="1:2">
      <c r="A2834" s="10" t="s">
        <v>2436</v>
      </c>
      <c r="B2834">
        <v>1</v>
      </c>
    </row>
    <row r="2835" spans="1:2">
      <c r="A2835" s="10" t="s">
        <v>2653</v>
      </c>
      <c r="B2835">
        <v>1</v>
      </c>
    </row>
    <row r="2836" spans="1:2">
      <c r="A2836" s="10" t="s">
        <v>4373</v>
      </c>
      <c r="B2836">
        <v>1</v>
      </c>
    </row>
    <row r="2837" spans="1:2">
      <c r="A2837" s="10" t="s">
        <v>2653</v>
      </c>
      <c r="B2837">
        <v>1</v>
      </c>
    </row>
    <row r="2838" spans="1:2">
      <c r="A2838" s="10" t="s">
        <v>2436</v>
      </c>
      <c r="B2838">
        <v>1</v>
      </c>
    </row>
    <row r="2839" spans="1:2">
      <c r="A2839" s="10" t="s">
        <v>2450</v>
      </c>
      <c r="B2839">
        <v>1</v>
      </c>
    </row>
    <row r="2840" spans="1:2">
      <c r="A2840" s="10" t="s">
        <v>2626</v>
      </c>
      <c r="B2840">
        <v>1</v>
      </c>
    </row>
    <row r="2841" spans="1:2">
      <c r="A2841" s="10" t="s">
        <v>2436</v>
      </c>
      <c r="B2841">
        <v>1</v>
      </c>
    </row>
    <row r="2842" spans="1:2">
      <c r="A2842" s="10" t="s">
        <v>2672</v>
      </c>
      <c r="B2842">
        <v>1</v>
      </c>
    </row>
    <row r="2843" spans="1:2">
      <c r="A2843" s="10" t="s">
        <v>2450</v>
      </c>
      <c r="B2843">
        <v>1</v>
      </c>
    </row>
    <row r="2844" spans="1:2">
      <c r="A2844" s="10" t="s">
        <v>2440</v>
      </c>
      <c r="B2844">
        <v>0.5</v>
      </c>
    </row>
    <row r="2845" spans="1:2">
      <c r="A2845" s="10" t="s">
        <v>2436</v>
      </c>
      <c r="B2845">
        <v>1</v>
      </c>
    </row>
    <row r="2846" spans="1:2">
      <c r="A2846" s="10" t="s">
        <v>2436</v>
      </c>
      <c r="B2846">
        <v>1</v>
      </c>
    </row>
    <row r="2847" spans="1:2">
      <c r="A2847" s="10" t="s">
        <v>2436</v>
      </c>
      <c r="B2847">
        <v>1</v>
      </c>
    </row>
    <row r="2848" spans="1:2">
      <c r="A2848" s="10" t="s">
        <v>2436</v>
      </c>
      <c r="B2848">
        <v>1</v>
      </c>
    </row>
    <row r="2849" spans="1:2">
      <c r="A2849" s="10" t="s">
        <v>2436</v>
      </c>
      <c r="B2849">
        <v>1</v>
      </c>
    </row>
    <row r="2850" spans="1:2">
      <c r="A2850" s="10" t="s">
        <v>2436</v>
      </c>
      <c r="B2850">
        <v>1</v>
      </c>
    </row>
    <row r="2851" spans="1:2">
      <c r="A2851" s="10" t="s">
        <v>2436</v>
      </c>
      <c r="B2851">
        <v>1</v>
      </c>
    </row>
    <row r="2852" spans="1:2">
      <c r="A2852" s="10" t="s">
        <v>2436</v>
      </c>
      <c r="B2852">
        <v>1</v>
      </c>
    </row>
    <row r="2853" spans="1:2">
      <c r="A2853" s="10" t="s">
        <v>2436</v>
      </c>
      <c r="B2853">
        <v>1</v>
      </c>
    </row>
    <row r="2854" spans="1:2">
      <c r="A2854" s="10" t="s">
        <v>2672</v>
      </c>
      <c r="B2854">
        <v>1</v>
      </c>
    </row>
    <row r="2855" spans="1:2">
      <c r="A2855" s="10" t="s">
        <v>2450</v>
      </c>
      <c r="B2855">
        <v>1</v>
      </c>
    </row>
    <row r="2856" spans="1:2">
      <c r="A2856" s="10" t="s">
        <v>2672</v>
      </c>
      <c r="B2856">
        <v>1</v>
      </c>
    </row>
    <row r="2857" spans="1:2">
      <c r="A2857" s="10" t="s">
        <v>2450</v>
      </c>
      <c r="B2857">
        <v>1</v>
      </c>
    </row>
    <row r="2858" spans="1:2">
      <c r="A2858" s="10" t="s">
        <v>2450</v>
      </c>
      <c r="B2858">
        <v>1</v>
      </c>
    </row>
    <row r="2859" spans="1:2">
      <c r="A2859" s="10" t="s">
        <v>2436</v>
      </c>
      <c r="B2859">
        <v>1</v>
      </c>
    </row>
    <row r="2860" spans="1:2">
      <c r="A2860" s="10" t="s">
        <v>2436</v>
      </c>
      <c r="B2860">
        <v>1</v>
      </c>
    </row>
    <row r="2861" spans="1:2">
      <c r="A2861" s="10" t="s">
        <v>2450</v>
      </c>
      <c r="B2861">
        <v>1</v>
      </c>
    </row>
    <row r="2862" spans="1:2">
      <c r="A2862" s="10" t="s">
        <v>2457</v>
      </c>
      <c r="B2862">
        <v>2</v>
      </c>
    </row>
    <row r="2863" spans="1:2">
      <c r="A2863" s="10" t="s">
        <v>2460</v>
      </c>
      <c r="B2863">
        <v>1</v>
      </c>
    </row>
    <row r="2864" spans="1:2">
      <c r="A2864" s="10" t="s">
        <v>2436</v>
      </c>
      <c r="B2864">
        <v>1</v>
      </c>
    </row>
    <row r="2865" spans="1:2">
      <c r="A2865" s="10" t="s">
        <v>2436</v>
      </c>
      <c r="B2865">
        <v>1</v>
      </c>
    </row>
    <row r="2866" spans="1:2">
      <c r="A2866" s="10" t="s">
        <v>2440</v>
      </c>
      <c r="B2866">
        <v>0.5</v>
      </c>
    </row>
    <row r="2867" spans="1:2">
      <c r="A2867" s="10" t="s">
        <v>2436</v>
      </c>
      <c r="B2867">
        <v>1</v>
      </c>
    </row>
    <row r="2868" spans="1:2">
      <c r="A2868" s="10" t="s">
        <v>2436</v>
      </c>
      <c r="B2868">
        <v>1</v>
      </c>
    </row>
    <row r="2869" spans="1:2">
      <c r="A2869" s="10" t="s">
        <v>2440</v>
      </c>
      <c r="B2869">
        <v>0.5</v>
      </c>
    </row>
    <row r="2870" spans="1:2">
      <c r="A2870" s="10" t="s">
        <v>2450</v>
      </c>
      <c r="B2870">
        <v>1</v>
      </c>
    </row>
    <row r="2871" spans="1:2">
      <c r="A2871" s="10" t="s">
        <v>2436</v>
      </c>
      <c r="B2871">
        <v>1</v>
      </c>
    </row>
    <row r="2872" spans="1:2">
      <c r="A2872" s="10" t="s">
        <v>2436</v>
      </c>
      <c r="B2872">
        <v>1</v>
      </c>
    </row>
    <row r="2873" spans="1:2">
      <c r="A2873" s="10" t="s">
        <v>2672</v>
      </c>
      <c r="B2873">
        <v>1</v>
      </c>
    </row>
    <row r="2874" spans="1:2">
      <c r="A2874" s="10" t="s">
        <v>2450</v>
      </c>
      <c r="B2874">
        <v>1</v>
      </c>
    </row>
    <row r="2875" spans="1:2">
      <c r="A2875" s="10" t="s">
        <v>2436</v>
      </c>
      <c r="B2875">
        <v>1</v>
      </c>
    </row>
    <row r="2876" spans="1:2">
      <c r="A2876" s="10" t="s">
        <v>2436</v>
      </c>
      <c r="B2876">
        <v>1</v>
      </c>
    </row>
    <row r="2877" spans="1:2">
      <c r="A2877" s="10" t="s">
        <v>2436</v>
      </c>
      <c r="B2877">
        <v>1</v>
      </c>
    </row>
    <row r="2878" spans="1:2">
      <c r="A2878" s="10" t="s">
        <v>2436</v>
      </c>
      <c r="B2878">
        <v>1</v>
      </c>
    </row>
    <row r="2879" spans="1:2">
      <c r="A2879" s="10" t="s">
        <v>2436</v>
      </c>
      <c r="B2879">
        <v>1</v>
      </c>
    </row>
    <row r="2880" spans="1:2">
      <c r="A2880" s="10" t="s">
        <v>2436</v>
      </c>
      <c r="B2880">
        <v>1</v>
      </c>
    </row>
    <row r="2881" spans="1:2">
      <c r="A2881" s="10" t="s">
        <v>40</v>
      </c>
      <c r="B2881">
        <v>1</v>
      </c>
    </row>
    <row r="2882" spans="1:2">
      <c r="A2882" s="10" t="s">
        <v>2436</v>
      </c>
      <c r="B2882">
        <v>1</v>
      </c>
    </row>
    <row r="2883" spans="1:2">
      <c r="A2883" s="10" t="s">
        <v>2436</v>
      </c>
      <c r="B2883">
        <v>1</v>
      </c>
    </row>
    <row r="2884" spans="1:2">
      <c r="A2884" s="10" t="s">
        <v>2436</v>
      </c>
      <c r="B2884">
        <v>1</v>
      </c>
    </row>
    <row r="2885" spans="1:2">
      <c r="A2885" s="10" t="s">
        <v>2436</v>
      </c>
      <c r="B2885">
        <v>1</v>
      </c>
    </row>
    <row r="2886" spans="1:2">
      <c r="A2886" s="10" t="s">
        <v>2436</v>
      </c>
      <c r="B2886">
        <v>1</v>
      </c>
    </row>
    <row r="2887" spans="1:2">
      <c r="A2887" s="10" t="s">
        <v>2436</v>
      </c>
      <c r="B2887">
        <v>1</v>
      </c>
    </row>
    <row r="2888" spans="1:2">
      <c r="A2888" s="10" t="s">
        <v>2436</v>
      </c>
      <c r="B2888">
        <v>1</v>
      </c>
    </row>
    <row r="2889" spans="1:2">
      <c r="A2889" s="10" t="s">
        <v>32</v>
      </c>
      <c r="B2889">
        <v>1</v>
      </c>
    </row>
    <row r="2890" spans="1:2">
      <c r="A2890" s="10" t="s">
        <v>2436</v>
      </c>
      <c r="B2890">
        <v>1</v>
      </c>
    </row>
    <row r="2891" spans="1:2">
      <c r="A2891" s="10" t="s">
        <v>2436</v>
      </c>
      <c r="B2891">
        <v>1</v>
      </c>
    </row>
    <row r="2892" spans="1:2">
      <c r="A2892" s="10" t="s">
        <v>2436</v>
      </c>
      <c r="B2892">
        <v>1</v>
      </c>
    </row>
    <row r="2893" spans="1:2">
      <c r="A2893" s="10" t="s">
        <v>2436</v>
      </c>
      <c r="B2893">
        <v>1</v>
      </c>
    </row>
    <row r="2894" spans="1:2">
      <c r="A2894" s="10" t="s">
        <v>2436</v>
      </c>
      <c r="B2894">
        <v>1</v>
      </c>
    </row>
    <row r="2895" spans="1:2">
      <c r="A2895" s="10" t="s">
        <v>2436</v>
      </c>
      <c r="B2895">
        <v>1</v>
      </c>
    </row>
    <row r="2896" spans="1:2">
      <c r="A2896" s="10" t="s">
        <v>2436</v>
      </c>
      <c r="B2896">
        <v>1</v>
      </c>
    </row>
    <row r="2897" spans="1:2">
      <c r="A2897" s="10" t="s">
        <v>2436</v>
      </c>
      <c r="B2897">
        <v>1</v>
      </c>
    </row>
    <row r="2898" spans="1:2">
      <c r="A2898" s="10" t="s">
        <v>2436</v>
      </c>
      <c r="B2898">
        <v>1</v>
      </c>
    </row>
    <row r="2899" spans="1:2">
      <c r="A2899" s="10" t="s">
        <v>2436</v>
      </c>
      <c r="B2899">
        <v>1</v>
      </c>
    </row>
    <row r="2900" spans="1:2">
      <c r="A2900" s="10" t="s">
        <v>2436</v>
      </c>
      <c r="B2900">
        <v>1</v>
      </c>
    </row>
    <row r="2901" spans="1:2">
      <c r="A2901" s="10" t="s">
        <v>2450</v>
      </c>
      <c r="B2901">
        <v>1</v>
      </c>
    </row>
    <row r="2902" spans="1:2">
      <c r="A2902" s="10" t="s">
        <v>2672</v>
      </c>
      <c r="B2902">
        <v>1</v>
      </c>
    </row>
    <row r="2903" spans="1:2">
      <c r="A2903" s="10" t="s">
        <v>2450</v>
      </c>
      <c r="B2903">
        <v>1</v>
      </c>
    </row>
    <row r="2904" spans="1:2">
      <c r="A2904" s="10" t="s">
        <v>2626</v>
      </c>
      <c r="B2904">
        <v>1</v>
      </c>
    </row>
    <row r="2905" spans="1:2">
      <c r="A2905" s="10" t="s">
        <v>2436</v>
      </c>
      <c r="B2905">
        <v>1</v>
      </c>
    </row>
    <row r="2906" spans="1:2">
      <c r="A2906" s="10" t="s">
        <v>2436</v>
      </c>
      <c r="B2906">
        <v>1</v>
      </c>
    </row>
    <row r="2907" spans="1:2">
      <c r="A2907" s="10" t="s">
        <v>2436</v>
      </c>
      <c r="B2907">
        <v>1</v>
      </c>
    </row>
    <row r="2908" spans="1:2">
      <c r="A2908" s="10" t="s">
        <v>2436</v>
      </c>
      <c r="B2908">
        <v>1</v>
      </c>
    </row>
    <row r="2909" spans="1:2">
      <c r="A2909" s="10" t="s">
        <v>2457</v>
      </c>
      <c r="B2909">
        <v>2</v>
      </c>
    </row>
    <row r="2910" spans="1:2">
      <c r="A2910" s="10" t="s">
        <v>2460</v>
      </c>
      <c r="B2910">
        <v>1</v>
      </c>
    </row>
    <row r="2911" spans="1:2">
      <c r="A2911" s="10" t="s">
        <v>20</v>
      </c>
      <c r="B2911">
        <v>1</v>
      </c>
    </row>
    <row r="2912" spans="1:2">
      <c r="A2912" s="10" t="s">
        <v>2436</v>
      </c>
      <c r="B2912">
        <v>1</v>
      </c>
    </row>
    <row r="2913" spans="1:2">
      <c r="A2913" s="10" t="s">
        <v>2626</v>
      </c>
      <c r="B2913">
        <v>1</v>
      </c>
    </row>
    <row r="2914" spans="1:2">
      <c r="A2914" s="10" t="s">
        <v>2436</v>
      </c>
      <c r="B2914">
        <v>1</v>
      </c>
    </row>
    <row r="2915" spans="1:2">
      <c r="A2915" s="10" t="s">
        <v>2436</v>
      </c>
      <c r="B2915">
        <v>1</v>
      </c>
    </row>
    <row r="2916" spans="1:2">
      <c r="A2916" s="10" t="s">
        <v>2436</v>
      </c>
      <c r="B2916">
        <v>1</v>
      </c>
    </row>
    <row r="2917" spans="1:2">
      <c r="A2917" s="10" t="s">
        <v>2507</v>
      </c>
      <c r="B2917">
        <v>4</v>
      </c>
    </row>
    <row r="2918" spans="1:2">
      <c r="A2918" s="10" t="s">
        <v>2457</v>
      </c>
      <c r="B2918">
        <v>2</v>
      </c>
    </row>
    <row r="2919" spans="1:2">
      <c r="A2919" s="10" t="s">
        <v>2460</v>
      </c>
      <c r="B2919">
        <v>1</v>
      </c>
    </row>
    <row r="2920" spans="1:2">
      <c r="A2920" s="10" t="s">
        <v>32</v>
      </c>
      <c r="B2920">
        <v>1</v>
      </c>
    </row>
    <row r="2921" spans="1:2">
      <c r="A2921" s="10" t="s">
        <v>2436</v>
      </c>
      <c r="B2921">
        <v>1</v>
      </c>
    </row>
    <row r="2922" spans="1:2">
      <c r="A2922" s="10" t="s">
        <v>2450</v>
      </c>
      <c r="B2922">
        <v>1</v>
      </c>
    </row>
    <row r="2923" spans="1:2">
      <c r="A2923" s="10" t="s">
        <v>2436</v>
      </c>
      <c r="B2923">
        <v>1</v>
      </c>
    </row>
    <row r="2924" spans="1:2">
      <c r="A2924" s="10" t="s">
        <v>20</v>
      </c>
      <c r="B2924">
        <v>1</v>
      </c>
    </row>
    <row r="2925" spans="1:2">
      <c r="A2925" s="10" t="s">
        <v>2507</v>
      </c>
      <c r="B2925">
        <v>4</v>
      </c>
    </row>
    <row r="2926" spans="1:2">
      <c r="A2926" s="10" t="s">
        <v>2457</v>
      </c>
      <c r="B2926">
        <v>2</v>
      </c>
    </row>
    <row r="2927" spans="1:2">
      <c r="A2927" s="10" t="s">
        <v>2460</v>
      </c>
      <c r="B2927">
        <v>1</v>
      </c>
    </row>
    <row r="2928" spans="1:2">
      <c r="A2928" s="10" t="s">
        <v>2436</v>
      </c>
      <c r="B2928">
        <v>1</v>
      </c>
    </row>
    <row r="2929" spans="1:2">
      <c r="A2929" s="10" t="s">
        <v>2436</v>
      </c>
      <c r="B2929">
        <v>1</v>
      </c>
    </row>
    <row r="2930" spans="1:2">
      <c r="A2930" s="10" t="s">
        <v>2517</v>
      </c>
      <c r="B2930">
        <v>1</v>
      </c>
    </row>
    <row r="2931" spans="1:2">
      <c r="A2931" s="10" t="s">
        <v>2517</v>
      </c>
      <c r="B2931">
        <v>1</v>
      </c>
    </row>
    <row r="2932" spans="1:2">
      <c r="A2932" s="10" t="s">
        <v>2436</v>
      </c>
      <c r="B2932">
        <v>1</v>
      </c>
    </row>
    <row r="2933" spans="1:2">
      <c r="A2933" s="10" t="s">
        <v>2436</v>
      </c>
      <c r="B2933">
        <v>1</v>
      </c>
    </row>
    <row r="2934" spans="1:2">
      <c r="A2934" s="10" t="s">
        <v>2436</v>
      </c>
      <c r="B2934">
        <v>1</v>
      </c>
    </row>
    <row r="2935" spans="1:2">
      <c r="A2935" s="10" t="s">
        <v>2436</v>
      </c>
      <c r="B2935">
        <v>1</v>
      </c>
    </row>
    <row r="2936" spans="1:2">
      <c r="A2936" s="10" t="s">
        <v>2436</v>
      </c>
      <c r="B2936">
        <v>1</v>
      </c>
    </row>
    <row r="2937" spans="1:2">
      <c r="A2937" s="10" t="s">
        <v>2436</v>
      </c>
      <c r="B2937">
        <v>1</v>
      </c>
    </row>
    <row r="2938" spans="1:2">
      <c r="A2938" s="10" t="s">
        <v>2457</v>
      </c>
      <c r="B2938">
        <v>2</v>
      </c>
    </row>
    <row r="2939" spans="1:2">
      <c r="A2939" s="10" t="s">
        <v>2460</v>
      </c>
      <c r="B2939">
        <v>1</v>
      </c>
    </row>
    <row r="2940" spans="1:2">
      <c r="A2940" s="10" t="s">
        <v>20</v>
      </c>
      <c r="B2940">
        <v>1</v>
      </c>
    </row>
    <row r="2941" spans="1:2">
      <c r="A2941" s="10" t="s">
        <v>2454</v>
      </c>
      <c r="B2941">
        <v>1</v>
      </c>
    </row>
    <row r="2942" spans="1:2">
      <c r="A2942" s="10" t="s">
        <v>2457</v>
      </c>
      <c r="B2942">
        <v>2</v>
      </c>
    </row>
    <row r="2943" spans="1:2">
      <c r="A2943" s="10" t="s">
        <v>2460</v>
      </c>
      <c r="B2943">
        <v>1</v>
      </c>
    </row>
    <row r="2944" spans="1:2">
      <c r="A2944" s="10" t="s">
        <v>2436</v>
      </c>
      <c r="B2944">
        <v>1</v>
      </c>
    </row>
    <row r="2945" spans="1:2">
      <c r="A2945" s="10" t="s">
        <v>2436</v>
      </c>
      <c r="B2945">
        <v>1</v>
      </c>
    </row>
    <row r="2946" spans="1:2">
      <c r="A2946" s="10" t="s">
        <v>2436</v>
      </c>
      <c r="B2946">
        <v>1</v>
      </c>
    </row>
    <row r="2947" spans="1:2">
      <c r="A2947" s="10" t="s">
        <v>2436</v>
      </c>
      <c r="B2947">
        <v>1</v>
      </c>
    </row>
    <row r="2948" spans="1:2">
      <c r="A2948" s="10" t="s">
        <v>2436</v>
      </c>
      <c r="B2948">
        <v>1</v>
      </c>
    </row>
    <row r="2949" spans="1:2">
      <c r="A2949" s="10" t="s">
        <v>2440</v>
      </c>
      <c r="B2949">
        <v>0.5</v>
      </c>
    </row>
    <row r="2950" spans="1:2">
      <c r="A2950" s="10" t="s">
        <v>2436</v>
      </c>
      <c r="B2950">
        <v>1</v>
      </c>
    </row>
    <row r="2951" spans="1:2">
      <c r="A2951" s="10" t="s">
        <v>2436</v>
      </c>
      <c r="B2951">
        <v>1</v>
      </c>
    </row>
    <row r="2952" spans="1:2">
      <c r="A2952" s="10" t="s">
        <v>2457</v>
      </c>
      <c r="B2952">
        <v>2</v>
      </c>
    </row>
    <row r="2953" spans="1:2">
      <c r="A2953" s="10" t="s">
        <v>2460</v>
      </c>
      <c r="B2953">
        <v>1</v>
      </c>
    </row>
    <row r="2954" spans="1:2">
      <c r="A2954" s="10" t="s">
        <v>2436</v>
      </c>
      <c r="B2954">
        <v>1</v>
      </c>
    </row>
    <row r="2955" spans="1:2">
      <c r="A2955" s="10" t="s">
        <v>2436</v>
      </c>
      <c r="B2955">
        <v>1</v>
      </c>
    </row>
    <row r="2956" spans="1:2">
      <c r="A2956" s="10" t="s">
        <v>2440</v>
      </c>
      <c r="B2956">
        <v>0.5</v>
      </c>
    </row>
    <row r="2957" spans="1:2">
      <c r="A2957" s="10" t="s">
        <v>2436</v>
      </c>
      <c r="B2957">
        <v>1</v>
      </c>
    </row>
    <row r="2958" spans="1:2">
      <c r="A2958" s="10" t="s">
        <v>2436</v>
      </c>
      <c r="B2958">
        <v>1</v>
      </c>
    </row>
    <row r="2959" spans="1:2">
      <c r="A2959" s="10" t="s">
        <v>3166</v>
      </c>
      <c r="B2959">
        <v>1</v>
      </c>
    </row>
    <row r="2960" spans="1:2">
      <c r="A2960" s="10" t="s">
        <v>2672</v>
      </c>
      <c r="B2960">
        <v>1</v>
      </c>
    </row>
    <row r="2961" spans="1:2">
      <c r="A2961" s="10" t="s">
        <v>2450</v>
      </c>
      <c r="B2961">
        <v>1</v>
      </c>
    </row>
    <row r="2962" spans="1:2">
      <c r="A2962" s="10" t="s">
        <v>2436</v>
      </c>
      <c r="B2962">
        <v>1</v>
      </c>
    </row>
    <row r="2963" spans="1:2">
      <c r="A2963" s="10" t="s">
        <v>2436</v>
      </c>
      <c r="B2963">
        <v>1</v>
      </c>
    </row>
    <row r="2964" spans="1:2">
      <c r="A2964" s="10" t="s">
        <v>2436</v>
      </c>
      <c r="B2964">
        <v>1</v>
      </c>
    </row>
    <row r="2965" spans="1:2">
      <c r="A2965" s="10" t="s">
        <v>2436</v>
      </c>
      <c r="B2965">
        <v>1</v>
      </c>
    </row>
    <row r="2966" spans="1:2">
      <c r="A2966" s="10" t="s">
        <v>2436</v>
      </c>
      <c r="B2966">
        <v>1</v>
      </c>
    </row>
    <row r="2967" spans="1:2">
      <c r="A2967" s="10" t="s">
        <v>2436</v>
      </c>
      <c r="B2967">
        <v>1</v>
      </c>
    </row>
    <row r="2968" spans="1:2">
      <c r="A2968" s="10" t="s">
        <v>2436</v>
      </c>
      <c r="B2968">
        <v>1</v>
      </c>
    </row>
    <row r="2969" spans="1:2">
      <c r="A2969" s="10" t="s">
        <v>2457</v>
      </c>
      <c r="B2969">
        <v>2</v>
      </c>
    </row>
    <row r="2970" spans="1:2">
      <c r="A2970" s="10" t="s">
        <v>2460</v>
      </c>
      <c r="B2970">
        <v>1</v>
      </c>
    </row>
    <row r="2971" spans="1:2">
      <c r="A2971" s="10" t="s">
        <v>2436</v>
      </c>
      <c r="B2971">
        <v>1</v>
      </c>
    </row>
    <row r="2972" spans="1:2">
      <c r="A2972" s="10" t="s">
        <v>2436</v>
      </c>
      <c r="B2972">
        <v>1</v>
      </c>
    </row>
    <row r="2973" spans="1:2">
      <c r="A2973" s="10" t="s">
        <v>2436</v>
      </c>
      <c r="B2973">
        <v>1</v>
      </c>
    </row>
    <row r="2974" spans="1:2">
      <c r="A2974" s="10" t="s">
        <v>2450</v>
      </c>
      <c r="B2974">
        <v>1</v>
      </c>
    </row>
    <row r="2975" spans="1:2">
      <c r="A2975" s="10" t="s">
        <v>2436</v>
      </c>
      <c r="B2975">
        <v>1</v>
      </c>
    </row>
    <row r="2976" spans="1:2">
      <c r="A2976" s="10" t="s">
        <v>2672</v>
      </c>
      <c r="B2976">
        <v>1</v>
      </c>
    </row>
    <row r="2977" spans="1:2">
      <c r="A2977" s="10" t="s">
        <v>2450</v>
      </c>
      <c r="B2977">
        <v>1</v>
      </c>
    </row>
    <row r="2978" spans="1:2">
      <c r="A2978" s="10" t="s">
        <v>2436</v>
      </c>
      <c r="B2978">
        <v>1</v>
      </c>
    </row>
    <row r="2979" spans="1:2">
      <c r="A2979" s="10" t="s">
        <v>2436</v>
      </c>
      <c r="B2979">
        <v>1</v>
      </c>
    </row>
    <row r="2980" spans="1:2">
      <c r="A2980" s="10" t="s">
        <v>2436</v>
      </c>
      <c r="B2980">
        <v>1</v>
      </c>
    </row>
    <row r="2981" spans="1:2">
      <c r="A2981" s="10" t="s">
        <v>2436</v>
      </c>
      <c r="B2981">
        <v>1</v>
      </c>
    </row>
    <row r="2982" spans="1:2">
      <c r="A2982" s="10" t="s">
        <v>2436</v>
      </c>
      <c r="B2982">
        <v>1</v>
      </c>
    </row>
    <row r="2983" spans="1:2">
      <c r="A2983" s="10" t="s">
        <v>2436</v>
      </c>
      <c r="B2983">
        <v>1</v>
      </c>
    </row>
    <row r="2984" spans="1:2">
      <c r="A2984" s="10" t="s">
        <v>2436</v>
      </c>
      <c r="B2984">
        <v>1</v>
      </c>
    </row>
    <row r="2985" spans="1:2">
      <c r="A2985" s="10" t="s">
        <v>2436</v>
      </c>
      <c r="B2985">
        <v>1</v>
      </c>
    </row>
    <row r="2986" spans="1:2">
      <c r="A2986" s="10" t="s">
        <v>2457</v>
      </c>
      <c r="B2986">
        <v>2</v>
      </c>
    </row>
    <row r="2987" spans="1:2">
      <c r="A2987" s="10" t="s">
        <v>2460</v>
      </c>
      <c r="B2987">
        <v>1</v>
      </c>
    </row>
    <row r="2988" spans="1:2">
      <c r="A2988" s="10" t="s">
        <v>2457</v>
      </c>
      <c r="B2988">
        <v>2</v>
      </c>
    </row>
    <row r="2989" spans="1:2">
      <c r="A2989" s="10" t="s">
        <v>2460</v>
      </c>
      <c r="B2989">
        <v>1</v>
      </c>
    </row>
    <row r="2990" spans="1:2">
      <c r="A2990" s="10" t="s">
        <v>2436</v>
      </c>
      <c r="B2990">
        <v>1</v>
      </c>
    </row>
    <row r="2991" spans="1:2">
      <c r="A2991" s="10" t="s">
        <v>2436</v>
      </c>
      <c r="B2991">
        <v>1</v>
      </c>
    </row>
    <row r="2992" spans="1:2">
      <c r="A2992" s="10" t="s">
        <v>2517</v>
      </c>
      <c r="B2992">
        <v>1</v>
      </c>
    </row>
    <row r="2993" spans="1:2">
      <c r="A2993" s="10" t="s">
        <v>4373</v>
      </c>
      <c r="B2993">
        <v>1</v>
      </c>
    </row>
    <row r="2994" spans="1:2">
      <c r="A2994" s="10" t="s">
        <v>2653</v>
      </c>
      <c r="B2994">
        <v>1</v>
      </c>
    </row>
    <row r="2995" spans="1:2">
      <c r="A2995" s="10" t="s">
        <v>2436</v>
      </c>
      <c r="B2995">
        <v>1</v>
      </c>
    </row>
    <row r="2996" spans="1:2">
      <c r="A2996" s="10" t="s">
        <v>2450</v>
      </c>
      <c r="B2996">
        <v>1</v>
      </c>
    </row>
    <row r="2997" spans="1:2">
      <c r="A2997" s="10" t="s">
        <v>2626</v>
      </c>
      <c r="B2997">
        <v>1</v>
      </c>
    </row>
    <row r="2998" spans="1:2">
      <c r="A2998" s="10" t="s">
        <v>2436</v>
      </c>
      <c r="B2998">
        <v>1</v>
      </c>
    </row>
    <row r="2999" spans="1:2">
      <c r="A2999" s="10" t="s">
        <v>2672</v>
      </c>
      <c r="B2999">
        <v>1</v>
      </c>
    </row>
    <row r="3000" spans="1:2">
      <c r="A3000" s="10" t="s">
        <v>2450</v>
      </c>
      <c r="B3000">
        <v>1</v>
      </c>
    </row>
    <row r="3001" spans="1:2">
      <c r="A3001" s="10" t="s">
        <v>2436</v>
      </c>
      <c r="B3001">
        <v>1</v>
      </c>
    </row>
    <row r="3002" spans="1:2">
      <c r="A3002" s="10" t="s">
        <v>2436</v>
      </c>
      <c r="B3002">
        <v>1</v>
      </c>
    </row>
    <row r="3003" spans="1:2">
      <c r="A3003" s="10" t="s">
        <v>2436</v>
      </c>
      <c r="B3003">
        <v>1</v>
      </c>
    </row>
    <row r="3004" spans="1:2">
      <c r="A3004" s="10" t="s">
        <v>2436</v>
      </c>
      <c r="B3004">
        <v>1</v>
      </c>
    </row>
    <row r="3005" spans="1:2">
      <c r="A3005" s="10" t="s">
        <v>2436</v>
      </c>
      <c r="B3005">
        <v>1</v>
      </c>
    </row>
    <row r="3006" spans="1:2">
      <c r="A3006" s="10" t="s">
        <v>2436</v>
      </c>
      <c r="B3006">
        <v>1</v>
      </c>
    </row>
    <row r="3007" spans="1:2">
      <c r="A3007" s="10" t="s">
        <v>2436</v>
      </c>
      <c r="B3007">
        <v>1</v>
      </c>
    </row>
    <row r="3008" spans="1:2">
      <c r="A3008" s="10" t="s">
        <v>2450</v>
      </c>
      <c r="B3008">
        <v>1</v>
      </c>
    </row>
    <row r="3009" spans="1:2">
      <c r="A3009" s="10" t="s">
        <v>2436</v>
      </c>
      <c r="B3009">
        <v>1</v>
      </c>
    </row>
    <row r="3010" spans="1:2">
      <c r="A3010" s="10" t="s">
        <v>2436</v>
      </c>
      <c r="B3010">
        <v>1</v>
      </c>
    </row>
    <row r="3011" spans="1:2">
      <c r="A3011" s="10" t="s">
        <v>2450</v>
      </c>
      <c r="B3011">
        <v>1</v>
      </c>
    </row>
    <row r="3012" spans="1:2">
      <c r="A3012" s="10" t="s">
        <v>2457</v>
      </c>
      <c r="B3012">
        <v>2</v>
      </c>
    </row>
    <row r="3013" spans="1:2">
      <c r="A3013" s="10" t="s">
        <v>2460</v>
      </c>
      <c r="B3013">
        <v>1</v>
      </c>
    </row>
    <row r="3014" spans="1:2">
      <c r="A3014" s="10" t="s">
        <v>2436</v>
      </c>
      <c r="B3014">
        <v>1</v>
      </c>
    </row>
    <row r="3015" spans="1:2">
      <c r="A3015" s="10" t="s">
        <v>2436</v>
      </c>
      <c r="B3015">
        <v>1</v>
      </c>
    </row>
    <row r="3016" spans="1:2">
      <c r="A3016" s="10" t="s">
        <v>2440</v>
      </c>
      <c r="B3016">
        <v>0.5</v>
      </c>
    </row>
    <row r="3017" spans="1:2">
      <c r="A3017" s="10" t="s">
        <v>2436</v>
      </c>
      <c r="B3017">
        <v>1</v>
      </c>
    </row>
    <row r="3018" spans="1:2">
      <c r="A3018" s="10" t="s">
        <v>2436</v>
      </c>
      <c r="B3018">
        <v>1</v>
      </c>
    </row>
    <row r="3019" spans="1:2">
      <c r="A3019" s="10" t="s">
        <v>2440</v>
      </c>
      <c r="B3019">
        <v>0.5</v>
      </c>
    </row>
    <row r="3020" spans="1:2">
      <c r="A3020" s="10" t="s">
        <v>2436</v>
      </c>
      <c r="B3020">
        <v>1</v>
      </c>
    </row>
    <row r="3021" spans="1:2">
      <c r="A3021" s="10" t="s">
        <v>2436</v>
      </c>
      <c r="B3021">
        <v>1</v>
      </c>
    </row>
    <row r="3022" spans="1:2">
      <c r="A3022" s="10" t="s">
        <v>2672</v>
      </c>
      <c r="B3022">
        <v>1</v>
      </c>
    </row>
    <row r="3023" spans="1:2">
      <c r="A3023" s="10" t="s">
        <v>2436</v>
      </c>
      <c r="B3023">
        <v>1</v>
      </c>
    </row>
    <row r="3024" spans="1:2">
      <c r="A3024" s="10" t="s">
        <v>2436</v>
      </c>
      <c r="B3024">
        <v>1</v>
      </c>
    </row>
    <row r="3025" spans="1:2">
      <c r="A3025" s="10" t="s">
        <v>2436</v>
      </c>
      <c r="B3025">
        <v>1</v>
      </c>
    </row>
    <row r="3026" spans="1:2">
      <c r="A3026" s="10" t="s">
        <v>2436</v>
      </c>
      <c r="B3026">
        <v>1</v>
      </c>
    </row>
    <row r="3027" spans="1:2">
      <c r="A3027" s="10" t="s">
        <v>2436</v>
      </c>
      <c r="B3027">
        <v>1</v>
      </c>
    </row>
    <row r="3028" spans="1:2">
      <c r="A3028" s="10" t="s">
        <v>2436</v>
      </c>
      <c r="B3028">
        <v>1</v>
      </c>
    </row>
    <row r="3029" spans="1:2">
      <c r="A3029" s="10" t="s">
        <v>40</v>
      </c>
      <c r="B3029">
        <v>1</v>
      </c>
    </row>
    <row r="3030" spans="1:2">
      <c r="A3030" s="10" t="s">
        <v>2436</v>
      </c>
      <c r="B3030">
        <v>1</v>
      </c>
    </row>
    <row r="3031" spans="1:2">
      <c r="A3031" s="10" t="s">
        <v>2436</v>
      </c>
      <c r="B3031">
        <v>1</v>
      </c>
    </row>
    <row r="3032" spans="1:2">
      <c r="A3032" s="10" t="s">
        <v>2436</v>
      </c>
      <c r="B3032">
        <v>1</v>
      </c>
    </row>
    <row r="3033" spans="1:2">
      <c r="A3033" s="10" t="s">
        <v>2436</v>
      </c>
      <c r="B3033">
        <v>1</v>
      </c>
    </row>
    <row r="3034" spans="1:2">
      <c r="A3034" s="10" t="s">
        <v>2436</v>
      </c>
      <c r="B3034">
        <v>1</v>
      </c>
    </row>
    <row r="3035" spans="1:2">
      <c r="A3035" s="10" t="s">
        <v>2436</v>
      </c>
      <c r="B3035">
        <v>1</v>
      </c>
    </row>
    <row r="3036" spans="1:2">
      <c r="A3036" s="10" t="s">
        <v>2436</v>
      </c>
      <c r="B3036">
        <v>1</v>
      </c>
    </row>
    <row r="3037" spans="1:2">
      <c r="A3037" s="10" t="s">
        <v>2436</v>
      </c>
      <c r="B3037">
        <v>1</v>
      </c>
    </row>
    <row r="3038" spans="1:2">
      <c r="A3038" s="10" t="s">
        <v>2436</v>
      </c>
      <c r="B3038">
        <v>1</v>
      </c>
    </row>
    <row r="3039" spans="1:2">
      <c r="A3039" s="10" t="s">
        <v>2436</v>
      </c>
      <c r="B3039">
        <v>1</v>
      </c>
    </row>
    <row r="3040" spans="1:2">
      <c r="A3040" s="10" t="s">
        <v>2436</v>
      </c>
      <c r="B3040">
        <v>1</v>
      </c>
    </row>
    <row r="3041" spans="1:2">
      <c r="A3041" s="10" t="s">
        <v>2436</v>
      </c>
      <c r="B3041">
        <v>1</v>
      </c>
    </row>
    <row r="3042" spans="1:2">
      <c r="A3042" s="10" t="s">
        <v>2436</v>
      </c>
      <c r="B3042">
        <v>1</v>
      </c>
    </row>
    <row r="3043" spans="1:2">
      <c r="A3043" s="10" t="s">
        <v>2436</v>
      </c>
      <c r="B3043">
        <v>1</v>
      </c>
    </row>
    <row r="3044" spans="1:2">
      <c r="A3044" s="10" t="s">
        <v>2436</v>
      </c>
      <c r="B3044">
        <v>1</v>
      </c>
    </row>
    <row r="3045" spans="1:2">
      <c r="A3045" s="10" t="s">
        <v>2436</v>
      </c>
      <c r="B3045">
        <v>1</v>
      </c>
    </row>
    <row r="3046" spans="1:2">
      <c r="A3046" s="10" t="s">
        <v>2436</v>
      </c>
      <c r="B3046">
        <v>1</v>
      </c>
    </row>
    <row r="3047" spans="1:2">
      <c r="A3047" s="10" t="s">
        <v>2436</v>
      </c>
      <c r="B3047">
        <v>1</v>
      </c>
    </row>
    <row r="3048" spans="1:2">
      <c r="A3048" s="10" t="s">
        <v>2436</v>
      </c>
      <c r="B3048">
        <v>1</v>
      </c>
    </row>
    <row r="3049" spans="1:2">
      <c r="A3049" s="10" t="s">
        <v>2436</v>
      </c>
      <c r="B3049">
        <v>1</v>
      </c>
    </row>
    <row r="3050" spans="1:2">
      <c r="A3050" s="10" t="s">
        <v>2436</v>
      </c>
      <c r="B3050">
        <v>1</v>
      </c>
    </row>
    <row r="3051" spans="1:2">
      <c r="A3051" s="10" t="s">
        <v>2436</v>
      </c>
      <c r="B3051">
        <v>1</v>
      </c>
    </row>
    <row r="3052" spans="1:2">
      <c r="A3052" s="10" t="s">
        <v>2436</v>
      </c>
      <c r="B3052">
        <v>1</v>
      </c>
    </row>
    <row r="3053" spans="1:2">
      <c r="A3053" s="10" t="s">
        <v>2436</v>
      </c>
      <c r="B3053">
        <v>1</v>
      </c>
    </row>
    <row r="3054" spans="1:2">
      <c r="A3054" s="10" t="s">
        <v>2436</v>
      </c>
      <c r="B3054">
        <v>1</v>
      </c>
    </row>
    <row r="3055" spans="1:2">
      <c r="A3055" s="10" t="s">
        <v>2436</v>
      </c>
      <c r="B3055">
        <v>1</v>
      </c>
    </row>
    <row r="3056" spans="1:2">
      <c r="A3056" s="10" t="s">
        <v>2436</v>
      </c>
      <c r="B3056">
        <v>1</v>
      </c>
    </row>
    <row r="3057" spans="1:2">
      <c r="A3057" s="10" t="s">
        <v>2436</v>
      </c>
      <c r="B3057">
        <v>1</v>
      </c>
    </row>
    <row r="3058" spans="1:2">
      <c r="A3058" s="10" t="s">
        <v>2436</v>
      </c>
      <c r="B3058">
        <v>1</v>
      </c>
    </row>
    <row r="3059" spans="1:2">
      <c r="A3059" s="10" t="s">
        <v>2436</v>
      </c>
      <c r="B3059">
        <v>1</v>
      </c>
    </row>
    <row r="3060" spans="1:2">
      <c r="A3060" s="10" t="s">
        <v>2436</v>
      </c>
      <c r="B3060">
        <v>1</v>
      </c>
    </row>
    <row r="3061" spans="1:2">
      <c r="A3061" s="10" t="s">
        <v>2436</v>
      </c>
      <c r="B3061">
        <v>1</v>
      </c>
    </row>
    <row r="3062" spans="1:2">
      <c r="A3062" s="10" t="s">
        <v>2436</v>
      </c>
      <c r="B3062">
        <v>1</v>
      </c>
    </row>
    <row r="3063" spans="1:2">
      <c r="A3063" s="10" t="s">
        <v>2450</v>
      </c>
      <c r="B3063">
        <v>1</v>
      </c>
    </row>
    <row r="3064" spans="1:2">
      <c r="A3064" s="10" t="s">
        <v>2450</v>
      </c>
      <c r="B3064">
        <v>1</v>
      </c>
    </row>
    <row r="3065" spans="1:2">
      <c r="A3065" s="10" t="s">
        <v>2626</v>
      </c>
      <c r="B3065">
        <v>1</v>
      </c>
    </row>
    <row r="3066" spans="1:2">
      <c r="A3066" s="10" t="s">
        <v>2436</v>
      </c>
      <c r="B3066">
        <v>1</v>
      </c>
    </row>
    <row r="3067" spans="1:2">
      <c r="A3067" s="10" t="s">
        <v>2436</v>
      </c>
      <c r="B3067">
        <v>1</v>
      </c>
    </row>
    <row r="3068" spans="1:2">
      <c r="A3068" s="10" t="s">
        <v>2436</v>
      </c>
      <c r="B3068">
        <v>1</v>
      </c>
    </row>
    <row r="3069" spans="1:2">
      <c r="A3069" s="10" t="s">
        <v>2436</v>
      </c>
      <c r="B3069">
        <v>1</v>
      </c>
    </row>
    <row r="3070" spans="1:2">
      <c r="A3070" s="10" t="s">
        <v>2457</v>
      </c>
      <c r="B3070">
        <v>2</v>
      </c>
    </row>
    <row r="3071" spans="1:2">
      <c r="A3071" s="10" t="s">
        <v>2460</v>
      </c>
      <c r="B3071">
        <v>1</v>
      </c>
    </row>
    <row r="3072" spans="1:2">
      <c r="A3072" s="10" t="s">
        <v>2436</v>
      </c>
      <c r="B3072">
        <v>1</v>
      </c>
    </row>
    <row r="3073" spans="1:2">
      <c r="A3073" s="10" t="s">
        <v>2436</v>
      </c>
      <c r="B3073">
        <v>1</v>
      </c>
    </row>
    <row r="3074" spans="1:2">
      <c r="A3074" s="10" t="s">
        <v>2436</v>
      </c>
      <c r="B3074">
        <v>1</v>
      </c>
    </row>
    <row r="3075" spans="1:2">
      <c r="A3075" s="10" t="s">
        <v>2436</v>
      </c>
      <c r="B3075">
        <v>1</v>
      </c>
    </row>
    <row r="3076" spans="1:2">
      <c r="A3076" s="10" t="s">
        <v>2507</v>
      </c>
      <c r="B3076">
        <v>4</v>
      </c>
    </row>
    <row r="3077" spans="1:2">
      <c r="A3077" s="10" t="s">
        <v>2457</v>
      </c>
      <c r="B3077">
        <v>2</v>
      </c>
    </row>
    <row r="3078" spans="1:2">
      <c r="A3078" s="10" t="s">
        <v>2460</v>
      </c>
      <c r="B3078">
        <v>1</v>
      </c>
    </row>
    <row r="3079" spans="1:2">
      <c r="A3079" s="10" t="s">
        <v>2436</v>
      </c>
      <c r="B3079">
        <v>1</v>
      </c>
    </row>
    <row r="3080" spans="1:2">
      <c r="A3080" s="10" t="s">
        <v>2450</v>
      </c>
      <c r="B3080">
        <v>1</v>
      </c>
    </row>
    <row r="3081" spans="1:2">
      <c r="A3081" s="10" t="s">
        <v>2436</v>
      </c>
      <c r="B3081">
        <v>1</v>
      </c>
    </row>
    <row r="3082" spans="1:2">
      <c r="A3082" s="10" t="s">
        <v>20</v>
      </c>
      <c r="B3082">
        <v>1</v>
      </c>
    </row>
    <row r="3083" spans="1:2">
      <c r="A3083" s="10" t="s">
        <v>2457</v>
      </c>
      <c r="B3083">
        <v>2</v>
      </c>
    </row>
    <row r="3084" spans="1:2">
      <c r="A3084" s="10" t="s">
        <v>2460</v>
      </c>
      <c r="B3084">
        <v>1</v>
      </c>
    </row>
    <row r="3085" spans="1:2">
      <c r="A3085" s="10" t="s">
        <v>2436</v>
      </c>
      <c r="B3085">
        <v>1</v>
      </c>
    </row>
    <row r="3086" spans="1:2">
      <c r="A3086" s="10" t="s">
        <v>2436</v>
      </c>
      <c r="B3086">
        <v>1</v>
      </c>
    </row>
    <row r="3087" spans="1:2">
      <c r="A3087" s="10" t="s">
        <v>2517</v>
      </c>
      <c r="B3087">
        <v>1</v>
      </c>
    </row>
    <row r="3088" spans="1:2">
      <c r="A3088" s="10" t="s">
        <v>2517</v>
      </c>
      <c r="B3088">
        <v>1</v>
      </c>
    </row>
    <row r="3089" spans="1:2">
      <c r="A3089" s="10" t="s">
        <v>2436</v>
      </c>
      <c r="B3089">
        <v>1</v>
      </c>
    </row>
    <row r="3090" spans="1:2">
      <c r="A3090" s="10" t="s">
        <v>2436</v>
      </c>
      <c r="B3090">
        <v>1</v>
      </c>
    </row>
    <row r="3091" spans="1:2">
      <c r="A3091" s="10" t="s">
        <v>2436</v>
      </c>
      <c r="B3091">
        <v>1</v>
      </c>
    </row>
    <row r="3092" spans="1:2">
      <c r="A3092" s="10" t="s">
        <v>2436</v>
      </c>
      <c r="B3092">
        <v>1</v>
      </c>
    </row>
    <row r="3093" spans="1:2">
      <c r="A3093" s="10" t="s">
        <v>2436</v>
      </c>
      <c r="B3093">
        <v>1</v>
      </c>
    </row>
    <row r="3094" spans="1:2">
      <c r="A3094" s="10" t="s">
        <v>2457</v>
      </c>
      <c r="B3094">
        <v>2</v>
      </c>
    </row>
    <row r="3095" spans="1:2">
      <c r="A3095" s="10" t="s">
        <v>2460</v>
      </c>
      <c r="B3095">
        <v>1</v>
      </c>
    </row>
    <row r="3096" spans="1:2">
      <c r="A3096" s="10" t="s">
        <v>20</v>
      </c>
      <c r="B3096">
        <v>1</v>
      </c>
    </row>
    <row r="3097" spans="1:2">
      <c r="A3097" s="10" t="s">
        <v>2454</v>
      </c>
      <c r="B3097">
        <v>1</v>
      </c>
    </row>
    <row r="3098" spans="1:2">
      <c r="A3098" s="10" t="s">
        <v>2457</v>
      </c>
      <c r="B3098">
        <v>2</v>
      </c>
    </row>
    <row r="3099" spans="1:2">
      <c r="A3099" s="10" t="s">
        <v>2460</v>
      </c>
      <c r="B3099">
        <v>1</v>
      </c>
    </row>
    <row r="3100" spans="1:2">
      <c r="A3100" s="10" t="s">
        <v>2436</v>
      </c>
      <c r="B3100">
        <v>1</v>
      </c>
    </row>
    <row r="3101" spans="1:2">
      <c r="A3101" s="10" t="s">
        <v>2436</v>
      </c>
      <c r="B3101">
        <v>1</v>
      </c>
    </row>
    <row r="3102" spans="1:2">
      <c r="A3102" s="10" t="s">
        <v>2436</v>
      </c>
      <c r="B3102">
        <v>1</v>
      </c>
    </row>
    <row r="3103" spans="1:2">
      <c r="A3103" s="10" t="s">
        <v>2436</v>
      </c>
      <c r="B3103">
        <v>1</v>
      </c>
    </row>
    <row r="3104" spans="1:2">
      <c r="A3104" s="10" t="s">
        <v>2436</v>
      </c>
      <c r="B3104">
        <v>1</v>
      </c>
    </row>
    <row r="3105" spans="1:2">
      <c r="A3105" s="10" t="s">
        <v>2440</v>
      </c>
      <c r="B3105">
        <v>0.5</v>
      </c>
    </row>
    <row r="3106" spans="1:2">
      <c r="A3106" s="10" t="s">
        <v>2436</v>
      </c>
      <c r="B3106">
        <v>1</v>
      </c>
    </row>
    <row r="3107" spans="1:2">
      <c r="A3107" s="10" t="s">
        <v>2436</v>
      </c>
      <c r="B3107">
        <v>1</v>
      </c>
    </row>
    <row r="3108" spans="1:2">
      <c r="A3108" s="10" t="s">
        <v>2457</v>
      </c>
      <c r="B3108">
        <v>2</v>
      </c>
    </row>
    <row r="3109" spans="1:2">
      <c r="A3109" s="10" t="s">
        <v>2460</v>
      </c>
      <c r="B3109">
        <v>1</v>
      </c>
    </row>
    <row r="3110" spans="1:2">
      <c r="A3110" s="10" t="s">
        <v>2436</v>
      </c>
      <c r="B3110">
        <v>1</v>
      </c>
    </row>
    <row r="3111" spans="1:2">
      <c r="A3111" s="10" t="s">
        <v>2436</v>
      </c>
      <c r="B3111">
        <v>1</v>
      </c>
    </row>
    <row r="3112" spans="1:2">
      <c r="A3112" s="10" t="s">
        <v>2440</v>
      </c>
      <c r="B3112">
        <v>0.5</v>
      </c>
    </row>
    <row r="3113" spans="1:2">
      <c r="A3113" s="10" t="s">
        <v>2436</v>
      </c>
      <c r="B3113">
        <v>1</v>
      </c>
    </row>
    <row r="3114" spans="1:2">
      <c r="A3114" s="10" t="s">
        <v>2436</v>
      </c>
      <c r="B3114">
        <v>1</v>
      </c>
    </row>
    <row r="3115" spans="1:2">
      <c r="A3115" s="10" t="s">
        <v>2436</v>
      </c>
      <c r="B3115">
        <v>1</v>
      </c>
    </row>
    <row r="3116" spans="1:2">
      <c r="A3116" s="10" t="s">
        <v>3166</v>
      </c>
      <c r="B3116">
        <v>1</v>
      </c>
    </row>
    <row r="3117" spans="1:2">
      <c r="A3117" s="10" t="s">
        <v>2672</v>
      </c>
      <c r="B3117">
        <v>1</v>
      </c>
    </row>
    <row r="3118" spans="1:2">
      <c r="A3118" s="10" t="s">
        <v>2450</v>
      </c>
      <c r="B3118">
        <v>1</v>
      </c>
    </row>
    <row r="3119" spans="1:2">
      <c r="A3119" s="10" t="s">
        <v>2436</v>
      </c>
      <c r="B3119">
        <v>1</v>
      </c>
    </row>
    <row r="3120" spans="1:2">
      <c r="A3120" s="10" t="s">
        <v>2436</v>
      </c>
      <c r="B3120">
        <v>1</v>
      </c>
    </row>
    <row r="3121" spans="1:2">
      <c r="A3121" s="10" t="s">
        <v>2436</v>
      </c>
      <c r="B3121">
        <v>1</v>
      </c>
    </row>
    <row r="3122" spans="1:2">
      <c r="A3122" s="10" t="s">
        <v>2460</v>
      </c>
      <c r="B3122">
        <v>1</v>
      </c>
    </row>
    <row r="3123" spans="1:2">
      <c r="A3123" s="10" t="s">
        <v>2436</v>
      </c>
      <c r="B3123">
        <v>1</v>
      </c>
    </row>
    <row r="3124" spans="1:2">
      <c r="A3124" s="10" t="s">
        <v>2436</v>
      </c>
      <c r="B3124">
        <v>1</v>
      </c>
    </row>
    <row r="3125" spans="1:2">
      <c r="A3125" s="10" t="s">
        <v>2436</v>
      </c>
      <c r="B3125">
        <v>1</v>
      </c>
    </row>
    <row r="3126" spans="1:2">
      <c r="A3126" s="10" t="s">
        <v>2450</v>
      </c>
      <c r="B3126">
        <v>1</v>
      </c>
    </row>
    <row r="3127" spans="1:2">
      <c r="A3127" s="10" t="s">
        <v>2436</v>
      </c>
      <c r="B3127">
        <v>1</v>
      </c>
    </row>
    <row r="3128" spans="1:2">
      <c r="A3128" s="10" t="s">
        <v>2450</v>
      </c>
      <c r="B3128">
        <v>1</v>
      </c>
    </row>
    <row r="3129" spans="1:2">
      <c r="A3129" s="10" t="s">
        <v>2436</v>
      </c>
      <c r="B3129">
        <v>1</v>
      </c>
    </row>
    <row r="3130" spans="1:2">
      <c r="A3130" s="10" t="s">
        <v>2436</v>
      </c>
      <c r="B3130">
        <v>1</v>
      </c>
    </row>
    <row r="3131" spans="1:2">
      <c r="A3131" s="10" t="s">
        <v>2436</v>
      </c>
      <c r="B3131">
        <v>1</v>
      </c>
    </row>
    <row r="3132" spans="1:2">
      <c r="A3132" s="10" t="s">
        <v>2436</v>
      </c>
      <c r="B3132">
        <v>1</v>
      </c>
    </row>
    <row r="3133" spans="1:2">
      <c r="A3133" s="10" t="s">
        <v>2436</v>
      </c>
      <c r="B3133">
        <v>1</v>
      </c>
    </row>
    <row r="3134" spans="1:2">
      <c r="A3134" s="10" t="s">
        <v>2436</v>
      </c>
      <c r="B3134">
        <v>1</v>
      </c>
    </row>
    <row r="3135" spans="1:2">
      <c r="A3135" s="10" t="s">
        <v>2436</v>
      </c>
      <c r="B3135">
        <v>1</v>
      </c>
    </row>
    <row r="3136" spans="1:2">
      <c r="A3136" s="10" t="s">
        <v>2436</v>
      </c>
      <c r="B3136">
        <v>1</v>
      </c>
    </row>
    <row r="3137" spans="1:2">
      <c r="A3137" s="10" t="s">
        <v>2457</v>
      </c>
      <c r="B3137">
        <v>2</v>
      </c>
    </row>
    <row r="3138" spans="1:2">
      <c r="A3138" s="10" t="s">
        <v>2457</v>
      </c>
      <c r="B3138">
        <v>2</v>
      </c>
    </row>
    <row r="3139" spans="1:2">
      <c r="A3139" s="10" t="s">
        <v>2460</v>
      </c>
      <c r="B3139">
        <v>1</v>
      </c>
    </row>
    <row r="3140" spans="1:2">
      <c r="A3140" s="10" t="s">
        <v>2436</v>
      </c>
      <c r="B3140">
        <v>1</v>
      </c>
    </row>
    <row r="3141" spans="1:2">
      <c r="A3141" s="10" t="s">
        <v>32</v>
      </c>
      <c r="B3141">
        <v>1</v>
      </c>
    </row>
    <row r="3142" spans="1:2">
      <c r="A3142" s="10" t="s">
        <v>2653</v>
      </c>
      <c r="B3142">
        <v>1</v>
      </c>
    </row>
    <row r="3143" spans="1:2">
      <c r="A3143" s="10" t="s">
        <v>2436</v>
      </c>
      <c r="B3143">
        <v>1</v>
      </c>
    </row>
    <row r="3144" spans="1:2">
      <c r="A3144" s="10" t="s">
        <v>2653</v>
      </c>
      <c r="B3144">
        <v>1</v>
      </c>
    </row>
    <row r="3145" spans="1:2">
      <c r="A3145" s="10" t="s">
        <v>2436</v>
      </c>
      <c r="B3145">
        <v>1</v>
      </c>
    </row>
    <row r="3146" spans="1:2">
      <c r="A3146" s="10" t="s">
        <v>2626</v>
      </c>
      <c r="B3146">
        <v>1</v>
      </c>
    </row>
    <row r="3147" spans="1:2">
      <c r="A3147" s="10" t="s">
        <v>2672</v>
      </c>
      <c r="B3147">
        <v>1</v>
      </c>
    </row>
    <row r="3148" spans="1:2">
      <c r="A3148" s="10" t="s">
        <v>2450</v>
      </c>
      <c r="B3148">
        <v>1</v>
      </c>
    </row>
    <row r="3149" spans="1:2">
      <c r="A3149" s="10" t="s">
        <v>2626</v>
      </c>
      <c r="B3149">
        <v>1</v>
      </c>
    </row>
    <row r="3150" spans="1:2">
      <c r="A3150" s="10" t="s">
        <v>2436</v>
      </c>
      <c r="B3150">
        <v>1</v>
      </c>
    </row>
    <row r="3151" spans="1:2">
      <c r="A3151" s="10" t="s">
        <v>2440</v>
      </c>
      <c r="B3151">
        <v>0.5</v>
      </c>
    </row>
    <row r="3152" spans="1:2">
      <c r="A3152" s="10" t="s">
        <v>2436</v>
      </c>
      <c r="B3152">
        <v>1</v>
      </c>
    </row>
    <row r="3153" spans="1:2">
      <c r="A3153" s="10" t="s">
        <v>2436</v>
      </c>
      <c r="B3153">
        <v>1</v>
      </c>
    </row>
    <row r="3154" spans="1:2">
      <c r="A3154" s="10" t="s">
        <v>2436</v>
      </c>
      <c r="B3154">
        <v>1</v>
      </c>
    </row>
    <row r="3155" spans="1:2">
      <c r="A3155" s="10" t="s">
        <v>2436</v>
      </c>
      <c r="B3155">
        <v>1</v>
      </c>
    </row>
    <row r="3156" spans="1:2">
      <c r="A3156" s="10" t="s">
        <v>2436</v>
      </c>
      <c r="B3156">
        <v>1</v>
      </c>
    </row>
    <row r="3157" spans="1:2">
      <c r="A3157" s="10" t="s">
        <v>2450</v>
      </c>
      <c r="B3157">
        <v>1</v>
      </c>
    </row>
    <row r="3158" spans="1:2">
      <c r="A3158" s="10" t="s">
        <v>2672</v>
      </c>
      <c r="B3158">
        <v>1</v>
      </c>
    </row>
    <row r="3159" spans="1:2">
      <c r="A3159" s="10" t="s">
        <v>2436</v>
      </c>
      <c r="B3159">
        <v>1</v>
      </c>
    </row>
    <row r="3160" spans="1:2">
      <c r="A3160" s="10" t="s">
        <v>2436</v>
      </c>
      <c r="B3160">
        <v>1</v>
      </c>
    </row>
    <row r="3161" spans="1:2">
      <c r="A3161" s="10" t="s">
        <v>2450</v>
      </c>
      <c r="B3161">
        <v>1</v>
      </c>
    </row>
    <row r="3162" spans="1:2">
      <c r="A3162" s="10" t="s">
        <v>2507</v>
      </c>
      <c r="B3162">
        <v>4</v>
      </c>
    </row>
    <row r="3163" spans="1:2">
      <c r="A3163" s="10" t="s">
        <v>2457</v>
      </c>
      <c r="B3163">
        <v>2</v>
      </c>
    </row>
    <row r="3164" spans="1:2">
      <c r="A3164" s="10" t="s">
        <v>2460</v>
      </c>
      <c r="B3164">
        <v>1</v>
      </c>
    </row>
    <row r="3165" spans="1:2">
      <c r="A3165" s="10" t="s">
        <v>2436</v>
      </c>
      <c r="B3165">
        <v>1</v>
      </c>
    </row>
    <row r="3166" spans="1:2">
      <c r="A3166" s="10" t="s">
        <v>2436</v>
      </c>
      <c r="B3166">
        <v>1</v>
      </c>
    </row>
    <row r="3167" spans="1:2">
      <c r="A3167" s="10" t="s">
        <v>2440</v>
      </c>
      <c r="B3167">
        <v>0.5</v>
      </c>
    </row>
    <row r="3168" spans="1:2">
      <c r="A3168" s="10" t="s">
        <v>2436</v>
      </c>
      <c r="B3168">
        <v>1</v>
      </c>
    </row>
    <row r="3169" spans="1:2">
      <c r="A3169" s="10" t="s">
        <v>2436</v>
      </c>
      <c r="B3169">
        <v>1</v>
      </c>
    </row>
    <row r="3170" spans="1:2">
      <c r="A3170" s="10" t="s">
        <v>2440</v>
      </c>
      <c r="B3170">
        <v>0.5</v>
      </c>
    </row>
    <row r="3171" spans="1:2">
      <c r="A3171" s="10" t="s">
        <v>2436</v>
      </c>
      <c r="B3171">
        <v>1</v>
      </c>
    </row>
    <row r="3172" spans="1:2">
      <c r="A3172" s="10" t="s">
        <v>2436</v>
      </c>
      <c r="B3172">
        <v>1</v>
      </c>
    </row>
    <row r="3173" spans="1:2">
      <c r="A3173" s="10" t="s">
        <v>2436</v>
      </c>
      <c r="B3173">
        <v>1</v>
      </c>
    </row>
    <row r="3174" spans="1:2">
      <c r="A3174" s="10" t="s">
        <v>2436</v>
      </c>
      <c r="B3174">
        <v>1</v>
      </c>
    </row>
    <row r="3175" spans="1:2">
      <c r="A3175" s="10" t="s">
        <v>2436</v>
      </c>
      <c r="B3175">
        <v>1</v>
      </c>
    </row>
    <row r="3176" spans="1:2">
      <c r="A3176" s="10" t="s">
        <v>2436</v>
      </c>
      <c r="B3176">
        <v>1</v>
      </c>
    </row>
    <row r="3177" spans="1:2">
      <c r="A3177" s="10" t="s">
        <v>2436</v>
      </c>
      <c r="B3177">
        <v>1</v>
      </c>
    </row>
    <row r="3178" spans="1:2">
      <c r="A3178" s="10" t="s">
        <v>2436</v>
      </c>
      <c r="B3178">
        <v>1</v>
      </c>
    </row>
    <row r="3179" spans="1:2">
      <c r="A3179" s="10" t="s">
        <v>40</v>
      </c>
      <c r="B3179">
        <v>1</v>
      </c>
    </row>
    <row r="3180" spans="1:2">
      <c r="A3180" s="10" t="s">
        <v>2436</v>
      </c>
      <c r="B3180">
        <v>1</v>
      </c>
    </row>
    <row r="3181" spans="1:2">
      <c r="A3181" s="10" t="s">
        <v>2436</v>
      </c>
      <c r="B3181">
        <v>1</v>
      </c>
    </row>
    <row r="3182" spans="1:2">
      <c r="A3182" s="10" t="s">
        <v>2436</v>
      </c>
      <c r="B3182">
        <v>1</v>
      </c>
    </row>
    <row r="3183" spans="1:2">
      <c r="A3183" s="10" t="s">
        <v>2436</v>
      </c>
      <c r="B3183">
        <v>1</v>
      </c>
    </row>
    <row r="3184" spans="1:2">
      <c r="A3184" s="10" t="s">
        <v>2436</v>
      </c>
      <c r="B3184">
        <v>1</v>
      </c>
    </row>
    <row r="3185" spans="1:2">
      <c r="A3185" s="10" t="s">
        <v>2436</v>
      </c>
      <c r="B3185">
        <v>1</v>
      </c>
    </row>
    <row r="3186" spans="1:2">
      <c r="A3186" s="10" t="s">
        <v>2436</v>
      </c>
      <c r="B3186">
        <v>1</v>
      </c>
    </row>
    <row r="3187" spans="1:2">
      <c r="A3187" s="10" t="s">
        <v>2436</v>
      </c>
      <c r="B3187">
        <v>1</v>
      </c>
    </row>
    <row r="3188" spans="1:2">
      <c r="A3188" s="10" t="s">
        <v>2436</v>
      </c>
      <c r="B3188">
        <v>1</v>
      </c>
    </row>
    <row r="3189" spans="1:2">
      <c r="A3189" s="10" t="s">
        <v>2436</v>
      </c>
      <c r="B3189">
        <v>1</v>
      </c>
    </row>
    <row r="3190" spans="1:2">
      <c r="A3190" s="10" t="s">
        <v>2436</v>
      </c>
      <c r="B3190">
        <v>1</v>
      </c>
    </row>
    <row r="3191" spans="1:2">
      <c r="A3191" s="10" t="s">
        <v>2436</v>
      </c>
      <c r="B3191">
        <v>1</v>
      </c>
    </row>
    <row r="3192" spans="1:2">
      <c r="A3192" s="10" t="s">
        <v>2436</v>
      </c>
      <c r="B3192">
        <v>1</v>
      </c>
    </row>
    <row r="3193" spans="1:2">
      <c r="A3193" s="10" t="s">
        <v>2436</v>
      </c>
      <c r="B3193">
        <v>1</v>
      </c>
    </row>
    <row r="3194" spans="1:2">
      <c r="A3194" s="10" t="s">
        <v>2436</v>
      </c>
      <c r="B3194">
        <v>1</v>
      </c>
    </row>
    <row r="3195" spans="1:2">
      <c r="A3195" s="10" t="s">
        <v>2436</v>
      </c>
      <c r="B3195">
        <v>1</v>
      </c>
    </row>
    <row r="3196" spans="1:2">
      <c r="A3196" s="10" t="s">
        <v>2436</v>
      </c>
      <c r="B3196">
        <v>1</v>
      </c>
    </row>
    <row r="3197" spans="1:2">
      <c r="A3197" s="10" t="s">
        <v>2436</v>
      </c>
      <c r="B3197">
        <v>1</v>
      </c>
    </row>
    <row r="3198" spans="1:2">
      <c r="A3198" s="10" t="s">
        <v>2436</v>
      </c>
      <c r="B3198">
        <v>1</v>
      </c>
    </row>
    <row r="3199" spans="1:2">
      <c r="A3199" s="10" t="s">
        <v>2436</v>
      </c>
      <c r="B3199">
        <v>1</v>
      </c>
    </row>
    <row r="3200" spans="1:2">
      <c r="A3200" s="10" t="s">
        <v>2436</v>
      </c>
      <c r="B3200">
        <v>1</v>
      </c>
    </row>
    <row r="3201" spans="1:2">
      <c r="A3201" s="10" t="s">
        <v>2436</v>
      </c>
      <c r="B3201">
        <v>1</v>
      </c>
    </row>
    <row r="3202" spans="1:2">
      <c r="A3202" s="10" t="s">
        <v>2450</v>
      </c>
      <c r="B3202">
        <v>1</v>
      </c>
    </row>
    <row r="3203" spans="1:2">
      <c r="A3203" s="10" t="s">
        <v>2450</v>
      </c>
      <c r="B3203">
        <v>1</v>
      </c>
    </row>
    <row r="3204" spans="1:2">
      <c r="A3204" s="10" t="s">
        <v>2436</v>
      </c>
      <c r="B3204">
        <v>1</v>
      </c>
    </row>
    <row r="3205" spans="1:2">
      <c r="A3205" s="10" t="s">
        <v>2436</v>
      </c>
      <c r="B3205">
        <v>1</v>
      </c>
    </row>
    <row r="3206" spans="1:2">
      <c r="A3206" s="10" t="s">
        <v>2454</v>
      </c>
      <c r="B3206">
        <v>1</v>
      </c>
    </row>
    <row r="3207" spans="1:2">
      <c r="A3207" s="10" t="s">
        <v>2436</v>
      </c>
      <c r="B3207">
        <v>1</v>
      </c>
    </row>
    <row r="3208" spans="1:2">
      <c r="A3208" s="10" t="s">
        <v>2436</v>
      </c>
      <c r="B3208">
        <v>1</v>
      </c>
    </row>
    <row r="3209" spans="1:2">
      <c r="A3209" s="10" t="s">
        <v>2436</v>
      </c>
      <c r="B3209">
        <v>1</v>
      </c>
    </row>
    <row r="3210" spans="1:2">
      <c r="A3210" s="10" t="s">
        <v>2457</v>
      </c>
      <c r="B3210">
        <v>2</v>
      </c>
    </row>
    <row r="3211" spans="1:2">
      <c r="A3211" s="10" t="s">
        <v>2460</v>
      </c>
      <c r="B3211">
        <v>1</v>
      </c>
    </row>
    <row r="3212" spans="1:2">
      <c r="A3212" s="10" t="s">
        <v>20</v>
      </c>
      <c r="B3212">
        <v>1</v>
      </c>
    </row>
    <row r="3213" spans="1:2">
      <c r="A3213" s="10" t="s">
        <v>2436</v>
      </c>
      <c r="B3213">
        <v>1</v>
      </c>
    </row>
    <row r="3214" spans="1:2">
      <c r="A3214" s="10" t="s">
        <v>2436</v>
      </c>
      <c r="B3214">
        <v>1</v>
      </c>
    </row>
    <row r="3215" spans="1:2">
      <c r="A3215" s="10" t="s">
        <v>2436</v>
      </c>
      <c r="B3215">
        <v>1</v>
      </c>
    </row>
    <row r="3216" spans="1:2">
      <c r="A3216" s="10" t="s">
        <v>2436</v>
      </c>
      <c r="B3216">
        <v>1</v>
      </c>
    </row>
    <row r="3217" spans="1:2">
      <c r="A3217" s="10" t="s">
        <v>2507</v>
      </c>
      <c r="B3217">
        <v>4</v>
      </c>
    </row>
    <row r="3218" spans="1:2">
      <c r="A3218" s="10" t="s">
        <v>2457</v>
      </c>
      <c r="B3218">
        <v>2</v>
      </c>
    </row>
    <row r="3219" spans="1:2">
      <c r="A3219" s="10" t="s">
        <v>2460</v>
      </c>
      <c r="B3219">
        <v>1</v>
      </c>
    </row>
    <row r="3220" spans="1:2">
      <c r="A3220" s="10" t="s">
        <v>2436</v>
      </c>
      <c r="B3220">
        <v>1</v>
      </c>
    </row>
    <row r="3221" spans="1:2">
      <c r="A3221" s="10" t="s">
        <v>2450</v>
      </c>
      <c r="B3221">
        <v>1</v>
      </c>
    </row>
    <row r="3222" spans="1:2">
      <c r="A3222" s="10" t="s">
        <v>2436</v>
      </c>
      <c r="B3222">
        <v>1</v>
      </c>
    </row>
    <row r="3223" spans="1:2">
      <c r="A3223" s="10" t="s">
        <v>20</v>
      </c>
      <c r="B3223">
        <v>1</v>
      </c>
    </row>
    <row r="3224" spans="1:2">
      <c r="A3224" s="10" t="s">
        <v>2457</v>
      </c>
      <c r="B3224">
        <v>2</v>
      </c>
    </row>
    <row r="3225" spans="1:2">
      <c r="A3225" s="10" t="s">
        <v>2460</v>
      </c>
      <c r="B3225">
        <v>1</v>
      </c>
    </row>
    <row r="3226" spans="1:2">
      <c r="A3226" s="10" t="s">
        <v>2436</v>
      </c>
      <c r="B3226">
        <v>1</v>
      </c>
    </row>
    <row r="3227" spans="1:2">
      <c r="A3227" s="10" t="s">
        <v>2436</v>
      </c>
      <c r="B3227">
        <v>1</v>
      </c>
    </row>
    <row r="3228" spans="1:2">
      <c r="A3228" s="10" t="s">
        <v>2517</v>
      </c>
      <c r="B3228">
        <v>1</v>
      </c>
    </row>
    <row r="3229" spans="1:2">
      <c r="A3229" s="10" t="s">
        <v>2517</v>
      </c>
      <c r="B3229">
        <v>1</v>
      </c>
    </row>
    <row r="3230" spans="1:2">
      <c r="A3230" s="10" t="s">
        <v>2436</v>
      </c>
      <c r="B3230">
        <v>1</v>
      </c>
    </row>
    <row r="3231" spans="1:2">
      <c r="A3231" s="10" t="s">
        <v>2436</v>
      </c>
      <c r="B3231">
        <v>1</v>
      </c>
    </row>
    <row r="3232" spans="1:2">
      <c r="A3232" s="10" t="s">
        <v>2436</v>
      </c>
      <c r="B3232">
        <v>1</v>
      </c>
    </row>
    <row r="3233" spans="1:2">
      <c r="A3233" s="10" t="s">
        <v>2436</v>
      </c>
      <c r="B3233">
        <v>1</v>
      </c>
    </row>
    <row r="3234" spans="1:2">
      <c r="A3234" s="10" t="s">
        <v>2436</v>
      </c>
      <c r="B3234">
        <v>1</v>
      </c>
    </row>
    <row r="3235" spans="1:2">
      <c r="A3235" s="10" t="s">
        <v>2436</v>
      </c>
      <c r="B3235">
        <v>1</v>
      </c>
    </row>
    <row r="3236" spans="1:2">
      <c r="A3236" s="10" t="s">
        <v>2507</v>
      </c>
      <c r="B3236">
        <v>4</v>
      </c>
    </row>
    <row r="3237" spans="1:2">
      <c r="A3237" s="10" t="s">
        <v>2457</v>
      </c>
      <c r="B3237">
        <v>2</v>
      </c>
    </row>
    <row r="3238" spans="1:2">
      <c r="A3238" s="10" t="s">
        <v>2460</v>
      </c>
      <c r="B3238">
        <v>1</v>
      </c>
    </row>
    <row r="3239" spans="1:2">
      <c r="A3239" s="10" t="s">
        <v>20</v>
      </c>
      <c r="B3239">
        <v>1</v>
      </c>
    </row>
    <row r="3240" spans="1:2">
      <c r="A3240" s="10" t="s">
        <v>2454</v>
      </c>
      <c r="B3240">
        <v>1</v>
      </c>
    </row>
    <row r="3241" spans="1:2">
      <c r="A3241" s="10" t="s">
        <v>2457</v>
      </c>
      <c r="B3241">
        <v>2</v>
      </c>
    </row>
    <row r="3242" spans="1:2">
      <c r="A3242" s="10" t="s">
        <v>2460</v>
      </c>
      <c r="B3242">
        <v>1</v>
      </c>
    </row>
    <row r="3243" spans="1:2">
      <c r="A3243" s="10" t="s">
        <v>2436</v>
      </c>
      <c r="B3243">
        <v>1</v>
      </c>
    </row>
    <row r="3244" spans="1:2">
      <c r="A3244" s="10" t="s">
        <v>2436</v>
      </c>
      <c r="B3244">
        <v>1</v>
      </c>
    </row>
    <row r="3245" spans="1:2">
      <c r="A3245" s="10" t="s">
        <v>2436</v>
      </c>
      <c r="B3245">
        <v>1</v>
      </c>
    </row>
    <row r="3246" spans="1:2">
      <c r="A3246" s="10" t="s">
        <v>2436</v>
      </c>
      <c r="B3246">
        <v>1</v>
      </c>
    </row>
    <row r="3247" spans="1:2">
      <c r="A3247" s="10" t="s">
        <v>2436</v>
      </c>
      <c r="B3247">
        <v>1</v>
      </c>
    </row>
    <row r="3248" spans="1:2">
      <c r="A3248" s="10" t="s">
        <v>2440</v>
      </c>
      <c r="B3248">
        <v>0.5</v>
      </c>
    </row>
    <row r="3249" spans="1:2">
      <c r="A3249" s="10" t="s">
        <v>2436</v>
      </c>
      <c r="B3249">
        <v>1</v>
      </c>
    </row>
    <row r="3250" spans="1:2">
      <c r="A3250" s="10" t="s">
        <v>2436</v>
      </c>
      <c r="B3250">
        <v>1</v>
      </c>
    </row>
    <row r="3251" spans="1:2">
      <c r="A3251" s="10" t="s">
        <v>2507</v>
      </c>
      <c r="B3251">
        <v>4</v>
      </c>
    </row>
    <row r="3252" spans="1:2">
      <c r="A3252" s="10" t="s">
        <v>2457</v>
      </c>
      <c r="B3252">
        <v>2</v>
      </c>
    </row>
    <row r="3253" spans="1:2">
      <c r="A3253" s="10" t="s">
        <v>2460</v>
      </c>
      <c r="B3253">
        <v>1</v>
      </c>
    </row>
    <row r="3254" spans="1:2">
      <c r="A3254" s="10" t="s">
        <v>2436</v>
      </c>
      <c r="B3254">
        <v>1</v>
      </c>
    </row>
    <row r="3255" spans="1:2">
      <c r="A3255" s="10" t="s">
        <v>2436</v>
      </c>
      <c r="B3255">
        <v>1</v>
      </c>
    </row>
    <row r="3256" spans="1:2">
      <c r="A3256" s="10" t="s">
        <v>2440</v>
      </c>
      <c r="B3256">
        <v>0.5</v>
      </c>
    </row>
    <row r="3257" spans="1:2">
      <c r="A3257" s="10" t="s">
        <v>2436</v>
      </c>
      <c r="B3257">
        <v>1</v>
      </c>
    </row>
    <row r="3258" spans="1:2">
      <c r="A3258" s="10" t="s">
        <v>2436</v>
      </c>
      <c r="B3258">
        <v>1</v>
      </c>
    </row>
    <row r="3259" spans="1:2">
      <c r="A3259" s="10" t="s">
        <v>3166</v>
      </c>
      <c r="B3259">
        <v>1</v>
      </c>
    </row>
    <row r="3260" spans="1:2">
      <c r="A3260" s="10" t="s">
        <v>2672</v>
      </c>
      <c r="B3260">
        <v>1</v>
      </c>
    </row>
    <row r="3261" spans="1:2">
      <c r="A3261" s="10" t="s">
        <v>2450</v>
      </c>
      <c r="B3261">
        <v>1</v>
      </c>
    </row>
    <row r="3262" spans="1:2">
      <c r="A3262" s="10" t="s">
        <v>2436</v>
      </c>
      <c r="B3262">
        <v>1</v>
      </c>
    </row>
    <row r="3263" spans="1:2">
      <c r="A3263" s="10" t="s">
        <v>2436</v>
      </c>
      <c r="B3263">
        <v>1</v>
      </c>
    </row>
    <row r="3264" spans="1:2">
      <c r="A3264" s="10" t="s">
        <v>2517</v>
      </c>
      <c r="B3264">
        <v>1</v>
      </c>
    </row>
    <row r="3265" spans="1:2">
      <c r="A3265" s="10" t="s">
        <v>2436</v>
      </c>
      <c r="B3265">
        <v>1</v>
      </c>
    </row>
    <row r="3266" spans="1:2">
      <c r="A3266" s="10" t="s">
        <v>2436</v>
      </c>
      <c r="B3266">
        <v>1</v>
      </c>
    </row>
    <row r="3267" spans="1:2">
      <c r="A3267" s="10" t="s">
        <v>2436</v>
      </c>
      <c r="B3267">
        <v>1</v>
      </c>
    </row>
    <row r="3268" spans="1:2">
      <c r="A3268" s="10" t="s">
        <v>2436</v>
      </c>
      <c r="B3268">
        <v>1</v>
      </c>
    </row>
    <row r="3269" spans="1:2">
      <c r="A3269" s="10" t="s">
        <v>2436</v>
      </c>
      <c r="B3269">
        <v>1</v>
      </c>
    </row>
    <row r="3270" spans="1:2">
      <c r="A3270" s="10" t="s">
        <v>2436</v>
      </c>
      <c r="B3270">
        <v>1</v>
      </c>
    </row>
    <row r="3271" spans="1:2">
      <c r="A3271" s="10" t="s">
        <v>2450</v>
      </c>
      <c r="B3271">
        <v>1</v>
      </c>
    </row>
    <row r="3272" spans="1:2">
      <c r="A3272" s="10" t="s">
        <v>2436</v>
      </c>
      <c r="B3272">
        <v>1</v>
      </c>
    </row>
    <row r="3273" spans="1:2">
      <c r="A3273" s="10" t="s">
        <v>2436</v>
      </c>
      <c r="B3273">
        <v>1</v>
      </c>
    </row>
    <row r="3274" spans="1:2">
      <c r="A3274" s="10" t="s">
        <v>2436</v>
      </c>
      <c r="B3274">
        <v>1</v>
      </c>
    </row>
    <row r="3275" spans="1:2">
      <c r="A3275" s="10" t="s">
        <v>2436</v>
      </c>
      <c r="B3275">
        <v>1</v>
      </c>
    </row>
    <row r="3276" spans="1:2">
      <c r="A3276" s="10" t="s">
        <v>2436</v>
      </c>
      <c r="B3276">
        <v>1</v>
      </c>
    </row>
    <row r="3277" spans="1:2">
      <c r="A3277" s="10" t="s">
        <v>2436</v>
      </c>
      <c r="B3277">
        <v>1</v>
      </c>
    </row>
    <row r="3278" spans="1:2">
      <c r="A3278" s="10" t="s">
        <v>2436</v>
      </c>
      <c r="B3278">
        <v>1</v>
      </c>
    </row>
    <row r="3279" spans="1:2">
      <c r="A3279" s="10" t="s">
        <v>2436</v>
      </c>
      <c r="B3279">
        <v>1</v>
      </c>
    </row>
    <row r="3280" spans="1:2">
      <c r="A3280" s="10" t="s">
        <v>2457</v>
      </c>
      <c r="B3280">
        <v>2</v>
      </c>
    </row>
    <row r="3281" spans="1:2">
      <c r="A3281" s="10" t="s">
        <v>2460</v>
      </c>
      <c r="B3281">
        <v>1</v>
      </c>
    </row>
    <row r="3282" spans="1:2">
      <c r="A3282" s="10" t="s">
        <v>2457</v>
      </c>
      <c r="B3282">
        <v>2</v>
      </c>
    </row>
    <row r="3283" spans="1:2">
      <c r="A3283" s="10" t="s">
        <v>2460</v>
      </c>
      <c r="B3283">
        <v>1</v>
      </c>
    </row>
    <row r="3284" spans="1:2">
      <c r="A3284" s="10" t="s">
        <v>2436</v>
      </c>
      <c r="B3284">
        <v>1</v>
      </c>
    </row>
    <row r="3285" spans="1:2">
      <c r="A3285" s="10" t="s">
        <v>2436</v>
      </c>
      <c r="B3285">
        <v>1</v>
      </c>
    </row>
    <row r="3286" spans="1:2">
      <c r="A3286" s="10" t="s">
        <v>2517</v>
      </c>
      <c r="B3286">
        <v>1</v>
      </c>
    </row>
    <row r="3287" spans="1:2">
      <c r="A3287" s="10" t="s">
        <v>4373</v>
      </c>
      <c r="B3287">
        <v>1</v>
      </c>
    </row>
    <row r="3288" spans="1:2">
      <c r="A3288" s="10" t="s">
        <v>2436</v>
      </c>
      <c r="B3288">
        <v>1</v>
      </c>
    </row>
    <row r="3289" spans="1:2">
      <c r="A3289" s="10" t="s">
        <v>2588</v>
      </c>
      <c r="B3289">
        <v>1</v>
      </c>
    </row>
    <row r="3290" spans="1:2">
      <c r="A3290" s="10" t="s">
        <v>2450</v>
      </c>
      <c r="B3290">
        <v>1</v>
      </c>
    </row>
    <row r="3291" spans="1:2">
      <c r="A3291" s="10" t="s">
        <v>2436</v>
      </c>
      <c r="B3291">
        <v>1</v>
      </c>
    </row>
    <row r="3292" spans="1:2">
      <c r="A3292" s="10" t="s">
        <v>2626</v>
      </c>
      <c r="B3292">
        <v>1</v>
      </c>
    </row>
    <row r="3293" spans="1:2">
      <c r="A3293" s="10" t="s">
        <v>2436</v>
      </c>
      <c r="B3293">
        <v>1</v>
      </c>
    </row>
    <row r="3294" spans="1:2">
      <c r="A3294" s="10" t="s">
        <v>2672</v>
      </c>
      <c r="B3294">
        <v>1</v>
      </c>
    </row>
    <row r="3295" spans="1:2">
      <c r="A3295" s="10" t="s">
        <v>2440</v>
      </c>
      <c r="B3295">
        <v>0.5</v>
      </c>
    </row>
    <row r="3296" spans="1:2">
      <c r="A3296" s="10" t="s">
        <v>2436</v>
      </c>
      <c r="B3296">
        <v>1</v>
      </c>
    </row>
    <row r="3297" spans="1:2">
      <c r="A3297" s="10" t="s">
        <v>2436</v>
      </c>
      <c r="B3297">
        <v>1</v>
      </c>
    </row>
    <row r="3298" spans="1:2">
      <c r="A3298" s="10" t="s">
        <v>2436</v>
      </c>
      <c r="B3298">
        <v>1</v>
      </c>
    </row>
    <row r="3299" spans="1:2">
      <c r="A3299" s="10" t="s">
        <v>2436</v>
      </c>
      <c r="B3299">
        <v>1</v>
      </c>
    </row>
    <row r="3300" spans="1:2">
      <c r="A3300" s="10" t="s">
        <v>2436</v>
      </c>
      <c r="B3300">
        <v>1</v>
      </c>
    </row>
    <row r="3301" spans="1:2">
      <c r="A3301" s="10" t="s">
        <v>2436</v>
      </c>
      <c r="B3301">
        <v>1</v>
      </c>
    </row>
    <row r="3302" spans="1:2">
      <c r="A3302" s="10" t="s">
        <v>2436</v>
      </c>
      <c r="B3302">
        <v>1</v>
      </c>
    </row>
    <row r="3303" spans="1:2">
      <c r="A3303" s="10" t="s">
        <v>2436</v>
      </c>
      <c r="B3303">
        <v>1</v>
      </c>
    </row>
    <row r="3304" spans="1:2">
      <c r="A3304" s="10" t="s">
        <v>2436</v>
      </c>
      <c r="B3304">
        <v>1</v>
      </c>
    </row>
    <row r="3305" spans="1:2">
      <c r="A3305" s="10" t="s">
        <v>2436</v>
      </c>
      <c r="B3305">
        <v>1</v>
      </c>
    </row>
    <row r="3306" spans="1:2">
      <c r="A3306" s="10" t="s">
        <v>2457</v>
      </c>
      <c r="B3306">
        <v>2</v>
      </c>
    </row>
    <row r="3307" spans="1:2">
      <c r="A3307" s="10" t="s">
        <v>2436</v>
      </c>
      <c r="B3307">
        <v>1</v>
      </c>
    </row>
    <row r="3308" spans="1:2">
      <c r="A3308" s="10" t="s">
        <v>2436</v>
      </c>
      <c r="B3308">
        <v>1</v>
      </c>
    </row>
    <row r="3309" spans="1:2">
      <c r="A3309" s="10" t="s">
        <v>2440</v>
      </c>
      <c r="B3309">
        <v>0.5</v>
      </c>
    </row>
    <row r="3310" spans="1:2">
      <c r="A3310" s="10" t="s">
        <v>2436</v>
      </c>
      <c r="B3310">
        <v>1</v>
      </c>
    </row>
    <row r="3311" spans="1:2">
      <c r="A3311" s="10" t="s">
        <v>2436</v>
      </c>
      <c r="B3311">
        <v>1</v>
      </c>
    </row>
    <row r="3312" spans="1:2">
      <c r="A3312" s="10" t="s">
        <v>2440</v>
      </c>
      <c r="B3312">
        <v>0.5</v>
      </c>
    </row>
    <row r="3313" spans="1:2">
      <c r="A3313" s="10" t="s">
        <v>2436</v>
      </c>
      <c r="B3313">
        <v>1</v>
      </c>
    </row>
    <row r="3314" spans="1:2">
      <c r="A3314" s="10" t="s">
        <v>2436</v>
      </c>
      <c r="B3314">
        <v>1</v>
      </c>
    </row>
    <row r="3315" spans="1:2">
      <c r="A3315" s="10" t="s">
        <v>2436</v>
      </c>
      <c r="B3315">
        <v>1</v>
      </c>
    </row>
    <row r="3316" spans="1:2">
      <c r="A3316" s="10" t="s">
        <v>2436</v>
      </c>
      <c r="B3316">
        <v>1</v>
      </c>
    </row>
    <row r="3317" spans="1:2">
      <c r="A3317" s="10" t="s">
        <v>2436</v>
      </c>
      <c r="B3317">
        <v>1</v>
      </c>
    </row>
    <row r="3318" spans="1:2">
      <c r="A3318" s="10" t="s">
        <v>2436</v>
      </c>
      <c r="B3318">
        <v>1</v>
      </c>
    </row>
    <row r="3319" spans="1:2">
      <c r="A3319" s="10" t="s">
        <v>2436</v>
      </c>
      <c r="B3319">
        <v>1</v>
      </c>
    </row>
    <row r="3320" spans="1:2">
      <c r="A3320" s="10" t="s">
        <v>40</v>
      </c>
      <c r="B3320">
        <v>1</v>
      </c>
    </row>
    <row r="3321" spans="1:2">
      <c r="A3321" s="10" t="s">
        <v>2436</v>
      </c>
      <c r="B3321">
        <v>1</v>
      </c>
    </row>
    <row r="3322" spans="1:2">
      <c r="A3322" s="10" t="s">
        <v>2436</v>
      </c>
      <c r="B3322">
        <v>1</v>
      </c>
    </row>
    <row r="3323" spans="1:2">
      <c r="A3323" s="10" t="s">
        <v>2436</v>
      </c>
      <c r="B3323">
        <v>1</v>
      </c>
    </row>
    <row r="3324" spans="1:2">
      <c r="A3324" s="10" t="s">
        <v>2436</v>
      </c>
      <c r="B3324">
        <v>1</v>
      </c>
    </row>
    <row r="3325" spans="1:2">
      <c r="A3325" s="10" t="s">
        <v>2436</v>
      </c>
      <c r="B3325">
        <v>1</v>
      </c>
    </row>
    <row r="3326" spans="1:2">
      <c r="A3326" s="10" t="s">
        <v>2436</v>
      </c>
      <c r="B3326">
        <v>1</v>
      </c>
    </row>
    <row r="3327" spans="1:2">
      <c r="A3327" s="10" t="s">
        <v>2436</v>
      </c>
      <c r="B3327">
        <v>1</v>
      </c>
    </row>
    <row r="3328" spans="1:2">
      <c r="A3328" s="10" t="s">
        <v>2450</v>
      </c>
      <c r="B3328">
        <v>1</v>
      </c>
    </row>
    <row r="3329" spans="1:2">
      <c r="A3329" s="10" t="s">
        <v>2436</v>
      </c>
      <c r="B3329">
        <v>1</v>
      </c>
    </row>
    <row r="3330" spans="1:2">
      <c r="A3330" s="10" t="s">
        <v>2436</v>
      </c>
      <c r="B3330">
        <v>1</v>
      </c>
    </row>
    <row r="3331" spans="1:2">
      <c r="A3331" s="10" t="s">
        <v>2436</v>
      </c>
      <c r="B3331">
        <v>1</v>
      </c>
    </row>
    <row r="3332" spans="1:2">
      <c r="A3332" s="10" t="s">
        <v>2436</v>
      </c>
      <c r="B3332">
        <v>1</v>
      </c>
    </row>
    <row r="3333" spans="1:2">
      <c r="A3333" s="10" t="s">
        <v>2436</v>
      </c>
      <c r="B3333">
        <v>1</v>
      </c>
    </row>
    <row r="3334" spans="1:2">
      <c r="A3334" s="10" t="s">
        <v>2436</v>
      </c>
      <c r="B3334">
        <v>1</v>
      </c>
    </row>
    <row r="3335" spans="1:2">
      <c r="A3335" s="10" t="s">
        <v>2436</v>
      </c>
      <c r="B3335">
        <v>1</v>
      </c>
    </row>
    <row r="3336" spans="1:2">
      <c r="A3336" s="10" t="s">
        <v>2436</v>
      </c>
      <c r="B3336">
        <v>1</v>
      </c>
    </row>
    <row r="3337" spans="1:2">
      <c r="A3337" s="10" t="s">
        <v>2436</v>
      </c>
      <c r="B3337">
        <v>1</v>
      </c>
    </row>
    <row r="3338" spans="1:2">
      <c r="A3338" s="10" t="s">
        <v>2436</v>
      </c>
      <c r="B3338">
        <v>1</v>
      </c>
    </row>
    <row r="3339" spans="1:2">
      <c r="A3339" s="10" t="s">
        <v>2436</v>
      </c>
      <c r="B3339">
        <v>1</v>
      </c>
    </row>
    <row r="3340" spans="1:2">
      <c r="A3340" s="10" t="s">
        <v>2436</v>
      </c>
      <c r="B3340">
        <v>1</v>
      </c>
    </row>
    <row r="3341" spans="1:2">
      <c r="A3341" s="10" t="s">
        <v>2436</v>
      </c>
      <c r="B3341">
        <v>1</v>
      </c>
    </row>
    <row r="3342" spans="1:2">
      <c r="A3342" s="10" t="s">
        <v>2436</v>
      </c>
      <c r="B3342">
        <v>1</v>
      </c>
    </row>
    <row r="3343" spans="1:2">
      <c r="A3343" s="10" t="s">
        <v>2436</v>
      </c>
      <c r="B3343">
        <v>1</v>
      </c>
    </row>
    <row r="3344" spans="1:2">
      <c r="A3344" s="10" t="s">
        <v>2436</v>
      </c>
      <c r="B3344">
        <v>1</v>
      </c>
    </row>
    <row r="3345" spans="1:2">
      <c r="A3345" s="10" t="s">
        <v>2436</v>
      </c>
      <c r="B3345">
        <v>1</v>
      </c>
    </row>
    <row r="3346" spans="1:2">
      <c r="A3346" s="10" t="s">
        <v>2436</v>
      </c>
      <c r="B3346">
        <v>1</v>
      </c>
    </row>
    <row r="3347" spans="1:2">
      <c r="A3347" s="10" t="s">
        <v>2436</v>
      </c>
      <c r="B3347">
        <v>1</v>
      </c>
    </row>
    <row r="3348" spans="1:2">
      <c r="A3348" s="10" t="s">
        <v>2454</v>
      </c>
      <c r="B3348">
        <v>1</v>
      </c>
    </row>
    <row r="3349" spans="1:2">
      <c r="A3349" s="10" t="s">
        <v>2436</v>
      </c>
      <c r="B3349">
        <v>1</v>
      </c>
    </row>
    <row r="3350" spans="1:2">
      <c r="A3350" s="10" t="s">
        <v>2436</v>
      </c>
      <c r="B3350">
        <v>1</v>
      </c>
    </row>
    <row r="3351" spans="1:2">
      <c r="A3351" s="10" t="s">
        <v>2457</v>
      </c>
      <c r="B3351">
        <v>2</v>
      </c>
    </row>
    <row r="3352" spans="1:2">
      <c r="A3352" s="10" t="s">
        <v>2460</v>
      </c>
      <c r="B3352">
        <v>1</v>
      </c>
    </row>
    <row r="3353" spans="1:2">
      <c r="A3353" s="10" t="s">
        <v>20</v>
      </c>
      <c r="B3353">
        <v>1</v>
      </c>
    </row>
    <row r="3354" spans="1:2">
      <c r="A3354" s="10" t="s">
        <v>2436</v>
      </c>
      <c r="B3354">
        <v>1</v>
      </c>
    </row>
    <row r="3355" spans="1:2">
      <c r="A3355" s="10" t="s">
        <v>2436</v>
      </c>
      <c r="B3355">
        <v>1</v>
      </c>
    </row>
    <row r="3356" spans="1:2">
      <c r="A3356" s="10" t="s">
        <v>2436</v>
      </c>
      <c r="B3356">
        <v>1</v>
      </c>
    </row>
    <row r="3357" spans="1:2">
      <c r="A3357" s="10" t="s">
        <v>2436</v>
      </c>
      <c r="B3357">
        <v>1</v>
      </c>
    </row>
    <row r="3358" spans="1:2">
      <c r="A3358" s="10" t="s">
        <v>2457</v>
      </c>
      <c r="B3358">
        <v>2</v>
      </c>
    </row>
    <row r="3359" spans="1:2">
      <c r="A3359" s="10" t="s">
        <v>2460</v>
      </c>
      <c r="B3359">
        <v>1</v>
      </c>
    </row>
    <row r="3360" spans="1:2">
      <c r="A3360" s="10" t="s">
        <v>2436</v>
      </c>
      <c r="B3360">
        <v>1</v>
      </c>
    </row>
    <row r="3361" spans="1:2">
      <c r="A3361" s="10" t="s">
        <v>2450</v>
      </c>
      <c r="B3361">
        <v>1</v>
      </c>
    </row>
    <row r="3362" spans="1:2">
      <c r="A3362" s="10" t="s">
        <v>2436</v>
      </c>
      <c r="B3362">
        <v>1</v>
      </c>
    </row>
    <row r="3363" spans="1:2">
      <c r="A3363" s="10" t="s">
        <v>20</v>
      </c>
      <c r="B3363">
        <v>1</v>
      </c>
    </row>
    <row r="3364" spans="1:2">
      <c r="A3364" s="10" t="s">
        <v>2457</v>
      </c>
      <c r="B3364">
        <v>2</v>
      </c>
    </row>
    <row r="3365" spans="1:2">
      <c r="A3365" s="10" t="s">
        <v>2460</v>
      </c>
      <c r="B3365">
        <v>1</v>
      </c>
    </row>
    <row r="3366" spans="1:2">
      <c r="A3366" s="10" t="s">
        <v>2436</v>
      </c>
      <c r="B3366">
        <v>1</v>
      </c>
    </row>
    <row r="3367" spans="1:2">
      <c r="A3367" s="10" t="s">
        <v>2436</v>
      </c>
      <c r="B3367">
        <v>1</v>
      </c>
    </row>
    <row r="3368" spans="1:2">
      <c r="A3368" s="10" t="s">
        <v>2517</v>
      </c>
      <c r="B3368">
        <v>1</v>
      </c>
    </row>
    <row r="3369" spans="1:2">
      <c r="A3369" s="10" t="s">
        <v>2517</v>
      </c>
      <c r="B3369">
        <v>1</v>
      </c>
    </row>
    <row r="3370" spans="1:2">
      <c r="A3370" s="10" t="s">
        <v>2436</v>
      </c>
      <c r="B3370">
        <v>1</v>
      </c>
    </row>
    <row r="3371" spans="1:2">
      <c r="A3371" s="10" t="s">
        <v>2436</v>
      </c>
      <c r="B3371">
        <v>1</v>
      </c>
    </row>
    <row r="3372" spans="1:2">
      <c r="A3372" s="10" t="s">
        <v>2436</v>
      </c>
      <c r="B3372">
        <v>1</v>
      </c>
    </row>
    <row r="3373" spans="1:2">
      <c r="A3373" s="10" t="s">
        <v>2436</v>
      </c>
      <c r="B3373">
        <v>1</v>
      </c>
    </row>
    <row r="3374" spans="1:2">
      <c r="A3374" s="10" t="s">
        <v>2436</v>
      </c>
      <c r="B3374">
        <v>1</v>
      </c>
    </row>
    <row r="3375" spans="1:2">
      <c r="A3375" s="10" t="s">
        <v>2436</v>
      </c>
      <c r="B3375">
        <v>1</v>
      </c>
    </row>
    <row r="3376" spans="1:2">
      <c r="A3376" s="10" t="s">
        <v>2457</v>
      </c>
      <c r="B3376">
        <v>2</v>
      </c>
    </row>
    <row r="3377" spans="1:2">
      <c r="A3377" s="10" t="s">
        <v>2460</v>
      </c>
      <c r="B3377">
        <v>1</v>
      </c>
    </row>
    <row r="3378" spans="1:2">
      <c r="A3378" s="10" t="s">
        <v>20</v>
      </c>
      <c r="B3378">
        <v>1</v>
      </c>
    </row>
    <row r="3379" spans="1:2">
      <c r="A3379" s="10" t="s">
        <v>2454</v>
      </c>
      <c r="B3379">
        <v>1</v>
      </c>
    </row>
    <row r="3380" spans="1:2">
      <c r="A3380" s="10" t="s">
        <v>2457</v>
      </c>
      <c r="B3380">
        <v>2</v>
      </c>
    </row>
    <row r="3381" spans="1:2">
      <c r="A3381" s="10" t="s">
        <v>2460</v>
      </c>
      <c r="B3381">
        <v>1</v>
      </c>
    </row>
    <row r="3382" spans="1:2">
      <c r="A3382" s="10" t="s">
        <v>2436</v>
      </c>
      <c r="B3382">
        <v>1</v>
      </c>
    </row>
    <row r="3383" spans="1:2">
      <c r="A3383" s="10" t="s">
        <v>2436</v>
      </c>
      <c r="B3383">
        <v>1</v>
      </c>
    </row>
    <row r="3384" spans="1:2">
      <c r="A3384" s="10" t="s">
        <v>2436</v>
      </c>
      <c r="B3384">
        <v>1</v>
      </c>
    </row>
    <row r="3385" spans="1:2">
      <c r="A3385" s="10" t="s">
        <v>2436</v>
      </c>
      <c r="B3385">
        <v>1</v>
      </c>
    </row>
    <row r="3386" spans="1:2">
      <c r="A3386" s="10" t="s">
        <v>2436</v>
      </c>
      <c r="B3386">
        <v>1</v>
      </c>
    </row>
    <row r="3387" spans="1:2">
      <c r="A3387" s="10" t="s">
        <v>2440</v>
      </c>
      <c r="B3387">
        <v>0.5</v>
      </c>
    </row>
    <row r="3388" spans="1:2">
      <c r="A3388" s="10" t="s">
        <v>2436</v>
      </c>
      <c r="B3388">
        <v>1</v>
      </c>
    </row>
    <row r="3389" spans="1:2">
      <c r="A3389" s="10" t="s">
        <v>2436</v>
      </c>
      <c r="B3389">
        <v>1</v>
      </c>
    </row>
    <row r="3390" spans="1:2">
      <c r="A3390" s="10" t="s">
        <v>2507</v>
      </c>
      <c r="B3390">
        <v>4</v>
      </c>
    </row>
    <row r="3391" spans="1:2">
      <c r="A3391" s="10" t="s">
        <v>2457</v>
      </c>
      <c r="B3391">
        <v>2</v>
      </c>
    </row>
    <row r="3392" spans="1:2">
      <c r="A3392" s="10" t="s">
        <v>2460</v>
      </c>
      <c r="B3392">
        <v>1</v>
      </c>
    </row>
    <row r="3393" spans="1:2">
      <c r="A3393" s="10" t="s">
        <v>2436</v>
      </c>
      <c r="B3393">
        <v>1</v>
      </c>
    </row>
    <row r="3394" spans="1:2">
      <c r="A3394" s="10" t="s">
        <v>2436</v>
      </c>
      <c r="B3394">
        <v>1</v>
      </c>
    </row>
    <row r="3395" spans="1:2">
      <c r="A3395" s="10" t="s">
        <v>2440</v>
      </c>
      <c r="B3395">
        <v>0.5</v>
      </c>
    </row>
    <row r="3396" spans="1:2">
      <c r="A3396" s="10" t="s">
        <v>2436</v>
      </c>
      <c r="B3396">
        <v>1</v>
      </c>
    </row>
    <row r="3397" spans="1:2">
      <c r="A3397" s="10" t="s">
        <v>2436</v>
      </c>
      <c r="B3397">
        <v>1</v>
      </c>
    </row>
    <row r="3398" spans="1:2">
      <c r="A3398" s="10" t="s">
        <v>3166</v>
      </c>
      <c r="B3398">
        <v>1</v>
      </c>
    </row>
    <row r="3399" spans="1:2">
      <c r="A3399" s="10" t="s">
        <v>2450</v>
      </c>
      <c r="B3399">
        <v>1</v>
      </c>
    </row>
    <row r="3400" spans="1:2">
      <c r="A3400" s="10" t="s">
        <v>2436</v>
      </c>
      <c r="B3400">
        <v>1</v>
      </c>
    </row>
    <row r="3401" spans="1:2">
      <c r="A3401" s="10" t="s">
        <v>2436</v>
      </c>
      <c r="B3401">
        <v>1</v>
      </c>
    </row>
    <row r="3402" spans="1:2">
      <c r="A3402" s="10" t="s">
        <v>2517</v>
      </c>
      <c r="B3402">
        <v>1</v>
      </c>
    </row>
    <row r="3403" spans="1:2">
      <c r="A3403" s="10" t="s">
        <v>2436</v>
      </c>
      <c r="B3403">
        <v>1</v>
      </c>
    </row>
    <row r="3404" spans="1:2">
      <c r="A3404" s="10" t="s">
        <v>2436</v>
      </c>
      <c r="B3404">
        <v>1</v>
      </c>
    </row>
    <row r="3405" spans="1:2">
      <c r="A3405" s="10" t="s">
        <v>2436</v>
      </c>
      <c r="B3405">
        <v>1</v>
      </c>
    </row>
    <row r="3406" spans="1:2">
      <c r="A3406" s="10" t="s">
        <v>2436</v>
      </c>
      <c r="B3406">
        <v>1</v>
      </c>
    </row>
    <row r="3407" spans="1:2">
      <c r="A3407" s="10" t="s">
        <v>2450</v>
      </c>
      <c r="B3407">
        <v>1</v>
      </c>
    </row>
    <row r="3408" spans="1:2">
      <c r="A3408" s="10" t="s">
        <v>2436</v>
      </c>
      <c r="B3408">
        <v>1</v>
      </c>
    </row>
    <row r="3409" spans="1:2">
      <c r="A3409" s="10" t="s">
        <v>2450</v>
      </c>
      <c r="B3409">
        <v>1</v>
      </c>
    </row>
    <row r="3410" spans="1:2">
      <c r="A3410" s="10" t="s">
        <v>2436</v>
      </c>
      <c r="B3410">
        <v>1</v>
      </c>
    </row>
    <row r="3411" spans="1:2">
      <c r="A3411" s="10" t="s">
        <v>2436</v>
      </c>
      <c r="B3411">
        <v>1</v>
      </c>
    </row>
    <row r="3412" spans="1:2">
      <c r="A3412" s="10" t="s">
        <v>2436</v>
      </c>
      <c r="B3412">
        <v>1</v>
      </c>
    </row>
    <row r="3413" spans="1:2">
      <c r="A3413" s="10" t="s">
        <v>2436</v>
      </c>
      <c r="B3413">
        <v>1</v>
      </c>
    </row>
    <row r="3414" spans="1:2">
      <c r="A3414" s="10" t="s">
        <v>2436</v>
      </c>
      <c r="B3414">
        <v>1</v>
      </c>
    </row>
    <row r="3415" spans="1:2">
      <c r="A3415" s="10" t="s">
        <v>2436</v>
      </c>
      <c r="B3415">
        <v>1</v>
      </c>
    </row>
    <row r="3416" spans="1:2">
      <c r="A3416" s="10" t="s">
        <v>2436</v>
      </c>
      <c r="B3416">
        <v>1</v>
      </c>
    </row>
    <row r="3417" spans="1:2">
      <c r="A3417" s="10" t="s">
        <v>2436</v>
      </c>
      <c r="B3417">
        <v>1</v>
      </c>
    </row>
    <row r="3418" spans="1:2">
      <c r="A3418" s="10" t="s">
        <v>2457</v>
      </c>
      <c r="B3418">
        <v>2</v>
      </c>
    </row>
    <row r="3419" spans="1:2">
      <c r="A3419" s="10" t="s">
        <v>2460</v>
      </c>
      <c r="B3419">
        <v>1</v>
      </c>
    </row>
    <row r="3420" spans="1:2">
      <c r="A3420" s="10" t="s">
        <v>2457</v>
      </c>
      <c r="B3420">
        <v>2</v>
      </c>
    </row>
    <row r="3421" spans="1:2">
      <c r="A3421" s="10" t="s">
        <v>2460</v>
      </c>
      <c r="B3421">
        <v>1</v>
      </c>
    </row>
    <row r="3422" spans="1:2">
      <c r="A3422" s="10" t="s">
        <v>2436</v>
      </c>
      <c r="B3422">
        <v>1</v>
      </c>
    </row>
    <row r="3423" spans="1:2">
      <c r="A3423" s="10" t="s">
        <v>2653</v>
      </c>
      <c r="B3423">
        <v>1</v>
      </c>
    </row>
    <row r="3424" spans="1:2">
      <c r="A3424" s="10" t="s">
        <v>2436</v>
      </c>
      <c r="B3424">
        <v>1</v>
      </c>
    </row>
    <row r="3425" spans="1:2">
      <c r="A3425" s="10" t="s">
        <v>4373</v>
      </c>
      <c r="B3425">
        <v>1</v>
      </c>
    </row>
    <row r="3426" spans="1:2">
      <c r="A3426" s="10" t="s">
        <v>2653</v>
      </c>
      <c r="B3426">
        <v>1</v>
      </c>
    </row>
    <row r="3427" spans="1:2">
      <c r="A3427" s="10" t="s">
        <v>2436</v>
      </c>
      <c r="B3427">
        <v>1</v>
      </c>
    </row>
    <row r="3428" spans="1:2">
      <c r="A3428" s="10" t="s">
        <v>2450</v>
      </c>
      <c r="B3428">
        <v>1</v>
      </c>
    </row>
    <row r="3429" spans="1:2">
      <c r="A3429" s="10" t="s">
        <v>2450</v>
      </c>
      <c r="B3429">
        <v>1</v>
      </c>
    </row>
    <row r="3430" spans="1:2">
      <c r="A3430" s="10" t="s">
        <v>2436</v>
      </c>
      <c r="B3430">
        <v>1</v>
      </c>
    </row>
    <row r="3431" spans="1:2">
      <c r="A3431" s="10" t="s">
        <v>2626</v>
      </c>
      <c r="B3431">
        <v>1</v>
      </c>
    </row>
    <row r="3432" spans="1:2">
      <c r="A3432" s="10" t="s">
        <v>2436</v>
      </c>
      <c r="B3432">
        <v>1</v>
      </c>
    </row>
    <row r="3433" spans="1:2">
      <c r="A3433" s="10" t="s">
        <v>2440</v>
      </c>
      <c r="B3433">
        <v>0.5</v>
      </c>
    </row>
    <row r="3434" spans="1:2">
      <c r="A3434" s="10" t="s">
        <v>2436</v>
      </c>
      <c r="B3434">
        <v>1</v>
      </c>
    </row>
    <row r="3435" spans="1:2">
      <c r="A3435" s="10" t="s">
        <v>2436</v>
      </c>
      <c r="B3435">
        <v>1</v>
      </c>
    </row>
    <row r="3436" spans="1:2">
      <c r="A3436" s="10" t="s">
        <v>2436</v>
      </c>
      <c r="B3436">
        <v>1</v>
      </c>
    </row>
    <row r="3437" spans="1:2">
      <c r="A3437" s="10" t="s">
        <v>2436</v>
      </c>
      <c r="B3437">
        <v>1</v>
      </c>
    </row>
    <row r="3438" spans="1:2">
      <c r="A3438" s="10" t="s">
        <v>2436</v>
      </c>
      <c r="B3438">
        <v>1</v>
      </c>
    </row>
    <row r="3439" spans="1:2">
      <c r="A3439" s="10" t="s">
        <v>2436</v>
      </c>
      <c r="B3439">
        <v>1</v>
      </c>
    </row>
    <row r="3440" spans="1:2">
      <c r="A3440" s="10" t="s">
        <v>2436</v>
      </c>
      <c r="B3440">
        <v>1</v>
      </c>
    </row>
    <row r="3441" spans="1:2">
      <c r="A3441" s="10" t="s">
        <v>2436</v>
      </c>
      <c r="B3441">
        <v>1</v>
      </c>
    </row>
    <row r="3442" spans="1:2">
      <c r="A3442" s="10" t="s">
        <v>2450</v>
      </c>
      <c r="B3442">
        <v>1</v>
      </c>
    </row>
    <row r="3443" spans="1:2">
      <c r="A3443" s="10" t="s">
        <v>2436</v>
      </c>
      <c r="B3443">
        <v>1</v>
      </c>
    </row>
    <row r="3444" spans="1:2">
      <c r="A3444" s="10" t="s">
        <v>2436</v>
      </c>
      <c r="B3444">
        <v>1</v>
      </c>
    </row>
    <row r="3445" spans="1:2">
      <c r="A3445" s="10" t="s">
        <v>2450</v>
      </c>
      <c r="B3445">
        <v>1</v>
      </c>
    </row>
    <row r="3446" spans="1:2">
      <c r="A3446" s="10" t="s">
        <v>2460</v>
      </c>
      <c r="B3446">
        <v>1</v>
      </c>
    </row>
    <row r="3447" spans="1:2">
      <c r="A3447" s="10" t="s">
        <v>2436</v>
      </c>
      <c r="B3447">
        <v>1</v>
      </c>
    </row>
    <row r="3448" spans="1:2">
      <c r="A3448" s="10" t="s">
        <v>2436</v>
      </c>
      <c r="B3448">
        <v>1</v>
      </c>
    </row>
    <row r="3449" spans="1:2">
      <c r="A3449" s="10" t="s">
        <v>2440</v>
      </c>
      <c r="B3449">
        <v>0.5</v>
      </c>
    </row>
    <row r="3450" spans="1:2">
      <c r="A3450" s="10" t="s">
        <v>2436</v>
      </c>
      <c r="B3450">
        <v>1</v>
      </c>
    </row>
    <row r="3451" spans="1:2">
      <c r="A3451" s="10" t="s">
        <v>2436</v>
      </c>
      <c r="B3451">
        <v>1</v>
      </c>
    </row>
    <row r="3452" spans="1:2">
      <c r="A3452" s="10" t="s">
        <v>2440</v>
      </c>
      <c r="B3452">
        <v>0.5</v>
      </c>
    </row>
    <row r="3453" spans="1:2">
      <c r="A3453" s="10" t="s">
        <v>2436</v>
      </c>
      <c r="B3453">
        <v>1</v>
      </c>
    </row>
    <row r="3454" spans="1:2">
      <c r="A3454" s="10" t="s">
        <v>2436</v>
      </c>
      <c r="B3454">
        <v>1</v>
      </c>
    </row>
    <row r="3455" spans="1:2">
      <c r="A3455" s="10" t="s">
        <v>2450</v>
      </c>
      <c r="B3455">
        <v>1</v>
      </c>
    </row>
    <row r="3456" spans="1:2">
      <c r="A3456" s="10" t="s">
        <v>2436</v>
      </c>
      <c r="B3456">
        <v>1</v>
      </c>
    </row>
    <row r="3457" spans="1:2">
      <c r="A3457" s="10" t="s">
        <v>2436</v>
      </c>
      <c r="B3457">
        <v>1</v>
      </c>
    </row>
    <row r="3458" spans="1:2">
      <c r="A3458" s="10" t="s">
        <v>2436</v>
      </c>
      <c r="B3458">
        <v>1</v>
      </c>
    </row>
    <row r="3459" spans="1:2">
      <c r="A3459" s="10" t="s">
        <v>2436</v>
      </c>
      <c r="B3459">
        <v>1</v>
      </c>
    </row>
    <row r="3460" spans="1:2">
      <c r="A3460" s="10" t="s">
        <v>2436</v>
      </c>
      <c r="B3460">
        <v>1</v>
      </c>
    </row>
    <row r="3461" spans="1:2">
      <c r="A3461" s="10" t="s">
        <v>40</v>
      </c>
      <c r="B3461">
        <v>1</v>
      </c>
    </row>
    <row r="3462" spans="1:2">
      <c r="A3462" s="10" t="s">
        <v>2436</v>
      </c>
      <c r="B3462">
        <v>1</v>
      </c>
    </row>
    <row r="3463" spans="1:2">
      <c r="A3463" s="10" t="s">
        <v>2436</v>
      </c>
      <c r="B3463">
        <v>1</v>
      </c>
    </row>
    <row r="3464" spans="1:2">
      <c r="A3464" s="10" t="s">
        <v>2436</v>
      </c>
      <c r="B3464">
        <v>1</v>
      </c>
    </row>
    <row r="3465" spans="1:2">
      <c r="A3465" s="10" t="s">
        <v>2436</v>
      </c>
      <c r="B3465">
        <v>1</v>
      </c>
    </row>
    <row r="3466" spans="1:2">
      <c r="A3466" s="10" t="s">
        <v>2436</v>
      </c>
      <c r="B3466">
        <v>1</v>
      </c>
    </row>
    <row r="3467" spans="1:2">
      <c r="A3467" s="10" t="s">
        <v>2436</v>
      </c>
      <c r="B3467">
        <v>1</v>
      </c>
    </row>
    <row r="3468" spans="1:2">
      <c r="A3468" s="10" t="s">
        <v>2436</v>
      </c>
      <c r="B3468">
        <v>1</v>
      </c>
    </row>
    <row r="3469" spans="1:2">
      <c r="A3469" s="10" t="s">
        <v>2436</v>
      </c>
      <c r="B3469">
        <v>1</v>
      </c>
    </row>
    <row r="3470" spans="1:2">
      <c r="A3470" s="10" t="s">
        <v>2436</v>
      </c>
      <c r="B3470">
        <v>1</v>
      </c>
    </row>
    <row r="3471" spans="1:2">
      <c r="A3471" s="10" t="s">
        <v>2436</v>
      </c>
      <c r="B3471">
        <v>1</v>
      </c>
    </row>
    <row r="3472" spans="1:2">
      <c r="A3472" s="10" t="s">
        <v>2436</v>
      </c>
      <c r="B3472">
        <v>1</v>
      </c>
    </row>
    <row r="3473" spans="1:2">
      <c r="A3473" s="10" t="s">
        <v>2436</v>
      </c>
      <c r="B3473">
        <v>1</v>
      </c>
    </row>
    <row r="3474" spans="1:2">
      <c r="A3474" s="10" t="s">
        <v>2436</v>
      </c>
      <c r="B3474">
        <v>1</v>
      </c>
    </row>
    <row r="3475" spans="1:2">
      <c r="A3475" s="10" t="s">
        <v>2436</v>
      </c>
      <c r="B3475">
        <v>1</v>
      </c>
    </row>
    <row r="3476" spans="1:2">
      <c r="A3476" s="10" t="s">
        <v>2436</v>
      </c>
      <c r="B3476">
        <v>1</v>
      </c>
    </row>
    <row r="3477" spans="1:2">
      <c r="A3477" s="10" t="s">
        <v>2436</v>
      </c>
      <c r="B3477">
        <v>1</v>
      </c>
    </row>
    <row r="3478" spans="1:2">
      <c r="A3478" s="10" t="s">
        <v>2436</v>
      </c>
      <c r="B3478">
        <v>1</v>
      </c>
    </row>
    <row r="3479" spans="1:2">
      <c r="A3479" s="10" t="s">
        <v>2436</v>
      </c>
      <c r="B3479">
        <v>1</v>
      </c>
    </row>
    <row r="3480" spans="1:2">
      <c r="A3480" s="10" t="s">
        <v>2436</v>
      </c>
      <c r="B3480">
        <v>1</v>
      </c>
    </row>
    <row r="3481" spans="1:2">
      <c r="A3481" s="10" t="s">
        <v>2436</v>
      </c>
      <c r="B3481">
        <v>1</v>
      </c>
    </row>
    <row r="3482" spans="1:2">
      <c r="A3482" s="10" t="s">
        <v>2436</v>
      </c>
      <c r="B3482">
        <v>1</v>
      </c>
    </row>
    <row r="3483" spans="1:2">
      <c r="A3483" s="10" t="s">
        <v>2436</v>
      </c>
      <c r="B3483">
        <v>1</v>
      </c>
    </row>
    <row r="3484" spans="1:2">
      <c r="A3484" s="10" t="s">
        <v>2436</v>
      </c>
      <c r="B3484">
        <v>1</v>
      </c>
    </row>
    <row r="3485" spans="1:2">
      <c r="A3485" s="10" t="s">
        <v>2436</v>
      </c>
      <c r="B3485">
        <v>1</v>
      </c>
    </row>
    <row r="3486" spans="1:2">
      <c r="A3486" s="10" t="s">
        <v>2436</v>
      </c>
      <c r="B3486">
        <v>1</v>
      </c>
    </row>
    <row r="3487" spans="1:2">
      <c r="A3487" s="10" t="s">
        <v>2436</v>
      </c>
      <c r="B3487">
        <v>1</v>
      </c>
    </row>
    <row r="3488" spans="1:2">
      <c r="A3488" s="10" t="s">
        <v>2436</v>
      </c>
      <c r="B3488">
        <v>1</v>
      </c>
    </row>
    <row r="3489" spans="1:2">
      <c r="A3489" s="10" t="s">
        <v>2436</v>
      </c>
      <c r="B3489">
        <v>1</v>
      </c>
    </row>
    <row r="3490" spans="1:2">
      <c r="A3490" s="10" t="s">
        <v>2436</v>
      </c>
      <c r="B3490">
        <v>1</v>
      </c>
    </row>
    <row r="3491" spans="1:2">
      <c r="A3491" s="10" t="s">
        <v>2436</v>
      </c>
      <c r="B3491">
        <v>1</v>
      </c>
    </row>
    <row r="3492" spans="1:2">
      <c r="A3492" s="10" t="s">
        <v>2436</v>
      </c>
      <c r="B3492">
        <v>1</v>
      </c>
    </row>
    <row r="3493" spans="1:2">
      <c r="A3493" s="10" t="s">
        <v>2454</v>
      </c>
      <c r="B3493">
        <v>1</v>
      </c>
    </row>
    <row r="3494" spans="1:2">
      <c r="A3494" s="10" t="s">
        <v>2436</v>
      </c>
      <c r="B3494">
        <v>1</v>
      </c>
    </row>
    <row r="3495" spans="1:2">
      <c r="A3495" s="10" t="s">
        <v>2436</v>
      </c>
      <c r="B3495">
        <v>1</v>
      </c>
    </row>
    <row r="3496" spans="1:2">
      <c r="A3496" s="10" t="s">
        <v>2436</v>
      </c>
      <c r="B3496">
        <v>1</v>
      </c>
    </row>
    <row r="3497" spans="1:2">
      <c r="A3497" s="10" t="s">
        <v>2457</v>
      </c>
      <c r="B3497">
        <v>2</v>
      </c>
    </row>
    <row r="3498" spans="1:2">
      <c r="A3498" s="10" t="s">
        <v>2460</v>
      </c>
      <c r="B3498">
        <v>1</v>
      </c>
    </row>
    <row r="3499" spans="1:2">
      <c r="A3499" s="10" t="s">
        <v>20</v>
      </c>
      <c r="B3499">
        <v>1</v>
      </c>
    </row>
    <row r="3500" spans="1:2">
      <c r="A3500" s="10" t="s">
        <v>2436</v>
      </c>
      <c r="B3500">
        <v>1</v>
      </c>
    </row>
    <row r="3501" spans="1:2">
      <c r="A3501" s="10" t="s">
        <v>2436</v>
      </c>
      <c r="B3501">
        <v>1</v>
      </c>
    </row>
    <row r="3502" spans="1:2">
      <c r="A3502" s="10" t="s">
        <v>2436</v>
      </c>
      <c r="B3502">
        <v>1</v>
      </c>
    </row>
    <row r="3503" spans="1:2">
      <c r="A3503" s="10" t="s">
        <v>2436</v>
      </c>
      <c r="B3503">
        <v>1</v>
      </c>
    </row>
    <row r="3504" spans="1:2">
      <c r="A3504" s="10" t="s">
        <v>2457</v>
      </c>
      <c r="B3504">
        <v>2</v>
      </c>
    </row>
    <row r="3505" spans="1:2">
      <c r="A3505" s="10" t="s">
        <v>2460</v>
      </c>
      <c r="B3505">
        <v>1</v>
      </c>
    </row>
    <row r="3506" spans="1:2">
      <c r="A3506" s="10" t="s">
        <v>32</v>
      </c>
      <c r="B3506">
        <v>1</v>
      </c>
    </row>
    <row r="3507" spans="1:2">
      <c r="A3507" s="10" t="s">
        <v>2436</v>
      </c>
      <c r="B3507">
        <v>1</v>
      </c>
    </row>
    <row r="3508" spans="1:2">
      <c r="A3508" s="10" t="s">
        <v>2450</v>
      </c>
      <c r="B3508">
        <v>1</v>
      </c>
    </row>
    <row r="3509" spans="1:2">
      <c r="A3509" s="10" t="s">
        <v>2436</v>
      </c>
      <c r="B3509">
        <v>1</v>
      </c>
    </row>
    <row r="3510" spans="1:2">
      <c r="A3510" s="10" t="s">
        <v>2457</v>
      </c>
      <c r="B3510">
        <v>2</v>
      </c>
    </row>
    <row r="3511" spans="1:2">
      <c r="A3511" s="10" t="s">
        <v>2460</v>
      </c>
      <c r="B3511">
        <v>1</v>
      </c>
    </row>
    <row r="3512" spans="1:2">
      <c r="A3512" s="10" t="s">
        <v>2436</v>
      </c>
      <c r="B3512">
        <v>1</v>
      </c>
    </row>
    <row r="3513" spans="1:2">
      <c r="A3513" s="10" t="s">
        <v>2436</v>
      </c>
      <c r="B3513">
        <v>1</v>
      </c>
    </row>
    <row r="3514" spans="1:2">
      <c r="A3514" s="10" t="s">
        <v>2517</v>
      </c>
      <c r="B3514">
        <v>1</v>
      </c>
    </row>
    <row r="3515" spans="1:2">
      <c r="A3515" s="10" t="s">
        <v>2517</v>
      </c>
      <c r="B3515">
        <v>1</v>
      </c>
    </row>
    <row r="3516" spans="1:2">
      <c r="A3516" s="10" t="s">
        <v>2436</v>
      </c>
      <c r="B3516">
        <v>1</v>
      </c>
    </row>
    <row r="3517" spans="1:2">
      <c r="A3517" s="10" t="s">
        <v>2436</v>
      </c>
      <c r="B3517">
        <v>1</v>
      </c>
    </row>
    <row r="3518" spans="1:2">
      <c r="A3518" s="10" t="s">
        <v>2436</v>
      </c>
      <c r="B3518">
        <v>1</v>
      </c>
    </row>
    <row r="3519" spans="1:2">
      <c r="A3519" s="10" t="s">
        <v>2436</v>
      </c>
      <c r="B3519">
        <v>1</v>
      </c>
    </row>
    <row r="3520" spans="1:2">
      <c r="A3520" s="10" t="s">
        <v>2436</v>
      </c>
      <c r="B3520">
        <v>1</v>
      </c>
    </row>
    <row r="3521" spans="1:2">
      <c r="A3521" s="10" t="s">
        <v>2436</v>
      </c>
      <c r="B3521">
        <v>1</v>
      </c>
    </row>
    <row r="3522" spans="1:2">
      <c r="A3522" s="10" t="s">
        <v>2457</v>
      </c>
      <c r="B3522">
        <v>2</v>
      </c>
    </row>
    <row r="3523" spans="1:2">
      <c r="A3523" s="10" t="s">
        <v>2460</v>
      </c>
      <c r="B3523">
        <v>1</v>
      </c>
    </row>
    <row r="3524" spans="1:2">
      <c r="A3524" s="10" t="s">
        <v>20</v>
      </c>
      <c r="B3524">
        <v>1</v>
      </c>
    </row>
    <row r="3525" spans="1:2">
      <c r="A3525" s="10" t="s">
        <v>2454</v>
      </c>
      <c r="B3525">
        <v>1</v>
      </c>
    </row>
    <row r="3526" spans="1:2">
      <c r="A3526" s="10" t="s">
        <v>2457</v>
      </c>
      <c r="B3526">
        <v>2</v>
      </c>
    </row>
    <row r="3527" spans="1:2">
      <c r="A3527" s="10" t="s">
        <v>2460</v>
      </c>
      <c r="B3527">
        <v>1</v>
      </c>
    </row>
    <row r="3528" spans="1:2">
      <c r="A3528" s="10" t="s">
        <v>2436</v>
      </c>
      <c r="B3528">
        <v>1</v>
      </c>
    </row>
    <row r="3529" spans="1:2">
      <c r="A3529" s="10" t="s">
        <v>2436</v>
      </c>
      <c r="B3529">
        <v>1</v>
      </c>
    </row>
    <row r="3530" spans="1:2">
      <c r="A3530" s="10" t="s">
        <v>2436</v>
      </c>
      <c r="B3530">
        <v>1</v>
      </c>
    </row>
    <row r="3531" spans="1:2">
      <c r="A3531" s="10" t="s">
        <v>2436</v>
      </c>
      <c r="B3531">
        <v>1</v>
      </c>
    </row>
    <row r="3532" spans="1:2">
      <c r="A3532" s="10" t="s">
        <v>2436</v>
      </c>
      <c r="B3532">
        <v>1</v>
      </c>
    </row>
    <row r="3533" spans="1:2">
      <c r="A3533" s="10" t="s">
        <v>2440</v>
      </c>
      <c r="B3533">
        <v>0.5</v>
      </c>
    </row>
    <row r="3534" spans="1:2">
      <c r="A3534" s="10" t="s">
        <v>2436</v>
      </c>
      <c r="B3534">
        <v>1</v>
      </c>
    </row>
    <row r="3535" spans="1:2">
      <c r="A3535" s="10" t="s">
        <v>2436</v>
      </c>
      <c r="B3535">
        <v>1</v>
      </c>
    </row>
    <row r="3536" spans="1:2">
      <c r="A3536" s="10" t="s">
        <v>2457</v>
      </c>
      <c r="B3536">
        <v>2</v>
      </c>
    </row>
    <row r="3537" spans="1:2">
      <c r="A3537" s="10" t="s">
        <v>2460</v>
      </c>
      <c r="B3537">
        <v>1</v>
      </c>
    </row>
    <row r="3538" spans="1:2">
      <c r="A3538" s="10" t="s">
        <v>2436</v>
      </c>
      <c r="B3538">
        <v>1</v>
      </c>
    </row>
    <row r="3539" spans="1:2">
      <c r="A3539" s="10" t="s">
        <v>2436</v>
      </c>
      <c r="B3539">
        <v>1</v>
      </c>
    </row>
    <row r="3540" spans="1:2">
      <c r="A3540" s="10" t="s">
        <v>2440</v>
      </c>
      <c r="B3540">
        <v>0.5</v>
      </c>
    </row>
    <row r="3541" spans="1:2">
      <c r="A3541" s="10" t="s">
        <v>2436</v>
      </c>
      <c r="B3541">
        <v>1</v>
      </c>
    </row>
    <row r="3542" spans="1:2">
      <c r="A3542" s="10" t="s">
        <v>2436</v>
      </c>
      <c r="B3542">
        <v>1</v>
      </c>
    </row>
    <row r="3543" spans="1:2">
      <c r="A3543" s="10" t="s">
        <v>3166</v>
      </c>
      <c r="B3543">
        <v>1</v>
      </c>
    </row>
    <row r="3544" spans="1:2">
      <c r="A3544" s="10" t="s">
        <v>2672</v>
      </c>
      <c r="B3544">
        <v>1</v>
      </c>
    </row>
    <row r="3545" spans="1:2">
      <c r="A3545" s="10" t="s">
        <v>2450</v>
      </c>
      <c r="B3545">
        <v>1</v>
      </c>
    </row>
    <row r="3546" spans="1:2">
      <c r="A3546" s="10" t="s">
        <v>2436</v>
      </c>
      <c r="B3546">
        <v>1</v>
      </c>
    </row>
    <row r="3547" spans="1:2">
      <c r="A3547" s="10" t="s">
        <v>2436</v>
      </c>
      <c r="B3547">
        <v>1</v>
      </c>
    </row>
    <row r="3548" spans="1:2">
      <c r="A3548" s="10" t="s">
        <v>2517</v>
      </c>
      <c r="B3548">
        <v>1</v>
      </c>
    </row>
    <row r="3549" spans="1:2">
      <c r="A3549" s="10" t="s">
        <v>2436</v>
      </c>
      <c r="B3549">
        <v>1</v>
      </c>
    </row>
    <row r="3550" spans="1:2">
      <c r="A3550" s="10" t="s">
        <v>2436</v>
      </c>
      <c r="B3550">
        <v>1</v>
      </c>
    </row>
    <row r="3551" spans="1:2">
      <c r="A3551" s="10" t="s">
        <v>2436</v>
      </c>
      <c r="B3551">
        <v>1</v>
      </c>
    </row>
    <row r="3552" spans="1:2">
      <c r="A3552" s="10" t="s">
        <v>2457</v>
      </c>
      <c r="B3552">
        <v>2</v>
      </c>
    </row>
    <row r="3553" spans="1:2">
      <c r="A3553" s="10" t="s">
        <v>2460</v>
      </c>
      <c r="B3553">
        <v>1</v>
      </c>
    </row>
    <row r="3554" spans="1:2">
      <c r="A3554" s="10" t="s">
        <v>2436</v>
      </c>
      <c r="B3554">
        <v>1</v>
      </c>
    </row>
    <row r="3555" spans="1:2">
      <c r="A3555" s="10" t="s">
        <v>2436</v>
      </c>
      <c r="B3555">
        <v>1</v>
      </c>
    </row>
    <row r="3556" spans="1:2">
      <c r="A3556" s="10" t="s">
        <v>2450</v>
      </c>
      <c r="B3556">
        <v>1</v>
      </c>
    </row>
    <row r="3557" spans="1:2">
      <c r="A3557" s="10" t="s">
        <v>2436</v>
      </c>
      <c r="B3557">
        <v>1</v>
      </c>
    </row>
    <row r="3558" spans="1:2">
      <c r="A3558" s="10" t="s">
        <v>2450</v>
      </c>
      <c r="B3558">
        <v>1</v>
      </c>
    </row>
    <row r="3559" spans="1:2">
      <c r="A3559" s="10" t="s">
        <v>2436</v>
      </c>
      <c r="B3559">
        <v>1</v>
      </c>
    </row>
    <row r="3560" spans="1:2">
      <c r="A3560" s="10" t="s">
        <v>2436</v>
      </c>
      <c r="B3560">
        <v>1</v>
      </c>
    </row>
    <row r="3561" spans="1:2">
      <c r="A3561" s="10" t="s">
        <v>2436</v>
      </c>
      <c r="B3561">
        <v>1</v>
      </c>
    </row>
    <row r="3562" spans="1:2">
      <c r="A3562" s="10" t="s">
        <v>2436</v>
      </c>
      <c r="B3562">
        <v>1</v>
      </c>
    </row>
    <row r="3563" spans="1:2">
      <c r="A3563" s="10" t="s">
        <v>2436</v>
      </c>
      <c r="B3563">
        <v>1</v>
      </c>
    </row>
    <row r="3564" spans="1:2">
      <c r="A3564" s="10" t="s">
        <v>2436</v>
      </c>
      <c r="B3564">
        <v>1</v>
      </c>
    </row>
    <row r="3565" spans="1:2">
      <c r="A3565" s="10" t="s">
        <v>2436</v>
      </c>
      <c r="B3565">
        <v>1</v>
      </c>
    </row>
    <row r="3566" spans="1:2">
      <c r="A3566" s="10" t="s">
        <v>2457</v>
      </c>
      <c r="B3566">
        <v>2</v>
      </c>
    </row>
    <row r="3567" spans="1:2">
      <c r="A3567" s="10" t="s">
        <v>2460</v>
      </c>
      <c r="B3567">
        <v>1</v>
      </c>
    </row>
    <row r="3568" spans="1:2">
      <c r="A3568" s="10" t="s">
        <v>2457</v>
      </c>
      <c r="B3568">
        <v>2</v>
      </c>
    </row>
    <row r="3569" spans="1:2">
      <c r="A3569" s="10" t="s">
        <v>2460</v>
      </c>
      <c r="B3569">
        <v>1</v>
      </c>
    </row>
    <row r="3570" spans="1:2">
      <c r="A3570" s="10" t="s">
        <v>2436</v>
      </c>
      <c r="B3570">
        <v>1</v>
      </c>
    </row>
    <row r="3571" spans="1:2">
      <c r="A3571" s="10" t="s">
        <v>2436</v>
      </c>
      <c r="B3571">
        <v>1</v>
      </c>
    </row>
    <row r="3572" spans="1:2">
      <c r="A3572" s="10" t="s">
        <v>2517</v>
      </c>
      <c r="B3572">
        <v>1</v>
      </c>
    </row>
    <row r="3573" spans="1:2">
      <c r="A3573" s="10" t="s">
        <v>4373</v>
      </c>
      <c r="B3573">
        <v>1</v>
      </c>
    </row>
    <row r="3574" spans="1:2">
      <c r="A3574" s="10" t="s">
        <v>2653</v>
      </c>
      <c r="B3574">
        <v>1</v>
      </c>
    </row>
    <row r="3575" spans="1:2">
      <c r="A3575" s="10" t="s">
        <v>2436</v>
      </c>
      <c r="B3575">
        <v>1</v>
      </c>
    </row>
    <row r="3576" spans="1:2">
      <c r="A3576" s="10" t="s">
        <v>2588</v>
      </c>
      <c r="B3576">
        <v>1</v>
      </c>
    </row>
    <row r="3577" spans="1:2">
      <c r="A3577" s="10" t="s">
        <v>2450</v>
      </c>
      <c r="B3577">
        <v>1</v>
      </c>
    </row>
    <row r="3578" spans="1:2">
      <c r="A3578" s="10" t="s">
        <v>2626</v>
      </c>
      <c r="B3578">
        <v>1</v>
      </c>
    </row>
    <row r="3579" spans="1:2">
      <c r="A3579" s="10" t="s">
        <v>2450</v>
      </c>
      <c r="B3579">
        <v>1</v>
      </c>
    </row>
    <row r="3580" spans="1:2">
      <c r="A3580" s="10" t="s">
        <v>2436</v>
      </c>
      <c r="B3580">
        <v>1</v>
      </c>
    </row>
    <row r="3581" spans="1:2">
      <c r="A3581" s="10" t="s">
        <v>2450</v>
      </c>
      <c r="B3581">
        <v>1</v>
      </c>
    </row>
    <row r="3582" spans="1:2">
      <c r="A3582" s="10" t="s">
        <v>2440</v>
      </c>
      <c r="B3582">
        <v>0.5</v>
      </c>
    </row>
    <row r="3583" spans="1:2">
      <c r="A3583" s="10" t="s">
        <v>2436</v>
      </c>
      <c r="B3583">
        <v>1</v>
      </c>
    </row>
    <row r="3584" spans="1:2">
      <c r="A3584" s="10" t="s">
        <v>2436</v>
      </c>
      <c r="B3584">
        <v>1</v>
      </c>
    </row>
    <row r="3585" spans="1:2">
      <c r="A3585" s="10" t="s">
        <v>2436</v>
      </c>
      <c r="B3585">
        <v>1</v>
      </c>
    </row>
    <row r="3586" spans="1:2">
      <c r="A3586" s="10" t="s">
        <v>2436</v>
      </c>
      <c r="B3586">
        <v>1</v>
      </c>
    </row>
    <row r="3587" spans="1:2">
      <c r="A3587" s="10" t="s">
        <v>2436</v>
      </c>
      <c r="B3587">
        <v>1</v>
      </c>
    </row>
    <row r="3588" spans="1:2">
      <c r="A3588" s="10" t="s">
        <v>2436</v>
      </c>
      <c r="B3588">
        <v>1</v>
      </c>
    </row>
    <row r="3589" spans="1:2">
      <c r="A3589" s="10" t="s">
        <v>2436</v>
      </c>
      <c r="B3589">
        <v>1</v>
      </c>
    </row>
    <row r="3590" spans="1:2">
      <c r="A3590" s="10" t="s">
        <v>2436</v>
      </c>
      <c r="B3590">
        <v>1</v>
      </c>
    </row>
    <row r="3591" spans="1:2">
      <c r="A3591" s="10" t="s">
        <v>2436</v>
      </c>
      <c r="B3591">
        <v>1</v>
      </c>
    </row>
    <row r="3592" spans="1:2">
      <c r="A3592" s="10" t="s">
        <v>2450</v>
      </c>
      <c r="B3592">
        <v>1</v>
      </c>
    </row>
    <row r="3593" spans="1:2">
      <c r="A3593" s="10" t="s">
        <v>2450</v>
      </c>
      <c r="B3593">
        <v>1</v>
      </c>
    </row>
    <row r="3594" spans="1:2">
      <c r="A3594" s="10" t="s">
        <v>2436</v>
      </c>
      <c r="B3594">
        <v>1</v>
      </c>
    </row>
    <row r="3595" spans="1:2">
      <c r="A3595" s="10" t="s">
        <v>2436</v>
      </c>
      <c r="B3595">
        <v>1</v>
      </c>
    </row>
    <row r="3596" spans="1:2">
      <c r="A3596" s="10" t="s">
        <v>2450</v>
      </c>
      <c r="B3596">
        <v>1</v>
      </c>
    </row>
    <row r="3597" spans="1:2">
      <c r="A3597" s="10" t="s">
        <v>2457</v>
      </c>
      <c r="B3597">
        <v>2</v>
      </c>
    </row>
    <row r="3598" spans="1:2">
      <c r="A3598" s="10" t="s">
        <v>2460</v>
      </c>
      <c r="B3598">
        <v>1</v>
      </c>
    </row>
    <row r="3599" spans="1:2">
      <c r="A3599" s="10" t="s">
        <v>2436</v>
      </c>
      <c r="B3599">
        <v>1</v>
      </c>
    </row>
    <row r="3600" spans="1:2">
      <c r="A3600" s="10" t="s">
        <v>2436</v>
      </c>
      <c r="B3600">
        <v>1</v>
      </c>
    </row>
    <row r="3601" spans="1:2">
      <c r="A3601" s="10" t="s">
        <v>2440</v>
      </c>
      <c r="B3601">
        <v>0.5</v>
      </c>
    </row>
    <row r="3602" spans="1:2">
      <c r="A3602" s="10" t="s">
        <v>2436</v>
      </c>
      <c r="B3602">
        <v>1</v>
      </c>
    </row>
    <row r="3603" spans="1:2">
      <c r="A3603" s="10" t="s">
        <v>2436</v>
      </c>
      <c r="B3603">
        <v>1</v>
      </c>
    </row>
    <row r="3604" spans="1:2">
      <c r="A3604" s="10" t="s">
        <v>2440</v>
      </c>
      <c r="B3604">
        <v>0.5</v>
      </c>
    </row>
    <row r="3605" spans="1:2">
      <c r="A3605" s="10" t="s">
        <v>2436</v>
      </c>
      <c r="B3605">
        <v>1</v>
      </c>
    </row>
    <row r="3606" spans="1:2">
      <c r="A3606" s="10" t="s">
        <v>2436</v>
      </c>
      <c r="B3606">
        <v>1</v>
      </c>
    </row>
    <row r="3607" spans="1:2">
      <c r="A3607" s="10" t="s">
        <v>2672</v>
      </c>
      <c r="B3607">
        <v>1</v>
      </c>
    </row>
    <row r="3608" spans="1:2">
      <c r="A3608" s="10" t="s">
        <v>2450</v>
      </c>
      <c r="B3608">
        <v>1</v>
      </c>
    </row>
    <row r="3609" spans="1:2">
      <c r="A3609" s="10" t="s">
        <v>2436</v>
      </c>
      <c r="B3609">
        <v>1</v>
      </c>
    </row>
    <row r="3610" spans="1:2">
      <c r="A3610" s="10" t="s">
        <v>2436</v>
      </c>
      <c r="B3610">
        <v>1</v>
      </c>
    </row>
    <row r="3611" spans="1:2">
      <c r="A3611" s="10" t="s">
        <v>2436</v>
      </c>
      <c r="B3611">
        <v>1</v>
      </c>
    </row>
    <row r="3612" spans="1:2">
      <c r="A3612" s="10" t="s">
        <v>2436</v>
      </c>
      <c r="B3612">
        <v>1</v>
      </c>
    </row>
    <row r="3613" spans="1:2">
      <c r="A3613" s="10" t="s">
        <v>2436</v>
      </c>
      <c r="B3613">
        <v>1</v>
      </c>
    </row>
    <row r="3614" spans="1:2">
      <c r="A3614" s="10" t="s">
        <v>2436</v>
      </c>
      <c r="B3614">
        <v>1</v>
      </c>
    </row>
    <row r="3615" spans="1:2">
      <c r="A3615" s="10" t="s">
        <v>40</v>
      </c>
      <c r="B3615">
        <v>1</v>
      </c>
    </row>
    <row r="3616" spans="1:2">
      <c r="A3616" s="10" t="s">
        <v>2436</v>
      </c>
      <c r="B3616">
        <v>1</v>
      </c>
    </row>
    <row r="3617" spans="1:2">
      <c r="A3617" s="10" t="s">
        <v>2436</v>
      </c>
      <c r="B3617">
        <v>1</v>
      </c>
    </row>
    <row r="3618" spans="1:2">
      <c r="A3618" s="10" t="s">
        <v>2436</v>
      </c>
      <c r="B3618">
        <v>1</v>
      </c>
    </row>
    <row r="3619" spans="1:2">
      <c r="A3619" s="10" t="s">
        <v>2436</v>
      </c>
      <c r="B3619">
        <v>1</v>
      </c>
    </row>
    <row r="3620" spans="1:2">
      <c r="A3620" s="10" t="s">
        <v>2436</v>
      </c>
      <c r="B3620">
        <v>1</v>
      </c>
    </row>
    <row r="3621" spans="1:2">
      <c r="A3621" s="10" t="s">
        <v>2436</v>
      </c>
      <c r="B3621">
        <v>1</v>
      </c>
    </row>
    <row r="3622" spans="1:2">
      <c r="A3622" s="10" t="s">
        <v>2436</v>
      </c>
      <c r="B3622">
        <v>1</v>
      </c>
    </row>
    <row r="3623" spans="1:2">
      <c r="A3623" s="10" t="s">
        <v>2450</v>
      </c>
      <c r="B3623">
        <v>1</v>
      </c>
    </row>
    <row r="3624" spans="1:2">
      <c r="A3624" s="10" t="s">
        <v>2436</v>
      </c>
      <c r="B3624">
        <v>1</v>
      </c>
    </row>
    <row r="3625" spans="1:2">
      <c r="A3625" s="10" t="s">
        <v>2436</v>
      </c>
      <c r="B3625">
        <v>1</v>
      </c>
    </row>
    <row r="3626" spans="1:2">
      <c r="A3626" s="10" t="s">
        <v>2436</v>
      </c>
      <c r="B3626">
        <v>1</v>
      </c>
    </row>
    <row r="3627" spans="1:2">
      <c r="A3627" s="10" t="s">
        <v>2436</v>
      </c>
      <c r="B3627">
        <v>1</v>
      </c>
    </row>
    <row r="3628" spans="1:2">
      <c r="A3628" s="10" t="s">
        <v>2436</v>
      </c>
      <c r="B3628">
        <v>1</v>
      </c>
    </row>
    <row r="3629" spans="1:2">
      <c r="A3629" s="10" t="s">
        <v>2436</v>
      </c>
      <c r="B3629">
        <v>1</v>
      </c>
    </row>
    <row r="3630" spans="1:2">
      <c r="A3630" s="10" t="s">
        <v>2436</v>
      </c>
      <c r="B3630">
        <v>1</v>
      </c>
    </row>
    <row r="3631" spans="1:2">
      <c r="A3631" s="10" t="s">
        <v>2436</v>
      </c>
      <c r="B3631">
        <v>1</v>
      </c>
    </row>
    <row r="3632" spans="1:2">
      <c r="A3632" s="10" t="s">
        <v>2436</v>
      </c>
      <c r="B3632">
        <v>1</v>
      </c>
    </row>
    <row r="3633" spans="1:2">
      <c r="A3633" s="10" t="s">
        <v>2436</v>
      </c>
      <c r="B3633">
        <v>1</v>
      </c>
    </row>
    <row r="3634" spans="1:2">
      <c r="A3634" s="10" t="s">
        <v>2436</v>
      </c>
      <c r="B3634">
        <v>1</v>
      </c>
    </row>
    <row r="3635" spans="1:2">
      <c r="A3635" s="10" t="s">
        <v>2436</v>
      </c>
      <c r="B3635">
        <v>1</v>
      </c>
    </row>
    <row r="3636" spans="1:2">
      <c r="A3636" s="10" t="s">
        <v>2436</v>
      </c>
      <c r="B3636">
        <v>1</v>
      </c>
    </row>
    <row r="3637" spans="1:2">
      <c r="A3637" s="10" t="s">
        <v>2436</v>
      </c>
      <c r="B3637">
        <v>1</v>
      </c>
    </row>
    <row r="3638" spans="1:2">
      <c r="A3638" s="10" t="s">
        <v>2450</v>
      </c>
      <c r="B3638">
        <v>1</v>
      </c>
    </row>
    <row r="3639" spans="1:2">
      <c r="A3639" s="10" t="s">
        <v>2450</v>
      </c>
      <c r="B3639">
        <v>1</v>
      </c>
    </row>
    <row r="3640" spans="1:2">
      <c r="A3640" s="10" t="s">
        <v>2436</v>
      </c>
      <c r="B3640">
        <v>1</v>
      </c>
    </row>
    <row r="3641" spans="1:2">
      <c r="A3641" s="10" t="s">
        <v>2436</v>
      </c>
      <c r="B3641">
        <v>1</v>
      </c>
    </row>
    <row r="3642" spans="1:2">
      <c r="A3642" s="10" t="s">
        <v>2454</v>
      </c>
      <c r="B3642">
        <v>1</v>
      </c>
    </row>
    <row r="3643" spans="1:2">
      <c r="A3643" s="10" t="s">
        <v>2436</v>
      </c>
      <c r="B3643">
        <v>1</v>
      </c>
    </row>
    <row r="3644" spans="1:2">
      <c r="A3644" s="10" t="s">
        <v>2436</v>
      </c>
      <c r="B3644">
        <v>1</v>
      </c>
    </row>
    <row r="3645" spans="1:2">
      <c r="A3645" s="10" t="s">
        <v>2457</v>
      </c>
      <c r="B3645">
        <v>2</v>
      </c>
    </row>
    <row r="3646" spans="1:2">
      <c r="A3646" s="10" t="s">
        <v>2460</v>
      </c>
      <c r="B3646">
        <v>1</v>
      </c>
    </row>
    <row r="3647" spans="1:2">
      <c r="A3647" s="10" t="s">
        <v>20</v>
      </c>
      <c r="B3647">
        <v>1</v>
      </c>
    </row>
    <row r="3648" spans="1:2">
      <c r="A3648" s="10" t="s">
        <v>137</v>
      </c>
      <c r="B3648">
        <v>1</v>
      </c>
    </row>
    <row r="3649" spans="1:2">
      <c r="A3649" s="10" t="s">
        <v>2436</v>
      </c>
      <c r="B3649">
        <v>1</v>
      </c>
    </row>
    <row r="3650" spans="1:2">
      <c r="A3650" s="10" t="s">
        <v>2436</v>
      </c>
      <c r="B3650">
        <v>1</v>
      </c>
    </row>
    <row r="3651" spans="1:2">
      <c r="A3651" s="10" t="s">
        <v>2436</v>
      </c>
      <c r="B3651">
        <v>1</v>
      </c>
    </row>
    <row r="3652" spans="1:2">
      <c r="A3652" s="10" t="s">
        <v>2457</v>
      </c>
      <c r="B3652">
        <v>2</v>
      </c>
    </row>
    <row r="3653" spans="1:2">
      <c r="A3653" s="10" t="s">
        <v>2460</v>
      </c>
      <c r="B3653">
        <v>1</v>
      </c>
    </row>
    <row r="3654" spans="1:2">
      <c r="A3654" s="10" t="s">
        <v>2436</v>
      </c>
      <c r="B3654">
        <v>1</v>
      </c>
    </row>
    <row r="3655" spans="1:2">
      <c r="A3655" s="10" t="s">
        <v>2450</v>
      </c>
      <c r="B3655">
        <v>1</v>
      </c>
    </row>
    <row r="3656" spans="1:2">
      <c r="A3656" s="10" t="s">
        <v>2436</v>
      </c>
      <c r="B3656">
        <v>1</v>
      </c>
    </row>
    <row r="3657" spans="1:2">
      <c r="A3657" s="10" t="s">
        <v>20</v>
      </c>
      <c r="B3657">
        <v>1</v>
      </c>
    </row>
    <row r="3658" spans="1:2">
      <c r="A3658" s="10" t="s">
        <v>2507</v>
      </c>
      <c r="B3658">
        <v>4</v>
      </c>
    </row>
    <row r="3659" spans="1:2">
      <c r="A3659" s="10" t="s">
        <v>2457</v>
      </c>
      <c r="B3659">
        <v>2</v>
      </c>
    </row>
    <row r="3660" spans="1:2">
      <c r="A3660" s="10" t="s">
        <v>2460</v>
      </c>
      <c r="B3660">
        <v>1</v>
      </c>
    </row>
    <row r="3661" spans="1:2">
      <c r="A3661" s="10" t="s">
        <v>2436</v>
      </c>
      <c r="B3661">
        <v>1</v>
      </c>
    </row>
    <row r="3662" spans="1:2">
      <c r="A3662" s="10" t="s">
        <v>2436</v>
      </c>
      <c r="B3662">
        <v>1</v>
      </c>
    </row>
    <row r="3663" spans="1:2">
      <c r="A3663" s="10" t="s">
        <v>2517</v>
      </c>
      <c r="B3663">
        <v>1</v>
      </c>
    </row>
    <row r="3664" spans="1:2">
      <c r="A3664" s="10" t="s">
        <v>2517</v>
      </c>
      <c r="B3664">
        <v>1</v>
      </c>
    </row>
    <row r="3665" spans="1:2">
      <c r="A3665" s="10" t="s">
        <v>2436</v>
      </c>
      <c r="B3665">
        <v>1</v>
      </c>
    </row>
    <row r="3666" spans="1:2">
      <c r="A3666" s="10" t="s">
        <v>2436</v>
      </c>
      <c r="B3666">
        <v>1</v>
      </c>
    </row>
    <row r="3667" spans="1:2">
      <c r="A3667" s="10" t="s">
        <v>2436</v>
      </c>
      <c r="B3667">
        <v>1</v>
      </c>
    </row>
    <row r="3668" spans="1:2">
      <c r="A3668" s="10" t="s">
        <v>2436</v>
      </c>
      <c r="B3668">
        <v>1</v>
      </c>
    </row>
    <row r="3669" spans="1:2">
      <c r="A3669" s="10" t="s">
        <v>2436</v>
      </c>
      <c r="B3669">
        <v>1</v>
      </c>
    </row>
    <row r="3670" spans="1:2">
      <c r="A3670" s="10" t="s">
        <v>2507</v>
      </c>
      <c r="B3670">
        <v>4</v>
      </c>
    </row>
    <row r="3671" spans="1:2">
      <c r="A3671" s="10" t="s">
        <v>2457</v>
      </c>
      <c r="B3671">
        <v>2</v>
      </c>
    </row>
    <row r="3672" spans="1:2">
      <c r="A3672" s="10" t="s">
        <v>2460</v>
      </c>
      <c r="B3672">
        <v>1</v>
      </c>
    </row>
    <row r="3673" spans="1:2">
      <c r="A3673" s="10" t="s">
        <v>20</v>
      </c>
      <c r="B3673">
        <v>1</v>
      </c>
    </row>
    <row r="3674" spans="1:2">
      <c r="A3674" s="10" t="s">
        <v>2454</v>
      </c>
      <c r="B3674">
        <v>1</v>
      </c>
    </row>
    <row r="3675" spans="1:2">
      <c r="A3675" s="10" t="s">
        <v>2457</v>
      </c>
      <c r="B3675">
        <v>2</v>
      </c>
    </row>
    <row r="3676" spans="1:2">
      <c r="A3676" s="10" t="s">
        <v>2460</v>
      </c>
      <c r="B3676">
        <v>1</v>
      </c>
    </row>
    <row r="3677" spans="1:2">
      <c r="A3677" s="10" t="s">
        <v>2436</v>
      </c>
      <c r="B3677">
        <v>1</v>
      </c>
    </row>
    <row r="3678" spans="1:2">
      <c r="A3678" s="10" t="s">
        <v>2436</v>
      </c>
      <c r="B3678">
        <v>1</v>
      </c>
    </row>
    <row r="3679" spans="1:2">
      <c r="A3679" s="10" t="s">
        <v>2436</v>
      </c>
      <c r="B3679">
        <v>1</v>
      </c>
    </row>
    <row r="3680" spans="1:2">
      <c r="A3680" s="10" t="s">
        <v>2436</v>
      </c>
      <c r="B3680">
        <v>1</v>
      </c>
    </row>
    <row r="3681" spans="1:2">
      <c r="A3681" s="10" t="s">
        <v>2436</v>
      </c>
      <c r="B3681">
        <v>1</v>
      </c>
    </row>
    <row r="3682" spans="1:2">
      <c r="A3682" s="10" t="s">
        <v>2440</v>
      </c>
      <c r="B3682">
        <v>0.5</v>
      </c>
    </row>
    <row r="3683" spans="1:2">
      <c r="A3683" s="10" t="s">
        <v>2436</v>
      </c>
      <c r="B3683">
        <v>1</v>
      </c>
    </row>
    <row r="3684" spans="1:2">
      <c r="A3684" s="10" t="s">
        <v>2436</v>
      </c>
      <c r="B3684">
        <v>1</v>
      </c>
    </row>
    <row r="3685" spans="1:2">
      <c r="A3685" s="10" t="s">
        <v>2457</v>
      </c>
      <c r="B3685">
        <v>2</v>
      </c>
    </row>
    <row r="3686" spans="1:2">
      <c r="A3686" s="10" t="s">
        <v>2460</v>
      </c>
      <c r="B3686">
        <v>1</v>
      </c>
    </row>
    <row r="3687" spans="1:2">
      <c r="A3687" s="10" t="s">
        <v>2436</v>
      </c>
      <c r="B3687">
        <v>1</v>
      </c>
    </row>
    <row r="3688" spans="1:2">
      <c r="A3688" s="10" t="s">
        <v>2436</v>
      </c>
      <c r="B3688">
        <v>1</v>
      </c>
    </row>
    <row r="3689" spans="1:2">
      <c r="A3689" s="10" t="s">
        <v>2440</v>
      </c>
      <c r="B3689">
        <v>0.5</v>
      </c>
    </row>
    <row r="3690" spans="1:2">
      <c r="A3690" s="10" t="s">
        <v>2436</v>
      </c>
      <c r="B3690">
        <v>1</v>
      </c>
    </row>
    <row r="3691" spans="1:2">
      <c r="A3691" s="10" t="s">
        <v>2436</v>
      </c>
      <c r="B3691">
        <v>1</v>
      </c>
    </row>
    <row r="3692" spans="1:2">
      <c r="A3692" s="10" t="s">
        <v>3166</v>
      </c>
      <c r="B3692">
        <v>1</v>
      </c>
    </row>
    <row r="3693" spans="1:2">
      <c r="A3693" s="10" t="s">
        <v>2672</v>
      </c>
      <c r="B3693">
        <v>1</v>
      </c>
    </row>
    <row r="3694" spans="1:2">
      <c r="A3694" s="10" t="s">
        <v>2450</v>
      </c>
      <c r="B3694">
        <v>1</v>
      </c>
    </row>
    <row r="3695" spans="1:2">
      <c r="A3695" s="10" t="s">
        <v>2436</v>
      </c>
      <c r="B3695">
        <v>1</v>
      </c>
    </row>
    <row r="3696" spans="1:2">
      <c r="A3696" s="10" t="s">
        <v>2436</v>
      </c>
      <c r="B3696">
        <v>1</v>
      </c>
    </row>
    <row r="3697" spans="1:2">
      <c r="A3697" s="10" t="s">
        <v>2517</v>
      </c>
      <c r="B3697">
        <v>1</v>
      </c>
    </row>
    <row r="3698" spans="1:2">
      <c r="A3698" s="10" t="s">
        <v>2436</v>
      </c>
      <c r="B3698">
        <v>1</v>
      </c>
    </row>
    <row r="3699" spans="1:2">
      <c r="A3699" s="10" t="s">
        <v>2436</v>
      </c>
      <c r="B3699">
        <v>1</v>
      </c>
    </row>
    <row r="3700" spans="1:2">
      <c r="A3700" s="10" t="s">
        <v>2436</v>
      </c>
      <c r="B3700">
        <v>1</v>
      </c>
    </row>
    <row r="3701" spans="1:2">
      <c r="A3701" s="10" t="s">
        <v>2436</v>
      </c>
      <c r="B3701">
        <v>1</v>
      </c>
    </row>
    <row r="3702" spans="1:2">
      <c r="A3702" s="10" t="s">
        <v>2457</v>
      </c>
      <c r="B3702">
        <v>2</v>
      </c>
    </row>
    <row r="3703" spans="1:2">
      <c r="A3703" s="10" t="s">
        <v>2460</v>
      </c>
      <c r="B3703">
        <v>1</v>
      </c>
    </row>
    <row r="3704" spans="1:2">
      <c r="A3704" s="10" t="s">
        <v>2436</v>
      </c>
      <c r="B3704">
        <v>1</v>
      </c>
    </row>
    <row r="3705" spans="1:2">
      <c r="A3705" s="10" t="s">
        <v>2436</v>
      </c>
      <c r="B3705">
        <v>1</v>
      </c>
    </row>
    <row r="3706" spans="1:2">
      <c r="A3706" s="10" t="s">
        <v>2436</v>
      </c>
      <c r="B3706">
        <v>1</v>
      </c>
    </row>
    <row r="3707" spans="1:2">
      <c r="A3707" s="10" t="s">
        <v>2450</v>
      </c>
      <c r="B3707">
        <v>1</v>
      </c>
    </row>
    <row r="3708" spans="1:2">
      <c r="A3708" s="10" t="s">
        <v>2436</v>
      </c>
      <c r="B3708">
        <v>1</v>
      </c>
    </row>
    <row r="3709" spans="1:2">
      <c r="A3709" s="10" t="s">
        <v>2450</v>
      </c>
      <c r="B3709">
        <v>1</v>
      </c>
    </row>
    <row r="3710" spans="1:2">
      <c r="A3710" s="10" t="s">
        <v>2436</v>
      </c>
      <c r="B3710">
        <v>1</v>
      </c>
    </row>
    <row r="3711" spans="1:2">
      <c r="A3711" s="10" t="s">
        <v>2436</v>
      </c>
      <c r="B3711">
        <v>1</v>
      </c>
    </row>
    <row r="3712" spans="1:2">
      <c r="A3712" s="10" t="s">
        <v>2436</v>
      </c>
      <c r="B3712">
        <v>1</v>
      </c>
    </row>
    <row r="3713" spans="1:2">
      <c r="A3713" s="10" t="s">
        <v>2436</v>
      </c>
      <c r="B3713">
        <v>1</v>
      </c>
    </row>
    <row r="3714" spans="1:2">
      <c r="A3714" s="10" t="s">
        <v>2436</v>
      </c>
      <c r="B3714">
        <v>1</v>
      </c>
    </row>
    <row r="3715" spans="1:2">
      <c r="A3715" s="10" t="s">
        <v>2436</v>
      </c>
      <c r="B3715">
        <v>1</v>
      </c>
    </row>
    <row r="3716" spans="1:2">
      <c r="A3716" s="10" t="s">
        <v>2436</v>
      </c>
      <c r="B3716">
        <v>1</v>
      </c>
    </row>
    <row r="3717" spans="1:2">
      <c r="A3717" s="10" t="s">
        <v>2436</v>
      </c>
      <c r="B3717">
        <v>1</v>
      </c>
    </row>
    <row r="3718" spans="1:2">
      <c r="A3718" s="10" t="s">
        <v>2457</v>
      </c>
      <c r="B3718">
        <v>2</v>
      </c>
    </row>
    <row r="3719" spans="1:2">
      <c r="A3719" s="10" t="s">
        <v>2460</v>
      </c>
      <c r="B3719">
        <v>1</v>
      </c>
    </row>
    <row r="3720" spans="1:2">
      <c r="A3720" s="10" t="s">
        <v>2457</v>
      </c>
      <c r="B3720">
        <v>2</v>
      </c>
    </row>
    <row r="3721" spans="1:2">
      <c r="A3721" s="10" t="s">
        <v>2460</v>
      </c>
      <c r="B3721">
        <v>1</v>
      </c>
    </row>
    <row r="3722" spans="1:2">
      <c r="A3722" s="10" t="s">
        <v>2440</v>
      </c>
      <c r="B3722">
        <v>0.5</v>
      </c>
    </row>
    <row r="3723" spans="1:2">
      <c r="A3723" s="10" t="s">
        <v>2436</v>
      </c>
      <c r="B3723">
        <v>1</v>
      </c>
    </row>
    <row r="3724" spans="1:2">
      <c r="A3724" s="10" t="s">
        <v>2436</v>
      </c>
      <c r="B3724">
        <v>1</v>
      </c>
    </row>
    <row r="3725" spans="1:2">
      <c r="A3725" s="10" t="s">
        <v>4373</v>
      </c>
      <c r="B3725">
        <v>1</v>
      </c>
    </row>
    <row r="3726" spans="1:2">
      <c r="A3726" s="10" t="s">
        <v>2653</v>
      </c>
      <c r="B3726">
        <v>1</v>
      </c>
    </row>
    <row r="3727" spans="1:2">
      <c r="A3727" s="10" t="s">
        <v>2436</v>
      </c>
      <c r="B3727">
        <v>1</v>
      </c>
    </row>
    <row r="3728" spans="1:2">
      <c r="A3728" s="10" t="s">
        <v>2588</v>
      </c>
      <c r="B3728">
        <v>1</v>
      </c>
    </row>
    <row r="3729" spans="1:2">
      <c r="A3729" s="10" t="s">
        <v>2450</v>
      </c>
      <c r="B3729">
        <v>1</v>
      </c>
    </row>
    <row r="3730" spans="1:2">
      <c r="A3730" s="10" t="s">
        <v>2672</v>
      </c>
      <c r="B3730">
        <v>1</v>
      </c>
    </row>
    <row r="3731" spans="1:2">
      <c r="A3731" s="10" t="s">
        <v>2450</v>
      </c>
      <c r="B3731">
        <v>1</v>
      </c>
    </row>
    <row r="3732" spans="1:2">
      <c r="A3732" s="10" t="s">
        <v>2436</v>
      </c>
      <c r="B3732">
        <v>1</v>
      </c>
    </row>
    <row r="3733" spans="1:2">
      <c r="A3733" s="10" t="s">
        <v>2626</v>
      </c>
      <c r="B3733">
        <v>1</v>
      </c>
    </row>
    <row r="3734" spans="1:2">
      <c r="A3734" s="10" t="s">
        <v>2436</v>
      </c>
      <c r="B3734">
        <v>1</v>
      </c>
    </row>
    <row r="3735" spans="1:2">
      <c r="A3735" s="10" t="s">
        <v>2450</v>
      </c>
      <c r="B3735">
        <v>1</v>
      </c>
    </row>
    <row r="3736" spans="1:2">
      <c r="A3736" s="10" t="s">
        <v>2440</v>
      </c>
      <c r="B3736">
        <v>0.5</v>
      </c>
    </row>
    <row r="3737" spans="1:2">
      <c r="A3737" s="10" t="s">
        <v>2436</v>
      </c>
      <c r="B3737">
        <v>1</v>
      </c>
    </row>
    <row r="3738" spans="1:2">
      <c r="A3738" s="10" t="s">
        <v>2436</v>
      </c>
      <c r="B3738">
        <v>1</v>
      </c>
    </row>
    <row r="3739" spans="1:2">
      <c r="A3739" s="10" t="s">
        <v>2436</v>
      </c>
      <c r="B3739">
        <v>1</v>
      </c>
    </row>
    <row r="3740" spans="1:2">
      <c r="A3740" s="10" t="s">
        <v>2436</v>
      </c>
      <c r="B3740">
        <v>1</v>
      </c>
    </row>
    <row r="3741" spans="1:2">
      <c r="A3741" s="10" t="s">
        <v>2436</v>
      </c>
      <c r="B3741">
        <v>1</v>
      </c>
    </row>
    <row r="3742" spans="1:2">
      <c r="A3742" s="10" t="s">
        <v>2436</v>
      </c>
      <c r="B3742">
        <v>1</v>
      </c>
    </row>
    <row r="3743" spans="1:2">
      <c r="A3743" s="10" t="s">
        <v>2436</v>
      </c>
      <c r="B3743">
        <v>1</v>
      </c>
    </row>
    <row r="3744" spans="1:2">
      <c r="A3744" s="10" t="s">
        <v>2436</v>
      </c>
      <c r="B3744">
        <v>1</v>
      </c>
    </row>
    <row r="3745" spans="1:2">
      <c r="A3745" s="10" t="s">
        <v>2436</v>
      </c>
      <c r="B3745">
        <v>1</v>
      </c>
    </row>
    <row r="3746" spans="1:2">
      <c r="A3746" s="10" t="s">
        <v>2450</v>
      </c>
      <c r="B3746">
        <v>1</v>
      </c>
    </row>
    <row r="3747" spans="1:2">
      <c r="A3747" s="10" t="s">
        <v>2450</v>
      </c>
      <c r="B3747">
        <v>1</v>
      </c>
    </row>
    <row r="3748" spans="1:2">
      <c r="A3748" s="10" t="s">
        <v>2436</v>
      </c>
      <c r="B3748">
        <v>1</v>
      </c>
    </row>
    <row r="3749" spans="1:2">
      <c r="A3749" s="10" t="s">
        <v>2436</v>
      </c>
      <c r="B3749">
        <v>1</v>
      </c>
    </row>
    <row r="3750" spans="1:2">
      <c r="A3750" s="10" t="s">
        <v>2450</v>
      </c>
      <c r="B3750">
        <v>1</v>
      </c>
    </row>
    <row r="3751" spans="1:2">
      <c r="A3751" s="10" t="s">
        <v>2457</v>
      </c>
      <c r="B3751">
        <v>2</v>
      </c>
    </row>
    <row r="3752" spans="1:2">
      <c r="A3752" s="10" t="s">
        <v>2460</v>
      </c>
      <c r="B3752">
        <v>1</v>
      </c>
    </row>
    <row r="3753" spans="1:2">
      <c r="A3753" s="10" t="s">
        <v>2436</v>
      </c>
      <c r="B3753">
        <v>1</v>
      </c>
    </row>
    <row r="3754" spans="1:2">
      <c r="A3754" s="10" t="s">
        <v>2436</v>
      </c>
      <c r="B3754">
        <v>1</v>
      </c>
    </row>
    <row r="3755" spans="1:2">
      <c r="A3755" s="10" t="s">
        <v>2440</v>
      </c>
      <c r="B3755">
        <v>0.5</v>
      </c>
    </row>
    <row r="3756" spans="1:2">
      <c r="A3756" s="10" t="s">
        <v>2436</v>
      </c>
      <c r="B3756">
        <v>1</v>
      </c>
    </row>
    <row r="3757" spans="1:2">
      <c r="A3757" s="10" t="s">
        <v>2436</v>
      </c>
      <c r="B3757">
        <v>1</v>
      </c>
    </row>
    <row r="3758" spans="1:2">
      <c r="A3758" s="10" t="s">
        <v>2440</v>
      </c>
      <c r="B3758">
        <v>0.5</v>
      </c>
    </row>
    <row r="3759" spans="1:2">
      <c r="A3759" s="10" t="s">
        <v>2436</v>
      </c>
      <c r="B3759">
        <v>1</v>
      </c>
    </row>
    <row r="3760" spans="1:2">
      <c r="A3760" s="10" t="s">
        <v>2436</v>
      </c>
      <c r="B3760">
        <v>1</v>
      </c>
    </row>
    <row r="3761" spans="1:2">
      <c r="A3761" s="10" t="s">
        <v>2672</v>
      </c>
      <c r="B3761">
        <v>1</v>
      </c>
    </row>
    <row r="3762" spans="1:2">
      <c r="A3762" s="10" t="s">
        <v>2450</v>
      </c>
      <c r="B3762">
        <v>1</v>
      </c>
    </row>
    <row r="3763" spans="1:2">
      <c r="A3763" s="10" t="s">
        <v>2436</v>
      </c>
      <c r="B3763">
        <v>1</v>
      </c>
    </row>
    <row r="3764" spans="1:2">
      <c r="A3764" s="10" t="s">
        <v>2436</v>
      </c>
      <c r="B3764">
        <v>1</v>
      </c>
    </row>
    <row r="3765" spans="1:2">
      <c r="A3765" s="10" t="s">
        <v>2436</v>
      </c>
      <c r="B3765">
        <v>1</v>
      </c>
    </row>
    <row r="3766" spans="1:2">
      <c r="A3766" s="10" t="s">
        <v>2436</v>
      </c>
      <c r="B3766">
        <v>1</v>
      </c>
    </row>
    <row r="3767" spans="1:2">
      <c r="A3767" s="10" t="s">
        <v>2436</v>
      </c>
      <c r="B3767">
        <v>1</v>
      </c>
    </row>
    <row r="3768" spans="1:2">
      <c r="A3768" s="10" t="s">
        <v>2436</v>
      </c>
      <c r="B3768">
        <v>1</v>
      </c>
    </row>
    <row r="3769" spans="1:2">
      <c r="A3769" s="10" t="s">
        <v>40</v>
      </c>
      <c r="B3769">
        <v>1</v>
      </c>
    </row>
    <row r="3770" spans="1:2">
      <c r="A3770" s="10" t="s">
        <v>2436</v>
      </c>
      <c r="B3770">
        <v>1</v>
      </c>
    </row>
    <row r="3771" spans="1:2">
      <c r="A3771" s="10" t="s">
        <v>2436</v>
      </c>
      <c r="B3771">
        <v>1</v>
      </c>
    </row>
    <row r="3772" spans="1:2">
      <c r="A3772" s="10" t="s">
        <v>2436</v>
      </c>
      <c r="B3772">
        <v>1</v>
      </c>
    </row>
    <row r="3773" spans="1:2">
      <c r="A3773" s="10" t="s">
        <v>2436</v>
      </c>
      <c r="B3773">
        <v>1</v>
      </c>
    </row>
    <row r="3774" spans="1:2">
      <c r="A3774" s="10" t="s">
        <v>2436</v>
      </c>
      <c r="B3774">
        <v>1</v>
      </c>
    </row>
    <row r="3775" spans="1:2">
      <c r="A3775" s="10" t="s">
        <v>2436</v>
      </c>
      <c r="B3775">
        <v>1</v>
      </c>
    </row>
    <row r="3776" spans="1:2">
      <c r="A3776" s="10" t="s">
        <v>2436</v>
      </c>
      <c r="B3776">
        <v>1</v>
      </c>
    </row>
    <row r="3777" spans="1:2">
      <c r="A3777" s="10" t="s">
        <v>2436</v>
      </c>
      <c r="B3777">
        <v>1</v>
      </c>
    </row>
    <row r="3778" spans="1:2">
      <c r="A3778" s="10" t="s">
        <v>2436</v>
      </c>
      <c r="B3778">
        <v>1</v>
      </c>
    </row>
    <row r="3779" spans="1:2">
      <c r="A3779" s="10" t="s">
        <v>2436</v>
      </c>
      <c r="B3779">
        <v>1</v>
      </c>
    </row>
    <row r="3780" spans="1:2">
      <c r="A3780" s="10" t="s">
        <v>2436</v>
      </c>
      <c r="B3780">
        <v>1</v>
      </c>
    </row>
    <row r="3781" spans="1:2">
      <c r="A3781" s="10" t="s">
        <v>2436</v>
      </c>
      <c r="B3781">
        <v>1</v>
      </c>
    </row>
    <row r="3782" spans="1:2">
      <c r="A3782" s="10" t="s">
        <v>2436</v>
      </c>
      <c r="B3782">
        <v>1</v>
      </c>
    </row>
    <row r="3783" spans="1:2">
      <c r="A3783" s="10" t="s">
        <v>2436</v>
      </c>
      <c r="B3783">
        <v>1</v>
      </c>
    </row>
    <row r="3784" spans="1:2">
      <c r="A3784" s="10" t="s">
        <v>2436</v>
      </c>
      <c r="B3784">
        <v>1</v>
      </c>
    </row>
    <row r="3785" spans="1:2">
      <c r="A3785" s="10" t="s">
        <v>2436</v>
      </c>
      <c r="B3785">
        <v>1</v>
      </c>
    </row>
    <row r="3786" spans="1:2">
      <c r="A3786" s="10" t="s">
        <v>2436</v>
      </c>
      <c r="B3786">
        <v>1</v>
      </c>
    </row>
    <row r="3787" spans="1:2">
      <c r="A3787" s="10" t="s">
        <v>2436</v>
      </c>
      <c r="B3787">
        <v>1</v>
      </c>
    </row>
    <row r="3788" spans="1:2">
      <c r="A3788" s="10" t="s">
        <v>2436</v>
      </c>
      <c r="B3788">
        <v>1</v>
      </c>
    </row>
    <row r="3789" spans="1:2">
      <c r="A3789" s="10" t="s">
        <v>2436</v>
      </c>
      <c r="B3789">
        <v>1</v>
      </c>
    </row>
    <row r="3790" spans="1:2">
      <c r="A3790" s="10" t="s">
        <v>2436</v>
      </c>
      <c r="B3790">
        <v>1</v>
      </c>
    </row>
    <row r="3791" spans="1:2">
      <c r="A3791" s="10" t="s">
        <v>2436</v>
      </c>
      <c r="B3791">
        <v>1</v>
      </c>
    </row>
    <row r="3792" spans="1:2">
      <c r="A3792" s="10" t="s">
        <v>2436</v>
      </c>
      <c r="B3792">
        <v>1</v>
      </c>
    </row>
    <row r="3793" spans="1:2">
      <c r="A3793" s="10" t="s">
        <v>2436</v>
      </c>
      <c r="B3793">
        <v>1</v>
      </c>
    </row>
    <row r="3794" spans="1:2">
      <c r="A3794" s="10" t="s">
        <v>2450</v>
      </c>
      <c r="B3794">
        <v>1</v>
      </c>
    </row>
    <row r="3795" spans="1:2">
      <c r="A3795" s="10" t="s">
        <v>2436</v>
      </c>
      <c r="B3795">
        <v>1</v>
      </c>
    </row>
    <row r="3796" spans="1:2">
      <c r="A3796" s="10" t="s">
        <v>2436</v>
      </c>
      <c r="B3796">
        <v>1</v>
      </c>
    </row>
    <row r="3797" spans="1:2">
      <c r="A3797" s="10" t="s">
        <v>2454</v>
      </c>
      <c r="B3797">
        <v>1</v>
      </c>
    </row>
    <row r="3798" spans="1:2">
      <c r="A3798" s="10" t="s">
        <v>2436</v>
      </c>
      <c r="B3798">
        <v>1</v>
      </c>
    </row>
    <row r="3799" spans="1:2">
      <c r="A3799" s="10" t="s">
        <v>2436</v>
      </c>
      <c r="B3799">
        <v>1</v>
      </c>
    </row>
    <row r="3800" spans="1:2">
      <c r="A3800" s="10" t="s">
        <v>2457</v>
      </c>
      <c r="B3800">
        <v>2</v>
      </c>
    </row>
    <row r="3801" spans="1:2">
      <c r="A3801" s="10" t="s">
        <v>2460</v>
      </c>
      <c r="B3801">
        <v>1</v>
      </c>
    </row>
    <row r="3802" spans="1:2">
      <c r="A3802" s="10" t="s">
        <v>20</v>
      </c>
      <c r="B3802">
        <v>1</v>
      </c>
    </row>
    <row r="3803" spans="1:2">
      <c r="A3803" s="10" t="s">
        <v>2436</v>
      </c>
      <c r="B3803">
        <v>1</v>
      </c>
    </row>
    <row r="3804" spans="1:2">
      <c r="A3804" s="10" t="s">
        <v>2626</v>
      </c>
      <c r="B3804">
        <v>1</v>
      </c>
    </row>
    <row r="3805" spans="1:2">
      <c r="A3805" s="10" t="s">
        <v>2436</v>
      </c>
      <c r="B3805">
        <v>1</v>
      </c>
    </row>
    <row r="3806" spans="1:2">
      <c r="A3806" s="10" t="s">
        <v>2436</v>
      </c>
      <c r="B3806">
        <v>1</v>
      </c>
    </row>
    <row r="3807" spans="1:2">
      <c r="A3807" s="10" t="s">
        <v>2436</v>
      </c>
      <c r="B3807">
        <v>1</v>
      </c>
    </row>
    <row r="3808" spans="1:2">
      <c r="A3808" s="10" t="s">
        <v>2507</v>
      </c>
      <c r="B3808">
        <v>4</v>
      </c>
    </row>
    <row r="3809" spans="1:2">
      <c r="A3809" s="10" t="s">
        <v>2457</v>
      </c>
      <c r="B3809">
        <v>2</v>
      </c>
    </row>
    <row r="3810" spans="1:2">
      <c r="A3810" s="10" t="s">
        <v>2460</v>
      </c>
      <c r="B3810">
        <v>1</v>
      </c>
    </row>
    <row r="3811" spans="1:2">
      <c r="A3811" s="10" t="s">
        <v>32</v>
      </c>
      <c r="B3811">
        <v>1</v>
      </c>
    </row>
    <row r="3812" spans="1:2">
      <c r="A3812" s="10" t="s">
        <v>2436</v>
      </c>
      <c r="B3812">
        <v>1</v>
      </c>
    </row>
    <row r="3813" spans="1:2">
      <c r="A3813" s="10" t="s">
        <v>2450</v>
      </c>
      <c r="B3813">
        <v>1</v>
      </c>
    </row>
    <row r="3814" spans="1:2">
      <c r="A3814" s="10" t="s">
        <v>2436</v>
      </c>
      <c r="B3814">
        <v>1</v>
      </c>
    </row>
    <row r="3815" spans="1:2">
      <c r="A3815" s="10" t="s">
        <v>20</v>
      </c>
      <c r="B3815">
        <v>1</v>
      </c>
    </row>
    <row r="3816" spans="1:2">
      <c r="A3816" s="10" t="s">
        <v>2507</v>
      </c>
      <c r="B3816">
        <v>4</v>
      </c>
    </row>
    <row r="3817" spans="1:2">
      <c r="A3817" s="10" t="s">
        <v>2457</v>
      </c>
      <c r="B3817">
        <v>2</v>
      </c>
    </row>
    <row r="3818" spans="1:2">
      <c r="A3818" s="10" t="s">
        <v>2460</v>
      </c>
      <c r="B3818">
        <v>1</v>
      </c>
    </row>
    <row r="3819" spans="1:2">
      <c r="A3819" s="10" t="s">
        <v>2436</v>
      </c>
      <c r="B3819">
        <v>1</v>
      </c>
    </row>
    <row r="3820" spans="1:2">
      <c r="A3820" s="10" t="s">
        <v>2436</v>
      </c>
      <c r="B3820">
        <v>1</v>
      </c>
    </row>
    <row r="3821" spans="1:2">
      <c r="A3821" s="10" t="s">
        <v>2626</v>
      </c>
      <c r="B3821">
        <v>1</v>
      </c>
    </row>
    <row r="3822" spans="1:2">
      <c r="A3822" s="10" t="s">
        <v>2517</v>
      </c>
      <c r="B3822">
        <v>1</v>
      </c>
    </row>
    <row r="3823" spans="1:2">
      <c r="A3823" s="10" t="s">
        <v>2517</v>
      </c>
      <c r="B3823">
        <v>1</v>
      </c>
    </row>
    <row r="3824" spans="1:2">
      <c r="A3824" s="10" t="s">
        <v>2436</v>
      </c>
      <c r="B3824">
        <v>1</v>
      </c>
    </row>
    <row r="3825" spans="1:2">
      <c r="A3825" s="10" t="s">
        <v>2436</v>
      </c>
      <c r="B3825">
        <v>1</v>
      </c>
    </row>
    <row r="3826" spans="1:2">
      <c r="A3826" s="10" t="s">
        <v>2436</v>
      </c>
      <c r="B3826">
        <v>1</v>
      </c>
    </row>
    <row r="3827" spans="1:2">
      <c r="A3827" s="10" t="s">
        <v>2436</v>
      </c>
      <c r="B3827">
        <v>1</v>
      </c>
    </row>
    <row r="3828" spans="1:2">
      <c r="A3828" s="10" t="s">
        <v>2436</v>
      </c>
      <c r="B3828">
        <v>1</v>
      </c>
    </row>
    <row r="3829" spans="1:2">
      <c r="A3829" s="10" t="s">
        <v>2436</v>
      </c>
      <c r="B3829">
        <v>1</v>
      </c>
    </row>
    <row r="3830" spans="1:2">
      <c r="A3830" s="10" t="s">
        <v>2457</v>
      </c>
      <c r="B3830">
        <v>2</v>
      </c>
    </row>
    <row r="3831" spans="1:2">
      <c r="A3831" s="10" t="s">
        <v>2460</v>
      </c>
      <c r="B3831">
        <v>1</v>
      </c>
    </row>
    <row r="3832" spans="1:2">
      <c r="A3832" s="10" t="s">
        <v>20</v>
      </c>
      <c r="B3832">
        <v>1</v>
      </c>
    </row>
    <row r="3833" spans="1:2">
      <c r="A3833" s="10" t="s">
        <v>2454</v>
      </c>
      <c r="B3833">
        <v>1</v>
      </c>
    </row>
    <row r="3834" spans="1:2">
      <c r="A3834" s="10" t="s">
        <v>2457</v>
      </c>
      <c r="B3834">
        <v>2</v>
      </c>
    </row>
    <row r="3835" spans="1:2">
      <c r="A3835" s="10" t="s">
        <v>2460</v>
      </c>
      <c r="B3835">
        <v>1</v>
      </c>
    </row>
    <row r="3836" spans="1:2">
      <c r="A3836" s="10" t="s">
        <v>2436</v>
      </c>
      <c r="B3836">
        <v>1</v>
      </c>
    </row>
    <row r="3837" spans="1:2">
      <c r="A3837" s="10" t="s">
        <v>2436</v>
      </c>
      <c r="B3837">
        <v>1</v>
      </c>
    </row>
    <row r="3838" spans="1:2">
      <c r="A3838" s="10" t="s">
        <v>2436</v>
      </c>
      <c r="B3838">
        <v>1</v>
      </c>
    </row>
    <row r="3839" spans="1:2">
      <c r="A3839" s="10" t="s">
        <v>2436</v>
      </c>
      <c r="B3839">
        <v>1</v>
      </c>
    </row>
    <row r="3840" spans="1:2">
      <c r="A3840" s="10" t="s">
        <v>2436</v>
      </c>
      <c r="B3840">
        <v>1</v>
      </c>
    </row>
    <row r="3841" spans="1:2">
      <c r="A3841" s="10" t="s">
        <v>2440</v>
      </c>
      <c r="B3841">
        <v>0.5</v>
      </c>
    </row>
    <row r="3842" spans="1:2">
      <c r="A3842" s="10" t="s">
        <v>2436</v>
      </c>
      <c r="B3842">
        <v>1</v>
      </c>
    </row>
    <row r="3843" spans="1:2">
      <c r="A3843" s="10" t="s">
        <v>2436</v>
      </c>
      <c r="B3843">
        <v>1</v>
      </c>
    </row>
    <row r="3844" spans="1:2">
      <c r="A3844" s="10" t="s">
        <v>2457</v>
      </c>
      <c r="B3844">
        <v>2</v>
      </c>
    </row>
    <row r="3845" spans="1:2">
      <c r="A3845" s="10" t="s">
        <v>2460</v>
      </c>
      <c r="B3845">
        <v>1</v>
      </c>
    </row>
    <row r="3846" spans="1:2">
      <c r="A3846" s="10" t="s">
        <v>2436</v>
      </c>
      <c r="B3846">
        <v>1</v>
      </c>
    </row>
    <row r="3847" spans="1:2">
      <c r="A3847" s="10" t="s">
        <v>2436</v>
      </c>
      <c r="B3847">
        <v>1</v>
      </c>
    </row>
    <row r="3848" spans="1:2">
      <c r="A3848" s="10" t="s">
        <v>2440</v>
      </c>
      <c r="B3848">
        <v>0.5</v>
      </c>
    </row>
    <row r="3849" spans="1:2">
      <c r="A3849" s="10" t="s">
        <v>2436</v>
      </c>
      <c r="B3849">
        <v>1</v>
      </c>
    </row>
    <row r="3850" spans="1:2">
      <c r="A3850" s="10" t="s">
        <v>2436</v>
      </c>
      <c r="B3850">
        <v>1</v>
      </c>
    </row>
    <row r="3851" spans="1:2">
      <c r="A3851" s="10" t="s">
        <v>3166</v>
      </c>
      <c r="B3851">
        <v>1</v>
      </c>
    </row>
    <row r="3852" spans="1:2">
      <c r="A3852" s="10" t="s">
        <v>2672</v>
      </c>
      <c r="B3852">
        <v>1</v>
      </c>
    </row>
    <row r="3853" spans="1:2">
      <c r="A3853" s="10" t="s">
        <v>2450</v>
      </c>
      <c r="B3853">
        <v>1</v>
      </c>
    </row>
    <row r="3854" spans="1:2">
      <c r="A3854" s="10" t="s">
        <v>2436</v>
      </c>
      <c r="B3854">
        <v>1</v>
      </c>
    </row>
    <row r="3855" spans="1:2">
      <c r="A3855" s="10" t="s">
        <v>2436</v>
      </c>
      <c r="B3855">
        <v>1</v>
      </c>
    </row>
    <row r="3856" spans="1:2">
      <c r="A3856" s="10" t="s">
        <v>2517</v>
      </c>
      <c r="B3856">
        <v>1</v>
      </c>
    </row>
    <row r="3857" spans="1:2">
      <c r="A3857" s="10" t="s">
        <v>2436</v>
      </c>
      <c r="B3857">
        <v>1</v>
      </c>
    </row>
    <row r="3858" spans="1:2">
      <c r="A3858" s="10" t="s">
        <v>2436</v>
      </c>
      <c r="B3858">
        <v>1</v>
      </c>
    </row>
    <row r="3859" spans="1:2">
      <c r="A3859" s="10" t="s">
        <v>2457</v>
      </c>
      <c r="B3859">
        <v>2</v>
      </c>
    </row>
    <row r="3860" spans="1:2">
      <c r="A3860" s="10" t="s">
        <v>2460</v>
      </c>
      <c r="B3860">
        <v>1</v>
      </c>
    </row>
    <row r="3861" spans="1:2">
      <c r="A3861" s="10" t="s">
        <v>2436</v>
      </c>
      <c r="B3861">
        <v>1</v>
      </c>
    </row>
    <row r="3862" spans="1:2">
      <c r="A3862" s="10" t="s">
        <v>2436</v>
      </c>
      <c r="B3862">
        <v>1</v>
      </c>
    </row>
    <row r="3863" spans="1:2">
      <c r="A3863" s="10" t="s">
        <v>2450</v>
      </c>
      <c r="B3863">
        <v>1</v>
      </c>
    </row>
    <row r="3864" spans="1:2">
      <c r="A3864" s="10" t="s">
        <v>2436</v>
      </c>
      <c r="B3864">
        <v>1</v>
      </c>
    </row>
    <row r="3865" spans="1:2">
      <c r="A3865" s="10" t="s">
        <v>2450</v>
      </c>
      <c r="B3865">
        <v>1</v>
      </c>
    </row>
    <row r="3866" spans="1:2">
      <c r="A3866" s="10" t="s">
        <v>2436</v>
      </c>
      <c r="B3866">
        <v>1</v>
      </c>
    </row>
    <row r="3867" spans="1:2">
      <c r="A3867" s="10" t="s">
        <v>2436</v>
      </c>
      <c r="B3867">
        <v>1</v>
      </c>
    </row>
    <row r="3868" spans="1:2">
      <c r="A3868" s="10" t="s">
        <v>2436</v>
      </c>
      <c r="B3868">
        <v>1</v>
      </c>
    </row>
    <row r="3869" spans="1:2">
      <c r="A3869" s="10" t="s">
        <v>2436</v>
      </c>
      <c r="B3869">
        <v>1</v>
      </c>
    </row>
    <row r="3870" spans="1:2">
      <c r="A3870" s="10" t="s">
        <v>2436</v>
      </c>
      <c r="B3870">
        <v>1</v>
      </c>
    </row>
    <row r="3871" spans="1:2">
      <c r="A3871" s="10" t="s">
        <v>2436</v>
      </c>
      <c r="B3871">
        <v>1</v>
      </c>
    </row>
    <row r="3872" spans="1:2">
      <c r="A3872" s="10" t="s">
        <v>2436</v>
      </c>
      <c r="B3872">
        <v>1</v>
      </c>
    </row>
    <row r="3873" spans="1:2">
      <c r="A3873" s="10" t="s">
        <v>2436</v>
      </c>
      <c r="B3873">
        <v>1</v>
      </c>
    </row>
    <row r="3874" spans="1:2">
      <c r="A3874" s="10" t="s">
        <v>2457</v>
      </c>
      <c r="B3874">
        <v>2</v>
      </c>
    </row>
    <row r="3875" spans="1:2">
      <c r="A3875" s="10" t="s">
        <v>2460</v>
      </c>
      <c r="B3875">
        <v>1</v>
      </c>
    </row>
    <row r="3876" spans="1:2">
      <c r="A3876" s="10" t="s">
        <v>2457</v>
      </c>
      <c r="B3876">
        <v>2</v>
      </c>
    </row>
    <row r="3877" spans="1:2">
      <c r="A3877" s="10" t="s">
        <v>2460</v>
      </c>
      <c r="B3877">
        <v>1</v>
      </c>
    </row>
    <row r="3878" spans="1:2">
      <c r="A3878" s="10" t="s">
        <v>2440</v>
      </c>
      <c r="B3878">
        <v>0.5</v>
      </c>
    </row>
    <row r="3879" spans="1:2">
      <c r="A3879" s="10" t="s">
        <v>2436</v>
      </c>
      <c r="B3879">
        <v>1</v>
      </c>
    </row>
    <row r="3880" spans="1:2">
      <c r="A3880" s="10" t="s">
        <v>2436</v>
      </c>
      <c r="B3880">
        <v>1</v>
      </c>
    </row>
    <row r="3881" spans="1:2">
      <c r="A3881" s="10" t="s">
        <v>32</v>
      </c>
      <c r="B3881">
        <v>1</v>
      </c>
    </row>
    <row r="3882" spans="1:2">
      <c r="A3882" s="10" t="s">
        <v>2653</v>
      </c>
      <c r="B3882">
        <v>1</v>
      </c>
    </row>
    <row r="3883" spans="1:2">
      <c r="A3883" s="10" t="s">
        <v>2436</v>
      </c>
      <c r="B3883">
        <v>1</v>
      </c>
    </row>
    <row r="3884" spans="1:2">
      <c r="A3884" s="10" t="s">
        <v>4373</v>
      </c>
      <c r="B3884">
        <v>1</v>
      </c>
    </row>
    <row r="3885" spans="1:2">
      <c r="A3885" s="10" t="s">
        <v>2653</v>
      </c>
      <c r="B3885">
        <v>1</v>
      </c>
    </row>
    <row r="3886" spans="1:2">
      <c r="A3886" s="10" t="s">
        <v>2436</v>
      </c>
      <c r="B3886">
        <v>1</v>
      </c>
    </row>
    <row r="3887" spans="1:2">
      <c r="A3887" s="10" t="s">
        <v>2588</v>
      </c>
      <c r="B3887">
        <v>1</v>
      </c>
    </row>
    <row r="3888" spans="1:2">
      <c r="A3888" s="10" t="s">
        <v>2450</v>
      </c>
      <c r="B3888">
        <v>1</v>
      </c>
    </row>
    <row r="3889" spans="1:2">
      <c r="A3889" s="10" t="s">
        <v>2436</v>
      </c>
      <c r="B3889">
        <v>1</v>
      </c>
    </row>
    <row r="3890" spans="1:2">
      <c r="A3890" s="10" t="s">
        <v>2626</v>
      </c>
      <c r="B3890">
        <v>1</v>
      </c>
    </row>
    <row r="3891" spans="1:2">
      <c r="A3891" s="10" t="s">
        <v>2436</v>
      </c>
      <c r="B3891">
        <v>1</v>
      </c>
    </row>
    <row r="3892" spans="1:2">
      <c r="A3892" s="10" t="s">
        <v>2672</v>
      </c>
      <c r="B3892">
        <v>1</v>
      </c>
    </row>
    <row r="3893" spans="1:2">
      <c r="A3893" s="10" t="s">
        <v>2450</v>
      </c>
      <c r="B3893">
        <v>1</v>
      </c>
    </row>
    <row r="3894" spans="1:2">
      <c r="A3894" s="10" t="s">
        <v>2440</v>
      </c>
      <c r="B3894">
        <v>0.5</v>
      </c>
    </row>
    <row r="3895" spans="1:2">
      <c r="A3895" s="10" t="s">
        <v>2436</v>
      </c>
      <c r="B3895">
        <v>1</v>
      </c>
    </row>
    <row r="3896" spans="1:2">
      <c r="A3896" s="10" t="s">
        <v>2436</v>
      </c>
      <c r="B3896">
        <v>1</v>
      </c>
    </row>
    <row r="3897" spans="1:2">
      <c r="A3897" s="10" t="s">
        <v>2436</v>
      </c>
      <c r="B3897">
        <v>1</v>
      </c>
    </row>
    <row r="3898" spans="1:2">
      <c r="A3898" s="10" t="s">
        <v>2436</v>
      </c>
      <c r="B3898">
        <v>1</v>
      </c>
    </row>
    <row r="3899" spans="1:2">
      <c r="A3899" s="10" t="s">
        <v>2436</v>
      </c>
      <c r="B3899">
        <v>1</v>
      </c>
    </row>
    <row r="3900" spans="1:2">
      <c r="A3900" s="10" t="s">
        <v>2436</v>
      </c>
      <c r="B3900">
        <v>1</v>
      </c>
    </row>
    <row r="3901" spans="1:2">
      <c r="A3901" s="10" t="s">
        <v>2436</v>
      </c>
      <c r="B3901">
        <v>1</v>
      </c>
    </row>
    <row r="3902" spans="1:2">
      <c r="A3902" s="10" t="s">
        <v>2450</v>
      </c>
      <c r="B3902">
        <v>1</v>
      </c>
    </row>
    <row r="3903" spans="1:2">
      <c r="A3903" s="10" t="s">
        <v>2672</v>
      </c>
      <c r="B3903">
        <v>1</v>
      </c>
    </row>
    <row r="3904" spans="1:2">
      <c r="A3904" s="10" t="s">
        <v>2450</v>
      </c>
      <c r="B3904">
        <v>1</v>
      </c>
    </row>
    <row r="3905" spans="1:2">
      <c r="A3905" s="10" t="s">
        <v>2436</v>
      </c>
      <c r="B3905">
        <v>1</v>
      </c>
    </row>
    <row r="3906" spans="1:2">
      <c r="A3906" s="10" t="s">
        <v>2436</v>
      </c>
      <c r="B3906">
        <v>1</v>
      </c>
    </row>
    <row r="3907" spans="1:2">
      <c r="A3907" s="10" t="s">
        <v>2450</v>
      </c>
      <c r="B3907">
        <v>1</v>
      </c>
    </row>
    <row r="3908" spans="1:2">
      <c r="A3908" s="10" t="s">
        <v>2457</v>
      </c>
      <c r="B3908">
        <v>2</v>
      </c>
    </row>
    <row r="3909" spans="1:2">
      <c r="A3909" s="10" t="s">
        <v>2460</v>
      </c>
      <c r="B3909">
        <v>1</v>
      </c>
    </row>
    <row r="3910" spans="1:2">
      <c r="A3910" s="10" t="s">
        <v>2436</v>
      </c>
      <c r="B3910">
        <v>1</v>
      </c>
    </row>
    <row r="3911" spans="1:2">
      <c r="A3911" s="10" t="s">
        <v>2440</v>
      </c>
      <c r="B3911">
        <v>0.5</v>
      </c>
    </row>
    <row r="3912" spans="1:2">
      <c r="A3912" s="10" t="s">
        <v>2436</v>
      </c>
      <c r="B3912">
        <v>1</v>
      </c>
    </row>
    <row r="3913" spans="1:2">
      <c r="A3913" s="10" t="s">
        <v>2436</v>
      </c>
      <c r="B3913">
        <v>1</v>
      </c>
    </row>
    <row r="3914" spans="1:2">
      <c r="A3914" s="10" t="s">
        <v>2440</v>
      </c>
      <c r="B3914">
        <v>0.5</v>
      </c>
    </row>
    <row r="3915" spans="1:2">
      <c r="A3915" s="10" t="s">
        <v>2450</v>
      </c>
      <c r="B3915">
        <v>1</v>
      </c>
    </row>
    <row r="3916" spans="1:2">
      <c r="A3916" s="10" t="s">
        <v>2436</v>
      </c>
      <c r="B3916">
        <v>1</v>
      </c>
    </row>
    <row r="3917" spans="1:2">
      <c r="A3917" s="10" t="s">
        <v>2436</v>
      </c>
      <c r="B3917">
        <v>1</v>
      </c>
    </row>
    <row r="3918" spans="1:2">
      <c r="A3918" s="10" t="s">
        <v>2672</v>
      </c>
      <c r="B3918">
        <v>1</v>
      </c>
    </row>
    <row r="3919" spans="1:2">
      <c r="A3919" s="10" t="s">
        <v>2436</v>
      </c>
      <c r="B3919">
        <v>1</v>
      </c>
    </row>
    <row r="3920" spans="1:2">
      <c r="A3920" s="10" t="s">
        <v>2436</v>
      </c>
      <c r="B3920">
        <v>1</v>
      </c>
    </row>
    <row r="3921" spans="1:2">
      <c r="A3921" s="10" t="s">
        <v>2436</v>
      </c>
      <c r="B3921">
        <v>1</v>
      </c>
    </row>
    <row r="3922" spans="1:2">
      <c r="A3922" s="10" t="s">
        <v>2436</v>
      </c>
      <c r="B3922">
        <v>1</v>
      </c>
    </row>
    <row r="3923" spans="1:2">
      <c r="A3923" s="10" t="s">
        <v>2436</v>
      </c>
      <c r="B3923">
        <v>1</v>
      </c>
    </row>
    <row r="3924" spans="1:2">
      <c r="A3924" s="10" t="s">
        <v>2436</v>
      </c>
      <c r="B3924">
        <v>1</v>
      </c>
    </row>
    <row r="3925" spans="1:2">
      <c r="A3925" s="10" t="s">
        <v>40</v>
      </c>
      <c r="B3925">
        <v>1</v>
      </c>
    </row>
    <row r="3926" spans="1:2">
      <c r="A3926" s="10" t="s">
        <v>2436</v>
      </c>
      <c r="B3926">
        <v>1</v>
      </c>
    </row>
    <row r="3927" spans="1:2">
      <c r="A3927" s="10" t="s">
        <v>2436</v>
      </c>
      <c r="B3927">
        <v>1</v>
      </c>
    </row>
    <row r="3928" spans="1:2">
      <c r="A3928" s="10" t="s">
        <v>2436</v>
      </c>
      <c r="B3928">
        <v>1</v>
      </c>
    </row>
    <row r="3929" spans="1:2">
      <c r="A3929" s="10" t="s">
        <v>2436</v>
      </c>
      <c r="B3929">
        <v>1</v>
      </c>
    </row>
    <row r="3930" spans="1:2">
      <c r="A3930" s="10" t="s">
        <v>2436</v>
      </c>
      <c r="B3930">
        <v>1</v>
      </c>
    </row>
    <row r="3931" spans="1:2">
      <c r="A3931" s="10" t="s">
        <v>2436</v>
      </c>
      <c r="B3931">
        <v>1</v>
      </c>
    </row>
    <row r="3932" spans="1:2">
      <c r="A3932" s="10" t="s">
        <v>2436</v>
      </c>
      <c r="B3932">
        <v>1</v>
      </c>
    </row>
    <row r="3933" spans="1:2">
      <c r="A3933" s="10" t="s">
        <v>2450</v>
      </c>
      <c r="B3933">
        <v>1</v>
      </c>
    </row>
    <row r="3934" spans="1:2">
      <c r="A3934" s="10" t="s">
        <v>2436</v>
      </c>
      <c r="B3934">
        <v>1</v>
      </c>
    </row>
    <row r="3935" spans="1:2">
      <c r="A3935" s="10" t="s">
        <v>2436</v>
      </c>
      <c r="B3935">
        <v>1</v>
      </c>
    </row>
    <row r="3936" spans="1:2">
      <c r="A3936" s="10" t="s">
        <v>2436</v>
      </c>
      <c r="B3936">
        <v>1</v>
      </c>
    </row>
    <row r="3937" spans="1:2">
      <c r="A3937" s="10" t="s">
        <v>2436</v>
      </c>
      <c r="B3937">
        <v>1</v>
      </c>
    </row>
    <row r="3938" spans="1:2">
      <c r="A3938" s="10" t="s">
        <v>2436</v>
      </c>
      <c r="B3938">
        <v>1</v>
      </c>
    </row>
    <row r="3939" spans="1:2">
      <c r="A3939" s="10" t="s">
        <v>2436</v>
      </c>
      <c r="B3939">
        <v>1</v>
      </c>
    </row>
    <row r="3940" spans="1:2">
      <c r="A3940" s="10" t="s">
        <v>2436</v>
      </c>
      <c r="B3940">
        <v>1</v>
      </c>
    </row>
    <row r="3941" spans="1:2">
      <c r="A3941" s="10" t="s">
        <v>2436</v>
      </c>
      <c r="B3941">
        <v>1</v>
      </c>
    </row>
    <row r="3942" spans="1:2">
      <c r="A3942" s="10" t="s">
        <v>2436</v>
      </c>
      <c r="B3942">
        <v>1</v>
      </c>
    </row>
    <row r="3943" spans="1:2">
      <c r="A3943" s="10" t="s">
        <v>2436</v>
      </c>
      <c r="B3943">
        <v>1</v>
      </c>
    </row>
    <row r="3944" spans="1:2">
      <c r="A3944" s="10" t="s">
        <v>2436</v>
      </c>
      <c r="B3944">
        <v>1</v>
      </c>
    </row>
    <row r="3945" spans="1:2">
      <c r="A3945" s="10" t="s">
        <v>2436</v>
      </c>
      <c r="B3945">
        <v>1</v>
      </c>
    </row>
    <row r="3946" spans="1:2">
      <c r="A3946" s="10" t="s">
        <v>2436</v>
      </c>
      <c r="B3946">
        <v>1</v>
      </c>
    </row>
    <row r="3947" spans="1:2">
      <c r="A3947" s="10" t="s">
        <v>2436</v>
      </c>
      <c r="B3947">
        <v>1</v>
      </c>
    </row>
    <row r="3948" spans="1:2">
      <c r="A3948" s="10" t="s">
        <v>2436</v>
      </c>
      <c r="B3948">
        <v>1</v>
      </c>
    </row>
    <row r="3949" spans="1:2">
      <c r="A3949" s="10" t="s">
        <v>2450</v>
      </c>
      <c r="B3949">
        <v>1</v>
      </c>
    </row>
    <row r="3950" spans="1:2">
      <c r="A3950" s="10" t="s">
        <v>2626</v>
      </c>
      <c r="B3950">
        <v>1</v>
      </c>
    </row>
    <row r="3951" spans="1:2">
      <c r="A3951" s="10" t="s">
        <v>2436</v>
      </c>
      <c r="B3951">
        <v>1</v>
      </c>
    </row>
    <row r="3952" spans="1:2">
      <c r="A3952" s="10" t="s">
        <v>2436</v>
      </c>
      <c r="B3952">
        <v>1</v>
      </c>
    </row>
    <row r="3953" spans="1:2">
      <c r="A3953" s="10" t="s">
        <v>2454</v>
      </c>
      <c r="B3953">
        <v>1</v>
      </c>
    </row>
    <row r="3954" spans="1:2">
      <c r="A3954" s="10" t="s">
        <v>2436</v>
      </c>
      <c r="B3954">
        <v>1</v>
      </c>
    </row>
    <row r="3955" spans="1:2">
      <c r="A3955" s="10" t="s">
        <v>2436</v>
      </c>
      <c r="B3955">
        <v>1</v>
      </c>
    </row>
    <row r="3956" spans="1:2">
      <c r="A3956" s="10" t="s">
        <v>2457</v>
      </c>
      <c r="B3956">
        <v>2</v>
      </c>
    </row>
    <row r="3957" spans="1:2">
      <c r="A3957" s="10" t="s">
        <v>2460</v>
      </c>
      <c r="B3957">
        <v>1</v>
      </c>
    </row>
    <row r="3958" spans="1:2">
      <c r="A3958" s="10" t="s">
        <v>20</v>
      </c>
      <c r="B3958">
        <v>1</v>
      </c>
    </row>
    <row r="3959" spans="1:2">
      <c r="A3959" s="10" t="s">
        <v>2436</v>
      </c>
      <c r="B3959">
        <v>1</v>
      </c>
    </row>
    <row r="3960" spans="1:2">
      <c r="A3960" s="10" t="s">
        <v>2436</v>
      </c>
      <c r="B3960">
        <v>1</v>
      </c>
    </row>
    <row r="3961" spans="1:2">
      <c r="A3961" s="10" t="s">
        <v>2436</v>
      </c>
      <c r="B3961">
        <v>1</v>
      </c>
    </row>
    <row r="3962" spans="1:2">
      <c r="A3962" s="10" t="s">
        <v>2436</v>
      </c>
      <c r="B3962">
        <v>1</v>
      </c>
    </row>
    <row r="3963" spans="1:2">
      <c r="A3963" s="10" t="s">
        <v>2507</v>
      </c>
      <c r="B3963">
        <v>4</v>
      </c>
    </row>
    <row r="3964" spans="1:2">
      <c r="A3964" s="10" t="s">
        <v>2457</v>
      </c>
      <c r="B3964">
        <v>2</v>
      </c>
    </row>
    <row r="3965" spans="1:2">
      <c r="A3965" s="10" t="s">
        <v>2460</v>
      </c>
      <c r="B3965">
        <v>1</v>
      </c>
    </row>
    <row r="3966" spans="1:2">
      <c r="A3966" s="10" t="s">
        <v>32</v>
      </c>
      <c r="B3966">
        <v>1</v>
      </c>
    </row>
    <row r="3967" spans="1:2">
      <c r="A3967" s="10" t="s">
        <v>2436</v>
      </c>
      <c r="B3967">
        <v>1</v>
      </c>
    </row>
    <row r="3968" spans="1:2">
      <c r="A3968" s="10" t="s">
        <v>2450</v>
      </c>
      <c r="B3968">
        <v>1</v>
      </c>
    </row>
    <row r="3969" spans="1:2">
      <c r="A3969" s="10" t="s">
        <v>2436</v>
      </c>
      <c r="B3969">
        <v>1</v>
      </c>
    </row>
    <row r="3970" spans="1:2">
      <c r="A3970" s="10" t="s">
        <v>2507</v>
      </c>
      <c r="B3970">
        <v>4</v>
      </c>
    </row>
    <row r="3971" spans="1:2">
      <c r="A3971" s="10" t="s">
        <v>2457</v>
      </c>
      <c r="B3971">
        <v>2</v>
      </c>
    </row>
    <row r="3972" spans="1:2">
      <c r="A3972" s="10" t="s">
        <v>2460</v>
      </c>
      <c r="B3972">
        <v>1</v>
      </c>
    </row>
    <row r="3973" spans="1:2">
      <c r="A3973" s="10" t="s">
        <v>2436</v>
      </c>
      <c r="B3973">
        <v>1</v>
      </c>
    </row>
    <row r="3974" spans="1:2">
      <c r="A3974" s="10" t="s">
        <v>2436</v>
      </c>
      <c r="B3974">
        <v>1</v>
      </c>
    </row>
    <row r="3975" spans="1:2">
      <c r="A3975" s="10" t="s">
        <v>2517</v>
      </c>
      <c r="B3975">
        <v>1</v>
      </c>
    </row>
    <row r="3976" spans="1:2">
      <c r="A3976" s="10" t="s">
        <v>2517</v>
      </c>
      <c r="B3976">
        <v>1</v>
      </c>
    </row>
    <row r="3977" spans="1:2">
      <c r="A3977" s="10" t="s">
        <v>2436</v>
      </c>
      <c r="B3977">
        <v>1</v>
      </c>
    </row>
    <row r="3978" spans="1:2">
      <c r="A3978" s="10" t="s">
        <v>2436</v>
      </c>
      <c r="B3978">
        <v>1</v>
      </c>
    </row>
    <row r="3979" spans="1:2">
      <c r="A3979" s="10" t="s">
        <v>2436</v>
      </c>
      <c r="B3979">
        <v>1</v>
      </c>
    </row>
    <row r="3980" spans="1:2">
      <c r="A3980" s="10" t="s">
        <v>2436</v>
      </c>
      <c r="B3980">
        <v>1</v>
      </c>
    </row>
    <row r="3981" spans="1:2">
      <c r="A3981" s="10" t="s">
        <v>2436</v>
      </c>
      <c r="B3981">
        <v>1</v>
      </c>
    </row>
    <row r="3982" spans="1:2">
      <c r="A3982" s="10" t="s">
        <v>2436</v>
      </c>
      <c r="B3982">
        <v>1</v>
      </c>
    </row>
    <row r="3983" spans="1:2">
      <c r="A3983" s="10" t="s">
        <v>2457</v>
      </c>
      <c r="B3983">
        <v>2</v>
      </c>
    </row>
    <row r="3984" spans="1:2">
      <c r="A3984" s="10" t="s">
        <v>2460</v>
      </c>
      <c r="B3984">
        <v>1</v>
      </c>
    </row>
    <row r="3985" spans="1:2">
      <c r="A3985" s="10" t="s">
        <v>20</v>
      </c>
      <c r="B3985">
        <v>1</v>
      </c>
    </row>
    <row r="3986" spans="1:2">
      <c r="A3986" s="10" t="s">
        <v>2454</v>
      </c>
      <c r="B3986">
        <v>1</v>
      </c>
    </row>
    <row r="3987" spans="1:2">
      <c r="A3987" s="10" t="s">
        <v>2457</v>
      </c>
      <c r="B3987">
        <v>2</v>
      </c>
    </row>
    <row r="3988" spans="1:2">
      <c r="A3988" s="10" t="s">
        <v>2460</v>
      </c>
      <c r="B3988">
        <v>1</v>
      </c>
    </row>
    <row r="3989" spans="1:2">
      <c r="A3989" s="10" t="s">
        <v>2436</v>
      </c>
      <c r="B3989">
        <v>1</v>
      </c>
    </row>
    <row r="3990" spans="1:2">
      <c r="A3990" s="10" t="s">
        <v>2436</v>
      </c>
      <c r="B3990">
        <v>1</v>
      </c>
    </row>
    <row r="3991" spans="1:2">
      <c r="A3991" s="10" t="s">
        <v>2436</v>
      </c>
      <c r="B3991">
        <v>1</v>
      </c>
    </row>
    <row r="3992" spans="1:2">
      <c r="A3992" s="10" t="s">
        <v>2436</v>
      </c>
      <c r="B3992">
        <v>1</v>
      </c>
    </row>
    <row r="3993" spans="1:2">
      <c r="A3993" s="10" t="s">
        <v>2436</v>
      </c>
      <c r="B3993">
        <v>1</v>
      </c>
    </row>
    <row r="3994" spans="1:2">
      <c r="A3994" s="10" t="s">
        <v>2440</v>
      </c>
      <c r="B3994">
        <v>0.5</v>
      </c>
    </row>
    <row r="3995" spans="1:2">
      <c r="A3995" s="10" t="s">
        <v>2436</v>
      </c>
      <c r="B3995">
        <v>1</v>
      </c>
    </row>
    <row r="3996" spans="1:2">
      <c r="A3996" s="10" t="s">
        <v>2436</v>
      </c>
      <c r="B3996">
        <v>1</v>
      </c>
    </row>
    <row r="3997" spans="1:2">
      <c r="A3997" s="10" t="s">
        <v>2457</v>
      </c>
      <c r="B3997">
        <v>2</v>
      </c>
    </row>
    <row r="3998" spans="1:2">
      <c r="A3998" s="10" t="s">
        <v>2460</v>
      </c>
      <c r="B3998">
        <v>1</v>
      </c>
    </row>
    <row r="3999" spans="1:2">
      <c r="A3999" s="10" t="s">
        <v>2436</v>
      </c>
      <c r="B3999">
        <v>1</v>
      </c>
    </row>
    <row r="4000" spans="1:2">
      <c r="A4000" s="10" t="s">
        <v>2436</v>
      </c>
      <c r="B4000">
        <v>1</v>
      </c>
    </row>
    <row r="4001" spans="1:2">
      <c r="A4001" s="10" t="s">
        <v>2440</v>
      </c>
      <c r="B4001">
        <v>0.5</v>
      </c>
    </row>
    <row r="4002" spans="1:2">
      <c r="A4002" s="10" t="s">
        <v>2436</v>
      </c>
      <c r="B4002">
        <v>1</v>
      </c>
    </row>
    <row r="4003" spans="1:2">
      <c r="A4003" s="10" t="s">
        <v>2436</v>
      </c>
      <c r="B4003">
        <v>1</v>
      </c>
    </row>
    <row r="4004" spans="1:2">
      <c r="A4004" s="10" t="s">
        <v>3166</v>
      </c>
      <c r="B4004">
        <v>1</v>
      </c>
    </row>
    <row r="4005" spans="1:2">
      <c r="A4005" s="10" t="s">
        <v>2450</v>
      </c>
      <c r="B4005">
        <v>1</v>
      </c>
    </row>
    <row r="4006" spans="1:2">
      <c r="A4006" s="10" t="s">
        <v>2436</v>
      </c>
      <c r="B4006">
        <v>1</v>
      </c>
    </row>
    <row r="4007" spans="1:2">
      <c r="A4007" s="10" t="s">
        <v>2436</v>
      </c>
      <c r="B4007">
        <v>1</v>
      </c>
    </row>
    <row r="4008" spans="1:2">
      <c r="A4008" s="10" t="s">
        <v>2517</v>
      </c>
      <c r="B4008">
        <v>1</v>
      </c>
    </row>
    <row r="4009" spans="1:2">
      <c r="A4009" s="10" t="s">
        <v>2436</v>
      </c>
      <c r="B4009">
        <v>1</v>
      </c>
    </row>
    <row r="4010" spans="1:2">
      <c r="A4010" s="10" t="s">
        <v>2436</v>
      </c>
      <c r="B4010">
        <v>1</v>
      </c>
    </row>
    <row r="4011" spans="1:2">
      <c r="A4011" s="10" t="s">
        <v>2436</v>
      </c>
      <c r="B4011">
        <v>1</v>
      </c>
    </row>
    <row r="4012" spans="1:2">
      <c r="A4012" s="10" t="s">
        <v>2436</v>
      </c>
      <c r="B4012">
        <v>1</v>
      </c>
    </row>
    <row r="4013" spans="1:2">
      <c r="A4013" s="10" t="s">
        <v>2436</v>
      </c>
      <c r="B4013">
        <v>1</v>
      </c>
    </row>
    <row r="4014" spans="1:2">
      <c r="A4014" s="10" t="s">
        <v>2450</v>
      </c>
      <c r="B4014">
        <v>1</v>
      </c>
    </row>
    <row r="4015" spans="1:2">
      <c r="A4015" s="10" t="s">
        <v>2436</v>
      </c>
      <c r="B4015">
        <v>1</v>
      </c>
    </row>
    <row r="4016" spans="1:2">
      <c r="A4016" s="10" t="s">
        <v>2436</v>
      </c>
      <c r="B4016">
        <v>1</v>
      </c>
    </row>
    <row r="4017" spans="1:2">
      <c r="A4017" s="10" t="s">
        <v>2436</v>
      </c>
      <c r="B4017">
        <v>1</v>
      </c>
    </row>
    <row r="4018" spans="1:2">
      <c r="A4018" s="10" t="s">
        <v>2436</v>
      </c>
      <c r="B4018">
        <v>1</v>
      </c>
    </row>
    <row r="4019" spans="1:2">
      <c r="A4019" s="10" t="s">
        <v>2436</v>
      </c>
      <c r="B4019">
        <v>1</v>
      </c>
    </row>
    <row r="4020" spans="1:2">
      <c r="A4020" s="10" t="s">
        <v>2436</v>
      </c>
      <c r="B4020">
        <v>1</v>
      </c>
    </row>
    <row r="4021" spans="1:2">
      <c r="A4021" s="10" t="s">
        <v>2436</v>
      </c>
      <c r="B4021">
        <v>1</v>
      </c>
    </row>
    <row r="4022" spans="1:2">
      <c r="A4022" s="10" t="s">
        <v>2436</v>
      </c>
      <c r="B4022">
        <v>1</v>
      </c>
    </row>
    <row r="4023" spans="1:2">
      <c r="A4023" s="10" t="s">
        <v>2507</v>
      </c>
      <c r="B4023">
        <v>4</v>
      </c>
    </row>
    <row r="4024" spans="1:2">
      <c r="A4024" s="10" t="s">
        <v>2457</v>
      </c>
      <c r="B4024">
        <v>2</v>
      </c>
    </row>
    <row r="4025" spans="1:2">
      <c r="A4025" s="10" t="s">
        <v>2460</v>
      </c>
      <c r="B4025">
        <v>1</v>
      </c>
    </row>
    <row r="4026" spans="1:2">
      <c r="A4026" s="10" t="s">
        <v>2457</v>
      </c>
      <c r="B4026">
        <v>2</v>
      </c>
    </row>
    <row r="4027" spans="1:2">
      <c r="A4027" s="10" t="s">
        <v>2460</v>
      </c>
      <c r="B4027">
        <v>1</v>
      </c>
    </row>
    <row r="4028" spans="1:2">
      <c r="A4028" s="10" t="s">
        <v>2436</v>
      </c>
      <c r="B4028">
        <v>1</v>
      </c>
    </row>
    <row r="4029" spans="1:2">
      <c r="A4029" s="10" t="s">
        <v>2436</v>
      </c>
      <c r="B4029">
        <v>1</v>
      </c>
    </row>
    <row r="4030" spans="1:2">
      <c r="A4030" s="10" t="s">
        <v>2436</v>
      </c>
      <c r="B4030">
        <v>1</v>
      </c>
    </row>
    <row r="4031" spans="1:2">
      <c r="A4031" s="10" t="s">
        <v>4373</v>
      </c>
      <c r="B4031">
        <v>1</v>
      </c>
    </row>
    <row r="4032" spans="1:2">
      <c r="A4032" s="10" t="s">
        <v>2653</v>
      </c>
      <c r="B4032">
        <v>1</v>
      </c>
    </row>
    <row r="4033" spans="1:2">
      <c r="A4033" s="10" t="s">
        <v>2436</v>
      </c>
      <c r="B4033">
        <v>1</v>
      </c>
    </row>
    <row r="4034" spans="1:2">
      <c r="A4034" s="10" t="s">
        <v>2588</v>
      </c>
      <c r="B4034">
        <v>1</v>
      </c>
    </row>
    <row r="4035" spans="1:2">
      <c r="A4035" s="10" t="s">
        <v>2626</v>
      </c>
      <c r="B4035">
        <v>1</v>
      </c>
    </row>
    <row r="4036" spans="1:2">
      <c r="A4036" s="10" t="s">
        <v>2436</v>
      </c>
      <c r="B4036">
        <v>1</v>
      </c>
    </row>
    <row r="4037" spans="1:2">
      <c r="A4037" s="10" t="s">
        <v>2672</v>
      </c>
      <c r="B4037">
        <v>1</v>
      </c>
    </row>
    <row r="4038" spans="1:2">
      <c r="A4038" s="10" t="s">
        <v>2450</v>
      </c>
      <c r="B4038">
        <v>1</v>
      </c>
    </row>
    <row r="4039" spans="1:2">
      <c r="A4039" s="10" t="s">
        <v>2440</v>
      </c>
      <c r="B4039">
        <v>0.5</v>
      </c>
    </row>
    <row r="4040" spans="1:2">
      <c r="A4040" s="10" t="s">
        <v>2436</v>
      </c>
      <c r="B4040">
        <v>1</v>
      </c>
    </row>
    <row r="4041" spans="1:2">
      <c r="A4041" s="10" t="s">
        <v>2436</v>
      </c>
      <c r="B4041">
        <v>1</v>
      </c>
    </row>
    <row r="4042" spans="1:2">
      <c r="A4042" s="10" t="s">
        <v>2436</v>
      </c>
      <c r="B4042">
        <v>1</v>
      </c>
    </row>
    <row r="4043" spans="1:2">
      <c r="A4043" s="10" t="s">
        <v>2436</v>
      </c>
      <c r="B4043">
        <v>1</v>
      </c>
    </row>
    <row r="4044" spans="1:2">
      <c r="A4044" s="10" t="s">
        <v>2436</v>
      </c>
      <c r="B4044">
        <v>1</v>
      </c>
    </row>
    <row r="4045" spans="1:2">
      <c r="A4045" s="10" t="s">
        <v>2436</v>
      </c>
      <c r="B4045">
        <v>1</v>
      </c>
    </row>
    <row r="4046" spans="1:2">
      <c r="A4046" s="10" t="s">
        <v>2436</v>
      </c>
      <c r="B4046">
        <v>1</v>
      </c>
    </row>
    <row r="4047" spans="1:2">
      <c r="A4047" s="10" t="s">
        <v>2436</v>
      </c>
      <c r="B4047">
        <v>1</v>
      </c>
    </row>
    <row r="4048" spans="1:2">
      <c r="A4048" s="10" t="s">
        <v>2450</v>
      </c>
      <c r="B4048">
        <v>1</v>
      </c>
    </row>
    <row r="4049" spans="1:2">
      <c r="A4049" s="10" t="s">
        <v>2450</v>
      </c>
      <c r="B4049">
        <v>1</v>
      </c>
    </row>
    <row r="4050" spans="1:2">
      <c r="A4050" s="10" t="s">
        <v>2450</v>
      </c>
      <c r="B4050">
        <v>1</v>
      </c>
    </row>
    <row r="4051" spans="1:2">
      <c r="A4051" s="10" t="s">
        <v>2436</v>
      </c>
      <c r="B4051">
        <v>1</v>
      </c>
    </row>
    <row r="4052" spans="1:2">
      <c r="A4052" s="10" t="s">
        <v>2436</v>
      </c>
      <c r="B4052">
        <v>1</v>
      </c>
    </row>
    <row r="4053" spans="1:2">
      <c r="A4053" s="10" t="s">
        <v>2450</v>
      </c>
      <c r="B4053">
        <v>1</v>
      </c>
    </row>
    <row r="4054" spans="1:2">
      <c r="A4054" s="10" t="s">
        <v>2460</v>
      </c>
      <c r="B4054">
        <v>1</v>
      </c>
    </row>
    <row r="4055" spans="1:2">
      <c r="A4055" s="10" t="s">
        <v>2436</v>
      </c>
      <c r="B4055">
        <v>1</v>
      </c>
    </row>
    <row r="4056" spans="1:2">
      <c r="A4056" s="10" t="s">
        <v>2440</v>
      </c>
      <c r="B4056">
        <v>0.5</v>
      </c>
    </row>
    <row r="4057" spans="1:2">
      <c r="A4057" s="10" t="s">
        <v>2436</v>
      </c>
      <c r="B4057">
        <v>1</v>
      </c>
    </row>
    <row r="4058" spans="1:2">
      <c r="A4058" s="10" t="s">
        <v>2436</v>
      </c>
      <c r="B4058">
        <v>1</v>
      </c>
    </row>
    <row r="4059" spans="1:2">
      <c r="A4059" s="10" t="s">
        <v>2440</v>
      </c>
      <c r="B4059">
        <v>0.5</v>
      </c>
    </row>
    <row r="4060" spans="1:2">
      <c r="A4060" s="10" t="s">
        <v>2436</v>
      </c>
      <c r="B4060">
        <v>1</v>
      </c>
    </row>
    <row r="4061" spans="1:2">
      <c r="A4061" s="10" t="s">
        <v>2436</v>
      </c>
      <c r="B4061">
        <v>1</v>
      </c>
    </row>
    <row r="4062" spans="1:2">
      <c r="A4062" s="10" t="s">
        <v>2436</v>
      </c>
      <c r="B4062">
        <v>1</v>
      </c>
    </row>
    <row r="4063" spans="1:2">
      <c r="A4063" s="10" t="s">
        <v>2436</v>
      </c>
      <c r="B4063">
        <v>1</v>
      </c>
    </row>
    <row r="4064" spans="1:2">
      <c r="A4064" s="10" t="s">
        <v>2436</v>
      </c>
      <c r="B4064">
        <v>1</v>
      </c>
    </row>
    <row r="4065" spans="1:2">
      <c r="A4065" s="10" t="s">
        <v>2436</v>
      </c>
      <c r="B4065">
        <v>1</v>
      </c>
    </row>
    <row r="4066" spans="1:2">
      <c r="A4066" s="10" t="s">
        <v>2436</v>
      </c>
      <c r="B4066">
        <v>1</v>
      </c>
    </row>
    <row r="4067" spans="1:2">
      <c r="A4067" s="10" t="s">
        <v>2436</v>
      </c>
      <c r="B4067">
        <v>1</v>
      </c>
    </row>
    <row r="4068" spans="1:2">
      <c r="A4068" s="10" t="s">
        <v>40</v>
      </c>
      <c r="B4068">
        <v>1</v>
      </c>
    </row>
    <row r="4069" spans="1:2">
      <c r="A4069" s="10" t="s">
        <v>2436</v>
      </c>
      <c r="B4069">
        <v>1</v>
      </c>
    </row>
    <row r="4070" spans="1:2">
      <c r="A4070" s="10" t="s">
        <v>2436</v>
      </c>
      <c r="B4070">
        <v>1</v>
      </c>
    </row>
    <row r="4071" spans="1:2">
      <c r="A4071" s="10" t="s">
        <v>2436</v>
      </c>
      <c r="B4071">
        <v>1</v>
      </c>
    </row>
    <row r="4072" spans="1:2">
      <c r="A4072" s="10" t="s">
        <v>2436</v>
      </c>
      <c r="B4072">
        <v>1</v>
      </c>
    </row>
    <row r="4073" spans="1:2">
      <c r="A4073" s="10" t="s">
        <v>2436</v>
      </c>
      <c r="B4073">
        <v>1</v>
      </c>
    </row>
    <row r="4074" spans="1:2">
      <c r="A4074" s="10" t="s">
        <v>2436</v>
      </c>
      <c r="B4074">
        <v>1</v>
      </c>
    </row>
    <row r="4075" spans="1:2">
      <c r="A4075" s="10" t="s">
        <v>2436</v>
      </c>
      <c r="B4075">
        <v>1</v>
      </c>
    </row>
    <row r="4076" spans="1:2">
      <c r="A4076" s="10" t="s">
        <v>2450</v>
      </c>
      <c r="B4076">
        <v>1</v>
      </c>
    </row>
    <row r="4077" spans="1:2">
      <c r="A4077" s="10" t="s">
        <v>2436</v>
      </c>
      <c r="B4077">
        <v>1</v>
      </c>
    </row>
    <row r="4078" spans="1:2">
      <c r="A4078" s="10" t="s">
        <v>2436</v>
      </c>
      <c r="B4078">
        <v>1</v>
      </c>
    </row>
    <row r="4079" spans="1:2">
      <c r="A4079" s="10" t="s">
        <v>2436</v>
      </c>
      <c r="B4079">
        <v>1</v>
      </c>
    </row>
    <row r="4080" spans="1:2">
      <c r="A4080" s="10" t="s">
        <v>2436</v>
      </c>
      <c r="B4080">
        <v>1</v>
      </c>
    </row>
    <row r="4081" spans="1:2">
      <c r="A4081" s="10" t="s">
        <v>2436</v>
      </c>
      <c r="B4081">
        <v>1</v>
      </c>
    </row>
    <row r="4082" spans="1:2">
      <c r="A4082" s="10" t="s">
        <v>2436</v>
      </c>
      <c r="B4082">
        <v>1</v>
      </c>
    </row>
    <row r="4083" spans="1:2">
      <c r="A4083" s="10" t="s">
        <v>2436</v>
      </c>
      <c r="B4083">
        <v>1</v>
      </c>
    </row>
    <row r="4084" spans="1:2">
      <c r="A4084" s="10" t="s">
        <v>2436</v>
      </c>
      <c r="B4084">
        <v>1</v>
      </c>
    </row>
    <row r="4085" spans="1:2">
      <c r="A4085" s="10" t="s">
        <v>2436</v>
      </c>
      <c r="B4085">
        <v>1</v>
      </c>
    </row>
    <row r="4086" spans="1:2">
      <c r="A4086" s="10" t="s">
        <v>2436</v>
      </c>
      <c r="B4086">
        <v>1</v>
      </c>
    </row>
    <row r="4087" spans="1:2">
      <c r="A4087" s="10" t="s">
        <v>2436</v>
      </c>
      <c r="B4087">
        <v>1</v>
      </c>
    </row>
    <row r="4088" spans="1:2">
      <c r="A4088" s="10" t="s">
        <v>2436</v>
      </c>
      <c r="B4088">
        <v>1</v>
      </c>
    </row>
    <row r="4089" spans="1:2">
      <c r="A4089" s="10" t="s">
        <v>2436</v>
      </c>
      <c r="B4089">
        <v>1</v>
      </c>
    </row>
    <row r="4090" spans="1:2">
      <c r="A4090" s="10" t="s">
        <v>2436</v>
      </c>
      <c r="B4090">
        <v>1</v>
      </c>
    </row>
    <row r="4091" spans="1:2">
      <c r="A4091" s="10" t="s">
        <v>2436</v>
      </c>
      <c r="B4091">
        <v>1</v>
      </c>
    </row>
    <row r="4092" spans="1:2">
      <c r="A4092" s="10" t="s">
        <v>2436</v>
      </c>
      <c r="B4092">
        <v>1</v>
      </c>
    </row>
    <row r="4093" spans="1:2">
      <c r="A4093" s="10" t="s">
        <v>2450</v>
      </c>
      <c r="B4093">
        <v>1</v>
      </c>
    </row>
    <row r="4094" spans="1:2">
      <c r="A4094" s="10" t="s">
        <v>2672</v>
      </c>
      <c r="B4094">
        <v>1</v>
      </c>
    </row>
    <row r="4095" spans="1:2">
      <c r="A4095" s="10" t="s">
        <v>2450</v>
      </c>
      <c r="B4095">
        <v>1</v>
      </c>
    </row>
    <row r="4096" spans="1:2">
      <c r="A4096" s="10" t="s">
        <v>2436</v>
      </c>
      <c r="B4096">
        <v>1</v>
      </c>
    </row>
    <row r="4097" spans="1:2">
      <c r="A4097" s="10" t="s">
        <v>2436</v>
      </c>
      <c r="B4097">
        <v>1</v>
      </c>
    </row>
    <row r="4098" spans="1:2">
      <c r="A4098" s="10" t="s">
        <v>2454</v>
      </c>
      <c r="B4098">
        <v>1</v>
      </c>
    </row>
    <row r="4099" spans="1:2">
      <c r="A4099" s="10" t="s">
        <v>2436</v>
      </c>
      <c r="B4099">
        <v>1</v>
      </c>
    </row>
    <row r="4100" spans="1:2">
      <c r="A4100" s="10" t="s">
        <v>2436</v>
      </c>
      <c r="B4100">
        <v>1</v>
      </c>
    </row>
    <row r="4101" spans="1:2">
      <c r="A4101" s="10" t="s">
        <v>2457</v>
      </c>
      <c r="B4101">
        <v>2</v>
      </c>
    </row>
    <row r="4102" spans="1:2">
      <c r="A4102" s="10" t="s">
        <v>2460</v>
      </c>
      <c r="B4102">
        <v>1</v>
      </c>
    </row>
    <row r="4103" spans="1:2">
      <c r="A4103" s="10" t="s">
        <v>137</v>
      </c>
      <c r="B4103">
        <v>1</v>
      </c>
    </row>
    <row r="4104" spans="1:2">
      <c r="A4104" s="10" t="s">
        <v>2436</v>
      </c>
      <c r="B4104">
        <v>1</v>
      </c>
    </row>
    <row r="4105" spans="1:2">
      <c r="A4105" s="10" t="s">
        <v>2436</v>
      </c>
      <c r="B4105">
        <v>1</v>
      </c>
    </row>
    <row r="4106" spans="1:2">
      <c r="A4106" s="10" t="s">
        <v>2436</v>
      </c>
      <c r="B4106">
        <v>1</v>
      </c>
    </row>
    <row r="4107" spans="1:2">
      <c r="A4107" s="10" t="s">
        <v>2436</v>
      </c>
      <c r="B4107">
        <v>1</v>
      </c>
    </row>
    <row r="4108" spans="1:2">
      <c r="A4108" s="10" t="s">
        <v>2507</v>
      </c>
      <c r="B4108">
        <v>4</v>
      </c>
    </row>
    <row r="4109" spans="1:2">
      <c r="A4109" s="10" t="s">
        <v>2457</v>
      </c>
      <c r="B4109">
        <v>2</v>
      </c>
    </row>
    <row r="4110" spans="1:2">
      <c r="A4110" s="10" t="s">
        <v>2460</v>
      </c>
      <c r="B4110">
        <v>1</v>
      </c>
    </row>
    <row r="4111" spans="1:2">
      <c r="A4111" s="10" t="s">
        <v>2436</v>
      </c>
      <c r="B4111">
        <v>1</v>
      </c>
    </row>
    <row r="4112" spans="1:2">
      <c r="A4112" s="10" t="s">
        <v>2450</v>
      </c>
      <c r="B4112">
        <v>1</v>
      </c>
    </row>
    <row r="4113" spans="1:2">
      <c r="A4113" s="10" t="s">
        <v>2436</v>
      </c>
      <c r="B4113">
        <v>1</v>
      </c>
    </row>
    <row r="4114" spans="1:2">
      <c r="A4114" s="10" t="s">
        <v>2507</v>
      </c>
      <c r="B4114">
        <v>4</v>
      </c>
    </row>
    <row r="4115" spans="1:2">
      <c r="A4115" s="10" t="s">
        <v>2457</v>
      </c>
      <c r="B4115">
        <v>2</v>
      </c>
    </row>
    <row r="4116" spans="1:2">
      <c r="A4116" s="10" t="s">
        <v>2460</v>
      </c>
      <c r="B4116">
        <v>1</v>
      </c>
    </row>
    <row r="4117" spans="1:2">
      <c r="A4117" s="10" t="s">
        <v>2436</v>
      </c>
      <c r="B4117">
        <v>1</v>
      </c>
    </row>
    <row r="4118" spans="1:2">
      <c r="A4118" s="10" t="s">
        <v>2436</v>
      </c>
      <c r="B4118">
        <v>1</v>
      </c>
    </row>
    <row r="4119" spans="1:2">
      <c r="A4119" s="10" t="s">
        <v>2517</v>
      </c>
      <c r="B4119">
        <v>1</v>
      </c>
    </row>
    <row r="4120" spans="1:2">
      <c r="A4120" s="10" t="s">
        <v>2517</v>
      </c>
      <c r="B4120">
        <v>1</v>
      </c>
    </row>
    <row r="4121" spans="1:2">
      <c r="A4121" s="10" t="s">
        <v>2436</v>
      </c>
      <c r="B4121">
        <v>1</v>
      </c>
    </row>
    <row r="4122" spans="1:2">
      <c r="A4122" s="10" t="s">
        <v>2436</v>
      </c>
      <c r="B4122">
        <v>1</v>
      </c>
    </row>
    <row r="4123" spans="1:2">
      <c r="A4123" s="10" t="s">
        <v>2436</v>
      </c>
      <c r="B4123">
        <v>1</v>
      </c>
    </row>
    <row r="4124" spans="1:2">
      <c r="A4124" s="10" t="s">
        <v>2436</v>
      </c>
      <c r="B4124">
        <v>1</v>
      </c>
    </row>
    <row r="4125" spans="1:2">
      <c r="A4125" s="10" t="s">
        <v>2436</v>
      </c>
      <c r="B4125">
        <v>1</v>
      </c>
    </row>
    <row r="4126" spans="1:2">
      <c r="A4126" s="10" t="s">
        <v>2436</v>
      </c>
      <c r="B4126">
        <v>1</v>
      </c>
    </row>
    <row r="4127" spans="1:2">
      <c r="A4127" s="10" t="s">
        <v>2457</v>
      </c>
      <c r="B4127">
        <v>2</v>
      </c>
    </row>
    <row r="4128" spans="1:2">
      <c r="A4128" s="10" t="s">
        <v>2460</v>
      </c>
      <c r="B4128">
        <v>1</v>
      </c>
    </row>
    <row r="4129" spans="1:2">
      <c r="A4129" s="10" t="s">
        <v>20</v>
      </c>
      <c r="B4129">
        <v>1</v>
      </c>
    </row>
    <row r="4130" spans="1:2">
      <c r="A4130" s="10" t="s">
        <v>2454</v>
      </c>
      <c r="B4130">
        <v>1</v>
      </c>
    </row>
    <row r="4131" spans="1:2">
      <c r="A4131" s="10" t="s">
        <v>2457</v>
      </c>
      <c r="B4131">
        <v>2</v>
      </c>
    </row>
    <row r="4132" spans="1:2">
      <c r="A4132" s="10" t="s">
        <v>2460</v>
      </c>
      <c r="B4132">
        <v>1</v>
      </c>
    </row>
    <row r="4133" spans="1:2">
      <c r="A4133" s="10" t="s">
        <v>2436</v>
      </c>
      <c r="B4133">
        <v>1</v>
      </c>
    </row>
    <row r="4134" spans="1:2">
      <c r="A4134" s="10" t="s">
        <v>2436</v>
      </c>
      <c r="B4134">
        <v>1</v>
      </c>
    </row>
    <row r="4135" spans="1:2">
      <c r="A4135" s="10" t="s">
        <v>2436</v>
      </c>
      <c r="B4135">
        <v>1</v>
      </c>
    </row>
    <row r="4136" spans="1:2">
      <c r="A4136" s="10" t="s">
        <v>2436</v>
      </c>
      <c r="B4136">
        <v>1</v>
      </c>
    </row>
    <row r="4137" spans="1:2">
      <c r="A4137" s="10" t="s">
        <v>2436</v>
      </c>
      <c r="B4137">
        <v>1</v>
      </c>
    </row>
    <row r="4138" spans="1:2">
      <c r="A4138" s="10" t="s">
        <v>2440</v>
      </c>
      <c r="B4138">
        <v>0.5</v>
      </c>
    </row>
    <row r="4139" spans="1:2">
      <c r="A4139" s="10" t="s">
        <v>2436</v>
      </c>
      <c r="B4139">
        <v>1</v>
      </c>
    </row>
    <row r="4140" spans="1:2">
      <c r="A4140" s="10" t="s">
        <v>2436</v>
      </c>
      <c r="B4140">
        <v>1</v>
      </c>
    </row>
    <row r="4141" spans="1:2">
      <c r="A4141" s="10" t="s">
        <v>2457</v>
      </c>
      <c r="B4141">
        <v>2</v>
      </c>
    </row>
    <row r="4142" spans="1:2">
      <c r="A4142" s="10" t="s">
        <v>2460</v>
      </c>
      <c r="B4142">
        <v>1</v>
      </c>
    </row>
    <row r="4143" spans="1:2">
      <c r="A4143" s="10" t="s">
        <v>2436</v>
      </c>
      <c r="B4143">
        <v>1</v>
      </c>
    </row>
    <row r="4144" spans="1:2">
      <c r="A4144" s="10" t="s">
        <v>2436</v>
      </c>
      <c r="B4144">
        <v>1</v>
      </c>
    </row>
    <row r="4145" spans="1:2">
      <c r="A4145" s="10" t="s">
        <v>2440</v>
      </c>
      <c r="B4145">
        <v>0.5</v>
      </c>
    </row>
    <row r="4146" spans="1:2">
      <c r="A4146" s="10" t="s">
        <v>2436</v>
      </c>
      <c r="B4146">
        <v>1</v>
      </c>
    </row>
    <row r="4147" spans="1:2">
      <c r="A4147" s="10" t="s">
        <v>2436</v>
      </c>
      <c r="B4147">
        <v>1</v>
      </c>
    </row>
    <row r="4148" spans="1:2">
      <c r="A4148" s="10" t="s">
        <v>3166</v>
      </c>
      <c r="B4148">
        <v>1</v>
      </c>
    </row>
    <row r="4149" spans="1:2">
      <c r="A4149" s="10" t="s">
        <v>2436</v>
      </c>
      <c r="B4149">
        <v>1</v>
      </c>
    </row>
    <row r="4150" spans="1:2">
      <c r="A4150" s="10" t="s">
        <v>2436</v>
      </c>
      <c r="B4150">
        <v>1</v>
      </c>
    </row>
    <row r="4151" spans="1:2">
      <c r="A4151" s="10" t="s">
        <v>2517</v>
      </c>
      <c r="B4151">
        <v>1</v>
      </c>
    </row>
    <row r="4152" spans="1:2">
      <c r="A4152" s="10" t="s">
        <v>2436</v>
      </c>
      <c r="B4152">
        <v>1</v>
      </c>
    </row>
    <row r="4153" spans="1:2">
      <c r="A4153" s="10" t="s">
        <v>2436</v>
      </c>
      <c r="B4153">
        <v>1</v>
      </c>
    </row>
    <row r="4154" spans="1:2">
      <c r="A4154" s="10" t="s">
        <v>2436</v>
      </c>
      <c r="B4154">
        <v>1</v>
      </c>
    </row>
    <row r="4155" spans="1:2">
      <c r="A4155" s="10" t="s">
        <v>2436</v>
      </c>
      <c r="B4155">
        <v>1</v>
      </c>
    </row>
    <row r="4156" spans="1:2">
      <c r="A4156" s="10" t="s">
        <v>2436</v>
      </c>
      <c r="B4156">
        <v>1</v>
      </c>
    </row>
    <row r="4157" spans="1:2">
      <c r="A4157" s="10" t="s">
        <v>2450</v>
      </c>
      <c r="B4157">
        <v>1</v>
      </c>
    </row>
    <row r="4158" spans="1:2">
      <c r="A4158" s="10" t="s">
        <v>2672</v>
      </c>
      <c r="B4158">
        <v>1</v>
      </c>
    </row>
    <row r="4159" spans="1:2">
      <c r="A4159" s="10" t="s">
        <v>2450</v>
      </c>
      <c r="B4159">
        <v>1</v>
      </c>
    </row>
    <row r="4160" spans="1:2">
      <c r="A4160" s="10" t="s">
        <v>2436</v>
      </c>
      <c r="B4160">
        <v>1</v>
      </c>
    </row>
    <row r="4161" spans="1:2">
      <c r="A4161" s="10" t="s">
        <v>2436</v>
      </c>
      <c r="B4161">
        <v>1</v>
      </c>
    </row>
    <row r="4162" spans="1:2">
      <c r="A4162" s="10" t="s">
        <v>2436</v>
      </c>
      <c r="B4162">
        <v>1</v>
      </c>
    </row>
    <row r="4163" spans="1:2">
      <c r="A4163" s="10" t="s">
        <v>2436</v>
      </c>
      <c r="B4163">
        <v>1</v>
      </c>
    </row>
    <row r="4164" spans="1:2">
      <c r="A4164" s="10" t="s">
        <v>2436</v>
      </c>
      <c r="B4164">
        <v>1</v>
      </c>
    </row>
    <row r="4165" spans="1:2">
      <c r="A4165" s="10" t="s">
        <v>2436</v>
      </c>
      <c r="B4165">
        <v>1</v>
      </c>
    </row>
    <row r="4166" spans="1:2">
      <c r="A4166" s="10" t="s">
        <v>2436</v>
      </c>
      <c r="B4166">
        <v>1</v>
      </c>
    </row>
    <row r="4167" spans="1:2">
      <c r="A4167" s="10" t="s">
        <v>2457</v>
      </c>
      <c r="B4167">
        <v>2</v>
      </c>
    </row>
    <row r="4168" spans="1:2">
      <c r="A4168" s="10" t="s">
        <v>2460</v>
      </c>
      <c r="B4168">
        <v>1</v>
      </c>
    </row>
    <row r="4169" spans="1:2">
      <c r="A4169" s="10" t="s">
        <v>2507</v>
      </c>
      <c r="B4169">
        <v>4</v>
      </c>
    </row>
    <row r="4170" spans="1:2">
      <c r="A4170" s="10" t="s">
        <v>2457</v>
      </c>
      <c r="B4170">
        <v>2</v>
      </c>
    </row>
    <row r="4171" spans="1:2">
      <c r="A4171" s="10" t="s">
        <v>2460</v>
      </c>
      <c r="B4171">
        <v>1</v>
      </c>
    </row>
    <row r="4172" spans="1:2">
      <c r="A4172" s="10" t="s">
        <v>2436</v>
      </c>
      <c r="B4172">
        <v>1</v>
      </c>
    </row>
    <row r="4173" spans="1:2">
      <c r="A4173" s="10" t="s">
        <v>2588</v>
      </c>
      <c r="B4173">
        <v>1</v>
      </c>
    </row>
    <row r="4174" spans="1:2">
      <c r="A4174" s="10" t="s">
        <v>2436</v>
      </c>
      <c r="B4174">
        <v>1</v>
      </c>
    </row>
    <row r="4175" spans="1:2">
      <c r="A4175" s="10" t="s">
        <v>2436</v>
      </c>
      <c r="B4175">
        <v>1</v>
      </c>
    </row>
    <row r="4176" spans="1:2">
      <c r="A4176" s="10" t="s">
        <v>2653</v>
      </c>
      <c r="B4176">
        <v>1</v>
      </c>
    </row>
    <row r="4177" spans="1:2">
      <c r="A4177" s="10" t="s">
        <v>2653</v>
      </c>
      <c r="B4177">
        <v>1</v>
      </c>
    </row>
    <row r="4178" spans="1:2">
      <c r="A4178" s="10" t="s">
        <v>2436</v>
      </c>
      <c r="B4178">
        <v>1</v>
      </c>
    </row>
    <row r="4179" spans="1:2">
      <c r="A4179" s="10" t="s">
        <v>2588</v>
      </c>
      <c r="B4179">
        <v>1</v>
      </c>
    </row>
    <row r="4180" spans="1:2">
      <c r="A4180" s="10" t="s">
        <v>2672</v>
      </c>
      <c r="B4180">
        <v>1</v>
      </c>
    </row>
    <row r="4181" spans="1:2">
      <c r="A4181" s="10" t="s">
        <v>2450</v>
      </c>
      <c r="B4181">
        <v>1</v>
      </c>
    </row>
    <row r="4182" spans="1:2">
      <c r="A4182" s="10" t="s">
        <v>2436</v>
      </c>
      <c r="B4182">
        <v>1</v>
      </c>
    </row>
    <row r="4183" spans="1:2">
      <c r="A4183" s="10" t="s">
        <v>2626</v>
      </c>
      <c r="B4183">
        <v>1</v>
      </c>
    </row>
    <row r="4184" spans="1:2">
      <c r="A4184" s="10" t="s">
        <v>2436</v>
      </c>
      <c r="B4184">
        <v>1</v>
      </c>
    </row>
    <row r="4185" spans="1:2">
      <c r="A4185" s="10" t="s">
        <v>2450</v>
      </c>
      <c r="B4185">
        <v>1</v>
      </c>
    </row>
    <row r="4186" spans="1:2">
      <c r="A4186" s="10" t="s">
        <v>2440</v>
      </c>
      <c r="B4186">
        <v>0.5</v>
      </c>
    </row>
    <row r="4187" spans="1:2">
      <c r="A4187" s="10" t="s">
        <v>2436</v>
      </c>
      <c r="B4187">
        <v>1</v>
      </c>
    </row>
    <row r="4188" spans="1:2">
      <c r="A4188" s="10" t="s">
        <v>2436</v>
      </c>
      <c r="B4188">
        <v>1</v>
      </c>
    </row>
    <row r="4189" spans="1:2">
      <c r="A4189" s="10" t="s">
        <v>2436</v>
      </c>
      <c r="B4189">
        <v>1</v>
      </c>
    </row>
    <row r="4190" spans="1:2">
      <c r="A4190" s="10" t="s">
        <v>2436</v>
      </c>
      <c r="B4190">
        <v>1</v>
      </c>
    </row>
    <row r="4191" spans="1:2">
      <c r="A4191" s="10" t="s">
        <v>2436</v>
      </c>
      <c r="B4191">
        <v>1</v>
      </c>
    </row>
    <row r="4192" spans="1:2">
      <c r="A4192" s="10" t="s">
        <v>2436</v>
      </c>
      <c r="B4192">
        <v>1</v>
      </c>
    </row>
    <row r="4193" spans="1:2">
      <c r="A4193" s="10" t="s">
        <v>2436</v>
      </c>
      <c r="B4193">
        <v>1</v>
      </c>
    </row>
    <row r="4194" spans="1:2">
      <c r="A4194" s="10" t="s">
        <v>2450</v>
      </c>
      <c r="B4194">
        <v>1</v>
      </c>
    </row>
    <row r="4195" spans="1:2">
      <c r="A4195" s="10" t="s">
        <v>2450</v>
      </c>
      <c r="B4195">
        <v>1</v>
      </c>
    </row>
    <row r="4196" spans="1:2">
      <c r="A4196" s="10" t="s">
        <v>2436</v>
      </c>
      <c r="B4196">
        <v>1</v>
      </c>
    </row>
    <row r="4197" spans="1:2">
      <c r="A4197" s="10" t="s">
        <v>2436</v>
      </c>
      <c r="B4197">
        <v>1</v>
      </c>
    </row>
    <row r="4198" spans="1:2">
      <c r="A4198" s="10" t="s">
        <v>2450</v>
      </c>
      <c r="B4198">
        <v>1</v>
      </c>
    </row>
    <row r="4199" spans="1:2">
      <c r="A4199" s="10" t="s">
        <v>2457</v>
      </c>
      <c r="B4199">
        <v>2</v>
      </c>
    </row>
    <row r="4200" spans="1:2">
      <c r="A4200" s="10" t="s">
        <v>2460</v>
      </c>
      <c r="B4200">
        <v>1</v>
      </c>
    </row>
    <row r="4201" spans="1:2">
      <c r="A4201" s="10" t="s">
        <v>2436</v>
      </c>
      <c r="B4201">
        <v>1</v>
      </c>
    </row>
    <row r="4202" spans="1:2">
      <c r="A4202" s="10" t="s">
        <v>2436</v>
      </c>
      <c r="B4202">
        <v>1</v>
      </c>
    </row>
    <row r="4203" spans="1:2">
      <c r="A4203" s="10" t="s">
        <v>2440</v>
      </c>
      <c r="B4203">
        <v>0.5</v>
      </c>
    </row>
    <row r="4204" spans="1:2">
      <c r="A4204" s="10" t="s">
        <v>2436</v>
      </c>
      <c r="B4204">
        <v>1</v>
      </c>
    </row>
    <row r="4205" spans="1:2">
      <c r="A4205" s="10" t="s">
        <v>2436</v>
      </c>
      <c r="B4205">
        <v>1</v>
      </c>
    </row>
    <row r="4206" spans="1:2">
      <c r="A4206" s="10" t="s">
        <v>2440</v>
      </c>
      <c r="B4206">
        <v>0.5</v>
      </c>
    </row>
    <row r="4207" spans="1:2">
      <c r="A4207" s="10" t="s">
        <v>2436</v>
      </c>
      <c r="B4207">
        <v>1</v>
      </c>
    </row>
    <row r="4208" spans="1:2">
      <c r="A4208" s="10" t="s">
        <v>2436</v>
      </c>
      <c r="B4208">
        <v>1</v>
      </c>
    </row>
    <row r="4209" spans="1:2">
      <c r="A4209" s="10" t="s">
        <v>2672</v>
      </c>
      <c r="B4209">
        <v>1</v>
      </c>
    </row>
    <row r="4210" spans="1:2">
      <c r="A4210" s="10" t="s">
        <v>2436</v>
      </c>
      <c r="B4210">
        <v>1</v>
      </c>
    </row>
    <row r="4211" spans="1:2">
      <c r="A4211" s="10" t="s">
        <v>2436</v>
      </c>
      <c r="B4211">
        <v>1</v>
      </c>
    </row>
    <row r="4212" spans="1:2">
      <c r="A4212" s="10" t="s">
        <v>2436</v>
      </c>
      <c r="B4212">
        <v>1</v>
      </c>
    </row>
    <row r="4213" spans="1:2">
      <c r="A4213" s="10" t="s">
        <v>2436</v>
      </c>
      <c r="B4213">
        <v>1</v>
      </c>
    </row>
    <row r="4214" spans="1:2">
      <c r="A4214" s="10" t="s">
        <v>2436</v>
      </c>
      <c r="B4214">
        <v>1</v>
      </c>
    </row>
    <row r="4215" spans="1:2">
      <c r="A4215" s="10" t="s">
        <v>2436</v>
      </c>
      <c r="B4215">
        <v>1</v>
      </c>
    </row>
    <row r="4216" spans="1:2">
      <c r="A4216" s="10" t="s">
        <v>40</v>
      </c>
      <c r="B4216">
        <v>1</v>
      </c>
    </row>
    <row r="4217" spans="1:2">
      <c r="A4217" s="10" t="s">
        <v>2436</v>
      </c>
      <c r="B4217">
        <v>1</v>
      </c>
    </row>
    <row r="4218" spans="1:2">
      <c r="A4218" s="10" t="s">
        <v>2436</v>
      </c>
      <c r="B4218">
        <v>1</v>
      </c>
    </row>
    <row r="4219" spans="1:2">
      <c r="A4219" s="10" t="s">
        <v>2436</v>
      </c>
      <c r="B4219">
        <v>1</v>
      </c>
    </row>
    <row r="4220" spans="1:2">
      <c r="A4220" s="10" t="s">
        <v>2436</v>
      </c>
      <c r="B4220">
        <v>1</v>
      </c>
    </row>
    <row r="4221" spans="1:2">
      <c r="A4221" s="10" t="s">
        <v>2436</v>
      </c>
      <c r="B4221">
        <v>1</v>
      </c>
    </row>
    <row r="4222" spans="1:2">
      <c r="A4222" s="10" t="s">
        <v>2436</v>
      </c>
      <c r="B4222">
        <v>1</v>
      </c>
    </row>
    <row r="4223" spans="1:2">
      <c r="A4223" s="10" t="s">
        <v>2436</v>
      </c>
      <c r="B4223">
        <v>1</v>
      </c>
    </row>
    <row r="4224" spans="1:2">
      <c r="A4224" s="10" t="s">
        <v>2450</v>
      </c>
      <c r="B4224">
        <v>1</v>
      </c>
    </row>
    <row r="4225" spans="1:2">
      <c r="A4225" s="10" t="s">
        <v>2436</v>
      </c>
      <c r="B4225">
        <v>1</v>
      </c>
    </row>
    <row r="4226" spans="1:2">
      <c r="A4226" s="10" t="s">
        <v>2436</v>
      </c>
      <c r="B4226">
        <v>1</v>
      </c>
    </row>
    <row r="4227" spans="1:2">
      <c r="A4227" s="10" t="s">
        <v>2436</v>
      </c>
      <c r="B4227">
        <v>1</v>
      </c>
    </row>
    <row r="4228" spans="1:2">
      <c r="A4228" s="10" t="s">
        <v>2436</v>
      </c>
      <c r="B4228">
        <v>1</v>
      </c>
    </row>
    <row r="4229" spans="1:2">
      <c r="A4229" s="10" t="s">
        <v>2436</v>
      </c>
      <c r="B4229">
        <v>1</v>
      </c>
    </row>
    <row r="4230" spans="1:2">
      <c r="A4230" s="10" t="s">
        <v>2436</v>
      </c>
      <c r="B4230">
        <v>1</v>
      </c>
    </row>
    <row r="4231" spans="1:2">
      <c r="A4231" s="10" t="s">
        <v>2436</v>
      </c>
      <c r="B4231">
        <v>1</v>
      </c>
    </row>
    <row r="4232" spans="1:2">
      <c r="A4232" s="10" t="s">
        <v>2436</v>
      </c>
      <c r="B4232">
        <v>1</v>
      </c>
    </row>
    <row r="4233" spans="1:2">
      <c r="A4233" s="10" t="s">
        <v>2436</v>
      </c>
      <c r="B4233">
        <v>1</v>
      </c>
    </row>
    <row r="4234" spans="1:2">
      <c r="A4234" s="10" t="s">
        <v>2436</v>
      </c>
      <c r="B4234">
        <v>1</v>
      </c>
    </row>
    <row r="4235" spans="1:2">
      <c r="A4235" s="10" t="s">
        <v>2436</v>
      </c>
      <c r="B4235">
        <v>1</v>
      </c>
    </row>
    <row r="4236" spans="1:2">
      <c r="A4236" s="10" t="s">
        <v>2436</v>
      </c>
      <c r="B4236">
        <v>1</v>
      </c>
    </row>
    <row r="4237" spans="1:2">
      <c r="A4237" s="10" t="s">
        <v>2436</v>
      </c>
      <c r="B4237">
        <v>1</v>
      </c>
    </row>
    <row r="4238" spans="1:2">
      <c r="A4238" s="10" t="s">
        <v>2450</v>
      </c>
      <c r="B4238">
        <v>1</v>
      </c>
    </row>
    <row r="4239" spans="1:2">
      <c r="A4239" s="10" t="s">
        <v>2436</v>
      </c>
      <c r="B4239">
        <v>1</v>
      </c>
    </row>
    <row r="4240" spans="1:2">
      <c r="A4240" s="10" t="s">
        <v>2436</v>
      </c>
      <c r="B4240">
        <v>1</v>
      </c>
    </row>
    <row r="4241" spans="1:2">
      <c r="A4241" s="10" t="s">
        <v>2454</v>
      </c>
      <c r="B4241">
        <v>1</v>
      </c>
    </row>
    <row r="4242" spans="1:2">
      <c r="A4242" s="10" t="s">
        <v>2436</v>
      </c>
      <c r="B4242">
        <v>1</v>
      </c>
    </row>
    <row r="4243" spans="1:2">
      <c r="A4243" s="10" t="s">
        <v>2436</v>
      </c>
      <c r="B4243">
        <v>1</v>
      </c>
    </row>
    <row r="4244" spans="1:2">
      <c r="A4244" s="10" t="s">
        <v>2436</v>
      </c>
      <c r="B4244">
        <v>1</v>
      </c>
    </row>
    <row r="4245" spans="1:2">
      <c r="A4245" s="10" t="s">
        <v>2457</v>
      </c>
      <c r="B4245">
        <v>2</v>
      </c>
    </row>
    <row r="4246" spans="1:2">
      <c r="A4246" s="10" t="s">
        <v>2460</v>
      </c>
      <c r="B4246">
        <v>1</v>
      </c>
    </row>
    <row r="4247" spans="1:2">
      <c r="A4247" s="10" t="s">
        <v>20</v>
      </c>
      <c r="B4247">
        <v>1</v>
      </c>
    </row>
    <row r="4248" spans="1:2">
      <c r="A4248" s="10" t="s">
        <v>2436</v>
      </c>
      <c r="B4248">
        <v>1</v>
      </c>
    </row>
    <row r="4249" spans="1:2">
      <c r="A4249" s="10" t="s">
        <v>2436</v>
      </c>
      <c r="B4249">
        <v>1</v>
      </c>
    </row>
    <row r="4250" spans="1:2">
      <c r="A4250" s="10" t="s">
        <v>2436</v>
      </c>
      <c r="B4250">
        <v>1</v>
      </c>
    </row>
    <row r="4251" spans="1:2">
      <c r="A4251" s="10" t="s">
        <v>2436</v>
      </c>
      <c r="B4251">
        <v>1</v>
      </c>
    </row>
    <row r="4252" spans="1:2">
      <c r="A4252" s="10" t="s">
        <v>2507</v>
      </c>
      <c r="B4252">
        <v>4</v>
      </c>
    </row>
    <row r="4253" spans="1:2">
      <c r="A4253" s="10" t="s">
        <v>2457</v>
      </c>
      <c r="B4253">
        <v>2</v>
      </c>
    </row>
    <row r="4254" spans="1:2">
      <c r="A4254" s="10" t="s">
        <v>2460</v>
      </c>
      <c r="B4254">
        <v>1</v>
      </c>
    </row>
    <row r="4255" spans="1:2">
      <c r="A4255" s="10" t="s">
        <v>2436</v>
      </c>
      <c r="B4255">
        <v>1</v>
      </c>
    </row>
    <row r="4256" spans="1:2">
      <c r="A4256" s="10" t="s">
        <v>2436</v>
      </c>
      <c r="B4256">
        <v>1</v>
      </c>
    </row>
    <row r="4257" spans="1:2">
      <c r="A4257" s="10" t="s">
        <v>20</v>
      </c>
      <c r="B4257">
        <v>1</v>
      </c>
    </row>
    <row r="4258" spans="1:2">
      <c r="A4258" s="10" t="s">
        <v>2507</v>
      </c>
      <c r="B4258">
        <v>4</v>
      </c>
    </row>
    <row r="4259" spans="1:2">
      <c r="A4259" s="10" t="s">
        <v>2457</v>
      </c>
      <c r="B4259">
        <v>2</v>
      </c>
    </row>
    <row r="4260" spans="1:2">
      <c r="A4260" s="10" t="s">
        <v>2460</v>
      </c>
      <c r="B4260">
        <v>1</v>
      </c>
    </row>
    <row r="4261" spans="1:2">
      <c r="A4261" s="10" t="s">
        <v>2436</v>
      </c>
      <c r="B4261">
        <v>1</v>
      </c>
    </row>
    <row r="4262" spans="1:2">
      <c r="A4262" s="10" t="s">
        <v>2436</v>
      </c>
      <c r="B4262">
        <v>1</v>
      </c>
    </row>
    <row r="4263" spans="1:2">
      <c r="A4263" s="10" t="s">
        <v>32</v>
      </c>
      <c r="B4263">
        <v>1</v>
      </c>
    </row>
    <row r="4264" spans="1:2">
      <c r="A4264" s="10" t="s">
        <v>2517</v>
      </c>
      <c r="B4264">
        <v>1</v>
      </c>
    </row>
    <row r="4265" spans="1:2">
      <c r="A4265" s="10" t="s">
        <v>2517</v>
      </c>
      <c r="B4265">
        <v>1</v>
      </c>
    </row>
    <row r="4266" spans="1:2">
      <c r="A4266" s="10" t="s">
        <v>2436</v>
      </c>
      <c r="B4266">
        <v>1</v>
      </c>
    </row>
    <row r="4267" spans="1:2">
      <c r="A4267" s="10" t="s">
        <v>2436</v>
      </c>
      <c r="B4267">
        <v>1</v>
      </c>
    </row>
    <row r="4268" spans="1:2">
      <c r="A4268" s="10" t="s">
        <v>2436</v>
      </c>
      <c r="B4268">
        <v>1</v>
      </c>
    </row>
    <row r="4269" spans="1:2">
      <c r="A4269" s="10" t="s">
        <v>2436</v>
      </c>
      <c r="B4269">
        <v>1</v>
      </c>
    </row>
    <row r="4270" spans="1:2">
      <c r="A4270" s="10" t="s">
        <v>2436</v>
      </c>
      <c r="B4270">
        <v>1</v>
      </c>
    </row>
    <row r="4271" spans="1:2">
      <c r="A4271" s="10" t="s">
        <v>2436</v>
      </c>
      <c r="B4271">
        <v>1</v>
      </c>
    </row>
    <row r="4272" spans="1:2">
      <c r="A4272" s="10" t="s">
        <v>2457</v>
      </c>
      <c r="B4272">
        <v>2</v>
      </c>
    </row>
    <row r="4273" spans="1:2">
      <c r="A4273" s="10" t="s">
        <v>2460</v>
      </c>
      <c r="B4273">
        <v>1</v>
      </c>
    </row>
    <row r="4274" spans="1:2">
      <c r="A4274" s="10" t="s">
        <v>20</v>
      </c>
      <c r="B4274">
        <v>1</v>
      </c>
    </row>
    <row r="4275" spans="1:2">
      <c r="A4275" s="10" t="s">
        <v>2454</v>
      </c>
      <c r="B4275">
        <v>1</v>
      </c>
    </row>
    <row r="4276" spans="1:2">
      <c r="A4276" s="10" t="s">
        <v>2457</v>
      </c>
      <c r="B4276">
        <v>2</v>
      </c>
    </row>
    <row r="4277" spans="1:2">
      <c r="A4277" s="10" t="s">
        <v>2460</v>
      </c>
      <c r="B4277">
        <v>1</v>
      </c>
    </row>
    <row r="4278" spans="1:2">
      <c r="A4278" s="10" t="s">
        <v>2436</v>
      </c>
      <c r="B4278">
        <v>1</v>
      </c>
    </row>
    <row r="4279" spans="1:2">
      <c r="A4279" s="10" t="s">
        <v>2436</v>
      </c>
      <c r="B4279">
        <v>1</v>
      </c>
    </row>
    <row r="4280" spans="1:2">
      <c r="A4280" s="10" t="s">
        <v>2436</v>
      </c>
      <c r="B4280">
        <v>1</v>
      </c>
    </row>
    <row r="4281" spans="1:2">
      <c r="A4281" s="10" t="s">
        <v>2436</v>
      </c>
      <c r="B4281">
        <v>1</v>
      </c>
    </row>
    <row r="4282" spans="1:2">
      <c r="A4282" s="10" t="s">
        <v>2436</v>
      </c>
      <c r="B4282">
        <v>1</v>
      </c>
    </row>
    <row r="4283" spans="1:2">
      <c r="A4283" s="10" t="s">
        <v>2440</v>
      </c>
      <c r="B4283">
        <v>0.5</v>
      </c>
    </row>
    <row r="4284" spans="1:2">
      <c r="A4284" s="10" t="s">
        <v>2436</v>
      </c>
      <c r="B4284">
        <v>1</v>
      </c>
    </row>
    <row r="4285" spans="1:2">
      <c r="A4285" s="10" t="s">
        <v>2436</v>
      </c>
      <c r="B4285">
        <v>1</v>
      </c>
    </row>
    <row r="4286" spans="1:2">
      <c r="A4286" s="10" t="s">
        <v>2457</v>
      </c>
      <c r="B4286">
        <v>2</v>
      </c>
    </row>
    <row r="4287" spans="1:2">
      <c r="A4287" s="10" t="s">
        <v>2460</v>
      </c>
      <c r="B4287">
        <v>1</v>
      </c>
    </row>
    <row r="4288" spans="1:2">
      <c r="A4288" s="10" t="s">
        <v>2436</v>
      </c>
      <c r="B4288">
        <v>1</v>
      </c>
    </row>
    <row r="4289" spans="1:2">
      <c r="A4289" s="10" t="s">
        <v>2436</v>
      </c>
      <c r="B4289">
        <v>1</v>
      </c>
    </row>
    <row r="4290" spans="1:2">
      <c r="A4290" s="10" t="s">
        <v>2440</v>
      </c>
      <c r="B4290">
        <v>0.5</v>
      </c>
    </row>
    <row r="4291" spans="1:2">
      <c r="A4291" s="10" t="s">
        <v>2436</v>
      </c>
      <c r="B4291">
        <v>1</v>
      </c>
    </row>
    <row r="4292" spans="1:2">
      <c r="A4292" s="10" t="s">
        <v>2436</v>
      </c>
      <c r="B4292">
        <v>1</v>
      </c>
    </row>
    <row r="4293" spans="1:2">
      <c r="A4293" s="10" t="s">
        <v>3166</v>
      </c>
      <c r="B4293">
        <v>1</v>
      </c>
    </row>
    <row r="4294" spans="1:2">
      <c r="A4294" s="10" t="s">
        <v>2436</v>
      </c>
      <c r="B4294">
        <v>1</v>
      </c>
    </row>
    <row r="4295" spans="1:2">
      <c r="A4295" s="10" t="s">
        <v>2436</v>
      </c>
      <c r="B4295">
        <v>1</v>
      </c>
    </row>
    <row r="4296" spans="1:2">
      <c r="A4296" s="10" t="s">
        <v>2517</v>
      </c>
      <c r="B4296">
        <v>1</v>
      </c>
    </row>
    <row r="4297" spans="1:2">
      <c r="A4297" s="10" t="s">
        <v>2436</v>
      </c>
      <c r="B4297">
        <v>1</v>
      </c>
    </row>
    <row r="4298" spans="1:2">
      <c r="A4298" s="10" t="s">
        <v>2436</v>
      </c>
      <c r="B4298">
        <v>1</v>
      </c>
    </row>
    <row r="4299" spans="1:2">
      <c r="A4299" s="10" t="s">
        <v>2436</v>
      </c>
      <c r="B4299">
        <v>1</v>
      </c>
    </row>
    <row r="4300" spans="1:2">
      <c r="A4300" s="10" t="s">
        <v>2436</v>
      </c>
      <c r="B4300">
        <v>1</v>
      </c>
    </row>
    <row r="4301" spans="1:2">
      <c r="A4301" s="10" t="s">
        <v>2436</v>
      </c>
      <c r="B4301">
        <v>1</v>
      </c>
    </row>
    <row r="4302" spans="1:2">
      <c r="A4302" s="10" t="s">
        <v>2450</v>
      </c>
      <c r="B4302">
        <v>1</v>
      </c>
    </row>
    <row r="4303" spans="1:2">
      <c r="A4303" s="10" t="s">
        <v>2436</v>
      </c>
      <c r="B4303">
        <v>1</v>
      </c>
    </row>
    <row r="4304" spans="1:2">
      <c r="A4304" s="10" t="s">
        <v>2450</v>
      </c>
      <c r="B4304">
        <v>1</v>
      </c>
    </row>
    <row r="4305" spans="1:2">
      <c r="A4305" s="10" t="s">
        <v>2436</v>
      </c>
      <c r="B4305">
        <v>1</v>
      </c>
    </row>
    <row r="4306" spans="1:2">
      <c r="A4306" s="10" t="s">
        <v>2436</v>
      </c>
      <c r="B4306">
        <v>1</v>
      </c>
    </row>
    <row r="4307" spans="1:2">
      <c r="A4307" s="10" t="s">
        <v>2436</v>
      </c>
      <c r="B4307">
        <v>1</v>
      </c>
    </row>
    <row r="4308" spans="1:2">
      <c r="A4308" s="10" t="s">
        <v>2436</v>
      </c>
      <c r="B4308">
        <v>1</v>
      </c>
    </row>
    <row r="4309" spans="1:2">
      <c r="A4309" s="10" t="s">
        <v>2436</v>
      </c>
      <c r="B4309">
        <v>1</v>
      </c>
    </row>
    <row r="4310" spans="1:2">
      <c r="A4310" s="10" t="s">
        <v>2436</v>
      </c>
      <c r="B4310">
        <v>1</v>
      </c>
    </row>
    <row r="4311" spans="1:2">
      <c r="A4311" s="10" t="s">
        <v>2436</v>
      </c>
      <c r="B4311">
        <v>1</v>
      </c>
    </row>
    <row r="4312" spans="1:2">
      <c r="A4312" s="10" t="s">
        <v>2436</v>
      </c>
      <c r="B4312">
        <v>1</v>
      </c>
    </row>
    <row r="4313" spans="1:2">
      <c r="A4313" s="10" t="s">
        <v>2457</v>
      </c>
      <c r="B4313">
        <v>2</v>
      </c>
    </row>
    <row r="4314" spans="1:2">
      <c r="A4314" s="10" t="s">
        <v>2460</v>
      </c>
      <c r="B4314">
        <v>1</v>
      </c>
    </row>
    <row r="4315" spans="1:2">
      <c r="A4315" s="10" t="s">
        <v>2507</v>
      </c>
      <c r="B4315">
        <v>4</v>
      </c>
    </row>
    <row r="4316" spans="1:2">
      <c r="A4316" s="10" t="s">
        <v>2457</v>
      </c>
      <c r="B4316">
        <v>2</v>
      </c>
    </row>
    <row r="4317" spans="1:2">
      <c r="A4317" s="10" t="s">
        <v>2460</v>
      </c>
      <c r="B4317">
        <v>1</v>
      </c>
    </row>
    <row r="4318" spans="1:2">
      <c r="A4318" s="10" t="s">
        <v>2436</v>
      </c>
      <c r="B4318">
        <v>1</v>
      </c>
    </row>
  </sheetData>
  <autoFilter xmlns:etc="http://www.wps.cn/officeDocument/2017/etCustomData" ref="A1:B4318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0"/>
  <sheetViews>
    <sheetView topLeftCell="B5" workbookViewId="0">
      <selection activeCell="D28" sqref="D28"/>
    </sheetView>
  </sheetViews>
  <sheetFormatPr defaultColWidth="7.83333333333333" defaultRowHeight="15.75"/>
  <cols>
    <col min="1" max="1" width="8.5" customWidth="1"/>
    <col min="2" max="2" width="8.83333333333333" customWidth="1"/>
    <col min="3" max="3" width="9"/>
    <col min="4" max="4" width="45.3333333333333"/>
    <col min="5" max="5" width="8.83333333333333"/>
    <col min="6" max="6" width="14.5"/>
    <col min="7" max="7" width="19.5"/>
    <col min="8" max="9" width="12"/>
    <col min="10" max="10" width="15.8333333333333" style="2"/>
    <col min="11" max="11" width="15" style="2" customWidth="1"/>
    <col min="12" max="12" width="16.5"/>
  </cols>
  <sheetData>
    <row r="1" s="1" customFormat="1" ht="16.5" spans="1:12">
      <c r="A1" s="3" t="s">
        <v>4374</v>
      </c>
      <c r="B1" s="3" t="s">
        <v>4375</v>
      </c>
      <c r="C1" s="3" t="s">
        <v>4376</v>
      </c>
      <c r="D1" s="3" t="s">
        <v>627</v>
      </c>
      <c r="E1" s="3" t="s">
        <v>629</v>
      </c>
      <c r="F1" s="3" t="s">
        <v>15</v>
      </c>
      <c r="G1" s="3" t="s">
        <v>4377</v>
      </c>
      <c r="H1" s="3" t="s">
        <v>3177</v>
      </c>
      <c r="I1" s="3" t="s">
        <v>3178</v>
      </c>
      <c r="J1" s="3" t="s">
        <v>4378</v>
      </c>
      <c r="K1" s="3" t="s">
        <v>4379</v>
      </c>
      <c r="L1" s="7" t="s">
        <v>2998</v>
      </c>
    </row>
    <row r="2" ht="16.5" spans="1:12">
      <c r="A2" s="4" t="s">
        <v>3180</v>
      </c>
      <c r="B2" s="4"/>
      <c r="C2" s="5">
        <v>1000049</v>
      </c>
      <c r="D2" s="4" t="s">
        <v>536</v>
      </c>
      <c r="E2" s="4" t="s">
        <v>637</v>
      </c>
      <c r="F2" s="4" t="s">
        <v>638</v>
      </c>
      <c r="G2" s="4" t="s">
        <v>3342</v>
      </c>
      <c r="H2" s="6"/>
      <c r="I2" s="6"/>
      <c r="J2" s="6" t="s">
        <v>4380</v>
      </c>
      <c r="K2" s="8" t="s">
        <v>4381</v>
      </c>
      <c r="L2" s="9"/>
    </row>
    <row r="3" ht="16.5" spans="1:12">
      <c r="A3" s="4" t="s">
        <v>3180</v>
      </c>
      <c r="B3" s="4"/>
      <c r="C3" s="5">
        <v>1000096</v>
      </c>
      <c r="D3" s="4" t="s">
        <v>524</v>
      </c>
      <c r="E3" s="4" t="s">
        <v>637</v>
      </c>
      <c r="F3" s="4" t="s">
        <v>638</v>
      </c>
      <c r="G3" s="4" t="s">
        <v>3186</v>
      </c>
      <c r="H3" s="6"/>
      <c r="I3" s="6"/>
      <c r="J3" s="6" t="s">
        <v>4380</v>
      </c>
      <c r="K3" s="8" t="s">
        <v>4381</v>
      </c>
      <c r="L3" s="9"/>
    </row>
    <row r="4" ht="16.5" spans="1:12">
      <c r="A4" s="4" t="s">
        <v>3180</v>
      </c>
      <c r="B4" s="4"/>
      <c r="C4" s="5">
        <v>1000132</v>
      </c>
      <c r="D4" s="4" t="s">
        <v>320</v>
      </c>
      <c r="E4" s="4" t="s">
        <v>637</v>
      </c>
      <c r="F4" s="4" t="s">
        <v>638</v>
      </c>
      <c r="G4" s="4" t="s">
        <v>3186</v>
      </c>
      <c r="H4" s="6"/>
      <c r="I4" s="6"/>
      <c r="J4" s="6" t="s">
        <v>4380</v>
      </c>
      <c r="K4" s="8" t="s">
        <v>4381</v>
      </c>
      <c r="L4" s="9"/>
    </row>
    <row r="5" ht="16.5" spans="1:12">
      <c r="A5" s="4" t="s">
        <v>3180</v>
      </c>
      <c r="B5" s="4"/>
      <c r="C5" s="5">
        <v>1001268</v>
      </c>
      <c r="D5" s="4" t="s">
        <v>765</v>
      </c>
      <c r="E5" s="4" t="s">
        <v>637</v>
      </c>
      <c r="F5" s="4" t="s">
        <v>638</v>
      </c>
      <c r="G5" s="4" t="s">
        <v>3186</v>
      </c>
      <c r="H5" s="6"/>
      <c r="I5" s="6"/>
      <c r="J5" s="6" t="s">
        <v>4380</v>
      </c>
      <c r="K5" s="8" t="s">
        <v>4381</v>
      </c>
      <c r="L5" s="9"/>
    </row>
    <row r="6" ht="16.5" spans="1:12">
      <c r="A6" s="4" t="s">
        <v>3180</v>
      </c>
      <c r="B6" s="4"/>
      <c r="C6" s="5">
        <v>1001413</v>
      </c>
      <c r="D6" s="4" t="s">
        <v>148</v>
      </c>
      <c r="E6" s="4" t="s">
        <v>637</v>
      </c>
      <c r="F6" s="4" t="s">
        <v>638</v>
      </c>
      <c r="G6" s="4" t="s">
        <v>3342</v>
      </c>
      <c r="H6" s="6"/>
      <c r="I6" s="6"/>
      <c r="J6" s="6" t="s">
        <v>4380</v>
      </c>
      <c r="K6" s="8" t="s">
        <v>4381</v>
      </c>
      <c r="L6" s="9"/>
    </row>
    <row r="7" ht="16.5" spans="1:12">
      <c r="A7" s="4" t="s">
        <v>3180</v>
      </c>
      <c r="B7" s="4"/>
      <c r="C7" s="5">
        <v>1004576</v>
      </c>
      <c r="D7" s="4" t="s">
        <v>503</v>
      </c>
      <c r="E7" s="4" t="s">
        <v>637</v>
      </c>
      <c r="F7" s="4" t="s">
        <v>638</v>
      </c>
      <c r="G7" s="4" t="s">
        <v>3207</v>
      </c>
      <c r="H7" s="6"/>
      <c r="I7" s="6"/>
      <c r="J7" s="6" t="s">
        <v>4380</v>
      </c>
      <c r="K7" s="8" t="s">
        <v>4381</v>
      </c>
      <c r="L7" s="9"/>
    </row>
    <row r="8" ht="16.5" spans="1:12">
      <c r="A8" s="4" t="s">
        <v>3180</v>
      </c>
      <c r="B8" s="4"/>
      <c r="C8" s="5">
        <v>1500009</v>
      </c>
      <c r="D8" s="4" t="s">
        <v>504</v>
      </c>
      <c r="E8" s="4" t="s">
        <v>637</v>
      </c>
      <c r="F8" s="4" t="s">
        <v>638</v>
      </c>
      <c r="G8" s="4" t="s">
        <v>3186</v>
      </c>
      <c r="H8" s="6"/>
      <c r="I8" s="6"/>
      <c r="J8" s="6" t="s">
        <v>4380</v>
      </c>
      <c r="K8" s="8" t="s">
        <v>4381</v>
      </c>
      <c r="L8" s="9"/>
    </row>
    <row r="9" ht="16.5" spans="1:12">
      <c r="A9" s="4" t="s">
        <v>3180</v>
      </c>
      <c r="B9" s="4"/>
      <c r="C9" s="5">
        <v>1500032</v>
      </c>
      <c r="D9" s="4" t="s">
        <v>559</v>
      </c>
      <c r="E9" s="4" t="s">
        <v>637</v>
      </c>
      <c r="F9" s="4" t="s">
        <v>638</v>
      </c>
      <c r="G9" s="4" t="s">
        <v>3186</v>
      </c>
      <c r="H9" s="6"/>
      <c r="I9" s="6"/>
      <c r="J9" s="6" t="s">
        <v>4380</v>
      </c>
      <c r="K9" s="8" t="s">
        <v>4381</v>
      </c>
      <c r="L9" s="9"/>
    </row>
    <row r="10" ht="16.5" spans="1:12">
      <c r="A10" s="4" t="s">
        <v>3180</v>
      </c>
      <c r="B10" s="4"/>
      <c r="C10" s="5">
        <v>1500058</v>
      </c>
      <c r="D10" s="4" t="s">
        <v>766</v>
      </c>
      <c r="E10" s="4" t="s">
        <v>637</v>
      </c>
      <c r="F10" s="4" t="s">
        <v>644</v>
      </c>
      <c r="G10" s="4" t="s">
        <v>3204</v>
      </c>
      <c r="H10" s="6"/>
      <c r="I10" s="6"/>
      <c r="J10" s="6" t="s">
        <v>4380</v>
      </c>
      <c r="K10" s="8" t="s">
        <v>4381</v>
      </c>
      <c r="L10" s="9"/>
    </row>
    <row r="11" ht="16.5" spans="1:12">
      <c r="A11" s="4" t="s">
        <v>3180</v>
      </c>
      <c r="B11" s="4"/>
      <c r="C11" s="5">
        <v>1500059</v>
      </c>
      <c r="D11" s="4" t="s">
        <v>72</v>
      </c>
      <c r="E11" s="4" t="s">
        <v>637</v>
      </c>
      <c r="F11" s="4" t="s">
        <v>644</v>
      </c>
      <c r="G11" s="4" t="s">
        <v>3204</v>
      </c>
      <c r="H11" s="6"/>
      <c r="I11" s="6"/>
      <c r="J11" s="6" t="s">
        <v>4380</v>
      </c>
      <c r="K11" s="8" t="s">
        <v>4381</v>
      </c>
      <c r="L11" s="9"/>
    </row>
    <row r="12" ht="16.5" spans="1:12">
      <c r="A12" s="4" t="s">
        <v>3180</v>
      </c>
      <c r="B12" s="4"/>
      <c r="C12" s="5">
        <v>1500352</v>
      </c>
      <c r="D12" s="4" t="s">
        <v>769</v>
      </c>
      <c r="E12" s="4" t="s">
        <v>637</v>
      </c>
      <c r="F12" s="4" t="s">
        <v>638</v>
      </c>
      <c r="G12" s="4" t="s">
        <v>3342</v>
      </c>
      <c r="H12" s="6"/>
      <c r="I12" s="6"/>
      <c r="J12" s="6" t="s">
        <v>4380</v>
      </c>
      <c r="K12" s="8" t="s">
        <v>4381</v>
      </c>
      <c r="L12" s="9"/>
    </row>
    <row r="13" ht="16.5" spans="1:12">
      <c r="A13" s="4" t="s">
        <v>3180</v>
      </c>
      <c r="B13" s="4"/>
      <c r="C13" s="5">
        <v>1500612</v>
      </c>
      <c r="D13" s="4" t="s">
        <v>470</v>
      </c>
      <c r="E13" s="4" t="s">
        <v>637</v>
      </c>
      <c r="F13" s="4" t="s">
        <v>638</v>
      </c>
      <c r="G13" s="4" t="s">
        <v>3186</v>
      </c>
      <c r="H13" s="6"/>
      <c r="I13" s="6"/>
      <c r="J13" s="6" t="s">
        <v>4380</v>
      </c>
      <c r="K13" s="8" t="s">
        <v>4381</v>
      </c>
      <c r="L13" s="9"/>
    </row>
    <row r="14" ht="16.5" spans="1:12">
      <c r="A14" s="4" t="s">
        <v>3180</v>
      </c>
      <c r="B14" s="4"/>
      <c r="C14" s="5">
        <v>1500674</v>
      </c>
      <c r="D14" s="4" t="s">
        <v>3195</v>
      </c>
      <c r="E14" s="4" t="s">
        <v>637</v>
      </c>
      <c r="F14" s="4" t="s">
        <v>642</v>
      </c>
      <c r="G14" s="4" t="s">
        <v>2437</v>
      </c>
      <c r="H14" s="6"/>
      <c r="I14" s="6"/>
      <c r="J14" s="6" t="s">
        <v>4382</v>
      </c>
      <c r="K14" s="8" t="s">
        <v>4383</v>
      </c>
      <c r="L14" s="9"/>
    </row>
    <row r="15" ht="16.5" spans="1:12">
      <c r="A15" s="4" t="s">
        <v>3180</v>
      </c>
      <c r="B15" s="4"/>
      <c r="C15" s="5">
        <v>1500675</v>
      </c>
      <c r="D15" s="4" t="s">
        <v>773</v>
      </c>
      <c r="E15" s="4" t="s">
        <v>637</v>
      </c>
      <c r="F15" s="4" t="s">
        <v>642</v>
      </c>
      <c r="G15" s="4" t="s">
        <v>2437</v>
      </c>
      <c r="H15" s="6"/>
      <c r="I15" s="6"/>
      <c r="J15" s="6" t="s">
        <v>4384</v>
      </c>
      <c r="K15" s="8" t="s">
        <v>3027</v>
      </c>
      <c r="L15" s="9"/>
    </row>
    <row r="16" ht="16.5" spans="1:12">
      <c r="A16" s="4" t="s">
        <v>3180</v>
      </c>
      <c r="B16" s="4"/>
      <c r="C16" s="5">
        <v>1500676</v>
      </c>
      <c r="D16" s="4" t="s">
        <v>774</v>
      </c>
      <c r="E16" s="4" t="s">
        <v>637</v>
      </c>
      <c r="F16" s="4" t="s">
        <v>642</v>
      </c>
      <c r="G16" s="4" t="s">
        <v>2437</v>
      </c>
      <c r="H16" s="6"/>
      <c r="I16" s="6"/>
      <c r="J16" s="6" t="s">
        <v>4385</v>
      </c>
      <c r="K16" s="8" t="s">
        <v>3024</v>
      </c>
      <c r="L16" s="9"/>
    </row>
    <row r="17" ht="16.5" spans="1:12">
      <c r="A17" s="4" t="s">
        <v>3180</v>
      </c>
      <c r="B17" s="4"/>
      <c r="C17" s="5">
        <v>1500677</v>
      </c>
      <c r="D17" s="4" t="s">
        <v>378</v>
      </c>
      <c r="E17" s="4" t="s">
        <v>637</v>
      </c>
      <c r="F17" s="4" t="s">
        <v>642</v>
      </c>
      <c r="G17" s="4" t="s">
        <v>2437</v>
      </c>
      <c r="H17" s="6"/>
      <c r="I17" s="6"/>
      <c r="J17" s="6" t="s">
        <v>4386</v>
      </c>
      <c r="K17" s="8" t="s">
        <v>3010</v>
      </c>
      <c r="L17" s="9"/>
    </row>
    <row r="18" ht="16.5" spans="1:12">
      <c r="A18" s="4" t="s">
        <v>3180</v>
      </c>
      <c r="B18" s="4"/>
      <c r="C18" s="5">
        <v>1500678</v>
      </c>
      <c r="D18" s="4" t="s">
        <v>382</v>
      </c>
      <c r="E18" s="4" t="s">
        <v>637</v>
      </c>
      <c r="F18" s="4" t="s">
        <v>642</v>
      </c>
      <c r="G18" s="4" t="s">
        <v>2437</v>
      </c>
      <c r="H18" s="6"/>
      <c r="I18" s="6"/>
      <c r="J18" s="6" t="s">
        <v>4387</v>
      </c>
      <c r="K18" s="8" t="s">
        <v>3031</v>
      </c>
      <c r="L18" s="9"/>
    </row>
    <row r="19" ht="16.5" spans="1:12">
      <c r="A19" s="4" t="s">
        <v>3180</v>
      </c>
      <c r="B19" s="4"/>
      <c r="C19" s="5">
        <v>1500679</v>
      </c>
      <c r="D19" s="4" t="s">
        <v>451</v>
      </c>
      <c r="E19" s="4" t="s">
        <v>637</v>
      </c>
      <c r="F19" s="4" t="s">
        <v>642</v>
      </c>
      <c r="G19" s="4" t="s">
        <v>2437</v>
      </c>
      <c r="H19" s="6"/>
      <c r="I19" s="6"/>
      <c r="J19" s="6" t="s">
        <v>4388</v>
      </c>
      <c r="K19" s="8" t="s">
        <v>4389</v>
      </c>
      <c r="L19" s="9"/>
    </row>
    <row r="20" ht="16.5" spans="1:12">
      <c r="A20" s="4" t="s">
        <v>3180</v>
      </c>
      <c r="B20" s="4"/>
      <c r="C20" s="5">
        <v>1500680</v>
      </c>
      <c r="D20" s="4" t="s">
        <v>228</v>
      </c>
      <c r="E20" s="4" t="s">
        <v>637</v>
      </c>
      <c r="F20" s="4" t="s">
        <v>642</v>
      </c>
      <c r="G20" s="4" t="s">
        <v>2437</v>
      </c>
      <c r="H20" s="6"/>
      <c r="I20" s="6"/>
      <c r="J20" s="6" t="s">
        <v>4390</v>
      </c>
      <c r="K20" s="8" t="s">
        <v>4391</v>
      </c>
      <c r="L20" s="9"/>
    </row>
    <row r="21" ht="16.5" spans="1:12">
      <c r="A21" s="4" t="s">
        <v>3180</v>
      </c>
      <c r="B21" s="4"/>
      <c r="C21" s="5">
        <v>1500681</v>
      </c>
      <c r="D21" s="4" t="s">
        <v>156</v>
      </c>
      <c r="E21" s="4" t="s">
        <v>637</v>
      </c>
      <c r="F21" s="4" t="s">
        <v>642</v>
      </c>
      <c r="G21" s="4" t="s">
        <v>2437</v>
      </c>
      <c r="H21" s="6"/>
      <c r="I21" s="6"/>
      <c r="J21" s="6" t="s">
        <v>4392</v>
      </c>
      <c r="K21" s="8" t="s">
        <v>4393</v>
      </c>
      <c r="L21" s="9"/>
    </row>
    <row r="22" ht="16.5" spans="1:12">
      <c r="A22" s="4" t="s">
        <v>3180</v>
      </c>
      <c r="B22" s="4"/>
      <c r="C22" s="5">
        <v>1500682</v>
      </c>
      <c r="D22" s="4" t="s">
        <v>303</v>
      </c>
      <c r="E22" s="4" t="s">
        <v>637</v>
      </c>
      <c r="F22" s="4" t="s">
        <v>642</v>
      </c>
      <c r="G22" s="4" t="s">
        <v>2437</v>
      </c>
      <c r="H22" s="6"/>
      <c r="I22" s="6"/>
      <c r="J22" s="6" t="s">
        <v>4394</v>
      </c>
      <c r="K22" s="8" t="s">
        <v>3087</v>
      </c>
      <c r="L22" s="9"/>
    </row>
    <row r="23" ht="16.5" spans="1:12">
      <c r="A23" s="4" t="s">
        <v>3180</v>
      </c>
      <c r="B23" s="4"/>
      <c r="C23" s="5">
        <v>1500683</v>
      </c>
      <c r="D23" s="4" t="s">
        <v>3197</v>
      </c>
      <c r="E23" s="4" t="s">
        <v>637</v>
      </c>
      <c r="F23" s="4" t="s">
        <v>642</v>
      </c>
      <c r="G23" s="4" t="s">
        <v>2437</v>
      </c>
      <c r="H23" s="6"/>
      <c r="I23" s="6"/>
      <c r="J23" s="6" t="s">
        <v>4395</v>
      </c>
      <c r="K23" s="8" t="s">
        <v>4396</v>
      </c>
      <c r="L23" s="9"/>
    </row>
    <row r="24" ht="16.5" spans="1:12">
      <c r="A24" s="4" t="s">
        <v>3180</v>
      </c>
      <c r="B24" s="4"/>
      <c r="C24" s="5">
        <v>1500684</v>
      </c>
      <c r="D24" s="4" t="s">
        <v>312</v>
      </c>
      <c r="E24" s="4" t="s">
        <v>637</v>
      </c>
      <c r="F24" s="4" t="s">
        <v>642</v>
      </c>
      <c r="G24" s="4" t="s">
        <v>2437</v>
      </c>
      <c r="H24" s="6"/>
      <c r="I24" s="6"/>
      <c r="J24" s="6" t="s">
        <v>4397</v>
      </c>
      <c r="K24" s="8" t="s">
        <v>1053</v>
      </c>
      <c r="L24" s="9"/>
    </row>
    <row r="25" ht="16.5" spans="1:12">
      <c r="A25" s="4" t="s">
        <v>3180</v>
      </c>
      <c r="B25" s="4"/>
      <c r="C25" s="5">
        <v>1500685</v>
      </c>
      <c r="D25" s="4" t="s">
        <v>383</v>
      </c>
      <c r="E25" s="4" t="s">
        <v>637</v>
      </c>
      <c r="F25" s="4" t="s">
        <v>642</v>
      </c>
      <c r="G25" s="4" t="s">
        <v>2437</v>
      </c>
      <c r="H25" s="6"/>
      <c r="I25" s="6"/>
      <c r="J25" s="6" t="s">
        <v>4398</v>
      </c>
      <c r="K25" s="8" t="s">
        <v>2571</v>
      </c>
      <c r="L25" s="9"/>
    </row>
    <row r="26" ht="16.5" spans="1:12">
      <c r="A26" s="4" t="s">
        <v>3180</v>
      </c>
      <c r="B26" s="4"/>
      <c r="C26" s="5">
        <v>1500686</v>
      </c>
      <c r="D26" s="4" t="s">
        <v>380</v>
      </c>
      <c r="E26" s="4" t="s">
        <v>637</v>
      </c>
      <c r="F26" s="4" t="s">
        <v>642</v>
      </c>
      <c r="G26" s="4" t="s">
        <v>2437</v>
      </c>
      <c r="H26" s="6"/>
      <c r="I26" s="6"/>
      <c r="J26" s="6" t="s">
        <v>4399</v>
      </c>
      <c r="K26" s="8" t="s">
        <v>4400</v>
      </c>
      <c r="L26" s="9"/>
    </row>
    <row r="27" ht="16.5" spans="1:12">
      <c r="A27" s="4" t="s">
        <v>3180</v>
      </c>
      <c r="B27" s="4"/>
      <c r="C27" s="5">
        <v>1500687</v>
      </c>
      <c r="D27" s="4" t="s">
        <v>386</v>
      </c>
      <c r="E27" s="4" t="s">
        <v>637</v>
      </c>
      <c r="F27" s="4" t="s">
        <v>644</v>
      </c>
      <c r="G27" s="4" t="s">
        <v>3204</v>
      </c>
      <c r="H27" s="6"/>
      <c r="I27" s="6"/>
      <c r="J27" s="6" t="s">
        <v>2337</v>
      </c>
      <c r="K27" s="8" t="s">
        <v>2338</v>
      </c>
      <c r="L27" s="9"/>
    </row>
    <row r="28" ht="16.5" spans="1:12">
      <c r="A28" s="4" t="s">
        <v>3180</v>
      </c>
      <c r="B28" s="4"/>
      <c r="C28" s="5">
        <v>1500688</v>
      </c>
      <c r="D28" s="4" t="s">
        <v>651</v>
      </c>
      <c r="E28" s="4" t="s">
        <v>637</v>
      </c>
      <c r="F28" s="4" t="s">
        <v>642</v>
      </c>
      <c r="G28" s="4" t="s">
        <v>2437</v>
      </c>
      <c r="H28" s="6"/>
      <c r="I28" s="6"/>
      <c r="J28" s="6" t="s">
        <v>4390</v>
      </c>
      <c r="K28" s="8" t="s">
        <v>4391</v>
      </c>
      <c r="L28" s="9"/>
    </row>
    <row r="29" ht="16.5" spans="1:12">
      <c r="A29" s="4" t="s">
        <v>3180</v>
      </c>
      <c r="B29" s="4"/>
      <c r="C29" s="5">
        <v>1500689</v>
      </c>
      <c r="D29" s="4" t="s">
        <v>775</v>
      </c>
      <c r="E29" s="4" t="s">
        <v>637</v>
      </c>
      <c r="F29" s="4" t="s">
        <v>642</v>
      </c>
      <c r="G29" s="4" t="s">
        <v>2437</v>
      </c>
      <c r="H29" s="6"/>
      <c r="I29" s="6"/>
      <c r="J29" s="6" t="s">
        <v>2345</v>
      </c>
      <c r="K29" s="8" t="s">
        <v>2346</v>
      </c>
      <c r="L29" s="9"/>
    </row>
    <row r="30" ht="16.5" spans="1:12">
      <c r="A30" s="4" t="s">
        <v>3180</v>
      </c>
      <c r="B30" s="4"/>
      <c r="C30" s="5">
        <v>1500690</v>
      </c>
      <c r="D30" s="4" t="s">
        <v>776</v>
      </c>
      <c r="E30" s="4" t="s">
        <v>637</v>
      </c>
      <c r="F30" s="4" t="s">
        <v>642</v>
      </c>
      <c r="G30" s="4" t="s">
        <v>2437</v>
      </c>
      <c r="H30" s="6"/>
      <c r="I30" s="6"/>
      <c r="J30" s="6" t="s">
        <v>2345</v>
      </c>
      <c r="K30" s="8" t="s">
        <v>2346</v>
      </c>
      <c r="L30" s="9"/>
    </row>
    <row r="31" ht="16.5" spans="1:12">
      <c r="A31" s="4" t="s">
        <v>3180</v>
      </c>
      <c r="B31" s="4"/>
      <c r="C31" s="5">
        <v>1500691</v>
      </c>
      <c r="D31" s="4" t="s">
        <v>777</v>
      </c>
      <c r="E31" s="4" t="s">
        <v>637</v>
      </c>
      <c r="F31" s="4" t="s">
        <v>642</v>
      </c>
      <c r="G31" s="4" t="s">
        <v>2437</v>
      </c>
      <c r="H31" s="6"/>
      <c r="I31" s="6"/>
      <c r="J31" s="6" t="s">
        <v>4401</v>
      </c>
      <c r="K31" s="8" t="s">
        <v>3035</v>
      </c>
      <c r="L31" s="9"/>
    </row>
    <row r="32" ht="16.5" spans="1:12">
      <c r="A32" s="4" t="s">
        <v>3180</v>
      </c>
      <c r="B32" s="4"/>
      <c r="C32" s="5">
        <v>1500692</v>
      </c>
      <c r="D32" s="4" t="s">
        <v>778</v>
      </c>
      <c r="E32" s="4" t="s">
        <v>637</v>
      </c>
      <c r="F32" s="4" t="s">
        <v>642</v>
      </c>
      <c r="G32" s="4" t="s">
        <v>2437</v>
      </c>
      <c r="H32" s="6"/>
      <c r="I32" s="6"/>
      <c r="J32" s="6" t="s">
        <v>4402</v>
      </c>
      <c r="K32" s="8" t="s">
        <v>3038</v>
      </c>
      <c r="L32" s="9"/>
    </row>
    <row r="33" ht="16.5" spans="1:12">
      <c r="A33" s="4" t="s">
        <v>3180</v>
      </c>
      <c r="B33" s="4"/>
      <c r="C33" s="5">
        <v>1500693</v>
      </c>
      <c r="D33" s="4" t="s">
        <v>779</v>
      </c>
      <c r="E33" s="4" t="s">
        <v>637</v>
      </c>
      <c r="F33" s="4" t="s">
        <v>4403</v>
      </c>
      <c r="G33" s="4" t="s">
        <v>654</v>
      </c>
      <c r="H33" s="6"/>
      <c r="I33" s="6"/>
      <c r="J33" s="6" t="s">
        <v>2345</v>
      </c>
      <c r="K33" s="8" t="s">
        <v>2346</v>
      </c>
      <c r="L33" s="9"/>
    </row>
    <row r="34" ht="16.5" spans="1:12">
      <c r="A34" s="4" t="s">
        <v>3180</v>
      </c>
      <c r="B34" s="4"/>
      <c r="C34" s="5">
        <v>1500694</v>
      </c>
      <c r="D34" s="4" t="s">
        <v>652</v>
      </c>
      <c r="E34" s="4" t="s">
        <v>637</v>
      </c>
      <c r="F34" s="4" t="s">
        <v>4403</v>
      </c>
      <c r="G34" s="4" t="s">
        <v>654</v>
      </c>
      <c r="H34" s="6"/>
      <c r="I34" s="6"/>
      <c r="J34" s="6" t="s">
        <v>2337</v>
      </c>
      <c r="K34" s="8" t="s">
        <v>2338</v>
      </c>
      <c r="L34" s="9"/>
    </row>
    <row r="35" ht="16.5" spans="1:12">
      <c r="A35" s="4" t="s">
        <v>3180</v>
      </c>
      <c r="B35" s="4"/>
      <c r="C35" s="5">
        <v>1500695</v>
      </c>
      <c r="D35" s="4" t="s">
        <v>424</v>
      </c>
      <c r="E35" s="4" t="s">
        <v>637</v>
      </c>
      <c r="F35" s="4" t="s">
        <v>642</v>
      </c>
      <c r="G35" s="4" t="s">
        <v>2437</v>
      </c>
      <c r="H35" s="6"/>
      <c r="I35" s="6"/>
      <c r="J35" s="6" t="s">
        <v>4404</v>
      </c>
      <c r="K35" s="8" t="s">
        <v>2610</v>
      </c>
      <c r="L35" s="9"/>
    </row>
    <row r="36" ht="16.5" spans="1:12">
      <c r="A36" s="4" t="s">
        <v>3180</v>
      </c>
      <c r="B36" s="4"/>
      <c r="C36" s="5">
        <v>1500696</v>
      </c>
      <c r="D36" s="4" t="s">
        <v>780</v>
      </c>
      <c r="E36" s="4" t="s">
        <v>637</v>
      </c>
      <c r="F36" s="4" t="s">
        <v>642</v>
      </c>
      <c r="G36" s="4" t="s">
        <v>2437</v>
      </c>
      <c r="H36" s="6"/>
      <c r="I36" s="6"/>
      <c r="J36" s="6" t="s">
        <v>4404</v>
      </c>
      <c r="K36" s="8" t="s">
        <v>2610</v>
      </c>
      <c r="L36" s="9"/>
    </row>
    <row r="37" ht="16.5" spans="1:12">
      <c r="A37" s="4" t="s">
        <v>3180</v>
      </c>
      <c r="B37" s="4"/>
      <c r="C37" s="5">
        <v>1500697</v>
      </c>
      <c r="D37" s="4" t="s">
        <v>781</v>
      </c>
      <c r="E37" s="4" t="s">
        <v>637</v>
      </c>
      <c r="F37" s="4" t="s">
        <v>642</v>
      </c>
      <c r="G37" s="4" t="s">
        <v>2437</v>
      </c>
      <c r="H37" s="6"/>
      <c r="I37" s="6"/>
      <c r="J37" s="6" t="s">
        <v>4405</v>
      </c>
      <c r="K37" s="8" t="s">
        <v>3044</v>
      </c>
      <c r="L37" s="9"/>
    </row>
    <row r="38" ht="16.5" spans="1:12">
      <c r="A38" s="4" t="s">
        <v>3180</v>
      </c>
      <c r="B38" s="4"/>
      <c r="C38" s="5">
        <v>1500698</v>
      </c>
      <c r="D38" s="4" t="s">
        <v>782</v>
      </c>
      <c r="E38" s="4" t="s">
        <v>637</v>
      </c>
      <c r="F38" s="4" t="s">
        <v>642</v>
      </c>
      <c r="G38" s="4" t="s">
        <v>2437</v>
      </c>
      <c r="H38" s="6"/>
      <c r="I38" s="6"/>
      <c r="J38" s="6" t="s">
        <v>4405</v>
      </c>
      <c r="K38" s="8" t="s">
        <v>3044</v>
      </c>
      <c r="L38" s="9"/>
    </row>
    <row r="39" ht="16.5" spans="1:12">
      <c r="A39" s="4" t="s">
        <v>3180</v>
      </c>
      <c r="B39" s="4"/>
      <c r="C39" s="5">
        <v>1500699</v>
      </c>
      <c r="D39" s="4" t="s">
        <v>783</v>
      </c>
      <c r="E39" s="4" t="s">
        <v>637</v>
      </c>
      <c r="F39" s="4" t="s">
        <v>642</v>
      </c>
      <c r="G39" s="4" t="s">
        <v>2437</v>
      </c>
      <c r="H39" s="6"/>
      <c r="I39" s="6"/>
      <c r="J39" s="6" t="s">
        <v>4406</v>
      </c>
      <c r="K39" s="8" t="s">
        <v>2486</v>
      </c>
      <c r="L39" s="9"/>
    </row>
    <row r="40" ht="16.5" spans="1:12">
      <c r="A40" s="4" t="s">
        <v>3180</v>
      </c>
      <c r="B40" s="4"/>
      <c r="C40" s="5">
        <v>1500700</v>
      </c>
      <c r="D40" s="4" t="s">
        <v>119</v>
      </c>
      <c r="E40" s="4" t="s">
        <v>637</v>
      </c>
      <c r="F40" s="4" t="s">
        <v>642</v>
      </c>
      <c r="G40" s="4" t="s">
        <v>2437</v>
      </c>
      <c r="H40" s="6"/>
      <c r="I40" s="6"/>
      <c r="J40" s="6" t="s">
        <v>4406</v>
      </c>
      <c r="K40" s="8" t="s">
        <v>2486</v>
      </c>
      <c r="L40" s="9"/>
    </row>
    <row r="41" ht="16.5" spans="1:12">
      <c r="A41" s="4" t="s">
        <v>3180</v>
      </c>
      <c r="B41" s="4"/>
      <c r="C41" s="5">
        <v>1500701</v>
      </c>
      <c r="D41" s="4" t="s">
        <v>192</v>
      </c>
      <c r="E41" s="4" t="s">
        <v>637</v>
      </c>
      <c r="F41" s="4" t="s">
        <v>642</v>
      </c>
      <c r="G41" s="4" t="s">
        <v>2437</v>
      </c>
      <c r="H41" s="6"/>
      <c r="I41" s="6"/>
      <c r="J41" s="6" t="s">
        <v>4407</v>
      </c>
      <c r="K41" s="8" t="s">
        <v>4408</v>
      </c>
      <c r="L41" s="9"/>
    </row>
    <row r="42" ht="16.5" spans="1:12">
      <c r="A42" s="4" t="s">
        <v>3180</v>
      </c>
      <c r="B42" s="4"/>
      <c r="C42" s="5">
        <v>1500702</v>
      </c>
      <c r="D42" s="4" t="s">
        <v>784</v>
      </c>
      <c r="E42" s="4" t="s">
        <v>637</v>
      </c>
      <c r="F42" s="4" t="s">
        <v>642</v>
      </c>
      <c r="G42" s="4" t="s">
        <v>2437</v>
      </c>
      <c r="H42" s="6"/>
      <c r="I42" s="6"/>
      <c r="J42" s="6" t="s">
        <v>4407</v>
      </c>
      <c r="K42" s="8" t="s">
        <v>4408</v>
      </c>
      <c r="L42" s="9"/>
    </row>
    <row r="43" ht="16.5" spans="1:12">
      <c r="A43" s="4" t="s">
        <v>3180</v>
      </c>
      <c r="B43" s="4"/>
      <c r="C43" s="5">
        <v>1500703</v>
      </c>
      <c r="D43" s="4" t="s">
        <v>226</v>
      </c>
      <c r="E43" s="4" t="s">
        <v>637</v>
      </c>
      <c r="F43" s="4" t="s">
        <v>642</v>
      </c>
      <c r="G43" s="4" t="s">
        <v>2437</v>
      </c>
      <c r="H43" s="6"/>
      <c r="I43" s="6"/>
      <c r="J43" s="6" t="s">
        <v>4407</v>
      </c>
      <c r="K43" s="8" t="s">
        <v>4408</v>
      </c>
      <c r="L43" s="9"/>
    </row>
    <row r="44" ht="16.5" spans="1:12">
      <c r="A44" s="4" t="s">
        <v>3180</v>
      </c>
      <c r="B44" s="4"/>
      <c r="C44" s="5">
        <v>1500704</v>
      </c>
      <c r="D44" s="4" t="s">
        <v>509</v>
      </c>
      <c r="E44" s="4" t="s">
        <v>637</v>
      </c>
      <c r="F44" s="4" t="s">
        <v>642</v>
      </c>
      <c r="G44" s="4" t="s">
        <v>2437</v>
      </c>
      <c r="H44" s="6"/>
      <c r="I44" s="6"/>
      <c r="J44" s="6" t="s">
        <v>3159</v>
      </c>
      <c r="K44" s="8" t="s">
        <v>2528</v>
      </c>
      <c r="L44" s="9"/>
    </row>
    <row r="45" ht="16.5" spans="1:12">
      <c r="A45" s="4" t="s">
        <v>3180</v>
      </c>
      <c r="B45" s="4"/>
      <c r="C45" s="5">
        <v>1500705</v>
      </c>
      <c r="D45" s="4" t="s">
        <v>785</v>
      </c>
      <c r="E45" s="4" t="s">
        <v>637</v>
      </c>
      <c r="F45" s="4" t="s">
        <v>642</v>
      </c>
      <c r="G45" s="4" t="s">
        <v>2437</v>
      </c>
      <c r="H45" s="6"/>
      <c r="I45" s="6"/>
      <c r="J45" s="6" t="s">
        <v>4409</v>
      </c>
      <c r="K45" s="8" t="s">
        <v>3019</v>
      </c>
      <c r="L45" s="9"/>
    </row>
    <row r="46" ht="16.5" spans="1:12">
      <c r="A46" s="4" t="s">
        <v>3180</v>
      </c>
      <c r="B46" s="4"/>
      <c r="C46" s="5">
        <v>1500706</v>
      </c>
      <c r="D46" s="4" t="s">
        <v>786</v>
      </c>
      <c r="E46" s="4" t="s">
        <v>637</v>
      </c>
      <c r="F46" s="4" t="s">
        <v>642</v>
      </c>
      <c r="G46" s="4" t="s">
        <v>2437</v>
      </c>
      <c r="H46" s="6"/>
      <c r="I46" s="6"/>
      <c r="J46" s="6" t="s">
        <v>4410</v>
      </c>
      <c r="K46" s="8" t="s">
        <v>4411</v>
      </c>
      <c r="L46" s="9"/>
    </row>
    <row r="47" ht="16.5" spans="1:12">
      <c r="A47" s="4" t="s">
        <v>3180</v>
      </c>
      <c r="B47" s="4"/>
      <c r="C47" s="5">
        <v>1500707</v>
      </c>
      <c r="D47" s="4" t="s">
        <v>787</v>
      </c>
      <c r="E47" s="4" t="s">
        <v>637</v>
      </c>
      <c r="F47" s="4" t="s">
        <v>642</v>
      </c>
      <c r="G47" s="4" t="s">
        <v>2437</v>
      </c>
      <c r="H47" s="6"/>
      <c r="I47" s="6"/>
      <c r="J47" s="6" t="s">
        <v>4412</v>
      </c>
      <c r="K47" s="8" t="s">
        <v>3082</v>
      </c>
      <c r="L47" s="9"/>
    </row>
    <row r="48" ht="16.5" spans="1:12">
      <c r="A48" s="4" t="s">
        <v>3180</v>
      </c>
      <c r="B48" s="4"/>
      <c r="C48" s="5">
        <v>1500708</v>
      </c>
      <c r="D48" s="4" t="s">
        <v>3198</v>
      </c>
      <c r="E48" s="4" t="s">
        <v>637</v>
      </c>
      <c r="F48" s="4" t="s">
        <v>642</v>
      </c>
      <c r="G48" s="4" t="s">
        <v>2437</v>
      </c>
      <c r="H48" s="6"/>
      <c r="I48" s="6"/>
      <c r="J48" s="6" t="s">
        <v>4413</v>
      </c>
      <c r="K48" s="8" t="s">
        <v>3015</v>
      </c>
      <c r="L48" s="9"/>
    </row>
    <row r="49" ht="16.5" spans="1:12">
      <c r="A49" s="4" t="s">
        <v>3180</v>
      </c>
      <c r="B49" s="4"/>
      <c r="C49" s="5">
        <v>1500709</v>
      </c>
      <c r="D49" s="4" t="s">
        <v>788</v>
      </c>
      <c r="E49" s="4" t="s">
        <v>637</v>
      </c>
      <c r="F49" s="4" t="s">
        <v>642</v>
      </c>
      <c r="G49" s="4" t="s">
        <v>2437</v>
      </c>
      <c r="H49" s="6"/>
      <c r="I49" s="6"/>
      <c r="J49" s="6" t="s">
        <v>4414</v>
      </c>
      <c r="K49" s="8" t="s">
        <v>3085</v>
      </c>
      <c r="L49" s="9"/>
    </row>
    <row r="50" ht="16.5" spans="1:12">
      <c r="A50" s="4" t="s">
        <v>3180</v>
      </c>
      <c r="B50" s="4"/>
      <c r="C50" s="5">
        <v>1500710</v>
      </c>
      <c r="D50" s="4" t="s">
        <v>307</v>
      </c>
      <c r="E50" s="4" t="s">
        <v>637</v>
      </c>
      <c r="F50" s="4" t="s">
        <v>638</v>
      </c>
      <c r="G50" s="4" t="s">
        <v>3342</v>
      </c>
      <c r="H50" s="6"/>
      <c r="I50" s="6"/>
      <c r="J50" s="6" t="s">
        <v>4415</v>
      </c>
      <c r="K50" s="8" t="s">
        <v>4416</v>
      </c>
      <c r="L50" s="9"/>
    </row>
    <row r="51" ht="16.5" spans="1:12">
      <c r="A51" s="4" t="s">
        <v>3180</v>
      </c>
      <c r="B51" s="4"/>
      <c r="C51" s="5">
        <v>1500711</v>
      </c>
      <c r="D51" s="4" t="s">
        <v>789</v>
      </c>
      <c r="E51" s="4" t="s">
        <v>637</v>
      </c>
      <c r="F51" s="4" t="s">
        <v>642</v>
      </c>
      <c r="G51" s="4" t="s">
        <v>2437</v>
      </c>
      <c r="H51" s="6"/>
      <c r="I51" s="6"/>
      <c r="J51" s="6" t="s">
        <v>4407</v>
      </c>
      <c r="K51" s="8" t="s">
        <v>4408</v>
      </c>
      <c r="L51" s="9"/>
    </row>
    <row r="52" ht="16.5" spans="1:12">
      <c r="A52" s="4" t="s">
        <v>3180</v>
      </c>
      <c r="B52" s="4"/>
      <c r="C52" s="5">
        <v>1500712</v>
      </c>
      <c r="D52" s="4" t="s">
        <v>256</v>
      </c>
      <c r="E52" s="4" t="s">
        <v>637</v>
      </c>
      <c r="F52" s="4" t="s">
        <v>642</v>
      </c>
      <c r="G52" s="4" t="s">
        <v>2437</v>
      </c>
      <c r="H52" s="6"/>
      <c r="I52" s="6"/>
      <c r="J52" s="6" t="s">
        <v>4417</v>
      </c>
      <c r="K52" s="8" t="s">
        <v>3014</v>
      </c>
      <c r="L52" s="9"/>
    </row>
    <row r="53" ht="16.5" spans="1:12">
      <c r="A53" s="4" t="s">
        <v>3180</v>
      </c>
      <c r="B53" s="4"/>
      <c r="C53" s="5">
        <v>1500713</v>
      </c>
      <c r="D53" s="4" t="s">
        <v>233</v>
      </c>
      <c r="E53" s="4" t="s">
        <v>637</v>
      </c>
      <c r="F53" s="4" t="s">
        <v>656</v>
      </c>
      <c r="G53" s="4" t="s">
        <v>2445</v>
      </c>
      <c r="H53" s="6"/>
      <c r="I53" s="6"/>
      <c r="J53" s="6" t="s">
        <v>4418</v>
      </c>
      <c r="K53" s="8" t="s">
        <v>2651</v>
      </c>
      <c r="L53" s="9"/>
    </row>
    <row r="54" ht="16.5" spans="1:12">
      <c r="A54" s="4" t="s">
        <v>3180</v>
      </c>
      <c r="B54" s="4"/>
      <c r="C54" s="5">
        <v>1500714</v>
      </c>
      <c r="D54" s="4" t="s">
        <v>790</v>
      </c>
      <c r="E54" s="4" t="s">
        <v>637</v>
      </c>
      <c r="F54" s="4" t="s">
        <v>656</v>
      </c>
      <c r="G54" s="4" t="s">
        <v>2445</v>
      </c>
      <c r="H54" s="6"/>
      <c r="I54" s="6"/>
      <c r="J54" s="6" t="s">
        <v>4418</v>
      </c>
      <c r="K54" s="8" t="s">
        <v>2651</v>
      </c>
      <c r="L54" s="9"/>
    </row>
    <row r="55" ht="16.5" spans="1:12">
      <c r="A55" s="4" t="s">
        <v>3180</v>
      </c>
      <c r="B55" s="4"/>
      <c r="C55" s="5">
        <v>1500715</v>
      </c>
      <c r="D55" s="4" t="s">
        <v>791</v>
      </c>
      <c r="E55" s="4" t="s">
        <v>637</v>
      </c>
      <c r="F55" s="4" t="s">
        <v>638</v>
      </c>
      <c r="G55" s="4" t="s">
        <v>3342</v>
      </c>
      <c r="H55" s="6"/>
      <c r="I55" s="6"/>
      <c r="J55" s="6" t="s">
        <v>4419</v>
      </c>
      <c r="K55" s="8" t="s">
        <v>3068</v>
      </c>
      <c r="L55" s="9"/>
    </row>
    <row r="56" ht="16.5" spans="1:12">
      <c r="A56" s="4" t="s">
        <v>3180</v>
      </c>
      <c r="B56" s="4"/>
      <c r="C56" s="5">
        <v>1500716</v>
      </c>
      <c r="D56" s="4" t="s">
        <v>792</v>
      </c>
      <c r="E56" s="4" t="s">
        <v>637</v>
      </c>
      <c r="F56" s="4" t="s">
        <v>638</v>
      </c>
      <c r="G56" s="4" t="s">
        <v>3342</v>
      </c>
      <c r="H56" s="6"/>
      <c r="I56" s="6"/>
      <c r="J56" s="6" t="s">
        <v>4420</v>
      </c>
      <c r="K56" s="8" t="s">
        <v>3066</v>
      </c>
      <c r="L56" s="9"/>
    </row>
    <row r="57" ht="16.5" spans="1:12">
      <c r="A57" s="4" t="s">
        <v>3180</v>
      </c>
      <c r="B57" s="4"/>
      <c r="C57" s="5">
        <v>1500717</v>
      </c>
      <c r="D57" s="4" t="s">
        <v>793</v>
      </c>
      <c r="E57" s="4" t="s">
        <v>637</v>
      </c>
      <c r="F57" s="4" t="s">
        <v>656</v>
      </c>
      <c r="G57" s="4" t="s">
        <v>2445</v>
      </c>
      <c r="H57" s="6"/>
      <c r="I57" s="6"/>
      <c r="J57" s="6" t="s">
        <v>4420</v>
      </c>
      <c r="K57" s="8" t="s">
        <v>3066</v>
      </c>
      <c r="L57" s="9"/>
    </row>
    <row r="58" ht="16.5" spans="1:12">
      <c r="A58" s="4" t="s">
        <v>3180</v>
      </c>
      <c r="B58" s="4"/>
      <c r="C58" s="5">
        <v>1500718</v>
      </c>
      <c r="D58" s="4" t="s">
        <v>794</v>
      </c>
      <c r="E58" s="4" t="s">
        <v>637</v>
      </c>
      <c r="F58" s="4" t="s">
        <v>638</v>
      </c>
      <c r="G58" s="4" t="s">
        <v>3342</v>
      </c>
      <c r="H58" s="6"/>
      <c r="I58" s="6"/>
      <c r="J58" s="6" t="s">
        <v>4421</v>
      </c>
      <c r="K58" s="8" t="s">
        <v>4422</v>
      </c>
      <c r="L58" s="9"/>
    </row>
    <row r="59" ht="16.5" spans="1:12">
      <c r="A59" s="4" t="s">
        <v>3180</v>
      </c>
      <c r="B59" s="4"/>
      <c r="C59" s="5">
        <v>1500719</v>
      </c>
      <c r="D59" s="4" t="s">
        <v>795</v>
      </c>
      <c r="E59" s="4" t="s">
        <v>637</v>
      </c>
      <c r="F59" s="4" t="s">
        <v>638</v>
      </c>
      <c r="G59" s="4" t="s">
        <v>3342</v>
      </c>
      <c r="H59" s="6"/>
      <c r="I59" s="6"/>
      <c r="J59" s="6" t="s">
        <v>4423</v>
      </c>
      <c r="K59" s="8" t="s">
        <v>4424</v>
      </c>
      <c r="L59" s="9"/>
    </row>
    <row r="60" ht="16.5" spans="1:12">
      <c r="A60" s="4" t="s">
        <v>3180</v>
      </c>
      <c r="B60" s="4"/>
      <c r="C60" s="5">
        <v>1500720</v>
      </c>
      <c r="D60" s="4" t="s">
        <v>796</v>
      </c>
      <c r="E60" s="4" t="s">
        <v>637</v>
      </c>
      <c r="F60" s="4" t="s">
        <v>656</v>
      </c>
      <c r="G60" s="4" t="s">
        <v>2445</v>
      </c>
      <c r="H60" s="6"/>
      <c r="I60" s="6"/>
      <c r="J60" s="6" t="s">
        <v>3161</v>
      </c>
      <c r="K60" s="8" t="s">
        <v>3099</v>
      </c>
      <c r="L60" s="9"/>
    </row>
    <row r="61" ht="16.5" spans="1:12">
      <c r="A61" s="4" t="s">
        <v>3180</v>
      </c>
      <c r="B61" s="4"/>
      <c r="C61" s="5">
        <v>1500721</v>
      </c>
      <c r="D61" s="4" t="s">
        <v>657</v>
      </c>
      <c r="E61" s="4" t="s">
        <v>637</v>
      </c>
      <c r="F61" s="4" t="s">
        <v>638</v>
      </c>
      <c r="G61" s="4" t="s">
        <v>3342</v>
      </c>
      <c r="H61" s="6"/>
      <c r="I61" s="6"/>
      <c r="J61" s="6" t="s">
        <v>4425</v>
      </c>
      <c r="K61" s="8" t="s">
        <v>2476</v>
      </c>
      <c r="L61" s="9"/>
    </row>
    <row r="62" ht="16.5" spans="1:12">
      <c r="A62" s="4" t="s">
        <v>3180</v>
      </c>
      <c r="B62" s="4"/>
      <c r="C62" s="5">
        <v>1500722</v>
      </c>
      <c r="D62" s="4" t="s">
        <v>797</v>
      </c>
      <c r="E62" s="4" t="s">
        <v>637</v>
      </c>
      <c r="F62" s="4" t="s">
        <v>638</v>
      </c>
      <c r="G62" s="4" t="s">
        <v>4426</v>
      </c>
      <c r="H62" s="6"/>
      <c r="I62" s="6"/>
      <c r="J62" s="6" t="s">
        <v>4380</v>
      </c>
      <c r="K62" s="8" t="s">
        <v>4381</v>
      </c>
      <c r="L62" s="9"/>
    </row>
    <row r="63" ht="16.5" spans="1:12">
      <c r="A63" s="4" t="s">
        <v>3180</v>
      </c>
      <c r="B63" s="4"/>
      <c r="C63" s="5">
        <v>1500723</v>
      </c>
      <c r="D63" s="4" t="s">
        <v>3200</v>
      </c>
      <c r="E63" s="4" t="s">
        <v>637</v>
      </c>
      <c r="F63" s="4" t="s">
        <v>656</v>
      </c>
      <c r="G63" s="4" t="s">
        <v>2445</v>
      </c>
      <c r="H63" s="6"/>
      <c r="I63" s="6"/>
      <c r="J63" s="6" t="s">
        <v>4427</v>
      </c>
      <c r="K63" s="8" t="s">
        <v>4428</v>
      </c>
      <c r="L63" s="9"/>
    </row>
    <row r="64" ht="16.5" spans="1:12">
      <c r="A64" s="4" t="s">
        <v>3180</v>
      </c>
      <c r="B64" s="4"/>
      <c r="C64" s="5">
        <v>1500724</v>
      </c>
      <c r="D64" s="4" t="s">
        <v>3201</v>
      </c>
      <c r="E64" s="4" t="s">
        <v>637</v>
      </c>
      <c r="F64" s="4" t="s">
        <v>656</v>
      </c>
      <c r="G64" s="4" t="s">
        <v>2445</v>
      </c>
      <c r="H64" s="6"/>
      <c r="I64" s="6"/>
      <c r="J64" s="6" t="s">
        <v>4429</v>
      </c>
      <c r="K64" s="8" t="s">
        <v>2501</v>
      </c>
      <c r="L64" s="9"/>
    </row>
    <row r="65" ht="16.5" spans="1:12">
      <c r="A65" s="4" t="s">
        <v>3180</v>
      </c>
      <c r="B65" s="4"/>
      <c r="C65" s="5">
        <v>1500725</v>
      </c>
      <c r="D65" s="4" t="s">
        <v>514</v>
      </c>
      <c r="E65" s="4" t="s">
        <v>637</v>
      </c>
      <c r="F65" s="4" t="s">
        <v>656</v>
      </c>
      <c r="G65" s="4" t="s">
        <v>2445</v>
      </c>
      <c r="H65" s="6"/>
      <c r="I65" s="6"/>
      <c r="J65" s="6" t="s">
        <v>4429</v>
      </c>
      <c r="K65" s="8" t="s">
        <v>2501</v>
      </c>
      <c r="L65" s="9"/>
    </row>
    <row r="66" ht="16.5" spans="1:12">
      <c r="A66" s="4" t="s">
        <v>3180</v>
      </c>
      <c r="B66" s="4"/>
      <c r="C66" s="5">
        <v>1500726</v>
      </c>
      <c r="D66" s="4" t="s">
        <v>798</v>
      </c>
      <c r="E66" s="4" t="s">
        <v>637</v>
      </c>
      <c r="F66" s="4" t="s">
        <v>656</v>
      </c>
      <c r="G66" s="4" t="s">
        <v>2445</v>
      </c>
      <c r="H66" s="6"/>
      <c r="I66" s="6"/>
      <c r="J66" s="6" t="s">
        <v>4429</v>
      </c>
      <c r="K66" s="8" t="s">
        <v>2501</v>
      </c>
      <c r="L66" s="9"/>
    </row>
    <row r="67" ht="16.5" spans="1:12">
      <c r="A67" s="4" t="s">
        <v>3180</v>
      </c>
      <c r="B67" s="4"/>
      <c r="C67" s="5">
        <v>1500727</v>
      </c>
      <c r="D67" s="4" t="s">
        <v>799</v>
      </c>
      <c r="E67" s="4" t="s">
        <v>637</v>
      </c>
      <c r="F67" s="4" t="s">
        <v>638</v>
      </c>
      <c r="G67" s="4" t="s">
        <v>4426</v>
      </c>
      <c r="H67" s="6"/>
      <c r="I67" s="6"/>
      <c r="J67" s="6" t="s">
        <v>4380</v>
      </c>
      <c r="K67" s="8" t="s">
        <v>4381</v>
      </c>
      <c r="L67" s="9"/>
    </row>
    <row r="68" ht="16.5" spans="1:12">
      <c r="A68" s="4" t="s">
        <v>3180</v>
      </c>
      <c r="B68" s="4"/>
      <c r="C68" s="5">
        <v>1500728</v>
      </c>
      <c r="D68" s="4" t="s">
        <v>313</v>
      </c>
      <c r="E68" s="4" t="s">
        <v>637</v>
      </c>
      <c r="F68" s="4" t="s">
        <v>656</v>
      </c>
      <c r="G68" s="4" t="s">
        <v>2445</v>
      </c>
      <c r="H68" s="6"/>
      <c r="I68" s="6"/>
      <c r="J68" s="6" t="s">
        <v>4380</v>
      </c>
      <c r="K68" s="8" t="s">
        <v>4381</v>
      </c>
      <c r="L68" s="9"/>
    </row>
    <row r="69" ht="16.5" spans="1:12">
      <c r="A69" s="4" t="s">
        <v>3180</v>
      </c>
      <c r="B69" s="4"/>
      <c r="C69" s="5">
        <v>1500729</v>
      </c>
      <c r="D69" s="4" t="s">
        <v>800</v>
      </c>
      <c r="E69" s="4" t="s">
        <v>637</v>
      </c>
      <c r="F69" s="4" t="s">
        <v>638</v>
      </c>
      <c r="G69" s="4" t="s">
        <v>3342</v>
      </c>
      <c r="H69" s="6"/>
      <c r="I69" s="6"/>
      <c r="J69" s="6" t="s">
        <v>4380</v>
      </c>
      <c r="K69" s="8" t="s">
        <v>4381</v>
      </c>
      <c r="L69" s="9"/>
    </row>
    <row r="70" ht="16.5" spans="1:12">
      <c r="A70" s="4" t="s">
        <v>3180</v>
      </c>
      <c r="B70" s="4"/>
      <c r="C70" s="5">
        <v>1500730</v>
      </c>
      <c r="D70" s="4" t="s">
        <v>582</v>
      </c>
      <c r="E70" s="4" t="s">
        <v>637</v>
      </c>
      <c r="F70" s="4" t="s">
        <v>642</v>
      </c>
      <c r="G70" s="4" t="s">
        <v>2437</v>
      </c>
      <c r="H70" s="6"/>
      <c r="I70" s="6"/>
      <c r="J70" s="6" t="s">
        <v>4402</v>
      </c>
      <c r="K70" s="8" t="s">
        <v>3038</v>
      </c>
      <c r="L70" s="9"/>
    </row>
    <row r="71" ht="16.5" spans="1:12">
      <c r="A71" s="4" t="s">
        <v>3180</v>
      </c>
      <c r="B71" s="4"/>
      <c r="C71" s="5">
        <v>1500731</v>
      </c>
      <c r="D71" s="4" t="s">
        <v>801</v>
      </c>
      <c r="E71" s="4" t="s">
        <v>637</v>
      </c>
      <c r="F71" s="4" t="s">
        <v>642</v>
      </c>
      <c r="G71" s="4" t="s">
        <v>2437</v>
      </c>
      <c r="H71" s="6"/>
      <c r="I71" s="6"/>
      <c r="J71" s="6" t="s">
        <v>4430</v>
      </c>
      <c r="K71" s="8" t="s">
        <v>2609</v>
      </c>
      <c r="L71" s="9"/>
    </row>
    <row r="72" ht="16.5" spans="1:12">
      <c r="A72" s="4" t="s">
        <v>3180</v>
      </c>
      <c r="B72" s="4"/>
      <c r="C72" s="5">
        <v>1500732</v>
      </c>
      <c r="D72" s="4" t="s">
        <v>560</v>
      </c>
      <c r="E72" s="4" t="s">
        <v>637</v>
      </c>
      <c r="F72" s="4" t="s">
        <v>638</v>
      </c>
      <c r="G72" s="4" t="s">
        <v>3342</v>
      </c>
      <c r="H72" s="6"/>
      <c r="I72" s="6"/>
      <c r="J72" s="6" t="s">
        <v>4431</v>
      </c>
      <c r="K72" s="8" t="s">
        <v>3064</v>
      </c>
      <c r="L72" s="9"/>
    </row>
    <row r="73" ht="16.5" spans="1:12">
      <c r="A73" s="4" t="s">
        <v>3180</v>
      </c>
      <c r="B73" s="4"/>
      <c r="C73" s="5">
        <v>1500733</v>
      </c>
      <c r="D73" s="4" t="s">
        <v>803</v>
      </c>
      <c r="E73" s="4" t="s">
        <v>637</v>
      </c>
      <c r="F73" s="4" t="s">
        <v>656</v>
      </c>
      <c r="G73" s="4" t="s">
        <v>2445</v>
      </c>
      <c r="H73" s="6"/>
      <c r="I73" s="6"/>
      <c r="J73" s="6" t="s">
        <v>4427</v>
      </c>
      <c r="K73" s="8" t="s">
        <v>4428</v>
      </c>
      <c r="L73" s="9"/>
    </row>
    <row r="74" ht="16.5" spans="1:12">
      <c r="A74" s="4" t="s">
        <v>3180</v>
      </c>
      <c r="B74" s="4"/>
      <c r="C74" s="5">
        <v>1500734</v>
      </c>
      <c r="D74" s="4" t="s">
        <v>588</v>
      </c>
      <c r="E74" s="4" t="s">
        <v>637</v>
      </c>
      <c r="F74" s="4" t="s">
        <v>656</v>
      </c>
      <c r="G74" s="4" t="s">
        <v>2445</v>
      </c>
      <c r="H74" s="6"/>
      <c r="I74" s="6"/>
      <c r="J74" s="6" t="s">
        <v>4432</v>
      </c>
      <c r="K74" s="8" t="s">
        <v>2535</v>
      </c>
      <c r="L74" s="9"/>
    </row>
    <row r="75" ht="16.5" spans="1:12">
      <c r="A75" s="4" t="s">
        <v>3180</v>
      </c>
      <c r="B75" s="4"/>
      <c r="C75" s="5">
        <v>1500735</v>
      </c>
      <c r="D75" s="4" t="s">
        <v>804</v>
      </c>
      <c r="E75" s="4" t="s">
        <v>637</v>
      </c>
      <c r="F75" s="4" t="s">
        <v>656</v>
      </c>
      <c r="G75" s="4" t="s">
        <v>2445</v>
      </c>
      <c r="H75" s="6"/>
      <c r="I75" s="6"/>
      <c r="J75" s="6" t="s">
        <v>4427</v>
      </c>
      <c r="K75" s="8" t="s">
        <v>4428</v>
      </c>
      <c r="L75" s="9"/>
    </row>
    <row r="76" ht="16.5" spans="1:12">
      <c r="A76" s="4" t="s">
        <v>3180</v>
      </c>
      <c r="B76" s="4"/>
      <c r="C76" s="5">
        <v>1500736</v>
      </c>
      <c r="D76" s="4" t="s">
        <v>350</v>
      </c>
      <c r="E76" s="4" t="s">
        <v>637</v>
      </c>
      <c r="F76" s="4" t="s">
        <v>656</v>
      </c>
      <c r="G76" s="4" t="s">
        <v>2445</v>
      </c>
      <c r="H76" s="6"/>
      <c r="I76" s="6"/>
      <c r="J76" s="6" t="s">
        <v>4432</v>
      </c>
      <c r="K76" s="8" t="s">
        <v>2535</v>
      </c>
      <c r="L76" s="9"/>
    </row>
    <row r="77" ht="16.5" spans="1:12">
      <c r="A77" s="4" t="s">
        <v>3180</v>
      </c>
      <c r="B77" s="4"/>
      <c r="C77" s="5">
        <v>1500737</v>
      </c>
      <c r="D77" s="4" t="s">
        <v>400</v>
      </c>
      <c r="E77" s="4" t="s">
        <v>637</v>
      </c>
      <c r="F77" s="4" t="s">
        <v>638</v>
      </c>
      <c r="G77" s="4" t="s">
        <v>3342</v>
      </c>
      <c r="H77" s="6"/>
      <c r="I77" s="6"/>
      <c r="J77" s="6" t="s">
        <v>2355</v>
      </c>
      <c r="K77" s="8" t="s">
        <v>4433</v>
      </c>
      <c r="L77" s="9"/>
    </row>
    <row r="78" ht="16.5" spans="1:12">
      <c r="A78" s="4" t="s">
        <v>3180</v>
      </c>
      <c r="B78" s="4"/>
      <c r="C78" s="5">
        <v>1500743</v>
      </c>
      <c r="D78" s="4" t="s">
        <v>423</v>
      </c>
      <c r="E78" s="4" t="s">
        <v>637</v>
      </c>
      <c r="F78" s="4" t="s">
        <v>656</v>
      </c>
      <c r="G78" s="4" t="s">
        <v>2445</v>
      </c>
      <c r="H78" s="6"/>
      <c r="I78" s="6"/>
      <c r="J78" s="6" t="s">
        <v>4434</v>
      </c>
      <c r="K78" s="8" t="s">
        <v>2548</v>
      </c>
      <c r="L78" s="9"/>
    </row>
    <row r="79" ht="16.5" spans="1:12">
      <c r="A79" s="4" t="s">
        <v>3180</v>
      </c>
      <c r="B79" s="4"/>
      <c r="C79" s="5">
        <v>1500744</v>
      </c>
      <c r="D79" s="4" t="s">
        <v>807</v>
      </c>
      <c r="E79" s="4" t="s">
        <v>637</v>
      </c>
      <c r="F79" s="4" t="s">
        <v>656</v>
      </c>
      <c r="G79" s="4" t="s">
        <v>2445</v>
      </c>
      <c r="H79" s="6"/>
      <c r="I79" s="6"/>
      <c r="J79" s="6" t="s">
        <v>4434</v>
      </c>
      <c r="K79" s="8" t="s">
        <v>2548</v>
      </c>
      <c r="L79" s="9"/>
    </row>
    <row r="80" ht="16.5" spans="1:12">
      <c r="A80" s="4" t="s">
        <v>3180</v>
      </c>
      <c r="B80" s="4"/>
      <c r="C80" s="5">
        <v>1500745</v>
      </c>
      <c r="D80" s="4" t="s">
        <v>488</v>
      </c>
      <c r="E80" s="4" t="s">
        <v>637</v>
      </c>
      <c r="F80" s="4" t="s">
        <v>656</v>
      </c>
      <c r="G80" s="4" t="s">
        <v>2445</v>
      </c>
      <c r="H80" s="6"/>
      <c r="I80" s="6"/>
      <c r="J80" s="6" t="s">
        <v>3160</v>
      </c>
      <c r="K80" s="8" t="s">
        <v>2558</v>
      </c>
      <c r="L80" s="9"/>
    </row>
    <row r="81" ht="16.5" spans="1:12">
      <c r="A81" s="4" t="s">
        <v>3180</v>
      </c>
      <c r="B81" s="4"/>
      <c r="C81" s="5">
        <v>1500748</v>
      </c>
      <c r="D81" s="4" t="s">
        <v>810</v>
      </c>
      <c r="E81" s="4" t="s">
        <v>637</v>
      </c>
      <c r="F81" s="4" t="s">
        <v>644</v>
      </c>
      <c r="G81" s="4" t="s">
        <v>3204</v>
      </c>
      <c r="H81" s="6"/>
      <c r="I81" s="6"/>
      <c r="J81" s="6" t="s">
        <v>2343</v>
      </c>
      <c r="K81" s="8" t="s">
        <v>2344</v>
      </c>
      <c r="L81" s="9"/>
    </row>
    <row r="82" ht="16.5" spans="1:12">
      <c r="A82" s="4" t="s">
        <v>3180</v>
      </c>
      <c r="B82" s="4"/>
      <c r="C82" s="5">
        <v>1500749</v>
      </c>
      <c r="D82" s="4" t="s">
        <v>586</v>
      </c>
      <c r="E82" s="4" t="s">
        <v>637</v>
      </c>
      <c r="F82" s="4" t="s">
        <v>656</v>
      </c>
      <c r="G82" s="4" t="s">
        <v>2445</v>
      </c>
      <c r="H82" s="6"/>
      <c r="I82" s="6"/>
      <c r="J82" s="6" t="s">
        <v>4435</v>
      </c>
      <c r="K82" s="8" t="s">
        <v>2554</v>
      </c>
      <c r="L82" s="9"/>
    </row>
    <row r="83" ht="16.5" spans="1:12">
      <c r="A83" s="4" t="s">
        <v>3180</v>
      </c>
      <c r="B83" s="4"/>
      <c r="C83" s="5">
        <v>1500750</v>
      </c>
      <c r="D83" s="4" t="s">
        <v>661</v>
      </c>
      <c r="E83" s="4" t="s">
        <v>637</v>
      </c>
      <c r="F83" s="4" t="s">
        <v>656</v>
      </c>
      <c r="G83" s="4" t="s">
        <v>2445</v>
      </c>
      <c r="H83" s="6"/>
      <c r="I83" s="6"/>
      <c r="J83" s="6" t="s">
        <v>4435</v>
      </c>
      <c r="K83" s="8" t="s">
        <v>2554</v>
      </c>
      <c r="L83" s="9"/>
    </row>
    <row r="84" ht="16.5" spans="1:12">
      <c r="A84" s="4" t="s">
        <v>3180</v>
      </c>
      <c r="B84" s="4"/>
      <c r="C84" s="5">
        <v>1500751</v>
      </c>
      <c r="D84" s="4" t="s">
        <v>811</v>
      </c>
      <c r="E84" s="4" t="s">
        <v>637</v>
      </c>
      <c r="F84" s="4" t="s">
        <v>656</v>
      </c>
      <c r="G84" s="4" t="s">
        <v>2445</v>
      </c>
      <c r="H84" s="6"/>
      <c r="I84" s="6"/>
      <c r="J84" s="6" t="s">
        <v>4436</v>
      </c>
      <c r="K84" s="8" t="s">
        <v>4437</v>
      </c>
      <c r="L84" s="9"/>
    </row>
    <row r="85" ht="16.5" spans="1:12">
      <c r="A85" s="4" t="s">
        <v>3180</v>
      </c>
      <c r="B85" s="4"/>
      <c r="C85" s="5">
        <v>1500752</v>
      </c>
      <c r="D85" s="4" t="s">
        <v>291</v>
      </c>
      <c r="E85" s="4" t="s">
        <v>637</v>
      </c>
      <c r="F85" s="4" t="s">
        <v>656</v>
      </c>
      <c r="G85" s="4" t="s">
        <v>2445</v>
      </c>
      <c r="H85" s="6"/>
      <c r="I85" s="6"/>
      <c r="J85" s="6" t="s">
        <v>4438</v>
      </c>
      <c r="K85" s="8" t="s">
        <v>2601</v>
      </c>
      <c r="L85" s="9"/>
    </row>
    <row r="86" ht="16.5" spans="1:12">
      <c r="A86" s="4" t="s">
        <v>3180</v>
      </c>
      <c r="B86" s="4"/>
      <c r="C86" s="5">
        <v>1500754</v>
      </c>
      <c r="D86" s="4" t="s">
        <v>553</v>
      </c>
      <c r="E86" s="4" t="s">
        <v>637</v>
      </c>
      <c r="F86" s="4" t="s">
        <v>638</v>
      </c>
      <c r="G86" s="4" t="s">
        <v>3186</v>
      </c>
      <c r="H86" s="6"/>
      <c r="I86" s="6"/>
      <c r="J86" s="6" t="s">
        <v>4380</v>
      </c>
      <c r="K86" s="8" t="s">
        <v>4381</v>
      </c>
      <c r="L86" s="9"/>
    </row>
    <row r="87" ht="16.5" spans="1:12">
      <c r="A87" s="4" t="s">
        <v>3180</v>
      </c>
      <c r="B87" s="4"/>
      <c r="C87" s="5">
        <v>1500755</v>
      </c>
      <c r="D87" s="4" t="s">
        <v>399</v>
      </c>
      <c r="E87" s="4" t="s">
        <v>637</v>
      </c>
      <c r="F87" s="4" t="s">
        <v>656</v>
      </c>
      <c r="G87" s="4" t="s">
        <v>2445</v>
      </c>
      <c r="H87" s="6"/>
      <c r="I87" s="6"/>
      <c r="J87" s="6" t="s">
        <v>4439</v>
      </c>
      <c r="K87" s="8" t="s">
        <v>2600</v>
      </c>
      <c r="L87" s="9"/>
    </row>
    <row r="88" ht="16.5" spans="1:12">
      <c r="A88" s="4" t="s">
        <v>3180</v>
      </c>
      <c r="B88" s="4"/>
      <c r="C88" s="5">
        <v>1500756</v>
      </c>
      <c r="D88" s="4" t="s">
        <v>812</v>
      </c>
      <c r="E88" s="4" t="s">
        <v>637</v>
      </c>
      <c r="F88" s="4" t="s">
        <v>656</v>
      </c>
      <c r="G88" s="4" t="s">
        <v>2445</v>
      </c>
      <c r="H88" s="6"/>
      <c r="I88" s="6"/>
      <c r="J88" s="6" t="s">
        <v>4440</v>
      </c>
      <c r="K88" s="8" t="s">
        <v>2674</v>
      </c>
      <c r="L88" s="9"/>
    </row>
    <row r="89" ht="16.5" spans="1:12">
      <c r="A89" s="4" t="s">
        <v>3180</v>
      </c>
      <c r="B89" s="4"/>
      <c r="C89" s="5">
        <v>1500757</v>
      </c>
      <c r="D89" s="4" t="s">
        <v>813</v>
      </c>
      <c r="E89" s="4" t="s">
        <v>637</v>
      </c>
      <c r="F89" s="4" t="s">
        <v>656</v>
      </c>
      <c r="G89" s="4" t="s">
        <v>2445</v>
      </c>
      <c r="H89" s="6"/>
      <c r="I89" s="6"/>
      <c r="J89" s="6" t="s">
        <v>4441</v>
      </c>
      <c r="K89" s="8" t="s">
        <v>2545</v>
      </c>
      <c r="L89" s="9"/>
    </row>
    <row r="90" ht="16.5" spans="1:12">
      <c r="A90" s="4" t="s">
        <v>3180</v>
      </c>
      <c r="B90" s="4"/>
      <c r="C90" s="5">
        <v>1500758</v>
      </c>
      <c r="D90" s="4" t="s">
        <v>493</v>
      </c>
      <c r="E90" s="4" t="s">
        <v>637</v>
      </c>
      <c r="F90" s="4" t="s">
        <v>656</v>
      </c>
      <c r="G90" s="4" t="s">
        <v>2445</v>
      </c>
      <c r="H90" s="6"/>
      <c r="I90" s="6"/>
      <c r="J90" s="6" t="s">
        <v>4442</v>
      </c>
      <c r="K90" s="8" t="s">
        <v>2488</v>
      </c>
      <c r="L90" s="9"/>
    </row>
    <row r="91" ht="16.5" spans="1:12">
      <c r="A91" s="4" t="s">
        <v>3180</v>
      </c>
      <c r="B91" s="4"/>
      <c r="C91" s="5">
        <v>1500759</v>
      </c>
      <c r="D91" s="4" t="s">
        <v>814</v>
      </c>
      <c r="E91" s="4" t="s">
        <v>637</v>
      </c>
      <c r="F91" s="4" t="s">
        <v>656</v>
      </c>
      <c r="G91" s="4" t="s">
        <v>2445</v>
      </c>
      <c r="H91" s="6"/>
      <c r="I91" s="6"/>
      <c r="J91" s="6" t="s">
        <v>4443</v>
      </c>
      <c r="K91" s="8" t="s">
        <v>2564</v>
      </c>
      <c r="L91" s="9"/>
    </row>
    <row r="92" ht="16.5" spans="1:12">
      <c r="A92" s="4" t="s">
        <v>3180</v>
      </c>
      <c r="B92" s="4"/>
      <c r="C92" s="5">
        <v>1500760</v>
      </c>
      <c r="D92" s="4" t="s">
        <v>815</v>
      </c>
      <c r="E92" s="4" t="s">
        <v>637</v>
      </c>
      <c r="F92" s="4" t="s">
        <v>656</v>
      </c>
      <c r="G92" s="4" t="s">
        <v>2445</v>
      </c>
      <c r="H92" s="6"/>
      <c r="I92" s="6"/>
      <c r="J92" s="6" t="s">
        <v>4444</v>
      </c>
      <c r="K92" s="8" t="s">
        <v>4445</v>
      </c>
      <c r="L92" s="9"/>
    </row>
    <row r="93" ht="16.5" spans="1:12">
      <c r="A93" s="4" t="s">
        <v>3180</v>
      </c>
      <c r="B93" s="4"/>
      <c r="C93" s="5">
        <v>1500761</v>
      </c>
      <c r="D93" s="4" t="s">
        <v>816</v>
      </c>
      <c r="E93" s="4" t="s">
        <v>637</v>
      </c>
      <c r="F93" s="4" t="s">
        <v>656</v>
      </c>
      <c r="G93" s="4" t="s">
        <v>2445</v>
      </c>
      <c r="H93" s="6"/>
      <c r="I93" s="6"/>
      <c r="J93" s="6" t="s">
        <v>4444</v>
      </c>
      <c r="K93" s="8" t="s">
        <v>4445</v>
      </c>
      <c r="L93" s="9"/>
    </row>
    <row r="94" ht="16.5" spans="1:12">
      <c r="A94" s="4" t="s">
        <v>3180</v>
      </c>
      <c r="B94" s="4"/>
      <c r="C94" s="5">
        <v>1500762</v>
      </c>
      <c r="D94" s="4" t="s">
        <v>817</v>
      </c>
      <c r="E94" s="4" t="s">
        <v>637</v>
      </c>
      <c r="F94" s="4" t="s">
        <v>656</v>
      </c>
      <c r="G94" s="4" t="s">
        <v>2445</v>
      </c>
      <c r="H94" s="6"/>
      <c r="I94" s="6"/>
      <c r="J94" s="6" t="s">
        <v>4446</v>
      </c>
      <c r="K94" s="8" t="s">
        <v>4447</v>
      </c>
      <c r="L94" s="9"/>
    </row>
    <row r="95" ht="16.5" spans="1:12">
      <c r="A95" s="4" t="s">
        <v>3180</v>
      </c>
      <c r="B95" s="4"/>
      <c r="C95" s="5">
        <v>1500763</v>
      </c>
      <c r="D95" s="4" t="s">
        <v>818</v>
      </c>
      <c r="E95" s="4" t="s">
        <v>637</v>
      </c>
      <c r="F95" s="4" t="s">
        <v>656</v>
      </c>
      <c r="G95" s="4" t="s">
        <v>2445</v>
      </c>
      <c r="H95" s="6"/>
      <c r="I95" s="6"/>
      <c r="J95" s="6" t="s">
        <v>4446</v>
      </c>
      <c r="K95" s="8" t="s">
        <v>4447</v>
      </c>
      <c r="L95" s="9"/>
    </row>
    <row r="96" ht="16.5" spans="1:12">
      <c r="A96" s="4" t="s">
        <v>3180</v>
      </c>
      <c r="B96" s="4"/>
      <c r="C96" s="5">
        <v>1500764</v>
      </c>
      <c r="D96" s="4" t="s">
        <v>406</v>
      </c>
      <c r="E96" s="4" t="s">
        <v>637</v>
      </c>
      <c r="F96" s="4" t="s">
        <v>656</v>
      </c>
      <c r="G96" s="4" t="s">
        <v>2445</v>
      </c>
      <c r="H96" s="6"/>
      <c r="I96" s="6"/>
      <c r="J96" s="6" t="s">
        <v>4444</v>
      </c>
      <c r="K96" s="8" t="s">
        <v>4445</v>
      </c>
      <c r="L96" s="9"/>
    </row>
    <row r="97" ht="16.5" spans="1:12">
      <c r="A97" s="4" t="s">
        <v>3180</v>
      </c>
      <c r="B97" s="4"/>
      <c r="C97" s="5">
        <v>1500765</v>
      </c>
      <c r="D97" s="4" t="s">
        <v>465</v>
      </c>
      <c r="E97" s="4" t="s">
        <v>637</v>
      </c>
      <c r="F97" s="4" t="s">
        <v>656</v>
      </c>
      <c r="G97" s="4" t="s">
        <v>2445</v>
      </c>
      <c r="H97" s="6"/>
      <c r="I97" s="6"/>
      <c r="J97" s="6" t="s">
        <v>4448</v>
      </c>
      <c r="K97" s="8" t="s">
        <v>2447</v>
      </c>
      <c r="L97" s="9"/>
    </row>
    <row r="98" ht="16.5" spans="1:12">
      <c r="A98" s="4" t="s">
        <v>3180</v>
      </c>
      <c r="B98" s="4"/>
      <c r="C98" s="5">
        <v>1500766</v>
      </c>
      <c r="D98" s="4" t="s">
        <v>512</v>
      </c>
      <c r="E98" s="4" t="s">
        <v>637</v>
      </c>
      <c r="F98" s="4" t="s">
        <v>638</v>
      </c>
      <c r="G98" s="4" t="s">
        <v>3186</v>
      </c>
      <c r="H98" s="6"/>
      <c r="I98" s="6"/>
      <c r="J98" s="6" t="s">
        <v>4380</v>
      </c>
      <c r="K98" s="8" t="s">
        <v>4381</v>
      </c>
      <c r="L98" s="9"/>
    </row>
    <row r="99" ht="16.5" spans="1:12">
      <c r="A99" s="4" t="s">
        <v>3180</v>
      </c>
      <c r="B99" s="4"/>
      <c r="C99" s="5">
        <v>1500767</v>
      </c>
      <c r="D99" s="4" t="s">
        <v>819</v>
      </c>
      <c r="E99" s="4" t="s">
        <v>637</v>
      </c>
      <c r="F99" s="4" t="s">
        <v>656</v>
      </c>
      <c r="G99" s="4" t="s">
        <v>2445</v>
      </c>
      <c r="H99" s="6"/>
      <c r="I99" s="6"/>
      <c r="J99" s="6" t="s">
        <v>4443</v>
      </c>
      <c r="K99" s="8" t="s">
        <v>2564</v>
      </c>
      <c r="L99" s="9"/>
    </row>
    <row r="100" ht="16.5" spans="1:12">
      <c r="A100" s="4" t="s">
        <v>3180</v>
      </c>
      <c r="B100" s="4"/>
      <c r="C100" s="5">
        <v>1500768</v>
      </c>
      <c r="D100" s="4" t="s">
        <v>662</v>
      </c>
      <c r="E100" s="4" t="s">
        <v>637</v>
      </c>
      <c r="F100" s="4" t="s">
        <v>656</v>
      </c>
      <c r="G100" s="4" t="s">
        <v>2445</v>
      </c>
      <c r="H100" s="6"/>
      <c r="I100" s="6"/>
      <c r="J100" s="6" t="s">
        <v>4443</v>
      </c>
      <c r="K100" s="8" t="s">
        <v>2564</v>
      </c>
      <c r="L100" s="9"/>
    </row>
    <row r="101" ht="16.5" spans="1:12">
      <c r="A101" s="4" t="s">
        <v>3180</v>
      </c>
      <c r="B101" s="4"/>
      <c r="C101" s="5">
        <v>1500772</v>
      </c>
      <c r="D101" s="4" t="s">
        <v>492</v>
      </c>
      <c r="E101" s="4" t="s">
        <v>637</v>
      </c>
      <c r="F101" s="4" t="s">
        <v>638</v>
      </c>
      <c r="G101" s="4" t="s">
        <v>3186</v>
      </c>
      <c r="H101" s="6"/>
      <c r="I101" s="6"/>
      <c r="J101" s="6" t="s">
        <v>4380</v>
      </c>
      <c r="K101" s="8" t="s">
        <v>4381</v>
      </c>
      <c r="L101" s="9"/>
    </row>
    <row r="102" ht="16.5" spans="1:12">
      <c r="A102" s="4" t="s">
        <v>3180</v>
      </c>
      <c r="B102" s="4"/>
      <c r="C102" s="5">
        <v>1500773</v>
      </c>
      <c r="D102" s="4" t="s">
        <v>820</v>
      </c>
      <c r="E102" s="4" t="s">
        <v>637</v>
      </c>
      <c r="F102" s="4" t="s">
        <v>638</v>
      </c>
      <c r="G102" s="4" t="s">
        <v>3186</v>
      </c>
      <c r="H102" s="6"/>
      <c r="I102" s="6"/>
      <c r="J102" s="6" t="s">
        <v>4380</v>
      </c>
      <c r="K102" s="8" t="s">
        <v>4381</v>
      </c>
      <c r="L102" s="9"/>
    </row>
    <row r="103" ht="16.5" spans="1:12">
      <c r="A103" s="4" t="s">
        <v>3180</v>
      </c>
      <c r="B103" s="4"/>
      <c r="C103" s="5">
        <v>1500774</v>
      </c>
      <c r="D103" s="4" t="s">
        <v>288</v>
      </c>
      <c r="E103" s="4" t="s">
        <v>637</v>
      </c>
      <c r="F103" s="4" t="s">
        <v>638</v>
      </c>
      <c r="G103" s="4" t="s">
        <v>3186</v>
      </c>
      <c r="H103" s="6"/>
      <c r="I103" s="6"/>
      <c r="J103" s="6" t="s">
        <v>4380</v>
      </c>
      <c r="K103" s="8" t="s">
        <v>4381</v>
      </c>
      <c r="L103" s="9"/>
    </row>
    <row r="104" ht="16.5" spans="1:12">
      <c r="A104" s="4" t="s">
        <v>3180</v>
      </c>
      <c r="B104" s="4"/>
      <c r="C104" s="5">
        <v>1500775</v>
      </c>
      <c r="D104" s="4" t="s">
        <v>266</v>
      </c>
      <c r="E104" s="4" t="s">
        <v>637</v>
      </c>
      <c r="F104" s="4" t="s">
        <v>638</v>
      </c>
      <c r="G104" s="4" t="s">
        <v>3582</v>
      </c>
      <c r="H104" s="6"/>
      <c r="I104" s="6"/>
      <c r="J104" s="6" t="s">
        <v>4380</v>
      </c>
      <c r="K104" s="8" t="s">
        <v>4381</v>
      </c>
      <c r="L104" s="9"/>
    </row>
    <row r="105" ht="16.5" spans="1:12">
      <c r="A105" s="4" t="s">
        <v>3180</v>
      </c>
      <c r="B105" s="4"/>
      <c r="C105" s="5">
        <v>1500776</v>
      </c>
      <c r="D105" s="4" t="s">
        <v>308</v>
      </c>
      <c r="E105" s="4" t="s">
        <v>637</v>
      </c>
      <c r="F105" s="4" t="s">
        <v>638</v>
      </c>
      <c r="G105" s="4" t="s">
        <v>3582</v>
      </c>
      <c r="H105" s="6"/>
      <c r="I105" s="6"/>
      <c r="J105" s="6" t="s">
        <v>4380</v>
      </c>
      <c r="K105" s="8" t="s">
        <v>4381</v>
      </c>
      <c r="L105" s="9"/>
    </row>
    <row r="106" ht="16.5" spans="1:12">
      <c r="A106" s="4" t="s">
        <v>3180</v>
      </c>
      <c r="B106" s="4"/>
      <c r="C106" s="5">
        <v>1500777</v>
      </c>
      <c r="D106" s="4" t="s">
        <v>821</v>
      </c>
      <c r="E106" s="4" t="s">
        <v>637</v>
      </c>
      <c r="F106" s="4" t="s">
        <v>638</v>
      </c>
      <c r="G106" s="4" t="s">
        <v>3582</v>
      </c>
      <c r="H106" s="6"/>
      <c r="I106" s="6"/>
      <c r="J106" s="6" t="s">
        <v>4380</v>
      </c>
      <c r="K106" s="8" t="s">
        <v>4381</v>
      </c>
      <c r="L106" s="9"/>
    </row>
    <row r="107" ht="16.5" spans="1:12">
      <c r="A107" s="4" t="s">
        <v>3180</v>
      </c>
      <c r="B107" s="4"/>
      <c r="C107" s="5">
        <v>1500779</v>
      </c>
      <c r="D107" s="4" t="s">
        <v>822</v>
      </c>
      <c r="E107" s="4" t="s">
        <v>637</v>
      </c>
      <c r="F107" s="4" t="s">
        <v>638</v>
      </c>
      <c r="G107" s="4" t="s">
        <v>3582</v>
      </c>
      <c r="H107" s="6"/>
      <c r="I107" s="6"/>
      <c r="J107" s="6" t="s">
        <v>4380</v>
      </c>
      <c r="K107" s="8" t="s">
        <v>4381</v>
      </c>
      <c r="L107" s="9"/>
    </row>
    <row r="108" ht="16.5" spans="1:12">
      <c r="A108" s="4" t="s">
        <v>3180</v>
      </c>
      <c r="B108" s="4"/>
      <c r="C108" s="5">
        <v>1500780</v>
      </c>
      <c r="D108" s="4" t="s">
        <v>664</v>
      </c>
      <c r="E108" s="4" t="s">
        <v>637</v>
      </c>
      <c r="F108" s="4" t="s">
        <v>638</v>
      </c>
      <c r="G108" s="4" t="s">
        <v>3582</v>
      </c>
      <c r="H108" s="6"/>
      <c r="I108" s="6"/>
      <c r="J108" s="6" t="s">
        <v>4380</v>
      </c>
      <c r="K108" s="8" t="s">
        <v>4381</v>
      </c>
      <c r="L108" s="9"/>
    </row>
    <row r="109" ht="16.5" spans="1:12">
      <c r="A109" s="4" t="s">
        <v>3180</v>
      </c>
      <c r="B109" s="4"/>
      <c r="C109" s="5">
        <v>1500781</v>
      </c>
      <c r="D109" s="4" t="s">
        <v>170</v>
      </c>
      <c r="E109" s="4" t="s">
        <v>637</v>
      </c>
      <c r="F109" s="4" t="s">
        <v>638</v>
      </c>
      <c r="G109" s="4" t="s">
        <v>3342</v>
      </c>
      <c r="H109" s="6"/>
      <c r="I109" s="6"/>
      <c r="J109" s="6" t="s">
        <v>4449</v>
      </c>
      <c r="K109" s="8" t="s">
        <v>4450</v>
      </c>
      <c r="L109" s="9"/>
    </row>
    <row r="110" ht="16.5" spans="1:12">
      <c r="A110" s="4" t="s">
        <v>3180</v>
      </c>
      <c r="B110" s="4"/>
      <c r="C110" s="5">
        <v>1500782</v>
      </c>
      <c r="D110" s="4" t="s">
        <v>823</v>
      </c>
      <c r="E110" s="4" t="s">
        <v>637</v>
      </c>
      <c r="F110" s="4" t="s">
        <v>4403</v>
      </c>
      <c r="G110" s="4" t="s">
        <v>654</v>
      </c>
      <c r="H110" s="6"/>
      <c r="I110" s="6"/>
      <c r="J110" s="6" t="s">
        <v>4449</v>
      </c>
      <c r="K110" s="8" t="s">
        <v>4450</v>
      </c>
      <c r="L110" s="9"/>
    </row>
    <row r="111" ht="16.5" spans="1:12">
      <c r="A111" s="4" t="s">
        <v>3180</v>
      </c>
      <c r="B111" s="4"/>
      <c r="C111" s="5">
        <v>1500784</v>
      </c>
      <c r="D111" s="4" t="s">
        <v>511</v>
      </c>
      <c r="E111" s="4" t="s">
        <v>637</v>
      </c>
      <c r="F111" s="4" t="s">
        <v>638</v>
      </c>
      <c r="G111" s="4" t="s">
        <v>3582</v>
      </c>
      <c r="H111" s="6"/>
      <c r="I111" s="6"/>
      <c r="J111" s="6" t="s">
        <v>4380</v>
      </c>
      <c r="K111" s="8" t="s">
        <v>4381</v>
      </c>
      <c r="L111" s="9"/>
    </row>
    <row r="112" ht="16.5" spans="1:12">
      <c r="A112" s="4" t="s">
        <v>3180</v>
      </c>
      <c r="B112" s="4"/>
      <c r="C112" s="5">
        <v>1500785</v>
      </c>
      <c r="D112" s="4" t="s">
        <v>587</v>
      </c>
      <c r="E112" s="4" t="s">
        <v>637</v>
      </c>
      <c r="F112" s="4" t="s">
        <v>656</v>
      </c>
      <c r="G112" s="4" t="s">
        <v>2445</v>
      </c>
      <c r="H112" s="6"/>
      <c r="I112" s="6"/>
      <c r="J112" s="6" t="s">
        <v>4451</v>
      </c>
      <c r="K112" s="8" t="s">
        <v>2483</v>
      </c>
      <c r="L112" s="9"/>
    </row>
    <row r="113" ht="16.5" spans="1:12">
      <c r="A113" s="4" t="s">
        <v>3180</v>
      </c>
      <c r="B113" s="4"/>
      <c r="C113" s="5">
        <v>1500786</v>
      </c>
      <c r="D113" s="4" t="s">
        <v>824</v>
      </c>
      <c r="E113" s="4" t="s">
        <v>637</v>
      </c>
      <c r="F113" s="4" t="s">
        <v>638</v>
      </c>
      <c r="G113" s="4" t="s">
        <v>3582</v>
      </c>
      <c r="H113" s="6"/>
      <c r="I113" s="6"/>
      <c r="J113" s="6" t="s">
        <v>4380</v>
      </c>
      <c r="K113" s="8" t="s">
        <v>4381</v>
      </c>
      <c r="L113" s="9"/>
    </row>
    <row r="114" ht="16.5" spans="1:12">
      <c r="A114" s="4" t="s">
        <v>3180</v>
      </c>
      <c r="B114" s="4"/>
      <c r="C114" s="5">
        <v>1500787</v>
      </c>
      <c r="D114" s="4" t="s">
        <v>825</v>
      </c>
      <c r="E114" s="4" t="s">
        <v>637</v>
      </c>
      <c r="F114" s="4" t="s">
        <v>638</v>
      </c>
      <c r="G114" s="4" t="s">
        <v>3582</v>
      </c>
      <c r="H114" s="6"/>
      <c r="I114" s="6"/>
      <c r="J114" s="6" t="s">
        <v>4380</v>
      </c>
      <c r="K114" s="8" t="s">
        <v>4381</v>
      </c>
      <c r="L114" s="9"/>
    </row>
    <row r="115" ht="16.5" spans="1:12">
      <c r="A115" s="4" t="s">
        <v>3180</v>
      </c>
      <c r="B115" s="4"/>
      <c r="C115" s="5">
        <v>1500788</v>
      </c>
      <c r="D115" s="4" t="s">
        <v>666</v>
      </c>
      <c r="E115" s="4" t="s">
        <v>637</v>
      </c>
      <c r="F115" s="4" t="s">
        <v>638</v>
      </c>
      <c r="G115" s="4" t="s">
        <v>3582</v>
      </c>
      <c r="H115" s="6"/>
      <c r="I115" s="6"/>
      <c r="J115" s="6" t="s">
        <v>4380</v>
      </c>
      <c r="K115" s="8" t="s">
        <v>4381</v>
      </c>
      <c r="L115" s="9"/>
    </row>
    <row r="116" ht="16.5" spans="1:12">
      <c r="A116" s="4" t="s">
        <v>3180</v>
      </c>
      <c r="B116" s="4"/>
      <c r="C116" s="5">
        <v>1500797</v>
      </c>
      <c r="D116" s="4" t="s">
        <v>319</v>
      </c>
      <c r="E116" s="4" t="s">
        <v>637</v>
      </c>
      <c r="F116" s="4" t="s">
        <v>638</v>
      </c>
      <c r="G116" s="4" t="s">
        <v>3186</v>
      </c>
      <c r="H116" s="6"/>
      <c r="I116" s="6"/>
      <c r="J116" s="6" t="s">
        <v>4380</v>
      </c>
      <c r="K116" s="8" t="s">
        <v>4381</v>
      </c>
      <c r="L116" s="9"/>
    </row>
    <row r="117" ht="16.5" spans="1:12">
      <c r="A117" s="4" t="s">
        <v>3180</v>
      </c>
      <c r="B117" s="4"/>
      <c r="C117" s="5">
        <v>1500801</v>
      </c>
      <c r="D117" s="4" t="s">
        <v>835</v>
      </c>
      <c r="E117" s="4" t="s">
        <v>637</v>
      </c>
      <c r="F117" s="4" t="s">
        <v>656</v>
      </c>
      <c r="G117" s="4" t="s">
        <v>2445</v>
      </c>
      <c r="H117" s="6"/>
      <c r="I117" s="6"/>
      <c r="J117" s="6" t="s">
        <v>4452</v>
      </c>
      <c r="K117" s="8" t="s">
        <v>3071</v>
      </c>
      <c r="L117" s="9"/>
    </row>
    <row r="118" ht="16.5" spans="1:12">
      <c r="A118" s="4" t="s">
        <v>3180</v>
      </c>
      <c r="B118" s="4"/>
      <c r="C118" s="5">
        <v>1500802</v>
      </c>
      <c r="D118" s="4" t="s">
        <v>605</v>
      </c>
      <c r="E118" s="4" t="s">
        <v>637</v>
      </c>
      <c r="F118" s="4" t="s">
        <v>656</v>
      </c>
      <c r="G118" s="4" t="s">
        <v>2445</v>
      </c>
      <c r="H118" s="6"/>
      <c r="I118" s="6"/>
      <c r="J118" s="6" t="s">
        <v>4452</v>
      </c>
      <c r="K118" s="8" t="s">
        <v>3071</v>
      </c>
      <c r="L118" s="9"/>
    </row>
    <row r="119" ht="16.5" spans="1:12">
      <c r="A119" s="4" t="s">
        <v>3180</v>
      </c>
      <c r="B119" s="4"/>
      <c r="C119" s="5">
        <v>1500813</v>
      </c>
      <c r="D119" s="4" t="s">
        <v>841</v>
      </c>
      <c r="E119" s="4" t="s">
        <v>637</v>
      </c>
      <c r="F119" s="4" t="s">
        <v>638</v>
      </c>
      <c r="G119" s="4" t="s">
        <v>3342</v>
      </c>
      <c r="H119" s="6"/>
      <c r="I119" s="6"/>
      <c r="J119" s="6" t="s">
        <v>3165</v>
      </c>
      <c r="K119" s="8" t="s">
        <v>4453</v>
      </c>
      <c r="L119" s="9"/>
    </row>
    <row r="120" ht="16.5" spans="1:12">
      <c r="A120" s="4" t="s">
        <v>3180</v>
      </c>
      <c r="B120" s="4"/>
      <c r="C120" s="5">
        <v>1500814</v>
      </c>
      <c r="D120" s="4" t="s">
        <v>842</v>
      </c>
      <c r="E120" s="4" t="s">
        <v>637</v>
      </c>
      <c r="F120" s="4" t="s">
        <v>638</v>
      </c>
      <c r="G120" s="4" t="s">
        <v>4454</v>
      </c>
      <c r="H120" s="6"/>
      <c r="I120" s="6"/>
      <c r="J120" s="6" t="s">
        <v>4380</v>
      </c>
      <c r="K120" s="8" t="s">
        <v>4381</v>
      </c>
      <c r="L120" s="9"/>
    </row>
    <row r="121" ht="16.5" spans="1:12">
      <c r="A121" s="4" t="s">
        <v>3180</v>
      </c>
      <c r="B121" s="4"/>
      <c r="C121" s="5">
        <v>1500816</v>
      </c>
      <c r="D121" s="4" t="s">
        <v>604</v>
      </c>
      <c r="E121" s="4" t="s">
        <v>637</v>
      </c>
      <c r="F121" s="4" t="s">
        <v>638</v>
      </c>
      <c r="G121" s="4" t="s">
        <v>3342</v>
      </c>
      <c r="H121" s="6"/>
      <c r="I121" s="6"/>
      <c r="J121" s="6" t="s">
        <v>4380</v>
      </c>
      <c r="K121" s="8" t="s">
        <v>4381</v>
      </c>
      <c r="L121" s="9"/>
    </row>
    <row r="122" ht="16.5" spans="1:12">
      <c r="A122" s="4" t="s">
        <v>3180</v>
      </c>
      <c r="B122" s="4"/>
      <c r="C122" s="5">
        <v>1500817</v>
      </c>
      <c r="D122" s="4" t="s">
        <v>564</v>
      </c>
      <c r="E122" s="4" t="s">
        <v>637</v>
      </c>
      <c r="F122" s="4" t="s">
        <v>638</v>
      </c>
      <c r="G122" s="4" t="s">
        <v>3186</v>
      </c>
      <c r="H122" s="6"/>
      <c r="I122" s="6"/>
      <c r="J122" s="6" t="s">
        <v>4380</v>
      </c>
      <c r="K122" s="8" t="s">
        <v>4381</v>
      </c>
      <c r="L122" s="9"/>
    </row>
    <row r="123" ht="16.5" spans="1:12">
      <c r="A123" s="4" t="s">
        <v>3180</v>
      </c>
      <c r="B123" s="4"/>
      <c r="C123" s="5">
        <v>1500818</v>
      </c>
      <c r="D123" s="4" t="s">
        <v>417</v>
      </c>
      <c r="E123" s="4" t="s">
        <v>637</v>
      </c>
      <c r="F123" s="4" t="s">
        <v>638</v>
      </c>
      <c r="G123" s="4" t="s">
        <v>3342</v>
      </c>
      <c r="H123" s="6"/>
      <c r="I123" s="6"/>
      <c r="J123" s="6" t="s">
        <v>4380</v>
      </c>
      <c r="K123" s="8" t="s">
        <v>4381</v>
      </c>
      <c r="L123" s="9"/>
    </row>
    <row r="124" ht="16.5" spans="1:12">
      <c r="A124" s="4" t="s">
        <v>3180</v>
      </c>
      <c r="B124" s="4"/>
      <c r="C124" s="5">
        <v>1500819</v>
      </c>
      <c r="D124" s="4" t="s">
        <v>843</v>
      </c>
      <c r="E124" s="4" t="s">
        <v>637</v>
      </c>
      <c r="F124" s="4" t="s">
        <v>638</v>
      </c>
      <c r="G124" s="4" t="s">
        <v>3342</v>
      </c>
      <c r="H124" s="6"/>
      <c r="I124" s="6"/>
      <c r="J124" s="6" t="s">
        <v>4380</v>
      </c>
      <c r="K124" s="8" t="s">
        <v>4381</v>
      </c>
      <c r="L124" s="9"/>
    </row>
    <row r="125" ht="16.5" spans="1:12">
      <c r="A125" s="4" t="s">
        <v>3180</v>
      </c>
      <c r="B125" s="4"/>
      <c r="C125" s="5">
        <v>1500820</v>
      </c>
      <c r="D125" s="4" t="s">
        <v>360</v>
      </c>
      <c r="E125" s="4" t="s">
        <v>637</v>
      </c>
      <c r="F125" s="4" t="s">
        <v>638</v>
      </c>
      <c r="G125" s="4" t="s">
        <v>3342</v>
      </c>
      <c r="H125" s="6"/>
      <c r="I125" s="6"/>
      <c r="J125" s="6" t="s">
        <v>4380</v>
      </c>
      <c r="K125" s="8" t="s">
        <v>4381</v>
      </c>
      <c r="L125" s="9"/>
    </row>
    <row r="126" ht="16.5" spans="1:12">
      <c r="A126" s="4" t="s">
        <v>3180</v>
      </c>
      <c r="B126" s="4"/>
      <c r="C126" s="5">
        <v>1500821</v>
      </c>
      <c r="D126" s="4" t="s">
        <v>189</v>
      </c>
      <c r="E126" s="4" t="s">
        <v>637</v>
      </c>
      <c r="F126" s="4" t="s">
        <v>638</v>
      </c>
      <c r="G126" s="4" t="s">
        <v>3342</v>
      </c>
      <c r="H126" s="6"/>
      <c r="I126" s="6"/>
      <c r="J126" s="6" t="s">
        <v>4380</v>
      </c>
      <c r="K126" s="8" t="s">
        <v>4381</v>
      </c>
      <c r="L126" s="9"/>
    </row>
    <row r="127" ht="16.5" spans="1:12">
      <c r="A127" s="4" t="s">
        <v>3180</v>
      </c>
      <c r="B127" s="4"/>
      <c r="C127" s="5">
        <v>1500823</v>
      </c>
      <c r="D127" s="4" t="s">
        <v>844</v>
      </c>
      <c r="E127" s="4" t="s">
        <v>637</v>
      </c>
      <c r="F127" s="4" t="s">
        <v>638</v>
      </c>
      <c r="G127" s="4" t="s">
        <v>3342</v>
      </c>
      <c r="H127" s="6"/>
      <c r="I127" s="6"/>
      <c r="J127" s="6" t="s">
        <v>4380</v>
      </c>
      <c r="K127" s="8" t="s">
        <v>4381</v>
      </c>
      <c r="L127" s="9"/>
    </row>
    <row r="128" ht="16.5" spans="1:12">
      <c r="A128" s="4" t="s">
        <v>3180</v>
      </c>
      <c r="B128" s="4"/>
      <c r="C128" s="5">
        <v>1500825</v>
      </c>
      <c r="D128" s="4" t="s">
        <v>300</v>
      </c>
      <c r="E128" s="4" t="s">
        <v>637</v>
      </c>
      <c r="F128" s="4" t="s">
        <v>638</v>
      </c>
      <c r="G128" s="4" t="s">
        <v>3342</v>
      </c>
      <c r="H128" s="6"/>
      <c r="I128" s="6"/>
      <c r="J128" s="6" t="s">
        <v>4380</v>
      </c>
      <c r="K128" s="8" t="s">
        <v>4381</v>
      </c>
      <c r="L128" s="9"/>
    </row>
    <row r="129" ht="16.5" spans="1:12">
      <c r="A129" s="4" t="s">
        <v>3180</v>
      </c>
      <c r="B129" s="4"/>
      <c r="C129" s="5">
        <v>1500826</v>
      </c>
      <c r="D129" s="4" t="s">
        <v>289</v>
      </c>
      <c r="E129" s="4" t="s">
        <v>637</v>
      </c>
      <c r="F129" s="4" t="s">
        <v>656</v>
      </c>
      <c r="G129" s="4" t="s">
        <v>2445</v>
      </c>
      <c r="H129" s="6"/>
      <c r="I129" s="6"/>
      <c r="J129" s="6" t="s">
        <v>4455</v>
      </c>
      <c r="K129" s="8" t="s">
        <v>2599</v>
      </c>
      <c r="L129" s="9"/>
    </row>
    <row r="130" ht="16.5" spans="1:12">
      <c r="A130" s="4" t="s">
        <v>3180</v>
      </c>
      <c r="B130" s="4"/>
      <c r="C130" s="5">
        <v>1500827</v>
      </c>
      <c r="D130" s="4" t="s">
        <v>294</v>
      </c>
      <c r="E130" s="4" t="s">
        <v>637</v>
      </c>
      <c r="F130" s="4" t="s">
        <v>644</v>
      </c>
      <c r="G130" s="4" t="s">
        <v>3204</v>
      </c>
      <c r="H130" s="6"/>
      <c r="I130" s="6"/>
      <c r="J130" s="6" t="s">
        <v>4380</v>
      </c>
      <c r="K130" s="8" t="s">
        <v>4381</v>
      </c>
      <c r="L130" s="9"/>
    </row>
    <row r="131" ht="16.5" spans="1:12">
      <c r="A131" s="4" t="s">
        <v>3180</v>
      </c>
      <c r="B131" s="4"/>
      <c r="C131" s="5">
        <v>1500828</v>
      </c>
      <c r="D131" s="4" t="s">
        <v>207</v>
      </c>
      <c r="E131" s="4" t="s">
        <v>637</v>
      </c>
      <c r="F131" s="4" t="s">
        <v>644</v>
      </c>
      <c r="G131" s="4" t="s">
        <v>3204</v>
      </c>
      <c r="H131" s="6"/>
      <c r="I131" s="6"/>
      <c r="J131" s="6" t="s">
        <v>4380</v>
      </c>
      <c r="K131" s="8" t="s">
        <v>4381</v>
      </c>
      <c r="L131" s="9"/>
    </row>
    <row r="132" ht="16.5" spans="1:12">
      <c r="A132" s="4" t="s">
        <v>3180</v>
      </c>
      <c r="B132" s="4"/>
      <c r="C132" s="5">
        <v>1500829</v>
      </c>
      <c r="D132" s="4" t="s">
        <v>222</v>
      </c>
      <c r="E132" s="4" t="s">
        <v>637</v>
      </c>
      <c r="F132" s="4" t="s">
        <v>638</v>
      </c>
      <c r="G132" s="4" t="s">
        <v>3342</v>
      </c>
      <c r="H132" s="6"/>
      <c r="I132" s="6"/>
      <c r="J132" s="6" t="s">
        <v>4380</v>
      </c>
      <c r="K132" s="8" t="s">
        <v>4381</v>
      </c>
      <c r="L132" s="9"/>
    </row>
    <row r="133" ht="16.5" spans="1:12">
      <c r="A133" s="4" t="s">
        <v>3180</v>
      </c>
      <c r="B133" s="4"/>
      <c r="C133" s="5">
        <v>1500830</v>
      </c>
      <c r="D133" s="4" t="s">
        <v>845</v>
      </c>
      <c r="E133" s="4" t="s">
        <v>637</v>
      </c>
      <c r="F133" s="4" t="s">
        <v>638</v>
      </c>
      <c r="G133" s="4" t="s">
        <v>3342</v>
      </c>
      <c r="H133" s="6"/>
      <c r="I133" s="6"/>
      <c r="J133" s="6" t="s">
        <v>4380</v>
      </c>
      <c r="K133" s="8" t="s">
        <v>4381</v>
      </c>
      <c r="L133" s="9"/>
    </row>
    <row r="134" ht="16.5" spans="1:12">
      <c r="A134" s="4" t="s">
        <v>3180</v>
      </c>
      <c r="B134" s="4"/>
      <c r="C134" s="5">
        <v>1500831</v>
      </c>
      <c r="D134" s="4" t="s">
        <v>480</v>
      </c>
      <c r="E134" s="4" t="s">
        <v>637</v>
      </c>
      <c r="F134" s="4" t="s">
        <v>638</v>
      </c>
      <c r="G134" s="4" t="s">
        <v>3342</v>
      </c>
      <c r="H134" s="6"/>
      <c r="I134" s="6"/>
      <c r="J134" s="6" t="s">
        <v>4380</v>
      </c>
      <c r="K134" s="8" t="s">
        <v>4381</v>
      </c>
      <c r="L134" s="9"/>
    </row>
    <row r="135" ht="16.5" spans="1:12">
      <c r="A135" s="4" t="s">
        <v>3180</v>
      </c>
      <c r="B135" s="4"/>
      <c r="C135" s="5">
        <v>1500832</v>
      </c>
      <c r="D135" s="4" t="s">
        <v>846</v>
      </c>
      <c r="E135" s="4" t="s">
        <v>637</v>
      </c>
      <c r="F135" s="4" t="s">
        <v>638</v>
      </c>
      <c r="G135" s="4" t="s">
        <v>3342</v>
      </c>
      <c r="H135" s="6"/>
      <c r="I135" s="6"/>
      <c r="J135" s="6" t="s">
        <v>4380</v>
      </c>
      <c r="K135" s="8" t="s">
        <v>4381</v>
      </c>
      <c r="L135" s="9"/>
    </row>
    <row r="136" ht="16.5" spans="1:12">
      <c r="A136" s="4" t="s">
        <v>3180</v>
      </c>
      <c r="B136" s="4"/>
      <c r="C136" s="5">
        <v>1500833</v>
      </c>
      <c r="D136" s="4" t="s">
        <v>429</v>
      </c>
      <c r="E136" s="4" t="s">
        <v>637</v>
      </c>
      <c r="F136" s="4" t="s">
        <v>638</v>
      </c>
      <c r="G136" s="4" t="s">
        <v>3342</v>
      </c>
      <c r="H136" s="6"/>
      <c r="I136" s="6"/>
      <c r="J136" s="6" t="s">
        <v>4380</v>
      </c>
      <c r="K136" s="8" t="s">
        <v>4381</v>
      </c>
      <c r="L136" s="9"/>
    </row>
    <row r="137" ht="16.5" spans="1:12">
      <c r="A137" s="4" t="s">
        <v>3180</v>
      </c>
      <c r="B137" s="4"/>
      <c r="C137" s="5">
        <v>1500834</v>
      </c>
      <c r="D137" s="4" t="s">
        <v>421</v>
      </c>
      <c r="E137" s="4" t="s">
        <v>637</v>
      </c>
      <c r="F137" s="4" t="s">
        <v>638</v>
      </c>
      <c r="G137" s="4" t="s">
        <v>3342</v>
      </c>
      <c r="H137" s="6"/>
      <c r="I137" s="6"/>
      <c r="J137" s="6" t="s">
        <v>4380</v>
      </c>
      <c r="K137" s="8" t="s">
        <v>4381</v>
      </c>
      <c r="L137" s="9"/>
    </row>
    <row r="138" ht="16.5" spans="1:12">
      <c r="A138" s="4" t="s">
        <v>3180</v>
      </c>
      <c r="B138" s="4"/>
      <c r="C138" s="5">
        <v>1500835</v>
      </c>
      <c r="D138" s="4" t="s">
        <v>569</v>
      </c>
      <c r="E138" s="4" t="s">
        <v>637</v>
      </c>
      <c r="F138" s="4" t="s">
        <v>638</v>
      </c>
      <c r="G138" s="4" t="s">
        <v>3342</v>
      </c>
      <c r="H138" s="6"/>
      <c r="I138" s="6"/>
      <c r="J138" s="6" t="s">
        <v>4380</v>
      </c>
      <c r="K138" s="8" t="s">
        <v>4381</v>
      </c>
      <c r="L138" s="9"/>
    </row>
    <row r="139" ht="16.5" spans="1:12">
      <c r="A139" s="4" t="s">
        <v>3180</v>
      </c>
      <c r="B139" s="4"/>
      <c r="C139" s="5">
        <v>1500836</v>
      </c>
      <c r="D139" s="4" t="s">
        <v>847</v>
      </c>
      <c r="E139" s="4" t="s">
        <v>637</v>
      </c>
      <c r="F139" s="4" t="s">
        <v>644</v>
      </c>
      <c r="G139" s="4" t="s">
        <v>3204</v>
      </c>
      <c r="H139" s="6"/>
      <c r="I139" s="6"/>
      <c r="J139" s="6" t="s">
        <v>4380</v>
      </c>
      <c r="K139" s="8" t="s">
        <v>4381</v>
      </c>
      <c r="L139" s="9"/>
    </row>
    <row r="140" ht="16.5" spans="1:12">
      <c r="A140" s="4" t="s">
        <v>3180</v>
      </c>
      <c r="B140" s="4"/>
      <c r="C140" s="5">
        <v>1500837</v>
      </c>
      <c r="D140" s="4" t="s">
        <v>231</v>
      </c>
      <c r="E140" s="4" t="s">
        <v>637</v>
      </c>
      <c r="F140" s="4" t="s">
        <v>644</v>
      </c>
      <c r="G140" s="4" t="s">
        <v>3204</v>
      </c>
      <c r="H140" s="6"/>
      <c r="I140" s="6"/>
      <c r="J140" s="6" t="s">
        <v>4380</v>
      </c>
      <c r="K140" s="8" t="s">
        <v>4381</v>
      </c>
      <c r="L140" s="9"/>
    </row>
    <row r="141" ht="16.5" spans="1:12">
      <c r="A141" s="4" t="s">
        <v>3180</v>
      </c>
      <c r="B141" s="4"/>
      <c r="C141" s="5">
        <v>1500838</v>
      </c>
      <c r="D141" s="4" t="s">
        <v>232</v>
      </c>
      <c r="E141" s="4" t="s">
        <v>637</v>
      </c>
      <c r="F141" s="4" t="s">
        <v>656</v>
      </c>
      <c r="G141" s="4" t="s">
        <v>2445</v>
      </c>
      <c r="H141" s="6"/>
      <c r="I141" s="6"/>
      <c r="J141" s="6" t="s">
        <v>4392</v>
      </c>
      <c r="K141" s="8" t="s">
        <v>4393</v>
      </c>
      <c r="L141" s="9"/>
    </row>
    <row r="142" ht="16.5" spans="1:12">
      <c r="A142" s="4" t="s">
        <v>3180</v>
      </c>
      <c r="B142" s="4"/>
      <c r="C142" s="5">
        <v>1500839</v>
      </c>
      <c r="D142" s="4" t="s">
        <v>848</v>
      </c>
      <c r="E142" s="4" t="s">
        <v>637</v>
      </c>
      <c r="F142" s="4" t="s">
        <v>638</v>
      </c>
      <c r="G142" s="4" t="s">
        <v>3342</v>
      </c>
      <c r="H142" s="6"/>
      <c r="I142" s="6"/>
      <c r="J142" s="6" t="s">
        <v>4380</v>
      </c>
      <c r="K142" s="8" t="s">
        <v>4381</v>
      </c>
      <c r="L142" s="9"/>
    </row>
    <row r="143" ht="16.5" spans="1:12">
      <c r="A143" s="4" t="s">
        <v>3180</v>
      </c>
      <c r="B143" s="4"/>
      <c r="C143" s="5">
        <v>1500840</v>
      </c>
      <c r="D143" s="4" t="s">
        <v>98</v>
      </c>
      <c r="E143" s="4" t="s">
        <v>637</v>
      </c>
      <c r="F143" s="4" t="s">
        <v>638</v>
      </c>
      <c r="G143" s="4" t="s">
        <v>3342</v>
      </c>
      <c r="H143" s="6"/>
      <c r="I143" s="6"/>
      <c r="J143" s="6" t="s">
        <v>4380</v>
      </c>
      <c r="K143" s="8" t="s">
        <v>4381</v>
      </c>
      <c r="L143" s="9"/>
    </row>
    <row r="144" ht="16.5" spans="1:12">
      <c r="A144" s="4" t="s">
        <v>3180</v>
      </c>
      <c r="B144" s="4"/>
      <c r="C144" s="5">
        <v>1500841</v>
      </c>
      <c r="D144" s="4" t="s">
        <v>414</v>
      </c>
      <c r="E144" s="4" t="s">
        <v>637</v>
      </c>
      <c r="F144" s="4" t="s">
        <v>638</v>
      </c>
      <c r="G144" s="4" t="s">
        <v>3342</v>
      </c>
      <c r="H144" s="6"/>
      <c r="I144" s="6"/>
      <c r="J144" s="6" t="s">
        <v>4380</v>
      </c>
      <c r="K144" s="8" t="s">
        <v>4381</v>
      </c>
      <c r="L144" s="9"/>
    </row>
    <row r="145" ht="16.5" spans="1:12">
      <c r="A145" s="4" t="s">
        <v>3180</v>
      </c>
      <c r="B145" s="4"/>
      <c r="C145" s="5">
        <v>1500842</v>
      </c>
      <c r="D145" s="4" t="s">
        <v>185</v>
      </c>
      <c r="E145" s="4" t="s">
        <v>637</v>
      </c>
      <c r="F145" s="4" t="s">
        <v>638</v>
      </c>
      <c r="G145" s="4" t="s">
        <v>3186</v>
      </c>
      <c r="H145" s="6"/>
      <c r="I145" s="6"/>
      <c r="J145" s="6" t="s">
        <v>4380</v>
      </c>
      <c r="K145" s="8" t="s">
        <v>4381</v>
      </c>
      <c r="L145" s="9"/>
    </row>
    <row r="146" ht="16.5" spans="1:12">
      <c r="A146" s="4" t="s">
        <v>3180</v>
      </c>
      <c r="B146" s="4"/>
      <c r="C146" s="5">
        <v>1500843</v>
      </c>
      <c r="D146" s="4" t="s">
        <v>443</v>
      </c>
      <c r="E146" s="4" t="s">
        <v>637</v>
      </c>
      <c r="F146" s="4" t="s">
        <v>638</v>
      </c>
      <c r="G146" s="4" t="s">
        <v>3342</v>
      </c>
      <c r="H146" s="6"/>
      <c r="I146" s="6"/>
      <c r="J146" s="6" t="s">
        <v>4380</v>
      </c>
      <c r="K146" s="8" t="s">
        <v>4381</v>
      </c>
      <c r="L146" s="9"/>
    </row>
    <row r="147" ht="16.5" spans="1:12">
      <c r="A147" s="4" t="s">
        <v>3180</v>
      </c>
      <c r="B147" s="4"/>
      <c r="C147" s="5">
        <v>1500844</v>
      </c>
      <c r="D147" s="4" t="s">
        <v>136</v>
      </c>
      <c r="E147" s="4" t="s">
        <v>637</v>
      </c>
      <c r="F147" s="4" t="s">
        <v>638</v>
      </c>
      <c r="G147" s="4" t="s">
        <v>3342</v>
      </c>
      <c r="H147" s="6"/>
      <c r="I147" s="6"/>
      <c r="J147" s="6" t="s">
        <v>4380</v>
      </c>
      <c r="K147" s="8" t="s">
        <v>4381</v>
      </c>
      <c r="L147" s="9"/>
    </row>
    <row r="148" ht="16.5" spans="1:12">
      <c r="A148" s="4" t="s">
        <v>3180</v>
      </c>
      <c r="B148" s="4"/>
      <c r="C148" s="5">
        <v>1500845</v>
      </c>
      <c r="D148" s="4" t="s">
        <v>215</v>
      </c>
      <c r="E148" s="4" t="s">
        <v>637</v>
      </c>
      <c r="F148" s="4" t="s">
        <v>638</v>
      </c>
      <c r="G148" s="4" t="s">
        <v>3342</v>
      </c>
      <c r="H148" s="6"/>
      <c r="I148" s="6"/>
      <c r="J148" s="6" t="s">
        <v>4380</v>
      </c>
      <c r="K148" s="8" t="s">
        <v>4381</v>
      </c>
      <c r="L148" s="9"/>
    </row>
    <row r="149" ht="16.5" spans="1:12">
      <c r="A149" s="4" t="s">
        <v>3180</v>
      </c>
      <c r="B149" s="4"/>
      <c r="C149" s="5">
        <v>1500846</v>
      </c>
      <c r="D149" s="4" t="s">
        <v>418</v>
      </c>
      <c r="E149" s="4" t="s">
        <v>637</v>
      </c>
      <c r="F149" s="4" t="s">
        <v>638</v>
      </c>
      <c r="G149" s="4" t="s">
        <v>3186</v>
      </c>
      <c r="H149" s="6"/>
      <c r="I149" s="6"/>
      <c r="J149" s="6" t="s">
        <v>4380</v>
      </c>
      <c r="K149" s="8" t="s">
        <v>4381</v>
      </c>
      <c r="L149" s="9"/>
    </row>
    <row r="150" ht="16.5" spans="1:12">
      <c r="A150" s="4" t="s">
        <v>3180</v>
      </c>
      <c r="B150" s="4"/>
      <c r="C150" s="5">
        <v>1500847</v>
      </c>
      <c r="D150" s="4" t="s">
        <v>609</v>
      </c>
      <c r="E150" s="4" t="s">
        <v>637</v>
      </c>
      <c r="F150" s="4" t="s">
        <v>638</v>
      </c>
      <c r="G150" s="4" t="s">
        <v>3186</v>
      </c>
      <c r="H150" s="6"/>
      <c r="I150" s="6"/>
      <c r="J150" s="6" t="s">
        <v>4380</v>
      </c>
      <c r="K150" s="8" t="s">
        <v>4381</v>
      </c>
      <c r="L150" s="9"/>
    </row>
    <row r="151" ht="16.5" spans="1:12">
      <c r="A151" s="4" t="s">
        <v>3180</v>
      </c>
      <c r="B151" s="4"/>
      <c r="C151" s="5">
        <v>1500848</v>
      </c>
      <c r="D151" s="4" t="s">
        <v>849</v>
      </c>
      <c r="E151" s="4" t="s">
        <v>637</v>
      </c>
      <c r="F151" s="4" t="s">
        <v>656</v>
      </c>
      <c r="G151" s="4" t="s">
        <v>2445</v>
      </c>
      <c r="H151" s="6"/>
      <c r="I151" s="6"/>
      <c r="J151" s="6" t="s">
        <v>4380</v>
      </c>
      <c r="K151" s="8" t="s">
        <v>4381</v>
      </c>
      <c r="L151" s="9"/>
    </row>
    <row r="152" ht="16.5" spans="1:12">
      <c r="A152" s="4" t="s">
        <v>3180</v>
      </c>
      <c r="B152" s="4"/>
      <c r="C152" s="5">
        <v>1500849</v>
      </c>
      <c r="D152" s="4" t="s">
        <v>462</v>
      </c>
      <c r="E152" s="4" t="s">
        <v>637</v>
      </c>
      <c r="F152" s="4" t="s">
        <v>638</v>
      </c>
      <c r="G152" s="4" t="s">
        <v>3186</v>
      </c>
      <c r="H152" s="6"/>
      <c r="I152" s="6"/>
      <c r="J152" s="6" t="s">
        <v>4380</v>
      </c>
      <c r="K152" s="8" t="s">
        <v>4381</v>
      </c>
      <c r="L152" s="9"/>
    </row>
    <row r="153" ht="16.5" spans="1:12">
      <c r="A153" s="4" t="s">
        <v>3180</v>
      </c>
      <c r="B153" s="4"/>
      <c r="C153" s="5">
        <v>1500850</v>
      </c>
      <c r="D153" s="4" t="s">
        <v>850</v>
      </c>
      <c r="E153" s="4" t="s">
        <v>637</v>
      </c>
      <c r="F153" s="4" t="s">
        <v>638</v>
      </c>
      <c r="G153" s="4" t="s">
        <v>3186</v>
      </c>
      <c r="H153" s="6"/>
      <c r="I153" s="6"/>
      <c r="J153" s="6" t="s">
        <v>4380</v>
      </c>
      <c r="K153" s="8" t="s">
        <v>4381</v>
      </c>
      <c r="L153" s="9"/>
    </row>
    <row r="154" ht="16.5" spans="1:12">
      <c r="A154" s="4" t="s">
        <v>3180</v>
      </c>
      <c r="B154" s="4"/>
      <c r="C154" s="5">
        <v>1500851</v>
      </c>
      <c r="D154" s="4" t="s">
        <v>364</v>
      </c>
      <c r="E154" s="4" t="s">
        <v>637</v>
      </c>
      <c r="F154" s="4" t="s">
        <v>638</v>
      </c>
      <c r="G154" s="4" t="s">
        <v>3186</v>
      </c>
      <c r="H154" s="6"/>
      <c r="I154" s="6"/>
      <c r="J154" s="6" t="s">
        <v>4380</v>
      </c>
      <c r="K154" s="8" t="s">
        <v>4381</v>
      </c>
      <c r="L154" s="9"/>
    </row>
    <row r="155" ht="16.5" spans="1:12">
      <c r="A155" s="4" t="s">
        <v>3180</v>
      </c>
      <c r="B155" s="4"/>
      <c r="C155" s="5">
        <v>1500852</v>
      </c>
      <c r="D155" s="4" t="s">
        <v>851</v>
      </c>
      <c r="E155" s="4" t="s">
        <v>637</v>
      </c>
      <c r="F155" s="4" t="s">
        <v>656</v>
      </c>
      <c r="G155" s="4" t="s">
        <v>2445</v>
      </c>
      <c r="H155" s="6"/>
      <c r="I155" s="6"/>
      <c r="J155" s="6" t="s">
        <v>4456</v>
      </c>
      <c r="K155" s="8" t="s">
        <v>2533</v>
      </c>
      <c r="L155" s="9"/>
    </row>
    <row r="156" ht="16.5" spans="1:12">
      <c r="A156" s="4" t="s">
        <v>3180</v>
      </c>
      <c r="B156" s="4"/>
      <c r="C156" s="5">
        <v>1500853</v>
      </c>
      <c r="D156" s="4" t="s">
        <v>3209</v>
      </c>
      <c r="E156" s="4" t="s">
        <v>637</v>
      </c>
      <c r="F156" s="4" t="s">
        <v>656</v>
      </c>
      <c r="G156" s="4" t="s">
        <v>2445</v>
      </c>
      <c r="H156" s="6"/>
      <c r="I156" s="6"/>
      <c r="J156" s="6" t="s">
        <v>3164</v>
      </c>
      <c r="K156" s="8" t="s">
        <v>4457</v>
      </c>
      <c r="L156" s="9"/>
    </row>
    <row r="157" ht="16.5" spans="1:12">
      <c r="A157" s="4" t="s">
        <v>3180</v>
      </c>
      <c r="B157" s="4"/>
      <c r="C157" s="5">
        <v>1500854</v>
      </c>
      <c r="D157" s="4" t="s">
        <v>852</v>
      </c>
      <c r="E157" s="4" t="s">
        <v>637</v>
      </c>
      <c r="F157" s="4" t="s">
        <v>656</v>
      </c>
      <c r="G157" s="4" t="s">
        <v>2445</v>
      </c>
      <c r="H157" s="6"/>
      <c r="I157" s="6"/>
      <c r="J157" s="6" t="s">
        <v>3164</v>
      </c>
      <c r="K157" s="8" t="s">
        <v>4457</v>
      </c>
      <c r="L157" s="9"/>
    </row>
    <row r="158" ht="16.5" spans="1:12">
      <c r="A158" s="4" t="s">
        <v>3180</v>
      </c>
      <c r="B158" s="4"/>
      <c r="C158" s="5">
        <v>1500855</v>
      </c>
      <c r="D158" s="4" t="s">
        <v>853</v>
      </c>
      <c r="E158" s="4" t="s">
        <v>637</v>
      </c>
      <c r="F158" s="4" t="s">
        <v>656</v>
      </c>
      <c r="G158" s="4" t="s">
        <v>2445</v>
      </c>
      <c r="H158" s="6"/>
      <c r="I158" s="6"/>
      <c r="J158" s="6" t="s">
        <v>4458</v>
      </c>
      <c r="K158" s="8" t="s">
        <v>2603</v>
      </c>
      <c r="L158" s="9"/>
    </row>
    <row r="159" ht="16.5" spans="1:12">
      <c r="A159" s="4" t="s">
        <v>3180</v>
      </c>
      <c r="B159" s="4"/>
      <c r="C159" s="5">
        <v>1500856</v>
      </c>
      <c r="D159" s="4" t="s">
        <v>178</v>
      </c>
      <c r="E159" s="4" t="s">
        <v>637</v>
      </c>
      <c r="F159" s="4" t="s">
        <v>656</v>
      </c>
      <c r="G159" s="4" t="s">
        <v>2445</v>
      </c>
      <c r="H159" s="6"/>
      <c r="I159" s="6"/>
      <c r="J159" s="6" t="s">
        <v>4458</v>
      </c>
      <c r="K159" s="8" t="s">
        <v>2603</v>
      </c>
      <c r="L159" s="9"/>
    </row>
    <row r="160" ht="16.5" spans="1:12">
      <c r="A160" s="4" t="s">
        <v>3180</v>
      </c>
      <c r="B160" s="4"/>
      <c r="C160" s="5">
        <v>1500857</v>
      </c>
      <c r="D160" s="4" t="s">
        <v>854</v>
      </c>
      <c r="E160" s="4" t="s">
        <v>637</v>
      </c>
      <c r="F160" s="4" t="s">
        <v>656</v>
      </c>
      <c r="G160" s="4" t="s">
        <v>2445</v>
      </c>
      <c r="H160" s="6"/>
      <c r="I160" s="6"/>
      <c r="J160" s="6" t="s">
        <v>4458</v>
      </c>
      <c r="K160" s="8" t="s">
        <v>2603</v>
      </c>
      <c r="L160" s="9"/>
    </row>
    <row r="161" ht="16.5" spans="1:12">
      <c r="A161" s="4" t="s">
        <v>3180</v>
      </c>
      <c r="B161" s="4"/>
      <c r="C161" s="5">
        <v>1500858</v>
      </c>
      <c r="D161" s="4" t="s">
        <v>3210</v>
      </c>
      <c r="E161" s="4" t="s">
        <v>637</v>
      </c>
      <c r="F161" s="4" t="s">
        <v>656</v>
      </c>
      <c r="G161" s="4" t="s">
        <v>2445</v>
      </c>
      <c r="H161" s="6"/>
      <c r="I161" s="6"/>
      <c r="J161" s="6" t="s">
        <v>4458</v>
      </c>
      <c r="K161" s="8" t="s">
        <v>2603</v>
      </c>
      <c r="L161" s="9"/>
    </row>
    <row r="162" ht="16.5" spans="1:12">
      <c r="A162" s="4" t="s">
        <v>3180</v>
      </c>
      <c r="B162" s="4"/>
      <c r="C162" s="5">
        <v>1500859</v>
      </c>
      <c r="D162" s="4" t="s">
        <v>855</v>
      </c>
      <c r="E162" s="4" t="s">
        <v>637</v>
      </c>
      <c r="F162" s="4" t="s">
        <v>656</v>
      </c>
      <c r="G162" s="4" t="s">
        <v>2445</v>
      </c>
      <c r="H162" s="6"/>
      <c r="I162" s="6"/>
      <c r="J162" s="6" t="s">
        <v>4459</v>
      </c>
      <c r="K162" s="8" t="s">
        <v>4460</v>
      </c>
      <c r="L162" s="9"/>
    </row>
    <row r="163" ht="16.5" spans="1:12">
      <c r="A163" s="4" t="s">
        <v>3180</v>
      </c>
      <c r="B163" s="4"/>
      <c r="C163" s="5">
        <v>1500860</v>
      </c>
      <c r="D163" s="4" t="s">
        <v>142</v>
      </c>
      <c r="E163" s="4" t="s">
        <v>637</v>
      </c>
      <c r="F163" s="4" t="s">
        <v>642</v>
      </c>
      <c r="G163" s="4" t="s">
        <v>2437</v>
      </c>
      <c r="H163" s="6"/>
      <c r="I163" s="6"/>
      <c r="J163" s="6" t="s">
        <v>3157</v>
      </c>
      <c r="K163" s="8" t="s">
        <v>2579</v>
      </c>
      <c r="L163" s="9"/>
    </row>
    <row r="164" ht="16.5" spans="1:12">
      <c r="A164" s="4" t="s">
        <v>3180</v>
      </c>
      <c r="B164" s="4"/>
      <c r="C164" s="5">
        <v>1500861</v>
      </c>
      <c r="D164" s="4" t="s">
        <v>599</v>
      </c>
      <c r="E164" s="4" t="s">
        <v>637</v>
      </c>
      <c r="F164" s="4" t="s">
        <v>642</v>
      </c>
      <c r="G164" s="4" t="s">
        <v>2437</v>
      </c>
      <c r="H164" s="6"/>
      <c r="I164" s="6"/>
      <c r="J164" s="6" t="s">
        <v>3158</v>
      </c>
      <c r="K164" s="8" t="s">
        <v>2529</v>
      </c>
      <c r="L164" s="9"/>
    </row>
    <row r="165" ht="16.5" spans="1:12">
      <c r="A165" s="4" t="s">
        <v>3180</v>
      </c>
      <c r="B165" s="4"/>
      <c r="C165" s="5">
        <v>1500862</v>
      </c>
      <c r="D165" s="4" t="s">
        <v>472</v>
      </c>
      <c r="E165" s="4" t="s">
        <v>637</v>
      </c>
      <c r="F165" s="4" t="s">
        <v>638</v>
      </c>
      <c r="G165" s="4" t="s">
        <v>3186</v>
      </c>
      <c r="H165" s="6"/>
      <c r="I165" s="6"/>
      <c r="J165" s="6" t="s">
        <v>4380</v>
      </c>
      <c r="K165" s="8" t="s">
        <v>4381</v>
      </c>
      <c r="L165" s="9"/>
    </row>
    <row r="166" ht="16.5" spans="1:12">
      <c r="A166" s="4" t="s">
        <v>3180</v>
      </c>
      <c r="B166" s="4"/>
      <c r="C166" s="5">
        <v>1500863</v>
      </c>
      <c r="D166" s="4" t="s">
        <v>856</v>
      </c>
      <c r="E166" s="4" t="s">
        <v>637</v>
      </c>
      <c r="F166" s="4" t="s">
        <v>638</v>
      </c>
      <c r="G166" s="4" t="s">
        <v>3186</v>
      </c>
      <c r="H166" s="6"/>
      <c r="I166" s="6"/>
      <c r="J166" s="6" t="s">
        <v>4380</v>
      </c>
      <c r="K166" s="8" t="s">
        <v>4381</v>
      </c>
      <c r="L166" s="9"/>
    </row>
    <row r="167" ht="16.5" spans="1:12">
      <c r="A167" s="4" t="s">
        <v>3180</v>
      </c>
      <c r="B167" s="4"/>
      <c r="C167" s="5">
        <v>1500864</v>
      </c>
      <c r="D167" s="4" t="s">
        <v>857</v>
      </c>
      <c r="E167" s="4" t="s">
        <v>637</v>
      </c>
      <c r="F167" s="4" t="s">
        <v>638</v>
      </c>
      <c r="G167" s="4" t="s">
        <v>3186</v>
      </c>
      <c r="H167" s="6"/>
      <c r="I167" s="6"/>
      <c r="J167" s="6" t="s">
        <v>4380</v>
      </c>
      <c r="K167" s="8" t="s">
        <v>4381</v>
      </c>
      <c r="L167" s="9"/>
    </row>
    <row r="168" ht="16.5" spans="1:12">
      <c r="A168" s="4" t="s">
        <v>3180</v>
      </c>
      <c r="B168" s="4"/>
      <c r="C168" s="5">
        <v>1500865</v>
      </c>
      <c r="D168" s="4" t="s">
        <v>344</v>
      </c>
      <c r="E168" s="4" t="s">
        <v>637</v>
      </c>
      <c r="F168" s="4" t="s">
        <v>638</v>
      </c>
      <c r="G168" s="4" t="s">
        <v>3186</v>
      </c>
      <c r="H168" s="6"/>
      <c r="I168" s="6"/>
      <c r="J168" s="6" t="s">
        <v>4380</v>
      </c>
      <c r="K168" s="8" t="s">
        <v>4381</v>
      </c>
      <c r="L168" s="9"/>
    </row>
    <row r="169" ht="16.5" spans="1:12">
      <c r="A169" s="4" t="s">
        <v>3180</v>
      </c>
      <c r="B169" s="4"/>
      <c r="C169" s="5">
        <v>1500866</v>
      </c>
      <c r="D169" s="4" t="s">
        <v>3211</v>
      </c>
      <c r="E169" s="4" t="s">
        <v>637</v>
      </c>
      <c r="F169" s="4" t="s">
        <v>638</v>
      </c>
      <c r="G169" s="4" t="s">
        <v>3342</v>
      </c>
      <c r="H169" s="6"/>
      <c r="I169" s="6"/>
      <c r="J169" s="6" t="s">
        <v>4380</v>
      </c>
      <c r="K169" s="8" t="s">
        <v>4381</v>
      </c>
      <c r="L169" s="9"/>
    </row>
    <row r="170" ht="16.5" spans="1:12">
      <c r="A170" s="4" t="s">
        <v>3180</v>
      </c>
      <c r="B170" s="4"/>
      <c r="C170" s="5">
        <v>1500867</v>
      </c>
      <c r="D170" s="4" t="s">
        <v>210</v>
      </c>
      <c r="E170" s="4" t="s">
        <v>637</v>
      </c>
      <c r="F170" s="4" t="s">
        <v>638</v>
      </c>
      <c r="G170" s="4" t="s">
        <v>3342</v>
      </c>
      <c r="H170" s="6"/>
      <c r="I170" s="6"/>
      <c r="J170" s="6" t="s">
        <v>4380</v>
      </c>
      <c r="K170" s="8" t="s">
        <v>4381</v>
      </c>
      <c r="L170" s="9"/>
    </row>
    <row r="171" ht="16.5" spans="1:12">
      <c r="A171" s="4" t="s">
        <v>3180</v>
      </c>
      <c r="B171" s="4"/>
      <c r="C171" s="5">
        <v>1500868</v>
      </c>
      <c r="D171" s="4" t="s">
        <v>668</v>
      </c>
      <c r="E171" s="4" t="s">
        <v>637</v>
      </c>
      <c r="F171" s="4" t="s">
        <v>638</v>
      </c>
      <c r="G171" s="4" t="s">
        <v>3342</v>
      </c>
      <c r="H171" s="6"/>
      <c r="I171" s="6"/>
      <c r="J171" s="6" t="s">
        <v>4380</v>
      </c>
      <c r="K171" s="8" t="s">
        <v>4381</v>
      </c>
      <c r="L171" s="9"/>
    </row>
    <row r="172" ht="16.5" spans="1:12">
      <c r="A172" s="4" t="s">
        <v>3180</v>
      </c>
      <c r="B172" s="4"/>
      <c r="C172" s="5">
        <v>1500869</v>
      </c>
      <c r="D172" s="4" t="s">
        <v>858</v>
      </c>
      <c r="E172" s="4" t="s">
        <v>637</v>
      </c>
      <c r="F172" s="4" t="s">
        <v>638</v>
      </c>
      <c r="G172" s="4" t="s">
        <v>3186</v>
      </c>
      <c r="H172" s="6"/>
      <c r="I172" s="6"/>
      <c r="J172" s="6" t="s">
        <v>4380</v>
      </c>
      <c r="K172" s="8" t="s">
        <v>4381</v>
      </c>
      <c r="L172" s="9"/>
    </row>
    <row r="173" ht="16.5" spans="1:12">
      <c r="A173" s="4" t="s">
        <v>3180</v>
      </c>
      <c r="B173" s="4"/>
      <c r="C173" s="5">
        <v>1500870</v>
      </c>
      <c r="D173" s="4" t="s">
        <v>859</v>
      </c>
      <c r="E173" s="4" t="s">
        <v>637</v>
      </c>
      <c r="F173" s="4" t="s">
        <v>638</v>
      </c>
      <c r="G173" s="4" t="s">
        <v>3186</v>
      </c>
      <c r="H173" s="6"/>
      <c r="I173" s="6"/>
      <c r="J173" s="6" t="s">
        <v>4380</v>
      </c>
      <c r="K173" s="8" t="s">
        <v>4381</v>
      </c>
      <c r="L173" s="9"/>
    </row>
    <row r="174" ht="16.5" spans="1:12">
      <c r="A174" s="4" t="s">
        <v>3180</v>
      </c>
      <c r="B174" s="4"/>
      <c r="C174" s="5">
        <v>1500871</v>
      </c>
      <c r="D174" s="4" t="s">
        <v>860</v>
      </c>
      <c r="E174" s="4" t="s">
        <v>637</v>
      </c>
      <c r="F174" s="4" t="s">
        <v>638</v>
      </c>
      <c r="G174" s="4" t="s">
        <v>3186</v>
      </c>
      <c r="H174" s="6"/>
      <c r="I174" s="6"/>
      <c r="J174" s="6" t="s">
        <v>4380</v>
      </c>
      <c r="K174" s="8" t="s">
        <v>4381</v>
      </c>
      <c r="L174" s="9"/>
    </row>
    <row r="175" ht="16.5" spans="1:12">
      <c r="A175" s="4" t="s">
        <v>3180</v>
      </c>
      <c r="B175" s="4"/>
      <c r="C175" s="5">
        <v>1500872</v>
      </c>
      <c r="D175" s="4" t="s">
        <v>297</v>
      </c>
      <c r="E175" s="4" t="s">
        <v>637</v>
      </c>
      <c r="F175" s="4" t="s">
        <v>638</v>
      </c>
      <c r="G175" s="4" t="s">
        <v>3342</v>
      </c>
      <c r="H175" s="6"/>
      <c r="I175" s="6"/>
      <c r="J175" s="6" t="s">
        <v>4380</v>
      </c>
      <c r="K175" s="8" t="s">
        <v>4381</v>
      </c>
      <c r="L175" s="9"/>
    </row>
    <row r="176" ht="16.5" spans="1:12">
      <c r="A176" s="4" t="s">
        <v>3180</v>
      </c>
      <c r="B176" s="4"/>
      <c r="C176" s="5">
        <v>1500873</v>
      </c>
      <c r="D176" s="4" t="s">
        <v>583</v>
      </c>
      <c r="E176" s="4" t="s">
        <v>637</v>
      </c>
      <c r="F176" s="4" t="s">
        <v>638</v>
      </c>
      <c r="G176" s="4" t="s">
        <v>3342</v>
      </c>
      <c r="H176" s="6"/>
      <c r="I176" s="6"/>
      <c r="J176" s="6" t="s">
        <v>4380</v>
      </c>
      <c r="K176" s="8" t="s">
        <v>4381</v>
      </c>
      <c r="L176" s="9"/>
    </row>
    <row r="177" ht="16.5" spans="1:12">
      <c r="A177" s="4" t="s">
        <v>3180</v>
      </c>
      <c r="B177" s="4"/>
      <c r="C177" s="5">
        <v>1500874</v>
      </c>
      <c r="D177" s="4" t="s">
        <v>861</v>
      </c>
      <c r="E177" s="4" t="s">
        <v>637</v>
      </c>
      <c r="F177" s="4" t="s">
        <v>638</v>
      </c>
      <c r="G177" s="4" t="s">
        <v>3342</v>
      </c>
      <c r="H177" s="6"/>
      <c r="I177" s="6"/>
      <c r="J177" s="6" t="s">
        <v>4380</v>
      </c>
      <c r="K177" s="8" t="s">
        <v>4381</v>
      </c>
      <c r="L177" s="9"/>
    </row>
    <row r="178" ht="16.5" spans="1:12">
      <c r="A178" s="4" t="s">
        <v>3180</v>
      </c>
      <c r="B178" s="4"/>
      <c r="C178" s="5">
        <v>1500875</v>
      </c>
      <c r="D178" s="4" t="s">
        <v>862</v>
      </c>
      <c r="E178" s="4" t="s">
        <v>637</v>
      </c>
      <c r="F178" s="4" t="s">
        <v>638</v>
      </c>
      <c r="G178" s="4" t="s">
        <v>3342</v>
      </c>
      <c r="H178" s="6"/>
      <c r="I178" s="6"/>
      <c r="J178" s="6" t="s">
        <v>4380</v>
      </c>
      <c r="K178" s="8" t="s">
        <v>4381</v>
      </c>
      <c r="L178" s="9"/>
    </row>
    <row r="179" ht="16.5" spans="1:12">
      <c r="A179" s="4" t="s">
        <v>3180</v>
      </c>
      <c r="B179" s="4"/>
      <c r="C179" s="5">
        <v>1500876</v>
      </c>
      <c r="D179" s="4" t="s">
        <v>863</v>
      </c>
      <c r="E179" s="4" t="s">
        <v>637</v>
      </c>
      <c r="F179" s="4" t="s">
        <v>638</v>
      </c>
      <c r="G179" s="4" t="s">
        <v>3186</v>
      </c>
      <c r="H179" s="6"/>
      <c r="I179" s="6"/>
      <c r="J179" s="6" t="s">
        <v>4380</v>
      </c>
      <c r="K179" s="8" t="s">
        <v>4381</v>
      </c>
      <c r="L179" s="9"/>
    </row>
    <row r="180" ht="16.5" spans="1:12">
      <c r="A180" s="4" t="s">
        <v>3180</v>
      </c>
      <c r="B180" s="4"/>
      <c r="C180" s="5">
        <v>1500877</v>
      </c>
      <c r="D180" s="4" t="s">
        <v>557</v>
      </c>
      <c r="E180" s="4" t="s">
        <v>637</v>
      </c>
      <c r="F180" s="4" t="s">
        <v>638</v>
      </c>
      <c r="G180" s="4" t="s">
        <v>3186</v>
      </c>
      <c r="H180" s="6"/>
      <c r="I180" s="6"/>
      <c r="J180" s="6" t="s">
        <v>4380</v>
      </c>
      <c r="K180" s="8" t="s">
        <v>4381</v>
      </c>
      <c r="L180" s="9"/>
    </row>
    <row r="181" ht="16.5" spans="1:12">
      <c r="A181" s="4" t="s">
        <v>3180</v>
      </c>
      <c r="B181" s="4"/>
      <c r="C181" s="5">
        <v>1500878</v>
      </c>
      <c r="D181" s="4" t="s">
        <v>531</v>
      </c>
      <c r="E181" s="4" t="s">
        <v>637</v>
      </c>
      <c r="F181" s="4" t="s">
        <v>638</v>
      </c>
      <c r="G181" s="4" t="s">
        <v>3342</v>
      </c>
      <c r="H181" s="6"/>
      <c r="I181" s="6"/>
      <c r="J181" s="6" t="s">
        <v>4380</v>
      </c>
      <c r="K181" s="8" t="s">
        <v>4381</v>
      </c>
      <c r="L181" s="9"/>
    </row>
    <row r="182" ht="16.5" spans="1:12">
      <c r="A182" s="4" t="s">
        <v>3180</v>
      </c>
      <c r="B182" s="4"/>
      <c r="C182" s="5">
        <v>1500879</v>
      </c>
      <c r="D182" s="4" t="s">
        <v>401</v>
      </c>
      <c r="E182" s="4" t="s">
        <v>637</v>
      </c>
      <c r="F182" s="4" t="s">
        <v>638</v>
      </c>
      <c r="G182" s="4" t="s">
        <v>3342</v>
      </c>
      <c r="H182" s="6"/>
      <c r="I182" s="6"/>
      <c r="J182" s="6" t="s">
        <v>4380</v>
      </c>
      <c r="K182" s="8" t="s">
        <v>4381</v>
      </c>
      <c r="L182" s="9"/>
    </row>
    <row r="183" ht="16.5" spans="1:12">
      <c r="A183" s="4" t="s">
        <v>3180</v>
      </c>
      <c r="B183" s="4"/>
      <c r="C183" s="5">
        <v>1500880</v>
      </c>
      <c r="D183" s="4" t="s">
        <v>561</v>
      </c>
      <c r="E183" s="4" t="s">
        <v>637</v>
      </c>
      <c r="F183" s="4" t="s">
        <v>638</v>
      </c>
      <c r="G183" s="4" t="s">
        <v>3186</v>
      </c>
      <c r="H183" s="6"/>
      <c r="I183" s="6"/>
      <c r="J183" s="6" t="s">
        <v>4380</v>
      </c>
      <c r="K183" s="8" t="s">
        <v>4381</v>
      </c>
      <c r="L183" s="9"/>
    </row>
    <row r="184" ht="16.5" spans="1:12">
      <c r="A184" s="4" t="s">
        <v>3180</v>
      </c>
      <c r="B184" s="4"/>
      <c r="C184" s="5">
        <v>1500881</v>
      </c>
      <c r="D184" s="4" t="s">
        <v>362</v>
      </c>
      <c r="E184" s="4" t="s">
        <v>637</v>
      </c>
      <c r="F184" s="4" t="s">
        <v>638</v>
      </c>
      <c r="G184" s="4" t="s">
        <v>3342</v>
      </c>
      <c r="H184" s="6"/>
      <c r="I184" s="6"/>
      <c r="J184" s="6" t="s">
        <v>4380</v>
      </c>
      <c r="K184" s="8" t="s">
        <v>4381</v>
      </c>
      <c r="L184" s="9"/>
    </row>
    <row r="185" ht="16.5" spans="1:12">
      <c r="A185" s="4" t="s">
        <v>3180</v>
      </c>
      <c r="B185" s="4"/>
      <c r="C185" s="5">
        <v>1500882</v>
      </c>
      <c r="D185" s="4" t="s">
        <v>70</v>
      </c>
      <c r="E185" s="4" t="s">
        <v>637</v>
      </c>
      <c r="F185" s="4" t="s">
        <v>638</v>
      </c>
      <c r="G185" s="4" t="s">
        <v>3342</v>
      </c>
      <c r="H185" s="6"/>
      <c r="I185" s="6"/>
      <c r="J185" s="6" t="s">
        <v>4380</v>
      </c>
      <c r="K185" s="8" t="s">
        <v>4381</v>
      </c>
      <c r="L185" s="9"/>
    </row>
    <row r="186" ht="16.5" spans="1:12">
      <c r="A186" s="4" t="s">
        <v>3180</v>
      </c>
      <c r="B186" s="4"/>
      <c r="C186" s="5">
        <v>1500883</v>
      </c>
      <c r="D186" s="4" t="s">
        <v>563</v>
      </c>
      <c r="E186" s="4" t="s">
        <v>637</v>
      </c>
      <c r="F186" s="4" t="s">
        <v>638</v>
      </c>
      <c r="G186" s="4" t="s">
        <v>3342</v>
      </c>
      <c r="H186" s="6"/>
      <c r="I186" s="6"/>
      <c r="J186" s="6" t="s">
        <v>4380</v>
      </c>
      <c r="K186" s="8" t="s">
        <v>4381</v>
      </c>
      <c r="L186" s="9"/>
    </row>
    <row r="187" ht="16.5" spans="1:12">
      <c r="A187" s="4" t="s">
        <v>3180</v>
      </c>
      <c r="B187" s="4"/>
      <c r="C187" s="5">
        <v>1500884</v>
      </c>
      <c r="D187" s="4" t="s">
        <v>292</v>
      </c>
      <c r="E187" s="4" t="s">
        <v>637</v>
      </c>
      <c r="F187" s="4" t="s">
        <v>638</v>
      </c>
      <c r="G187" s="4" t="s">
        <v>3342</v>
      </c>
      <c r="H187" s="6"/>
      <c r="I187" s="6"/>
      <c r="J187" s="6" t="s">
        <v>4380</v>
      </c>
      <c r="K187" s="8" t="s">
        <v>4381</v>
      </c>
      <c r="L187" s="9"/>
    </row>
    <row r="188" ht="16.5" spans="1:12">
      <c r="A188" s="4" t="s">
        <v>3180</v>
      </c>
      <c r="B188" s="4"/>
      <c r="C188" s="5">
        <v>1500885</v>
      </c>
      <c r="D188" s="4" t="s">
        <v>864</v>
      </c>
      <c r="E188" s="4" t="s">
        <v>637</v>
      </c>
      <c r="F188" s="4" t="s">
        <v>638</v>
      </c>
      <c r="G188" s="4" t="s">
        <v>3342</v>
      </c>
      <c r="H188" s="6"/>
      <c r="I188" s="6"/>
      <c r="J188" s="6" t="s">
        <v>4380</v>
      </c>
      <c r="K188" s="8" t="s">
        <v>4381</v>
      </c>
      <c r="L188" s="9"/>
    </row>
    <row r="189" ht="16.5" spans="1:12">
      <c r="A189" s="4" t="s">
        <v>3180</v>
      </c>
      <c r="B189" s="4"/>
      <c r="C189" s="5">
        <v>1500886</v>
      </c>
      <c r="D189" s="4" t="s">
        <v>865</v>
      </c>
      <c r="E189" s="4" t="s">
        <v>637</v>
      </c>
      <c r="F189" s="4" t="s">
        <v>638</v>
      </c>
      <c r="G189" s="4" t="s">
        <v>3342</v>
      </c>
      <c r="H189" s="6"/>
      <c r="I189" s="6"/>
      <c r="J189" s="6" t="s">
        <v>4380</v>
      </c>
      <c r="K189" s="8" t="s">
        <v>4381</v>
      </c>
      <c r="L189" s="9"/>
    </row>
    <row r="190" ht="16.5" spans="1:12">
      <c r="A190" s="4" t="s">
        <v>3180</v>
      </c>
      <c r="B190" s="4"/>
      <c r="C190" s="5">
        <v>1500887</v>
      </c>
      <c r="D190" s="4" t="s">
        <v>866</v>
      </c>
      <c r="E190" s="4" t="s">
        <v>637</v>
      </c>
      <c r="F190" s="4" t="s">
        <v>638</v>
      </c>
      <c r="G190" s="4" t="s">
        <v>4426</v>
      </c>
      <c r="H190" s="6"/>
      <c r="I190" s="6"/>
      <c r="J190" s="6" t="s">
        <v>4380</v>
      </c>
      <c r="K190" s="8" t="s">
        <v>4381</v>
      </c>
      <c r="L190" s="9"/>
    </row>
    <row r="191" ht="16.5" spans="1:12">
      <c r="A191" s="4" t="s">
        <v>3180</v>
      </c>
      <c r="B191" s="4"/>
      <c r="C191" s="5">
        <v>1500888</v>
      </c>
      <c r="D191" s="4" t="s">
        <v>867</v>
      </c>
      <c r="E191" s="4" t="s">
        <v>637</v>
      </c>
      <c r="F191" s="4" t="s">
        <v>638</v>
      </c>
      <c r="G191" s="4" t="s">
        <v>3342</v>
      </c>
      <c r="H191" s="6"/>
      <c r="I191" s="6"/>
      <c r="J191" s="6" t="s">
        <v>4380</v>
      </c>
      <c r="K191" s="8" t="s">
        <v>4381</v>
      </c>
      <c r="L191" s="9"/>
    </row>
    <row r="192" ht="16.5" spans="1:12">
      <c r="A192" s="4" t="s">
        <v>3180</v>
      </c>
      <c r="B192" s="4"/>
      <c r="C192" s="5">
        <v>1500889</v>
      </c>
      <c r="D192" s="4" t="s">
        <v>473</v>
      </c>
      <c r="E192" s="4" t="s">
        <v>637</v>
      </c>
      <c r="F192" s="4" t="s">
        <v>638</v>
      </c>
      <c r="G192" s="4" t="s">
        <v>3342</v>
      </c>
      <c r="H192" s="6"/>
      <c r="I192" s="6"/>
      <c r="J192" s="6" t="s">
        <v>4380</v>
      </c>
      <c r="K192" s="8" t="s">
        <v>4381</v>
      </c>
      <c r="L192" s="9"/>
    </row>
    <row r="193" ht="16.5" spans="1:12">
      <c r="A193" s="4" t="s">
        <v>3180</v>
      </c>
      <c r="B193" s="4"/>
      <c r="C193" s="5">
        <v>1500890</v>
      </c>
      <c r="D193" s="4" t="s">
        <v>868</v>
      </c>
      <c r="E193" s="4" t="s">
        <v>637</v>
      </c>
      <c r="F193" s="4" t="s">
        <v>638</v>
      </c>
      <c r="G193" s="4" t="s">
        <v>3186</v>
      </c>
      <c r="H193" s="6"/>
      <c r="I193" s="6"/>
      <c r="J193" s="6" t="s">
        <v>4380</v>
      </c>
      <c r="K193" s="8" t="s">
        <v>4381</v>
      </c>
      <c r="L193" s="9"/>
    </row>
    <row r="194" ht="16.5" spans="1:12">
      <c r="A194" s="4" t="s">
        <v>3180</v>
      </c>
      <c r="B194" s="4"/>
      <c r="C194" s="5">
        <v>1500891</v>
      </c>
      <c r="D194" s="4" t="s">
        <v>432</v>
      </c>
      <c r="E194" s="4" t="s">
        <v>637</v>
      </c>
      <c r="F194" s="4" t="s">
        <v>656</v>
      </c>
      <c r="G194" s="4" t="s">
        <v>2445</v>
      </c>
      <c r="H194" s="6"/>
      <c r="I194" s="6"/>
      <c r="J194" s="6" t="s">
        <v>4461</v>
      </c>
      <c r="K194" s="8" t="s">
        <v>4462</v>
      </c>
      <c r="L194" s="9"/>
    </row>
    <row r="195" ht="16.5" spans="1:12">
      <c r="A195" s="4" t="s">
        <v>3180</v>
      </c>
      <c r="B195" s="4"/>
      <c r="C195" s="5">
        <v>1500892</v>
      </c>
      <c r="D195" s="4" t="s">
        <v>869</v>
      </c>
      <c r="E195" s="4" t="s">
        <v>637</v>
      </c>
      <c r="F195" s="4" t="s">
        <v>656</v>
      </c>
      <c r="G195" s="4" t="s">
        <v>2445</v>
      </c>
      <c r="H195" s="6"/>
      <c r="I195" s="6"/>
      <c r="J195" s="6" t="s">
        <v>4463</v>
      </c>
      <c r="K195" s="8" t="s">
        <v>2520</v>
      </c>
      <c r="L195" s="9"/>
    </row>
    <row r="196" ht="16.5" spans="1:12">
      <c r="A196" s="4" t="s">
        <v>3180</v>
      </c>
      <c r="B196" s="4"/>
      <c r="C196" s="5">
        <v>1500893</v>
      </c>
      <c r="D196" s="4" t="s">
        <v>3212</v>
      </c>
      <c r="E196" s="4" t="s">
        <v>637</v>
      </c>
      <c r="F196" s="4" t="s">
        <v>638</v>
      </c>
      <c r="G196" s="4" t="s">
        <v>4454</v>
      </c>
      <c r="H196" s="6"/>
      <c r="I196" s="6"/>
      <c r="J196" s="6" t="s">
        <v>4380</v>
      </c>
      <c r="K196" s="8" t="s">
        <v>4381</v>
      </c>
      <c r="L196" s="9"/>
    </row>
    <row r="197" ht="16.5" spans="1:12">
      <c r="A197" s="4" t="s">
        <v>3180</v>
      </c>
      <c r="B197" s="4"/>
      <c r="C197" s="5">
        <v>1500894</v>
      </c>
      <c r="D197" s="4" t="s">
        <v>870</v>
      </c>
      <c r="E197" s="4" t="s">
        <v>637</v>
      </c>
      <c r="F197" s="4" t="s">
        <v>638</v>
      </c>
      <c r="G197" s="4" t="s">
        <v>3186</v>
      </c>
      <c r="H197" s="6"/>
      <c r="I197" s="6"/>
      <c r="J197" s="6" t="s">
        <v>4380</v>
      </c>
      <c r="K197" s="8" t="s">
        <v>4381</v>
      </c>
      <c r="L197" s="9"/>
    </row>
    <row r="198" ht="16.5" spans="1:12">
      <c r="A198" s="4" t="s">
        <v>3180</v>
      </c>
      <c r="B198" s="4"/>
      <c r="C198" s="5">
        <v>1500895</v>
      </c>
      <c r="D198" s="4" t="s">
        <v>871</v>
      </c>
      <c r="E198" s="4" t="s">
        <v>637</v>
      </c>
      <c r="F198" s="4" t="s">
        <v>644</v>
      </c>
      <c r="G198" s="4" t="s">
        <v>3204</v>
      </c>
      <c r="H198" s="6"/>
      <c r="I198" s="6"/>
      <c r="J198" s="6" t="s">
        <v>2345</v>
      </c>
      <c r="K198" s="8" t="s">
        <v>2346</v>
      </c>
      <c r="L198" s="9"/>
    </row>
    <row r="199" ht="16.5" spans="1:12">
      <c r="A199" s="4" t="s">
        <v>3180</v>
      </c>
      <c r="B199" s="4"/>
      <c r="C199" s="5">
        <v>1500896</v>
      </c>
      <c r="D199" s="4" t="s">
        <v>77</v>
      </c>
      <c r="E199" s="4" t="s">
        <v>637</v>
      </c>
      <c r="F199" s="4" t="s">
        <v>646</v>
      </c>
      <c r="G199" s="4" t="s">
        <v>2627</v>
      </c>
      <c r="H199" s="6"/>
      <c r="I199" s="6"/>
      <c r="J199" s="6" t="s">
        <v>2367</v>
      </c>
      <c r="K199" s="8" t="s">
        <v>4464</v>
      </c>
      <c r="L199" s="9"/>
    </row>
    <row r="200" ht="16.5" spans="1:12">
      <c r="A200" s="4" t="s">
        <v>3180</v>
      </c>
      <c r="B200" s="4"/>
      <c r="C200" s="5">
        <v>1500897</v>
      </c>
      <c r="D200" s="4" t="s">
        <v>334</v>
      </c>
      <c r="E200" s="4" t="s">
        <v>637</v>
      </c>
      <c r="F200" s="4" t="s">
        <v>646</v>
      </c>
      <c r="G200" s="4" t="s">
        <v>2627</v>
      </c>
      <c r="H200" s="6"/>
      <c r="I200" s="6"/>
      <c r="J200" s="6" t="s">
        <v>2367</v>
      </c>
      <c r="K200" s="8" t="s">
        <v>4464</v>
      </c>
      <c r="L200" s="9"/>
    </row>
    <row r="201" ht="16.5" spans="1:12">
      <c r="A201" s="4" t="s">
        <v>3180</v>
      </c>
      <c r="B201" s="4"/>
      <c r="C201" s="5">
        <v>1500899</v>
      </c>
      <c r="D201" s="4" t="s">
        <v>873</v>
      </c>
      <c r="E201" s="4" t="s">
        <v>637</v>
      </c>
      <c r="F201" s="4" t="s">
        <v>646</v>
      </c>
      <c r="G201" s="4" t="s">
        <v>2627</v>
      </c>
      <c r="H201" s="6"/>
      <c r="I201" s="6"/>
      <c r="J201" s="6" t="s">
        <v>2376</v>
      </c>
      <c r="K201" s="8" t="s">
        <v>3060</v>
      </c>
      <c r="L201" s="9"/>
    </row>
    <row r="202" ht="16.5" spans="1:12">
      <c r="A202" s="4" t="s">
        <v>3180</v>
      </c>
      <c r="B202" s="4"/>
      <c r="C202" s="5">
        <v>1500900</v>
      </c>
      <c r="D202" s="4" t="s">
        <v>874</v>
      </c>
      <c r="E202" s="4" t="s">
        <v>637</v>
      </c>
      <c r="F202" s="4" t="s">
        <v>646</v>
      </c>
      <c r="G202" s="4" t="s">
        <v>2627</v>
      </c>
      <c r="H202" s="6"/>
      <c r="I202" s="6"/>
      <c r="J202" s="6" t="s">
        <v>2357</v>
      </c>
      <c r="K202" s="8" t="s">
        <v>3091</v>
      </c>
      <c r="L202" s="9"/>
    </row>
    <row r="203" ht="16.5" spans="1:12">
      <c r="A203" s="4" t="s">
        <v>3180</v>
      </c>
      <c r="B203" s="4"/>
      <c r="C203" s="5">
        <v>1500902</v>
      </c>
      <c r="D203" s="4" t="s">
        <v>164</v>
      </c>
      <c r="E203" s="4" t="s">
        <v>637</v>
      </c>
      <c r="F203" s="4" t="s">
        <v>646</v>
      </c>
      <c r="G203" s="4" t="s">
        <v>2627</v>
      </c>
      <c r="H203" s="6"/>
      <c r="I203" s="6"/>
      <c r="J203" s="6" t="s">
        <v>2359</v>
      </c>
      <c r="K203" s="8" t="s">
        <v>3055</v>
      </c>
      <c r="L203" s="9"/>
    </row>
    <row r="204" ht="16.5" spans="1:12">
      <c r="A204" s="4" t="s">
        <v>3180</v>
      </c>
      <c r="B204" s="4"/>
      <c r="C204" s="5">
        <v>1500903</v>
      </c>
      <c r="D204" s="4" t="s">
        <v>91</v>
      </c>
      <c r="E204" s="4" t="s">
        <v>637</v>
      </c>
      <c r="F204" s="4" t="s">
        <v>646</v>
      </c>
      <c r="G204" s="4" t="s">
        <v>2627</v>
      </c>
      <c r="H204" s="6"/>
      <c r="I204" s="6"/>
      <c r="J204" s="6" t="s">
        <v>2372</v>
      </c>
      <c r="K204" s="8" t="s">
        <v>3058</v>
      </c>
      <c r="L204" s="9"/>
    </row>
    <row r="205" ht="16.5" spans="1:12">
      <c r="A205" s="4" t="s">
        <v>3180</v>
      </c>
      <c r="B205" s="4"/>
      <c r="C205" s="5">
        <v>1500904</v>
      </c>
      <c r="D205" s="4" t="s">
        <v>545</v>
      </c>
      <c r="E205" s="4" t="s">
        <v>637</v>
      </c>
      <c r="F205" s="4" t="s">
        <v>646</v>
      </c>
      <c r="G205" s="4" t="s">
        <v>2627</v>
      </c>
      <c r="H205" s="6"/>
      <c r="I205" s="6"/>
      <c r="J205" s="6" t="s">
        <v>2361</v>
      </c>
      <c r="K205" s="8" t="s">
        <v>3056</v>
      </c>
      <c r="L205" s="9"/>
    </row>
    <row r="206" ht="16.5" spans="1:12">
      <c r="A206" s="4" t="s">
        <v>3180</v>
      </c>
      <c r="B206" s="4"/>
      <c r="C206" s="5">
        <v>1500905</v>
      </c>
      <c r="D206" s="4" t="s">
        <v>876</v>
      </c>
      <c r="E206" s="4" t="s">
        <v>637</v>
      </c>
      <c r="F206" s="4" t="s">
        <v>646</v>
      </c>
      <c r="G206" s="4" t="s">
        <v>2627</v>
      </c>
      <c r="H206" s="6"/>
      <c r="I206" s="6"/>
      <c r="J206" s="6" t="s">
        <v>2353</v>
      </c>
      <c r="K206" s="8" t="s">
        <v>3054</v>
      </c>
      <c r="L206" s="9"/>
    </row>
    <row r="207" ht="16.5" spans="1:12">
      <c r="A207" s="4" t="s">
        <v>3180</v>
      </c>
      <c r="B207" s="4"/>
      <c r="C207" s="5">
        <v>1500906</v>
      </c>
      <c r="D207" s="4" t="s">
        <v>877</v>
      </c>
      <c r="E207" s="4" t="s">
        <v>637</v>
      </c>
      <c r="F207" s="4" t="s">
        <v>646</v>
      </c>
      <c r="G207" s="4" t="s">
        <v>2627</v>
      </c>
      <c r="H207" s="6"/>
      <c r="I207" s="6"/>
      <c r="J207" s="6" t="s">
        <v>2396</v>
      </c>
      <c r="K207" s="8" t="s">
        <v>4465</v>
      </c>
      <c r="L207" s="9"/>
    </row>
    <row r="208" ht="16.5" spans="1:12">
      <c r="A208" s="4" t="s">
        <v>3180</v>
      </c>
      <c r="B208" s="4"/>
      <c r="C208" s="5">
        <v>1500907</v>
      </c>
      <c r="D208" s="4" t="s">
        <v>3213</v>
      </c>
      <c r="E208" s="4" t="s">
        <v>637</v>
      </c>
      <c r="F208" s="4" t="s">
        <v>646</v>
      </c>
      <c r="G208" s="4" t="s">
        <v>2627</v>
      </c>
      <c r="H208" s="6"/>
      <c r="I208" s="6"/>
      <c r="J208" s="6" t="s">
        <v>2424</v>
      </c>
      <c r="K208" s="8" t="s">
        <v>2425</v>
      </c>
      <c r="L208" s="9"/>
    </row>
    <row r="209" ht="16.5" spans="1:12">
      <c r="A209" s="4" t="s">
        <v>3180</v>
      </c>
      <c r="B209" s="4"/>
      <c r="C209" s="5">
        <v>1500908</v>
      </c>
      <c r="D209" s="4" t="s">
        <v>878</v>
      </c>
      <c r="E209" s="4" t="s">
        <v>637</v>
      </c>
      <c r="F209" s="4" t="s">
        <v>646</v>
      </c>
      <c r="G209" s="4" t="s">
        <v>2627</v>
      </c>
      <c r="H209" s="6"/>
      <c r="I209" s="6"/>
      <c r="J209" s="6" t="s">
        <v>2424</v>
      </c>
      <c r="K209" s="8" t="s">
        <v>2425</v>
      </c>
      <c r="L209" s="9"/>
    </row>
    <row r="210" ht="16.5" spans="1:12">
      <c r="A210" s="4" t="s">
        <v>3180</v>
      </c>
      <c r="B210" s="4"/>
      <c r="C210" s="5">
        <v>1500909</v>
      </c>
      <c r="D210" s="4" t="s">
        <v>879</v>
      </c>
      <c r="E210" s="4" t="s">
        <v>637</v>
      </c>
      <c r="F210" s="4" t="s">
        <v>646</v>
      </c>
      <c r="G210" s="4" t="s">
        <v>2627</v>
      </c>
      <c r="H210" s="6"/>
      <c r="I210" s="6"/>
      <c r="J210" s="6" t="s">
        <v>4466</v>
      </c>
      <c r="K210" s="8" t="s">
        <v>4467</v>
      </c>
      <c r="L210" s="9"/>
    </row>
    <row r="211" ht="16.5" spans="1:12">
      <c r="A211" s="4" t="s">
        <v>3180</v>
      </c>
      <c r="B211" s="4"/>
      <c r="C211" s="5">
        <v>1500910</v>
      </c>
      <c r="D211" s="4" t="s">
        <v>880</v>
      </c>
      <c r="E211" s="4" t="s">
        <v>637</v>
      </c>
      <c r="F211" s="4" t="s">
        <v>646</v>
      </c>
      <c r="G211" s="4" t="s">
        <v>2627</v>
      </c>
      <c r="H211" s="6"/>
      <c r="I211" s="6"/>
      <c r="J211" s="6" t="s">
        <v>2392</v>
      </c>
      <c r="K211" s="8" t="s">
        <v>2393</v>
      </c>
      <c r="L211" s="9"/>
    </row>
    <row r="212" ht="16.5" spans="1:12">
      <c r="A212" s="4" t="s">
        <v>3180</v>
      </c>
      <c r="B212" s="4"/>
      <c r="C212" s="5">
        <v>1500911</v>
      </c>
      <c r="D212" s="4" t="s">
        <v>31</v>
      </c>
      <c r="E212" s="4" t="s">
        <v>637</v>
      </c>
      <c r="F212" s="4" t="s">
        <v>646</v>
      </c>
      <c r="G212" s="4" t="s">
        <v>2627</v>
      </c>
      <c r="H212" s="6"/>
      <c r="I212" s="6"/>
      <c r="J212" s="6" t="s">
        <v>4468</v>
      </c>
      <c r="K212" s="8" t="s">
        <v>2391</v>
      </c>
      <c r="L212" s="9"/>
    </row>
    <row r="213" ht="16.5" spans="1:12">
      <c r="A213" s="4" t="s">
        <v>3180</v>
      </c>
      <c r="B213" s="4"/>
      <c r="C213" s="5">
        <v>1500912</v>
      </c>
      <c r="D213" s="4" t="s">
        <v>3214</v>
      </c>
      <c r="E213" s="4" t="s">
        <v>637</v>
      </c>
      <c r="F213" s="4" t="s">
        <v>646</v>
      </c>
      <c r="G213" s="4" t="s">
        <v>2627</v>
      </c>
      <c r="H213" s="6"/>
      <c r="I213" s="6"/>
      <c r="J213" s="6" t="s">
        <v>2388</v>
      </c>
      <c r="K213" s="8" t="s">
        <v>3114</v>
      </c>
      <c r="L213" s="9"/>
    </row>
    <row r="214" ht="16.5" spans="1:12">
      <c r="A214" s="4" t="s">
        <v>3180</v>
      </c>
      <c r="B214" s="4"/>
      <c r="C214" s="5">
        <v>1500913</v>
      </c>
      <c r="D214" s="4" t="s">
        <v>881</v>
      </c>
      <c r="E214" s="4" t="s">
        <v>637</v>
      </c>
      <c r="F214" s="4" t="s">
        <v>646</v>
      </c>
      <c r="G214" s="4" t="s">
        <v>2627</v>
      </c>
      <c r="H214" s="6"/>
      <c r="I214" s="6"/>
      <c r="J214" s="6" t="s">
        <v>2390</v>
      </c>
      <c r="K214" s="8" t="s">
        <v>4469</v>
      </c>
      <c r="L214" s="9"/>
    </row>
    <row r="215" ht="16.5" spans="1:12">
      <c r="A215" s="4" t="s">
        <v>3180</v>
      </c>
      <c r="B215" s="4"/>
      <c r="C215" s="5">
        <v>1500914</v>
      </c>
      <c r="D215" s="4" t="s">
        <v>3215</v>
      </c>
      <c r="E215" s="4" t="s">
        <v>637</v>
      </c>
      <c r="F215" s="4" t="s">
        <v>646</v>
      </c>
      <c r="G215" s="4" t="s">
        <v>2627</v>
      </c>
      <c r="H215" s="6"/>
      <c r="I215" s="6"/>
      <c r="J215" s="6" t="s">
        <v>4470</v>
      </c>
      <c r="K215" s="8" t="s">
        <v>4471</v>
      </c>
      <c r="L215" s="9"/>
    </row>
    <row r="216" ht="16.5" spans="1:12">
      <c r="A216" s="4" t="s">
        <v>3180</v>
      </c>
      <c r="B216" s="4"/>
      <c r="C216" s="5">
        <v>1500918</v>
      </c>
      <c r="D216" s="4" t="s">
        <v>375</v>
      </c>
      <c r="E216" s="4" t="s">
        <v>637</v>
      </c>
      <c r="F216" s="4" t="s">
        <v>646</v>
      </c>
      <c r="G216" s="4" t="s">
        <v>2627</v>
      </c>
      <c r="H216" s="6"/>
      <c r="I216" s="6"/>
      <c r="J216" s="6" t="s">
        <v>2380</v>
      </c>
      <c r="K216" s="8" t="s">
        <v>4472</v>
      </c>
      <c r="L216" s="9"/>
    </row>
    <row r="217" ht="16.5" spans="1:12">
      <c r="A217" s="4" t="s">
        <v>3180</v>
      </c>
      <c r="B217" s="4"/>
      <c r="C217" s="5">
        <v>1500935</v>
      </c>
      <c r="D217" s="4" t="s">
        <v>889</v>
      </c>
      <c r="E217" s="4" t="s">
        <v>637</v>
      </c>
      <c r="F217" s="4" t="s">
        <v>642</v>
      </c>
      <c r="G217" s="4" t="s">
        <v>2437</v>
      </c>
      <c r="H217" s="6"/>
      <c r="I217" s="6"/>
      <c r="J217" s="6" t="s">
        <v>4405</v>
      </c>
      <c r="K217" s="8" t="s">
        <v>3044</v>
      </c>
      <c r="L217" s="9"/>
    </row>
    <row r="218" ht="16.5" spans="1:12">
      <c r="A218" s="4" t="s">
        <v>3180</v>
      </c>
      <c r="B218" s="4"/>
      <c r="C218" s="5">
        <v>1500936</v>
      </c>
      <c r="D218" s="4" t="s">
        <v>890</v>
      </c>
      <c r="E218" s="4" t="s">
        <v>637</v>
      </c>
      <c r="F218" s="4" t="s">
        <v>638</v>
      </c>
      <c r="G218" s="4" t="s">
        <v>4426</v>
      </c>
      <c r="H218" s="6"/>
      <c r="I218" s="6"/>
      <c r="J218" s="6" t="s">
        <v>4380</v>
      </c>
      <c r="K218" s="8" t="s">
        <v>4381</v>
      </c>
      <c r="L218" s="9"/>
    </row>
    <row r="219" ht="16.5" spans="1:12">
      <c r="A219" s="4" t="s">
        <v>3180</v>
      </c>
      <c r="B219" s="4"/>
      <c r="C219" s="5">
        <v>1500975</v>
      </c>
      <c r="D219" s="4" t="s">
        <v>910</v>
      </c>
      <c r="E219" s="4" t="s">
        <v>637</v>
      </c>
      <c r="F219" s="4" t="s">
        <v>644</v>
      </c>
      <c r="G219" s="4" t="s">
        <v>3204</v>
      </c>
      <c r="H219" s="6"/>
      <c r="I219" s="6"/>
      <c r="J219" s="6" t="s">
        <v>4473</v>
      </c>
      <c r="K219" s="8" t="s">
        <v>4474</v>
      </c>
      <c r="L219" s="9"/>
    </row>
    <row r="220" ht="16.5" spans="1:12">
      <c r="A220" s="4" t="s">
        <v>3180</v>
      </c>
      <c r="B220" s="4"/>
      <c r="C220" s="5">
        <v>1500976</v>
      </c>
      <c r="D220" s="4" t="s">
        <v>911</v>
      </c>
      <c r="E220" s="4" t="s">
        <v>637</v>
      </c>
      <c r="F220" s="4" t="s">
        <v>644</v>
      </c>
      <c r="G220" s="4" t="s">
        <v>3204</v>
      </c>
      <c r="H220" s="6"/>
      <c r="I220" s="6"/>
      <c r="J220" s="6" t="s">
        <v>4475</v>
      </c>
      <c r="K220" s="8" t="s">
        <v>4476</v>
      </c>
      <c r="L220" s="9"/>
    </row>
    <row r="221" ht="16.5" spans="1:12">
      <c r="A221" s="4" t="s">
        <v>3180</v>
      </c>
      <c r="B221" s="4"/>
      <c r="C221" s="5">
        <v>1500985</v>
      </c>
      <c r="D221" s="4" t="s">
        <v>3234</v>
      </c>
      <c r="E221" s="4" t="s">
        <v>637</v>
      </c>
      <c r="F221" s="4" t="s">
        <v>638</v>
      </c>
      <c r="G221" s="4" t="s">
        <v>3186</v>
      </c>
      <c r="H221" s="6"/>
      <c r="I221" s="6"/>
      <c r="J221" s="6" t="s">
        <v>4380</v>
      </c>
      <c r="K221" s="8" t="s">
        <v>4381</v>
      </c>
      <c r="L221" s="9"/>
    </row>
    <row r="222" ht="16.5" spans="1:12">
      <c r="A222" s="4" t="s">
        <v>3180</v>
      </c>
      <c r="B222" s="4"/>
      <c r="C222" s="5">
        <v>1500986</v>
      </c>
      <c r="D222" s="4" t="s">
        <v>915</v>
      </c>
      <c r="E222" s="4" t="s">
        <v>637</v>
      </c>
      <c r="F222" s="4" t="s">
        <v>656</v>
      </c>
      <c r="G222" s="4" t="s">
        <v>2445</v>
      </c>
      <c r="H222" s="6"/>
      <c r="I222" s="6"/>
      <c r="J222" s="6" t="s">
        <v>4439</v>
      </c>
      <c r="K222" s="8" t="s">
        <v>2600</v>
      </c>
      <c r="L222" s="9"/>
    </row>
    <row r="223" ht="16.5" spans="1:12">
      <c r="A223" s="4" t="s">
        <v>3180</v>
      </c>
      <c r="B223" s="4"/>
      <c r="C223" s="5">
        <v>1500987</v>
      </c>
      <c r="D223" s="4" t="s">
        <v>500</v>
      </c>
      <c r="E223" s="4" t="s">
        <v>637</v>
      </c>
      <c r="F223" s="4" t="s">
        <v>656</v>
      </c>
      <c r="G223" s="4" t="s">
        <v>2445</v>
      </c>
      <c r="H223" s="6"/>
      <c r="I223" s="6"/>
      <c r="J223" s="6" t="s">
        <v>4440</v>
      </c>
      <c r="K223" s="8" t="s">
        <v>2674</v>
      </c>
      <c r="L223" s="9"/>
    </row>
    <row r="224" ht="16.5" spans="1:12">
      <c r="A224" s="4" t="s">
        <v>3180</v>
      </c>
      <c r="B224" s="4"/>
      <c r="C224" s="5">
        <v>1500988</v>
      </c>
      <c r="D224" s="4" t="s">
        <v>916</v>
      </c>
      <c r="E224" s="4" t="s">
        <v>637</v>
      </c>
      <c r="F224" s="4" t="s">
        <v>656</v>
      </c>
      <c r="G224" s="4" t="s">
        <v>2445</v>
      </c>
      <c r="H224" s="6"/>
      <c r="I224" s="6"/>
      <c r="J224" s="6" t="s">
        <v>4441</v>
      </c>
      <c r="K224" s="8" t="s">
        <v>2545</v>
      </c>
      <c r="L224" s="9"/>
    </row>
    <row r="225" ht="16.5" spans="1:12">
      <c r="A225" s="4" t="s">
        <v>3180</v>
      </c>
      <c r="B225" s="4"/>
      <c r="C225" s="5">
        <v>1500989</v>
      </c>
      <c r="D225" s="4" t="s">
        <v>917</v>
      </c>
      <c r="E225" s="4" t="s">
        <v>637</v>
      </c>
      <c r="F225" s="4" t="s">
        <v>656</v>
      </c>
      <c r="G225" s="4" t="s">
        <v>2445</v>
      </c>
      <c r="H225" s="6"/>
      <c r="I225" s="6"/>
      <c r="J225" s="6" t="s">
        <v>4442</v>
      </c>
      <c r="K225" s="8" t="s">
        <v>2488</v>
      </c>
      <c r="L225" s="9"/>
    </row>
    <row r="226" ht="16.5" spans="1:12">
      <c r="A226" s="4" t="s">
        <v>3180</v>
      </c>
      <c r="B226" s="4"/>
      <c r="C226" s="5">
        <v>1500990</v>
      </c>
      <c r="D226" s="4" t="s">
        <v>918</v>
      </c>
      <c r="E226" s="4" t="s">
        <v>637</v>
      </c>
      <c r="F226" s="4" t="s">
        <v>638</v>
      </c>
      <c r="G226" s="4" t="s">
        <v>3342</v>
      </c>
      <c r="H226" s="6"/>
      <c r="I226" s="6"/>
      <c r="J226" s="6" t="s">
        <v>4420</v>
      </c>
      <c r="K226" s="8" t="s">
        <v>3066</v>
      </c>
      <c r="L226" s="9"/>
    </row>
    <row r="227" ht="16.5" spans="1:12">
      <c r="A227" s="4" t="s">
        <v>3180</v>
      </c>
      <c r="B227" s="4"/>
      <c r="C227" s="5">
        <v>1500996</v>
      </c>
      <c r="D227" s="4" t="s">
        <v>454</v>
      </c>
      <c r="E227" s="4" t="s">
        <v>637</v>
      </c>
      <c r="F227" s="4" t="s">
        <v>642</v>
      </c>
      <c r="G227" s="4" t="s">
        <v>2437</v>
      </c>
      <c r="H227" s="6"/>
      <c r="I227" s="6"/>
      <c r="J227" s="6" t="s">
        <v>4477</v>
      </c>
      <c r="K227" s="8" t="s">
        <v>2485</v>
      </c>
      <c r="L227" s="9"/>
    </row>
    <row r="228" ht="16.5" spans="1:12">
      <c r="A228" s="4" t="s">
        <v>3180</v>
      </c>
      <c r="B228" s="4"/>
      <c r="C228" s="5">
        <v>1500997</v>
      </c>
      <c r="D228" s="4" t="s">
        <v>920</v>
      </c>
      <c r="E228" s="4" t="s">
        <v>637</v>
      </c>
      <c r="F228" s="4" t="s">
        <v>642</v>
      </c>
      <c r="G228" s="4" t="s">
        <v>2437</v>
      </c>
      <c r="H228" s="6"/>
      <c r="I228" s="6"/>
      <c r="J228" s="6" t="s">
        <v>4478</v>
      </c>
      <c r="K228" s="8" t="s">
        <v>4479</v>
      </c>
      <c r="L228" s="9"/>
    </row>
    <row r="229" ht="16.5" spans="1:12">
      <c r="A229" s="4" t="s">
        <v>3180</v>
      </c>
      <c r="B229" s="4"/>
      <c r="C229" s="5">
        <v>1500999</v>
      </c>
      <c r="D229" s="4" t="s">
        <v>921</v>
      </c>
      <c r="E229" s="4" t="s">
        <v>637</v>
      </c>
      <c r="F229" s="4" t="s">
        <v>646</v>
      </c>
      <c r="G229" s="4" t="s">
        <v>2627</v>
      </c>
      <c r="H229" s="6"/>
      <c r="I229" s="6"/>
      <c r="J229" s="6" t="s">
        <v>4470</v>
      </c>
      <c r="K229" s="8" t="s">
        <v>4471</v>
      </c>
      <c r="L229" s="9"/>
    </row>
    <row r="230" ht="16.5" spans="1:12">
      <c r="A230" s="4" t="s">
        <v>3180</v>
      </c>
      <c r="B230" s="4"/>
      <c r="C230" s="5">
        <v>1501011</v>
      </c>
      <c r="D230" s="4" t="s">
        <v>924</v>
      </c>
      <c r="E230" s="4" t="s">
        <v>637</v>
      </c>
      <c r="F230" s="4" t="s">
        <v>642</v>
      </c>
      <c r="G230" s="4" t="s">
        <v>2437</v>
      </c>
      <c r="H230" s="6"/>
      <c r="I230" s="6"/>
      <c r="J230" s="6" t="s">
        <v>4480</v>
      </c>
      <c r="K230" s="8" t="s">
        <v>3041</v>
      </c>
      <c r="L230" s="9"/>
    </row>
    <row r="231" ht="16.5" spans="1:12">
      <c r="A231" s="4" t="s">
        <v>3180</v>
      </c>
      <c r="B231" s="4"/>
      <c r="C231" s="5">
        <v>1501012</v>
      </c>
      <c r="D231" s="4" t="s">
        <v>925</v>
      </c>
      <c r="E231" s="4" t="s">
        <v>637</v>
      </c>
      <c r="F231" s="4" t="s">
        <v>642</v>
      </c>
      <c r="G231" s="4" t="s">
        <v>2437</v>
      </c>
      <c r="H231" s="6"/>
      <c r="I231" s="6"/>
      <c r="J231" s="6" t="s">
        <v>4481</v>
      </c>
      <c r="K231" s="8" t="s">
        <v>3026</v>
      </c>
      <c r="L231" s="9"/>
    </row>
    <row r="232" ht="16.5" spans="1:12">
      <c r="A232" s="4" t="s">
        <v>3180</v>
      </c>
      <c r="B232" s="4"/>
      <c r="C232" s="5">
        <v>1501013</v>
      </c>
      <c r="D232" s="4" t="s">
        <v>190</v>
      </c>
      <c r="E232" s="4" t="s">
        <v>637</v>
      </c>
      <c r="F232" s="4" t="s">
        <v>642</v>
      </c>
      <c r="G232" s="4" t="s">
        <v>2437</v>
      </c>
      <c r="H232" s="6"/>
      <c r="I232" s="6"/>
      <c r="J232" s="6" t="s">
        <v>4407</v>
      </c>
      <c r="K232" s="8" t="s">
        <v>4408</v>
      </c>
      <c r="L232" s="9"/>
    </row>
    <row r="233" ht="16.5" spans="1:12">
      <c r="A233" s="4" t="s">
        <v>3180</v>
      </c>
      <c r="B233" s="4"/>
      <c r="C233" s="5">
        <v>1501014</v>
      </c>
      <c r="D233" s="4" t="s">
        <v>926</v>
      </c>
      <c r="E233" s="4" t="s">
        <v>637</v>
      </c>
      <c r="F233" s="4" t="s">
        <v>638</v>
      </c>
      <c r="G233" s="4" t="s">
        <v>3342</v>
      </c>
      <c r="H233" s="6"/>
      <c r="I233" s="6"/>
      <c r="J233" s="6" t="s">
        <v>4380</v>
      </c>
      <c r="K233" s="8" t="s">
        <v>4381</v>
      </c>
      <c r="L233" s="9"/>
    </row>
    <row r="234" ht="16.5" spans="1:12">
      <c r="A234" s="4" t="s">
        <v>3180</v>
      </c>
      <c r="B234" s="4"/>
      <c r="C234" s="5">
        <v>1501015</v>
      </c>
      <c r="D234" s="4" t="s">
        <v>927</v>
      </c>
      <c r="E234" s="4" t="s">
        <v>637</v>
      </c>
      <c r="F234" s="4" t="s">
        <v>638</v>
      </c>
      <c r="G234" s="4" t="s">
        <v>3342</v>
      </c>
      <c r="H234" s="6"/>
      <c r="I234" s="6"/>
      <c r="J234" s="6" t="s">
        <v>4380</v>
      </c>
      <c r="K234" s="8" t="s">
        <v>4381</v>
      </c>
      <c r="L234" s="9"/>
    </row>
    <row r="235" ht="16.5" spans="1:12">
      <c r="A235" s="4" t="s">
        <v>3180</v>
      </c>
      <c r="B235" s="4"/>
      <c r="C235" s="5">
        <v>1501016</v>
      </c>
      <c r="D235" s="4" t="s">
        <v>928</v>
      </c>
      <c r="E235" s="4" t="s">
        <v>637</v>
      </c>
      <c r="F235" s="4" t="s">
        <v>638</v>
      </c>
      <c r="G235" s="4" t="s">
        <v>3186</v>
      </c>
      <c r="H235" s="6"/>
      <c r="I235" s="6"/>
      <c r="J235" s="6" t="s">
        <v>4380</v>
      </c>
      <c r="K235" s="8" t="s">
        <v>4381</v>
      </c>
      <c r="L235" s="9"/>
    </row>
    <row r="236" ht="16.5" spans="1:12">
      <c r="A236" s="4" t="s">
        <v>3180</v>
      </c>
      <c r="B236" s="4"/>
      <c r="C236" s="5">
        <v>1501017</v>
      </c>
      <c r="D236" s="4" t="s">
        <v>3239</v>
      </c>
      <c r="E236" s="4" t="s">
        <v>637</v>
      </c>
      <c r="F236" s="4" t="s">
        <v>638</v>
      </c>
      <c r="G236" s="4" t="s">
        <v>3186</v>
      </c>
      <c r="H236" s="6"/>
      <c r="I236" s="6"/>
      <c r="J236" s="6" t="s">
        <v>4380</v>
      </c>
      <c r="K236" s="8" t="s">
        <v>4381</v>
      </c>
      <c r="L236" s="9"/>
    </row>
    <row r="237" ht="16.5" spans="1:12">
      <c r="A237" s="4" t="s">
        <v>3180</v>
      </c>
      <c r="B237" s="4"/>
      <c r="C237" s="5">
        <v>1501020</v>
      </c>
      <c r="D237" s="4" t="s">
        <v>929</v>
      </c>
      <c r="E237" s="4" t="s">
        <v>637</v>
      </c>
      <c r="F237" s="4" t="s">
        <v>638</v>
      </c>
      <c r="G237" s="4" t="s">
        <v>4426</v>
      </c>
      <c r="H237" s="6"/>
      <c r="I237" s="6"/>
      <c r="J237" s="6" t="s">
        <v>4380</v>
      </c>
      <c r="K237" s="8" t="s">
        <v>4381</v>
      </c>
      <c r="L237" s="9"/>
    </row>
    <row r="238" ht="16.5" spans="1:12">
      <c r="A238" s="4" t="s">
        <v>3180</v>
      </c>
      <c r="B238" s="4"/>
      <c r="C238" s="5">
        <v>1501021</v>
      </c>
      <c r="D238" s="4" t="s">
        <v>930</v>
      </c>
      <c r="E238" s="4" t="s">
        <v>637</v>
      </c>
      <c r="F238" s="4" t="s">
        <v>4403</v>
      </c>
      <c r="G238" s="4" t="s">
        <v>654</v>
      </c>
      <c r="H238" s="6"/>
      <c r="I238" s="6"/>
      <c r="J238" s="6" t="s">
        <v>4380</v>
      </c>
      <c r="K238" s="8" t="s">
        <v>4381</v>
      </c>
      <c r="L238" s="9"/>
    </row>
    <row r="239" ht="16.5" spans="1:12">
      <c r="A239" s="4" t="s">
        <v>3180</v>
      </c>
      <c r="B239" s="4"/>
      <c r="C239" s="5">
        <v>1501022</v>
      </c>
      <c r="D239" s="4" t="s">
        <v>3242</v>
      </c>
      <c r="E239" s="4" t="s">
        <v>637</v>
      </c>
      <c r="F239" s="4" t="s">
        <v>656</v>
      </c>
      <c r="G239" s="4" t="s">
        <v>2445</v>
      </c>
      <c r="H239" s="6"/>
      <c r="I239" s="6"/>
      <c r="J239" s="6" t="s">
        <v>4439</v>
      </c>
      <c r="K239" s="8" t="s">
        <v>2600</v>
      </c>
      <c r="L239" s="9"/>
    </row>
    <row r="240" ht="16.5" spans="1:12">
      <c r="A240" s="4" t="s">
        <v>3180</v>
      </c>
      <c r="B240" s="4"/>
      <c r="C240" s="5">
        <v>1501023</v>
      </c>
      <c r="D240" s="4" t="s">
        <v>931</v>
      </c>
      <c r="E240" s="4" t="s">
        <v>637</v>
      </c>
      <c r="F240" s="4" t="s">
        <v>656</v>
      </c>
      <c r="G240" s="4" t="s">
        <v>2445</v>
      </c>
      <c r="H240" s="6"/>
      <c r="I240" s="6"/>
      <c r="J240" s="6" t="s">
        <v>4432</v>
      </c>
      <c r="K240" s="8" t="s">
        <v>2535</v>
      </c>
      <c r="L240" s="9"/>
    </row>
    <row r="241" ht="16.5" spans="1:12">
      <c r="A241" s="4" t="s">
        <v>3180</v>
      </c>
      <c r="B241" s="4"/>
      <c r="C241" s="5">
        <v>1501024</v>
      </c>
      <c r="D241" s="4" t="s">
        <v>932</v>
      </c>
      <c r="E241" s="4" t="s">
        <v>637</v>
      </c>
      <c r="F241" s="4" t="s">
        <v>656</v>
      </c>
      <c r="G241" s="4" t="s">
        <v>2445</v>
      </c>
      <c r="H241" s="6"/>
      <c r="I241" s="6"/>
      <c r="J241" s="6" t="s">
        <v>3164</v>
      </c>
      <c r="K241" s="8" t="s">
        <v>4457</v>
      </c>
      <c r="L241" s="9"/>
    </row>
    <row r="242" ht="16.5" spans="1:12">
      <c r="A242" s="4" t="s">
        <v>3180</v>
      </c>
      <c r="B242" s="4"/>
      <c r="C242" s="5">
        <v>1501025</v>
      </c>
      <c r="D242" s="4" t="s">
        <v>450</v>
      </c>
      <c r="E242" s="4" t="s">
        <v>637</v>
      </c>
      <c r="F242" s="4" t="s">
        <v>4403</v>
      </c>
      <c r="G242" s="4" t="s">
        <v>654</v>
      </c>
      <c r="H242" s="6"/>
      <c r="I242" s="6"/>
      <c r="J242" s="6" t="s">
        <v>4380</v>
      </c>
      <c r="K242" s="8" t="s">
        <v>4381</v>
      </c>
      <c r="L242" s="9"/>
    </row>
    <row r="243" ht="16.5" spans="1:12">
      <c r="A243" s="4" t="s">
        <v>3180</v>
      </c>
      <c r="B243" s="4"/>
      <c r="C243" s="5">
        <v>1501026</v>
      </c>
      <c r="D243" s="4" t="s">
        <v>933</v>
      </c>
      <c r="E243" s="4" t="s">
        <v>637</v>
      </c>
      <c r="F243" s="4" t="s">
        <v>656</v>
      </c>
      <c r="G243" s="4" t="s">
        <v>2445</v>
      </c>
      <c r="H243" s="6"/>
      <c r="I243" s="6"/>
      <c r="J243" s="6" t="s">
        <v>4482</v>
      </c>
      <c r="K243" s="8" t="s">
        <v>4483</v>
      </c>
      <c r="L243" s="9"/>
    </row>
    <row r="244" ht="16.5" spans="1:12">
      <c r="A244" s="4" t="s">
        <v>3180</v>
      </c>
      <c r="B244" s="4"/>
      <c r="C244" s="5">
        <v>1501028</v>
      </c>
      <c r="D244" s="4" t="s">
        <v>934</v>
      </c>
      <c r="E244" s="4" t="s">
        <v>637</v>
      </c>
      <c r="F244" s="4" t="s">
        <v>656</v>
      </c>
      <c r="G244" s="4" t="s">
        <v>2445</v>
      </c>
      <c r="H244" s="6"/>
      <c r="I244" s="6"/>
      <c r="J244" s="6" t="s">
        <v>4456</v>
      </c>
      <c r="K244" s="8" t="s">
        <v>2533</v>
      </c>
      <c r="L244" s="9"/>
    </row>
    <row r="245" ht="16.5" spans="1:12">
      <c r="A245" s="4" t="s">
        <v>3180</v>
      </c>
      <c r="B245" s="4"/>
      <c r="C245" s="5">
        <v>1501029</v>
      </c>
      <c r="D245" s="4" t="s">
        <v>456</v>
      </c>
      <c r="E245" s="4" t="s">
        <v>637</v>
      </c>
      <c r="F245" s="4" t="s">
        <v>638</v>
      </c>
      <c r="G245" s="4" t="s">
        <v>3342</v>
      </c>
      <c r="H245" s="6"/>
      <c r="I245" s="6"/>
      <c r="J245" s="6" t="s">
        <v>4380</v>
      </c>
      <c r="K245" s="8" t="s">
        <v>4381</v>
      </c>
      <c r="L245" s="9"/>
    </row>
    <row r="246" ht="16.5" spans="1:12">
      <c r="A246" s="4" t="s">
        <v>3180</v>
      </c>
      <c r="B246" s="4"/>
      <c r="C246" s="5">
        <v>3001426</v>
      </c>
      <c r="D246" s="4" t="s">
        <v>1041</v>
      </c>
      <c r="E246" s="4" t="s">
        <v>637</v>
      </c>
      <c r="F246" s="4" t="s">
        <v>638</v>
      </c>
      <c r="G246" s="4" t="s">
        <v>3186</v>
      </c>
      <c r="H246" s="6"/>
      <c r="I246" s="6"/>
      <c r="J246" s="6" t="s">
        <v>4380</v>
      </c>
      <c r="K246" s="8" t="s">
        <v>4381</v>
      </c>
      <c r="L246" s="9"/>
    </row>
    <row r="247" ht="16.5" spans="1:12">
      <c r="A247" s="4" t="s">
        <v>3180</v>
      </c>
      <c r="B247" s="4"/>
      <c r="C247" s="5">
        <v>3001462</v>
      </c>
      <c r="D247" s="4" t="s">
        <v>3341</v>
      </c>
      <c r="E247" s="4" t="s">
        <v>637</v>
      </c>
      <c r="F247" s="4" t="s">
        <v>638</v>
      </c>
      <c r="G247" s="4" t="s">
        <v>3186</v>
      </c>
      <c r="H247" s="6"/>
      <c r="I247" s="6"/>
      <c r="J247" s="6" t="s">
        <v>4380</v>
      </c>
      <c r="K247" s="8" t="s">
        <v>4381</v>
      </c>
      <c r="L247" s="9"/>
    </row>
    <row r="248" ht="16.5" spans="1:12">
      <c r="A248" s="4" t="s">
        <v>3180</v>
      </c>
      <c r="B248" s="4"/>
      <c r="C248" s="5">
        <v>3001866</v>
      </c>
      <c r="D248" s="4" t="s">
        <v>1042</v>
      </c>
      <c r="E248" s="4" t="s">
        <v>637</v>
      </c>
      <c r="F248" s="4" t="s">
        <v>642</v>
      </c>
      <c r="G248" s="4" t="s">
        <v>2437</v>
      </c>
      <c r="H248" s="6"/>
      <c r="I248" s="6"/>
      <c r="J248" s="6" t="s">
        <v>4405</v>
      </c>
      <c r="K248" s="8" t="s">
        <v>3044</v>
      </c>
      <c r="L248" s="9"/>
    </row>
    <row r="249" ht="16.5" spans="1:12">
      <c r="A249" s="4" t="s">
        <v>3180</v>
      </c>
      <c r="B249" s="4"/>
      <c r="C249" s="5">
        <v>3002745</v>
      </c>
      <c r="D249" s="4" t="s">
        <v>410</v>
      </c>
      <c r="E249" s="4" t="s">
        <v>637</v>
      </c>
      <c r="F249" s="4" t="s">
        <v>644</v>
      </c>
      <c r="G249" s="4" t="s">
        <v>3204</v>
      </c>
      <c r="H249" s="6"/>
      <c r="I249" s="6"/>
      <c r="J249" s="6" t="s">
        <v>2343</v>
      </c>
      <c r="K249" s="8" t="s">
        <v>2344</v>
      </c>
      <c r="L249" s="9"/>
    </row>
    <row r="250" ht="16.5" spans="1:12">
      <c r="A250" s="4" t="s">
        <v>3180</v>
      </c>
      <c r="B250" s="4"/>
      <c r="C250" s="5">
        <v>3002747</v>
      </c>
      <c r="D250" s="4" t="s">
        <v>258</v>
      </c>
      <c r="E250" s="4" t="s">
        <v>637</v>
      </c>
      <c r="F250" s="4" t="s">
        <v>644</v>
      </c>
      <c r="G250" s="4" t="s">
        <v>3204</v>
      </c>
      <c r="H250" s="6"/>
      <c r="I250" s="6"/>
      <c r="J250" s="6" t="s">
        <v>2349</v>
      </c>
      <c r="K250" s="8" t="s">
        <v>2350</v>
      </c>
      <c r="L250" s="9"/>
    </row>
    <row r="251" ht="16.5" spans="1:12">
      <c r="A251" s="4" t="s">
        <v>3180</v>
      </c>
      <c r="B251" s="4"/>
      <c r="C251" s="5">
        <v>3002753</v>
      </c>
      <c r="D251" s="4" t="s">
        <v>1043</v>
      </c>
      <c r="E251" s="4" t="s">
        <v>637</v>
      </c>
      <c r="F251" s="4" t="s">
        <v>644</v>
      </c>
      <c r="G251" s="4" t="s">
        <v>3204</v>
      </c>
      <c r="H251" s="6"/>
      <c r="I251" s="6"/>
      <c r="J251" s="6" t="s">
        <v>2335</v>
      </c>
      <c r="K251" s="8" t="s">
        <v>2336</v>
      </c>
      <c r="L251" s="9"/>
    </row>
    <row r="252" ht="16.5" spans="1:12">
      <c r="A252" s="4" t="s">
        <v>3180</v>
      </c>
      <c r="B252" s="4"/>
      <c r="C252" s="5">
        <v>3002757</v>
      </c>
      <c r="D252" s="4" t="s">
        <v>1044</v>
      </c>
      <c r="E252" s="4" t="s">
        <v>637</v>
      </c>
      <c r="F252" s="4" t="s">
        <v>644</v>
      </c>
      <c r="G252" s="4" t="s">
        <v>3204</v>
      </c>
      <c r="H252" s="6"/>
      <c r="I252" s="6"/>
      <c r="J252" s="6" t="s">
        <v>2349</v>
      </c>
      <c r="K252" s="8" t="s">
        <v>2350</v>
      </c>
      <c r="L252" s="9"/>
    </row>
    <row r="253" ht="16.5" spans="1:12">
      <c r="A253" s="4" t="s">
        <v>3180</v>
      </c>
      <c r="B253" s="4"/>
      <c r="C253" s="5">
        <v>3002759</v>
      </c>
      <c r="D253" s="4" t="s">
        <v>1045</v>
      </c>
      <c r="E253" s="4" t="s">
        <v>637</v>
      </c>
      <c r="F253" s="4" t="s">
        <v>644</v>
      </c>
      <c r="G253" s="4" t="s">
        <v>3204</v>
      </c>
      <c r="H253" s="6"/>
      <c r="I253" s="6"/>
      <c r="J253" s="6" t="s">
        <v>2335</v>
      </c>
      <c r="K253" s="8" t="s">
        <v>2336</v>
      </c>
      <c r="L253" s="9"/>
    </row>
    <row r="254" ht="16.5" spans="1:12">
      <c r="A254" s="4" t="s">
        <v>3180</v>
      </c>
      <c r="B254" s="4"/>
      <c r="C254" s="5">
        <v>3002761</v>
      </c>
      <c r="D254" s="4" t="s">
        <v>1046</v>
      </c>
      <c r="E254" s="4" t="s">
        <v>637</v>
      </c>
      <c r="F254" s="4" t="s">
        <v>644</v>
      </c>
      <c r="G254" s="4" t="s">
        <v>3204</v>
      </c>
      <c r="H254" s="6"/>
      <c r="I254" s="6"/>
      <c r="J254" s="6" t="s">
        <v>2335</v>
      </c>
      <c r="K254" s="8" t="s">
        <v>2336</v>
      </c>
      <c r="L254" s="9"/>
    </row>
    <row r="255" ht="16.5" spans="1:12">
      <c r="A255" s="4" t="s">
        <v>3180</v>
      </c>
      <c r="B255" s="4"/>
      <c r="C255" s="5">
        <v>3003393</v>
      </c>
      <c r="D255" s="4" t="s">
        <v>349</v>
      </c>
      <c r="E255" s="4" t="s">
        <v>637</v>
      </c>
      <c r="F255" s="4" t="s">
        <v>644</v>
      </c>
      <c r="G255" s="4" t="s">
        <v>3204</v>
      </c>
      <c r="H255" s="6"/>
      <c r="I255" s="6"/>
      <c r="J255" s="6" t="s">
        <v>2341</v>
      </c>
      <c r="K255" s="8" t="s">
        <v>2342</v>
      </c>
      <c r="L255" s="9"/>
    </row>
    <row r="256" ht="16.5" spans="1:12">
      <c r="A256" s="4" t="s">
        <v>3180</v>
      </c>
      <c r="B256" s="4"/>
      <c r="C256" s="5">
        <v>3500110</v>
      </c>
      <c r="D256" s="4" t="s">
        <v>3343</v>
      </c>
      <c r="E256" s="4" t="s">
        <v>637</v>
      </c>
      <c r="F256" s="4" t="s">
        <v>638</v>
      </c>
      <c r="G256" s="4" t="s">
        <v>3186</v>
      </c>
      <c r="H256" s="6"/>
      <c r="I256" s="6"/>
      <c r="J256" s="6" t="s">
        <v>4380</v>
      </c>
      <c r="K256" s="8" t="s">
        <v>4381</v>
      </c>
      <c r="L256" s="9"/>
    </row>
    <row r="257" ht="16.5" spans="1:12">
      <c r="A257" s="4" t="s">
        <v>3180</v>
      </c>
      <c r="B257" s="4"/>
      <c r="C257" s="5">
        <v>3500122</v>
      </c>
      <c r="D257" s="4" t="s">
        <v>3344</v>
      </c>
      <c r="E257" s="4" t="s">
        <v>637</v>
      </c>
      <c r="F257" s="4" t="s">
        <v>638</v>
      </c>
      <c r="G257" s="4" t="s">
        <v>3186</v>
      </c>
      <c r="H257" s="6"/>
      <c r="I257" s="6"/>
      <c r="J257" s="6" t="s">
        <v>4380</v>
      </c>
      <c r="K257" s="8" t="s">
        <v>4381</v>
      </c>
      <c r="L257" s="9"/>
    </row>
    <row r="258" ht="16.5" spans="1:12">
      <c r="A258" s="4" t="s">
        <v>3180</v>
      </c>
      <c r="B258" s="4"/>
      <c r="C258" s="5">
        <v>3500123</v>
      </c>
      <c r="D258" s="4" t="s">
        <v>3345</v>
      </c>
      <c r="E258" s="4" t="s">
        <v>637</v>
      </c>
      <c r="F258" s="4" t="s">
        <v>638</v>
      </c>
      <c r="G258" s="4" t="s">
        <v>3186</v>
      </c>
      <c r="H258" s="6"/>
      <c r="I258" s="6"/>
      <c r="J258" s="6" t="s">
        <v>4380</v>
      </c>
      <c r="K258" s="8" t="s">
        <v>4381</v>
      </c>
      <c r="L258" s="9"/>
    </row>
    <row r="259" ht="16.5" spans="1:12">
      <c r="A259" s="4" t="s">
        <v>3180</v>
      </c>
      <c r="B259" s="4"/>
      <c r="C259" s="5">
        <v>3500124</v>
      </c>
      <c r="D259" s="4" t="s">
        <v>3346</v>
      </c>
      <c r="E259" s="4" t="s">
        <v>637</v>
      </c>
      <c r="F259" s="4" t="s">
        <v>638</v>
      </c>
      <c r="G259" s="4" t="s">
        <v>3186</v>
      </c>
      <c r="H259" s="6"/>
      <c r="I259" s="6"/>
      <c r="J259" s="6" t="s">
        <v>4380</v>
      </c>
      <c r="K259" s="8" t="s">
        <v>4381</v>
      </c>
      <c r="L259" s="9"/>
    </row>
    <row r="260" ht="16.5" spans="1:12">
      <c r="A260" s="4" t="s">
        <v>3180</v>
      </c>
      <c r="B260" s="4"/>
      <c r="C260" s="5">
        <v>3500125</v>
      </c>
      <c r="D260" s="4" t="s">
        <v>3347</v>
      </c>
      <c r="E260" s="4" t="s">
        <v>637</v>
      </c>
      <c r="F260" s="4" t="s">
        <v>638</v>
      </c>
      <c r="G260" s="4" t="s">
        <v>3186</v>
      </c>
      <c r="H260" s="6"/>
      <c r="I260" s="6"/>
      <c r="J260" s="6" t="s">
        <v>4380</v>
      </c>
      <c r="K260" s="8" t="s">
        <v>4381</v>
      </c>
      <c r="L260" s="9"/>
    </row>
    <row r="261" ht="16.5" spans="1:12">
      <c r="A261" s="4" t="s">
        <v>3180</v>
      </c>
      <c r="B261" s="4"/>
      <c r="C261" s="5">
        <v>3500126</v>
      </c>
      <c r="D261" s="4" t="s">
        <v>3348</v>
      </c>
      <c r="E261" s="4" t="s">
        <v>637</v>
      </c>
      <c r="F261" s="4" t="s">
        <v>638</v>
      </c>
      <c r="G261" s="4" t="s">
        <v>3186</v>
      </c>
      <c r="H261" s="6"/>
      <c r="I261" s="6"/>
      <c r="J261" s="6" t="s">
        <v>4380</v>
      </c>
      <c r="K261" s="8" t="s">
        <v>4381</v>
      </c>
      <c r="L261" s="9"/>
    </row>
    <row r="262" ht="16.5" spans="1:12">
      <c r="A262" s="4" t="s">
        <v>3180</v>
      </c>
      <c r="B262" s="4"/>
      <c r="C262" s="5">
        <v>3500127</v>
      </c>
      <c r="D262" s="4" t="s">
        <v>3349</v>
      </c>
      <c r="E262" s="4" t="s">
        <v>637</v>
      </c>
      <c r="F262" s="4" t="s">
        <v>638</v>
      </c>
      <c r="G262" s="4" t="s">
        <v>3186</v>
      </c>
      <c r="H262" s="6"/>
      <c r="I262" s="6"/>
      <c r="J262" s="6" t="s">
        <v>4380</v>
      </c>
      <c r="K262" s="8" t="s">
        <v>4381</v>
      </c>
      <c r="L262" s="9"/>
    </row>
    <row r="263" ht="16.5" spans="1:12">
      <c r="A263" s="4" t="s">
        <v>3180</v>
      </c>
      <c r="B263" s="4"/>
      <c r="C263" s="5">
        <v>3500128</v>
      </c>
      <c r="D263" s="4" t="s">
        <v>3350</v>
      </c>
      <c r="E263" s="4" t="s">
        <v>637</v>
      </c>
      <c r="F263" s="4" t="s">
        <v>638</v>
      </c>
      <c r="G263" s="4" t="s">
        <v>3186</v>
      </c>
      <c r="H263" s="6"/>
      <c r="I263" s="6"/>
      <c r="J263" s="6" t="s">
        <v>4380</v>
      </c>
      <c r="K263" s="8" t="s">
        <v>4381</v>
      </c>
      <c r="L263" s="9"/>
    </row>
    <row r="264" ht="16.5" spans="1:12">
      <c r="A264" s="4" t="s">
        <v>3180</v>
      </c>
      <c r="B264" s="4"/>
      <c r="C264" s="5">
        <v>3500129</v>
      </c>
      <c r="D264" s="4" t="s">
        <v>3351</v>
      </c>
      <c r="E264" s="4" t="s">
        <v>637</v>
      </c>
      <c r="F264" s="4" t="s">
        <v>642</v>
      </c>
      <c r="G264" s="4" t="s">
        <v>2437</v>
      </c>
      <c r="H264" s="6"/>
      <c r="I264" s="6"/>
      <c r="J264" s="6" t="s">
        <v>4484</v>
      </c>
      <c r="K264" s="8" t="s">
        <v>3069</v>
      </c>
      <c r="L264" s="9"/>
    </row>
    <row r="265" ht="16.5" spans="1:12">
      <c r="A265" s="4" t="s">
        <v>3180</v>
      </c>
      <c r="B265" s="4"/>
      <c r="C265" s="5">
        <v>3500130</v>
      </c>
      <c r="D265" s="4" t="s">
        <v>3352</v>
      </c>
      <c r="E265" s="4" t="s">
        <v>637</v>
      </c>
      <c r="F265" s="4" t="s">
        <v>642</v>
      </c>
      <c r="G265" s="4" t="s">
        <v>2437</v>
      </c>
      <c r="H265" s="6"/>
      <c r="I265" s="6"/>
      <c r="J265" s="6" t="s">
        <v>4390</v>
      </c>
      <c r="K265" s="8" t="s">
        <v>4391</v>
      </c>
      <c r="L265" s="9"/>
    </row>
    <row r="266" ht="16.5" spans="1:12">
      <c r="A266" s="4" t="s">
        <v>3180</v>
      </c>
      <c r="B266" s="4"/>
      <c r="C266" s="5">
        <v>3500131</v>
      </c>
      <c r="D266" s="4" t="s">
        <v>3353</v>
      </c>
      <c r="E266" s="4" t="s">
        <v>637</v>
      </c>
      <c r="F266" s="4" t="s">
        <v>642</v>
      </c>
      <c r="G266" s="4" t="s">
        <v>2437</v>
      </c>
      <c r="H266" s="6"/>
      <c r="I266" s="6"/>
      <c r="J266" s="6" t="s">
        <v>4477</v>
      </c>
      <c r="K266" s="8" t="s">
        <v>2485</v>
      </c>
      <c r="L266" s="9"/>
    </row>
    <row r="267" ht="16.5" spans="1:12">
      <c r="A267" s="4" t="s">
        <v>3180</v>
      </c>
      <c r="B267" s="4"/>
      <c r="C267" s="5">
        <v>3500132</v>
      </c>
      <c r="D267" s="4" t="s">
        <v>3354</v>
      </c>
      <c r="E267" s="4" t="s">
        <v>637</v>
      </c>
      <c r="F267" s="4" t="s">
        <v>642</v>
      </c>
      <c r="G267" s="4" t="s">
        <v>2437</v>
      </c>
      <c r="H267" s="6"/>
      <c r="I267" s="6"/>
      <c r="J267" s="6" t="s">
        <v>3155</v>
      </c>
      <c r="K267" s="8" t="s">
        <v>2605</v>
      </c>
      <c r="L267" s="9"/>
    </row>
    <row r="268" ht="16.5" spans="1:12">
      <c r="A268" s="4" t="s">
        <v>3180</v>
      </c>
      <c r="B268" s="4"/>
      <c r="C268" s="5">
        <v>3500133</v>
      </c>
      <c r="D268" s="4" t="s">
        <v>3355</v>
      </c>
      <c r="E268" s="4" t="s">
        <v>637</v>
      </c>
      <c r="F268" s="4" t="s">
        <v>642</v>
      </c>
      <c r="G268" s="4" t="s">
        <v>2437</v>
      </c>
      <c r="H268" s="6"/>
      <c r="I268" s="6"/>
      <c r="J268" s="6" t="s">
        <v>4412</v>
      </c>
      <c r="K268" s="8" t="s">
        <v>3082</v>
      </c>
      <c r="L268" s="9"/>
    </row>
    <row r="269" ht="16.5" spans="1:12">
      <c r="A269" s="4" t="s">
        <v>3180</v>
      </c>
      <c r="B269" s="4"/>
      <c r="C269" s="5">
        <v>3500134</v>
      </c>
      <c r="D269" s="4" t="s">
        <v>3356</v>
      </c>
      <c r="E269" s="4" t="s">
        <v>637</v>
      </c>
      <c r="F269" s="4" t="s">
        <v>642</v>
      </c>
      <c r="G269" s="4" t="s">
        <v>2437</v>
      </c>
      <c r="H269" s="6"/>
      <c r="I269" s="6"/>
      <c r="J269" s="6" t="s">
        <v>4480</v>
      </c>
      <c r="K269" s="8" t="s">
        <v>3041</v>
      </c>
      <c r="L269" s="9"/>
    </row>
    <row r="270" ht="16.5" spans="1:12">
      <c r="A270" s="4" t="s">
        <v>3180</v>
      </c>
      <c r="B270" s="4"/>
      <c r="C270" s="5">
        <v>3500135</v>
      </c>
      <c r="D270" s="4" t="s">
        <v>3357</v>
      </c>
      <c r="E270" s="4" t="s">
        <v>637</v>
      </c>
      <c r="F270" s="4" t="s">
        <v>642</v>
      </c>
      <c r="G270" s="4" t="s">
        <v>2437</v>
      </c>
      <c r="H270" s="6"/>
      <c r="I270" s="6"/>
      <c r="J270" s="6" t="s">
        <v>4392</v>
      </c>
      <c r="K270" s="8" t="s">
        <v>4393</v>
      </c>
      <c r="L270" s="9"/>
    </row>
    <row r="271" ht="16.5" spans="1:12">
      <c r="A271" s="4" t="s">
        <v>3180</v>
      </c>
      <c r="B271" s="4"/>
      <c r="C271" s="5">
        <v>3500136</v>
      </c>
      <c r="D271" s="4" t="s">
        <v>3358</v>
      </c>
      <c r="E271" s="4" t="s">
        <v>637</v>
      </c>
      <c r="F271" s="4" t="s">
        <v>642</v>
      </c>
      <c r="G271" s="4" t="s">
        <v>2437</v>
      </c>
      <c r="H271" s="6"/>
      <c r="I271" s="6"/>
      <c r="J271" s="6" t="s">
        <v>4404</v>
      </c>
      <c r="K271" s="8" t="s">
        <v>2610</v>
      </c>
      <c r="L271" s="9"/>
    </row>
    <row r="272" ht="16.5" spans="1:12">
      <c r="A272" s="4" t="s">
        <v>3180</v>
      </c>
      <c r="B272" s="4"/>
      <c r="C272" s="5">
        <v>3500137</v>
      </c>
      <c r="D272" s="4" t="s">
        <v>3359</v>
      </c>
      <c r="E272" s="4" t="s">
        <v>637</v>
      </c>
      <c r="F272" s="4" t="s">
        <v>638</v>
      </c>
      <c r="G272" s="4" t="s">
        <v>3186</v>
      </c>
      <c r="H272" s="6"/>
      <c r="I272" s="6"/>
      <c r="J272" s="6" t="s">
        <v>4380</v>
      </c>
      <c r="K272" s="8" t="s">
        <v>4381</v>
      </c>
      <c r="L272" s="9"/>
    </row>
    <row r="273" ht="16.5" spans="1:12">
      <c r="A273" s="4" t="s">
        <v>3180</v>
      </c>
      <c r="B273" s="4"/>
      <c r="C273" s="5">
        <v>3500138</v>
      </c>
      <c r="D273" s="4" t="s">
        <v>3360</v>
      </c>
      <c r="E273" s="4" t="s">
        <v>637</v>
      </c>
      <c r="F273" s="4" t="s">
        <v>644</v>
      </c>
      <c r="G273" s="4" t="s">
        <v>3204</v>
      </c>
      <c r="H273" s="6"/>
      <c r="I273" s="6"/>
      <c r="J273" s="6" t="s">
        <v>2347</v>
      </c>
      <c r="K273" s="8" t="s">
        <v>2348</v>
      </c>
      <c r="L273" s="9"/>
    </row>
    <row r="274" ht="16.5" spans="1:12">
      <c r="A274" s="4" t="s">
        <v>3180</v>
      </c>
      <c r="B274" s="4"/>
      <c r="C274" s="5">
        <v>3500139</v>
      </c>
      <c r="D274" s="4" t="s">
        <v>3361</v>
      </c>
      <c r="E274" s="4" t="s">
        <v>637</v>
      </c>
      <c r="F274" s="4" t="s">
        <v>642</v>
      </c>
      <c r="G274" s="4" t="s">
        <v>2437</v>
      </c>
      <c r="H274" s="6"/>
      <c r="I274" s="6"/>
      <c r="J274" s="6" t="s">
        <v>4485</v>
      </c>
      <c r="K274" s="8" t="s">
        <v>3043</v>
      </c>
      <c r="L274" s="9"/>
    </row>
    <row r="275" ht="16.5" spans="1:12">
      <c r="A275" s="4" t="s">
        <v>3180</v>
      </c>
      <c r="B275" s="4"/>
      <c r="C275" s="5">
        <v>3500140</v>
      </c>
      <c r="D275" s="4" t="s">
        <v>3362</v>
      </c>
      <c r="E275" s="4" t="s">
        <v>637</v>
      </c>
      <c r="F275" s="4" t="s">
        <v>642</v>
      </c>
      <c r="G275" s="4" t="s">
        <v>2437</v>
      </c>
      <c r="H275" s="6"/>
      <c r="I275" s="6"/>
      <c r="J275" s="6" t="s">
        <v>4486</v>
      </c>
      <c r="K275" s="8" t="s">
        <v>3042</v>
      </c>
      <c r="L275" s="9"/>
    </row>
    <row r="276" ht="16.5" spans="1:12">
      <c r="A276" s="4" t="s">
        <v>3180</v>
      </c>
      <c r="B276" s="4"/>
      <c r="C276" s="5">
        <v>3500142</v>
      </c>
      <c r="D276" s="4" t="s">
        <v>3364</v>
      </c>
      <c r="E276" s="4" t="s">
        <v>637</v>
      </c>
      <c r="F276" s="4" t="s">
        <v>642</v>
      </c>
      <c r="G276" s="4" t="s">
        <v>2437</v>
      </c>
      <c r="H276" s="6"/>
      <c r="I276" s="6"/>
      <c r="J276" s="6" t="s">
        <v>4388</v>
      </c>
      <c r="K276" s="8" t="s">
        <v>4389</v>
      </c>
      <c r="L276" s="9"/>
    </row>
    <row r="277" ht="16.5" spans="1:12">
      <c r="A277" s="4" t="s">
        <v>3180</v>
      </c>
      <c r="B277" s="4"/>
      <c r="C277" s="5">
        <v>3500144</v>
      </c>
      <c r="D277" s="4" t="s">
        <v>3366</v>
      </c>
      <c r="E277" s="4" t="s">
        <v>637</v>
      </c>
      <c r="F277" s="4" t="s">
        <v>642</v>
      </c>
      <c r="G277" s="4" t="s">
        <v>2437</v>
      </c>
      <c r="H277" s="6"/>
      <c r="I277" s="6"/>
      <c r="J277" s="6" t="s">
        <v>4387</v>
      </c>
      <c r="K277" s="8" t="s">
        <v>3031</v>
      </c>
      <c r="L277" s="9"/>
    </row>
    <row r="278" ht="16.5" spans="1:12">
      <c r="A278" s="4" t="s">
        <v>3180</v>
      </c>
      <c r="B278" s="4"/>
      <c r="C278" s="5">
        <v>3500146</v>
      </c>
      <c r="D278" s="4" t="s">
        <v>3367</v>
      </c>
      <c r="E278" s="4" t="s">
        <v>637</v>
      </c>
      <c r="F278" s="4" t="s">
        <v>642</v>
      </c>
      <c r="G278" s="4" t="s">
        <v>2437</v>
      </c>
      <c r="H278" s="6"/>
      <c r="I278" s="6"/>
      <c r="J278" s="6" t="s">
        <v>4387</v>
      </c>
      <c r="K278" s="8" t="s">
        <v>3031</v>
      </c>
      <c r="L278" s="9"/>
    </row>
    <row r="279" ht="16.5" spans="1:12">
      <c r="A279" s="4" t="s">
        <v>3180</v>
      </c>
      <c r="B279" s="4"/>
      <c r="C279" s="5">
        <v>3702999</v>
      </c>
      <c r="D279" s="4" t="s">
        <v>3369</v>
      </c>
      <c r="E279" s="4" t="s">
        <v>637</v>
      </c>
      <c r="F279" s="4" t="s">
        <v>642</v>
      </c>
      <c r="G279" s="4" t="s">
        <v>2437</v>
      </c>
      <c r="H279" s="6"/>
      <c r="I279" s="6"/>
      <c r="J279" s="6" t="s">
        <v>4430</v>
      </c>
      <c r="K279" s="8" t="s">
        <v>2609</v>
      </c>
      <c r="L279" s="9"/>
    </row>
    <row r="280" ht="16.5" spans="1:12">
      <c r="A280" s="4" t="s">
        <v>3180</v>
      </c>
      <c r="B280" s="4"/>
      <c r="C280" s="5">
        <v>4000635</v>
      </c>
      <c r="D280" s="4" t="s">
        <v>130</v>
      </c>
      <c r="E280" s="4" t="s">
        <v>637</v>
      </c>
      <c r="F280" s="4" t="s">
        <v>646</v>
      </c>
      <c r="G280" s="4" t="s">
        <v>2627</v>
      </c>
      <c r="H280" s="6"/>
      <c r="I280" s="6"/>
      <c r="J280" s="6" t="s">
        <v>2370</v>
      </c>
      <c r="K280" s="8" t="s">
        <v>2371</v>
      </c>
      <c r="L280" s="9"/>
    </row>
    <row r="281" ht="16.5" spans="1:12">
      <c r="A281" s="4" t="s">
        <v>3180</v>
      </c>
      <c r="B281" s="4"/>
      <c r="C281" s="5">
        <v>4001146</v>
      </c>
      <c r="D281" s="4" t="s">
        <v>1116</v>
      </c>
      <c r="E281" s="4" t="s">
        <v>637</v>
      </c>
      <c r="F281" s="4" t="s">
        <v>638</v>
      </c>
      <c r="G281" s="4" t="s">
        <v>4454</v>
      </c>
      <c r="H281" s="6"/>
      <c r="I281" s="6"/>
      <c r="J281" s="6" t="s">
        <v>4380</v>
      </c>
      <c r="K281" s="8" t="s">
        <v>4381</v>
      </c>
      <c r="L281" s="9"/>
    </row>
    <row r="282" ht="16.5" spans="1:12">
      <c r="A282" s="4" t="s">
        <v>3180</v>
      </c>
      <c r="B282" s="4"/>
      <c r="C282" s="5">
        <v>4002481</v>
      </c>
      <c r="D282" s="4" t="s">
        <v>1132</v>
      </c>
      <c r="E282" s="4" t="s">
        <v>637</v>
      </c>
      <c r="F282" s="4" t="s">
        <v>642</v>
      </c>
      <c r="G282" s="4" t="s">
        <v>2437</v>
      </c>
      <c r="H282" s="6"/>
      <c r="I282" s="6"/>
      <c r="J282" s="6" t="s">
        <v>4385</v>
      </c>
      <c r="K282" s="8" t="s">
        <v>3024</v>
      </c>
      <c r="L282" s="9"/>
    </row>
    <row r="283" ht="16.5" spans="1:12">
      <c r="A283" s="4" t="s">
        <v>3180</v>
      </c>
      <c r="B283" s="4"/>
      <c r="C283" s="5">
        <v>4003066</v>
      </c>
      <c r="D283" s="4" t="s">
        <v>549</v>
      </c>
      <c r="E283" s="4" t="s">
        <v>637</v>
      </c>
      <c r="F283" s="4" t="s">
        <v>646</v>
      </c>
      <c r="G283" s="4" t="s">
        <v>2627</v>
      </c>
      <c r="H283" s="6"/>
      <c r="I283" s="6"/>
      <c r="J283" s="6" t="s">
        <v>2388</v>
      </c>
      <c r="K283" s="8" t="s">
        <v>3114</v>
      </c>
      <c r="L283" s="9"/>
    </row>
    <row r="284" ht="16.5" spans="1:12">
      <c r="A284" s="4" t="s">
        <v>3180</v>
      </c>
      <c r="B284" s="4"/>
      <c r="C284" s="5">
        <v>4006600</v>
      </c>
      <c r="D284" s="4" t="s">
        <v>1211</v>
      </c>
      <c r="E284" s="4" t="s">
        <v>637</v>
      </c>
      <c r="F284" s="4" t="s">
        <v>646</v>
      </c>
      <c r="G284" s="4" t="s">
        <v>2627</v>
      </c>
      <c r="H284" s="6"/>
      <c r="I284" s="6"/>
      <c r="J284" s="6" t="s">
        <v>2378</v>
      </c>
      <c r="K284" s="8" t="s">
        <v>2379</v>
      </c>
      <c r="L284" s="9"/>
    </row>
    <row r="285" ht="16.5" spans="1:12">
      <c r="A285" s="4" t="s">
        <v>3180</v>
      </c>
      <c r="B285" s="4"/>
      <c r="C285" s="5">
        <v>4017075</v>
      </c>
      <c r="D285" s="4" t="s">
        <v>118</v>
      </c>
      <c r="E285" s="4" t="s">
        <v>637</v>
      </c>
      <c r="F285" s="4" t="s">
        <v>638</v>
      </c>
      <c r="G285" s="4" t="s">
        <v>4454</v>
      </c>
      <c r="H285" s="6"/>
      <c r="I285" s="6"/>
      <c r="J285" s="6" t="s">
        <v>4380</v>
      </c>
      <c r="K285" s="8" t="s">
        <v>4381</v>
      </c>
      <c r="L285" s="9"/>
    </row>
    <row r="286" ht="16.5" spans="1:12">
      <c r="A286" s="4" t="s">
        <v>3180</v>
      </c>
      <c r="B286" s="4"/>
      <c r="C286" s="5">
        <v>4019089</v>
      </c>
      <c r="D286" s="4" t="s">
        <v>310</v>
      </c>
      <c r="E286" s="4" t="s">
        <v>637</v>
      </c>
      <c r="F286" s="4" t="s">
        <v>646</v>
      </c>
      <c r="G286" s="4" t="s">
        <v>2627</v>
      </c>
      <c r="H286" s="6"/>
      <c r="I286" s="6"/>
      <c r="J286" s="6" t="s">
        <v>2363</v>
      </c>
      <c r="K286" s="8" t="s">
        <v>3057</v>
      </c>
      <c r="L286" s="9"/>
    </row>
    <row r="287" ht="16.5" spans="1:12">
      <c r="A287" s="4" t="s">
        <v>3180</v>
      </c>
      <c r="B287" s="4"/>
      <c r="C287" s="5">
        <v>4021512</v>
      </c>
      <c r="D287" s="4" t="s">
        <v>1292</v>
      </c>
      <c r="E287" s="4" t="s">
        <v>637</v>
      </c>
      <c r="F287" s="4" t="s">
        <v>656</v>
      </c>
      <c r="G287" s="4" t="s">
        <v>2445</v>
      </c>
      <c r="H287" s="6"/>
      <c r="I287" s="6"/>
      <c r="J287" s="6" t="s">
        <v>4459</v>
      </c>
      <c r="K287" s="8" t="s">
        <v>4460</v>
      </c>
      <c r="L287" s="9"/>
    </row>
    <row r="288" ht="16.5" spans="1:12">
      <c r="A288" s="4" t="s">
        <v>3180</v>
      </c>
      <c r="B288" s="4"/>
      <c r="C288" s="5">
        <v>4021513</v>
      </c>
      <c r="D288" s="4" t="s">
        <v>1293</v>
      </c>
      <c r="E288" s="4" t="s">
        <v>637</v>
      </c>
      <c r="F288" s="4" t="s">
        <v>656</v>
      </c>
      <c r="G288" s="4" t="s">
        <v>2445</v>
      </c>
      <c r="H288" s="6"/>
      <c r="I288" s="6"/>
      <c r="J288" s="6" t="s">
        <v>4418</v>
      </c>
      <c r="K288" s="8" t="s">
        <v>2651</v>
      </c>
      <c r="L288" s="9"/>
    </row>
    <row r="289" ht="16.5" spans="1:12">
      <c r="A289" s="4" t="s">
        <v>3180</v>
      </c>
      <c r="B289" s="4"/>
      <c r="C289" s="5">
        <v>4021517</v>
      </c>
      <c r="D289" s="4" t="s">
        <v>1297</v>
      </c>
      <c r="E289" s="4" t="s">
        <v>637</v>
      </c>
      <c r="F289" s="4" t="s">
        <v>656</v>
      </c>
      <c r="G289" s="4" t="s">
        <v>2445</v>
      </c>
      <c r="H289" s="6"/>
      <c r="I289" s="6"/>
      <c r="J289" s="6" t="s">
        <v>4461</v>
      </c>
      <c r="K289" s="8" t="s">
        <v>4462</v>
      </c>
      <c r="L289" s="9"/>
    </row>
    <row r="290" ht="16.5" spans="1:12">
      <c r="A290" s="4" t="s">
        <v>3180</v>
      </c>
      <c r="B290" s="4"/>
      <c r="C290" s="5">
        <v>4021518</v>
      </c>
      <c r="D290" s="4" t="s">
        <v>1298</v>
      </c>
      <c r="E290" s="4" t="s">
        <v>637</v>
      </c>
      <c r="F290" s="4" t="s">
        <v>656</v>
      </c>
      <c r="G290" s="4" t="s">
        <v>2445</v>
      </c>
      <c r="H290" s="6"/>
      <c r="I290" s="6"/>
      <c r="J290" s="6" t="s">
        <v>3164</v>
      </c>
      <c r="K290" s="8" t="s">
        <v>4457</v>
      </c>
      <c r="L290" s="9"/>
    </row>
    <row r="291" ht="16.5" spans="1:12">
      <c r="A291" s="4" t="s">
        <v>3180</v>
      </c>
      <c r="B291" s="4"/>
      <c r="C291" s="5">
        <v>4500067</v>
      </c>
      <c r="D291" s="4" t="s">
        <v>455</v>
      </c>
      <c r="E291" s="4" t="s">
        <v>637</v>
      </c>
      <c r="F291" s="4" t="s">
        <v>642</v>
      </c>
      <c r="G291" s="4" t="s">
        <v>2437</v>
      </c>
      <c r="H291" s="6"/>
      <c r="I291" s="6"/>
      <c r="J291" s="6" t="s">
        <v>4481</v>
      </c>
      <c r="K291" s="8" t="s">
        <v>3026</v>
      </c>
      <c r="L291" s="9"/>
    </row>
    <row r="292" ht="16.5" spans="1:12">
      <c r="A292" s="4" t="s">
        <v>3180</v>
      </c>
      <c r="B292" s="4"/>
      <c r="C292" s="5">
        <v>4500711</v>
      </c>
      <c r="D292" s="4" t="s">
        <v>1371</v>
      </c>
      <c r="E292" s="4" t="s">
        <v>637</v>
      </c>
      <c r="F292" s="4" t="s">
        <v>642</v>
      </c>
      <c r="G292" s="4" t="s">
        <v>2437</v>
      </c>
      <c r="H292" s="6"/>
      <c r="I292" s="6"/>
      <c r="J292" s="6" t="s">
        <v>4481</v>
      </c>
      <c r="K292" s="8" t="s">
        <v>3026</v>
      </c>
      <c r="L292" s="9"/>
    </row>
    <row r="293" ht="16.5" spans="1:12">
      <c r="A293" s="4" t="s">
        <v>3180</v>
      </c>
      <c r="B293" s="4"/>
      <c r="C293" s="5">
        <v>4501135</v>
      </c>
      <c r="D293" s="4" t="s">
        <v>548</v>
      </c>
      <c r="E293" s="4" t="s">
        <v>637</v>
      </c>
      <c r="F293" s="4" t="s">
        <v>642</v>
      </c>
      <c r="G293" s="4" t="s">
        <v>2437</v>
      </c>
      <c r="H293" s="6"/>
      <c r="I293" s="6"/>
      <c r="J293" s="6" t="s">
        <v>4412</v>
      </c>
      <c r="K293" s="8" t="s">
        <v>3082</v>
      </c>
      <c r="L293" s="9"/>
    </row>
    <row r="294" ht="16.5" spans="1:12">
      <c r="A294" s="4" t="s">
        <v>3180</v>
      </c>
      <c r="B294" s="4"/>
      <c r="C294" s="5">
        <v>4501829</v>
      </c>
      <c r="D294" s="4" t="s">
        <v>1374</v>
      </c>
      <c r="E294" s="4" t="s">
        <v>637</v>
      </c>
      <c r="F294" s="4" t="s">
        <v>642</v>
      </c>
      <c r="G294" s="4" t="s">
        <v>2437</v>
      </c>
      <c r="H294" s="6"/>
      <c r="I294" s="6"/>
      <c r="J294" s="6" t="s">
        <v>4380</v>
      </c>
      <c r="K294" s="8" t="s">
        <v>4381</v>
      </c>
      <c r="L294" s="9"/>
    </row>
    <row r="295" ht="16.5" spans="1:12">
      <c r="A295" s="4" t="s">
        <v>3180</v>
      </c>
      <c r="B295" s="4"/>
      <c r="C295" s="5">
        <v>4501856</v>
      </c>
      <c r="D295" s="4" t="s">
        <v>1375</v>
      </c>
      <c r="E295" s="4" t="s">
        <v>637</v>
      </c>
      <c r="F295" s="4" t="s">
        <v>638</v>
      </c>
      <c r="G295" s="4" t="s">
        <v>3342</v>
      </c>
      <c r="H295" s="6"/>
      <c r="I295" s="6"/>
      <c r="J295" s="6" t="s">
        <v>4419</v>
      </c>
      <c r="K295" s="8" t="s">
        <v>3068</v>
      </c>
      <c r="L295" s="9"/>
    </row>
    <row r="296" ht="16.5" spans="1:12">
      <c r="A296" s="4" t="s">
        <v>3180</v>
      </c>
      <c r="B296" s="4"/>
      <c r="C296" s="5">
        <v>4501960</v>
      </c>
      <c r="D296" s="4" t="s">
        <v>575</v>
      </c>
      <c r="E296" s="4" t="s">
        <v>637</v>
      </c>
      <c r="F296" s="4" t="s">
        <v>638</v>
      </c>
      <c r="G296" s="4" t="s">
        <v>3186</v>
      </c>
      <c r="H296" s="6"/>
      <c r="I296" s="6"/>
      <c r="J296" s="6" t="s">
        <v>4380</v>
      </c>
      <c r="K296" s="8" t="s">
        <v>4381</v>
      </c>
      <c r="L296" s="9"/>
    </row>
    <row r="297" ht="16.5" spans="1:12">
      <c r="A297" s="4" t="s">
        <v>3180</v>
      </c>
      <c r="B297" s="4"/>
      <c r="C297" s="5">
        <v>4501989</v>
      </c>
      <c r="D297" s="4" t="s">
        <v>168</v>
      </c>
      <c r="E297" s="4" t="s">
        <v>637</v>
      </c>
      <c r="F297" s="4" t="s">
        <v>638</v>
      </c>
      <c r="G297" s="4" t="s">
        <v>3342</v>
      </c>
      <c r="H297" s="6"/>
      <c r="I297" s="6"/>
      <c r="J297" s="6" t="s">
        <v>4380</v>
      </c>
      <c r="K297" s="8" t="s">
        <v>4381</v>
      </c>
      <c r="L297" s="9"/>
    </row>
    <row r="298" ht="16.5" spans="1:12">
      <c r="A298" s="4" t="s">
        <v>3180</v>
      </c>
      <c r="B298" s="4"/>
      <c r="C298" s="5">
        <v>4502082</v>
      </c>
      <c r="D298" s="4" t="s">
        <v>1380</v>
      </c>
      <c r="E298" s="4" t="s">
        <v>637</v>
      </c>
      <c r="F298" s="4" t="s">
        <v>638</v>
      </c>
      <c r="G298" s="4" t="s">
        <v>3342</v>
      </c>
      <c r="H298" s="6"/>
      <c r="I298" s="6"/>
      <c r="J298" s="6" t="s">
        <v>4380</v>
      </c>
      <c r="K298" s="8" t="s">
        <v>4381</v>
      </c>
      <c r="L298" s="9"/>
    </row>
    <row r="299" ht="16.5" spans="1:12">
      <c r="A299" s="4" t="s">
        <v>3180</v>
      </c>
      <c r="B299" s="4"/>
      <c r="C299" s="5">
        <v>4502234</v>
      </c>
      <c r="D299" s="4" t="s">
        <v>413</v>
      </c>
      <c r="E299" s="4" t="s">
        <v>637</v>
      </c>
      <c r="F299" s="4" t="s">
        <v>644</v>
      </c>
      <c r="G299" s="4" t="s">
        <v>3204</v>
      </c>
      <c r="H299" s="6"/>
      <c r="I299" s="6"/>
      <c r="J299" s="6" t="s">
        <v>2343</v>
      </c>
      <c r="K299" s="8" t="s">
        <v>2344</v>
      </c>
      <c r="L299" s="9"/>
    </row>
    <row r="300" ht="16.5" spans="1:12">
      <c r="A300" s="4" t="s">
        <v>3180</v>
      </c>
      <c r="B300" s="4"/>
      <c r="C300" s="5">
        <v>4502287</v>
      </c>
      <c r="D300" s="4" t="s">
        <v>422</v>
      </c>
      <c r="E300" s="4" t="s">
        <v>637</v>
      </c>
      <c r="F300" s="4" t="s">
        <v>656</v>
      </c>
      <c r="G300" s="4" t="s">
        <v>2445</v>
      </c>
      <c r="H300" s="6"/>
      <c r="I300" s="6"/>
      <c r="J300" s="6" t="s">
        <v>4443</v>
      </c>
      <c r="K300" s="8" t="s">
        <v>2564</v>
      </c>
      <c r="L300" s="9"/>
    </row>
    <row r="301" ht="16.5" spans="1:12">
      <c r="A301" s="4" t="s">
        <v>3180</v>
      </c>
      <c r="B301" s="4"/>
      <c r="C301" s="5">
        <v>4502382</v>
      </c>
      <c r="D301" s="4" t="s">
        <v>187</v>
      </c>
      <c r="E301" s="4" t="s">
        <v>637</v>
      </c>
      <c r="F301" s="4" t="s">
        <v>656</v>
      </c>
      <c r="G301" s="4" t="s">
        <v>2445</v>
      </c>
      <c r="H301" s="6"/>
      <c r="I301" s="6"/>
      <c r="J301" s="6" t="s">
        <v>4487</v>
      </c>
      <c r="K301" s="8" t="s">
        <v>4488</v>
      </c>
      <c r="L301" s="9"/>
    </row>
    <row r="302" ht="16.5" spans="1:12">
      <c r="A302" s="4" t="s">
        <v>3180</v>
      </c>
      <c r="B302" s="4"/>
      <c r="C302" s="5">
        <v>4502465</v>
      </c>
      <c r="D302" s="4" t="s">
        <v>556</v>
      </c>
      <c r="E302" s="4" t="s">
        <v>637</v>
      </c>
      <c r="F302" s="4" t="s">
        <v>638</v>
      </c>
      <c r="G302" s="4" t="s">
        <v>3342</v>
      </c>
      <c r="H302" s="6"/>
      <c r="I302" s="6"/>
      <c r="J302" s="6" t="s">
        <v>4380</v>
      </c>
      <c r="K302" s="8" t="s">
        <v>4381</v>
      </c>
      <c r="L302" s="9"/>
    </row>
    <row r="303" ht="16.5" spans="1:12">
      <c r="A303" s="4" t="s">
        <v>3180</v>
      </c>
      <c r="B303" s="4"/>
      <c r="C303" s="5">
        <v>4502622</v>
      </c>
      <c r="D303" s="4" t="s">
        <v>539</v>
      </c>
      <c r="E303" s="4" t="s">
        <v>637</v>
      </c>
      <c r="F303" s="4" t="s">
        <v>656</v>
      </c>
      <c r="G303" s="4" t="s">
        <v>2445</v>
      </c>
      <c r="H303" s="6"/>
      <c r="I303" s="6"/>
      <c r="J303" s="6" t="s">
        <v>4438</v>
      </c>
      <c r="K303" s="8" t="s">
        <v>2601</v>
      </c>
      <c r="L303" s="9"/>
    </row>
    <row r="304" ht="16.5" spans="1:12">
      <c r="A304" s="4" t="s">
        <v>3180</v>
      </c>
      <c r="B304" s="4"/>
      <c r="C304" s="5">
        <v>4503081</v>
      </c>
      <c r="D304" s="4" t="s">
        <v>1386</v>
      </c>
      <c r="E304" s="4" t="s">
        <v>637</v>
      </c>
      <c r="F304" s="4" t="s">
        <v>638</v>
      </c>
      <c r="G304" s="4" t="s">
        <v>3582</v>
      </c>
      <c r="H304" s="6"/>
      <c r="I304" s="6"/>
      <c r="J304" s="6" t="s">
        <v>4380</v>
      </c>
      <c r="K304" s="8" t="s">
        <v>4381</v>
      </c>
      <c r="L304" s="9"/>
    </row>
    <row r="305" ht="16.5" spans="1:12">
      <c r="A305" s="4" t="s">
        <v>3180</v>
      </c>
      <c r="B305" s="4"/>
      <c r="C305" s="5">
        <v>4503433</v>
      </c>
      <c r="D305" s="4" t="s">
        <v>702</v>
      </c>
      <c r="E305" s="4" t="s">
        <v>637</v>
      </c>
      <c r="F305" s="4" t="s">
        <v>638</v>
      </c>
      <c r="G305" s="4" t="s">
        <v>3342</v>
      </c>
      <c r="H305" s="6"/>
      <c r="I305" s="6"/>
      <c r="J305" s="6" t="s">
        <v>4489</v>
      </c>
      <c r="K305" s="8" t="s">
        <v>3036</v>
      </c>
      <c r="L305" s="9"/>
    </row>
    <row r="306" ht="16.5" spans="1:12">
      <c r="A306" s="4" t="s">
        <v>3180</v>
      </c>
      <c r="B306" s="4"/>
      <c r="C306" s="5">
        <v>4503456</v>
      </c>
      <c r="D306" s="4" t="s">
        <v>1387</v>
      </c>
      <c r="E306" s="4" t="s">
        <v>637</v>
      </c>
      <c r="F306" s="4" t="s">
        <v>638</v>
      </c>
      <c r="G306" s="4" t="s">
        <v>3186</v>
      </c>
      <c r="H306" s="6"/>
      <c r="I306" s="6"/>
      <c r="J306" s="6" t="s">
        <v>4380</v>
      </c>
      <c r="K306" s="8" t="s">
        <v>4381</v>
      </c>
      <c r="L306" s="9"/>
    </row>
    <row r="307" ht="16.5" spans="1:12">
      <c r="A307" s="4" t="s">
        <v>3180</v>
      </c>
      <c r="B307" s="4"/>
      <c r="C307" s="5">
        <v>4503474</v>
      </c>
      <c r="D307" s="4" t="s">
        <v>393</v>
      </c>
      <c r="E307" s="4" t="s">
        <v>637</v>
      </c>
      <c r="F307" s="4" t="s">
        <v>638</v>
      </c>
      <c r="G307" s="4" t="s">
        <v>3342</v>
      </c>
      <c r="H307" s="6"/>
      <c r="I307" s="6"/>
      <c r="J307" s="6" t="s">
        <v>4380</v>
      </c>
      <c r="K307" s="8" t="s">
        <v>4381</v>
      </c>
      <c r="L307" s="9"/>
    </row>
    <row r="308" ht="16.5" spans="1:12">
      <c r="A308" s="4" t="s">
        <v>3180</v>
      </c>
      <c r="B308" s="4"/>
      <c r="C308" s="5">
        <v>4503604</v>
      </c>
      <c r="D308" s="4" t="s">
        <v>116</v>
      </c>
      <c r="E308" s="4" t="s">
        <v>637</v>
      </c>
      <c r="F308" s="4" t="s">
        <v>656</v>
      </c>
      <c r="G308" s="4" t="s">
        <v>2445</v>
      </c>
      <c r="H308" s="6"/>
      <c r="I308" s="6"/>
      <c r="J308" s="6" t="s">
        <v>4490</v>
      </c>
      <c r="K308" s="8" t="s">
        <v>2479</v>
      </c>
      <c r="L308" s="9"/>
    </row>
    <row r="309" ht="16.5" spans="1:12">
      <c r="A309" s="4" t="s">
        <v>3180</v>
      </c>
      <c r="B309" s="4"/>
      <c r="C309" s="5">
        <v>4503646</v>
      </c>
      <c r="D309" s="4" t="s">
        <v>1391</v>
      </c>
      <c r="E309" s="4" t="s">
        <v>637</v>
      </c>
      <c r="F309" s="4" t="s">
        <v>638</v>
      </c>
      <c r="G309" s="4" t="s">
        <v>3342</v>
      </c>
      <c r="H309" s="6"/>
      <c r="I309" s="6"/>
      <c r="J309" s="6" t="s">
        <v>4380</v>
      </c>
      <c r="K309" s="8" t="s">
        <v>4381</v>
      </c>
      <c r="L309" s="9"/>
    </row>
    <row r="310" ht="16.5" spans="1:12">
      <c r="A310" s="4" t="s">
        <v>3180</v>
      </c>
      <c r="B310" s="4"/>
      <c r="C310" s="5">
        <v>4503838</v>
      </c>
      <c r="D310" s="4" t="s">
        <v>1392</v>
      </c>
      <c r="E310" s="4" t="s">
        <v>637</v>
      </c>
      <c r="F310" s="4" t="s">
        <v>642</v>
      </c>
      <c r="G310" s="4" t="s">
        <v>2437</v>
      </c>
      <c r="H310" s="6"/>
      <c r="I310" s="6"/>
      <c r="J310" s="6" t="s">
        <v>4395</v>
      </c>
      <c r="K310" s="8" t="s">
        <v>4396</v>
      </c>
      <c r="L310" s="9"/>
    </row>
    <row r="311" ht="16.5" spans="1:12">
      <c r="A311" s="4" t="s">
        <v>3180</v>
      </c>
      <c r="B311" s="4"/>
      <c r="C311" s="5">
        <v>4503951</v>
      </c>
      <c r="D311" s="4" t="s">
        <v>316</v>
      </c>
      <c r="E311" s="4" t="s">
        <v>637</v>
      </c>
      <c r="F311" s="4" t="s">
        <v>646</v>
      </c>
      <c r="G311" s="4" t="s">
        <v>2627</v>
      </c>
      <c r="H311" s="6"/>
      <c r="I311" s="6"/>
      <c r="J311" s="6" t="s">
        <v>2384</v>
      </c>
      <c r="K311" s="8" t="s">
        <v>4491</v>
      </c>
      <c r="L311" s="9"/>
    </row>
    <row r="312" ht="16.5" spans="1:12">
      <c r="A312" s="4" t="s">
        <v>3180</v>
      </c>
      <c r="B312" s="4"/>
      <c r="C312" s="5">
        <v>4504089</v>
      </c>
      <c r="D312" s="4" t="s">
        <v>1393</v>
      </c>
      <c r="E312" s="4" t="s">
        <v>637</v>
      </c>
      <c r="F312" s="4" t="s">
        <v>642</v>
      </c>
      <c r="G312" s="4" t="s">
        <v>2437</v>
      </c>
      <c r="H312" s="6"/>
      <c r="I312" s="6"/>
      <c r="J312" s="6" t="s">
        <v>4401</v>
      </c>
      <c r="K312" s="8" t="s">
        <v>3035</v>
      </c>
      <c r="L312" s="9"/>
    </row>
    <row r="313" ht="16.5" spans="1:12">
      <c r="A313" s="4" t="s">
        <v>3180</v>
      </c>
      <c r="B313" s="4"/>
      <c r="C313" s="5">
        <v>4504144</v>
      </c>
      <c r="D313" s="4" t="s">
        <v>1394</v>
      </c>
      <c r="E313" s="4" t="s">
        <v>637</v>
      </c>
      <c r="F313" s="4" t="s">
        <v>638</v>
      </c>
      <c r="G313" s="4" t="s">
        <v>3342</v>
      </c>
      <c r="H313" s="6"/>
      <c r="I313" s="6"/>
      <c r="J313" s="6" t="s">
        <v>4380</v>
      </c>
      <c r="K313" s="8" t="s">
        <v>4381</v>
      </c>
      <c r="L313" s="9"/>
    </row>
    <row r="314" ht="16.5" spans="1:12">
      <c r="A314" s="4" t="s">
        <v>3180</v>
      </c>
      <c r="B314" s="4"/>
      <c r="C314" s="5">
        <v>4504167</v>
      </c>
      <c r="D314" s="4" t="s">
        <v>389</v>
      </c>
      <c r="E314" s="4" t="s">
        <v>637</v>
      </c>
      <c r="F314" s="4" t="s">
        <v>644</v>
      </c>
      <c r="G314" s="4" t="s">
        <v>3204</v>
      </c>
      <c r="H314" s="6"/>
      <c r="I314" s="6"/>
      <c r="J314" s="6" t="s">
        <v>4397</v>
      </c>
      <c r="K314" s="8" t="s">
        <v>1053</v>
      </c>
      <c r="L314" s="9"/>
    </row>
    <row r="315" ht="16.5" spans="1:12">
      <c r="A315" s="4" t="s">
        <v>3180</v>
      </c>
      <c r="B315" s="4"/>
      <c r="C315" s="5">
        <v>4504174</v>
      </c>
      <c r="D315" s="4" t="s">
        <v>1395</v>
      </c>
      <c r="E315" s="4" t="s">
        <v>637</v>
      </c>
      <c r="F315" s="4" t="s">
        <v>638</v>
      </c>
      <c r="G315" s="4" t="s">
        <v>3342</v>
      </c>
      <c r="H315" s="6"/>
      <c r="I315" s="6"/>
      <c r="J315" s="6" t="s">
        <v>4380</v>
      </c>
      <c r="K315" s="8" t="s">
        <v>4381</v>
      </c>
      <c r="L315" s="9"/>
    </row>
    <row r="316" ht="16.5" spans="1:12">
      <c r="A316" s="4" t="s">
        <v>3180</v>
      </c>
      <c r="B316" s="4"/>
      <c r="C316" s="5">
        <v>4701288</v>
      </c>
      <c r="D316" s="4" t="s">
        <v>134</v>
      </c>
      <c r="E316" s="4" t="s">
        <v>637</v>
      </c>
      <c r="F316" s="4" t="s">
        <v>646</v>
      </c>
      <c r="G316" s="4" t="s">
        <v>2627</v>
      </c>
      <c r="H316" s="6"/>
      <c r="I316" s="6"/>
      <c r="J316" s="6" t="s">
        <v>2374</v>
      </c>
      <c r="K316" s="8" t="s">
        <v>3059</v>
      </c>
      <c r="L316" s="9"/>
    </row>
    <row r="317" ht="16.5" spans="1:12">
      <c r="A317" s="4" t="s">
        <v>3180</v>
      </c>
      <c r="B317" s="4"/>
      <c r="C317" s="5">
        <v>4709126</v>
      </c>
      <c r="D317" s="4" t="s">
        <v>1781</v>
      </c>
      <c r="E317" s="4" t="s">
        <v>637</v>
      </c>
      <c r="F317" s="4" t="s">
        <v>638</v>
      </c>
      <c r="G317" s="4" t="s">
        <v>3186</v>
      </c>
      <c r="H317" s="6"/>
      <c r="I317" s="6"/>
      <c r="J317" s="6" t="s">
        <v>4380</v>
      </c>
      <c r="K317" s="8" t="s">
        <v>4381</v>
      </c>
      <c r="L317" s="9"/>
    </row>
    <row r="318" ht="16.5" spans="1:12">
      <c r="A318" s="4" t="s">
        <v>3180</v>
      </c>
      <c r="B318" s="4"/>
      <c r="C318" s="5">
        <v>4733120</v>
      </c>
      <c r="D318" s="4" t="s">
        <v>204</v>
      </c>
      <c r="E318" s="4" t="s">
        <v>637</v>
      </c>
      <c r="F318" s="4" t="s">
        <v>638</v>
      </c>
      <c r="G318" s="4" t="s">
        <v>3186</v>
      </c>
      <c r="H318" s="6"/>
      <c r="I318" s="6"/>
      <c r="J318" s="6" t="s">
        <v>4380</v>
      </c>
      <c r="K318" s="8" t="s">
        <v>4381</v>
      </c>
      <c r="L318" s="9"/>
    </row>
    <row r="319" ht="16.5" spans="1:12">
      <c r="A319" s="4" t="s">
        <v>3180</v>
      </c>
      <c r="B319" s="4"/>
      <c r="C319" s="5">
        <v>4743716</v>
      </c>
      <c r="D319" s="4" t="s">
        <v>1808</v>
      </c>
      <c r="E319" s="4" t="s">
        <v>637</v>
      </c>
      <c r="F319" s="4" t="s">
        <v>642</v>
      </c>
      <c r="G319" s="4" t="s">
        <v>2437</v>
      </c>
      <c r="H319" s="6"/>
      <c r="I319" s="6"/>
      <c r="J319" s="6" t="s">
        <v>4412</v>
      </c>
      <c r="K319" s="8" t="s">
        <v>3082</v>
      </c>
      <c r="L319" s="9"/>
    </row>
    <row r="320" ht="16.5" spans="1:12">
      <c r="A320" s="4" t="s">
        <v>3180</v>
      </c>
      <c r="B320" s="4"/>
      <c r="C320" s="5">
        <v>4504795</v>
      </c>
      <c r="D320" s="4" t="s">
        <v>1398</v>
      </c>
      <c r="E320" s="4" t="s">
        <v>637</v>
      </c>
      <c r="F320" s="4" t="s">
        <v>638</v>
      </c>
      <c r="G320" s="4" t="s">
        <v>3582</v>
      </c>
      <c r="H320" s="6"/>
      <c r="I320" s="6"/>
      <c r="J320" s="6" t="s">
        <v>4380</v>
      </c>
      <c r="K320" s="8" t="s">
        <v>4381</v>
      </c>
      <c r="L320" s="9"/>
    </row>
    <row r="321" ht="16.5" spans="1:12">
      <c r="A321" s="4" t="s">
        <v>3180</v>
      </c>
      <c r="B321" s="4"/>
      <c r="C321" s="5">
        <v>1501042</v>
      </c>
      <c r="D321" s="4" t="s">
        <v>942</v>
      </c>
      <c r="E321" s="4" t="s">
        <v>637</v>
      </c>
      <c r="F321" s="4" t="s">
        <v>642</v>
      </c>
      <c r="G321" s="4" t="s">
        <v>2437</v>
      </c>
      <c r="H321" s="6"/>
      <c r="I321" s="6"/>
      <c r="J321" s="6" t="s">
        <v>4492</v>
      </c>
      <c r="K321" s="8" t="s">
        <v>4493</v>
      </c>
      <c r="L321" s="9"/>
    </row>
    <row r="322" ht="16.5" spans="1:12">
      <c r="A322" s="4" t="s">
        <v>3180</v>
      </c>
      <c r="B322" s="4"/>
      <c r="C322" s="5">
        <v>1501037</v>
      </c>
      <c r="D322" s="4" t="s">
        <v>937</v>
      </c>
      <c r="E322" s="4" t="s">
        <v>637</v>
      </c>
      <c r="F322" s="4" t="s">
        <v>656</v>
      </c>
      <c r="G322" s="4" t="s">
        <v>2445</v>
      </c>
      <c r="H322" s="6"/>
      <c r="I322" s="6"/>
      <c r="J322" s="6" t="s">
        <v>4439</v>
      </c>
      <c r="K322" s="8" t="s">
        <v>2600</v>
      </c>
      <c r="L322" s="9"/>
    </row>
    <row r="323" ht="16.5" spans="1:12">
      <c r="A323" s="4" t="s">
        <v>3180</v>
      </c>
      <c r="B323" s="4"/>
      <c r="C323" s="5">
        <v>1501053</v>
      </c>
      <c r="D323" s="4" t="s">
        <v>950</v>
      </c>
      <c r="E323" s="4" t="s">
        <v>637</v>
      </c>
      <c r="F323" s="4" t="s">
        <v>656</v>
      </c>
      <c r="G323" s="4" t="s">
        <v>2445</v>
      </c>
      <c r="H323" s="6"/>
      <c r="I323" s="6"/>
      <c r="J323" s="6" t="s">
        <v>4494</v>
      </c>
      <c r="K323" s="8" t="s">
        <v>2534</v>
      </c>
      <c r="L323" s="9"/>
    </row>
    <row r="324" ht="16.5" spans="1:12">
      <c r="A324" s="4" t="s">
        <v>3180</v>
      </c>
      <c r="B324" s="4"/>
      <c r="C324" s="5">
        <v>1501054</v>
      </c>
      <c r="D324" s="4" t="s">
        <v>951</v>
      </c>
      <c r="E324" s="4" t="s">
        <v>637</v>
      </c>
      <c r="F324" s="4" t="s">
        <v>642</v>
      </c>
      <c r="G324" s="4" t="s">
        <v>2437</v>
      </c>
      <c r="H324" s="6"/>
      <c r="I324" s="6"/>
      <c r="J324" s="6" t="s">
        <v>4495</v>
      </c>
      <c r="K324" s="8" t="s">
        <v>4496</v>
      </c>
      <c r="L324" s="9"/>
    </row>
    <row r="325" ht="16.5" spans="1:12">
      <c r="A325" s="4" t="s">
        <v>3180</v>
      </c>
      <c r="B325" s="4"/>
      <c r="C325" s="5">
        <v>1501038</v>
      </c>
      <c r="D325" s="4" t="s">
        <v>938</v>
      </c>
      <c r="E325" s="4" t="s">
        <v>637</v>
      </c>
      <c r="F325" s="4" t="s">
        <v>638</v>
      </c>
      <c r="G325" s="4" t="s">
        <v>3582</v>
      </c>
      <c r="H325" s="6"/>
      <c r="I325" s="6"/>
      <c r="J325" s="6" t="s">
        <v>4380</v>
      </c>
      <c r="K325" s="8" t="s">
        <v>4381</v>
      </c>
      <c r="L325" s="9"/>
    </row>
    <row r="326" ht="16.5" spans="1:12">
      <c r="A326" s="4" t="s">
        <v>3180</v>
      </c>
      <c r="B326" s="4"/>
      <c r="C326" s="5">
        <v>4504794</v>
      </c>
      <c r="D326" s="4" t="s">
        <v>552</v>
      </c>
      <c r="E326" s="4" t="s">
        <v>637</v>
      </c>
      <c r="F326" s="4" t="s">
        <v>656</v>
      </c>
      <c r="G326" s="4" t="s">
        <v>2445</v>
      </c>
      <c r="H326" s="6"/>
      <c r="I326" s="6"/>
      <c r="J326" s="6" t="s">
        <v>4441</v>
      </c>
      <c r="K326" s="8" t="s">
        <v>2545</v>
      </c>
      <c r="L326" s="9"/>
    </row>
    <row r="327" ht="16.5" spans="1:12">
      <c r="A327" s="4" t="s">
        <v>3180</v>
      </c>
      <c r="B327" s="4"/>
      <c r="C327" s="5">
        <v>1501068</v>
      </c>
      <c r="D327" s="4" t="s">
        <v>961</v>
      </c>
      <c r="E327" s="4" t="s">
        <v>637</v>
      </c>
      <c r="F327" s="4" t="s">
        <v>656</v>
      </c>
      <c r="G327" s="4" t="s">
        <v>2445</v>
      </c>
      <c r="H327" s="6"/>
      <c r="I327" s="6"/>
      <c r="J327" s="6" t="s">
        <v>4456</v>
      </c>
      <c r="K327" s="8" t="s">
        <v>2533</v>
      </c>
      <c r="L327" s="9"/>
    </row>
    <row r="328" ht="16.5" spans="1:12">
      <c r="A328" s="4" t="s">
        <v>3180</v>
      </c>
      <c r="B328" s="4"/>
      <c r="C328" s="5">
        <v>1501070</v>
      </c>
      <c r="D328" s="4" t="s">
        <v>3243</v>
      </c>
      <c r="E328" s="4" t="s">
        <v>637</v>
      </c>
      <c r="F328" s="4" t="s">
        <v>638</v>
      </c>
      <c r="G328" s="4" t="s">
        <v>3186</v>
      </c>
      <c r="H328" s="6"/>
      <c r="I328" s="6"/>
      <c r="J328" s="6" t="s">
        <v>4380</v>
      </c>
      <c r="K328" s="8" t="s">
        <v>4381</v>
      </c>
      <c r="L328" s="9"/>
    </row>
    <row r="329" ht="16.5" spans="1:12">
      <c r="A329" s="4" t="s">
        <v>3180</v>
      </c>
      <c r="B329" s="4"/>
      <c r="C329" s="5">
        <v>1501159</v>
      </c>
      <c r="D329" s="4" t="s">
        <v>374</v>
      </c>
      <c r="E329" s="4" t="s">
        <v>637</v>
      </c>
      <c r="F329" s="4" t="s">
        <v>642</v>
      </c>
      <c r="G329" s="4" t="s">
        <v>2437</v>
      </c>
      <c r="H329" s="6"/>
      <c r="I329" s="6"/>
      <c r="J329" s="6" t="s">
        <v>4387</v>
      </c>
      <c r="K329" s="8" t="s">
        <v>3031</v>
      </c>
      <c r="L329" s="9"/>
    </row>
    <row r="330" ht="16.5" spans="1:12">
      <c r="A330" s="4" t="s">
        <v>3180</v>
      </c>
      <c r="B330" s="4"/>
      <c r="C330" s="5">
        <v>1501158</v>
      </c>
      <c r="D330" s="4" t="s">
        <v>965</v>
      </c>
      <c r="E330" s="4" t="s">
        <v>637</v>
      </c>
      <c r="F330" s="4" t="s">
        <v>642</v>
      </c>
      <c r="G330" s="4" t="s">
        <v>2437</v>
      </c>
      <c r="H330" s="6"/>
      <c r="I330" s="6"/>
      <c r="J330" s="6" t="s">
        <v>4497</v>
      </c>
      <c r="K330" s="8" t="s">
        <v>2567</v>
      </c>
      <c r="L330" s="9"/>
    </row>
    <row r="331" ht="16.5" spans="1:12">
      <c r="A331" s="4" t="s">
        <v>3180</v>
      </c>
      <c r="B331" s="4"/>
      <c r="C331" s="5">
        <v>4505862</v>
      </c>
      <c r="D331" s="4" t="s">
        <v>1410</v>
      </c>
      <c r="E331" s="4" t="s">
        <v>637</v>
      </c>
      <c r="F331" s="4" t="s">
        <v>646</v>
      </c>
      <c r="G331" s="4" t="s">
        <v>2627</v>
      </c>
      <c r="H331" s="6"/>
      <c r="I331" s="6"/>
      <c r="J331" s="6" t="s">
        <v>4470</v>
      </c>
      <c r="K331" s="8" t="s">
        <v>4471</v>
      </c>
      <c r="L331" s="9"/>
    </row>
    <row r="332" ht="16.5" spans="1:12">
      <c r="A332" s="4" t="s">
        <v>3180</v>
      </c>
      <c r="B332" s="4"/>
      <c r="C332" s="5">
        <v>1501172</v>
      </c>
      <c r="D332" s="4" t="s">
        <v>971</v>
      </c>
      <c r="E332" s="4" t="s">
        <v>637</v>
      </c>
      <c r="F332" s="4" t="s">
        <v>638</v>
      </c>
      <c r="G332" s="4" t="s">
        <v>3186</v>
      </c>
      <c r="H332" s="6"/>
      <c r="I332" s="6"/>
      <c r="J332" s="6" t="s">
        <v>4380</v>
      </c>
      <c r="K332" s="8" t="s">
        <v>4381</v>
      </c>
      <c r="L332" s="9"/>
    </row>
    <row r="333" ht="16.5" spans="1:12">
      <c r="A333" s="4" t="s">
        <v>3180</v>
      </c>
      <c r="B333" s="4"/>
      <c r="C333" s="5">
        <v>1501169</v>
      </c>
      <c r="D333" s="4" t="s">
        <v>968</v>
      </c>
      <c r="E333" s="4" t="s">
        <v>637</v>
      </c>
      <c r="F333" s="4" t="s">
        <v>642</v>
      </c>
      <c r="G333" s="4" t="s">
        <v>2437</v>
      </c>
      <c r="H333" s="6"/>
      <c r="I333" s="6"/>
      <c r="J333" s="6" t="s">
        <v>4387</v>
      </c>
      <c r="K333" s="8" t="s">
        <v>3031</v>
      </c>
      <c r="L333" s="9"/>
    </row>
    <row r="334" ht="16.5" spans="1:12">
      <c r="A334" s="4" t="s">
        <v>3180</v>
      </c>
      <c r="B334" s="4"/>
      <c r="C334" s="5">
        <v>4505920</v>
      </c>
      <c r="D334" s="4" t="s">
        <v>425</v>
      </c>
      <c r="E334" s="4" t="s">
        <v>637</v>
      </c>
      <c r="F334" s="4" t="s">
        <v>638</v>
      </c>
      <c r="G334" s="4" t="s">
        <v>3186</v>
      </c>
      <c r="H334" s="6"/>
      <c r="I334" s="6"/>
      <c r="J334" s="6" t="s">
        <v>4380</v>
      </c>
      <c r="K334" s="8" t="s">
        <v>4381</v>
      </c>
      <c r="L334" s="9"/>
    </row>
    <row r="335" ht="16.5" spans="1:12">
      <c r="A335" s="4" t="s">
        <v>3180</v>
      </c>
      <c r="B335" s="4"/>
      <c r="C335" s="5">
        <v>1501166</v>
      </c>
      <c r="D335" s="4" t="s">
        <v>966</v>
      </c>
      <c r="E335" s="4" t="s">
        <v>637</v>
      </c>
      <c r="F335" s="4" t="s">
        <v>642</v>
      </c>
      <c r="G335" s="4" t="s">
        <v>2437</v>
      </c>
      <c r="H335" s="6"/>
      <c r="I335" s="6"/>
      <c r="J335" s="6" t="s">
        <v>4395</v>
      </c>
      <c r="K335" s="8" t="s">
        <v>4396</v>
      </c>
      <c r="L335" s="9"/>
    </row>
    <row r="336" ht="16.5" spans="1:12">
      <c r="A336" s="4" t="s">
        <v>3180</v>
      </c>
      <c r="B336" s="4"/>
      <c r="C336" s="5">
        <v>4505863</v>
      </c>
      <c r="D336" s="4" t="s">
        <v>1411</v>
      </c>
      <c r="E336" s="4" t="s">
        <v>637</v>
      </c>
      <c r="F336" s="4" t="s">
        <v>646</v>
      </c>
      <c r="G336" s="4" t="s">
        <v>2627</v>
      </c>
      <c r="H336" s="6"/>
      <c r="I336" s="6"/>
      <c r="J336" s="6" t="s">
        <v>4470</v>
      </c>
      <c r="K336" s="8" t="s">
        <v>4471</v>
      </c>
      <c r="L336" s="9"/>
    </row>
    <row r="337" ht="16.5" spans="1:12">
      <c r="A337" s="4" t="s">
        <v>3180</v>
      </c>
      <c r="B337" s="4"/>
      <c r="C337" s="5">
        <v>4501962</v>
      </c>
      <c r="D337" s="4" t="s">
        <v>1378</v>
      </c>
      <c r="E337" s="4" t="s">
        <v>637</v>
      </c>
      <c r="F337" s="4" t="s">
        <v>646</v>
      </c>
      <c r="G337" s="4" t="s">
        <v>2627</v>
      </c>
      <c r="H337" s="6"/>
      <c r="I337" s="6"/>
      <c r="J337" s="6" t="s">
        <v>2363</v>
      </c>
      <c r="K337" s="8" t="s">
        <v>3057</v>
      </c>
      <c r="L337" s="9"/>
    </row>
    <row r="338" ht="16.5" spans="1:12">
      <c r="A338" s="4" t="s">
        <v>3180</v>
      </c>
      <c r="B338" s="4"/>
      <c r="C338" s="5">
        <v>1501174</v>
      </c>
      <c r="D338" s="4" t="s">
        <v>972</v>
      </c>
      <c r="E338" s="4" t="s">
        <v>637</v>
      </c>
      <c r="F338" s="4" t="s">
        <v>638</v>
      </c>
      <c r="G338" s="4" t="s">
        <v>3186</v>
      </c>
      <c r="H338" s="6"/>
      <c r="I338" s="6"/>
      <c r="J338" s="6" t="s">
        <v>4380</v>
      </c>
      <c r="K338" s="8" t="s">
        <v>4381</v>
      </c>
      <c r="L338" s="9"/>
    </row>
    <row r="339" ht="16.5" spans="1:12">
      <c r="A339" s="4" t="s">
        <v>3180</v>
      </c>
      <c r="B339" s="4"/>
      <c r="C339" s="5">
        <v>1501064</v>
      </c>
      <c r="D339" s="4" t="s">
        <v>957</v>
      </c>
      <c r="E339" s="4" t="s">
        <v>637</v>
      </c>
      <c r="F339" s="4" t="s">
        <v>638</v>
      </c>
      <c r="G339" s="4" t="s">
        <v>3186</v>
      </c>
      <c r="H339" s="6"/>
      <c r="I339" s="6"/>
      <c r="J339" s="6" t="s">
        <v>4380</v>
      </c>
      <c r="K339" s="8" t="s">
        <v>4381</v>
      </c>
      <c r="L339" s="9"/>
    </row>
    <row r="340" ht="16.5" spans="1:12">
      <c r="A340" s="4" t="s">
        <v>3180</v>
      </c>
      <c r="B340" s="4"/>
      <c r="C340" s="5">
        <v>1501193</v>
      </c>
      <c r="D340" s="4" t="s">
        <v>35</v>
      </c>
      <c r="E340" s="4" t="s">
        <v>637</v>
      </c>
      <c r="F340" s="4" t="s">
        <v>642</v>
      </c>
      <c r="G340" s="4" t="s">
        <v>2437</v>
      </c>
      <c r="H340" s="6"/>
      <c r="I340" s="6"/>
      <c r="J340" s="6" t="s">
        <v>4495</v>
      </c>
      <c r="K340" s="8" t="s">
        <v>4496</v>
      </c>
      <c r="L340" s="9"/>
    </row>
    <row r="341" ht="16.5" spans="1:12">
      <c r="A341" s="4" t="s">
        <v>3180</v>
      </c>
      <c r="B341" s="4"/>
      <c r="C341" s="5">
        <v>4506458</v>
      </c>
      <c r="D341" s="4" t="s">
        <v>1424</v>
      </c>
      <c r="E341" s="4" t="s">
        <v>637</v>
      </c>
      <c r="F341" s="4" t="s">
        <v>644</v>
      </c>
      <c r="G341" s="4" t="s">
        <v>3204</v>
      </c>
      <c r="H341" s="6"/>
      <c r="I341" s="6"/>
      <c r="J341" s="6" t="s">
        <v>4498</v>
      </c>
      <c r="K341" s="8" t="s">
        <v>4499</v>
      </c>
      <c r="L341" s="9"/>
    </row>
    <row r="342" ht="16.5" spans="1:12">
      <c r="A342" s="4" t="s">
        <v>3180</v>
      </c>
      <c r="B342" s="4"/>
      <c r="C342" s="5">
        <v>1501181</v>
      </c>
      <c r="D342" s="4" t="s">
        <v>976</v>
      </c>
      <c r="E342" s="4" t="s">
        <v>637</v>
      </c>
      <c r="F342" s="4" t="s">
        <v>656</v>
      </c>
      <c r="G342" s="4" t="s">
        <v>2445</v>
      </c>
      <c r="H342" s="6"/>
      <c r="I342" s="6"/>
      <c r="J342" s="6" t="s">
        <v>4456</v>
      </c>
      <c r="K342" s="8" t="s">
        <v>2533</v>
      </c>
      <c r="L342" s="9"/>
    </row>
    <row r="343" ht="16.5" spans="1:12">
      <c r="A343" s="4" t="s">
        <v>3180</v>
      </c>
      <c r="B343" s="4"/>
      <c r="C343" s="5">
        <v>1501191</v>
      </c>
      <c r="D343" s="4" t="s">
        <v>977</v>
      </c>
      <c r="E343" s="4" t="s">
        <v>637</v>
      </c>
      <c r="F343" s="4" t="s">
        <v>4403</v>
      </c>
      <c r="G343" s="4" t="s">
        <v>654</v>
      </c>
      <c r="H343" s="6"/>
      <c r="I343" s="6"/>
      <c r="J343" s="6" t="s">
        <v>4500</v>
      </c>
      <c r="K343" s="8" t="s">
        <v>2453</v>
      </c>
      <c r="L343" s="9"/>
    </row>
    <row r="344" ht="16.5" spans="1:12">
      <c r="A344" s="4" t="s">
        <v>3180</v>
      </c>
      <c r="B344" s="4"/>
      <c r="C344" s="5">
        <v>4506356</v>
      </c>
      <c r="D344" s="4" t="s">
        <v>485</v>
      </c>
      <c r="E344" s="4" t="s">
        <v>637</v>
      </c>
      <c r="F344" s="4" t="s">
        <v>656</v>
      </c>
      <c r="G344" s="4" t="s">
        <v>2445</v>
      </c>
      <c r="H344" s="6"/>
      <c r="I344" s="6"/>
      <c r="J344" s="6" t="s">
        <v>4441</v>
      </c>
      <c r="K344" s="8" t="s">
        <v>2545</v>
      </c>
      <c r="L344" s="9"/>
    </row>
    <row r="345" ht="16.5" spans="1:12">
      <c r="A345" s="4" t="s">
        <v>3180</v>
      </c>
      <c r="B345" s="4"/>
      <c r="C345" s="5">
        <v>1501192</v>
      </c>
      <c r="D345" s="4" t="s">
        <v>498</v>
      </c>
      <c r="E345" s="4" t="s">
        <v>637</v>
      </c>
      <c r="F345" s="4" t="s">
        <v>4403</v>
      </c>
      <c r="G345" s="4" t="s">
        <v>654</v>
      </c>
      <c r="H345" s="6"/>
      <c r="I345" s="6"/>
      <c r="J345" s="6" t="s">
        <v>4500</v>
      </c>
      <c r="K345" s="8" t="s">
        <v>2453</v>
      </c>
      <c r="L345" s="9"/>
    </row>
    <row r="346" ht="16.5" spans="1:12">
      <c r="A346" s="4" t="s">
        <v>3180</v>
      </c>
      <c r="B346" s="4"/>
      <c r="C346" s="5">
        <v>1501190</v>
      </c>
      <c r="D346" s="4" t="s">
        <v>499</v>
      </c>
      <c r="E346" s="4" t="s">
        <v>637</v>
      </c>
      <c r="F346" s="4" t="s">
        <v>4403</v>
      </c>
      <c r="G346" s="4" t="s">
        <v>654</v>
      </c>
      <c r="H346" s="6"/>
      <c r="I346" s="6"/>
      <c r="J346" s="6" t="s">
        <v>4500</v>
      </c>
      <c r="K346" s="8" t="s">
        <v>2453</v>
      </c>
      <c r="L346" s="9"/>
    </row>
    <row r="347" ht="16.5" spans="1:12">
      <c r="A347" s="4" t="s">
        <v>3180</v>
      </c>
      <c r="B347" s="4"/>
      <c r="C347" s="5">
        <v>4504673</v>
      </c>
      <c r="D347" s="4" t="s">
        <v>521</v>
      </c>
      <c r="E347" s="4" t="s">
        <v>637</v>
      </c>
      <c r="F347" s="4" t="s">
        <v>642</v>
      </c>
      <c r="G347" s="4" t="s">
        <v>2437</v>
      </c>
      <c r="H347" s="6"/>
      <c r="I347" s="6"/>
      <c r="J347" s="6" t="s">
        <v>4501</v>
      </c>
      <c r="K347" s="8" t="s">
        <v>3127</v>
      </c>
      <c r="L347" s="9"/>
    </row>
    <row r="348" ht="16.5" spans="1:12">
      <c r="A348" s="4" t="s">
        <v>3180</v>
      </c>
      <c r="B348" s="4"/>
      <c r="C348" s="5">
        <v>4506357</v>
      </c>
      <c r="D348" s="4" t="s">
        <v>1422</v>
      </c>
      <c r="E348" s="4" t="s">
        <v>637</v>
      </c>
      <c r="F348" s="4" t="s">
        <v>642</v>
      </c>
      <c r="G348" s="4" t="s">
        <v>2437</v>
      </c>
      <c r="H348" s="6"/>
      <c r="I348" s="6"/>
      <c r="J348" s="6" t="s">
        <v>4412</v>
      </c>
      <c r="K348" s="8" t="s">
        <v>3082</v>
      </c>
      <c r="L348" s="9"/>
    </row>
    <row r="349" ht="16.5" spans="1:12">
      <c r="A349" s="4" t="s">
        <v>3180</v>
      </c>
      <c r="B349" s="4"/>
      <c r="C349" s="5">
        <v>4506457</v>
      </c>
      <c r="D349" s="4" t="s">
        <v>1423</v>
      </c>
      <c r="E349" s="4" t="s">
        <v>637</v>
      </c>
      <c r="F349" s="4" t="s">
        <v>644</v>
      </c>
      <c r="G349" s="4" t="s">
        <v>3204</v>
      </c>
      <c r="H349" s="6"/>
      <c r="I349" s="6"/>
      <c r="J349" s="6" t="s">
        <v>4502</v>
      </c>
      <c r="K349" s="8" t="s">
        <v>4503</v>
      </c>
      <c r="L349" s="9"/>
    </row>
    <row r="350" ht="16.5" spans="1:12">
      <c r="A350" s="4" t="s">
        <v>3180</v>
      </c>
      <c r="B350" s="4"/>
      <c r="C350" s="5">
        <v>1501040</v>
      </c>
      <c r="D350" s="4" t="s">
        <v>940</v>
      </c>
      <c r="E350" s="4" t="s">
        <v>637</v>
      </c>
      <c r="F350" s="4" t="s">
        <v>638</v>
      </c>
      <c r="G350" s="4" t="s">
        <v>3342</v>
      </c>
      <c r="H350" s="6"/>
      <c r="I350" s="6"/>
      <c r="J350" s="6" t="s">
        <v>4419</v>
      </c>
      <c r="K350" s="8" t="s">
        <v>3068</v>
      </c>
      <c r="L350" s="9"/>
    </row>
    <row r="351" ht="16.5" spans="1:12">
      <c r="A351" s="4" t="s">
        <v>3180</v>
      </c>
      <c r="B351" s="4"/>
      <c r="C351" s="5">
        <v>1501224</v>
      </c>
      <c r="D351" s="4" t="s">
        <v>3271</v>
      </c>
      <c r="E351" s="4" t="s">
        <v>637</v>
      </c>
      <c r="F351" s="4" t="s">
        <v>656</v>
      </c>
      <c r="G351" s="4" t="s">
        <v>2445</v>
      </c>
      <c r="H351" s="6"/>
      <c r="I351" s="6"/>
      <c r="J351" s="6" t="s">
        <v>3164</v>
      </c>
      <c r="K351" s="8" t="s">
        <v>4457</v>
      </c>
      <c r="L351" s="9"/>
    </row>
    <row r="352" ht="16.5" spans="1:12">
      <c r="A352" s="4" t="s">
        <v>3180</v>
      </c>
      <c r="B352" s="4"/>
      <c r="C352" s="5">
        <v>1501209</v>
      </c>
      <c r="D352" s="4" t="s">
        <v>3259</v>
      </c>
      <c r="E352" s="4" t="s">
        <v>637</v>
      </c>
      <c r="F352" s="4" t="s">
        <v>638</v>
      </c>
      <c r="G352" s="4" t="s">
        <v>3186</v>
      </c>
      <c r="H352" s="6"/>
      <c r="I352" s="6"/>
      <c r="J352" s="6" t="s">
        <v>4380</v>
      </c>
      <c r="K352" s="8" t="s">
        <v>4381</v>
      </c>
      <c r="L352" s="9"/>
    </row>
    <row r="353" ht="16.5" spans="1:12">
      <c r="A353" s="4" t="s">
        <v>3180</v>
      </c>
      <c r="B353" s="4"/>
      <c r="C353" s="5">
        <v>1501236</v>
      </c>
      <c r="D353" s="4" t="s">
        <v>985</v>
      </c>
      <c r="E353" s="4" t="s">
        <v>637</v>
      </c>
      <c r="F353" s="4" t="s">
        <v>638</v>
      </c>
      <c r="G353" s="4" t="s">
        <v>3186</v>
      </c>
      <c r="H353" s="6"/>
      <c r="I353" s="6"/>
      <c r="J353" s="6" t="s">
        <v>4380</v>
      </c>
      <c r="K353" s="8" t="s">
        <v>4381</v>
      </c>
      <c r="L353" s="9"/>
    </row>
    <row r="354" ht="16.5" spans="1:12">
      <c r="A354" s="4" t="s">
        <v>3180</v>
      </c>
      <c r="B354" s="4"/>
      <c r="C354" s="5">
        <v>1501212</v>
      </c>
      <c r="D354" s="4" t="s">
        <v>3262</v>
      </c>
      <c r="E354" s="4" t="s">
        <v>637</v>
      </c>
      <c r="F354" s="4" t="s">
        <v>638</v>
      </c>
      <c r="G354" s="4" t="s">
        <v>3582</v>
      </c>
      <c r="H354" s="6"/>
      <c r="I354" s="6"/>
      <c r="J354" s="6" t="s">
        <v>4380</v>
      </c>
      <c r="K354" s="8" t="s">
        <v>4381</v>
      </c>
      <c r="L354" s="9"/>
    </row>
    <row r="355" ht="16.5" spans="1:12">
      <c r="A355" s="4" t="s">
        <v>3180</v>
      </c>
      <c r="B355" s="4"/>
      <c r="C355" s="5">
        <v>1501225</v>
      </c>
      <c r="D355" s="4" t="s">
        <v>982</v>
      </c>
      <c r="E355" s="4" t="s">
        <v>637</v>
      </c>
      <c r="F355" s="4" t="s">
        <v>656</v>
      </c>
      <c r="G355" s="4" t="s">
        <v>2445</v>
      </c>
      <c r="H355" s="6"/>
      <c r="I355" s="6"/>
      <c r="J355" s="6" t="s">
        <v>4458</v>
      </c>
      <c r="K355" s="8" t="s">
        <v>2603</v>
      </c>
      <c r="L355" s="9"/>
    </row>
    <row r="356" ht="16.5" spans="1:12">
      <c r="A356" s="4" t="s">
        <v>3180</v>
      </c>
      <c r="B356" s="4"/>
      <c r="C356" s="5">
        <v>1501207</v>
      </c>
      <c r="D356" s="4" t="s">
        <v>978</v>
      </c>
      <c r="E356" s="4" t="s">
        <v>637</v>
      </c>
      <c r="F356" s="4" t="s">
        <v>656</v>
      </c>
      <c r="G356" s="4" t="s">
        <v>2445</v>
      </c>
      <c r="H356" s="6"/>
      <c r="I356" s="6"/>
      <c r="J356" s="6" t="s">
        <v>4443</v>
      </c>
      <c r="K356" s="8" t="s">
        <v>2564</v>
      </c>
      <c r="L356" s="9"/>
    </row>
    <row r="357" ht="16.5" spans="1:12">
      <c r="A357" s="4" t="s">
        <v>3180</v>
      </c>
      <c r="B357" s="4"/>
      <c r="C357" s="5">
        <v>1501262</v>
      </c>
      <c r="D357" s="4" t="s">
        <v>3296</v>
      </c>
      <c r="E357" s="4" t="s">
        <v>637</v>
      </c>
      <c r="F357" s="4" t="s">
        <v>642</v>
      </c>
      <c r="G357" s="4" t="s">
        <v>2437</v>
      </c>
      <c r="H357" s="6"/>
      <c r="I357" s="6"/>
      <c r="J357" s="6" t="s">
        <v>4413</v>
      </c>
      <c r="K357" s="8" t="s">
        <v>3015</v>
      </c>
      <c r="L357" s="9"/>
    </row>
    <row r="358" ht="16.5" spans="1:12">
      <c r="A358" s="4" t="s">
        <v>3180</v>
      </c>
      <c r="B358" s="4"/>
      <c r="C358" s="5">
        <v>1501237</v>
      </c>
      <c r="D358" s="4" t="s">
        <v>3280</v>
      </c>
      <c r="E358" s="4" t="s">
        <v>637</v>
      </c>
      <c r="F358" s="4" t="s">
        <v>656</v>
      </c>
      <c r="G358" s="4" t="s">
        <v>2445</v>
      </c>
      <c r="H358" s="6"/>
      <c r="I358" s="6"/>
      <c r="J358" s="6" t="s">
        <v>4461</v>
      </c>
      <c r="K358" s="8" t="s">
        <v>4462</v>
      </c>
      <c r="L358" s="9"/>
    </row>
    <row r="359" ht="16.5" spans="1:12">
      <c r="A359" s="4" t="s">
        <v>3180</v>
      </c>
      <c r="B359" s="4"/>
      <c r="C359" s="5">
        <v>1501206</v>
      </c>
      <c r="D359" s="4" t="s">
        <v>3257</v>
      </c>
      <c r="E359" s="4" t="s">
        <v>637</v>
      </c>
      <c r="F359" s="4" t="s">
        <v>656</v>
      </c>
      <c r="G359" s="4" t="s">
        <v>2445</v>
      </c>
      <c r="H359" s="6"/>
      <c r="I359" s="6"/>
      <c r="J359" s="6" t="s">
        <v>3160</v>
      </c>
      <c r="K359" s="8" t="s">
        <v>2558</v>
      </c>
      <c r="L359" s="9"/>
    </row>
    <row r="360" ht="16.5" spans="1:12">
      <c r="A360" s="4" t="s">
        <v>3180</v>
      </c>
      <c r="B360" s="4"/>
      <c r="C360" s="5">
        <v>1501255</v>
      </c>
      <c r="D360" s="4" t="s">
        <v>989</v>
      </c>
      <c r="E360" s="4" t="s">
        <v>637</v>
      </c>
      <c r="F360" s="4" t="s">
        <v>642</v>
      </c>
      <c r="G360" s="4" t="s">
        <v>2437</v>
      </c>
      <c r="H360" s="6"/>
      <c r="I360" s="6"/>
      <c r="J360" s="6" t="s">
        <v>4390</v>
      </c>
      <c r="K360" s="8" t="s">
        <v>4391</v>
      </c>
      <c r="L360" s="9"/>
    </row>
    <row r="361" ht="16.5" spans="1:12">
      <c r="A361" s="4" t="s">
        <v>3180</v>
      </c>
      <c r="B361" s="4"/>
      <c r="C361" s="5">
        <v>1501217</v>
      </c>
      <c r="D361" s="4" t="s">
        <v>3266</v>
      </c>
      <c r="E361" s="4" t="s">
        <v>637</v>
      </c>
      <c r="F361" s="4" t="s">
        <v>656</v>
      </c>
      <c r="G361" s="4" t="s">
        <v>2445</v>
      </c>
      <c r="H361" s="6"/>
      <c r="I361" s="6"/>
      <c r="J361" s="6" t="s">
        <v>4435</v>
      </c>
      <c r="K361" s="8" t="s">
        <v>2554</v>
      </c>
      <c r="L361" s="9"/>
    </row>
    <row r="362" ht="16.5" spans="1:12">
      <c r="A362" s="4" t="s">
        <v>3180</v>
      </c>
      <c r="B362" s="4"/>
      <c r="C362" s="5">
        <v>1501203</v>
      </c>
      <c r="D362" s="4" t="s">
        <v>3254</v>
      </c>
      <c r="E362" s="4" t="s">
        <v>637</v>
      </c>
      <c r="F362" s="4" t="s">
        <v>656</v>
      </c>
      <c r="G362" s="4" t="s">
        <v>2445</v>
      </c>
      <c r="H362" s="6"/>
      <c r="I362" s="6"/>
      <c r="J362" s="6" t="s">
        <v>4451</v>
      </c>
      <c r="K362" s="8" t="s">
        <v>2483</v>
      </c>
      <c r="L362" s="9"/>
    </row>
    <row r="363" ht="16.5" spans="1:12">
      <c r="A363" s="4" t="s">
        <v>3180</v>
      </c>
      <c r="B363" s="4"/>
      <c r="C363" s="5">
        <v>1501228</v>
      </c>
      <c r="D363" s="4" t="s">
        <v>3273</v>
      </c>
      <c r="E363" s="4" t="s">
        <v>637</v>
      </c>
      <c r="F363" s="4" t="s">
        <v>638</v>
      </c>
      <c r="G363" s="4" t="s">
        <v>3186</v>
      </c>
      <c r="H363" s="6"/>
      <c r="I363" s="6"/>
      <c r="J363" s="6" t="s">
        <v>4380</v>
      </c>
      <c r="K363" s="8" t="s">
        <v>4381</v>
      </c>
      <c r="L363" s="9"/>
    </row>
    <row r="364" ht="16.5" spans="1:12">
      <c r="A364" s="4" t="s">
        <v>3180</v>
      </c>
      <c r="B364" s="4"/>
      <c r="C364" s="5">
        <v>4504962</v>
      </c>
      <c r="D364" s="4" t="s">
        <v>3583</v>
      </c>
      <c r="E364" s="4" t="s">
        <v>637</v>
      </c>
      <c r="F364" s="4" t="s">
        <v>656</v>
      </c>
      <c r="G364" s="4" t="s">
        <v>2445</v>
      </c>
      <c r="H364" s="6"/>
      <c r="I364" s="6"/>
      <c r="J364" s="6" t="s">
        <v>4435</v>
      </c>
      <c r="K364" s="8" t="s">
        <v>2554</v>
      </c>
      <c r="L364" s="9"/>
    </row>
    <row r="365" ht="16.5" spans="1:12">
      <c r="A365" s="4" t="s">
        <v>3180</v>
      </c>
      <c r="B365" s="4"/>
      <c r="C365" s="5">
        <v>1000106</v>
      </c>
      <c r="D365" s="4" t="s">
        <v>3188</v>
      </c>
      <c r="E365" s="4" t="s">
        <v>637</v>
      </c>
      <c r="F365" s="4" t="s">
        <v>642</v>
      </c>
      <c r="G365" s="4" t="s">
        <v>2437</v>
      </c>
      <c r="H365" s="6"/>
      <c r="I365" s="6"/>
      <c r="J365" s="6" t="s">
        <v>4504</v>
      </c>
      <c r="K365" s="8" t="s">
        <v>4505</v>
      </c>
      <c r="L365" s="9"/>
    </row>
    <row r="366" ht="16.5" spans="1:12">
      <c r="A366" s="4" t="s">
        <v>3180</v>
      </c>
      <c r="B366" s="4"/>
      <c r="C366" s="5">
        <v>1501194</v>
      </c>
      <c r="D366" s="4" t="s">
        <v>3244</v>
      </c>
      <c r="E366" s="4" t="s">
        <v>637</v>
      </c>
      <c r="F366" s="4" t="s">
        <v>638</v>
      </c>
      <c r="G366" s="4" t="s">
        <v>3342</v>
      </c>
      <c r="H366" s="6"/>
      <c r="I366" s="6"/>
      <c r="J366" s="6" t="s">
        <v>4420</v>
      </c>
      <c r="K366" s="8" t="s">
        <v>3066</v>
      </c>
      <c r="L366" s="9"/>
    </row>
    <row r="367" ht="16.5" spans="1:12">
      <c r="A367" s="4" t="s">
        <v>3180</v>
      </c>
      <c r="B367" s="4"/>
      <c r="C367" s="5">
        <v>1501223</v>
      </c>
      <c r="D367" s="4" t="s">
        <v>981</v>
      </c>
      <c r="E367" s="4" t="s">
        <v>637</v>
      </c>
      <c r="F367" s="4" t="s">
        <v>656</v>
      </c>
      <c r="G367" s="4" t="s">
        <v>2445</v>
      </c>
      <c r="H367" s="6"/>
      <c r="I367" s="6"/>
      <c r="J367" s="6" t="s">
        <v>4456</v>
      </c>
      <c r="K367" s="8" t="s">
        <v>2533</v>
      </c>
      <c r="L367" s="9"/>
    </row>
    <row r="368" ht="16.5" spans="1:12">
      <c r="A368" s="4" t="s">
        <v>3180</v>
      </c>
      <c r="B368" s="4"/>
      <c r="C368" s="5">
        <v>1501197</v>
      </c>
      <c r="D368" s="4" t="s">
        <v>3248</v>
      </c>
      <c r="E368" s="4" t="s">
        <v>637</v>
      </c>
      <c r="F368" s="4" t="s">
        <v>656</v>
      </c>
      <c r="G368" s="4" t="s">
        <v>2445</v>
      </c>
      <c r="H368" s="6"/>
      <c r="I368" s="6"/>
      <c r="J368" s="6" t="s">
        <v>4456</v>
      </c>
      <c r="K368" s="8" t="s">
        <v>2533</v>
      </c>
      <c r="L368" s="9"/>
    </row>
    <row r="369" ht="16.5" spans="1:12">
      <c r="A369" s="4" t="s">
        <v>3180</v>
      </c>
      <c r="B369" s="4"/>
      <c r="C369" s="5">
        <v>4503166</v>
      </c>
      <c r="D369" s="4" t="s">
        <v>3571</v>
      </c>
      <c r="E369" s="4" t="s">
        <v>637</v>
      </c>
      <c r="F369" s="4" t="s">
        <v>656</v>
      </c>
      <c r="G369" s="4" t="s">
        <v>2445</v>
      </c>
      <c r="H369" s="6"/>
      <c r="I369" s="6"/>
      <c r="J369" s="6" t="s">
        <v>4456</v>
      </c>
      <c r="K369" s="8" t="s">
        <v>2533</v>
      </c>
      <c r="L369" s="9"/>
    </row>
    <row r="370" ht="16.5" spans="1:12">
      <c r="A370" s="4" t="s">
        <v>3180</v>
      </c>
      <c r="B370" s="4"/>
      <c r="C370" s="5">
        <v>4000455</v>
      </c>
      <c r="D370" s="4" t="s">
        <v>3387</v>
      </c>
      <c r="E370" s="4" t="s">
        <v>637</v>
      </c>
      <c r="F370" s="4" t="s">
        <v>642</v>
      </c>
      <c r="G370" s="4" t="s">
        <v>2437</v>
      </c>
      <c r="H370" s="6"/>
      <c r="I370" s="6"/>
      <c r="J370" s="6" t="s">
        <v>4399</v>
      </c>
      <c r="K370" s="8" t="s">
        <v>4400</v>
      </c>
      <c r="L370" s="9"/>
    </row>
    <row r="371" ht="16.5" spans="1:12">
      <c r="A371" s="4" t="s">
        <v>3180</v>
      </c>
      <c r="B371" s="4"/>
      <c r="C371" s="5">
        <v>1501254</v>
      </c>
      <c r="D371" s="4" t="s">
        <v>3292</v>
      </c>
      <c r="E371" s="4" t="s">
        <v>637</v>
      </c>
      <c r="F371" s="4" t="s">
        <v>642</v>
      </c>
      <c r="G371" s="4" t="s">
        <v>2437</v>
      </c>
      <c r="H371" s="6"/>
      <c r="I371" s="6"/>
      <c r="J371" s="6" t="s">
        <v>4380</v>
      </c>
      <c r="K371" s="8" t="s">
        <v>4381</v>
      </c>
      <c r="L371" s="9"/>
    </row>
    <row r="372" ht="16.5" spans="1:12">
      <c r="A372" s="4" t="s">
        <v>3180</v>
      </c>
      <c r="B372" s="4"/>
      <c r="C372" s="5">
        <v>1501253</v>
      </c>
      <c r="D372" s="4" t="s">
        <v>385</v>
      </c>
      <c r="E372" s="4" t="s">
        <v>637</v>
      </c>
      <c r="F372" s="4" t="s">
        <v>642</v>
      </c>
      <c r="G372" s="4" t="s">
        <v>2437</v>
      </c>
      <c r="H372" s="6"/>
      <c r="I372" s="6"/>
      <c r="J372" s="6" t="s">
        <v>4489</v>
      </c>
      <c r="K372" s="8" t="s">
        <v>3036</v>
      </c>
      <c r="L372" s="9"/>
    </row>
    <row r="373" ht="16.5" spans="1:12">
      <c r="A373" s="4" t="s">
        <v>3180</v>
      </c>
      <c r="B373" s="4"/>
      <c r="C373" s="5">
        <v>1501252</v>
      </c>
      <c r="D373" s="4" t="s">
        <v>3291</v>
      </c>
      <c r="E373" s="4" t="s">
        <v>637</v>
      </c>
      <c r="F373" s="4" t="s">
        <v>644</v>
      </c>
      <c r="G373" s="4" t="s">
        <v>3204</v>
      </c>
      <c r="H373" s="6"/>
      <c r="I373" s="6"/>
      <c r="J373" s="6" t="s">
        <v>2337</v>
      </c>
      <c r="K373" s="8" t="s">
        <v>2338</v>
      </c>
      <c r="L373" s="9"/>
    </row>
    <row r="374" ht="16.5" spans="1:12">
      <c r="A374" s="4" t="s">
        <v>3180</v>
      </c>
      <c r="B374" s="4"/>
      <c r="C374" s="5">
        <v>1501202</v>
      </c>
      <c r="D374" s="4" t="s">
        <v>3253</v>
      </c>
      <c r="E374" s="4" t="s">
        <v>637</v>
      </c>
      <c r="F374" s="4" t="s">
        <v>656</v>
      </c>
      <c r="G374" s="4" t="s">
        <v>2445</v>
      </c>
      <c r="H374" s="6"/>
      <c r="I374" s="6"/>
      <c r="J374" s="6" t="s">
        <v>4434</v>
      </c>
      <c r="K374" s="8" t="s">
        <v>2548</v>
      </c>
      <c r="L374" s="9"/>
    </row>
    <row r="375" ht="16.5" spans="1:12">
      <c r="A375" s="4" t="s">
        <v>3180</v>
      </c>
      <c r="B375" s="4"/>
      <c r="C375" s="5">
        <v>1501201</v>
      </c>
      <c r="D375" s="4" t="s">
        <v>3252</v>
      </c>
      <c r="E375" s="4" t="s">
        <v>637</v>
      </c>
      <c r="F375" s="4" t="s">
        <v>656</v>
      </c>
      <c r="G375" s="4" t="s">
        <v>2445</v>
      </c>
      <c r="H375" s="6"/>
      <c r="I375" s="6"/>
      <c r="J375" s="6" t="s">
        <v>4434</v>
      </c>
      <c r="K375" s="8" t="s">
        <v>2548</v>
      </c>
      <c r="L375" s="9"/>
    </row>
    <row r="376" ht="16.5" spans="1:12">
      <c r="A376" s="4" t="s">
        <v>3180</v>
      </c>
      <c r="B376" s="4"/>
      <c r="C376" s="5">
        <v>1501205</v>
      </c>
      <c r="D376" s="4" t="s">
        <v>3256</v>
      </c>
      <c r="E376" s="4" t="s">
        <v>637</v>
      </c>
      <c r="F376" s="4" t="s">
        <v>656</v>
      </c>
      <c r="G376" s="4" t="s">
        <v>2445</v>
      </c>
      <c r="H376" s="6"/>
      <c r="I376" s="6"/>
      <c r="J376" s="6" t="s">
        <v>4443</v>
      </c>
      <c r="K376" s="8" t="s">
        <v>2564</v>
      </c>
      <c r="L376" s="9"/>
    </row>
    <row r="377" ht="16.5" spans="1:12">
      <c r="A377" s="4" t="s">
        <v>3180</v>
      </c>
      <c r="B377" s="4"/>
      <c r="C377" s="5">
        <v>1501204</v>
      </c>
      <c r="D377" s="4" t="s">
        <v>3255</v>
      </c>
      <c r="E377" s="4" t="s">
        <v>637</v>
      </c>
      <c r="F377" s="4" t="s">
        <v>656</v>
      </c>
      <c r="G377" s="4" t="s">
        <v>2445</v>
      </c>
      <c r="H377" s="6"/>
      <c r="I377" s="6"/>
      <c r="J377" s="6" t="s">
        <v>4443</v>
      </c>
      <c r="K377" s="8" t="s">
        <v>2564</v>
      </c>
      <c r="L377" s="9"/>
    </row>
    <row r="378" ht="16.5" spans="1:12">
      <c r="A378" s="4" t="s">
        <v>3180</v>
      </c>
      <c r="B378" s="4"/>
      <c r="C378" s="5">
        <v>4501123</v>
      </c>
      <c r="D378" s="4" t="s">
        <v>3559</v>
      </c>
      <c r="E378" s="4" t="s">
        <v>637</v>
      </c>
      <c r="F378" s="4" t="s">
        <v>642</v>
      </c>
      <c r="G378" s="4" t="s">
        <v>2437</v>
      </c>
      <c r="H378" s="6"/>
      <c r="I378" s="6"/>
      <c r="J378" s="6" t="s">
        <v>4477</v>
      </c>
      <c r="K378" s="8" t="s">
        <v>2485</v>
      </c>
      <c r="L378" s="9"/>
    </row>
    <row r="379" ht="16.5" spans="1:12">
      <c r="A379" s="4" t="s">
        <v>3180</v>
      </c>
      <c r="B379" s="4"/>
      <c r="C379" s="5">
        <v>1501238</v>
      </c>
      <c r="D379" s="4" t="s">
        <v>3281</v>
      </c>
      <c r="E379" s="4" t="s">
        <v>637</v>
      </c>
      <c r="F379" s="4" t="s">
        <v>638</v>
      </c>
      <c r="G379" s="4" t="s">
        <v>3186</v>
      </c>
      <c r="H379" s="6"/>
      <c r="I379" s="6"/>
      <c r="J379" s="6" t="s">
        <v>4380</v>
      </c>
      <c r="K379" s="8" t="s">
        <v>4381</v>
      </c>
      <c r="L379" s="9"/>
    </row>
    <row r="380" ht="16.5" spans="1:12">
      <c r="A380" s="4" t="s">
        <v>3180</v>
      </c>
      <c r="B380" s="4"/>
      <c r="C380" s="5">
        <v>1501231</v>
      </c>
      <c r="D380" s="4" t="s">
        <v>3276</v>
      </c>
      <c r="E380" s="4" t="s">
        <v>637</v>
      </c>
      <c r="F380" s="4" t="s">
        <v>638</v>
      </c>
      <c r="G380" s="4" t="s">
        <v>3342</v>
      </c>
      <c r="H380" s="6"/>
      <c r="I380" s="6"/>
      <c r="J380" s="6" t="s">
        <v>4380</v>
      </c>
      <c r="K380" s="8" t="s">
        <v>4381</v>
      </c>
      <c r="L380" s="9"/>
    </row>
    <row r="381" ht="16.5" spans="1:12">
      <c r="A381" s="4" t="s">
        <v>3180</v>
      </c>
      <c r="B381" s="4"/>
      <c r="C381" s="5">
        <v>4503933</v>
      </c>
      <c r="D381" s="4" t="s">
        <v>3578</v>
      </c>
      <c r="E381" s="4" t="s">
        <v>637</v>
      </c>
      <c r="F381" s="4" t="s">
        <v>638</v>
      </c>
      <c r="G381" s="4" t="s">
        <v>3186</v>
      </c>
      <c r="H381" s="6"/>
      <c r="I381" s="6"/>
      <c r="J381" s="6" t="s">
        <v>4380</v>
      </c>
      <c r="K381" s="8" t="s">
        <v>4381</v>
      </c>
      <c r="L381" s="9"/>
    </row>
    <row r="382" ht="16.5" spans="1:12">
      <c r="A382" s="4" t="s">
        <v>3180</v>
      </c>
      <c r="B382" s="4"/>
      <c r="C382" s="5">
        <v>1501213</v>
      </c>
      <c r="D382" s="4" t="s">
        <v>3263</v>
      </c>
      <c r="E382" s="4" t="s">
        <v>637</v>
      </c>
      <c r="F382" s="4" t="s">
        <v>638</v>
      </c>
      <c r="G382" s="4" t="s">
        <v>3186</v>
      </c>
      <c r="H382" s="6"/>
      <c r="I382" s="6"/>
      <c r="J382" s="6" t="s">
        <v>4380</v>
      </c>
      <c r="K382" s="8" t="s">
        <v>4381</v>
      </c>
      <c r="L382" s="9"/>
    </row>
    <row r="383" ht="16.5" spans="1:12">
      <c r="A383" s="4" t="s">
        <v>3180</v>
      </c>
      <c r="B383" s="4"/>
      <c r="C383" s="5">
        <v>1501196</v>
      </c>
      <c r="D383" s="4" t="s">
        <v>3247</v>
      </c>
      <c r="E383" s="4" t="s">
        <v>637</v>
      </c>
      <c r="F383" s="4" t="s">
        <v>656</v>
      </c>
      <c r="G383" s="4" t="s">
        <v>2445</v>
      </c>
      <c r="H383" s="6"/>
      <c r="I383" s="6"/>
      <c r="J383" s="6" t="s">
        <v>4482</v>
      </c>
      <c r="K383" s="8" t="s">
        <v>4483</v>
      </c>
      <c r="L383" s="9"/>
    </row>
    <row r="384" ht="16.5" spans="1:12">
      <c r="A384" s="4" t="s">
        <v>3180</v>
      </c>
      <c r="B384" s="4"/>
      <c r="C384" s="5">
        <v>1501226</v>
      </c>
      <c r="D384" s="4" t="s">
        <v>3272</v>
      </c>
      <c r="E384" s="4" t="s">
        <v>637</v>
      </c>
      <c r="F384" s="4" t="s">
        <v>638</v>
      </c>
      <c r="G384" s="4" t="s">
        <v>3186</v>
      </c>
      <c r="H384" s="6"/>
      <c r="I384" s="6"/>
      <c r="J384" s="6" t="s">
        <v>4380</v>
      </c>
      <c r="K384" s="8" t="s">
        <v>4381</v>
      </c>
      <c r="L384" s="9"/>
    </row>
    <row r="385" ht="16.5" spans="1:12">
      <c r="A385" s="4" t="s">
        <v>3180</v>
      </c>
      <c r="B385" s="4"/>
      <c r="C385" s="5">
        <v>1501247</v>
      </c>
      <c r="D385" s="4" t="s">
        <v>3288</v>
      </c>
      <c r="E385" s="4" t="s">
        <v>637</v>
      </c>
      <c r="F385" s="4" t="s">
        <v>638</v>
      </c>
      <c r="G385" s="4" t="s">
        <v>3186</v>
      </c>
      <c r="H385" s="6"/>
      <c r="I385" s="6"/>
      <c r="J385" s="6" t="s">
        <v>4380</v>
      </c>
      <c r="K385" s="8" t="s">
        <v>4381</v>
      </c>
      <c r="L385" s="9"/>
    </row>
    <row r="386" ht="16.5" spans="1:12">
      <c r="A386" s="4" t="s">
        <v>3180</v>
      </c>
      <c r="B386" s="4"/>
      <c r="C386" s="5">
        <v>4759016</v>
      </c>
      <c r="D386" s="4" t="s">
        <v>3871</v>
      </c>
      <c r="E386" s="4" t="s">
        <v>637</v>
      </c>
      <c r="F386" s="4" t="s">
        <v>638</v>
      </c>
      <c r="G386" s="4" t="s">
        <v>3342</v>
      </c>
      <c r="H386" s="6"/>
      <c r="I386" s="6"/>
      <c r="J386" s="6" t="s">
        <v>4380</v>
      </c>
      <c r="K386" s="8" t="s">
        <v>4381</v>
      </c>
      <c r="L386" s="9"/>
    </row>
    <row r="387" ht="16.5" spans="1:12">
      <c r="A387" s="4" t="s">
        <v>3180</v>
      </c>
      <c r="B387" s="4"/>
      <c r="C387" s="5">
        <v>1501235</v>
      </c>
      <c r="D387" s="4" t="s">
        <v>984</v>
      </c>
      <c r="E387" s="4" t="s">
        <v>637</v>
      </c>
      <c r="F387" s="4" t="s">
        <v>638</v>
      </c>
      <c r="G387" s="4" t="s">
        <v>3186</v>
      </c>
      <c r="H387" s="6"/>
      <c r="I387" s="6"/>
      <c r="J387" s="6" t="s">
        <v>4380</v>
      </c>
      <c r="K387" s="8" t="s">
        <v>4381</v>
      </c>
      <c r="L387" s="9"/>
    </row>
    <row r="388" ht="16.5" spans="1:12">
      <c r="A388" s="4" t="s">
        <v>3180</v>
      </c>
      <c r="B388" s="4"/>
      <c r="C388" s="5">
        <v>1501221</v>
      </c>
      <c r="D388" s="4" t="s">
        <v>3269</v>
      </c>
      <c r="E388" s="4" t="s">
        <v>637</v>
      </c>
      <c r="F388" s="4" t="s">
        <v>656</v>
      </c>
      <c r="G388" s="4" t="s">
        <v>2445</v>
      </c>
      <c r="H388" s="6"/>
      <c r="I388" s="6"/>
      <c r="J388" s="6" t="s">
        <v>4435</v>
      </c>
      <c r="K388" s="8" t="s">
        <v>2554</v>
      </c>
      <c r="L388" s="9"/>
    </row>
    <row r="389" ht="16.5" spans="1:12">
      <c r="A389" s="4" t="s">
        <v>3180</v>
      </c>
      <c r="B389" s="4"/>
      <c r="C389" s="5">
        <v>1501210</v>
      </c>
      <c r="D389" s="4" t="s">
        <v>3260</v>
      </c>
      <c r="E389" s="4" t="s">
        <v>637</v>
      </c>
      <c r="F389" s="4" t="s">
        <v>638</v>
      </c>
      <c r="G389" s="4" t="s">
        <v>3186</v>
      </c>
      <c r="H389" s="6"/>
      <c r="I389" s="6"/>
      <c r="J389" s="6" t="s">
        <v>4380</v>
      </c>
      <c r="K389" s="8" t="s">
        <v>4381</v>
      </c>
      <c r="L389" s="9"/>
    </row>
    <row r="390" ht="16.5" spans="1:12">
      <c r="A390" s="4" t="s">
        <v>3180</v>
      </c>
      <c r="B390" s="4"/>
      <c r="C390" s="5">
        <v>1501259</v>
      </c>
      <c r="D390" s="4" t="s">
        <v>3294</v>
      </c>
      <c r="E390" s="4" t="s">
        <v>637</v>
      </c>
      <c r="F390" s="4" t="s">
        <v>638</v>
      </c>
      <c r="G390" s="4" t="s">
        <v>3186</v>
      </c>
      <c r="H390" s="6"/>
      <c r="I390" s="6"/>
      <c r="J390" s="6" t="s">
        <v>4380</v>
      </c>
      <c r="K390" s="8" t="s">
        <v>4381</v>
      </c>
      <c r="L390" s="9"/>
    </row>
    <row r="391" ht="16.5" spans="1:12">
      <c r="A391" s="4" t="s">
        <v>3180</v>
      </c>
      <c r="B391" s="4"/>
      <c r="C391" s="5">
        <v>4503466</v>
      </c>
      <c r="D391" s="4" t="s">
        <v>3574</v>
      </c>
      <c r="E391" s="4" t="s">
        <v>637</v>
      </c>
      <c r="F391" s="4" t="s">
        <v>638</v>
      </c>
      <c r="G391" s="4" t="s">
        <v>3186</v>
      </c>
      <c r="H391" s="6"/>
      <c r="I391" s="6"/>
      <c r="J391" s="6" t="s">
        <v>4380</v>
      </c>
      <c r="K391" s="8" t="s">
        <v>4381</v>
      </c>
      <c r="L391" s="9"/>
    </row>
    <row r="392" ht="16.5" spans="1:12">
      <c r="A392" s="4" t="s">
        <v>3180</v>
      </c>
      <c r="B392" s="4"/>
      <c r="C392" s="5">
        <v>4503547</v>
      </c>
      <c r="D392" s="4" t="s">
        <v>3575</v>
      </c>
      <c r="E392" s="4" t="s">
        <v>637</v>
      </c>
      <c r="F392" s="4" t="s">
        <v>638</v>
      </c>
      <c r="G392" s="4" t="s">
        <v>3186</v>
      </c>
      <c r="H392" s="6"/>
      <c r="I392" s="6"/>
      <c r="J392" s="6" t="s">
        <v>4380</v>
      </c>
      <c r="K392" s="8" t="s">
        <v>4381</v>
      </c>
      <c r="L392" s="9"/>
    </row>
    <row r="393" ht="16.5" spans="1:12">
      <c r="A393" s="4" t="s">
        <v>3180</v>
      </c>
      <c r="B393" s="4"/>
      <c r="C393" s="5">
        <v>4502193</v>
      </c>
      <c r="D393" s="4" t="s">
        <v>999</v>
      </c>
      <c r="E393" s="4" t="s">
        <v>637</v>
      </c>
      <c r="F393" s="4" t="s">
        <v>638</v>
      </c>
      <c r="G393" s="4" t="s">
        <v>3186</v>
      </c>
      <c r="H393" s="6"/>
      <c r="I393" s="6"/>
      <c r="J393" s="6" t="s">
        <v>4380</v>
      </c>
      <c r="K393" s="8" t="s">
        <v>4381</v>
      </c>
      <c r="L393" s="9"/>
    </row>
    <row r="394" ht="16.5" spans="1:12">
      <c r="A394" s="4" t="s">
        <v>3180</v>
      </c>
      <c r="B394" s="4"/>
      <c r="C394" s="5">
        <v>1501219</v>
      </c>
      <c r="D394" s="4" t="s">
        <v>3267</v>
      </c>
      <c r="E394" s="4" t="s">
        <v>637</v>
      </c>
      <c r="F394" s="4" t="s">
        <v>638</v>
      </c>
      <c r="G394" s="4" t="s">
        <v>3186</v>
      </c>
      <c r="H394" s="6"/>
      <c r="I394" s="6"/>
      <c r="J394" s="6" t="s">
        <v>4380</v>
      </c>
      <c r="K394" s="8" t="s">
        <v>4381</v>
      </c>
      <c r="L394" s="9"/>
    </row>
    <row r="395" ht="16.5" spans="1:12">
      <c r="A395" s="4" t="s">
        <v>3180</v>
      </c>
      <c r="B395" s="4"/>
      <c r="C395" s="5">
        <v>1501227</v>
      </c>
      <c r="D395" s="4" t="s">
        <v>983</v>
      </c>
      <c r="E395" s="4" t="s">
        <v>637</v>
      </c>
      <c r="F395" s="4" t="s">
        <v>638</v>
      </c>
      <c r="G395" s="4" t="s">
        <v>3186</v>
      </c>
      <c r="H395" s="6"/>
      <c r="I395" s="6"/>
      <c r="J395" s="6" t="s">
        <v>4380</v>
      </c>
      <c r="K395" s="8" t="s">
        <v>4381</v>
      </c>
      <c r="L395" s="9"/>
    </row>
    <row r="396" ht="16.5" spans="1:12">
      <c r="A396" s="4" t="s">
        <v>3180</v>
      </c>
      <c r="B396" s="4"/>
      <c r="C396" s="5">
        <v>1501240</v>
      </c>
      <c r="D396" s="4" t="s">
        <v>3283</v>
      </c>
      <c r="E396" s="4" t="s">
        <v>637</v>
      </c>
      <c r="F396" s="4" t="s">
        <v>642</v>
      </c>
      <c r="G396" s="4" t="s">
        <v>2437</v>
      </c>
      <c r="H396" s="6"/>
      <c r="I396" s="6"/>
      <c r="J396" s="6" t="s">
        <v>4492</v>
      </c>
      <c r="K396" s="8" t="s">
        <v>4493</v>
      </c>
      <c r="L396" s="9"/>
    </row>
    <row r="397" ht="16.5" spans="1:12">
      <c r="A397" s="4" t="s">
        <v>3180</v>
      </c>
      <c r="B397" s="4"/>
      <c r="C397" s="5">
        <v>4718666</v>
      </c>
      <c r="D397" s="4" t="s">
        <v>3858</v>
      </c>
      <c r="E397" s="4" t="s">
        <v>637</v>
      </c>
      <c r="F397" s="4" t="s">
        <v>638</v>
      </c>
      <c r="G397" s="4" t="s">
        <v>3186</v>
      </c>
      <c r="H397" s="6"/>
      <c r="I397" s="6"/>
      <c r="J397" s="6" t="s">
        <v>4380</v>
      </c>
      <c r="K397" s="8" t="s">
        <v>4381</v>
      </c>
      <c r="L397" s="9"/>
    </row>
    <row r="398" ht="16.5" spans="1:12">
      <c r="A398" s="4" t="s">
        <v>3180</v>
      </c>
      <c r="B398" s="4"/>
      <c r="C398" s="5">
        <v>1501230</v>
      </c>
      <c r="D398" s="4" t="s">
        <v>3275</v>
      </c>
      <c r="E398" s="4" t="s">
        <v>637</v>
      </c>
      <c r="F398" s="4" t="s">
        <v>638</v>
      </c>
      <c r="G398" s="4" t="s">
        <v>3186</v>
      </c>
      <c r="H398" s="6"/>
      <c r="I398" s="6"/>
      <c r="J398" s="6" t="s">
        <v>4380</v>
      </c>
      <c r="K398" s="8" t="s">
        <v>4381</v>
      </c>
      <c r="L398" s="9"/>
    </row>
    <row r="399" ht="16.5" spans="1:12">
      <c r="A399" s="4" t="s">
        <v>3180</v>
      </c>
      <c r="B399" s="4"/>
      <c r="C399" s="5">
        <v>1501243</v>
      </c>
      <c r="D399" s="4" t="s">
        <v>986</v>
      </c>
      <c r="E399" s="4" t="s">
        <v>637</v>
      </c>
      <c r="F399" s="4" t="s">
        <v>638</v>
      </c>
      <c r="G399" s="4" t="s">
        <v>3186</v>
      </c>
      <c r="H399" s="6"/>
      <c r="I399" s="6"/>
      <c r="J399" s="6" t="s">
        <v>4380</v>
      </c>
      <c r="K399" s="8" t="s">
        <v>4381</v>
      </c>
      <c r="L399" s="9"/>
    </row>
    <row r="400" ht="16.5" spans="1:12">
      <c r="A400" s="4" t="s">
        <v>3180</v>
      </c>
      <c r="B400" s="4"/>
      <c r="C400" s="5">
        <v>1501220</v>
      </c>
      <c r="D400" s="4" t="s">
        <v>3268</v>
      </c>
      <c r="E400" s="4" t="s">
        <v>637</v>
      </c>
      <c r="F400" s="4" t="s">
        <v>638</v>
      </c>
      <c r="G400" s="4" t="s">
        <v>3186</v>
      </c>
      <c r="H400" s="6"/>
      <c r="I400" s="6"/>
      <c r="J400" s="6" t="s">
        <v>4380</v>
      </c>
      <c r="K400" s="8" t="s">
        <v>4381</v>
      </c>
      <c r="L400" s="9"/>
    </row>
    <row r="401" ht="16.5" spans="1:12">
      <c r="A401" s="4" t="s">
        <v>3180</v>
      </c>
      <c r="B401" s="4"/>
      <c r="C401" s="5">
        <v>1501276</v>
      </c>
      <c r="D401" s="4" t="s">
        <v>994</v>
      </c>
      <c r="E401" s="4" t="s">
        <v>637</v>
      </c>
      <c r="F401" s="4" t="s">
        <v>656</v>
      </c>
      <c r="G401" s="4" t="s">
        <v>2445</v>
      </c>
      <c r="H401" s="6"/>
      <c r="I401" s="6"/>
      <c r="J401" s="6" t="s">
        <v>4506</v>
      </c>
      <c r="K401" s="8" t="s">
        <v>4507</v>
      </c>
      <c r="L401" s="9"/>
    </row>
    <row r="402" ht="16.5" spans="1:12">
      <c r="A402" s="4" t="s">
        <v>3180</v>
      </c>
      <c r="B402" s="4"/>
      <c r="C402" s="5">
        <v>1501065</v>
      </c>
      <c r="D402" s="4" t="s">
        <v>958</v>
      </c>
      <c r="E402" s="4" t="s">
        <v>637</v>
      </c>
      <c r="F402" s="4" t="s">
        <v>638</v>
      </c>
      <c r="G402" s="4" t="s">
        <v>3186</v>
      </c>
      <c r="H402" s="6"/>
      <c r="I402" s="6"/>
      <c r="J402" s="6" t="s">
        <v>4380</v>
      </c>
      <c r="K402" s="8" t="s">
        <v>4381</v>
      </c>
      <c r="L402" s="9"/>
    </row>
    <row r="403" ht="16.5" spans="1:12">
      <c r="A403" s="4" t="s">
        <v>3180</v>
      </c>
      <c r="B403" s="4"/>
      <c r="C403" s="5">
        <v>4506948</v>
      </c>
      <c r="D403" s="4" t="s">
        <v>1429</v>
      </c>
      <c r="E403" s="4" t="s">
        <v>637</v>
      </c>
      <c r="F403" s="4" t="s">
        <v>638</v>
      </c>
      <c r="G403" s="4" t="s">
        <v>2627</v>
      </c>
      <c r="H403" s="6"/>
      <c r="I403" s="6"/>
      <c r="J403" s="6" t="s">
        <v>2402</v>
      </c>
      <c r="K403" s="8" t="s">
        <v>2403</v>
      </c>
      <c r="L403" s="9"/>
    </row>
    <row r="404" ht="16.5" spans="1:12">
      <c r="A404" s="4" t="s">
        <v>3180</v>
      </c>
      <c r="B404" s="4"/>
      <c r="C404" s="5">
        <v>1000529</v>
      </c>
      <c r="D404" s="4" t="s">
        <v>3189</v>
      </c>
      <c r="E404" s="4" t="s">
        <v>637</v>
      </c>
      <c r="F404" s="4" t="s">
        <v>642</v>
      </c>
      <c r="G404" s="4" t="s">
        <v>2437</v>
      </c>
      <c r="H404" s="6"/>
      <c r="I404" s="6"/>
      <c r="J404" s="6" t="s">
        <v>4484</v>
      </c>
      <c r="K404" s="8" t="s">
        <v>3069</v>
      </c>
      <c r="L404" s="9"/>
    </row>
    <row r="405" ht="16.5" spans="1:12">
      <c r="A405" s="4" t="s">
        <v>3180</v>
      </c>
      <c r="B405" s="4"/>
      <c r="C405" s="5">
        <v>1501275</v>
      </c>
      <c r="D405" s="4" t="s">
        <v>510</v>
      </c>
      <c r="E405" s="4" t="s">
        <v>637</v>
      </c>
      <c r="F405" s="4" t="s">
        <v>642</v>
      </c>
      <c r="G405" s="4" t="s">
        <v>2437</v>
      </c>
      <c r="H405" s="6"/>
      <c r="I405" s="6"/>
      <c r="J405" s="6" t="s">
        <v>4384</v>
      </c>
      <c r="K405" s="8" t="s">
        <v>3027</v>
      </c>
      <c r="L405" s="9"/>
    </row>
    <row r="406" ht="16.5" spans="1:12">
      <c r="A406" s="4" t="s">
        <v>3180</v>
      </c>
      <c r="B406" s="4"/>
      <c r="C406" s="5">
        <v>4700605</v>
      </c>
      <c r="D406" s="4" t="s">
        <v>1771</v>
      </c>
      <c r="E406" s="4" t="s">
        <v>637</v>
      </c>
      <c r="F406" s="4" t="s">
        <v>638</v>
      </c>
      <c r="G406" s="4" t="s">
        <v>3186</v>
      </c>
      <c r="H406" s="6"/>
      <c r="I406" s="6"/>
      <c r="J406" s="6" t="s">
        <v>4380</v>
      </c>
      <c r="K406" s="8" t="s">
        <v>4381</v>
      </c>
      <c r="L406" s="9"/>
    </row>
    <row r="407" ht="16.5" spans="1:12">
      <c r="A407" s="4" t="s">
        <v>3180</v>
      </c>
      <c r="B407" s="4"/>
      <c r="C407" s="5">
        <v>1500916</v>
      </c>
      <c r="D407" s="4" t="s">
        <v>883</v>
      </c>
      <c r="E407" s="4" t="s">
        <v>637</v>
      </c>
      <c r="F407" s="4" t="s">
        <v>646</v>
      </c>
      <c r="G407" s="4" t="s">
        <v>2627</v>
      </c>
      <c r="H407" s="6"/>
      <c r="I407" s="6"/>
      <c r="J407" s="6" t="s">
        <v>2382</v>
      </c>
      <c r="K407" s="8" t="s">
        <v>4508</v>
      </c>
      <c r="L407" s="9"/>
    </row>
    <row r="408" ht="16.5" spans="1:12">
      <c r="A408" s="4" t="s">
        <v>3180</v>
      </c>
      <c r="B408" s="4"/>
      <c r="C408" s="5">
        <v>4507213</v>
      </c>
      <c r="D408" s="4" t="s">
        <v>1435</v>
      </c>
      <c r="E408" s="4" t="s">
        <v>637</v>
      </c>
      <c r="F408" s="4" t="s">
        <v>646</v>
      </c>
      <c r="G408" s="4" t="s">
        <v>2627</v>
      </c>
      <c r="H408" s="6"/>
      <c r="I408" s="6"/>
      <c r="J408" s="6" t="s">
        <v>2422</v>
      </c>
      <c r="K408" s="8" t="s">
        <v>2423</v>
      </c>
      <c r="L408" s="9"/>
    </row>
    <row r="409" ht="16.5" spans="1:12">
      <c r="A409" s="4" t="s">
        <v>3180</v>
      </c>
      <c r="B409" s="4"/>
      <c r="C409" s="5">
        <v>4507214</v>
      </c>
      <c r="D409" s="4" t="s">
        <v>1436</v>
      </c>
      <c r="E409" s="4" t="s">
        <v>637</v>
      </c>
      <c r="F409" s="4" t="s">
        <v>646</v>
      </c>
      <c r="G409" s="4" t="s">
        <v>2627</v>
      </c>
      <c r="H409" s="6"/>
      <c r="I409" s="6"/>
      <c r="J409" s="6" t="s">
        <v>2422</v>
      </c>
      <c r="K409" s="8" t="s">
        <v>2423</v>
      </c>
      <c r="L409" s="9"/>
    </row>
    <row r="410" ht="16.5" spans="1:12">
      <c r="A410" s="4" t="s">
        <v>3180</v>
      </c>
      <c r="B410" s="4"/>
      <c r="C410" s="5">
        <v>4001969</v>
      </c>
      <c r="D410" s="4" t="s">
        <v>469</v>
      </c>
      <c r="E410" s="4" t="s">
        <v>637</v>
      </c>
      <c r="F410" s="4" t="s">
        <v>638</v>
      </c>
      <c r="G410" s="4" t="s">
        <v>3186</v>
      </c>
      <c r="H410" s="6"/>
      <c r="I410" s="6"/>
      <c r="J410" s="6" t="s">
        <v>4380</v>
      </c>
      <c r="K410" s="8" t="s">
        <v>4381</v>
      </c>
      <c r="L410" s="9"/>
    </row>
    <row r="411" ht="16.5" spans="1:12">
      <c r="A411" s="4" t="s">
        <v>3180</v>
      </c>
      <c r="B411" s="4"/>
      <c r="C411" s="5">
        <v>1501280</v>
      </c>
      <c r="D411" s="4" t="s">
        <v>996</v>
      </c>
      <c r="E411" s="4" t="s">
        <v>637</v>
      </c>
      <c r="F411" s="4" t="s">
        <v>638</v>
      </c>
      <c r="G411" s="4" t="s">
        <v>3186</v>
      </c>
      <c r="H411" s="6"/>
      <c r="I411" s="6"/>
      <c r="J411" s="6" t="s">
        <v>4380</v>
      </c>
      <c r="K411" s="8" t="s">
        <v>4381</v>
      </c>
      <c r="L411" s="9"/>
    </row>
    <row r="412" ht="16.5" spans="1:12">
      <c r="A412" s="4" t="s">
        <v>3180</v>
      </c>
      <c r="B412" s="4"/>
      <c r="C412" s="5">
        <v>1501281</v>
      </c>
      <c r="D412" s="4" t="s">
        <v>997</v>
      </c>
      <c r="E412" s="4" t="s">
        <v>637</v>
      </c>
      <c r="F412" s="4" t="s">
        <v>642</v>
      </c>
      <c r="G412" s="4" t="s">
        <v>2437</v>
      </c>
      <c r="H412" s="6"/>
      <c r="I412" s="6"/>
      <c r="J412" s="6" t="s">
        <v>4405</v>
      </c>
      <c r="K412" s="8" t="s">
        <v>3044</v>
      </c>
      <c r="L412" s="9"/>
    </row>
    <row r="413" ht="16.5" spans="1:12">
      <c r="A413" s="4" t="s">
        <v>3180</v>
      </c>
      <c r="B413" s="4"/>
      <c r="C413" s="5">
        <v>4507216</v>
      </c>
      <c r="D413" s="4" t="s">
        <v>554</v>
      </c>
      <c r="E413" s="4" t="s">
        <v>637</v>
      </c>
      <c r="F413" s="4" t="s">
        <v>646</v>
      </c>
      <c r="G413" s="4" t="s">
        <v>2627</v>
      </c>
      <c r="H413" s="6"/>
      <c r="I413" s="6"/>
      <c r="J413" s="6" t="s">
        <v>2416</v>
      </c>
      <c r="K413" s="8" t="s">
        <v>2417</v>
      </c>
      <c r="L413" s="9"/>
    </row>
    <row r="414" ht="16.5" spans="1:12">
      <c r="A414" s="4" t="s">
        <v>3180</v>
      </c>
      <c r="B414" s="4"/>
      <c r="C414" s="5">
        <v>1501283</v>
      </c>
      <c r="D414" s="4" t="s">
        <v>998</v>
      </c>
      <c r="E414" s="4" t="s">
        <v>637</v>
      </c>
      <c r="F414" s="4" t="s">
        <v>642</v>
      </c>
      <c r="G414" s="4" t="s">
        <v>2437</v>
      </c>
      <c r="H414" s="6"/>
      <c r="I414" s="6"/>
      <c r="J414" s="6" t="s">
        <v>4509</v>
      </c>
      <c r="K414" s="8" t="s">
        <v>4510</v>
      </c>
      <c r="L414" s="9"/>
    </row>
    <row r="415" ht="16.5" spans="1:12">
      <c r="A415" s="4" t="s">
        <v>3180</v>
      </c>
      <c r="B415" s="4"/>
      <c r="C415" s="5">
        <v>1501055</v>
      </c>
      <c r="D415" s="4" t="s">
        <v>589</v>
      </c>
      <c r="E415" s="4" t="s">
        <v>637</v>
      </c>
      <c r="F415" s="4" t="s">
        <v>638</v>
      </c>
      <c r="G415" s="4" t="s">
        <v>3342</v>
      </c>
      <c r="H415" s="6"/>
      <c r="I415" s="6"/>
      <c r="J415" s="6" t="s">
        <v>4511</v>
      </c>
      <c r="K415" s="8" t="s">
        <v>2552</v>
      </c>
      <c r="L415" s="9"/>
    </row>
    <row r="416" ht="16.5" spans="1:12">
      <c r="A416" s="4" t="s">
        <v>3180</v>
      </c>
      <c r="B416" s="4"/>
      <c r="C416" s="5">
        <v>1501270</v>
      </c>
      <c r="D416" s="4" t="s">
        <v>991</v>
      </c>
      <c r="E416" s="4" t="s">
        <v>637</v>
      </c>
      <c r="F416" s="4" t="s">
        <v>638</v>
      </c>
      <c r="G416" s="4" t="s">
        <v>3342</v>
      </c>
      <c r="H416" s="6"/>
      <c r="I416" s="6"/>
      <c r="J416" s="6" t="s">
        <v>4484</v>
      </c>
      <c r="K416" s="8" t="s">
        <v>3069</v>
      </c>
      <c r="L416" s="9"/>
    </row>
    <row r="417" ht="16.5" spans="1:12">
      <c r="A417" s="4" t="s">
        <v>3180</v>
      </c>
      <c r="B417" s="4"/>
      <c r="C417" s="5">
        <v>1501199</v>
      </c>
      <c r="D417" s="4" t="s">
        <v>3250</v>
      </c>
      <c r="E417" s="4" t="s">
        <v>637</v>
      </c>
      <c r="F417" s="4" t="s">
        <v>656</v>
      </c>
      <c r="G417" s="4" t="s">
        <v>2445</v>
      </c>
      <c r="H417" s="6"/>
      <c r="I417" s="6"/>
      <c r="J417" s="6" t="s">
        <v>4427</v>
      </c>
      <c r="K417" s="8" t="s">
        <v>4428</v>
      </c>
      <c r="L417" s="9"/>
    </row>
    <row r="418" ht="16.5" spans="1:12">
      <c r="A418" s="4" t="s">
        <v>3180</v>
      </c>
      <c r="B418" s="4"/>
      <c r="C418" s="5">
        <v>1501200</v>
      </c>
      <c r="D418" s="4" t="s">
        <v>3251</v>
      </c>
      <c r="E418" s="4" t="s">
        <v>637</v>
      </c>
      <c r="F418" s="4" t="s">
        <v>646</v>
      </c>
      <c r="G418" s="4" t="s">
        <v>2627</v>
      </c>
      <c r="H418" s="6"/>
      <c r="I418" s="6"/>
      <c r="J418" s="6" t="s">
        <v>2355</v>
      </c>
      <c r="K418" s="8" t="s">
        <v>4433</v>
      </c>
      <c r="L418" s="9"/>
    </row>
    <row r="419" ht="16.5" spans="1:12">
      <c r="A419" s="4" t="s">
        <v>3180</v>
      </c>
      <c r="B419" s="4"/>
      <c r="C419" s="5">
        <v>1501249</v>
      </c>
      <c r="D419" s="4" t="s">
        <v>3249</v>
      </c>
      <c r="E419" s="4" t="s">
        <v>637</v>
      </c>
      <c r="F419" s="4" t="s">
        <v>656</v>
      </c>
      <c r="G419" s="4" t="s">
        <v>2445</v>
      </c>
      <c r="H419" s="6"/>
      <c r="I419" s="6"/>
      <c r="J419" s="6" t="s">
        <v>4456</v>
      </c>
      <c r="K419" s="8" t="s">
        <v>2533</v>
      </c>
      <c r="L419" s="9"/>
    </row>
    <row r="420" ht="16.5" spans="1:12">
      <c r="A420" s="4" t="s">
        <v>3180</v>
      </c>
      <c r="B420" s="4"/>
      <c r="C420" s="5">
        <v>1501258</v>
      </c>
      <c r="D420" s="4" t="s">
        <v>3293</v>
      </c>
      <c r="E420" s="4" t="s">
        <v>637</v>
      </c>
      <c r="F420" s="4" t="s">
        <v>638</v>
      </c>
      <c r="G420" s="4" t="s">
        <v>3186</v>
      </c>
      <c r="H420" s="6"/>
      <c r="I420" s="6"/>
      <c r="J420" s="6" t="s">
        <v>4380</v>
      </c>
      <c r="K420" s="8" t="s">
        <v>4381</v>
      </c>
      <c r="L420" s="9"/>
    </row>
    <row r="421" ht="16.5" spans="1:12">
      <c r="A421" s="4" t="s">
        <v>3180</v>
      </c>
      <c r="B421" s="4"/>
      <c r="C421" s="5">
        <v>1501241</v>
      </c>
      <c r="D421" s="4" t="s">
        <v>3284</v>
      </c>
      <c r="E421" s="4" t="s">
        <v>637</v>
      </c>
      <c r="F421" s="4" t="s">
        <v>638</v>
      </c>
      <c r="G421" s="4" t="s">
        <v>3186</v>
      </c>
      <c r="H421" s="6"/>
      <c r="I421" s="6"/>
      <c r="J421" s="6" t="s">
        <v>4380</v>
      </c>
      <c r="K421" s="8" t="s">
        <v>4381</v>
      </c>
      <c r="L421" s="9"/>
    </row>
    <row r="422" ht="16.5" spans="1:12">
      <c r="A422" s="4" t="s">
        <v>3180</v>
      </c>
      <c r="B422" s="4"/>
      <c r="C422" s="5">
        <v>4507030</v>
      </c>
      <c r="D422" s="4" t="s">
        <v>1432</v>
      </c>
      <c r="E422" s="4" t="s">
        <v>637</v>
      </c>
      <c r="F422" s="4" t="s">
        <v>646</v>
      </c>
      <c r="G422" s="4" t="s">
        <v>2627</v>
      </c>
      <c r="H422" s="6"/>
      <c r="I422" s="6"/>
      <c r="J422" s="6" t="s">
        <v>2418</v>
      </c>
      <c r="K422" s="8" t="s">
        <v>2419</v>
      </c>
      <c r="L422" s="9"/>
    </row>
    <row r="423" ht="16.5" spans="1:12">
      <c r="A423" s="4" t="s">
        <v>3180</v>
      </c>
      <c r="B423" s="4"/>
      <c r="C423" s="5">
        <v>4507379</v>
      </c>
      <c r="D423" s="4" t="s">
        <v>1440</v>
      </c>
      <c r="E423" s="4" t="s">
        <v>637</v>
      </c>
      <c r="F423" s="4" t="s">
        <v>638</v>
      </c>
      <c r="G423" s="4" t="s">
        <v>3342</v>
      </c>
      <c r="H423" s="6"/>
      <c r="I423" s="6"/>
      <c r="J423" s="6" t="s">
        <v>4512</v>
      </c>
      <c r="K423" s="8" t="s">
        <v>4513</v>
      </c>
      <c r="L423" s="9"/>
    </row>
    <row r="424" ht="16.5" spans="1:12">
      <c r="A424" s="4" t="s">
        <v>3180</v>
      </c>
      <c r="B424" s="4"/>
      <c r="C424" s="5">
        <v>4507380</v>
      </c>
      <c r="D424" s="4" t="s">
        <v>1441</v>
      </c>
      <c r="E424" s="4" t="s">
        <v>637</v>
      </c>
      <c r="F424" s="4" t="s">
        <v>638</v>
      </c>
      <c r="G424" s="4" t="s">
        <v>3342</v>
      </c>
      <c r="H424" s="6"/>
      <c r="I424" s="6"/>
      <c r="J424" s="6" t="s">
        <v>4514</v>
      </c>
      <c r="K424" s="8" t="s">
        <v>4515</v>
      </c>
      <c r="L424" s="9"/>
    </row>
    <row r="425" ht="16.5" spans="1:12">
      <c r="A425" s="4" t="s">
        <v>3180</v>
      </c>
      <c r="B425" s="4"/>
      <c r="C425" s="5">
        <v>1501271</v>
      </c>
      <c r="D425" s="4" t="s">
        <v>992</v>
      </c>
      <c r="E425" s="4" t="s">
        <v>637</v>
      </c>
      <c r="F425" s="4" t="s">
        <v>656</v>
      </c>
      <c r="G425" s="4" t="s">
        <v>2445</v>
      </c>
      <c r="H425" s="6"/>
      <c r="I425" s="6"/>
      <c r="J425" s="6" t="s">
        <v>4443</v>
      </c>
      <c r="K425" s="8" t="s">
        <v>2564</v>
      </c>
      <c r="L425" s="9"/>
    </row>
    <row r="426" ht="16.5" spans="1:12">
      <c r="A426" s="4" t="s">
        <v>3180</v>
      </c>
      <c r="B426" s="4"/>
      <c r="C426" s="5">
        <v>4507378</v>
      </c>
      <c r="D426" s="4" t="s">
        <v>1439</v>
      </c>
      <c r="E426" s="4" t="s">
        <v>637</v>
      </c>
      <c r="F426" s="4" t="s">
        <v>638</v>
      </c>
      <c r="G426" s="4" t="s">
        <v>3342</v>
      </c>
      <c r="H426" s="6"/>
      <c r="I426" s="6"/>
      <c r="J426" s="6" t="s">
        <v>4516</v>
      </c>
      <c r="K426" s="8" t="s">
        <v>4517</v>
      </c>
      <c r="L426" s="9"/>
    </row>
    <row r="427" ht="16.5" spans="1:12">
      <c r="A427" s="4" t="s">
        <v>3180</v>
      </c>
      <c r="B427" s="4"/>
      <c r="C427" s="5">
        <v>4507215</v>
      </c>
      <c r="D427" s="4" t="s">
        <v>1437</v>
      </c>
      <c r="E427" s="4" t="s">
        <v>637</v>
      </c>
      <c r="F427" s="4" t="s">
        <v>646</v>
      </c>
      <c r="G427" s="4" t="s">
        <v>2627</v>
      </c>
      <c r="H427" s="6"/>
      <c r="I427" s="6"/>
      <c r="J427" s="6" t="s">
        <v>2400</v>
      </c>
      <c r="K427" s="8" t="s">
        <v>2401</v>
      </c>
      <c r="L427" s="9"/>
    </row>
    <row r="428" ht="16.5" spans="1:12">
      <c r="A428" s="4" t="s">
        <v>3180</v>
      </c>
      <c r="B428" s="4"/>
      <c r="C428" s="5">
        <v>1501289</v>
      </c>
      <c r="D428" s="4" t="s">
        <v>1001</v>
      </c>
      <c r="E428" s="4" t="s">
        <v>637</v>
      </c>
      <c r="F428" s="4" t="s">
        <v>642</v>
      </c>
      <c r="G428" s="4" t="s">
        <v>2437</v>
      </c>
      <c r="H428" s="6"/>
      <c r="I428" s="6"/>
      <c r="J428" s="6" t="s">
        <v>4480</v>
      </c>
      <c r="K428" s="8" t="s">
        <v>3041</v>
      </c>
      <c r="L428" s="9"/>
    </row>
    <row r="429" ht="16.5" spans="1:12">
      <c r="A429" s="4" t="s">
        <v>3180</v>
      </c>
      <c r="B429" s="4"/>
      <c r="C429" s="5">
        <v>1501288</v>
      </c>
      <c r="D429" s="4" t="s">
        <v>687</v>
      </c>
      <c r="E429" s="4" t="s">
        <v>637</v>
      </c>
      <c r="F429" s="4" t="s">
        <v>638</v>
      </c>
      <c r="G429" s="4" t="s">
        <v>3342</v>
      </c>
      <c r="H429" s="6"/>
      <c r="I429" s="6"/>
      <c r="J429" s="6" t="s">
        <v>4380</v>
      </c>
      <c r="K429" s="8" t="s">
        <v>4381</v>
      </c>
      <c r="L429" s="9"/>
    </row>
    <row r="430" ht="16.5" spans="1:12">
      <c r="A430" s="4" t="s">
        <v>3180</v>
      </c>
      <c r="B430" s="4"/>
      <c r="C430" s="5">
        <v>4508031</v>
      </c>
      <c r="D430" s="4" t="s">
        <v>1450</v>
      </c>
      <c r="E430" s="4" t="s">
        <v>637</v>
      </c>
      <c r="F430" s="4" t="s">
        <v>638</v>
      </c>
      <c r="G430" s="4" t="s">
        <v>3342</v>
      </c>
      <c r="H430" s="6"/>
      <c r="I430" s="6"/>
      <c r="J430" s="6" t="s">
        <v>4380</v>
      </c>
      <c r="K430" s="8" t="s">
        <v>4381</v>
      </c>
      <c r="L430" s="9"/>
    </row>
    <row r="431" ht="16.5" spans="1:12">
      <c r="A431" s="4" t="s">
        <v>3180</v>
      </c>
      <c r="B431" s="4"/>
      <c r="C431" s="5">
        <v>4508029</v>
      </c>
      <c r="D431" s="4" t="s">
        <v>1448</v>
      </c>
      <c r="E431" s="4" t="s">
        <v>637</v>
      </c>
      <c r="F431" s="4" t="s">
        <v>638</v>
      </c>
      <c r="G431" s="4" t="s">
        <v>3342</v>
      </c>
      <c r="H431" s="6"/>
      <c r="I431" s="6"/>
      <c r="J431" s="6" t="s">
        <v>4380</v>
      </c>
      <c r="K431" s="8" t="s">
        <v>4381</v>
      </c>
      <c r="L431" s="9"/>
    </row>
    <row r="432" ht="16.5" spans="1:12">
      <c r="A432" s="4" t="s">
        <v>3180</v>
      </c>
      <c r="B432" s="4"/>
      <c r="C432" s="5">
        <v>4202787</v>
      </c>
      <c r="D432" s="4" t="s">
        <v>1362</v>
      </c>
      <c r="E432" s="4" t="s">
        <v>637</v>
      </c>
      <c r="F432" s="4" t="s">
        <v>638</v>
      </c>
      <c r="G432" s="4" t="s">
        <v>3342</v>
      </c>
      <c r="H432" s="6"/>
      <c r="I432" s="6"/>
      <c r="J432" s="6" t="s">
        <v>4380</v>
      </c>
      <c r="K432" s="8" t="s">
        <v>4381</v>
      </c>
      <c r="L432" s="9"/>
    </row>
    <row r="433" ht="16.5" spans="1:12">
      <c r="A433" s="4" t="s">
        <v>3180</v>
      </c>
      <c r="B433" s="4"/>
      <c r="C433" s="5">
        <v>4507217</v>
      </c>
      <c r="D433" s="4" t="s">
        <v>1438</v>
      </c>
      <c r="E433" s="4" t="s">
        <v>637</v>
      </c>
      <c r="F433" s="4" t="s">
        <v>646</v>
      </c>
      <c r="G433" s="4" t="s">
        <v>2627</v>
      </c>
      <c r="H433" s="6"/>
      <c r="I433" s="6"/>
      <c r="J433" s="6" t="s">
        <v>2424</v>
      </c>
      <c r="K433" s="8" t="s">
        <v>2425</v>
      </c>
      <c r="L433" s="9"/>
    </row>
    <row r="434" ht="16.5" spans="1:12">
      <c r="A434" s="4" t="s">
        <v>3180</v>
      </c>
      <c r="B434" s="4"/>
      <c r="C434" s="5">
        <v>1501410</v>
      </c>
      <c r="D434" s="4" t="s">
        <v>1002</v>
      </c>
      <c r="E434" s="4" t="s">
        <v>637</v>
      </c>
      <c r="F434" s="4" t="s">
        <v>656</v>
      </c>
      <c r="G434" s="4" t="s">
        <v>2445</v>
      </c>
      <c r="H434" s="6"/>
      <c r="I434" s="6"/>
      <c r="J434" s="6" t="s">
        <v>4443</v>
      </c>
      <c r="K434" s="8" t="s">
        <v>2564</v>
      </c>
      <c r="L434" s="9"/>
    </row>
    <row r="435" ht="16.5" spans="1:12">
      <c r="A435" s="4" t="s">
        <v>3180</v>
      </c>
      <c r="B435" s="4"/>
      <c r="C435" s="5">
        <v>1501413</v>
      </c>
      <c r="D435" s="4" t="s">
        <v>1003</v>
      </c>
      <c r="E435" s="4" t="s">
        <v>637</v>
      </c>
      <c r="F435" s="4" t="s">
        <v>642</v>
      </c>
      <c r="G435" s="4" t="s">
        <v>2437</v>
      </c>
      <c r="H435" s="6"/>
      <c r="I435" s="6"/>
      <c r="J435" s="6" t="s">
        <v>4497</v>
      </c>
      <c r="K435" s="8" t="s">
        <v>2567</v>
      </c>
      <c r="L435" s="9"/>
    </row>
    <row r="436" ht="16.5" spans="1:12">
      <c r="A436" s="4" t="s">
        <v>3180</v>
      </c>
      <c r="B436" s="4"/>
      <c r="C436" s="5">
        <v>4502198</v>
      </c>
      <c r="D436" s="4" t="s">
        <v>3565</v>
      </c>
      <c r="E436" s="4" t="s">
        <v>637</v>
      </c>
      <c r="F436" s="4" t="s">
        <v>656</v>
      </c>
      <c r="G436" s="4" t="s">
        <v>2445</v>
      </c>
      <c r="H436" s="6"/>
      <c r="I436" s="6"/>
      <c r="J436" s="6" t="s">
        <v>4435</v>
      </c>
      <c r="K436" s="8" t="s">
        <v>2554</v>
      </c>
      <c r="L436" s="9"/>
    </row>
    <row r="437" ht="16.5" spans="1:12">
      <c r="A437" s="4" t="s">
        <v>3180</v>
      </c>
      <c r="B437" s="4"/>
      <c r="C437" s="5">
        <v>1501211</v>
      </c>
      <c r="D437" s="4" t="s">
        <v>3261</v>
      </c>
      <c r="E437" s="4" t="s">
        <v>637</v>
      </c>
      <c r="F437" s="4" t="s">
        <v>656</v>
      </c>
      <c r="G437" s="4" t="s">
        <v>2445</v>
      </c>
      <c r="H437" s="6"/>
      <c r="I437" s="6"/>
      <c r="J437" s="6" t="s">
        <v>4380</v>
      </c>
      <c r="K437" s="8" t="s">
        <v>4381</v>
      </c>
      <c r="L437" s="9"/>
    </row>
    <row r="438" ht="16.5" spans="1:12">
      <c r="A438" s="4" t="s">
        <v>3180</v>
      </c>
      <c r="B438" s="4"/>
      <c r="C438" s="5">
        <v>4702852</v>
      </c>
      <c r="D438" s="4" t="s">
        <v>453</v>
      </c>
      <c r="E438" s="4" t="s">
        <v>637</v>
      </c>
      <c r="F438" s="4" t="s">
        <v>642</v>
      </c>
      <c r="G438" s="4" t="s">
        <v>2437</v>
      </c>
      <c r="H438" s="6"/>
      <c r="I438" s="6"/>
      <c r="J438" s="6" t="s">
        <v>4395</v>
      </c>
      <c r="K438" s="8" t="s">
        <v>4396</v>
      </c>
      <c r="L438" s="9"/>
    </row>
    <row r="439" ht="16.5" spans="1:12">
      <c r="A439" s="4" t="s">
        <v>3180</v>
      </c>
      <c r="B439" s="4"/>
      <c r="C439" s="5">
        <v>1501409</v>
      </c>
      <c r="D439" s="4" t="s">
        <v>3305</v>
      </c>
      <c r="E439" s="4" t="s">
        <v>637</v>
      </c>
      <c r="F439" s="4" t="s">
        <v>656</v>
      </c>
      <c r="G439" s="4" t="s">
        <v>2445</v>
      </c>
      <c r="H439" s="6"/>
      <c r="I439" s="6"/>
      <c r="J439" s="6" t="s">
        <v>4506</v>
      </c>
      <c r="K439" s="8" t="s">
        <v>4507</v>
      </c>
      <c r="L439" s="9"/>
    </row>
    <row r="440" ht="16.5" spans="1:12">
      <c r="A440" s="4" t="s">
        <v>3180</v>
      </c>
      <c r="B440" s="4"/>
      <c r="C440" s="5">
        <v>4500011</v>
      </c>
      <c r="D440" s="4" t="s">
        <v>1368</v>
      </c>
      <c r="E440" s="4" t="s">
        <v>637</v>
      </c>
      <c r="F440" s="4" t="s">
        <v>646</v>
      </c>
      <c r="G440" s="4" t="s">
        <v>2627</v>
      </c>
      <c r="H440" s="6"/>
      <c r="I440" s="6"/>
      <c r="J440" s="6" t="s">
        <v>2398</v>
      </c>
      <c r="K440" s="8" t="s">
        <v>4518</v>
      </c>
      <c r="L440" s="9"/>
    </row>
    <row r="441" ht="16.5" spans="1:12">
      <c r="A441" s="4" t="s">
        <v>3180</v>
      </c>
      <c r="B441" s="4"/>
      <c r="C441" s="5">
        <v>4508255</v>
      </c>
      <c r="D441" s="4" t="s">
        <v>1456</v>
      </c>
      <c r="E441" s="4" t="s">
        <v>637</v>
      </c>
      <c r="F441" s="4" t="s">
        <v>646</v>
      </c>
      <c r="G441" s="4" t="s">
        <v>2627</v>
      </c>
      <c r="H441" s="6"/>
      <c r="I441" s="6"/>
      <c r="J441" s="6" t="s">
        <v>2402</v>
      </c>
      <c r="K441" s="8" t="s">
        <v>2403</v>
      </c>
      <c r="L441" s="9"/>
    </row>
    <row r="442" ht="16.5" spans="1:12">
      <c r="A442" s="4" t="s">
        <v>3180</v>
      </c>
      <c r="B442" s="4"/>
      <c r="C442" s="5">
        <v>1501285</v>
      </c>
      <c r="D442" s="4" t="s">
        <v>321</v>
      </c>
      <c r="E442" s="4" t="s">
        <v>637</v>
      </c>
      <c r="F442" s="4" t="s">
        <v>638</v>
      </c>
      <c r="G442" s="4" t="s">
        <v>3186</v>
      </c>
      <c r="H442" s="6"/>
      <c r="I442" s="6"/>
      <c r="J442" s="6" t="s">
        <v>4380</v>
      </c>
      <c r="K442" s="8" t="s">
        <v>4381</v>
      </c>
      <c r="L442" s="9"/>
    </row>
    <row r="443" ht="16.5" spans="1:12">
      <c r="A443" s="4" t="s">
        <v>3180</v>
      </c>
      <c r="B443" s="4"/>
      <c r="C443" s="5">
        <v>1501286</v>
      </c>
      <c r="D443" s="4" t="s">
        <v>999</v>
      </c>
      <c r="E443" s="4" t="s">
        <v>637</v>
      </c>
      <c r="F443" s="4" t="s">
        <v>638</v>
      </c>
      <c r="G443" s="4" t="s">
        <v>3186</v>
      </c>
      <c r="H443" s="6"/>
      <c r="I443" s="6"/>
      <c r="J443" s="6" t="s">
        <v>4380</v>
      </c>
      <c r="K443" s="8" t="s">
        <v>4381</v>
      </c>
      <c r="L443" s="9"/>
    </row>
    <row r="444" ht="16.5" spans="1:12">
      <c r="A444" s="4" t="s">
        <v>3180</v>
      </c>
      <c r="B444" s="4"/>
      <c r="C444" s="5">
        <v>1501287</v>
      </c>
      <c r="D444" s="4" t="s">
        <v>1000</v>
      </c>
      <c r="E444" s="4" t="s">
        <v>637</v>
      </c>
      <c r="F444" s="4" t="s">
        <v>638</v>
      </c>
      <c r="G444" s="4" t="s">
        <v>3342</v>
      </c>
      <c r="H444" s="6"/>
      <c r="I444" s="6"/>
      <c r="J444" s="6" t="s">
        <v>2351</v>
      </c>
      <c r="K444" s="8" t="s">
        <v>2352</v>
      </c>
      <c r="L444" s="9"/>
    </row>
    <row r="445" ht="16.5" spans="1:12">
      <c r="A445" s="4" t="s">
        <v>3180</v>
      </c>
      <c r="B445" s="4"/>
      <c r="C445" s="5">
        <v>4508567</v>
      </c>
      <c r="D445" s="4" t="s">
        <v>3608</v>
      </c>
      <c r="E445" s="4" t="s">
        <v>637</v>
      </c>
      <c r="F445" s="4" t="s">
        <v>646</v>
      </c>
      <c r="G445" s="4" t="s">
        <v>2627</v>
      </c>
      <c r="H445" s="6"/>
      <c r="I445" s="6"/>
      <c r="J445" s="6" t="s">
        <v>2424</v>
      </c>
      <c r="K445" s="8" t="s">
        <v>2425</v>
      </c>
      <c r="L445" s="9"/>
    </row>
    <row r="446" ht="16.5" spans="1:12">
      <c r="A446" s="4" t="s">
        <v>3180</v>
      </c>
      <c r="B446" s="4"/>
      <c r="C446" s="5">
        <v>4508568</v>
      </c>
      <c r="D446" s="4" t="s">
        <v>3609</v>
      </c>
      <c r="E446" s="4" t="s">
        <v>637</v>
      </c>
      <c r="F446" s="4" t="s">
        <v>646</v>
      </c>
      <c r="G446" s="4" t="s">
        <v>2627</v>
      </c>
      <c r="H446" s="6"/>
      <c r="I446" s="6"/>
      <c r="J446" s="6" t="s">
        <v>4466</v>
      </c>
      <c r="K446" s="8" t="s">
        <v>4467</v>
      </c>
      <c r="L446" s="9"/>
    </row>
    <row r="447" ht="16.5" spans="1:12">
      <c r="A447" s="4" t="s">
        <v>3180</v>
      </c>
      <c r="B447" s="4"/>
      <c r="C447" s="5">
        <v>1501588</v>
      </c>
      <c r="D447" s="4" t="s">
        <v>1008</v>
      </c>
      <c r="E447" s="4" t="s">
        <v>637</v>
      </c>
      <c r="F447" s="4" t="s">
        <v>642</v>
      </c>
      <c r="G447" s="4" t="s">
        <v>2437</v>
      </c>
      <c r="H447" s="6"/>
      <c r="I447" s="6"/>
      <c r="J447" s="6" t="s">
        <v>4519</v>
      </c>
      <c r="K447" s="8" t="s">
        <v>3089</v>
      </c>
      <c r="L447" s="9"/>
    </row>
    <row r="448" ht="16.5" spans="1:12">
      <c r="A448" s="4" t="s">
        <v>3180</v>
      </c>
      <c r="B448" s="4"/>
      <c r="C448" s="5">
        <v>1501589</v>
      </c>
      <c r="D448" s="4" t="s">
        <v>391</v>
      </c>
      <c r="E448" s="4" t="s">
        <v>637</v>
      </c>
      <c r="F448" s="4" t="s">
        <v>642</v>
      </c>
      <c r="G448" s="4" t="s">
        <v>2437</v>
      </c>
      <c r="H448" s="6"/>
      <c r="I448" s="6"/>
      <c r="J448" s="6" t="s">
        <v>4401</v>
      </c>
      <c r="K448" s="8" t="s">
        <v>3035</v>
      </c>
      <c r="L448" s="9"/>
    </row>
    <row r="449" ht="16.5" spans="1:12">
      <c r="A449" s="4" t="s">
        <v>3180</v>
      </c>
      <c r="B449" s="4"/>
      <c r="C449" s="5">
        <v>1501590</v>
      </c>
      <c r="D449" s="4" t="s">
        <v>3307</v>
      </c>
      <c r="E449" s="4" t="s">
        <v>637</v>
      </c>
      <c r="F449" s="4" t="s">
        <v>638</v>
      </c>
      <c r="G449" s="4" t="s">
        <v>3342</v>
      </c>
      <c r="H449" s="6"/>
      <c r="I449" s="6"/>
      <c r="J449" s="6" t="s">
        <v>4511</v>
      </c>
      <c r="K449" s="8" t="s">
        <v>2552</v>
      </c>
      <c r="L449" s="9"/>
    </row>
    <row r="450" ht="16.5" spans="1:12">
      <c r="A450" s="4" t="s">
        <v>3180</v>
      </c>
      <c r="B450" s="4"/>
      <c r="C450" s="5">
        <v>1501591</v>
      </c>
      <c r="D450" s="4" t="s">
        <v>3308</v>
      </c>
      <c r="E450" s="4" t="s">
        <v>637</v>
      </c>
      <c r="F450" s="4" t="s">
        <v>638</v>
      </c>
      <c r="G450" s="4" t="s">
        <v>3342</v>
      </c>
      <c r="H450" s="6"/>
      <c r="I450" s="6"/>
      <c r="J450" s="6" t="s">
        <v>3165</v>
      </c>
      <c r="K450" s="8" t="s">
        <v>4453</v>
      </c>
      <c r="L450" s="9"/>
    </row>
    <row r="451" ht="16.5" spans="1:12">
      <c r="A451" s="4" t="s">
        <v>3180</v>
      </c>
      <c r="B451" s="4"/>
      <c r="C451" s="5">
        <v>1501586</v>
      </c>
      <c r="D451" s="4" t="s">
        <v>1006</v>
      </c>
      <c r="E451" s="4" t="s">
        <v>637</v>
      </c>
      <c r="F451" s="4" t="s">
        <v>642</v>
      </c>
      <c r="G451" s="4" t="s">
        <v>2437</v>
      </c>
      <c r="H451" s="6"/>
      <c r="I451" s="6"/>
      <c r="J451" s="6" t="s">
        <v>4520</v>
      </c>
      <c r="K451" s="8" t="s">
        <v>4521</v>
      </c>
      <c r="L451" s="9"/>
    </row>
    <row r="452" ht="16.5" spans="1:12">
      <c r="A452" s="4" t="s">
        <v>3180</v>
      </c>
      <c r="B452" s="4"/>
      <c r="C452" s="5">
        <v>1501587</v>
      </c>
      <c r="D452" s="4" t="s">
        <v>1007</v>
      </c>
      <c r="E452" s="4" t="s">
        <v>637</v>
      </c>
      <c r="F452" s="4" t="s">
        <v>642</v>
      </c>
      <c r="G452" s="4" t="s">
        <v>2437</v>
      </c>
      <c r="H452" s="6"/>
      <c r="I452" s="6"/>
      <c r="J452" s="6" t="s">
        <v>4522</v>
      </c>
      <c r="K452" s="8" t="s">
        <v>2590</v>
      </c>
      <c r="L452" s="9"/>
    </row>
    <row r="453" ht="16.5" spans="1:12">
      <c r="A453" s="4" t="s">
        <v>3180</v>
      </c>
      <c r="B453" s="4"/>
      <c r="C453" s="5">
        <v>1501610</v>
      </c>
      <c r="D453" s="4" t="s">
        <v>461</v>
      </c>
      <c r="E453" s="4" t="s">
        <v>637</v>
      </c>
      <c r="F453" s="4" t="s">
        <v>642</v>
      </c>
      <c r="G453" s="4" t="s">
        <v>2437</v>
      </c>
      <c r="H453" s="6"/>
      <c r="I453" s="6"/>
      <c r="J453" s="6" t="s">
        <v>3155</v>
      </c>
      <c r="K453" s="8" t="s">
        <v>2605</v>
      </c>
      <c r="L453" s="9"/>
    </row>
    <row r="454" ht="16.5" spans="1:12">
      <c r="A454" s="4" t="s">
        <v>3180</v>
      </c>
      <c r="B454" s="4"/>
      <c r="C454" s="5">
        <v>4508988</v>
      </c>
      <c r="D454" s="4" t="s">
        <v>1460</v>
      </c>
      <c r="E454" s="4" t="s">
        <v>637</v>
      </c>
      <c r="F454" s="4" t="s">
        <v>642</v>
      </c>
      <c r="G454" s="4" t="s">
        <v>2437</v>
      </c>
      <c r="H454" s="6"/>
      <c r="I454" s="6"/>
      <c r="J454" s="6" t="s">
        <v>4523</v>
      </c>
      <c r="K454" s="8" t="s">
        <v>4524</v>
      </c>
      <c r="L454" s="9"/>
    </row>
    <row r="455" ht="16.5" spans="1:12">
      <c r="A455" s="4" t="s">
        <v>3180</v>
      </c>
      <c r="B455" s="4"/>
      <c r="C455" s="5">
        <v>4509062</v>
      </c>
      <c r="D455" s="4" t="s">
        <v>3612</v>
      </c>
      <c r="E455" s="4" t="s">
        <v>637</v>
      </c>
      <c r="F455" s="4" t="s">
        <v>646</v>
      </c>
      <c r="G455" s="4" t="s">
        <v>2627</v>
      </c>
      <c r="H455" s="6"/>
      <c r="I455" s="6"/>
      <c r="J455" s="6" t="s">
        <v>4525</v>
      </c>
      <c r="K455" s="8" t="s">
        <v>4526</v>
      </c>
      <c r="L455" s="9"/>
    </row>
    <row r="456" ht="16.5" spans="1:12">
      <c r="A456" s="4" t="s">
        <v>3180</v>
      </c>
      <c r="B456" s="4"/>
      <c r="C456" s="5">
        <v>1501611</v>
      </c>
      <c r="D456" s="4" t="s">
        <v>1012</v>
      </c>
      <c r="E456" s="4" t="s">
        <v>637</v>
      </c>
      <c r="F456" s="4" t="s">
        <v>642</v>
      </c>
      <c r="G456" s="4" t="s">
        <v>2437</v>
      </c>
      <c r="H456" s="6"/>
      <c r="I456" s="6"/>
      <c r="J456" s="6" t="s">
        <v>3155</v>
      </c>
      <c r="K456" s="8" t="s">
        <v>2605</v>
      </c>
      <c r="L456" s="9"/>
    </row>
    <row r="457" ht="16.5" spans="1:12">
      <c r="A457" s="4" t="s">
        <v>3180</v>
      </c>
      <c r="B457" s="4"/>
      <c r="C457" s="5">
        <v>1501612</v>
      </c>
      <c r="D457" s="4" t="s">
        <v>1013</v>
      </c>
      <c r="E457" s="4" t="s">
        <v>637</v>
      </c>
      <c r="F457" s="4" t="s">
        <v>656</v>
      </c>
      <c r="G457" s="4" t="s">
        <v>2445</v>
      </c>
      <c r="H457" s="6"/>
      <c r="I457" s="6"/>
      <c r="J457" s="6" t="s">
        <v>4427</v>
      </c>
      <c r="K457" s="8" t="s">
        <v>4428</v>
      </c>
      <c r="L457" s="9"/>
    </row>
    <row r="458" ht="16.5" spans="1:12">
      <c r="A458" s="4" t="s">
        <v>3180</v>
      </c>
      <c r="B458" s="4"/>
      <c r="C458" s="5">
        <v>1501607</v>
      </c>
      <c r="D458" s="4" t="s">
        <v>3309</v>
      </c>
      <c r="E458" s="4" t="s">
        <v>637</v>
      </c>
      <c r="F458" s="4" t="s">
        <v>642</v>
      </c>
      <c r="G458" s="4" t="s">
        <v>2437</v>
      </c>
      <c r="H458" s="6"/>
      <c r="I458" s="6"/>
      <c r="J458" s="6" t="s">
        <v>4497</v>
      </c>
      <c r="K458" s="8" t="s">
        <v>2567</v>
      </c>
      <c r="L458" s="9"/>
    </row>
    <row r="459" ht="16.5" spans="1:12">
      <c r="A459" s="4" t="s">
        <v>3180</v>
      </c>
      <c r="B459" s="4"/>
      <c r="C459" s="5">
        <v>1501608</v>
      </c>
      <c r="D459" s="4" t="s">
        <v>590</v>
      </c>
      <c r="E459" s="4" t="s">
        <v>637</v>
      </c>
      <c r="F459" s="4" t="s">
        <v>642</v>
      </c>
      <c r="G459" s="4" t="s">
        <v>2437</v>
      </c>
      <c r="H459" s="6"/>
      <c r="I459" s="6"/>
      <c r="J459" s="6" t="s">
        <v>4497</v>
      </c>
      <c r="K459" s="8" t="s">
        <v>2567</v>
      </c>
      <c r="L459" s="9"/>
    </row>
    <row r="460" ht="16.5" spans="1:12">
      <c r="A460" s="4" t="s">
        <v>3180</v>
      </c>
      <c r="B460" s="4"/>
      <c r="C460" s="5">
        <v>4509690</v>
      </c>
      <c r="D460" s="4" t="s">
        <v>3617</v>
      </c>
      <c r="E460" s="4" t="s">
        <v>637</v>
      </c>
      <c r="F460" s="4" t="s">
        <v>638</v>
      </c>
      <c r="G460" s="4" t="s">
        <v>3342</v>
      </c>
      <c r="H460" s="6"/>
      <c r="I460" s="6"/>
      <c r="J460" s="6" t="s">
        <v>4527</v>
      </c>
      <c r="K460" s="8" t="s">
        <v>2482</v>
      </c>
      <c r="L460" s="9"/>
    </row>
  </sheetData>
  <conditionalFormatting sqref="A1:B1">
    <cfRule type="duplicateValues" dxfId="4" priority="5"/>
    <cfRule type="duplicateValues" dxfId="4" priority="6"/>
    <cfRule type="duplicateValues" dxfId="4" priority="7"/>
  </conditionalFormatting>
  <conditionalFormatting sqref="C1:G1">
    <cfRule type="duplicateValues" dxfId="4" priority="2"/>
    <cfRule type="duplicateValues" dxfId="4" priority="3"/>
    <cfRule type="duplicateValues" dxfId="4" priority="4"/>
  </conditionalFormatting>
  <conditionalFormatting sqref="C2">
    <cfRule type="duplicateValues" dxfId="4" priority="8" stopIfTrue="1"/>
  </conditionalFormatting>
  <conditionalFormatting sqref="C3:C460">
    <cfRule type="duplicateValues" dxfId="4" priority="1" stopIfTrue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CA07-本月-盘点结果</vt:lpstr>
      <vt:lpstr>上月数量需更新</vt:lpstr>
      <vt:lpstr>上月数量zfi0156</vt:lpstr>
      <vt:lpstr>本月系统单价mb5b</vt:lpstr>
      <vt:lpstr>透视表</vt:lpstr>
      <vt:lpstr>红火台销售汇总</vt:lpstr>
      <vt:lpstr>Sheet3</vt:lpstr>
      <vt:lpstr>计算</vt:lpstr>
      <vt:lpstr>BI套餐</vt:lpstr>
      <vt:lpstr>物料分类</vt:lpstr>
      <vt:lpstr>折算数量</vt:lpstr>
      <vt:lpstr>对照表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17788</dc:creator>
  <cp:lastModifiedBy>qz154</cp:lastModifiedBy>
  <dcterms:created xsi:type="dcterms:W3CDTF">2021-06-28T23:50:00Z</dcterms:created>
  <dcterms:modified xsi:type="dcterms:W3CDTF">2025-07-06T18:25:08Z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1033-12.2.0.21546</vt:lpwstr>
  </property>
  <property fmtid="{D5CDD505-2E9C-101B-9397-08002B2CF9AE}" pid="3" name="ICV">
    <vt:lpwstr>2BFC9E3B542FCBF08FAD1368CDDCFB73_43</vt:lpwstr>
  </property>
</Properties>
</file>