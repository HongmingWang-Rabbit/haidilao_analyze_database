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门店日-加拿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15" customWidth="1" min="11" max="11"/>
    <col width="15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</cols>
  <sheetData>
    <row r="1">
      <c r="A1" s="1" t="inlineStr">
        <is>
          <t>序号</t>
        </is>
      </c>
      <c r="B1" s="1" t="inlineStr">
        <is>
          <t>门店名称</t>
        </is>
      </c>
      <c r="C1" s="1" t="inlineStr">
        <is>
          <t>店经理</t>
        </is>
      </c>
      <c r="D1" s="1" t="inlineStr">
        <is>
          <t>餐位数</t>
        </is>
      </c>
      <c r="E1" s="1" t="inlineStr">
        <is>
          <t>24年全年平均翻台率</t>
        </is>
      </c>
      <c r="F1" s="1" t="inlineStr">
        <is>
          <t>日翻台率-考核</t>
        </is>
      </c>
      <c r="G1" s="1" t="n"/>
      <c r="H1" s="1" t="n"/>
      <c r="I1" s="1" t="n"/>
      <c r="J1" s="1" t="n"/>
      <c r="K1" s="1" t="inlineStr">
        <is>
          <t>日营业收入-不含税(万加元)</t>
        </is>
      </c>
      <c r="L1" s="1" t="n"/>
      <c r="M1" s="1" t="n"/>
      <c r="N1" s="1" t="n"/>
      <c r="O1" s="1" t="n"/>
      <c r="P1" s="1" t="inlineStr">
        <is>
          <t>综合得分</t>
        </is>
      </c>
      <c r="Q1" s="1" t="inlineStr">
        <is>
          <t>综合排名</t>
        </is>
      </c>
    </row>
    <row r="2">
      <c r="A2" s="1" t="n"/>
      <c r="B2" s="1" t="n"/>
      <c r="C2" s="1" t="n"/>
      <c r="D2" s="1" t="n"/>
      <c r="E2" s="1" t="n"/>
      <c r="F2" s="1" t="inlineStr">
        <is>
          <t>25年6月28日</t>
        </is>
      </c>
      <c r="G2" s="1" t="inlineStr">
        <is>
          <t>24年6月28日</t>
        </is>
      </c>
      <c r="H2" s="1" t="inlineStr">
        <is>
          <t>对比</t>
        </is>
      </c>
      <c r="I2" s="1" t="inlineStr">
        <is>
          <t>基础值得分</t>
        </is>
      </c>
      <c r="J2" s="1" t="inlineStr">
        <is>
          <t>精进值得分</t>
        </is>
      </c>
      <c r="K2" s="1">
        <f>F2</f>
        <v/>
      </c>
      <c r="L2" s="1">
        <f>G2</f>
        <v/>
      </c>
      <c r="M2" s="1" t="inlineStr">
        <is>
          <t>对比</t>
        </is>
      </c>
      <c r="N2" s="1" t="inlineStr">
        <is>
          <t>基础值得分</t>
        </is>
      </c>
      <c r="O2" s="1" t="inlineStr">
        <is>
          <t>精进值得分</t>
        </is>
      </c>
      <c r="P2" s="1" t="n"/>
      <c r="Q2" s="1" t="n"/>
    </row>
    <row r="3">
      <c r="A3" s="2" t="n"/>
      <c r="B3" s="2" t="n"/>
      <c r="C3" s="2" t="n"/>
      <c r="D3" s="2" t="inlineStr">
        <is>
          <t>区域</t>
        </is>
      </c>
      <c r="E3" s="3" t="inlineStr">
        <is>
          <t>蒋冰遇</t>
        </is>
      </c>
      <c r="F3" s="3" t="n">
        <v>4.698984</v>
      </c>
      <c r="G3" s="3" t="n">
        <v>5.290773333333333</v>
      </c>
      <c r="H3" s="3">
        <f>F3-G3</f>
        <v/>
      </c>
      <c r="I3" s="3" t="n"/>
      <c r="J3" s="3" t="n"/>
      <c r="K3" s="3" t="n">
        <v>26.03843</v>
      </c>
      <c r="L3" s="3" t="n">
        <v>23.808056</v>
      </c>
      <c r="M3" s="3">
        <f>K3-L3</f>
        <v/>
      </c>
      <c r="N3" s="3" t="n"/>
      <c r="O3" s="3" t="n"/>
      <c r="P3" s="3" t="n"/>
      <c r="Q3" s="2" t="n"/>
    </row>
    <row r="4">
      <c r="A4" s="2" t="n">
        <v>1</v>
      </c>
      <c r="B4" s="2" t="inlineStr">
        <is>
          <t>加拿大七店</t>
        </is>
      </c>
      <c r="C4" s="2" t="inlineStr">
        <is>
          <t>潘幸远</t>
        </is>
      </c>
      <c r="D4" s="2" t="n">
        <v>57</v>
      </c>
      <c r="E4" s="3" t="n">
        <v>3.317795918367347</v>
      </c>
      <c r="F4" s="3" t="n">
        <v>4.86</v>
      </c>
      <c r="G4" s="3" t="n">
        <v>3.86</v>
      </c>
      <c r="H4" s="3" t="n">
        <v>1</v>
      </c>
      <c r="I4" s="3" t="n">
        <v>0.7120661157024795</v>
      </c>
      <c r="J4" s="3" t="n">
        <v>1</v>
      </c>
      <c r="K4" s="3" t="n">
        <v>4.308535</v>
      </c>
      <c r="L4" s="3" t="n">
        <v>3.63874</v>
      </c>
      <c r="M4" s="3" t="n">
        <v>0.6697950000000001</v>
      </c>
      <c r="N4" s="3" t="n">
        <v>0.9203428898054715</v>
      </c>
      <c r="O4" s="3" t="n">
        <v>0.9617732906412811</v>
      </c>
      <c r="P4" s="3" t="n">
        <v>0.8985455740373081</v>
      </c>
      <c r="Q4" s="2" t="n">
        <v>1</v>
      </c>
    </row>
    <row r="5">
      <c r="A5" s="2" t="n">
        <v>2</v>
      </c>
      <c r="B5" s="2" t="inlineStr">
        <is>
          <t>加拿大四店</t>
        </is>
      </c>
      <c r="C5" s="2" t="inlineStr">
        <is>
          <t>李俊娟</t>
        </is>
      </c>
      <c r="D5" s="2" t="n">
        <v>70</v>
      </c>
      <c r="E5" s="3" t="n">
        <v>4.490655737704918</v>
      </c>
      <c r="F5" s="3" t="n">
        <v>4.614</v>
      </c>
      <c r="G5" s="3" t="n">
        <v>5.143</v>
      </c>
      <c r="H5" s="3" t="n">
        <v>-0.5289999999999999</v>
      </c>
      <c r="I5" s="3" t="n">
        <v>0.6307438016528926</v>
      </c>
      <c r="J5" s="3" t="n">
        <v>0.5339835416031699</v>
      </c>
      <c r="K5" s="3" t="n">
        <v>4.544052</v>
      </c>
      <c r="L5" s="3" t="n">
        <v>3.836447</v>
      </c>
      <c r="M5" s="3" t="n">
        <v>0.7076049999999996</v>
      </c>
      <c r="N5" s="3" t="n">
        <v>1</v>
      </c>
      <c r="O5" s="3" t="n">
        <v>1</v>
      </c>
      <c r="P5" s="3" t="n">
        <v>0.7911818358140156</v>
      </c>
      <c r="Q5" s="2" t="n">
        <v>2</v>
      </c>
    </row>
    <row r="6">
      <c r="A6" s="2" t="n">
        <v>3</v>
      </c>
      <c r="B6" s="2" t="inlineStr">
        <is>
          <t>加拿大五店</t>
        </is>
      </c>
      <c r="C6" s="2" t="inlineStr">
        <is>
          <t>陈浩</t>
        </is>
      </c>
      <c r="D6" s="2" t="n">
        <v>55</v>
      </c>
      <c r="E6" s="3" t="n">
        <v>5.499956284153005</v>
      </c>
      <c r="F6" s="3" t="n">
        <v>5.731</v>
      </c>
      <c r="G6" s="3" t="n">
        <v>6.709</v>
      </c>
      <c r="H6" s="3" t="n">
        <v>-0.9779999999999998</v>
      </c>
      <c r="I6" s="3" t="n">
        <v>1</v>
      </c>
      <c r="J6" s="3" t="n">
        <v>0.3971350198110333</v>
      </c>
      <c r="K6" s="3" t="n">
        <v>4.396138</v>
      </c>
      <c r="L6" s="3" t="n">
        <v>3.963762</v>
      </c>
      <c r="M6" s="3" t="n">
        <v>0.4323759999999996</v>
      </c>
      <c r="N6" s="3" t="n">
        <v>0.9499721812127638</v>
      </c>
      <c r="O6" s="3" t="n">
        <v>0.7217376622562554</v>
      </c>
      <c r="P6" s="3" t="n">
        <v>0.7672112158200131</v>
      </c>
      <c r="Q6" s="2" t="n">
        <v>3</v>
      </c>
    </row>
    <row r="7">
      <c r="A7" s="2" t="n">
        <v>4</v>
      </c>
      <c r="B7" s="2" t="inlineStr">
        <is>
          <t>加拿大一店</t>
        </is>
      </c>
      <c r="C7" s="2" t="inlineStr">
        <is>
          <t>张森磊</t>
        </is>
      </c>
      <c r="D7" s="2" t="n">
        <v>53</v>
      </c>
      <c r="E7" s="3" t="n">
        <v>4.566172131147541</v>
      </c>
      <c r="F7" s="3" t="n">
        <v>4.834</v>
      </c>
      <c r="G7" s="3" t="n">
        <v>5.283</v>
      </c>
      <c r="H7" s="3" t="n">
        <v>-0.4490000000000007</v>
      </c>
      <c r="I7" s="3" t="n">
        <v>0.7034710743801652</v>
      </c>
      <c r="J7" s="3" t="n">
        <v>0.5583663517220357</v>
      </c>
      <c r="K7" s="3" t="n">
        <v>4.264225</v>
      </c>
      <c r="L7" s="3" t="n">
        <v>4.134737</v>
      </c>
      <c r="M7" s="3" t="n">
        <v>0.1294879999999994</v>
      </c>
      <c r="N7" s="3" t="n">
        <v>0.90535625804335</v>
      </c>
      <c r="O7" s="3" t="n">
        <v>0.4155114907607828</v>
      </c>
      <c r="P7" s="3" t="n">
        <v>0.6456762937265834</v>
      </c>
      <c r="Q7" s="2" t="n">
        <v>4</v>
      </c>
    </row>
    <row r="8">
      <c r="A8" s="2" t="n">
        <v>5</v>
      </c>
      <c r="B8" s="2" t="inlineStr">
        <is>
          <t>加拿大六店</t>
        </is>
      </c>
      <c r="C8" s="2" t="inlineStr">
        <is>
          <t>高新菊</t>
        </is>
      </c>
      <c r="D8" s="2" t="n">
        <v>56</v>
      </c>
      <c r="E8" s="3" t="n">
        <v>3.71722905027933</v>
      </c>
      <c r="F8" s="3" t="n">
        <v>4.05</v>
      </c>
      <c r="G8" s="3" t="n">
        <v>4.161</v>
      </c>
      <c r="H8" s="3" t="n">
        <v>-0.1109999999999998</v>
      </c>
      <c r="I8" s="3" t="n">
        <v>0.444297520661157</v>
      </c>
      <c r="J8" s="3" t="n">
        <v>0.6613837244742456</v>
      </c>
      <c r="K8" s="3" t="n">
        <v>3.143883</v>
      </c>
      <c r="L8" s="3" t="n">
        <v>2.573669</v>
      </c>
      <c r="M8" s="3" t="n">
        <v>0.570214</v>
      </c>
      <c r="N8" s="3" t="n">
        <v>0.5264315683200667</v>
      </c>
      <c r="O8" s="3" t="n">
        <v>0.8610947943532451</v>
      </c>
      <c r="P8" s="3" t="n">
        <v>0.6233019019521786</v>
      </c>
      <c r="Q8" s="2" t="n">
        <v>5</v>
      </c>
    </row>
    <row r="9">
      <c r="A9" s="2" t="n">
        <v>6</v>
      </c>
      <c r="B9" s="2" t="inlineStr">
        <is>
          <t>加拿大三店</t>
        </is>
      </c>
      <c r="C9" s="2" t="inlineStr">
        <is>
          <t>Bao Xiaoyun</t>
        </is>
      </c>
      <c r="D9" s="2" t="n">
        <v>48</v>
      </c>
      <c r="E9" s="3" t="n">
        <v>5.724857923497268</v>
      </c>
      <c r="F9" s="3" t="n">
        <v>5.552</v>
      </c>
      <c r="G9" s="3" t="n">
        <v>7.833</v>
      </c>
      <c r="H9" s="3" t="n">
        <v>-2.281000000000001</v>
      </c>
      <c r="I9" s="3" t="n">
        <v>0.9408264462809917</v>
      </c>
      <c r="J9" s="3" t="n">
        <v>0</v>
      </c>
      <c r="K9" s="3" t="n">
        <v>3.79418</v>
      </c>
      <c r="L9" s="3" t="n">
        <v>3.79179</v>
      </c>
      <c r="M9" s="3" t="n">
        <v>0.00238999999999967</v>
      </c>
      <c r="N9" s="3" t="n">
        <v>0.7463765395458012</v>
      </c>
      <c r="O9" s="3" t="n">
        <v>0.2870127257231073</v>
      </c>
      <c r="P9" s="3" t="n">
        <v>0.493553927887475</v>
      </c>
      <c r="Q9" s="2" t="n">
        <v>6</v>
      </c>
    </row>
    <row r="10">
      <c r="A10" s="2" t="n">
        <v>7</v>
      </c>
      <c r="B10" s="2" t="inlineStr">
        <is>
          <t>加拿大二店</t>
        </is>
      </c>
      <c r="C10" s="2" t="inlineStr">
        <is>
          <t>潘幸远</t>
        </is>
      </c>
      <c r="D10" s="2" t="n">
        <v>36</v>
      </c>
      <c r="E10" s="3" t="n">
        <v>4.022549180327869</v>
      </c>
      <c r="F10" s="3" t="n">
        <v>2.706</v>
      </c>
      <c r="G10" s="3" t="n">
        <v>4.056</v>
      </c>
      <c r="H10" s="3" t="n">
        <v>-1.35</v>
      </c>
      <c r="I10" s="3" t="n">
        <v>0</v>
      </c>
      <c r="J10" s="3" t="n">
        <v>0.2837549527583055</v>
      </c>
      <c r="K10" s="3" t="n">
        <v>1.587417</v>
      </c>
      <c r="L10" s="3" t="n">
        <v>1.868911</v>
      </c>
      <c r="M10" s="3" t="n">
        <v>-0.2814939999999999</v>
      </c>
      <c r="N10" s="3" t="n">
        <v>0</v>
      </c>
      <c r="O10" s="3" t="n">
        <v>0</v>
      </c>
      <c r="P10" s="3" t="n">
        <v>0.07093873818957637</v>
      </c>
      <c r="Q10" s="2" t="n">
        <v>7</v>
      </c>
    </row>
  </sheetData>
  <mergeCells count="2">
    <mergeCell ref="F1:J1"/>
    <mergeCell ref="K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2025-07-01T09:18:20Z</dcterms:created>
  <dcterms:modified xsi:type="dcterms:W3CDTF">2025-07-01T09:18:20Z</dcterms:modified>
</cp:coreProperties>
</file>